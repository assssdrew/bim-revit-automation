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Типовые этажи" sheetId="2" state="visible" r:id="rId2"/>
    <sheet xmlns:r="http://schemas.openxmlformats.org/officeDocument/2006/relationships" name="Таблица 1" sheetId="3" state="visible" r:id="rId3"/>
    <sheet xmlns:r="http://schemas.openxmlformats.org/officeDocument/2006/relationships" name="Выгрузка" sheetId="4" state="visible" r:id="rId4"/>
    <sheet xmlns:r="http://schemas.openxmlformats.org/officeDocument/2006/relationships" name="Настройки" sheetId="5" state="visible" r:id="rId5"/>
    <sheet xmlns:r="http://schemas.openxmlformats.org/officeDocument/2006/relationships" name="Расчет" sheetId="6" state="hidden" r:id="rId6"/>
    <sheet xmlns:r="http://schemas.openxmlformats.org/officeDocument/2006/relationships" name="Квартиры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</font>
    <font>
      <b val="1"/>
      <sz val="12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1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BDD7EE"/>
          <bgColor rgb="00BDD7EE"/>
        </patternFill>
      </fill>
    </dxf>
    <dxf>
      <fill>
        <patternFill patternType="solid">
          <fgColor rgb="00E4DFEC"/>
          <bgColor rgb="00E4DFEC"/>
        </patternFill>
      </fill>
    </dxf>
    <dxf>
      <fill>
        <patternFill patternType="solid">
          <fgColor rgb="00FCE4D6"/>
          <bgColor rgb="00FCE4D6"/>
        </patternFill>
      </fill>
    </dxf>
    <dxf>
      <fill>
        <patternFill patternType="solid">
          <fgColor rgb="00D9D9D9"/>
          <bgColor rgb="00D9D9D9"/>
        </patternFill>
      </fill>
    </dxf>
    <dxf>
      <fill>
        <patternFill patternType="solid">
          <fgColor rgb="00DDEBF7"/>
          <bgColor rgb="00DDEBF7"/>
        </patternFill>
      </fill>
    </dxf>
    <dxf>
      <fill>
        <patternFill patternType="solid">
          <fgColor rgb="00E2EFDA"/>
          <bgColor rgb="00E2EFDA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C9C9FF"/>
          <bgColor rgb="00C9C9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Выгрузка квартирографии — как получить отчёт</t>
        </is>
      </c>
    </row>
    <row r="2">
      <c r="A2" t="inlineStr"/>
    </row>
    <row r="3">
      <c r="A3" t="inlineStr">
        <is>
          <t>Один раз: в Проигрывателе Dynamo выберите папку \\server\share\BIM\Dynamo\Выгрузка квартирографии.</t>
        </is>
      </c>
    </row>
    <row r="4">
      <c r="A4" t="inlineStr"/>
    </row>
    <row r="5">
      <c r="A5" s="2" t="inlineStr">
        <is>
          <t>Каждый раз:</t>
        </is>
      </c>
    </row>
    <row r="6">
      <c r="A6" t="inlineStr">
        <is>
          <t>1. Закройте файлы Квартирография_*.xlsx.</t>
        </is>
      </c>
    </row>
    <row r="7">
      <c r="A7" t="inlineStr">
        <is>
          <t>2. Откройте модель ОВ нужного корпуса (связь АР загружена, модель сохранена).</t>
        </is>
      </c>
    </row>
    <row r="8">
      <c r="A8" t="inlineStr">
        <is>
          <t>3. Управление → Проигрыватель Dynamo → «Выгрузка_квартирографии» → Запуск. «Связь АР» оставьте пустым.</t>
        </is>
      </c>
    </row>
    <row r="9">
      <c r="A9" t="inlineStr">
        <is>
          <t>4. Откройте папку «Квартирография» рядом с моделью ОВ (для совместной работы — рядом с файлом-хранилищем) и файл Квартирография_K__.xlsx. Результат: листы «Типовые этажи» и «Таблица 1» (F9 при необходимости).</t>
        </is>
      </c>
    </row>
    <row r="10">
      <c r="A10" t="inlineStr"/>
    </row>
    <row r="11">
      <c r="A11" s="2" t="inlineStr">
        <is>
          <t>Если ошибка:</t>
        </is>
      </c>
    </row>
    <row r="12">
      <c r="A12" t="inlineStr">
        <is>
          <t>• Появился файл Квартирография_ОШИБКА.xlsx — в нём на листе «Выгрузка» причина и список связей. Загрузите связь АР или впишите часть её имени в поле «Связь АР» (если связей АР несколько).</t>
        </is>
      </c>
    </row>
    <row r="13">
      <c r="A13" t="inlineStr">
        <is>
          <t>• Узел жёлтый с текстом «Закройте файл…» — закройте Excel и запустите снова. «Нет шаблона…» — верните Квартирография_ШАБЛОН.xlsx в папку скрипта. «Модель ОВ не сохранена / в облаке» — сохраните модель на сервере.</t>
        </is>
      </c>
    </row>
    <row r="14">
      <c r="A14" t="inlineStr">
        <is>
          <t>• «ВНИМАНИЕ: нет параметров…» — поправьте имена параметров в блоке НАСТРОЙКИ узла «Выгрузка АР». Имена помещений — на листе «Настройки».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hidden="1" width="13" customWidth="1" min="18" max="18"/>
    <col width="30" customWidth="1" min="19" max="19"/>
    <col width="40" customWidth="1" min="22" max="22"/>
  </cols>
  <sheetData>
    <row r="1">
      <c r="A1" s="3">
        <f>Настройки!B3</f>
        <v/>
      </c>
      <c r="C1">
        <f>IF(LEFT(INDIRECT("'Выгрузка'!A1")&amp;"",6)="ОШИБКА","Ошибка выгрузки — см. лист Выгрузка","Квартир: "&amp;COUNT(Квартиры!$K$2:$K$1501)&amp;"   Этажей: "&amp;COUNT(A3:A82)&amp;"   Групп: "&amp;MAX(B3:B82)&amp;IF(Настройки!B4="да","   (с учётом типа)",""))</f>
        <v/>
      </c>
      <c r="N1" s="4">
        <f>IF(Настройки!E5="","","Выгружено: "&amp;Настройки!E5)</f>
        <v/>
      </c>
    </row>
    <row r="2">
      <c r="A2" s="2" t="inlineStr">
        <is>
          <t>Этаж</t>
        </is>
      </c>
      <c r="B2" s="2" t="inlineStr">
        <is>
          <t>Группа</t>
        </is>
      </c>
      <c r="C2" s="2" t="inlineStr">
        <is>
          <t>Кв. 1</t>
        </is>
      </c>
      <c r="D2" s="2" t="inlineStr">
        <is>
          <t>Кв. 2</t>
        </is>
      </c>
      <c r="E2" s="2" t="inlineStr">
        <is>
          <t>Кв. 3</t>
        </is>
      </c>
      <c r="F2" s="2" t="inlineStr">
        <is>
          <t>Кв. 4</t>
        </is>
      </c>
      <c r="G2" s="2" t="inlineStr">
        <is>
          <t>Кв. 5</t>
        </is>
      </c>
      <c r="H2" s="2" t="inlineStr">
        <is>
          <t>Кв. 6</t>
        </is>
      </c>
      <c r="I2" s="2" t="inlineStr">
        <is>
          <t>Кв. 7</t>
        </is>
      </c>
      <c r="J2" s="2" t="inlineStr">
        <is>
          <t>Кв. 8</t>
        </is>
      </c>
      <c r="K2" s="2" t="inlineStr">
        <is>
          <t>Кв. 9</t>
        </is>
      </c>
      <c r="L2" s="2" t="inlineStr">
        <is>
          <t>Кв. 10</t>
        </is>
      </c>
      <c r="M2" s="2" t="inlineStr">
        <is>
          <t>Кв. 11</t>
        </is>
      </c>
      <c r="N2" s="2" t="inlineStr">
        <is>
          <t>Кв. 12</t>
        </is>
      </c>
      <c r="O2" s="2" t="inlineStr">
        <is>
          <t>Кв. 13</t>
        </is>
      </c>
      <c r="P2" s="2" t="inlineStr">
        <is>
          <t>Кв. 14</t>
        </is>
      </c>
      <c r="Q2" s="2" t="inlineStr">
        <is>
          <t>Кв. 15</t>
        </is>
      </c>
      <c r="R2" s="2" t="inlineStr">
        <is>
          <t>Ключ</t>
        </is>
      </c>
      <c r="S2" s="2" t="inlineStr">
        <is>
          <t>Этажи группы</t>
        </is>
      </c>
      <c r="T2" s="2" t="inlineStr"/>
      <c r="U2" s="2" t="inlineStr">
        <is>
          <t>Группа</t>
        </is>
      </c>
      <c r="V2" s="2" t="inlineStr">
        <is>
          <t>Этажи</t>
        </is>
      </c>
      <c r="W2" s="2" t="inlineStr">
        <is>
          <t>Кол-во</t>
        </is>
      </c>
    </row>
    <row r="3">
      <c r="A3">
        <f>IFERROR(MIN(Квартиры!$B$2:$B$1501)/(COUNT(Квартиры!$B$2:$B$1501)&gt;0),"")</f>
        <v/>
      </c>
      <c r="B3">
        <f>IF(A3="","",IF(COUNTIF(R$2:R2,R3)=0,MAX(B$2:B2)+1,INDEX(B$2:B2,MATCH(R3,R$2:R2,0))))</f>
        <v/>
      </c>
      <c r="C3">
        <f>IF($A3="","",IFERROR(IF(Настройки!$B$4="да",INDEX(Квартиры!$D$2:$D$1501,MATCH($A3*1000+1,Квартиры!$K$2:$K$1501,0))&amp;" / ","")&amp;INDEX(Квартиры!$H$2:$H$1501,MATCH($A3*1000+1,Квартиры!$K$2:$K$1501,0))&amp;" СУ"&amp;IF(INDEX(Квартиры!$I$2:$I$1501,MATCH($A3*1000+1,Квартиры!$K$2:$K$1501,0))&gt;0," +У","")&amp;IF(INDEX(Квартиры!$J$2:$J$1501,MATCH($A3*1000+1,Квартиры!$K$2:$K$1501,0))&gt;0," +Г",""),"-"))</f>
        <v/>
      </c>
      <c r="D3">
        <f>IF($A3="","",IFERROR(IF(Настройки!$B$4="да",INDEX(Квартиры!$D$2:$D$1501,MATCH($A3*1000+2,Квартиры!$K$2:$K$1501,0))&amp;" / ","")&amp;INDEX(Квартиры!$H$2:$H$1501,MATCH($A3*1000+2,Квартиры!$K$2:$K$1501,0))&amp;" СУ"&amp;IF(INDEX(Квартиры!$I$2:$I$1501,MATCH($A3*1000+2,Квартиры!$K$2:$K$1501,0))&gt;0," +У","")&amp;IF(INDEX(Квартиры!$J$2:$J$1501,MATCH($A3*1000+2,Квартиры!$K$2:$K$1501,0))&gt;0," +Г",""),"-"))</f>
        <v/>
      </c>
      <c r="E3">
        <f>IF($A3="","",IFERROR(IF(Настройки!$B$4="да",INDEX(Квартиры!$D$2:$D$1501,MATCH($A3*1000+3,Квартиры!$K$2:$K$1501,0))&amp;" / ","")&amp;INDEX(Квартиры!$H$2:$H$1501,MATCH($A3*1000+3,Квартиры!$K$2:$K$1501,0))&amp;" СУ"&amp;IF(INDEX(Квартиры!$I$2:$I$1501,MATCH($A3*1000+3,Квартиры!$K$2:$K$1501,0))&gt;0," +У","")&amp;IF(INDEX(Квартиры!$J$2:$J$1501,MATCH($A3*1000+3,Квартиры!$K$2:$K$1501,0))&gt;0," +Г",""),"-"))</f>
        <v/>
      </c>
      <c r="F3">
        <f>IF($A3="","",IFERROR(IF(Настройки!$B$4="да",INDEX(Квартиры!$D$2:$D$1501,MATCH($A3*1000+4,Квартиры!$K$2:$K$1501,0))&amp;" / ","")&amp;INDEX(Квартиры!$H$2:$H$1501,MATCH($A3*1000+4,Квартиры!$K$2:$K$1501,0))&amp;" СУ"&amp;IF(INDEX(Квартиры!$I$2:$I$1501,MATCH($A3*1000+4,Квартиры!$K$2:$K$1501,0))&gt;0," +У","")&amp;IF(INDEX(Квартиры!$J$2:$J$1501,MATCH($A3*1000+4,Квартиры!$K$2:$K$1501,0))&gt;0," +Г",""),"-"))</f>
        <v/>
      </c>
      <c r="G3">
        <f>IF($A3="","",IFERROR(IF(Настройки!$B$4="да",INDEX(Квартиры!$D$2:$D$1501,MATCH($A3*1000+5,Квартиры!$K$2:$K$1501,0))&amp;" / ","")&amp;INDEX(Квартиры!$H$2:$H$1501,MATCH($A3*1000+5,Квартиры!$K$2:$K$1501,0))&amp;" СУ"&amp;IF(INDEX(Квартиры!$I$2:$I$1501,MATCH($A3*1000+5,Квартиры!$K$2:$K$1501,0))&gt;0," +У","")&amp;IF(INDEX(Квартиры!$J$2:$J$1501,MATCH($A3*1000+5,Квартиры!$K$2:$K$1501,0))&gt;0," +Г",""),"-"))</f>
        <v/>
      </c>
      <c r="H3">
        <f>IF($A3="","",IFERROR(IF(Настройки!$B$4="да",INDEX(Квартиры!$D$2:$D$1501,MATCH($A3*1000+6,Квартиры!$K$2:$K$1501,0))&amp;" / ","")&amp;INDEX(Квартиры!$H$2:$H$1501,MATCH($A3*1000+6,Квартиры!$K$2:$K$1501,0))&amp;" СУ"&amp;IF(INDEX(Квартиры!$I$2:$I$1501,MATCH($A3*1000+6,Квартиры!$K$2:$K$1501,0))&gt;0," +У","")&amp;IF(INDEX(Квартиры!$J$2:$J$1501,MATCH($A3*1000+6,Квартиры!$K$2:$K$1501,0))&gt;0," +Г",""),"-"))</f>
        <v/>
      </c>
      <c r="I3">
        <f>IF($A3="","",IFERROR(IF(Настройки!$B$4="да",INDEX(Квартиры!$D$2:$D$1501,MATCH($A3*1000+7,Квартиры!$K$2:$K$1501,0))&amp;" / ","")&amp;INDEX(Квартиры!$H$2:$H$1501,MATCH($A3*1000+7,Квартиры!$K$2:$K$1501,0))&amp;" СУ"&amp;IF(INDEX(Квартиры!$I$2:$I$1501,MATCH($A3*1000+7,Квартиры!$K$2:$K$1501,0))&gt;0," +У","")&amp;IF(INDEX(Квартиры!$J$2:$J$1501,MATCH($A3*1000+7,Квартиры!$K$2:$K$1501,0))&gt;0," +Г",""),"-"))</f>
        <v/>
      </c>
      <c r="J3">
        <f>IF($A3="","",IFERROR(IF(Настройки!$B$4="да",INDEX(Квартиры!$D$2:$D$1501,MATCH($A3*1000+8,Квартиры!$K$2:$K$1501,0))&amp;" / ","")&amp;INDEX(Квартиры!$H$2:$H$1501,MATCH($A3*1000+8,Квартиры!$K$2:$K$1501,0))&amp;" СУ"&amp;IF(INDEX(Квартиры!$I$2:$I$1501,MATCH($A3*1000+8,Квартиры!$K$2:$K$1501,0))&gt;0," +У","")&amp;IF(INDEX(Квартиры!$J$2:$J$1501,MATCH($A3*1000+8,Квартиры!$K$2:$K$1501,0))&gt;0," +Г",""),"-"))</f>
        <v/>
      </c>
      <c r="K3">
        <f>IF($A3="","",IFERROR(IF(Настройки!$B$4="да",INDEX(Квартиры!$D$2:$D$1501,MATCH($A3*1000+9,Квартиры!$K$2:$K$1501,0))&amp;" / ","")&amp;INDEX(Квартиры!$H$2:$H$1501,MATCH($A3*1000+9,Квартиры!$K$2:$K$1501,0))&amp;" СУ"&amp;IF(INDEX(Квартиры!$I$2:$I$1501,MATCH($A3*1000+9,Квартиры!$K$2:$K$1501,0))&gt;0," +У","")&amp;IF(INDEX(Квартиры!$J$2:$J$1501,MATCH($A3*1000+9,Квартиры!$K$2:$K$1501,0))&gt;0," +Г",""),"-"))</f>
        <v/>
      </c>
      <c r="L3">
        <f>IF($A3="","",IFERROR(IF(Настройки!$B$4="да",INDEX(Квартиры!$D$2:$D$1501,MATCH($A3*1000+10,Квартиры!$K$2:$K$1501,0))&amp;" / ","")&amp;INDEX(Квартиры!$H$2:$H$1501,MATCH($A3*1000+10,Квартиры!$K$2:$K$1501,0))&amp;" СУ"&amp;IF(INDEX(Квартиры!$I$2:$I$1501,MATCH($A3*1000+10,Квартиры!$K$2:$K$1501,0))&gt;0," +У","")&amp;IF(INDEX(Квартиры!$J$2:$J$1501,MATCH($A3*1000+10,Квартиры!$K$2:$K$1501,0))&gt;0," +Г",""),"-"))</f>
        <v/>
      </c>
      <c r="M3">
        <f>IF($A3="","",IFERROR(IF(Настройки!$B$4="да",INDEX(Квартиры!$D$2:$D$1501,MATCH($A3*1000+11,Квартиры!$K$2:$K$1501,0))&amp;" / ","")&amp;INDEX(Квартиры!$H$2:$H$1501,MATCH($A3*1000+11,Квартиры!$K$2:$K$1501,0))&amp;" СУ"&amp;IF(INDEX(Квартиры!$I$2:$I$1501,MATCH($A3*1000+11,Квартиры!$K$2:$K$1501,0))&gt;0," +У","")&amp;IF(INDEX(Квартиры!$J$2:$J$1501,MATCH($A3*1000+11,Квартиры!$K$2:$K$1501,0))&gt;0," +Г",""),"-"))</f>
        <v/>
      </c>
      <c r="N3">
        <f>IF($A3="","",IFERROR(IF(Настройки!$B$4="да",INDEX(Квартиры!$D$2:$D$1501,MATCH($A3*1000+12,Квартиры!$K$2:$K$1501,0))&amp;" / ","")&amp;INDEX(Квартиры!$H$2:$H$1501,MATCH($A3*1000+12,Квартиры!$K$2:$K$1501,0))&amp;" СУ"&amp;IF(INDEX(Квартиры!$I$2:$I$1501,MATCH($A3*1000+12,Квартиры!$K$2:$K$1501,0))&gt;0," +У","")&amp;IF(INDEX(Квартиры!$J$2:$J$1501,MATCH($A3*1000+12,Квартиры!$K$2:$K$1501,0))&gt;0," +Г",""),"-"))</f>
        <v/>
      </c>
      <c r="O3">
        <f>IF($A3="","",IFERROR(IF(Настройки!$B$4="да",INDEX(Квартиры!$D$2:$D$1501,MATCH($A3*1000+13,Квартиры!$K$2:$K$1501,0))&amp;" / ","")&amp;INDEX(Квартиры!$H$2:$H$1501,MATCH($A3*1000+13,Квартиры!$K$2:$K$1501,0))&amp;" СУ"&amp;IF(INDEX(Квартиры!$I$2:$I$1501,MATCH($A3*1000+13,Квартиры!$K$2:$K$1501,0))&gt;0," +У","")&amp;IF(INDEX(Квартиры!$J$2:$J$1501,MATCH($A3*1000+13,Квартиры!$K$2:$K$1501,0))&gt;0," +Г",""),"-"))</f>
        <v/>
      </c>
      <c r="P3">
        <f>IF($A3="","",IFERROR(IF(Настройки!$B$4="да",INDEX(Квартиры!$D$2:$D$1501,MATCH($A3*1000+14,Квартиры!$K$2:$K$1501,0))&amp;" / ","")&amp;INDEX(Квартиры!$H$2:$H$1501,MATCH($A3*1000+14,Квартиры!$K$2:$K$1501,0))&amp;" СУ"&amp;IF(INDEX(Квартиры!$I$2:$I$1501,MATCH($A3*1000+14,Квартиры!$K$2:$K$1501,0))&gt;0," +У","")&amp;IF(INDEX(Квартиры!$J$2:$J$1501,MATCH($A3*1000+14,Квартиры!$K$2:$K$1501,0))&gt;0," +Г",""),"-"))</f>
        <v/>
      </c>
      <c r="Q3">
        <f>IF($A3="","",IFERROR(IF(Настройки!$B$4="да",INDEX(Квартиры!$D$2:$D$1501,MATCH($A3*1000+15,Квартиры!$K$2:$K$1501,0))&amp;" / ","")&amp;INDEX(Квартиры!$H$2:$H$1501,MATCH($A3*1000+15,Квартиры!$K$2:$K$1501,0))&amp;" СУ"&amp;IF(INDEX(Квартиры!$I$2:$I$1501,MATCH($A3*1000+15,Квартиры!$K$2:$K$1501,0))&gt;0," +У","")&amp;IF(INDEX(Квартиры!$J$2:$J$1501,MATCH($A3*1000+15,Квартиры!$K$2:$K$1501,0))&gt;0," +Г",""),"-"))</f>
        <v/>
      </c>
      <c r="R3">
        <f>IF(A3="","",C3&amp;"|"&amp;D3&amp;"|"&amp;E3&amp;"|"&amp;F3&amp;"|"&amp;G3&amp;"|"&amp;H3&amp;"|"&amp;I3&amp;"|"&amp;J3&amp;"|"&amp;K3&amp;"|"&amp;L3&amp;"|"&amp;M3&amp;"|"&amp;N3&amp;"|"&amp;O3&amp;"|"&amp;P3&amp;"|"&amp;Q3)</f>
        <v/>
      </c>
      <c r="S3">
        <f>IF(A3="","",IFERROR(LOOKUP(2,1/(B$2:B2=B3),S$2:S2)&amp;", ","")&amp;A3)</f>
        <v/>
      </c>
      <c r="U3">
        <f>IF(1&gt;MAX(B$3:B$82),"",1)</f>
        <v/>
      </c>
      <c r="V3">
        <f>IF(U3="","",LOOKUP(2,1/(B$3:B$82=U3),S$3:S$82))</f>
        <v/>
      </c>
      <c r="W3">
        <f>IF(U3="","",COUNTIF(B$3:B$82,U3))</f>
        <v/>
      </c>
    </row>
    <row r="4">
      <c r="A4">
        <f>IFERROR(IF(A3="","",SMALL(Квартиры!$B$2:$B$1501,COUNTIF(Квартиры!$B$2:$B$1501,"&lt;="&amp;A3)+1)),"")</f>
        <v/>
      </c>
      <c r="B4">
        <f>IF(A4="","",IF(COUNTIF(R$2:R3,R4)=0,MAX(B$2:B3)+1,INDEX(B$2:B3,MATCH(R4,R$2:R3,0))))</f>
        <v/>
      </c>
      <c r="C4">
        <f>IF($A4="","",IFERROR(IF(Настройки!$B$4="да",INDEX(Квартиры!$D$2:$D$1501,MATCH($A4*1000+1,Квартиры!$K$2:$K$1501,0))&amp;" / ","")&amp;INDEX(Квартиры!$H$2:$H$1501,MATCH($A4*1000+1,Квартиры!$K$2:$K$1501,0))&amp;" СУ"&amp;IF(INDEX(Квартиры!$I$2:$I$1501,MATCH($A4*1000+1,Квартиры!$K$2:$K$1501,0))&gt;0," +У","")&amp;IF(INDEX(Квартиры!$J$2:$J$1501,MATCH($A4*1000+1,Квартиры!$K$2:$K$1501,0))&gt;0," +Г",""),"-"))</f>
        <v/>
      </c>
      <c r="D4">
        <f>IF($A4="","",IFERROR(IF(Настройки!$B$4="да",INDEX(Квартиры!$D$2:$D$1501,MATCH($A4*1000+2,Квартиры!$K$2:$K$1501,0))&amp;" / ","")&amp;INDEX(Квартиры!$H$2:$H$1501,MATCH($A4*1000+2,Квартиры!$K$2:$K$1501,0))&amp;" СУ"&amp;IF(INDEX(Квартиры!$I$2:$I$1501,MATCH($A4*1000+2,Квартиры!$K$2:$K$1501,0))&gt;0," +У","")&amp;IF(INDEX(Квартиры!$J$2:$J$1501,MATCH($A4*1000+2,Квартиры!$K$2:$K$1501,0))&gt;0," +Г",""),"-"))</f>
        <v/>
      </c>
      <c r="E4">
        <f>IF($A4="","",IFERROR(IF(Настройки!$B$4="да",INDEX(Квартиры!$D$2:$D$1501,MATCH($A4*1000+3,Квартиры!$K$2:$K$1501,0))&amp;" / ","")&amp;INDEX(Квартиры!$H$2:$H$1501,MATCH($A4*1000+3,Квартиры!$K$2:$K$1501,0))&amp;" СУ"&amp;IF(INDEX(Квартиры!$I$2:$I$1501,MATCH($A4*1000+3,Квартиры!$K$2:$K$1501,0))&gt;0," +У","")&amp;IF(INDEX(Квартиры!$J$2:$J$1501,MATCH($A4*1000+3,Квартиры!$K$2:$K$1501,0))&gt;0," +Г",""),"-"))</f>
        <v/>
      </c>
      <c r="F4">
        <f>IF($A4="","",IFERROR(IF(Настройки!$B$4="да",INDEX(Квартиры!$D$2:$D$1501,MATCH($A4*1000+4,Квартиры!$K$2:$K$1501,0))&amp;" / ","")&amp;INDEX(Квартиры!$H$2:$H$1501,MATCH($A4*1000+4,Квартиры!$K$2:$K$1501,0))&amp;" СУ"&amp;IF(INDEX(Квартиры!$I$2:$I$1501,MATCH($A4*1000+4,Квартиры!$K$2:$K$1501,0))&gt;0," +У","")&amp;IF(INDEX(Квартиры!$J$2:$J$1501,MATCH($A4*1000+4,Квартиры!$K$2:$K$1501,0))&gt;0," +Г",""),"-"))</f>
        <v/>
      </c>
      <c r="G4">
        <f>IF($A4="","",IFERROR(IF(Настройки!$B$4="да",INDEX(Квартиры!$D$2:$D$1501,MATCH($A4*1000+5,Квартиры!$K$2:$K$1501,0))&amp;" / ","")&amp;INDEX(Квартиры!$H$2:$H$1501,MATCH($A4*1000+5,Квартиры!$K$2:$K$1501,0))&amp;" СУ"&amp;IF(INDEX(Квартиры!$I$2:$I$1501,MATCH($A4*1000+5,Квартиры!$K$2:$K$1501,0))&gt;0," +У","")&amp;IF(INDEX(Квартиры!$J$2:$J$1501,MATCH($A4*1000+5,Квартиры!$K$2:$K$1501,0))&gt;0," +Г",""),"-"))</f>
        <v/>
      </c>
      <c r="H4">
        <f>IF($A4="","",IFERROR(IF(Настройки!$B$4="да",INDEX(Квартиры!$D$2:$D$1501,MATCH($A4*1000+6,Квартиры!$K$2:$K$1501,0))&amp;" / ","")&amp;INDEX(Квартиры!$H$2:$H$1501,MATCH($A4*1000+6,Квартиры!$K$2:$K$1501,0))&amp;" СУ"&amp;IF(INDEX(Квартиры!$I$2:$I$1501,MATCH($A4*1000+6,Квартиры!$K$2:$K$1501,0))&gt;0," +У","")&amp;IF(INDEX(Квартиры!$J$2:$J$1501,MATCH($A4*1000+6,Квартиры!$K$2:$K$1501,0))&gt;0," +Г",""),"-"))</f>
        <v/>
      </c>
      <c r="I4">
        <f>IF($A4="","",IFERROR(IF(Настройки!$B$4="да",INDEX(Квартиры!$D$2:$D$1501,MATCH($A4*1000+7,Квартиры!$K$2:$K$1501,0))&amp;" / ","")&amp;INDEX(Квартиры!$H$2:$H$1501,MATCH($A4*1000+7,Квартиры!$K$2:$K$1501,0))&amp;" СУ"&amp;IF(INDEX(Квартиры!$I$2:$I$1501,MATCH($A4*1000+7,Квартиры!$K$2:$K$1501,0))&gt;0," +У","")&amp;IF(INDEX(Квартиры!$J$2:$J$1501,MATCH($A4*1000+7,Квартиры!$K$2:$K$1501,0))&gt;0," +Г",""),"-"))</f>
        <v/>
      </c>
      <c r="J4">
        <f>IF($A4="","",IFERROR(IF(Настройки!$B$4="да",INDEX(Квартиры!$D$2:$D$1501,MATCH($A4*1000+8,Квартиры!$K$2:$K$1501,0))&amp;" / ","")&amp;INDEX(Квартиры!$H$2:$H$1501,MATCH($A4*1000+8,Квартиры!$K$2:$K$1501,0))&amp;" СУ"&amp;IF(INDEX(Квартиры!$I$2:$I$1501,MATCH($A4*1000+8,Квартиры!$K$2:$K$1501,0))&gt;0," +У","")&amp;IF(INDEX(Квартиры!$J$2:$J$1501,MATCH($A4*1000+8,Квартиры!$K$2:$K$1501,0))&gt;0," +Г",""),"-"))</f>
        <v/>
      </c>
      <c r="K4">
        <f>IF($A4="","",IFERROR(IF(Настройки!$B$4="да",INDEX(Квартиры!$D$2:$D$1501,MATCH($A4*1000+9,Квартиры!$K$2:$K$1501,0))&amp;" / ","")&amp;INDEX(Квартиры!$H$2:$H$1501,MATCH($A4*1000+9,Квартиры!$K$2:$K$1501,0))&amp;" СУ"&amp;IF(INDEX(Квартиры!$I$2:$I$1501,MATCH($A4*1000+9,Квартиры!$K$2:$K$1501,0))&gt;0," +У","")&amp;IF(INDEX(Квартиры!$J$2:$J$1501,MATCH($A4*1000+9,Квартиры!$K$2:$K$1501,0))&gt;0," +Г",""),"-"))</f>
        <v/>
      </c>
      <c r="L4">
        <f>IF($A4="","",IFERROR(IF(Настройки!$B$4="да",INDEX(Квартиры!$D$2:$D$1501,MATCH($A4*1000+10,Квартиры!$K$2:$K$1501,0))&amp;" / ","")&amp;INDEX(Квартиры!$H$2:$H$1501,MATCH($A4*1000+10,Квартиры!$K$2:$K$1501,0))&amp;" СУ"&amp;IF(INDEX(Квартиры!$I$2:$I$1501,MATCH($A4*1000+10,Квартиры!$K$2:$K$1501,0))&gt;0," +У","")&amp;IF(INDEX(Квартиры!$J$2:$J$1501,MATCH($A4*1000+10,Квартиры!$K$2:$K$1501,0))&gt;0," +Г",""),"-"))</f>
        <v/>
      </c>
      <c r="M4">
        <f>IF($A4="","",IFERROR(IF(Настройки!$B$4="да",INDEX(Квартиры!$D$2:$D$1501,MATCH($A4*1000+11,Квартиры!$K$2:$K$1501,0))&amp;" / ","")&amp;INDEX(Квартиры!$H$2:$H$1501,MATCH($A4*1000+11,Квартиры!$K$2:$K$1501,0))&amp;" СУ"&amp;IF(INDEX(Квартиры!$I$2:$I$1501,MATCH($A4*1000+11,Квартиры!$K$2:$K$1501,0))&gt;0," +У","")&amp;IF(INDEX(Квартиры!$J$2:$J$1501,MATCH($A4*1000+11,Квартиры!$K$2:$K$1501,0))&gt;0," +Г",""),"-"))</f>
        <v/>
      </c>
      <c r="N4">
        <f>IF($A4="","",IFERROR(IF(Настройки!$B$4="да",INDEX(Квартиры!$D$2:$D$1501,MATCH($A4*1000+12,Квартиры!$K$2:$K$1501,0))&amp;" / ","")&amp;INDEX(Квартиры!$H$2:$H$1501,MATCH($A4*1000+12,Квартиры!$K$2:$K$1501,0))&amp;" СУ"&amp;IF(INDEX(Квартиры!$I$2:$I$1501,MATCH($A4*1000+12,Квартиры!$K$2:$K$1501,0))&gt;0," +У","")&amp;IF(INDEX(Квартиры!$J$2:$J$1501,MATCH($A4*1000+12,Квартиры!$K$2:$K$1501,0))&gt;0," +Г",""),"-"))</f>
        <v/>
      </c>
      <c r="O4">
        <f>IF($A4="","",IFERROR(IF(Настройки!$B$4="да",INDEX(Квартиры!$D$2:$D$1501,MATCH($A4*1000+13,Квартиры!$K$2:$K$1501,0))&amp;" / ","")&amp;INDEX(Квартиры!$H$2:$H$1501,MATCH($A4*1000+13,Квартиры!$K$2:$K$1501,0))&amp;" СУ"&amp;IF(INDEX(Квартиры!$I$2:$I$1501,MATCH($A4*1000+13,Квартиры!$K$2:$K$1501,0))&gt;0," +У","")&amp;IF(INDEX(Квартиры!$J$2:$J$1501,MATCH($A4*1000+13,Квартиры!$K$2:$K$1501,0))&gt;0," +Г",""),"-"))</f>
        <v/>
      </c>
      <c r="P4">
        <f>IF($A4="","",IFERROR(IF(Настройки!$B$4="да",INDEX(Квартиры!$D$2:$D$1501,MATCH($A4*1000+14,Квартиры!$K$2:$K$1501,0))&amp;" / ","")&amp;INDEX(Квартиры!$H$2:$H$1501,MATCH($A4*1000+14,Квартиры!$K$2:$K$1501,0))&amp;" СУ"&amp;IF(INDEX(Квартиры!$I$2:$I$1501,MATCH($A4*1000+14,Квартиры!$K$2:$K$1501,0))&gt;0," +У","")&amp;IF(INDEX(Квартиры!$J$2:$J$1501,MATCH($A4*1000+14,Квартиры!$K$2:$K$1501,0))&gt;0," +Г",""),"-"))</f>
        <v/>
      </c>
      <c r="Q4">
        <f>IF($A4="","",IFERROR(IF(Настройки!$B$4="да",INDEX(Квартиры!$D$2:$D$1501,MATCH($A4*1000+15,Квартиры!$K$2:$K$1501,0))&amp;" / ","")&amp;INDEX(Квартиры!$H$2:$H$1501,MATCH($A4*1000+15,Квартиры!$K$2:$K$1501,0))&amp;" СУ"&amp;IF(INDEX(Квартиры!$I$2:$I$1501,MATCH($A4*1000+15,Квартиры!$K$2:$K$1501,0))&gt;0," +У","")&amp;IF(INDEX(Квартиры!$J$2:$J$1501,MATCH($A4*1000+15,Квартиры!$K$2:$K$1501,0))&gt;0," +Г",""),"-"))</f>
        <v/>
      </c>
      <c r="R4">
        <f>IF(A4="","",C4&amp;"|"&amp;D4&amp;"|"&amp;E4&amp;"|"&amp;F4&amp;"|"&amp;G4&amp;"|"&amp;H4&amp;"|"&amp;I4&amp;"|"&amp;J4&amp;"|"&amp;K4&amp;"|"&amp;L4&amp;"|"&amp;M4&amp;"|"&amp;N4&amp;"|"&amp;O4&amp;"|"&amp;P4&amp;"|"&amp;Q4)</f>
        <v/>
      </c>
      <c r="S4">
        <f>IF(A4="","",IFERROR(LOOKUP(2,1/(B$2:B3=B4),S$2:S3)&amp;", ","")&amp;A4)</f>
        <v/>
      </c>
      <c r="U4">
        <f>IF(2&gt;MAX(B$3:B$82),"",2)</f>
        <v/>
      </c>
      <c r="V4">
        <f>IF(U4="","",LOOKUP(2,1/(B$3:B$82=U4),S$3:S$82))</f>
        <v/>
      </c>
      <c r="W4">
        <f>IF(U4="","",COUNTIF(B$3:B$82,U4))</f>
        <v/>
      </c>
    </row>
    <row r="5">
      <c r="A5">
        <f>IFERROR(IF(A4="","",SMALL(Квартиры!$B$2:$B$1501,COUNTIF(Квартиры!$B$2:$B$1501,"&lt;="&amp;A4)+1)),"")</f>
        <v/>
      </c>
      <c r="B5">
        <f>IF(A5="","",IF(COUNTIF(R$2:R4,R5)=0,MAX(B$2:B4)+1,INDEX(B$2:B4,MATCH(R5,R$2:R4,0))))</f>
        <v/>
      </c>
      <c r="C5">
        <f>IF($A5="","",IFERROR(IF(Настройки!$B$4="да",INDEX(Квартиры!$D$2:$D$1501,MATCH($A5*1000+1,Квартиры!$K$2:$K$1501,0))&amp;" / ","")&amp;INDEX(Квартиры!$H$2:$H$1501,MATCH($A5*1000+1,Квартиры!$K$2:$K$1501,0))&amp;" СУ"&amp;IF(INDEX(Квартиры!$I$2:$I$1501,MATCH($A5*1000+1,Квартиры!$K$2:$K$1501,0))&gt;0," +У","")&amp;IF(INDEX(Квартиры!$J$2:$J$1501,MATCH($A5*1000+1,Квартиры!$K$2:$K$1501,0))&gt;0," +Г",""),"-"))</f>
        <v/>
      </c>
      <c r="D5">
        <f>IF($A5="","",IFERROR(IF(Настройки!$B$4="да",INDEX(Квартиры!$D$2:$D$1501,MATCH($A5*1000+2,Квартиры!$K$2:$K$1501,0))&amp;" / ","")&amp;INDEX(Квартиры!$H$2:$H$1501,MATCH($A5*1000+2,Квартиры!$K$2:$K$1501,0))&amp;" СУ"&amp;IF(INDEX(Квартиры!$I$2:$I$1501,MATCH($A5*1000+2,Квартиры!$K$2:$K$1501,0))&gt;0," +У","")&amp;IF(INDEX(Квартиры!$J$2:$J$1501,MATCH($A5*1000+2,Квартиры!$K$2:$K$1501,0))&gt;0," +Г",""),"-"))</f>
        <v/>
      </c>
      <c r="E5">
        <f>IF($A5="","",IFERROR(IF(Настройки!$B$4="да",INDEX(Квартиры!$D$2:$D$1501,MATCH($A5*1000+3,Квартиры!$K$2:$K$1501,0))&amp;" / ","")&amp;INDEX(Квартиры!$H$2:$H$1501,MATCH($A5*1000+3,Квартиры!$K$2:$K$1501,0))&amp;" СУ"&amp;IF(INDEX(Квартиры!$I$2:$I$1501,MATCH($A5*1000+3,Квартиры!$K$2:$K$1501,0))&gt;0," +У","")&amp;IF(INDEX(Квартиры!$J$2:$J$1501,MATCH($A5*1000+3,Квартиры!$K$2:$K$1501,0))&gt;0," +Г",""),"-"))</f>
        <v/>
      </c>
      <c r="F5">
        <f>IF($A5="","",IFERROR(IF(Настройки!$B$4="да",INDEX(Квартиры!$D$2:$D$1501,MATCH($A5*1000+4,Квартиры!$K$2:$K$1501,0))&amp;" / ","")&amp;INDEX(Квартиры!$H$2:$H$1501,MATCH($A5*1000+4,Квартиры!$K$2:$K$1501,0))&amp;" СУ"&amp;IF(INDEX(Квартиры!$I$2:$I$1501,MATCH($A5*1000+4,Квартиры!$K$2:$K$1501,0))&gt;0," +У","")&amp;IF(INDEX(Квартиры!$J$2:$J$1501,MATCH($A5*1000+4,Квартиры!$K$2:$K$1501,0))&gt;0," +Г",""),"-"))</f>
        <v/>
      </c>
      <c r="G5">
        <f>IF($A5="","",IFERROR(IF(Настройки!$B$4="да",INDEX(Квартиры!$D$2:$D$1501,MATCH($A5*1000+5,Квартиры!$K$2:$K$1501,0))&amp;" / ","")&amp;INDEX(Квартиры!$H$2:$H$1501,MATCH($A5*1000+5,Квартиры!$K$2:$K$1501,0))&amp;" СУ"&amp;IF(INDEX(Квартиры!$I$2:$I$1501,MATCH($A5*1000+5,Квартиры!$K$2:$K$1501,0))&gt;0," +У","")&amp;IF(INDEX(Квартиры!$J$2:$J$1501,MATCH($A5*1000+5,Квартиры!$K$2:$K$1501,0))&gt;0," +Г",""),"-"))</f>
        <v/>
      </c>
      <c r="H5">
        <f>IF($A5="","",IFERROR(IF(Настройки!$B$4="да",INDEX(Квартиры!$D$2:$D$1501,MATCH($A5*1000+6,Квартиры!$K$2:$K$1501,0))&amp;" / ","")&amp;INDEX(Квартиры!$H$2:$H$1501,MATCH($A5*1000+6,Квартиры!$K$2:$K$1501,0))&amp;" СУ"&amp;IF(INDEX(Квартиры!$I$2:$I$1501,MATCH($A5*1000+6,Квартиры!$K$2:$K$1501,0))&gt;0," +У","")&amp;IF(INDEX(Квартиры!$J$2:$J$1501,MATCH($A5*1000+6,Квартиры!$K$2:$K$1501,0))&gt;0," +Г",""),"-"))</f>
        <v/>
      </c>
      <c r="I5">
        <f>IF($A5="","",IFERROR(IF(Настройки!$B$4="да",INDEX(Квартиры!$D$2:$D$1501,MATCH($A5*1000+7,Квартиры!$K$2:$K$1501,0))&amp;" / ","")&amp;INDEX(Квартиры!$H$2:$H$1501,MATCH($A5*1000+7,Квартиры!$K$2:$K$1501,0))&amp;" СУ"&amp;IF(INDEX(Квартиры!$I$2:$I$1501,MATCH($A5*1000+7,Квартиры!$K$2:$K$1501,0))&gt;0," +У","")&amp;IF(INDEX(Квартиры!$J$2:$J$1501,MATCH($A5*1000+7,Квартиры!$K$2:$K$1501,0))&gt;0," +Г",""),"-"))</f>
        <v/>
      </c>
      <c r="J5">
        <f>IF($A5="","",IFERROR(IF(Настройки!$B$4="да",INDEX(Квартиры!$D$2:$D$1501,MATCH($A5*1000+8,Квартиры!$K$2:$K$1501,0))&amp;" / ","")&amp;INDEX(Квартиры!$H$2:$H$1501,MATCH($A5*1000+8,Квартиры!$K$2:$K$1501,0))&amp;" СУ"&amp;IF(INDEX(Квартиры!$I$2:$I$1501,MATCH($A5*1000+8,Квартиры!$K$2:$K$1501,0))&gt;0," +У","")&amp;IF(INDEX(Квартиры!$J$2:$J$1501,MATCH($A5*1000+8,Квартиры!$K$2:$K$1501,0))&gt;0," +Г",""),"-"))</f>
        <v/>
      </c>
      <c r="K5">
        <f>IF($A5="","",IFERROR(IF(Настройки!$B$4="да",INDEX(Квартиры!$D$2:$D$1501,MATCH($A5*1000+9,Квартиры!$K$2:$K$1501,0))&amp;" / ","")&amp;INDEX(Квартиры!$H$2:$H$1501,MATCH($A5*1000+9,Квартиры!$K$2:$K$1501,0))&amp;" СУ"&amp;IF(INDEX(Квартиры!$I$2:$I$1501,MATCH($A5*1000+9,Квартиры!$K$2:$K$1501,0))&gt;0," +У","")&amp;IF(INDEX(Квартиры!$J$2:$J$1501,MATCH($A5*1000+9,Квартиры!$K$2:$K$1501,0))&gt;0," +Г",""),"-"))</f>
        <v/>
      </c>
      <c r="L5">
        <f>IF($A5="","",IFERROR(IF(Настройки!$B$4="да",INDEX(Квартиры!$D$2:$D$1501,MATCH($A5*1000+10,Квартиры!$K$2:$K$1501,0))&amp;" / ","")&amp;INDEX(Квартиры!$H$2:$H$1501,MATCH($A5*1000+10,Квартиры!$K$2:$K$1501,0))&amp;" СУ"&amp;IF(INDEX(Квартиры!$I$2:$I$1501,MATCH($A5*1000+10,Квартиры!$K$2:$K$1501,0))&gt;0," +У","")&amp;IF(INDEX(Квартиры!$J$2:$J$1501,MATCH($A5*1000+10,Квартиры!$K$2:$K$1501,0))&gt;0," +Г",""),"-"))</f>
        <v/>
      </c>
      <c r="M5">
        <f>IF($A5="","",IFERROR(IF(Настройки!$B$4="да",INDEX(Квартиры!$D$2:$D$1501,MATCH($A5*1000+11,Квартиры!$K$2:$K$1501,0))&amp;" / ","")&amp;INDEX(Квартиры!$H$2:$H$1501,MATCH($A5*1000+11,Квартиры!$K$2:$K$1501,0))&amp;" СУ"&amp;IF(INDEX(Квартиры!$I$2:$I$1501,MATCH($A5*1000+11,Квартиры!$K$2:$K$1501,0))&gt;0," +У","")&amp;IF(INDEX(Квартиры!$J$2:$J$1501,MATCH($A5*1000+11,Квартиры!$K$2:$K$1501,0))&gt;0," +Г",""),"-"))</f>
        <v/>
      </c>
      <c r="N5">
        <f>IF($A5="","",IFERROR(IF(Настройки!$B$4="да",INDEX(Квартиры!$D$2:$D$1501,MATCH($A5*1000+12,Квартиры!$K$2:$K$1501,0))&amp;" / ","")&amp;INDEX(Квартиры!$H$2:$H$1501,MATCH($A5*1000+12,Квартиры!$K$2:$K$1501,0))&amp;" СУ"&amp;IF(INDEX(Квартиры!$I$2:$I$1501,MATCH($A5*1000+12,Квартиры!$K$2:$K$1501,0))&gt;0," +У","")&amp;IF(INDEX(Квартиры!$J$2:$J$1501,MATCH($A5*1000+12,Квартиры!$K$2:$K$1501,0))&gt;0," +Г",""),"-"))</f>
        <v/>
      </c>
      <c r="O5">
        <f>IF($A5="","",IFERROR(IF(Настройки!$B$4="да",INDEX(Квартиры!$D$2:$D$1501,MATCH($A5*1000+13,Квартиры!$K$2:$K$1501,0))&amp;" / ","")&amp;INDEX(Квартиры!$H$2:$H$1501,MATCH($A5*1000+13,Квартиры!$K$2:$K$1501,0))&amp;" СУ"&amp;IF(INDEX(Квартиры!$I$2:$I$1501,MATCH($A5*1000+13,Квартиры!$K$2:$K$1501,0))&gt;0," +У","")&amp;IF(INDEX(Квартиры!$J$2:$J$1501,MATCH($A5*1000+13,Квартиры!$K$2:$K$1501,0))&gt;0," +Г",""),"-"))</f>
        <v/>
      </c>
      <c r="P5">
        <f>IF($A5="","",IFERROR(IF(Настройки!$B$4="да",INDEX(Квартиры!$D$2:$D$1501,MATCH($A5*1000+14,Квартиры!$K$2:$K$1501,0))&amp;" / ","")&amp;INDEX(Квартиры!$H$2:$H$1501,MATCH($A5*1000+14,Квартиры!$K$2:$K$1501,0))&amp;" СУ"&amp;IF(INDEX(Квартиры!$I$2:$I$1501,MATCH($A5*1000+14,Квартиры!$K$2:$K$1501,0))&gt;0," +У","")&amp;IF(INDEX(Квартиры!$J$2:$J$1501,MATCH($A5*1000+14,Квартиры!$K$2:$K$1501,0))&gt;0," +Г",""),"-"))</f>
        <v/>
      </c>
      <c r="Q5">
        <f>IF($A5="","",IFERROR(IF(Настройки!$B$4="да",INDEX(Квартиры!$D$2:$D$1501,MATCH($A5*1000+15,Квартиры!$K$2:$K$1501,0))&amp;" / ","")&amp;INDEX(Квартиры!$H$2:$H$1501,MATCH($A5*1000+15,Квартиры!$K$2:$K$1501,0))&amp;" СУ"&amp;IF(INDEX(Квартиры!$I$2:$I$1501,MATCH($A5*1000+15,Квартиры!$K$2:$K$1501,0))&gt;0," +У","")&amp;IF(INDEX(Квартиры!$J$2:$J$1501,MATCH($A5*1000+15,Квартиры!$K$2:$K$1501,0))&gt;0," +Г",""),"-"))</f>
        <v/>
      </c>
      <c r="R5">
        <f>IF(A5="","",C5&amp;"|"&amp;D5&amp;"|"&amp;E5&amp;"|"&amp;F5&amp;"|"&amp;G5&amp;"|"&amp;H5&amp;"|"&amp;I5&amp;"|"&amp;J5&amp;"|"&amp;K5&amp;"|"&amp;L5&amp;"|"&amp;M5&amp;"|"&amp;N5&amp;"|"&amp;O5&amp;"|"&amp;P5&amp;"|"&amp;Q5)</f>
        <v/>
      </c>
      <c r="S5">
        <f>IF(A5="","",IFERROR(LOOKUP(2,1/(B$2:B4=B5),S$2:S4)&amp;", ","")&amp;A5)</f>
        <v/>
      </c>
      <c r="U5">
        <f>IF(3&gt;MAX(B$3:B$82),"",3)</f>
        <v/>
      </c>
      <c r="V5">
        <f>IF(U5="","",LOOKUP(2,1/(B$3:B$82=U5),S$3:S$82))</f>
        <v/>
      </c>
      <c r="W5">
        <f>IF(U5="","",COUNTIF(B$3:B$82,U5))</f>
        <v/>
      </c>
    </row>
    <row r="6">
      <c r="A6">
        <f>IFERROR(IF(A5="","",SMALL(Квартиры!$B$2:$B$1501,COUNTIF(Квартиры!$B$2:$B$1501,"&lt;="&amp;A5)+1)),"")</f>
        <v/>
      </c>
      <c r="B6">
        <f>IF(A6="","",IF(COUNTIF(R$2:R5,R6)=0,MAX(B$2:B5)+1,INDEX(B$2:B5,MATCH(R6,R$2:R5,0))))</f>
        <v/>
      </c>
      <c r="C6">
        <f>IF($A6="","",IFERROR(IF(Настройки!$B$4="да",INDEX(Квартиры!$D$2:$D$1501,MATCH($A6*1000+1,Квартиры!$K$2:$K$1501,0))&amp;" / ","")&amp;INDEX(Квартиры!$H$2:$H$1501,MATCH($A6*1000+1,Квартиры!$K$2:$K$1501,0))&amp;" СУ"&amp;IF(INDEX(Квартиры!$I$2:$I$1501,MATCH($A6*1000+1,Квартиры!$K$2:$K$1501,0))&gt;0," +У","")&amp;IF(INDEX(Квартиры!$J$2:$J$1501,MATCH($A6*1000+1,Квартиры!$K$2:$K$1501,0))&gt;0," +Г",""),"-"))</f>
        <v/>
      </c>
      <c r="D6">
        <f>IF($A6="","",IFERROR(IF(Настройки!$B$4="да",INDEX(Квартиры!$D$2:$D$1501,MATCH($A6*1000+2,Квартиры!$K$2:$K$1501,0))&amp;" / ","")&amp;INDEX(Квартиры!$H$2:$H$1501,MATCH($A6*1000+2,Квартиры!$K$2:$K$1501,0))&amp;" СУ"&amp;IF(INDEX(Квартиры!$I$2:$I$1501,MATCH($A6*1000+2,Квартиры!$K$2:$K$1501,0))&gt;0," +У","")&amp;IF(INDEX(Квартиры!$J$2:$J$1501,MATCH($A6*1000+2,Квартиры!$K$2:$K$1501,0))&gt;0," +Г",""),"-"))</f>
        <v/>
      </c>
      <c r="E6">
        <f>IF($A6="","",IFERROR(IF(Настройки!$B$4="да",INDEX(Квартиры!$D$2:$D$1501,MATCH($A6*1000+3,Квартиры!$K$2:$K$1501,0))&amp;" / ","")&amp;INDEX(Квартиры!$H$2:$H$1501,MATCH($A6*1000+3,Квартиры!$K$2:$K$1501,0))&amp;" СУ"&amp;IF(INDEX(Квартиры!$I$2:$I$1501,MATCH($A6*1000+3,Квартиры!$K$2:$K$1501,0))&gt;0," +У","")&amp;IF(INDEX(Квартиры!$J$2:$J$1501,MATCH($A6*1000+3,Квартиры!$K$2:$K$1501,0))&gt;0," +Г",""),"-"))</f>
        <v/>
      </c>
      <c r="F6">
        <f>IF($A6="","",IFERROR(IF(Настройки!$B$4="да",INDEX(Квартиры!$D$2:$D$1501,MATCH($A6*1000+4,Квартиры!$K$2:$K$1501,0))&amp;" / ","")&amp;INDEX(Квартиры!$H$2:$H$1501,MATCH($A6*1000+4,Квартиры!$K$2:$K$1501,0))&amp;" СУ"&amp;IF(INDEX(Квартиры!$I$2:$I$1501,MATCH($A6*1000+4,Квартиры!$K$2:$K$1501,0))&gt;0," +У","")&amp;IF(INDEX(Квартиры!$J$2:$J$1501,MATCH($A6*1000+4,Квартиры!$K$2:$K$1501,0))&gt;0," +Г",""),"-"))</f>
        <v/>
      </c>
      <c r="G6">
        <f>IF($A6="","",IFERROR(IF(Настройки!$B$4="да",INDEX(Квартиры!$D$2:$D$1501,MATCH($A6*1000+5,Квартиры!$K$2:$K$1501,0))&amp;" / ","")&amp;INDEX(Квартиры!$H$2:$H$1501,MATCH($A6*1000+5,Квартиры!$K$2:$K$1501,0))&amp;" СУ"&amp;IF(INDEX(Квартиры!$I$2:$I$1501,MATCH($A6*1000+5,Квартиры!$K$2:$K$1501,0))&gt;0," +У","")&amp;IF(INDEX(Квартиры!$J$2:$J$1501,MATCH($A6*1000+5,Квартиры!$K$2:$K$1501,0))&gt;0," +Г",""),"-"))</f>
        <v/>
      </c>
      <c r="H6">
        <f>IF($A6="","",IFERROR(IF(Настройки!$B$4="да",INDEX(Квартиры!$D$2:$D$1501,MATCH($A6*1000+6,Квартиры!$K$2:$K$1501,0))&amp;" / ","")&amp;INDEX(Квартиры!$H$2:$H$1501,MATCH($A6*1000+6,Квартиры!$K$2:$K$1501,0))&amp;" СУ"&amp;IF(INDEX(Квартиры!$I$2:$I$1501,MATCH($A6*1000+6,Квартиры!$K$2:$K$1501,0))&gt;0," +У","")&amp;IF(INDEX(Квартиры!$J$2:$J$1501,MATCH($A6*1000+6,Квартиры!$K$2:$K$1501,0))&gt;0," +Г",""),"-"))</f>
        <v/>
      </c>
      <c r="I6">
        <f>IF($A6="","",IFERROR(IF(Настройки!$B$4="да",INDEX(Квартиры!$D$2:$D$1501,MATCH($A6*1000+7,Квартиры!$K$2:$K$1501,0))&amp;" / ","")&amp;INDEX(Квартиры!$H$2:$H$1501,MATCH($A6*1000+7,Квартиры!$K$2:$K$1501,0))&amp;" СУ"&amp;IF(INDEX(Квартиры!$I$2:$I$1501,MATCH($A6*1000+7,Квартиры!$K$2:$K$1501,0))&gt;0," +У","")&amp;IF(INDEX(Квартиры!$J$2:$J$1501,MATCH($A6*1000+7,Квартиры!$K$2:$K$1501,0))&gt;0," +Г",""),"-"))</f>
        <v/>
      </c>
      <c r="J6">
        <f>IF($A6="","",IFERROR(IF(Настройки!$B$4="да",INDEX(Квартиры!$D$2:$D$1501,MATCH($A6*1000+8,Квартиры!$K$2:$K$1501,0))&amp;" / ","")&amp;INDEX(Квартиры!$H$2:$H$1501,MATCH($A6*1000+8,Квартиры!$K$2:$K$1501,0))&amp;" СУ"&amp;IF(INDEX(Квартиры!$I$2:$I$1501,MATCH($A6*1000+8,Квартиры!$K$2:$K$1501,0))&gt;0," +У","")&amp;IF(INDEX(Квартиры!$J$2:$J$1501,MATCH($A6*1000+8,Квартиры!$K$2:$K$1501,0))&gt;0," +Г",""),"-"))</f>
        <v/>
      </c>
      <c r="K6">
        <f>IF($A6="","",IFERROR(IF(Настройки!$B$4="да",INDEX(Квартиры!$D$2:$D$1501,MATCH($A6*1000+9,Квартиры!$K$2:$K$1501,0))&amp;" / ","")&amp;INDEX(Квартиры!$H$2:$H$1501,MATCH($A6*1000+9,Квартиры!$K$2:$K$1501,0))&amp;" СУ"&amp;IF(INDEX(Квартиры!$I$2:$I$1501,MATCH($A6*1000+9,Квартиры!$K$2:$K$1501,0))&gt;0," +У","")&amp;IF(INDEX(Квартиры!$J$2:$J$1501,MATCH($A6*1000+9,Квартиры!$K$2:$K$1501,0))&gt;0," +Г",""),"-"))</f>
        <v/>
      </c>
      <c r="L6">
        <f>IF($A6="","",IFERROR(IF(Настройки!$B$4="да",INDEX(Квартиры!$D$2:$D$1501,MATCH($A6*1000+10,Квартиры!$K$2:$K$1501,0))&amp;" / ","")&amp;INDEX(Квартиры!$H$2:$H$1501,MATCH($A6*1000+10,Квартиры!$K$2:$K$1501,0))&amp;" СУ"&amp;IF(INDEX(Квартиры!$I$2:$I$1501,MATCH($A6*1000+10,Квартиры!$K$2:$K$1501,0))&gt;0," +У","")&amp;IF(INDEX(Квартиры!$J$2:$J$1501,MATCH($A6*1000+10,Квартиры!$K$2:$K$1501,0))&gt;0," +Г",""),"-"))</f>
        <v/>
      </c>
      <c r="M6">
        <f>IF($A6="","",IFERROR(IF(Настройки!$B$4="да",INDEX(Квартиры!$D$2:$D$1501,MATCH($A6*1000+11,Квартиры!$K$2:$K$1501,0))&amp;" / ","")&amp;INDEX(Квартиры!$H$2:$H$1501,MATCH($A6*1000+11,Квартиры!$K$2:$K$1501,0))&amp;" СУ"&amp;IF(INDEX(Квартиры!$I$2:$I$1501,MATCH($A6*1000+11,Квартиры!$K$2:$K$1501,0))&gt;0," +У","")&amp;IF(INDEX(Квартиры!$J$2:$J$1501,MATCH($A6*1000+11,Квартиры!$K$2:$K$1501,0))&gt;0," +Г",""),"-"))</f>
        <v/>
      </c>
      <c r="N6">
        <f>IF($A6="","",IFERROR(IF(Настройки!$B$4="да",INDEX(Квартиры!$D$2:$D$1501,MATCH($A6*1000+12,Квартиры!$K$2:$K$1501,0))&amp;" / ","")&amp;INDEX(Квартиры!$H$2:$H$1501,MATCH($A6*1000+12,Квартиры!$K$2:$K$1501,0))&amp;" СУ"&amp;IF(INDEX(Квартиры!$I$2:$I$1501,MATCH($A6*1000+12,Квартиры!$K$2:$K$1501,0))&gt;0," +У","")&amp;IF(INDEX(Квартиры!$J$2:$J$1501,MATCH($A6*1000+12,Квартиры!$K$2:$K$1501,0))&gt;0," +Г",""),"-"))</f>
        <v/>
      </c>
      <c r="O6">
        <f>IF($A6="","",IFERROR(IF(Настройки!$B$4="да",INDEX(Квартиры!$D$2:$D$1501,MATCH($A6*1000+13,Квартиры!$K$2:$K$1501,0))&amp;" / ","")&amp;INDEX(Квартиры!$H$2:$H$1501,MATCH($A6*1000+13,Квартиры!$K$2:$K$1501,0))&amp;" СУ"&amp;IF(INDEX(Квартиры!$I$2:$I$1501,MATCH($A6*1000+13,Квартиры!$K$2:$K$1501,0))&gt;0," +У","")&amp;IF(INDEX(Квартиры!$J$2:$J$1501,MATCH($A6*1000+13,Квартиры!$K$2:$K$1501,0))&gt;0," +Г",""),"-"))</f>
        <v/>
      </c>
      <c r="P6">
        <f>IF($A6="","",IFERROR(IF(Настройки!$B$4="да",INDEX(Квартиры!$D$2:$D$1501,MATCH($A6*1000+14,Квартиры!$K$2:$K$1501,0))&amp;" / ","")&amp;INDEX(Квартиры!$H$2:$H$1501,MATCH($A6*1000+14,Квартиры!$K$2:$K$1501,0))&amp;" СУ"&amp;IF(INDEX(Квартиры!$I$2:$I$1501,MATCH($A6*1000+14,Квартиры!$K$2:$K$1501,0))&gt;0," +У","")&amp;IF(INDEX(Квартиры!$J$2:$J$1501,MATCH($A6*1000+14,Квартиры!$K$2:$K$1501,0))&gt;0," +Г",""),"-"))</f>
        <v/>
      </c>
      <c r="Q6">
        <f>IF($A6="","",IFERROR(IF(Настройки!$B$4="да",INDEX(Квартиры!$D$2:$D$1501,MATCH($A6*1000+15,Квартиры!$K$2:$K$1501,0))&amp;" / ","")&amp;INDEX(Квартиры!$H$2:$H$1501,MATCH($A6*1000+15,Квартиры!$K$2:$K$1501,0))&amp;" СУ"&amp;IF(INDEX(Квартиры!$I$2:$I$1501,MATCH($A6*1000+15,Квартиры!$K$2:$K$1501,0))&gt;0," +У","")&amp;IF(INDEX(Квартиры!$J$2:$J$1501,MATCH($A6*1000+15,Квартиры!$K$2:$K$1501,0))&gt;0," +Г",""),"-"))</f>
        <v/>
      </c>
      <c r="R6">
        <f>IF(A6="","",C6&amp;"|"&amp;D6&amp;"|"&amp;E6&amp;"|"&amp;F6&amp;"|"&amp;G6&amp;"|"&amp;H6&amp;"|"&amp;I6&amp;"|"&amp;J6&amp;"|"&amp;K6&amp;"|"&amp;L6&amp;"|"&amp;M6&amp;"|"&amp;N6&amp;"|"&amp;O6&amp;"|"&amp;P6&amp;"|"&amp;Q6)</f>
        <v/>
      </c>
      <c r="S6">
        <f>IF(A6="","",IFERROR(LOOKUP(2,1/(B$2:B5=B6),S$2:S5)&amp;", ","")&amp;A6)</f>
        <v/>
      </c>
      <c r="U6">
        <f>IF(4&gt;MAX(B$3:B$82),"",4)</f>
        <v/>
      </c>
      <c r="V6">
        <f>IF(U6="","",LOOKUP(2,1/(B$3:B$82=U6),S$3:S$82))</f>
        <v/>
      </c>
      <c r="W6">
        <f>IF(U6="","",COUNTIF(B$3:B$82,U6))</f>
        <v/>
      </c>
    </row>
    <row r="7">
      <c r="A7">
        <f>IFERROR(IF(A6="","",SMALL(Квартиры!$B$2:$B$1501,COUNTIF(Квартиры!$B$2:$B$1501,"&lt;="&amp;A6)+1)),"")</f>
        <v/>
      </c>
      <c r="B7">
        <f>IF(A7="","",IF(COUNTIF(R$2:R6,R7)=0,MAX(B$2:B6)+1,INDEX(B$2:B6,MATCH(R7,R$2:R6,0))))</f>
        <v/>
      </c>
      <c r="C7">
        <f>IF($A7="","",IFERROR(IF(Настройки!$B$4="да",INDEX(Квартиры!$D$2:$D$1501,MATCH($A7*1000+1,Квартиры!$K$2:$K$1501,0))&amp;" / ","")&amp;INDEX(Квартиры!$H$2:$H$1501,MATCH($A7*1000+1,Квартиры!$K$2:$K$1501,0))&amp;" СУ"&amp;IF(INDEX(Квартиры!$I$2:$I$1501,MATCH($A7*1000+1,Квартиры!$K$2:$K$1501,0))&gt;0," +У","")&amp;IF(INDEX(Квартиры!$J$2:$J$1501,MATCH($A7*1000+1,Квартиры!$K$2:$K$1501,0))&gt;0," +Г",""),"-"))</f>
        <v/>
      </c>
      <c r="D7">
        <f>IF($A7="","",IFERROR(IF(Настройки!$B$4="да",INDEX(Квартиры!$D$2:$D$1501,MATCH($A7*1000+2,Квартиры!$K$2:$K$1501,0))&amp;" / ","")&amp;INDEX(Квартиры!$H$2:$H$1501,MATCH($A7*1000+2,Квартиры!$K$2:$K$1501,0))&amp;" СУ"&amp;IF(INDEX(Квартиры!$I$2:$I$1501,MATCH($A7*1000+2,Квартиры!$K$2:$K$1501,0))&gt;0," +У","")&amp;IF(INDEX(Квартиры!$J$2:$J$1501,MATCH($A7*1000+2,Квартиры!$K$2:$K$1501,0))&gt;0," +Г",""),"-"))</f>
        <v/>
      </c>
      <c r="E7">
        <f>IF($A7="","",IFERROR(IF(Настройки!$B$4="да",INDEX(Квартиры!$D$2:$D$1501,MATCH($A7*1000+3,Квартиры!$K$2:$K$1501,0))&amp;" / ","")&amp;INDEX(Квартиры!$H$2:$H$1501,MATCH($A7*1000+3,Квартиры!$K$2:$K$1501,0))&amp;" СУ"&amp;IF(INDEX(Квартиры!$I$2:$I$1501,MATCH($A7*1000+3,Квартиры!$K$2:$K$1501,0))&gt;0," +У","")&amp;IF(INDEX(Квартиры!$J$2:$J$1501,MATCH($A7*1000+3,Квартиры!$K$2:$K$1501,0))&gt;0," +Г",""),"-"))</f>
        <v/>
      </c>
      <c r="F7">
        <f>IF($A7="","",IFERROR(IF(Настройки!$B$4="да",INDEX(Квартиры!$D$2:$D$1501,MATCH($A7*1000+4,Квартиры!$K$2:$K$1501,0))&amp;" / ","")&amp;INDEX(Квартиры!$H$2:$H$1501,MATCH($A7*1000+4,Квартиры!$K$2:$K$1501,0))&amp;" СУ"&amp;IF(INDEX(Квартиры!$I$2:$I$1501,MATCH($A7*1000+4,Квартиры!$K$2:$K$1501,0))&gt;0," +У","")&amp;IF(INDEX(Квартиры!$J$2:$J$1501,MATCH($A7*1000+4,Квартиры!$K$2:$K$1501,0))&gt;0," +Г",""),"-"))</f>
        <v/>
      </c>
      <c r="G7">
        <f>IF($A7="","",IFERROR(IF(Настройки!$B$4="да",INDEX(Квартиры!$D$2:$D$1501,MATCH($A7*1000+5,Квартиры!$K$2:$K$1501,0))&amp;" / ","")&amp;INDEX(Квартиры!$H$2:$H$1501,MATCH($A7*1000+5,Квартиры!$K$2:$K$1501,0))&amp;" СУ"&amp;IF(INDEX(Квартиры!$I$2:$I$1501,MATCH($A7*1000+5,Квартиры!$K$2:$K$1501,0))&gt;0," +У","")&amp;IF(INDEX(Квартиры!$J$2:$J$1501,MATCH($A7*1000+5,Квартиры!$K$2:$K$1501,0))&gt;0," +Г",""),"-"))</f>
        <v/>
      </c>
      <c r="H7">
        <f>IF($A7="","",IFERROR(IF(Настройки!$B$4="да",INDEX(Квартиры!$D$2:$D$1501,MATCH($A7*1000+6,Квартиры!$K$2:$K$1501,0))&amp;" / ","")&amp;INDEX(Квартиры!$H$2:$H$1501,MATCH($A7*1000+6,Квартиры!$K$2:$K$1501,0))&amp;" СУ"&amp;IF(INDEX(Квартиры!$I$2:$I$1501,MATCH($A7*1000+6,Квартиры!$K$2:$K$1501,0))&gt;0," +У","")&amp;IF(INDEX(Квартиры!$J$2:$J$1501,MATCH($A7*1000+6,Квартиры!$K$2:$K$1501,0))&gt;0," +Г",""),"-"))</f>
        <v/>
      </c>
      <c r="I7">
        <f>IF($A7="","",IFERROR(IF(Настройки!$B$4="да",INDEX(Квартиры!$D$2:$D$1501,MATCH($A7*1000+7,Квартиры!$K$2:$K$1501,0))&amp;" / ","")&amp;INDEX(Квартиры!$H$2:$H$1501,MATCH($A7*1000+7,Квартиры!$K$2:$K$1501,0))&amp;" СУ"&amp;IF(INDEX(Квартиры!$I$2:$I$1501,MATCH($A7*1000+7,Квартиры!$K$2:$K$1501,0))&gt;0," +У","")&amp;IF(INDEX(Квартиры!$J$2:$J$1501,MATCH($A7*1000+7,Квартиры!$K$2:$K$1501,0))&gt;0," +Г",""),"-"))</f>
        <v/>
      </c>
      <c r="J7">
        <f>IF($A7="","",IFERROR(IF(Настройки!$B$4="да",INDEX(Квартиры!$D$2:$D$1501,MATCH($A7*1000+8,Квартиры!$K$2:$K$1501,0))&amp;" / ","")&amp;INDEX(Квартиры!$H$2:$H$1501,MATCH($A7*1000+8,Квартиры!$K$2:$K$1501,0))&amp;" СУ"&amp;IF(INDEX(Квартиры!$I$2:$I$1501,MATCH($A7*1000+8,Квартиры!$K$2:$K$1501,0))&gt;0," +У","")&amp;IF(INDEX(Квартиры!$J$2:$J$1501,MATCH($A7*1000+8,Квартиры!$K$2:$K$1501,0))&gt;0," +Г",""),"-"))</f>
        <v/>
      </c>
      <c r="K7">
        <f>IF($A7="","",IFERROR(IF(Настройки!$B$4="да",INDEX(Квартиры!$D$2:$D$1501,MATCH($A7*1000+9,Квартиры!$K$2:$K$1501,0))&amp;" / ","")&amp;INDEX(Квартиры!$H$2:$H$1501,MATCH($A7*1000+9,Квартиры!$K$2:$K$1501,0))&amp;" СУ"&amp;IF(INDEX(Квартиры!$I$2:$I$1501,MATCH($A7*1000+9,Квартиры!$K$2:$K$1501,0))&gt;0," +У","")&amp;IF(INDEX(Квартиры!$J$2:$J$1501,MATCH($A7*1000+9,Квартиры!$K$2:$K$1501,0))&gt;0," +Г",""),"-"))</f>
        <v/>
      </c>
      <c r="L7">
        <f>IF($A7="","",IFERROR(IF(Настройки!$B$4="да",INDEX(Квартиры!$D$2:$D$1501,MATCH($A7*1000+10,Квартиры!$K$2:$K$1501,0))&amp;" / ","")&amp;INDEX(Квартиры!$H$2:$H$1501,MATCH($A7*1000+10,Квартиры!$K$2:$K$1501,0))&amp;" СУ"&amp;IF(INDEX(Квартиры!$I$2:$I$1501,MATCH($A7*1000+10,Квартиры!$K$2:$K$1501,0))&gt;0," +У","")&amp;IF(INDEX(Квартиры!$J$2:$J$1501,MATCH($A7*1000+10,Квартиры!$K$2:$K$1501,0))&gt;0," +Г",""),"-"))</f>
        <v/>
      </c>
      <c r="M7">
        <f>IF($A7="","",IFERROR(IF(Настройки!$B$4="да",INDEX(Квартиры!$D$2:$D$1501,MATCH($A7*1000+11,Квартиры!$K$2:$K$1501,0))&amp;" / ","")&amp;INDEX(Квартиры!$H$2:$H$1501,MATCH($A7*1000+11,Квартиры!$K$2:$K$1501,0))&amp;" СУ"&amp;IF(INDEX(Квартиры!$I$2:$I$1501,MATCH($A7*1000+11,Квартиры!$K$2:$K$1501,0))&gt;0," +У","")&amp;IF(INDEX(Квартиры!$J$2:$J$1501,MATCH($A7*1000+11,Квартиры!$K$2:$K$1501,0))&gt;0," +Г",""),"-"))</f>
        <v/>
      </c>
      <c r="N7">
        <f>IF($A7="","",IFERROR(IF(Настройки!$B$4="да",INDEX(Квартиры!$D$2:$D$1501,MATCH($A7*1000+12,Квартиры!$K$2:$K$1501,0))&amp;" / ","")&amp;INDEX(Квартиры!$H$2:$H$1501,MATCH($A7*1000+12,Квартиры!$K$2:$K$1501,0))&amp;" СУ"&amp;IF(INDEX(Квартиры!$I$2:$I$1501,MATCH($A7*1000+12,Квартиры!$K$2:$K$1501,0))&gt;0," +У","")&amp;IF(INDEX(Квартиры!$J$2:$J$1501,MATCH($A7*1000+12,Квартиры!$K$2:$K$1501,0))&gt;0," +Г",""),"-"))</f>
        <v/>
      </c>
      <c r="O7">
        <f>IF($A7="","",IFERROR(IF(Настройки!$B$4="да",INDEX(Квартиры!$D$2:$D$1501,MATCH($A7*1000+13,Квартиры!$K$2:$K$1501,0))&amp;" / ","")&amp;INDEX(Квартиры!$H$2:$H$1501,MATCH($A7*1000+13,Квартиры!$K$2:$K$1501,0))&amp;" СУ"&amp;IF(INDEX(Квартиры!$I$2:$I$1501,MATCH($A7*1000+13,Квартиры!$K$2:$K$1501,0))&gt;0," +У","")&amp;IF(INDEX(Квартиры!$J$2:$J$1501,MATCH($A7*1000+13,Квартиры!$K$2:$K$1501,0))&gt;0," +Г",""),"-"))</f>
        <v/>
      </c>
      <c r="P7">
        <f>IF($A7="","",IFERROR(IF(Настройки!$B$4="да",INDEX(Квартиры!$D$2:$D$1501,MATCH($A7*1000+14,Квартиры!$K$2:$K$1501,0))&amp;" / ","")&amp;INDEX(Квартиры!$H$2:$H$1501,MATCH($A7*1000+14,Квартиры!$K$2:$K$1501,0))&amp;" СУ"&amp;IF(INDEX(Квартиры!$I$2:$I$1501,MATCH($A7*1000+14,Квартиры!$K$2:$K$1501,0))&gt;0," +У","")&amp;IF(INDEX(Квартиры!$J$2:$J$1501,MATCH($A7*1000+14,Квартиры!$K$2:$K$1501,0))&gt;0," +Г",""),"-"))</f>
        <v/>
      </c>
      <c r="Q7">
        <f>IF($A7="","",IFERROR(IF(Настройки!$B$4="да",INDEX(Квартиры!$D$2:$D$1501,MATCH($A7*1000+15,Квартиры!$K$2:$K$1501,0))&amp;" / ","")&amp;INDEX(Квартиры!$H$2:$H$1501,MATCH($A7*1000+15,Квартиры!$K$2:$K$1501,0))&amp;" СУ"&amp;IF(INDEX(Квартиры!$I$2:$I$1501,MATCH($A7*1000+15,Квартиры!$K$2:$K$1501,0))&gt;0," +У","")&amp;IF(INDEX(Квартиры!$J$2:$J$1501,MATCH($A7*1000+15,Квартиры!$K$2:$K$1501,0))&gt;0," +Г",""),"-"))</f>
        <v/>
      </c>
      <c r="R7">
        <f>IF(A7="","",C7&amp;"|"&amp;D7&amp;"|"&amp;E7&amp;"|"&amp;F7&amp;"|"&amp;G7&amp;"|"&amp;H7&amp;"|"&amp;I7&amp;"|"&amp;J7&amp;"|"&amp;K7&amp;"|"&amp;L7&amp;"|"&amp;M7&amp;"|"&amp;N7&amp;"|"&amp;O7&amp;"|"&amp;P7&amp;"|"&amp;Q7)</f>
        <v/>
      </c>
      <c r="S7">
        <f>IF(A7="","",IFERROR(LOOKUP(2,1/(B$2:B6=B7),S$2:S6)&amp;", ","")&amp;A7)</f>
        <v/>
      </c>
      <c r="U7">
        <f>IF(5&gt;MAX(B$3:B$82),"",5)</f>
        <v/>
      </c>
      <c r="V7">
        <f>IF(U7="","",LOOKUP(2,1/(B$3:B$82=U7),S$3:S$82))</f>
        <v/>
      </c>
      <c r="W7">
        <f>IF(U7="","",COUNTIF(B$3:B$82,U7))</f>
        <v/>
      </c>
    </row>
    <row r="8">
      <c r="A8">
        <f>IFERROR(IF(A7="","",SMALL(Квартиры!$B$2:$B$1501,COUNTIF(Квартиры!$B$2:$B$1501,"&lt;="&amp;A7)+1)),"")</f>
        <v/>
      </c>
      <c r="B8">
        <f>IF(A8="","",IF(COUNTIF(R$2:R7,R8)=0,MAX(B$2:B7)+1,INDEX(B$2:B7,MATCH(R8,R$2:R7,0))))</f>
        <v/>
      </c>
      <c r="C8">
        <f>IF($A8="","",IFERROR(IF(Настройки!$B$4="да",INDEX(Квартиры!$D$2:$D$1501,MATCH($A8*1000+1,Квартиры!$K$2:$K$1501,0))&amp;" / ","")&amp;INDEX(Квартиры!$H$2:$H$1501,MATCH($A8*1000+1,Квартиры!$K$2:$K$1501,0))&amp;" СУ"&amp;IF(INDEX(Квартиры!$I$2:$I$1501,MATCH($A8*1000+1,Квартиры!$K$2:$K$1501,0))&gt;0," +У","")&amp;IF(INDEX(Квартиры!$J$2:$J$1501,MATCH($A8*1000+1,Квартиры!$K$2:$K$1501,0))&gt;0," +Г",""),"-"))</f>
        <v/>
      </c>
      <c r="D8">
        <f>IF($A8="","",IFERROR(IF(Настройки!$B$4="да",INDEX(Квартиры!$D$2:$D$1501,MATCH($A8*1000+2,Квартиры!$K$2:$K$1501,0))&amp;" / ","")&amp;INDEX(Квартиры!$H$2:$H$1501,MATCH($A8*1000+2,Квартиры!$K$2:$K$1501,0))&amp;" СУ"&amp;IF(INDEX(Квартиры!$I$2:$I$1501,MATCH($A8*1000+2,Квартиры!$K$2:$K$1501,0))&gt;0," +У","")&amp;IF(INDEX(Квартиры!$J$2:$J$1501,MATCH($A8*1000+2,Квартиры!$K$2:$K$1501,0))&gt;0," +Г",""),"-"))</f>
        <v/>
      </c>
      <c r="E8">
        <f>IF($A8="","",IFERROR(IF(Настройки!$B$4="да",INDEX(Квартиры!$D$2:$D$1501,MATCH($A8*1000+3,Квартиры!$K$2:$K$1501,0))&amp;" / ","")&amp;INDEX(Квартиры!$H$2:$H$1501,MATCH($A8*1000+3,Квартиры!$K$2:$K$1501,0))&amp;" СУ"&amp;IF(INDEX(Квартиры!$I$2:$I$1501,MATCH($A8*1000+3,Квартиры!$K$2:$K$1501,0))&gt;0," +У","")&amp;IF(INDEX(Квартиры!$J$2:$J$1501,MATCH($A8*1000+3,Квартиры!$K$2:$K$1501,0))&gt;0," +Г",""),"-"))</f>
        <v/>
      </c>
      <c r="F8">
        <f>IF($A8="","",IFERROR(IF(Настройки!$B$4="да",INDEX(Квартиры!$D$2:$D$1501,MATCH($A8*1000+4,Квартиры!$K$2:$K$1501,0))&amp;" / ","")&amp;INDEX(Квартиры!$H$2:$H$1501,MATCH($A8*1000+4,Квартиры!$K$2:$K$1501,0))&amp;" СУ"&amp;IF(INDEX(Квартиры!$I$2:$I$1501,MATCH($A8*1000+4,Квартиры!$K$2:$K$1501,0))&gt;0," +У","")&amp;IF(INDEX(Квартиры!$J$2:$J$1501,MATCH($A8*1000+4,Квартиры!$K$2:$K$1501,0))&gt;0," +Г",""),"-"))</f>
        <v/>
      </c>
      <c r="G8">
        <f>IF($A8="","",IFERROR(IF(Настройки!$B$4="да",INDEX(Квартиры!$D$2:$D$1501,MATCH($A8*1000+5,Квартиры!$K$2:$K$1501,0))&amp;" / ","")&amp;INDEX(Квартиры!$H$2:$H$1501,MATCH($A8*1000+5,Квартиры!$K$2:$K$1501,0))&amp;" СУ"&amp;IF(INDEX(Квартиры!$I$2:$I$1501,MATCH($A8*1000+5,Квартиры!$K$2:$K$1501,0))&gt;0," +У","")&amp;IF(INDEX(Квартиры!$J$2:$J$1501,MATCH($A8*1000+5,Квартиры!$K$2:$K$1501,0))&gt;0," +Г",""),"-"))</f>
        <v/>
      </c>
      <c r="H8">
        <f>IF($A8="","",IFERROR(IF(Настройки!$B$4="да",INDEX(Квартиры!$D$2:$D$1501,MATCH($A8*1000+6,Квартиры!$K$2:$K$1501,0))&amp;" / ","")&amp;INDEX(Квартиры!$H$2:$H$1501,MATCH($A8*1000+6,Квартиры!$K$2:$K$1501,0))&amp;" СУ"&amp;IF(INDEX(Квартиры!$I$2:$I$1501,MATCH($A8*1000+6,Квартиры!$K$2:$K$1501,0))&gt;0," +У","")&amp;IF(INDEX(Квартиры!$J$2:$J$1501,MATCH($A8*1000+6,Квартиры!$K$2:$K$1501,0))&gt;0," +Г",""),"-"))</f>
        <v/>
      </c>
      <c r="I8">
        <f>IF($A8="","",IFERROR(IF(Настройки!$B$4="да",INDEX(Квартиры!$D$2:$D$1501,MATCH($A8*1000+7,Квартиры!$K$2:$K$1501,0))&amp;" / ","")&amp;INDEX(Квартиры!$H$2:$H$1501,MATCH($A8*1000+7,Квартиры!$K$2:$K$1501,0))&amp;" СУ"&amp;IF(INDEX(Квартиры!$I$2:$I$1501,MATCH($A8*1000+7,Квартиры!$K$2:$K$1501,0))&gt;0," +У","")&amp;IF(INDEX(Квартиры!$J$2:$J$1501,MATCH($A8*1000+7,Квартиры!$K$2:$K$1501,0))&gt;0," +Г",""),"-"))</f>
        <v/>
      </c>
      <c r="J8">
        <f>IF($A8="","",IFERROR(IF(Настройки!$B$4="да",INDEX(Квартиры!$D$2:$D$1501,MATCH($A8*1000+8,Квартиры!$K$2:$K$1501,0))&amp;" / ","")&amp;INDEX(Квартиры!$H$2:$H$1501,MATCH($A8*1000+8,Квартиры!$K$2:$K$1501,0))&amp;" СУ"&amp;IF(INDEX(Квартиры!$I$2:$I$1501,MATCH($A8*1000+8,Квартиры!$K$2:$K$1501,0))&gt;0," +У","")&amp;IF(INDEX(Квартиры!$J$2:$J$1501,MATCH($A8*1000+8,Квартиры!$K$2:$K$1501,0))&gt;0," +Г",""),"-"))</f>
        <v/>
      </c>
      <c r="K8">
        <f>IF($A8="","",IFERROR(IF(Настройки!$B$4="да",INDEX(Квартиры!$D$2:$D$1501,MATCH($A8*1000+9,Квартиры!$K$2:$K$1501,0))&amp;" / ","")&amp;INDEX(Квартиры!$H$2:$H$1501,MATCH($A8*1000+9,Квартиры!$K$2:$K$1501,0))&amp;" СУ"&amp;IF(INDEX(Квартиры!$I$2:$I$1501,MATCH($A8*1000+9,Квартиры!$K$2:$K$1501,0))&gt;0," +У","")&amp;IF(INDEX(Квартиры!$J$2:$J$1501,MATCH($A8*1000+9,Квартиры!$K$2:$K$1501,0))&gt;0," +Г",""),"-"))</f>
        <v/>
      </c>
      <c r="L8">
        <f>IF($A8="","",IFERROR(IF(Настройки!$B$4="да",INDEX(Квартиры!$D$2:$D$1501,MATCH($A8*1000+10,Квартиры!$K$2:$K$1501,0))&amp;" / ","")&amp;INDEX(Квартиры!$H$2:$H$1501,MATCH($A8*1000+10,Квартиры!$K$2:$K$1501,0))&amp;" СУ"&amp;IF(INDEX(Квартиры!$I$2:$I$1501,MATCH($A8*1000+10,Квартиры!$K$2:$K$1501,0))&gt;0," +У","")&amp;IF(INDEX(Квартиры!$J$2:$J$1501,MATCH($A8*1000+10,Квартиры!$K$2:$K$1501,0))&gt;0," +Г",""),"-"))</f>
        <v/>
      </c>
      <c r="M8">
        <f>IF($A8="","",IFERROR(IF(Настройки!$B$4="да",INDEX(Квартиры!$D$2:$D$1501,MATCH($A8*1000+11,Квартиры!$K$2:$K$1501,0))&amp;" / ","")&amp;INDEX(Квартиры!$H$2:$H$1501,MATCH($A8*1000+11,Квартиры!$K$2:$K$1501,0))&amp;" СУ"&amp;IF(INDEX(Квартиры!$I$2:$I$1501,MATCH($A8*1000+11,Квартиры!$K$2:$K$1501,0))&gt;0," +У","")&amp;IF(INDEX(Квартиры!$J$2:$J$1501,MATCH($A8*1000+11,Квартиры!$K$2:$K$1501,0))&gt;0," +Г",""),"-"))</f>
        <v/>
      </c>
      <c r="N8">
        <f>IF($A8="","",IFERROR(IF(Настройки!$B$4="да",INDEX(Квартиры!$D$2:$D$1501,MATCH($A8*1000+12,Квартиры!$K$2:$K$1501,0))&amp;" / ","")&amp;INDEX(Квартиры!$H$2:$H$1501,MATCH($A8*1000+12,Квартиры!$K$2:$K$1501,0))&amp;" СУ"&amp;IF(INDEX(Квартиры!$I$2:$I$1501,MATCH($A8*1000+12,Квартиры!$K$2:$K$1501,0))&gt;0," +У","")&amp;IF(INDEX(Квартиры!$J$2:$J$1501,MATCH($A8*1000+12,Квартиры!$K$2:$K$1501,0))&gt;0," +Г",""),"-"))</f>
        <v/>
      </c>
      <c r="O8">
        <f>IF($A8="","",IFERROR(IF(Настройки!$B$4="да",INDEX(Квартиры!$D$2:$D$1501,MATCH($A8*1000+13,Квартиры!$K$2:$K$1501,0))&amp;" / ","")&amp;INDEX(Квартиры!$H$2:$H$1501,MATCH($A8*1000+13,Квартиры!$K$2:$K$1501,0))&amp;" СУ"&amp;IF(INDEX(Квартиры!$I$2:$I$1501,MATCH($A8*1000+13,Квартиры!$K$2:$K$1501,0))&gt;0," +У","")&amp;IF(INDEX(Квартиры!$J$2:$J$1501,MATCH($A8*1000+13,Квартиры!$K$2:$K$1501,0))&gt;0," +Г",""),"-"))</f>
        <v/>
      </c>
      <c r="P8">
        <f>IF($A8="","",IFERROR(IF(Настройки!$B$4="да",INDEX(Квартиры!$D$2:$D$1501,MATCH($A8*1000+14,Квартиры!$K$2:$K$1501,0))&amp;" / ","")&amp;INDEX(Квартиры!$H$2:$H$1501,MATCH($A8*1000+14,Квартиры!$K$2:$K$1501,0))&amp;" СУ"&amp;IF(INDEX(Квартиры!$I$2:$I$1501,MATCH($A8*1000+14,Квартиры!$K$2:$K$1501,0))&gt;0," +У","")&amp;IF(INDEX(Квартиры!$J$2:$J$1501,MATCH($A8*1000+14,Квартиры!$K$2:$K$1501,0))&gt;0," +Г",""),"-"))</f>
        <v/>
      </c>
      <c r="Q8">
        <f>IF($A8="","",IFERROR(IF(Настройки!$B$4="да",INDEX(Квартиры!$D$2:$D$1501,MATCH($A8*1000+15,Квартиры!$K$2:$K$1501,0))&amp;" / ","")&amp;INDEX(Квартиры!$H$2:$H$1501,MATCH($A8*1000+15,Квартиры!$K$2:$K$1501,0))&amp;" СУ"&amp;IF(INDEX(Квартиры!$I$2:$I$1501,MATCH($A8*1000+15,Квартиры!$K$2:$K$1501,0))&gt;0," +У","")&amp;IF(INDEX(Квартиры!$J$2:$J$1501,MATCH($A8*1000+15,Квартиры!$K$2:$K$1501,0))&gt;0," +Г",""),"-"))</f>
        <v/>
      </c>
      <c r="R8">
        <f>IF(A8="","",C8&amp;"|"&amp;D8&amp;"|"&amp;E8&amp;"|"&amp;F8&amp;"|"&amp;G8&amp;"|"&amp;H8&amp;"|"&amp;I8&amp;"|"&amp;J8&amp;"|"&amp;K8&amp;"|"&amp;L8&amp;"|"&amp;M8&amp;"|"&amp;N8&amp;"|"&amp;O8&amp;"|"&amp;P8&amp;"|"&amp;Q8)</f>
        <v/>
      </c>
      <c r="S8">
        <f>IF(A8="","",IFERROR(LOOKUP(2,1/(B$2:B7=B8),S$2:S7)&amp;", ","")&amp;A8)</f>
        <v/>
      </c>
      <c r="U8">
        <f>IF(6&gt;MAX(B$3:B$82),"",6)</f>
        <v/>
      </c>
      <c r="V8">
        <f>IF(U8="","",LOOKUP(2,1/(B$3:B$82=U8),S$3:S$82))</f>
        <v/>
      </c>
      <c r="W8">
        <f>IF(U8="","",COUNTIF(B$3:B$82,U8))</f>
        <v/>
      </c>
    </row>
    <row r="9">
      <c r="A9">
        <f>IFERROR(IF(A8="","",SMALL(Квартиры!$B$2:$B$1501,COUNTIF(Квартиры!$B$2:$B$1501,"&lt;="&amp;A8)+1)),"")</f>
        <v/>
      </c>
      <c r="B9">
        <f>IF(A9="","",IF(COUNTIF(R$2:R8,R9)=0,MAX(B$2:B8)+1,INDEX(B$2:B8,MATCH(R9,R$2:R8,0))))</f>
        <v/>
      </c>
      <c r="C9">
        <f>IF($A9="","",IFERROR(IF(Настройки!$B$4="да",INDEX(Квартиры!$D$2:$D$1501,MATCH($A9*1000+1,Квартиры!$K$2:$K$1501,0))&amp;" / ","")&amp;INDEX(Квартиры!$H$2:$H$1501,MATCH($A9*1000+1,Квартиры!$K$2:$K$1501,0))&amp;" СУ"&amp;IF(INDEX(Квартиры!$I$2:$I$1501,MATCH($A9*1000+1,Квартиры!$K$2:$K$1501,0))&gt;0," +У","")&amp;IF(INDEX(Квартиры!$J$2:$J$1501,MATCH($A9*1000+1,Квартиры!$K$2:$K$1501,0))&gt;0," +Г",""),"-"))</f>
        <v/>
      </c>
      <c r="D9">
        <f>IF($A9="","",IFERROR(IF(Настройки!$B$4="да",INDEX(Квартиры!$D$2:$D$1501,MATCH($A9*1000+2,Квартиры!$K$2:$K$1501,0))&amp;" / ","")&amp;INDEX(Квартиры!$H$2:$H$1501,MATCH($A9*1000+2,Квартиры!$K$2:$K$1501,0))&amp;" СУ"&amp;IF(INDEX(Квартиры!$I$2:$I$1501,MATCH($A9*1000+2,Квартиры!$K$2:$K$1501,0))&gt;0," +У","")&amp;IF(INDEX(Квартиры!$J$2:$J$1501,MATCH($A9*1000+2,Квартиры!$K$2:$K$1501,0))&gt;0," +Г",""),"-"))</f>
        <v/>
      </c>
      <c r="E9">
        <f>IF($A9="","",IFERROR(IF(Настройки!$B$4="да",INDEX(Квартиры!$D$2:$D$1501,MATCH($A9*1000+3,Квартиры!$K$2:$K$1501,0))&amp;" / ","")&amp;INDEX(Квартиры!$H$2:$H$1501,MATCH($A9*1000+3,Квартиры!$K$2:$K$1501,0))&amp;" СУ"&amp;IF(INDEX(Квартиры!$I$2:$I$1501,MATCH($A9*1000+3,Квартиры!$K$2:$K$1501,0))&gt;0," +У","")&amp;IF(INDEX(Квартиры!$J$2:$J$1501,MATCH($A9*1000+3,Квартиры!$K$2:$K$1501,0))&gt;0," +Г",""),"-"))</f>
        <v/>
      </c>
      <c r="F9">
        <f>IF($A9="","",IFERROR(IF(Настройки!$B$4="да",INDEX(Квартиры!$D$2:$D$1501,MATCH($A9*1000+4,Квартиры!$K$2:$K$1501,0))&amp;" / ","")&amp;INDEX(Квартиры!$H$2:$H$1501,MATCH($A9*1000+4,Квартиры!$K$2:$K$1501,0))&amp;" СУ"&amp;IF(INDEX(Квартиры!$I$2:$I$1501,MATCH($A9*1000+4,Квартиры!$K$2:$K$1501,0))&gt;0," +У","")&amp;IF(INDEX(Квартиры!$J$2:$J$1501,MATCH($A9*1000+4,Квартиры!$K$2:$K$1501,0))&gt;0," +Г",""),"-"))</f>
        <v/>
      </c>
      <c r="G9">
        <f>IF($A9="","",IFERROR(IF(Настройки!$B$4="да",INDEX(Квартиры!$D$2:$D$1501,MATCH($A9*1000+5,Квартиры!$K$2:$K$1501,0))&amp;" / ","")&amp;INDEX(Квартиры!$H$2:$H$1501,MATCH($A9*1000+5,Квартиры!$K$2:$K$1501,0))&amp;" СУ"&amp;IF(INDEX(Квартиры!$I$2:$I$1501,MATCH($A9*1000+5,Квартиры!$K$2:$K$1501,0))&gt;0," +У","")&amp;IF(INDEX(Квартиры!$J$2:$J$1501,MATCH($A9*1000+5,Квартиры!$K$2:$K$1501,0))&gt;0," +Г",""),"-"))</f>
        <v/>
      </c>
      <c r="H9">
        <f>IF($A9="","",IFERROR(IF(Настройки!$B$4="да",INDEX(Квартиры!$D$2:$D$1501,MATCH($A9*1000+6,Квартиры!$K$2:$K$1501,0))&amp;" / ","")&amp;INDEX(Квартиры!$H$2:$H$1501,MATCH($A9*1000+6,Квартиры!$K$2:$K$1501,0))&amp;" СУ"&amp;IF(INDEX(Квартиры!$I$2:$I$1501,MATCH($A9*1000+6,Квартиры!$K$2:$K$1501,0))&gt;0," +У","")&amp;IF(INDEX(Квартиры!$J$2:$J$1501,MATCH($A9*1000+6,Квартиры!$K$2:$K$1501,0))&gt;0," +Г",""),"-"))</f>
        <v/>
      </c>
      <c r="I9">
        <f>IF($A9="","",IFERROR(IF(Настройки!$B$4="да",INDEX(Квартиры!$D$2:$D$1501,MATCH($A9*1000+7,Квартиры!$K$2:$K$1501,0))&amp;" / ","")&amp;INDEX(Квартиры!$H$2:$H$1501,MATCH($A9*1000+7,Квартиры!$K$2:$K$1501,0))&amp;" СУ"&amp;IF(INDEX(Квартиры!$I$2:$I$1501,MATCH($A9*1000+7,Квартиры!$K$2:$K$1501,0))&gt;0," +У","")&amp;IF(INDEX(Квартиры!$J$2:$J$1501,MATCH($A9*1000+7,Квартиры!$K$2:$K$1501,0))&gt;0," +Г",""),"-"))</f>
        <v/>
      </c>
      <c r="J9">
        <f>IF($A9="","",IFERROR(IF(Настройки!$B$4="да",INDEX(Квартиры!$D$2:$D$1501,MATCH($A9*1000+8,Квартиры!$K$2:$K$1501,0))&amp;" / ","")&amp;INDEX(Квартиры!$H$2:$H$1501,MATCH($A9*1000+8,Квартиры!$K$2:$K$1501,0))&amp;" СУ"&amp;IF(INDEX(Квартиры!$I$2:$I$1501,MATCH($A9*1000+8,Квартиры!$K$2:$K$1501,0))&gt;0," +У","")&amp;IF(INDEX(Квартиры!$J$2:$J$1501,MATCH($A9*1000+8,Квартиры!$K$2:$K$1501,0))&gt;0," +Г",""),"-"))</f>
        <v/>
      </c>
      <c r="K9">
        <f>IF($A9="","",IFERROR(IF(Настройки!$B$4="да",INDEX(Квартиры!$D$2:$D$1501,MATCH($A9*1000+9,Квартиры!$K$2:$K$1501,0))&amp;" / ","")&amp;INDEX(Квартиры!$H$2:$H$1501,MATCH($A9*1000+9,Квартиры!$K$2:$K$1501,0))&amp;" СУ"&amp;IF(INDEX(Квартиры!$I$2:$I$1501,MATCH($A9*1000+9,Квартиры!$K$2:$K$1501,0))&gt;0," +У","")&amp;IF(INDEX(Квартиры!$J$2:$J$1501,MATCH($A9*1000+9,Квартиры!$K$2:$K$1501,0))&gt;0," +Г",""),"-"))</f>
        <v/>
      </c>
      <c r="L9">
        <f>IF($A9="","",IFERROR(IF(Настройки!$B$4="да",INDEX(Квартиры!$D$2:$D$1501,MATCH($A9*1000+10,Квартиры!$K$2:$K$1501,0))&amp;" / ","")&amp;INDEX(Квартиры!$H$2:$H$1501,MATCH($A9*1000+10,Квартиры!$K$2:$K$1501,0))&amp;" СУ"&amp;IF(INDEX(Квартиры!$I$2:$I$1501,MATCH($A9*1000+10,Квартиры!$K$2:$K$1501,0))&gt;0," +У","")&amp;IF(INDEX(Квартиры!$J$2:$J$1501,MATCH($A9*1000+10,Квартиры!$K$2:$K$1501,0))&gt;0," +Г",""),"-"))</f>
        <v/>
      </c>
      <c r="M9">
        <f>IF($A9="","",IFERROR(IF(Настройки!$B$4="да",INDEX(Квартиры!$D$2:$D$1501,MATCH($A9*1000+11,Квартиры!$K$2:$K$1501,0))&amp;" / ","")&amp;INDEX(Квартиры!$H$2:$H$1501,MATCH($A9*1000+11,Квартиры!$K$2:$K$1501,0))&amp;" СУ"&amp;IF(INDEX(Квартиры!$I$2:$I$1501,MATCH($A9*1000+11,Квартиры!$K$2:$K$1501,0))&gt;0," +У","")&amp;IF(INDEX(Квартиры!$J$2:$J$1501,MATCH($A9*1000+11,Квартиры!$K$2:$K$1501,0))&gt;0," +Г",""),"-"))</f>
        <v/>
      </c>
      <c r="N9">
        <f>IF($A9="","",IFERROR(IF(Настройки!$B$4="да",INDEX(Квартиры!$D$2:$D$1501,MATCH($A9*1000+12,Квартиры!$K$2:$K$1501,0))&amp;" / ","")&amp;INDEX(Квартиры!$H$2:$H$1501,MATCH($A9*1000+12,Квартиры!$K$2:$K$1501,0))&amp;" СУ"&amp;IF(INDEX(Квартиры!$I$2:$I$1501,MATCH($A9*1000+12,Квартиры!$K$2:$K$1501,0))&gt;0," +У","")&amp;IF(INDEX(Квартиры!$J$2:$J$1501,MATCH($A9*1000+12,Квартиры!$K$2:$K$1501,0))&gt;0," +Г",""),"-"))</f>
        <v/>
      </c>
      <c r="O9">
        <f>IF($A9="","",IFERROR(IF(Настройки!$B$4="да",INDEX(Квартиры!$D$2:$D$1501,MATCH($A9*1000+13,Квартиры!$K$2:$K$1501,0))&amp;" / ","")&amp;INDEX(Квартиры!$H$2:$H$1501,MATCH($A9*1000+13,Квартиры!$K$2:$K$1501,0))&amp;" СУ"&amp;IF(INDEX(Квартиры!$I$2:$I$1501,MATCH($A9*1000+13,Квартиры!$K$2:$K$1501,0))&gt;0," +У","")&amp;IF(INDEX(Квартиры!$J$2:$J$1501,MATCH($A9*1000+13,Квартиры!$K$2:$K$1501,0))&gt;0," +Г",""),"-"))</f>
        <v/>
      </c>
      <c r="P9">
        <f>IF($A9="","",IFERROR(IF(Настройки!$B$4="да",INDEX(Квартиры!$D$2:$D$1501,MATCH($A9*1000+14,Квартиры!$K$2:$K$1501,0))&amp;" / ","")&amp;INDEX(Квартиры!$H$2:$H$1501,MATCH($A9*1000+14,Квартиры!$K$2:$K$1501,0))&amp;" СУ"&amp;IF(INDEX(Квартиры!$I$2:$I$1501,MATCH($A9*1000+14,Квартиры!$K$2:$K$1501,0))&gt;0," +У","")&amp;IF(INDEX(Квартиры!$J$2:$J$1501,MATCH($A9*1000+14,Квартиры!$K$2:$K$1501,0))&gt;0," +Г",""),"-"))</f>
        <v/>
      </c>
      <c r="Q9">
        <f>IF($A9="","",IFERROR(IF(Настройки!$B$4="да",INDEX(Квартиры!$D$2:$D$1501,MATCH($A9*1000+15,Квартиры!$K$2:$K$1501,0))&amp;" / ","")&amp;INDEX(Квартиры!$H$2:$H$1501,MATCH($A9*1000+15,Квартиры!$K$2:$K$1501,0))&amp;" СУ"&amp;IF(INDEX(Квартиры!$I$2:$I$1501,MATCH($A9*1000+15,Квартиры!$K$2:$K$1501,0))&gt;0," +У","")&amp;IF(INDEX(Квартиры!$J$2:$J$1501,MATCH($A9*1000+15,Квартиры!$K$2:$K$1501,0))&gt;0," +Г",""),"-"))</f>
        <v/>
      </c>
      <c r="R9">
        <f>IF(A9="","",C9&amp;"|"&amp;D9&amp;"|"&amp;E9&amp;"|"&amp;F9&amp;"|"&amp;G9&amp;"|"&amp;H9&amp;"|"&amp;I9&amp;"|"&amp;J9&amp;"|"&amp;K9&amp;"|"&amp;L9&amp;"|"&amp;M9&amp;"|"&amp;N9&amp;"|"&amp;O9&amp;"|"&amp;P9&amp;"|"&amp;Q9)</f>
        <v/>
      </c>
      <c r="S9">
        <f>IF(A9="","",IFERROR(LOOKUP(2,1/(B$2:B8=B9),S$2:S8)&amp;", ","")&amp;A9)</f>
        <v/>
      </c>
      <c r="U9">
        <f>IF(7&gt;MAX(B$3:B$82),"",7)</f>
        <v/>
      </c>
      <c r="V9">
        <f>IF(U9="","",LOOKUP(2,1/(B$3:B$82=U9),S$3:S$82))</f>
        <v/>
      </c>
      <c r="W9">
        <f>IF(U9="","",COUNTIF(B$3:B$82,U9))</f>
        <v/>
      </c>
    </row>
    <row r="10">
      <c r="A10">
        <f>IFERROR(IF(A9="","",SMALL(Квартиры!$B$2:$B$1501,COUNTIF(Квартиры!$B$2:$B$1501,"&lt;="&amp;A9)+1)),"")</f>
        <v/>
      </c>
      <c r="B10">
        <f>IF(A10="","",IF(COUNTIF(R$2:R9,R10)=0,MAX(B$2:B9)+1,INDEX(B$2:B9,MATCH(R10,R$2:R9,0))))</f>
        <v/>
      </c>
      <c r="C10">
        <f>IF($A10="","",IFERROR(IF(Настройки!$B$4="да",INDEX(Квартиры!$D$2:$D$1501,MATCH($A10*1000+1,Квартиры!$K$2:$K$1501,0))&amp;" / ","")&amp;INDEX(Квартиры!$H$2:$H$1501,MATCH($A10*1000+1,Квартиры!$K$2:$K$1501,0))&amp;" СУ"&amp;IF(INDEX(Квартиры!$I$2:$I$1501,MATCH($A10*1000+1,Квартиры!$K$2:$K$1501,0))&gt;0," +У","")&amp;IF(INDEX(Квартиры!$J$2:$J$1501,MATCH($A10*1000+1,Квартиры!$K$2:$K$1501,0))&gt;0," +Г",""),"-"))</f>
        <v/>
      </c>
      <c r="D10">
        <f>IF($A10="","",IFERROR(IF(Настройки!$B$4="да",INDEX(Квартиры!$D$2:$D$1501,MATCH($A10*1000+2,Квартиры!$K$2:$K$1501,0))&amp;" / ","")&amp;INDEX(Квартиры!$H$2:$H$1501,MATCH($A10*1000+2,Квартиры!$K$2:$K$1501,0))&amp;" СУ"&amp;IF(INDEX(Квартиры!$I$2:$I$1501,MATCH($A10*1000+2,Квартиры!$K$2:$K$1501,0))&gt;0," +У","")&amp;IF(INDEX(Квартиры!$J$2:$J$1501,MATCH($A10*1000+2,Квартиры!$K$2:$K$1501,0))&gt;0," +Г",""),"-"))</f>
        <v/>
      </c>
      <c r="E10">
        <f>IF($A10="","",IFERROR(IF(Настройки!$B$4="да",INDEX(Квартиры!$D$2:$D$1501,MATCH($A10*1000+3,Квартиры!$K$2:$K$1501,0))&amp;" / ","")&amp;INDEX(Квартиры!$H$2:$H$1501,MATCH($A10*1000+3,Квартиры!$K$2:$K$1501,0))&amp;" СУ"&amp;IF(INDEX(Квартиры!$I$2:$I$1501,MATCH($A10*1000+3,Квартиры!$K$2:$K$1501,0))&gt;0," +У","")&amp;IF(INDEX(Квартиры!$J$2:$J$1501,MATCH($A10*1000+3,Квартиры!$K$2:$K$1501,0))&gt;0," +Г",""),"-"))</f>
        <v/>
      </c>
      <c r="F10">
        <f>IF($A10="","",IFERROR(IF(Настройки!$B$4="да",INDEX(Квартиры!$D$2:$D$1501,MATCH($A10*1000+4,Квартиры!$K$2:$K$1501,0))&amp;" / ","")&amp;INDEX(Квартиры!$H$2:$H$1501,MATCH($A10*1000+4,Квартиры!$K$2:$K$1501,0))&amp;" СУ"&amp;IF(INDEX(Квартиры!$I$2:$I$1501,MATCH($A10*1000+4,Квартиры!$K$2:$K$1501,0))&gt;0," +У","")&amp;IF(INDEX(Квартиры!$J$2:$J$1501,MATCH($A10*1000+4,Квартиры!$K$2:$K$1501,0))&gt;0," +Г",""),"-"))</f>
        <v/>
      </c>
      <c r="G10">
        <f>IF($A10="","",IFERROR(IF(Настройки!$B$4="да",INDEX(Квартиры!$D$2:$D$1501,MATCH($A10*1000+5,Квартиры!$K$2:$K$1501,0))&amp;" / ","")&amp;INDEX(Квартиры!$H$2:$H$1501,MATCH($A10*1000+5,Квартиры!$K$2:$K$1501,0))&amp;" СУ"&amp;IF(INDEX(Квартиры!$I$2:$I$1501,MATCH($A10*1000+5,Квартиры!$K$2:$K$1501,0))&gt;0," +У","")&amp;IF(INDEX(Квартиры!$J$2:$J$1501,MATCH($A10*1000+5,Квартиры!$K$2:$K$1501,0))&gt;0," +Г",""),"-"))</f>
        <v/>
      </c>
      <c r="H10">
        <f>IF($A10="","",IFERROR(IF(Настройки!$B$4="да",INDEX(Квартиры!$D$2:$D$1501,MATCH($A10*1000+6,Квартиры!$K$2:$K$1501,0))&amp;" / ","")&amp;INDEX(Квартиры!$H$2:$H$1501,MATCH($A10*1000+6,Квартиры!$K$2:$K$1501,0))&amp;" СУ"&amp;IF(INDEX(Квартиры!$I$2:$I$1501,MATCH($A10*1000+6,Квартиры!$K$2:$K$1501,0))&gt;0," +У","")&amp;IF(INDEX(Квартиры!$J$2:$J$1501,MATCH($A10*1000+6,Квартиры!$K$2:$K$1501,0))&gt;0," +Г",""),"-"))</f>
        <v/>
      </c>
      <c r="I10">
        <f>IF($A10="","",IFERROR(IF(Настройки!$B$4="да",INDEX(Квартиры!$D$2:$D$1501,MATCH($A10*1000+7,Квартиры!$K$2:$K$1501,0))&amp;" / ","")&amp;INDEX(Квартиры!$H$2:$H$1501,MATCH($A10*1000+7,Квартиры!$K$2:$K$1501,0))&amp;" СУ"&amp;IF(INDEX(Квартиры!$I$2:$I$1501,MATCH($A10*1000+7,Квартиры!$K$2:$K$1501,0))&gt;0," +У","")&amp;IF(INDEX(Квартиры!$J$2:$J$1501,MATCH($A10*1000+7,Квартиры!$K$2:$K$1501,0))&gt;0," +Г",""),"-"))</f>
        <v/>
      </c>
      <c r="J10">
        <f>IF($A10="","",IFERROR(IF(Настройки!$B$4="да",INDEX(Квартиры!$D$2:$D$1501,MATCH($A10*1000+8,Квартиры!$K$2:$K$1501,0))&amp;" / ","")&amp;INDEX(Квартиры!$H$2:$H$1501,MATCH($A10*1000+8,Квартиры!$K$2:$K$1501,0))&amp;" СУ"&amp;IF(INDEX(Квартиры!$I$2:$I$1501,MATCH($A10*1000+8,Квартиры!$K$2:$K$1501,0))&gt;0," +У","")&amp;IF(INDEX(Квартиры!$J$2:$J$1501,MATCH($A10*1000+8,Квартиры!$K$2:$K$1501,0))&gt;0," +Г",""),"-"))</f>
        <v/>
      </c>
      <c r="K10">
        <f>IF($A10="","",IFERROR(IF(Настройки!$B$4="да",INDEX(Квартиры!$D$2:$D$1501,MATCH($A10*1000+9,Квартиры!$K$2:$K$1501,0))&amp;" / ","")&amp;INDEX(Квартиры!$H$2:$H$1501,MATCH($A10*1000+9,Квартиры!$K$2:$K$1501,0))&amp;" СУ"&amp;IF(INDEX(Квартиры!$I$2:$I$1501,MATCH($A10*1000+9,Квартиры!$K$2:$K$1501,0))&gt;0," +У","")&amp;IF(INDEX(Квартиры!$J$2:$J$1501,MATCH($A10*1000+9,Квартиры!$K$2:$K$1501,0))&gt;0," +Г",""),"-"))</f>
        <v/>
      </c>
      <c r="L10">
        <f>IF($A10="","",IFERROR(IF(Настройки!$B$4="да",INDEX(Квартиры!$D$2:$D$1501,MATCH($A10*1000+10,Квартиры!$K$2:$K$1501,0))&amp;" / ","")&amp;INDEX(Квартиры!$H$2:$H$1501,MATCH($A10*1000+10,Квартиры!$K$2:$K$1501,0))&amp;" СУ"&amp;IF(INDEX(Квартиры!$I$2:$I$1501,MATCH($A10*1000+10,Квартиры!$K$2:$K$1501,0))&gt;0," +У","")&amp;IF(INDEX(Квартиры!$J$2:$J$1501,MATCH($A10*1000+10,Квартиры!$K$2:$K$1501,0))&gt;0," +Г",""),"-"))</f>
        <v/>
      </c>
      <c r="M10">
        <f>IF($A10="","",IFERROR(IF(Настройки!$B$4="да",INDEX(Квартиры!$D$2:$D$1501,MATCH($A10*1000+11,Квартиры!$K$2:$K$1501,0))&amp;" / ","")&amp;INDEX(Квартиры!$H$2:$H$1501,MATCH($A10*1000+11,Квартиры!$K$2:$K$1501,0))&amp;" СУ"&amp;IF(INDEX(Квартиры!$I$2:$I$1501,MATCH($A10*1000+11,Квартиры!$K$2:$K$1501,0))&gt;0," +У","")&amp;IF(INDEX(Квартиры!$J$2:$J$1501,MATCH($A10*1000+11,Квартиры!$K$2:$K$1501,0))&gt;0," +Г",""),"-"))</f>
        <v/>
      </c>
      <c r="N10">
        <f>IF($A10="","",IFERROR(IF(Настройки!$B$4="да",INDEX(Квартиры!$D$2:$D$1501,MATCH($A10*1000+12,Квартиры!$K$2:$K$1501,0))&amp;" / ","")&amp;INDEX(Квартиры!$H$2:$H$1501,MATCH($A10*1000+12,Квартиры!$K$2:$K$1501,0))&amp;" СУ"&amp;IF(INDEX(Квартиры!$I$2:$I$1501,MATCH($A10*1000+12,Квартиры!$K$2:$K$1501,0))&gt;0," +У","")&amp;IF(INDEX(Квартиры!$J$2:$J$1501,MATCH($A10*1000+12,Квартиры!$K$2:$K$1501,0))&gt;0," +Г",""),"-"))</f>
        <v/>
      </c>
      <c r="O10">
        <f>IF($A10="","",IFERROR(IF(Настройки!$B$4="да",INDEX(Квартиры!$D$2:$D$1501,MATCH($A10*1000+13,Квартиры!$K$2:$K$1501,0))&amp;" / ","")&amp;INDEX(Квартиры!$H$2:$H$1501,MATCH($A10*1000+13,Квартиры!$K$2:$K$1501,0))&amp;" СУ"&amp;IF(INDEX(Квартиры!$I$2:$I$1501,MATCH($A10*1000+13,Квартиры!$K$2:$K$1501,0))&gt;0," +У","")&amp;IF(INDEX(Квартиры!$J$2:$J$1501,MATCH($A10*1000+13,Квартиры!$K$2:$K$1501,0))&gt;0," +Г",""),"-"))</f>
        <v/>
      </c>
      <c r="P10">
        <f>IF($A10="","",IFERROR(IF(Настройки!$B$4="да",INDEX(Квартиры!$D$2:$D$1501,MATCH($A10*1000+14,Квартиры!$K$2:$K$1501,0))&amp;" / ","")&amp;INDEX(Квартиры!$H$2:$H$1501,MATCH($A10*1000+14,Квартиры!$K$2:$K$1501,0))&amp;" СУ"&amp;IF(INDEX(Квартиры!$I$2:$I$1501,MATCH($A10*1000+14,Квартиры!$K$2:$K$1501,0))&gt;0," +У","")&amp;IF(INDEX(Квартиры!$J$2:$J$1501,MATCH($A10*1000+14,Квартиры!$K$2:$K$1501,0))&gt;0," +Г",""),"-"))</f>
        <v/>
      </c>
      <c r="Q10">
        <f>IF($A10="","",IFERROR(IF(Настройки!$B$4="да",INDEX(Квартиры!$D$2:$D$1501,MATCH($A10*1000+15,Квартиры!$K$2:$K$1501,0))&amp;" / ","")&amp;INDEX(Квартиры!$H$2:$H$1501,MATCH($A10*1000+15,Квартиры!$K$2:$K$1501,0))&amp;" СУ"&amp;IF(INDEX(Квартиры!$I$2:$I$1501,MATCH($A10*1000+15,Квартиры!$K$2:$K$1501,0))&gt;0," +У","")&amp;IF(INDEX(Квартиры!$J$2:$J$1501,MATCH($A10*1000+15,Квартиры!$K$2:$K$1501,0))&gt;0," +Г",""),"-"))</f>
        <v/>
      </c>
      <c r="R10">
        <f>IF(A10="","",C10&amp;"|"&amp;D10&amp;"|"&amp;E10&amp;"|"&amp;F10&amp;"|"&amp;G10&amp;"|"&amp;H10&amp;"|"&amp;I10&amp;"|"&amp;J10&amp;"|"&amp;K10&amp;"|"&amp;L10&amp;"|"&amp;M10&amp;"|"&amp;N10&amp;"|"&amp;O10&amp;"|"&amp;P10&amp;"|"&amp;Q10)</f>
        <v/>
      </c>
      <c r="S10">
        <f>IF(A10="","",IFERROR(LOOKUP(2,1/(B$2:B9=B10),S$2:S9)&amp;", ","")&amp;A10)</f>
        <v/>
      </c>
      <c r="U10">
        <f>IF(8&gt;MAX(B$3:B$82),"",8)</f>
        <v/>
      </c>
      <c r="V10">
        <f>IF(U10="","",LOOKUP(2,1/(B$3:B$82=U10),S$3:S$82))</f>
        <v/>
      </c>
      <c r="W10">
        <f>IF(U10="","",COUNTIF(B$3:B$82,U10))</f>
        <v/>
      </c>
    </row>
    <row r="11">
      <c r="A11">
        <f>IFERROR(IF(A10="","",SMALL(Квартиры!$B$2:$B$1501,COUNTIF(Квартиры!$B$2:$B$1501,"&lt;="&amp;A10)+1)),"")</f>
        <v/>
      </c>
      <c r="B11">
        <f>IF(A11="","",IF(COUNTIF(R$2:R10,R11)=0,MAX(B$2:B10)+1,INDEX(B$2:B10,MATCH(R11,R$2:R10,0))))</f>
        <v/>
      </c>
      <c r="C11">
        <f>IF($A11="","",IFERROR(IF(Настройки!$B$4="да",INDEX(Квартиры!$D$2:$D$1501,MATCH($A11*1000+1,Квартиры!$K$2:$K$1501,0))&amp;" / ","")&amp;INDEX(Квартиры!$H$2:$H$1501,MATCH($A11*1000+1,Квартиры!$K$2:$K$1501,0))&amp;" СУ"&amp;IF(INDEX(Квартиры!$I$2:$I$1501,MATCH($A11*1000+1,Квартиры!$K$2:$K$1501,0))&gt;0," +У","")&amp;IF(INDEX(Квартиры!$J$2:$J$1501,MATCH($A11*1000+1,Квартиры!$K$2:$K$1501,0))&gt;0," +Г",""),"-"))</f>
        <v/>
      </c>
      <c r="D11">
        <f>IF($A11="","",IFERROR(IF(Настройки!$B$4="да",INDEX(Квартиры!$D$2:$D$1501,MATCH($A11*1000+2,Квартиры!$K$2:$K$1501,0))&amp;" / ","")&amp;INDEX(Квартиры!$H$2:$H$1501,MATCH($A11*1000+2,Квартиры!$K$2:$K$1501,0))&amp;" СУ"&amp;IF(INDEX(Квартиры!$I$2:$I$1501,MATCH($A11*1000+2,Квартиры!$K$2:$K$1501,0))&gt;0," +У","")&amp;IF(INDEX(Квартиры!$J$2:$J$1501,MATCH($A11*1000+2,Квартиры!$K$2:$K$1501,0))&gt;0," +Г",""),"-"))</f>
        <v/>
      </c>
      <c r="E11">
        <f>IF($A11="","",IFERROR(IF(Настройки!$B$4="да",INDEX(Квартиры!$D$2:$D$1501,MATCH($A11*1000+3,Квартиры!$K$2:$K$1501,0))&amp;" / ","")&amp;INDEX(Квартиры!$H$2:$H$1501,MATCH($A11*1000+3,Квартиры!$K$2:$K$1501,0))&amp;" СУ"&amp;IF(INDEX(Квартиры!$I$2:$I$1501,MATCH($A11*1000+3,Квартиры!$K$2:$K$1501,0))&gt;0," +У","")&amp;IF(INDEX(Квартиры!$J$2:$J$1501,MATCH($A11*1000+3,Квартиры!$K$2:$K$1501,0))&gt;0," +Г",""),"-"))</f>
        <v/>
      </c>
      <c r="F11">
        <f>IF($A11="","",IFERROR(IF(Настройки!$B$4="да",INDEX(Квартиры!$D$2:$D$1501,MATCH($A11*1000+4,Квартиры!$K$2:$K$1501,0))&amp;" / ","")&amp;INDEX(Квартиры!$H$2:$H$1501,MATCH($A11*1000+4,Квартиры!$K$2:$K$1501,0))&amp;" СУ"&amp;IF(INDEX(Квартиры!$I$2:$I$1501,MATCH($A11*1000+4,Квартиры!$K$2:$K$1501,0))&gt;0," +У","")&amp;IF(INDEX(Квартиры!$J$2:$J$1501,MATCH($A11*1000+4,Квартиры!$K$2:$K$1501,0))&gt;0," +Г",""),"-"))</f>
        <v/>
      </c>
      <c r="G11">
        <f>IF($A11="","",IFERROR(IF(Настройки!$B$4="да",INDEX(Квартиры!$D$2:$D$1501,MATCH($A11*1000+5,Квартиры!$K$2:$K$1501,0))&amp;" / ","")&amp;INDEX(Квартиры!$H$2:$H$1501,MATCH($A11*1000+5,Квартиры!$K$2:$K$1501,0))&amp;" СУ"&amp;IF(INDEX(Квартиры!$I$2:$I$1501,MATCH($A11*1000+5,Квартиры!$K$2:$K$1501,0))&gt;0," +У","")&amp;IF(INDEX(Квартиры!$J$2:$J$1501,MATCH($A11*1000+5,Квартиры!$K$2:$K$1501,0))&gt;0," +Г",""),"-"))</f>
        <v/>
      </c>
      <c r="H11">
        <f>IF($A11="","",IFERROR(IF(Настройки!$B$4="да",INDEX(Квартиры!$D$2:$D$1501,MATCH($A11*1000+6,Квартиры!$K$2:$K$1501,0))&amp;" / ","")&amp;INDEX(Квартиры!$H$2:$H$1501,MATCH($A11*1000+6,Квартиры!$K$2:$K$1501,0))&amp;" СУ"&amp;IF(INDEX(Квартиры!$I$2:$I$1501,MATCH($A11*1000+6,Квартиры!$K$2:$K$1501,0))&gt;0," +У","")&amp;IF(INDEX(Квартиры!$J$2:$J$1501,MATCH($A11*1000+6,Квартиры!$K$2:$K$1501,0))&gt;0," +Г",""),"-"))</f>
        <v/>
      </c>
      <c r="I11">
        <f>IF($A11="","",IFERROR(IF(Настройки!$B$4="да",INDEX(Квартиры!$D$2:$D$1501,MATCH($A11*1000+7,Квартиры!$K$2:$K$1501,0))&amp;" / ","")&amp;INDEX(Квартиры!$H$2:$H$1501,MATCH($A11*1000+7,Квартиры!$K$2:$K$1501,0))&amp;" СУ"&amp;IF(INDEX(Квартиры!$I$2:$I$1501,MATCH($A11*1000+7,Квартиры!$K$2:$K$1501,0))&gt;0," +У","")&amp;IF(INDEX(Квартиры!$J$2:$J$1501,MATCH($A11*1000+7,Квартиры!$K$2:$K$1501,0))&gt;0," +Г",""),"-"))</f>
        <v/>
      </c>
      <c r="J11">
        <f>IF($A11="","",IFERROR(IF(Настройки!$B$4="да",INDEX(Квартиры!$D$2:$D$1501,MATCH($A11*1000+8,Квартиры!$K$2:$K$1501,0))&amp;" / ","")&amp;INDEX(Квартиры!$H$2:$H$1501,MATCH($A11*1000+8,Квартиры!$K$2:$K$1501,0))&amp;" СУ"&amp;IF(INDEX(Квартиры!$I$2:$I$1501,MATCH($A11*1000+8,Квартиры!$K$2:$K$1501,0))&gt;0," +У","")&amp;IF(INDEX(Квартиры!$J$2:$J$1501,MATCH($A11*1000+8,Квартиры!$K$2:$K$1501,0))&gt;0," +Г",""),"-"))</f>
        <v/>
      </c>
      <c r="K11">
        <f>IF($A11="","",IFERROR(IF(Настройки!$B$4="да",INDEX(Квартиры!$D$2:$D$1501,MATCH($A11*1000+9,Квартиры!$K$2:$K$1501,0))&amp;" / ","")&amp;INDEX(Квартиры!$H$2:$H$1501,MATCH($A11*1000+9,Квартиры!$K$2:$K$1501,0))&amp;" СУ"&amp;IF(INDEX(Квартиры!$I$2:$I$1501,MATCH($A11*1000+9,Квартиры!$K$2:$K$1501,0))&gt;0," +У","")&amp;IF(INDEX(Квартиры!$J$2:$J$1501,MATCH($A11*1000+9,Квартиры!$K$2:$K$1501,0))&gt;0," +Г",""),"-"))</f>
        <v/>
      </c>
      <c r="L11">
        <f>IF($A11="","",IFERROR(IF(Настройки!$B$4="да",INDEX(Квартиры!$D$2:$D$1501,MATCH($A11*1000+10,Квартиры!$K$2:$K$1501,0))&amp;" / ","")&amp;INDEX(Квартиры!$H$2:$H$1501,MATCH($A11*1000+10,Квартиры!$K$2:$K$1501,0))&amp;" СУ"&amp;IF(INDEX(Квартиры!$I$2:$I$1501,MATCH($A11*1000+10,Квартиры!$K$2:$K$1501,0))&gt;0," +У","")&amp;IF(INDEX(Квартиры!$J$2:$J$1501,MATCH($A11*1000+10,Квартиры!$K$2:$K$1501,0))&gt;0," +Г",""),"-"))</f>
        <v/>
      </c>
      <c r="M11">
        <f>IF($A11="","",IFERROR(IF(Настройки!$B$4="да",INDEX(Квартиры!$D$2:$D$1501,MATCH($A11*1000+11,Квартиры!$K$2:$K$1501,0))&amp;" / ","")&amp;INDEX(Квартиры!$H$2:$H$1501,MATCH($A11*1000+11,Квартиры!$K$2:$K$1501,0))&amp;" СУ"&amp;IF(INDEX(Квартиры!$I$2:$I$1501,MATCH($A11*1000+11,Квартиры!$K$2:$K$1501,0))&gt;0," +У","")&amp;IF(INDEX(Квартиры!$J$2:$J$1501,MATCH($A11*1000+11,Квартиры!$K$2:$K$1501,0))&gt;0," +Г",""),"-"))</f>
        <v/>
      </c>
      <c r="N11">
        <f>IF($A11="","",IFERROR(IF(Настройки!$B$4="да",INDEX(Квартиры!$D$2:$D$1501,MATCH($A11*1000+12,Квартиры!$K$2:$K$1501,0))&amp;" / ","")&amp;INDEX(Квартиры!$H$2:$H$1501,MATCH($A11*1000+12,Квартиры!$K$2:$K$1501,0))&amp;" СУ"&amp;IF(INDEX(Квартиры!$I$2:$I$1501,MATCH($A11*1000+12,Квартиры!$K$2:$K$1501,0))&gt;0," +У","")&amp;IF(INDEX(Квартиры!$J$2:$J$1501,MATCH($A11*1000+12,Квартиры!$K$2:$K$1501,0))&gt;0," +Г",""),"-"))</f>
        <v/>
      </c>
      <c r="O11">
        <f>IF($A11="","",IFERROR(IF(Настройки!$B$4="да",INDEX(Квартиры!$D$2:$D$1501,MATCH($A11*1000+13,Квартиры!$K$2:$K$1501,0))&amp;" / ","")&amp;INDEX(Квартиры!$H$2:$H$1501,MATCH($A11*1000+13,Квартиры!$K$2:$K$1501,0))&amp;" СУ"&amp;IF(INDEX(Квартиры!$I$2:$I$1501,MATCH($A11*1000+13,Квартиры!$K$2:$K$1501,0))&gt;0," +У","")&amp;IF(INDEX(Квартиры!$J$2:$J$1501,MATCH($A11*1000+13,Квартиры!$K$2:$K$1501,0))&gt;0," +Г",""),"-"))</f>
        <v/>
      </c>
      <c r="P11">
        <f>IF($A11="","",IFERROR(IF(Настройки!$B$4="да",INDEX(Квартиры!$D$2:$D$1501,MATCH($A11*1000+14,Квартиры!$K$2:$K$1501,0))&amp;" / ","")&amp;INDEX(Квартиры!$H$2:$H$1501,MATCH($A11*1000+14,Квартиры!$K$2:$K$1501,0))&amp;" СУ"&amp;IF(INDEX(Квартиры!$I$2:$I$1501,MATCH($A11*1000+14,Квартиры!$K$2:$K$1501,0))&gt;0," +У","")&amp;IF(INDEX(Квартиры!$J$2:$J$1501,MATCH($A11*1000+14,Квартиры!$K$2:$K$1501,0))&gt;0," +Г",""),"-"))</f>
        <v/>
      </c>
      <c r="Q11">
        <f>IF($A11="","",IFERROR(IF(Настройки!$B$4="да",INDEX(Квартиры!$D$2:$D$1501,MATCH($A11*1000+15,Квартиры!$K$2:$K$1501,0))&amp;" / ","")&amp;INDEX(Квартиры!$H$2:$H$1501,MATCH($A11*1000+15,Квартиры!$K$2:$K$1501,0))&amp;" СУ"&amp;IF(INDEX(Квартиры!$I$2:$I$1501,MATCH($A11*1000+15,Квартиры!$K$2:$K$1501,0))&gt;0," +У","")&amp;IF(INDEX(Квартиры!$J$2:$J$1501,MATCH($A11*1000+15,Квартиры!$K$2:$K$1501,0))&gt;0," +Г",""),"-"))</f>
        <v/>
      </c>
      <c r="R11">
        <f>IF(A11="","",C11&amp;"|"&amp;D11&amp;"|"&amp;E11&amp;"|"&amp;F11&amp;"|"&amp;G11&amp;"|"&amp;H11&amp;"|"&amp;I11&amp;"|"&amp;J11&amp;"|"&amp;K11&amp;"|"&amp;L11&amp;"|"&amp;M11&amp;"|"&amp;N11&amp;"|"&amp;O11&amp;"|"&amp;P11&amp;"|"&amp;Q11)</f>
        <v/>
      </c>
      <c r="S11">
        <f>IF(A11="","",IFERROR(LOOKUP(2,1/(B$2:B10=B11),S$2:S10)&amp;", ","")&amp;A11)</f>
        <v/>
      </c>
      <c r="U11">
        <f>IF(9&gt;MAX(B$3:B$82),"",9)</f>
        <v/>
      </c>
      <c r="V11">
        <f>IF(U11="","",LOOKUP(2,1/(B$3:B$82=U11),S$3:S$82))</f>
        <v/>
      </c>
      <c r="W11">
        <f>IF(U11="","",COUNTIF(B$3:B$82,U11))</f>
        <v/>
      </c>
    </row>
    <row r="12">
      <c r="A12">
        <f>IFERROR(IF(A11="","",SMALL(Квартиры!$B$2:$B$1501,COUNTIF(Квартиры!$B$2:$B$1501,"&lt;="&amp;A11)+1)),"")</f>
        <v/>
      </c>
      <c r="B12">
        <f>IF(A12="","",IF(COUNTIF(R$2:R11,R12)=0,MAX(B$2:B11)+1,INDEX(B$2:B11,MATCH(R12,R$2:R11,0))))</f>
        <v/>
      </c>
      <c r="C12">
        <f>IF($A12="","",IFERROR(IF(Настройки!$B$4="да",INDEX(Квартиры!$D$2:$D$1501,MATCH($A12*1000+1,Квартиры!$K$2:$K$1501,0))&amp;" / ","")&amp;INDEX(Квартиры!$H$2:$H$1501,MATCH($A12*1000+1,Квартиры!$K$2:$K$1501,0))&amp;" СУ"&amp;IF(INDEX(Квартиры!$I$2:$I$1501,MATCH($A12*1000+1,Квартиры!$K$2:$K$1501,0))&gt;0," +У","")&amp;IF(INDEX(Квартиры!$J$2:$J$1501,MATCH($A12*1000+1,Квартиры!$K$2:$K$1501,0))&gt;0," +Г",""),"-"))</f>
        <v/>
      </c>
      <c r="D12">
        <f>IF($A12="","",IFERROR(IF(Настройки!$B$4="да",INDEX(Квартиры!$D$2:$D$1501,MATCH($A12*1000+2,Квартиры!$K$2:$K$1501,0))&amp;" / ","")&amp;INDEX(Квартиры!$H$2:$H$1501,MATCH($A12*1000+2,Квартиры!$K$2:$K$1501,0))&amp;" СУ"&amp;IF(INDEX(Квартиры!$I$2:$I$1501,MATCH($A12*1000+2,Квартиры!$K$2:$K$1501,0))&gt;0," +У","")&amp;IF(INDEX(Квартиры!$J$2:$J$1501,MATCH($A12*1000+2,Квартиры!$K$2:$K$1501,0))&gt;0," +Г",""),"-"))</f>
        <v/>
      </c>
      <c r="E12">
        <f>IF($A12="","",IFERROR(IF(Настройки!$B$4="да",INDEX(Квартиры!$D$2:$D$1501,MATCH($A12*1000+3,Квартиры!$K$2:$K$1501,0))&amp;" / ","")&amp;INDEX(Квартиры!$H$2:$H$1501,MATCH($A12*1000+3,Квартиры!$K$2:$K$1501,0))&amp;" СУ"&amp;IF(INDEX(Квартиры!$I$2:$I$1501,MATCH($A12*1000+3,Квартиры!$K$2:$K$1501,0))&gt;0," +У","")&amp;IF(INDEX(Квартиры!$J$2:$J$1501,MATCH($A12*1000+3,Квартиры!$K$2:$K$1501,0))&gt;0," +Г",""),"-"))</f>
        <v/>
      </c>
      <c r="F12">
        <f>IF($A12="","",IFERROR(IF(Настройки!$B$4="да",INDEX(Квартиры!$D$2:$D$1501,MATCH($A12*1000+4,Квартиры!$K$2:$K$1501,0))&amp;" / ","")&amp;INDEX(Квартиры!$H$2:$H$1501,MATCH($A12*1000+4,Квартиры!$K$2:$K$1501,0))&amp;" СУ"&amp;IF(INDEX(Квартиры!$I$2:$I$1501,MATCH($A12*1000+4,Квартиры!$K$2:$K$1501,0))&gt;0," +У","")&amp;IF(INDEX(Квартиры!$J$2:$J$1501,MATCH($A12*1000+4,Квартиры!$K$2:$K$1501,0))&gt;0," +Г",""),"-"))</f>
        <v/>
      </c>
      <c r="G12">
        <f>IF($A12="","",IFERROR(IF(Настройки!$B$4="да",INDEX(Квартиры!$D$2:$D$1501,MATCH($A12*1000+5,Квартиры!$K$2:$K$1501,0))&amp;" / ","")&amp;INDEX(Квартиры!$H$2:$H$1501,MATCH($A12*1000+5,Квартиры!$K$2:$K$1501,0))&amp;" СУ"&amp;IF(INDEX(Квартиры!$I$2:$I$1501,MATCH($A12*1000+5,Квартиры!$K$2:$K$1501,0))&gt;0," +У","")&amp;IF(INDEX(Квартиры!$J$2:$J$1501,MATCH($A12*1000+5,Квартиры!$K$2:$K$1501,0))&gt;0," +Г",""),"-"))</f>
        <v/>
      </c>
      <c r="H12">
        <f>IF($A12="","",IFERROR(IF(Настройки!$B$4="да",INDEX(Квартиры!$D$2:$D$1501,MATCH($A12*1000+6,Квартиры!$K$2:$K$1501,0))&amp;" / ","")&amp;INDEX(Квартиры!$H$2:$H$1501,MATCH($A12*1000+6,Квартиры!$K$2:$K$1501,0))&amp;" СУ"&amp;IF(INDEX(Квартиры!$I$2:$I$1501,MATCH($A12*1000+6,Квартиры!$K$2:$K$1501,0))&gt;0," +У","")&amp;IF(INDEX(Квартиры!$J$2:$J$1501,MATCH($A12*1000+6,Квартиры!$K$2:$K$1501,0))&gt;0," +Г",""),"-"))</f>
        <v/>
      </c>
      <c r="I12">
        <f>IF($A12="","",IFERROR(IF(Настройки!$B$4="да",INDEX(Квартиры!$D$2:$D$1501,MATCH($A12*1000+7,Квартиры!$K$2:$K$1501,0))&amp;" / ","")&amp;INDEX(Квартиры!$H$2:$H$1501,MATCH($A12*1000+7,Квартиры!$K$2:$K$1501,0))&amp;" СУ"&amp;IF(INDEX(Квартиры!$I$2:$I$1501,MATCH($A12*1000+7,Квартиры!$K$2:$K$1501,0))&gt;0," +У","")&amp;IF(INDEX(Квартиры!$J$2:$J$1501,MATCH($A12*1000+7,Квартиры!$K$2:$K$1501,0))&gt;0," +Г",""),"-"))</f>
        <v/>
      </c>
      <c r="J12">
        <f>IF($A12="","",IFERROR(IF(Настройки!$B$4="да",INDEX(Квартиры!$D$2:$D$1501,MATCH($A12*1000+8,Квартиры!$K$2:$K$1501,0))&amp;" / ","")&amp;INDEX(Квартиры!$H$2:$H$1501,MATCH($A12*1000+8,Квартиры!$K$2:$K$1501,0))&amp;" СУ"&amp;IF(INDEX(Квартиры!$I$2:$I$1501,MATCH($A12*1000+8,Квартиры!$K$2:$K$1501,0))&gt;0," +У","")&amp;IF(INDEX(Квартиры!$J$2:$J$1501,MATCH($A12*1000+8,Квартиры!$K$2:$K$1501,0))&gt;0," +Г",""),"-"))</f>
        <v/>
      </c>
      <c r="K12">
        <f>IF($A12="","",IFERROR(IF(Настройки!$B$4="да",INDEX(Квартиры!$D$2:$D$1501,MATCH($A12*1000+9,Квартиры!$K$2:$K$1501,0))&amp;" / ","")&amp;INDEX(Квартиры!$H$2:$H$1501,MATCH($A12*1000+9,Квартиры!$K$2:$K$1501,0))&amp;" СУ"&amp;IF(INDEX(Квартиры!$I$2:$I$1501,MATCH($A12*1000+9,Квартиры!$K$2:$K$1501,0))&gt;0," +У","")&amp;IF(INDEX(Квартиры!$J$2:$J$1501,MATCH($A12*1000+9,Квартиры!$K$2:$K$1501,0))&gt;0," +Г",""),"-"))</f>
        <v/>
      </c>
      <c r="L12">
        <f>IF($A12="","",IFERROR(IF(Настройки!$B$4="да",INDEX(Квартиры!$D$2:$D$1501,MATCH($A12*1000+10,Квартиры!$K$2:$K$1501,0))&amp;" / ","")&amp;INDEX(Квартиры!$H$2:$H$1501,MATCH($A12*1000+10,Квартиры!$K$2:$K$1501,0))&amp;" СУ"&amp;IF(INDEX(Квартиры!$I$2:$I$1501,MATCH($A12*1000+10,Квартиры!$K$2:$K$1501,0))&gt;0," +У","")&amp;IF(INDEX(Квартиры!$J$2:$J$1501,MATCH($A12*1000+10,Квартиры!$K$2:$K$1501,0))&gt;0," +Г",""),"-"))</f>
        <v/>
      </c>
      <c r="M12">
        <f>IF($A12="","",IFERROR(IF(Настройки!$B$4="да",INDEX(Квартиры!$D$2:$D$1501,MATCH($A12*1000+11,Квартиры!$K$2:$K$1501,0))&amp;" / ","")&amp;INDEX(Квартиры!$H$2:$H$1501,MATCH($A12*1000+11,Квартиры!$K$2:$K$1501,0))&amp;" СУ"&amp;IF(INDEX(Квартиры!$I$2:$I$1501,MATCH($A12*1000+11,Квартиры!$K$2:$K$1501,0))&gt;0," +У","")&amp;IF(INDEX(Квартиры!$J$2:$J$1501,MATCH($A12*1000+11,Квартиры!$K$2:$K$1501,0))&gt;0," +Г",""),"-"))</f>
        <v/>
      </c>
      <c r="N12">
        <f>IF($A12="","",IFERROR(IF(Настройки!$B$4="да",INDEX(Квартиры!$D$2:$D$1501,MATCH($A12*1000+12,Квартиры!$K$2:$K$1501,0))&amp;" / ","")&amp;INDEX(Квартиры!$H$2:$H$1501,MATCH($A12*1000+12,Квартиры!$K$2:$K$1501,0))&amp;" СУ"&amp;IF(INDEX(Квартиры!$I$2:$I$1501,MATCH($A12*1000+12,Квартиры!$K$2:$K$1501,0))&gt;0," +У","")&amp;IF(INDEX(Квартиры!$J$2:$J$1501,MATCH($A12*1000+12,Квартиры!$K$2:$K$1501,0))&gt;0," +Г",""),"-"))</f>
        <v/>
      </c>
      <c r="O12">
        <f>IF($A12="","",IFERROR(IF(Настройки!$B$4="да",INDEX(Квартиры!$D$2:$D$1501,MATCH($A12*1000+13,Квартиры!$K$2:$K$1501,0))&amp;" / ","")&amp;INDEX(Квартиры!$H$2:$H$1501,MATCH($A12*1000+13,Квартиры!$K$2:$K$1501,0))&amp;" СУ"&amp;IF(INDEX(Квартиры!$I$2:$I$1501,MATCH($A12*1000+13,Квартиры!$K$2:$K$1501,0))&gt;0," +У","")&amp;IF(INDEX(Квартиры!$J$2:$J$1501,MATCH($A12*1000+13,Квартиры!$K$2:$K$1501,0))&gt;0," +Г",""),"-"))</f>
        <v/>
      </c>
      <c r="P12">
        <f>IF($A12="","",IFERROR(IF(Настройки!$B$4="да",INDEX(Квартиры!$D$2:$D$1501,MATCH($A12*1000+14,Квартиры!$K$2:$K$1501,0))&amp;" / ","")&amp;INDEX(Квартиры!$H$2:$H$1501,MATCH($A12*1000+14,Квартиры!$K$2:$K$1501,0))&amp;" СУ"&amp;IF(INDEX(Квартиры!$I$2:$I$1501,MATCH($A12*1000+14,Квартиры!$K$2:$K$1501,0))&gt;0," +У","")&amp;IF(INDEX(Квартиры!$J$2:$J$1501,MATCH($A12*1000+14,Квартиры!$K$2:$K$1501,0))&gt;0," +Г",""),"-"))</f>
        <v/>
      </c>
      <c r="Q12">
        <f>IF($A12="","",IFERROR(IF(Настройки!$B$4="да",INDEX(Квартиры!$D$2:$D$1501,MATCH($A12*1000+15,Квартиры!$K$2:$K$1501,0))&amp;" / ","")&amp;INDEX(Квартиры!$H$2:$H$1501,MATCH($A12*1000+15,Квартиры!$K$2:$K$1501,0))&amp;" СУ"&amp;IF(INDEX(Квартиры!$I$2:$I$1501,MATCH($A12*1000+15,Квартиры!$K$2:$K$1501,0))&gt;0," +У","")&amp;IF(INDEX(Квартиры!$J$2:$J$1501,MATCH($A12*1000+15,Квартиры!$K$2:$K$1501,0))&gt;0," +Г",""),"-"))</f>
        <v/>
      </c>
      <c r="R12">
        <f>IF(A12="","",C12&amp;"|"&amp;D12&amp;"|"&amp;E12&amp;"|"&amp;F12&amp;"|"&amp;G12&amp;"|"&amp;H12&amp;"|"&amp;I12&amp;"|"&amp;J12&amp;"|"&amp;K12&amp;"|"&amp;L12&amp;"|"&amp;M12&amp;"|"&amp;N12&amp;"|"&amp;O12&amp;"|"&amp;P12&amp;"|"&amp;Q12)</f>
        <v/>
      </c>
      <c r="S12">
        <f>IF(A12="","",IFERROR(LOOKUP(2,1/(B$2:B11=B12),S$2:S11)&amp;", ","")&amp;A12)</f>
        <v/>
      </c>
      <c r="U12">
        <f>IF(10&gt;MAX(B$3:B$82),"",10)</f>
        <v/>
      </c>
      <c r="V12">
        <f>IF(U12="","",LOOKUP(2,1/(B$3:B$82=U12),S$3:S$82))</f>
        <v/>
      </c>
      <c r="W12">
        <f>IF(U12="","",COUNTIF(B$3:B$82,U12))</f>
        <v/>
      </c>
    </row>
    <row r="13">
      <c r="A13">
        <f>IFERROR(IF(A12="","",SMALL(Квартиры!$B$2:$B$1501,COUNTIF(Квартиры!$B$2:$B$1501,"&lt;="&amp;A12)+1)),"")</f>
        <v/>
      </c>
      <c r="B13">
        <f>IF(A13="","",IF(COUNTIF(R$2:R12,R13)=0,MAX(B$2:B12)+1,INDEX(B$2:B12,MATCH(R13,R$2:R12,0))))</f>
        <v/>
      </c>
      <c r="C13">
        <f>IF($A13="","",IFERROR(IF(Настройки!$B$4="да",INDEX(Квартиры!$D$2:$D$1501,MATCH($A13*1000+1,Квартиры!$K$2:$K$1501,0))&amp;" / ","")&amp;INDEX(Квартиры!$H$2:$H$1501,MATCH($A13*1000+1,Квартиры!$K$2:$K$1501,0))&amp;" СУ"&amp;IF(INDEX(Квартиры!$I$2:$I$1501,MATCH($A13*1000+1,Квартиры!$K$2:$K$1501,0))&gt;0," +У","")&amp;IF(INDEX(Квартиры!$J$2:$J$1501,MATCH($A13*1000+1,Квартиры!$K$2:$K$1501,0))&gt;0," +Г",""),"-"))</f>
        <v/>
      </c>
      <c r="D13">
        <f>IF($A13="","",IFERROR(IF(Настройки!$B$4="да",INDEX(Квартиры!$D$2:$D$1501,MATCH($A13*1000+2,Квартиры!$K$2:$K$1501,0))&amp;" / ","")&amp;INDEX(Квартиры!$H$2:$H$1501,MATCH($A13*1000+2,Квартиры!$K$2:$K$1501,0))&amp;" СУ"&amp;IF(INDEX(Квартиры!$I$2:$I$1501,MATCH($A13*1000+2,Квартиры!$K$2:$K$1501,0))&gt;0," +У","")&amp;IF(INDEX(Квартиры!$J$2:$J$1501,MATCH($A13*1000+2,Квартиры!$K$2:$K$1501,0))&gt;0," +Г",""),"-"))</f>
        <v/>
      </c>
      <c r="E13">
        <f>IF($A13="","",IFERROR(IF(Настройки!$B$4="да",INDEX(Квартиры!$D$2:$D$1501,MATCH($A13*1000+3,Квартиры!$K$2:$K$1501,0))&amp;" / ","")&amp;INDEX(Квартиры!$H$2:$H$1501,MATCH($A13*1000+3,Квартиры!$K$2:$K$1501,0))&amp;" СУ"&amp;IF(INDEX(Квартиры!$I$2:$I$1501,MATCH($A13*1000+3,Квартиры!$K$2:$K$1501,0))&gt;0," +У","")&amp;IF(INDEX(Квартиры!$J$2:$J$1501,MATCH($A13*1000+3,Квартиры!$K$2:$K$1501,0))&gt;0," +Г",""),"-"))</f>
        <v/>
      </c>
      <c r="F13">
        <f>IF($A13="","",IFERROR(IF(Настройки!$B$4="да",INDEX(Квартиры!$D$2:$D$1501,MATCH($A13*1000+4,Квартиры!$K$2:$K$1501,0))&amp;" / ","")&amp;INDEX(Квартиры!$H$2:$H$1501,MATCH($A13*1000+4,Квартиры!$K$2:$K$1501,0))&amp;" СУ"&amp;IF(INDEX(Квартиры!$I$2:$I$1501,MATCH($A13*1000+4,Квартиры!$K$2:$K$1501,0))&gt;0," +У","")&amp;IF(INDEX(Квартиры!$J$2:$J$1501,MATCH($A13*1000+4,Квартиры!$K$2:$K$1501,0))&gt;0," +Г",""),"-"))</f>
        <v/>
      </c>
      <c r="G13">
        <f>IF($A13="","",IFERROR(IF(Настройки!$B$4="да",INDEX(Квартиры!$D$2:$D$1501,MATCH($A13*1000+5,Квартиры!$K$2:$K$1501,0))&amp;" / ","")&amp;INDEX(Квартиры!$H$2:$H$1501,MATCH($A13*1000+5,Квартиры!$K$2:$K$1501,0))&amp;" СУ"&amp;IF(INDEX(Квартиры!$I$2:$I$1501,MATCH($A13*1000+5,Квартиры!$K$2:$K$1501,0))&gt;0," +У","")&amp;IF(INDEX(Квартиры!$J$2:$J$1501,MATCH($A13*1000+5,Квартиры!$K$2:$K$1501,0))&gt;0," +Г",""),"-"))</f>
        <v/>
      </c>
      <c r="H13">
        <f>IF($A13="","",IFERROR(IF(Настройки!$B$4="да",INDEX(Квартиры!$D$2:$D$1501,MATCH($A13*1000+6,Квартиры!$K$2:$K$1501,0))&amp;" / ","")&amp;INDEX(Квартиры!$H$2:$H$1501,MATCH($A13*1000+6,Квартиры!$K$2:$K$1501,0))&amp;" СУ"&amp;IF(INDEX(Квартиры!$I$2:$I$1501,MATCH($A13*1000+6,Квартиры!$K$2:$K$1501,0))&gt;0," +У","")&amp;IF(INDEX(Квартиры!$J$2:$J$1501,MATCH($A13*1000+6,Квартиры!$K$2:$K$1501,0))&gt;0," +Г",""),"-"))</f>
        <v/>
      </c>
      <c r="I13">
        <f>IF($A13="","",IFERROR(IF(Настройки!$B$4="да",INDEX(Квартиры!$D$2:$D$1501,MATCH($A13*1000+7,Квартиры!$K$2:$K$1501,0))&amp;" / ","")&amp;INDEX(Квартиры!$H$2:$H$1501,MATCH($A13*1000+7,Квартиры!$K$2:$K$1501,0))&amp;" СУ"&amp;IF(INDEX(Квартиры!$I$2:$I$1501,MATCH($A13*1000+7,Квартиры!$K$2:$K$1501,0))&gt;0," +У","")&amp;IF(INDEX(Квартиры!$J$2:$J$1501,MATCH($A13*1000+7,Квартиры!$K$2:$K$1501,0))&gt;0," +Г",""),"-"))</f>
        <v/>
      </c>
      <c r="J13">
        <f>IF($A13="","",IFERROR(IF(Настройки!$B$4="да",INDEX(Квартиры!$D$2:$D$1501,MATCH($A13*1000+8,Квартиры!$K$2:$K$1501,0))&amp;" / ","")&amp;INDEX(Квартиры!$H$2:$H$1501,MATCH($A13*1000+8,Квартиры!$K$2:$K$1501,0))&amp;" СУ"&amp;IF(INDEX(Квартиры!$I$2:$I$1501,MATCH($A13*1000+8,Квартиры!$K$2:$K$1501,0))&gt;0," +У","")&amp;IF(INDEX(Квартиры!$J$2:$J$1501,MATCH($A13*1000+8,Квартиры!$K$2:$K$1501,0))&gt;0," +Г",""),"-"))</f>
        <v/>
      </c>
      <c r="K13">
        <f>IF($A13="","",IFERROR(IF(Настройки!$B$4="да",INDEX(Квартиры!$D$2:$D$1501,MATCH($A13*1000+9,Квартиры!$K$2:$K$1501,0))&amp;" / ","")&amp;INDEX(Квартиры!$H$2:$H$1501,MATCH($A13*1000+9,Квартиры!$K$2:$K$1501,0))&amp;" СУ"&amp;IF(INDEX(Квартиры!$I$2:$I$1501,MATCH($A13*1000+9,Квартиры!$K$2:$K$1501,0))&gt;0," +У","")&amp;IF(INDEX(Квартиры!$J$2:$J$1501,MATCH($A13*1000+9,Квартиры!$K$2:$K$1501,0))&gt;0," +Г",""),"-"))</f>
        <v/>
      </c>
      <c r="L13">
        <f>IF($A13="","",IFERROR(IF(Настройки!$B$4="да",INDEX(Квартиры!$D$2:$D$1501,MATCH($A13*1000+10,Квартиры!$K$2:$K$1501,0))&amp;" / ","")&amp;INDEX(Квартиры!$H$2:$H$1501,MATCH($A13*1000+10,Квартиры!$K$2:$K$1501,0))&amp;" СУ"&amp;IF(INDEX(Квартиры!$I$2:$I$1501,MATCH($A13*1000+10,Квартиры!$K$2:$K$1501,0))&gt;0," +У","")&amp;IF(INDEX(Квартиры!$J$2:$J$1501,MATCH($A13*1000+10,Квартиры!$K$2:$K$1501,0))&gt;0," +Г",""),"-"))</f>
        <v/>
      </c>
      <c r="M13">
        <f>IF($A13="","",IFERROR(IF(Настройки!$B$4="да",INDEX(Квартиры!$D$2:$D$1501,MATCH($A13*1000+11,Квартиры!$K$2:$K$1501,0))&amp;" / ","")&amp;INDEX(Квартиры!$H$2:$H$1501,MATCH($A13*1000+11,Квартиры!$K$2:$K$1501,0))&amp;" СУ"&amp;IF(INDEX(Квартиры!$I$2:$I$1501,MATCH($A13*1000+11,Квартиры!$K$2:$K$1501,0))&gt;0," +У","")&amp;IF(INDEX(Квартиры!$J$2:$J$1501,MATCH($A13*1000+11,Квартиры!$K$2:$K$1501,0))&gt;0," +Г",""),"-"))</f>
        <v/>
      </c>
      <c r="N13">
        <f>IF($A13="","",IFERROR(IF(Настройки!$B$4="да",INDEX(Квартиры!$D$2:$D$1501,MATCH($A13*1000+12,Квартиры!$K$2:$K$1501,0))&amp;" / ","")&amp;INDEX(Квартиры!$H$2:$H$1501,MATCH($A13*1000+12,Квартиры!$K$2:$K$1501,0))&amp;" СУ"&amp;IF(INDEX(Квартиры!$I$2:$I$1501,MATCH($A13*1000+12,Квартиры!$K$2:$K$1501,0))&gt;0," +У","")&amp;IF(INDEX(Квартиры!$J$2:$J$1501,MATCH($A13*1000+12,Квартиры!$K$2:$K$1501,0))&gt;0," +Г",""),"-"))</f>
        <v/>
      </c>
      <c r="O13">
        <f>IF($A13="","",IFERROR(IF(Настройки!$B$4="да",INDEX(Квартиры!$D$2:$D$1501,MATCH($A13*1000+13,Квартиры!$K$2:$K$1501,0))&amp;" / ","")&amp;INDEX(Квартиры!$H$2:$H$1501,MATCH($A13*1000+13,Квартиры!$K$2:$K$1501,0))&amp;" СУ"&amp;IF(INDEX(Квартиры!$I$2:$I$1501,MATCH($A13*1000+13,Квартиры!$K$2:$K$1501,0))&gt;0," +У","")&amp;IF(INDEX(Квартиры!$J$2:$J$1501,MATCH($A13*1000+13,Квартиры!$K$2:$K$1501,0))&gt;0," +Г",""),"-"))</f>
        <v/>
      </c>
      <c r="P13">
        <f>IF($A13="","",IFERROR(IF(Настройки!$B$4="да",INDEX(Квартиры!$D$2:$D$1501,MATCH($A13*1000+14,Квартиры!$K$2:$K$1501,0))&amp;" / ","")&amp;INDEX(Квартиры!$H$2:$H$1501,MATCH($A13*1000+14,Квартиры!$K$2:$K$1501,0))&amp;" СУ"&amp;IF(INDEX(Квартиры!$I$2:$I$1501,MATCH($A13*1000+14,Квартиры!$K$2:$K$1501,0))&gt;0," +У","")&amp;IF(INDEX(Квартиры!$J$2:$J$1501,MATCH($A13*1000+14,Квартиры!$K$2:$K$1501,0))&gt;0," +Г",""),"-"))</f>
        <v/>
      </c>
      <c r="Q13">
        <f>IF($A13="","",IFERROR(IF(Настройки!$B$4="да",INDEX(Квартиры!$D$2:$D$1501,MATCH($A13*1000+15,Квартиры!$K$2:$K$1501,0))&amp;" / ","")&amp;INDEX(Квартиры!$H$2:$H$1501,MATCH($A13*1000+15,Квартиры!$K$2:$K$1501,0))&amp;" СУ"&amp;IF(INDEX(Квартиры!$I$2:$I$1501,MATCH($A13*1000+15,Квартиры!$K$2:$K$1501,0))&gt;0," +У","")&amp;IF(INDEX(Квартиры!$J$2:$J$1501,MATCH($A13*1000+15,Квартиры!$K$2:$K$1501,0))&gt;0," +Г",""),"-"))</f>
        <v/>
      </c>
      <c r="R13">
        <f>IF(A13="","",C13&amp;"|"&amp;D13&amp;"|"&amp;E13&amp;"|"&amp;F13&amp;"|"&amp;G13&amp;"|"&amp;H13&amp;"|"&amp;I13&amp;"|"&amp;J13&amp;"|"&amp;K13&amp;"|"&amp;L13&amp;"|"&amp;M13&amp;"|"&amp;N13&amp;"|"&amp;O13&amp;"|"&amp;P13&amp;"|"&amp;Q13)</f>
        <v/>
      </c>
      <c r="S13">
        <f>IF(A13="","",IFERROR(LOOKUP(2,1/(B$2:B12=B13),S$2:S12)&amp;", ","")&amp;A13)</f>
        <v/>
      </c>
      <c r="U13">
        <f>IF(11&gt;MAX(B$3:B$82),"",11)</f>
        <v/>
      </c>
      <c r="V13">
        <f>IF(U13="","",LOOKUP(2,1/(B$3:B$82=U13),S$3:S$82))</f>
        <v/>
      </c>
      <c r="W13">
        <f>IF(U13="","",COUNTIF(B$3:B$82,U13))</f>
        <v/>
      </c>
    </row>
    <row r="14">
      <c r="A14">
        <f>IFERROR(IF(A13="","",SMALL(Квартиры!$B$2:$B$1501,COUNTIF(Квартиры!$B$2:$B$1501,"&lt;="&amp;A13)+1)),"")</f>
        <v/>
      </c>
      <c r="B14">
        <f>IF(A14="","",IF(COUNTIF(R$2:R13,R14)=0,MAX(B$2:B13)+1,INDEX(B$2:B13,MATCH(R14,R$2:R13,0))))</f>
        <v/>
      </c>
      <c r="C14">
        <f>IF($A14="","",IFERROR(IF(Настройки!$B$4="да",INDEX(Квартиры!$D$2:$D$1501,MATCH($A14*1000+1,Квартиры!$K$2:$K$1501,0))&amp;" / ","")&amp;INDEX(Квартиры!$H$2:$H$1501,MATCH($A14*1000+1,Квартиры!$K$2:$K$1501,0))&amp;" СУ"&amp;IF(INDEX(Квартиры!$I$2:$I$1501,MATCH($A14*1000+1,Квартиры!$K$2:$K$1501,0))&gt;0," +У","")&amp;IF(INDEX(Квартиры!$J$2:$J$1501,MATCH($A14*1000+1,Квартиры!$K$2:$K$1501,0))&gt;0," +Г",""),"-"))</f>
        <v/>
      </c>
      <c r="D14">
        <f>IF($A14="","",IFERROR(IF(Настройки!$B$4="да",INDEX(Квартиры!$D$2:$D$1501,MATCH($A14*1000+2,Квартиры!$K$2:$K$1501,0))&amp;" / ","")&amp;INDEX(Квартиры!$H$2:$H$1501,MATCH($A14*1000+2,Квартиры!$K$2:$K$1501,0))&amp;" СУ"&amp;IF(INDEX(Квартиры!$I$2:$I$1501,MATCH($A14*1000+2,Квартиры!$K$2:$K$1501,0))&gt;0," +У","")&amp;IF(INDEX(Квартиры!$J$2:$J$1501,MATCH($A14*1000+2,Квартиры!$K$2:$K$1501,0))&gt;0," +Г",""),"-"))</f>
        <v/>
      </c>
      <c r="E14">
        <f>IF($A14="","",IFERROR(IF(Настройки!$B$4="да",INDEX(Квартиры!$D$2:$D$1501,MATCH($A14*1000+3,Квартиры!$K$2:$K$1501,0))&amp;" / ","")&amp;INDEX(Квартиры!$H$2:$H$1501,MATCH($A14*1000+3,Квартиры!$K$2:$K$1501,0))&amp;" СУ"&amp;IF(INDEX(Квартиры!$I$2:$I$1501,MATCH($A14*1000+3,Квартиры!$K$2:$K$1501,0))&gt;0," +У","")&amp;IF(INDEX(Квартиры!$J$2:$J$1501,MATCH($A14*1000+3,Квартиры!$K$2:$K$1501,0))&gt;0," +Г",""),"-"))</f>
        <v/>
      </c>
      <c r="F14">
        <f>IF($A14="","",IFERROR(IF(Настройки!$B$4="да",INDEX(Квартиры!$D$2:$D$1501,MATCH($A14*1000+4,Квартиры!$K$2:$K$1501,0))&amp;" / ","")&amp;INDEX(Квартиры!$H$2:$H$1501,MATCH($A14*1000+4,Квартиры!$K$2:$K$1501,0))&amp;" СУ"&amp;IF(INDEX(Квартиры!$I$2:$I$1501,MATCH($A14*1000+4,Квартиры!$K$2:$K$1501,0))&gt;0," +У","")&amp;IF(INDEX(Квартиры!$J$2:$J$1501,MATCH($A14*1000+4,Квартиры!$K$2:$K$1501,0))&gt;0," +Г",""),"-"))</f>
        <v/>
      </c>
      <c r="G14">
        <f>IF($A14="","",IFERROR(IF(Настройки!$B$4="да",INDEX(Квартиры!$D$2:$D$1501,MATCH($A14*1000+5,Квартиры!$K$2:$K$1501,0))&amp;" / ","")&amp;INDEX(Квартиры!$H$2:$H$1501,MATCH($A14*1000+5,Квартиры!$K$2:$K$1501,0))&amp;" СУ"&amp;IF(INDEX(Квартиры!$I$2:$I$1501,MATCH($A14*1000+5,Квартиры!$K$2:$K$1501,0))&gt;0," +У","")&amp;IF(INDEX(Квартиры!$J$2:$J$1501,MATCH($A14*1000+5,Квартиры!$K$2:$K$1501,0))&gt;0," +Г",""),"-"))</f>
        <v/>
      </c>
      <c r="H14">
        <f>IF($A14="","",IFERROR(IF(Настройки!$B$4="да",INDEX(Квартиры!$D$2:$D$1501,MATCH($A14*1000+6,Квартиры!$K$2:$K$1501,0))&amp;" / ","")&amp;INDEX(Квартиры!$H$2:$H$1501,MATCH($A14*1000+6,Квартиры!$K$2:$K$1501,0))&amp;" СУ"&amp;IF(INDEX(Квартиры!$I$2:$I$1501,MATCH($A14*1000+6,Квартиры!$K$2:$K$1501,0))&gt;0," +У","")&amp;IF(INDEX(Квартиры!$J$2:$J$1501,MATCH($A14*1000+6,Квартиры!$K$2:$K$1501,0))&gt;0," +Г",""),"-"))</f>
        <v/>
      </c>
      <c r="I14">
        <f>IF($A14="","",IFERROR(IF(Настройки!$B$4="да",INDEX(Квартиры!$D$2:$D$1501,MATCH($A14*1000+7,Квартиры!$K$2:$K$1501,0))&amp;" / ","")&amp;INDEX(Квартиры!$H$2:$H$1501,MATCH($A14*1000+7,Квартиры!$K$2:$K$1501,0))&amp;" СУ"&amp;IF(INDEX(Квартиры!$I$2:$I$1501,MATCH($A14*1000+7,Квартиры!$K$2:$K$1501,0))&gt;0," +У","")&amp;IF(INDEX(Квартиры!$J$2:$J$1501,MATCH($A14*1000+7,Квартиры!$K$2:$K$1501,0))&gt;0," +Г",""),"-"))</f>
        <v/>
      </c>
      <c r="J14">
        <f>IF($A14="","",IFERROR(IF(Настройки!$B$4="да",INDEX(Квартиры!$D$2:$D$1501,MATCH($A14*1000+8,Квартиры!$K$2:$K$1501,0))&amp;" / ","")&amp;INDEX(Квартиры!$H$2:$H$1501,MATCH($A14*1000+8,Квартиры!$K$2:$K$1501,0))&amp;" СУ"&amp;IF(INDEX(Квартиры!$I$2:$I$1501,MATCH($A14*1000+8,Квартиры!$K$2:$K$1501,0))&gt;0," +У","")&amp;IF(INDEX(Квартиры!$J$2:$J$1501,MATCH($A14*1000+8,Квартиры!$K$2:$K$1501,0))&gt;0," +Г",""),"-"))</f>
        <v/>
      </c>
      <c r="K14">
        <f>IF($A14="","",IFERROR(IF(Настройки!$B$4="да",INDEX(Квартиры!$D$2:$D$1501,MATCH($A14*1000+9,Квартиры!$K$2:$K$1501,0))&amp;" / ","")&amp;INDEX(Квартиры!$H$2:$H$1501,MATCH($A14*1000+9,Квартиры!$K$2:$K$1501,0))&amp;" СУ"&amp;IF(INDEX(Квартиры!$I$2:$I$1501,MATCH($A14*1000+9,Квартиры!$K$2:$K$1501,0))&gt;0," +У","")&amp;IF(INDEX(Квартиры!$J$2:$J$1501,MATCH($A14*1000+9,Квартиры!$K$2:$K$1501,0))&gt;0," +Г",""),"-"))</f>
        <v/>
      </c>
      <c r="L14">
        <f>IF($A14="","",IFERROR(IF(Настройки!$B$4="да",INDEX(Квартиры!$D$2:$D$1501,MATCH($A14*1000+10,Квартиры!$K$2:$K$1501,0))&amp;" / ","")&amp;INDEX(Квартиры!$H$2:$H$1501,MATCH($A14*1000+10,Квартиры!$K$2:$K$1501,0))&amp;" СУ"&amp;IF(INDEX(Квартиры!$I$2:$I$1501,MATCH($A14*1000+10,Квартиры!$K$2:$K$1501,0))&gt;0," +У","")&amp;IF(INDEX(Квартиры!$J$2:$J$1501,MATCH($A14*1000+10,Квартиры!$K$2:$K$1501,0))&gt;0," +Г",""),"-"))</f>
        <v/>
      </c>
      <c r="M14">
        <f>IF($A14="","",IFERROR(IF(Настройки!$B$4="да",INDEX(Квартиры!$D$2:$D$1501,MATCH($A14*1000+11,Квартиры!$K$2:$K$1501,0))&amp;" / ","")&amp;INDEX(Квартиры!$H$2:$H$1501,MATCH($A14*1000+11,Квартиры!$K$2:$K$1501,0))&amp;" СУ"&amp;IF(INDEX(Квартиры!$I$2:$I$1501,MATCH($A14*1000+11,Квартиры!$K$2:$K$1501,0))&gt;0," +У","")&amp;IF(INDEX(Квартиры!$J$2:$J$1501,MATCH($A14*1000+11,Квартиры!$K$2:$K$1501,0))&gt;0," +Г",""),"-"))</f>
        <v/>
      </c>
      <c r="N14">
        <f>IF($A14="","",IFERROR(IF(Настройки!$B$4="да",INDEX(Квартиры!$D$2:$D$1501,MATCH($A14*1000+12,Квартиры!$K$2:$K$1501,0))&amp;" / ","")&amp;INDEX(Квартиры!$H$2:$H$1501,MATCH($A14*1000+12,Квартиры!$K$2:$K$1501,0))&amp;" СУ"&amp;IF(INDEX(Квартиры!$I$2:$I$1501,MATCH($A14*1000+12,Квартиры!$K$2:$K$1501,0))&gt;0," +У","")&amp;IF(INDEX(Квартиры!$J$2:$J$1501,MATCH($A14*1000+12,Квартиры!$K$2:$K$1501,0))&gt;0," +Г",""),"-"))</f>
        <v/>
      </c>
      <c r="O14">
        <f>IF($A14="","",IFERROR(IF(Настройки!$B$4="да",INDEX(Квартиры!$D$2:$D$1501,MATCH($A14*1000+13,Квартиры!$K$2:$K$1501,0))&amp;" / ","")&amp;INDEX(Квартиры!$H$2:$H$1501,MATCH($A14*1000+13,Квартиры!$K$2:$K$1501,0))&amp;" СУ"&amp;IF(INDEX(Квартиры!$I$2:$I$1501,MATCH($A14*1000+13,Квартиры!$K$2:$K$1501,0))&gt;0," +У","")&amp;IF(INDEX(Квартиры!$J$2:$J$1501,MATCH($A14*1000+13,Квартиры!$K$2:$K$1501,0))&gt;0," +Г",""),"-"))</f>
        <v/>
      </c>
      <c r="P14">
        <f>IF($A14="","",IFERROR(IF(Настройки!$B$4="да",INDEX(Квартиры!$D$2:$D$1501,MATCH($A14*1000+14,Квартиры!$K$2:$K$1501,0))&amp;" / ","")&amp;INDEX(Квартиры!$H$2:$H$1501,MATCH($A14*1000+14,Квартиры!$K$2:$K$1501,0))&amp;" СУ"&amp;IF(INDEX(Квартиры!$I$2:$I$1501,MATCH($A14*1000+14,Квартиры!$K$2:$K$1501,0))&gt;0," +У","")&amp;IF(INDEX(Квартиры!$J$2:$J$1501,MATCH($A14*1000+14,Квартиры!$K$2:$K$1501,0))&gt;0," +Г",""),"-"))</f>
        <v/>
      </c>
      <c r="Q14">
        <f>IF($A14="","",IFERROR(IF(Настройки!$B$4="да",INDEX(Квартиры!$D$2:$D$1501,MATCH($A14*1000+15,Квартиры!$K$2:$K$1501,0))&amp;" / ","")&amp;INDEX(Квартиры!$H$2:$H$1501,MATCH($A14*1000+15,Квартиры!$K$2:$K$1501,0))&amp;" СУ"&amp;IF(INDEX(Квартиры!$I$2:$I$1501,MATCH($A14*1000+15,Квартиры!$K$2:$K$1501,0))&gt;0," +У","")&amp;IF(INDEX(Квартиры!$J$2:$J$1501,MATCH($A14*1000+15,Квартиры!$K$2:$K$1501,0))&gt;0," +Г",""),"-"))</f>
        <v/>
      </c>
      <c r="R14">
        <f>IF(A14="","",C14&amp;"|"&amp;D14&amp;"|"&amp;E14&amp;"|"&amp;F14&amp;"|"&amp;G14&amp;"|"&amp;H14&amp;"|"&amp;I14&amp;"|"&amp;J14&amp;"|"&amp;K14&amp;"|"&amp;L14&amp;"|"&amp;M14&amp;"|"&amp;N14&amp;"|"&amp;O14&amp;"|"&amp;P14&amp;"|"&amp;Q14)</f>
        <v/>
      </c>
      <c r="S14">
        <f>IF(A14="","",IFERROR(LOOKUP(2,1/(B$2:B13=B14),S$2:S13)&amp;", ","")&amp;A14)</f>
        <v/>
      </c>
      <c r="U14">
        <f>IF(12&gt;MAX(B$3:B$82),"",12)</f>
        <v/>
      </c>
      <c r="V14">
        <f>IF(U14="","",LOOKUP(2,1/(B$3:B$82=U14),S$3:S$82))</f>
        <v/>
      </c>
      <c r="W14">
        <f>IF(U14="","",COUNTIF(B$3:B$82,U14))</f>
        <v/>
      </c>
    </row>
    <row r="15">
      <c r="A15">
        <f>IFERROR(IF(A14="","",SMALL(Квартиры!$B$2:$B$1501,COUNTIF(Квартиры!$B$2:$B$1501,"&lt;="&amp;A14)+1)),"")</f>
        <v/>
      </c>
      <c r="B15">
        <f>IF(A15="","",IF(COUNTIF(R$2:R14,R15)=0,MAX(B$2:B14)+1,INDEX(B$2:B14,MATCH(R15,R$2:R14,0))))</f>
        <v/>
      </c>
      <c r="C15">
        <f>IF($A15="","",IFERROR(IF(Настройки!$B$4="да",INDEX(Квартиры!$D$2:$D$1501,MATCH($A15*1000+1,Квартиры!$K$2:$K$1501,0))&amp;" / ","")&amp;INDEX(Квартиры!$H$2:$H$1501,MATCH($A15*1000+1,Квартиры!$K$2:$K$1501,0))&amp;" СУ"&amp;IF(INDEX(Квартиры!$I$2:$I$1501,MATCH($A15*1000+1,Квартиры!$K$2:$K$1501,0))&gt;0," +У","")&amp;IF(INDEX(Квартиры!$J$2:$J$1501,MATCH($A15*1000+1,Квартиры!$K$2:$K$1501,0))&gt;0," +Г",""),"-"))</f>
        <v/>
      </c>
      <c r="D15">
        <f>IF($A15="","",IFERROR(IF(Настройки!$B$4="да",INDEX(Квартиры!$D$2:$D$1501,MATCH($A15*1000+2,Квартиры!$K$2:$K$1501,0))&amp;" / ","")&amp;INDEX(Квартиры!$H$2:$H$1501,MATCH($A15*1000+2,Квартиры!$K$2:$K$1501,0))&amp;" СУ"&amp;IF(INDEX(Квартиры!$I$2:$I$1501,MATCH($A15*1000+2,Квартиры!$K$2:$K$1501,0))&gt;0," +У","")&amp;IF(INDEX(Квартиры!$J$2:$J$1501,MATCH($A15*1000+2,Квартиры!$K$2:$K$1501,0))&gt;0," +Г",""),"-"))</f>
        <v/>
      </c>
      <c r="E15">
        <f>IF($A15="","",IFERROR(IF(Настройки!$B$4="да",INDEX(Квартиры!$D$2:$D$1501,MATCH($A15*1000+3,Квартиры!$K$2:$K$1501,0))&amp;" / ","")&amp;INDEX(Квартиры!$H$2:$H$1501,MATCH($A15*1000+3,Квартиры!$K$2:$K$1501,0))&amp;" СУ"&amp;IF(INDEX(Квартиры!$I$2:$I$1501,MATCH($A15*1000+3,Квартиры!$K$2:$K$1501,0))&gt;0," +У","")&amp;IF(INDEX(Квартиры!$J$2:$J$1501,MATCH($A15*1000+3,Квартиры!$K$2:$K$1501,0))&gt;0," +Г",""),"-"))</f>
        <v/>
      </c>
      <c r="F15">
        <f>IF($A15="","",IFERROR(IF(Настройки!$B$4="да",INDEX(Квартиры!$D$2:$D$1501,MATCH($A15*1000+4,Квартиры!$K$2:$K$1501,0))&amp;" / ","")&amp;INDEX(Квартиры!$H$2:$H$1501,MATCH($A15*1000+4,Квартиры!$K$2:$K$1501,0))&amp;" СУ"&amp;IF(INDEX(Квартиры!$I$2:$I$1501,MATCH($A15*1000+4,Квартиры!$K$2:$K$1501,0))&gt;0," +У","")&amp;IF(INDEX(Квартиры!$J$2:$J$1501,MATCH($A15*1000+4,Квартиры!$K$2:$K$1501,0))&gt;0," +Г",""),"-"))</f>
        <v/>
      </c>
      <c r="G15">
        <f>IF($A15="","",IFERROR(IF(Настройки!$B$4="да",INDEX(Квартиры!$D$2:$D$1501,MATCH($A15*1000+5,Квартиры!$K$2:$K$1501,0))&amp;" / ","")&amp;INDEX(Квартиры!$H$2:$H$1501,MATCH($A15*1000+5,Квартиры!$K$2:$K$1501,0))&amp;" СУ"&amp;IF(INDEX(Квартиры!$I$2:$I$1501,MATCH($A15*1000+5,Квартиры!$K$2:$K$1501,0))&gt;0," +У","")&amp;IF(INDEX(Квартиры!$J$2:$J$1501,MATCH($A15*1000+5,Квартиры!$K$2:$K$1501,0))&gt;0," +Г",""),"-"))</f>
        <v/>
      </c>
      <c r="H15">
        <f>IF($A15="","",IFERROR(IF(Настройки!$B$4="да",INDEX(Квартиры!$D$2:$D$1501,MATCH($A15*1000+6,Квартиры!$K$2:$K$1501,0))&amp;" / ","")&amp;INDEX(Квартиры!$H$2:$H$1501,MATCH($A15*1000+6,Квартиры!$K$2:$K$1501,0))&amp;" СУ"&amp;IF(INDEX(Квартиры!$I$2:$I$1501,MATCH($A15*1000+6,Квартиры!$K$2:$K$1501,0))&gt;0," +У","")&amp;IF(INDEX(Квартиры!$J$2:$J$1501,MATCH($A15*1000+6,Квартиры!$K$2:$K$1501,0))&gt;0," +Г",""),"-"))</f>
        <v/>
      </c>
      <c r="I15">
        <f>IF($A15="","",IFERROR(IF(Настройки!$B$4="да",INDEX(Квартиры!$D$2:$D$1501,MATCH($A15*1000+7,Квартиры!$K$2:$K$1501,0))&amp;" / ","")&amp;INDEX(Квартиры!$H$2:$H$1501,MATCH($A15*1000+7,Квартиры!$K$2:$K$1501,0))&amp;" СУ"&amp;IF(INDEX(Квартиры!$I$2:$I$1501,MATCH($A15*1000+7,Квартиры!$K$2:$K$1501,0))&gt;0," +У","")&amp;IF(INDEX(Квартиры!$J$2:$J$1501,MATCH($A15*1000+7,Квартиры!$K$2:$K$1501,0))&gt;0," +Г",""),"-"))</f>
        <v/>
      </c>
      <c r="J15">
        <f>IF($A15="","",IFERROR(IF(Настройки!$B$4="да",INDEX(Квартиры!$D$2:$D$1501,MATCH($A15*1000+8,Квартиры!$K$2:$K$1501,0))&amp;" / ","")&amp;INDEX(Квартиры!$H$2:$H$1501,MATCH($A15*1000+8,Квартиры!$K$2:$K$1501,0))&amp;" СУ"&amp;IF(INDEX(Квартиры!$I$2:$I$1501,MATCH($A15*1000+8,Квартиры!$K$2:$K$1501,0))&gt;0," +У","")&amp;IF(INDEX(Квартиры!$J$2:$J$1501,MATCH($A15*1000+8,Квартиры!$K$2:$K$1501,0))&gt;0," +Г",""),"-"))</f>
        <v/>
      </c>
      <c r="K15">
        <f>IF($A15="","",IFERROR(IF(Настройки!$B$4="да",INDEX(Квартиры!$D$2:$D$1501,MATCH($A15*1000+9,Квартиры!$K$2:$K$1501,0))&amp;" / ","")&amp;INDEX(Квартиры!$H$2:$H$1501,MATCH($A15*1000+9,Квартиры!$K$2:$K$1501,0))&amp;" СУ"&amp;IF(INDEX(Квартиры!$I$2:$I$1501,MATCH($A15*1000+9,Квартиры!$K$2:$K$1501,0))&gt;0," +У","")&amp;IF(INDEX(Квартиры!$J$2:$J$1501,MATCH($A15*1000+9,Квартиры!$K$2:$K$1501,0))&gt;0," +Г",""),"-"))</f>
        <v/>
      </c>
      <c r="L15">
        <f>IF($A15="","",IFERROR(IF(Настройки!$B$4="да",INDEX(Квартиры!$D$2:$D$1501,MATCH($A15*1000+10,Квартиры!$K$2:$K$1501,0))&amp;" / ","")&amp;INDEX(Квартиры!$H$2:$H$1501,MATCH($A15*1000+10,Квартиры!$K$2:$K$1501,0))&amp;" СУ"&amp;IF(INDEX(Квартиры!$I$2:$I$1501,MATCH($A15*1000+10,Квартиры!$K$2:$K$1501,0))&gt;0," +У","")&amp;IF(INDEX(Квартиры!$J$2:$J$1501,MATCH($A15*1000+10,Квартиры!$K$2:$K$1501,0))&gt;0," +Г",""),"-"))</f>
        <v/>
      </c>
      <c r="M15">
        <f>IF($A15="","",IFERROR(IF(Настройки!$B$4="да",INDEX(Квартиры!$D$2:$D$1501,MATCH($A15*1000+11,Квартиры!$K$2:$K$1501,0))&amp;" / ","")&amp;INDEX(Квартиры!$H$2:$H$1501,MATCH($A15*1000+11,Квартиры!$K$2:$K$1501,0))&amp;" СУ"&amp;IF(INDEX(Квартиры!$I$2:$I$1501,MATCH($A15*1000+11,Квартиры!$K$2:$K$1501,0))&gt;0," +У","")&amp;IF(INDEX(Квартиры!$J$2:$J$1501,MATCH($A15*1000+11,Квартиры!$K$2:$K$1501,0))&gt;0," +Г",""),"-"))</f>
        <v/>
      </c>
      <c r="N15">
        <f>IF($A15="","",IFERROR(IF(Настройки!$B$4="да",INDEX(Квартиры!$D$2:$D$1501,MATCH($A15*1000+12,Квартиры!$K$2:$K$1501,0))&amp;" / ","")&amp;INDEX(Квартиры!$H$2:$H$1501,MATCH($A15*1000+12,Квартиры!$K$2:$K$1501,0))&amp;" СУ"&amp;IF(INDEX(Квартиры!$I$2:$I$1501,MATCH($A15*1000+12,Квартиры!$K$2:$K$1501,0))&gt;0," +У","")&amp;IF(INDEX(Квартиры!$J$2:$J$1501,MATCH($A15*1000+12,Квартиры!$K$2:$K$1501,0))&gt;0," +Г",""),"-"))</f>
        <v/>
      </c>
      <c r="O15">
        <f>IF($A15="","",IFERROR(IF(Настройки!$B$4="да",INDEX(Квартиры!$D$2:$D$1501,MATCH($A15*1000+13,Квартиры!$K$2:$K$1501,0))&amp;" / ","")&amp;INDEX(Квартиры!$H$2:$H$1501,MATCH($A15*1000+13,Квартиры!$K$2:$K$1501,0))&amp;" СУ"&amp;IF(INDEX(Квартиры!$I$2:$I$1501,MATCH($A15*1000+13,Квартиры!$K$2:$K$1501,0))&gt;0," +У","")&amp;IF(INDEX(Квартиры!$J$2:$J$1501,MATCH($A15*1000+13,Квартиры!$K$2:$K$1501,0))&gt;0," +Г",""),"-"))</f>
        <v/>
      </c>
      <c r="P15">
        <f>IF($A15="","",IFERROR(IF(Настройки!$B$4="да",INDEX(Квартиры!$D$2:$D$1501,MATCH($A15*1000+14,Квартиры!$K$2:$K$1501,0))&amp;" / ","")&amp;INDEX(Квартиры!$H$2:$H$1501,MATCH($A15*1000+14,Квартиры!$K$2:$K$1501,0))&amp;" СУ"&amp;IF(INDEX(Квартиры!$I$2:$I$1501,MATCH($A15*1000+14,Квартиры!$K$2:$K$1501,0))&gt;0," +У","")&amp;IF(INDEX(Квартиры!$J$2:$J$1501,MATCH($A15*1000+14,Квартиры!$K$2:$K$1501,0))&gt;0," +Г",""),"-"))</f>
        <v/>
      </c>
      <c r="Q15">
        <f>IF($A15="","",IFERROR(IF(Настройки!$B$4="да",INDEX(Квартиры!$D$2:$D$1501,MATCH($A15*1000+15,Квартиры!$K$2:$K$1501,0))&amp;" / ","")&amp;INDEX(Квартиры!$H$2:$H$1501,MATCH($A15*1000+15,Квартиры!$K$2:$K$1501,0))&amp;" СУ"&amp;IF(INDEX(Квартиры!$I$2:$I$1501,MATCH($A15*1000+15,Квартиры!$K$2:$K$1501,0))&gt;0," +У","")&amp;IF(INDEX(Квартиры!$J$2:$J$1501,MATCH($A15*1000+15,Квартиры!$K$2:$K$1501,0))&gt;0," +Г",""),"-"))</f>
        <v/>
      </c>
      <c r="R15">
        <f>IF(A15="","",C15&amp;"|"&amp;D15&amp;"|"&amp;E15&amp;"|"&amp;F15&amp;"|"&amp;G15&amp;"|"&amp;H15&amp;"|"&amp;I15&amp;"|"&amp;J15&amp;"|"&amp;K15&amp;"|"&amp;L15&amp;"|"&amp;M15&amp;"|"&amp;N15&amp;"|"&amp;O15&amp;"|"&amp;P15&amp;"|"&amp;Q15)</f>
        <v/>
      </c>
      <c r="S15">
        <f>IF(A15="","",IFERROR(LOOKUP(2,1/(B$2:B14=B15),S$2:S14)&amp;", ","")&amp;A15)</f>
        <v/>
      </c>
      <c r="U15">
        <f>IF(13&gt;MAX(B$3:B$82),"",13)</f>
        <v/>
      </c>
      <c r="V15">
        <f>IF(U15="","",LOOKUP(2,1/(B$3:B$82=U15),S$3:S$82))</f>
        <v/>
      </c>
      <c r="W15">
        <f>IF(U15="","",COUNTIF(B$3:B$82,U15))</f>
        <v/>
      </c>
    </row>
    <row r="16">
      <c r="A16">
        <f>IFERROR(IF(A15="","",SMALL(Квартиры!$B$2:$B$1501,COUNTIF(Квартиры!$B$2:$B$1501,"&lt;="&amp;A15)+1)),"")</f>
        <v/>
      </c>
      <c r="B16">
        <f>IF(A16="","",IF(COUNTIF(R$2:R15,R16)=0,MAX(B$2:B15)+1,INDEX(B$2:B15,MATCH(R16,R$2:R15,0))))</f>
        <v/>
      </c>
      <c r="C16">
        <f>IF($A16="","",IFERROR(IF(Настройки!$B$4="да",INDEX(Квартиры!$D$2:$D$1501,MATCH($A16*1000+1,Квартиры!$K$2:$K$1501,0))&amp;" / ","")&amp;INDEX(Квартиры!$H$2:$H$1501,MATCH($A16*1000+1,Квартиры!$K$2:$K$1501,0))&amp;" СУ"&amp;IF(INDEX(Квартиры!$I$2:$I$1501,MATCH($A16*1000+1,Квартиры!$K$2:$K$1501,0))&gt;0," +У","")&amp;IF(INDEX(Квартиры!$J$2:$J$1501,MATCH($A16*1000+1,Квартиры!$K$2:$K$1501,0))&gt;0," +Г",""),"-"))</f>
        <v/>
      </c>
      <c r="D16">
        <f>IF($A16="","",IFERROR(IF(Настройки!$B$4="да",INDEX(Квартиры!$D$2:$D$1501,MATCH($A16*1000+2,Квартиры!$K$2:$K$1501,0))&amp;" / ","")&amp;INDEX(Квартиры!$H$2:$H$1501,MATCH($A16*1000+2,Квартиры!$K$2:$K$1501,0))&amp;" СУ"&amp;IF(INDEX(Квартиры!$I$2:$I$1501,MATCH($A16*1000+2,Квартиры!$K$2:$K$1501,0))&gt;0," +У","")&amp;IF(INDEX(Квартиры!$J$2:$J$1501,MATCH($A16*1000+2,Квартиры!$K$2:$K$1501,0))&gt;0," +Г",""),"-"))</f>
        <v/>
      </c>
      <c r="E16">
        <f>IF($A16="","",IFERROR(IF(Настройки!$B$4="да",INDEX(Квартиры!$D$2:$D$1501,MATCH($A16*1000+3,Квартиры!$K$2:$K$1501,0))&amp;" / ","")&amp;INDEX(Квартиры!$H$2:$H$1501,MATCH($A16*1000+3,Квартиры!$K$2:$K$1501,0))&amp;" СУ"&amp;IF(INDEX(Квартиры!$I$2:$I$1501,MATCH($A16*1000+3,Квартиры!$K$2:$K$1501,0))&gt;0," +У","")&amp;IF(INDEX(Квартиры!$J$2:$J$1501,MATCH($A16*1000+3,Квартиры!$K$2:$K$1501,0))&gt;0," +Г",""),"-"))</f>
        <v/>
      </c>
      <c r="F16">
        <f>IF($A16="","",IFERROR(IF(Настройки!$B$4="да",INDEX(Квартиры!$D$2:$D$1501,MATCH($A16*1000+4,Квартиры!$K$2:$K$1501,0))&amp;" / ","")&amp;INDEX(Квартиры!$H$2:$H$1501,MATCH($A16*1000+4,Квартиры!$K$2:$K$1501,0))&amp;" СУ"&amp;IF(INDEX(Квартиры!$I$2:$I$1501,MATCH($A16*1000+4,Квартиры!$K$2:$K$1501,0))&gt;0," +У","")&amp;IF(INDEX(Квартиры!$J$2:$J$1501,MATCH($A16*1000+4,Квартиры!$K$2:$K$1501,0))&gt;0," +Г",""),"-"))</f>
        <v/>
      </c>
      <c r="G16">
        <f>IF($A16="","",IFERROR(IF(Настройки!$B$4="да",INDEX(Квартиры!$D$2:$D$1501,MATCH($A16*1000+5,Квартиры!$K$2:$K$1501,0))&amp;" / ","")&amp;INDEX(Квартиры!$H$2:$H$1501,MATCH($A16*1000+5,Квартиры!$K$2:$K$1501,0))&amp;" СУ"&amp;IF(INDEX(Квартиры!$I$2:$I$1501,MATCH($A16*1000+5,Квартиры!$K$2:$K$1501,0))&gt;0," +У","")&amp;IF(INDEX(Квартиры!$J$2:$J$1501,MATCH($A16*1000+5,Квартиры!$K$2:$K$1501,0))&gt;0," +Г",""),"-"))</f>
        <v/>
      </c>
      <c r="H16">
        <f>IF($A16="","",IFERROR(IF(Настройки!$B$4="да",INDEX(Квартиры!$D$2:$D$1501,MATCH($A16*1000+6,Квартиры!$K$2:$K$1501,0))&amp;" / ","")&amp;INDEX(Квартиры!$H$2:$H$1501,MATCH($A16*1000+6,Квартиры!$K$2:$K$1501,0))&amp;" СУ"&amp;IF(INDEX(Квартиры!$I$2:$I$1501,MATCH($A16*1000+6,Квартиры!$K$2:$K$1501,0))&gt;0," +У","")&amp;IF(INDEX(Квартиры!$J$2:$J$1501,MATCH($A16*1000+6,Квартиры!$K$2:$K$1501,0))&gt;0," +Г",""),"-"))</f>
        <v/>
      </c>
      <c r="I16">
        <f>IF($A16="","",IFERROR(IF(Настройки!$B$4="да",INDEX(Квартиры!$D$2:$D$1501,MATCH($A16*1000+7,Квартиры!$K$2:$K$1501,0))&amp;" / ","")&amp;INDEX(Квартиры!$H$2:$H$1501,MATCH($A16*1000+7,Квартиры!$K$2:$K$1501,0))&amp;" СУ"&amp;IF(INDEX(Квартиры!$I$2:$I$1501,MATCH($A16*1000+7,Квартиры!$K$2:$K$1501,0))&gt;0," +У","")&amp;IF(INDEX(Квартиры!$J$2:$J$1501,MATCH($A16*1000+7,Квартиры!$K$2:$K$1501,0))&gt;0," +Г",""),"-"))</f>
        <v/>
      </c>
      <c r="J16">
        <f>IF($A16="","",IFERROR(IF(Настройки!$B$4="да",INDEX(Квартиры!$D$2:$D$1501,MATCH($A16*1000+8,Квартиры!$K$2:$K$1501,0))&amp;" / ","")&amp;INDEX(Квартиры!$H$2:$H$1501,MATCH($A16*1000+8,Квартиры!$K$2:$K$1501,0))&amp;" СУ"&amp;IF(INDEX(Квартиры!$I$2:$I$1501,MATCH($A16*1000+8,Квартиры!$K$2:$K$1501,0))&gt;0," +У","")&amp;IF(INDEX(Квартиры!$J$2:$J$1501,MATCH($A16*1000+8,Квартиры!$K$2:$K$1501,0))&gt;0," +Г",""),"-"))</f>
        <v/>
      </c>
      <c r="K16">
        <f>IF($A16="","",IFERROR(IF(Настройки!$B$4="да",INDEX(Квартиры!$D$2:$D$1501,MATCH($A16*1000+9,Квартиры!$K$2:$K$1501,0))&amp;" / ","")&amp;INDEX(Квартиры!$H$2:$H$1501,MATCH($A16*1000+9,Квартиры!$K$2:$K$1501,0))&amp;" СУ"&amp;IF(INDEX(Квартиры!$I$2:$I$1501,MATCH($A16*1000+9,Квартиры!$K$2:$K$1501,0))&gt;0," +У","")&amp;IF(INDEX(Квартиры!$J$2:$J$1501,MATCH($A16*1000+9,Квартиры!$K$2:$K$1501,0))&gt;0," +Г",""),"-"))</f>
        <v/>
      </c>
      <c r="L16">
        <f>IF($A16="","",IFERROR(IF(Настройки!$B$4="да",INDEX(Квартиры!$D$2:$D$1501,MATCH($A16*1000+10,Квартиры!$K$2:$K$1501,0))&amp;" / ","")&amp;INDEX(Квартиры!$H$2:$H$1501,MATCH($A16*1000+10,Квартиры!$K$2:$K$1501,0))&amp;" СУ"&amp;IF(INDEX(Квартиры!$I$2:$I$1501,MATCH($A16*1000+10,Квартиры!$K$2:$K$1501,0))&gt;0," +У","")&amp;IF(INDEX(Квартиры!$J$2:$J$1501,MATCH($A16*1000+10,Квартиры!$K$2:$K$1501,0))&gt;0," +Г",""),"-"))</f>
        <v/>
      </c>
      <c r="M16">
        <f>IF($A16="","",IFERROR(IF(Настройки!$B$4="да",INDEX(Квартиры!$D$2:$D$1501,MATCH($A16*1000+11,Квартиры!$K$2:$K$1501,0))&amp;" / ","")&amp;INDEX(Квартиры!$H$2:$H$1501,MATCH($A16*1000+11,Квартиры!$K$2:$K$1501,0))&amp;" СУ"&amp;IF(INDEX(Квартиры!$I$2:$I$1501,MATCH($A16*1000+11,Квартиры!$K$2:$K$1501,0))&gt;0," +У","")&amp;IF(INDEX(Квартиры!$J$2:$J$1501,MATCH($A16*1000+11,Квартиры!$K$2:$K$1501,0))&gt;0," +Г",""),"-"))</f>
        <v/>
      </c>
      <c r="N16">
        <f>IF($A16="","",IFERROR(IF(Настройки!$B$4="да",INDEX(Квартиры!$D$2:$D$1501,MATCH($A16*1000+12,Квартиры!$K$2:$K$1501,0))&amp;" / ","")&amp;INDEX(Квартиры!$H$2:$H$1501,MATCH($A16*1000+12,Квартиры!$K$2:$K$1501,0))&amp;" СУ"&amp;IF(INDEX(Квартиры!$I$2:$I$1501,MATCH($A16*1000+12,Квартиры!$K$2:$K$1501,0))&gt;0," +У","")&amp;IF(INDEX(Квартиры!$J$2:$J$1501,MATCH($A16*1000+12,Квартиры!$K$2:$K$1501,0))&gt;0," +Г",""),"-"))</f>
        <v/>
      </c>
      <c r="O16">
        <f>IF($A16="","",IFERROR(IF(Настройки!$B$4="да",INDEX(Квартиры!$D$2:$D$1501,MATCH($A16*1000+13,Квартиры!$K$2:$K$1501,0))&amp;" / ","")&amp;INDEX(Квартиры!$H$2:$H$1501,MATCH($A16*1000+13,Квартиры!$K$2:$K$1501,0))&amp;" СУ"&amp;IF(INDEX(Квартиры!$I$2:$I$1501,MATCH($A16*1000+13,Квартиры!$K$2:$K$1501,0))&gt;0," +У","")&amp;IF(INDEX(Квартиры!$J$2:$J$1501,MATCH($A16*1000+13,Квартиры!$K$2:$K$1501,0))&gt;0," +Г",""),"-"))</f>
        <v/>
      </c>
      <c r="P16">
        <f>IF($A16="","",IFERROR(IF(Настройки!$B$4="да",INDEX(Квартиры!$D$2:$D$1501,MATCH($A16*1000+14,Квартиры!$K$2:$K$1501,0))&amp;" / ","")&amp;INDEX(Квартиры!$H$2:$H$1501,MATCH($A16*1000+14,Квартиры!$K$2:$K$1501,0))&amp;" СУ"&amp;IF(INDEX(Квартиры!$I$2:$I$1501,MATCH($A16*1000+14,Квартиры!$K$2:$K$1501,0))&gt;0," +У","")&amp;IF(INDEX(Квартиры!$J$2:$J$1501,MATCH($A16*1000+14,Квартиры!$K$2:$K$1501,0))&gt;0," +Г",""),"-"))</f>
        <v/>
      </c>
      <c r="Q16">
        <f>IF($A16="","",IFERROR(IF(Настройки!$B$4="да",INDEX(Квартиры!$D$2:$D$1501,MATCH($A16*1000+15,Квартиры!$K$2:$K$1501,0))&amp;" / ","")&amp;INDEX(Квартиры!$H$2:$H$1501,MATCH($A16*1000+15,Квартиры!$K$2:$K$1501,0))&amp;" СУ"&amp;IF(INDEX(Квартиры!$I$2:$I$1501,MATCH($A16*1000+15,Квартиры!$K$2:$K$1501,0))&gt;0," +У","")&amp;IF(INDEX(Квартиры!$J$2:$J$1501,MATCH($A16*1000+15,Квартиры!$K$2:$K$1501,0))&gt;0," +Г",""),"-"))</f>
        <v/>
      </c>
      <c r="R16">
        <f>IF(A16="","",C16&amp;"|"&amp;D16&amp;"|"&amp;E16&amp;"|"&amp;F16&amp;"|"&amp;G16&amp;"|"&amp;H16&amp;"|"&amp;I16&amp;"|"&amp;J16&amp;"|"&amp;K16&amp;"|"&amp;L16&amp;"|"&amp;M16&amp;"|"&amp;N16&amp;"|"&amp;O16&amp;"|"&amp;P16&amp;"|"&amp;Q16)</f>
        <v/>
      </c>
      <c r="S16">
        <f>IF(A16="","",IFERROR(LOOKUP(2,1/(B$2:B15=B16),S$2:S15)&amp;", ","")&amp;A16)</f>
        <v/>
      </c>
      <c r="U16">
        <f>IF(14&gt;MAX(B$3:B$82),"",14)</f>
        <v/>
      </c>
      <c r="V16">
        <f>IF(U16="","",LOOKUP(2,1/(B$3:B$82=U16),S$3:S$82))</f>
        <v/>
      </c>
      <c r="W16">
        <f>IF(U16="","",COUNTIF(B$3:B$82,U16))</f>
        <v/>
      </c>
    </row>
    <row r="17">
      <c r="A17">
        <f>IFERROR(IF(A16="","",SMALL(Квартиры!$B$2:$B$1501,COUNTIF(Квартиры!$B$2:$B$1501,"&lt;="&amp;A16)+1)),"")</f>
        <v/>
      </c>
      <c r="B17">
        <f>IF(A17="","",IF(COUNTIF(R$2:R16,R17)=0,MAX(B$2:B16)+1,INDEX(B$2:B16,MATCH(R17,R$2:R16,0))))</f>
        <v/>
      </c>
      <c r="C17">
        <f>IF($A17="","",IFERROR(IF(Настройки!$B$4="да",INDEX(Квартиры!$D$2:$D$1501,MATCH($A17*1000+1,Квартиры!$K$2:$K$1501,0))&amp;" / ","")&amp;INDEX(Квартиры!$H$2:$H$1501,MATCH($A17*1000+1,Квартиры!$K$2:$K$1501,0))&amp;" СУ"&amp;IF(INDEX(Квартиры!$I$2:$I$1501,MATCH($A17*1000+1,Квартиры!$K$2:$K$1501,0))&gt;0," +У","")&amp;IF(INDEX(Квартиры!$J$2:$J$1501,MATCH($A17*1000+1,Квартиры!$K$2:$K$1501,0))&gt;0," +Г",""),"-"))</f>
        <v/>
      </c>
      <c r="D17">
        <f>IF($A17="","",IFERROR(IF(Настройки!$B$4="да",INDEX(Квартиры!$D$2:$D$1501,MATCH($A17*1000+2,Квартиры!$K$2:$K$1501,0))&amp;" / ","")&amp;INDEX(Квартиры!$H$2:$H$1501,MATCH($A17*1000+2,Квартиры!$K$2:$K$1501,0))&amp;" СУ"&amp;IF(INDEX(Квартиры!$I$2:$I$1501,MATCH($A17*1000+2,Квартиры!$K$2:$K$1501,0))&gt;0," +У","")&amp;IF(INDEX(Квартиры!$J$2:$J$1501,MATCH($A17*1000+2,Квартиры!$K$2:$K$1501,0))&gt;0," +Г",""),"-"))</f>
        <v/>
      </c>
      <c r="E17">
        <f>IF($A17="","",IFERROR(IF(Настройки!$B$4="да",INDEX(Квартиры!$D$2:$D$1501,MATCH($A17*1000+3,Квартиры!$K$2:$K$1501,0))&amp;" / ","")&amp;INDEX(Квартиры!$H$2:$H$1501,MATCH($A17*1000+3,Квартиры!$K$2:$K$1501,0))&amp;" СУ"&amp;IF(INDEX(Квартиры!$I$2:$I$1501,MATCH($A17*1000+3,Квартиры!$K$2:$K$1501,0))&gt;0," +У","")&amp;IF(INDEX(Квартиры!$J$2:$J$1501,MATCH($A17*1000+3,Квартиры!$K$2:$K$1501,0))&gt;0," +Г",""),"-"))</f>
        <v/>
      </c>
      <c r="F17">
        <f>IF($A17="","",IFERROR(IF(Настройки!$B$4="да",INDEX(Квартиры!$D$2:$D$1501,MATCH($A17*1000+4,Квартиры!$K$2:$K$1501,0))&amp;" / ","")&amp;INDEX(Квартиры!$H$2:$H$1501,MATCH($A17*1000+4,Квартиры!$K$2:$K$1501,0))&amp;" СУ"&amp;IF(INDEX(Квартиры!$I$2:$I$1501,MATCH($A17*1000+4,Квартиры!$K$2:$K$1501,0))&gt;0," +У","")&amp;IF(INDEX(Квартиры!$J$2:$J$1501,MATCH($A17*1000+4,Квартиры!$K$2:$K$1501,0))&gt;0," +Г",""),"-"))</f>
        <v/>
      </c>
      <c r="G17">
        <f>IF($A17="","",IFERROR(IF(Настройки!$B$4="да",INDEX(Квартиры!$D$2:$D$1501,MATCH($A17*1000+5,Квартиры!$K$2:$K$1501,0))&amp;" / ","")&amp;INDEX(Квартиры!$H$2:$H$1501,MATCH($A17*1000+5,Квартиры!$K$2:$K$1501,0))&amp;" СУ"&amp;IF(INDEX(Квартиры!$I$2:$I$1501,MATCH($A17*1000+5,Квартиры!$K$2:$K$1501,0))&gt;0," +У","")&amp;IF(INDEX(Квартиры!$J$2:$J$1501,MATCH($A17*1000+5,Квартиры!$K$2:$K$1501,0))&gt;0," +Г",""),"-"))</f>
        <v/>
      </c>
      <c r="H17">
        <f>IF($A17="","",IFERROR(IF(Настройки!$B$4="да",INDEX(Квартиры!$D$2:$D$1501,MATCH($A17*1000+6,Квартиры!$K$2:$K$1501,0))&amp;" / ","")&amp;INDEX(Квартиры!$H$2:$H$1501,MATCH($A17*1000+6,Квартиры!$K$2:$K$1501,0))&amp;" СУ"&amp;IF(INDEX(Квартиры!$I$2:$I$1501,MATCH($A17*1000+6,Квартиры!$K$2:$K$1501,0))&gt;0," +У","")&amp;IF(INDEX(Квартиры!$J$2:$J$1501,MATCH($A17*1000+6,Квартиры!$K$2:$K$1501,0))&gt;0," +Г",""),"-"))</f>
        <v/>
      </c>
      <c r="I17">
        <f>IF($A17="","",IFERROR(IF(Настройки!$B$4="да",INDEX(Квартиры!$D$2:$D$1501,MATCH($A17*1000+7,Квартиры!$K$2:$K$1501,0))&amp;" / ","")&amp;INDEX(Квартиры!$H$2:$H$1501,MATCH($A17*1000+7,Квартиры!$K$2:$K$1501,0))&amp;" СУ"&amp;IF(INDEX(Квартиры!$I$2:$I$1501,MATCH($A17*1000+7,Квартиры!$K$2:$K$1501,0))&gt;0," +У","")&amp;IF(INDEX(Квартиры!$J$2:$J$1501,MATCH($A17*1000+7,Квартиры!$K$2:$K$1501,0))&gt;0," +Г",""),"-"))</f>
        <v/>
      </c>
      <c r="J17">
        <f>IF($A17="","",IFERROR(IF(Настройки!$B$4="да",INDEX(Квартиры!$D$2:$D$1501,MATCH($A17*1000+8,Квартиры!$K$2:$K$1501,0))&amp;" / ","")&amp;INDEX(Квартиры!$H$2:$H$1501,MATCH($A17*1000+8,Квартиры!$K$2:$K$1501,0))&amp;" СУ"&amp;IF(INDEX(Квартиры!$I$2:$I$1501,MATCH($A17*1000+8,Квартиры!$K$2:$K$1501,0))&gt;0," +У","")&amp;IF(INDEX(Квартиры!$J$2:$J$1501,MATCH($A17*1000+8,Квартиры!$K$2:$K$1501,0))&gt;0," +Г",""),"-"))</f>
        <v/>
      </c>
      <c r="K17">
        <f>IF($A17="","",IFERROR(IF(Настройки!$B$4="да",INDEX(Квартиры!$D$2:$D$1501,MATCH($A17*1000+9,Квартиры!$K$2:$K$1501,0))&amp;" / ","")&amp;INDEX(Квартиры!$H$2:$H$1501,MATCH($A17*1000+9,Квартиры!$K$2:$K$1501,0))&amp;" СУ"&amp;IF(INDEX(Квартиры!$I$2:$I$1501,MATCH($A17*1000+9,Квартиры!$K$2:$K$1501,0))&gt;0," +У","")&amp;IF(INDEX(Квартиры!$J$2:$J$1501,MATCH($A17*1000+9,Квартиры!$K$2:$K$1501,0))&gt;0," +Г",""),"-"))</f>
        <v/>
      </c>
      <c r="L17">
        <f>IF($A17="","",IFERROR(IF(Настройки!$B$4="да",INDEX(Квартиры!$D$2:$D$1501,MATCH($A17*1000+10,Квартиры!$K$2:$K$1501,0))&amp;" / ","")&amp;INDEX(Квартиры!$H$2:$H$1501,MATCH($A17*1000+10,Квартиры!$K$2:$K$1501,0))&amp;" СУ"&amp;IF(INDEX(Квартиры!$I$2:$I$1501,MATCH($A17*1000+10,Квартиры!$K$2:$K$1501,0))&gt;0," +У","")&amp;IF(INDEX(Квартиры!$J$2:$J$1501,MATCH($A17*1000+10,Квартиры!$K$2:$K$1501,0))&gt;0," +Г",""),"-"))</f>
        <v/>
      </c>
      <c r="M17">
        <f>IF($A17="","",IFERROR(IF(Настройки!$B$4="да",INDEX(Квартиры!$D$2:$D$1501,MATCH($A17*1000+11,Квартиры!$K$2:$K$1501,0))&amp;" / ","")&amp;INDEX(Квартиры!$H$2:$H$1501,MATCH($A17*1000+11,Квартиры!$K$2:$K$1501,0))&amp;" СУ"&amp;IF(INDEX(Квартиры!$I$2:$I$1501,MATCH($A17*1000+11,Квартиры!$K$2:$K$1501,0))&gt;0," +У","")&amp;IF(INDEX(Квартиры!$J$2:$J$1501,MATCH($A17*1000+11,Квартиры!$K$2:$K$1501,0))&gt;0," +Г",""),"-"))</f>
        <v/>
      </c>
      <c r="N17">
        <f>IF($A17="","",IFERROR(IF(Настройки!$B$4="да",INDEX(Квартиры!$D$2:$D$1501,MATCH($A17*1000+12,Квартиры!$K$2:$K$1501,0))&amp;" / ","")&amp;INDEX(Квартиры!$H$2:$H$1501,MATCH($A17*1000+12,Квартиры!$K$2:$K$1501,0))&amp;" СУ"&amp;IF(INDEX(Квартиры!$I$2:$I$1501,MATCH($A17*1000+12,Квартиры!$K$2:$K$1501,0))&gt;0," +У","")&amp;IF(INDEX(Квартиры!$J$2:$J$1501,MATCH($A17*1000+12,Квартиры!$K$2:$K$1501,0))&gt;0," +Г",""),"-"))</f>
        <v/>
      </c>
      <c r="O17">
        <f>IF($A17="","",IFERROR(IF(Настройки!$B$4="да",INDEX(Квартиры!$D$2:$D$1501,MATCH($A17*1000+13,Квартиры!$K$2:$K$1501,0))&amp;" / ","")&amp;INDEX(Квартиры!$H$2:$H$1501,MATCH($A17*1000+13,Квартиры!$K$2:$K$1501,0))&amp;" СУ"&amp;IF(INDEX(Квартиры!$I$2:$I$1501,MATCH($A17*1000+13,Квартиры!$K$2:$K$1501,0))&gt;0," +У","")&amp;IF(INDEX(Квартиры!$J$2:$J$1501,MATCH($A17*1000+13,Квартиры!$K$2:$K$1501,0))&gt;0," +Г",""),"-"))</f>
        <v/>
      </c>
      <c r="P17">
        <f>IF($A17="","",IFERROR(IF(Настройки!$B$4="да",INDEX(Квартиры!$D$2:$D$1501,MATCH($A17*1000+14,Квартиры!$K$2:$K$1501,0))&amp;" / ","")&amp;INDEX(Квартиры!$H$2:$H$1501,MATCH($A17*1000+14,Квартиры!$K$2:$K$1501,0))&amp;" СУ"&amp;IF(INDEX(Квартиры!$I$2:$I$1501,MATCH($A17*1000+14,Квартиры!$K$2:$K$1501,0))&gt;0," +У","")&amp;IF(INDEX(Квартиры!$J$2:$J$1501,MATCH($A17*1000+14,Квартиры!$K$2:$K$1501,0))&gt;0," +Г",""),"-"))</f>
        <v/>
      </c>
      <c r="Q17">
        <f>IF($A17="","",IFERROR(IF(Настройки!$B$4="да",INDEX(Квартиры!$D$2:$D$1501,MATCH($A17*1000+15,Квартиры!$K$2:$K$1501,0))&amp;" / ","")&amp;INDEX(Квартиры!$H$2:$H$1501,MATCH($A17*1000+15,Квартиры!$K$2:$K$1501,0))&amp;" СУ"&amp;IF(INDEX(Квартиры!$I$2:$I$1501,MATCH($A17*1000+15,Квартиры!$K$2:$K$1501,0))&gt;0," +У","")&amp;IF(INDEX(Квартиры!$J$2:$J$1501,MATCH($A17*1000+15,Квартиры!$K$2:$K$1501,0))&gt;0," +Г",""),"-"))</f>
        <v/>
      </c>
      <c r="R17">
        <f>IF(A17="","",C17&amp;"|"&amp;D17&amp;"|"&amp;E17&amp;"|"&amp;F17&amp;"|"&amp;G17&amp;"|"&amp;H17&amp;"|"&amp;I17&amp;"|"&amp;J17&amp;"|"&amp;K17&amp;"|"&amp;L17&amp;"|"&amp;M17&amp;"|"&amp;N17&amp;"|"&amp;O17&amp;"|"&amp;P17&amp;"|"&amp;Q17)</f>
        <v/>
      </c>
      <c r="S17">
        <f>IF(A17="","",IFERROR(LOOKUP(2,1/(B$2:B16=B17),S$2:S16)&amp;", ","")&amp;A17)</f>
        <v/>
      </c>
      <c r="U17">
        <f>IF(15&gt;MAX(B$3:B$82),"",15)</f>
        <v/>
      </c>
      <c r="V17">
        <f>IF(U17="","",LOOKUP(2,1/(B$3:B$82=U17),S$3:S$82))</f>
        <v/>
      </c>
      <c r="W17">
        <f>IF(U17="","",COUNTIF(B$3:B$82,U17))</f>
        <v/>
      </c>
    </row>
    <row r="18">
      <c r="A18">
        <f>IFERROR(IF(A17="","",SMALL(Квартиры!$B$2:$B$1501,COUNTIF(Квартиры!$B$2:$B$1501,"&lt;="&amp;A17)+1)),"")</f>
        <v/>
      </c>
      <c r="B18">
        <f>IF(A18="","",IF(COUNTIF(R$2:R17,R18)=0,MAX(B$2:B17)+1,INDEX(B$2:B17,MATCH(R18,R$2:R17,0))))</f>
        <v/>
      </c>
      <c r="C18">
        <f>IF($A18="","",IFERROR(IF(Настройки!$B$4="да",INDEX(Квартиры!$D$2:$D$1501,MATCH($A18*1000+1,Квартиры!$K$2:$K$1501,0))&amp;" / ","")&amp;INDEX(Квартиры!$H$2:$H$1501,MATCH($A18*1000+1,Квартиры!$K$2:$K$1501,0))&amp;" СУ"&amp;IF(INDEX(Квартиры!$I$2:$I$1501,MATCH($A18*1000+1,Квартиры!$K$2:$K$1501,0))&gt;0," +У","")&amp;IF(INDEX(Квартиры!$J$2:$J$1501,MATCH($A18*1000+1,Квартиры!$K$2:$K$1501,0))&gt;0," +Г",""),"-"))</f>
        <v/>
      </c>
      <c r="D18">
        <f>IF($A18="","",IFERROR(IF(Настройки!$B$4="да",INDEX(Квартиры!$D$2:$D$1501,MATCH($A18*1000+2,Квартиры!$K$2:$K$1501,0))&amp;" / ","")&amp;INDEX(Квартиры!$H$2:$H$1501,MATCH($A18*1000+2,Квартиры!$K$2:$K$1501,0))&amp;" СУ"&amp;IF(INDEX(Квартиры!$I$2:$I$1501,MATCH($A18*1000+2,Квартиры!$K$2:$K$1501,0))&gt;0," +У","")&amp;IF(INDEX(Квартиры!$J$2:$J$1501,MATCH($A18*1000+2,Квартиры!$K$2:$K$1501,0))&gt;0," +Г",""),"-"))</f>
        <v/>
      </c>
      <c r="E18">
        <f>IF($A18="","",IFERROR(IF(Настройки!$B$4="да",INDEX(Квартиры!$D$2:$D$1501,MATCH($A18*1000+3,Квартиры!$K$2:$K$1501,0))&amp;" / ","")&amp;INDEX(Квартиры!$H$2:$H$1501,MATCH($A18*1000+3,Квартиры!$K$2:$K$1501,0))&amp;" СУ"&amp;IF(INDEX(Квартиры!$I$2:$I$1501,MATCH($A18*1000+3,Квартиры!$K$2:$K$1501,0))&gt;0," +У","")&amp;IF(INDEX(Квартиры!$J$2:$J$1501,MATCH($A18*1000+3,Квартиры!$K$2:$K$1501,0))&gt;0," +Г",""),"-"))</f>
        <v/>
      </c>
      <c r="F18">
        <f>IF($A18="","",IFERROR(IF(Настройки!$B$4="да",INDEX(Квартиры!$D$2:$D$1501,MATCH($A18*1000+4,Квартиры!$K$2:$K$1501,0))&amp;" / ","")&amp;INDEX(Квартиры!$H$2:$H$1501,MATCH($A18*1000+4,Квартиры!$K$2:$K$1501,0))&amp;" СУ"&amp;IF(INDEX(Квартиры!$I$2:$I$1501,MATCH($A18*1000+4,Квартиры!$K$2:$K$1501,0))&gt;0," +У","")&amp;IF(INDEX(Квартиры!$J$2:$J$1501,MATCH($A18*1000+4,Квартиры!$K$2:$K$1501,0))&gt;0," +Г",""),"-"))</f>
        <v/>
      </c>
      <c r="G18">
        <f>IF($A18="","",IFERROR(IF(Настройки!$B$4="да",INDEX(Квартиры!$D$2:$D$1501,MATCH($A18*1000+5,Квартиры!$K$2:$K$1501,0))&amp;" / ","")&amp;INDEX(Квартиры!$H$2:$H$1501,MATCH($A18*1000+5,Квартиры!$K$2:$K$1501,0))&amp;" СУ"&amp;IF(INDEX(Квартиры!$I$2:$I$1501,MATCH($A18*1000+5,Квартиры!$K$2:$K$1501,0))&gt;0," +У","")&amp;IF(INDEX(Квартиры!$J$2:$J$1501,MATCH($A18*1000+5,Квартиры!$K$2:$K$1501,0))&gt;0," +Г",""),"-"))</f>
        <v/>
      </c>
      <c r="H18">
        <f>IF($A18="","",IFERROR(IF(Настройки!$B$4="да",INDEX(Квартиры!$D$2:$D$1501,MATCH($A18*1000+6,Квартиры!$K$2:$K$1501,0))&amp;" / ","")&amp;INDEX(Квартиры!$H$2:$H$1501,MATCH($A18*1000+6,Квартиры!$K$2:$K$1501,0))&amp;" СУ"&amp;IF(INDEX(Квартиры!$I$2:$I$1501,MATCH($A18*1000+6,Квартиры!$K$2:$K$1501,0))&gt;0," +У","")&amp;IF(INDEX(Квартиры!$J$2:$J$1501,MATCH($A18*1000+6,Квартиры!$K$2:$K$1501,0))&gt;0," +Г",""),"-"))</f>
        <v/>
      </c>
      <c r="I18">
        <f>IF($A18="","",IFERROR(IF(Настройки!$B$4="да",INDEX(Квартиры!$D$2:$D$1501,MATCH($A18*1000+7,Квартиры!$K$2:$K$1501,0))&amp;" / ","")&amp;INDEX(Квартиры!$H$2:$H$1501,MATCH($A18*1000+7,Квартиры!$K$2:$K$1501,0))&amp;" СУ"&amp;IF(INDEX(Квартиры!$I$2:$I$1501,MATCH($A18*1000+7,Квартиры!$K$2:$K$1501,0))&gt;0," +У","")&amp;IF(INDEX(Квартиры!$J$2:$J$1501,MATCH($A18*1000+7,Квартиры!$K$2:$K$1501,0))&gt;0," +Г",""),"-"))</f>
        <v/>
      </c>
      <c r="J18">
        <f>IF($A18="","",IFERROR(IF(Настройки!$B$4="да",INDEX(Квартиры!$D$2:$D$1501,MATCH($A18*1000+8,Квартиры!$K$2:$K$1501,0))&amp;" / ","")&amp;INDEX(Квартиры!$H$2:$H$1501,MATCH($A18*1000+8,Квартиры!$K$2:$K$1501,0))&amp;" СУ"&amp;IF(INDEX(Квартиры!$I$2:$I$1501,MATCH($A18*1000+8,Квартиры!$K$2:$K$1501,0))&gt;0," +У","")&amp;IF(INDEX(Квартиры!$J$2:$J$1501,MATCH($A18*1000+8,Квартиры!$K$2:$K$1501,0))&gt;0," +Г",""),"-"))</f>
        <v/>
      </c>
      <c r="K18">
        <f>IF($A18="","",IFERROR(IF(Настройки!$B$4="да",INDEX(Квартиры!$D$2:$D$1501,MATCH($A18*1000+9,Квартиры!$K$2:$K$1501,0))&amp;" / ","")&amp;INDEX(Квартиры!$H$2:$H$1501,MATCH($A18*1000+9,Квартиры!$K$2:$K$1501,0))&amp;" СУ"&amp;IF(INDEX(Квартиры!$I$2:$I$1501,MATCH($A18*1000+9,Квартиры!$K$2:$K$1501,0))&gt;0," +У","")&amp;IF(INDEX(Квартиры!$J$2:$J$1501,MATCH($A18*1000+9,Квартиры!$K$2:$K$1501,0))&gt;0," +Г",""),"-"))</f>
        <v/>
      </c>
      <c r="L18">
        <f>IF($A18="","",IFERROR(IF(Настройки!$B$4="да",INDEX(Квартиры!$D$2:$D$1501,MATCH($A18*1000+10,Квартиры!$K$2:$K$1501,0))&amp;" / ","")&amp;INDEX(Квартиры!$H$2:$H$1501,MATCH($A18*1000+10,Квартиры!$K$2:$K$1501,0))&amp;" СУ"&amp;IF(INDEX(Квартиры!$I$2:$I$1501,MATCH($A18*1000+10,Квартиры!$K$2:$K$1501,0))&gt;0," +У","")&amp;IF(INDEX(Квартиры!$J$2:$J$1501,MATCH($A18*1000+10,Квартиры!$K$2:$K$1501,0))&gt;0," +Г",""),"-"))</f>
        <v/>
      </c>
      <c r="M18">
        <f>IF($A18="","",IFERROR(IF(Настройки!$B$4="да",INDEX(Квартиры!$D$2:$D$1501,MATCH($A18*1000+11,Квартиры!$K$2:$K$1501,0))&amp;" / ","")&amp;INDEX(Квартиры!$H$2:$H$1501,MATCH($A18*1000+11,Квартиры!$K$2:$K$1501,0))&amp;" СУ"&amp;IF(INDEX(Квартиры!$I$2:$I$1501,MATCH($A18*1000+11,Квартиры!$K$2:$K$1501,0))&gt;0," +У","")&amp;IF(INDEX(Квартиры!$J$2:$J$1501,MATCH($A18*1000+11,Квартиры!$K$2:$K$1501,0))&gt;0," +Г",""),"-"))</f>
        <v/>
      </c>
      <c r="N18">
        <f>IF($A18="","",IFERROR(IF(Настройки!$B$4="да",INDEX(Квартиры!$D$2:$D$1501,MATCH($A18*1000+12,Квартиры!$K$2:$K$1501,0))&amp;" / ","")&amp;INDEX(Квартиры!$H$2:$H$1501,MATCH($A18*1000+12,Квартиры!$K$2:$K$1501,0))&amp;" СУ"&amp;IF(INDEX(Квартиры!$I$2:$I$1501,MATCH($A18*1000+12,Квартиры!$K$2:$K$1501,0))&gt;0," +У","")&amp;IF(INDEX(Квартиры!$J$2:$J$1501,MATCH($A18*1000+12,Квартиры!$K$2:$K$1501,0))&gt;0," +Г",""),"-"))</f>
        <v/>
      </c>
      <c r="O18">
        <f>IF($A18="","",IFERROR(IF(Настройки!$B$4="да",INDEX(Квартиры!$D$2:$D$1501,MATCH($A18*1000+13,Квартиры!$K$2:$K$1501,0))&amp;" / ","")&amp;INDEX(Квартиры!$H$2:$H$1501,MATCH($A18*1000+13,Квартиры!$K$2:$K$1501,0))&amp;" СУ"&amp;IF(INDEX(Квартиры!$I$2:$I$1501,MATCH($A18*1000+13,Квартиры!$K$2:$K$1501,0))&gt;0," +У","")&amp;IF(INDEX(Квартиры!$J$2:$J$1501,MATCH($A18*1000+13,Квартиры!$K$2:$K$1501,0))&gt;0," +Г",""),"-"))</f>
        <v/>
      </c>
      <c r="P18">
        <f>IF($A18="","",IFERROR(IF(Настройки!$B$4="да",INDEX(Квартиры!$D$2:$D$1501,MATCH($A18*1000+14,Квартиры!$K$2:$K$1501,0))&amp;" / ","")&amp;INDEX(Квартиры!$H$2:$H$1501,MATCH($A18*1000+14,Квартиры!$K$2:$K$1501,0))&amp;" СУ"&amp;IF(INDEX(Квартиры!$I$2:$I$1501,MATCH($A18*1000+14,Квартиры!$K$2:$K$1501,0))&gt;0," +У","")&amp;IF(INDEX(Квартиры!$J$2:$J$1501,MATCH($A18*1000+14,Квартиры!$K$2:$K$1501,0))&gt;0," +Г",""),"-"))</f>
        <v/>
      </c>
      <c r="Q18">
        <f>IF($A18="","",IFERROR(IF(Настройки!$B$4="да",INDEX(Квартиры!$D$2:$D$1501,MATCH($A18*1000+15,Квартиры!$K$2:$K$1501,0))&amp;" / ","")&amp;INDEX(Квартиры!$H$2:$H$1501,MATCH($A18*1000+15,Квартиры!$K$2:$K$1501,0))&amp;" СУ"&amp;IF(INDEX(Квартиры!$I$2:$I$1501,MATCH($A18*1000+15,Квартиры!$K$2:$K$1501,0))&gt;0," +У","")&amp;IF(INDEX(Квартиры!$J$2:$J$1501,MATCH($A18*1000+15,Квартиры!$K$2:$K$1501,0))&gt;0," +Г",""),"-"))</f>
        <v/>
      </c>
      <c r="R18">
        <f>IF(A18="","",C18&amp;"|"&amp;D18&amp;"|"&amp;E18&amp;"|"&amp;F18&amp;"|"&amp;G18&amp;"|"&amp;H18&amp;"|"&amp;I18&amp;"|"&amp;J18&amp;"|"&amp;K18&amp;"|"&amp;L18&amp;"|"&amp;M18&amp;"|"&amp;N18&amp;"|"&amp;O18&amp;"|"&amp;P18&amp;"|"&amp;Q18)</f>
        <v/>
      </c>
      <c r="S18">
        <f>IF(A18="","",IFERROR(LOOKUP(2,1/(B$2:B17=B18),S$2:S17)&amp;", ","")&amp;A18)</f>
        <v/>
      </c>
      <c r="U18">
        <f>IF(16&gt;MAX(B$3:B$82),"",16)</f>
        <v/>
      </c>
      <c r="V18">
        <f>IF(U18="","",LOOKUP(2,1/(B$3:B$82=U18),S$3:S$82))</f>
        <v/>
      </c>
      <c r="W18">
        <f>IF(U18="","",COUNTIF(B$3:B$82,U18))</f>
        <v/>
      </c>
    </row>
    <row r="19">
      <c r="A19">
        <f>IFERROR(IF(A18="","",SMALL(Квартиры!$B$2:$B$1501,COUNTIF(Квартиры!$B$2:$B$1501,"&lt;="&amp;A18)+1)),"")</f>
        <v/>
      </c>
      <c r="B19">
        <f>IF(A19="","",IF(COUNTIF(R$2:R18,R19)=0,MAX(B$2:B18)+1,INDEX(B$2:B18,MATCH(R19,R$2:R18,0))))</f>
        <v/>
      </c>
      <c r="C19">
        <f>IF($A19="","",IFERROR(IF(Настройки!$B$4="да",INDEX(Квартиры!$D$2:$D$1501,MATCH($A19*1000+1,Квартиры!$K$2:$K$1501,0))&amp;" / ","")&amp;INDEX(Квартиры!$H$2:$H$1501,MATCH($A19*1000+1,Квартиры!$K$2:$K$1501,0))&amp;" СУ"&amp;IF(INDEX(Квартиры!$I$2:$I$1501,MATCH($A19*1000+1,Квартиры!$K$2:$K$1501,0))&gt;0," +У","")&amp;IF(INDEX(Квартиры!$J$2:$J$1501,MATCH($A19*1000+1,Квартиры!$K$2:$K$1501,0))&gt;0," +Г",""),"-"))</f>
        <v/>
      </c>
      <c r="D19">
        <f>IF($A19="","",IFERROR(IF(Настройки!$B$4="да",INDEX(Квартиры!$D$2:$D$1501,MATCH($A19*1000+2,Квартиры!$K$2:$K$1501,0))&amp;" / ","")&amp;INDEX(Квартиры!$H$2:$H$1501,MATCH($A19*1000+2,Квартиры!$K$2:$K$1501,0))&amp;" СУ"&amp;IF(INDEX(Квартиры!$I$2:$I$1501,MATCH($A19*1000+2,Квартиры!$K$2:$K$1501,0))&gt;0," +У","")&amp;IF(INDEX(Квартиры!$J$2:$J$1501,MATCH($A19*1000+2,Квартиры!$K$2:$K$1501,0))&gt;0," +Г",""),"-"))</f>
        <v/>
      </c>
      <c r="E19">
        <f>IF($A19="","",IFERROR(IF(Настройки!$B$4="да",INDEX(Квартиры!$D$2:$D$1501,MATCH($A19*1000+3,Квартиры!$K$2:$K$1501,0))&amp;" / ","")&amp;INDEX(Квартиры!$H$2:$H$1501,MATCH($A19*1000+3,Квартиры!$K$2:$K$1501,0))&amp;" СУ"&amp;IF(INDEX(Квартиры!$I$2:$I$1501,MATCH($A19*1000+3,Квартиры!$K$2:$K$1501,0))&gt;0," +У","")&amp;IF(INDEX(Квартиры!$J$2:$J$1501,MATCH($A19*1000+3,Квартиры!$K$2:$K$1501,0))&gt;0," +Г",""),"-"))</f>
        <v/>
      </c>
      <c r="F19">
        <f>IF($A19="","",IFERROR(IF(Настройки!$B$4="да",INDEX(Квартиры!$D$2:$D$1501,MATCH($A19*1000+4,Квартиры!$K$2:$K$1501,0))&amp;" / ","")&amp;INDEX(Квартиры!$H$2:$H$1501,MATCH($A19*1000+4,Квартиры!$K$2:$K$1501,0))&amp;" СУ"&amp;IF(INDEX(Квартиры!$I$2:$I$1501,MATCH($A19*1000+4,Квартиры!$K$2:$K$1501,0))&gt;0," +У","")&amp;IF(INDEX(Квартиры!$J$2:$J$1501,MATCH($A19*1000+4,Квартиры!$K$2:$K$1501,0))&gt;0," +Г",""),"-"))</f>
        <v/>
      </c>
      <c r="G19">
        <f>IF($A19="","",IFERROR(IF(Настройки!$B$4="да",INDEX(Квартиры!$D$2:$D$1501,MATCH($A19*1000+5,Квартиры!$K$2:$K$1501,0))&amp;" / ","")&amp;INDEX(Квартиры!$H$2:$H$1501,MATCH($A19*1000+5,Квартиры!$K$2:$K$1501,0))&amp;" СУ"&amp;IF(INDEX(Квартиры!$I$2:$I$1501,MATCH($A19*1000+5,Квартиры!$K$2:$K$1501,0))&gt;0," +У","")&amp;IF(INDEX(Квартиры!$J$2:$J$1501,MATCH($A19*1000+5,Квартиры!$K$2:$K$1501,0))&gt;0," +Г",""),"-"))</f>
        <v/>
      </c>
      <c r="H19">
        <f>IF($A19="","",IFERROR(IF(Настройки!$B$4="да",INDEX(Квартиры!$D$2:$D$1501,MATCH($A19*1000+6,Квартиры!$K$2:$K$1501,0))&amp;" / ","")&amp;INDEX(Квартиры!$H$2:$H$1501,MATCH($A19*1000+6,Квартиры!$K$2:$K$1501,0))&amp;" СУ"&amp;IF(INDEX(Квартиры!$I$2:$I$1501,MATCH($A19*1000+6,Квартиры!$K$2:$K$1501,0))&gt;0," +У","")&amp;IF(INDEX(Квартиры!$J$2:$J$1501,MATCH($A19*1000+6,Квартиры!$K$2:$K$1501,0))&gt;0," +Г",""),"-"))</f>
        <v/>
      </c>
      <c r="I19">
        <f>IF($A19="","",IFERROR(IF(Настройки!$B$4="да",INDEX(Квартиры!$D$2:$D$1501,MATCH($A19*1000+7,Квартиры!$K$2:$K$1501,0))&amp;" / ","")&amp;INDEX(Квартиры!$H$2:$H$1501,MATCH($A19*1000+7,Квартиры!$K$2:$K$1501,0))&amp;" СУ"&amp;IF(INDEX(Квартиры!$I$2:$I$1501,MATCH($A19*1000+7,Квартиры!$K$2:$K$1501,0))&gt;0," +У","")&amp;IF(INDEX(Квартиры!$J$2:$J$1501,MATCH($A19*1000+7,Квартиры!$K$2:$K$1501,0))&gt;0," +Г",""),"-"))</f>
        <v/>
      </c>
      <c r="J19">
        <f>IF($A19="","",IFERROR(IF(Настройки!$B$4="да",INDEX(Квартиры!$D$2:$D$1501,MATCH($A19*1000+8,Квартиры!$K$2:$K$1501,0))&amp;" / ","")&amp;INDEX(Квартиры!$H$2:$H$1501,MATCH($A19*1000+8,Квартиры!$K$2:$K$1501,0))&amp;" СУ"&amp;IF(INDEX(Квартиры!$I$2:$I$1501,MATCH($A19*1000+8,Квартиры!$K$2:$K$1501,0))&gt;0," +У","")&amp;IF(INDEX(Квартиры!$J$2:$J$1501,MATCH($A19*1000+8,Квартиры!$K$2:$K$1501,0))&gt;0," +Г",""),"-"))</f>
        <v/>
      </c>
      <c r="K19">
        <f>IF($A19="","",IFERROR(IF(Настройки!$B$4="да",INDEX(Квартиры!$D$2:$D$1501,MATCH($A19*1000+9,Квартиры!$K$2:$K$1501,0))&amp;" / ","")&amp;INDEX(Квартиры!$H$2:$H$1501,MATCH($A19*1000+9,Квартиры!$K$2:$K$1501,0))&amp;" СУ"&amp;IF(INDEX(Квартиры!$I$2:$I$1501,MATCH($A19*1000+9,Квартиры!$K$2:$K$1501,0))&gt;0," +У","")&amp;IF(INDEX(Квартиры!$J$2:$J$1501,MATCH($A19*1000+9,Квартиры!$K$2:$K$1501,0))&gt;0," +Г",""),"-"))</f>
        <v/>
      </c>
      <c r="L19">
        <f>IF($A19="","",IFERROR(IF(Настройки!$B$4="да",INDEX(Квартиры!$D$2:$D$1501,MATCH($A19*1000+10,Квартиры!$K$2:$K$1501,0))&amp;" / ","")&amp;INDEX(Квартиры!$H$2:$H$1501,MATCH($A19*1000+10,Квартиры!$K$2:$K$1501,0))&amp;" СУ"&amp;IF(INDEX(Квартиры!$I$2:$I$1501,MATCH($A19*1000+10,Квартиры!$K$2:$K$1501,0))&gt;0," +У","")&amp;IF(INDEX(Квартиры!$J$2:$J$1501,MATCH($A19*1000+10,Квартиры!$K$2:$K$1501,0))&gt;0," +Г",""),"-"))</f>
        <v/>
      </c>
      <c r="M19">
        <f>IF($A19="","",IFERROR(IF(Настройки!$B$4="да",INDEX(Квартиры!$D$2:$D$1501,MATCH($A19*1000+11,Квартиры!$K$2:$K$1501,0))&amp;" / ","")&amp;INDEX(Квартиры!$H$2:$H$1501,MATCH($A19*1000+11,Квартиры!$K$2:$K$1501,0))&amp;" СУ"&amp;IF(INDEX(Квартиры!$I$2:$I$1501,MATCH($A19*1000+11,Квартиры!$K$2:$K$1501,0))&gt;0," +У","")&amp;IF(INDEX(Квартиры!$J$2:$J$1501,MATCH($A19*1000+11,Квартиры!$K$2:$K$1501,0))&gt;0," +Г",""),"-"))</f>
        <v/>
      </c>
      <c r="N19">
        <f>IF($A19="","",IFERROR(IF(Настройки!$B$4="да",INDEX(Квартиры!$D$2:$D$1501,MATCH($A19*1000+12,Квартиры!$K$2:$K$1501,0))&amp;" / ","")&amp;INDEX(Квартиры!$H$2:$H$1501,MATCH($A19*1000+12,Квартиры!$K$2:$K$1501,0))&amp;" СУ"&amp;IF(INDEX(Квартиры!$I$2:$I$1501,MATCH($A19*1000+12,Квартиры!$K$2:$K$1501,0))&gt;0," +У","")&amp;IF(INDEX(Квартиры!$J$2:$J$1501,MATCH($A19*1000+12,Квартиры!$K$2:$K$1501,0))&gt;0," +Г",""),"-"))</f>
        <v/>
      </c>
      <c r="O19">
        <f>IF($A19="","",IFERROR(IF(Настройки!$B$4="да",INDEX(Квартиры!$D$2:$D$1501,MATCH($A19*1000+13,Квартиры!$K$2:$K$1501,0))&amp;" / ","")&amp;INDEX(Квартиры!$H$2:$H$1501,MATCH($A19*1000+13,Квартиры!$K$2:$K$1501,0))&amp;" СУ"&amp;IF(INDEX(Квартиры!$I$2:$I$1501,MATCH($A19*1000+13,Квартиры!$K$2:$K$1501,0))&gt;0," +У","")&amp;IF(INDEX(Квартиры!$J$2:$J$1501,MATCH($A19*1000+13,Квартиры!$K$2:$K$1501,0))&gt;0," +Г",""),"-"))</f>
        <v/>
      </c>
      <c r="P19">
        <f>IF($A19="","",IFERROR(IF(Настройки!$B$4="да",INDEX(Квартиры!$D$2:$D$1501,MATCH($A19*1000+14,Квартиры!$K$2:$K$1501,0))&amp;" / ","")&amp;INDEX(Квартиры!$H$2:$H$1501,MATCH($A19*1000+14,Квартиры!$K$2:$K$1501,0))&amp;" СУ"&amp;IF(INDEX(Квартиры!$I$2:$I$1501,MATCH($A19*1000+14,Квартиры!$K$2:$K$1501,0))&gt;0," +У","")&amp;IF(INDEX(Квартиры!$J$2:$J$1501,MATCH($A19*1000+14,Квартиры!$K$2:$K$1501,0))&gt;0," +Г",""),"-"))</f>
        <v/>
      </c>
      <c r="Q19">
        <f>IF($A19="","",IFERROR(IF(Настройки!$B$4="да",INDEX(Квартиры!$D$2:$D$1501,MATCH($A19*1000+15,Квартиры!$K$2:$K$1501,0))&amp;" / ","")&amp;INDEX(Квартиры!$H$2:$H$1501,MATCH($A19*1000+15,Квартиры!$K$2:$K$1501,0))&amp;" СУ"&amp;IF(INDEX(Квартиры!$I$2:$I$1501,MATCH($A19*1000+15,Квартиры!$K$2:$K$1501,0))&gt;0," +У","")&amp;IF(INDEX(Квартиры!$J$2:$J$1501,MATCH($A19*1000+15,Квартиры!$K$2:$K$1501,0))&gt;0," +Г",""),"-"))</f>
        <v/>
      </c>
      <c r="R19">
        <f>IF(A19="","",C19&amp;"|"&amp;D19&amp;"|"&amp;E19&amp;"|"&amp;F19&amp;"|"&amp;G19&amp;"|"&amp;H19&amp;"|"&amp;I19&amp;"|"&amp;J19&amp;"|"&amp;K19&amp;"|"&amp;L19&amp;"|"&amp;M19&amp;"|"&amp;N19&amp;"|"&amp;O19&amp;"|"&amp;P19&amp;"|"&amp;Q19)</f>
        <v/>
      </c>
      <c r="S19">
        <f>IF(A19="","",IFERROR(LOOKUP(2,1/(B$2:B18=B19),S$2:S18)&amp;", ","")&amp;A19)</f>
        <v/>
      </c>
      <c r="U19">
        <f>IF(17&gt;MAX(B$3:B$82),"",17)</f>
        <v/>
      </c>
      <c r="V19">
        <f>IF(U19="","",LOOKUP(2,1/(B$3:B$82=U19),S$3:S$82))</f>
        <v/>
      </c>
      <c r="W19">
        <f>IF(U19="","",COUNTIF(B$3:B$82,U19))</f>
        <v/>
      </c>
    </row>
    <row r="20">
      <c r="A20">
        <f>IFERROR(IF(A19="","",SMALL(Квартиры!$B$2:$B$1501,COUNTIF(Квартиры!$B$2:$B$1501,"&lt;="&amp;A19)+1)),"")</f>
        <v/>
      </c>
      <c r="B20">
        <f>IF(A20="","",IF(COUNTIF(R$2:R19,R20)=0,MAX(B$2:B19)+1,INDEX(B$2:B19,MATCH(R20,R$2:R19,0))))</f>
        <v/>
      </c>
      <c r="C20">
        <f>IF($A20="","",IFERROR(IF(Настройки!$B$4="да",INDEX(Квартиры!$D$2:$D$1501,MATCH($A20*1000+1,Квартиры!$K$2:$K$1501,0))&amp;" / ","")&amp;INDEX(Квартиры!$H$2:$H$1501,MATCH($A20*1000+1,Квартиры!$K$2:$K$1501,0))&amp;" СУ"&amp;IF(INDEX(Квартиры!$I$2:$I$1501,MATCH($A20*1000+1,Квартиры!$K$2:$K$1501,0))&gt;0," +У","")&amp;IF(INDEX(Квартиры!$J$2:$J$1501,MATCH($A20*1000+1,Квартиры!$K$2:$K$1501,0))&gt;0," +Г",""),"-"))</f>
        <v/>
      </c>
      <c r="D20">
        <f>IF($A20="","",IFERROR(IF(Настройки!$B$4="да",INDEX(Квартиры!$D$2:$D$1501,MATCH($A20*1000+2,Квартиры!$K$2:$K$1501,0))&amp;" / ","")&amp;INDEX(Квартиры!$H$2:$H$1501,MATCH($A20*1000+2,Квартиры!$K$2:$K$1501,0))&amp;" СУ"&amp;IF(INDEX(Квартиры!$I$2:$I$1501,MATCH($A20*1000+2,Квартиры!$K$2:$K$1501,0))&gt;0," +У","")&amp;IF(INDEX(Квартиры!$J$2:$J$1501,MATCH($A20*1000+2,Квартиры!$K$2:$K$1501,0))&gt;0," +Г",""),"-"))</f>
        <v/>
      </c>
      <c r="E20">
        <f>IF($A20="","",IFERROR(IF(Настройки!$B$4="да",INDEX(Квартиры!$D$2:$D$1501,MATCH($A20*1000+3,Квартиры!$K$2:$K$1501,0))&amp;" / ","")&amp;INDEX(Квартиры!$H$2:$H$1501,MATCH($A20*1000+3,Квартиры!$K$2:$K$1501,0))&amp;" СУ"&amp;IF(INDEX(Квартиры!$I$2:$I$1501,MATCH($A20*1000+3,Квартиры!$K$2:$K$1501,0))&gt;0," +У","")&amp;IF(INDEX(Квартиры!$J$2:$J$1501,MATCH($A20*1000+3,Квартиры!$K$2:$K$1501,0))&gt;0," +Г",""),"-"))</f>
        <v/>
      </c>
      <c r="F20">
        <f>IF($A20="","",IFERROR(IF(Настройки!$B$4="да",INDEX(Квартиры!$D$2:$D$1501,MATCH($A20*1000+4,Квартиры!$K$2:$K$1501,0))&amp;" / ","")&amp;INDEX(Квартиры!$H$2:$H$1501,MATCH($A20*1000+4,Квартиры!$K$2:$K$1501,0))&amp;" СУ"&amp;IF(INDEX(Квартиры!$I$2:$I$1501,MATCH($A20*1000+4,Квартиры!$K$2:$K$1501,0))&gt;0," +У","")&amp;IF(INDEX(Квартиры!$J$2:$J$1501,MATCH($A20*1000+4,Квартиры!$K$2:$K$1501,0))&gt;0," +Г",""),"-"))</f>
        <v/>
      </c>
      <c r="G20">
        <f>IF($A20="","",IFERROR(IF(Настройки!$B$4="да",INDEX(Квартиры!$D$2:$D$1501,MATCH($A20*1000+5,Квартиры!$K$2:$K$1501,0))&amp;" / ","")&amp;INDEX(Квартиры!$H$2:$H$1501,MATCH($A20*1000+5,Квартиры!$K$2:$K$1501,0))&amp;" СУ"&amp;IF(INDEX(Квартиры!$I$2:$I$1501,MATCH($A20*1000+5,Квартиры!$K$2:$K$1501,0))&gt;0," +У","")&amp;IF(INDEX(Квартиры!$J$2:$J$1501,MATCH($A20*1000+5,Квартиры!$K$2:$K$1501,0))&gt;0," +Г",""),"-"))</f>
        <v/>
      </c>
      <c r="H20">
        <f>IF($A20="","",IFERROR(IF(Настройки!$B$4="да",INDEX(Квартиры!$D$2:$D$1501,MATCH($A20*1000+6,Квартиры!$K$2:$K$1501,0))&amp;" / ","")&amp;INDEX(Квартиры!$H$2:$H$1501,MATCH($A20*1000+6,Квартиры!$K$2:$K$1501,0))&amp;" СУ"&amp;IF(INDEX(Квартиры!$I$2:$I$1501,MATCH($A20*1000+6,Квартиры!$K$2:$K$1501,0))&gt;0," +У","")&amp;IF(INDEX(Квартиры!$J$2:$J$1501,MATCH($A20*1000+6,Квартиры!$K$2:$K$1501,0))&gt;0," +Г",""),"-"))</f>
        <v/>
      </c>
      <c r="I20">
        <f>IF($A20="","",IFERROR(IF(Настройки!$B$4="да",INDEX(Квартиры!$D$2:$D$1501,MATCH($A20*1000+7,Квартиры!$K$2:$K$1501,0))&amp;" / ","")&amp;INDEX(Квартиры!$H$2:$H$1501,MATCH($A20*1000+7,Квартиры!$K$2:$K$1501,0))&amp;" СУ"&amp;IF(INDEX(Квартиры!$I$2:$I$1501,MATCH($A20*1000+7,Квартиры!$K$2:$K$1501,0))&gt;0," +У","")&amp;IF(INDEX(Квартиры!$J$2:$J$1501,MATCH($A20*1000+7,Квартиры!$K$2:$K$1501,0))&gt;0," +Г",""),"-"))</f>
        <v/>
      </c>
      <c r="J20">
        <f>IF($A20="","",IFERROR(IF(Настройки!$B$4="да",INDEX(Квартиры!$D$2:$D$1501,MATCH($A20*1000+8,Квартиры!$K$2:$K$1501,0))&amp;" / ","")&amp;INDEX(Квартиры!$H$2:$H$1501,MATCH($A20*1000+8,Квартиры!$K$2:$K$1501,0))&amp;" СУ"&amp;IF(INDEX(Квартиры!$I$2:$I$1501,MATCH($A20*1000+8,Квартиры!$K$2:$K$1501,0))&gt;0," +У","")&amp;IF(INDEX(Квартиры!$J$2:$J$1501,MATCH($A20*1000+8,Квартиры!$K$2:$K$1501,0))&gt;0," +Г",""),"-"))</f>
        <v/>
      </c>
      <c r="K20">
        <f>IF($A20="","",IFERROR(IF(Настройки!$B$4="да",INDEX(Квартиры!$D$2:$D$1501,MATCH($A20*1000+9,Квартиры!$K$2:$K$1501,0))&amp;" / ","")&amp;INDEX(Квартиры!$H$2:$H$1501,MATCH($A20*1000+9,Квартиры!$K$2:$K$1501,0))&amp;" СУ"&amp;IF(INDEX(Квартиры!$I$2:$I$1501,MATCH($A20*1000+9,Квартиры!$K$2:$K$1501,0))&gt;0," +У","")&amp;IF(INDEX(Квартиры!$J$2:$J$1501,MATCH($A20*1000+9,Квартиры!$K$2:$K$1501,0))&gt;0," +Г",""),"-"))</f>
        <v/>
      </c>
      <c r="L20">
        <f>IF($A20="","",IFERROR(IF(Настройки!$B$4="да",INDEX(Квартиры!$D$2:$D$1501,MATCH($A20*1000+10,Квартиры!$K$2:$K$1501,0))&amp;" / ","")&amp;INDEX(Квартиры!$H$2:$H$1501,MATCH($A20*1000+10,Квартиры!$K$2:$K$1501,0))&amp;" СУ"&amp;IF(INDEX(Квартиры!$I$2:$I$1501,MATCH($A20*1000+10,Квартиры!$K$2:$K$1501,0))&gt;0," +У","")&amp;IF(INDEX(Квартиры!$J$2:$J$1501,MATCH($A20*1000+10,Квартиры!$K$2:$K$1501,0))&gt;0," +Г",""),"-"))</f>
        <v/>
      </c>
      <c r="M20">
        <f>IF($A20="","",IFERROR(IF(Настройки!$B$4="да",INDEX(Квартиры!$D$2:$D$1501,MATCH($A20*1000+11,Квартиры!$K$2:$K$1501,0))&amp;" / ","")&amp;INDEX(Квартиры!$H$2:$H$1501,MATCH($A20*1000+11,Квартиры!$K$2:$K$1501,0))&amp;" СУ"&amp;IF(INDEX(Квартиры!$I$2:$I$1501,MATCH($A20*1000+11,Квартиры!$K$2:$K$1501,0))&gt;0," +У","")&amp;IF(INDEX(Квартиры!$J$2:$J$1501,MATCH($A20*1000+11,Квартиры!$K$2:$K$1501,0))&gt;0," +Г",""),"-"))</f>
        <v/>
      </c>
      <c r="N20">
        <f>IF($A20="","",IFERROR(IF(Настройки!$B$4="да",INDEX(Квартиры!$D$2:$D$1501,MATCH($A20*1000+12,Квартиры!$K$2:$K$1501,0))&amp;" / ","")&amp;INDEX(Квартиры!$H$2:$H$1501,MATCH($A20*1000+12,Квартиры!$K$2:$K$1501,0))&amp;" СУ"&amp;IF(INDEX(Квартиры!$I$2:$I$1501,MATCH($A20*1000+12,Квартиры!$K$2:$K$1501,0))&gt;0," +У","")&amp;IF(INDEX(Квартиры!$J$2:$J$1501,MATCH($A20*1000+12,Квартиры!$K$2:$K$1501,0))&gt;0," +Г",""),"-"))</f>
        <v/>
      </c>
      <c r="O20">
        <f>IF($A20="","",IFERROR(IF(Настройки!$B$4="да",INDEX(Квартиры!$D$2:$D$1501,MATCH($A20*1000+13,Квартиры!$K$2:$K$1501,0))&amp;" / ","")&amp;INDEX(Квартиры!$H$2:$H$1501,MATCH($A20*1000+13,Квартиры!$K$2:$K$1501,0))&amp;" СУ"&amp;IF(INDEX(Квартиры!$I$2:$I$1501,MATCH($A20*1000+13,Квартиры!$K$2:$K$1501,0))&gt;0," +У","")&amp;IF(INDEX(Квартиры!$J$2:$J$1501,MATCH($A20*1000+13,Квартиры!$K$2:$K$1501,0))&gt;0," +Г",""),"-"))</f>
        <v/>
      </c>
      <c r="P20">
        <f>IF($A20="","",IFERROR(IF(Настройки!$B$4="да",INDEX(Квартиры!$D$2:$D$1501,MATCH($A20*1000+14,Квартиры!$K$2:$K$1501,0))&amp;" / ","")&amp;INDEX(Квартиры!$H$2:$H$1501,MATCH($A20*1000+14,Квартиры!$K$2:$K$1501,0))&amp;" СУ"&amp;IF(INDEX(Квартиры!$I$2:$I$1501,MATCH($A20*1000+14,Квартиры!$K$2:$K$1501,0))&gt;0," +У","")&amp;IF(INDEX(Квартиры!$J$2:$J$1501,MATCH($A20*1000+14,Квартиры!$K$2:$K$1501,0))&gt;0," +Г",""),"-"))</f>
        <v/>
      </c>
      <c r="Q20">
        <f>IF($A20="","",IFERROR(IF(Настройки!$B$4="да",INDEX(Квартиры!$D$2:$D$1501,MATCH($A20*1000+15,Квартиры!$K$2:$K$1501,0))&amp;" / ","")&amp;INDEX(Квартиры!$H$2:$H$1501,MATCH($A20*1000+15,Квартиры!$K$2:$K$1501,0))&amp;" СУ"&amp;IF(INDEX(Квартиры!$I$2:$I$1501,MATCH($A20*1000+15,Квартиры!$K$2:$K$1501,0))&gt;0," +У","")&amp;IF(INDEX(Квартиры!$J$2:$J$1501,MATCH($A20*1000+15,Квартиры!$K$2:$K$1501,0))&gt;0," +Г",""),"-"))</f>
        <v/>
      </c>
      <c r="R20">
        <f>IF(A20="","",C20&amp;"|"&amp;D20&amp;"|"&amp;E20&amp;"|"&amp;F20&amp;"|"&amp;G20&amp;"|"&amp;H20&amp;"|"&amp;I20&amp;"|"&amp;J20&amp;"|"&amp;K20&amp;"|"&amp;L20&amp;"|"&amp;M20&amp;"|"&amp;N20&amp;"|"&amp;O20&amp;"|"&amp;P20&amp;"|"&amp;Q20)</f>
        <v/>
      </c>
      <c r="S20">
        <f>IF(A20="","",IFERROR(LOOKUP(2,1/(B$2:B19=B20),S$2:S19)&amp;", ","")&amp;A20)</f>
        <v/>
      </c>
      <c r="U20">
        <f>IF(18&gt;MAX(B$3:B$82),"",18)</f>
        <v/>
      </c>
      <c r="V20">
        <f>IF(U20="","",LOOKUP(2,1/(B$3:B$82=U20),S$3:S$82))</f>
        <v/>
      </c>
      <c r="W20">
        <f>IF(U20="","",COUNTIF(B$3:B$82,U20))</f>
        <v/>
      </c>
    </row>
    <row r="21">
      <c r="A21">
        <f>IFERROR(IF(A20="","",SMALL(Квартиры!$B$2:$B$1501,COUNTIF(Квартиры!$B$2:$B$1501,"&lt;="&amp;A20)+1)),"")</f>
        <v/>
      </c>
      <c r="B21">
        <f>IF(A21="","",IF(COUNTIF(R$2:R20,R21)=0,MAX(B$2:B20)+1,INDEX(B$2:B20,MATCH(R21,R$2:R20,0))))</f>
        <v/>
      </c>
      <c r="C21">
        <f>IF($A21="","",IFERROR(IF(Настройки!$B$4="да",INDEX(Квартиры!$D$2:$D$1501,MATCH($A21*1000+1,Квартиры!$K$2:$K$1501,0))&amp;" / ","")&amp;INDEX(Квартиры!$H$2:$H$1501,MATCH($A21*1000+1,Квартиры!$K$2:$K$1501,0))&amp;" СУ"&amp;IF(INDEX(Квартиры!$I$2:$I$1501,MATCH($A21*1000+1,Квартиры!$K$2:$K$1501,0))&gt;0," +У","")&amp;IF(INDEX(Квартиры!$J$2:$J$1501,MATCH($A21*1000+1,Квартиры!$K$2:$K$1501,0))&gt;0," +Г",""),"-"))</f>
        <v/>
      </c>
      <c r="D21">
        <f>IF($A21="","",IFERROR(IF(Настройки!$B$4="да",INDEX(Квартиры!$D$2:$D$1501,MATCH($A21*1000+2,Квартиры!$K$2:$K$1501,0))&amp;" / ","")&amp;INDEX(Квартиры!$H$2:$H$1501,MATCH($A21*1000+2,Квартиры!$K$2:$K$1501,0))&amp;" СУ"&amp;IF(INDEX(Квартиры!$I$2:$I$1501,MATCH($A21*1000+2,Квартиры!$K$2:$K$1501,0))&gt;0," +У","")&amp;IF(INDEX(Квартиры!$J$2:$J$1501,MATCH($A21*1000+2,Квартиры!$K$2:$K$1501,0))&gt;0," +Г",""),"-"))</f>
        <v/>
      </c>
      <c r="E21">
        <f>IF($A21="","",IFERROR(IF(Настройки!$B$4="да",INDEX(Квартиры!$D$2:$D$1501,MATCH($A21*1000+3,Квартиры!$K$2:$K$1501,0))&amp;" / ","")&amp;INDEX(Квартиры!$H$2:$H$1501,MATCH($A21*1000+3,Квартиры!$K$2:$K$1501,0))&amp;" СУ"&amp;IF(INDEX(Квартиры!$I$2:$I$1501,MATCH($A21*1000+3,Квартиры!$K$2:$K$1501,0))&gt;0," +У","")&amp;IF(INDEX(Квартиры!$J$2:$J$1501,MATCH($A21*1000+3,Квартиры!$K$2:$K$1501,0))&gt;0," +Г",""),"-"))</f>
        <v/>
      </c>
      <c r="F21">
        <f>IF($A21="","",IFERROR(IF(Настройки!$B$4="да",INDEX(Квартиры!$D$2:$D$1501,MATCH($A21*1000+4,Квартиры!$K$2:$K$1501,0))&amp;" / ","")&amp;INDEX(Квартиры!$H$2:$H$1501,MATCH($A21*1000+4,Квартиры!$K$2:$K$1501,0))&amp;" СУ"&amp;IF(INDEX(Квартиры!$I$2:$I$1501,MATCH($A21*1000+4,Квартиры!$K$2:$K$1501,0))&gt;0," +У","")&amp;IF(INDEX(Квартиры!$J$2:$J$1501,MATCH($A21*1000+4,Квартиры!$K$2:$K$1501,0))&gt;0," +Г",""),"-"))</f>
        <v/>
      </c>
      <c r="G21">
        <f>IF($A21="","",IFERROR(IF(Настройки!$B$4="да",INDEX(Квартиры!$D$2:$D$1501,MATCH($A21*1000+5,Квартиры!$K$2:$K$1501,0))&amp;" / ","")&amp;INDEX(Квартиры!$H$2:$H$1501,MATCH($A21*1000+5,Квартиры!$K$2:$K$1501,0))&amp;" СУ"&amp;IF(INDEX(Квартиры!$I$2:$I$1501,MATCH($A21*1000+5,Квартиры!$K$2:$K$1501,0))&gt;0," +У","")&amp;IF(INDEX(Квартиры!$J$2:$J$1501,MATCH($A21*1000+5,Квартиры!$K$2:$K$1501,0))&gt;0," +Г",""),"-"))</f>
        <v/>
      </c>
      <c r="H21">
        <f>IF($A21="","",IFERROR(IF(Настройки!$B$4="да",INDEX(Квартиры!$D$2:$D$1501,MATCH($A21*1000+6,Квартиры!$K$2:$K$1501,0))&amp;" / ","")&amp;INDEX(Квартиры!$H$2:$H$1501,MATCH($A21*1000+6,Квартиры!$K$2:$K$1501,0))&amp;" СУ"&amp;IF(INDEX(Квартиры!$I$2:$I$1501,MATCH($A21*1000+6,Квартиры!$K$2:$K$1501,0))&gt;0," +У","")&amp;IF(INDEX(Квартиры!$J$2:$J$1501,MATCH($A21*1000+6,Квартиры!$K$2:$K$1501,0))&gt;0," +Г",""),"-"))</f>
        <v/>
      </c>
      <c r="I21">
        <f>IF($A21="","",IFERROR(IF(Настройки!$B$4="да",INDEX(Квартиры!$D$2:$D$1501,MATCH($A21*1000+7,Квартиры!$K$2:$K$1501,0))&amp;" / ","")&amp;INDEX(Квартиры!$H$2:$H$1501,MATCH($A21*1000+7,Квартиры!$K$2:$K$1501,0))&amp;" СУ"&amp;IF(INDEX(Квартиры!$I$2:$I$1501,MATCH($A21*1000+7,Квартиры!$K$2:$K$1501,0))&gt;0," +У","")&amp;IF(INDEX(Квартиры!$J$2:$J$1501,MATCH($A21*1000+7,Квартиры!$K$2:$K$1501,0))&gt;0," +Г",""),"-"))</f>
        <v/>
      </c>
      <c r="J21">
        <f>IF($A21="","",IFERROR(IF(Настройки!$B$4="да",INDEX(Квартиры!$D$2:$D$1501,MATCH($A21*1000+8,Квартиры!$K$2:$K$1501,0))&amp;" / ","")&amp;INDEX(Квартиры!$H$2:$H$1501,MATCH($A21*1000+8,Квартиры!$K$2:$K$1501,0))&amp;" СУ"&amp;IF(INDEX(Квартиры!$I$2:$I$1501,MATCH($A21*1000+8,Квартиры!$K$2:$K$1501,0))&gt;0," +У","")&amp;IF(INDEX(Квартиры!$J$2:$J$1501,MATCH($A21*1000+8,Квартиры!$K$2:$K$1501,0))&gt;0," +Г",""),"-"))</f>
        <v/>
      </c>
      <c r="K21">
        <f>IF($A21="","",IFERROR(IF(Настройки!$B$4="да",INDEX(Квартиры!$D$2:$D$1501,MATCH($A21*1000+9,Квартиры!$K$2:$K$1501,0))&amp;" / ","")&amp;INDEX(Квартиры!$H$2:$H$1501,MATCH($A21*1000+9,Квартиры!$K$2:$K$1501,0))&amp;" СУ"&amp;IF(INDEX(Квартиры!$I$2:$I$1501,MATCH($A21*1000+9,Квартиры!$K$2:$K$1501,0))&gt;0," +У","")&amp;IF(INDEX(Квартиры!$J$2:$J$1501,MATCH($A21*1000+9,Квартиры!$K$2:$K$1501,0))&gt;0," +Г",""),"-"))</f>
        <v/>
      </c>
      <c r="L21">
        <f>IF($A21="","",IFERROR(IF(Настройки!$B$4="да",INDEX(Квартиры!$D$2:$D$1501,MATCH($A21*1000+10,Квартиры!$K$2:$K$1501,0))&amp;" / ","")&amp;INDEX(Квартиры!$H$2:$H$1501,MATCH($A21*1000+10,Квартиры!$K$2:$K$1501,0))&amp;" СУ"&amp;IF(INDEX(Квартиры!$I$2:$I$1501,MATCH($A21*1000+10,Квартиры!$K$2:$K$1501,0))&gt;0," +У","")&amp;IF(INDEX(Квартиры!$J$2:$J$1501,MATCH($A21*1000+10,Квартиры!$K$2:$K$1501,0))&gt;0," +Г",""),"-"))</f>
        <v/>
      </c>
      <c r="M21">
        <f>IF($A21="","",IFERROR(IF(Настройки!$B$4="да",INDEX(Квартиры!$D$2:$D$1501,MATCH($A21*1000+11,Квартиры!$K$2:$K$1501,0))&amp;" / ","")&amp;INDEX(Квартиры!$H$2:$H$1501,MATCH($A21*1000+11,Квартиры!$K$2:$K$1501,0))&amp;" СУ"&amp;IF(INDEX(Квартиры!$I$2:$I$1501,MATCH($A21*1000+11,Квартиры!$K$2:$K$1501,0))&gt;0," +У","")&amp;IF(INDEX(Квартиры!$J$2:$J$1501,MATCH($A21*1000+11,Квартиры!$K$2:$K$1501,0))&gt;0," +Г",""),"-"))</f>
        <v/>
      </c>
      <c r="N21">
        <f>IF($A21="","",IFERROR(IF(Настройки!$B$4="да",INDEX(Квартиры!$D$2:$D$1501,MATCH($A21*1000+12,Квартиры!$K$2:$K$1501,0))&amp;" / ","")&amp;INDEX(Квартиры!$H$2:$H$1501,MATCH($A21*1000+12,Квартиры!$K$2:$K$1501,0))&amp;" СУ"&amp;IF(INDEX(Квартиры!$I$2:$I$1501,MATCH($A21*1000+12,Квартиры!$K$2:$K$1501,0))&gt;0," +У","")&amp;IF(INDEX(Квартиры!$J$2:$J$1501,MATCH($A21*1000+12,Квартиры!$K$2:$K$1501,0))&gt;0," +Г",""),"-"))</f>
        <v/>
      </c>
      <c r="O21">
        <f>IF($A21="","",IFERROR(IF(Настройки!$B$4="да",INDEX(Квартиры!$D$2:$D$1501,MATCH($A21*1000+13,Квартиры!$K$2:$K$1501,0))&amp;" / ","")&amp;INDEX(Квартиры!$H$2:$H$1501,MATCH($A21*1000+13,Квартиры!$K$2:$K$1501,0))&amp;" СУ"&amp;IF(INDEX(Квартиры!$I$2:$I$1501,MATCH($A21*1000+13,Квартиры!$K$2:$K$1501,0))&gt;0," +У","")&amp;IF(INDEX(Квартиры!$J$2:$J$1501,MATCH($A21*1000+13,Квартиры!$K$2:$K$1501,0))&gt;0," +Г",""),"-"))</f>
        <v/>
      </c>
      <c r="P21">
        <f>IF($A21="","",IFERROR(IF(Настройки!$B$4="да",INDEX(Квартиры!$D$2:$D$1501,MATCH($A21*1000+14,Квартиры!$K$2:$K$1501,0))&amp;" / ","")&amp;INDEX(Квартиры!$H$2:$H$1501,MATCH($A21*1000+14,Квартиры!$K$2:$K$1501,0))&amp;" СУ"&amp;IF(INDEX(Квартиры!$I$2:$I$1501,MATCH($A21*1000+14,Квартиры!$K$2:$K$1501,0))&gt;0," +У","")&amp;IF(INDEX(Квартиры!$J$2:$J$1501,MATCH($A21*1000+14,Квартиры!$K$2:$K$1501,0))&gt;0," +Г",""),"-"))</f>
        <v/>
      </c>
      <c r="Q21">
        <f>IF($A21="","",IFERROR(IF(Настройки!$B$4="да",INDEX(Квартиры!$D$2:$D$1501,MATCH($A21*1000+15,Квартиры!$K$2:$K$1501,0))&amp;" / ","")&amp;INDEX(Квартиры!$H$2:$H$1501,MATCH($A21*1000+15,Квартиры!$K$2:$K$1501,0))&amp;" СУ"&amp;IF(INDEX(Квартиры!$I$2:$I$1501,MATCH($A21*1000+15,Квартиры!$K$2:$K$1501,0))&gt;0," +У","")&amp;IF(INDEX(Квартиры!$J$2:$J$1501,MATCH($A21*1000+15,Квартиры!$K$2:$K$1501,0))&gt;0," +Г",""),"-"))</f>
        <v/>
      </c>
      <c r="R21">
        <f>IF(A21="","",C21&amp;"|"&amp;D21&amp;"|"&amp;E21&amp;"|"&amp;F21&amp;"|"&amp;G21&amp;"|"&amp;H21&amp;"|"&amp;I21&amp;"|"&amp;J21&amp;"|"&amp;K21&amp;"|"&amp;L21&amp;"|"&amp;M21&amp;"|"&amp;N21&amp;"|"&amp;O21&amp;"|"&amp;P21&amp;"|"&amp;Q21)</f>
        <v/>
      </c>
      <c r="S21">
        <f>IF(A21="","",IFERROR(LOOKUP(2,1/(B$2:B20=B21),S$2:S20)&amp;", ","")&amp;A21)</f>
        <v/>
      </c>
      <c r="U21">
        <f>IF(19&gt;MAX(B$3:B$82),"",19)</f>
        <v/>
      </c>
      <c r="V21">
        <f>IF(U21="","",LOOKUP(2,1/(B$3:B$82=U21),S$3:S$82))</f>
        <v/>
      </c>
      <c r="W21">
        <f>IF(U21="","",COUNTIF(B$3:B$82,U21))</f>
        <v/>
      </c>
    </row>
    <row r="22">
      <c r="A22">
        <f>IFERROR(IF(A21="","",SMALL(Квартиры!$B$2:$B$1501,COUNTIF(Квартиры!$B$2:$B$1501,"&lt;="&amp;A21)+1)),"")</f>
        <v/>
      </c>
      <c r="B22">
        <f>IF(A22="","",IF(COUNTIF(R$2:R21,R22)=0,MAX(B$2:B21)+1,INDEX(B$2:B21,MATCH(R22,R$2:R21,0))))</f>
        <v/>
      </c>
      <c r="C22">
        <f>IF($A22="","",IFERROR(IF(Настройки!$B$4="да",INDEX(Квартиры!$D$2:$D$1501,MATCH($A22*1000+1,Квартиры!$K$2:$K$1501,0))&amp;" / ","")&amp;INDEX(Квартиры!$H$2:$H$1501,MATCH($A22*1000+1,Квартиры!$K$2:$K$1501,0))&amp;" СУ"&amp;IF(INDEX(Квартиры!$I$2:$I$1501,MATCH($A22*1000+1,Квартиры!$K$2:$K$1501,0))&gt;0," +У","")&amp;IF(INDEX(Квартиры!$J$2:$J$1501,MATCH($A22*1000+1,Квартиры!$K$2:$K$1501,0))&gt;0," +Г",""),"-"))</f>
        <v/>
      </c>
      <c r="D22">
        <f>IF($A22="","",IFERROR(IF(Настройки!$B$4="да",INDEX(Квартиры!$D$2:$D$1501,MATCH($A22*1000+2,Квартиры!$K$2:$K$1501,0))&amp;" / ","")&amp;INDEX(Квартиры!$H$2:$H$1501,MATCH($A22*1000+2,Квартиры!$K$2:$K$1501,0))&amp;" СУ"&amp;IF(INDEX(Квартиры!$I$2:$I$1501,MATCH($A22*1000+2,Квартиры!$K$2:$K$1501,0))&gt;0," +У","")&amp;IF(INDEX(Квартиры!$J$2:$J$1501,MATCH($A22*1000+2,Квартиры!$K$2:$K$1501,0))&gt;0," +Г",""),"-"))</f>
        <v/>
      </c>
      <c r="E22">
        <f>IF($A22="","",IFERROR(IF(Настройки!$B$4="да",INDEX(Квартиры!$D$2:$D$1501,MATCH($A22*1000+3,Квартиры!$K$2:$K$1501,0))&amp;" / ","")&amp;INDEX(Квартиры!$H$2:$H$1501,MATCH($A22*1000+3,Квартиры!$K$2:$K$1501,0))&amp;" СУ"&amp;IF(INDEX(Квартиры!$I$2:$I$1501,MATCH($A22*1000+3,Квартиры!$K$2:$K$1501,0))&gt;0," +У","")&amp;IF(INDEX(Квартиры!$J$2:$J$1501,MATCH($A22*1000+3,Квартиры!$K$2:$K$1501,0))&gt;0," +Г",""),"-"))</f>
        <v/>
      </c>
      <c r="F22">
        <f>IF($A22="","",IFERROR(IF(Настройки!$B$4="да",INDEX(Квартиры!$D$2:$D$1501,MATCH($A22*1000+4,Квартиры!$K$2:$K$1501,0))&amp;" / ","")&amp;INDEX(Квартиры!$H$2:$H$1501,MATCH($A22*1000+4,Квартиры!$K$2:$K$1501,0))&amp;" СУ"&amp;IF(INDEX(Квартиры!$I$2:$I$1501,MATCH($A22*1000+4,Квартиры!$K$2:$K$1501,0))&gt;0," +У","")&amp;IF(INDEX(Квартиры!$J$2:$J$1501,MATCH($A22*1000+4,Квартиры!$K$2:$K$1501,0))&gt;0," +Г",""),"-"))</f>
        <v/>
      </c>
      <c r="G22">
        <f>IF($A22="","",IFERROR(IF(Настройки!$B$4="да",INDEX(Квартиры!$D$2:$D$1501,MATCH($A22*1000+5,Квартиры!$K$2:$K$1501,0))&amp;" / ","")&amp;INDEX(Квартиры!$H$2:$H$1501,MATCH($A22*1000+5,Квартиры!$K$2:$K$1501,0))&amp;" СУ"&amp;IF(INDEX(Квартиры!$I$2:$I$1501,MATCH($A22*1000+5,Квартиры!$K$2:$K$1501,0))&gt;0," +У","")&amp;IF(INDEX(Квартиры!$J$2:$J$1501,MATCH($A22*1000+5,Квартиры!$K$2:$K$1501,0))&gt;0," +Г",""),"-"))</f>
        <v/>
      </c>
      <c r="H22">
        <f>IF($A22="","",IFERROR(IF(Настройки!$B$4="да",INDEX(Квартиры!$D$2:$D$1501,MATCH($A22*1000+6,Квартиры!$K$2:$K$1501,0))&amp;" / ","")&amp;INDEX(Квартиры!$H$2:$H$1501,MATCH($A22*1000+6,Квартиры!$K$2:$K$1501,0))&amp;" СУ"&amp;IF(INDEX(Квартиры!$I$2:$I$1501,MATCH($A22*1000+6,Квартиры!$K$2:$K$1501,0))&gt;0," +У","")&amp;IF(INDEX(Квартиры!$J$2:$J$1501,MATCH($A22*1000+6,Квартиры!$K$2:$K$1501,0))&gt;0," +Г",""),"-"))</f>
        <v/>
      </c>
      <c r="I22">
        <f>IF($A22="","",IFERROR(IF(Настройки!$B$4="да",INDEX(Квартиры!$D$2:$D$1501,MATCH($A22*1000+7,Квартиры!$K$2:$K$1501,0))&amp;" / ","")&amp;INDEX(Квартиры!$H$2:$H$1501,MATCH($A22*1000+7,Квартиры!$K$2:$K$1501,0))&amp;" СУ"&amp;IF(INDEX(Квартиры!$I$2:$I$1501,MATCH($A22*1000+7,Квартиры!$K$2:$K$1501,0))&gt;0," +У","")&amp;IF(INDEX(Квартиры!$J$2:$J$1501,MATCH($A22*1000+7,Квартиры!$K$2:$K$1501,0))&gt;0," +Г",""),"-"))</f>
        <v/>
      </c>
      <c r="J22">
        <f>IF($A22="","",IFERROR(IF(Настройки!$B$4="да",INDEX(Квартиры!$D$2:$D$1501,MATCH($A22*1000+8,Квартиры!$K$2:$K$1501,0))&amp;" / ","")&amp;INDEX(Квартиры!$H$2:$H$1501,MATCH($A22*1000+8,Квартиры!$K$2:$K$1501,0))&amp;" СУ"&amp;IF(INDEX(Квартиры!$I$2:$I$1501,MATCH($A22*1000+8,Квартиры!$K$2:$K$1501,0))&gt;0," +У","")&amp;IF(INDEX(Квартиры!$J$2:$J$1501,MATCH($A22*1000+8,Квартиры!$K$2:$K$1501,0))&gt;0," +Г",""),"-"))</f>
        <v/>
      </c>
      <c r="K22">
        <f>IF($A22="","",IFERROR(IF(Настройки!$B$4="да",INDEX(Квартиры!$D$2:$D$1501,MATCH($A22*1000+9,Квартиры!$K$2:$K$1501,0))&amp;" / ","")&amp;INDEX(Квартиры!$H$2:$H$1501,MATCH($A22*1000+9,Квартиры!$K$2:$K$1501,0))&amp;" СУ"&amp;IF(INDEX(Квартиры!$I$2:$I$1501,MATCH($A22*1000+9,Квартиры!$K$2:$K$1501,0))&gt;0," +У","")&amp;IF(INDEX(Квартиры!$J$2:$J$1501,MATCH($A22*1000+9,Квартиры!$K$2:$K$1501,0))&gt;0," +Г",""),"-"))</f>
        <v/>
      </c>
      <c r="L22">
        <f>IF($A22="","",IFERROR(IF(Настройки!$B$4="да",INDEX(Квартиры!$D$2:$D$1501,MATCH($A22*1000+10,Квартиры!$K$2:$K$1501,0))&amp;" / ","")&amp;INDEX(Квартиры!$H$2:$H$1501,MATCH($A22*1000+10,Квартиры!$K$2:$K$1501,0))&amp;" СУ"&amp;IF(INDEX(Квартиры!$I$2:$I$1501,MATCH($A22*1000+10,Квартиры!$K$2:$K$1501,0))&gt;0," +У","")&amp;IF(INDEX(Квартиры!$J$2:$J$1501,MATCH($A22*1000+10,Квартиры!$K$2:$K$1501,0))&gt;0," +Г",""),"-"))</f>
        <v/>
      </c>
      <c r="M22">
        <f>IF($A22="","",IFERROR(IF(Настройки!$B$4="да",INDEX(Квартиры!$D$2:$D$1501,MATCH($A22*1000+11,Квартиры!$K$2:$K$1501,0))&amp;" / ","")&amp;INDEX(Квартиры!$H$2:$H$1501,MATCH($A22*1000+11,Квартиры!$K$2:$K$1501,0))&amp;" СУ"&amp;IF(INDEX(Квартиры!$I$2:$I$1501,MATCH($A22*1000+11,Квартиры!$K$2:$K$1501,0))&gt;0," +У","")&amp;IF(INDEX(Квартиры!$J$2:$J$1501,MATCH($A22*1000+11,Квартиры!$K$2:$K$1501,0))&gt;0," +Г",""),"-"))</f>
        <v/>
      </c>
      <c r="N22">
        <f>IF($A22="","",IFERROR(IF(Настройки!$B$4="да",INDEX(Квартиры!$D$2:$D$1501,MATCH($A22*1000+12,Квартиры!$K$2:$K$1501,0))&amp;" / ","")&amp;INDEX(Квартиры!$H$2:$H$1501,MATCH($A22*1000+12,Квартиры!$K$2:$K$1501,0))&amp;" СУ"&amp;IF(INDEX(Квартиры!$I$2:$I$1501,MATCH($A22*1000+12,Квартиры!$K$2:$K$1501,0))&gt;0," +У","")&amp;IF(INDEX(Квартиры!$J$2:$J$1501,MATCH($A22*1000+12,Квартиры!$K$2:$K$1501,0))&gt;0," +Г",""),"-"))</f>
        <v/>
      </c>
      <c r="O22">
        <f>IF($A22="","",IFERROR(IF(Настройки!$B$4="да",INDEX(Квартиры!$D$2:$D$1501,MATCH($A22*1000+13,Квартиры!$K$2:$K$1501,0))&amp;" / ","")&amp;INDEX(Квартиры!$H$2:$H$1501,MATCH($A22*1000+13,Квартиры!$K$2:$K$1501,0))&amp;" СУ"&amp;IF(INDEX(Квартиры!$I$2:$I$1501,MATCH($A22*1000+13,Квартиры!$K$2:$K$1501,0))&gt;0," +У","")&amp;IF(INDEX(Квартиры!$J$2:$J$1501,MATCH($A22*1000+13,Квартиры!$K$2:$K$1501,0))&gt;0," +Г",""),"-"))</f>
        <v/>
      </c>
      <c r="P22">
        <f>IF($A22="","",IFERROR(IF(Настройки!$B$4="да",INDEX(Квартиры!$D$2:$D$1501,MATCH($A22*1000+14,Квартиры!$K$2:$K$1501,0))&amp;" / ","")&amp;INDEX(Квартиры!$H$2:$H$1501,MATCH($A22*1000+14,Квартиры!$K$2:$K$1501,0))&amp;" СУ"&amp;IF(INDEX(Квартиры!$I$2:$I$1501,MATCH($A22*1000+14,Квартиры!$K$2:$K$1501,0))&gt;0," +У","")&amp;IF(INDEX(Квартиры!$J$2:$J$1501,MATCH($A22*1000+14,Квартиры!$K$2:$K$1501,0))&gt;0," +Г",""),"-"))</f>
        <v/>
      </c>
      <c r="Q22">
        <f>IF($A22="","",IFERROR(IF(Настройки!$B$4="да",INDEX(Квартиры!$D$2:$D$1501,MATCH($A22*1000+15,Квартиры!$K$2:$K$1501,0))&amp;" / ","")&amp;INDEX(Квартиры!$H$2:$H$1501,MATCH($A22*1000+15,Квартиры!$K$2:$K$1501,0))&amp;" СУ"&amp;IF(INDEX(Квартиры!$I$2:$I$1501,MATCH($A22*1000+15,Квартиры!$K$2:$K$1501,0))&gt;0," +У","")&amp;IF(INDEX(Квартиры!$J$2:$J$1501,MATCH($A22*1000+15,Квартиры!$K$2:$K$1501,0))&gt;0," +Г",""),"-"))</f>
        <v/>
      </c>
      <c r="R22">
        <f>IF(A22="","",C22&amp;"|"&amp;D22&amp;"|"&amp;E22&amp;"|"&amp;F22&amp;"|"&amp;G22&amp;"|"&amp;H22&amp;"|"&amp;I22&amp;"|"&amp;J22&amp;"|"&amp;K22&amp;"|"&amp;L22&amp;"|"&amp;M22&amp;"|"&amp;N22&amp;"|"&amp;O22&amp;"|"&amp;P22&amp;"|"&amp;Q22)</f>
        <v/>
      </c>
      <c r="S22">
        <f>IF(A22="","",IFERROR(LOOKUP(2,1/(B$2:B21=B22),S$2:S21)&amp;", ","")&amp;A22)</f>
        <v/>
      </c>
      <c r="U22">
        <f>IF(20&gt;MAX(B$3:B$82),"",20)</f>
        <v/>
      </c>
      <c r="V22">
        <f>IF(U22="","",LOOKUP(2,1/(B$3:B$82=U22),S$3:S$82))</f>
        <v/>
      </c>
      <c r="W22">
        <f>IF(U22="","",COUNTIF(B$3:B$82,U22))</f>
        <v/>
      </c>
    </row>
    <row r="23">
      <c r="A23">
        <f>IFERROR(IF(A22="","",SMALL(Квартиры!$B$2:$B$1501,COUNTIF(Квартиры!$B$2:$B$1501,"&lt;="&amp;A22)+1)),"")</f>
        <v/>
      </c>
      <c r="B23">
        <f>IF(A23="","",IF(COUNTIF(R$2:R22,R23)=0,MAX(B$2:B22)+1,INDEX(B$2:B22,MATCH(R23,R$2:R22,0))))</f>
        <v/>
      </c>
      <c r="C23">
        <f>IF($A23="","",IFERROR(IF(Настройки!$B$4="да",INDEX(Квартиры!$D$2:$D$1501,MATCH($A23*1000+1,Квартиры!$K$2:$K$1501,0))&amp;" / ","")&amp;INDEX(Квартиры!$H$2:$H$1501,MATCH($A23*1000+1,Квартиры!$K$2:$K$1501,0))&amp;" СУ"&amp;IF(INDEX(Квартиры!$I$2:$I$1501,MATCH($A23*1000+1,Квартиры!$K$2:$K$1501,0))&gt;0," +У","")&amp;IF(INDEX(Квартиры!$J$2:$J$1501,MATCH($A23*1000+1,Квартиры!$K$2:$K$1501,0))&gt;0," +Г",""),"-"))</f>
        <v/>
      </c>
      <c r="D23">
        <f>IF($A23="","",IFERROR(IF(Настройки!$B$4="да",INDEX(Квартиры!$D$2:$D$1501,MATCH($A23*1000+2,Квартиры!$K$2:$K$1501,0))&amp;" / ","")&amp;INDEX(Квартиры!$H$2:$H$1501,MATCH($A23*1000+2,Квартиры!$K$2:$K$1501,0))&amp;" СУ"&amp;IF(INDEX(Квартиры!$I$2:$I$1501,MATCH($A23*1000+2,Квартиры!$K$2:$K$1501,0))&gt;0," +У","")&amp;IF(INDEX(Квартиры!$J$2:$J$1501,MATCH($A23*1000+2,Квартиры!$K$2:$K$1501,0))&gt;0," +Г",""),"-"))</f>
        <v/>
      </c>
      <c r="E23">
        <f>IF($A23="","",IFERROR(IF(Настройки!$B$4="да",INDEX(Квартиры!$D$2:$D$1501,MATCH($A23*1000+3,Квартиры!$K$2:$K$1501,0))&amp;" / ","")&amp;INDEX(Квартиры!$H$2:$H$1501,MATCH($A23*1000+3,Квартиры!$K$2:$K$1501,0))&amp;" СУ"&amp;IF(INDEX(Квартиры!$I$2:$I$1501,MATCH($A23*1000+3,Квартиры!$K$2:$K$1501,0))&gt;0," +У","")&amp;IF(INDEX(Квартиры!$J$2:$J$1501,MATCH($A23*1000+3,Квартиры!$K$2:$K$1501,0))&gt;0," +Г",""),"-"))</f>
        <v/>
      </c>
      <c r="F23">
        <f>IF($A23="","",IFERROR(IF(Настройки!$B$4="да",INDEX(Квартиры!$D$2:$D$1501,MATCH($A23*1000+4,Квартиры!$K$2:$K$1501,0))&amp;" / ","")&amp;INDEX(Квартиры!$H$2:$H$1501,MATCH($A23*1000+4,Квартиры!$K$2:$K$1501,0))&amp;" СУ"&amp;IF(INDEX(Квартиры!$I$2:$I$1501,MATCH($A23*1000+4,Квартиры!$K$2:$K$1501,0))&gt;0," +У","")&amp;IF(INDEX(Квартиры!$J$2:$J$1501,MATCH($A23*1000+4,Квартиры!$K$2:$K$1501,0))&gt;0," +Г",""),"-"))</f>
        <v/>
      </c>
      <c r="G23">
        <f>IF($A23="","",IFERROR(IF(Настройки!$B$4="да",INDEX(Квартиры!$D$2:$D$1501,MATCH($A23*1000+5,Квартиры!$K$2:$K$1501,0))&amp;" / ","")&amp;INDEX(Квартиры!$H$2:$H$1501,MATCH($A23*1000+5,Квартиры!$K$2:$K$1501,0))&amp;" СУ"&amp;IF(INDEX(Квартиры!$I$2:$I$1501,MATCH($A23*1000+5,Квартиры!$K$2:$K$1501,0))&gt;0," +У","")&amp;IF(INDEX(Квартиры!$J$2:$J$1501,MATCH($A23*1000+5,Квартиры!$K$2:$K$1501,0))&gt;0," +Г",""),"-"))</f>
        <v/>
      </c>
      <c r="H23">
        <f>IF($A23="","",IFERROR(IF(Настройки!$B$4="да",INDEX(Квартиры!$D$2:$D$1501,MATCH($A23*1000+6,Квартиры!$K$2:$K$1501,0))&amp;" / ","")&amp;INDEX(Квартиры!$H$2:$H$1501,MATCH($A23*1000+6,Квартиры!$K$2:$K$1501,0))&amp;" СУ"&amp;IF(INDEX(Квартиры!$I$2:$I$1501,MATCH($A23*1000+6,Квартиры!$K$2:$K$1501,0))&gt;0," +У","")&amp;IF(INDEX(Квартиры!$J$2:$J$1501,MATCH($A23*1000+6,Квартиры!$K$2:$K$1501,0))&gt;0," +Г",""),"-"))</f>
        <v/>
      </c>
      <c r="I23">
        <f>IF($A23="","",IFERROR(IF(Настройки!$B$4="да",INDEX(Квартиры!$D$2:$D$1501,MATCH($A23*1000+7,Квартиры!$K$2:$K$1501,0))&amp;" / ","")&amp;INDEX(Квартиры!$H$2:$H$1501,MATCH($A23*1000+7,Квартиры!$K$2:$K$1501,0))&amp;" СУ"&amp;IF(INDEX(Квартиры!$I$2:$I$1501,MATCH($A23*1000+7,Квартиры!$K$2:$K$1501,0))&gt;0," +У","")&amp;IF(INDEX(Квартиры!$J$2:$J$1501,MATCH($A23*1000+7,Квартиры!$K$2:$K$1501,0))&gt;0," +Г",""),"-"))</f>
        <v/>
      </c>
      <c r="J23">
        <f>IF($A23="","",IFERROR(IF(Настройки!$B$4="да",INDEX(Квартиры!$D$2:$D$1501,MATCH($A23*1000+8,Квартиры!$K$2:$K$1501,0))&amp;" / ","")&amp;INDEX(Квартиры!$H$2:$H$1501,MATCH($A23*1000+8,Квартиры!$K$2:$K$1501,0))&amp;" СУ"&amp;IF(INDEX(Квартиры!$I$2:$I$1501,MATCH($A23*1000+8,Квартиры!$K$2:$K$1501,0))&gt;0," +У","")&amp;IF(INDEX(Квартиры!$J$2:$J$1501,MATCH($A23*1000+8,Квартиры!$K$2:$K$1501,0))&gt;0," +Г",""),"-"))</f>
        <v/>
      </c>
      <c r="K23">
        <f>IF($A23="","",IFERROR(IF(Настройки!$B$4="да",INDEX(Квартиры!$D$2:$D$1501,MATCH($A23*1000+9,Квартиры!$K$2:$K$1501,0))&amp;" / ","")&amp;INDEX(Квартиры!$H$2:$H$1501,MATCH($A23*1000+9,Квартиры!$K$2:$K$1501,0))&amp;" СУ"&amp;IF(INDEX(Квартиры!$I$2:$I$1501,MATCH($A23*1000+9,Квартиры!$K$2:$K$1501,0))&gt;0," +У","")&amp;IF(INDEX(Квартиры!$J$2:$J$1501,MATCH($A23*1000+9,Квартиры!$K$2:$K$1501,0))&gt;0," +Г",""),"-"))</f>
        <v/>
      </c>
      <c r="L23">
        <f>IF($A23="","",IFERROR(IF(Настройки!$B$4="да",INDEX(Квартиры!$D$2:$D$1501,MATCH($A23*1000+10,Квартиры!$K$2:$K$1501,0))&amp;" / ","")&amp;INDEX(Квартиры!$H$2:$H$1501,MATCH($A23*1000+10,Квартиры!$K$2:$K$1501,0))&amp;" СУ"&amp;IF(INDEX(Квартиры!$I$2:$I$1501,MATCH($A23*1000+10,Квартиры!$K$2:$K$1501,0))&gt;0," +У","")&amp;IF(INDEX(Квартиры!$J$2:$J$1501,MATCH($A23*1000+10,Квартиры!$K$2:$K$1501,0))&gt;0," +Г",""),"-"))</f>
        <v/>
      </c>
      <c r="M23">
        <f>IF($A23="","",IFERROR(IF(Настройки!$B$4="да",INDEX(Квартиры!$D$2:$D$1501,MATCH($A23*1000+11,Квартиры!$K$2:$K$1501,0))&amp;" / ","")&amp;INDEX(Квартиры!$H$2:$H$1501,MATCH($A23*1000+11,Квартиры!$K$2:$K$1501,0))&amp;" СУ"&amp;IF(INDEX(Квартиры!$I$2:$I$1501,MATCH($A23*1000+11,Квартиры!$K$2:$K$1501,0))&gt;0," +У","")&amp;IF(INDEX(Квартиры!$J$2:$J$1501,MATCH($A23*1000+11,Квартиры!$K$2:$K$1501,0))&gt;0," +Г",""),"-"))</f>
        <v/>
      </c>
      <c r="N23">
        <f>IF($A23="","",IFERROR(IF(Настройки!$B$4="да",INDEX(Квартиры!$D$2:$D$1501,MATCH($A23*1000+12,Квартиры!$K$2:$K$1501,0))&amp;" / ","")&amp;INDEX(Квартиры!$H$2:$H$1501,MATCH($A23*1000+12,Квартиры!$K$2:$K$1501,0))&amp;" СУ"&amp;IF(INDEX(Квартиры!$I$2:$I$1501,MATCH($A23*1000+12,Квартиры!$K$2:$K$1501,0))&gt;0," +У","")&amp;IF(INDEX(Квартиры!$J$2:$J$1501,MATCH($A23*1000+12,Квартиры!$K$2:$K$1501,0))&gt;0," +Г",""),"-"))</f>
        <v/>
      </c>
      <c r="O23">
        <f>IF($A23="","",IFERROR(IF(Настройки!$B$4="да",INDEX(Квартиры!$D$2:$D$1501,MATCH($A23*1000+13,Квартиры!$K$2:$K$1501,0))&amp;" / ","")&amp;INDEX(Квартиры!$H$2:$H$1501,MATCH($A23*1000+13,Квартиры!$K$2:$K$1501,0))&amp;" СУ"&amp;IF(INDEX(Квартиры!$I$2:$I$1501,MATCH($A23*1000+13,Квартиры!$K$2:$K$1501,0))&gt;0," +У","")&amp;IF(INDEX(Квартиры!$J$2:$J$1501,MATCH($A23*1000+13,Квартиры!$K$2:$K$1501,0))&gt;0," +Г",""),"-"))</f>
        <v/>
      </c>
      <c r="P23">
        <f>IF($A23="","",IFERROR(IF(Настройки!$B$4="да",INDEX(Квартиры!$D$2:$D$1501,MATCH($A23*1000+14,Квартиры!$K$2:$K$1501,0))&amp;" / ","")&amp;INDEX(Квартиры!$H$2:$H$1501,MATCH($A23*1000+14,Квартиры!$K$2:$K$1501,0))&amp;" СУ"&amp;IF(INDEX(Квартиры!$I$2:$I$1501,MATCH($A23*1000+14,Квартиры!$K$2:$K$1501,0))&gt;0," +У","")&amp;IF(INDEX(Квартиры!$J$2:$J$1501,MATCH($A23*1000+14,Квартиры!$K$2:$K$1501,0))&gt;0," +Г",""),"-"))</f>
        <v/>
      </c>
      <c r="Q23">
        <f>IF($A23="","",IFERROR(IF(Настройки!$B$4="да",INDEX(Квартиры!$D$2:$D$1501,MATCH($A23*1000+15,Квартиры!$K$2:$K$1501,0))&amp;" / ","")&amp;INDEX(Квартиры!$H$2:$H$1501,MATCH($A23*1000+15,Квартиры!$K$2:$K$1501,0))&amp;" СУ"&amp;IF(INDEX(Квартиры!$I$2:$I$1501,MATCH($A23*1000+15,Квартиры!$K$2:$K$1501,0))&gt;0," +У","")&amp;IF(INDEX(Квартиры!$J$2:$J$1501,MATCH($A23*1000+15,Квартиры!$K$2:$K$1501,0))&gt;0," +Г",""),"-"))</f>
        <v/>
      </c>
      <c r="R23">
        <f>IF(A23="","",C23&amp;"|"&amp;D23&amp;"|"&amp;E23&amp;"|"&amp;F23&amp;"|"&amp;G23&amp;"|"&amp;H23&amp;"|"&amp;I23&amp;"|"&amp;J23&amp;"|"&amp;K23&amp;"|"&amp;L23&amp;"|"&amp;M23&amp;"|"&amp;N23&amp;"|"&amp;O23&amp;"|"&amp;P23&amp;"|"&amp;Q23)</f>
        <v/>
      </c>
      <c r="S23">
        <f>IF(A23="","",IFERROR(LOOKUP(2,1/(B$2:B22=B23),S$2:S22)&amp;", ","")&amp;A23)</f>
        <v/>
      </c>
      <c r="U23">
        <f>IF(21&gt;MAX(B$3:B$82),"",21)</f>
        <v/>
      </c>
      <c r="V23">
        <f>IF(U23="","",LOOKUP(2,1/(B$3:B$82=U23),S$3:S$82))</f>
        <v/>
      </c>
      <c r="W23">
        <f>IF(U23="","",COUNTIF(B$3:B$82,U23))</f>
        <v/>
      </c>
    </row>
    <row r="24">
      <c r="A24">
        <f>IFERROR(IF(A23="","",SMALL(Квартиры!$B$2:$B$1501,COUNTIF(Квартиры!$B$2:$B$1501,"&lt;="&amp;A23)+1)),"")</f>
        <v/>
      </c>
      <c r="B24">
        <f>IF(A24="","",IF(COUNTIF(R$2:R23,R24)=0,MAX(B$2:B23)+1,INDEX(B$2:B23,MATCH(R24,R$2:R23,0))))</f>
        <v/>
      </c>
      <c r="C24">
        <f>IF($A24="","",IFERROR(IF(Настройки!$B$4="да",INDEX(Квартиры!$D$2:$D$1501,MATCH($A24*1000+1,Квартиры!$K$2:$K$1501,0))&amp;" / ","")&amp;INDEX(Квартиры!$H$2:$H$1501,MATCH($A24*1000+1,Квартиры!$K$2:$K$1501,0))&amp;" СУ"&amp;IF(INDEX(Квартиры!$I$2:$I$1501,MATCH($A24*1000+1,Квартиры!$K$2:$K$1501,0))&gt;0," +У","")&amp;IF(INDEX(Квартиры!$J$2:$J$1501,MATCH($A24*1000+1,Квартиры!$K$2:$K$1501,0))&gt;0," +Г",""),"-"))</f>
        <v/>
      </c>
      <c r="D24">
        <f>IF($A24="","",IFERROR(IF(Настройки!$B$4="да",INDEX(Квартиры!$D$2:$D$1501,MATCH($A24*1000+2,Квартиры!$K$2:$K$1501,0))&amp;" / ","")&amp;INDEX(Квартиры!$H$2:$H$1501,MATCH($A24*1000+2,Квартиры!$K$2:$K$1501,0))&amp;" СУ"&amp;IF(INDEX(Квартиры!$I$2:$I$1501,MATCH($A24*1000+2,Квартиры!$K$2:$K$1501,0))&gt;0," +У","")&amp;IF(INDEX(Квартиры!$J$2:$J$1501,MATCH($A24*1000+2,Квартиры!$K$2:$K$1501,0))&gt;0," +Г",""),"-"))</f>
        <v/>
      </c>
      <c r="E24">
        <f>IF($A24="","",IFERROR(IF(Настройки!$B$4="да",INDEX(Квартиры!$D$2:$D$1501,MATCH($A24*1000+3,Квартиры!$K$2:$K$1501,0))&amp;" / ","")&amp;INDEX(Квартиры!$H$2:$H$1501,MATCH($A24*1000+3,Квартиры!$K$2:$K$1501,0))&amp;" СУ"&amp;IF(INDEX(Квартиры!$I$2:$I$1501,MATCH($A24*1000+3,Квартиры!$K$2:$K$1501,0))&gt;0," +У","")&amp;IF(INDEX(Квартиры!$J$2:$J$1501,MATCH($A24*1000+3,Квартиры!$K$2:$K$1501,0))&gt;0," +Г",""),"-"))</f>
        <v/>
      </c>
      <c r="F24">
        <f>IF($A24="","",IFERROR(IF(Настройки!$B$4="да",INDEX(Квартиры!$D$2:$D$1501,MATCH($A24*1000+4,Квартиры!$K$2:$K$1501,0))&amp;" / ","")&amp;INDEX(Квартиры!$H$2:$H$1501,MATCH($A24*1000+4,Квартиры!$K$2:$K$1501,0))&amp;" СУ"&amp;IF(INDEX(Квартиры!$I$2:$I$1501,MATCH($A24*1000+4,Квартиры!$K$2:$K$1501,0))&gt;0," +У","")&amp;IF(INDEX(Квартиры!$J$2:$J$1501,MATCH($A24*1000+4,Квартиры!$K$2:$K$1501,0))&gt;0," +Г",""),"-"))</f>
        <v/>
      </c>
      <c r="G24">
        <f>IF($A24="","",IFERROR(IF(Настройки!$B$4="да",INDEX(Квартиры!$D$2:$D$1501,MATCH($A24*1000+5,Квартиры!$K$2:$K$1501,0))&amp;" / ","")&amp;INDEX(Квартиры!$H$2:$H$1501,MATCH($A24*1000+5,Квартиры!$K$2:$K$1501,0))&amp;" СУ"&amp;IF(INDEX(Квартиры!$I$2:$I$1501,MATCH($A24*1000+5,Квартиры!$K$2:$K$1501,0))&gt;0," +У","")&amp;IF(INDEX(Квартиры!$J$2:$J$1501,MATCH($A24*1000+5,Квартиры!$K$2:$K$1501,0))&gt;0," +Г",""),"-"))</f>
        <v/>
      </c>
      <c r="H24">
        <f>IF($A24="","",IFERROR(IF(Настройки!$B$4="да",INDEX(Квартиры!$D$2:$D$1501,MATCH($A24*1000+6,Квартиры!$K$2:$K$1501,0))&amp;" / ","")&amp;INDEX(Квартиры!$H$2:$H$1501,MATCH($A24*1000+6,Квартиры!$K$2:$K$1501,0))&amp;" СУ"&amp;IF(INDEX(Квартиры!$I$2:$I$1501,MATCH($A24*1000+6,Квартиры!$K$2:$K$1501,0))&gt;0," +У","")&amp;IF(INDEX(Квартиры!$J$2:$J$1501,MATCH($A24*1000+6,Квартиры!$K$2:$K$1501,0))&gt;0," +Г",""),"-"))</f>
        <v/>
      </c>
      <c r="I24">
        <f>IF($A24="","",IFERROR(IF(Настройки!$B$4="да",INDEX(Квартиры!$D$2:$D$1501,MATCH($A24*1000+7,Квартиры!$K$2:$K$1501,0))&amp;" / ","")&amp;INDEX(Квартиры!$H$2:$H$1501,MATCH($A24*1000+7,Квартиры!$K$2:$K$1501,0))&amp;" СУ"&amp;IF(INDEX(Квартиры!$I$2:$I$1501,MATCH($A24*1000+7,Квартиры!$K$2:$K$1501,0))&gt;0," +У","")&amp;IF(INDEX(Квартиры!$J$2:$J$1501,MATCH($A24*1000+7,Квартиры!$K$2:$K$1501,0))&gt;0," +Г",""),"-"))</f>
        <v/>
      </c>
      <c r="J24">
        <f>IF($A24="","",IFERROR(IF(Настройки!$B$4="да",INDEX(Квартиры!$D$2:$D$1501,MATCH($A24*1000+8,Квартиры!$K$2:$K$1501,0))&amp;" / ","")&amp;INDEX(Квартиры!$H$2:$H$1501,MATCH($A24*1000+8,Квартиры!$K$2:$K$1501,0))&amp;" СУ"&amp;IF(INDEX(Квартиры!$I$2:$I$1501,MATCH($A24*1000+8,Квартиры!$K$2:$K$1501,0))&gt;0," +У","")&amp;IF(INDEX(Квартиры!$J$2:$J$1501,MATCH($A24*1000+8,Квартиры!$K$2:$K$1501,0))&gt;0," +Г",""),"-"))</f>
        <v/>
      </c>
      <c r="K24">
        <f>IF($A24="","",IFERROR(IF(Настройки!$B$4="да",INDEX(Квартиры!$D$2:$D$1501,MATCH($A24*1000+9,Квартиры!$K$2:$K$1501,0))&amp;" / ","")&amp;INDEX(Квартиры!$H$2:$H$1501,MATCH($A24*1000+9,Квартиры!$K$2:$K$1501,0))&amp;" СУ"&amp;IF(INDEX(Квартиры!$I$2:$I$1501,MATCH($A24*1000+9,Квартиры!$K$2:$K$1501,0))&gt;0," +У","")&amp;IF(INDEX(Квартиры!$J$2:$J$1501,MATCH($A24*1000+9,Квартиры!$K$2:$K$1501,0))&gt;0," +Г",""),"-"))</f>
        <v/>
      </c>
      <c r="L24">
        <f>IF($A24="","",IFERROR(IF(Настройки!$B$4="да",INDEX(Квартиры!$D$2:$D$1501,MATCH($A24*1000+10,Квартиры!$K$2:$K$1501,0))&amp;" / ","")&amp;INDEX(Квартиры!$H$2:$H$1501,MATCH($A24*1000+10,Квартиры!$K$2:$K$1501,0))&amp;" СУ"&amp;IF(INDEX(Квартиры!$I$2:$I$1501,MATCH($A24*1000+10,Квартиры!$K$2:$K$1501,0))&gt;0," +У","")&amp;IF(INDEX(Квартиры!$J$2:$J$1501,MATCH($A24*1000+10,Квартиры!$K$2:$K$1501,0))&gt;0," +Г",""),"-"))</f>
        <v/>
      </c>
      <c r="M24">
        <f>IF($A24="","",IFERROR(IF(Настройки!$B$4="да",INDEX(Квартиры!$D$2:$D$1501,MATCH($A24*1000+11,Квартиры!$K$2:$K$1501,0))&amp;" / ","")&amp;INDEX(Квартиры!$H$2:$H$1501,MATCH($A24*1000+11,Квартиры!$K$2:$K$1501,0))&amp;" СУ"&amp;IF(INDEX(Квартиры!$I$2:$I$1501,MATCH($A24*1000+11,Квартиры!$K$2:$K$1501,0))&gt;0," +У","")&amp;IF(INDEX(Квартиры!$J$2:$J$1501,MATCH($A24*1000+11,Квартиры!$K$2:$K$1501,0))&gt;0," +Г",""),"-"))</f>
        <v/>
      </c>
      <c r="N24">
        <f>IF($A24="","",IFERROR(IF(Настройки!$B$4="да",INDEX(Квартиры!$D$2:$D$1501,MATCH($A24*1000+12,Квартиры!$K$2:$K$1501,0))&amp;" / ","")&amp;INDEX(Квартиры!$H$2:$H$1501,MATCH($A24*1000+12,Квартиры!$K$2:$K$1501,0))&amp;" СУ"&amp;IF(INDEX(Квартиры!$I$2:$I$1501,MATCH($A24*1000+12,Квартиры!$K$2:$K$1501,0))&gt;0," +У","")&amp;IF(INDEX(Квартиры!$J$2:$J$1501,MATCH($A24*1000+12,Квартиры!$K$2:$K$1501,0))&gt;0," +Г",""),"-"))</f>
        <v/>
      </c>
      <c r="O24">
        <f>IF($A24="","",IFERROR(IF(Настройки!$B$4="да",INDEX(Квартиры!$D$2:$D$1501,MATCH($A24*1000+13,Квартиры!$K$2:$K$1501,0))&amp;" / ","")&amp;INDEX(Квартиры!$H$2:$H$1501,MATCH($A24*1000+13,Квартиры!$K$2:$K$1501,0))&amp;" СУ"&amp;IF(INDEX(Квартиры!$I$2:$I$1501,MATCH($A24*1000+13,Квартиры!$K$2:$K$1501,0))&gt;0," +У","")&amp;IF(INDEX(Квартиры!$J$2:$J$1501,MATCH($A24*1000+13,Квартиры!$K$2:$K$1501,0))&gt;0," +Г",""),"-"))</f>
        <v/>
      </c>
      <c r="P24">
        <f>IF($A24="","",IFERROR(IF(Настройки!$B$4="да",INDEX(Квартиры!$D$2:$D$1501,MATCH($A24*1000+14,Квартиры!$K$2:$K$1501,0))&amp;" / ","")&amp;INDEX(Квартиры!$H$2:$H$1501,MATCH($A24*1000+14,Квартиры!$K$2:$K$1501,0))&amp;" СУ"&amp;IF(INDEX(Квартиры!$I$2:$I$1501,MATCH($A24*1000+14,Квартиры!$K$2:$K$1501,0))&gt;0," +У","")&amp;IF(INDEX(Квартиры!$J$2:$J$1501,MATCH($A24*1000+14,Квартиры!$K$2:$K$1501,0))&gt;0," +Г",""),"-"))</f>
        <v/>
      </c>
      <c r="Q24">
        <f>IF($A24="","",IFERROR(IF(Настройки!$B$4="да",INDEX(Квартиры!$D$2:$D$1501,MATCH($A24*1000+15,Квартиры!$K$2:$K$1501,0))&amp;" / ","")&amp;INDEX(Квартиры!$H$2:$H$1501,MATCH($A24*1000+15,Квартиры!$K$2:$K$1501,0))&amp;" СУ"&amp;IF(INDEX(Квартиры!$I$2:$I$1501,MATCH($A24*1000+15,Квартиры!$K$2:$K$1501,0))&gt;0," +У","")&amp;IF(INDEX(Квартиры!$J$2:$J$1501,MATCH($A24*1000+15,Квартиры!$K$2:$K$1501,0))&gt;0," +Г",""),"-"))</f>
        <v/>
      </c>
      <c r="R24">
        <f>IF(A24="","",C24&amp;"|"&amp;D24&amp;"|"&amp;E24&amp;"|"&amp;F24&amp;"|"&amp;G24&amp;"|"&amp;H24&amp;"|"&amp;I24&amp;"|"&amp;J24&amp;"|"&amp;K24&amp;"|"&amp;L24&amp;"|"&amp;M24&amp;"|"&amp;N24&amp;"|"&amp;O24&amp;"|"&amp;P24&amp;"|"&amp;Q24)</f>
        <v/>
      </c>
      <c r="S24">
        <f>IF(A24="","",IFERROR(LOOKUP(2,1/(B$2:B23=B24),S$2:S23)&amp;", ","")&amp;A24)</f>
        <v/>
      </c>
      <c r="U24">
        <f>IF(22&gt;MAX(B$3:B$82),"",22)</f>
        <v/>
      </c>
      <c r="V24">
        <f>IF(U24="","",LOOKUP(2,1/(B$3:B$82=U24),S$3:S$82))</f>
        <v/>
      </c>
      <c r="W24">
        <f>IF(U24="","",COUNTIF(B$3:B$82,U24))</f>
        <v/>
      </c>
    </row>
    <row r="25">
      <c r="A25">
        <f>IFERROR(IF(A24="","",SMALL(Квартиры!$B$2:$B$1501,COUNTIF(Квартиры!$B$2:$B$1501,"&lt;="&amp;A24)+1)),"")</f>
        <v/>
      </c>
      <c r="B25">
        <f>IF(A25="","",IF(COUNTIF(R$2:R24,R25)=0,MAX(B$2:B24)+1,INDEX(B$2:B24,MATCH(R25,R$2:R24,0))))</f>
        <v/>
      </c>
      <c r="C25">
        <f>IF($A25="","",IFERROR(IF(Настройки!$B$4="да",INDEX(Квартиры!$D$2:$D$1501,MATCH($A25*1000+1,Квартиры!$K$2:$K$1501,0))&amp;" / ","")&amp;INDEX(Квартиры!$H$2:$H$1501,MATCH($A25*1000+1,Квартиры!$K$2:$K$1501,0))&amp;" СУ"&amp;IF(INDEX(Квартиры!$I$2:$I$1501,MATCH($A25*1000+1,Квартиры!$K$2:$K$1501,0))&gt;0," +У","")&amp;IF(INDEX(Квартиры!$J$2:$J$1501,MATCH($A25*1000+1,Квартиры!$K$2:$K$1501,0))&gt;0," +Г",""),"-"))</f>
        <v/>
      </c>
      <c r="D25">
        <f>IF($A25="","",IFERROR(IF(Настройки!$B$4="да",INDEX(Квартиры!$D$2:$D$1501,MATCH($A25*1000+2,Квартиры!$K$2:$K$1501,0))&amp;" / ","")&amp;INDEX(Квартиры!$H$2:$H$1501,MATCH($A25*1000+2,Квартиры!$K$2:$K$1501,0))&amp;" СУ"&amp;IF(INDEX(Квартиры!$I$2:$I$1501,MATCH($A25*1000+2,Квартиры!$K$2:$K$1501,0))&gt;0," +У","")&amp;IF(INDEX(Квартиры!$J$2:$J$1501,MATCH($A25*1000+2,Квартиры!$K$2:$K$1501,0))&gt;0," +Г",""),"-"))</f>
        <v/>
      </c>
      <c r="E25">
        <f>IF($A25="","",IFERROR(IF(Настройки!$B$4="да",INDEX(Квартиры!$D$2:$D$1501,MATCH($A25*1000+3,Квартиры!$K$2:$K$1501,0))&amp;" / ","")&amp;INDEX(Квартиры!$H$2:$H$1501,MATCH($A25*1000+3,Квартиры!$K$2:$K$1501,0))&amp;" СУ"&amp;IF(INDEX(Квартиры!$I$2:$I$1501,MATCH($A25*1000+3,Квартиры!$K$2:$K$1501,0))&gt;0," +У","")&amp;IF(INDEX(Квартиры!$J$2:$J$1501,MATCH($A25*1000+3,Квартиры!$K$2:$K$1501,0))&gt;0," +Г",""),"-"))</f>
        <v/>
      </c>
      <c r="F25">
        <f>IF($A25="","",IFERROR(IF(Настройки!$B$4="да",INDEX(Квартиры!$D$2:$D$1501,MATCH($A25*1000+4,Квартиры!$K$2:$K$1501,0))&amp;" / ","")&amp;INDEX(Квартиры!$H$2:$H$1501,MATCH($A25*1000+4,Квартиры!$K$2:$K$1501,0))&amp;" СУ"&amp;IF(INDEX(Квартиры!$I$2:$I$1501,MATCH($A25*1000+4,Квартиры!$K$2:$K$1501,0))&gt;0," +У","")&amp;IF(INDEX(Квартиры!$J$2:$J$1501,MATCH($A25*1000+4,Квартиры!$K$2:$K$1501,0))&gt;0," +Г",""),"-"))</f>
        <v/>
      </c>
      <c r="G25">
        <f>IF($A25="","",IFERROR(IF(Настройки!$B$4="да",INDEX(Квартиры!$D$2:$D$1501,MATCH($A25*1000+5,Квартиры!$K$2:$K$1501,0))&amp;" / ","")&amp;INDEX(Квартиры!$H$2:$H$1501,MATCH($A25*1000+5,Квартиры!$K$2:$K$1501,0))&amp;" СУ"&amp;IF(INDEX(Квартиры!$I$2:$I$1501,MATCH($A25*1000+5,Квартиры!$K$2:$K$1501,0))&gt;0," +У","")&amp;IF(INDEX(Квартиры!$J$2:$J$1501,MATCH($A25*1000+5,Квартиры!$K$2:$K$1501,0))&gt;0," +Г",""),"-"))</f>
        <v/>
      </c>
      <c r="H25">
        <f>IF($A25="","",IFERROR(IF(Настройки!$B$4="да",INDEX(Квартиры!$D$2:$D$1501,MATCH($A25*1000+6,Квартиры!$K$2:$K$1501,0))&amp;" / ","")&amp;INDEX(Квартиры!$H$2:$H$1501,MATCH($A25*1000+6,Квартиры!$K$2:$K$1501,0))&amp;" СУ"&amp;IF(INDEX(Квартиры!$I$2:$I$1501,MATCH($A25*1000+6,Квартиры!$K$2:$K$1501,0))&gt;0," +У","")&amp;IF(INDEX(Квартиры!$J$2:$J$1501,MATCH($A25*1000+6,Квартиры!$K$2:$K$1501,0))&gt;0," +Г",""),"-"))</f>
        <v/>
      </c>
      <c r="I25">
        <f>IF($A25="","",IFERROR(IF(Настройки!$B$4="да",INDEX(Квартиры!$D$2:$D$1501,MATCH($A25*1000+7,Квартиры!$K$2:$K$1501,0))&amp;" / ","")&amp;INDEX(Квартиры!$H$2:$H$1501,MATCH($A25*1000+7,Квартиры!$K$2:$K$1501,0))&amp;" СУ"&amp;IF(INDEX(Квартиры!$I$2:$I$1501,MATCH($A25*1000+7,Квартиры!$K$2:$K$1501,0))&gt;0," +У","")&amp;IF(INDEX(Квартиры!$J$2:$J$1501,MATCH($A25*1000+7,Квартиры!$K$2:$K$1501,0))&gt;0," +Г",""),"-"))</f>
        <v/>
      </c>
      <c r="J25">
        <f>IF($A25="","",IFERROR(IF(Настройки!$B$4="да",INDEX(Квартиры!$D$2:$D$1501,MATCH($A25*1000+8,Квартиры!$K$2:$K$1501,0))&amp;" / ","")&amp;INDEX(Квартиры!$H$2:$H$1501,MATCH($A25*1000+8,Квартиры!$K$2:$K$1501,0))&amp;" СУ"&amp;IF(INDEX(Квартиры!$I$2:$I$1501,MATCH($A25*1000+8,Квартиры!$K$2:$K$1501,0))&gt;0," +У","")&amp;IF(INDEX(Квартиры!$J$2:$J$1501,MATCH($A25*1000+8,Квартиры!$K$2:$K$1501,0))&gt;0," +Г",""),"-"))</f>
        <v/>
      </c>
      <c r="K25">
        <f>IF($A25="","",IFERROR(IF(Настройки!$B$4="да",INDEX(Квартиры!$D$2:$D$1501,MATCH($A25*1000+9,Квартиры!$K$2:$K$1501,0))&amp;" / ","")&amp;INDEX(Квартиры!$H$2:$H$1501,MATCH($A25*1000+9,Квартиры!$K$2:$K$1501,0))&amp;" СУ"&amp;IF(INDEX(Квартиры!$I$2:$I$1501,MATCH($A25*1000+9,Квартиры!$K$2:$K$1501,0))&gt;0," +У","")&amp;IF(INDEX(Квартиры!$J$2:$J$1501,MATCH($A25*1000+9,Квартиры!$K$2:$K$1501,0))&gt;0," +Г",""),"-"))</f>
        <v/>
      </c>
      <c r="L25">
        <f>IF($A25="","",IFERROR(IF(Настройки!$B$4="да",INDEX(Квартиры!$D$2:$D$1501,MATCH($A25*1000+10,Квартиры!$K$2:$K$1501,0))&amp;" / ","")&amp;INDEX(Квартиры!$H$2:$H$1501,MATCH($A25*1000+10,Квартиры!$K$2:$K$1501,0))&amp;" СУ"&amp;IF(INDEX(Квартиры!$I$2:$I$1501,MATCH($A25*1000+10,Квартиры!$K$2:$K$1501,0))&gt;0," +У","")&amp;IF(INDEX(Квартиры!$J$2:$J$1501,MATCH($A25*1000+10,Квартиры!$K$2:$K$1501,0))&gt;0," +Г",""),"-"))</f>
        <v/>
      </c>
      <c r="M25">
        <f>IF($A25="","",IFERROR(IF(Настройки!$B$4="да",INDEX(Квартиры!$D$2:$D$1501,MATCH($A25*1000+11,Квартиры!$K$2:$K$1501,0))&amp;" / ","")&amp;INDEX(Квартиры!$H$2:$H$1501,MATCH($A25*1000+11,Квартиры!$K$2:$K$1501,0))&amp;" СУ"&amp;IF(INDEX(Квартиры!$I$2:$I$1501,MATCH($A25*1000+11,Квартиры!$K$2:$K$1501,0))&gt;0," +У","")&amp;IF(INDEX(Квартиры!$J$2:$J$1501,MATCH($A25*1000+11,Квартиры!$K$2:$K$1501,0))&gt;0," +Г",""),"-"))</f>
        <v/>
      </c>
      <c r="N25">
        <f>IF($A25="","",IFERROR(IF(Настройки!$B$4="да",INDEX(Квартиры!$D$2:$D$1501,MATCH($A25*1000+12,Квартиры!$K$2:$K$1501,0))&amp;" / ","")&amp;INDEX(Квартиры!$H$2:$H$1501,MATCH($A25*1000+12,Квартиры!$K$2:$K$1501,0))&amp;" СУ"&amp;IF(INDEX(Квартиры!$I$2:$I$1501,MATCH($A25*1000+12,Квартиры!$K$2:$K$1501,0))&gt;0," +У","")&amp;IF(INDEX(Квартиры!$J$2:$J$1501,MATCH($A25*1000+12,Квартиры!$K$2:$K$1501,0))&gt;0," +Г",""),"-"))</f>
        <v/>
      </c>
      <c r="O25">
        <f>IF($A25="","",IFERROR(IF(Настройки!$B$4="да",INDEX(Квартиры!$D$2:$D$1501,MATCH($A25*1000+13,Квартиры!$K$2:$K$1501,0))&amp;" / ","")&amp;INDEX(Квартиры!$H$2:$H$1501,MATCH($A25*1000+13,Квартиры!$K$2:$K$1501,0))&amp;" СУ"&amp;IF(INDEX(Квартиры!$I$2:$I$1501,MATCH($A25*1000+13,Квартиры!$K$2:$K$1501,0))&gt;0," +У","")&amp;IF(INDEX(Квартиры!$J$2:$J$1501,MATCH($A25*1000+13,Квартиры!$K$2:$K$1501,0))&gt;0," +Г",""),"-"))</f>
        <v/>
      </c>
      <c r="P25">
        <f>IF($A25="","",IFERROR(IF(Настройки!$B$4="да",INDEX(Квартиры!$D$2:$D$1501,MATCH($A25*1000+14,Квартиры!$K$2:$K$1501,0))&amp;" / ","")&amp;INDEX(Квартиры!$H$2:$H$1501,MATCH($A25*1000+14,Квартиры!$K$2:$K$1501,0))&amp;" СУ"&amp;IF(INDEX(Квартиры!$I$2:$I$1501,MATCH($A25*1000+14,Квартиры!$K$2:$K$1501,0))&gt;0," +У","")&amp;IF(INDEX(Квартиры!$J$2:$J$1501,MATCH($A25*1000+14,Квартиры!$K$2:$K$1501,0))&gt;0," +Г",""),"-"))</f>
        <v/>
      </c>
      <c r="Q25">
        <f>IF($A25="","",IFERROR(IF(Настройки!$B$4="да",INDEX(Квартиры!$D$2:$D$1501,MATCH($A25*1000+15,Квартиры!$K$2:$K$1501,0))&amp;" / ","")&amp;INDEX(Квартиры!$H$2:$H$1501,MATCH($A25*1000+15,Квартиры!$K$2:$K$1501,0))&amp;" СУ"&amp;IF(INDEX(Квартиры!$I$2:$I$1501,MATCH($A25*1000+15,Квартиры!$K$2:$K$1501,0))&gt;0," +У","")&amp;IF(INDEX(Квартиры!$J$2:$J$1501,MATCH($A25*1000+15,Квартиры!$K$2:$K$1501,0))&gt;0," +Г",""),"-"))</f>
        <v/>
      </c>
      <c r="R25">
        <f>IF(A25="","",C25&amp;"|"&amp;D25&amp;"|"&amp;E25&amp;"|"&amp;F25&amp;"|"&amp;G25&amp;"|"&amp;H25&amp;"|"&amp;I25&amp;"|"&amp;J25&amp;"|"&amp;K25&amp;"|"&amp;L25&amp;"|"&amp;M25&amp;"|"&amp;N25&amp;"|"&amp;O25&amp;"|"&amp;P25&amp;"|"&amp;Q25)</f>
        <v/>
      </c>
      <c r="S25">
        <f>IF(A25="","",IFERROR(LOOKUP(2,1/(B$2:B24=B25),S$2:S24)&amp;", ","")&amp;A25)</f>
        <v/>
      </c>
      <c r="U25">
        <f>IF(23&gt;MAX(B$3:B$82),"",23)</f>
        <v/>
      </c>
      <c r="V25">
        <f>IF(U25="","",LOOKUP(2,1/(B$3:B$82=U25),S$3:S$82))</f>
        <v/>
      </c>
      <c r="W25">
        <f>IF(U25="","",COUNTIF(B$3:B$82,U25))</f>
        <v/>
      </c>
    </row>
    <row r="26">
      <c r="A26">
        <f>IFERROR(IF(A25="","",SMALL(Квартиры!$B$2:$B$1501,COUNTIF(Квартиры!$B$2:$B$1501,"&lt;="&amp;A25)+1)),"")</f>
        <v/>
      </c>
      <c r="B26">
        <f>IF(A26="","",IF(COUNTIF(R$2:R25,R26)=0,MAX(B$2:B25)+1,INDEX(B$2:B25,MATCH(R26,R$2:R25,0))))</f>
        <v/>
      </c>
      <c r="C26">
        <f>IF($A26="","",IFERROR(IF(Настройки!$B$4="да",INDEX(Квартиры!$D$2:$D$1501,MATCH($A26*1000+1,Квартиры!$K$2:$K$1501,0))&amp;" / ","")&amp;INDEX(Квартиры!$H$2:$H$1501,MATCH($A26*1000+1,Квартиры!$K$2:$K$1501,0))&amp;" СУ"&amp;IF(INDEX(Квартиры!$I$2:$I$1501,MATCH($A26*1000+1,Квартиры!$K$2:$K$1501,0))&gt;0," +У","")&amp;IF(INDEX(Квартиры!$J$2:$J$1501,MATCH($A26*1000+1,Квартиры!$K$2:$K$1501,0))&gt;0," +Г",""),"-"))</f>
        <v/>
      </c>
      <c r="D26">
        <f>IF($A26="","",IFERROR(IF(Настройки!$B$4="да",INDEX(Квартиры!$D$2:$D$1501,MATCH($A26*1000+2,Квартиры!$K$2:$K$1501,0))&amp;" / ","")&amp;INDEX(Квартиры!$H$2:$H$1501,MATCH($A26*1000+2,Квартиры!$K$2:$K$1501,0))&amp;" СУ"&amp;IF(INDEX(Квартиры!$I$2:$I$1501,MATCH($A26*1000+2,Квартиры!$K$2:$K$1501,0))&gt;0," +У","")&amp;IF(INDEX(Квартиры!$J$2:$J$1501,MATCH($A26*1000+2,Квартиры!$K$2:$K$1501,0))&gt;0," +Г",""),"-"))</f>
        <v/>
      </c>
      <c r="E26">
        <f>IF($A26="","",IFERROR(IF(Настройки!$B$4="да",INDEX(Квартиры!$D$2:$D$1501,MATCH($A26*1000+3,Квартиры!$K$2:$K$1501,0))&amp;" / ","")&amp;INDEX(Квартиры!$H$2:$H$1501,MATCH($A26*1000+3,Квартиры!$K$2:$K$1501,0))&amp;" СУ"&amp;IF(INDEX(Квартиры!$I$2:$I$1501,MATCH($A26*1000+3,Квартиры!$K$2:$K$1501,0))&gt;0," +У","")&amp;IF(INDEX(Квартиры!$J$2:$J$1501,MATCH($A26*1000+3,Квартиры!$K$2:$K$1501,0))&gt;0," +Г",""),"-"))</f>
        <v/>
      </c>
      <c r="F26">
        <f>IF($A26="","",IFERROR(IF(Настройки!$B$4="да",INDEX(Квартиры!$D$2:$D$1501,MATCH($A26*1000+4,Квартиры!$K$2:$K$1501,0))&amp;" / ","")&amp;INDEX(Квартиры!$H$2:$H$1501,MATCH($A26*1000+4,Квартиры!$K$2:$K$1501,0))&amp;" СУ"&amp;IF(INDEX(Квартиры!$I$2:$I$1501,MATCH($A26*1000+4,Квартиры!$K$2:$K$1501,0))&gt;0," +У","")&amp;IF(INDEX(Квартиры!$J$2:$J$1501,MATCH($A26*1000+4,Квартиры!$K$2:$K$1501,0))&gt;0," +Г",""),"-"))</f>
        <v/>
      </c>
      <c r="G26">
        <f>IF($A26="","",IFERROR(IF(Настройки!$B$4="да",INDEX(Квартиры!$D$2:$D$1501,MATCH($A26*1000+5,Квартиры!$K$2:$K$1501,0))&amp;" / ","")&amp;INDEX(Квартиры!$H$2:$H$1501,MATCH($A26*1000+5,Квартиры!$K$2:$K$1501,0))&amp;" СУ"&amp;IF(INDEX(Квартиры!$I$2:$I$1501,MATCH($A26*1000+5,Квартиры!$K$2:$K$1501,0))&gt;0," +У","")&amp;IF(INDEX(Квартиры!$J$2:$J$1501,MATCH($A26*1000+5,Квартиры!$K$2:$K$1501,0))&gt;0," +Г",""),"-"))</f>
        <v/>
      </c>
      <c r="H26">
        <f>IF($A26="","",IFERROR(IF(Настройки!$B$4="да",INDEX(Квартиры!$D$2:$D$1501,MATCH($A26*1000+6,Квартиры!$K$2:$K$1501,0))&amp;" / ","")&amp;INDEX(Квартиры!$H$2:$H$1501,MATCH($A26*1000+6,Квартиры!$K$2:$K$1501,0))&amp;" СУ"&amp;IF(INDEX(Квартиры!$I$2:$I$1501,MATCH($A26*1000+6,Квартиры!$K$2:$K$1501,0))&gt;0," +У","")&amp;IF(INDEX(Квартиры!$J$2:$J$1501,MATCH($A26*1000+6,Квартиры!$K$2:$K$1501,0))&gt;0," +Г",""),"-"))</f>
        <v/>
      </c>
      <c r="I26">
        <f>IF($A26="","",IFERROR(IF(Настройки!$B$4="да",INDEX(Квартиры!$D$2:$D$1501,MATCH($A26*1000+7,Квартиры!$K$2:$K$1501,0))&amp;" / ","")&amp;INDEX(Квартиры!$H$2:$H$1501,MATCH($A26*1000+7,Квартиры!$K$2:$K$1501,0))&amp;" СУ"&amp;IF(INDEX(Квартиры!$I$2:$I$1501,MATCH($A26*1000+7,Квартиры!$K$2:$K$1501,0))&gt;0," +У","")&amp;IF(INDEX(Квартиры!$J$2:$J$1501,MATCH($A26*1000+7,Квартиры!$K$2:$K$1501,0))&gt;0," +Г",""),"-"))</f>
        <v/>
      </c>
      <c r="J26">
        <f>IF($A26="","",IFERROR(IF(Настройки!$B$4="да",INDEX(Квартиры!$D$2:$D$1501,MATCH($A26*1000+8,Квартиры!$K$2:$K$1501,0))&amp;" / ","")&amp;INDEX(Квартиры!$H$2:$H$1501,MATCH($A26*1000+8,Квартиры!$K$2:$K$1501,0))&amp;" СУ"&amp;IF(INDEX(Квартиры!$I$2:$I$1501,MATCH($A26*1000+8,Квартиры!$K$2:$K$1501,0))&gt;0," +У","")&amp;IF(INDEX(Квартиры!$J$2:$J$1501,MATCH($A26*1000+8,Квартиры!$K$2:$K$1501,0))&gt;0," +Г",""),"-"))</f>
        <v/>
      </c>
      <c r="K26">
        <f>IF($A26="","",IFERROR(IF(Настройки!$B$4="да",INDEX(Квартиры!$D$2:$D$1501,MATCH($A26*1000+9,Квартиры!$K$2:$K$1501,0))&amp;" / ","")&amp;INDEX(Квартиры!$H$2:$H$1501,MATCH($A26*1000+9,Квартиры!$K$2:$K$1501,0))&amp;" СУ"&amp;IF(INDEX(Квартиры!$I$2:$I$1501,MATCH($A26*1000+9,Квартиры!$K$2:$K$1501,0))&gt;0," +У","")&amp;IF(INDEX(Квартиры!$J$2:$J$1501,MATCH($A26*1000+9,Квартиры!$K$2:$K$1501,0))&gt;0," +Г",""),"-"))</f>
        <v/>
      </c>
      <c r="L26">
        <f>IF($A26="","",IFERROR(IF(Настройки!$B$4="да",INDEX(Квартиры!$D$2:$D$1501,MATCH($A26*1000+10,Квартиры!$K$2:$K$1501,0))&amp;" / ","")&amp;INDEX(Квартиры!$H$2:$H$1501,MATCH($A26*1000+10,Квартиры!$K$2:$K$1501,0))&amp;" СУ"&amp;IF(INDEX(Квартиры!$I$2:$I$1501,MATCH($A26*1000+10,Квартиры!$K$2:$K$1501,0))&gt;0," +У","")&amp;IF(INDEX(Квартиры!$J$2:$J$1501,MATCH($A26*1000+10,Квартиры!$K$2:$K$1501,0))&gt;0," +Г",""),"-"))</f>
        <v/>
      </c>
      <c r="M26">
        <f>IF($A26="","",IFERROR(IF(Настройки!$B$4="да",INDEX(Квартиры!$D$2:$D$1501,MATCH($A26*1000+11,Квартиры!$K$2:$K$1501,0))&amp;" / ","")&amp;INDEX(Квартиры!$H$2:$H$1501,MATCH($A26*1000+11,Квартиры!$K$2:$K$1501,0))&amp;" СУ"&amp;IF(INDEX(Квартиры!$I$2:$I$1501,MATCH($A26*1000+11,Квартиры!$K$2:$K$1501,0))&gt;0," +У","")&amp;IF(INDEX(Квартиры!$J$2:$J$1501,MATCH($A26*1000+11,Квартиры!$K$2:$K$1501,0))&gt;0," +Г",""),"-"))</f>
        <v/>
      </c>
      <c r="N26">
        <f>IF($A26="","",IFERROR(IF(Настройки!$B$4="да",INDEX(Квартиры!$D$2:$D$1501,MATCH($A26*1000+12,Квартиры!$K$2:$K$1501,0))&amp;" / ","")&amp;INDEX(Квартиры!$H$2:$H$1501,MATCH($A26*1000+12,Квартиры!$K$2:$K$1501,0))&amp;" СУ"&amp;IF(INDEX(Квартиры!$I$2:$I$1501,MATCH($A26*1000+12,Квартиры!$K$2:$K$1501,0))&gt;0," +У","")&amp;IF(INDEX(Квартиры!$J$2:$J$1501,MATCH($A26*1000+12,Квартиры!$K$2:$K$1501,0))&gt;0," +Г",""),"-"))</f>
        <v/>
      </c>
      <c r="O26">
        <f>IF($A26="","",IFERROR(IF(Настройки!$B$4="да",INDEX(Квартиры!$D$2:$D$1501,MATCH($A26*1000+13,Квартиры!$K$2:$K$1501,0))&amp;" / ","")&amp;INDEX(Квартиры!$H$2:$H$1501,MATCH($A26*1000+13,Квартиры!$K$2:$K$1501,0))&amp;" СУ"&amp;IF(INDEX(Квартиры!$I$2:$I$1501,MATCH($A26*1000+13,Квартиры!$K$2:$K$1501,0))&gt;0," +У","")&amp;IF(INDEX(Квартиры!$J$2:$J$1501,MATCH($A26*1000+13,Квартиры!$K$2:$K$1501,0))&gt;0," +Г",""),"-"))</f>
        <v/>
      </c>
      <c r="P26">
        <f>IF($A26="","",IFERROR(IF(Настройки!$B$4="да",INDEX(Квартиры!$D$2:$D$1501,MATCH($A26*1000+14,Квартиры!$K$2:$K$1501,0))&amp;" / ","")&amp;INDEX(Квартиры!$H$2:$H$1501,MATCH($A26*1000+14,Квартиры!$K$2:$K$1501,0))&amp;" СУ"&amp;IF(INDEX(Квартиры!$I$2:$I$1501,MATCH($A26*1000+14,Квартиры!$K$2:$K$1501,0))&gt;0," +У","")&amp;IF(INDEX(Квартиры!$J$2:$J$1501,MATCH($A26*1000+14,Квартиры!$K$2:$K$1501,0))&gt;0," +Г",""),"-"))</f>
        <v/>
      </c>
      <c r="Q26">
        <f>IF($A26="","",IFERROR(IF(Настройки!$B$4="да",INDEX(Квартиры!$D$2:$D$1501,MATCH($A26*1000+15,Квартиры!$K$2:$K$1501,0))&amp;" / ","")&amp;INDEX(Квартиры!$H$2:$H$1501,MATCH($A26*1000+15,Квартиры!$K$2:$K$1501,0))&amp;" СУ"&amp;IF(INDEX(Квартиры!$I$2:$I$1501,MATCH($A26*1000+15,Квартиры!$K$2:$K$1501,0))&gt;0," +У","")&amp;IF(INDEX(Квартиры!$J$2:$J$1501,MATCH($A26*1000+15,Квартиры!$K$2:$K$1501,0))&gt;0," +Г",""),"-"))</f>
        <v/>
      </c>
      <c r="R26">
        <f>IF(A26="","",C26&amp;"|"&amp;D26&amp;"|"&amp;E26&amp;"|"&amp;F26&amp;"|"&amp;G26&amp;"|"&amp;H26&amp;"|"&amp;I26&amp;"|"&amp;J26&amp;"|"&amp;K26&amp;"|"&amp;L26&amp;"|"&amp;M26&amp;"|"&amp;N26&amp;"|"&amp;O26&amp;"|"&amp;P26&amp;"|"&amp;Q26)</f>
        <v/>
      </c>
      <c r="S26">
        <f>IF(A26="","",IFERROR(LOOKUP(2,1/(B$2:B25=B26),S$2:S25)&amp;", ","")&amp;A26)</f>
        <v/>
      </c>
      <c r="U26">
        <f>IF(24&gt;MAX(B$3:B$82),"",24)</f>
        <v/>
      </c>
      <c r="V26">
        <f>IF(U26="","",LOOKUP(2,1/(B$3:B$82=U26),S$3:S$82))</f>
        <v/>
      </c>
      <c r="W26">
        <f>IF(U26="","",COUNTIF(B$3:B$82,U26))</f>
        <v/>
      </c>
    </row>
    <row r="27">
      <c r="A27">
        <f>IFERROR(IF(A26="","",SMALL(Квартиры!$B$2:$B$1501,COUNTIF(Квартиры!$B$2:$B$1501,"&lt;="&amp;A26)+1)),"")</f>
        <v/>
      </c>
      <c r="B27">
        <f>IF(A27="","",IF(COUNTIF(R$2:R26,R27)=0,MAX(B$2:B26)+1,INDEX(B$2:B26,MATCH(R27,R$2:R26,0))))</f>
        <v/>
      </c>
      <c r="C27">
        <f>IF($A27="","",IFERROR(IF(Настройки!$B$4="да",INDEX(Квартиры!$D$2:$D$1501,MATCH($A27*1000+1,Квартиры!$K$2:$K$1501,0))&amp;" / ","")&amp;INDEX(Квартиры!$H$2:$H$1501,MATCH($A27*1000+1,Квартиры!$K$2:$K$1501,0))&amp;" СУ"&amp;IF(INDEX(Квартиры!$I$2:$I$1501,MATCH($A27*1000+1,Квартиры!$K$2:$K$1501,0))&gt;0," +У","")&amp;IF(INDEX(Квартиры!$J$2:$J$1501,MATCH($A27*1000+1,Квартиры!$K$2:$K$1501,0))&gt;0," +Г",""),"-"))</f>
        <v/>
      </c>
      <c r="D27">
        <f>IF($A27="","",IFERROR(IF(Настройки!$B$4="да",INDEX(Квартиры!$D$2:$D$1501,MATCH($A27*1000+2,Квартиры!$K$2:$K$1501,0))&amp;" / ","")&amp;INDEX(Квартиры!$H$2:$H$1501,MATCH($A27*1000+2,Квартиры!$K$2:$K$1501,0))&amp;" СУ"&amp;IF(INDEX(Квартиры!$I$2:$I$1501,MATCH($A27*1000+2,Квартиры!$K$2:$K$1501,0))&gt;0," +У","")&amp;IF(INDEX(Квартиры!$J$2:$J$1501,MATCH($A27*1000+2,Квартиры!$K$2:$K$1501,0))&gt;0," +Г",""),"-"))</f>
        <v/>
      </c>
      <c r="E27">
        <f>IF($A27="","",IFERROR(IF(Настройки!$B$4="да",INDEX(Квартиры!$D$2:$D$1501,MATCH($A27*1000+3,Квартиры!$K$2:$K$1501,0))&amp;" / ","")&amp;INDEX(Квартиры!$H$2:$H$1501,MATCH($A27*1000+3,Квартиры!$K$2:$K$1501,0))&amp;" СУ"&amp;IF(INDEX(Квартиры!$I$2:$I$1501,MATCH($A27*1000+3,Квартиры!$K$2:$K$1501,0))&gt;0," +У","")&amp;IF(INDEX(Квартиры!$J$2:$J$1501,MATCH($A27*1000+3,Квартиры!$K$2:$K$1501,0))&gt;0," +Г",""),"-"))</f>
        <v/>
      </c>
      <c r="F27">
        <f>IF($A27="","",IFERROR(IF(Настройки!$B$4="да",INDEX(Квартиры!$D$2:$D$1501,MATCH($A27*1000+4,Квартиры!$K$2:$K$1501,0))&amp;" / ","")&amp;INDEX(Квартиры!$H$2:$H$1501,MATCH($A27*1000+4,Квартиры!$K$2:$K$1501,0))&amp;" СУ"&amp;IF(INDEX(Квартиры!$I$2:$I$1501,MATCH($A27*1000+4,Квартиры!$K$2:$K$1501,0))&gt;0," +У","")&amp;IF(INDEX(Квартиры!$J$2:$J$1501,MATCH($A27*1000+4,Квартиры!$K$2:$K$1501,0))&gt;0," +Г",""),"-"))</f>
        <v/>
      </c>
      <c r="G27">
        <f>IF($A27="","",IFERROR(IF(Настройки!$B$4="да",INDEX(Квартиры!$D$2:$D$1501,MATCH($A27*1000+5,Квартиры!$K$2:$K$1501,0))&amp;" / ","")&amp;INDEX(Квартиры!$H$2:$H$1501,MATCH($A27*1000+5,Квартиры!$K$2:$K$1501,0))&amp;" СУ"&amp;IF(INDEX(Квартиры!$I$2:$I$1501,MATCH($A27*1000+5,Квартиры!$K$2:$K$1501,0))&gt;0," +У","")&amp;IF(INDEX(Квартиры!$J$2:$J$1501,MATCH($A27*1000+5,Квартиры!$K$2:$K$1501,0))&gt;0," +Г",""),"-"))</f>
        <v/>
      </c>
      <c r="H27">
        <f>IF($A27="","",IFERROR(IF(Настройки!$B$4="да",INDEX(Квартиры!$D$2:$D$1501,MATCH($A27*1000+6,Квартиры!$K$2:$K$1501,0))&amp;" / ","")&amp;INDEX(Квартиры!$H$2:$H$1501,MATCH($A27*1000+6,Квартиры!$K$2:$K$1501,0))&amp;" СУ"&amp;IF(INDEX(Квартиры!$I$2:$I$1501,MATCH($A27*1000+6,Квартиры!$K$2:$K$1501,0))&gt;0," +У","")&amp;IF(INDEX(Квартиры!$J$2:$J$1501,MATCH($A27*1000+6,Квартиры!$K$2:$K$1501,0))&gt;0," +Г",""),"-"))</f>
        <v/>
      </c>
      <c r="I27">
        <f>IF($A27="","",IFERROR(IF(Настройки!$B$4="да",INDEX(Квартиры!$D$2:$D$1501,MATCH($A27*1000+7,Квартиры!$K$2:$K$1501,0))&amp;" / ","")&amp;INDEX(Квартиры!$H$2:$H$1501,MATCH($A27*1000+7,Квартиры!$K$2:$K$1501,0))&amp;" СУ"&amp;IF(INDEX(Квартиры!$I$2:$I$1501,MATCH($A27*1000+7,Квартиры!$K$2:$K$1501,0))&gt;0," +У","")&amp;IF(INDEX(Квартиры!$J$2:$J$1501,MATCH($A27*1000+7,Квартиры!$K$2:$K$1501,0))&gt;0," +Г",""),"-"))</f>
        <v/>
      </c>
      <c r="J27">
        <f>IF($A27="","",IFERROR(IF(Настройки!$B$4="да",INDEX(Квартиры!$D$2:$D$1501,MATCH($A27*1000+8,Квартиры!$K$2:$K$1501,0))&amp;" / ","")&amp;INDEX(Квартиры!$H$2:$H$1501,MATCH($A27*1000+8,Квартиры!$K$2:$K$1501,0))&amp;" СУ"&amp;IF(INDEX(Квартиры!$I$2:$I$1501,MATCH($A27*1000+8,Квартиры!$K$2:$K$1501,0))&gt;0," +У","")&amp;IF(INDEX(Квартиры!$J$2:$J$1501,MATCH($A27*1000+8,Квартиры!$K$2:$K$1501,0))&gt;0," +Г",""),"-"))</f>
        <v/>
      </c>
      <c r="K27">
        <f>IF($A27="","",IFERROR(IF(Настройки!$B$4="да",INDEX(Квартиры!$D$2:$D$1501,MATCH($A27*1000+9,Квартиры!$K$2:$K$1501,0))&amp;" / ","")&amp;INDEX(Квартиры!$H$2:$H$1501,MATCH($A27*1000+9,Квартиры!$K$2:$K$1501,0))&amp;" СУ"&amp;IF(INDEX(Квартиры!$I$2:$I$1501,MATCH($A27*1000+9,Квартиры!$K$2:$K$1501,0))&gt;0," +У","")&amp;IF(INDEX(Квартиры!$J$2:$J$1501,MATCH($A27*1000+9,Квартиры!$K$2:$K$1501,0))&gt;0," +Г",""),"-"))</f>
        <v/>
      </c>
      <c r="L27">
        <f>IF($A27="","",IFERROR(IF(Настройки!$B$4="да",INDEX(Квартиры!$D$2:$D$1501,MATCH($A27*1000+10,Квартиры!$K$2:$K$1501,0))&amp;" / ","")&amp;INDEX(Квартиры!$H$2:$H$1501,MATCH($A27*1000+10,Квартиры!$K$2:$K$1501,0))&amp;" СУ"&amp;IF(INDEX(Квартиры!$I$2:$I$1501,MATCH($A27*1000+10,Квартиры!$K$2:$K$1501,0))&gt;0," +У","")&amp;IF(INDEX(Квартиры!$J$2:$J$1501,MATCH($A27*1000+10,Квартиры!$K$2:$K$1501,0))&gt;0," +Г",""),"-"))</f>
        <v/>
      </c>
      <c r="M27">
        <f>IF($A27="","",IFERROR(IF(Настройки!$B$4="да",INDEX(Квартиры!$D$2:$D$1501,MATCH($A27*1000+11,Квартиры!$K$2:$K$1501,0))&amp;" / ","")&amp;INDEX(Квартиры!$H$2:$H$1501,MATCH($A27*1000+11,Квартиры!$K$2:$K$1501,0))&amp;" СУ"&amp;IF(INDEX(Квартиры!$I$2:$I$1501,MATCH($A27*1000+11,Квартиры!$K$2:$K$1501,0))&gt;0," +У","")&amp;IF(INDEX(Квартиры!$J$2:$J$1501,MATCH($A27*1000+11,Квартиры!$K$2:$K$1501,0))&gt;0," +Г",""),"-"))</f>
        <v/>
      </c>
      <c r="N27">
        <f>IF($A27="","",IFERROR(IF(Настройки!$B$4="да",INDEX(Квартиры!$D$2:$D$1501,MATCH($A27*1000+12,Квартиры!$K$2:$K$1501,0))&amp;" / ","")&amp;INDEX(Квартиры!$H$2:$H$1501,MATCH($A27*1000+12,Квартиры!$K$2:$K$1501,0))&amp;" СУ"&amp;IF(INDEX(Квартиры!$I$2:$I$1501,MATCH($A27*1000+12,Квартиры!$K$2:$K$1501,0))&gt;0," +У","")&amp;IF(INDEX(Квартиры!$J$2:$J$1501,MATCH($A27*1000+12,Квартиры!$K$2:$K$1501,0))&gt;0," +Г",""),"-"))</f>
        <v/>
      </c>
      <c r="O27">
        <f>IF($A27="","",IFERROR(IF(Настройки!$B$4="да",INDEX(Квартиры!$D$2:$D$1501,MATCH($A27*1000+13,Квартиры!$K$2:$K$1501,0))&amp;" / ","")&amp;INDEX(Квартиры!$H$2:$H$1501,MATCH($A27*1000+13,Квартиры!$K$2:$K$1501,0))&amp;" СУ"&amp;IF(INDEX(Квартиры!$I$2:$I$1501,MATCH($A27*1000+13,Квартиры!$K$2:$K$1501,0))&gt;0," +У","")&amp;IF(INDEX(Квартиры!$J$2:$J$1501,MATCH($A27*1000+13,Квартиры!$K$2:$K$1501,0))&gt;0," +Г",""),"-"))</f>
        <v/>
      </c>
      <c r="P27">
        <f>IF($A27="","",IFERROR(IF(Настройки!$B$4="да",INDEX(Квартиры!$D$2:$D$1501,MATCH($A27*1000+14,Квартиры!$K$2:$K$1501,0))&amp;" / ","")&amp;INDEX(Квартиры!$H$2:$H$1501,MATCH($A27*1000+14,Квартиры!$K$2:$K$1501,0))&amp;" СУ"&amp;IF(INDEX(Квартиры!$I$2:$I$1501,MATCH($A27*1000+14,Квартиры!$K$2:$K$1501,0))&gt;0," +У","")&amp;IF(INDEX(Квартиры!$J$2:$J$1501,MATCH($A27*1000+14,Квартиры!$K$2:$K$1501,0))&gt;0," +Г",""),"-"))</f>
        <v/>
      </c>
      <c r="Q27">
        <f>IF($A27="","",IFERROR(IF(Настройки!$B$4="да",INDEX(Квартиры!$D$2:$D$1501,MATCH($A27*1000+15,Квартиры!$K$2:$K$1501,0))&amp;" / ","")&amp;INDEX(Квартиры!$H$2:$H$1501,MATCH($A27*1000+15,Квартиры!$K$2:$K$1501,0))&amp;" СУ"&amp;IF(INDEX(Квартиры!$I$2:$I$1501,MATCH($A27*1000+15,Квартиры!$K$2:$K$1501,0))&gt;0," +У","")&amp;IF(INDEX(Квартиры!$J$2:$J$1501,MATCH($A27*1000+15,Квартиры!$K$2:$K$1501,0))&gt;0," +Г",""),"-"))</f>
        <v/>
      </c>
      <c r="R27">
        <f>IF(A27="","",C27&amp;"|"&amp;D27&amp;"|"&amp;E27&amp;"|"&amp;F27&amp;"|"&amp;G27&amp;"|"&amp;H27&amp;"|"&amp;I27&amp;"|"&amp;J27&amp;"|"&amp;K27&amp;"|"&amp;L27&amp;"|"&amp;M27&amp;"|"&amp;N27&amp;"|"&amp;O27&amp;"|"&amp;P27&amp;"|"&amp;Q27)</f>
        <v/>
      </c>
      <c r="S27">
        <f>IF(A27="","",IFERROR(LOOKUP(2,1/(B$2:B26=B27),S$2:S26)&amp;", ","")&amp;A27)</f>
        <v/>
      </c>
      <c r="U27">
        <f>IF(25&gt;MAX(B$3:B$82),"",25)</f>
        <v/>
      </c>
      <c r="V27">
        <f>IF(U27="","",LOOKUP(2,1/(B$3:B$82=U27),S$3:S$82))</f>
        <v/>
      </c>
      <c r="W27">
        <f>IF(U27="","",COUNTIF(B$3:B$82,U27))</f>
        <v/>
      </c>
    </row>
    <row r="28">
      <c r="A28">
        <f>IFERROR(IF(A27="","",SMALL(Квартиры!$B$2:$B$1501,COUNTIF(Квартиры!$B$2:$B$1501,"&lt;="&amp;A27)+1)),"")</f>
        <v/>
      </c>
      <c r="B28">
        <f>IF(A28="","",IF(COUNTIF(R$2:R27,R28)=0,MAX(B$2:B27)+1,INDEX(B$2:B27,MATCH(R28,R$2:R27,0))))</f>
        <v/>
      </c>
      <c r="C28">
        <f>IF($A28="","",IFERROR(IF(Настройки!$B$4="да",INDEX(Квартиры!$D$2:$D$1501,MATCH($A28*1000+1,Квартиры!$K$2:$K$1501,0))&amp;" / ","")&amp;INDEX(Квартиры!$H$2:$H$1501,MATCH($A28*1000+1,Квартиры!$K$2:$K$1501,0))&amp;" СУ"&amp;IF(INDEX(Квартиры!$I$2:$I$1501,MATCH($A28*1000+1,Квартиры!$K$2:$K$1501,0))&gt;0," +У","")&amp;IF(INDEX(Квартиры!$J$2:$J$1501,MATCH($A28*1000+1,Квартиры!$K$2:$K$1501,0))&gt;0," +Г",""),"-"))</f>
        <v/>
      </c>
      <c r="D28">
        <f>IF($A28="","",IFERROR(IF(Настройки!$B$4="да",INDEX(Квартиры!$D$2:$D$1501,MATCH($A28*1000+2,Квартиры!$K$2:$K$1501,0))&amp;" / ","")&amp;INDEX(Квартиры!$H$2:$H$1501,MATCH($A28*1000+2,Квартиры!$K$2:$K$1501,0))&amp;" СУ"&amp;IF(INDEX(Квартиры!$I$2:$I$1501,MATCH($A28*1000+2,Квартиры!$K$2:$K$1501,0))&gt;0," +У","")&amp;IF(INDEX(Квартиры!$J$2:$J$1501,MATCH($A28*1000+2,Квартиры!$K$2:$K$1501,0))&gt;0," +Г",""),"-"))</f>
        <v/>
      </c>
      <c r="E28">
        <f>IF($A28="","",IFERROR(IF(Настройки!$B$4="да",INDEX(Квартиры!$D$2:$D$1501,MATCH($A28*1000+3,Квартиры!$K$2:$K$1501,0))&amp;" / ","")&amp;INDEX(Квартиры!$H$2:$H$1501,MATCH($A28*1000+3,Квартиры!$K$2:$K$1501,0))&amp;" СУ"&amp;IF(INDEX(Квартиры!$I$2:$I$1501,MATCH($A28*1000+3,Квартиры!$K$2:$K$1501,0))&gt;0," +У","")&amp;IF(INDEX(Квартиры!$J$2:$J$1501,MATCH($A28*1000+3,Квартиры!$K$2:$K$1501,0))&gt;0," +Г",""),"-"))</f>
        <v/>
      </c>
      <c r="F28">
        <f>IF($A28="","",IFERROR(IF(Настройки!$B$4="да",INDEX(Квартиры!$D$2:$D$1501,MATCH($A28*1000+4,Квартиры!$K$2:$K$1501,0))&amp;" / ","")&amp;INDEX(Квартиры!$H$2:$H$1501,MATCH($A28*1000+4,Квартиры!$K$2:$K$1501,0))&amp;" СУ"&amp;IF(INDEX(Квартиры!$I$2:$I$1501,MATCH($A28*1000+4,Квартиры!$K$2:$K$1501,0))&gt;0," +У","")&amp;IF(INDEX(Квартиры!$J$2:$J$1501,MATCH($A28*1000+4,Квартиры!$K$2:$K$1501,0))&gt;0," +Г",""),"-"))</f>
        <v/>
      </c>
      <c r="G28">
        <f>IF($A28="","",IFERROR(IF(Настройки!$B$4="да",INDEX(Квартиры!$D$2:$D$1501,MATCH($A28*1000+5,Квартиры!$K$2:$K$1501,0))&amp;" / ","")&amp;INDEX(Квартиры!$H$2:$H$1501,MATCH($A28*1000+5,Квартиры!$K$2:$K$1501,0))&amp;" СУ"&amp;IF(INDEX(Квартиры!$I$2:$I$1501,MATCH($A28*1000+5,Квартиры!$K$2:$K$1501,0))&gt;0," +У","")&amp;IF(INDEX(Квартиры!$J$2:$J$1501,MATCH($A28*1000+5,Квартиры!$K$2:$K$1501,0))&gt;0," +Г",""),"-"))</f>
        <v/>
      </c>
      <c r="H28">
        <f>IF($A28="","",IFERROR(IF(Настройки!$B$4="да",INDEX(Квартиры!$D$2:$D$1501,MATCH($A28*1000+6,Квартиры!$K$2:$K$1501,0))&amp;" / ","")&amp;INDEX(Квартиры!$H$2:$H$1501,MATCH($A28*1000+6,Квартиры!$K$2:$K$1501,0))&amp;" СУ"&amp;IF(INDEX(Квартиры!$I$2:$I$1501,MATCH($A28*1000+6,Квартиры!$K$2:$K$1501,0))&gt;0," +У","")&amp;IF(INDEX(Квартиры!$J$2:$J$1501,MATCH($A28*1000+6,Квартиры!$K$2:$K$1501,0))&gt;0," +Г",""),"-"))</f>
        <v/>
      </c>
      <c r="I28">
        <f>IF($A28="","",IFERROR(IF(Настройки!$B$4="да",INDEX(Квартиры!$D$2:$D$1501,MATCH($A28*1000+7,Квартиры!$K$2:$K$1501,0))&amp;" / ","")&amp;INDEX(Квартиры!$H$2:$H$1501,MATCH($A28*1000+7,Квартиры!$K$2:$K$1501,0))&amp;" СУ"&amp;IF(INDEX(Квартиры!$I$2:$I$1501,MATCH($A28*1000+7,Квартиры!$K$2:$K$1501,0))&gt;0," +У","")&amp;IF(INDEX(Квартиры!$J$2:$J$1501,MATCH($A28*1000+7,Квартиры!$K$2:$K$1501,0))&gt;0," +Г",""),"-"))</f>
        <v/>
      </c>
      <c r="J28">
        <f>IF($A28="","",IFERROR(IF(Настройки!$B$4="да",INDEX(Квартиры!$D$2:$D$1501,MATCH($A28*1000+8,Квартиры!$K$2:$K$1501,0))&amp;" / ","")&amp;INDEX(Квартиры!$H$2:$H$1501,MATCH($A28*1000+8,Квартиры!$K$2:$K$1501,0))&amp;" СУ"&amp;IF(INDEX(Квартиры!$I$2:$I$1501,MATCH($A28*1000+8,Квартиры!$K$2:$K$1501,0))&gt;0," +У","")&amp;IF(INDEX(Квартиры!$J$2:$J$1501,MATCH($A28*1000+8,Квартиры!$K$2:$K$1501,0))&gt;0," +Г",""),"-"))</f>
        <v/>
      </c>
      <c r="K28">
        <f>IF($A28="","",IFERROR(IF(Настройки!$B$4="да",INDEX(Квартиры!$D$2:$D$1501,MATCH($A28*1000+9,Квартиры!$K$2:$K$1501,0))&amp;" / ","")&amp;INDEX(Квартиры!$H$2:$H$1501,MATCH($A28*1000+9,Квартиры!$K$2:$K$1501,0))&amp;" СУ"&amp;IF(INDEX(Квартиры!$I$2:$I$1501,MATCH($A28*1000+9,Квартиры!$K$2:$K$1501,0))&gt;0," +У","")&amp;IF(INDEX(Квартиры!$J$2:$J$1501,MATCH($A28*1000+9,Квартиры!$K$2:$K$1501,0))&gt;0," +Г",""),"-"))</f>
        <v/>
      </c>
      <c r="L28">
        <f>IF($A28="","",IFERROR(IF(Настройки!$B$4="да",INDEX(Квартиры!$D$2:$D$1501,MATCH($A28*1000+10,Квартиры!$K$2:$K$1501,0))&amp;" / ","")&amp;INDEX(Квартиры!$H$2:$H$1501,MATCH($A28*1000+10,Квартиры!$K$2:$K$1501,0))&amp;" СУ"&amp;IF(INDEX(Квартиры!$I$2:$I$1501,MATCH($A28*1000+10,Квартиры!$K$2:$K$1501,0))&gt;0," +У","")&amp;IF(INDEX(Квартиры!$J$2:$J$1501,MATCH($A28*1000+10,Квартиры!$K$2:$K$1501,0))&gt;0," +Г",""),"-"))</f>
        <v/>
      </c>
      <c r="M28">
        <f>IF($A28="","",IFERROR(IF(Настройки!$B$4="да",INDEX(Квартиры!$D$2:$D$1501,MATCH($A28*1000+11,Квартиры!$K$2:$K$1501,0))&amp;" / ","")&amp;INDEX(Квартиры!$H$2:$H$1501,MATCH($A28*1000+11,Квартиры!$K$2:$K$1501,0))&amp;" СУ"&amp;IF(INDEX(Квартиры!$I$2:$I$1501,MATCH($A28*1000+11,Квартиры!$K$2:$K$1501,0))&gt;0," +У","")&amp;IF(INDEX(Квартиры!$J$2:$J$1501,MATCH($A28*1000+11,Квартиры!$K$2:$K$1501,0))&gt;0," +Г",""),"-"))</f>
        <v/>
      </c>
      <c r="N28">
        <f>IF($A28="","",IFERROR(IF(Настройки!$B$4="да",INDEX(Квартиры!$D$2:$D$1501,MATCH($A28*1000+12,Квартиры!$K$2:$K$1501,0))&amp;" / ","")&amp;INDEX(Квартиры!$H$2:$H$1501,MATCH($A28*1000+12,Квартиры!$K$2:$K$1501,0))&amp;" СУ"&amp;IF(INDEX(Квартиры!$I$2:$I$1501,MATCH($A28*1000+12,Квартиры!$K$2:$K$1501,0))&gt;0," +У","")&amp;IF(INDEX(Квартиры!$J$2:$J$1501,MATCH($A28*1000+12,Квартиры!$K$2:$K$1501,0))&gt;0," +Г",""),"-"))</f>
        <v/>
      </c>
      <c r="O28">
        <f>IF($A28="","",IFERROR(IF(Настройки!$B$4="да",INDEX(Квартиры!$D$2:$D$1501,MATCH($A28*1000+13,Квартиры!$K$2:$K$1501,0))&amp;" / ","")&amp;INDEX(Квартиры!$H$2:$H$1501,MATCH($A28*1000+13,Квартиры!$K$2:$K$1501,0))&amp;" СУ"&amp;IF(INDEX(Квартиры!$I$2:$I$1501,MATCH($A28*1000+13,Квартиры!$K$2:$K$1501,0))&gt;0," +У","")&amp;IF(INDEX(Квартиры!$J$2:$J$1501,MATCH($A28*1000+13,Квартиры!$K$2:$K$1501,0))&gt;0," +Г",""),"-"))</f>
        <v/>
      </c>
      <c r="P28">
        <f>IF($A28="","",IFERROR(IF(Настройки!$B$4="да",INDEX(Квартиры!$D$2:$D$1501,MATCH($A28*1000+14,Квартиры!$K$2:$K$1501,0))&amp;" / ","")&amp;INDEX(Квартиры!$H$2:$H$1501,MATCH($A28*1000+14,Квартиры!$K$2:$K$1501,0))&amp;" СУ"&amp;IF(INDEX(Квартиры!$I$2:$I$1501,MATCH($A28*1000+14,Квартиры!$K$2:$K$1501,0))&gt;0," +У","")&amp;IF(INDEX(Квартиры!$J$2:$J$1501,MATCH($A28*1000+14,Квартиры!$K$2:$K$1501,0))&gt;0," +Г",""),"-"))</f>
        <v/>
      </c>
      <c r="Q28">
        <f>IF($A28="","",IFERROR(IF(Настройки!$B$4="да",INDEX(Квартиры!$D$2:$D$1501,MATCH($A28*1000+15,Квартиры!$K$2:$K$1501,0))&amp;" / ","")&amp;INDEX(Квартиры!$H$2:$H$1501,MATCH($A28*1000+15,Квартиры!$K$2:$K$1501,0))&amp;" СУ"&amp;IF(INDEX(Квартиры!$I$2:$I$1501,MATCH($A28*1000+15,Квартиры!$K$2:$K$1501,0))&gt;0," +У","")&amp;IF(INDEX(Квартиры!$J$2:$J$1501,MATCH($A28*1000+15,Квартиры!$K$2:$K$1501,0))&gt;0," +Г",""),"-"))</f>
        <v/>
      </c>
      <c r="R28">
        <f>IF(A28="","",C28&amp;"|"&amp;D28&amp;"|"&amp;E28&amp;"|"&amp;F28&amp;"|"&amp;G28&amp;"|"&amp;H28&amp;"|"&amp;I28&amp;"|"&amp;J28&amp;"|"&amp;K28&amp;"|"&amp;L28&amp;"|"&amp;M28&amp;"|"&amp;N28&amp;"|"&amp;O28&amp;"|"&amp;P28&amp;"|"&amp;Q28)</f>
        <v/>
      </c>
      <c r="S28">
        <f>IF(A28="","",IFERROR(LOOKUP(2,1/(B$2:B27=B28),S$2:S27)&amp;", ","")&amp;A28)</f>
        <v/>
      </c>
      <c r="U28">
        <f>IF(26&gt;MAX(B$3:B$82),"",26)</f>
        <v/>
      </c>
      <c r="V28">
        <f>IF(U28="","",LOOKUP(2,1/(B$3:B$82=U28),S$3:S$82))</f>
        <v/>
      </c>
      <c r="W28">
        <f>IF(U28="","",COUNTIF(B$3:B$82,U28))</f>
        <v/>
      </c>
    </row>
    <row r="29">
      <c r="A29">
        <f>IFERROR(IF(A28="","",SMALL(Квартиры!$B$2:$B$1501,COUNTIF(Квартиры!$B$2:$B$1501,"&lt;="&amp;A28)+1)),"")</f>
        <v/>
      </c>
      <c r="B29">
        <f>IF(A29="","",IF(COUNTIF(R$2:R28,R29)=0,MAX(B$2:B28)+1,INDEX(B$2:B28,MATCH(R29,R$2:R28,0))))</f>
        <v/>
      </c>
      <c r="C29">
        <f>IF($A29="","",IFERROR(IF(Настройки!$B$4="да",INDEX(Квартиры!$D$2:$D$1501,MATCH($A29*1000+1,Квартиры!$K$2:$K$1501,0))&amp;" / ","")&amp;INDEX(Квартиры!$H$2:$H$1501,MATCH($A29*1000+1,Квартиры!$K$2:$K$1501,0))&amp;" СУ"&amp;IF(INDEX(Квартиры!$I$2:$I$1501,MATCH($A29*1000+1,Квартиры!$K$2:$K$1501,0))&gt;0," +У","")&amp;IF(INDEX(Квартиры!$J$2:$J$1501,MATCH($A29*1000+1,Квартиры!$K$2:$K$1501,0))&gt;0," +Г",""),"-"))</f>
        <v/>
      </c>
      <c r="D29">
        <f>IF($A29="","",IFERROR(IF(Настройки!$B$4="да",INDEX(Квартиры!$D$2:$D$1501,MATCH($A29*1000+2,Квартиры!$K$2:$K$1501,0))&amp;" / ","")&amp;INDEX(Квартиры!$H$2:$H$1501,MATCH($A29*1000+2,Квартиры!$K$2:$K$1501,0))&amp;" СУ"&amp;IF(INDEX(Квартиры!$I$2:$I$1501,MATCH($A29*1000+2,Квартиры!$K$2:$K$1501,0))&gt;0," +У","")&amp;IF(INDEX(Квартиры!$J$2:$J$1501,MATCH($A29*1000+2,Квартиры!$K$2:$K$1501,0))&gt;0," +Г",""),"-"))</f>
        <v/>
      </c>
      <c r="E29">
        <f>IF($A29="","",IFERROR(IF(Настройки!$B$4="да",INDEX(Квартиры!$D$2:$D$1501,MATCH($A29*1000+3,Квартиры!$K$2:$K$1501,0))&amp;" / ","")&amp;INDEX(Квартиры!$H$2:$H$1501,MATCH($A29*1000+3,Квартиры!$K$2:$K$1501,0))&amp;" СУ"&amp;IF(INDEX(Квартиры!$I$2:$I$1501,MATCH($A29*1000+3,Квартиры!$K$2:$K$1501,0))&gt;0," +У","")&amp;IF(INDEX(Квартиры!$J$2:$J$1501,MATCH($A29*1000+3,Квартиры!$K$2:$K$1501,0))&gt;0," +Г",""),"-"))</f>
        <v/>
      </c>
      <c r="F29">
        <f>IF($A29="","",IFERROR(IF(Настройки!$B$4="да",INDEX(Квартиры!$D$2:$D$1501,MATCH($A29*1000+4,Квартиры!$K$2:$K$1501,0))&amp;" / ","")&amp;INDEX(Квартиры!$H$2:$H$1501,MATCH($A29*1000+4,Квартиры!$K$2:$K$1501,0))&amp;" СУ"&amp;IF(INDEX(Квартиры!$I$2:$I$1501,MATCH($A29*1000+4,Квартиры!$K$2:$K$1501,0))&gt;0," +У","")&amp;IF(INDEX(Квартиры!$J$2:$J$1501,MATCH($A29*1000+4,Квартиры!$K$2:$K$1501,0))&gt;0," +Г",""),"-"))</f>
        <v/>
      </c>
      <c r="G29">
        <f>IF($A29="","",IFERROR(IF(Настройки!$B$4="да",INDEX(Квартиры!$D$2:$D$1501,MATCH($A29*1000+5,Квартиры!$K$2:$K$1501,0))&amp;" / ","")&amp;INDEX(Квартиры!$H$2:$H$1501,MATCH($A29*1000+5,Квартиры!$K$2:$K$1501,0))&amp;" СУ"&amp;IF(INDEX(Квартиры!$I$2:$I$1501,MATCH($A29*1000+5,Квартиры!$K$2:$K$1501,0))&gt;0," +У","")&amp;IF(INDEX(Квартиры!$J$2:$J$1501,MATCH($A29*1000+5,Квартиры!$K$2:$K$1501,0))&gt;0," +Г",""),"-"))</f>
        <v/>
      </c>
      <c r="H29">
        <f>IF($A29="","",IFERROR(IF(Настройки!$B$4="да",INDEX(Квартиры!$D$2:$D$1501,MATCH($A29*1000+6,Квартиры!$K$2:$K$1501,0))&amp;" / ","")&amp;INDEX(Квартиры!$H$2:$H$1501,MATCH($A29*1000+6,Квартиры!$K$2:$K$1501,0))&amp;" СУ"&amp;IF(INDEX(Квартиры!$I$2:$I$1501,MATCH($A29*1000+6,Квартиры!$K$2:$K$1501,0))&gt;0," +У","")&amp;IF(INDEX(Квартиры!$J$2:$J$1501,MATCH($A29*1000+6,Квартиры!$K$2:$K$1501,0))&gt;0," +Г",""),"-"))</f>
        <v/>
      </c>
      <c r="I29">
        <f>IF($A29="","",IFERROR(IF(Настройки!$B$4="да",INDEX(Квартиры!$D$2:$D$1501,MATCH($A29*1000+7,Квартиры!$K$2:$K$1501,0))&amp;" / ","")&amp;INDEX(Квартиры!$H$2:$H$1501,MATCH($A29*1000+7,Квартиры!$K$2:$K$1501,0))&amp;" СУ"&amp;IF(INDEX(Квартиры!$I$2:$I$1501,MATCH($A29*1000+7,Квартиры!$K$2:$K$1501,0))&gt;0," +У","")&amp;IF(INDEX(Квартиры!$J$2:$J$1501,MATCH($A29*1000+7,Квартиры!$K$2:$K$1501,0))&gt;0," +Г",""),"-"))</f>
        <v/>
      </c>
      <c r="J29">
        <f>IF($A29="","",IFERROR(IF(Настройки!$B$4="да",INDEX(Квартиры!$D$2:$D$1501,MATCH($A29*1000+8,Квартиры!$K$2:$K$1501,0))&amp;" / ","")&amp;INDEX(Квартиры!$H$2:$H$1501,MATCH($A29*1000+8,Квартиры!$K$2:$K$1501,0))&amp;" СУ"&amp;IF(INDEX(Квартиры!$I$2:$I$1501,MATCH($A29*1000+8,Квартиры!$K$2:$K$1501,0))&gt;0," +У","")&amp;IF(INDEX(Квартиры!$J$2:$J$1501,MATCH($A29*1000+8,Квартиры!$K$2:$K$1501,0))&gt;0," +Г",""),"-"))</f>
        <v/>
      </c>
      <c r="K29">
        <f>IF($A29="","",IFERROR(IF(Настройки!$B$4="да",INDEX(Квартиры!$D$2:$D$1501,MATCH($A29*1000+9,Квартиры!$K$2:$K$1501,0))&amp;" / ","")&amp;INDEX(Квартиры!$H$2:$H$1501,MATCH($A29*1000+9,Квартиры!$K$2:$K$1501,0))&amp;" СУ"&amp;IF(INDEX(Квартиры!$I$2:$I$1501,MATCH($A29*1000+9,Квартиры!$K$2:$K$1501,0))&gt;0," +У","")&amp;IF(INDEX(Квартиры!$J$2:$J$1501,MATCH($A29*1000+9,Квартиры!$K$2:$K$1501,0))&gt;0," +Г",""),"-"))</f>
        <v/>
      </c>
      <c r="L29">
        <f>IF($A29="","",IFERROR(IF(Настройки!$B$4="да",INDEX(Квартиры!$D$2:$D$1501,MATCH($A29*1000+10,Квартиры!$K$2:$K$1501,0))&amp;" / ","")&amp;INDEX(Квартиры!$H$2:$H$1501,MATCH($A29*1000+10,Квартиры!$K$2:$K$1501,0))&amp;" СУ"&amp;IF(INDEX(Квартиры!$I$2:$I$1501,MATCH($A29*1000+10,Квартиры!$K$2:$K$1501,0))&gt;0," +У","")&amp;IF(INDEX(Квартиры!$J$2:$J$1501,MATCH($A29*1000+10,Квартиры!$K$2:$K$1501,0))&gt;0," +Г",""),"-"))</f>
        <v/>
      </c>
      <c r="M29">
        <f>IF($A29="","",IFERROR(IF(Настройки!$B$4="да",INDEX(Квартиры!$D$2:$D$1501,MATCH($A29*1000+11,Квартиры!$K$2:$K$1501,0))&amp;" / ","")&amp;INDEX(Квартиры!$H$2:$H$1501,MATCH($A29*1000+11,Квартиры!$K$2:$K$1501,0))&amp;" СУ"&amp;IF(INDEX(Квартиры!$I$2:$I$1501,MATCH($A29*1000+11,Квартиры!$K$2:$K$1501,0))&gt;0," +У","")&amp;IF(INDEX(Квартиры!$J$2:$J$1501,MATCH($A29*1000+11,Квартиры!$K$2:$K$1501,0))&gt;0," +Г",""),"-"))</f>
        <v/>
      </c>
      <c r="N29">
        <f>IF($A29="","",IFERROR(IF(Настройки!$B$4="да",INDEX(Квартиры!$D$2:$D$1501,MATCH($A29*1000+12,Квартиры!$K$2:$K$1501,0))&amp;" / ","")&amp;INDEX(Квартиры!$H$2:$H$1501,MATCH($A29*1000+12,Квартиры!$K$2:$K$1501,0))&amp;" СУ"&amp;IF(INDEX(Квартиры!$I$2:$I$1501,MATCH($A29*1000+12,Квартиры!$K$2:$K$1501,0))&gt;0," +У","")&amp;IF(INDEX(Квартиры!$J$2:$J$1501,MATCH($A29*1000+12,Квартиры!$K$2:$K$1501,0))&gt;0," +Г",""),"-"))</f>
        <v/>
      </c>
      <c r="O29">
        <f>IF($A29="","",IFERROR(IF(Настройки!$B$4="да",INDEX(Квартиры!$D$2:$D$1501,MATCH($A29*1000+13,Квартиры!$K$2:$K$1501,0))&amp;" / ","")&amp;INDEX(Квартиры!$H$2:$H$1501,MATCH($A29*1000+13,Квартиры!$K$2:$K$1501,0))&amp;" СУ"&amp;IF(INDEX(Квартиры!$I$2:$I$1501,MATCH($A29*1000+13,Квартиры!$K$2:$K$1501,0))&gt;0," +У","")&amp;IF(INDEX(Квартиры!$J$2:$J$1501,MATCH($A29*1000+13,Квартиры!$K$2:$K$1501,0))&gt;0," +Г",""),"-"))</f>
        <v/>
      </c>
      <c r="P29">
        <f>IF($A29="","",IFERROR(IF(Настройки!$B$4="да",INDEX(Квартиры!$D$2:$D$1501,MATCH($A29*1000+14,Квартиры!$K$2:$K$1501,0))&amp;" / ","")&amp;INDEX(Квартиры!$H$2:$H$1501,MATCH($A29*1000+14,Квартиры!$K$2:$K$1501,0))&amp;" СУ"&amp;IF(INDEX(Квартиры!$I$2:$I$1501,MATCH($A29*1000+14,Квартиры!$K$2:$K$1501,0))&gt;0," +У","")&amp;IF(INDEX(Квартиры!$J$2:$J$1501,MATCH($A29*1000+14,Квартиры!$K$2:$K$1501,0))&gt;0," +Г",""),"-"))</f>
        <v/>
      </c>
      <c r="Q29">
        <f>IF($A29="","",IFERROR(IF(Настройки!$B$4="да",INDEX(Квартиры!$D$2:$D$1501,MATCH($A29*1000+15,Квартиры!$K$2:$K$1501,0))&amp;" / ","")&amp;INDEX(Квартиры!$H$2:$H$1501,MATCH($A29*1000+15,Квартиры!$K$2:$K$1501,0))&amp;" СУ"&amp;IF(INDEX(Квартиры!$I$2:$I$1501,MATCH($A29*1000+15,Квартиры!$K$2:$K$1501,0))&gt;0," +У","")&amp;IF(INDEX(Квартиры!$J$2:$J$1501,MATCH($A29*1000+15,Квартиры!$K$2:$K$1501,0))&gt;0," +Г",""),"-"))</f>
        <v/>
      </c>
      <c r="R29">
        <f>IF(A29="","",C29&amp;"|"&amp;D29&amp;"|"&amp;E29&amp;"|"&amp;F29&amp;"|"&amp;G29&amp;"|"&amp;H29&amp;"|"&amp;I29&amp;"|"&amp;J29&amp;"|"&amp;K29&amp;"|"&amp;L29&amp;"|"&amp;M29&amp;"|"&amp;N29&amp;"|"&amp;O29&amp;"|"&amp;P29&amp;"|"&amp;Q29)</f>
        <v/>
      </c>
      <c r="S29">
        <f>IF(A29="","",IFERROR(LOOKUP(2,1/(B$2:B28=B29),S$2:S28)&amp;", ","")&amp;A29)</f>
        <v/>
      </c>
      <c r="U29">
        <f>IF(27&gt;MAX(B$3:B$82),"",27)</f>
        <v/>
      </c>
      <c r="V29">
        <f>IF(U29="","",LOOKUP(2,1/(B$3:B$82=U29),S$3:S$82))</f>
        <v/>
      </c>
      <c r="W29">
        <f>IF(U29="","",COUNTIF(B$3:B$82,U29))</f>
        <v/>
      </c>
    </row>
    <row r="30">
      <c r="A30">
        <f>IFERROR(IF(A29="","",SMALL(Квартиры!$B$2:$B$1501,COUNTIF(Квартиры!$B$2:$B$1501,"&lt;="&amp;A29)+1)),"")</f>
        <v/>
      </c>
      <c r="B30">
        <f>IF(A30="","",IF(COUNTIF(R$2:R29,R30)=0,MAX(B$2:B29)+1,INDEX(B$2:B29,MATCH(R30,R$2:R29,0))))</f>
        <v/>
      </c>
      <c r="C30">
        <f>IF($A30="","",IFERROR(IF(Настройки!$B$4="да",INDEX(Квартиры!$D$2:$D$1501,MATCH($A30*1000+1,Квартиры!$K$2:$K$1501,0))&amp;" / ","")&amp;INDEX(Квартиры!$H$2:$H$1501,MATCH($A30*1000+1,Квартиры!$K$2:$K$1501,0))&amp;" СУ"&amp;IF(INDEX(Квартиры!$I$2:$I$1501,MATCH($A30*1000+1,Квартиры!$K$2:$K$1501,0))&gt;0," +У","")&amp;IF(INDEX(Квартиры!$J$2:$J$1501,MATCH($A30*1000+1,Квартиры!$K$2:$K$1501,0))&gt;0," +Г",""),"-"))</f>
        <v/>
      </c>
      <c r="D30">
        <f>IF($A30="","",IFERROR(IF(Настройки!$B$4="да",INDEX(Квартиры!$D$2:$D$1501,MATCH($A30*1000+2,Квартиры!$K$2:$K$1501,0))&amp;" / ","")&amp;INDEX(Квартиры!$H$2:$H$1501,MATCH($A30*1000+2,Квартиры!$K$2:$K$1501,0))&amp;" СУ"&amp;IF(INDEX(Квартиры!$I$2:$I$1501,MATCH($A30*1000+2,Квартиры!$K$2:$K$1501,0))&gt;0," +У","")&amp;IF(INDEX(Квартиры!$J$2:$J$1501,MATCH($A30*1000+2,Квартиры!$K$2:$K$1501,0))&gt;0," +Г",""),"-"))</f>
        <v/>
      </c>
      <c r="E30">
        <f>IF($A30="","",IFERROR(IF(Настройки!$B$4="да",INDEX(Квартиры!$D$2:$D$1501,MATCH($A30*1000+3,Квартиры!$K$2:$K$1501,0))&amp;" / ","")&amp;INDEX(Квартиры!$H$2:$H$1501,MATCH($A30*1000+3,Квартиры!$K$2:$K$1501,0))&amp;" СУ"&amp;IF(INDEX(Квартиры!$I$2:$I$1501,MATCH($A30*1000+3,Квартиры!$K$2:$K$1501,0))&gt;0," +У","")&amp;IF(INDEX(Квартиры!$J$2:$J$1501,MATCH($A30*1000+3,Квартиры!$K$2:$K$1501,0))&gt;0," +Г",""),"-"))</f>
        <v/>
      </c>
      <c r="F30">
        <f>IF($A30="","",IFERROR(IF(Настройки!$B$4="да",INDEX(Квартиры!$D$2:$D$1501,MATCH($A30*1000+4,Квартиры!$K$2:$K$1501,0))&amp;" / ","")&amp;INDEX(Квартиры!$H$2:$H$1501,MATCH($A30*1000+4,Квартиры!$K$2:$K$1501,0))&amp;" СУ"&amp;IF(INDEX(Квартиры!$I$2:$I$1501,MATCH($A30*1000+4,Квартиры!$K$2:$K$1501,0))&gt;0," +У","")&amp;IF(INDEX(Квартиры!$J$2:$J$1501,MATCH($A30*1000+4,Квартиры!$K$2:$K$1501,0))&gt;0," +Г",""),"-"))</f>
        <v/>
      </c>
      <c r="G30">
        <f>IF($A30="","",IFERROR(IF(Настройки!$B$4="да",INDEX(Квартиры!$D$2:$D$1501,MATCH($A30*1000+5,Квартиры!$K$2:$K$1501,0))&amp;" / ","")&amp;INDEX(Квартиры!$H$2:$H$1501,MATCH($A30*1000+5,Квартиры!$K$2:$K$1501,0))&amp;" СУ"&amp;IF(INDEX(Квартиры!$I$2:$I$1501,MATCH($A30*1000+5,Квартиры!$K$2:$K$1501,0))&gt;0," +У","")&amp;IF(INDEX(Квартиры!$J$2:$J$1501,MATCH($A30*1000+5,Квартиры!$K$2:$K$1501,0))&gt;0," +Г",""),"-"))</f>
        <v/>
      </c>
      <c r="H30">
        <f>IF($A30="","",IFERROR(IF(Настройки!$B$4="да",INDEX(Квартиры!$D$2:$D$1501,MATCH($A30*1000+6,Квартиры!$K$2:$K$1501,0))&amp;" / ","")&amp;INDEX(Квартиры!$H$2:$H$1501,MATCH($A30*1000+6,Квартиры!$K$2:$K$1501,0))&amp;" СУ"&amp;IF(INDEX(Квартиры!$I$2:$I$1501,MATCH($A30*1000+6,Квартиры!$K$2:$K$1501,0))&gt;0," +У","")&amp;IF(INDEX(Квартиры!$J$2:$J$1501,MATCH($A30*1000+6,Квартиры!$K$2:$K$1501,0))&gt;0," +Г",""),"-"))</f>
        <v/>
      </c>
      <c r="I30">
        <f>IF($A30="","",IFERROR(IF(Настройки!$B$4="да",INDEX(Квартиры!$D$2:$D$1501,MATCH($A30*1000+7,Квартиры!$K$2:$K$1501,0))&amp;" / ","")&amp;INDEX(Квартиры!$H$2:$H$1501,MATCH($A30*1000+7,Квартиры!$K$2:$K$1501,0))&amp;" СУ"&amp;IF(INDEX(Квартиры!$I$2:$I$1501,MATCH($A30*1000+7,Квартиры!$K$2:$K$1501,0))&gt;0," +У","")&amp;IF(INDEX(Квартиры!$J$2:$J$1501,MATCH($A30*1000+7,Квартиры!$K$2:$K$1501,0))&gt;0," +Г",""),"-"))</f>
        <v/>
      </c>
      <c r="J30">
        <f>IF($A30="","",IFERROR(IF(Настройки!$B$4="да",INDEX(Квартиры!$D$2:$D$1501,MATCH($A30*1000+8,Квартиры!$K$2:$K$1501,0))&amp;" / ","")&amp;INDEX(Квартиры!$H$2:$H$1501,MATCH($A30*1000+8,Квартиры!$K$2:$K$1501,0))&amp;" СУ"&amp;IF(INDEX(Квартиры!$I$2:$I$1501,MATCH($A30*1000+8,Квартиры!$K$2:$K$1501,0))&gt;0," +У","")&amp;IF(INDEX(Квартиры!$J$2:$J$1501,MATCH($A30*1000+8,Квартиры!$K$2:$K$1501,0))&gt;0," +Г",""),"-"))</f>
        <v/>
      </c>
      <c r="K30">
        <f>IF($A30="","",IFERROR(IF(Настройки!$B$4="да",INDEX(Квартиры!$D$2:$D$1501,MATCH($A30*1000+9,Квартиры!$K$2:$K$1501,0))&amp;" / ","")&amp;INDEX(Квартиры!$H$2:$H$1501,MATCH($A30*1000+9,Квартиры!$K$2:$K$1501,0))&amp;" СУ"&amp;IF(INDEX(Квартиры!$I$2:$I$1501,MATCH($A30*1000+9,Квартиры!$K$2:$K$1501,0))&gt;0," +У","")&amp;IF(INDEX(Квартиры!$J$2:$J$1501,MATCH($A30*1000+9,Квартиры!$K$2:$K$1501,0))&gt;0," +Г",""),"-"))</f>
        <v/>
      </c>
      <c r="L30">
        <f>IF($A30="","",IFERROR(IF(Настройки!$B$4="да",INDEX(Квартиры!$D$2:$D$1501,MATCH($A30*1000+10,Квартиры!$K$2:$K$1501,0))&amp;" / ","")&amp;INDEX(Квартиры!$H$2:$H$1501,MATCH($A30*1000+10,Квартиры!$K$2:$K$1501,0))&amp;" СУ"&amp;IF(INDEX(Квартиры!$I$2:$I$1501,MATCH($A30*1000+10,Квартиры!$K$2:$K$1501,0))&gt;0," +У","")&amp;IF(INDEX(Квартиры!$J$2:$J$1501,MATCH($A30*1000+10,Квартиры!$K$2:$K$1501,0))&gt;0," +Г",""),"-"))</f>
        <v/>
      </c>
      <c r="M30">
        <f>IF($A30="","",IFERROR(IF(Настройки!$B$4="да",INDEX(Квартиры!$D$2:$D$1501,MATCH($A30*1000+11,Квартиры!$K$2:$K$1501,0))&amp;" / ","")&amp;INDEX(Квартиры!$H$2:$H$1501,MATCH($A30*1000+11,Квартиры!$K$2:$K$1501,0))&amp;" СУ"&amp;IF(INDEX(Квартиры!$I$2:$I$1501,MATCH($A30*1000+11,Квартиры!$K$2:$K$1501,0))&gt;0," +У","")&amp;IF(INDEX(Квартиры!$J$2:$J$1501,MATCH($A30*1000+11,Квартиры!$K$2:$K$1501,0))&gt;0," +Г",""),"-"))</f>
        <v/>
      </c>
      <c r="N30">
        <f>IF($A30="","",IFERROR(IF(Настройки!$B$4="да",INDEX(Квартиры!$D$2:$D$1501,MATCH($A30*1000+12,Квартиры!$K$2:$K$1501,0))&amp;" / ","")&amp;INDEX(Квартиры!$H$2:$H$1501,MATCH($A30*1000+12,Квартиры!$K$2:$K$1501,0))&amp;" СУ"&amp;IF(INDEX(Квартиры!$I$2:$I$1501,MATCH($A30*1000+12,Квартиры!$K$2:$K$1501,0))&gt;0," +У","")&amp;IF(INDEX(Квартиры!$J$2:$J$1501,MATCH($A30*1000+12,Квартиры!$K$2:$K$1501,0))&gt;0," +Г",""),"-"))</f>
        <v/>
      </c>
      <c r="O30">
        <f>IF($A30="","",IFERROR(IF(Настройки!$B$4="да",INDEX(Квартиры!$D$2:$D$1501,MATCH($A30*1000+13,Квартиры!$K$2:$K$1501,0))&amp;" / ","")&amp;INDEX(Квартиры!$H$2:$H$1501,MATCH($A30*1000+13,Квартиры!$K$2:$K$1501,0))&amp;" СУ"&amp;IF(INDEX(Квартиры!$I$2:$I$1501,MATCH($A30*1000+13,Квартиры!$K$2:$K$1501,0))&gt;0," +У","")&amp;IF(INDEX(Квартиры!$J$2:$J$1501,MATCH($A30*1000+13,Квартиры!$K$2:$K$1501,0))&gt;0," +Г",""),"-"))</f>
        <v/>
      </c>
      <c r="P30">
        <f>IF($A30="","",IFERROR(IF(Настройки!$B$4="да",INDEX(Квартиры!$D$2:$D$1501,MATCH($A30*1000+14,Квартиры!$K$2:$K$1501,0))&amp;" / ","")&amp;INDEX(Квартиры!$H$2:$H$1501,MATCH($A30*1000+14,Квартиры!$K$2:$K$1501,0))&amp;" СУ"&amp;IF(INDEX(Квартиры!$I$2:$I$1501,MATCH($A30*1000+14,Квартиры!$K$2:$K$1501,0))&gt;0," +У","")&amp;IF(INDEX(Квартиры!$J$2:$J$1501,MATCH($A30*1000+14,Квартиры!$K$2:$K$1501,0))&gt;0," +Г",""),"-"))</f>
        <v/>
      </c>
      <c r="Q30">
        <f>IF($A30="","",IFERROR(IF(Настройки!$B$4="да",INDEX(Квартиры!$D$2:$D$1501,MATCH($A30*1000+15,Квартиры!$K$2:$K$1501,0))&amp;" / ","")&amp;INDEX(Квартиры!$H$2:$H$1501,MATCH($A30*1000+15,Квартиры!$K$2:$K$1501,0))&amp;" СУ"&amp;IF(INDEX(Квартиры!$I$2:$I$1501,MATCH($A30*1000+15,Квартиры!$K$2:$K$1501,0))&gt;0," +У","")&amp;IF(INDEX(Квартиры!$J$2:$J$1501,MATCH($A30*1000+15,Квартиры!$K$2:$K$1501,0))&gt;0," +Г",""),"-"))</f>
        <v/>
      </c>
      <c r="R30">
        <f>IF(A30="","",C30&amp;"|"&amp;D30&amp;"|"&amp;E30&amp;"|"&amp;F30&amp;"|"&amp;G30&amp;"|"&amp;H30&amp;"|"&amp;I30&amp;"|"&amp;J30&amp;"|"&amp;K30&amp;"|"&amp;L30&amp;"|"&amp;M30&amp;"|"&amp;N30&amp;"|"&amp;O30&amp;"|"&amp;P30&amp;"|"&amp;Q30)</f>
        <v/>
      </c>
      <c r="S30">
        <f>IF(A30="","",IFERROR(LOOKUP(2,1/(B$2:B29=B30),S$2:S29)&amp;", ","")&amp;A30)</f>
        <v/>
      </c>
      <c r="U30">
        <f>IF(28&gt;MAX(B$3:B$82),"",28)</f>
        <v/>
      </c>
      <c r="V30">
        <f>IF(U30="","",LOOKUP(2,1/(B$3:B$82=U30),S$3:S$82))</f>
        <v/>
      </c>
      <c r="W30">
        <f>IF(U30="","",COUNTIF(B$3:B$82,U30))</f>
        <v/>
      </c>
    </row>
    <row r="31">
      <c r="A31">
        <f>IFERROR(IF(A30="","",SMALL(Квартиры!$B$2:$B$1501,COUNTIF(Квартиры!$B$2:$B$1501,"&lt;="&amp;A30)+1)),"")</f>
        <v/>
      </c>
      <c r="B31">
        <f>IF(A31="","",IF(COUNTIF(R$2:R30,R31)=0,MAX(B$2:B30)+1,INDEX(B$2:B30,MATCH(R31,R$2:R30,0))))</f>
        <v/>
      </c>
      <c r="C31">
        <f>IF($A31="","",IFERROR(IF(Настройки!$B$4="да",INDEX(Квартиры!$D$2:$D$1501,MATCH($A31*1000+1,Квартиры!$K$2:$K$1501,0))&amp;" / ","")&amp;INDEX(Квартиры!$H$2:$H$1501,MATCH($A31*1000+1,Квартиры!$K$2:$K$1501,0))&amp;" СУ"&amp;IF(INDEX(Квартиры!$I$2:$I$1501,MATCH($A31*1000+1,Квартиры!$K$2:$K$1501,0))&gt;0," +У","")&amp;IF(INDEX(Квартиры!$J$2:$J$1501,MATCH($A31*1000+1,Квартиры!$K$2:$K$1501,0))&gt;0," +Г",""),"-"))</f>
        <v/>
      </c>
      <c r="D31">
        <f>IF($A31="","",IFERROR(IF(Настройки!$B$4="да",INDEX(Квартиры!$D$2:$D$1501,MATCH($A31*1000+2,Квартиры!$K$2:$K$1501,0))&amp;" / ","")&amp;INDEX(Квартиры!$H$2:$H$1501,MATCH($A31*1000+2,Квартиры!$K$2:$K$1501,0))&amp;" СУ"&amp;IF(INDEX(Квартиры!$I$2:$I$1501,MATCH($A31*1000+2,Квартиры!$K$2:$K$1501,0))&gt;0," +У","")&amp;IF(INDEX(Квартиры!$J$2:$J$1501,MATCH($A31*1000+2,Квартиры!$K$2:$K$1501,0))&gt;0," +Г",""),"-"))</f>
        <v/>
      </c>
      <c r="E31">
        <f>IF($A31="","",IFERROR(IF(Настройки!$B$4="да",INDEX(Квартиры!$D$2:$D$1501,MATCH($A31*1000+3,Квартиры!$K$2:$K$1501,0))&amp;" / ","")&amp;INDEX(Квартиры!$H$2:$H$1501,MATCH($A31*1000+3,Квартиры!$K$2:$K$1501,0))&amp;" СУ"&amp;IF(INDEX(Квартиры!$I$2:$I$1501,MATCH($A31*1000+3,Квартиры!$K$2:$K$1501,0))&gt;0," +У","")&amp;IF(INDEX(Квартиры!$J$2:$J$1501,MATCH($A31*1000+3,Квартиры!$K$2:$K$1501,0))&gt;0," +Г",""),"-"))</f>
        <v/>
      </c>
      <c r="F31">
        <f>IF($A31="","",IFERROR(IF(Настройки!$B$4="да",INDEX(Квартиры!$D$2:$D$1501,MATCH($A31*1000+4,Квартиры!$K$2:$K$1501,0))&amp;" / ","")&amp;INDEX(Квартиры!$H$2:$H$1501,MATCH($A31*1000+4,Квартиры!$K$2:$K$1501,0))&amp;" СУ"&amp;IF(INDEX(Квартиры!$I$2:$I$1501,MATCH($A31*1000+4,Квартиры!$K$2:$K$1501,0))&gt;0," +У","")&amp;IF(INDEX(Квартиры!$J$2:$J$1501,MATCH($A31*1000+4,Квартиры!$K$2:$K$1501,0))&gt;0," +Г",""),"-"))</f>
        <v/>
      </c>
      <c r="G31">
        <f>IF($A31="","",IFERROR(IF(Настройки!$B$4="да",INDEX(Квартиры!$D$2:$D$1501,MATCH($A31*1000+5,Квартиры!$K$2:$K$1501,0))&amp;" / ","")&amp;INDEX(Квартиры!$H$2:$H$1501,MATCH($A31*1000+5,Квартиры!$K$2:$K$1501,0))&amp;" СУ"&amp;IF(INDEX(Квартиры!$I$2:$I$1501,MATCH($A31*1000+5,Квартиры!$K$2:$K$1501,0))&gt;0," +У","")&amp;IF(INDEX(Квартиры!$J$2:$J$1501,MATCH($A31*1000+5,Квартиры!$K$2:$K$1501,0))&gt;0," +Г",""),"-"))</f>
        <v/>
      </c>
      <c r="H31">
        <f>IF($A31="","",IFERROR(IF(Настройки!$B$4="да",INDEX(Квартиры!$D$2:$D$1501,MATCH($A31*1000+6,Квартиры!$K$2:$K$1501,0))&amp;" / ","")&amp;INDEX(Квартиры!$H$2:$H$1501,MATCH($A31*1000+6,Квартиры!$K$2:$K$1501,0))&amp;" СУ"&amp;IF(INDEX(Квартиры!$I$2:$I$1501,MATCH($A31*1000+6,Квартиры!$K$2:$K$1501,0))&gt;0," +У","")&amp;IF(INDEX(Квартиры!$J$2:$J$1501,MATCH($A31*1000+6,Квартиры!$K$2:$K$1501,0))&gt;0," +Г",""),"-"))</f>
        <v/>
      </c>
      <c r="I31">
        <f>IF($A31="","",IFERROR(IF(Настройки!$B$4="да",INDEX(Квартиры!$D$2:$D$1501,MATCH($A31*1000+7,Квартиры!$K$2:$K$1501,0))&amp;" / ","")&amp;INDEX(Квартиры!$H$2:$H$1501,MATCH($A31*1000+7,Квартиры!$K$2:$K$1501,0))&amp;" СУ"&amp;IF(INDEX(Квартиры!$I$2:$I$1501,MATCH($A31*1000+7,Квартиры!$K$2:$K$1501,0))&gt;0," +У","")&amp;IF(INDEX(Квартиры!$J$2:$J$1501,MATCH($A31*1000+7,Квартиры!$K$2:$K$1501,0))&gt;0," +Г",""),"-"))</f>
        <v/>
      </c>
      <c r="J31">
        <f>IF($A31="","",IFERROR(IF(Настройки!$B$4="да",INDEX(Квартиры!$D$2:$D$1501,MATCH($A31*1000+8,Квартиры!$K$2:$K$1501,0))&amp;" / ","")&amp;INDEX(Квартиры!$H$2:$H$1501,MATCH($A31*1000+8,Квартиры!$K$2:$K$1501,0))&amp;" СУ"&amp;IF(INDEX(Квартиры!$I$2:$I$1501,MATCH($A31*1000+8,Квартиры!$K$2:$K$1501,0))&gt;0," +У","")&amp;IF(INDEX(Квартиры!$J$2:$J$1501,MATCH($A31*1000+8,Квартиры!$K$2:$K$1501,0))&gt;0," +Г",""),"-"))</f>
        <v/>
      </c>
      <c r="K31">
        <f>IF($A31="","",IFERROR(IF(Настройки!$B$4="да",INDEX(Квартиры!$D$2:$D$1501,MATCH($A31*1000+9,Квартиры!$K$2:$K$1501,0))&amp;" / ","")&amp;INDEX(Квартиры!$H$2:$H$1501,MATCH($A31*1000+9,Квартиры!$K$2:$K$1501,0))&amp;" СУ"&amp;IF(INDEX(Квартиры!$I$2:$I$1501,MATCH($A31*1000+9,Квартиры!$K$2:$K$1501,0))&gt;0," +У","")&amp;IF(INDEX(Квартиры!$J$2:$J$1501,MATCH($A31*1000+9,Квартиры!$K$2:$K$1501,0))&gt;0," +Г",""),"-"))</f>
        <v/>
      </c>
      <c r="L31">
        <f>IF($A31="","",IFERROR(IF(Настройки!$B$4="да",INDEX(Квартиры!$D$2:$D$1501,MATCH($A31*1000+10,Квартиры!$K$2:$K$1501,0))&amp;" / ","")&amp;INDEX(Квартиры!$H$2:$H$1501,MATCH($A31*1000+10,Квартиры!$K$2:$K$1501,0))&amp;" СУ"&amp;IF(INDEX(Квартиры!$I$2:$I$1501,MATCH($A31*1000+10,Квартиры!$K$2:$K$1501,0))&gt;0," +У","")&amp;IF(INDEX(Квартиры!$J$2:$J$1501,MATCH($A31*1000+10,Квартиры!$K$2:$K$1501,0))&gt;0," +Г",""),"-"))</f>
        <v/>
      </c>
      <c r="M31">
        <f>IF($A31="","",IFERROR(IF(Настройки!$B$4="да",INDEX(Квартиры!$D$2:$D$1501,MATCH($A31*1000+11,Квартиры!$K$2:$K$1501,0))&amp;" / ","")&amp;INDEX(Квартиры!$H$2:$H$1501,MATCH($A31*1000+11,Квартиры!$K$2:$K$1501,0))&amp;" СУ"&amp;IF(INDEX(Квартиры!$I$2:$I$1501,MATCH($A31*1000+11,Квартиры!$K$2:$K$1501,0))&gt;0," +У","")&amp;IF(INDEX(Квартиры!$J$2:$J$1501,MATCH($A31*1000+11,Квартиры!$K$2:$K$1501,0))&gt;0," +Г",""),"-"))</f>
        <v/>
      </c>
      <c r="N31">
        <f>IF($A31="","",IFERROR(IF(Настройки!$B$4="да",INDEX(Квартиры!$D$2:$D$1501,MATCH($A31*1000+12,Квартиры!$K$2:$K$1501,0))&amp;" / ","")&amp;INDEX(Квартиры!$H$2:$H$1501,MATCH($A31*1000+12,Квартиры!$K$2:$K$1501,0))&amp;" СУ"&amp;IF(INDEX(Квартиры!$I$2:$I$1501,MATCH($A31*1000+12,Квартиры!$K$2:$K$1501,0))&gt;0," +У","")&amp;IF(INDEX(Квартиры!$J$2:$J$1501,MATCH($A31*1000+12,Квартиры!$K$2:$K$1501,0))&gt;0," +Г",""),"-"))</f>
        <v/>
      </c>
      <c r="O31">
        <f>IF($A31="","",IFERROR(IF(Настройки!$B$4="да",INDEX(Квартиры!$D$2:$D$1501,MATCH($A31*1000+13,Квартиры!$K$2:$K$1501,0))&amp;" / ","")&amp;INDEX(Квартиры!$H$2:$H$1501,MATCH($A31*1000+13,Квартиры!$K$2:$K$1501,0))&amp;" СУ"&amp;IF(INDEX(Квартиры!$I$2:$I$1501,MATCH($A31*1000+13,Квартиры!$K$2:$K$1501,0))&gt;0," +У","")&amp;IF(INDEX(Квартиры!$J$2:$J$1501,MATCH($A31*1000+13,Квартиры!$K$2:$K$1501,0))&gt;0," +Г",""),"-"))</f>
        <v/>
      </c>
      <c r="P31">
        <f>IF($A31="","",IFERROR(IF(Настройки!$B$4="да",INDEX(Квартиры!$D$2:$D$1501,MATCH($A31*1000+14,Квартиры!$K$2:$K$1501,0))&amp;" / ","")&amp;INDEX(Квартиры!$H$2:$H$1501,MATCH($A31*1000+14,Квартиры!$K$2:$K$1501,0))&amp;" СУ"&amp;IF(INDEX(Квартиры!$I$2:$I$1501,MATCH($A31*1000+14,Квартиры!$K$2:$K$1501,0))&gt;0," +У","")&amp;IF(INDEX(Квартиры!$J$2:$J$1501,MATCH($A31*1000+14,Квартиры!$K$2:$K$1501,0))&gt;0," +Г",""),"-"))</f>
        <v/>
      </c>
      <c r="Q31">
        <f>IF($A31="","",IFERROR(IF(Настройки!$B$4="да",INDEX(Квартиры!$D$2:$D$1501,MATCH($A31*1000+15,Квартиры!$K$2:$K$1501,0))&amp;" / ","")&amp;INDEX(Квартиры!$H$2:$H$1501,MATCH($A31*1000+15,Квартиры!$K$2:$K$1501,0))&amp;" СУ"&amp;IF(INDEX(Квартиры!$I$2:$I$1501,MATCH($A31*1000+15,Квартиры!$K$2:$K$1501,0))&gt;0," +У","")&amp;IF(INDEX(Квартиры!$J$2:$J$1501,MATCH($A31*1000+15,Квартиры!$K$2:$K$1501,0))&gt;0," +Г",""),"-"))</f>
        <v/>
      </c>
      <c r="R31">
        <f>IF(A31="","",C31&amp;"|"&amp;D31&amp;"|"&amp;E31&amp;"|"&amp;F31&amp;"|"&amp;G31&amp;"|"&amp;H31&amp;"|"&amp;I31&amp;"|"&amp;J31&amp;"|"&amp;K31&amp;"|"&amp;L31&amp;"|"&amp;M31&amp;"|"&amp;N31&amp;"|"&amp;O31&amp;"|"&amp;P31&amp;"|"&amp;Q31)</f>
        <v/>
      </c>
      <c r="S31">
        <f>IF(A31="","",IFERROR(LOOKUP(2,1/(B$2:B30=B31),S$2:S30)&amp;", ","")&amp;A31)</f>
        <v/>
      </c>
      <c r="U31">
        <f>IF(29&gt;MAX(B$3:B$82),"",29)</f>
        <v/>
      </c>
      <c r="V31">
        <f>IF(U31="","",LOOKUP(2,1/(B$3:B$82=U31),S$3:S$82))</f>
        <v/>
      </c>
      <c r="W31">
        <f>IF(U31="","",COUNTIF(B$3:B$82,U31))</f>
        <v/>
      </c>
    </row>
    <row r="32">
      <c r="A32">
        <f>IFERROR(IF(A31="","",SMALL(Квартиры!$B$2:$B$1501,COUNTIF(Квартиры!$B$2:$B$1501,"&lt;="&amp;A31)+1)),"")</f>
        <v/>
      </c>
      <c r="B32">
        <f>IF(A32="","",IF(COUNTIF(R$2:R31,R32)=0,MAX(B$2:B31)+1,INDEX(B$2:B31,MATCH(R32,R$2:R31,0))))</f>
        <v/>
      </c>
      <c r="C32">
        <f>IF($A32="","",IFERROR(IF(Настройки!$B$4="да",INDEX(Квартиры!$D$2:$D$1501,MATCH($A32*1000+1,Квартиры!$K$2:$K$1501,0))&amp;" / ","")&amp;INDEX(Квартиры!$H$2:$H$1501,MATCH($A32*1000+1,Квартиры!$K$2:$K$1501,0))&amp;" СУ"&amp;IF(INDEX(Квартиры!$I$2:$I$1501,MATCH($A32*1000+1,Квартиры!$K$2:$K$1501,0))&gt;0," +У","")&amp;IF(INDEX(Квартиры!$J$2:$J$1501,MATCH($A32*1000+1,Квартиры!$K$2:$K$1501,0))&gt;0," +Г",""),"-"))</f>
        <v/>
      </c>
      <c r="D32">
        <f>IF($A32="","",IFERROR(IF(Настройки!$B$4="да",INDEX(Квартиры!$D$2:$D$1501,MATCH($A32*1000+2,Квартиры!$K$2:$K$1501,0))&amp;" / ","")&amp;INDEX(Квартиры!$H$2:$H$1501,MATCH($A32*1000+2,Квартиры!$K$2:$K$1501,0))&amp;" СУ"&amp;IF(INDEX(Квартиры!$I$2:$I$1501,MATCH($A32*1000+2,Квартиры!$K$2:$K$1501,0))&gt;0," +У","")&amp;IF(INDEX(Квартиры!$J$2:$J$1501,MATCH($A32*1000+2,Квартиры!$K$2:$K$1501,0))&gt;0," +Г",""),"-"))</f>
        <v/>
      </c>
      <c r="E32">
        <f>IF($A32="","",IFERROR(IF(Настройки!$B$4="да",INDEX(Квартиры!$D$2:$D$1501,MATCH($A32*1000+3,Квартиры!$K$2:$K$1501,0))&amp;" / ","")&amp;INDEX(Квартиры!$H$2:$H$1501,MATCH($A32*1000+3,Квартиры!$K$2:$K$1501,0))&amp;" СУ"&amp;IF(INDEX(Квартиры!$I$2:$I$1501,MATCH($A32*1000+3,Квартиры!$K$2:$K$1501,0))&gt;0," +У","")&amp;IF(INDEX(Квартиры!$J$2:$J$1501,MATCH($A32*1000+3,Квартиры!$K$2:$K$1501,0))&gt;0," +Г",""),"-"))</f>
        <v/>
      </c>
      <c r="F32">
        <f>IF($A32="","",IFERROR(IF(Настройки!$B$4="да",INDEX(Квартиры!$D$2:$D$1501,MATCH($A32*1000+4,Квартиры!$K$2:$K$1501,0))&amp;" / ","")&amp;INDEX(Квартиры!$H$2:$H$1501,MATCH($A32*1000+4,Квартиры!$K$2:$K$1501,0))&amp;" СУ"&amp;IF(INDEX(Квартиры!$I$2:$I$1501,MATCH($A32*1000+4,Квартиры!$K$2:$K$1501,0))&gt;0," +У","")&amp;IF(INDEX(Квартиры!$J$2:$J$1501,MATCH($A32*1000+4,Квартиры!$K$2:$K$1501,0))&gt;0," +Г",""),"-"))</f>
        <v/>
      </c>
      <c r="G32">
        <f>IF($A32="","",IFERROR(IF(Настройки!$B$4="да",INDEX(Квартиры!$D$2:$D$1501,MATCH($A32*1000+5,Квартиры!$K$2:$K$1501,0))&amp;" / ","")&amp;INDEX(Квартиры!$H$2:$H$1501,MATCH($A32*1000+5,Квартиры!$K$2:$K$1501,0))&amp;" СУ"&amp;IF(INDEX(Квартиры!$I$2:$I$1501,MATCH($A32*1000+5,Квартиры!$K$2:$K$1501,0))&gt;0," +У","")&amp;IF(INDEX(Квартиры!$J$2:$J$1501,MATCH($A32*1000+5,Квартиры!$K$2:$K$1501,0))&gt;0," +Г",""),"-"))</f>
        <v/>
      </c>
      <c r="H32">
        <f>IF($A32="","",IFERROR(IF(Настройки!$B$4="да",INDEX(Квартиры!$D$2:$D$1501,MATCH($A32*1000+6,Квартиры!$K$2:$K$1501,0))&amp;" / ","")&amp;INDEX(Квартиры!$H$2:$H$1501,MATCH($A32*1000+6,Квартиры!$K$2:$K$1501,0))&amp;" СУ"&amp;IF(INDEX(Квартиры!$I$2:$I$1501,MATCH($A32*1000+6,Квартиры!$K$2:$K$1501,0))&gt;0," +У","")&amp;IF(INDEX(Квартиры!$J$2:$J$1501,MATCH($A32*1000+6,Квартиры!$K$2:$K$1501,0))&gt;0," +Г",""),"-"))</f>
        <v/>
      </c>
      <c r="I32">
        <f>IF($A32="","",IFERROR(IF(Настройки!$B$4="да",INDEX(Квартиры!$D$2:$D$1501,MATCH($A32*1000+7,Квартиры!$K$2:$K$1501,0))&amp;" / ","")&amp;INDEX(Квартиры!$H$2:$H$1501,MATCH($A32*1000+7,Квартиры!$K$2:$K$1501,0))&amp;" СУ"&amp;IF(INDEX(Квартиры!$I$2:$I$1501,MATCH($A32*1000+7,Квартиры!$K$2:$K$1501,0))&gt;0," +У","")&amp;IF(INDEX(Квартиры!$J$2:$J$1501,MATCH($A32*1000+7,Квартиры!$K$2:$K$1501,0))&gt;0," +Г",""),"-"))</f>
        <v/>
      </c>
      <c r="J32">
        <f>IF($A32="","",IFERROR(IF(Настройки!$B$4="да",INDEX(Квартиры!$D$2:$D$1501,MATCH($A32*1000+8,Квартиры!$K$2:$K$1501,0))&amp;" / ","")&amp;INDEX(Квартиры!$H$2:$H$1501,MATCH($A32*1000+8,Квартиры!$K$2:$K$1501,0))&amp;" СУ"&amp;IF(INDEX(Квартиры!$I$2:$I$1501,MATCH($A32*1000+8,Квартиры!$K$2:$K$1501,0))&gt;0," +У","")&amp;IF(INDEX(Квартиры!$J$2:$J$1501,MATCH($A32*1000+8,Квартиры!$K$2:$K$1501,0))&gt;0," +Г",""),"-"))</f>
        <v/>
      </c>
      <c r="K32">
        <f>IF($A32="","",IFERROR(IF(Настройки!$B$4="да",INDEX(Квартиры!$D$2:$D$1501,MATCH($A32*1000+9,Квартиры!$K$2:$K$1501,0))&amp;" / ","")&amp;INDEX(Квартиры!$H$2:$H$1501,MATCH($A32*1000+9,Квартиры!$K$2:$K$1501,0))&amp;" СУ"&amp;IF(INDEX(Квартиры!$I$2:$I$1501,MATCH($A32*1000+9,Квартиры!$K$2:$K$1501,0))&gt;0," +У","")&amp;IF(INDEX(Квартиры!$J$2:$J$1501,MATCH($A32*1000+9,Квартиры!$K$2:$K$1501,0))&gt;0," +Г",""),"-"))</f>
        <v/>
      </c>
      <c r="L32">
        <f>IF($A32="","",IFERROR(IF(Настройки!$B$4="да",INDEX(Квартиры!$D$2:$D$1501,MATCH($A32*1000+10,Квартиры!$K$2:$K$1501,0))&amp;" / ","")&amp;INDEX(Квартиры!$H$2:$H$1501,MATCH($A32*1000+10,Квартиры!$K$2:$K$1501,0))&amp;" СУ"&amp;IF(INDEX(Квартиры!$I$2:$I$1501,MATCH($A32*1000+10,Квартиры!$K$2:$K$1501,0))&gt;0," +У","")&amp;IF(INDEX(Квартиры!$J$2:$J$1501,MATCH($A32*1000+10,Квартиры!$K$2:$K$1501,0))&gt;0," +Г",""),"-"))</f>
        <v/>
      </c>
      <c r="M32">
        <f>IF($A32="","",IFERROR(IF(Настройки!$B$4="да",INDEX(Квартиры!$D$2:$D$1501,MATCH($A32*1000+11,Квартиры!$K$2:$K$1501,0))&amp;" / ","")&amp;INDEX(Квартиры!$H$2:$H$1501,MATCH($A32*1000+11,Квартиры!$K$2:$K$1501,0))&amp;" СУ"&amp;IF(INDEX(Квартиры!$I$2:$I$1501,MATCH($A32*1000+11,Квартиры!$K$2:$K$1501,0))&gt;0," +У","")&amp;IF(INDEX(Квартиры!$J$2:$J$1501,MATCH($A32*1000+11,Квартиры!$K$2:$K$1501,0))&gt;0," +Г",""),"-"))</f>
        <v/>
      </c>
      <c r="N32">
        <f>IF($A32="","",IFERROR(IF(Настройки!$B$4="да",INDEX(Квартиры!$D$2:$D$1501,MATCH($A32*1000+12,Квартиры!$K$2:$K$1501,0))&amp;" / ","")&amp;INDEX(Квартиры!$H$2:$H$1501,MATCH($A32*1000+12,Квартиры!$K$2:$K$1501,0))&amp;" СУ"&amp;IF(INDEX(Квартиры!$I$2:$I$1501,MATCH($A32*1000+12,Квартиры!$K$2:$K$1501,0))&gt;0," +У","")&amp;IF(INDEX(Квартиры!$J$2:$J$1501,MATCH($A32*1000+12,Квартиры!$K$2:$K$1501,0))&gt;0," +Г",""),"-"))</f>
        <v/>
      </c>
      <c r="O32">
        <f>IF($A32="","",IFERROR(IF(Настройки!$B$4="да",INDEX(Квартиры!$D$2:$D$1501,MATCH($A32*1000+13,Квартиры!$K$2:$K$1501,0))&amp;" / ","")&amp;INDEX(Квартиры!$H$2:$H$1501,MATCH($A32*1000+13,Квартиры!$K$2:$K$1501,0))&amp;" СУ"&amp;IF(INDEX(Квартиры!$I$2:$I$1501,MATCH($A32*1000+13,Квартиры!$K$2:$K$1501,0))&gt;0," +У","")&amp;IF(INDEX(Квартиры!$J$2:$J$1501,MATCH($A32*1000+13,Квартиры!$K$2:$K$1501,0))&gt;0," +Г",""),"-"))</f>
        <v/>
      </c>
      <c r="P32">
        <f>IF($A32="","",IFERROR(IF(Настройки!$B$4="да",INDEX(Квартиры!$D$2:$D$1501,MATCH($A32*1000+14,Квартиры!$K$2:$K$1501,0))&amp;" / ","")&amp;INDEX(Квартиры!$H$2:$H$1501,MATCH($A32*1000+14,Квартиры!$K$2:$K$1501,0))&amp;" СУ"&amp;IF(INDEX(Квартиры!$I$2:$I$1501,MATCH($A32*1000+14,Квартиры!$K$2:$K$1501,0))&gt;0," +У","")&amp;IF(INDEX(Квартиры!$J$2:$J$1501,MATCH($A32*1000+14,Квартиры!$K$2:$K$1501,0))&gt;0," +Г",""),"-"))</f>
        <v/>
      </c>
      <c r="Q32">
        <f>IF($A32="","",IFERROR(IF(Настройки!$B$4="да",INDEX(Квартиры!$D$2:$D$1501,MATCH($A32*1000+15,Квартиры!$K$2:$K$1501,0))&amp;" / ","")&amp;INDEX(Квартиры!$H$2:$H$1501,MATCH($A32*1000+15,Квартиры!$K$2:$K$1501,0))&amp;" СУ"&amp;IF(INDEX(Квартиры!$I$2:$I$1501,MATCH($A32*1000+15,Квартиры!$K$2:$K$1501,0))&gt;0," +У","")&amp;IF(INDEX(Квартиры!$J$2:$J$1501,MATCH($A32*1000+15,Квартиры!$K$2:$K$1501,0))&gt;0," +Г",""),"-"))</f>
        <v/>
      </c>
      <c r="R32">
        <f>IF(A32="","",C32&amp;"|"&amp;D32&amp;"|"&amp;E32&amp;"|"&amp;F32&amp;"|"&amp;G32&amp;"|"&amp;H32&amp;"|"&amp;I32&amp;"|"&amp;J32&amp;"|"&amp;K32&amp;"|"&amp;L32&amp;"|"&amp;M32&amp;"|"&amp;N32&amp;"|"&amp;O32&amp;"|"&amp;P32&amp;"|"&amp;Q32)</f>
        <v/>
      </c>
      <c r="S32">
        <f>IF(A32="","",IFERROR(LOOKUP(2,1/(B$2:B31=B32),S$2:S31)&amp;", ","")&amp;A32)</f>
        <v/>
      </c>
      <c r="U32">
        <f>IF(30&gt;MAX(B$3:B$82),"",30)</f>
        <v/>
      </c>
      <c r="V32">
        <f>IF(U32="","",LOOKUP(2,1/(B$3:B$82=U32),S$3:S$82))</f>
        <v/>
      </c>
      <c r="W32">
        <f>IF(U32="","",COUNTIF(B$3:B$82,U32))</f>
        <v/>
      </c>
    </row>
    <row r="33">
      <c r="A33">
        <f>IFERROR(IF(A32="","",SMALL(Квартиры!$B$2:$B$1501,COUNTIF(Квартиры!$B$2:$B$1501,"&lt;="&amp;A32)+1)),"")</f>
        <v/>
      </c>
      <c r="B33">
        <f>IF(A33="","",IF(COUNTIF(R$2:R32,R33)=0,MAX(B$2:B32)+1,INDEX(B$2:B32,MATCH(R33,R$2:R32,0))))</f>
        <v/>
      </c>
      <c r="C33">
        <f>IF($A33="","",IFERROR(IF(Настройки!$B$4="да",INDEX(Квартиры!$D$2:$D$1501,MATCH($A33*1000+1,Квартиры!$K$2:$K$1501,0))&amp;" / ","")&amp;INDEX(Квартиры!$H$2:$H$1501,MATCH($A33*1000+1,Квартиры!$K$2:$K$1501,0))&amp;" СУ"&amp;IF(INDEX(Квартиры!$I$2:$I$1501,MATCH($A33*1000+1,Квартиры!$K$2:$K$1501,0))&gt;0," +У","")&amp;IF(INDEX(Квартиры!$J$2:$J$1501,MATCH($A33*1000+1,Квартиры!$K$2:$K$1501,0))&gt;0," +Г",""),"-"))</f>
        <v/>
      </c>
      <c r="D33">
        <f>IF($A33="","",IFERROR(IF(Настройки!$B$4="да",INDEX(Квартиры!$D$2:$D$1501,MATCH($A33*1000+2,Квартиры!$K$2:$K$1501,0))&amp;" / ","")&amp;INDEX(Квартиры!$H$2:$H$1501,MATCH($A33*1000+2,Квартиры!$K$2:$K$1501,0))&amp;" СУ"&amp;IF(INDEX(Квартиры!$I$2:$I$1501,MATCH($A33*1000+2,Квартиры!$K$2:$K$1501,0))&gt;0," +У","")&amp;IF(INDEX(Квартиры!$J$2:$J$1501,MATCH($A33*1000+2,Квартиры!$K$2:$K$1501,0))&gt;0," +Г",""),"-"))</f>
        <v/>
      </c>
      <c r="E33">
        <f>IF($A33="","",IFERROR(IF(Настройки!$B$4="да",INDEX(Квартиры!$D$2:$D$1501,MATCH($A33*1000+3,Квартиры!$K$2:$K$1501,0))&amp;" / ","")&amp;INDEX(Квартиры!$H$2:$H$1501,MATCH($A33*1000+3,Квартиры!$K$2:$K$1501,0))&amp;" СУ"&amp;IF(INDEX(Квартиры!$I$2:$I$1501,MATCH($A33*1000+3,Квартиры!$K$2:$K$1501,0))&gt;0," +У","")&amp;IF(INDEX(Квартиры!$J$2:$J$1501,MATCH($A33*1000+3,Квартиры!$K$2:$K$1501,0))&gt;0," +Г",""),"-"))</f>
        <v/>
      </c>
      <c r="F33">
        <f>IF($A33="","",IFERROR(IF(Настройки!$B$4="да",INDEX(Квартиры!$D$2:$D$1501,MATCH($A33*1000+4,Квартиры!$K$2:$K$1501,0))&amp;" / ","")&amp;INDEX(Квартиры!$H$2:$H$1501,MATCH($A33*1000+4,Квартиры!$K$2:$K$1501,0))&amp;" СУ"&amp;IF(INDEX(Квартиры!$I$2:$I$1501,MATCH($A33*1000+4,Квартиры!$K$2:$K$1501,0))&gt;0," +У","")&amp;IF(INDEX(Квартиры!$J$2:$J$1501,MATCH($A33*1000+4,Квартиры!$K$2:$K$1501,0))&gt;0," +Г",""),"-"))</f>
        <v/>
      </c>
      <c r="G33">
        <f>IF($A33="","",IFERROR(IF(Настройки!$B$4="да",INDEX(Квартиры!$D$2:$D$1501,MATCH($A33*1000+5,Квартиры!$K$2:$K$1501,0))&amp;" / ","")&amp;INDEX(Квартиры!$H$2:$H$1501,MATCH($A33*1000+5,Квартиры!$K$2:$K$1501,0))&amp;" СУ"&amp;IF(INDEX(Квартиры!$I$2:$I$1501,MATCH($A33*1000+5,Квартиры!$K$2:$K$1501,0))&gt;0," +У","")&amp;IF(INDEX(Квартиры!$J$2:$J$1501,MATCH($A33*1000+5,Квартиры!$K$2:$K$1501,0))&gt;0," +Г",""),"-"))</f>
        <v/>
      </c>
      <c r="H33">
        <f>IF($A33="","",IFERROR(IF(Настройки!$B$4="да",INDEX(Квартиры!$D$2:$D$1501,MATCH($A33*1000+6,Квартиры!$K$2:$K$1501,0))&amp;" / ","")&amp;INDEX(Квартиры!$H$2:$H$1501,MATCH($A33*1000+6,Квартиры!$K$2:$K$1501,0))&amp;" СУ"&amp;IF(INDEX(Квартиры!$I$2:$I$1501,MATCH($A33*1000+6,Квартиры!$K$2:$K$1501,0))&gt;0," +У","")&amp;IF(INDEX(Квартиры!$J$2:$J$1501,MATCH($A33*1000+6,Квартиры!$K$2:$K$1501,0))&gt;0," +Г",""),"-"))</f>
        <v/>
      </c>
      <c r="I33">
        <f>IF($A33="","",IFERROR(IF(Настройки!$B$4="да",INDEX(Квартиры!$D$2:$D$1501,MATCH($A33*1000+7,Квартиры!$K$2:$K$1501,0))&amp;" / ","")&amp;INDEX(Квартиры!$H$2:$H$1501,MATCH($A33*1000+7,Квартиры!$K$2:$K$1501,0))&amp;" СУ"&amp;IF(INDEX(Квартиры!$I$2:$I$1501,MATCH($A33*1000+7,Квартиры!$K$2:$K$1501,0))&gt;0," +У","")&amp;IF(INDEX(Квартиры!$J$2:$J$1501,MATCH($A33*1000+7,Квартиры!$K$2:$K$1501,0))&gt;0," +Г",""),"-"))</f>
        <v/>
      </c>
      <c r="J33">
        <f>IF($A33="","",IFERROR(IF(Настройки!$B$4="да",INDEX(Квартиры!$D$2:$D$1501,MATCH($A33*1000+8,Квартиры!$K$2:$K$1501,0))&amp;" / ","")&amp;INDEX(Квартиры!$H$2:$H$1501,MATCH($A33*1000+8,Квартиры!$K$2:$K$1501,0))&amp;" СУ"&amp;IF(INDEX(Квартиры!$I$2:$I$1501,MATCH($A33*1000+8,Квартиры!$K$2:$K$1501,0))&gt;0," +У","")&amp;IF(INDEX(Квартиры!$J$2:$J$1501,MATCH($A33*1000+8,Квартиры!$K$2:$K$1501,0))&gt;0," +Г",""),"-"))</f>
        <v/>
      </c>
      <c r="K33">
        <f>IF($A33="","",IFERROR(IF(Настройки!$B$4="да",INDEX(Квартиры!$D$2:$D$1501,MATCH($A33*1000+9,Квартиры!$K$2:$K$1501,0))&amp;" / ","")&amp;INDEX(Квартиры!$H$2:$H$1501,MATCH($A33*1000+9,Квартиры!$K$2:$K$1501,0))&amp;" СУ"&amp;IF(INDEX(Квартиры!$I$2:$I$1501,MATCH($A33*1000+9,Квартиры!$K$2:$K$1501,0))&gt;0," +У","")&amp;IF(INDEX(Квартиры!$J$2:$J$1501,MATCH($A33*1000+9,Квартиры!$K$2:$K$1501,0))&gt;0," +Г",""),"-"))</f>
        <v/>
      </c>
      <c r="L33">
        <f>IF($A33="","",IFERROR(IF(Настройки!$B$4="да",INDEX(Квартиры!$D$2:$D$1501,MATCH($A33*1000+10,Квартиры!$K$2:$K$1501,0))&amp;" / ","")&amp;INDEX(Квартиры!$H$2:$H$1501,MATCH($A33*1000+10,Квартиры!$K$2:$K$1501,0))&amp;" СУ"&amp;IF(INDEX(Квартиры!$I$2:$I$1501,MATCH($A33*1000+10,Квартиры!$K$2:$K$1501,0))&gt;0," +У","")&amp;IF(INDEX(Квартиры!$J$2:$J$1501,MATCH($A33*1000+10,Квартиры!$K$2:$K$1501,0))&gt;0," +Г",""),"-"))</f>
        <v/>
      </c>
      <c r="M33">
        <f>IF($A33="","",IFERROR(IF(Настройки!$B$4="да",INDEX(Квартиры!$D$2:$D$1501,MATCH($A33*1000+11,Квартиры!$K$2:$K$1501,0))&amp;" / ","")&amp;INDEX(Квартиры!$H$2:$H$1501,MATCH($A33*1000+11,Квартиры!$K$2:$K$1501,0))&amp;" СУ"&amp;IF(INDEX(Квартиры!$I$2:$I$1501,MATCH($A33*1000+11,Квартиры!$K$2:$K$1501,0))&gt;0," +У","")&amp;IF(INDEX(Квартиры!$J$2:$J$1501,MATCH($A33*1000+11,Квартиры!$K$2:$K$1501,0))&gt;0," +Г",""),"-"))</f>
        <v/>
      </c>
      <c r="N33">
        <f>IF($A33="","",IFERROR(IF(Настройки!$B$4="да",INDEX(Квартиры!$D$2:$D$1501,MATCH($A33*1000+12,Квартиры!$K$2:$K$1501,0))&amp;" / ","")&amp;INDEX(Квартиры!$H$2:$H$1501,MATCH($A33*1000+12,Квартиры!$K$2:$K$1501,0))&amp;" СУ"&amp;IF(INDEX(Квартиры!$I$2:$I$1501,MATCH($A33*1000+12,Квартиры!$K$2:$K$1501,0))&gt;0," +У","")&amp;IF(INDEX(Квартиры!$J$2:$J$1501,MATCH($A33*1000+12,Квартиры!$K$2:$K$1501,0))&gt;0," +Г",""),"-"))</f>
        <v/>
      </c>
      <c r="O33">
        <f>IF($A33="","",IFERROR(IF(Настройки!$B$4="да",INDEX(Квартиры!$D$2:$D$1501,MATCH($A33*1000+13,Квартиры!$K$2:$K$1501,0))&amp;" / ","")&amp;INDEX(Квартиры!$H$2:$H$1501,MATCH($A33*1000+13,Квартиры!$K$2:$K$1501,0))&amp;" СУ"&amp;IF(INDEX(Квартиры!$I$2:$I$1501,MATCH($A33*1000+13,Квартиры!$K$2:$K$1501,0))&gt;0," +У","")&amp;IF(INDEX(Квартиры!$J$2:$J$1501,MATCH($A33*1000+13,Квартиры!$K$2:$K$1501,0))&gt;0," +Г",""),"-"))</f>
        <v/>
      </c>
      <c r="P33">
        <f>IF($A33="","",IFERROR(IF(Настройки!$B$4="да",INDEX(Квартиры!$D$2:$D$1501,MATCH($A33*1000+14,Квартиры!$K$2:$K$1501,0))&amp;" / ","")&amp;INDEX(Квартиры!$H$2:$H$1501,MATCH($A33*1000+14,Квартиры!$K$2:$K$1501,0))&amp;" СУ"&amp;IF(INDEX(Квартиры!$I$2:$I$1501,MATCH($A33*1000+14,Квартиры!$K$2:$K$1501,0))&gt;0," +У","")&amp;IF(INDEX(Квартиры!$J$2:$J$1501,MATCH($A33*1000+14,Квартиры!$K$2:$K$1501,0))&gt;0," +Г",""),"-"))</f>
        <v/>
      </c>
      <c r="Q33">
        <f>IF($A33="","",IFERROR(IF(Настройки!$B$4="да",INDEX(Квартиры!$D$2:$D$1501,MATCH($A33*1000+15,Квартиры!$K$2:$K$1501,0))&amp;" / ","")&amp;INDEX(Квартиры!$H$2:$H$1501,MATCH($A33*1000+15,Квартиры!$K$2:$K$1501,0))&amp;" СУ"&amp;IF(INDEX(Квартиры!$I$2:$I$1501,MATCH($A33*1000+15,Квартиры!$K$2:$K$1501,0))&gt;0," +У","")&amp;IF(INDEX(Квартиры!$J$2:$J$1501,MATCH($A33*1000+15,Квартиры!$K$2:$K$1501,0))&gt;0," +Г",""),"-"))</f>
        <v/>
      </c>
      <c r="R33">
        <f>IF(A33="","",C33&amp;"|"&amp;D33&amp;"|"&amp;E33&amp;"|"&amp;F33&amp;"|"&amp;G33&amp;"|"&amp;H33&amp;"|"&amp;I33&amp;"|"&amp;J33&amp;"|"&amp;K33&amp;"|"&amp;L33&amp;"|"&amp;M33&amp;"|"&amp;N33&amp;"|"&amp;O33&amp;"|"&amp;P33&amp;"|"&amp;Q33)</f>
        <v/>
      </c>
      <c r="S33">
        <f>IF(A33="","",IFERROR(LOOKUP(2,1/(B$2:B32=B33),S$2:S32)&amp;", ","")&amp;A33)</f>
        <v/>
      </c>
      <c r="U33">
        <f>IF(31&gt;MAX(B$3:B$82),"",31)</f>
        <v/>
      </c>
      <c r="V33">
        <f>IF(U33="","",LOOKUP(2,1/(B$3:B$82=U33),S$3:S$82))</f>
        <v/>
      </c>
      <c r="W33">
        <f>IF(U33="","",COUNTIF(B$3:B$82,U33))</f>
        <v/>
      </c>
    </row>
    <row r="34">
      <c r="A34">
        <f>IFERROR(IF(A33="","",SMALL(Квартиры!$B$2:$B$1501,COUNTIF(Квартиры!$B$2:$B$1501,"&lt;="&amp;A33)+1)),"")</f>
        <v/>
      </c>
      <c r="B34">
        <f>IF(A34="","",IF(COUNTIF(R$2:R33,R34)=0,MAX(B$2:B33)+1,INDEX(B$2:B33,MATCH(R34,R$2:R33,0))))</f>
        <v/>
      </c>
      <c r="C34">
        <f>IF($A34="","",IFERROR(IF(Настройки!$B$4="да",INDEX(Квартиры!$D$2:$D$1501,MATCH($A34*1000+1,Квартиры!$K$2:$K$1501,0))&amp;" / ","")&amp;INDEX(Квартиры!$H$2:$H$1501,MATCH($A34*1000+1,Квартиры!$K$2:$K$1501,0))&amp;" СУ"&amp;IF(INDEX(Квартиры!$I$2:$I$1501,MATCH($A34*1000+1,Квартиры!$K$2:$K$1501,0))&gt;0," +У","")&amp;IF(INDEX(Квартиры!$J$2:$J$1501,MATCH($A34*1000+1,Квартиры!$K$2:$K$1501,0))&gt;0," +Г",""),"-"))</f>
        <v/>
      </c>
      <c r="D34">
        <f>IF($A34="","",IFERROR(IF(Настройки!$B$4="да",INDEX(Квартиры!$D$2:$D$1501,MATCH($A34*1000+2,Квартиры!$K$2:$K$1501,0))&amp;" / ","")&amp;INDEX(Квартиры!$H$2:$H$1501,MATCH($A34*1000+2,Квартиры!$K$2:$K$1501,0))&amp;" СУ"&amp;IF(INDEX(Квартиры!$I$2:$I$1501,MATCH($A34*1000+2,Квартиры!$K$2:$K$1501,0))&gt;0," +У","")&amp;IF(INDEX(Квартиры!$J$2:$J$1501,MATCH($A34*1000+2,Квартиры!$K$2:$K$1501,0))&gt;0," +Г",""),"-"))</f>
        <v/>
      </c>
      <c r="E34">
        <f>IF($A34="","",IFERROR(IF(Настройки!$B$4="да",INDEX(Квартиры!$D$2:$D$1501,MATCH($A34*1000+3,Квартиры!$K$2:$K$1501,0))&amp;" / ","")&amp;INDEX(Квартиры!$H$2:$H$1501,MATCH($A34*1000+3,Квартиры!$K$2:$K$1501,0))&amp;" СУ"&amp;IF(INDEX(Квартиры!$I$2:$I$1501,MATCH($A34*1000+3,Квартиры!$K$2:$K$1501,0))&gt;0," +У","")&amp;IF(INDEX(Квартиры!$J$2:$J$1501,MATCH($A34*1000+3,Квартиры!$K$2:$K$1501,0))&gt;0," +Г",""),"-"))</f>
        <v/>
      </c>
      <c r="F34">
        <f>IF($A34="","",IFERROR(IF(Настройки!$B$4="да",INDEX(Квартиры!$D$2:$D$1501,MATCH($A34*1000+4,Квартиры!$K$2:$K$1501,0))&amp;" / ","")&amp;INDEX(Квартиры!$H$2:$H$1501,MATCH($A34*1000+4,Квартиры!$K$2:$K$1501,0))&amp;" СУ"&amp;IF(INDEX(Квартиры!$I$2:$I$1501,MATCH($A34*1000+4,Квартиры!$K$2:$K$1501,0))&gt;0," +У","")&amp;IF(INDEX(Квартиры!$J$2:$J$1501,MATCH($A34*1000+4,Квартиры!$K$2:$K$1501,0))&gt;0," +Г",""),"-"))</f>
        <v/>
      </c>
      <c r="G34">
        <f>IF($A34="","",IFERROR(IF(Настройки!$B$4="да",INDEX(Квартиры!$D$2:$D$1501,MATCH($A34*1000+5,Квартиры!$K$2:$K$1501,0))&amp;" / ","")&amp;INDEX(Квартиры!$H$2:$H$1501,MATCH($A34*1000+5,Квартиры!$K$2:$K$1501,0))&amp;" СУ"&amp;IF(INDEX(Квартиры!$I$2:$I$1501,MATCH($A34*1000+5,Квартиры!$K$2:$K$1501,0))&gt;0," +У","")&amp;IF(INDEX(Квартиры!$J$2:$J$1501,MATCH($A34*1000+5,Квартиры!$K$2:$K$1501,0))&gt;0," +Г",""),"-"))</f>
        <v/>
      </c>
      <c r="H34">
        <f>IF($A34="","",IFERROR(IF(Настройки!$B$4="да",INDEX(Квартиры!$D$2:$D$1501,MATCH($A34*1000+6,Квартиры!$K$2:$K$1501,0))&amp;" / ","")&amp;INDEX(Квартиры!$H$2:$H$1501,MATCH($A34*1000+6,Квартиры!$K$2:$K$1501,0))&amp;" СУ"&amp;IF(INDEX(Квартиры!$I$2:$I$1501,MATCH($A34*1000+6,Квартиры!$K$2:$K$1501,0))&gt;0," +У","")&amp;IF(INDEX(Квартиры!$J$2:$J$1501,MATCH($A34*1000+6,Квартиры!$K$2:$K$1501,0))&gt;0," +Г",""),"-"))</f>
        <v/>
      </c>
      <c r="I34">
        <f>IF($A34="","",IFERROR(IF(Настройки!$B$4="да",INDEX(Квартиры!$D$2:$D$1501,MATCH($A34*1000+7,Квартиры!$K$2:$K$1501,0))&amp;" / ","")&amp;INDEX(Квартиры!$H$2:$H$1501,MATCH($A34*1000+7,Квартиры!$K$2:$K$1501,0))&amp;" СУ"&amp;IF(INDEX(Квартиры!$I$2:$I$1501,MATCH($A34*1000+7,Квартиры!$K$2:$K$1501,0))&gt;0," +У","")&amp;IF(INDEX(Квартиры!$J$2:$J$1501,MATCH($A34*1000+7,Квартиры!$K$2:$K$1501,0))&gt;0," +Г",""),"-"))</f>
        <v/>
      </c>
      <c r="J34">
        <f>IF($A34="","",IFERROR(IF(Настройки!$B$4="да",INDEX(Квартиры!$D$2:$D$1501,MATCH($A34*1000+8,Квартиры!$K$2:$K$1501,0))&amp;" / ","")&amp;INDEX(Квартиры!$H$2:$H$1501,MATCH($A34*1000+8,Квартиры!$K$2:$K$1501,0))&amp;" СУ"&amp;IF(INDEX(Квартиры!$I$2:$I$1501,MATCH($A34*1000+8,Квартиры!$K$2:$K$1501,0))&gt;0," +У","")&amp;IF(INDEX(Квартиры!$J$2:$J$1501,MATCH($A34*1000+8,Квартиры!$K$2:$K$1501,0))&gt;0," +Г",""),"-"))</f>
        <v/>
      </c>
      <c r="K34">
        <f>IF($A34="","",IFERROR(IF(Настройки!$B$4="да",INDEX(Квартиры!$D$2:$D$1501,MATCH($A34*1000+9,Квартиры!$K$2:$K$1501,0))&amp;" / ","")&amp;INDEX(Квартиры!$H$2:$H$1501,MATCH($A34*1000+9,Квартиры!$K$2:$K$1501,0))&amp;" СУ"&amp;IF(INDEX(Квартиры!$I$2:$I$1501,MATCH($A34*1000+9,Квартиры!$K$2:$K$1501,0))&gt;0," +У","")&amp;IF(INDEX(Квартиры!$J$2:$J$1501,MATCH($A34*1000+9,Квартиры!$K$2:$K$1501,0))&gt;0," +Г",""),"-"))</f>
        <v/>
      </c>
      <c r="L34">
        <f>IF($A34="","",IFERROR(IF(Настройки!$B$4="да",INDEX(Квартиры!$D$2:$D$1501,MATCH($A34*1000+10,Квартиры!$K$2:$K$1501,0))&amp;" / ","")&amp;INDEX(Квартиры!$H$2:$H$1501,MATCH($A34*1000+10,Квартиры!$K$2:$K$1501,0))&amp;" СУ"&amp;IF(INDEX(Квартиры!$I$2:$I$1501,MATCH($A34*1000+10,Квартиры!$K$2:$K$1501,0))&gt;0," +У","")&amp;IF(INDEX(Квартиры!$J$2:$J$1501,MATCH($A34*1000+10,Квартиры!$K$2:$K$1501,0))&gt;0," +Г",""),"-"))</f>
        <v/>
      </c>
      <c r="M34">
        <f>IF($A34="","",IFERROR(IF(Настройки!$B$4="да",INDEX(Квартиры!$D$2:$D$1501,MATCH($A34*1000+11,Квартиры!$K$2:$K$1501,0))&amp;" / ","")&amp;INDEX(Квартиры!$H$2:$H$1501,MATCH($A34*1000+11,Квартиры!$K$2:$K$1501,0))&amp;" СУ"&amp;IF(INDEX(Квартиры!$I$2:$I$1501,MATCH($A34*1000+11,Квартиры!$K$2:$K$1501,0))&gt;0," +У","")&amp;IF(INDEX(Квартиры!$J$2:$J$1501,MATCH($A34*1000+11,Квартиры!$K$2:$K$1501,0))&gt;0," +Г",""),"-"))</f>
        <v/>
      </c>
      <c r="N34">
        <f>IF($A34="","",IFERROR(IF(Настройки!$B$4="да",INDEX(Квартиры!$D$2:$D$1501,MATCH($A34*1000+12,Квартиры!$K$2:$K$1501,0))&amp;" / ","")&amp;INDEX(Квартиры!$H$2:$H$1501,MATCH($A34*1000+12,Квартиры!$K$2:$K$1501,0))&amp;" СУ"&amp;IF(INDEX(Квартиры!$I$2:$I$1501,MATCH($A34*1000+12,Квартиры!$K$2:$K$1501,0))&gt;0," +У","")&amp;IF(INDEX(Квартиры!$J$2:$J$1501,MATCH($A34*1000+12,Квартиры!$K$2:$K$1501,0))&gt;0," +Г",""),"-"))</f>
        <v/>
      </c>
      <c r="O34">
        <f>IF($A34="","",IFERROR(IF(Настройки!$B$4="да",INDEX(Квартиры!$D$2:$D$1501,MATCH($A34*1000+13,Квартиры!$K$2:$K$1501,0))&amp;" / ","")&amp;INDEX(Квартиры!$H$2:$H$1501,MATCH($A34*1000+13,Квартиры!$K$2:$K$1501,0))&amp;" СУ"&amp;IF(INDEX(Квартиры!$I$2:$I$1501,MATCH($A34*1000+13,Квартиры!$K$2:$K$1501,0))&gt;0," +У","")&amp;IF(INDEX(Квартиры!$J$2:$J$1501,MATCH($A34*1000+13,Квартиры!$K$2:$K$1501,0))&gt;0," +Г",""),"-"))</f>
        <v/>
      </c>
      <c r="P34">
        <f>IF($A34="","",IFERROR(IF(Настройки!$B$4="да",INDEX(Квартиры!$D$2:$D$1501,MATCH($A34*1000+14,Квартиры!$K$2:$K$1501,0))&amp;" / ","")&amp;INDEX(Квартиры!$H$2:$H$1501,MATCH($A34*1000+14,Квартиры!$K$2:$K$1501,0))&amp;" СУ"&amp;IF(INDEX(Квартиры!$I$2:$I$1501,MATCH($A34*1000+14,Квартиры!$K$2:$K$1501,0))&gt;0," +У","")&amp;IF(INDEX(Квартиры!$J$2:$J$1501,MATCH($A34*1000+14,Квартиры!$K$2:$K$1501,0))&gt;0," +Г",""),"-"))</f>
        <v/>
      </c>
      <c r="Q34">
        <f>IF($A34="","",IFERROR(IF(Настройки!$B$4="да",INDEX(Квартиры!$D$2:$D$1501,MATCH($A34*1000+15,Квартиры!$K$2:$K$1501,0))&amp;" / ","")&amp;INDEX(Квартиры!$H$2:$H$1501,MATCH($A34*1000+15,Квартиры!$K$2:$K$1501,0))&amp;" СУ"&amp;IF(INDEX(Квартиры!$I$2:$I$1501,MATCH($A34*1000+15,Квартиры!$K$2:$K$1501,0))&gt;0," +У","")&amp;IF(INDEX(Квартиры!$J$2:$J$1501,MATCH($A34*1000+15,Квартиры!$K$2:$K$1501,0))&gt;0," +Г",""),"-"))</f>
        <v/>
      </c>
      <c r="R34">
        <f>IF(A34="","",C34&amp;"|"&amp;D34&amp;"|"&amp;E34&amp;"|"&amp;F34&amp;"|"&amp;G34&amp;"|"&amp;H34&amp;"|"&amp;I34&amp;"|"&amp;J34&amp;"|"&amp;K34&amp;"|"&amp;L34&amp;"|"&amp;M34&amp;"|"&amp;N34&amp;"|"&amp;O34&amp;"|"&amp;P34&amp;"|"&amp;Q34)</f>
        <v/>
      </c>
      <c r="S34">
        <f>IF(A34="","",IFERROR(LOOKUP(2,1/(B$2:B33=B34),S$2:S33)&amp;", ","")&amp;A34)</f>
        <v/>
      </c>
      <c r="U34">
        <f>IF(32&gt;MAX(B$3:B$82),"",32)</f>
        <v/>
      </c>
      <c r="V34">
        <f>IF(U34="","",LOOKUP(2,1/(B$3:B$82=U34),S$3:S$82))</f>
        <v/>
      </c>
      <c r="W34">
        <f>IF(U34="","",COUNTIF(B$3:B$82,U34))</f>
        <v/>
      </c>
    </row>
    <row r="35">
      <c r="A35">
        <f>IFERROR(IF(A34="","",SMALL(Квартиры!$B$2:$B$1501,COUNTIF(Квартиры!$B$2:$B$1501,"&lt;="&amp;A34)+1)),"")</f>
        <v/>
      </c>
      <c r="B35">
        <f>IF(A35="","",IF(COUNTIF(R$2:R34,R35)=0,MAX(B$2:B34)+1,INDEX(B$2:B34,MATCH(R35,R$2:R34,0))))</f>
        <v/>
      </c>
      <c r="C35">
        <f>IF($A35="","",IFERROR(IF(Настройки!$B$4="да",INDEX(Квартиры!$D$2:$D$1501,MATCH($A35*1000+1,Квартиры!$K$2:$K$1501,0))&amp;" / ","")&amp;INDEX(Квартиры!$H$2:$H$1501,MATCH($A35*1000+1,Квартиры!$K$2:$K$1501,0))&amp;" СУ"&amp;IF(INDEX(Квартиры!$I$2:$I$1501,MATCH($A35*1000+1,Квартиры!$K$2:$K$1501,0))&gt;0," +У","")&amp;IF(INDEX(Квартиры!$J$2:$J$1501,MATCH($A35*1000+1,Квартиры!$K$2:$K$1501,0))&gt;0," +Г",""),"-"))</f>
        <v/>
      </c>
      <c r="D35">
        <f>IF($A35="","",IFERROR(IF(Настройки!$B$4="да",INDEX(Квартиры!$D$2:$D$1501,MATCH($A35*1000+2,Квартиры!$K$2:$K$1501,0))&amp;" / ","")&amp;INDEX(Квартиры!$H$2:$H$1501,MATCH($A35*1000+2,Квартиры!$K$2:$K$1501,0))&amp;" СУ"&amp;IF(INDEX(Квартиры!$I$2:$I$1501,MATCH($A35*1000+2,Квартиры!$K$2:$K$1501,0))&gt;0," +У","")&amp;IF(INDEX(Квартиры!$J$2:$J$1501,MATCH($A35*1000+2,Квартиры!$K$2:$K$1501,0))&gt;0," +Г",""),"-"))</f>
        <v/>
      </c>
      <c r="E35">
        <f>IF($A35="","",IFERROR(IF(Настройки!$B$4="да",INDEX(Квартиры!$D$2:$D$1501,MATCH($A35*1000+3,Квартиры!$K$2:$K$1501,0))&amp;" / ","")&amp;INDEX(Квартиры!$H$2:$H$1501,MATCH($A35*1000+3,Квартиры!$K$2:$K$1501,0))&amp;" СУ"&amp;IF(INDEX(Квартиры!$I$2:$I$1501,MATCH($A35*1000+3,Квартиры!$K$2:$K$1501,0))&gt;0," +У","")&amp;IF(INDEX(Квартиры!$J$2:$J$1501,MATCH($A35*1000+3,Квартиры!$K$2:$K$1501,0))&gt;0," +Г",""),"-"))</f>
        <v/>
      </c>
      <c r="F35">
        <f>IF($A35="","",IFERROR(IF(Настройки!$B$4="да",INDEX(Квартиры!$D$2:$D$1501,MATCH($A35*1000+4,Квартиры!$K$2:$K$1501,0))&amp;" / ","")&amp;INDEX(Квартиры!$H$2:$H$1501,MATCH($A35*1000+4,Квартиры!$K$2:$K$1501,0))&amp;" СУ"&amp;IF(INDEX(Квартиры!$I$2:$I$1501,MATCH($A35*1000+4,Квартиры!$K$2:$K$1501,0))&gt;0," +У","")&amp;IF(INDEX(Квартиры!$J$2:$J$1501,MATCH($A35*1000+4,Квартиры!$K$2:$K$1501,0))&gt;0," +Г",""),"-"))</f>
        <v/>
      </c>
      <c r="G35">
        <f>IF($A35="","",IFERROR(IF(Настройки!$B$4="да",INDEX(Квартиры!$D$2:$D$1501,MATCH($A35*1000+5,Квартиры!$K$2:$K$1501,0))&amp;" / ","")&amp;INDEX(Квартиры!$H$2:$H$1501,MATCH($A35*1000+5,Квартиры!$K$2:$K$1501,0))&amp;" СУ"&amp;IF(INDEX(Квартиры!$I$2:$I$1501,MATCH($A35*1000+5,Квартиры!$K$2:$K$1501,0))&gt;0," +У","")&amp;IF(INDEX(Квартиры!$J$2:$J$1501,MATCH($A35*1000+5,Квартиры!$K$2:$K$1501,0))&gt;0," +Г",""),"-"))</f>
        <v/>
      </c>
      <c r="H35">
        <f>IF($A35="","",IFERROR(IF(Настройки!$B$4="да",INDEX(Квартиры!$D$2:$D$1501,MATCH($A35*1000+6,Квартиры!$K$2:$K$1501,0))&amp;" / ","")&amp;INDEX(Квартиры!$H$2:$H$1501,MATCH($A35*1000+6,Квартиры!$K$2:$K$1501,0))&amp;" СУ"&amp;IF(INDEX(Квартиры!$I$2:$I$1501,MATCH($A35*1000+6,Квартиры!$K$2:$K$1501,0))&gt;0," +У","")&amp;IF(INDEX(Квартиры!$J$2:$J$1501,MATCH($A35*1000+6,Квартиры!$K$2:$K$1501,0))&gt;0," +Г",""),"-"))</f>
        <v/>
      </c>
      <c r="I35">
        <f>IF($A35="","",IFERROR(IF(Настройки!$B$4="да",INDEX(Квартиры!$D$2:$D$1501,MATCH($A35*1000+7,Квартиры!$K$2:$K$1501,0))&amp;" / ","")&amp;INDEX(Квартиры!$H$2:$H$1501,MATCH($A35*1000+7,Квартиры!$K$2:$K$1501,0))&amp;" СУ"&amp;IF(INDEX(Квартиры!$I$2:$I$1501,MATCH($A35*1000+7,Квартиры!$K$2:$K$1501,0))&gt;0," +У","")&amp;IF(INDEX(Квартиры!$J$2:$J$1501,MATCH($A35*1000+7,Квартиры!$K$2:$K$1501,0))&gt;0," +Г",""),"-"))</f>
        <v/>
      </c>
      <c r="J35">
        <f>IF($A35="","",IFERROR(IF(Настройки!$B$4="да",INDEX(Квартиры!$D$2:$D$1501,MATCH($A35*1000+8,Квартиры!$K$2:$K$1501,0))&amp;" / ","")&amp;INDEX(Квартиры!$H$2:$H$1501,MATCH($A35*1000+8,Квартиры!$K$2:$K$1501,0))&amp;" СУ"&amp;IF(INDEX(Квартиры!$I$2:$I$1501,MATCH($A35*1000+8,Квартиры!$K$2:$K$1501,0))&gt;0," +У","")&amp;IF(INDEX(Квартиры!$J$2:$J$1501,MATCH($A35*1000+8,Квартиры!$K$2:$K$1501,0))&gt;0," +Г",""),"-"))</f>
        <v/>
      </c>
      <c r="K35">
        <f>IF($A35="","",IFERROR(IF(Настройки!$B$4="да",INDEX(Квартиры!$D$2:$D$1501,MATCH($A35*1000+9,Квартиры!$K$2:$K$1501,0))&amp;" / ","")&amp;INDEX(Квартиры!$H$2:$H$1501,MATCH($A35*1000+9,Квартиры!$K$2:$K$1501,0))&amp;" СУ"&amp;IF(INDEX(Квартиры!$I$2:$I$1501,MATCH($A35*1000+9,Квартиры!$K$2:$K$1501,0))&gt;0," +У","")&amp;IF(INDEX(Квартиры!$J$2:$J$1501,MATCH($A35*1000+9,Квартиры!$K$2:$K$1501,0))&gt;0," +Г",""),"-"))</f>
        <v/>
      </c>
      <c r="L35">
        <f>IF($A35="","",IFERROR(IF(Настройки!$B$4="да",INDEX(Квартиры!$D$2:$D$1501,MATCH($A35*1000+10,Квартиры!$K$2:$K$1501,0))&amp;" / ","")&amp;INDEX(Квартиры!$H$2:$H$1501,MATCH($A35*1000+10,Квартиры!$K$2:$K$1501,0))&amp;" СУ"&amp;IF(INDEX(Квартиры!$I$2:$I$1501,MATCH($A35*1000+10,Квартиры!$K$2:$K$1501,0))&gt;0," +У","")&amp;IF(INDEX(Квартиры!$J$2:$J$1501,MATCH($A35*1000+10,Квартиры!$K$2:$K$1501,0))&gt;0," +Г",""),"-"))</f>
        <v/>
      </c>
      <c r="M35">
        <f>IF($A35="","",IFERROR(IF(Настройки!$B$4="да",INDEX(Квартиры!$D$2:$D$1501,MATCH($A35*1000+11,Квартиры!$K$2:$K$1501,0))&amp;" / ","")&amp;INDEX(Квартиры!$H$2:$H$1501,MATCH($A35*1000+11,Квартиры!$K$2:$K$1501,0))&amp;" СУ"&amp;IF(INDEX(Квартиры!$I$2:$I$1501,MATCH($A35*1000+11,Квартиры!$K$2:$K$1501,0))&gt;0," +У","")&amp;IF(INDEX(Квартиры!$J$2:$J$1501,MATCH($A35*1000+11,Квартиры!$K$2:$K$1501,0))&gt;0," +Г",""),"-"))</f>
        <v/>
      </c>
      <c r="N35">
        <f>IF($A35="","",IFERROR(IF(Настройки!$B$4="да",INDEX(Квартиры!$D$2:$D$1501,MATCH($A35*1000+12,Квартиры!$K$2:$K$1501,0))&amp;" / ","")&amp;INDEX(Квартиры!$H$2:$H$1501,MATCH($A35*1000+12,Квартиры!$K$2:$K$1501,0))&amp;" СУ"&amp;IF(INDEX(Квартиры!$I$2:$I$1501,MATCH($A35*1000+12,Квартиры!$K$2:$K$1501,0))&gt;0," +У","")&amp;IF(INDEX(Квартиры!$J$2:$J$1501,MATCH($A35*1000+12,Квартиры!$K$2:$K$1501,0))&gt;0," +Г",""),"-"))</f>
        <v/>
      </c>
      <c r="O35">
        <f>IF($A35="","",IFERROR(IF(Настройки!$B$4="да",INDEX(Квартиры!$D$2:$D$1501,MATCH($A35*1000+13,Квартиры!$K$2:$K$1501,0))&amp;" / ","")&amp;INDEX(Квартиры!$H$2:$H$1501,MATCH($A35*1000+13,Квартиры!$K$2:$K$1501,0))&amp;" СУ"&amp;IF(INDEX(Квартиры!$I$2:$I$1501,MATCH($A35*1000+13,Квартиры!$K$2:$K$1501,0))&gt;0," +У","")&amp;IF(INDEX(Квартиры!$J$2:$J$1501,MATCH($A35*1000+13,Квартиры!$K$2:$K$1501,0))&gt;0," +Г",""),"-"))</f>
        <v/>
      </c>
      <c r="P35">
        <f>IF($A35="","",IFERROR(IF(Настройки!$B$4="да",INDEX(Квартиры!$D$2:$D$1501,MATCH($A35*1000+14,Квартиры!$K$2:$K$1501,0))&amp;" / ","")&amp;INDEX(Квартиры!$H$2:$H$1501,MATCH($A35*1000+14,Квартиры!$K$2:$K$1501,0))&amp;" СУ"&amp;IF(INDEX(Квартиры!$I$2:$I$1501,MATCH($A35*1000+14,Квартиры!$K$2:$K$1501,0))&gt;0," +У","")&amp;IF(INDEX(Квартиры!$J$2:$J$1501,MATCH($A35*1000+14,Квартиры!$K$2:$K$1501,0))&gt;0," +Г",""),"-"))</f>
        <v/>
      </c>
      <c r="Q35">
        <f>IF($A35="","",IFERROR(IF(Настройки!$B$4="да",INDEX(Квартиры!$D$2:$D$1501,MATCH($A35*1000+15,Квартиры!$K$2:$K$1501,0))&amp;" / ","")&amp;INDEX(Квартиры!$H$2:$H$1501,MATCH($A35*1000+15,Квартиры!$K$2:$K$1501,0))&amp;" СУ"&amp;IF(INDEX(Квартиры!$I$2:$I$1501,MATCH($A35*1000+15,Квартиры!$K$2:$K$1501,0))&gt;0," +У","")&amp;IF(INDEX(Квартиры!$J$2:$J$1501,MATCH($A35*1000+15,Квартиры!$K$2:$K$1501,0))&gt;0," +Г",""),"-"))</f>
        <v/>
      </c>
      <c r="R35">
        <f>IF(A35="","",C35&amp;"|"&amp;D35&amp;"|"&amp;E35&amp;"|"&amp;F35&amp;"|"&amp;G35&amp;"|"&amp;H35&amp;"|"&amp;I35&amp;"|"&amp;J35&amp;"|"&amp;K35&amp;"|"&amp;L35&amp;"|"&amp;M35&amp;"|"&amp;N35&amp;"|"&amp;O35&amp;"|"&amp;P35&amp;"|"&amp;Q35)</f>
        <v/>
      </c>
      <c r="S35">
        <f>IF(A35="","",IFERROR(LOOKUP(2,1/(B$2:B34=B35),S$2:S34)&amp;", ","")&amp;A35)</f>
        <v/>
      </c>
      <c r="U35">
        <f>IF(33&gt;MAX(B$3:B$82),"",33)</f>
        <v/>
      </c>
      <c r="V35">
        <f>IF(U35="","",LOOKUP(2,1/(B$3:B$82=U35),S$3:S$82))</f>
        <v/>
      </c>
      <c r="W35">
        <f>IF(U35="","",COUNTIF(B$3:B$82,U35))</f>
        <v/>
      </c>
    </row>
    <row r="36">
      <c r="A36">
        <f>IFERROR(IF(A35="","",SMALL(Квартиры!$B$2:$B$1501,COUNTIF(Квартиры!$B$2:$B$1501,"&lt;="&amp;A35)+1)),"")</f>
        <v/>
      </c>
      <c r="B36">
        <f>IF(A36="","",IF(COUNTIF(R$2:R35,R36)=0,MAX(B$2:B35)+1,INDEX(B$2:B35,MATCH(R36,R$2:R35,0))))</f>
        <v/>
      </c>
      <c r="C36">
        <f>IF($A36="","",IFERROR(IF(Настройки!$B$4="да",INDEX(Квартиры!$D$2:$D$1501,MATCH($A36*1000+1,Квартиры!$K$2:$K$1501,0))&amp;" / ","")&amp;INDEX(Квартиры!$H$2:$H$1501,MATCH($A36*1000+1,Квартиры!$K$2:$K$1501,0))&amp;" СУ"&amp;IF(INDEX(Квартиры!$I$2:$I$1501,MATCH($A36*1000+1,Квартиры!$K$2:$K$1501,0))&gt;0," +У","")&amp;IF(INDEX(Квартиры!$J$2:$J$1501,MATCH($A36*1000+1,Квартиры!$K$2:$K$1501,0))&gt;0," +Г",""),"-"))</f>
        <v/>
      </c>
      <c r="D36">
        <f>IF($A36="","",IFERROR(IF(Настройки!$B$4="да",INDEX(Квартиры!$D$2:$D$1501,MATCH($A36*1000+2,Квартиры!$K$2:$K$1501,0))&amp;" / ","")&amp;INDEX(Квартиры!$H$2:$H$1501,MATCH($A36*1000+2,Квартиры!$K$2:$K$1501,0))&amp;" СУ"&amp;IF(INDEX(Квартиры!$I$2:$I$1501,MATCH($A36*1000+2,Квартиры!$K$2:$K$1501,0))&gt;0," +У","")&amp;IF(INDEX(Квартиры!$J$2:$J$1501,MATCH($A36*1000+2,Квартиры!$K$2:$K$1501,0))&gt;0," +Г",""),"-"))</f>
        <v/>
      </c>
      <c r="E36">
        <f>IF($A36="","",IFERROR(IF(Настройки!$B$4="да",INDEX(Квартиры!$D$2:$D$1501,MATCH($A36*1000+3,Квартиры!$K$2:$K$1501,0))&amp;" / ","")&amp;INDEX(Квартиры!$H$2:$H$1501,MATCH($A36*1000+3,Квартиры!$K$2:$K$1501,0))&amp;" СУ"&amp;IF(INDEX(Квартиры!$I$2:$I$1501,MATCH($A36*1000+3,Квартиры!$K$2:$K$1501,0))&gt;0," +У","")&amp;IF(INDEX(Квартиры!$J$2:$J$1501,MATCH($A36*1000+3,Квартиры!$K$2:$K$1501,0))&gt;0," +Г",""),"-"))</f>
        <v/>
      </c>
      <c r="F36">
        <f>IF($A36="","",IFERROR(IF(Настройки!$B$4="да",INDEX(Квартиры!$D$2:$D$1501,MATCH($A36*1000+4,Квартиры!$K$2:$K$1501,0))&amp;" / ","")&amp;INDEX(Квартиры!$H$2:$H$1501,MATCH($A36*1000+4,Квартиры!$K$2:$K$1501,0))&amp;" СУ"&amp;IF(INDEX(Квартиры!$I$2:$I$1501,MATCH($A36*1000+4,Квартиры!$K$2:$K$1501,0))&gt;0," +У","")&amp;IF(INDEX(Квартиры!$J$2:$J$1501,MATCH($A36*1000+4,Квартиры!$K$2:$K$1501,0))&gt;0," +Г",""),"-"))</f>
        <v/>
      </c>
      <c r="G36">
        <f>IF($A36="","",IFERROR(IF(Настройки!$B$4="да",INDEX(Квартиры!$D$2:$D$1501,MATCH($A36*1000+5,Квартиры!$K$2:$K$1501,0))&amp;" / ","")&amp;INDEX(Квартиры!$H$2:$H$1501,MATCH($A36*1000+5,Квартиры!$K$2:$K$1501,0))&amp;" СУ"&amp;IF(INDEX(Квартиры!$I$2:$I$1501,MATCH($A36*1000+5,Квартиры!$K$2:$K$1501,0))&gt;0," +У","")&amp;IF(INDEX(Квартиры!$J$2:$J$1501,MATCH($A36*1000+5,Квартиры!$K$2:$K$1501,0))&gt;0," +Г",""),"-"))</f>
        <v/>
      </c>
      <c r="H36">
        <f>IF($A36="","",IFERROR(IF(Настройки!$B$4="да",INDEX(Квартиры!$D$2:$D$1501,MATCH($A36*1000+6,Квартиры!$K$2:$K$1501,0))&amp;" / ","")&amp;INDEX(Квартиры!$H$2:$H$1501,MATCH($A36*1000+6,Квартиры!$K$2:$K$1501,0))&amp;" СУ"&amp;IF(INDEX(Квартиры!$I$2:$I$1501,MATCH($A36*1000+6,Квартиры!$K$2:$K$1501,0))&gt;0," +У","")&amp;IF(INDEX(Квартиры!$J$2:$J$1501,MATCH($A36*1000+6,Квартиры!$K$2:$K$1501,0))&gt;0," +Г",""),"-"))</f>
        <v/>
      </c>
      <c r="I36">
        <f>IF($A36="","",IFERROR(IF(Настройки!$B$4="да",INDEX(Квартиры!$D$2:$D$1501,MATCH($A36*1000+7,Квартиры!$K$2:$K$1501,0))&amp;" / ","")&amp;INDEX(Квартиры!$H$2:$H$1501,MATCH($A36*1000+7,Квартиры!$K$2:$K$1501,0))&amp;" СУ"&amp;IF(INDEX(Квартиры!$I$2:$I$1501,MATCH($A36*1000+7,Квартиры!$K$2:$K$1501,0))&gt;0," +У","")&amp;IF(INDEX(Квартиры!$J$2:$J$1501,MATCH($A36*1000+7,Квартиры!$K$2:$K$1501,0))&gt;0," +Г",""),"-"))</f>
        <v/>
      </c>
      <c r="J36">
        <f>IF($A36="","",IFERROR(IF(Настройки!$B$4="да",INDEX(Квартиры!$D$2:$D$1501,MATCH($A36*1000+8,Квартиры!$K$2:$K$1501,0))&amp;" / ","")&amp;INDEX(Квартиры!$H$2:$H$1501,MATCH($A36*1000+8,Квартиры!$K$2:$K$1501,0))&amp;" СУ"&amp;IF(INDEX(Квартиры!$I$2:$I$1501,MATCH($A36*1000+8,Квартиры!$K$2:$K$1501,0))&gt;0," +У","")&amp;IF(INDEX(Квартиры!$J$2:$J$1501,MATCH($A36*1000+8,Квартиры!$K$2:$K$1501,0))&gt;0," +Г",""),"-"))</f>
        <v/>
      </c>
      <c r="K36">
        <f>IF($A36="","",IFERROR(IF(Настройки!$B$4="да",INDEX(Квартиры!$D$2:$D$1501,MATCH($A36*1000+9,Квартиры!$K$2:$K$1501,0))&amp;" / ","")&amp;INDEX(Квартиры!$H$2:$H$1501,MATCH($A36*1000+9,Квартиры!$K$2:$K$1501,0))&amp;" СУ"&amp;IF(INDEX(Квартиры!$I$2:$I$1501,MATCH($A36*1000+9,Квартиры!$K$2:$K$1501,0))&gt;0," +У","")&amp;IF(INDEX(Квартиры!$J$2:$J$1501,MATCH($A36*1000+9,Квартиры!$K$2:$K$1501,0))&gt;0," +Г",""),"-"))</f>
        <v/>
      </c>
      <c r="L36">
        <f>IF($A36="","",IFERROR(IF(Настройки!$B$4="да",INDEX(Квартиры!$D$2:$D$1501,MATCH($A36*1000+10,Квартиры!$K$2:$K$1501,0))&amp;" / ","")&amp;INDEX(Квартиры!$H$2:$H$1501,MATCH($A36*1000+10,Квартиры!$K$2:$K$1501,0))&amp;" СУ"&amp;IF(INDEX(Квартиры!$I$2:$I$1501,MATCH($A36*1000+10,Квартиры!$K$2:$K$1501,0))&gt;0," +У","")&amp;IF(INDEX(Квартиры!$J$2:$J$1501,MATCH($A36*1000+10,Квартиры!$K$2:$K$1501,0))&gt;0," +Г",""),"-"))</f>
        <v/>
      </c>
      <c r="M36">
        <f>IF($A36="","",IFERROR(IF(Настройки!$B$4="да",INDEX(Квартиры!$D$2:$D$1501,MATCH($A36*1000+11,Квартиры!$K$2:$K$1501,0))&amp;" / ","")&amp;INDEX(Квартиры!$H$2:$H$1501,MATCH($A36*1000+11,Квартиры!$K$2:$K$1501,0))&amp;" СУ"&amp;IF(INDEX(Квартиры!$I$2:$I$1501,MATCH($A36*1000+11,Квартиры!$K$2:$K$1501,0))&gt;0," +У","")&amp;IF(INDEX(Квартиры!$J$2:$J$1501,MATCH($A36*1000+11,Квартиры!$K$2:$K$1501,0))&gt;0," +Г",""),"-"))</f>
        <v/>
      </c>
      <c r="N36">
        <f>IF($A36="","",IFERROR(IF(Настройки!$B$4="да",INDEX(Квартиры!$D$2:$D$1501,MATCH($A36*1000+12,Квартиры!$K$2:$K$1501,0))&amp;" / ","")&amp;INDEX(Квартиры!$H$2:$H$1501,MATCH($A36*1000+12,Квартиры!$K$2:$K$1501,0))&amp;" СУ"&amp;IF(INDEX(Квартиры!$I$2:$I$1501,MATCH($A36*1000+12,Квартиры!$K$2:$K$1501,0))&gt;0," +У","")&amp;IF(INDEX(Квартиры!$J$2:$J$1501,MATCH($A36*1000+12,Квартиры!$K$2:$K$1501,0))&gt;0," +Г",""),"-"))</f>
        <v/>
      </c>
      <c r="O36">
        <f>IF($A36="","",IFERROR(IF(Настройки!$B$4="да",INDEX(Квартиры!$D$2:$D$1501,MATCH($A36*1000+13,Квартиры!$K$2:$K$1501,0))&amp;" / ","")&amp;INDEX(Квартиры!$H$2:$H$1501,MATCH($A36*1000+13,Квартиры!$K$2:$K$1501,0))&amp;" СУ"&amp;IF(INDEX(Квартиры!$I$2:$I$1501,MATCH($A36*1000+13,Квартиры!$K$2:$K$1501,0))&gt;0," +У","")&amp;IF(INDEX(Квартиры!$J$2:$J$1501,MATCH($A36*1000+13,Квартиры!$K$2:$K$1501,0))&gt;0," +Г",""),"-"))</f>
        <v/>
      </c>
      <c r="P36">
        <f>IF($A36="","",IFERROR(IF(Настройки!$B$4="да",INDEX(Квартиры!$D$2:$D$1501,MATCH($A36*1000+14,Квартиры!$K$2:$K$1501,0))&amp;" / ","")&amp;INDEX(Квартиры!$H$2:$H$1501,MATCH($A36*1000+14,Квартиры!$K$2:$K$1501,0))&amp;" СУ"&amp;IF(INDEX(Квартиры!$I$2:$I$1501,MATCH($A36*1000+14,Квартиры!$K$2:$K$1501,0))&gt;0," +У","")&amp;IF(INDEX(Квартиры!$J$2:$J$1501,MATCH($A36*1000+14,Квартиры!$K$2:$K$1501,0))&gt;0," +Г",""),"-"))</f>
        <v/>
      </c>
      <c r="Q36">
        <f>IF($A36="","",IFERROR(IF(Настройки!$B$4="да",INDEX(Квартиры!$D$2:$D$1501,MATCH($A36*1000+15,Квартиры!$K$2:$K$1501,0))&amp;" / ","")&amp;INDEX(Квартиры!$H$2:$H$1501,MATCH($A36*1000+15,Квартиры!$K$2:$K$1501,0))&amp;" СУ"&amp;IF(INDEX(Квартиры!$I$2:$I$1501,MATCH($A36*1000+15,Квартиры!$K$2:$K$1501,0))&gt;0," +У","")&amp;IF(INDEX(Квартиры!$J$2:$J$1501,MATCH($A36*1000+15,Квартиры!$K$2:$K$1501,0))&gt;0," +Г",""),"-"))</f>
        <v/>
      </c>
      <c r="R36">
        <f>IF(A36="","",C36&amp;"|"&amp;D36&amp;"|"&amp;E36&amp;"|"&amp;F36&amp;"|"&amp;G36&amp;"|"&amp;H36&amp;"|"&amp;I36&amp;"|"&amp;J36&amp;"|"&amp;K36&amp;"|"&amp;L36&amp;"|"&amp;M36&amp;"|"&amp;N36&amp;"|"&amp;O36&amp;"|"&amp;P36&amp;"|"&amp;Q36)</f>
        <v/>
      </c>
      <c r="S36">
        <f>IF(A36="","",IFERROR(LOOKUP(2,1/(B$2:B35=B36),S$2:S35)&amp;", ","")&amp;A36)</f>
        <v/>
      </c>
      <c r="U36">
        <f>IF(34&gt;MAX(B$3:B$82),"",34)</f>
        <v/>
      </c>
      <c r="V36">
        <f>IF(U36="","",LOOKUP(2,1/(B$3:B$82=U36),S$3:S$82))</f>
        <v/>
      </c>
      <c r="W36">
        <f>IF(U36="","",COUNTIF(B$3:B$82,U36))</f>
        <v/>
      </c>
    </row>
    <row r="37">
      <c r="A37">
        <f>IFERROR(IF(A36="","",SMALL(Квартиры!$B$2:$B$1501,COUNTIF(Квартиры!$B$2:$B$1501,"&lt;="&amp;A36)+1)),"")</f>
        <v/>
      </c>
      <c r="B37">
        <f>IF(A37="","",IF(COUNTIF(R$2:R36,R37)=0,MAX(B$2:B36)+1,INDEX(B$2:B36,MATCH(R37,R$2:R36,0))))</f>
        <v/>
      </c>
      <c r="C37">
        <f>IF($A37="","",IFERROR(IF(Настройки!$B$4="да",INDEX(Квартиры!$D$2:$D$1501,MATCH($A37*1000+1,Квартиры!$K$2:$K$1501,0))&amp;" / ","")&amp;INDEX(Квартиры!$H$2:$H$1501,MATCH($A37*1000+1,Квартиры!$K$2:$K$1501,0))&amp;" СУ"&amp;IF(INDEX(Квартиры!$I$2:$I$1501,MATCH($A37*1000+1,Квартиры!$K$2:$K$1501,0))&gt;0," +У","")&amp;IF(INDEX(Квартиры!$J$2:$J$1501,MATCH($A37*1000+1,Квартиры!$K$2:$K$1501,0))&gt;0," +Г",""),"-"))</f>
        <v/>
      </c>
      <c r="D37">
        <f>IF($A37="","",IFERROR(IF(Настройки!$B$4="да",INDEX(Квартиры!$D$2:$D$1501,MATCH($A37*1000+2,Квартиры!$K$2:$K$1501,0))&amp;" / ","")&amp;INDEX(Квартиры!$H$2:$H$1501,MATCH($A37*1000+2,Квартиры!$K$2:$K$1501,0))&amp;" СУ"&amp;IF(INDEX(Квартиры!$I$2:$I$1501,MATCH($A37*1000+2,Квартиры!$K$2:$K$1501,0))&gt;0," +У","")&amp;IF(INDEX(Квартиры!$J$2:$J$1501,MATCH($A37*1000+2,Квартиры!$K$2:$K$1501,0))&gt;0," +Г",""),"-"))</f>
        <v/>
      </c>
      <c r="E37">
        <f>IF($A37="","",IFERROR(IF(Настройки!$B$4="да",INDEX(Квартиры!$D$2:$D$1501,MATCH($A37*1000+3,Квартиры!$K$2:$K$1501,0))&amp;" / ","")&amp;INDEX(Квартиры!$H$2:$H$1501,MATCH($A37*1000+3,Квартиры!$K$2:$K$1501,0))&amp;" СУ"&amp;IF(INDEX(Квартиры!$I$2:$I$1501,MATCH($A37*1000+3,Квартиры!$K$2:$K$1501,0))&gt;0," +У","")&amp;IF(INDEX(Квартиры!$J$2:$J$1501,MATCH($A37*1000+3,Квартиры!$K$2:$K$1501,0))&gt;0," +Г",""),"-"))</f>
        <v/>
      </c>
      <c r="F37">
        <f>IF($A37="","",IFERROR(IF(Настройки!$B$4="да",INDEX(Квартиры!$D$2:$D$1501,MATCH($A37*1000+4,Квартиры!$K$2:$K$1501,0))&amp;" / ","")&amp;INDEX(Квартиры!$H$2:$H$1501,MATCH($A37*1000+4,Квартиры!$K$2:$K$1501,0))&amp;" СУ"&amp;IF(INDEX(Квартиры!$I$2:$I$1501,MATCH($A37*1000+4,Квартиры!$K$2:$K$1501,0))&gt;0," +У","")&amp;IF(INDEX(Квартиры!$J$2:$J$1501,MATCH($A37*1000+4,Квартиры!$K$2:$K$1501,0))&gt;0," +Г",""),"-"))</f>
        <v/>
      </c>
      <c r="G37">
        <f>IF($A37="","",IFERROR(IF(Настройки!$B$4="да",INDEX(Квартиры!$D$2:$D$1501,MATCH($A37*1000+5,Квартиры!$K$2:$K$1501,0))&amp;" / ","")&amp;INDEX(Квартиры!$H$2:$H$1501,MATCH($A37*1000+5,Квартиры!$K$2:$K$1501,0))&amp;" СУ"&amp;IF(INDEX(Квартиры!$I$2:$I$1501,MATCH($A37*1000+5,Квартиры!$K$2:$K$1501,0))&gt;0," +У","")&amp;IF(INDEX(Квартиры!$J$2:$J$1501,MATCH($A37*1000+5,Квартиры!$K$2:$K$1501,0))&gt;0," +Г",""),"-"))</f>
        <v/>
      </c>
      <c r="H37">
        <f>IF($A37="","",IFERROR(IF(Настройки!$B$4="да",INDEX(Квартиры!$D$2:$D$1501,MATCH($A37*1000+6,Квартиры!$K$2:$K$1501,0))&amp;" / ","")&amp;INDEX(Квартиры!$H$2:$H$1501,MATCH($A37*1000+6,Квартиры!$K$2:$K$1501,0))&amp;" СУ"&amp;IF(INDEX(Квартиры!$I$2:$I$1501,MATCH($A37*1000+6,Квартиры!$K$2:$K$1501,0))&gt;0," +У","")&amp;IF(INDEX(Квартиры!$J$2:$J$1501,MATCH($A37*1000+6,Квартиры!$K$2:$K$1501,0))&gt;0," +Г",""),"-"))</f>
        <v/>
      </c>
      <c r="I37">
        <f>IF($A37="","",IFERROR(IF(Настройки!$B$4="да",INDEX(Квартиры!$D$2:$D$1501,MATCH($A37*1000+7,Квартиры!$K$2:$K$1501,0))&amp;" / ","")&amp;INDEX(Квартиры!$H$2:$H$1501,MATCH($A37*1000+7,Квартиры!$K$2:$K$1501,0))&amp;" СУ"&amp;IF(INDEX(Квартиры!$I$2:$I$1501,MATCH($A37*1000+7,Квартиры!$K$2:$K$1501,0))&gt;0," +У","")&amp;IF(INDEX(Квартиры!$J$2:$J$1501,MATCH($A37*1000+7,Квартиры!$K$2:$K$1501,0))&gt;0," +Г",""),"-"))</f>
        <v/>
      </c>
      <c r="J37">
        <f>IF($A37="","",IFERROR(IF(Настройки!$B$4="да",INDEX(Квартиры!$D$2:$D$1501,MATCH($A37*1000+8,Квартиры!$K$2:$K$1501,0))&amp;" / ","")&amp;INDEX(Квартиры!$H$2:$H$1501,MATCH($A37*1000+8,Квартиры!$K$2:$K$1501,0))&amp;" СУ"&amp;IF(INDEX(Квартиры!$I$2:$I$1501,MATCH($A37*1000+8,Квартиры!$K$2:$K$1501,0))&gt;0," +У","")&amp;IF(INDEX(Квартиры!$J$2:$J$1501,MATCH($A37*1000+8,Квартиры!$K$2:$K$1501,0))&gt;0," +Г",""),"-"))</f>
        <v/>
      </c>
      <c r="K37">
        <f>IF($A37="","",IFERROR(IF(Настройки!$B$4="да",INDEX(Квартиры!$D$2:$D$1501,MATCH($A37*1000+9,Квартиры!$K$2:$K$1501,0))&amp;" / ","")&amp;INDEX(Квартиры!$H$2:$H$1501,MATCH($A37*1000+9,Квартиры!$K$2:$K$1501,0))&amp;" СУ"&amp;IF(INDEX(Квартиры!$I$2:$I$1501,MATCH($A37*1000+9,Квартиры!$K$2:$K$1501,0))&gt;0," +У","")&amp;IF(INDEX(Квартиры!$J$2:$J$1501,MATCH($A37*1000+9,Квартиры!$K$2:$K$1501,0))&gt;0," +Г",""),"-"))</f>
        <v/>
      </c>
      <c r="L37">
        <f>IF($A37="","",IFERROR(IF(Настройки!$B$4="да",INDEX(Квартиры!$D$2:$D$1501,MATCH($A37*1000+10,Квартиры!$K$2:$K$1501,0))&amp;" / ","")&amp;INDEX(Квартиры!$H$2:$H$1501,MATCH($A37*1000+10,Квартиры!$K$2:$K$1501,0))&amp;" СУ"&amp;IF(INDEX(Квартиры!$I$2:$I$1501,MATCH($A37*1000+10,Квартиры!$K$2:$K$1501,0))&gt;0," +У","")&amp;IF(INDEX(Квартиры!$J$2:$J$1501,MATCH($A37*1000+10,Квартиры!$K$2:$K$1501,0))&gt;0," +Г",""),"-"))</f>
        <v/>
      </c>
      <c r="M37">
        <f>IF($A37="","",IFERROR(IF(Настройки!$B$4="да",INDEX(Квартиры!$D$2:$D$1501,MATCH($A37*1000+11,Квартиры!$K$2:$K$1501,0))&amp;" / ","")&amp;INDEX(Квартиры!$H$2:$H$1501,MATCH($A37*1000+11,Квартиры!$K$2:$K$1501,0))&amp;" СУ"&amp;IF(INDEX(Квартиры!$I$2:$I$1501,MATCH($A37*1000+11,Квартиры!$K$2:$K$1501,0))&gt;0," +У","")&amp;IF(INDEX(Квартиры!$J$2:$J$1501,MATCH($A37*1000+11,Квартиры!$K$2:$K$1501,0))&gt;0," +Г",""),"-"))</f>
        <v/>
      </c>
      <c r="N37">
        <f>IF($A37="","",IFERROR(IF(Настройки!$B$4="да",INDEX(Квартиры!$D$2:$D$1501,MATCH($A37*1000+12,Квартиры!$K$2:$K$1501,0))&amp;" / ","")&amp;INDEX(Квартиры!$H$2:$H$1501,MATCH($A37*1000+12,Квартиры!$K$2:$K$1501,0))&amp;" СУ"&amp;IF(INDEX(Квартиры!$I$2:$I$1501,MATCH($A37*1000+12,Квартиры!$K$2:$K$1501,0))&gt;0," +У","")&amp;IF(INDEX(Квартиры!$J$2:$J$1501,MATCH($A37*1000+12,Квартиры!$K$2:$K$1501,0))&gt;0," +Г",""),"-"))</f>
        <v/>
      </c>
      <c r="O37">
        <f>IF($A37="","",IFERROR(IF(Настройки!$B$4="да",INDEX(Квартиры!$D$2:$D$1501,MATCH($A37*1000+13,Квартиры!$K$2:$K$1501,0))&amp;" / ","")&amp;INDEX(Квартиры!$H$2:$H$1501,MATCH($A37*1000+13,Квартиры!$K$2:$K$1501,0))&amp;" СУ"&amp;IF(INDEX(Квартиры!$I$2:$I$1501,MATCH($A37*1000+13,Квартиры!$K$2:$K$1501,0))&gt;0," +У","")&amp;IF(INDEX(Квартиры!$J$2:$J$1501,MATCH($A37*1000+13,Квартиры!$K$2:$K$1501,0))&gt;0," +Г",""),"-"))</f>
        <v/>
      </c>
      <c r="P37">
        <f>IF($A37="","",IFERROR(IF(Настройки!$B$4="да",INDEX(Квартиры!$D$2:$D$1501,MATCH($A37*1000+14,Квартиры!$K$2:$K$1501,0))&amp;" / ","")&amp;INDEX(Квартиры!$H$2:$H$1501,MATCH($A37*1000+14,Квартиры!$K$2:$K$1501,0))&amp;" СУ"&amp;IF(INDEX(Квартиры!$I$2:$I$1501,MATCH($A37*1000+14,Квартиры!$K$2:$K$1501,0))&gt;0," +У","")&amp;IF(INDEX(Квартиры!$J$2:$J$1501,MATCH($A37*1000+14,Квартиры!$K$2:$K$1501,0))&gt;0," +Г",""),"-"))</f>
        <v/>
      </c>
      <c r="Q37">
        <f>IF($A37="","",IFERROR(IF(Настройки!$B$4="да",INDEX(Квартиры!$D$2:$D$1501,MATCH($A37*1000+15,Квартиры!$K$2:$K$1501,0))&amp;" / ","")&amp;INDEX(Квартиры!$H$2:$H$1501,MATCH($A37*1000+15,Квартиры!$K$2:$K$1501,0))&amp;" СУ"&amp;IF(INDEX(Квартиры!$I$2:$I$1501,MATCH($A37*1000+15,Квартиры!$K$2:$K$1501,0))&gt;0," +У","")&amp;IF(INDEX(Квартиры!$J$2:$J$1501,MATCH($A37*1000+15,Квартиры!$K$2:$K$1501,0))&gt;0," +Г",""),"-"))</f>
        <v/>
      </c>
      <c r="R37">
        <f>IF(A37="","",C37&amp;"|"&amp;D37&amp;"|"&amp;E37&amp;"|"&amp;F37&amp;"|"&amp;G37&amp;"|"&amp;H37&amp;"|"&amp;I37&amp;"|"&amp;J37&amp;"|"&amp;K37&amp;"|"&amp;L37&amp;"|"&amp;M37&amp;"|"&amp;N37&amp;"|"&amp;O37&amp;"|"&amp;P37&amp;"|"&amp;Q37)</f>
        <v/>
      </c>
      <c r="S37">
        <f>IF(A37="","",IFERROR(LOOKUP(2,1/(B$2:B36=B37),S$2:S36)&amp;", ","")&amp;A37)</f>
        <v/>
      </c>
      <c r="U37">
        <f>IF(35&gt;MAX(B$3:B$82),"",35)</f>
        <v/>
      </c>
      <c r="V37">
        <f>IF(U37="","",LOOKUP(2,1/(B$3:B$82=U37),S$3:S$82))</f>
        <v/>
      </c>
      <c r="W37">
        <f>IF(U37="","",COUNTIF(B$3:B$82,U37))</f>
        <v/>
      </c>
    </row>
    <row r="38">
      <c r="A38">
        <f>IFERROR(IF(A37="","",SMALL(Квартиры!$B$2:$B$1501,COUNTIF(Квартиры!$B$2:$B$1501,"&lt;="&amp;A37)+1)),"")</f>
        <v/>
      </c>
      <c r="B38">
        <f>IF(A38="","",IF(COUNTIF(R$2:R37,R38)=0,MAX(B$2:B37)+1,INDEX(B$2:B37,MATCH(R38,R$2:R37,0))))</f>
        <v/>
      </c>
      <c r="C38">
        <f>IF($A38="","",IFERROR(IF(Настройки!$B$4="да",INDEX(Квартиры!$D$2:$D$1501,MATCH($A38*1000+1,Квартиры!$K$2:$K$1501,0))&amp;" / ","")&amp;INDEX(Квартиры!$H$2:$H$1501,MATCH($A38*1000+1,Квартиры!$K$2:$K$1501,0))&amp;" СУ"&amp;IF(INDEX(Квартиры!$I$2:$I$1501,MATCH($A38*1000+1,Квартиры!$K$2:$K$1501,0))&gt;0," +У","")&amp;IF(INDEX(Квартиры!$J$2:$J$1501,MATCH($A38*1000+1,Квартиры!$K$2:$K$1501,0))&gt;0," +Г",""),"-"))</f>
        <v/>
      </c>
      <c r="D38">
        <f>IF($A38="","",IFERROR(IF(Настройки!$B$4="да",INDEX(Квартиры!$D$2:$D$1501,MATCH($A38*1000+2,Квартиры!$K$2:$K$1501,0))&amp;" / ","")&amp;INDEX(Квартиры!$H$2:$H$1501,MATCH($A38*1000+2,Квартиры!$K$2:$K$1501,0))&amp;" СУ"&amp;IF(INDEX(Квартиры!$I$2:$I$1501,MATCH($A38*1000+2,Квартиры!$K$2:$K$1501,0))&gt;0," +У","")&amp;IF(INDEX(Квартиры!$J$2:$J$1501,MATCH($A38*1000+2,Квартиры!$K$2:$K$1501,0))&gt;0," +Г",""),"-"))</f>
        <v/>
      </c>
      <c r="E38">
        <f>IF($A38="","",IFERROR(IF(Настройки!$B$4="да",INDEX(Квартиры!$D$2:$D$1501,MATCH($A38*1000+3,Квартиры!$K$2:$K$1501,0))&amp;" / ","")&amp;INDEX(Квартиры!$H$2:$H$1501,MATCH($A38*1000+3,Квартиры!$K$2:$K$1501,0))&amp;" СУ"&amp;IF(INDEX(Квартиры!$I$2:$I$1501,MATCH($A38*1000+3,Квартиры!$K$2:$K$1501,0))&gt;0," +У","")&amp;IF(INDEX(Квартиры!$J$2:$J$1501,MATCH($A38*1000+3,Квартиры!$K$2:$K$1501,0))&gt;0," +Г",""),"-"))</f>
        <v/>
      </c>
      <c r="F38">
        <f>IF($A38="","",IFERROR(IF(Настройки!$B$4="да",INDEX(Квартиры!$D$2:$D$1501,MATCH($A38*1000+4,Квартиры!$K$2:$K$1501,0))&amp;" / ","")&amp;INDEX(Квартиры!$H$2:$H$1501,MATCH($A38*1000+4,Квартиры!$K$2:$K$1501,0))&amp;" СУ"&amp;IF(INDEX(Квартиры!$I$2:$I$1501,MATCH($A38*1000+4,Квартиры!$K$2:$K$1501,0))&gt;0," +У","")&amp;IF(INDEX(Квартиры!$J$2:$J$1501,MATCH($A38*1000+4,Квартиры!$K$2:$K$1501,0))&gt;0," +Г",""),"-"))</f>
        <v/>
      </c>
      <c r="G38">
        <f>IF($A38="","",IFERROR(IF(Настройки!$B$4="да",INDEX(Квартиры!$D$2:$D$1501,MATCH($A38*1000+5,Квартиры!$K$2:$K$1501,0))&amp;" / ","")&amp;INDEX(Квартиры!$H$2:$H$1501,MATCH($A38*1000+5,Квартиры!$K$2:$K$1501,0))&amp;" СУ"&amp;IF(INDEX(Квартиры!$I$2:$I$1501,MATCH($A38*1000+5,Квартиры!$K$2:$K$1501,0))&gt;0," +У","")&amp;IF(INDEX(Квартиры!$J$2:$J$1501,MATCH($A38*1000+5,Квартиры!$K$2:$K$1501,0))&gt;0," +Г",""),"-"))</f>
        <v/>
      </c>
      <c r="H38">
        <f>IF($A38="","",IFERROR(IF(Настройки!$B$4="да",INDEX(Квартиры!$D$2:$D$1501,MATCH($A38*1000+6,Квартиры!$K$2:$K$1501,0))&amp;" / ","")&amp;INDEX(Квартиры!$H$2:$H$1501,MATCH($A38*1000+6,Квартиры!$K$2:$K$1501,0))&amp;" СУ"&amp;IF(INDEX(Квартиры!$I$2:$I$1501,MATCH($A38*1000+6,Квартиры!$K$2:$K$1501,0))&gt;0," +У","")&amp;IF(INDEX(Квартиры!$J$2:$J$1501,MATCH($A38*1000+6,Квартиры!$K$2:$K$1501,0))&gt;0," +Г",""),"-"))</f>
        <v/>
      </c>
      <c r="I38">
        <f>IF($A38="","",IFERROR(IF(Настройки!$B$4="да",INDEX(Квартиры!$D$2:$D$1501,MATCH($A38*1000+7,Квартиры!$K$2:$K$1501,0))&amp;" / ","")&amp;INDEX(Квартиры!$H$2:$H$1501,MATCH($A38*1000+7,Квартиры!$K$2:$K$1501,0))&amp;" СУ"&amp;IF(INDEX(Квартиры!$I$2:$I$1501,MATCH($A38*1000+7,Квартиры!$K$2:$K$1501,0))&gt;0," +У","")&amp;IF(INDEX(Квартиры!$J$2:$J$1501,MATCH($A38*1000+7,Квартиры!$K$2:$K$1501,0))&gt;0," +Г",""),"-"))</f>
        <v/>
      </c>
      <c r="J38">
        <f>IF($A38="","",IFERROR(IF(Настройки!$B$4="да",INDEX(Квартиры!$D$2:$D$1501,MATCH($A38*1000+8,Квартиры!$K$2:$K$1501,0))&amp;" / ","")&amp;INDEX(Квартиры!$H$2:$H$1501,MATCH($A38*1000+8,Квартиры!$K$2:$K$1501,0))&amp;" СУ"&amp;IF(INDEX(Квартиры!$I$2:$I$1501,MATCH($A38*1000+8,Квартиры!$K$2:$K$1501,0))&gt;0," +У","")&amp;IF(INDEX(Квартиры!$J$2:$J$1501,MATCH($A38*1000+8,Квартиры!$K$2:$K$1501,0))&gt;0," +Г",""),"-"))</f>
        <v/>
      </c>
      <c r="K38">
        <f>IF($A38="","",IFERROR(IF(Настройки!$B$4="да",INDEX(Квартиры!$D$2:$D$1501,MATCH($A38*1000+9,Квартиры!$K$2:$K$1501,0))&amp;" / ","")&amp;INDEX(Квартиры!$H$2:$H$1501,MATCH($A38*1000+9,Квартиры!$K$2:$K$1501,0))&amp;" СУ"&amp;IF(INDEX(Квартиры!$I$2:$I$1501,MATCH($A38*1000+9,Квартиры!$K$2:$K$1501,0))&gt;0," +У","")&amp;IF(INDEX(Квартиры!$J$2:$J$1501,MATCH($A38*1000+9,Квартиры!$K$2:$K$1501,0))&gt;0," +Г",""),"-"))</f>
        <v/>
      </c>
      <c r="L38">
        <f>IF($A38="","",IFERROR(IF(Настройки!$B$4="да",INDEX(Квартиры!$D$2:$D$1501,MATCH($A38*1000+10,Квартиры!$K$2:$K$1501,0))&amp;" / ","")&amp;INDEX(Квартиры!$H$2:$H$1501,MATCH($A38*1000+10,Квартиры!$K$2:$K$1501,0))&amp;" СУ"&amp;IF(INDEX(Квартиры!$I$2:$I$1501,MATCH($A38*1000+10,Квартиры!$K$2:$K$1501,0))&gt;0," +У","")&amp;IF(INDEX(Квартиры!$J$2:$J$1501,MATCH($A38*1000+10,Квартиры!$K$2:$K$1501,0))&gt;0," +Г",""),"-"))</f>
        <v/>
      </c>
      <c r="M38">
        <f>IF($A38="","",IFERROR(IF(Настройки!$B$4="да",INDEX(Квартиры!$D$2:$D$1501,MATCH($A38*1000+11,Квартиры!$K$2:$K$1501,0))&amp;" / ","")&amp;INDEX(Квартиры!$H$2:$H$1501,MATCH($A38*1000+11,Квартиры!$K$2:$K$1501,0))&amp;" СУ"&amp;IF(INDEX(Квартиры!$I$2:$I$1501,MATCH($A38*1000+11,Квартиры!$K$2:$K$1501,0))&gt;0," +У","")&amp;IF(INDEX(Квартиры!$J$2:$J$1501,MATCH($A38*1000+11,Квартиры!$K$2:$K$1501,0))&gt;0," +Г",""),"-"))</f>
        <v/>
      </c>
      <c r="N38">
        <f>IF($A38="","",IFERROR(IF(Настройки!$B$4="да",INDEX(Квартиры!$D$2:$D$1501,MATCH($A38*1000+12,Квартиры!$K$2:$K$1501,0))&amp;" / ","")&amp;INDEX(Квартиры!$H$2:$H$1501,MATCH($A38*1000+12,Квартиры!$K$2:$K$1501,0))&amp;" СУ"&amp;IF(INDEX(Квартиры!$I$2:$I$1501,MATCH($A38*1000+12,Квартиры!$K$2:$K$1501,0))&gt;0," +У","")&amp;IF(INDEX(Квартиры!$J$2:$J$1501,MATCH($A38*1000+12,Квартиры!$K$2:$K$1501,0))&gt;0," +Г",""),"-"))</f>
        <v/>
      </c>
      <c r="O38">
        <f>IF($A38="","",IFERROR(IF(Настройки!$B$4="да",INDEX(Квартиры!$D$2:$D$1501,MATCH($A38*1000+13,Квартиры!$K$2:$K$1501,0))&amp;" / ","")&amp;INDEX(Квартиры!$H$2:$H$1501,MATCH($A38*1000+13,Квартиры!$K$2:$K$1501,0))&amp;" СУ"&amp;IF(INDEX(Квартиры!$I$2:$I$1501,MATCH($A38*1000+13,Квартиры!$K$2:$K$1501,0))&gt;0," +У","")&amp;IF(INDEX(Квартиры!$J$2:$J$1501,MATCH($A38*1000+13,Квартиры!$K$2:$K$1501,0))&gt;0," +Г",""),"-"))</f>
        <v/>
      </c>
      <c r="P38">
        <f>IF($A38="","",IFERROR(IF(Настройки!$B$4="да",INDEX(Квартиры!$D$2:$D$1501,MATCH($A38*1000+14,Квартиры!$K$2:$K$1501,0))&amp;" / ","")&amp;INDEX(Квартиры!$H$2:$H$1501,MATCH($A38*1000+14,Квартиры!$K$2:$K$1501,0))&amp;" СУ"&amp;IF(INDEX(Квартиры!$I$2:$I$1501,MATCH($A38*1000+14,Квартиры!$K$2:$K$1501,0))&gt;0," +У","")&amp;IF(INDEX(Квартиры!$J$2:$J$1501,MATCH($A38*1000+14,Квартиры!$K$2:$K$1501,0))&gt;0," +Г",""),"-"))</f>
        <v/>
      </c>
      <c r="Q38">
        <f>IF($A38="","",IFERROR(IF(Настройки!$B$4="да",INDEX(Квартиры!$D$2:$D$1501,MATCH($A38*1000+15,Квартиры!$K$2:$K$1501,0))&amp;" / ","")&amp;INDEX(Квартиры!$H$2:$H$1501,MATCH($A38*1000+15,Квартиры!$K$2:$K$1501,0))&amp;" СУ"&amp;IF(INDEX(Квартиры!$I$2:$I$1501,MATCH($A38*1000+15,Квартиры!$K$2:$K$1501,0))&gt;0," +У","")&amp;IF(INDEX(Квартиры!$J$2:$J$1501,MATCH($A38*1000+15,Квартиры!$K$2:$K$1501,0))&gt;0," +Г",""),"-"))</f>
        <v/>
      </c>
      <c r="R38">
        <f>IF(A38="","",C38&amp;"|"&amp;D38&amp;"|"&amp;E38&amp;"|"&amp;F38&amp;"|"&amp;G38&amp;"|"&amp;H38&amp;"|"&amp;I38&amp;"|"&amp;J38&amp;"|"&amp;K38&amp;"|"&amp;L38&amp;"|"&amp;M38&amp;"|"&amp;N38&amp;"|"&amp;O38&amp;"|"&amp;P38&amp;"|"&amp;Q38)</f>
        <v/>
      </c>
      <c r="S38">
        <f>IF(A38="","",IFERROR(LOOKUP(2,1/(B$2:B37=B38),S$2:S37)&amp;", ","")&amp;A38)</f>
        <v/>
      </c>
      <c r="U38">
        <f>IF(36&gt;MAX(B$3:B$82),"",36)</f>
        <v/>
      </c>
      <c r="V38">
        <f>IF(U38="","",LOOKUP(2,1/(B$3:B$82=U38),S$3:S$82))</f>
        <v/>
      </c>
      <c r="W38">
        <f>IF(U38="","",COUNTIF(B$3:B$82,U38))</f>
        <v/>
      </c>
    </row>
    <row r="39">
      <c r="A39">
        <f>IFERROR(IF(A38="","",SMALL(Квартиры!$B$2:$B$1501,COUNTIF(Квартиры!$B$2:$B$1501,"&lt;="&amp;A38)+1)),"")</f>
        <v/>
      </c>
      <c r="B39">
        <f>IF(A39="","",IF(COUNTIF(R$2:R38,R39)=0,MAX(B$2:B38)+1,INDEX(B$2:B38,MATCH(R39,R$2:R38,0))))</f>
        <v/>
      </c>
      <c r="C39">
        <f>IF($A39="","",IFERROR(IF(Настройки!$B$4="да",INDEX(Квартиры!$D$2:$D$1501,MATCH($A39*1000+1,Квартиры!$K$2:$K$1501,0))&amp;" / ","")&amp;INDEX(Квартиры!$H$2:$H$1501,MATCH($A39*1000+1,Квартиры!$K$2:$K$1501,0))&amp;" СУ"&amp;IF(INDEX(Квартиры!$I$2:$I$1501,MATCH($A39*1000+1,Квартиры!$K$2:$K$1501,0))&gt;0," +У","")&amp;IF(INDEX(Квартиры!$J$2:$J$1501,MATCH($A39*1000+1,Квартиры!$K$2:$K$1501,0))&gt;0," +Г",""),"-"))</f>
        <v/>
      </c>
      <c r="D39">
        <f>IF($A39="","",IFERROR(IF(Настройки!$B$4="да",INDEX(Квартиры!$D$2:$D$1501,MATCH($A39*1000+2,Квартиры!$K$2:$K$1501,0))&amp;" / ","")&amp;INDEX(Квартиры!$H$2:$H$1501,MATCH($A39*1000+2,Квартиры!$K$2:$K$1501,0))&amp;" СУ"&amp;IF(INDEX(Квартиры!$I$2:$I$1501,MATCH($A39*1000+2,Квартиры!$K$2:$K$1501,0))&gt;0," +У","")&amp;IF(INDEX(Квартиры!$J$2:$J$1501,MATCH($A39*1000+2,Квартиры!$K$2:$K$1501,0))&gt;0," +Г",""),"-"))</f>
        <v/>
      </c>
      <c r="E39">
        <f>IF($A39="","",IFERROR(IF(Настройки!$B$4="да",INDEX(Квартиры!$D$2:$D$1501,MATCH($A39*1000+3,Квартиры!$K$2:$K$1501,0))&amp;" / ","")&amp;INDEX(Квартиры!$H$2:$H$1501,MATCH($A39*1000+3,Квартиры!$K$2:$K$1501,0))&amp;" СУ"&amp;IF(INDEX(Квартиры!$I$2:$I$1501,MATCH($A39*1000+3,Квартиры!$K$2:$K$1501,0))&gt;0," +У","")&amp;IF(INDEX(Квартиры!$J$2:$J$1501,MATCH($A39*1000+3,Квартиры!$K$2:$K$1501,0))&gt;0," +Г",""),"-"))</f>
        <v/>
      </c>
      <c r="F39">
        <f>IF($A39="","",IFERROR(IF(Настройки!$B$4="да",INDEX(Квартиры!$D$2:$D$1501,MATCH($A39*1000+4,Квартиры!$K$2:$K$1501,0))&amp;" / ","")&amp;INDEX(Квартиры!$H$2:$H$1501,MATCH($A39*1000+4,Квартиры!$K$2:$K$1501,0))&amp;" СУ"&amp;IF(INDEX(Квартиры!$I$2:$I$1501,MATCH($A39*1000+4,Квартиры!$K$2:$K$1501,0))&gt;0," +У","")&amp;IF(INDEX(Квартиры!$J$2:$J$1501,MATCH($A39*1000+4,Квартиры!$K$2:$K$1501,0))&gt;0," +Г",""),"-"))</f>
        <v/>
      </c>
      <c r="G39">
        <f>IF($A39="","",IFERROR(IF(Настройки!$B$4="да",INDEX(Квартиры!$D$2:$D$1501,MATCH($A39*1000+5,Квартиры!$K$2:$K$1501,0))&amp;" / ","")&amp;INDEX(Квартиры!$H$2:$H$1501,MATCH($A39*1000+5,Квартиры!$K$2:$K$1501,0))&amp;" СУ"&amp;IF(INDEX(Квартиры!$I$2:$I$1501,MATCH($A39*1000+5,Квартиры!$K$2:$K$1501,0))&gt;0," +У","")&amp;IF(INDEX(Квартиры!$J$2:$J$1501,MATCH($A39*1000+5,Квартиры!$K$2:$K$1501,0))&gt;0," +Г",""),"-"))</f>
        <v/>
      </c>
      <c r="H39">
        <f>IF($A39="","",IFERROR(IF(Настройки!$B$4="да",INDEX(Квартиры!$D$2:$D$1501,MATCH($A39*1000+6,Квартиры!$K$2:$K$1501,0))&amp;" / ","")&amp;INDEX(Квартиры!$H$2:$H$1501,MATCH($A39*1000+6,Квартиры!$K$2:$K$1501,0))&amp;" СУ"&amp;IF(INDEX(Квартиры!$I$2:$I$1501,MATCH($A39*1000+6,Квартиры!$K$2:$K$1501,0))&gt;0," +У","")&amp;IF(INDEX(Квартиры!$J$2:$J$1501,MATCH($A39*1000+6,Квартиры!$K$2:$K$1501,0))&gt;0," +Г",""),"-"))</f>
        <v/>
      </c>
      <c r="I39">
        <f>IF($A39="","",IFERROR(IF(Настройки!$B$4="да",INDEX(Квартиры!$D$2:$D$1501,MATCH($A39*1000+7,Квартиры!$K$2:$K$1501,0))&amp;" / ","")&amp;INDEX(Квартиры!$H$2:$H$1501,MATCH($A39*1000+7,Квартиры!$K$2:$K$1501,0))&amp;" СУ"&amp;IF(INDEX(Квартиры!$I$2:$I$1501,MATCH($A39*1000+7,Квартиры!$K$2:$K$1501,0))&gt;0," +У","")&amp;IF(INDEX(Квартиры!$J$2:$J$1501,MATCH($A39*1000+7,Квартиры!$K$2:$K$1501,0))&gt;0," +Г",""),"-"))</f>
        <v/>
      </c>
      <c r="J39">
        <f>IF($A39="","",IFERROR(IF(Настройки!$B$4="да",INDEX(Квартиры!$D$2:$D$1501,MATCH($A39*1000+8,Квартиры!$K$2:$K$1501,0))&amp;" / ","")&amp;INDEX(Квартиры!$H$2:$H$1501,MATCH($A39*1000+8,Квартиры!$K$2:$K$1501,0))&amp;" СУ"&amp;IF(INDEX(Квартиры!$I$2:$I$1501,MATCH($A39*1000+8,Квартиры!$K$2:$K$1501,0))&gt;0," +У","")&amp;IF(INDEX(Квартиры!$J$2:$J$1501,MATCH($A39*1000+8,Квартиры!$K$2:$K$1501,0))&gt;0," +Г",""),"-"))</f>
        <v/>
      </c>
      <c r="K39">
        <f>IF($A39="","",IFERROR(IF(Настройки!$B$4="да",INDEX(Квартиры!$D$2:$D$1501,MATCH($A39*1000+9,Квартиры!$K$2:$K$1501,0))&amp;" / ","")&amp;INDEX(Квартиры!$H$2:$H$1501,MATCH($A39*1000+9,Квартиры!$K$2:$K$1501,0))&amp;" СУ"&amp;IF(INDEX(Квартиры!$I$2:$I$1501,MATCH($A39*1000+9,Квартиры!$K$2:$K$1501,0))&gt;0," +У","")&amp;IF(INDEX(Квартиры!$J$2:$J$1501,MATCH($A39*1000+9,Квартиры!$K$2:$K$1501,0))&gt;0," +Г",""),"-"))</f>
        <v/>
      </c>
      <c r="L39">
        <f>IF($A39="","",IFERROR(IF(Настройки!$B$4="да",INDEX(Квартиры!$D$2:$D$1501,MATCH($A39*1000+10,Квартиры!$K$2:$K$1501,0))&amp;" / ","")&amp;INDEX(Квартиры!$H$2:$H$1501,MATCH($A39*1000+10,Квартиры!$K$2:$K$1501,0))&amp;" СУ"&amp;IF(INDEX(Квартиры!$I$2:$I$1501,MATCH($A39*1000+10,Квартиры!$K$2:$K$1501,0))&gt;0," +У","")&amp;IF(INDEX(Квартиры!$J$2:$J$1501,MATCH($A39*1000+10,Квартиры!$K$2:$K$1501,0))&gt;0," +Г",""),"-"))</f>
        <v/>
      </c>
      <c r="M39">
        <f>IF($A39="","",IFERROR(IF(Настройки!$B$4="да",INDEX(Квартиры!$D$2:$D$1501,MATCH($A39*1000+11,Квартиры!$K$2:$K$1501,0))&amp;" / ","")&amp;INDEX(Квартиры!$H$2:$H$1501,MATCH($A39*1000+11,Квартиры!$K$2:$K$1501,0))&amp;" СУ"&amp;IF(INDEX(Квартиры!$I$2:$I$1501,MATCH($A39*1000+11,Квартиры!$K$2:$K$1501,0))&gt;0," +У","")&amp;IF(INDEX(Квартиры!$J$2:$J$1501,MATCH($A39*1000+11,Квартиры!$K$2:$K$1501,0))&gt;0," +Г",""),"-"))</f>
        <v/>
      </c>
      <c r="N39">
        <f>IF($A39="","",IFERROR(IF(Настройки!$B$4="да",INDEX(Квартиры!$D$2:$D$1501,MATCH($A39*1000+12,Квартиры!$K$2:$K$1501,0))&amp;" / ","")&amp;INDEX(Квартиры!$H$2:$H$1501,MATCH($A39*1000+12,Квартиры!$K$2:$K$1501,0))&amp;" СУ"&amp;IF(INDEX(Квартиры!$I$2:$I$1501,MATCH($A39*1000+12,Квартиры!$K$2:$K$1501,0))&gt;0," +У","")&amp;IF(INDEX(Квартиры!$J$2:$J$1501,MATCH($A39*1000+12,Квартиры!$K$2:$K$1501,0))&gt;0," +Г",""),"-"))</f>
        <v/>
      </c>
      <c r="O39">
        <f>IF($A39="","",IFERROR(IF(Настройки!$B$4="да",INDEX(Квартиры!$D$2:$D$1501,MATCH($A39*1000+13,Квартиры!$K$2:$K$1501,0))&amp;" / ","")&amp;INDEX(Квартиры!$H$2:$H$1501,MATCH($A39*1000+13,Квартиры!$K$2:$K$1501,0))&amp;" СУ"&amp;IF(INDEX(Квартиры!$I$2:$I$1501,MATCH($A39*1000+13,Квартиры!$K$2:$K$1501,0))&gt;0," +У","")&amp;IF(INDEX(Квартиры!$J$2:$J$1501,MATCH($A39*1000+13,Квартиры!$K$2:$K$1501,0))&gt;0," +Г",""),"-"))</f>
        <v/>
      </c>
      <c r="P39">
        <f>IF($A39="","",IFERROR(IF(Настройки!$B$4="да",INDEX(Квартиры!$D$2:$D$1501,MATCH($A39*1000+14,Квартиры!$K$2:$K$1501,0))&amp;" / ","")&amp;INDEX(Квартиры!$H$2:$H$1501,MATCH($A39*1000+14,Квартиры!$K$2:$K$1501,0))&amp;" СУ"&amp;IF(INDEX(Квартиры!$I$2:$I$1501,MATCH($A39*1000+14,Квартиры!$K$2:$K$1501,0))&gt;0," +У","")&amp;IF(INDEX(Квартиры!$J$2:$J$1501,MATCH($A39*1000+14,Квартиры!$K$2:$K$1501,0))&gt;0," +Г",""),"-"))</f>
        <v/>
      </c>
      <c r="Q39">
        <f>IF($A39="","",IFERROR(IF(Настройки!$B$4="да",INDEX(Квартиры!$D$2:$D$1501,MATCH($A39*1000+15,Квартиры!$K$2:$K$1501,0))&amp;" / ","")&amp;INDEX(Квартиры!$H$2:$H$1501,MATCH($A39*1000+15,Квартиры!$K$2:$K$1501,0))&amp;" СУ"&amp;IF(INDEX(Квартиры!$I$2:$I$1501,MATCH($A39*1000+15,Квартиры!$K$2:$K$1501,0))&gt;0," +У","")&amp;IF(INDEX(Квартиры!$J$2:$J$1501,MATCH($A39*1000+15,Квартиры!$K$2:$K$1501,0))&gt;0," +Г",""),"-"))</f>
        <v/>
      </c>
      <c r="R39">
        <f>IF(A39="","",C39&amp;"|"&amp;D39&amp;"|"&amp;E39&amp;"|"&amp;F39&amp;"|"&amp;G39&amp;"|"&amp;H39&amp;"|"&amp;I39&amp;"|"&amp;J39&amp;"|"&amp;K39&amp;"|"&amp;L39&amp;"|"&amp;M39&amp;"|"&amp;N39&amp;"|"&amp;O39&amp;"|"&amp;P39&amp;"|"&amp;Q39)</f>
        <v/>
      </c>
      <c r="S39">
        <f>IF(A39="","",IFERROR(LOOKUP(2,1/(B$2:B38=B39),S$2:S38)&amp;", ","")&amp;A39)</f>
        <v/>
      </c>
      <c r="U39">
        <f>IF(37&gt;MAX(B$3:B$82),"",37)</f>
        <v/>
      </c>
      <c r="V39">
        <f>IF(U39="","",LOOKUP(2,1/(B$3:B$82=U39),S$3:S$82))</f>
        <v/>
      </c>
      <c r="W39">
        <f>IF(U39="","",COUNTIF(B$3:B$82,U39))</f>
        <v/>
      </c>
    </row>
    <row r="40">
      <c r="A40">
        <f>IFERROR(IF(A39="","",SMALL(Квартиры!$B$2:$B$1501,COUNTIF(Квартиры!$B$2:$B$1501,"&lt;="&amp;A39)+1)),"")</f>
        <v/>
      </c>
      <c r="B40">
        <f>IF(A40="","",IF(COUNTIF(R$2:R39,R40)=0,MAX(B$2:B39)+1,INDEX(B$2:B39,MATCH(R40,R$2:R39,0))))</f>
        <v/>
      </c>
      <c r="C40">
        <f>IF($A40="","",IFERROR(IF(Настройки!$B$4="да",INDEX(Квартиры!$D$2:$D$1501,MATCH($A40*1000+1,Квартиры!$K$2:$K$1501,0))&amp;" / ","")&amp;INDEX(Квартиры!$H$2:$H$1501,MATCH($A40*1000+1,Квартиры!$K$2:$K$1501,0))&amp;" СУ"&amp;IF(INDEX(Квартиры!$I$2:$I$1501,MATCH($A40*1000+1,Квартиры!$K$2:$K$1501,0))&gt;0," +У","")&amp;IF(INDEX(Квартиры!$J$2:$J$1501,MATCH($A40*1000+1,Квартиры!$K$2:$K$1501,0))&gt;0," +Г",""),"-"))</f>
        <v/>
      </c>
      <c r="D40">
        <f>IF($A40="","",IFERROR(IF(Настройки!$B$4="да",INDEX(Квартиры!$D$2:$D$1501,MATCH($A40*1000+2,Квартиры!$K$2:$K$1501,0))&amp;" / ","")&amp;INDEX(Квартиры!$H$2:$H$1501,MATCH($A40*1000+2,Квартиры!$K$2:$K$1501,0))&amp;" СУ"&amp;IF(INDEX(Квартиры!$I$2:$I$1501,MATCH($A40*1000+2,Квартиры!$K$2:$K$1501,0))&gt;0," +У","")&amp;IF(INDEX(Квартиры!$J$2:$J$1501,MATCH($A40*1000+2,Квартиры!$K$2:$K$1501,0))&gt;0," +Г",""),"-"))</f>
        <v/>
      </c>
      <c r="E40">
        <f>IF($A40="","",IFERROR(IF(Настройки!$B$4="да",INDEX(Квартиры!$D$2:$D$1501,MATCH($A40*1000+3,Квартиры!$K$2:$K$1501,0))&amp;" / ","")&amp;INDEX(Квартиры!$H$2:$H$1501,MATCH($A40*1000+3,Квартиры!$K$2:$K$1501,0))&amp;" СУ"&amp;IF(INDEX(Квартиры!$I$2:$I$1501,MATCH($A40*1000+3,Квартиры!$K$2:$K$1501,0))&gt;0," +У","")&amp;IF(INDEX(Квартиры!$J$2:$J$1501,MATCH($A40*1000+3,Квартиры!$K$2:$K$1501,0))&gt;0," +Г",""),"-"))</f>
        <v/>
      </c>
      <c r="F40">
        <f>IF($A40="","",IFERROR(IF(Настройки!$B$4="да",INDEX(Квартиры!$D$2:$D$1501,MATCH($A40*1000+4,Квартиры!$K$2:$K$1501,0))&amp;" / ","")&amp;INDEX(Квартиры!$H$2:$H$1501,MATCH($A40*1000+4,Квартиры!$K$2:$K$1501,0))&amp;" СУ"&amp;IF(INDEX(Квартиры!$I$2:$I$1501,MATCH($A40*1000+4,Квартиры!$K$2:$K$1501,0))&gt;0," +У","")&amp;IF(INDEX(Квартиры!$J$2:$J$1501,MATCH($A40*1000+4,Квартиры!$K$2:$K$1501,0))&gt;0," +Г",""),"-"))</f>
        <v/>
      </c>
      <c r="G40">
        <f>IF($A40="","",IFERROR(IF(Настройки!$B$4="да",INDEX(Квартиры!$D$2:$D$1501,MATCH($A40*1000+5,Квартиры!$K$2:$K$1501,0))&amp;" / ","")&amp;INDEX(Квартиры!$H$2:$H$1501,MATCH($A40*1000+5,Квартиры!$K$2:$K$1501,0))&amp;" СУ"&amp;IF(INDEX(Квартиры!$I$2:$I$1501,MATCH($A40*1000+5,Квартиры!$K$2:$K$1501,0))&gt;0," +У","")&amp;IF(INDEX(Квартиры!$J$2:$J$1501,MATCH($A40*1000+5,Квартиры!$K$2:$K$1501,0))&gt;0," +Г",""),"-"))</f>
        <v/>
      </c>
      <c r="H40">
        <f>IF($A40="","",IFERROR(IF(Настройки!$B$4="да",INDEX(Квартиры!$D$2:$D$1501,MATCH($A40*1000+6,Квартиры!$K$2:$K$1501,0))&amp;" / ","")&amp;INDEX(Квартиры!$H$2:$H$1501,MATCH($A40*1000+6,Квартиры!$K$2:$K$1501,0))&amp;" СУ"&amp;IF(INDEX(Квартиры!$I$2:$I$1501,MATCH($A40*1000+6,Квартиры!$K$2:$K$1501,0))&gt;0," +У","")&amp;IF(INDEX(Квартиры!$J$2:$J$1501,MATCH($A40*1000+6,Квартиры!$K$2:$K$1501,0))&gt;0," +Г",""),"-"))</f>
        <v/>
      </c>
      <c r="I40">
        <f>IF($A40="","",IFERROR(IF(Настройки!$B$4="да",INDEX(Квартиры!$D$2:$D$1501,MATCH($A40*1000+7,Квартиры!$K$2:$K$1501,0))&amp;" / ","")&amp;INDEX(Квартиры!$H$2:$H$1501,MATCH($A40*1000+7,Квартиры!$K$2:$K$1501,0))&amp;" СУ"&amp;IF(INDEX(Квартиры!$I$2:$I$1501,MATCH($A40*1000+7,Квартиры!$K$2:$K$1501,0))&gt;0," +У","")&amp;IF(INDEX(Квартиры!$J$2:$J$1501,MATCH($A40*1000+7,Квартиры!$K$2:$K$1501,0))&gt;0," +Г",""),"-"))</f>
        <v/>
      </c>
      <c r="J40">
        <f>IF($A40="","",IFERROR(IF(Настройки!$B$4="да",INDEX(Квартиры!$D$2:$D$1501,MATCH($A40*1000+8,Квартиры!$K$2:$K$1501,0))&amp;" / ","")&amp;INDEX(Квартиры!$H$2:$H$1501,MATCH($A40*1000+8,Квартиры!$K$2:$K$1501,0))&amp;" СУ"&amp;IF(INDEX(Квартиры!$I$2:$I$1501,MATCH($A40*1000+8,Квартиры!$K$2:$K$1501,0))&gt;0," +У","")&amp;IF(INDEX(Квартиры!$J$2:$J$1501,MATCH($A40*1000+8,Квартиры!$K$2:$K$1501,0))&gt;0," +Г",""),"-"))</f>
        <v/>
      </c>
      <c r="K40">
        <f>IF($A40="","",IFERROR(IF(Настройки!$B$4="да",INDEX(Квартиры!$D$2:$D$1501,MATCH($A40*1000+9,Квартиры!$K$2:$K$1501,0))&amp;" / ","")&amp;INDEX(Квартиры!$H$2:$H$1501,MATCH($A40*1000+9,Квартиры!$K$2:$K$1501,0))&amp;" СУ"&amp;IF(INDEX(Квартиры!$I$2:$I$1501,MATCH($A40*1000+9,Квартиры!$K$2:$K$1501,0))&gt;0," +У","")&amp;IF(INDEX(Квартиры!$J$2:$J$1501,MATCH($A40*1000+9,Квартиры!$K$2:$K$1501,0))&gt;0," +Г",""),"-"))</f>
        <v/>
      </c>
      <c r="L40">
        <f>IF($A40="","",IFERROR(IF(Настройки!$B$4="да",INDEX(Квартиры!$D$2:$D$1501,MATCH($A40*1000+10,Квартиры!$K$2:$K$1501,0))&amp;" / ","")&amp;INDEX(Квартиры!$H$2:$H$1501,MATCH($A40*1000+10,Квартиры!$K$2:$K$1501,0))&amp;" СУ"&amp;IF(INDEX(Квартиры!$I$2:$I$1501,MATCH($A40*1000+10,Квартиры!$K$2:$K$1501,0))&gt;0," +У","")&amp;IF(INDEX(Квартиры!$J$2:$J$1501,MATCH($A40*1000+10,Квартиры!$K$2:$K$1501,0))&gt;0," +Г",""),"-"))</f>
        <v/>
      </c>
      <c r="M40">
        <f>IF($A40="","",IFERROR(IF(Настройки!$B$4="да",INDEX(Квартиры!$D$2:$D$1501,MATCH($A40*1000+11,Квартиры!$K$2:$K$1501,0))&amp;" / ","")&amp;INDEX(Квартиры!$H$2:$H$1501,MATCH($A40*1000+11,Квартиры!$K$2:$K$1501,0))&amp;" СУ"&amp;IF(INDEX(Квартиры!$I$2:$I$1501,MATCH($A40*1000+11,Квартиры!$K$2:$K$1501,0))&gt;0," +У","")&amp;IF(INDEX(Квартиры!$J$2:$J$1501,MATCH($A40*1000+11,Квартиры!$K$2:$K$1501,0))&gt;0," +Г",""),"-"))</f>
        <v/>
      </c>
      <c r="N40">
        <f>IF($A40="","",IFERROR(IF(Настройки!$B$4="да",INDEX(Квартиры!$D$2:$D$1501,MATCH($A40*1000+12,Квартиры!$K$2:$K$1501,0))&amp;" / ","")&amp;INDEX(Квартиры!$H$2:$H$1501,MATCH($A40*1000+12,Квартиры!$K$2:$K$1501,0))&amp;" СУ"&amp;IF(INDEX(Квартиры!$I$2:$I$1501,MATCH($A40*1000+12,Квартиры!$K$2:$K$1501,0))&gt;0," +У","")&amp;IF(INDEX(Квартиры!$J$2:$J$1501,MATCH($A40*1000+12,Квартиры!$K$2:$K$1501,0))&gt;0," +Г",""),"-"))</f>
        <v/>
      </c>
      <c r="O40">
        <f>IF($A40="","",IFERROR(IF(Настройки!$B$4="да",INDEX(Квартиры!$D$2:$D$1501,MATCH($A40*1000+13,Квартиры!$K$2:$K$1501,0))&amp;" / ","")&amp;INDEX(Квартиры!$H$2:$H$1501,MATCH($A40*1000+13,Квартиры!$K$2:$K$1501,0))&amp;" СУ"&amp;IF(INDEX(Квартиры!$I$2:$I$1501,MATCH($A40*1000+13,Квартиры!$K$2:$K$1501,0))&gt;0," +У","")&amp;IF(INDEX(Квартиры!$J$2:$J$1501,MATCH($A40*1000+13,Квартиры!$K$2:$K$1501,0))&gt;0," +Г",""),"-"))</f>
        <v/>
      </c>
      <c r="P40">
        <f>IF($A40="","",IFERROR(IF(Настройки!$B$4="да",INDEX(Квартиры!$D$2:$D$1501,MATCH($A40*1000+14,Квартиры!$K$2:$K$1501,0))&amp;" / ","")&amp;INDEX(Квартиры!$H$2:$H$1501,MATCH($A40*1000+14,Квартиры!$K$2:$K$1501,0))&amp;" СУ"&amp;IF(INDEX(Квартиры!$I$2:$I$1501,MATCH($A40*1000+14,Квартиры!$K$2:$K$1501,0))&gt;0," +У","")&amp;IF(INDEX(Квартиры!$J$2:$J$1501,MATCH($A40*1000+14,Квартиры!$K$2:$K$1501,0))&gt;0," +Г",""),"-"))</f>
        <v/>
      </c>
      <c r="Q40">
        <f>IF($A40="","",IFERROR(IF(Настройки!$B$4="да",INDEX(Квартиры!$D$2:$D$1501,MATCH($A40*1000+15,Квартиры!$K$2:$K$1501,0))&amp;" / ","")&amp;INDEX(Квартиры!$H$2:$H$1501,MATCH($A40*1000+15,Квартиры!$K$2:$K$1501,0))&amp;" СУ"&amp;IF(INDEX(Квартиры!$I$2:$I$1501,MATCH($A40*1000+15,Квартиры!$K$2:$K$1501,0))&gt;0," +У","")&amp;IF(INDEX(Квартиры!$J$2:$J$1501,MATCH($A40*1000+15,Квартиры!$K$2:$K$1501,0))&gt;0," +Г",""),"-"))</f>
        <v/>
      </c>
      <c r="R40">
        <f>IF(A40="","",C40&amp;"|"&amp;D40&amp;"|"&amp;E40&amp;"|"&amp;F40&amp;"|"&amp;G40&amp;"|"&amp;H40&amp;"|"&amp;I40&amp;"|"&amp;J40&amp;"|"&amp;K40&amp;"|"&amp;L40&amp;"|"&amp;M40&amp;"|"&amp;N40&amp;"|"&amp;O40&amp;"|"&amp;P40&amp;"|"&amp;Q40)</f>
        <v/>
      </c>
      <c r="S40">
        <f>IF(A40="","",IFERROR(LOOKUP(2,1/(B$2:B39=B40),S$2:S39)&amp;", ","")&amp;A40)</f>
        <v/>
      </c>
      <c r="U40">
        <f>IF(38&gt;MAX(B$3:B$82),"",38)</f>
        <v/>
      </c>
      <c r="V40">
        <f>IF(U40="","",LOOKUP(2,1/(B$3:B$82=U40),S$3:S$82))</f>
        <v/>
      </c>
      <c r="W40">
        <f>IF(U40="","",COUNTIF(B$3:B$82,U40))</f>
        <v/>
      </c>
    </row>
    <row r="41">
      <c r="A41">
        <f>IFERROR(IF(A40="","",SMALL(Квартиры!$B$2:$B$1501,COUNTIF(Квартиры!$B$2:$B$1501,"&lt;="&amp;A40)+1)),"")</f>
        <v/>
      </c>
      <c r="B41">
        <f>IF(A41="","",IF(COUNTIF(R$2:R40,R41)=0,MAX(B$2:B40)+1,INDEX(B$2:B40,MATCH(R41,R$2:R40,0))))</f>
        <v/>
      </c>
      <c r="C41">
        <f>IF($A41="","",IFERROR(IF(Настройки!$B$4="да",INDEX(Квартиры!$D$2:$D$1501,MATCH($A41*1000+1,Квартиры!$K$2:$K$1501,0))&amp;" / ","")&amp;INDEX(Квартиры!$H$2:$H$1501,MATCH($A41*1000+1,Квартиры!$K$2:$K$1501,0))&amp;" СУ"&amp;IF(INDEX(Квартиры!$I$2:$I$1501,MATCH($A41*1000+1,Квартиры!$K$2:$K$1501,0))&gt;0," +У","")&amp;IF(INDEX(Квартиры!$J$2:$J$1501,MATCH($A41*1000+1,Квартиры!$K$2:$K$1501,0))&gt;0," +Г",""),"-"))</f>
        <v/>
      </c>
      <c r="D41">
        <f>IF($A41="","",IFERROR(IF(Настройки!$B$4="да",INDEX(Квартиры!$D$2:$D$1501,MATCH($A41*1000+2,Квартиры!$K$2:$K$1501,0))&amp;" / ","")&amp;INDEX(Квартиры!$H$2:$H$1501,MATCH($A41*1000+2,Квартиры!$K$2:$K$1501,0))&amp;" СУ"&amp;IF(INDEX(Квартиры!$I$2:$I$1501,MATCH($A41*1000+2,Квартиры!$K$2:$K$1501,0))&gt;0," +У","")&amp;IF(INDEX(Квартиры!$J$2:$J$1501,MATCH($A41*1000+2,Квартиры!$K$2:$K$1501,0))&gt;0," +Г",""),"-"))</f>
        <v/>
      </c>
      <c r="E41">
        <f>IF($A41="","",IFERROR(IF(Настройки!$B$4="да",INDEX(Квартиры!$D$2:$D$1501,MATCH($A41*1000+3,Квартиры!$K$2:$K$1501,0))&amp;" / ","")&amp;INDEX(Квартиры!$H$2:$H$1501,MATCH($A41*1000+3,Квартиры!$K$2:$K$1501,0))&amp;" СУ"&amp;IF(INDEX(Квартиры!$I$2:$I$1501,MATCH($A41*1000+3,Квартиры!$K$2:$K$1501,0))&gt;0," +У","")&amp;IF(INDEX(Квартиры!$J$2:$J$1501,MATCH($A41*1000+3,Квартиры!$K$2:$K$1501,0))&gt;0," +Г",""),"-"))</f>
        <v/>
      </c>
      <c r="F41">
        <f>IF($A41="","",IFERROR(IF(Настройки!$B$4="да",INDEX(Квартиры!$D$2:$D$1501,MATCH($A41*1000+4,Квартиры!$K$2:$K$1501,0))&amp;" / ","")&amp;INDEX(Квартиры!$H$2:$H$1501,MATCH($A41*1000+4,Квартиры!$K$2:$K$1501,0))&amp;" СУ"&amp;IF(INDEX(Квартиры!$I$2:$I$1501,MATCH($A41*1000+4,Квартиры!$K$2:$K$1501,0))&gt;0," +У","")&amp;IF(INDEX(Квартиры!$J$2:$J$1501,MATCH($A41*1000+4,Квартиры!$K$2:$K$1501,0))&gt;0," +Г",""),"-"))</f>
        <v/>
      </c>
      <c r="G41">
        <f>IF($A41="","",IFERROR(IF(Настройки!$B$4="да",INDEX(Квартиры!$D$2:$D$1501,MATCH($A41*1000+5,Квартиры!$K$2:$K$1501,0))&amp;" / ","")&amp;INDEX(Квартиры!$H$2:$H$1501,MATCH($A41*1000+5,Квартиры!$K$2:$K$1501,0))&amp;" СУ"&amp;IF(INDEX(Квартиры!$I$2:$I$1501,MATCH($A41*1000+5,Квартиры!$K$2:$K$1501,0))&gt;0," +У","")&amp;IF(INDEX(Квартиры!$J$2:$J$1501,MATCH($A41*1000+5,Квартиры!$K$2:$K$1501,0))&gt;0," +Г",""),"-"))</f>
        <v/>
      </c>
      <c r="H41">
        <f>IF($A41="","",IFERROR(IF(Настройки!$B$4="да",INDEX(Квартиры!$D$2:$D$1501,MATCH($A41*1000+6,Квартиры!$K$2:$K$1501,0))&amp;" / ","")&amp;INDEX(Квартиры!$H$2:$H$1501,MATCH($A41*1000+6,Квартиры!$K$2:$K$1501,0))&amp;" СУ"&amp;IF(INDEX(Квартиры!$I$2:$I$1501,MATCH($A41*1000+6,Квартиры!$K$2:$K$1501,0))&gt;0," +У","")&amp;IF(INDEX(Квартиры!$J$2:$J$1501,MATCH($A41*1000+6,Квартиры!$K$2:$K$1501,0))&gt;0," +Г",""),"-"))</f>
        <v/>
      </c>
      <c r="I41">
        <f>IF($A41="","",IFERROR(IF(Настройки!$B$4="да",INDEX(Квартиры!$D$2:$D$1501,MATCH($A41*1000+7,Квартиры!$K$2:$K$1501,0))&amp;" / ","")&amp;INDEX(Квартиры!$H$2:$H$1501,MATCH($A41*1000+7,Квартиры!$K$2:$K$1501,0))&amp;" СУ"&amp;IF(INDEX(Квартиры!$I$2:$I$1501,MATCH($A41*1000+7,Квартиры!$K$2:$K$1501,0))&gt;0," +У","")&amp;IF(INDEX(Квартиры!$J$2:$J$1501,MATCH($A41*1000+7,Квартиры!$K$2:$K$1501,0))&gt;0," +Г",""),"-"))</f>
        <v/>
      </c>
      <c r="J41">
        <f>IF($A41="","",IFERROR(IF(Настройки!$B$4="да",INDEX(Квартиры!$D$2:$D$1501,MATCH($A41*1000+8,Квартиры!$K$2:$K$1501,0))&amp;" / ","")&amp;INDEX(Квартиры!$H$2:$H$1501,MATCH($A41*1000+8,Квартиры!$K$2:$K$1501,0))&amp;" СУ"&amp;IF(INDEX(Квартиры!$I$2:$I$1501,MATCH($A41*1000+8,Квартиры!$K$2:$K$1501,0))&gt;0," +У","")&amp;IF(INDEX(Квартиры!$J$2:$J$1501,MATCH($A41*1000+8,Квартиры!$K$2:$K$1501,0))&gt;0," +Г",""),"-"))</f>
        <v/>
      </c>
      <c r="K41">
        <f>IF($A41="","",IFERROR(IF(Настройки!$B$4="да",INDEX(Квартиры!$D$2:$D$1501,MATCH($A41*1000+9,Квартиры!$K$2:$K$1501,0))&amp;" / ","")&amp;INDEX(Квартиры!$H$2:$H$1501,MATCH($A41*1000+9,Квартиры!$K$2:$K$1501,0))&amp;" СУ"&amp;IF(INDEX(Квартиры!$I$2:$I$1501,MATCH($A41*1000+9,Квартиры!$K$2:$K$1501,0))&gt;0," +У","")&amp;IF(INDEX(Квартиры!$J$2:$J$1501,MATCH($A41*1000+9,Квартиры!$K$2:$K$1501,0))&gt;0," +Г",""),"-"))</f>
        <v/>
      </c>
      <c r="L41">
        <f>IF($A41="","",IFERROR(IF(Настройки!$B$4="да",INDEX(Квартиры!$D$2:$D$1501,MATCH($A41*1000+10,Квартиры!$K$2:$K$1501,0))&amp;" / ","")&amp;INDEX(Квартиры!$H$2:$H$1501,MATCH($A41*1000+10,Квартиры!$K$2:$K$1501,0))&amp;" СУ"&amp;IF(INDEX(Квартиры!$I$2:$I$1501,MATCH($A41*1000+10,Квартиры!$K$2:$K$1501,0))&gt;0," +У","")&amp;IF(INDEX(Квартиры!$J$2:$J$1501,MATCH($A41*1000+10,Квартиры!$K$2:$K$1501,0))&gt;0," +Г",""),"-"))</f>
        <v/>
      </c>
      <c r="M41">
        <f>IF($A41="","",IFERROR(IF(Настройки!$B$4="да",INDEX(Квартиры!$D$2:$D$1501,MATCH($A41*1000+11,Квартиры!$K$2:$K$1501,0))&amp;" / ","")&amp;INDEX(Квартиры!$H$2:$H$1501,MATCH($A41*1000+11,Квартиры!$K$2:$K$1501,0))&amp;" СУ"&amp;IF(INDEX(Квартиры!$I$2:$I$1501,MATCH($A41*1000+11,Квартиры!$K$2:$K$1501,0))&gt;0," +У","")&amp;IF(INDEX(Квартиры!$J$2:$J$1501,MATCH($A41*1000+11,Квартиры!$K$2:$K$1501,0))&gt;0," +Г",""),"-"))</f>
        <v/>
      </c>
      <c r="N41">
        <f>IF($A41="","",IFERROR(IF(Настройки!$B$4="да",INDEX(Квартиры!$D$2:$D$1501,MATCH($A41*1000+12,Квартиры!$K$2:$K$1501,0))&amp;" / ","")&amp;INDEX(Квартиры!$H$2:$H$1501,MATCH($A41*1000+12,Квартиры!$K$2:$K$1501,0))&amp;" СУ"&amp;IF(INDEX(Квартиры!$I$2:$I$1501,MATCH($A41*1000+12,Квартиры!$K$2:$K$1501,0))&gt;0," +У","")&amp;IF(INDEX(Квартиры!$J$2:$J$1501,MATCH($A41*1000+12,Квартиры!$K$2:$K$1501,0))&gt;0," +Г",""),"-"))</f>
        <v/>
      </c>
      <c r="O41">
        <f>IF($A41="","",IFERROR(IF(Настройки!$B$4="да",INDEX(Квартиры!$D$2:$D$1501,MATCH($A41*1000+13,Квартиры!$K$2:$K$1501,0))&amp;" / ","")&amp;INDEX(Квартиры!$H$2:$H$1501,MATCH($A41*1000+13,Квартиры!$K$2:$K$1501,0))&amp;" СУ"&amp;IF(INDEX(Квартиры!$I$2:$I$1501,MATCH($A41*1000+13,Квартиры!$K$2:$K$1501,0))&gt;0," +У","")&amp;IF(INDEX(Квартиры!$J$2:$J$1501,MATCH($A41*1000+13,Квартиры!$K$2:$K$1501,0))&gt;0," +Г",""),"-"))</f>
        <v/>
      </c>
      <c r="P41">
        <f>IF($A41="","",IFERROR(IF(Настройки!$B$4="да",INDEX(Квартиры!$D$2:$D$1501,MATCH($A41*1000+14,Квартиры!$K$2:$K$1501,0))&amp;" / ","")&amp;INDEX(Квартиры!$H$2:$H$1501,MATCH($A41*1000+14,Квартиры!$K$2:$K$1501,0))&amp;" СУ"&amp;IF(INDEX(Квартиры!$I$2:$I$1501,MATCH($A41*1000+14,Квартиры!$K$2:$K$1501,0))&gt;0," +У","")&amp;IF(INDEX(Квартиры!$J$2:$J$1501,MATCH($A41*1000+14,Квартиры!$K$2:$K$1501,0))&gt;0," +Г",""),"-"))</f>
        <v/>
      </c>
      <c r="Q41">
        <f>IF($A41="","",IFERROR(IF(Настройки!$B$4="да",INDEX(Квартиры!$D$2:$D$1501,MATCH($A41*1000+15,Квартиры!$K$2:$K$1501,0))&amp;" / ","")&amp;INDEX(Квартиры!$H$2:$H$1501,MATCH($A41*1000+15,Квартиры!$K$2:$K$1501,0))&amp;" СУ"&amp;IF(INDEX(Квартиры!$I$2:$I$1501,MATCH($A41*1000+15,Квартиры!$K$2:$K$1501,0))&gt;0," +У","")&amp;IF(INDEX(Квартиры!$J$2:$J$1501,MATCH($A41*1000+15,Квартиры!$K$2:$K$1501,0))&gt;0," +Г",""),"-"))</f>
        <v/>
      </c>
      <c r="R41">
        <f>IF(A41="","",C41&amp;"|"&amp;D41&amp;"|"&amp;E41&amp;"|"&amp;F41&amp;"|"&amp;G41&amp;"|"&amp;H41&amp;"|"&amp;I41&amp;"|"&amp;J41&amp;"|"&amp;K41&amp;"|"&amp;L41&amp;"|"&amp;M41&amp;"|"&amp;N41&amp;"|"&amp;O41&amp;"|"&amp;P41&amp;"|"&amp;Q41)</f>
        <v/>
      </c>
      <c r="S41">
        <f>IF(A41="","",IFERROR(LOOKUP(2,1/(B$2:B40=B41),S$2:S40)&amp;", ","")&amp;A41)</f>
        <v/>
      </c>
      <c r="U41">
        <f>IF(39&gt;MAX(B$3:B$82),"",39)</f>
        <v/>
      </c>
      <c r="V41">
        <f>IF(U41="","",LOOKUP(2,1/(B$3:B$82=U41),S$3:S$82))</f>
        <v/>
      </c>
      <c r="W41">
        <f>IF(U41="","",COUNTIF(B$3:B$82,U41))</f>
        <v/>
      </c>
    </row>
    <row r="42">
      <c r="A42">
        <f>IFERROR(IF(A41="","",SMALL(Квартиры!$B$2:$B$1501,COUNTIF(Квартиры!$B$2:$B$1501,"&lt;="&amp;A41)+1)),"")</f>
        <v/>
      </c>
      <c r="B42">
        <f>IF(A42="","",IF(COUNTIF(R$2:R41,R42)=0,MAX(B$2:B41)+1,INDEX(B$2:B41,MATCH(R42,R$2:R41,0))))</f>
        <v/>
      </c>
      <c r="C42">
        <f>IF($A42="","",IFERROR(IF(Настройки!$B$4="да",INDEX(Квартиры!$D$2:$D$1501,MATCH($A42*1000+1,Квартиры!$K$2:$K$1501,0))&amp;" / ","")&amp;INDEX(Квартиры!$H$2:$H$1501,MATCH($A42*1000+1,Квартиры!$K$2:$K$1501,0))&amp;" СУ"&amp;IF(INDEX(Квартиры!$I$2:$I$1501,MATCH($A42*1000+1,Квартиры!$K$2:$K$1501,0))&gt;0," +У","")&amp;IF(INDEX(Квартиры!$J$2:$J$1501,MATCH($A42*1000+1,Квартиры!$K$2:$K$1501,0))&gt;0," +Г",""),"-"))</f>
        <v/>
      </c>
      <c r="D42">
        <f>IF($A42="","",IFERROR(IF(Настройки!$B$4="да",INDEX(Квартиры!$D$2:$D$1501,MATCH($A42*1000+2,Квартиры!$K$2:$K$1501,0))&amp;" / ","")&amp;INDEX(Квартиры!$H$2:$H$1501,MATCH($A42*1000+2,Квартиры!$K$2:$K$1501,0))&amp;" СУ"&amp;IF(INDEX(Квартиры!$I$2:$I$1501,MATCH($A42*1000+2,Квартиры!$K$2:$K$1501,0))&gt;0," +У","")&amp;IF(INDEX(Квартиры!$J$2:$J$1501,MATCH($A42*1000+2,Квартиры!$K$2:$K$1501,0))&gt;0," +Г",""),"-"))</f>
        <v/>
      </c>
      <c r="E42">
        <f>IF($A42="","",IFERROR(IF(Настройки!$B$4="да",INDEX(Квартиры!$D$2:$D$1501,MATCH($A42*1000+3,Квартиры!$K$2:$K$1501,0))&amp;" / ","")&amp;INDEX(Квартиры!$H$2:$H$1501,MATCH($A42*1000+3,Квартиры!$K$2:$K$1501,0))&amp;" СУ"&amp;IF(INDEX(Квартиры!$I$2:$I$1501,MATCH($A42*1000+3,Квартиры!$K$2:$K$1501,0))&gt;0," +У","")&amp;IF(INDEX(Квартиры!$J$2:$J$1501,MATCH($A42*1000+3,Квартиры!$K$2:$K$1501,0))&gt;0," +Г",""),"-"))</f>
        <v/>
      </c>
      <c r="F42">
        <f>IF($A42="","",IFERROR(IF(Настройки!$B$4="да",INDEX(Квартиры!$D$2:$D$1501,MATCH($A42*1000+4,Квартиры!$K$2:$K$1501,0))&amp;" / ","")&amp;INDEX(Квартиры!$H$2:$H$1501,MATCH($A42*1000+4,Квартиры!$K$2:$K$1501,0))&amp;" СУ"&amp;IF(INDEX(Квартиры!$I$2:$I$1501,MATCH($A42*1000+4,Квартиры!$K$2:$K$1501,0))&gt;0," +У","")&amp;IF(INDEX(Квартиры!$J$2:$J$1501,MATCH($A42*1000+4,Квартиры!$K$2:$K$1501,0))&gt;0," +Г",""),"-"))</f>
        <v/>
      </c>
      <c r="G42">
        <f>IF($A42="","",IFERROR(IF(Настройки!$B$4="да",INDEX(Квартиры!$D$2:$D$1501,MATCH($A42*1000+5,Квартиры!$K$2:$K$1501,0))&amp;" / ","")&amp;INDEX(Квартиры!$H$2:$H$1501,MATCH($A42*1000+5,Квартиры!$K$2:$K$1501,0))&amp;" СУ"&amp;IF(INDEX(Квартиры!$I$2:$I$1501,MATCH($A42*1000+5,Квартиры!$K$2:$K$1501,0))&gt;0," +У","")&amp;IF(INDEX(Квартиры!$J$2:$J$1501,MATCH($A42*1000+5,Квартиры!$K$2:$K$1501,0))&gt;0," +Г",""),"-"))</f>
        <v/>
      </c>
      <c r="H42">
        <f>IF($A42="","",IFERROR(IF(Настройки!$B$4="да",INDEX(Квартиры!$D$2:$D$1501,MATCH($A42*1000+6,Квартиры!$K$2:$K$1501,0))&amp;" / ","")&amp;INDEX(Квартиры!$H$2:$H$1501,MATCH($A42*1000+6,Квартиры!$K$2:$K$1501,0))&amp;" СУ"&amp;IF(INDEX(Квартиры!$I$2:$I$1501,MATCH($A42*1000+6,Квартиры!$K$2:$K$1501,0))&gt;0," +У","")&amp;IF(INDEX(Квартиры!$J$2:$J$1501,MATCH($A42*1000+6,Квартиры!$K$2:$K$1501,0))&gt;0," +Г",""),"-"))</f>
        <v/>
      </c>
      <c r="I42">
        <f>IF($A42="","",IFERROR(IF(Настройки!$B$4="да",INDEX(Квартиры!$D$2:$D$1501,MATCH($A42*1000+7,Квартиры!$K$2:$K$1501,0))&amp;" / ","")&amp;INDEX(Квартиры!$H$2:$H$1501,MATCH($A42*1000+7,Квартиры!$K$2:$K$1501,0))&amp;" СУ"&amp;IF(INDEX(Квартиры!$I$2:$I$1501,MATCH($A42*1000+7,Квартиры!$K$2:$K$1501,0))&gt;0," +У","")&amp;IF(INDEX(Квартиры!$J$2:$J$1501,MATCH($A42*1000+7,Квартиры!$K$2:$K$1501,0))&gt;0," +Г",""),"-"))</f>
        <v/>
      </c>
      <c r="J42">
        <f>IF($A42="","",IFERROR(IF(Настройки!$B$4="да",INDEX(Квартиры!$D$2:$D$1501,MATCH($A42*1000+8,Квартиры!$K$2:$K$1501,0))&amp;" / ","")&amp;INDEX(Квартиры!$H$2:$H$1501,MATCH($A42*1000+8,Квартиры!$K$2:$K$1501,0))&amp;" СУ"&amp;IF(INDEX(Квартиры!$I$2:$I$1501,MATCH($A42*1000+8,Квартиры!$K$2:$K$1501,0))&gt;0," +У","")&amp;IF(INDEX(Квартиры!$J$2:$J$1501,MATCH($A42*1000+8,Квартиры!$K$2:$K$1501,0))&gt;0," +Г",""),"-"))</f>
        <v/>
      </c>
      <c r="K42">
        <f>IF($A42="","",IFERROR(IF(Настройки!$B$4="да",INDEX(Квартиры!$D$2:$D$1501,MATCH($A42*1000+9,Квартиры!$K$2:$K$1501,0))&amp;" / ","")&amp;INDEX(Квартиры!$H$2:$H$1501,MATCH($A42*1000+9,Квартиры!$K$2:$K$1501,0))&amp;" СУ"&amp;IF(INDEX(Квартиры!$I$2:$I$1501,MATCH($A42*1000+9,Квартиры!$K$2:$K$1501,0))&gt;0," +У","")&amp;IF(INDEX(Квартиры!$J$2:$J$1501,MATCH($A42*1000+9,Квартиры!$K$2:$K$1501,0))&gt;0," +Г",""),"-"))</f>
        <v/>
      </c>
      <c r="L42">
        <f>IF($A42="","",IFERROR(IF(Настройки!$B$4="да",INDEX(Квартиры!$D$2:$D$1501,MATCH($A42*1000+10,Квартиры!$K$2:$K$1501,0))&amp;" / ","")&amp;INDEX(Квартиры!$H$2:$H$1501,MATCH($A42*1000+10,Квартиры!$K$2:$K$1501,0))&amp;" СУ"&amp;IF(INDEX(Квартиры!$I$2:$I$1501,MATCH($A42*1000+10,Квартиры!$K$2:$K$1501,0))&gt;0," +У","")&amp;IF(INDEX(Квартиры!$J$2:$J$1501,MATCH($A42*1000+10,Квартиры!$K$2:$K$1501,0))&gt;0," +Г",""),"-"))</f>
        <v/>
      </c>
      <c r="M42">
        <f>IF($A42="","",IFERROR(IF(Настройки!$B$4="да",INDEX(Квартиры!$D$2:$D$1501,MATCH($A42*1000+11,Квартиры!$K$2:$K$1501,0))&amp;" / ","")&amp;INDEX(Квартиры!$H$2:$H$1501,MATCH($A42*1000+11,Квартиры!$K$2:$K$1501,0))&amp;" СУ"&amp;IF(INDEX(Квартиры!$I$2:$I$1501,MATCH($A42*1000+11,Квартиры!$K$2:$K$1501,0))&gt;0," +У","")&amp;IF(INDEX(Квартиры!$J$2:$J$1501,MATCH($A42*1000+11,Квартиры!$K$2:$K$1501,0))&gt;0," +Г",""),"-"))</f>
        <v/>
      </c>
      <c r="N42">
        <f>IF($A42="","",IFERROR(IF(Настройки!$B$4="да",INDEX(Квартиры!$D$2:$D$1501,MATCH($A42*1000+12,Квартиры!$K$2:$K$1501,0))&amp;" / ","")&amp;INDEX(Квартиры!$H$2:$H$1501,MATCH($A42*1000+12,Квартиры!$K$2:$K$1501,0))&amp;" СУ"&amp;IF(INDEX(Квартиры!$I$2:$I$1501,MATCH($A42*1000+12,Квартиры!$K$2:$K$1501,0))&gt;0," +У","")&amp;IF(INDEX(Квартиры!$J$2:$J$1501,MATCH($A42*1000+12,Квартиры!$K$2:$K$1501,0))&gt;0," +Г",""),"-"))</f>
        <v/>
      </c>
      <c r="O42">
        <f>IF($A42="","",IFERROR(IF(Настройки!$B$4="да",INDEX(Квартиры!$D$2:$D$1501,MATCH($A42*1000+13,Квартиры!$K$2:$K$1501,0))&amp;" / ","")&amp;INDEX(Квартиры!$H$2:$H$1501,MATCH($A42*1000+13,Квартиры!$K$2:$K$1501,0))&amp;" СУ"&amp;IF(INDEX(Квартиры!$I$2:$I$1501,MATCH($A42*1000+13,Квартиры!$K$2:$K$1501,0))&gt;0," +У","")&amp;IF(INDEX(Квартиры!$J$2:$J$1501,MATCH($A42*1000+13,Квартиры!$K$2:$K$1501,0))&gt;0," +Г",""),"-"))</f>
        <v/>
      </c>
      <c r="P42">
        <f>IF($A42="","",IFERROR(IF(Настройки!$B$4="да",INDEX(Квартиры!$D$2:$D$1501,MATCH($A42*1000+14,Квартиры!$K$2:$K$1501,0))&amp;" / ","")&amp;INDEX(Квартиры!$H$2:$H$1501,MATCH($A42*1000+14,Квартиры!$K$2:$K$1501,0))&amp;" СУ"&amp;IF(INDEX(Квартиры!$I$2:$I$1501,MATCH($A42*1000+14,Квартиры!$K$2:$K$1501,0))&gt;0," +У","")&amp;IF(INDEX(Квартиры!$J$2:$J$1501,MATCH($A42*1000+14,Квартиры!$K$2:$K$1501,0))&gt;0," +Г",""),"-"))</f>
        <v/>
      </c>
      <c r="Q42">
        <f>IF($A42="","",IFERROR(IF(Настройки!$B$4="да",INDEX(Квартиры!$D$2:$D$1501,MATCH($A42*1000+15,Квартиры!$K$2:$K$1501,0))&amp;" / ","")&amp;INDEX(Квартиры!$H$2:$H$1501,MATCH($A42*1000+15,Квартиры!$K$2:$K$1501,0))&amp;" СУ"&amp;IF(INDEX(Квартиры!$I$2:$I$1501,MATCH($A42*1000+15,Квартиры!$K$2:$K$1501,0))&gt;0," +У","")&amp;IF(INDEX(Квартиры!$J$2:$J$1501,MATCH($A42*1000+15,Квартиры!$K$2:$K$1501,0))&gt;0," +Г",""),"-"))</f>
        <v/>
      </c>
      <c r="R42">
        <f>IF(A42="","",C42&amp;"|"&amp;D42&amp;"|"&amp;E42&amp;"|"&amp;F42&amp;"|"&amp;G42&amp;"|"&amp;H42&amp;"|"&amp;I42&amp;"|"&amp;J42&amp;"|"&amp;K42&amp;"|"&amp;L42&amp;"|"&amp;M42&amp;"|"&amp;N42&amp;"|"&amp;O42&amp;"|"&amp;P42&amp;"|"&amp;Q42)</f>
        <v/>
      </c>
      <c r="S42">
        <f>IF(A42="","",IFERROR(LOOKUP(2,1/(B$2:B41=B42),S$2:S41)&amp;", ","")&amp;A42)</f>
        <v/>
      </c>
      <c r="U42">
        <f>IF(40&gt;MAX(B$3:B$82),"",40)</f>
        <v/>
      </c>
      <c r="V42">
        <f>IF(U42="","",LOOKUP(2,1/(B$3:B$82=U42),S$3:S$82))</f>
        <v/>
      </c>
      <c r="W42">
        <f>IF(U42="","",COUNTIF(B$3:B$82,U42))</f>
        <v/>
      </c>
    </row>
    <row r="43">
      <c r="A43">
        <f>IFERROR(IF(A42="","",SMALL(Квартиры!$B$2:$B$1501,COUNTIF(Квартиры!$B$2:$B$1501,"&lt;="&amp;A42)+1)),"")</f>
        <v/>
      </c>
      <c r="B43">
        <f>IF(A43="","",IF(COUNTIF(R$2:R42,R43)=0,MAX(B$2:B42)+1,INDEX(B$2:B42,MATCH(R43,R$2:R42,0))))</f>
        <v/>
      </c>
      <c r="C43">
        <f>IF($A43="","",IFERROR(IF(Настройки!$B$4="да",INDEX(Квартиры!$D$2:$D$1501,MATCH($A43*1000+1,Квартиры!$K$2:$K$1501,0))&amp;" / ","")&amp;INDEX(Квартиры!$H$2:$H$1501,MATCH($A43*1000+1,Квартиры!$K$2:$K$1501,0))&amp;" СУ"&amp;IF(INDEX(Квартиры!$I$2:$I$1501,MATCH($A43*1000+1,Квартиры!$K$2:$K$1501,0))&gt;0," +У","")&amp;IF(INDEX(Квартиры!$J$2:$J$1501,MATCH($A43*1000+1,Квартиры!$K$2:$K$1501,0))&gt;0," +Г",""),"-"))</f>
        <v/>
      </c>
      <c r="D43">
        <f>IF($A43="","",IFERROR(IF(Настройки!$B$4="да",INDEX(Квартиры!$D$2:$D$1501,MATCH($A43*1000+2,Квартиры!$K$2:$K$1501,0))&amp;" / ","")&amp;INDEX(Квартиры!$H$2:$H$1501,MATCH($A43*1000+2,Квартиры!$K$2:$K$1501,0))&amp;" СУ"&amp;IF(INDEX(Квартиры!$I$2:$I$1501,MATCH($A43*1000+2,Квартиры!$K$2:$K$1501,0))&gt;0," +У","")&amp;IF(INDEX(Квартиры!$J$2:$J$1501,MATCH($A43*1000+2,Квартиры!$K$2:$K$1501,0))&gt;0," +Г",""),"-"))</f>
        <v/>
      </c>
      <c r="E43">
        <f>IF($A43="","",IFERROR(IF(Настройки!$B$4="да",INDEX(Квартиры!$D$2:$D$1501,MATCH($A43*1000+3,Квартиры!$K$2:$K$1501,0))&amp;" / ","")&amp;INDEX(Квартиры!$H$2:$H$1501,MATCH($A43*1000+3,Квартиры!$K$2:$K$1501,0))&amp;" СУ"&amp;IF(INDEX(Квартиры!$I$2:$I$1501,MATCH($A43*1000+3,Квартиры!$K$2:$K$1501,0))&gt;0," +У","")&amp;IF(INDEX(Квартиры!$J$2:$J$1501,MATCH($A43*1000+3,Квартиры!$K$2:$K$1501,0))&gt;0," +Г",""),"-"))</f>
        <v/>
      </c>
      <c r="F43">
        <f>IF($A43="","",IFERROR(IF(Настройки!$B$4="да",INDEX(Квартиры!$D$2:$D$1501,MATCH($A43*1000+4,Квартиры!$K$2:$K$1501,0))&amp;" / ","")&amp;INDEX(Квартиры!$H$2:$H$1501,MATCH($A43*1000+4,Квартиры!$K$2:$K$1501,0))&amp;" СУ"&amp;IF(INDEX(Квартиры!$I$2:$I$1501,MATCH($A43*1000+4,Квартиры!$K$2:$K$1501,0))&gt;0," +У","")&amp;IF(INDEX(Квартиры!$J$2:$J$1501,MATCH($A43*1000+4,Квартиры!$K$2:$K$1501,0))&gt;0," +Г",""),"-"))</f>
        <v/>
      </c>
      <c r="G43">
        <f>IF($A43="","",IFERROR(IF(Настройки!$B$4="да",INDEX(Квартиры!$D$2:$D$1501,MATCH($A43*1000+5,Квартиры!$K$2:$K$1501,0))&amp;" / ","")&amp;INDEX(Квартиры!$H$2:$H$1501,MATCH($A43*1000+5,Квартиры!$K$2:$K$1501,0))&amp;" СУ"&amp;IF(INDEX(Квартиры!$I$2:$I$1501,MATCH($A43*1000+5,Квартиры!$K$2:$K$1501,0))&gt;0," +У","")&amp;IF(INDEX(Квартиры!$J$2:$J$1501,MATCH($A43*1000+5,Квартиры!$K$2:$K$1501,0))&gt;0," +Г",""),"-"))</f>
        <v/>
      </c>
      <c r="H43">
        <f>IF($A43="","",IFERROR(IF(Настройки!$B$4="да",INDEX(Квартиры!$D$2:$D$1501,MATCH($A43*1000+6,Квартиры!$K$2:$K$1501,0))&amp;" / ","")&amp;INDEX(Квартиры!$H$2:$H$1501,MATCH($A43*1000+6,Квартиры!$K$2:$K$1501,0))&amp;" СУ"&amp;IF(INDEX(Квартиры!$I$2:$I$1501,MATCH($A43*1000+6,Квартиры!$K$2:$K$1501,0))&gt;0," +У","")&amp;IF(INDEX(Квартиры!$J$2:$J$1501,MATCH($A43*1000+6,Квартиры!$K$2:$K$1501,0))&gt;0," +Г",""),"-"))</f>
        <v/>
      </c>
      <c r="I43">
        <f>IF($A43="","",IFERROR(IF(Настройки!$B$4="да",INDEX(Квартиры!$D$2:$D$1501,MATCH($A43*1000+7,Квартиры!$K$2:$K$1501,0))&amp;" / ","")&amp;INDEX(Квартиры!$H$2:$H$1501,MATCH($A43*1000+7,Квартиры!$K$2:$K$1501,0))&amp;" СУ"&amp;IF(INDEX(Квартиры!$I$2:$I$1501,MATCH($A43*1000+7,Квартиры!$K$2:$K$1501,0))&gt;0," +У","")&amp;IF(INDEX(Квартиры!$J$2:$J$1501,MATCH($A43*1000+7,Квартиры!$K$2:$K$1501,0))&gt;0," +Г",""),"-"))</f>
        <v/>
      </c>
      <c r="J43">
        <f>IF($A43="","",IFERROR(IF(Настройки!$B$4="да",INDEX(Квартиры!$D$2:$D$1501,MATCH($A43*1000+8,Квартиры!$K$2:$K$1501,0))&amp;" / ","")&amp;INDEX(Квартиры!$H$2:$H$1501,MATCH($A43*1000+8,Квартиры!$K$2:$K$1501,0))&amp;" СУ"&amp;IF(INDEX(Квартиры!$I$2:$I$1501,MATCH($A43*1000+8,Квартиры!$K$2:$K$1501,0))&gt;0," +У","")&amp;IF(INDEX(Квартиры!$J$2:$J$1501,MATCH($A43*1000+8,Квартиры!$K$2:$K$1501,0))&gt;0," +Г",""),"-"))</f>
        <v/>
      </c>
      <c r="K43">
        <f>IF($A43="","",IFERROR(IF(Настройки!$B$4="да",INDEX(Квартиры!$D$2:$D$1501,MATCH($A43*1000+9,Квартиры!$K$2:$K$1501,0))&amp;" / ","")&amp;INDEX(Квартиры!$H$2:$H$1501,MATCH($A43*1000+9,Квартиры!$K$2:$K$1501,0))&amp;" СУ"&amp;IF(INDEX(Квартиры!$I$2:$I$1501,MATCH($A43*1000+9,Квартиры!$K$2:$K$1501,0))&gt;0," +У","")&amp;IF(INDEX(Квартиры!$J$2:$J$1501,MATCH($A43*1000+9,Квартиры!$K$2:$K$1501,0))&gt;0," +Г",""),"-"))</f>
        <v/>
      </c>
      <c r="L43">
        <f>IF($A43="","",IFERROR(IF(Настройки!$B$4="да",INDEX(Квартиры!$D$2:$D$1501,MATCH($A43*1000+10,Квартиры!$K$2:$K$1501,0))&amp;" / ","")&amp;INDEX(Квартиры!$H$2:$H$1501,MATCH($A43*1000+10,Квартиры!$K$2:$K$1501,0))&amp;" СУ"&amp;IF(INDEX(Квартиры!$I$2:$I$1501,MATCH($A43*1000+10,Квартиры!$K$2:$K$1501,0))&gt;0," +У","")&amp;IF(INDEX(Квартиры!$J$2:$J$1501,MATCH($A43*1000+10,Квартиры!$K$2:$K$1501,0))&gt;0," +Г",""),"-"))</f>
        <v/>
      </c>
      <c r="M43">
        <f>IF($A43="","",IFERROR(IF(Настройки!$B$4="да",INDEX(Квартиры!$D$2:$D$1501,MATCH($A43*1000+11,Квартиры!$K$2:$K$1501,0))&amp;" / ","")&amp;INDEX(Квартиры!$H$2:$H$1501,MATCH($A43*1000+11,Квартиры!$K$2:$K$1501,0))&amp;" СУ"&amp;IF(INDEX(Квартиры!$I$2:$I$1501,MATCH($A43*1000+11,Квартиры!$K$2:$K$1501,0))&gt;0," +У","")&amp;IF(INDEX(Квартиры!$J$2:$J$1501,MATCH($A43*1000+11,Квартиры!$K$2:$K$1501,0))&gt;0," +Г",""),"-"))</f>
        <v/>
      </c>
      <c r="N43">
        <f>IF($A43="","",IFERROR(IF(Настройки!$B$4="да",INDEX(Квартиры!$D$2:$D$1501,MATCH($A43*1000+12,Квартиры!$K$2:$K$1501,0))&amp;" / ","")&amp;INDEX(Квартиры!$H$2:$H$1501,MATCH($A43*1000+12,Квартиры!$K$2:$K$1501,0))&amp;" СУ"&amp;IF(INDEX(Квартиры!$I$2:$I$1501,MATCH($A43*1000+12,Квартиры!$K$2:$K$1501,0))&gt;0," +У","")&amp;IF(INDEX(Квартиры!$J$2:$J$1501,MATCH($A43*1000+12,Квартиры!$K$2:$K$1501,0))&gt;0," +Г",""),"-"))</f>
        <v/>
      </c>
      <c r="O43">
        <f>IF($A43="","",IFERROR(IF(Настройки!$B$4="да",INDEX(Квартиры!$D$2:$D$1501,MATCH($A43*1000+13,Квартиры!$K$2:$K$1501,0))&amp;" / ","")&amp;INDEX(Квартиры!$H$2:$H$1501,MATCH($A43*1000+13,Квартиры!$K$2:$K$1501,0))&amp;" СУ"&amp;IF(INDEX(Квартиры!$I$2:$I$1501,MATCH($A43*1000+13,Квартиры!$K$2:$K$1501,0))&gt;0," +У","")&amp;IF(INDEX(Квартиры!$J$2:$J$1501,MATCH($A43*1000+13,Квартиры!$K$2:$K$1501,0))&gt;0," +Г",""),"-"))</f>
        <v/>
      </c>
      <c r="P43">
        <f>IF($A43="","",IFERROR(IF(Настройки!$B$4="да",INDEX(Квартиры!$D$2:$D$1501,MATCH($A43*1000+14,Квартиры!$K$2:$K$1501,0))&amp;" / ","")&amp;INDEX(Квартиры!$H$2:$H$1501,MATCH($A43*1000+14,Квартиры!$K$2:$K$1501,0))&amp;" СУ"&amp;IF(INDEX(Квартиры!$I$2:$I$1501,MATCH($A43*1000+14,Квартиры!$K$2:$K$1501,0))&gt;0," +У","")&amp;IF(INDEX(Квартиры!$J$2:$J$1501,MATCH($A43*1000+14,Квартиры!$K$2:$K$1501,0))&gt;0," +Г",""),"-"))</f>
        <v/>
      </c>
      <c r="Q43">
        <f>IF($A43="","",IFERROR(IF(Настройки!$B$4="да",INDEX(Квартиры!$D$2:$D$1501,MATCH($A43*1000+15,Квартиры!$K$2:$K$1501,0))&amp;" / ","")&amp;INDEX(Квартиры!$H$2:$H$1501,MATCH($A43*1000+15,Квартиры!$K$2:$K$1501,0))&amp;" СУ"&amp;IF(INDEX(Квартиры!$I$2:$I$1501,MATCH($A43*1000+15,Квартиры!$K$2:$K$1501,0))&gt;0," +У","")&amp;IF(INDEX(Квартиры!$J$2:$J$1501,MATCH($A43*1000+15,Квартиры!$K$2:$K$1501,0))&gt;0," +Г",""),"-"))</f>
        <v/>
      </c>
      <c r="R43">
        <f>IF(A43="","",C43&amp;"|"&amp;D43&amp;"|"&amp;E43&amp;"|"&amp;F43&amp;"|"&amp;G43&amp;"|"&amp;H43&amp;"|"&amp;I43&amp;"|"&amp;J43&amp;"|"&amp;K43&amp;"|"&amp;L43&amp;"|"&amp;M43&amp;"|"&amp;N43&amp;"|"&amp;O43&amp;"|"&amp;P43&amp;"|"&amp;Q43)</f>
        <v/>
      </c>
      <c r="S43">
        <f>IF(A43="","",IFERROR(LOOKUP(2,1/(B$2:B42=B43),S$2:S42)&amp;", ","")&amp;A43)</f>
        <v/>
      </c>
      <c r="U43">
        <f>IF(41&gt;MAX(B$3:B$82),"",41)</f>
        <v/>
      </c>
      <c r="V43">
        <f>IF(U43="","",LOOKUP(2,1/(B$3:B$82=U43),S$3:S$82))</f>
        <v/>
      </c>
      <c r="W43">
        <f>IF(U43="","",COUNTIF(B$3:B$82,U43))</f>
        <v/>
      </c>
    </row>
    <row r="44">
      <c r="A44">
        <f>IFERROR(IF(A43="","",SMALL(Квартиры!$B$2:$B$1501,COUNTIF(Квартиры!$B$2:$B$1501,"&lt;="&amp;A43)+1)),"")</f>
        <v/>
      </c>
      <c r="B44">
        <f>IF(A44="","",IF(COUNTIF(R$2:R43,R44)=0,MAX(B$2:B43)+1,INDEX(B$2:B43,MATCH(R44,R$2:R43,0))))</f>
        <v/>
      </c>
      <c r="C44">
        <f>IF($A44="","",IFERROR(IF(Настройки!$B$4="да",INDEX(Квартиры!$D$2:$D$1501,MATCH($A44*1000+1,Квартиры!$K$2:$K$1501,0))&amp;" / ","")&amp;INDEX(Квартиры!$H$2:$H$1501,MATCH($A44*1000+1,Квартиры!$K$2:$K$1501,0))&amp;" СУ"&amp;IF(INDEX(Квартиры!$I$2:$I$1501,MATCH($A44*1000+1,Квартиры!$K$2:$K$1501,0))&gt;0," +У","")&amp;IF(INDEX(Квартиры!$J$2:$J$1501,MATCH($A44*1000+1,Квартиры!$K$2:$K$1501,0))&gt;0," +Г",""),"-"))</f>
        <v/>
      </c>
      <c r="D44">
        <f>IF($A44="","",IFERROR(IF(Настройки!$B$4="да",INDEX(Квартиры!$D$2:$D$1501,MATCH($A44*1000+2,Квартиры!$K$2:$K$1501,0))&amp;" / ","")&amp;INDEX(Квартиры!$H$2:$H$1501,MATCH($A44*1000+2,Квартиры!$K$2:$K$1501,0))&amp;" СУ"&amp;IF(INDEX(Квартиры!$I$2:$I$1501,MATCH($A44*1000+2,Квартиры!$K$2:$K$1501,0))&gt;0," +У","")&amp;IF(INDEX(Квартиры!$J$2:$J$1501,MATCH($A44*1000+2,Квартиры!$K$2:$K$1501,0))&gt;0," +Г",""),"-"))</f>
        <v/>
      </c>
      <c r="E44">
        <f>IF($A44="","",IFERROR(IF(Настройки!$B$4="да",INDEX(Квартиры!$D$2:$D$1501,MATCH($A44*1000+3,Квартиры!$K$2:$K$1501,0))&amp;" / ","")&amp;INDEX(Квартиры!$H$2:$H$1501,MATCH($A44*1000+3,Квартиры!$K$2:$K$1501,0))&amp;" СУ"&amp;IF(INDEX(Квартиры!$I$2:$I$1501,MATCH($A44*1000+3,Квартиры!$K$2:$K$1501,0))&gt;0," +У","")&amp;IF(INDEX(Квартиры!$J$2:$J$1501,MATCH($A44*1000+3,Квартиры!$K$2:$K$1501,0))&gt;0," +Г",""),"-"))</f>
        <v/>
      </c>
      <c r="F44">
        <f>IF($A44="","",IFERROR(IF(Настройки!$B$4="да",INDEX(Квартиры!$D$2:$D$1501,MATCH($A44*1000+4,Квартиры!$K$2:$K$1501,0))&amp;" / ","")&amp;INDEX(Квартиры!$H$2:$H$1501,MATCH($A44*1000+4,Квартиры!$K$2:$K$1501,0))&amp;" СУ"&amp;IF(INDEX(Квартиры!$I$2:$I$1501,MATCH($A44*1000+4,Квартиры!$K$2:$K$1501,0))&gt;0," +У","")&amp;IF(INDEX(Квартиры!$J$2:$J$1501,MATCH($A44*1000+4,Квартиры!$K$2:$K$1501,0))&gt;0," +Г",""),"-"))</f>
        <v/>
      </c>
      <c r="G44">
        <f>IF($A44="","",IFERROR(IF(Настройки!$B$4="да",INDEX(Квартиры!$D$2:$D$1501,MATCH($A44*1000+5,Квартиры!$K$2:$K$1501,0))&amp;" / ","")&amp;INDEX(Квартиры!$H$2:$H$1501,MATCH($A44*1000+5,Квартиры!$K$2:$K$1501,0))&amp;" СУ"&amp;IF(INDEX(Квартиры!$I$2:$I$1501,MATCH($A44*1000+5,Квартиры!$K$2:$K$1501,0))&gt;0," +У","")&amp;IF(INDEX(Квартиры!$J$2:$J$1501,MATCH($A44*1000+5,Квартиры!$K$2:$K$1501,0))&gt;0," +Г",""),"-"))</f>
        <v/>
      </c>
      <c r="H44">
        <f>IF($A44="","",IFERROR(IF(Настройки!$B$4="да",INDEX(Квартиры!$D$2:$D$1501,MATCH($A44*1000+6,Квартиры!$K$2:$K$1501,0))&amp;" / ","")&amp;INDEX(Квартиры!$H$2:$H$1501,MATCH($A44*1000+6,Квартиры!$K$2:$K$1501,0))&amp;" СУ"&amp;IF(INDEX(Квартиры!$I$2:$I$1501,MATCH($A44*1000+6,Квартиры!$K$2:$K$1501,0))&gt;0," +У","")&amp;IF(INDEX(Квартиры!$J$2:$J$1501,MATCH($A44*1000+6,Квартиры!$K$2:$K$1501,0))&gt;0," +Г",""),"-"))</f>
        <v/>
      </c>
      <c r="I44">
        <f>IF($A44="","",IFERROR(IF(Настройки!$B$4="да",INDEX(Квартиры!$D$2:$D$1501,MATCH($A44*1000+7,Квартиры!$K$2:$K$1501,0))&amp;" / ","")&amp;INDEX(Квартиры!$H$2:$H$1501,MATCH($A44*1000+7,Квартиры!$K$2:$K$1501,0))&amp;" СУ"&amp;IF(INDEX(Квартиры!$I$2:$I$1501,MATCH($A44*1000+7,Квартиры!$K$2:$K$1501,0))&gt;0," +У","")&amp;IF(INDEX(Квартиры!$J$2:$J$1501,MATCH($A44*1000+7,Квартиры!$K$2:$K$1501,0))&gt;0," +Г",""),"-"))</f>
        <v/>
      </c>
      <c r="J44">
        <f>IF($A44="","",IFERROR(IF(Настройки!$B$4="да",INDEX(Квартиры!$D$2:$D$1501,MATCH($A44*1000+8,Квартиры!$K$2:$K$1501,0))&amp;" / ","")&amp;INDEX(Квартиры!$H$2:$H$1501,MATCH($A44*1000+8,Квартиры!$K$2:$K$1501,0))&amp;" СУ"&amp;IF(INDEX(Квартиры!$I$2:$I$1501,MATCH($A44*1000+8,Квартиры!$K$2:$K$1501,0))&gt;0," +У","")&amp;IF(INDEX(Квартиры!$J$2:$J$1501,MATCH($A44*1000+8,Квартиры!$K$2:$K$1501,0))&gt;0," +Г",""),"-"))</f>
        <v/>
      </c>
      <c r="K44">
        <f>IF($A44="","",IFERROR(IF(Настройки!$B$4="да",INDEX(Квартиры!$D$2:$D$1501,MATCH($A44*1000+9,Квартиры!$K$2:$K$1501,0))&amp;" / ","")&amp;INDEX(Квартиры!$H$2:$H$1501,MATCH($A44*1000+9,Квартиры!$K$2:$K$1501,0))&amp;" СУ"&amp;IF(INDEX(Квартиры!$I$2:$I$1501,MATCH($A44*1000+9,Квартиры!$K$2:$K$1501,0))&gt;0," +У","")&amp;IF(INDEX(Квартиры!$J$2:$J$1501,MATCH($A44*1000+9,Квартиры!$K$2:$K$1501,0))&gt;0," +Г",""),"-"))</f>
        <v/>
      </c>
      <c r="L44">
        <f>IF($A44="","",IFERROR(IF(Настройки!$B$4="да",INDEX(Квартиры!$D$2:$D$1501,MATCH($A44*1000+10,Квартиры!$K$2:$K$1501,0))&amp;" / ","")&amp;INDEX(Квартиры!$H$2:$H$1501,MATCH($A44*1000+10,Квартиры!$K$2:$K$1501,0))&amp;" СУ"&amp;IF(INDEX(Квартиры!$I$2:$I$1501,MATCH($A44*1000+10,Квартиры!$K$2:$K$1501,0))&gt;0," +У","")&amp;IF(INDEX(Квартиры!$J$2:$J$1501,MATCH($A44*1000+10,Квартиры!$K$2:$K$1501,0))&gt;0," +Г",""),"-"))</f>
        <v/>
      </c>
      <c r="M44">
        <f>IF($A44="","",IFERROR(IF(Настройки!$B$4="да",INDEX(Квартиры!$D$2:$D$1501,MATCH($A44*1000+11,Квартиры!$K$2:$K$1501,0))&amp;" / ","")&amp;INDEX(Квартиры!$H$2:$H$1501,MATCH($A44*1000+11,Квартиры!$K$2:$K$1501,0))&amp;" СУ"&amp;IF(INDEX(Квартиры!$I$2:$I$1501,MATCH($A44*1000+11,Квартиры!$K$2:$K$1501,0))&gt;0," +У","")&amp;IF(INDEX(Квартиры!$J$2:$J$1501,MATCH($A44*1000+11,Квартиры!$K$2:$K$1501,0))&gt;0," +Г",""),"-"))</f>
        <v/>
      </c>
      <c r="N44">
        <f>IF($A44="","",IFERROR(IF(Настройки!$B$4="да",INDEX(Квартиры!$D$2:$D$1501,MATCH($A44*1000+12,Квартиры!$K$2:$K$1501,0))&amp;" / ","")&amp;INDEX(Квартиры!$H$2:$H$1501,MATCH($A44*1000+12,Квартиры!$K$2:$K$1501,0))&amp;" СУ"&amp;IF(INDEX(Квартиры!$I$2:$I$1501,MATCH($A44*1000+12,Квартиры!$K$2:$K$1501,0))&gt;0," +У","")&amp;IF(INDEX(Квартиры!$J$2:$J$1501,MATCH($A44*1000+12,Квартиры!$K$2:$K$1501,0))&gt;0," +Г",""),"-"))</f>
        <v/>
      </c>
      <c r="O44">
        <f>IF($A44="","",IFERROR(IF(Настройки!$B$4="да",INDEX(Квартиры!$D$2:$D$1501,MATCH($A44*1000+13,Квартиры!$K$2:$K$1501,0))&amp;" / ","")&amp;INDEX(Квартиры!$H$2:$H$1501,MATCH($A44*1000+13,Квартиры!$K$2:$K$1501,0))&amp;" СУ"&amp;IF(INDEX(Квартиры!$I$2:$I$1501,MATCH($A44*1000+13,Квартиры!$K$2:$K$1501,0))&gt;0," +У","")&amp;IF(INDEX(Квартиры!$J$2:$J$1501,MATCH($A44*1000+13,Квартиры!$K$2:$K$1501,0))&gt;0," +Г",""),"-"))</f>
        <v/>
      </c>
      <c r="P44">
        <f>IF($A44="","",IFERROR(IF(Настройки!$B$4="да",INDEX(Квартиры!$D$2:$D$1501,MATCH($A44*1000+14,Квартиры!$K$2:$K$1501,0))&amp;" / ","")&amp;INDEX(Квартиры!$H$2:$H$1501,MATCH($A44*1000+14,Квартиры!$K$2:$K$1501,0))&amp;" СУ"&amp;IF(INDEX(Квартиры!$I$2:$I$1501,MATCH($A44*1000+14,Квартиры!$K$2:$K$1501,0))&gt;0," +У","")&amp;IF(INDEX(Квартиры!$J$2:$J$1501,MATCH($A44*1000+14,Квартиры!$K$2:$K$1501,0))&gt;0," +Г",""),"-"))</f>
        <v/>
      </c>
      <c r="Q44">
        <f>IF($A44="","",IFERROR(IF(Настройки!$B$4="да",INDEX(Квартиры!$D$2:$D$1501,MATCH($A44*1000+15,Квартиры!$K$2:$K$1501,0))&amp;" / ","")&amp;INDEX(Квартиры!$H$2:$H$1501,MATCH($A44*1000+15,Квартиры!$K$2:$K$1501,0))&amp;" СУ"&amp;IF(INDEX(Квартиры!$I$2:$I$1501,MATCH($A44*1000+15,Квартиры!$K$2:$K$1501,0))&gt;0," +У","")&amp;IF(INDEX(Квартиры!$J$2:$J$1501,MATCH($A44*1000+15,Квартиры!$K$2:$K$1501,0))&gt;0," +Г",""),"-"))</f>
        <v/>
      </c>
      <c r="R44">
        <f>IF(A44="","",C44&amp;"|"&amp;D44&amp;"|"&amp;E44&amp;"|"&amp;F44&amp;"|"&amp;G44&amp;"|"&amp;H44&amp;"|"&amp;I44&amp;"|"&amp;J44&amp;"|"&amp;K44&amp;"|"&amp;L44&amp;"|"&amp;M44&amp;"|"&amp;N44&amp;"|"&amp;O44&amp;"|"&amp;P44&amp;"|"&amp;Q44)</f>
        <v/>
      </c>
      <c r="S44">
        <f>IF(A44="","",IFERROR(LOOKUP(2,1/(B$2:B43=B44),S$2:S43)&amp;", ","")&amp;A44)</f>
        <v/>
      </c>
      <c r="U44">
        <f>IF(42&gt;MAX(B$3:B$82),"",42)</f>
        <v/>
      </c>
      <c r="V44">
        <f>IF(U44="","",LOOKUP(2,1/(B$3:B$82=U44),S$3:S$82))</f>
        <v/>
      </c>
      <c r="W44">
        <f>IF(U44="","",COUNTIF(B$3:B$82,U44))</f>
        <v/>
      </c>
    </row>
    <row r="45">
      <c r="A45">
        <f>IFERROR(IF(A44="","",SMALL(Квартиры!$B$2:$B$1501,COUNTIF(Квартиры!$B$2:$B$1501,"&lt;="&amp;A44)+1)),"")</f>
        <v/>
      </c>
      <c r="B45">
        <f>IF(A45="","",IF(COUNTIF(R$2:R44,R45)=0,MAX(B$2:B44)+1,INDEX(B$2:B44,MATCH(R45,R$2:R44,0))))</f>
        <v/>
      </c>
      <c r="C45">
        <f>IF($A45="","",IFERROR(IF(Настройки!$B$4="да",INDEX(Квартиры!$D$2:$D$1501,MATCH($A45*1000+1,Квартиры!$K$2:$K$1501,0))&amp;" / ","")&amp;INDEX(Квартиры!$H$2:$H$1501,MATCH($A45*1000+1,Квартиры!$K$2:$K$1501,0))&amp;" СУ"&amp;IF(INDEX(Квартиры!$I$2:$I$1501,MATCH($A45*1000+1,Квартиры!$K$2:$K$1501,0))&gt;0," +У","")&amp;IF(INDEX(Квартиры!$J$2:$J$1501,MATCH($A45*1000+1,Квартиры!$K$2:$K$1501,0))&gt;0," +Г",""),"-"))</f>
        <v/>
      </c>
      <c r="D45">
        <f>IF($A45="","",IFERROR(IF(Настройки!$B$4="да",INDEX(Квартиры!$D$2:$D$1501,MATCH($A45*1000+2,Квартиры!$K$2:$K$1501,0))&amp;" / ","")&amp;INDEX(Квартиры!$H$2:$H$1501,MATCH($A45*1000+2,Квартиры!$K$2:$K$1501,0))&amp;" СУ"&amp;IF(INDEX(Квартиры!$I$2:$I$1501,MATCH($A45*1000+2,Квартиры!$K$2:$K$1501,0))&gt;0," +У","")&amp;IF(INDEX(Квартиры!$J$2:$J$1501,MATCH($A45*1000+2,Квартиры!$K$2:$K$1501,0))&gt;0," +Г",""),"-"))</f>
        <v/>
      </c>
      <c r="E45">
        <f>IF($A45="","",IFERROR(IF(Настройки!$B$4="да",INDEX(Квартиры!$D$2:$D$1501,MATCH($A45*1000+3,Квартиры!$K$2:$K$1501,0))&amp;" / ","")&amp;INDEX(Квартиры!$H$2:$H$1501,MATCH($A45*1000+3,Квартиры!$K$2:$K$1501,0))&amp;" СУ"&amp;IF(INDEX(Квартиры!$I$2:$I$1501,MATCH($A45*1000+3,Квартиры!$K$2:$K$1501,0))&gt;0," +У","")&amp;IF(INDEX(Квартиры!$J$2:$J$1501,MATCH($A45*1000+3,Квартиры!$K$2:$K$1501,0))&gt;0," +Г",""),"-"))</f>
        <v/>
      </c>
      <c r="F45">
        <f>IF($A45="","",IFERROR(IF(Настройки!$B$4="да",INDEX(Квартиры!$D$2:$D$1501,MATCH($A45*1000+4,Квартиры!$K$2:$K$1501,0))&amp;" / ","")&amp;INDEX(Квартиры!$H$2:$H$1501,MATCH($A45*1000+4,Квартиры!$K$2:$K$1501,0))&amp;" СУ"&amp;IF(INDEX(Квартиры!$I$2:$I$1501,MATCH($A45*1000+4,Квартиры!$K$2:$K$1501,0))&gt;0," +У","")&amp;IF(INDEX(Квартиры!$J$2:$J$1501,MATCH($A45*1000+4,Квартиры!$K$2:$K$1501,0))&gt;0," +Г",""),"-"))</f>
        <v/>
      </c>
      <c r="G45">
        <f>IF($A45="","",IFERROR(IF(Настройки!$B$4="да",INDEX(Квартиры!$D$2:$D$1501,MATCH($A45*1000+5,Квартиры!$K$2:$K$1501,0))&amp;" / ","")&amp;INDEX(Квартиры!$H$2:$H$1501,MATCH($A45*1000+5,Квартиры!$K$2:$K$1501,0))&amp;" СУ"&amp;IF(INDEX(Квартиры!$I$2:$I$1501,MATCH($A45*1000+5,Квартиры!$K$2:$K$1501,0))&gt;0," +У","")&amp;IF(INDEX(Квартиры!$J$2:$J$1501,MATCH($A45*1000+5,Квартиры!$K$2:$K$1501,0))&gt;0," +Г",""),"-"))</f>
        <v/>
      </c>
      <c r="H45">
        <f>IF($A45="","",IFERROR(IF(Настройки!$B$4="да",INDEX(Квартиры!$D$2:$D$1501,MATCH($A45*1000+6,Квартиры!$K$2:$K$1501,0))&amp;" / ","")&amp;INDEX(Квартиры!$H$2:$H$1501,MATCH($A45*1000+6,Квартиры!$K$2:$K$1501,0))&amp;" СУ"&amp;IF(INDEX(Квартиры!$I$2:$I$1501,MATCH($A45*1000+6,Квартиры!$K$2:$K$1501,0))&gt;0," +У","")&amp;IF(INDEX(Квартиры!$J$2:$J$1501,MATCH($A45*1000+6,Квартиры!$K$2:$K$1501,0))&gt;0," +Г",""),"-"))</f>
        <v/>
      </c>
      <c r="I45">
        <f>IF($A45="","",IFERROR(IF(Настройки!$B$4="да",INDEX(Квартиры!$D$2:$D$1501,MATCH($A45*1000+7,Квартиры!$K$2:$K$1501,0))&amp;" / ","")&amp;INDEX(Квартиры!$H$2:$H$1501,MATCH($A45*1000+7,Квартиры!$K$2:$K$1501,0))&amp;" СУ"&amp;IF(INDEX(Квартиры!$I$2:$I$1501,MATCH($A45*1000+7,Квартиры!$K$2:$K$1501,0))&gt;0," +У","")&amp;IF(INDEX(Квартиры!$J$2:$J$1501,MATCH($A45*1000+7,Квартиры!$K$2:$K$1501,0))&gt;0," +Г",""),"-"))</f>
        <v/>
      </c>
      <c r="J45">
        <f>IF($A45="","",IFERROR(IF(Настройки!$B$4="да",INDEX(Квартиры!$D$2:$D$1501,MATCH($A45*1000+8,Квартиры!$K$2:$K$1501,0))&amp;" / ","")&amp;INDEX(Квартиры!$H$2:$H$1501,MATCH($A45*1000+8,Квартиры!$K$2:$K$1501,0))&amp;" СУ"&amp;IF(INDEX(Квартиры!$I$2:$I$1501,MATCH($A45*1000+8,Квартиры!$K$2:$K$1501,0))&gt;0," +У","")&amp;IF(INDEX(Квартиры!$J$2:$J$1501,MATCH($A45*1000+8,Квартиры!$K$2:$K$1501,0))&gt;0," +Г",""),"-"))</f>
        <v/>
      </c>
      <c r="K45">
        <f>IF($A45="","",IFERROR(IF(Настройки!$B$4="да",INDEX(Квартиры!$D$2:$D$1501,MATCH($A45*1000+9,Квартиры!$K$2:$K$1501,0))&amp;" / ","")&amp;INDEX(Квартиры!$H$2:$H$1501,MATCH($A45*1000+9,Квартиры!$K$2:$K$1501,0))&amp;" СУ"&amp;IF(INDEX(Квартиры!$I$2:$I$1501,MATCH($A45*1000+9,Квартиры!$K$2:$K$1501,0))&gt;0," +У","")&amp;IF(INDEX(Квартиры!$J$2:$J$1501,MATCH($A45*1000+9,Квартиры!$K$2:$K$1501,0))&gt;0," +Г",""),"-"))</f>
        <v/>
      </c>
      <c r="L45">
        <f>IF($A45="","",IFERROR(IF(Настройки!$B$4="да",INDEX(Квартиры!$D$2:$D$1501,MATCH($A45*1000+10,Квартиры!$K$2:$K$1501,0))&amp;" / ","")&amp;INDEX(Квартиры!$H$2:$H$1501,MATCH($A45*1000+10,Квартиры!$K$2:$K$1501,0))&amp;" СУ"&amp;IF(INDEX(Квартиры!$I$2:$I$1501,MATCH($A45*1000+10,Квартиры!$K$2:$K$1501,0))&gt;0," +У","")&amp;IF(INDEX(Квартиры!$J$2:$J$1501,MATCH($A45*1000+10,Квартиры!$K$2:$K$1501,0))&gt;0," +Г",""),"-"))</f>
        <v/>
      </c>
      <c r="M45">
        <f>IF($A45="","",IFERROR(IF(Настройки!$B$4="да",INDEX(Квартиры!$D$2:$D$1501,MATCH($A45*1000+11,Квартиры!$K$2:$K$1501,0))&amp;" / ","")&amp;INDEX(Квартиры!$H$2:$H$1501,MATCH($A45*1000+11,Квартиры!$K$2:$K$1501,0))&amp;" СУ"&amp;IF(INDEX(Квартиры!$I$2:$I$1501,MATCH($A45*1000+11,Квартиры!$K$2:$K$1501,0))&gt;0," +У","")&amp;IF(INDEX(Квартиры!$J$2:$J$1501,MATCH($A45*1000+11,Квартиры!$K$2:$K$1501,0))&gt;0," +Г",""),"-"))</f>
        <v/>
      </c>
      <c r="N45">
        <f>IF($A45="","",IFERROR(IF(Настройки!$B$4="да",INDEX(Квартиры!$D$2:$D$1501,MATCH($A45*1000+12,Квартиры!$K$2:$K$1501,0))&amp;" / ","")&amp;INDEX(Квартиры!$H$2:$H$1501,MATCH($A45*1000+12,Квартиры!$K$2:$K$1501,0))&amp;" СУ"&amp;IF(INDEX(Квартиры!$I$2:$I$1501,MATCH($A45*1000+12,Квартиры!$K$2:$K$1501,0))&gt;0," +У","")&amp;IF(INDEX(Квартиры!$J$2:$J$1501,MATCH($A45*1000+12,Квартиры!$K$2:$K$1501,0))&gt;0," +Г",""),"-"))</f>
        <v/>
      </c>
      <c r="O45">
        <f>IF($A45="","",IFERROR(IF(Настройки!$B$4="да",INDEX(Квартиры!$D$2:$D$1501,MATCH($A45*1000+13,Квартиры!$K$2:$K$1501,0))&amp;" / ","")&amp;INDEX(Квартиры!$H$2:$H$1501,MATCH($A45*1000+13,Квартиры!$K$2:$K$1501,0))&amp;" СУ"&amp;IF(INDEX(Квартиры!$I$2:$I$1501,MATCH($A45*1000+13,Квартиры!$K$2:$K$1501,0))&gt;0," +У","")&amp;IF(INDEX(Квартиры!$J$2:$J$1501,MATCH($A45*1000+13,Квартиры!$K$2:$K$1501,0))&gt;0," +Г",""),"-"))</f>
        <v/>
      </c>
      <c r="P45">
        <f>IF($A45="","",IFERROR(IF(Настройки!$B$4="да",INDEX(Квартиры!$D$2:$D$1501,MATCH($A45*1000+14,Квартиры!$K$2:$K$1501,0))&amp;" / ","")&amp;INDEX(Квартиры!$H$2:$H$1501,MATCH($A45*1000+14,Квартиры!$K$2:$K$1501,0))&amp;" СУ"&amp;IF(INDEX(Квартиры!$I$2:$I$1501,MATCH($A45*1000+14,Квартиры!$K$2:$K$1501,0))&gt;0," +У","")&amp;IF(INDEX(Квартиры!$J$2:$J$1501,MATCH($A45*1000+14,Квартиры!$K$2:$K$1501,0))&gt;0," +Г",""),"-"))</f>
        <v/>
      </c>
      <c r="Q45">
        <f>IF($A45="","",IFERROR(IF(Настройки!$B$4="да",INDEX(Квартиры!$D$2:$D$1501,MATCH($A45*1000+15,Квартиры!$K$2:$K$1501,0))&amp;" / ","")&amp;INDEX(Квартиры!$H$2:$H$1501,MATCH($A45*1000+15,Квартиры!$K$2:$K$1501,0))&amp;" СУ"&amp;IF(INDEX(Квартиры!$I$2:$I$1501,MATCH($A45*1000+15,Квартиры!$K$2:$K$1501,0))&gt;0," +У","")&amp;IF(INDEX(Квартиры!$J$2:$J$1501,MATCH($A45*1000+15,Квартиры!$K$2:$K$1501,0))&gt;0," +Г",""),"-"))</f>
        <v/>
      </c>
      <c r="R45">
        <f>IF(A45="","",C45&amp;"|"&amp;D45&amp;"|"&amp;E45&amp;"|"&amp;F45&amp;"|"&amp;G45&amp;"|"&amp;H45&amp;"|"&amp;I45&amp;"|"&amp;J45&amp;"|"&amp;K45&amp;"|"&amp;L45&amp;"|"&amp;M45&amp;"|"&amp;N45&amp;"|"&amp;O45&amp;"|"&amp;P45&amp;"|"&amp;Q45)</f>
        <v/>
      </c>
      <c r="S45">
        <f>IF(A45="","",IFERROR(LOOKUP(2,1/(B$2:B44=B45),S$2:S44)&amp;", ","")&amp;A45)</f>
        <v/>
      </c>
      <c r="U45">
        <f>IF(43&gt;MAX(B$3:B$82),"",43)</f>
        <v/>
      </c>
      <c r="V45">
        <f>IF(U45="","",LOOKUP(2,1/(B$3:B$82=U45),S$3:S$82))</f>
        <v/>
      </c>
      <c r="W45">
        <f>IF(U45="","",COUNTIF(B$3:B$82,U45))</f>
        <v/>
      </c>
    </row>
    <row r="46">
      <c r="A46">
        <f>IFERROR(IF(A45="","",SMALL(Квартиры!$B$2:$B$1501,COUNTIF(Квартиры!$B$2:$B$1501,"&lt;="&amp;A45)+1)),"")</f>
        <v/>
      </c>
      <c r="B46">
        <f>IF(A46="","",IF(COUNTIF(R$2:R45,R46)=0,MAX(B$2:B45)+1,INDEX(B$2:B45,MATCH(R46,R$2:R45,0))))</f>
        <v/>
      </c>
      <c r="C46">
        <f>IF($A46="","",IFERROR(IF(Настройки!$B$4="да",INDEX(Квартиры!$D$2:$D$1501,MATCH($A46*1000+1,Квартиры!$K$2:$K$1501,0))&amp;" / ","")&amp;INDEX(Квартиры!$H$2:$H$1501,MATCH($A46*1000+1,Квартиры!$K$2:$K$1501,0))&amp;" СУ"&amp;IF(INDEX(Квартиры!$I$2:$I$1501,MATCH($A46*1000+1,Квартиры!$K$2:$K$1501,0))&gt;0," +У","")&amp;IF(INDEX(Квартиры!$J$2:$J$1501,MATCH($A46*1000+1,Квартиры!$K$2:$K$1501,0))&gt;0," +Г",""),"-"))</f>
        <v/>
      </c>
      <c r="D46">
        <f>IF($A46="","",IFERROR(IF(Настройки!$B$4="да",INDEX(Квартиры!$D$2:$D$1501,MATCH($A46*1000+2,Квартиры!$K$2:$K$1501,0))&amp;" / ","")&amp;INDEX(Квартиры!$H$2:$H$1501,MATCH($A46*1000+2,Квартиры!$K$2:$K$1501,0))&amp;" СУ"&amp;IF(INDEX(Квартиры!$I$2:$I$1501,MATCH($A46*1000+2,Квартиры!$K$2:$K$1501,0))&gt;0," +У","")&amp;IF(INDEX(Квартиры!$J$2:$J$1501,MATCH($A46*1000+2,Квартиры!$K$2:$K$1501,0))&gt;0," +Г",""),"-"))</f>
        <v/>
      </c>
      <c r="E46">
        <f>IF($A46="","",IFERROR(IF(Настройки!$B$4="да",INDEX(Квартиры!$D$2:$D$1501,MATCH($A46*1000+3,Квартиры!$K$2:$K$1501,0))&amp;" / ","")&amp;INDEX(Квартиры!$H$2:$H$1501,MATCH($A46*1000+3,Квартиры!$K$2:$K$1501,0))&amp;" СУ"&amp;IF(INDEX(Квартиры!$I$2:$I$1501,MATCH($A46*1000+3,Квартиры!$K$2:$K$1501,0))&gt;0," +У","")&amp;IF(INDEX(Квартиры!$J$2:$J$1501,MATCH($A46*1000+3,Квартиры!$K$2:$K$1501,0))&gt;0," +Г",""),"-"))</f>
        <v/>
      </c>
      <c r="F46">
        <f>IF($A46="","",IFERROR(IF(Настройки!$B$4="да",INDEX(Квартиры!$D$2:$D$1501,MATCH($A46*1000+4,Квартиры!$K$2:$K$1501,0))&amp;" / ","")&amp;INDEX(Квартиры!$H$2:$H$1501,MATCH($A46*1000+4,Квартиры!$K$2:$K$1501,0))&amp;" СУ"&amp;IF(INDEX(Квартиры!$I$2:$I$1501,MATCH($A46*1000+4,Квартиры!$K$2:$K$1501,0))&gt;0," +У","")&amp;IF(INDEX(Квартиры!$J$2:$J$1501,MATCH($A46*1000+4,Квартиры!$K$2:$K$1501,0))&gt;0," +Г",""),"-"))</f>
        <v/>
      </c>
      <c r="G46">
        <f>IF($A46="","",IFERROR(IF(Настройки!$B$4="да",INDEX(Квартиры!$D$2:$D$1501,MATCH($A46*1000+5,Квартиры!$K$2:$K$1501,0))&amp;" / ","")&amp;INDEX(Квартиры!$H$2:$H$1501,MATCH($A46*1000+5,Квартиры!$K$2:$K$1501,0))&amp;" СУ"&amp;IF(INDEX(Квартиры!$I$2:$I$1501,MATCH($A46*1000+5,Квартиры!$K$2:$K$1501,0))&gt;0," +У","")&amp;IF(INDEX(Квартиры!$J$2:$J$1501,MATCH($A46*1000+5,Квартиры!$K$2:$K$1501,0))&gt;0," +Г",""),"-"))</f>
        <v/>
      </c>
      <c r="H46">
        <f>IF($A46="","",IFERROR(IF(Настройки!$B$4="да",INDEX(Квартиры!$D$2:$D$1501,MATCH($A46*1000+6,Квартиры!$K$2:$K$1501,0))&amp;" / ","")&amp;INDEX(Квартиры!$H$2:$H$1501,MATCH($A46*1000+6,Квартиры!$K$2:$K$1501,0))&amp;" СУ"&amp;IF(INDEX(Квартиры!$I$2:$I$1501,MATCH($A46*1000+6,Квартиры!$K$2:$K$1501,0))&gt;0," +У","")&amp;IF(INDEX(Квартиры!$J$2:$J$1501,MATCH($A46*1000+6,Квартиры!$K$2:$K$1501,0))&gt;0," +Г",""),"-"))</f>
        <v/>
      </c>
      <c r="I46">
        <f>IF($A46="","",IFERROR(IF(Настройки!$B$4="да",INDEX(Квартиры!$D$2:$D$1501,MATCH($A46*1000+7,Квартиры!$K$2:$K$1501,0))&amp;" / ","")&amp;INDEX(Квартиры!$H$2:$H$1501,MATCH($A46*1000+7,Квартиры!$K$2:$K$1501,0))&amp;" СУ"&amp;IF(INDEX(Квартиры!$I$2:$I$1501,MATCH($A46*1000+7,Квартиры!$K$2:$K$1501,0))&gt;0," +У","")&amp;IF(INDEX(Квартиры!$J$2:$J$1501,MATCH($A46*1000+7,Квартиры!$K$2:$K$1501,0))&gt;0," +Г",""),"-"))</f>
        <v/>
      </c>
      <c r="J46">
        <f>IF($A46="","",IFERROR(IF(Настройки!$B$4="да",INDEX(Квартиры!$D$2:$D$1501,MATCH($A46*1000+8,Квартиры!$K$2:$K$1501,0))&amp;" / ","")&amp;INDEX(Квартиры!$H$2:$H$1501,MATCH($A46*1000+8,Квартиры!$K$2:$K$1501,0))&amp;" СУ"&amp;IF(INDEX(Квартиры!$I$2:$I$1501,MATCH($A46*1000+8,Квартиры!$K$2:$K$1501,0))&gt;0," +У","")&amp;IF(INDEX(Квартиры!$J$2:$J$1501,MATCH($A46*1000+8,Квартиры!$K$2:$K$1501,0))&gt;0," +Г",""),"-"))</f>
        <v/>
      </c>
      <c r="K46">
        <f>IF($A46="","",IFERROR(IF(Настройки!$B$4="да",INDEX(Квартиры!$D$2:$D$1501,MATCH($A46*1000+9,Квартиры!$K$2:$K$1501,0))&amp;" / ","")&amp;INDEX(Квартиры!$H$2:$H$1501,MATCH($A46*1000+9,Квартиры!$K$2:$K$1501,0))&amp;" СУ"&amp;IF(INDEX(Квартиры!$I$2:$I$1501,MATCH($A46*1000+9,Квартиры!$K$2:$K$1501,0))&gt;0," +У","")&amp;IF(INDEX(Квартиры!$J$2:$J$1501,MATCH($A46*1000+9,Квартиры!$K$2:$K$1501,0))&gt;0," +Г",""),"-"))</f>
        <v/>
      </c>
      <c r="L46">
        <f>IF($A46="","",IFERROR(IF(Настройки!$B$4="да",INDEX(Квартиры!$D$2:$D$1501,MATCH($A46*1000+10,Квартиры!$K$2:$K$1501,0))&amp;" / ","")&amp;INDEX(Квартиры!$H$2:$H$1501,MATCH($A46*1000+10,Квартиры!$K$2:$K$1501,0))&amp;" СУ"&amp;IF(INDEX(Квартиры!$I$2:$I$1501,MATCH($A46*1000+10,Квартиры!$K$2:$K$1501,0))&gt;0," +У","")&amp;IF(INDEX(Квартиры!$J$2:$J$1501,MATCH($A46*1000+10,Квартиры!$K$2:$K$1501,0))&gt;0," +Г",""),"-"))</f>
        <v/>
      </c>
      <c r="M46">
        <f>IF($A46="","",IFERROR(IF(Настройки!$B$4="да",INDEX(Квартиры!$D$2:$D$1501,MATCH($A46*1000+11,Квартиры!$K$2:$K$1501,0))&amp;" / ","")&amp;INDEX(Квартиры!$H$2:$H$1501,MATCH($A46*1000+11,Квартиры!$K$2:$K$1501,0))&amp;" СУ"&amp;IF(INDEX(Квартиры!$I$2:$I$1501,MATCH($A46*1000+11,Квартиры!$K$2:$K$1501,0))&gt;0," +У","")&amp;IF(INDEX(Квартиры!$J$2:$J$1501,MATCH($A46*1000+11,Квартиры!$K$2:$K$1501,0))&gt;0," +Г",""),"-"))</f>
        <v/>
      </c>
      <c r="N46">
        <f>IF($A46="","",IFERROR(IF(Настройки!$B$4="да",INDEX(Квартиры!$D$2:$D$1501,MATCH($A46*1000+12,Квартиры!$K$2:$K$1501,0))&amp;" / ","")&amp;INDEX(Квартиры!$H$2:$H$1501,MATCH($A46*1000+12,Квартиры!$K$2:$K$1501,0))&amp;" СУ"&amp;IF(INDEX(Квартиры!$I$2:$I$1501,MATCH($A46*1000+12,Квартиры!$K$2:$K$1501,0))&gt;0," +У","")&amp;IF(INDEX(Квартиры!$J$2:$J$1501,MATCH($A46*1000+12,Квартиры!$K$2:$K$1501,0))&gt;0," +Г",""),"-"))</f>
        <v/>
      </c>
      <c r="O46">
        <f>IF($A46="","",IFERROR(IF(Настройки!$B$4="да",INDEX(Квартиры!$D$2:$D$1501,MATCH($A46*1000+13,Квартиры!$K$2:$K$1501,0))&amp;" / ","")&amp;INDEX(Квартиры!$H$2:$H$1501,MATCH($A46*1000+13,Квартиры!$K$2:$K$1501,0))&amp;" СУ"&amp;IF(INDEX(Квартиры!$I$2:$I$1501,MATCH($A46*1000+13,Квартиры!$K$2:$K$1501,0))&gt;0," +У","")&amp;IF(INDEX(Квартиры!$J$2:$J$1501,MATCH($A46*1000+13,Квартиры!$K$2:$K$1501,0))&gt;0," +Г",""),"-"))</f>
        <v/>
      </c>
      <c r="P46">
        <f>IF($A46="","",IFERROR(IF(Настройки!$B$4="да",INDEX(Квартиры!$D$2:$D$1501,MATCH($A46*1000+14,Квартиры!$K$2:$K$1501,0))&amp;" / ","")&amp;INDEX(Квартиры!$H$2:$H$1501,MATCH($A46*1000+14,Квартиры!$K$2:$K$1501,0))&amp;" СУ"&amp;IF(INDEX(Квартиры!$I$2:$I$1501,MATCH($A46*1000+14,Квартиры!$K$2:$K$1501,0))&gt;0," +У","")&amp;IF(INDEX(Квартиры!$J$2:$J$1501,MATCH($A46*1000+14,Квартиры!$K$2:$K$1501,0))&gt;0," +Г",""),"-"))</f>
        <v/>
      </c>
      <c r="Q46">
        <f>IF($A46="","",IFERROR(IF(Настройки!$B$4="да",INDEX(Квартиры!$D$2:$D$1501,MATCH($A46*1000+15,Квартиры!$K$2:$K$1501,0))&amp;" / ","")&amp;INDEX(Квартиры!$H$2:$H$1501,MATCH($A46*1000+15,Квартиры!$K$2:$K$1501,0))&amp;" СУ"&amp;IF(INDEX(Квартиры!$I$2:$I$1501,MATCH($A46*1000+15,Квартиры!$K$2:$K$1501,0))&gt;0," +У","")&amp;IF(INDEX(Квартиры!$J$2:$J$1501,MATCH($A46*1000+15,Квартиры!$K$2:$K$1501,0))&gt;0," +Г",""),"-"))</f>
        <v/>
      </c>
      <c r="R46">
        <f>IF(A46="","",C46&amp;"|"&amp;D46&amp;"|"&amp;E46&amp;"|"&amp;F46&amp;"|"&amp;G46&amp;"|"&amp;H46&amp;"|"&amp;I46&amp;"|"&amp;J46&amp;"|"&amp;K46&amp;"|"&amp;L46&amp;"|"&amp;M46&amp;"|"&amp;N46&amp;"|"&amp;O46&amp;"|"&amp;P46&amp;"|"&amp;Q46)</f>
        <v/>
      </c>
      <c r="S46">
        <f>IF(A46="","",IFERROR(LOOKUP(2,1/(B$2:B45=B46),S$2:S45)&amp;", ","")&amp;A46)</f>
        <v/>
      </c>
      <c r="U46">
        <f>IF(44&gt;MAX(B$3:B$82),"",44)</f>
        <v/>
      </c>
      <c r="V46">
        <f>IF(U46="","",LOOKUP(2,1/(B$3:B$82=U46),S$3:S$82))</f>
        <v/>
      </c>
      <c r="W46">
        <f>IF(U46="","",COUNTIF(B$3:B$82,U46))</f>
        <v/>
      </c>
    </row>
    <row r="47">
      <c r="A47">
        <f>IFERROR(IF(A46="","",SMALL(Квартиры!$B$2:$B$1501,COUNTIF(Квартиры!$B$2:$B$1501,"&lt;="&amp;A46)+1)),"")</f>
        <v/>
      </c>
      <c r="B47">
        <f>IF(A47="","",IF(COUNTIF(R$2:R46,R47)=0,MAX(B$2:B46)+1,INDEX(B$2:B46,MATCH(R47,R$2:R46,0))))</f>
        <v/>
      </c>
      <c r="C47">
        <f>IF($A47="","",IFERROR(IF(Настройки!$B$4="да",INDEX(Квартиры!$D$2:$D$1501,MATCH($A47*1000+1,Квартиры!$K$2:$K$1501,0))&amp;" / ","")&amp;INDEX(Квартиры!$H$2:$H$1501,MATCH($A47*1000+1,Квартиры!$K$2:$K$1501,0))&amp;" СУ"&amp;IF(INDEX(Квартиры!$I$2:$I$1501,MATCH($A47*1000+1,Квартиры!$K$2:$K$1501,0))&gt;0," +У","")&amp;IF(INDEX(Квартиры!$J$2:$J$1501,MATCH($A47*1000+1,Квартиры!$K$2:$K$1501,0))&gt;0," +Г",""),"-"))</f>
        <v/>
      </c>
      <c r="D47">
        <f>IF($A47="","",IFERROR(IF(Настройки!$B$4="да",INDEX(Квартиры!$D$2:$D$1501,MATCH($A47*1000+2,Квартиры!$K$2:$K$1501,0))&amp;" / ","")&amp;INDEX(Квартиры!$H$2:$H$1501,MATCH($A47*1000+2,Квартиры!$K$2:$K$1501,0))&amp;" СУ"&amp;IF(INDEX(Квартиры!$I$2:$I$1501,MATCH($A47*1000+2,Квартиры!$K$2:$K$1501,0))&gt;0," +У","")&amp;IF(INDEX(Квартиры!$J$2:$J$1501,MATCH($A47*1000+2,Квартиры!$K$2:$K$1501,0))&gt;0," +Г",""),"-"))</f>
        <v/>
      </c>
      <c r="E47">
        <f>IF($A47="","",IFERROR(IF(Настройки!$B$4="да",INDEX(Квартиры!$D$2:$D$1501,MATCH($A47*1000+3,Квартиры!$K$2:$K$1501,0))&amp;" / ","")&amp;INDEX(Квартиры!$H$2:$H$1501,MATCH($A47*1000+3,Квартиры!$K$2:$K$1501,0))&amp;" СУ"&amp;IF(INDEX(Квартиры!$I$2:$I$1501,MATCH($A47*1000+3,Квартиры!$K$2:$K$1501,0))&gt;0," +У","")&amp;IF(INDEX(Квартиры!$J$2:$J$1501,MATCH($A47*1000+3,Квартиры!$K$2:$K$1501,0))&gt;0," +Г",""),"-"))</f>
        <v/>
      </c>
      <c r="F47">
        <f>IF($A47="","",IFERROR(IF(Настройки!$B$4="да",INDEX(Квартиры!$D$2:$D$1501,MATCH($A47*1000+4,Квартиры!$K$2:$K$1501,0))&amp;" / ","")&amp;INDEX(Квартиры!$H$2:$H$1501,MATCH($A47*1000+4,Квартиры!$K$2:$K$1501,0))&amp;" СУ"&amp;IF(INDEX(Квартиры!$I$2:$I$1501,MATCH($A47*1000+4,Квартиры!$K$2:$K$1501,0))&gt;0," +У","")&amp;IF(INDEX(Квартиры!$J$2:$J$1501,MATCH($A47*1000+4,Квартиры!$K$2:$K$1501,0))&gt;0," +Г",""),"-"))</f>
        <v/>
      </c>
      <c r="G47">
        <f>IF($A47="","",IFERROR(IF(Настройки!$B$4="да",INDEX(Квартиры!$D$2:$D$1501,MATCH($A47*1000+5,Квартиры!$K$2:$K$1501,0))&amp;" / ","")&amp;INDEX(Квартиры!$H$2:$H$1501,MATCH($A47*1000+5,Квартиры!$K$2:$K$1501,0))&amp;" СУ"&amp;IF(INDEX(Квартиры!$I$2:$I$1501,MATCH($A47*1000+5,Квартиры!$K$2:$K$1501,0))&gt;0," +У","")&amp;IF(INDEX(Квартиры!$J$2:$J$1501,MATCH($A47*1000+5,Квартиры!$K$2:$K$1501,0))&gt;0," +Г",""),"-"))</f>
        <v/>
      </c>
      <c r="H47">
        <f>IF($A47="","",IFERROR(IF(Настройки!$B$4="да",INDEX(Квартиры!$D$2:$D$1501,MATCH($A47*1000+6,Квартиры!$K$2:$K$1501,0))&amp;" / ","")&amp;INDEX(Квартиры!$H$2:$H$1501,MATCH($A47*1000+6,Квартиры!$K$2:$K$1501,0))&amp;" СУ"&amp;IF(INDEX(Квартиры!$I$2:$I$1501,MATCH($A47*1000+6,Квартиры!$K$2:$K$1501,0))&gt;0," +У","")&amp;IF(INDEX(Квартиры!$J$2:$J$1501,MATCH($A47*1000+6,Квартиры!$K$2:$K$1501,0))&gt;0," +Г",""),"-"))</f>
        <v/>
      </c>
      <c r="I47">
        <f>IF($A47="","",IFERROR(IF(Настройки!$B$4="да",INDEX(Квартиры!$D$2:$D$1501,MATCH($A47*1000+7,Квартиры!$K$2:$K$1501,0))&amp;" / ","")&amp;INDEX(Квартиры!$H$2:$H$1501,MATCH($A47*1000+7,Квартиры!$K$2:$K$1501,0))&amp;" СУ"&amp;IF(INDEX(Квартиры!$I$2:$I$1501,MATCH($A47*1000+7,Квартиры!$K$2:$K$1501,0))&gt;0," +У","")&amp;IF(INDEX(Квартиры!$J$2:$J$1501,MATCH($A47*1000+7,Квартиры!$K$2:$K$1501,0))&gt;0," +Г",""),"-"))</f>
        <v/>
      </c>
      <c r="J47">
        <f>IF($A47="","",IFERROR(IF(Настройки!$B$4="да",INDEX(Квартиры!$D$2:$D$1501,MATCH($A47*1000+8,Квартиры!$K$2:$K$1501,0))&amp;" / ","")&amp;INDEX(Квартиры!$H$2:$H$1501,MATCH($A47*1000+8,Квартиры!$K$2:$K$1501,0))&amp;" СУ"&amp;IF(INDEX(Квартиры!$I$2:$I$1501,MATCH($A47*1000+8,Квартиры!$K$2:$K$1501,0))&gt;0," +У","")&amp;IF(INDEX(Квартиры!$J$2:$J$1501,MATCH($A47*1000+8,Квартиры!$K$2:$K$1501,0))&gt;0," +Г",""),"-"))</f>
        <v/>
      </c>
      <c r="K47">
        <f>IF($A47="","",IFERROR(IF(Настройки!$B$4="да",INDEX(Квартиры!$D$2:$D$1501,MATCH($A47*1000+9,Квартиры!$K$2:$K$1501,0))&amp;" / ","")&amp;INDEX(Квартиры!$H$2:$H$1501,MATCH($A47*1000+9,Квартиры!$K$2:$K$1501,0))&amp;" СУ"&amp;IF(INDEX(Квартиры!$I$2:$I$1501,MATCH($A47*1000+9,Квартиры!$K$2:$K$1501,0))&gt;0," +У","")&amp;IF(INDEX(Квартиры!$J$2:$J$1501,MATCH($A47*1000+9,Квартиры!$K$2:$K$1501,0))&gt;0," +Г",""),"-"))</f>
        <v/>
      </c>
      <c r="L47">
        <f>IF($A47="","",IFERROR(IF(Настройки!$B$4="да",INDEX(Квартиры!$D$2:$D$1501,MATCH($A47*1000+10,Квартиры!$K$2:$K$1501,0))&amp;" / ","")&amp;INDEX(Квартиры!$H$2:$H$1501,MATCH($A47*1000+10,Квартиры!$K$2:$K$1501,0))&amp;" СУ"&amp;IF(INDEX(Квартиры!$I$2:$I$1501,MATCH($A47*1000+10,Квартиры!$K$2:$K$1501,0))&gt;0," +У","")&amp;IF(INDEX(Квартиры!$J$2:$J$1501,MATCH($A47*1000+10,Квартиры!$K$2:$K$1501,0))&gt;0," +Г",""),"-"))</f>
        <v/>
      </c>
      <c r="M47">
        <f>IF($A47="","",IFERROR(IF(Настройки!$B$4="да",INDEX(Квартиры!$D$2:$D$1501,MATCH($A47*1000+11,Квартиры!$K$2:$K$1501,0))&amp;" / ","")&amp;INDEX(Квартиры!$H$2:$H$1501,MATCH($A47*1000+11,Квартиры!$K$2:$K$1501,0))&amp;" СУ"&amp;IF(INDEX(Квартиры!$I$2:$I$1501,MATCH($A47*1000+11,Квартиры!$K$2:$K$1501,0))&gt;0," +У","")&amp;IF(INDEX(Квартиры!$J$2:$J$1501,MATCH($A47*1000+11,Квартиры!$K$2:$K$1501,0))&gt;0," +Г",""),"-"))</f>
        <v/>
      </c>
      <c r="N47">
        <f>IF($A47="","",IFERROR(IF(Настройки!$B$4="да",INDEX(Квартиры!$D$2:$D$1501,MATCH($A47*1000+12,Квартиры!$K$2:$K$1501,0))&amp;" / ","")&amp;INDEX(Квартиры!$H$2:$H$1501,MATCH($A47*1000+12,Квартиры!$K$2:$K$1501,0))&amp;" СУ"&amp;IF(INDEX(Квартиры!$I$2:$I$1501,MATCH($A47*1000+12,Квартиры!$K$2:$K$1501,0))&gt;0," +У","")&amp;IF(INDEX(Квартиры!$J$2:$J$1501,MATCH($A47*1000+12,Квартиры!$K$2:$K$1501,0))&gt;0," +Г",""),"-"))</f>
        <v/>
      </c>
      <c r="O47">
        <f>IF($A47="","",IFERROR(IF(Настройки!$B$4="да",INDEX(Квартиры!$D$2:$D$1501,MATCH($A47*1000+13,Квартиры!$K$2:$K$1501,0))&amp;" / ","")&amp;INDEX(Квартиры!$H$2:$H$1501,MATCH($A47*1000+13,Квартиры!$K$2:$K$1501,0))&amp;" СУ"&amp;IF(INDEX(Квартиры!$I$2:$I$1501,MATCH($A47*1000+13,Квартиры!$K$2:$K$1501,0))&gt;0," +У","")&amp;IF(INDEX(Квартиры!$J$2:$J$1501,MATCH($A47*1000+13,Квартиры!$K$2:$K$1501,0))&gt;0," +Г",""),"-"))</f>
        <v/>
      </c>
      <c r="P47">
        <f>IF($A47="","",IFERROR(IF(Настройки!$B$4="да",INDEX(Квартиры!$D$2:$D$1501,MATCH($A47*1000+14,Квартиры!$K$2:$K$1501,0))&amp;" / ","")&amp;INDEX(Квартиры!$H$2:$H$1501,MATCH($A47*1000+14,Квартиры!$K$2:$K$1501,0))&amp;" СУ"&amp;IF(INDEX(Квартиры!$I$2:$I$1501,MATCH($A47*1000+14,Квартиры!$K$2:$K$1501,0))&gt;0," +У","")&amp;IF(INDEX(Квартиры!$J$2:$J$1501,MATCH($A47*1000+14,Квартиры!$K$2:$K$1501,0))&gt;0," +Г",""),"-"))</f>
        <v/>
      </c>
      <c r="Q47">
        <f>IF($A47="","",IFERROR(IF(Настройки!$B$4="да",INDEX(Квартиры!$D$2:$D$1501,MATCH($A47*1000+15,Квартиры!$K$2:$K$1501,0))&amp;" / ","")&amp;INDEX(Квартиры!$H$2:$H$1501,MATCH($A47*1000+15,Квартиры!$K$2:$K$1501,0))&amp;" СУ"&amp;IF(INDEX(Квартиры!$I$2:$I$1501,MATCH($A47*1000+15,Квартиры!$K$2:$K$1501,0))&gt;0," +У","")&amp;IF(INDEX(Квартиры!$J$2:$J$1501,MATCH($A47*1000+15,Квартиры!$K$2:$K$1501,0))&gt;0," +Г",""),"-"))</f>
        <v/>
      </c>
      <c r="R47">
        <f>IF(A47="","",C47&amp;"|"&amp;D47&amp;"|"&amp;E47&amp;"|"&amp;F47&amp;"|"&amp;G47&amp;"|"&amp;H47&amp;"|"&amp;I47&amp;"|"&amp;J47&amp;"|"&amp;K47&amp;"|"&amp;L47&amp;"|"&amp;M47&amp;"|"&amp;N47&amp;"|"&amp;O47&amp;"|"&amp;P47&amp;"|"&amp;Q47)</f>
        <v/>
      </c>
      <c r="S47">
        <f>IF(A47="","",IFERROR(LOOKUP(2,1/(B$2:B46=B47),S$2:S46)&amp;", ","")&amp;A47)</f>
        <v/>
      </c>
      <c r="U47">
        <f>IF(45&gt;MAX(B$3:B$82),"",45)</f>
        <v/>
      </c>
      <c r="V47">
        <f>IF(U47="","",LOOKUP(2,1/(B$3:B$82=U47),S$3:S$82))</f>
        <v/>
      </c>
      <c r="W47">
        <f>IF(U47="","",COUNTIF(B$3:B$82,U47))</f>
        <v/>
      </c>
    </row>
    <row r="48">
      <c r="A48">
        <f>IFERROR(IF(A47="","",SMALL(Квартиры!$B$2:$B$1501,COUNTIF(Квартиры!$B$2:$B$1501,"&lt;="&amp;A47)+1)),"")</f>
        <v/>
      </c>
      <c r="B48">
        <f>IF(A48="","",IF(COUNTIF(R$2:R47,R48)=0,MAX(B$2:B47)+1,INDEX(B$2:B47,MATCH(R48,R$2:R47,0))))</f>
        <v/>
      </c>
      <c r="C48">
        <f>IF($A48="","",IFERROR(IF(Настройки!$B$4="да",INDEX(Квартиры!$D$2:$D$1501,MATCH($A48*1000+1,Квартиры!$K$2:$K$1501,0))&amp;" / ","")&amp;INDEX(Квартиры!$H$2:$H$1501,MATCH($A48*1000+1,Квартиры!$K$2:$K$1501,0))&amp;" СУ"&amp;IF(INDEX(Квартиры!$I$2:$I$1501,MATCH($A48*1000+1,Квартиры!$K$2:$K$1501,0))&gt;0," +У","")&amp;IF(INDEX(Квартиры!$J$2:$J$1501,MATCH($A48*1000+1,Квартиры!$K$2:$K$1501,0))&gt;0," +Г",""),"-"))</f>
        <v/>
      </c>
      <c r="D48">
        <f>IF($A48="","",IFERROR(IF(Настройки!$B$4="да",INDEX(Квартиры!$D$2:$D$1501,MATCH($A48*1000+2,Квартиры!$K$2:$K$1501,0))&amp;" / ","")&amp;INDEX(Квартиры!$H$2:$H$1501,MATCH($A48*1000+2,Квартиры!$K$2:$K$1501,0))&amp;" СУ"&amp;IF(INDEX(Квартиры!$I$2:$I$1501,MATCH($A48*1000+2,Квартиры!$K$2:$K$1501,0))&gt;0," +У","")&amp;IF(INDEX(Квартиры!$J$2:$J$1501,MATCH($A48*1000+2,Квартиры!$K$2:$K$1501,0))&gt;0," +Г",""),"-"))</f>
        <v/>
      </c>
      <c r="E48">
        <f>IF($A48="","",IFERROR(IF(Настройки!$B$4="да",INDEX(Квартиры!$D$2:$D$1501,MATCH($A48*1000+3,Квартиры!$K$2:$K$1501,0))&amp;" / ","")&amp;INDEX(Квартиры!$H$2:$H$1501,MATCH($A48*1000+3,Квартиры!$K$2:$K$1501,0))&amp;" СУ"&amp;IF(INDEX(Квартиры!$I$2:$I$1501,MATCH($A48*1000+3,Квартиры!$K$2:$K$1501,0))&gt;0," +У","")&amp;IF(INDEX(Квартиры!$J$2:$J$1501,MATCH($A48*1000+3,Квартиры!$K$2:$K$1501,0))&gt;0," +Г",""),"-"))</f>
        <v/>
      </c>
      <c r="F48">
        <f>IF($A48="","",IFERROR(IF(Настройки!$B$4="да",INDEX(Квартиры!$D$2:$D$1501,MATCH($A48*1000+4,Квартиры!$K$2:$K$1501,0))&amp;" / ","")&amp;INDEX(Квартиры!$H$2:$H$1501,MATCH($A48*1000+4,Квартиры!$K$2:$K$1501,0))&amp;" СУ"&amp;IF(INDEX(Квартиры!$I$2:$I$1501,MATCH($A48*1000+4,Квартиры!$K$2:$K$1501,0))&gt;0," +У","")&amp;IF(INDEX(Квартиры!$J$2:$J$1501,MATCH($A48*1000+4,Квартиры!$K$2:$K$1501,0))&gt;0," +Г",""),"-"))</f>
        <v/>
      </c>
      <c r="G48">
        <f>IF($A48="","",IFERROR(IF(Настройки!$B$4="да",INDEX(Квартиры!$D$2:$D$1501,MATCH($A48*1000+5,Квартиры!$K$2:$K$1501,0))&amp;" / ","")&amp;INDEX(Квартиры!$H$2:$H$1501,MATCH($A48*1000+5,Квартиры!$K$2:$K$1501,0))&amp;" СУ"&amp;IF(INDEX(Квартиры!$I$2:$I$1501,MATCH($A48*1000+5,Квартиры!$K$2:$K$1501,0))&gt;0," +У","")&amp;IF(INDEX(Квартиры!$J$2:$J$1501,MATCH($A48*1000+5,Квартиры!$K$2:$K$1501,0))&gt;0," +Г",""),"-"))</f>
        <v/>
      </c>
      <c r="H48">
        <f>IF($A48="","",IFERROR(IF(Настройки!$B$4="да",INDEX(Квартиры!$D$2:$D$1501,MATCH($A48*1000+6,Квартиры!$K$2:$K$1501,0))&amp;" / ","")&amp;INDEX(Квартиры!$H$2:$H$1501,MATCH($A48*1000+6,Квартиры!$K$2:$K$1501,0))&amp;" СУ"&amp;IF(INDEX(Квартиры!$I$2:$I$1501,MATCH($A48*1000+6,Квартиры!$K$2:$K$1501,0))&gt;0," +У","")&amp;IF(INDEX(Квартиры!$J$2:$J$1501,MATCH($A48*1000+6,Квартиры!$K$2:$K$1501,0))&gt;0," +Г",""),"-"))</f>
        <v/>
      </c>
      <c r="I48">
        <f>IF($A48="","",IFERROR(IF(Настройки!$B$4="да",INDEX(Квартиры!$D$2:$D$1501,MATCH($A48*1000+7,Квартиры!$K$2:$K$1501,0))&amp;" / ","")&amp;INDEX(Квартиры!$H$2:$H$1501,MATCH($A48*1000+7,Квартиры!$K$2:$K$1501,0))&amp;" СУ"&amp;IF(INDEX(Квартиры!$I$2:$I$1501,MATCH($A48*1000+7,Квартиры!$K$2:$K$1501,0))&gt;0," +У","")&amp;IF(INDEX(Квартиры!$J$2:$J$1501,MATCH($A48*1000+7,Квартиры!$K$2:$K$1501,0))&gt;0," +Г",""),"-"))</f>
        <v/>
      </c>
      <c r="J48">
        <f>IF($A48="","",IFERROR(IF(Настройки!$B$4="да",INDEX(Квартиры!$D$2:$D$1501,MATCH($A48*1000+8,Квартиры!$K$2:$K$1501,0))&amp;" / ","")&amp;INDEX(Квартиры!$H$2:$H$1501,MATCH($A48*1000+8,Квартиры!$K$2:$K$1501,0))&amp;" СУ"&amp;IF(INDEX(Квартиры!$I$2:$I$1501,MATCH($A48*1000+8,Квартиры!$K$2:$K$1501,0))&gt;0," +У","")&amp;IF(INDEX(Квартиры!$J$2:$J$1501,MATCH($A48*1000+8,Квартиры!$K$2:$K$1501,0))&gt;0," +Г",""),"-"))</f>
        <v/>
      </c>
      <c r="K48">
        <f>IF($A48="","",IFERROR(IF(Настройки!$B$4="да",INDEX(Квартиры!$D$2:$D$1501,MATCH($A48*1000+9,Квартиры!$K$2:$K$1501,0))&amp;" / ","")&amp;INDEX(Квартиры!$H$2:$H$1501,MATCH($A48*1000+9,Квартиры!$K$2:$K$1501,0))&amp;" СУ"&amp;IF(INDEX(Квартиры!$I$2:$I$1501,MATCH($A48*1000+9,Квартиры!$K$2:$K$1501,0))&gt;0," +У","")&amp;IF(INDEX(Квартиры!$J$2:$J$1501,MATCH($A48*1000+9,Квартиры!$K$2:$K$1501,0))&gt;0," +Г",""),"-"))</f>
        <v/>
      </c>
      <c r="L48">
        <f>IF($A48="","",IFERROR(IF(Настройки!$B$4="да",INDEX(Квартиры!$D$2:$D$1501,MATCH($A48*1000+10,Квартиры!$K$2:$K$1501,0))&amp;" / ","")&amp;INDEX(Квартиры!$H$2:$H$1501,MATCH($A48*1000+10,Квартиры!$K$2:$K$1501,0))&amp;" СУ"&amp;IF(INDEX(Квартиры!$I$2:$I$1501,MATCH($A48*1000+10,Квартиры!$K$2:$K$1501,0))&gt;0," +У","")&amp;IF(INDEX(Квартиры!$J$2:$J$1501,MATCH($A48*1000+10,Квартиры!$K$2:$K$1501,0))&gt;0," +Г",""),"-"))</f>
        <v/>
      </c>
      <c r="M48">
        <f>IF($A48="","",IFERROR(IF(Настройки!$B$4="да",INDEX(Квартиры!$D$2:$D$1501,MATCH($A48*1000+11,Квартиры!$K$2:$K$1501,0))&amp;" / ","")&amp;INDEX(Квартиры!$H$2:$H$1501,MATCH($A48*1000+11,Квартиры!$K$2:$K$1501,0))&amp;" СУ"&amp;IF(INDEX(Квартиры!$I$2:$I$1501,MATCH($A48*1000+11,Квартиры!$K$2:$K$1501,0))&gt;0," +У","")&amp;IF(INDEX(Квартиры!$J$2:$J$1501,MATCH($A48*1000+11,Квартиры!$K$2:$K$1501,0))&gt;0," +Г",""),"-"))</f>
        <v/>
      </c>
      <c r="N48">
        <f>IF($A48="","",IFERROR(IF(Настройки!$B$4="да",INDEX(Квартиры!$D$2:$D$1501,MATCH($A48*1000+12,Квартиры!$K$2:$K$1501,0))&amp;" / ","")&amp;INDEX(Квартиры!$H$2:$H$1501,MATCH($A48*1000+12,Квартиры!$K$2:$K$1501,0))&amp;" СУ"&amp;IF(INDEX(Квартиры!$I$2:$I$1501,MATCH($A48*1000+12,Квартиры!$K$2:$K$1501,0))&gt;0," +У","")&amp;IF(INDEX(Квартиры!$J$2:$J$1501,MATCH($A48*1000+12,Квартиры!$K$2:$K$1501,0))&gt;0," +Г",""),"-"))</f>
        <v/>
      </c>
      <c r="O48">
        <f>IF($A48="","",IFERROR(IF(Настройки!$B$4="да",INDEX(Квартиры!$D$2:$D$1501,MATCH($A48*1000+13,Квартиры!$K$2:$K$1501,0))&amp;" / ","")&amp;INDEX(Квартиры!$H$2:$H$1501,MATCH($A48*1000+13,Квартиры!$K$2:$K$1501,0))&amp;" СУ"&amp;IF(INDEX(Квартиры!$I$2:$I$1501,MATCH($A48*1000+13,Квартиры!$K$2:$K$1501,0))&gt;0," +У","")&amp;IF(INDEX(Квартиры!$J$2:$J$1501,MATCH($A48*1000+13,Квартиры!$K$2:$K$1501,0))&gt;0," +Г",""),"-"))</f>
        <v/>
      </c>
      <c r="P48">
        <f>IF($A48="","",IFERROR(IF(Настройки!$B$4="да",INDEX(Квартиры!$D$2:$D$1501,MATCH($A48*1000+14,Квартиры!$K$2:$K$1501,0))&amp;" / ","")&amp;INDEX(Квартиры!$H$2:$H$1501,MATCH($A48*1000+14,Квартиры!$K$2:$K$1501,0))&amp;" СУ"&amp;IF(INDEX(Квартиры!$I$2:$I$1501,MATCH($A48*1000+14,Квартиры!$K$2:$K$1501,0))&gt;0," +У","")&amp;IF(INDEX(Квартиры!$J$2:$J$1501,MATCH($A48*1000+14,Квартиры!$K$2:$K$1501,0))&gt;0," +Г",""),"-"))</f>
        <v/>
      </c>
      <c r="Q48">
        <f>IF($A48="","",IFERROR(IF(Настройки!$B$4="да",INDEX(Квартиры!$D$2:$D$1501,MATCH($A48*1000+15,Квартиры!$K$2:$K$1501,0))&amp;" / ","")&amp;INDEX(Квартиры!$H$2:$H$1501,MATCH($A48*1000+15,Квартиры!$K$2:$K$1501,0))&amp;" СУ"&amp;IF(INDEX(Квартиры!$I$2:$I$1501,MATCH($A48*1000+15,Квартиры!$K$2:$K$1501,0))&gt;0," +У","")&amp;IF(INDEX(Квартиры!$J$2:$J$1501,MATCH($A48*1000+15,Квартиры!$K$2:$K$1501,0))&gt;0," +Г",""),"-"))</f>
        <v/>
      </c>
      <c r="R48">
        <f>IF(A48="","",C48&amp;"|"&amp;D48&amp;"|"&amp;E48&amp;"|"&amp;F48&amp;"|"&amp;G48&amp;"|"&amp;H48&amp;"|"&amp;I48&amp;"|"&amp;J48&amp;"|"&amp;K48&amp;"|"&amp;L48&amp;"|"&amp;M48&amp;"|"&amp;N48&amp;"|"&amp;O48&amp;"|"&amp;P48&amp;"|"&amp;Q48)</f>
        <v/>
      </c>
      <c r="S48">
        <f>IF(A48="","",IFERROR(LOOKUP(2,1/(B$2:B47=B48),S$2:S47)&amp;", ","")&amp;A48)</f>
        <v/>
      </c>
      <c r="U48">
        <f>IF(46&gt;MAX(B$3:B$82),"",46)</f>
        <v/>
      </c>
      <c r="V48">
        <f>IF(U48="","",LOOKUP(2,1/(B$3:B$82=U48),S$3:S$82))</f>
        <v/>
      </c>
      <c r="W48">
        <f>IF(U48="","",COUNTIF(B$3:B$82,U48))</f>
        <v/>
      </c>
    </row>
    <row r="49">
      <c r="A49">
        <f>IFERROR(IF(A48="","",SMALL(Квартиры!$B$2:$B$1501,COUNTIF(Квартиры!$B$2:$B$1501,"&lt;="&amp;A48)+1)),"")</f>
        <v/>
      </c>
      <c r="B49">
        <f>IF(A49="","",IF(COUNTIF(R$2:R48,R49)=0,MAX(B$2:B48)+1,INDEX(B$2:B48,MATCH(R49,R$2:R48,0))))</f>
        <v/>
      </c>
      <c r="C49">
        <f>IF($A49="","",IFERROR(IF(Настройки!$B$4="да",INDEX(Квартиры!$D$2:$D$1501,MATCH($A49*1000+1,Квартиры!$K$2:$K$1501,0))&amp;" / ","")&amp;INDEX(Квартиры!$H$2:$H$1501,MATCH($A49*1000+1,Квартиры!$K$2:$K$1501,0))&amp;" СУ"&amp;IF(INDEX(Квартиры!$I$2:$I$1501,MATCH($A49*1000+1,Квартиры!$K$2:$K$1501,0))&gt;0," +У","")&amp;IF(INDEX(Квартиры!$J$2:$J$1501,MATCH($A49*1000+1,Квартиры!$K$2:$K$1501,0))&gt;0," +Г",""),"-"))</f>
        <v/>
      </c>
      <c r="D49">
        <f>IF($A49="","",IFERROR(IF(Настройки!$B$4="да",INDEX(Квартиры!$D$2:$D$1501,MATCH($A49*1000+2,Квартиры!$K$2:$K$1501,0))&amp;" / ","")&amp;INDEX(Квартиры!$H$2:$H$1501,MATCH($A49*1000+2,Квартиры!$K$2:$K$1501,0))&amp;" СУ"&amp;IF(INDEX(Квартиры!$I$2:$I$1501,MATCH($A49*1000+2,Квартиры!$K$2:$K$1501,0))&gt;0," +У","")&amp;IF(INDEX(Квартиры!$J$2:$J$1501,MATCH($A49*1000+2,Квартиры!$K$2:$K$1501,0))&gt;0," +Г",""),"-"))</f>
        <v/>
      </c>
      <c r="E49">
        <f>IF($A49="","",IFERROR(IF(Настройки!$B$4="да",INDEX(Квартиры!$D$2:$D$1501,MATCH($A49*1000+3,Квартиры!$K$2:$K$1501,0))&amp;" / ","")&amp;INDEX(Квартиры!$H$2:$H$1501,MATCH($A49*1000+3,Квартиры!$K$2:$K$1501,0))&amp;" СУ"&amp;IF(INDEX(Квартиры!$I$2:$I$1501,MATCH($A49*1000+3,Квартиры!$K$2:$K$1501,0))&gt;0," +У","")&amp;IF(INDEX(Квартиры!$J$2:$J$1501,MATCH($A49*1000+3,Квартиры!$K$2:$K$1501,0))&gt;0," +Г",""),"-"))</f>
        <v/>
      </c>
      <c r="F49">
        <f>IF($A49="","",IFERROR(IF(Настройки!$B$4="да",INDEX(Квартиры!$D$2:$D$1501,MATCH($A49*1000+4,Квартиры!$K$2:$K$1501,0))&amp;" / ","")&amp;INDEX(Квартиры!$H$2:$H$1501,MATCH($A49*1000+4,Квартиры!$K$2:$K$1501,0))&amp;" СУ"&amp;IF(INDEX(Квартиры!$I$2:$I$1501,MATCH($A49*1000+4,Квартиры!$K$2:$K$1501,0))&gt;0," +У","")&amp;IF(INDEX(Квартиры!$J$2:$J$1501,MATCH($A49*1000+4,Квартиры!$K$2:$K$1501,0))&gt;0," +Г",""),"-"))</f>
        <v/>
      </c>
      <c r="G49">
        <f>IF($A49="","",IFERROR(IF(Настройки!$B$4="да",INDEX(Квартиры!$D$2:$D$1501,MATCH($A49*1000+5,Квартиры!$K$2:$K$1501,0))&amp;" / ","")&amp;INDEX(Квартиры!$H$2:$H$1501,MATCH($A49*1000+5,Квартиры!$K$2:$K$1501,0))&amp;" СУ"&amp;IF(INDEX(Квартиры!$I$2:$I$1501,MATCH($A49*1000+5,Квартиры!$K$2:$K$1501,0))&gt;0," +У","")&amp;IF(INDEX(Квартиры!$J$2:$J$1501,MATCH($A49*1000+5,Квартиры!$K$2:$K$1501,0))&gt;0," +Г",""),"-"))</f>
        <v/>
      </c>
      <c r="H49">
        <f>IF($A49="","",IFERROR(IF(Настройки!$B$4="да",INDEX(Квартиры!$D$2:$D$1501,MATCH($A49*1000+6,Квартиры!$K$2:$K$1501,0))&amp;" / ","")&amp;INDEX(Квартиры!$H$2:$H$1501,MATCH($A49*1000+6,Квартиры!$K$2:$K$1501,0))&amp;" СУ"&amp;IF(INDEX(Квартиры!$I$2:$I$1501,MATCH($A49*1000+6,Квартиры!$K$2:$K$1501,0))&gt;0," +У","")&amp;IF(INDEX(Квартиры!$J$2:$J$1501,MATCH($A49*1000+6,Квартиры!$K$2:$K$1501,0))&gt;0," +Г",""),"-"))</f>
        <v/>
      </c>
      <c r="I49">
        <f>IF($A49="","",IFERROR(IF(Настройки!$B$4="да",INDEX(Квартиры!$D$2:$D$1501,MATCH($A49*1000+7,Квартиры!$K$2:$K$1501,0))&amp;" / ","")&amp;INDEX(Квартиры!$H$2:$H$1501,MATCH($A49*1000+7,Квартиры!$K$2:$K$1501,0))&amp;" СУ"&amp;IF(INDEX(Квартиры!$I$2:$I$1501,MATCH($A49*1000+7,Квартиры!$K$2:$K$1501,0))&gt;0," +У","")&amp;IF(INDEX(Квартиры!$J$2:$J$1501,MATCH($A49*1000+7,Квартиры!$K$2:$K$1501,0))&gt;0," +Г",""),"-"))</f>
        <v/>
      </c>
      <c r="J49">
        <f>IF($A49="","",IFERROR(IF(Настройки!$B$4="да",INDEX(Квартиры!$D$2:$D$1501,MATCH($A49*1000+8,Квартиры!$K$2:$K$1501,0))&amp;" / ","")&amp;INDEX(Квартиры!$H$2:$H$1501,MATCH($A49*1000+8,Квартиры!$K$2:$K$1501,0))&amp;" СУ"&amp;IF(INDEX(Квартиры!$I$2:$I$1501,MATCH($A49*1000+8,Квартиры!$K$2:$K$1501,0))&gt;0," +У","")&amp;IF(INDEX(Квартиры!$J$2:$J$1501,MATCH($A49*1000+8,Квартиры!$K$2:$K$1501,0))&gt;0," +Г",""),"-"))</f>
        <v/>
      </c>
      <c r="K49">
        <f>IF($A49="","",IFERROR(IF(Настройки!$B$4="да",INDEX(Квартиры!$D$2:$D$1501,MATCH($A49*1000+9,Квартиры!$K$2:$K$1501,0))&amp;" / ","")&amp;INDEX(Квартиры!$H$2:$H$1501,MATCH($A49*1000+9,Квартиры!$K$2:$K$1501,0))&amp;" СУ"&amp;IF(INDEX(Квартиры!$I$2:$I$1501,MATCH($A49*1000+9,Квартиры!$K$2:$K$1501,0))&gt;0," +У","")&amp;IF(INDEX(Квартиры!$J$2:$J$1501,MATCH($A49*1000+9,Квартиры!$K$2:$K$1501,0))&gt;0," +Г",""),"-"))</f>
        <v/>
      </c>
      <c r="L49">
        <f>IF($A49="","",IFERROR(IF(Настройки!$B$4="да",INDEX(Квартиры!$D$2:$D$1501,MATCH($A49*1000+10,Квартиры!$K$2:$K$1501,0))&amp;" / ","")&amp;INDEX(Квартиры!$H$2:$H$1501,MATCH($A49*1000+10,Квартиры!$K$2:$K$1501,0))&amp;" СУ"&amp;IF(INDEX(Квартиры!$I$2:$I$1501,MATCH($A49*1000+10,Квартиры!$K$2:$K$1501,0))&gt;0," +У","")&amp;IF(INDEX(Квартиры!$J$2:$J$1501,MATCH($A49*1000+10,Квартиры!$K$2:$K$1501,0))&gt;0," +Г",""),"-"))</f>
        <v/>
      </c>
      <c r="M49">
        <f>IF($A49="","",IFERROR(IF(Настройки!$B$4="да",INDEX(Квартиры!$D$2:$D$1501,MATCH($A49*1000+11,Квартиры!$K$2:$K$1501,0))&amp;" / ","")&amp;INDEX(Квартиры!$H$2:$H$1501,MATCH($A49*1000+11,Квартиры!$K$2:$K$1501,0))&amp;" СУ"&amp;IF(INDEX(Квартиры!$I$2:$I$1501,MATCH($A49*1000+11,Квартиры!$K$2:$K$1501,0))&gt;0," +У","")&amp;IF(INDEX(Квартиры!$J$2:$J$1501,MATCH($A49*1000+11,Квартиры!$K$2:$K$1501,0))&gt;0," +Г",""),"-"))</f>
        <v/>
      </c>
      <c r="N49">
        <f>IF($A49="","",IFERROR(IF(Настройки!$B$4="да",INDEX(Квартиры!$D$2:$D$1501,MATCH($A49*1000+12,Квартиры!$K$2:$K$1501,0))&amp;" / ","")&amp;INDEX(Квартиры!$H$2:$H$1501,MATCH($A49*1000+12,Квартиры!$K$2:$K$1501,0))&amp;" СУ"&amp;IF(INDEX(Квартиры!$I$2:$I$1501,MATCH($A49*1000+12,Квартиры!$K$2:$K$1501,0))&gt;0," +У","")&amp;IF(INDEX(Квартиры!$J$2:$J$1501,MATCH($A49*1000+12,Квартиры!$K$2:$K$1501,0))&gt;0," +Г",""),"-"))</f>
        <v/>
      </c>
      <c r="O49">
        <f>IF($A49="","",IFERROR(IF(Настройки!$B$4="да",INDEX(Квартиры!$D$2:$D$1501,MATCH($A49*1000+13,Квартиры!$K$2:$K$1501,0))&amp;" / ","")&amp;INDEX(Квартиры!$H$2:$H$1501,MATCH($A49*1000+13,Квартиры!$K$2:$K$1501,0))&amp;" СУ"&amp;IF(INDEX(Квартиры!$I$2:$I$1501,MATCH($A49*1000+13,Квартиры!$K$2:$K$1501,0))&gt;0," +У","")&amp;IF(INDEX(Квартиры!$J$2:$J$1501,MATCH($A49*1000+13,Квартиры!$K$2:$K$1501,0))&gt;0," +Г",""),"-"))</f>
        <v/>
      </c>
      <c r="P49">
        <f>IF($A49="","",IFERROR(IF(Настройки!$B$4="да",INDEX(Квартиры!$D$2:$D$1501,MATCH($A49*1000+14,Квартиры!$K$2:$K$1501,0))&amp;" / ","")&amp;INDEX(Квартиры!$H$2:$H$1501,MATCH($A49*1000+14,Квартиры!$K$2:$K$1501,0))&amp;" СУ"&amp;IF(INDEX(Квартиры!$I$2:$I$1501,MATCH($A49*1000+14,Квартиры!$K$2:$K$1501,0))&gt;0," +У","")&amp;IF(INDEX(Квартиры!$J$2:$J$1501,MATCH($A49*1000+14,Квартиры!$K$2:$K$1501,0))&gt;0," +Г",""),"-"))</f>
        <v/>
      </c>
      <c r="Q49">
        <f>IF($A49="","",IFERROR(IF(Настройки!$B$4="да",INDEX(Квартиры!$D$2:$D$1501,MATCH($A49*1000+15,Квартиры!$K$2:$K$1501,0))&amp;" / ","")&amp;INDEX(Квартиры!$H$2:$H$1501,MATCH($A49*1000+15,Квартиры!$K$2:$K$1501,0))&amp;" СУ"&amp;IF(INDEX(Квартиры!$I$2:$I$1501,MATCH($A49*1000+15,Квартиры!$K$2:$K$1501,0))&gt;0," +У","")&amp;IF(INDEX(Квартиры!$J$2:$J$1501,MATCH($A49*1000+15,Квартиры!$K$2:$K$1501,0))&gt;0," +Г",""),"-"))</f>
        <v/>
      </c>
      <c r="R49">
        <f>IF(A49="","",C49&amp;"|"&amp;D49&amp;"|"&amp;E49&amp;"|"&amp;F49&amp;"|"&amp;G49&amp;"|"&amp;H49&amp;"|"&amp;I49&amp;"|"&amp;J49&amp;"|"&amp;K49&amp;"|"&amp;L49&amp;"|"&amp;M49&amp;"|"&amp;N49&amp;"|"&amp;O49&amp;"|"&amp;P49&amp;"|"&amp;Q49)</f>
        <v/>
      </c>
      <c r="S49">
        <f>IF(A49="","",IFERROR(LOOKUP(2,1/(B$2:B48=B49),S$2:S48)&amp;", ","")&amp;A49)</f>
        <v/>
      </c>
      <c r="U49">
        <f>IF(47&gt;MAX(B$3:B$82),"",47)</f>
        <v/>
      </c>
      <c r="V49">
        <f>IF(U49="","",LOOKUP(2,1/(B$3:B$82=U49),S$3:S$82))</f>
        <v/>
      </c>
      <c r="W49">
        <f>IF(U49="","",COUNTIF(B$3:B$82,U49))</f>
        <v/>
      </c>
    </row>
    <row r="50">
      <c r="A50">
        <f>IFERROR(IF(A49="","",SMALL(Квартиры!$B$2:$B$1501,COUNTIF(Квартиры!$B$2:$B$1501,"&lt;="&amp;A49)+1)),"")</f>
        <v/>
      </c>
      <c r="B50">
        <f>IF(A50="","",IF(COUNTIF(R$2:R49,R50)=0,MAX(B$2:B49)+1,INDEX(B$2:B49,MATCH(R50,R$2:R49,0))))</f>
        <v/>
      </c>
      <c r="C50">
        <f>IF($A50="","",IFERROR(IF(Настройки!$B$4="да",INDEX(Квартиры!$D$2:$D$1501,MATCH($A50*1000+1,Квартиры!$K$2:$K$1501,0))&amp;" / ","")&amp;INDEX(Квартиры!$H$2:$H$1501,MATCH($A50*1000+1,Квартиры!$K$2:$K$1501,0))&amp;" СУ"&amp;IF(INDEX(Квартиры!$I$2:$I$1501,MATCH($A50*1000+1,Квартиры!$K$2:$K$1501,0))&gt;0," +У","")&amp;IF(INDEX(Квартиры!$J$2:$J$1501,MATCH($A50*1000+1,Квартиры!$K$2:$K$1501,0))&gt;0," +Г",""),"-"))</f>
        <v/>
      </c>
      <c r="D50">
        <f>IF($A50="","",IFERROR(IF(Настройки!$B$4="да",INDEX(Квартиры!$D$2:$D$1501,MATCH($A50*1000+2,Квартиры!$K$2:$K$1501,0))&amp;" / ","")&amp;INDEX(Квартиры!$H$2:$H$1501,MATCH($A50*1000+2,Квартиры!$K$2:$K$1501,0))&amp;" СУ"&amp;IF(INDEX(Квартиры!$I$2:$I$1501,MATCH($A50*1000+2,Квартиры!$K$2:$K$1501,0))&gt;0," +У","")&amp;IF(INDEX(Квартиры!$J$2:$J$1501,MATCH($A50*1000+2,Квартиры!$K$2:$K$1501,0))&gt;0," +Г",""),"-"))</f>
        <v/>
      </c>
      <c r="E50">
        <f>IF($A50="","",IFERROR(IF(Настройки!$B$4="да",INDEX(Квартиры!$D$2:$D$1501,MATCH($A50*1000+3,Квартиры!$K$2:$K$1501,0))&amp;" / ","")&amp;INDEX(Квартиры!$H$2:$H$1501,MATCH($A50*1000+3,Квартиры!$K$2:$K$1501,0))&amp;" СУ"&amp;IF(INDEX(Квартиры!$I$2:$I$1501,MATCH($A50*1000+3,Квартиры!$K$2:$K$1501,0))&gt;0," +У","")&amp;IF(INDEX(Квартиры!$J$2:$J$1501,MATCH($A50*1000+3,Квартиры!$K$2:$K$1501,0))&gt;0," +Г",""),"-"))</f>
        <v/>
      </c>
      <c r="F50">
        <f>IF($A50="","",IFERROR(IF(Настройки!$B$4="да",INDEX(Квартиры!$D$2:$D$1501,MATCH($A50*1000+4,Квартиры!$K$2:$K$1501,0))&amp;" / ","")&amp;INDEX(Квартиры!$H$2:$H$1501,MATCH($A50*1000+4,Квартиры!$K$2:$K$1501,0))&amp;" СУ"&amp;IF(INDEX(Квартиры!$I$2:$I$1501,MATCH($A50*1000+4,Квартиры!$K$2:$K$1501,0))&gt;0," +У","")&amp;IF(INDEX(Квартиры!$J$2:$J$1501,MATCH($A50*1000+4,Квартиры!$K$2:$K$1501,0))&gt;0," +Г",""),"-"))</f>
        <v/>
      </c>
      <c r="G50">
        <f>IF($A50="","",IFERROR(IF(Настройки!$B$4="да",INDEX(Квартиры!$D$2:$D$1501,MATCH($A50*1000+5,Квартиры!$K$2:$K$1501,0))&amp;" / ","")&amp;INDEX(Квартиры!$H$2:$H$1501,MATCH($A50*1000+5,Квартиры!$K$2:$K$1501,0))&amp;" СУ"&amp;IF(INDEX(Квартиры!$I$2:$I$1501,MATCH($A50*1000+5,Квартиры!$K$2:$K$1501,0))&gt;0," +У","")&amp;IF(INDEX(Квартиры!$J$2:$J$1501,MATCH($A50*1000+5,Квартиры!$K$2:$K$1501,0))&gt;0," +Г",""),"-"))</f>
        <v/>
      </c>
      <c r="H50">
        <f>IF($A50="","",IFERROR(IF(Настройки!$B$4="да",INDEX(Квартиры!$D$2:$D$1501,MATCH($A50*1000+6,Квартиры!$K$2:$K$1501,0))&amp;" / ","")&amp;INDEX(Квартиры!$H$2:$H$1501,MATCH($A50*1000+6,Квартиры!$K$2:$K$1501,0))&amp;" СУ"&amp;IF(INDEX(Квартиры!$I$2:$I$1501,MATCH($A50*1000+6,Квартиры!$K$2:$K$1501,0))&gt;0," +У","")&amp;IF(INDEX(Квартиры!$J$2:$J$1501,MATCH($A50*1000+6,Квартиры!$K$2:$K$1501,0))&gt;0," +Г",""),"-"))</f>
        <v/>
      </c>
      <c r="I50">
        <f>IF($A50="","",IFERROR(IF(Настройки!$B$4="да",INDEX(Квартиры!$D$2:$D$1501,MATCH($A50*1000+7,Квартиры!$K$2:$K$1501,0))&amp;" / ","")&amp;INDEX(Квартиры!$H$2:$H$1501,MATCH($A50*1000+7,Квартиры!$K$2:$K$1501,0))&amp;" СУ"&amp;IF(INDEX(Квартиры!$I$2:$I$1501,MATCH($A50*1000+7,Квартиры!$K$2:$K$1501,0))&gt;0," +У","")&amp;IF(INDEX(Квартиры!$J$2:$J$1501,MATCH($A50*1000+7,Квартиры!$K$2:$K$1501,0))&gt;0," +Г",""),"-"))</f>
        <v/>
      </c>
      <c r="J50">
        <f>IF($A50="","",IFERROR(IF(Настройки!$B$4="да",INDEX(Квартиры!$D$2:$D$1501,MATCH($A50*1000+8,Квартиры!$K$2:$K$1501,0))&amp;" / ","")&amp;INDEX(Квартиры!$H$2:$H$1501,MATCH($A50*1000+8,Квартиры!$K$2:$K$1501,0))&amp;" СУ"&amp;IF(INDEX(Квартиры!$I$2:$I$1501,MATCH($A50*1000+8,Квартиры!$K$2:$K$1501,0))&gt;0," +У","")&amp;IF(INDEX(Квартиры!$J$2:$J$1501,MATCH($A50*1000+8,Квартиры!$K$2:$K$1501,0))&gt;0," +Г",""),"-"))</f>
        <v/>
      </c>
      <c r="K50">
        <f>IF($A50="","",IFERROR(IF(Настройки!$B$4="да",INDEX(Квартиры!$D$2:$D$1501,MATCH($A50*1000+9,Квартиры!$K$2:$K$1501,0))&amp;" / ","")&amp;INDEX(Квартиры!$H$2:$H$1501,MATCH($A50*1000+9,Квартиры!$K$2:$K$1501,0))&amp;" СУ"&amp;IF(INDEX(Квартиры!$I$2:$I$1501,MATCH($A50*1000+9,Квартиры!$K$2:$K$1501,0))&gt;0," +У","")&amp;IF(INDEX(Квартиры!$J$2:$J$1501,MATCH($A50*1000+9,Квартиры!$K$2:$K$1501,0))&gt;0," +Г",""),"-"))</f>
        <v/>
      </c>
      <c r="L50">
        <f>IF($A50="","",IFERROR(IF(Настройки!$B$4="да",INDEX(Квартиры!$D$2:$D$1501,MATCH($A50*1000+10,Квартиры!$K$2:$K$1501,0))&amp;" / ","")&amp;INDEX(Квартиры!$H$2:$H$1501,MATCH($A50*1000+10,Квартиры!$K$2:$K$1501,0))&amp;" СУ"&amp;IF(INDEX(Квартиры!$I$2:$I$1501,MATCH($A50*1000+10,Квартиры!$K$2:$K$1501,0))&gt;0," +У","")&amp;IF(INDEX(Квартиры!$J$2:$J$1501,MATCH($A50*1000+10,Квартиры!$K$2:$K$1501,0))&gt;0," +Г",""),"-"))</f>
        <v/>
      </c>
      <c r="M50">
        <f>IF($A50="","",IFERROR(IF(Настройки!$B$4="да",INDEX(Квартиры!$D$2:$D$1501,MATCH($A50*1000+11,Квартиры!$K$2:$K$1501,0))&amp;" / ","")&amp;INDEX(Квартиры!$H$2:$H$1501,MATCH($A50*1000+11,Квартиры!$K$2:$K$1501,0))&amp;" СУ"&amp;IF(INDEX(Квартиры!$I$2:$I$1501,MATCH($A50*1000+11,Квартиры!$K$2:$K$1501,0))&gt;0," +У","")&amp;IF(INDEX(Квартиры!$J$2:$J$1501,MATCH($A50*1000+11,Квартиры!$K$2:$K$1501,0))&gt;0," +Г",""),"-"))</f>
        <v/>
      </c>
      <c r="N50">
        <f>IF($A50="","",IFERROR(IF(Настройки!$B$4="да",INDEX(Квартиры!$D$2:$D$1501,MATCH($A50*1000+12,Квартиры!$K$2:$K$1501,0))&amp;" / ","")&amp;INDEX(Квартиры!$H$2:$H$1501,MATCH($A50*1000+12,Квартиры!$K$2:$K$1501,0))&amp;" СУ"&amp;IF(INDEX(Квартиры!$I$2:$I$1501,MATCH($A50*1000+12,Квартиры!$K$2:$K$1501,0))&gt;0," +У","")&amp;IF(INDEX(Квартиры!$J$2:$J$1501,MATCH($A50*1000+12,Квартиры!$K$2:$K$1501,0))&gt;0," +Г",""),"-"))</f>
        <v/>
      </c>
      <c r="O50">
        <f>IF($A50="","",IFERROR(IF(Настройки!$B$4="да",INDEX(Квартиры!$D$2:$D$1501,MATCH($A50*1000+13,Квартиры!$K$2:$K$1501,0))&amp;" / ","")&amp;INDEX(Квартиры!$H$2:$H$1501,MATCH($A50*1000+13,Квартиры!$K$2:$K$1501,0))&amp;" СУ"&amp;IF(INDEX(Квартиры!$I$2:$I$1501,MATCH($A50*1000+13,Квартиры!$K$2:$K$1501,0))&gt;0," +У","")&amp;IF(INDEX(Квартиры!$J$2:$J$1501,MATCH($A50*1000+13,Квартиры!$K$2:$K$1501,0))&gt;0," +Г",""),"-"))</f>
        <v/>
      </c>
      <c r="P50">
        <f>IF($A50="","",IFERROR(IF(Настройки!$B$4="да",INDEX(Квартиры!$D$2:$D$1501,MATCH($A50*1000+14,Квартиры!$K$2:$K$1501,0))&amp;" / ","")&amp;INDEX(Квартиры!$H$2:$H$1501,MATCH($A50*1000+14,Квартиры!$K$2:$K$1501,0))&amp;" СУ"&amp;IF(INDEX(Квартиры!$I$2:$I$1501,MATCH($A50*1000+14,Квартиры!$K$2:$K$1501,0))&gt;0," +У","")&amp;IF(INDEX(Квартиры!$J$2:$J$1501,MATCH($A50*1000+14,Квартиры!$K$2:$K$1501,0))&gt;0," +Г",""),"-"))</f>
        <v/>
      </c>
      <c r="Q50">
        <f>IF($A50="","",IFERROR(IF(Настройки!$B$4="да",INDEX(Квартиры!$D$2:$D$1501,MATCH($A50*1000+15,Квартиры!$K$2:$K$1501,0))&amp;" / ","")&amp;INDEX(Квартиры!$H$2:$H$1501,MATCH($A50*1000+15,Квартиры!$K$2:$K$1501,0))&amp;" СУ"&amp;IF(INDEX(Квартиры!$I$2:$I$1501,MATCH($A50*1000+15,Квартиры!$K$2:$K$1501,0))&gt;0," +У","")&amp;IF(INDEX(Квартиры!$J$2:$J$1501,MATCH($A50*1000+15,Квартиры!$K$2:$K$1501,0))&gt;0," +Г",""),"-"))</f>
        <v/>
      </c>
      <c r="R50">
        <f>IF(A50="","",C50&amp;"|"&amp;D50&amp;"|"&amp;E50&amp;"|"&amp;F50&amp;"|"&amp;G50&amp;"|"&amp;H50&amp;"|"&amp;I50&amp;"|"&amp;J50&amp;"|"&amp;K50&amp;"|"&amp;L50&amp;"|"&amp;M50&amp;"|"&amp;N50&amp;"|"&amp;O50&amp;"|"&amp;P50&amp;"|"&amp;Q50)</f>
        <v/>
      </c>
      <c r="S50">
        <f>IF(A50="","",IFERROR(LOOKUP(2,1/(B$2:B49=B50),S$2:S49)&amp;", ","")&amp;A50)</f>
        <v/>
      </c>
      <c r="U50">
        <f>IF(48&gt;MAX(B$3:B$82),"",48)</f>
        <v/>
      </c>
      <c r="V50">
        <f>IF(U50="","",LOOKUP(2,1/(B$3:B$82=U50),S$3:S$82))</f>
        <v/>
      </c>
      <c r="W50">
        <f>IF(U50="","",COUNTIF(B$3:B$82,U50))</f>
        <v/>
      </c>
    </row>
    <row r="51">
      <c r="A51">
        <f>IFERROR(IF(A50="","",SMALL(Квартиры!$B$2:$B$1501,COUNTIF(Квартиры!$B$2:$B$1501,"&lt;="&amp;A50)+1)),"")</f>
        <v/>
      </c>
      <c r="B51">
        <f>IF(A51="","",IF(COUNTIF(R$2:R50,R51)=0,MAX(B$2:B50)+1,INDEX(B$2:B50,MATCH(R51,R$2:R50,0))))</f>
        <v/>
      </c>
      <c r="C51">
        <f>IF($A51="","",IFERROR(IF(Настройки!$B$4="да",INDEX(Квартиры!$D$2:$D$1501,MATCH($A51*1000+1,Квартиры!$K$2:$K$1501,0))&amp;" / ","")&amp;INDEX(Квартиры!$H$2:$H$1501,MATCH($A51*1000+1,Квартиры!$K$2:$K$1501,0))&amp;" СУ"&amp;IF(INDEX(Квартиры!$I$2:$I$1501,MATCH($A51*1000+1,Квартиры!$K$2:$K$1501,0))&gt;0," +У","")&amp;IF(INDEX(Квартиры!$J$2:$J$1501,MATCH($A51*1000+1,Квартиры!$K$2:$K$1501,0))&gt;0," +Г",""),"-"))</f>
        <v/>
      </c>
      <c r="D51">
        <f>IF($A51="","",IFERROR(IF(Настройки!$B$4="да",INDEX(Квартиры!$D$2:$D$1501,MATCH($A51*1000+2,Квартиры!$K$2:$K$1501,0))&amp;" / ","")&amp;INDEX(Квартиры!$H$2:$H$1501,MATCH($A51*1000+2,Квартиры!$K$2:$K$1501,0))&amp;" СУ"&amp;IF(INDEX(Квартиры!$I$2:$I$1501,MATCH($A51*1000+2,Квартиры!$K$2:$K$1501,0))&gt;0," +У","")&amp;IF(INDEX(Квартиры!$J$2:$J$1501,MATCH($A51*1000+2,Квартиры!$K$2:$K$1501,0))&gt;0," +Г",""),"-"))</f>
        <v/>
      </c>
      <c r="E51">
        <f>IF($A51="","",IFERROR(IF(Настройки!$B$4="да",INDEX(Квартиры!$D$2:$D$1501,MATCH($A51*1000+3,Квартиры!$K$2:$K$1501,0))&amp;" / ","")&amp;INDEX(Квартиры!$H$2:$H$1501,MATCH($A51*1000+3,Квартиры!$K$2:$K$1501,0))&amp;" СУ"&amp;IF(INDEX(Квартиры!$I$2:$I$1501,MATCH($A51*1000+3,Квартиры!$K$2:$K$1501,0))&gt;0," +У","")&amp;IF(INDEX(Квартиры!$J$2:$J$1501,MATCH($A51*1000+3,Квартиры!$K$2:$K$1501,0))&gt;0," +Г",""),"-"))</f>
        <v/>
      </c>
      <c r="F51">
        <f>IF($A51="","",IFERROR(IF(Настройки!$B$4="да",INDEX(Квартиры!$D$2:$D$1501,MATCH($A51*1000+4,Квартиры!$K$2:$K$1501,0))&amp;" / ","")&amp;INDEX(Квартиры!$H$2:$H$1501,MATCH($A51*1000+4,Квартиры!$K$2:$K$1501,0))&amp;" СУ"&amp;IF(INDEX(Квартиры!$I$2:$I$1501,MATCH($A51*1000+4,Квартиры!$K$2:$K$1501,0))&gt;0," +У","")&amp;IF(INDEX(Квартиры!$J$2:$J$1501,MATCH($A51*1000+4,Квартиры!$K$2:$K$1501,0))&gt;0," +Г",""),"-"))</f>
        <v/>
      </c>
      <c r="G51">
        <f>IF($A51="","",IFERROR(IF(Настройки!$B$4="да",INDEX(Квартиры!$D$2:$D$1501,MATCH($A51*1000+5,Квартиры!$K$2:$K$1501,0))&amp;" / ","")&amp;INDEX(Квартиры!$H$2:$H$1501,MATCH($A51*1000+5,Квартиры!$K$2:$K$1501,0))&amp;" СУ"&amp;IF(INDEX(Квартиры!$I$2:$I$1501,MATCH($A51*1000+5,Квартиры!$K$2:$K$1501,0))&gt;0," +У","")&amp;IF(INDEX(Квартиры!$J$2:$J$1501,MATCH($A51*1000+5,Квартиры!$K$2:$K$1501,0))&gt;0," +Г",""),"-"))</f>
        <v/>
      </c>
      <c r="H51">
        <f>IF($A51="","",IFERROR(IF(Настройки!$B$4="да",INDEX(Квартиры!$D$2:$D$1501,MATCH($A51*1000+6,Квартиры!$K$2:$K$1501,0))&amp;" / ","")&amp;INDEX(Квартиры!$H$2:$H$1501,MATCH($A51*1000+6,Квартиры!$K$2:$K$1501,0))&amp;" СУ"&amp;IF(INDEX(Квартиры!$I$2:$I$1501,MATCH($A51*1000+6,Квартиры!$K$2:$K$1501,0))&gt;0," +У","")&amp;IF(INDEX(Квартиры!$J$2:$J$1501,MATCH($A51*1000+6,Квартиры!$K$2:$K$1501,0))&gt;0," +Г",""),"-"))</f>
        <v/>
      </c>
      <c r="I51">
        <f>IF($A51="","",IFERROR(IF(Настройки!$B$4="да",INDEX(Квартиры!$D$2:$D$1501,MATCH($A51*1000+7,Квартиры!$K$2:$K$1501,0))&amp;" / ","")&amp;INDEX(Квартиры!$H$2:$H$1501,MATCH($A51*1000+7,Квартиры!$K$2:$K$1501,0))&amp;" СУ"&amp;IF(INDEX(Квартиры!$I$2:$I$1501,MATCH($A51*1000+7,Квартиры!$K$2:$K$1501,0))&gt;0," +У","")&amp;IF(INDEX(Квартиры!$J$2:$J$1501,MATCH($A51*1000+7,Квартиры!$K$2:$K$1501,0))&gt;0," +Г",""),"-"))</f>
        <v/>
      </c>
      <c r="J51">
        <f>IF($A51="","",IFERROR(IF(Настройки!$B$4="да",INDEX(Квартиры!$D$2:$D$1501,MATCH($A51*1000+8,Квартиры!$K$2:$K$1501,0))&amp;" / ","")&amp;INDEX(Квартиры!$H$2:$H$1501,MATCH($A51*1000+8,Квартиры!$K$2:$K$1501,0))&amp;" СУ"&amp;IF(INDEX(Квартиры!$I$2:$I$1501,MATCH($A51*1000+8,Квартиры!$K$2:$K$1501,0))&gt;0," +У","")&amp;IF(INDEX(Квартиры!$J$2:$J$1501,MATCH($A51*1000+8,Квартиры!$K$2:$K$1501,0))&gt;0," +Г",""),"-"))</f>
        <v/>
      </c>
      <c r="K51">
        <f>IF($A51="","",IFERROR(IF(Настройки!$B$4="да",INDEX(Квартиры!$D$2:$D$1501,MATCH($A51*1000+9,Квартиры!$K$2:$K$1501,0))&amp;" / ","")&amp;INDEX(Квартиры!$H$2:$H$1501,MATCH($A51*1000+9,Квартиры!$K$2:$K$1501,0))&amp;" СУ"&amp;IF(INDEX(Квартиры!$I$2:$I$1501,MATCH($A51*1000+9,Квартиры!$K$2:$K$1501,0))&gt;0," +У","")&amp;IF(INDEX(Квартиры!$J$2:$J$1501,MATCH($A51*1000+9,Квартиры!$K$2:$K$1501,0))&gt;0," +Г",""),"-"))</f>
        <v/>
      </c>
      <c r="L51">
        <f>IF($A51="","",IFERROR(IF(Настройки!$B$4="да",INDEX(Квартиры!$D$2:$D$1501,MATCH($A51*1000+10,Квартиры!$K$2:$K$1501,0))&amp;" / ","")&amp;INDEX(Квартиры!$H$2:$H$1501,MATCH($A51*1000+10,Квартиры!$K$2:$K$1501,0))&amp;" СУ"&amp;IF(INDEX(Квартиры!$I$2:$I$1501,MATCH($A51*1000+10,Квартиры!$K$2:$K$1501,0))&gt;0," +У","")&amp;IF(INDEX(Квартиры!$J$2:$J$1501,MATCH($A51*1000+10,Квартиры!$K$2:$K$1501,0))&gt;0," +Г",""),"-"))</f>
        <v/>
      </c>
      <c r="M51">
        <f>IF($A51="","",IFERROR(IF(Настройки!$B$4="да",INDEX(Квартиры!$D$2:$D$1501,MATCH($A51*1000+11,Квартиры!$K$2:$K$1501,0))&amp;" / ","")&amp;INDEX(Квартиры!$H$2:$H$1501,MATCH($A51*1000+11,Квартиры!$K$2:$K$1501,0))&amp;" СУ"&amp;IF(INDEX(Квартиры!$I$2:$I$1501,MATCH($A51*1000+11,Квартиры!$K$2:$K$1501,0))&gt;0," +У","")&amp;IF(INDEX(Квартиры!$J$2:$J$1501,MATCH($A51*1000+11,Квартиры!$K$2:$K$1501,0))&gt;0," +Г",""),"-"))</f>
        <v/>
      </c>
      <c r="N51">
        <f>IF($A51="","",IFERROR(IF(Настройки!$B$4="да",INDEX(Квартиры!$D$2:$D$1501,MATCH($A51*1000+12,Квартиры!$K$2:$K$1501,0))&amp;" / ","")&amp;INDEX(Квартиры!$H$2:$H$1501,MATCH($A51*1000+12,Квартиры!$K$2:$K$1501,0))&amp;" СУ"&amp;IF(INDEX(Квартиры!$I$2:$I$1501,MATCH($A51*1000+12,Квартиры!$K$2:$K$1501,0))&gt;0," +У","")&amp;IF(INDEX(Квартиры!$J$2:$J$1501,MATCH($A51*1000+12,Квартиры!$K$2:$K$1501,0))&gt;0," +Г",""),"-"))</f>
        <v/>
      </c>
      <c r="O51">
        <f>IF($A51="","",IFERROR(IF(Настройки!$B$4="да",INDEX(Квартиры!$D$2:$D$1501,MATCH($A51*1000+13,Квартиры!$K$2:$K$1501,0))&amp;" / ","")&amp;INDEX(Квартиры!$H$2:$H$1501,MATCH($A51*1000+13,Квартиры!$K$2:$K$1501,0))&amp;" СУ"&amp;IF(INDEX(Квартиры!$I$2:$I$1501,MATCH($A51*1000+13,Квартиры!$K$2:$K$1501,0))&gt;0," +У","")&amp;IF(INDEX(Квартиры!$J$2:$J$1501,MATCH($A51*1000+13,Квартиры!$K$2:$K$1501,0))&gt;0," +Г",""),"-"))</f>
        <v/>
      </c>
      <c r="P51">
        <f>IF($A51="","",IFERROR(IF(Настройки!$B$4="да",INDEX(Квартиры!$D$2:$D$1501,MATCH($A51*1000+14,Квартиры!$K$2:$K$1501,0))&amp;" / ","")&amp;INDEX(Квартиры!$H$2:$H$1501,MATCH($A51*1000+14,Квартиры!$K$2:$K$1501,0))&amp;" СУ"&amp;IF(INDEX(Квартиры!$I$2:$I$1501,MATCH($A51*1000+14,Квартиры!$K$2:$K$1501,0))&gt;0," +У","")&amp;IF(INDEX(Квартиры!$J$2:$J$1501,MATCH($A51*1000+14,Квартиры!$K$2:$K$1501,0))&gt;0," +Г",""),"-"))</f>
        <v/>
      </c>
      <c r="Q51">
        <f>IF($A51="","",IFERROR(IF(Настройки!$B$4="да",INDEX(Квартиры!$D$2:$D$1501,MATCH($A51*1000+15,Квартиры!$K$2:$K$1501,0))&amp;" / ","")&amp;INDEX(Квартиры!$H$2:$H$1501,MATCH($A51*1000+15,Квартиры!$K$2:$K$1501,0))&amp;" СУ"&amp;IF(INDEX(Квартиры!$I$2:$I$1501,MATCH($A51*1000+15,Квартиры!$K$2:$K$1501,0))&gt;0," +У","")&amp;IF(INDEX(Квартиры!$J$2:$J$1501,MATCH($A51*1000+15,Квартиры!$K$2:$K$1501,0))&gt;0," +Г",""),"-"))</f>
        <v/>
      </c>
      <c r="R51">
        <f>IF(A51="","",C51&amp;"|"&amp;D51&amp;"|"&amp;E51&amp;"|"&amp;F51&amp;"|"&amp;G51&amp;"|"&amp;H51&amp;"|"&amp;I51&amp;"|"&amp;J51&amp;"|"&amp;K51&amp;"|"&amp;L51&amp;"|"&amp;M51&amp;"|"&amp;N51&amp;"|"&amp;O51&amp;"|"&amp;P51&amp;"|"&amp;Q51)</f>
        <v/>
      </c>
      <c r="S51">
        <f>IF(A51="","",IFERROR(LOOKUP(2,1/(B$2:B50=B51),S$2:S50)&amp;", ","")&amp;A51)</f>
        <v/>
      </c>
      <c r="U51">
        <f>IF(49&gt;MAX(B$3:B$82),"",49)</f>
        <v/>
      </c>
      <c r="V51">
        <f>IF(U51="","",LOOKUP(2,1/(B$3:B$82=U51),S$3:S$82))</f>
        <v/>
      </c>
      <c r="W51">
        <f>IF(U51="","",COUNTIF(B$3:B$82,U51))</f>
        <v/>
      </c>
    </row>
    <row r="52">
      <c r="A52">
        <f>IFERROR(IF(A51="","",SMALL(Квартиры!$B$2:$B$1501,COUNTIF(Квартиры!$B$2:$B$1501,"&lt;="&amp;A51)+1)),"")</f>
        <v/>
      </c>
      <c r="B52">
        <f>IF(A52="","",IF(COUNTIF(R$2:R51,R52)=0,MAX(B$2:B51)+1,INDEX(B$2:B51,MATCH(R52,R$2:R51,0))))</f>
        <v/>
      </c>
      <c r="C52">
        <f>IF($A52="","",IFERROR(IF(Настройки!$B$4="да",INDEX(Квартиры!$D$2:$D$1501,MATCH($A52*1000+1,Квартиры!$K$2:$K$1501,0))&amp;" / ","")&amp;INDEX(Квартиры!$H$2:$H$1501,MATCH($A52*1000+1,Квартиры!$K$2:$K$1501,0))&amp;" СУ"&amp;IF(INDEX(Квартиры!$I$2:$I$1501,MATCH($A52*1000+1,Квартиры!$K$2:$K$1501,0))&gt;0," +У","")&amp;IF(INDEX(Квартиры!$J$2:$J$1501,MATCH($A52*1000+1,Квартиры!$K$2:$K$1501,0))&gt;0," +Г",""),"-"))</f>
        <v/>
      </c>
      <c r="D52">
        <f>IF($A52="","",IFERROR(IF(Настройки!$B$4="да",INDEX(Квартиры!$D$2:$D$1501,MATCH($A52*1000+2,Квартиры!$K$2:$K$1501,0))&amp;" / ","")&amp;INDEX(Квартиры!$H$2:$H$1501,MATCH($A52*1000+2,Квартиры!$K$2:$K$1501,0))&amp;" СУ"&amp;IF(INDEX(Квартиры!$I$2:$I$1501,MATCH($A52*1000+2,Квартиры!$K$2:$K$1501,0))&gt;0," +У","")&amp;IF(INDEX(Квартиры!$J$2:$J$1501,MATCH($A52*1000+2,Квартиры!$K$2:$K$1501,0))&gt;0," +Г",""),"-"))</f>
        <v/>
      </c>
      <c r="E52">
        <f>IF($A52="","",IFERROR(IF(Настройки!$B$4="да",INDEX(Квартиры!$D$2:$D$1501,MATCH($A52*1000+3,Квартиры!$K$2:$K$1501,0))&amp;" / ","")&amp;INDEX(Квартиры!$H$2:$H$1501,MATCH($A52*1000+3,Квартиры!$K$2:$K$1501,0))&amp;" СУ"&amp;IF(INDEX(Квартиры!$I$2:$I$1501,MATCH($A52*1000+3,Квартиры!$K$2:$K$1501,0))&gt;0," +У","")&amp;IF(INDEX(Квартиры!$J$2:$J$1501,MATCH($A52*1000+3,Квартиры!$K$2:$K$1501,0))&gt;0," +Г",""),"-"))</f>
        <v/>
      </c>
      <c r="F52">
        <f>IF($A52="","",IFERROR(IF(Настройки!$B$4="да",INDEX(Квартиры!$D$2:$D$1501,MATCH($A52*1000+4,Квартиры!$K$2:$K$1501,0))&amp;" / ","")&amp;INDEX(Квартиры!$H$2:$H$1501,MATCH($A52*1000+4,Квартиры!$K$2:$K$1501,0))&amp;" СУ"&amp;IF(INDEX(Квартиры!$I$2:$I$1501,MATCH($A52*1000+4,Квартиры!$K$2:$K$1501,0))&gt;0," +У","")&amp;IF(INDEX(Квартиры!$J$2:$J$1501,MATCH($A52*1000+4,Квартиры!$K$2:$K$1501,0))&gt;0," +Г",""),"-"))</f>
        <v/>
      </c>
      <c r="G52">
        <f>IF($A52="","",IFERROR(IF(Настройки!$B$4="да",INDEX(Квартиры!$D$2:$D$1501,MATCH($A52*1000+5,Квартиры!$K$2:$K$1501,0))&amp;" / ","")&amp;INDEX(Квартиры!$H$2:$H$1501,MATCH($A52*1000+5,Квартиры!$K$2:$K$1501,0))&amp;" СУ"&amp;IF(INDEX(Квартиры!$I$2:$I$1501,MATCH($A52*1000+5,Квартиры!$K$2:$K$1501,0))&gt;0," +У","")&amp;IF(INDEX(Квартиры!$J$2:$J$1501,MATCH($A52*1000+5,Квартиры!$K$2:$K$1501,0))&gt;0," +Г",""),"-"))</f>
        <v/>
      </c>
      <c r="H52">
        <f>IF($A52="","",IFERROR(IF(Настройки!$B$4="да",INDEX(Квартиры!$D$2:$D$1501,MATCH($A52*1000+6,Квартиры!$K$2:$K$1501,0))&amp;" / ","")&amp;INDEX(Квартиры!$H$2:$H$1501,MATCH($A52*1000+6,Квартиры!$K$2:$K$1501,0))&amp;" СУ"&amp;IF(INDEX(Квартиры!$I$2:$I$1501,MATCH($A52*1000+6,Квартиры!$K$2:$K$1501,0))&gt;0," +У","")&amp;IF(INDEX(Квартиры!$J$2:$J$1501,MATCH($A52*1000+6,Квартиры!$K$2:$K$1501,0))&gt;0," +Г",""),"-"))</f>
        <v/>
      </c>
      <c r="I52">
        <f>IF($A52="","",IFERROR(IF(Настройки!$B$4="да",INDEX(Квартиры!$D$2:$D$1501,MATCH($A52*1000+7,Квартиры!$K$2:$K$1501,0))&amp;" / ","")&amp;INDEX(Квартиры!$H$2:$H$1501,MATCH($A52*1000+7,Квартиры!$K$2:$K$1501,0))&amp;" СУ"&amp;IF(INDEX(Квартиры!$I$2:$I$1501,MATCH($A52*1000+7,Квартиры!$K$2:$K$1501,0))&gt;0," +У","")&amp;IF(INDEX(Квартиры!$J$2:$J$1501,MATCH($A52*1000+7,Квартиры!$K$2:$K$1501,0))&gt;0," +Г",""),"-"))</f>
        <v/>
      </c>
      <c r="J52">
        <f>IF($A52="","",IFERROR(IF(Настройки!$B$4="да",INDEX(Квартиры!$D$2:$D$1501,MATCH($A52*1000+8,Квартиры!$K$2:$K$1501,0))&amp;" / ","")&amp;INDEX(Квартиры!$H$2:$H$1501,MATCH($A52*1000+8,Квартиры!$K$2:$K$1501,0))&amp;" СУ"&amp;IF(INDEX(Квартиры!$I$2:$I$1501,MATCH($A52*1000+8,Квартиры!$K$2:$K$1501,0))&gt;0," +У","")&amp;IF(INDEX(Квартиры!$J$2:$J$1501,MATCH($A52*1000+8,Квартиры!$K$2:$K$1501,0))&gt;0," +Г",""),"-"))</f>
        <v/>
      </c>
      <c r="K52">
        <f>IF($A52="","",IFERROR(IF(Настройки!$B$4="да",INDEX(Квартиры!$D$2:$D$1501,MATCH($A52*1000+9,Квартиры!$K$2:$K$1501,0))&amp;" / ","")&amp;INDEX(Квартиры!$H$2:$H$1501,MATCH($A52*1000+9,Квартиры!$K$2:$K$1501,0))&amp;" СУ"&amp;IF(INDEX(Квартиры!$I$2:$I$1501,MATCH($A52*1000+9,Квартиры!$K$2:$K$1501,0))&gt;0," +У","")&amp;IF(INDEX(Квартиры!$J$2:$J$1501,MATCH($A52*1000+9,Квартиры!$K$2:$K$1501,0))&gt;0," +Г",""),"-"))</f>
        <v/>
      </c>
      <c r="L52">
        <f>IF($A52="","",IFERROR(IF(Настройки!$B$4="да",INDEX(Квартиры!$D$2:$D$1501,MATCH($A52*1000+10,Квартиры!$K$2:$K$1501,0))&amp;" / ","")&amp;INDEX(Квартиры!$H$2:$H$1501,MATCH($A52*1000+10,Квартиры!$K$2:$K$1501,0))&amp;" СУ"&amp;IF(INDEX(Квартиры!$I$2:$I$1501,MATCH($A52*1000+10,Квартиры!$K$2:$K$1501,0))&gt;0," +У","")&amp;IF(INDEX(Квартиры!$J$2:$J$1501,MATCH($A52*1000+10,Квартиры!$K$2:$K$1501,0))&gt;0," +Г",""),"-"))</f>
        <v/>
      </c>
      <c r="M52">
        <f>IF($A52="","",IFERROR(IF(Настройки!$B$4="да",INDEX(Квартиры!$D$2:$D$1501,MATCH($A52*1000+11,Квартиры!$K$2:$K$1501,0))&amp;" / ","")&amp;INDEX(Квартиры!$H$2:$H$1501,MATCH($A52*1000+11,Квартиры!$K$2:$K$1501,0))&amp;" СУ"&amp;IF(INDEX(Квартиры!$I$2:$I$1501,MATCH($A52*1000+11,Квартиры!$K$2:$K$1501,0))&gt;0," +У","")&amp;IF(INDEX(Квартиры!$J$2:$J$1501,MATCH($A52*1000+11,Квартиры!$K$2:$K$1501,0))&gt;0," +Г",""),"-"))</f>
        <v/>
      </c>
      <c r="N52">
        <f>IF($A52="","",IFERROR(IF(Настройки!$B$4="да",INDEX(Квартиры!$D$2:$D$1501,MATCH($A52*1000+12,Квартиры!$K$2:$K$1501,0))&amp;" / ","")&amp;INDEX(Квартиры!$H$2:$H$1501,MATCH($A52*1000+12,Квартиры!$K$2:$K$1501,0))&amp;" СУ"&amp;IF(INDEX(Квартиры!$I$2:$I$1501,MATCH($A52*1000+12,Квартиры!$K$2:$K$1501,0))&gt;0," +У","")&amp;IF(INDEX(Квартиры!$J$2:$J$1501,MATCH($A52*1000+12,Квартиры!$K$2:$K$1501,0))&gt;0," +Г",""),"-"))</f>
        <v/>
      </c>
      <c r="O52">
        <f>IF($A52="","",IFERROR(IF(Настройки!$B$4="да",INDEX(Квартиры!$D$2:$D$1501,MATCH($A52*1000+13,Квартиры!$K$2:$K$1501,0))&amp;" / ","")&amp;INDEX(Квартиры!$H$2:$H$1501,MATCH($A52*1000+13,Квартиры!$K$2:$K$1501,0))&amp;" СУ"&amp;IF(INDEX(Квартиры!$I$2:$I$1501,MATCH($A52*1000+13,Квартиры!$K$2:$K$1501,0))&gt;0," +У","")&amp;IF(INDEX(Квартиры!$J$2:$J$1501,MATCH($A52*1000+13,Квартиры!$K$2:$K$1501,0))&gt;0," +Г",""),"-"))</f>
        <v/>
      </c>
      <c r="P52">
        <f>IF($A52="","",IFERROR(IF(Настройки!$B$4="да",INDEX(Квартиры!$D$2:$D$1501,MATCH($A52*1000+14,Квартиры!$K$2:$K$1501,0))&amp;" / ","")&amp;INDEX(Квартиры!$H$2:$H$1501,MATCH($A52*1000+14,Квартиры!$K$2:$K$1501,0))&amp;" СУ"&amp;IF(INDEX(Квартиры!$I$2:$I$1501,MATCH($A52*1000+14,Квартиры!$K$2:$K$1501,0))&gt;0," +У","")&amp;IF(INDEX(Квартиры!$J$2:$J$1501,MATCH($A52*1000+14,Квартиры!$K$2:$K$1501,0))&gt;0," +Г",""),"-"))</f>
        <v/>
      </c>
      <c r="Q52">
        <f>IF($A52="","",IFERROR(IF(Настройки!$B$4="да",INDEX(Квартиры!$D$2:$D$1501,MATCH($A52*1000+15,Квартиры!$K$2:$K$1501,0))&amp;" / ","")&amp;INDEX(Квартиры!$H$2:$H$1501,MATCH($A52*1000+15,Квартиры!$K$2:$K$1501,0))&amp;" СУ"&amp;IF(INDEX(Квартиры!$I$2:$I$1501,MATCH($A52*1000+15,Квартиры!$K$2:$K$1501,0))&gt;0," +У","")&amp;IF(INDEX(Квартиры!$J$2:$J$1501,MATCH($A52*1000+15,Квартиры!$K$2:$K$1501,0))&gt;0," +Г",""),"-"))</f>
        <v/>
      </c>
      <c r="R52">
        <f>IF(A52="","",C52&amp;"|"&amp;D52&amp;"|"&amp;E52&amp;"|"&amp;F52&amp;"|"&amp;G52&amp;"|"&amp;H52&amp;"|"&amp;I52&amp;"|"&amp;J52&amp;"|"&amp;K52&amp;"|"&amp;L52&amp;"|"&amp;M52&amp;"|"&amp;N52&amp;"|"&amp;O52&amp;"|"&amp;P52&amp;"|"&amp;Q52)</f>
        <v/>
      </c>
      <c r="S52">
        <f>IF(A52="","",IFERROR(LOOKUP(2,1/(B$2:B51=B52),S$2:S51)&amp;", ","")&amp;A52)</f>
        <v/>
      </c>
      <c r="U52">
        <f>IF(50&gt;MAX(B$3:B$82),"",50)</f>
        <v/>
      </c>
      <c r="V52">
        <f>IF(U52="","",LOOKUP(2,1/(B$3:B$82=U52),S$3:S$82))</f>
        <v/>
      </c>
      <c r="W52">
        <f>IF(U52="","",COUNTIF(B$3:B$82,U52))</f>
        <v/>
      </c>
    </row>
    <row r="53">
      <c r="A53">
        <f>IFERROR(IF(A52="","",SMALL(Квартиры!$B$2:$B$1501,COUNTIF(Квартиры!$B$2:$B$1501,"&lt;="&amp;A52)+1)),"")</f>
        <v/>
      </c>
      <c r="B53">
        <f>IF(A53="","",IF(COUNTIF(R$2:R52,R53)=0,MAX(B$2:B52)+1,INDEX(B$2:B52,MATCH(R53,R$2:R52,0))))</f>
        <v/>
      </c>
      <c r="C53">
        <f>IF($A53="","",IFERROR(IF(Настройки!$B$4="да",INDEX(Квартиры!$D$2:$D$1501,MATCH($A53*1000+1,Квартиры!$K$2:$K$1501,0))&amp;" / ","")&amp;INDEX(Квартиры!$H$2:$H$1501,MATCH($A53*1000+1,Квартиры!$K$2:$K$1501,0))&amp;" СУ"&amp;IF(INDEX(Квартиры!$I$2:$I$1501,MATCH($A53*1000+1,Квартиры!$K$2:$K$1501,0))&gt;0," +У","")&amp;IF(INDEX(Квартиры!$J$2:$J$1501,MATCH($A53*1000+1,Квартиры!$K$2:$K$1501,0))&gt;0," +Г",""),"-"))</f>
        <v/>
      </c>
      <c r="D53">
        <f>IF($A53="","",IFERROR(IF(Настройки!$B$4="да",INDEX(Квартиры!$D$2:$D$1501,MATCH($A53*1000+2,Квартиры!$K$2:$K$1501,0))&amp;" / ","")&amp;INDEX(Квартиры!$H$2:$H$1501,MATCH($A53*1000+2,Квартиры!$K$2:$K$1501,0))&amp;" СУ"&amp;IF(INDEX(Квартиры!$I$2:$I$1501,MATCH($A53*1000+2,Квартиры!$K$2:$K$1501,0))&gt;0," +У","")&amp;IF(INDEX(Квартиры!$J$2:$J$1501,MATCH($A53*1000+2,Квартиры!$K$2:$K$1501,0))&gt;0," +Г",""),"-"))</f>
        <v/>
      </c>
      <c r="E53">
        <f>IF($A53="","",IFERROR(IF(Настройки!$B$4="да",INDEX(Квартиры!$D$2:$D$1501,MATCH($A53*1000+3,Квартиры!$K$2:$K$1501,0))&amp;" / ","")&amp;INDEX(Квартиры!$H$2:$H$1501,MATCH($A53*1000+3,Квартиры!$K$2:$K$1501,0))&amp;" СУ"&amp;IF(INDEX(Квартиры!$I$2:$I$1501,MATCH($A53*1000+3,Квартиры!$K$2:$K$1501,0))&gt;0," +У","")&amp;IF(INDEX(Квартиры!$J$2:$J$1501,MATCH($A53*1000+3,Квартиры!$K$2:$K$1501,0))&gt;0," +Г",""),"-"))</f>
        <v/>
      </c>
      <c r="F53">
        <f>IF($A53="","",IFERROR(IF(Настройки!$B$4="да",INDEX(Квартиры!$D$2:$D$1501,MATCH($A53*1000+4,Квартиры!$K$2:$K$1501,0))&amp;" / ","")&amp;INDEX(Квартиры!$H$2:$H$1501,MATCH($A53*1000+4,Квартиры!$K$2:$K$1501,0))&amp;" СУ"&amp;IF(INDEX(Квартиры!$I$2:$I$1501,MATCH($A53*1000+4,Квартиры!$K$2:$K$1501,0))&gt;0," +У","")&amp;IF(INDEX(Квартиры!$J$2:$J$1501,MATCH($A53*1000+4,Квартиры!$K$2:$K$1501,0))&gt;0," +Г",""),"-"))</f>
        <v/>
      </c>
      <c r="G53">
        <f>IF($A53="","",IFERROR(IF(Настройки!$B$4="да",INDEX(Квартиры!$D$2:$D$1501,MATCH($A53*1000+5,Квартиры!$K$2:$K$1501,0))&amp;" / ","")&amp;INDEX(Квартиры!$H$2:$H$1501,MATCH($A53*1000+5,Квартиры!$K$2:$K$1501,0))&amp;" СУ"&amp;IF(INDEX(Квартиры!$I$2:$I$1501,MATCH($A53*1000+5,Квартиры!$K$2:$K$1501,0))&gt;0," +У","")&amp;IF(INDEX(Квартиры!$J$2:$J$1501,MATCH($A53*1000+5,Квартиры!$K$2:$K$1501,0))&gt;0," +Г",""),"-"))</f>
        <v/>
      </c>
      <c r="H53">
        <f>IF($A53="","",IFERROR(IF(Настройки!$B$4="да",INDEX(Квартиры!$D$2:$D$1501,MATCH($A53*1000+6,Квартиры!$K$2:$K$1501,0))&amp;" / ","")&amp;INDEX(Квартиры!$H$2:$H$1501,MATCH($A53*1000+6,Квартиры!$K$2:$K$1501,0))&amp;" СУ"&amp;IF(INDEX(Квартиры!$I$2:$I$1501,MATCH($A53*1000+6,Квартиры!$K$2:$K$1501,0))&gt;0," +У","")&amp;IF(INDEX(Квартиры!$J$2:$J$1501,MATCH($A53*1000+6,Квартиры!$K$2:$K$1501,0))&gt;0," +Г",""),"-"))</f>
        <v/>
      </c>
      <c r="I53">
        <f>IF($A53="","",IFERROR(IF(Настройки!$B$4="да",INDEX(Квартиры!$D$2:$D$1501,MATCH($A53*1000+7,Квартиры!$K$2:$K$1501,0))&amp;" / ","")&amp;INDEX(Квартиры!$H$2:$H$1501,MATCH($A53*1000+7,Квартиры!$K$2:$K$1501,0))&amp;" СУ"&amp;IF(INDEX(Квартиры!$I$2:$I$1501,MATCH($A53*1000+7,Квартиры!$K$2:$K$1501,0))&gt;0," +У","")&amp;IF(INDEX(Квартиры!$J$2:$J$1501,MATCH($A53*1000+7,Квартиры!$K$2:$K$1501,0))&gt;0," +Г",""),"-"))</f>
        <v/>
      </c>
      <c r="J53">
        <f>IF($A53="","",IFERROR(IF(Настройки!$B$4="да",INDEX(Квартиры!$D$2:$D$1501,MATCH($A53*1000+8,Квартиры!$K$2:$K$1501,0))&amp;" / ","")&amp;INDEX(Квартиры!$H$2:$H$1501,MATCH($A53*1000+8,Квартиры!$K$2:$K$1501,0))&amp;" СУ"&amp;IF(INDEX(Квартиры!$I$2:$I$1501,MATCH($A53*1000+8,Квартиры!$K$2:$K$1501,0))&gt;0," +У","")&amp;IF(INDEX(Квартиры!$J$2:$J$1501,MATCH($A53*1000+8,Квартиры!$K$2:$K$1501,0))&gt;0," +Г",""),"-"))</f>
        <v/>
      </c>
      <c r="K53">
        <f>IF($A53="","",IFERROR(IF(Настройки!$B$4="да",INDEX(Квартиры!$D$2:$D$1501,MATCH($A53*1000+9,Квартиры!$K$2:$K$1501,0))&amp;" / ","")&amp;INDEX(Квартиры!$H$2:$H$1501,MATCH($A53*1000+9,Квартиры!$K$2:$K$1501,0))&amp;" СУ"&amp;IF(INDEX(Квартиры!$I$2:$I$1501,MATCH($A53*1000+9,Квартиры!$K$2:$K$1501,0))&gt;0," +У","")&amp;IF(INDEX(Квартиры!$J$2:$J$1501,MATCH($A53*1000+9,Квартиры!$K$2:$K$1501,0))&gt;0," +Г",""),"-"))</f>
        <v/>
      </c>
      <c r="L53">
        <f>IF($A53="","",IFERROR(IF(Настройки!$B$4="да",INDEX(Квартиры!$D$2:$D$1501,MATCH($A53*1000+10,Квартиры!$K$2:$K$1501,0))&amp;" / ","")&amp;INDEX(Квартиры!$H$2:$H$1501,MATCH($A53*1000+10,Квартиры!$K$2:$K$1501,0))&amp;" СУ"&amp;IF(INDEX(Квартиры!$I$2:$I$1501,MATCH($A53*1000+10,Квартиры!$K$2:$K$1501,0))&gt;0," +У","")&amp;IF(INDEX(Квартиры!$J$2:$J$1501,MATCH($A53*1000+10,Квартиры!$K$2:$K$1501,0))&gt;0," +Г",""),"-"))</f>
        <v/>
      </c>
      <c r="M53">
        <f>IF($A53="","",IFERROR(IF(Настройки!$B$4="да",INDEX(Квартиры!$D$2:$D$1501,MATCH($A53*1000+11,Квартиры!$K$2:$K$1501,0))&amp;" / ","")&amp;INDEX(Квартиры!$H$2:$H$1501,MATCH($A53*1000+11,Квартиры!$K$2:$K$1501,0))&amp;" СУ"&amp;IF(INDEX(Квартиры!$I$2:$I$1501,MATCH($A53*1000+11,Квартиры!$K$2:$K$1501,0))&gt;0," +У","")&amp;IF(INDEX(Квартиры!$J$2:$J$1501,MATCH($A53*1000+11,Квартиры!$K$2:$K$1501,0))&gt;0," +Г",""),"-"))</f>
        <v/>
      </c>
      <c r="N53">
        <f>IF($A53="","",IFERROR(IF(Настройки!$B$4="да",INDEX(Квартиры!$D$2:$D$1501,MATCH($A53*1000+12,Квартиры!$K$2:$K$1501,0))&amp;" / ","")&amp;INDEX(Квартиры!$H$2:$H$1501,MATCH($A53*1000+12,Квартиры!$K$2:$K$1501,0))&amp;" СУ"&amp;IF(INDEX(Квартиры!$I$2:$I$1501,MATCH($A53*1000+12,Квартиры!$K$2:$K$1501,0))&gt;0," +У","")&amp;IF(INDEX(Квартиры!$J$2:$J$1501,MATCH($A53*1000+12,Квартиры!$K$2:$K$1501,0))&gt;0," +Г",""),"-"))</f>
        <v/>
      </c>
      <c r="O53">
        <f>IF($A53="","",IFERROR(IF(Настройки!$B$4="да",INDEX(Квартиры!$D$2:$D$1501,MATCH($A53*1000+13,Квартиры!$K$2:$K$1501,0))&amp;" / ","")&amp;INDEX(Квартиры!$H$2:$H$1501,MATCH($A53*1000+13,Квартиры!$K$2:$K$1501,0))&amp;" СУ"&amp;IF(INDEX(Квартиры!$I$2:$I$1501,MATCH($A53*1000+13,Квартиры!$K$2:$K$1501,0))&gt;0," +У","")&amp;IF(INDEX(Квартиры!$J$2:$J$1501,MATCH($A53*1000+13,Квартиры!$K$2:$K$1501,0))&gt;0," +Г",""),"-"))</f>
        <v/>
      </c>
      <c r="P53">
        <f>IF($A53="","",IFERROR(IF(Настройки!$B$4="да",INDEX(Квартиры!$D$2:$D$1501,MATCH($A53*1000+14,Квартиры!$K$2:$K$1501,0))&amp;" / ","")&amp;INDEX(Квартиры!$H$2:$H$1501,MATCH($A53*1000+14,Квартиры!$K$2:$K$1501,0))&amp;" СУ"&amp;IF(INDEX(Квартиры!$I$2:$I$1501,MATCH($A53*1000+14,Квартиры!$K$2:$K$1501,0))&gt;0," +У","")&amp;IF(INDEX(Квартиры!$J$2:$J$1501,MATCH($A53*1000+14,Квартиры!$K$2:$K$1501,0))&gt;0," +Г",""),"-"))</f>
        <v/>
      </c>
      <c r="Q53">
        <f>IF($A53="","",IFERROR(IF(Настройки!$B$4="да",INDEX(Квартиры!$D$2:$D$1501,MATCH($A53*1000+15,Квартиры!$K$2:$K$1501,0))&amp;" / ","")&amp;INDEX(Квартиры!$H$2:$H$1501,MATCH($A53*1000+15,Квартиры!$K$2:$K$1501,0))&amp;" СУ"&amp;IF(INDEX(Квартиры!$I$2:$I$1501,MATCH($A53*1000+15,Квартиры!$K$2:$K$1501,0))&gt;0," +У","")&amp;IF(INDEX(Квартиры!$J$2:$J$1501,MATCH($A53*1000+15,Квартиры!$K$2:$K$1501,0))&gt;0," +Г",""),"-"))</f>
        <v/>
      </c>
      <c r="R53">
        <f>IF(A53="","",C53&amp;"|"&amp;D53&amp;"|"&amp;E53&amp;"|"&amp;F53&amp;"|"&amp;G53&amp;"|"&amp;H53&amp;"|"&amp;I53&amp;"|"&amp;J53&amp;"|"&amp;K53&amp;"|"&amp;L53&amp;"|"&amp;M53&amp;"|"&amp;N53&amp;"|"&amp;O53&amp;"|"&amp;P53&amp;"|"&amp;Q53)</f>
        <v/>
      </c>
      <c r="S53">
        <f>IF(A53="","",IFERROR(LOOKUP(2,1/(B$2:B52=B53),S$2:S52)&amp;", ","")&amp;A53)</f>
        <v/>
      </c>
      <c r="U53">
        <f>IF(51&gt;MAX(B$3:B$82),"",51)</f>
        <v/>
      </c>
      <c r="V53">
        <f>IF(U53="","",LOOKUP(2,1/(B$3:B$82=U53),S$3:S$82))</f>
        <v/>
      </c>
      <c r="W53">
        <f>IF(U53="","",COUNTIF(B$3:B$82,U53))</f>
        <v/>
      </c>
    </row>
    <row r="54">
      <c r="A54">
        <f>IFERROR(IF(A53="","",SMALL(Квартиры!$B$2:$B$1501,COUNTIF(Квартиры!$B$2:$B$1501,"&lt;="&amp;A53)+1)),"")</f>
        <v/>
      </c>
      <c r="B54">
        <f>IF(A54="","",IF(COUNTIF(R$2:R53,R54)=0,MAX(B$2:B53)+1,INDEX(B$2:B53,MATCH(R54,R$2:R53,0))))</f>
        <v/>
      </c>
      <c r="C54">
        <f>IF($A54="","",IFERROR(IF(Настройки!$B$4="да",INDEX(Квартиры!$D$2:$D$1501,MATCH($A54*1000+1,Квартиры!$K$2:$K$1501,0))&amp;" / ","")&amp;INDEX(Квартиры!$H$2:$H$1501,MATCH($A54*1000+1,Квартиры!$K$2:$K$1501,0))&amp;" СУ"&amp;IF(INDEX(Квартиры!$I$2:$I$1501,MATCH($A54*1000+1,Квартиры!$K$2:$K$1501,0))&gt;0," +У","")&amp;IF(INDEX(Квартиры!$J$2:$J$1501,MATCH($A54*1000+1,Квартиры!$K$2:$K$1501,0))&gt;0," +Г",""),"-"))</f>
        <v/>
      </c>
      <c r="D54">
        <f>IF($A54="","",IFERROR(IF(Настройки!$B$4="да",INDEX(Квартиры!$D$2:$D$1501,MATCH($A54*1000+2,Квартиры!$K$2:$K$1501,0))&amp;" / ","")&amp;INDEX(Квартиры!$H$2:$H$1501,MATCH($A54*1000+2,Квартиры!$K$2:$K$1501,0))&amp;" СУ"&amp;IF(INDEX(Квартиры!$I$2:$I$1501,MATCH($A54*1000+2,Квартиры!$K$2:$K$1501,0))&gt;0," +У","")&amp;IF(INDEX(Квартиры!$J$2:$J$1501,MATCH($A54*1000+2,Квартиры!$K$2:$K$1501,0))&gt;0," +Г",""),"-"))</f>
        <v/>
      </c>
      <c r="E54">
        <f>IF($A54="","",IFERROR(IF(Настройки!$B$4="да",INDEX(Квартиры!$D$2:$D$1501,MATCH($A54*1000+3,Квартиры!$K$2:$K$1501,0))&amp;" / ","")&amp;INDEX(Квартиры!$H$2:$H$1501,MATCH($A54*1000+3,Квартиры!$K$2:$K$1501,0))&amp;" СУ"&amp;IF(INDEX(Квартиры!$I$2:$I$1501,MATCH($A54*1000+3,Квартиры!$K$2:$K$1501,0))&gt;0," +У","")&amp;IF(INDEX(Квартиры!$J$2:$J$1501,MATCH($A54*1000+3,Квартиры!$K$2:$K$1501,0))&gt;0," +Г",""),"-"))</f>
        <v/>
      </c>
      <c r="F54">
        <f>IF($A54="","",IFERROR(IF(Настройки!$B$4="да",INDEX(Квартиры!$D$2:$D$1501,MATCH($A54*1000+4,Квартиры!$K$2:$K$1501,0))&amp;" / ","")&amp;INDEX(Квартиры!$H$2:$H$1501,MATCH($A54*1000+4,Квартиры!$K$2:$K$1501,0))&amp;" СУ"&amp;IF(INDEX(Квартиры!$I$2:$I$1501,MATCH($A54*1000+4,Квартиры!$K$2:$K$1501,0))&gt;0," +У","")&amp;IF(INDEX(Квартиры!$J$2:$J$1501,MATCH($A54*1000+4,Квартиры!$K$2:$K$1501,0))&gt;0," +Г",""),"-"))</f>
        <v/>
      </c>
      <c r="G54">
        <f>IF($A54="","",IFERROR(IF(Настройки!$B$4="да",INDEX(Квартиры!$D$2:$D$1501,MATCH($A54*1000+5,Квартиры!$K$2:$K$1501,0))&amp;" / ","")&amp;INDEX(Квартиры!$H$2:$H$1501,MATCH($A54*1000+5,Квартиры!$K$2:$K$1501,0))&amp;" СУ"&amp;IF(INDEX(Квартиры!$I$2:$I$1501,MATCH($A54*1000+5,Квартиры!$K$2:$K$1501,0))&gt;0," +У","")&amp;IF(INDEX(Квартиры!$J$2:$J$1501,MATCH($A54*1000+5,Квартиры!$K$2:$K$1501,0))&gt;0," +Г",""),"-"))</f>
        <v/>
      </c>
      <c r="H54">
        <f>IF($A54="","",IFERROR(IF(Настройки!$B$4="да",INDEX(Квартиры!$D$2:$D$1501,MATCH($A54*1000+6,Квартиры!$K$2:$K$1501,0))&amp;" / ","")&amp;INDEX(Квартиры!$H$2:$H$1501,MATCH($A54*1000+6,Квартиры!$K$2:$K$1501,0))&amp;" СУ"&amp;IF(INDEX(Квартиры!$I$2:$I$1501,MATCH($A54*1000+6,Квартиры!$K$2:$K$1501,0))&gt;0," +У","")&amp;IF(INDEX(Квартиры!$J$2:$J$1501,MATCH($A54*1000+6,Квартиры!$K$2:$K$1501,0))&gt;0," +Г",""),"-"))</f>
        <v/>
      </c>
      <c r="I54">
        <f>IF($A54="","",IFERROR(IF(Настройки!$B$4="да",INDEX(Квартиры!$D$2:$D$1501,MATCH($A54*1000+7,Квартиры!$K$2:$K$1501,0))&amp;" / ","")&amp;INDEX(Квартиры!$H$2:$H$1501,MATCH($A54*1000+7,Квартиры!$K$2:$K$1501,0))&amp;" СУ"&amp;IF(INDEX(Квартиры!$I$2:$I$1501,MATCH($A54*1000+7,Квартиры!$K$2:$K$1501,0))&gt;0," +У","")&amp;IF(INDEX(Квартиры!$J$2:$J$1501,MATCH($A54*1000+7,Квартиры!$K$2:$K$1501,0))&gt;0," +Г",""),"-"))</f>
        <v/>
      </c>
      <c r="J54">
        <f>IF($A54="","",IFERROR(IF(Настройки!$B$4="да",INDEX(Квартиры!$D$2:$D$1501,MATCH($A54*1000+8,Квартиры!$K$2:$K$1501,0))&amp;" / ","")&amp;INDEX(Квартиры!$H$2:$H$1501,MATCH($A54*1000+8,Квартиры!$K$2:$K$1501,0))&amp;" СУ"&amp;IF(INDEX(Квартиры!$I$2:$I$1501,MATCH($A54*1000+8,Квартиры!$K$2:$K$1501,0))&gt;0," +У","")&amp;IF(INDEX(Квартиры!$J$2:$J$1501,MATCH($A54*1000+8,Квартиры!$K$2:$K$1501,0))&gt;0," +Г",""),"-"))</f>
        <v/>
      </c>
      <c r="K54">
        <f>IF($A54="","",IFERROR(IF(Настройки!$B$4="да",INDEX(Квартиры!$D$2:$D$1501,MATCH($A54*1000+9,Квартиры!$K$2:$K$1501,0))&amp;" / ","")&amp;INDEX(Квартиры!$H$2:$H$1501,MATCH($A54*1000+9,Квартиры!$K$2:$K$1501,0))&amp;" СУ"&amp;IF(INDEX(Квартиры!$I$2:$I$1501,MATCH($A54*1000+9,Квартиры!$K$2:$K$1501,0))&gt;0," +У","")&amp;IF(INDEX(Квартиры!$J$2:$J$1501,MATCH($A54*1000+9,Квартиры!$K$2:$K$1501,0))&gt;0," +Г",""),"-"))</f>
        <v/>
      </c>
      <c r="L54">
        <f>IF($A54="","",IFERROR(IF(Настройки!$B$4="да",INDEX(Квартиры!$D$2:$D$1501,MATCH($A54*1000+10,Квартиры!$K$2:$K$1501,0))&amp;" / ","")&amp;INDEX(Квартиры!$H$2:$H$1501,MATCH($A54*1000+10,Квартиры!$K$2:$K$1501,0))&amp;" СУ"&amp;IF(INDEX(Квартиры!$I$2:$I$1501,MATCH($A54*1000+10,Квартиры!$K$2:$K$1501,0))&gt;0," +У","")&amp;IF(INDEX(Квартиры!$J$2:$J$1501,MATCH($A54*1000+10,Квартиры!$K$2:$K$1501,0))&gt;0," +Г",""),"-"))</f>
        <v/>
      </c>
      <c r="M54">
        <f>IF($A54="","",IFERROR(IF(Настройки!$B$4="да",INDEX(Квартиры!$D$2:$D$1501,MATCH($A54*1000+11,Квартиры!$K$2:$K$1501,0))&amp;" / ","")&amp;INDEX(Квартиры!$H$2:$H$1501,MATCH($A54*1000+11,Квартиры!$K$2:$K$1501,0))&amp;" СУ"&amp;IF(INDEX(Квартиры!$I$2:$I$1501,MATCH($A54*1000+11,Квартиры!$K$2:$K$1501,0))&gt;0," +У","")&amp;IF(INDEX(Квартиры!$J$2:$J$1501,MATCH($A54*1000+11,Квартиры!$K$2:$K$1501,0))&gt;0," +Г",""),"-"))</f>
        <v/>
      </c>
      <c r="N54">
        <f>IF($A54="","",IFERROR(IF(Настройки!$B$4="да",INDEX(Квартиры!$D$2:$D$1501,MATCH($A54*1000+12,Квартиры!$K$2:$K$1501,0))&amp;" / ","")&amp;INDEX(Квартиры!$H$2:$H$1501,MATCH($A54*1000+12,Квартиры!$K$2:$K$1501,0))&amp;" СУ"&amp;IF(INDEX(Квартиры!$I$2:$I$1501,MATCH($A54*1000+12,Квартиры!$K$2:$K$1501,0))&gt;0," +У","")&amp;IF(INDEX(Квартиры!$J$2:$J$1501,MATCH($A54*1000+12,Квартиры!$K$2:$K$1501,0))&gt;0," +Г",""),"-"))</f>
        <v/>
      </c>
      <c r="O54">
        <f>IF($A54="","",IFERROR(IF(Настройки!$B$4="да",INDEX(Квартиры!$D$2:$D$1501,MATCH($A54*1000+13,Квартиры!$K$2:$K$1501,0))&amp;" / ","")&amp;INDEX(Квартиры!$H$2:$H$1501,MATCH($A54*1000+13,Квартиры!$K$2:$K$1501,0))&amp;" СУ"&amp;IF(INDEX(Квартиры!$I$2:$I$1501,MATCH($A54*1000+13,Квартиры!$K$2:$K$1501,0))&gt;0," +У","")&amp;IF(INDEX(Квартиры!$J$2:$J$1501,MATCH($A54*1000+13,Квартиры!$K$2:$K$1501,0))&gt;0," +Г",""),"-"))</f>
        <v/>
      </c>
      <c r="P54">
        <f>IF($A54="","",IFERROR(IF(Настройки!$B$4="да",INDEX(Квартиры!$D$2:$D$1501,MATCH($A54*1000+14,Квартиры!$K$2:$K$1501,0))&amp;" / ","")&amp;INDEX(Квартиры!$H$2:$H$1501,MATCH($A54*1000+14,Квартиры!$K$2:$K$1501,0))&amp;" СУ"&amp;IF(INDEX(Квартиры!$I$2:$I$1501,MATCH($A54*1000+14,Квартиры!$K$2:$K$1501,0))&gt;0," +У","")&amp;IF(INDEX(Квартиры!$J$2:$J$1501,MATCH($A54*1000+14,Квартиры!$K$2:$K$1501,0))&gt;0," +Г",""),"-"))</f>
        <v/>
      </c>
      <c r="Q54">
        <f>IF($A54="","",IFERROR(IF(Настройки!$B$4="да",INDEX(Квартиры!$D$2:$D$1501,MATCH($A54*1000+15,Квартиры!$K$2:$K$1501,0))&amp;" / ","")&amp;INDEX(Квартиры!$H$2:$H$1501,MATCH($A54*1000+15,Квартиры!$K$2:$K$1501,0))&amp;" СУ"&amp;IF(INDEX(Квартиры!$I$2:$I$1501,MATCH($A54*1000+15,Квартиры!$K$2:$K$1501,0))&gt;0," +У","")&amp;IF(INDEX(Квартиры!$J$2:$J$1501,MATCH($A54*1000+15,Квартиры!$K$2:$K$1501,0))&gt;0," +Г",""),"-"))</f>
        <v/>
      </c>
      <c r="R54">
        <f>IF(A54="","",C54&amp;"|"&amp;D54&amp;"|"&amp;E54&amp;"|"&amp;F54&amp;"|"&amp;G54&amp;"|"&amp;H54&amp;"|"&amp;I54&amp;"|"&amp;J54&amp;"|"&amp;K54&amp;"|"&amp;L54&amp;"|"&amp;M54&amp;"|"&amp;N54&amp;"|"&amp;O54&amp;"|"&amp;P54&amp;"|"&amp;Q54)</f>
        <v/>
      </c>
      <c r="S54">
        <f>IF(A54="","",IFERROR(LOOKUP(2,1/(B$2:B53=B54),S$2:S53)&amp;", ","")&amp;A54)</f>
        <v/>
      </c>
      <c r="U54">
        <f>IF(52&gt;MAX(B$3:B$82),"",52)</f>
        <v/>
      </c>
      <c r="V54">
        <f>IF(U54="","",LOOKUP(2,1/(B$3:B$82=U54),S$3:S$82))</f>
        <v/>
      </c>
      <c r="W54">
        <f>IF(U54="","",COUNTIF(B$3:B$82,U54))</f>
        <v/>
      </c>
    </row>
    <row r="55">
      <c r="A55">
        <f>IFERROR(IF(A54="","",SMALL(Квартиры!$B$2:$B$1501,COUNTIF(Квартиры!$B$2:$B$1501,"&lt;="&amp;A54)+1)),"")</f>
        <v/>
      </c>
      <c r="B55">
        <f>IF(A55="","",IF(COUNTIF(R$2:R54,R55)=0,MAX(B$2:B54)+1,INDEX(B$2:B54,MATCH(R55,R$2:R54,0))))</f>
        <v/>
      </c>
      <c r="C55">
        <f>IF($A55="","",IFERROR(IF(Настройки!$B$4="да",INDEX(Квартиры!$D$2:$D$1501,MATCH($A55*1000+1,Квартиры!$K$2:$K$1501,0))&amp;" / ","")&amp;INDEX(Квартиры!$H$2:$H$1501,MATCH($A55*1000+1,Квартиры!$K$2:$K$1501,0))&amp;" СУ"&amp;IF(INDEX(Квартиры!$I$2:$I$1501,MATCH($A55*1000+1,Квартиры!$K$2:$K$1501,0))&gt;0," +У","")&amp;IF(INDEX(Квартиры!$J$2:$J$1501,MATCH($A55*1000+1,Квартиры!$K$2:$K$1501,0))&gt;0," +Г",""),"-"))</f>
        <v/>
      </c>
      <c r="D55">
        <f>IF($A55="","",IFERROR(IF(Настройки!$B$4="да",INDEX(Квартиры!$D$2:$D$1501,MATCH($A55*1000+2,Квартиры!$K$2:$K$1501,0))&amp;" / ","")&amp;INDEX(Квартиры!$H$2:$H$1501,MATCH($A55*1000+2,Квартиры!$K$2:$K$1501,0))&amp;" СУ"&amp;IF(INDEX(Квартиры!$I$2:$I$1501,MATCH($A55*1000+2,Квартиры!$K$2:$K$1501,0))&gt;0," +У","")&amp;IF(INDEX(Квартиры!$J$2:$J$1501,MATCH($A55*1000+2,Квартиры!$K$2:$K$1501,0))&gt;0," +Г",""),"-"))</f>
        <v/>
      </c>
      <c r="E55">
        <f>IF($A55="","",IFERROR(IF(Настройки!$B$4="да",INDEX(Квартиры!$D$2:$D$1501,MATCH($A55*1000+3,Квартиры!$K$2:$K$1501,0))&amp;" / ","")&amp;INDEX(Квартиры!$H$2:$H$1501,MATCH($A55*1000+3,Квартиры!$K$2:$K$1501,0))&amp;" СУ"&amp;IF(INDEX(Квартиры!$I$2:$I$1501,MATCH($A55*1000+3,Квартиры!$K$2:$K$1501,0))&gt;0," +У","")&amp;IF(INDEX(Квартиры!$J$2:$J$1501,MATCH($A55*1000+3,Квартиры!$K$2:$K$1501,0))&gt;0," +Г",""),"-"))</f>
        <v/>
      </c>
      <c r="F55">
        <f>IF($A55="","",IFERROR(IF(Настройки!$B$4="да",INDEX(Квартиры!$D$2:$D$1501,MATCH($A55*1000+4,Квартиры!$K$2:$K$1501,0))&amp;" / ","")&amp;INDEX(Квартиры!$H$2:$H$1501,MATCH($A55*1000+4,Квартиры!$K$2:$K$1501,0))&amp;" СУ"&amp;IF(INDEX(Квартиры!$I$2:$I$1501,MATCH($A55*1000+4,Квартиры!$K$2:$K$1501,0))&gt;0," +У","")&amp;IF(INDEX(Квартиры!$J$2:$J$1501,MATCH($A55*1000+4,Квартиры!$K$2:$K$1501,0))&gt;0," +Г",""),"-"))</f>
        <v/>
      </c>
      <c r="G55">
        <f>IF($A55="","",IFERROR(IF(Настройки!$B$4="да",INDEX(Квартиры!$D$2:$D$1501,MATCH($A55*1000+5,Квартиры!$K$2:$K$1501,0))&amp;" / ","")&amp;INDEX(Квартиры!$H$2:$H$1501,MATCH($A55*1000+5,Квартиры!$K$2:$K$1501,0))&amp;" СУ"&amp;IF(INDEX(Квартиры!$I$2:$I$1501,MATCH($A55*1000+5,Квартиры!$K$2:$K$1501,0))&gt;0," +У","")&amp;IF(INDEX(Квартиры!$J$2:$J$1501,MATCH($A55*1000+5,Квартиры!$K$2:$K$1501,0))&gt;0," +Г",""),"-"))</f>
        <v/>
      </c>
      <c r="H55">
        <f>IF($A55="","",IFERROR(IF(Настройки!$B$4="да",INDEX(Квартиры!$D$2:$D$1501,MATCH($A55*1000+6,Квартиры!$K$2:$K$1501,0))&amp;" / ","")&amp;INDEX(Квартиры!$H$2:$H$1501,MATCH($A55*1000+6,Квартиры!$K$2:$K$1501,0))&amp;" СУ"&amp;IF(INDEX(Квартиры!$I$2:$I$1501,MATCH($A55*1000+6,Квартиры!$K$2:$K$1501,0))&gt;0," +У","")&amp;IF(INDEX(Квартиры!$J$2:$J$1501,MATCH($A55*1000+6,Квартиры!$K$2:$K$1501,0))&gt;0," +Г",""),"-"))</f>
        <v/>
      </c>
      <c r="I55">
        <f>IF($A55="","",IFERROR(IF(Настройки!$B$4="да",INDEX(Квартиры!$D$2:$D$1501,MATCH($A55*1000+7,Квартиры!$K$2:$K$1501,0))&amp;" / ","")&amp;INDEX(Квартиры!$H$2:$H$1501,MATCH($A55*1000+7,Квартиры!$K$2:$K$1501,0))&amp;" СУ"&amp;IF(INDEX(Квартиры!$I$2:$I$1501,MATCH($A55*1000+7,Квартиры!$K$2:$K$1501,0))&gt;0," +У","")&amp;IF(INDEX(Квартиры!$J$2:$J$1501,MATCH($A55*1000+7,Квартиры!$K$2:$K$1501,0))&gt;0," +Г",""),"-"))</f>
        <v/>
      </c>
      <c r="J55">
        <f>IF($A55="","",IFERROR(IF(Настройки!$B$4="да",INDEX(Квартиры!$D$2:$D$1501,MATCH($A55*1000+8,Квартиры!$K$2:$K$1501,0))&amp;" / ","")&amp;INDEX(Квартиры!$H$2:$H$1501,MATCH($A55*1000+8,Квартиры!$K$2:$K$1501,0))&amp;" СУ"&amp;IF(INDEX(Квартиры!$I$2:$I$1501,MATCH($A55*1000+8,Квартиры!$K$2:$K$1501,0))&gt;0," +У","")&amp;IF(INDEX(Квартиры!$J$2:$J$1501,MATCH($A55*1000+8,Квартиры!$K$2:$K$1501,0))&gt;0," +Г",""),"-"))</f>
        <v/>
      </c>
      <c r="K55">
        <f>IF($A55="","",IFERROR(IF(Настройки!$B$4="да",INDEX(Квартиры!$D$2:$D$1501,MATCH($A55*1000+9,Квартиры!$K$2:$K$1501,0))&amp;" / ","")&amp;INDEX(Квартиры!$H$2:$H$1501,MATCH($A55*1000+9,Квартиры!$K$2:$K$1501,0))&amp;" СУ"&amp;IF(INDEX(Квартиры!$I$2:$I$1501,MATCH($A55*1000+9,Квартиры!$K$2:$K$1501,0))&gt;0," +У","")&amp;IF(INDEX(Квартиры!$J$2:$J$1501,MATCH($A55*1000+9,Квартиры!$K$2:$K$1501,0))&gt;0," +Г",""),"-"))</f>
        <v/>
      </c>
      <c r="L55">
        <f>IF($A55="","",IFERROR(IF(Настройки!$B$4="да",INDEX(Квартиры!$D$2:$D$1501,MATCH($A55*1000+10,Квартиры!$K$2:$K$1501,0))&amp;" / ","")&amp;INDEX(Квартиры!$H$2:$H$1501,MATCH($A55*1000+10,Квартиры!$K$2:$K$1501,0))&amp;" СУ"&amp;IF(INDEX(Квартиры!$I$2:$I$1501,MATCH($A55*1000+10,Квартиры!$K$2:$K$1501,0))&gt;0," +У","")&amp;IF(INDEX(Квартиры!$J$2:$J$1501,MATCH($A55*1000+10,Квартиры!$K$2:$K$1501,0))&gt;0," +Г",""),"-"))</f>
        <v/>
      </c>
      <c r="M55">
        <f>IF($A55="","",IFERROR(IF(Настройки!$B$4="да",INDEX(Квартиры!$D$2:$D$1501,MATCH($A55*1000+11,Квартиры!$K$2:$K$1501,0))&amp;" / ","")&amp;INDEX(Квартиры!$H$2:$H$1501,MATCH($A55*1000+11,Квартиры!$K$2:$K$1501,0))&amp;" СУ"&amp;IF(INDEX(Квартиры!$I$2:$I$1501,MATCH($A55*1000+11,Квартиры!$K$2:$K$1501,0))&gt;0," +У","")&amp;IF(INDEX(Квартиры!$J$2:$J$1501,MATCH($A55*1000+11,Квартиры!$K$2:$K$1501,0))&gt;0," +Г",""),"-"))</f>
        <v/>
      </c>
      <c r="N55">
        <f>IF($A55="","",IFERROR(IF(Настройки!$B$4="да",INDEX(Квартиры!$D$2:$D$1501,MATCH($A55*1000+12,Квартиры!$K$2:$K$1501,0))&amp;" / ","")&amp;INDEX(Квартиры!$H$2:$H$1501,MATCH($A55*1000+12,Квартиры!$K$2:$K$1501,0))&amp;" СУ"&amp;IF(INDEX(Квартиры!$I$2:$I$1501,MATCH($A55*1000+12,Квартиры!$K$2:$K$1501,0))&gt;0," +У","")&amp;IF(INDEX(Квартиры!$J$2:$J$1501,MATCH($A55*1000+12,Квартиры!$K$2:$K$1501,0))&gt;0," +Г",""),"-"))</f>
        <v/>
      </c>
      <c r="O55">
        <f>IF($A55="","",IFERROR(IF(Настройки!$B$4="да",INDEX(Квартиры!$D$2:$D$1501,MATCH($A55*1000+13,Квартиры!$K$2:$K$1501,0))&amp;" / ","")&amp;INDEX(Квартиры!$H$2:$H$1501,MATCH($A55*1000+13,Квартиры!$K$2:$K$1501,0))&amp;" СУ"&amp;IF(INDEX(Квартиры!$I$2:$I$1501,MATCH($A55*1000+13,Квартиры!$K$2:$K$1501,0))&gt;0," +У","")&amp;IF(INDEX(Квартиры!$J$2:$J$1501,MATCH($A55*1000+13,Квартиры!$K$2:$K$1501,0))&gt;0," +Г",""),"-"))</f>
        <v/>
      </c>
      <c r="P55">
        <f>IF($A55="","",IFERROR(IF(Настройки!$B$4="да",INDEX(Квартиры!$D$2:$D$1501,MATCH($A55*1000+14,Квартиры!$K$2:$K$1501,0))&amp;" / ","")&amp;INDEX(Квартиры!$H$2:$H$1501,MATCH($A55*1000+14,Квартиры!$K$2:$K$1501,0))&amp;" СУ"&amp;IF(INDEX(Квартиры!$I$2:$I$1501,MATCH($A55*1000+14,Квартиры!$K$2:$K$1501,0))&gt;0," +У","")&amp;IF(INDEX(Квартиры!$J$2:$J$1501,MATCH($A55*1000+14,Квартиры!$K$2:$K$1501,0))&gt;0," +Г",""),"-"))</f>
        <v/>
      </c>
      <c r="Q55">
        <f>IF($A55="","",IFERROR(IF(Настройки!$B$4="да",INDEX(Квартиры!$D$2:$D$1501,MATCH($A55*1000+15,Квартиры!$K$2:$K$1501,0))&amp;" / ","")&amp;INDEX(Квартиры!$H$2:$H$1501,MATCH($A55*1000+15,Квартиры!$K$2:$K$1501,0))&amp;" СУ"&amp;IF(INDEX(Квартиры!$I$2:$I$1501,MATCH($A55*1000+15,Квартиры!$K$2:$K$1501,0))&gt;0," +У","")&amp;IF(INDEX(Квартиры!$J$2:$J$1501,MATCH($A55*1000+15,Квартиры!$K$2:$K$1501,0))&gt;0," +Г",""),"-"))</f>
        <v/>
      </c>
      <c r="R55">
        <f>IF(A55="","",C55&amp;"|"&amp;D55&amp;"|"&amp;E55&amp;"|"&amp;F55&amp;"|"&amp;G55&amp;"|"&amp;H55&amp;"|"&amp;I55&amp;"|"&amp;J55&amp;"|"&amp;K55&amp;"|"&amp;L55&amp;"|"&amp;M55&amp;"|"&amp;N55&amp;"|"&amp;O55&amp;"|"&amp;P55&amp;"|"&amp;Q55)</f>
        <v/>
      </c>
      <c r="S55">
        <f>IF(A55="","",IFERROR(LOOKUP(2,1/(B$2:B54=B55),S$2:S54)&amp;", ","")&amp;A55)</f>
        <v/>
      </c>
      <c r="U55">
        <f>IF(53&gt;MAX(B$3:B$82),"",53)</f>
        <v/>
      </c>
      <c r="V55">
        <f>IF(U55="","",LOOKUP(2,1/(B$3:B$82=U55),S$3:S$82))</f>
        <v/>
      </c>
      <c r="W55">
        <f>IF(U55="","",COUNTIF(B$3:B$82,U55))</f>
        <v/>
      </c>
    </row>
    <row r="56">
      <c r="A56">
        <f>IFERROR(IF(A55="","",SMALL(Квартиры!$B$2:$B$1501,COUNTIF(Квартиры!$B$2:$B$1501,"&lt;="&amp;A55)+1)),"")</f>
        <v/>
      </c>
      <c r="B56">
        <f>IF(A56="","",IF(COUNTIF(R$2:R55,R56)=0,MAX(B$2:B55)+1,INDEX(B$2:B55,MATCH(R56,R$2:R55,0))))</f>
        <v/>
      </c>
      <c r="C56">
        <f>IF($A56="","",IFERROR(IF(Настройки!$B$4="да",INDEX(Квартиры!$D$2:$D$1501,MATCH($A56*1000+1,Квартиры!$K$2:$K$1501,0))&amp;" / ","")&amp;INDEX(Квартиры!$H$2:$H$1501,MATCH($A56*1000+1,Квартиры!$K$2:$K$1501,0))&amp;" СУ"&amp;IF(INDEX(Квартиры!$I$2:$I$1501,MATCH($A56*1000+1,Квартиры!$K$2:$K$1501,0))&gt;0," +У","")&amp;IF(INDEX(Квартиры!$J$2:$J$1501,MATCH($A56*1000+1,Квартиры!$K$2:$K$1501,0))&gt;0," +Г",""),"-"))</f>
        <v/>
      </c>
      <c r="D56">
        <f>IF($A56="","",IFERROR(IF(Настройки!$B$4="да",INDEX(Квартиры!$D$2:$D$1501,MATCH($A56*1000+2,Квартиры!$K$2:$K$1501,0))&amp;" / ","")&amp;INDEX(Квартиры!$H$2:$H$1501,MATCH($A56*1000+2,Квартиры!$K$2:$K$1501,0))&amp;" СУ"&amp;IF(INDEX(Квартиры!$I$2:$I$1501,MATCH($A56*1000+2,Квартиры!$K$2:$K$1501,0))&gt;0," +У","")&amp;IF(INDEX(Квартиры!$J$2:$J$1501,MATCH($A56*1000+2,Квартиры!$K$2:$K$1501,0))&gt;0," +Г",""),"-"))</f>
        <v/>
      </c>
      <c r="E56">
        <f>IF($A56="","",IFERROR(IF(Настройки!$B$4="да",INDEX(Квартиры!$D$2:$D$1501,MATCH($A56*1000+3,Квартиры!$K$2:$K$1501,0))&amp;" / ","")&amp;INDEX(Квартиры!$H$2:$H$1501,MATCH($A56*1000+3,Квартиры!$K$2:$K$1501,0))&amp;" СУ"&amp;IF(INDEX(Квартиры!$I$2:$I$1501,MATCH($A56*1000+3,Квартиры!$K$2:$K$1501,0))&gt;0," +У","")&amp;IF(INDEX(Квартиры!$J$2:$J$1501,MATCH($A56*1000+3,Квартиры!$K$2:$K$1501,0))&gt;0," +Г",""),"-"))</f>
        <v/>
      </c>
      <c r="F56">
        <f>IF($A56="","",IFERROR(IF(Настройки!$B$4="да",INDEX(Квартиры!$D$2:$D$1501,MATCH($A56*1000+4,Квартиры!$K$2:$K$1501,0))&amp;" / ","")&amp;INDEX(Квартиры!$H$2:$H$1501,MATCH($A56*1000+4,Квартиры!$K$2:$K$1501,0))&amp;" СУ"&amp;IF(INDEX(Квартиры!$I$2:$I$1501,MATCH($A56*1000+4,Квартиры!$K$2:$K$1501,0))&gt;0," +У","")&amp;IF(INDEX(Квартиры!$J$2:$J$1501,MATCH($A56*1000+4,Квартиры!$K$2:$K$1501,0))&gt;0," +Г",""),"-"))</f>
        <v/>
      </c>
      <c r="G56">
        <f>IF($A56="","",IFERROR(IF(Настройки!$B$4="да",INDEX(Квартиры!$D$2:$D$1501,MATCH($A56*1000+5,Квартиры!$K$2:$K$1501,0))&amp;" / ","")&amp;INDEX(Квартиры!$H$2:$H$1501,MATCH($A56*1000+5,Квартиры!$K$2:$K$1501,0))&amp;" СУ"&amp;IF(INDEX(Квартиры!$I$2:$I$1501,MATCH($A56*1000+5,Квартиры!$K$2:$K$1501,0))&gt;0," +У","")&amp;IF(INDEX(Квартиры!$J$2:$J$1501,MATCH($A56*1000+5,Квартиры!$K$2:$K$1501,0))&gt;0," +Г",""),"-"))</f>
        <v/>
      </c>
      <c r="H56">
        <f>IF($A56="","",IFERROR(IF(Настройки!$B$4="да",INDEX(Квартиры!$D$2:$D$1501,MATCH($A56*1000+6,Квартиры!$K$2:$K$1501,0))&amp;" / ","")&amp;INDEX(Квартиры!$H$2:$H$1501,MATCH($A56*1000+6,Квартиры!$K$2:$K$1501,0))&amp;" СУ"&amp;IF(INDEX(Квартиры!$I$2:$I$1501,MATCH($A56*1000+6,Квартиры!$K$2:$K$1501,0))&gt;0," +У","")&amp;IF(INDEX(Квартиры!$J$2:$J$1501,MATCH($A56*1000+6,Квартиры!$K$2:$K$1501,0))&gt;0," +Г",""),"-"))</f>
        <v/>
      </c>
      <c r="I56">
        <f>IF($A56="","",IFERROR(IF(Настройки!$B$4="да",INDEX(Квартиры!$D$2:$D$1501,MATCH($A56*1000+7,Квартиры!$K$2:$K$1501,0))&amp;" / ","")&amp;INDEX(Квартиры!$H$2:$H$1501,MATCH($A56*1000+7,Квартиры!$K$2:$K$1501,0))&amp;" СУ"&amp;IF(INDEX(Квартиры!$I$2:$I$1501,MATCH($A56*1000+7,Квартиры!$K$2:$K$1501,0))&gt;0," +У","")&amp;IF(INDEX(Квартиры!$J$2:$J$1501,MATCH($A56*1000+7,Квартиры!$K$2:$K$1501,0))&gt;0," +Г",""),"-"))</f>
        <v/>
      </c>
      <c r="J56">
        <f>IF($A56="","",IFERROR(IF(Настройки!$B$4="да",INDEX(Квартиры!$D$2:$D$1501,MATCH($A56*1000+8,Квартиры!$K$2:$K$1501,0))&amp;" / ","")&amp;INDEX(Квартиры!$H$2:$H$1501,MATCH($A56*1000+8,Квартиры!$K$2:$K$1501,0))&amp;" СУ"&amp;IF(INDEX(Квартиры!$I$2:$I$1501,MATCH($A56*1000+8,Квартиры!$K$2:$K$1501,0))&gt;0," +У","")&amp;IF(INDEX(Квартиры!$J$2:$J$1501,MATCH($A56*1000+8,Квартиры!$K$2:$K$1501,0))&gt;0," +Г",""),"-"))</f>
        <v/>
      </c>
      <c r="K56">
        <f>IF($A56="","",IFERROR(IF(Настройки!$B$4="да",INDEX(Квартиры!$D$2:$D$1501,MATCH($A56*1000+9,Квартиры!$K$2:$K$1501,0))&amp;" / ","")&amp;INDEX(Квартиры!$H$2:$H$1501,MATCH($A56*1000+9,Квартиры!$K$2:$K$1501,0))&amp;" СУ"&amp;IF(INDEX(Квартиры!$I$2:$I$1501,MATCH($A56*1000+9,Квартиры!$K$2:$K$1501,0))&gt;0," +У","")&amp;IF(INDEX(Квартиры!$J$2:$J$1501,MATCH($A56*1000+9,Квартиры!$K$2:$K$1501,0))&gt;0," +Г",""),"-"))</f>
        <v/>
      </c>
      <c r="L56">
        <f>IF($A56="","",IFERROR(IF(Настройки!$B$4="да",INDEX(Квартиры!$D$2:$D$1501,MATCH($A56*1000+10,Квартиры!$K$2:$K$1501,0))&amp;" / ","")&amp;INDEX(Квартиры!$H$2:$H$1501,MATCH($A56*1000+10,Квартиры!$K$2:$K$1501,0))&amp;" СУ"&amp;IF(INDEX(Квартиры!$I$2:$I$1501,MATCH($A56*1000+10,Квартиры!$K$2:$K$1501,0))&gt;0," +У","")&amp;IF(INDEX(Квартиры!$J$2:$J$1501,MATCH($A56*1000+10,Квартиры!$K$2:$K$1501,0))&gt;0," +Г",""),"-"))</f>
        <v/>
      </c>
      <c r="M56">
        <f>IF($A56="","",IFERROR(IF(Настройки!$B$4="да",INDEX(Квартиры!$D$2:$D$1501,MATCH($A56*1000+11,Квартиры!$K$2:$K$1501,0))&amp;" / ","")&amp;INDEX(Квартиры!$H$2:$H$1501,MATCH($A56*1000+11,Квартиры!$K$2:$K$1501,0))&amp;" СУ"&amp;IF(INDEX(Квартиры!$I$2:$I$1501,MATCH($A56*1000+11,Квартиры!$K$2:$K$1501,0))&gt;0," +У","")&amp;IF(INDEX(Квартиры!$J$2:$J$1501,MATCH($A56*1000+11,Квартиры!$K$2:$K$1501,0))&gt;0," +Г",""),"-"))</f>
        <v/>
      </c>
      <c r="N56">
        <f>IF($A56="","",IFERROR(IF(Настройки!$B$4="да",INDEX(Квартиры!$D$2:$D$1501,MATCH($A56*1000+12,Квартиры!$K$2:$K$1501,0))&amp;" / ","")&amp;INDEX(Квартиры!$H$2:$H$1501,MATCH($A56*1000+12,Квартиры!$K$2:$K$1501,0))&amp;" СУ"&amp;IF(INDEX(Квартиры!$I$2:$I$1501,MATCH($A56*1000+12,Квартиры!$K$2:$K$1501,0))&gt;0," +У","")&amp;IF(INDEX(Квартиры!$J$2:$J$1501,MATCH($A56*1000+12,Квартиры!$K$2:$K$1501,0))&gt;0," +Г",""),"-"))</f>
        <v/>
      </c>
      <c r="O56">
        <f>IF($A56="","",IFERROR(IF(Настройки!$B$4="да",INDEX(Квартиры!$D$2:$D$1501,MATCH($A56*1000+13,Квартиры!$K$2:$K$1501,0))&amp;" / ","")&amp;INDEX(Квартиры!$H$2:$H$1501,MATCH($A56*1000+13,Квартиры!$K$2:$K$1501,0))&amp;" СУ"&amp;IF(INDEX(Квартиры!$I$2:$I$1501,MATCH($A56*1000+13,Квартиры!$K$2:$K$1501,0))&gt;0," +У","")&amp;IF(INDEX(Квартиры!$J$2:$J$1501,MATCH($A56*1000+13,Квартиры!$K$2:$K$1501,0))&gt;0," +Г",""),"-"))</f>
        <v/>
      </c>
      <c r="P56">
        <f>IF($A56="","",IFERROR(IF(Настройки!$B$4="да",INDEX(Квартиры!$D$2:$D$1501,MATCH($A56*1000+14,Квартиры!$K$2:$K$1501,0))&amp;" / ","")&amp;INDEX(Квартиры!$H$2:$H$1501,MATCH($A56*1000+14,Квартиры!$K$2:$K$1501,0))&amp;" СУ"&amp;IF(INDEX(Квартиры!$I$2:$I$1501,MATCH($A56*1000+14,Квартиры!$K$2:$K$1501,0))&gt;0," +У","")&amp;IF(INDEX(Квартиры!$J$2:$J$1501,MATCH($A56*1000+14,Квартиры!$K$2:$K$1501,0))&gt;0," +Г",""),"-"))</f>
        <v/>
      </c>
      <c r="Q56">
        <f>IF($A56="","",IFERROR(IF(Настройки!$B$4="да",INDEX(Квартиры!$D$2:$D$1501,MATCH($A56*1000+15,Квартиры!$K$2:$K$1501,0))&amp;" / ","")&amp;INDEX(Квартиры!$H$2:$H$1501,MATCH($A56*1000+15,Квартиры!$K$2:$K$1501,0))&amp;" СУ"&amp;IF(INDEX(Квартиры!$I$2:$I$1501,MATCH($A56*1000+15,Квартиры!$K$2:$K$1501,0))&gt;0," +У","")&amp;IF(INDEX(Квартиры!$J$2:$J$1501,MATCH($A56*1000+15,Квартиры!$K$2:$K$1501,0))&gt;0," +Г",""),"-"))</f>
        <v/>
      </c>
      <c r="R56">
        <f>IF(A56="","",C56&amp;"|"&amp;D56&amp;"|"&amp;E56&amp;"|"&amp;F56&amp;"|"&amp;G56&amp;"|"&amp;H56&amp;"|"&amp;I56&amp;"|"&amp;J56&amp;"|"&amp;K56&amp;"|"&amp;L56&amp;"|"&amp;M56&amp;"|"&amp;N56&amp;"|"&amp;O56&amp;"|"&amp;P56&amp;"|"&amp;Q56)</f>
        <v/>
      </c>
      <c r="S56">
        <f>IF(A56="","",IFERROR(LOOKUP(2,1/(B$2:B55=B56),S$2:S55)&amp;", ","")&amp;A56)</f>
        <v/>
      </c>
      <c r="U56">
        <f>IF(54&gt;MAX(B$3:B$82),"",54)</f>
        <v/>
      </c>
      <c r="V56">
        <f>IF(U56="","",LOOKUP(2,1/(B$3:B$82=U56),S$3:S$82))</f>
        <v/>
      </c>
      <c r="W56">
        <f>IF(U56="","",COUNTIF(B$3:B$82,U56))</f>
        <v/>
      </c>
    </row>
    <row r="57">
      <c r="A57">
        <f>IFERROR(IF(A56="","",SMALL(Квартиры!$B$2:$B$1501,COUNTIF(Квартиры!$B$2:$B$1501,"&lt;="&amp;A56)+1)),"")</f>
        <v/>
      </c>
      <c r="B57">
        <f>IF(A57="","",IF(COUNTIF(R$2:R56,R57)=0,MAX(B$2:B56)+1,INDEX(B$2:B56,MATCH(R57,R$2:R56,0))))</f>
        <v/>
      </c>
      <c r="C57">
        <f>IF($A57="","",IFERROR(IF(Настройки!$B$4="да",INDEX(Квартиры!$D$2:$D$1501,MATCH($A57*1000+1,Квартиры!$K$2:$K$1501,0))&amp;" / ","")&amp;INDEX(Квартиры!$H$2:$H$1501,MATCH($A57*1000+1,Квартиры!$K$2:$K$1501,0))&amp;" СУ"&amp;IF(INDEX(Квартиры!$I$2:$I$1501,MATCH($A57*1000+1,Квартиры!$K$2:$K$1501,0))&gt;0," +У","")&amp;IF(INDEX(Квартиры!$J$2:$J$1501,MATCH($A57*1000+1,Квартиры!$K$2:$K$1501,0))&gt;0," +Г",""),"-"))</f>
        <v/>
      </c>
      <c r="D57">
        <f>IF($A57="","",IFERROR(IF(Настройки!$B$4="да",INDEX(Квартиры!$D$2:$D$1501,MATCH($A57*1000+2,Квартиры!$K$2:$K$1501,0))&amp;" / ","")&amp;INDEX(Квартиры!$H$2:$H$1501,MATCH($A57*1000+2,Квартиры!$K$2:$K$1501,0))&amp;" СУ"&amp;IF(INDEX(Квартиры!$I$2:$I$1501,MATCH($A57*1000+2,Квартиры!$K$2:$K$1501,0))&gt;0," +У","")&amp;IF(INDEX(Квартиры!$J$2:$J$1501,MATCH($A57*1000+2,Квартиры!$K$2:$K$1501,0))&gt;0," +Г",""),"-"))</f>
        <v/>
      </c>
      <c r="E57">
        <f>IF($A57="","",IFERROR(IF(Настройки!$B$4="да",INDEX(Квартиры!$D$2:$D$1501,MATCH($A57*1000+3,Квартиры!$K$2:$K$1501,0))&amp;" / ","")&amp;INDEX(Квартиры!$H$2:$H$1501,MATCH($A57*1000+3,Квартиры!$K$2:$K$1501,0))&amp;" СУ"&amp;IF(INDEX(Квартиры!$I$2:$I$1501,MATCH($A57*1000+3,Квартиры!$K$2:$K$1501,0))&gt;0," +У","")&amp;IF(INDEX(Квартиры!$J$2:$J$1501,MATCH($A57*1000+3,Квартиры!$K$2:$K$1501,0))&gt;0," +Г",""),"-"))</f>
        <v/>
      </c>
      <c r="F57">
        <f>IF($A57="","",IFERROR(IF(Настройки!$B$4="да",INDEX(Квартиры!$D$2:$D$1501,MATCH($A57*1000+4,Квартиры!$K$2:$K$1501,0))&amp;" / ","")&amp;INDEX(Квартиры!$H$2:$H$1501,MATCH($A57*1000+4,Квартиры!$K$2:$K$1501,0))&amp;" СУ"&amp;IF(INDEX(Квартиры!$I$2:$I$1501,MATCH($A57*1000+4,Квартиры!$K$2:$K$1501,0))&gt;0," +У","")&amp;IF(INDEX(Квартиры!$J$2:$J$1501,MATCH($A57*1000+4,Квартиры!$K$2:$K$1501,0))&gt;0," +Г",""),"-"))</f>
        <v/>
      </c>
      <c r="G57">
        <f>IF($A57="","",IFERROR(IF(Настройки!$B$4="да",INDEX(Квартиры!$D$2:$D$1501,MATCH($A57*1000+5,Квартиры!$K$2:$K$1501,0))&amp;" / ","")&amp;INDEX(Квартиры!$H$2:$H$1501,MATCH($A57*1000+5,Квартиры!$K$2:$K$1501,0))&amp;" СУ"&amp;IF(INDEX(Квартиры!$I$2:$I$1501,MATCH($A57*1000+5,Квартиры!$K$2:$K$1501,0))&gt;0," +У","")&amp;IF(INDEX(Квартиры!$J$2:$J$1501,MATCH($A57*1000+5,Квартиры!$K$2:$K$1501,0))&gt;0," +Г",""),"-"))</f>
        <v/>
      </c>
      <c r="H57">
        <f>IF($A57="","",IFERROR(IF(Настройки!$B$4="да",INDEX(Квартиры!$D$2:$D$1501,MATCH($A57*1000+6,Квартиры!$K$2:$K$1501,0))&amp;" / ","")&amp;INDEX(Квартиры!$H$2:$H$1501,MATCH($A57*1000+6,Квартиры!$K$2:$K$1501,0))&amp;" СУ"&amp;IF(INDEX(Квартиры!$I$2:$I$1501,MATCH($A57*1000+6,Квартиры!$K$2:$K$1501,0))&gt;0," +У","")&amp;IF(INDEX(Квартиры!$J$2:$J$1501,MATCH($A57*1000+6,Квартиры!$K$2:$K$1501,0))&gt;0," +Г",""),"-"))</f>
        <v/>
      </c>
      <c r="I57">
        <f>IF($A57="","",IFERROR(IF(Настройки!$B$4="да",INDEX(Квартиры!$D$2:$D$1501,MATCH($A57*1000+7,Квартиры!$K$2:$K$1501,0))&amp;" / ","")&amp;INDEX(Квартиры!$H$2:$H$1501,MATCH($A57*1000+7,Квартиры!$K$2:$K$1501,0))&amp;" СУ"&amp;IF(INDEX(Квартиры!$I$2:$I$1501,MATCH($A57*1000+7,Квартиры!$K$2:$K$1501,0))&gt;0," +У","")&amp;IF(INDEX(Квартиры!$J$2:$J$1501,MATCH($A57*1000+7,Квартиры!$K$2:$K$1501,0))&gt;0," +Г",""),"-"))</f>
        <v/>
      </c>
      <c r="J57">
        <f>IF($A57="","",IFERROR(IF(Настройки!$B$4="да",INDEX(Квартиры!$D$2:$D$1501,MATCH($A57*1000+8,Квартиры!$K$2:$K$1501,0))&amp;" / ","")&amp;INDEX(Квартиры!$H$2:$H$1501,MATCH($A57*1000+8,Квартиры!$K$2:$K$1501,0))&amp;" СУ"&amp;IF(INDEX(Квартиры!$I$2:$I$1501,MATCH($A57*1000+8,Квартиры!$K$2:$K$1501,0))&gt;0," +У","")&amp;IF(INDEX(Квартиры!$J$2:$J$1501,MATCH($A57*1000+8,Квартиры!$K$2:$K$1501,0))&gt;0," +Г",""),"-"))</f>
        <v/>
      </c>
      <c r="K57">
        <f>IF($A57="","",IFERROR(IF(Настройки!$B$4="да",INDEX(Квартиры!$D$2:$D$1501,MATCH($A57*1000+9,Квартиры!$K$2:$K$1501,0))&amp;" / ","")&amp;INDEX(Квартиры!$H$2:$H$1501,MATCH($A57*1000+9,Квартиры!$K$2:$K$1501,0))&amp;" СУ"&amp;IF(INDEX(Квартиры!$I$2:$I$1501,MATCH($A57*1000+9,Квартиры!$K$2:$K$1501,0))&gt;0," +У","")&amp;IF(INDEX(Квартиры!$J$2:$J$1501,MATCH($A57*1000+9,Квартиры!$K$2:$K$1501,0))&gt;0," +Г",""),"-"))</f>
        <v/>
      </c>
      <c r="L57">
        <f>IF($A57="","",IFERROR(IF(Настройки!$B$4="да",INDEX(Квартиры!$D$2:$D$1501,MATCH($A57*1000+10,Квартиры!$K$2:$K$1501,0))&amp;" / ","")&amp;INDEX(Квартиры!$H$2:$H$1501,MATCH($A57*1000+10,Квартиры!$K$2:$K$1501,0))&amp;" СУ"&amp;IF(INDEX(Квартиры!$I$2:$I$1501,MATCH($A57*1000+10,Квартиры!$K$2:$K$1501,0))&gt;0," +У","")&amp;IF(INDEX(Квартиры!$J$2:$J$1501,MATCH($A57*1000+10,Квартиры!$K$2:$K$1501,0))&gt;0," +Г",""),"-"))</f>
        <v/>
      </c>
      <c r="M57">
        <f>IF($A57="","",IFERROR(IF(Настройки!$B$4="да",INDEX(Квартиры!$D$2:$D$1501,MATCH($A57*1000+11,Квартиры!$K$2:$K$1501,0))&amp;" / ","")&amp;INDEX(Квартиры!$H$2:$H$1501,MATCH($A57*1000+11,Квартиры!$K$2:$K$1501,0))&amp;" СУ"&amp;IF(INDEX(Квартиры!$I$2:$I$1501,MATCH($A57*1000+11,Квартиры!$K$2:$K$1501,0))&gt;0," +У","")&amp;IF(INDEX(Квартиры!$J$2:$J$1501,MATCH($A57*1000+11,Квартиры!$K$2:$K$1501,0))&gt;0," +Г",""),"-"))</f>
        <v/>
      </c>
      <c r="N57">
        <f>IF($A57="","",IFERROR(IF(Настройки!$B$4="да",INDEX(Квартиры!$D$2:$D$1501,MATCH($A57*1000+12,Квартиры!$K$2:$K$1501,0))&amp;" / ","")&amp;INDEX(Квартиры!$H$2:$H$1501,MATCH($A57*1000+12,Квартиры!$K$2:$K$1501,0))&amp;" СУ"&amp;IF(INDEX(Квартиры!$I$2:$I$1501,MATCH($A57*1000+12,Квартиры!$K$2:$K$1501,0))&gt;0," +У","")&amp;IF(INDEX(Квартиры!$J$2:$J$1501,MATCH($A57*1000+12,Квартиры!$K$2:$K$1501,0))&gt;0," +Г",""),"-"))</f>
        <v/>
      </c>
      <c r="O57">
        <f>IF($A57="","",IFERROR(IF(Настройки!$B$4="да",INDEX(Квартиры!$D$2:$D$1501,MATCH($A57*1000+13,Квартиры!$K$2:$K$1501,0))&amp;" / ","")&amp;INDEX(Квартиры!$H$2:$H$1501,MATCH($A57*1000+13,Квартиры!$K$2:$K$1501,0))&amp;" СУ"&amp;IF(INDEX(Квартиры!$I$2:$I$1501,MATCH($A57*1000+13,Квартиры!$K$2:$K$1501,0))&gt;0," +У","")&amp;IF(INDEX(Квартиры!$J$2:$J$1501,MATCH($A57*1000+13,Квартиры!$K$2:$K$1501,0))&gt;0," +Г",""),"-"))</f>
        <v/>
      </c>
      <c r="P57">
        <f>IF($A57="","",IFERROR(IF(Настройки!$B$4="да",INDEX(Квартиры!$D$2:$D$1501,MATCH($A57*1000+14,Квартиры!$K$2:$K$1501,0))&amp;" / ","")&amp;INDEX(Квартиры!$H$2:$H$1501,MATCH($A57*1000+14,Квартиры!$K$2:$K$1501,0))&amp;" СУ"&amp;IF(INDEX(Квартиры!$I$2:$I$1501,MATCH($A57*1000+14,Квартиры!$K$2:$K$1501,0))&gt;0," +У","")&amp;IF(INDEX(Квартиры!$J$2:$J$1501,MATCH($A57*1000+14,Квартиры!$K$2:$K$1501,0))&gt;0," +Г",""),"-"))</f>
        <v/>
      </c>
      <c r="Q57">
        <f>IF($A57="","",IFERROR(IF(Настройки!$B$4="да",INDEX(Квартиры!$D$2:$D$1501,MATCH($A57*1000+15,Квартиры!$K$2:$K$1501,0))&amp;" / ","")&amp;INDEX(Квартиры!$H$2:$H$1501,MATCH($A57*1000+15,Квартиры!$K$2:$K$1501,0))&amp;" СУ"&amp;IF(INDEX(Квартиры!$I$2:$I$1501,MATCH($A57*1000+15,Квартиры!$K$2:$K$1501,0))&gt;0," +У","")&amp;IF(INDEX(Квартиры!$J$2:$J$1501,MATCH($A57*1000+15,Квартиры!$K$2:$K$1501,0))&gt;0," +Г",""),"-"))</f>
        <v/>
      </c>
      <c r="R57">
        <f>IF(A57="","",C57&amp;"|"&amp;D57&amp;"|"&amp;E57&amp;"|"&amp;F57&amp;"|"&amp;G57&amp;"|"&amp;H57&amp;"|"&amp;I57&amp;"|"&amp;J57&amp;"|"&amp;K57&amp;"|"&amp;L57&amp;"|"&amp;M57&amp;"|"&amp;N57&amp;"|"&amp;O57&amp;"|"&amp;P57&amp;"|"&amp;Q57)</f>
        <v/>
      </c>
      <c r="S57">
        <f>IF(A57="","",IFERROR(LOOKUP(2,1/(B$2:B56=B57),S$2:S56)&amp;", ","")&amp;A57)</f>
        <v/>
      </c>
      <c r="U57">
        <f>IF(55&gt;MAX(B$3:B$82),"",55)</f>
        <v/>
      </c>
      <c r="V57">
        <f>IF(U57="","",LOOKUP(2,1/(B$3:B$82=U57),S$3:S$82))</f>
        <v/>
      </c>
      <c r="W57">
        <f>IF(U57="","",COUNTIF(B$3:B$82,U57))</f>
        <v/>
      </c>
    </row>
    <row r="58">
      <c r="A58">
        <f>IFERROR(IF(A57="","",SMALL(Квартиры!$B$2:$B$1501,COUNTIF(Квартиры!$B$2:$B$1501,"&lt;="&amp;A57)+1)),"")</f>
        <v/>
      </c>
      <c r="B58">
        <f>IF(A58="","",IF(COUNTIF(R$2:R57,R58)=0,MAX(B$2:B57)+1,INDEX(B$2:B57,MATCH(R58,R$2:R57,0))))</f>
        <v/>
      </c>
      <c r="C58">
        <f>IF($A58="","",IFERROR(IF(Настройки!$B$4="да",INDEX(Квартиры!$D$2:$D$1501,MATCH($A58*1000+1,Квартиры!$K$2:$K$1501,0))&amp;" / ","")&amp;INDEX(Квартиры!$H$2:$H$1501,MATCH($A58*1000+1,Квартиры!$K$2:$K$1501,0))&amp;" СУ"&amp;IF(INDEX(Квартиры!$I$2:$I$1501,MATCH($A58*1000+1,Квартиры!$K$2:$K$1501,0))&gt;0," +У","")&amp;IF(INDEX(Квартиры!$J$2:$J$1501,MATCH($A58*1000+1,Квартиры!$K$2:$K$1501,0))&gt;0," +Г",""),"-"))</f>
        <v/>
      </c>
      <c r="D58">
        <f>IF($A58="","",IFERROR(IF(Настройки!$B$4="да",INDEX(Квартиры!$D$2:$D$1501,MATCH($A58*1000+2,Квартиры!$K$2:$K$1501,0))&amp;" / ","")&amp;INDEX(Квартиры!$H$2:$H$1501,MATCH($A58*1000+2,Квартиры!$K$2:$K$1501,0))&amp;" СУ"&amp;IF(INDEX(Квартиры!$I$2:$I$1501,MATCH($A58*1000+2,Квартиры!$K$2:$K$1501,0))&gt;0," +У","")&amp;IF(INDEX(Квартиры!$J$2:$J$1501,MATCH($A58*1000+2,Квартиры!$K$2:$K$1501,0))&gt;0," +Г",""),"-"))</f>
        <v/>
      </c>
      <c r="E58">
        <f>IF($A58="","",IFERROR(IF(Настройки!$B$4="да",INDEX(Квартиры!$D$2:$D$1501,MATCH($A58*1000+3,Квартиры!$K$2:$K$1501,0))&amp;" / ","")&amp;INDEX(Квартиры!$H$2:$H$1501,MATCH($A58*1000+3,Квартиры!$K$2:$K$1501,0))&amp;" СУ"&amp;IF(INDEX(Квартиры!$I$2:$I$1501,MATCH($A58*1000+3,Квартиры!$K$2:$K$1501,0))&gt;0," +У","")&amp;IF(INDEX(Квартиры!$J$2:$J$1501,MATCH($A58*1000+3,Квартиры!$K$2:$K$1501,0))&gt;0," +Г",""),"-"))</f>
        <v/>
      </c>
      <c r="F58">
        <f>IF($A58="","",IFERROR(IF(Настройки!$B$4="да",INDEX(Квартиры!$D$2:$D$1501,MATCH($A58*1000+4,Квартиры!$K$2:$K$1501,0))&amp;" / ","")&amp;INDEX(Квартиры!$H$2:$H$1501,MATCH($A58*1000+4,Квартиры!$K$2:$K$1501,0))&amp;" СУ"&amp;IF(INDEX(Квартиры!$I$2:$I$1501,MATCH($A58*1000+4,Квартиры!$K$2:$K$1501,0))&gt;0," +У","")&amp;IF(INDEX(Квартиры!$J$2:$J$1501,MATCH($A58*1000+4,Квартиры!$K$2:$K$1501,0))&gt;0," +Г",""),"-"))</f>
        <v/>
      </c>
      <c r="G58">
        <f>IF($A58="","",IFERROR(IF(Настройки!$B$4="да",INDEX(Квартиры!$D$2:$D$1501,MATCH($A58*1000+5,Квартиры!$K$2:$K$1501,0))&amp;" / ","")&amp;INDEX(Квартиры!$H$2:$H$1501,MATCH($A58*1000+5,Квартиры!$K$2:$K$1501,0))&amp;" СУ"&amp;IF(INDEX(Квартиры!$I$2:$I$1501,MATCH($A58*1000+5,Квартиры!$K$2:$K$1501,0))&gt;0," +У","")&amp;IF(INDEX(Квартиры!$J$2:$J$1501,MATCH($A58*1000+5,Квартиры!$K$2:$K$1501,0))&gt;0," +Г",""),"-"))</f>
        <v/>
      </c>
      <c r="H58">
        <f>IF($A58="","",IFERROR(IF(Настройки!$B$4="да",INDEX(Квартиры!$D$2:$D$1501,MATCH($A58*1000+6,Квартиры!$K$2:$K$1501,0))&amp;" / ","")&amp;INDEX(Квартиры!$H$2:$H$1501,MATCH($A58*1000+6,Квартиры!$K$2:$K$1501,0))&amp;" СУ"&amp;IF(INDEX(Квартиры!$I$2:$I$1501,MATCH($A58*1000+6,Квартиры!$K$2:$K$1501,0))&gt;0," +У","")&amp;IF(INDEX(Квартиры!$J$2:$J$1501,MATCH($A58*1000+6,Квартиры!$K$2:$K$1501,0))&gt;0," +Г",""),"-"))</f>
        <v/>
      </c>
      <c r="I58">
        <f>IF($A58="","",IFERROR(IF(Настройки!$B$4="да",INDEX(Квартиры!$D$2:$D$1501,MATCH($A58*1000+7,Квартиры!$K$2:$K$1501,0))&amp;" / ","")&amp;INDEX(Квартиры!$H$2:$H$1501,MATCH($A58*1000+7,Квартиры!$K$2:$K$1501,0))&amp;" СУ"&amp;IF(INDEX(Квартиры!$I$2:$I$1501,MATCH($A58*1000+7,Квартиры!$K$2:$K$1501,0))&gt;0," +У","")&amp;IF(INDEX(Квартиры!$J$2:$J$1501,MATCH($A58*1000+7,Квартиры!$K$2:$K$1501,0))&gt;0," +Г",""),"-"))</f>
        <v/>
      </c>
      <c r="J58">
        <f>IF($A58="","",IFERROR(IF(Настройки!$B$4="да",INDEX(Квартиры!$D$2:$D$1501,MATCH($A58*1000+8,Квартиры!$K$2:$K$1501,0))&amp;" / ","")&amp;INDEX(Квартиры!$H$2:$H$1501,MATCH($A58*1000+8,Квартиры!$K$2:$K$1501,0))&amp;" СУ"&amp;IF(INDEX(Квартиры!$I$2:$I$1501,MATCH($A58*1000+8,Квартиры!$K$2:$K$1501,0))&gt;0," +У","")&amp;IF(INDEX(Квартиры!$J$2:$J$1501,MATCH($A58*1000+8,Квартиры!$K$2:$K$1501,0))&gt;0," +Г",""),"-"))</f>
        <v/>
      </c>
      <c r="K58">
        <f>IF($A58="","",IFERROR(IF(Настройки!$B$4="да",INDEX(Квартиры!$D$2:$D$1501,MATCH($A58*1000+9,Квартиры!$K$2:$K$1501,0))&amp;" / ","")&amp;INDEX(Квартиры!$H$2:$H$1501,MATCH($A58*1000+9,Квартиры!$K$2:$K$1501,0))&amp;" СУ"&amp;IF(INDEX(Квартиры!$I$2:$I$1501,MATCH($A58*1000+9,Квартиры!$K$2:$K$1501,0))&gt;0," +У","")&amp;IF(INDEX(Квартиры!$J$2:$J$1501,MATCH($A58*1000+9,Квартиры!$K$2:$K$1501,0))&gt;0," +Г",""),"-"))</f>
        <v/>
      </c>
      <c r="L58">
        <f>IF($A58="","",IFERROR(IF(Настройки!$B$4="да",INDEX(Квартиры!$D$2:$D$1501,MATCH($A58*1000+10,Квартиры!$K$2:$K$1501,0))&amp;" / ","")&amp;INDEX(Квартиры!$H$2:$H$1501,MATCH($A58*1000+10,Квартиры!$K$2:$K$1501,0))&amp;" СУ"&amp;IF(INDEX(Квартиры!$I$2:$I$1501,MATCH($A58*1000+10,Квартиры!$K$2:$K$1501,0))&gt;0," +У","")&amp;IF(INDEX(Квартиры!$J$2:$J$1501,MATCH($A58*1000+10,Квартиры!$K$2:$K$1501,0))&gt;0," +Г",""),"-"))</f>
        <v/>
      </c>
      <c r="M58">
        <f>IF($A58="","",IFERROR(IF(Настройки!$B$4="да",INDEX(Квартиры!$D$2:$D$1501,MATCH($A58*1000+11,Квартиры!$K$2:$K$1501,0))&amp;" / ","")&amp;INDEX(Квартиры!$H$2:$H$1501,MATCH($A58*1000+11,Квартиры!$K$2:$K$1501,0))&amp;" СУ"&amp;IF(INDEX(Квартиры!$I$2:$I$1501,MATCH($A58*1000+11,Квартиры!$K$2:$K$1501,0))&gt;0," +У","")&amp;IF(INDEX(Квартиры!$J$2:$J$1501,MATCH($A58*1000+11,Квартиры!$K$2:$K$1501,0))&gt;0," +Г",""),"-"))</f>
        <v/>
      </c>
      <c r="N58">
        <f>IF($A58="","",IFERROR(IF(Настройки!$B$4="да",INDEX(Квартиры!$D$2:$D$1501,MATCH($A58*1000+12,Квартиры!$K$2:$K$1501,0))&amp;" / ","")&amp;INDEX(Квартиры!$H$2:$H$1501,MATCH($A58*1000+12,Квартиры!$K$2:$K$1501,0))&amp;" СУ"&amp;IF(INDEX(Квартиры!$I$2:$I$1501,MATCH($A58*1000+12,Квартиры!$K$2:$K$1501,0))&gt;0," +У","")&amp;IF(INDEX(Квартиры!$J$2:$J$1501,MATCH($A58*1000+12,Квартиры!$K$2:$K$1501,0))&gt;0," +Г",""),"-"))</f>
        <v/>
      </c>
      <c r="O58">
        <f>IF($A58="","",IFERROR(IF(Настройки!$B$4="да",INDEX(Квартиры!$D$2:$D$1501,MATCH($A58*1000+13,Квартиры!$K$2:$K$1501,0))&amp;" / ","")&amp;INDEX(Квартиры!$H$2:$H$1501,MATCH($A58*1000+13,Квартиры!$K$2:$K$1501,0))&amp;" СУ"&amp;IF(INDEX(Квартиры!$I$2:$I$1501,MATCH($A58*1000+13,Квартиры!$K$2:$K$1501,0))&gt;0," +У","")&amp;IF(INDEX(Квартиры!$J$2:$J$1501,MATCH($A58*1000+13,Квартиры!$K$2:$K$1501,0))&gt;0," +Г",""),"-"))</f>
        <v/>
      </c>
      <c r="P58">
        <f>IF($A58="","",IFERROR(IF(Настройки!$B$4="да",INDEX(Квартиры!$D$2:$D$1501,MATCH($A58*1000+14,Квартиры!$K$2:$K$1501,0))&amp;" / ","")&amp;INDEX(Квартиры!$H$2:$H$1501,MATCH($A58*1000+14,Квартиры!$K$2:$K$1501,0))&amp;" СУ"&amp;IF(INDEX(Квартиры!$I$2:$I$1501,MATCH($A58*1000+14,Квартиры!$K$2:$K$1501,0))&gt;0," +У","")&amp;IF(INDEX(Квартиры!$J$2:$J$1501,MATCH($A58*1000+14,Квартиры!$K$2:$K$1501,0))&gt;0," +Г",""),"-"))</f>
        <v/>
      </c>
      <c r="Q58">
        <f>IF($A58="","",IFERROR(IF(Настройки!$B$4="да",INDEX(Квартиры!$D$2:$D$1501,MATCH($A58*1000+15,Квартиры!$K$2:$K$1501,0))&amp;" / ","")&amp;INDEX(Квартиры!$H$2:$H$1501,MATCH($A58*1000+15,Квартиры!$K$2:$K$1501,0))&amp;" СУ"&amp;IF(INDEX(Квартиры!$I$2:$I$1501,MATCH($A58*1000+15,Квартиры!$K$2:$K$1501,0))&gt;0," +У","")&amp;IF(INDEX(Квартиры!$J$2:$J$1501,MATCH($A58*1000+15,Квартиры!$K$2:$K$1501,0))&gt;0," +Г",""),"-"))</f>
        <v/>
      </c>
      <c r="R58">
        <f>IF(A58="","",C58&amp;"|"&amp;D58&amp;"|"&amp;E58&amp;"|"&amp;F58&amp;"|"&amp;G58&amp;"|"&amp;H58&amp;"|"&amp;I58&amp;"|"&amp;J58&amp;"|"&amp;K58&amp;"|"&amp;L58&amp;"|"&amp;M58&amp;"|"&amp;N58&amp;"|"&amp;O58&amp;"|"&amp;P58&amp;"|"&amp;Q58)</f>
        <v/>
      </c>
      <c r="S58">
        <f>IF(A58="","",IFERROR(LOOKUP(2,1/(B$2:B57=B58),S$2:S57)&amp;", ","")&amp;A58)</f>
        <v/>
      </c>
      <c r="U58">
        <f>IF(56&gt;MAX(B$3:B$82),"",56)</f>
        <v/>
      </c>
      <c r="V58">
        <f>IF(U58="","",LOOKUP(2,1/(B$3:B$82=U58),S$3:S$82))</f>
        <v/>
      </c>
      <c r="W58">
        <f>IF(U58="","",COUNTIF(B$3:B$82,U58))</f>
        <v/>
      </c>
    </row>
    <row r="59">
      <c r="A59">
        <f>IFERROR(IF(A58="","",SMALL(Квартиры!$B$2:$B$1501,COUNTIF(Квартиры!$B$2:$B$1501,"&lt;="&amp;A58)+1)),"")</f>
        <v/>
      </c>
      <c r="B59">
        <f>IF(A59="","",IF(COUNTIF(R$2:R58,R59)=0,MAX(B$2:B58)+1,INDEX(B$2:B58,MATCH(R59,R$2:R58,0))))</f>
        <v/>
      </c>
      <c r="C59">
        <f>IF($A59="","",IFERROR(IF(Настройки!$B$4="да",INDEX(Квартиры!$D$2:$D$1501,MATCH($A59*1000+1,Квартиры!$K$2:$K$1501,0))&amp;" / ","")&amp;INDEX(Квартиры!$H$2:$H$1501,MATCH($A59*1000+1,Квартиры!$K$2:$K$1501,0))&amp;" СУ"&amp;IF(INDEX(Квартиры!$I$2:$I$1501,MATCH($A59*1000+1,Квартиры!$K$2:$K$1501,0))&gt;0," +У","")&amp;IF(INDEX(Квартиры!$J$2:$J$1501,MATCH($A59*1000+1,Квартиры!$K$2:$K$1501,0))&gt;0," +Г",""),"-"))</f>
        <v/>
      </c>
      <c r="D59">
        <f>IF($A59="","",IFERROR(IF(Настройки!$B$4="да",INDEX(Квартиры!$D$2:$D$1501,MATCH($A59*1000+2,Квартиры!$K$2:$K$1501,0))&amp;" / ","")&amp;INDEX(Квартиры!$H$2:$H$1501,MATCH($A59*1000+2,Квартиры!$K$2:$K$1501,0))&amp;" СУ"&amp;IF(INDEX(Квартиры!$I$2:$I$1501,MATCH($A59*1000+2,Квартиры!$K$2:$K$1501,0))&gt;0," +У","")&amp;IF(INDEX(Квартиры!$J$2:$J$1501,MATCH($A59*1000+2,Квартиры!$K$2:$K$1501,0))&gt;0," +Г",""),"-"))</f>
        <v/>
      </c>
      <c r="E59">
        <f>IF($A59="","",IFERROR(IF(Настройки!$B$4="да",INDEX(Квартиры!$D$2:$D$1501,MATCH($A59*1000+3,Квартиры!$K$2:$K$1501,0))&amp;" / ","")&amp;INDEX(Квартиры!$H$2:$H$1501,MATCH($A59*1000+3,Квартиры!$K$2:$K$1501,0))&amp;" СУ"&amp;IF(INDEX(Квартиры!$I$2:$I$1501,MATCH($A59*1000+3,Квартиры!$K$2:$K$1501,0))&gt;0," +У","")&amp;IF(INDEX(Квартиры!$J$2:$J$1501,MATCH($A59*1000+3,Квартиры!$K$2:$K$1501,0))&gt;0," +Г",""),"-"))</f>
        <v/>
      </c>
      <c r="F59">
        <f>IF($A59="","",IFERROR(IF(Настройки!$B$4="да",INDEX(Квартиры!$D$2:$D$1501,MATCH($A59*1000+4,Квартиры!$K$2:$K$1501,0))&amp;" / ","")&amp;INDEX(Квартиры!$H$2:$H$1501,MATCH($A59*1000+4,Квартиры!$K$2:$K$1501,0))&amp;" СУ"&amp;IF(INDEX(Квартиры!$I$2:$I$1501,MATCH($A59*1000+4,Квартиры!$K$2:$K$1501,0))&gt;0," +У","")&amp;IF(INDEX(Квартиры!$J$2:$J$1501,MATCH($A59*1000+4,Квартиры!$K$2:$K$1501,0))&gt;0," +Г",""),"-"))</f>
        <v/>
      </c>
      <c r="G59">
        <f>IF($A59="","",IFERROR(IF(Настройки!$B$4="да",INDEX(Квартиры!$D$2:$D$1501,MATCH($A59*1000+5,Квартиры!$K$2:$K$1501,0))&amp;" / ","")&amp;INDEX(Квартиры!$H$2:$H$1501,MATCH($A59*1000+5,Квартиры!$K$2:$K$1501,0))&amp;" СУ"&amp;IF(INDEX(Квартиры!$I$2:$I$1501,MATCH($A59*1000+5,Квартиры!$K$2:$K$1501,0))&gt;0," +У","")&amp;IF(INDEX(Квартиры!$J$2:$J$1501,MATCH($A59*1000+5,Квартиры!$K$2:$K$1501,0))&gt;0," +Г",""),"-"))</f>
        <v/>
      </c>
      <c r="H59">
        <f>IF($A59="","",IFERROR(IF(Настройки!$B$4="да",INDEX(Квартиры!$D$2:$D$1501,MATCH($A59*1000+6,Квартиры!$K$2:$K$1501,0))&amp;" / ","")&amp;INDEX(Квартиры!$H$2:$H$1501,MATCH($A59*1000+6,Квартиры!$K$2:$K$1501,0))&amp;" СУ"&amp;IF(INDEX(Квартиры!$I$2:$I$1501,MATCH($A59*1000+6,Квартиры!$K$2:$K$1501,0))&gt;0," +У","")&amp;IF(INDEX(Квартиры!$J$2:$J$1501,MATCH($A59*1000+6,Квартиры!$K$2:$K$1501,0))&gt;0," +Г",""),"-"))</f>
        <v/>
      </c>
      <c r="I59">
        <f>IF($A59="","",IFERROR(IF(Настройки!$B$4="да",INDEX(Квартиры!$D$2:$D$1501,MATCH($A59*1000+7,Квартиры!$K$2:$K$1501,0))&amp;" / ","")&amp;INDEX(Квартиры!$H$2:$H$1501,MATCH($A59*1000+7,Квартиры!$K$2:$K$1501,0))&amp;" СУ"&amp;IF(INDEX(Квартиры!$I$2:$I$1501,MATCH($A59*1000+7,Квартиры!$K$2:$K$1501,0))&gt;0," +У","")&amp;IF(INDEX(Квартиры!$J$2:$J$1501,MATCH($A59*1000+7,Квартиры!$K$2:$K$1501,0))&gt;0," +Г",""),"-"))</f>
        <v/>
      </c>
      <c r="J59">
        <f>IF($A59="","",IFERROR(IF(Настройки!$B$4="да",INDEX(Квартиры!$D$2:$D$1501,MATCH($A59*1000+8,Квартиры!$K$2:$K$1501,0))&amp;" / ","")&amp;INDEX(Квартиры!$H$2:$H$1501,MATCH($A59*1000+8,Квартиры!$K$2:$K$1501,0))&amp;" СУ"&amp;IF(INDEX(Квартиры!$I$2:$I$1501,MATCH($A59*1000+8,Квартиры!$K$2:$K$1501,0))&gt;0," +У","")&amp;IF(INDEX(Квартиры!$J$2:$J$1501,MATCH($A59*1000+8,Квартиры!$K$2:$K$1501,0))&gt;0," +Г",""),"-"))</f>
        <v/>
      </c>
      <c r="K59">
        <f>IF($A59="","",IFERROR(IF(Настройки!$B$4="да",INDEX(Квартиры!$D$2:$D$1501,MATCH($A59*1000+9,Квартиры!$K$2:$K$1501,0))&amp;" / ","")&amp;INDEX(Квартиры!$H$2:$H$1501,MATCH($A59*1000+9,Квартиры!$K$2:$K$1501,0))&amp;" СУ"&amp;IF(INDEX(Квартиры!$I$2:$I$1501,MATCH($A59*1000+9,Квартиры!$K$2:$K$1501,0))&gt;0," +У","")&amp;IF(INDEX(Квартиры!$J$2:$J$1501,MATCH($A59*1000+9,Квартиры!$K$2:$K$1501,0))&gt;0," +Г",""),"-"))</f>
        <v/>
      </c>
      <c r="L59">
        <f>IF($A59="","",IFERROR(IF(Настройки!$B$4="да",INDEX(Квартиры!$D$2:$D$1501,MATCH($A59*1000+10,Квартиры!$K$2:$K$1501,0))&amp;" / ","")&amp;INDEX(Квартиры!$H$2:$H$1501,MATCH($A59*1000+10,Квартиры!$K$2:$K$1501,0))&amp;" СУ"&amp;IF(INDEX(Квартиры!$I$2:$I$1501,MATCH($A59*1000+10,Квартиры!$K$2:$K$1501,0))&gt;0," +У","")&amp;IF(INDEX(Квартиры!$J$2:$J$1501,MATCH($A59*1000+10,Квартиры!$K$2:$K$1501,0))&gt;0," +Г",""),"-"))</f>
        <v/>
      </c>
      <c r="M59">
        <f>IF($A59="","",IFERROR(IF(Настройки!$B$4="да",INDEX(Квартиры!$D$2:$D$1501,MATCH($A59*1000+11,Квартиры!$K$2:$K$1501,0))&amp;" / ","")&amp;INDEX(Квартиры!$H$2:$H$1501,MATCH($A59*1000+11,Квартиры!$K$2:$K$1501,0))&amp;" СУ"&amp;IF(INDEX(Квартиры!$I$2:$I$1501,MATCH($A59*1000+11,Квартиры!$K$2:$K$1501,0))&gt;0," +У","")&amp;IF(INDEX(Квартиры!$J$2:$J$1501,MATCH($A59*1000+11,Квартиры!$K$2:$K$1501,0))&gt;0," +Г",""),"-"))</f>
        <v/>
      </c>
      <c r="N59">
        <f>IF($A59="","",IFERROR(IF(Настройки!$B$4="да",INDEX(Квартиры!$D$2:$D$1501,MATCH($A59*1000+12,Квартиры!$K$2:$K$1501,0))&amp;" / ","")&amp;INDEX(Квартиры!$H$2:$H$1501,MATCH($A59*1000+12,Квартиры!$K$2:$K$1501,0))&amp;" СУ"&amp;IF(INDEX(Квартиры!$I$2:$I$1501,MATCH($A59*1000+12,Квартиры!$K$2:$K$1501,0))&gt;0," +У","")&amp;IF(INDEX(Квартиры!$J$2:$J$1501,MATCH($A59*1000+12,Квартиры!$K$2:$K$1501,0))&gt;0," +Г",""),"-"))</f>
        <v/>
      </c>
      <c r="O59">
        <f>IF($A59="","",IFERROR(IF(Настройки!$B$4="да",INDEX(Квартиры!$D$2:$D$1501,MATCH($A59*1000+13,Квартиры!$K$2:$K$1501,0))&amp;" / ","")&amp;INDEX(Квартиры!$H$2:$H$1501,MATCH($A59*1000+13,Квартиры!$K$2:$K$1501,0))&amp;" СУ"&amp;IF(INDEX(Квартиры!$I$2:$I$1501,MATCH($A59*1000+13,Квартиры!$K$2:$K$1501,0))&gt;0," +У","")&amp;IF(INDEX(Квартиры!$J$2:$J$1501,MATCH($A59*1000+13,Квартиры!$K$2:$K$1501,0))&gt;0," +Г",""),"-"))</f>
        <v/>
      </c>
      <c r="P59">
        <f>IF($A59="","",IFERROR(IF(Настройки!$B$4="да",INDEX(Квартиры!$D$2:$D$1501,MATCH($A59*1000+14,Квартиры!$K$2:$K$1501,0))&amp;" / ","")&amp;INDEX(Квартиры!$H$2:$H$1501,MATCH($A59*1000+14,Квартиры!$K$2:$K$1501,0))&amp;" СУ"&amp;IF(INDEX(Квартиры!$I$2:$I$1501,MATCH($A59*1000+14,Квартиры!$K$2:$K$1501,0))&gt;0," +У","")&amp;IF(INDEX(Квартиры!$J$2:$J$1501,MATCH($A59*1000+14,Квартиры!$K$2:$K$1501,0))&gt;0," +Г",""),"-"))</f>
        <v/>
      </c>
      <c r="Q59">
        <f>IF($A59="","",IFERROR(IF(Настройки!$B$4="да",INDEX(Квартиры!$D$2:$D$1501,MATCH($A59*1000+15,Квартиры!$K$2:$K$1501,0))&amp;" / ","")&amp;INDEX(Квартиры!$H$2:$H$1501,MATCH($A59*1000+15,Квартиры!$K$2:$K$1501,0))&amp;" СУ"&amp;IF(INDEX(Квартиры!$I$2:$I$1501,MATCH($A59*1000+15,Квартиры!$K$2:$K$1501,0))&gt;0," +У","")&amp;IF(INDEX(Квартиры!$J$2:$J$1501,MATCH($A59*1000+15,Квартиры!$K$2:$K$1501,0))&gt;0," +Г",""),"-"))</f>
        <v/>
      </c>
      <c r="R59">
        <f>IF(A59="","",C59&amp;"|"&amp;D59&amp;"|"&amp;E59&amp;"|"&amp;F59&amp;"|"&amp;G59&amp;"|"&amp;H59&amp;"|"&amp;I59&amp;"|"&amp;J59&amp;"|"&amp;K59&amp;"|"&amp;L59&amp;"|"&amp;M59&amp;"|"&amp;N59&amp;"|"&amp;O59&amp;"|"&amp;P59&amp;"|"&amp;Q59)</f>
        <v/>
      </c>
      <c r="S59">
        <f>IF(A59="","",IFERROR(LOOKUP(2,1/(B$2:B58=B59),S$2:S58)&amp;", ","")&amp;A59)</f>
        <v/>
      </c>
      <c r="U59">
        <f>IF(57&gt;MAX(B$3:B$82),"",57)</f>
        <v/>
      </c>
      <c r="V59">
        <f>IF(U59="","",LOOKUP(2,1/(B$3:B$82=U59),S$3:S$82))</f>
        <v/>
      </c>
      <c r="W59">
        <f>IF(U59="","",COUNTIF(B$3:B$82,U59))</f>
        <v/>
      </c>
    </row>
    <row r="60">
      <c r="A60">
        <f>IFERROR(IF(A59="","",SMALL(Квартиры!$B$2:$B$1501,COUNTIF(Квартиры!$B$2:$B$1501,"&lt;="&amp;A59)+1)),"")</f>
        <v/>
      </c>
      <c r="B60">
        <f>IF(A60="","",IF(COUNTIF(R$2:R59,R60)=0,MAX(B$2:B59)+1,INDEX(B$2:B59,MATCH(R60,R$2:R59,0))))</f>
        <v/>
      </c>
      <c r="C60">
        <f>IF($A60="","",IFERROR(IF(Настройки!$B$4="да",INDEX(Квартиры!$D$2:$D$1501,MATCH($A60*1000+1,Квартиры!$K$2:$K$1501,0))&amp;" / ","")&amp;INDEX(Квартиры!$H$2:$H$1501,MATCH($A60*1000+1,Квартиры!$K$2:$K$1501,0))&amp;" СУ"&amp;IF(INDEX(Квартиры!$I$2:$I$1501,MATCH($A60*1000+1,Квартиры!$K$2:$K$1501,0))&gt;0," +У","")&amp;IF(INDEX(Квартиры!$J$2:$J$1501,MATCH($A60*1000+1,Квартиры!$K$2:$K$1501,0))&gt;0," +Г",""),"-"))</f>
        <v/>
      </c>
      <c r="D60">
        <f>IF($A60="","",IFERROR(IF(Настройки!$B$4="да",INDEX(Квартиры!$D$2:$D$1501,MATCH($A60*1000+2,Квартиры!$K$2:$K$1501,0))&amp;" / ","")&amp;INDEX(Квартиры!$H$2:$H$1501,MATCH($A60*1000+2,Квартиры!$K$2:$K$1501,0))&amp;" СУ"&amp;IF(INDEX(Квартиры!$I$2:$I$1501,MATCH($A60*1000+2,Квартиры!$K$2:$K$1501,0))&gt;0," +У","")&amp;IF(INDEX(Квартиры!$J$2:$J$1501,MATCH($A60*1000+2,Квартиры!$K$2:$K$1501,0))&gt;0," +Г",""),"-"))</f>
        <v/>
      </c>
      <c r="E60">
        <f>IF($A60="","",IFERROR(IF(Настройки!$B$4="да",INDEX(Квартиры!$D$2:$D$1501,MATCH($A60*1000+3,Квартиры!$K$2:$K$1501,0))&amp;" / ","")&amp;INDEX(Квартиры!$H$2:$H$1501,MATCH($A60*1000+3,Квартиры!$K$2:$K$1501,0))&amp;" СУ"&amp;IF(INDEX(Квартиры!$I$2:$I$1501,MATCH($A60*1000+3,Квартиры!$K$2:$K$1501,0))&gt;0," +У","")&amp;IF(INDEX(Квартиры!$J$2:$J$1501,MATCH($A60*1000+3,Квартиры!$K$2:$K$1501,0))&gt;0," +Г",""),"-"))</f>
        <v/>
      </c>
      <c r="F60">
        <f>IF($A60="","",IFERROR(IF(Настройки!$B$4="да",INDEX(Квартиры!$D$2:$D$1501,MATCH($A60*1000+4,Квартиры!$K$2:$K$1501,0))&amp;" / ","")&amp;INDEX(Квартиры!$H$2:$H$1501,MATCH($A60*1000+4,Квартиры!$K$2:$K$1501,0))&amp;" СУ"&amp;IF(INDEX(Квартиры!$I$2:$I$1501,MATCH($A60*1000+4,Квартиры!$K$2:$K$1501,0))&gt;0," +У","")&amp;IF(INDEX(Квартиры!$J$2:$J$1501,MATCH($A60*1000+4,Квартиры!$K$2:$K$1501,0))&gt;0," +Г",""),"-"))</f>
        <v/>
      </c>
      <c r="G60">
        <f>IF($A60="","",IFERROR(IF(Настройки!$B$4="да",INDEX(Квартиры!$D$2:$D$1501,MATCH($A60*1000+5,Квартиры!$K$2:$K$1501,0))&amp;" / ","")&amp;INDEX(Квартиры!$H$2:$H$1501,MATCH($A60*1000+5,Квартиры!$K$2:$K$1501,0))&amp;" СУ"&amp;IF(INDEX(Квартиры!$I$2:$I$1501,MATCH($A60*1000+5,Квартиры!$K$2:$K$1501,0))&gt;0," +У","")&amp;IF(INDEX(Квартиры!$J$2:$J$1501,MATCH($A60*1000+5,Квартиры!$K$2:$K$1501,0))&gt;0," +Г",""),"-"))</f>
        <v/>
      </c>
      <c r="H60">
        <f>IF($A60="","",IFERROR(IF(Настройки!$B$4="да",INDEX(Квартиры!$D$2:$D$1501,MATCH($A60*1000+6,Квартиры!$K$2:$K$1501,0))&amp;" / ","")&amp;INDEX(Квартиры!$H$2:$H$1501,MATCH($A60*1000+6,Квартиры!$K$2:$K$1501,0))&amp;" СУ"&amp;IF(INDEX(Квартиры!$I$2:$I$1501,MATCH($A60*1000+6,Квартиры!$K$2:$K$1501,0))&gt;0," +У","")&amp;IF(INDEX(Квартиры!$J$2:$J$1501,MATCH($A60*1000+6,Квартиры!$K$2:$K$1501,0))&gt;0," +Г",""),"-"))</f>
        <v/>
      </c>
      <c r="I60">
        <f>IF($A60="","",IFERROR(IF(Настройки!$B$4="да",INDEX(Квартиры!$D$2:$D$1501,MATCH($A60*1000+7,Квартиры!$K$2:$K$1501,0))&amp;" / ","")&amp;INDEX(Квартиры!$H$2:$H$1501,MATCH($A60*1000+7,Квартиры!$K$2:$K$1501,0))&amp;" СУ"&amp;IF(INDEX(Квартиры!$I$2:$I$1501,MATCH($A60*1000+7,Квартиры!$K$2:$K$1501,0))&gt;0," +У","")&amp;IF(INDEX(Квартиры!$J$2:$J$1501,MATCH($A60*1000+7,Квартиры!$K$2:$K$1501,0))&gt;0," +Г",""),"-"))</f>
        <v/>
      </c>
      <c r="J60">
        <f>IF($A60="","",IFERROR(IF(Настройки!$B$4="да",INDEX(Квартиры!$D$2:$D$1501,MATCH($A60*1000+8,Квартиры!$K$2:$K$1501,0))&amp;" / ","")&amp;INDEX(Квартиры!$H$2:$H$1501,MATCH($A60*1000+8,Квартиры!$K$2:$K$1501,0))&amp;" СУ"&amp;IF(INDEX(Квартиры!$I$2:$I$1501,MATCH($A60*1000+8,Квартиры!$K$2:$K$1501,0))&gt;0," +У","")&amp;IF(INDEX(Квартиры!$J$2:$J$1501,MATCH($A60*1000+8,Квартиры!$K$2:$K$1501,0))&gt;0," +Г",""),"-"))</f>
        <v/>
      </c>
      <c r="K60">
        <f>IF($A60="","",IFERROR(IF(Настройки!$B$4="да",INDEX(Квартиры!$D$2:$D$1501,MATCH($A60*1000+9,Квартиры!$K$2:$K$1501,0))&amp;" / ","")&amp;INDEX(Квартиры!$H$2:$H$1501,MATCH($A60*1000+9,Квартиры!$K$2:$K$1501,0))&amp;" СУ"&amp;IF(INDEX(Квартиры!$I$2:$I$1501,MATCH($A60*1000+9,Квартиры!$K$2:$K$1501,0))&gt;0," +У","")&amp;IF(INDEX(Квартиры!$J$2:$J$1501,MATCH($A60*1000+9,Квартиры!$K$2:$K$1501,0))&gt;0," +Г",""),"-"))</f>
        <v/>
      </c>
      <c r="L60">
        <f>IF($A60="","",IFERROR(IF(Настройки!$B$4="да",INDEX(Квартиры!$D$2:$D$1501,MATCH($A60*1000+10,Квартиры!$K$2:$K$1501,0))&amp;" / ","")&amp;INDEX(Квартиры!$H$2:$H$1501,MATCH($A60*1000+10,Квартиры!$K$2:$K$1501,0))&amp;" СУ"&amp;IF(INDEX(Квартиры!$I$2:$I$1501,MATCH($A60*1000+10,Квартиры!$K$2:$K$1501,0))&gt;0," +У","")&amp;IF(INDEX(Квартиры!$J$2:$J$1501,MATCH($A60*1000+10,Квартиры!$K$2:$K$1501,0))&gt;0," +Г",""),"-"))</f>
        <v/>
      </c>
      <c r="M60">
        <f>IF($A60="","",IFERROR(IF(Настройки!$B$4="да",INDEX(Квартиры!$D$2:$D$1501,MATCH($A60*1000+11,Квартиры!$K$2:$K$1501,0))&amp;" / ","")&amp;INDEX(Квартиры!$H$2:$H$1501,MATCH($A60*1000+11,Квартиры!$K$2:$K$1501,0))&amp;" СУ"&amp;IF(INDEX(Квартиры!$I$2:$I$1501,MATCH($A60*1000+11,Квартиры!$K$2:$K$1501,0))&gt;0," +У","")&amp;IF(INDEX(Квартиры!$J$2:$J$1501,MATCH($A60*1000+11,Квартиры!$K$2:$K$1501,0))&gt;0," +Г",""),"-"))</f>
        <v/>
      </c>
      <c r="N60">
        <f>IF($A60="","",IFERROR(IF(Настройки!$B$4="да",INDEX(Квартиры!$D$2:$D$1501,MATCH($A60*1000+12,Квартиры!$K$2:$K$1501,0))&amp;" / ","")&amp;INDEX(Квартиры!$H$2:$H$1501,MATCH($A60*1000+12,Квартиры!$K$2:$K$1501,0))&amp;" СУ"&amp;IF(INDEX(Квартиры!$I$2:$I$1501,MATCH($A60*1000+12,Квартиры!$K$2:$K$1501,0))&gt;0," +У","")&amp;IF(INDEX(Квартиры!$J$2:$J$1501,MATCH($A60*1000+12,Квартиры!$K$2:$K$1501,0))&gt;0," +Г",""),"-"))</f>
        <v/>
      </c>
      <c r="O60">
        <f>IF($A60="","",IFERROR(IF(Настройки!$B$4="да",INDEX(Квартиры!$D$2:$D$1501,MATCH($A60*1000+13,Квартиры!$K$2:$K$1501,0))&amp;" / ","")&amp;INDEX(Квартиры!$H$2:$H$1501,MATCH($A60*1000+13,Квартиры!$K$2:$K$1501,0))&amp;" СУ"&amp;IF(INDEX(Квартиры!$I$2:$I$1501,MATCH($A60*1000+13,Квартиры!$K$2:$K$1501,0))&gt;0," +У","")&amp;IF(INDEX(Квартиры!$J$2:$J$1501,MATCH($A60*1000+13,Квартиры!$K$2:$K$1501,0))&gt;0," +Г",""),"-"))</f>
        <v/>
      </c>
      <c r="P60">
        <f>IF($A60="","",IFERROR(IF(Настройки!$B$4="да",INDEX(Квартиры!$D$2:$D$1501,MATCH($A60*1000+14,Квартиры!$K$2:$K$1501,0))&amp;" / ","")&amp;INDEX(Квартиры!$H$2:$H$1501,MATCH($A60*1000+14,Квартиры!$K$2:$K$1501,0))&amp;" СУ"&amp;IF(INDEX(Квартиры!$I$2:$I$1501,MATCH($A60*1000+14,Квартиры!$K$2:$K$1501,0))&gt;0," +У","")&amp;IF(INDEX(Квартиры!$J$2:$J$1501,MATCH($A60*1000+14,Квартиры!$K$2:$K$1501,0))&gt;0," +Г",""),"-"))</f>
        <v/>
      </c>
      <c r="Q60">
        <f>IF($A60="","",IFERROR(IF(Настройки!$B$4="да",INDEX(Квартиры!$D$2:$D$1501,MATCH($A60*1000+15,Квартиры!$K$2:$K$1501,0))&amp;" / ","")&amp;INDEX(Квартиры!$H$2:$H$1501,MATCH($A60*1000+15,Квартиры!$K$2:$K$1501,0))&amp;" СУ"&amp;IF(INDEX(Квартиры!$I$2:$I$1501,MATCH($A60*1000+15,Квартиры!$K$2:$K$1501,0))&gt;0," +У","")&amp;IF(INDEX(Квартиры!$J$2:$J$1501,MATCH($A60*1000+15,Квартиры!$K$2:$K$1501,0))&gt;0," +Г",""),"-"))</f>
        <v/>
      </c>
      <c r="R60">
        <f>IF(A60="","",C60&amp;"|"&amp;D60&amp;"|"&amp;E60&amp;"|"&amp;F60&amp;"|"&amp;G60&amp;"|"&amp;H60&amp;"|"&amp;I60&amp;"|"&amp;J60&amp;"|"&amp;K60&amp;"|"&amp;L60&amp;"|"&amp;M60&amp;"|"&amp;N60&amp;"|"&amp;O60&amp;"|"&amp;P60&amp;"|"&amp;Q60)</f>
        <v/>
      </c>
      <c r="S60">
        <f>IF(A60="","",IFERROR(LOOKUP(2,1/(B$2:B59=B60),S$2:S59)&amp;", ","")&amp;A60)</f>
        <v/>
      </c>
      <c r="U60">
        <f>IF(58&gt;MAX(B$3:B$82),"",58)</f>
        <v/>
      </c>
      <c r="V60">
        <f>IF(U60="","",LOOKUP(2,1/(B$3:B$82=U60),S$3:S$82))</f>
        <v/>
      </c>
      <c r="W60">
        <f>IF(U60="","",COUNTIF(B$3:B$82,U60))</f>
        <v/>
      </c>
    </row>
    <row r="61">
      <c r="A61">
        <f>IFERROR(IF(A60="","",SMALL(Квартиры!$B$2:$B$1501,COUNTIF(Квартиры!$B$2:$B$1501,"&lt;="&amp;A60)+1)),"")</f>
        <v/>
      </c>
      <c r="B61">
        <f>IF(A61="","",IF(COUNTIF(R$2:R60,R61)=0,MAX(B$2:B60)+1,INDEX(B$2:B60,MATCH(R61,R$2:R60,0))))</f>
        <v/>
      </c>
      <c r="C61">
        <f>IF($A61="","",IFERROR(IF(Настройки!$B$4="да",INDEX(Квартиры!$D$2:$D$1501,MATCH($A61*1000+1,Квартиры!$K$2:$K$1501,0))&amp;" / ","")&amp;INDEX(Квартиры!$H$2:$H$1501,MATCH($A61*1000+1,Квартиры!$K$2:$K$1501,0))&amp;" СУ"&amp;IF(INDEX(Квартиры!$I$2:$I$1501,MATCH($A61*1000+1,Квартиры!$K$2:$K$1501,0))&gt;0," +У","")&amp;IF(INDEX(Квартиры!$J$2:$J$1501,MATCH($A61*1000+1,Квартиры!$K$2:$K$1501,0))&gt;0," +Г",""),"-"))</f>
        <v/>
      </c>
      <c r="D61">
        <f>IF($A61="","",IFERROR(IF(Настройки!$B$4="да",INDEX(Квартиры!$D$2:$D$1501,MATCH($A61*1000+2,Квартиры!$K$2:$K$1501,0))&amp;" / ","")&amp;INDEX(Квартиры!$H$2:$H$1501,MATCH($A61*1000+2,Квартиры!$K$2:$K$1501,0))&amp;" СУ"&amp;IF(INDEX(Квартиры!$I$2:$I$1501,MATCH($A61*1000+2,Квартиры!$K$2:$K$1501,0))&gt;0," +У","")&amp;IF(INDEX(Квартиры!$J$2:$J$1501,MATCH($A61*1000+2,Квартиры!$K$2:$K$1501,0))&gt;0," +Г",""),"-"))</f>
        <v/>
      </c>
      <c r="E61">
        <f>IF($A61="","",IFERROR(IF(Настройки!$B$4="да",INDEX(Квартиры!$D$2:$D$1501,MATCH($A61*1000+3,Квартиры!$K$2:$K$1501,0))&amp;" / ","")&amp;INDEX(Квартиры!$H$2:$H$1501,MATCH($A61*1000+3,Квартиры!$K$2:$K$1501,0))&amp;" СУ"&amp;IF(INDEX(Квартиры!$I$2:$I$1501,MATCH($A61*1000+3,Квартиры!$K$2:$K$1501,0))&gt;0," +У","")&amp;IF(INDEX(Квартиры!$J$2:$J$1501,MATCH($A61*1000+3,Квартиры!$K$2:$K$1501,0))&gt;0," +Г",""),"-"))</f>
        <v/>
      </c>
      <c r="F61">
        <f>IF($A61="","",IFERROR(IF(Настройки!$B$4="да",INDEX(Квартиры!$D$2:$D$1501,MATCH($A61*1000+4,Квартиры!$K$2:$K$1501,0))&amp;" / ","")&amp;INDEX(Квартиры!$H$2:$H$1501,MATCH($A61*1000+4,Квартиры!$K$2:$K$1501,0))&amp;" СУ"&amp;IF(INDEX(Квартиры!$I$2:$I$1501,MATCH($A61*1000+4,Квартиры!$K$2:$K$1501,0))&gt;0," +У","")&amp;IF(INDEX(Квартиры!$J$2:$J$1501,MATCH($A61*1000+4,Квартиры!$K$2:$K$1501,0))&gt;0," +Г",""),"-"))</f>
        <v/>
      </c>
      <c r="G61">
        <f>IF($A61="","",IFERROR(IF(Настройки!$B$4="да",INDEX(Квартиры!$D$2:$D$1501,MATCH($A61*1000+5,Квартиры!$K$2:$K$1501,0))&amp;" / ","")&amp;INDEX(Квартиры!$H$2:$H$1501,MATCH($A61*1000+5,Квартиры!$K$2:$K$1501,0))&amp;" СУ"&amp;IF(INDEX(Квартиры!$I$2:$I$1501,MATCH($A61*1000+5,Квартиры!$K$2:$K$1501,0))&gt;0," +У","")&amp;IF(INDEX(Квартиры!$J$2:$J$1501,MATCH($A61*1000+5,Квартиры!$K$2:$K$1501,0))&gt;0," +Г",""),"-"))</f>
        <v/>
      </c>
      <c r="H61">
        <f>IF($A61="","",IFERROR(IF(Настройки!$B$4="да",INDEX(Квартиры!$D$2:$D$1501,MATCH($A61*1000+6,Квартиры!$K$2:$K$1501,0))&amp;" / ","")&amp;INDEX(Квартиры!$H$2:$H$1501,MATCH($A61*1000+6,Квартиры!$K$2:$K$1501,0))&amp;" СУ"&amp;IF(INDEX(Квартиры!$I$2:$I$1501,MATCH($A61*1000+6,Квартиры!$K$2:$K$1501,0))&gt;0," +У","")&amp;IF(INDEX(Квартиры!$J$2:$J$1501,MATCH($A61*1000+6,Квартиры!$K$2:$K$1501,0))&gt;0," +Г",""),"-"))</f>
        <v/>
      </c>
      <c r="I61">
        <f>IF($A61="","",IFERROR(IF(Настройки!$B$4="да",INDEX(Квартиры!$D$2:$D$1501,MATCH($A61*1000+7,Квартиры!$K$2:$K$1501,0))&amp;" / ","")&amp;INDEX(Квартиры!$H$2:$H$1501,MATCH($A61*1000+7,Квартиры!$K$2:$K$1501,0))&amp;" СУ"&amp;IF(INDEX(Квартиры!$I$2:$I$1501,MATCH($A61*1000+7,Квартиры!$K$2:$K$1501,0))&gt;0," +У","")&amp;IF(INDEX(Квартиры!$J$2:$J$1501,MATCH($A61*1000+7,Квартиры!$K$2:$K$1501,0))&gt;0," +Г",""),"-"))</f>
        <v/>
      </c>
      <c r="J61">
        <f>IF($A61="","",IFERROR(IF(Настройки!$B$4="да",INDEX(Квартиры!$D$2:$D$1501,MATCH($A61*1000+8,Квартиры!$K$2:$K$1501,0))&amp;" / ","")&amp;INDEX(Квартиры!$H$2:$H$1501,MATCH($A61*1000+8,Квартиры!$K$2:$K$1501,0))&amp;" СУ"&amp;IF(INDEX(Квартиры!$I$2:$I$1501,MATCH($A61*1000+8,Квартиры!$K$2:$K$1501,0))&gt;0," +У","")&amp;IF(INDEX(Квартиры!$J$2:$J$1501,MATCH($A61*1000+8,Квартиры!$K$2:$K$1501,0))&gt;0," +Г",""),"-"))</f>
        <v/>
      </c>
      <c r="K61">
        <f>IF($A61="","",IFERROR(IF(Настройки!$B$4="да",INDEX(Квартиры!$D$2:$D$1501,MATCH($A61*1000+9,Квартиры!$K$2:$K$1501,0))&amp;" / ","")&amp;INDEX(Квартиры!$H$2:$H$1501,MATCH($A61*1000+9,Квартиры!$K$2:$K$1501,0))&amp;" СУ"&amp;IF(INDEX(Квартиры!$I$2:$I$1501,MATCH($A61*1000+9,Квартиры!$K$2:$K$1501,0))&gt;0," +У","")&amp;IF(INDEX(Квартиры!$J$2:$J$1501,MATCH($A61*1000+9,Квартиры!$K$2:$K$1501,0))&gt;0," +Г",""),"-"))</f>
        <v/>
      </c>
      <c r="L61">
        <f>IF($A61="","",IFERROR(IF(Настройки!$B$4="да",INDEX(Квартиры!$D$2:$D$1501,MATCH($A61*1000+10,Квартиры!$K$2:$K$1501,0))&amp;" / ","")&amp;INDEX(Квартиры!$H$2:$H$1501,MATCH($A61*1000+10,Квартиры!$K$2:$K$1501,0))&amp;" СУ"&amp;IF(INDEX(Квартиры!$I$2:$I$1501,MATCH($A61*1000+10,Квартиры!$K$2:$K$1501,0))&gt;0," +У","")&amp;IF(INDEX(Квартиры!$J$2:$J$1501,MATCH($A61*1000+10,Квартиры!$K$2:$K$1501,0))&gt;0," +Г",""),"-"))</f>
        <v/>
      </c>
      <c r="M61">
        <f>IF($A61="","",IFERROR(IF(Настройки!$B$4="да",INDEX(Квартиры!$D$2:$D$1501,MATCH($A61*1000+11,Квартиры!$K$2:$K$1501,0))&amp;" / ","")&amp;INDEX(Квартиры!$H$2:$H$1501,MATCH($A61*1000+11,Квартиры!$K$2:$K$1501,0))&amp;" СУ"&amp;IF(INDEX(Квартиры!$I$2:$I$1501,MATCH($A61*1000+11,Квартиры!$K$2:$K$1501,0))&gt;0," +У","")&amp;IF(INDEX(Квартиры!$J$2:$J$1501,MATCH($A61*1000+11,Квартиры!$K$2:$K$1501,0))&gt;0," +Г",""),"-"))</f>
        <v/>
      </c>
      <c r="N61">
        <f>IF($A61="","",IFERROR(IF(Настройки!$B$4="да",INDEX(Квартиры!$D$2:$D$1501,MATCH($A61*1000+12,Квартиры!$K$2:$K$1501,0))&amp;" / ","")&amp;INDEX(Квартиры!$H$2:$H$1501,MATCH($A61*1000+12,Квартиры!$K$2:$K$1501,0))&amp;" СУ"&amp;IF(INDEX(Квартиры!$I$2:$I$1501,MATCH($A61*1000+12,Квартиры!$K$2:$K$1501,0))&gt;0," +У","")&amp;IF(INDEX(Квартиры!$J$2:$J$1501,MATCH($A61*1000+12,Квартиры!$K$2:$K$1501,0))&gt;0," +Г",""),"-"))</f>
        <v/>
      </c>
      <c r="O61">
        <f>IF($A61="","",IFERROR(IF(Настройки!$B$4="да",INDEX(Квартиры!$D$2:$D$1501,MATCH($A61*1000+13,Квартиры!$K$2:$K$1501,0))&amp;" / ","")&amp;INDEX(Квартиры!$H$2:$H$1501,MATCH($A61*1000+13,Квартиры!$K$2:$K$1501,0))&amp;" СУ"&amp;IF(INDEX(Квартиры!$I$2:$I$1501,MATCH($A61*1000+13,Квартиры!$K$2:$K$1501,0))&gt;0," +У","")&amp;IF(INDEX(Квартиры!$J$2:$J$1501,MATCH($A61*1000+13,Квартиры!$K$2:$K$1501,0))&gt;0," +Г",""),"-"))</f>
        <v/>
      </c>
      <c r="P61">
        <f>IF($A61="","",IFERROR(IF(Настройки!$B$4="да",INDEX(Квартиры!$D$2:$D$1501,MATCH($A61*1000+14,Квартиры!$K$2:$K$1501,0))&amp;" / ","")&amp;INDEX(Квартиры!$H$2:$H$1501,MATCH($A61*1000+14,Квартиры!$K$2:$K$1501,0))&amp;" СУ"&amp;IF(INDEX(Квартиры!$I$2:$I$1501,MATCH($A61*1000+14,Квартиры!$K$2:$K$1501,0))&gt;0," +У","")&amp;IF(INDEX(Квартиры!$J$2:$J$1501,MATCH($A61*1000+14,Квартиры!$K$2:$K$1501,0))&gt;0," +Г",""),"-"))</f>
        <v/>
      </c>
      <c r="Q61">
        <f>IF($A61="","",IFERROR(IF(Настройки!$B$4="да",INDEX(Квартиры!$D$2:$D$1501,MATCH($A61*1000+15,Квартиры!$K$2:$K$1501,0))&amp;" / ","")&amp;INDEX(Квартиры!$H$2:$H$1501,MATCH($A61*1000+15,Квартиры!$K$2:$K$1501,0))&amp;" СУ"&amp;IF(INDEX(Квартиры!$I$2:$I$1501,MATCH($A61*1000+15,Квартиры!$K$2:$K$1501,0))&gt;0," +У","")&amp;IF(INDEX(Квартиры!$J$2:$J$1501,MATCH($A61*1000+15,Квартиры!$K$2:$K$1501,0))&gt;0," +Г",""),"-"))</f>
        <v/>
      </c>
      <c r="R61">
        <f>IF(A61="","",C61&amp;"|"&amp;D61&amp;"|"&amp;E61&amp;"|"&amp;F61&amp;"|"&amp;G61&amp;"|"&amp;H61&amp;"|"&amp;I61&amp;"|"&amp;J61&amp;"|"&amp;K61&amp;"|"&amp;L61&amp;"|"&amp;M61&amp;"|"&amp;N61&amp;"|"&amp;O61&amp;"|"&amp;P61&amp;"|"&amp;Q61)</f>
        <v/>
      </c>
      <c r="S61">
        <f>IF(A61="","",IFERROR(LOOKUP(2,1/(B$2:B60=B61),S$2:S60)&amp;", ","")&amp;A61)</f>
        <v/>
      </c>
      <c r="U61">
        <f>IF(59&gt;MAX(B$3:B$82),"",59)</f>
        <v/>
      </c>
      <c r="V61">
        <f>IF(U61="","",LOOKUP(2,1/(B$3:B$82=U61),S$3:S$82))</f>
        <v/>
      </c>
      <c r="W61">
        <f>IF(U61="","",COUNTIF(B$3:B$82,U61))</f>
        <v/>
      </c>
    </row>
    <row r="62">
      <c r="A62">
        <f>IFERROR(IF(A61="","",SMALL(Квартиры!$B$2:$B$1501,COUNTIF(Квартиры!$B$2:$B$1501,"&lt;="&amp;A61)+1)),"")</f>
        <v/>
      </c>
      <c r="B62">
        <f>IF(A62="","",IF(COUNTIF(R$2:R61,R62)=0,MAX(B$2:B61)+1,INDEX(B$2:B61,MATCH(R62,R$2:R61,0))))</f>
        <v/>
      </c>
      <c r="C62">
        <f>IF($A62="","",IFERROR(IF(Настройки!$B$4="да",INDEX(Квартиры!$D$2:$D$1501,MATCH($A62*1000+1,Квартиры!$K$2:$K$1501,0))&amp;" / ","")&amp;INDEX(Квартиры!$H$2:$H$1501,MATCH($A62*1000+1,Квартиры!$K$2:$K$1501,0))&amp;" СУ"&amp;IF(INDEX(Квартиры!$I$2:$I$1501,MATCH($A62*1000+1,Квартиры!$K$2:$K$1501,0))&gt;0," +У","")&amp;IF(INDEX(Квартиры!$J$2:$J$1501,MATCH($A62*1000+1,Квартиры!$K$2:$K$1501,0))&gt;0," +Г",""),"-"))</f>
        <v/>
      </c>
      <c r="D62">
        <f>IF($A62="","",IFERROR(IF(Настройки!$B$4="да",INDEX(Квартиры!$D$2:$D$1501,MATCH($A62*1000+2,Квартиры!$K$2:$K$1501,0))&amp;" / ","")&amp;INDEX(Квартиры!$H$2:$H$1501,MATCH($A62*1000+2,Квартиры!$K$2:$K$1501,0))&amp;" СУ"&amp;IF(INDEX(Квартиры!$I$2:$I$1501,MATCH($A62*1000+2,Квартиры!$K$2:$K$1501,0))&gt;0," +У","")&amp;IF(INDEX(Квартиры!$J$2:$J$1501,MATCH($A62*1000+2,Квартиры!$K$2:$K$1501,0))&gt;0," +Г",""),"-"))</f>
        <v/>
      </c>
      <c r="E62">
        <f>IF($A62="","",IFERROR(IF(Настройки!$B$4="да",INDEX(Квартиры!$D$2:$D$1501,MATCH($A62*1000+3,Квартиры!$K$2:$K$1501,0))&amp;" / ","")&amp;INDEX(Квартиры!$H$2:$H$1501,MATCH($A62*1000+3,Квартиры!$K$2:$K$1501,0))&amp;" СУ"&amp;IF(INDEX(Квартиры!$I$2:$I$1501,MATCH($A62*1000+3,Квартиры!$K$2:$K$1501,0))&gt;0," +У","")&amp;IF(INDEX(Квартиры!$J$2:$J$1501,MATCH($A62*1000+3,Квартиры!$K$2:$K$1501,0))&gt;0," +Г",""),"-"))</f>
        <v/>
      </c>
      <c r="F62">
        <f>IF($A62="","",IFERROR(IF(Настройки!$B$4="да",INDEX(Квартиры!$D$2:$D$1501,MATCH($A62*1000+4,Квартиры!$K$2:$K$1501,0))&amp;" / ","")&amp;INDEX(Квартиры!$H$2:$H$1501,MATCH($A62*1000+4,Квартиры!$K$2:$K$1501,0))&amp;" СУ"&amp;IF(INDEX(Квартиры!$I$2:$I$1501,MATCH($A62*1000+4,Квартиры!$K$2:$K$1501,0))&gt;0," +У","")&amp;IF(INDEX(Квартиры!$J$2:$J$1501,MATCH($A62*1000+4,Квартиры!$K$2:$K$1501,0))&gt;0," +Г",""),"-"))</f>
        <v/>
      </c>
      <c r="G62">
        <f>IF($A62="","",IFERROR(IF(Настройки!$B$4="да",INDEX(Квартиры!$D$2:$D$1501,MATCH($A62*1000+5,Квартиры!$K$2:$K$1501,0))&amp;" / ","")&amp;INDEX(Квартиры!$H$2:$H$1501,MATCH($A62*1000+5,Квартиры!$K$2:$K$1501,0))&amp;" СУ"&amp;IF(INDEX(Квартиры!$I$2:$I$1501,MATCH($A62*1000+5,Квартиры!$K$2:$K$1501,0))&gt;0," +У","")&amp;IF(INDEX(Квартиры!$J$2:$J$1501,MATCH($A62*1000+5,Квартиры!$K$2:$K$1501,0))&gt;0," +Г",""),"-"))</f>
        <v/>
      </c>
      <c r="H62">
        <f>IF($A62="","",IFERROR(IF(Настройки!$B$4="да",INDEX(Квартиры!$D$2:$D$1501,MATCH($A62*1000+6,Квартиры!$K$2:$K$1501,0))&amp;" / ","")&amp;INDEX(Квартиры!$H$2:$H$1501,MATCH($A62*1000+6,Квартиры!$K$2:$K$1501,0))&amp;" СУ"&amp;IF(INDEX(Квартиры!$I$2:$I$1501,MATCH($A62*1000+6,Квартиры!$K$2:$K$1501,0))&gt;0," +У","")&amp;IF(INDEX(Квартиры!$J$2:$J$1501,MATCH($A62*1000+6,Квартиры!$K$2:$K$1501,0))&gt;0," +Г",""),"-"))</f>
        <v/>
      </c>
      <c r="I62">
        <f>IF($A62="","",IFERROR(IF(Настройки!$B$4="да",INDEX(Квартиры!$D$2:$D$1501,MATCH($A62*1000+7,Квартиры!$K$2:$K$1501,0))&amp;" / ","")&amp;INDEX(Квартиры!$H$2:$H$1501,MATCH($A62*1000+7,Квартиры!$K$2:$K$1501,0))&amp;" СУ"&amp;IF(INDEX(Квартиры!$I$2:$I$1501,MATCH($A62*1000+7,Квартиры!$K$2:$K$1501,0))&gt;0," +У","")&amp;IF(INDEX(Квартиры!$J$2:$J$1501,MATCH($A62*1000+7,Квартиры!$K$2:$K$1501,0))&gt;0," +Г",""),"-"))</f>
        <v/>
      </c>
      <c r="J62">
        <f>IF($A62="","",IFERROR(IF(Настройки!$B$4="да",INDEX(Квартиры!$D$2:$D$1501,MATCH($A62*1000+8,Квартиры!$K$2:$K$1501,0))&amp;" / ","")&amp;INDEX(Квартиры!$H$2:$H$1501,MATCH($A62*1000+8,Квартиры!$K$2:$K$1501,0))&amp;" СУ"&amp;IF(INDEX(Квартиры!$I$2:$I$1501,MATCH($A62*1000+8,Квартиры!$K$2:$K$1501,0))&gt;0," +У","")&amp;IF(INDEX(Квартиры!$J$2:$J$1501,MATCH($A62*1000+8,Квартиры!$K$2:$K$1501,0))&gt;0," +Г",""),"-"))</f>
        <v/>
      </c>
      <c r="K62">
        <f>IF($A62="","",IFERROR(IF(Настройки!$B$4="да",INDEX(Квартиры!$D$2:$D$1501,MATCH($A62*1000+9,Квартиры!$K$2:$K$1501,0))&amp;" / ","")&amp;INDEX(Квартиры!$H$2:$H$1501,MATCH($A62*1000+9,Квартиры!$K$2:$K$1501,0))&amp;" СУ"&amp;IF(INDEX(Квартиры!$I$2:$I$1501,MATCH($A62*1000+9,Квартиры!$K$2:$K$1501,0))&gt;0," +У","")&amp;IF(INDEX(Квартиры!$J$2:$J$1501,MATCH($A62*1000+9,Квартиры!$K$2:$K$1501,0))&gt;0," +Г",""),"-"))</f>
        <v/>
      </c>
      <c r="L62">
        <f>IF($A62="","",IFERROR(IF(Настройки!$B$4="да",INDEX(Квартиры!$D$2:$D$1501,MATCH($A62*1000+10,Квартиры!$K$2:$K$1501,0))&amp;" / ","")&amp;INDEX(Квартиры!$H$2:$H$1501,MATCH($A62*1000+10,Квартиры!$K$2:$K$1501,0))&amp;" СУ"&amp;IF(INDEX(Квартиры!$I$2:$I$1501,MATCH($A62*1000+10,Квартиры!$K$2:$K$1501,0))&gt;0," +У","")&amp;IF(INDEX(Квартиры!$J$2:$J$1501,MATCH($A62*1000+10,Квартиры!$K$2:$K$1501,0))&gt;0," +Г",""),"-"))</f>
        <v/>
      </c>
      <c r="M62">
        <f>IF($A62="","",IFERROR(IF(Настройки!$B$4="да",INDEX(Квартиры!$D$2:$D$1501,MATCH($A62*1000+11,Квартиры!$K$2:$K$1501,0))&amp;" / ","")&amp;INDEX(Квартиры!$H$2:$H$1501,MATCH($A62*1000+11,Квартиры!$K$2:$K$1501,0))&amp;" СУ"&amp;IF(INDEX(Квартиры!$I$2:$I$1501,MATCH($A62*1000+11,Квартиры!$K$2:$K$1501,0))&gt;0," +У","")&amp;IF(INDEX(Квартиры!$J$2:$J$1501,MATCH($A62*1000+11,Квартиры!$K$2:$K$1501,0))&gt;0," +Г",""),"-"))</f>
        <v/>
      </c>
      <c r="N62">
        <f>IF($A62="","",IFERROR(IF(Настройки!$B$4="да",INDEX(Квартиры!$D$2:$D$1501,MATCH($A62*1000+12,Квартиры!$K$2:$K$1501,0))&amp;" / ","")&amp;INDEX(Квартиры!$H$2:$H$1501,MATCH($A62*1000+12,Квартиры!$K$2:$K$1501,0))&amp;" СУ"&amp;IF(INDEX(Квартиры!$I$2:$I$1501,MATCH($A62*1000+12,Квартиры!$K$2:$K$1501,0))&gt;0," +У","")&amp;IF(INDEX(Квартиры!$J$2:$J$1501,MATCH($A62*1000+12,Квартиры!$K$2:$K$1501,0))&gt;0," +Г",""),"-"))</f>
        <v/>
      </c>
      <c r="O62">
        <f>IF($A62="","",IFERROR(IF(Настройки!$B$4="да",INDEX(Квартиры!$D$2:$D$1501,MATCH($A62*1000+13,Квартиры!$K$2:$K$1501,0))&amp;" / ","")&amp;INDEX(Квартиры!$H$2:$H$1501,MATCH($A62*1000+13,Квартиры!$K$2:$K$1501,0))&amp;" СУ"&amp;IF(INDEX(Квартиры!$I$2:$I$1501,MATCH($A62*1000+13,Квартиры!$K$2:$K$1501,0))&gt;0," +У","")&amp;IF(INDEX(Квартиры!$J$2:$J$1501,MATCH($A62*1000+13,Квартиры!$K$2:$K$1501,0))&gt;0," +Г",""),"-"))</f>
        <v/>
      </c>
      <c r="P62">
        <f>IF($A62="","",IFERROR(IF(Настройки!$B$4="да",INDEX(Квартиры!$D$2:$D$1501,MATCH($A62*1000+14,Квартиры!$K$2:$K$1501,0))&amp;" / ","")&amp;INDEX(Квартиры!$H$2:$H$1501,MATCH($A62*1000+14,Квартиры!$K$2:$K$1501,0))&amp;" СУ"&amp;IF(INDEX(Квартиры!$I$2:$I$1501,MATCH($A62*1000+14,Квартиры!$K$2:$K$1501,0))&gt;0," +У","")&amp;IF(INDEX(Квартиры!$J$2:$J$1501,MATCH($A62*1000+14,Квартиры!$K$2:$K$1501,0))&gt;0," +Г",""),"-"))</f>
        <v/>
      </c>
      <c r="Q62">
        <f>IF($A62="","",IFERROR(IF(Настройки!$B$4="да",INDEX(Квартиры!$D$2:$D$1501,MATCH($A62*1000+15,Квартиры!$K$2:$K$1501,0))&amp;" / ","")&amp;INDEX(Квартиры!$H$2:$H$1501,MATCH($A62*1000+15,Квартиры!$K$2:$K$1501,0))&amp;" СУ"&amp;IF(INDEX(Квартиры!$I$2:$I$1501,MATCH($A62*1000+15,Квартиры!$K$2:$K$1501,0))&gt;0," +У","")&amp;IF(INDEX(Квартиры!$J$2:$J$1501,MATCH($A62*1000+15,Квартиры!$K$2:$K$1501,0))&gt;0," +Г",""),"-"))</f>
        <v/>
      </c>
      <c r="R62">
        <f>IF(A62="","",C62&amp;"|"&amp;D62&amp;"|"&amp;E62&amp;"|"&amp;F62&amp;"|"&amp;G62&amp;"|"&amp;H62&amp;"|"&amp;I62&amp;"|"&amp;J62&amp;"|"&amp;K62&amp;"|"&amp;L62&amp;"|"&amp;M62&amp;"|"&amp;N62&amp;"|"&amp;O62&amp;"|"&amp;P62&amp;"|"&amp;Q62)</f>
        <v/>
      </c>
      <c r="S62">
        <f>IF(A62="","",IFERROR(LOOKUP(2,1/(B$2:B61=B62),S$2:S61)&amp;", ","")&amp;A62)</f>
        <v/>
      </c>
      <c r="U62">
        <f>IF(60&gt;MAX(B$3:B$82),"",60)</f>
        <v/>
      </c>
      <c r="V62">
        <f>IF(U62="","",LOOKUP(2,1/(B$3:B$82=U62),S$3:S$82))</f>
        <v/>
      </c>
      <c r="W62">
        <f>IF(U62="","",COUNTIF(B$3:B$82,U62))</f>
        <v/>
      </c>
    </row>
    <row r="63">
      <c r="A63">
        <f>IFERROR(IF(A62="","",SMALL(Квартиры!$B$2:$B$1501,COUNTIF(Квартиры!$B$2:$B$1501,"&lt;="&amp;A62)+1)),"")</f>
        <v/>
      </c>
      <c r="B63">
        <f>IF(A63="","",IF(COUNTIF(R$2:R62,R63)=0,MAX(B$2:B62)+1,INDEX(B$2:B62,MATCH(R63,R$2:R62,0))))</f>
        <v/>
      </c>
      <c r="C63">
        <f>IF($A63="","",IFERROR(IF(Настройки!$B$4="да",INDEX(Квартиры!$D$2:$D$1501,MATCH($A63*1000+1,Квартиры!$K$2:$K$1501,0))&amp;" / ","")&amp;INDEX(Квартиры!$H$2:$H$1501,MATCH($A63*1000+1,Квартиры!$K$2:$K$1501,0))&amp;" СУ"&amp;IF(INDEX(Квартиры!$I$2:$I$1501,MATCH($A63*1000+1,Квартиры!$K$2:$K$1501,0))&gt;0," +У","")&amp;IF(INDEX(Квартиры!$J$2:$J$1501,MATCH($A63*1000+1,Квартиры!$K$2:$K$1501,0))&gt;0," +Г",""),"-"))</f>
        <v/>
      </c>
      <c r="D63">
        <f>IF($A63="","",IFERROR(IF(Настройки!$B$4="да",INDEX(Квартиры!$D$2:$D$1501,MATCH($A63*1000+2,Квартиры!$K$2:$K$1501,0))&amp;" / ","")&amp;INDEX(Квартиры!$H$2:$H$1501,MATCH($A63*1000+2,Квартиры!$K$2:$K$1501,0))&amp;" СУ"&amp;IF(INDEX(Квартиры!$I$2:$I$1501,MATCH($A63*1000+2,Квартиры!$K$2:$K$1501,0))&gt;0," +У","")&amp;IF(INDEX(Квартиры!$J$2:$J$1501,MATCH($A63*1000+2,Квартиры!$K$2:$K$1501,0))&gt;0," +Г",""),"-"))</f>
        <v/>
      </c>
      <c r="E63">
        <f>IF($A63="","",IFERROR(IF(Настройки!$B$4="да",INDEX(Квартиры!$D$2:$D$1501,MATCH($A63*1000+3,Квартиры!$K$2:$K$1501,0))&amp;" / ","")&amp;INDEX(Квартиры!$H$2:$H$1501,MATCH($A63*1000+3,Квартиры!$K$2:$K$1501,0))&amp;" СУ"&amp;IF(INDEX(Квартиры!$I$2:$I$1501,MATCH($A63*1000+3,Квартиры!$K$2:$K$1501,0))&gt;0," +У","")&amp;IF(INDEX(Квартиры!$J$2:$J$1501,MATCH($A63*1000+3,Квартиры!$K$2:$K$1501,0))&gt;0," +Г",""),"-"))</f>
        <v/>
      </c>
      <c r="F63">
        <f>IF($A63="","",IFERROR(IF(Настройки!$B$4="да",INDEX(Квартиры!$D$2:$D$1501,MATCH($A63*1000+4,Квартиры!$K$2:$K$1501,0))&amp;" / ","")&amp;INDEX(Квартиры!$H$2:$H$1501,MATCH($A63*1000+4,Квартиры!$K$2:$K$1501,0))&amp;" СУ"&amp;IF(INDEX(Квартиры!$I$2:$I$1501,MATCH($A63*1000+4,Квартиры!$K$2:$K$1501,0))&gt;0," +У","")&amp;IF(INDEX(Квартиры!$J$2:$J$1501,MATCH($A63*1000+4,Квартиры!$K$2:$K$1501,0))&gt;0," +Г",""),"-"))</f>
        <v/>
      </c>
      <c r="G63">
        <f>IF($A63="","",IFERROR(IF(Настройки!$B$4="да",INDEX(Квартиры!$D$2:$D$1501,MATCH($A63*1000+5,Квартиры!$K$2:$K$1501,0))&amp;" / ","")&amp;INDEX(Квартиры!$H$2:$H$1501,MATCH($A63*1000+5,Квартиры!$K$2:$K$1501,0))&amp;" СУ"&amp;IF(INDEX(Квартиры!$I$2:$I$1501,MATCH($A63*1000+5,Квартиры!$K$2:$K$1501,0))&gt;0," +У","")&amp;IF(INDEX(Квартиры!$J$2:$J$1501,MATCH($A63*1000+5,Квартиры!$K$2:$K$1501,0))&gt;0," +Г",""),"-"))</f>
        <v/>
      </c>
      <c r="H63">
        <f>IF($A63="","",IFERROR(IF(Настройки!$B$4="да",INDEX(Квартиры!$D$2:$D$1501,MATCH($A63*1000+6,Квартиры!$K$2:$K$1501,0))&amp;" / ","")&amp;INDEX(Квартиры!$H$2:$H$1501,MATCH($A63*1000+6,Квартиры!$K$2:$K$1501,0))&amp;" СУ"&amp;IF(INDEX(Квартиры!$I$2:$I$1501,MATCH($A63*1000+6,Квартиры!$K$2:$K$1501,0))&gt;0," +У","")&amp;IF(INDEX(Квартиры!$J$2:$J$1501,MATCH($A63*1000+6,Квартиры!$K$2:$K$1501,0))&gt;0," +Г",""),"-"))</f>
        <v/>
      </c>
      <c r="I63">
        <f>IF($A63="","",IFERROR(IF(Настройки!$B$4="да",INDEX(Квартиры!$D$2:$D$1501,MATCH($A63*1000+7,Квартиры!$K$2:$K$1501,0))&amp;" / ","")&amp;INDEX(Квартиры!$H$2:$H$1501,MATCH($A63*1000+7,Квартиры!$K$2:$K$1501,0))&amp;" СУ"&amp;IF(INDEX(Квартиры!$I$2:$I$1501,MATCH($A63*1000+7,Квартиры!$K$2:$K$1501,0))&gt;0," +У","")&amp;IF(INDEX(Квартиры!$J$2:$J$1501,MATCH($A63*1000+7,Квартиры!$K$2:$K$1501,0))&gt;0," +Г",""),"-"))</f>
        <v/>
      </c>
      <c r="J63">
        <f>IF($A63="","",IFERROR(IF(Настройки!$B$4="да",INDEX(Квартиры!$D$2:$D$1501,MATCH($A63*1000+8,Квартиры!$K$2:$K$1501,0))&amp;" / ","")&amp;INDEX(Квартиры!$H$2:$H$1501,MATCH($A63*1000+8,Квартиры!$K$2:$K$1501,0))&amp;" СУ"&amp;IF(INDEX(Квартиры!$I$2:$I$1501,MATCH($A63*1000+8,Квартиры!$K$2:$K$1501,0))&gt;0," +У","")&amp;IF(INDEX(Квартиры!$J$2:$J$1501,MATCH($A63*1000+8,Квартиры!$K$2:$K$1501,0))&gt;0," +Г",""),"-"))</f>
        <v/>
      </c>
      <c r="K63">
        <f>IF($A63="","",IFERROR(IF(Настройки!$B$4="да",INDEX(Квартиры!$D$2:$D$1501,MATCH($A63*1000+9,Квартиры!$K$2:$K$1501,0))&amp;" / ","")&amp;INDEX(Квартиры!$H$2:$H$1501,MATCH($A63*1000+9,Квартиры!$K$2:$K$1501,0))&amp;" СУ"&amp;IF(INDEX(Квартиры!$I$2:$I$1501,MATCH($A63*1000+9,Квартиры!$K$2:$K$1501,0))&gt;0," +У","")&amp;IF(INDEX(Квартиры!$J$2:$J$1501,MATCH($A63*1000+9,Квартиры!$K$2:$K$1501,0))&gt;0," +Г",""),"-"))</f>
        <v/>
      </c>
      <c r="L63">
        <f>IF($A63="","",IFERROR(IF(Настройки!$B$4="да",INDEX(Квартиры!$D$2:$D$1501,MATCH($A63*1000+10,Квартиры!$K$2:$K$1501,0))&amp;" / ","")&amp;INDEX(Квартиры!$H$2:$H$1501,MATCH($A63*1000+10,Квартиры!$K$2:$K$1501,0))&amp;" СУ"&amp;IF(INDEX(Квартиры!$I$2:$I$1501,MATCH($A63*1000+10,Квартиры!$K$2:$K$1501,0))&gt;0," +У","")&amp;IF(INDEX(Квартиры!$J$2:$J$1501,MATCH($A63*1000+10,Квартиры!$K$2:$K$1501,0))&gt;0," +Г",""),"-"))</f>
        <v/>
      </c>
      <c r="M63">
        <f>IF($A63="","",IFERROR(IF(Настройки!$B$4="да",INDEX(Квартиры!$D$2:$D$1501,MATCH($A63*1000+11,Квартиры!$K$2:$K$1501,0))&amp;" / ","")&amp;INDEX(Квартиры!$H$2:$H$1501,MATCH($A63*1000+11,Квартиры!$K$2:$K$1501,0))&amp;" СУ"&amp;IF(INDEX(Квартиры!$I$2:$I$1501,MATCH($A63*1000+11,Квартиры!$K$2:$K$1501,0))&gt;0," +У","")&amp;IF(INDEX(Квартиры!$J$2:$J$1501,MATCH($A63*1000+11,Квартиры!$K$2:$K$1501,0))&gt;0," +Г",""),"-"))</f>
        <v/>
      </c>
      <c r="N63">
        <f>IF($A63="","",IFERROR(IF(Настройки!$B$4="да",INDEX(Квартиры!$D$2:$D$1501,MATCH($A63*1000+12,Квартиры!$K$2:$K$1501,0))&amp;" / ","")&amp;INDEX(Квартиры!$H$2:$H$1501,MATCH($A63*1000+12,Квартиры!$K$2:$K$1501,0))&amp;" СУ"&amp;IF(INDEX(Квартиры!$I$2:$I$1501,MATCH($A63*1000+12,Квартиры!$K$2:$K$1501,0))&gt;0," +У","")&amp;IF(INDEX(Квартиры!$J$2:$J$1501,MATCH($A63*1000+12,Квартиры!$K$2:$K$1501,0))&gt;0," +Г",""),"-"))</f>
        <v/>
      </c>
      <c r="O63">
        <f>IF($A63="","",IFERROR(IF(Настройки!$B$4="да",INDEX(Квартиры!$D$2:$D$1501,MATCH($A63*1000+13,Квартиры!$K$2:$K$1501,0))&amp;" / ","")&amp;INDEX(Квартиры!$H$2:$H$1501,MATCH($A63*1000+13,Квартиры!$K$2:$K$1501,0))&amp;" СУ"&amp;IF(INDEX(Квартиры!$I$2:$I$1501,MATCH($A63*1000+13,Квартиры!$K$2:$K$1501,0))&gt;0," +У","")&amp;IF(INDEX(Квартиры!$J$2:$J$1501,MATCH($A63*1000+13,Квартиры!$K$2:$K$1501,0))&gt;0," +Г",""),"-"))</f>
        <v/>
      </c>
      <c r="P63">
        <f>IF($A63="","",IFERROR(IF(Настройки!$B$4="да",INDEX(Квартиры!$D$2:$D$1501,MATCH($A63*1000+14,Квартиры!$K$2:$K$1501,0))&amp;" / ","")&amp;INDEX(Квартиры!$H$2:$H$1501,MATCH($A63*1000+14,Квартиры!$K$2:$K$1501,0))&amp;" СУ"&amp;IF(INDEX(Квартиры!$I$2:$I$1501,MATCH($A63*1000+14,Квартиры!$K$2:$K$1501,0))&gt;0," +У","")&amp;IF(INDEX(Квартиры!$J$2:$J$1501,MATCH($A63*1000+14,Квартиры!$K$2:$K$1501,0))&gt;0," +Г",""),"-"))</f>
        <v/>
      </c>
      <c r="Q63">
        <f>IF($A63="","",IFERROR(IF(Настройки!$B$4="да",INDEX(Квартиры!$D$2:$D$1501,MATCH($A63*1000+15,Квартиры!$K$2:$K$1501,0))&amp;" / ","")&amp;INDEX(Квартиры!$H$2:$H$1501,MATCH($A63*1000+15,Квартиры!$K$2:$K$1501,0))&amp;" СУ"&amp;IF(INDEX(Квартиры!$I$2:$I$1501,MATCH($A63*1000+15,Квартиры!$K$2:$K$1501,0))&gt;0," +У","")&amp;IF(INDEX(Квартиры!$J$2:$J$1501,MATCH($A63*1000+15,Квартиры!$K$2:$K$1501,0))&gt;0," +Г",""),"-"))</f>
        <v/>
      </c>
      <c r="R63">
        <f>IF(A63="","",C63&amp;"|"&amp;D63&amp;"|"&amp;E63&amp;"|"&amp;F63&amp;"|"&amp;G63&amp;"|"&amp;H63&amp;"|"&amp;I63&amp;"|"&amp;J63&amp;"|"&amp;K63&amp;"|"&amp;L63&amp;"|"&amp;M63&amp;"|"&amp;N63&amp;"|"&amp;O63&amp;"|"&amp;P63&amp;"|"&amp;Q63)</f>
        <v/>
      </c>
      <c r="S63">
        <f>IF(A63="","",IFERROR(LOOKUP(2,1/(B$2:B62=B63),S$2:S62)&amp;", ","")&amp;A63)</f>
        <v/>
      </c>
      <c r="U63">
        <f>IF(61&gt;MAX(B$3:B$82),"",61)</f>
        <v/>
      </c>
      <c r="V63">
        <f>IF(U63="","",LOOKUP(2,1/(B$3:B$82=U63),S$3:S$82))</f>
        <v/>
      </c>
      <c r="W63">
        <f>IF(U63="","",COUNTIF(B$3:B$82,U63))</f>
        <v/>
      </c>
    </row>
    <row r="64">
      <c r="A64">
        <f>IFERROR(IF(A63="","",SMALL(Квартиры!$B$2:$B$1501,COUNTIF(Квартиры!$B$2:$B$1501,"&lt;="&amp;A63)+1)),"")</f>
        <v/>
      </c>
      <c r="B64">
        <f>IF(A64="","",IF(COUNTIF(R$2:R63,R64)=0,MAX(B$2:B63)+1,INDEX(B$2:B63,MATCH(R64,R$2:R63,0))))</f>
        <v/>
      </c>
      <c r="C64">
        <f>IF($A64="","",IFERROR(IF(Настройки!$B$4="да",INDEX(Квартиры!$D$2:$D$1501,MATCH($A64*1000+1,Квартиры!$K$2:$K$1501,0))&amp;" / ","")&amp;INDEX(Квартиры!$H$2:$H$1501,MATCH($A64*1000+1,Квартиры!$K$2:$K$1501,0))&amp;" СУ"&amp;IF(INDEX(Квартиры!$I$2:$I$1501,MATCH($A64*1000+1,Квартиры!$K$2:$K$1501,0))&gt;0," +У","")&amp;IF(INDEX(Квартиры!$J$2:$J$1501,MATCH($A64*1000+1,Квартиры!$K$2:$K$1501,0))&gt;0," +Г",""),"-"))</f>
        <v/>
      </c>
      <c r="D64">
        <f>IF($A64="","",IFERROR(IF(Настройки!$B$4="да",INDEX(Квартиры!$D$2:$D$1501,MATCH($A64*1000+2,Квартиры!$K$2:$K$1501,0))&amp;" / ","")&amp;INDEX(Квартиры!$H$2:$H$1501,MATCH($A64*1000+2,Квартиры!$K$2:$K$1501,0))&amp;" СУ"&amp;IF(INDEX(Квартиры!$I$2:$I$1501,MATCH($A64*1000+2,Квартиры!$K$2:$K$1501,0))&gt;0," +У","")&amp;IF(INDEX(Квартиры!$J$2:$J$1501,MATCH($A64*1000+2,Квартиры!$K$2:$K$1501,0))&gt;0," +Г",""),"-"))</f>
        <v/>
      </c>
      <c r="E64">
        <f>IF($A64="","",IFERROR(IF(Настройки!$B$4="да",INDEX(Квартиры!$D$2:$D$1501,MATCH($A64*1000+3,Квартиры!$K$2:$K$1501,0))&amp;" / ","")&amp;INDEX(Квартиры!$H$2:$H$1501,MATCH($A64*1000+3,Квартиры!$K$2:$K$1501,0))&amp;" СУ"&amp;IF(INDEX(Квартиры!$I$2:$I$1501,MATCH($A64*1000+3,Квартиры!$K$2:$K$1501,0))&gt;0," +У","")&amp;IF(INDEX(Квартиры!$J$2:$J$1501,MATCH($A64*1000+3,Квартиры!$K$2:$K$1501,0))&gt;0," +Г",""),"-"))</f>
        <v/>
      </c>
      <c r="F64">
        <f>IF($A64="","",IFERROR(IF(Настройки!$B$4="да",INDEX(Квартиры!$D$2:$D$1501,MATCH($A64*1000+4,Квартиры!$K$2:$K$1501,0))&amp;" / ","")&amp;INDEX(Квартиры!$H$2:$H$1501,MATCH($A64*1000+4,Квартиры!$K$2:$K$1501,0))&amp;" СУ"&amp;IF(INDEX(Квартиры!$I$2:$I$1501,MATCH($A64*1000+4,Квартиры!$K$2:$K$1501,0))&gt;0," +У","")&amp;IF(INDEX(Квартиры!$J$2:$J$1501,MATCH($A64*1000+4,Квартиры!$K$2:$K$1501,0))&gt;0," +Г",""),"-"))</f>
        <v/>
      </c>
      <c r="G64">
        <f>IF($A64="","",IFERROR(IF(Настройки!$B$4="да",INDEX(Квартиры!$D$2:$D$1501,MATCH($A64*1000+5,Квартиры!$K$2:$K$1501,0))&amp;" / ","")&amp;INDEX(Квартиры!$H$2:$H$1501,MATCH($A64*1000+5,Квартиры!$K$2:$K$1501,0))&amp;" СУ"&amp;IF(INDEX(Квартиры!$I$2:$I$1501,MATCH($A64*1000+5,Квартиры!$K$2:$K$1501,0))&gt;0," +У","")&amp;IF(INDEX(Квартиры!$J$2:$J$1501,MATCH($A64*1000+5,Квартиры!$K$2:$K$1501,0))&gt;0," +Г",""),"-"))</f>
        <v/>
      </c>
      <c r="H64">
        <f>IF($A64="","",IFERROR(IF(Настройки!$B$4="да",INDEX(Квартиры!$D$2:$D$1501,MATCH($A64*1000+6,Квартиры!$K$2:$K$1501,0))&amp;" / ","")&amp;INDEX(Квартиры!$H$2:$H$1501,MATCH($A64*1000+6,Квартиры!$K$2:$K$1501,0))&amp;" СУ"&amp;IF(INDEX(Квартиры!$I$2:$I$1501,MATCH($A64*1000+6,Квартиры!$K$2:$K$1501,0))&gt;0," +У","")&amp;IF(INDEX(Квартиры!$J$2:$J$1501,MATCH($A64*1000+6,Квартиры!$K$2:$K$1501,0))&gt;0," +Г",""),"-"))</f>
        <v/>
      </c>
      <c r="I64">
        <f>IF($A64="","",IFERROR(IF(Настройки!$B$4="да",INDEX(Квартиры!$D$2:$D$1501,MATCH($A64*1000+7,Квартиры!$K$2:$K$1501,0))&amp;" / ","")&amp;INDEX(Квартиры!$H$2:$H$1501,MATCH($A64*1000+7,Квартиры!$K$2:$K$1501,0))&amp;" СУ"&amp;IF(INDEX(Квартиры!$I$2:$I$1501,MATCH($A64*1000+7,Квартиры!$K$2:$K$1501,0))&gt;0," +У","")&amp;IF(INDEX(Квартиры!$J$2:$J$1501,MATCH($A64*1000+7,Квартиры!$K$2:$K$1501,0))&gt;0," +Г",""),"-"))</f>
        <v/>
      </c>
      <c r="J64">
        <f>IF($A64="","",IFERROR(IF(Настройки!$B$4="да",INDEX(Квартиры!$D$2:$D$1501,MATCH($A64*1000+8,Квартиры!$K$2:$K$1501,0))&amp;" / ","")&amp;INDEX(Квартиры!$H$2:$H$1501,MATCH($A64*1000+8,Квартиры!$K$2:$K$1501,0))&amp;" СУ"&amp;IF(INDEX(Квартиры!$I$2:$I$1501,MATCH($A64*1000+8,Квартиры!$K$2:$K$1501,0))&gt;0," +У","")&amp;IF(INDEX(Квартиры!$J$2:$J$1501,MATCH($A64*1000+8,Квартиры!$K$2:$K$1501,0))&gt;0," +Г",""),"-"))</f>
        <v/>
      </c>
      <c r="K64">
        <f>IF($A64="","",IFERROR(IF(Настройки!$B$4="да",INDEX(Квартиры!$D$2:$D$1501,MATCH($A64*1000+9,Квартиры!$K$2:$K$1501,0))&amp;" / ","")&amp;INDEX(Квартиры!$H$2:$H$1501,MATCH($A64*1000+9,Квартиры!$K$2:$K$1501,0))&amp;" СУ"&amp;IF(INDEX(Квартиры!$I$2:$I$1501,MATCH($A64*1000+9,Квартиры!$K$2:$K$1501,0))&gt;0," +У","")&amp;IF(INDEX(Квартиры!$J$2:$J$1501,MATCH($A64*1000+9,Квартиры!$K$2:$K$1501,0))&gt;0," +Г",""),"-"))</f>
        <v/>
      </c>
      <c r="L64">
        <f>IF($A64="","",IFERROR(IF(Настройки!$B$4="да",INDEX(Квартиры!$D$2:$D$1501,MATCH($A64*1000+10,Квартиры!$K$2:$K$1501,0))&amp;" / ","")&amp;INDEX(Квартиры!$H$2:$H$1501,MATCH($A64*1000+10,Квартиры!$K$2:$K$1501,0))&amp;" СУ"&amp;IF(INDEX(Квартиры!$I$2:$I$1501,MATCH($A64*1000+10,Квартиры!$K$2:$K$1501,0))&gt;0," +У","")&amp;IF(INDEX(Квартиры!$J$2:$J$1501,MATCH($A64*1000+10,Квартиры!$K$2:$K$1501,0))&gt;0," +Г",""),"-"))</f>
        <v/>
      </c>
      <c r="M64">
        <f>IF($A64="","",IFERROR(IF(Настройки!$B$4="да",INDEX(Квартиры!$D$2:$D$1501,MATCH($A64*1000+11,Квартиры!$K$2:$K$1501,0))&amp;" / ","")&amp;INDEX(Квартиры!$H$2:$H$1501,MATCH($A64*1000+11,Квартиры!$K$2:$K$1501,0))&amp;" СУ"&amp;IF(INDEX(Квартиры!$I$2:$I$1501,MATCH($A64*1000+11,Квартиры!$K$2:$K$1501,0))&gt;0," +У","")&amp;IF(INDEX(Квартиры!$J$2:$J$1501,MATCH($A64*1000+11,Квартиры!$K$2:$K$1501,0))&gt;0," +Г",""),"-"))</f>
        <v/>
      </c>
      <c r="N64">
        <f>IF($A64="","",IFERROR(IF(Настройки!$B$4="да",INDEX(Квартиры!$D$2:$D$1501,MATCH($A64*1000+12,Квартиры!$K$2:$K$1501,0))&amp;" / ","")&amp;INDEX(Квартиры!$H$2:$H$1501,MATCH($A64*1000+12,Квартиры!$K$2:$K$1501,0))&amp;" СУ"&amp;IF(INDEX(Квартиры!$I$2:$I$1501,MATCH($A64*1000+12,Квартиры!$K$2:$K$1501,0))&gt;0," +У","")&amp;IF(INDEX(Квартиры!$J$2:$J$1501,MATCH($A64*1000+12,Квартиры!$K$2:$K$1501,0))&gt;0," +Г",""),"-"))</f>
        <v/>
      </c>
      <c r="O64">
        <f>IF($A64="","",IFERROR(IF(Настройки!$B$4="да",INDEX(Квартиры!$D$2:$D$1501,MATCH($A64*1000+13,Квартиры!$K$2:$K$1501,0))&amp;" / ","")&amp;INDEX(Квартиры!$H$2:$H$1501,MATCH($A64*1000+13,Квартиры!$K$2:$K$1501,0))&amp;" СУ"&amp;IF(INDEX(Квартиры!$I$2:$I$1501,MATCH($A64*1000+13,Квартиры!$K$2:$K$1501,0))&gt;0," +У","")&amp;IF(INDEX(Квартиры!$J$2:$J$1501,MATCH($A64*1000+13,Квартиры!$K$2:$K$1501,0))&gt;0," +Г",""),"-"))</f>
        <v/>
      </c>
      <c r="P64">
        <f>IF($A64="","",IFERROR(IF(Настройки!$B$4="да",INDEX(Квартиры!$D$2:$D$1501,MATCH($A64*1000+14,Квартиры!$K$2:$K$1501,0))&amp;" / ","")&amp;INDEX(Квартиры!$H$2:$H$1501,MATCH($A64*1000+14,Квартиры!$K$2:$K$1501,0))&amp;" СУ"&amp;IF(INDEX(Квартиры!$I$2:$I$1501,MATCH($A64*1000+14,Квартиры!$K$2:$K$1501,0))&gt;0," +У","")&amp;IF(INDEX(Квартиры!$J$2:$J$1501,MATCH($A64*1000+14,Квартиры!$K$2:$K$1501,0))&gt;0," +Г",""),"-"))</f>
        <v/>
      </c>
      <c r="Q64">
        <f>IF($A64="","",IFERROR(IF(Настройки!$B$4="да",INDEX(Квартиры!$D$2:$D$1501,MATCH($A64*1000+15,Квартиры!$K$2:$K$1501,0))&amp;" / ","")&amp;INDEX(Квартиры!$H$2:$H$1501,MATCH($A64*1000+15,Квартиры!$K$2:$K$1501,0))&amp;" СУ"&amp;IF(INDEX(Квартиры!$I$2:$I$1501,MATCH($A64*1000+15,Квартиры!$K$2:$K$1501,0))&gt;0," +У","")&amp;IF(INDEX(Квартиры!$J$2:$J$1501,MATCH($A64*1000+15,Квартиры!$K$2:$K$1501,0))&gt;0," +Г",""),"-"))</f>
        <v/>
      </c>
      <c r="R64">
        <f>IF(A64="","",C64&amp;"|"&amp;D64&amp;"|"&amp;E64&amp;"|"&amp;F64&amp;"|"&amp;G64&amp;"|"&amp;H64&amp;"|"&amp;I64&amp;"|"&amp;J64&amp;"|"&amp;K64&amp;"|"&amp;L64&amp;"|"&amp;M64&amp;"|"&amp;N64&amp;"|"&amp;O64&amp;"|"&amp;P64&amp;"|"&amp;Q64)</f>
        <v/>
      </c>
      <c r="S64">
        <f>IF(A64="","",IFERROR(LOOKUP(2,1/(B$2:B63=B64),S$2:S63)&amp;", ","")&amp;A64)</f>
        <v/>
      </c>
      <c r="U64">
        <f>IF(62&gt;MAX(B$3:B$82),"",62)</f>
        <v/>
      </c>
      <c r="V64">
        <f>IF(U64="","",LOOKUP(2,1/(B$3:B$82=U64),S$3:S$82))</f>
        <v/>
      </c>
      <c r="W64">
        <f>IF(U64="","",COUNTIF(B$3:B$82,U64))</f>
        <v/>
      </c>
    </row>
    <row r="65">
      <c r="A65">
        <f>IFERROR(IF(A64="","",SMALL(Квартиры!$B$2:$B$1501,COUNTIF(Квартиры!$B$2:$B$1501,"&lt;="&amp;A64)+1)),"")</f>
        <v/>
      </c>
      <c r="B65">
        <f>IF(A65="","",IF(COUNTIF(R$2:R64,R65)=0,MAX(B$2:B64)+1,INDEX(B$2:B64,MATCH(R65,R$2:R64,0))))</f>
        <v/>
      </c>
      <c r="C65">
        <f>IF($A65="","",IFERROR(IF(Настройки!$B$4="да",INDEX(Квартиры!$D$2:$D$1501,MATCH($A65*1000+1,Квартиры!$K$2:$K$1501,0))&amp;" / ","")&amp;INDEX(Квартиры!$H$2:$H$1501,MATCH($A65*1000+1,Квартиры!$K$2:$K$1501,0))&amp;" СУ"&amp;IF(INDEX(Квартиры!$I$2:$I$1501,MATCH($A65*1000+1,Квартиры!$K$2:$K$1501,0))&gt;0," +У","")&amp;IF(INDEX(Квартиры!$J$2:$J$1501,MATCH($A65*1000+1,Квартиры!$K$2:$K$1501,0))&gt;0," +Г",""),"-"))</f>
        <v/>
      </c>
      <c r="D65">
        <f>IF($A65="","",IFERROR(IF(Настройки!$B$4="да",INDEX(Квартиры!$D$2:$D$1501,MATCH($A65*1000+2,Квартиры!$K$2:$K$1501,0))&amp;" / ","")&amp;INDEX(Квартиры!$H$2:$H$1501,MATCH($A65*1000+2,Квартиры!$K$2:$K$1501,0))&amp;" СУ"&amp;IF(INDEX(Квартиры!$I$2:$I$1501,MATCH($A65*1000+2,Квартиры!$K$2:$K$1501,0))&gt;0," +У","")&amp;IF(INDEX(Квартиры!$J$2:$J$1501,MATCH($A65*1000+2,Квартиры!$K$2:$K$1501,0))&gt;0," +Г",""),"-"))</f>
        <v/>
      </c>
      <c r="E65">
        <f>IF($A65="","",IFERROR(IF(Настройки!$B$4="да",INDEX(Квартиры!$D$2:$D$1501,MATCH($A65*1000+3,Квартиры!$K$2:$K$1501,0))&amp;" / ","")&amp;INDEX(Квартиры!$H$2:$H$1501,MATCH($A65*1000+3,Квартиры!$K$2:$K$1501,0))&amp;" СУ"&amp;IF(INDEX(Квартиры!$I$2:$I$1501,MATCH($A65*1000+3,Квартиры!$K$2:$K$1501,0))&gt;0," +У","")&amp;IF(INDEX(Квартиры!$J$2:$J$1501,MATCH($A65*1000+3,Квартиры!$K$2:$K$1501,0))&gt;0," +Г",""),"-"))</f>
        <v/>
      </c>
      <c r="F65">
        <f>IF($A65="","",IFERROR(IF(Настройки!$B$4="да",INDEX(Квартиры!$D$2:$D$1501,MATCH($A65*1000+4,Квартиры!$K$2:$K$1501,0))&amp;" / ","")&amp;INDEX(Квартиры!$H$2:$H$1501,MATCH($A65*1000+4,Квартиры!$K$2:$K$1501,0))&amp;" СУ"&amp;IF(INDEX(Квартиры!$I$2:$I$1501,MATCH($A65*1000+4,Квартиры!$K$2:$K$1501,0))&gt;0," +У","")&amp;IF(INDEX(Квартиры!$J$2:$J$1501,MATCH($A65*1000+4,Квартиры!$K$2:$K$1501,0))&gt;0," +Г",""),"-"))</f>
        <v/>
      </c>
      <c r="G65">
        <f>IF($A65="","",IFERROR(IF(Настройки!$B$4="да",INDEX(Квартиры!$D$2:$D$1501,MATCH($A65*1000+5,Квартиры!$K$2:$K$1501,0))&amp;" / ","")&amp;INDEX(Квартиры!$H$2:$H$1501,MATCH($A65*1000+5,Квартиры!$K$2:$K$1501,0))&amp;" СУ"&amp;IF(INDEX(Квартиры!$I$2:$I$1501,MATCH($A65*1000+5,Квартиры!$K$2:$K$1501,0))&gt;0," +У","")&amp;IF(INDEX(Квартиры!$J$2:$J$1501,MATCH($A65*1000+5,Квартиры!$K$2:$K$1501,0))&gt;0," +Г",""),"-"))</f>
        <v/>
      </c>
      <c r="H65">
        <f>IF($A65="","",IFERROR(IF(Настройки!$B$4="да",INDEX(Квартиры!$D$2:$D$1501,MATCH($A65*1000+6,Квартиры!$K$2:$K$1501,0))&amp;" / ","")&amp;INDEX(Квартиры!$H$2:$H$1501,MATCH($A65*1000+6,Квартиры!$K$2:$K$1501,0))&amp;" СУ"&amp;IF(INDEX(Квартиры!$I$2:$I$1501,MATCH($A65*1000+6,Квартиры!$K$2:$K$1501,0))&gt;0," +У","")&amp;IF(INDEX(Квартиры!$J$2:$J$1501,MATCH($A65*1000+6,Квартиры!$K$2:$K$1501,0))&gt;0," +Г",""),"-"))</f>
        <v/>
      </c>
      <c r="I65">
        <f>IF($A65="","",IFERROR(IF(Настройки!$B$4="да",INDEX(Квартиры!$D$2:$D$1501,MATCH($A65*1000+7,Квартиры!$K$2:$K$1501,0))&amp;" / ","")&amp;INDEX(Квартиры!$H$2:$H$1501,MATCH($A65*1000+7,Квартиры!$K$2:$K$1501,0))&amp;" СУ"&amp;IF(INDEX(Квартиры!$I$2:$I$1501,MATCH($A65*1000+7,Квартиры!$K$2:$K$1501,0))&gt;0," +У","")&amp;IF(INDEX(Квартиры!$J$2:$J$1501,MATCH($A65*1000+7,Квартиры!$K$2:$K$1501,0))&gt;0," +Г",""),"-"))</f>
        <v/>
      </c>
      <c r="J65">
        <f>IF($A65="","",IFERROR(IF(Настройки!$B$4="да",INDEX(Квартиры!$D$2:$D$1501,MATCH($A65*1000+8,Квартиры!$K$2:$K$1501,0))&amp;" / ","")&amp;INDEX(Квартиры!$H$2:$H$1501,MATCH($A65*1000+8,Квартиры!$K$2:$K$1501,0))&amp;" СУ"&amp;IF(INDEX(Квартиры!$I$2:$I$1501,MATCH($A65*1000+8,Квартиры!$K$2:$K$1501,0))&gt;0," +У","")&amp;IF(INDEX(Квартиры!$J$2:$J$1501,MATCH($A65*1000+8,Квартиры!$K$2:$K$1501,0))&gt;0," +Г",""),"-"))</f>
        <v/>
      </c>
      <c r="K65">
        <f>IF($A65="","",IFERROR(IF(Настройки!$B$4="да",INDEX(Квартиры!$D$2:$D$1501,MATCH($A65*1000+9,Квартиры!$K$2:$K$1501,0))&amp;" / ","")&amp;INDEX(Квартиры!$H$2:$H$1501,MATCH($A65*1000+9,Квартиры!$K$2:$K$1501,0))&amp;" СУ"&amp;IF(INDEX(Квартиры!$I$2:$I$1501,MATCH($A65*1000+9,Квартиры!$K$2:$K$1501,0))&gt;0," +У","")&amp;IF(INDEX(Квартиры!$J$2:$J$1501,MATCH($A65*1000+9,Квартиры!$K$2:$K$1501,0))&gt;0," +Г",""),"-"))</f>
        <v/>
      </c>
      <c r="L65">
        <f>IF($A65="","",IFERROR(IF(Настройки!$B$4="да",INDEX(Квартиры!$D$2:$D$1501,MATCH($A65*1000+10,Квартиры!$K$2:$K$1501,0))&amp;" / ","")&amp;INDEX(Квартиры!$H$2:$H$1501,MATCH($A65*1000+10,Квартиры!$K$2:$K$1501,0))&amp;" СУ"&amp;IF(INDEX(Квартиры!$I$2:$I$1501,MATCH($A65*1000+10,Квартиры!$K$2:$K$1501,0))&gt;0," +У","")&amp;IF(INDEX(Квартиры!$J$2:$J$1501,MATCH($A65*1000+10,Квартиры!$K$2:$K$1501,0))&gt;0," +Г",""),"-"))</f>
        <v/>
      </c>
      <c r="M65">
        <f>IF($A65="","",IFERROR(IF(Настройки!$B$4="да",INDEX(Квартиры!$D$2:$D$1501,MATCH($A65*1000+11,Квартиры!$K$2:$K$1501,0))&amp;" / ","")&amp;INDEX(Квартиры!$H$2:$H$1501,MATCH($A65*1000+11,Квартиры!$K$2:$K$1501,0))&amp;" СУ"&amp;IF(INDEX(Квартиры!$I$2:$I$1501,MATCH($A65*1000+11,Квартиры!$K$2:$K$1501,0))&gt;0," +У","")&amp;IF(INDEX(Квартиры!$J$2:$J$1501,MATCH($A65*1000+11,Квартиры!$K$2:$K$1501,0))&gt;0," +Г",""),"-"))</f>
        <v/>
      </c>
      <c r="N65">
        <f>IF($A65="","",IFERROR(IF(Настройки!$B$4="да",INDEX(Квартиры!$D$2:$D$1501,MATCH($A65*1000+12,Квартиры!$K$2:$K$1501,0))&amp;" / ","")&amp;INDEX(Квартиры!$H$2:$H$1501,MATCH($A65*1000+12,Квартиры!$K$2:$K$1501,0))&amp;" СУ"&amp;IF(INDEX(Квартиры!$I$2:$I$1501,MATCH($A65*1000+12,Квартиры!$K$2:$K$1501,0))&gt;0," +У","")&amp;IF(INDEX(Квартиры!$J$2:$J$1501,MATCH($A65*1000+12,Квартиры!$K$2:$K$1501,0))&gt;0," +Г",""),"-"))</f>
        <v/>
      </c>
      <c r="O65">
        <f>IF($A65="","",IFERROR(IF(Настройки!$B$4="да",INDEX(Квартиры!$D$2:$D$1501,MATCH($A65*1000+13,Квартиры!$K$2:$K$1501,0))&amp;" / ","")&amp;INDEX(Квартиры!$H$2:$H$1501,MATCH($A65*1000+13,Квартиры!$K$2:$K$1501,0))&amp;" СУ"&amp;IF(INDEX(Квартиры!$I$2:$I$1501,MATCH($A65*1000+13,Квартиры!$K$2:$K$1501,0))&gt;0," +У","")&amp;IF(INDEX(Квартиры!$J$2:$J$1501,MATCH($A65*1000+13,Квартиры!$K$2:$K$1501,0))&gt;0," +Г",""),"-"))</f>
        <v/>
      </c>
      <c r="P65">
        <f>IF($A65="","",IFERROR(IF(Настройки!$B$4="да",INDEX(Квартиры!$D$2:$D$1501,MATCH($A65*1000+14,Квартиры!$K$2:$K$1501,0))&amp;" / ","")&amp;INDEX(Квартиры!$H$2:$H$1501,MATCH($A65*1000+14,Квартиры!$K$2:$K$1501,0))&amp;" СУ"&amp;IF(INDEX(Квартиры!$I$2:$I$1501,MATCH($A65*1000+14,Квартиры!$K$2:$K$1501,0))&gt;0," +У","")&amp;IF(INDEX(Квартиры!$J$2:$J$1501,MATCH($A65*1000+14,Квартиры!$K$2:$K$1501,0))&gt;0," +Г",""),"-"))</f>
        <v/>
      </c>
      <c r="Q65">
        <f>IF($A65="","",IFERROR(IF(Настройки!$B$4="да",INDEX(Квартиры!$D$2:$D$1501,MATCH($A65*1000+15,Квартиры!$K$2:$K$1501,0))&amp;" / ","")&amp;INDEX(Квартиры!$H$2:$H$1501,MATCH($A65*1000+15,Квартиры!$K$2:$K$1501,0))&amp;" СУ"&amp;IF(INDEX(Квартиры!$I$2:$I$1501,MATCH($A65*1000+15,Квартиры!$K$2:$K$1501,0))&gt;0," +У","")&amp;IF(INDEX(Квартиры!$J$2:$J$1501,MATCH($A65*1000+15,Квартиры!$K$2:$K$1501,0))&gt;0," +Г",""),"-"))</f>
        <v/>
      </c>
      <c r="R65">
        <f>IF(A65="","",C65&amp;"|"&amp;D65&amp;"|"&amp;E65&amp;"|"&amp;F65&amp;"|"&amp;G65&amp;"|"&amp;H65&amp;"|"&amp;I65&amp;"|"&amp;J65&amp;"|"&amp;K65&amp;"|"&amp;L65&amp;"|"&amp;M65&amp;"|"&amp;N65&amp;"|"&amp;O65&amp;"|"&amp;P65&amp;"|"&amp;Q65)</f>
        <v/>
      </c>
      <c r="S65">
        <f>IF(A65="","",IFERROR(LOOKUP(2,1/(B$2:B64=B65),S$2:S64)&amp;", ","")&amp;A65)</f>
        <v/>
      </c>
      <c r="U65">
        <f>IF(63&gt;MAX(B$3:B$82),"",63)</f>
        <v/>
      </c>
      <c r="V65">
        <f>IF(U65="","",LOOKUP(2,1/(B$3:B$82=U65),S$3:S$82))</f>
        <v/>
      </c>
      <c r="W65">
        <f>IF(U65="","",COUNTIF(B$3:B$82,U65))</f>
        <v/>
      </c>
    </row>
    <row r="66">
      <c r="A66">
        <f>IFERROR(IF(A65="","",SMALL(Квартиры!$B$2:$B$1501,COUNTIF(Квартиры!$B$2:$B$1501,"&lt;="&amp;A65)+1)),"")</f>
        <v/>
      </c>
      <c r="B66">
        <f>IF(A66="","",IF(COUNTIF(R$2:R65,R66)=0,MAX(B$2:B65)+1,INDEX(B$2:B65,MATCH(R66,R$2:R65,0))))</f>
        <v/>
      </c>
      <c r="C66">
        <f>IF($A66="","",IFERROR(IF(Настройки!$B$4="да",INDEX(Квартиры!$D$2:$D$1501,MATCH($A66*1000+1,Квартиры!$K$2:$K$1501,0))&amp;" / ","")&amp;INDEX(Квартиры!$H$2:$H$1501,MATCH($A66*1000+1,Квартиры!$K$2:$K$1501,0))&amp;" СУ"&amp;IF(INDEX(Квартиры!$I$2:$I$1501,MATCH($A66*1000+1,Квартиры!$K$2:$K$1501,0))&gt;0," +У","")&amp;IF(INDEX(Квартиры!$J$2:$J$1501,MATCH($A66*1000+1,Квартиры!$K$2:$K$1501,0))&gt;0," +Г",""),"-"))</f>
        <v/>
      </c>
      <c r="D66">
        <f>IF($A66="","",IFERROR(IF(Настройки!$B$4="да",INDEX(Квартиры!$D$2:$D$1501,MATCH($A66*1000+2,Квартиры!$K$2:$K$1501,0))&amp;" / ","")&amp;INDEX(Квартиры!$H$2:$H$1501,MATCH($A66*1000+2,Квартиры!$K$2:$K$1501,0))&amp;" СУ"&amp;IF(INDEX(Квартиры!$I$2:$I$1501,MATCH($A66*1000+2,Квартиры!$K$2:$K$1501,0))&gt;0," +У","")&amp;IF(INDEX(Квартиры!$J$2:$J$1501,MATCH($A66*1000+2,Квартиры!$K$2:$K$1501,0))&gt;0," +Г",""),"-"))</f>
        <v/>
      </c>
      <c r="E66">
        <f>IF($A66="","",IFERROR(IF(Настройки!$B$4="да",INDEX(Квартиры!$D$2:$D$1501,MATCH($A66*1000+3,Квартиры!$K$2:$K$1501,0))&amp;" / ","")&amp;INDEX(Квартиры!$H$2:$H$1501,MATCH($A66*1000+3,Квартиры!$K$2:$K$1501,0))&amp;" СУ"&amp;IF(INDEX(Квартиры!$I$2:$I$1501,MATCH($A66*1000+3,Квартиры!$K$2:$K$1501,0))&gt;0," +У","")&amp;IF(INDEX(Квартиры!$J$2:$J$1501,MATCH($A66*1000+3,Квартиры!$K$2:$K$1501,0))&gt;0," +Г",""),"-"))</f>
        <v/>
      </c>
      <c r="F66">
        <f>IF($A66="","",IFERROR(IF(Настройки!$B$4="да",INDEX(Квартиры!$D$2:$D$1501,MATCH($A66*1000+4,Квартиры!$K$2:$K$1501,0))&amp;" / ","")&amp;INDEX(Квартиры!$H$2:$H$1501,MATCH($A66*1000+4,Квартиры!$K$2:$K$1501,0))&amp;" СУ"&amp;IF(INDEX(Квартиры!$I$2:$I$1501,MATCH($A66*1000+4,Квартиры!$K$2:$K$1501,0))&gt;0," +У","")&amp;IF(INDEX(Квартиры!$J$2:$J$1501,MATCH($A66*1000+4,Квартиры!$K$2:$K$1501,0))&gt;0," +Г",""),"-"))</f>
        <v/>
      </c>
      <c r="G66">
        <f>IF($A66="","",IFERROR(IF(Настройки!$B$4="да",INDEX(Квартиры!$D$2:$D$1501,MATCH($A66*1000+5,Квартиры!$K$2:$K$1501,0))&amp;" / ","")&amp;INDEX(Квартиры!$H$2:$H$1501,MATCH($A66*1000+5,Квартиры!$K$2:$K$1501,0))&amp;" СУ"&amp;IF(INDEX(Квартиры!$I$2:$I$1501,MATCH($A66*1000+5,Квартиры!$K$2:$K$1501,0))&gt;0," +У","")&amp;IF(INDEX(Квартиры!$J$2:$J$1501,MATCH($A66*1000+5,Квартиры!$K$2:$K$1501,0))&gt;0," +Г",""),"-"))</f>
        <v/>
      </c>
      <c r="H66">
        <f>IF($A66="","",IFERROR(IF(Настройки!$B$4="да",INDEX(Квартиры!$D$2:$D$1501,MATCH($A66*1000+6,Квартиры!$K$2:$K$1501,0))&amp;" / ","")&amp;INDEX(Квартиры!$H$2:$H$1501,MATCH($A66*1000+6,Квартиры!$K$2:$K$1501,0))&amp;" СУ"&amp;IF(INDEX(Квартиры!$I$2:$I$1501,MATCH($A66*1000+6,Квартиры!$K$2:$K$1501,0))&gt;0," +У","")&amp;IF(INDEX(Квартиры!$J$2:$J$1501,MATCH($A66*1000+6,Квартиры!$K$2:$K$1501,0))&gt;0," +Г",""),"-"))</f>
        <v/>
      </c>
      <c r="I66">
        <f>IF($A66="","",IFERROR(IF(Настройки!$B$4="да",INDEX(Квартиры!$D$2:$D$1501,MATCH($A66*1000+7,Квартиры!$K$2:$K$1501,0))&amp;" / ","")&amp;INDEX(Квартиры!$H$2:$H$1501,MATCH($A66*1000+7,Квартиры!$K$2:$K$1501,0))&amp;" СУ"&amp;IF(INDEX(Квартиры!$I$2:$I$1501,MATCH($A66*1000+7,Квартиры!$K$2:$K$1501,0))&gt;0," +У","")&amp;IF(INDEX(Квартиры!$J$2:$J$1501,MATCH($A66*1000+7,Квартиры!$K$2:$K$1501,0))&gt;0," +Г",""),"-"))</f>
        <v/>
      </c>
      <c r="J66">
        <f>IF($A66="","",IFERROR(IF(Настройки!$B$4="да",INDEX(Квартиры!$D$2:$D$1501,MATCH($A66*1000+8,Квартиры!$K$2:$K$1501,0))&amp;" / ","")&amp;INDEX(Квартиры!$H$2:$H$1501,MATCH($A66*1000+8,Квартиры!$K$2:$K$1501,0))&amp;" СУ"&amp;IF(INDEX(Квартиры!$I$2:$I$1501,MATCH($A66*1000+8,Квартиры!$K$2:$K$1501,0))&gt;0," +У","")&amp;IF(INDEX(Квартиры!$J$2:$J$1501,MATCH($A66*1000+8,Квартиры!$K$2:$K$1501,0))&gt;0," +Г",""),"-"))</f>
        <v/>
      </c>
      <c r="K66">
        <f>IF($A66="","",IFERROR(IF(Настройки!$B$4="да",INDEX(Квартиры!$D$2:$D$1501,MATCH($A66*1000+9,Квартиры!$K$2:$K$1501,0))&amp;" / ","")&amp;INDEX(Квартиры!$H$2:$H$1501,MATCH($A66*1000+9,Квартиры!$K$2:$K$1501,0))&amp;" СУ"&amp;IF(INDEX(Квартиры!$I$2:$I$1501,MATCH($A66*1000+9,Квартиры!$K$2:$K$1501,0))&gt;0," +У","")&amp;IF(INDEX(Квартиры!$J$2:$J$1501,MATCH($A66*1000+9,Квартиры!$K$2:$K$1501,0))&gt;0," +Г",""),"-"))</f>
        <v/>
      </c>
      <c r="L66">
        <f>IF($A66="","",IFERROR(IF(Настройки!$B$4="да",INDEX(Квартиры!$D$2:$D$1501,MATCH($A66*1000+10,Квартиры!$K$2:$K$1501,0))&amp;" / ","")&amp;INDEX(Квартиры!$H$2:$H$1501,MATCH($A66*1000+10,Квартиры!$K$2:$K$1501,0))&amp;" СУ"&amp;IF(INDEX(Квартиры!$I$2:$I$1501,MATCH($A66*1000+10,Квартиры!$K$2:$K$1501,0))&gt;0," +У","")&amp;IF(INDEX(Квартиры!$J$2:$J$1501,MATCH($A66*1000+10,Квартиры!$K$2:$K$1501,0))&gt;0," +Г",""),"-"))</f>
        <v/>
      </c>
      <c r="M66">
        <f>IF($A66="","",IFERROR(IF(Настройки!$B$4="да",INDEX(Квартиры!$D$2:$D$1501,MATCH($A66*1000+11,Квартиры!$K$2:$K$1501,0))&amp;" / ","")&amp;INDEX(Квартиры!$H$2:$H$1501,MATCH($A66*1000+11,Квартиры!$K$2:$K$1501,0))&amp;" СУ"&amp;IF(INDEX(Квартиры!$I$2:$I$1501,MATCH($A66*1000+11,Квартиры!$K$2:$K$1501,0))&gt;0," +У","")&amp;IF(INDEX(Квартиры!$J$2:$J$1501,MATCH($A66*1000+11,Квартиры!$K$2:$K$1501,0))&gt;0," +Г",""),"-"))</f>
        <v/>
      </c>
      <c r="N66">
        <f>IF($A66="","",IFERROR(IF(Настройки!$B$4="да",INDEX(Квартиры!$D$2:$D$1501,MATCH($A66*1000+12,Квартиры!$K$2:$K$1501,0))&amp;" / ","")&amp;INDEX(Квартиры!$H$2:$H$1501,MATCH($A66*1000+12,Квартиры!$K$2:$K$1501,0))&amp;" СУ"&amp;IF(INDEX(Квартиры!$I$2:$I$1501,MATCH($A66*1000+12,Квартиры!$K$2:$K$1501,0))&gt;0," +У","")&amp;IF(INDEX(Квартиры!$J$2:$J$1501,MATCH($A66*1000+12,Квартиры!$K$2:$K$1501,0))&gt;0," +Г",""),"-"))</f>
        <v/>
      </c>
      <c r="O66">
        <f>IF($A66="","",IFERROR(IF(Настройки!$B$4="да",INDEX(Квартиры!$D$2:$D$1501,MATCH($A66*1000+13,Квартиры!$K$2:$K$1501,0))&amp;" / ","")&amp;INDEX(Квартиры!$H$2:$H$1501,MATCH($A66*1000+13,Квартиры!$K$2:$K$1501,0))&amp;" СУ"&amp;IF(INDEX(Квартиры!$I$2:$I$1501,MATCH($A66*1000+13,Квартиры!$K$2:$K$1501,0))&gt;0," +У","")&amp;IF(INDEX(Квартиры!$J$2:$J$1501,MATCH($A66*1000+13,Квартиры!$K$2:$K$1501,0))&gt;0," +Г",""),"-"))</f>
        <v/>
      </c>
      <c r="P66">
        <f>IF($A66="","",IFERROR(IF(Настройки!$B$4="да",INDEX(Квартиры!$D$2:$D$1501,MATCH($A66*1000+14,Квартиры!$K$2:$K$1501,0))&amp;" / ","")&amp;INDEX(Квартиры!$H$2:$H$1501,MATCH($A66*1000+14,Квартиры!$K$2:$K$1501,0))&amp;" СУ"&amp;IF(INDEX(Квартиры!$I$2:$I$1501,MATCH($A66*1000+14,Квартиры!$K$2:$K$1501,0))&gt;0," +У","")&amp;IF(INDEX(Квартиры!$J$2:$J$1501,MATCH($A66*1000+14,Квартиры!$K$2:$K$1501,0))&gt;0," +Г",""),"-"))</f>
        <v/>
      </c>
      <c r="Q66">
        <f>IF($A66="","",IFERROR(IF(Настройки!$B$4="да",INDEX(Квартиры!$D$2:$D$1501,MATCH($A66*1000+15,Квартиры!$K$2:$K$1501,0))&amp;" / ","")&amp;INDEX(Квартиры!$H$2:$H$1501,MATCH($A66*1000+15,Квартиры!$K$2:$K$1501,0))&amp;" СУ"&amp;IF(INDEX(Квартиры!$I$2:$I$1501,MATCH($A66*1000+15,Квартиры!$K$2:$K$1501,0))&gt;0," +У","")&amp;IF(INDEX(Квартиры!$J$2:$J$1501,MATCH($A66*1000+15,Квартиры!$K$2:$K$1501,0))&gt;0," +Г",""),"-"))</f>
        <v/>
      </c>
      <c r="R66">
        <f>IF(A66="","",C66&amp;"|"&amp;D66&amp;"|"&amp;E66&amp;"|"&amp;F66&amp;"|"&amp;G66&amp;"|"&amp;H66&amp;"|"&amp;I66&amp;"|"&amp;J66&amp;"|"&amp;K66&amp;"|"&amp;L66&amp;"|"&amp;M66&amp;"|"&amp;N66&amp;"|"&amp;O66&amp;"|"&amp;P66&amp;"|"&amp;Q66)</f>
        <v/>
      </c>
      <c r="S66">
        <f>IF(A66="","",IFERROR(LOOKUP(2,1/(B$2:B65=B66),S$2:S65)&amp;", ","")&amp;A66)</f>
        <v/>
      </c>
      <c r="U66">
        <f>IF(64&gt;MAX(B$3:B$82),"",64)</f>
        <v/>
      </c>
      <c r="V66">
        <f>IF(U66="","",LOOKUP(2,1/(B$3:B$82=U66),S$3:S$82))</f>
        <v/>
      </c>
      <c r="W66">
        <f>IF(U66="","",COUNTIF(B$3:B$82,U66))</f>
        <v/>
      </c>
    </row>
    <row r="67">
      <c r="A67">
        <f>IFERROR(IF(A66="","",SMALL(Квартиры!$B$2:$B$1501,COUNTIF(Квартиры!$B$2:$B$1501,"&lt;="&amp;A66)+1)),"")</f>
        <v/>
      </c>
      <c r="B67">
        <f>IF(A67="","",IF(COUNTIF(R$2:R66,R67)=0,MAX(B$2:B66)+1,INDEX(B$2:B66,MATCH(R67,R$2:R66,0))))</f>
        <v/>
      </c>
      <c r="C67">
        <f>IF($A67="","",IFERROR(IF(Настройки!$B$4="да",INDEX(Квартиры!$D$2:$D$1501,MATCH($A67*1000+1,Квартиры!$K$2:$K$1501,0))&amp;" / ","")&amp;INDEX(Квартиры!$H$2:$H$1501,MATCH($A67*1000+1,Квартиры!$K$2:$K$1501,0))&amp;" СУ"&amp;IF(INDEX(Квартиры!$I$2:$I$1501,MATCH($A67*1000+1,Квартиры!$K$2:$K$1501,0))&gt;0," +У","")&amp;IF(INDEX(Квартиры!$J$2:$J$1501,MATCH($A67*1000+1,Квартиры!$K$2:$K$1501,0))&gt;0," +Г",""),"-"))</f>
        <v/>
      </c>
      <c r="D67">
        <f>IF($A67="","",IFERROR(IF(Настройки!$B$4="да",INDEX(Квартиры!$D$2:$D$1501,MATCH($A67*1000+2,Квартиры!$K$2:$K$1501,0))&amp;" / ","")&amp;INDEX(Квартиры!$H$2:$H$1501,MATCH($A67*1000+2,Квартиры!$K$2:$K$1501,0))&amp;" СУ"&amp;IF(INDEX(Квартиры!$I$2:$I$1501,MATCH($A67*1000+2,Квартиры!$K$2:$K$1501,0))&gt;0," +У","")&amp;IF(INDEX(Квартиры!$J$2:$J$1501,MATCH($A67*1000+2,Квартиры!$K$2:$K$1501,0))&gt;0," +Г",""),"-"))</f>
        <v/>
      </c>
      <c r="E67">
        <f>IF($A67="","",IFERROR(IF(Настройки!$B$4="да",INDEX(Квартиры!$D$2:$D$1501,MATCH($A67*1000+3,Квартиры!$K$2:$K$1501,0))&amp;" / ","")&amp;INDEX(Квартиры!$H$2:$H$1501,MATCH($A67*1000+3,Квартиры!$K$2:$K$1501,0))&amp;" СУ"&amp;IF(INDEX(Квартиры!$I$2:$I$1501,MATCH($A67*1000+3,Квартиры!$K$2:$K$1501,0))&gt;0," +У","")&amp;IF(INDEX(Квартиры!$J$2:$J$1501,MATCH($A67*1000+3,Квартиры!$K$2:$K$1501,0))&gt;0," +Г",""),"-"))</f>
        <v/>
      </c>
      <c r="F67">
        <f>IF($A67="","",IFERROR(IF(Настройки!$B$4="да",INDEX(Квартиры!$D$2:$D$1501,MATCH($A67*1000+4,Квартиры!$K$2:$K$1501,0))&amp;" / ","")&amp;INDEX(Квартиры!$H$2:$H$1501,MATCH($A67*1000+4,Квартиры!$K$2:$K$1501,0))&amp;" СУ"&amp;IF(INDEX(Квартиры!$I$2:$I$1501,MATCH($A67*1000+4,Квартиры!$K$2:$K$1501,0))&gt;0," +У","")&amp;IF(INDEX(Квартиры!$J$2:$J$1501,MATCH($A67*1000+4,Квартиры!$K$2:$K$1501,0))&gt;0," +Г",""),"-"))</f>
        <v/>
      </c>
      <c r="G67">
        <f>IF($A67="","",IFERROR(IF(Настройки!$B$4="да",INDEX(Квартиры!$D$2:$D$1501,MATCH($A67*1000+5,Квартиры!$K$2:$K$1501,0))&amp;" / ","")&amp;INDEX(Квартиры!$H$2:$H$1501,MATCH($A67*1000+5,Квартиры!$K$2:$K$1501,0))&amp;" СУ"&amp;IF(INDEX(Квартиры!$I$2:$I$1501,MATCH($A67*1000+5,Квартиры!$K$2:$K$1501,0))&gt;0," +У","")&amp;IF(INDEX(Квартиры!$J$2:$J$1501,MATCH($A67*1000+5,Квартиры!$K$2:$K$1501,0))&gt;0," +Г",""),"-"))</f>
        <v/>
      </c>
      <c r="H67">
        <f>IF($A67="","",IFERROR(IF(Настройки!$B$4="да",INDEX(Квартиры!$D$2:$D$1501,MATCH($A67*1000+6,Квартиры!$K$2:$K$1501,0))&amp;" / ","")&amp;INDEX(Квартиры!$H$2:$H$1501,MATCH($A67*1000+6,Квартиры!$K$2:$K$1501,0))&amp;" СУ"&amp;IF(INDEX(Квартиры!$I$2:$I$1501,MATCH($A67*1000+6,Квартиры!$K$2:$K$1501,0))&gt;0," +У","")&amp;IF(INDEX(Квартиры!$J$2:$J$1501,MATCH($A67*1000+6,Квартиры!$K$2:$K$1501,0))&gt;0," +Г",""),"-"))</f>
        <v/>
      </c>
      <c r="I67">
        <f>IF($A67="","",IFERROR(IF(Настройки!$B$4="да",INDEX(Квартиры!$D$2:$D$1501,MATCH($A67*1000+7,Квартиры!$K$2:$K$1501,0))&amp;" / ","")&amp;INDEX(Квартиры!$H$2:$H$1501,MATCH($A67*1000+7,Квартиры!$K$2:$K$1501,0))&amp;" СУ"&amp;IF(INDEX(Квартиры!$I$2:$I$1501,MATCH($A67*1000+7,Квартиры!$K$2:$K$1501,0))&gt;0," +У","")&amp;IF(INDEX(Квартиры!$J$2:$J$1501,MATCH($A67*1000+7,Квартиры!$K$2:$K$1501,0))&gt;0," +Г",""),"-"))</f>
        <v/>
      </c>
      <c r="J67">
        <f>IF($A67="","",IFERROR(IF(Настройки!$B$4="да",INDEX(Квартиры!$D$2:$D$1501,MATCH($A67*1000+8,Квартиры!$K$2:$K$1501,0))&amp;" / ","")&amp;INDEX(Квартиры!$H$2:$H$1501,MATCH($A67*1000+8,Квартиры!$K$2:$K$1501,0))&amp;" СУ"&amp;IF(INDEX(Квартиры!$I$2:$I$1501,MATCH($A67*1000+8,Квартиры!$K$2:$K$1501,0))&gt;0," +У","")&amp;IF(INDEX(Квартиры!$J$2:$J$1501,MATCH($A67*1000+8,Квартиры!$K$2:$K$1501,0))&gt;0," +Г",""),"-"))</f>
        <v/>
      </c>
      <c r="K67">
        <f>IF($A67="","",IFERROR(IF(Настройки!$B$4="да",INDEX(Квартиры!$D$2:$D$1501,MATCH($A67*1000+9,Квартиры!$K$2:$K$1501,0))&amp;" / ","")&amp;INDEX(Квартиры!$H$2:$H$1501,MATCH($A67*1000+9,Квартиры!$K$2:$K$1501,0))&amp;" СУ"&amp;IF(INDEX(Квартиры!$I$2:$I$1501,MATCH($A67*1000+9,Квартиры!$K$2:$K$1501,0))&gt;0," +У","")&amp;IF(INDEX(Квартиры!$J$2:$J$1501,MATCH($A67*1000+9,Квартиры!$K$2:$K$1501,0))&gt;0," +Г",""),"-"))</f>
        <v/>
      </c>
      <c r="L67">
        <f>IF($A67="","",IFERROR(IF(Настройки!$B$4="да",INDEX(Квартиры!$D$2:$D$1501,MATCH($A67*1000+10,Квартиры!$K$2:$K$1501,0))&amp;" / ","")&amp;INDEX(Квартиры!$H$2:$H$1501,MATCH($A67*1000+10,Квартиры!$K$2:$K$1501,0))&amp;" СУ"&amp;IF(INDEX(Квартиры!$I$2:$I$1501,MATCH($A67*1000+10,Квартиры!$K$2:$K$1501,0))&gt;0," +У","")&amp;IF(INDEX(Квартиры!$J$2:$J$1501,MATCH($A67*1000+10,Квартиры!$K$2:$K$1501,0))&gt;0," +Г",""),"-"))</f>
        <v/>
      </c>
      <c r="M67">
        <f>IF($A67="","",IFERROR(IF(Настройки!$B$4="да",INDEX(Квартиры!$D$2:$D$1501,MATCH($A67*1000+11,Квартиры!$K$2:$K$1501,0))&amp;" / ","")&amp;INDEX(Квартиры!$H$2:$H$1501,MATCH($A67*1000+11,Квартиры!$K$2:$K$1501,0))&amp;" СУ"&amp;IF(INDEX(Квартиры!$I$2:$I$1501,MATCH($A67*1000+11,Квартиры!$K$2:$K$1501,0))&gt;0," +У","")&amp;IF(INDEX(Квартиры!$J$2:$J$1501,MATCH($A67*1000+11,Квартиры!$K$2:$K$1501,0))&gt;0," +Г",""),"-"))</f>
        <v/>
      </c>
      <c r="N67">
        <f>IF($A67="","",IFERROR(IF(Настройки!$B$4="да",INDEX(Квартиры!$D$2:$D$1501,MATCH($A67*1000+12,Квартиры!$K$2:$K$1501,0))&amp;" / ","")&amp;INDEX(Квартиры!$H$2:$H$1501,MATCH($A67*1000+12,Квартиры!$K$2:$K$1501,0))&amp;" СУ"&amp;IF(INDEX(Квартиры!$I$2:$I$1501,MATCH($A67*1000+12,Квартиры!$K$2:$K$1501,0))&gt;0," +У","")&amp;IF(INDEX(Квартиры!$J$2:$J$1501,MATCH($A67*1000+12,Квартиры!$K$2:$K$1501,0))&gt;0," +Г",""),"-"))</f>
        <v/>
      </c>
      <c r="O67">
        <f>IF($A67="","",IFERROR(IF(Настройки!$B$4="да",INDEX(Квартиры!$D$2:$D$1501,MATCH($A67*1000+13,Квартиры!$K$2:$K$1501,0))&amp;" / ","")&amp;INDEX(Квартиры!$H$2:$H$1501,MATCH($A67*1000+13,Квартиры!$K$2:$K$1501,0))&amp;" СУ"&amp;IF(INDEX(Квартиры!$I$2:$I$1501,MATCH($A67*1000+13,Квартиры!$K$2:$K$1501,0))&gt;0," +У","")&amp;IF(INDEX(Квартиры!$J$2:$J$1501,MATCH($A67*1000+13,Квартиры!$K$2:$K$1501,0))&gt;0," +Г",""),"-"))</f>
        <v/>
      </c>
      <c r="P67">
        <f>IF($A67="","",IFERROR(IF(Настройки!$B$4="да",INDEX(Квартиры!$D$2:$D$1501,MATCH($A67*1000+14,Квартиры!$K$2:$K$1501,0))&amp;" / ","")&amp;INDEX(Квартиры!$H$2:$H$1501,MATCH($A67*1000+14,Квартиры!$K$2:$K$1501,0))&amp;" СУ"&amp;IF(INDEX(Квартиры!$I$2:$I$1501,MATCH($A67*1000+14,Квартиры!$K$2:$K$1501,0))&gt;0," +У","")&amp;IF(INDEX(Квартиры!$J$2:$J$1501,MATCH($A67*1000+14,Квартиры!$K$2:$K$1501,0))&gt;0," +Г",""),"-"))</f>
        <v/>
      </c>
      <c r="Q67">
        <f>IF($A67="","",IFERROR(IF(Настройки!$B$4="да",INDEX(Квартиры!$D$2:$D$1501,MATCH($A67*1000+15,Квартиры!$K$2:$K$1501,0))&amp;" / ","")&amp;INDEX(Квартиры!$H$2:$H$1501,MATCH($A67*1000+15,Квартиры!$K$2:$K$1501,0))&amp;" СУ"&amp;IF(INDEX(Квартиры!$I$2:$I$1501,MATCH($A67*1000+15,Квартиры!$K$2:$K$1501,0))&gt;0," +У","")&amp;IF(INDEX(Квартиры!$J$2:$J$1501,MATCH($A67*1000+15,Квартиры!$K$2:$K$1501,0))&gt;0," +Г",""),"-"))</f>
        <v/>
      </c>
      <c r="R67">
        <f>IF(A67="","",C67&amp;"|"&amp;D67&amp;"|"&amp;E67&amp;"|"&amp;F67&amp;"|"&amp;G67&amp;"|"&amp;H67&amp;"|"&amp;I67&amp;"|"&amp;J67&amp;"|"&amp;K67&amp;"|"&amp;L67&amp;"|"&amp;M67&amp;"|"&amp;N67&amp;"|"&amp;O67&amp;"|"&amp;P67&amp;"|"&amp;Q67)</f>
        <v/>
      </c>
      <c r="S67">
        <f>IF(A67="","",IFERROR(LOOKUP(2,1/(B$2:B66=B67),S$2:S66)&amp;", ","")&amp;A67)</f>
        <v/>
      </c>
      <c r="U67">
        <f>IF(65&gt;MAX(B$3:B$82),"",65)</f>
        <v/>
      </c>
      <c r="V67">
        <f>IF(U67="","",LOOKUP(2,1/(B$3:B$82=U67),S$3:S$82))</f>
        <v/>
      </c>
      <c r="W67">
        <f>IF(U67="","",COUNTIF(B$3:B$82,U67))</f>
        <v/>
      </c>
    </row>
    <row r="68">
      <c r="A68">
        <f>IFERROR(IF(A67="","",SMALL(Квартиры!$B$2:$B$1501,COUNTIF(Квартиры!$B$2:$B$1501,"&lt;="&amp;A67)+1)),"")</f>
        <v/>
      </c>
      <c r="B68">
        <f>IF(A68="","",IF(COUNTIF(R$2:R67,R68)=0,MAX(B$2:B67)+1,INDEX(B$2:B67,MATCH(R68,R$2:R67,0))))</f>
        <v/>
      </c>
      <c r="C68">
        <f>IF($A68="","",IFERROR(IF(Настройки!$B$4="да",INDEX(Квартиры!$D$2:$D$1501,MATCH($A68*1000+1,Квартиры!$K$2:$K$1501,0))&amp;" / ","")&amp;INDEX(Квартиры!$H$2:$H$1501,MATCH($A68*1000+1,Квартиры!$K$2:$K$1501,0))&amp;" СУ"&amp;IF(INDEX(Квартиры!$I$2:$I$1501,MATCH($A68*1000+1,Квартиры!$K$2:$K$1501,0))&gt;0," +У","")&amp;IF(INDEX(Квартиры!$J$2:$J$1501,MATCH($A68*1000+1,Квартиры!$K$2:$K$1501,0))&gt;0," +Г",""),"-"))</f>
        <v/>
      </c>
      <c r="D68">
        <f>IF($A68="","",IFERROR(IF(Настройки!$B$4="да",INDEX(Квартиры!$D$2:$D$1501,MATCH($A68*1000+2,Квартиры!$K$2:$K$1501,0))&amp;" / ","")&amp;INDEX(Квартиры!$H$2:$H$1501,MATCH($A68*1000+2,Квартиры!$K$2:$K$1501,0))&amp;" СУ"&amp;IF(INDEX(Квартиры!$I$2:$I$1501,MATCH($A68*1000+2,Квартиры!$K$2:$K$1501,0))&gt;0," +У","")&amp;IF(INDEX(Квартиры!$J$2:$J$1501,MATCH($A68*1000+2,Квартиры!$K$2:$K$1501,0))&gt;0," +Г",""),"-"))</f>
        <v/>
      </c>
      <c r="E68">
        <f>IF($A68="","",IFERROR(IF(Настройки!$B$4="да",INDEX(Квартиры!$D$2:$D$1501,MATCH($A68*1000+3,Квартиры!$K$2:$K$1501,0))&amp;" / ","")&amp;INDEX(Квартиры!$H$2:$H$1501,MATCH($A68*1000+3,Квартиры!$K$2:$K$1501,0))&amp;" СУ"&amp;IF(INDEX(Квартиры!$I$2:$I$1501,MATCH($A68*1000+3,Квартиры!$K$2:$K$1501,0))&gt;0," +У","")&amp;IF(INDEX(Квартиры!$J$2:$J$1501,MATCH($A68*1000+3,Квартиры!$K$2:$K$1501,0))&gt;0," +Г",""),"-"))</f>
        <v/>
      </c>
      <c r="F68">
        <f>IF($A68="","",IFERROR(IF(Настройки!$B$4="да",INDEX(Квартиры!$D$2:$D$1501,MATCH($A68*1000+4,Квартиры!$K$2:$K$1501,0))&amp;" / ","")&amp;INDEX(Квартиры!$H$2:$H$1501,MATCH($A68*1000+4,Квартиры!$K$2:$K$1501,0))&amp;" СУ"&amp;IF(INDEX(Квартиры!$I$2:$I$1501,MATCH($A68*1000+4,Квартиры!$K$2:$K$1501,0))&gt;0," +У","")&amp;IF(INDEX(Квартиры!$J$2:$J$1501,MATCH($A68*1000+4,Квартиры!$K$2:$K$1501,0))&gt;0," +Г",""),"-"))</f>
        <v/>
      </c>
      <c r="G68">
        <f>IF($A68="","",IFERROR(IF(Настройки!$B$4="да",INDEX(Квартиры!$D$2:$D$1501,MATCH($A68*1000+5,Квартиры!$K$2:$K$1501,0))&amp;" / ","")&amp;INDEX(Квартиры!$H$2:$H$1501,MATCH($A68*1000+5,Квартиры!$K$2:$K$1501,0))&amp;" СУ"&amp;IF(INDEX(Квартиры!$I$2:$I$1501,MATCH($A68*1000+5,Квартиры!$K$2:$K$1501,0))&gt;0," +У","")&amp;IF(INDEX(Квартиры!$J$2:$J$1501,MATCH($A68*1000+5,Квартиры!$K$2:$K$1501,0))&gt;0," +Г",""),"-"))</f>
        <v/>
      </c>
      <c r="H68">
        <f>IF($A68="","",IFERROR(IF(Настройки!$B$4="да",INDEX(Квартиры!$D$2:$D$1501,MATCH($A68*1000+6,Квартиры!$K$2:$K$1501,0))&amp;" / ","")&amp;INDEX(Квартиры!$H$2:$H$1501,MATCH($A68*1000+6,Квартиры!$K$2:$K$1501,0))&amp;" СУ"&amp;IF(INDEX(Квартиры!$I$2:$I$1501,MATCH($A68*1000+6,Квартиры!$K$2:$K$1501,0))&gt;0," +У","")&amp;IF(INDEX(Квартиры!$J$2:$J$1501,MATCH($A68*1000+6,Квартиры!$K$2:$K$1501,0))&gt;0," +Г",""),"-"))</f>
        <v/>
      </c>
      <c r="I68">
        <f>IF($A68="","",IFERROR(IF(Настройки!$B$4="да",INDEX(Квартиры!$D$2:$D$1501,MATCH($A68*1000+7,Квартиры!$K$2:$K$1501,0))&amp;" / ","")&amp;INDEX(Квартиры!$H$2:$H$1501,MATCH($A68*1000+7,Квартиры!$K$2:$K$1501,0))&amp;" СУ"&amp;IF(INDEX(Квартиры!$I$2:$I$1501,MATCH($A68*1000+7,Квартиры!$K$2:$K$1501,0))&gt;0," +У","")&amp;IF(INDEX(Квартиры!$J$2:$J$1501,MATCH($A68*1000+7,Квартиры!$K$2:$K$1501,0))&gt;0," +Г",""),"-"))</f>
        <v/>
      </c>
      <c r="J68">
        <f>IF($A68="","",IFERROR(IF(Настройки!$B$4="да",INDEX(Квартиры!$D$2:$D$1501,MATCH($A68*1000+8,Квартиры!$K$2:$K$1501,0))&amp;" / ","")&amp;INDEX(Квартиры!$H$2:$H$1501,MATCH($A68*1000+8,Квартиры!$K$2:$K$1501,0))&amp;" СУ"&amp;IF(INDEX(Квартиры!$I$2:$I$1501,MATCH($A68*1000+8,Квартиры!$K$2:$K$1501,0))&gt;0," +У","")&amp;IF(INDEX(Квартиры!$J$2:$J$1501,MATCH($A68*1000+8,Квартиры!$K$2:$K$1501,0))&gt;0," +Г",""),"-"))</f>
        <v/>
      </c>
      <c r="K68">
        <f>IF($A68="","",IFERROR(IF(Настройки!$B$4="да",INDEX(Квартиры!$D$2:$D$1501,MATCH($A68*1000+9,Квартиры!$K$2:$K$1501,0))&amp;" / ","")&amp;INDEX(Квартиры!$H$2:$H$1501,MATCH($A68*1000+9,Квартиры!$K$2:$K$1501,0))&amp;" СУ"&amp;IF(INDEX(Квартиры!$I$2:$I$1501,MATCH($A68*1000+9,Квартиры!$K$2:$K$1501,0))&gt;0," +У","")&amp;IF(INDEX(Квартиры!$J$2:$J$1501,MATCH($A68*1000+9,Квартиры!$K$2:$K$1501,0))&gt;0," +Г",""),"-"))</f>
        <v/>
      </c>
      <c r="L68">
        <f>IF($A68="","",IFERROR(IF(Настройки!$B$4="да",INDEX(Квартиры!$D$2:$D$1501,MATCH($A68*1000+10,Квартиры!$K$2:$K$1501,0))&amp;" / ","")&amp;INDEX(Квартиры!$H$2:$H$1501,MATCH($A68*1000+10,Квартиры!$K$2:$K$1501,0))&amp;" СУ"&amp;IF(INDEX(Квартиры!$I$2:$I$1501,MATCH($A68*1000+10,Квартиры!$K$2:$K$1501,0))&gt;0," +У","")&amp;IF(INDEX(Квартиры!$J$2:$J$1501,MATCH($A68*1000+10,Квартиры!$K$2:$K$1501,0))&gt;0," +Г",""),"-"))</f>
        <v/>
      </c>
      <c r="M68">
        <f>IF($A68="","",IFERROR(IF(Настройки!$B$4="да",INDEX(Квартиры!$D$2:$D$1501,MATCH($A68*1000+11,Квартиры!$K$2:$K$1501,0))&amp;" / ","")&amp;INDEX(Квартиры!$H$2:$H$1501,MATCH($A68*1000+11,Квартиры!$K$2:$K$1501,0))&amp;" СУ"&amp;IF(INDEX(Квартиры!$I$2:$I$1501,MATCH($A68*1000+11,Квартиры!$K$2:$K$1501,0))&gt;0," +У","")&amp;IF(INDEX(Квартиры!$J$2:$J$1501,MATCH($A68*1000+11,Квартиры!$K$2:$K$1501,0))&gt;0," +Г",""),"-"))</f>
        <v/>
      </c>
      <c r="N68">
        <f>IF($A68="","",IFERROR(IF(Настройки!$B$4="да",INDEX(Квартиры!$D$2:$D$1501,MATCH($A68*1000+12,Квартиры!$K$2:$K$1501,0))&amp;" / ","")&amp;INDEX(Квартиры!$H$2:$H$1501,MATCH($A68*1000+12,Квартиры!$K$2:$K$1501,0))&amp;" СУ"&amp;IF(INDEX(Квартиры!$I$2:$I$1501,MATCH($A68*1000+12,Квартиры!$K$2:$K$1501,0))&gt;0," +У","")&amp;IF(INDEX(Квартиры!$J$2:$J$1501,MATCH($A68*1000+12,Квартиры!$K$2:$K$1501,0))&gt;0," +Г",""),"-"))</f>
        <v/>
      </c>
      <c r="O68">
        <f>IF($A68="","",IFERROR(IF(Настройки!$B$4="да",INDEX(Квартиры!$D$2:$D$1501,MATCH($A68*1000+13,Квартиры!$K$2:$K$1501,0))&amp;" / ","")&amp;INDEX(Квартиры!$H$2:$H$1501,MATCH($A68*1000+13,Квартиры!$K$2:$K$1501,0))&amp;" СУ"&amp;IF(INDEX(Квартиры!$I$2:$I$1501,MATCH($A68*1000+13,Квартиры!$K$2:$K$1501,0))&gt;0," +У","")&amp;IF(INDEX(Квартиры!$J$2:$J$1501,MATCH($A68*1000+13,Квартиры!$K$2:$K$1501,0))&gt;0," +Г",""),"-"))</f>
        <v/>
      </c>
      <c r="P68">
        <f>IF($A68="","",IFERROR(IF(Настройки!$B$4="да",INDEX(Квартиры!$D$2:$D$1501,MATCH($A68*1000+14,Квартиры!$K$2:$K$1501,0))&amp;" / ","")&amp;INDEX(Квартиры!$H$2:$H$1501,MATCH($A68*1000+14,Квартиры!$K$2:$K$1501,0))&amp;" СУ"&amp;IF(INDEX(Квартиры!$I$2:$I$1501,MATCH($A68*1000+14,Квартиры!$K$2:$K$1501,0))&gt;0," +У","")&amp;IF(INDEX(Квартиры!$J$2:$J$1501,MATCH($A68*1000+14,Квартиры!$K$2:$K$1501,0))&gt;0," +Г",""),"-"))</f>
        <v/>
      </c>
      <c r="Q68">
        <f>IF($A68="","",IFERROR(IF(Настройки!$B$4="да",INDEX(Квартиры!$D$2:$D$1501,MATCH($A68*1000+15,Квартиры!$K$2:$K$1501,0))&amp;" / ","")&amp;INDEX(Квартиры!$H$2:$H$1501,MATCH($A68*1000+15,Квартиры!$K$2:$K$1501,0))&amp;" СУ"&amp;IF(INDEX(Квартиры!$I$2:$I$1501,MATCH($A68*1000+15,Квартиры!$K$2:$K$1501,0))&gt;0," +У","")&amp;IF(INDEX(Квартиры!$J$2:$J$1501,MATCH($A68*1000+15,Квартиры!$K$2:$K$1501,0))&gt;0," +Г",""),"-"))</f>
        <v/>
      </c>
      <c r="R68">
        <f>IF(A68="","",C68&amp;"|"&amp;D68&amp;"|"&amp;E68&amp;"|"&amp;F68&amp;"|"&amp;G68&amp;"|"&amp;H68&amp;"|"&amp;I68&amp;"|"&amp;J68&amp;"|"&amp;K68&amp;"|"&amp;L68&amp;"|"&amp;M68&amp;"|"&amp;N68&amp;"|"&amp;O68&amp;"|"&amp;P68&amp;"|"&amp;Q68)</f>
        <v/>
      </c>
      <c r="S68">
        <f>IF(A68="","",IFERROR(LOOKUP(2,1/(B$2:B67=B68),S$2:S67)&amp;", ","")&amp;A68)</f>
        <v/>
      </c>
      <c r="U68">
        <f>IF(66&gt;MAX(B$3:B$82),"",66)</f>
        <v/>
      </c>
      <c r="V68">
        <f>IF(U68="","",LOOKUP(2,1/(B$3:B$82=U68),S$3:S$82))</f>
        <v/>
      </c>
      <c r="W68">
        <f>IF(U68="","",COUNTIF(B$3:B$82,U68))</f>
        <v/>
      </c>
    </row>
    <row r="69">
      <c r="A69">
        <f>IFERROR(IF(A68="","",SMALL(Квартиры!$B$2:$B$1501,COUNTIF(Квартиры!$B$2:$B$1501,"&lt;="&amp;A68)+1)),"")</f>
        <v/>
      </c>
      <c r="B69">
        <f>IF(A69="","",IF(COUNTIF(R$2:R68,R69)=0,MAX(B$2:B68)+1,INDEX(B$2:B68,MATCH(R69,R$2:R68,0))))</f>
        <v/>
      </c>
      <c r="C69">
        <f>IF($A69="","",IFERROR(IF(Настройки!$B$4="да",INDEX(Квартиры!$D$2:$D$1501,MATCH($A69*1000+1,Квартиры!$K$2:$K$1501,0))&amp;" / ","")&amp;INDEX(Квартиры!$H$2:$H$1501,MATCH($A69*1000+1,Квартиры!$K$2:$K$1501,0))&amp;" СУ"&amp;IF(INDEX(Квартиры!$I$2:$I$1501,MATCH($A69*1000+1,Квартиры!$K$2:$K$1501,0))&gt;0," +У","")&amp;IF(INDEX(Квартиры!$J$2:$J$1501,MATCH($A69*1000+1,Квартиры!$K$2:$K$1501,0))&gt;0," +Г",""),"-"))</f>
        <v/>
      </c>
      <c r="D69">
        <f>IF($A69="","",IFERROR(IF(Настройки!$B$4="да",INDEX(Квартиры!$D$2:$D$1501,MATCH($A69*1000+2,Квартиры!$K$2:$K$1501,0))&amp;" / ","")&amp;INDEX(Квартиры!$H$2:$H$1501,MATCH($A69*1000+2,Квартиры!$K$2:$K$1501,0))&amp;" СУ"&amp;IF(INDEX(Квартиры!$I$2:$I$1501,MATCH($A69*1000+2,Квартиры!$K$2:$K$1501,0))&gt;0," +У","")&amp;IF(INDEX(Квартиры!$J$2:$J$1501,MATCH($A69*1000+2,Квартиры!$K$2:$K$1501,0))&gt;0," +Г",""),"-"))</f>
        <v/>
      </c>
      <c r="E69">
        <f>IF($A69="","",IFERROR(IF(Настройки!$B$4="да",INDEX(Квартиры!$D$2:$D$1501,MATCH($A69*1000+3,Квартиры!$K$2:$K$1501,0))&amp;" / ","")&amp;INDEX(Квартиры!$H$2:$H$1501,MATCH($A69*1000+3,Квартиры!$K$2:$K$1501,0))&amp;" СУ"&amp;IF(INDEX(Квартиры!$I$2:$I$1501,MATCH($A69*1000+3,Квартиры!$K$2:$K$1501,0))&gt;0," +У","")&amp;IF(INDEX(Квартиры!$J$2:$J$1501,MATCH($A69*1000+3,Квартиры!$K$2:$K$1501,0))&gt;0," +Г",""),"-"))</f>
        <v/>
      </c>
      <c r="F69">
        <f>IF($A69="","",IFERROR(IF(Настройки!$B$4="да",INDEX(Квартиры!$D$2:$D$1501,MATCH($A69*1000+4,Квартиры!$K$2:$K$1501,0))&amp;" / ","")&amp;INDEX(Квартиры!$H$2:$H$1501,MATCH($A69*1000+4,Квартиры!$K$2:$K$1501,0))&amp;" СУ"&amp;IF(INDEX(Квартиры!$I$2:$I$1501,MATCH($A69*1000+4,Квартиры!$K$2:$K$1501,0))&gt;0," +У","")&amp;IF(INDEX(Квартиры!$J$2:$J$1501,MATCH($A69*1000+4,Квартиры!$K$2:$K$1501,0))&gt;0," +Г",""),"-"))</f>
        <v/>
      </c>
      <c r="G69">
        <f>IF($A69="","",IFERROR(IF(Настройки!$B$4="да",INDEX(Квартиры!$D$2:$D$1501,MATCH($A69*1000+5,Квартиры!$K$2:$K$1501,0))&amp;" / ","")&amp;INDEX(Квартиры!$H$2:$H$1501,MATCH($A69*1000+5,Квартиры!$K$2:$K$1501,0))&amp;" СУ"&amp;IF(INDEX(Квартиры!$I$2:$I$1501,MATCH($A69*1000+5,Квартиры!$K$2:$K$1501,0))&gt;0," +У","")&amp;IF(INDEX(Квартиры!$J$2:$J$1501,MATCH($A69*1000+5,Квартиры!$K$2:$K$1501,0))&gt;0," +Г",""),"-"))</f>
        <v/>
      </c>
      <c r="H69">
        <f>IF($A69="","",IFERROR(IF(Настройки!$B$4="да",INDEX(Квартиры!$D$2:$D$1501,MATCH($A69*1000+6,Квартиры!$K$2:$K$1501,0))&amp;" / ","")&amp;INDEX(Квартиры!$H$2:$H$1501,MATCH($A69*1000+6,Квартиры!$K$2:$K$1501,0))&amp;" СУ"&amp;IF(INDEX(Квартиры!$I$2:$I$1501,MATCH($A69*1000+6,Квартиры!$K$2:$K$1501,0))&gt;0," +У","")&amp;IF(INDEX(Квартиры!$J$2:$J$1501,MATCH($A69*1000+6,Квартиры!$K$2:$K$1501,0))&gt;0," +Г",""),"-"))</f>
        <v/>
      </c>
      <c r="I69">
        <f>IF($A69="","",IFERROR(IF(Настройки!$B$4="да",INDEX(Квартиры!$D$2:$D$1501,MATCH($A69*1000+7,Квартиры!$K$2:$K$1501,0))&amp;" / ","")&amp;INDEX(Квартиры!$H$2:$H$1501,MATCH($A69*1000+7,Квартиры!$K$2:$K$1501,0))&amp;" СУ"&amp;IF(INDEX(Квартиры!$I$2:$I$1501,MATCH($A69*1000+7,Квартиры!$K$2:$K$1501,0))&gt;0," +У","")&amp;IF(INDEX(Квартиры!$J$2:$J$1501,MATCH($A69*1000+7,Квартиры!$K$2:$K$1501,0))&gt;0," +Г",""),"-"))</f>
        <v/>
      </c>
      <c r="J69">
        <f>IF($A69="","",IFERROR(IF(Настройки!$B$4="да",INDEX(Квартиры!$D$2:$D$1501,MATCH($A69*1000+8,Квартиры!$K$2:$K$1501,0))&amp;" / ","")&amp;INDEX(Квартиры!$H$2:$H$1501,MATCH($A69*1000+8,Квартиры!$K$2:$K$1501,0))&amp;" СУ"&amp;IF(INDEX(Квартиры!$I$2:$I$1501,MATCH($A69*1000+8,Квартиры!$K$2:$K$1501,0))&gt;0," +У","")&amp;IF(INDEX(Квартиры!$J$2:$J$1501,MATCH($A69*1000+8,Квартиры!$K$2:$K$1501,0))&gt;0," +Г",""),"-"))</f>
        <v/>
      </c>
      <c r="K69">
        <f>IF($A69="","",IFERROR(IF(Настройки!$B$4="да",INDEX(Квартиры!$D$2:$D$1501,MATCH($A69*1000+9,Квартиры!$K$2:$K$1501,0))&amp;" / ","")&amp;INDEX(Квартиры!$H$2:$H$1501,MATCH($A69*1000+9,Квартиры!$K$2:$K$1501,0))&amp;" СУ"&amp;IF(INDEX(Квартиры!$I$2:$I$1501,MATCH($A69*1000+9,Квартиры!$K$2:$K$1501,0))&gt;0," +У","")&amp;IF(INDEX(Квартиры!$J$2:$J$1501,MATCH($A69*1000+9,Квартиры!$K$2:$K$1501,0))&gt;0," +Г",""),"-"))</f>
        <v/>
      </c>
      <c r="L69">
        <f>IF($A69="","",IFERROR(IF(Настройки!$B$4="да",INDEX(Квартиры!$D$2:$D$1501,MATCH($A69*1000+10,Квартиры!$K$2:$K$1501,0))&amp;" / ","")&amp;INDEX(Квартиры!$H$2:$H$1501,MATCH($A69*1000+10,Квартиры!$K$2:$K$1501,0))&amp;" СУ"&amp;IF(INDEX(Квартиры!$I$2:$I$1501,MATCH($A69*1000+10,Квартиры!$K$2:$K$1501,0))&gt;0," +У","")&amp;IF(INDEX(Квартиры!$J$2:$J$1501,MATCH($A69*1000+10,Квартиры!$K$2:$K$1501,0))&gt;0," +Г",""),"-"))</f>
        <v/>
      </c>
      <c r="M69">
        <f>IF($A69="","",IFERROR(IF(Настройки!$B$4="да",INDEX(Квартиры!$D$2:$D$1501,MATCH($A69*1000+11,Квартиры!$K$2:$K$1501,0))&amp;" / ","")&amp;INDEX(Квартиры!$H$2:$H$1501,MATCH($A69*1000+11,Квартиры!$K$2:$K$1501,0))&amp;" СУ"&amp;IF(INDEX(Квартиры!$I$2:$I$1501,MATCH($A69*1000+11,Квартиры!$K$2:$K$1501,0))&gt;0," +У","")&amp;IF(INDEX(Квартиры!$J$2:$J$1501,MATCH($A69*1000+11,Квартиры!$K$2:$K$1501,0))&gt;0," +Г",""),"-"))</f>
        <v/>
      </c>
      <c r="N69">
        <f>IF($A69="","",IFERROR(IF(Настройки!$B$4="да",INDEX(Квартиры!$D$2:$D$1501,MATCH($A69*1000+12,Квартиры!$K$2:$K$1501,0))&amp;" / ","")&amp;INDEX(Квартиры!$H$2:$H$1501,MATCH($A69*1000+12,Квартиры!$K$2:$K$1501,0))&amp;" СУ"&amp;IF(INDEX(Квартиры!$I$2:$I$1501,MATCH($A69*1000+12,Квартиры!$K$2:$K$1501,0))&gt;0," +У","")&amp;IF(INDEX(Квартиры!$J$2:$J$1501,MATCH($A69*1000+12,Квартиры!$K$2:$K$1501,0))&gt;0," +Г",""),"-"))</f>
        <v/>
      </c>
      <c r="O69">
        <f>IF($A69="","",IFERROR(IF(Настройки!$B$4="да",INDEX(Квартиры!$D$2:$D$1501,MATCH($A69*1000+13,Квартиры!$K$2:$K$1501,0))&amp;" / ","")&amp;INDEX(Квартиры!$H$2:$H$1501,MATCH($A69*1000+13,Квартиры!$K$2:$K$1501,0))&amp;" СУ"&amp;IF(INDEX(Квартиры!$I$2:$I$1501,MATCH($A69*1000+13,Квартиры!$K$2:$K$1501,0))&gt;0," +У","")&amp;IF(INDEX(Квартиры!$J$2:$J$1501,MATCH($A69*1000+13,Квартиры!$K$2:$K$1501,0))&gt;0," +Г",""),"-"))</f>
        <v/>
      </c>
      <c r="P69">
        <f>IF($A69="","",IFERROR(IF(Настройки!$B$4="да",INDEX(Квартиры!$D$2:$D$1501,MATCH($A69*1000+14,Квартиры!$K$2:$K$1501,0))&amp;" / ","")&amp;INDEX(Квартиры!$H$2:$H$1501,MATCH($A69*1000+14,Квартиры!$K$2:$K$1501,0))&amp;" СУ"&amp;IF(INDEX(Квартиры!$I$2:$I$1501,MATCH($A69*1000+14,Квартиры!$K$2:$K$1501,0))&gt;0," +У","")&amp;IF(INDEX(Квартиры!$J$2:$J$1501,MATCH($A69*1000+14,Квартиры!$K$2:$K$1501,0))&gt;0," +Г",""),"-"))</f>
        <v/>
      </c>
      <c r="Q69">
        <f>IF($A69="","",IFERROR(IF(Настройки!$B$4="да",INDEX(Квартиры!$D$2:$D$1501,MATCH($A69*1000+15,Квартиры!$K$2:$K$1501,0))&amp;" / ","")&amp;INDEX(Квартиры!$H$2:$H$1501,MATCH($A69*1000+15,Квартиры!$K$2:$K$1501,0))&amp;" СУ"&amp;IF(INDEX(Квартиры!$I$2:$I$1501,MATCH($A69*1000+15,Квартиры!$K$2:$K$1501,0))&gt;0," +У","")&amp;IF(INDEX(Квартиры!$J$2:$J$1501,MATCH($A69*1000+15,Квартиры!$K$2:$K$1501,0))&gt;0," +Г",""),"-"))</f>
        <v/>
      </c>
      <c r="R69">
        <f>IF(A69="","",C69&amp;"|"&amp;D69&amp;"|"&amp;E69&amp;"|"&amp;F69&amp;"|"&amp;G69&amp;"|"&amp;H69&amp;"|"&amp;I69&amp;"|"&amp;J69&amp;"|"&amp;K69&amp;"|"&amp;L69&amp;"|"&amp;M69&amp;"|"&amp;N69&amp;"|"&amp;O69&amp;"|"&amp;P69&amp;"|"&amp;Q69)</f>
        <v/>
      </c>
      <c r="S69">
        <f>IF(A69="","",IFERROR(LOOKUP(2,1/(B$2:B68=B69),S$2:S68)&amp;", ","")&amp;A69)</f>
        <v/>
      </c>
      <c r="U69">
        <f>IF(67&gt;MAX(B$3:B$82),"",67)</f>
        <v/>
      </c>
      <c r="V69">
        <f>IF(U69="","",LOOKUP(2,1/(B$3:B$82=U69),S$3:S$82))</f>
        <v/>
      </c>
      <c r="W69">
        <f>IF(U69="","",COUNTIF(B$3:B$82,U69))</f>
        <v/>
      </c>
    </row>
    <row r="70">
      <c r="A70">
        <f>IFERROR(IF(A69="","",SMALL(Квартиры!$B$2:$B$1501,COUNTIF(Квартиры!$B$2:$B$1501,"&lt;="&amp;A69)+1)),"")</f>
        <v/>
      </c>
      <c r="B70">
        <f>IF(A70="","",IF(COUNTIF(R$2:R69,R70)=0,MAX(B$2:B69)+1,INDEX(B$2:B69,MATCH(R70,R$2:R69,0))))</f>
        <v/>
      </c>
      <c r="C70">
        <f>IF($A70="","",IFERROR(IF(Настройки!$B$4="да",INDEX(Квартиры!$D$2:$D$1501,MATCH($A70*1000+1,Квартиры!$K$2:$K$1501,0))&amp;" / ","")&amp;INDEX(Квартиры!$H$2:$H$1501,MATCH($A70*1000+1,Квартиры!$K$2:$K$1501,0))&amp;" СУ"&amp;IF(INDEX(Квартиры!$I$2:$I$1501,MATCH($A70*1000+1,Квартиры!$K$2:$K$1501,0))&gt;0," +У","")&amp;IF(INDEX(Квартиры!$J$2:$J$1501,MATCH($A70*1000+1,Квартиры!$K$2:$K$1501,0))&gt;0," +Г",""),"-"))</f>
        <v/>
      </c>
      <c r="D70">
        <f>IF($A70="","",IFERROR(IF(Настройки!$B$4="да",INDEX(Квартиры!$D$2:$D$1501,MATCH($A70*1000+2,Квартиры!$K$2:$K$1501,0))&amp;" / ","")&amp;INDEX(Квартиры!$H$2:$H$1501,MATCH($A70*1000+2,Квартиры!$K$2:$K$1501,0))&amp;" СУ"&amp;IF(INDEX(Квартиры!$I$2:$I$1501,MATCH($A70*1000+2,Квартиры!$K$2:$K$1501,0))&gt;0," +У","")&amp;IF(INDEX(Квартиры!$J$2:$J$1501,MATCH($A70*1000+2,Квартиры!$K$2:$K$1501,0))&gt;0," +Г",""),"-"))</f>
        <v/>
      </c>
      <c r="E70">
        <f>IF($A70="","",IFERROR(IF(Настройки!$B$4="да",INDEX(Квартиры!$D$2:$D$1501,MATCH($A70*1000+3,Квартиры!$K$2:$K$1501,0))&amp;" / ","")&amp;INDEX(Квартиры!$H$2:$H$1501,MATCH($A70*1000+3,Квартиры!$K$2:$K$1501,0))&amp;" СУ"&amp;IF(INDEX(Квартиры!$I$2:$I$1501,MATCH($A70*1000+3,Квартиры!$K$2:$K$1501,0))&gt;0," +У","")&amp;IF(INDEX(Квартиры!$J$2:$J$1501,MATCH($A70*1000+3,Квартиры!$K$2:$K$1501,0))&gt;0," +Г",""),"-"))</f>
        <v/>
      </c>
      <c r="F70">
        <f>IF($A70="","",IFERROR(IF(Настройки!$B$4="да",INDEX(Квартиры!$D$2:$D$1501,MATCH($A70*1000+4,Квартиры!$K$2:$K$1501,0))&amp;" / ","")&amp;INDEX(Квартиры!$H$2:$H$1501,MATCH($A70*1000+4,Квартиры!$K$2:$K$1501,0))&amp;" СУ"&amp;IF(INDEX(Квартиры!$I$2:$I$1501,MATCH($A70*1000+4,Квартиры!$K$2:$K$1501,0))&gt;0," +У","")&amp;IF(INDEX(Квартиры!$J$2:$J$1501,MATCH($A70*1000+4,Квартиры!$K$2:$K$1501,0))&gt;0," +Г",""),"-"))</f>
        <v/>
      </c>
      <c r="G70">
        <f>IF($A70="","",IFERROR(IF(Настройки!$B$4="да",INDEX(Квартиры!$D$2:$D$1501,MATCH($A70*1000+5,Квартиры!$K$2:$K$1501,0))&amp;" / ","")&amp;INDEX(Квартиры!$H$2:$H$1501,MATCH($A70*1000+5,Квартиры!$K$2:$K$1501,0))&amp;" СУ"&amp;IF(INDEX(Квартиры!$I$2:$I$1501,MATCH($A70*1000+5,Квартиры!$K$2:$K$1501,0))&gt;0," +У","")&amp;IF(INDEX(Квартиры!$J$2:$J$1501,MATCH($A70*1000+5,Квартиры!$K$2:$K$1501,0))&gt;0," +Г",""),"-"))</f>
        <v/>
      </c>
      <c r="H70">
        <f>IF($A70="","",IFERROR(IF(Настройки!$B$4="да",INDEX(Квартиры!$D$2:$D$1501,MATCH($A70*1000+6,Квартиры!$K$2:$K$1501,0))&amp;" / ","")&amp;INDEX(Квартиры!$H$2:$H$1501,MATCH($A70*1000+6,Квартиры!$K$2:$K$1501,0))&amp;" СУ"&amp;IF(INDEX(Квартиры!$I$2:$I$1501,MATCH($A70*1000+6,Квартиры!$K$2:$K$1501,0))&gt;0," +У","")&amp;IF(INDEX(Квартиры!$J$2:$J$1501,MATCH($A70*1000+6,Квартиры!$K$2:$K$1501,0))&gt;0," +Г",""),"-"))</f>
        <v/>
      </c>
      <c r="I70">
        <f>IF($A70="","",IFERROR(IF(Настройки!$B$4="да",INDEX(Квартиры!$D$2:$D$1501,MATCH($A70*1000+7,Квартиры!$K$2:$K$1501,0))&amp;" / ","")&amp;INDEX(Квартиры!$H$2:$H$1501,MATCH($A70*1000+7,Квартиры!$K$2:$K$1501,0))&amp;" СУ"&amp;IF(INDEX(Квартиры!$I$2:$I$1501,MATCH($A70*1000+7,Квартиры!$K$2:$K$1501,0))&gt;0," +У","")&amp;IF(INDEX(Квартиры!$J$2:$J$1501,MATCH($A70*1000+7,Квартиры!$K$2:$K$1501,0))&gt;0," +Г",""),"-"))</f>
        <v/>
      </c>
      <c r="J70">
        <f>IF($A70="","",IFERROR(IF(Настройки!$B$4="да",INDEX(Квартиры!$D$2:$D$1501,MATCH($A70*1000+8,Квартиры!$K$2:$K$1501,0))&amp;" / ","")&amp;INDEX(Квартиры!$H$2:$H$1501,MATCH($A70*1000+8,Квартиры!$K$2:$K$1501,0))&amp;" СУ"&amp;IF(INDEX(Квартиры!$I$2:$I$1501,MATCH($A70*1000+8,Квартиры!$K$2:$K$1501,0))&gt;0," +У","")&amp;IF(INDEX(Квартиры!$J$2:$J$1501,MATCH($A70*1000+8,Квартиры!$K$2:$K$1501,0))&gt;0," +Г",""),"-"))</f>
        <v/>
      </c>
      <c r="K70">
        <f>IF($A70="","",IFERROR(IF(Настройки!$B$4="да",INDEX(Квартиры!$D$2:$D$1501,MATCH($A70*1000+9,Квартиры!$K$2:$K$1501,0))&amp;" / ","")&amp;INDEX(Квартиры!$H$2:$H$1501,MATCH($A70*1000+9,Квартиры!$K$2:$K$1501,0))&amp;" СУ"&amp;IF(INDEX(Квартиры!$I$2:$I$1501,MATCH($A70*1000+9,Квартиры!$K$2:$K$1501,0))&gt;0," +У","")&amp;IF(INDEX(Квартиры!$J$2:$J$1501,MATCH($A70*1000+9,Квартиры!$K$2:$K$1501,0))&gt;0," +Г",""),"-"))</f>
        <v/>
      </c>
      <c r="L70">
        <f>IF($A70="","",IFERROR(IF(Настройки!$B$4="да",INDEX(Квартиры!$D$2:$D$1501,MATCH($A70*1000+10,Квартиры!$K$2:$K$1501,0))&amp;" / ","")&amp;INDEX(Квартиры!$H$2:$H$1501,MATCH($A70*1000+10,Квартиры!$K$2:$K$1501,0))&amp;" СУ"&amp;IF(INDEX(Квартиры!$I$2:$I$1501,MATCH($A70*1000+10,Квартиры!$K$2:$K$1501,0))&gt;0," +У","")&amp;IF(INDEX(Квартиры!$J$2:$J$1501,MATCH($A70*1000+10,Квартиры!$K$2:$K$1501,0))&gt;0," +Г",""),"-"))</f>
        <v/>
      </c>
      <c r="M70">
        <f>IF($A70="","",IFERROR(IF(Настройки!$B$4="да",INDEX(Квартиры!$D$2:$D$1501,MATCH($A70*1000+11,Квартиры!$K$2:$K$1501,0))&amp;" / ","")&amp;INDEX(Квартиры!$H$2:$H$1501,MATCH($A70*1000+11,Квартиры!$K$2:$K$1501,0))&amp;" СУ"&amp;IF(INDEX(Квартиры!$I$2:$I$1501,MATCH($A70*1000+11,Квартиры!$K$2:$K$1501,0))&gt;0," +У","")&amp;IF(INDEX(Квартиры!$J$2:$J$1501,MATCH($A70*1000+11,Квартиры!$K$2:$K$1501,0))&gt;0," +Г",""),"-"))</f>
        <v/>
      </c>
      <c r="N70">
        <f>IF($A70="","",IFERROR(IF(Настройки!$B$4="да",INDEX(Квартиры!$D$2:$D$1501,MATCH($A70*1000+12,Квартиры!$K$2:$K$1501,0))&amp;" / ","")&amp;INDEX(Квартиры!$H$2:$H$1501,MATCH($A70*1000+12,Квартиры!$K$2:$K$1501,0))&amp;" СУ"&amp;IF(INDEX(Квартиры!$I$2:$I$1501,MATCH($A70*1000+12,Квартиры!$K$2:$K$1501,0))&gt;0," +У","")&amp;IF(INDEX(Квартиры!$J$2:$J$1501,MATCH($A70*1000+12,Квартиры!$K$2:$K$1501,0))&gt;0," +Г",""),"-"))</f>
        <v/>
      </c>
      <c r="O70">
        <f>IF($A70="","",IFERROR(IF(Настройки!$B$4="да",INDEX(Квартиры!$D$2:$D$1501,MATCH($A70*1000+13,Квартиры!$K$2:$K$1501,0))&amp;" / ","")&amp;INDEX(Квартиры!$H$2:$H$1501,MATCH($A70*1000+13,Квартиры!$K$2:$K$1501,0))&amp;" СУ"&amp;IF(INDEX(Квартиры!$I$2:$I$1501,MATCH($A70*1000+13,Квартиры!$K$2:$K$1501,0))&gt;0," +У","")&amp;IF(INDEX(Квартиры!$J$2:$J$1501,MATCH($A70*1000+13,Квартиры!$K$2:$K$1501,0))&gt;0," +Г",""),"-"))</f>
        <v/>
      </c>
      <c r="P70">
        <f>IF($A70="","",IFERROR(IF(Настройки!$B$4="да",INDEX(Квартиры!$D$2:$D$1501,MATCH($A70*1000+14,Квартиры!$K$2:$K$1501,0))&amp;" / ","")&amp;INDEX(Квартиры!$H$2:$H$1501,MATCH($A70*1000+14,Квартиры!$K$2:$K$1501,0))&amp;" СУ"&amp;IF(INDEX(Квартиры!$I$2:$I$1501,MATCH($A70*1000+14,Квартиры!$K$2:$K$1501,0))&gt;0," +У","")&amp;IF(INDEX(Квартиры!$J$2:$J$1501,MATCH($A70*1000+14,Квартиры!$K$2:$K$1501,0))&gt;0," +Г",""),"-"))</f>
        <v/>
      </c>
      <c r="Q70">
        <f>IF($A70="","",IFERROR(IF(Настройки!$B$4="да",INDEX(Квартиры!$D$2:$D$1501,MATCH($A70*1000+15,Квартиры!$K$2:$K$1501,0))&amp;" / ","")&amp;INDEX(Квартиры!$H$2:$H$1501,MATCH($A70*1000+15,Квартиры!$K$2:$K$1501,0))&amp;" СУ"&amp;IF(INDEX(Квартиры!$I$2:$I$1501,MATCH($A70*1000+15,Квартиры!$K$2:$K$1501,0))&gt;0," +У","")&amp;IF(INDEX(Квартиры!$J$2:$J$1501,MATCH($A70*1000+15,Квартиры!$K$2:$K$1501,0))&gt;0," +Г",""),"-"))</f>
        <v/>
      </c>
      <c r="R70">
        <f>IF(A70="","",C70&amp;"|"&amp;D70&amp;"|"&amp;E70&amp;"|"&amp;F70&amp;"|"&amp;G70&amp;"|"&amp;H70&amp;"|"&amp;I70&amp;"|"&amp;J70&amp;"|"&amp;K70&amp;"|"&amp;L70&amp;"|"&amp;M70&amp;"|"&amp;N70&amp;"|"&amp;O70&amp;"|"&amp;P70&amp;"|"&amp;Q70)</f>
        <v/>
      </c>
      <c r="S70">
        <f>IF(A70="","",IFERROR(LOOKUP(2,1/(B$2:B69=B70),S$2:S69)&amp;", ","")&amp;A70)</f>
        <v/>
      </c>
      <c r="U70">
        <f>IF(68&gt;MAX(B$3:B$82),"",68)</f>
        <v/>
      </c>
      <c r="V70">
        <f>IF(U70="","",LOOKUP(2,1/(B$3:B$82=U70),S$3:S$82))</f>
        <v/>
      </c>
      <c r="W70">
        <f>IF(U70="","",COUNTIF(B$3:B$82,U70))</f>
        <v/>
      </c>
    </row>
    <row r="71">
      <c r="A71">
        <f>IFERROR(IF(A70="","",SMALL(Квартиры!$B$2:$B$1501,COUNTIF(Квартиры!$B$2:$B$1501,"&lt;="&amp;A70)+1)),"")</f>
        <v/>
      </c>
      <c r="B71">
        <f>IF(A71="","",IF(COUNTIF(R$2:R70,R71)=0,MAX(B$2:B70)+1,INDEX(B$2:B70,MATCH(R71,R$2:R70,0))))</f>
        <v/>
      </c>
      <c r="C71">
        <f>IF($A71="","",IFERROR(IF(Настройки!$B$4="да",INDEX(Квартиры!$D$2:$D$1501,MATCH($A71*1000+1,Квартиры!$K$2:$K$1501,0))&amp;" / ","")&amp;INDEX(Квартиры!$H$2:$H$1501,MATCH($A71*1000+1,Квартиры!$K$2:$K$1501,0))&amp;" СУ"&amp;IF(INDEX(Квартиры!$I$2:$I$1501,MATCH($A71*1000+1,Квартиры!$K$2:$K$1501,0))&gt;0," +У","")&amp;IF(INDEX(Квартиры!$J$2:$J$1501,MATCH($A71*1000+1,Квартиры!$K$2:$K$1501,0))&gt;0," +Г",""),"-"))</f>
        <v/>
      </c>
      <c r="D71">
        <f>IF($A71="","",IFERROR(IF(Настройки!$B$4="да",INDEX(Квартиры!$D$2:$D$1501,MATCH($A71*1000+2,Квартиры!$K$2:$K$1501,0))&amp;" / ","")&amp;INDEX(Квартиры!$H$2:$H$1501,MATCH($A71*1000+2,Квартиры!$K$2:$K$1501,0))&amp;" СУ"&amp;IF(INDEX(Квартиры!$I$2:$I$1501,MATCH($A71*1000+2,Квартиры!$K$2:$K$1501,0))&gt;0," +У","")&amp;IF(INDEX(Квартиры!$J$2:$J$1501,MATCH($A71*1000+2,Квартиры!$K$2:$K$1501,0))&gt;0," +Г",""),"-"))</f>
        <v/>
      </c>
      <c r="E71">
        <f>IF($A71="","",IFERROR(IF(Настройки!$B$4="да",INDEX(Квартиры!$D$2:$D$1501,MATCH($A71*1000+3,Квартиры!$K$2:$K$1501,0))&amp;" / ","")&amp;INDEX(Квартиры!$H$2:$H$1501,MATCH($A71*1000+3,Квартиры!$K$2:$K$1501,0))&amp;" СУ"&amp;IF(INDEX(Квартиры!$I$2:$I$1501,MATCH($A71*1000+3,Квартиры!$K$2:$K$1501,0))&gt;0," +У","")&amp;IF(INDEX(Квартиры!$J$2:$J$1501,MATCH($A71*1000+3,Квартиры!$K$2:$K$1501,0))&gt;0," +Г",""),"-"))</f>
        <v/>
      </c>
      <c r="F71">
        <f>IF($A71="","",IFERROR(IF(Настройки!$B$4="да",INDEX(Квартиры!$D$2:$D$1501,MATCH($A71*1000+4,Квартиры!$K$2:$K$1501,0))&amp;" / ","")&amp;INDEX(Квартиры!$H$2:$H$1501,MATCH($A71*1000+4,Квартиры!$K$2:$K$1501,0))&amp;" СУ"&amp;IF(INDEX(Квартиры!$I$2:$I$1501,MATCH($A71*1000+4,Квартиры!$K$2:$K$1501,0))&gt;0," +У","")&amp;IF(INDEX(Квартиры!$J$2:$J$1501,MATCH($A71*1000+4,Квартиры!$K$2:$K$1501,0))&gt;0," +Г",""),"-"))</f>
        <v/>
      </c>
      <c r="G71">
        <f>IF($A71="","",IFERROR(IF(Настройки!$B$4="да",INDEX(Квартиры!$D$2:$D$1501,MATCH($A71*1000+5,Квартиры!$K$2:$K$1501,0))&amp;" / ","")&amp;INDEX(Квартиры!$H$2:$H$1501,MATCH($A71*1000+5,Квартиры!$K$2:$K$1501,0))&amp;" СУ"&amp;IF(INDEX(Квартиры!$I$2:$I$1501,MATCH($A71*1000+5,Квартиры!$K$2:$K$1501,0))&gt;0," +У","")&amp;IF(INDEX(Квартиры!$J$2:$J$1501,MATCH($A71*1000+5,Квартиры!$K$2:$K$1501,0))&gt;0," +Г",""),"-"))</f>
        <v/>
      </c>
      <c r="H71">
        <f>IF($A71="","",IFERROR(IF(Настройки!$B$4="да",INDEX(Квартиры!$D$2:$D$1501,MATCH($A71*1000+6,Квартиры!$K$2:$K$1501,0))&amp;" / ","")&amp;INDEX(Квартиры!$H$2:$H$1501,MATCH($A71*1000+6,Квартиры!$K$2:$K$1501,0))&amp;" СУ"&amp;IF(INDEX(Квартиры!$I$2:$I$1501,MATCH($A71*1000+6,Квартиры!$K$2:$K$1501,0))&gt;0," +У","")&amp;IF(INDEX(Квартиры!$J$2:$J$1501,MATCH($A71*1000+6,Квартиры!$K$2:$K$1501,0))&gt;0," +Г",""),"-"))</f>
        <v/>
      </c>
      <c r="I71">
        <f>IF($A71="","",IFERROR(IF(Настройки!$B$4="да",INDEX(Квартиры!$D$2:$D$1501,MATCH($A71*1000+7,Квартиры!$K$2:$K$1501,0))&amp;" / ","")&amp;INDEX(Квартиры!$H$2:$H$1501,MATCH($A71*1000+7,Квартиры!$K$2:$K$1501,0))&amp;" СУ"&amp;IF(INDEX(Квартиры!$I$2:$I$1501,MATCH($A71*1000+7,Квартиры!$K$2:$K$1501,0))&gt;0," +У","")&amp;IF(INDEX(Квартиры!$J$2:$J$1501,MATCH($A71*1000+7,Квартиры!$K$2:$K$1501,0))&gt;0," +Г",""),"-"))</f>
        <v/>
      </c>
      <c r="J71">
        <f>IF($A71="","",IFERROR(IF(Настройки!$B$4="да",INDEX(Квартиры!$D$2:$D$1501,MATCH($A71*1000+8,Квартиры!$K$2:$K$1501,0))&amp;" / ","")&amp;INDEX(Квартиры!$H$2:$H$1501,MATCH($A71*1000+8,Квартиры!$K$2:$K$1501,0))&amp;" СУ"&amp;IF(INDEX(Квартиры!$I$2:$I$1501,MATCH($A71*1000+8,Квартиры!$K$2:$K$1501,0))&gt;0," +У","")&amp;IF(INDEX(Квартиры!$J$2:$J$1501,MATCH($A71*1000+8,Квартиры!$K$2:$K$1501,0))&gt;0," +Г",""),"-"))</f>
        <v/>
      </c>
      <c r="K71">
        <f>IF($A71="","",IFERROR(IF(Настройки!$B$4="да",INDEX(Квартиры!$D$2:$D$1501,MATCH($A71*1000+9,Квартиры!$K$2:$K$1501,0))&amp;" / ","")&amp;INDEX(Квартиры!$H$2:$H$1501,MATCH($A71*1000+9,Квартиры!$K$2:$K$1501,0))&amp;" СУ"&amp;IF(INDEX(Квартиры!$I$2:$I$1501,MATCH($A71*1000+9,Квартиры!$K$2:$K$1501,0))&gt;0," +У","")&amp;IF(INDEX(Квартиры!$J$2:$J$1501,MATCH($A71*1000+9,Квартиры!$K$2:$K$1501,0))&gt;0," +Г",""),"-"))</f>
        <v/>
      </c>
      <c r="L71">
        <f>IF($A71="","",IFERROR(IF(Настройки!$B$4="да",INDEX(Квартиры!$D$2:$D$1501,MATCH($A71*1000+10,Квартиры!$K$2:$K$1501,0))&amp;" / ","")&amp;INDEX(Квартиры!$H$2:$H$1501,MATCH($A71*1000+10,Квартиры!$K$2:$K$1501,0))&amp;" СУ"&amp;IF(INDEX(Квартиры!$I$2:$I$1501,MATCH($A71*1000+10,Квартиры!$K$2:$K$1501,0))&gt;0," +У","")&amp;IF(INDEX(Квартиры!$J$2:$J$1501,MATCH($A71*1000+10,Квартиры!$K$2:$K$1501,0))&gt;0," +Г",""),"-"))</f>
        <v/>
      </c>
      <c r="M71">
        <f>IF($A71="","",IFERROR(IF(Настройки!$B$4="да",INDEX(Квартиры!$D$2:$D$1501,MATCH($A71*1000+11,Квартиры!$K$2:$K$1501,0))&amp;" / ","")&amp;INDEX(Квартиры!$H$2:$H$1501,MATCH($A71*1000+11,Квартиры!$K$2:$K$1501,0))&amp;" СУ"&amp;IF(INDEX(Квартиры!$I$2:$I$1501,MATCH($A71*1000+11,Квартиры!$K$2:$K$1501,0))&gt;0," +У","")&amp;IF(INDEX(Квартиры!$J$2:$J$1501,MATCH($A71*1000+11,Квартиры!$K$2:$K$1501,0))&gt;0," +Г",""),"-"))</f>
        <v/>
      </c>
      <c r="N71">
        <f>IF($A71="","",IFERROR(IF(Настройки!$B$4="да",INDEX(Квартиры!$D$2:$D$1501,MATCH($A71*1000+12,Квартиры!$K$2:$K$1501,0))&amp;" / ","")&amp;INDEX(Квартиры!$H$2:$H$1501,MATCH($A71*1000+12,Квартиры!$K$2:$K$1501,0))&amp;" СУ"&amp;IF(INDEX(Квартиры!$I$2:$I$1501,MATCH($A71*1000+12,Квартиры!$K$2:$K$1501,0))&gt;0," +У","")&amp;IF(INDEX(Квартиры!$J$2:$J$1501,MATCH($A71*1000+12,Квартиры!$K$2:$K$1501,0))&gt;0," +Г",""),"-"))</f>
        <v/>
      </c>
      <c r="O71">
        <f>IF($A71="","",IFERROR(IF(Настройки!$B$4="да",INDEX(Квартиры!$D$2:$D$1501,MATCH($A71*1000+13,Квартиры!$K$2:$K$1501,0))&amp;" / ","")&amp;INDEX(Квартиры!$H$2:$H$1501,MATCH($A71*1000+13,Квартиры!$K$2:$K$1501,0))&amp;" СУ"&amp;IF(INDEX(Квартиры!$I$2:$I$1501,MATCH($A71*1000+13,Квартиры!$K$2:$K$1501,0))&gt;0," +У","")&amp;IF(INDEX(Квартиры!$J$2:$J$1501,MATCH($A71*1000+13,Квартиры!$K$2:$K$1501,0))&gt;0," +Г",""),"-"))</f>
        <v/>
      </c>
      <c r="P71">
        <f>IF($A71="","",IFERROR(IF(Настройки!$B$4="да",INDEX(Квартиры!$D$2:$D$1501,MATCH($A71*1000+14,Квартиры!$K$2:$K$1501,0))&amp;" / ","")&amp;INDEX(Квартиры!$H$2:$H$1501,MATCH($A71*1000+14,Квартиры!$K$2:$K$1501,0))&amp;" СУ"&amp;IF(INDEX(Квартиры!$I$2:$I$1501,MATCH($A71*1000+14,Квартиры!$K$2:$K$1501,0))&gt;0," +У","")&amp;IF(INDEX(Квартиры!$J$2:$J$1501,MATCH($A71*1000+14,Квартиры!$K$2:$K$1501,0))&gt;0," +Г",""),"-"))</f>
        <v/>
      </c>
      <c r="Q71">
        <f>IF($A71="","",IFERROR(IF(Настройки!$B$4="да",INDEX(Квартиры!$D$2:$D$1501,MATCH($A71*1000+15,Квартиры!$K$2:$K$1501,0))&amp;" / ","")&amp;INDEX(Квартиры!$H$2:$H$1501,MATCH($A71*1000+15,Квартиры!$K$2:$K$1501,0))&amp;" СУ"&amp;IF(INDEX(Квартиры!$I$2:$I$1501,MATCH($A71*1000+15,Квартиры!$K$2:$K$1501,0))&gt;0," +У","")&amp;IF(INDEX(Квартиры!$J$2:$J$1501,MATCH($A71*1000+15,Квартиры!$K$2:$K$1501,0))&gt;0," +Г",""),"-"))</f>
        <v/>
      </c>
      <c r="R71">
        <f>IF(A71="","",C71&amp;"|"&amp;D71&amp;"|"&amp;E71&amp;"|"&amp;F71&amp;"|"&amp;G71&amp;"|"&amp;H71&amp;"|"&amp;I71&amp;"|"&amp;J71&amp;"|"&amp;K71&amp;"|"&amp;L71&amp;"|"&amp;M71&amp;"|"&amp;N71&amp;"|"&amp;O71&amp;"|"&amp;P71&amp;"|"&amp;Q71)</f>
        <v/>
      </c>
      <c r="S71">
        <f>IF(A71="","",IFERROR(LOOKUP(2,1/(B$2:B70=B71),S$2:S70)&amp;", ","")&amp;A71)</f>
        <v/>
      </c>
      <c r="U71">
        <f>IF(69&gt;MAX(B$3:B$82),"",69)</f>
        <v/>
      </c>
      <c r="V71">
        <f>IF(U71="","",LOOKUP(2,1/(B$3:B$82=U71),S$3:S$82))</f>
        <v/>
      </c>
      <c r="W71">
        <f>IF(U71="","",COUNTIF(B$3:B$82,U71))</f>
        <v/>
      </c>
    </row>
    <row r="72">
      <c r="A72">
        <f>IFERROR(IF(A71="","",SMALL(Квартиры!$B$2:$B$1501,COUNTIF(Квартиры!$B$2:$B$1501,"&lt;="&amp;A71)+1)),"")</f>
        <v/>
      </c>
      <c r="B72">
        <f>IF(A72="","",IF(COUNTIF(R$2:R71,R72)=0,MAX(B$2:B71)+1,INDEX(B$2:B71,MATCH(R72,R$2:R71,0))))</f>
        <v/>
      </c>
      <c r="C72">
        <f>IF($A72="","",IFERROR(IF(Настройки!$B$4="да",INDEX(Квартиры!$D$2:$D$1501,MATCH($A72*1000+1,Квартиры!$K$2:$K$1501,0))&amp;" / ","")&amp;INDEX(Квартиры!$H$2:$H$1501,MATCH($A72*1000+1,Квартиры!$K$2:$K$1501,0))&amp;" СУ"&amp;IF(INDEX(Квартиры!$I$2:$I$1501,MATCH($A72*1000+1,Квартиры!$K$2:$K$1501,0))&gt;0," +У","")&amp;IF(INDEX(Квартиры!$J$2:$J$1501,MATCH($A72*1000+1,Квартиры!$K$2:$K$1501,0))&gt;0," +Г",""),"-"))</f>
        <v/>
      </c>
      <c r="D72">
        <f>IF($A72="","",IFERROR(IF(Настройки!$B$4="да",INDEX(Квартиры!$D$2:$D$1501,MATCH($A72*1000+2,Квартиры!$K$2:$K$1501,0))&amp;" / ","")&amp;INDEX(Квартиры!$H$2:$H$1501,MATCH($A72*1000+2,Квартиры!$K$2:$K$1501,0))&amp;" СУ"&amp;IF(INDEX(Квартиры!$I$2:$I$1501,MATCH($A72*1000+2,Квартиры!$K$2:$K$1501,0))&gt;0," +У","")&amp;IF(INDEX(Квартиры!$J$2:$J$1501,MATCH($A72*1000+2,Квартиры!$K$2:$K$1501,0))&gt;0," +Г",""),"-"))</f>
        <v/>
      </c>
      <c r="E72">
        <f>IF($A72="","",IFERROR(IF(Настройки!$B$4="да",INDEX(Квартиры!$D$2:$D$1501,MATCH($A72*1000+3,Квартиры!$K$2:$K$1501,0))&amp;" / ","")&amp;INDEX(Квартиры!$H$2:$H$1501,MATCH($A72*1000+3,Квартиры!$K$2:$K$1501,0))&amp;" СУ"&amp;IF(INDEX(Квартиры!$I$2:$I$1501,MATCH($A72*1000+3,Квартиры!$K$2:$K$1501,0))&gt;0," +У","")&amp;IF(INDEX(Квартиры!$J$2:$J$1501,MATCH($A72*1000+3,Квартиры!$K$2:$K$1501,0))&gt;0," +Г",""),"-"))</f>
        <v/>
      </c>
      <c r="F72">
        <f>IF($A72="","",IFERROR(IF(Настройки!$B$4="да",INDEX(Квартиры!$D$2:$D$1501,MATCH($A72*1000+4,Квартиры!$K$2:$K$1501,0))&amp;" / ","")&amp;INDEX(Квартиры!$H$2:$H$1501,MATCH($A72*1000+4,Квартиры!$K$2:$K$1501,0))&amp;" СУ"&amp;IF(INDEX(Квартиры!$I$2:$I$1501,MATCH($A72*1000+4,Квартиры!$K$2:$K$1501,0))&gt;0," +У","")&amp;IF(INDEX(Квартиры!$J$2:$J$1501,MATCH($A72*1000+4,Квартиры!$K$2:$K$1501,0))&gt;0," +Г",""),"-"))</f>
        <v/>
      </c>
      <c r="G72">
        <f>IF($A72="","",IFERROR(IF(Настройки!$B$4="да",INDEX(Квартиры!$D$2:$D$1501,MATCH($A72*1000+5,Квартиры!$K$2:$K$1501,0))&amp;" / ","")&amp;INDEX(Квартиры!$H$2:$H$1501,MATCH($A72*1000+5,Квартиры!$K$2:$K$1501,0))&amp;" СУ"&amp;IF(INDEX(Квартиры!$I$2:$I$1501,MATCH($A72*1000+5,Квартиры!$K$2:$K$1501,0))&gt;0," +У","")&amp;IF(INDEX(Квартиры!$J$2:$J$1501,MATCH($A72*1000+5,Квартиры!$K$2:$K$1501,0))&gt;0," +Г",""),"-"))</f>
        <v/>
      </c>
      <c r="H72">
        <f>IF($A72="","",IFERROR(IF(Настройки!$B$4="да",INDEX(Квартиры!$D$2:$D$1501,MATCH($A72*1000+6,Квартиры!$K$2:$K$1501,0))&amp;" / ","")&amp;INDEX(Квартиры!$H$2:$H$1501,MATCH($A72*1000+6,Квартиры!$K$2:$K$1501,0))&amp;" СУ"&amp;IF(INDEX(Квартиры!$I$2:$I$1501,MATCH($A72*1000+6,Квартиры!$K$2:$K$1501,0))&gt;0," +У","")&amp;IF(INDEX(Квартиры!$J$2:$J$1501,MATCH($A72*1000+6,Квартиры!$K$2:$K$1501,0))&gt;0," +Г",""),"-"))</f>
        <v/>
      </c>
      <c r="I72">
        <f>IF($A72="","",IFERROR(IF(Настройки!$B$4="да",INDEX(Квартиры!$D$2:$D$1501,MATCH($A72*1000+7,Квартиры!$K$2:$K$1501,0))&amp;" / ","")&amp;INDEX(Квартиры!$H$2:$H$1501,MATCH($A72*1000+7,Квартиры!$K$2:$K$1501,0))&amp;" СУ"&amp;IF(INDEX(Квартиры!$I$2:$I$1501,MATCH($A72*1000+7,Квартиры!$K$2:$K$1501,0))&gt;0," +У","")&amp;IF(INDEX(Квартиры!$J$2:$J$1501,MATCH($A72*1000+7,Квартиры!$K$2:$K$1501,0))&gt;0," +Г",""),"-"))</f>
        <v/>
      </c>
      <c r="J72">
        <f>IF($A72="","",IFERROR(IF(Настройки!$B$4="да",INDEX(Квартиры!$D$2:$D$1501,MATCH($A72*1000+8,Квартиры!$K$2:$K$1501,0))&amp;" / ","")&amp;INDEX(Квартиры!$H$2:$H$1501,MATCH($A72*1000+8,Квартиры!$K$2:$K$1501,0))&amp;" СУ"&amp;IF(INDEX(Квартиры!$I$2:$I$1501,MATCH($A72*1000+8,Квартиры!$K$2:$K$1501,0))&gt;0," +У","")&amp;IF(INDEX(Квартиры!$J$2:$J$1501,MATCH($A72*1000+8,Квартиры!$K$2:$K$1501,0))&gt;0," +Г",""),"-"))</f>
        <v/>
      </c>
      <c r="K72">
        <f>IF($A72="","",IFERROR(IF(Настройки!$B$4="да",INDEX(Квартиры!$D$2:$D$1501,MATCH($A72*1000+9,Квартиры!$K$2:$K$1501,0))&amp;" / ","")&amp;INDEX(Квартиры!$H$2:$H$1501,MATCH($A72*1000+9,Квартиры!$K$2:$K$1501,0))&amp;" СУ"&amp;IF(INDEX(Квартиры!$I$2:$I$1501,MATCH($A72*1000+9,Квартиры!$K$2:$K$1501,0))&gt;0," +У","")&amp;IF(INDEX(Квартиры!$J$2:$J$1501,MATCH($A72*1000+9,Квартиры!$K$2:$K$1501,0))&gt;0," +Г",""),"-"))</f>
        <v/>
      </c>
      <c r="L72">
        <f>IF($A72="","",IFERROR(IF(Настройки!$B$4="да",INDEX(Квартиры!$D$2:$D$1501,MATCH($A72*1000+10,Квартиры!$K$2:$K$1501,0))&amp;" / ","")&amp;INDEX(Квартиры!$H$2:$H$1501,MATCH($A72*1000+10,Квартиры!$K$2:$K$1501,0))&amp;" СУ"&amp;IF(INDEX(Квартиры!$I$2:$I$1501,MATCH($A72*1000+10,Квартиры!$K$2:$K$1501,0))&gt;0," +У","")&amp;IF(INDEX(Квартиры!$J$2:$J$1501,MATCH($A72*1000+10,Квартиры!$K$2:$K$1501,0))&gt;0," +Г",""),"-"))</f>
        <v/>
      </c>
      <c r="M72">
        <f>IF($A72="","",IFERROR(IF(Настройки!$B$4="да",INDEX(Квартиры!$D$2:$D$1501,MATCH($A72*1000+11,Квартиры!$K$2:$K$1501,0))&amp;" / ","")&amp;INDEX(Квартиры!$H$2:$H$1501,MATCH($A72*1000+11,Квартиры!$K$2:$K$1501,0))&amp;" СУ"&amp;IF(INDEX(Квартиры!$I$2:$I$1501,MATCH($A72*1000+11,Квартиры!$K$2:$K$1501,0))&gt;0," +У","")&amp;IF(INDEX(Квартиры!$J$2:$J$1501,MATCH($A72*1000+11,Квартиры!$K$2:$K$1501,0))&gt;0," +Г",""),"-"))</f>
        <v/>
      </c>
      <c r="N72">
        <f>IF($A72="","",IFERROR(IF(Настройки!$B$4="да",INDEX(Квартиры!$D$2:$D$1501,MATCH($A72*1000+12,Квартиры!$K$2:$K$1501,0))&amp;" / ","")&amp;INDEX(Квартиры!$H$2:$H$1501,MATCH($A72*1000+12,Квартиры!$K$2:$K$1501,0))&amp;" СУ"&amp;IF(INDEX(Квартиры!$I$2:$I$1501,MATCH($A72*1000+12,Квартиры!$K$2:$K$1501,0))&gt;0," +У","")&amp;IF(INDEX(Квартиры!$J$2:$J$1501,MATCH($A72*1000+12,Квартиры!$K$2:$K$1501,0))&gt;0," +Г",""),"-"))</f>
        <v/>
      </c>
      <c r="O72">
        <f>IF($A72="","",IFERROR(IF(Настройки!$B$4="да",INDEX(Квартиры!$D$2:$D$1501,MATCH($A72*1000+13,Квартиры!$K$2:$K$1501,0))&amp;" / ","")&amp;INDEX(Квартиры!$H$2:$H$1501,MATCH($A72*1000+13,Квартиры!$K$2:$K$1501,0))&amp;" СУ"&amp;IF(INDEX(Квартиры!$I$2:$I$1501,MATCH($A72*1000+13,Квартиры!$K$2:$K$1501,0))&gt;0," +У","")&amp;IF(INDEX(Квартиры!$J$2:$J$1501,MATCH($A72*1000+13,Квартиры!$K$2:$K$1501,0))&gt;0," +Г",""),"-"))</f>
        <v/>
      </c>
      <c r="P72">
        <f>IF($A72="","",IFERROR(IF(Настройки!$B$4="да",INDEX(Квартиры!$D$2:$D$1501,MATCH($A72*1000+14,Квартиры!$K$2:$K$1501,0))&amp;" / ","")&amp;INDEX(Квартиры!$H$2:$H$1501,MATCH($A72*1000+14,Квартиры!$K$2:$K$1501,0))&amp;" СУ"&amp;IF(INDEX(Квартиры!$I$2:$I$1501,MATCH($A72*1000+14,Квартиры!$K$2:$K$1501,0))&gt;0," +У","")&amp;IF(INDEX(Квартиры!$J$2:$J$1501,MATCH($A72*1000+14,Квартиры!$K$2:$K$1501,0))&gt;0," +Г",""),"-"))</f>
        <v/>
      </c>
      <c r="Q72">
        <f>IF($A72="","",IFERROR(IF(Настройки!$B$4="да",INDEX(Квартиры!$D$2:$D$1501,MATCH($A72*1000+15,Квартиры!$K$2:$K$1501,0))&amp;" / ","")&amp;INDEX(Квартиры!$H$2:$H$1501,MATCH($A72*1000+15,Квартиры!$K$2:$K$1501,0))&amp;" СУ"&amp;IF(INDEX(Квартиры!$I$2:$I$1501,MATCH($A72*1000+15,Квартиры!$K$2:$K$1501,0))&gt;0," +У","")&amp;IF(INDEX(Квартиры!$J$2:$J$1501,MATCH($A72*1000+15,Квартиры!$K$2:$K$1501,0))&gt;0," +Г",""),"-"))</f>
        <v/>
      </c>
      <c r="R72">
        <f>IF(A72="","",C72&amp;"|"&amp;D72&amp;"|"&amp;E72&amp;"|"&amp;F72&amp;"|"&amp;G72&amp;"|"&amp;H72&amp;"|"&amp;I72&amp;"|"&amp;J72&amp;"|"&amp;K72&amp;"|"&amp;L72&amp;"|"&amp;M72&amp;"|"&amp;N72&amp;"|"&amp;O72&amp;"|"&amp;P72&amp;"|"&amp;Q72)</f>
        <v/>
      </c>
      <c r="S72">
        <f>IF(A72="","",IFERROR(LOOKUP(2,1/(B$2:B71=B72),S$2:S71)&amp;", ","")&amp;A72)</f>
        <v/>
      </c>
      <c r="U72">
        <f>IF(70&gt;MAX(B$3:B$82),"",70)</f>
        <v/>
      </c>
      <c r="V72">
        <f>IF(U72="","",LOOKUP(2,1/(B$3:B$82=U72),S$3:S$82))</f>
        <v/>
      </c>
      <c r="W72">
        <f>IF(U72="","",COUNTIF(B$3:B$82,U72))</f>
        <v/>
      </c>
    </row>
    <row r="73">
      <c r="A73">
        <f>IFERROR(IF(A72="","",SMALL(Квартиры!$B$2:$B$1501,COUNTIF(Квартиры!$B$2:$B$1501,"&lt;="&amp;A72)+1)),"")</f>
        <v/>
      </c>
      <c r="B73">
        <f>IF(A73="","",IF(COUNTIF(R$2:R72,R73)=0,MAX(B$2:B72)+1,INDEX(B$2:B72,MATCH(R73,R$2:R72,0))))</f>
        <v/>
      </c>
      <c r="C73">
        <f>IF($A73="","",IFERROR(IF(Настройки!$B$4="да",INDEX(Квартиры!$D$2:$D$1501,MATCH($A73*1000+1,Квартиры!$K$2:$K$1501,0))&amp;" / ","")&amp;INDEX(Квартиры!$H$2:$H$1501,MATCH($A73*1000+1,Квартиры!$K$2:$K$1501,0))&amp;" СУ"&amp;IF(INDEX(Квартиры!$I$2:$I$1501,MATCH($A73*1000+1,Квартиры!$K$2:$K$1501,0))&gt;0," +У","")&amp;IF(INDEX(Квартиры!$J$2:$J$1501,MATCH($A73*1000+1,Квартиры!$K$2:$K$1501,0))&gt;0," +Г",""),"-"))</f>
        <v/>
      </c>
      <c r="D73">
        <f>IF($A73="","",IFERROR(IF(Настройки!$B$4="да",INDEX(Квартиры!$D$2:$D$1501,MATCH($A73*1000+2,Квартиры!$K$2:$K$1501,0))&amp;" / ","")&amp;INDEX(Квартиры!$H$2:$H$1501,MATCH($A73*1000+2,Квартиры!$K$2:$K$1501,0))&amp;" СУ"&amp;IF(INDEX(Квартиры!$I$2:$I$1501,MATCH($A73*1000+2,Квартиры!$K$2:$K$1501,0))&gt;0," +У","")&amp;IF(INDEX(Квартиры!$J$2:$J$1501,MATCH($A73*1000+2,Квартиры!$K$2:$K$1501,0))&gt;0," +Г",""),"-"))</f>
        <v/>
      </c>
      <c r="E73">
        <f>IF($A73="","",IFERROR(IF(Настройки!$B$4="да",INDEX(Квартиры!$D$2:$D$1501,MATCH($A73*1000+3,Квартиры!$K$2:$K$1501,0))&amp;" / ","")&amp;INDEX(Квартиры!$H$2:$H$1501,MATCH($A73*1000+3,Квартиры!$K$2:$K$1501,0))&amp;" СУ"&amp;IF(INDEX(Квартиры!$I$2:$I$1501,MATCH($A73*1000+3,Квартиры!$K$2:$K$1501,0))&gt;0," +У","")&amp;IF(INDEX(Квартиры!$J$2:$J$1501,MATCH($A73*1000+3,Квартиры!$K$2:$K$1501,0))&gt;0," +Г",""),"-"))</f>
        <v/>
      </c>
      <c r="F73">
        <f>IF($A73="","",IFERROR(IF(Настройки!$B$4="да",INDEX(Квартиры!$D$2:$D$1501,MATCH($A73*1000+4,Квартиры!$K$2:$K$1501,0))&amp;" / ","")&amp;INDEX(Квартиры!$H$2:$H$1501,MATCH($A73*1000+4,Квартиры!$K$2:$K$1501,0))&amp;" СУ"&amp;IF(INDEX(Квартиры!$I$2:$I$1501,MATCH($A73*1000+4,Квартиры!$K$2:$K$1501,0))&gt;0," +У","")&amp;IF(INDEX(Квартиры!$J$2:$J$1501,MATCH($A73*1000+4,Квартиры!$K$2:$K$1501,0))&gt;0," +Г",""),"-"))</f>
        <v/>
      </c>
      <c r="G73">
        <f>IF($A73="","",IFERROR(IF(Настройки!$B$4="да",INDEX(Квартиры!$D$2:$D$1501,MATCH($A73*1000+5,Квартиры!$K$2:$K$1501,0))&amp;" / ","")&amp;INDEX(Квартиры!$H$2:$H$1501,MATCH($A73*1000+5,Квартиры!$K$2:$K$1501,0))&amp;" СУ"&amp;IF(INDEX(Квартиры!$I$2:$I$1501,MATCH($A73*1000+5,Квартиры!$K$2:$K$1501,0))&gt;0," +У","")&amp;IF(INDEX(Квартиры!$J$2:$J$1501,MATCH($A73*1000+5,Квартиры!$K$2:$K$1501,0))&gt;0," +Г",""),"-"))</f>
        <v/>
      </c>
      <c r="H73">
        <f>IF($A73="","",IFERROR(IF(Настройки!$B$4="да",INDEX(Квартиры!$D$2:$D$1501,MATCH($A73*1000+6,Квартиры!$K$2:$K$1501,0))&amp;" / ","")&amp;INDEX(Квартиры!$H$2:$H$1501,MATCH($A73*1000+6,Квартиры!$K$2:$K$1501,0))&amp;" СУ"&amp;IF(INDEX(Квартиры!$I$2:$I$1501,MATCH($A73*1000+6,Квартиры!$K$2:$K$1501,0))&gt;0," +У","")&amp;IF(INDEX(Квартиры!$J$2:$J$1501,MATCH($A73*1000+6,Квартиры!$K$2:$K$1501,0))&gt;0," +Г",""),"-"))</f>
        <v/>
      </c>
      <c r="I73">
        <f>IF($A73="","",IFERROR(IF(Настройки!$B$4="да",INDEX(Квартиры!$D$2:$D$1501,MATCH($A73*1000+7,Квартиры!$K$2:$K$1501,0))&amp;" / ","")&amp;INDEX(Квартиры!$H$2:$H$1501,MATCH($A73*1000+7,Квартиры!$K$2:$K$1501,0))&amp;" СУ"&amp;IF(INDEX(Квартиры!$I$2:$I$1501,MATCH($A73*1000+7,Квартиры!$K$2:$K$1501,0))&gt;0," +У","")&amp;IF(INDEX(Квартиры!$J$2:$J$1501,MATCH($A73*1000+7,Квартиры!$K$2:$K$1501,0))&gt;0," +Г",""),"-"))</f>
        <v/>
      </c>
      <c r="J73">
        <f>IF($A73="","",IFERROR(IF(Настройки!$B$4="да",INDEX(Квартиры!$D$2:$D$1501,MATCH($A73*1000+8,Квартиры!$K$2:$K$1501,0))&amp;" / ","")&amp;INDEX(Квартиры!$H$2:$H$1501,MATCH($A73*1000+8,Квартиры!$K$2:$K$1501,0))&amp;" СУ"&amp;IF(INDEX(Квартиры!$I$2:$I$1501,MATCH($A73*1000+8,Квартиры!$K$2:$K$1501,0))&gt;0," +У","")&amp;IF(INDEX(Квартиры!$J$2:$J$1501,MATCH($A73*1000+8,Квартиры!$K$2:$K$1501,0))&gt;0," +Г",""),"-"))</f>
        <v/>
      </c>
      <c r="K73">
        <f>IF($A73="","",IFERROR(IF(Настройки!$B$4="да",INDEX(Квартиры!$D$2:$D$1501,MATCH($A73*1000+9,Квартиры!$K$2:$K$1501,0))&amp;" / ","")&amp;INDEX(Квартиры!$H$2:$H$1501,MATCH($A73*1000+9,Квартиры!$K$2:$K$1501,0))&amp;" СУ"&amp;IF(INDEX(Квартиры!$I$2:$I$1501,MATCH($A73*1000+9,Квартиры!$K$2:$K$1501,0))&gt;0," +У","")&amp;IF(INDEX(Квартиры!$J$2:$J$1501,MATCH($A73*1000+9,Квартиры!$K$2:$K$1501,0))&gt;0," +Г",""),"-"))</f>
        <v/>
      </c>
      <c r="L73">
        <f>IF($A73="","",IFERROR(IF(Настройки!$B$4="да",INDEX(Квартиры!$D$2:$D$1501,MATCH($A73*1000+10,Квартиры!$K$2:$K$1501,0))&amp;" / ","")&amp;INDEX(Квартиры!$H$2:$H$1501,MATCH($A73*1000+10,Квартиры!$K$2:$K$1501,0))&amp;" СУ"&amp;IF(INDEX(Квартиры!$I$2:$I$1501,MATCH($A73*1000+10,Квартиры!$K$2:$K$1501,0))&gt;0," +У","")&amp;IF(INDEX(Квартиры!$J$2:$J$1501,MATCH($A73*1000+10,Квартиры!$K$2:$K$1501,0))&gt;0," +Г",""),"-"))</f>
        <v/>
      </c>
      <c r="M73">
        <f>IF($A73="","",IFERROR(IF(Настройки!$B$4="да",INDEX(Квартиры!$D$2:$D$1501,MATCH($A73*1000+11,Квартиры!$K$2:$K$1501,0))&amp;" / ","")&amp;INDEX(Квартиры!$H$2:$H$1501,MATCH($A73*1000+11,Квартиры!$K$2:$K$1501,0))&amp;" СУ"&amp;IF(INDEX(Квартиры!$I$2:$I$1501,MATCH($A73*1000+11,Квартиры!$K$2:$K$1501,0))&gt;0," +У","")&amp;IF(INDEX(Квартиры!$J$2:$J$1501,MATCH($A73*1000+11,Квартиры!$K$2:$K$1501,0))&gt;0," +Г",""),"-"))</f>
        <v/>
      </c>
      <c r="N73">
        <f>IF($A73="","",IFERROR(IF(Настройки!$B$4="да",INDEX(Квартиры!$D$2:$D$1501,MATCH($A73*1000+12,Квартиры!$K$2:$K$1501,0))&amp;" / ","")&amp;INDEX(Квартиры!$H$2:$H$1501,MATCH($A73*1000+12,Квартиры!$K$2:$K$1501,0))&amp;" СУ"&amp;IF(INDEX(Квартиры!$I$2:$I$1501,MATCH($A73*1000+12,Квартиры!$K$2:$K$1501,0))&gt;0," +У","")&amp;IF(INDEX(Квартиры!$J$2:$J$1501,MATCH($A73*1000+12,Квартиры!$K$2:$K$1501,0))&gt;0," +Г",""),"-"))</f>
        <v/>
      </c>
      <c r="O73">
        <f>IF($A73="","",IFERROR(IF(Настройки!$B$4="да",INDEX(Квартиры!$D$2:$D$1501,MATCH($A73*1000+13,Квартиры!$K$2:$K$1501,0))&amp;" / ","")&amp;INDEX(Квартиры!$H$2:$H$1501,MATCH($A73*1000+13,Квартиры!$K$2:$K$1501,0))&amp;" СУ"&amp;IF(INDEX(Квартиры!$I$2:$I$1501,MATCH($A73*1000+13,Квартиры!$K$2:$K$1501,0))&gt;0," +У","")&amp;IF(INDEX(Квартиры!$J$2:$J$1501,MATCH($A73*1000+13,Квартиры!$K$2:$K$1501,0))&gt;0," +Г",""),"-"))</f>
        <v/>
      </c>
      <c r="P73">
        <f>IF($A73="","",IFERROR(IF(Настройки!$B$4="да",INDEX(Квартиры!$D$2:$D$1501,MATCH($A73*1000+14,Квартиры!$K$2:$K$1501,0))&amp;" / ","")&amp;INDEX(Квартиры!$H$2:$H$1501,MATCH($A73*1000+14,Квартиры!$K$2:$K$1501,0))&amp;" СУ"&amp;IF(INDEX(Квартиры!$I$2:$I$1501,MATCH($A73*1000+14,Квартиры!$K$2:$K$1501,0))&gt;0," +У","")&amp;IF(INDEX(Квартиры!$J$2:$J$1501,MATCH($A73*1000+14,Квартиры!$K$2:$K$1501,0))&gt;0," +Г",""),"-"))</f>
        <v/>
      </c>
      <c r="Q73">
        <f>IF($A73="","",IFERROR(IF(Настройки!$B$4="да",INDEX(Квартиры!$D$2:$D$1501,MATCH($A73*1000+15,Квартиры!$K$2:$K$1501,0))&amp;" / ","")&amp;INDEX(Квартиры!$H$2:$H$1501,MATCH($A73*1000+15,Квартиры!$K$2:$K$1501,0))&amp;" СУ"&amp;IF(INDEX(Квартиры!$I$2:$I$1501,MATCH($A73*1000+15,Квартиры!$K$2:$K$1501,0))&gt;0," +У","")&amp;IF(INDEX(Квартиры!$J$2:$J$1501,MATCH($A73*1000+15,Квартиры!$K$2:$K$1501,0))&gt;0," +Г",""),"-"))</f>
        <v/>
      </c>
      <c r="R73">
        <f>IF(A73="","",C73&amp;"|"&amp;D73&amp;"|"&amp;E73&amp;"|"&amp;F73&amp;"|"&amp;G73&amp;"|"&amp;H73&amp;"|"&amp;I73&amp;"|"&amp;J73&amp;"|"&amp;K73&amp;"|"&amp;L73&amp;"|"&amp;M73&amp;"|"&amp;N73&amp;"|"&amp;O73&amp;"|"&amp;P73&amp;"|"&amp;Q73)</f>
        <v/>
      </c>
      <c r="S73">
        <f>IF(A73="","",IFERROR(LOOKUP(2,1/(B$2:B72=B73),S$2:S72)&amp;", ","")&amp;A73)</f>
        <v/>
      </c>
      <c r="U73">
        <f>IF(71&gt;MAX(B$3:B$82),"",71)</f>
        <v/>
      </c>
      <c r="V73">
        <f>IF(U73="","",LOOKUP(2,1/(B$3:B$82=U73),S$3:S$82))</f>
        <v/>
      </c>
      <c r="W73">
        <f>IF(U73="","",COUNTIF(B$3:B$82,U73))</f>
        <v/>
      </c>
    </row>
    <row r="74">
      <c r="A74">
        <f>IFERROR(IF(A73="","",SMALL(Квартиры!$B$2:$B$1501,COUNTIF(Квартиры!$B$2:$B$1501,"&lt;="&amp;A73)+1)),"")</f>
        <v/>
      </c>
      <c r="B74">
        <f>IF(A74="","",IF(COUNTIF(R$2:R73,R74)=0,MAX(B$2:B73)+1,INDEX(B$2:B73,MATCH(R74,R$2:R73,0))))</f>
        <v/>
      </c>
      <c r="C74">
        <f>IF($A74="","",IFERROR(IF(Настройки!$B$4="да",INDEX(Квартиры!$D$2:$D$1501,MATCH($A74*1000+1,Квартиры!$K$2:$K$1501,0))&amp;" / ","")&amp;INDEX(Квартиры!$H$2:$H$1501,MATCH($A74*1000+1,Квартиры!$K$2:$K$1501,0))&amp;" СУ"&amp;IF(INDEX(Квартиры!$I$2:$I$1501,MATCH($A74*1000+1,Квартиры!$K$2:$K$1501,0))&gt;0," +У","")&amp;IF(INDEX(Квартиры!$J$2:$J$1501,MATCH($A74*1000+1,Квартиры!$K$2:$K$1501,0))&gt;0," +Г",""),"-"))</f>
        <v/>
      </c>
      <c r="D74">
        <f>IF($A74="","",IFERROR(IF(Настройки!$B$4="да",INDEX(Квартиры!$D$2:$D$1501,MATCH($A74*1000+2,Квартиры!$K$2:$K$1501,0))&amp;" / ","")&amp;INDEX(Квартиры!$H$2:$H$1501,MATCH($A74*1000+2,Квартиры!$K$2:$K$1501,0))&amp;" СУ"&amp;IF(INDEX(Квартиры!$I$2:$I$1501,MATCH($A74*1000+2,Квартиры!$K$2:$K$1501,0))&gt;0," +У","")&amp;IF(INDEX(Квартиры!$J$2:$J$1501,MATCH($A74*1000+2,Квартиры!$K$2:$K$1501,0))&gt;0," +Г",""),"-"))</f>
        <v/>
      </c>
      <c r="E74">
        <f>IF($A74="","",IFERROR(IF(Настройки!$B$4="да",INDEX(Квартиры!$D$2:$D$1501,MATCH($A74*1000+3,Квартиры!$K$2:$K$1501,0))&amp;" / ","")&amp;INDEX(Квартиры!$H$2:$H$1501,MATCH($A74*1000+3,Квартиры!$K$2:$K$1501,0))&amp;" СУ"&amp;IF(INDEX(Квартиры!$I$2:$I$1501,MATCH($A74*1000+3,Квартиры!$K$2:$K$1501,0))&gt;0," +У","")&amp;IF(INDEX(Квартиры!$J$2:$J$1501,MATCH($A74*1000+3,Квартиры!$K$2:$K$1501,0))&gt;0," +Г",""),"-"))</f>
        <v/>
      </c>
      <c r="F74">
        <f>IF($A74="","",IFERROR(IF(Настройки!$B$4="да",INDEX(Квартиры!$D$2:$D$1501,MATCH($A74*1000+4,Квартиры!$K$2:$K$1501,0))&amp;" / ","")&amp;INDEX(Квартиры!$H$2:$H$1501,MATCH($A74*1000+4,Квартиры!$K$2:$K$1501,0))&amp;" СУ"&amp;IF(INDEX(Квартиры!$I$2:$I$1501,MATCH($A74*1000+4,Квартиры!$K$2:$K$1501,0))&gt;0," +У","")&amp;IF(INDEX(Квартиры!$J$2:$J$1501,MATCH($A74*1000+4,Квартиры!$K$2:$K$1501,0))&gt;0," +Г",""),"-"))</f>
        <v/>
      </c>
      <c r="G74">
        <f>IF($A74="","",IFERROR(IF(Настройки!$B$4="да",INDEX(Квартиры!$D$2:$D$1501,MATCH($A74*1000+5,Квартиры!$K$2:$K$1501,0))&amp;" / ","")&amp;INDEX(Квартиры!$H$2:$H$1501,MATCH($A74*1000+5,Квартиры!$K$2:$K$1501,0))&amp;" СУ"&amp;IF(INDEX(Квартиры!$I$2:$I$1501,MATCH($A74*1000+5,Квартиры!$K$2:$K$1501,0))&gt;0," +У","")&amp;IF(INDEX(Квартиры!$J$2:$J$1501,MATCH($A74*1000+5,Квартиры!$K$2:$K$1501,0))&gt;0," +Г",""),"-"))</f>
        <v/>
      </c>
      <c r="H74">
        <f>IF($A74="","",IFERROR(IF(Настройки!$B$4="да",INDEX(Квартиры!$D$2:$D$1501,MATCH($A74*1000+6,Квартиры!$K$2:$K$1501,0))&amp;" / ","")&amp;INDEX(Квартиры!$H$2:$H$1501,MATCH($A74*1000+6,Квартиры!$K$2:$K$1501,0))&amp;" СУ"&amp;IF(INDEX(Квартиры!$I$2:$I$1501,MATCH($A74*1000+6,Квартиры!$K$2:$K$1501,0))&gt;0," +У","")&amp;IF(INDEX(Квартиры!$J$2:$J$1501,MATCH($A74*1000+6,Квартиры!$K$2:$K$1501,0))&gt;0," +Г",""),"-"))</f>
        <v/>
      </c>
      <c r="I74">
        <f>IF($A74="","",IFERROR(IF(Настройки!$B$4="да",INDEX(Квартиры!$D$2:$D$1501,MATCH($A74*1000+7,Квартиры!$K$2:$K$1501,0))&amp;" / ","")&amp;INDEX(Квартиры!$H$2:$H$1501,MATCH($A74*1000+7,Квартиры!$K$2:$K$1501,0))&amp;" СУ"&amp;IF(INDEX(Квартиры!$I$2:$I$1501,MATCH($A74*1000+7,Квартиры!$K$2:$K$1501,0))&gt;0," +У","")&amp;IF(INDEX(Квартиры!$J$2:$J$1501,MATCH($A74*1000+7,Квартиры!$K$2:$K$1501,0))&gt;0," +Г",""),"-"))</f>
        <v/>
      </c>
      <c r="J74">
        <f>IF($A74="","",IFERROR(IF(Настройки!$B$4="да",INDEX(Квартиры!$D$2:$D$1501,MATCH($A74*1000+8,Квартиры!$K$2:$K$1501,0))&amp;" / ","")&amp;INDEX(Квартиры!$H$2:$H$1501,MATCH($A74*1000+8,Квартиры!$K$2:$K$1501,0))&amp;" СУ"&amp;IF(INDEX(Квартиры!$I$2:$I$1501,MATCH($A74*1000+8,Квартиры!$K$2:$K$1501,0))&gt;0," +У","")&amp;IF(INDEX(Квартиры!$J$2:$J$1501,MATCH($A74*1000+8,Квартиры!$K$2:$K$1501,0))&gt;0," +Г",""),"-"))</f>
        <v/>
      </c>
      <c r="K74">
        <f>IF($A74="","",IFERROR(IF(Настройки!$B$4="да",INDEX(Квартиры!$D$2:$D$1501,MATCH($A74*1000+9,Квартиры!$K$2:$K$1501,0))&amp;" / ","")&amp;INDEX(Квартиры!$H$2:$H$1501,MATCH($A74*1000+9,Квартиры!$K$2:$K$1501,0))&amp;" СУ"&amp;IF(INDEX(Квартиры!$I$2:$I$1501,MATCH($A74*1000+9,Квартиры!$K$2:$K$1501,0))&gt;0," +У","")&amp;IF(INDEX(Квартиры!$J$2:$J$1501,MATCH($A74*1000+9,Квартиры!$K$2:$K$1501,0))&gt;0," +Г",""),"-"))</f>
        <v/>
      </c>
      <c r="L74">
        <f>IF($A74="","",IFERROR(IF(Настройки!$B$4="да",INDEX(Квартиры!$D$2:$D$1501,MATCH($A74*1000+10,Квартиры!$K$2:$K$1501,0))&amp;" / ","")&amp;INDEX(Квартиры!$H$2:$H$1501,MATCH($A74*1000+10,Квартиры!$K$2:$K$1501,0))&amp;" СУ"&amp;IF(INDEX(Квартиры!$I$2:$I$1501,MATCH($A74*1000+10,Квартиры!$K$2:$K$1501,0))&gt;0," +У","")&amp;IF(INDEX(Квартиры!$J$2:$J$1501,MATCH($A74*1000+10,Квартиры!$K$2:$K$1501,0))&gt;0," +Г",""),"-"))</f>
        <v/>
      </c>
      <c r="M74">
        <f>IF($A74="","",IFERROR(IF(Настройки!$B$4="да",INDEX(Квартиры!$D$2:$D$1501,MATCH($A74*1000+11,Квартиры!$K$2:$K$1501,0))&amp;" / ","")&amp;INDEX(Квартиры!$H$2:$H$1501,MATCH($A74*1000+11,Квартиры!$K$2:$K$1501,0))&amp;" СУ"&amp;IF(INDEX(Квартиры!$I$2:$I$1501,MATCH($A74*1000+11,Квартиры!$K$2:$K$1501,0))&gt;0," +У","")&amp;IF(INDEX(Квартиры!$J$2:$J$1501,MATCH($A74*1000+11,Квартиры!$K$2:$K$1501,0))&gt;0," +Г",""),"-"))</f>
        <v/>
      </c>
      <c r="N74">
        <f>IF($A74="","",IFERROR(IF(Настройки!$B$4="да",INDEX(Квартиры!$D$2:$D$1501,MATCH($A74*1000+12,Квартиры!$K$2:$K$1501,0))&amp;" / ","")&amp;INDEX(Квартиры!$H$2:$H$1501,MATCH($A74*1000+12,Квартиры!$K$2:$K$1501,0))&amp;" СУ"&amp;IF(INDEX(Квартиры!$I$2:$I$1501,MATCH($A74*1000+12,Квартиры!$K$2:$K$1501,0))&gt;0," +У","")&amp;IF(INDEX(Квартиры!$J$2:$J$1501,MATCH($A74*1000+12,Квартиры!$K$2:$K$1501,0))&gt;0," +Г",""),"-"))</f>
        <v/>
      </c>
      <c r="O74">
        <f>IF($A74="","",IFERROR(IF(Настройки!$B$4="да",INDEX(Квартиры!$D$2:$D$1501,MATCH($A74*1000+13,Квартиры!$K$2:$K$1501,0))&amp;" / ","")&amp;INDEX(Квартиры!$H$2:$H$1501,MATCH($A74*1000+13,Квартиры!$K$2:$K$1501,0))&amp;" СУ"&amp;IF(INDEX(Квартиры!$I$2:$I$1501,MATCH($A74*1000+13,Квартиры!$K$2:$K$1501,0))&gt;0," +У","")&amp;IF(INDEX(Квартиры!$J$2:$J$1501,MATCH($A74*1000+13,Квартиры!$K$2:$K$1501,0))&gt;0," +Г",""),"-"))</f>
        <v/>
      </c>
      <c r="P74">
        <f>IF($A74="","",IFERROR(IF(Настройки!$B$4="да",INDEX(Квартиры!$D$2:$D$1501,MATCH($A74*1000+14,Квартиры!$K$2:$K$1501,0))&amp;" / ","")&amp;INDEX(Квартиры!$H$2:$H$1501,MATCH($A74*1000+14,Квартиры!$K$2:$K$1501,0))&amp;" СУ"&amp;IF(INDEX(Квартиры!$I$2:$I$1501,MATCH($A74*1000+14,Квартиры!$K$2:$K$1501,0))&gt;0," +У","")&amp;IF(INDEX(Квартиры!$J$2:$J$1501,MATCH($A74*1000+14,Квартиры!$K$2:$K$1501,0))&gt;0," +Г",""),"-"))</f>
        <v/>
      </c>
      <c r="Q74">
        <f>IF($A74="","",IFERROR(IF(Настройки!$B$4="да",INDEX(Квартиры!$D$2:$D$1501,MATCH($A74*1000+15,Квартиры!$K$2:$K$1501,0))&amp;" / ","")&amp;INDEX(Квартиры!$H$2:$H$1501,MATCH($A74*1000+15,Квартиры!$K$2:$K$1501,0))&amp;" СУ"&amp;IF(INDEX(Квартиры!$I$2:$I$1501,MATCH($A74*1000+15,Квартиры!$K$2:$K$1501,0))&gt;0," +У","")&amp;IF(INDEX(Квартиры!$J$2:$J$1501,MATCH($A74*1000+15,Квартиры!$K$2:$K$1501,0))&gt;0," +Г",""),"-"))</f>
        <v/>
      </c>
      <c r="R74">
        <f>IF(A74="","",C74&amp;"|"&amp;D74&amp;"|"&amp;E74&amp;"|"&amp;F74&amp;"|"&amp;G74&amp;"|"&amp;H74&amp;"|"&amp;I74&amp;"|"&amp;J74&amp;"|"&amp;K74&amp;"|"&amp;L74&amp;"|"&amp;M74&amp;"|"&amp;N74&amp;"|"&amp;O74&amp;"|"&amp;P74&amp;"|"&amp;Q74)</f>
        <v/>
      </c>
      <c r="S74">
        <f>IF(A74="","",IFERROR(LOOKUP(2,1/(B$2:B73=B74),S$2:S73)&amp;", ","")&amp;A74)</f>
        <v/>
      </c>
      <c r="U74">
        <f>IF(72&gt;MAX(B$3:B$82),"",72)</f>
        <v/>
      </c>
      <c r="V74">
        <f>IF(U74="","",LOOKUP(2,1/(B$3:B$82=U74),S$3:S$82))</f>
        <v/>
      </c>
      <c r="W74">
        <f>IF(U74="","",COUNTIF(B$3:B$82,U74))</f>
        <v/>
      </c>
    </row>
    <row r="75">
      <c r="A75">
        <f>IFERROR(IF(A74="","",SMALL(Квартиры!$B$2:$B$1501,COUNTIF(Квартиры!$B$2:$B$1501,"&lt;="&amp;A74)+1)),"")</f>
        <v/>
      </c>
      <c r="B75">
        <f>IF(A75="","",IF(COUNTIF(R$2:R74,R75)=0,MAX(B$2:B74)+1,INDEX(B$2:B74,MATCH(R75,R$2:R74,0))))</f>
        <v/>
      </c>
      <c r="C75">
        <f>IF($A75="","",IFERROR(IF(Настройки!$B$4="да",INDEX(Квартиры!$D$2:$D$1501,MATCH($A75*1000+1,Квартиры!$K$2:$K$1501,0))&amp;" / ","")&amp;INDEX(Квартиры!$H$2:$H$1501,MATCH($A75*1000+1,Квартиры!$K$2:$K$1501,0))&amp;" СУ"&amp;IF(INDEX(Квартиры!$I$2:$I$1501,MATCH($A75*1000+1,Квартиры!$K$2:$K$1501,0))&gt;0," +У","")&amp;IF(INDEX(Квартиры!$J$2:$J$1501,MATCH($A75*1000+1,Квартиры!$K$2:$K$1501,0))&gt;0," +Г",""),"-"))</f>
        <v/>
      </c>
      <c r="D75">
        <f>IF($A75="","",IFERROR(IF(Настройки!$B$4="да",INDEX(Квартиры!$D$2:$D$1501,MATCH($A75*1000+2,Квартиры!$K$2:$K$1501,0))&amp;" / ","")&amp;INDEX(Квартиры!$H$2:$H$1501,MATCH($A75*1000+2,Квартиры!$K$2:$K$1501,0))&amp;" СУ"&amp;IF(INDEX(Квартиры!$I$2:$I$1501,MATCH($A75*1000+2,Квартиры!$K$2:$K$1501,0))&gt;0," +У","")&amp;IF(INDEX(Квартиры!$J$2:$J$1501,MATCH($A75*1000+2,Квартиры!$K$2:$K$1501,0))&gt;0," +Г",""),"-"))</f>
        <v/>
      </c>
      <c r="E75">
        <f>IF($A75="","",IFERROR(IF(Настройки!$B$4="да",INDEX(Квартиры!$D$2:$D$1501,MATCH($A75*1000+3,Квартиры!$K$2:$K$1501,0))&amp;" / ","")&amp;INDEX(Квартиры!$H$2:$H$1501,MATCH($A75*1000+3,Квартиры!$K$2:$K$1501,0))&amp;" СУ"&amp;IF(INDEX(Квартиры!$I$2:$I$1501,MATCH($A75*1000+3,Квартиры!$K$2:$K$1501,0))&gt;0," +У","")&amp;IF(INDEX(Квартиры!$J$2:$J$1501,MATCH($A75*1000+3,Квартиры!$K$2:$K$1501,0))&gt;0," +Г",""),"-"))</f>
        <v/>
      </c>
      <c r="F75">
        <f>IF($A75="","",IFERROR(IF(Настройки!$B$4="да",INDEX(Квартиры!$D$2:$D$1501,MATCH($A75*1000+4,Квартиры!$K$2:$K$1501,0))&amp;" / ","")&amp;INDEX(Квартиры!$H$2:$H$1501,MATCH($A75*1000+4,Квартиры!$K$2:$K$1501,0))&amp;" СУ"&amp;IF(INDEX(Квартиры!$I$2:$I$1501,MATCH($A75*1000+4,Квартиры!$K$2:$K$1501,0))&gt;0," +У","")&amp;IF(INDEX(Квартиры!$J$2:$J$1501,MATCH($A75*1000+4,Квартиры!$K$2:$K$1501,0))&gt;0," +Г",""),"-"))</f>
        <v/>
      </c>
      <c r="G75">
        <f>IF($A75="","",IFERROR(IF(Настройки!$B$4="да",INDEX(Квартиры!$D$2:$D$1501,MATCH($A75*1000+5,Квартиры!$K$2:$K$1501,0))&amp;" / ","")&amp;INDEX(Квартиры!$H$2:$H$1501,MATCH($A75*1000+5,Квартиры!$K$2:$K$1501,0))&amp;" СУ"&amp;IF(INDEX(Квартиры!$I$2:$I$1501,MATCH($A75*1000+5,Квартиры!$K$2:$K$1501,0))&gt;0," +У","")&amp;IF(INDEX(Квартиры!$J$2:$J$1501,MATCH($A75*1000+5,Квартиры!$K$2:$K$1501,0))&gt;0," +Г",""),"-"))</f>
        <v/>
      </c>
      <c r="H75">
        <f>IF($A75="","",IFERROR(IF(Настройки!$B$4="да",INDEX(Квартиры!$D$2:$D$1501,MATCH($A75*1000+6,Квартиры!$K$2:$K$1501,0))&amp;" / ","")&amp;INDEX(Квартиры!$H$2:$H$1501,MATCH($A75*1000+6,Квартиры!$K$2:$K$1501,0))&amp;" СУ"&amp;IF(INDEX(Квартиры!$I$2:$I$1501,MATCH($A75*1000+6,Квартиры!$K$2:$K$1501,0))&gt;0," +У","")&amp;IF(INDEX(Квартиры!$J$2:$J$1501,MATCH($A75*1000+6,Квартиры!$K$2:$K$1501,0))&gt;0," +Г",""),"-"))</f>
        <v/>
      </c>
      <c r="I75">
        <f>IF($A75="","",IFERROR(IF(Настройки!$B$4="да",INDEX(Квартиры!$D$2:$D$1501,MATCH($A75*1000+7,Квартиры!$K$2:$K$1501,0))&amp;" / ","")&amp;INDEX(Квартиры!$H$2:$H$1501,MATCH($A75*1000+7,Квартиры!$K$2:$K$1501,0))&amp;" СУ"&amp;IF(INDEX(Квартиры!$I$2:$I$1501,MATCH($A75*1000+7,Квартиры!$K$2:$K$1501,0))&gt;0," +У","")&amp;IF(INDEX(Квартиры!$J$2:$J$1501,MATCH($A75*1000+7,Квартиры!$K$2:$K$1501,0))&gt;0," +Г",""),"-"))</f>
        <v/>
      </c>
      <c r="J75">
        <f>IF($A75="","",IFERROR(IF(Настройки!$B$4="да",INDEX(Квартиры!$D$2:$D$1501,MATCH($A75*1000+8,Квартиры!$K$2:$K$1501,0))&amp;" / ","")&amp;INDEX(Квартиры!$H$2:$H$1501,MATCH($A75*1000+8,Квартиры!$K$2:$K$1501,0))&amp;" СУ"&amp;IF(INDEX(Квартиры!$I$2:$I$1501,MATCH($A75*1000+8,Квартиры!$K$2:$K$1501,0))&gt;0," +У","")&amp;IF(INDEX(Квартиры!$J$2:$J$1501,MATCH($A75*1000+8,Квартиры!$K$2:$K$1501,0))&gt;0," +Г",""),"-"))</f>
        <v/>
      </c>
      <c r="K75">
        <f>IF($A75="","",IFERROR(IF(Настройки!$B$4="да",INDEX(Квартиры!$D$2:$D$1501,MATCH($A75*1000+9,Квартиры!$K$2:$K$1501,0))&amp;" / ","")&amp;INDEX(Квартиры!$H$2:$H$1501,MATCH($A75*1000+9,Квартиры!$K$2:$K$1501,0))&amp;" СУ"&amp;IF(INDEX(Квартиры!$I$2:$I$1501,MATCH($A75*1000+9,Квартиры!$K$2:$K$1501,0))&gt;0," +У","")&amp;IF(INDEX(Квартиры!$J$2:$J$1501,MATCH($A75*1000+9,Квартиры!$K$2:$K$1501,0))&gt;0," +Г",""),"-"))</f>
        <v/>
      </c>
      <c r="L75">
        <f>IF($A75="","",IFERROR(IF(Настройки!$B$4="да",INDEX(Квартиры!$D$2:$D$1501,MATCH($A75*1000+10,Квартиры!$K$2:$K$1501,0))&amp;" / ","")&amp;INDEX(Квартиры!$H$2:$H$1501,MATCH($A75*1000+10,Квартиры!$K$2:$K$1501,0))&amp;" СУ"&amp;IF(INDEX(Квартиры!$I$2:$I$1501,MATCH($A75*1000+10,Квартиры!$K$2:$K$1501,0))&gt;0," +У","")&amp;IF(INDEX(Квартиры!$J$2:$J$1501,MATCH($A75*1000+10,Квартиры!$K$2:$K$1501,0))&gt;0," +Г",""),"-"))</f>
        <v/>
      </c>
      <c r="M75">
        <f>IF($A75="","",IFERROR(IF(Настройки!$B$4="да",INDEX(Квартиры!$D$2:$D$1501,MATCH($A75*1000+11,Квартиры!$K$2:$K$1501,0))&amp;" / ","")&amp;INDEX(Квартиры!$H$2:$H$1501,MATCH($A75*1000+11,Квартиры!$K$2:$K$1501,0))&amp;" СУ"&amp;IF(INDEX(Квартиры!$I$2:$I$1501,MATCH($A75*1000+11,Квартиры!$K$2:$K$1501,0))&gt;0," +У","")&amp;IF(INDEX(Квартиры!$J$2:$J$1501,MATCH($A75*1000+11,Квартиры!$K$2:$K$1501,0))&gt;0," +Г",""),"-"))</f>
        <v/>
      </c>
      <c r="N75">
        <f>IF($A75="","",IFERROR(IF(Настройки!$B$4="да",INDEX(Квартиры!$D$2:$D$1501,MATCH($A75*1000+12,Квартиры!$K$2:$K$1501,0))&amp;" / ","")&amp;INDEX(Квартиры!$H$2:$H$1501,MATCH($A75*1000+12,Квартиры!$K$2:$K$1501,0))&amp;" СУ"&amp;IF(INDEX(Квартиры!$I$2:$I$1501,MATCH($A75*1000+12,Квартиры!$K$2:$K$1501,0))&gt;0," +У","")&amp;IF(INDEX(Квартиры!$J$2:$J$1501,MATCH($A75*1000+12,Квартиры!$K$2:$K$1501,0))&gt;0," +Г",""),"-"))</f>
        <v/>
      </c>
      <c r="O75">
        <f>IF($A75="","",IFERROR(IF(Настройки!$B$4="да",INDEX(Квартиры!$D$2:$D$1501,MATCH($A75*1000+13,Квартиры!$K$2:$K$1501,0))&amp;" / ","")&amp;INDEX(Квартиры!$H$2:$H$1501,MATCH($A75*1000+13,Квартиры!$K$2:$K$1501,0))&amp;" СУ"&amp;IF(INDEX(Квартиры!$I$2:$I$1501,MATCH($A75*1000+13,Квартиры!$K$2:$K$1501,0))&gt;0," +У","")&amp;IF(INDEX(Квартиры!$J$2:$J$1501,MATCH($A75*1000+13,Квартиры!$K$2:$K$1501,0))&gt;0," +Г",""),"-"))</f>
        <v/>
      </c>
      <c r="P75">
        <f>IF($A75="","",IFERROR(IF(Настройки!$B$4="да",INDEX(Квартиры!$D$2:$D$1501,MATCH($A75*1000+14,Квартиры!$K$2:$K$1501,0))&amp;" / ","")&amp;INDEX(Квартиры!$H$2:$H$1501,MATCH($A75*1000+14,Квартиры!$K$2:$K$1501,0))&amp;" СУ"&amp;IF(INDEX(Квартиры!$I$2:$I$1501,MATCH($A75*1000+14,Квартиры!$K$2:$K$1501,0))&gt;0," +У","")&amp;IF(INDEX(Квартиры!$J$2:$J$1501,MATCH($A75*1000+14,Квартиры!$K$2:$K$1501,0))&gt;0," +Г",""),"-"))</f>
        <v/>
      </c>
      <c r="Q75">
        <f>IF($A75="","",IFERROR(IF(Настройки!$B$4="да",INDEX(Квартиры!$D$2:$D$1501,MATCH($A75*1000+15,Квартиры!$K$2:$K$1501,0))&amp;" / ","")&amp;INDEX(Квартиры!$H$2:$H$1501,MATCH($A75*1000+15,Квартиры!$K$2:$K$1501,0))&amp;" СУ"&amp;IF(INDEX(Квартиры!$I$2:$I$1501,MATCH($A75*1000+15,Квартиры!$K$2:$K$1501,0))&gt;0," +У","")&amp;IF(INDEX(Квартиры!$J$2:$J$1501,MATCH($A75*1000+15,Квартиры!$K$2:$K$1501,0))&gt;0," +Г",""),"-"))</f>
        <v/>
      </c>
      <c r="R75">
        <f>IF(A75="","",C75&amp;"|"&amp;D75&amp;"|"&amp;E75&amp;"|"&amp;F75&amp;"|"&amp;G75&amp;"|"&amp;H75&amp;"|"&amp;I75&amp;"|"&amp;J75&amp;"|"&amp;K75&amp;"|"&amp;L75&amp;"|"&amp;M75&amp;"|"&amp;N75&amp;"|"&amp;O75&amp;"|"&amp;P75&amp;"|"&amp;Q75)</f>
        <v/>
      </c>
      <c r="S75">
        <f>IF(A75="","",IFERROR(LOOKUP(2,1/(B$2:B74=B75),S$2:S74)&amp;", ","")&amp;A75)</f>
        <v/>
      </c>
      <c r="U75">
        <f>IF(73&gt;MAX(B$3:B$82),"",73)</f>
        <v/>
      </c>
      <c r="V75">
        <f>IF(U75="","",LOOKUP(2,1/(B$3:B$82=U75),S$3:S$82))</f>
        <v/>
      </c>
      <c r="W75">
        <f>IF(U75="","",COUNTIF(B$3:B$82,U75))</f>
        <v/>
      </c>
    </row>
    <row r="76">
      <c r="A76">
        <f>IFERROR(IF(A75="","",SMALL(Квартиры!$B$2:$B$1501,COUNTIF(Квартиры!$B$2:$B$1501,"&lt;="&amp;A75)+1)),"")</f>
        <v/>
      </c>
      <c r="B76">
        <f>IF(A76="","",IF(COUNTIF(R$2:R75,R76)=0,MAX(B$2:B75)+1,INDEX(B$2:B75,MATCH(R76,R$2:R75,0))))</f>
        <v/>
      </c>
      <c r="C76">
        <f>IF($A76="","",IFERROR(IF(Настройки!$B$4="да",INDEX(Квартиры!$D$2:$D$1501,MATCH($A76*1000+1,Квартиры!$K$2:$K$1501,0))&amp;" / ","")&amp;INDEX(Квартиры!$H$2:$H$1501,MATCH($A76*1000+1,Квартиры!$K$2:$K$1501,0))&amp;" СУ"&amp;IF(INDEX(Квартиры!$I$2:$I$1501,MATCH($A76*1000+1,Квартиры!$K$2:$K$1501,0))&gt;0," +У","")&amp;IF(INDEX(Квартиры!$J$2:$J$1501,MATCH($A76*1000+1,Квартиры!$K$2:$K$1501,0))&gt;0," +Г",""),"-"))</f>
        <v/>
      </c>
      <c r="D76">
        <f>IF($A76="","",IFERROR(IF(Настройки!$B$4="да",INDEX(Квартиры!$D$2:$D$1501,MATCH($A76*1000+2,Квартиры!$K$2:$K$1501,0))&amp;" / ","")&amp;INDEX(Квартиры!$H$2:$H$1501,MATCH($A76*1000+2,Квартиры!$K$2:$K$1501,0))&amp;" СУ"&amp;IF(INDEX(Квартиры!$I$2:$I$1501,MATCH($A76*1000+2,Квартиры!$K$2:$K$1501,0))&gt;0," +У","")&amp;IF(INDEX(Квартиры!$J$2:$J$1501,MATCH($A76*1000+2,Квартиры!$K$2:$K$1501,0))&gt;0," +Г",""),"-"))</f>
        <v/>
      </c>
      <c r="E76">
        <f>IF($A76="","",IFERROR(IF(Настройки!$B$4="да",INDEX(Квартиры!$D$2:$D$1501,MATCH($A76*1000+3,Квартиры!$K$2:$K$1501,0))&amp;" / ","")&amp;INDEX(Квартиры!$H$2:$H$1501,MATCH($A76*1000+3,Квартиры!$K$2:$K$1501,0))&amp;" СУ"&amp;IF(INDEX(Квартиры!$I$2:$I$1501,MATCH($A76*1000+3,Квартиры!$K$2:$K$1501,0))&gt;0," +У","")&amp;IF(INDEX(Квартиры!$J$2:$J$1501,MATCH($A76*1000+3,Квартиры!$K$2:$K$1501,0))&gt;0," +Г",""),"-"))</f>
        <v/>
      </c>
      <c r="F76">
        <f>IF($A76="","",IFERROR(IF(Настройки!$B$4="да",INDEX(Квартиры!$D$2:$D$1501,MATCH($A76*1000+4,Квартиры!$K$2:$K$1501,0))&amp;" / ","")&amp;INDEX(Квартиры!$H$2:$H$1501,MATCH($A76*1000+4,Квартиры!$K$2:$K$1501,0))&amp;" СУ"&amp;IF(INDEX(Квартиры!$I$2:$I$1501,MATCH($A76*1000+4,Квартиры!$K$2:$K$1501,0))&gt;0," +У","")&amp;IF(INDEX(Квартиры!$J$2:$J$1501,MATCH($A76*1000+4,Квартиры!$K$2:$K$1501,0))&gt;0," +Г",""),"-"))</f>
        <v/>
      </c>
      <c r="G76">
        <f>IF($A76="","",IFERROR(IF(Настройки!$B$4="да",INDEX(Квартиры!$D$2:$D$1501,MATCH($A76*1000+5,Квартиры!$K$2:$K$1501,0))&amp;" / ","")&amp;INDEX(Квартиры!$H$2:$H$1501,MATCH($A76*1000+5,Квартиры!$K$2:$K$1501,0))&amp;" СУ"&amp;IF(INDEX(Квартиры!$I$2:$I$1501,MATCH($A76*1000+5,Квартиры!$K$2:$K$1501,0))&gt;0," +У","")&amp;IF(INDEX(Квартиры!$J$2:$J$1501,MATCH($A76*1000+5,Квартиры!$K$2:$K$1501,0))&gt;0," +Г",""),"-"))</f>
        <v/>
      </c>
      <c r="H76">
        <f>IF($A76="","",IFERROR(IF(Настройки!$B$4="да",INDEX(Квартиры!$D$2:$D$1501,MATCH($A76*1000+6,Квартиры!$K$2:$K$1501,0))&amp;" / ","")&amp;INDEX(Квартиры!$H$2:$H$1501,MATCH($A76*1000+6,Квартиры!$K$2:$K$1501,0))&amp;" СУ"&amp;IF(INDEX(Квартиры!$I$2:$I$1501,MATCH($A76*1000+6,Квартиры!$K$2:$K$1501,0))&gt;0," +У","")&amp;IF(INDEX(Квартиры!$J$2:$J$1501,MATCH($A76*1000+6,Квартиры!$K$2:$K$1501,0))&gt;0," +Г",""),"-"))</f>
        <v/>
      </c>
      <c r="I76">
        <f>IF($A76="","",IFERROR(IF(Настройки!$B$4="да",INDEX(Квартиры!$D$2:$D$1501,MATCH($A76*1000+7,Квартиры!$K$2:$K$1501,0))&amp;" / ","")&amp;INDEX(Квартиры!$H$2:$H$1501,MATCH($A76*1000+7,Квартиры!$K$2:$K$1501,0))&amp;" СУ"&amp;IF(INDEX(Квартиры!$I$2:$I$1501,MATCH($A76*1000+7,Квартиры!$K$2:$K$1501,0))&gt;0," +У","")&amp;IF(INDEX(Квартиры!$J$2:$J$1501,MATCH($A76*1000+7,Квартиры!$K$2:$K$1501,0))&gt;0," +Г",""),"-"))</f>
        <v/>
      </c>
      <c r="J76">
        <f>IF($A76="","",IFERROR(IF(Настройки!$B$4="да",INDEX(Квартиры!$D$2:$D$1501,MATCH($A76*1000+8,Квартиры!$K$2:$K$1501,0))&amp;" / ","")&amp;INDEX(Квартиры!$H$2:$H$1501,MATCH($A76*1000+8,Квартиры!$K$2:$K$1501,0))&amp;" СУ"&amp;IF(INDEX(Квартиры!$I$2:$I$1501,MATCH($A76*1000+8,Квартиры!$K$2:$K$1501,0))&gt;0," +У","")&amp;IF(INDEX(Квартиры!$J$2:$J$1501,MATCH($A76*1000+8,Квартиры!$K$2:$K$1501,0))&gt;0," +Г",""),"-"))</f>
        <v/>
      </c>
      <c r="K76">
        <f>IF($A76="","",IFERROR(IF(Настройки!$B$4="да",INDEX(Квартиры!$D$2:$D$1501,MATCH($A76*1000+9,Квартиры!$K$2:$K$1501,0))&amp;" / ","")&amp;INDEX(Квартиры!$H$2:$H$1501,MATCH($A76*1000+9,Квартиры!$K$2:$K$1501,0))&amp;" СУ"&amp;IF(INDEX(Квартиры!$I$2:$I$1501,MATCH($A76*1000+9,Квартиры!$K$2:$K$1501,0))&gt;0," +У","")&amp;IF(INDEX(Квартиры!$J$2:$J$1501,MATCH($A76*1000+9,Квартиры!$K$2:$K$1501,0))&gt;0," +Г",""),"-"))</f>
        <v/>
      </c>
      <c r="L76">
        <f>IF($A76="","",IFERROR(IF(Настройки!$B$4="да",INDEX(Квартиры!$D$2:$D$1501,MATCH($A76*1000+10,Квартиры!$K$2:$K$1501,0))&amp;" / ","")&amp;INDEX(Квартиры!$H$2:$H$1501,MATCH($A76*1000+10,Квартиры!$K$2:$K$1501,0))&amp;" СУ"&amp;IF(INDEX(Квартиры!$I$2:$I$1501,MATCH($A76*1000+10,Квартиры!$K$2:$K$1501,0))&gt;0," +У","")&amp;IF(INDEX(Квартиры!$J$2:$J$1501,MATCH($A76*1000+10,Квартиры!$K$2:$K$1501,0))&gt;0," +Г",""),"-"))</f>
        <v/>
      </c>
      <c r="M76">
        <f>IF($A76="","",IFERROR(IF(Настройки!$B$4="да",INDEX(Квартиры!$D$2:$D$1501,MATCH($A76*1000+11,Квартиры!$K$2:$K$1501,0))&amp;" / ","")&amp;INDEX(Квартиры!$H$2:$H$1501,MATCH($A76*1000+11,Квартиры!$K$2:$K$1501,0))&amp;" СУ"&amp;IF(INDEX(Квартиры!$I$2:$I$1501,MATCH($A76*1000+11,Квартиры!$K$2:$K$1501,0))&gt;0," +У","")&amp;IF(INDEX(Квартиры!$J$2:$J$1501,MATCH($A76*1000+11,Квартиры!$K$2:$K$1501,0))&gt;0," +Г",""),"-"))</f>
        <v/>
      </c>
      <c r="N76">
        <f>IF($A76="","",IFERROR(IF(Настройки!$B$4="да",INDEX(Квартиры!$D$2:$D$1501,MATCH($A76*1000+12,Квартиры!$K$2:$K$1501,0))&amp;" / ","")&amp;INDEX(Квартиры!$H$2:$H$1501,MATCH($A76*1000+12,Квартиры!$K$2:$K$1501,0))&amp;" СУ"&amp;IF(INDEX(Квартиры!$I$2:$I$1501,MATCH($A76*1000+12,Квартиры!$K$2:$K$1501,0))&gt;0," +У","")&amp;IF(INDEX(Квартиры!$J$2:$J$1501,MATCH($A76*1000+12,Квартиры!$K$2:$K$1501,0))&gt;0," +Г",""),"-"))</f>
        <v/>
      </c>
      <c r="O76">
        <f>IF($A76="","",IFERROR(IF(Настройки!$B$4="да",INDEX(Квартиры!$D$2:$D$1501,MATCH($A76*1000+13,Квартиры!$K$2:$K$1501,0))&amp;" / ","")&amp;INDEX(Квартиры!$H$2:$H$1501,MATCH($A76*1000+13,Квартиры!$K$2:$K$1501,0))&amp;" СУ"&amp;IF(INDEX(Квартиры!$I$2:$I$1501,MATCH($A76*1000+13,Квартиры!$K$2:$K$1501,0))&gt;0," +У","")&amp;IF(INDEX(Квартиры!$J$2:$J$1501,MATCH($A76*1000+13,Квартиры!$K$2:$K$1501,0))&gt;0," +Г",""),"-"))</f>
        <v/>
      </c>
      <c r="P76">
        <f>IF($A76="","",IFERROR(IF(Настройки!$B$4="да",INDEX(Квартиры!$D$2:$D$1501,MATCH($A76*1000+14,Квартиры!$K$2:$K$1501,0))&amp;" / ","")&amp;INDEX(Квартиры!$H$2:$H$1501,MATCH($A76*1000+14,Квартиры!$K$2:$K$1501,0))&amp;" СУ"&amp;IF(INDEX(Квартиры!$I$2:$I$1501,MATCH($A76*1000+14,Квартиры!$K$2:$K$1501,0))&gt;0," +У","")&amp;IF(INDEX(Квартиры!$J$2:$J$1501,MATCH($A76*1000+14,Квартиры!$K$2:$K$1501,0))&gt;0," +Г",""),"-"))</f>
        <v/>
      </c>
      <c r="Q76">
        <f>IF($A76="","",IFERROR(IF(Настройки!$B$4="да",INDEX(Квартиры!$D$2:$D$1501,MATCH($A76*1000+15,Квартиры!$K$2:$K$1501,0))&amp;" / ","")&amp;INDEX(Квартиры!$H$2:$H$1501,MATCH($A76*1000+15,Квартиры!$K$2:$K$1501,0))&amp;" СУ"&amp;IF(INDEX(Квартиры!$I$2:$I$1501,MATCH($A76*1000+15,Квартиры!$K$2:$K$1501,0))&gt;0," +У","")&amp;IF(INDEX(Квартиры!$J$2:$J$1501,MATCH($A76*1000+15,Квартиры!$K$2:$K$1501,0))&gt;0," +Г",""),"-"))</f>
        <v/>
      </c>
      <c r="R76">
        <f>IF(A76="","",C76&amp;"|"&amp;D76&amp;"|"&amp;E76&amp;"|"&amp;F76&amp;"|"&amp;G76&amp;"|"&amp;H76&amp;"|"&amp;I76&amp;"|"&amp;J76&amp;"|"&amp;K76&amp;"|"&amp;L76&amp;"|"&amp;M76&amp;"|"&amp;N76&amp;"|"&amp;O76&amp;"|"&amp;P76&amp;"|"&amp;Q76)</f>
        <v/>
      </c>
      <c r="S76">
        <f>IF(A76="","",IFERROR(LOOKUP(2,1/(B$2:B75=B76),S$2:S75)&amp;", ","")&amp;A76)</f>
        <v/>
      </c>
      <c r="U76">
        <f>IF(74&gt;MAX(B$3:B$82),"",74)</f>
        <v/>
      </c>
      <c r="V76">
        <f>IF(U76="","",LOOKUP(2,1/(B$3:B$82=U76),S$3:S$82))</f>
        <v/>
      </c>
      <c r="W76">
        <f>IF(U76="","",COUNTIF(B$3:B$82,U76))</f>
        <v/>
      </c>
    </row>
    <row r="77">
      <c r="A77">
        <f>IFERROR(IF(A76="","",SMALL(Квартиры!$B$2:$B$1501,COUNTIF(Квартиры!$B$2:$B$1501,"&lt;="&amp;A76)+1)),"")</f>
        <v/>
      </c>
      <c r="B77">
        <f>IF(A77="","",IF(COUNTIF(R$2:R76,R77)=0,MAX(B$2:B76)+1,INDEX(B$2:B76,MATCH(R77,R$2:R76,0))))</f>
        <v/>
      </c>
      <c r="C77">
        <f>IF($A77="","",IFERROR(IF(Настройки!$B$4="да",INDEX(Квартиры!$D$2:$D$1501,MATCH($A77*1000+1,Квартиры!$K$2:$K$1501,0))&amp;" / ","")&amp;INDEX(Квартиры!$H$2:$H$1501,MATCH($A77*1000+1,Квартиры!$K$2:$K$1501,0))&amp;" СУ"&amp;IF(INDEX(Квартиры!$I$2:$I$1501,MATCH($A77*1000+1,Квартиры!$K$2:$K$1501,0))&gt;0," +У","")&amp;IF(INDEX(Квартиры!$J$2:$J$1501,MATCH($A77*1000+1,Квартиры!$K$2:$K$1501,0))&gt;0," +Г",""),"-"))</f>
        <v/>
      </c>
      <c r="D77">
        <f>IF($A77="","",IFERROR(IF(Настройки!$B$4="да",INDEX(Квартиры!$D$2:$D$1501,MATCH($A77*1000+2,Квартиры!$K$2:$K$1501,0))&amp;" / ","")&amp;INDEX(Квартиры!$H$2:$H$1501,MATCH($A77*1000+2,Квартиры!$K$2:$K$1501,0))&amp;" СУ"&amp;IF(INDEX(Квартиры!$I$2:$I$1501,MATCH($A77*1000+2,Квартиры!$K$2:$K$1501,0))&gt;0," +У","")&amp;IF(INDEX(Квартиры!$J$2:$J$1501,MATCH($A77*1000+2,Квартиры!$K$2:$K$1501,0))&gt;0," +Г",""),"-"))</f>
        <v/>
      </c>
      <c r="E77">
        <f>IF($A77="","",IFERROR(IF(Настройки!$B$4="да",INDEX(Квартиры!$D$2:$D$1501,MATCH($A77*1000+3,Квартиры!$K$2:$K$1501,0))&amp;" / ","")&amp;INDEX(Квартиры!$H$2:$H$1501,MATCH($A77*1000+3,Квартиры!$K$2:$K$1501,0))&amp;" СУ"&amp;IF(INDEX(Квартиры!$I$2:$I$1501,MATCH($A77*1000+3,Квартиры!$K$2:$K$1501,0))&gt;0," +У","")&amp;IF(INDEX(Квартиры!$J$2:$J$1501,MATCH($A77*1000+3,Квартиры!$K$2:$K$1501,0))&gt;0," +Г",""),"-"))</f>
        <v/>
      </c>
      <c r="F77">
        <f>IF($A77="","",IFERROR(IF(Настройки!$B$4="да",INDEX(Квартиры!$D$2:$D$1501,MATCH($A77*1000+4,Квартиры!$K$2:$K$1501,0))&amp;" / ","")&amp;INDEX(Квартиры!$H$2:$H$1501,MATCH($A77*1000+4,Квартиры!$K$2:$K$1501,0))&amp;" СУ"&amp;IF(INDEX(Квартиры!$I$2:$I$1501,MATCH($A77*1000+4,Квартиры!$K$2:$K$1501,0))&gt;0," +У","")&amp;IF(INDEX(Квартиры!$J$2:$J$1501,MATCH($A77*1000+4,Квартиры!$K$2:$K$1501,0))&gt;0," +Г",""),"-"))</f>
        <v/>
      </c>
      <c r="G77">
        <f>IF($A77="","",IFERROR(IF(Настройки!$B$4="да",INDEX(Квартиры!$D$2:$D$1501,MATCH($A77*1000+5,Квартиры!$K$2:$K$1501,0))&amp;" / ","")&amp;INDEX(Квартиры!$H$2:$H$1501,MATCH($A77*1000+5,Квартиры!$K$2:$K$1501,0))&amp;" СУ"&amp;IF(INDEX(Квартиры!$I$2:$I$1501,MATCH($A77*1000+5,Квартиры!$K$2:$K$1501,0))&gt;0," +У","")&amp;IF(INDEX(Квартиры!$J$2:$J$1501,MATCH($A77*1000+5,Квартиры!$K$2:$K$1501,0))&gt;0," +Г",""),"-"))</f>
        <v/>
      </c>
      <c r="H77">
        <f>IF($A77="","",IFERROR(IF(Настройки!$B$4="да",INDEX(Квартиры!$D$2:$D$1501,MATCH($A77*1000+6,Квартиры!$K$2:$K$1501,0))&amp;" / ","")&amp;INDEX(Квартиры!$H$2:$H$1501,MATCH($A77*1000+6,Квартиры!$K$2:$K$1501,0))&amp;" СУ"&amp;IF(INDEX(Квартиры!$I$2:$I$1501,MATCH($A77*1000+6,Квартиры!$K$2:$K$1501,0))&gt;0," +У","")&amp;IF(INDEX(Квартиры!$J$2:$J$1501,MATCH($A77*1000+6,Квартиры!$K$2:$K$1501,0))&gt;0," +Г",""),"-"))</f>
        <v/>
      </c>
      <c r="I77">
        <f>IF($A77="","",IFERROR(IF(Настройки!$B$4="да",INDEX(Квартиры!$D$2:$D$1501,MATCH($A77*1000+7,Квартиры!$K$2:$K$1501,0))&amp;" / ","")&amp;INDEX(Квартиры!$H$2:$H$1501,MATCH($A77*1000+7,Квартиры!$K$2:$K$1501,0))&amp;" СУ"&amp;IF(INDEX(Квартиры!$I$2:$I$1501,MATCH($A77*1000+7,Квартиры!$K$2:$K$1501,0))&gt;0," +У","")&amp;IF(INDEX(Квартиры!$J$2:$J$1501,MATCH($A77*1000+7,Квартиры!$K$2:$K$1501,0))&gt;0," +Г",""),"-"))</f>
        <v/>
      </c>
      <c r="J77">
        <f>IF($A77="","",IFERROR(IF(Настройки!$B$4="да",INDEX(Квартиры!$D$2:$D$1501,MATCH($A77*1000+8,Квартиры!$K$2:$K$1501,0))&amp;" / ","")&amp;INDEX(Квартиры!$H$2:$H$1501,MATCH($A77*1000+8,Квартиры!$K$2:$K$1501,0))&amp;" СУ"&amp;IF(INDEX(Квартиры!$I$2:$I$1501,MATCH($A77*1000+8,Квартиры!$K$2:$K$1501,0))&gt;0," +У","")&amp;IF(INDEX(Квартиры!$J$2:$J$1501,MATCH($A77*1000+8,Квартиры!$K$2:$K$1501,0))&gt;0," +Г",""),"-"))</f>
        <v/>
      </c>
      <c r="K77">
        <f>IF($A77="","",IFERROR(IF(Настройки!$B$4="да",INDEX(Квартиры!$D$2:$D$1501,MATCH($A77*1000+9,Квартиры!$K$2:$K$1501,0))&amp;" / ","")&amp;INDEX(Квартиры!$H$2:$H$1501,MATCH($A77*1000+9,Квартиры!$K$2:$K$1501,0))&amp;" СУ"&amp;IF(INDEX(Квартиры!$I$2:$I$1501,MATCH($A77*1000+9,Квартиры!$K$2:$K$1501,0))&gt;0," +У","")&amp;IF(INDEX(Квартиры!$J$2:$J$1501,MATCH($A77*1000+9,Квартиры!$K$2:$K$1501,0))&gt;0," +Г",""),"-"))</f>
        <v/>
      </c>
      <c r="L77">
        <f>IF($A77="","",IFERROR(IF(Настройки!$B$4="да",INDEX(Квартиры!$D$2:$D$1501,MATCH($A77*1000+10,Квартиры!$K$2:$K$1501,0))&amp;" / ","")&amp;INDEX(Квартиры!$H$2:$H$1501,MATCH($A77*1000+10,Квартиры!$K$2:$K$1501,0))&amp;" СУ"&amp;IF(INDEX(Квартиры!$I$2:$I$1501,MATCH($A77*1000+10,Квартиры!$K$2:$K$1501,0))&gt;0," +У","")&amp;IF(INDEX(Квартиры!$J$2:$J$1501,MATCH($A77*1000+10,Квартиры!$K$2:$K$1501,0))&gt;0," +Г",""),"-"))</f>
        <v/>
      </c>
      <c r="M77">
        <f>IF($A77="","",IFERROR(IF(Настройки!$B$4="да",INDEX(Квартиры!$D$2:$D$1501,MATCH($A77*1000+11,Квартиры!$K$2:$K$1501,0))&amp;" / ","")&amp;INDEX(Квартиры!$H$2:$H$1501,MATCH($A77*1000+11,Квартиры!$K$2:$K$1501,0))&amp;" СУ"&amp;IF(INDEX(Квартиры!$I$2:$I$1501,MATCH($A77*1000+11,Квартиры!$K$2:$K$1501,0))&gt;0," +У","")&amp;IF(INDEX(Квартиры!$J$2:$J$1501,MATCH($A77*1000+11,Квартиры!$K$2:$K$1501,0))&gt;0," +Г",""),"-"))</f>
        <v/>
      </c>
      <c r="N77">
        <f>IF($A77="","",IFERROR(IF(Настройки!$B$4="да",INDEX(Квартиры!$D$2:$D$1501,MATCH($A77*1000+12,Квартиры!$K$2:$K$1501,0))&amp;" / ","")&amp;INDEX(Квартиры!$H$2:$H$1501,MATCH($A77*1000+12,Квартиры!$K$2:$K$1501,0))&amp;" СУ"&amp;IF(INDEX(Квартиры!$I$2:$I$1501,MATCH($A77*1000+12,Квартиры!$K$2:$K$1501,0))&gt;0," +У","")&amp;IF(INDEX(Квартиры!$J$2:$J$1501,MATCH($A77*1000+12,Квартиры!$K$2:$K$1501,0))&gt;0," +Г",""),"-"))</f>
        <v/>
      </c>
      <c r="O77">
        <f>IF($A77="","",IFERROR(IF(Настройки!$B$4="да",INDEX(Квартиры!$D$2:$D$1501,MATCH($A77*1000+13,Квартиры!$K$2:$K$1501,0))&amp;" / ","")&amp;INDEX(Квартиры!$H$2:$H$1501,MATCH($A77*1000+13,Квартиры!$K$2:$K$1501,0))&amp;" СУ"&amp;IF(INDEX(Квартиры!$I$2:$I$1501,MATCH($A77*1000+13,Квартиры!$K$2:$K$1501,0))&gt;0," +У","")&amp;IF(INDEX(Квартиры!$J$2:$J$1501,MATCH($A77*1000+13,Квартиры!$K$2:$K$1501,0))&gt;0," +Г",""),"-"))</f>
        <v/>
      </c>
      <c r="P77">
        <f>IF($A77="","",IFERROR(IF(Настройки!$B$4="да",INDEX(Квартиры!$D$2:$D$1501,MATCH($A77*1000+14,Квартиры!$K$2:$K$1501,0))&amp;" / ","")&amp;INDEX(Квартиры!$H$2:$H$1501,MATCH($A77*1000+14,Квартиры!$K$2:$K$1501,0))&amp;" СУ"&amp;IF(INDEX(Квартиры!$I$2:$I$1501,MATCH($A77*1000+14,Квартиры!$K$2:$K$1501,0))&gt;0," +У","")&amp;IF(INDEX(Квартиры!$J$2:$J$1501,MATCH($A77*1000+14,Квартиры!$K$2:$K$1501,0))&gt;0," +Г",""),"-"))</f>
        <v/>
      </c>
      <c r="Q77">
        <f>IF($A77="","",IFERROR(IF(Настройки!$B$4="да",INDEX(Квартиры!$D$2:$D$1501,MATCH($A77*1000+15,Квартиры!$K$2:$K$1501,0))&amp;" / ","")&amp;INDEX(Квартиры!$H$2:$H$1501,MATCH($A77*1000+15,Квартиры!$K$2:$K$1501,0))&amp;" СУ"&amp;IF(INDEX(Квартиры!$I$2:$I$1501,MATCH($A77*1000+15,Квартиры!$K$2:$K$1501,0))&gt;0," +У","")&amp;IF(INDEX(Квартиры!$J$2:$J$1501,MATCH($A77*1000+15,Квартиры!$K$2:$K$1501,0))&gt;0," +Г",""),"-"))</f>
        <v/>
      </c>
      <c r="R77">
        <f>IF(A77="","",C77&amp;"|"&amp;D77&amp;"|"&amp;E77&amp;"|"&amp;F77&amp;"|"&amp;G77&amp;"|"&amp;H77&amp;"|"&amp;I77&amp;"|"&amp;J77&amp;"|"&amp;K77&amp;"|"&amp;L77&amp;"|"&amp;M77&amp;"|"&amp;N77&amp;"|"&amp;O77&amp;"|"&amp;P77&amp;"|"&amp;Q77)</f>
        <v/>
      </c>
      <c r="S77">
        <f>IF(A77="","",IFERROR(LOOKUP(2,1/(B$2:B76=B77),S$2:S76)&amp;", ","")&amp;A77)</f>
        <v/>
      </c>
      <c r="U77">
        <f>IF(75&gt;MAX(B$3:B$82),"",75)</f>
        <v/>
      </c>
      <c r="V77">
        <f>IF(U77="","",LOOKUP(2,1/(B$3:B$82=U77),S$3:S$82))</f>
        <v/>
      </c>
      <c r="W77">
        <f>IF(U77="","",COUNTIF(B$3:B$82,U77))</f>
        <v/>
      </c>
    </row>
    <row r="78">
      <c r="A78">
        <f>IFERROR(IF(A77="","",SMALL(Квартиры!$B$2:$B$1501,COUNTIF(Квартиры!$B$2:$B$1501,"&lt;="&amp;A77)+1)),"")</f>
        <v/>
      </c>
      <c r="B78">
        <f>IF(A78="","",IF(COUNTIF(R$2:R77,R78)=0,MAX(B$2:B77)+1,INDEX(B$2:B77,MATCH(R78,R$2:R77,0))))</f>
        <v/>
      </c>
      <c r="C78">
        <f>IF($A78="","",IFERROR(IF(Настройки!$B$4="да",INDEX(Квартиры!$D$2:$D$1501,MATCH($A78*1000+1,Квартиры!$K$2:$K$1501,0))&amp;" / ","")&amp;INDEX(Квартиры!$H$2:$H$1501,MATCH($A78*1000+1,Квартиры!$K$2:$K$1501,0))&amp;" СУ"&amp;IF(INDEX(Квартиры!$I$2:$I$1501,MATCH($A78*1000+1,Квартиры!$K$2:$K$1501,0))&gt;0," +У","")&amp;IF(INDEX(Квартиры!$J$2:$J$1501,MATCH($A78*1000+1,Квартиры!$K$2:$K$1501,0))&gt;0," +Г",""),"-"))</f>
        <v/>
      </c>
      <c r="D78">
        <f>IF($A78="","",IFERROR(IF(Настройки!$B$4="да",INDEX(Квартиры!$D$2:$D$1501,MATCH($A78*1000+2,Квартиры!$K$2:$K$1501,0))&amp;" / ","")&amp;INDEX(Квартиры!$H$2:$H$1501,MATCH($A78*1000+2,Квартиры!$K$2:$K$1501,0))&amp;" СУ"&amp;IF(INDEX(Квартиры!$I$2:$I$1501,MATCH($A78*1000+2,Квартиры!$K$2:$K$1501,0))&gt;0," +У","")&amp;IF(INDEX(Квартиры!$J$2:$J$1501,MATCH($A78*1000+2,Квартиры!$K$2:$K$1501,0))&gt;0," +Г",""),"-"))</f>
        <v/>
      </c>
      <c r="E78">
        <f>IF($A78="","",IFERROR(IF(Настройки!$B$4="да",INDEX(Квартиры!$D$2:$D$1501,MATCH($A78*1000+3,Квартиры!$K$2:$K$1501,0))&amp;" / ","")&amp;INDEX(Квартиры!$H$2:$H$1501,MATCH($A78*1000+3,Квартиры!$K$2:$K$1501,0))&amp;" СУ"&amp;IF(INDEX(Квартиры!$I$2:$I$1501,MATCH($A78*1000+3,Квартиры!$K$2:$K$1501,0))&gt;0," +У","")&amp;IF(INDEX(Квартиры!$J$2:$J$1501,MATCH($A78*1000+3,Квартиры!$K$2:$K$1501,0))&gt;0," +Г",""),"-"))</f>
        <v/>
      </c>
      <c r="F78">
        <f>IF($A78="","",IFERROR(IF(Настройки!$B$4="да",INDEX(Квартиры!$D$2:$D$1501,MATCH($A78*1000+4,Квартиры!$K$2:$K$1501,0))&amp;" / ","")&amp;INDEX(Квартиры!$H$2:$H$1501,MATCH($A78*1000+4,Квартиры!$K$2:$K$1501,0))&amp;" СУ"&amp;IF(INDEX(Квартиры!$I$2:$I$1501,MATCH($A78*1000+4,Квартиры!$K$2:$K$1501,0))&gt;0," +У","")&amp;IF(INDEX(Квартиры!$J$2:$J$1501,MATCH($A78*1000+4,Квартиры!$K$2:$K$1501,0))&gt;0," +Г",""),"-"))</f>
        <v/>
      </c>
      <c r="G78">
        <f>IF($A78="","",IFERROR(IF(Настройки!$B$4="да",INDEX(Квартиры!$D$2:$D$1501,MATCH($A78*1000+5,Квартиры!$K$2:$K$1501,0))&amp;" / ","")&amp;INDEX(Квартиры!$H$2:$H$1501,MATCH($A78*1000+5,Квартиры!$K$2:$K$1501,0))&amp;" СУ"&amp;IF(INDEX(Квартиры!$I$2:$I$1501,MATCH($A78*1000+5,Квартиры!$K$2:$K$1501,0))&gt;0," +У","")&amp;IF(INDEX(Квартиры!$J$2:$J$1501,MATCH($A78*1000+5,Квартиры!$K$2:$K$1501,0))&gt;0," +Г",""),"-"))</f>
        <v/>
      </c>
      <c r="H78">
        <f>IF($A78="","",IFERROR(IF(Настройки!$B$4="да",INDEX(Квартиры!$D$2:$D$1501,MATCH($A78*1000+6,Квартиры!$K$2:$K$1501,0))&amp;" / ","")&amp;INDEX(Квартиры!$H$2:$H$1501,MATCH($A78*1000+6,Квартиры!$K$2:$K$1501,0))&amp;" СУ"&amp;IF(INDEX(Квартиры!$I$2:$I$1501,MATCH($A78*1000+6,Квартиры!$K$2:$K$1501,0))&gt;0," +У","")&amp;IF(INDEX(Квартиры!$J$2:$J$1501,MATCH($A78*1000+6,Квартиры!$K$2:$K$1501,0))&gt;0," +Г",""),"-"))</f>
        <v/>
      </c>
      <c r="I78">
        <f>IF($A78="","",IFERROR(IF(Настройки!$B$4="да",INDEX(Квартиры!$D$2:$D$1501,MATCH($A78*1000+7,Квартиры!$K$2:$K$1501,0))&amp;" / ","")&amp;INDEX(Квартиры!$H$2:$H$1501,MATCH($A78*1000+7,Квартиры!$K$2:$K$1501,0))&amp;" СУ"&amp;IF(INDEX(Квартиры!$I$2:$I$1501,MATCH($A78*1000+7,Квартиры!$K$2:$K$1501,0))&gt;0," +У","")&amp;IF(INDEX(Квартиры!$J$2:$J$1501,MATCH($A78*1000+7,Квартиры!$K$2:$K$1501,0))&gt;0," +Г",""),"-"))</f>
        <v/>
      </c>
      <c r="J78">
        <f>IF($A78="","",IFERROR(IF(Настройки!$B$4="да",INDEX(Квартиры!$D$2:$D$1501,MATCH($A78*1000+8,Квартиры!$K$2:$K$1501,0))&amp;" / ","")&amp;INDEX(Квартиры!$H$2:$H$1501,MATCH($A78*1000+8,Квартиры!$K$2:$K$1501,0))&amp;" СУ"&amp;IF(INDEX(Квартиры!$I$2:$I$1501,MATCH($A78*1000+8,Квартиры!$K$2:$K$1501,0))&gt;0," +У","")&amp;IF(INDEX(Квартиры!$J$2:$J$1501,MATCH($A78*1000+8,Квартиры!$K$2:$K$1501,0))&gt;0," +Г",""),"-"))</f>
        <v/>
      </c>
      <c r="K78">
        <f>IF($A78="","",IFERROR(IF(Настройки!$B$4="да",INDEX(Квартиры!$D$2:$D$1501,MATCH($A78*1000+9,Квартиры!$K$2:$K$1501,0))&amp;" / ","")&amp;INDEX(Квартиры!$H$2:$H$1501,MATCH($A78*1000+9,Квартиры!$K$2:$K$1501,0))&amp;" СУ"&amp;IF(INDEX(Квартиры!$I$2:$I$1501,MATCH($A78*1000+9,Квартиры!$K$2:$K$1501,0))&gt;0," +У","")&amp;IF(INDEX(Квартиры!$J$2:$J$1501,MATCH($A78*1000+9,Квартиры!$K$2:$K$1501,0))&gt;0," +Г",""),"-"))</f>
        <v/>
      </c>
      <c r="L78">
        <f>IF($A78="","",IFERROR(IF(Настройки!$B$4="да",INDEX(Квартиры!$D$2:$D$1501,MATCH($A78*1000+10,Квартиры!$K$2:$K$1501,0))&amp;" / ","")&amp;INDEX(Квартиры!$H$2:$H$1501,MATCH($A78*1000+10,Квартиры!$K$2:$K$1501,0))&amp;" СУ"&amp;IF(INDEX(Квартиры!$I$2:$I$1501,MATCH($A78*1000+10,Квартиры!$K$2:$K$1501,0))&gt;0," +У","")&amp;IF(INDEX(Квартиры!$J$2:$J$1501,MATCH($A78*1000+10,Квартиры!$K$2:$K$1501,0))&gt;0," +Г",""),"-"))</f>
        <v/>
      </c>
      <c r="M78">
        <f>IF($A78="","",IFERROR(IF(Настройки!$B$4="да",INDEX(Квартиры!$D$2:$D$1501,MATCH($A78*1000+11,Квартиры!$K$2:$K$1501,0))&amp;" / ","")&amp;INDEX(Квартиры!$H$2:$H$1501,MATCH($A78*1000+11,Квартиры!$K$2:$K$1501,0))&amp;" СУ"&amp;IF(INDEX(Квартиры!$I$2:$I$1501,MATCH($A78*1000+11,Квартиры!$K$2:$K$1501,0))&gt;0," +У","")&amp;IF(INDEX(Квартиры!$J$2:$J$1501,MATCH($A78*1000+11,Квартиры!$K$2:$K$1501,0))&gt;0," +Г",""),"-"))</f>
        <v/>
      </c>
      <c r="N78">
        <f>IF($A78="","",IFERROR(IF(Настройки!$B$4="да",INDEX(Квартиры!$D$2:$D$1501,MATCH($A78*1000+12,Квартиры!$K$2:$K$1501,0))&amp;" / ","")&amp;INDEX(Квартиры!$H$2:$H$1501,MATCH($A78*1000+12,Квартиры!$K$2:$K$1501,0))&amp;" СУ"&amp;IF(INDEX(Квартиры!$I$2:$I$1501,MATCH($A78*1000+12,Квартиры!$K$2:$K$1501,0))&gt;0," +У","")&amp;IF(INDEX(Квартиры!$J$2:$J$1501,MATCH($A78*1000+12,Квартиры!$K$2:$K$1501,0))&gt;0," +Г",""),"-"))</f>
        <v/>
      </c>
      <c r="O78">
        <f>IF($A78="","",IFERROR(IF(Настройки!$B$4="да",INDEX(Квартиры!$D$2:$D$1501,MATCH($A78*1000+13,Квартиры!$K$2:$K$1501,0))&amp;" / ","")&amp;INDEX(Квартиры!$H$2:$H$1501,MATCH($A78*1000+13,Квартиры!$K$2:$K$1501,0))&amp;" СУ"&amp;IF(INDEX(Квартиры!$I$2:$I$1501,MATCH($A78*1000+13,Квартиры!$K$2:$K$1501,0))&gt;0," +У","")&amp;IF(INDEX(Квартиры!$J$2:$J$1501,MATCH($A78*1000+13,Квартиры!$K$2:$K$1501,0))&gt;0," +Г",""),"-"))</f>
        <v/>
      </c>
      <c r="P78">
        <f>IF($A78="","",IFERROR(IF(Настройки!$B$4="да",INDEX(Квартиры!$D$2:$D$1501,MATCH($A78*1000+14,Квартиры!$K$2:$K$1501,0))&amp;" / ","")&amp;INDEX(Квартиры!$H$2:$H$1501,MATCH($A78*1000+14,Квартиры!$K$2:$K$1501,0))&amp;" СУ"&amp;IF(INDEX(Квартиры!$I$2:$I$1501,MATCH($A78*1000+14,Квартиры!$K$2:$K$1501,0))&gt;0," +У","")&amp;IF(INDEX(Квартиры!$J$2:$J$1501,MATCH($A78*1000+14,Квартиры!$K$2:$K$1501,0))&gt;0," +Г",""),"-"))</f>
        <v/>
      </c>
      <c r="Q78">
        <f>IF($A78="","",IFERROR(IF(Настройки!$B$4="да",INDEX(Квартиры!$D$2:$D$1501,MATCH($A78*1000+15,Квартиры!$K$2:$K$1501,0))&amp;" / ","")&amp;INDEX(Квартиры!$H$2:$H$1501,MATCH($A78*1000+15,Квартиры!$K$2:$K$1501,0))&amp;" СУ"&amp;IF(INDEX(Квартиры!$I$2:$I$1501,MATCH($A78*1000+15,Квартиры!$K$2:$K$1501,0))&gt;0," +У","")&amp;IF(INDEX(Квартиры!$J$2:$J$1501,MATCH($A78*1000+15,Квартиры!$K$2:$K$1501,0))&gt;0," +Г",""),"-"))</f>
        <v/>
      </c>
      <c r="R78">
        <f>IF(A78="","",C78&amp;"|"&amp;D78&amp;"|"&amp;E78&amp;"|"&amp;F78&amp;"|"&amp;G78&amp;"|"&amp;H78&amp;"|"&amp;I78&amp;"|"&amp;J78&amp;"|"&amp;K78&amp;"|"&amp;L78&amp;"|"&amp;M78&amp;"|"&amp;N78&amp;"|"&amp;O78&amp;"|"&amp;P78&amp;"|"&amp;Q78)</f>
        <v/>
      </c>
      <c r="S78">
        <f>IF(A78="","",IFERROR(LOOKUP(2,1/(B$2:B77=B78),S$2:S77)&amp;", ","")&amp;A78)</f>
        <v/>
      </c>
      <c r="U78">
        <f>IF(76&gt;MAX(B$3:B$82),"",76)</f>
        <v/>
      </c>
      <c r="V78">
        <f>IF(U78="","",LOOKUP(2,1/(B$3:B$82=U78),S$3:S$82))</f>
        <v/>
      </c>
      <c r="W78">
        <f>IF(U78="","",COUNTIF(B$3:B$82,U78))</f>
        <v/>
      </c>
    </row>
    <row r="79">
      <c r="A79">
        <f>IFERROR(IF(A78="","",SMALL(Квартиры!$B$2:$B$1501,COUNTIF(Квартиры!$B$2:$B$1501,"&lt;="&amp;A78)+1)),"")</f>
        <v/>
      </c>
      <c r="B79">
        <f>IF(A79="","",IF(COUNTIF(R$2:R78,R79)=0,MAX(B$2:B78)+1,INDEX(B$2:B78,MATCH(R79,R$2:R78,0))))</f>
        <v/>
      </c>
      <c r="C79">
        <f>IF($A79="","",IFERROR(IF(Настройки!$B$4="да",INDEX(Квартиры!$D$2:$D$1501,MATCH($A79*1000+1,Квартиры!$K$2:$K$1501,0))&amp;" / ","")&amp;INDEX(Квартиры!$H$2:$H$1501,MATCH($A79*1000+1,Квартиры!$K$2:$K$1501,0))&amp;" СУ"&amp;IF(INDEX(Квартиры!$I$2:$I$1501,MATCH($A79*1000+1,Квартиры!$K$2:$K$1501,0))&gt;0," +У","")&amp;IF(INDEX(Квартиры!$J$2:$J$1501,MATCH($A79*1000+1,Квартиры!$K$2:$K$1501,0))&gt;0," +Г",""),"-"))</f>
        <v/>
      </c>
      <c r="D79">
        <f>IF($A79="","",IFERROR(IF(Настройки!$B$4="да",INDEX(Квартиры!$D$2:$D$1501,MATCH($A79*1000+2,Квартиры!$K$2:$K$1501,0))&amp;" / ","")&amp;INDEX(Квартиры!$H$2:$H$1501,MATCH($A79*1000+2,Квартиры!$K$2:$K$1501,0))&amp;" СУ"&amp;IF(INDEX(Квартиры!$I$2:$I$1501,MATCH($A79*1000+2,Квартиры!$K$2:$K$1501,0))&gt;0," +У","")&amp;IF(INDEX(Квартиры!$J$2:$J$1501,MATCH($A79*1000+2,Квартиры!$K$2:$K$1501,0))&gt;0," +Г",""),"-"))</f>
        <v/>
      </c>
      <c r="E79">
        <f>IF($A79="","",IFERROR(IF(Настройки!$B$4="да",INDEX(Квартиры!$D$2:$D$1501,MATCH($A79*1000+3,Квартиры!$K$2:$K$1501,0))&amp;" / ","")&amp;INDEX(Квартиры!$H$2:$H$1501,MATCH($A79*1000+3,Квартиры!$K$2:$K$1501,0))&amp;" СУ"&amp;IF(INDEX(Квартиры!$I$2:$I$1501,MATCH($A79*1000+3,Квартиры!$K$2:$K$1501,0))&gt;0," +У","")&amp;IF(INDEX(Квартиры!$J$2:$J$1501,MATCH($A79*1000+3,Квартиры!$K$2:$K$1501,0))&gt;0," +Г",""),"-"))</f>
        <v/>
      </c>
      <c r="F79">
        <f>IF($A79="","",IFERROR(IF(Настройки!$B$4="да",INDEX(Квартиры!$D$2:$D$1501,MATCH($A79*1000+4,Квартиры!$K$2:$K$1501,0))&amp;" / ","")&amp;INDEX(Квартиры!$H$2:$H$1501,MATCH($A79*1000+4,Квартиры!$K$2:$K$1501,0))&amp;" СУ"&amp;IF(INDEX(Квартиры!$I$2:$I$1501,MATCH($A79*1000+4,Квартиры!$K$2:$K$1501,0))&gt;0," +У","")&amp;IF(INDEX(Квартиры!$J$2:$J$1501,MATCH($A79*1000+4,Квартиры!$K$2:$K$1501,0))&gt;0," +Г",""),"-"))</f>
        <v/>
      </c>
      <c r="G79">
        <f>IF($A79="","",IFERROR(IF(Настройки!$B$4="да",INDEX(Квартиры!$D$2:$D$1501,MATCH($A79*1000+5,Квартиры!$K$2:$K$1501,0))&amp;" / ","")&amp;INDEX(Квартиры!$H$2:$H$1501,MATCH($A79*1000+5,Квартиры!$K$2:$K$1501,0))&amp;" СУ"&amp;IF(INDEX(Квартиры!$I$2:$I$1501,MATCH($A79*1000+5,Квартиры!$K$2:$K$1501,0))&gt;0," +У","")&amp;IF(INDEX(Квартиры!$J$2:$J$1501,MATCH($A79*1000+5,Квартиры!$K$2:$K$1501,0))&gt;0," +Г",""),"-"))</f>
        <v/>
      </c>
      <c r="H79">
        <f>IF($A79="","",IFERROR(IF(Настройки!$B$4="да",INDEX(Квартиры!$D$2:$D$1501,MATCH($A79*1000+6,Квартиры!$K$2:$K$1501,0))&amp;" / ","")&amp;INDEX(Квартиры!$H$2:$H$1501,MATCH($A79*1000+6,Квартиры!$K$2:$K$1501,0))&amp;" СУ"&amp;IF(INDEX(Квартиры!$I$2:$I$1501,MATCH($A79*1000+6,Квартиры!$K$2:$K$1501,0))&gt;0," +У","")&amp;IF(INDEX(Квартиры!$J$2:$J$1501,MATCH($A79*1000+6,Квартиры!$K$2:$K$1501,0))&gt;0," +Г",""),"-"))</f>
        <v/>
      </c>
      <c r="I79">
        <f>IF($A79="","",IFERROR(IF(Настройки!$B$4="да",INDEX(Квартиры!$D$2:$D$1501,MATCH($A79*1000+7,Квартиры!$K$2:$K$1501,0))&amp;" / ","")&amp;INDEX(Квартиры!$H$2:$H$1501,MATCH($A79*1000+7,Квартиры!$K$2:$K$1501,0))&amp;" СУ"&amp;IF(INDEX(Квартиры!$I$2:$I$1501,MATCH($A79*1000+7,Квартиры!$K$2:$K$1501,0))&gt;0," +У","")&amp;IF(INDEX(Квартиры!$J$2:$J$1501,MATCH($A79*1000+7,Квартиры!$K$2:$K$1501,0))&gt;0," +Г",""),"-"))</f>
        <v/>
      </c>
      <c r="J79">
        <f>IF($A79="","",IFERROR(IF(Настройки!$B$4="да",INDEX(Квартиры!$D$2:$D$1501,MATCH($A79*1000+8,Квартиры!$K$2:$K$1501,0))&amp;" / ","")&amp;INDEX(Квартиры!$H$2:$H$1501,MATCH($A79*1000+8,Квартиры!$K$2:$K$1501,0))&amp;" СУ"&amp;IF(INDEX(Квартиры!$I$2:$I$1501,MATCH($A79*1000+8,Квартиры!$K$2:$K$1501,0))&gt;0," +У","")&amp;IF(INDEX(Квартиры!$J$2:$J$1501,MATCH($A79*1000+8,Квартиры!$K$2:$K$1501,0))&gt;0," +Г",""),"-"))</f>
        <v/>
      </c>
      <c r="K79">
        <f>IF($A79="","",IFERROR(IF(Настройки!$B$4="да",INDEX(Квартиры!$D$2:$D$1501,MATCH($A79*1000+9,Квартиры!$K$2:$K$1501,0))&amp;" / ","")&amp;INDEX(Квартиры!$H$2:$H$1501,MATCH($A79*1000+9,Квартиры!$K$2:$K$1501,0))&amp;" СУ"&amp;IF(INDEX(Квартиры!$I$2:$I$1501,MATCH($A79*1000+9,Квартиры!$K$2:$K$1501,0))&gt;0," +У","")&amp;IF(INDEX(Квартиры!$J$2:$J$1501,MATCH($A79*1000+9,Квартиры!$K$2:$K$1501,0))&gt;0," +Г",""),"-"))</f>
        <v/>
      </c>
      <c r="L79">
        <f>IF($A79="","",IFERROR(IF(Настройки!$B$4="да",INDEX(Квартиры!$D$2:$D$1501,MATCH($A79*1000+10,Квартиры!$K$2:$K$1501,0))&amp;" / ","")&amp;INDEX(Квартиры!$H$2:$H$1501,MATCH($A79*1000+10,Квартиры!$K$2:$K$1501,0))&amp;" СУ"&amp;IF(INDEX(Квартиры!$I$2:$I$1501,MATCH($A79*1000+10,Квартиры!$K$2:$K$1501,0))&gt;0," +У","")&amp;IF(INDEX(Квартиры!$J$2:$J$1501,MATCH($A79*1000+10,Квартиры!$K$2:$K$1501,0))&gt;0," +Г",""),"-"))</f>
        <v/>
      </c>
      <c r="M79">
        <f>IF($A79="","",IFERROR(IF(Настройки!$B$4="да",INDEX(Квартиры!$D$2:$D$1501,MATCH($A79*1000+11,Квартиры!$K$2:$K$1501,0))&amp;" / ","")&amp;INDEX(Квартиры!$H$2:$H$1501,MATCH($A79*1000+11,Квартиры!$K$2:$K$1501,0))&amp;" СУ"&amp;IF(INDEX(Квартиры!$I$2:$I$1501,MATCH($A79*1000+11,Квартиры!$K$2:$K$1501,0))&gt;0," +У","")&amp;IF(INDEX(Квартиры!$J$2:$J$1501,MATCH($A79*1000+11,Квартиры!$K$2:$K$1501,0))&gt;0," +Г",""),"-"))</f>
        <v/>
      </c>
      <c r="N79">
        <f>IF($A79="","",IFERROR(IF(Настройки!$B$4="да",INDEX(Квартиры!$D$2:$D$1501,MATCH($A79*1000+12,Квартиры!$K$2:$K$1501,0))&amp;" / ","")&amp;INDEX(Квартиры!$H$2:$H$1501,MATCH($A79*1000+12,Квартиры!$K$2:$K$1501,0))&amp;" СУ"&amp;IF(INDEX(Квартиры!$I$2:$I$1501,MATCH($A79*1000+12,Квартиры!$K$2:$K$1501,0))&gt;0," +У","")&amp;IF(INDEX(Квартиры!$J$2:$J$1501,MATCH($A79*1000+12,Квартиры!$K$2:$K$1501,0))&gt;0," +Г",""),"-"))</f>
        <v/>
      </c>
      <c r="O79">
        <f>IF($A79="","",IFERROR(IF(Настройки!$B$4="да",INDEX(Квартиры!$D$2:$D$1501,MATCH($A79*1000+13,Квартиры!$K$2:$K$1501,0))&amp;" / ","")&amp;INDEX(Квартиры!$H$2:$H$1501,MATCH($A79*1000+13,Квартиры!$K$2:$K$1501,0))&amp;" СУ"&amp;IF(INDEX(Квартиры!$I$2:$I$1501,MATCH($A79*1000+13,Квартиры!$K$2:$K$1501,0))&gt;0," +У","")&amp;IF(INDEX(Квартиры!$J$2:$J$1501,MATCH($A79*1000+13,Квартиры!$K$2:$K$1501,0))&gt;0," +Г",""),"-"))</f>
        <v/>
      </c>
      <c r="P79">
        <f>IF($A79="","",IFERROR(IF(Настройки!$B$4="да",INDEX(Квартиры!$D$2:$D$1501,MATCH($A79*1000+14,Квартиры!$K$2:$K$1501,0))&amp;" / ","")&amp;INDEX(Квартиры!$H$2:$H$1501,MATCH($A79*1000+14,Квартиры!$K$2:$K$1501,0))&amp;" СУ"&amp;IF(INDEX(Квартиры!$I$2:$I$1501,MATCH($A79*1000+14,Квартиры!$K$2:$K$1501,0))&gt;0," +У","")&amp;IF(INDEX(Квартиры!$J$2:$J$1501,MATCH($A79*1000+14,Квартиры!$K$2:$K$1501,0))&gt;0," +Г",""),"-"))</f>
        <v/>
      </c>
      <c r="Q79">
        <f>IF($A79="","",IFERROR(IF(Настройки!$B$4="да",INDEX(Квартиры!$D$2:$D$1501,MATCH($A79*1000+15,Квартиры!$K$2:$K$1501,0))&amp;" / ","")&amp;INDEX(Квартиры!$H$2:$H$1501,MATCH($A79*1000+15,Квартиры!$K$2:$K$1501,0))&amp;" СУ"&amp;IF(INDEX(Квартиры!$I$2:$I$1501,MATCH($A79*1000+15,Квартиры!$K$2:$K$1501,0))&gt;0," +У","")&amp;IF(INDEX(Квартиры!$J$2:$J$1501,MATCH($A79*1000+15,Квартиры!$K$2:$K$1501,0))&gt;0," +Г",""),"-"))</f>
        <v/>
      </c>
      <c r="R79">
        <f>IF(A79="","",C79&amp;"|"&amp;D79&amp;"|"&amp;E79&amp;"|"&amp;F79&amp;"|"&amp;G79&amp;"|"&amp;H79&amp;"|"&amp;I79&amp;"|"&amp;J79&amp;"|"&amp;K79&amp;"|"&amp;L79&amp;"|"&amp;M79&amp;"|"&amp;N79&amp;"|"&amp;O79&amp;"|"&amp;P79&amp;"|"&amp;Q79)</f>
        <v/>
      </c>
      <c r="S79">
        <f>IF(A79="","",IFERROR(LOOKUP(2,1/(B$2:B78=B79),S$2:S78)&amp;", ","")&amp;A79)</f>
        <v/>
      </c>
      <c r="U79">
        <f>IF(77&gt;MAX(B$3:B$82),"",77)</f>
        <v/>
      </c>
      <c r="V79">
        <f>IF(U79="","",LOOKUP(2,1/(B$3:B$82=U79),S$3:S$82))</f>
        <v/>
      </c>
      <c r="W79">
        <f>IF(U79="","",COUNTIF(B$3:B$82,U79))</f>
        <v/>
      </c>
    </row>
    <row r="80">
      <c r="A80">
        <f>IFERROR(IF(A79="","",SMALL(Квартиры!$B$2:$B$1501,COUNTIF(Квартиры!$B$2:$B$1501,"&lt;="&amp;A79)+1)),"")</f>
        <v/>
      </c>
      <c r="B80">
        <f>IF(A80="","",IF(COUNTIF(R$2:R79,R80)=0,MAX(B$2:B79)+1,INDEX(B$2:B79,MATCH(R80,R$2:R79,0))))</f>
        <v/>
      </c>
      <c r="C80">
        <f>IF($A80="","",IFERROR(IF(Настройки!$B$4="да",INDEX(Квартиры!$D$2:$D$1501,MATCH($A80*1000+1,Квартиры!$K$2:$K$1501,0))&amp;" / ","")&amp;INDEX(Квартиры!$H$2:$H$1501,MATCH($A80*1000+1,Квартиры!$K$2:$K$1501,0))&amp;" СУ"&amp;IF(INDEX(Квартиры!$I$2:$I$1501,MATCH($A80*1000+1,Квартиры!$K$2:$K$1501,0))&gt;0," +У","")&amp;IF(INDEX(Квартиры!$J$2:$J$1501,MATCH($A80*1000+1,Квартиры!$K$2:$K$1501,0))&gt;0," +Г",""),"-"))</f>
        <v/>
      </c>
      <c r="D80">
        <f>IF($A80="","",IFERROR(IF(Настройки!$B$4="да",INDEX(Квартиры!$D$2:$D$1501,MATCH($A80*1000+2,Квартиры!$K$2:$K$1501,0))&amp;" / ","")&amp;INDEX(Квартиры!$H$2:$H$1501,MATCH($A80*1000+2,Квартиры!$K$2:$K$1501,0))&amp;" СУ"&amp;IF(INDEX(Квартиры!$I$2:$I$1501,MATCH($A80*1000+2,Квартиры!$K$2:$K$1501,0))&gt;0," +У","")&amp;IF(INDEX(Квартиры!$J$2:$J$1501,MATCH($A80*1000+2,Квартиры!$K$2:$K$1501,0))&gt;0," +Г",""),"-"))</f>
        <v/>
      </c>
      <c r="E80">
        <f>IF($A80="","",IFERROR(IF(Настройки!$B$4="да",INDEX(Квартиры!$D$2:$D$1501,MATCH($A80*1000+3,Квартиры!$K$2:$K$1501,0))&amp;" / ","")&amp;INDEX(Квартиры!$H$2:$H$1501,MATCH($A80*1000+3,Квартиры!$K$2:$K$1501,0))&amp;" СУ"&amp;IF(INDEX(Квартиры!$I$2:$I$1501,MATCH($A80*1000+3,Квартиры!$K$2:$K$1501,0))&gt;0," +У","")&amp;IF(INDEX(Квартиры!$J$2:$J$1501,MATCH($A80*1000+3,Квартиры!$K$2:$K$1501,0))&gt;0," +Г",""),"-"))</f>
        <v/>
      </c>
      <c r="F80">
        <f>IF($A80="","",IFERROR(IF(Настройки!$B$4="да",INDEX(Квартиры!$D$2:$D$1501,MATCH($A80*1000+4,Квартиры!$K$2:$K$1501,0))&amp;" / ","")&amp;INDEX(Квартиры!$H$2:$H$1501,MATCH($A80*1000+4,Квартиры!$K$2:$K$1501,0))&amp;" СУ"&amp;IF(INDEX(Квартиры!$I$2:$I$1501,MATCH($A80*1000+4,Квартиры!$K$2:$K$1501,0))&gt;0," +У","")&amp;IF(INDEX(Квартиры!$J$2:$J$1501,MATCH($A80*1000+4,Квартиры!$K$2:$K$1501,0))&gt;0," +Г",""),"-"))</f>
        <v/>
      </c>
      <c r="G80">
        <f>IF($A80="","",IFERROR(IF(Настройки!$B$4="да",INDEX(Квартиры!$D$2:$D$1501,MATCH($A80*1000+5,Квартиры!$K$2:$K$1501,0))&amp;" / ","")&amp;INDEX(Квартиры!$H$2:$H$1501,MATCH($A80*1000+5,Квартиры!$K$2:$K$1501,0))&amp;" СУ"&amp;IF(INDEX(Квартиры!$I$2:$I$1501,MATCH($A80*1000+5,Квартиры!$K$2:$K$1501,0))&gt;0," +У","")&amp;IF(INDEX(Квартиры!$J$2:$J$1501,MATCH($A80*1000+5,Квартиры!$K$2:$K$1501,0))&gt;0," +Г",""),"-"))</f>
        <v/>
      </c>
      <c r="H80">
        <f>IF($A80="","",IFERROR(IF(Настройки!$B$4="да",INDEX(Квартиры!$D$2:$D$1501,MATCH($A80*1000+6,Квартиры!$K$2:$K$1501,0))&amp;" / ","")&amp;INDEX(Квартиры!$H$2:$H$1501,MATCH($A80*1000+6,Квартиры!$K$2:$K$1501,0))&amp;" СУ"&amp;IF(INDEX(Квартиры!$I$2:$I$1501,MATCH($A80*1000+6,Квартиры!$K$2:$K$1501,0))&gt;0," +У","")&amp;IF(INDEX(Квартиры!$J$2:$J$1501,MATCH($A80*1000+6,Квартиры!$K$2:$K$1501,0))&gt;0," +Г",""),"-"))</f>
        <v/>
      </c>
      <c r="I80">
        <f>IF($A80="","",IFERROR(IF(Настройки!$B$4="да",INDEX(Квартиры!$D$2:$D$1501,MATCH($A80*1000+7,Квартиры!$K$2:$K$1501,0))&amp;" / ","")&amp;INDEX(Квартиры!$H$2:$H$1501,MATCH($A80*1000+7,Квартиры!$K$2:$K$1501,0))&amp;" СУ"&amp;IF(INDEX(Квартиры!$I$2:$I$1501,MATCH($A80*1000+7,Квартиры!$K$2:$K$1501,0))&gt;0," +У","")&amp;IF(INDEX(Квартиры!$J$2:$J$1501,MATCH($A80*1000+7,Квартиры!$K$2:$K$1501,0))&gt;0," +Г",""),"-"))</f>
        <v/>
      </c>
      <c r="J80">
        <f>IF($A80="","",IFERROR(IF(Настройки!$B$4="да",INDEX(Квартиры!$D$2:$D$1501,MATCH($A80*1000+8,Квартиры!$K$2:$K$1501,0))&amp;" / ","")&amp;INDEX(Квартиры!$H$2:$H$1501,MATCH($A80*1000+8,Квартиры!$K$2:$K$1501,0))&amp;" СУ"&amp;IF(INDEX(Квартиры!$I$2:$I$1501,MATCH($A80*1000+8,Квартиры!$K$2:$K$1501,0))&gt;0," +У","")&amp;IF(INDEX(Квартиры!$J$2:$J$1501,MATCH($A80*1000+8,Квартиры!$K$2:$K$1501,0))&gt;0," +Г",""),"-"))</f>
        <v/>
      </c>
      <c r="K80">
        <f>IF($A80="","",IFERROR(IF(Настройки!$B$4="да",INDEX(Квартиры!$D$2:$D$1501,MATCH($A80*1000+9,Квартиры!$K$2:$K$1501,0))&amp;" / ","")&amp;INDEX(Квартиры!$H$2:$H$1501,MATCH($A80*1000+9,Квартиры!$K$2:$K$1501,0))&amp;" СУ"&amp;IF(INDEX(Квартиры!$I$2:$I$1501,MATCH($A80*1000+9,Квартиры!$K$2:$K$1501,0))&gt;0," +У","")&amp;IF(INDEX(Квартиры!$J$2:$J$1501,MATCH($A80*1000+9,Квартиры!$K$2:$K$1501,0))&gt;0," +Г",""),"-"))</f>
        <v/>
      </c>
      <c r="L80">
        <f>IF($A80="","",IFERROR(IF(Настройки!$B$4="да",INDEX(Квартиры!$D$2:$D$1501,MATCH($A80*1000+10,Квартиры!$K$2:$K$1501,0))&amp;" / ","")&amp;INDEX(Квартиры!$H$2:$H$1501,MATCH($A80*1000+10,Квартиры!$K$2:$K$1501,0))&amp;" СУ"&amp;IF(INDEX(Квартиры!$I$2:$I$1501,MATCH($A80*1000+10,Квартиры!$K$2:$K$1501,0))&gt;0," +У","")&amp;IF(INDEX(Квартиры!$J$2:$J$1501,MATCH($A80*1000+10,Квартиры!$K$2:$K$1501,0))&gt;0," +Г",""),"-"))</f>
        <v/>
      </c>
      <c r="M80">
        <f>IF($A80="","",IFERROR(IF(Настройки!$B$4="да",INDEX(Квартиры!$D$2:$D$1501,MATCH($A80*1000+11,Квартиры!$K$2:$K$1501,0))&amp;" / ","")&amp;INDEX(Квартиры!$H$2:$H$1501,MATCH($A80*1000+11,Квартиры!$K$2:$K$1501,0))&amp;" СУ"&amp;IF(INDEX(Квартиры!$I$2:$I$1501,MATCH($A80*1000+11,Квартиры!$K$2:$K$1501,0))&gt;0," +У","")&amp;IF(INDEX(Квартиры!$J$2:$J$1501,MATCH($A80*1000+11,Квартиры!$K$2:$K$1501,0))&gt;0," +Г",""),"-"))</f>
        <v/>
      </c>
      <c r="N80">
        <f>IF($A80="","",IFERROR(IF(Настройки!$B$4="да",INDEX(Квартиры!$D$2:$D$1501,MATCH($A80*1000+12,Квартиры!$K$2:$K$1501,0))&amp;" / ","")&amp;INDEX(Квартиры!$H$2:$H$1501,MATCH($A80*1000+12,Квартиры!$K$2:$K$1501,0))&amp;" СУ"&amp;IF(INDEX(Квартиры!$I$2:$I$1501,MATCH($A80*1000+12,Квартиры!$K$2:$K$1501,0))&gt;0," +У","")&amp;IF(INDEX(Квартиры!$J$2:$J$1501,MATCH($A80*1000+12,Квартиры!$K$2:$K$1501,0))&gt;0," +Г",""),"-"))</f>
        <v/>
      </c>
      <c r="O80">
        <f>IF($A80="","",IFERROR(IF(Настройки!$B$4="да",INDEX(Квартиры!$D$2:$D$1501,MATCH($A80*1000+13,Квартиры!$K$2:$K$1501,0))&amp;" / ","")&amp;INDEX(Квартиры!$H$2:$H$1501,MATCH($A80*1000+13,Квартиры!$K$2:$K$1501,0))&amp;" СУ"&amp;IF(INDEX(Квартиры!$I$2:$I$1501,MATCH($A80*1000+13,Квартиры!$K$2:$K$1501,0))&gt;0," +У","")&amp;IF(INDEX(Квартиры!$J$2:$J$1501,MATCH($A80*1000+13,Квартиры!$K$2:$K$1501,0))&gt;0," +Г",""),"-"))</f>
        <v/>
      </c>
      <c r="P80">
        <f>IF($A80="","",IFERROR(IF(Настройки!$B$4="да",INDEX(Квартиры!$D$2:$D$1501,MATCH($A80*1000+14,Квартиры!$K$2:$K$1501,0))&amp;" / ","")&amp;INDEX(Квартиры!$H$2:$H$1501,MATCH($A80*1000+14,Квартиры!$K$2:$K$1501,0))&amp;" СУ"&amp;IF(INDEX(Квартиры!$I$2:$I$1501,MATCH($A80*1000+14,Квартиры!$K$2:$K$1501,0))&gt;0," +У","")&amp;IF(INDEX(Квартиры!$J$2:$J$1501,MATCH($A80*1000+14,Квартиры!$K$2:$K$1501,0))&gt;0," +Г",""),"-"))</f>
        <v/>
      </c>
      <c r="Q80">
        <f>IF($A80="","",IFERROR(IF(Настройки!$B$4="да",INDEX(Квартиры!$D$2:$D$1501,MATCH($A80*1000+15,Квартиры!$K$2:$K$1501,0))&amp;" / ","")&amp;INDEX(Квартиры!$H$2:$H$1501,MATCH($A80*1000+15,Квартиры!$K$2:$K$1501,0))&amp;" СУ"&amp;IF(INDEX(Квартиры!$I$2:$I$1501,MATCH($A80*1000+15,Квартиры!$K$2:$K$1501,0))&gt;0," +У","")&amp;IF(INDEX(Квартиры!$J$2:$J$1501,MATCH($A80*1000+15,Квартиры!$K$2:$K$1501,0))&gt;0," +Г",""),"-"))</f>
        <v/>
      </c>
      <c r="R80">
        <f>IF(A80="","",C80&amp;"|"&amp;D80&amp;"|"&amp;E80&amp;"|"&amp;F80&amp;"|"&amp;G80&amp;"|"&amp;H80&amp;"|"&amp;I80&amp;"|"&amp;J80&amp;"|"&amp;K80&amp;"|"&amp;L80&amp;"|"&amp;M80&amp;"|"&amp;N80&amp;"|"&amp;O80&amp;"|"&amp;P80&amp;"|"&amp;Q80)</f>
        <v/>
      </c>
      <c r="S80">
        <f>IF(A80="","",IFERROR(LOOKUP(2,1/(B$2:B79=B80),S$2:S79)&amp;", ","")&amp;A80)</f>
        <v/>
      </c>
      <c r="U80">
        <f>IF(78&gt;MAX(B$3:B$82),"",78)</f>
        <v/>
      </c>
      <c r="V80">
        <f>IF(U80="","",LOOKUP(2,1/(B$3:B$82=U80),S$3:S$82))</f>
        <v/>
      </c>
      <c r="W80">
        <f>IF(U80="","",COUNTIF(B$3:B$82,U80))</f>
        <v/>
      </c>
    </row>
    <row r="81">
      <c r="A81">
        <f>IFERROR(IF(A80="","",SMALL(Квартиры!$B$2:$B$1501,COUNTIF(Квартиры!$B$2:$B$1501,"&lt;="&amp;A80)+1)),"")</f>
        <v/>
      </c>
      <c r="B81">
        <f>IF(A81="","",IF(COUNTIF(R$2:R80,R81)=0,MAX(B$2:B80)+1,INDEX(B$2:B80,MATCH(R81,R$2:R80,0))))</f>
        <v/>
      </c>
      <c r="C81">
        <f>IF($A81="","",IFERROR(IF(Настройки!$B$4="да",INDEX(Квартиры!$D$2:$D$1501,MATCH($A81*1000+1,Квартиры!$K$2:$K$1501,0))&amp;" / ","")&amp;INDEX(Квартиры!$H$2:$H$1501,MATCH($A81*1000+1,Квартиры!$K$2:$K$1501,0))&amp;" СУ"&amp;IF(INDEX(Квартиры!$I$2:$I$1501,MATCH($A81*1000+1,Квартиры!$K$2:$K$1501,0))&gt;0," +У","")&amp;IF(INDEX(Квартиры!$J$2:$J$1501,MATCH($A81*1000+1,Квартиры!$K$2:$K$1501,0))&gt;0," +Г",""),"-"))</f>
        <v/>
      </c>
      <c r="D81">
        <f>IF($A81="","",IFERROR(IF(Настройки!$B$4="да",INDEX(Квартиры!$D$2:$D$1501,MATCH($A81*1000+2,Квартиры!$K$2:$K$1501,0))&amp;" / ","")&amp;INDEX(Квартиры!$H$2:$H$1501,MATCH($A81*1000+2,Квартиры!$K$2:$K$1501,0))&amp;" СУ"&amp;IF(INDEX(Квартиры!$I$2:$I$1501,MATCH($A81*1000+2,Квартиры!$K$2:$K$1501,0))&gt;0," +У","")&amp;IF(INDEX(Квартиры!$J$2:$J$1501,MATCH($A81*1000+2,Квартиры!$K$2:$K$1501,0))&gt;0," +Г",""),"-"))</f>
        <v/>
      </c>
      <c r="E81">
        <f>IF($A81="","",IFERROR(IF(Настройки!$B$4="да",INDEX(Квартиры!$D$2:$D$1501,MATCH($A81*1000+3,Квартиры!$K$2:$K$1501,0))&amp;" / ","")&amp;INDEX(Квартиры!$H$2:$H$1501,MATCH($A81*1000+3,Квартиры!$K$2:$K$1501,0))&amp;" СУ"&amp;IF(INDEX(Квартиры!$I$2:$I$1501,MATCH($A81*1000+3,Квартиры!$K$2:$K$1501,0))&gt;0," +У","")&amp;IF(INDEX(Квартиры!$J$2:$J$1501,MATCH($A81*1000+3,Квартиры!$K$2:$K$1501,0))&gt;0," +Г",""),"-"))</f>
        <v/>
      </c>
      <c r="F81">
        <f>IF($A81="","",IFERROR(IF(Настройки!$B$4="да",INDEX(Квартиры!$D$2:$D$1501,MATCH($A81*1000+4,Квартиры!$K$2:$K$1501,0))&amp;" / ","")&amp;INDEX(Квартиры!$H$2:$H$1501,MATCH($A81*1000+4,Квартиры!$K$2:$K$1501,0))&amp;" СУ"&amp;IF(INDEX(Квартиры!$I$2:$I$1501,MATCH($A81*1000+4,Квартиры!$K$2:$K$1501,0))&gt;0," +У","")&amp;IF(INDEX(Квартиры!$J$2:$J$1501,MATCH($A81*1000+4,Квартиры!$K$2:$K$1501,0))&gt;0," +Г",""),"-"))</f>
        <v/>
      </c>
      <c r="G81">
        <f>IF($A81="","",IFERROR(IF(Настройки!$B$4="да",INDEX(Квартиры!$D$2:$D$1501,MATCH($A81*1000+5,Квартиры!$K$2:$K$1501,0))&amp;" / ","")&amp;INDEX(Квартиры!$H$2:$H$1501,MATCH($A81*1000+5,Квартиры!$K$2:$K$1501,0))&amp;" СУ"&amp;IF(INDEX(Квартиры!$I$2:$I$1501,MATCH($A81*1000+5,Квартиры!$K$2:$K$1501,0))&gt;0," +У","")&amp;IF(INDEX(Квартиры!$J$2:$J$1501,MATCH($A81*1000+5,Квартиры!$K$2:$K$1501,0))&gt;0," +Г",""),"-"))</f>
        <v/>
      </c>
      <c r="H81">
        <f>IF($A81="","",IFERROR(IF(Настройки!$B$4="да",INDEX(Квартиры!$D$2:$D$1501,MATCH($A81*1000+6,Квартиры!$K$2:$K$1501,0))&amp;" / ","")&amp;INDEX(Квартиры!$H$2:$H$1501,MATCH($A81*1000+6,Квартиры!$K$2:$K$1501,0))&amp;" СУ"&amp;IF(INDEX(Квартиры!$I$2:$I$1501,MATCH($A81*1000+6,Квартиры!$K$2:$K$1501,0))&gt;0," +У","")&amp;IF(INDEX(Квартиры!$J$2:$J$1501,MATCH($A81*1000+6,Квартиры!$K$2:$K$1501,0))&gt;0," +Г",""),"-"))</f>
        <v/>
      </c>
      <c r="I81">
        <f>IF($A81="","",IFERROR(IF(Настройки!$B$4="да",INDEX(Квартиры!$D$2:$D$1501,MATCH($A81*1000+7,Квартиры!$K$2:$K$1501,0))&amp;" / ","")&amp;INDEX(Квартиры!$H$2:$H$1501,MATCH($A81*1000+7,Квартиры!$K$2:$K$1501,0))&amp;" СУ"&amp;IF(INDEX(Квартиры!$I$2:$I$1501,MATCH($A81*1000+7,Квартиры!$K$2:$K$1501,0))&gt;0," +У","")&amp;IF(INDEX(Квартиры!$J$2:$J$1501,MATCH($A81*1000+7,Квартиры!$K$2:$K$1501,0))&gt;0," +Г",""),"-"))</f>
        <v/>
      </c>
      <c r="J81">
        <f>IF($A81="","",IFERROR(IF(Настройки!$B$4="да",INDEX(Квартиры!$D$2:$D$1501,MATCH($A81*1000+8,Квартиры!$K$2:$K$1501,0))&amp;" / ","")&amp;INDEX(Квартиры!$H$2:$H$1501,MATCH($A81*1000+8,Квартиры!$K$2:$K$1501,0))&amp;" СУ"&amp;IF(INDEX(Квартиры!$I$2:$I$1501,MATCH($A81*1000+8,Квартиры!$K$2:$K$1501,0))&gt;0," +У","")&amp;IF(INDEX(Квартиры!$J$2:$J$1501,MATCH($A81*1000+8,Квартиры!$K$2:$K$1501,0))&gt;0," +Г",""),"-"))</f>
        <v/>
      </c>
      <c r="K81">
        <f>IF($A81="","",IFERROR(IF(Настройки!$B$4="да",INDEX(Квартиры!$D$2:$D$1501,MATCH($A81*1000+9,Квартиры!$K$2:$K$1501,0))&amp;" / ","")&amp;INDEX(Квартиры!$H$2:$H$1501,MATCH($A81*1000+9,Квартиры!$K$2:$K$1501,0))&amp;" СУ"&amp;IF(INDEX(Квартиры!$I$2:$I$1501,MATCH($A81*1000+9,Квартиры!$K$2:$K$1501,0))&gt;0," +У","")&amp;IF(INDEX(Квартиры!$J$2:$J$1501,MATCH($A81*1000+9,Квартиры!$K$2:$K$1501,0))&gt;0," +Г",""),"-"))</f>
        <v/>
      </c>
      <c r="L81">
        <f>IF($A81="","",IFERROR(IF(Настройки!$B$4="да",INDEX(Квартиры!$D$2:$D$1501,MATCH($A81*1000+10,Квартиры!$K$2:$K$1501,0))&amp;" / ","")&amp;INDEX(Квартиры!$H$2:$H$1501,MATCH($A81*1000+10,Квартиры!$K$2:$K$1501,0))&amp;" СУ"&amp;IF(INDEX(Квартиры!$I$2:$I$1501,MATCH($A81*1000+10,Квартиры!$K$2:$K$1501,0))&gt;0," +У","")&amp;IF(INDEX(Квартиры!$J$2:$J$1501,MATCH($A81*1000+10,Квартиры!$K$2:$K$1501,0))&gt;0," +Г",""),"-"))</f>
        <v/>
      </c>
      <c r="M81">
        <f>IF($A81="","",IFERROR(IF(Настройки!$B$4="да",INDEX(Квартиры!$D$2:$D$1501,MATCH($A81*1000+11,Квартиры!$K$2:$K$1501,0))&amp;" / ","")&amp;INDEX(Квартиры!$H$2:$H$1501,MATCH($A81*1000+11,Квартиры!$K$2:$K$1501,0))&amp;" СУ"&amp;IF(INDEX(Квартиры!$I$2:$I$1501,MATCH($A81*1000+11,Квартиры!$K$2:$K$1501,0))&gt;0," +У","")&amp;IF(INDEX(Квартиры!$J$2:$J$1501,MATCH($A81*1000+11,Квартиры!$K$2:$K$1501,0))&gt;0," +Г",""),"-"))</f>
        <v/>
      </c>
      <c r="N81">
        <f>IF($A81="","",IFERROR(IF(Настройки!$B$4="да",INDEX(Квартиры!$D$2:$D$1501,MATCH($A81*1000+12,Квартиры!$K$2:$K$1501,0))&amp;" / ","")&amp;INDEX(Квартиры!$H$2:$H$1501,MATCH($A81*1000+12,Квартиры!$K$2:$K$1501,0))&amp;" СУ"&amp;IF(INDEX(Квартиры!$I$2:$I$1501,MATCH($A81*1000+12,Квартиры!$K$2:$K$1501,0))&gt;0," +У","")&amp;IF(INDEX(Квартиры!$J$2:$J$1501,MATCH($A81*1000+12,Квартиры!$K$2:$K$1501,0))&gt;0," +Г",""),"-"))</f>
        <v/>
      </c>
      <c r="O81">
        <f>IF($A81="","",IFERROR(IF(Настройки!$B$4="да",INDEX(Квартиры!$D$2:$D$1501,MATCH($A81*1000+13,Квартиры!$K$2:$K$1501,0))&amp;" / ","")&amp;INDEX(Квартиры!$H$2:$H$1501,MATCH($A81*1000+13,Квартиры!$K$2:$K$1501,0))&amp;" СУ"&amp;IF(INDEX(Квартиры!$I$2:$I$1501,MATCH($A81*1000+13,Квартиры!$K$2:$K$1501,0))&gt;0," +У","")&amp;IF(INDEX(Квартиры!$J$2:$J$1501,MATCH($A81*1000+13,Квартиры!$K$2:$K$1501,0))&gt;0," +Г",""),"-"))</f>
        <v/>
      </c>
      <c r="P81">
        <f>IF($A81="","",IFERROR(IF(Настройки!$B$4="да",INDEX(Квартиры!$D$2:$D$1501,MATCH($A81*1000+14,Квартиры!$K$2:$K$1501,0))&amp;" / ","")&amp;INDEX(Квартиры!$H$2:$H$1501,MATCH($A81*1000+14,Квартиры!$K$2:$K$1501,0))&amp;" СУ"&amp;IF(INDEX(Квартиры!$I$2:$I$1501,MATCH($A81*1000+14,Квартиры!$K$2:$K$1501,0))&gt;0," +У","")&amp;IF(INDEX(Квартиры!$J$2:$J$1501,MATCH($A81*1000+14,Квартиры!$K$2:$K$1501,0))&gt;0," +Г",""),"-"))</f>
        <v/>
      </c>
      <c r="Q81">
        <f>IF($A81="","",IFERROR(IF(Настройки!$B$4="да",INDEX(Квартиры!$D$2:$D$1501,MATCH($A81*1000+15,Квартиры!$K$2:$K$1501,0))&amp;" / ","")&amp;INDEX(Квартиры!$H$2:$H$1501,MATCH($A81*1000+15,Квартиры!$K$2:$K$1501,0))&amp;" СУ"&amp;IF(INDEX(Квартиры!$I$2:$I$1501,MATCH($A81*1000+15,Квартиры!$K$2:$K$1501,0))&gt;0," +У","")&amp;IF(INDEX(Квартиры!$J$2:$J$1501,MATCH($A81*1000+15,Квартиры!$K$2:$K$1501,0))&gt;0," +Г",""),"-"))</f>
        <v/>
      </c>
      <c r="R81">
        <f>IF(A81="","",C81&amp;"|"&amp;D81&amp;"|"&amp;E81&amp;"|"&amp;F81&amp;"|"&amp;G81&amp;"|"&amp;H81&amp;"|"&amp;I81&amp;"|"&amp;J81&amp;"|"&amp;K81&amp;"|"&amp;L81&amp;"|"&amp;M81&amp;"|"&amp;N81&amp;"|"&amp;O81&amp;"|"&amp;P81&amp;"|"&amp;Q81)</f>
        <v/>
      </c>
      <c r="S81">
        <f>IF(A81="","",IFERROR(LOOKUP(2,1/(B$2:B80=B81),S$2:S80)&amp;", ","")&amp;A81)</f>
        <v/>
      </c>
      <c r="U81">
        <f>IF(79&gt;MAX(B$3:B$82),"",79)</f>
        <v/>
      </c>
      <c r="V81">
        <f>IF(U81="","",LOOKUP(2,1/(B$3:B$82=U81),S$3:S$82))</f>
        <v/>
      </c>
      <c r="W81">
        <f>IF(U81="","",COUNTIF(B$3:B$82,U81))</f>
        <v/>
      </c>
    </row>
    <row r="82">
      <c r="A82">
        <f>IFERROR(IF(A81="","",SMALL(Квартиры!$B$2:$B$1501,COUNTIF(Квартиры!$B$2:$B$1501,"&lt;="&amp;A81)+1)),"")</f>
        <v/>
      </c>
      <c r="B82">
        <f>IF(A82="","",IF(COUNTIF(R$2:R81,R82)=0,MAX(B$2:B81)+1,INDEX(B$2:B81,MATCH(R82,R$2:R81,0))))</f>
        <v/>
      </c>
      <c r="C82">
        <f>IF($A82="","",IFERROR(IF(Настройки!$B$4="да",INDEX(Квартиры!$D$2:$D$1501,MATCH($A82*1000+1,Квартиры!$K$2:$K$1501,0))&amp;" / ","")&amp;INDEX(Квартиры!$H$2:$H$1501,MATCH($A82*1000+1,Квартиры!$K$2:$K$1501,0))&amp;" СУ"&amp;IF(INDEX(Квартиры!$I$2:$I$1501,MATCH($A82*1000+1,Квартиры!$K$2:$K$1501,0))&gt;0," +У","")&amp;IF(INDEX(Квартиры!$J$2:$J$1501,MATCH($A82*1000+1,Квартиры!$K$2:$K$1501,0))&gt;0," +Г",""),"-"))</f>
        <v/>
      </c>
      <c r="D82">
        <f>IF($A82="","",IFERROR(IF(Настройки!$B$4="да",INDEX(Квартиры!$D$2:$D$1501,MATCH($A82*1000+2,Квартиры!$K$2:$K$1501,0))&amp;" / ","")&amp;INDEX(Квартиры!$H$2:$H$1501,MATCH($A82*1000+2,Квартиры!$K$2:$K$1501,0))&amp;" СУ"&amp;IF(INDEX(Квартиры!$I$2:$I$1501,MATCH($A82*1000+2,Квартиры!$K$2:$K$1501,0))&gt;0," +У","")&amp;IF(INDEX(Квартиры!$J$2:$J$1501,MATCH($A82*1000+2,Квартиры!$K$2:$K$1501,0))&gt;0," +Г",""),"-"))</f>
        <v/>
      </c>
      <c r="E82">
        <f>IF($A82="","",IFERROR(IF(Настройки!$B$4="да",INDEX(Квартиры!$D$2:$D$1501,MATCH($A82*1000+3,Квартиры!$K$2:$K$1501,0))&amp;" / ","")&amp;INDEX(Квартиры!$H$2:$H$1501,MATCH($A82*1000+3,Квартиры!$K$2:$K$1501,0))&amp;" СУ"&amp;IF(INDEX(Квартиры!$I$2:$I$1501,MATCH($A82*1000+3,Квартиры!$K$2:$K$1501,0))&gt;0," +У","")&amp;IF(INDEX(Квартиры!$J$2:$J$1501,MATCH($A82*1000+3,Квартиры!$K$2:$K$1501,0))&gt;0," +Г",""),"-"))</f>
        <v/>
      </c>
      <c r="F82">
        <f>IF($A82="","",IFERROR(IF(Настройки!$B$4="да",INDEX(Квартиры!$D$2:$D$1501,MATCH($A82*1000+4,Квартиры!$K$2:$K$1501,0))&amp;" / ","")&amp;INDEX(Квартиры!$H$2:$H$1501,MATCH($A82*1000+4,Квартиры!$K$2:$K$1501,0))&amp;" СУ"&amp;IF(INDEX(Квартиры!$I$2:$I$1501,MATCH($A82*1000+4,Квартиры!$K$2:$K$1501,0))&gt;0," +У","")&amp;IF(INDEX(Квартиры!$J$2:$J$1501,MATCH($A82*1000+4,Квартиры!$K$2:$K$1501,0))&gt;0," +Г",""),"-"))</f>
        <v/>
      </c>
      <c r="G82">
        <f>IF($A82="","",IFERROR(IF(Настройки!$B$4="да",INDEX(Квартиры!$D$2:$D$1501,MATCH($A82*1000+5,Квартиры!$K$2:$K$1501,0))&amp;" / ","")&amp;INDEX(Квартиры!$H$2:$H$1501,MATCH($A82*1000+5,Квартиры!$K$2:$K$1501,0))&amp;" СУ"&amp;IF(INDEX(Квартиры!$I$2:$I$1501,MATCH($A82*1000+5,Квартиры!$K$2:$K$1501,0))&gt;0," +У","")&amp;IF(INDEX(Квартиры!$J$2:$J$1501,MATCH($A82*1000+5,Квартиры!$K$2:$K$1501,0))&gt;0," +Г",""),"-"))</f>
        <v/>
      </c>
      <c r="H82">
        <f>IF($A82="","",IFERROR(IF(Настройки!$B$4="да",INDEX(Квартиры!$D$2:$D$1501,MATCH($A82*1000+6,Квартиры!$K$2:$K$1501,0))&amp;" / ","")&amp;INDEX(Квартиры!$H$2:$H$1501,MATCH($A82*1000+6,Квартиры!$K$2:$K$1501,0))&amp;" СУ"&amp;IF(INDEX(Квартиры!$I$2:$I$1501,MATCH($A82*1000+6,Квартиры!$K$2:$K$1501,0))&gt;0," +У","")&amp;IF(INDEX(Квартиры!$J$2:$J$1501,MATCH($A82*1000+6,Квартиры!$K$2:$K$1501,0))&gt;0," +Г",""),"-"))</f>
        <v/>
      </c>
      <c r="I82">
        <f>IF($A82="","",IFERROR(IF(Настройки!$B$4="да",INDEX(Квартиры!$D$2:$D$1501,MATCH($A82*1000+7,Квартиры!$K$2:$K$1501,0))&amp;" / ","")&amp;INDEX(Квартиры!$H$2:$H$1501,MATCH($A82*1000+7,Квартиры!$K$2:$K$1501,0))&amp;" СУ"&amp;IF(INDEX(Квартиры!$I$2:$I$1501,MATCH($A82*1000+7,Квартиры!$K$2:$K$1501,0))&gt;0," +У","")&amp;IF(INDEX(Квартиры!$J$2:$J$1501,MATCH($A82*1000+7,Квартиры!$K$2:$K$1501,0))&gt;0," +Г",""),"-"))</f>
        <v/>
      </c>
      <c r="J82">
        <f>IF($A82="","",IFERROR(IF(Настройки!$B$4="да",INDEX(Квартиры!$D$2:$D$1501,MATCH($A82*1000+8,Квартиры!$K$2:$K$1501,0))&amp;" / ","")&amp;INDEX(Квартиры!$H$2:$H$1501,MATCH($A82*1000+8,Квартиры!$K$2:$K$1501,0))&amp;" СУ"&amp;IF(INDEX(Квартиры!$I$2:$I$1501,MATCH($A82*1000+8,Квартиры!$K$2:$K$1501,0))&gt;0," +У","")&amp;IF(INDEX(Квартиры!$J$2:$J$1501,MATCH($A82*1000+8,Квартиры!$K$2:$K$1501,0))&gt;0," +Г",""),"-"))</f>
        <v/>
      </c>
      <c r="K82">
        <f>IF($A82="","",IFERROR(IF(Настройки!$B$4="да",INDEX(Квартиры!$D$2:$D$1501,MATCH($A82*1000+9,Квартиры!$K$2:$K$1501,0))&amp;" / ","")&amp;INDEX(Квартиры!$H$2:$H$1501,MATCH($A82*1000+9,Квартиры!$K$2:$K$1501,0))&amp;" СУ"&amp;IF(INDEX(Квартиры!$I$2:$I$1501,MATCH($A82*1000+9,Квартиры!$K$2:$K$1501,0))&gt;0," +У","")&amp;IF(INDEX(Квартиры!$J$2:$J$1501,MATCH($A82*1000+9,Квартиры!$K$2:$K$1501,0))&gt;0," +Г",""),"-"))</f>
        <v/>
      </c>
      <c r="L82">
        <f>IF($A82="","",IFERROR(IF(Настройки!$B$4="да",INDEX(Квартиры!$D$2:$D$1501,MATCH($A82*1000+10,Квартиры!$K$2:$K$1501,0))&amp;" / ","")&amp;INDEX(Квартиры!$H$2:$H$1501,MATCH($A82*1000+10,Квартиры!$K$2:$K$1501,0))&amp;" СУ"&amp;IF(INDEX(Квартиры!$I$2:$I$1501,MATCH($A82*1000+10,Квартиры!$K$2:$K$1501,0))&gt;0," +У","")&amp;IF(INDEX(Квартиры!$J$2:$J$1501,MATCH($A82*1000+10,Квартиры!$K$2:$K$1501,0))&gt;0," +Г",""),"-"))</f>
        <v/>
      </c>
      <c r="M82">
        <f>IF($A82="","",IFERROR(IF(Настройки!$B$4="да",INDEX(Квартиры!$D$2:$D$1501,MATCH($A82*1000+11,Квартиры!$K$2:$K$1501,0))&amp;" / ","")&amp;INDEX(Квартиры!$H$2:$H$1501,MATCH($A82*1000+11,Квартиры!$K$2:$K$1501,0))&amp;" СУ"&amp;IF(INDEX(Квартиры!$I$2:$I$1501,MATCH($A82*1000+11,Квартиры!$K$2:$K$1501,0))&gt;0," +У","")&amp;IF(INDEX(Квартиры!$J$2:$J$1501,MATCH($A82*1000+11,Квартиры!$K$2:$K$1501,0))&gt;0," +Г",""),"-"))</f>
        <v/>
      </c>
      <c r="N82">
        <f>IF($A82="","",IFERROR(IF(Настройки!$B$4="да",INDEX(Квартиры!$D$2:$D$1501,MATCH($A82*1000+12,Квартиры!$K$2:$K$1501,0))&amp;" / ","")&amp;INDEX(Квартиры!$H$2:$H$1501,MATCH($A82*1000+12,Квартиры!$K$2:$K$1501,0))&amp;" СУ"&amp;IF(INDEX(Квартиры!$I$2:$I$1501,MATCH($A82*1000+12,Квартиры!$K$2:$K$1501,0))&gt;0," +У","")&amp;IF(INDEX(Квартиры!$J$2:$J$1501,MATCH($A82*1000+12,Квартиры!$K$2:$K$1501,0))&gt;0," +Г",""),"-"))</f>
        <v/>
      </c>
      <c r="O82">
        <f>IF($A82="","",IFERROR(IF(Настройки!$B$4="да",INDEX(Квартиры!$D$2:$D$1501,MATCH($A82*1000+13,Квартиры!$K$2:$K$1501,0))&amp;" / ","")&amp;INDEX(Квартиры!$H$2:$H$1501,MATCH($A82*1000+13,Квартиры!$K$2:$K$1501,0))&amp;" СУ"&amp;IF(INDEX(Квартиры!$I$2:$I$1501,MATCH($A82*1000+13,Квартиры!$K$2:$K$1501,0))&gt;0," +У","")&amp;IF(INDEX(Квартиры!$J$2:$J$1501,MATCH($A82*1000+13,Квартиры!$K$2:$K$1501,0))&gt;0," +Г",""),"-"))</f>
        <v/>
      </c>
      <c r="P82">
        <f>IF($A82="","",IFERROR(IF(Настройки!$B$4="да",INDEX(Квартиры!$D$2:$D$1501,MATCH($A82*1000+14,Квартиры!$K$2:$K$1501,0))&amp;" / ","")&amp;INDEX(Квартиры!$H$2:$H$1501,MATCH($A82*1000+14,Квартиры!$K$2:$K$1501,0))&amp;" СУ"&amp;IF(INDEX(Квартиры!$I$2:$I$1501,MATCH($A82*1000+14,Квартиры!$K$2:$K$1501,0))&gt;0," +У","")&amp;IF(INDEX(Квартиры!$J$2:$J$1501,MATCH($A82*1000+14,Квартиры!$K$2:$K$1501,0))&gt;0," +Г",""),"-"))</f>
        <v/>
      </c>
      <c r="Q82">
        <f>IF($A82="","",IFERROR(IF(Настройки!$B$4="да",INDEX(Квартиры!$D$2:$D$1501,MATCH($A82*1000+15,Квартиры!$K$2:$K$1501,0))&amp;" / ","")&amp;INDEX(Квартиры!$H$2:$H$1501,MATCH($A82*1000+15,Квартиры!$K$2:$K$1501,0))&amp;" СУ"&amp;IF(INDEX(Квартиры!$I$2:$I$1501,MATCH($A82*1000+15,Квартиры!$K$2:$K$1501,0))&gt;0," +У","")&amp;IF(INDEX(Квартиры!$J$2:$J$1501,MATCH($A82*1000+15,Квартиры!$K$2:$K$1501,0))&gt;0," +Г",""),"-"))</f>
        <v/>
      </c>
      <c r="R82">
        <f>IF(A82="","",C82&amp;"|"&amp;D82&amp;"|"&amp;E82&amp;"|"&amp;F82&amp;"|"&amp;G82&amp;"|"&amp;H82&amp;"|"&amp;I82&amp;"|"&amp;J82&amp;"|"&amp;K82&amp;"|"&amp;L82&amp;"|"&amp;M82&amp;"|"&amp;N82&amp;"|"&amp;O82&amp;"|"&amp;P82&amp;"|"&amp;Q82)</f>
        <v/>
      </c>
      <c r="S82">
        <f>IF(A82="","",IFERROR(LOOKUP(2,1/(B$2:B81=B82),S$2:S81)&amp;", ","")&amp;A82)</f>
        <v/>
      </c>
      <c r="U82">
        <f>IF(80&gt;MAX(B$3:B$82),"",80)</f>
        <v/>
      </c>
      <c r="V82">
        <f>IF(U82="","",LOOKUP(2,1/(B$3:B$82=U82),S$3:S$82))</f>
        <v/>
      </c>
      <c r="W82">
        <f>IF(U82="","",COUNTIF(B$3:B$82,U82))</f>
        <v/>
      </c>
    </row>
  </sheetData>
  <conditionalFormatting sqref="A3:Q82">
    <cfRule type="expression" priority="1" dxfId="0">
      <formula>AND($B3&lt;&gt;"",MOD($B3-1,12)=0)</formula>
    </cfRule>
    <cfRule type="expression" priority="3" dxfId="1">
      <formula>AND($B3&lt;&gt;"",MOD($B3-1,12)=1)</formula>
    </cfRule>
    <cfRule type="expression" priority="5" dxfId="2">
      <formula>AND($B3&lt;&gt;"",MOD($B3-1,12)=2)</formula>
    </cfRule>
    <cfRule type="expression" priority="7" dxfId="3">
      <formula>AND($B3&lt;&gt;"",MOD($B3-1,12)=3)</formula>
    </cfRule>
    <cfRule type="expression" priority="9" dxfId="4">
      <formula>AND($B3&lt;&gt;"",MOD($B3-1,12)=4)</formula>
    </cfRule>
    <cfRule type="expression" priority="11" dxfId="5">
      <formula>AND($B3&lt;&gt;"",MOD($B3-1,12)=5)</formula>
    </cfRule>
    <cfRule type="expression" priority="13" dxfId="6">
      <formula>AND($B3&lt;&gt;"",MOD($B3-1,12)=6)</formula>
    </cfRule>
    <cfRule type="expression" priority="15" dxfId="7">
      <formula>AND($B3&lt;&gt;"",MOD($B3-1,12)=7)</formula>
    </cfRule>
    <cfRule type="expression" priority="17" dxfId="8">
      <formula>AND($B3&lt;&gt;"",MOD($B3-1,12)=8)</formula>
    </cfRule>
    <cfRule type="expression" priority="19" dxfId="9">
      <formula>AND($B3&lt;&gt;"",MOD($B3-1,12)=9)</formula>
    </cfRule>
    <cfRule type="expression" priority="21" dxfId="10">
      <formula>AND($B3&lt;&gt;"",MOD($B3-1,12)=10)</formula>
    </cfRule>
    <cfRule type="expression" priority="23" dxfId="11">
      <formula>AND($B3&lt;&gt;"",MOD($B3-1,12)=11)</formula>
    </cfRule>
  </conditionalFormatting>
  <conditionalFormatting sqref="U3:W82">
    <cfRule type="expression" priority="2" dxfId="0">
      <formula>AND($U3&lt;&gt;"",MOD($U3-1,12)=0)</formula>
    </cfRule>
    <cfRule type="expression" priority="4" dxfId="1">
      <formula>AND($U3&lt;&gt;"",MOD($U3-1,12)=1)</formula>
    </cfRule>
    <cfRule type="expression" priority="6" dxfId="2">
      <formula>AND($U3&lt;&gt;"",MOD($U3-1,12)=2)</formula>
    </cfRule>
    <cfRule type="expression" priority="8" dxfId="3">
      <formula>AND($U3&lt;&gt;"",MOD($U3-1,12)=3)</formula>
    </cfRule>
    <cfRule type="expression" priority="10" dxfId="4">
      <formula>AND($U3&lt;&gt;"",MOD($U3-1,12)=4)</formula>
    </cfRule>
    <cfRule type="expression" priority="12" dxfId="5">
      <formula>AND($U3&lt;&gt;"",MOD($U3-1,12)=5)</formula>
    </cfRule>
    <cfRule type="expression" priority="14" dxfId="6">
      <formula>AND($U3&lt;&gt;"",MOD($U3-1,12)=6)</formula>
    </cfRule>
    <cfRule type="expression" priority="16" dxfId="7">
      <formula>AND($U3&lt;&gt;"",MOD($U3-1,12)=7)</formula>
    </cfRule>
    <cfRule type="expression" priority="18" dxfId="8">
      <formula>AND($U3&lt;&gt;"",MOD($U3-1,12)=8)</formula>
    </cfRule>
    <cfRule type="expression" priority="20" dxfId="9">
      <formula>AND($U3&lt;&gt;"",MOD($U3-1,12)=9)</formula>
    </cfRule>
    <cfRule type="expression" priority="22" dxfId="10">
      <formula>AND($U3&lt;&gt;"",MOD($U3-1,12)=10)</formula>
    </cfRule>
    <cfRule type="expression" priority="24" dxfId="11">
      <formula>AND($U3&lt;&gt;"",MOD($U3-1,12)=11)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>
        <f>"Корпус "&amp;Настройки!B3</f>
        <v/>
      </c>
    </row>
    <row r="2">
      <c r="A2" s="2" t="inlineStr">
        <is>
          <t>ID</t>
        </is>
      </c>
      <c r="B2" s="2" t="inlineStr">
        <is>
          <t>Этаж</t>
        </is>
      </c>
      <c r="C2" s="2" t="inlineStr">
        <is>
          <t>Номер</t>
        </is>
      </c>
      <c r="D2" s="2" t="inlineStr">
        <is>
          <t>Тип</t>
        </is>
      </c>
      <c r="E2" s="2" t="inlineStr">
        <is>
          <t>Комнат</t>
        </is>
      </c>
      <c r="F2" s="2" t="inlineStr">
        <is>
          <t>Sобщ</t>
        </is>
      </c>
      <c r="G2" s="2" t="inlineStr">
        <is>
          <t>Sж</t>
        </is>
      </c>
      <c r="H2" s="2" t="inlineStr">
        <is>
          <t>СУ</t>
        </is>
      </c>
      <c r="I2" s="2" t="inlineStr">
        <is>
          <t>Уборная</t>
        </is>
      </c>
      <c r="J2" s="2" t="inlineStr">
        <is>
          <t>Гардеробная</t>
        </is>
      </c>
    </row>
    <row r="3">
      <c r="A3" s="6" t="n">
        <v>1</v>
      </c>
      <c r="B3" s="6" t="n">
        <v>2</v>
      </c>
      <c r="C3" s="6" t="n">
        <v>3</v>
      </c>
      <c r="D3" s="6" t="n">
        <v>4</v>
      </c>
      <c r="E3" s="6" t="n">
        <v>5</v>
      </c>
      <c r="F3" s="6" t="n">
        <v>6</v>
      </c>
      <c r="G3" s="6" t="n">
        <v>7</v>
      </c>
      <c r="H3" s="6" t="n">
        <v>8</v>
      </c>
      <c r="I3" s="6" t="n">
        <v>9</v>
      </c>
      <c r="J3" s="6" t="n">
        <v>10</v>
      </c>
    </row>
    <row r="4">
      <c r="A4">
        <f>IF(Квартиры!A2="","",Квартиры!A2)</f>
        <v/>
      </c>
      <c r="B4">
        <f>IF(Квартиры!B2="","",Квартиры!B2)</f>
        <v/>
      </c>
      <c r="C4">
        <f>IF(Квартиры!C2="","",Квартиры!C2)</f>
        <v/>
      </c>
      <c r="D4">
        <f>IF(Квартиры!D2="","",Квартиры!D2)</f>
        <v/>
      </c>
      <c r="E4">
        <f>IF(Квартиры!G2="","",Квартиры!G2)</f>
        <v/>
      </c>
      <c r="F4">
        <f>IF(Квартиры!E2="","",Квартиры!E2)</f>
        <v/>
      </c>
      <c r="G4">
        <f>IF(Квартиры!F2="","",Квартиры!F2)</f>
        <v/>
      </c>
      <c r="H4">
        <f>IF(Квартиры!H2="","",Квартиры!H2)</f>
        <v/>
      </c>
      <c r="I4">
        <f>IF(Квартиры!I2="","",Квартиры!I2)</f>
        <v/>
      </c>
      <c r="J4">
        <f>IF(Квартиры!J2="","",Квартиры!J2)</f>
        <v/>
      </c>
    </row>
    <row r="5">
      <c r="A5">
        <f>IF(Квартиры!A3="","",Квартиры!A3)</f>
        <v/>
      </c>
      <c r="B5">
        <f>IF(Квартиры!B3="","",Квартиры!B3)</f>
        <v/>
      </c>
      <c r="C5">
        <f>IF(Квартиры!C3="","",Квартиры!C3)</f>
        <v/>
      </c>
      <c r="D5">
        <f>IF(Квартиры!D3="","",Квартиры!D3)</f>
        <v/>
      </c>
      <c r="E5">
        <f>IF(Квартиры!G3="","",Квартиры!G3)</f>
        <v/>
      </c>
      <c r="F5">
        <f>IF(Квартиры!E3="","",Квартиры!E3)</f>
        <v/>
      </c>
      <c r="G5">
        <f>IF(Квартиры!F3="","",Квартиры!F3)</f>
        <v/>
      </c>
      <c r="H5">
        <f>IF(Квартиры!H3="","",Квартиры!H3)</f>
        <v/>
      </c>
      <c r="I5">
        <f>IF(Квартиры!I3="","",Квартиры!I3)</f>
        <v/>
      </c>
      <c r="J5">
        <f>IF(Квартиры!J3="","",Квартиры!J3)</f>
        <v/>
      </c>
    </row>
    <row r="6">
      <c r="A6">
        <f>IF(Квартиры!A4="","",Квартиры!A4)</f>
        <v/>
      </c>
      <c r="B6">
        <f>IF(Квартиры!B4="","",Квартиры!B4)</f>
        <v/>
      </c>
      <c r="C6">
        <f>IF(Квартиры!C4="","",Квартиры!C4)</f>
        <v/>
      </c>
      <c r="D6">
        <f>IF(Квартиры!D4="","",Квартиры!D4)</f>
        <v/>
      </c>
      <c r="E6">
        <f>IF(Квартиры!G4="","",Квартиры!G4)</f>
        <v/>
      </c>
      <c r="F6">
        <f>IF(Квартиры!E4="","",Квартиры!E4)</f>
        <v/>
      </c>
      <c r="G6">
        <f>IF(Квартиры!F4="","",Квартиры!F4)</f>
        <v/>
      </c>
      <c r="H6">
        <f>IF(Квартиры!H4="","",Квартиры!H4)</f>
        <v/>
      </c>
      <c r="I6">
        <f>IF(Квартиры!I4="","",Квартиры!I4)</f>
        <v/>
      </c>
      <c r="J6">
        <f>IF(Квартиры!J4="","",Квартиры!J4)</f>
        <v/>
      </c>
    </row>
    <row r="7">
      <c r="A7">
        <f>IF(Квартиры!A5="","",Квартиры!A5)</f>
        <v/>
      </c>
      <c r="B7">
        <f>IF(Квартиры!B5="","",Квартиры!B5)</f>
        <v/>
      </c>
      <c r="C7">
        <f>IF(Квартиры!C5="","",Квартиры!C5)</f>
        <v/>
      </c>
      <c r="D7">
        <f>IF(Квартиры!D5="","",Квартиры!D5)</f>
        <v/>
      </c>
      <c r="E7">
        <f>IF(Квартиры!G5="","",Квартиры!G5)</f>
        <v/>
      </c>
      <c r="F7">
        <f>IF(Квартиры!E5="","",Квартиры!E5)</f>
        <v/>
      </c>
      <c r="G7">
        <f>IF(Квартиры!F5="","",Квартиры!F5)</f>
        <v/>
      </c>
      <c r="H7">
        <f>IF(Квартиры!H5="","",Квартиры!H5)</f>
        <v/>
      </c>
      <c r="I7">
        <f>IF(Квартиры!I5="","",Квартиры!I5)</f>
        <v/>
      </c>
      <c r="J7">
        <f>IF(Квартиры!J5="","",Квартиры!J5)</f>
        <v/>
      </c>
    </row>
    <row r="8">
      <c r="A8">
        <f>IF(Квартиры!A6="","",Квартиры!A6)</f>
        <v/>
      </c>
      <c r="B8">
        <f>IF(Квартиры!B6="","",Квартиры!B6)</f>
        <v/>
      </c>
      <c r="C8">
        <f>IF(Квартиры!C6="","",Квартиры!C6)</f>
        <v/>
      </c>
      <c r="D8">
        <f>IF(Квартиры!D6="","",Квартиры!D6)</f>
        <v/>
      </c>
      <c r="E8">
        <f>IF(Квартиры!G6="","",Квартиры!G6)</f>
        <v/>
      </c>
      <c r="F8">
        <f>IF(Квартиры!E6="","",Квартиры!E6)</f>
        <v/>
      </c>
      <c r="G8">
        <f>IF(Квартиры!F6="","",Квартиры!F6)</f>
        <v/>
      </c>
      <c r="H8">
        <f>IF(Квартиры!H6="","",Квартиры!H6)</f>
        <v/>
      </c>
      <c r="I8">
        <f>IF(Квартиры!I6="","",Квартиры!I6)</f>
        <v/>
      </c>
      <c r="J8">
        <f>IF(Квартиры!J6="","",Квартиры!J6)</f>
        <v/>
      </c>
    </row>
    <row r="9">
      <c r="A9">
        <f>IF(Квартиры!A7="","",Квартиры!A7)</f>
        <v/>
      </c>
      <c r="B9">
        <f>IF(Квартиры!B7="","",Квартиры!B7)</f>
        <v/>
      </c>
      <c r="C9">
        <f>IF(Квартиры!C7="","",Квартиры!C7)</f>
        <v/>
      </c>
      <c r="D9">
        <f>IF(Квартиры!D7="","",Квартиры!D7)</f>
        <v/>
      </c>
      <c r="E9">
        <f>IF(Квартиры!G7="","",Квартиры!G7)</f>
        <v/>
      </c>
      <c r="F9">
        <f>IF(Квартиры!E7="","",Квартиры!E7)</f>
        <v/>
      </c>
      <c r="G9">
        <f>IF(Квартиры!F7="","",Квартиры!F7)</f>
        <v/>
      </c>
      <c r="H9">
        <f>IF(Квартиры!H7="","",Квартиры!H7)</f>
        <v/>
      </c>
      <c r="I9">
        <f>IF(Квартиры!I7="","",Квартиры!I7)</f>
        <v/>
      </c>
      <c r="J9">
        <f>IF(Квартиры!J7="","",Квартиры!J7)</f>
        <v/>
      </c>
    </row>
    <row r="10">
      <c r="A10">
        <f>IF(Квартиры!A8="","",Квартиры!A8)</f>
        <v/>
      </c>
      <c r="B10">
        <f>IF(Квартиры!B8="","",Квартиры!B8)</f>
        <v/>
      </c>
      <c r="C10">
        <f>IF(Квартиры!C8="","",Квартиры!C8)</f>
        <v/>
      </c>
      <c r="D10">
        <f>IF(Квартиры!D8="","",Квартиры!D8)</f>
        <v/>
      </c>
      <c r="E10">
        <f>IF(Квартиры!G8="","",Квартиры!G8)</f>
        <v/>
      </c>
      <c r="F10">
        <f>IF(Квартиры!E8="","",Квартиры!E8)</f>
        <v/>
      </c>
      <c r="G10">
        <f>IF(Квартиры!F8="","",Квартиры!F8)</f>
        <v/>
      </c>
      <c r="H10">
        <f>IF(Квартиры!H8="","",Квартиры!H8)</f>
        <v/>
      </c>
      <c r="I10">
        <f>IF(Квартиры!I8="","",Квартиры!I8)</f>
        <v/>
      </c>
      <c r="J10">
        <f>IF(Квартиры!J8="","",Квартиры!J8)</f>
        <v/>
      </c>
    </row>
    <row r="11">
      <c r="A11">
        <f>IF(Квартиры!A9="","",Квартиры!A9)</f>
        <v/>
      </c>
      <c r="B11">
        <f>IF(Квартиры!B9="","",Квартиры!B9)</f>
        <v/>
      </c>
      <c r="C11">
        <f>IF(Квартиры!C9="","",Квартиры!C9)</f>
        <v/>
      </c>
      <c r="D11">
        <f>IF(Квартиры!D9="","",Квартиры!D9)</f>
        <v/>
      </c>
      <c r="E11">
        <f>IF(Квартиры!G9="","",Квартиры!G9)</f>
        <v/>
      </c>
      <c r="F11">
        <f>IF(Квартиры!E9="","",Квартиры!E9)</f>
        <v/>
      </c>
      <c r="G11">
        <f>IF(Квартиры!F9="","",Квартиры!F9)</f>
        <v/>
      </c>
      <c r="H11">
        <f>IF(Квартиры!H9="","",Квартиры!H9)</f>
        <v/>
      </c>
      <c r="I11">
        <f>IF(Квартиры!I9="","",Квартиры!I9)</f>
        <v/>
      </c>
      <c r="J11">
        <f>IF(Квартиры!J9="","",Квартиры!J9)</f>
        <v/>
      </c>
    </row>
    <row r="12">
      <c r="A12">
        <f>IF(Квартиры!A10="","",Квартиры!A10)</f>
        <v/>
      </c>
      <c r="B12">
        <f>IF(Квартиры!B10="","",Квартиры!B10)</f>
        <v/>
      </c>
      <c r="C12">
        <f>IF(Квартиры!C10="","",Квартиры!C10)</f>
        <v/>
      </c>
      <c r="D12">
        <f>IF(Квартиры!D10="","",Квартиры!D10)</f>
        <v/>
      </c>
      <c r="E12">
        <f>IF(Квартиры!G10="","",Квартиры!G10)</f>
        <v/>
      </c>
      <c r="F12">
        <f>IF(Квартиры!E10="","",Квартиры!E10)</f>
        <v/>
      </c>
      <c r="G12">
        <f>IF(Квартиры!F10="","",Квартиры!F10)</f>
        <v/>
      </c>
      <c r="H12">
        <f>IF(Квартиры!H10="","",Квартиры!H10)</f>
        <v/>
      </c>
      <c r="I12">
        <f>IF(Квартиры!I10="","",Квартиры!I10)</f>
        <v/>
      </c>
      <c r="J12">
        <f>IF(Квартиры!J10="","",Квартиры!J10)</f>
        <v/>
      </c>
    </row>
    <row r="13">
      <c r="A13">
        <f>IF(Квартиры!A11="","",Квартиры!A11)</f>
        <v/>
      </c>
      <c r="B13">
        <f>IF(Квартиры!B11="","",Квартиры!B11)</f>
        <v/>
      </c>
      <c r="C13">
        <f>IF(Квартиры!C11="","",Квартиры!C11)</f>
        <v/>
      </c>
      <c r="D13">
        <f>IF(Квартиры!D11="","",Квартиры!D11)</f>
        <v/>
      </c>
      <c r="E13">
        <f>IF(Квартиры!G11="","",Квартиры!G11)</f>
        <v/>
      </c>
      <c r="F13">
        <f>IF(Квартиры!E11="","",Квартиры!E11)</f>
        <v/>
      </c>
      <c r="G13">
        <f>IF(Квартиры!F11="","",Квартиры!F11)</f>
        <v/>
      </c>
      <c r="H13">
        <f>IF(Квартиры!H11="","",Квартиры!H11)</f>
        <v/>
      </c>
      <c r="I13">
        <f>IF(Квартиры!I11="","",Квартиры!I11)</f>
        <v/>
      </c>
      <c r="J13">
        <f>IF(Квартиры!J11="","",Квартиры!J11)</f>
        <v/>
      </c>
    </row>
    <row r="14">
      <c r="A14">
        <f>IF(Квартиры!A12="","",Квартиры!A12)</f>
        <v/>
      </c>
      <c r="B14">
        <f>IF(Квартиры!B12="","",Квартиры!B12)</f>
        <v/>
      </c>
      <c r="C14">
        <f>IF(Квартиры!C12="","",Квартиры!C12)</f>
        <v/>
      </c>
      <c r="D14">
        <f>IF(Квартиры!D12="","",Квартиры!D12)</f>
        <v/>
      </c>
      <c r="E14">
        <f>IF(Квартиры!G12="","",Квартиры!G12)</f>
        <v/>
      </c>
      <c r="F14">
        <f>IF(Квартиры!E12="","",Квартиры!E12)</f>
        <v/>
      </c>
      <c r="G14">
        <f>IF(Квартиры!F12="","",Квартиры!F12)</f>
        <v/>
      </c>
      <c r="H14">
        <f>IF(Квартиры!H12="","",Квартиры!H12)</f>
        <v/>
      </c>
      <c r="I14">
        <f>IF(Квартиры!I12="","",Квартиры!I12)</f>
        <v/>
      </c>
      <c r="J14">
        <f>IF(Квартиры!J12="","",Квартиры!J12)</f>
        <v/>
      </c>
    </row>
    <row r="15">
      <c r="A15">
        <f>IF(Квартиры!A13="","",Квартиры!A13)</f>
        <v/>
      </c>
      <c r="B15">
        <f>IF(Квартиры!B13="","",Квартиры!B13)</f>
        <v/>
      </c>
      <c r="C15">
        <f>IF(Квартиры!C13="","",Квартиры!C13)</f>
        <v/>
      </c>
      <c r="D15">
        <f>IF(Квартиры!D13="","",Квартиры!D13)</f>
        <v/>
      </c>
      <c r="E15">
        <f>IF(Квартиры!G13="","",Квартиры!G13)</f>
        <v/>
      </c>
      <c r="F15">
        <f>IF(Квартиры!E13="","",Квартиры!E13)</f>
        <v/>
      </c>
      <c r="G15">
        <f>IF(Квартиры!F13="","",Квартиры!F13)</f>
        <v/>
      </c>
      <c r="H15">
        <f>IF(Квартиры!H13="","",Квартиры!H13)</f>
        <v/>
      </c>
      <c r="I15">
        <f>IF(Квартиры!I13="","",Квартиры!I13)</f>
        <v/>
      </c>
      <c r="J15">
        <f>IF(Квартиры!J13="","",Квартиры!J13)</f>
        <v/>
      </c>
    </row>
    <row r="16">
      <c r="A16">
        <f>IF(Квартиры!A14="","",Квартиры!A14)</f>
        <v/>
      </c>
      <c r="B16">
        <f>IF(Квартиры!B14="","",Квартиры!B14)</f>
        <v/>
      </c>
      <c r="C16">
        <f>IF(Квартиры!C14="","",Квартиры!C14)</f>
        <v/>
      </c>
      <c r="D16">
        <f>IF(Квартиры!D14="","",Квартиры!D14)</f>
        <v/>
      </c>
      <c r="E16">
        <f>IF(Квартиры!G14="","",Квартиры!G14)</f>
        <v/>
      </c>
      <c r="F16">
        <f>IF(Квартиры!E14="","",Квартиры!E14)</f>
        <v/>
      </c>
      <c r="G16">
        <f>IF(Квартиры!F14="","",Квартиры!F14)</f>
        <v/>
      </c>
      <c r="H16">
        <f>IF(Квартиры!H14="","",Квартиры!H14)</f>
        <v/>
      </c>
      <c r="I16">
        <f>IF(Квартиры!I14="","",Квартиры!I14)</f>
        <v/>
      </c>
      <c r="J16">
        <f>IF(Квартиры!J14="","",Квартиры!J14)</f>
        <v/>
      </c>
    </row>
    <row r="17">
      <c r="A17">
        <f>IF(Квартиры!A15="","",Квартиры!A15)</f>
        <v/>
      </c>
      <c r="B17">
        <f>IF(Квартиры!B15="","",Квартиры!B15)</f>
        <v/>
      </c>
      <c r="C17">
        <f>IF(Квартиры!C15="","",Квартиры!C15)</f>
        <v/>
      </c>
      <c r="D17">
        <f>IF(Квартиры!D15="","",Квартиры!D15)</f>
        <v/>
      </c>
      <c r="E17">
        <f>IF(Квартиры!G15="","",Квартиры!G15)</f>
        <v/>
      </c>
      <c r="F17">
        <f>IF(Квартиры!E15="","",Квартиры!E15)</f>
        <v/>
      </c>
      <c r="G17">
        <f>IF(Квартиры!F15="","",Квартиры!F15)</f>
        <v/>
      </c>
      <c r="H17">
        <f>IF(Квартиры!H15="","",Квартиры!H15)</f>
        <v/>
      </c>
      <c r="I17">
        <f>IF(Квартиры!I15="","",Квартиры!I15)</f>
        <v/>
      </c>
      <c r="J17">
        <f>IF(Квартиры!J15="","",Квартиры!J15)</f>
        <v/>
      </c>
    </row>
    <row r="18">
      <c r="A18">
        <f>IF(Квартиры!A16="","",Квартиры!A16)</f>
        <v/>
      </c>
      <c r="B18">
        <f>IF(Квартиры!B16="","",Квартиры!B16)</f>
        <v/>
      </c>
      <c r="C18">
        <f>IF(Квартиры!C16="","",Квартиры!C16)</f>
        <v/>
      </c>
      <c r="D18">
        <f>IF(Квартиры!D16="","",Квартиры!D16)</f>
        <v/>
      </c>
      <c r="E18">
        <f>IF(Квартиры!G16="","",Квартиры!G16)</f>
        <v/>
      </c>
      <c r="F18">
        <f>IF(Квартиры!E16="","",Квартиры!E16)</f>
        <v/>
      </c>
      <c r="G18">
        <f>IF(Квартиры!F16="","",Квартиры!F16)</f>
        <v/>
      </c>
      <c r="H18">
        <f>IF(Квартиры!H16="","",Квартиры!H16)</f>
        <v/>
      </c>
      <c r="I18">
        <f>IF(Квартиры!I16="","",Квартиры!I16)</f>
        <v/>
      </c>
      <c r="J18">
        <f>IF(Квартиры!J16="","",Квартиры!J16)</f>
        <v/>
      </c>
    </row>
    <row r="19">
      <c r="A19">
        <f>IF(Квартиры!A17="","",Квартиры!A17)</f>
        <v/>
      </c>
      <c r="B19">
        <f>IF(Квартиры!B17="","",Квартиры!B17)</f>
        <v/>
      </c>
      <c r="C19">
        <f>IF(Квартиры!C17="","",Квартиры!C17)</f>
        <v/>
      </c>
      <c r="D19">
        <f>IF(Квартиры!D17="","",Квартиры!D17)</f>
        <v/>
      </c>
      <c r="E19">
        <f>IF(Квартиры!G17="","",Квартиры!G17)</f>
        <v/>
      </c>
      <c r="F19">
        <f>IF(Квартиры!E17="","",Квартиры!E17)</f>
        <v/>
      </c>
      <c r="G19">
        <f>IF(Квартиры!F17="","",Квартиры!F17)</f>
        <v/>
      </c>
      <c r="H19">
        <f>IF(Квартиры!H17="","",Квартиры!H17)</f>
        <v/>
      </c>
      <c r="I19">
        <f>IF(Квартиры!I17="","",Квартиры!I17)</f>
        <v/>
      </c>
      <c r="J19">
        <f>IF(Квартиры!J17="","",Квартиры!J17)</f>
        <v/>
      </c>
    </row>
    <row r="20">
      <c r="A20">
        <f>IF(Квартиры!A18="","",Квартиры!A18)</f>
        <v/>
      </c>
      <c r="B20">
        <f>IF(Квартиры!B18="","",Квартиры!B18)</f>
        <v/>
      </c>
      <c r="C20">
        <f>IF(Квартиры!C18="","",Квартиры!C18)</f>
        <v/>
      </c>
      <c r="D20">
        <f>IF(Квартиры!D18="","",Квартиры!D18)</f>
        <v/>
      </c>
      <c r="E20">
        <f>IF(Квартиры!G18="","",Квартиры!G18)</f>
        <v/>
      </c>
      <c r="F20">
        <f>IF(Квартиры!E18="","",Квартиры!E18)</f>
        <v/>
      </c>
      <c r="G20">
        <f>IF(Квартиры!F18="","",Квартиры!F18)</f>
        <v/>
      </c>
      <c r="H20">
        <f>IF(Квартиры!H18="","",Квартиры!H18)</f>
        <v/>
      </c>
      <c r="I20">
        <f>IF(Квартиры!I18="","",Квартиры!I18)</f>
        <v/>
      </c>
      <c r="J20">
        <f>IF(Квартиры!J18="","",Квартиры!J18)</f>
        <v/>
      </c>
    </row>
    <row r="21">
      <c r="A21">
        <f>IF(Квартиры!A19="","",Квартиры!A19)</f>
        <v/>
      </c>
      <c r="B21">
        <f>IF(Квартиры!B19="","",Квартиры!B19)</f>
        <v/>
      </c>
      <c r="C21">
        <f>IF(Квартиры!C19="","",Квартиры!C19)</f>
        <v/>
      </c>
      <c r="D21">
        <f>IF(Квартиры!D19="","",Квартиры!D19)</f>
        <v/>
      </c>
      <c r="E21">
        <f>IF(Квартиры!G19="","",Квартиры!G19)</f>
        <v/>
      </c>
      <c r="F21">
        <f>IF(Квартиры!E19="","",Квартиры!E19)</f>
        <v/>
      </c>
      <c r="G21">
        <f>IF(Квартиры!F19="","",Квартиры!F19)</f>
        <v/>
      </c>
      <c r="H21">
        <f>IF(Квартиры!H19="","",Квартиры!H19)</f>
        <v/>
      </c>
      <c r="I21">
        <f>IF(Квартиры!I19="","",Квартиры!I19)</f>
        <v/>
      </c>
      <c r="J21">
        <f>IF(Квартиры!J19="","",Квартиры!J19)</f>
        <v/>
      </c>
    </row>
    <row r="22">
      <c r="A22">
        <f>IF(Квартиры!A20="","",Квартиры!A20)</f>
        <v/>
      </c>
      <c r="B22">
        <f>IF(Квартиры!B20="","",Квартиры!B20)</f>
        <v/>
      </c>
      <c r="C22">
        <f>IF(Квартиры!C20="","",Квартиры!C20)</f>
        <v/>
      </c>
      <c r="D22">
        <f>IF(Квартиры!D20="","",Квартиры!D20)</f>
        <v/>
      </c>
      <c r="E22">
        <f>IF(Квартиры!G20="","",Квартиры!G20)</f>
        <v/>
      </c>
      <c r="F22">
        <f>IF(Квартиры!E20="","",Квартиры!E20)</f>
        <v/>
      </c>
      <c r="G22">
        <f>IF(Квартиры!F20="","",Квартиры!F20)</f>
        <v/>
      </c>
      <c r="H22">
        <f>IF(Квартиры!H20="","",Квартиры!H20)</f>
        <v/>
      </c>
      <c r="I22">
        <f>IF(Квартиры!I20="","",Квартиры!I20)</f>
        <v/>
      </c>
      <c r="J22">
        <f>IF(Квартиры!J20="","",Квартиры!J20)</f>
        <v/>
      </c>
    </row>
    <row r="23">
      <c r="A23">
        <f>IF(Квартиры!A21="","",Квартиры!A21)</f>
        <v/>
      </c>
      <c r="B23">
        <f>IF(Квартиры!B21="","",Квартиры!B21)</f>
        <v/>
      </c>
      <c r="C23">
        <f>IF(Квартиры!C21="","",Квартиры!C21)</f>
        <v/>
      </c>
      <c r="D23">
        <f>IF(Квартиры!D21="","",Квартиры!D21)</f>
        <v/>
      </c>
      <c r="E23">
        <f>IF(Квартиры!G21="","",Квартиры!G21)</f>
        <v/>
      </c>
      <c r="F23">
        <f>IF(Квартиры!E21="","",Квартиры!E21)</f>
        <v/>
      </c>
      <c r="G23">
        <f>IF(Квартиры!F21="","",Квартиры!F21)</f>
        <v/>
      </c>
      <c r="H23">
        <f>IF(Квартиры!H21="","",Квартиры!H21)</f>
        <v/>
      </c>
      <c r="I23">
        <f>IF(Квартиры!I21="","",Квартиры!I21)</f>
        <v/>
      </c>
      <c r="J23">
        <f>IF(Квартиры!J21="","",Квартиры!J21)</f>
        <v/>
      </c>
    </row>
    <row r="24">
      <c r="A24">
        <f>IF(Квартиры!A22="","",Квартиры!A22)</f>
        <v/>
      </c>
      <c r="B24">
        <f>IF(Квартиры!B22="","",Квартиры!B22)</f>
        <v/>
      </c>
      <c r="C24">
        <f>IF(Квартиры!C22="","",Квартиры!C22)</f>
        <v/>
      </c>
      <c r="D24">
        <f>IF(Квартиры!D22="","",Квартиры!D22)</f>
        <v/>
      </c>
      <c r="E24">
        <f>IF(Квартиры!G22="","",Квартиры!G22)</f>
        <v/>
      </c>
      <c r="F24">
        <f>IF(Квартиры!E22="","",Квартиры!E22)</f>
        <v/>
      </c>
      <c r="G24">
        <f>IF(Квартиры!F22="","",Квартиры!F22)</f>
        <v/>
      </c>
      <c r="H24">
        <f>IF(Квартиры!H22="","",Квартиры!H22)</f>
        <v/>
      </c>
      <c r="I24">
        <f>IF(Квартиры!I22="","",Квартиры!I22)</f>
        <v/>
      </c>
      <c r="J24">
        <f>IF(Квартиры!J22="","",Квартиры!J22)</f>
        <v/>
      </c>
    </row>
    <row r="25">
      <c r="A25">
        <f>IF(Квартиры!A23="","",Квартиры!A23)</f>
        <v/>
      </c>
      <c r="B25">
        <f>IF(Квартиры!B23="","",Квартиры!B23)</f>
        <v/>
      </c>
      <c r="C25">
        <f>IF(Квартиры!C23="","",Квартиры!C23)</f>
        <v/>
      </c>
      <c r="D25">
        <f>IF(Квартиры!D23="","",Квартиры!D23)</f>
        <v/>
      </c>
      <c r="E25">
        <f>IF(Квартиры!G23="","",Квартиры!G23)</f>
        <v/>
      </c>
      <c r="F25">
        <f>IF(Квартиры!E23="","",Квартиры!E23)</f>
        <v/>
      </c>
      <c r="G25">
        <f>IF(Квартиры!F23="","",Квартиры!F23)</f>
        <v/>
      </c>
      <c r="H25">
        <f>IF(Квартиры!H23="","",Квартиры!H23)</f>
        <v/>
      </c>
      <c r="I25">
        <f>IF(Квартиры!I23="","",Квартиры!I23)</f>
        <v/>
      </c>
      <c r="J25">
        <f>IF(Квартиры!J23="","",Квартиры!J23)</f>
        <v/>
      </c>
    </row>
    <row r="26">
      <c r="A26">
        <f>IF(Квартиры!A24="","",Квартиры!A24)</f>
        <v/>
      </c>
      <c r="B26">
        <f>IF(Квартиры!B24="","",Квартиры!B24)</f>
        <v/>
      </c>
      <c r="C26">
        <f>IF(Квартиры!C24="","",Квартиры!C24)</f>
        <v/>
      </c>
      <c r="D26">
        <f>IF(Квартиры!D24="","",Квартиры!D24)</f>
        <v/>
      </c>
      <c r="E26">
        <f>IF(Квартиры!G24="","",Квартиры!G24)</f>
        <v/>
      </c>
      <c r="F26">
        <f>IF(Квартиры!E24="","",Квартиры!E24)</f>
        <v/>
      </c>
      <c r="G26">
        <f>IF(Квартиры!F24="","",Квартиры!F24)</f>
        <v/>
      </c>
      <c r="H26">
        <f>IF(Квартиры!H24="","",Квартиры!H24)</f>
        <v/>
      </c>
      <c r="I26">
        <f>IF(Квартиры!I24="","",Квартиры!I24)</f>
        <v/>
      </c>
      <c r="J26">
        <f>IF(Квартиры!J24="","",Квартиры!J24)</f>
        <v/>
      </c>
    </row>
    <row r="27">
      <c r="A27">
        <f>IF(Квартиры!A25="","",Квартиры!A25)</f>
        <v/>
      </c>
      <c r="B27">
        <f>IF(Квартиры!B25="","",Квартиры!B25)</f>
        <v/>
      </c>
      <c r="C27">
        <f>IF(Квартиры!C25="","",Квартиры!C25)</f>
        <v/>
      </c>
      <c r="D27">
        <f>IF(Квартиры!D25="","",Квартиры!D25)</f>
        <v/>
      </c>
      <c r="E27">
        <f>IF(Квартиры!G25="","",Квартиры!G25)</f>
        <v/>
      </c>
      <c r="F27">
        <f>IF(Квартиры!E25="","",Квартиры!E25)</f>
        <v/>
      </c>
      <c r="G27">
        <f>IF(Квартиры!F25="","",Квартиры!F25)</f>
        <v/>
      </c>
      <c r="H27">
        <f>IF(Квартиры!H25="","",Квартиры!H25)</f>
        <v/>
      </c>
      <c r="I27">
        <f>IF(Квартиры!I25="","",Квартиры!I25)</f>
        <v/>
      </c>
      <c r="J27">
        <f>IF(Квартиры!J25="","",Квартиры!J25)</f>
        <v/>
      </c>
    </row>
    <row r="28">
      <c r="A28">
        <f>IF(Квартиры!A26="","",Квартиры!A26)</f>
        <v/>
      </c>
      <c r="B28">
        <f>IF(Квартиры!B26="","",Квартиры!B26)</f>
        <v/>
      </c>
      <c r="C28">
        <f>IF(Квартиры!C26="","",Квартиры!C26)</f>
        <v/>
      </c>
      <c r="D28">
        <f>IF(Квартиры!D26="","",Квартиры!D26)</f>
        <v/>
      </c>
      <c r="E28">
        <f>IF(Квартиры!G26="","",Квартиры!G26)</f>
        <v/>
      </c>
      <c r="F28">
        <f>IF(Квартиры!E26="","",Квартиры!E26)</f>
        <v/>
      </c>
      <c r="G28">
        <f>IF(Квартиры!F26="","",Квартиры!F26)</f>
        <v/>
      </c>
      <c r="H28">
        <f>IF(Квартиры!H26="","",Квартиры!H26)</f>
        <v/>
      </c>
      <c r="I28">
        <f>IF(Квартиры!I26="","",Квартиры!I26)</f>
        <v/>
      </c>
      <c r="J28">
        <f>IF(Квартиры!J26="","",Квартиры!J26)</f>
        <v/>
      </c>
    </row>
    <row r="29">
      <c r="A29">
        <f>IF(Квартиры!A27="","",Квартиры!A27)</f>
        <v/>
      </c>
      <c r="B29">
        <f>IF(Квартиры!B27="","",Квартиры!B27)</f>
        <v/>
      </c>
      <c r="C29">
        <f>IF(Квартиры!C27="","",Квартиры!C27)</f>
        <v/>
      </c>
      <c r="D29">
        <f>IF(Квартиры!D27="","",Квартиры!D27)</f>
        <v/>
      </c>
      <c r="E29">
        <f>IF(Квартиры!G27="","",Квартиры!G27)</f>
        <v/>
      </c>
      <c r="F29">
        <f>IF(Квартиры!E27="","",Квартиры!E27)</f>
        <v/>
      </c>
      <c r="G29">
        <f>IF(Квартиры!F27="","",Квартиры!F27)</f>
        <v/>
      </c>
      <c r="H29">
        <f>IF(Квартиры!H27="","",Квартиры!H27)</f>
        <v/>
      </c>
      <c r="I29">
        <f>IF(Квартиры!I27="","",Квартиры!I27)</f>
        <v/>
      </c>
      <c r="J29">
        <f>IF(Квартиры!J27="","",Квартиры!J27)</f>
        <v/>
      </c>
    </row>
    <row r="30">
      <c r="A30">
        <f>IF(Квартиры!A28="","",Квартиры!A28)</f>
        <v/>
      </c>
      <c r="B30">
        <f>IF(Квартиры!B28="","",Квартиры!B28)</f>
        <v/>
      </c>
      <c r="C30">
        <f>IF(Квартиры!C28="","",Квартиры!C28)</f>
        <v/>
      </c>
      <c r="D30">
        <f>IF(Квартиры!D28="","",Квартиры!D28)</f>
        <v/>
      </c>
      <c r="E30">
        <f>IF(Квартиры!G28="","",Квартиры!G28)</f>
        <v/>
      </c>
      <c r="F30">
        <f>IF(Квартиры!E28="","",Квартиры!E28)</f>
        <v/>
      </c>
      <c r="G30">
        <f>IF(Квартиры!F28="","",Квартиры!F28)</f>
        <v/>
      </c>
      <c r="H30">
        <f>IF(Квартиры!H28="","",Квартиры!H28)</f>
        <v/>
      </c>
      <c r="I30">
        <f>IF(Квартиры!I28="","",Квартиры!I28)</f>
        <v/>
      </c>
      <c r="J30">
        <f>IF(Квартиры!J28="","",Квартиры!J28)</f>
        <v/>
      </c>
    </row>
    <row r="31">
      <c r="A31">
        <f>IF(Квартиры!A29="","",Квартиры!A29)</f>
        <v/>
      </c>
      <c r="B31">
        <f>IF(Квартиры!B29="","",Квартиры!B29)</f>
        <v/>
      </c>
      <c r="C31">
        <f>IF(Квартиры!C29="","",Квартиры!C29)</f>
        <v/>
      </c>
      <c r="D31">
        <f>IF(Квартиры!D29="","",Квартиры!D29)</f>
        <v/>
      </c>
      <c r="E31">
        <f>IF(Квартиры!G29="","",Квартиры!G29)</f>
        <v/>
      </c>
      <c r="F31">
        <f>IF(Квартиры!E29="","",Квартиры!E29)</f>
        <v/>
      </c>
      <c r="G31">
        <f>IF(Квартиры!F29="","",Квартиры!F29)</f>
        <v/>
      </c>
      <c r="H31">
        <f>IF(Квартиры!H29="","",Квартиры!H29)</f>
        <v/>
      </c>
      <c r="I31">
        <f>IF(Квартиры!I29="","",Квартиры!I29)</f>
        <v/>
      </c>
      <c r="J31">
        <f>IF(Квартиры!J29="","",Квартиры!J29)</f>
        <v/>
      </c>
    </row>
    <row r="32">
      <c r="A32">
        <f>IF(Квартиры!A30="","",Квартиры!A30)</f>
        <v/>
      </c>
      <c r="B32">
        <f>IF(Квартиры!B30="","",Квартиры!B30)</f>
        <v/>
      </c>
      <c r="C32">
        <f>IF(Квартиры!C30="","",Квартиры!C30)</f>
        <v/>
      </c>
      <c r="D32">
        <f>IF(Квартиры!D30="","",Квартиры!D30)</f>
        <v/>
      </c>
      <c r="E32">
        <f>IF(Квартиры!G30="","",Квартиры!G30)</f>
        <v/>
      </c>
      <c r="F32">
        <f>IF(Квартиры!E30="","",Квартиры!E30)</f>
        <v/>
      </c>
      <c r="G32">
        <f>IF(Квартиры!F30="","",Квартиры!F30)</f>
        <v/>
      </c>
      <c r="H32">
        <f>IF(Квартиры!H30="","",Квартиры!H30)</f>
        <v/>
      </c>
      <c r="I32">
        <f>IF(Квартиры!I30="","",Квартиры!I30)</f>
        <v/>
      </c>
      <c r="J32">
        <f>IF(Квартиры!J30="","",Квартиры!J30)</f>
        <v/>
      </c>
    </row>
    <row r="33">
      <c r="A33">
        <f>IF(Квартиры!A31="","",Квартиры!A31)</f>
        <v/>
      </c>
      <c r="B33">
        <f>IF(Квартиры!B31="","",Квартиры!B31)</f>
        <v/>
      </c>
      <c r="C33">
        <f>IF(Квартиры!C31="","",Квартиры!C31)</f>
        <v/>
      </c>
      <c r="D33">
        <f>IF(Квартиры!D31="","",Квартиры!D31)</f>
        <v/>
      </c>
      <c r="E33">
        <f>IF(Квартиры!G31="","",Квартиры!G31)</f>
        <v/>
      </c>
      <c r="F33">
        <f>IF(Квартиры!E31="","",Квартиры!E31)</f>
        <v/>
      </c>
      <c r="G33">
        <f>IF(Квартиры!F31="","",Квартиры!F31)</f>
        <v/>
      </c>
      <c r="H33">
        <f>IF(Квартиры!H31="","",Квартиры!H31)</f>
        <v/>
      </c>
      <c r="I33">
        <f>IF(Квартиры!I31="","",Квартиры!I31)</f>
        <v/>
      </c>
      <c r="J33">
        <f>IF(Квартиры!J31="","",Квартиры!J31)</f>
        <v/>
      </c>
    </row>
    <row r="34">
      <c r="A34">
        <f>IF(Квартиры!A32="","",Квартиры!A32)</f>
        <v/>
      </c>
      <c r="B34">
        <f>IF(Квартиры!B32="","",Квартиры!B32)</f>
        <v/>
      </c>
      <c r="C34">
        <f>IF(Квартиры!C32="","",Квартиры!C32)</f>
        <v/>
      </c>
      <c r="D34">
        <f>IF(Квартиры!D32="","",Квартиры!D32)</f>
        <v/>
      </c>
      <c r="E34">
        <f>IF(Квартиры!G32="","",Квартиры!G32)</f>
        <v/>
      </c>
      <c r="F34">
        <f>IF(Квартиры!E32="","",Квартиры!E32)</f>
        <v/>
      </c>
      <c r="G34">
        <f>IF(Квартиры!F32="","",Квартиры!F32)</f>
        <v/>
      </c>
      <c r="H34">
        <f>IF(Квартиры!H32="","",Квартиры!H32)</f>
        <v/>
      </c>
      <c r="I34">
        <f>IF(Квартиры!I32="","",Квартиры!I32)</f>
        <v/>
      </c>
      <c r="J34">
        <f>IF(Квартиры!J32="","",Квартиры!J32)</f>
        <v/>
      </c>
    </row>
    <row r="35">
      <c r="A35">
        <f>IF(Квартиры!A33="","",Квартиры!A33)</f>
        <v/>
      </c>
      <c r="B35">
        <f>IF(Квартиры!B33="","",Квартиры!B33)</f>
        <v/>
      </c>
      <c r="C35">
        <f>IF(Квартиры!C33="","",Квартиры!C33)</f>
        <v/>
      </c>
      <c r="D35">
        <f>IF(Квартиры!D33="","",Квартиры!D33)</f>
        <v/>
      </c>
      <c r="E35">
        <f>IF(Квартиры!G33="","",Квартиры!G33)</f>
        <v/>
      </c>
      <c r="F35">
        <f>IF(Квартиры!E33="","",Квартиры!E33)</f>
        <v/>
      </c>
      <c r="G35">
        <f>IF(Квартиры!F33="","",Квартиры!F33)</f>
        <v/>
      </c>
      <c r="H35">
        <f>IF(Квартиры!H33="","",Квартиры!H33)</f>
        <v/>
      </c>
      <c r="I35">
        <f>IF(Квартиры!I33="","",Квартиры!I33)</f>
        <v/>
      </c>
      <c r="J35">
        <f>IF(Квартиры!J33="","",Квартиры!J33)</f>
        <v/>
      </c>
    </row>
    <row r="36">
      <c r="A36">
        <f>IF(Квартиры!A34="","",Квартиры!A34)</f>
        <v/>
      </c>
      <c r="B36">
        <f>IF(Квартиры!B34="","",Квартиры!B34)</f>
        <v/>
      </c>
      <c r="C36">
        <f>IF(Квартиры!C34="","",Квартиры!C34)</f>
        <v/>
      </c>
      <c r="D36">
        <f>IF(Квартиры!D34="","",Квартиры!D34)</f>
        <v/>
      </c>
      <c r="E36">
        <f>IF(Квартиры!G34="","",Квартиры!G34)</f>
        <v/>
      </c>
      <c r="F36">
        <f>IF(Квартиры!E34="","",Квартиры!E34)</f>
        <v/>
      </c>
      <c r="G36">
        <f>IF(Квартиры!F34="","",Квартиры!F34)</f>
        <v/>
      </c>
      <c r="H36">
        <f>IF(Квартиры!H34="","",Квартиры!H34)</f>
        <v/>
      </c>
      <c r="I36">
        <f>IF(Квартиры!I34="","",Квартиры!I34)</f>
        <v/>
      </c>
      <c r="J36">
        <f>IF(Квартиры!J34="","",Квартиры!J34)</f>
        <v/>
      </c>
    </row>
    <row r="37">
      <c r="A37">
        <f>IF(Квартиры!A35="","",Квартиры!A35)</f>
        <v/>
      </c>
      <c r="B37">
        <f>IF(Квартиры!B35="","",Квартиры!B35)</f>
        <v/>
      </c>
      <c r="C37">
        <f>IF(Квартиры!C35="","",Квартиры!C35)</f>
        <v/>
      </c>
      <c r="D37">
        <f>IF(Квартиры!D35="","",Квартиры!D35)</f>
        <v/>
      </c>
      <c r="E37">
        <f>IF(Квартиры!G35="","",Квартиры!G35)</f>
        <v/>
      </c>
      <c r="F37">
        <f>IF(Квартиры!E35="","",Квартиры!E35)</f>
        <v/>
      </c>
      <c r="G37">
        <f>IF(Квартиры!F35="","",Квартиры!F35)</f>
        <v/>
      </c>
      <c r="H37">
        <f>IF(Квартиры!H35="","",Квартиры!H35)</f>
        <v/>
      </c>
      <c r="I37">
        <f>IF(Квартиры!I35="","",Квартиры!I35)</f>
        <v/>
      </c>
      <c r="J37">
        <f>IF(Квартиры!J35="","",Квартиры!J35)</f>
        <v/>
      </c>
    </row>
    <row r="38">
      <c r="A38">
        <f>IF(Квартиры!A36="","",Квартиры!A36)</f>
        <v/>
      </c>
      <c r="B38">
        <f>IF(Квартиры!B36="","",Квартиры!B36)</f>
        <v/>
      </c>
      <c r="C38">
        <f>IF(Квартиры!C36="","",Квартиры!C36)</f>
        <v/>
      </c>
      <c r="D38">
        <f>IF(Квартиры!D36="","",Квартиры!D36)</f>
        <v/>
      </c>
      <c r="E38">
        <f>IF(Квартиры!G36="","",Квартиры!G36)</f>
        <v/>
      </c>
      <c r="F38">
        <f>IF(Квартиры!E36="","",Квартиры!E36)</f>
        <v/>
      </c>
      <c r="G38">
        <f>IF(Квартиры!F36="","",Квартиры!F36)</f>
        <v/>
      </c>
      <c r="H38">
        <f>IF(Квартиры!H36="","",Квартиры!H36)</f>
        <v/>
      </c>
      <c r="I38">
        <f>IF(Квартиры!I36="","",Квартиры!I36)</f>
        <v/>
      </c>
      <c r="J38">
        <f>IF(Квартиры!J36="","",Квартиры!J36)</f>
        <v/>
      </c>
    </row>
    <row r="39">
      <c r="A39">
        <f>IF(Квартиры!A37="","",Квартиры!A37)</f>
        <v/>
      </c>
      <c r="B39">
        <f>IF(Квартиры!B37="","",Квартиры!B37)</f>
        <v/>
      </c>
      <c r="C39">
        <f>IF(Квартиры!C37="","",Квартиры!C37)</f>
        <v/>
      </c>
      <c r="D39">
        <f>IF(Квартиры!D37="","",Квартиры!D37)</f>
        <v/>
      </c>
      <c r="E39">
        <f>IF(Квартиры!G37="","",Квартиры!G37)</f>
        <v/>
      </c>
      <c r="F39">
        <f>IF(Квартиры!E37="","",Квартиры!E37)</f>
        <v/>
      </c>
      <c r="G39">
        <f>IF(Квартиры!F37="","",Квартиры!F37)</f>
        <v/>
      </c>
      <c r="H39">
        <f>IF(Квартиры!H37="","",Квартиры!H37)</f>
        <v/>
      </c>
      <c r="I39">
        <f>IF(Квартиры!I37="","",Квартиры!I37)</f>
        <v/>
      </c>
      <c r="J39">
        <f>IF(Квартиры!J37="","",Квартиры!J37)</f>
        <v/>
      </c>
    </row>
    <row r="40">
      <c r="A40">
        <f>IF(Квартиры!A38="","",Квартиры!A38)</f>
        <v/>
      </c>
      <c r="B40">
        <f>IF(Квартиры!B38="","",Квартиры!B38)</f>
        <v/>
      </c>
      <c r="C40">
        <f>IF(Квартиры!C38="","",Квартиры!C38)</f>
        <v/>
      </c>
      <c r="D40">
        <f>IF(Квартиры!D38="","",Квартиры!D38)</f>
        <v/>
      </c>
      <c r="E40">
        <f>IF(Квартиры!G38="","",Квартиры!G38)</f>
        <v/>
      </c>
      <c r="F40">
        <f>IF(Квартиры!E38="","",Квартиры!E38)</f>
        <v/>
      </c>
      <c r="G40">
        <f>IF(Квартиры!F38="","",Квартиры!F38)</f>
        <v/>
      </c>
      <c r="H40">
        <f>IF(Квартиры!H38="","",Квартиры!H38)</f>
        <v/>
      </c>
      <c r="I40">
        <f>IF(Квартиры!I38="","",Квартиры!I38)</f>
        <v/>
      </c>
      <c r="J40">
        <f>IF(Квартиры!J38="","",Квартиры!J38)</f>
        <v/>
      </c>
    </row>
    <row r="41">
      <c r="A41">
        <f>IF(Квартиры!A39="","",Квартиры!A39)</f>
        <v/>
      </c>
      <c r="B41">
        <f>IF(Квартиры!B39="","",Квартиры!B39)</f>
        <v/>
      </c>
      <c r="C41">
        <f>IF(Квартиры!C39="","",Квартиры!C39)</f>
        <v/>
      </c>
      <c r="D41">
        <f>IF(Квартиры!D39="","",Квартиры!D39)</f>
        <v/>
      </c>
      <c r="E41">
        <f>IF(Квартиры!G39="","",Квартиры!G39)</f>
        <v/>
      </c>
      <c r="F41">
        <f>IF(Квартиры!E39="","",Квартиры!E39)</f>
        <v/>
      </c>
      <c r="G41">
        <f>IF(Квартиры!F39="","",Квартиры!F39)</f>
        <v/>
      </c>
      <c r="H41">
        <f>IF(Квартиры!H39="","",Квартиры!H39)</f>
        <v/>
      </c>
      <c r="I41">
        <f>IF(Квартиры!I39="","",Квартиры!I39)</f>
        <v/>
      </c>
      <c r="J41">
        <f>IF(Квартиры!J39="","",Квартиры!J39)</f>
        <v/>
      </c>
    </row>
    <row r="42">
      <c r="A42">
        <f>IF(Квартиры!A40="","",Квартиры!A40)</f>
        <v/>
      </c>
      <c r="B42">
        <f>IF(Квартиры!B40="","",Квартиры!B40)</f>
        <v/>
      </c>
      <c r="C42">
        <f>IF(Квартиры!C40="","",Квартиры!C40)</f>
        <v/>
      </c>
      <c r="D42">
        <f>IF(Квартиры!D40="","",Квартиры!D40)</f>
        <v/>
      </c>
      <c r="E42">
        <f>IF(Квартиры!G40="","",Квартиры!G40)</f>
        <v/>
      </c>
      <c r="F42">
        <f>IF(Квартиры!E40="","",Квартиры!E40)</f>
        <v/>
      </c>
      <c r="G42">
        <f>IF(Квартиры!F40="","",Квартиры!F40)</f>
        <v/>
      </c>
      <c r="H42">
        <f>IF(Квартиры!H40="","",Квартиры!H40)</f>
        <v/>
      </c>
      <c r="I42">
        <f>IF(Квартиры!I40="","",Квартиры!I40)</f>
        <v/>
      </c>
      <c r="J42">
        <f>IF(Квартиры!J40="","",Квартиры!J40)</f>
        <v/>
      </c>
    </row>
    <row r="43">
      <c r="A43">
        <f>IF(Квартиры!A41="","",Квартиры!A41)</f>
        <v/>
      </c>
      <c r="B43">
        <f>IF(Квартиры!B41="","",Квартиры!B41)</f>
        <v/>
      </c>
      <c r="C43">
        <f>IF(Квартиры!C41="","",Квартиры!C41)</f>
        <v/>
      </c>
      <c r="D43">
        <f>IF(Квартиры!D41="","",Квартиры!D41)</f>
        <v/>
      </c>
      <c r="E43">
        <f>IF(Квартиры!G41="","",Квартиры!G41)</f>
        <v/>
      </c>
      <c r="F43">
        <f>IF(Квартиры!E41="","",Квартиры!E41)</f>
        <v/>
      </c>
      <c r="G43">
        <f>IF(Квартиры!F41="","",Квартиры!F41)</f>
        <v/>
      </c>
      <c r="H43">
        <f>IF(Квартиры!H41="","",Квартиры!H41)</f>
        <v/>
      </c>
      <c r="I43">
        <f>IF(Квартиры!I41="","",Квартиры!I41)</f>
        <v/>
      </c>
      <c r="J43">
        <f>IF(Квартиры!J41="","",Квартиры!J41)</f>
        <v/>
      </c>
    </row>
    <row r="44">
      <c r="A44">
        <f>IF(Квартиры!A42="","",Квартиры!A42)</f>
        <v/>
      </c>
      <c r="B44">
        <f>IF(Квартиры!B42="","",Квартиры!B42)</f>
        <v/>
      </c>
      <c r="C44">
        <f>IF(Квартиры!C42="","",Квартиры!C42)</f>
        <v/>
      </c>
      <c r="D44">
        <f>IF(Квартиры!D42="","",Квартиры!D42)</f>
        <v/>
      </c>
      <c r="E44">
        <f>IF(Квартиры!G42="","",Квартиры!G42)</f>
        <v/>
      </c>
      <c r="F44">
        <f>IF(Квартиры!E42="","",Квартиры!E42)</f>
        <v/>
      </c>
      <c r="G44">
        <f>IF(Квартиры!F42="","",Квартиры!F42)</f>
        <v/>
      </c>
      <c r="H44">
        <f>IF(Квартиры!H42="","",Квартиры!H42)</f>
        <v/>
      </c>
      <c r="I44">
        <f>IF(Квартиры!I42="","",Квартиры!I42)</f>
        <v/>
      </c>
      <c r="J44">
        <f>IF(Квартиры!J42="","",Квартиры!J42)</f>
        <v/>
      </c>
    </row>
    <row r="45">
      <c r="A45">
        <f>IF(Квартиры!A43="","",Квартиры!A43)</f>
        <v/>
      </c>
      <c r="B45">
        <f>IF(Квартиры!B43="","",Квартиры!B43)</f>
        <v/>
      </c>
      <c r="C45">
        <f>IF(Квартиры!C43="","",Квартиры!C43)</f>
        <v/>
      </c>
      <c r="D45">
        <f>IF(Квартиры!D43="","",Квартиры!D43)</f>
        <v/>
      </c>
      <c r="E45">
        <f>IF(Квартиры!G43="","",Квартиры!G43)</f>
        <v/>
      </c>
      <c r="F45">
        <f>IF(Квартиры!E43="","",Квартиры!E43)</f>
        <v/>
      </c>
      <c r="G45">
        <f>IF(Квартиры!F43="","",Квартиры!F43)</f>
        <v/>
      </c>
      <c r="H45">
        <f>IF(Квартиры!H43="","",Квартиры!H43)</f>
        <v/>
      </c>
      <c r="I45">
        <f>IF(Квартиры!I43="","",Квартиры!I43)</f>
        <v/>
      </c>
      <c r="J45">
        <f>IF(Квартиры!J43="","",Квартиры!J43)</f>
        <v/>
      </c>
    </row>
    <row r="46">
      <c r="A46">
        <f>IF(Квартиры!A44="","",Квартиры!A44)</f>
        <v/>
      </c>
      <c r="B46">
        <f>IF(Квартиры!B44="","",Квартиры!B44)</f>
        <v/>
      </c>
      <c r="C46">
        <f>IF(Квартиры!C44="","",Квартиры!C44)</f>
        <v/>
      </c>
      <c r="D46">
        <f>IF(Квартиры!D44="","",Квартиры!D44)</f>
        <v/>
      </c>
      <c r="E46">
        <f>IF(Квартиры!G44="","",Квартиры!G44)</f>
        <v/>
      </c>
      <c r="F46">
        <f>IF(Квартиры!E44="","",Квартиры!E44)</f>
        <v/>
      </c>
      <c r="G46">
        <f>IF(Квартиры!F44="","",Квартиры!F44)</f>
        <v/>
      </c>
      <c r="H46">
        <f>IF(Квартиры!H44="","",Квартиры!H44)</f>
        <v/>
      </c>
      <c r="I46">
        <f>IF(Квартиры!I44="","",Квартиры!I44)</f>
        <v/>
      </c>
      <c r="J46">
        <f>IF(Квартиры!J44="","",Квартиры!J44)</f>
        <v/>
      </c>
    </row>
    <row r="47">
      <c r="A47">
        <f>IF(Квартиры!A45="","",Квартиры!A45)</f>
        <v/>
      </c>
      <c r="B47">
        <f>IF(Квартиры!B45="","",Квартиры!B45)</f>
        <v/>
      </c>
      <c r="C47">
        <f>IF(Квартиры!C45="","",Квартиры!C45)</f>
        <v/>
      </c>
      <c r="D47">
        <f>IF(Квартиры!D45="","",Квартиры!D45)</f>
        <v/>
      </c>
      <c r="E47">
        <f>IF(Квартиры!G45="","",Квартиры!G45)</f>
        <v/>
      </c>
      <c r="F47">
        <f>IF(Квартиры!E45="","",Квартиры!E45)</f>
        <v/>
      </c>
      <c r="G47">
        <f>IF(Квартиры!F45="","",Квартиры!F45)</f>
        <v/>
      </c>
      <c r="H47">
        <f>IF(Квартиры!H45="","",Квартиры!H45)</f>
        <v/>
      </c>
      <c r="I47">
        <f>IF(Квартиры!I45="","",Квартиры!I45)</f>
        <v/>
      </c>
      <c r="J47">
        <f>IF(Квартиры!J45="","",Квартиры!J45)</f>
        <v/>
      </c>
    </row>
    <row r="48">
      <c r="A48">
        <f>IF(Квартиры!A46="","",Квартиры!A46)</f>
        <v/>
      </c>
      <c r="B48">
        <f>IF(Квартиры!B46="","",Квартиры!B46)</f>
        <v/>
      </c>
      <c r="C48">
        <f>IF(Квартиры!C46="","",Квартиры!C46)</f>
        <v/>
      </c>
      <c r="D48">
        <f>IF(Квартиры!D46="","",Квартиры!D46)</f>
        <v/>
      </c>
      <c r="E48">
        <f>IF(Квартиры!G46="","",Квартиры!G46)</f>
        <v/>
      </c>
      <c r="F48">
        <f>IF(Квартиры!E46="","",Квартиры!E46)</f>
        <v/>
      </c>
      <c r="G48">
        <f>IF(Квартиры!F46="","",Квартиры!F46)</f>
        <v/>
      </c>
      <c r="H48">
        <f>IF(Квартиры!H46="","",Квартиры!H46)</f>
        <v/>
      </c>
      <c r="I48">
        <f>IF(Квартиры!I46="","",Квартиры!I46)</f>
        <v/>
      </c>
      <c r="J48">
        <f>IF(Квартиры!J46="","",Квартиры!J46)</f>
        <v/>
      </c>
    </row>
    <row r="49">
      <c r="A49">
        <f>IF(Квартиры!A47="","",Квартиры!A47)</f>
        <v/>
      </c>
      <c r="B49">
        <f>IF(Квартиры!B47="","",Квартиры!B47)</f>
        <v/>
      </c>
      <c r="C49">
        <f>IF(Квартиры!C47="","",Квартиры!C47)</f>
        <v/>
      </c>
      <c r="D49">
        <f>IF(Квартиры!D47="","",Квартиры!D47)</f>
        <v/>
      </c>
      <c r="E49">
        <f>IF(Квартиры!G47="","",Квартиры!G47)</f>
        <v/>
      </c>
      <c r="F49">
        <f>IF(Квартиры!E47="","",Квартиры!E47)</f>
        <v/>
      </c>
      <c r="G49">
        <f>IF(Квартиры!F47="","",Квартиры!F47)</f>
        <v/>
      </c>
      <c r="H49">
        <f>IF(Квартиры!H47="","",Квартиры!H47)</f>
        <v/>
      </c>
      <c r="I49">
        <f>IF(Квартиры!I47="","",Квартиры!I47)</f>
        <v/>
      </c>
      <c r="J49">
        <f>IF(Квартиры!J47="","",Квартиры!J47)</f>
        <v/>
      </c>
    </row>
    <row r="50">
      <c r="A50">
        <f>IF(Квартиры!A48="","",Квартиры!A48)</f>
        <v/>
      </c>
      <c r="B50">
        <f>IF(Квартиры!B48="","",Квартиры!B48)</f>
        <v/>
      </c>
      <c r="C50">
        <f>IF(Квартиры!C48="","",Квартиры!C48)</f>
        <v/>
      </c>
      <c r="D50">
        <f>IF(Квартиры!D48="","",Квартиры!D48)</f>
        <v/>
      </c>
      <c r="E50">
        <f>IF(Квартиры!G48="","",Квартиры!G48)</f>
        <v/>
      </c>
      <c r="F50">
        <f>IF(Квартиры!E48="","",Квартиры!E48)</f>
        <v/>
      </c>
      <c r="G50">
        <f>IF(Квартиры!F48="","",Квартиры!F48)</f>
        <v/>
      </c>
      <c r="H50">
        <f>IF(Квартиры!H48="","",Квартиры!H48)</f>
        <v/>
      </c>
      <c r="I50">
        <f>IF(Квартиры!I48="","",Квартиры!I48)</f>
        <v/>
      </c>
      <c r="J50">
        <f>IF(Квартиры!J48="","",Квартиры!J48)</f>
        <v/>
      </c>
    </row>
    <row r="51">
      <c r="A51">
        <f>IF(Квартиры!A49="","",Квартиры!A49)</f>
        <v/>
      </c>
      <c r="B51">
        <f>IF(Квартиры!B49="","",Квартиры!B49)</f>
        <v/>
      </c>
      <c r="C51">
        <f>IF(Квартиры!C49="","",Квартиры!C49)</f>
        <v/>
      </c>
      <c r="D51">
        <f>IF(Квартиры!D49="","",Квартиры!D49)</f>
        <v/>
      </c>
      <c r="E51">
        <f>IF(Квартиры!G49="","",Квартиры!G49)</f>
        <v/>
      </c>
      <c r="F51">
        <f>IF(Квартиры!E49="","",Квартиры!E49)</f>
        <v/>
      </c>
      <c r="G51">
        <f>IF(Квартиры!F49="","",Квартиры!F49)</f>
        <v/>
      </c>
      <c r="H51">
        <f>IF(Квартиры!H49="","",Квартиры!H49)</f>
        <v/>
      </c>
      <c r="I51">
        <f>IF(Квартиры!I49="","",Квартиры!I49)</f>
        <v/>
      </c>
      <c r="J51">
        <f>IF(Квартиры!J49="","",Квартиры!J49)</f>
        <v/>
      </c>
    </row>
    <row r="52">
      <c r="A52">
        <f>IF(Квартиры!A50="","",Квартиры!A50)</f>
        <v/>
      </c>
      <c r="B52">
        <f>IF(Квартиры!B50="","",Квартиры!B50)</f>
        <v/>
      </c>
      <c r="C52">
        <f>IF(Квартиры!C50="","",Квартиры!C50)</f>
        <v/>
      </c>
      <c r="D52">
        <f>IF(Квартиры!D50="","",Квартиры!D50)</f>
        <v/>
      </c>
      <c r="E52">
        <f>IF(Квартиры!G50="","",Квартиры!G50)</f>
        <v/>
      </c>
      <c r="F52">
        <f>IF(Квартиры!E50="","",Квартиры!E50)</f>
        <v/>
      </c>
      <c r="G52">
        <f>IF(Квартиры!F50="","",Квартиры!F50)</f>
        <v/>
      </c>
      <c r="H52">
        <f>IF(Квартиры!H50="","",Квартиры!H50)</f>
        <v/>
      </c>
      <c r="I52">
        <f>IF(Квартиры!I50="","",Квартиры!I50)</f>
        <v/>
      </c>
      <c r="J52">
        <f>IF(Квартиры!J50="","",Квартиры!J50)</f>
        <v/>
      </c>
    </row>
    <row r="53">
      <c r="A53">
        <f>IF(Квартиры!A51="","",Квартиры!A51)</f>
        <v/>
      </c>
      <c r="B53">
        <f>IF(Квартиры!B51="","",Квартиры!B51)</f>
        <v/>
      </c>
      <c r="C53">
        <f>IF(Квартиры!C51="","",Квартиры!C51)</f>
        <v/>
      </c>
      <c r="D53">
        <f>IF(Квартиры!D51="","",Квартиры!D51)</f>
        <v/>
      </c>
      <c r="E53">
        <f>IF(Квартиры!G51="","",Квартиры!G51)</f>
        <v/>
      </c>
      <c r="F53">
        <f>IF(Квартиры!E51="","",Квартиры!E51)</f>
        <v/>
      </c>
      <c r="G53">
        <f>IF(Квартиры!F51="","",Квартиры!F51)</f>
        <v/>
      </c>
      <c r="H53">
        <f>IF(Квартиры!H51="","",Квартиры!H51)</f>
        <v/>
      </c>
      <c r="I53">
        <f>IF(Квартиры!I51="","",Квартиры!I51)</f>
        <v/>
      </c>
      <c r="J53">
        <f>IF(Квартиры!J51="","",Квартиры!J51)</f>
        <v/>
      </c>
    </row>
    <row r="54">
      <c r="A54">
        <f>IF(Квартиры!A52="","",Квартиры!A52)</f>
        <v/>
      </c>
      <c r="B54">
        <f>IF(Квартиры!B52="","",Квартиры!B52)</f>
        <v/>
      </c>
      <c r="C54">
        <f>IF(Квартиры!C52="","",Квартиры!C52)</f>
        <v/>
      </c>
      <c r="D54">
        <f>IF(Квартиры!D52="","",Квартиры!D52)</f>
        <v/>
      </c>
      <c r="E54">
        <f>IF(Квартиры!G52="","",Квартиры!G52)</f>
        <v/>
      </c>
      <c r="F54">
        <f>IF(Квартиры!E52="","",Квартиры!E52)</f>
        <v/>
      </c>
      <c r="G54">
        <f>IF(Квартиры!F52="","",Квартиры!F52)</f>
        <v/>
      </c>
      <c r="H54">
        <f>IF(Квартиры!H52="","",Квартиры!H52)</f>
        <v/>
      </c>
      <c r="I54">
        <f>IF(Квартиры!I52="","",Квартиры!I52)</f>
        <v/>
      </c>
      <c r="J54">
        <f>IF(Квартиры!J52="","",Квартиры!J52)</f>
        <v/>
      </c>
    </row>
    <row r="55">
      <c r="A55">
        <f>IF(Квартиры!A53="","",Квартиры!A53)</f>
        <v/>
      </c>
      <c r="B55">
        <f>IF(Квартиры!B53="","",Квартиры!B53)</f>
        <v/>
      </c>
      <c r="C55">
        <f>IF(Квартиры!C53="","",Квартиры!C53)</f>
        <v/>
      </c>
      <c r="D55">
        <f>IF(Квартиры!D53="","",Квартиры!D53)</f>
        <v/>
      </c>
      <c r="E55">
        <f>IF(Квартиры!G53="","",Квартиры!G53)</f>
        <v/>
      </c>
      <c r="F55">
        <f>IF(Квартиры!E53="","",Квартиры!E53)</f>
        <v/>
      </c>
      <c r="G55">
        <f>IF(Квартиры!F53="","",Квартиры!F53)</f>
        <v/>
      </c>
      <c r="H55">
        <f>IF(Квартиры!H53="","",Квартиры!H53)</f>
        <v/>
      </c>
      <c r="I55">
        <f>IF(Квартиры!I53="","",Квартиры!I53)</f>
        <v/>
      </c>
      <c r="J55">
        <f>IF(Квартиры!J53="","",Квартиры!J53)</f>
        <v/>
      </c>
    </row>
    <row r="56">
      <c r="A56">
        <f>IF(Квартиры!A54="","",Квартиры!A54)</f>
        <v/>
      </c>
      <c r="B56">
        <f>IF(Квартиры!B54="","",Квартиры!B54)</f>
        <v/>
      </c>
      <c r="C56">
        <f>IF(Квартиры!C54="","",Квартиры!C54)</f>
        <v/>
      </c>
      <c r="D56">
        <f>IF(Квартиры!D54="","",Квартиры!D54)</f>
        <v/>
      </c>
      <c r="E56">
        <f>IF(Квартиры!G54="","",Квартиры!G54)</f>
        <v/>
      </c>
      <c r="F56">
        <f>IF(Квартиры!E54="","",Квартиры!E54)</f>
        <v/>
      </c>
      <c r="G56">
        <f>IF(Квартиры!F54="","",Квартиры!F54)</f>
        <v/>
      </c>
      <c r="H56">
        <f>IF(Квартиры!H54="","",Квартиры!H54)</f>
        <v/>
      </c>
      <c r="I56">
        <f>IF(Квартиры!I54="","",Квартиры!I54)</f>
        <v/>
      </c>
      <c r="J56">
        <f>IF(Квартиры!J54="","",Квартиры!J54)</f>
        <v/>
      </c>
    </row>
    <row r="57">
      <c r="A57">
        <f>IF(Квартиры!A55="","",Квартиры!A55)</f>
        <v/>
      </c>
      <c r="B57">
        <f>IF(Квартиры!B55="","",Квартиры!B55)</f>
        <v/>
      </c>
      <c r="C57">
        <f>IF(Квартиры!C55="","",Квартиры!C55)</f>
        <v/>
      </c>
      <c r="D57">
        <f>IF(Квартиры!D55="","",Квартиры!D55)</f>
        <v/>
      </c>
      <c r="E57">
        <f>IF(Квартиры!G55="","",Квартиры!G55)</f>
        <v/>
      </c>
      <c r="F57">
        <f>IF(Квартиры!E55="","",Квартиры!E55)</f>
        <v/>
      </c>
      <c r="G57">
        <f>IF(Квартиры!F55="","",Квартиры!F55)</f>
        <v/>
      </c>
      <c r="H57">
        <f>IF(Квартиры!H55="","",Квартиры!H55)</f>
        <v/>
      </c>
      <c r="I57">
        <f>IF(Квартиры!I55="","",Квартиры!I55)</f>
        <v/>
      </c>
      <c r="J57">
        <f>IF(Квартиры!J55="","",Квартиры!J55)</f>
        <v/>
      </c>
    </row>
    <row r="58">
      <c r="A58">
        <f>IF(Квартиры!A56="","",Квартиры!A56)</f>
        <v/>
      </c>
      <c r="B58">
        <f>IF(Квартиры!B56="","",Квартиры!B56)</f>
        <v/>
      </c>
      <c r="C58">
        <f>IF(Квартиры!C56="","",Квартиры!C56)</f>
        <v/>
      </c>
      <c r="D58">
        <f>IF(Квартиры!D56="","",Квартиры!D56)</f>
        <v/>
      </c>
      <c r="E58">
        <f>IF(Квартиры!G56="","",Квартиры!G56)</f>
        <v/>
      </c>
      <c r="F58">
        <f>IF(Квартиры!E56="","",Квартиры!E56)</f>
        <v/>
      </c>
      <c r="G58">
        <f>IF(Квартиры!F56="","",Квартиры!F56)</f>
        <v/>
      </c>
      <c r="H58">
        <f>IF(Квартиры!H56="","",Квартиры!H56)</f>
        <v/>
      </c>
      <c r="I58">
        <f>IF(Квартиры!I56="","",Квартиры!I56)</f>
        <v/>
      </c>
      <c r="J58">
        <f>IF(Квартиры!J56="","",Квартиры!J56)</f>
        <v/>
      </c>
    </row>
    <row r="59">
      <c r="A59">
        <f>IF(Квартиры!A57="","",Квартиры!A57)</f>
        <v/>
      </c>
      <c r="B59">
        <f>IF(Квартиры!B57="","",Квартиры!B57)</f>
        <v/>
      </c>
      <c r="C59">
        <f>IF(Квартиры!C57="","",Квартиры!C57)</f>
        <v/>
      </c>
      <c r="D59">
        <f>IF(Квартиры!D57="","",Квартиры!D57)</f>
        <v/>
      </c>
      <c r="E59">
        <f>IF(Квартиры!G57="","",Квартиры!G57)</f>
        <v/>
      </c>
      <c r="F59">
        <f>IF(Квартиры!E57="","",Квартиры!E57)</f>
        <v/>
      </c>
      <c r="G59">
        <f>IF(Квартиры!F57="","",Квартиры!F57)</f>
        <v/>
      </c>
      <c r="H59">
        <f>IF(Квартиры!H57="","",Квартиры!H57)</f>
        <v/>
      </c>
      <c r="I59">
        <f>IF(Квартиры!I57="","",Квартиры!I57)</f>
        <v/>
      </c>
      <c r="J59">
        <f>IF(Квартиры!J57="","",Квартиры!J57)</f>
        <v/>
      </c>
    </row>
    <row r="60">
      <c r="A60">
        <f>IF(Квартиры!A58="","",Квартиры!A58)</f>
        <v/>
      </c>
      <c r="B60">
        <f>IF(Квартиры!B58="","",Квартиры!B58)</f>
        <v/>
      </c>
      <c r="C60">
        <f>IF(Квартиры!C58="","",Квартиры!C58)</f>
        <v/>
      </c>
      <c r="D60">
        <f>IF(Квартиры!D58="","",Квартиры!D58)</f>
        <v/>
      </c>
      <c r="E60">
        <f>IF(Квартиры!G58="","",Квартиры!G58)</f>
        <v/>
      </c>
      <c r="F60">
        <f>IF(Квартиры!E58="","",Квартиры!E58)</f>
        <v/>
      </c>
      <c r="G60">
        <f>IF(Квартиры!F58="","",Квартиры!F58)</f>
        <v/>
      </c>
      <c r="H60">
        <f>IF(Квартиры!H58="","",Квартиры!H58)</f>
        <v/>
      </c>
      <c r="I60">
        <f>IF(Квартиры!I58="","",Квартиры!I58)</f>
        <v/>
      </c>
      <c r="J60">
        <f>IF(Квартиры!J58="","",Квартиры!J58)</f>
        <v/>
      </c>
    </row>
    <row r="61">
      <c r="A61">
        <f>IF(Квартиры!A59="","",Квартиры!A59)</f>
        <v/>
      </c>
      <c r="B61">
        <f>IF(Квартиры!B59="","",Квартиры!B59)</f>
        <v/>
      </c>
      <c r="C61">
        <f>IF(Квартиры!C59="","",Квартиры!C59)</f>
        <v/>
      </c>
      <c r="D61">
        <f>IF(Квартиры!D59="","",Квартиры!D59)</f>
        <v/>
      </c>
      <c r="E61">
        <f>IF(Квартиры!G59="","",Квартиры!G59)</f>
        <v/>
      </c>
      <c r="F61">
        <f>IF(Квартиры!E59="","",Квартиры!E59)</f>
        <v/>
      </c>
      <c r="G61">
        <f>IF(Квартиры!F59="","",Квартиры!F59)</f>
        <v/>
      </c>
      <c r="H61">
        <f>IF(Квартиры!H59="","",Квартиры!H59)</f>
        <v/>
      </c>
      <c r="I61">
        <f>IF(Квартиры!I59="","",Квартиры!I59)</f>
        <v/>
      </c>
      <c r="J61">
        <f>IF(Квартиры!J59="","",Квартиры!J59)</f>
        <v/>
      </c>
    </row>
    <row r="62">
      <c r="A62">
        <f>IF(Квартиры!A60="","",Квартиры!A60)</f>
        <v/>
      </c>
      <c r="B62">
        <f>IF(Квартиры!B60="","",Квартиры!B60)</f>
        <v/>
      </c>
      <c r="C62">
        <f>IF(Квартиры!C60="","",Квартиры!C60)</f>
        <v/>
      </c>
      <c r="D62">
        <f>IF(Квартиры!D60="","",Квартиры!D60)</f>
        <v/>
      </c>
      <c r="E62">
        <f>IF(Квартиры!G60="","",Квартиры!G60)</f>
        <v/>
      </c>
      <c r="F62">
        <f>IF(Квартиры!E60="","",Квартиры!E60)</f>
        <v/>
      </c>
      <c r="G62">
        <f>IF(Квартиры!F60="","",Квартиры!F60)</f>
        <v/>
      </c>
      <c r="H62">
        <f>IF(Квартиры!H60="","",Квартиры!H60)</f>
        <v/>
      </c>
      <c r="I62">
        <f>IF(Квартиры!I60="","",Квартиры!I60)</f>
        <v/>
      </c>
      <c r="J62">
        <f>IF(Квартиры!J60="","",Квартиры!J60)</f>
        <v/>
      </c>
    </row>
    <row r="63">
      <c r="A63">
        <f>IF(Квартиры!A61="","",Квартиры!A61)</f>
        <v/>
      </c>
      <c r="B63">
        <f>IF(Квартиры!B61="","",Квартиры!B61)</f>
        <v/>
      </c>
      <c r="C63">
        <f>IF(Квартиры!C61="","",Квартиры!C61)</f>
        <v/>
      </c>
      <c r="D63">
        <f>IF(Квартиры!D61="","",Квартиры!D61)</f>
        <v/>
      </c>
      <c r="E63">
        <f>IF(Квартиры!G61="","",Квартиры!G61)</f>
        <v/>
      </c>
      <c r="F63">
        <f>IF(Квартиры!E61="","",Квартиры!E61)</f>
        <v/>
      </c>
      <c r="G63">
        <f>IF(Квартиры!F61="","",Квартиры!F61)</f>
        <v/>
      </c>
      <c r="H63">
        <f>IF(Квартиры!H61="","",Квартиры!H61)</f>
        <v/>
      </c>
      <c r="I63">
        <f>IF(Квартиры!I61="","",Квартиры!I61)</f>
        <v/>
      </c>
      <c r="J63">
        <f>IF(Квартиры!J61="","",Квартиры!J61)</f>
        <v/>
      </c>
    </row>
    <row r="64">
      <c r="A64">
        <f>IF(Квартиры!A62="","",Квартиры!A62)</f>
        <v/>
      </c>
      <c r="B64">
        <f>IF(Квартиры!B62="","",Квартиры!B62)</f>
        <v/>
      </c>
      <c r="C64">
        <f>IF(Квартиры!C62="","",Квартиры!C62)</f>
        <v/>
      </c>
      <c r="D64">
        <f>IF(Квартиры!D62="","",Квартиры!D62)</f>
        <v/>
      </c>
      <c r="E64">
        <f>IF(Квартиры!G62="","",Квартиры!G62)</f>
        <v/>
      </c>
      <c r="F64">
        <f>IF(Квартиры!E62="","",Квартиры!E62)</f>
        <v/>
      </c>
      <c r="G64">
        <f>IF(Квартиры!F62="","",Квартиры!F62)</f>
        <v/>
      </c>
      <c r="H64">
        <f>IF(Квартиры!H62="","",Квартиры!H62)</f>
        <v/>
      </c>
      <c r="I64">
        <f>IF(Квартиры!I62="","",Квартиры!I62)</f>
        <v/>
      </c>
      <c r="J64">
        <f>IF(Квартиры!J62="","",Квартиры!J62)</f>
        <v/>
      </c>
    </row>
    <row r="65">
      <c r="A65">
        <f>IF(Квартиры!A63="","",Квартиры!A63)</f>
        <v/>
      </c>
      <c r="B65">
        <f>IF(Квартиры!B63="","",Квартиры!B63)</f>
        <v/>
      </c>
      <c r="C65">
        <f>IF(Квартиры!C63="","",Квартиры!C63)</f>
        <v/>
      </c>
      <c r="D65">
        <f>IF(Квартиры!D63="","",Квартиры!D63)</f>
        <v/>
      </c>
      <c r="E65">
        <f>IF(Квартиры!G63="","",Квартиры!G63)</f>
        <v/>
      </c>
      <c r="F65">
        <f>IF(Квартиры!E63="","",Квартиры!E63)</f>
        <v/>
      </c>
      <c r="G65">
        <f>IF(Квартиры!F63="","",Квартиры!F63)</f>
        <v/>
      </c>
      <c r="H65">
        <f>IF(Квартиры!H63="","",Квартиры!H63)</f>
        <v/>
      </c>
      <c r="I65">
        <f>IF(Квартиры!I63="","",Квартиры!I63)</f>
        <v/>
      </c>
      <c r="J65">
        <f>IF(Квартиры!J63="","",Квартиры!J63)</f>
        <v/>
      </c>
    </row>
    <row r="66">
      <c r="A66">
        <f>IF(Квартиры!A64="","",Квартиры!A64)</f>
        <v/>
      </c>
      <c r="B66">
        <f>IF(Квартиры!B64="","",Квартиры!B64)</f>
        <v/>
      </c>
      <c r="C66">
        <f>IF(Квартиры!C64="","",Квартиры!C64)</f>
        <v/>
      </c>
      <c r="D66">
        <f>IF(Квартиры!D64="","",Квартиры!D64)</f>
        <v/>
      </c>
      <c r="E66">
        <f>IF(Квартиры!G64="","",Квартиры!G64)</f>
        <v/>
      </c>
      <c r="F66">
        <f>IF(Квартиры!E64="","",Квартиры!E64)</f>
        <v/>
      </c>
      <c r="G66">
        <f>IF(Квартиры!F64="","",Квартиры!F64)</f>
        <v/>
      </c>
      <c r="H66">
        <f>IF(Квартиры!H64="","",Квартиры!H64)</f>
        <v/>
      </c>
      <c r="I66">
        <f>IF(Квартиры!I64="","",Квартиры!I64)</f>
        <v/>
      </c>
      <c r="J66">
        <f>IF(Квартиры!J64="","",Квартиры!J64)</f>
        <v/>
      </c>
    </row>
    <row r="67">
      <c r="A67">
        <f>IF(Квартиры!A65="","",Квартиры!A65)</f>
        <v/>
      </c>
      <c r="B67">
        <f>IF(Квартиры!B65="","",Квартиры!B65)</f>
        <v/>
      </c>
      <c r="C67">
        <f>IF(Квартиры!C65="","",Квартиры!C65)</f>
        <v/>
      </c>
      <c r="D67">
        <f>IF(Квартиры!D65="","",Квартиры!D65)</f>
        <v/>
      </c>
      <c r="E67">
        <f>IF(Квартиры!G65="","",Квартиры!G65)</f>
        <v/>
      </c>
      <c r="F67">
        <f>IF(Квартиры!E65="","",Квартиры!E65)</f>
        <v/>
      </c>
      <c r="G67">
        <f>IF(Квартиры!F65="","",Квартиры!F65)</f>
        <v/>
      </c>
      <c r="H67">
        <f>IF(Квартиры!H65="","",Квартиры!H65)</f>
        <v/>
      </c>
      <c r="I67">
        <f>IF(Квартиры!I65="","",Квартиры!I65)</f>
        <v/>
      </c>
      <c r="J67">
        <f>IF(Квартиры!J65="","",Квартиры!J65)</f>
        <v/>
      </c>
    </row>
    <row r="68">
      <c r="A68">
        <f>IF(Квартиры!A66="","",Квартиры!A66)</f>
        <v/>
      </c>
      <c r="B68">
        <f>IF(Квартиры!B66="","",Квартиры!B66)</f>
        <v/>
      </c>
      <c r="C68">
        <f>IF(Квартиры!C66="","",Квартиры!C66)</f>
        <v/>
      </c>
      <c r="D68">
        <f>IF(Квартиры!D66="","",Квартиры!D66)</f>
        <v/>
      </c>
      <c r="E68">
        <f>IF(Квартиры!G66="","",Квартиры!G66)</f>
        <v/>
      </c>
      <c r="F68">
        <f>IF(Квартиры!E66="","",Квартиры!E66)</f>
        <v/>
      </c>
      <c r="G68">
        <f>IF(Квартиры!F66="","",Квартиры!F66)</f>
        <v/>
      </c>
      <c r="H68">
        <f>IF(Квартиры!H66="","",Квартиры!H66)</f>
        <v/>
      </c>
      <c r="I68">
        <f>IF(Квартиры!I66="","",Квартиры!I66)</f>
        <v/>
      </c>
      <c r="J68">
        <f>IF(Квартиры!J66="","",Квартиры!J66)</f>
        <v/>
      </c>
    </row>
    <row r="69">
      <c r="A69">
        <f>IF(Квартиры!A67="","",Квартиры!A67)</f>
        <v/>
      </c>
      <c r="B69">
        <f>IF(Квартиры!B67="","",Квартиры!B67)</f>
        <v/>
      </c>
      <c r="C69">
        <f>IF(Квартиры!C67="","",Квартиры!C67)</f>
        <v/>
      </c>
      <c r="D69">
        <f>IF(Квартиры!D67="","",Квартиры!D67)</f>
        <v/>
      </c>
      <c r="E69">
        <f>IF(Квартиры!G67="","",Квартиры!G67)</f>
        <v/>
      </c>
      <c r="F69">
        <f>IF(Квартиры!E67="","",Квартиры!E67)</f>
        <v/>
      </c>
      <c r="G69">
        <f>IF(Квартиры!F67="","",Квартиры!F67)</f>
        <v/>
      </c>
      <c r="H69">
        <f>IF(Квартиры!H67="","",Квартиры!H67)</f>
        <v/>
      </c>
      <c r="I69">
        <f>IF(Квартиры!I67="","",Квартиры!I67)</f>
        <v/>
      </c>
      <c r="J69">
        <f>IF(Квартиры!J67="","",Квартиры!J67)</f>
        <v/>
      </c>
    </row>
    <row r="70">
      <c r="A70">
        <f>IF(Квартиры!A68="","",Квартиры!A68)</f>
        <v/>
      </c>
      <c r="B70">
        <f>IF(Квартиры!B68="","",Квартиры!B68)</f>
        <v/>
      </c>
      <c r="C70">
        <f>IF(Квартиры!C68="","",Квартиры!C68)</f>
        <v/>
      </c>
      <c r="D70">
        <f>IF(Квартиры!D68="","",Квартиры!D68)</f>
        <v/>
      </c>
      <c r="E70">
        <f>IF(Квартиры!G68="","",Квартиры!G68)</f>
        <v/>
      </c>
      <c r="F70">
        <f>IF(Квартиры!E68="","",Квартиры!E68)</f>
        <v/>
      </c>
      <c r="G70">
        <f>IF(Квартиры!F68="","",Квартиры!F68)</f>
        <v/>
      </c>
      <c r="H70">
        <f>IF(Квартиры!H68="","",Квартиры!H68)</f>
        <v/>
      </c>
      <c r="I70">
        <f>IF(Квартиры!I68="","",Квартиры!I68)</f>
        <v/>
      </c>
      <c r="J70">
        <f>IF(Квартиры!J68="","",Квартиры!J68)</f>
        <v/>
      </c>
    </row>
    <row r="71">
      <c r="A71">
        <f>IF(Квартиры!A69="","",Квартиры!A69)</f>
        <v/>
      </c>
      <c r="B71">
        <f>IF(Квартиры!B69="","",Квартиры!B69)</f>
        <v/>
      </c>
      <c r="C71">
        <f>IF(Квартиры!C69="","",Квартиры!C69)</f>
        <v/>
      </c>
      <c r="D71">
        <f>IF(Квартиры!D69="","",Квартиры!D69)</f>
        <v/>
      </c>
      <c r="E71">
        <f>IF(Квартиры!G69="","",Квартиры!G69)</f>
        <v/>
      </c>
      <c r="F71">
        <f>IF(Квартиры!E69="","",Квартиры!E69)</f>
        <v/>
      </c>
      <c r="G71">
        <f>IF(Квартиры!F69="","",Квартиры!F69)</f>
        <v/>
      </c>
      <c r="H71">
        <f>IF(Квартиры!H69="","",Квартиры!H69)</f>
        <v/>
      </c>
      <c r="I71">
        <f>IF(Квартиры!I69="","",Квартиры!I69)</f>
        <v/>
      </c>
      <c r="J71">
        <f>IF(Квартиры!J69="","",Квартиры!J69)</f>
        <v/>
      </c>
    </row>
    <row r="72">
      <c r="A72">
        <f>IF(Квартиры!A70="","",Квартиры!A70)</f>
        <v/>
      </c>
      <c r="B72">
        <f>IF(Квартиры!B70="","",Квартиры!B70)</f>
        <v/>
      </c>
      <c r="C72">
        <f>IF(Квартиры!C70="","",Квартиры!C70)</f>
        <v/>
      </c>
      <c r="D72">
        <f>IF(Квартиры!D70="","",Квартиры!D70)</f>
        <v/>
      </c>
      <c r="E72">
        <f>IF(Квартиры!G70="","",Квартиры!G70)</f>
        <v/>
      </c>
      <c r="F72">
        <f>IF(Квартиры!E70="","",Квартиры!E70)</f>
        <v/>
      </c>
      <c r="G72">
        <f>IF(Квартиры!F70="","",Квартиры!F70)</f>
        <v/>
      </c>
      <c r="H72">
        <f>IF(Квартиры!H70="","",Квартиры!H70)</f>
        <v/>
      </c>
      <c r="I72">
        <f>IF(Квартиры!I70="","",Квартиры!I70)</f>
        <v/>
      </c>
      <c r="J72">
        <f>IF(Квартиры!J70="","",Квартиры!J70)</f>
        <v/>
      </c>
    </row>
    <row r="73">
      <c r="A73">
        <f>IF(Квартиры!A71="","",Квартиры!A71)</f>
        <v/>
      </c>
      <c r="B73">
        <f>IF(Квартиры!B71="","",Квартиры!B71)</f>
        <v/>
      </c>
      <c r="C73">
        <f>IF(Квартиры!C71="","",Квартиры!C71)</f>
        <v/>
      </c>
      <c r="D73">
        <f>IF(Квартиры!D71="","",Квартиры!D71)</f>
        <v/>
      </c>
      <c r="E73">
        <f>IF(Квартиры!G71="","",Квартиры!G71)</f>
        <v/>
      </c>
      <c r="F73">
        <f>IF(Квартиры!E71="","",Квартиры!E71)</f>
        <v/>
      </c>
      <c r="G73">
        <f>IF(Квартиры!F71="","",Квартиры!F71)</f>
        <v/>
      </c>
      <c r="H73">
        <f>IF(Квартиры!H71="","",Квартиры!H71)</f>
        <v/>
      </c>
      <c r="I73">
        <f>IF(Квартиры!I71="","",Квартиры!I71)</f>
        <v/>
      </c>
      <c r="J73">
        <f>IF(Квартиры!J71="","",Квартиры!J71)</f>
        <v/>
      </c>
    </row>
    <row r="74">
      <c r="A74">
        <f>IF(Квартиры!A72="","",Квартиры!A72)</f>
        <v/>
      </c>
      <c r="B74">
        <f>IF(Квартиры!B72="","",Квартиры!B72)</f>
        <v/>
      </c>
      <c r="C74">
        <f>IF(Квартиры!C72="","",Квартиры!C72)</f>
        <v/>
      </c>
      <c r="D74">
        <f>IF(Квартиры!D72="","",Квартиры!D72)</f>
        <v/>
      </c>
      <c r="E74">
        <f>IF(Квартиры!G72="","",Квартиры!G72)</f>
        <v/>
      </c>
      <c r="F74">
        <f>IF(Квартиры!E72="","",Квартиры!E72)</f>
        <v/>
      </c>
      <c r="G74">
        <f>IF(Квартиры!F72="","",Квартиры!F72)</f>
        <v/>
      </c>
      <c r="H74">
        <f>IF(Квартиры!H72="","",Квартиры!H72)</f>
        <v/>
      </c>
      <c r="I74">
        <f>IF(Квартиры!I72="","",Квартиры!I72)</f>
        <v/>
      </c>
      <c r="J74">
        <f>IF(Квартиры!J72="","",Квартиры!J72)</f>
        <v/>
      </c>
    </row>
    <row r="75">
      <c r="A75">
        <f>IF(Квартиры!A73="","",Квартиры!A73)</f>
        <v/>
      </c>
      <c r="B75">
        <f>IF(Квартиры!B73="","",Квартиры!B73)</f>
        <v/>
      </c>
      <c r="C75">
        <f>IF(Квартиры!C73="","",Квартиры!C73)</f>
        <v/>
      </c>
      <c r="D75">
        <f>IF(Квартиры!D73="","",Квартиры!D73)</f>
        <v/>
      </c>
      <c r="E75">
        <f>IF(Квартиры!G73="","",Квартиры!G73)</f>
        <v/>
      </c>
      <c r="F75">
        <f>IF(Квартиры!E73="","",Квартиры!E73)</f>
        <v/>
      </c>
      <c r="G75">
        <f>IF(Квартиры!F73="","",Квартиры!F73)</f>
        <v/>
      </c>
      <c r="H75">
        <f>IF(Квартиры!H73="","",Квартиры!H73)</f>
        <v/>
      </c>
      <c r="I75">
        <f>IF(Квартиры!I73="","",Квартиры!I73)</f>
        <v/>
      </c>
      <c r="J75">
        <f>IF(Квартиры!J73="","",Квартиры!J73)</f>
        <v/>
      </c>
    </row>
    <row r="76">
      <c r="A76">
        <f>IF(Квартиры!A74="","",Квартиры!A74)</f>
        <v/>
      </c>
      <c r="B76">
        <f>IF(Квартиры!B74="","",Квартиры!B74)</f>
        <v/>
      </c>
      <c r="C76">
        <f>IF(Квартиры!C74="","",Квартиры!C74)</f>
        <v/>
      </c>
      <c r="D76">
        <f>IF(Квартиры!D74="","",Квартиры!D74)</f>
        <v/>
      </c>
      <c r="E76">
        <f>IF(Квартиры!G74="","",Квартиры!G74)</f>
        <v/>
      </c>
      <c r="F76">
        <f>IF(Квартиры!E74="","",Квартиры!E74)</f>
        <v/>
      </c>
      <c r="G76">
        <f>IF(Квартиры!F74="","",Квартиры!F74)</f>
        <v/>
      </c>
      <c r="H76">
        <f>IF(Квартиры!H74="","",Квартиры!H74)</f>
        <v/>
      </c>
      <c r="I76">
        <f>IF(Квартиры!I74="","",Квартиры!I74)</f>
        <v/>
      </c>
      <c r="J76">
        <f>IF(Квартиры!J74="","",Квартиры!J74)</f>
        <v/>
      </c>
    </row>
    <row r="77">
      <c r="A77">
        <f>IF(Квартиры!A75="","",Квартиры!A75)</f>
        <v/>
      </c>
      <c r="B77">
        <f>IF(Квартиры!B75="","",Квартиры!B75)</f>
        <v/>
      </c>
      <c r="C77">
        <f>IF(Квартиры!C75="","",Квартиры!C75)</f>
        <v/>
      </c>
      <c r="D77">
        <f>IF(Квартиры!D75="","",Квартиры!D75)</f>
        <v/>
      </c>
      <c r="E77">
        <f>IF(Квартиры!G75="","",Квартиры!G75)</f>
        <v/>
      </c>
      <c r="F77">
        <f>IF(Квартиры!E75="","",Квартиры!E75)</f>
        <v/>
      </c>
      <c r="G77">
        <f>IF(Квартиры!F75="","",Квартиры!F75)</f>
        <v/>
      </c>
      <c r="H77">
        <f>IF(Квартиры!H75="","",Квартиры!H75)</f>
        <v/>
      </c>
      <c r="I77">
        <f>IF(Квартиры!I75="","",Квартиры!I75)</f>
        <v/>
      </c>
      <c r="J77">
        <f>IF(Квартиры!J75="","",Квартиры!J75)</f>
        <v/>
      </c>
    </row>
    <row r="78">
      <c r="A78">
        <f>IF(Квартиры!A76="","",Квартиры!A76)</f>
        <v/>
      </c>
      <c r="B78">
        <f>IF(Квартиры!B76="","",Квартиры!B76)</f>
        <v/>
      </c>
      <c r="C78">
        <f>IF(Квартиры!C76="","",Квартиры!C76)</f>
        <v/>
      </c>
      <c r="D78">
        <f>IF(Квартиры!D76="","",Квартиры!D76)</f>
        <v/>
      </c>
      <c r="E78">
        <f>IF(Квартиры!G76="","",Квартиры!G76)</f>
        <v/>
      </c>
      <c r="F78">
        <f>IF(Квартиры!E76="","",Квартиры!E76)</f>
        <v/>
      </c>
      <c r="G78">
        <f>IF(Квартиры!F76="","",Квартиры!F76)</f>
        <v/>
      </c>
      <c r="H78">
        <f>IF(Квартиры!H76="","",Квартиры!H76)</f>
        <v/>
      </c>
      <c r="I78">
        <f>IF(Квартиры!I76="","",Квартиры!I76)</f>
        <v/>
      </c>
      <c r="J78">
        <f>IF(Квартиры!J76="","",Квартиры!J76)</f>
        <v/>
      </c>
    </row>
    <row r="79">
      <c r="A79">
        <f>IF(Квартиры!A77="","",Квартиры!A77)</f>
        <v/>
      </c>
      <c r="B79">
        <f>IF(Квартиры!B77="","",Квартиры!B77)</f>
        <v/>
      </c>
      <c r="C79">
        <f>IF(Квартиры!C77="","",Квартиры!C77)</f>
        <v/>
      </c>
      <c r="D79">
        <f>IF(Квартиры!D77="","",Квартиры!D77)</f>
        <v/>
      </c>
      <c r="E79">
        <f>IF(Квартиры!G77="","",Квартиры!G77)</f>
        <v/>
      </c>
      <c r="F79">
        <f>IF(Квартиры!E77="","",Квартиры!E77)</f>
        <v/>
      </c>
      <c r="G79">
        <f>IF(Квартиры!F77="","",Квартиры!F77)</f>
        <v/>
      </c>
      <c r="H79">
        <f>IF(Квартиры!H77="","",Квартиры!H77)</f>
        <v/>
      </c>
      <c r="I79">
        <f>IF(Квартиры!I77="","",Квартиры!I77)</f>
        <v/>
      </c>
      <c r="J79">
        <f>IF(Квартиры!J77="","",Квартиры!J77)</f>
        <v/>
      </c>
    </row>
    <row r="80">
      <c r="A80">
        <f>IF(Квартиры!A78="","",Квартиры!A78)</f>
        <v/>
      </c>
      <c r="B80">
        <f>IF(Квартиры!B78="","",Квартиры!B78)</f>
        <v/>
      </c>
      <c r="C80">
        <f>IF(Квартиры!C78="","",Квартиры!C78)</f>
        <v/>
      </c>
      <c r="D80">
        <f>IF(Квартиры!D78="","",Квартиры!D78)</f>
        <v/>
      </c>
      <c r="E80">
        <f>IF(Квартиры!G78="","",Квартиры!G78)</f>
        <v/>
      </c>
      <c r="F80">
        <f>IF(Квартиры!E78="","",Квартиры!E78)</f>
        <v/>
      </c>
      <c r="G80">
        <f>IF(Квартиры!F78="","",Квартиры!F78)</f>
        <v/>
      </c>
      <c r="H80">
        <f>IF(Квартиры!H78="","",Квартиры!H78)</f>
        <v/>
      </c>
      <c r="I80">
        <f>IF(Квартиры!I78="","",Квартиры!I78)</f>
        <v/>
      </c>
      <c r="J80">
        <f>IF(Квартиры!J78="","",Квартиры!J78)</f>
        <v/>
      </c>
    </row>
    <row r="81">
      <c r="A81">
        <f>IF(Квартиры!A79="","",Квартиры!A79)</f>
        <v/>
      </c>
      <c r="B81">
        <f>IF(Квартиры!B79="","",Квартиры!B79)</f>
        <v/>
      </c>
      <c r="C81">
        <f>IF(Квартиры!C79="","",Квартиры!C79)</f>
        <v/>
      </c>
      <c r="D81">
        <f>IF(Квартиры!D79="","",Квартиры!D79)</f>
        <v/>
      </c>
      <c r="E81">
        <f>IF(Квартиры!G79="","",Квартиры!G79)</f>
        <v/>
      </c>
      <c r="F81">
        <f>IF(Квартиры!E79="","",Квартиры!E79)</f>
        <v/>
      </c>
      <c r="G81">
        <f>IF(Квартиры!F79="","",Квартиры!F79)</f>
        <v/>
      </c>
      <c r="H81">
        <f>IF(Квартиры!H79="","",Квартиры!H79)</f>
        <v/>
      </c>
      <c r="I81">
        <f>IF(Квартиры!I79="","",Квартиры!I79)</f>
        <v/>
      </c>
      <c r="J81">
        <f>IF(Квартиры!J79="","",Квартиры!J79)</f>
        <v/>
      </c>
    </row>
    <row r="82">
      <c r="A82">
        <f>IF(Квартиры!A80="","",Квартиры!A80)</f>
        <v/>
      </c>
      <c r="B82">
        <f>IF(Квартиры!B80="","",Квартиры!B80)</f>
        <v/>
      </c>
      <c r="C82">
        <f>IF(Квартиры!C80="","",Квартиры!C80)</f>
        <v/>
      </c>
      <c r="D82">
        <f>IF(Квартиры!D80="","",Квартиры!D80)</f>
        <v/>
      </c>
      <c r="E82">
        <f>IF(Квартиры!G80="","",Квартиры!G80)</f>
        <v/>
      </c>
      <c r="F82">
        <f>IF(Квартиры!E80="","",Квартиры!E80)</f>
        <v/>
      </c>
      <c r="G82">
        <f>IF(Квартиры!F80="","",Квартиры!F80)</f>
        <v/>
      </c>
      <c r="H82">
        <f>IF(Квартиры!H80="","",Квартиры!H80)</f>
        <v/>
      </c>
      <c r="I82">
        <f>IF(Квартиры!I80="","",Квартиры!I80)</f>
        <v/>
      </c>
      <c r="J82">
        <f>IF(Квартиры!J80="","",Квартиры!J80)</f>
        <v/>
      </c>
    </row>
    <row r="83">
      <c r="A83">
        <f>IF(Квартиры!A81="","",Квартиры!A81)</f>
        <v/>
      </c>
      <c r="B83">
        <f>IF(Квартиры!B81="","",Квартиры!B81)</f>
        <v/>
      </c>
      <c r="C83">
        <f>IF(Квартиры!C81="","",Квартиры!C81)</f>
        <v/>
      </c>
      <c r="D83">
        <f>IF(Квартиры!D81="","",Квартиры!D81)</f>
        <v/>
      </c>
      <c r="E83">
        <f>IF(Квартиры!G81="","",Квартиры!G81)</f>
        <v/>
      </c>
      <c r="F83">
        <f>IF(Квартиры!E81="","",Квартиры!E81)</f>
        <v/>
      </c>
      <c r="G83">
        <f>IF(Квартиры!F81="","",Квартиры!F81)</f>
        <v/>
      </c>
      <c r="H83">
        <f>IF(Квартиры!H81="","",Квартиры!H81)</f>
        <v/>
      </c>
      <c r="I83">
        <f>IF(Квартиры!I81="","",Квартиры!I81)</f>
        <v/>
      </c>
      <c r="J83">
        <f>IF(Квартиры!J81="","",Квартиры!J81)</f>
        <v/>
      </c>
    </row>
    <row r="84">
      <c r="A84">
        <f>IF(Квартиры!A82="","",Квартиры!A82)</f>
        <v/>
      </c>
      <c r="B84">
        <f>IF(Квартиры!B82="","",Квартиры!B82)</f>
        <v/>
      </c>
      <c r="C84">
        <f>IF(Квартиры!C82="","",Квартиры!C82)</f>
        <v/>
      </c>
      <c r="D84">
        <f>IF(Квартиры!D82="","",Квартиры!D82)</f>
        <v/>
      </c>
      <c r="E84">
        <f>IF(Квартиры!G82="","",Квартиры!G82)</f>
        <v/>
      </c>
      <c r="F84">
        <f>IF(Квартиры!E82="","",Квартиры!E82)</f>
        <v/>
      </c>
      <c r="G84">
        <f>IF(Квартиры!F82="","",Квартиры!F82)</f>
        <v/>
      </c>
      <c r="H84">
        <f>IF(Квартиры!H82="","",Квартиры!H82)</f>
        <v/>
      </c>
      <c r="I84">
        <f>IF(Квартиры!I82="","",Квартиры!I82)</f>
        <v/>
      </c>
      <c r="J84">
        <f>IF(Квартиры!J82="","",Квартиры!J82)</f>
        <v/>
      </c>
    </row>
    <row r="85">
      <c r="A85">
        <f>IF(Квартиры!A83="","",Квартиры!A83)</f>
        <v/>
      </c>
      <c r="B85">
        <f>IF(Квартиры!B83="","",Квартиры!B83)</f>
        <v/>
      </c>
      <c r="C85">
        <f>IF(Квартиры!C83="","",Квартиры!C83)</f>
        <v/>
      </c>
      <c r="D85">
        <f>IF(Квартиры!D83="","",Квартиры!D83)</f>
        <v/>
      </c>
      <c r="E85">
        <f>IF(Квартиры!G83="","",Квартиры!G83)</f>
        <v/>
      </c>
      <c r="F85">
        <f>IF(Квартиры!E83="","",Квартиры!E83)</f>
        <v/>
      </c>
      <c r="G85">
        <f>IF(Квартиры!F83="","",Квартиры!F83)</f>
        <v/>
      </c>
      <c r="H85">
        <f>IF(Квартиры!H83="","",Квартиры!H83)</f>
        <v/>
      </c>
      <c r="I85">
        <f>IF(Квартиры!I83="","",Квартиры!I83)</f>
        <v/>
      </c>
      <c r="J85">
        <f>IF(Квартиры!J83="","",Квартиры!J83)</f>
        <v/>
      </c>
    </row>
    <row r="86">
      <c r="A86">
        <f>IF(Квартиры!A84="","",Квартиры!A84)</f>
        <v/>
      </c>
      <c r="B86">
        <f>IF(Квартиры!B84="","",Квартиры!B84)</f>
        <v/>
      </c>
      <c r="C86">
        <f>IF(Квартиры!C84="","",Квартиры!C84)</f>
        <v/>
      </c>
      <c r="D86">
        <f>IF(Квартиры!D84="","",Квартиры!D84)</f>
        <v/>
      </c>
      <c r="E86">
        <f>IF(Квартиры!G84="","",Квартиры!G84)</f>
        <v/>
      </c>
      <c r="F86">
        <f>IF(Квартиры!E84="","",Квартиры!E84)</f>
        <v/>
      </c>
      <c r="G86">
        <f>IF(Квартиры!F84="","",Квартиры!F84)</f>
        <v/>
      </c>
      <c r="H86">
        <f>IF(Квартиры!H84="","",Квартиры!H84)</f>
        <v/>
      </c>
      <c r="I86">
        <f>IF(Квартиры!I84="","",Квартиры!I84)</f>
        <v/>
      </c>
      <c r="J86">
        <f>IF(Квартиры!J84="","",Квартиры!J84)</f>
        <v/>
      </c>
    </row>
    <row r="87">
      <c r="A87">
        <f>IF(Квартиры!A85="","",Квартиры!A85)</f>
        <v/>
      </c>
      <c r="B87">
        <f>IF(Квартиры!B85="","",Квартиры!B85)</f>
        <v/>
      </c>
      <c r="C87">
        <f>IF(Квартиры!C85="","",Квартиры!C85)</f>
        <v/>
      </c>
      <c r="D87">
        <f>IF(Квартиры!D85="","",Квартиры!D85)</f>
        <v/>
      </c>
      <c r="E87">
        <f>IF(Квартиры!G85="","",Квартиры!G85)</f>
        <v/>
      </c>
      <c r="F87">
        <f>IF(Квартиры!E85="","",Квартиры!E85)</f>
        <v/>
      </c>
      <c r="G87">
        <f>IF(Квартиры!F85="","",Квартиры!F85)</f>
        <v/>
      </c>
      <c r="H87">
        <f>IF(Квартиры!H85="","",Квартиры!H85)</f>
        <v/>
      </c>
      <c r="I87">
        <f>IF(Квартиры!I85="","",Квартиры!I85)</f>
        <v/>
      </c>
      <c r="J87">
        <f>IF(Квартиры!J85="","",Квартиры!J85)</f>
        <v/>
      </c>
    </row>
    <row r="88">
      <c r="A88">
        <f>IF(Квартиры!A86="","",Квартиры!A86)</f>
        <v/>
      </c>
      <c r="B88">
        <f>IF(Квартиры!B86="","",Квартиры!B86)</f>
        <v/>
      </c>
      <c r="C88">
        <f>IF(Квартиры!C86="","",Квартиры!C86)</f>
        <v/>
      </c>
      <c r="D88">
        <f>IF(Квартиры!D86="","",Квартиры!D86)</f>
        <v/>
      </c>
      <c r="E88">
        <f>IF(Квартиры!G86="","",Квартиры!G86)</f>
        <v/>
      </c>
      <c r="F88">
        <f>IF(Квартиры!E86="","",Квартиры!E86)</f>
        <v/>
      </c>
      <c r="G88">
        <f>IF(Квартиры!F86="","",Квартиры!F86)</f>
        <v/>
      </c>
      <c r="H88">
        <f>IF(Квартиры!H86="","",Квартиры!H86)</f>
        <v/>
      </c>
      <c r="I88">
        <f>IF(Квартиры!I86="","",Квартиры!I86)</f>
        <v/>
      </c>
      <c r="J88">
        <f>IF(Квартиры!J86="","",Квартиры!J86)</f>
        <v/>
      </c>
    </row>
    <row r="89">
      <c r="A89">
        <f>IF(Квартиры!A87="","",Квартиры!A87)</f>
        <v/>
      </c>
      <c r="B89">
        <f>IF(Квартиры!B87="","",Квартиры!B87)</f>
        <v/>
      </c>
      <c r="C89">
        <f>IF(Квартиры!C87="","",Квартиры!C87)</f>
        <v/>
      </c>
      <c r="D89">
        <f>IF(Квартиры!D87="","",Квартиры!D87)</f>
        <v/>
      </c>
      <c r="E89">
        <f>IF(Квартиры!G87="","",Квартиры!G87)</f>
        <v/>
      </c>
      <c r="F89">
        <f>IF(Квартиры!E87="","",Квартиры!E87)</f>
        <v/>
      </c>
      <c r="G89">
        <f>IF(Квартиры!F87="","",Квартиры!F87)</f>
        <v/>
      </c>
      <c r="H89">
        <f>IF(Квартиры!H87="","",Квартиры!H87)</f>
        <v/>
      </c>
      <c r="I89">
        <f>IF(Квартиры!I87="","",Квартиры!I87)</f>
        <v/>
      </c>
      <c r="J89">
        <f>IF(Квартиры!J87="","",Квартиры!J87)</f>
        <v/>
      </c>
    </row>
    <row r="90">
      <c r="A90">
        <f>IF(Квартиры!A88="","",Квартиры!A88)</f>
        <v/>
      </c>
      <c r="B90">
        <f>IF(Квартиры!B88="","",Квартиры!B88)</f>
        <v/>
      </c>
      <c r="C90">
        <f>IF(Квартиры!C88="","",Квартиры!C88)</f>
        <v/>
      </c>
      <c r="D90">
        <f>IF(Квартиры!D88="","",Квартиры!D88)</f>
        <v/>
      </c>
      <c r="E90">
        <f>IF(Квартиры!G88="","",Квартиры!G88)</f>
        <v/>
      </c>
      <c r="F90">
        <f>IF(Квартиры!E88="","",Квартиры!E88)</f>
        <v/>
      </c>
      <c r="G90">
        <f>IF(Квартиры!F88="","",Квартиры!F88)</f>
        <v/>
      </c>
      <c r="H90">
        <f>IF(Квартиры!H88="","",Квартиры!H88)</f>
        <v/>
      </c>
      <c r="I90">
        <f>IF(Квартиры!I88="","",Квартиры!I88)</f>
        <v/>
      </c>
      <c r="J90">
        <f>IF(Квартиры!J88="","",Квартиры!J88)</f>
        <v/>
      </c>
    </row>
    <row r="91">
      <c r="A91">
        <f>IF(Квартиры!A89="","",Квартиры!A89)</f>
        <v/>
      </c>
      <c r="B91">
        <f>IF(Квартиры!B89="","",Квартиры!B89)</f>
        <v/>
      </c>
      <c r="C91">
        <f>IF(Квартиры!C89="","",Квартиры!C89)</f>
        <v/>
      </c>
      <c r="D91">
        <f>IF(Квартиры!D89="","",Квартиры!D89)</f>
        <v/>
      </c>
      <c r="E91">
        <f>IF(Квартиры!G89="","",Квартиры!G89)</f>
        <v/>
      </c>
      <c r="F91">
        <f>IF(Квартиры!E89="","",Квартиры!E89)</f>
        <v/>
      </c>
      <c r="G91">
        <f>IF(Квартиры!F89="","",Квартиры!F89)</f>
        <v/>
      </c>
      <c r="H91">
        <f>IF(Квартиры!H89="","",Квартиры!H89)</f>
        <v/>
      </c>
      <c r="I91">
        <f>IF(Квартиры!I89="","",Квартиры!I89)</f>
        <v/>
      </c>
      <c r="J91">
        <f>IF(Квартиры!J89="","",Квартиры!J89)</f>
        <v/>
      </c>
    </row>
    <row r="92">
      <c r="A92">
        <f>IF(Квартиры!A90="","",Квартиры!A90)</f>
        <v/>
      </c>
      <c r="B92">
        <f>IF(Квартиры!B90="","",Квартиры!B90)</f>
        <v/>
      </c>
      <c r="C92">
        <f>IF(Квартиры!C90="","",Квартиры!C90)</f>
        <v/>
      </c>
      <c r="D92">
        <f>IF(Квартиры!D90="","",Квартиры!D90)</f>
        <v/>
      </c>
      <c r="E92">
        <f>IF(Квартиры!G90="","",Квартиры!G90)</f>
        <v/>
      </c>
      <c r="F92">
        <f>IF(Квартиры!E90="","",Квартиры!E90)</f>
        <v/>
      </c>
      <c r="G92">
        <f>IF(Квартиры!F90="","",Квартиры!F90)</f>
        <v/>
      </c>
      <c r="H92">
        <f>IF(Квартиры!H90="","",Квартиры!H90)</f>
        <v/>
      </c>
      <c r="I92">
        <f>IF(Квартиры!I90="","",Квартиры!I90)</f>
        <v/>
      </c>
      <c r="J92">
        <f>IF(Квартиры!J90="","",Квартиры!J90)</f>
        <v/>
      </c>
    </row>
    <row r="93">
      <c r="A93">
        <f>IF(Квартиры!A91="","",Квартиры!A91)</f>
        <v/>
      </c>
      <c r="B93">
        <f>IF(Квартиры!B91="","",Квартиры!B91)</f>
        <v/>
      </c>
      <c r="C93">
        <f>IF(Квартиры!C91="","",Квартиры!C91)</f>
        <v/>
      </c>
      <c r="D93">
        <f>IF(Квартиры!D91="","",Квартиры!D91)</f>
        <v/>
      </c>
      <c r="E93">
        <f>IF(Квартиры!G91="","",Квартиры!G91)</f>
        <v/>
      </c>
      <c r="F93">
        <f>IF(Квартиры!E91="","",Квартиры!E91)</f>
        <v/>
      </c>
      <c r="G93">
        <f>IF(Квартиры!F91="","",Квартиры!F91)</f>
        <v/>
      </c>
      <c r="H93">
        <f>IF(Квартиры!H91="","",Квартиры!H91)</f>
        <v/>
      </c>
      <c r="I93">
        <f>IF(Квартиры!I91="","",Квартиры!I91)</f>
        <v/>
      </c>
      <c r="J93">
        <f>IF(Квартиры!J91="","",Квартиры!J91)</f>
        <v/>
      </c>
    </row>
    <row r="94">
      <c r="A94">
        <f>IF(Квартиры!A92="","",Квартиры!A92)</f>
        <v/>
      </c>
      <c r="B94">
        <f>IF(Квартиры!B92="","",Квартиры!B92)</f>
        <v/>
      </c>
      <c r="C94">
        <f>IF(Квартиры!C92="","",Квартиры!C92)</f>
        <v/>
      </c>
      <c r="D94">
        <f>IF(Квартиры!D92="","",Квартиры!D92)</f>
        <v/>
      </c>
      <c r="E94">
        <f>IF(Квартиры!G92="","",Квартиры!G92)</f>
        <v/>
      </c>
      <c r="F94">
        <f>IF(Квартиры!E92="","",Квартиры!E92)</f>
        <v/>
      </c>
      <c r="G94">
        <f>IF(Квартиры!F92="","",Квартиры!F92)</f>
        <v/>
      </c>
      <c r="H94">
        <f>IF(Квартиры!H92="","",Квартиры!H92)</f>
        <v/>
      </c>
      <c r="I94">
        <f>IF(Квартиры!I92="","",Квартиры!I92)</f>
        <v/>
      </c>
      <c r="J94">
        <f>IF(Квартиры!J92="","",Квартиры!J92)</f>
        <v/>
      </c>
    </row>
    <row r="95">
      <c r="A95">
        <f>IF(Квартиры!A93="","",Квартиры!A93)</f>
        <v/>
      </c>
      <c r="B95">
        <f>IF(Квартиры!B93="","",Квартиры!B93)</f>
        <v/>
      </c>
      <c r="C95">
        <f>IF(Квартиры!C93="","",Квартиры!C93)</f>
        <v/>
      </c>
      <c r="D95">
        <f>IF(Квартиры!D93="","",Квартиры!D93)</f>
        <v/>
      </c>
      <c r="E95">
        <f>IF(Квартиры!G93="","",Квартиры!G93)</f>
        <v/>
      </c>
      <c r="F95">
        <f>IF(Квартиры!E93="","",Квартиры!E93)</f>
        <v/>
      </c>
      <c r="G95">
        <f>IF(Квартиры!F93="","",Квартиры!F93)</f>
        <v/>
      </c>
      <c r="H95">
        <f>IF(Квартиры!H93="","",Квартиры!H93)</f>
        <v/>
      </c>
      <c r="I95">
        <f>IF(Квартиры!I93="","",Квартиры!I93)</f>
        <v/>
      </c>
      <c r="J95">
        <f>IF(Квартиры!J93="","",Квартиры!J93)</f>
        <v/>
      </c>
    </row>
    <row r="96">
      <c r="A96">
        <f>IF(Квартиры!A94="","",Квартиры!A94)</f>
        <v/>
      </c>
      <c r="B96">
        <f>IF(Квартиры!B94="","",Квартиры!B94)</f>
        <v/>
      </c>
      <c r="C96">
        <f>IF(Квартиры!C94="","",Квартиры!C94)</f>
        <v/>
      </c>
      <c r="D96">
        <f>IF(Квартиры!D94="","",Квартиры!D94)</f>
        <v/>
      </c>
      <c r="E96">
        <f>IF(Квартиры!G94="","",Квартиры!G94)</f>
        <v/>
      </c>
      <c r="F96">
        <f>IF(Квартиры!E94="","",Квартиры!E94)</f>
        <v/>
      </c>
      <c r="G96">
        <f>IF(Квартиры!F94="","",Квартиры!F94)</f>
        <v/>
      </c>
      <c r="H96">
        <f>IF(Квартиры!H94="","",Квартиры!H94)</f>
        <v/>
      </c>
      <c r="I96">
        <f>IF(Квартиры!I94="","",Квартиры!I94)</f>
        <v/>
      </c>
      <c r="J96">
        <f>IF(Квартиры!J94="","",Квартиры!J94)</f>
        <v/>
      </c>
    </row>
    <row r="97">
      <c r="A97">
        <f>IF(Квартиры!A95="","",Квартиры!A95)</f>
        <v/>
      </c>
      <c r="B97">
        <f>IF(Квартиры!B95="","",Квартиры!B95)</f>
        <v/>
      </c>
      <c r="C97">
        <f>IF(Квартиры!C95="","",Квартиры!C95)</f>
        <v/>
      </c>
      <c r="D97">
        <f>IF(Квартиры!D95="","",Квартиры!D95)</f>
        <v/>
      </c>
      <c r="E97">
        <f>IF(Квартиры!G95="","",Квартиры!G95)</f>
        <v/>
      </c>
      <c r="F97">
        <f>IF(Квартиры!E95="","",Квартиры!E95)</f>
        <v/>
      </c>
      <c r="G97">
        <f>IF(Квартиры!F95="","",Квартиры!F95)</f>
        <v/>
      </c>
      <c r="H97">
        <f>IF(Квартиры!H95="","",Квартиры!H95)</f>
        <v/>
      </c>
      <c r="I97">
        <f>IF(Квартиры!I95="","",Квартиры!I95)</f>
        <v/>
      </c>
      <c r="J97">
        <f>IF(Квартиры!J95="","",Квартиры!J95)</f>
        <v/>
      </c>
    </row>
    <row r="98">
      <c r="A98">
        <f>IF(Квартиры!A96="","",Квартиры!A96)</f>
        <v/>
      </c>
      <c r="B98">
        <f>IF(Квартиры!B96="","",Квартиры!B96)</f>
        <v/>
      </c>
      <c r="C98">
        <f>IF(Квартиры!C96="","",Квартиры!C96)</f>
        <v/>
      </c>
      <c r="D98">
        <f>IF(Квартиры!D96="","",Квартиры!D96)</f>
        <v/>
      </c>
      <c r="E98">
        <f>IF(Квартиры!G96="","",Квартиры!G96)</f>
        <v/>
      </c>
      <c r="F98">
        <f>IF(Квартиры!E96="","",Квартиры!E96)</f>
        <v/>
      </c>
      <c r="G98">
        <f>IF(Квартиры!F96="","",Квартиры!F96)</f>
        <v/>
      </c>
      <c r="H98">
        <f>IF(Квартиры!H96="","",Квартиры!H96)</f>
        <v/>
      </c>
      <c r="I98">
        <f>IF(Квартиры!I96="","",Квартиры!I96)</f>
        <v/>
      </c>
      <c r="J98">
        <f>IF(Квартиры!J96="","",Квартиры!J96)</f>
        <v/>
      </c>
    </row>
    <row r="99">
      <c r="A99">
        <f>IF(Квартиры!A97="","",Квартиры!A97)</f>
        <v/>
      </c>
      <c r="B99">
        <f>IF(Квартиры!B97="","",Квартиры!B97)</f>
        <v/>
      </c>
      <c r="C99">
        <f>IF(Квартиры!C97="","",Квартиры!C97)</f>
        <v/>
      </c>
      <c r="D99">
        <f>IF(Квартиры!D97="","",Квартиры!D97)</f>
        <v/>
      </c>
      <c r="E99">
        <f>IF(Квартиры!G97="","",Квартиры!G97)</f>
        <v/>
      </c>
      <c r="F99">
        <f>IF(Квартиры!E97="","",Квартиры!E97)</f>
        <v/>
      </c>
      <c r="G99">
        <f>IF(Квартиры!F97="","",Квартиры!F97)</f>
        <v/>
      </c>
      <c r="H99">
        <f>IF(Квартиры!H97="","",Квартиры!H97)</f>
        <v/>
      </c>
      <c r="I99">
        <f>IF(Квартиры!I97="","",Квартиры!I97)</f>
        <v/>
      </c>
      <c r="J99">
        <f>IF(Квартиры!J97="","",Квартиры!J97)</f>
        <v/>
      </c>
    </row>
    <row r="100">
      <c r="A100">
        <f>IF(Квартиры!A98="","",Квартиры!A98)</f>
        <v/>
      </c>
      <c r="B100">
        <f>IF(Квартиры!B98="","",Квартиры!B98)</f>
        <v/>
      </c>
      <c r="C100">
        <f>IF(Квартиры!C98="","",Квартиры!C98)</f>
        <v/>
      </c>
      <c r="D100">
        <f>IF(Квартиры!D98="","",Квартиры!D98)</f>
        <v/>
      </c>
      <c r="E100">
        <f>IF(Квартиры!G98="","",Квартиры!G98)</f>
        <v/>
      </c>
      <c r="F100">
        <f>IF(Квартиры!E98="","",Квартиры!E98)</f>
        <v/>
      </c>
      <c r="G100">
        <f>IF(Квартиры!F98="","",Квартиры!F98)</f>
        <v/>
      </c>
      <c r="H100">
        <f>IF(Квартиры!H98="","",Квартиры!H98)</f>
        <v/>
      </c>
      <c r="I100">
        <f>IF(Квартиры!I98="","",Квартиры!I98)</f>
        <v/>
      </c>
      <c r="J100">
        <f>IF(Квартиры!J98="","",Квартиры!J98)</f>
        <v/>
      </c>
    </row>
    <row r="101">
      <c r="A101">
        <f>IF(Квартиры!A99="","",Квартиры!A99)</f>
        <v/>
      </c>
      <c r="B101">
        <f>IF(Квартиры!B99="","",Квартиры!B99)</f>
        <v/>
      </c>
      <c r="C101">
        <f>IF(Квартиры!C99="","",Квартиры!C99)</f>
        <v/>
      </c>
      <c r="D101">
        <f>IF(Квартиры!D99="","",Квартиры!D99)</f>
        <v/>
      </c>
      <c r="E101">
        <f>IF(Квартиры!G99="","",Квартиры!G99)</f>
        <v/>
      </c>
      <c r="F101">
        <f>IF(Квартиры!E99="","",Квартиры!E99)</f>
        <v/>
      </c>
      <c r="G101">
        <f>IF(Квартиры!F99="","",Квартиры!F99)</f>
        <v/>
      </c>
      <c r="H101">
        <f>IF(Квартиры!H99="","",Квартиры!H99)</f>
        <v/>
      </c>
      <c r="I101">
        <f>IF(Квартиры!I99="","",Квартиры!I99)</f>
        <v/>
      </c>
      <c r="J101">
        <f>IF(Квартиры!J99="","",Квартиры!J99)</f>
        <v/>
      </c>
    </row>
    <row r="102">
      <c r="A102">
        <f>IF(Квартиры!A100="","",Квартиры!A100)</f>
        <v/>
      </c>
      <c r="B102">
        <f>IF(Квартиры!B100="","",Квартиры!B100)</f>
        <v/>
      </c>
      <c r="C102">
        <f>IF(Квартиры!C100="","",Квартиры!C100)</f>
        <v/>
      </c>
      <c r="D102">
        <f>IF(Квартиры!D100="","",Квартиры!D100)</f>
        <v/>
      </c>
      <c r="E102">
        <f>IF(Квартиры!G100="","",Квартиры!G100)</f>
        <v/>
      </c>
      <c r="F102">
        <f>IF(Квартиры!E100="","",Квартиры!E100)</f>
        <v/>
      </c>
      <c r="G102">
        <f>IF(Квартиры!F100="","",Квартиры!F100)</f>
        <v/>
      </c>
      <c r="H102">
        <f>IF(Квартиры!H100="","",Квартиры!H100)</f>
        <v/>
      </c>
      <c r="I102">
        <f>IF(Квартиры!I100="","",Квартиры!I100)</f>
        <v/>
      </c>
      <c r="J102">
        <f>IF(Квартиры!J100="","",Квартиры!J100)</f>
        <v/>
      </c>
    </row>
    <row r="103">
      <c r="A103">
        <f>IF(Квартиры!A101="","",Квартиры!A101)</f>
        <v/>
      </c>
      <c r="B103">
        <f>IF(Квартиры!B101="","",Квартиры!B101)</f>
        <v/>
      </c>
      <c r="C103">
        <f>IF(Квартиры!C101="","",Квартиры!C101)</f>
        <v/>
      </c>
      <c r="D103">
        <f>IF(Квартиры!D101="","",Квартиры!D101)</f>
        <v/>
      </c>
      <c r="E103">
        <f>IF(Квартиры!G101="","",Квартиры!G101)</f>
        <v/>
      </c>
      <c r="F103">
        <f>IF(Квартиры!E101="","",Квартиры!E101)</f>
        <v/>
      </c>
      <c r="G103">
        <f>IF(Квартиры!F101="","",Квартиры!F101)</f>
        <v/>
      </c>
      <c r="H103">
        <f>IF(Квартиры!H101="","",Квартиры!H101)</f>
        <v/>
      </c>
      <c r="I103">
        <f>IF(Квартиры!I101="","",Квартиры!I101)</f>
        <v/>
      </c>
      <c r="J103">
        <f>IF(Квартиры!J101="","",Квартиры!J101)</f>
        <v/>
      </c>
    </row>
    <row r="104">
      <c r="A104">
        <f>IF(Квартиры!A102="","",Квартиры!A102)</f>
        <v/>
      </c>
      <c r="B104">
        <f>IF(Квартиры!B102="","",Квартиры!B102)</f>
        <v/>
      </c>
      <c r="C104">
        <f>IF(Квартиры!C102="","",Квартиры!C102)</f>
        <v/>
      </c>
      <c r="D104">
        <f>IF(Квартиры!D102="","",Квартиры!D102)</f>
        <v/>
      </c>
      <c r="E104">
        <f>IF(Квартиры!G102="","",Квартиры!G102)</f>
        <v/>
      </c>
      <c r="F104">
        <f>IF(Квартиры!E102="","",Квартиры!E102)</f>
        <v/>
      </c>
      <c r="G104">
        <f>IF(Квартиры!F102="","",Квартиры!F102)</f>
        <v/>
      </c>
      <c r="H104">
        <f>IF(Квартиры!H102="","",Квартиры!H102)</f>
        <v/>
      </c>
      <c r="I104">
        <f>IF(Квартиры!I102="","",Квартиры!I102)</f>
        <v/>
      </c>
      <c r="J104">
        <f>IF(Квартиры!J102="","",Квартиры!J102)</f>
        <v/>
      </c>
    </row>
    <row r="105">
      <c r="A105">
        <f>IF(Квартиры!A103="","",Квартиры!A103)</f>
        <v/>
      </c>
      <c r="B105">
        <f>IF(Квартиры!B103="","",Квартиры!B103)</f>
        <v/>
      </c>
      <c r="C105">
        <f>IF(Квартиры!C103="","",Квартиры!C103)</f>
        <v/>
      </c>
      <c r="D105">
        <f>IF(Квартиры!D103="","",Квартиры!D103)</f>
        <v/>
      </c>
      <c r="E105">
        <f>IF(Квартиры!G103="","",Квартиры!G103)</f>
        <v/>
      </c>
      <c r="F105">
        <f>IF(Квартиры!E103="","",Квартиры!E103)</f>
        <v/>
      </c>
      <c r="G105">
        <f>IF(Квартиры!F103="","",Квартиры!F103)</f>
        <v/>
      </c>
      <c r="H105">
        <f>IF(Квартиры!H103="","",Квартиры!H103)</f>
        <v/>
      </c>
      <c r="I105">
        <f>IF(Квартиры!I103="","",Квартиры!I103)</f>
        <v/>
      </c>
      <c r="J105">
        <f>IF(Квартиры!J103="","",Квартиры!J103)</f>
        <v/>
      </c>
    </row>
    <row r="106">
      <c r="A106">
        <f>IF(Квартиры!A104="","",Квартиры!A104)</f>
        <v/>
      </c>
      <c r="B106">
        <f>IF(Квартиры!B104="","",Квартиры!B104)</f>
        <v/>
      </c>
      <c r="C106">
        <f>IF(Квартиры!C104="","",Квартиры!C104)</f>
        <v/>
      </c>
      <c r="D106">
        <f>IF(Квартиры!D104="","",Квартиры!D104)</f>
        <v/>
      </c>
      <c r="E106">
        <f>IF(Квартиры!G104="","",Квартиры!G104)</f>
        <v/>
      </c>
      <c r="F106">
        <f>IF(Квартиры!E104="","",Квартиры!E104)</f>
        <v/>
      </c>
      <c r="G106">
        <f>IF(Квартиры!F104="","",Квартиры!F104)</f>
        <v/>
      </c>
      <c r="H106">
        <f>IF(Квартиры!H104="","",Квартиры!H104)</f>
        <v/>
      </c>
      <c r="I106">
        <f>IF(Квартиры!I104="","",Квартиры!I104)</f>
        <v/>
      </c>
      <c r="J106">
        <f>IF(Квартиры!J104="","",Квартиры!J104)</f>
        <v/>
      </c>
    </row>
    <row r="107">
      <c r="A107">
        <f>IF(Квартиры!A105="","",Квартиры!A105)</f>
        <v/>
      </c>
      <c r="B107">
        <f>IF(Квартиры!B105="","",Квартиры!B105)</f>
        <v/>
      </c>
      <c r="C107">
        <f>IF(Квартиры!C105="","",Квартиры!C105)</f>
        <v/>
      </c>
      <c r="D107">
        <f>IF(Квартиры!D105="","",Квартиры!D105)</f>
        <v/>
      </c>
      <c r="E107">
        <f>IF(Квартиры!G105="","",Квартиры!G105)</f>
        <v/>
      </c>
      <c r="F107">
        <f>IF(Квартиры!E105="","",Квартиры!E105)</f>
        <v/>
      </c>
      <c r="G107">
        <f>IF(Квартиры!F105="","",Квартиры!F105)</f>
        <v/>
      </c>
      <c r="H107">
        <f>IF(Квартиры!H105="","",Квартиры!H105)</f>
        <v/>
      </c>
      <c r="I107">
        <f>IF(Квартиры!I105="","",Квартиры!I105)</f>
        <v/>
      </c>
      <c r="J107">
        <f>IF(Квартиры!J105="","",Квартиры!J105)</f>
        <v/>
      </c>
    </row>
    <row r="108">
      <c r="A108">
        <f>IF(Квартиры!A106="","",Квартиры!A106)</f>
        <v/>
      </c>
      <c r="B108">
        <f>IF(Квартиры!B106="","",Квартиры!B106)</f>
        <v/>
      </c>
      <c r="C108">
        <f>IF(Квартиры!C106="","",Квартиры!C106)</f>
        <v/>
      </c>
      <c r="D108">
        <f>IF(Квартиры!D106="","",Квартиры!D106)</f>
        <v/>
      </c>
      <c r="E108">
        <f>IF(Квартиры!G106="","",Квартиры!G106)</f>
        <v/>
      </c>
      <c r="F108">
        <f>IF(Квартиры!E106="","",Квартиры!E106)</f>
        <v/>
      </c>
      <c r="G108">
        <f>IF(Квартиры!F106="","",Квартиры!F106)</f>
        <v/>
      </c>
      <c r="H108">
        <f>IF(Квартиры!H106="","",Квартиры!H106)</f>
        <v/>
      </c>
      <c r="I108">
        <f>IF(Квартиры!I106="","",Квартиры!I106)</f>
        <v/>
      </c>
      <c r="J108">
        <f>IF(Квартиры!J106="","",Квартиры!J106)</f>
        <v/>
      </c>
    </row>
    <row r="109">
      <c r="A109">
        <f>IF(Квартиры!A107="","",Квартиры!A107)</f>
        <v/>
      </c>
      <c r="B109">
        <f>IF(Квартиры!B107="","",Квартиры!B107)</f>
        <v/>
      </c>
      <c r="C109">
        <f>IF(Квартиры!C107="","",Квартиры!C107)</f>
        <v/>
      </c>
      <c r="D109">
        <f>IF(Квартиры!D107="","",Квартиры!D107)</f>
        <v/>
      </c>
      <c r="E109">
        <f>IF(Квартиры!G107="","",Квартиры!G107)</f>
        <v/>
      </c>
      <c r="F109">
        <f>IF(Квартиры!E107="","",Квартиры!E107)</f>
        <v/>
      </c>
      <c r="G109">
        <f>IF(Квартиры!F107="","",Квартиры!F107)</f>
        <v/>
      </c>
      <c r="H109">
        <f>IF(Квартиры!H107="","",Квартиры!H107)</f>
        <v/>
      </c>
      <c r="I109">
        <f>IF(Квартиры!I107="","",Квартиры!I107)</f>
        <v/>
      </c>
      <c r="J109">
        <f>IF(Квартиры!J107="","",Квартиры!J107)</f>
        <v/>
      </c>
    </row>
    <row r="110">
      <c r="A110">
        <f>IF(Квартиры!A108="","",Квартиры!A108)</f>
        <v/>
      </c>
      <c r="B110">
        <f>IF(Квартиры!B108="","",Квартиры!B108)</f>
        <v/>
      </c>
      <c r="C110">
        <f>IF(Квартиры!C108="","",Квартиры!C108)</f>
        <v/>
      </c>
      <c r="D110">
        <f>IF(Квартиры!D108="","",Квартиры!D108)</f>
        <v/>
      </c>
      <c r="E110">
        <f>IF(Квартиры!G108="","",Квартиры!G108)</f>
        <v/>
      </c>
      <c r="F110">
        <f>IF(Квартиры!E108="","",Квартиры!E108)</f>
        <v/>
      </c>
      <c r="G110">
        <f>IF(Квартиры!F108="","",Квартиры!F108)</f>
        <v/>
      </c>
      <c r="H110">
        <f>IF(Квартиры!H108="","",Квартиры!H108)</f>
        <v/>
      </c>
      <c r="I110">
        <f>IF(Квартиры!I108="","",Квартиры!I108)</f>
        <v/>
      </c>
      <c r="J110">
        <f>IF(Квартиры!J108="","",Квартиры!J108)</f>
        <v/>
      </c>
    </row>
    <row r="111">
      <c r="A111">
        <f>IF(Квартиры!A109="","",Квартиры!A109)</f>
        <v/>
      </c>
      <c r="B111">
        <f>IF(Квартиры!B109="","",Квартиры!B109)</f>
        <v/>
      </c>
      <c r="C111">
        <f>IF(Квартиры!C109="","",Квартиры!C109)</f>
        <v/>
      </c>
      <c r="D111">
        <f>IF(Квартиры!D109="","",Квартиры!D109)</f>
        <v/>
      </c>
      <c r="E111">
        <f>IF(Квартиры!G109="","",Квартиры!G109)</f>
        <v/>
      </c>
      <c r="F111">
        <f>IF(Квартиры!E109="","",Квартиры!E109)</f>
        <v/>
      </c>
      <c r="G111">
        <f>IF(Квартиры!F109="","",Квартиры!F109)</f>
        <v/>
      </c>
      <c r="H111">
        <f>IF(Квартиры!H109="","",Квартиры!H109)</f>
        <v/>
      </c>
      <c r="I111">
        <f>IF(Квартиры!I109="","",Квартиры!I109)</f>
        <v/>
      </c>
      <c r="J111">
        <f>IF(Квартиры!J109="","",Квартиры!J109)</f>
        <v/>
      </c>
    </row>
    <row r="112">
      <c r="A112">
        <f>IF(Квартиры!A110="","",Квартиры!A110)</f>
        <v/>
      </c>
      <c r="B112">
        <f>IF(Квартиры!B110="","",Квартиры!B110)</f>
        <v/>
      </c>
      <c r="C112">
        <f>IF(Квартиры!C110="","",Квартиры!C110)</f>
        <v/>
      </c>
      <c r="D112">
        <f>IF(Квартиры!D110="","",Квартиры!D110)</f>
        <v/>
      </c>
      <c r="E112">
        <f>IF(Квартиры!G110="","",Квартиры!G110)</f>
        <v/>
      </c>
      <c r="F112">
        <f>IF(Квартиры!E110="","",Квартиры!E110)</f>
        <v/>
      </c>
      <c r="G112">
        <f>IF(Квартиры!F110="","",Квартиры!F110)</f>
        <v/>
      </c>
      <c r="H112">
        <f>IF(Квартиры!H110="","",Квартиры!H110)</f>
        <v/>
      </c>
      <c r="I112">
        <f>IF(Квартиры!I110="","",Квартиры!I110)</f>
        <v/>
      </c>
      <c r="J112">
        <f>IF(Квартиры!J110="","",Квартиры!J110)</f>
        <v/>
      </c>
    </row>
    <row r="113">
      <c r="A113">
        <f>IF(Квартиры!A111="","",Квартиры!A111)</f>
        <v/>
      </c>
      <c r="B113">
        <f>IF(Квартиры!B111="","",Квартиры!B111)</f>
        <v/>
      </c>
      <c r="C113">
        <f>IF(Квартиры!C111="","",Квартиры!C111)</f>
        <v/>
      </c>
      <c r="D113">
        <f>IF(Квартиры!D111="","",Квартиры!D111)</f>
        <v/>
      </c>
      <c r="E113">
        <f>IF(Квартиры!G111="","",Квартиры!G111)</f>
        <v/>
      </c>
      <c r="F113">
        <f>IF(Квартиры!E111="","",Квартиры!E111)</f>
        <v/>
      </c>
      <c r="G113">
        <f>IF(Квартиры!F111="","",Квартиры!F111)</f>
        <v/>
      </c>
      <c r="H113">
        <f>IF(Квартиры!H111="","",Квартиры!H111)</f>
        <v/>
      </c>
      <c r="I113">
        <f>IF(Квартиры!I111="","",Квартиры!I111)</f>
        <v/>
      </c>
      <c r="J113">
        <f>IF(Квартиры!J111="","",Квартиры!J111)</f>
        <v/>
      </c>
    </row>
    <row r="114">
      <c r="A114">
        <f>IF(Квартиры!A112="","",Квартиры!A112)</f>
        <v/>
      </c>
      <c r="B114">
        <f>IF(Квартиры!B112="","",Квартиры!B112)</f>
        <v/>
      </c>
      <c r="C114">
        <f>IF(Квартиры!C112="","",Квартиры!C112)</f>
        <v/>
      </c>
      <c r="D114">
        <f>IF(Квартиры!D112="","",Квартиры!D112)</f>
        <v/>
      </c>
      <c r="E114">
        <f>IF(Квартиры!G112="","",Квартиры!G112)</f>
        <v/>
      </c>
      <c r="F114">
        <f>IF(Квартиры!E112="","",Квартиры!E112)</f>
        <v/>
      </c>
      <c r="G114">
        <f>IF(Квартиры!F112="","",Квартиры!F112)</f>
        <v/>
      </c>
      <c r="H114">
        <f>IF(Квартиры!H112="","",Квартиры!H112)</f>
        <v/>
      </c>
      <c r="I114">
        <f>IF(Квартиры!I112="","",Квартиры!I112)</f>
        <v/>
      </c>
      <c r="J114">
        <f>IF(Квартиры!J112="","",Квартиры!J112)</f>
        <v/>
      </c>
    </row>
    <row r="115">
      <c r="A115">
        <f>IF(Квартиры!A113="","",Квартиры!A113)</f>
        <v/>
      </c>
      <c r="B115">
        <f>IF(Квартиры!B113="","",Квартиры!B113)</f>
        <v/>
      </c>
      <c r="C115">
        <f>IF(Квартиры!C113="","",Квартиры!C113)</f>
        <v/>
      </c>
      <c r="D115">
        <f>IF(Квартиры!D113="","",Квартиры!D113)</f>
        <v/>
      </c>
      <c r="E115">
        <f>IF(Квартиры!G113="","",Квартиры!G113)</f>
        <v/>
      </c>
      <c r="F115">
        <f>IF(Квартиры!E113="","",Квартиры!E113)</f>
        <v/>
      </c>
      <c r="G115">
        <f>IF(Квартиры!F113="","",Квартиры!F113)</f>
        <v/>
      </c>
      <c r="H115">
        <f>IF(Квартиры!H113="","",Квартиры!H113)</f>
        <v/>
      </c>
      <c r="I115">
        <f>IF(Квартиры!I113="","",Квартиры!I113)</f>
        <v/>
      </c>
      <c r="J115">
        <f>IF(Квартиры!J113="","",Квартиры!J113)</f>
        <v/>
      </c>
    </row>
    <row r="116">
      <c r="A116">
        <f>IF(Квартиры!A114="","",Квартиры!A114)</f>
        <v/>
      </c>
      <c r="B116">
        <f>IF(Квартиры!B114="","",Квартиры!B114)</f>
        <v/>
      </c>
      <c r="C116">
        <f>IF(Квартиры!C114="","",Квартиры!C114)</f>
        <v/>
      </c>
      <c r="D116">
        <f>IF(Квартиры!D114="","",Квартиры!D114)</f>
        <v/>
      </c>
      <c r="E116">
        <f>IF(Квартиры!G114="","",Квартиры!G114)</f>
        <v/>
      </c>
      <c r="F116">
        <f>IF(Квартиры!E114="","",Квартиры!E114)</f>
        <v/>
      </c>
      <c r="G116">
        <f>IF(Квартиры!F114="","",Квартиры!F114)</f>
        <v/>
      </c>
      <c r="H116">
        <f>IF(Квартиры!H114="","",Квартиры!H114)</f>
        <v/>
      </c>
      <c r="I116">
        <f>IF(Квартиры!I114="","",Квартиры!I114)</f>
        <v/>
      </c>
      <c r="J116">
        <f>IF(Квартиры!J114="","",Квартиры!J114)</f>
        <v/>
      </c>
    </row>
    <row r="117">
      <c r="A117">
        <f>IF(Квартиры!A115="","",Квартиры!A115)</f>
        <v/>
      </c>
      <c r="B117">
        <f>IF(Квартиры!B115="","",Квартиры!B115)</f>
        <v/>
      </c>
      <c r="C117">
        <f>IF(Квартиры!C115="","",Квартиры!C115)</f>
        <v/>
      </c>
      <c r="D117">
        <f>IF(Квартиры!D115="","",Квартиры!D115)</f>
        <v/>
      </c>
      <c r="E117">
        <f>IF(Квартиры!G115="","",Квартиры!G115)</f>
        <v/>
      </c>
      <c r="F117">
        <f>IF(Квартиры!E115="","",Квартиры!E115)</f>
        <v/>
      </c>
      <c r="G117">
        <f>IF(Квартиры!F115="","",Квартиры!F115)</f>
        <v/>
      </c>
      <c r="H117">
        <f>IF(Квартиры!H115="","",Квартиры!H115)</f>
        <v/>
      </c>
      <c r="I117">
        <f>IF(Квартиры!I115="","",Квартиры!I115)</f>
        <v/>
      </c>
      <c r="J117">
        <f>IF(Квартиры!J115="","",Квартиры!J115)</f>
        <v/>
      </c>
    </row>
    <row r="118">
      <c r="A118">
        <f>IF(Квартиры!A116="","",Квартиры!A116)</f>
        <v/>
      </c>
      <c r="B118">
        <f>IF(Квартиры!B116="","",Квартиры!B116)</f>
        <v/>
      </c>
      <c r="C118">
        <f>IF(Квартиры!C116="","",Квартиры!C116)</f>
        <v/>
      </c>
      <c r="D118">
        <f>IF(Квартиры!D116="","",Квартиры!D116)</f>
        <v/>
      </c>
      <c r="E118">
        <f>IF(Квартиры!G116="","",Квартиры!G116)</f>
        <v/>
      </c>
      <c r="F118">
        <f>IF(Квартиры!E116="","",Квартиры!E116)</f>
        <v/>
      </c>
      <c r="G118">
        <f>IF(Квартиры!F116="","",Квартиры!F116)</f>
        <v/>
      </c>
      <c r="H118">
        <f>IF(Квартиры!H116="","",Квартиры!H116)</f>
        <v/>
      </c>
      <c r="I118">
        <f>IF(Квартиры!I116="","",Квартиры!I116)</f>
        <v/>
      </c>
      <c r="J118">
        <f>IF(Квартиры!J116="","",Квартиры!J116)</f>
        <v/>
      </c>
    </row>
    <row r="119">
      <c r="A119">
        <f>IF(Квартиры!A117="","",Квартиры!A117)</f>
        <v/>
      </c>
      <c r="B119">
        <f>IF(Квартиры!B117="","",Квартиры!B117)</f>
        <v/>
      </c>
      <c r="C119">
        <f>IF(Квартиры!C117="","",Квартиры!C117)</f>
        <v/>
      </c>
      <c r="D119">
        <f>IF(Квартиры!D117="","",Квартиры!D117)</f>
        <v/>
      </c>
      <c r="E119">
        <f>IF(Квартиры!G117="","",Квартиры!G117)</f>
        <v/>
      </c>
      <c r="F119">
        <f>IF(Квартиры!E117="","",Квартиры!E117)</f>
        <v/>
      </c>
      <c r="G119">
        <f>IF(Квартиры!F117="","",Квартиры!F117)</f>
        <v/>
      </c>
      <c r="H119">
        <f>IF(Квартиры!H117="","",Квартиры!H117)</f>
        <v/>
      </c>
      <c r="I119">
        <f>IF(Квартиры!I117="","",Квартиры!I117)</f>
        <v/>
      </c>
      <c r="J119">
        <f>IF(Квартиры!J117="","",Квартиры!J117)</f>
        <v/>
      </c>
    </row>
    <row r="120">
      <c r="A120">
        <f>IF(Квартиры!A118="","",Квартиры!A118)</f>
        <v/>
      </c>
      <c r="B120">
        <f>IF(Квартиры!B118="","",Квартиры!B118)</f>
        <v/>
      </c>
      <c r="C120">
        <f>IF(Квартиры!C118="","",Квартиры!C118)</f>
        <v/>
      </c>
      <c r="D120">
        <f>IF(Квартиры!D118="","",Квартиры!D118)</f>
        <v/>
      </c>
      <c r="E120">
        <f>IF(Квартиры!G118="","",Квартиры!G118)</f>
        <v/>
      </c>
      <c r="F120">
        <f>IF(Квартиры!E118="","",Квартиры!E118)</f>
        <v/>
      </c>
      <c r="G120">
        <f>IF(Квартиры!F118="","",Квартиры!F118)</f>
        <v/>
      </c>
      <c r="H120">
        <f>IF(Квартиры!H118="","",Квартиры!H118)</f>
        <v/>
      </c>
      <c r="I120">
        <f>IF(Квартиры!I118="","",Квартиры!I118)</f>
        <v/>
      </c>
      <c r="J120">
        <f>IF(Квартиры!J118="","",Квартиры!J118)</f>
        <v/>
      </c>
    </row>
    <row r="121">
      <c r="A121">
        <f>IF(Квартиры!A119="","",Квартиры!A119)</f>
        <v/>
      </c>
      <c r="B121">
        <f>IF(Квартиры!B119="","",Квартиры!B119)</f>
        <v/>
      </c>
      <c r="C121">
        <f>IF(Квартиры!C119="","",Квартиры!C119)</f>
        <v/>
      </c>
      <c r="D121">
        <f>IF(Квартиры!D119="","",Квартиры!D119)</f>
        <v/>
      </c>
      <c r="E121">
        <f>IF(Квартиры!G119="","",Квартиры!G119)</f>
        <v/>
      </c>
      <c r="F121">
        <f>IF(Квартиры!E119="","",Квартиры!E119)</f>
        <v/>
      </c>
      <c r="G121">
        <f>IF(Квартиры!F119="","",Квартиры!F119)</f>
        <v/>
      </c>
      <c r="H121">
        <f>IF(Квартиры!H119="","",Квартиры!H119)</f>
        <v/>
      </c>
      <c r="I121">
        <f>IF(Квартиры!I119="","",Квартиры!I119)</f>
        <v/>
      </c>
      <c r="J121">
        <f>IF(Квартиры!J119="","",Квартиры!J119)</f>
        <v/>
      </c>
    </row>
    <row r="122">
      <c r="A122">
        <f>IF(Квартиры!A120="","",Квартиры!A120)</f>
        <v/>
      </c>
      <c r="B122">
        <f>IF(Квартиры!B120="","",Квартиры!B120)</f>
        <v/>
      </c>
      <c r="C122">
        <f>IF(Квартиры!C120="","",Квартиры!C120)</f>
        <v/>
      </c>
      <c r="D122">
        <f>IF(Квартиры!D120="","",Квартиры!D120)</f>
        <v/>
      </c>
      <c r="E122">
        <f>IF(Квартиры!G120="","",Квартиры!G120)</f>
        <v/>
      </c>
      <c r="F122">
        <f>IF(Квартиры!E120="","",Квартиры!E120)</f>
        <v/>
      </c>
      <c r="G122">
        <f>IF(Квартиры!F120="","",Квартиры!F120)</f>
        <v/>
      </c>
      <c r="H122">
        <f>IF(Квартиры!H120="","",Квартиры!H120)</f>
        <v/>
      </c>
      <c r="I122">
        <f>IF(Квартиры!I120="","",Квартиры!I120)</f>
        <v/>
      </c>
      <c r="J122">
        <f>IF(Квартиры!J120="","",Квартиры!J120)</f>
        <v/>
      </c>
    </row>
    <row r="123">
      <c r="A123">
        <f>IF(Квартиры!A121="","",Квартиры!A121)</f>
        <v/>
      </c>
      <c r="B123">
        <f>IF(Квартиры!B121="","",Квартиры!B121)</f>
        <v/>
      </c>
      <c r="C123">
        <f>IF(Квартиры!C121="","",Квартиры!C121)</f>
        <v/>
      </c>
      <c r="D123">
        <f>IF(Квартиры!D121="","",Квартиры!D121)</f>
        <v/>
      </c>
      <c r="E123">
        <f>IF(Квартиры!G121="","",Квартиры!G121)</f>
        <v/>
      </c>
      <c r="F123">
        <f>IF(Квартиры!E121="","",Квартиры!E121)</f>
        <v/>
      </c>
      <c r="G123">
        <f>IF(Квартиры!F121="","",Квартиры!F121)</f>
        <v/>
      </c>
      <c r="H123">
        <f>IF(Квартиры!H121="","",Квартиры!H121)</f>
        <v/>
      </c>
      <c r="I123">
        <f>IF(Квартиры!I121="","",Квартиры!I121)</f>
        <v/>
      </c>
      <c r="J123">
        <f>IF(Квартиры!J121="","",Квартиры!J121)</f>
        <v/>
      </c>
    </row>
    <row r="124">
      <c r="A124">
        <f>IF(Квартиры!A122="","",Квартиры!A122)</f>
        <v/>
      </c>
      <c r="B124">
        <f>IF(Квартиры!B122="","",Квартиры!B122)</f>
        <v/>
      </c>
      <c r="C124">
        <f>IF(Квартиры!C122="","",Квартиры!C122)</f>
        <v/>
      </c>
      <c r="D124">
        <f>IF(Квартиры!D122="","",Квартиры!D122)</f>
        <v/>
      </c>
      <c r="E124">
        <f>IF(Квартиры!G122="","",Квартиры!G122)</f>
        <v/>
      </c>
      <c r="F124">
        <f>IF(Квартиры!E122="","",Квартиры!E122)</f>
        <v/>
      </c>
      <c r="G124">
        <f>IF(Квартиры!F122="","",Квартиры!F122)</f>
        <v/>
      </c>
      <c r="H124">
        <f>IF(Квартиры!H122="","",Квартиры!H122)</f>
        <v/>
      </c>
      <c r="I124">
        <f>IF(Квартиры!I122="","",Квартиры!I122)</f>
        <v/>
      </c>
      <c r="J124">
        <f>IF(Квартиры!J122="","",Квартиры!J122)</f>
        <v/>
      </c>
    </row>
    <row r="125">
      <c r="A125">
        <f>IF(Квартиры!A123="","",Квартиры!A123)</f>
        <v/>
      </c>
      <c r="B125">
        <f>IF(Квартиры!B123="","",Квартиры!B123)</f>
        <v/>
      </c>
      <c r="C125">
        <f>IF(Квартиры!C123="","",Квартиры!C123)</f>
        <v/>
      </c>
      <c r="D125">
        <f>IF(Квартиры!D123="","",Квартиры!D123)</f>
        <v/>
      </c>
      <c r="E125">
        <f>IF(Квартиры!G123="","",Квартиры!G123)</f>
        <v/>
      </c>
      <c r="F125">
        <f>IF(Квартиры!E123="","",Квартиры!E123)</f>
        <v/>
      </c>
      <c r="G125">
        <f>IF(Квартиры!F123="","",Квартиры!F123)</f>
        <v/>
      </c>
      <c r="H125">
        <f>IF(Квартиры!H123="","",Квартиры!H123)</f>
        <v/>
      </c>
      <c r="I125">
        <f>IF(Квартиры!I123="","",Квартиры!I123)</f>
        <v/>
      </c>
      <c r="J125">
        <f>IF(Квартиры!J123="","",Квартиры!J123)</f>
        <v/>
      </c>
    </row>
    <row r="126">
      <c r="A126">
        <f>IF(Квартиры!A124="","",Квартиры!A124)</f>
        <v/>
      </c>
      <c r="B126">
        <f>IF(Квартиры!B124="","",Квартиры!B124)</f>
        <v/>
      </c>
      <c r="C126">
        <f>IF(Квартиры!C124="","",Квартиры!C124)</f>
        <v/>
      </c>
      <c r="D126">
        <f>IF(Квартиры!D124="","",Квартиры!D124)</f>
        <v/>
      </c>
      <c r="E126">
        <f>IF(Квартиры!G124="","",Квартиры!G124)</f>
        <v/>
      </c>
      <c r="F126">
        <f>IF(Квартиры!E124="","",Квартиры!E124)</f>
        <v/>
      </c>
      <c r="G126">
        <f>IF(Квартиры!F124="","",Квартиры!F124)</f>
        <v/>
      </c>
      <c r="H126">
        <f>IF(Квартиры!H124="","",Квартиры!H124)</f>
        <v/>
      </c>
      <c r="I126">
        <f>IF(Квартиры!I124="","",Квартиры!I124)</f>
        <v/>
      </c>
      <c r="J126">
        <f>IF(Квартиры!J124="","",Квартиры!J124)</f>
        <v/>
      </c>
    </row>
    <row r="127">
      <c r="A127">
        <f>IF(Квартиры!A125="","",Квартиры!A125)</f>
        <v/>
      </c>
      <c r="B127">
        <f>IF(Квартиры!B125="","",Квартиры!B125)</f>
        <v/>
      </c>
      <c r="C127">
        <f>IF(Квартиры!C125="","",Квартиры!C125)</f>
        <v/>
      </c>
      <c r="D127">
        <f>IF(Квартиры!D125="","",Квартиры!D125)</f>
        <v/>
      </c>
      <c r="E127">
        <f>IF(Квартиры!G125="","",Квартиры!G125)</f>
        <v/>
      </c>
      <c r="F127">
        <f>IF(Квартиры!E125="","",Квартиры!E125)</f>
        <v/>
      </c>
      <c r="G127">
        <f>IF(Квартиры!F125="","",Квартиры!F125)</f>
        <v/>
      </c>
      <c r="H127">
        <f>IF(Квартиры!H125="","",Квартиры!H125)</f>
        <v/>
      </c>
      <c r="I127">
        <f>IF(Квартиры!I125="","",Квартиры!I125)</f>
        <v/>
      </c>
      <c r="J127">
        <f>IF(Квартиры!J125="","",Квартиры!J125)</f>
        <v/>
      </c>
    </row>
    <row r="128">
      <c r="A128">
        <f>IF(Квартиры!A126="","",Квартиры!A126)</f>
        <v/>
      </c>
      <c r="B128">
        <f>IF(Квартиры!B126="","",Квартиры!B126)</f>
        <v/>
      </c>
      <c r="C128">
        <f>IF(Квартиры!C126="","",Квартиры!C126)</f>
        <v/>
      </c>
      <c r="D128">
        <f>IF(Квартиры!D126="","",Квартиры!D126)</f>
        <v/>
      </c>
      <c r="E128">
        <f>IF(Квартиры!G126="","",Квартиры!G126)</f>
        <v/>
      </c>
      <c r="F128">
        <f>IF(Квартиры!E126="","",Квартиры!E126)</f>
        <v/>
      </c>
      <c r="G128">
        <f>IF(Квартиры!F126="","",Квартиры!F126)</f>
        <v/>
      </c>
      <c r="H128">
        <f>IF(Квартиры!H126="","",Квартиры!H126)</f>
        <v/>
      </c>
      <c r="I128">
        <f>IF(Квартиры!I126="","",Квартиры!I126)</f>
        <v/>
      </c>
      <c r="J128">
        <f>IF(Квартиры!J126="","",Квартиры!J126)</f>
        <v/>
      </c>
    </row>
    <row r="129">
      <c r="A129">
        <f>IF(Квартиры!A127="","",Квартиры!A127)</f>
        <v/>
      </c>
      <c r="B129">
        <f>IF(Квартиры!B127="","",Квартиры!B127)</f>
        <v/>
      </c>
      <c r="C129">
        <f>IF(Квартиры!C127="","",Квартиры!C127)</f>
        <v/>
      </c>
      <c r="D129">
        <f>IF(Квартиры!D127="","",Квартиры!D127)</f>
        <v/>
      </c>
      <c r="E129">
        <f>IF(Квартиры!G127="","",Квартиры!G127)</f>
        <v/>
      </c>
      <c r="F129">
        <f>IF(Квартиры!E127="","",Квартиры!E127)</f>
        <v/>
      </c>
      <c r="G129">
        <f>IF(Квартиры!F127="","",Квартиры!F127)</f>
        <v/>
      </c>
      <c r="H129">
        <f>IF(Квартиры!H127="","",Квартиры!H127)</f>
        <v/>
      </c>
      <c r="I129">
        <f>IF(Квартиры!I127="","",Квартиры!I127)</f>
        <v/>
      </c>
      <c r="J129">
        <f>IF(Квартиры!J127="","",Квартиры!J127)</f>
        <v/>
      </c>
    </row>
    <row r="130">
      <c r="A130">
        <f>IF(Квартиры!A128="","",Квартиры!A128)</f>
        <v/>
      </c>
      <c r="B130">
        <f>IF(Квартиры!B128="","",Квартиры!B128)</f>
        <v/>
      </c>
      <c r="C130">
        <f>IF(Квартиры!C128="","",Квартиры!C128)</f>
        <v/>
      </c>
      <c r="D130">
        <f>IF(Квартиры!D128="","",Квартиры!D128)</f>
        <v/>
      </c>
      <c r="E130">
        <f>IF(Квартиры!G128="","",Квартиры!G128)</f>
        <v/>
      </c>
      <c r="F130">
        <f>IF(Квартиры!E128="","",Квартиры!E128)</f>
        <v/>
      </c>
      <c r="G130">
        <f>IF(Квартиры!F128="","",Квартиры!F128)</f>
        <v/>
      </c>
      <c r="H130">
        <f>IF(Квартиры!H128="","",Квартиры!H128)</f>
        <v/>
      </c>
      <c r="I130">
        <f>IF(Квартиры!I128="","",Квартиры!I128)</f>
        <v/>
      </c>
      <c r="J130">
        <f>IF(Квартиры!J128="","",Квартиры!J128)</f>
        <v/>
      </c>
    </row>
    <row r="131">
      <c r="A131">
        <f>IF(Квартиры!A129="","",Квартиры!A129)</f>
        <v/>
      </c>
      <c r="B131">
        <f>IF(Квартиры!B129="","",Квартиры!B129)</f>
        <v/>
      </c>
      <c r="C131">
        <f>IF(Квартиры!C129="","",Квартиры!C129)</f>
        <v/>
      </c>
      <c r="D131">
        <f>IF(Квартиры!D129="","",Квартиры!D129)</f>
        <v/>
      </c>
      <c r="E131">
        <f>IF(Квартиры!G129="","",Квартиры!G129)</f>
        <v/>
      </c>
      <c r="F131">
        <f>IF(Квартиры!E129="","",Квартиры!E129)</f>
        <v/>
      </c>
      <c r="G131">
        <f>IF(Квартиры!F129="","",Квартиры!F129)</f>
        <v/>
      </c>
      <c r="H131">
        <f>IF(Квартиры!H129="","",Квартиры!H129)</f>
        <v/>
      </c>
      <c r="I131">
        <f>IF(Квартиры!I129="","",Квартиры!I129)</f>
        <v/>
      </c>
      <c r="J131">
        <f>IF(Квартиры!J129="","",Квартиры!J129)</f>
        <v/>
      </c>
    </row>
    <row r="132">
      <c r="A132">
        <f>IF(Квартиры!A130="","",Квартиры!A130)</f>
        <v/>
      </c>
      <c r="B132">
        <f>IF(Квартиры!B130="","",Квартиры!B130)</f>
        <v/>
      </c>
      <c r="C132">
        <f>IF(Квартиры!C130="","",Квартиры!C130)</f>
        <v/>
      </c>
      <c r="D132">
        <f>IF(Квартиры!D130="","",Квартиры!D130)</f>
        <v/>
      </c>
      <c r="E132">
        <f>IF(Квартиры!G130="","",Квартиры!G130)</f>
        <v/>
      </c>
      <c r="F132">
        <f>IF(Квартиры!E130="","",Квартиры!E130)</f>
        <v/>
      </c>
      <c r="G132">
        <f>IF(Квартиры!F130="","",Квартиры!F130)</f>
        <v/>
      </c>
      <c r="H132">
        <f>IF(Квартиры!H130="","",Квартиры!H130)</f>
        <v/>
      </c>
      <c r="I132">
        <f>IF(Квартиры!I130="","",Квартиры!I130)</f>
        <v/>
      </c>
      <c r="J132">
        <f>IF(Квартиры!J130="","",Квартиры!J130)</f>
        <v/>
      </c>
    </row>
    <row r="133">
      <c r="A133">
        <f>IF(Квартиры!A131="","",Квартиры!A131)</f>
        <v/>
      </c>
      <c r="B133">
        <f>IF(Квартиры!B131="","",Квартиры!B131)</f>
        <v/>
      </c>
      <c r="C133">
        <f>IF(Квартиры!C131="","",Квартиры!C131)</f>
        <v/>
      </c>
      <c r="D133">
        <f>IF(Квартиры!D131="","",Квартиры!D131)</f>
        <v/>
      </c>
      <c r="E133">
        <f>IF(Квартиры!G131="","",Квартиры!G131)</f>
        <v/>
      </c>
      <c r="F133">
        <f>IF(Квартиры!E131="","",Квартиры!E131)</f>
        <v/>
      </c>
      <c r="G133">
        <f>IF(Квартиры!F131="","",Квартиры!F131)</f>
        <v/>
      </c>
      <c r="H133">
        <f>IF(Квартиры!H131="","",Квартиры!H131)</f>
        <v/>
      </c>
      <c r="I133">
        <f>IF(Квартиры!I131="","",Квартиры!I131)</f>
        <v/>
      </c>
      <c r="J133">
        <f>IF(Квартиры!J131="","",Квартиры!J131)</f>
        <v/>
      </c>
    </row>
    <row r="134">
      <c r="A134">
        <f>IF(Квартиры!A132="","",Квартиры!A132)</f>
        <v/>
      </c>
      <c r="B134">
        <f>IF(Квартиры!B132="","",Квартиры!B132)</f>
        <v/>
      </c>
      <c r="C134">
        <f>IF(Квартиры!C132="","",Квартиры!C132)</f>
        <v/>
      </c>
      <c r="D134">
        <f>IF(Квартиры!D132="","",Квартиры!D132)</f>
        <v/>
      </c>
      <c r="E134">
        <f>IF(Квартиры!G132="","",Квартиры!G132)</f>
        <v/>
      </c>
      <c r="F134">
        <f>IF(Квартиры!E132="","",Квартиры!E132)</f>
        <v/>
      </c>
      <c r="G134">
        <f>IF(Квартиры!F132="","",Квартиры!F132)</f>
        <v/>
      </c>
      <c r="H134">
        <f>IF(Квартиры!H132="","",Квартиры!H132)</f>
        <v/>
      </c>
      <c r="I134">
        <f>IF(Квартиры!I132="","",Квартиры!I132)</f>
        <v/>
      </c>
      <c r="J134">
        <f>IF(Квартиры!J132="","",Квартиры!J132)</f>
        <v/>
      </c>
    </row>
    <row r="135">
      <c r="A135">
        <f>IF(Квартиры!A133="","",Квартиры!A133)</f>
        <v/>
      </c>
      <c r="B135">
        <f>IF(Квартиры!B133="","",Квартиры!B133)</f>
        <v/>
      </c>
      <c r="C135">
        <f>IF(Квартиры!C133="","",Квартиры!C133)</f>
        <v/>
      </c>
      <c r="D135">
        <f>IF(Квартиры!D133="","",Квартиры!D133)</f>
        <v/>
      </c>
      <c r="E135">
        <f>IF(Квартиры!G133="","",Квартиры!G133)</f>
        <v/>
      </c>
      <c r="F135">
        <f>IF(Квартиры!E133="","",Квартиры!E133)</f>
        <v/>
      </c>
      <c r="G135">
        <f>IF(Квартиры!F133="","",Квартиры!F133)</f>
        <v/>
      </c>
      <c r="H135">
        <f>IF(Квартиры!H133="","",Квартиры!H133)</f>
        <v/>
      </c>
      <c r="I135">
        <f>IF(Квартиры!I133="","",Квартиры!I133)</f>
        <v/>
      </c>
      <c r="J135">
        <f>IF(Квартиры!J133="","",Квартиры!J133)</f>
        <v/>
      </c>
    </row>
    <row r="136">
      <c r="A136">
        <f>IF(Квартиры!A134="","",Квартиры!A134)</f>
        <v/>
      </c>
      <c r="B136">
        <f>IF(Квартиры!B134="","",Квартиры!B134)</f>
        <v/>
      </c>
      <c r="C136">
        <f>IF(Квартиры!C134="","",Квартиры!C134)</f>
        <v/>
      </c>
      <c r="D136">
        <f>IF(Квартиры!D134="","",Квартиры!D134)</f>
        <v/>
      </c>
      <c r="E136">
        <f>IF(Квартиры!G134="","",Квартиры!G134)</f>
        <v/>
      </c>
      <c r="F136">
        <f>IF(Квартиры!E134="","",Квартиры!E134)</f>
        <v/>
      </c>
      <c r="G136">
        <f>IF(Квартиры!F134="","",Квартиры!F134)</f>
        <v/>
      </c>
      <c r="H136">
        <f>IF(Квартиры!H134="","",Квартиры!H134)</f>
        <v/>
      </c>
      <c r="I136">
        <f>IF(Квартиры!I134="","",Квартиры!I134)</f>
        <v/>
      </c>
      <c r="J136">
        <f>IF(Квартиры!J134="","",Квартиры!J134)</f>
        <v/>
      </c>
    </row>
    <row r="137">
      <c r="A137">
        <f>IF(Квартиры!A135="","",Квартиры!A135)</f>
        <v/>
      </c>
      <c r="B137">
        <f>IF(Квартиры!B135="","",Квартиры!B135)</f>
        <v/>
      </c>
      <c r="C137">
        <f>IF(Квартиры!C135="","",Квартиры!C135)</f>
        <v/>
      </c>
      <c r="D137">
        <f>IF(Квартиры!D135="","",Квартиры!D135)</f>
        <v/>
      </c>
      <c r="E137">
        <f>IF(Квартиры!G135="","",Квартиры!G135)</f>
        <v/>
      </c>
      <c r="F137">
        <f>IF(Квартиры!E135="","",Квартиры!E135)</f>
        <v/>
      </c>
      <c r="G137">
        <f>IF(Квартиры!F135="","",Квартиры!F135)</f>
        <v/>
      </c>
      <c r="H137">
        <f>IF(Квартиры!H135="","",Квартиры!H135)</f>
        <v/>
      </c>
      <c r="I137">
        <f>IF(Квартиры!I135="","",Квартиры!I135)</f>
        <v/>
      </c>
      <c r="J137">
        <f>IF(Квартиры!J135="","",Квартиры!J135)</f>
        <v/>
      </c>
    </row>
    <row r="138">
      <c r="A138">
        <f>IF(Квартиры!A136="","",Квартиры!A136)</f>
        <v/>
      </c>
      <c r="B138">
        <f>IF(Квартиры!B136="","",Квартиры!B136)</f>
        <v/>
      </c>
      <c r="C138">
        <f>IF(Квартиры!C136="","",Квартиры!C136)</f>
        <v/>
      </c>
      <c r="D138">
        <f>IF(Квартиры!D136="","",Квартиры!D136)</f>
        <v/>
      </c>
      <c r="E138">
        <f>IF(Квартиры!G136="","",Квартиры!G136)</f>
        <v/>
      </c>
      <c r="F138">
        <f>IF(Квартиры!E136="","",Квартиры!E136)</f>
        <v/>
      </c>
      <c r="G138">
        <f>IF(Квартиры!F136="","",Квартиры!F136)</f>
        <v/>
      </c>
      <c r="H138">
        <f>IF(Квартиры!H136="","",Квартиры!H136)</f>
        <v/>
      </c>
      <c r="I138">
        <f>IF(Квартиры!I136="","",Квартиры!I136)</f>
        <v/>
      </c>
      <c r="J138">
        <f>IF(Квартиры!J136="","",Квартиры!J136)</f>
        <v/>
      </c>
    </row>
    <row r="139">
      <c r="A139">
        <f>IF(Квартиры!A137="","",Квартиры!A137)</f>
        <v/>
      </c>
      <c r="B139">
        <f>IF(Квартиры!B137="","",Квартиры!B137)</f>
        <v/>
      </c>
      <c r="C139">
        <f>IF(Квартиры!C137="","",Квартиры!C137)</f>
        <v/>
      </c>
      <c r="D139">
        <f>IF(Квартиры!D137="","",Квартиры!D137)</f>
        <v/>
      </c>
      <c r="E139">
        <f>IF(Квартиры!G137="","",Квартиры!G137)</f>
        <v/>
      </c>
      <c r="F139">
        <f>IF(Квартиры!E137="","",Квартиры!E137)</f>
        <v/>
      </c>
      <c r="G139">
        <f>IF(Квартиры!F137="","",Квартиры!F137)</f>
        <v/>
      </c>
      <c r="H139">
        <f>IF(Квартиры!H137="","",Квартиры!H137)</f>
        <v/>
      </c>
      <c r="I139">
        <f>IF(Квартиры!I137="","",Квартиры!I137)</f>
        <v/>
      </c>
      <c r="J139">
        <f>IF(Квартиры!J137="","",Квартиры!J137)</f>
        <v/>
      </c>
    </row>
    <row r="140">
      <c r="A140">
        <f>IF(Квартиры!A138="","",Квартиры!A138)</f>
        <v/>
      </c>
      <c r="B140">
        <f>IF(Квартиры!B138="","",Квартиры!B138)</f>
        <v/>
      </c>
      <c r="C140">
        <f>IF(Квартиры!C138="","",Квартиры!C138)</f>
        <v/>
      </c>
      <c r="D140">
        <f>IF(Квартиры!D138="","",Квартиры!D138)</f>
        <v/>
      </c>
      <c r="E140">
        <f>IF(Квартиры!G138="","",Квартиры!G138)</f>
        <v/>
      </c>
      <c r="F140">
        <f>IF(Квартиры!E138="","",Квартиры!E138)</f>
        <v/>
      </c>
      <c r="G140">
        <f>IF(Квартиры!F138="","",Квартиры!F138)</f>
        <v/>
      </c>
      <c r="H140">
        <f>IF(Квартиры!H138="","",Квартиры!H138)</f>
        <v/>
      </c>
      <c r="I140">
        <f>IF(Квартиры!I138="","",Квартиры!I138)</f>
        <v/>
      </c>
      <c r="J140">
        <f>IF(Квартиры!J138="","",Квартиры!J138)</f>
        <v/>
      </c>
    </row>
    <row r="141">
      <c r="A141">
        <f>IF(Квартиры!A139="","",Квартиры!A139)</f>
        <v/>
      </c>
      <c r="B141">
        <f>IF(Квартиры!B139="","",Квартиры!B139)</f>
        <v/>
      </c>
      <c r="C141">
        <f>IF(Квартиры!C139="","",Квартиры!C139)</f>
        <v/>
      </c>
      <c r="D141">
        <f>IF(Квартиры!D139="","",Квартиры!D139)</f>
        <v/>
      </c>
      <c r="E141">
        <f>IF(Квартиры!G139="","",Квартиры!G139)</f>
        <v/>
      </c>
      <c r="F141">
        <f>IF(Квартиры!E139="","",Квартиры!E139)</f>
        <v/>
      </c>
      <c r="G141">
        <f>IF(Квартиры!F139="","",Квартиры!F139)</f>
        <v/>
      </c>
      <c r="H141">
        <f>IF(Квартиры!H139="","",Квартиры!H139)</f>
        <v/>
      </c>
      <c r="I141">
        <f>IF(Квартиры!I139="","",Квартиры!I139)</f>
        <v/>
      </c>
      <c r="J141">
        <f>IF(Квартиры!J139="","",Квартиры!J139)</f>
        <v/>
      </c>
    </row>
    <row r="142">
      <c r="A142">
        <f>IF(Квартиры!A140="","",Квартиры!A140)</f>
        <v/>
      </c>
      <c r="B142">
        <f>IF(Квартиры!B140="","",Квартиры!B140)</f>
        <v/>
      </c>
      <c r="C142">
        <f>IF(Квартиры!C140="","",Квартиры!C140)</f>
        <v/>
      </c>
      <c r="D142">
        <f>IF(Квартиры!D140="","",Квартиры!D140)</f>
        <v/>
      </c>
      <c r="E142">
        <f>IF(Квартиры!G140="","",Квартиры!G140)</f>
        <v/>
      </c>
      <c r="F142">
        <f>IF(Квартиры!E140="","",Квартиры!E140)</f>
        <v/>
      </c>
      <c r="G142">
        <f>IF(Квартиры!F140="","",Квартиры!F140)</f>
        <v/>
      </c>
      <c r="H142">
        <f>IF(Квартиры!H140="","",Квартиры!H140)</f>
        <v/>
      </c>
      <c r="I142">
        <f>IF(Квартиры!I140="","",Квартиры!I140)</f>
        <v/>
      </c>
      <c r="J142">
        <f>IF(Квартиры!J140="","",Квартиры!J140)</f>
        <v/>
      </c>
    </row>
    <row r="143">
      <c r="A143">
        <f>IF(Квартиры!A141="","",Квартиры!A141)</f>
        <v/>
      </c>
      <c r="B143">
        <f>IF(Квартиры!B141="","",Квартиры!B141)</f>
        <v/>
      </c>
      <c r="C143">
        <f>IF(Квартиры!C141="","",Квартиры!C141)</f>
        <v/>
      </c>
      <c r="D143">
        <f>IF(Квартиры!D141="","",Квартиры!D141)</f>
        <v/>
      </c>
      <c r="E143">
        <f>IF(Квартиры!G141="","",Квартиры!G141)</f>
        <v/>
      </c>
      <c r="F143">
        <f>IF(Квартиры!E141="","",Квартиры!E141)</f>
        <v/>
      </c>
      <c r="G143">
        <f>IF(Квартиры!F141="","",Квартиры!F141)</f>
        <v/>
      </c>
      <c r="H143">
        <f>IF(Квартиры!H141="","",Квартиры!H141)</f>
        <v/>
      </c>
      <c r="I143">
        <f>IF(Квартиры!I141="","",Квартиры!I141)</f>
        <v/>
      </c>
      <c r="J143">
        <f>IF(Квартиры!J141="","",Квартиры!J141)</f>
        <v/>
      </c>
    </row>
    <row r="144">
      <c r="A144">
        <f>IF(Квартиры!A142="","",Квартиры!A142)</f>
        <v/>
      </c>
      <c r="B144">
        <f>IF(Квартиры!B142="","",Квартиры!B142)</f>
        <v/>
      </c>
      <c r="C144">
        <f>IF(Квартиры!C142="","",Квартиры!C142)</f>
        <v/>
      </c>
      <c r="D144">
        <f>IF(Квартиры!D142="","",Квартиры!D142)</f>
        <v/>
      </c>
      <c r="E144">
        <f>IF(Квартиры!G142="","",Квартиры!G142)</f>
        <v/>
      </c>
      <c r="F144">
        <f>IF(Квартиры!E142="","",Квартиры!E142)</f>
        <v/>
      </c>
      <c r="G144">
        <f>IF(Квартиры!F142="","",Квартиры!F142)</f>
        <v/>
      </c>
      <c r="H144">
        <f>IF(Квартиры!H142="","",Квартиры!H142)</f>
        <v/>
      </c>
      <c r="I144">
        <f>IF(Квартиры!I142="","",Квартиры!I142)</f>
        <v/>
      </c>
      <c r="J144">
        <f>IF(Квартиры!J142="","",Квартиры!J142)</f>
        <v/>
      </c>
    </row>
    <row r="145">
      <c r="A145">
        <f>IF(Квартиры!A143="","",Квартиры!A143)</f>
        <v/>
      </c>
      <c r="B145">
        <f>IF(Квартиры!B143="","",Квартиры!B143)</f>
        <v/>
      </c>
      <c r="C145">
        <f>IF(Квартиры!C143="","",Квартиры!C143)</f>
        <v/>
      </c>
      <c r="D145">
        <f>IF(Квартиры!D143="","",Квартиры!D143)</f>
        <v/>
      </c>
      <c r="E145">
        <f>IF(Квартиры!G143="","",Квартиры!G143)</f>
        <v/>
      </c>
      <c r="F145">
        <f>IF(Квартиры!E143="","",Квартиры!E143)</f>
        <v/>
      </c>
      <c r="G145">
        <f>IF(Квартиры!F143="","",Квартиры!F143)</f>
        <v/>
      </c>
      <c r="H145">
        <f>IF(Квартиры!H143="","",Квартиры!H143)</f>
        <v/>
      </c>
      <c r="I145">
        <f>IF(Квартиры!I143="","",Квартиры!I143)</f>
        <v/>
      </c>
      <c r="J145">
        <f>IF(Квартиры!J143="","",Квартиры!J143)</f>
        <v/>
      </c>
    </row>
    <row r="146">
      <c r="A146">
        <f>IF(Квартиры!A144="","",Квартиры!A144)</f>
        <v/>
      </c>
      <c r="B146">
        <f>IF(Квартиры!B144="","",Квартиры!B144)</f>
        <v/>
      </c>
      <c r="C146">
        <f>IF(Квартиры!C144="","",Квартиры!C144)</f>
        <v/>
      </c>
      <c r="D146">
        <f>IF(Квартиры!D144="","",Квартиры!D144)</f>
        <v/>
      </c>
      <c r="E146">
        <f>IF(Квартиры!G144="","",Квартиры!G144)</f>
        <v/>
      </c>
      <c r="F146">
        <f>IF(Квартиры!E144="","",Квартиры!E144)</f>
        <v/>
      </c>
      <c r="G146">
        <f>IF(Квартиры!F144="","",Квартиры!F144)</f>
        <v/>
      </c>
      <c r="H146">
        <f>IF(Квартиры!H144="","",Квартиры!H144)</f>
        <v/>
      </c>
      <c r="I146">
        <f>IF(Квартиры!I144="","",Квартиры!I144)</f>
        <v/>
      </c>
      <c r="J146">
        <f>IF(Квартиры!J144="","",Квартиры!J144)</f>
        <v/>
      </c>
    </row>
    <row r="147">
      <c r="A147">
        <f>IF(Квартиры!A145="","",Квартиры!A145)</f>
        <v/>
      </c>
      <c r="B147">
        <f>IF(Квартиры!B145="","",Квартиры!B145)</f>
        <v/>
      </c>
      <c r="C147">
        <f>IF(Квартиры!C145="","",Квартиры!C145)</f>
        <v/>
      </c>
      <c r="D147">
        <f>IF(Квартиры!D145="","",Квартиры!D145)</f>
        <v/>
      </c>
      <c r="E147">
        <f>IF(Квартиры!G145="","",Квартиры!G145)</f>
        <v/>
      </c>
      <c r="F147">
        <f>IF(Квартиры!E145="","",Квартиры!E145)</f>
        <v/>
      </c>
      <c r="G147">
        <f>IF(Квартиры!F145="","",Квартиры!F145)</f>
        <v/>
      </c>
      <c r="H147">
        <f>IF(Квартиры!H145="","",Квартиры!H145)</f>
        <v/>
      </c>
      <c r="I147">
        <f>IF(Квартиры!I145="","",Квартиры!I145)</f>
        <v/>
      </c>
      <c r="J147">
        <f>IF(Квартиры!J145="","",Квартиры!J145)</f>
        <v/>
      </c>
    </row>
    <row r="148">
      <c r="A148">
        <f>IF(Квартиры!A146="","",Квартиры!A146)</f>
        <v/>
      </c>
      <c r="B148">
        <f>IF(Квартиры!B146="","",Квартиры!B146)</f>
        <v/>
      </c>
      <c r="C148">
        <f>IF(Квартиры!C146="","",Квартиры!C146)</f>
        <v/>
      </c>
      <c r="D148">
        <f>IF(Квартиры!D146="","",Квартиры!D146)</f>
        <v/>
      </c>
      <c r="E148">
        <f>IF(Квартиры!G146="","",Квартиры!G146)</f>
        <v/>
      </c>
      <c r="F148">
        <f>IF(Квартиры!E146="","",Квартиры!E146)</f>
        <v/>
      </c>
      <c r="G148">
        <f>IF(Квартиры!F146="","",Квартиры!F146)</f>
        <v/>
      </c>
      <c r="H148">
        <f>IF(Квартиры!H146="","",Квартиры!H146)</f>
        <v/>
      </c>
      <c r="I148">
        <f>IF(Квартиры!I146="","",Квартиры!I146)</f>
        <v/>
      </c>
      <c r="J148">
        <f>IF(Квартиры!J146="","",Квартиры!J146)</f>
        <v/>
      </c>
    </row>
    <row r="149">
      <c r="A149">
        <f>IF(Квартиры!A147="","",Квартиры!A147)</f>
        <v/>
      </c>
      <c r="B149">
        <f>IF(Квартиры!B147="","",Квартиры!B147)</f>
        <v/>
      </c>
      <c r="C149">
        <f>IF(Квартиры!C147="","",Квартиры!C147)</f>
        <v/>
      </c>
      <c r="D149">
        <f>IF(Квартиры!D147="","",Квартиры!D147)</f>
        <v/>
      </c>
      <c r="E149">
        <f>IF(Квартиры!G147="","",Квартиры!G147)</f>
        <v/>
      </c>
      <c r="F149">
        <f>IF(Квартиры!E147="","",Квартиры!E147)</f>
        <v/>
      </c>
      <c r="G149">
        <f>IF(Квартиры!F147="","",Квартиры!F147)</f>
        <v/>
      </c>
      <c r="H149">
        <f>IF(Квартиры!H147="","",Квартиры!H147)</f>
        <v/>
      </c>
      <c r="I149">
        <f>IF(Квартиры!I147="","",Квартиры!I147)</f>
        <v/>
      </c>
      <c r="J149">
        <f>IF(Квартиры!J147="","",Квартиры!J147)</f>
        <v/>
      </c>
    </row>
    <row r="150">
      <c r="A150">
        <f>IF(Квартиры!A148="","",Квартиры!A148)</f>
        <v/>
      </c>
      <c r="B150">
        <f>IF(Квартиры!B148="","",Квартиры!B148)</f>
        <v/>
      </c>
      <c r="C150">
        <f>IF(Квартиры!C148="","",Квартиры!C148)</f>
        <v/>
      </c>
      <c r="D150">
        <f>IF(Квартиры!D148="","",Квартиры!D148)</f>
        <v/>
      </c>
      <c r="E150">
        <f>IF(Квартиры!G148="","",Квартиры!G148)</f>
        <v/>
      </c>
      <c r="F150">
        <f>IF(Квартиры!E148="","",Квартиры!E148)</f>
        <v/>
      </c>
      <c r="G150">
        <f>IF(Квартиры!F148="","",Квартиры!F148)</f>
        <v/>
      </c>
      <c r="H150">
        <f>IF(Квартиры!H148="","",Квартиры!H148)</f>
        <v/>
      </c>
      <c r="I150">
        <f>IF(Квартиры!I148="","",Квартиры!I148)</f>
        <v/>
      </c>
      <c r="J150">
        <f>IF(Квартиры!J148="","",Квартиры!J148)</f>
        <v/>
      </c>
    </row>
    <row r="151">
      <c r="A151">
        <f>IF(Квартиры!A149="","",Квартиры!A149)</f>
        <v/>
      </c>
      <c r="B151">
        <f>IF(Квартиры!B149="","",Квартиры!B149)</f>
        <v/>
      </c>
      <c r="C151">
        <f>IF(Квартиры!C149="","",Квартиры!C149)</f>
        <v/>
      </c>
      <c r="D151">
        <f>IF(Квартиры!D149="","",Квартиры!D149)</f>
        <v/>
      </c>
      <c r="E151">
        <f>IF(Квартиры!G149="","",Квартиры!G149)</f>
        <v/>
      </c>
      <c r="F151">
        <f>IF(Квартиры!E149="","",Квартиры!E149)</f>
        <v/>
      </c>
      <c r="G151">
        <f>IF(Квартиры!F149="","",Квартиры!F149)</f>
        <v/>
      </c>
      <c r="H151">
        <f>IF(Квартиры!H149="","",Квартиры!H149)</f>
        <v/>
      </c>
      <c r="I151">
        <f>IF(Квартиры!I149="","",Квартиры!I149)</f>
        <v/>
      </c>
      <c r="J151">
        <f>IF(Квартиры!J149="","",Квартиры!J149)</f>
        <v/>
      </c>
    </row>
    <row r="152">
      <c r="A152">
        <f>IF(Квартиры!A150="","",Квартиры!A150)</f>
        <v/>
      </c>
      <c r="B152">
        <f>IF(Квартиры!B150="","",Квартиры!B150)</f>
        <v/>
      </c>
      <c r="C152">
        <f>IF(Квартиры!C150="","",Квартиры!C150)</f>
        <v/>
      </c>
      <c r="D152">
        <f>IF(Квартиры!D150="","",Квартиры!D150)</f>
        <v/>
      </c>
      <c r="E152">
        <f>IF(Квартиры!G150="","",Квартиры!G150)</f>
        <v/>
      </c>
      <c r="F152">
        <f>IF(Квартиры!E150="","",Квартиры!E150)</f>
        <v/>
      </c>
      <c r="G152">
        <f>IF(Квартиры!F150="","",Квартиры!F150)</f>
        <v/>
      </c>
      <c r="H152">
        <f>IF(Квартиры!H150="","",Квартиры!H150)</f>
        <v/>
      </c>
      <c r="I152">
        <f>IF(Квартиры!I150="","",Квартиры!I150)</f>
        <v/>
      </c>
      <c r="J152">
        <f>IF(Квартиры!J150="","",Квартиры!J150)</f>
        <v/>
      </c>
    </row>
    <row r="153">
      <c r="A153">
        <f>IF(Квартиры!A151="","",Квартиры!A151)</f>
        <v/>
      </c>
      <c r="B153">
        <f>IF(Квартиры!B151="","",Квартиры!B151)</f>
        <v/>
      </c>
      <c r="C153">
        <f>IF(Квартиры!C151="","",Квартиры!C151)</f>
        <v/>
      </c>
      <c r="D153">
        <f>IF(Квартиры!D151="","",Квартиры!D151)</f>
        <v/>
      </c>
      <c r="E153">
        <f>IF(Квартиры!G151="","",Квартиры!G151)</f>
        <v/>
      </c>
      <c r="F153">
        <f>IF(Квартиры!E151="","",Квартиры!E151)</f>
        <v/>
      </c>
      <c r="G153">
        <f>IF(Квартиры!F151="","",Квартиры!F151)</f>
        <v/>
      </c>
      <c r="H153">
        <f>IF(Квартиры!H151="","",Квартиры!H151)</f>
        <v/>
      </c>
      <c r="I153">
        <f>IF(Квартиры!I151="","",Квартиры!I151)</f>
        <v/>
      </c>
      <c r="J153">
        <f>IF(Квартиры!J151="","",Квартиры!J151)</f>
        <v/>
      </c>
    </row>
    <row r="154">
      <c r="A154">
        <f>IF(Квартиры!A152="","",Квартиры!A152)</f>
        <v/>
      </c>
      <c r="B154">
        <f>IF(Квартиры!B152="","",Квартиры!B152)</f>
        <v/>
      </c>
      <c r="C154">
        <f>IF(Квартиры!C152="","",Квартиры!C152)</f>
        <v/>
      </c>
      <c r="D154">
        <f>IF(Квартиры!D152="","",Квартиры!D152)</f>
        <v/>
      </c>
      <c r="E154">
        <f>IF(Квартиры!G152="","",Квартиры!G152)</f>
        <v/>
      </c>
      <c r="F154">
        <f>IF(Квартиры!E152="","",Квартиры!E152)</f>
        <v/>
      </c>
      <c r="G154">
        <f>IF(Квартиры!F152="","",Квартиры!F152)</f>
        <v/>
      </c>
      <c r="H154">
        <f>IF(Квартиры!H152="","",Квартиры!H152)</f>
        <v/>
      </c>
      <c r="I154">
        <f>IF(Квартиры!I152="","",Квартиры!I152)</f>
        <v/>
      </c>
      <c r="J154">
        <f>IF(Квартиры!J152="","",Квартиры!J152)</f>
        <v/>
      </c>
    </row>
    <row r="155">
      <c r="A155">
        <f>IF(Квартиры!A153="","",Квартиры!A153)</f>
        <v/>
      </c>
      <c r="B155">
        <f>IF(Квартиры!B153="","",Квартиры!B153)</f>
        <v/>
      </c>
      <c r="C155">
        <f>IF(Квартиры!C153="","",Квартиры!C153)</f>
        <v/>
      </c>
      <c r="D155">
        <f>IF(Квартиры!D153="","",Квартиры!D153)</f>
        <v/>
      </c>
      <c r="E155">
        <f>IF(Квартиры!G153="","",Квартиры!G153)</f>
        <v/>
      </c>
      <c r="F155">
        <f>IF(Квартиры!E153="","",Квартиры!E153)</f>
        <v/>
      </c>
      <c r="G155">
        <f>IF(Квартиры!F153="","",Квартиры!F153)</f>
        <v/>
      </c>
      <c r="H155">
        <f>IF(Квартиры!H153="","",Квартиры!H153)</f>
        <v/>
      </c>
      <c r="I155">
        <f>IF(Квартиры!I153="","",Квартиры!I153)</f>
        <v/>
      </c>
      <c r="J155">
        <f>IF(Квартиры!J153="","",Квартиры!J153)</f>
        <v/>
      </c>
    </row>
    <row r="156">
      <c r="A156">
        <f>IF(Квартиры!A154="","",Квартиры!A154)</f>
        <v/>
      </c>
      <c r="B156">
        <f>IF(Квартиры!B154="","",Квартиры!B154)</f>
        <v/>
      </c>
      <c r="C156">
        <f>IF(Квартиры!C154="","",Квартиры!C154)</f>
        <v/>
      </c>
      <c r="D156">
        <f>IF(Квартиры!D154="","",Квартиры!D154)</f>
        <v/>
      </c>
      <c r="E156">
        <f>IF(Квартиры!G154="","",Квартиры!G154)</f>
        <v/>
      </c>
      <c r="F156">
        <f>IF(Квартиры!E154="","",Квартиры!E154)</f>
        <v/>
      </c>
      <c r="G156">
        <f>IF(Квартиры!F154="","",Квартиры!F154)</f>
        <v/>
      </c>
      <c r="H156">
        <f>IF(Квартиры!H154="","",Квартиры!H154)</f>
        <v/>
      </c>
      <c r="I156">
        <f>IF(Квартиры!I154="","",Квартиры!I154)</f>
        <v/>
      </c>
      <c r="J156">
        <f>IF(Квартиры!J154="","",Квартиры!J154)</f>
        <v/>
      </c>
    </row>
    <row r="157">
      <c r="A157">
        <f>IF(Квартиры!A155="","",Квартиры!A155)</f>
        <v/>
      </c>
      <c r="B157">
        <f>IF(Квартиры!B155="","",Квартиры!B155)</f>
        <v/>
      </c>
      <c r="C157">
        <f>IF(Квартиры!C155="","",Квартиры!C155)</f>
        <v/>
      </c>
      <c r="D157">
        <f>IF(Квартиры!D155="","",Квартиры!D155)</f>
        <v/>
      </c>
      <c r="E157">
        <f>IF(Квартиры!G155="","",Квартиры!G155)</f>
        <v/>
      </c>
      <c r="F157">
        <f>IF(Квартиры!E155="","",Квартиры!E155)</f>
        <v/>
      </c>
      <c r="G157">
        <f>IF(Квартиры!F155="","",Квартиры!F155)</f>
        <v/>
      </c>
      <c r="H157">
        <f>IF(Квартиры!H155="","",Квартиры!H155)</f>
        <v/>
      </c>
      <c r="I157">
        <f>IF(Квартиры!I155="","",Квартиры!I155)</f>
        <v/>
      </c>
      <c r="J157">
        <f>IF(Квартиры!J155="","",Квартиры!J155)</f>
        <v/>
      </c>
    </row>
    <row r="158">
      <c r="A158">
        <f>IF(Квартиры!A156="","",Квартиры!A156)</f>
        <v/>
      </c>
      <c r="B158">
        <f>IF(Квартиры!B156="","",Квартиры!B156)</f>
        <v/>
      </c>
      <c r="C158">
        <f>IF(Квартиры!C156="","",Квартиры!C156)</f>
        <v/>
      </c>
      <c r="D158">
        <f>IF(Квартиры!D156="","",Квартиры!D156)</f>
        <v/>
      </c>
      <c r="E158">
        <f>IF(Квартиры!G156="","",Квартиры!G156)</f>
        <v/>
      </c>
      <c r="F158">
        <f>IF(Квартиры!E156="","",Квартиры!E156)</f>
        <v/>
      </c>
      <c r="G158">
        <f>IF(Квартиры!F156="","",Квартиры!F156)</f>
        <v/>
      </c>
      <c r="H158">
        <f>IF(Квартиры!H156="","",Квартиры!H156)</f>
        <v/>
      </c>
      <c r="I158">
        <f>IF(Квартиры!I156="","",Квартиры!I156)</f>
        <v/>
      </c>
      <c r="J158">
        <f>IF(Квартиры!J156="","",Квартиры!J156)</f>
        <v/>
      </c>
    </row>
    <row r="159">
      <c r="A159">
        <f>IF(Квартиры!A157="","",Квартиры!A157)</f>
        <v/>
      </c>
      <c r="B159">
        <f>IF(Квартиры!B157="","",Квартиры!B157)</f>
        <v/>
      </c>
      <c r="C159">
        <f>IF(Квартиры!C157="","",Квартиры!C157)</f>
        <v/>
      </c>
      <c r="D159">
        <f>IF(Квартиры!D157="","",Квартиры!D157)</f>
        <v/>
      </c>
      <c r="E159">
        <f>IF(Квартиры!G157="","",Квартиры!G157)</f>
        <v/>
      </c>
      <c r="F159">
        <f>IF(Квартиры!E157="","",Квартиры!E157)</f>
        <v/>
      </c>
      <c r="G159">
        <f>IF(Квартиры!F157="","",Квартиры!F157)</f>
        <v/>
      </c>
      <c r="H159">
        <f>IF(Квартиры!H157="","",Квартиры!H157)</f>
        <v/>
      </c>
      <c r="I159">
        <f>IF(Квартиры!I157="","",Квартиры!I157)</f>
        <v/>
      </c>
      <c r="J159">
        <f>IF(Квартиры!J157="","",Квартиры!J157)</f>
        <v/>
      </c>
    </row>
    <row r="160">
      <c r="A160">
        <f>IF(Квартиры!A158="","",Квартиры!A158)</f>
        <v/>
      </c>
      <c r="B160">
        <f>IF(Квартиры!B158="","",Квартиры!B158)</f>
        <v/>
      </c>
      <c r="C160">
        <f>IF(Квартиры!C158="","",Квартиры!C158)</f>
        <v/>
      </c>
      <c r="D160">
        <f>IF(Квартиры!D158="","",Квартиры!D158)</f>
        <v/>
      </c>
      <c r="E160">
        <f>IF(Квартиры!G158="","",Квартиры!G158)</f>
        <v/>
      </c>
      <c r="F160">
        <f>IF(Квартиры!E158="","",Квартиры!E158)</f>
        <v/>
      </c>
      <c r="G160">
        <f>IF(Квартиры!F158="","",Квартиры!F158)</f>
        <v/>
      </c>
      <c r="H160">
        <f>IF(Квартиры!H158="","",Квартиры!H158)</f>
        <v/>
      </c>
      <c r="I160">
        <f>IF(Квартиры!I158="","",Квартиры!I158)</f>
        <v/>
      </c>
      <c r="J160">
        <f>IF(Квартиры!J158="","",Квартиры!J158)</f>
        <v/>
      </c>
    </row>
    <row r="161">
      <c r="A161">
        <f>IF(Квартиры!A159="","",Квартиры!A159)</f>
        <v/>
      </c>
      <c r="B161">
        <f>IF(Квартиры!B159="","",Квартиры!B159)</f>
        <v/>
      </c>
      <c r="C161">
        <f>IF(Квартиры!C159="","",Квартиры!C159)</f>
        <v/>
      </c>
      <c r="D161">
        <f>IF(Квартиры!D159="","",Квартиры!D159)</f>
        <v/>
      </c>
      <c r="E161">
        <f>IF(Квартиры!G159="","",Квартиры!G159)</f>
        <v/>
      </c>
      <c r="F161">
        <f>IF(Квартиры!E159="","",Квартиры!E159)</f>
        <v/>
      </c>
      <c r="G161">
        <f>IF(Квартиры!F159="","",Квартиры!F159)</f>
        <v/>
      </c>
      <c r="H161">
        <f>IF(Квартиры!H159="","",Квартиры!H159)</f>
        <v/>
      </c>
      <c r="I161">
        <f>IF(Квартиры!I159="","",Квартиры!I159)</f>
        <v/>
      </c>
      <c r="J161">
        <f>IF(Квартиры!J159="","",Квартиры!J159)</f>
        <v/>
      </c>
    </row>
    <row r="162">
      <c r="A162">
        <f>IF(Квартиры!A160="","",Квартиры!A160)</f>
        <v/>
      </c>
      <c r="B162">
        <f>IF(Квартиры!B160="","",Квартиры!B160)</f>
        <v/>
      </c>
      <c r="C162">
        <f>IF(Квартиры!C160="","",Квартиры!C160)</f>
        <v/>
      </c>
      <c r="D162">
        <f>IF(Квартиры!D160="","",Квартиры!D160)</f>
        <v/>
      </c>
      <c r="E162">
        <f>IF(Квартиры!G160="","",Квартиры!G160)</f>
        <v/>
      </c>
      <c r="F162">
        <f>IF(Квартиры!E160="","",Квартиры!E160)</f>
        <v/>
      </c>
      <c r="G162">
        <f>IF(Квартиры!F160="","",Квартиры!F160)</f>
        <v/>
      </c>
      <c r="H162">
        <f>IF(Квартиры!H160="","",Квартиры!H160)</f>
        <v/>
      </c>
      <c r="I162">
        <f>IF(Квартиры!I160="","",Квартиры!I160)</f>
        <v/>
      </c>
      <c r="J162">
        <f>IF(Квартиры!J160="","",Квартиры!J160)</f>
        <v/>
      </c>
    </row>
    <row r="163">
      <c r="A163">
        <f>IF(Квартиры!A161="","",Квартиры!A161)</f>
        <v/>
      </c>
      <c r="B163">
        <f>IF(Квартиры!B161="","",Квартиры!B161)</f>
        <v/>
      </c>
      <c r="C163">
        <f>IF(Квартиры!C161="","",Квартиры!C161)</f>
        <v/>
      </c>
      <c r="D163">
        <f>IF(Квартиры!D161="","",Квартиры!D161)</f>
        <v/>
      </c>
      <c r="E163">
        <f>IF(Квартиры!G161="","",Квартиры!G161)</f>
        <v/>
      </c>
      <c r="F163">
        <f>IF(Квартиры!E161="","",Квартиры!E161)</f>
        <v/>
      </c>
      <c r="G163">
        <f>IF(Квартиры!F161="","",Квартиры!F161)</f>
        <v/>
      </c>
      <c r="H163">
        <f>IF(Квартиры!H161="","",Квартиры!H161)</f>
        <v/>
      </c>
      <c r="I163">
        <f>IF(Квартиры!I161="","",Квартиры!I161)</f>
        <v/>
      </c>
      <c r="J163">
        <f>IF(Квартиры!J161="","",Квартиры!J161)</f>
        <v/>
      </c>
    </row>
    <row r="164">
      <c r="A164">
        <f>IF(Квартиры!A162="","",Квартиры!A162)</f>
        <v/>
      </c>
      <c r="B164">
        <f>IF(Квартиры!B162="","",Квартиры!B162)</f>
        <v/>
      </c>
      <c r="C164">
        <f>IF(Квартиры!C162="","",Квартиры!C162)</f>
        <v/>
      </c>
      <c r="D164">
        <f>IF(Квартиры!D162="","",Квартиры!D162)</f>
        <v/>
      </c>
      <c r="E164">
        <f>IF(Квартиры!G162="","",Квартиры!G162)</f>
        <v/>
      </c>
      <c r="F164">
        <f>IF(Квартиры!E162="","",Квартиры!E162)</f>
        <v/>
      </c>
      <c r="G164">
        <f>IF(Квартиры!F162="","",Квартиры!F162)</f>
        <v/>
      </c>
      <c r="H164">
        <f>IF(Квартиры!H162="","",Квартиры!H162)</f>
        <v/>
      </c>
      <c r="I164">
        <f>IF(Квартиры!I162="","",Квартиры!I162)</f>
        <v/>
      </c>
      <c r="J164">
        <f>IF(Квартиры!J162="","",Квартиры!J162)</f>
        <v/>
      </c>
    </row>
    <row r="165">
      <c r="A165">
        <f>IF(Квартиры!A163="","",Квартиры!A163)</f>
        <v/>
      </c>
      <c r="B165">
        <f>IF(Квартиры!B163="","",Квартиры!B163)</f>
        <v/>
      </c>
      <c r="C165">
        <f>IF(Квартиры!C163="","",Квартиры!C163)</f>
        <v/>
      </c>
      <c r="D165">
        <f>IF(Квартиры!D163="","",Квартиры!D163)</f>
        <v/>
      </c>
      <c r="E165">
        <f>IF(Квартиры!G163="","",Квартиры!G163)</f>
        <v/>
      </c>
      <c r="F165">
        <f>IF(Квартиры!E163="","",Квартиры!E163)</f>
        <v/>
      </c>
      <c r="G165">
        <f>IF(Квартиры!F163="","",Квартиры!F163)</f>
        <v/>
      </c>
      <c r="H165">
        <f>IF(Квартиры!H163="","",Квартиры!H163)</f>
        <v/>
      </c>
      <c r="I165">
        <f>IF(Квартиры!I163="","",Квартиры!I163)</f>
        <v/>
      </c>
      <c r="J165">
        <f>IF(Квартиры!J163="","",Квартиры!J163)</f>
        <v/>
      </c>
    </row>
    <row r="166">
      <c r="A166">
        <f>IF(Квартиры!A164="","",Квартиры!A164)</f>
        <v/>
      </c>
      <c r="B166">
        <f>IF(Квартиры!B164="","",Квартиры!B164)</f>
        <v/>
      </c>
      <c r="C166">
        <f>IF(Квартиры!C164="","",Квартиры!C164)</f>
        <v/>
      </c>
      <c r="D166">
        <f>IF(Квартиры!D164="","",Квартиры!D164)</f>
        <v/>
      </c>
      <c r="E166">
        <f>IF(Квартиры!G164="","",Квартиры!G164)</f>
        <v/>
      </c>
      <c r="F166">
        <f>IF(Квартиры!E164="","",Квартиры!E164)</f>
        <v/>
      </c>
      <c r="G166">
        <f>IF(Квартиры!F164="","",Квартиры!F164)</f>
        <v/>
      </c>
      <c r="H166">
        <f>IF(Квартиры!H164="","",Квартиры!H164)</f>
        <v/>
      </c>
      <c r="I166">
        <f>IF(Квартиры!I164="","",Квартиры!I164)</f>
        <v/>
      </c>
      <c r="J166">
        <f>IF(Квартиры!J164="","",Квартиры!J164)</f>
        <v/>
      </c>
    </row>
    <row r="167">
      <c r="A167">
        <f>IF(Квартиры!A165="","",Квартиры!A165)</f>
        <v/>
      </c>
      <c r="B167">
        <f>IF(Квартиры!B165="","",Квартиры!B165)</f>
        <v/>
      </c>
      <c r="C167">
        <f>IF(Квартиры!C165="","",Квартиры!C165)</f>
        <v/>
      </c>
      <c r="D167">
        <f>IF(Квартиры!D165="","",Квартиры!D165)</f>
        <v/>
      </c>
      <c r="E167">
        <f>IF(Квартиры!G165="","",Квартиры!G165)</f>
        <v/>
      </c>
      <c r="F167">
        <f>IF(Квартиры!E165="","",Квартиры!E165)</f>
        <v/>
      </c>
      <c r="G167">
        <f>IF(Квартиры!F165="","",Квартиры!F165)</f>
        <v/>
      </c>
      <c r="H167">
        <f>IF(Квартиры!H165="","",Квартиры!H165)</f>
        <v/>
      </c>
      <c r="I167">
        <f>IF(Квартиры!I165="","",Квартиры!I165)</f>
        <v/>
      </c>
      <c r="J167">
        <f>IF(Квартиры!J165="","",Квартиры!J165)</f>
        <v/>
      </c>
    </row>
    <row r="168">
      <c r="A168">
        <f>IF(Квартиры!A166="","",Квартиры!A166)</f>
        <v/>
      </c>
      <c r="B168">
        <f>IF(Квартиры!B166="","",Квартиры!B166)</f>
        <v/>
      </c>
      <c r="C168">
        <f>IF(Квартиры!C166="","",Квартиры!C166)</f>
        <v/>
      </c>
      <c r="D168">
        <f>IF(Квартиры!D166="","",Квартиры!D166)</f>
        <v/>
      </c>
      <c r="E168">
        <f>IF(Квартиры!G166="","",Квартиры!G166)</f>
        <v/>
      </c>
      <c r="F168">
        <f>IF(Квартиры!E166="","",Квартиры!E166)</f>
        <v/>
      </c>
      <c r="G168">
        <f>IF(Квартиры!F166="","",Квартиры!F166)</f>
        <v/>
      </c>
      <c r="H168">
        <f>IF(Квартиры!H166="","",Квартиры!H166)</f>
        <v/>
      </c>
      <c r="I168">
        <f>IF(Квартиры!I166="","",Квартиры!I166)</f>
        <v/>
      </c>
      <c r="J168">
        <f>IF(Квартиры!J166="","",Квартиры!J166)</f>
        <v/>
      </c>
    </row>
    <row r="169">
      <c r="A169">
        <f>IF(Квартиры!A167="","",Квартиры!A167)</f>
        <v/>
      </c>
      <c r="B169">
        <f>IF(Квартиры!B167="","",Квартиры!B167)</f>
        <v/>
      </c>
      <c r="C169">
        <f>IF(Квартиры!C167="","",Квартиры!C167)</f>
        <v/>
      </c>
      <c r="D169">
        <f>IF(Квартиры!D167="","",Квартиры!D167)</f>
        <v/>
      </c>
      <c r="E169">
        <f>IF(Квартиры!G167="","",Квартиры!G167)</f>
        <v/>
      </c>
      <c r="F169">
        <f>IF(Квартиры!E167="","",Квартиры!E167)</f>
        <v/>
      </c>
      <c r="G169">
        <f>IF(Квартиры!F167="","",Квартиры!F167)</f>
        <v/>
      </c>
      <c r="H169">
        <f>IF(Квартиры!H167="","",Квартиры!H167)</f>
        <v/>
      </c>
      <c r="I169">
        <f>IF(Квартиры!I167="","",Квартиры!I167)</f>
        <v/>
      </c>
      <c r="J169">
        <f>IF(Квартиры!J167="","",Квартиры!J167)</f>
        <v/>
      </c>
    </row>
    <row r="170">
      <c r="A170">
        <f>IF(Квартиры!A168="","",Квартиры!A168)</f>
        <v/>
      </c>
      <c r="B170">
        <f>IF(Квартиры!B168="","",Квартиры!B168)</f>
        <v/>
      </c>
      <c r="C170">
        <f>IF(Квартиры!C168="","",Квартиры!C168)</f>
        <v/>
      </c>
      <c r="D170">
        <f>IF(Квартиры!D168="","",Квартиры!D168)</f>
        <v/>
      </c>
      <c r="E170">
        <f>IF(Квартиры!G168="","",Квартиры!G168)</f>
        <v/>
      </c>
      <c r="F170">
        <f>IF(Квартиры!E168="","",Квартиры!E168)</f>
        <v/>
      </c>
      <c r="G170">
        <f>IF(Квартиры!F168="","",Квартиры!F168)</f>
        <v/>
      </c>
      <c r="H170">
        <f>IF(Квартиры!H168="","",Квартиры!H168)</f>
        <v/>
      </c>
      <c r="I170">
        <f>IF(Квартиры!I168="","",Квартиры!I168)</f>
        <v/>
      </c>
      <c r="J170">
        <f>IF(Квартиры!J168="","",Квартиры!J168)</f>
        <v/>
      </c>
    </row>
    <row r="171">
      <c r="A171">
        <f>IF(Квартиры!A169="","",Квартиры!A169)</f>
        <v/>
      </c>
      <c r="B171">
        <f>IF(Квартиры!B169="","",Квартиры!B169)</f>
        <v/>
      </c>
      <c r="C171">
        <f>IF(Квартиры!C169="","",Квартиры!C169)</f>
        <v/>
      </c>
      <c r="D171">
        <f>IF(Квартиры!D169="","",Квартиры!D169)</f>
        <v/>
      </c>
      <c r="E171">
        <f>IF(Квартиры!G169="","",Квартиры!G169)</f>
        <v/>
      </c>
      <c r="F171">
        <f>IF(Квартиры!E169="","",Квартиры!E169)</f>
        <v/>
      </c>
      <c r="G171">
        <f>IF(Квартиры!F169="","",Квартиры!F169)</f>
        <v/>
      </c>
      <c r="H171">
        <f>IF(Квартиры!H169="","",Квартиры!H169)</f>
        <v/>
      </c>
      <c r="I171">
        <f>IF(Квартиры!I169="","",Квартиры!I169)</f>
        <v/>
      </c>
      <c r="J171">
        <f>IF(Квартиры!J169="","",Квартиры!J169)</f>
        <v/>
      </c>
    </row>
    <row r="172">
      <c r="A172">
        <f>IF(Квартиры!A170="","",Квартиры!A170)</f>
        <v/>
      </c>
      <c r="B172">
        <f>IF(Квартиры!B170="","",Квартиры!B170)</f>
        <v/>
      </c>
      <c r="C172">
        <f>IF(Квартиры!C170="","",Квартиры!C170)</f>
        <v/>
      </c>
      <c r="D172">
        <f>IF(Квартиры!D170="","",Квартиры!D170)</f>
        <v/>
      </c>
      <c r="E172">
        <f>IF(Квартиры!G170="","",Квартиры!G170)</f>
        <v/>
      </c>
      <c r="F172">
        <f>IF(Квартиры!E170="","",Квартиры!E170)</f>
        <v/>
      </c>
      <c r="G172">
        <f>IF(Квартиры!F170="","",Квартиры!F170)</f>
        <v/>
      </c>
      <c r="H172">
        <f>IF(Квартиры!H170="","",Квартиры!H170)</f>
        <v/>
      </c>
      <c r="I172">
        <f>IF(Квартиры!I170="","",Квартиры!I170)</f>
        <v/>
      </c>
      <c r="J172">
        <f>IF(Квартиры!J170="","",Квартиры!J170)</f>
        <v/>
      </c>
    </row>
    <row r="173">
      <c r="A173">
        <f>IF(Квартиры!A171="","",Квартиры!A171)</f>
        <v/>
      </c>
      <c r="B173">
        <f>IF(Квартиры!B171="","",Квартиры!B171)</f>
        <v/>
      </c>
      <c r="C173">
        <f>IF(Квартиры!C171="","",Квартиры!C171)</f>
        <v/>
      </c>
      <c r="D173">
        <f>IF(Квартиры!D171="","",Квартиры!D171)</f>
        <v/>
      </c>
      <c r="E173">
        <f>IF(Квартиры!G171="","",Квартиры!G171)</f>
        <v/>
      </c>
      <c r="F173">
        <f>IF(Квартиры!E171="","",Квартиры!E171)</f>
        <v/>
      </c>
      <c r="G173">
        <f>IF(Квартиры!F171="","",Квартиры!F171)</f>
        <v/>
      </c>
      <c r="H173">
        <f>IF(Квартиры!H171="","",Квартиры!H171)</f>
        <v/>
      </c>
      <c r="I173">
        <f>IF(Квартиры!I171="","",Квартиры!I171)</f>
        <v/>
      </c>
      <c r="J173">
        <f>IF(Квартиры!J171="","",Квартиры!J171)</f>
        <v/>
      </c>
    </row>
    <row r="174">
      <c r="A174">
        <f>IF(Квартиры!A172="","",Квартиры!A172)</f>
        <v/>
      </c>
      <c r="B174">
        <f>IF(Квартиры!B172="","",Квартиры!B172)</f>
        <v/>
      </c>
      <c r="C174">
        <f>IF(Квартиры!C172="","",Квартиры!C172)</f>
        <v/>
      </c>
      <c r="D174">
        <f>IF(Квартиры!D172="","",Квартиры!D172)</f>
        <v/>
      </c>
      <c r="E174">
        <f>IF(Квартиры!G172="","",Квартиры!G172)</f>
        <v/>
      </c>
      <c r="F174">
        <f>IF(Квартиры!E172="","",Квартиры!E172)</f>
        <v/>
      </c>
      <c r="G174">
        <f>IF(Квартиры!F172="","",Квартиры!F172)</f>
        <v/>
      </c>
      <c r="H174">
        <f>IF(Квартиры!H172="","",Квартиры!H172)</f>
        <v/>
      </c>
      <c r="I174">
        <f>IF(Квартиры!I172="","",Квартиры!I172)</f>
        <v/>
      </c>
      <c r="J174">
        <f>IF(Квартиры!J172="","",Квартиры!J172)</f>
        <v/>
      </c>
    </row>
    <row r="175">
      <c r="A175">
        <f>IF(Квартиры!A173="","",Квартиры!A173)</f>
        <v/>
      </c>
      <c r="B175">
        <f>IF(Квартиры!B173="","",Квартиры!B173)</f>
        <v/>
      </c>
      <c r="C175">
        <f>IF(Квартиры!C173="","",Квартиры!C173)</f>
        <v/>
      </c>
      <c r="D175">
        <f>IF(Квартиры!D173="","",Квартиры!D173)</f>
        <v/>
      </c>
      <c r="E175">
        <f>IF(Квартиры!G173="","",Квартиры!G173)</f>
        <v/>
      </c>
      <c r="F175">
        <f>IF(Квартиры!E173="","",Квартиры!E173)</f>
        <v/>
      </c>
      <c r="G175">
        <f>IF(Квартиры!F173="","",Квартиры!F173)</f>
        <v/>
      </c>
      <c r="H175">
        <f>IF(Квартиры!H173="","",Квартиры!H173)</f>
        <v/>
      </c>
      <c r="I175">
        <f>IF(Квартиры!I173="","",Квартиры!I173)</f>
        <v/>
      </c>
      <c r="J175">
        <f>IF(Квартиры!J173="","",Квартиры!J173)</f>
        <v/>
      </c>
    </row>
    <row r="176">
      <c r="A176">
        <f>IF(Квартиры!A174="","",Квартиры!A174)</f>
        <v/>
      </c>
      <c r="B176">
        <f>IF(Квартиры!B174="","",Квартиры!B174)</f>
        <v/>
      </c>
      <c r="C176">
        <f>IF(Квартиры!C174="","",Квартиры!C174)</f>
        <v/>
      </c>
      <c r="D176">
        <f>IF(Квартиры!D174="","",Квартиры!D174)</f>
        <v/>
      </c>
      <c r="E176">
        <f>IF(Квартиры!G174="","",Квартиры!G174)</f>
        <v/>
      </c>
      <c r="F176">
        <f>IF(Квартиры!E174="","",Квартиры!E174)</f>
        <v/>
      </c>
      <c r="G176">
        <f>IF(Квартиры!F174="","",Квартиры!F174)</f>
        <v/>
      </c>
      <c r="H176">
        <f>IF(Квартиры!H174="","",Квартиры!H174)</f>
        <v/>
      </c>
      <c r="I176">
        <f>IF(Квартиры!I174="","",Квартиры!I174)</f>
        <v/>
      </c>
      <c r="J176">
        <f>IF(Квартиры!J174="","",Квартиры!J174)</f>
        <v/>
      </c>
    </row>
    <row r="177">
      <c r="A177">
        <f>IF(Квартиры!A175="","",Квартиры!A175)</f>
        <v/>
      </c>
      <c r="B177">
        <f>IF(Квартиры!B175="","",Квартиры!B175)</f>
        <v/>
      </c>
      <c r="C177">
        <f>IF(Квартиры!C175="","",Квартиры!C175)</f>
        <v/>
      </c>
      <c r="D177">
        <f>IF(Квартиры!D175="","",Квартиры!D175)</f>
        <v/>
      </c>
      <c r="E177">
        <f>IF(Квартиры!G175="","",Квартиры!G175)</f>
        <v/>
      </c>
      <c r="F177">
        <f>IF(Квартиры!E175="","",Квартиры!E175)</f>
        <v/>
      </c>
      <c r="G177">
        <f>IF(Квартиры!F175="","",Квартиры!F175)</f>
        <v/>
      </c>
      <c r="H177">
        <f>IF(Квартиры!H175="","",Квартиры!H175)</f>
        <v/>
      </c>
      <c r="I177">
        <f>IF(Квартиры!I175="","",Квартиры!I175)</f>
        <v/>
      </c>
      <c r="J177">
        <f>IF(Квартиры!J175="","",Квартиры!J175)</f>
        <v/>
      </c>
    </row>
    <row r="178">
      <c r="A178">
        <f>IF(Квартиры!A176="","",Квартиры!A176)</f>
        <v/>
      </c>
      <c r="B178">
        <f>IF(Квартиры!B176="","",Квартиры!B176)</f>
        <v/>
      </c>
      <c r="C178">
        <f>IF(Квартиры!C176="","",Квартиры!C176)</f>
        <v/>
      </c>
      <c r="D178">
        <f>IF(Квартиры!D176="","",Квартиры!D176)</f>
        <v/>
      </c>
      <c r="E178">
        <f>IF(Квартиры!G176="","",Квартиры!G176)</f>
        <v/>
      </c>
      <c r="F178">
        <f>IF(Квартиры!E176="","",Квартиры!E176)</f>
        <v/>
      </c>
      <c r="G178">
        <f>IF(Квартиры!F176="","",Квартиры!F176)</f>
        <v/>
      </c>
      <c r="H178">
        <f>IF(Квартиры!H176="","",Квартиры!H176)</f>
        <v/>
      </c>
      <c r="I178">
        <f>IF(Квартиры!I176="","",Квартиры!I176)</f>
        <v/>
      </c>
      <c r="J178">
        <f>IF(Квартиры!J176="","",Квартиры!J176)</f>
        <v/>
      </c>
    </row>
    <row r="179">
      <c r="A179">
        <f>IF(Квартиры!A177="","",Квартиры!A177)</f>
        <v/>
      </c>
      <c r="B179">
        <f>IF(Квартиры!B177="","",Квартиры!B177)</f>
        <v/>
      </c>
      <c r="C179">
        <f>IF(Квартиры!C177="","",Квартиры!C177)</f>
        <v/>
      </c>
      <c r="D179">
        <f>IF(Квартиры!D177="","",Квартиры!D177)</f>
        <v/>
      </c>
      <c r="E179">
        <f>IF(Квартиры!G177="","",Квартиры!G177)</f>
        <v/>
      </c>
      <c r="F179">
        <f>IF(Квартиры!E177="","",Квартиры!E177)</f>
        <v/>
      </c>
      <c r="G179">
        <f>IF(Квартиры!F177="","",Квартиры!F177)</f>
        <v/>
      </c>
      <c r="H179">
        <f>IF(Квартиры!H177="","",Квартиры!H177)</f>
        <v/>
      </c>
      <c r="I179">
        <f>IF(Квартиры!I177="","",Квартиры!I177)</f>
        <v/>
      </c>
      <c r="J179">
        <f>IF(Квартиры!J177="","",Квартиры!J177)</f>
        <v/>
      </c>
    </row>
    <row r="180">
      <c r="A180">
        <f>IF(Квартиры!A178="","",Квартиры!A178)</f>
        <v/>
      </c>
      <c r="B180">
        <f>IF(Квартиры!B178="","",Квартиры!B178)</f>
        <v/>
      </c>
      <c r="C180">
        <f>IF(Квартиры!C178="","",Квартиры!C178)</f>
        <v/>
      </c>
      <c r="D180">
        <f>IF(Квартиры!D178="","",Квартиры!D178)</f>
        <v/>
      </c>
      <c r="E180">
        <f>IF(Квартиры!G178="","",Квартиры!G178)</f>
        <v/>
      </c>
      <c r="F180">
        <f>IF(Квартиры!E178="","",Квартиры!E178)</f>
        <v/>
      </c>
      <c r="G180">
        <f>IF(Квартиры!F178="","",Квартиры!F178)</f>
        <v/>
      </c>
      <c r="H180">
        <f>IF(Квартиры!H178="","",Квартиры!H178)</f>
        <v/>
      </c>
      <c r="I180">
        <f>IF(Квартиры!I178="","",Квартиры!I178)</f>
        <v/>
      </c>
      <c r="J180">
        <f>IF(Квартиры!J178="","",Квартиры!J178)</f>
        <v/>
      </c>
    </row>
    <row r="181">
      <c r="A181">
        <f>IF(Квартиры!A179="","",Квартиры!A179)</f>
        <v/>
      </c>
      <c r="B181">
        <f>IF(Квартиры!B179="","",Квартиры!B179)</f>
        <v/>
      </c>
      <c r="C181">
        <f>IF(Квартиры!C179="","",Квартиры!C179)</f>
        <v/>
      </c>
      <c r="D181">
        <f>IF(Квартиры!D179="","",Квартиры!D179)</f>
        <v/>
      </c>
      <c r="E181">
        <f>IF(Квартиры!G179="","",Квартиры!G179)</f>
        <v/>
      </c>
      <c r="F181">
        <f>IF(Квартиры!E179="","",Квартиры!E179)</f>
        <v/>
      </c>
      <c r="G181">
        <f>IF(Квартиры!F179="","",Квартиры!F179)</f>
        <v/>
      </c>
      <c r="H181">
        <f>IF(Квартиры!H179="","",Квартиры!H179)</f>
        <v/>
      </c>
      <c r="I181">
        <f>IF(Квартиры!I179="","",Квартиры!I179)</f>
        <v/>
      </c>
      <c r="J181">
        <f>IF(Квартиры!J179="","",Квартиры!J179)</f>
        <v/>
      </c>
    </row>
    <row r="182">
      <c r="A182">
        <f>IF(Квартиры!A180="","",Квартиры!A180)</f>
        <v/>
      </c>
      <c r="B182">
        <f>IF(Квартиры!B180="","",Квартиры!B180)</f>
        <v/>
      </c>
      <c r="C182">
        <f>IF(Квартиры!C180="","",Квартиры!C180)</f>
        <v/>
      </c>
      <c r="D182">
        <f>IF(Квартиры!D180="","",Квартиры!D180)</f>
        <v/>
      </c>
      <c r="E182">
        <f>IF(Квартиры!G180="","",Квартиры!G180)</f>
        <v/>
      </c>
      <c r="F182">
        <f>IF(Квартиры!E180="","",Квартиры!E180)</f>
        <v/>
      </c>
      <c r="G182">
        <f>IF(Квартиры!F180="","",Квартиры!F180)</f>
        <v/>
      </c>
      <c r="H182">
        <f>IF(Квартиры!H180="","",Квартиры!H180)</f>
        <v/>
      </c>
      <c r="I182">
        <f>IF(Квартиры!I180="","",Квартиры!I180)</f>
        <v/>
      </c>
      <c r="J182">
        <f>IF(Квартиры!J180="","",Квартиры!J180)</f>
        <v/>
      </c>
    </row>
    <row r="183">
      <c r="A183">
        <f>IF(Квартиры!A181="","",Квартиры!A181)</f>
        <v/>
      </c>
      <c r="B183">
        <f>IF(Квартиры!B181="","",Квартиры!B181)</f>
        <v/>
      </c>
      <c r="C183">
        <f>IF(Квартиры!C181="","",Квартиры!C181)</f>
        <v/>
      </c>
      <c r="D183">
        <f>IF(Квартиры!D181="","",Квартиры!D181)</f>
        <v/>
      </c>
      <c r="E183">
        <f>IF(Квартиры!G181="","",Квартиры!G181)</f>
        <v/>
      </c>
      <c r="F183">
        <f>IF(Квартиры!E181="","",Квартиры!E181)</f>
        <v/>
      </c>
      <c r="G183">
        <f>IF(Квартиры!F181="","",Квартиры!F181)</f>
        <v/>
      </c>
      <c r="H183">
        <f>IF(Квартиры!H181="","",Квартиры!H181)</f>
        <v/>
      </c>
      <c r="I183">
        <f>IF(Квартиры!I181="","",Квартиры!I181)</f>
        <v/>
      </c>
      <c r="J183">
        <f>IF(Квартиры!J181="","",Квартиры!J181)</f>
        <v/>
      </c>
    </row>
    <row r="184">
      <c r="A184">
        <f>IF(Квартиры!A182="","",Квартиры!A182)</f>
        <v/>
      </c>
      <c r="B184">
        <f>IF(Квартиры!B182="","",Квартиры!B182)</f>
        <v/>
      </c>
      <c r="C184">
        <f>IF(Квартиры!C182="","",Квартиры!C182)</f>
        <v/>
      </c>
      <c r="D184">
        <f>IF(Квартиры!D182="","",Квартиры!D182)</f>
        <v/>
      </c>
      <c r="E184">
        <f>IF(Квартиры!G182="","",Квартиры!G182)</f>
        <v/>
      </c>
      <c r="F184">
        <f>IF(Квартиры!E182="","",Квартиры!E182)</f>
        <v/>
      </c>
      <c r="G184">
        <f>IF(Квартиры!F182="","",Квартиры!F182)</f>
        <v/>
      </c>
      <c r="H184">
        <f>IF(Квартиры!H182="","",Квартиры!H182)</f>
        <v/>
      </c>
      <c r="I184">
        <f>IF(Квартиры!I182="","",Квартиры!I182)</f>
        <v/>
      </c>
      <c r="J184">
        <f>IF(Квартиры!J182="","",Квартиры!J182)</f>
        <v/>
      </c>
    </row>
    <row r="185">
      <c r="A185">
        <f>IF(Квартиры!A183="","",Квартиры!A183)</f>
        <v/>
      </c>
      <c r="B185">
        <f>IF(Квартиры!B183="","",Квартиры!B183)</f>
        <v/>
      </c>
      <c r="C185">
        <f>IF(Квартиры!C183="","",Квартиры!C183)</f>
        <v/>
      </c>
      <c r="D185">
        <f>IF(Квартиры!D183="","",Квартиры!D183)</f>
        <v/>
      </c>
      <c r="E185">
        <f>IF(Квартиры!G183="","",Квартиры!G183)</f>
        <v/>
      </c>
      <c r="F185">
        <f>IF(Квартиры!E183="","",Квартиры!E183)</f>
        <v/>
      </c>
      <c r="G185">
        <f>IF(Квартиры!F183="","",Квартиры!F183)</f>
        <v/>
      </c>
      <c r="H185">
        <f>IF(Квартиры!H183="","",Квартиры!H183)</f>
        <v/>
      </c>
      <c r="I185">
        <f>IF(Квартиры!I183="","",Квартиры!I183)</f>
        <v/>
      </c>
      <c r="J185">
        <f>IF(Квартиры!J183="","",Квартиры!J183)</f>
        <v/>
      </c>
    </row>
    <row r="186">
      <c r="A186">
        <f>IF(Квартиры!A184="","",Квартиры!A184)</f>
        <v/>
      </c>
      <c r="B186">
        <f>IF(Квартиры!B184="","",Квартиры!B184)</f>
        <v/>
      </c>
      <c r="C186">
        <f>IF(Квартиры!C184="","",Квартиры!C184)</f>
        <v/>
      </c>
      <c r="D186">
        <f>IF(Квартиры!D184="","",Квартиры!D184)</f>
        <v/>
      </c>
      <c r="E186">
        <f>IF(Квартиры!G184="","",Квартиры!G184)</f>
        <v/>
      </c>
      <c r="F186">
        <f>IF(Квартиры!E184="","",Квартиры!E184)</f>
        <v/>
      </c>
      <c r="G186">
        <f>IF(Квартиры!F184="","",Квартиры!F184)</f>
        <v/>
      </c>
      <c r="H186">
        <f>IF(Квартиры!H184="","",Квартиры!H184)</f>
        <v/>
      </c>
      <c r="I186">
        <f>IF(Квартиры!I184="","",Квартиры!I184)</f>
        <v/>
      </c>
      <c r="J186">
        <f>IF(Квартиры!J184="","",Квартиры!J184)</f>
        <v/>
      </c>
    </row>
    <row r="187">
      <c r="A187">
        <f>IF(Квартиры!A185="","",Квартиры!A185)</f>
        <v/>
      </c>
      <c r="B187">
        <f>IF(Квартиры!B185="","",Квартиры!B185)</f>
        <v/>
      </c>
      <c r="C187">
        <f>IF(Квартиры!C185="","",Квартиры!C185)</f>
        <v/>
      </c>
      <c r="D187">
        <f>IF(Квартиры!D185="","",Квартиры!D185)</f>
        <v/>
      </c>
      <c r="E187">
        <f>IF(Квартиры!G185="","",Квартиры!G185)</f>
        <v/>
      </c>
      <c r="F187">
        <f>IF(Квартиры!E185="","",Квартиры!E185)</f>
        <v/>
      </c>
      <c r="G187">
        <f>IF(Квартиры!F185="","",Квартиры!F185)</f>
        <v/>
      </c>
      <c r="H187">
        <f>IF(Квартиры!H185="","",Квартиры!H185)</f>
        <v/>
      </c>
      <c r="I187">
        <f>IF(Квартиры!I185="","",Квартиры!I185)</f>
        <v/>
      </c>
      <c r="J187">
        <f>IF(Квартиры!J185="","",Квартиры!J185)</f>
        <v/>
      </c>
    </row>
    <row r="188">
      <c r="A188">
        <f>IF(Квартиры!A186="","",Квартиры!A186)</f>
        <v/>
      </c>
      <c r="B188">
        <f>IF(Квартиры!B186="","",Квартиры!B186)</f>
        <v/>
      </c>
      <c r="C188">
        <f>IF(Квартиры!C186="","",Квартиры!C186)</f>
        <v/>
      </c>
      <c r="D188">
        <f>IF(Квартиры!D186="","",Квартиры!D186)</f>
        <v/>
      </c>
      <c r="E188">
        <f>IF(Квартиры!G186="","",Квартиры!G186)</f>
        <v/>
      </c>
      <c r="F188">
        <f>IF(Квартиры!E186="","",Квартиры!E186)</f>
        <v/>
      </c>
      <c r="G188">
        <f>IF(Квартиры!F186="","",Квартиры!F186)</f>
        <v/>
      </c>
      <c r="H188">
        <f>IF(Квартиры!H186="","",Квартиры!H186)</f>
        <v/>
      </c>
      <c r="I188">
        <f>IF(Квартиры!I186="","",Квартиры!I186)</f>
        <v/>
      </c>
      <c r="J188">
        <f>IF(Квартиры!J186="","",Квартиры!J186)</f>
        <v/>
      </c>
    </row>
    <row r="189">
      <c r="A189">
        <f>IF(Квартиры!A187="","",Квартиры!A187)</f>
        <v/>
      </c>
      <c r="B189">
        <f>IF(Квартиры!B187="","",Квартиры!B187)</f>
        <v/>
      </c>
      <c r="C189">
        <f>IF(Квартиры!C187="","",Квартиры!C187)</f>
        <v/>
      </c>
      <c r="D189">
        <f>IF(Квартиры!D187="","",Квартиры!D187)</f>
        <v/>
      </c>
      <c r="E189">
        <f>IF(Квартиры!G187="","",Квартиры!G187)</f>
        <v/>
      </c>
      <c r="F189">
        <f>IF(Квартиры!E187="","",Квартиры!E187)</f>
        <v/>
      </c>
      <c r="G189">
        <f>IF(Квартиры!F187="","",Квартиры!F187)</f>
        <v/>
      </c>
      <c r="H189">
        <f>IF(Квартиры!H187="","",Квартиры!H187)</f>
        <v/>
      </c>
      <c r="I189">
        <f>IF(Квартиры!I187="","",Квартиры!I187)</f>
        <v/>
      </c>
      <c r="J189">
        <f>IF(Квартиры!J187="","",Квартиры!J187)</f>
        <v/>
      </c>
    </row>
    <row r="190">
      <c r="A190">
        <f>IF(Квартиры!A188="","",Квартиры!A188)</f>
        <v/>
      </c>
      <c r="B190">
        <f>IF(Квартиры!B188="","",Квартиры!B188)</f>
        <v/>
      </c>
      <c r="C190">
        <f>IF(Квартиры!C188="","",Квартиры!C188)</f>
        <v/>
      </c>
      <c r="D190">
        <f>IF(Квартиры!D188="","",Квартиры!D188)</f>
        <v/>
      </c>
      <c r="E190">
        <f>IF(Квартиры!G188="","",Квартиры!G188)</f>
        <v/>
      </c>
      <c r="F190">
        <f>IF(Квартиры!E188="","",Квартиры!E188)</f>
        <v/>
      </c>
      <c r="G190">
        <f>IF(Квартиры!F188="","",Квартиры!F188)</f>
        <v/>
      </c>
      <c r="H190">
        <f>IF(Квартиры!H188="","",Квартиры!H188)</f>
        <v/>
      </c>
      <c r="I190">
        <f>IF(Квартиры!I188="","",Квартиры!I188)</f>
        <v/>
      </c>
      <c r="J190">
        <f>IF(Квартиры!J188="","",Квартиры!J188)</f>
        <v/>
      </c>
    </row>
    <row r="191">
      <c r="A191">
        <f>IF(Квартиры!A189="","",Квартиры!A189)</f>
        <v/>
      </c>
      <c r="B191">
        <f>IF(Квартиры!B189="","",Квартиры!B189)</f>
        <v/>
      </c>
      <c r="C191">
        <f>IF(Квартиры!C189="","",Квартиры!C189)</f>
        <v/>
      </c>
      <c r="D191">
        <f>IF(Квартиры!D189="","",Квартиры!D189)</f>
        <v/>
      </c>
      <c r="E191">
        <f>IF(Квартиры!G189="","",Квартиры!G189)</f>
        <v/>
      </c>
      <c r="F191">
        <f>IF(Квартиры!E189="","",Квартиры!E189)</f>
        <v/>
      </c>
      <c r="G191">
        <f>IF(Квартиры!F189="","",Квартиры!F189)</f>
        <v/>
      </c>
      <c r="H191">
        <f>IF(Квартиры!H189="","",Квартиры!H189)</f>
        <v/>
      </c>
      <c r="I191">
        <f>IF(Квартиры!I189="","",Квартиры!I189)</f>
        <v/>
      </c>
      <c r="J191">
        <f>IF(Квартиры!J189="","",Квартиры!J189)</f>
        <v/>
      </c>
    </row>
    <row r="192">
      <c r="A192">
        <f>IF(Квартиры!A190="","",Квартиры!A190)</f>
        <v/>
      </c>
      <c r="B192">
        <f>IF(Квартиры!B190="","",Квартиры!B190)</f>
        <v/>
      </c>
      <c r="C192">
        <f>IF(Квартиры!C190="","",Квартиры!C190)</f>
        <v/>
      </c>
      <c r="D192">
        <f>IF(Квартиры!D190="","",Квартиры!D190)</f>
        <v/>
      </c>
      <c r="E192">
        <f>IF(Квартиры!G190="","",Квартиры!G190)</f>
        <v/>
      </c>
      <c r="F192">
        <f>IF(Квартиры!E190="","",Квартиры!E190)</f>
        <v/>
      </c>
      <c r="G192">
        <f>IF(Квартиры!F190="","",Квартиры!F190)</f>
        <v/>
      </c>
      <c r="H192">
        <f>IF(Квартиры!H190="","",Квартиры!H190)</f>
        <v/>
      </c>
      <c r="I192">
        <f>IF(Квартиры!I190="","",Квартиры!I190)</f>
        <v/>
      </c>
      <c r="J192">
        <f>IF(Квартиры!J190="","",Квартиры!J190)</f>
        <v/>
      </c>
    </row>
    <row r="193">
      <c r="A193">
        <f>IF(Квартиры!A191="","",Квартиры!A191)</f>
        <v/>
      </c>
      <c r="B193">
        <f>IF(Квартиры!B191="","",Квартиры!B191)</f>
        <v/>
      </c>
      <c r="C193">
        <f>IF(Квартиры!C191="","",Квартиры!C191)</f>
        <v/>
      </c>
      <c r="D193">
        <f>IF(Квартиры!D191="","",Квартиры!D191)</f>
        <v/>
      </c>
      <c r="E193">
        <f>IF(Квартиры!G191="","",Квартиры!G191)</f>
        <v/>
      </c>
      <c r="F193">
        <f>IF(Квартиры!E191="","",Квартиры!E191)</f>
        <v/>
      </c>
      <c r="G193">
        <f>IF(Квартиры!F191="","",Квартиры!F191)</f>
        <v/>
      </c>
      <c r="H193">
        <f>IF(Квартиры!H191="","",Квартиры!H191)</f>
        <v/>
      </c>
      <c r="I193">
        <f>IF(Квартиры!I191="","",Квартиры!I191)</f>
        <v/>
      </c>
      <c r="J193">
        <f>IF(Квартиры!J191="","",Квартиры!J191)</f>
        <v/>
      </c>
    </row>
    <row r="194">
      <c r="A194">
        <f>IF(Квартиры!A192="","",Квартиры!A192)</f>
        <v/>
      </c>
      <c r="B194">
        <f>IF(Квартиры!B192="","",Квартиры!B192)</f>
        <v/>
      </c>
      <c r="C194">
        <f>IF(Квартиры!C192="","",Квартиры!C192)</f>
        <v/>
      </c>
      <c r="D194">
        <f>IF(Квартиры!D192="","",Квартиры!D192)</f>
        <v/>
      </c>
      <c r="E194">
        <f>IF(Квартиры!G192="","",Квартиры!G192)</f>
        <v/>
      </c>
      <c r="F194">
        <f>IF(Квартиры!E192="","",Квартиры!E192)</f>
        <v/>
      </c>
      <c r="G194">
        <f>IF(Квартиры!F192="","",Квартиры!F192)</f>
        <v/>
      </c>
      <c r="H194">
        <f>IF(Квартиры!H192="","",Квартиры!H192)</f>
        <v/>
      </c>
      <c r="I194">
        <f>IF(Квартиры!I192="","",Квартиры!I192)</f>
        <v/>
      </c>
      <c r="J194">
        <f>IF(Квартиры!J192="","",Квартиры!J192)</f>
        <v/>
      </c>
    </row>
    <row r="195">
      <c r="A195">
        <f>IF(Квартиры!A193="","",Квартиры!A193)</f>
        <v/>
      </c>
      <c r="B195">
        <f>IF(Квартиры!B193="","",Квартиры!B193)</f>
        <v/>
      </c>
      <c r="C195">
        <f>IF(Квартиры!C193="","",Квартиры!C193)</f>
        <v/>
      </c>
      <c r="D195">
        <f>IF(Квартиры!D193="","",Квартиры!D193)</f>
        <v/>
      </c>
      <c r="E195">
        <f>IF(Квартиры!G193="","",Квартиры!G193)</f>
        <v/>
      </c>
      <c r="F195">
        <f>IF(Квартиры!E193="","",Квартиры!E193)</f>
        <v/>
      </c>
      <c r="G195">
        <f>IF(Квартиры!F193="","",Квартиры!F193)</f>
        <v/>
      </c>
      <c r="H195">
        <f>IF(Квартиры!H193="","",Квартиры!H193)</f>
        <v/>
      </c>
      <c r="I195">
        <f>IF(Квартиры!I193="","",Квартиры!I193)</f>
        <v/>
      </c>
      <c r="J195">
        <f>IF(Квартиры!J193="","",Квартиры!J193)</f>
        <v/>
      </c>
    </row>
    <row r="196">
      <c r="A196">
        <f>IF(Квартиры!A194="","",Квартиры!A194)</f>
        <v/>
      </c>
      <c r="B196">
        <f>IF(Квартиры!B194="","",Квартиры!B194)</f>
        <v/>
      </c>
      <c r="C196">
        <f>IF(Квартиры!C194="","",Квартиры!C194)</f>
        <v/>
      </c>
      <c r="D196">
        <f>IF(Квартиры!D194="","",Квартиры!D194)</f>
        <v/>
      </c>
      <c r="E196">
        <f>IF(Квартиры!G194="","",Квартиры!G194)</f>
        <v/>
      </c>
      <c r="F196">
        <f>IF(Квартиры!E194="","",Квартиры!E194)</f>
        <v/>
      </c>
      <c r="G196">
        <f>IF(Квартиры!F194="","",Квартиры!F194)</f>
        <v/>
      </c>
      <c r="H196">
        <f>IF(Квартиры!H194="","",Квартиры!H194)</f>
        <v/>
      </c>
      <c r="I196">
        <f>IF(Квартиры!I194="","",Квартиры!I194)</f>
        <v/>
      </c>
      <c r="J196">
        <f>IF(Квартиры!J194="","",Квартиры!J194)</f>
        <v/>
      </c>
    </row>
    <row r="197">
      <c r="A197">
        <f>IF(Квартиры!A195="","",Квартиры!A195)</f>
        <v/>
      </c>
      <c r="B197">
        <f>IF(Квартиры!B195="","",Квартиры!B195)</f>
        <v/>
      </c>
      <c r="C197">
        <f>IF(Квартиры!C195="","",Квартиры!C195)</f>
        <v/>
      </c>
      <c r="D197">
        <f>IF(Квартиры!D195="","",Квартиры!D195)</f>
        <v/>
      </c>
      <c r="E197">
        <f>IF(Квартиры!G195="","",Квартиры!G195)</f>
        <v/>
      </c>
      <c r="F197">
        <f>IF(Квартиры!E195="","",Квартиры!E195)</f>
        <v/>
      </c>
      <c r="G197">
        <f>IF(Квартиры!F195="","",Квартиры!F195)</f>
        <v/>
      </c>
      <c r="H197">
        <f>IF(Квартиры!H195="","",Квартиры!H195)</f>
        <v/>
      </c>
      <c r="I197">
        <f>IF(Квартиры!I195="","",Квартиры!I195)</f>
        <v/>
      </c>
      <c r="J197">
        <f>IF(Квартиры!J195="","",Квартиры!J195)</f>
        <v/>
      </c>
    </row>
    <row r="198">
      <c r="A198">
        <f>IF(Квартиры!A196="","",Квартиры!A196)</f>
        <v/>
      </c>
      <c r="B198">
        <f>IF(Квартиры!B196="","",Квартиры!B196)</f>
        <v/>
      </c>
      <c r="C198">
        <f>IF(Квартиры!C196="","",Квартиры!C196)</f>
        <v/>
      </c>
      <c r="D198">
        <f>IF(Квартиры!D196="","",Квартиры!D196)</f>
        <v/>
      </c>
      <c r="E198">
        <f>IF(Квартиры!G196="","",Квартиры!G196)</f>
        <v/>
      </c>
      <c r="F198">
        <f>IF(Квартиры!E196="","",Квартиры!E196)</f>
        <v/>
      </c>
      <c r="G198">
        <f>IF(Квартиры!F196="","",Квартиры!F196)</f>
        <v/>
      </c>
      <c r="H198">
        <f>IF(Квартиры!H196="","",Квартиры!H196)</f>
        <v/>
      </c>
      <c r="I198">
        <f>IF(Квартиры!I196="","",Квартиры!I196)</f>
        <v/>
      </c>
      <c r="J198">
        <f>IF(Квартиры!J196="","",Квартиры!J196)</f>
        <v/>
      </c>
    </row>
    <row r="199">
      <c r="A199">
        <f>IF(Квартиры!A197="","",Квартиры!A197)</f>
        <v/>
      </c>
      <c r="B199">
        <f>IF(Квартиры!B197="","",Квартиры!B197)</f>
        <v/>
      </c>
      <c r="C199">
        <f>IF(Квартиры!C197="","",Квартиры!C197)</f>
        <v/>
      </c>
      <c r="D199">
        <f>IF(Квартиры!D197="","",Квартиры!D197)</f>
        <v/>
      </c>
      <c r="E199">
        <f>IF(Квартиры!G197="","",Квартиры!G197)</f>
        <v/>
      </c>
      <c r="F199">
        <f>IF(Квартиры!E197="","",Квартиры!E197)</f>
        <v/>
      </c>
      <c r="G199">
        <f>IF(Квартиры!F197="","",Квартиры!F197)</f>
        <v/>
      </c>
      <c r="H199">
        <f>IF(Квартиры!H197="","",Квартиры!H197)</f>
        <v/>
      </c>
      <c r="I199">
        <f>IF(Квартиры!I197="","",Квартиры!I197)</f>
        <v/>
      </c>
      <c r="J199">
        <f>IF(Квартиры!J197="","",Квартиры!J197)</f>
        <v/>
      </c>
    </row>
    <row r="200">
      <c r="A200">
        <f>IF(Квартиры!A198="","",Квартиры!A198)</f>
        <v/>
      </c>
      <c r="B200">
        <f>IF(Квартиры!B198="","",Квартиры!B198)</f>
        <v/>
      </c>
      <c r="C200">
        <f>IF(Квартиры!C198="","",Квартиры!C198)</f>
        <v/>
      </c>
      <c r="D200">
        <f>IF(Квартиры!D198="","",Квартиры!D198)</f>
        <v/>
      </c>
      <c r="E200">
        <f>IF(Квартиры!G198="","",Квартиры!G198)</f>
        <v/>
      </c>
      <c r="F200">
        <f>IF(Квартиры!E198="","",Квартиры!E198)</f>
        <v/>
      </c>
      <c r="G200">
        <f>IF(Квартиры!F198="","",Квартиры!F198)</f>
        <v/>
      </c>
      <c r="H200">
        <f>IF(Квартиры!H198="","",Квартиры!H198)</f>
        <v/>
      </c>
      <c r="I200">
        <f>IF(Квартиры!I198="","",Квартиры!I198)</f>
        <v/>
      </c>
      <c r="J200">
        <f>IF(Квартиры!J198="","",Квартиры!J198)</f>
        <v/>
      </c>
    </row>
    <row r="201">
      <c r="A201">
        <f>IF(Квартиры!A199="","",Квартиры!A199)</f>
        <v/>
      </c>
      <c r="B201">
        <f>IF(Квартиры!B199="","",Квартиры!B199)</f>
        <v/>
      </c>
      <c r="C201">
        <f>IF(Квартиры!C199="","",Квартиры!C199)</f>
        <v/>
      </c>
      <c r="D201">
        <f>IF(Квартиры!D199="","",Квартиры!D199)</f>
        <v/>
      </c>
      <c r="E201">
        <f>IF(Квартиры!G199="","",Квартиры!G199)</f>
        <v/>
      </c>
      <c r="F201">
        <f>IF(Квартиры!E199="","",Квартиры!E199)</f>
        <v/>
      </c>
      <c r="G201">
        <f>IF(Квартиры!F199="","",Квартиры!F199)</f>
        <v/>
      </c>
      <c r="H201">
        <f>IF(Квартиры!H199="","",Квартиры!H199)</f>
        <v/>
      </c>
      <c r="I201">
        <f>IF(Квартиры!I199="","",Квартиры!I199)</f>
        <v/>
      </c>
      <c r="J201">
        <f>IF(Квартиры!J199="","",Квартиры!J199)</f>
        <v/>
      </c>
    </row>
    <row r="202">
      <c r="A202">
        <f>IF(Квартиры!A200="","",Квартиры!A200)</f>
        <v/>
      </c>
      <c r="B202">
        <f>IF(Квартиры!B200="","",Квартиры!B200)</f>
        <v/>
      </c>
      <c r="C202">
        <f>IF(Квартиры!C200="","",Квартиры!C200)</f>
        <v/>
      </c>
      <c r="D202">
        <f>IF(Квартиры!D200="","",Квартиры!D200)</f>
        <v/>
      </c>
      <c r="E202">
        <f>IF(Квартиры!G200="","",Квартиры!G200)</f>
        <v/>
      </c>
      <c r="F202">
        <f>IF(Квартиры!E200="","",Квартиры!E200)</f>
        <v/>
      </c>
      <c r="G202">
        <f>IF(Квартиры!F200="","",Квартиры!F200)</f>
        <v/>
      </c>
      <c r="H202">
        <f>IF(Квартиры!H200="","",Квартиры!H200)</f>
        <v/>
      </c>
      <c r="I202">
        <f>IF(Квартиры!I200="","",Квартиры!I200)</f>
        <v/>
      </c>
      <c r="J202">
        <f>IF(Квартиры!J200="","",Квартиры!J200)</f>
        <v/>
      </c>
    </row>
    <row r="203">
      <c r="A203">
        <f>IF(Квартиры!A201="","",Квартиры!A201)</f>
        <v/>
      </c>
      <c r="B203">
        <f>IF(Квартиры!B201="","",Квартиры!B201)</f>
        <v/>
      </c>
      <c r="C203">
        <f>IF(Квартиры!C201="","",Квартиры!C201)</f>
        <v/>
      </c>
      <c r="D203">
        <f>IF(Квартиры!D201="","",Квартиры!D201)</f>
        <v/>
      </c>
      <c r="E203">
        <f>IF(Квартиры!G201="","",Квартиры!G201)</f>
        <v/>
      </c>
      <c r="F203">
        <f>IF(Квартиры!E201="","",Квартиры!E201)</f>
        <v/>
      </c>
      <c r="G203">
        <f>IF(Квартиры!F201="","",Квартиры!F201)</f>
        <v/>
      </c>
      <c r="H203">
        <f>IF(Квартиры!H201="","",Квартиры!H201)</f>
        <v/>
      </c>
      <c r="I203">
        <f>IF(Квартиры!I201="","",Квартиры!I201)</f>
        <v/>
      </c>
      <c r="J203">
        <f>IF(Квартиры!J201="","",Квартиры!J201)</f>
        <v/>
      </c>
    </row>
    <row r="204">
      <c r="A204">
        <f>IF(Квартиры!A202="","",Квартиры!A202)</f>
        <v/>
      </c>
      <c r="B204">
        <f>IF(Квартиры!B202="","",Квартиры!B202)</f>
        <v/>
      </c>
      <c r="C204">
        <f>IF(Квартиры!C202="","",Квартиры!C202)</f>
        <v/>
      </c>
      <c r="D204">
        <f>IF(Квартиры!D202="","",Квартиры!D202)</f>
        <v/>
      </c>
      <c r="E204">
        <f>IF(Квартиры!G202="","",Квартиры!G202)</f>
        <v/>
      </c>
      <c r="F204">
        <f>IF(Квартиры!E202="","",Квартиры!E202)</f>
        <v/>
      </c>
      <c r="G204">
        <f>IF(Квартиры!F202="","",Квартиры!F202)</f>
        <v/>
      </c>
      <c r="H204">
        <f>IF(Квартиры!H202="","",Квартиры!H202)</f>
        <v/>
      </c>
      <c r="I204">
        <f>IF(Квартиры!I202="","",Квартиры!I202)</f>
        <v/>
      </c>
      <c r="J204">
        <f>IF(Квартиры!J202="","",Квартиры!J202)</f>
        <v/>
      </c>
    </row>
    <row r="205">
      <c r="A205">
        <f>IF(Квартиры!A203="","",Квартиры!A203)</f>
        <v/>
      </c>
      <c r="B205">
        <f>IF(Квартиры!B203="","",Квартиры!B203)</f>
        <v/>
      </c>
      <c r="C205">
        <f>IF(Квартиры!C203="","",Квартиры!C203)</f>
        <v/>
      </c>
      <c r="D205">
        <f>IF(Квартиры!D203="","",Квартиры!D203)</f>
        <v/>
      </c>
      <c r="E205">
        <f>IF(Квартиры!G203="","",Квартиры!G203)</f>
        <v/>
      </c>
      <c r="F205">
        <f>IF(Квартиры!E203="","",Квартиры!E203)</f>
        <v/>
      </c>
      <c r="G205">
        <f>IF(Квартиры!F203="","",Квартиры!F203)</f>
        <v/>
      </c>
      <c r="H205">
        <f>IF(Квартиры!H203="","",Квартиры!H203)</f>
        <v/>
      </c>
      <c r="I205">
        <f>IF(Квартиры!I203="","",Квартиры!I203)</f>
        <v/>
      </c>
      <c r="J205">
        <f>IF(Квартиры!J203="","",Квартиры!J203)</f>
        <v/>
      </c>
    </row>
    <row r="206">
      <c r="A206">
        <f>IF(Квартиры!A204="","",Квартиры!A204)</f>
        <v/>
      </c>
      <c r="B206">
        <f>IF(Квартиры!B204="","",Квартиры!B204)</f>
        <v/>
      </c>
      <c r="C206">
        <f>IF(Квартиры!C204="","",Квартиры!C204)</f>
        <v/>
      </c>
      <c r="D206">
        <f>IF(Квартиры!D204="","",Квартиры!D204)</f>
        <v/>
      </c>
      <c r="E206">
        <f>IF(Квартиры!G204="","",Квартиры!G204)</f>
        <v/>
      </c>
      <c r="F206">
        <f>IF(Квартиры!E204="","",Квартиры!E204)</f>
        <v/>
      </c>
      <c r="G206">
        <f>IF(Квартиры!F204="","",Квартиры!F204)</f>
        <v/>
      </c>
      <c r="H206">
        <f>IF(Квартиры!H204="","",Квартиры!H204)</f>
        <v/>
      </c>
      <c r="I206">
        <f>IF(Квартиры!I204="","",Квартиры!I204)</f>
        <v/>
      </c>
      <c r="J206">
        <f>IF(Квартиры!J204="","",Квартиры!J204)</f>
        <v/>
      </c>
    </row>
    <row r="207">
      <c r="A207">
        <f>IF(Квартиры!A205="","",Квартиры!A205)</f>
        <v/>
      </c>
      <c r="B207">
        <f>IF(Квартиры!B205="","",Квартиры!B205)</f>
        <v/>
      </c>
      <c r="C207">
        <f>IF(Квартиры!C205="","",Квартиры!C205)</f>
        <v/>
      </c>
      <c r="D207">
        <f>IF(Квартиры!D205="","",Квартиры!D205)</f>
        <v/>
      </c>
      <c r="E207">
        <f>IF(Квартиры!G205="","",Квартиры!G205)</f>
        <v/>
      </c>
      <c r="F207">
        <f>IF(Квартиры!E205="","",Квартиры!E205)</f>
        <v/>
      </c>
      <c r="G207">
        <f>IF(Квартиры!F205="","",Квартиры!F205)</f>
        <v/>
      </c>
      <c r="H207">
        <f>IF(Квартиры!H205="","",Квартиры!H205)</f>
        <v/>
      </c>
      <c r="I207">
        <f>IF(Квартиры!I205="","",Квартиры!I205)</f>
        <v/>
      </c>
      <c r="J207">
        <f>IF(Квартиры!J205="","",Квартиры!J205)</f>
        <v/>
      </c>
    </row>
    <row r="208">
      <c r="A208">
        <f>IF(Квартиры!A206="","",Квартиры!A206)</f>
        <v/>
      </c>
      <c r="B208">
        <f>IF(Квартиры!B206="","",Квартиры!B206)</f>
        <v/>
      </c>
      <c r="C208">
        <f>IF(Квартиры!C206="","",Квартиры!C206)</f>
        <v/>
      </c>
      <c r="D208">
        <f>IF(Квартиры!D206="","",Квартиры!D206)</f>
        <v/>
      </c>
      <c r="E208">
        <f>IF(Квартиры!G206="","",Квартиры!G206)</f>
        <v/>
      </c>
      <c r="F208">
        <f>IF(Квартиры!E206="","",Квартиры!E206)</f>
        <v/>
      </c>
      <c r="G208">
        <f>IF(Квартиры!F206="","",Квартиры!F206)</f>
        <v/>
      </c>
      <c r="H208">
        <f>IF(Квартиры!H206="","",Квартиры!H206)</f>
        <v/>
      </c>
      <c r="I208">
        <f>IF(Квартиры!I206="","",Квартиры!I206)</f>
        <v/>
      </c>
      <c r="J208">
        <f>IF(Квартиры!J206="","",Квартиры!J206)</f>
        <v/>
      </c>
    </row>
    <row r="209">
      <c r="A209">
        <f>IF(Квартиры!A207="","",Квартиры!A207)</f>
        <v/>
      </c>
      <c r="B209">
        <f>IF(Квартиры!B207="","",Квартиры!B207)</f>
        <v/>
      </c>
      <c r="C209">
        <f>IF(Квартиры!C207="","",Квартиры!C207)</f>
        <v/>
      </c>
      <c r="D209">
        <f>IF(Квартиры!D207="","",Квартиры!D207)</f>
        <v/>
      </c>
      <c r="E209">
        <f>IF(Квартиры!G207="","",Квартиры!G207)</f>
        <v/>
      </c>
      <c r="F209">
        <f>IF(Квартиры!E207="","",Квартиры!E207)</f>
        <v/>
      </c>
      <c r="G209">
        <f>IF(Квартиры!F207="","",Квартиры!F207)</f>
        <v/>
      </c>
      <c r="H209">
        <f>IF(Квартиры!H207="","",Квартиры!H207)</f>
        <v/>
      </c>
      <c r="I209">
        <f>IF(Квартиры!I207="","",Квартиры!I207)</f>
        <v/>
      </c>
      <c r="J209">
        <f>IF(Квартиры!J207="","",Квартиры!J207)</f>
        <v/>
      </c>
    </row>
    <row r="210">
      <c r="A210">
        <f>IF(Квартиры!A208="","",Квартиры!A208)</f>
        <v/>
      </c>
      <c r="B210">
        <f>IF(Квартиры!B208="","",Квартиры!B208)</f>
        <v/>
      </c>
      <c r="C210">
        <f>IF(Квартиры!C208="","",Квартиры!C208)</f>
        <v/>
      </c>
      <c r="D210">
        <f>IF(Квартиры!D208="","",Квартиры!D208)</f>
        <v/>
      </c>
      <c r="E210">
        <f>IF(Квартиры!G208="","",Квартиры!G208)</f>
        <v/>
      </c>
      <c r="F210">
        <f>IF(Квартиры!E208="","",Квартиры!E208)</f>
        <v/>
      </c>
      <c r="G210">
        <f>IF(Квартиры!F208="","",Квартиры!F208)</f>
        <v/>
      </c>
      <c r="H210">
        <f>IF(Квартиры!H208="","",Квартиры!H208)</f>
        <v/>
      </c>
      <c r="I210">
        <f>IF(Квартиры!I208="","",Квартиры!I208)</f>
        <v/>
      </c>
      <c r="J210">
        <f>IF(Квартиры!J208="","",Квартиры!J208)</f>
        <v/>
      </c>
    </row>
    <row r="211">
      <c r="A211">
        <f>IF(Квартиры!A209="","",Квартиры!A209)</f>
        <v/>
      </c>
      <c r="B211">
        <f>IF(Квартиры!B209="","",Квартиры!B209)</f>
        <v/>
      </c>
      <c r="C211">
        <f>IF(Квартиры!C209="","",Квартиры!C209)</f>
        <v/>
      </c>
      <c r="D211">
        <f>IF(Квартиры!D209="","",Квартиры!D209)</f>
        <v/>
      </c>
      <c r="E211">
        <f>IF(Квартиры!G209="","",Квартиры!G209)</f>
        <v/>
      </c>
      <c r="F211">
        <f>IF(Квартиры!E209="","",Квартиры!E209)</f>
        <v/>
      </c>
      <c r="G211">
        <f>IF(Квартиры!F209="","",Квартиры!F209)</f>
        <v/>
      </c>
      <c r="H211">
        <f>IF(Квартиры!H209="","",Квартиры!H209)</f>
        <v/>
      </c>
      <c r="I211">
        <f>IF(Квартиры!I209="","",Квартиры!I209)</f>
        <v/>
      </c>
      <c r="J211">
        <f>IF(Квартиры!J209="","",Квартиры!J209)</f>
        <v/>
      </c>
    </row>
    <row r="212">
      <c r="A212">
        <f>IF(Квартиры!A210="","",Квартиры!A210)</f>
        <v/>
      </c>
      <c r="B212">
        <f>IF(Квартиры!B210="","",Квартиры!B210)</f>
        <v/>
      </c>
      <c r="C212">
        <f>IF(Квартиры!C210="","",Квартиры!C210)</f>
        <v/>
      </c>
      <c r="D212">
        <f>IF(Квартиры!D210="","",Квартиры!D210)</f>
        <v/>
      </c>
      <c r="E212">
        <f>IF(Квартиры!G210="","",Квартиры!G210)</f>
        <v/>
      </c>
      <c r="F212">
        <f>IF(Квартиры!E210="","",Квартиры!E210)</f>
        <v/>
      </c>
      <c r="G212">
        <f>IF(Квартиры!F210="","",Квартиры!F210)</f>
        <v/>
      </c>
      <c r="H212">
        <f>IF(Квартиры!H210="","",Квартиры!H210)</f>
        <v/>
      </c>
      <c r="I212">
        <f>IF(Квартиры!I210="","",Квартиры!I210)</f>
        <v/>
      </c>
      <c r="J212">
        <f>IF(Квартиры!J210="","",Квартиры!J210)</f>
        <v/>
      </c>
    </row>
    <row r="213">
      <c r="A213">
        <f>IF(Квартиры!A211="","",Квартиры!A211)</f>
        <v/>
      </c>
      <c r="B213">
        <f>IF(Квартиры!B211="","",Квартиры!B211)</f>
        <v/>
      </c>
      <c r="C213">
        <f>IF(Квартиры!C211="","",Квартиры!C211)</f>
        <v/>
      </c>
      <c r="D213">
        <f>IF(Квартиры!D211="","",Квартиры!D211)</f>
        <v/>
      </c>
      <c r="E213">
        <f>IF(Квартиры!G211="","",Квартиры!G211)</f>
        <v/>
      </c>
      <c r="F213">
        <f>IF(Квартиры!E211="","",Квартиры!E211)</f>
        <v/>
      </c>
      <c r="G213">
        <f>IF(Квартиры!F211="","",Квартиры!F211)</f>
        <v/>
      </c>
      <c r="H213">
        <f>IF(Квартиры!H211="","",Квартиры!H211)</f>
        <v/>
      </c>
      <c r="I213">
        <f>IF(Квартиры!I211="","",Квартиры!I211)</f>
        <v/>
      </c>
      <c r="J213">
        <f>IF(Квартиры!J211="","",Квартиры!J211)</f>
        <v/>
      </c>
    </row>
    <row r="214">
      <c r="A214">
        <f>IF(Квартиры!A212="","",Квартиры!A212)</f>
        <v/>
      </c>
      <c r="B214">
        <f>IF(Квартиры!B212="","",Квартиры!B212)</f>
        <v/>
      </c>
      <c r="C214">
        <f>IF(Квартиры!C212="","",Квартиры!C212)</f>
        <v/>
      </c>
      <c r="D214">
        <f>IF(Квартиры!D212="","",Квартиры!D212)</f>
        <v/>
      </c>
      <c r="E214">
        <f>IF(Квартиры!G212="","",Квартиры!G212)</f>
        <v/>
      </c>
      <c r="F214">
        <f>IF(Квартиры!E212="","",Квартиры!E212)</f>
        <v/>
      </c>
      <c r="G214">
        <f>IF(Квартиры!F212="","",Квартиры!F212)</f>
        <v/>
      </c>
      <c r="H214">
        <f>IF(Квартиры!H212="","",Квартиры!H212)</f>
        <v/>
      </c>
      <c r="I214">
        <f>IF(Квартиры!I212="","",Квартиры!I212)</f>
        <v/>
      </c>
      <c r="J214">
        <f>IF(Квартиры!J212="","",Квартиры!J212)</f>
        <v/>
      </c>
    </row>
    <row r="215">
      <c r="A215">
        <f>IF(Квартиры!A213="","",Квартиры!A213)</f>
        <v/>
      </c>
      <c r="B215">
        <f>IF(Квартиры!B213="","",Квартиры!B213)</f>
        <v/>
      </c>
      <c r="C215">
        <f>IF(Квартиры!C213="","",Квартиры!C213)</f>
        <v/>
      </c>
      <c r="D215">
        <f>IF(Квартиры!D213="","",Квартиры!D213)</f>
        <v/>
      </c>
      <c r="E215">
        <f>IF(Квартиры!G213="","",Квартиры!G213)</f>
        <v/>
      </c>
      <c r="F215">
        <f>IF(Квартиры!E213="","",Квартиры!E213)</f>
        <v/>
      </c>
      <c r="G215">
        <f>IF(Квартиры!F213="","",Квартиры!F213)</f>
        <v/>
      </c>
      <c r="H215">
        <f>IF(Квартиры!H213="","",Квартиры!H213)</f>
        <v/>
      </c>
      <c r="I215">
        <f>IF(Квартиры!I213="","",Квартиры!I213)</f>
        <v/>
      </c>
      <c r="J215">
        <f>IF(Квартиры!J213="","",Квартиры!J213)</f>
        <v/>
      </c>
    </row>
    <row r="216">
      <c r="A216">
        <f>IF(Квартиры!A214="","",Квартиры!A214)</f>
        <v/>
      </c>
      <c r="B216">
        <f>IF(Квартиры!B214="","",Квартиры!B214)</f>
        <v/>
      </c>
      <c r="C216">
        <f>IF(Квартиры!C214="","",Квартиры!C214)</f>
        <v/>
      </c>
      <c r="D216">
        <f>IF(Квартиры!D214="","",Квартиры!D214)</f>
        <v/>
      </c>
      <c r="E216">
        <f>IF(Квартиры!G214="","",Квартиры!G214)</f>
        <v/>
      </c>
      <c r="F216">
        <f>IF(Квартиры!E214="","",Квартиры!E214)</f>
        <v/>
      </c>
      <c r="G216">
        <f>IF(Квартиры!F214="","",Квартиры!F214)</f>
        <v/>
      </c>
      <c r="H216">
        <f>IF(Квартиры!H214="","",Квартиры!H214)</f>
        <v/>
      </c>
      <c r="I216">
        <f>IF(Квартиры!I214="","",Квартиры!I214)</f>
        <v/>
      </c>
      <c r="J216">
        <f>IF(Квартиры!J214="","",Квартиры!J214)</f>
        <v/>
      </c>
    </row>
    <row r="217">
      <c r="A217">
        <f>IF(Квартиры!A215="","",Квартиры!A215)</f>
        <v/>
      </c>
      <c r="B217">
        <f>IF(Квартиры!B215="","",Квартиры!B215)</f>
        <v/>
      </c>
      <c r="C217">
        <f>IF(Квартиры!C215="","",Квартиры!C215)</f>
        <v/>
      </c>
      <c r="D217">
        <f>IF(Квартиры!D215="","",Квартиры!D215)</f>
        <v/>
      </c>
      <c r="E217">
        <f>IF(Квартиры!G215="","",Квартиры!G215)</f>
        <v/>
      </c>
      <c r="F217">
        <f>IF(Квартиры!E215="","",Квартиры!E215)</f>
        <v/>
      </c>
      <c r="G217">
        <f>IF(Квартиры!F215="","",Квартиры!F215)</f>
        <v/>
      </c>
      <c r="H217">
        <f>IF(Квартиры!H215="","",Квартиры!H215)</f>
        <v/>
      </c>
      <c r="I217">
        <f>IF(Квартиры!I215="","",Квартиры!I215)</f>
        <v/>
      </c>
      <c r="J217">
        <f>IF(Квартиры!J215="","",Квартиры!J215)</f>
        <v/>
      </c>
    </row>
    <row r="218">
      <c r="A218">
        <f>IF(Квартиры!A216="","",Квартиры!A216)</f>
        <v/>
      </c>
      <c r="B218">
        <f>IF(Квартиры!B216="","",Квартиры!B216)</f>
        <v/>
      </c>
      <c r="C218">
        <f>IF(Квартиры!C216="","",Квартиры!C216)</f>
        <v/>
      </c>
      <c r="D218">
        <f>IF(Квартиры!D216="","",Квартиры!D216)</f>
        <v/>
      </c>
      <c r="E218">
        <f>IF(Квартиры!G216="","",Квартиры!G216)</f>
        <v/>
      </c>
      <c r="F218">
        <f>IF(Квартиры!E216="","",Квартиры!E216)</f>
        <v/>
      </c>
      <c r="G218">
        <f>IF(Квартиры!F216="","",Квартиры!F216)</f>
        <v/>
      </c>
      <c r="H218">
        <f>IF(Квартиры!H216="","",Квартиры!H216)</f>
        <v/>
      </c>
      <c r="I218">
        <f>IF(Квартиры!I216="","",Квартиры!I216)</f>
        <v/>
      </c>
      <c r="J218">
        <f>IF(Квартиры!J216="","",Квартиры!J216)</f>
        <v/>
      </c>
    </row>
    <row r="219">
      <c r="A219">
        <f>IF(Квартиры!A217="","",Квартиры!A217)</f>
        <v/>
      </c>
      <c r="B219">
        <f>IF(Квартиры!B217="","",Квартиры!B217)</f>
        <v/>
      </c>
      <c r="C219">
        <f>IF(Квартиры!C217="","",Квартиры!C217)</f>
        <v/>
      </c>
      <c r="D219">
        <f>IF(Квартиры!D217="","",Квартиры!D217)</f>
        <v/>
      </c>
      <c r="E219">
        <f>IF(Квартиры!G217="","",Квартиры!G217)</f>
        <v/>
      </c>
      <c r="F219">
        <f>IF(Квартиры!E217="","",Квартиры!E217)</f>
        <v/>
      </c>
      <c r="G219">
        <f>IF(Квартиры!F217="","",Квартиры!F217)</f>
        <v/>
      </c>
      <c r="H219">
        <f>IF(Квартиры!H217="","",Квартиры!H217)</f>
        <v/>
      </c>
      <c r="I219">
        <f>IF(Квартиры!I217="","",Квартиры!I217)</f>
        <v/>
      </c>
      <c r="J219">
        <f>IF(Квартиры!J217="","",Квартиры!J217)</f>
        <v/>
      </c>
    </row>
    <row r="220">
      <c r="A220">
        <f>IF(Квартиры!A218="","",Квартиры!A218)</f>
        <v/>
      </c>
      <c r="B220">
        <f>IF(Квартиры!B218="","",Квартиры!B218)</f>
        <v/>
      </c>
      <c r="C220">
        <f>IF(Квартиры!C218="","",Квартиры!C218)</f>
        <v/>
      </c>
      <c r="D220">
        <f>IF(Квартиры!D218="","",Квартиры!D218)</f>
        <v/>
      </c>
      <c r="E220">
        <f>IF(Квартиры!G218="","",Квартиры!G218)</f>
        <v/>
      </c>
      <c r="F220">
        <f>IF(Квартиры!E218="","",Квартиры!E218)</f>
        <v/>
      </c>
      <c r="G220">
        <f>IF(Квартиры!F218="","",Квартиры!F218)</f>
        <v/>
      </c>
      <c r="H220">
        <f>IF(Квартиры!H218="","",Квартиры!H218)</f>
        <v/>
      </c>
      <c r="I220">
        <f>IF(Квартиры!I218="","",Квартиры!I218)</f>
        <v/>
      </c>
      <c r="J220">
        <f>IF(Квартиры!J218="","",Квартиры!J218)</f>
        <v/>
      </c>
    </row>
    <row r="221">
      <c r="A221">
        <f>IF(Квартиры!A219="","",Квартиры!A219)</f>
        <v/>
      </c>
      <c r="B221">
        <f>IF(Квартиры!B219="","",Квартиры!B219)</f>
        <v/>
      </c>
      <c r="C221">
        <f>IF(Квартиры!C219="","",Квартиры!C219)</f>
        <v/>
      </c>
      <c r="D221">
        <f>IF(Квартиры!D219="","",Квартиры!D219)</f>
        <v/>
      </c>
      <c r="E221">
        <f>IF(Квартиры!G219="","",Квартиры!G219)</f>
        <v/>
      </c>
      <c r="F221">
        <f>IF(Квартиры!E219="","",Квартиры!E219)</f>
        <v/>
      </c>
      <c r="G221">
        <f>IF(Квартиры!F219="","",Квартиры!F219)</f>
        <v/>
      </c>
      <c r="H221">
        <f>IF(Квартиры!H219="","",Квартиры!H219)</f>
        <v/>
      </c>
      <c r="I221">
        <f>IF(Квартиры!I219="","",Квартиры!I219)</f>
        <v/>
      </c>
      <c r="J221">
        <f>IF(Квартиры!J219="","",Квартиры!J219)</f>
        <v/>
      </c>
    </row>
    <row r="222">
      <c r="A222">
        <f>IF(Квартиры!A220="","",Квартиры!A220)</f>
        <v/>
      </c>
      <c r="B222">
        <f>IF(Квартиры!B220="","",Квартиры!B220)</f>
        <v/>
      </c>
      <c r="C222">
        <f>IF(Квартиры!C220="","",Квартиры!C220)</f>
        <v/>
      </c>
      <c r="D222">
        <f>IF(Квартиры!D220="","",Квартиры!D220)</f>
        <v/>
      </c>
      <c r="E222">
        <f>IF(Квартиры!G220="","",Квартиры!G220)</f>
        <v/>
      </c>
      <c r="F222">
        <f>IF(Квартиры!E220="","",Квартиры!E220)</f>
        <v/>
      </c>
      <c r="G222">
        <f>IF(Квартиры!F220="","",Квартиры!F220)</f>
        <v/>
      </c>
      <c r="H222">
        <f>IF(Квартиры!H220="","",Квартиры!H220)</f>
        <v/>
      </c>
      <c r="I222">
        <f>IF(Квартиры!I220="","",Квартиры!I220)</f>
        <v/>
      </c>
      <c r="J222">
        <f>IF(Квартиры!J220="","",Квартиры!J220)</f>
        <v/>
      </c>
    </row>
    <row r="223">
      <c r="A223">
        <f>IF(Квартиры!A221="","",Квартиры!A221)</f>
        <v/>
      </c>
      <c r="B223">
        <f>IF(Квартиры!B221="","",Квартиры!B221)</f>
        <v/>
      </c>
      <c r="C223">
        <f>IF(Квартиры!C221="","",Квартиры!C221)</f>
        <v/>
      </c>
      <c r="D223">
        <f>IF(Квартиры!D221="","",Квартиры!D221)</f>
        <v/>
      </c>
      <c r="E223">
        <f>IF(Квартиры!G221="","",Квартиры!G221)</f>
        <v/>
      </c>
      <c r="F223">
        <f>IF(Квартиры!E221="","",Квартиры!E221)</f>
        <v/>
      </c>
      <c r="G223">
        <f>IF(Квартиры!F221="","",Квартиры!F221)</f>
        <v/>
      </c>
      <c r="H223">
        <f>IF(Квартиры!H221="","",Квартиры!H221)</f>
        <v/>
      </c>
      <c r="I223">
        <f>IF(Квартиры!I221="","",Квартиры!I221)</f>
        <v/>
      </c>
      <c r="J223">
        <f>IF(Квартиры!J221="","",Квартиры!J221)</f>
        <v/>
      </c>
    </row>
    <row r="224">
      <c r="A224">
        <f>IF(Квартиры!A222="","",Квартиры!A222)</f>
        <v/>
      </c>
      <c r="B224">
        <f>IF(Квартиры!B222="","",Квартиры!B222)</f>
        <v/>
      </c>
      <c r="C224">
        <f>IF(Квартиры!C222="","",Квартиры!C222)</f>
        <v/>
      </c>
      <c r="D224">
        <f>IF(Квартиры!D222="","",Квартиры!D222)</f>
        <v/>
      </c>
      <c r="E224">
        <f>IF(Квартиры!G222="","",Квартиры!G222)</f>
        <v/>
      </c>
      <c r="F224">
        <f>IF(Квартиры!E222="","",Квартиры!E222)</f>
        <v/>
      </c>
      <c r="G224">
        <f>IF(Квартиры!F222="","",Квартиры!F222)</f>
        <v/>
      </c>
      <c r="H224">
        <f>IF(Квартиры!H222="","",Квартиры!H222)</f>
        <v/>
      </c>
      <c r="I224">
        <f>IF(Квартиры!I222="","",Квартиры!I222)</f>
        <v/>
      </c>
      <c r="J224">
        <f>IF(Квартиры!J222="","",Квартиры!J222)</f>
        <v/>
      </c>
    </row>
    <row r="225">
      <c r="A225">
        <f>IF(Квартиры!A223="","",Квартиры!A223)</f>
        <v/>
      </c>
      <c r="B225">
        <f>IF(Квартиры!B223="","",Квартиры!B223)</f>
        <v/>
      </c>
      <c r="C225">
        <f>IF(Квартиры!C223="","",Квартиры!C223)</f>
        <v/>
      </c>
      <c r="D225">
        <f>IF(Квартиры!D223="","",Квартиры!D223)</f>
        <v/>
      </c>
      <c r="E225">
        <f>IF(Квартиры!G223="","",Квартиры!G223)</f>
        <v/>
      </c>
      <c r="F225">
        <f>IF(Квартиры!E223="","",Квартиры!E223)</f>
        <v/>
      </c>
      <c r="G225">
        <f>IF(Квартиры!F223="","",Квартиры!F223)</f>
        <v/>
      </c>
      <c r="H225">
        <f>IF(Квартиры!H223="","",Квартиры!H223)</f>
        <v/>
      </c>
      <c r="I225">
        <f>IF(Квартиры!I223="","",Квартиры!I223)</f>
        <v/>
      </c>
      <c r="J225">
        <f>IF(Квартиры!J223="","",Квартиры!J223)</f>
        <v/>
      </c>
    </row>
    <row r="226">
      <c r="A226">
        <f>IF(Квартиры!A224="","",Квартиры!A224)</f>
        <v/>
      </c>
      <c r="B226">
        <f>IF(Квартиры!B224="","",Квартиры!B224)</f>
        <v/>
      </c>
      <c r="C226">
        <f>IF(Квартиры!C224="","",Квартиры!C224)</f>
        <v/>
      </c>
      <c r="D226">
        <f>IF(Квартиры!D224="","",Квартиры!D224)</f>
        <v/>
      </c>
      <c r="E226">
        <f>IF(Квартиры!G224="","",Квартиры!G224)</f>
        <v/>
      </c>
      <c r="F226">
        <f>IF(Квартиры!E224="","",Квартиры!E224)</f>
        <v/>
      </c>
      <c r="G226">
        <f>IF(Квартиры!F224="","",Квартиры!F224)</f>
        <v/>
      </c>
      <c r="H226">
        <f>IF(Квартиры!H224="","",Квартиры!H224)</f>
        <v/>
      </c>
      <c r="I226">
        <f>IF(Квартиры!I224="","",Квартиры!I224)</f>
        <v/>
      </c>
      <c r="J226">
        <f>IF(Квартиры!J224="","",Квартиры!J224)</f>
        <v/>
      </c>
    </row>
    <row r="227">
      <c r="A227">
        <f>IF(Квартиры!A225="","",Квартиры!A225)</f>
        <v/>
      </c>
      <c r="B227">
        <f>IF(Квартиры!B225="","",Квартиры!B225)</f>
        <v/>
      </c>
      <c r="C227">
        <f>IF(Квартиры!C225="","",Квартиры!C225)</f>
        <v/>
      </c>
      <c r="D227">
        <f>IF(Квартиры!D225="","",Квартиры!D225)</f>
        <v/>
      </c>
      <c r="E227">
        <f>IF(Квартиры!G225="","",Квартиры!G225)</f>
        <v/>
      </c>
      <c r="F227">
        <f>IF(Квартиры!E225="","",Квартиры!E225)</f>
        <v/>
      </c>
      <c r="G227">
        <f>IF(Квартиры!F225="","",Квартиры!F225)</f>
        <v/>
      </c>
      <c r="H227">
        <f>IF(Квартиры!H225="","",Квартиры!H225)</f>
        <v/>
      </c>
      <c r="I227">
        <f>IF(Квартиры!I225="","",Квартиры!I225)</f>
        <v/>
      </c>
      <c r="J227">
        <f>IF(Квартиры!J225="","",Квартиры!J225)</f>
        <v/>
      </c>
    </row>
    <row r="228">
      <c r="A228">
        <f>IF(Квартиры!A226="","",Квартиры!A226)</f>
        <v/>
      </c>
      <c r="B228">
        <f>IF(Квартиры!B226="","",Квартиры!B226)</f>
        <v/>
      </c>
      <c r="C228">
        <f>IF(Квартиры!C226="","",Квартиры!C226)</f>
        <v/>
      </c>
      <c r="D228">
        <f>IF(Квартиры!D226="","",Квартиры!D226)</f>
        <v/>
      </c>
      <c r="E228">
        <f>IF(Квартиры!G226="","",Квартиры!G226)</f>
        <v/>
      </c>
      <c r="F228">
        <f>IF(Квартиры!E226="","",Квартиры!E226)</f>
        <v/>
      </c>
      <c r="G228">
        <f>IF(Квартиры!F226="","",Квартиры!F226)</f>
        <v/>
      </c>
      <c r="H228">
        <f>IF(Квартиры!H226="","",Квартиры!H226)</f>
        <v/>
      </c>
      <c r="I228">
        <f>IF(Квартиры!I226="","",Квартиры!I226)</f>
        <v/>
      </c>
      <c r="J228">
        <f>IF(Квартиры!J226="","",Квартиры!J226)</f>
        <v/>
      </c>
    </row>
    <row r="229">
      <c r="A229">
        <f>IF(Квартиры!A227="","",Квартиры!A227)</f>
        <v/>
      </c>
      <c r="B229">
        <f>IF(Квартиры!B227="","",Квартиры!B227)</f>
        <v/>
      </c>
      <c r="C229">
        <f>IF(Квартиры!C227="","",Квартиры!C227)</f>
        <v/>
      </c>
      <c r="D229">
        <f>IF(Квартиры!D227="","",Квартиры!D227)</f>
        <v/>
      </c>
      <c r="E229">
        <f>IF(Квартиры!G227="","",Квартиры!G227)</f>
        <v/>
      </c>
      <c r="F229">
        <f>IF(Квартиры!E227="","",Квартиры!E227)</f>
        <v/>
      </c>
      <c r="G229">
        <f>IF(Квартиры!F227="","",Квартиры!F227)</f>
        <v/>
      </c>
      <c r="H229">
        <f>IF(Квартиры!H227="","",Квартиры!H227)</f>
        <v/>
      </c>
      <c r="I229">
        <f>IF(Квартиры!I227="","",Квартиры!I227)</f>
        <v/>
      </c>
      <c r="J229">
        <f>IF(Квартиры!J227="","",Квартиры!J227)</f>
        <v/>
      </c>
    </row>
    <row r="230">
      <c r="A230">
        <f>IF(Квартиры!A228="","",Квартиры!A228)</f>
        <v/>
      </c>
      <c r="B230">
        <f>IF(Квартиры!B228="","",Квартиры!B228)</f>
        <v/>
      </c>
      <c r="C230">
        <f>IF(Квартиры!C228="","",Квартиры!C228)</f>
        <v/>
      </c>
      <c r="D230">
        <f>IF(Квартиры!D228="","",Квартиры!D228)</f>
        <v/>
      </c>
      <c r="E230">
        <f>IF(Квартиры!G228="","",Квартиры!G228)</f>
        <v/>
      </c>
      <c r="F230">
        <f>IF(Квартиры!E228="","",Квартиры!E228)</f>
        <v/>
      </c>
      <c r="G230">
        <f>IF(Квартиры!F228="","",Квартиры!F228)</f>
        <v/>
      </c>
      <c r="H230">
        <f>IF(Квартиры!H228="","",Квартиры!H228)</f>
        <v/>
      </c>
      <c r="I230">
        <f>IF(Квартиры!I228="","",Квартиры!I228)</f>
        <v/>
      </c>
      <c r="J230">
        <f>IF(Квартиры!J228="","",Квартиры!J228)</f>
        <v/>
      </c>
    </row>
    <row r="231">
      <c r="A231">
        <f>IF(Квартиры!A229="","",Квартиры!A229)</f>
        <v/>
      </c>
      <c r="B231">
        <f>IF(Квартиры!B229="","",Квартиры!B229)</f>
        <v/>
      </c>
      <c r="C231">
        <f>IF(Квартиры!C229="","",Квартиры!C229)</f>
        <v/>
      </c>
      <c r="D231">
        <f>IF(Квартиры!D229="","",Квартиры!D229)</f>
        <v/>
      </c>
      <c r="E231">
        <f>IF(Квартиры!G229="","",Квартиры!G229)</f>
        <v/>
      </c>
      <c r="F231">
        <f>IF(Квартиры!E229="","",Квартиры!E229)</f>
        <v/>
      </c>
      <c r="G231">
        <f>IF(Квартиры!F229="","",Квартиры!F229)</f>
        <v/>
      </c>
      <c r="H231">
        <f>IF(Квартиры!H229="","",Квартиры!H229)</f>
        <v/>
      </c>
      <c r="I231">
        <f>IF(Квартиры!I229="","",Квартиры!I229)</f>
        <v/>
      </c>
      <c r="J231">
        <f>IF(Квартиры!J229="","",Квартиры!J229)</f>
        <v/>
      </c>
    </row>
    <row r="232">
      <c r="A232">
        <f>IF(Квартиры!A230="","",Квартиры!A230)</f>
        <v/>
      </c>
      <c r="B232">
        <f>IF(Квартиры!B230="","",Квартиры!B230)</f>
        <v/>
      </c>
      <c r="C232">
        <f>IF(Квартиры!C230="","",Квартиры!C230)</f>
        <v/>
      </c>
      <c r="D232">
        <f>IF(Квартиры!D230="","",Квартиры!D230)</f>
        <v/>
      </c>
      <c r="E232">
        <f>IF(Квартиры!G230="","",Квартиры!G230)</f>
        <v/>
      </c>
      <c r="F232">
        <f>IF(Квартиры!E230="","",Квартиры!E230)</f>
        <v/>
      </c>
      <c r="G232">
        <f>IF(Квартиры!F230="","",Квартиры!F230)</f>
        <v/>
      </c>
      <c r="H232">
        <f>IF(Квартиры!H230="","",Квартиры!H230)</f>
        <v/>
      </c>
      <c r="I232">
        <f>IF(Квартиры!I230="","",Квартиры!I230)</f>
        <v/>
      </c>
      <c r="J232">
        <f>IF(Квартиры!J230="","",Квартиры!J230)</f>
        <v/>
      </c>
    </row>
    <row r="233">
      <c r="A233">
        <f>IF(Квартиры!A231="","",Квартиры!A231)</f>
        <v/>
      </c>
      <c r="B233">
        <f>IF(Квартиры!B231="","",Квартиры!B231)</f>
        <v/>
      </c>
      <c r="C233">
        <f>IF(Квартиры!C231="","",Квартиры!C231)</f>
        <v/>
      </c>
      <c r="D233">
        <f>IF(Квартиры!D231="","",Квартиры!D231)</f>
        <v/>
      </c>
      <c r="E233">
        <f>IF(Квартиры!G231="","",Квартиры!G231)</f>
        <v/>
      </c>
      <c r="F233">
        <f>IF(Квартиры!E231="","",Квартиры!E231)</f>
        <v/>
      </c>
      <c r="G233">
        <f>IF(Квартиры!F231="","",Квартиры!F231)</f>
        <v/>
      </c>
      <c r="H233">
        <f>IF(Квартиры!H231="","",Квартиры!H231)</f>
        <v/>
      </c>
      <c r="I233">
        <f>IF(Квартиры!I231="","",Квартиры!I231)</f>
        <v/>
      </c>
      <c r="J233">
        <f>IF(Квартиры!J231="","",Квартиры!J231)</f>
        <v/>
      </c>
    </row>
    <row r="234">
      <c r="A234">
        <f>IF(Квартиры!A232="","",Квартиры!A232)</f>
        <v/>
      </c>
      <c r="B234">
        <f>IF(Квартиры!B232="","",Квартиры!B232)</f>
        <v/>
      </c>
      <c r="C234">
        <f>IF(Квартиры!C232="","",Квартиры!C232)</f>
        <v/>
      </c>
      <c r="D234">
        <f>IF(Квартиры!D232="","",Квартиры!D232)</f>
        <v/>
      </c>
      <c r="E234">
        <f>IF(Квартиры!G232="","",Квартиры!G232)</f>
        <v/>
      </c>
      <c r="F234">
        <f>IF(Квартиры!E232="","",Квартиры!E232)</f>
        <v/>
      </c>
      <c r="G234">
        <f>IF(Квартиры!F232="","",Квартиры!F232)</f>
        <v/>
      </c>
      <c r="H234">
        <f>IF(Квартиры!H232="","",Квартиры!H232)</f>
        <v/>
      </c>
      <c r="I234">
        <f>IF(Квартиры!I232="","",Квартиры!I232)</f>
        <v/>
      </c>
      <c r="J234">
        <f>IF(Квартиры!J232="","",Квартиры!J232)</f>
        <v/>
      </c>
    </row>
    <row r="235">
      <c r="A235">
        <f>IF(Квартиры!A233="","",Квартиры!A233)</f>
        <v/>
      </c>
      <c r="B235">
        <f>IF(Квартиры!B233="","",Квартиры!B233)</f>
        <v/>
      </c>
      <c r="C235">
        <f>IF(Квартиры!C233="","",Квартиры!C233)</f>
        <v/>
      </c>
      <c r="D235">
        <f>IF(Квартиры!D233="","",Квартиры!D233)</f>
        <v/>
      </c>
      <c r="E235">
        <f>IF(Квартиры!G233="","",Квартиры!G233)</f>
        <v/>
      </c>
      <c r="F235">
        <f>IF(Квартиры!E233="","",Квартиры!E233)</f>
        <v/>
      </c>
      <c r="G235">
        <f>IF(Квартиры!F233="","",Квартиры!F233)</f>
        <v/>
      </c>
      <c r="H235">
        <f>IF(Квартиры!H233="","",Квартиры!H233)</f>
        <v/>
      </c>
      <c r="I235">
        <f>IF(Квартиры!I233="","",Квартиры!I233)</f>
        <v/>
      </c>
      <c r="J235">
        <f>IF(Квартиры!J233="","",Квартиры!J233)</f>
        <v/>
      </c>
    </row>
    <row r="236">
      <c r="A236">
        <f>IF(Квартиры!A234="","",Квартиры!A234)</f>
        <v/>
      </c>
      <c r="B236">
        <f>IF(Квартиры!B234="","",Квартиры!B234)</f>
        <v/>
      </c>
      <c r="C236">
        <f>IF(Квартиры!C234="","",Квартиры!C234)</f>
        <v/>
      </c>
      <c r="D236">
        <f>IF(Квартиры!D234="","",Квартиры!D234)</f>
        <v/>
      </c>
      <c r="E236">
        <f>IF(Квартиры!G234="","",Квартиры!G234)</f>
        <v/>
      </c>
      <c r="F236">
        <f>IF(Квартиры!E234="","",Квартиры!E234)</f>
        <v/>
      </c>
      <c r="G236">
        <f>IF(Квартиры!F234="","",Квартиры!F234)</f>
        <v/>
      </c>
      <c r="H236">
        <f>IF(Квартиры!H234="","",Квартиры!H234)</f>
        <v/>
      </c>
      <c r="I236">
        <f>IF(Квартиры!I234="","",Квартиры!I234)</f>
        <v/>
      </c>
      <c r="J236">
        <f>IF(Квартиры!J234="","",Квартиры!J234)</f>
        <v/>
      </c>
    </row>
    <row r="237">
      <c r="A237">
        <f>IF(Квартиры!A235="","",Квартиры!A235)</f>
        <v/>
      </c>
      <c r="B237">
        <f>IF(Квартиры!B235="","",Квартиры!B235)</f>
        <v/>
      </c>
      <c r="C237">
        <f>IF(Квартиры!C235="","",Квартиры!C235)</f>
        <v/>
      </c>
      <c r="D237">
        <f>IF(Квартиры!D235="","",Квартиры!D235)</f>
        <v/>
      </c>
      <c r="E237">
        <f>IF(Квартиры!G235="","",Квартиры!G235)</f>
        <v/>
      </c>
      <c r="F237">
        <f>IF(Квартиры!E235="","",Квартиры!E235)</f>
        <v/>
      </c>
      <c r="G237">
        <f>IF(Квартиры!F235="","",Квартиры!F235)</f>
        <v/>
      </c>
      <c r="H237">
        <f>IF(Квартиры!H235="","",Квартиры!H235)</f>
        <v/>
      </c>
      <c r="I237">
        <f>IF(Квартиры!I235="","",Квартиры!I235)</f>
        <v/>
      </c>
      <c r="J237">
        <f>IF(Квартиры!J235="","",Квартиры!J235)</f>
        <v/>
      </c>
    </row>
    <row r="238">
      <c r="A238">
        <f>IF(Квартиры!A236="","",Квартиры!A236)</f>
        <v/>
      </c>
      <c r="B238">
        <f>IF(Квартиры!B236="","",Квартиры!B236)</f>
        <v/>
      </c>
      <c r="C238">
        <f>IF(Квартиры!C236="","",Квартиры!C236)</f>
        <v/>
      </c>
      <c r="D238">
        <f>IF(Квартиры!D236="","",Квартиры!D236)</f>
        <v/>
      </c>
      <c r="E238">
        <f>IF(Квартиры!G236="","",Квартиры!G236)</f>
        <v/>
      </c>
      <c r="F238">
        <f>IF(Квартиры!E236="","",Квартиры!E236)</f>
        <v/>
      </c>
      <c r="G238">
        <f>IF(Квартиры!F236="","",Квартиры!F236)</f>
        <v/>
      </c>
      <c r="H238">
        <f>IF(Квартиры!H236="","",Квартиры!H236)</f>
        <v/>
      </c>
      <c r="I238">
        <f>IF(Квартиры!I236="","",Квартиры!I236)</f>
        <v/>
      </c>
      <c r="J238">
        <f>IF(Квартиры!J236="","",Квартиры!J236)</f>
        <v/>
      </c>
    </row>
    <row r="239">
      <c r="A239">
        <f>IF(Квартиры!A237="","",Квартиры!A237)</f>
        <v/>
      </c>
      <c r="B239">
        <f>IF(Квартиры!B237="","",Квартиры!B237)</f>
        <v/>
      </c>
      <c r="C239">
        <f>IF(Квартиры!C237="","",Квартиры!C237)</f>
        <v/>
      </c>
      <c r="D239">
        <f>IF(Квартиры!D237="","",Квартиры!D237)</f>
        <v/>
      </c>
      <c r="E239">
        <f>IF(Квартиры!G237="","",Квартиры!G237)</f>
        <v/>
      </c>
      <c r="F239">
        <f>IF(Квартиры!E237="","",Квартиры!E237)</f>
        <v/>
      </c>
      <c r="G239">
        <f>IF(Квартиры!F237="","",Квартиры!F237)</f>
        <v/>
      </c>
      <c r="H239">
        <f>IF(Квартиры!H237="","",Квартиры!H237)</f>
        <v/>
      </c>
      <c r="I239">
        <f>IF(Квартиры!I237="","",Квартиры!I237)</f>
        <v/>
      </c>
      <c r="J239">
        <f>IF(Квартиры!J237="","",Квартиры!J237)</f>
        <v/>
      </c>
    </row>
    <row r="240">
      <c r="A240">
        <f>IF(Квартиры!A238="","",Квартиры!A238)</f>
        <v/>
      </c>
      <c r="B240">
        <f>IF(Квартиры!B238="","",Квартиры!B238)</f>
        <v/>
      </c>
      <c r="C240">
        <f>IF(Квартиры!C238="","",Квартиры!C238)</f>
        <v/>
      </c>
      <c r="D240">
        <f>IF(Квартиры!D238="","",Квартиры!D238)</f>
        <v/>
      </c>
      <c r="E240">
        <f>IF(Квартиры!G238="","",Квартиры!G238)</f>
        <v/>
      </c>
      <c r="F240">
        <f>IF(Квартиры!E238="","",Квартиры!E238)</f>
        <v/>
      </c>
      <c r="G240">
        <f>IF(Квартиры!F238="","",Квартиры!F238)</f>
        <v/>
      </c>
      <c r="H240">
        <f>IF(Квартиры!H238="","",Квартиры!H238)</f>
        <v/>
      </c>
      <c r="I240">
        <f>IF(Квартиры!I238="","",Квартиры!I238)</f>
        <v/>
      </c>
      <c r="J240">
        <f>IF(Квартиры!J238="","",Квартиры!J238)</f>
        <v/>
      </c>
    </row>
    <row r="241">
      <c r="A241">
        <f>IF(Квартиры!A239="","",Квартиры!A239)</f>
        <v/>
      </c>
      <c r="B241">
        <f>IF(Квартиры!B239="","",Квартиры!B239)</f>
        <v/>
      </c>
      <c r="C241">
        <f>IF(Квартиры!C239="","",Квартиры!C239)</f>
        <v/>
      </c>
      <c r="D241">
        <f>IF(Квартиры!D239="","",Квартиры!D239)</f>
        <v/>
      </c>
      <c r="E241">
        <f>IF(Квартиры!G239="","",Квартиры!G239)</f>
        <v/>
      </c>
      <c r="F241">
        <f>IF(Квартиры!E239="","",Квартиры!E239)</f>
        <v/>
      </c>
      <c r="G241">
        <f>IF(Квартиры!F239="","",Квартиры!F239)</f>
        <v/>
      </c>
      <c r="H241">
        <f>IF(Квартиры!H239="","",Квартиры!H239)</f>
        <v/>
      </c>
      <c r="I241">
        <f>IF(Квартиры!I239="","",Квартиры!I239)</f>
        <v/>
      </c>
      <c r="J241">
        <f>IF(Квартиры!J239="","",Квартиры!J239)</f>
        <v/>
      </c>
    </row>
    <row r="242">
      <c r="A242">
        <f>IF(Квартиры!A240="","",Квартиры!A240)</f>
        <v/>
      </c>
      <c r="B242">
        <f>IF(Квартиры!B240="","",Квартиры!B240)</f>
        <v/>
      </c>
      <c r="C242">
        <f>IF(Квартиры!C240="","",Квартиры!C240)</f>
        <v/>
      </c>
      <c r="D242">
        <f>IF(Квартиры!D240="","",Квартиры!D240)</f>
        <v/>
      </c>
      <c r="E242">
        <f>IF(Квартиры!G240="","",Квартиры!G240)</f>
        <v/>
      </c>
      <c r="F242">
        <f>IF(Квартиры!E240="","",Квартиры!E240)</f>
        <v/>
      </c>
      <c r="G242">
        <f>IF(Квартиры!F240="","",Квартиры!F240)</f>
        <v/>
      </c>
      <c r="H242">
        <f>IF(Квартиры!H240="","",Квартиры!H240)</f>
        <v/>
      </c>
      <c r="I242">
        <f>IF(Квартиры!I240="","",Квартиры!I240)</f>
        <v/>
      </c>
      <c r="J242">
        <f>IF(Квартиры!J240="","",Квартиры!J240)</f>
        <v/>
      </c>
    </row>
    <row r="243">
      <c r="A243">
        <f>IF(Квартиры!A241="","",Квартиры!A241)</f>
        <v/>
      </c>
      <c r="B243">
        <f>IF(Квартиры!B241="","",Квартиры!B241)</f>
        <v/>
      </c>
      <c r="C243">
        <f>IF(Квартиры!C241="","",Квартиры!C241)</f>
        <v/>
      </c>
      <c r="D243">
        <f>IF(Квартиры!D241="","",Квартиры!D241)</f>
        <v/>
      </c>
      <c r="E243">
        <f>IF(Квартиры!G241="","",Квартиры!G241)</f>
        <v/>
      </c>
      <c r="F243">
        <f>IF(Квартиры!E241="","",Квартиры!E241)</f>
        <v/>
      </c>
      <c r="G243">
        <f>IF(Квартиры!F241="","",Квартиры!F241)</f>
        <v/>
      </c>
      <c r="H243">
        <f>IF(Квартиры!H241="","",Квартиры!H241)</f>
        <v/>
      </c>
      <c r="I243">
        <f>IF(Квартиры!I241="","",Квартиры!I241)</f>
        <v/>
      </c>
      <c r="J243">
        <f>IF(Квартиры!J241="","",Квартиры!J241)</f>
        <v/>
      </c>
    </row>
    <row r="244">
      <c r="A244">
        <f>IF(Квартиры!A242="","",Квартиры!A242)</f>
        <v/>
      </c>
      <c r="B244">
        <f>IF(Квартиры!B242="","",Квартиры!B242)</f>
        <v/>
      </c>
      <c r="C244">
        <f>IF(Квартиры!C242="","",Квартиры!C242)</f>
        <v/>
      </c>
      <c r="D244">
        <f>IF(Квартиры!D242="","",Квартиры!D242)</f>
        <v/>
      </c>
      <c r="E244">
        <f>IF(Квартиры!G242="","",Квартиры!G242)</f>
        <v/>
      </c>
      <c r="F244">
        <f>IF(Квартиры!E242="","",Квартиры!E242)</f>
        <v/>
      </c>
      <c r="G244">
        <f>IF(Квартиры!F242="","",Квартиры!F242)</f>
        <v/>
      </c>
      <c r="H244">
        <f>IF(Квартиры!H242="","",Квартиры!H242)</f>
        <v/>
      </c>
      <c r="I244">
        <f>IF(Квартиры!I242="","",Квартиры!I242)</f>
        <v/>
      </c>
      <c r="J244">
        <f>IF(Квартиры!J242="","",Квартиры!J242)</f>
        <v/>
      </c>
    </row>
    <row r="245">
      <c r="A245">
        <f>IF(Квартиры!A243="","",Квартиры!A243)</f>
        <v/>
      </c>
      <c r="B245">
        <f>IF(Квартиры!B243="","",Квартиры!B243)</f>
        <v/>
      </c>
      <c r="C245">
        <f>IF(Квартиры!C243="","",Квартиры!C243)</f>
        <v/>
      </c>
      <c r="D245">
        <f>IF(Квартиры!D243="","",Квартиры!D243)</f>
        <v/>
      </c>
      <c r="E245">
        <f>IF(Квартиры!G243="","",Квартиры!G243)</f>
        <v/>
      </c>
      <c r="F245">
        <f>IF(Квартиры!E243="","",Квартиры!E243)</f>
        <v/>
      </c>
      <c r="G245">
        <f>IF(Квартиры!F243="","",Квартиры!F243)</f>
        <v/>
      </c>
      <c r="H245">
        <f>IF(Квартиры!H243="","",Квартиры!H243)</f>
        <v/>
      </c>
      <c r="I245">
        <f>IF(Квартиры!I243="","",Квартиры!I243)</f>
        <v/>
      </c>
      <c r="J245">
        <f>IF(Квартиры!J243="","",Квартиры!J243)</f>
        <v/>
      </c>
    </row>
    <row r="246">
      <c r="A246">
        <f>IF(Квартиры!A244="","",Квартиры!A244)</f>
        <v/>
      </c>
      <c r="B246">
        <f>IF(Квартиры!B244="","",Квартиры!B244)</f>
        <v/>
      </c>
      <c r="C246">
        <f>IF(Квартиры!C244="","",Квартиры!C244)</f>
        <v/>
      </c>
      <c r="D246">
        <f>IF(Квартиры!D244="","",Квартиры!D244)</f>
        <v/>
      </c>
      <c r="E246">
        <f>IF(Квартиры!G244="","",Квартиры!G244)</f>
        <v/>
      </c>
      <c r="F246">
        <f>IF(Квартиры!E244="","",Квартиры!E244)</f>
        <v/>
      </c>
      <c r="G246">
        <f>IF(Квартиры!F244="","",Квартиры!F244)</f>
        <v/>
      </c>
      <c r="H246">
        <f>IF(Квартиры!H244="","",Квартиры!H244)</f>
        <v/>
      </c>
      <c r="I246">
        <f>IF(Квартиры!I244="","",Квартиры!I244)</f>
        <v/>
      </c>
      <c r="J246">
        <f>IF(Квартиры!J244="","",Квартиры!J244)</f>
        <v/>
      </c>
    </row>
    <row r="247">
      <c r="A247">
        <f>IF(Квартиры!A245="","",Квартиры!A245)</f>
        <v/>
      </c>
      <c r="B247">
        <f>IF(Квартиры!B245="","",Квартиры!B245)</f>
        <v/>
      </c>
      <c r="C247">
        <f>IF(Квартиры!C245="","",Квартиры!C245)</f>
        <v/>
      </c>
      <c r="D247">
        <f>IF(Квартиры!D245="","",Квартиры!D245)</f>
        <v/>
      </c>
      <c r="E247">
        <f>IF(Квартиры!G245="","",Квартиры!G245)</f>
        <v/>
      </c>
      <c r="F247">
        <f>IF(Квартиры!E245="","",Квартиры!E245)</f>
        <v/>
      </c>
      <c r="G247">
        <f>IF(Квартиры!F245="","",Квартиры!F245)</f>
        <v/>
      </c>
      <c r="H247">
        <f>IF(Квартиры!H245="","",Квартиры!H245)</f>
        <v/>
      </c>
      <c r="I247">
        <f>IF(Квартиры!I245="","",Квартиры!I245)</f>
        <v/>
      </c>
      <c r="J247">
        <f>IF(Квартиры!J245="","",Квартиры!J245)</f>
        <v/>
      </c>
    </row>
    <row r="248">
      <c r="A248">
        <f>IF(Квартиры!A246="","",Квартиры!A246)</f>
        <v/>
      </c>
      <c r="B248">
        <f>IF(Квартиры!B246="","",Квартиры!B246)</f>
        <v/>
      </c>
      <c r="C248">
        <f>IF(Квартиры!C246="","",Квартиры!C246)</f>
        <v/>
      </c>
      <c r="D248">
        <f>IF(Квартиры!D246="","",Квартиры!D246)</f>
        <v/>
      </c>
      <c r="E248">
        <f>IF(Квартиры!G246="","",Квартиры!G246)</f>
        <v/>
      </c>
      <c r="F248">
        <f>IF(Квартиры!E246="","",Квартиры!E246)</f>
        <v/>
      </c>
      <c r="G248">
        <f>IF(Квартиры!F246="","",Квартиры!F246)</f>
        <v/>
      </c>
      <c r="H248">
        <f>IF(Квартиры!H246="","",Квартиры!H246)</f>
        <v/>
      </c>
      <c r="I248">
        <f>IF(Квартиры!I246="","",Квартиры!I246)</f>
        <v/>
      </c>
      <c r="J248">
        <f>IF(Квартиры!J246="","",Квартиры!J246)</f>
        <v/>
      </c>
    </row>
    <row r="249">
      <c r="A249">
        <f>IF(Квартиры!A247="","",Квартиры!A247)</f>
        <v/>
      </c>
      <c r="B249">
        <f>IF(Квартиры!B247="","",Квартиры!B247)</f>
        <v/>
      </c>
      <c r="C249">
        <f>IF(Квартиры!C247="","",Квартиры!C247)</f>
        <v/>
      </c>
      <c r="D249">
        <f>IF(Квартиры!D247="","",Квартиры!D247)</f>
        <v/>
      </c>
      <c r="E249">
        <f>IF(Квартиры!G247="","",Квартиры!G247)</f>
        <v/>
      </c>
      <c r="F249">
        <f>IF(Квартиры!E247="","",Квартиры!E247)</f>
        <v/>
      </c>
      <c r="G249">
        <f>IF(Квартиры!F247="","",Квартиры!F247)</f>
        <v/>
      </c>
      <c r="H249">
        <f>IF(Квартиры!H247="","",Квартиры!H247)</f>
        <v/>
      </c>
      <c r="I249">
        <f>IF(Квартиры!I247="","",Квартиры!I247)</f>
        <v/>
      </c>
      <c r="J249">
        <f>IF(Квартиры!J247="","",Квартиры!J247)</f>
        <v/>
      </c>
    </row>
    <row r="250">
      <c r="A250">
        <f>IF(Квартиры!A248="","",Квартиры!A248)</f>
        <v/>
      </c>
      <c r="B250">
        <f>IF(Квартиры!B248="","",Квартиры!B248)</f>
        <v/>
      </c>
      <c r="C250">
        <f>IF(Квартиры!C248="","",Квартиры!C248)</f>
        <v/>
      </c>
      <c r="D250">
        <f>IF(Квартиры!D248="","",Квартиры!D248)</f>
        <v/>
      </c>
      <c r="E250">
        <f>IF(Квартиры!G248="","",Квартиры!G248)</f>
        <v/>
      </c>
      <c r="F250">
        <f>IF(Квартиры!E248="","",Квартиры!E248)</f>
        <v/>
      </c>
      <c r="G250">
        <f>IF(Квартиры!F248="","",Квартиры!F248)</f>
        <v/>
      </c>
      <c r="H250">
        <f>IF(Квартиры!H248="","",Квартиры!H248)</f>
        <v/>
      </c>
      <c r="I250">
        <f>IF(Квартиры!I248="","",Квартиры!I248)</f>
        <v/>
      </c>
      <c r="J250">
        <f>IF(Квартиры!J248="","",Квартиры!J248)</f>
        <v/>
      </c>
    </row>
    <row r="251">
      <c r="A251">
        <f>IF(Квартиры!A249="","",Квартиры!A249)</f>
        <v/>
      </c>
      <c r="B251">
        <f>IF(Квартиры!B249="","",Квартиры!B249)</f>
        <v/>
      </c>
      <c r="C251">
        <f>IF(Квартиры!C249="","",Квартиры!C249)</f>
        <v/>
      </c>
      <c r="D251">
        <f>IF(Квартиры!D249="","",Квартиры!D249)</f>
        <v/>
      </c>
      <c r="E251">
        <f>IF(Квартиры!G249="","",Квартиры!G249)</f>
        <v/>
      </c>
      <c r="F251">
        <f>IF(Квартиры!E249="","",Квартиры!E249)</f>
        <v/>
      </c>
      <c r="G251">
        <f>IF(Квартиры!F249="","",Квартиры!F249)</f>
        <v/>
      </c>
      <c r="H251">
        <f>IF(Квартиры!H249="","",Квартиры!H249)</f>
        <v/>
      </c>
      <c r="I251">
        <f>IF(Квартиры!I249="","",Квартиры!I249)</f>
        <v/>
      </c>
      <c r="J251">
        <f>IF(Квартиры!J249="","",Квартиры!J249)</f>
        <v/>
      </c>
    </row>
    <row r="252">
      <c r="A252">
        <f>IF(Квартиры!A250="","",Квартиры!A250)</f>
        <v/>
      </c>
      <c r="B252">
        <f>IF(Квартиры!B250="","",Квартиры!B250)</f>
        <v/>
      </c>
      <c r="C252">
        <f>IF(Квартиры!C250="","",Квартиры!C250)</f>
        <v/>
      </c>
      <c r="D252">
        <f>IF(Квартиры!D250="","",Квартиры!D250)</f>
        <v/>
      </c>
      <c r="E252">
        <f>IF(Квартиры!G250="","",Квартиры!G250)</f>
        <v/>
      </c>
      <c r="F252">
        <f>IF(Квартиры!E250="","",Квартиры!E250)</f>
        <v/>
      </c>
      <c r="G252">
        <f>IF(Квартиры!F250="","",Квартиры!F250)</f>
        <v/>
      </c>
      <c r="H252">
        <f>IF(Квартиры!H250="","",Квартиры!H250)</f>
        <v/>
      </c>
      <c r="I252">
        <f>IF(Квартиры!I250="","",Квартиры!I250)</f>
        <v/>
      </c>
      <c r="J252">
        <f>IF(Квартиры!J250="","",Квартиры!J250)</f>
        <v/>
      </c>
    </row>
    <row r="253">
      <c r="A253">
        <f>IF(Квартиры!A251="","",Квартиры!A251)</f>
        <v/>
      </c>
      <c r="B253">
        <f>IF(Квартиры!B251="","",Квартиры!B251)</f>
        <v/>
      </c>
      <c r="C253">
        <f>IF(Квартиры!C251="","",Квартиры!C251)</f>
        <v/>
      </c>
      <c r="D253">
        <f>IF(Квартиры!D251="","",Квартиры!D251)</f>
        <v/>
      </c>
      <c r="E253">
        <f>IF(Квартиры!G251="","",Квартиры!G251)</f>
        <v/>
      </c>
      <c r="F253">
        <f>IF(Квартиры!E251="","",Квартиры!E251)</f>
        <v/>
      </c>
      <c r="G253">
        <f>IF(Квартиры!F251="","",Квартиры!F251)</f>
        <v/>
      </c>
      <c r="H253">
        <f>IF(Квартиры!H251="","",Квартиры!H251)</f>
        <v/>
      </c>
      <c r="I253">
        <f>IF(Квартиры!I251="","",Квартиры!I251)</f>
        <v/>
      </c>
      <c r="J253">
        <f>IF(Квартиры!J251="","",Квартиры!J251)</f>
        <v/>
      </c>
    </row>
    <row r="254">
      <c r="A254">
        <f>IF(Квартиры!A252="","",Квартиры!A252)</f>
        <v/>
      </c>
      <c r="B254">
        <f>IF(Квартиры!B252="","",Квартиры!B252)</f>
        <v/>
      </c>
      <c r="C254">
        <f>IF(Квартиры!C252="","",Квартиры!C252)</f>
        <v/>
      </c>
      <c r="D254">
        <f>IF(Квартиры!D252="","",Квартиры!D252)</f>
        <v/>
      </c>
      <c r="E254">
        <f>IF(Квартиры!G252="","",Квартиры!G252)</f>
        <v/>
      </c>
      <c r="F254">
        <f>IF(Квартиры!E252="","",Квартиры!E252)</f>
        <v/>
      </c>
      <c r="G254">
        <f>IF(Квартиры!F252="","",Квартиры!F252)</f>
        <v/>
      </c>
      <c r="H254">
        <f>IF(Квартиры!H252="","",Квартиры!H252)</f>
        <v/>
      </c>
      <c r="I254">
        <f>IF(Квартиры!I252="","",Квартиры!I252)</f>
        <v/>
      </c>
      <c r="J254">
        <f>IF(Квартиры!J252="","",Квартиры!J252)</f>
        <v/>
      </c>
    </row>
    <row r="255">
      <c r="A255">
        <f>IF(Квартиры!A253="","",Квартиры!A253)</f>
        <v/>
      </c>
      <c r="B255">
        <f>IF(Квартиры!B253="","",Квартиры!B253)</f>
        <v/>
      </c>
      <c r="C255">
        <f>IF(Квартиры!C253="","",Квартиры!C253)</f>
        <v/>
      </c>
      <c r="D255">
        <f>IF(Квартиры!D253="","",Квартиры!D253)</f>
        <v/>
      </c>
      <c r="E255">
        <f>IF(Квартиры!G253="","",Квартиры!G253)</f>
        <v/>
      </c>
      <c r="F255">
        <f>IF(Квартиры!E253="","",Квартиры!E253)</f>
        <v/>
      </c>
      <c r="G255">
        <f>IF(Квартиры!F253="","",Квартиры!F253)</f>
        <v/>
      </c>
      <c r="H255">
        <f>IF(Квартиры!H253="","",Квартиры!H253)</f>
        <v/>
      </c>
      <c r="I255">
        <f>IF(Квартиры!I253="","",Квартиры!I253)</f>
        <v/>
      </c>
      <c r="J255">
        <f>IF(Квартиры!J253="","",Квартиры!J253)</f>
        <v/>
      </c>
    </row>
    <row r="256">
      <c r="A256">
        <f>IF(Квартиры!A254="","",Квартиры!A254)</f>
        <v/>
      </c>
      <c r="B256">
        <f>IF(Квартиры!B254="","",Квартиры!B254)</f>
        <v/>
      </c>
      <c r="C256">
        <f>IF(Квартиры!C254="","",Квартиры!C254)</f>
        <v/>
      </c>
      <c r="D256">
        <f>IF(Квартиры!D254="","",Квартиры!D254)</f>
        <v/>
      </c>
      <c r="E256">
        <f>IF(Квартиры!G254="","",Квартиры!G254)</f>
        <v/>
      </c>
      <c r="F256">
        <f>IF(Квартиры!E254="","",Квартиры!E254)</f>
        <v/>
      </c>
      <c r="G256">
        <f>IF(Квартиры!F254="","",Квартиры!F254)</f>
        <v/>
      </c>
      <c r="H256">
        <f>IF(Квартиры!H254="","",Квартиры!H254)</f>
        <v/>
      </c>
      <c r="I256">
        <f>IF(Квартиры!I254="","",Квартиры!I254)</f>
        <v/>
      </c>
      <c r="J256">
        <f>IF(Квартиры!J254="","",Квартиры!J254)</f>
        <v/>
      </c>
    </row>
    <row r="257">
      <c r="A257">
        <f>IF(Квартиры!A255="","",Квартиры!A255)</f>
        <v/>
      </c>
      <c r="B257">
        <f>IF(Квартиры!B255="","",Квартиры!B255)</f>
        <v/>
      </c>
      <c r="C257">
        <f>IF(Квартиры!C255="","",Квартиры!C255)</f>
        <v/>
      </c>
      <c r="D257">
        <f>IF(Квартиры!D255="","",Квартиры!D255)</f>
        <v/>
      </c>
      <c r="E257">
        <f>IF(Квартиры!G255="","",Квартиры!G255)</f>
        <v/>
      </c>
      <c r="F257">
        <f>IF(Квартиры!E255="","",Квартиры!E255)</f>
        <v/>
      </c>
      <c r="G257">
        <f>IF(Квартиры!F255="","",Квартиры!F255)</f>
        <v/>
      </c>
      <c r="H257">
        <f>IF(Квартиры!H255="","",Квартиры!H255)</f>
        <v/>
      </c>
      <c r="I257">
        <f>IF(Квартиры!I255="","",Квартиры!I255)</f>
        <v/>
      </c>
      <c r="J257">
        <f>IF(Квартиры!J255="","",Квартиры!J255)</f>
        <v/>
      </c>
    </row>
    <row r="258">
      <c r="A258">
        <f>IF(Квартиры!A256="","",Квартиры!A256)</f>
        <v/>
      </c>
      <c r="B258">
        <f>IF(Квартиры!B256="","",Квартиры!B256)</f>
        <v/>
      </c>
      <c r="C258">
        <f>IF(Квартиры!C256="","",Квартиры!C256)</f>
        <v/>
      </c>
      <c r="D258">
        <f>IF(Квартиры!D256="","",Квартиры!D256)</f>
        <v/>
      </c>
      <c r="E258">
        <f>IF(Квартиры!G256="","",Квартиры!G256)</f>
        <v/>
      </c>
      <c r="F258">
        <f>IF(Квартиры!E256="","",Квартиры!E256)</f>
        <v/>
      </c>
      <c r="G258">
        <f>IF(Квартиры!F256="","",Квартиры!F256)</f>
        <v/>
      </c>
      <c r="H258">
        <f>IF(Квартиры!H256="","",Квартиры!H256)</f>
        <v/>
      </c>
      <c r="I258">
        <f>IF(Квартиры!I256="","",Квартиры!I256)</f>
        <v/>
      </c>
      <c r="J258">
        <f>IF(Квартиры!J256="","",Квартиры!J256)</f>
        <v/>
      </c>
    </row>
    <row r="259">
      <c r="A259">
        <f>IF(Квартиры!A257="","",Квартиры!A257)</f>
        <v/>
      </c>
      <c r="B259">
        <f>IF(Квартиры!B257="","",Квартиры!B257)</f>
        <v/>
      </c>
      <c r="C259">
        <f>IF(Квартиры!C257="","",Квартиры!C257)</f>
        <v/>
      </c>
      <c r="D259">
        <f>IF(Квартиры!D257="","",Квартиры!D257)</f>
        <v/>
      </c>
      <c r="E259">
        <f>IF(Квартиры!G257="","",Квартиры!G257)</f>
        <v/>
      </c>
      <c r="F259">
        <f>IF(Квартиры!E257="","",Квартиры!E257)</f>
        <v/>
      </c>
      <c r="G259">
        <f>IF(Квартиры!F257="","",Квартиры!F257)</f>
        <v/>
      </c>
      <c r="H259">
        <f>IF(Квартиры!H257="","",Квартиры!H257)</f>
        <v/>
      </c>
      <c r="I259">
        <f>IF(Квартиры!I257="","",Квартиры!I257)</f>
        <v/>
      </c>
      <c r="J259">
        <f>IF(Квартиры!J257="","",Квартиры!J257)</f>
        <v/>
      </c>
    </row>
    <row r="260">
      <c r="A260">
        <f>IF(Квартиры!A258="","",Квартиры!A258)</f>
        <v/>
      </c>
      <c r="B260">
        <f>IF(Квартиры!B258="","",Квартиры!B258)</f>
        <v/>
      </c>
      <c r="C260">
        <f>IF(Квартиры!C258="","",Квартиры!C258)</f>
        <v/>
      </c>
      <c r="D260">
        <f>IF(Квартиры!D258="","",Квартиры!D258)</f>
        <v/>
      </c>
      <c r="E260">
        <f>IF(Квартиры!G258="","",Квартиры!G258)</f>
        <v/>
      </c>
      <c r="F260">
        <f>IF(Квартиры!E258="","",Квартиры!E258)</f>
        <v/>
      </c>
      <c r="G260">
        <f>IF(Квартиры!F258="","",Квартиры!F258)</f>
        <v/>
      </c>
      <c r="H260">
        <f>IF(Квартиры!H258="","",Квартиры!H258)</f>
        <v/>
      </c>
      <c r="I260">
        <f>IF(Квартиры!I258="","",Квартиры!I258)</f>
        <v/>
      </c>
      <c r="J260">
        <f>IF(Квартиры!J258="","",Квартиры!J258)</f>
        <v/>
      </c>
    </row>
    <row r="261">
      <c r="A261">
        <f>IF(Квартиры!A259="","",Квартиры!A259)</f>
        <v/>
      </c>
      <c r="B261">
        <f>IF(Квартиры!B259="","",Квартиры!B259)</f>
        <v/>
      </c>
      <c r="C261">
        <f>IF(Квартиры!C259="","",Квартиры!C259)</f>
        <v/>
      </c>
      <c r="D261">
        <f>IF(Квартиры!D259="","",Квартиры!D259)</f>
        <v/>
      </c>
      <c r="E261">
        <f>IF(Квартиры!G259="","",Квартиры!G259)</f>
        <v/>
      </c>
      <c r="F261">
        <f>IF(Квартиры!E259="","",Квартиры!E259)</f>
        <v/>
      </c>
      <c r="G261">
        <f>IF(Квартиры!F259="","",Квартиры!F259)</f>
        <v/>
      </c>
      <c r="H261">
        <f>IF(Квартиры!H259="","",Квартиры!H259)</f>
        <v/>
      </c>
      <c r="I261">
        <f>IF(Квартиры!I259="","",Квартиры!I259)</f>
        <v/>
      </c>
      <c r="J261">
        <f>IF(Квартиры!J259="","",Квартиры!J259)</f>
        <v/>
      </c>
    </row>
    <row r="262">
      <c r="A262">
        <f>IF(Квартиры!A260="","",Квартиры!A260)</f>
        <v/>
      </c>
      <c r="B262">
        <f>IF(Квартиры!B260="","",Квартиры!B260)</f>
        <v/>
      </c>
      <c r="C262">
        <f>IF(Квартиры!C260="","",Квартиры!C260)</f>
        <v/>
      </c>
      <c r="D262">
        <f>IF(Квартиры!D260="","",Квартиры!D260)</f>
        <v/>
      </c>
      <c r="E262">
        <f>IF(Квартиры!G260="","",Квартиры!G260)</f>
        <v/>
      </c>
      <c r="F262">
        <f>IF(Квартиры!E260="","",Квартиры!E260)</f>
        <v/>
      </c>
      <c r="G262">
        <f>IF(Квартиры!F260="","",Квартиры!F260)</f>
        <v/>
      </c>
      <c r="H262">
        <f>IF(Квартиры!H260="","",Квартиры!H260)</f>
        <v/>
      </c>
      <c r="I262">
        <f>IF(Квартиры!I260="","",Квартиры!I260)</f>
        <v/>
      </c>
      <c r="J262">
        <f>IF(Квартиры!J260="","",Квартиры!J260)</f>
        <v/>
      </c>
    </row>
    <row r="263">
      <c r="A263">
        <f>IF(Квартиры!A261="","",Квартиры!A261)</f>
        <v/>
      </c>
      <c r="B263">
        <f>IF(Квартиры!B261="","",Квартиры!B261)</f>
        <v/>
      </c>
      <c r="C263">
        <f>IF(Квартиры!C261="","",Квартиры!C261)</f>
        <v/>
      </c>
      <c r="D263">
        <f>IF(Квартиры!D261="","",Квартиры!D261)</f>
        <v/>
      </c>
      <c r="E263">
        <f>IF(Квартиры!G261="","",Квартиры!G261)</f>
        <v/>
      </c>
      <c r="F263">
        <f>IF(Квартиры!E261="","",Квартиры!E261)</f>
        <v/>
      </c>
      <c r="G263">
        <f>IF(Квартиры!F261="","",Квартиры!F261)</f>
        <v/>
      </c>
      <c r="H263">
        <f>IF(Квартиры!H261="","",Квартиры!H261)</f>
        <v/>
      </c>
      <c r="I263">
        <f>IF(Квартиры!I261="","",Квартиры!I261)</f>
        <v/>
      </c>
      <c r="J263">
        <f>IF(Квартиры!J261="","",Квартиры!J261)</f>
        <v/>
      </c>
    </row>
    <row r="264">
      <c r="A264">
        <f>IF(Квартиры!A262="","",Квартиры!A262)</f>
        <v/>
      </c>
      <c r="B264">
        <f>IF(Квартиры!B262="","",Квартиры!B262)</f>
        <v/>
      </c>
      <c r="C264">
        <f>IF(Квартиры!C262="","",Квартиры!C262)</f>
        <v/>
      </c>
      <c r="D264">
        <f>IF(Квартиры!D262="","",Квартиры!D262)</f>
        <v/>
      </c>
      <c r="E264">
        <f>IF(Квартиры!G262="","",Квартиры!G262)</f>
        <v/>
      </c>
      <c r="F264">
        <f>IF(Квартиры!E262="","",Квартиры!E262)</f>
        <v/>
      </c>
      <c r="G264">
        <f>IF(Квартиры!F262="","",Квартиры!F262)</f>
        <v/>
      </c>
      <c r="H264">
        <f>IF(Квартиры!H262="","",Квартиры!H262)</f>
        <v/>
      </c>
      <c r="I264">
        <f>IF(Квартиры!I262="","",Квартиры!I262)</f>
        <v/>
      </c>
      <c r="J264">
        <f>IF(Квартиры!J262="","",Квартиры!J262)</f>
        <v/>
      </c>
    </row>
    <row r="265">
      <c r="A265">
        <f>IF(Квартиры!A263="","",Квартиры!A263)</f>
        <v/>
      </c>
      <c r="B265">
        <f>IF(Квартиры!B263="","",Квартиры!B263)</f>
        <v/>
      </c>
      <c r="C265">
        <f>IF(Квартиры!C263="","",Квартиры!C263)</f>
        <v/>
      </c>
      <c r="D265">
        <f>IF(Квартиры!D263="","",Квартиры!D263)</f>
        <v/>
      </c>
      <c r="E265">
        <f>IF(Квартиры!G263="","",Квартиры!G263)</f>
        <v/>
      </c>
      <c r="F265">
        <f>IF(Квартиры!E263="","",Квартиры!E263)</f>
        <v/>
      </c>
      <c r="G265">
        <f>IF(Квартиры!F263="","",Квартиры!F263)</f>
        <v/>
      </c>
      <c r="H265">
        <f>IF(Квартиры!H263="","",Квартиры!H263)</f>
        <v/>
      </c>
      <c r="I265">
        <f>IF(Квартиры!I263="","",Квартиры!I263)</f>
        <v/>
      </c>
      <c r="J265">
        <f>IF(Квартиры!J263="","",Квартиры!J263)</f>
        <v/>
      </c>
    </row>
    <row r="266">
      <c r="A266">
        <f>IF(Квартиры!A264="","",Квартиры!A264)</f>
        <v/>
      </c>
      <c r="B266">
        <f>IF(Квартиры!B264="","",Квартиры!B264)</f>
        <v/>
      </c>
      <c r="C266">
        <f>IF(Квартиры!C264="","",Квартиры!C264)</f>
        <v/>
      </c>
      <c r="D266">
        <f>IF(Квартиры!D264="","",Квартиры!D264)</f>
        <v/>
      </c>
      <c r="E266">
        <f>IF(Квартиры!G264="","",Квартиры!G264)</f>
        <v/>
      </c>
      <c r="F266">
        <f>IF(Квартиры!E264="","",Квартиры!E264)</f>
        <v/>
      </c>
      <c r="G266">
        <f>IF(Квартиры!F264="","",Квартиры!F264)</f>
        <v/>
      </c>
      <c r="H266">
        <f>IF(Квартиры!H264="","",Квартиры!H264)</f>
        <v/>
      </c>
      <c r="I266">
        <f>IF(Квартиры!I264="","",Квартиры!I264)</f>
        <v/>
      </c>
      <c r="J266">
        <f>IF(Квартиры!J264="","",Квартиры!J264)</f>
        <v/>
      </c>
    </row>
    <row r="267">
      <c r="A267">
        <f>IF(Квартиры!A265="","",Квартиры!A265)</f>
        <v/>
      </c>
      <c r="B267">
        <f>IF(Квартиры!B265="","",Квартиры!B265)</f>
        <v/>
      </c>
      <c r="C267">
        <f>IF(Квартиры!C265="","",Квартиры!C265)</f>
        <v/>
      </c>
      <c r="D267">
        <f>IF(Квартиры!D265="","",Квартиры!D265)</f>
        <v/>
      </c>
      <c r="E267">
        <f>IF(Квартиры!G265="","",Квартиры!G265)</f>
        <v/>
      </c>
      <c r="F267">
        <f>IF(Квартиры!E265="","",Квартиры!E265)</f>
        <v/>
      </c>
      <c r="G267">
        <f>IF(Квартиры!F265="","",Квартиры!F265)</f>
        <v/>
      </c>
      <c r="H267">
        <f>IF(Квартиры!H265="","",Квартиры!H265)</f>
        <v/>
      </c>
      <c r="I267">
        <f>IF(Квартиры!I265="","",Квартиры!I265)</f>
        <v/>
      </c>
      <c r="J267">
        <f>IF(Квартиры!J265="","",Квартиры!J265)</f>
        <v/>
      </c>
    </row>
    <row r="268">
      <c r="A268">
        <f>IF(Квартиры!A266="","",Квартиры!A266)</f>
        <v/>
      </c>
      <c r="B268">
        <f>IF(Квартиры!B266="","",Квартиры!B266)</f>
        <v/>
      </c>
      <c r="C268">
        <f>IF(Квартиры!C266="","",Квартиры!C266)</f>
        <v/>
      </c>
      <c r="D268">
        <f>IF(Квартиры!D266="","",Квартиры!D266)</f>
        <v/>
      </c>
      <c r="E268">
        <f>IF(Квартиры!G266="","",Квартиры!G266)</f>
        <v/>
      </c>
      <c r="F268">
        <f>IF(Квартиры!E266="","",Квартиры!E266)</f>
        <v/>
      </c>
      <c r="G268">
        <f>IF(Квартиры!F266="","",Квартиры!F266)</f>
        <v/>
      </c>
      <c r="H268">
        <f>IF(Квартиры!H266="","",Квартиры!H266)</f>
        <v/>
      </c>
      <c r="I268">
        <f>IF(Квартиры!I266="","",Квартиры!I266)</f>
        <v/>
      </c>
      <c r="J268">
        <f>IF(Квартиры!J266="","",Квартиры!J266)</f>
        <v/>
      </c>
    </row>
    <row r="269">
      <c r="A269">
        <f>IF(Квартиры!A267="","",Квартиры!A267)</f>
        <v/>
      </c>
      <c r="B269">
        <f>IF(Квартиры!B267="","",Квартиры!B267)</f>
        <v/>
      </c>
      <c r="C269">
        <f>IF(Квартиры!C267="","",Квартиры!C267)</f>
        <v/>
      </c>
      <c r="D269">
        <f>IF(Квартиры!D267="","",Квартиры!D267)</f>
        <v/>
      </c>
      <c r="E269">
        <f>IF(Квартиры!G267="","",Квартиры!G267)</f>
        <v/>
      </c>
      <c r="F269">
        <f>IF(Квартиры!E267="","",Квартиры!E267)</f>
        <v/>
      </c>
      <c r="G269">
        <f>IF(Квартиры!F267="","",Квартиры!F267)</f>
        <v/>
      </c>
      <c r="H269">
        <f>IF(Квартиры!H267="","",Квартиры!H267)</f>
        <v/>
      </c>
      <c r="I269">
        <f>IF(Квартиры!I267="","",Квартиры!I267)</f>
        <v/>
      </c>
      <c r="J269">
        <f>IF(Квартиры!J267="","",Квартиры!J267)</f>
        <v/>
      </c>
    </row>
    <row r="270">
      <c r="A270">
        <f>IF(Квартиры!A268="","",Квартиры!A268)</f>
        <v/>
      </c>
      <c r="B270">
        <f>IF(Квартиры!B268="","",Квартиры!B268)</f>
        <v/>
      </c>
      <c r="C270">
        <f>IF(Квартиры!C268="","",Квартиры!C268)</f>
        <v/>
      </c>
      <c r="D270">
        <f>IF(Квартиры!D268="","",Квартиры!D268)</f>
        <v/>
      </c>
      <c r="E270">
        <f>IF(Квартиры!G268="","",Квартиры!G268)</f>
        <v/>
      </c>
      <c r="F270">
        <f>IF(Квартиры!E268="","",Квартиры!E268)</f>
        <v/>
      </c>
      <c r="G270">
        <f>IF(Квартиры!F268="","",Квартиры!F268)</f>
        <v/>
      </c>
      <c r="H270">
        <f>IF(Квартиры!H268="","",Квартиры!H268)</f>
        <v/>
      </c>
      <c r="I270">
        <f>IF(Квартиры!I268="","",Квартиры!I268)</f>
        <v/>
      </c>
      <c r="J270">
        <f>IF(Квартиры!J268="","",Квартиры!J268)</f>
        <v/>
      </c>
    </row>
    <row r="271">
      <c r="A271">
        <f>IF(Квартиры!A269="","",Квартиры!A269)</f>
        <v/>
      </c>
      <c r="B271">
        <f>IF(Квартиры!B269="","",Квартиры!B269)</f>
        <v/>
      </c>
      <c r="C271">
        <f>IF(Квартиры!C269="","",Квартиры!C269)</f>
        <v/>
      </c>
      <c r="D271">
        <f>IF(Квартиры!D269="","",Квартиры!D269)</f>
        <v/>
      </c>
      <c r="E271">
        <f>IF(Квартиры!G269="","",Квартиры!G269)</f>
        <v/>
      </c>
      <c r="F271">
        <f>IF(Квартиры!E269="","",Квартиры!E269)</f>
        <v/>
      </c>
      <c r="G271">
        <f>IF(Квартиры!F269="","",Квартиры!F269)</f>
        <v/>
      </c>
      <c r="H271">
        <f>IF(Квартиры!H269="","",Квартиры!H269)</f>
        <v/>
      </c>
      <c r="I271">
        <f>IF(Квартиры!I269="","",Квартиры!I269)</f>
        <v/>
      </c>
      <c r="J271">
        <f>IF(Квартиры!J269="","",Квартиры!J269)</f>
        <v/>
      </c>
    </row>
    <row r="272">
      <c r="A272">
        <f>IF(Квартиры!A270="","",Квартиры!A270)</f>
        <v/>
      </c>
      <c r="B272">
        <f>IF(Квартиры!B270="","",Квартиры!B270)</f>
        <v/>
      </c>
      <c r="C272">
        <f>IF(Квартиры!C270="","",Квартиры!C270)</f>
        <v/>
      </c>
      <c r="D272">
        <f>IF(Квартиры!D270="","",Квартиры!D270)</f>
        <v/>
      </c>
      <c r="E272">
        <f>IF(Квартиры!G270="","",Квартиры!G270)</f>
        <v/>
      </c>
      <c r="F272">
        <f>IF(Квартиры!E270="","",Квартиры!E270)</f>
        <v/>
      </c>
      <c r="G272">
        <f>IF(Квартиры!F270="","",Квартиры!F270)</f>
        <v/>
      </c>
      <c r="H272">
        <f>IF(Квартиры!H270="","",Квартиры!H270)</f>
        <v/>
      </c>
      <c r="I272">
        <f>IF(Квартиры!I270="","",Квартиры!I270)</f>
        <v/>
      </c>
      <c r="J272">
        <f>IF(Квартиры!J270="","",Квартиры!J270)</f>
        <v/>
      </c>
    </row>
    <row r="273">
      <c r="A273">
        <f>IF(Квартиры!A271="","",Квартиры!A271)</f>
        <v/>
      </c>
      <c r="B273">
        <f>IF(Квартиры!B271="","",Квартиры!B271)</f>
        <v/>
      </c>
      <c r="C273">
        <f>IF(Квартиры!C271="","",Квартиры!C271)</f>
        <v/>
      </c>
      <c r="D273">
        <f>IF(Квартиры!D271="","",Квартиры!D271)</f>
        <v/>
      </c>
      <c r="E273">
        <f>IF(Квартиры!G271="","",Квартиры!G271)</f>
        <v/>
      </c>
      <c r="F273">
        <f>IF(Квартиры!E271="","",Квартиры!E271)</f>
        <v/>
      </c>
      <c r="G273">
        <f>IF(Квартиры!F271="","",Квартиры!F271)</f>
        <v/>
      </c>
      <c r="H273">
        <f>IF(Квартиры!H271="","",Квартиры!H271)</f>
        <v/>
      </c>
      <c r="I273">
        <f>IF(Квартиры!I271="","",Квартиры!I271)</f>
        <v/>
      </c>
      <c r="J273">
        <f>IF(Квартиры!J271="","",Квартиры!J271)</f>
        <v/>
      </c>
    </row>
    <row r="274">
      <c r="A274">
        <f>IF(Квартиры!A272="","",Квартиры!A272)</f>
        <v/>
      </c>
      <c r="B274">
        <f>IF(Квартиры!B272="","",Квартиры!B272)</f>
        <v/>
      </c>
      <c r="C274">
        <f>IF(Квартиры!C272="","",Квартиры!C272)</f>
        <v/>
      </c>
      <c r="D274">
        <f>IF(Квартиры!D272="","",Квартиры!D272)</f>
        <v/>
      </c>
      <c r="E274">
        <f>IF(Квартиры!G272="","",Квартиры!G272)</f>
        <v/>
      </c>
      <c r="F274">
        <f>IF(Квартиры!E272="","",Квартиры!E272)</f>
        <v/>
      </c>
      <c r="G274">
        <f>IF(Квартиры!F272="","",Квартиры!F272)</f>
        <v/>
      </c>
      <c r="H274">
        <f>IF(Квартиры!H272="","",Квартиры!H272)</f>
        <v/>
      </c>
      <c r="I274">
        <f>IF(Квартиры!I272="","",Квартиры!I272)</f>
        <v/>
      </c>
      <c r="J274">
        <f>IF(Квартиры!J272="","",Квартиры!J272)</f>
        <v/>
      </c>
    </row>
    <row r="275">
      <c r="A275">
        <f>IF(Квартиры!A273="","",Квартиры!A273)</f>
        <v/>
      </c>
      <c r="B275">
        <f>IF(Квартиры!B273="","",Квартиры!B273)</f>
        <v/>
      </c>
      <c r="C275">
        <f>IF(Квартиры!C273="","",Квартиры!C273)</f>
        <v/>
      </c>
      <c r="D275">
        <f>IF(Квартиры!D273="","",Квартиры!D273)</f>
        <v/>
      </c>
      <c r="E275">
        <f>IF(Квартиры!G273="","",Квартиры!G273)</f>
        <v/>
      </c>
      <c r="F275">
        <f>IF(Квартиры!E273="","",Квартиры!E273)</f>
        <v/>
      </c>
      <c r="G275">
        <f>IF(Квартиры!F273="","",Квартиры!F273)</f>
        <v/>
      </c>
      <c r="H275">
        <f>IF(Квартиры!H273="","",Квартиры!H273)</f>
        <v/>
      </c>
      <c r="I275">
        <f>IF(Квартиры!I273="","",Квартиры!I273)</f>
        <v/>
      </c>
      <c r="J275">
        <f>IF(Квартиры!J273="","",Квартиры!J273)</f>
        <v/>
      </c>
    </row>
    <row r="276">
      <c r="A276">
        <f>IF(Квартиры!A274="","",Квартиры!A274)</f>
        <v/>
      </c>
      <c r="B276">
        <f>IF(Квартиры!B274="","",Квартиры!B274)</f>
        <v/>
      </c>
      <c r="C276">
        <f>IF(Квартиры!C274="","",Квартиры!C274)</f>
        <v/>
      </c>
      <c r="D276">
        <f>IF(Квартиры!D274="","",Квартиры!D274)</f>
        <v/>
      </c>
      <c r="E276">
        <f>IF(Квартиры!G274="","",Квартиры!G274)</f>
        <v/>
      </c>
      <c r="F276">
        <f>IF(Квартиры!E274="","",Квартиры!E274)</f>
        <v/>
      </c>
      <c r="G276">
        <f>IF(Квартиры!F274="","",Квартиры!F274)</f>
        <v/>
      </c>
      <c r="H276">
        <f>IF(Квартиры!H274="","",Квартиры!H274)</f>
        <v/>
      </c>
      <c r="I276">
        <f>IF(Квартиры!I274="","",Квартиры!I274)</f>
        <v/>
      </c>
      <c r="J276">
        <f>IF(Квартиры!J274="","",Квартиры!J274)</f>
        <v/>
      </c>
    </row>
    <row r="277">
      <c r="A277">
        <f>IF(Квартиры!A275="","",Квартиры!A275)</f>
        <v/>
      </c>
      <c r="B277">
        <f>IF(Квартиры!B275="","",Квартиры!B275)</f>
        <v/>
      </c>
      <c r="C277">
        <f>IF(Квартиры!C275="","",Квартиры!C275)</f>
        <v/>
      </c>
      <c r="D277">
        <f>IF(Квартиры!D275="","",Квартиры!D275)</f>
        <v/>
      </c>
      <c r="E277">
        <f>IF(Квартиры!G275="","",Квартиры!G275)</f>
        <v/>
      </c>
      <c r="F277">
        <f>IF(Квартиры!E275="","",Квартиры!E275)</f>
        <v/>
      </c>
      <c r="G277">
        <f>IF(Квартиры!F275="","",Квартиры!F275)</f>
        <v/>
      </c>
      <c r="H277">
        <f>IF(Квартиры!H275="","",Квартиры!H275)</f>
        <v/>
      </c>
      <c r="I277">
        <f>IF(Квартиры!I275="","",Квартиры!I275)</f>
        <v/>
      </c>
      <c r="J277">
        <f>IF(Квартиры!J275="","",Квартиры!J275)</f>
        <v/>
      </c>
    </row>
    <row r="278">
      <c r="A278">
        <f>IF(Квартиры!A276="","",Квартиры!A276)</f>
        <v/>
      </c>
      <c r="B278">
        <f>IF(Квартиры!B276="","",Квартиры!B276)</f>
        <v/>
      </c>
      <c r="C278">
        <f>IF(Квартиры!C276="","",Квартиры!C276)</f>
        <v/>
      </c>
      <c r="D278">
        <f>IF(Квартиры!D276="","",Квартиры!D276)</f>
        <v/>
      </c>
      <c r="E278">
        <f>IF(Квартиры!G276="","",Квартиры!G276)</f>
        <v/>
      </c>
      <c r="F278">
        <f>IF(Квартиры!E276="","",Квартиры!E276)</f>
        <v/>
      </c>
      <c r="G278">
        <f>IF(Квартиры!F276="","",Квартиры!F276)</f>
        <v/>
      </c>
      <c r="H278">
        <f>IF(Квартиры!H276="","",Квартиры!H276)</f>
        <v/>
      </c>
      <c r="I278">
        <f>IF(Квартиры!I276="","",Квартиры!I276)</f>
        <v/>
      </c>
      <c r="J278">
        <f>IF(Квартиры!J276="","",Квартиры!J276)</f>
        <v/>
      </c>
    </row>
    <row r="279">
      <c r="A279">
        <f>IF(Квартиры!A277="","",Квартиры!A277)</f>
        <v/>
      </c>
      <c r="B279">
        <f>IF(Квартиры!B277="","",Квартиры!B277)</f>
        <v/>
      </c>
      <c r="C279">
        <f>IF(Квартиры!C277="","",Квартиры!C277)</f>
        <v/>
      </c>
      <c r="D279">
        <f>IF(Квартиры!D277="","",Квартиры!D277)</f>
        <v/>
      </c>
      <c r="E279">
        <f>IF(Квартиры!G277="","",Квартиры!G277)</f>
        <v/>
      </c>
      <c r="F279">
        <f>IF(Квартиры!E277="","",Квартиры!E277)</f>
        <v/>
      </c>
      <c r="G279">
        <f>IF(Квартиры!F277="","",Квартиры!F277)</f>
        <v/>
      </c>
      <c r="H279">
        <f>IF(Квартиры!H277="","",Квартиры!H277)</f>
        <v/>
      </c>
      <c r="I279">
        <f>IF(Квартиры!I277="","",Квартиры!I277)</f>
        <v/>
      </c>
      <c r="J279">
        <f>IF(Квартиры!J277="","",Квартиры!J277)</f>
        <v/>
      </c>
    </row>
    <row r="280">
      <c r="A280">
        <f>IF(Квартиры!A278="","",Квартиры!A278)</f>
        <v/>
      </c>
      <c r="B280">
        <f>IF(Квартиры!B278="","",Квартиры!B278)</f>
        <v/>
      </c>
      <c r="C280">
        <f>IF(Квартиры!C278="","",Квартиры!C278)</f>
        <v/>
      </c>
      <c r="D280">
        <f>IF(Квартиры!D278="","",Квартиры!D278)</f>
        <v/>
      </c>
      <c r="E280">
        <f>IF(Квартиры!G278="","",Квартиры!G278)</f>
        <v/>
      </c>
      <c r="F280">
        <f>IF(Квартиры!E278="","",Квартиры!E278)</f>
        <v/>
      </c>
      <c r="G280">
        <f>IF(Квартиры!F278="","",Квартиры!F278)</f>
        <v/>
      </c>
      <c r="H280">
        <f>IF(Квартиры!H278="","",Квартиры!H278)</f>
        <v/>
      </c>
      <c r="I280">
        <f>IF(Квартиры!I278="","",Квартиры!I278)</f>
        <v/>
      </c>
      <c r="J280">
        <f>IF(Квартиры!J278="","",Квартиры!J278)</f>
        <v/>
      </c>
    </row>
    <row r="281">
      <c r="A281">
        <f>IF(Квартиры!A279="","",Квартиры!A279)</f>
        <v/>
      </c>
      <c r="B281">
        <f>IF(Квартиры!B279="","",Квартиры!B279)</f>
        <v/>
      </c>
      <c r="C281">
        <f>IF(Квартиры!C279="","",Квартиры!C279)</f>
        <v/>
      </c>
      <c r="D281">
        <f>IF(Квартиры!D279="","",Квартиры!D279)</f>
        <v/>
      </c>
      <c r="E281">
        <f>IF(Квартиры!G279="","",Квартиры!G279)</f>
        <v/>
      </c>
      <c r="F281">
        <f>IF(Квартиры!E279="","",Квартиры!E279)</f>
        <v/>
      </c>
      <c r="G281">
        <f>IF(Квартиры!F279="","",Квартиры!F279)</f>
        <v/>
      </c>
      <c r="H281">
        <f>IF(Квартиры!H279="","",Квартиры!H279)</f>
        <v/>
      </c>
      <c r="I281">
        <f>IF(Квартиры!I279="","",Квартиры!I279)</f>
        <v/>
      </c>
      <c r="J281">
        <f>IF(Квартиры!J279="","",Квартиры!J279)</f>
        <v/>
      </c>
    </row>
    <row r="282">
      <c r="A282">
        <f>IF(Квартиры!A280="","",Квартиры!A280)</f>
        <v/>
      </c>
      <c r="B282">
        <f>IF(Квартиры!B280="","",Квартиры!B280)</f>
        <v/>
      </c>
      <c r="C282">
        <f>IF(Квартиры!C280="","",Квартиры!C280)</f>
        <v/>
      </c>
      <c r="D282">
        <f>IF(Квартиры!D280="","",Квартиры!D280)</f>
        <v/>
      </c>
      <c r="E282">
        <f>IF(Квартиры!G280="","",Квартиры!G280)</f>
        <v/>
      </c>
      <c r="F282">
        <f>IF(Квартиры!E280="","",Квартиры!E280)</f>
        <v/>
      </c>
      <c r="G282">
        <f>IF(Квартиры!F280="","",Квартиры!F280)</f>
        <v/>
      </c>
      <c r="H282">
        <f>IF(Квартиры!H280="","",Квартиры!H280)</f>
        <v/>
      </c>
      <c r="I282">
        <f>IF(Квартиры!I280="","",Квартиры!I280)</f>
        <v/>
      </c>
      <c r="J282">
        <f>IF(Квартиры!J280="","",Квартиры!J280)</f>
        <v/>
      </c>
    </row>
    <row r="283">
      <c r="A283">
        <f>IF(Квартиры!A281="","",Квартиры!A281)</f>
        <v/>
      </c>
      <c r="B283">
        <f>IF(Квартиры!B281="","",Квартиры!B281)</f>
        <v/>
      </c>
      <c r="C283">
        <f>IF(Квартиры!C281="","",Квартиры!C281)</f>
        <v/>
      </c>
      <c r="D283">
        <f>IF(Квартиры!D281="","",Квартиры!D281)</f>
        <v/>
      </c>
      <c r="E283">
        <f>IF(Квартиры!G281="","",Квартиры!G281)</f>
        <v/>
      </c>
      <c r="F283">
        <f>IF(Квартиры!E281="","",Квартиры!E281)</f>
        <v/>
      </c>
      <c r="G283">
        <f>IF(Квартиры!F281="","",Квартиры!F281)</f>
        <v/>
      </c>
      <c r="H283">
        <f>IF(Квартиры!H281="","",Квартиры!H281)</f>
        <v/>
      </c>
      <c r="I283">
        <f>IF(Квартиры!I281="","",Квартиры!I281)</f>
        <v/>
      </c>
      <c r="J283">
        <f>IF(Квартиры!J281="","",Квартиры!J281)</f>
        <v/>
      </c>
    </row>
    <row r="284">
      <c r="A284">
        <f>IF(Квартиры!A282="","",Квартиры!A282)</f>
        <v/>
      </c>
      <c r="B284">
        <f>IF(Квартиры!B282="","",Квартиры!B282)</f>
        <v/>
      </c>
      <c r="C284">
        <f>IF(Квартиры!C282="","",Квартиры!C282)</f>
        <v/>
      </c>
      <c r="D284">
        <f>IF(Квартиры!D282="","",Квартиры!D282)</f>
        <v/>
      </c>
      <c r="E284">
        <f>IF(Квартиры!G282="","",Квартиры!G282)</f>
        <v/>
      </c>
      <c r="F284">
        <f>IF(Квартиры!E282="","",Квартиры!E282)</f>
        <v/>
      </c>
      <c r="G284">
        <f>IF(Квартиры!F282="","",Квартиры!F282)</f>
        <v/>
      </c>
      <c r="H284">
        <f>IF(Квартиры!H282="","",Квартиры!H282)</f>
        <v/>
      </c>
      <c r="I284">
        <f>IF(Квартиры!I282="","",Квартиры!I282)</f>
        <v/>
      </c>
      <c r="J284">
        <f>IF(Квартиры!J282="","",Квартиры!J282)</f>
        <v/>
      </c>
    </row>
    <row r="285">
      <c r="A285">
        <f>IF(Квартиры!A283="","",Квартиры!A283)</f>
        <v/>
      </c>
      <c r="B285">
        <f>IF(Квартиры!B283="","",Квартиры!B283)</f>
        <v/>
      </c>
      <c r="C285">
        <f>IF(Квартиры!C283="","",Квартиры!C283)</f>
        <v/>
      </c>
      <c r="D285">
        <f>IF(Квартиры!D283="","",Квартиры!D283)</f>
        <v/>
      </c>
      <c r="E285">
        <f>IF(Квартиры!G283="","",Квартиры!G283)</f>
        <v/>
      </c>
      <c r="F285">
        <f>IF(Квартиры!E283="","",Квартиры!E283)</f>
        <v/>
      </c>
      <c r="G285">
        <f>IF(Квартиры!F283="","",Квартиры!F283)</f>
        <v/>
      </c>
      <c r="H285">
        <f>IF(Квартиры!H283="","",Квартиры!H283)</f>
        <v/>
      </c>
      <c r="I285">
        <f>IF(Квартиры!I283="","",Квартиры!I283)</f>
        <v/>
      </c>
      <c r="J285">
        <f>IF(Квартиры!J283="","",Квартиры!J283)</f>
        <v/>
      </c>
    </row>
    <row r="286">
      <c r="A286">
        <f>IF(Квартиры!A284="","",Квартиры!A284)</f>
        <v/>
      </c>
      <c r="B286">
        <f>IF(Квартиры!B284="","",Квартиры!B284)</f>
        <v/>
      </c>
      <c r="C286">
        <f>IF(Квартиры!C284="","",Квартиры!C284)</f>
        <v/>
      </c>
      <c r="D286">
        <f>IF(Квартиры!D284="","",Квартиры!D284)</f>
        <v/>
      </c>
      <c r="E286">
        <f>IF(Квартиры!G284="","",Квартиры!G284)</f>
        <v/>
      </c>
      <c r="F286">
        <f>IF(Квартиры!E284="","",Квартиры!E284)</f>
        <v/>
      </c>
      <c r="G286">
        <f>IF(Квартиры!F284="","",Квартиры!F284)</f>
        <v/>
      </c>
      <c r="H286">
        <f>IF(Квартиры!H284="","",Квартиры!H284)</f>
        <v/>
      </c>
      <c r="I286">
        <f>IF(Квартиры!I284="","",Квартиры!I284)</f>
        <v/>
      </c>
      <c r="J286">
        <f>IF(Квартиры!J284="","",Квартиры!J284)</f>
        <v/>
      </c>
    </row>
    <row r="287">
      <c r="A287">
        <f>IF(Квартиры!A285="","",Квартиры!A285)</f>
        <v/>
      </c>
      <c r="B287">
        <f>IF(Квартиры!B285="","",Квартиры!B285)</f>
        <v/>
      </c>
      <c r="C287">
        <f>IF(Квартиры!C285="","",Квартиры!C285)</f>
        <v/>
      </c>
      <c r="D287">
        <f>IF(Квартиры!D285="","",Квартиры!D285)</f>
        <v/>
      </c>
      <c r="E287">
        <f>IF(Квартиры!G285="","",Квартиры!G285)</f>
        <v/>
      </c>
      <c r="F287">
        <f>IF(Квартиры!E285="","",Квартиры!E285)</f>
        <v/>
      </c>
      <c r="G287">
        <f>IF(Квартиры!F285="","",Квартиры!F285)</f>
        <v/>
      </c>
      <c r="H287">
        <f>IF(Квартиры!H285="","",Квартиры!H285)</f>
        <v/>
      </c>
      <c r="I287">
        <f>IF(Квартиры!I285="","",Квартиры!I285)</f>
        <v/>
      </c>
      <c r="J287">
        <f>IF(Квартиры!J285="","",Квартиры!J285)</f>
        <v/>
      </c>
    </row>
    <row r="288">
      <c r="A288">
        <f>IF(Квартиры!A286="","",Квартиры!A286)</f>
        <v/>
      </c>
      <c r="B288">
        <f>IF(Квартиры!B286="","",Квартиры!B286)</f>
        <v/>
      </c>
      <c r="C288">
        <f>IF(Квартиры!C286="","",Квартиры!C286)</f>
        <v/>
      </c>
      <c r="D288">
        <f>IF(Квартиры!D286="","",Квартиры!D286)</f>
        <v/>
      </c>
      <c r="E288">
        <f>IF(Квартиры!G286="","",Квартиры!G286)</f>
        <v/>
      </c>
      <c r="F288">
        <f>IF(Квартиры!E286="","",Квартиры!E286)</f>
        <v/>
      </c>
      <c r="G288">
        <f>IF(Квартиры!F286="","",Квартиры!F286)</f>
        <v/>
      </c>
      <c r="H288">
        <f>IF(Квартиры!H286="","",Квартиры!H286)</f>
        <v/>
      </c>
      <c r="I288">
        <f>IF(Квартиры!I286="","",Квартиры!I286)</f>
        <v/>
      </c>
      <c r="J288">
        <f>IF(Квартиры!J286="","",Квартиры!J286)</f>
        <v/>
      </c>
    </row>
    <row r="289">
      <c r="A289">
        <f>IF(Квартиры!A287="","",Квартиры!A287)</f>
        <v/>
      </c>
      <c r="B289">
        <f>IF(Квартиры!B287="","",Квартиры!B287)</f>
        <v/>
      </c>
      <c r="C289">
        <f>IF(Квартиры!C287="","",Квартиры!C287)</f>
        <v/>
      </c>
      <c r="D289">
        <f>IF(Квартиры!D287="","",Квартиры!D287)</f>
        <v/>
      </c>
      <c r="E289">
        <f>IF(Квартиры!G287="","",Квартиры!G287)</f>
        <v/>
      </c>
      <c r="F289">
        <f>IF(Квартиры!E287="","",Квартиры!E287)</f>
        <v/>
      </c>
      <c r="G289">
        <f>IF(Квартиры!F287="","",Квартиры!F287)</f>
        <v/>
      </c>
      <c r="H289">
        <f>IF(Квартиры!H287="","",Квартиры!H287)</f>
        <v/>
      </c>
      <c r="I289">
        <f>IF(Квартиры!I287="","",Квартиры!I287)</f>
        <v/>
      </c>
      <c r="J289">
        <f>IF(Квартиры!J287="","",Квартиры!J287)</f>
        <v/>
      </c>
    </row>
    <row r="290">
      <c r="A290">
        <f>IF(Квартиры!A288="","",Квартиры!A288)</f>
        <v/>
      </c>
      <c r="B290">
        <f>IF(Квартиры!B288="","",Квартиры!B288)</f>
        <v/>
      </c>
      <c r="C290">
        <f>IF(Квартиры!C288="","",Квартиры!C288)</f>
        <v/>
      </c>
      <c r="D290">
        <f>IF(Квартиры!D288="","",Квартиры!D288)</f>
        <v/>
      </c>
      <c r="E290">
        <f>IF(Квартиры!G288="","",Квартиры!G288)</f>
        <v/>
      </c>
      <c r="F290">
        <f>IF(Квартиры!E288="","",Квартиры!E288)</f>
        <v/>
      </c>
      <c r="G290">
        <f>IF(Квартиры!F288="","",Квартиры!F288)</f>
        <v/>
      </c>
      <c r="H290">
        <f>IF(Квартиры!H288="","",Квартиры!H288)</f>
        <v/>
      </c>
      <c r="I290">
        <f>IF(Квартиры!I288="","",Квартиры!I288)</f>
        <v/>
      </c>
      <c r="J290">
        <f>IF(Квартиры!J288="","",Квартиры!J288)</f>
        <v/>
      </c>
    </row>
    <row r="291">
      <c r="A291">
        <f>IF(Квартиры!A289="","",Квартиры!A289)</f>
        <v/>
      </c>
      <c r="B291">
        <f>IF(Квартиры!B289="","",Квартиры!B289)</f>
        <v/>
      </c>
      <c r="C291">
        <f>IF(Квартиры!C289="","",Квартиры!C289)</f>
        <v/>
      </c>
      <c r="D291">
        <f>IF(Квартиры!D289="","",Квартиры!D289)</f>
        <v/>
      </c>
      <c r="E291">
        <f>IF(Квартиры!G289="","",Квартиры!G289)</f>
        <v/>
      </c>
      <c r="F291">
        <f>IF(Квартиры!E289="","",Квартиры!E289)</f>
        <v/>
      </c>
      <c r="G291">
        <f>IF(Квартиры!F289="","",Квартиры!F289)</f>
        <v/>
      </c>
      <c r="H291">
        <f>IF(Квартиры!H289="","",Квартиры!H289)</f>
        <v/>
      </c>
      <c r="I291">
        <f>IF(Квартиры!I289="","",Квартиры!I289)</f>
        <v/>
      </c>
      <c r="J291">
        <f>IF(Квартиры!J289="","",Квартиры!J289)</f>
        <v/>
      </c>
    </row>
    <row r="292">
      <c r="A292">
        <f>IF(Квартиры!A290="","",Квартиры!A290)</f>
        <v/>
      </c>
      <c r="B292">
        <f>IF(Квартиры!B290="","",Квартиры!B290)</f>
        <v/>
      </c>
      <c r="C292">
        <f>IF(Квартиры!C290="","",Квартиры!C290)</f>
        <v/>
      </c>
      <c r="D292">
        <f>IF(Квартиры!D290="","",Квартиры!D290)</f>
        <v/>
      </c>
      <c r="E292">
        <f>IF(Квартиры!G290="","",Квартиры!G290)</f>
        <v/>
      </c>
      <c r="F292">
        <f>IF(Квартиры!E290="","",Квартиры!E290)</f>
        <v/>
      </c>
      <c r="G292">
        <f>IF(Квартиры!F290="","",Квартиры!F290)</f>
        <v/>
      </c>
      <c r="H292">
        <f>IF(Квартиры!H290="","",Квартиры!H290)</f>
        <v/>
      </c>
      <c r="I292">
        <f>IF(Квартиры!I290="","",Квартиры!I290)</f>
        <v/>
      </c>
      <c r="J292">
        <f>IF(Квартиры!J290="","",Квартиры!J290)</f>
        <v/>
      </c>
    </row>
    <row r="293">
      <c r="A293">
        <f>IF(Квартиры!A291="","",Квартиры!A291)</f>
        <v/>
      </c>
      <c r="B293">
        <f>IF(Квартиры!B291="","",Квартиры!B291)</f>
        <v/>
      </c>
      <c r="C293">
        <f>IF(Квартиры!C291="","",Квартиры!C291)</f>
        <v/>
      </c>
      <c r="D293">
        <f>IF(Квартиры!D291="","",Квартиры!D291)</f>
        <v/>
      </c>
      <c r="E293">
        <f>IF(Квартиры!G291="","",Квартиры!G291)</f>
        <v/>
      </c>
      <c r="F293">
        <f>IF(Квартиры!E291="","",Квартиры!E291)</f>
        <v/>
      </c>
      <c r="G293">
        <f>IF(Квартиры!F291="","",Квартиры!F291)</f>
        <v/>
      </c>
      <c r="H293">
        <f>IF(Квартиры!H291="","",Квартиры!H291)</f>
        <v/>
      </c>
      <c r="I293">
        <f>IF(Квартиры!I291="","",Квартиры!I291)</f>
        <v/>
      </c>
      <c r="J293">
        <f>IF(Квартиры!J291="","",Квартиры!J291)</f>
        <v/>
      </c>
    </row>
    <row r="294">
      <c r="A294">
        <f>IF(Квартиры!A292="","",Квартиры!A292)</f>
        <v/>
      </c>
      <c r="B294">
        <f>IF(Квартиры!B292="","",Квартиры!B292)</f>
        <v/>
      </c>
      <c r="C294">
        <f>IF(Квартиры!C292="","",Квартиры!C292)</f>
        <v/>
      </c>
      <c r="D294">
        <f>IF(Квартиры!D292="","",Квартиры!D292)</f>
        <v/>
      </c>
      <c r="E294">
        <f>IF(Квартиры!G292="","",Квартиры!G292)</f>
        <v/>
      </c>
      <c r="F294">
        <f>IF(Квартиры!E292="","",Квартиры!E292)</f>
        <v/>
      </c>
      <c r="G294">
        <f>IF(Квартиры!F292="","",Квартиры!F292)</f>
        <v/>
      </c>
      <c r="H294">
        <f>IF(Квартиры!H292="","",Квартиры!H292)</f>
        <v/>
      </c>
      <c r="I294">
        <f>IF(Квартиры!I292="","",Квартиры!I292)</f>
        <v/>
      </c>
      <c r="J294">
        <f>IF(Квартиры!J292="","",Квартиры!J292)</f>
        <v/>
      </c>
    </row>
    <row r="295">
      <c r="A295">
        <f>IF(Квартиры!A293="","",Квартиры!A293)</f>
        <v/>
      </c>
      <c r="B295">
        <f>IF(Квартиры!B293="","",Квартиры!B293)</f>
        <v/>
      </c>
      <c r="C295">
        <f>IF(Квартиры!C293="","",Квартиры!C293)</f>
        <v/>
      </c>
      <c r="D295">
        <f>IF(Квартиры!D293="","",Квартиры!D293)</f>
        <v/>
      </c>
      <c r="E295">
        <f>IF(Квартиры!G293="","",Квартиры!G293)</f>
        <v/>
      </c>
      <c r="F295">
        <f>IF(Квартиры!E293="","",Квартиры!E293)</f>
        <v/>
      </c>
      <c r="G295">
        <f>IF(Квартиры!F293="","",Квартиры!F293)</f>
        <v/>
      </c>
      <c r="H295">
        <f>IF(Квартиры!H293="","",Квартиры!H293)</f>
        <v/>
      </c>
      <c r="I295">
        <f>IF(Квартиры!I293="","",Квартиры!I293)</f>
        <v/>
      </c>
      <c r="J295">
        <f>IF(Квартиры!J293="","",Квартиры!J293)</f>
        <v/>
      </c>
    </row>
    <row r="296">
      <c r="A296">
        <f>IF(Квартиры!A294="","",Квартиры!A294)</f>
        <v/>
      </c>
      <c r="B296">
        <f>IF(Квартиры!B294="","",Квартиры!B294)</f>
        <v/>
      </c>
      <c r="C296">
        <f>IF(Квартиры!C294="","",Квартиры!C294)</f>
        <v/>
      </c>
      <c r="D296">
        <f>IF(Квартиры!D294="","",Квартиры!D294)</f>
        <v/>
      </c>
      <c r="E296">
        <f>IF(Квартиры!G294="","",Квартиры!G294)</f>
        <v/>
      </c>
      <c r="F296">
        <f>IF(Квартиры!E294="","",Квартиры!E294)</f>
        <v/>
      </c>
      <c r="G296">
        <f>IF(Квартиры!F294="","",Квартиры!F294)</f>
        <v/>
      </c>
      <c r="H296">
        <f>IF(Квартиры!H294="","",Квартиры!H294)</f>
        <v/>
      </c>
      <c r="I296">
        <f>IF(Квартиры!I294="","",Квартиры!I294)</f>
        <v/>
      </c>
      <c r="J296">
        <f>IF(Квартиры!J294="","",Квартиры!J294)</f>
        <v/>
      </c>
    </row>
    <row r="297">
      <c r="A297">
        <f>IF(Квартиры!A295="","",Квартиры!A295)</f>
        <v/>
      </c>
      <c r="B297">
        <f>IF(Квартиры!B295="","",Квартиры!B295)</f>
        <v/>
      </c>
      <c r="C297">
        <f>IF(Квартиры!C295="","",Квартиры!C295)</f>
        <v/>
      </c>
      <c r="D297">
        <f>IF(Квартиры!D295="","",Квартиры!D295)</f>
        <v/>
      </c>
      <c r="E297">
        <f>IF(Квартиры!G295="","",Квартиры!G295)</f>
        <v/>
      </c>
      <c r="F297">
        <f>IF(Квартиры!E295="","",Квартиры!E295)</f>
        <v/>
      </c>
      <c r="G297">
        <f>IF(Квартиры!F295="","",Квартиры!F295)</f>
        <v/>
      </c>
      <c r="H297">
        <f>IF(Квартиры!H295="","",Квартиры!H295)</f>
        <v/>
      </c>
      <c r="I297">
        <f>IF(Квартиры!I295="","",Квартиры!I295)</f>
        <v/>
      </c>
      <c r="J297">
        <f>IF(Квартиры!J295="","",Квартиры!J295)</f>
        <v/>
      </c>
    </row>
    <row r="298">
      <c r="A298">
        <f>IF(Квартиры!A296="","",Квартиры!A296)</f>
        <v/>
      </c>
      <c r="B298">
        <f>IF(Квартиры!B296="","",Квартиры!B296)</f>
        <v/>
      </c>
      <c r="C298">
        <f>IF(Квартиры!C296="","",Квартиры!C296)</f>
        <v/>
      </c>
      <c r="D298">
        <f>IF(Квартиры!D296="","",Квартиры!D296)</f>
        <v/>
      </c>
      <c r="E298">
        <f>IF(Квартиры!G296="","",Квартиры!G296)</f>
        <v/>
      </c>
      <c r="F298">
        <f>IF(Квартиры!E296="","",Квартиры!E296)</f>
        <v/>
      </c>
      <c r="G298">
        <f>IF(Квартиры!F296="","",Квартиры!F296)</f>
        <v/>
      </c>
      <c r="H298">
        <f>IF(Квартиры!H296="","",Квартиры!H296)</f>
        <v/>
      </c>
      <c r="I298">
        <f>IF(Квартиры!I296="","",Квартиры!I296)</f>
        <v/>
      </c>
      <c r="J298">
        <f>IF(Квартиры!J296="","",Квартиры!J296)</f>
        <v/>
      </c>
    </row>
    <row r="299">
      <c r="A299">
        <f>IF(Квартиры!A297="","",Квартиры!A297)</f>
        <v/>
      </c>
      <c r="B299">
        <f>IF(Квартиры!B297="","",Квартиры!B297)</f>
        <v/>
      </c>
      <c r="C299">
        <f>IF(Квартиры!C297="","",Квартиры!C297)</f>
        <v/>
      </c>
      <c r="D299">
        <f>IF(Квартиры!D297="","",Квартиры!D297)</f>
        <v/>
      </c>
      <c r="E299">
        <f>IF(Квартиры!G297="","",Квартиры!G297)</f>
        <v/>
      </c>
      <c r="F299">
        <f>IF(Квартиры!E297="","",Квартиры!E297)</f>
        <v/>
      </c>
      <c r="G299">
        <f>IF(Квартиры!F297="","",Квартиры!F297)</f>
        <v/>
      </c>
      <c r="H299">
        <f>IF(Квартиры!H297="","",Квартиры!H297)</f>
        <v/>
      </c>
      <c r="I299">
        <f>IF(Квартиры!I297="","",Квартиры!I297)</f>
        <v/>
      </c>
      <c r="J299">
        <f>IF(Квартиры!J297="","",Квартиры!J297)</f>
        <v/>
      </c>
    </row>
    <row r="300">
      <c r="A300">
        <f>IF(Квартиры!A298="","",Квартиры!A298)</f>
        <v/>
      </c>
      <c r="B300">
        <f>IF(Квартиры!B298="","",Квартиры!B298)</f>
        <v/>
      </c>
      <c r="C300">
        <f>IF(Квартиры!C298="","",Квартиры!C298)</f>
        <v/>
      </c>
      <c r="D300">
        <f>IF(Квартиры!D298="","",Квартиры!D298)</f>
        <v/>
      </c>
      <c r="E300">
        <f>IF(Квартиры!G298="","",Квартиры!G298)</f>
        <v/>
      </c>
      <c r="F300">
        <f>IF(Квартиры!E298="","",Квартиры!E298)</f>
        <v/>
      </c>
      <c r="G300">
        <f>IF(Квартиры!F298="","",Квартиры!F298)</f>
        <v/>
      </c>
      <c r="H300">
        <f>IF(Квартиры!H298="","",Квартиры!H298)</f>
        <v/>
      </c>
      <c r="I300">
        <f>IF(Квартиры!I298="","",Квартиры!I298)</f>
        <v/>
      </c>
      <c r="J300">
        <f>IF(Квартиры!J298="","",Квартиры!J298)</f>
        <v/>
      </c>
    </row>
    <row r="301">
      <c r="A301">
        <f>IF(Квартиры!A299="","",Квартиры!A299)</f>
        <v/>
      </c>
      <c r="B301">
        <f>IF(Квартиры!B299="","",Квартиры!B299)</f>
        <v/>
      </c>
      <c r="C301">
        <f>IF(Квартиры!C299="","",Квартиры!C299)</f>
        <v/>
      </c>
      <c r="D301">
        <f>IF(Квартиры!D299="","",Квартиры!D299)</f>
        <v/>
      </c>
      <c r="E301">
        <f>IF(Квартиры!G299="","",Квартиры!G299)</f>
        <v/>
      </c>
      <c r="F301">
        <f>IF(Квартиры!E299="","",Квартиры!E299)</f>
        <v/>
      </c>
      <c r="G301">
        <f>IF(Квартиры!F299="","",Квартиры!F299)</f>
        <v/>
      </c>
      <c r="H301">
        <f>IF(Квартиры!H299="","",Квартиры!H299)</f>
        <v/>
      </c>
      <c r="I301">
        <f>IF(Квартиры!I299="","",Квартиры!I299)</f>
        <v/>
      </c>
      <c r="J301">
        <f>IF(Квартиры!J299="","",Квартиры!J299)</f>
        <v/>
      </c>
    </row>
    <row r="302">
      <c r="A302">
        <f>IF(Квартиры!A300="","",Квартиры!A300)</f>
        <v/>
      </c>
      <c r="B302">
        <f>IF(Квартиры!B300="","",Квартиры!B300)</f>
        <v/>
      </c>
      <c r="C302">
        <f>IF(Квартиры!C300="","",Квартиры!C300)</f>
        <v/>
      </c>
      <c r="D302">
        <f>IF(Квартиры!D300="","",Квартиры!D300)</f>
        <v/>
      </c>
      <c r="E302">
        <f>IF(Квартиры!G300="","",Квартиры!G300)</f>
        <v/>
      </c>
      <c r="F302">
        <f>IF(Квартиры!E300="","",Квартиры!E300)</f>
        <v/>
      </c>
      <c r="G302">
        <f>IF(Квартиры!F300="","",Квартиры!F300)</f>
        <v/>
      </c>
      <c r="H302">
        <f>IF(Квартиры!H300="","",Квартиры!H300)</f>
        <v/>
      </c>
      <c r="I302">
        <f>IF(Квартиры!I300="","",Квартиры!I300)</f>
        <v/>
      </c>
      <c r="J302">
        <f>IF(Квартиры!J300="","",Квартиры!J300)</f>
        <v/>
      </c>
    </row>
    <row r="303">
      <c r="A303">
        <f>IF(Квартиры!A301="","",Квартиры!A301)</f>
        <v/>
      </c>
      <c r="B303">
        <f>IF(Квартиры!B301="","",Квартиры!B301)</f>
        <v/>
      </c>
      <c r="C303">
        <f>IF(Квартиры!C301="","",Квартиры!C301)</f>
        <v/>
      </c>
      <c r="D303">
        <f>IF(Квартиры!D301="","",Квартиры!D301)</f>
        <v/>
      </c>
      <c r="E303">
        <f>IF(Квартиры!G301="","",Квартиры!G301)</f>
        <v/>
      </c>
      <c r="F303">
        <f>IF(Квартиры!E301="","",Квартиры!E301)</f>
        <v/>
      </c>
      <c r="G303">
        <f>IF(Квартиры!F301="","",Квартиры!F301)</f>
        <v/>
      </c>
      <c r="H303">
        <f>IF(Квартиры!H301="","",Квартиры!H301)</f>
        <v/>
      </c>
      <c r="I303">
        <f>IF(Квартиры!I301="","",Квартиры!I301)</f>
        <v/>
      </c>
      <c r="J303">
        <f>IF(Квартиры!J301="","",Квартиры!J301)</f>
        <v/>
      </c>
    </row>
    <row r="304">
      <c r="A304">
        <f>IF(Квартиры!A302="","",Квартиры!A302)</f>
        <v/>
      </c>
      <c r="B304">
        <f>IF(Квартиры!B302="","",Квартиры!B302)</f>
        <v/>
      </c>
      <c r="C304">
        <f>IF(Квартиры!C302="","",Квартиры!C302)</f>
        <v/>
      </c>
      <c r="D304">
        <f>IF(Квартиры!D302="","",Квартиры!D302)</f>
        <v/>
      </c>
      <c r="E304">
        <f>IF(Квартиры!G302="","",Квартиры!G302)</f>
        <v/>
      </c>
      <c r="F304">
        <f>IF(Квартиры!E302="","",Квартиры!E302)</f>
        <v/>
      </c>
      <c r="G304">
        <f>IF(Квартиры!F302="","",Квартиры!F302)</f>
        <v/>
      </c>
      <c r="H304">
        <f>IF(Квартиры!H302="","",Квартиры!H302)</f>
        <v/>
      </c>
      <c r="I304">
        <f>IF(Квартиры!I302="","",Квартиры!I302)</f>
        <v/>
      </c>
      <c r="J304">
        <f>IF(Квартиры!J302="","",Квартиры!J302)</f>
        <v/>
      </c>
    </row>
    <row r="305">
      <c r="A305">
        <f>IF(Квартиры!A303="","",Квартиры!A303)</f>
        <v/>
      </c>
      <c r="B305">
        <f>IF(Квартиры!B303="","",Квартиры!B303)</f>
        <v/>
      </c>
      <c r="C305">
        <f>IF(Квартиры!C303="","",Квартиры!C303)</f>
        <v/>
      </c>
      <c r="D305">
        <f>IF(Квартиры!D303="","",Квартиры!D303)</f>
        <v/>
      </c>
      <c r="E305">
        <f>IF(Квартиры!G303="","",Квартиры!G303)</f>
        <v/>
      </c>
      <c r="F305">
        <f>IF(Квартиры!E303="","",Квартиры!E303)</f>
        <v/>
      </c>
      <c r="G305">
        <f>IF(Квартиры!F303="","",Квартиры!F303)</f>
        <v/>
      </c>
      <c r="H305">
        <f>IF(Квартиры!H303="","",Квартиры!H303)</f>
        <v/>
      </c>
      <c r="I305">
        <f>IF(Квартиры!I303="","",Квартиры!I303)</f>
        <v/>
      </c>
      <c r="J305">
        <f>IF(Квартиры!J303="","",Квартиры!J303)</f>
        <v/>
      </c>
    </row>
    <row r="306">
      <c r="A306">
        <f>IF(Квартиры!A304="","",Квартиры!A304)</f>
        <v/>
      </c>
      <c r="B306">
        <f>IF(Квартиры!B304="","",Квартиры!B304)</f>
        <v/>
      </c>
      <c r="C306">
        <f>IF(Квартиры!C304="","",Квартиры!C304)</f>
        <v/>
      </c>
      <c r="D306">
        <f>IF(Квартиры!D304="","",Квартиры!D304)</f>
        <v/>
      </c>
      <c r="E306">
        <f>IF(Квартиры!G304="","",Квартиры!G304)</f>
        <v/>
      </c>
      <c r="F306">
        <f>IF(Квартиры!E304="","",Квартиры!E304)</f>
        <v/>
      </c>
      <c r="G306">
        <f>IF(Квартиры!F304="","",Квартиры!F304)</f>
        <v/>
      </c>
      <c r="H306">
        <f>IF(Квартиры!H304="","",Квартиры!H304)</f>
        <v/>
      </c>
      <c r="I306">
        <f>IF(Квартиры!I304="","",Квартиры!I304)</f>
        <v/>
      </c>
      <c r="J306">
        <f>IF(Квартиры!J304="","",Квартиры!J304)</f>
        <v/>
      </c>
    </row>
    <row r="307">
      <c r="A307">
        <f>IF(Квартиры!A305="","",Квартиры!A305)</f>
        <v/>
      </c>
      <c r="B307">
        <f>IF(Квартиры!B305="","",Квартиры!B305)</f>
        <v/>
      </c>
      <c r="C307">
        <f>IF(Квартиры!C305="","",Квартиры!C305)</f>
        <v/>
      </c>
      <c r="D307">
        <f>IF(Квартиры!D305="","",Квартиры!D305)</f>
        <v/>
      </c>
      <c r="E307">
        <f>IF(Квартиры!G305="","",Квартиры!G305)</f>
        <v/>
      </c>
      <c r="F307">
        <f>IF(Квартиры!E305="","",Квартиры!E305)</f>
        <v/>
      </c>
      <c r="G307">
        <f>IF(Квартиры!F305="","",Квартиры!F305)</f>
        <v/>
      </c>
      <c r="H307">
        <f>IF(Квартиры!H305="","",Квартиры!H305)</f>
        <v/>
      </c>
      <c r="I307">
        <f>IF(Квартиры!I305="","",Квартиры!I305)</f>
        <v/>
      </c>
      <c r="J307">
        <f>IF(Квартиры!J305="","",Квартиры!J305)</f>
        <v/>
      </c>
    </row>
    <row r="308">
      <c r="A308">
        <f>IF(Квартиры!A306="","",Квартиры!A306)</f>
        <v/>
      </c>
      <c r="B308">
        <f>IF(Квартиры!B306="","",Квартиры!B306)</f>
        <v/>
      </c>
      <c r="C308">
        <f>IF(Квартиры!C306="","",Квартиры!C306)</f>
        <v/>
      </c>
      <c r="D308">
        <f>IF(Квартиры!D306="","",Квартиры!D306)</f>
        <v/>
      </c>
      <c r="E308">
        <f>IF(Квартиры!G306="","",Квартиры!G306)</f>
        <v/>
      </c>
      <c r="F308">
        <f>IF(Квартиры!E306="","",Квартиры!E306)</f>
        <v/>
      </c>
      <c r="G308">
        <f>IF(Квартиры!F306="","",Квартиры!F306)</f>
        <v/>
      </c>
      <c r="H308">
        <f>IF(Квартиры!H306="","",Квартиры!H306)</f>
        <v/>
      </c>
      <c r="I308">
        <f>IF(Квартиры!I306="","",Квартиры!I306)</f>
        <v/>
      </c>
      <c r="J308">
        <f>IF(Квартиры!J306="","",Квартиры!J306)</f>
        <v/>
      </c>
    </row>
    <row r="309">
      <c r="A309">
        <f>IF(Квартиры!A307="","",Квартиры!A307)</f>
        <v/>
      </c>
      <c r="B309">
        <f>IF(Квартиры!B307="","",Квартиры!B307)</f>
        <v/>
      </c>
      <c r="C309">
        <f>IF(Квартиры!C307="","",Квартиры!C307)</f>
        <v/>
      </c>
      <c r="D309">
        <f>IF(Квартиры!D307="","",Квартиры!D307)</f>
        <v/>
      </c>
      <c r="E309">
        <f>IF(Квартиры!G307="","",Квартиры!G307)</f>
        <v/>
      </c>
      <c r="F309">
        <f>IF(Квартиры!E307="","",Квартиры!E307)</f>
        <v/>
      </c>
      <c r="G309">
        <f>IF(Квартиры!F307="","",Квартиры!F307)</f>
        <v/>
      </c>
      <c r="H309">
        <f>IF(Квартиры!H307="","",Квартиры!H307)</f>
        <v/>
      </c>
      <c r="I309">
        <f>IF(Квартиры!I307="","",Квартиры!I307)</f>
        <v/>
      </c>
      <c r="J309">
        <f>IF(Квартиры!J307="","",Квартиры!J307)</f>
        <v/>
      </c>
    </row>
    <row r="310">
      <c r="A310">
        <f>IF(Квартиры!A308="","",Квартиры!A308)</f>
        <v/>
      </c>
      <c r="B310">
        <f>IF(Квартиры!B308="","",Квартиры!B308)</f>
        <v/>
      </c>
      <c r="C310">
        <f>IF(Квартиры!C308="","",Квартиры!C308)</f>
        <v/>
      </c>
      <c r="D310">
        <f>IF(Квартиры!D308="","",Квартиры!D308)</f>
        <v/>
      </c>
      <c r="E310">
        <f>IF(Квартиры!G308="","",Квартиры!G308)</f>
        <v/>
      </c>
      <c r="F310">
        <f>IF(Квартиры!E308="","",Квартиры!E308)</f>
        <v/>
      </c>
      <c r="G310">
        <f>IF(Квартиры!F308="","",Квартиры!F308)</f>
        <v/>
      </c>
      <c r="H310">
        <f>IF(Квартиры!H308="","",Квартиры!H308)</f>
        <v/>
      </c>
      <c r="I310">
        <f>IF(Квартиры!I308="","",Квартиры!I308)</f>
        <v/>
      </c>
      <c r="J310">
        <f>IF(Квартиры!J308="","",Квартиры!J308)</f>
        <v/>
      </c>
    </row>
    <row r="311">
      <c r="A311">
        <f>IF(Квартиры!A309="","",Квартиры!A309)</f>
        <v/>
      </c>
      <c r="B311">
        <f>IF(Квартиры!B309="","",Квартиры!B309)</f>
        <v/>
      </c>
      <c r="C311">
        <f>IF(Квартиры!C309="","",Квартиры!C309)</f>
        <v/>
      </c>
      <c r="D311">
        <f>IF(Квартиры!D309="","",Квартиры!D309)</f>
        <v/>
      </c>
      <c r="E311">
        <f>IF(Квартиры!G309="","",Квартиры!G309)</f>
        <v/>
      </c>
      <c r="F311">
        <f>IF(Квартиры!E309="","",Квартиры!E309)</f>
        <v/>
      </c>
      <c r="G311">
        <f>IF(Квартиры!F309="","",Квартиры!F309)</f>
        <v/>
      </c>
      <c r="H311">
        <f>IF(Квартиры!H309="","",Квартиры!H309)</f>
        <v/>
      </c>
      <c r="I311">
        <f>IF(Квартиры!I309="","",Квартиры!I309)</f>
        <v/>
      </c>
      <c r="J311">
        <f>IF(Квартиры!J309="","",Квартиры!J309)</f>
        <v/>
      </c>
    </row>
    <row r="312">
      <c r="A312">
        <f>IF(Квартиры!A310="","",Квартиры!A310)</f>
        <v/>
      </c>
      <c r="B312">
        <f>IF(Квартиры!B310="","",Квартиры!B310)</f>
        <v/>
      </c>
      <c r="C312">
        <f>IF(Квартиры!C310="","",Квартиры!C310)</f>
        <v/>
      </c>
      <c r="D312">
        <f>IF(Квартиры!D310="","",Квартиры!D310)</f>
        <v/>
      </c>
      <c r="E312">
        <f>IF(Квартиры!G310="","",Квартиры!G310)</f>
        <v/>
      </c>
      <c r="F312">
        <f>IF(Квартиры!E310="","",Квартиры!E310)</f>
        <v/>
      </c>
      <c r="G312">
        <f>IF(Квартиры!F310="","",Квартиры!F310)</f>
        <v/>
      </c>
      <c r="H312">
        <f>IF(Квартиры!H310="","",Квартиры!H310)</f>
        <v/>
      </c>
      <c r="I312">
        <f>IF(Квартиры!I310="","",Квартиры!I310)</f>
        <v/>
      </c>
      <c r="J312">
        <f>IF(Квартиры!J310="","",Квартиры!J310)</f>
        <v/>
      </c>
    </row>
    <row r="313">
      <c r="A313">
        <f>IF(Квартиры!A311="","",Квартиры!A311)</f>
        <v/>
      </c>
      <c r="B313">
        <f>IF(Квартиры!B311="","",Квартиры!B311)</f>
        <v/>
      </c>
      <c r="C313">
        <f>IF(Квартиры!C311="","",Квартиры!C311)</f>
        <v/>
      </c>
      <c r="D313">
        <f>IF(Квартиры!D311="","",Квартиры!D311)</f>
        <v/>
      </c>
      <c r="E313">
        <f>IF(Квартиры!G311="","",Квартиры!G311)</f>
        <v/>
      </c>
      <c r="F313">
        <f>IF(Квартиры!E311="","",Квартиры!E311)</f>
        <v/>
      </c>
      <c r="G313">
        <f>IF(Квартиры!F311="","",Квартиры!F311)</f>
        <v/>
      </c>
      <c r="H313">
        <f>IF(Квартиры!H311="","",Квартиры!H311)</f>
        <v/>
      </c>
      <c r="I313">
        <f>IF(Квартиры!I311="","",Квартиры!I311)</f>
        <v/>
      </c>
      <c r="J313">
        <f>IF(Квартиры!J311="","",Квартиры!J311)</f>
        <v/>
      </c>
    </row>
    <row r="314">
      <c r="A314">
        <f>IF(Квартиры!A312="","",Квартиры!A312)</f>
        <v/>
      </c>
      <c r="B314">
        <f>IF(Квартиры!B312="","",Квартиры!B312)</f>
        <v/>
      </c>
      <c r="C314">
        <f>IF(Квартиры!C312="","",Квартиры!C312)</f>
        <v/>
      </c>
      <c r="D314">
        <f>IF(Квартиры!D312="","",Квартиры!D312)</f>
        <v/>
      </c>
      <c r="E314">
        <f>IF(Квартиры!G312="","",Квартиры!G312)</f>
        <v/>
      </c>
      <c r="F314">
        <f>IF(Квартиры!E312="","",Квартиры!E312)</f>
        <v/>
      </c>
      <c r="G314">
        <f>IF(Квартиры!F312="","",Квартиры!F312)</f>
        <v/>
      </c>
      <c r="H314">
        <f>IF(Квартиры!H312="","",Квартиры!H312)</f>
        <v/>
      </c>
      <c r="I314">
        <f>IF(Квартиры!I312="","",Квартиры!I312)</f>
        <v/>
      </c>
      <c r="J314">
        <f>IF(Квартиры!J312="","",Квартиры!J312)</f>
        <v/>
      </c>
    </row>
    <row r="315">
      <c r="A315">
        <f>IF(Квартиры!A313="","",Квартиры!A313)</f>
        <v/>
      </c>
      <c r="B315">
        <f>IF(Квартиры!B313="","",Квартиры!B313)</f>
        <v/>
      </c>
      <c r="C315">
        <f>IF(Квартиры!C313="","",Квартиры!C313)</f>
        <v/>
      </c>
      <c r="D315">
        <f>IF(Квартиры!D313="","",Квартиры!D313)</f>
        <v/>
      </c>
      <c r="E315">
        <f>IF(Квартиры!G313="","",Квартиры!G313)</f>
        <v/>
      </c>
      <c r="F315">
        <f>IF(Квартиры!E313="","",Квартиры!E313)</f>
        <v/>
      </c>
      <c r="G315">
        <f>IF(Квартиры!F313="","",Квартиры!F313)</f>
        <v/>
      </c>
      <c r="H315">
        <f>IF(Квартиры!H313="","",Квартиры!H313)</f>
        <v/>
      </c>
      <c r="I315">
        <f>IF(Квартиры!I313="","",Квартиры!I313)</f>
        <v/>
      </c>
      <c r="J315">
        <f>IF(Квартиры!J313="","",Квартиры!J313)</f>
        <v/>
      </c>
    </row>
    <row r="316">
      <c r="A316">
        <f>IF(Квартиры!A314="","",Квартиры!A314)</f>
        <v/>
      </c>
      <c r="B316">
        <f>IF(Квартиры!B314="","",Квартиры!B314)</f>
        <v/>
      </c>
      <c r="C316">
        <f>IF(Квартиры!C314="","",Квартиры!C314)</f>
        <v/>
      </c>
      <c r="D316">
        <f>IF(Квартиры!D314="","",Квартиры!D314)</f>
        <v/>
      </c>
      <c r="E316">
        <f>IF(Квартиры!G314="","",Квартиры!G314)</f>
        <v/>
      </c>
      <c r="F316">
        <f>IF(Квартиры!E314="","",Квартиры!E314)</f>
        <v/>
      </c>
      <c r="G316">
        <f>IF(Квартиры!F314="","",Квартиры!F314)</f>
        <v/>
      </c>
      <c r="H316">
        <f>IF(Квартиры!H314="","",Квартиры!H314)</f>
        <v/>
      </c>
      <c r="I316">
        <f>IF(Квартиры!I314="","",Квартиры!I314)</f>
        <v/>
      </c>
      <c r="J316">
        <f>IF(Квартиры!J314="","",Квартиры!J314)</f>
        <v/>
      </c>
    </row>
    <row r="317">
      <c r="A317">
        <f>IF(Квартиры!A315="","",Квартиры!A315)</f>
        <v/>
      </c>
      <c r="B317">
        <f>IF(Квартиры!B315="","",Квартиры!B315)</f>
        <v/>
      </c>
      <c r="C317">
        <f>IF(Квартиры!C315="","",Квартиры!C315)</f>
        <v/>
      </c>
      <c r="D317">
        <f>IF(Квартиры!D315="","",Квартиры!D315)</f>
        <v/>
      </c>
      <c r="E317">
        <f>IF(Квартиры!G315="","",Квартиры!G315)</f>
        <v/>
      </c>
      <c r="F317">
        <f>IF(Квартиры!E315="","",Квартиры!E315)</f>
        <v/>
      </c>
      <c r="G317">
        <f>IF(Квартиры!F315="","",Квартиры!F315)</f>
        <v/>
      </c>
      <c r="H317">
        <f>IF(Квартиры!H315="","",Квартиры!H315)</f>
        <v/>
      </c>
      <c r="I317">
        <f>IF(Квартиры!I315="","",Квартиры!I315)</f>
        <v/>
      </c>
      <c r="J317">
        <f>IF(Квартиры!J315="","",Квартиры!J315)</f>
        <v/>
      </c>
    </row>
    <row r="318">
      <c r="A318">
        <f>IF(Квартиры!A316="","",Квартиры!A316)</f>
        <v/>
      </c>
      <c r="B318">
        <f>IF(Квартиры!B316="","",Квартиры!B316)</f>
        <v/>
      </c>
      <c r="C318">
        <f>IF(Квартиры!C316="","",Квартиры!C316)</f>
        <v/>
      </c>
      <c r="D318">
        <f>IF(Квартиры!D316="","",Квартиры!D316)</f>
        <v/>
      </c>
      <c r="E318">
        <f>IF(Квартиры!G316="","",Квартиры!G316)</f>
        <v/>
      </c>
      <c r="F318">
        <f>IF(Квартиры!E316="","",Квартиры!E316)</f>
        <v/>
      </c>
      <c r="G318">
        <f>IF(Квартиры!F316="","",Квартиры!F316)</f>
        <v/>
      </c>
      <c r="H318">
        <f>IF(Квартиры!H316="","",Квартиры!H316)</f>
        <v/>
      </c>
      <c r="I318">
        <f>IF(Квартиры!I316="","",Квартиры!I316)</f>
        <v/>
      </c>
      <c r="J318">
        <f>IF(Квартиры!J316="","",Квартиры!J316)</f>
        <v/>
      </c>
    </row>
    <row r="319">
      <c r="A319">
        <f>IF(Квартиры!A317="","",Квартиры!A317)</f>
        <v/>
      </c>
      <c r="B319">
        <f>IF(Квартиры!B317="","",Квартиры!B317)</f>
        <v/>
      </c>
      <c r="C319">
        <f>IF(Квартиры!C317="","",Квартиры!C317)</f>
        <v/>
      </c>
      <c r="D319">
        <f>IF(Квартиры!D317="","",Квартиры!D317)</f>
        <v/>
      </c>
      <c r="E319">
        <f>IF(Квартиры!G317="","",Квартиры!G317)</f>
        <v/>
      </c>
      <c r="F319">
        <f>IF(Квартиры!E317="","",Квартиры!E317)</f>
        <v/>
      </c>
      <c r="G319">
        <f>IF(Квартиры!F317="","",Квартиры!F317)</f>
        <v/>
      </c>
      <c r="H319">
        <f>IF(Квартиры!H317="","",Квартиры!H317)</f>
        <v/>
      </c>
      <c r="I319">
        <f>IF(Квартиры!I317="","",Квартиры!I317)</f>
        <v/>
      </c>
      <c r="J319">
        <f>IF(Квартиры!J317="","",Квартиры!J317)</f>
        <v/>
      </c>
    </row>
    <row r="320">
      <c r="A320">
        <f>IF(Квартиры!A318="","",Квартиры!A318)</f>
        <v/>
      </c>
      <c r="B320">
        <f>IF(Квартиры!B318="","",Квартиры!B318)</f>
        <v/>
      </c>
      <c r="C320">
        <f>IF(Квартиры!C318="","",Квартиры!C318)</f>
        <v/>
      </c>
      <c r="D320">
        <f>IF(Квартиры!D318="","",Квартиры!D318)</f>
        <v/>
      </c>
      <c r="E320">
        <f>IF(Квартиры!G318="","",Квартиры!G318)</f>
        <v/>
      </c>
      <c r="F320">
        <f>IF(Квартиры!E318="","",Квартиры!E318)</f>
        <v/>
      </c>
      <c r="G320">
        <f>IF(Квартиры!F318="","",Квартиры!F318)</f>
        <v/>
      </c>
      <c r="H320">
        <f>IF(Квартиры!H318="","",Квартиры!H318)</f>
        <v/>
      </c>
      <c r="I320">
        <f>IF(Квартиры!I318="","",Квартиры!I318)</f>
        <v/>
      </c>
      <c r="J320">
        <f>IF(Квартиры!J318="","",Квартиры!J318)</f>
        <v/>
      </c>
    </row>
    <row r="321">
      <c r="A321">
        <f>IF(Квартиры!A319="","",Квартиры!A319)</f>
        <v/>
      </c>
      <c r="B321">
        <f>IF(Квартиры!B319="","",Квартиры!B319)</f>
        <v/>
      </c>
      <c r="C321">
        <f>IF(Квартиры!C319="","",Квартиры!C319)</f>
        <v/>
      </c>
      <c r="D321">
        <f>IF(Квартиры!D319="","",Квартиры!D319)</f>
        <v/>
      </c>
      <c r="E321">
        <f>IF(Квартиры!G319="","",Квартиры!G319)</f>
        <v/>
      </c>
      <c r="F321">
        <f>IF(Квартиры!E319="","",Квартиры!E319)</f>
        <v/>
      </c>
      <c r="G321">
        <f>IF(Квартиры!F319="","",Квартиры!F319)</f>
        <v/>
      </c>
      <c r="H321">
        <f>IF(Квартиры!H319="","",Квартиры!H319)</f>
        <v/>
      </c>
      <c r="I321">
        <f>IF(Квартиры!I319="","",Квартиры!I319)</f>
        <v/>
      </c>
      <c r="J321">
        <f>IF(Квартиры!J319="","",Квартиры!J319)</f>
        <v/>
      </c>
    </row>
    <row r="322">
      <c r="A322">
        <f>IF(Квартиры!A320="","",Квартиры!A320)</f>
        <v/>
      </c>
      <c r="B322">
        <f>IF(Квартиры!B320="","",Квартиры!B320)</f>
        <v/>
      </c>
      <c r="C322">
        <f>IF(Квартиры!C320="","",Квартиры!C320)</f>
        <v/>
      </c>
      <c r="D322">
        <f>IF(Квартиры!D320="","",Квартиры!D320)</f>
        <v/>
      </c>
      <c r="E322">
        <f>IF(Квартиры!G320="","",Квартиры!G320)</f>
        <v/>
      </c>
      <c r="F322">
        <f>IF(Квартиры!E320="","",Квартиры!E320)</f>
        <v/>
      </c>
      <c r="G322">
        <f>IF(Квартиры!F320="","",Квартиры!F320)</f>
        <v/>
      </c>
      <c r="H322">
        <f>IF(Квартиры!H320="","",Квартиры!H320)</f>
        <v/>
      </c>
      <c r="I322">
        <f>IF(Квартиры!I320="","",Квартиры!I320)</f>
        <v/>
      </c>
      <c r="J322">
        <f>IF(Квартиры!J320="","",Квартиры!J320)</f>
        <v/>
      </c>
    </row>
    <row r="323">
      <c r="A323">
        <f>IF(Квартиры!A321="","",Квартиры!A321)</f>
        <v/>
      </c>
      <c r="B323">
        <f>IF(Квартиры!B321="","",Квартиры!B321)</f>
        <v/>
      </c>
      <c r="C323">
        <f>IF(Квартиры!C321="","",Квартиры!C321)</f>
        <v/>
      </c>
      <c r="D323">
        <f>IF(Квартиры!D321="","",Квартиры!D321)</f>
        <v/>
      </c>
      <c r="E323">
        <f>IF(Квартиры!G321="","",Квартиры!G321)</f>
        <v/>
      </c>
      <c r="F323">
        <f>IF(Квартиры!E321="","",Квартиры!E321)</f>
        <v/>
      </c>
      <c r="G323">
        <f>IF(Квартиры!F321="","",Квартиры!F321)</f>
        <v/>
      </c>
      <c r="H323">
        <f>IF(Квартиры!H321="","",Квартиры!H321)</f>
        <v/>
      </c>
      <c r="I323">
        <f>IF(Квартиры!I321="","",Квартиры!I321)</f>
        <v/>
      </c>
      <c r="J323">
        <f>IF(Квартиры!J321="","",Квартиры!J321)</f>
        <v/>
      </c>
    </row>
    <row r="324">
      <c r="A324">
        <f>IF(Квартиры!A322="","",Квартиры!A322)</f>
        <v/>
      </c>
      <c r="B324">
        <f>IF(Квартиры!B322="","",Квартиры!B322)</f>
        <v/>
      </c>
      <c r="C324">
        <f>IF(Квартиры!C322="","",Квартиры!C322)</f>
        <v/>
      </c>
      <c r="D324">
        <f>IF(Квартиры!D322="","",Квартиры!D322)</f>
        <v/>
      </c>
      <c r="E324">
        <f>IF(Квартиры!G322="","",Квартиры!G322)</f>
        <v/>
      </c>
      <c r="F324">
        <f>IF(Квартиры!E322="","",Квартиры!E322)</f>
        <v/>
      </c>
      <c r="G324">
        <f>IF(Квартиры!F322="","",Квартиры!F322)</f>
        <v/>
      </c>
      <c r="H324">
        <f>IF(Квартиры!H322="","",Квартиры!H322)</f>
        <v/>
      </c>
      <c r="I324">
        <f>IF(Квартиры!I322="","",Квартиры!I322)</f>
        <v/>
      </c>
      <c r="J324">
        <f>IF(Квартиры!J322="","",Квартиры!J322)</f>
        <v/>
      </c>
    </row>
    <row r="325">
      <c r="A325">
        <f>IF(Квартиры!A323="","",Квартиры!A323)</f>
        <v/>
      </c>
      <c r="B325">
        <f>IF(Квартиры!B323="","",Квартиры!B323)</f>
        <v/>
      </c>
      <c r="C325">
        <f>IF(Квартиры!C323="","",Квартиры!C323)</f>
        <v/>
      </c>
      <c r="D325">
        <f>IF(Квартиры!D323="","",Квартиры!D323)</f>
        <v/>
      </c>
      <c r="E325">
        <f>IF(Квартиры!G323="","",Квартиры!G323)</f>
        <v/>
      </c>
      <c r="F325">
        <f>IF(Квартиры!E323="","",Квартиры!E323)</f>
        <v/>
      </c>
      <c r="G325">
        <f>IF(Квартиры!F323="","",Квартиры!F323)</f>
        <v/>
      </c>
      <c r="H325">
        <f>IF(Квартиры!H323="","",Квартиры!H323)</f>
        <v/>
      </c>
      <c r="I325">
        <f>IF(Квартиры!I323="","",Квартиры!I323)</f>
        <v/>
      </c>
      <c r="J325">
        <f>IF(Квартиры!J323="","",Квартиры!J323)</f>
        <v/>
      </c>
    </row>
    <row r="326">
      <c r="A326">
        <f>IF(Квартиры!A324="","",Квартиры!A324)</f>
        <v/>
      </c>
      <c r="B326">
        <f>IF(Квартиры!B324="","",Квартиры!B324)</f>
        <v/>
      </c>
      <c r="C326">
        <f>IF(Квартиры!C324="","",Квартиры!C324)</f>
        <v/>
      </c>
      <c r="D326">
        <f>IF(Квартиры!D324="","",Квартиры!D324)</f>
        <v/>
      </c>
      <c r="E326">
        <f>IF(Квартиры!G324="","",Квартиры!G324)</f>
        <v/>
      </c>
      <c r="F326">
        <f>IF(Квартиры!E324="","",Квартиры!E324)</f>
        <v/>
      </c>
      <c r="G326">
        <f>IF(Квартиры!F324="","",Квартиры!F324)</f>
        <v/>
      </c>
      <c r="H326">
        <f>IF(Квартиры!H324="","",Квартиры!H324)</f>
        <v/>
      </c>
      <c r="I326">
        <f>IF(Квартиры!I324="","",Квартиры!I324)</f>
        <v/>
      </c>
      <c r="J326">
        <f>IF(Квартиры!J324="","",Квартиры!J324)</f>
        <v/>
      </c>
    </row>
    <row r="327">
      <c r="A327">
        <f>IF(Квартиры!A325="","",Квартиры!A325)</f>
        <v/>
      </c>
      <c r="B327">
        <f>IF(Квартиры!B325="","",Квартиры!B325)</f>
        <v/>
      </c>
      <c r="C327">
        <f>IF(Квартиры!C325="","",Квартиры!C325)</f>
        <v/>
      </c>
      <c r="D327">
        <f>IF(Квартиры!D325="","",Квартиры!D325)</f>
        <v/>
      </c>
      <c r="E327">
        <f>IF(Квартиры!G325="","",Квартиры!G325)</f>
        <v/>
      </c>
      <c r="F327">
        <f>IF(Квартиры!E325="","",Квартиры!E325)</f>
        <v/>
      </c>
      <c r="G327">
        <f>IF(Квартиры!F325="","",Квартиры!F325)</f>
        <v/>
      </c>
      <c r="H327">
        <f>IF(Квартиры!H325="","",Квартиры!H325)</f>
        <v/>
      </c>
      <c r="I327">
        <f>IF(Квартиры!I325="","",Квартиры!I325)</f>
        <v/>
      </c>
      <c r="J327">
        <f>IF(Квартиры!J325="","",Квартиры!J325)</f>
        <v/>
      </c>
    </row>
    <row r="328">
      <c r="A328">
        <f>IF(Квартиры!A326="","",Квартиры!A326)</f>
        <v/>
      </c>
      <c r="B328">
        <f>IF(Квартиры!B326="","",Квартиры!B326)</f>
        <v/>
      </c>
      <c r="C328">
        <f>IF(Квартиры!C326="","",Квартиры!C326)</f>
        <v/>
      </c>
      <c r="D328">
        <f>IF(Квартиры!D326="","",Квартиры!D326)</f>
        <v/>
      </c>
      <c r="E328">
        <f>IF(Квартиры!G326="","",Квартиры!G326)</f>
        <v/>
      </c>
      <c r="F328">
        <f>IF(Квартиры!E326="","",Квартиры!E326)</f>
        <v/>
      </c>
      <c r="G328">
        <f>IF(Квартиры!F326="","",Квартиры!F326)</f>
        <v/>
      </c>
      <c r="H328">
        <f>IF(Квартиры!H326="","",Квартиры!H326)</f>
        <v/>
      </c>
      <c r="I328">
        <f>IF(Квартиры!I326="","",Квартиры!I326)</f>
        <v/>
      </c>
      <c r="J328">
        <f>IF(Квартиры!J326="","",Квартиры!J326)</f>
        <v/>
      </c>
    </row>
    <row r="329">
      <c r="A329">
        <f>IF(Квартиры!A327="","",Квартиры!A327)</f>
        <v/>
      </c>
      <c r="B329">
        <f>IF(Квартиры!B327="","",Квартиры!B327)</f>
        <v/>
      </c>
      <c r="C329">
        <f>IF(Квартиры!C327="","",Квартиры!C327)</f>
        <v/>
      </c>
      <c r="D329">
        <f>IF(Квартиры!D327="","",Квартиры!D327)</f>
        <v/>
      </c>
      <c r="E329">
        <f>IF(Квартиры!G327="","",Квартиры!G327)</f>
        <v/>
      </c>
      <c r="F329">
        <f>IF(Квартиры!E327="","",Квартиры!E327)</f>
        <v/>
      </c>
      <c r="G329">
        <f>IF(Квартиры!F327="","",Квартиры!F327)</f>
        <v/>
      </c>
      <c r="H329">
        <f>IF(Квартиры!H327="","",Квартиры!H327)</f>
        <v/>
      </c>
      <c r="I329">
        <f>IF(Квартиры!I327="","",Квартиры!I327)</f>
        <v/>
      </c>
      <c r="J329">
        <f>IF(Квартиры!J327="","",Квартиры!J327)</f>
        <v/>
      </c>
    </row>
    <row r="330">
      <c r="A330">
        <f>IF(Квартиры!A328="","",Квартиры!A328)</f>
        <v/>
      </c>
      <c r="B330">
        <f>IF(Квартиры!B328="","",Квартиры!B328)</f>
        <v/>
      </c>
      <c r="C330">
        <f>IF(Квартиры!C328="","",Квартиры!C328)</f>
        <v/>
      </c>
      <c r="D330">
        <f>IF(Квартиры!D328="","",Квартиры!D328)</f>
        <v/>
      </c>
      <c r="E330">
        <f>IF(Квартиры!G328="","",Квартиры!G328)</f>
        <v/>
      </c>
      <c r="F330">
        <f>IF(Квартиры!E328="","",Квартиры!E328)</f>
        <v/>
      </c>
      <c r="G330">
        <f>IF(Квартиры!F328="","",Квартиры!F328)</f>
        <v/>
      </c>
      <c r="H330">
        <f>IF(Квартиры!H328="","",Квартиры!H328)</f>
        <v/>
      </c>
      <c r="I330">
        <f>IF(Квартиры!I328="","",Квартиры!I328)</f>
        <v/>
      </c>
      <c r="J330">
        <f>IF(Квартиры!J328="","",Квартиры!J328)</f>
        <v/>
      </c>
    </row>
    <row r="331">
      <c r="A331">
        <f>IF(Квартиры!A329="","",Квартиры!A329)</f>
        <v/>
      </c>
      <c r="B331">
        <f>IF(Квартиры!B329="","",Квартиры!B329)</f>
        <v/>
      </c>
      <c r="C331">
        <f>IF(Квартиры!C329="","",Квартиры!C329)</f>
        <v/>
      </c>
      <c r="D331">
        <f>IF(Квартиры!D329="","",Квартиры!D329)</f>
        <v/>
      </c>
      <c r="E331">
        <f>IF(Квартиры!G329="","",Квартиры!G329)</f>
        <v/>
      </c>
      <c r="F331">
        <f>IF(Квартиры!E329="","",Квартиры!E329)</f>
        <v/>
      </c>
      <c r="G331">
        <f>IF(Квартиры!F329="","",Квартиры!F329)</f>
        <v/>
      </c>
      <c r="H331">
        <f>IF(Квартиры!H329="","",Квартиры!H329)</f>
        <v/>
      </c>
      <c r="I331">
        <f>IF(Квартиры!I329="","",Квартиры!I329)</f>
        <v/>
      </c>
      <c r="J331">
        <f>IF(Квартиры!J329="","",Квартиры!J329)</f>
        <v/>
      </c>
    </row>
    <row r="332">
      <c r="A332">
        <f>IF(Квартиры!A330="","",Квартиры!A330)</f>
        <v/>
      </c>
      <c r="B332">
        <f>IF(Квартиры!B330="","",Квартиры!B330)</f>
        <v/>
      </c>
      <c r="C332">
        <f>IF(Квартиры!C330="","",Квартиры!C330)</f>
        <v/>
      </c>
      <c r="D332">
        <f>IF(Квартиры!D330="","",Квартиры!D330)</f>
        <v/>
      </c>
      <c r="E332">
        <f>IF(Квартиры!G330="","",Квартиры!G330)</f>
        <v/>
      </c>
      <c r="F332">
        <f>IF(Квартиры!E330="","",Квартиры!E330)</f>
        <v/>
      </c>
      <c r="G332">
        <f>IF(Квартиры!F330="","",Квартиры!F330)</f>
        <v/>
      </c>
      <c r="H332">
        <f>IF(Квартиры!H330="","",Квартиры!H330)</f>
        <v/>
      </c>
      <c r="I332">
        <f>IF(Квартиры!I330="","",Квартиры!I330)</f>
        <v/>
      </c>
      <c r="J332">
        <f>IF(Квартиры!J330="","",Квартиры!J330)</f>
        <v/>
      </c>
    </row>
    <row r="333">
      <c r="A333">
        <f>IF(Квартиры!A331="","",Квартиры!A331)</f>
        <v/>
      </c>
      <c r="B333">
        <f>IF(Квартиры!B331="","",Квартиры!B331)</f>
        <v/>
      </c>
      <c r="C333">
        <f>IF(Квартиры!C331="","",Квартиры!C331)</f>
        <v/>
      </c>
      <c r="D333">
        <f>IF(Квартиры!D331="","",Квартиры!D331)</f>
        <v/>
      </c>
      <c r="E333">
        <f>IF(Квартиры!G331="","",Квартиры!G331)</f>
        <v/>
      </c>
      <c r="F333">
        <f>IF(Квартиры!E331="","",Квартиры!E331)</f>
        <v/>
      </c>
      <c r="G333">
        <f>IF(Квартиры!F331="","",Квартиры!F331)</f>
        <v/>
      </c>
      <c r="H333">
        <f>IF(Квартиры!H331="","",Квартиры!H331)</f>
        <v/>
      </c>
      <c r="I333">
        <f>IF(Квартиры!I331="","",Квартиры!I331)</f>
        <v/>
      </c>
      <c r="J333">
        <f>IF(Квартиры!J331="","",Квартиры!J331)</f>
        <v/>
      </c>
    </row>
    <row r="334">
      <c r="A334">
        <f>IF(Квартиры!A332="","",Квартиры!A332)</f>
        <v/>
      </c>
      <c r="B334">
        <f>IF(Квартиры!B332="","",Квартиры!B332)</f>
        <v/>
      </c>
      <c r="C334">
        <f>IF(Квартиры!C332="","",Квартиры!C332)</f>
        <v/>
      </c>
      <c r="D334">
        <f>IF(Квартиры!D332="","",Квартиры!D332)</f>
        <v/>
      </c>
      <c r="E334">
        <f>IF(Квартиры!G332="","",Квартиры!G332)</f>
        <v/>
      </c>
      <c r="F334">
        <f>IF(Квартиры!E332="","",Квартиры!E332)</f>
        <v/>
      </c>
      <c r="G334">
        <f>IF(Квартиры!F332="","",Квартиры!F332)</f>
        <v/>
      </c>
      <c r="H334">
        <f>IF(Квартиры!H332="","",Квартиры!H332)</f>
        <v/>
      </c>
      <c r="I334">
        <f>IF(Квартиры!I332="","",Квартиры!I332)</f>
        <v/>
      </c>
      <c r="J334">
        <f>IF(Квартиры!J332="","",Квартиры!J332)</f>
        <v/>
      </c>
    </row>
    <row r="335">
      <c r="A335">
        <f>IF(Квартиры!A333="","",Квартиры!A333)</f>
        <v/>
      </c>
      <c r="B335">
        <f>IF(Квартиры!B333="","",Квартиры!B333)</f>
        <v/>
      </c>
      <c r="C335">
        <f>IF(Квартиры!C333="","",Квартиры!C333)</f>
        <v/>
      </c>
      <c r="D335">
        <f>IF(Квартиры!D333="","",Квартиры!D333)</f>
        <v/>
      </c>
      <c r="E335">
        <f>IF(Квартиры!G333="","",Квартиры!G333)</f>
        <v/>
      </c>
      <c r="F335">
        <f>IF(Квартиры!E333="","",Квартиры!E333)</f>
        <v/>
      </c>
      <c r="G335">
        <f>IF(Квартиры!F333="","",Квартиры!F333)</f>
        <v/>
      </c>
      <c r="H335">
        <f>IF(Квартиры!H333="","",Квартиры!H333)</f>
        <v/>
      </c>
      <c r="I335">
        <f>IF(Квартиры!I333="","",Квартиры!I333)</f>
        <v/>
      </c>
      <c r="J335">
        <f>IF(Квартиры!J333="","",Квартиры!J333)</f>
        <v/>
      </c>
    </row>
    <row r="336">
      <c r="A336">
        <f>IF(Квартиры!A334="","",Квартиры!A334)</f>
        <v/>
      </c>
      <c r="B336">
        <f>IF(Квартиры!B334="","",Квартиры!B334)</f>
        <v/>
      </c>
      <c r="C336">
        <f>IF(Квартиры!C334="","",Квартиры!C334)</f>
        <v/>
      </c>
      <c r="D336">
        <f>IF(Квартиры!D334="","",Квартиры!D334)</f>
        <v/>
      </c>
      <c r="E336">
        <f>IF(Квартиры!G334="","",Квартиры!G334)</f>
        <v/>
      </c>
      <c r="F336">
        <f>IF(Квартиры!E334="","",Квартиры!E334)</f>
        <v/>
      </c>
      <c r="G336">
        <f>IF(Квартиры!F334="","",Квартиры!F334)</f>
        <v/>
      </c>
      <c r="H336">
        <f>IF(Квартиры!H334="","",Квартиры!H334)</f>
        <v/>
      </c>
      <c r="I336">
        <f>IF(Квартиры!I334="","",Квартиры!I334)</f>
        <v/>
      </c>
      <c r="J336">
        <f>IF(Квартиры!J334="","",Квартиры!J334)</f>
        <v/>
      </c>
    </row>
    <row r="337">
      <c r="A337">
        <f>IF(Квартиры!A335="","",Квартиры!A335)</f>
        <v/>
      </c>
      <c r="B337">
        <f>IF(Квартиры!B335="","",Квартиры!B335)</f>
        <v/>
      </c>
      <c r="C337">
        <f>IF(Квартиры!C335="","",Квартиры!C335)</f>
        <v/>
      </c>
      <c r="D337">
        <f>IF(Квартиры!D335="","",Квартиры!D335)</f>
        <v/>
      </c>
      <c r="E337">
        <f>IF(Квартиры!G335="","",Квартиры!G335)</f>
        <v/>
      </c>
      <c r="F337">
        <f>IF(Квартиры!E335="","",Квартиры!E335)</f>
        <v/>
      </c>
      <c r="G337">
        <f>IF(Квартиры!F335="","",Квартиры!F335)</f>
        <v/>
      </c>
      <c r="H337">
        <f>IF(Квартиры!H335="","",Квартиры!H335)</f>
        <v/>
      </c>
      <c r="I337">
        <f>IF(Квартиры!I335="","",Квартиры!I335)</f>
        <v/>
      </c>
      <c r="J337">
        <f>IF(Квартиры!J335="","",Квартиры!J335)</f>
        <v/>
      </c>
    </row>
    <row r="338">
      <c r="A338">
        <f>IF(Квартиры!A336="","",Квартиры!A336)</f>
        <v/>
      </c>
      <c r="B338">
        <f>IF(Квартиры!B336="","",Квартиры!B336)</f>
        <v/>
      </c>
      <c r="C338">
        <f>IF(Квартиры!C336="","",Квартиры!C336)</f>
        <v/>
      </c>
      <c r="D338">
        <f>IF(Квартиры!D336="","",Квартиры!D336)</f>
        <v/>
      </c>
      <c r="E338">
        <f>IF(Квартиры!G336="","",Квартиры!G336)</f>
        <v/>
      </c>
      <c r="F338">
        <f>IF(Квартиры!E336="","",Квартиры!E336)</f>
        <v/>
      </c>
      <c r="G338">
        <f>IF(Квартиры!F336="","",Квартиры!F336)</f>
        <v/>
      </c>
      <c r="H338">
        <f>IF(Квартиры!H336="","",Квартиры!H336)</f>
        <v/>
      </c>
      <c r="I338">
        <f>IF(Квартиры!I336="","",Квартиры!I336)</f>
        <v/>
      </c>
      <c r="J338">
        <f>IF(Квартиры!J336="","",Квартиры!J336)</f>
        <v/>
      </c>
    </row>
    <row r="339">
      <c r="A339">
        <f>IF(Квартиры!A337="","",Квартиры!A337)</f>
        <v/>
      </c>
      <c r="B339">
        <f>IF(Квартиры!B337="","",Квартиры!B337)</f>
        <v/>
      </c>
      <c r="C339">
        <f>IF(Квартиры!C337="","",Квартиры!C337)</f>
        <v/>
      </c>
      <c r="D339">
        <f>IF(Квартиры!D337="","",Квартиры!D337)</f>
        <v/>
      </c>
      <c r="E339">
        <f>IF(Квартиры!G337="","",Квартиры!G337)</f>
        <v/>
      </c>
      <c r="F339">
        <f>IF(Квартиры!E337="","",Квартиры!E337)</f>
        <v/>
      </c>
      <c r="G339">
        <f>IF(Квартиры!F337="","",Квартиры!F337)</f>
        <v/>
      </c>
      <c r="H339">
        <f>IF(Квартиры!H337="","",Квартиры!H337)</f>
        <v/>
      </c>
      <c r="I339">
        <f>IF(Квартиры!I337="","",Квартиры!I337)</f>
        <v/>
      </c>
      <c r="J339">
        <f>IF(Квартиры!J337="","",Квартиры!J337)</f>
        <v/>
      </c>
    </row>
    <row r="340">
      <c r="A340">
        <f>IF(Квартиры!A338="","",Квартиры!A338)</f>
        <v/>
      </c>
      <c r="B340">
        <f>IF(Квартиры!B338="","",Квартиры!B338)</f>
        <v/>
      </c>
      <c r="C340">
        <f>IF(Квартиры!C338="","",Квартиры!C338)</f>
        <v/>
      </c>
      <c r="D340">
        <f>IF(Квартиры!D338="","",Квартиры!D338)</f>
        <v/>
      </c>
      <c r="E340">
        <f>IF(Квартиры!G338="","",Квартиры!G338)</f>
        <v/>
      </c>
      <c r="F340">
        <f>IF(Квартиры!E338="","",Квартиры!E338)</f>
        <v/>
      </c>
      <c r="G340">
        <f>IF(Квартиры!F338="","",Квартиры!F338)</f>
        <v/>
      </c>
      <c r="H340">
        <f>IF(Квартиры!H338="","",Квартиры!H338)</f>
        <v/>
      </c>
      <c r="I340">
        <f>IF(Квартиры!I338="","",Квартиры!I338)</f>
        <v/>
      </c>
      <c r="J340">
        <f>IF(Квартиры!J338="","",Квартиры!J338)</f>
        <v/>
      </c>
    </row>
    <row r="341">
      <c r="A341">
        <f>IF(Квартиры!A339="","",Квартиры!A339)</f>
        <v/>
      </c>
      <c r="B341">
        <f>IF(Квартиры!B339="","",Квартиры!B339)</f>
        <v/>
      </c>
      <c r="C341">
        <f>IF(Квартиры!C339="","",Квартиры!C339)</f>
        <v/>
      </c>
      <c r="D341">
        <f>IF(Квартиры!D339="","",Квартиры!D339)</f>
        <v/>
      </c>
      <c r="E341">
        <f>IF(Квартиры!G339="","",Квартиры!G339)</f>
        <v/>
      </c>
      <c r="F341">
        <f>IF(Квартиры!E339="","",Квартиры!E339)</f>
        <v/>
      </c>
      <c r="G341">
        <f>IF(Квартиры!F339="","",Квартиры!F339)</f>
        <v/>
      </c>
      <c r="H341">
        <f>IF(Квартиры!H339="","",Квартиры!H339)</f>
        <v/>
      </c>
      <c r="I341">
        <f>IF(Квартиры!I339="","",Квартиры!I339)</f>
        <v/>
      </c>
      <c r="J341">
        <f>IF(Квартиры!J339="","",Квартиры!J339)</f>
        <v/>
      </c>
    </row>
    <row r="342">
      <c r="A342">
        <f>IF(Квартиры!A340="","",Квартиры!A340)</f>
        <v/>
      </c>
      <c r="B342">
        <f>IF(Квартиры!B340="","",Квартиры!B340)</f>
        <v/>
      </c>
      <c r="C342">
        <f>IF(Квартиры!C340="","",Квартиры!C340)</f>
        <v/>
      </c>
      <c r="D342">
        <f>IF(Квартиры!D340="","",Квартиры!D340)</f>
        <v/>
      </c>
      <c r="E342">
        <f>IF(Квартиры!G340="","",Квартиры!G340)</f>
        <v/>
      </c>
      <c r="F342">
        <f>IF(Квартиры!E340="","",Квартиры!E340)</f>
        <v/>
      </c>
      <c r="G342">
        <f>IF(Квартиры!F340="","",Квартиры!F340)</f>
        <v/>
      </c>
      <c r="H342">
        <f>IF(Квартиры!H340="","",Квартиры!H340)</f>
        <v/>
      </c>
      <c r="I342">
        <f>IF(Квартиры!I340="","",Квартиры!I340)</f>
        <v/>
      </c>
      <c r="J342">
        <f>IF(Квартиры!J340="","",Квартиры!J340)</f>
        <v/>
      </c>
    </row>
    <row r="343">
      <c r="A343">
        <f>IF(Квартиры!A341="","",Квартиры!A341)</f>
        <v/>
      </c>
      <c r="B343">
        <f>IF(Квартиры!B341="","",Квартиры!B341)</f>
        <v/>
      </c>
      <c r="C343">
        <f>IF(Квартиры!C341="","",Квартиры!C341)</f>
        <v/>
      </c>
      <c r="D343">
        <f>IF(Квартиры!D341="","",Квартиры!D341)</f>
        <v/>
      </c>
      <c r="E343">
        <f>IF(Квартиры!G341="","",Квартиры!G341)</f>
        <v/>
      </c>
      <c r="F343">
        <f>IF(Квартиры!E341="","",Квартиры!E341)</f>
        <v/>
      </c>
      <c r="G343">
        <f>IF(Квартиры!F341="","",Квартиры!F341)</f>
        <v/>
      </c>
      <c r="H343">
        <f>IF(Квартиры!H341="","",Квартиры!H341)</f>
        <v/>
      </c>
      <c r="I343">
        <f>IF(Квартиры!I341="","",Квартиры!I341)</f>
        <v/>
      </c>
      <c r="J343">
        <f>IF(Квартиры!J341="","",Квартиры!J341)</f>
        <v/>
      </c>
    </row>
    <row r="344">
      <c r="A344">
        <f>IF(Квартиры!A342="","",Квартиры!A342)</f>
        <v/>
      </c>
      <c r="B344">
        <f>IF(Квартиры!B342="","",Квартиры!B342)</f>
        <v/>
      </c>
      <c r="C344">
        <f>IF(Квартиры!C342="","",Квартиры!C342)</f>
        <v/>
      </c>
      <c r="D344">
        <f>IF(Квартиры!D342="","",Квартиры!D342)</f>
        <v/>
      </c>
      <c r="E344">
        <f>IF(Квартиры!G342="","",Квартиры!G342)</f>
        <v/>
      </c>
      <c r="F344">
        <f>IF(Квартиры!E342="","",Квартиры!E342)</f>
        <v/>
      </c>
      <c r="G344">
        <f>IF(Квартиры!F342="","",Квартиры!F342)</f>
        <v/>
      </c>
      <c r="H344">
        <f>IF(Квартиры!H342="","",Квартиры!H342)</f>
        <v/>
      </c>
      <c r="I344">
        <f>IF(Квартиры!I342="","",Квартиры!I342)</f>
        <v/>
      </c>
      <c r="J344">
        <f>IF(Квартиры!J342="","",Квартиры!J342)</f>
        <v/>
      </c>
    </row>
    <row r="345">
      <c r="A345">
        <f>IF(Квартиры!A343="","",Квартиры!A343)</f>
        <v/>
      </c>
      <c r="B345">
        <f>IF(Квартиры!B343="","",Квартиры!B343)</f>
        <v/>
      </c>
      <c r="C345">
        <f>IF(Квартиры!C343="","",Квартиры!C343)</f>
        <v/>
      </c>
      <c r="D345">
        <f>IF(Квартиры!D343="","",Квартиры!D343)</f>
        <v/>
      </c>
      <c r="E345">
        <f>IF(Квартиры!G343="","",Квартиры!G343)</f>
        <v/>
      </c>
      <c r="F345">
        <f>IF(Квартиры!E343="","",Квартиры!E343)</f>
        <v/>
      </c>
      <c r="G345">
        <f>IF(Квартиры!F343="","",Квартиры!F343)</f>
        <v/>
      </c>
      <c r="H345">
        <f>IF(Квартиры!H343="","",Квартиры!H343)</f>
        <v/>
      </c>
      <c r="I345">
        <f>IF(Квартиры!I343="","",Квартиры!I343)</f>
        <v/>
      </c>
      <c r="J345">
        <f>IF(Квартиры!J343="","",Квартиры!J343)</f>
        <v/>
      </c>
    </row>
    <row r="346">
      <c r="A346">
        <f>IF(Квартиры!A344="","",Квартиры!A344)</f>
        <v/>
      </c>
      <c r="B346">
        <f>IF(Квартиры!B344="","",Квартиры!B344)</f>
        <v/>
      </c>
      <c r="C346">
        <f>IF(Квартиры!C344="","",Квартиры!C344)</f>
        <v/>
      </c>
      <c r="D346">
        <f>IF(Квартиры!D344="","",Квартиры!D344)</f>
        <v/>
      </c>
      <c r="E346">
        <f>IF(Квартиры!G344="","",Квартиры!G344)</f>
        <v/>
      </c>
      <c r="F346">
        <f>IF(Квартиры!E344="","",Квартиры!E344)</f>
        <v/>
      </c>
      <c r="G346">
        <f>IF(Квартиры!F344="","",Квартиры!F344)</f>
        <v/>
      </c>
      <c r="H346">
        <f>IF(Квартиры!H344="","",Квартиры!H344)</f>
        <v/>
      </c>
      <c r="I346">
        <f>IF(Квартиры!I344="","",Квартиры!I344)</f>
        <v/>
      </c>
      <c r="J346">
        <f>IF(Квартиры!J344="","",Квартиры!J344)</f>
        <v/>
      </c>
    </row>
    <row r="347">
      <c r="A347">
        <f>IF(Квартиры!A345="","",Квартиры!A345)</f>
        <v/>
      </c>
      <c r="B347">
        <f>IF(Квартиры!B345="","",Квартиры!B345)</f>
        <v/>
      </c>
      <c r="C347">
        <f>IF(Квартиры!C345="","",Квартиры!C345)</f>
        <v/>
      </c>
      <c r="D347">
        <f>IF(Квартиры!D345="","",Квартиры!D345)</f>
        <v/>
      </c>
      <c r="E347">
        <f>IF(Квартиры!G345="","",Квартиры!G345)</f>
        <v/>
      </c>
      <c r="F347">
        <f>IF(Квартиры!E345="","",Квартиры!E345)</f>
        <v/>
      </c>
      <c r="G347">
        <f>IF(Квартиры!F345="","",Квартиры!F345)</f>
        <v/>
      </c>
      <c r="H347">
        <f>IF(Квартиры!H345="","",Квартиры!H345)</f>
        <v/>
      </c>
      <c r="I347">
        <f>IF(Квартиры!I345="","",Квартиры!I345)</f>
        <v/>
      </c>
      <c r="J347">
        <f>IF(Квартиры!J345="","",Квартиры!J345)</f>
        <v/>
      </c>
    </row>
    <row r="348">
      <c r="A348">
        <f>IF(Квартиры!A346="","",Квартиры!A346)</f>
        <v/>
      </c>
      <c r="B348">
        <f>IF(Квартиры!B346="","",Квартиры!B346)</f>
        <v/>
      </c>
      <c r="C348">
        <f>IF(Квартиры!C346="","",Квартиры!C346)</f>
        <v/>
      </c>
      <c r="D348">
        <f>IF(Квартиры!D346="","",Квартиры!D346)</f>
        <v/>
      </c>
      <c r="E348">
        <f>IF(Квартиры!G346="","",Квартиры!G346)</f>
        <v/>
      </c>
      <c r="F348">
        <f>IF(Квартиры!E346="","",Квартиры!E346)</f>
        <v/>
      </c>
      <c r="G348">
        <f>IF(Квартиры!F346="","",Квартиры!F346)</f>
        <v/>
      </c>
      <c r="H348">
        <f>IF(Квартиры!H346="","",Квартиры!H346)</f>
        <v/>
      </c>
      <c r="I348">
        <f>IF(Квартиры!I346="","",Квартиры!I346)</f>
        <v/>
      </c>
      <c r="J348">
        <f>IF(Квартиры!J346="","",Квартиры!J346)</f>
        <v/>
      </c>
    </row>
    <row r="349">
      <c r="A349">
        <f>IF(Квартиры!A347="","",Квартиры!A347)</f>
        <v/>
      </c>
      <c r="B349">
        <f>IF(Квартиры!B347="","",Квартиры!B347)</f>
        <v/>
      </c>
      <c r="C349">
        <f>IF(Квартиры!C347="","",Квартиры!C347)</f>
        <v/>
      </c>
      <c r="D349">
        <f>IF(Квартиры!D347="","",Квартиры!D347)</f>
        <v/>
      </c>
      <c r="E349">
        <f>IF(Квартиры!G347="","",Квартиры!G347)</f>
        <v/>
      </c>
      <c r="F349">
        <f>IF(Квартиры!E347="","",Квартиры!E347)</f>
        <v/>
      </c>
      <c r="G349">
        <f>IF(Квартиры!F347="","",Квартиры!F347)</f>
        <v/>
      </c>
      <c r="H349">
        <f>IF(Квартиры!H347="","",Квартиры!H347)</f>
        <v/>
      </c>
      <c r="I349">
        <f>IF(Квартиры!I347="","",Квартиры!I347)</f>
        <v/>
      </c>
      <c r="J349">
        <f>IF(Квартиры!J347="","",Квартиры!J347)</f>
        <v/>
      </c>
    </row>
    <row r="350">
      <c r="A350">
        <f>IF(Квартиры!A348="","",Квартиры!A348)</f>
        <v/>
      </c>
      <c r="B350">
        <f>IF(Квартиры!B348="","",Квартиры!B348)</f>
        <v/>
      </c>
      <c r="C350">
        <f>IF(Квартиры!C348="","",Квартиры!C348)</f>
        <v/>
      </c>
      <c r="D350">
        <f>IF(Квартиры!D348="","",Квартиры!D348)</f>
        <v/>
      </c>
      <c r="E350">
        <f>IF(Квартиры!G348="","",Квартиры!G348)</f>
        <v/>
      </c>
      <c r="F350">
        <f>IF(Квартиры!E348="","",Квартиры!E348)</f>
        <v/>
      </c>
      <c r="G350">
        <f>IF(Квартиры!F348="","",Квартиры!F348)</f>
        <v/>
      </c>
      <c r="H350">
        <f>IF(Квартиры!H348="","",Квартиры!H348)</f>
        <v/>
      </c>
      <c r="I350">
        <f>IF(Квартиры!I348="","",Квартиры!I348)</f>
        <v/>
      </c>
      <c r="J350">
        <f>IF(Квартиры!J348="","",Квартиры!J348)</f>
        <v/>
      </c>
    </row>
    <row r="351">
      <c r="A351">
        <f>IF(Квартиры!A349="","",Квартиры!A349)</f>
        <v/>
      </c>
      <c r="B351">
        <f>IF(Квартиры!B349="","",Квартиры!B349)</f>
        <v/>
      </c>
      <c r="C351">
        <f>IF(Квартиры!C349="","",Квартиры!C349)</f>
        <v/>
      </c>
      <c r="D351">
        <f>IF(Квартиры!D349="","",Квартиры!D349)</f>
        <v/>
      </c>
      <c r="E351">
        <f>IF(Квартиры!G349="","",Квартиры!G349)</f>
        <v/>
      </c>
      <c r="F351">
        <f>IF(Квартиры!E349="","",Квартиры!E349)</f>
        <v/>
      </c>
      <c r="G351">
        <f>IF(Квартиры!F349="","",Квартиры!F349)</f>
        <v/>
      </c>
      <c r="H351">
        <f>IF(Квартиры!H349="","",Квартиры!H349)</f>
        <v/>
      </c>
      <c r="I351">
        <f>IF(Квартиры!I349="","",Квартиры!I349)</f>
        <v/>
      </c>
      <c r="J351">
        <f>IF(Квартиры!J349="","",Квартиры!J349)</f>
        <v/>
      </c>
    </row>
    <row r="352">
      <c r="A352">
        <f>IF(Квартиры!A350="","",Квартиры!A350)</f>
        <v/>
      </c>
      <c r="B352">
        <f>IF(Квартиры!B350="","",Квартиры!B350)</f>
        <v/>
      </c>
      <c r="C352">
        <f>IF(Квартиры!C350="","",Квартиры!C350)</f>
        <v/>
      </c>
      <c r="D352">
        <f>IF(Квартиры!D350="","",Квартиры!D350)</f>
        <v/>
      </c>
      <c r="E352">
        <f>IF(Квартиры!G350="","",Квартиры!G350)</f>
        <v/>
      </c>
      <c r="F352">
        <f>IF(Квартиры!E350="","",Квартиры!E350)</f>
        <v/>
      </c>
      <c r="G352">
        <f>IF(Квартиры!F350="","",Квартиры!F350)</f>
        <v/>
      </c>
      <c r="H352">
        <f>IF(Квартиры!H350="","",Квартиры!H350)</f>
        <v/>
      </c>
      <c r="I352">
        <f>IF(Квартиры!I350="","",Квартиры!I350)</f>
        <v/>
      </c>
      <c r="J352">
        <f>IF(Квартиры!J350="","",Квартиры!J350)</f>
        <v/>
      </c>
    </row>
    <row r="353">
      <c r="A353">
        <f>IF(Квартиры!A351="","",Квартиры!A351)</f>
        <v/>
      </c>
      <c r="B353">
        <f>IF(Квартиры!B351="","",Квартиры!B351)</f>
        <v/>
      </c>
      <c r="C353">
        <f>IF(Квартиры!C351="","",Квартиры!C351)</f>
        <v/>
      </c>
      <c r="D353">
        <f>IF(Квартиры!D351="","",Квартиры!D351)</f>
        <v/>
      </c>
      <c r="E353">
        <f>IF(Квартиры!G351="","",Квартиры!G351)</f>
        <v/>
      </c>
      <c r="F353">
        <f>IF(Квартиры!E351="","",Квартиры!E351)</f>
        <v/>
      </c>
      <c r="G353">
        <f>IF(Квартиры!F351="","",Квартиры!F351)</f>
        <v/>
      </c>
      <c r="H353">
        <f>IF(Квартиры!H351="","",Квартиры!H351)</f>
        <v/>
      </c>
      <c r="I353">
        <f>IF(Квартиры!I351="","",Квартиры!I351)</f>
        <v/>
      </c>
      <c r="J353">
        <f>IF(Квартиры!J351="","",Квартиры!J351)</f>
        <v/>
      </c>
    </row>
    <row r="354">
      <c r="A354">
        <f>IF(Квартиры!A352="","",Квартиры!A352)</f>
        <v/>
      </c>
      <c r="B354">
        <f>IF(Квартиры!B352="","",Квартиры!B352)</f>
        <v/>
      </c>
      <c r="C354">
        <f>IF(Квартиры!C352="","",Квартиры!C352)</f>
        <v/>
      </c>
      <c r="D354">
        <f>IF(Квартиры!D352="","",Квартиры!D352)</f>
        <v/>
      </c>
      <c r="E354">
        <f>IF(Квартиры!G352="","",Квартиры!G352)</f>
        <v/>
      </c>
      <c r="F354">
        <f>IF(Квартиры!E352="","",Квартиры!E352)</f>
        <v/>
      </c>
      <c r="G354">
        <f>IF(Квартиры!F352="","",Квартиры!F352)</f>
        <v/>
      </c>
      <c r="H354">
        <f>IF(Квартиры!H352="","",Квартиры!H352)</f>
        <v/>
      </c>
      <c r="I354">
        <f>IF(Квартиры!I352="","",Квартиры!I352)</f>
        <v/>
      </c>
      <c r="J354">
        <f>IF(Квартиры!J352="","",Квартиры!J352)</f>
        <v/>
      </c>
    </row>
    <row r="355">
      <c r="A355">
        <f>IF(Квартиры!A353="","",Квартиры!A353)</f>
        <v/>
      </c>
      <c r="B355">
        <f>IF(Квартиры!B353="","",Квартиры!B353)</f>
        <v/>
      </c>
      <c r="C355">
        <f>IF(Квартиры!C353="","",Квартиры!C353)</f>
        <v/>
      </c>
      <c r="D355">
        <f>IF(Квартиры!D353="","",Квартиры!D353)</f>
        <v/>
      </c>
      <c r="E355">
        <f>IF(Квартиры!G353="","",Квартиры!G353)</f>
        <v/>
      </c>
      <c r="F355">
        <f>IF(Квартиры!E353="","",Квартиры!E353)</f>
        <v/>
      </c>
      <c r="G355">
        <f>IF(Квартиры!F353="","",Квартиры!F353)</f>
        <v/>
      </c>
      <c r="H355">
        <f>IF(Квартиры!H353="","",Квартиры!H353)</f>
        <v/>
      </c>
      <c r="I355">
        <f>IF(Квартиры!I353="","",Квартиры!I353)</f>
        <v/>
      </c>
      <c r="J355">
        <f>IF(Квартиры!J353="","",Квартиры!J353)</f>
        <v/>
      </c>
    </row>
    <row r="356">
      <c r="A356">
        <f>IF(Квартиры!A354="","",Квартиры!A354)</f>
        <v/>
      </c>
      <c r="B356">
        <f>IF(Квартиры!B354="","",Квартиры!B354)</f>
        <v/>
      </c>
      <c r="C356">
        <f>IF(Квартиры!C354="","",Квартиры!C354)</f>
        <v/>
      </c>
      <c r="D356">
        <f>IF(Квартиры!D354="","",Квартиры!D354)</f>
        <v/>
      </c>
      <c r="E356">
        <f>IF(Квартиры!G354="","",Квартиры!G354)</f>
        <v/>
      </c>
      <c r="F356">
        <f>IF(Квартиры!E354="","",Квартиры!E354)</f>
        <v/>
      </c>
      <c r="G356">
        <f>IF(Квартиры!F354="","",Квартиры!F354)</f>
        <v/>
      </c>
      <c r="H356">
        <f>IF(Квартиры!H354="","",Квартиры!H354)</f>
        <v/>
      </c>
      <c r="I356">
        <f>IF(Квартиры!I354="","",Квартиры!I354)</f>
        <v/>
      </c>
      <c r="J356">
        <f>IF(Квартиры!J354="","",Квартиры!J354)</f>
        <v/>
      </c>
    </row>
    <row r="357">
      <c r="A357">
        <f>IF(Квартиры!A355="","",Квартиры!A355)</f>
        <v/>
      </c>
      <c r="B357">
        <f>IF(Квартиры!B355="","",Квартиры!B355)</f>
        <v/>
      </c>
      <c r="C357">
        <f>IF(Квартиры!C355="","",Квартиры!C355)</f>
        <v/>
      </c>
      <c r="D357">
        <f>IF(Квартиры!D355="","",Квартиры!D355)</f>
        <v/>
      </c>
      <c r="E357">
        <f>IF(Квартиры!G355="","",Квартиры!G355)</f>
        <v/>
      </c>
      <c r="F357">
        <f>IF(Квартиры!E355="","",Квартиры!E355)</f>
        <v/>
      </c>
      <c r="G357">
        <f>IF(Квартиры!F355="","",Квартиры!F355)</f>
        <v/>
      </c>
      <c r="H357">
        <f>IF(Квартиры!H355="","",Квартиры!H355)</f>
        <v/>
      </c>
      <c r="I357">
        <f>IF(Квартиры!I355="","",Квартиры!I355)</f>
        <v/>
      </c>
      <c r="J357">
        <f>IF(Квартиры!J355="","",Квартиры!J355)</f>
        <v/>
      </c>
    </row>
    <row r="358">
      <c r="A358">
        <f>IF(Квартиры!A356="","",Квартиры!A356)</f>
        <v/>
      </c>
      <c r="B358">
        <f>IF(Квартиры!B356="","",Квартиры!B356)</f>
        <v/>
      </c>
      <c r="C358">
        <f>IF(Квартиры!C356="","",Квартиры!C356)</f>
        <v/>
      </c>
      <c r="D358">
        <f>IF(Квартиры!D356="","",Квартиры!D356)</f>
        <v/>
      </c>
      <c r="E358">
        <f>IF(Квартиры!G356="","",Квартиры!G356)</f>
        <v/>
      </c>
      <c r="F358">
        <f>IF(Квартиры!E356="","",Квартиры!E356)</f>
        <v/>
      </c>
      <c r="G358">
        <f>IF(Квартиры!F356="","",Квартиры!F356)</f>
        <v/>
      </c>
      <c r="H358">
        <f>IF(Квартиры!H356="","",Квартиры!H356)</f>
        <v/>
      </c>
      <c r="I358">
        <f>IF(Квартиры!I356="","",Квартиры!I356)</f>
        <v/>
      </c>
      <c r="J358">
        <f>IF(Квартиры!J356="","",Квартиры!J356)</f>
        <v/>
      </c>
    </row>
    <row r="359">
      <c r="A359">
        <f>IF(Квартиры!A357="","",Квартиры!A357)</f>
        <v/>
      </c>
      <c r="B359">
        <f>IF(Квартиры!B357="","",Квартиры!B357)</f>
        <v/>
      </c>
      <c r="C359">
        <f>IF(Квартиры!C357="","",Квартиры!C357)</f>
        <v/>
      </c>
      <c r="D359">
        <f>IF(Квартиры!D357="","",Квартиры!D357)</f>
        <v/>
      </c>
      <c r="E359">
        <f>IF(Квартиры!G357="","",Квартиры!G357)</f>
        <v/>
      </c>
      <c r="F359">
        <f>IF(Квартиры!E357="","",Квартиры!E357)</f>
        <v/>
      </c>
      <c r="G359">
        <f>IF(Квартиры!F357="","",Квартиры!F357)</f>
        <v/>
      </c>
      <c r="H359">
        <f>IF(Квартиры!H357="","",Квартиры!H357)</f>
        <v/>
      </c>
      <c r="I359">
        <f>IF(Квартиры!I357="","",Квартиры!I357)</f>
        <v/>
      </c>
      <c r="J359">
        <f>IF(Квартиры!J357="","",Квартиры!J357)</f>
        <v/>
      </c>
    </row>
    <row r="360">
      <c r="A360">
        <f>IF(Квартиры!A358="","",Квартиры!A358)</f>
        <v/>
      </c>
      <c r="B360">
        <f>IF(Квартиры!B358="","",Квартиры!B358)</f>
        <v/>
      </c>
      <c r="C360">
        <f>IF(Квартиры!C358="","",Квартиры!C358)</f>
        <v/>
      </c>
      <c r="D360">
        <f>IF(Квартиры!D358="","",Квартиры!D358)</f>
        <v/>
      </c>
      <c r="E360">
        <f>IF(Квартиры!G358="","",Квартиры!G358)</f>
        <v/>
      </c>
      <c r="F360">
        <f>IF(Квартиры!E358="","",Квартиры!E358)</f>
        <v/>
      </c>
      <c r="G360">
        <f>IF(Квартиры!F358="","",Квартиры!F358)</f>
        <v/>
      </c>
      <c r="H360">
        <f>IF(Квартиры!H358="","",Квартиры!H358)</f>
        <v/>
      </c>
      <c r="I360">
        <f>IF(Квартиры!I358="","",Квартиры!I358)</f>
        <v/>
      </c>
      <c r="J360">
        <f>IF(Квартиры!J358="","",Квартиры!J358)</f>
        <v/>
      </c>
    </row>
    <row r="361">
      <c r="A361">
        <f>IF(Квартиры!A359="","",Квартиры!A359)</f>
        <v/>
      </c>
      <c r="B361">
        <f>IF(Квартиры!B359="","",Квартиры!B359)</f>
        <v/>
      </c>
      <c r="C361">
        <f>IF(Квартиры!C359="","",Квартиры!C359)</f>
        <v/>
      </c>
      <c r="D361">
        <f>IF(Квартиры!D359="","",Квартиры!D359)</f>
        <v/>
      </c>
      <c r="E361">
        <f>IF(Квартиры!G359="","",Квартиры!G359)</f>
        <v/>
      </c>
      <c r="F361">
        <f>IF(Квартиры!E359="","",Квартиры!E359)</f>
        <v/>
      </c>
      <c r="G361">
        <f>IF(Квартиры!F359="","",Квартиры!F359)</f>
        <v/>
      </c>
      <c r="H361">
        <f>IF(Квартиры!H359="","",Квартиры!H359)</f>
        <v/>
      </c>
      <c r="I361">
        <f>IF(Квартиры!I359="","",Квартиры!I359)</f>
        <v/>
      </c>
      <c r="J361">
        <f>IF(Квартиры!J359="","",Квартиры!J359)</f>
        <v/>
      </c>
    </row>
    <row r="362">
      <c r="A362">
        <f>IF(Квартиры!A360="","",Квартиры!A360)</f>
        <v/>
      </c>
      <c r="B362">
        <f>IF(Квартиры!B360="","",Квартиры!B360)</f>
        <v/>
      </c>
      <c r="C362">
        <f>IF(Квартиры!C360="","",Квартиры!C360)</f>
        <v/>
      </c>
      <c r="D362">
        <f>IF(Квартиры!D360="","",Квартиры!D360)</f>
        <v/>
      </c>
      <c r="E362">
        <f>IF(Квартиры!G360="","",Квартиры!G360)</f>
        <v/>
      </c>
      <c r="F362">
        <f>IF(Квартиры!E360="","",Квартиры!E360)</f>
        <v/>
      </c>
      <c r="G362">
        <f>IF(Квартиры!F360="","",Квартиры!F360)</f>
        <v/>
      </c>
      <c r="H362">
        <f>IF(Квартиры!H360="","",Квартиры!H360)</f>
        <v/>
      </c>
      <c r="I362">
        <f>IF(Квартиры!I360="","",Квартиры!I360)</f>
        <v/>
      </c>
      <c r="J362">
        <f>IF(Квартиры!J360="","",Квартиры!J360)</f>
        <v/>
      </c>
    </row>
    <row r="363">
      <c r="A363">
        <f>IF(Квартиры!A361="","",Квартиры!A361)</f>
        <v/>
      </c>
      <c r="B363">
        <f>IF(Квартиры!B361="","",Квартиры!B361)</f>
        <v/>
      </c>
      <c r="C363">
        <f>IF(Квартиры!C361="","",Квартиры!C361)</f>
        <v/>
      </c>
      <c r="D363">
        <f>IF(Квартиры!D361="","",Квартиры!D361)</f>
        <v/>
      </c>
      <c r="E363">
        <f>IF(Квартиры!G361="","",Квартиры!G361)</f>
        <v/>
      </c>
      <c r="F363">
        <f>IF(Квартиры!E361="","",Квартиры!E361)</f>
        <v/>
      </c>
      <c r="G363">
        <f>IF(Квартиры!F361="","",Квартиры!F361)</f>
        <v/>
      </c>
      <c r="H363">
        <f>IF(Квартиры!H361="","",Квартиры!H361)</f>
        <v/>
      </c>
      <c r="I363">
        <f>IF(Квартиры!I361="","",Квартиры!I361)</f>
        <v/>
      </c>
      <c r="J363">
        <f>IF(Квартиры!J361="","",Квартиры!J361)</f>
        <v/>
      </c>
    </row>
    <row r="364">
      <c r="A364">
        <f>IF(Квартиры!A362="","",Квартиры!A362)</f>
        <v/>
      </c>
      <c r="B364">
        <f>IF(Квартиры!B362="","",Квартиры!B362)</f>
        <v/>
      </c>
      <c r="C364">
        <f>IF(Квартиры!C362="","",Квартиры!C362)</f>
        <v/>
      </c>
      <c r="D364">
        <f>IF(Квартиры!D362="","",Квартиры!D362)</f>
        <v/>
      </c>
      <c r="E364">
        <f>IF(Квартиры!G362="","",Квартиры!G362)</f>
        <v/>
      </c>
      <c r="F364">
        <f>IF(Квартиры!E362="","",Квартиры!E362)</f>
        <v/>
      </c>
      <c r="G364">
        <f>IF(Квартиры!F362="","",Квартиры!F362)</f>
        <v/>
      </c>
      <c r="H364">
        <f>IF(Квартиры!H362="","",Квартиры!H362)</f>
        <v/>
      </c>
      <c r="I364">
        <f>IF(Квартиры!I362="","",Квартиры!I362)</f>
        <v/>
      </c>
      <c r="J364">
        <f>IF(Квартиры!J362="","",Квартиры!J362)</f>
        <v/>
      </c>
    </row>
    <row r="365">
      <c r="A365">
        <f>IF(Квартиры!A363="","",Квартиры!A363)</f>
        <v/>
      </c>
      <c r="B365">
        <f>IF(Квартиры!B363="","",Квартиры!B363)</f>
        <v/>
      </c>
      <c r="C365">
        <f>IF(Квартиры!C363="","",Квартиры!C363)</f>
        <v/>
      </c>
      <c r="D365">
        <f>IF(Квартиры!D363="","",Квартиры!D363)</f>
        <v/>
      </c>
      <c r="E365">
        <f>IF(Квартиры!G363="","",Квартиры!G363)</f>
        <v/>
      </c>
      <c r="F365">
        <f>IF(Квартиры!E363="","",Квартиры!E363)</f>
        <v/>
      </c>
      <c r="G365">
        <f>IF(Квартиры!F363="","",Квартиры!F363)</f>
        <v/>
      </c>
      <c r="H365">
        <f>IF(Квартиры!H363="","",Квартиры!H363)</f>
        <v/>
      </c>
      <c r="I365">
        <f>IF(Квартиры!I363="","",Квартиры!I363)</f>
        <v/>
      </c>
      <c r="J365">
        <f>IF(Квартиры!J363="","",Квартиры!J363)</f>
        <v/>
      </c>
    </row>
    <row r="366">
      <c r="A366">
        <f>IF(Квартиры!A364="","",Квартиры!A364)</f>
        <v/>
      </c>
      <c r="B366">
        <f>IF(Квартиры!B364="","",Квартиры!B364)</f>
        <v/>
      </c>
      <c r="C366">
        <f>IF(Квартиры!C364="","",Квартиры!C364)</f>
        <v/>
      </c>
      <c r="D366">
        <f>IF(Квартиры!D364="","",Квартиры!D364)</f>
        <v/>
      </c>
      <c r="E366">
        <f>IF(Квартиры!G364="","",Квартиры!G364)</f>
        <v/>
      </c>
      <c r="F366">
        <f>IF(Квартиры!E364="","",Квартиры!E364)</f>
        <v/>
      </c>
      <c r="G366">
        <f>IF(Квартиры!F364="","",Квартиры!F364)</f>
        <v/>
      </c>
      <c r="H366">
        <f>IF(Квартиры!H364="","",Квартиры!H364)</f>
        <v/>
      </c>
      <c r="I366">
        <f>IF(Квартиры!I364="","",Квартиры!I364)</f>
        <v/>
      </c>
      <c r="J366">
        <f>IF(Квартиры!J364="","",Квартиры!J364)</f>
        <v/>
      </c>
    </row>
    <row r="367">
      <c r="A367">
        <f>IF(Квартиры!A365="","",Квартиры!A365)</f>
        <v/>
      </c>
      <c r="B367">
        <f>IF(Квартиры!B365="","",Квартиры!B365)</f>
        <v/>
      </c>
      <c r="C367">
        <f>IF(Квартиры!C365="","",Квартиры!C365)</f>
        <v/>
      </c>
      <c r="D367">
        <f>IF(Квартиры!D365="","",Квартиры!D365)</f>
        <v/>
      </c>
      <c r="E367">
        <f>IF(Квартиры!G365="","",Квартиры!G365)</f>
        <v/>
      </c>
      <c r="F367">
        <f>IF(Квартиры!E365="","",Квартиры!E365)</f>
        <v/>
      </c>
      <c r="G367">
        <f>IF(Квартиры!F365="","",Квартиры!F365)</f>
        <v/>
      </c>
      <c r="H367">
        <f>IF(Квартиры!H365="","",Квартиры!H365)</f>
        <v/>
      </c>
      <c r="I367">
        <f>IF(Квартиры!I365="","",Квартиры!I365)</f>
        <v/>
      </c>
      <c r="J367">
        <f>IF(Квартиры!J365="","",Квартиры!J365)</f>
        <v/>
      </c>
    </row>
    <row r="368">
      <c r="A368">
        <f>IF(Квартиры!A366="","",Квартиры!A366)</f>
        <v/>
      </c>
      <c r="B368">
        <f>IF(Квартиры!B366="","",Квартиры!B366)</f>
        <v/>
      </c>
      <c r="C368">
        <f>IF(Квартиры!C366="","",Квартиры!C366)</f>
        <v/>
      </c>
      <c r="D368">
        <f>IF(Квартиры!D366="","",Квартиры!D366)</f>
        <v/>
      </c>
      <c r="E368">
        <f>IF(Квартиры!G366="","",Квартиры!G366)</f>
        <v/>
      </c>
      <c r="F368">
        <f>IF(Квартиры!E366="","",Квартиры!E366)</f>
        <v/>
      </c>
      <c r="G368">
        <f>IF(Квартиры!F366="","",Квартиры!F366)</f>
        <v/>
      </c>
      <c r="H368">
        <f>IF(Квартиры!H366="","",Квартиры!H366)</f>
        <v/>
      </c>
      <c r="I368">
        <f>IF(Квартиры!I366="","",Квартиры!I366)</f>
        <v/>
      </c>
      <c r="J368">
        <f>IF(Квартиры!J366="","",Квартиры!J366)</f>
        <v/>
      </c>
    </row>
    <row r="369">
      <c r="A369">
        <f>IF(Квартиры!A367="","",Квартиры!A367)</f>
        <v/>
      </c>
      <c r="B369">
        <f>IF(Квартиры!B367="","",Квартиры!B367)</f>
        <v/>
      </c>
      <c r="C369">
        <f>IF(Квартиры!C367="","",Квартиры!C367)</f>
        <v/>
      </c>
      <c r="D369">
        <f>IF(Квартиры!D367="","",Квартиры!D367)</f>
        <v/>
      </c>
      <c r="E369">
        <f>IF(Квартиры!G367="","",Квартиры!G367)</f>
        <v/>
      </c>
      <c r="F369">
        <f>IF(Квартиры!E367="","",Квартиры!E367)</f>
        <v/>
      </c>
      <c r="G369">
        <f>IF(Квартиры!F367="","",Квартиры!F367)</f>
        <v/>
      </c>
      <c r="H369">
        <f>IF(Квартиры!H367="","",Квартиры!H367)</f>
        <v/>
      </c>
      <c r="I369">
        <f>IF(Квартиры!I367="","",Квартиры!I367)</f>
        <v/>
      </c>
      <c r="J369">
        <f>IF(Квартиры!J367="","",Квартиры!J367)</f>
        <v/>
      </c>
    </row>
    <row r="370">
      <c r="A370">
        <f>IF(Квартиры!A368="","",Квартиры!A368)</f>
        <v/>
      </c>
      <c r="B370">
        <f>IF(Квартиры!B368="","",Квартиры!B368)</f>
        <v/>
      </c>
      <c r="C370">
        <f>IF(Квартиры!C368="","",Квартиры!C368)</f>
        <v/>
      </c>
      <c r="D370">
        <f>IF(Квартиры!D368="","",Квартиры!D368)</f>
        <v/>
      </c>
      <c r="E370">
        <f>IF(Квартиры!G368="","",Квартиры!G368)</f>
        <v/>
      </c>
      <c r="F370">
        <f>IF(Квартиры!E368="","",Квартиры!E368)</f>
        <v/>
      </c>
      <c r="G370">
        <f>IF(Квартиры!F368="","",Квартиры!F368)</f>
        <v/>
      </c>
      <c r="H370">
        <f>IF(Квартиры!H368="","",Квартиры!H368)</f>
        <v/>
      </c>
      <c r="I370">
        <f>IF(Квартиры!I368="","",Квартиры!I368)</f>
        <v/>
      </c>
      <c r="J370">
        <f>IF(Квартиры!J368="","",Квартиры!J368)</f>
        <v/>
      </c>
    </row>
    <row r="371">
      <c r="A371">
        <f>IF(Квартиры!A369="","",Квартиры!A369)</f>
        <v/>
      </c>
      <c r="B371">
        <f>IF(Квартиры!B369="","",Квартиры!B369)</f>
        <v/>
      </c>
      <c r="C371">
        <f>IF(Квартиры!C369="","",Квартиры!C369)</f>
        <v/>
      </c>
      <c r="D371">
        <f>IF(Квартиры!D369="","",Квартиры!D369)</f>
        <v/>
      </c>
      <c r="E371">
        <f>IF(Квартиры!G369="","",Квартиры!G369)</f>
        <v/>
      </c>
      <c r="F371">
        <f>IF(Квартиры!E369="","",Квартиры!E369)</f>
        <v/>
      </c>
      <c r="G371">
        <f>IF(Квартиры!F369="","",Квартиры!F369)</f>
        <v/>
      </c>
      <c r="H371">
        <f>IF(Квартиры!H369="","",Квартиры!H369)</f>
        <v/>
      </c>
      <c r="I371">
        <f>IF(Квартиры!I369="","",Квартиры!I369)</f>
        <v/>
      </c>
      <c r="J371">
        <f>IF(Квартиры!J369="","",Квартиры!J369)</f>
        <v/>
      </c>
    </row>
    <row r="372">
      <c r="A372">
        <f>IF(Квартиры!A370="","",Квартиры!A370)</f>
        <v/>
      </c>
      <c r="B372">
        <f>IF(Квартиры!B370="","",Квартиры!B370)</f>
        <v/>
      </c>
      <c r="C372">
        <f>IF(Квартиры!C370="","",Квартиры!C370)</f>
        <v/>
      </c>
      <c r="D372">
        <f>IF(Квартиры!D370="","",Квартиры!D370)</f>
        <v/>
      </c>
      <c r="E372">
        <f>IF(Квартиры!G370="","",Квартиры!G370)</f>
        <v/>
      </c>
      <c r="F372">
        <f>IF(Квартиры!E370="","",Квартиры!E370)</f>
        <v/>
      </c>
      <c r="G372">
        <f>IF(Квартиры!F370="","",Квартиры!F370)</f>
        <v/>
      </c>
      <c r="H372">
        <f>IF(Квартиры!H370="","",Квартиры!H370)</f>
        <v/>
      </c>
      <c r="I372">
        <f>IF(Квартиры!I370="","",Квартиры!I370)</f>
        <v/>
      </c>
      <c r="J372">
        <f>IF(Квартиры!J370="","",Квартиры!J370)</f>
        <v/>
      </c>
    </row>
    <row r="373">
      <c r="A373">
        <f>IF(Квартиры!A371="","",Квартиры!A371)</f>
        <v/>
      </c>
      <c r="B373">
        <f>IF(Квартиры!B371="","",Квартиры!B371)</f>
        <v/>
      </c>
      <c r="C373">
        <f>IF(Квартиры!C371="","",Квартиры!C371)</f>
        <v/>
      </c>
      <c r="D373">
        <f>IF(Квартиры!D371="","",Квартиры!D371)</f>
        <v/>
      </c>
      <c r="E373">
        <f>IF(Квартиры!G371="","",Квартиры!G371)</f>
        <v/>
      </c>
      <c r="F373">
        <f>IF(Квартиры!E371="","",Квартиры!E371)</f>
        <v/>
      </c>
      <c r="G373">
        <f>IF(Квартиры!F371="","",Квартиры!F371)</f>
        <v/>
      </c>
      <c r="H373">
        <f>IF(Квартиры!H371="","",Квартиры!H371)</f>
        <v/>
      </c>
      <c r="I373">
        <f>IF(Квартиры!I371="","",Квартиры!I371)</f>
        <v/>
      </c>
      <c r="J373">
        <f>IF(Квартиры!J371="","",Квартиры!J371)</f>
        <v/>
      </c>
    </row>
    <row r="374">
      <c r="A374">
        <f>IF(Квартиры!A372="","",Квартиры!A372)</f>
        <v/>
      </c>
      <c r="B374">
        <f>IF(Квартиры!B372="","",Квартиры!B372)</f>
        <v/>
      </c>
      <c r="C374">
        <f>IF(Квартиры!C372="","",Квартиры!C372)</f>
        <v/>
      </c>
      <c r="D374">
        <f>IF(Квартиры!D372="","",Квартиры!D372)</f>
        <v/>
      </c>
      <c r="E374">
        <f>IF(Квартиры!G372="","",Квартиры!G372)</f>
        <v/>
      </c>
      <c r="F374">
        <f>IF(Квартиры!E372="","",Квартиры!E372)</f>
        <v/>
      </c>
      <c r="G374">
        <f>IF(Квартиры!F372="","",Квартиры!F372)</f>
        <v/>
      </c>
      <c r="H374">
        <f>IF(Квартиры!H372="","",Квартиры!H372)</f>
        <v/>
      </c>
      <c r="I374">
        <f>IF(Квартиры!I372="","",Квартиры!I372)</f>
        <v/>
      </c>
      <c r="J374">
        <f>IF(Квартиры!J372="","",Квартиры!J372)</f>
        <v/>
      </c>
    </row>
    <row r="375">
      <c r="A375">
        <f>IF(Квартиры!A373="","",Квартиры!A373)</f>
        <v/>
      </c>
      <c r="B375">
        <f>IF(Квартиры!B373="","",Квартиры!B373)</f>
        <v/>
      </c>
      <c r="C375">
        <f>IF(Квартиры!C373="","",Квартиры!C373)</f>
        <v/>
      </c>
      <c r="D375">
        <f>IF(Квартиры!D373="","",Квартиры!D373)</f>
        <v/>
      </c>
      <c r="E375">
        <f>IF(Квартиры!G373="","",Квартиры!G373)</f>
        <v/>
      </c>
      <c r="F375">
        <f>IF(Квартиры!E373="","",Квартиры!E373)</f>
        <v/>
      </c>
      <c r="G375">
        <f>IF(Квартиры!F373="","",Квартиры!F373)</f>
        <v/>
      </c>
      <c r="H375">
        <f>IF(Квартиры!H373="","",Квартиры!H373)</f>
        <v/>
      </c>
      <c r="I375">
        <f>IF(Квартиры!I373="","",Квартиры!I373)</f>
        <v/>
      </c>
      <c r="J375">
        <f>IF(Квартиры!J373="","",Квартиры!J373)</f>
        <v/>
      </c>
    </row>
    <row r="376">
      <c r="A376">
        <f>IF(Квартиры!A374="","",Квартиры!A374)</f>
        <v/>
      </c>
      <c r="B376">
        <f>IF(Квартиры!B374="","",Квартиры!B374)</f>
        <v/>
      </c>
      <c r="C376">
        <f>IF(Квартиры!C374="","",Квартиры!C374)</f>
        <v/>
      </c>
      <c r="D376">
        <f>IF(Квартиры!D374="","",Квартиры!D374)</f>
        <v/>
      </c>
      <c r="E376">
        <f>IF(Квартиры!G374="","",Квартиры!G374)</f>
        <v/>
      </c>
      <c r="F376">
        <f>IF(Квартиры!E374="","",Квартиры!E374)</f>
        <v/>
      </c>
      <c r="G376">
        <f>IF(Квартиры!F374="","",Квартиры!F374)</f>
        <v/>
      </c>
      <c r="H376">
        <f>IF(Квартиры!H374="","",Квартиры!H374)</f>
        <v/>
      </c>
      <c r="I376">
        <f>IF(Квартиры!I374="","",Квартиры!I374)</f>
        <v/>
      </c>
      <c r="J376">
        <f>IF(Квартиры!J374="","",Квартиры!J374)</f>
        <v/>
      </c>
    </row>
    <row r="377">
      <c r="A377">
        <f>IF(Квартиры!A375="","",Квартиры!A375)</f>
        <v/>
      </c>
      <c r="B377">
        <f>IF(Квартиры!B375="","",Квартиры!B375)</f>
        <v/>
      </c>
      <c r="C377">
        <f>IF(Квартиры!C375="","",Квартиры!C375)</f>
        <v/>
      </c>
      <c r="D377">
        <f>IF(Квартиры!D375="","",Квартиры!D375)</f>
        <v/>
      </c>
      <c r="E377">
        <f>IF(Квартиры!G375="","",Квартиры!G375)</f>
        <v/>
      </c>
      <c r="F377">
        <f>IF(Квартиры!E375="","",Квартиры!E375)</f>
        <v/>
      </c>
      <c r="G377">
        <f>IF(Квартиры!F375="","",Квартиры!F375)</f>
        <v/>
      </c>
      <c r="H377">
        <f>IF(Квартиры!H375="","",Квартиры!H375)</f>
        <v/>
      </c>
      <c r="I377">
        <f>IF(Квартиры!I375="","",Квартиры!I375)</f>
        <v/>
      </c>
      <c r="J377">
        <f>IF(Квартиры!J375="","",Квартиры!J375)</f>
        <v/>
      </c>
    </row>
    <row r="378">
      <c r="A378">
        <f>IF(Квартиры!A376="","",Квартиры!A376)</f>
        <v/>
      </c>
      <c r="B378">
        <f>IF(Квартиры!B376="","",Квартиры!B376)</f>
        <v/>
      </c>
      <c r="C378">
        <f>IF(Квартиры!C376="","",Квартиры!C376)</f>
        <v/>
      </c>
      <c r="D378">
        <f>IF(Квартиры!D376="","",Квартиры!D376)</f>
        <v/>
      </c>
      <c r="E378">
        <f>IF(Квартиры!G376="","",Квартиры!G376)</f>
        <v/>
      </c>
      <c r="F378">
        <f>IF(Квартиры!E376="","",Квартиры!E376)</f>
        <v/>
      </c>
      <c r="G378">
        <f>IF(Квартиры!F376="","",Квартиры!F376)</f>
        <v/>
      </c>
      <c r="H378">
        <f>IF(Квартиры!H376="","",Квартиры!H376)</f>
        <v/>
      </c>
      <c r="I378">
        <f>IF(Квартиры!I376="","",Квартиры!I376)</f>
        <v/>
      </c>
      <c r="J378">
        <f>IF(Квартиры!J376="","",Квартиры!J376)</f>
        <v/>
      </c>
    </row>
    <row r="379">
      <c r="A379">
        <f>IF(Квартиры!A377="","",Квартиры!A377)</f>
        <v/>
      </c>
      <c r="B379">
        <f>IF(Квартиры!B377="","",Квартиры!B377)</f>
        <v/>
      </c>
      <c r="C379">
        <f>IF(Квартиры!C377="","",Квартиры!C377)</f>
        <v/>
      </c>
      <c r="D379">
        <f>IF(Квартиры!D377="","",Квартиры!D377)</f>
        <v/>
      </c>
      <c r="E379">
        <f>IF(Квартиры!G377="","",Квартиры!G377)</f>
        <v/>
      </c>
      <c r="F379">
        <f>IF(Квартиры!E377="","",Квартиры!E377)</f>
        <v/>
      </c>
      <c r="G379">
        <f>IF(Квартиры!F377="","",Квартиры!F377)</f>
        <v/>
      </c>
      <c r="H379">
        <f>IF(Квартиры!H377="","",Квартиры!H377)</f>
        <v/>
      </c>
      <c r="I379">
        <f>IF(Квартиры!I377="","",Квартиры!I377)</f>
        <v/>
      </c>
      <c r="J379">
        <f>IF(Квартиры!J377="","",Квартиры!J377)</f>
        <v/>
      </c>
    </row>
    <row r="380">
      <c r="A380">
        <f>IF(Квартиры!A378="","",Квартиры!A378)</f>
        <v/>
      </c>
      <c r="B380">
        <f>IF(Квартиры!B378="","",Квартиры!B378)</f>
        <v/>
      </c>
      <c r="C380">
        <f>IF(Квартиры!C378="","",Квартиры!C378)</f>
        <v/>
      </c>
      <c r="D380">
        <f>IF(Квартиры!D378="","",Квартиры!D378)</f>
        <v/>
      </c>
      <c r="E380">
        <f>IF(Квартиры!G378="","",Квартиры!G378)</f>
        <v/>
      </c>
      <c r="F380">
        <f>IF(Квартиры!E378="","",Квартиры!E378)</f>
        <v/>
      </c>
      <c r="G380">
        <f>IF(Квартиры!F378="","",Квартиры!F378)</f>
        <v/>
      </c>
      <c r="H380">
        <f>IF(Квартиры!H378="","",Квартиры!H378)</f>
        <v/>
      </c>
      <c r="I380">
        <f>IF(Квартиры!I378="","",Квартиры!I378)</f>
        <v/>
      </c>
      <c r="J380">
        <f>IF(Квартиры!J378="","",Квартиры!J378)</f>
        <v/>
      </c>
    </row>
    <row r="381">
      <c r="A381">
        <f>IF(Квартиры!A379="","",Квартиры!A379)</f>
        <v/>
      </c>
      <c r="B381">
        <f>IF(Квартиры!B379="","",Квартиры!B379)</f>
        <v/>
      </c>
      <c r="C381">
        <f>IF(Квартиры!C379="","",Квартиры!C379)</f>
        <v/>
      </c>
      <c r="D381">
        <f>IF(Квартиры!D379="","",Квартиры!D379)</f>
        <v/>
      </c>
      <c r="E381">
        <f>IF(Квартиры!G379="","",Квартиры!G379)</f>
        <v/>
      </c>
      <c r="F381">
        <f>IF(Квартиры!E379="","",Квартиры!E379)</f>
        <v/>
      </c>
      <c r="G381">
        <f>IF(Квартиры!F379="","",Квартиры!F379)</f>
        <v/>
      </c>
      <c r="H381">
        <f>IF(Квартиры!H379="","",Квартиры!H379)</f>
        <v/>
      </c>
      <c r="I381">
        <f>IF(Квартиры!I379="","",Квартиры!I379)</f>
        <v/>
      </c>
      <c r="J381">
        <f>IF(Квартиры!J379="","",Квартиры!J379)</f>
        <v/>
      </c>
    </row>
    <row r="382">
      <c r="A382">
        <f>IF(Квартиры!A380="","",Квартиры!A380)</f>
        <v/>
      </c>
      <c r="B382">
        <f>IF(Квартиры!B380="","",Квартиры!B380)</f>
        <v/>
      </c>
      <c r="C382">
        <f>IF(Квартиры!C380="","",Квартиры!C380)</f>
        <v/>
      </c>
      <c r="D382">
        <f>IF(Квартиры!D380="","",Квартиры!D380)</f>
        <v/>
      </c>
      <c r="E382">
        <f>IF(Квартиры!G380="","",Квартиры!G380)</f>
        <v/>
      </c>
      <c r="F382">
        <f>IF(Квартиры!E380="","",Квартиры!E380)</f>
        <v/>
      </c>
      <c r="G382">
        <f>IF(Квартиры!F380="","",Квартиры!F380)</f>
        <v/>
      </c>
      <c r="H382">
        <f>IF(Квартиры!H380="","",Квартиры!H380)</f>
        <v/>
      </c>
      <c r="I382">
        <f>IF(Квартиры!I380="","",Квартиры!I380)</f>
        <v/>
      </c>
      <c r="J382">
        <f>IF(Квартиры!J380="","",Квартиры!J380)</f>
        <v/>
      </c>
    </row>
    <row r="383">
      <c r="A383">
        <f>IF(Квартиры!A381="","",Квартиры!A381)</f>
        <v/>
      </c>
      <c r="B383">
        <f>IF(Квартиры!B381="","",Квартиры!B381)</f>
        <v/>
      </c>
      <c r="C383">
        <f>IF(Квартиры!C381="","",Квартиры!C381)</f>
        <v/>
      </c>
      <c r="D383">
        <f>IF(Квартиры!D381="","",Квартиры!D381)</f>
        <v/>
      </c>
      <c r="E383">
        <f>IF(Квартиры!G381="","",Квартиры!G381)</f>
        <v/>
      </c>
      <c r="F383">
        <f>IF(Квартиры!E381="","",Квартиры!E381)</f>
        <v/>
      </c>
      <c r="G383">
        <f>IF(Квартиры!F381="","",Квартиры!F381)</f>
        <v/>
      </c>
      <c r="H383">
        <f>IF(Квартиры!H381="","",Квартиры!H381)</f>
        <v/>
      </c>
      <c r="I383">
        <f>IF(Квартиры!I381="","",Квартиры!I381)</f>
        <v/>
      </c>
      <c r="J383">
        <f>IF(Квартиры!J381="","",Квартиры!J381)</f>
        <v/>
      </c>
    </row>
    <row r="384">
      <c r="A384">
        <f>IF(Квартиры!A382="","",Квартиры!A382)</f>
        <v/>
      </c>
      <c r="B384">
        <f>IF(Квартиры!B382="","",Квартиры!B382)</f>
        <v/>
      </c>
      <c r="C384">
        <f>IF(Квартиры!C382="","",Квартиры!C382)</f>
        <v/>
      </c>
      <c r="D384">
        <f>IF(Квартиры!D382="","",Квартиры!D382)</f>
        <v/>
      </c>
      <c r="E384">
        <f>IF(Квартиры!G382="","",Квартиры!G382)</f>
        <v/>
      </c>
      <c r="F384">
        <f>IF(Квартиры!E382="","",Квартиры!E382)</f>
        <v/>
      </c>
      <c r="G384">
        <f>IF(Квартиры!F382="","",Квартиры!F382)</f>
        <v/>
      </c>
      <c r="H384">
        <f>IF(Квартиры!H382="","",Квартиры!H382)</f>
        <v/>
      </c>
      <c r="I384">
        <f>IF(Квартиры!I382="","",Квартиры!I382)</f>
        <v/>
      </c>
      <c r="J384">
        <f>IF(Квартиры!J382="","",Квартиры!J382)</f>
        <v/>
      </c>
    </row>
    <row r="385">
      <c r="A385">
        <f>IF(Квартиры!A383="","",Квартиры!A383)</f>
        <v/>
      </c>
      <c r="B385">
        <f>IF(Квартиры!B383="","",Квартиры!B383)</f>
        <v/>
      </c>
      <c r="C385">
        <f>IF(Квартиры!C383="","",Квартиры!C383)</f>
        <v/>
      </c>
      <c r="D385">
        <f>IF(Квартиры!D383="","",Квартиры!D383)</f>
        <v/>
      </c>
      <c r="E385">
        <f>IF(Квартиры!G383="","",Квартиры!G383)</f>
        <v/>
      </c>
      <c r="F385">
        <f>IF(Квартиры!E383="","",Квартиры!E383)</f>
        <v/>
      </c>
      <c r="G385">
        <f>IF(Квартиры!F383="","",Квартиры!F383)</f>
        <v/>
      </c>
      <c r="H385">
        <f>IF(Квартиры!H383="","",Квартиры!H383)</f>
        <v/>
      </c>
      <c r="I385">
        <f>IF(Квартиры!I383="","",Квартиры!I383)</f>
        <v/>
      </c>
      <c r="J385">
        <f>IF(Квартиры!J383="","",Квартиры!J383)</f>
        <v/>
      </c>
    </row>
    <row r="386">
      <c r="A386">
        <f>IF(Квартиры!A384="","",Квартиры!A384)</f>
        <v/>
      </c>
      <c r="B386">
        <f>IF(Квартиры!B384="","",Квартиры!B384)</f>
        <v/>
      </c>
      <c r="C386">
        <f>IF(Квартиры!C384="","",Квартиры!C384)</f>
        <v/>
      </c>
      <c r="D386">
        <f>IF(Квартиры!D384="","",Квартиры!D384)</f>
        <v/>
      </c>
      <c r="E386">
        <f>IF(Квартиры!G384="","",Квартиры!G384)</f>
        <v/>
      </c>
      <c r="F386">
        <f>IF(Квартиры!E384="","",Квартиры!E384)</f>
        <v/>
      </c>
      <c r="G386">
        <f>IF(Квартиры!F384="","",Квартиры!F384)</f>
        <v/>
      </c>
      <c r="H386">
        <f>IF(Квартиры!H384="","",Квартиры!H384)</f>
        <v/>
      </c>
      <c r="I386">
        <f>IF(Квартиры!I384="","",Квартиры!I384)</f>
        <v/>
      </c>
      <c r="J386">
        <f>IF(Квартиры!J384="","",Квартиры!J384)</f>
        <v/>
      </c>
    </row>
    <row r="387">
      <c r="A387">
        <f>IF(Квартиры!A385="","",Квартиры!A385)</f>
        <v/>
      </c>
      <c r="B387">
        <f>IF(Квартиры!B385="","",Квартиры!B385)</f>
        <v/>
      </c>
      <c r="C387">
        <f>IF(Квартиры!C385="","",Квартиры!C385)</f>
        <v/>
      </c>
      <c r="D387">
        <f>IF(Квартиры!D385="","",Квартиры!D385)</f>
        <v/>
      </c>
      <c r="E387">
        <f>IF(Квартиры!G385="","",Квартиры!G385)</f>
        <v/>
      </c>
      <c r="F387">
        <f>IF(Квартиры!E385="","",Квартиры!E385)</f>
        <v/>
      </c>
      <c r="G387">
        <f>IF(Квартиры!F385="","",Квартиры!F385)</f>
        <v/>
      </c>
      <c r="H387">
        <f>IF(Квартиры!H385="","",Квартиры!H385)</f>
        <v/>
      </c>
      <c r="I387">
        <f>IF(Квартиры!I385="","",Квартиры!I385)</f>
        <v/>
      </c>
      <c r="J387">
        <f>IF(Квартиры!J385="","",Квартиры!J385)</f>
        <v/>
      </c>
    </row>
    <row r="388">
      <c r="A388">
        <f>IF(Квартиры!A386="","",Квартиры!A386)</f>
        <v/>
      </c>
      <c r="B388">
        <f>IF(Квартиры!B386="","",Квартиры!B386)</f>
        <v/>
      </c>
      <c r="C388">
        <f>IF(Квартиры!C386="","",Квартиры!C386)</f>
        <v/>
      </c>
      <c r="D388">
        <f>IF(Квартиры!D386="","",Квартиры!D386)</f>
        <v/>
      </c>
      <c r="E388">
        <f>IF(Квартиры!G386="","",Квартиры!G386)</f>
        <v/>
      </c>
      <c r="F388">
        <f>IF(Квартиры!E386="","",Квартиры!E386)</f>
        <v/>
      </c>
      <c r="G388">
        <f>IF(Квартиры!F386="","",Квартиры!F386)</f>
        <v/>
      </c>
      <c r="H388">
        <f>IF(Квартиры!H386="","",Квартиры!H386)</f>
        <v/>
      </c>
      <c r="I388">
        <f>IF(Квартиры!I386="","",Квартиры!I386)</f>
        <v/>
      </c>
      <c r="J388">
        <f>IF(Квартиры!J386="","",Квартиры!J386)</f>
        <v/>
      </c>
    </row>
    <row r="389">
      <c r="A389">
        <f>IF(Квартиры!A387="","",Квартиры!A387)</f>
        <v/>
      </c>
      <c r="B389">
        <f>IF(Квартиры!B387="","",Квартиры!B387)</f>
        <v/>
      </c>
      <c r="C389">
        <f>IF(Квартиры!C387="","",Квартиры!C387)</f>
        <v/>
      </c>
      <c r="D389">
        <f>IF(Квартиры!D387="","",Квартиры!D387)</f>
        <v/>
      </c>
      <c r="E389">
        <f>IF(Квартиры!G387="","",Квартиры!G387)</f>
        <v/>
      </c>
      <c r="F389">
        <f>IF(Квартиры!E387="","",Квартиры!E387)</f>
        <v/>
      </c>
      <c r="G389">
        <f>IF(Квартиры!F387="","",Квартиры!F387)</f>
        <v/>
      </c>
      <c r="H389">
        <f>IF(Квартиры!H387="","",Квартиры!H387)</f>
        <v/>
      </c>
      <c r="I389">
        <f>IF(Квартиры!I387="","",Квартиры!I387)</f>
        <v/>
      </c>
      <c r="J389">
        <f>IF(Квартиры!J387="","",Квартиры!J387)</f>
        <v/>
      </c>
    </row>
    <row r="390">
      <c r="A390">
        <f>IF(Квартиры!A388="","",Квартиры!A388)</f>
        <v/>
      </c>
      <c r="B390">
        <f>IF(Квартиры!B388="","",Квартиры!B388)</f>
        <v/>
      </c>
      <c r="C390">
        <f>IF(Квартиры!C388="","",Квартиры!C388)</f>
        <v/>
      </c>
      <c r="D390">
        <f>IF(Квартиры!D388="","",Квартиры!D388)</f>
        <v/>
      </c>
      <c r="E390">
        <f>IF(Квартиры!G388="","",Квартиры!G388)</f>
        <v/>
      </c>
      <c r="F390">
        <f>IF(Квартиры!E388="","",Квартиры!E388)</f>
        <v/>
      </c>
      <c r="G390">
        <f>IF(Квартиры!F388="","",Квартиры!F388)</f>
        <v/>
      </c>
      <c r="H390">
        <f>IF(Квартиры!H388="","",Квартиры!H388)</f>
        <v/>
      </c>
      <c r="I390">
        <f>IF(Квартиры!I388="","",Квартиры!I388)</f>
        <v/>
      </c>
      <c r="J390">
        <f>IF(Квартиры!J388="","",Квартиры!J388)</f>
        <v/>
      </c>
    </row>
    <row r="391">
      <c r="A391">
        <f>IF(Квартиры!A389="","",Квартиры!A389)</f>
        <v/>
      </c>
      <c r="B391">
        <f>IF(Квартиры!B389="","",Квартиры!B389)</f>
        <v/>
      </c>
      <c r="C391">
        <f>IF(Квартиры!C389="","",Квартиры!C389)</f>
        <v/>
      </c>
      <c r="D391">
        <f>IF(Квартиры!D389="","",Квартиры!D389)</f>
        <v/>
      </c>
      <c r="E391">
        <f>IF(Квартиры!G389="","",Квартиры!G389)</f>
        <v/>
      </c>
      <c r="F391">
        <f>IF(Квартиры!E389="","",Квартиры!E389)</f>
        <v/>
      </c>
      <c r="G391">
        <f>IF(Квартиры!F389="","",Квартиры!F389)</f>
        <v/>
      </c>
      <c r="H391">
        <f>IF(Квартиры!H389="","",Квартиры!H389)</f>
        <v/>
      </c>
      <c r="I391">
        <f>IF(Квартиры!I389="","",Квартиры!I389)</f>
        <v/>
      </c>
      <c r="J391">
        <f>IF(Квартиры!J389="","",Квартиры!J389)</f>
        <v/>
      </c>
    </row>
    <row r="392">
      <c r="A392">
        <f>IF(Квартиры!A390="","",Квартиры!A390)</f>
        <v/>
      </c>
      <c r="B392">
        <f>IF(Квартиры!B390="","",Квартиры!B390)</f>
        <v/>
      </c>
      <c r="C392">
        <f>IF(Квартиры!C390="","",Квартиры!C390)</f>
        <v/>
      </c>
      <c r="D392">
        <f>IF(Квартиры!D390="","",Квартиры!D390)</f>
        <v/>
      </c>
      <c r="E392">
        <f>IF(Квартиры!G390="","",Квартиры!G390)</f>
        <v/>
      </c>
      <c r="F392">
        <f>IF(Квартиры!E390="","",Квартиры!E390)</f>
        <v/>
      </c>
      <c r="G392">
        <f>IF(Квартиры!F390="","",Квартиры!F390)</f>
        <v/>
      </c>
      <c r="H392">
        <f>IF(Квартиры!H390="","",Квартиры!H390)</f>
        <v/>
      </c>
      <c r="I392">
        <f>IF(Квартиры!I390="","",Квартиры!I390)</f>
        <v/>
      </c>
      <c r="J392">
        <f>IF(Квартиры!J390="","",Квартиры!J390)</f>
        <v/>
      </c>
    </row>
    <row r="393">
      <c r="A393">
        <f>IF(Квартиры!A391="","",Квартиры!A391)</f>
        <v/>
      </c>
      <c r="B393">
        <f>IF(Квартиры!B391="","",Квартиры!B391)</f>
        <v/>
      </c>
      <c r="C393">
        <f>IF(Квартиры!C391="","",Квартиры!C391)</f>
        <v/>
      </c>
      <c r="D393">
        <f>IF(Квартиры!D391="","",Квартиры!D391)</f>
        <v/>
      </c>
      <c r="E393">
        <f>IF(Квартиры!G391="","",Квартиры!G391)</f>
        <v/>
      </c>
      <c r="F393">
        <f>IF(Квартиры!E391="","",Квартиры!E391)</f>
        <v/>
      </c>
      <c r="G393">
        <f>IF(Квартиры!F391="","",Квартиры!F391)</f>
        <v/>
      </c>
      <c r="H393">
        <f>IF(Квартиры!H391="","",Квартиры!H391)</f>
        <v/>
      </c>
      <c r="I393">
        <f>IF(Квартиры!I391="","",Квартиры!I391)</f>
        <v/>
      </c>
      <c r="J393">
        <f>IF(Квартиры!J391="","",Квартиры!J391)</f>
        <v/>
      </c>
    </row>
    <row r="394">
      <c r="A394">
        <f>IF(Квартиры!A392="","",Квартиры!A392)</f>
        <v/>
      </c>
      <c r="B394">
        <f>IF(Квартиры!B392="","",Квартиры!B392)</f>
        <v/>
      </c>
      <c r="C394">
        <f>IF(Квартиры!C392="","",Квартиры!C392)</f>
        <v/>
      </c>
      <c r="D394">
        <f>IF(Квартиры!D392="","",Квартиры!D392)</f>
        <v/>
      </c>
      <c r="E394">
        <f>IF(Квартиры!G392="","",Квартиры!G392)</f>
        <v/>
      </c>
      <c r="F394">
        <f>IF(Квартиры!E392="","",Квартиры!E392)</f>
        <v/>
      </c>
      <c r="G394">
        <f>IF(Квартиры!F392="","",Квартиры!F392)</f>
        <v/>
      </c>
      <c r="H394">
        <f>IF(Квартиры!H392="","",Квартиры!H392)</f>
        <v/>
      </c>
      <c r="I394">
        <f>IF(Квартиры!I392="","",Квартиры!I392)</f>
        <v/>
      </c>
      <c r="J394">
        <f>IF(Квартиры!J392="","",Квартиры!J392)</f>
        <v/>
      </c>
    </row>
    <row r="395">
      <c r="A395">
        <f>IF(Квартиры!A393="","",Квартиры!A393)</f>
        <v/>
      </c>
      <c r="B395">
        <f>IF(Квартиры!B393="","",Квартиры!B393)</f>
        <v/>
      </c>
      <c r="C395">
        <f>IF(Квартиры!C393="","",Квартиры!C393)</f>
        <v/>
      </c>
      <c r="D395">
        <f>IF(Квартиры!D393="","",Квартиры!D393)</f>
        <v/>
      </c>
      <c r="E395">
        <f>IF(Квартиры!G393="","",Квартиры!G393)</f>
        <v/>
      </c>
      <c r="F395">
        <f>IF(Квартиры!E393="","",Квартиры!E393)</f>
        <v/>
      </c>
      <c r="G395">
        <f>IF(Квартиры!F393="","",Квартиры!F393)</f>
        <v/>
      </c>
      <c r="H395">
        <f>IF(Квартиры!H393="","",Квартиры!H393)</f>
        <v/>
      </c>
      <c r="I395">
        <f>IF(Квартиры!I393="","",Квартиры!I393)</f>
        <v/>
      </c>
      <c r="J395">
        <f>IF(Квартиры!J393="","",Квартиры!J393)</f>
        <v/>
      </c>
    </row>
    <row r="396">
      <c r="A396">
        <f>IF(Квартиры!A394="","",Квартиры!A394)</f>
        <v/>
      </c>
      <c r="B396">
        <f>IF(Квартиры!B394="","",Квартиры!B394)</f>
        <v/>
      </c>
      <c r="C396">
        <f>IF(Квартиры!C394="","",Квартиры!C394)</f>
        <v/>
      </c>
      <c r="D396">
        <f>IF(Квартиры!D394="","",Квартиры!D394)</f>
        <v/>
      </c>
      <c r="E396">
        <f>IF(Квартиры!G394="","",Квартиры!G394)</f>
        <v/>
      </c>
      <c r="F396">
        <f>IF(Квартиры!E394="","",Квартиры!E394)</f>
        <v/>
      </c>
      <c r="G396">
        <f>IF(Квартиры!F394="","",Квартиры!F394)</f>
        <v/>
      </c>
      <c r="H396">
        <f>IF(Квартиры!H394="","",Квартиры!H394)</f>
        <v/>
      </c>
      <c r="I396">
        <f>IF(Квартиры!I394="","",Квартиры!I394)</f>
        <v/>
      </c>
      <c r="J396">
        <f>IF(Квартиры!J394="","",Квартиры!J394)</f>
        <v/>
      </c>
    </row>
    <row r="397">
      <c r="A397">
        <f>IF(Квартиры!A395="","",Квартиры!A395)</f>
        <v/>
      </c>
      <c r="B397">
        <f>IF(Квартиры!B395="","",Квартиры!B395)</f>
        <v/>
      </c>
      <c r="C397">
        <f>IF(Квартиры!C395="","",Квартиры!C395)</f>
        <v/>
      </c>
      <c r="D397">
        <f>IF(Квартиры!D395="","",Квартиры!D395)</f>
        <v/>
      </c>
      <c r="E397">
        <f>IF(Квартиры!G395="","",Квартиры!G395)</f>
        <v/>
      </c>
      <c r="F397">
        <f>IF(Квартиры!E395="","",Квартиры!E395)</f>
        <v/>
      </c>
      <c r="G397">
        <f>IF(Квартиры!F395="","",Квартиры!F395)</f>
        <v/>
      </c>
      <c r="H397">
        <f>IF(Квартиры!H395="","",Квартиры!H395)</f>
        <v/>
      </c>
      <c r="I397">
        <f>IF(Квартиры!I395="","",Квартиры!I395)</f>
        <v/>
      </c>
      <c r="J397">
        <f>IF(Квартиры!J395="","",Квартиры!J395)</f>
        <v/>
      </c>
    </row>
    <row r="398">
      <c r="A398">
        <f>IF(Квартиры!A396="","",Квартиры!A396)</f>
        <v/>
      </c>
      <c r="B398">
        <f>IF(Квартиры!B396="","",Квартиры!B396)</f>
        <v/>
      </c>
      <c r="C398">
        <f>IF(Квартиры!C396="","",Квартиры!C396)</f>
        <v/>
      </c>
      <c r="D398">
        <f>IF(Квартиры!D396="","",Квартиры!D396)</f>
        <v/>
      </c>
      <c r="E398">
        <f>IF(Квартиры!G396="","",Квартиры!G396)</f>
        <v/>
      </c>
      <c r="F398">
        <f>IF(Квартиры!E396="","",Квартиры!E396)</f>
        <v/>
      </c>
      <c r="G398">
        <f>IF(Квартиры!F396="","",Квартиры!F396)</f>
        <v/>
      </c>
      <c r="H398">
        <f>IF(Квартиры!H396="","",Квартиры!H396)</f>
        <v/>
      </c>
      <c r="I398">
        <f>IF(Квартиры!I396="","",Квартиры!I396)</f>
        <v/>
      </c>
      <c r="J398">
        <f>IF(Квартиры!J396="","",Квартиры!J396)</f>
        <v/>
      </c>
    </row>
    <row r="399">
      <c r="A399">
        <f>IF(Квартиры!A397="","",Квартиры!A397)</f>
        <v/>
      </c>
      <c r="B399">
        <f>IF(Квартиры!B397="","",Квартиры!B397)</f>
        <v/>
      </c>
      <c r="C399">
        <f>IF(Квартиры!C397="","",Квартиры!C397)</f>
        <v/>
      </c>
      <c r="D399">
        <f>IF(Квартиры!D397="","",Квартиры!D397)</f>
        <v/>
      </c>
      <c r="E399">
        <f>IF(Квартиры!G397="","",Квартиры!G397)</f>
        <v/>
      </c>
      <c r="F399">
        <f>IF(Квартиры!E397="","",Квартиры!E397)</f>
        <v/>
      </c>
      <c r="G399">
        <f>IF(Квартиры!F397="","",Квартиры!F397)</f>
        <v/>
      </c>
      <c r="H399">
        <f>IF(Квартиры!H397="","",Квартиры!H397)</f>
        <v/>
      </c>
      <c r="I399">
        <f>IF(Квартиры!I397="","",Квартиры!I397)</f>
        <v/>
      </c>
      <c r="J399">
        <f>IF(Квартиры!J397="","",Квартиры!J397)</f>
        <v/>
      </c>
    </row>
    <row r="400">
      <c r="A400">
        <f>IF(Квартиры!A398="","",Квартиры!A398)</f>
        <v/>
      </c>
      <c r="B400">
        <f>IF(Квартиры!B398="","",Квартиры!B398)</f>
        <v/>
      </c>
      <c r="C400">
        <f>IF(Квартиры!C398="","",Квартиры!C398)</f>
        <v/>
      </c>
      <c r="D400">
        <f>IF(Квартиры!D398="","",Квартиры!D398)</f>
        <v/>
      </c>
      <c r="E400">
        <f>IF(Квартиры!G398="","",Квартиры!G398)</f>
        <v/>
      </c>
      <c r="F400">
        <f>IF(Квартиры!E398="","",Квартиры!E398)</f>
        <v/>
      </c>
      <c r="G400">
        <f>IF(Квартиры!F398="","",Квартиры!F398)</f>
        <v/>
      </c>
      <c r="H400">
        <f>IF(Квартиры!H398="","",Квартиры!H398)</f>
        <v/>
      </c>
      <c r="I400">
        <f>IF(Квартиры!I398="","",Квартиры!I398)</f>
        <v/>
      </c>
      <c r="J400">
        <f>IF(Квартиры!J398="","",Квартиры!J398)</f>
        <v/>
      </c>
    </row>
    <row r="401">
      <c r="A401">
        <f>IF(Квартиры!A399="","",Квартиры!A399)</f>
        <v/>
      </c>
      <c r="B401">
        <f>IF(Квартиры!B399="","",Квартиры!B399)</f>
        <v/>
      </c>
      <c r="C401">
        <f>IF(Квартиры!C399="","",Квартиры!C399)</f>
        <v/>
      </c>
      <c r="D401">
        <f>IF(Квартиры!D399="","",Квартиры!D399)</f>
        <v/>
      </c>
      <c r="E401">
        <f>IF(Квартиры!G399="","",Квартиры!G399)</f>
        <v/>
      </c>
      <c r="F401">
        <f>IF(Квартиры!E399="","",Квартиры!E399)</f>
        <v/>
      </c>
      <c r="G401">
        <f>IF(Квартиры!F399="","",Квартиры!F399)</f>
        <v/>
      </c>
      <c r="H401">
        <f>IF(Квартиры!H399="","",Квартиры!H399)</f>
        <v/>
      </c>
      <c r="I401">
        <f>IF(Квартиры!I399="","",Квартиры!I399)</f>
        <v/>
      </c>
      <c r="J401">
        <f>IF(Квартиры!J399="","",Квартиры!J399)</f>
        <v/>
      </c>
    </row>
    <row r="402">
      <c r="A402">
        <f>IF(Квартиры!A400="","",Квартиры!A400)</f>
        <v/>
      </c>
      <c r="B402">
        <f>IF(Квартиры!B400="","",Квартиры!B400)</f>
        <v/>
      </c>
      <c r="C402">
        <f>IF(Квартиры!C400="","",Квартиры!C400)</f>
        <v/>
      </c>
      <c r="D402">
        <f>IF(Квартиры!D400="","",Квартиры!D400)</f>
        <v/>
      </c>
      <c r="E402">
        <f>IF(Квартиры!G400="","",Квартиры!G400)</f>
        <v/>
      </c>
      <c r="F402">
        <f>IF(Квартиры!E400="","",Квартиры!E400)</f>
        <v/>
      </c>
      <c r="G402">
        <f>IF(Квартиры!F400="","",Квартиры!F400)</f>
        <v/>
      </c>
      <c r="H402">
        <f>IF(Квартиры!H400="","",Квартиры!H400)</f>
        <v/>
      </c>
      <c r="I402">
        <f>IF(Квартиры!I400="","",Квартиры!I400)</f>
        <v/>
      </c>
      <c r="J402">
        <f>IF(Квартиры!J400="","",Квартиры!J400)</f>
        <v/>
      </c>
    </row>
    <row r="403">
      <c r="A403">
        <f>IF(Квартиры!A401="","",Квартиры!A401)</f>
        <v/>
      </c>
      <c r="B403">
        <f>IF(Квартиры!B401="","",Квартиры!B401)</f>
        <v/>
      </c>
      <c r="C403">
        <f>IF(Квартиры!C401="","",Квартиры!C401)</f>
        <v/>
      </c>
      <c r="D403">
        <f>IF(Квартиры!D401="","",Квартиры!D401)</f>
        <v/>
      </c>
      <c r="E403">
        <f>IF(Квартиры!G401="","",Квартиры!G401)</f>
        <v/>
      </c>
      <c r="F403">
        <f>IF(Квартиры!E401="","",Квартиры!E401)</f>
        <v/>
      </c>
      <c r="G403">
        <f>IF(Квартиры!F401="","",Квартиры!F401)</f>
        <v/>
      </c>
      <c r="H403">
        <f>IF(Квартиры!H401="","",Квартиры!H401)</f>
        <v/>
      </c>
      <c r="I403">
        <f>IF(Квартиры!I401="","",Квартиры!I401)</f>
        <v/>
      </c>
      <c r="J403">
        <f>IF(Квартиры!J401="","",Квартиры!J401)</f>
        <v/>
      </c>
    </row>
    <row r="404">
      <c r="A404">
        <f>IF(Квартиры!A402="","",Квартиры!A402)</f>
        <v/>
      </c>
      <c r="B404">
        <f>IF(Квартиры!B402="","",Квартиры!B402)</f>
        <v/>
      </c>
      <c r="C404">
        <f>IF(Квартиры!C402="","",Квартиры!C402)</f>
        <v/>
      </c>
      <c r="D404">
        <f>IF(Квартиры!D402="","",Квартиры!D402)</f>
        <v/>
      </c>
      <c r="E404">
        <f>IF(Квартиры!G402="","",Квартиры!G402)</f>
        <v/>
      </c>
      <c r="F404">
        <f>IF(Квартиры!E402="","",Квартиры!E402)</f>
        <v/>
      </c>
      <c r="G404">
        <f>IF(Квартиры!F402="","",Квартиры!F402)</f>
        <v/>
      </c>
      <c r="H404">
        <f>IF(Квартиры!H402="","",Квартиры!H402)</f>
        <v/>
      </c>
      <c r="I404">
        <f>IF(Квартиры!I402="","",Квартиры!I402)</f>
        <v/>
      </c>
      <c r="J404">
        <f>IF(Квартиры!J402="","",Квартиры!J402)</f>
        <v/>
      </c>
    </row>
    <row r="405">
      <c r="A405">
        <f>IF(Квартиры!A403="","",Квартиры!A403)</f>
        <v/>
      </c>
      <c r="B405">
        <f>IF(Квартиры!B403="","",Квартиры!B403)</f>
        <v/>
      </c>
      <c r="C405">
        <f>IF(Квартиры!C403="","",Квартиры!C403)</f>
        <v/>
      </c>
      <c r="D405">
        <f>IF(Квартиры!D403="","",Квартиры!D403)</f>
        <v/>
      </c>
      <c r="E405">
        <f>IF(Квартиры!G403="","",Квартиры!G403)</f>
        <v/>
      </c>
      <c r="F405">
        <f>IF(Квартиры!E403="","",Квартиры!E403)</f>
        <v/>
      </c>
      <c r="G405">
        <f>IF(Квартиры!F403="","",Квартиры!F403)</f>
        <v/>
      </c>
      <c r="H405">
        <f>IF(Квартиры!H403="","",Квартиры!H403)</f>
        <v/>
      </c>
      <c r="I405">
        <f>IF(Квартиры!I403="","",Квартиры!I403)</f>
        <v/>
      </c>
      <c r="J405">
        <f>IF(Квартиры!J403="","",Квартиры!J403)</f>
        <v/>
      </c>
    </row>
    <row r="406">
      <c r="A406">
        <f>IF(Квартиры!A404="","",Квартиры!A404)</f>
        <v/>
      </c>
      <c r="B406">
        <f>IF(Квартиры!B404="","",Квартиры!B404)</f>
        <v/>
      </c>
      <c r="C406">
        <f>IF(Квартиры!C404="","",Квартиры!C404)</f>
        <v/>
      </c>
      <c r="D406">
        <f>IF(Квартиры!D404="","",Квартиры!D404)</f>
        <v/>
      </c>
      <c r="E406">
        <f>IF(Квартиры!G404="","",Квартиры!G404)</f>
        <v/>
      </c>
      <c r="F406">
        <f>IF(Квартиры!E404="","",Квартиры!E404)</f>
        <v/>
      </c>
      <c r="G406">
        <f>IF(Квартиры!F404="","",Квартиры!F404)</f>
        <v/>
      </c>
      <c r="H406">
        <f>IF(Квартиры!H404="","",Квартиры!H404)</f>
        <v/>
      </c>
      <c r="I406">
        <f>IF(Квартиры!I404="","",Квартиры!I404)</f>
        <v/>
      </c>
      <c r="J406">
        <f>IF(Квартиры!J404="","",Квартиры!J404)</f>
        <v/>
      </c>
    </row>
    <row r="407">
      <c r="A407">
        <f>IF(Квартиры!A405="","",Квартиры!A405)</f>
        <v/>
      </c>
      <c r="B407">
        <f>IF(Квартиры!B405="","",Квартиры!B405)</f>
        <v/>
      </c>
      <c r="C407">
        <f>IF(Квартиры!C405="","",Квартиры!C405)</f>
        <v/>
      </c>
      <c r="D407">
        <f>IF(Квартиры!D405="","",Квартиры!D405)</f>
        <v/>
      </c>
      <c r="E407">
        <f>IF(Квартиры!G405="","",Квартиры!G405)</f>
        <v/>
      </c>
      <c r="F407">
        <f>IF(Квартиры!E405="","",Квартиры!E405)</f>
        <v/>
      </c>
      <c r="G407">
        <f>IF(Квартиры!F405="","",Квартиры!F405)</f>
        <v/>
      </c>
      <c r="H407">
        <f>IF(Квартиры!H405="","",Квартиры!H405)</f>
        <v/>
      </c>
      <c r="I407">
        <f>IF(Квартиры!I405="","",Квартиры!I405)</f>
        <v/>
      </c>
      <c r="J407">
        <f>IF(Квартиры!J405="","",Квартиры!J405)</f>
        <v/>
      </c>
    </row>
    <row r="408">
      <c r="A408">
        <f>IF(Квартиры!A406="","",Квартиры!A406)</f>
        <v/>
      </c>
      <c r="B408">
        <f>IF(Квартиры!B406="","",Квартиры!B406)</f>
        <v/>
      </c>
      <c r="C408">
        <f>IF(Квартиры!C406="","",Квартиры!C406)</f>
        <v/>
      </c>
      <c r="D408">
        <f>IF(Квартиры!D406="","",Квартиры!D406)</f>
        <v/>
      </c>
      <c r="E408">
        <f>IF(Квартиры!G406="","",Квартиры!G406)</f>
        <v/>
      </c>
      <c r="F408">
        <f>IF(Квартиры!E406="","",Квартиры!E406)</f>
        <v/>
      </c>
      <c r="G408">
        <f>IF(Квартиры!F406="","",Квартиры!F406)</f>
        <v/>
      </c>
      <c r="H408">
        <f>IF(Квартиры!H406="","",Квартиры!H406)</f>
        <v/>
      </c>
      <c r="I408">
        <f>IF(Квартиры!I406="","",Квартиры!I406)</f>
        <v/>
      </c>
      <c r="J408">
        <f>IF(Квартиры!J406="","",Квартиры!J406)</f>
        <v/>
      </c>
    </row>
    <row r="409">
      <c r="A409">
        <f>IF(Квартиры!A407="","",Квартиры!A407)</f>
        <v/>
      </c>
      <c r="B409">
        <f>IF(Квартиры!B407="","",Квартиры!B407)</f>
        <v/>
      </c>
      <c r="C409">
        <f>IF(Квартиры!C407="","",Квартиры!C407)</f>
        <v/>
      </c>
      <c r="D409">
        <f>IF(Квартиры!D407="","",Квартиры!D407)</f>
        <v/>
      </c>
      <c r="E409">
        <f>IF(Квартиры!G407="","",Квартиры!G407)</f>
        <v/>
      </c>
      <c r="F409">
        <f>IF(Квартиры!E407="","",Квартиры!E407)</f>
        <v/>
      </c>
      <c r="G409">
        <f>IF(Квартиры!F407="","",Квартиры!F407)</f>
        <v/>
      </c>
      <c r="H409">
        <f>IF(Квартиры!H407="","",Квартиры!H407)</f>
        <v/>
      </c>
      <c r="I409">
        <f>IF(Квартиры!I407="","",Квартиры!I407)</f>
        <v/>
      </c>
      <c r="J409">
        <f>IF(Квартиры!J407="","",Квартиры!J407)</f>
        <v/>
      </c>
    </row>
    <row r="410">
      <c r="A410">
        <f>IF(Квартиры!A408="","",Квартиры!A408)</f>
        <v/>
      </c>
      <c r="B410">
        <f>IF(Квартиры!B408="","",Квартиры!B408)</f>
        <v/>
      </c>
      <c r="C410">
        <f>IF(Квартиры!C408="","",Квартиры!C408)</f>
        <v/>
      </c>
      <c r="D410">
        <f>IF(Квартиры!D408="","",Квартиры!D408)</f>
        <v/>
      </c>
      <c r="E410">
        <f>IF(Квартиры!G408="","",Квартиры!G408)</f>
        <v/>
      </c>
      <c r="F410">
        <f>IF(Квартиры!E408="","",Квартиры!E408)</f>
        <v/>
      </c>
      <c r="G410">
        <f>IF(Квартиры!F408="","",Квартиры!F408)</f>
        <v/>
      </c>
      <c r="H410">
        <f>IF(Квартиры!H408="","",Квартиры!H408)</f>
        <v/>
      </c>
      <c r="I410">
        <f>IF(Квартиры!I408="","",Квартиры!I408)</f>
        <v/>
      </c>
      <c r="J410">
        <f>IF(Квартиры!J408="","",Квартиры!J408)</f>
        <v/>
      </c>
    </row>
    <row r="411">
      <c r="A411">
        <f>IF(Квартиры!A409="","",Квартиры!A409)</f>
        <v/>
      </c>
      <c r="B411">
        <f>IF(Квартиры!B409="","",Квартиры!B409)</f>
        <v/>
      </c>
      <c r="C411">
        <f>IF(Квартиры!C409="","",Квартиры!C409)</f>
        <v/>
      </c>
      <c r="D411">
        <f>IF(Квартиры!D409="","",Квартиры!D409)</f>
        <v/>
      </c>
      <c r="E411">
        <f>IF(Квартиры!G409="","",Квартиры!G409)</f>
        <v/>
      </c>
      <c r="F411">
        <f>IF(Квартиры!E409="","",Квартиры!E409)</f>
        <v/>
      </c>
      <c r="G411">
        <f>IF(Квартиры!F409="","",Квартиры!F409)</f>
        <v/>
      </c>
      <c r="H411">
        <f>IF(Квартиры!H409="","",Квартиры!H409)</f>
        <v/>
      </c>
      <c r="I411">
        <f>IF(Квартиры!I409="","",Квартиры!I409)</f>
        <v/>
      </c>
      <c r="J411">
        <f>IF(Квартиры!J409="","",Квартиры!J409)</f>
        <v/>
      </c>
    </row>
    <row r="412">
      <c r="A412">
        <f>IF(Квартиры!A410="","",Квартиры!A410)</f>
        <v/>
      </c>
      <c r="B412">
        <f>IF(Квартиры!B410="","",Квартиры!B410)</f>
        <v/>
      </c>
      <c r="C412">
        <f>IF(Квартиры!C410="","",Квартиры!C410)</f>
        <v/>
      </c>
      <c r="D412">
        <f>IF(Квартиры!D410="","",Квартиры!D410)</f>
        <v/>
      </c>
      <c r="E412">
        <f>IF(Квартиры!G410="","",Квартиры!G410)</f>
        <v/>
      </c>
      <c r="F412">
        <f>IF(Квартиры!E410="","",Квартиры!E410)</f>
        <v/>
      </c>
      <c r="G412">
        <f>IF(Квартиры!F410="","",Квартиры!F410)</f>
        <v/>
      </c>
      <c r="H412">
        <f>IF(Квартиры!H410="","",Квартиры!H410)</f>
        <v/>
      </c>
      <c r="I412">
        <f>IF(Квартиры!I410="","",Квартиры!I410)</f>
        <v/>
      </c>
      <c r="J412">
        <f>IF(Квартиры!J410="","",Квартиры!J410)</f>
        <v/>
      </c>
    </row>
    <row r="413">
      <c r="A413">
        <f>IF(Квартиры!A411="","",Квартиры!A411)</f>
        <v/>
      </c>
      <c r="B413">
        <f>IF(Квартиры!B411="","",Квартиры!B411)</f>
        <v/>
      </c>
      <c r="C413">
        <f>IF(Квартиры!C411="","",Квартиры!C411)</f>
        <v/>
      </c>
      <c r="D413">
        <f>IF(Квартиры!D411="","",Квартиры!D411)</f>
        <v/>
      </c>
      <c r="E413">
        <f>IF(Квартиры!G411="","",Квартиры!G411)</f>
        <v/>
      </c>
      <c r="F413">
        <f>IF(Квартиры!E411="","",Квартиры!E411)</f>
        <v/>
      </c>
      <c r="G413">
        <f>IF(Квартиры!F411="","",Квартиры!F411)</f>
        <v/>
      </c>
      <c r="H413">
        <f>IF(Квартиры!H411="","",Квартиры!H411)</f>
        <v/>
      </c>
      <c r="I413">
        <f>IF(Квартиры!I411="","",Квартиры!I411)</f>
        <v/>
      </c>
      <c r="J413">
        <f>IF(Квартиры!J411="","",Квартиры!J411)</f>
        <v/>
      </c>
    </row>
    <row r="414">
      <c r="A414">
        <f>IF(Квартиры!A412="","",Квартиры!A412)</f>
        <v/>
      </c>
      <c r="B414">
        <f>IF(Квартиры!B412="","",Квартиры!B412)</f>
        <v/>
      </c>
      <c r="C414">
        <f>IF(Квартиры!C412="","",Квартиры!C412)</f>
        <v/>
      </c>
      <c r="D414">
        <f>IF(Квартиры!D412="","",Квартиры!D412)</f>
        <v/>
      </c>
      <c r="E414">
        <f>IF(Квартиры!G412="","",Квартиры!G412)</f>
        <v/>
      </c>
      <c r="F414">
        <f>IF(Квартиры!E412="","",Квартиры!E412)</f>
        <v/>
      </c>
      <c r="G414">
        <f>IF(Квартиры!F412="","",Квартиры!F412)</f>
        <v/>
      </c>
      <c r="H414">
        <f>IF(Квартиры!H412="","",Квартиры!H412)</f>
        <v/>
      </c>
      <c r="I414">
        <f>IF(Квартиры!I412="","",Квартиры!I412)</f>
        <v/>
      </c>
      <c r="J414">
        <f>IF(Квартиры!J412="","",Квартиры!J412)</f>
        <v/>
      </c>
    </row>
    <row r="415">
      <c r="A415">
        <f>IF(Квартиры!A413="","",Квартиры!A413)</f>
        <v/>
      </c>
      <c r="B415">
        <f>IF(Квартиры!B413="","",Квартиры!B413)</f>
        <v/>
      </c>
      <c r="C415">
        <f>IF(Квартиры!C413="","",Квартиры!C413)</f>
        <v/>
      </c>
      <c r="D415">
        <f>IF(Квартиры!D413="","",Квартиры!D413)</f>
        <v/>
      </c>
      <c r="E415">
        <f>IF(Квартиры!G413="","",Квартиры!G413)</f>
        <v/>
      </c>
      <c r="F415">
        <f>IF(Квартиры!E413="","",Квартиры!E413)</f>
        <v/>
      </c>
      <c r="G415">
        <f>IF(Квартиры!F413="","",Квартиры!F413)</f>
        <v/>
      </c>
      <c r="H415">
        <f>IF(Квартиры!H413="","",Квартиры!H413)</f>
        <v/>
      </c>
      <c r="I415">
        <f>IF(Квартиры!I413="","",Квартиры!I413)</f>
        <v/>
      </c>
      <c r="J415">
        <f>IF(Квартиры!J413="","",Квартиры!J413)</f>
        <v/>
      </c>
    </row>
    <row r="416">
      <c r="A416">
        <f>IF(Квартиры!A414="","",Квартиры!A414)</f>
        <v/>
      </c>
      <c r="B416">
        <f>IF(Квартиры!B414="","",Квартиры!B414)</f>
        <v/>
      </c>
      <c r="C416">
        <f>IF(Квартиры!C414="","",Квартиры!C414)</f>
        <v/>
      </c>
      <c r="D416">
        <f>IF(Квартиры!D414="","",Квартиры!D414)</f>
        <v/>
      </c>
      <c r="E416">
        <f>IF(Квартиры!G414="","",Квартиры!G414)</f>
        <v/>
      </c>
      <c r="F416">
        <f>IF(Квартиры!E414="","",Квартиры!E414)</f>
        <v/>
      </c>
      <c r="G416">
        <f>IF(Квартиры!F414="","",Квартиры!F414)</f>
        <v/>
      </c>
      <c r="H416">
        <f>IF(Квартиры!H414="","",Квартиры!H414)</f>
        <v/>
      </c>
      <c r="I416">
        <f>IF(Квартиры!I414="","",Квартиры!I414)</f>
        <v/>
      </c>
      <c r="J416">
        <f>IF(Квартиры!J414="","",Квартиры!J414)</f>
        <v/>
      </c>
    </row>
    <row r="417">
      <c r="A417">
        <f>IF(Квартиры!A415="","",Квартиры!A415)</f>
        <v/>
      </c>
      <c r="B417">
        <f>IF(Квартиры!B415="","",Квартиры!B415)</f>
        <v/>
      </c>
      <c r="C417">
        <f>IF(Квартиры!C415="","",Квартиры!C415)</f>
        <v/>
      </c>
      <c r="D417">
        <f>IF(Квартиры!D415="","",Квартиры!D415)</f>
        <v/>
      </c>
      <c r="E417">
        <f>IF(Квартиры!G415="","",Квартиры!G415)</f>
        <v/>
      </c>
      <c r="F417">
        <f>IF(Квартиры!E415="","",Квартиры!E415)</f>
        <v/>
      </c>
      <c r="G417">
        <f>IF(Квартиры!F415="","",Квартиры!F415)</f>
        <v/>
      </c>
      <c r="H417">
        <f>IF(Квартиры!H415="","",Квартиры!H415)</f>
        <v/>
      </c>
      <c r="I417">
        <f>IF(Квартиры!I415="","",Квартиры!I415)</f>
        <v/>
      </c>
      <c r="J417">
        <f>IF(Квартиры!J415="","",Квартиры!J415)</f>
        <v/>
      </c>
    </row>
    <row r="418">
      <c r="A418">
        <f>IF(Квартиры!A416="","",Квартиры!A416)</f>
        <v/>
      </c>
      <c r="B418">
        <f>IF(Квартиры!B416="","",Квартиры!B416)</f>
        <v/>
      </c>
      <c r="C418">
        <f>IF(Квартиры!C416="","",Квартиры!C416)</f>
        <v/>
      </c>
      <c r="D418">
        <f>IF(Квартиры!D416="","",Квартиры!D416)</f>
        <v/>
      </c>
      <c r="E418">
        <f>IF(Квартиры!G416="","",Квартиры!G416)</f>
        <v/>
      </c>
      <c r="F418">
        <f>IF(Квартиры!E416="","",Квартиры!E416)</f>
        <v/>
      </c>
      <c r="G418">
        <f>IF(Квартиры!F416="","",Квартиры!F416)</f>
        <v/>
      </c>
      <c r="H418">
        <f>IF(Квартиры!H416="","",Квартиры!H416)</f>
        <v/>
      </c>
      <c r="I418">
        <f>IF(Квартиры!I416="","",Квартиры!I416)</f>
        <v/>
      </c>
      <c r="J418">
        <f>IF(Квартиры!J416="","",Квартиры!J416)</f>
        <v/>
      </c>
    </row>
    <row r="419">
      <c r="A419">
        <f>IF(Квартиры!A417="","",Квартиры!A417)</f>
        <v/>
      </c>
      <c r="B419">
        <f>IF(Квартиры!B417="","",Квартиры!B417)</f>
        <v/>
      </c>
      <c r="C419">
        <f>IF(Квартиры!C417="","",Квартиры!C417)</f>
        <v/>
      </c>
      <c r="D419">
        <f>IF(Квартиры!D417="","",Квартиры!D417)</f>
        <v/>
      </c>
      <c r="E419">
        <f>IF(Квартиры!G417="","",Квартиры!G417)</f>
        <v/>
      </c>
      <c r="F419">
        <f>IF(Квартиры!E417="","",Квартиры!E417)</f>
        <v/>
      </c>
      <c r="G419">
        <f>IF(Квартиры!F417="","",Квартиры!F417)</f>
        <v/>
      </c>
      <c r="H419">
        <f>IF(Квартиры!H417="","",Квартиры!H417)</f>
        <v/>
      </c>
      <c r="I419">
        <f>IF(Квартиры!I417="","",Квартиры!I417)</f>
        <v/>
      </c>
      <c r="J419">
        <f>IF(Квартиры!J417="","",Квартиры!J417)</f>
        <v/>
      </c>
    </row>
    <row r="420">
      <c r="A420">
        <f>IF(Квартиры!A418="","",Квартиры!A418)</f>
        <v/>
      </c>
      <c r="B420">
        <f>IF(Квартиры!B418="","",Квартиры!B418)</f>
        <v/>
      </c>
      <c r="C420">
        <f>IF(Квартиры!C418="","",Квартиры!C418)</f>
        <v/>
      </c>
      <c r="D420">
        <f>IF(Квартиры!D418="","",Квартиры!D418)</f>
        <v/>
      </c>
      <c r="E420">
        <f>IF(Квартиры!G418="","",Квартиры!G418)</f>
        <v/>
      </c>
      <c r="F420">
        <f>IF(Квартиры!E418="","",Квартиры!E418)</f>
        <v/>
      </c>
      <c r="G420">
        <f>IF(Квартиры!F418="","",Квартиры!F418)</f>
        <v/>
      </c>
      <c r="H420">
        <f>IF(Квартиры!H418="","",Квартиры!H418)</f>
        <v/>
      </c>
      <c r="I420">
        <f>IF(Квартиры!I418="","",Квартиры!I418)</f>
        <v/>
      </c>
      <c r="J420">
        <f>IF(Квартиры!J418="","",Квартиры!J418)</f>
        <v/>
      </c>
    </row>
    <row r="421">
      <c r="A421">
        <f>IF(Квартиры!A419="","",Квартиры!A419)</f>
        <v/>
      </c>
      <c r="B421">
        <f>IF(Квартиры!B419="","",Квартиры!B419)</f>
        <v/>
      </c>
      <c r="C421">
        <f>IF(Квартиры!C419="","",Квартиры!C419)</f>
        <v/>
      </c>
      <c r="D421">
        <f>IF(Квартиры!D419="","",Квартиры!D419)</f>
        <v/>
      </c>
      <c r="E421">
        <f>IF(Квартиры!G419="","",Квартиры!G419)</f>
        <v/>
      </c>
      <c r="F421">
        <f>IF(Квартиры!E419="","",Квартиры!E419)</f>
        <v/>
      </c>
      <c r="G421">
        <f>IF(Квартиры!F419="","",Квартиры!F419)</f>
        <v/>
      </c>
      <c r="H421">
        <f>IF(Квартиры!H419="","",Квартиры!H419)</f>
        <v/>
      </c>
      <c r="I421">
        <f>IF(Квартиры!I419="","",Квартиры!I419)</f>
        <v/>
      </c>
      <c r="J421">
        <f>IF(Квартиры!J419="","",Квартиры!J419)</f>
        <v/>
      </c>
    </row>
    <row r="422">
      <c r="A422">
        <f>IF(Квартиры!A420="","",Квартиры!A420)</f>
        <v/>
      </c>
      <c r="B422">
        <f>IF(Квартиры!B420="","",Квартиры!B420)</f>
        <v/>
      </c>
      <c r="C422">
        <f>IF(Квартиры!C420="","",Квартиры!C420)</f>
        <v/>
      </c>
      <c r="D422">
        <f>IF(Квартиры!D420="","",Квартиры!D420)</f>
        <v/>
      </c>
      <c r="E422">
        <f>IF(Квартиры!G420="","",Квартиры!G420)</f>
        <v/>
      </c>
      <c r="F422">
        <f>IF(Квартиры!E420="","",Квартиры!E420)</f>
        <v/>
      </c>
      <c r="G422">
        <f>IF(Квартиры!F420="","",Квартиры!F420)</f>
        <v/>
      </c>
      <c r="H422">
        <f>IF(Квартиры!H420="","",Квартиры!H420)</f>
        <v/>
      </c>
      <c r="I422">
        <f>IF(Квартиры!I420="","",Квартиры!I420)</f>
        <v/>
      </c>
      <c r="J422">
        <f>IF(Квартиры!J420="","",Квартиры!J420)</f>
        <v/>
      </c>
    </row>
    <row r="423">
      <c r="A423">
        <f>IF(Квартиры!A421="","",Квартиры!A421)</f>
        <v/>
      </c>
      <c r="B423">
        <f>IF(Квартиры!B421="","",Квартиры!B421)</f>
        <v/>
      </c>
      <c r="C423">
        <f>IF(Квартиры!C421="","",Квартиры!C421)</f>
        <v/>
      </c>
      <c r="D423">
        <f>IF(Квартиры!D421="","",Квартиры!D421)</f>
        <v/>
      </c>
      <c r="E423">
        <f>IF(Квартиры!G421="","",Квартиры!G421)</f>
        <v/>
      </c>
      <c r="F423">
        <f>IF(Квартиры!E421="","",Квартиры!E421)</f>
        <v/>
      </c>
      <c r="G423">
        <f>IF(Квартиры!F421="","",Квартиры!F421)</f>
        <v/>
      </c>
      <c r="H423">
        <f>IF(Квартиры!H421="","",Квартиры!H421)</f>
        <v/>
      </c>
      <c r="I423">
        <f>IF(Квартиры!I421="","",Квартиры!I421)</f>
        <v/>
      </c>
      <c r="J423">
        <f>IF(Квартиры!J421="","",Квартиры!J421)</f>
        <v/>
      </c>
    </row>
    <row r="424">
      <c r="A424">
        <f>IF(Квартиры!A422="","",Квартиры!A422)</f>
        <v/>
      </c>
      <c r="B424">
        <f>IF(Квартиры!B422="","",Квартиры!B422)</f>
        <v/>
      </c>
      <c r="C424">
        <f>IF(Квартиры!C422="","",Квартиры!C422)</f>
        <v/>
      </c>
      <c r="D424">
        <f>IF(Квартиры!D422="","",Квартиры!D422)</f>
        <v/>
      </c>
      <c r="E424">
        <f>IF(Квартиры!G422="","",Квартиры!G422)</f>
        <v/>
      </c>
      <c r="F424">
        <f>IF(Квартиры!E422="","",Квартиры!E422)</f>
        <v/>
      </c>
      <c r="G424">
        <f>IF(Квартиры!F422="","",Квартиры!F422)</f>
        <v/>
      </c>
      <c r="H424">
        <f>IF(Квартиры!H422="","",Квартиры!H422)</f>
        <v/>
      </c>
      <c r="I424">
        <f>IF(Квартиры!I422="","",Квартиры!I422)</f>
        <v/>
      </c>
      <c r="J424">
        <f>IF(Квартиры!J422="","",Квартиры!J422)</f>
        <v/>
      </c>
    </row>
    <row r="425">
      <c r="A425">
        <f>IF(Квартиры!A423="","",Квартиры!A423)</f>
        <v/>
      </c>
      <c r="B425">
        <f>IF(Квартиры!B423="","",Квартиры!B423)</f>
        <v/>
      </c>
      <c r="C425">
        <f>IF(Квартиры!C423="","",Квартиры!C423)</f>
        <v/>
      </c>
      <c r="D425">
        <f>IF(Квартиры!D423="","",Квартиры!D423)</f>
        <v/>
      </c>
      <c r="E425">
        <f>IF(Квартиры!G423="","",Квартиры!G423)</f>
        <v/>
      </c>
      <c r="F425">
        <f>IF(Квартиры!E423="","",Квартиры!E423)</f>
        <v/>
      </c>
      <c r="G425">
        <f>IF(Квартиры!F423="","",Квартиры!F423)</f>
        <v/>
      </c>
      <c r="H425">
        <f>IF(Квартиры!H423="","",Квартиры!H423)</f>
        <v/>
      </c>
      <c r="I425">
        <f>IF(Квартиры!I423="","",Квартиры!I423)</f>
        <v/>
      </c>
      <c r="J425">
        <f>IF(Квартиры!J423="","",Квартиры!J423)</f>
        <v/>
      </c>
    </row>
    <row r="426">
      <c r="A426">
        <f>IF(Квартиры!A424="","",Квартиры!A424)</f>
        <v/>
      </c>
      <c r="B426">
        <f>IF(Квартиры!B424="","",Квартиры!B424)</f>
        <v/>
      </c>
      <c r="C426">
        <f>IF(Квартиры!C424="","",Квартиры!C424)</f>
        <v/>
      </c>
      <c r="D426">
        <f>IF(Квартиры!D424="","",Квартиры!D424)</f>
        <v/>
      </c>
      <c r="E426">
        <f>IF(Квартиры!G424="","",Квартиры!G424)</f>
        <v/>
      </c>
      <c r="F426">
        <f>IF(Квартиры!E424="","",Квартиры!E424)</f>
        <v/>
      </c>
      <c r="G426">
        <f>IF(Квартиры!F424="","",Квартиры!F424)</f>
        <v/>
      </c>
      <c r="H426">
        <f>IF(Квартиры!H424="","",Квартиры!H424)</f>
        <v/>
      </c>
      <c r="I426">
        <f>IF(Квартиры!I424="","",Квартиры!I424)</f>
        <v/>
      </c>
      <c r="J426">
        <f>IF(Квартиры!J424="","",Квартиры!J424)</f>
        <v/>
      </c>
    </row>
    <row r="427">
      <c r="A427">
        <f>IF(Квартиры!A425="","",Квартиры!A425)</f>
        <v/>
      </c>
      <c r="B427">
        <f>IF(Квартиры!B425="","",Квартиры!B425)</f>
        <v/>
      </c>
      <c r="C427">
        <f>IF(Квартиры!C425="","",Квартиры!C425)</f>
        <v/>
      </c>
      <c r="D427">
        <f>IF(Квартиры!D425="","",Квартиры!D425)</f>
        <v/>
      </c>
      <c r="E427">
        <f>IF(Квартиры!G425="","",Квартиры!G425)</f>
        <v/>
      </c>
      <c r="F427">
        <f>IF(Квартиры!E425="","",Квартиры!E425)</f>
        <v/>
      </c>
      <c r="G427">
        <f>IF(Квартиры!F425="","",Квартиры!F425)</f>
        <v/>
      </c>
      <c r="H427">
        <f>IF(Квартиры!H425="","",Квартиры!H425)</f>
        <v/>
      </c>
      <c r="I427">
        <f>IF(Квартиры!I425="","",Квартиры!I425)</f>
        <v/>
      </c>
      <c r="J427">
        <f>IF(Квартиры!J425="","",Квартиры!J425)</f>
        <v/>
      </c>
    </row>
    <row r="428">
      <c r="A428">
        <f>IF(Квартиры!A426="","",Квартиры!A426)</f>
        <v/>
      </c>
      <c r="B428">
        <f>IF(Квартиры!B426="","",Квартиры!B426)</f>
        <v/>
      </c>
      <c r="C428">
        <f>IF(Квартиры!C426="","",Квартиры!C426)</f>
        <v/>
      </c>
      <c r="D428">
        <f>IF(Квартиры!D426="","",Квартиры!D426)</f>
        <v/>
      </c>
      <c r="E428">
        <f>IF(Квартиры!G426="","",Квартиры!G426)</f>
        <v/>
      </c>
      <c r="F428">
        <f>IF(Квартиры!E426="","",Квартиры!E426)</f>
        <v/>
      </c>
      <c r="G428">
        <f>IF(Квартиры!F426="","",Квартиры!F426)</f>
        <v/>
      </c>
      <c r="H428">
        <f>IF(Квартиры!H426="","",Квартиры!H426)</f>
        <v/>
      </c>
      <c r="I428">
        <f>IF(Квартиры!I426="","",Квартиры!I426)</f>
        <v/>
      </c>
      <c r="J428">
        <f>IF(Квартиры!J426="","",Квартиры!J426)</f>
        <v/>
      </c>
    </row>
    <row r="429">
      <c r="A429">
        <f>IF(Квартиры!A427="","",Квартиры!A427)</f>
        <v/>
      </c>
      <c r="B429">
        <f>IF(Квартиры!B427="","",Квартиры!B427)</f>
        <v/>
      </c>
      <c r="C429">
        <f>IF(Квартиры!C427="","",Квартиры!C427)</f>
        <v/>
      </c>
      <c r="D429">
        <f>IF(Квартиры!D427="","",Квартиры!D427)</f>
        <v/>
      </c>
      <c r="E429">
        <f>IF(Квартиры!G427="","",Квартиры!G427)</f>
        <v/>
      </c>
      <c r="F429">
        <f>IF(Квартиры!E427="","",Квартиры!E427)</f>
        <v/>
      </c>
      <c r="G429">
        <f>IF(Квартиры!F427="","",Квартиры!F427)</f>
        <v/>
      </c>
      <c r="H429">
        <f>IF(Квартиры!H427="","",Квартиры!H427)</f>
        <v/>
      </c>
      <c r="I429">
        <f>IF(Квартиры!I427="","",Квартиры!I427)</f>
        <v/>
      </c>
      <c r="J429">
        <f>IF(Квартиры!J427="","",Квартиры!J427)</f>
        <v/>
      </c>
    </row>
    <row r="430">
      <c r="A430">
        <f>IF(Квартиры!A428="","",Квартиры!A428)</f>
        <v/>
      </c>
      <c r="B430">
        <f>IF(Квартиры!B428="","",Квартиры!B428)</f>
        <v/>
      </c>
      <c r="C430">
        <f>IF(Квартиры!C428="","",Квартиры!C428)</f>
        <v/>
      </c>
      <c r="D430">
        <f>IF(Квартиры!D428="","",Квартиры!D428)</f>
        <v/>
      </c>
      <c r="E430">
        <f>IF(Квартиры!G428="","",Квартиры!G428)</f>
        <v/>
      </c>
      <c r="F430">
        <f>IF(Квартиры!E428="","",Квартиры!E428)</f>
        <v/>
      </c>
      <c r="G430">
        <f>IF(Квартиры!F428="","",Квартиры!F428)</f>
        <v/>
      </c>
      <c r="H430">
        <f>IF(Квартиры!H428="","",Квартиры!H428)</f>
        <v/>
      </c>
      <c r="I430">
        <f>IF(Квартиры!I428="","",Квартиры!I428)</f>
        <v/>
      </c>
      <c r="J430">
        <f>IF(Квартиры!J428="","",Квартиры!J428)</f>
        <v/>
      </c>
    </row>
    <row r="431">
      <c r="A431">
        <f>IF(Квартиры!A429="","",Квартиры!A429)</f>
        <v/>
      </c>
      <c r="B431">
        <f>IF(Квартиры!B429="","",Квартиры!B429)</f>
        <v/>
      </c>
      <c r="C431">
        <f>IF(Квартиры!C429="","",Квартиры!C429)</f>
        <v/>
      </c>
      <c r="D431">
        <f>IF(Квартиры!D429="","",Квартиры!D429)</f>
        <v/>
      </c>
      <c r="E431">
        <f>IF(Квартиры!G429="","",Квартиры!G429)</f>
        <v/>
      </c>
      <c r="F431">
        <f>IF(Квартиры!E429="","",Квартиры!E429)</f>
        <v/>
      </c>
      <c r="G431">
        <f>IF(Квартиры!F429="","",Квартиры!F429)</f>
        <v/>
      </c>
      <c r="H431">
        <f>IF(Квартиры!H429="","",Квартиры!H429)</f>
        <v/>
      </c>
      <c r="I431">
        <f>IF(Квартиры!I429="","",Квартиры!I429)</f>
        <v/>
      </c>
      <c r="J431">
        <f>IF(Квартиры!J429="","",Квартиры!J429)</f>
        <v/>
      </c>
    </row>
    <row r="432">
      <c r="A432">
        <f>IF(Квартиры!A430="","",Квартиры!A430)</f>
        <v/>
      </c>
      <c r="B432">
        <f>IF(Квартиры!B430="","",Квартиры!B430)</f>
        <v/>
      </c>
      <c r="C432">
        <f>IF(Квартиры!C430="","",Квартиры!C430)</f>
        <v/>
      </c>
      <c r="D432">
        <f>IF(Квартиры!D430="","",Квартиры!D430)</f>
        <v/>
      </c>
      <c r="E432">
        <f>IF(Квартиры!G430="","",Квартиры!G430)</f>
        <v/>
      </c>
      <c r="F432">
        <f>IF(Квартиры!E430="","",Квартиры!E430)</f>
        <v/>
      </c>
      <c r="G432">
        <f>IF(Квартиры!F430="","",Квартиры!F430)</f>
        <v/>
      </c>
      <c r="H432">
        <f>IF(Квартиры!H430="","",Квартиры!H430)</f>
        <v/>
      </c>
      <c r="I432">
        <f>IF(Квартиры!I430="","",Квартиры!I430)</f>
        <v/>
      </c>
      <c r="J432">
        <f>IF(Квартиры!J430="","",Квартиры!J430)</f>
        <v/>
      </c>
    </row>
    <row r="433">
      <c r="A433">
        <f>IF(Квартиры!A431="","",Квартиры!A431)</f>
        <v/>
      </c>
      <c r="B433">
        <f>IF(Квартиры!B431="","",Квартиры!B431)</f>
        <v/>
      </c>
      <c r="C433">
        <f>IF(Квартиры!C431="","",Квартиры!C431)</f>
        <v/>
      </c>
      <c r="D433">
        <f>IF(Квартиры!D431="","",Квартиры!D431)</f>
        <v/>
      </c>
      <c r="E433">
        <f>IF(Квартиры!G431="","",Квартиры!G431)</f>
        <v/>
      </c>
      <c r="F433">
        <f>IF(Квартиры!E431="","",Квартиры!E431)</f>
        <v/>
      </c>
      <c r="G433">
        <f>IF(Квартиры!F431="","",Квартиры!F431)</f>
        <v/>
      </c>
      <c r="H433">
        <f>IF(Квартиры!H431="","",Квартиры!H431)</f>
        <v/>
      </c>
      <c r="I433">
        <f>IF(Квартиры!I431="","",Квартиры!I431)</f>
        <v/>
      </c>
      <c r="J433">
        <f>IF(Квартиры!J431="","",Квартиры!J431)</f>
        <v/>
      </c>
    </row>
    <row r="434">
      <c r="A434">
        <f>IF(Квартиры!A432="","",Квартиры!A432)</f>
        <v/>
      </c>
      <c r="B434">
        <f>IF(Квартиры!B432="","",Квартиры!B432)</f>
        <v/>
      </c>
      <c r="C434">
        <f>IF(Квартиры!C432="","",Квартиры!C432)</f>
        <v/>
      </c>
      <c r="D434">
        <f>IF(Квартиры!D432="","",Квартиры!D432)</f>
        <v/>
      </c>
      <c r="E434">
        <f>IF(Квартиры!G432="","",Квартиры!G432)</f>
        <v/>
      </c>
      <c r="F434">
        <f>IF(Квартиры!E432="","",Квартиры!E432)</f>
        <v/>
      </c>
      <c r="G434">
        <f>IF(Квартиры!F432="","",Квартиры!F432)</f>
        <v/>
      </c>
      <c r="H434">
        <f>IF(Квартиры!H432="","",Квартиры!H432)</f>
        <v/>
      </c>
      <c r="I434">
        <f>IF(Квартиры!I432="","",Квартиры!I432)</f>
        <v/>
      </c>
      <c r="J434">
        <f>IF(Квартиры!J432="","",Квартиры!J432)</f>
        <v/>
      </c>
    </row>
    <row r="435">
      <c r="A435">
        <f>IF(Квартиры!A433="","",Квартиры!A433)</f>
        <v/>
      </c>
      <c r="B435">
        <f>IF(Квартиры!B433="","",Квартиры!B433)</f>
        <v/>
      </c>
      <c r="C435">
        <f>IF(Квартиры!C433="","",Квартиры!C433)</f>
        <v/>
      </c>
      <c r="D435">
        <f>IF(Квартиры!D433="","",Квартиры!D433)</f>
        <v/>
      </c>
      <c r="E435">
        <f>IF(Квартиры!G433="","",Квартиры!G433)</f>
        <v/>
      </c>
      <c r="F435">
        <f>IF(Квартиры!E433="","",Квартиры!E433)</f>
        <v/>
      </c>
      <c r="G435">
        <f>IF(Квартиры!F433="","",Квартиры!F433)</f>
        <v/>
      </c>
      <c r="H435">
        <f>IF(Квартиры!H433="","",Квартиры!H433)</f>
        <v/>
      </c>
      <c r="I435">
        <f>IF(Квартиры!I433="","",Квартиры!I433)</f>
        <v/>
      </c>
      <c r="J435">
        <f>IF(Квартиры!J433="","",Квартиры!J433)</f>
        <v/>
      </c>
    </row>
    <row r="436">
      <c r="A436">
        <f>IF(Квартиры!A434="","",Квартиры!A434)</f>
        <v/>
      </c>
      <c r="B436">
        <f>IF(Квартиры!B434="","",Квартиры!B434)</f>
        <v/>
      </c>
      <c r="C436">
        <f>IF(Квартиры!C434="","",Квартиры!C434)</f>
        <v/>
      </c>
      <c r="D436">
        <f>IF(Квартиры!D434="","",Квартиры!D434)</f>
        <v/>
      </c>
      <c r="E436">
        <f>IF(Квартиры!G434="","",Квартиры!G434)</f>
        <v/>
      </c>
      <c r="F436">
        <f>IF(Квартиры!E434="","",Квартиры!E434)</f>
        <v/>
      </c>
      <c r="G436">
        <f>IF(Квартиры!F434="","",Квартиры!F434)</f>
        <v/>
      </c>
      <c r="H436">
        <f>IF(Квартиры!H434="","",Квартиры!H434)</f>
        <v/>
      </c>
      <c r="I436">
        <f>IF(Квартиры!I434="","",Квартиры!I434)</f>
        <v/>
      </c>
      <c r="J436">
        <f>IF(Квартиры!J434="","",Квартиры!J434)</f>
        <v/>
      </c>
    </row>
    <row r="437">
      <c r="A437">
        <f>IF(Квартиры!A435="","",Квартиры!A435)</f>
        <v/>
      </c>
      <c r="B437">
        <f>IF(Квартиры!B435="","",Квартиры!B435)</f>
        <v/>
      </c>
      <c r="C437">
        <f>IF(Квартиры!C435="","",Квартиры!C435)</f>
        <v/>
      </c>
      <c r="D437">
        <f>IF(Квартиры!D435="","",Квартиры!D435)</f>
        <v/>
      </c>
      <c r="E437">
        <f>IF(Квартиры!G435="","",Квартиры!G435)</f>
        <v/>
      </c>
      <c r="F437">
        <f>IF(Квартиры!E435="","",Квартиры!E435)</f>
        <v/>
      </c>
      <c r="G437">
        <f>IF(Квартиры!F435="","",Квартиры!F435)</f>
        <v/>
      </c>
      <c r="H437">
        <f>IF(Квартиры!H435="","",Квартиры!H435)</f>
        <v/>
      </c>
      <c r="I437">
        <f>IF(Квартиры!I435="","",Квартиры!I435)</f>
        <v/>
      </c>
      <c r="J437">
        <f>IF(Квартиры!J435="","",Квартиры!J435)</f>
        <v/>
      </c>
    </row>
    <row r="438">
      <c r="A438">
        <f>IF(Квартиры!A436="","",Квартиры!A436)</f>
        <v/>
      </c>
      <c r="B438">
        <f>IF(Квартиры!B436="","",Квартиры!B436)</f>
        <v/>
      </c>
      <c r="C438">
        <f>IF(Квартиры!C436="","",Квартиры!C436)</f>
        <v/>
      </c>
      <c r="D438">
        <f>IF(Квартиры!D436="","",Квартиры!D436)</f>
        <v/>
      </c>
      <c r="E438">
        <f>IF(Квартиры!G436="","",Квартиры!G436)</f>
        <v/>
      </c>
      <c r="F438">
        <f>IF(Квартиры!E436="","",Квартиры!E436)</f>
        <v/>
      </c>
      <c r="G438">
        <f>IF(Квартиры!F436="","",Квартиры!F436)</f>
        <v/>
      </c>
      <c r="H438">
        <f>IF(Квартиры!H436="","",Квартиры!H436)</f>
        <v/>
      </c>
      <c r="I438">
        <f>IF(Квартиры!I436="","",Квартиры!I436)</f>
        <v/>
      </c>
      <c r="J438">
        <f>IF(Квартиры!J436="","",Квартиры!J436)</f>
        <v/>
      </c>
    </row>
    <row r="439">
      <c r="A439">
        <f>IF(Квартиры!A437="","",Квартиры!A437)</f>
        <v/>
      </c>
      <c r="B439">
        <f>IF(Квартиры!B437="","",Квартиры!B437)</f>
        <v/>
      </c>
      <c r="C439">
        <f>IF(Квартиры!C437="","",Квартиры!C437)</f>
        <v/>
      </c>
      <c r="D439">
        <f>IF(Квартиры!D437="","",Квартиры!D437)</f>
        <v/>
      </c>
      <c r="E439">
        <f>IF(Квартиры!G437="","",Квартиры!G437)</f>
        <v/>
      </c>
      <c r="F439">
        <f>IF(Квартиры!E437="","",Квартиры!E437)</f>
        <v/>
      </c>
      <c r="G439">
        <f>IF(Квартиры!F437="","",Квартиры!F437)</f>
        <v/>
      </c>
      <c r="H439">
        <f>IF(Квартиры!H437="","",Квартиры!H437)</f>
        <v/>
      </c>
      <c r="I439">
        <f>IF(Квартиры!I437="","",Квартиры!I437)</f>
        <v/>
      </c>
      <c r="J439">
        <f>IF(Квартиры!J437="","",Квартиры!J437)</f>
        <v/>
      </c>
    </row>
    <row r="440">
      <c r="A440">
        <f>IF(Квартиры!A438="","",Квартиры!A438)</f>
        <v/>
      </c>
      <c r="B440">
        <f>IF(Квартиры!B438="","",Квартиры!B438)</f>
        <v/>
      </c>
      <c r="C440">
        <f>IF(Квартиры!C438="","",Квартиры!C438)</f>
        <v/>
      </c>
      <c r="D440">
        <f>IF(Квартиры!D438="","",Квартиры!D438)</f>
        <v/>
      </c>
      <c r="E440">
        <f>IF(Квартиры!G438="","",Квартиры!G438)</f>
        <v/>
      </c>
      <c r="F440">
        <f>IF(Квартиры!E438="","",Квартиры!E438)</f>
        <v/>
      </c>
      <c r="G440">
        <f>IF(Квартиры!F438="","",Квартиры!F438)</f>
        <v/>
      </c>
      <c r="H440">
        <f>IF(Квартиры!H438="","",Квартиры!H438)</f>
        <v/>
      </c>
      <c r="I440">
        <f>IF(Квартиры!I438="","",Квартиры!I438)</f>
        <v/>
      </c>
      <c r="J440">
        <f>IF(Квартиры!J438="","",Квартиры!J438)</f>
        <v/>
      </c>
    </row>
    <row r="441">
      <c r="A441">
        <f>IF(Квартиры!A439="","",Квартиры!A439)</f>
        <v/>
      </c>
      <c r="B441">
        <f>IF(Квартиры!B439="","",Квартиры!B439)</f>
        <v/>
      </c>
      <c r="C441">
        <f>IF(Квартиры!C439="","",Квартиры!C439)</f>
        <v/>
      </c>
      <c r="D441">
        <f>IF(Квартиры!D439="","",Квартиры!D439)</f>
        <v/>
      </c>
      <c r="E441">
        <f>IF(Квартиры!G439="","",Квартиры!G439)</f>
        <v/>
      </c>
      <c r="F441">
        <f>IF(Квартиры!E439="","",Квартиры!E439)</f>
        <v/>
      </c>
      <c r="G441">
        <f>IF(Квартиры!F439="","",Квартиры!F439)</f>
        <v/>
      </c>
      <c r="H441">
        <f>IF(Квартиры!H439="","",Квартиры!H439)</f>
        <v/>
      </c>
      <c r="I441">
        <f>IF(Квартиры!I439="","",Квартиры!I439)</f>
        <v/>
      </c>
      <c r="J441">
        <f>IF(Квартиры!J439="","",Квартиры!J439)</f>
        <v/>
      </c>
    </row>
    <row r="442">
      <c r="A442">
        <f>IF(Квартиры!A440="","",Квартиры!A440)</f>
        <v/>
      </c>
      <c r="B442">
        <f>IF(Квартиры!B440="","",Квартиры!B440)</f>
        <v/>
      </c>
      <c r="C442">
        <f>IF(Квартиры!C440="","",Квартиры!C440)</f>
        <v/>
      </c>
      <c r="D442">
        <f>IF(Квартиры!D440="","",Квартиры!D440)</f>
        <v/>
      </c>
      <c r="E442">
        <f>IF(Квартиры!G440="","",Квартиры!G440)</f>
        <v/>
      </c>
      <c r="F442">
        <f>IF(Квартиры!E440="","",Квартиры!E440)</f>
        <v/>
      </c>
      <c r="G442">
        <f>IF(Квартиры!F440="","",Квартиры!F440)</f>
        <v/>
      </c>
      <c r="H442">
        <f>IF(Квартиры!H440="","",Квартиры!H440)</f>
        <v/>
      </c>
      <c r="I442">
        <f>IF(Квартиры!I440="","",Квартиры!I440)</f>
        <v/>
      </c>
      <c r="J442">
        <f>IF(Квартиры!J440="","",Квартиры!J440)</f>
        <v/>
      </c>
    </row>
    <row r="443">
      <c r="A443">
        <f>IF(Квартиры!A441="","",Квартиры!A441)</f>
        <v/>
      </c>
      <c r="B443">
        <f>IF(Квартиры!B441="","",Квартиры!B441)</f>
        <v/>
      </c>
      <c r="C443">
        <f>IF(Квартиры!C441="","",Квартиры!C441)</f>
        <v/>
      </c>
      <c r="D443">
        <f>IF(Квартиры!D441="","",Квартиры!D441)</f>
        <v/>
      </c>
      <c r="E443">
        <f>IF(Квартиры!G441="","",Квартиры!G441)</f>
        <v/>
      </c>
      <c r="F443">
        <f>IF(Квартиры!E441="","",Квартиры!E441)</f>
        <v/>
      </c>
      <c r="G443">
        <f>IF(Квартиры!F441="","",Квартиры!F441)</f>
        <v/>
      </c>
      <c r="H443">
        <f>IF(Квартиры!H441="","",Квартиры!H441)</f>
        <v/>
      </c>
      <c r="I443">
        <f>IF(Квартиры!I441="","",Квартиры!I441)</f>
        <v/>
      </c>
      <c r="J443">
        <f>IF(Квартиры!J441="","",Квартиры!J441)</f>
        <v/>
      </c>
    </row>
    <row r="444">
      <c r="A444">
        <f>IF(Квартиры!A442="","",Квартиры!A442)</f>
        <v/>
      </c>
      <c r="B444">
        <f>IF(Квартиры!B442="","",Квартиры!B442)</f>
        <v/>
      </c>
      <c r="C444">
        <f>IF(Квартиры!C442="","",Квартиры!C442)</f>
        <v/>
      </c>
      <c r="D444">
        <f>IF(Квартиры!D442="","",Квартиры!D442)</f>
        <v/>
      </c>
      <c r="E444">
        <f>IF(Квартиры!G442="","",Квартиры!G442)</f>
        <v/>
      </c>
      <c r="F444">
        <f>IF(Квартиры!E442="","",Квартиры!E442)</f>
        <v/>
      </c>
      <c r="G444">
        <f>IF(Квартиры!F442="","",Квартиры!F442)</f>
        <v/>
      </c>
      <c r="H444">
        <f>IF(Квартиры!H442="","",Квартиры!H442)</f>
        <v/>
      </c>
      <c r="I444">
        <f>IF(Квартиры!I442="","",Квартиры!I442)</f>
        <v/>
      </c>
      <c r="J444">
        <f>IF(Квартиры!J442="","",Квартиры!J442)</f>
        <v/>
      </c>
    </row>
    <row r="445">
      <c r="A445">
        <f>IF(Квартиры!A443="","",Квартиры!A443)</f>
        <v/>
      </c>
      <c r="B445">
        <f>IF(Квартиры!B443="","",Квартиры!B443)</f>
        <v/>
      </c>
      <c r="C445">
        <f>IF(Квартиры!C443="","",Квартиры!C443)</f>
        <v/>
      </c>
      <c r="D445">
        <f>IF(Квартиры!D443="","",Квартиры!D443)</f>
        <v/>
      </c>
      <c r="E445">
        <f>IF(Квартиры!G443="","",Квартиры!G443)</f>
        <v/>
      </c>
      <c r="F445">
        <f>IF(Квартиры!E443="","",Квартиры!E443)</f>
        <v/>
      </c>
      <c r="G445">
        <f>IF(Квартиры!F443="","",Квартиры!F443)</f>
        <v/>
      </c>
      <c r="H445">
        <f>IF(Квартиры!H443="","",Квартиры!H443)</f>
        <v/>
      </c>
      <c r="I445">
        <f>IF(Квартиры!I443="","",Квартиры!I443)</f>
        <v/>
      </c>
      <c r="J445">
        <f>IF(Квартиры!J443="","",Квартиры!J443)</f>
        <v/>
      </c>
    </row>
    <row r="446">
      <c r="A446">
        <f>IF(Квартиры!A444="","",Квартиры!A444)</f>
        <v/>
      </c>
      <c r="B446">
        <f>IF(Квартиры!B444="","",Квартиры!B444)</f>
        <v/>
      </c>
      <c r="C446">
        <f>IF(Квартиры!C444="","",Квартиры!C444)</f>
        <v/>
      </c>
      <c r="D446">
        <f>IF(Квартиры!D444="","",Квартиры!D444)</f>
        <v/>
      </c>
      <c r="E446">
        <f>IF(Квартиры!G444="","",Квартиры!G444)</f>
        <v/>
      </c>
      <c r="F446">
        <f>IF(Квартиры!E444="","",Квартиры!E444)</f>
        <v/>
      </c>
      <c r="G446">
        <f>IF(Квартиры!F444="","",Квартиры!F444)</f>
        <v/>
      </c>
      <c r="H446">
        <f>IF(Квартиры!H444="","",Квартиры!H444)</f>
        <v/>
      </c>
      <c r="I446">
        <f>IF(Квартиры!I444="","",Квартиры!I444)</f>
        <v/>
      </c>
      <c r="J446">
        <f>IF(Квартиры!J444="","",Квартиры!J444)</f>
        <v/>
      </c>
    </row>
    <row r="447">
      <c r="A447">
        <f>IF(Квартиры!A445="","",Квартиры!A445)</f>
        <v/>
      </c>
      <c r="B447">
        <f>IF(Квартиры!B445="","",Квартиры!B445)</f>
        <v/>
      </c>
      <c r="C447">
        <f>IF(Квартиры!C445="","",Квартиры!C445)</f>
        <v/>
      </c>
      <c r="D447">
        <f>IF(Квартиры!D445="","",Квартиры!D445)</f>
        <v/>
      </c>
      <c r="E447">
        <f>IF(Квартиры!G445="","",Квартиры!G445)</f>
        <v/>
      </c>
      <c r="F447">
        <f>IF(Квартиры!E445="","",Квартиры!E445)</f>
        <v/>
      </c>
      <c r="G447">
        <f>IF(Квартиры!F445="","",Квартиры!F445)</f>
        <v/>
      </c>
      <c r="H447">
        <f>IF(Квартиры!H445="","",Квартиры!H445)</f>
        <v/>
      </c>
      <c r="I447">
        <f>IF(Квартиры!I445="","",Квартиры!I445)</f>
        <v/>
      </c>
      <c r="J447">
        <f>IF(Квартиры!J445="","",Квартиры!J445)</f>
        <v/>
      </c>
    </row>
    <row r="448">
      <c r="A448">
        <f>IF(Квартиры!A446="","",Квартиры!A446)</f>
        <v/>
      </c>
      <c r="B448">
        <f>IF(Квартиры!B446="","",Квартиры!B446)</f>
        <v/>
      </c>
      <c r="C448">
        <f>IF(Квартиры!C446="","",Квартиры!C446)</f>
        <v/>
      </c>
      <c r="D448">
        <f>IF(Квартиры!D446="","",Квартиры!D446)</f>
        <v/>
      </c>
      <c r="E448">
        <f>IF(Квартиры!G446="","",Квартиры!G446)</f>
        <v/>
      </c>
      <c r="F448">
        <f>IF(Квартиры!E446="","",Квартиры!E446)</f>
        <v/>
      </c>
      <c r="G448">
        <f>IF(Квартиры!F446="","",Квартиры!F446)</f>
        <v/>
      </c>
      <c r="H448">
        <f>IF(Квартиры!H446="","",Квартиры!H446)</f>
        <v/>
      </c>
      <c r="I448">
        <f>IF(Квартиры!I446="","",Квартиры!I446)</f>
        <v/>
      </c>
      <c r="J448">
        <f>IF(Квартиры!J446="","",Квартиры!J446)</f>
        <v/>
      </c>
    </row>
    <row r="449">
      <c r="A449">
        <f>IF(Квартиры!A447="","",Квартиры!A447)</f>
        <v/>
      </c>
      <c r="B449">
        <f>IF(Квартиры!B447="","",Квартиры!B447)</f>
        <v/>
      </c>
      <c r="C449">
        <f>IF(Квартиры!C447="","",Квартиры!C447)</f>
        <v/>
      </c>
      <c r="D449">
        <f>IF(Квартиры!D447="","",Квартиры!D447)</f>
        <v/>
      </c>
      <c r="E449">
        <f>IF(Квартиры!G447="","",Квартиры!G447)</f>
        <v/>
      </c>
      <c r="F449">
        <f>IF(Квартиры!E447="","",Квартиры!E447)</f>
        <v/>
      </c>
      <c r="G449">
        <f>IF(Квартиры!F447="","",Квартиры!F447)</f>
        <v/>
      </c>
      <c r="H449">
        <f>IF(Квартиры!H447="","",Квартиры!H447)</f>
        <v/>
      </c>
      <c r="I449">
        <f>IF(Квартиры!I447="","",Квартиры!I447)</f>
        <v/>
      </c>
      <c r="J449">
        <f>IF(Квартиры!J447="","",Квартиры!J447)</f>
        <v/>
      </c>
    </row>
    <row r="450">
      <c r="A450">
        <f>IF(Квартиры!A448="","",Квартиры!A448)</f>
        <v/>
      </c>
      <c r="B450">
        <f>IF(Квартиры!B448="","",Квартиры!B448)</f>
        <v/>
      </c>
      <c r="C450">
        <f>IF(Квартиры!C448="","",Квартиры!C448)</f>
        <v/>
      </c>
      <c r="D450">
        <f>IF(Квартиры!D448="","",Квартиры!D448)</f>
        <v/>
      </c>
      <c r="E450">
        <f>IF(Квартиры!G448="","",Квартиры!G448)</f>
        <v/>
      </c>
      <c r="F450">
        <f>IF(Квартиры!E448="","",Квартиры!E448)</f>
        <v/>
      </c>
      <c r="G450">
        <f>IF(Квартиры!F448="","",Квартиры!F448)</f>
        <v/>
      </c>
      <c r="H450">
        <f>IF(Квартиры!H448="","",Квартиры!H448)</f>
        <v/>
      </c>
      <c r="I450">
        <f>IF(Квартиры!I448="","",Квартиры!I448)</f>
        <v/>
      </c>
      <c r="J450">
        <f>IF(Квартиры!J448="","",Квартиры!J448)</f>
        <v/>
      </c>
    </row>
    <row r="451">
      <c r="A451">
        <f>IF(Квартиры!A449="","",Квартиры!A449)</f>
        <v/>
      </c>
      <c r="B451">
        <f>IF(Квартиры!B449="","",Квартиры!B449)</f>
        <v/>
      </c>
      <c r="C451">
        <f>IF(Квартиры!C449="","",Квартиры!C449)</f>
        <v/>
      </c>
      <c r="D451">
        <f>IF(Квартиры!D449="","",Квартиры!D449)</f>
        <v/>
      </c>
      <c r="E451">
        <f>IF(Квартиры!G449="","",Квартиры!G449)</f>
        <v/>
      </c>
      <c r="F451">
        <f>IF(Квартиры!E449="","",Квартиры!E449)</f>
        <v/>
      </c>
      <c r="G451">
        <f>IF(Квартиры!F449="","",Квартиры!F449)</f>
        <v/>
      </c>
      <c r="H451">
        <f>IF(Квартиры!H449="","",Квартиры!H449)</f>
        <v/>
      </c>
      <c r="I451">
        <f>IF(Квартиры!I449="","",Квартиры!I449)</f>
        <v/>
      </c>
      <c r="J451">
        <f>IF(Квартиры!J449="","",Квартиры!J449)</f>
        <v/>
      </c>
    </row>
    <row r="452">
      <c r="A452">
        <f>IF(Квартиры!A450="","",Квартиры!A450)</f>
        <v/>
      </c>
      <c r="B452">
        <f>IF(Квартиры!B450="","",Квартиры!B450)</f>
        <v/>
      </c>
      <c r="C452">
        <f>IF(Квартиры!C450="","",Квартиры!C450)</f>
        <v/>
      </c>
      <c r="D452">
        <f>IF(Квартиры!D450="","",Квартиры!D450)</f>
        <v/>
      </c>
      <c r="E452">
        <f>IF(Квартиры!G450="","",Квартиры!G450)</f>
        <v/>
      </c>
      <c r="F452">
        <f>IF(Квартиры!E450="","",Квартиры!E450)</f>
        <v/>
      </c>
      <c r="G452">
        <f>IF(Квартиры!F450="","",Квартиры!F450)</f>
        <v/>
      </c>
      <c r="H452">
        <f>IF(Квартиры!H450="","",Квартиры!H450)</f>
        <v/>
      </c>
      <c r="I452">
        <f>IF(Квартиры!I450="","",Квартиры!I450)</f>
        <v/>
      </c>
      <c r="J452">
        <f>IF(Квартиры!J450="","",Квартиры!J450)</f>
        <v/>
      </c>
    </row>
    <row r="453">
      <c r="A453">
        <f>IF(Квартиры!A451="","",Квартиры!A451)</f>
        <v/>
      </c>
      <c r="B453">
        <f>IF(Квартиры!B451="","",Квартиры!B451)</f>
        <v/>
      </c>
      <c r="C453">
        <f>IF(Квартиры!C451="","",Квартиры!C451)</f>
        <v/>
      </c>
      <c r="D453">
        <f>IF(Квартиры!D451="","",Квартиры!D451)</f>
        <v/>
      </c>
      <c r="E453">
        <f>IF(Квартиры!G451="","",Квартиры!G451)</f>
        <v/>
      </c>
      <c r="F453">
        <f>IF(Квартиры!E451="","",Квартиры!E451)</f>
        <v/>
      </c>
      <c r="G453">
        <f>IF(Квартиры!F451="","",Квартиры!F451)</f>
        <v/>
      </c>
      <c r="H453">
        <f>IF(Квартиры!H451="","",Квартиры!H451)</f>
        <v/>
      </c>
      <c r="I453">
        <f>IF(Квартиры!I451="","",Квартиры!I451)</f>
        <v/>
      </c>
      <c r="J453">
        <f>IF(Квартиры!J451="","",Квартиры!J451)</f>
        <v/>
      </c>
    </row>
    <row r="454">
      <c r="A454">
        <f>IF(Квартиры!A452="","",Квартиры!A452)</f>
        <v/>
      </c>
      <c r="B454">
        <f>IF(Квартиры!B452="","",Квартиры!B452)</f>
        <v/>
      </c>
      <c r="C454">
        <f>IF(Квартиры!C452="","",Квартиры!C452)</f>
        <v/>
      </c>
      <c r="D454">
        <f>IF(Квартиры!D452="","",Квартиры!D452)</f>
        <v/>
      </c>
      <c r="E454">
        <f>IF(Квартиры!G452="","",Квартиры!G452)</f>
        <v/>
      </c>
      <c r="F454">
        <f>IF(Квартиры!E452="","",Квартиры!E452)</f>
        <v/>
      </c>
      <c r="G454">
        <f>IF(Квартиры!F452="","",Квартиры!F452)</f>
        <v/>
      </c>
      <c r="H454">
        <f>IF(Квартиры!H452="","",Квартиры!H452)</f>
        <v/>
      </c>
      <c r="I454">
        <f>IF(Квартиры!I452="","",Квартиры!I452)</f>
        <v/>
      </c>
      <c r="J454">
        <f>IF(Квартиры!J452="","",Квартиры!J452)</f>
        <v/>
      </c>
    </row>
    <row r="455">
      <c r="A455">
        <f>IF(Квартиры!A453="","",Квартиры!A453)</f>
        <v/>
      </c>
      <c r="B455">
        <f>IF(Квартиры!B453="","",Квартиры!B453)</f>
        <v/>
      </c>
      <c r="C455">
        <f>IF(Квартиры!C453="","",Квартиры!C453)</f>
        <v/>
      </c>
      <c r="D455">
        <f>IF(Квартиры!D453="","",Квартиры!D453)</f>
        <v/>
      </c>
      <c r="E455">
        <f>IF(Квартиры!G453="","",Квартиры!G453)</f>
        <v/>
      </c>
      <c r="F455">
        <f>IF(Квартиры!E453="","",Квартиры!E453)</f>
        <v/>
      </c>
      <c r="G455">
        <f>IF(Квартиры!F453="","",Квартиры!F453)</f>
        <v/>
      </c>
      <c r="H455">
        <f>IF(Квартиры!H453="","",Квартиры!H453)</f>
        <v/>
      </c>
      <c r="I455">
        <f>IF(Квартиры!I453="","",Квартиры!I453)</f>
        <v/>
      </c>
      <c r="J455">
        <f>IF(Квартиры!J453="","",Квартиры!J453)</f>
        <v/>
      </c>
    </row>
    <row r="456">
      <c r="A456">
        <f>IF(Квартиры!A454="","",Квартиры!A454)</f>
        <v/>
      </c>
      <c r="B456">
        <f>IF(Квартиры!B454="","",Квартиры!B454)</f>
        <v/>
      </c>
      <c r="C456">
        <f>IF(Квартиры!C454="","",Квартиры!C454)</f>
        <v/>
      </c>
      <c r="D456">
        <f>IF(Квартиры!D454="","",Квартиры!D454)</f>
        <v/>
      </c>
      <c r="E456">
        <f>IF(Квартиры!G454="","",Квартиры!G454)</f>
        <v/>
      </c>
      <c r="F456">
        <f>IF(Квартиры!E454="","",Квартиры!E454)</f>
        <v/>
      </c>
      <c r="G456">
        <f>IF(Квартиры!F454="","",Квартиры!F454)</f>
        <v/>
      </c>
      <c r="H456">
        <f>IF(Квартиры!H454="","",Квартиры!H454)</f>
        <v/>
      </c>
      <c r="I456">
        <f>IF(Квартиры!I454="","",Квартиры!I454)</f>
        <v/>
      </c>
      <c r="J456">
        <f>IF(Квартиры!J454="","",Квартиры!J454)</f>
        <v/>
      </c>
    </row>
    <row r="457">
      <c r="A457">
        <f>IF(Квартиры!A455="","",Квартиры!A455)</f>
        <v/>
      </c>
      <c r="B457">
        <f>IF(Квартиры!B455="","",Квартиры!B455)</f>
        <v/>
      </c>
      <c r="C457">
        <f>IF(Квартиры!C455="","",Квартиры!C455)</f>
        <v/>
      </c>
      <c r="D457">
        <f>IF(Квартиры!D455="","",Квартиры!D455)</f>
        <v/>
      </c>
      <c r="E457">
        <f>IF(Квартиры!G455="","",Квартиры!G455)</f>
        <v/>
      </c>
      <c r="F457">
        <f>IF(Квартиры!E455="","",Квартиры!E455)</f>
        <v/>
      </c>
      <c r="G457">
        <f>IF(Квартиры!F455="","",Квартиры!F455)</f>
        <v/>
      </c>
      <c r="H457">
        <f>IF(Квартиры!H455="","",Квартиры!H455)</f>
        <v/>
      </c>
      <c r="I457">
        <f>IF(Квартиры!I455="","",Квартиры!I455)</f>
        <v/>
      </c>
      <c r="J457">
        <f>IF(Квартиры!J455="","",Квартиры!J455)</f>
        <v/>
      </c>
    </row>
    <row r="458">
      <c r="A458">
        <f>IF(Квартиры!A456="","",Квартиры!A456)</f>
        <v/>
      </c>
      <c r="B458">
        <f>IF(Квартиры!B456="","",Квартиры!B456)</f>
        <v/>
      </c>
      <c r="C458">
        <f>IF(Квартиры!C456="","",Квартиры!C456)</f>
        <v/>
      </c>
      <c r="D458">
        <f>IF(Квартиры!D456="","",Квартиры!D456)</f>
        <v/>
      </c>
      <c r="E458">
        <f>IF(Квартиры!G456="","",Квартиры!G456)</f>
        <v/>
      </c>
      <c r="F458">
        <f>IF(Квартиры!E456="","",Квартиры!E456)</f>
        <v/>
      </c>
      <c r="G458">
        <f>IF(Квартиры!F456="","",Квартиры!F456)</f>
        <v/>
      </c>
      <c r="H458">
        <f>IF(Квартиры!H456="","",Квартиры!H456)</f>
        <v/>
      </c>
      <c r="I458">
        <f>IF(Квартиры!I456="","",Квартиры!I456)</f>
        <v/>
      </c>
      <c r="J458">
        <f>IF(Квартиры!J456="","",Квартиры!J456)</f>
        <v/>
      </c>
    </row>
    <row r="459">
      <c r="A459">
        <f>IF(Квартиры!A457="","",Квартиры!A457)</f>
        <v/>
      </c>
      <c r="B459">
        <f>IF(Квартиры!B457="","",Квартиры!B457)</f>
        <v/>
      </c>
      <c r="C459">
        <f>IF(Квартиры!C457="","",Квартиры!C457)</f>
        <v/>
      </c>
      <c r="D459">
        <f>IF(Квартиры!D457="","",Квартиры!D457)</f>
        <v/>
      </c>
      <c r="E459">
        <f>IF(Квартиры!G457="","",Квартиры!G457)</f>
        <v/>
      </c>
      <c r="F459">
        <f>IF(Квартиры!E457="","",Квартиры!E457)</f>
        <v/>
      </c>
      <c r="G459">
        <f>IF(Квартиры!F457="","",Квартиры!F457)</f>
        <v/>
      </c>
      <c r="H459">
        <f>IF(Квартиры!H457="","",Квартиры!H457)</f>
        <v/>
      </c>
      <c r="I459">
        <f>IF(Квартиры!I457="","",Квартиры!I457)</f>
        <v/>
      </c>
      <c r="J459">
        <f>IF(Квартиры!J457="","",Квартиры!J457)</f>
        <v/>
      </c>
    </row>
    <row r="460">
      <c r="A460">
        <f>IF(Квартиры!A458="","",Квартиры!A458)</f>
        <v/>
      </c>
      <c r="B460">
        <f>IF(Квартиры!B458="","",Квартиры!B458)</f>
        <v/>
      </c>
      <c r="C460">
        <f>IF(Квартиры!C458="","",Квартиры!C458)</f>
        <v/>
      </c>
      <c r="D460">
        <f>IF(Квартиры!D458="","",Квартиры!D458)</f>
        <v/>
      </c>
      <c r="E460">
        <f>IF(Квартиры!G458="","",Квартиры!G458)</f>
        <v/>
      </c>
      <c r="F460">
        <f>IF(Квартиры!E458="","",Квартиры!E458)</f>
        <v/>
      </c>
      <c r="G460">
        <f>IF(Квартиры!F458="","",Квартиры!F458)</f>
        <v/>
      </c>
      <c r="H460">
        <f>IF(Квартиры!H458="","",Квартиры!H458)</f>
        <v/>
      </c>
      <c r="I460">
        <f>IF(Квартиры!I458="","",Квартиры!I458)</f>
        <v/>
      </c>
      <c r="J460">
        <f>IF(Квартиры!J458="","",Квартиры!J458)</f>
        <v/>
      </c>
    </row>
    <row r="461">
      <c r="A461">
        <f>IF(Квартиры!A459="","",Квартиры!A459)</f>
        <v/>
      </c>
      <c r="B461">
        <f>IF(Квартиры!B459="","",Квартиры!B459)</f>
        <v/>
      </c>
      <c r="C461">
        <f>IF(Квартиры!C459="","",Квартиры!C459)</f>
        <v/>
      </c>
      <c r="D461">
        <f>IF(Квартиры!D459="","",Квартиры!D459)</f>
        <v/>
      </c>
      <c r="E461">
        <f>IF(Квартиры!G459="","",Квартиры!G459)</f>
        <v/>
      </c>
      <c r="F461">
        <f>IF(Квартиры!E459="","",Квартиры!E459)</f>
        <v/>
      </c>
      <c r="G461">
        <f>IF(Квартиры!F459="","",Квартиры!F459)</f>
        <v/>
      </c>
      <c r="H461">
        <f>IF(Квартиры!H459="","",Квартиры!H459)</f>
        <v/>
      </c>
      <c r="I461">
        <f>IF(Квартиры!I459="","",Квартиры!I459)</f>
        <v/>
      </c>
      <c r="J461">
        <f>IF(Квартиры!J459="","",Квартиры!J459)</f>
        <v/>
      </c>
    </row>
    <row r="462">
      <c r="A462">
        <f>IF(Квартиры!A460="","",Квартиры!A460)</f>
        <v/>
      </c>
      <c r="B462">
        <f>IF(Квартиры!B460="","",Квартиры!B460)</f>
        <v/>
      </c>
      <c r="C462">
        <f>IF(Квартиры!C460="","",Квартиры!C460)</f>
        <v/>
      </c>
      <c r="D462">
        <f>IF(Квартиры!D460="","",Квартиры!D460)</f>
        <v/>
      </c>
      <c r="E462">
        <f>IF(Квартиры!G460="","",Квартиры!G460)</f>
        <v/>
      </c>
      <c r="F462">
        <f>IF(Квартиры!E460="","",Квартиры!E460)</f>
        <v/>
      </c>
      <c r="G462">
        <f>IF(Квартиры!F460="","",Квартиры!F460)</f>
        <v/>
      </c>
      <c r="H462">
        <f>IF(Квартиры!H460="","",Квартиры!H460)</f>
        <v/>
      </c>
      <c r="I462">
        <f>IF(Квартиры!I460="","",Квартиры!I460)</f>
        <v/>
      </c>
      <c r="J462">
        <f>IF(Квартиры!J460="","",Квартиры!J460)</f>
        <v/>
      </c>
    </row>
    <row r="463">
      <c r="A463">
        <f>IF(Квартиры!A461="","",Квартиры!A461)</f>
        <v/>
      </c>
      <c r="B463">
        <f>IF(Квартиры!B461="","",Квартиры!B461)</f>
        <v/>
      </c>
      <c r="C463">
        <f>IF(Квартиры!C461="","",Квартиры!C461)</f>
        <v/>
      </c>
      <c r="D463">
        <f>IF(Квартиры!D461="","",Квартиры!D461)</f>
        <v/>
      </c>
      <c r="E463">
        <f>IF(Квартиры!G461="","",Квартиры!G461)</f>
        <v/>
      </c>
      <c r="F463">
        <f>IF(Квартиры!E461="","",Квартиры!E461)</f>
        <v/>
      </c>
      <c r="G463">
        <f>IF(Квартиры!F461="","",Квартиры!F461)</f>
        <v/>
      </c>
      <c r="H463">
        <f>IF(Квартиры!H461="","",Квартиры!H461)</f>
        <v/>
      </c>
      <c r="I463">
        <f>IF(Квартиры!I461="","",Квартиры!I461)</f>
        <v/>
      </c>
      <c r="J463">
        <f>IF(Квартиры!J461="","",Квартиры!J461)</f>
        <v/>
      </c>
    </row>
    <row r="464">
      <c r="A464">
        <f>IF(Квартиры!A462="","",Квартиры!A462)</f>
        <v/>
      </c>
      <c r="B464">
        <f>IF(Квартиры!B462="","",Квартиры!B462)</f>
        <v/>
      </c>
      <c r="C464">
        <f>IF(Квартиры!C462="","",Квартиры!C462)</f>
        <v/>
      </c>
      <c r="D464">
        <f>IF(Квартиры!D462="","",Квартиры!D462)</f>
        <v/>
      </c>
      <c r="E464">
        <f>IF(Квартиры!G462="","",Квартиры!G462)</f>
        <v/>
      </c>
      <c r="F464">
        <f>IF(Квартиры!E462="","",Квартиры!E462)</f>
        <v/>
      </c>
      <c r="G464">
        <f>IF(Квартиры!F462="","",Квартиры!F462)</f>
        <v/>
      </c>
      <c r="H464">
        <f>IF(Квартиры!H462="","",Квартиры!H462)</f>
        <v/>
      </c>
      <c r="I464">
        <f>IF(Квартиры!I462="","",Квартиры!I462)</f>
        <v/>
      </c>
      <c r="J464">
        <f>IF(Квартиры!J462="","",Квартиры!J462)</f>
        <v/>
      </c>
    </row>
    <row r="465">
      <c r="A465">
        <f>IF(Квартиры!A463="","",Квартиры!A463)</f>
        <v/>
      </c>
      <c r="B465">
        <f>IF(Квартиры!B463="","",Квартиры!B463)</f>
        <v/>
      </c>
      <c r="C465">
        <f>IF(Квартиры!C463="","",Квартиры!C463)</f>
        <v/>
      </c>
      <c r="D465">
        <f>IF(Квартиры!D463="","",Квартиры!D463)</f>
        <v/>
      </c>
      <c r="E465">
        <f>IF(Квартиры!G463="","",Квартиры!G463)</f>
        <v/>
      </c>
      <c r="F465">
        <f>IF(Квартиры!E463="","",Квартиры!E463)</f>
        <v/>
      </c>
      <c r="G465">
        <f>IF(Квартиры!F463="","",Квартиры!F463)</f>
        <v/>
      </c>
      <c r="H465">
        <f>IF(Квартиры!H463="","",Квартиры!H463)</f>
        <v/>
      </c>
      <c r="I465">
        <f>IF(Квартиры!I463="","",Квартиры!I463)</f>
        <v/>
      </c>
      <c r="J465">
        <f>IF(Квартиры!J463="","",Квартиры!J463)</f>
        <v/>
      </c>
    </row>
    <row r="466">
      <c r="A466">
        <f>IF(Квартиры!A464="","",Квартиры!A464)</f>
        <v/>
      </c>
      <c r="B466">
        <f>IF(Квартиры!B464="","",Квартиры!B464)</f>
        <v/>
      </c>
      <c r="C466">
        <f>IF(Квартиры!C464="","",Квартиры!C464)</f>
        <v/>
      </c>
      <c r="D466">
        <f>IF(Квартиры!D464="","",Квартиры!D464)</f>
        <v/>
      </c>
      <c r="E466">
        <f>IF(Квартиры!G464="","",Квартиры!G464)</f>
        <v/>
      </c>
      <c r="F466">
        <f>IF(Квартиры!E464="","",Квартиры!E464)</f>
        <v/>
      </c>
      <c r="G466">
        <f>IF(Квартиры!F464="","",Квартиры!F464)</f>
        <v/>
      </c>
      <c r="H466">
        <f>IF(Квартиры!H464="","",Квартиры!H464)</f>
        <v/>
      </c>
      <c r="I466">
        <f>IF(Квартиры!I464="","",Квартиры!I464)</f>
        <v/>
      </c>
      <c r="J466">
        <f>IF(Квартиры!J464="","",Квартиры!J464)</f>
        <v/>
      </c>
    </row>
    <row r="467">
      <c r="A467">
        <f>IF(Квартиры!A465="","",Квартиры!A465)</f>
        <v/>
      </c>
      <c r="B467">
        <f>IF(Квартиры!B465="","",Квартиры!B465)</f>
        <v/>
      </c>
      <c r="C467">
        <f>IF(Квартиры!C465="","",Квартиры!C465)</f>
        <v/>
      </c>
      <c r="D467">
        <f>IF(Квартиры!D465="","",Квартиры!D465)</f>
        <v/>
      </c>
      <c r="E467">
        <f>IF(Квартиры!G465="","",Квартиры!G465)</f>
        <v/>
      </c>
      <c r="F467">
        <f>IF(Квартиры!E465="","",Квартиры!E465)</f>
        <v/>
      </c>
      <c r="G467">
        <f>IF(Квартиры!F465="","",Квартиры!F465)</f>
        <v/>
      </c>
      <c r="H467">
        <f>IF(Квартиры!H465="","",Квартиры!H465)</f>
        <v/>
      </c>
      <c r="I467">
        <f>IF(Квартиры!I465="","",Квартиры!I465)</f>
        <v/>
      </c>
      <c r="J467">
        <f>IF(Квартиры!J465="","",Квартиры!J465)</f>
        <v/>
      </c>
    </row>
    <row r="468">
      <c r="A468">
        <f>IF(Квартиры!A466="","",Квартиры!A466)</f>
        <v/>
      </c>
      <c r="B468">
        <f>IF(Квартиры!B466="","",Квартиры!B466)</f>
        <v/>
      </c>
      <c r="C468">
        <f>IF(Квартиры!C466="","",Квартиры!C466)</f>
        <v/>
      </c>
      <c r="D468">
        <f>IF(Квартиры!D466="","",Квартиры!D466)</f>
        <v/>
      </c>
      <c r="E468">
        <f>IF(Квартиры!G466="","",Квартиры!G466)</f>
        <v/>
      </c>
      <c r="F468">
        <f>IF(Квартиры!E466="","",Квартиры!E466)</f>
        <v/>
      </c>
      <c r="G468">
        <f>IF(Квартиры!F466="","",Квартиры!F466)</f>
        <v/>
      </c>
      <c r="H468">
        <f>IF(Квартиры!H466="","",Квартиры!H466)</f>
        <v/>
      </c>
      <c r="I468">
        <f>IF(Квартиры!I466="","",Квартиры!I466)</f>
        <v/>
      </c>
      <c r="J468">
        <f>IF(Квартиры!J466="","",Квартиры!J466)</f>
        <v/>
      </c>
    </row>
    <row r="469">
      <c r="A469">
        <f>IF(Квартиры!A467="","",Квартиры!A467)</f>
        <v/>
      </c>
      <c r="B469">
        <f>IF(Квартиры!B467="","",Квартиры!B467)</f>
        <v/>
      </c>
      <c r="C469">
        <f>IF(Квартиры!C467="","",Квартиры!C467)</f>
        <v/>
      </c>
      <c r="D469">
        <f>IF(Квартиры!D467="","",Квартиры!D467)</f>
        <v/>
      </c>
      <c r="E469">
        <f>IF(Квартиры!G467="","",Квартиры!G467)</f>
        <v/>
      </c>
      <c r="F469">
        <f>IF(Квартиры!E467="","",Квартиры!E467)</f>
        <v/>
      </c>
      <c r="G469">
        <f>IF(Квартиры!F467="","",Квартиры!F467)</f>
        <v/>
      </c>
      <c r="H469">
        <f>IF(Квартиры!H467="","",Квартиры!H467)</f>
        <v/>
      </c>
      <c r="I469">
        <f>IF(Квартиры!I467="","",Квартиры!I467)</f>
        <v/>
      </c>
      <c r="J469">
        <f>IF(Квартиры!J467="","",Квартиры!J467)</f>
        <v/>
      </c>
    </row>
    <row r="470">
      <c r="A470">
        <f>IF(Квартиры!A468="","",Квартиры!A468)</f>
        <v/>
      </c>
      <c r="B470">
        <f>IF(Квартиры!B468="","",Квартиры!B468)</f>
        <v/>
      </c>
      <c r="C470">
        <f>IF(Квартиры!C468="","",Квартиры!C468)</f>
        <v/>
      </c>
      <c r="D470">
        <f>IF(Квартиры!D468="","",Квартиры!D468)</f>
        <v/>
      </c>
      <c r="E470">
        <f>IF(Квартиры!G468="","",Квартиры!G468)</f>
        <v/>
      </c>
      <c r="F470">
        <f>IF(Квартиры!E468="","",Квартиры!E468)</f>
        <v/>
      </c>
      <c r="G470">
        <f>IF(Квартиры!F468="","",Квартиры!F468)</f>
        <v/>
      </c>
      <c r="H470">
        <f>IF(Квартиры!H468="","",Квартиры!H468)</f>
        <v/>
      </c>
      <c r="I470">
        <f>IF(Квартиры!I468="","",Квартиры!I468)</f>
        <v/>
      </c>
      <c r="J470">
        <f>IF(Квартиры!J468="","",Квартиры!J468)</f>
        <v/>
      </c>
    </row>
    <row r="471">
      <c r="A471">
        <f>IF(Квартиры!A469="","",Квартиры!A469)</f>
        <v/>
      </c>
      <c r="B471">
        <f>IF(Квартиры!B469="","",Квартиры!B469)</f>
        <v/>
      </c>
      <c r="C471">
        <f>IF(Квартиры!C469="","",Квартиры!C469)</f>
        <v/>
      </c>
      <c r="D471">
        <f>IF(Квартиры!D469="","",Квартиры!D469)</f>
        <v/>
      </c>
      <c r="E471">
        <f>IF(Квартиры!G469="","",Квартиры!G469)</f>
        <v/>
      </c>
      <c r="F471">
        <f>IF(Квартиры!E469="","",Квартиры!E469)</f>
        <v/>
      </c>
      <c r="G471">
        <f>IF(Квартиры!F469="","",Квартиры!F469)</f>
        <v/>
      </c>
      <c r="H471">
        <f>IF(Квартиры!H469="","",Квартиры!H469)</f>
        <v/>
      </c>
      <c r="I471">
        <f>IF(Квартиры!I469="","",Квартиры!I469)</f>
        <v/>
      </c>
      <c r="J471">
        <f>IF(Квартиры!J469="","",Квартиры!J469)</f>
        <v/>
      </c>
    </row>
    <row r="472">
      <c r="A472">
        <f>IF(Квартиры!A470="","",Квартиры!A470)</f>
        <v/>
      </c>
      <c r="B472">
        <f>IF(Квартиры!B470="","",Квартиры!B470)</f>
        <v/>
      </c>
      <c r="C472">
        <f>IF(Квартиры!C470="","",Квартиры!C470)</f>
        <v/>
      </c>
      <c r="D472">
        <f>IF(Квартиры!D470="","",Квартиры!D470)</f>
        <v/>
      </c>
      <c r="E472">
        <f>IF(Квартиры!G470="","",Квартиры!G470)</f>
        <v/>
      </c>
      <c r="F472">
        <f>IF(Квартиры!E470="","",Квартиры!E470)</f>
        <v/>
      </c>
      <c r="G472">
        <f>IF(Квартиры!F470="","",Квартиры!F470)</f>
        <v/>
      </c>
      <c r="H472">
        <f>IF(Квартиры!H470="","",Квартиры!H470)</f>
        <v/>
      </c>
      <c r="I472">
        <f>IF(Квартиры!I470="","",Квартиры!I470)</f>
        <v/>
      </c>
      <c r="J472">
        <f>IF(Квартиры!J470="","",Квартиры!J470)</f>
        <v/>
      </c>
    </row>
    <row r="473">
      <c r="A473">
        <f>IF(Квартиры!A471="","",Квартиры!A471)</f>
        <v/>
      </c>
      <c r="B473">
        <f>IF(Квартиры!B471="","",Квартиры!B471)</f>
        <v/>
      </c>
      <c r="C473">
        <f>IF(Квартиры!C471="","",Квартиры!C471)</f>
        <v/>
      </c>
      <c r="D473">
        <f>IF(Квартиры!D471="","",Квартиры!D471)</f>
        <v/>
      </c>
      <c r="E473">
        <f>IF(Квартиры!G471="","",Квартиры!G471)</f>
        <v/>
      </c>
      <c r="F473">
        <f>IF(Квартиры!E471="","",Квартиры!E471)</f>
        <v/>
      </c>
      <c r="G473">
        <f>IF(Квартиры!F471="","",Квартиры!F471)</f>
        <v/>
      </c>
      <c r="H473">
        <f>IF(Квартиры!H471="","",Квартиры!H471)</f>
        <v/>
      </c>
      <c r="I473">
        <f>IF(Квартиры!I471="","",Квартиры!I471)</f>
        <v/>
      </c>
      <c r="J473">
        <f>IF(Квартиры!J471="","",Квартиры!J471)</f>
        <v/>
      </c>
    </row>
    <row r="474">
      <c r="A474">
        <f>IF(Квартиры!A472="","",Квартиры!A472)</f>
        <v/>
      </c>
      <c r="B474">
        <f>IF(Квартиры!B472="","",Квартиры!B472)</f>
        <v/>
      </c>
      <c r="C474">
        <f>IF(Квартиры!C472="","",Квартиры!C472)</f>
        <v/>
      </c>
      <c r="D474">
        <f>IF(Квартиры!D472="","",Квартиры!D472)</f>
        <v/>
      </c>
      <c r="E474">
        <f>IF(Квартиры!G472="","",Квартиры!G472)</f>
        <v/>
      </c>
      <c r="F474">
        <f>IF(Квартиры!E472="","",Квартиры!E472)</f>
        <v/>
      </c>
      <c r="G474">
        <f>IF(Квартиры!F472="","",Квартиры!F472)</f>
        <v/>
      </c>
      <c r="H474">
        <f>IF(Квартиры!H472="","",Квартиры!H472)</f>
        <v/>
      </c>
      <c r="I474">
        <f>IF(Квартиры!I472="","",Квартиры!I472)</f>
        <v/>
      </c>
      <c r="J474">
        <f>IF(Квартиры!J472="","",Квартиры!J472)</f>
        <v/>
      </c>
    </row>
    <row r="475">
      <c r="A475">
        <f>IF(Квартиры!A473="","",Квартиры!A473)</f>
        <v/>
      </c>
      <c r="B475">
        <f>IF(Квартиры!B473="","",Квартиры!B473)</f>
        <v/>
      </c>
      <c r="C475">
        <f>IF(Квартиры!C473="","",Квартиры!C473)</f>
        <v/>
      </c>
      <c r="D475">
        <f>IF(Квартиры!D473="","",Квартиры!D473)</f>
        <v/>
      </c>
      <c r="E475">
        <f>IF(Квартиры!G473="","",Квартиры!G473)</f>
        <v/>
      </c>
      <c r="F475">
        <f>IF(Квартиры!E473="","",Квартиры!E473)</f>
        <v/>
      </c>
      <c r="G475">
        <f>IF(Квартиры!F473="","",Квартиры!F473)</f>
        <v/>
      </c>
      <c r="H475">
        <f>IF(Квартиры!H473="","",Квартиры!H473)</f>
        <v/>
      </c>
      <c r="I475">
        <f>IF(Квартиры!I473="","",Квартиры!I473)</f>
        <v/>
      </c>
      <c r="J475">
        <f>IF(Квартиры!J473="","",Квартиры!J473)</f>
        <v/>
      </c>
    </row>
    <row r="476">
      <c r="A476">
        <f>IF(Квартиры!A474="","",Квартиры!A474)</f>
        <v/>
      </c>
      <c r="B476">
        <f>IF(Квартиры!B474="","",Квартиры!B474)</f>
        <v/>
      </c>
      <c r="C476">
        <f>IF(Квартиры!C474="","",Квартиры!C474)</f>
        <v/>
      </c>
      <c r="D476">
        <f>IF(Квартиры!D474="","",Квартиры!D474)</f>
        <v/>
      </c>
      <c r="E476">
        <f>IF(Квартиры!G474="","",Квартиры!G474)</f>
        <v/>
      </c>
      <c r="F476">
        <f>IF(Квартиры!E474="","",Квартиры!E474)</f>
        <v/>
      </c>
      <c r="G476">
        <f>IF(Квартиры!F474="","",Квартиры!F474)</f>
        <v/>
      </c>
      <c r="H476">
        <f>IF(Квартиры!H474="","",Квартиры!H474)</f>
        <v/>
      </c>
      <c r="I476">
        <f>IF(Квартиры!I474="","",Квартиры!I474)</f>
        <v/>
      </c>
      <c r="J476">
        <f>IF(Квартиры!J474="","",Квартиры!J474)</f>
        <v/>
      </c>
    </row>
    <row r="477">
      <c r="A477">
        <f>IF(Квартиры!A475="","",Квартиры!A475)</f>
        <v/>
      </c>
      <c r="B477">
        <f>IF(Квартиры!B475="","",Квартиры!B475)</f>
        <v/>
      </c>
      <c r="C477">
        <f>IF(Квартиры!C475="","",Квартиры!C475)</f>
        <v/>
      </c>
      <c r="D477">
        <f>IF(Квартиры!D475="","",Квартиры!D475)</f>
        <v/>
      </c>
      <c r="E477">
        <f>IF(Квартиры!G475="","",Квартиры!G475)</f>
        <v/>
      </c>
      <c r="F477">
        <f>IF(Квартиры!E475="","",Квартиры!E475)</f>
        <v/>
      </c>
      <c r="G477">
        <f>IF(Квартиры!F475="","",Квартиры!F475)</f>
        <v/>
      </c>
      <c r="H477">
        <f>IF(Квартиры!H475="","",Квартиры!H475)</f>
        <v/>
      </c>
      <c r="I477">
        <f>IF(Квартиры!I475="","",Квартиры!I475)</f>
        <v/>
      </c>
      <c r="J477">
        <f>IF(Квартиры!J475="","",Квартиры!J475)</f>
        <v/>
      </c>
    </row>
    <row r="478">
      <c r="A478">
        <f>IF(Квартиры!A476="","",Квартиры!A476)</f>
        <v/>
      </c>
      <c r="B478">
        <f>IF(Квартиры!B476="","",Квартиры!B476)</f>
        <v/>
      </c>
      <c r="C478">
        <f>IF(Квартиры!C476="","",Квартиры!C476)</f>
        <v/>
      </c>
      <c r="D478">
        <f>IF(Квартиры!D476="","",Квартиры!D476)</f>
        <v/>
      </c>
      <c r="E478">
        <f>IF(Квартиры!G476="","",Квартиры!G476)</f>
        <v/>
      </c>
      <c r="F478">
        <f>IF(Квартиры!E476="","",Квартиры!E476)</f>
        <v/>
      </c>
      <c r="G478">
        <f>IF(Квартиры!F476="","",Квартиры!F476)</f>
        <v/>
      </c>
      <c r="H478">
        <f>IF(Квартиры!H476="","",Квартиры!H476)</f>
        <v/>
      </c>
      <c r="I478">
        <f>IF(Квартиры!I476="","",Квартиры!I476)</f>
        <v/>
      </c>
      <c r="J478">
        <f>IF(Квартиры!J476="","",Квартиры!J476)</f>
        <v/>
      </c>
    </row>
    <row r="479">
      <c r="A479">
        <f>IF(Квартиры!A477="","",Квартиры!A477)</f>
        <v/>
      </c>
      <c r="B479">
        <f>IF(Квартиры!B477="","",Квартиры!B477)</f>
        <v/>
      </c>
      <c r="C479">
        <f>IF(Квартиры!C477="","",Квартиры!C477)</f>
        <v/>
      </c>
      <c r="D479">
        <f>IF(Квартиры!D477="","",Квартиры!D477)</f>
        <v/>
      </c>
      <c r="E479">
        <f>IF(Квартиры!G477="","",Квартиры!G477)</f>
        <v/>
      </c>
      <c r="F479">
        <f>IF(Квартиры!E477="","",Квартиры!E477)</f>
        <v/>
      </c>
      <c r="G479">
        <f>IF(Квартиры!F477="","",Квартиры!F477)</f>
        <v/>
      </c>
      <c r="H479">
        <f>IF(Квартиры!H477="","",Квартиры!H477)</f>
        <v/>
      </c>
      <c r="I479">
        <f>IF(Квартиры!I477="","",Квартиры!I477)</f>
        <v/>
      </c>
      <c r="J479">
        <f>IF(Квартиры!J477="","",Квартиры!J477)</f>
        <v/>
      </c>
    </row>
    <row r="480">
      <c r="A480">
        <f>IF(Квартиры!A478="","",Квартиры!A478)</f>
        <v/>
      </c>
      <c r="B480">
        <f>IF(Квартиры!B478="","",Квартиры!B478)</f>
        <v/>
      </c>
      <c r="C480">
        <f>IF(Квартиры!C478="","",Квартиры!C478)</f>
        <v/>
      </c>
      <c r="D480">
        <f>IF(Квартиры!D478="","",Квартиры!D478)</f>
        <v/>
      </c>
      <c r="E480">
        <f>IF(Квартиры!G478="","",Квартиры!G478)</f>
        <v/>
      </c>
      <c r="F480">
        <f>IF(Квартиры!E478="","",Квартиры!E478)</f>
        <v/>
      </c>
      <c r="G480">
        <f>IF(Квартиры!F478="","",Квартиры!F478)</f>
        <v/>
      </c>
      <c r="H480">
        <f>IF(Квартиры!H478="","",Квартиры!H478)</f>
        <v/>
      </c>
      <c r="I480">
        <f>IF(Квартиры!I478="","",Квартиры!I478)</f>
        <v/>
      </c>
      <c r="J480">
        <f>IF(Квартиры!J478="","",Квартиры!J478)</f>
        <v/>
      </c>
    </row>
    <row r="481">
      <c r="A481">
        <f>IF(Квартиры!A479="","",Квартиры!A479)</f>
        <v/>
      </c>
      <c r="B481">
        <f>IF(Квартиры!B479="","",Квартиры!B479)</f>
        <v/>
      </c>
      <c r="C481">
        <f>IF(Квартиры!C479="","",Квартиры!C479)</f>
        <v/>
      </c>
      <c r="D481">
        <f>IF(Квартиры!D479="","",Квартиры!D479)</f>
        <v/>
      </c>
      <c r="E481">
        <f>IF(Квартиры!G479="","",Квартиры!G479)</f>
        <v/>
      </c>
      <c r="F481">
        <f>IF(Квартиры!E479="","",Квартиры!E479)</f>
        <v/>
      </c>
      <c r="G481">
        <f>IF(Квартиры!F479="","",Квартиры!F479)</f>
        <v/>
      </c>
      <c r="H481">
        <f>IF(Квартиры!H479="","",Квартиры!H479)</f>
        <v/>
      </c>
      <c r="I481">
        <f>IF(Квартиры!I479="","",Квартиры!I479)</f>
        <v/>
      </c>
      <c r="J481">
        <f>IF(Квартиры!J479="","",Квартиры!J479)</f>
        <v/>
      </c>
    </row>
    <row r="482">
      <c r="A482">
        <f>IF(Квартиры!A480="","",Квартиры!A480)</f>
        <v/>
      </c>
      <c r="B482">
        <f>IF(Квартиры!B480="","",Квартиры!B480)</f>
        <v/>
      </c>
      <c r="C482">
        <f>IF(Квартиры!C480="","",Квартиры!C480)</f>
        <v/>
      </c>
      <c r="D482">
        <f>IF(Квартиры!D480="","",Квартиры!D480)</f>
        <v/>
      </c>
      <c r="E482">
        <f>IF(Квартиры!G480="","",Квартиры!G480)</f>
        <v/>
      </c>
      <c r="F482">
        <f>IF(Квартиры!E480="","",Квартиры!E480)</f>
        <v/>
      </c>
      <c r="G482">
        <f>IF(Квартиры!F480="","",Квартиры!F480)</f>
        <v/>
      </c>
      <c r="H482">
        <f>IF(Квартиры!H480="","",Квартиры!H480)</f>
        <v/>
      </c>
      <c r="I482">
        <f>IF(Квартиры!I480="","",Квартиры!I480)</f>
        <v/>
      </c>
      <c r="J482">
        <f>IF(Квартиры!J480="","",Квартиры!J480)</f>
        <v/>
      </c>
    </row>
    <row r="483">
      <c r="A483">
        <f>IF(Квартиры!A481="","",Квартиры!A481)</f>
        <v/>
      </c>
      <c r="B483">
        <f>IF(Квартиры!B481="","",Квартиры!B481)</f>
        <v/>
      </c>
      <c r="C483">
        <f>IF(Квартиры!C481="","",Квартиры!C481)</f>
        <v/>
      </c>
      <c r="D483">
        <f>IF(Квартиры!D481="","",Квартиры!D481)</f>
        <v/>
      </c>
      <c r="E483">
        <f>IF(Квартиры!G481="","",Квартиры!G481)</f>
        <v/>
      </c>
      <c r="F483">
        <f>IF(Квартиры!E481="","",Квартиры!E481)</f>
        <v/>
      </c>
      <c r="G483">
        <f>IF(Квартиры!F481="","",Квартиры!F481)</f>
        <v/>
      </c>
      <c r="H483">
        <f>IF(Квартиры!H481="","",Квартиры!H481)</f>
        <v/>
      </c>
      <c r="I483">
        <f>IF(Квартиры!I481="","",Квартиры!I481)</f>
        <v/>
      </c>
      <c r="J483">
        <f>IF(Квартиры!J481="","",Квартиры!J481)</f>
        <v/>
      </c>
    </row>
    <row r="484">
      <c r="A484">
        <f>IF(Квартиры!A482="","",Квартиры!A482)</f>
        <v/>
      </c>
      <c r="B484">
        <f>IF(Квартиры!B482="","",Квартиры!B482)</f>
        <v/>
      </c>
      <c r="C484">
        <f>IF(Квартиры!C482="","",Квартиры!C482)</f>
        <v/>
      </c>
      <c r="D484">
        <f>IF(Квартиры!D482="","",Квартиры!D482)</f>
        <v/>
      </c>
      <c r="E484">
        <f>IF(Квартиры!G482="","",Квартиры!G482)</f>
        <v/>
      </c>
      <c r="F484">
        <f>IF(Квартиры!E482="","",Квартиры!E482)</f>
        <v/>
      </c>
      <c r="G484">
        <f>IF(Квартиры!F482="","",Квартиры!F482)</f>
        <v/>
      </c>
      <c r="H484">
        <f>IF(Квартиры!H482="","",Квартиры!H482)</f>
        <v/>
      </c>
      <c r="I484">
        <f>IF(Квартиры!I482="","",Квартиры!I482)</f>
        <v/>
      </c>
      <c r="J484">
        <f>IF(Квартиры!J482="","",Квартиры!J482)</f>
        <v/>
      </c>
    </row>
    <row r="485">
      <c r="A485">
        <f>IF(Квартиры!A483="","",Квартиры!A483)</f>
        <v/>
      </c>
      <c r="B485">
        <f>IF(Квартиры!B483="","",Квартиры!B483)</f>
        <v/>
      </c>
      <c r="C485">
        <f>IF(Квартиры!C483="","",Квартиры!C483)</f>
        <v/>
      </c>
      <c r="D485">
        <f>IF(Квартиры!D483="","",Квартиры!D483)</f>
        <v/>
      </c>
      <c r="E485">
        <f>IF(Квартиры!G483="","",Квартиры!G483)</f>
        <v/>
      </c>
      <c r="F485">
        <f>IF(Квартиры!E483="","",Квартиры!E483)</f>
        <v/>
      </c>
      <c r="G485">
        <f>IF(Квартиры!F483="","",Квартиры!F483)</f>
        <v/>
      </c>
      <c r="H485">
        <f>IF(Квартиры!H483="","",Квартиры!H483)</f>
        <v/>
      </c>
      <c r="I485">
        <f>IF(Квартиры!I483="","",Квартиры!I483)</f>
        <v/>
      </c>
      <c r="J485">
        <f>IF(Квартиры!J483="","",Квартиры!J483)</f>
        <v/>
      </c>
    </row>
    <row r="486">
      <c r="A486">
        <f>IF(Квартиры!A484="","",Квартиры!A484)</f>
        <v/>
      </c>
      <c r="B486">
        <f>IF(Квартиры!B484="","",Квартиры!B484)</f>
        <v/>
      </c>
      <c r="C486">
        <f>IF(Квартиры!C484="","",Квартиры!C484)</f>
        <v/>
      </c>
      <c r="D486">
        <f>IF(Квартиры!D484="","",Квартиры!D484)</f>
        <v/>
      </c>
      <c r="E486">
        <f>IF(Квартиры!G484="","",Квартиры!G484)</f>
        <v/>
      </c>
      <c r="F486">
        <f>IF(Квартиры!E484="","",Квартиры!E484)</f>
        <v/>
      </c>
      <c r="G486">
        <f>IF(Квартиры!F484="","",Квартиры!F484)</f>
        <v/>
      </c>
      <c r="H486">
        <f>IF(Квартиры!H484="","",Квартиры!H484)</f>
        <v/>
      </c>
      <c r="I486">
        <f>IF(Квартиры!I484="","",Квартиры!I484)</f>
        <v/>
      </c>
      <c r="J486">
        <f>IF(Квартиры!J484="","",Квартиры!J484)</f>
        <v/>
      </c>
    </row>
    <row r="487">
      <c r="A487">
        <f>IF(Квартиры!A485="","",Квартиры!A485)</f>
        <v/>
      </c>
      <c r="B487">
        <f>IF(Квартиры!B485="","",Квартиры!B485)</f>
        <v/>
      </c>
      <c r="C487">
        <f>IF(Квартиры!C485="","",Квартиры!C485)</f>
        <v/>
      </c>
      <c r="D487">
        <f>IF(Квартиры!D485="","",Квартиры!D485)</f>
        <v/>
      </c>
      <c r="E487">
        <f>IF(Квартиры!G485="","",Квартиры!G485)</f>
        <v/>
      </c>
      <c r="F487">
        <f>IF(Квартиры!E485="","",Квартиры!E485)</f>
        <v/>
      </c>
      <c r="G487">
        <f>IF(Квартиры!F485="","",Квартиры!F485)</f>
        <v/>
      </c>
      <c r="H487">
        <f>IF(Квартиры!H485="","",Квартиры!H485)</f>
        <v/>
      </c>
      <c r="I487">
        <f>IF(Квартиры!I485="","",Квартиры!I485)</f>
        <v/>
      </c>
      <c r="J487">
        <f>IF(Квартиры!J485="","",Квартиры!J485)</f>
        <v/>
      </c>
    </row>
    <row r="488">
      <c r="A488">
        <f>IF(Квартиры!A486="","",Квартиры!A486)</f>
        <v/>
      </c>
      <c r="B488">
        <f>IF(Квартиры!B486="","",Квартиры!B486)</f>
        <v/>
      </c>
      <c r="C488">
        <f>IF(Квартиры!C486="","",Квартиры!C486)</f>
        <v/>
      </c>
      <c r="D488">
        <f>IF(Квартиры!D486="","",Квартиры!D486)</f>
        <v/>
      </c>
      <c r="E488">
        <f>IF(Квартиры!G486="","",Квартиры!G486)</f>
        <v/>
      </c>
      <c r="F488">
        <f>IF(Квартиры!E486="","",Квартиры!E486)</f>
        <v/>
      </c>
      <c r="G488">
        <f>IF(Квартиры!F486="","",Квартиры!F486)</f>
        <v/>
      </c>
      <c r="H488">
        <f>IF(Квартиры!H486="","",Квартиры!H486)</f>
        <v/>
      </c>
      <c r="I488">
        <f>IF(Квартиры!I486="","",Квартиры!I486)</f>
        <v/>
      </c>
      <c r="J488">
        <f>IF(Квартиры!J486="","",Квартиры!J486)</f>
        <v/>
      </c>
    </row>
    <row r="489">
      <c r="A489">
        <f>IF(Квартиры!A487="","",Квартиры!A487)</f>
        <v/>
      </c>
      <c r="B489">
        <f>IF(Квартиры!B487="","",Квартиры!B487)</f>
        <v/>
      </c>
      <c r="C489">
        <f>IF(Квартиры!C487="","",Квартиры!C487)</f>
        <v/>
      </c>
      <c r="D489">
        <f>IF(Квартиры!D487="","",Квартиры!D487)</f>
        <v/>
      </c>
      <c r="E489">
        <f>IF(Квартиры!G487="","",Квартиры!G487)</f>
        <v/>
      </c>
      <c r="F489">
        <f>IF(Квартиры!E487="","",Квартиры!E487)</f>
        <v/>
      </c>
      <c r="G489">
        <f>IF(Квартиры!F487="","",Квартиры!F487)</f>
        <v/>
      </c>
      <c r="H489">
        <f>IF(Квартиры!H487="","",Квартиры!H487)</f>
        <v/>
      </c>
      <c r="I489">
        <f>IF(Квартиры!I487="","",Квартиры!I487)</f>
        <v/>
      </c>
      <c r="J489">
        <f>IF(Квартиры!J487="","",Квартиры!J487)</f>
        <v/>
      </c>
    </row>
    <row r="490">
      <c r="A490">
        <f>IF(Квартиры!A488="","",Квартиры!A488)</f>
        <v/>
      </c>
      <c r="B490">
        <f>IF(Квартиры!B488="","",Квартиры!B488)</f>
        <v/>
      </c>
      <c r="C490">
        <f>IF(Квартиры!C488="","",Квартиры!C488)</f>
        <v/>
      </c>
      <c r="D490">
        <f>IF(Квартиры!D488="","",Квартиры!D488)</f>
        <v/>
      </c>
      <c r="E490">
        <f>IF(Квартиры!G488="","",Квартиры!G488)</f>
        <v/>
      </c>
      <c r="F490">
        <f>IF(Квартиры!E488="","",Квартиры!E488)</f>
        <v/>
      </c>
      <c r="G490">
        <f>IF(Квартиры!F488="","",Квартиры!F488)</f>
        <v/>
      </c>
      <c r="H490">
        <f>IF(Квартиры!H488="","",Квартиры!H488)</f>
        <v/>
      </c>
      <c r="I490">
        <f>IF(Квартиры!I488="","",Квартиры!I488)</f>
        <v/>
      </c>
      <c r="J490">
        <f>IF(Квартиры!J488="","",Квартиры!J488)</f>
        <v/>
      </c>
    </row>
    <row r="491">
      <c r="A491">
        <f>IF(Квартиры!A489="","",Квартиры!A489)</f>
        <v/>
      </c>
      <c r="B491">
        <f>IF(Квартиры!B489="","",Квартиры!B489)</f>
        <v/>
      </c>
      <c r="C491">
        <f>IF(Квартиры!C489="","",Квартиры!C489)</f>
        <v/>
      </c>
      <c r="D491">
        <f>IF(Квартиры!D489="","",Квартиры!D489)</f>
        <v/>
      </c>
      <c r="E491">
        <f>IF(Квартиры!G489="","",Квартиры!G489)</f>
        <v/>
      </c>
      <c r="F491">
        <f>IF(Квартиры!E489="","",Квартиры!E489)</f>
        <v/>
      </c>
      <c r="G491">
        <f>IF(Квартиры!F489="","",Квартиры!F489)</f>
        <v/>
      </c>
      <c r="H491">
        <f>IF(Квартиры!H489="","",Квартиры!H489)</f>
        <v/>
      </c>
      <c r="I491">
        <f>IF(Квартиры!I489="","",Квартиры!I489)</f>
        <v/>
      </c>
      <c r="J491">
        <f>IF(Квартиры!J489="","",Квартиры!J489)</f>
        <v/>
      </c>
    </row>
    <row r="492">
      <c r="A492">
        <f>IF(Квартиры!A490="","",Квартиры!A490)</f>
        <v/>
      </c>
      <c r="B492">
        <f>IF(Квартиры!B490="","",Квартиры!B490)</f>
        <v/>
      </c>
      <c r="C492">
        <f>IF(Квартиры!C490="","",Квартиры!C490)</f>
        <v/>
      </c>
      <c r="D492">
        <f>IF(Квартиры!D490="","",Квартиры!D490)</f>
        <v/>
      </c>
      <c r="E492">
        <f>IF(Квартиры!G490="","",Квартиры!G490)</f>
        <v/>
      </c>
      <c r="F492">
        <f>IF(Квартиры!E490="","",Квартиры!E490)</f>
        <v/>
      </c>
      <c r="G492">
        <f>IF(Квартиры!F490="","",Квартиры!F490)</f>
        <v/>
      </c>
      <c r="H492">
        <f>IF(Квартиры!H490="","",Квартиры!H490)</f>
        <v/>
      </c>
      <c r="I492">
        <f>IF(Квартиры!I490="","",Квартиры!I490)</f>
        <v/>
      </c>
      <c r="J492">
        <f>IF(Квартиры!J490="","",Квартиры!J490)</f>
        <v/>
      </c>
    </row>
    <row r="493">
      <c r="A493">
        <f>IF(Квартиры!A491="","",Квартиры!A491)</f>
        <v/>
      </c>
      <c r="B493">
        <f>IF(Квартиры!B491="","",Квартиры!B491)</f>
        <v/>
      </c>
      <c r="C493">
        <f>IF(Квартиры!C491="","",Квартиры!C491)</f>
        <v/>
      </c>
      <c r="D493">
        <f>IF(Квартиры!D491="","",Квартиры!D491)</f>
        <v/>
      </c>
      <c r="E493">
        <f>IF(Квартиры!G491="","",Квартиры!G491)</f>
        <v/>
      </c>
      <c r="F493">
        <f>IF(Квартиры!E491="","",Квартиры!E491)</f>
        <v/>
      </c>
      <c r="G493">
        <f>IF(Квартиры!F491="","",Квартиры!F491)</f>
        <v/>
      </c>
      <c r="H493">
        <f>IF(Квартиры!H491="","",Квартиры!H491)</f>
        <v/>
      </c>
      <c r="I493">
        <f>IF(Квартиры!I491="","",Квартиры!I491)</f>
        <v/>
      </c>
      <c r="J493">
        <f>IF(Квартиры!J491="","",Квартиры!J491)</f>
        <v/>
      </c>
    </row>
    <row r="494">
      <c r="A494">
        <f>IF(Квартиры!A492="","",Квартиры!A492)</f>
        <v/>
      </c>
      <c r="B494">
        <f>IF(Квартиры!B492="","",Квартиры!B492)</f>
        <v/>
      </c>
      <c r="C494">
        <f>IF(Квартиры!C492="","",Квартиры!C492)</f>
        <v/>
      </c>
      <c r="D494">
        <f>IF(Квартиры!D492="","",Квартиры!D492)</f>
        <v/>
      </c>
      <c r="E494">
        <f>IF(Квартиры!G492="","",Квартиры!G492)</f>
        <v/>
      </c>
      <c r="F494">
        <f>IF(Квартиры!E492="","",Квартиры!E492)</f>
        <v/>
      </c>
      <c r="G494">
        <f>IF(Квартиры!F492="","",Квартиры!F492)</f>
        <v/>
      </c>
      <c r="H494">
        <f>IF(Квартиры!H492="","",Квартиры!H492)</f>
        <v/>
      </c>
      <c r="I494">
        <f>IF(Квартиры!I492="","",Квартиры!I492)</f>
        <v/>
      </c>
      <c r="J494">
        <f>IF(Квартиры!J492="","",Квартиры!J492)</f>
        <v/>
      </c>
    </row>
    <row r="495">
      <c r="A495">
        <f>IF(Квартиры!A493="","",Квартиры!A493)</f>
        <v/>
      </c>
      <c r="B495">
        <f>IF(Квартиры!B493="","",Квартиры!B493)</f>
        <v/>
      </c>
      <c r="C495">
        <f>IF(Квартиры!C493="","",Квартиры!C493)</f>
        <v/>
      </c>
      <c r="D495">
        <f>IF(Квартиры!D493="","",Квартиры!D493)</f>
        <v/>
      </c>
      <c r="E495">
        <f>IF(Квартиры!G493="","",Квартиры!G493)</f>
        <v/>
      </c>
      <c r="F495">
        <f>IF(Квартиры!E493="","",Квартиры!E493)</f>
        <v/>
      </c>
      <c r="G495">
        <f>IF(Квартиры!F493="","",Квартиры!F493)</f>
        <v/>
      </c>
      <c r="H495">
        <f>IF(Квартиры!H493="","",Квартиры!H493)</f>
        <v/>
      </c>
      <c r="I495">
        <f>IF(Квартиры!I493="","",Квартиры!I493)</f>
        <v/>
      </c>
      <c r="J495">
        <f>IF(Квартиры!J493="","",Квартиры!J493)</f>
        <v/>
      </c>
    </row>
    <row r="496">
      <c r="A496">
        <f>IF(Квартиры!A494="","",Квартиры!A494)</f>
        <v/>
      </c>
      <c r="B496">
        <f>IF(Квартиры!B494="","",Квартиры!B494)</f>
        <v/>
      </c>
      <c r="C496">
        <f>IF(Квартиры!C494="","",Квартиры!C494)</f>
        <v/>
      </c>
      <c r="D496">
        <f>IF(Квартиры!D494="","",Квартиры!D494)</f>
        <v/>
      </c>
      <c r="E496">
        <f>IF(Квартиры!G494="","",Квартиры!G494)</f>
        <v/>
      </c>
      <c r="F496">
        <f>IF(Квартиры!E494="","",Квартиры!E494)</f>
        <v/>
      </c>
      <c r="G496">
        <f>IF(Квартиры!F494="","",Квартиры!F494)</f>
        <v/>
      </c>
      <c r="H496">
        <f>IF(Квартиры!H494="","",Квартиры!H494)</f>
        <v/>
      </c>
      <c r="I496">
        <f>IF(Квартиры!I494="","",Квартиры!I494)</f>
        <v/>
      </c>
      <c r="J496">
        <f>IF(Квартиры!J494="","",Квартиры!J494)</f>
        <v/>
      </c>
    </row>
    <row r="497">
      <c r="A497">
        <f>IF(Квартиры!A495="","",Квартиры!A495)</f>
        <v/>
      </c>
      <c r="B497">
        <f>IF(Квартиры!B495="","",Квартиры!B495)</f>
        <v/>
      </c>
      <c r="C497">
        <f>IF(Квартиры!C495="","",Квартиры!C495)</f>
        <v/>
      </c>
      <c r="D497">
        <f>IF(Квартиры!D495="","",Квартиры!D495)</f>
        <v/>
      </c>
      <c r="E497">
        <f>IF(Квартиры!G495="","",Квартиры!G495)</f>
        <v/>
      </c>
      <c r="F497">
        <f>IF(Квартиры!E495="","",Квартиры!E495)</f>
        <v/>
      </c>
      <c r="G497">
        <f>IF(Квартиры!F495="","",Квартиры!F495)</f>
        <v/>
      </c>
      <c r="H497">
        <f>IF(Квартиры!H495="","",Квартиры!H495)</f>
        <v/>
      </c>
      <c r="I497">
        <f>IF(Квартиры!I495="","",Квартиры!I495)</f>
        <v/>
      </c>
      <c r="J497">
        <f>IF(Квартиры!J495="","",Квартиры!J495)</f>
        <v/>
      </c>
    </row>
    <row r="498">
      <c r="A498">
        <f>IF(Квартиры!A496="","",Квартиры!A496)</f>
        <v/>
      </c>
      <c r="B498">
        <f>IF(Квартиры!B496="","",Квартиры!B496)</f>
        <v/>
      </c>
      <c r="C498">
        <f>IF(Квартиры!C496="","",Квартиры!C496)</f>
        <v/>
      </c>
      <c r="D498">
        <f>IF(Квартиры!D496="","",Квартиры!D496)</f>
        <v/>
      </c>
      <c r="E498">
        <f>IF(Квартиры!G496="","",Квартиры!G496)</f>
        <v/>
      </c>
      <c r="F498">
        <f>IF(Квартиры!E496="","",Квартиры!E496)</f>
        <v/>
      </c>
      <c r="G498">
        <f>IF(Квартиры!F496="","",Квартиры!F496)</f>
        <v/>
      </c>
      <c r="H498">
        <f>IF(Квартиры!H496="","",Квартиры!H496)</f>
        <v/>
      </c>
      <c r="I498">
        <f>IF(Квартиры!I496="","",Квартиры!I496)</f>
        <v/>
      </c>
      <c r="J498">
        <f>IF(Квартиры!J496="","",Квартиры!J496)</f>
        <v/>
      </c>
    </row>
    <row r="499">
      <c r="A499">
        <f>IF(Квартиры!A497="","",Квартиры!A497)</f>
        <v/>
      </c>
      <c r="B499">
        <f>IF(Квартиры!B497="","",Квартиры!B497)</f>
        <v/>
      </c>
      <c r="C499">
        <f>IF(Квартиры!C497="","",Квартиры!C497)</f>
        <v/>
      </c>
      <c r="D499">
        <f>IF(Квартиры!D497="","",Квартиры!D497)</f>
        <v/>
      </c>
      <c r="E499">
        <f>IF(Квартиры!G497="","",Квартиры!G497)</f>
        <v/>
      </c>
      <c r="F499">
        <f>IF(Квартиры!E497="","",Квартиры!E497)</f>
        <v/>
      </c>
      <c r="G499">
        <f>IF(Квартиры!F497="","",Квартиры!F497)</f>
        <v/>
      </c>
      <c r="H499">
        <f>IF(Квартиры!H497="","",Квартиры!H497)</f>
        <v/>
      </c>
      <c r="I499">
        <f>IF(Квартиры!I497="","",Квартиры!I497)</f>
        <v/>
      </c>
      <c r="J499">
        <f>IF(Квартиры!J497="","",Квартиры!J497)</f>
        <v/>
      </c>
    </row>
    <row r="500">
      <c r="A500">
        <f>IF(Квартиры!A498="","",Квартиры!A498)</f>
        <v/>
      </c>
      <c r="B500">
        <f>IF(Квартиры!B498="","",Квартиры!B498)</f>
        <v/>
      </c>
      <c r="C500">
        <f>IF(Квартиры!C498="","",Квартиры!C498)</f>
        <v/>
      </c>
      <c r="D500">
        <f>IF(Квартиры!D498="","",Квартиры!D498)</f>
        <v/>
      </c>
      <c r="E500">
        <f>IF(Квартиры!G498="","",Квартиры!G498)</f>
        <v/>
      </c>
      <c r="F500">
        <f>IF(Квартиры!E498="","",Квартиры!E498)</f>
        <v/>
      </c>
      <c r="G500">
        <f>IF(Квартиры!F498="","",Квартиры!F498)</f>
        <v/>
      </c>
      <c r="H500">
        <f>IF(Квартиры!H498="","",Квартиры!H498)</f>
        <v/>
      </c>
      <c r="I500">
        <f>IF(Квартиры!I498="","",Квартиры!I498)</f>
        <v/>
      </c>
      <c r="J500">
        <f>IF(Квартиры!J498="","",Квартиры!J498)</f>
        <v/>
      </c>
    </row>
    <row r="501">
      <c r="A501">
        <f>IF(Квартиры!A499="","",Квартиры!A499)</f>
        <v/>
      </c>
      <c r="B501">
        <f>IF(Квартиры!B499="","",Квартиры!B499)</f>
        <v/>
      </c>
      <c r="C501">
        <f>IF(Квартиры!C499="","",Квартиры!C499)</f>
        <v/>
      </c>
      <c r="D501">
        <f>IF(Квартиры!D499="","",Квартиры!D499)</f>
        <v/>
      </c>
      <c r="E501">
        <f>IF(Квартиры!G499="","",Квартиры!G499)</f>
        <v/>
      </c>
      <c r="F501">
        <f>IF(Квартиры!E499="","",Квартиры!E499)</f>
        <v/>
      </c>
      <c r="G501">
        <f>IF(Квартиры!F499="","",Квартиры!F499)</f>
        <v/>
      </c>
      <c r="H501">
        <f>IF(Квартиры!H499="","",Квартиры!H499)</f>
        <v/>
      </c>
      <c r="I501">
        <f>IF(Квартиры!I499="","",Квартиры!I499)</f>
        <v/>
      </c>
      <c r="J501">
        <f>IF(Квартиры!J499="","",Квартиры!J499)</f>
        <v/>
      </c>
    </row>
    <row r="502">
      <c r="A502">
        <f>IF(Квартиры!A500="","",Квартиры!A500)</f>
        <v/>
      </c>
      <c r="B502">
        <f>IF(Квартиры!B500="","",Квартиры!B500)</f>
        <v/>
      </c>
      <c r="C502">
        <f>IF(Квартиры!C500="","",Квартиры!C500)</f>
        <v/>
      </c>
      <c r="D502">
        <f>IF(Квартиры!D500="","",Квартиры!D500)</f>
        <v/>
      </c>
      <c r="E502">
        <f>IF(Квартиры!G500="","",Квартиры!G500)</f>
        <v/>
      </c>
      <c r="F502">
        <f>IF(Квартиры!E500="","",Квартиры!E500)</f>
        <v/>
      </c>
      <c r="G502">
        <f>IF(Квартиры!F500="","",Квартиры!F500)</f>
        <v/>
      </c>
      <c r="H502">
        <f>IF(Квартиры!H500="","",Квартиры!H500)</f>
        <v/>
      </c>
      <c r="I502">
        <f>IF(Квартиры!I500="","",Квартиры!I500)</f>
        <v/>
      </c>
      <c r="J502">
        <f>IF(Квартиры!J500="","",Квартиры!J500)</f>
        <v/>
      </c>
    </row>
    <row r="503">
      <c r="A503">
        <f>IF(Квартиры!A501="","",Квартиры!A501)</f>
        <v/>
      </c>
      <c r="B503">
        <f>IF(Квартиры!B501="","",Квартиры!B501)</f>
        <v/>
      </c>
      <c r="C503">
        <f>IF(Квартиры!C501="","",Квартиры!C501)</f>
        <v/>
      </c>
      <c r="D503">
        <f>IF(Квартиры!D501="","",Квартиры!D501)</f>
        <v/>
      </c>
      <c r="E503">
        <f>IF(Квартиры!G501="","",Квартиры!G501)</f>
        <v/>
      </c>
      <c r="F503">
        <f>IF(Квартиры!E501="","",Квартиры!E501)</f>
        <v/>
      </c>
      <c r="G503">
        <f>IF(Квартиры!F501="","",Квартиры!F501)</f>
        <v/>
      </c>
      <c r="H503">
        <f>IF(Квартиры!H501="","",Квартиры!H501)</f>
        <v/>
      </c>
      <c r="I503">
        <f>IF(Квартиры!I501="","",Квартиры!I501)</f>
        <v/>
      </c>
      <c r="J503">
        <f>IF(Квартиры!J501="","",Квартиры!J501)</f>
        <v/>
      </c>
    </row>
    <row r="504">
      <c r="A504">
        <f>IF(Квартиры!A502="","",Квартиры!A502)</f>
        <v/>
      </c>
      <c r="B504">
        <f>IF(Квартиры!B502="","",Квартиры!B502)</f>
        <v/>
      </c>
      <c r="C504">
        <f>IF(Квартиры!C502="","",Квартиры!C502)</f>
        <v/>
      </c>
      <c r="D504">
        <f>IF(Квартиры!D502="","",Квартиры!D502)</f>
        <v/>
      </c>
      <c r="E504">
        <f>IF(Квартиры!G502="","",Квартиры!G502)</f>
        <v/>
      </c>
      <c r="F504">
        <f>IF(Квартиры!E502="","",Квартиры!E502)</f>
        <v/>
      </c>
      <c r="G504">
        <f>IF(Квартиры!F502="","",Квартиры!F502)</f>
        <v/>
      </c>
      <c r="H504">
        <f>IF(Квартиры!H502="","",Квартиры!H502)</f>
        <v/>
      </c>
      <c r="I504">
        <f>IF(Квартиры!I502="","",Квартиры!I502)</f>
        <v/>
      </c>
      <c r="J504">
        <f>IF(Квартиры!J502="","",Квартиры!J502)</f>
        <v/>
      </c>
    </row>
    <row r="505">
      <c r="A505">
        <f>IF(Квартиры!A503="","",Квартиры!A503)</f>
        <v/>
      </c>
      <c r="B505">
        <f>IF(Квартиры!B503="","",Квартиры!B503)</f>
        <v/>
      </c>
      <c r="C505">
        <f>IF(Квартиры!C503="","",Квартиры!C503)</f>
        <v/>
      </c>
      <c r="D505">
        <f>IF(Квартиры!D503="","",Квартиры!D503)</f>
        <v/>
      </c>
      <c r="E505">
        <f>IF(Квартиры!G503="","",Квартиры!G503)</f>
        <v/>
      </c>
      <c r="F505">
        <f>IF(Квартиры!E503="","",Квартиры!E503)</f>
        <v/>
      </c>
      <c r="G505">
        <f>IF(Квартиры!F503="","",Квартиры!F503)</f>
        <v/>
      </c>
      <c r="H505">
        <f>IF(Квартиры!H503="","",Квартиры!H503)</f>
        <v/>
      </c>
      <c r="I505">
        <f>IF(Квартиры!I503="","",Квартиры!I503)</f>
        <v/>
      </c>
      <c r="J505">
        <f>IF(Квартиры!J503="","",Квартиры!J503)</f>
        <v/>
      </c>
    </row>
    <row r="506">
      <c r="A506">
        <f>IF(Квартиры!A504="","",Квартиры!A504)</f>
        <v/>
      </c>
      <c r="B506">
        <f>IF(Квартиры!B504="","",Квартиры!B504)</f>
        <v/>
      </c>
      <c r="C506">
        <f>IF(Квартиры!C504="","",Квартиры!C504)</f>
        <v/>
      </c>
      <c r="D506">
        <f>IF(Квартиры!D504="","",Квартиры!D504)</f>
        <v/>
      </c>
      <c r="E506">
        <f>IF(Квартиры!G504="","",Квартиры!G504)</f>
        <v/>
      </c>
      <c r="F506">
        <f>IF(Квартиры!E504="","",Квартиры!E504)</f>
        <v/>
      </c>
      <c r="G506">
        <f>IF(Квартиры!F504="","",Квартиры!F504)</f>
        <v/>
      </c>
      <c r="H506">
        <f>IF(Квартиры!H504="","",Квартиры!H504)</f>
        <v/>
      </c>
      <c r="I506">
        <f>IF(Квартиры!I504="","",Квартиры!I504)</f>
        <v/>
      </c>
      <c r="J506">
        <f>IF(Квартиры!J504="","",Квартиры!J504)</f>
        <v/>
      </c>
    </row>
    <row r="507">
      <c r="A507">
        <f>IF(Квартиры!A505="","",Квартиры!A505)</f>
        <v/>
      </c>
      <c r="B507">
        <f>IF(Квартиры!B505="","",Квартиры!B505)</f>
        <v/>
      </c>
      <c r="C507">
        <f>IF(Квартиры!C505="","",Квартиры!C505)</f>
        <v/>
      </c>
      <c r="D507">
        <f>IF(Квартиры!D505="","",Квартиры!D505)</f>
        <v/>
      </c>
      <c r="E507">
        <f>IF(Квартиры!G505="","",Квартиры!G505)</f>
        <v/>
      </c>
      <c r="F507">
        <f>IF(Квартиры!E505="","",Квартиры!E505)</f>
        <v/>
      </c>
      <c r="G507">
        <f>IF(Квартиры!F505="","",Квартиры!F505)</f>
        <v/>
      </c>
      <c r="H507">
        <f>IF(Квартиры!H505="","",Квартиры!H505)</f>
        <v/>
      </c>
      <c r="I507">
        <f>IF(Квартиры!I505="","",Квартиры!I505)</f>
        <v/>
      </c>
      <c r="J507">
        <f>IF(Квартиры!J505="","",Квартиры!J505)</f>
        <v/>
      </c>
    </row>
    <row r="508">
      <c r="A508">
        <f>IF(Квартиры!A506="","",Квартиры!A506)</f>
        <v/>
      </c>
      <c r="B508">
        <f>IF(Квартиры!B506="","",Квартиры!B506)</f>
        <v/>
      </c>
      <c r="C508">
        <f>IF(Квартиры!C506="","",Квартиры!C506)</f>
        <v/>
      </c>
      <c r="D508">
        <f>IF(Квартиры!D506="","",Квартиры!D506)</f>
        <v/>
      </c>
      <c r="E508">
        <f>IF(Квартиры!G506="","",Квартиры!G506)</f>
        <v/>
      </c>
      <c r="F508">
        <f>IF(Квартиры!E506="","",Квартиры!E506)</f>
        <v/>
      </c>
      <c r="G508">
        <f>IF(Квартиры!F506="","",Квартиры!F506)</f>
        <v/>
      </c>
      <c r="H508">
        <f>IF(Квартиры!H506="","",Квартиры!H506)</f>
        <v/>
      </c>
      <c r="I508">
        <f>IF(Квартиры!I506="","",Квартиры!I506)</f>
        <v/>
      </c>
      <c r="J508">
        <f>IF(Квартиры!J506="","",Квартиры!J506)</f>
        <v/>
      </c>
    </row>
    <row r="509">
      <c r="A509">
        <f>IF(Квартиры!A507="","",Квартиры!A507)</f>
        <v/>
      </c>
      <c r="B509">
        <f>IF(Квартиры!B507="","",Квартиры!B507)</f>
        <v/>
      </c>
      <c r="C509">
        <f>IF(Квартиры!C507="","",Квартиры!C507)</f>
        <v/>
      </c>
      <c r="D509">
        <f>IF(Квартиры!D507="","",Квартиры!D507)</f>
        <v/>
      </c>
      <c r="E509">
        <f>IF(Квартиры!G507="","",Квартиры!G507)</f>
        <v/>
      </c>
      <c r="F509">
        <f>IF(Квартиры!E507="","",Квартиры!E507)</f>
        <v/>
      </c>
      <c r="G509">
        <f>IF(Квартиры!F507="","",Квартиры!F507)</f>
        <v/>
      </c>
      <c r="H509">
        <f>IF(Квартиры!H507="","",Квартиры!H507)</f>
        <v/>
      </c>
      <c r="I509">
        <f>IF(Квартиры!I507="","",Квартиры!I507)</f>
        <v/>
      </c>
      <c r="J509">
        <f>IF(Квартиры!J507="","",Квартиры!J507)</f>
        <v/>
      </c>
    </row>
    <row r="510">
      <c r="A510">
        <f>IF(Квартиры!A508="","",Квартиры!A508)</f>
        <v/>
      </c>
      <c r="B510">
        <f>IF(Квартиры!B508="","",Квартиры!B508)</f>
        <v/>
      </c>
      <c r="C510">
        <f>IF(Квартиры!C508="","",Квартиры!C508)</f>
        <v/>
      </c>
      <c r="D510">
        <f>IF(Квартиры!D508="","",Квартиры!D508)</f>
        <v/>
      </c>
      <c r="E510">
        <f>IF(Квартиры!G508="","",Квартиры!G508)</f>
        <v/>
      </c>
      <c r="F510">
        <f>IF(Квартиры!E508="","",Квартиры!E508)</f>
        <v/>
      </c>
      <c r="G510">
        <f>IF(Квартиры!F508="","",Квартиры!F508)</f>
        <v/>
      </c>
      <c r="H510">
        <f>IF(Квартиры!H508="","",Квартиры!H508)</f>
        <v/>
      </c>
      <c r="I510">
        <f>IF(Квартиры!I508="","",Квартиры!I508)</f>
        <v/>
      </c>
      <c r="J510">
        <f>IF(Квартиры!J508="","",Квартиры!J508)</f>
        <v/>
      </c>
    </row>
    <row r="511">
      <c r="A511">
        <f>IF(Квартиры!A509="","",Квартиры!A509)</f>
        <v/>
      </c>
      <c r="B511">
        <f>IF(Квартиры!B509="","",Квартиры!B509)</f>
        <v/>
      </c>
      <c r="C511">
        <f>IF(Квартиры!C509="","",Квартиры!C509)</f>
        <v/>
      </c>
      <c r="D511">
        <f>IF(Квартиры!D509="","",Квартиры!D509)</f>
        <v/>
      </c>
      <c r="E511">
        <f>IF(Квартиры!G509="","",Квартиры!G509)</f>
        <v/>
      </c>
      <c r="F511">
        <f>IF(Квартиры!E509="","",Квартиры!E509)</f>
        <v/>
      </c>
      <c r="G511">
        <f>IF(Квартиры!F509="","",Квартиры!F509)</f>
        <v/>
      </c>
      <c r="H511">
        <f>IF(Квартиры!H509="","",Квартиры!H509)</f>
        <v/>
      </c>
      <c r="I511">
        <f>IF(Квартиры!I509="","",Квартиры!I509)</f>
        <v/>
      </c>
      <c r="J511">
        <f>IF(Квартиры!J509="","",Квартиры!J509)</f>
        <v/>
      </c>
    </row>
    <row r="512">
      <c r="A512">
        <f>IF(Квартиры!A510="","",Квартиры!A510)</f>
        <v/>
      </c>
      <c r="B512">
        <f>IF(Квартиры!B510="","",Квартиры!B510)</f>
        <v/>
      </c>
      <c r="C512">
        <f>IF(Квартиры!C510="","",Квартиры!C510)</f>
        <v/>
      </c>
      <c r="D512">
        <f>IF(Квартиры!D510="","",Квартиры!D510)</f>
        <v/>
      </c>
      <c r="E512">
        <f>IF(Квартиры!G510="","",Квартиры!G510)</f>
        <v/>
      </c>
      <c r="F512">
        <f>IF(Квартиры!E510="","",Квартиры!E510)</f>
        <v/>
      </c>
      <c r="G512">
        <f>IF(Квартиры!F510="","",Квартиры!F510)</f>
        <v/>
      </c>
      <c r="H512">
        <f>IF(Квартиры!H510="","",Квартиры!H510)</f>
        <v/>
      </c>
      <c r="I512">
        <f>IF(Квартиры!I510="","",Квартиры!I510)</f>
        <v/>
      </c>
      <c r="J512">
        <f>IF(Квартиры!J510="","",Квартиры!J510)</f>
        <v/>
      </c>
    </row>
    <row r="513">
      <c r="A513">
        <f>IF(Квартиры!A511="","",Квартиры!A511)</f>
        <v/>
      </c>
      <c r="B513">
        <f>IF(Квартиры!B511="","",Квартиры!B511)</f>
        <v/>
      </c>
      <c r="C513">
        <f>IF(Квартиры!C511="","",Квартиры!C511)</f>
        <v/>
      </c>
      <c r="D513">
        <f>IF(Квартиры!D511="","",Квартиры!D511)</f>
        <v/>
      </c>
      <c r="E513">
        <f>IF(Квартиры!G511="","",Квартиры!G511)</f>
        <v/>
      </c>
      <c r="F513">
        <f>IF(Квартиры!E511="","",Квартиры!E511)</f>
        <v/>
      </c>
      <c r="G513">
        <f>IF(Квартиры!F511="","",Квартиры!F511)</f>
        <v/>
      </c>
      <c r="H513">
        <f>IF(Квартиры!H511="","",Квартиры!H511)</f>
        <v/>
      </c>
      <c r="I513">
        <f>IF(Квартиры!I511="","",Квартиры!I511)</f>
        <v/>
      </c>
      <c r="J513">
        <f>IF(Квартиры!J511="","",Квартиры!J511)</f>
        <v/>
      </c>
    </row>
    <row r="514">
      <c r="A514">
        <f>IF(Квартиры!A512="","",Квартиры!A512)</f>
        <v/>
      </c>
      <c r="B514">
        <f>IF(Квартиры!B512="","",Квартиры!B512)</f>
        <v/>
      </c>
      <c r="C514">
        <f>IF(Квартиры!C512="","",Квартиры!C512)</f>
        <v/>
      </c>
      <c r="D514">
        <f>IF(Квартиры!D512="","",Квартиры!D512)</f>
        <v/>
      </c>
      <c r="E514">
        <f>IF(Квартиры!G512="","",Квартиры!G512)</f>
        <v/>
      </c>
      <c r="F514">
        <f>IF(Квартиры!E512="","",Квартиры!E512)</f>
        <v/>
      </c>
      <c r="G514">
        <f>IF(Квартиры!F512="","",Квартиры!F512)</f>
        <v/>
      </c>
      <c r="H514">
        <f>IF(Квартиры!H512="","",Квартиры!H512)</f>
        <v/>
      </c>
      <c r="I514">
        <f>IF(Квартиры!I512="","",Квартиры!I512)</f>
        <v/>
      </c>
      <c r="J514">
        <f>IF(Квартиры!J512="","",Квартиры!J512)</f>
        <v/>
      </c>
    </row>
    <row r="515">
      <c r="A515">
        <f>IF(Квартиры!A513="","",Квартиры!A513)</f>
        <v/>
      </c>
      <c r="B515">
        <f>IF(Квартиры!B513="","",Квартиры!B513)</f>
        <v/>
      </c>
      <c r="C515">
        <f>IF(Квартиры!C513="","",Квартиры!C513)</f>
        <v/>
      </c>
      <c r="D515">
        <f>IF(Квартиры!D513="","",Квартиры!D513)</f>
        <v/>
      </c>
      <c r="E515">
        <f>IF(Квартиры!G513="","",Квартиры!G513)</f>
        <v/>
      </c>
      <c r="F515">
        <f>IF(Квартиры!E513="","",Квартиры!E513)</f>
        <v/>
      </c>
      <c r="G515">
        <f>IF(Квартиры!F513="","",Квартиры!F513)</f>
        <v/>
      </c>
      <c r="H515">
        <f>IF(Квартиры!H513="","",Квартиры!H513)</f>
        <v/>
      </c>
      <c r="I515">
        <f>IF(Квартиры!I513="","",Квартиры!I513)</f>
        <v/>
      </c>
      <c r="J515">
        <f>IF(Квартиры!J513="","",Квартиры!J513)</f>
        <v/>
      </c>
    </row>
    <row r="516">
      <c r="A516">
        <f>IF(Квартиры!A514="","",Квартиры!A514)</f>
        <v/>
      </c>
      <c r="B516">
        <f>IF(Квартиры!B514="","",Квартиры!B514)</f>
        <v/>
      </c>
      <c r="C516">
        <f>IF(Квартиры!C514="","",Квартиры!C514)</f>
        <v/>
      </c>
      <c r="D516">
        <f>IF(Квартиры!D514="","",Квартиры!D514)</f>
        <v/>
      </c>
      <c r="E516">
        <f>IF(Квартиры!G514="","",Квартиры!G514)</f>
        <v/>
      </c>
      <c r="F516">
        <f>IF(Квартиры!E514="","",Квартиры!E514)</f>
        <v/>
      </c>
      <c r="G516">
        <f>IF(Квартиры!F514="","",Квартиры!F514)</f>
        <v/>
      </c>
      <c r="H516">
        <f>IF(Квартиры!H514="","",Квартиры!H514)</f>
        <v/>
      </c>
      <c r="I516">
        <f>IF(Квартиры!I514="","",Квартиры!I514)</f>
        <v/>
      </c>
      <c r="J516">
        <f>IF(Квартиры!J514="","",Квартиры!J514)</f>
        <v/>
      </c>
    </row>
    <row r="517">
      <c r="A517">
        <f>IF(Квартиры!A515="","",Квартиры!A515)</f>
        <v/>
      </c>
      <c r="B517">
        <f>IF(Квартиры!B515="","",Квартиры!B515)</f>
        <v/>
      </c>
      <c r="C517">
        <f>IF(Квартиры!C515="","",Квартиры!C515)</f>
        <v/>
      </c>
      <c r="D517">
        <f>IF(Квартиры!D515="","",Квартиры!D515)</f>
        <v/>
      </c>
      <c r="E517">
        <f>IF(Квартиры!G515="","",Квартиры!G515)</f>
        <v/>
      </c>
      <c r="F517">
        <f>IF(Квартиры!E515="","",Квартиры!E515)</f>
        <v/>
      </c>
      <c r="G517">
        <f>IF(Квартиры!F515="","",Квартиры!F515)</f>
        <v/>
      </c>
      <c r="H517">
        <f>IF(Квартиры!H515="","",Квартиры!H515)</f>
        <v/>
      </c>
      <c r="I517">
        <f>IF(Квартиры!I515="","",Квартиры!I515)</f>
        <v/>
      </c>
      <c r="J517">
        <f>IF(Квартиры!J515="","",Квартиры!J515)</f>
        <v/>
      </c>
    </row>
    <row r="518">
      <c r="A518">
        <f>IF(Квартиры!A516="","",Квартиры!A516)</f>
        <v/>
      </c>
      <c r="B518">
        <f>IF(Квартиры!B516="","",Квартиры!B516)</f>
        <v/>
      </c>
      <c r="C518">
        <f>IF(Квартиры!C516="","",Квартиры!C516)</f>
        <v/>
      </c>
      <c r="D518">
        <f>IF(Квартиры!D516="","",Квартиры!D516)</f>
        <v/>
      </c>
      <c r="E518">
        <f>IF(Квартиры!G516="","",Квартиры!G516)</f>
        <v/>
      </c>
      <c r="F518">
        <f>IF(Квартиры!E516="","",Квартиры!E516)</f>
        <v/>
      </c>
      <c r="G518">
        <f>IF(Квартиры!F516="","",Квартиры!F516)</f>
        <v/>
      </c>
      <c r="H518">
        <f>IF(Квартиры!H516="","",Квартиры!H516)</f>
        <v/>
      </c>
      <c r="I518">
        <f>IF(Квартиры!I516="","",Квартиры!I516)</f>
        <v/>
      </c>
      <c r="J518">
        <f>IF(Квартиры!J516="","",Квартиры!J516)</f>
        <v/>
      </c>
    </row>
    <row r="519">
      <c r="A519">
        <f>IF(Квартиры!A517="","",Квартиры!A517)</f>
        <v/>
      </c>
      <c r="B519">
        <f>IF(Квартиры!B517="","",Квартиры!B517)</f>
        <v/>
      </c>
      <c r="C519">
        <f>IF(Квартиры!C517="","",Квартиры!C517)</f>
        <v/>
      </c>
      <c r="D519">
        <f>IF(Квартиры!D517="","",Квартиры!D517)</f>
        <v/>
      </c>
      <c r="E519">
        <f>IF(Квартиры!G517="","",Квартиры!G517)</f>
        <v/>
      </c>
      <c r="F519">
        <f>IF(Квартиры!E517="","",Квартиры!E517)</f>
        <v/>
      </c>
      <c r="G519">
        <f>IF(Квартиры!F517="","",Квартиры!F517)</f>
        <v/>
      </c>
      <c r="H519">
        <f>IF(Квартиры!H517="","",Квартиры!H517)</f>
        <v/>
      </c>
      <c r="I519">
        <f>IF(Квартиры!I517="","",Квартиры!I517)</f>
        <v/>
      </c>
      <c r="J519">
        <f>IF(Квартиры!J517="","",Квартиры!J517)</f>
        <v/>
      </c>
    </row>
    <row r="520">
      <c r="A520">
        <f>IF(Квартиры!A518="","",Квартиры!A518)</f>
        <v/>
      </c>
      <c r="B520">
        <f>IF(Квартиры!B518="","",Квартиры!B518)</f>
        <v/>
      </c>
      <c r="C520">
        <f>IF(Квартиры!C518="","",Квартиры!C518)</f>
        <v/>
      </c>
      <c r="D520">
        <f>IF(Квартиры!D518="","",Квартиры!D518)</f>
        <v/>
      </c>
      <c r="E520">
        <f>IF(Квартиры!G518="","",Квартиры!G518)</f>
        <v/>
      </c>
      <c r="F520">
        <f>IF(Квартиры!E518="","",Квартиры!E518)</f>
        <v/>
      </c>
      <c r="G520">
        <f>IF(Квартиры!F518="","",Квартиры!F518)</f>
        <v/>
      </c>
      <c r="H520">
        <f>IF(Квартиры!H518="","",Квартиры!H518)</f>
        <v/>
      </c>
      <c r="I520">
        <f>IF(Квартиры!I518="","",Квартиры!I518)</f>
        <v/>
      </c>
      <c r="J520">
        <f>IF(Квартиры!J518="","",Квартиры!J518)</f>
        <v/>
      </c>
    </row>
    <row r="521">
      <c r="A521">
        <f>IF(Квартиры!A519="","",Квартиры!A519)</f>
        <v/>
      </c>
      <c r="B521">
        <f>IF(Квартиры!B519="","",Квартиры!B519)</f>
        <v/>
      </c>
      <c r="C521">
        <f>IF(Квартиры!C519="","",Квартиры!C519)</f>
        <v/>
      </c>
      <c r="D521">
        <f>IF(Квартиры!D519="","",Квартиры!D519)</f>
        <v/>
      </c>
      <c r="E521">
        <f>IF(Квартиры!G519="","",Квартиры!G519)</f>
        <v/>
      </c>
      <c r="F521">
        <f>IF(Квартиры!E519="","",Квартиры!E519)</f>
        <v/>
      </c>
      <c r="G521">
        <f>IF(Квартиры!F519="","",Квартиры!F519)</f>
        <v/>
      </c>
      <c r="H521">
        <f>IF(Квартиры!H519="","",Квартиры!H519)</f>
        <v/>
      </c>
      <c r="I521">
        <f>IF(Квартиры!I519="","",Квартиры!I519)</f>
        <v/>
      </c>
      <c r="J521">
        <f>IF(Квартиры!J519="","",Квартиры!J519)</f>
        <v/>
      </c>
    </row>
    <row r="522">
      <c r="A522">
        <f>IF(Квартиры!A520="","",Квартиры!A520)</f>
        <v/>
      </c>
      <c r="B522">
        <f>IF(Квартиры!B520="","",Квартиры!B520)</f>
        <v/>
      </c>
      <c r="C522">
        <f>IF(Квартиры!C520="","",Квартиры!C520)</f>
        <v/>
      </c>
      <c r="D522">
        <f>IF(Квартиры!D520="","",Квартиры!D520)</f>
        <v/>
      </c>
      <c r="E522">
        <f>IF(Квартиры!G520="","",Квартиры!G520)</f>
        <v/>
      </c>
      <c r="F522">
        <f>IF(Квартиры!E520="","",Квартиры!E520)</f>
        <v/>
      </c>
      <c r="G522">
        <f>IF(Квартиры!F520="","",Квартиры!F520)</f>
        <v/>
      </c>
      <c r="H522">
        <f>IF(Квартиры!H520="","",Квартиры!H520)</f>
        <v/>
      </c>
      <c r="I522">
        <f>IF(Квартиры!I520="","",Квартиры!I520)</f>
        <v/>
      </c>
      <c r="J522">
        <f>IF(Квартиры!J520="","",Квартиры!J520)</f>
        <v/>
      </c>
    </row>
    <row r="523">
      <c r="A523">
        <f>IF(Квартиры!A521="","",Квартиры!A521)</f>
        <v/>
      </c>
      <c r="B523">
        <f>IF(Квартиры!B521="","",Квартиры!B521)</f>
        <v/>
      </c>
      <c r="C523">
        <f>IF(Квартиры!C521="","",Квартиры!C521)</f>
        <v/>
      </c>
      <c r="D523">
        <f>IF(Квартиры!D521="","",Квартиры!D521)</f>
        <v/>
      </c>
      <c r="E523">
        <f>IF(Квартиры!G521="","",Квартиры!G521)</f>
        <v/>
      </c>
      <c r="F523">
        <f>IF(Квартиры!E521="","",Квартиры!E521)</f>
        <v/>
      </c>
      <c r="G523">
        <f>IF(Квартиры!F521="","",Квартиры!F521)</f>
        <v/>
      </c>
      <c r="H523">
        <f>IF(Квартиры!H521="","",Квартиры!H521)</f>
        <v/>
      </c>
      <c r="I523">
        <f>IF(Квартиры!I521="","",Квартиры!I521)</f>
        <v/>
      </c>
      <c r="J523">
        <f>IF(Квартиры!J521="","",Квартиры!J521)</f>
        <v/>
      </c>
    </row>
    <row r="524">
      <c r="A524">
        <f>IF(Квартиры!A522="","",Квартиры!A522)</f>
        <v/>
      </c>
      <c r="B524">
        <f>IF(Квартиры!B522="","",Квартиры!B522)</f>
        <v/>
      </c>
      <c r="C524">
        <f>IF(Квартиры!C522="","",Квартиры!C522)</f>
        <v/>
      </c>
      <c r="D524">
        <f>IF(Квартиры!D522="","",Квартиры!D522)</f>
        <v/>
      </c>
      <c r="E524">
        <f>IF(Квартиры!G522="","",Квартиры!G522)</f>
        <v/>
      </c>
      <c r="F524">
        <f>IF(Квартиры!E522="","",Квартиры!E522)</f>
        <v/>
      </c>
      <c r="G524">
        <f>IF(Квартиры!F522="","",Квартиры!F522)</f>
        <v/>
      </c>
      <c r="H524">
        <f>IF(Квартиры!H522="","",Квартиры!H522)</f>
        <v/>
      </c>
      <c r="I524">
        <f>IF(Квартиры!I522="","",Квартиры!I522)</f>
        <v/>
      </c>
      <c r="J524">
        <f>IF(Квартиры!J522="","",Квартиры!J522)</f>
        <v/>
      </c>
    </row>
    <row r="525">
      <c r="A525">
        <f>IF(Квартиры!A523="","",Квартиры!A523)</f>
        <v/>
      </c>
      <c r="B525">
        <f>IF(Квартиры!B523="","",Квартиры!B523)</f>
        <v/>
      </c>
      <c r="C525">
        <f>IF(Квартиры!C523="","",Квартиры!C523)</f>
        <v/>
      </c>
      <c r="D525">
        <f>IF(Квартиры!D523="","",Квартиры!D523)</f>
        <v/>
      </c>
      <c r="E525">
        <f>IF(Квартиры!G523="","",Квартиры!G523)</f>
        <v/>
      </c>
      <c r="F525">
        <f>IF(Квартиры!E523="","",Квартиры!E523)</f>
        <v/>
      </c>
      <c r="G525">
        <f>IF(Квартиры!F523="","",Квартиры!F523)</f>
        <v/>
      </c>
      <c r="H525">
        <f>IF(Квартиры!H523="","",Квартиры!H523)</f>
        <v/>
      </c>
      <c r="I525">
        <f>IF(Квартиры!I523="","",Квартиры!I523)</f>
        <v/>
      </c>
      <c r="J525">
        <f>IF(Квартиры!J523="","",Квартиры!J523)</f>
        <v/>
      </c>
    </row>
    <row r="526">
      <c r="A526">
        <f>IF(Квартиры!A524="","",Квартиры!A524)</f>
        <v/>
      </c>
      <c r="B526">
        <f>IF(Квартиры!B524="","",Квартиры!B524)</f>
        <v/>
      </c>
      <c r="C526">
        <f>IF(Квартиры!C524="","",Квартиры!C524)</f>
        <v/>
      </c>
      <c r="D526">
        <f>IF(Квартиры!D524="","",Квартиры!D524)</f>
        <v/>
      </c>
      <c r="E526">
        <f>IF(Квартиры!G524="","",Квартиры!G524)</f>
        <v/>
      </c>
      <c r="F526">
        <f>IF(Квартиры!E524="","",Квартиры!E524)</f>
        <v/>
      </c>
      <c r="G526">
        <f>IF(Квартиры!F524="","",Квартиры!F524)</f>
        <v/>
      </c>
      <c r="H526">
        <f>IF(Квартиры!H524="","",Квартиры!H524)</f>
        <v/>
      </c>
      <c r="I526">
        <f>IF(Квартиры!I524="","",Квартиры!I524)</f>
        <v/>
      </c>
      <c r="J526">
        <f>IF(Квартиры!J524="","",Квартиры!J524)</f>
        <v/>
      </c>
    </row>
    <row r="527">
      <c r="A527">
        <f>IF(Квартиры!A525="","",Квартиры!A525)</f>
        <v/>
      </c>
      <c r="B527">
        <f>IF(Квартиры!B525="","",Квартиры!B525)</f>
        <v/>
      </c>
      <c r="C527">
        <f>IF(Квартиры!C525="","",Квартиры!C525)</f>
        <v/>
      </c>
      <c r="D527">
        <f>IF(Квартиры!D525="","",Квартиры!D525)</f>
        <v/>
      </c>
      <c r="E527">
        <f>IF(Квартиры!G525="","",Квартиры!G525)</f>
        <v/>
      </c>
      <c r="F527">
        <f>IF(Квартиры!E525="","",Квартиры!E525)</f>
        <v/>
      </c>
      <c r="G527">
        <f>IF(Квартиры!F525="","",Квартиры!F525)</f>
        <v/>
      </c>
      <c r="H527">
        <f>IF(Квартиры!H525="","",Квартиры!H525)</f>
        <v/>
      </c>
      <c r="I527">
        <f>IF(Квартиры!I525="","",Квартиры!I525)</f>
        <v/>
      </c>
      <c r="J527">
        <f>IF(Квартиры!J525="","",Квартиры!J525)</f>
        <v/>
      </c>
    </row>
    <row r="528">
      <c r="A528">
        <f>IF(Квартиры!A526="","",Квартиры!A526)</f>
        <v/>
      </c>
      <c r="B528">
        <f>IF(Квартиры!B526="","",Квартиры!B526)</f>
        <v/>
      </c>
      <c r="C528">
        <f>IF(Квартиры!C526="","",Квартиры!C526)</f>
        <v/>
      </c>
      <c r="D528">
        <f>IF(Квартиры!D526="","",Квартиры!D526)</f>
        <v/>
      </c>
      <c r="E528">
        <f>IF(Квартиры!G526="","",Квартиры!G526)</f>
        <v/>
      </c>
      <c r="F528">
        <f>IF(Квартиры!E526="","",Квартиры!E526)</f>
        <v/>
      </c>
      <c r="G528">
        <f>IF(Квартиры!F526="","",Квартиры!F526)</f>
        <v/>
      </c>
      <c r="H528">
        <f>IF(Квартиры!H526="","",Квартиры!H526)</f>
        <v/>
      </c>
      <c r="I528">
        <f>IF(Квартиры!I526="","",Квартиры!I526)</f>
        <v/>
      </c>
      <c r="J528">
        <f>IF(Квартиры!J526="","",Квартиры!J526)</f>
        <v/>
      </c>
    </row>
    <row r="529">
      <c r="A529">
        <f>IF(Квартиры!A527="","",Квартиры!A527)</f>
        <v/>
      </c>
      <c r="B529">
        <f>IF(Квартиры!B527="","",Квартиры!B527)</f>
        <v/>
      </c>
      <c r="C529">
        <f>IF(Квартиры!C527="","",Квартиры!C527)</f>
        <v/>
      </c>
      <c r="D529">
        <f>IF(Квартиры!D527="","",Квартиры!D527)</f>
        <v/>
      </c>
      <c r="E529">
        <f>IF(Квартиры!G527="","",Квартиры!G527)</f>
        <v/>
      </c>
      <c r="F529">
        <f>IF(Квартиры!E527="","",Квартиры!E527)</f>
        <v/>
      </c>
      <c r="G529">
        <f>IF(Квартиры!F527="","",Квартиры!F527)</f>
        <v/>
      </c>
      <c r="H529">
        <f>IF(Квартиры!H527="","",Квартиры!H527)</f>
        <v/>
      </c>
      <c r="I529">
        <f>IF(Квартиры!I527="","",Квартиры!I527)</f>
        <v/>
      </c>
      <c r="J529">
        <f>IF(Квартиры!J527="","",Квартиры!J527)</f>
        <v/>
      </c>
    </row>
    <row r="530">
      <c r="A530">
        <f>IF(Квартиры!A528="","",Квартиры!A528)</f>
        <v/>
      </c>
      <c r="B530">
        <f>IF(Квартиры!B528="","",Квартиры!B528)</f>
        <v/>
      </c>
      <c r="C530">
        <f>IF(Квартиры!C528="","",Квартиры!C528)</f>
        <v/>
      </c>
      <c r="D530">
        <f>IF(Квартиры!D528="","",Квартиры!D528)</f>
        <v/>
      </c>
      <c r="E530">
        <f>IF(Квартиры!G528="","",Квартиры!G528)</f>
        <v/>
      </c>
      <c r="F530">
        <f>IF(Квартиры!E528="","",Квартиры!E528)</f>
        <v/>
      </c>
      <c r="G530">
        <f>IF(Квартиры!F528="","",Квартиры!F528)</f>
        <v/>
      </c>
      <c r="H530">
        <f>IF(Квартиры!H528="","",Квартиры!H528)</f>
        <v/>
      </c>
      <c r="I530">
        <f>IF(Квартиры!I528="","",Квартиры!I528)</f>
        <v/>
      </c>
      <c r="J530">
        <f>IF(Квартиры!J528="","",Квартиры!J528)</f>
        <v/>
      </c>
    </row>
    <row r="531">
      <c r="A531">
        <f>IF(Квартиры!A529="","",Квартиры!A529)</f>
        <v/>
      </c>
      <c r="B531">
        <f>IF(Квартиры!B529="","",Квартиры!B529)</f>
        <v/>
      </c>
      <c r="C531">
        <f>IF(Квартиры!C529="","",Квартиры!C529)</f>
        <v/>
      </c>
      <c r="D531">
        <f>IF(Квартиры!D529="","",Квартиры!D529)</f>
        <v/>
      </c>
      <c r="E531">
        <f>IF(Квартиры!G529="","",Квартиры!G529)</f>
        <v/>
      </c>
      <c r="F531">
        <f>IF(Квартиры!E529="","",Квартиры!E529)</f>
        <v/>
      </c>
      <c r="G531">
        <f>IF(Квартиры!F529="","",Квартиры!F529)</f>
        <v/>
      </c>
      <c r="H531">
        <f>IF(Квартиры!H529="","",Квартиры!H529)</f>
        <v/>
      </c>
      <c r="I531">
        <f>IF(Квартиры!I529="","",Квартиры!I529)</f>
        <v/>
      </c>
      <c r="J531">
        <f>IF(Квартиры!J529="","",Квартиры!J529)</f>
        <v/>
      </c>
    </row>
    <row r="532">
      <c r="A532">
        <f>IF(Квартиры!A530="","",Квартиры!A530)</f>
        <v/>
      </c>
      <c r="B532">
        <f>IF(Квартиры!B530="","",Квартиры!B530)</f>
        <v/>
      </c>
      <c r="C532">
        <f>IF(Квартиры!C530="","",Квартиры!C530)</f>
        <v/>
      </c>
      <c r="D532">
        <f>IF(Квартиры!D530="","",Квартиры!D530)</f>
        <v/>
      </c>
      <c r="E532">
        <f>IF(Квартиры!G530="","",Квартиры!G530)</f>
        <v/>
      </c>
      <c r="F532">
        <f>IF(Квартиры!E530="","",Квартиры!E530)</f>
        <v/>
      </c>
      <c r="G532">
        <f>IF(Квартиры!F530="","",Квартиры!F530)</f>
        <v/>
      </c>
      <c r="H532">
        <f>IF(Квартиры!H530="","",Квартиры!H530)</f>
        <v/>
      </c>
      <c r="I532">
        <f>IF(Квартиры!I530="","",Квартиры!I530)</f>
        <v/>
      </c>
      <c r="J532">
        <f>IF(Квартиры!J530="","",Квартиры!J530)</f>
        <v/>
      </c>
    </row>
    <row r="533">
      <c r="A533">
        <f>IF(Квартиры!A531="","",Квартиры!A531)</f>
        <v/>
      </c>
      <c r="B533">
        <f>IF(Квартиры!B531="","",Квартиры!B531)</f>
        <v/>
      </c>
      <c r="C533">
        <f>IF(Квартиры!C531="","",Квартиры!C531)</f>
        <v/>
      </c>
      <c r="D533">
        <f>IF(Квартиры!D531="","",Квартиры!D531)</f>
        <v/>
      </c>
      <c r="E533">
        <f>IF(Квартиры!G531="","",Квартиры!G531)</f>
        <v/>
      </c>
      <c r="F533">
        <f>IF(Квартиры!E531="","",Квартиры!E531)</f>
        <v/>
      </c>
      <c r="G533">
        <f>IF(Квартиры!F531="","",Квартиры!F531)</f>
        <v/>
      </c>
      <c r="H533">
        <f>IF(Квартиры!H531="","",Квартиры!H531)</f>
        <v/>
      </c>
      <c r="I533">
        <f>IF(Квартиры!I531="","",Квартиры!I531)</f>
        <v/>
      </c>
      <c r="J533">
        <f>IF(Квартиры!J531="","",Квартиры!J531)</f>
        <v/>
      </c>
    </row>
    <row r="534">
      <c r="A534">
        <f>IF(Квартиры!A532="","",Квартиры!A532)</f>
        <v/>
      </c>
      <c r="B534">
        <f>IF(Квартиры!B532="","",Квартиры!B532)</f>
        <v/>
      </c>
      <c r="C534">
        <f>IF(Квартиры!C532="","",Квартиры!C532)</f>
        <v/>
      </c>
      <c r="D534">
        <f>IF(Квартиры!D532="","",Квартиры!D532)</f>
        <v/>
      </c>
      <c r="E534">
        <f>IF(Квартиры!G532="","",Квартиры!G532)</f>
        <v/>
      </c>
      <c r="F534">
        <f>IF(Квартиры!E532="","",Квартиры!E532)</f>
        <v/>
      </c>
      <c r="G534">
        <f>IF(Квартиры!F532="","",Квартиры!F532)</f>
        <v/>
      </c>
      <c r="H534">
        <f>IF(Квартиры!H532="","",Квартиры!H532)</f>
        <v/>
      </c>
      <c r="I534">
        <f>IF(Квартиры!I532="","",Квартиры!I532)</f>
        <v/>
      </c>
      <c r="J534">
        <f>IF(Квартиры!J532="","",Квартиры!J532)</f>
        <v/>
      </c>
    </row>
    <row r="535">
      <c r="A535">
        <f>IF(Квартиры!A533="","",Квартиры!A533)</f>
        <v/>
      </c>
      <c r="B535">
        <f>IF(Квартиры!B533="","",Квартиры!B533)</f>
        <v/>
      </c>
      <c r="C535">
        <f>IF(Квартиры!C533="","",Квартиры!C533)</f>
        <v/>
      </c>
      <c r="D535">
        <f>IF(Квартиры!D533="","",Квартиры!D533)</f>
        <v/>
      </c>
      <c r="E535">
        <f>IF(Квартиры!G533="","",Квартиры!G533)</f>
        <v/>
      </c>
      <c r="F535">
        <f>IF(Квартиры!E533="","",Квартиры!E533)</f>
        <v/>
      </c>
      <c r="G535">
        <f>IF(Квартиры!F533="","",Квартиры!F533)</f>
        <v/>
      </c>
      <c r="H535">
        <f>IF(Квартиры!H533="","",Квартиры!H533)</f>
        <v/>
      </c>
      <c r="I535">
        <f>IF(Квартиры!I533="","",Квартиры!I533)</f>
        <v/>
      </c>
      <c r="J535">
        <f>IF(Квартиры!J533="","",Квартиры!J533)</f>
        <v/>
      </c>
    </row>
    <row r="536">
      <c r="A536">
        <f>IF(Квартиры!A534="","",Квартиры!A534)</f>
        <v/>
      </c>
      <c r="B536">
        <f>IF(Квартиры!B534="","",Квартиры!B534)</f>
        <v/>
      </c>
      <c r="C536">
        <f>IF(Квартиры!C534="","",Квартиры!C534)</f>
        <v/>
      </c>
      <c r="D536">
        <f>IF(Квартиры!D534="","",Квартиры!D534)</f>
        <v/>
      </c>
      <c r="E536">
        <f>IF(Квартиры!G534="","",Квартиры!G534)</f>
        <v/>
      </c>
      <c r="F536">
        <f>IF(Квартиры!E534="","",Квартиры!E534)</f>
        <v/>
      </c>
      <c r="G536">
        <f>IF(Квартиры!F534="","",Квартиры!F534)</f>
        <v/>
      </c>
      <c r="H536">
        <f>IF(Квартиры!H534="","",Квартиры!H534)</f>
        <v/>
      </c>
      <c r="I536">
        <f>IF(Квартиры!I534="","",Квартиры!I534)</f>
        <v/>
      </c>
      <c r="J536">
        <f>IF(Квартиры!J534="","",Квартиры!J534)</f>
        <v/>
      </c>
    </row>
    <row r="537">
      <c r="A537">
        <f>IF(Квартиры!A535="","",Квартиры!A535)</f>
        <v/>
      </c>
      <c r="B537">
        <f>IF(Квартиры!B535="","",Квартиры!B535)</f>
        <v/>
      </c>
      <c r="C537">
        <f>IF(Квартиры!C535="","",Квартиры!C535)</f>
        <v/>
      </c>
      <c r="D537">
        <f>IF(Квартиры!D535="","",Квартиры!D535)</f>
        <v/>
      </c>
      <c r="E537">
        <f>IF(Квартиры!G535="","",Квартиры!G535)</f>
        <v/>
      </c>
      <c r="F537">
        <f>IF(Квартиры!E535="","",Квартиры!E535)</f>
        <v/>
      </c>
      <c r="G537">
        <f>IF(Квартиры!F535="","",Квартиры!F535)</f>
        <v/>
      </c>
      <c r="H537">
        <f>IF(Квартиры!H535="","",Квартиры!H535)</f>
        <v/>
      </c>
      <c r="I537">
        <f>IF(Квартиры!I535="","",Квартиры!I535)</f>
        <v/>
      </c>
      <c r="J537">
        <f>IF(Квартиры!J535="","",Квартиры!J535)</f>
        <v/>
      </c>
    </row>
    <row r="538">
      <c r="A538">
        <f>IF(Квартиры!A536="","",Квартиры!A536)</f>
        <v/>
      </c>
      <c r="B538">
        <f>IF(Квартиры!B536="","",Квартиры!B536)</f>
        <v/>
      </c>
      <c r="C538">
        <f>IF(Квартиры!C536="","",Квартиры!C536)</f>
        <v/>
      </c>
      <c r="D538">
        <f>IF(Квартиры!D536="","",Квартиры!D536)</f>
        <v/>
      </c>
      <c r="E538">
        <f>IF(Квартиры!G536="","",Квартиры!G536)</f>
        <v/>
      </c>
      <c r="F538">
        <f>IF(Квартиры!E536="","",Квартиры!E536)</f>
        <v/>
      </c>
      <c r="G538">
        <f>IF(Квартиры!F536="","",Квартиры!F536)</f>
        <v/>
      </c>
      <c r="H538">
        <f>IF(Квартиры!H536="","",Квартиры!H536)</f>
        <v/>
      </c>
      <c r="I538">
        <f>IF(Квартиры!I536="","",Квартиры!I536)</f>
        <v/>
      </c>
      <c r="J538">
        <f>IF(Квартиры!J536="","",Квартиры!J536)</f>
        <v/>
      </c>
    </row>
    <row r="539">
      <c r="A539">
        <f>IF(Квартиры!A537="","",Квартиры!A537)</f>
        <v/>
      </c>
      <c r="B539">
        <f>IF(Квартиры!B537="","",Квартиры!B537)</f>
        <v/>
      </c>
      <c r="C539">
        <f>IF(Квартиры!C537="","",Квартиры!C537)</f>
        <v/>
      </c>
      <c r="D539">
        <f>IF(Квартиры!D537="","",Квартиры!D537)</f>
        <v/>
      </c>
      <c r="E539">
        <f>IF(Квартиры!G537="","",Квартиры!G537)</f>
        <v/>
      </c>
      <c r="F539">
        <f>IF(Квартиры!E537="","",Квартиры!E537)</f>
        <v/>
      </c>
      <c r="G539">
        <f>IF(Квартиры!F537="","",Квартиры!F537)</f>
        <v/>
      </c>
      <c r="H539">
        <f>IF(Квартиры!H537="","",Квартиры!H537)</f>
        <v/>
      </c>
      <c r="I539">
        <f>IF(Квартиры!I537="","",Квартиры!I537)</f>
        <v/>
      </c>
      <c r="J539">
        <f>IF(Квартиры!J537="","",Квартиры!J537)</f>
        <v/>
      </c>
    </row>
    <row r="540">
      <c r="A540">
        <f>IF(Квартиры!A538="","",Квартиры!A538)</f>
        <v/>
      </c>
      <c r="B540">
        <f>IF(Квартиры!B538="","",Квартиры!B538)</f>
        <v/>
      </c>
      <c r="C540">
        <f>IF(Квартиры!C538="","",Квартиры!C538)</f>
        <v/>
      </c>
      <c r="D540">
        <f>IF(Квартиры!D538="","",Квартиры!D538)</f>
        <v/>
      </c>
      <c r="E540">
        <f>IF(Квартиры!G538="","",Квартиры!G538)</f>
        <v/>
      </c>
      <c r="F540">
        <f>IF(Квартиры!E538="","",Квартиры!E538)</f>
        <v/>
      </c>
      <c r="G540">
        <f>IF(Квартиры!F538="","",Квартиры!F538)</f>
        <v/>
      </c>
      <c r="H540">
        <f>IF(Квартиры!H538="","",Квартиры!H538)</f>
        <v/>
      </c>
      <c r="I540">
        <f>IF(Квартиры!I538="","",Квартиры!I538)</f>
        <v/>
      </c>
      <c r="J540">
        <f>IF(Квартиры!J538="","",Квартиры!J538)</f>
        <v/>
      </c>
    </row>
    <row r="541">
      <c r="A541">
        <f>IF(Квартиры!A539="","",Квартиры!A539)</f>
        <v/>
      </c>
      <c r="B541">
        <f>IF(Квартиры!B539="","",Квартиры!B539)</f>
        <v/>
      </c>
      <c r="C541">
        <f>IF(Квартиры!C539="","",Квартиры!C539)</f>
        <v/>
      </c>
      <c r="D541">
        <f>IF(Квартиры!D539="","",Квартиры!D539)</f>
        <v/>
      </c>
      <c r="E541">
        <f>IF(Квартиры!G539="","",Квартиры!G539)</f>
        <v/>
      </c>
      <c r="F541">
        <f>IF(Квартиры!E539="","",Квартиры!E539)</f>
        <v/>
      </c>
      <c r="G541">
        <f>IF(Квартиры!F539="","",Квартиры!F539)</f>
        <v/>
      </c>
      <c r="H541">
        <f>IF(Квартиры!H539="","",Квартиры!H539)</f>
        <v/>
      </c>
      <c r="I541">
        <f>IF(Квартиры!I539="","",Квартиры!I539)</f>
        <v/>
      </c>
      <c r="J541">
        <f>IF(Квартиры!J539="","",Квартиры!J539)</f>
        <v/>
      </c>
    </row>
    <row r="542">
      <c r="A542">
        <f>IF(Квартиры!A540="","",Квартиры!A540)</f>
        <v/>
      </c>
      <c r="B542">
        <f>IF(Квартиры!B540="","",Квартиры!B540)</f>
        <v/>
      </c>
      <c r="C542">
        <f>IF(Квартиры!C540="","",Квартиры!C540)</f>
        <v/>
      </c>
      <c r="D542">
        <f>IF(Квартиры!D540="","",Квартиры!D540)</f>
        <v/>
      </c>
      <c r="E542">
        <f>IF(Квартиры!G540="","",Квартиры!G540)</f>
        <v/>
      </c>
      <c r="F542">
        <f>IF(Квартиры!E540="","",Квартиры!E540)</f>
        <v/>
      </c>
      <c r="G542">
        <f>IF(Квартиры!F540="","",Квартиры!F540)</f>
        <v/>
      </c>
      <c r="H542">
        <f>IF(Квартиры!H540="","",Квартиры!H540)</f>
        <v/>
      </c>
      <c r="I542">
        <f>IF(Квартиры!I540="","",Квартиры!I540)</f>
        <v/>
      </c>
      <c r="J542">
        <f>IF(Квартиры!J540="","",Квартиры!J540)</f>
        <v/>
      </c>
    </row>
    <row r="543">
      <c r="A543">
        <f>IF(Квартиры!A541="","",Квартиры!A541)</f>
        <v/>
      </c>
      <c r="B543">
        <f>IF(Квартиры!B541="","",Квартиры!B541)</f>
        <v/>
      </c>
      <c r="C543">
        <f>IF(Квартиры!C541="","",Квартиры!C541)</f>
        <v/>
      </c>
      <c r="D543">
        <f>IF(Квартиры!D541="","",Квартиры!D541)</f>
        <v/>
      </c>
      <c r="E543">
        <f>IF(Квартиры!G541="","",Квартиры!G541)</f>
        <v/>
      </c>
      <c r="F543">
        <f>IF(Квартиры!E541="","",Квартиры!E541)</f>
        <v/>
      </c>
      <c r="G543">
        <f>IF(Квартиры!F541="","",Квартиры!F541)</f>
        <v/>
      </c>
      <c r="H543">
        <f>IF(Квартиры!H541="","",Квартиры!H541)</f>
        <v/>
      </c>
      <c r="I543">
        <f>IF(Квартиры!I541="","",Квартиры!I541)</f>
        <v/>
      </c>
      <c r="J543">
        <f>IF(Квартиры!J541="","",Квартиры!J541)</f>
        <v/>
      </c>
    </row>
    <row r="544">
      <c r="A544">
        <f>IF(Квартиры!A542="","",Квартиры!A542)</f>
        <v/>
      </c>
      <c r="B544">
        <f>IF(Квартиры!B542="","",Квартиры!B542)</f>
        <v/>
      </c>
      <c r="C544">
        <f>IF(Квартиры!C542="","",Квартиры!C542)</f>
        <v/>
      </c>
      <c r="D544">
        <f>IF(Квартиры!D542="","",Квартиры!D542)</f>
        <v/>
      </c>
      <c r="E544">
        <f>IF(Квартиры!G542="","",Квартиры!G542)</f>
        <v/>
      </c>
      <c r="F544">
        <f>IF(Квартиры!E542="","",Квартиры!E542)</f>
        <v/>
      </c>
      <c r="G544">
        <f>IF(Квартиры!F542="","",Квартиры!F542)</f>
        <v/>
      </c>
      <c r="H544">
        <f>IF(Квартиры!H542="","",Квартиры!H542)</f>
        <v/>
      </c>
      <c r="I544">
        <f>IF(Квартиры!I542="","",Квартиры!I542)</f>
        <v/>
      </c>
      <c r="J544">
        <f>IF(Квартиры!J542="","",Квартиры!J542)</f>
        <v/>
      </c>
    </row>
    <row r="545">
      <c r="A545">
        <f>IF(Квартиры!A543="","",Квартиры!A543)</f>
        <v/>
      </c>
      <c r="B545">
        <f>IF(Квартиры!B543="","",Квартиры!B543)</f>
        <v/>
      </c>
      <c r="C545">
        <f>IF(Квартиры!C543="","",Квартиры!C543)</f>
        <v/>
      </c>
      <c r="D545">
        <f>IF(Квартиры!D543="","",Квартиры!D543)</f>
        <v/>
      </c>
      <c r="E545">
        <f>IF(Квартиры!G543="","",Квартиры!G543)</f>
        <v/>
      </c>
      <c r="F545">
        <f>IF(Квартиры!E543="","",Квартиры!E543)</f>
        <v/>
      </c>
      <c r="G545">
        <f>IF(Квартиры!F543="","",Квартиры!F543)</f>
        <v/>
      </c>
      <c r="H545">
        <f>IF(Квартиры!H543="","",Квартиры!H543)</f>
        <v/>
      </c>
      <c r="I545">
        <f>IF(Квартиры!I543="","",Квартиры!I543)</f>
        <v/>
      </c>
      <c r="J545">
        <f>IF(Квартиры!J543="","",Квартиры!J543)</f>
        <v/>
      </c>
    </row>
    <row r="546">
      <c r="A546">
        <f>IF(Квартиры!A544="","",Квартиры!A544)</f>
        <v/>
      </c>
      <c r="B546">
        <f>IF(Квартиры!B544="","",Квартиры!B544)</f>
        <v/>
      </c>
      <c r="C546">
        <f>IF(Квартиры!C544="","",Квартиры!C544)</f>
        <v/>
      </c>
      <c r="D546">
        <f>IF(Квартиры!D544="","",Квартиры!D544)</f>
        <v/>
      </c>
      <c r="E546">
        <f>IF(Квартиры!G544="","",Квартиры!G544)</f>
        <v/>
      </c>
      <c r="F546">
        <f>IF(Квартиры!E544="","",Квартиры!E544)</f>
        <v/>
      </c>
      <c r="G546">
        <f>IF(Квартиры!F544="","",Квартиры!F544)</f>
        <v/>
      </c>
      <c r="H546">
        <f>IF(Квартиры!H544="","",Квартиры!H544)</f>
        <v/>
      </c>
      <c r="I546">
        <f>IF(Квартиры!I544="","",Квартиры!I544)</f>
        <v/>
      </c>
      <c r="J546">
        <f>IF(Квартиры!J544="","",Квартиры!J544)</f>
        <v/>
      </c>
    </row>
    <row r="547">
      <c r="A547">
        <f>IF(Квартиры!A545="","",Квартиры!A545)</f>
        <v/>
      </c>
      <c r="B547">
        <f>IF(Квартиры!B545="","",Квартиры!B545)</f>
        <v/>
      </c>
      <c r="C547">
        <f>IF(Квартиры!C545="","",Квартиры!C545)</f>
        <v/>
      </c>
      <c r="D547">
        <f>IF(Квартиры!D545="","",Квартиры!D545)</f>
        <v/>
      </c>
      <c r="E547">
        <f>IF(Квартиры!G545="","",Квартиры!G545)</f>
        <v/>
      </c>
      <c r="F547">
        <f>IF(Квартиры!E545="","",Квартиры!E545)</f>
        <v/>
      </c>
      <c r="G547">
        <f>IF(Квартиры!F545="","",Квартиры!F545)</f>
        <v/>
      </c>
      <c r="H547">
        <f>IF(Квартиры!H545="","",Квартиры!H545)</f>
        <v/>
      </c>
      <c r="I547">
        <f>IF(Квартиры!I545="","",Квартиры!I545)</f>
        <v/>
      </c>
      <c r="J547">
        <f>IF(Квартиры!J545="","",Квартиры!J545)</f>
        <v/>
      </c>
    </row>
    <row r="548">
      <c r="A548">
        <f>IF(Квартиры!A546="","",Квартиры!A546)</f>
        <v/>
      </c>
      <c r="B548">
        <f>IF(Квартиры!B546="","",Квартиры!B546)</f>
        <v/>
      </c>
      <c r="C548">
        <f>IF(Квартиры!C546="","",Квартиры!C546)</f>
        <v/>
      </c>
      <c r="D548">
        <f>IF(Квартиры!D546="","",Квартиры!D546)</f>
        <v/>
      </c>
      <c r="E548">
        <f>IF(Квартиры!G546="","",Квартиры!G546)</f>
        <v/>
      </c>
      <c r="F548">
        <f>IF(Квартиры!E546="","",Квартиры!E546)</f>
        <v/>
      </c>
      <c r="G548">
        <f>IF(Квартиры!F546="","",Квартиры!F546)</f>
        <v/>
      </c>
      <c r="H548">
        <f>IF(Квартиры!H546="","",Квартиры!H546)</f>
        <v/>
      </c>
      <c r="I548">
        <f>IF(Квартиры!I546="","",Квартиры!I546)</f>
        <v/>
      </c>
      <c r="J548">
        <f>IF(Квартиры!J546="","",Квартиры!J546)</f>
        <v/>
      </c>
    </row>
    <row r="549">
      <c r="A549">
        <f>IF(Квартиры!A547="","",Квартиры!A547)</f>
        <v/>
      </c>
      <c r="B549">
        <f>IF(Квартиры!B547="","",Квартиры!B547)</f>
        <v/>
      </c>
      <c r="C549">
        <f>IF(Квартиры!C547="","",Квартиры!C547)</f>
        <v/>
      </c>
      <c r="D549">
        <f>IF(Квартиры!D547="","",Квартиры!D547)</f>
        <v/>
      </c>
      <c r="E549">
        <f>IF(Квартиры!G547="","",Квартиры!G547)</f>
        <v/>
      </c>
      <c r="F549">
        <f>IF(Квартиры!E547="","",Квартиры!E547)</f>
        <v/>
      </c>
      <c r="G549">
        <f>IF(Квартиры!F547="","",Квартиры!F547)</f>
        <v/>
      </c>
      <c r="H549">
        <f>IF(Квартиры!H547="","",Квартиры!H547)</f>
        <v/>
      </c>
      <c r="I549">
        <f>IF(Квартиры!I547="","",Квартиры!I547)</f>
        <v/>
      </c>
      <c r="J549">
        <f>IF(Квартиры!J547="","",Квартиры!J547)</f>
        <v/>
      </c>
    </row>
    <row r="550">
      <c r="A550">
        <f>IF(Квартиры!A548="","",Квартиры!A548)</f>
        <v/>
      </c>
      <c r="B550">
        <f>IF(Квартиры!B548="","",Квартиры!B548)</f>
        <v/>
      </c>
      <c r="C550">
        <f>IF(Квартиры!C548="","",Квартиры!C548)</f>
        <v/>
      </c>
      <c r="D550">
        <f>IF(Квартиры!D548="","",Квартиры!D548)</f>
        <v/>
      </c>
      <c r="E550">
        <f>IF(Квартиры!G548="","",Квартиры!G548)</f>
        <v/>
      </c>
      <c r="F550">
        <f>IF(Квартиры!E548="","",Квартиры!E548)</f>
        <v/>
      </c>
      <c r="G550">
        <f>IF(Квартиры!F548="","",Квартиры!F548)</f>
        <v/>
      </c>
      <c r="H550">
        <f>IF(Квартиры!H548="","",Квартиры!H548)</f>
        <v/>
      </c>
      <c r="I550">
        <f>IF(Квартиры!I548="","",Квартиры!I548)</f>
        <v/>
      </c>
      <c r="J550">
        <f>IF(Квартиры!J548="","",Квартиры!J548)</f>
        <v/>
      </c>
    </row>
    <row r="551">
      <c r="A551">
        <f>IF(Квартиры!A549="","",Квартиры!A549)</f>
        <v/>
      </c>
      <c r="B551">
        <f>IF(Квартиры!B549="","",Квартиры!B549)</f>
        <v/>
      </c>
      <c r="C551">
        <f>IF(Квартиры!C549="","",Квартиры!C549)</f>
        <v/>
      </c>
      <c r="D551">
        <f>IF(Квартиры!D549="","",Квартиры!D549)</f>
        <v/>
      </c>
      <c r="E551">
        <f>IF(Квартиры!G549="","",Квартиры!G549)</f>
        <v/>
      </c>
      <c r="F551">
        <f>IF(Квартиры!E549="","",Квартиры!E549)</f>
        <v/>
      </c>
      <c r="G551">
        <f>IF(Квартиры!F549="","",Квартиры!F549)</f>
        <v/>
      </c>
      <c r="H551">
        <f>IF(Квартиры!H549="","",Квартиры!H549)</f>
        <v/>
      </c>
      <c r="I551">
        <f>IF(Квартиры!I549="","",Квартиры!I549)</f>
        <v/>
      </c>
      <c r="J551">
        <f>IF(Квартиры!J549="","",Квартиры!J549)</f>
        <v/>
      </c>
    </row>
    <row r="552">
      <c r="A552">
        <f>IF(Квартиры!A550="","",Квартиры!A550)</f>
        <v/>
      </c>
      <c r="B552">
        <f>IF(Квартиры!B550="","",Квартиры!B550)</f>
        <v/>
      </c>
      <c r="C552">
        <f>IF(Квартиры!C550="","",Квартиры!C550)</f>
        <v/>
      </c>
      <c r="D552">
        <f>IF(Квартиры!D550="","",Квартиры!D550)</f>
        <v/>
      </c>
      <c r="E552">
        <f>IF(Квартиры!G550="","",Квартиры!G550)</f>
        <v/>
      </c>
      <c r="F552">
        <f>IF(Квартиры!E550="","",Квартиры!E550)</f>
        <v/>
      </c>
      <c r="G552">
        <f>IF(Квартиры!F550="","",Квартиры!F550)</f>
        <v/>
      </c>
      <c r="H552">
        <f>IF(Квартиры!H550="","",Квартиры!H550)</f>
        <v/>
      </c>
      <c r="I552">
        <f>IF(Квартиры!I550="","",Квартиры!I550)</f>
        <v/>
      </c>
      <c r="J552">
        <f>IF(Квартиры!J550="","",Квартиры!J550)</f>
        <v/>
      </c>
    </row>
    <row r="553">
      <c r="A553">
        <f>IF(Квартиры!A551="","",Квартиры!A551)</f>
        <v/>
      </c>
      <c r="B553">
        <f>IF(Квартиры!B551="","",Квартиры!B551)</f>
        <v/>
      </c>
      <c r="C553">
        <f>IF(Квартиры!C551="","",Квартиры!C551)</f>
        <v/>
      </c>
      <c r="D553">
        <f>IF(Квартиры!D551="","",Квартиры!D551)</f>
        <v/>
      </c>
      <c r="E553">
        <f>IF(Квартиры!G551="","",Квартиры!G551)</f>
        <v/>
      </c>
      <c r="F553">
        <f>IF(Квартиры!E551="","",Квартиры!E551)</f>
        <v/>
      </c>
      <c r="G553">
        <f>IF(Квартиры!F551="","",Квартиры!F551)</f>
        <v/>
      </c>
      <c r="H553">
        <f>IF(Квартиры!H551="","",Квартиры!H551)</f>
        <v/>
      </c>
      <c r="I553">
        <f>IF(Квартиры!I551="","",Квартиры!I551)</f>
        <v/>
      </c>
      <c r="J553">
        <f>IF(Квартиры!J551="","",Квартиры!J551)</f>
        <v/>
      </c>
    </row>
    <row r="554">
      <c r="A554">
        <f>IF(Квартиры!A552="","",Квартиры!A552)</f>
        <v/>
      </c>
      <c r="B554">
        <f>IF(Квартиры!B552="","",Квартиры!B552)</f>
        <v/>
      </c>
      <c r="C554">
        <f>IF(Квартиры!C552="","",Квартиры!C552)</f>
        <v/>
      </c>
      <c r="D554">
        <f>IF(Квартиры!D552="","",Квартиры!D552)</f>
        <v/>
      </c>
      <c r="E554">
        <f>IF(Квартиры!G552="","",Квартиры!G552)</f>
        <v/>
      </c>
      <c r="F554">
        <f>IF(Квартиры!E552="","",Квартиры!E552)</f>
        <v/>
      </c>
      <c r="G554">
        <f>IF(Квартиры!F552="","",Квартиры!F552)</f>
        <v/>
      </c>
      <c r="H554">
        <f>IF(Квартиры!H552="","",Квартиры!H552)</f>
        <v/>
      </c>
      <c r="I554">
        <f>IF(Квартиры!I552="","",Квартиры!I552)</f>
        <v/>
      </c>
      <c r="J554">
        <f>IF(Квартиры!J552="","",Квартиры!J552)</f>
        <v/>
      </c>
    </row>
    <row r="555">
      <c r="A555">
        <f>IF(Квартиры!A553="","",Квартиры!A553)</f>
        <v/>
      </c>
      <c r="B555">
        <f>IF(Квартиры!B553="","",Квартиры!B553)</f>
        <v/>
      </c>
      <c r="C555">
        <f>IF(Квартиры!C553="","",Квартиры!C553)</f>
        <v/>
      </c>
      <c r="D555">
        <f>IF(Квартиры!D553="","",Квартиры!D553)</f>
        <v/>
      </c>
      <c r="E555">
        <f>IF(Квартиры!G553="","",Квартиры!G553)</f>
        <v/>
      </c>
      <c r="F555">
        <f>IF(Квартиры!E553="","",Квартиры!E553)</f>
        <v/>
      </c>
      <c r="G555">
        <f>IF(Квартиры!F553="","",Квартиры!F553)</f>
        <v/>
      </c>
      <c r="H555">
        <f>IF(Квартиры!H553="","",Квартиры!H553)</f>
        <v/>
      </c>
      <c r="I555">
        <f>IF(Квартиры!I553="","",Квартиры!I553)</f>
        <v/>
      </c>
      <c r="J555">
        <f>IF(Квартиры!J553="","",Квартиры!J553)</f>
        <v/>
      </c>
    </row>
    <row r="556">
      <c r="A556">
        <f>IF(Квартиры!A554="","",Квартиры!A554)</f>
        <v/>
      </c>
      <c r="B556">
        <f>IF(Квартиры!B554="","",Квартиры!B554)</f>
        <v/>
      </c>
      <c r="C556">
        <f>IF(Квартиры!C554="","",Квартиры!C554)</f>
        <v/>
      </c>
      <c r="D556">
        <f>IF(Квартиры!D554="","",Квартиры!D554)</f>
        <v/>
      </c>
      <c r="E556">
        <f>IF(Квартиры!G554="","",Квартиры!G554)</f>
        <v/>
      </c>
      <c r="F556">
        <f>IF(Квартиры!E554="","",Квартиры!E554)</f>
        <v/>
      </c>
      <c r="G556">
        <f>IF(Квартиры!F554="","",Квартиры!F554)</f>
        <v/>
      </c>
      <c r="H556">
        <f>IF(Квартиры!H554="","",Квартиры!H554)</f>
        <v/>
      </c>
      <c r="I556">
        <f>IF(Квартиры!I554="","",Квартиры!I554)</f>
        <v/>
      </c>
      <c r="J556">
        <f>IF(Квартиры!J554="","",Квартиры!J554)</f>
        <v/>
      </c>
    </row>
    <row r="557">
      <c r="A557">
        <f>IF(Квартиры!A555="","",Квартиры!A555)</f>
        <v/>
      </c>
      <c r="B557">
        <f>IF(Квартиры!B555="","",Квартиры!B555)</f>
        <v/>
      </c>
      <c r="C557">
        <f>IF(Квартиры!C555="","",Квартиры!C555)</f>
        <v/>
      </c>
      <c r="D557">
        <f>IF(Квартиры!D555="","",Квартиры!D555)</f>
        <v/>
      </c>
      <c r="E557">
        <f>IF(Квартиры!G555="","",Квартиры!G555)</f>
        <v/>
      </c>
      <c r="F557">
        <f>IF(Квартиры!E555="","",Квартиры!E555)</f>
        <v/>
      </c>
      <c r="G557">
        <f>IF(Квартиры!F555="","",Квартиры!F555)</f>
        <v/>
      </c>
      <c r="H557">
        <f>IF(Квартиры!H555="","",Квартиры!H555)</f>
        <v/>
      </c>
      <c r="I557">
        <f>IF(Квартиры!I555="","",Квартиры!I555)</f>
        <v/>
      </c>
      <c r="J557">
        <f>IF(Квартиры!J555="","",Квартиры!J555)</f>
        <v/>
      </c>
    </row>
    <row r="558">
      <c r="A558">
        <f>IF(Квартиры!A556="","",Квартиры!A556)</f>
        <v/>
      </c>
      <c r="B558">
        <f>IF(Квартиры!B556="","",Квартиры!B556)</f>
        <v/>
      </c>
      <c r="C558">
        <f>IF(Квартиры!C556="","",Квартиры!C556)</f>
        <v/>
      </c>
      <c r="D558">
        <f>IF(Квартиры!D556="","",Квартиры!D556)</f>
        <v/>
      </c>
      <c r="E558">
        <f>IF(Квартиры!G556="","",Квартиры!G556)</f>
        <v/>
      </c>
      <c r="F558">
        <f>IF(Квартиры!E556="","",Квартиры!E556)</f>
        <v/>
      </c>
      <c r="G558">
        <f>IF(Квартиры!F556="","",Квартиры!F556)</f>
        <v/>
      </c>
      <c r="H558">
        <f>IF(Квартиры!H556="","",Квартиры!H556)</f>
        <v/>
      </c>
      <c r="I558">
        <f>IF(Квартиры!I556="","",Квартиры!I556)</f>
        <v/>
      </c>
      <c r="J558">
        <f>IF(Квартиры!J556="","",Квартиры!J556)</f>
        <v/>
      </c>
    </row>
    <row r="559">
      <c r="A559">
        <f>IF(Квартиры!A557="","",Квартиры!A557)</f>
        <v/>
      </c>
      <c r="B559">
        <f>IF(Квартиры!B557="","",Квартиры!B557)</f>
        <v/>
      </c>
      <c r="C559">
        <f>IF(Квартиры!C557="","",Квартиры!C557)</f>
        <v/>
      </c>
      <c r="D559">
        <f>IF(Квартиры!D557="","",Квартиры!D557)</f>
        <v/>
      </c>
      <c r="E559">
        <f>IF(Квартиры!G557="","",Квартиры!G557)</f>
        <v/>
      </c>
      <c r="F559">
        <f>IF(Квартиры!E557="","",Квартиры!E557)</f>
        <v/>
      </c>
      <c r="G559">
        <f>IF(Квартиры!F557="","",Квартиры!F557)</f>
        <v/>
      </c>
      <c r="H559">
        <f>IF(Квартиры!H557="","",Квартиры!H557)</f>
        <v/>
      </c>
      <c r="I559">
        <f>IF(Квартиры!I557="","",Квартиры!I557)</f>
        <v/>
      </c>
      <c r="J559">
        <f>IF(Квартиры!J557="","",Квартиры!J557)</f>
        <v/>
      </c>
    </row>
    <row r="560">
      <c r="A560">
        <f>IF(Квартиры!A558="","",Квартиры!A558)</f>
        <v/>
      </c>
      <c r="B560">
        <f>IF(Квартиры!B558="","",Квартиры!B558)</f>
        <v/>
      </c>
      <c r="C560">
        <f>IF(Квартиры!C558="","",Квартиры!C558)</f>
        <v/>
      </c>
      <c r="D560">
        <f>IF(Квартиры!D558="","",Квартиры!D558)</f>
        <v/>
      </c>
      <c r="E560">
        <f>IF(Квартиры!G558="","",Квартиры!G558)</f>
        <v/>
      </c>
      <c r="F560">
        <f>IF(Квартиры!E558="","",Квартиры!E558)</f>
        <v/>
      </c>
      <c r="G560">
        <f>IF(Квартиры!F558="","",Квартиры!F558)</f>
        <v/>
      </c>
      <c r="H560">
        <f>IF(Квартиры!H558="","",Квартиры!H558)</f>
        <v/>
      </c>
      <c r="I560">
        <f>IF(Квартиры!I558="","",Квартиры!I558)</f>
        <v/>
      </c>
      <c r="J560">
        <f>IF(Квартиры!J558="","",Квартиры!J558)</f>
        <v/>
      </c>
    </row>
    <row r="561">
      <c r="A561">
        <f>IF(Квартиры!A559="","",Квартиры!A559)</f>
        <v/>
      </c>
      <c r="B561">
        <f>IF(Квартиры!B559="","",Квартиры!B559)</f>
        <v/>
      </c>
      <c r="C561">
        <f>IF(Квартиры!C559="","",Квартиры!C559)</f>
        <v/>
      </c>
      <c r="D561">
        <f>IF(Квартиры!D559="","",Квартиры!D559)</f>
        <v/>
      </c>
      <c r="E561">
        <f>IF(Квартиры!G559="","",Квартиры!G559)</f>
        <v/>
      </c>
      <c r="F561">
        <f>IF(Квартиры!E559="","",Квартиры!E559)</f>
        <v/>
      </c>
      <c r="G561">
        <f>IF(Квартиры!F559="","",Квартиры!F559)</f>
        <v/>
      </c>
      <c r="H561">
        <f>IF(Квартиры!H559="","",Квартиры!H559)</f>
        <v/>
      </c>
      <c r="I561">
        <f>IF(Квартиры!I559="","",Квартиры!I559)</f>
        <v/>
      </c>
      <c r="J561">
        <f>IF(Квартиры!J559="","",Квартиры!J559)</f>
        <v/>
      </c>
    </row>
    <row r="562">
      <c r="A562">
        <f>IF(Квартиры!A560="","",Квартиры!A560)</f>
        <v/>
      </c>
      <c r="B562">
        <f>IF(Квартиры!B560="","",Квартиры!B560)</f>
        <v/>
      </c>
      <c r="C562">
        <f>IF(Квартиры!C560="","",Квартиры!C560)</f>
        <v/>
      </c>
      <c r="D562">
        <f>IF(Квартиры!D560="","",Квартиры!D560)</f>
        <v/>
      </c>
      <c r="E562">
        <f>IF(Квартиры!G560="","",Квартиры!G560)</f>
        <v/>
      </c>
      <c r="F562">
        <f>IF(Квартиры!E560="","",Квартиры!E560)</f>
        <v/>
      </c>
      <c r="G562">
        <f>IF(Квартиры!F560="","",Квартиры!F560)</f>
        <v/>
      </c>
      <c r="H562">
        <f>IF(Квартиры!H560="","",Квартиры!H560)</f>
        <v/>
      </c>
      <c r="I562">
        <f>IF(Квартиры!I560="","",Квартиры!I560)</f>
        <v/>
      </c>
      <c r="J562">
        <f>IF(Квартиры!J560="","",Квартиры!J560)</f>
        <v/>
      </c>
    </row>
    <row r="563">
      <c r="A563">
        <f>IF(Квартиры!A561="","",Квартиры!A561)</f>
        <v/>
      </c>
      <c r="B563">
        <f>IF(Квартиры!B561="","",Квартиры!B561)</f>
        <v/>
      </c>
      <c r="C563">
        <f>IF(Квартиры!C561="","",Квартиры!C561)</f>
        <v/>
      </c>
      <c r="D563">
        <f>IF(Квартиры!D561="","",Квартиры!D561)</f>
        <v/>
      </c>
      <c r="E563">
        <f>IF(Квартиры!G561="","",Квартиры!G561)</f>
        <v/>
      </c>
      <c r="F563">
        <f>IF(Квартиры!E561="","",Квартиры!E561)</f>
        <v/>
      </c>
      <c r="G563">
        <f>IF(Квартиры!F561="","",Квартиры!F561)</f>
        <v/>
      </c>
      <c r="H563">
        <f>IF(Квартиры!H561="","",Квартиры!H561)</f>
        <v/>
      </c>
      <c r="I563">
        <f>IF(Квартиры!I561="","",Квартиры!I561)</f>
        <v/>
      </c>
      <c r="J563">
        <f>IF(Квартиры!J561="","",Квартиры!J561)</f>
        <v/>
      </c>
    </row>
    <row r="564">
      <c r="A564">
        <f>IF(Квартиры!A562="","",Квартиры!A562)</f>
        <v/>
      </c>
      <c r="B564">
        <f>IF(Квартиры!B562="","",Квартиры!B562)</f>
        <v/>
      </c>
      <c r="C564">
        <f>IF(Квартиры!C562="","",Квартиры!C562)</f>
        <v/>
      </c>
      <c r="D564">
        <f>IF(Квартиры!D562="","",Квартиры!D562)</f>
        <v/>
      </c>
      <c r="E564">
        <f>IF(Квартиры!G562="","",Квартиры!G562)</f>
        <v/>
      </c>
      <c r="F564">
        <f>IF(Квартиры!E562="","",Квартиры!E562)</f>
        <v/>
      </c>
      <c r="G564">
        <f>IF(Квартиры!F562="","",Квартиры!F562)</f>
        <v/>
      </c>
      <c r="H564">
        <f>IF(Квартиры!H562="","",Квартиры!H562)</f>
        <v/>
      </c>
      <c r="I564">
        <f>IF(Квартиры!I562="","",Квартиры!I562)</f>
        <v/>
      </c>
      <c r="J564">
        <f>IF(Квартиры!J562="","",Квартиры!J562)</f>
        <v/>
      </c>
    </row>
    <row r="565">
      <c r="A565">
        <f>IF(Квартиры!A563="","",Квартиры!A563)</f>
        <v/>
      </c>
      <c r="B565">
        <f>IF(Квартиры!B563="","",Квартиры!B563)</f>
        <v/>
      </c>
      <c r="C565">
        <f>IF(Квартиры!C563="","",Квартиры!C563)</f>
        <v/>
      </c>
      <c r="D565">
        <f>IF(Квартиры!D563="","",Квартиры!D563)</f>
        <v/>
      </c>
      <c r="E565">
        <f>IF(Квартиры!G563="","",Квартиры!G563)</f>
        <v/>
      </c>
      <c r="F565">
        <f>IF(Квартиры!E563="","",Квартиры!E563)</f>
        <v/>
      </c>
      <c r="G565">
        <f>IF(Квартиры!F563="","",Квартиры!F563)</f>
        <v/>
      </c>
      <c r="H565">
        <f>IF(Квартиры!H563="","",Квартиры!H563)</f>
        <v/>
      </c>
      <c r="I565">
        <f>IF(Квартиры!I563="","",Квартиры!I563)</f>
        <v/>
      </c>
      <c r="J565">
        <f>IF(Квартиры!J563="","",Квартиры!J563)</f>
        <v/>
      </c>
    </row>
    <row r="566">
      <c r="A566">
        <f>IF(Квартиры!A564="","",Квартиры!A564)</f>
        <v/>
      </c>
      <c r="B566">
        <f>IF(Квартиры!B564="","",Квартиры!B564)</f>
        <v/>
      </c>
      <c r="C566">
        <f>IF(Квартиры!C564="","",Квартиры!C564)</f>
        <v/>
      </c>
      <c r="D566">
        <f>IF(Квартиры!D564="","",Квартиры!D564)</f>
        <v/>
      </c>
      <c r="E566">
        <f>IF(Квартиры!G564="","",Квартиры!G564)</f>
        <v/>
      </c>
      <c r="F566">
        <f>IF(Квартиры!E564="","",Квартиры!E564)</f>
        <v/>
      </c>
      <c r="G566">
        <f>IF(Квартиры!F564="","",Квартиры!F564)</f>
        <v/>
      </c>
      <c r="H566">
        <f>IF(Квартиры!H564="","",Квартиры!H564)</f>
        <v/>
      </c>
      <c r="I566">
        <f>IF(Квартиры!I564="","",Квартиры!I564)</f>
        <v/>
      </c>
      <c r="J566">
        <f>IF(Квартиры!J564="","",Квартиры!J564)</f>
        <v/>
      </c>
    </row>
    <row r="567">
      <c r="A567">
        <f>IF(Квартиры!A565="","",Квартиры!A565)</f>
        <v/>
      </c>
      <c r="B567">
        <f>IF(Квартиры!B565="","",Квартиры!B565)</f>
        <v/>
      </c>
      <c r="C567">
        <f>IF(Квартиры!C565="","",Квартиры!C565)</f>
        <v/>
      </c>
      <c r="D567">
        <f>IF(Квартиры!D565="","",Квартиры!D565)</f>
        <v/>
      </c>
      <c r="E567">
        <f>IF(Квартиры!G565="","",Квартиры!G565)</f>
        <v/>
      </c>
      <c r="F567">
        <f>IF(Квартиры!E565="","",Квартиры!E565)</f>
        <v/>
      </c>
      <c r="G567">
        <f>IF(Квартиры!F565="","",Квартиры!F565)</f>
        <v/>
      </c>
      <c r="H567">
        <f>IF(Квартиры!H565="","",Квартиры!H565)</f>
        <v/>
      </c>
      <c r="I567">
        <f>IF(Квартиры!I565="","",Квартиры!I565)</f>
        <v/>
      </c>
      <c r="J567">
        <f>IF(Квартиры!J565="","",Квартиры!J565)</f>
        <v/>
      </c>
    </row>
    <row r="568">
      <c r="A568">
        <f>IF(Квартиры!A566="","",Квартиры!A566)</f>
        <v/>
      </c>
      <c r="B568">
        <f>IF(Квартиры!B566="","",Квартиры!B566)</f>
        <v/>
      </c>
      <c r="C568">
        <f>IF(Квартиры!C566="","",Квартиры!C566)</f>
        <v/>
      </c>
      <c r="D568">
        <f>IF(Квартиры!D566="","",Квартиры!D566)</f>
        <v/>
      </c>
      <c r="E568">
        <f>IF(Квартиры!G566="","",Квартиры!G566)</f>
        <v/>
      </c>
      <c r="F568">
        <f>IF(Квартиры!E566="","",Квартиры!E566)</f>
        <v/>
      </c>
      <c r="G568">
        <f>IF(Квартиры!F566="","",Квартиры!F566)</f>
        <v/>
      </c>
      <c r="H568">
        <f>IF(Квартиры!H566="","",Квартиры!H566)</f>
        <v/>
      </c>
      <c r="I568">
        <f>IF(Квартиры!I566="","",Квартиры!I566)</f>
        <v/>
      </c>
      <c r="J568">
        <f>IF(Квартиры!J566="","",Квартиры!J566)</f>
        <v/>
      </c>
    </row>
    <row r="569">
      <c r="A569">
        <f>IF(Квартиры!A567="","",Квартиры!A567)</f>
        <v/>
      </c>
      <c r="B569">
        <f>IF(Квартиры!B567="","",Квартиры!B567)</f>
        <v/>
      </c>
      <c r="C569">
        <f>IF(Квартиры!C567="","",Квартиры!C567)</f>
        <v/>
      </c>
      <c r="D569">
        <f>IF(Квартиры!D567="","",Квартиры!D567)</f>
        <v/>
      </c>
      <c r="E569">
        <f>IF(Квартиры!G567="","",Квартиры!G567)</f>
        <v/>
      </c>
      <c r="F569">
        <f>IF(Квартиры!E567="","",Квартиры!E567)</f>
        <v/>
      </c>
      <c r="G569">
        <f>IF(Квартиры!F567="","",Квартиры!F567)</f>
        <v/>
      </c>
      <c r="H569">
        <f>IF(Квартиры!H567="","",Квартиры!H567)</f>
        <v/>
      </c>
      <c r="I569">
        <f>IF(Квартиры!I567="","",Квартиры!I567)</f>
        <v/>
      </c>
      <c r="J569">
        <f>IF(Квартиры!J567="","",Квартиры!J567)</f>
        <v/>
      </c>
    </row>
    <row r="570">
      <c r="A570">
        <f>IF(Квартиры!A568="","",Квартиры!A568)</f>
        <v/>
      </c>
      <c r="B570">
        <f>IF(Квартиры!B568="","",Квартиры!B568)</f>
        <v/>
      </c>
      <c r="C570">
        <f>IF(Квартиры!C568="","",Квартиры!C568)</f>
        <v/>
      </c>
      <c r="D570">
        <f>IF(Квартиры!D568="","",Квартиры!D568)</f>
        <v/>
      </c>
      <c r="E570">
        <f>IF(Квартиры!G568="","",Квартиры!G568)</f>
        <v/>
      </c>
      <c r="F570">
        <f>IF(Квартиры!E568="","",Квартиры!E568)</f>
        <v/>
      </c>
      <c r="G570">
        <f>IF(Квартиры!F568="","",Квартиры!F568)</f>
        <v/>
      </c>
      <c r="H570">
        <f>IF(Квартиры!H568="","",Квартиры!H568)</f>
        <v/>
      </c>
      <c r="I570">
        <f>IF(Квартиры!I568="","",Квартиры!I568)</f>
        <v/>
      </c>
      <c r="J570">
        <f>IF(Квартиры!J568="","",Квартиры!J568)</f>
        <v/>
      </c>
    </row>
    <row r="571">
      <c r="A571">
        <f>IF(Квартиры!A569="","",Квартиры!A569)</f>
        <v/>
      </c>
      <c r="B571">
        <f>IF(Квартиры!B569="","",Квартиры!B569)</f>
        <v/>
      </c>
      <c r="C571">
        <f>IF(Квартиры!C569="","",Квартиры!C569)</f>
        <v/>
      </c>
      <c r="D571">
        <f>IF(Квартиры!D569="","",Квартиры!D569)</f>
        <v/>
      </c>
      <c r="E571">
        <f>IF(Квартиры!G569="","",Квартиры!G569)</f>
        <v/>
      </c>
      <c r="F571">
        <f>IF(Квартиры!E569="","",Квартиры!E569)</f>
        <v/>
      </c>
      <c r="G571">
        <f>IF(Квартиры!F569="","",Квартиры!F569)</f>
        <v/>
      </c>
      <c r="H571">
        <f>IF(Квартиры!H569="","",Квартиры!H569)</f>
        <v/>
      </c>
      <c r="I571">
        <f>IF(Квартиры!I569="","",Квартиры!I569)</f>
        <v/>
      </c>
      <c r="J571">
        <f>IF(Квартиры!J569="","",Квартиры!J569)</f>
        <v/>
      </c>
    </row>
    <row r="572">
      <c r="A572">
        <f>IF(Квартиры!A570="","",Квартиры!A570)</f>
        <v/>
      </c>
      <c r="B572">
        <f>IF(Квартиры!B570="","",Квартиры!B570)</f>
        <v/>
      </c>
      <c r="C572">
        <f>IF(Квартиры!C570="","",Квартиры!C570)</f>
        <v/>
      </c>
      <c r="D572">
        <f>IF(Квартиры!D570="","",Квартиры!D570)</f>
        <v/>
      </c>
      <c r="E572">
        <f>IF(Квартиры!G570="","",Квартиры!G570)</f>
        <v/>
      </c>
      <c r="F572">
        <f>IF(Квартиры!E570="","",Квартиры!E570)</f>
        <v/>
      </c>
      <c r="G572">
        <f>IF(Квартиры!F570="","",Квартиры!F570)</f>
        <v/>
      </c>
      <c r="H572">
        <f>IF(Квартиры!H570="","",Квартиры!H570)</f>
        <v/>
      </c>
      <c r="I572">
        <f>IF(Квартиры!I570="","",Квартиры!I570)</f>
        <v/>
      </c>
      <c r="J572">
        <f>IF(Квартиры!J570="","",Квартиры!J570)</f>
        <v/>
      </c>
    </row>
    <row r="573">
      <c r="A573">
        <f>IF(Квартиры!A571="","",Квартиры!A571)</f>
        <v/>
      </c>
      <c r="B573">
        <f>IF(Квартиры!B571="","",Квартиры!B571)</f>
        <v/>
      </c>
      <c r="C573">
        <f>IF(Квартиры!C571="","",Квартиры!C571)</f>
        <v/>
      </c>
      <c r="D573">
        <f>IF(Квартиры!D571="","",Квартиры!D571)</f>
        <v/>
      </c>
      <c r="E573">
        <f>IF(Квартиры!G571="","",Квартиры!G571)</f>
        <v/>
      </c>
      <c r="F573">
        <f>IF(Квартиры!E571="","",Квартиры!E571)</f>
        <v/>
      </c>
      <c r="G573">
        <f>IF(Квартиры!F571="","",Квартиры!F571)</f>
        <v/>
      </c>
      <c r="H573">
        <f>IF(Квартиры!H571="","",Квартиры!H571)</f>
        <v/>
      </c>
      <c r="I573">
        <f>IF(Квартиры!I571="","",Квартиры!I571)</f>
        <v/>
      </c>
      <c r="J573">
        <f>IF(Квартиры!J571="","",Квартиры!J571)</f>
        <v/>
      </c>
    </row>
    <row r="574">
      <c r="A574">
        <f>IF(Квартиры!A572="","",Квартиры!A572)</f>
        <v/>
      </c>
      <c r="B574">
        <f>IF(Квартиры!B572="","",Квартиры!B572)</f>
        <v/>
      </c>
      <c r="C574">
        <f>IF(Квартиры!C572="","",Квартиры!C572)</f>
        <v/>
      </c>
      <c r="D574">
        <f>IF(Квартиры!D572="","",Квартиры!D572)</f>
        <v/>
      </c>
      <c r="E574">
        <f>IF(Квартиры!G572="","",Квартиры!G572)</f>
        <v/>
      </c>
      <c r="F574">
        <f>IF(Квартиры!E572="","",Квартиры!E572)</f>
        <v/>
      </c>
      <c r="G574">
        <f>IF(Квартиры!F572="","",Квартиры!F572)</f>
        <v/>
      </c>
      <c r="H574">
        <f>IF(Квартиры!H572="","",Квартиры!H572)</f>
        <v/>
      </c>
      <c r="I574">
        <f>IF(Квартиры!I572="","",Квартиры!I572)</f>
        <v/>
      </c>
      <c r="J574">
        <f>IF(Квартиры!J572="","",Квартиры!J572)</f>
        <v/>
      </c>
    </row>
    <row r="575">
      <c r="A575">
        <f>IF(Квартиры!A573="","",Квартиры!A573)</f>
        <v/>
      </c>
      <c r="B575">
        <f>IF(Квартиры!B573="","",Квартиры!B573)</f>
        <v/>
      </c>
      <c r="C575">
        <f>IF(Квартиры!C573="","",Квартиры!C573)</f>
        <v/>
      </c>
      <c r="D575">
        <f>IF(Квартиры!D573="","",Квартиры!D573)</f>
        <v/>
      </c>
      <c r="E575">
        <f>IF(Квартиры!G573="","",Квартиры!G573)</f>
        <v/>
      </c>
      <c r="F575">
        <f>IF(Квартиры!E573="","",Квартиры!E573)</f>
        <v/>
      </c>
      <c r="G575">
        <f>IF(Квартиры!F573="","",Квартиры!F573)</f>
        <v/>
      </c>
      <c r="H575">
        <f>IF(Квартиры!H573="","",Квартиры!H573)</f>
        <v/>
      </c>
      <c r="I575">
        <f>IF(Квартиры!I573="","",Квартиры!I573)</f>
        <v/>
      </c>
      <c r="J575">
        <f>IF(Квартиры!J573="","",Квартиры!J573)</f>
        <v/>
      </c>
    </row>
    <row r="576">
      <c r="A576">
        <f>IF(Квартиры!A574="","",Квартиры!A574)</f>
        <v/>
      </c>
      <c r="B576">
        <f>IF(Квартиры!B574="","",Квартиры!B574)</f>
        <v/>
      </c>
      <c r="C576">
        <f>IF(Квартиры!C574="","",Квартиры!C574)</f>
        <v/>
      </c>
      <c r="D576">
        <f>IF(Квартиры!D574="","",Квартиры!D574)</f>
        <v/>
      </c>
      <c r="E576">
        <f>IF(Квартиры!G574="","",Квартиры!G574)</f>
        <v/>
      </c>
      <c r="F576">
        <f>IF(Квартиры!E574="","",Квартиры!E574)</f>
        <v/>
      </c>
      <c r="G576">
        <f>IF(Квартиры!F574="","",Квартиры!F574)</f>
        <v/>
      </c>
      <c r="H576">
        <f>IF(Квартиры!H574="","",Квартиры!H574)</f>
        <v/>
      </c>
      <c r="I576">
        <f>IF(Квартиры!I574="","",Квартиры!I574)</f>
        <v/>
      </c>
      <c r="J576">
        <f>IF(Квартиры!J574="","",Квартиры!J574)</f>
        <v/>
      </c>
    </row>
    <row r="577">
      <c r="A577">
        <f>IF(Квартиры!A575="","",Квартиры!A575)</f>
        <v/>
      </c>
      <c r="B577">
        <f>IF(Квартиры!B575="","",Квартиры!B575)</f>
        <v/>
      </c>
      <c r="C577">
        <f>IF(Квартиры!C575="","",Квартиры!C575)</f>
        <v/>
      </c>
      <c r="D577">
        <f>IF(Квартиры!D575="","",Квартиры!D575)</f>
        <v/>
      </c>
      <c r="E577">
        <f>IF(Квартиры!G575="","",Квартиры!G575)</f>
        <v/>
      </c>
      <c r="F577">
        <f>IF(Квартиры!E575="","",Квартиры!E575)</f>
        <v/>
      </c>
      <c r="G577">
        <f>IF(Квартиры!F575="","",Квартиры!F575)</f>
        <v/>
      </c>
      <c r="H577">
        <f>IF(Квартиры!H575="","",Квартиры!H575)</f>
        <v/>
      </c>
      <c r="I577">
        <f>IF(Квартиры!I575="","",Квартиры!I575)</f>
        <v/>
      </c>
      <c r="J577">
        <f>IF(Квартиры!J575="","",Квартиры!J575)</f>
        <v/>
      </c>
    </row>
    <row r="578">
      <c r="A578">
        <f>IF(Квартиры!A576="","",Квартиры!A576)</f>
        <v/>
      </c>
      <c r="B578">
        <f>IF(Квартиры!B576="","",Квартиры!B576)</f>
        <v/>
      </c>
      <c r="C578">
        <f>IF(Квартиры!C576="","",Квартиры!C576)</f>
        <v/>
      </c>
      <c r="D578">
        <f>IF(Квартиры!D576="","",Квартиры!D576)</f>
        <v/>
      </c>
      <c r="E578">
        <f>IF(Квартиры!G576="","",Квартиры!G576)</f>
        <v/>
      </c>
      <c r="F578">
        <f>IF(Квартиры!E576="","",Квартиры!E576)</f>
        <v/>
      </c>
      <c r="G578">
        <f>IF(Квартиры!F576="","",Квартиры!F576)</f>
        <v/>
      </c>
      <c r="H578">
        <f>IF(Квартиры!H576="","",Квартиры!H576)</f>
        <v/>
      </c>
      <c r="I578">
        <f>IF(Квартиры!I576="","",Квартиры!I576)</f>
        <v/>
      </c>
      <c r="J578">
        <f>IF(Квартиры!J576="","",Квартиры!J576)</f>
        <v/>
      </c>
    </row>
    <row r="579">
      <c r="A579">
        <f>IF(Квартиры!A577="","",Квартиры!A577)</f>
        <v/>
      </c>
      <c r="B579">
        <f>IF(Квартиры!B577="","",Квартиры!B577)</f>
        <v/>
      </c>
      <c r="C579">
        <f>IF(Квартиры!C577="","",Квартиры!C577)</f>
        <v/>
      </c>
      <c r="D579">
        <f>IF(Квартиры!D577="","",Квартиры!D577)</f>
        <v/>
      </c>
      <c r="E579">
        <f>IF(Квартиры!G577="","",Квартиры!G577)</f>
        <v/>
      </c>
      <c r="F579">
        <f>IF(Квартиры!E577="","",Квартиры!E577)</f>
        <v/>
      </c>
      <c r="G579">
        <f>IF(Квартиры!F577="","",Квартиры!F577)</f>
        <v/>
      </c>
      <c r="H579">
        <f>IF(Квартиры!H577="","",Квартиры!H577)</f>
        <v/>
      </c>
      <c r="I579">
        <f>IF(Квартиры!I577="","",Квартиры!I577)</f>
        <v/>
      </c>
      <c r="J579">
        <f>IF(Квартиры!J577="","",Квартиры!J577)</f>
        <v/>
      </c>
    </row>
    <row r="580">
      <c r="A580">
        <f>IF(Квартиры!A578="","",Квартиры!A578)</f>
        <v/>
      </c>
      <c r="B580">
        <f>IF(Квартиры!B578="","",Квартиры!B578)</f>
        <v/>
      </c>
      <c r="C580">
        <f>IF(Квартиры!C578="","",Квартиры!C578)</f>
        <v/>
      </c>
      <c r="D580">
        <f>IF(Квартиры!D578="","",Квартиры!D578)</f>
        <v/>
      </c>
      <c r="E580">
        <f>IF(Квартиры!G578="","",Квартиры!G578)</f>
        <v/>
      </c>
      <c r="F580">
        <f>IF(Квартиры!E578="","",Квартиры!E578)</f>
        <v/>
      </c>
      <c r="G580">
        <f>IF(Квартиры!F578="","",Квартиры!F578)</f>
        <v/>
      </c>
      <c r="H580">
        <f>IF(Квартиры!H578="","",Квартиры!H578)</f>
        <v/>
      </c>
      <c r="I580">
        <f>IF(Квартиры!I578="","",Квартиры!I578)</f>
        <v/>
      </c>
      <c r="J580">
        <f>IF(Квартиры!J578="","",Квартиры!J578)</f>
        <v/>
      </c>
    </row>
    <row r="581">
      <c r="A581">
        <f>IF(Квартиры!A579="","",Квартиры!A579)</f>
        <v/>
      </c>
      <c r="B581">
        <f>IF(Квартиры!B579="","",Квартиры!B579)</f>
        <v/>
      </c>
      <c r="C581">
        <f>IF(Квартиры!C579="","",Квартиры!C579)</f>
        <v/>
      </c>
      <c r="D581">
        <f>IF(Квартиры!D579="","",Квартиры!D579)</f>
        <v/>
      </c>
      <c r="E581">
        <f>IF(Квартиры!G579="","",Квартиры!G579)</f>
        <v/>
      </c>
      <c r="F581">
        <f>IF(Квартиры!E579="","",Квартиры!E579)</f>
        <v/>
      </c>
      <c r="G581">
        <f>IF(Квартиры!F579="","",Квартиры!F579)</f>
        <v/>
      </c>
      <c r="H581">
        <f>IF(Квартиры!H579="","",Квартиры!H579)</f>
        <v/>
      </c>
      <c r="I581">
        <f>IF(Квартиры!I579="","",Квартиры!I579)</f>
        <v/>
      </c>
      <c r="J581">
        <f>IF(Квартиры!J579="","",Квартиры!J579)</f>
        <v/>
      </c>
    </row>
    <row r="582">
      <c r="A582">
        <f>IF(Квартиры!A580="","",Квартиры!A580)</f>
        <v/>
      </c>
      <c r="B582">
        <f>IF(Квартиры!B580="","",Квартиры!B580)</f>
        <v/>
      </c>
      <c r="C582">
        <f>IF(Квартиры!C580="","",Квартиры!C580)</f>
        <v/>
      </c>
      <c r="D582">
        <f>IF(Квартиры!D580="","",Квартиры!D580)</f>
        <v/>
      </c>
      <c r="E582">
        <f>IF(Квартиры!G580="","",Квартиры!G580)</f>
        <v/>
      </c>
      <c r="F582">
        <f>IF(Квартиры!E580="","",Квартиры!E580)</f>
        <v/>
      </c>
      <c r="G582">
        <f>IF(Квартиры!F580="","",Квартиры!F580)</f>
        <v/>
      </c>
      <c r="H582">
        <f>IF(Квартиры!H580="","",Квартиры!H580)</f>
        <v/>
      </c>
      <c r="I582">
        <f>IF(Квартиры!I580="","",Квартиры!I580)</f>
        <v/>
      </c>
      <c r="J582">
        <f>IF(Квартиры!J580="","",Квартиры!J580)</f>
        <v/>
      </c>
    </row>
    <row r="583">
      <c r="A583">
        <f>IF(Квартиры!A581="","",Квартиры!A581)</f>
        <v/>
      </c>
      <c r="B583">
        <f>IF(Квартиры!B581="","",Квартиры!B581)</f>
        <v/>
      </c>
      <c r="C583">
        <f>IF(Квартиры!C581="","",Квартиры!C581)</f>
        <v/>
      </c>
      <c r="D583">
        <f>IF(Квартиры!D581="","",Квартиры!D581)</f>
        <v/>
      </c>
      <c r="E583">
        <f>IF(Квартиры!G581="","",Квартиры!G581)</f>
        <v/>
      </c>
      <c r="F583">
        <f>IF(Квартиры!E581="","",Квартиры!E581)</f>
        <v/>
      </c>
      <c r="G583">
        <f>IF(Квартиры!F581="","",Квартиры!F581)</f>
        <v/>
      </c>
      <c r="H583">
        <f>IF(Квартиры!H581="","",Квартиры!H581)</f>
        <v/>
      </c>
      <c r="I583">
        <f>IF(Квартиры!I581="","",Квартиры!I581)</f>
        <v/>
      </c>
      <c r="J583">
        <f>IF(Квартиры!J581="","",Квартиры!J581)</f>
        <v/>
      </c>
    </row>
    <row r="584">
      <c r="A584">
        <f>IF(Квартиры!A582="","",Квартиры!A582)</f>
        <v/>
      </c>
      <c r="B584">
        <f>IF(Квартиры!B582="","",Квартиры!B582)</f>
        <v/>
      </c>
      <c r="C584">
        <f>IF(Квартиры!C582="","",Квартиры!C582)</f>
        <v/>
      </c>
      <c r="D584">
        <f>IF(Квартиры!D582="","",Квартиры!D582)</f>
        <v/>
      </c>
      <c r="E584">
        <f>IF(Квартиры!G582="","",Квартиры!G582)</f>
        <v/>
      </c>
      <c r="F584">
        <f>IF(Квартиры!E582="","",Квартиры!E582)</f>
        <v/>
      </c>
      <c r="G584">
        <f>IF(Квартиры!F582="","",Квартиры!F582)</f>
        <v/>
      </c>
      <c r="H584">
        <f>IF(Квартиры!H582="","",Квартиры!H582)</f>
        <v/>
      </c>
      <c r="I584">
        <f>IF(Квартиры!I582="","",Квартиры!I582)</f>
        <v/>
      </c>
      <c r="J584">
        <f>IF(Квартиры!J582="","",Квартиры!J582)</f>
        <v/>
      </c>
    </row>
    <row r="585">
      <c r="A585">
        <f>IF(Квартиры!A583="","",Квартиры!A583)</f>
        <v/>
      </c>
      <c r="B585">
        <f>IF(Квартиры!B583="","",Квартиры!B583)</f>
        <v/>
      </c>
      <c r="C585">
        <f>IF(Квартиры!C583="","",Квартиры!C583)</f>
        <v/>
      </c>
      <c r="D585">
        <f>IF(Квартиры!D583="","",Квартиры!D583)</f>
        <v/>
      </c>
      <c r="E585">
        <f>IF(Квартиры!G583="","",Квартиры!G583)</f>
        <v/>
      </c>
      <c r="F585">
        <f>IF(Квартиры!E583="","",Квартиры!E583)</f>
        <v/>
      </c>
      <c r="G585">
        <f>IF(Квартиры!F583="","",Квартиры!F583)</f>
        <v/>
      </c>
      <c r="H585">
        <f>IF(Квартиры!H583="","",Квартиры!H583)</f>
        <v/>
      </c>
      <c r="I585">
        <f>IF(Квартиры!I583="","",Квартиры!I583)</f>
        <v/>
      </c>
      <c r="J585">
        <f>IF(Квартиры!J583="","",Квартиры!J583)</f>
        <v/>
      </c>
    </row>
    <row r="586">
      <c r="A586">
        <f>IF(Квартиры!A584="","",Квартиры!A584)</f>
        <v/>
      </c>
      <c r="B586">
        <f>IF(Квартиры!B584="","",Квартиры!B584)</f>
        <v/>
      </c>
      <c r="C586">
        <f>IF(Квартиры!C584="","",Квартиры!C584)</f>
        <v/>
      </c>
      <c r="D586">
        <f>IF(Квартиры!D584="","",Квартиры!D584)</f>
        <v/>
      </c>
      <c r="E586">
        <f>IF(Квартиры!G584="","",Квартиры!G584)</f>
        <v/>
      </c>
      <c r="F586">
        <f>IF(Квартиры!E584="","",Квартиры!E584)</f>
        <v/>
      </c>
      <c r="G586">
        <f>IF(Квартиры!F584="","",Квартиры!F584)</f>
        <v/>
      </c>
      <c r="H586">
        <f>IF(Квартиры!H584="","",Квартиры!H584)</f>
        <v/>
      </c>
      <c r="I586">
        <f>IF(Квартиры!I584="","",Квартиры!I584)</f>
        <v/>
      </c>
      <c r="J586">
        <f>IF(Квартиры!J584="","",Квартиры!J584)</f>
        <v/>
      </c>
    </row>
    <row r="587">
      <c r="A587">
        <f>IF(Квартиры!A585="","",Квартиры!A585)</f>
        <v/>
      </c>
      <c r="B587">
        <f>IF(Квартиры!B585="","",Квартиры!B585)</f>
        <v/>
      </c>
      <c r="C587">
        <f>IF(Квартиры!C585="","",Квартиры!C585)</f>
        <v/>
      </c>
      <c r="D587">
        <f>IF(Квартиры!D585="","",Квартиры!D585)</f>
        <v/>
      </c>
      <c r="E587">
        <f>IF(Квартиры!G585="","",Квартиры!G585)</f>
        <v/>
      </c>
      <c r="F587">
        <f>IF(Квартиры!E585="","",Квартиры!E585)</f>
        <v/>
      </c>
      <c r="G587">
        <f>IF(Квартиры!F585="","",Квартиры!F585)</f>
        <v/>
      </c>
      <c r="H587">
        <f>IF(Квартиры!H585="","",Квартиры!H585)</f>
        <v/>
      </c>
      <c r="I587">
        <f>IF(Квартиры!I585="","",Квартиры!I585)</f>
        <v/>
      </c>
      <c r="J587">
        <f>IF(Квартиры!J585="","",Квартиры!J585)</f>
        <v/>
      </c>
    </row>
    <row r="588">
      <c r="A588">
        <f>IF(Квартиры!A586="","",Квартиры!A586)</f>
        <v/>
      </c>
      <c r="B588">
        <f>IF(Квартиры!B586="","",Квартиры!B586)</f>
        <v/>
      </c>
      <c r="C588">
        <f>IF(Квартиры!C586="","",Квартиры!C586)</f>
        <v/>
      </c>
      <c r="D588">
        <f>IF(Квартиры!D586="","",Квартиры!D586)</f>
        <v/>
      </c>
      <c r="E588">
        <f>IF(Квартиры!G586="","",Квартиры!G586)</f>
        <v/>
      </c>
      <c r="F588">
        <f>IF(Квартиры!E586="","",Квартиры!E586)</f>
        <v/>
      </c>
      <c r="G588">
        <f>IF(Квартиры!F586="","",Квартиры!F586)</f>
        <v/>
      </c>
      <c r="H588">
        <f>IF(Квартиры!H586="","",Квартиры!H586)</f>
        <v/>
      </c>
      <c r="I588">
        <f>IF(Квартиры!I586="","",Квартиры!I586)</f>
        <v/>
      </c>
      <c r="J588">
        <f>IF(Квартиры!J586="","",Квартиры!J586)</f>
        <v/>
      </c>
    </row>
    <row r="589">
      <c r="A589">
        <f>IF(Квартиры!A587="","",Квартиры!A587)</f>
        <v/>
      </c>
      <c r="B589">
        <f>IF(Квартиры!B587="","",Квартиры!B587)</f>
        <v/>
      </c>
      <c r="C589">
        <f>IF(Квартиры!C587="","",Квартиры!C587)</f>
        <v/>
      </c>
      <c r="D589">
        <f>IF(Квартиры!D587="","",Квартиры!D587)</f>
        <v/>
      </c>
      <c r="E589">
        <f>IF(Квартиры!G587="","",Квартиры!G587)</f>
        <v/>
      </c>
      <c r="F589">
        <f>IF(Квартиры!E587="","",Квартиры!E587)</f>
        <v/>
      </c>
      <c r="G589">
        <f>IF(Квартиры!F587="","",Квартиры!F587)</f>
        <v/>
      </c>
      <c r="H589">
        <f>IF(Квартиры!H587="","",Квартиры!H587)</f>
        <v/>
      </c>
      <c r="I589">
        <f>IF(Квартиры!I587="","",Квартиры!I587)</f>
        <v/>
      </c>
      <c r="J589">
        <f>IF(Квартиры!J587="","",Квартиры!J587)</f>
        <v/>
      </c>
    </row>
    <row r="590">
      <c r="A590">
        <f>IF(Квартиры!A588="","",Квартиры!A588)</f>
        <v/>
      </c>
      <c r="B590">
        <f>IF(Квартиры!B588="","",Квартиры!B588)</f>
        <v/>
      </c>
      <c r="C590">
        <f>IF(Квартиры!C588="","",Квартиры!C588)</f>
        <v/>
      </c>
      <c r="D590">
        <f>IF(Квартиры!D588="","",Квартиры!D588)</f>
        <v/>
      </c>
      <c r="E590">
        <f>IF(Квартиры!G588="","",Квартиры!G588)</f>
        <v/>
      </c>
      <c r="F590">
        <f>IF(Квартиры!E588="","",Квартиры!E588)</f>
        <v/>
      </c>
      <c r="G590">
        <f>IF(Квартиры!F588="","",Квартиры!F588)</f>
        <v/>
      </c>
      <c r="H590">
        <f>IF(Квартиры!H588="","",Квартиры!H588)</f>
        <v/>
      </c>
      <c r="I590">
        <f>IF(Квартиры!I588="","",Квартиры!I588)</f>
        <v/>
      </c>
      <c r="J590">
        <f>IF(Квартиры!J588="","",Квартиры!J588)</f>
        <v/>
      </c>
    </row>
    <row r="591">
      <c r="A591">
        <f>IF(Квартиры!A589="","",Квартиры!A589)</f>
        <v/>
      </c>
      <c r="B591">
        <f>IF(Квартиры!B589="","",Квартиры!B589)</f>
        <v/>
      </c>
      <c r="C591">
        <f>IF(Квартиры!C589="","",Квартиры!C589)</f>
        <v/>
      </c>
      <c r="D591">
        <f>IF(Квартиры!D589="","",Квартиры!D589)</f>
        <v/>
      </c>
      <c r="E591">
        <f>IF(Квартиры!G589="","",Квартиры!G589)</f>
        <v/>
      </c>
      <c r="F591">
        <f>IF(Квартиры!E589="","",Квартиры!E589)</f>
        <v/>
      </c>
      <c r="G591">
        <f>IF(Квартиры!F589="","",Квартиры!F589)</f>
        <v/>
      </c>
      <c r="H591">
        <f>IF(Квартиры!H589="","",Квартиры!H589)</f>
        <v/>
      </c>
      <c r="I591">
        <f>IF(Квартиры!I589="","",Квартиры!I589)</f>
        <v/>
      </c>
      <c r="J591">
        <f>IF(Квартиры!J589="","",Квартиры!J589)</f>
        <v/>
      </c>
    </row>
    <row r="592">
      <c r="A592">
        <f>IF(Квартиры!A590="","",Квартиры!A590)</f>
        <v/>
      </c>
      <c r="B592">
        <f>IF(Квартиры!B590="","",Квартиры!B590)</f>
        <v/>
      </c>
      <c r="C592">
        <f>IF(Квартиры!C590="","",Квартиры!C590)</f>
        <v/>
      </c>
      <c r="D592">
        <f>IF(Квартиры!D590="","",Квартиры!D590)</f>
        <v/>
      </c>
      <c r="E592">
        <f>IF(Квартиры!G590="","",Квартиры!G590)</f>
        <v/>
      </c>
      <c r="F592">
        <f>IF(Квартиры!E590="","",Квартиры!E590)</f>
        <v/>
      </c>
      <c r="G592">
        <f>IF(Квартиры!F590="","",Квартиры!F590)</f>
        <v/>
      </c>
      <c r="H592">
        <f>IF(Квартиры!H590="","",Квартиры!H590)</f>
        <v/>
      </c>
      <c r="I592">
        <f>IF(Квартиры!I590="","",Квартиры!I590)</f>
        <v/>
      </c>
      <c r="J592">
        <f>IF(Квартиры!J590="","",Квартиры!J590)</f>
        <v/>
      </c>
    </row>
    <row r="593">
      <c r="A593">
        <f>IF(Квартиры!A591="","",Квартиры!A591)</f>
        <v/>
      </c>
      <c r="B593">
        <f>IF(Квартиры!B591="","",Квартиры!B591)</f>
        <v/>
      </c>
      <c r="C593">
        <f>IF(Квартиры!C591="","",Квартиры!C591)</f>
        <v/>
      </c>
      <c r="D593">
        <f>IF(Квартиры!D591="","",Квартиры!D591)</f>
        <v/>
      </c>
      <c r="E593">
        <f>IF(Квартиры!G591="","",Квартиры!G591)</f>
        <v/>
      </c>
      <c r="F593">
        <f>IF(Квартиры!E591="","",Квартиры!E591)</f>
        <v/>
      </c>
      <c r="G593">
        <f>IF(Квартиры!F591="","",Квартиры!F591)</f>
        <v/>
      </c>
      <c r="H593">
        <f>IF(Квартиры!H591="","",Квартиры!H591)</f>
        <v/>
      </c>
      <c r="I593">
        <f>IF(Квартиры!I591="","",Квартиры!I591)</f>
        <v/>
      </c>
      <c r="J593">
        <f>IF(Квартиры!J591="","",Квартиры!J591)</f>
        <v/>
      </c>
    </row>
    <row r="594">
      <c r="A594">
        <f>IF(Квартиры!A592="","",Квартиры!A592)</f>
        <v/>
      </c>
      <c r="B594">
        <f>IF(Квартиры!B592="","",Квартиры!B592)</f>
        <v/>
      </c>
      <c r="C594">
        <f>IF(Квартиры!C592="","",Квартиры!C592)</f>
        <v/>
      </c>
      <c r="D594">
        <f>IF(Квартиры!D592="","",Квартиры!D592)</f>
        <v/>
      </c>
      <c r="E594">
        <f>IF(Квартиры!G592="","",Квартиры!G592)</f>
        <v/>
      </c>
      <c r="F594">
        <f>IF(Квартиры!E592="","",Квартиры!E592)</f>
        <v/>
      </c>
      <c r="G594">
        <f>IF(Квартиры!F592="","",Квартиры!F592)</f>
        <v/>
      </c>
      <c r="H594">
        <f>IF(Квартиры!H592="","",Квартиры!H592)</f>
        <v/>
      </c>
      <c r="I594">
        <f>IF(Квартиры!I592="","",Квартиры!I592)</f>
        <v/>
      </c>
      <c r="J594">
        <f>IF(Квартиры!J592="","",Квартиры!J592)</f>
        <v/>
      </c>
    </row>
    <row r="595">
      <c r="A595">
        <f>IF(Квартиры!A593="","",Квартиры!A593)</f>
        <v/>
      </c>
      <c r="B595">
        <f>IF(Квартиры!B593="","",Квартиры!B593)</f>
        <v/>
      </c>
      <c r="C595">
        <f>IF(Квартиры!C593="","",Квартиры!C593)</f>
        <v/>
      </c>
      <c r="D595">
        <f>IF(Квартиры!D593="","",Квартиры!D593)</f>
        <v/>
      </c>
      <c r="E595">
        <f>IF(Квартиры!G593="","",Квартиры!G593)</f>
        <v/>
      </c>
      <c r="F595">
        <f>IF(Квартиры!E593="","",Квартиры!E593)</f>
        <v/>
      </c>
      <c r="G595">
        <f>IF(Квартиры!F593="","",Квартиры!F593)</f>
        <v/>
      </c>
      <c r="H595">
        <f>IF(Квартиры!H593="","",Квартиры!H593)</f>
        <v/>
      </c>
      <c r="I595">
        <f>IF(Квартиры!I593="","",Квартиры!I593)</f>
        <v/>
      </c>
      <c r="J595">
        <f>IF(Квартиры!J593="","",Квартиры!J593)</f>
        <v/>
      </c>
    </row>
    <row r="596">
      <c r="A596">
        <f>IF(Квартиры!A594="","",Квартиры!A594)</f>
        <v/>
      </c>
      <c r="B596">
        <f>IF(Квартиры!B594="","",Квартиры!B594)</f>
        <v/>
      </c>
      <c r="C596">
        <f>IF(Квартиры!C594="","",Квартиры!C594)</f>
        <v/>
      </c>
      <c r="D596">
        <f>IF(Квартиры!D594="","",Квартиры!D594)</f>
        <v/>
      </c>
      <c r="E596">
        <f>IF(Квартиры!G594="","",Квартиры!G594)</f>
        <v/>
      </c>
      <c r="F596">
        <f>IF(Квартиры!E594="","",Квартиры!E594)</f>
        <v/>
      </c>
      <c r="G596">
        <f>IF(Квартиры!F594="","",Квартиры!F594)</f>
        <v/>
      </c>
      <c r="H596">
        <f>IF(Квартиры!H594="","",Квартиры!H594)</f>
        <v/>
      </c>
      <c r="I596">
        <f>IF(Квартиры!I594="","",Квартиры!I594)</f>
        <v/>
      </c>
      <c r="J596">
        <f>IF(Квартиры!J594="","",Квартиры!J594)</f>
        <v/>
      </c>
    </row>
    <row r="597">
      <c r="A597">
        <f>IF(Квартиры!A595="","",Квартиры!A595)</f>
        <v/>
      </c>
      <c r="B597">
        <f>IF(Квартиры!B595="","",Квартиры!B595)</f>
        <v/>
      </c>
      <c r="C597">
        <f>IF(Квартиры!C595="","",Квартиры!C595)</f>
        <v/>
      </c>
      <c r="D597">
        <f>IF(Квартиры!D595="","",Квартиры!D595)</f>
        <v/>
      </c>
      <c r="E597">
        <f>IF(Квартиры!G595="","",Квартиры!G595)</f>
        <v/>
      </c>
      <c r="F597">
        <f>IF(Квартиры!E595="","",Квартиры!E595)</f>
        <v/>
      </c>
      <c r="G597">
        <f>IF(Квартиры!F595="","",Квартиры!F595)</f>
        <v/>
      </c>
      <c r="H597">
        <f>IF(Квартиры!H595="","",Квартиры!H595)</f>
        <v/>
      </c>
      <c r="I597">
        <f>IF(Квартиры!I595="","",Квартиры!I595)</f>
        <v/>
      </c>
      <c r="J597">
        <f>IF(Квартиры!J595="","",Квартиры!J595)</f>
        <v/>
      </c>
    </row>
    <row r="598">
      <c r="A598">
        <f>IF(Квартиры!A596="","",Квартиры!A596)</f>
        <v/>
      </c>
      <c r="B598">
        <f>IF(Квартиры!B596="","",Квартиры!B596)</f>
        <v/>
      </c>
      <c r="C598">
        <f>IF(Квартиры!C596="","",Квартиры!C596)</f>
        <v/>
      </c>
      <c r="D598">
        <f>IF(Квартиры!D596="","",Квартиры!D596)</f>
        <v/>
      </c>
      <c r="E598">
        <f>IF(Квартиры!G596="","",Квартиры!G596)</f>
        <v/>
      </c>
      <c r="F598">
        <f>IF(Квартиры!E596="","",Квартиры!E596)</f>
        <v/>
      </c>
      <c r="G598">
        <f>IF(Квартиры!F596="","",Квартиры!F596)</f>
        <v/>
      </c>
      <c r="H598">
        <f>IF(Квартиры!H596="","",Квартиры!H596)</f>
        <v/>
      </c>
      <c r="I598">
        <f>IF(Квартиры!I596="","",Квартиры!I596)</f>
        <v/>
      </c>
      <c r="J598">
        <f>IF(Квартиры!J596="","",Квартиры!J596)</f>
        <v/>
      </c>
    </row>
    <row r="599">
      <c r="A599">
        <f>IF(Квартиры!A597="","",Квартиры!A597)</f>
        <v/>
      </c>
      <c r="B599">
        <f>IF(Квартиры!B597="","",Квартиры!B597)</f>
        <v/>
      </c>
      <c r="C599">
        <f>IF(Квартиры!C597="","",Квартиры!C597)</f>
        <v/>
      </c>
      <c r="D599">
        <f>IF(Квартиры!D597="","",Квартиры!D597)</f>
        <v/>
      </c>
      <c r="E599">
        <f>IF(Квартиры!G597="","",Квартиры!G597)</f>
        <v/>
      </c>
      <c r="F599">
        <f>IF(Квартиры!E597="","",Квартиры!E597)</f>
        <v/>
      </c>
      <c r="G599">
        <f>IF(Квартиры!F597="","",Квартиры!F597)</f>
        <v/>
      </c>
      <c r="H599">
        <f>IF(Квартиры!H597="","",Квартиры!H597)</f>
        <v/>
      </c>
      <c r="I599">
        <f>IF(Квартиры!I597="","",Квартиры!I597)</f>
        <v/>
      </c>
      <c r="J599">
        <f>IF(Квартиры!J597="","",Квартиры!J597)</f>
        <v/>
      </c>
    </row>
    <row r="600">
      <c r="A600">
        <f>IF(Квартиры!A598="","",Квартиры!A598)</f>
        <v/>
      </c>
      <c r="B600">
        <f>IF(Квартиры!B598="","",Квартиры!B598)</f>
        <v/>
      </c>
      <c r="C600">
        <f>IF(Квартиры!C598="","",Квартиры!C598)</f>
        <v/>
      </c>
      <c r="D600">
        <f>IF(Квартиры!D598="","",Квартиры!D598)</f>
        <v/>
      </c>
      <c r="E600">
        <f>IF(Квартиры!G598="","",Квартиры!G598)</f>
        <v/>
      </c>
      <c r="F600">
        <f>IF(Квартиры!E598="","",Квартиры!E598)</f>
        <v/>
      </c>
      <c r="G600">
        <f>IF(Квартиры!F598="","",Квартиры!F598)</f>
        <v/>
      </c>
      <c r="H600">
        <f>IF(Квартиры!H598="","",Квартиры!H598)</f>
        <v/>
      </c>
      <c r="I600">
        <f>IF(Квартиры!I598="","",Квартиры!I598)</f>
        <v/>
      </c>
      <c r="J600">
        <f>IF(Квартиры!J598="","",Квартиры!J598)</f>
        <v/>
      </c>
    </row>
    <row r="601">
      <c r="A601">
        <f>IF(Квартиры!A599="","",Квартиры!A599)</f>
        <v/>
      </c>
      <c r="B601">
        <f>IF(Квартиры!B599="","",Квартиры!B599)</f>
        <v/>
      </c>
      <c r="C601">
        <f>IF(Квартиры!C599="","",Квартиры!C599)</f>
        <v/>
      </c>
      <c r="D601">
        <f>IF(Квартиры!D599="","",Квартиры!D599)</f>
        <v/>
      </c>
      <c r="E601">
        <f>IF(Квартиры!G599="","",Квартиры!G599)</f>
        <v/>
      </c>
      <c r="F601">
        <f>IF(Квартиры!E599="","",Квартиры!E599)</f>
        <v/>
      </c>
      <c r="G601">
        <f>IF(Квартиры!F599="","",Квартиры!F599)</f>
        <v/>
      </c>
      <c r="H601">
        <f>IF(Квартиры!H599="","",Квартиры!H599)</f>
        <v/>
      </c>
      <c r="I601">
        <f>IF(Квартиры!I599="","",Квартиры!I599)</f>
        <v/>
      </c>
      <c r="J601">
        <f>IF(Квартиры!J599="","",Квартиры!J599)</f>
        <v/>
      </c>
    </row>
    <row r="602">
      <c r="A602">
        <f>IF(Квартиры!A600="","",Квартиры!A600)</f>
        <v/>
      </c>
      <c r="B602">
        <f>IF(Квартиры!B600="","",Квартиры!B600)</f>
        <v/>
      </c>
      <c r="C602">
        <f>IF(Квартиры!C600="","",Квартиры!C600)</f>
        <v/>
      </c>
      <c r="D602">
        <f>IF(Квартиры!D600="","",Квартиры!D600)</f>
        <v/>
      </c>
      <c r="E602">
        <f>IF(Квартиры!G600="","",Квартиры!G600)</f>
        <v/>
      </c>
      <c r="F602">
        <f>IF(Квартиры!E600="","",Квартиры!E600)</f>
        <v/>
      </c>
      <c r="G602">
        <f>IF(Квартиры!F600="","",Квартиры!F600)</f>
        <v/>
      </c>
      <c r="H602">
        <f>IF(Квартиры!H600="","",Квартиры!H600)</f>
        <v/>
      </c>
      <c r="I602">
        <f>IF(Квартиры!I600="","",Квартиры!I600)</f>
        <v/>
      </c>
      <c r="J602">
        <f>IF(Квартиры!J600="","",Квартиры!J600)</f>
        <v/>
      </c>
    </row>
    <row r="603">
      <c r="A603">
        <f>IF(Квартиры!A601="","",Квартиры!A601)</f>
        <v/>
      </c>
      <c r="B603">
        <f>IF(Квартиры!B601="","",Квартиры!B601)</f>
        <v/>
      </c>
      <c r="C603">
        <f>IF(Квартиры!C601="","",Квартиры!C601)</f>
        <v/>
      </c>
      <c r="D603">
        <f>IF(Квартиры!D601="","",Квартиры!D601)</f>
        <v/>
      </c>
      <c r="E603">
        <f>IF(Квартиры!G601="","",Квартиры!G601)</f>
        <v/>
      </c>
      <c r="F603">
        <f>IF(Квартиры!E601="","",Квартиры!E601)</f>
        <v/>
      </c>
      <c r="G603">
        <f>IF(Квартиры!F601="","",Квартиры!F601)</f>
        <v/>
      </c>
      <c r="H603">
        <f>IF(Квартиры!H601="","",Квартиры!H601)</f>
        <v/>
      </c>
      <c r="I603">
        <f>IF(Квартиры!I601="","",Квартиры!I601)</f>
        <v/>
      </c>
      <c r="J603">
        <f>IF(Квартиры!J601="","",Квартиры!J601)</f>
        <v/>
      </c>
    </row>
    <row r="604">
      <c r="A604">
        <f>IF(Квартиры!A602="","",Квартиры!A602)</f>
        <v/>
      </c>
      <c r="B604">
        <f>IF(Квартиры!B602="","",Квартиры!B602)</f>
        <v/>
      </c>
      <c r="C604">
        <f>IF(Квартиры!C602="","",Квартиры!C602)</f>
        <v/>
      </c>
      <c r="D604">
        <f>IF(Квартиры!D602="","",Квартиры!D602)</f>
        <v/>
      </c>
      <c r="E604">
        <f>IF(Квартиры!G602="","",Квартиры!G602)</f>
        <v/>
      </c>
      <c r="F604">
        <f>IF(Квартиры!E602="","",Квартиры!E602)</f>
        <v/>
      </c>
      <c r="G604">
        <f>IF(Квартиры!F602="","",Квартиры!F602)</f>
        <v/>
      </c>
      <c r="H604">
        <f>IF(Квартиры!H602="","",Квартиры!H602)</f>
        <v/>
      </c>
      <c r="I604">
        <f>IF(Квартиры!I602="","",Квартиры!I602)</f>
        <v/>
      </c>
      <c r="J604">
        <f>IF(Квартиры!J602="","",Квартиры!J602)</f>
        <v/>
      </c>
    </row>
    <row r="605">
      <c r="A605">
        <f>IF(Квартиры!A603="","",Квартиры!A603)</f>
        <v/>
      </c>
      <c r="B605">
        <f>IF(Квартиры!B603="","",Квартиры!B603)</f>
        <v/>
      </c>
      <c r="C605">
        <f>IF(Квартиры!C603="","",Квартиры!C603)</f>
        <v/>
      </c>
      <c r="D605">
        <f>IF(Квартиры!D603="","",Квартиры!D603)</f>
        <v/>
      </c>
      <c r="E605">
        <f>IF(Квартиры!G603="","",Квартиры!G603)</f>
        <v/>
      </c>
      <c r="F605">
        <f>IF(Квартиры!E603="","",Квартиры!E603)</f>
        <v/>
      </c>
      <c r="G605">
        <f>IF(Квартиры!F603="","",Квартиры!F603)</f>
        <v/>
      </c>
      <c r="H605">
        <f>IF(Квартиры!H603="","",Квартиры!H603)</f>
        <v/>
      </c>
      <c r="I605">
        <f>IF(Квартиры!I603="","",Квартиры!I603)</f>
        <v/>
      </c>
      <c r="J605">
        <f>IF(Квартиры!J603="","",Квартиры!J603)</f>
        <v/>
      </c>
    </row>
    <row r="606">
      <c r="A606">
        <f>IF(Квартиры!A604="","",Квартиры!A604)</f>
        <v/>
      </c>
      <c r="B606">
        <f>IF(Квартиры!B604="","",Квартиры!B604)</f>
        <v/>
      </c>
      <c r="C606">
        <f>IF(Квартиры!C604="","",Квартиры!C604)</f>
        <v/>
      </c>
      <c r="D606">
        <f>IF(Квартиры!D604="","",Квартиры!D604)</f>
        <v/>
      </c>
      <c r="E606">
        <f>IF(Квартиры!G604="","",Квартиры!G604)</f>
        <v/>
      </c>
      <c r="F606">
        <f>IF(Квартиры!E604="","",Квартиры!E604)</f>
        <v/>
      </c>
      <c r="G606">
        <f>IF(Квартиры!F604="","",Квартиры!F604)</f>
        <v/>
      </c>
      <c r="H606">
        <f>IF(Квартиры!H604="","",Квартиры!H604)</f>
        <v/>
      </c>
      <c r="I606">
        <f>IF(Квартиры!I604="","",Квартиры!I604)</f>
        <v/>
      </c>
      <c r="J606">
        <f>IF(Квартиры!J604="","",Квартиры!J604)</f>
        <v/>
      </c>
    </row>
    <row r="607">
      <c r="A607">
        <f>IF(Квартиры!A605="","",Квартиры!A605)</f>
        <v/>
      </c>
      <c r="B607">
        <f>IF(Квартиры!B605="","",Квартиры!B605)</f>
        <v/>
      </c>
      <c r="C607">
        <f>IF(Квартиры!C605="","",Квартиры!C605)</f>
        <v/>
      </c>
      <c r="D607">
        <f>IF(Квартиры!D605="","",Квартиры!D605)</f>
        <v/>
      </c>
      <c r="E607">
        <f>IF(Квартиры!G605="","",Квартиры!G605)</f>
        <v/>
      </c>
      <c r="F607">
        <f>IF(Квартиры!E605="","",Квартиры!E605)</f>
        <v/>
      </c>
      <c r="G607">
        <f>IF(Квартиры!F605="","",Квартиры!F605)</f>
        <v/>
      </c>
      <c r="H607">
        <f>IF(Квартиры!H605="","",Квартиры!H605)</f>
        <v/>
      </c>
      <c r="I607">
        <f>IF(Квартиры!I605="","",Квартиры!I605)</f>
        <v/>
      </c>
      <c r="J607">
        <f>IF(Квартиры!J605="","",Квартиры!J605)</f>
        <v/>
      </c>
    </row>
    <row r="608">
      <c r="A608">
        <f>IF(Квартиры!A606="","",Квартиры!A606)</f>
        <v/>
      </c>
      <c r="B608">
        <f>IF(Квартиры!B606="","",Квартиры!B606)</f>
        <v/>
      </c>
      <c r="C608">
        <f>IF(Квартиры!C606="","",Квартиры!C606)</f>
        <v/>
      </c>
      <c r="D608">
        <f>IF(Квартиры!D606="","",Квартиры!D606)</f>
        <v/>
      </c>
      <c r="E608">
        <f>IF(Квартиры!G606="","",Квартиры!G606)</f>
        <v/>
      </c>
      <c r="F608">
        <f>IF(Квартиры!E606="","",Квартиры!E606)</f>
        <v/>
      </c>
      <c r="G608">
        <f>IF(Квартиры!F606="","",Квартиры!F606)</f>
        <v/>
      </c>
      <c r="H608">
        <f>IF(Квартиры!H606="","",Квартиры!H606)</f>
        <v/>
      </c>
      <c r="I608">
        <f>IF(Квартиры!I606="","",Квартиры!I606)</f>
        <v/>
      </c>
      <c r="J608">
        <f>IF(Квартиры!J606="","",Квартиры!J606)</f>
        <v/>
      </c>
    </row>
    <row r="609">
      <c r="A609">
        <f>IF(Квартиры!A607="","",Квартиры!A607)</f>
        <v/>
      </c>
      <c r="B609">
        <f>IF(Квартиры!B607="","",Квартиры!B607)</f>
        <v/>
      </c>
      <c r="C609">
        <f>IF(Квартиры!C607="","",Квартиры!C607)</f>
        <v/>
      </c>
      <c r="D609">
        <f>IF(Квартиры!D607="","",Квартиры!D607)</f>
        <v/>
      </c>
      <c r="E609">
        <f>IF(Квартиры!G607="","",Квартиры!G607)</f>
        <v/>
      </c>
      <c r="F609">
        <f>IF(Квартиры!E607="","",Квартиры!E607)</f>
        <v/>
      </c>
      <c r="G609">
        <f>IF(Квартиры!F607="","",Квартиры!F607)</f>
        <v/>
      </c>
      <c r="H609">
        <f>IF(Квартиры!H607="","",Квартиры!H607)</f>
        <v/>
      </c>
      <c r="I609">
        <f>IF(Квартиры!I607="","",Квартиры!I607)</f>
        <v/>
      </c>
      <c r="J609">
        <f>IF(Квартиры!J607="","",Квартиры!J607)</f>
        <v/>
      </c>
    </row>
    <row r="610">
      <c r="A610">
        <f>IF(Квартиры!A608="","",Квартиры!A608)</f>
        <v/>
      </c>
      <c r="B610">
        <f>IF(Квартиры!B608="","",Квартиры!B608)</f>
        <v/>
      </c>
      <c r="C610">
        <f>IF(Квартиры!C608="","",Квартиры!C608)</f>
        <v/>
      </c>
      <c r="D610">
        <f>IF(Квартиры!D608="","",Квартиры!D608)</f>
        <v/>
      </c>
      <c r="E610">
        <f>IF(Квартиры!G608="","",Квартиры!G608)</f>
        <v/>
      </c>
      <c r="F610">
        <f>IF(Квартиры!E608="","",Квартиры!E608)</f>
        <v/>
      </c>
      <c r="G610">
        <f>IF(Квартиры!F608="","",Квартиры!F608)</f>
        <v/>
      </c>
      <c r="H610">
        <f>IF(Квартиры!H608="","",Квартиры!H608)</f>
        <v/>
      </c>
      <c r="I610">
        <f>IF(Квартиры!I608="","",Квартиры!I608)</f>
        <v/>
      </c>
      <c r="J610">
        <f>IF(Квартиры!J608="","",Квартиры!J608)</f>
        <v/>
      </c>
    </row>
    <row r="611">
      <c r="A611">
        <f>IF(Квартиры!A609="","",Квартиры!A609)</f>
        <v/>
      </c>
      <c r="B611">
        <f>IF(Квартиры!B609="","",Квартиры!B609)</f>
        <v/>
      </c>
      <c r="C611">
        <f>IF(Квартиры!C609="","",Квартиры!C609)</f>
        <v/>
      </c>
      <c r="D611">
        <f>IF(Квартиры!D609="","",Квартиры!D609)</f>
        <v/>
      </c>
      <c r="E611">
        <f>IF(Квартиры!G609="","",Квартиры!G609)</f>
        <v/>
      </c>
      <c r="F611">
        <f>IF(Квартиры!E609="","",Квартиры!E609)</f>
        <v/>
      </c>
      <c r="G611">
        <f>IF(Квартиры!F609="","",Квартиры!F609)</f>
        <v/>
      </c>
      <c r="H611">
        <f>IF(Квартиры!H609="","",Квартиры!H609)</f>
        <v/>
      </c>
      <c r="I611">
        <f>IF(Квартиры!I609="","",Квартиры!I609)</f>
        <v/>
      </c>
      <c r="J611">
        <f>IF(Квартиры!J609="","",Квартиры!J609)</f>
        <v/>
      </c>
    </row>
    <row r="612">
      <c r="A612">
        <f>IF(Квартиры!A610="","",Квартиры!A610)</f>
        <v/>
      </c>
      <c r="B612">
        <f>IF(Квартиры!B610="","",Квартиры!B610)</f>
        <v/>
      </c>
      <c r="C612">
        <f>IF(Квартиры!C610="","",Квартиры!C610)</f>
        <v/>
      </c>
      <c r="D612">
        <f>IF(Квартиры!D610="","",Квартиры!D610)</f>
        <v/>
      </c>
      <c r="E612">
        <f>IF(Квартиры!G610="","",Квартиры!G610)</f>
        <v/>
      </c>
      <c r="F612">
        <f>IF(Квартиры!E610="","",Квартиры!E610)</f>
        <v/>
      </c>
      <c r="G612">
        <f>IF(Квартиры!F610="","",Квартиры!F610)</f>
        <v/>
      </c>
      <c r="H612">
        <f>IF(Квартиры!H610="","",Квартиры!H610)</f>
        <v/>
      </c>
      <c r="I612">
        <f>IF(Квартиры!I610="","",Квартиры!I610)</f>
        <v/>
      </c>
      <c r="J612">
        <f>IF(Квартиры!J610="","",Квартиры!J610)</f>
        <v/>
      </c>
    </row>
    <row r="613">
      <c r="A613">
        <f>IF(Квартиры!A611="","",Квартиры!A611)</f>
        <v/>
      </c>
      <c r="B613">
        <f>IF(Квартиры!B611="","",Квартиры!B611)</f>
        <v/>
      </c>
      <c r="C613">
        <f>IF(Квартиры!C611="","",Квартиры!C611)</f>
        <v/>
      </c>
      <c r="D613">
        <f>IF(Квартиры!D611="","",Квартиры!D611)</f>
        <v/>
      </c>
      <c r="E613">
        <f>IF(Квартиры!G611="","",Квартиры!G611)</f>
        <v/>
      </c>
      <c r="F613">
        <f>IF(Квартиры!E611="","",Квартиры!E611)</f>
        <v/>
      </c>
      <c r="G613">
        <f>IF(Квартиры!F611="","",Квартиры!F611)</f>
        <v/>
      </c>
      <c r="H613">
        <f>IF(Квартиры!H611="","",Квартиры!H611)</f>
        <v/>
      </c>
      <c r="I613">
        <f>IF(Квартиры!I611="","",Квартиры!I611)</f>
        <v/>
      </c>
      <c r="J613">
        <f>IF(Квартиры!J611="","",Квартиры!J611)</f>
        <v/>
      </c>
    </row>
    <row r="614">
      <c r="A614">
        <f>IF(Квартиры!A612="","",Квартиры!A612)</f>
        <v/>
      </c>
      <c r="B614">
        <f>IF(Квартиры!B612="","",Квартиры!B612)</f>
        <v/>
      </c>
      <c r="C614">
        <f>IF(Квартиры!C612="","",Квартиры!C612)</f>
        <v/>
      </c>
      <c r="D614">
        <f>IF(Квартиры!D612="","",Квартиры!D612)</f>
        <v/>
      </c>
      <c r="E614">
        <f>IF(Квартиры!G612="","",Квартиры!G612)</f>
        <v/>
      </c>
      <c r="F614">
        <f>IF(Квартиры!E612="","",Квартиры!E612)</f>
        <v/>
      </c>
      <c r="G614">
        <f>IF(Квартиры!F612="","",Квартиры!F612)</f>
        <v/>
      </c>
      <c r="H614">
        <f>IF(Квартиры!H612="","",Квартиры!H612)</f>
        <v/>
      </c>
      <c r="I614">
        <f>IF(Квартиры!I612="","",Квартиры!I612)</f>
        <v/>
      </c>
      <c r="J614">
        <f>IF(Квартиры!J612="","",Квартиры!J612)</f>
        <v/>
      </c>
    </row>
    <row r="615">
      <c r="A615">
        <f>IF(Квартиры!A613="","",Квартиры!A613)</f>
        <v/>
      </c>
      <c r="B615">
        <f>IF(Квартиры!B613="","",Квартиры!B613)</f>
        <v/>
      </c>
      <c r="C615">
        <f>IF(Квартиры!C613="","",Квартиры!C613)</f>
        <v/>
      </c>
      <c r="D615">
        <f>IF(Квартиры!D613="","",Квартиры!D613)</f>
        <v/>
      </c>
      <c r="E615">
        <f>IF(Квартиры!G613="","",Квартиры!G613)</f>
        <v/>
      </c>
      <c r="F615">
        <f>IF(Квартиры!E613="","",Квартиры!E613)</f>
        <v/>
      </c>
      <c r="G615">
        <f>IF(Квартиры!F613="","",Квартиры!F613)</f>
        <v/>
      </c>
      <c r="H615">
        <f>IF(Квартиры!H613="","",Квартиры!H613)</f>
        <v/>
      </c>
      <c r="I615">
        <f>IF(Квартиры!I613="","",Квартиры!I613)</f>
        <v/>
      </c>
      <c r="J615">
        <f>IF(Квартиры!J613="","",Квартиры!J613)</f>
        <v/>
      </c>
    </row>
    <row r="616">
      <c r="A616">
        <f>IF(Квартиры!A614="","",Квартиры!A614)</f>
        <v/>
      </c>
      <c r="B616">
        <f>IF(Квартиры!B614="","",Квартиры!B614)</f>
        <v/>
      </c>
      <c r="C616">
        <f>IF(Квартиры!C614="","",Квартиры!C614)</f>
        <v/>
      </c>
      <c r="D616">
        <f>IF(Квартиры!D614="","",Квартиры!D614)</f>
        <v/>
      </c>
      <c r="E616">
        <f>IF(Квартиры!G614="","",Квартиры!G614)</f>
        <v/>
      </c>
      <c r="F616">
        <f>IF(Квартиры!E614="","",Квартиры!E614)</f>
        <v/>
      </c>
      <c r="G616">
        <f>IF(Квартиры!F614="","",Квартиры!F614)</f>
        <v/>
      </c>
      <c r="H616">
        <f>IF(Квартиры!H614="","",Квартиры!H614)</f>
        <v/>
      </c>
      <c r="I616">
        <f>IF(Квартиры!I614="","",Квартиры!I614)</f>
        <v/>
      </c>
      <c r="J616">
        <f>IF(Квартиры!J614="","",Квартиры!J614)</f>
        <v/>
      </c>
    </row>
    <row r="617">
      <c r="A617">
        <f>IF(Квартиры!A615="","",Квартиры!A615)</f>
        <v/>
      </c>
      <c r="B617">
        <f>IF(Квартиры!B615="","",Квартиры!B615)</f>
        <v/>
      </c>
      <c r="C617">
        <f>IF(Квартиры!C615="","",Квартиры!C615)</f>
        <v/>
      </c>
      <c r="D617">
        <f>IF(Квартиры!D615="","",Квартиры!D615)</f>
        <v/>
      </c>
      <c r="E617">
        <f>IF(Квартиры!G615="","",Квартиры!G615)</f>
        <v/>
      </c>
      <c r="F617">
        <f>IF(Квартиры!E615="","",Квартиры!E615)</f>
        <v/>
      </c>
      <c r="G617">
        <f>IF(Квартиры!F615="","",Квартиры!F615)</f>
        <v/>
      </c>
      <c r="H617">
        <f>IF(Квартиры!H615="","",Квартиры!H615)</f>
        <v/>
      </c>
      <c r="I617">
        <f>IF(Квартиры!I615="","",Квартиры!I615)</f>
        <v/>
      </c>
      <c r="J617">
        <f>IF(Квартиры!J615="","",Квартиры!J615)</f>
        <v/>
      </c>
    </row>
    <row r="618">
      <c r="A618">
        <f>IF(Квартиры!A616="","",Квартиры!A616)</f>
        <v/>
      </c>
      <c r="B618">
        <f>IF(Квартиры!B616="","",Квартиры!B616)</f>
        <v/>
      </c>
      <c r="C618">
        <f>IF(Квартиры!C616="","",Квартиры!C616)</f>
        <v/>
      </c>
      <c r="D618">
        <f>IF(Квартиры!D616="","",Квартиры!D616)</f>
        <v/>
      </c>
      <c r="E618">
        <f>IF(Квартиры!G616="","",Квартиры!G616)</f>
        <v/>
      </c>
      <c r="F618">
        <f>IF(Квартиры!E616="","",Квартиры!E616)</f>
        <v/>
      </c>
      <c r="G618">
        <f>IF(Квартиры!F616="","",Квартиры!F616)</f>
        <v/>
      </c>
      <c r="H618">
        <f>IF(Квартиры!H616="","",Квартиры!H616)</f>
        <v/>
      </c>
      <c r="I618">
        <f>IF(Квартиры!I616="","",Квартиры!I616)</f>
        <v/>
      </c>
      <c r="J618">
        <f>IF(Квартиры!J616="","",Квартиры!J616)</f>
        <v/>
      </c>
    </row>
    <row r="619">
      <c r="A619">
        <f>IF(Квартиры!A617="","",Квартиры!A617)</f>
        <v/>
      </c>
      <c r="B619">
        <f>IF(Квартиры!B617="","",Квартиры!B617)</f>
        <v/>
      </c>
      <c r="C619">
        <f>IF(Квартиры!C617="","",Квартиры!C617)</f>
        <v/>
      </c>
      <c r="D619">
        <f>IF(Квартиры!D617="","",Квартиры!D617)</f>
        <v/>
      </c>
      <c r="E619">
        <f>IF(Квартиры!G617="","",Квартиры!G617)</f>
        <v/>
      </c>
      <c r="F619">
        <f>IF(Квартиры!E617="","",Квартиры!E617)</f>
        <v/>
      </c>
      <c r="G619">
        <f>IF(Квартиры!F617="","",Квартиры!F617)</f>
        <v/>
      </c>
      <c r="H619">
        <f>IF(Квартиры!H617="","",Квартиры!H617)</f>
        <v/>
      </c>
      <c r="I619">
        <f>IF(Квартиры!I617="","",Квартиры!I617)</f>
        <v/>
      </c>
      <c r="J619">
        <f>IF(Квартиры!J617="","",Квартиры!J617)</f>
        <v/>
      </c>
    </row>
    <row r="620">
      <c r="A620">
        <f>IF(Квартиры!A618="","",Квартиры!A618)</f>
        <v/>
      </c>
      <c r="B620">
        <f>IF(Квартиры!B618="","",Квартиры!B618)</f>
        <v/>
      </c>
      <c r="C620">
        <f>IF(Квартиры!C618="","",Квартиры!C618)</f>
        <v/>
      </c>
      <c r="D620">
        <f>IF(Квартиры!D618="","",Квартиры!D618)</f>
        <v/>
      </c>
      <c r="E620">
        <f>IF(Квартиры!G618="","",Квартиры!G618)</f>
        <v/>
      </c>
      <c r="F620">
        <f>IF(Квартиры!E618="","",Квартиры!E618)</f>
        <v/>
      </c>
      <c r="G620">
        <f>IF(Квартиры!F618="","",Квартиры!F618)</f>
        <v/>
      </c>
      <c r="H620">
        <f>IF(Квартиры!H618="","",Квартиры!H618)</f>
        <v/>
      </c>
      <c r="I620">
        <f>IF(Квартиры!I618="","",Квартиры!I618)</f>
        <v/>
      </c>
      <c r="J620">
        <f>IF(Квартиры!J618="","",Квартиры!J618)</f>
        <v/>
      </c>
    </row>
    <row r="621">
      <c r="A621">
        <f>IF(Квартиры!A619="","",Квартиры!A619)</f>
        <v/>
      </c>
      <c r="B621">
        <f>IF(Квартиры!B619="","",Квартиры!B619)</f>
        <v/>
      </c>
      <c r="C621">
        <f>IF(Квартиры!C619="","",Квартиры!C619)</f>
        <v/>
      </c>
      <c r="D621">
        <f>IF(Квартиры!D619="","",Квартиры!D619)</f>
        <v/>
      </c>
      <c r="E621">
        <f>IF(Квартиры!G619="","",Квартиры!G619)</f>
        <v/>
      </c>
      <c r="F621">
        <f>IF(Квартиры!E619="","",Квартиры!E619)</f>
        <v/>
      </c>
      <c r="G621">
        <f>IF(Квартиры!F619="","",Квартиры!F619)</f>
        <v/>
      </c>
      <c r="H621">
        <f>IF(Квартиры!H619="","",Квартиры!H619)</f>
        <v/>
      </c>
      <c r="I621">
        <f>IF(Квартиры!I619="","",Квартиры!I619)</f>
        <v/>
      </c>
      <c r="J621">
        <f>IF(Квартиры!J619="","",Квартиры!J619)</f>
        <v/>
      </c>
    </row>
    <row r="622">
      <c r="A622">
        <f>IF(Квартиры!A620="","",Квартиры!A620)</f>
        <v/>
      </c>
      <c r="B622">
        <f>IF(Квартиры!B620="","",Квартиры!B620)</f>
        <v/>
      </c>
      <c r="C622">
        <f>IF(Квартиры!C620="","",Квартиры!C620)</f>
        <v/>
      </c>
      <c r="D622">
        <f>IF(Квартиры!D620="","",Квартиры!D620)</f>
        <v/>
      </c>
      <c r="E622">
        <f>IF(Квартиры!G620="","",Квартиры!G620)</f>
        <v/>
      </c>
      <c r="F622">
        <f>IF(Квартиры!E620="","",Квартиры!E620)</f>
        <v/>
      </c>
      <c r="G622">
        <f>IF(Квартиры!F620="","",Квартиры!F620)</f>
        <v/>
      </c>
      <c r="H622">
        <f>IF(Квартиры!H620="","",Квартиры!H620)</f>
        <v/>
      </c>
      <c r="I622">
        <f>IF(Квартиры!I620="","",Квартиры!I620)</f>
        <v/>
      </c>
      <c r="J622">
        <f>IF(Квартиры!J620="","",Квартиры!J620)</f>
        <v/>
      </c>
    </row>
    <row r="623">
      <c r="A623">
        <f>IF(Квартиры!A621="","",Квартиры!A621)</f>
        <v/>
      </c>
      <c r="B623">
        <f>IF(Квартиры!B621="","",Квартиры!B621)</f>
        <v/>
      </c>
      <c r="C623">
        <f>IF(Квартиры!C621="","",Квартиры!C621)</f>
        <v/>
      </c>
      <c r="D623">
        <f>IF(Квартиры!D621="","",Квартиры!D621)</f>
        <v/>
      </c>
      <c r="E623">
        <f>IF(Квартиры!G621="","",Квартиры!G621)</f>
        <v/>
      </c>
      <c r="F623">
        <f>IF(Квартиры!E621="","",Квартиры!E621)</f>
        <v/>
      </c>
      <c r="G623">
        <f>IF(Квартиры!F621="","",Квартиры!F621)</f>
        <v/>
      </c>
      <c r="H623">
        <f>IF(Квартиры!H621="","",Квартиры!H621)</f>
        <v/>
      </c>
      <c r="I623">
        <f>IF(Квартиры!I621="","",Квартиры!I621)</f>
        <v/>
      </c>
      <c r="J623">
        <f>IF(Квартиры!J621="","",Квартиры!J621)</f>
        <v/>
      </c>
    </row>
    <row r="624">
      <c r="A624">
        <f>IF(Квартиры!A622="","",Квартиры!A622)</f>
        <v/>
      </c>
      <c r="B624">
        <f>IF(Квартиры!B622="","",Квартиры!B622)</f>
        <v/>
      </c>
      <c r="C624">
        <f>IF(Квартиры!C622="","",Квартиры!C622)</f>
        <v/>
      </c>
      <c r="D624">
        <f>IF(Квартиры!D622="","",Квартиры!D622)</f>
        <v/>
      </c>
      <c r="E624">
        <f>IF(Квартиры!G622="","",Квартиры!G622)</f>
        <v/>
      </c>
      <c r="F624">
        <f>IF(Квартиры!E622="","",Квартиры!E622)</f>
        <v/>
      </c>
      <c r="G624">
        <f>IF(Квартиры!F622="","",Квартиры!F622)</f>
        <v/>
      </c>
      <c r="H624">
        <f>IF(Квартиры!H622="","",Квартиры!H622)</f>
        <v/>
      </c>
      <c r="I624">
        <f>IF(Квартиры!I622="","",Квартиры!I622)</f>
        <v/>
      </c>
      <c r="J624">
        <f>IF(Квартиры!J622="","",Квартиры!J622)</f>
        <v/>
      </c>
    </row>
    <row r="625">
      <c r="A625">
        <f>IF(Квартиры!A623="","",Квартиры!A623)</f>
        <v/>
      </c>
      <c r="B625">
        <f>IF(Квартиры!B623="","",Квартиры!B623)</f>
        <v/>
      </c>
      <c r="C625">
        <f>IF(Квартиры!C623="","",Квартиры!C623)</f>
        <v/>
      </c>
      <c r="D625">
        <f>IF(Квартиры!D623="","",Квартиры!D623)</f>
        <v/>
      </c>
      <c r="E625">
        <f>IF(Квартиры!G623="","",Квартиры!G623)</f>
        <v/>
      </c>
      <c r="F625">
        <f>IF(Квартиры!E623="","",Квартиры!E623)</f>
        <v/>
      </c>
      <c r="G625">
        <f>IF(Квартиры!F623="","",Квартиры!F623)</f>
        <v/>
      </c>
      <c r="H625">
        <f>IF(Квартиры!H623="","",Квартиры!H623)</f>
        <v/>
      </c>
      <c r="I625">
        <f>IF(Квартиры!I623="","",Квартиры!I623)</f>
        <v/>
      </c>
      <c r="J625">
        <f>IF(Квартиры!J623="","",Квартиры!J623)</f>
        <v/>
      </c>
    </row>
    <row r="626">
      <c r="A626">
        <f>IF(Квартиры!A624="","",Квартиры!A624)</f>
        <v/>
      </c>
      <c r="B626">
        <f>IF(Квартиры!B624="","",Квартиры!B624)</f>
        <v/>
      </c>
      <c r="C626">
        <f>IF(Квартиры!C624="","",Квартиры!C624)</f>
        <v/>
      </c>
      <c r="D626">
        <f>IF(Квартиры!D624="","",Квартиры!D624)</f>
        <v/>
      </c>
      <c r="E626">
        <f>IF(Квартиры!G624="","",Квартиры!G624)</f>
        <v/>
      </c>
      <c r="F626">
        <f>IF(Квартиры!E624="","",Квартиры!E624)</f>
        <v/>
      </c>
      <c r="G626">
        <f>IF(Квартиры!F624="","",Квартиры!F624)</f>
        <v/>
      </c>
      <c r="H626">
        <f>IF(Квартиры!H624="","",Квартиры!H624)</f>
        <v/>
      </c>
      <c r="I626">
        <f>IF(Квартиры!I624="","",Квартиры!I624)</f>
        <v/>
      </c>
      <c r="J626">
        <f>IF(Квартиры!J624="","",Квартиры!J624)</f>
        <v/>
      </c>
    </row>
    <row r="627">
      <c r="A627">
        <f>IF(Квартиры!A625="","",Квартиры!A625)</f>
        <v/>
      </c>
      <c r="B627">
        <f>IF(Квартиры!B625="","",Квартиры!B625)</f>
        <v/>
      </c>
      <c r="C627">
        <f>IF(Квартиры!C625="","",Квартиры!C625)</f>
        <v/>
      </c>
      <c r="D627">
        <f>IF(Квартиры!D625="","",Квартиры!D625)</f>
        <v/>
      </c>
      <c r="E627">
        <f>IF(Квартиры!G625="","",Квартиры!G625)</f>
        <v/>
      </c>
      <c r="F627">
        <f>IF(Квартиры!E625="","",Квартиры!E625)</f>
        <v/>
      </c>
      <c r="G627">
        <f>IF(Квартиры!F625="","",Квартиры!F625)</f>
        <v/>
      </c>
      <c r="H627">
        <f>IF(Квартиры!H625="","",Квартиры!H625)</f>
        <v/>
      </c>
      <c r="I627">
        <f>IF(Квартиры!I625="","",Квартиры!I625)</f>
        <v/>
      </c>
      <c r="J627">
        <f>IF(Квартиры!J625="","",Квартиры!J625)</f>
        <v/>
      </c>
    </row>
    <row r="628">
      <c r="A628">
        <f>IF(Квартиры!A626="","",Квартиры!A626)</f>
        <v/>
      </c>
      <c r="B628">
        <f>IF(Квартиры!B626="","",Квартиры!B626)</f>
        <v/>
      </c>
      <c r="C628">
        <f>IF(Квартиры!C626="","",Квартиры!C626)</f>
        <v/>
      </c>
      <c r="D628">
        <f>IF(Квартиры!D626="","",Квартиры!D626)</f>
        <v/>
      </c>
      <c r="E628">
        <f>IF(Квартиры!G626="","",Квартиры!G626)</f>
        <v/>
      </c>
      <c r="F628">
        <f>IF(Квартиры!E626="","",Квартиры!E626)</f>
        <v/>
      </c>
      <c r="G628">
        <f>IF(Квартиры!F626="","",Квартиры!F626)</f>
        <v/>
      </c>
      <c r="H628">
        <f>IF(Квартиры!H626="","",Квартиры!H626)</f>
        <v/>
      </c>
      <c r="I628">
        <f>IF(Квартиры!I626="","",Квартиры!I626)</f>
        <v/>
      </c>
      <c r="J628">
        <f>IF(Квартиры!J626="","",Квартиры!J626)</f>
        <v/>
      </c>
    </row>
    <row r="629">
      <c r="A629">
        <f>IF(Квартиры!A627="","",Квартиры!A627)</f>
        <v/>
      </c>
      <c r="B629">
        <f>IF(Квартиры!B627="","",Квартиры!B627)</f>
        <v/>
      </c>
      <c r="C629">
        <f>IF(Квартиры!C627="","",Квартиры!C627)</f>
        <v/>
      </c>
      <c r="D629">
        <f>IF(Квартиры!D627="","",Квартиры!D627)</f>
        <v/>
      </c>
      <c r="E629">
        <f>IF(Квартиры!G627="","",Квартиры!G627)</f>
        <v/>
      </c>
      <c r="F629">
        <f>IF(Квартиры!E627="","",Квартиры!E627)</f>
        <v/>
      </c>
      <c r="G629">
        <f>IF(Квартиры!F627="","",Квартиры!F627)</f>
        <v/>
      </c>
      <c r="H629">
        <f>IF(Квартиры!H627="","",Квартиры!H627)</f>
        <v/>
      </c>
      <c r="I629">
        <f>IF(Квартиры!I627="","",Квартиры!I627)</f>
        <v/>
      </c>
      <c r="J629">
        <f>IF(Квартиры!J627="","",Квартиры!J627)</f>
        <v/>
      </c>
    </row>
    <row r="630">
      <c r="A630">
        <f>IF(Квартиры!A628="","",Квартиры!A628)</f>
        <v/>
      </c>
      <c r="B630">
        <f>IF(Квартиры!B628="","",Квартиры!B628)</f>
        <v/>
      </c>
      <c r="C630">
        <f>IF(Квартиры!C628="","",Квартиры!C628)</f>
        <v/>
      </c>
      <c r="D630">
        <f>IF(Квартиры!D628="","",Квартиры!D628)</f>
        <v/>
      </c>
      <c r="E630">
        <f>IF(Квартиры!G628="","",Квартиры!G628)</f>
        <v/>
      </c>
      <c r="F630">
        <f>IF(Квартиры!E628="","",Квартиры!E628)</f>
        <v/>
      </c>
      <c r="G630">
        <f>IF(Квартиры!F628="","",Квартиры!F628)</f>
        <v/>
      </c>
      <c r="H630">
        <f>IF(Квартиры!H628="","",Квартиры!H628)</f>
        <v/>
      </c>
      <c r="I630">
        <f>IF(Квартиры!I628="","",Квартиры!I628)</f>
        <v/>
      </c>
      <c r="J630">
        <f>IF(Квартиры!J628="","",Квартиры!J628)</f>
        <v/>
      </c>
    </row>
    <row r="631">
      <c r="A631">
        <f>IF(Квартиры!A629="","",Квартиры!A629)</f>
        <v/>
      </c>
      <c r="B631">
        <f>IF(Квартиры!B629="","",Квартиры!B629)</f>
        <v/>
      </c>
      <c r="C631">
        <f>IF(Квартиры!C629="","",Квартиры!C629)</f>
        <v/>
      </c>
      <c r="D631">
        <f>IF(Квартиры!D629="","",Квартиры!D629)</f>
        <v/>
      </c>
      <c r="E631">
        <f>IF(Квартиры!G629="","",Квартиры!G629)</f>
        <v/>
      </c>
      <c r="F631">
        <f>IF(Квартиры!E629="","",Квартиры!E629)</f>
        <v/>
      </c>
      <c r="G631">
        <f>IF(Квартиры!F629="","",Квартиры!F629)</f>
        <v/>
      </c>
      <c r="H631">
        <f>IF(Квартиры!H629="","",Квартиры!H629)</f>
        <v/>
      </c>
      <c r="I631">
        <f>IF(Квартиры!I629="","",Квартиры!I629)</f>
        <v/>
      </c>
      <c r="J631">
        <f>IF(Квартиры!J629="","",Квартиры!J629)</f>
        <v/>
      </c>
    </row>
    <row r="632">
      <c r="A632">
        <f>IF(Квартиры!A630="","",Квартиры!A630)</f>
        <v/>
      </c>
      <c r="B632">
        <f>IF(Квартиры!B630="","",Квартиры!B630)</f>
        <v/>
      </c>
      <c r="C632">
        <f>IF(Квартиры!C630="","",Квартиры!C630)</f>
        <v/>
      </c>
      <c r="D632">
        <f>IF(Квартиры!D630="","",Квартиры!D630)</f>
        <v/>
      </c>
      <c r="E632">
        <f>IF(Квартиры!G630="","",Квартиры!G630)</f>
        <v/>
      </c>
      <c r="F632">
        <f>IF(Квартиры!E630="","",Квартиры!E630)</f>
        <v/>
      </c>
      <c r="G632">
        <f>IF(Квартиры!F630="","",Квартиры!F630)</f>
        <v/>
      </c>
      <c r="H632">
        <f>IF(Квартиры!H630="","",Квартиры!H630)</f>
        <v/>
      </c>
      <c r="I632">
        <f>IF(Квартиры!I630="","",Квартиры!I630)</f>
        <v/>
      </c>
      <c r="J632">
        <f>IF(Квартиры!J630="","",Квартиры!J630)</f>
        <v/>
      </c>
    </row>
    <row r="633">
      <c r="A633">
        <f>IF(Квартиры!A631="","",Квартиры!A631)</f>
        <v/>
      </c>
      <c r="B633">
        <f>IF(Квартиры!B631="","",Квартиры!B631)</f>
        <v/>
      </c>
      <c r="C633">
        <f>IF(Квартиры!C631="","",Квартиры!C631)</f>
        <v/>
      </c>
      <c r="D633">
        <f>IF(Квартиры!D631="","",Квартиры!D631)</f>
        <v/>
      </c>
      <c r="E633">
        <f>IF(Квартиры!G631="","",Квартиры!G631)</f>
        <v/>
      </c>
      <c r="F633">
        <f>IF(Квартиры!E631="","",Квартиры!E631)</f>
        <v/>
      </c>
      <c r="G633">
        <f>IF(Квартиры!F631="","",Квартиры!F631)</f>
        <v/>
      </c>
      <c r="H633">
        <f>IF(Квартиры!H631="","",Квартиры!H631)</f>
        <v/>
      </c>
      <c r="I633">
        <f>IF(Квартиры!I631="","",Квартиры!I631)</f>
        <v/>
      </c>
      <c r="J633">
        <f>IF(Квартиры!J631="","",Квартиры!J631)</f>
        <v/>
      </c>
    </row>
    <row r="634">
      <c r="A634">
        <f>IF(Квартиры!A632="","",Квартиры!A632)</f>
        <v/>
      </c>
      <c r="B634">
        <f>IF(Квартиры!B632="","",Квартиры!B632)</f>
        <v/>
      </c>
      <c r="C634">
        <f>IF(Квартиры!C632="","",Квартиры!C632)</f>
        <v/>
      </c>
      <c r="D634">
        <f>IF(Квартиры!D632="","",Квартиры!D632)</f>
        <v/>
      </c>
      <c r="E634">
        <f>IF(Квартиры!G632="","",Квартиры!G632)</f>
        <v/>
      </c>
      <c r="F634">
        <f>IF(Квартиры!E632="","",Квартиры!E632)</f>
        <v/>
      </c>
      <c r="G634">
        <f>IF(Квартиры!F632="","",Квартиры!F632)</f>
        <v/>
      </c>
      <c r="H634">
        <f>IF(Квартиры!H632="","",Квартиры!H632)</f>
        <v/>
      </c>
      <c r="I634">
        <f>IF(Квартиры!I632="","",Квартиры!I632)</f>
        <v/>
      </c>
      <c r="J634">
        <f>IF(Квартиры!J632="","",Квартиры!J632)</f>
        <v/>
      </c>
    </row>
    <row r="635">
      <c r="A635">
        <f>IF(Квартиры!A633="","",Квартиры!A633)</f>
        <v/>
      </c>
      <c r="B635">
        <f>IF(Квартиры!B633="","",Квартиры!B633)</f>
        <v/>
      </c>
      <c r="C635">
        <f>IF(Квартиры!C633="","",Квартиры!C633)</f>
        <v/>
      </c>
      <c r="D635">
        <f>IF(Квартиры!D633="","",Квартиры!D633)</f>
        <v/>
      </c>
      <c r="E635">
        <f>IF(Квартиры!G633="","",Квартиры!G633)</f>
        <v/>
      </c>
      <c r="F635">
        <f>IF(Квартиры!E633="","",Квартиры!E633)</f>
        <v/>
      </c>
      <c r="G635">
        <f>IF(Квартиры!F633="","",Квартиры!F633)</f>
        <v/>
      </c>
      <c r="H635">
        <f>IF(Квартиры!H633="","",Квартиры!H633)</f>
        <v/>
      </c>
      <c r="I635">
        <f>IF(Квартиры!I633="","",Квартиры!I633)</f>
        <v/>
      </c>
      <c r="J635">
        <f>IF(Квартиры!J633="","",Квартиры!J633)</f>
        <v/>
      </c>
    </row>
    <row r="636">
      <c r="A636">
        <f>IF(Квартиры!A634="","",Квартиры!A634)</f>
        <v/>
      </c>
      <c r="B636">
        <f>IF(Квартиры!B634="","",Квартиры!B634)</f>
        <v/>
      </c>
      <c r="C636">
        <f>IF(Квартиры!C634="","",Квартиры!C634)</f>
        <v/>
      </c>
      <c r="D636">
        <f>IF(Квартиры!D634="","",Квартиры!D634)</f>
        <v/>
      </c>
      <c r="E636">
        <f>IF(Квартиры!G634="","",Квартиры!G634)</f>
        <v/>
      </c>
      <c r="F636">
        <f>IF(Квартиры!E634="","",Квартиры!E634)</f>
        <v/>
      </c>
      <c r="G636">
        <f>IF(Квартиры!F634="","",Квартиры!F634)</f>
        <v/>
      </c>
      <c r="H636">
        <f>IF(Квартиры!H634="","",Квартиры!H634)</f>
        <v/>
      </c>
      <c r="I636">
        <f>IF(Квартиры!I634="","",Квартиры!I634)</f>
        <v/>
      </c>
      <c r="J636">
        <f>IF(Квартиры!J634="","",Квартиры!J634)</f>
        <v/>
      </c>
    </row>
    <row r="637">
      <c r="A637">
        <f>IF(Квартиры!A635="","",Квартиры!A635)</f>
        <v/>
      </c>
      <c r="B637">
        <f>IF(Квартиры!B635="","",Квартиры!B635)</f>
        <v/>
      </c>
      <c r="C637">
        <f>IF(Квартиры!C635="","",Квартиры!C635)</f>
        <v/>
      </c>
      <c r="D637">
        <f>IF(Квартиры!D635="","",Квартиры!D635)</f>
        <v/>
      </c>
      <c r="E637">
        <f>IF(Квартиры!G635="","",Квартиры!G635)</f>
        <v/>
      </c>
      <c r="F637">
        <f>IF(Квартиры!E635="","",Квартиры!E635)</f>
        <v/>
      </c>
      <c r="G637">
        <f>IF(Квартиры!F635="","",Квартиры!F635)</f>
        <v/>
      </c>
      <c r="H637">
        <f>IF(Квартиры!H635="","",Квартиры!H635)</f>
        <v/>
      </c>
      <c r="I637">
        <f>IF(Квартиры!I635="","",Квартиры!I635)</f>
        <v/>
      </c>
      <c r="J637">
        <f>IF(Квартиры!J635="","",Квартиры!J635)</f>
        <v/>
      </c>
    </row>
    <row r="638">
      <c r="A638">
        <f>IF(Квартиры!A636="","",Квартиры!A636)</f>
        <v/>
      </c>
      <c r="B638">
        <f>IF(Квартиры!B636="","",Квартиры!B636)</f>
        <v/>
      </c>
      <c r="C638">
        <f>IF(Квартиры!C636="","",Квартиры!C636)</f>
        <v/>
      </c>
      <c r="D638">
        <f>IF(Квартиры!D636="","",Квартиры!D636)</f>
        <v/>
      </c>
      <c r="E638">
        <f>IF(Квартиры!G636="","",Квартиры!G636)</f>
        <v/>
      </c>
      <c r="F638">
        <f>IF(Квартиры!E636="","",Квартиры!E636)</f>
        <v/>
      </c>
      <c r="G638">
        <f>IF(Квартиры!F636="","",Квартиры!F636)</f>
        <v/>
      </c>
      <c r="H638">
        <f>IF(Квартиры!H636="","",Квартиры!H636)</f>
        <v/>
      </c>
      <c r="I638">
        <f>IF(Квартиры!I636="","",Квартиры!I636)</f>
        <v/>
      </c>
      <c r="J638">
        <f>IF(Квартиры!J636="","",Квартиры!J636)</f>
        <v/>
      </c>
    </row>
    <row r="639">
      <c r="A639">
        <f>IF(Квартиры!A637="","",Квартиры!A637)</f>
        <v/>
      </c>
      <c r="B639">
        <f>IF(Квартиры!B637="","",Квартиры!B637)</f>
        <v/>
      </c>
      <c r="C639">
        <f>IF(Квартиры!C637="","",Квартиры!C637)</f>
        <v/>
      </c>
      <c r="D639">
        <f>IF(Квартиры!D637="","",Квартиры!D637)</f>
        <v/>
      </c>
      <c r="E639">
        <f>IF(Квартиры!G637="","",Квартиры!G637)</f>
        <v/>
      </c>
      <c r="F639">
        <f>IF(Квартиры!E637="","",Квартиры!E637)</f>
        <v/>
      </c>
      <c r="G639">
        <f>IF(Квартиры!F637="","",Квартиры!F637)</f>
        <v/>
      </c>
      <c r="H639">
        <f>IF(Квартиры!H637="","",Квартиры!H637)</f>
        <v/>
      </c>
      <c r="I639">
        <f>IF(Квартиры!I637="","",Квартиры!I637)</f>
        <v/>
      </c>
      <c r="J639">
        <f>IF(Квартиры!J637="","",Квартиры!J637)</f>
        <v/>
      </c>
    </row>
    <row r="640">
      <c r="A640">
        <f>IF(Квартиры!A638="","",Квартиры!A638)</f>
        <v/>
      </c>
      <c r="B640">
        <f>IF(Квартиры!B638="","",Квартиры!B638)</f>
        <v/>
      </c>
      <c r="C640">
        <f>IF(Квартиры!C638="","",Квартиры!C638)</f>
        <v/>
      </c>
      <c r="D640">
        <f>IF(Квартиры!D638="","",Квартиры!D638)</f>
        <v/>
      </c>
      <c r="E640">
        <f>IF(Квартиры!G638="","",Квартиры!G638)</f>
        <v/>
      </c>
      <c r="F640">
        <f>IF(Квартиры!E638="","",Квартиры!E638)</f>
        <v/>
      </c>
      <c r="G640">
        <f>IF(Квартиры!F638="","",Квартиры!F638)</f>
        <v/>
      </c>
      <c r="H640">
        <f>IF(Квартиры!H638="","",Квартиры!H638)</f>
        <v/>
      </c>
      <c r="I640">
        <f>IF(Квартиры!I638="","",Квартиры!I638)</f>
        <v/>
      </c>
      <c r="J640">
        <f>IF(Квартиры!J638="","",Квартиры!J638)</f>
        <v/>
      </c>
    </row>
    <row r="641">
      <c r="A641">
        <f>IF(Квартиры!A639="","",Квартиры!A639)</f>
        <v/>
      </c>
      <c r="B641">
        <f>IF(Квартиры!B639="","",Квартиры!B639)</f>
        <v/>
      </c>
      <c r="C641">
        <f>IF(Квартиры!C639="","",Квартиры!C639)</f>
        <v/>
      </c>
      <c r="D641">
        <f>IF(Квартиры!D639="","",Квартиры!D639)</f>
        <v/>
      </c>
      <c r="E641">
        <f>IF(Квартиры!G639="","",Квартиры!G639)</f>
        <v/>
      </c>
      <c r="F641">
        <f>IF(Квартиры!E639="","",Квартиры!E639)</f>
        <v/>
      </c>
      <c r="G641">
        <f>IF(Квартиры!F639="","",Квартиры!F639)</f>
        <v/>
      </c>
      <c r="H641">
        <f>IF(Квартиры!H639="","",Квартиры!H639)</f>
        <v/>
      </c>
      <c r="I641">
        <f>IF(Квартиры!I639="","",Квартиры!I639)</f>
        <v/>
      </c>
      <c r="J641">
        <f>IF(Квартиры!J639="","",Квартиры!J639)</f>
        <v/>
      </c>
    </row>
    <row r="642">
      <c r="A642">
        <f>IF(Квартиры!A640="","",Квартиры!A640)</f>
        <v/>
      </c>
      <c r="B642">
        <f>IF(Квартиры!B640="","",Квартиры!B640)</f>
        <v/>
      </c>
      <c r="C642">
        <f>IF(Квартиры!C640="","",Квартиры!C640)</f>
        <v/>
      </c>
      <c r="D642">
        <f>IF(Квартиры!D640="","",Квартиры!D640)</f>
        <v/>
      </c>
      <c r="E642">
        <f>IF(Квартиры!G640="","",Квартиры!G640)</f>
        <v/>
      </c>
      <c r="F642">
        <f>IF(Квартиры!E640="","",Квартиры!E640)</f>
        <v/>
      </c>
      <c r="G642">
        <f>IF(Квартиры!F640="","",Квартиры!F640)</f>
        <v/>
      </c>
      <c r="H642">
        <f>IF(Квартиры!H640="","",Квартиры!H640)</f>
        <v/>
      </c>
      <c r="I642">
        <f>IF(Квартиры!I640="","",Квартиры!I640)</f>
        <v/>
      </c>
      <c r="J642">
        <f>IF(Квартиры!J640="","",Квартиры!J640)</f>
        <v/>
      </c>
    </row>
    <row r="643">
      <c r="A643">
        <f>IF(Квартиры!A641="","",Квартиры!A641)</f>
        <v/>
      </c>
      <c r="B643">
        <f>IF(Квартиры!B641="","",Квартиры!B641)</f>
        <v/>
      </c>
      <c r="C643">
        <f>IF(Квартиры!C641="","",Квартиры!C641)</f>
        <v/>
      </c>
      <c r="D643">
        <f>IF(Квартиры!D641="","",Квартиры!D641)</f>
        <v/>
      </c>
      <c r="E643">
        <f>IF(Квартиры!G641="","",Квартиры!G641)</f>
        <v/>
      </c>
      <c r="F643">
        <f>IF(Квартиры!E641="","",Квартиры!E641)</f>
        <v/>
      </c>
      <c r="G643">
        <f>IF(Квартиры!F641="","",Квартиры!F641)</f>
        <v/>
      </c>
      <c r="H643">
        <f>IF(Квартиры!H641="","",Квартиры!H641)</f>
        <v/>
      </c>
      <c r="I643">
        <f>IF(Квартиры!I641="","",Квартиры!I641)</f>
        <v/>
      </c>
      <c r="J643">
        <f>IF(Квартиры!J641="","",Квартиры!J641)</f>
        <v/>
      </c>
    </row>
    <row r="644">
      <c r="A644">
        <f>IF(Квартиры!A642="","",Квартиры!A642)</f>
        <v/>
      </c>
      <c r="B644">
        <f>IF(Квартиры!B642="","",Квартиры!B642)</f>
        <v/>
      </c>
      <c r="C644">
        <f>IF(Квартиры!C642="","",Квартиры!C642)</f>
        <v/>
      </c>
      <c r="D644">
        <f>IF(Квартиры!D642="","",Квартиры!D642)</f>
        <v/>
      </c>
      <c r="E644">
        <f>IF(Квартиры!G642="","",Квартиры!G642)</f>
        <v/>
      </c>
      <c r="F644">
        <f>IF(Квартиры!E642="","",Квартиры!E642)</f>
        <v/>
      </c>
      <c r="G644">
        <f>IF(Квартиры!F642="","",Квартиры!F642)</f>
        <v/>
      </c>
      <c r="H644">
        <f>IF(Квартиры!H642="","",Квартиры!H642)</f>
        <v/>
      </c>
      <c r="I644">
        <f>IF(Квартиры!I642="","",Квартиры!I642)</f>
        <v/>
      </c>
      <c r="J644">
        <f>IF(Квартиры!J642="","",Квартиры!J642)</f>
        <v/>
      </c>
    </row>
    <row r="645">
      <c r="A645">
        <f>IF(Квартиры!A643="","",Квартиры!A643)</f>
        <v/>
      </c>
      <c r="B645">
        <f>IF(Квартиры!B643="","",Квартиры!B643)</f>
        <v/>
      </c>
      <c r="C645">
        <f>IF(Квартиры!C643="","",Квартиры!C643)</f>
        <v/>
      </c>
      <c r="D645">
        <f>IF(Квартиры!D643="","",Квартиры!D643)</f>
        <v/>
      </c>
      <c r="E645">
        <f>IF(Квартиры!G643="","",Квартиры!G643)</f>
        <v/>
      </c>
      <c r="F645">
        <f>IF(Квартиры!E643="","",Квартиры!E643)</f>
        <v/>
      </c>
      <c r="G645">
        <f>IF(Квартиры!F643="","",Квартиры!F643)</f>
        <v/>
      </c>
      <c r="H645">
        <f>IF(Квартиры!H643="","",Квартиры!H643)</f>
        <v/>
      </c>
      <c r="I645">
        <f>IF(Квартиры!I643="","",Квартиры!I643)</f>
        <v/>
      </c>
      <c r="J645">
        <f>IF(Квартиры!J643="","",Квартиры!J643)</f>
        <v/>
      </c>
    </row>
    <row r="646">
      <c r="A646">
        <f>IF(Квартиры!A644="","",Квартиры!A644)</f>
        <v/>
      </c>
      <c r="B646">
        <f>IF(Квартиры!B644="","",Квартиры!B644)</f>
        <v/>
      </c>
      <c r="C646">
        <f>IF(Квартиры!C644="","",Квартиры!C644)</f>
        <v/>
      </c>
      <c r="D646">
        <f>IF(Квартиры!D644="","",Квартиры!D644)</f>
        <v/>
      </c>
      <c r="E646">
        <f>IF(Квартиры!G644="","",Квартиры!G644)</f>
        <v/>
      </c>
      <c r="F646">
        <f>IF(Квартиры!E644="","",Квартиры!E644)</f>
        <v/>
      </c>
      <c r="G646">
        <f>IF(Квартиры!F644="","",Квартиры!F644)</f>
        <v/>
      </c>
      <c r="H646">
        <f>IF(Квартиры!H644="","",Квартиры!H644)</f>
        <v/>
      </c>
      <c r="I646">
        <f>IF(Квартиры!I644="","",Квартиры!I644)</f>
        <v/>
      </c>
      <c r="J646">
        <f>IF(Квартиры!J644="","",Квартиры!J644)</f>
        <v/>
      </c>
    </row>
    <row r="647">
      <c r="A647">
        <f>IF(Квартиры!A645="","",Квартиры!A645)</f>
        <v/>
      </c>
      <c r="B647">
        <f>IF(Квартиры!B645="","",Квартиры!B645)</f>
        <v/>
      </c>
      <c r="C647">
        <f>IF(Квартиры!C645="","",Квартиры!C645)</f>
        <v/>
      </c>
      <c r="D647">
        <f>IF(Квартиры!D645="","",Квартиры!D645)</f>
        <v/>
      </c>
      <c r="E647">
        <f>IF(Квартиры!G645="","",Квартиры!G645)</f>
        <v/>
      </c>
      <c r="F647">
        <f>IF(Квартиры!E645="","",Квартиры!E645)</f>
        <v/>
      </c>
      <c r="G647">
        <f>IF(Квартиры!F645="","",Квартиры!F645)</f>
        <v/>
      </c>
      <c r="H647">
        <f>IF(Квартиры!H645="","",Квартиры!H645)</f>
        <v/>
      </c>
      <c r="I647">
        <f>IF(Квартиры!I645="","",Квартиры!I645)</f>
        <v/>
      </c>
      <c r="J647">
        <f>IF(Квартиры!J645="","",Квартиры!J645)</f>
        <v/>
      </c>
    </row>
    <row r="648">
      <c r="A648">
        <f>IF(Квартиры!A646="","",Квартиры!A646)</f>
        <v/>
      </c>
      <c r="B648">
        <f>IF(Квартиры!B646="","",Квартиры!B646)</f>
        <v/>
      </c>
      <c r="C648">
        <f>IF(Квартиры!C646="","",Квартиры!C646)</f>
        <v/>
      </c>
      <c r="D648">
        <f>IF(Квартиры!D646="","",Квартиры!D646)</f>
        <v/>
      </c>
      <c r="E648">
        <f>IF(Квартиры!G646="","",Квартиры!G646)</f>
        <v/>
      </c>
      <c r="F648">
        <f>IF(Квартиры!E646="","",Квартиры!E646)</f>
        <v/>
      </c>
      <c r="G648">
        <f>IF(Квартиры!F646="","",Квартиры!F646)</f>
        <v/>
      </c>
      <c r="H648">
        <f>IF(Квартиры!H646="","",Квартиры!H646)</f>
        <v/>
      </c>
      <c r="I648">
        <f>IF(Квартиры!I646="","",Квартиры!I646)</f>
        <v/>
      </c>
      <c r="J648">
        <f>IF(Квартиры!J646="","",Квартиры!J646)</f>
        <v/>
      </c>
    </row>
    <row r="649">
      <c r="A649">
        <f>IF(Квартиры!A647="","",Квартиры!A647)</f>
        <v/>
      </c>
      <c r="B649">
        <f>IF(Квартиры!B647="","",Квартиры!B647)</f>
        <v/>
      </c>
      <c r="C649">
        <f>IF(Квартиры!C647="","",Квартиры!C647)</f>
        <v/>
      </c>
      <c r="D649">
        <f>IF(Квартиры!D647="","",Квартиры!D647)</f>
        <v/>
      </c>
      <c r="E649">
        <f>IF(Квартиры!G647="","",Квартиры!G647)</f>
        <v/>
      </c>
      <c r="F649">
        <f>IF(Квартиры!E647="","",Квартиры!E647)</f>
        <v/>
      </c>
      <c r="G649">
        <f>IF(Квартиры!F647="","",Квартиры!F647)</f>
        <v/>
      </c>
      <c r="H649">
        <f>IF(Квартиры!H647="","",Квартиры!H647)</f>
        <v/>
      </c>
      <c r="I649">
        <f>IF(Квартиры!I647="","",Квартиры!I647)</f>
        <v/>
      </c>
      <c r="J649">
        <f>IF(Квартиры!J647="","",Квартиры!J647)</f>
        <v/>
      </c>
    </row>
    <row r="650">
      <c r="A650">
        <f>IF(Квартиры!A648="","",Квартиры!A648)</f>
        <v/>
      </c>
      <c r="B650">
        <f>IF(Квартиры!B648="","",Квартиры!B648)</f>
        <v/>
      </c>
      <c r="C650">
        <f>IF(Квартиры!C648="","",Квартиры!C648)</f>
        <v/>
      </c>
      <c r="D650">
        <f>IF(Квартиры!D648="","",Квартиры!D648)</f>
        <v/>
      </c>
      <c r="E650">
        <f>IF(Квартиры!G648="","",Квартиры!G648)</f>
        <v/>
      </c>
      <c r="F650">
        <f>IF(Квартиры!E648="","",Квартиры!E648)</f>
        <v/>
      </c>
      <c r="G650">
        <f>IF(Квартиры!F648="","",Квартиры!F648)</f>
        <v/>
      </c>
      <c r="H650">
        <f>IF(Квартиры!H648="","",Квартиры!H648)</f>
        <v/>
      </c>
      <c r="I650">
        <f>IF(Квартиры!I648="","",Квартиры!I648)</f>
        <v/>
      </c>
      <c r="J650">
        <f>IF(Квартиры!J648="","",Квартиры!J648)</f>
        <v/>
      </c>
    </row>
    <row r="651">
      <c r="A651">
        <f>IF(Квартиры!A649="","",Квартиры!A649)</f>
        <v/>
      </c>
      <c r="B651">
        <f>IF(Квартиры!B649="","",Квартиры!B649)</f>
        <v/>
      </c>
      <c r="C651">
        <f>IF(Квартиры!C649="","",Квартиры!C649)</f>
        <v/>
      </c>
      <c r="D651">
        <f>IF(Квартиры!D649="","",Квартиры!D649)</f>
        <v/>
      </c>
      <c r="E651">
        <f>IF(Квартиры!G649="","",Квартиры!G649)</f>
        <v/>
      </c>
      <c r="F651">
        <f>IF(Квартиры!E649="","",Квартиры!E649)</f>
        <v/>
      </c>
      <c r="G651">
        <f>IF(Квартиры!F649="","",Квартиры!F649)</f>
        <v/>
      </c>
      <c r="H651">
        <f>IF(Квартиры!H649="","",Квартиры!H649)</f>
        <v/>
      </c>
      <c r="I651">
        <f>IF(Квартиры!I649="","",Квартиры!I649)</f>
        <v/>
      </c>
      <c r="J651">
        <f>IF(Квартиры!J649="","",Квартиры!J649)</f>
        <v/>
      </c>
    </row>
    <row r="652">
      <c r="A652">
        <f>IF(Квартиры!A650="","",Квартиры!A650)</f>
        <v/>
      </c>
      <c r="B652">
        <f>IF(Квартиры!B650="","",Квартиры!B650)</f>
        <v/>
      </c>
      <c r="C652">
        <f>IF(Квартиры!C650="","",Квартиры!C650)</f>
        <v/>
      </c>
      <c r="D652">
        <f>IF(Квартиры!D650="","",Квартиры!D650)</f>
        <v/>
      </c>
      <c r="E652">
        <f>IF(Квартиры!G650="","",Квартиры!G650)</f>
        <v/>
      </c>
      <c r="F652">
        <f>IF(Квартиры!E650="","",Квартиры!E650)</f>
        <v/>
      </c>
      <c r="G652">
        <f>IF(Квартиры!F650="","",Квартиры!F650)</f>
        <v/>
      </c>
      <c r="H652">
        <f>IF(Квартиры!H650="","",Квартиры!H650)</f>
        <v/>
      </c>
      <c r="I652">
        <f>IF(Квартиры!I650="","",Квартиры!I650)</f>
        <v/>
      </c>
      <c r="J652">
        <f>IF(Квартиры!J650="","",Квартиры!J650)</f>
        <v/>
      </c>
    </row>
    <row r="653">
      <c r="A653">
        <f>IF(Квартиры!A651="","",Квартиры!A651)</f>
        <v/>
      </c>
      <c r="B653">
        <f>IF(Квартиры!B651="","",Квартиры!B651)</f>
        <v/>
      </c>
      <c r="C653">
        <f>IF(Квартиры!C651="","",Квартиры!C651)</f>
        <v/>
      </c>
      <c r="D653">
        <f>IF(Квартиры!D651="","",Квартиры!D651)</f>
        <v/>
      </c>
      <c r="E653">
        <f>IF(Квартиры!G651="","",Квартиры!G651)</f>
        <v/>
      </c>
      <c r="F653">
        <f>IF(Квартиры!E651="","",Квартиры!E651)</f>
        <v/>
      </c>
      <c r="G653">
        <f>IF(Квартиры!F651="","",Квартиры!F651)</f>
        <v/>
      </c>
      <c r="H653">
        <f>IF(Квартиры!H651="","",Квартиры!H651)</f>
        <v/>
      </c>
      <c r="I653">
        <f>IF(Квартиры!I651="","",Квартиры!I651)</f>
        <v/>
      </c>
      <c r="J653">
        <f>IF(Квартиры!J651="","",Квартиры!J651)</f>
        <v/>
      </c>
    </row>
    <row r="654">
      <c r="A654">
        <f>IF(Квартиры!A652="","",Квартиры!A652)</f>
        <v/>
      </c>
      <c r="B654">
        <f>IF(Квартиры!B652="","",Квартиры!B652)</f>
        <v/>
      </c>
      <c r="C654">
        <f>IF(Квартиры!C652="","",Квартиры!C652)</f>
        <v/>
      </c>
      <c r="D654">
        <f>IF(Квартиры!D652="","",Квартиры!D652)</f>
        <v/>
      </c>
      <c r="E654">
        <f>IF(Квартиры!G652="","",Квартиры!G652)</f>
        <v/>
      </c>
      <c r="F654">
        <f>IF(Квартиры!E652="","",Квартиры!E652)</f>
        <v/>
      </c>
      <c r="G654">
        <f>IF(Квартиры!F652="","",Квартиры!F652)</f>
        <v/>
      </c>
      <c r="H654">
        <f>IF(Квартиры!H652="","",Квартиры!H652)</f>
        <v/>
      </c>
      <c r="I654">
        <f>IF(Квартиры!I652="","",Квартиры!I652)</f>
        <v/>
      </c>
      <c r="J654">
        <f>IF(Квартиры!J652="","",Квартиры!J652)</f>
        <v/>
      </c>
    </row>
    <row r="655">
      <c r="A655">
        <f>IF(Квартиры!A653="","",Квартиры!A653)</f>
        <v/>
      </c>
      <c r="B655">
        <f>IF(Квартиры!B653="","",Квартиры!B653)</f>
        <v/>
      </c>
      <c r="C655">
        <f>IF(Квартиры!C653="","",Квартиры!C653)</f>
        <v/>
      </c>
      <c r="D655">
        <f>IF(Квартиры!D653="","",Квартиры!D653)</f>
        <v/>
      </c>
      <c r="E655">
        <f>IF(Квартиры!G653="","",Квартиры!G653)</f>
        <v/>
      </c>
      <c r="F655">
        <f>IF(Квартиры!E653="","",Квартиры!E653)</f>
        <v/>
      </c>
      <c r="G655">
        <f>IF(Квартиры!F653="","",Квартиры!F653)</f>
        <v/>
      </c>
      <c r="H655">
        <f>IF(Квартиры!H653="","",Квартиры!H653)</f>
        <v/>
      </c>
      <c r="I655">
        <f>IF(Квартиры!I653="","",Квартиры!I653)</f>
        <v/>
      </c>
      <c r="J655">
        <f>IF(Квартиры!J653="","",Квартиры!J653)</f>
        <v/>
      </c>
    </row>
    <row r="656">
      <c r="A656">
        <f>IF(Квартиры!A654="","",Квартиры!A654)</f>
        <v/>
      </c>
      <c r="B656">
        <f>IF(Квартиры!B654="","",Квартиры!B654)</f>
        <v/>
      </c>
      <c r="C656">
        <f>IF(Квартиры!C654="","",Квартиры!C654)</f>
        <v/>
      </c>
      <c r="D656">
        <f>IF(Квартиры!D654="","",Квартиры!D654)</f>
        <v/>
      </c>
      <c r="E656">
        <f>IF(Квартиры!G654="","",Квартиры!G654)</f>
        <v/>
      </c>
      <c r="F656">
        <f>IF(Квартиры!E654="","",Квартиры!E654)</f>
        <v/>
      </c>
      <c r="G656">
        <f>IF(Квартиры!F654="","",Квартиры!F654)</f>
        <v/>
      </c>
      <c r="H656">
        <f>IF(Квартиры!H654="","",Квартиры!H654)</f>
        <v/>
      </c>
      <c r="I656">
        <f>IF(Квартиры!I654="","",Квартиры!I654)</f>
        <v/>
      </c>
      <c r="J656">
        <f>IF(Квартиры!J654="","",Квартиры!J654)</f>
        <v/>
      </c>
    </row>
    <row r="657">
      <c r="A657">
        <f>IF(Квартиры!A655="","",Квартиры!A655)</f>
        <v/>
      </c>
      <c r="B657">
        <f>IF(Квартиры!B655="","",Квартиры!B655)</f>
        <v/>
      </c>
      <c r="C657">
        <f>IF(Квартиры!C655="","",Квартиры!C655)</f>
        <v/>
      </c>
      <c r="D657">
        <f>IF(Квартиры!D655="","",Квартиры!D655)</f>
        <v/>
      </c>
      <c r="E657">
        <f>IF(Квартиры!G655="","",Квартиры!G655)</f>
        <v/>
      </c>
      <c r="F657">
        <f>IF(Квартиры!E655="","",Квартиры!E655)</f>
        <v/>
      </c>
      <c r="G657">
        <f>IF(Квартиры!F655="","",Квартиры!F655)</f>
        <v/>
      </c>
      <c r="H657">
        <f>IF(Квартиры!H655="","",Квартиры!H655)</f>
        <v/>
      </c>
      <c r="I657">
        <f>IF(Квартиры!I655="","",Квартиры!I655)</f>
        <v/>
      </c>
      <c r="J657">
        <f>IF(Квартиры!J655="","",Квартиры!J655)</f>
        <v/>
      </c>
    </row>
    <row r="658">
      <c r="A658">
        <f>IF(Квартиры!A656="","",Квартиры!A656)</f>
        <v/>
      </c>
      <c r="B658">
        <f>IF(Квартиры!B656="","",Квартиры!B656)</f>
        <v/>
      </c>
      <c r="C658">
        <f>IF(Квартиры!C656="","",Квартиры!C656)</f>
        <v/>
      </c>
      <c r="D658">
        <f>IF(Квартиры!D656="","",Квартиры!D656)</f>
        <v/>
      </c>
      <c r="E658">
        <f>IF(Квартиры!G656="","",Квартиры!G656)</f>
        <v/>
      </c>
      <c r="F658">
        <f>IF(Квартиры!E656="","",Квартиры!E656)</f>
        <v/>
      </c>
      <c r="G658">
        <f>IF(Квартиры!F656="","",Квартиры!F656)</f>
        <v/>
      </c>
      <c r="H658">
        <f>IF(Квартиры!H656="","",Квартиры!H656)</f>
        <v/>
      </c>
      <c r="I658">
        <f>IF(Квартиры!I656="","",Квартиры!I656)</f>
        <v/>
      </c>
      <c r="J658">
        <f>IF(Квартиры!J656="","",Квартиры!J656)</f>
        <v/>
      </c>
    </row>
    <row r="659">
      <c r="A659">
        <f>IF(Квартиры!A657="","",Квартиры!A657)</f>
        <v/>
      </c>
      <c r="B659">
        <f>IF(Квартиры!B657="","",Квартиры!B657)</f>
        <v/>
      </c>
      <c r="C659">
        <f>IF(Квартиры!C657="","",Квартиры!C657)</f>
        <v/>
      </c>
      <c r="D659">
        <f>IF(Квартиры!D657="","",Квартиры!D657)</f>
        <v/>
      </c>
      <c r="E659">
        <f>IF(Квартиры!G657="","",Квартиры!G657)</f>
        <v/>
      </c>
      <c r="F659">
        <f>IF(Квартиры!E657="","",Квартиры!E657)</f>
        <v/>
      </c>
      <c r="G659">
        <f>IF(Квартиры!F657="","",Квартиры!F657)</f>
        <v/>
      </c>
      <c r="H659">
        <f>IF(Квартиры!H657="","",Квартиры!H657)</f>
        <v/>
      </c>
      <c r="I659">
        <f>IF(Квартиры!I657="","",Квартиры!I657)</f>
        <v/>
      </c>
      <c r="J659">
        <f>IF(Квартиры!J657="","",Квартиры!J657)</f>
        <v/>
      </c>
    </row>
    <row r="660">
      <c r="A660">
        <f>IF(Квартиры!A658="","",Квартиры!A658)</f>
        <v/>
      </c>
      <c r="B660">
        <f>IF(Квартиры!B658="","",Квартиры!B658)</f>
        <v/>
      </c>
      <c r="C660">
        <f>IF(Квартиры!C658="","",Квартиры!C658)</f>
        <v/>
      </c>
      <c r="D660">
        <f>IF(Квартиры!D658="","",Квартиры!D658)</f>
        <v/>
      </c>
      <c r="E660">
        <f>IF(Квартиры!G658="","",Квартиры!G658)</f>
        <v/>
      </c>
      <c r="F660">
        <f>IF(Квартиры!E658="","",Квартиры!E658)</f>
        <v/>
      </c>
      <c r="G660">
        <f>IF(Квартиры!F658="","",Квартиры!F658)</f>
        <v/>
      </c>
      <c r="H660">
        <f>IF(Квартиры!H658="","",Квартиры!H658)</f>
        <v/>
      </c>
      <c r="I660">
        <f>IF(Квартиры!I658="","",Квартиры!I658)</f>
        <v/>
      </c>
      <c r="J660">
        <f>IF(Квартиры!J658="","",Квартиры!J658)</f>
        <v/>
      </c>
    </row>
    <row r="661">
      <c r="A661">
        <f>IF(Квартиры!A659="","",Квартиры!A659)</f>
        <v/>
      </c>
      <c r="B661">
        <f>IF(Квартиры!B659="","",Квартиры!B659)</f>
        <v/>
      </c>
      <c r="C661">
        <f>IF(Квартиры!C659="","",Квартиры!C659)</f>
        <v/>
      </c>
      <c r="D661">
        <f>IF(Квартиры!D659="","",Квартиры!D659)</f>
        <v/>
      </c>
      <c r="E661">
        <f>IF(Квартиры!G659="","",Квартиры!G659)</f>
        <v/>
      </c>
      <c r="F661">
        <f>IF(Квартиры!E659="","",Квартиры!E659)</f>
        <v/>
      </c>
      <c r="G661">
        <f>IF(Квартиры!F659="","",Квартиры!F659)</f>
        <v/>
      </c>
      <c r="H661">
        <f>IF(Квартиры!H659="","",Квартиры!H659)</f>
        <v/>
      </c>
      <c r="I661">
        <f>IF(Квартиры!I659="","",Квартиры!I659)</f>
        <v/>
      </c>
      <c r="J661">
        <f>IF(Квартиры!J659="","",Квартиры!J659)</f>
        <v/>
      </c>
    </row>
    <row r="662">
      <c r="A662">
        <f>IF(Квартиры!A660="","",Квартиры!A660)</f>
        <v/>
      </c>
      <c r="B662">
        <f>IF(Квартиры!B660="","",Квартиры!B660)</f>
        <v/>
      </c>
      <c r="C662">
        <f>IF(Квартиры!C660="","",Квартиры!C660)</f>
        <v/>
      </c>
      <c r="D662">
        <f>IF(Квартиры!D660="","",Квартиры!D660)</f>
        <v/>
      </c>
      <c r="E662">
        <f>IF(Квартиры!G660="","",Квартиры!G660)</f>
        <v/>
      </c>
      <c r="F662">
        <f>IF(Квартиры!E660="","",Квартиры!E660)</f>
        <v/>
      </c>
      <c r="G662">
        <f>IF(Квартиры!F660="","",Квартиры!F660)</f>
        <v/>
      </c>
      <c r="H662">
        <f>IF(Квартиры!H660="","",Квартиры!H660)</f>
        <v/>
      </c>
      <c r="I662">
        <f>IF(Квартиры!I660="","",Квартиры!I660)</f>
        <v/>
      </c>
      <c r="J662">
        <f>IF(Квартиры!J660="","",Квартиры!J660)</f>
        <v/>
      </c>
    </row>
    <row r="663">
      <c r="A663">
        <f>IF(Квартиры!A661="","",Квартиры!A661)</f>
        <v/>
      </c>
      <c r="B663">
        <f>IF(Квартиры!B661="","",Квартиры!B661)</f>
        <v/>
      </c>
      <c r="C663">
        <f>IF(Квартиры!C661="","",Квартиры!C661)</f>
        <v/>
      </c>
      <c r="D663">
        <f>IF(Квартиры!D661="","",Квартиры!D661)</f>
        <v/>
      </c>
      <c r="E663">
        <f>IF(Квартиры!G661="","",Квартиры!G661)</f>
        <v/>
      </c>
      <c r="F663">
        <f>IF(Квартиры!E661="","",Квартиры!E661)</f>
        <v/>
      </c>
      <c r="G663">
        <f>IF(Квартиры!F661="","",Квартиры!F661)</f>
        <v/>
      </c>
      <c r="H663">
        <f>IF(Квартиры!H661="","",Квартиры!H661)</f>
        <v/>
      </c>
      <c r="I663">
        <f>IF(Квартиры!I661="","",Квартиры!I661)</f>
        <v/>
      </c>
      <c r="J663">
        <f>IF(Квартиры!J661="","",Квартиры!J661)</f>
        <v/>
      </c>
    </row>
    <row r="664">
      <c r="A664">
        <f>IF(Квартиры!A662="","",Квартиры!A662)</f>
        <v/>
      </c>
      <c r="B664">
        <f>IF(Квартиры!B662="","",Квартиры!B662)</f>
        <v/>
      </c>
      <c r="C664">
        <f>IF(Квартиры!C662="","",Квартиры!C662)</f>
        <v/>
      </c>
      <c r="D664">
        <f>IF(Квартиры!D662="","",Квартиры!D662)</f>
        <v/>
      </c>
      <c r="E664">
        <f>IF(Квартиры!G662="","",Квартиры!G662)</f>
        <v/>
      </c>
      <c r="F664">
        <f>IF(Квартиры!E662="","",Квартиры!E662)</f>
        <v/>
      </c>
      <c r="G664">
        <f>IF(Квартиры!F662="","",Квартиры!F662)</f>
        <v/>
      </c>
      <c r="H664">
        <f>IF(Квартиры!H662="","",Квартиры!H662)</f>
        <v/>
      </c>
      <c r="I664">
        <f>IF(Квартиры!I662="","",Квартиры!I662)</f>
        <v/>
      </c>
      <c r="J664">
        <f>IF(Квартиры!J662="","",Квартиры!J662)</f>
        <v/>
      </c>
    </row>
    <row r="665">
      <c r="A665">
        <f>IF(Квартиры!A663="","",Квартиры!A663)</f>
        <v/>
      </c>
      <c r="B665">
        <f>IF(Квартиры!B663="","",Квартиры!B663)</f>
        <v/>
      </c>
      <c r="C665">
        <f>IF(Квартиры!C663="","",Квартиры!C663)</f>
        <v/>
      </c>
      <c r="D665">
        <f>IF(Квартиры!D663="","",Квартиры!D663)</f>
        <v/>
      </c>
      <c r="E665">
        <f>IF(Квартиры!G663="","",Квартиры!G663)</f>
        <v/>
      </c>
      <c r="F665">
        <f>IF(Квартиры!E663="","",Квартиры!E663)</f>
        <v/>
      </c>
      <c r="G665">
        <f>IF(Квартиры!F663="","",Квартиры!F663)</f>
        <v/>
      </c>
      <c r="H665">
        <f>IF(Квартиры!H663="","",Квартиры!H663)</f>
        <v/>
      </c>
      <c r="I665">
        <f>IF(Квартиры!I663="","",Квартиры!I663)</f>
        <v/>
      </c>
      <c r="J665">
        <f>IF(Квартиры!J663="","",Квартиры!J663)</f>
        <v/>
      </c>
    </row>
    <row r="666">
      <c r="A666">
        <f>IF(Квартиры!A664="","",Квартиры!A664)</f>
        <v/>
      </c>
      <c r="B666">
        <f>IF(Квартиры!B664="","",Квартиры!B664)</f>
        <v/>
      </c>
      <c r="C666">
        <f>IF(Квартиры!C664="","",Квартиры!C664)</f>
        <v/>
      </c>
      <c r="D666">
        <f>IF(Квартиры!D664="","",Квартиры!D664)</f>
        <v/>
      </c>
      <c r="E666">
        <f>IF(Квартиры!G664="","",Квартиры!G664)</f>
        <v/>
      </c>
      <c r="F666">
        <f>IF(Квартиры!E664="","",Квартиры!E664)</f>
        <v/>
      </c>
      <c r="G666">
        <f>IF(Квартиры!F664="","",Квартиры!F664)</f>
        <v/>
      </c>
      <c r="H666">
        <f>IF(Квартиры!H664="","",Квартиры!H664)</f>
        <v/>
      </c>
      <c r="I666">
        <f>IF(Квартиры!I664="","",Квартиры!I664)</f>
        <v/>
      </c>
      <c r="J666">
        <f>IF(Квартиры!J664="","",Квартиры!J664)</f>
        <v/>
      </c>
    </row>
    <row r="667">
      <c r="A667">
        <f>IF(Квартиры!A665="","",Квартиры!A665)</f>
        <v/>
      </c>
      <c r="B667">
        <f>IF(Квартиры!B665="","",Квартиры!B665)</f>
        <v/>
      </c>
      <c r="C667">
        <f>IF(Квартиры!C665="","",Квартиры!C665)</f>
        <v/>
      </c>
      <c r="D667">
        <f>IF(Квартиры!D665="","",Квартиры!D665)</f>
        <v/>
      </c>
      <c r="E667">
        <f>IF(Квартиры!G665="","",Квартиры!G665)</f>
        <v/>
      </c>
      <c r="F667">
        <f>IF(Квартиры!E665="","",Квартиры!E665)</f>
        <v/>
      </c>
      <c r="G667">
        <f>IF(Квартиры!F665="","",Квартиры!F665)</f>
        <v/>
      </c>
      <c r="H667">
        <f>IF(Квартиры!H665="","",Квартиры!H665)</f>
        <v/>
      </c>
      <c r="I667">
        <f>IF(Квартиры!I665="","",Квартиры!I665)</f>
        <v/>
      </c>
      <c r="J667">
        <f>IF(Квартиры!J665="","",Квартиры!J665)</f>
        <v/>
      </c>
    </row>
    <row r="668">
      <c r="A668">
        <f>IF(Квартиры!A666="","",Квартиры!A666)</f>
        <v/>
      </c>
      <c r="B668">
        <f>IF(Квартиры!B666="","",Квартиры!B666)</f>
        <v/>
      </c>
      <c r="C668">
        <f>IF(Квартиры!C666="","",Квартиры!C666)</f>
        <v/>
      </c>
      <c r="D668">
        <f>IF(Квартиры!D666="","",Квартиры!D666)</f>
        <v/>
      </c>
      <c r="E668">
        <f>IF(Квартиры!G666="","",Квартиры!G666)</f>
        <v/>
      </c>
      <c r="F668">
        <f>IF(Квартиры!E666="","",Квартиры!E666)</f>
        <v/>
      </c>
      <c r="G668">
        <f>IF(Квартиры!F666="","",Квартиры!F666)</f>
        <v/>
      </c>
      <c r="H668">
        <f>IF(Квартиры!H666="","",Квартиры!H666)</f>
        <v/>
      </c>
      <c r="I668">
        <f>IF(Квартиры!I666="","",Квартиры!I666)</f>
        <v/>
      </c>
      <c r="J668">
        <f>IF(Квартиры!J666="","",Квартиры!J666)</f>
        <v/>
      </c>
    </row>
    <row r="669">
      <c r="A669">
        <f>IF(Квартиры!A667="","",Квартиры!A667)</f>
        <v/>
      </c>
      <c r="B669">
        <f>IF(Квартиры!B667="","",Квартиры!B667)</f>
        <v/>
      </c>
      <c r="C669">
        <f>IF(Квартиры!C667="","",Квартиры!C667)</f>
        <v/>
      </c>
      <c r="D669">
        <f>IF(Квартиры!D667="","",Квартиры!D667)</f>
        <v/>
      </c>
      <c r="E669">
        <f>IF(Квартиры!G667="","",Квартиры!G667)</f>
        <v/>
      </c>
      <c r="F669">
        <f>IF(Квартиры!E667="","",Квартиры!E667)</f>
        <v/>
      </c>
      <c r="G669">
        <f>IF(Квартиры!F667="","",Квартиры!F667)</f>
        <v/>
      </c>
      <c r="H669">
        <f>IF(Квартиры!H667="","",Квартиры!H667)</f>
        <v/>
      </c>
      <c r="I669">
        <f>IF(Квартиры!I667="","",Квартиры!I667)</f>
        <v/>
      </c>
      <c r="J669">
        <f>IF(Квартиры!J667="","",Квартиры!J667)</f>
        <v/>
      </c>
    </row>
    <row r="670">
      <c r="A670">
        <f>IF(Квартиры!A668="","",Квартиры!A668)</f>
        <v/>
      </c>
      <c r="B670">
        <f>IF(Квартиры!B668="","",Квартиры!B668)</f>
        <v/>
      </c>
      <c r="C670">
        <f>IF(Квартиры!C668="","",Квартиры!C668)</f>
        <v/>
      </c>
      <c r="D670">
        <f>IF(Квартиры!D668="","",Квартиры!D668)</f>
        <v/>
      </c>
      <c r="E670">
        <f>IF(Квартиры!G668="","",Квартиры!G668)</f>
        <v/>
      </c>
      <c r="F670">
        <f>IF(Квартиры!E668="","",Квартиры!E668)</f>
        <v/>
      </c>
      <c r="G670">
        <f>IF(Квартиры!F668="","",Квартиры!F668)</f>
        <v/>
      </c>
      <c r="H670">
        <f>IF(Квартиры!H668="","",Квартиры!H668)</f>
        <v/>
      </c>
      <c r="I670">
        <f>IF(Квартиры!I668="","",Квартиры!I668)</f>
        <v/>
      </c>
      <c r="J670">
        <f>IF(Квартиры!J668="","",Квартиры!J668)</f>
        <v/>
      </c>
    </row>
    <row r="671">
      <c r="A671">
        <f>IF(Квартиры!A669="","",Квартиры!A669)</f>
        <v/>
      </c>
      <c r="B671">
        <f>IF(Квартиры!B669="","",Квартиры!B669)</f>
        <v/>
      </c>
      <c r="C671">
        <f>IF(Квартиры!C669="","",Квартиры!C669)</f>
        <v/>
      </c>
      <c r="D671">
        <f>IF(Квартиры!D669="","",Квартиры!D669)</f>
        <v/>
      </c>
      <c r="E671">
        <f>IF(Квартиры!G669="","",Квартиры!G669)</f>
        <v/>
      </c>
      <c r="F671">
        <f>IF(Квартиры!E669="","",Квартиры!E669)</f>
        <v/>
      </c>
      <c r="G671">
        <f>IF(Квартиры!F669="","",Квартиры!F669)</f>
        <v/>
      </c>
      <c r="H671">
        <f>IF(Квартиры!H669="","",Квартиры!H669)</f>
        <v/>
      </c>
      <c r="I671">
        <f>IF(Квартиры!I669="","",Квартиры!I669)</f>
        <v/>
      </c>
      <c r="J671">
        <f>IF(Квартиры!J669="","",Квартиры!J669)</f>
        <v/>
      </c>
    </row>
    <row r="672">
      <c r="A672">
        <f>IF(Квартиры!A670="","",Квартиры!A670)</f>
        <v/>
      </c>
      <c r="B672">
        <f>IF(Квартиры!B670="","",Квартиры!B670)</f>
        <v/>
      </c>
      <c r="C672">
        <f>IF(Квартиры!C670="","",Квартиры!C670)</f>
        <v/>
      </c>
      <c r="D672">
        <f>IF(Квартиры!D670="","",Квартиры!D670)</f>
        <v/>
      </c>
      <c r="E672">
        <f>IF(Квартиры!G670="","",Квартиры!G670)</f>
        <v/>
      </c>
      <c r="F672">
        <f>IF(Квартиры!E670="","",Квартиры!E670)</f>
        <v/>
      </c>
      <c r="G672">
        <f>IF(Квартиры!F670="","",Квартиры!F670)</f>
        <v/>
      </c>
      <c r="H672">
        <f>IF(Квартиры!H670="","",Квартиры!H670)</f>
        <v/>
      </c>
      <c r="I672">
        <f>IF(Квартиры!I670="","",Квартиры!I670)</f>
        <v/>
      </c>
      <c r="J672">
        <f>IF(Квартиры!J670="","",Квартиры!J670)</f>
        <v/>
      </c>
    </row>
    <row r="673">
      <c r="A673">
        <f>IF(Квартиры!A671="","",Квартиры!A671)</f>
        <v/>
      </c>
      <c r="B673">
        <f>IF(Квартиры!B671="","",Квартиры!B671)</f>
        <v/>
      </c>
      <c r="C673">
        <f>IF(Квартиры!C671="","",Квартиры!C671)</f>
        <v/>
      </c>
      <c r="D673">
        <f>IF(Квартиры!D671="","",Квартиры!D671)</f>
        <v/>
      </c>
      <c r="E673">
        <f>IF(Квартиры!G671="","",Квартиры!G671)</f>
        <v/>
      </c>
      <c r="F673">
        <f>IF(Квартиры!E671="","",Квартиры!E671)</f>
        <v/>
      </c>
      <c r="G673">
        <f>IF(Квартиры!F671="","",Квартиры!F671)</f>
        <v/>
      </c>
      <c r="H673">
        <f>IF(Квартиры!H671="","",Квартиры!H671)</f>
        <v/>
      </c>
      <c r="I673">
        <f>IF(Квартиры!I671="","",Квартиры!I671)</f>
        <v/>
      </c>
      <c r="J673">
        <f>IF(Квартиры!J671="","",Квартиры!J671)</f>
        <v/>
      </c>
    </row>
    <row r="674">
      <c r="A674">
        <f>IF(Квартиры!A672="","",Квартиры!A672)</f>
        <v/>
      </c>
      <c r="B674">
        <f>IF(Квартиры!B672="","",Квартиры!B672)</f>
        <v/>
      </c>
      <c r="C674">
        <f>IF(Квартиры!C672="","",Квартиры!C672)</f>
        <v/>
      </c>
      <c r="D674">
        <f>IF(Квартиры!D672="","",Квартиры!D672)</f>
        <v/>
      </c>
      <c r="E674">
        <f>IF(Квартиры!G672="","",Квартиры!G672)</f>
        <v/>
      </c>
      <c r="F674">
        <f>IF(Квартиры!E672="","",Квартиры!E672)</f>
        <v/>
      </c>
      <c r="G674">
        <f>IF(Квартиры!F672="","",Квартиры!F672)</f>
        <v/>
      </c>
      <c r="H674">
        <f>IF(Квартиры!H672="","",Квартиры!H672)</f>
        <v/>
      </c>
      <c r="I674">
        <f>IF(Квартиры!I672="","",Квартиры!I672)</f>
        <v/>
      </c>
      <c r="J674">
        <f>IF(Квартиры!J672="","",Квартиры!J672)</f>
        <v/>
      </c>
    </row>
    <row r="675">
      <c r="A675">
        <f>IF(Квартиры!A673="","",Квартиры!A673)</f>
        <v/>
      </c>
      <c r="B675">
        <f>IF(Квартиры!B673="","",Квартиры!B673)</f>
        <v/>
      </c>
      <c r="C675">
        <f>IF(Квартиры!C673="","",Квартиры!C673)</f>
        <v/>
      </c>
      <c r="D675">
        <f>IF(Квартиры!D673="","",Квартиры!D673)</f>
        <v/>
      </c>
      <c r="E675">
        <f>IF(Квартиры!G673="","",Квартиры!G673)</f>
        <v/>
      </c>
      <c r="F675">
        <f>IF(Квартиры!E673="","",Квартиры!E673)</f>
        <v/>
      </c>
      <c r="G675">
        <f>IF(Квартиры!F673="","",Квартиры!F673)</f>
        <v/>
      </c>
      <c r="H675">
        <f>IF(Квартиры!H673="","",Квартиры!H673)</f>
        <v/>
      </c>
      <c r="I675">
        <f>IF(Квартиры!I673="","",Квартиры!I673)</f>
        <v/>
      </c>
      <c r="J675">
        <f>IF(Квартиры!J673="","",Квартиры!J673)</f>
        <v/>
      </c>
    </row>
    <row r="676">
      <c r="A676">
        <f>IF(Квартиры!A674="","",Квартиры!A674)</f>
        <v/>
      </c>
      <c r="B676">
        <f>IF(Квартиры!B674="","",Квартиры!B674)</f>
        <v/>
      </c>
      <c r="C676">
        <f>IF(Квартиры!C674="","",Квартиры!C674)</f>
        <v/>
      </c>
      <c r="D676">
        <f>IF(Квартиры!D674="","",Квартиры!D674)</f>
        <v/>
      </c>
      <c r="E676">
        <f>IF(Квартиры!G674="","",Квартиры!G674)</f>
        <v/>
      </c>
      <c r="F676">
        <f>IF(Квартиры!E674="","",Квартиры!E674)</f>
        <v/>
      </c>
      <c r="G676">
        <f>IF(Квартиры!F674="","",Квартиры!F674)</f>
        <v/>
      </c>
      <c r="H676">
        <f>IF(Квартиры!H674="","",Квартиры!H674)</f>
        <v/>
      </c>
      <c r="I676">
        <f>IF(Квартиры!I674="","",Квартиры!I674)</f>
        <v/>
      </c>
      <c r="J676">
        <f>IF(Квартиры!J674="","",Квартиры!J674)</f>
        <v/>
      </c>
    </row>
    <row r="677">
      <c r="A677">
        <f>IF(Квартиры!A675="","",Квартиры!A675)</f>
        <v/>
      </c>
      <c r="B677">
        <f>IF(Квартиры!B675="","",Квартиры!B675)</f>
        <v/>
      </c>
      <c r="C677">
        <f>IF(Квартиры!C675="","",Квартиры!C675)</f>
        <v/>
      </c>
      <c r="D677">
        <f>IF(Квартиры!D675="","",Квартиры!D675)</f>
        <v/>
      </c>
      <c r="E677">
        <f>IF(Квартиры!G675="","",Квартиры!G675)</f>
        <v/>
      </c>
      <c r="F677">
        <f>IF(Квартиры!E675="","",Квартиры!E675)</f>
        <v/>
      </c>
      <c r="G677">
        <f>IF(Квартиры!F675="","",Квартиры!F675)</f>
        <v/>
      </c>
      <c r="H677">
        <f>IF(Квартиры!H675="","",Квартиры!H675)</f>
        <v/>
      </c>
      <c r="I677">
        <f>IF(Квартиры!I675="","",Квартиры!I675)</f>
        <v/>
      </c>
      <c r="J677">
        <f>IF(Квартиры!J675="","",Квартиры!J675)</f>
        <v/>
      </c>
    </row>
    <row r="678">
      <c r="A678">
        <f>IF(Квартиры!A676="","",Квартиры!A676)</f>
        <v/>
      </c>
      <c r="B678">
        <f>IF(Квартиры!B676="","",Квартиры!B676)</f>
        <v/>
      </c>
      <c r="C678">
        <f>IF(Квартиры!C676="","",Квартиры!C676)</f>
        <v/>
      </c>
      <c r="D678">
        <f>IF(Квартиры!D676="","",Квартиры!D676)</f>
        <v/>
      </c>
      <c r="E678">
        <f>IF(Квартиры!G676="","",Квартиры!G676)</f>
        <v/>
      </c>
      <c r="F678">
        <f>IF(Квартиры!E676="","",Квартиры!E676)</f>
        <v/>
      </c>
      <c r="G678">
        <f>IF(Квартиры!F676="","",Квартиры!F676)</f>
        <v/>
      </c>
      <c r="H678">
        <f>IF(Квартиры!H676="","",Квартиры!H676)</f>
        <v/>
      </c>
      <c r="I678">
        <f>IF(Квартиры!I676="","",Квартиры!I676)</f>
        <v/>
      </c>
      <c r="J678">
        <f>IF(Квартиры!J676="","",Квартиры!J676)</f>
        <v/>
      </c>
    </row>
    <row r="679">
      <c r="A679">
        <f>IF(Квартиры!A677="","",Квартиры!A677)</f>
        <v/>
      </c>
      <c r="B679">
        <f>IF(Квартиры!B677="","",Квартиры!B677)</f>
        <v/>
      </c>
      <c r="C679">
        <f>IF(Квартиры!C677="","",Квартиры!C677)</f>
        <v/>
      </c>
      <c r="D679">
        <f>IF(Квартиры!D677="","",Квартиры!D677)</f>
        <v/>
      </c>
      <c r="E679">
        <f>IF(Квартиры!G677="","",Квартиры!G677)</f>
        <v/>
      </c>
      <c r="F679">
        <f>IF(Квартиры!E677="","",Квартиры!E677)</f>
        <v/>
      </c>
      <c r="G679">
        <f>IF(Квартиры!F677="","",Квартиры!F677)</f>
        <v/>
      </c>
      <c r="H679">
        <f>IF(Квартиры!H677="","",Квартиры!H677)</f>
        <v/>
      </c>
      <c r="I679">
        <f>IF(Квартиры!I677="","",Квартиры!I677)</f>
        <v/>
      </c>
      <c r="J679">
        <f>IF(Квартиры!J677="","",Квартиры!J677)</f>
        <v/>
      </c>
    </row>
    <row r="680">
      <c r="A680">
        <f>IF(Квартиры!A678="","",Квартиры!A678)</f>
        <v/>
      </c>
      <c r="B680">
        <f>IF(Квартиры!B678="","",Квартиры!B678)</f>
        <v/>
      </c>
      <c r="C680">
        <f>IF(Квартиры!C678="","",Квартиры!C678)</f>
        <v/>
      </c>
      <c r="D680">
        <f>IF(Квартиры!D678="","",Квартиры!D678)</f>
        <v/>
      </c>
      <c r="E680">
        <f>IF(Квартиры!G678="","",Квартиры!G678)</f>
        <v/>
      </c>
      <c r="F680">
        <f>IF(Квартиры!E678="","",Квартиры!E678)</f>
        <v/>
      </c>
      <c r="G680">
        <f>IF(Квартиры!F678="","",Квартиры!F678)</f>
        <v/>
      </c>
      <c r="H680">
        <f>IF(Квартиры!H678="","",Квартиры!H678)</f>
        <v/>
      </c>
      <c r="I680">
        <f>IF(Квартиры!I678="","",Квартиры!I678)</f>
        <v/>
      </c>
      <c r="J680">
        <f>IF(Квартиры!J678="","",Квартиры!J678)</f>
        <v/>
      </c>
    </row>
    <row r="681">
      <c r="A681">
        <f>IF(Квартиры!A679="","",Квартиры!A679)</f>
        <v/>
      </c>
      <c r="B681">
        <f>IF(Квартиры!B679="","",Квартиры!B679)</f>
        <v/>
      </c>
      <c r="C681">
        <f>IF(Квартиры!C679="","",Квартиры!C679)</f>
        <v/>
      </c>
      <c r="D681">
        <f>IF(Квартиры!D679="","",Квартиры!D679)</f>
        <v/>
      </c>
      <c r="E681">
        <f>IF(Квартиры!G679="","",Квартиры!G679)</f>
        <v/>
      </c>
      <c r="F681">
        <f>IF(Квартиры!E679="","",Квартиры!E679)</f>
        <v/>
      </c>
      <c r="G681">
        <f>IF(Квартиры!F679="","",Квартиры!F679)</f>
        <v/>
      </c>
      <c r="H681">
        <f>IF(Квартиры!H679="","",Квартиры!H679)</f>
        <v/>
      </c>
      <c r="I681">
        <f>IF(Квартиры!I679="","",Квартиры!I679)</f>
        <v/>
      </c>
      <c r="J681">
        <f>IF(Квартиры!J679="","",Квартиры!J679)</f>
        <v/>
      </c>
    </row>
    <row r="682">
      <c r="A682">
        <f>IF(Квартиры!A680="","",Квартиры!A680)</f>
        <v/>
      </c>
      <c r="B682">
        <f>IF(Квартиры!B680="","",Квартиры!B680)</f>
        <v/>
      </c>
      <c r="C682">
        <f>IF(Квартиры!C680="","",Квартиры!C680)</f>
        <v/>
      </c>
      <c r="D682">
        <f>IF(Квартиры!D680="","",Квартиры!D680)</f>
        <v/>
      </c>
      <c r="E682">
        <f>IF(Квартиры!G680="","",Квартиры!G680)</f>
        <v/>
      </c>
      <c r="F682">
        <f>IF(Квартиры!E680="","",Квартиры!E680)</f>
        <v/>
      </c>
      <c r="G682">
        <f>IF(Квартиры!F680="","",Квартиры!F680)</f>
        <v/>
      </c>
      <c r="H682">
        <f>IF(Квартиры!H680="","",Квартиры!H680)</f>
        <v/>
      </c>
      <c r="I682">
        <f>IF(Квартиры!I680="","",Квартиры!I680)</f>
        <v/>
      </c>
      <c r="J682">
        <f>IF(Квартиры!J680="","",Квартиры!J680)</f>
        <v/>
      </c>
    </row>
    <row r="683">
      <c r="A683">
        <f>IF(Квартиры!A681="","",Квартиры!A681)</f>
        <v/>
      </c>
      <c r="B683">
        <f>IF(Квартиры!B681="","",Квартиры!B681)</f>
        <v/>
      </c>
      <c r="C683">
        <f>IF(Квартиры!C681="","",Квартиры!C681)</f>
        <v/>
      </c>
      <c r="D683">
        <f>IF(Квартиры!D681="","",Квартиры!D681)</f>
        <v/>
      </c>
      <c r="E683">
        <f>IF(Квартиры!G681="","",Квартиры!G681)</f>
        <v/>
      </c>
      <c r="F683">
        <f>IF(Квартиры!E681="","",Квартиры!E681)</f>
        <v/>
      </c>
      <c r="G683">
        <f>IF(Квартиры!F681="","",Квартиры!F681)</f>
        <v/>
      </c>
      <c r="H683">
        <f>IF(Квартиры!H681="","",Квартиры!H681)</f>
        <v/>
      </c>
      <c r="I683">
        <f>IF(Квартиры!I681="","",Квартиры!I681)</f>
        <v/>
      </c>
      <c r="J683">
        <f>IF(Квартиры!J681="","",Квартиры!J681)</f>
        <v/>
      </c>
    </row>
    <row r="684">
      <c r="A684">
        <f>IF(Квартиры!A682="","",Квартиры!A682)</f>
        <v/>
      </c>
      <c r="B684">
        <f>IF(Квартиры!B682="","",Квартиры!B682)</f>
        <v/>
      </c>
      <c r="C684">
        <f>IF(Квартиры!C682="","",Квартиры!C682)</f>
        <v/>
      </c>
      <c r="D684">
        <f>IF(Квартиры!D682="","",Квартиры!D682)</f>
        <v/>
      </c>
      <c r="E684">
        <f>IF(Квартиры!G682="","",Квартиры!G682)</f>
        <v/>
      </c>
      <c r="F684">
        <f>IF(Квартиры!E682="","",Квартиры!E682)</f>
        <v/>
      </c>
      <c r="G684">
        <f>IF(Квартиры!F682="","",Квартиры!F682)</f>
        <v/>
      </c>
      <c r="H684">
        <f>IF(Квартиры!H682="","",Квартиры!H682)</f>
        <v/>
      </c>
      <c r="I684">
        <f>IF(Квартиры!I682="","",Квартиры!I682)</f>
        <v/>
      </c>
      <c r="J684">
        <f>IF(Квартиры!J682="","",Квартиры!J682)</f>
        <v/>
      </c>
    </row>
    <row r="685">
      <c r="A685">
        <f>IF(Квартиры!A683="","",Квартиры!A683)</f>
        <v/>
      </c>
      <c r="B685">
        <f>IF(Квартиры!B683="","",Квартиры!B683)</f>
        <v/>
      </c>
      <c r="C685">
        <f>IF(Квартиры!C683="","",Квартиры!C683)</f>
        <v/>
      </c>
      <c r="D685">
        <f>IF(Квартиры!D683="","",Квартиры!D683)</f>
        <v/>
      </c>
      <c r="E685">
        <f>IF(Квартиры!G683="","",Квартиры!G683)</f>
        <v/>
      </c>
      <c r="F685">
        <f>IF(Квартиры!E683="","",Квартиры!E683)</f>
        <v/>
      </c>
      <c r="G685">
        <f>IF(Квартиры!F683="","",Квартиры!F683)</f>
        <v/>
      </c>
      <c r="H685">
        <f>IF(Квартиры!H683="","",Квартиры!H683)</f>
        <v/>
      </c>
      <c r="I685">
        <f>IF(Квартиры!I683="","",Квартиры!I683)</f>
        <v/>
      </c>
      <c r="J685">
        <f>IF(Квартиры!J683="","",Квартиры!J683)</f>
        <v/>
      </c>
    </row>
    <row r="686">
      <c r="A686">
        <f>IF(Квартиры!A684="","",Квартиры!A684)</f>
        <v/>
      </c>
      <c r="B686">
        <f>IF(Квартиры!B684="","",Квартиры!B684)</f>
        <v/>
      </c>
      <c r="C686">
        <f>IF(Квартиры!C684="","",Квартиры!C684)</f>
        <v/>
      </c>
      <c r="D686">
        <f>IF(Квартиры!D684="","",Квартиры!D684)</f>
        <v/>
      </c>
      <c r="E686">
        <f>IF(Квартиры!G684="","",Квартиры!G684)</f>
        <v/>
      </c>
      <c r="F686">
        <f>IF(Квартиры!E684="","",Квартиры!E684)</f>
        <v/>
      </c>
      <c r="G686">
        <f>IF(Квартиры!F684="","",Квартиры!F684)</f>
        <v/>
      </c>
      <c r="H686">
        <f>IF(Квартиры!H684="","",Квартиры!H684)</f>
        <v/>
      </c>
      <c r="I686">
        <f>IF(Квартиры!I684="","",Квартиры!I684)</f>
        <v/>
      </c>
      <c r="J686">
        <f>IF(Квартиры!J684="","",Квартиры!J684)</f>
        <v/>
      </c>
    </row>
    <row r="687">
      <c r="A687">
        <f>IF(Квартиры!A685="","",Квартиры!A685)</f>
        <v/>
      </c>
      <c r="B687">
        <f>IF(Квартиры!B685="","",Квартиры!B685)</f>
        <v/>
      </c>
      <c r="C687">
        <f>IF(Квартиры!C685="","",Квартиры!C685)</f>
        <v/>
      </c>
      <c r="D687">
        <f>IF(Квартиры!D685="","",Квартиры!D685)</f>
        <v/>
      </c>
      <c r="E687">
        <f>IF(Квартиры!G685="","",Квартиры!G685)</f>
        <v/>
      </c>
      <c r="F687">
        <f>IF(Квартиры!E685="","",Квартиры!E685)</f>
        <v/>
      </c>
      <c r="G687">
        <f>IF(Квартиры!F685="","",Квартиры!F685)</f>
        <v/>
      </c>
      <c r="H687">
        <f>IF(Квартиры!H685="","",Квартиры!H685)</f>
        <v/>
      </c>
      <c r="I687">
        <f>IF(Квартиры!I685="","",Квартиры!I685)</f>
        <v/>
      </c>
      <c r="J687">
        <f>IF(Квартиры!J685="","",Квартиры!J685)</f>
        <v/>
      </c>
    </row>
    <row r="688">
      <c r="A688">
        <f>IF(Квартиры!A686="","",Квартиры!A686)</f>
        <v/>
      </c>
      <c r="B688">
        <f>IF(Квартиры!B686="","",Квартиры!B686)</f>
        <v/>
      </c>
      <c r="C688">
        <f>IF(Квартиры!C686="","",Квартиры!C686)</f>
        <v/>
      </c>
      <c r="D688">
        <f>IF(Квартиры!D686="","",Квартиры!D686)</f>
        <v/>
      </c>
      <c r="E688">
        <f>IF(Квартиры!G686="","",Квартиры!G686)</f>
        <v/>
      </c>
      <c r="F688">
        <f>IF(Квартиры!E686="","",Квартиры!E686)</f>
        <v/>
      </c>
      <c r="G688">
        <f>IF(Квартиры!F686="","",Квартиры!F686)</f>
        <v/>
      </c>
      <c r="H688">
        <f>IF(Квартиры!H686="","",Квартиры!H686)</f>
        <v/>
      </c>
      <c r="I688">
        <f>IF(Квартиры!I686="","",Квартиры!I686)</f>
        <v/>
      </c>
      <c r="J688">
        <f>IF(Квартиры!J686="","",Квартиры!J686)</f>
        <v/>
      </c>
    </row>
    <row r="689">
      <c r="A689">
        <f>IF(Квартиры!A687="","",Квартиры!A687)</f>
        <v/>
      </c>
      <c r="B689">
        <f>IF(Квартиры!B687="","",Квартиры!B687)</f>
        <v/>
      </c>
      <c r="C689">
        <f>IF(Квартиры!C687="","",Квартиры!C687)</f>
        <v/>
      </c>
      <c r="D689">
        <f>IF(Квартиры!D687="","",Квартиры!D687)</f>
        <v/>
      </c>
      <c r="E689">
        <f>IF(Квартиры!G687="","",Квартиры!G687)</f>
        <v/>
      </c>
      <c r="F689">
        <f>IF(Квартиры!E687="","",Квартиры!E687)</f>
        <v/>
      </c>
      <c r="G689">
        <f>IF(Квартиры!F687="","",Квартиры!F687)</f>
        <v/>
      </c>
      <c r="H689">
        <f>IF(Квартиры!H687="","",Квартиры!H687)</f>
        <v/>
      </c>
      <c r="I689">
        <f>IF(Квартиры!I687="","",Квартиры!I687)</f>
        <v/>
      </c>
      <c r="J689">
        <f>IF(Квартиры!J687="","",Квартиры!J687)</f>
        <v/>
      </c>
    </row>
    <row r="690">
      <c r="A690">
        <f>IF(Квартиры!A688="","",Квартиры!A688)</f>
        <v/>
      </c>
      <c r="B690">
        <f>IF(Квартиры!B688="","",Квартиры!B688)</f>
        <v/>
      </c>
      <c r="C690">
        <f>IF(Квартиры!C688="","",Квартиры!C688)</f>
        <v/>
      </c>
      <c r="D690">
        <f>IF(Квартиры!D688="","",Квартиры!D688)</f>
        <v/>
      </c>
      <c r="E690">
        <f>IF(Квартиры!G688="","",Квартиры!G688)</f>
        <v/>
      </c>
      <c r="F690">
        <f>IF(Квартиры!E688="","",Квартиры!E688)</f>
        <v/>
      </c>
      <c r="G690">
        <f>IF(Квартиры!F688="","",Квартиры!F688)</f>
        <v/>
      </c>
      <c r="H690">
        <f>IF(Квартиры!H688="","",Квартиры!H688)</f>
        <v/>
      </c>
      <c r="I690">
        <f>IF(Квартиры!I688="","",Квартиры!I688)</f>
        <v/>
      </c>
      <c r="J690">
        <f>IF(Квартиры!J688="","",Квартиры!J688)</f>
        <v/>
      </c>
    </row>
    <row r="691">
      <c r="A691">
        <f>IF(Квартиры!A689="","",Квартиры!A689)</f>
        <v/>
      </c>
      <c r="B691">
        <f>IF(Квартиры!B689="","",Квартиры!B689)</f>
        <v/>
      </c>
      <c r="C691">
        <f>IF(Квартиры!C689="","",Квартиры!C689)</f>
        <v/>
      </c>
      <c r="D691">
        <f>IF(Квартиры!D689="","",Квартиры!D689)</f>
        <v/>
      </c>
      <c r="E691">
        <f>IF(Квартиры!G689="","",Квартиры!G689)</f>
        <v/>
      </c>
      <c r="F691">
        <f>IF(Квартиры!E689="","",Квартиры!E689)</f>
        <v/>
      </c>
      <c r="G691">
        <f>IF(Квартиры!F689="","",Квартиры!F689)</f>
        <v/>
      </c>
      <c r="H691">
        <f>IF(Квартиры!H689="","",Квартиры!H689)</f>
        <v/>
      </c>
      <c r="I691">
        <f>IF(Квартиры!I689="","",Квартиры!I689)</f>
        <v/>
      </c>
      <c r="J691">
        <f>IF(Квартиры!J689="","",Квартиры!J689)</f>
        <v/>
      </c>
    </row>
    <row r="692">
      <c r="A692">
        <f>IF(Квартиры!A690="","",Квартиры!A690)</f>
        <v/>
      </c>
      <c r="B692">
        <f>IF(Квартиры!B690="","",Квартиры!B690)</f>
        <v/>
      </c>
      <c r="C692">
        <f>IF(Квартиры!C690="","",Квартиры!C690)</f>
        <v/>
      </c>
      <c r="D692">
        <f>IF(Квартиры!D690="","",Квартиры!D690)</f>
        <v/>
      </c>
      <c r="E692">
        <f>IF(Квартиры!G690="","",Квартиры!G690)</f>
        <v/>
      </c>
      <c r="F692">
        <f>IF(Квартиры!E690="","",Квартиры!E690)</f>
        <v/>
      </c>
      <c r="G692">
        <f>IF(Квартиры!F690="","",Квартиры!F690)</f>
        <v/>
      </c>
      <c r="H692">
        <f>IF(Квартиры!H690="","",Квартиры!H690)</f>
        <v/>
      </c>
      <c r="I692">
        <f>IF(Квартиры!I690="","",Квартиры!I690)</f>
        <v/>
      </c>
      <c r="J692">
        <f>IF(Квартиры!J690="","",Квартиры!J690)</f>
        <v/>
      </c>
    </row>
    <row r="693">
      <c r="A693">
        <f>IF(Квартиры!A691="","",Квартиры!A691)</f>
        <v/>
      </c>
      <c r="B693">
        <f>IF(Квартиры!B691="","",Квартиры!B691)</f>
        <v/>
      </c>
      <c r="C693">
        <f>IF(Квартиры!C691="","",Квартиры!C691)</f>
        <v/>
      </c>
      <c r="D693">
        <f>IF(Квартиры!D691="","",Квартиры!D691)</f>
        <v/>
      </c>
      <c r="E693">
        <f>IF(Квартиры!G691="","",Квартиры!G691)</f>
        <v/>
      </c>
      <c r="F693">
        <f>IF(Квартиры!E691="","",Квартиры!E691)</f>
        <v/>
      </c>
      <c r="G693">
        <f>IF(Квартиры!F691="","",Квартиры!F691)</f>
        <v/>
      </c>
      <c r="H693">
        <f>IF(Квартиры!H691="","",Квартиры!H691)</f>
        <v/>
      </c>
      <c r="I693">
        <f>IF(Квартиры!I691="","",Квартиры!I691)</f>
        <v/>
      </c>
      <c r="J693">
        <f>IF(Квартиры!J691="","",Квартиры!J691)</f>
        <v/>
      </c>
    </row>
    <row r="694">
      <c r="A694">
        <f>IF(Квартиры!A692="","",Квартиры!A692)</f>
        <v/>
      </c>
      <c r="B694">
        <f>IF(Квартиры!B692="","",Квартиры!B692)</f>
        <v/>
      </c>
      <c r="C694">
        <f>IF(Квартиры!C692="","",Квартиры!C692)</f>
        <v/>
      </c>
      <c r="D694">
        <f>IF(Квартиры!D692="","",Квартиры!D692)</f>
        <v/>
      </c>
      <c r="E694">
        <f>IF(Квартиры!G692="","",Квартиры!G692)</f>
        <v/>
      </c>
      <c r="F694">
        <f>IF(Квартиры!E692="","",Квартиры!E692)</f>
        <v/>
      </c>
      <c r="G694">
        <f>IF(Квартиры!F692="","",Квартиры!F692)</f>
        <v/>
      </c>
      <c r="H694">
        <f>IF(Квартиры!H692="","",Квартиры!H692)</f>
        <v/>
      </c>
      <c r="I694">
        <f>IF(Квартиры!I692="","",Квартиры!I692)</f>
        <v/>
      </c>
      <c r="J694">
        <f>IF(Квартиры!J692="","",Квартиры!J692)</f>
        <v/>
      </c>
    </row>
    <row r="695">
      <c r="A695">
        <f>IF(Квартиры!A693="","",Квартиры!A693)</f>
        <v/>
      </c>
      <c r="B695">
        <f>IF(Квартиры!B693="","",Квартиры!B693)</f>
        <v/>
      </c>
      <c r="C695">
        <f>IF(Квартиры!C693="","",Квартиры!C693)</f>
        <v/>
      </c>
      <c r="D695">
        <f>IF(Квартиры!D693="","",Квартиры!D693)</f>
        <v/>
      </c>
      <c r="E695">
        <f>IF(Квартиры!G693="","",Квартиры!G693)</f>
        <v/>
      </c>
      <c r="F695">
        <f>IF(Квартиры!E693="","",Квартиры!E693)</f>
        <v/>
      </c>
      <c r="G695">
        <f>IF(Квартиры!F693="","",Квартиры!F693)</f>
        <v/>
      </c>
      <c r="H695">
        <f>IF(Квартиры!H693="","",Квартиры!H693)</f>
        <v/>
      </c>
      <c r="I695">
        <f>IF(Квартиры!I693="","",Квартиры!I693)</f>
        <v/>
      </c>
      <c r="J695">
        <f>IF(Квартиры!J693="","",Квартиры!J693)</f>
        <v/>
      </c>
    </row>
    <row r="696">
      <c r="A696">
        <f>IF(Квартиры!A694="","",Квартиры!A694)</f>
        <v/>
      </c>
      <c r="B696">
        <f>IF(Квартиры!B694="","",Квартиры!B694)</f>
        <v/>
      </c>
      <c r="C696">
        <f>IF(Квартиры!C694="","",Квартиры!C694)</f>
        <v/>
      </c>
      <c r="D696">
        <f>IF(Квартиры!D694="","",Квартиры!D694)</f>
        <v/>
      </c>
      <c r="E696">
        <f>IF(Квартиры!G694="","",Квартиры!G694)</f>
        <v/>
      </c>
      <c r="F696">
        <f>IF(Квартиры!E694="","",Квартиры!E694)</f>
        <v/>
      </c>
      <c r="G696">
        <f>IF(Квартиры!F694="","",Квартиры!F694)</f>
        <v/>
      </c>
      <c r="H696">
        <f>IF(Квартиры!H694="","",Квартиры!H694)</f>
        <v/>
      </c>
      <c r="I696">
        <f>IF(Квартиры!I694="","",Квартиры!I694)</f>
        <v/>
      </c>
      <c r="J696">
        <f>IF(Квартиры!J694="","",Квартиры!J694)</f>
        <v/>
      </c>
    </row>
    <row r="697">
      <c r="A697">
        <f>IF(Квартиры!A695="","",Квартиры!A695)</f>
        <v/>
      </c>
      <c r="B697">
        <f>IF(Квартиры!B695="","",Квартиры!B695)</f>
        <v/>
      </c>
      <c r="C697">
        <f>IF(Квартиры!C695="","",Квартиры!C695)</f>
        <v/>
      </c>
      <c r="D697">
        <f>IF(Квартиры!D695="","",Квартиры!D695)</f>
        <v/>
      </c>
      <c r="E697">
        <f>IF(Квартиры!G695="","",Квартиры!G695)</f>
        <v/>
      </c>
      <c r="F697">
        <f>IF(Квартиры!E695="","",Квартиры!E695)</f>
        <v/>
      </c>
      <c r="G697">
        <f>IF(Квартиры!F695="","",Квартиры!F695)</f>
        <v/>
      </c>
      <c r="H697">
        <f>IF(Квартиры!H695="","",Квартиры!H695)</f>
        <v/>
      </c>
      <c r="I697">
        <f>IF(Квартиры!I695="","",Квартиры!I695)</f>
        <v/>
      </c>
      <c r="J697">
        <f>IF(Квартиры!J695="","",Квартиры!J695)</f>
        <v/>
      </c>
    </row>
    <row r="698">
      <c r="A698">
        <f>IF(Квартиры!A696="","",Квартиры!A696)</f>
        <v/>
      </c>
      <c r="B698">
        <f>IF(Квартиры!B696="","",Квартиры!B696)</f>
        <v/>
      </c>
      <c r="C698">
        <f>IF(Квартиры!C696="","",Квартиры!C696)</f>
        <v/>
      </c>
      <c r="D698">
        <f>IF(Квартиры!D696="","",Квартиры!D696)</f>
        <v/>
      </c>
      <c r="E698">
        <f>IF(Квартиры!G696="","",Квартиры!G696)</f>
        <v/>
      </c>
      <c r="F698">
        <f>IF(Квартиры!E696="","",Квартиры!E696)</f>
        <v/>
      </c>
      <c r="G698">
        <f>IF(Квартиры!F696="","",Квартиры!F696)</f>
        <v/>
      </c>
      <c r="H698">
        <f>IF(Квартиры!H696="","",Квартиры!H696)</f>
        <v/>
      </c>
      <c r="I698">
        <f>IF(Квартиры!I696="","",Квартиры!I696)</f>
        <v/>
      </c>
      <c r="J698">
        <f>IF(Квартиры!J696="","",Квартиры!J696)</f>
        <v/>
      </c>
    </row>
    <row r="699">
      <c r="A699">
        <f>IF(Квартиры!A697="","",Квартиры!A697)</f>
        <v/>
      </c>
      <c r="B699">
        <f>IF(Квартиры!B697="","",Квартиры!B697)</f>
        <v/>
      </c>
      <c r="C699">
        <f>IF(Квартиры!C697="","",Квартиры!C697)</f>
        <v/>
      </c>
      <c r="D699">
        <f>IF(Квартиры!D697="","",Квартиры!D697)</f>
        <v/>
      </c>
      <c r="E699">
        <f>IF(Квартиры!G697="","",Квартиры!G697)</f>
        <v/>
      </c>
      <c r="F699">
        <f>IF(Квартиры!E697="","",Квартиры!E697)</f>
        <v/>
      </c>
      <c r="G699">
        <f>IF(Квартиры!F697="","",Квартиры!F697)</f>
        <v/>
      </c>
      <c r="H699">
        <f>IF(Квартиры!H697="","",Квартиры!H697)</f>
        <v/>
      </c>
      <c r="I699">
        <f>IF(Квартиры!I697="","",Квартиры!I697)</f>
        <v/>
      </c>
      <c r="J699">
        <f>IF(Квартиры!J697="","",Квартиры!J697)</f>
        <v/>
      </c>
    </row>
    <row r="700">
      <c r="A700">
        <f>IF(Квартиры!A698="","",Квартиры!A698)</f>
        <v/>
      </c>
      <c r="B700">
        <f>IF(Квартиры!B698="","",Квартиры!B698)</f>
        <v/>
      </c>
      <c r="C700">
        <f>IF(Квартиры!C698="","",Квартиры!C698)</f>
        <v/>
      </c>
      <c r="D700">
        <f>IF(Квартиры!D698="","",Квартиры!D698)</f>
        <v/>
      </c>
      <c r="E700">
        <f>IF(Квартиры!G698="","",Квартиры!G698)</f>
        <v/>
      </c>
      <c r="F700">
        <f>IF(Квартиры!E698="","",Квартиры!E698)</f>
        <v/>
      </c>
      <c r="G700">
        <f>IF(Квартиры!F698="","",Квартиры!F698)</f>
        <v/>
      </c>
      <c r="H700">
        <f>IF(Квартиры!H698="","",Квартиры!H698)</f>
        <v/>
      </c>
      <c r="I700">
        <f>IF(Квартиры!I698="","",Квартиры!I698)</f>
        <v/>
      </c>
      <c r="J700">
        <f>IF(Квартиры!J698="","",Квартиры!J698)</f>
        <v/>
      </c>
    </row>
    <row r="701">
      <c r="A701">
        <f>IF(Квартиры!A699="","",Квартиры!A699)</f>
        <v/>
      </c>
      <c r="B701">
        <f>IF(Квартиры!B699="","",Квартиры!B699)</f>
        <v/>
      </c>
      <c r="C701">
        <f>IF(Квартиры!C699="","",Квартиры!C699)</f>
        <v/>
      </c>
      <c r="D701">
        <f>IF(Квартиры!D699="","",Квартиры!D699)</f>
        <v/>
      </c>
      <c r="E701">
        <f>IF(Квартиры!G699="","",Квартиры!G699)</f>
        <v/>
      </c>
      <c r="F701">
        <f>IF(Квартиры!E699="","",Квартиры!E699)</f>
        <v/>
      </c>
      <c r="G701">
        <f>IF(Квартиры!F699="","",Квартиры!F699)</f>
        <v/>
      </c>
      <c r="H701">
        <f>IF(Квартиры!H699="","",Квартиры!H699)</f>
        <v/>
      </c>
      <c r="I701">
        <f>IF(Квартиры!I699="","",Квартиры!I699)</f>
        <v/>
      </c>
      <c r="J701">
        <f>IF(Квартиры!J699="","",Квартиры!J699)</f>
        <v/>
      </c>
    </row>
    <row r="702">
      <c r="A702">
        <f>IF(Квартиры!A700="","",Квартиры!A700)</f>
        <v/>
      </c>
      <c r="B702">
        <f>IF(Квартиры!B700="","",Квартиры!B700)</f>
        <v/>
      </c>
      <c r="C702">
        <f>IF(Квартиры!C700="","",Квартиры!C700)</f>
        <v/>
      </c>
      <c r="D702">
        <f>IF(Квартиры!D700="","",Квартиры!D700)</f>
        <v/>
      </c>
      <c r="E702">
        <f>IF(Квартиры!G700="","",Квартиры!G700)</f>
        <v/>
      </c>
      <c r="F702">
        <f>IF(Квартиры!E700="","",Квартиры!E700)</f>
        <v/>
      </c>
      <c r="G702">
        <f>IF(Квартиры!F700="","",Квартиры!F700)</f>
        <v/>
      </c>
      <c r="H702">
        <f>IF(Квартиры!H700="","",Квартиры!H700)</f>
        <v/>
      </c>
      <c r="I702">
        <f>IF(Квартиры!I700="","",Квартиры!I700)</f>
        <v/>
      </c>
      <c r="J702">
        <f>IF(Квартиры!J700="","",Квартиры!J700)</f>
        <v/>
      </c>
    </row>
    <row r="703">
      <c r="A703">
        <f>IF(Квартиры!A701="","",Квартиры!A701)</f>
        <v/>
      </c>
      <c r="B703">
        <f>IF(Квартиры!B701="","",Квартиры!B701)</f>
        <v/>
      </c>
      <c r="C703">
        <f>IF(Квартиры!C701="","",Квартиры!C701)</f>
        <v/>
      </c>
      <c r="D703">
        <f>IF(Квартиры!D701="","",Квартиры!D701)</f>
        <v/>
      </c>
      <c r="E703">
        <f>IF(Квартиры!G701="","",Квартиры!G701)</f>
        <v/>
      </c>
      <c r="F703">
        <f>IF(Квартиры!E701="","",Квартиры!E701)</f>
        <v/>
      </c>
      <c r="G703">
        <f>IF(Квартиры!F701="","",Квартиры!F701)</f>
        <v/>
      </c>
      <c r="H703">
        <f>IF(Квартиры!H701="","",Квартиры!H701)</f>
        <v/>
      </c>
      <c r="I703">
        <f>IF(Квартиры!I701="","",Квартиры!I701)</f>
        <v/>
      </c>
      <c r="J703">
        <f>IF(Квартиры!J701="","",Квартиры!J701)</f>
        <v/>
      </c>
    </row>
    <row r="704">
      <c r="A704">
        <f>IF(Квартиры!A702="","",Квартиры!A702)</f>
        <v/>
      </c>
      <c r="B704">
        <f>IF(Квартиры!B702="","",Квартиры!B702)</f>
        <v/>
      </c>
      <c r="C704">
        <f>IF(Квартиры!C702="","",Квартиры!C702)</f>
        <v/>
      </c>
      <c r="D704">
        <f>IF(Квартиры!D702="","",Квартиры!D702)</f>
        <v/>
      </c>
      <c r="E704">
        <f>IF(Квартиры!G702="","",Квартиры!G702)</f>
        <v/>
      </c>
      <c r="F704">
        <f>IF(Квартиры!E702="","",Квартиры!E702)</f>
        <v/>
      </c>
      <c r="G704">
        <f>IF(Квартиры!F702="","",Квартиры!F702)</f>
        <v/>
      </c>
      <c r="H704">
        <f>IF(Квартиры!H702="","",Квартиры!H702)</f>
        <v/>
      </c>
      <c r="I704">
        <f>IF(Квартиры!I702="","",Квартиры!I702)</f>
        <v/>
      </c>
      <c r="J704">
        <f>IF(Квартиры!J702="","",Квартиры!J702)</f>
        <v/>
      </c>
    </row>
    <row r="705">
      <c r="A705">
        <f>IF(Квартиры!A703="","",Квартиры!A703)</f>
        <v/>
      </c>
      <c r="B705">
        <f>IF(Квартиры!B703="","",Квартиры!B703)</f>
        <v/>
      </c>
      <c r="C705">
        <f>IF(Квартиры!C703="","",Квартиры!C703)</f>
        <v/>
      </c>
      <c r="D705">
        <f>IF(Квартиры!D703="","",Квартиры!D703)</f>
        <v/>
      </c>
      <c r="E705">
        <f>IF(Квартиры!G703="","",Квартиры!G703)</f>
        <v/>
      </c>
      <c r="F705">
        <f>IF(Квартиры!E703="","",Квартиры!E703)</f>
        <v/>
      </c>
      <c r="G705">
        <f>IF(Квартиры!F703="","",Квартиры!F703)</f>
        <v/>
      </c>
      <c r="H705">
        <f>IF(Квартиры!H703="","",Квартиры!H703)</f>
        <v/>
      </c>
      <c r="I705">
        <f>IF(Квартиры!I703="","",Квартиры!I703)</f>
        <v/>
      </c>
      <c r="J705">
        <f>IF(Квартиры!J703="","",Квартиры!J703)</f>
        <v/>
      </c>
    </row>
    <row r="706">
      <c r="A706">
        <f>IF(Квартиры!A704="","",Квартиры!A704)</f>
        <v/>
      </c>
      <c r="B706">
        <f>IF(Квартиры!B704="","",Квартиры!B704)</f>
        <v/>
      </c>
      <c r="C706">
        <f>IF(Квартиры!C704="","",Квартиры!C704)</f>
        <v/>
      </c>
      <c r="D706">
        <f>IF(Квартиры!D704="","",Квартиры!D704)</f>
        <v/>
      </c>
      <c r="E706">
        <f>IF(Квартиры!G704="","",Квартиры!G704)</f>
        <v/>
      </c>
      <c r="F706">
        <f>IF(Квартиры!E704="","",Квартиры!E704)</f>
        <v/>
      </c>
      <c r="G706">
        <f>IF(Квартиры!F704="","",Квартиры!F704)</f>
        <v/>
      </c>
      <c r="H706">
        <f>IF(Квартиры!H704="","",Квартиры!H704)</f>
        <v/>
      </c>
      <c r="I706">
        <f>IF(Квартиры!I704="","",Квартиры!I704)</f>
        <v/>
      </c>
      <c r="J706">
        <f>IF(Квартиры!J704="","",Квартиры!J704)</f>
        <v/>
      </c>
    </row>
    <row r="707">
      <c r="A707">
        <f>IF(Квартиры!A705="","",Квартиры!A705)</f>
        <v/>
      </c>
      <c r="B707">
        <f>IF(Квартиры!B705="","",Квартиры!B705)</f>
        <v/>
      </c>
      <c r="C707">
        <f>IF(Квартиры!C705="","",Квартиры!C705)</f>
        <v/>
      </c>
      <c r="D707">
        <f>IF(Квартиры!D705="","",Квартиры!D705)</f>
        <v/>
      </c>
      <c r="E707">
        <f>IF(Квартиры!G705="","",Квартиры!G705)</f>
        <v/>
      </c>
      <c r="F707">
        <f>IF(Квартиры!E705="","",Квартиры!E705)</f>
        <v/>
      </c>
      <c r="G707">
        <f>IF(Квартиры!F705="","",Квартиры!F705)</f>
        <v/>
      </c>
      <c r="H707">
        <f>IF(Квартиры!H705="","",Квартиры!H705)</f>
        <v/>
      </c>
      <c r="I707">
        <f>IF(Квартиры!I705="","",Квартиры!I705)</f>
        <v/>
      </c>
      <c r="J707">
        <f>IF(Квартиры!J705="","",Квартиры!J705)</f>
        <v/>
      </c>
    </row>
    <row r="708">
      <c r="A708">
        <f>IF(Квартиры!A706="","",Квартиры!A706)</f>
        <v/>
      </c>
      <c r="B708">
        <f>IF(Квартиры!B706="","",Квартиры!B706)</f>
        <v/>
      </c>
      <c r="C708">
        <f>IF(Квартиры!C706="","",Квартиры!C706)</f>
        <v/>
      </c>
      <c r="D708">
        <f>IF(Квартиры!D706="","",Квартиры!D706)</f>
        <v/>
      </c>
      <c r="E708">
        <f>IF(Квартиры!G706="","",Квартиры!G706)</f>
        <v/>
      </c>
      <c r="F708">
        <f>IF(Квартиры!E706="","",Квартиры!E706)</f>
        <v/>
      </c>
      <c r="G708">
        <f>IF(Квартиры!F706="","",Квартиры!F706)</f>
        <v/>
      </c>
      <c r="H708">
        <f>IF(Квартиры!H706="","",Квартиры!H706)</f>
        <v/>
      </c>
      <c r="I708">
        <f>IF(Квартиры!I706="","",Квартиры!I706)</f>
        <v/>
      </c>
      <c r="J708">
        <f>IF(Квартиры!J706="","",Квартиры!J706)</f>
        <v/>
      </c>
    </row>
    <row r="709">
      <c r="A709">
        <f>IF(Квартиры!A707="","",Квартиры!A707)</f>
        <v/>
      </c>
      <c r="B709">
        <f>IF(Квартиры!B707="","",Квартиры!B707)</f>
        <v/>
      </c>
      <c r="C709">
        <f>IF(Квартиры!C707="","",Квартиры!C707)</f>
        <v/>
      </c>
      <c r="D709">
        <f>IF(Квартиры!D707="","",Квартиры!D707)</f>
        <v/>
      </c>
      <c r="E709">
        <f>IF(Квартиры!G707="","",Квартиры!G707)</f>
        <v/>
      </c>
      <c r="F709">
        <f>IF(Квартиры!E707="","",Квартиры!E707)</f>
        <v/>
      </c>
      <c r="G709">
        <f>IF(Квартиры!F707="","",Квартиры!F707)</f>
        <v/>
      </c>
      <c r="H709">
        <f>IF(Квартиры!H707="","",Квартиры!H707)</f>
        <v/>
      </c>
      <c r="I709">
        <f>IF(Квартиры!I707="","",Квартиры!I707)</f>
        <v/>
      </c>
      <c r="J709">
        <f>IF(Квартиры!J707="","",Квартиры!J707)</f>
        <v/>
      </c>
    </row>
    <row r="710">
      <c r="A710">
        <f>IF(Квартиры!A708="","",Квартиры!A708)</f>
        <v/>
      </c>
      <c r="B710">
        <f>IF(Квартиры!B708="","",Квартиры!B708)</f>
        <v/>
      </c>
      <c r="C710">
        <f>IF(Квартиры!C708="","",Квартиры!C708)</f>
        <v/>
      </c>
      <c r="D710">
        <f>IF(Квартиры!D708="","",Квартиры!D708)</f>
        <v/>
      </c>
      <c r="E710">
        <f>IF(Квартиры!G708="","",Квартиры!G708)</f>
        <v/>
      </c>
      <c r="F710">
        <f>IF(Квартиры!E708="","",Квартиры!E708)</f>
        <v/>
      </c>
      <c r="G710">
        <f>IF(Квартиры!F708="","",Квартиры!F708)</f>
        <v/>
      </c>
      <c r="H710">
        <f>IF(Квартиры!H708="","",Квартиры!H708)</f>
        <v/>
      </c>
      <c r="I710">
        <f>IF(Квартиры!I708="","",Квартиры!I708)</f>
        <v/>
      </c>
      <c r="J710">
        <f>IF(Квартиры!J708="","",Квартиры!J708)</f>
        <v/>
      </c>
    </row>
    <row r="711">
      <c r="A711">
        <f>IF(Квартиры!A709="","",Квартиры!A709)</f>
        <v/>
      </c>
      <c r="B711">
        <f>IF(Квартиры!B709="","",Квартиры!B709)</f>
        <v/>
      </c>
      <c r="C711">
        <f>IF(Квартиры!C709="","",Квартиры!C709)</f>
        <v/>
      </c>
      <c r="D711">
        <f>IF(Квартиры!D709="","",Квартиры!D709)</f>
        <v/>
      </c>
      <c r="E711">
        <f>IF(Квартиры!G709="","",Квартиры!G709)</f>
        <v/>
      </c>
      <c r="F711">
        <f>IF(Квартиры!E709="","",Квартиры!E709)</f>
        <v/>
      </c>
      <c r="G711">
        <f>IF(Квартиры!F709="","",Квартиры!F709)</f>
        <v/>
      </c>
      <c r="H711">
        <f>IF(Квартиры!H709="","",Квартиры!H709)</f>
        <v/>
      </c>
      <c r="I711">
        <f>IF(Квартиры!I709="","",Квартиры!I709)</f>
        <v/>
      </c>
      <c r="J711">
        <f>IF(Квартиры!J709="","",Квартиры!J709)</f>
        <v/>
      </c>
    </row>
    <row r="712">
      <c r="A712">
        <f>IF(Квартиры!A710="","",Квартиры!A710)</f>
        <v/>
      </c>
      <c r="B712">
        <f>IF(Квартиры!B710="","",Квартиры!B710)</f>
        <v/>
      </c>
      <c r="C712">
        <f>IF(Квартиры!C710="","",Квартиры!C710)</f>
        <v/>
      </c>
      <c r="D712">
        <f>IF(Квартиры!D710="","",Квартиры!D710)</f>
        <v/>
      </c>
      <c r="E712">
        <f>IF(Квартиры!G710="","",Квартиры!G710)</f>
        <v/>
      </c>
      <c r="F712">
        <f>IF(Квартиры!E710="","",Квартиры!E710)</f>
        <v/>
      </c>
      <c r="G712">
        <f>IF(Квартиры!F710="","",Квартиры!F710)</f>
        <v/>
      </c>
      <c r="H712">
        <f>IF(Квартиры!H710="","",Квартиры!H710)</f>
        <v/>
      </c>
      <c r="I712">
        <f>IF(Квартиры!I710="","",Квартиры!I710)</f>
        <v/>
      </c>
      <c r="J712">
        <f>IF(Квартиры!J710="","",Квартиры!J710)</f>
        <v/>
      </c>
    </row>
    <row r="713">
      <c r="A713">
        <f>IF(Квартиры!A711="","",Квартиры!A711)</f>
        <v/>
      </c>
      <c r="B713">
        <f>IF(Квартиры!B711="","",Квартиры!B711)</f>
        <v/>
      </c>
      <c r="C713">
        <f>IF(Квартиры!C711="","",Квартиры!C711)</f>
        <v/>
      </c>
      <c r="D713">
        <f>IF(Квартиры!D711="","",Квартиры!D711)</f>
        <v/>
      </c>
      <c r="E713">
        <f>IF(Квартиры!G711="","",Квартиры!G711)</f>
        <v/>
      </c>
      <c r="F713">
        <f>IF(Квартиры!E711="","",Квартиры!E711)</f>
        <v/>
      </c>
      <c r="G713">
        <f>IF(Квартиры!F711="","",Квартиры!F711)</f>
        <v/>
      </c>
      <c r="H713">
        <f>IF(Квартиры!H711="","",Квартиры!H711)</f>
        <v/>
      </c>
      <c r="I713">
        <f>IF(Квартиры!I711="","",Квартиры!I711)</f>
        <v/>
      </c>
      <c r="J713">
        <f>IF(Квартиры!J711="","",Квартиры!J711)</f>
        <v/>
      </c>
    </row>
    <row r="714">
      <c r="A714">
        <f>IF(Квартиры!A712="","",Квартиры!A712)</f>
        <v/>
      </c>
      <c r="B714">
        <f>IF(Квартиры!B712="","",Квартиры!B712)</f>
        <v/>
      </c>
      <c r="C714">
        <f>IF(Квартиры!C712="","",Квартиры!C712)</f>
        <v/>
      </c>
      <c r="D714">
        <f>IF(Квартиры!D712="","",Квартиры!D712)</f>
        <v/>
      </c>
      <c r="E714">
        <f>IF(Квартиры!G712="","",Квартиры!G712)</f>
        <v/>
      </c>
      <c r="F714">
        <f>IF(Квартиры!E712="","",Квартиры!E712)</f>
        <v/>
      </c>
      <c r="G714">
        <f>IF(Квартиры!F712="","",Квартиры!F712)</f>
        <v/>
      </c>
      <c r="H714">
        <f>IF(Квартиры!H712="","",Квартиры!H712)</f>
        <v/>
      </c>
      <c r="I714">
        <f>IF(Квартиры!I712="","",Квартиры!I712)</f>
        <v/>
      </c>
      <c r="J714">
        <f>IF(Квартиры!J712="","",Квартиры!J712)</f>
        <v/>
      </c>
    </row>
    <row r="715">
      <c r="A715">
        <f>IF(Квартиры!A713="","",Квартиры!A713)</f>
        <v/>
      </c>
      <c r="B715">
        <f>IF(Квартиры!B713="","",Квартиры!B713)</f>
        <v/>
      </c>
      <c r="C715">
        <f>IF(Квартиры!C713="","",Квартиры!C713)</f>
        <v/>
      </c>
      <c r="D715">
        <f>IF(Квартиры!D713="","",Квартиры!D713)</f>
        <v/>
      </c>
      <c r="E715">
        <f>IF(Квартиры!G713="","",Квартиры!G713)</f>
        <v/>
      </c>
      <c r="F715">
        <f>IF(Квартиры!E713="","",Квартиры!E713)</f>
        <v/>
      </c>
      <c r="G715">
        <f>IF(Квартиры!F713="","",Квартиры!F713)</f>
        <v/>
      </c>
      <c r="H715">
        <f>IF(Квартиры!H713="","",Квартиры!H713)</f>
        <v/>
      </c>
      <c r="I715">
        <f>IF(Квартиры!I713="","",Квартиры!I713)</f>
        <v/>
      </c>
      <c r="J715">
        <f>IF(Квартиры!J713="","",Квартиры!J713)</f>
        <v/>
      </c>
    </row>
    <row r="716">
      <c r="A716">
        <f>IF(Квартиры!A714="","",Квартиры!A714)</f>
        <v/>
      </c>
      <c r="B716">
        <f>IF(Квартиры!B714="","",Квартиры!B714)</f>
        <v/>
      </c>
      <c r="C716">
        <f>IF(Квартиры!C714="","",Квартиры!C714)</f>
        <v/>
      </c>
      <c r="D716">
        <f>IF(Квартиры!D714="","",Квартиры!D714)</f>
        <v/>
      </c>
      <c r="E716">
        <f>IF(Квартиры!G714="","",Квартиры!G714)</f>
        <v/>
      </c>
      <c r="F716">
        <f>IF(Квартиры!E714="","",Квартиры!E714)</f>
        <v/>
      </c>
      <c r="G716">
        <f>IF(Квартиры!F714="","",Квартиры!F714)</f>
        <v/>
      </c>
      <c r="H716">
        <f>IF(Квартиры!H714="","",Квартиры!H714)</f>
        <v/>
      </c>
      <c r="I716">
        <f>IF(Квартиры!I714="","",Квартиры!I714)</f>
        <v/>
      </c>
      <c r="J716">
        <f>IF(Квартиры!J714="","",Квартиры!J714)</f>
        <v/>
      </c>
    </row>
    <row r="717">
      <c r="A717">
        <f>IF(Квартиры!A715="","",Квартиры!A715)</f>
        <v/>
      </c>
      <c r="B717">
        <f>IF(Квартиры!B715="","",Квартиры!B715)</f>
        <v/>
      </c>
      <c r="C717">
        <f>IF(Квартиры!C715="","",Квартиры!C715)</f>
        <v/>
      </c>
      <c r="D717">
        <f>IF(Квартиры!D715="","",Квартиры!D715)</f>
        <v/>
      </c>
      <c r="E717">
        <f>IF(Квартиры!G715="","",Квартиры!G715)</f>
        <v/>
      </c>
      <c r="F717">
        <f>IF(Квартиры!E715="","",Квартиры!E715)</f>
        <v/>
      </c>
      <c r="G717">
        <f>IF(Квартиры!F715="","",Квартиры!F715)</f>
        <v/>
      </c>
      <c r="H717">
        <f>IF(Квартиры!H715="","",Квартиры!H715)</f>
        <v/>
      </c>
      <c r="I717">
        <f>IF(Квартиры!I715="","",Квартиры!I715)</f>
        <v/>
      </c>
      <c r="J717">
        <f>IF(Квартиры!J715="","",Квартиры!J715)</f>
        <v/>
      </c>
    </row>
    <row r="718">
      <c r="A718">
        <f>IF(Квартиры!A716="","",Квартиры!A716)</f>
        <v/>
      </c>
      <c r="B718">
        <f>IF(Квартиры!B716="","",Квартиры!B716)</f>
        <v/>
      </c>
      <c r="C718">
        <f>IF(Квартиры!C716="","",Квартиры!C716)</f>
        <v/>
      </c>
      <c r="D718">
        <f>IF(Квартиры!D716="","",Квартиры!D716)</f>
        <v/>
      </c>
      <c r="E718">
        <f>IF(Квартиры!G716="","",Квартиры!G716)</f>
        <v/>
      </c>
      <c r="F718">
        <f>IF(Квартиры!E716="","",Квартиры!E716)</f>
        <v/>
      </c>
      <c r="G718">
        <f>IF(Квартиры!F716="","",Квартиры!F716)</f>
        <v/>
      </c>
      <c r="H718">
        <f>IF(Квартиры!H716="","",Квартиры!H716)</f>
        <v/>
      </c>
      <c r="I718">
        <f>IF(Квартиры!I716="","",Квартиры!I716)</f>
        <v/>
      </c>
      <c r="J718">
        <f>IF(Квартиры!J716="","",Квартиры!J716)</f>
        <v/>
      </c>
    </row>
    <row r="719">
      <c r="A719">
        <f>IF(Квартиры!A717="","",Квартиры!A717)</f>
        <v/>
      </c>
      <c r="B719">
        <f>IF(Квартиры!B717="","",Квартиры!B717)</f>
        <v/>
      </c>
      <c r="C719">
        <f>IF(Квартиры!C717="","",Квартиры!C717)</f>
        <v/>
      </c>
      <c r="D719">
        <f>IF(Квартиры!D717="","",Квартиры!D717)</f>
        <v/>
      </c>
      <c r="E719">
        <f>IF(Квартиры!G717="","",Квартиры!G717)</f>
        <v/>
      </c>
      <c r="F719">
        <f>IF(Квартиры!E717="","",Квартиры!E717)</f>
        <v/>
      </c>
      <c r="G719">
        <f>IF(Квартиры!F717="","",Квартиры!F717)</f>
        <v/>
      </c>
      <c r="H719">
        <f>IF(Квартиры!H717="","",Квартиры!H717)</f>
        <v/>
      </c>
      <c r="I719">
        <f>IF(Квартиры!I717="","",Квартиры!I717)</f>
        <v/>
      </c>
      <c r="J719">
        <f>IF(Квартиры!J717="","",Квартиры!J717)</f>
        <v/>
      </c>
    </row>
    <row r="720">
      <c r="A720">
        <f>IF(Квартиры!A718="","",Квартиры!A718)</f>
        <v/>
      </c>
      <c r="B720">
        <f>IF(Квартиры!B718="","",Квартиры!B718)</f>
        <v/>
      </c>
      <c r="C720">
        <f>IF(Квартиры!C718="","",Квартиры!C718)</f>
        <v/>
      </c>
      <c r="D720">
        <f>IF(Квартиры!D718="","",Квартиры!D718)</f>
        <v/>
      </c>
      <c r="E720">
        <f>IF(Квартиры!G718="","",Квартиры!G718)</f>
        <v/>
      </c>
      <c r="F720">
        <f>IF(Квартиры!E718="","",Квартиры!E718)</f>
        <v/>
      </c>
      <c r="G720">
        <f>IF(Квартиры!F718="","",Квартиры!F718)</f>
        <v/>
      </c>
      <c r="H720">
        <f>IF(Квартиры!H718="","",Квартиры!H718)</f>
        <v/>
      </c>
      <c r="I720">
        <f>IF(Квартиры!I718="","",Квартиры!I718)</f>
        <v/>
      </c>
      <c r="J720">
        <f>IF(Квартиры!J718="","",Квартиры!J718)</f>
        <v/>
      </c>
    </row>
    <row r="721">
      <c r="A721">
        <f>IF(Квартиры!A719="","",Квартиры!A719)</f>
        <v/>
      </c>
      <c r="B721">
        <f>IF(Квартиры!B719="","",Квартиры!B719)</f>
        <v/>
      </c>
      <c r="C721">
        <f>IF(Квартиры!C719="","",Квартиры!C719)</f>
        <v/>
      </c>
      <c r="D721">
        <f>IF(Квартиры!D719="","",Квартиры!D719)</f>
        <v/>
      </c>
      <c r="E721">
        <f>IF(Квартиры!G719="","",Квартиры!G719)</f>
        <v/>
      </c>
      <c r="F721">
        <f>IF(Квартиры!E719="","",Квартиры!E719)</f>
        <v/>
      </c>
      <c r="G721">
        <f>IF(Квартиры!F719="","",Квартиры!F719)</f>
        <v/>
      </c>
      <c r="H721">
        <f>IF(Квартиры!H719="","",Квартиры!H719)</f>
        <v/>
      </c>
      <c r="I721">
        <f>IF(Квартиры!I719="","",Квартиры!I719)</f>
        <v/>
      </c>
      <c r="J721">
        <f>IF(Квартиры!J719="","",Квартиры!J719)</f>
        <v/>
      </c>
    </row>
    <row r="722">
      <c r="A722">
        <f>IF(Квартиры!A720="","",Квартиры!A720)</f>
        <v/>
      </c>
      <c r="B722">
        <f>IF(Квартиры!B720="","",Квартиры!B720)</f>
        <v/>
      </c>
      <c r="C722">
        <f>IF(Квартиры!C720="","",Квартиры!C720)</f>
        <v/>
      </c>
      <c r="D722">
        <f>IF(Квартиры!D720="","",Квартиры!D720)</f>
        <v/>
      </c>
      <c r="E722">
        <f>IF(Квартиры!G720="","",Квартиры!G720)</f>
        <v/>
      </c>
      <c r="F722">
        <f>IF(Квартиры!E720="","",Квартиры!E720)</f>
        <v/>
      </c>
      <c r="G722">
        <f>IF(Квартиры!F720="","",Квартиры!F720)</f>
        <v/>
      </c>
      <c r="H722">
        <f>IF(Квартиры!H720="","",Квартиры!H720)</f>
        <v/>
      </c>
      <c r="I722">
        <f>IF(Квартиры!I720="","",Квартиры!I720)</f>
        <v/>
      </c>
      <c r="J722">
        <f>IF(Квартиры!J720="","",Квартиры!J720)</f>
        <v/>
      </c>
    </row>
    <row r="723">
      <c r="A723">
        <f>IF(Квартиры!A721="","",Квартиры!A721)</f>
        <v/>
      </c>
      <c r="B723">
        <f>IF(Квартиры!B721="","",Квартиры!B721)</f>
        <v/>
      </c>
      <c r="C723">
        <f>IF(Квартиры!C721="","",Квартиры!C721)</f>
        <v/>
      </c>
      <c r="D723">
        <f>IF(Квартиры!D721="","",Квартиры!D721)</f>
        <v/>
      </c>
      <c r="E723">
        <f>IF(Квартиры!G721="","",Квартиры!G721)</f>
        <v/>
      </c>
      <c r="F723">
        <f>IF(Квартиры!E721="","",Квартиры!E721)</f>
        <v/>
      </c>
      <c r="G723">
        <f>IF(Квартиры!F721="","",Квартиры!F721)</f>
        <v/>
      </c>
      <c r="H723">
        <f>IF(Квартиры!H721="","",Квартиры!H721)</f>
        <v/>
      </c>
      <c r="I723">
        <f>IF(Квартиры!I721="","",Квартиры!I721)</f>
        <v/>
      </c>
      <c r="J723">
        <f>IF(Квартиры!J721="","",Квартиры!J721)</f>
        <v/>
      </c>
    </row>
    <row r="724">
      <c r="A724">
        <f>IF(Квартиры!A722="","",Квартиры!A722)</f>
        <v/>
      </c>
      <c r="B724">
        <f>IF(Квартиры!B722="","",Квартиры!B722)</f>
        <v/>
      </c>
      <c r="C724">
        <f>IF(Квартиры!C722="","",Квартиры!C722)</f>
        <v/>
      </c>
      <c r="D724">
        <f>IF(Квартиры!D722="","",Квартиры!D722)</f>
        <v/>
      </c>
      <c r="E724">
        <f>IF(Квартиры!G722="","",Квартиры!G722)</f>
        <v/>
      </c>
      <c r="F724">
        <f>IF(Квартиры!E722="","",Квартиры!E722)</f>
        <v/>
      </c>
      <c r="G724">
        <f>IF(Квартиры!F722="","",Квартиры!F722)</f>
        <v/>
      </c>
      <c r="H724">
        <f>IF(Квартиры!H722="","",Квартиры!H722)</f>
        <v/>
      </c>
      <c r="I724">
        <f>IF(Квартиры!I722="","",Квартиры!I722)</f>
        <v/>
      </c>
      <c r="J724">
        <f>IF(Квартиры!J722="","",Квартиры!J722)</f>
        <v/>
      </c>
    </row>
    <row r="725">
      <c r="A725">
        <f>IF(Квартиры!A723="","",Квартиры!A723)</f>
        <v/>
      </c>
      <c r="B725">
        <f>IF(Квартиры!B723="","",Квартиры!B723)</f>
        <v/>
      </c>
      <c r="C725">
        <f>IF(Квартиры!C723="","",Квартиры!C723)</f>
        <v/>
      </c>
      <c r="D725">
        <f>IF(Квартиры!D723="","",Квартиры!D723)</f>
        <v/>
      </c>
      <c r="E725">
        <f>IF(Квартиры!G723="","",Квартиры!G723)</f>
        <v/>
      </c>
      <c r="F725">
        <f>IF(Квартиры!E723="","",Квартиры!E723)</f>
        <v/>
      </c>
      <c r="G725">
        <f>IF(Квартиры!F723="","",Квартиры!F723)</f>
        <v/>
      </c>
      <c r="H725">
        <f>IF(Квартиры!H723="","",Квартиры!H723)</f>
        <v/>
      </c>
      <c r="I725">
        <f>IF(Квартиры!I723="","",Квартиры!I723)</f>
        <v/>
      </c>
      <c r="J725">
        <f>IF(Квартиры!J723="","",Квартиры!J723)</f>
        <v/>
      </c>
    </row>
    <row r="726">
      <c r="A726">
        <f>IF(Квартиры!A724="","",Квартиры!A724)</f>
        <v/>
      </c>
      <c r="B726">
        <f>IF(Квартиры!B724="","",Квартиры!B724)</f>
        <v/>
      </c>
      <c r="C726">
        <f>IF(Квартиры!C724="","",Квартиры!C724)</f>
        <v/>
      </c>
      <c r="D726">
        <f>IF(Квартиры!D724="","",Квартиры!D724)</f>
        <v/>
      </c>
      <c r="E726">
        <f>IF(Квартиры!G724="","",Квартиры!G724)</f>
        <v/>
      </c>
      <c r="F726">
        <f>IF(Квартиры!E724="","",Квартиры!E724)</f>
        <v/>
      </c>
      <c r="G726">
        <f>IF(Квартиры!F724="","",Квартиры!F724)</f>
        <v/>
      </c>
      <c r="H726">
        <f>IF(Квартиры!H724="","",Квартиры!H724)</f>
        <v/>
      </c>
      <c r="I726">
        <f>IF(Квартиры!I724="","",Квартиры!I724)</f>
        <v/>
      </c>
      <c r="J726">
        <f>IF(Квартиры!J724="","",Квартиры!J724)</f>
        <v/>
      </c>
    </row>
    <row r="727">
      <c r="A727">
        <f>IF(Квартиры!A725="","",Квартиры!A725)</f>
        <v/>
      </c>
      <c r="B727">
        <f>IF(Квартиры!B725="","",Квартиры!B725)</f>
        <v/>
      </c>
      <c r="C727">
        <f>IF(Квартиры!C725="","",Квартиры!C725)</f>
        <v/>
      </c>
      <c r="D727">
        <f>IF(Квартиры!D725="","",Квартиры!D725)</f>
        <v/>
      </c>
      <c r="E727">
        <f>IF(Квартиры!G725="","",Квартиры!G725)</f>
        <v/>
      </c>
      <c r="F727">
        <f>IF(Квартиры!E725="","",Квартиры!E725)</f>
        <v/>
      </c>
      <c r="G727">
        <f>IF(Квартиры!F725="","",Квартиры!F725)</f>
        <v/>
      </c>
      <c r="H727">
        <f>IF(Квартиры!H725="","",Квартиры!H725)</f>
        <v/>
      </c>
      <c r="I727">
        <f>IF(Квартиры!I725="","",Квартиры!I725)</f>
        <v/>
      </c>
      <c r="J727">
        <f>IF(Квартиры!J725="","",Квартиры!J725)</f>
        <v/>
      </c>
    </row>
    <row r="728">
      <c r="A728">
        <f>IF(Квартиры!A726="","",Квартиры!A726)</f>
        <v/>
      </c>
      <c r="B728">
        <f>IF(Квартиры!B726="","",Квартиры!B726)</f>
        <v/>
      </c>
      <c r="C728">
        <f>IF(Квартиры!C726="","",Квартиры!C726)</f>
        <v/>
      </c>
      <c r="D728">
        <f>IF(Квартиры!D726="","",Квартиры!D726)</f>
        <v/>
      </c>
      <c r="E728">
        <f>IF(Квартиры!G726="","",Квартиры!G726)</f>
        <v/>
      </c>
      <c r="F728">
        <f>IF(Квартиры!E726="","",Квартиры!E726)</f>
        <v/>
      </c>
      <c r="G728">
        <f>IF(Квартиры!F726="","",Квартиры!F726)</f>
        <v/>
      </c>
      <c r="H728">
        <f>IF(Квартиры!H726="","",Квартиры!H726)</f>
        <v/>
      </c>
      <c r="I728">
        <f>IF(Квартиры!I726="","",Квартиры!I726)</f>
        <v/>
      </c>
      <c r="J728">
        <f>IF(Квартиры!J726="","",Квартиры!J726)</f>
        <v/>
      </c>
    </row>
    <row r="729">
      <c r="A729">
        <f>IF(Квартиры!A727="","",Квартиры!A727)</f>
        <v/>
      </c>
      <c r="B729">
        <f>IF(Квартиры!B727="","",Квартиры!B727)</f>
        <v/>
      </c>
      <c r="C729">
        <f>IF(Квартиры!C727="","",Квартиры!C727)</f>
        <v/>
      </c>
      <c r="D729">
        <f>IF(Квартиры!D727="","",Квартиры!D727)</f>
        <v/>
      </c>
      <c r="E729">
        <f>IF(Квартиры!G727="","",Квартиры!G727)</f>
        <v/>
      </c>
      <c r="F729">
        <f>IF(Квартиры!E727="","",Квартиры!E727)</f>
        <v/>
      </c>
      <c r="G729">
        <f>IF(Квартиры!F727="","",Квартиры!F727)</f>
        <v/>
      </c>
      <c r="H729">
        <f>IF(Квартиры!H727="","",Квартиры!H727)</f>
        <v/>
      </c>
      <c r="I729">
        <f>IF(Квартиры!I727="","",Квартиры!I727)</f>
        <v/>
      </c>
      <c r="J729">
        <f>IF(Квартиры!J727="","",Квартиры!J727)</f>
        <v/>
      </c>
    </row>
    <row r="730">
      <c r="A730">
        <f>IF(Квартиры!A728="","",Квартиры!A728)</f>
        <v/>
      </c>
      <c r="B730">
        <f>IF(Квартиры!B728="","",Квартиры!B728)</f>
        <v/>
      </c>
      <c r="C730">
        <f>IF(Квартиры!C728="","",Квартиры!C728)</f>
        <v/>
      </c>
      <c r="D730">
        <f>IF(Квартиры!D728="","",Квартиры!D728)</f>
        <v/>
      </c>
      <c r="E730">
        <f>IF(Квартиры!G728="","",Квартиры!G728)</f>
        <v/>
      </c>
      <c r="F730">
        <f>IF(Квартиры!E728="","",Квартиры!E728)</f>
        <v/>
      </c>
      <c r="G730">
        <f>IF(Квартиры!F728="","",Квартиры!F728)</f>
        <v/>
      </c>
      <c r="H730">
        <f>IF(Квартиры!H728="","",Квартиры!H728)</f>
        <v/>
      </c>
      <c r="I730">
        <f>IF(Квартиры!I728="","",Квартиры!I728)</f>
        <v/>
      </c>
      <c r="J730">
        <f>IF(Квартиры!J728="","",Квартиры!J728)</f>
        <v/>
      </c>
    </row>
    <row r="731">
      <c r="A731">
        <f>IF(Квартиры!A729="","",Квартиры!A729)</f>
        <v/>
      </c>
      <c r="B731">
        <f>IF(Квартиры!B729="","",Квартиры!B729)</f>
        <v/>
      </c>
      <c r="C731">
        <f>IF(Квартиры!C729="","",Квартиры!C729)</f>
        <v/>
      </c>
      <c r="D731">
        <f>IF(Квартиры!D729="","",Квартиры!D729)</f>
        <v/>
      </c>
      <c r="E731">
        <f>IF(Квартиры!G729="","",Квартиры!G729)</f>
        <v/>
      </c>
      <c r="F731">
        <f>IF(Квартиры!E729="","",Квартиры!E729)</f>
        <v/>
      </c>
      <c r="G731">
        <f>IF(Квартиры!F729="","",Квартиры!F729)</f>
        <v/>
      </c>
      <c r="H731">
        <f>IF(Квартиры!H729="","",Квартиры!H729)</f>
        <v/>
      </c>
      <c r="I731">
        <f>IF(Квартиры!I729="","",Квартиры!I729)</f>
        <v/>
      </c>
      <c r="J731">
        <f>IF(Квартиры!J729="","",Квартиры!J729)</f>
        <v/>
      </c>
    </row>
    <row r="732">
      <c r="A732">
        <f>IF(Квартиры!A730="","",Квартиры!A730)</f>
        <v/>
      </c>
      <c r="B732">
        <f>IF(Квартиры!B730="","",Квартиры!B730)</f>
        <v/>
      </c>
      <c r="C732">
        <f>IF(Квартиры!C730="","",Квартиры!C730)</f>
        <v/>
      </c>
      <c r="D732">
        <f>IF(Квартиры!D730="","",Квартиры!D730)</f>
        <v/>
      </c>
      <c r="E732">
        <f>IF(Квартиры!G730="","",Квартиры!G730)</f>
        <v/>
      </c>
      <c r="F732">
        <f>IF(Квартиры!E730="","",Квартиры!E730)</f>
        <v/>
      </c>
      <c r="G732">
        <f>IF(Квартиры!F730="","",Квартиры!F730)</f>
        <v/>
      </c>
      <c r="H732">
        <f>IF(Квартиры!H730="","",Квартиры!H730)</f>
        <v/>
      </c>
      <c r="I732">
        <f>IF(Квартиры!I730="","",Квартиры!I730)</f>
        <v/>
      </c>
      <c r="J732">
        <f>IF(Квартиры!J730="","",Квартиры!J730)</f>
        <v/>
      </c>
    </row>
    <row r="733">
      <c r="A733">
        <f>IF(Квартиры!A731="","",Квартиры!A731)</f>
        <v/>
      </c>
      <c r="B733">
        <f>IF(Квартиры!B731="","",Квартиры!B731)</f>
        <v/>
      </c>
      <c r="C733">
        <f>IF(Квартиры!C731="","",Квартиры!C731)</f>
        <v/>
      </c>
      <c r="D733">
        <f>IF(Квартиры!D731="","",Квартиры!D731)</f>
        <v/>
      </c>
      <c r="E733">
        <f>IF(Квартиры!G731="","",Квартиры!G731)</f>
        <v/>
      </c>
      <c r="F733">
        <f>IF(Квартиры!E731="","",Квартиры!E731)</f>
        <v/>
      </c>
      <c r="G733">
        <f>IF(Квартиры!F731="","",Квартиры!F731)</f>
        <v/>
      </c>
      <c r="H733">
        <f>IF(Квартиры!H731="","",Квартиры!H731)</f>
        <v/>
      </c>
      <c r="I733">
        <f>IF(Квартиры!I731="","",Квартиры!I731)</f>
        <v/>
      </c>
      <c r="J733">
        <f>IF(Квартиры!J731="","",Квартиры!J731)</f>
        <v/>
      </c>
    </row>
    <row r="734">
      <c r="A734">
        <f>IF(Квартиры!A732="","",Квартиры!A732)</f>
        <v/>
      </c>
      <c r="B734">
        <f>IF(Квартиры!B732="","",Квартиры!B732)</f>
        <v/>
      </c>
      <c r="C734">
        <f>IF(Квартиры!C732="","",Квартиры!C732)</f>
        <v/>
      </c>
      <c r="D734">
        <f>IF(Квартиры!D732="","",Квартиры!D732)</f>
        <v/>
      </c>
      <c r="E734">
        <f>IF(Квартиры!G732="","",Квартиры!G732)</f>
        <v/>
      </c>
      <c r="F734">
        <f>IF(Квартиры!E732="","",Квартиры!E732)</f>
        <v/>
      </c>
      <c r="G734">
        <f>IF(Квартиры!F732="","",Квартиры!F732)</f>
        <v/>
      </c>
      <c r="H734">
        <f>IF(Квартиры!H732="","",Квартиры!H732)</f>
        <v/>
      </c>
      <c r="I734">
        <f>IF(Квартиры!I732="","",Квартиры!I732)</f>
        <v/>
      </c>
      <c r="J734">
        <f>IF(Квартиры!J732="","",Квартиры!J732)</f>
        <v/>
      </c>
    </row>
    <row r="735">
      <c r="A735">
        <f>IF(Квартиры!A733="","",Квартиры!A733)</f>
        <v/>
      </c>
      <c r="B735">
        <f>IF(Квартиры!B733="","",Квартиры!B733)</f>
        <v/>
      </c>
      <c r="C735">
        <f>IF(Квартиры!C733="","",Квартиры!C733)</f>
        <v/>
      </c>
      <c r="D735">
        <f>IF(Квартиры!D733="","",Квартиры!D733)</f>
        <v/>
      </c>
      <c r="E735">
        <f>IF(Квартиры!G733="","",Квартиры!G733)</f>
        <v/>
      </c>
      <c r="F735">
        <f>IF(Квартиры!E733="","",Квартиры!E733)</f>
        <v/>
      </c>
      <c r="G735">
        <f>IF(Квартиры!F733="","",Квартиры!F733)</f>
        <v/>
      </c>
      <c r="H735">
        <f>IF(Квартиры!H733="","",Квартиры!H733)</f>
        <v/>
      </c>
      <c r="I735">
        <f>IF(Квартиры!I733="","",Квартиры!I733)</f>
        <v/>
      </c>
      <c r="J735">
        <f>IF(Квартиры!J733="","",Квартиры!J733)</f>
        <v/>
      </c>
    </row>
    <row r="736">
      <c r="A736">
        <f>IF(Квартиры!A734="","",Квартиры!A734)</f>
        <v/>
      </c>
      <c r="B736">
        <f>IF(Квартиры!B734="","",Квартиры!B734)</f>
        <v/>
      </c>
      <c r="C736">
        <f>IF(Квартиры!C734="","",Квартиры!C734)</f>
        <v/>
      </c>
      <c r="D736">
        <f>IF(Квартиры!D734="","",Квартиры!D734)</f>
        <v/>
      </c>
      <c r="E736">
        <f>IF(Квартиры!G734="","",Квартиры!G734)</f>
        <v/>
      </c>
      <c r="F736">
        <f>IF(Квартиры!E734="","",Квартиры!E734)</f>
        <v/>
      </c>
      <c r="G736">
        <f>IF(Квартиры!F734="","",Квартиры!F734)</f>
        <v/>
      </c>
      <c r="H736">
        <f>IF(Квартиры!H734="","",Квартиры!H734)</f>
        <v/>
      </c>
      <c r="I736">
        <f>IF(Квартиры!I734="","",Квартиры!I734)</f>
        <v/>
      </c>
      <c r="J736">
        <f>IF(Квартиры!J734="","",Квартиры!J734)</f>
        <v/>
      </c>
    </row>
    <row r="737">
      <c r="A737">
        <f>IF(Квартиры!A735="","",Квартиры!A735)</f>
        <v/>
      </c>
      <c r="B737">
        <f>IF(Квартиры!B735="","",Квартиры!B735)</f>
        <v/>
      </c>
      <c r="C737">
        <f>IF(Квартиры!C735="","",Квартиры!C735)</f>
        <v/>
      </c>
      <c r="D737">
        <f>IF(Квартиры!D735="","",Квартиры!D735)</f>
        <v/>
      </c>
      <c r="E737">
        <f>IF(Квартиры!G735="","",Квартиры!G735)</f>
        <v/>
      </c>
      <c r="F737">
        <f>IF(Квартиры!E735="","",Квартиры!E735)</f>
        <v/>
      </c>
      <c r="G737">
        <f>IF(Квартиры!F735="","",Квартиры!F735)</f>
        <v/>
      </c>
      <c r="H737">
        <f>IF(Квартиры!H735="","",Квартиры!H735)</f>
        <v/>
      </c>
      <c r="I737">
        <f>IF(Квартиры!I735="","",Квартиры!I735)</f>
        <v/>
      </c>
      <c r="J737">
        <f>IF(Квартиры!J735="","",Квартиры!J735)</f>
        <v/>
      </c>
    </row>
    <row r="738">
      <c r="A738">
        <f>IF(Квартиры!A736="","",Квартиры!A736)</f>
        <v/>
      </c>
      <c r="B738">
        <f>IF(Квартиры!B736="","",Квартиры!B736)</f>
        <v/>
      </c>
      <c r="C738">
        <f>IF(Квартиры!C736="","",Квартиры!C736)</f>
        <v/>
      </c>
      <c r="D738">
        <f>IF(Квартиры!D736="","",Квартиры!D736)</f>
        <v/>
      </c>
      <c r="E738">
        <f>IF(Квартиры!G736="","",Квартиры!G736)</f>
        <v/>
      </c>
      <c r="F738">
        <f>IF(Квартиры!E736="","",Квартиры!E736)</f>
        <v/>
      </c>
      <c r="G738">
        <f>IF(Квартиры!F736="","",Квартиры!F736)</f>
        <v/>
      </c>
      <c r="H738">
        <f>IF(Квартиры!H736="","",Квартиры!H736)</f>
        <v/>
      </c>
      <c r="I738">
        <f>IF(Квартиры!I736="","",Квартиры!I736)</f>
        <v/>
      </c>
      <c r="J738">
        <f>IF(Квартиры!J736="","",Квартиры!J736)</f>
        <v/>
      </c>
    </row>
    <row r="739">
      <c r="A739">
        <f>IF(Квартиры!A737="","",Квартиры!A737)</f>
        <v/>
      </c>
      <c r="B739">
        <f>IF(Квартиры!B737="","",Квартиры!B737)</f>
        <v/>
      </c>
      <c r="C739">
        <f>IF(Квартиры!C737="","",Квартиры!C737)</f>
        <v/>
      </c>
      <c r="D739">
        <f>IF(Квартиры!D737="","",Квартиры!D737)</f>
        <v/>
      </c>
      <c r="E739">
        <f>IF(Квартиры!G737="","",Квартиры!G737)</f>
        <v/>
      </c>
      <c r="F739">
        <f>IF(Квартиры!E737="","",Квартиры!E737)</f>
        <v/>
      </c>
      <c r="G739">
        <f>IF(Квартиры!F737="","",Квартиры!F737)</f>
        <v/>
      </c>
      <c r="H739">
        <f>IF(Квартиры!H737="","",Квартиры!H737)</f>
        <v/>
      </c>
      <c r="I739">
        <f>IF(Квартиры!I737="","",Квартиры!I737)</f>
        <v/>
      </c>
      <c r="J739">
        <f>IF(Квартиры!J737="","",Квартиры!J737)</f>
        <v/>
      </c>
    </row>
    <row r="740">
      <c r="A740">
        <f>IF(Квартиры!A738="","",Квартиры!A738)</f>
        <v/>
      </c>
      <c r="B740">
        <f>IF(Квартиры!B738="","",Квартиры!B738)</f>
        <v/>
      </c>
      <c r="C740">
        <f>IF(Квартиры!C738="","",Квартиры!C738)</f>
        <v/>
      </c>
      <c r="D740">
        <f>IF(Квартиры!D738="","",Квартиры!D738)</f>
        <v/>
      </c>
      <c r="E740">
        <f>IF(Квартиры!G738="","",Квартиры!G738)</f>
        <v/>
      </c>
      <c r="F740">
        <f>IF(Квартиры!E738="","",Квартиры!E738)</f>
        <v/>
      </c>
      <c r="G740">
        <f>IF(Квартиры!F738="","",Квартиры!F738)</f>
        <v/>
      </c>
      <c r="H740">
        <f>IF(Квартиры!H738="","",Квартиры!H738)</f>
        <v/>
      </c>
      <c r="I740">
        <f>IF(Квартиры!I738="","",Квартиры!I738)</f>
        <v/>
      </c>
      <c r="J740">
        <f>IF(Квартиры!J738="","",Квартиры!J738)</f>
        <v/>
      </c>
    </row>
    <row r="741">
      <c r="A741">
        <f>IF(Квартиры!A739="","",Квартиры!A739)</f>
        <v/>
      </c>
      <c r="B741">
        <f>IF(Квартиры!B739="","",Квартиры!B739)</f>
        <v/>
      </c>
      <c r="C741">
        <f>IF(Квартиры!C739="","",Квартиры!C739)</f>
        <v/>
      </c>
      <c r="D741">
        <f>IF(Квартиры!D739="","",Квартиры!D739)</f>
        <v/>
      </c>
      <c r="E741">
        <f>IF(Квартиры!G739="","",Квартиры!G739)</f>
        <v/>
      </c>
      <c r="F741">
        <f>IF(Квартиры!E739="","",Квартиры!E739)</f>
        <v/>
      </c>
      <c r="G741">
        <f>IF(Квартиры!F739="","",Квартиры!F739)</f>
        <v/>
      </c>
      <c r="H741">
        <f>IF(Квартиры!H739="","",Квартиры!H739)</f>
        <v/>
      </c>
      <c r="I741">
        <f>IF(Квартиры!I739="","",Квартиры!I739)</f>
        <v/>
      </c>
      <c r="J741">
        <f>IF(Квартиры!J739="","",Квартиры!J739)</f>
        <v/>
      </c>
    </row>
    <row r="742">
      <c r="A742">
        <f>IF(Квартиры!A740="","",Квартиры!A740)</f>
        <v/>
      </c>
      <c r="B742">
        <f>IF(Квартиры!B740="","",Квартиры!B740)</f>
        <v/>
      </c>
      <c r="C742">
        <f>IF(Квартиры!C740="","",Квартиры!C740)</f>
        <v/>
      </c>
      <c r="D742">
        <f>IF(Квартиры!D740="","",Квартиры!D740)</f>
        <v/>
      </c>
      <c r="E742">
        <f>IF(Квартиры!G740="","",Квартиры!G740)</f>
        <v/>
      </c>
      <c r="F742">
        <f>IF(Квартиры!E740="","",Квартиры!E740)</f>
        <v/>
      </c>
      <c r="G742">
        <f>IF(Квартиры!F740="","",Квартиры!F740)</f>
        <v/>
      </c>
      <c r="H742">
        <f>IF(Квартиры!H740="","",Квартиры!H740)</f>
        <v/>
      </c>
      <c r="I742">
        <f>IF(Квартиры!I740="","",Квартиры!I740)</f>
        <v/>
      </c>
      <c r="J742">
        <f>IF(Квартиры!J740="","",Квартиры!J740)</f>
        <v/>
      </c>
    </row>
    <row r="743">
      <c r="A743">
        <f>IF(Квартиры!A741="","",Квартиры!A741)</f>
        <v/>
      </c>
      <c r="B743">
        <f>IF(Квартиры!B741="","",Квартиры!B741)</f>
        <v/>
      </c>
      <c r="C743">
        <f>IF(Квартиры!C741="","",Квартиры!C741)</f>
        <v/>
      </c>
      <c r="D743">
        <f>IF(Квартиры!D741="","",Квартиры!D741)</f>
        <v/>
      </c>
      <c r="E743">
        <f>IF(Квартиры!G741="","",Квартиры!G741)</f>
        <v/>
      </c>
      <c r="F743">
        <f>IF(Квартиры!E741="","",Квартиры!E741)</f>
        <v/>
      </c>
      <c r="G743">
        <f>IF(Квартиры!F741="","",Квартиры!F741)</f>
        <v/>
      </c>
      <c r="H743">
        <f>IF(Квартиры!H741="","",Квартиры!H741)</f>
        <v/>
      </c>
      <c r="I743">
        <f>IF(Квартиры!I741="","",Квартиры!I741)</f>
        <v/>
      </c>
      <c r="J743">
        <f>IF(Квартиры!J741="","",Квартиры!J741)</f>
        <v/>
      </c>
    </row>
    <row r="744">
      <c r="A744">
        <f>IF(Квартиры!A742="","",Квартиры!A742)</f>
        <v/>
      </c>
      <c r="B744">
        <f>IF(Квартиры!B742="","",Квартиры!B742)</f>
        <v/>
      </c>
      <c r="C744">
        <f>IF(Квартиры!C742="","",Квартиры!C742)</f>
        <v/>
      </c>
      <c r="D744">
        <f>IF(Квартиры!D742="","",Квартиры!D742)</f>
        <v/>
      </c>
      <c r="E744">
        <f>IF(Квартиры!G742="","",Квартиры!G742)</f>
        <v/>
      </c>
      <c r="F744">
        <f>IF(Квартиры!E742="","",Квартиры!E742)</f>
        <v/>
      </c>
      <c r="G744">
        <f>IF(Квартиры!F742="","",Квартиры!F742)</f>
        <v/>
      </c>
      <c r="H744">
        <f>IF(Квартиры!H742="","",Квартиры!H742)</f>
        <v/>
      </c>
      <c r="I744">
        <f>IF(Квартиры!I742="","",Квартиры!I742)</f>
        <v/>
      </c>
      <c r="J744">
        <f>IF(Квартиры!J742="","",Квартиры!J742)</f>
        <v/>
      </c>
    </row>
    <row r="745">
      <c r="A745">
        <f>IF(Квартиры!A743="","",Квартиры!A743)</f>
        <v/>
      </c>
      <c r="B745">
        <f>IF(Квартиры!B743="","",Квартиры!B743)</f>
        <v/>
      </c>
      <c r="C745">
        <f>IF(Квартиры!C743="","",Квартиры!C743)</f>
        <v/>
      </c>
      <c r="D745">
        <f>IF(Квартиры!D743="","",Квартиры!D743)</f>
        <v/>
      </c>
      <c r="E745">
        <f>IF(Квартиры!G743="","",Квартиры!G743)</f>
        <v/>
      </c>
      <c r="F745">
        <f>IF(Квартиры!E743="","",Квартиры!E743)</f>
        <v/>
      </c>
      <c r="G745">
        <f>IF(Квартиры!F743="","",Квартиры!F743)</f>
        <v/>
      </c>
      <c r="H745">
        <f>IF(Квартиры!H743="","",Квартиры!H743)</f>
        <v/>
      </c>
      <c r="I745">
        <f>IF(Квартиры!I743="","",Квартиры!I743)</f>
        <v/>
      </c>
      <c r="J745">
        <f>IF(Квартиры!J743="","",Квартиры!J743)</f>
        <v/>
      </c>
    </row>
    <row r="746">
      <c r="A746">
        <f>IF(Квартиры!A744="","",Квартиры!A744)</f>
        <v/>
      </c>
      <c r="B746">
        <f>IF(Квартиры!B744="","",Квартиры!B744)</f>
        <v/>
      </c>
      <c r="C746">
        <f>IF(Квартиры!C744="","",Квартиры!C744)</f>
        <v/>
      </c>
      <c r="D746">
        <f>IF(Квартиры!D744="","",Квартиры!D744)</f>
        <v/>
      </c>
      <c r="E746">
        <f>IF(Квартиры!G744="","",Квартиры!G744)</f>
        <v/>
      </c>
      <c r="F746">
        <f>IF(Квартиры!E744="","",Квартиры!E744)</f>
        <v/>
      </c>
      <c r="G746">
        <f>IF(Квартиры!F744="","",Квартиры!F744)</f>
        <v/>
      </c>
      <c r="H746">
        <f>IF(Квартиры!H744="","",Квартиры!H744)</f>
        <v/>
      </c>
      <c r="I746">
        <f>IF(Квартиры!I744="","",Квартиры!I744)</f>
        <v/>
      </c>
      <c r="J746">
        <f>IF(Квартиры!J744="","",Квартиры!J744)</f>
        <v/>
      </c>
    </row>
    <row r="747">
      <c r="A747">
        <f>IF(Квартиры!A745="","",Квартиры!A745)</f>
        <v/>
      </c>
      <c r="B747">
        <f>IF(Квартиры!B745="","",Квартиры!B745)</f>
        <v/>
      </c>
      <c r="C747">
        <f>IF(Квартиры!C745="","",Квартиры!C745)</f>
        <v/>
      </c>
      <c r="D747">
        <f>IF(Квартиры!D745="","",Квартиры!D745)</f>
        <v/>
      </c>
      <c r="E747">
        <f>IF(Квартиры!G745="","",Квартиры!G745)</f>
        <v/>
      </c>
      <c r="F747">
        <f>IF(Квартиры!E745="","",Квартиры!E745)</f>
        <v/>
      </c>
      <c r="G747">
        <f>IF(Квартиры!F745="","",Квартиры!F745)</f>
        <v/>
      </c>
      <c r="H747">
        <f>IF(Квартиры!H745="","",Квартиры!H745)</f>
        <v/>
      </c>
      <c r="I747">
        <f>IF(Квартиры!I745="","",Квартиры!I745)</f>
        <v/>
      </c>
      <c r="J747">
        <f>IF(Квартиры!J745="","",Квартиры!J745)</f>
        <v/>
      </c>
    </row>
    <row r="748">
      <c r="A748">
        <f>IF(Квартиры!A746="","",Квартиры!A746)</f>
        <v/>
      </c>
      <c r="B748">
        <f>IF(Квартиры!B746="","",Квартиры!B746)</f>
        <v/>
      </c>
      <c r="C748">
        <f>IF(Квартиры!C746="","",Квартиры!C746)</f>
        <v/>
      </c>
      <c r="D748">
        <f>IF(Квартиры!D746="","",Квартиры!D746)</f>
        <v/>
      </c>
      <c r="E748">
        <f>IF(Квартиры!G746="","",Квартиры!G746)</f>
        <v/>
      </c>
      <c r="F748">
        <f>IF(Квартиры!E746="","",Квартиры!E746)</f>
        <v/>
      </c>
      <c r="G748">
        <f>IF(Квартиры!F746="","",Квартиры!F746)</f>
        <v/>
      </c>
      <c r="H748">
        <f>IF(Квартиры!H746="","",Квартиры!H746)</f>
        <v/>
      </c>
      <c r="I748">
        <f>IF(Квартиры!I746="","",Квартиры!I746)</f>
        <v/>
      </c>
      <c r="J748">
        <f>IF(Квартиры!J746="","",Квартиры!J746)</f>
        <v/>
      </c>
    </row>
    <row r="749">
      <c r="A749">
        <f>IF(Квартиры!A747="","",Квартиры!A747)</f>
        <v/>
      </c>
      <c r="B749">
        <f>IF(Квартиры!B747="","",Квартиры!B747)</f>
        <v/>
      </c>
      <c r="C749">
        <f>IF(Квартиры!C747="","",Квартиры!C747)</f>
        <v/>
      </c>
      <c r="D749">
        <f>IF(Квартиры!D747="","",Квартиры!D747)</f>
        <v/>
      </c>
      <c r="E749">
        <f>IF(Квартиры!G747="","",Квартиры!G747)</f>
        <v/>
      </c>
      <c r="F749">
        <f>IF(Квартиры!E747="","",Квартиры!E747)</f>
        <v/>
      </c>
      <c r="G749">
        <f>IF(Квартиры!F747="","",Квартиры!F747)</f>
        <v/>
      </c>
      <c r="H749">
        <f>IF(Квартиры!H747="","",Квартиры!H747)</f>
        <v/>
      </c>
      <c r="I749">
        <f>IF(Квартиры!I747="","",Квартиры!I747)</f>
        <v/>
      </c>
      <c r="J749">
        <f>IF(Квартиры!J747="","",Квартиры!J747)</f>
        <v/>
      </c>
    </row>
    <row r="750">
      <c r="A750">
        <f>IF(Квартиры!A748="","",Квартиры!A748)</f>
        <v/>
      </c>
      <c r="B750">
        <f>IF(Квартиры!B748="","",Квартиры!B748)</f>
        <v/>
      </c>
      <c r="C750">
        <f>IF(Квартиры!C748="","",Квартиры!C748)</f>
        <v/>
      </c>
      <c r="D750">
        <f>IF(Квартиры!D748="","",Квартиры!D748)</f>
        <v/>
      </c>
      <c r="E750">
        <f>IF(Квартиры!G748="","",Квартиры!G748)</f>
        <v/>
      </c>
      <c r="F750">
        <f>IF(Квартиры!E748="","",Квартиры!E748)</f>
        <v/>
      </c>
      <c r="G750">
        <f>IF(Квартиры!F748="","",Квартиры!F748)</f>
        <v/>
      </c>
      <c r="H750">
        <f>IF(Квартиры!H748="","",Квартиры!H748)</f>
        <v/>
      </c>
      <c r="I750">
        <f>IF(Квартиры!I748="","",Квартиры!I748)</f>
        <v/>
      </c>
      <c r="J750">
        <f>IF(Квартиры!J748="","",Квартиры!J748)</f>
        <v/>
      </c>
    </row>
    <row r="751">
      <c r="A751">
        <f>IF(Квартиры!A749="","",Квартиры!A749)</f>
        <v/>
      </c>
      <c r="B751">
        <f>IF(Квартиры!B749="","",Квартиры!B749)</f>
        <v/>
      </c>
      <c r="C751">
        <f>IF(Квартиры!C749="","",Квартиры!C749)</f>
        <v/>
      </c>
      <c r="D751">
        <f>IF(Квартиры!D749="","",Квартиры!D749)</f>
        <v/>
      </c>
      <c r="E751">
        <f>IF(Квартиры!G749="","",Квартиры!G749)</f>
        <v/>
      </c>
      <c r="F751">
        <f>IF(Квартиры!E749="","",Квартиры!E749)</f>
        <v/>
      </c>
      <c r="G751">
        <f>IF(Квартиры!F749="","",Квартиры!F749)</f>
        <v/>
      </c>
      <c r="H751">
        <f>IF(Квартиры!H749="","",Квартиры!H749)</f>
        <v/>
      </c>
      <c r="I751">
        <f>IF(Квартиры!I749="","",Квартиры!I749)</f>
        <v/>
      </c>
      <c r="J751">
        <f>IF(Квартиры!J749="","",Квартиры!J749)</f>
        <v/>
      </c>
    </row>
    <row r="752">
      <c r="A752">
        <f>IF(Квартиры!A750="","",Квартиры!A750)</f>
        <v/>
      </c>
      <c r="B752">
        <f>IF(Квартиры!B750="","",Квартиры!B750)</f>
        <v/>
      </c>
      <c r="C752">
        <f>IF(Квартиры!C750="","",Квартиры!C750)</f>
        <v/>
      </c>
      <c r="D752">
        <f>IF(Квартиры!D750="","",Квартиры!D750)</f>
        <v/>
      </c>
      <c r="E752">
        <f>IF(Квартиры!G750="","",Квартиры!G750)</f>
        <v/>
      </c>
      <c r="F752">
        <f>IF(Квартиры!E750="","",Квартиры!E750)</f>
        <v/>
      </c>
      <c r="G752">
        <f>IF(Квартиры!F750="","",Квартиры!F750)</f>
        <v/>
      </c>
      <c r="H752">
        <f>IF(Квартиры!H750="","",Квартиры!H750)</f>
        <v/>
      </c>
      <c r="I752">
        <f>IF(Квартиры!I750="","",Квартиры!I750)</f>
        <v/>
      </c>
      <c r="J752">
        <f>IF(Квартиры!J750="","",Квартиры!J750)</f>
        <v/>
      </c>
    </row>
    <row r="753">
      <c r="A753">
        <f>IF(Квартиры!A751="","",Квартиры!A751)</f>
        <v/>
      </c>
      <c r="B753">
        <f>IF(Квартиры!B751="","",Квартиры!B751)</f>
        <v/>
      </c>
      <c r="C753">
        <f>IF(Квартиры!C751="","",Квартиры!C751)</f>
        <v/>
      </c>
      <c r="D753">
        <f>IF(Квартиры!D751="","",Квартиры!D751)</f>
        <v/>
      </c>
      <c r="E753">
        <f>IF(Квартиры!G751="","",Квартиры!G751)</f>
        <v/>
      </c>
      <c r="F753">
        <f>IF(Квартиры!E751="","",Квартиры!E751)</f>
        <v/>
      </c>
      <c r="G753">
        <f>IF(Квартиры!F751="","",Квартиры!F751)</f>
        <v/>
      </c>
      <c r="H753">
        <f>IF(Квартиры!H751="","",Квартиры!H751)</f>
        <v/>
      </c>
      <c r="I753">
        <f>IF(Квартиры!I751="","",Квартиры!I751)</f>
        <v/>
      </c>
      <c r="J753">
        <f>IF(Квартиры!J751="","",Квартиры!J751)</f>
        <v/>
      </c>
    </row>
    <row r="754">
      <c r="A754">
        <f>IF(Квартиры!A752="","",Квартиры!A752)</f>
        <v/>
      </c>
      <c r="B754">
        <f>IF(Квартиры!B752="","",Квартиры!B752)</f>
        <v/>
      </c>
      <c r="C754">
        <f>IF(Квартиры!C752="","",Квартиры!C752)</f>
        <v/>
      </c>
      <c r="D754">
        <f>IF(Квартиры!D752="","",Квартиры!D752)</f>
        <v/>
      </c>
      <c r="E754">
        <f>IF(Квартиры!G752="","",Квартиры!G752)</f>
        <v/>
      </c>
      <c r="F754">
        <f>IF(Квартиры!E752="","",Квартиры!E752)</f>
        <v/>
      </c>
      <c r="G754">
        <f>IF(Квартиры!F752="","",Квартиры!F752)</f>
        <v/>
      </c>
      <c r="H754">
        <f>IF(Квартиры!H752="","",Квартиры!H752)</f>
        <v/>
      </c>
      <c r="I754">
        <f>IF(Квартиры!I752="","",Квартиры!I752)</f>
        <v/>
      </c>
      <c r="J754">
        <f>IF(Квартиры!J752="","",Квартиры!J752)</f>
        <v/>
      </c>
    </row>
    <row r="755">
      <c r="A755">
        <f>IF(Квартиры!A753="","",Квартиры!A753)</f>
        <v/>
      </c>
      <c r="B755">
        <f>IF(Квартиры!B753="","",Квартиры!B753)</f>
        <v/>
      </c>
      <c r="C755">
        <f>IF(Квартиры!C753="","",Квартиры!C753)</f>
        <v/>
      </c>
      <c r="D755">
        <f>IF(Квартиры!D753="","",Квартиры!D753)</f>
        <v/>
      </c>
      <c r="E755">
        <f>IF(Квартиры!G753="","",Квартиры!G753)</f>
        <v/>
      </c>
      <c r="F755">
        <f>IF(Квартиры!E753="","",Квартиры!E753)</f>
        <v/>
      </c>
      <c r="G755">
        <f>IF(Квартиры!F753="","",Квартиры!F753)</f>
        <v/>
      </c>
      <c r="H755">
        <f>IF(Квартиры!H753="","",Квартиры!H753)</f>
        <v/>
      </c>
      <c r="I755">
        <f>IF(Квартиры!I753="","",Квартиры!I753)</f>
        <v/>
      </c>
      <c r="J755">
        <f>IF(Квартиры!J753="","",Квартиры!J753)</f>
        <v/>
      </c>
    </row>
    <row r="756">
      <c r="A756">
        <f>IF(Квартиры!A754="","",Квартиры!A754)</f>
        <v/>
      </c>
      <c r="B756">
        <f>IF(Квартиры!B754="","",Квартиры!B754)</f>
        <v/>
      </c>
      <c r="C756">
        <f>IF(Квартиры!C754="","",Квартиры!C754)</f>
        <v/>
      </c>
      <c r="D756">
        <f>IF(Квартиры!D754="","",Квартиры!D754)</f>
        <v/>
      </c>
      <c r="E756">
        <f>IF(Квартиры!G754="","",Квартиры!G754)</f>
        <v/>
      </c>
      <c r="F756">
        <f>IF(Квартиры!E754="","",Квартиры!E754)</f>
        <v/>
      </c>
      <c r="G756">
        <f>IF(Квартиры!F754="","",Квартиры!F754)</f>
        <v/>
      </c>
      <c r="H756">
        <f>IF(Квартиры!H754="","",Квартиры!H754)</f>
        <v/>
      </c>
      <c r="I756">
        <f>IF(Квартиры!I754="","",Квартиры!I754)</f>
        <v/>
      </c>
      <c r="J756">
        <f>IF(Квартиры!J754="","",Квартиры!J754)</f>
        <v/>
      </c>
    </row>
    <row r="757">
      <c r="A757">
        <f>IF(Квартиры!A755="","",Квартиры!A755)</f>
        <v/>
      </c>
      <c r="B757">
        <f>IF(Квартиры!B755="","",Квартиры!B755)</f>
        <v/>
      </c>
      <c r="C757">
        <f>IF(Квартиры!C755="","",Квартиры!C755)</f>
        <v/>
      </c>
      <c r="D757">
        <f>IF(Квартиры!D755="","",Квартиры!D755)</f>
        <v/>
      </c>
      <c r="E757">
        <f>IF(Квартиры!G755="","",Квартиры!G755)</f>
        <v/>
      </c>
      <c r="F757">
        <f>IF(Квартиры!E755="","",Квартиры!E755)</f>
        <v/>
      </c>
      <c r="G757">
        <f>IF(Квартиры!F755="","",Квартиры!F755)</f>
        <v/>
      </c>
      <c r="H757">
        <f>IF(Квартиры!H755="","",Квартиры!H755)</f>
        <v/>
      </c>
      <c r="I757">
        <f>IF(Квартиры!I755="","",Квартиры!I755)</f>
        <v/>
      </c>
      <c r="J757">
        <f>IF(Квартиры!J755="","",Квартиры!J755)</f>
        <v/>
      </c>
    </row>
    <row r="758">
      <c r="A758">
        <f>IF(Квартиры!A756="","",Квартиры!A756)</f>
        <v/>
      </c>
      <c r="B758">
        <f>IF(Квартиры!B756="","",Квартиры!B756)</f>
        <v/>
      </c>
      <c r="C758">
        <f>IF(Квартиры!C756="","",Квартиры!C756)</f>
        <v/>
      </c>
      <c r="D758">
        <f>IF(Квартиры!D756="","",Квартиры!D756)</f>
        <v/>
      </c>
      <c r="E758">
        <f>IF(Квартиры!G756="","",Квартиры!G756)</f>
        <v/>
      </c>
      <c r="F758">
        <f>IF(Квартиры!E756="","",Квартиры!E756)</f>
        <v/>
      </c>
      <c r="G758">
        <f>IF(Квартиры!F756="","",Квартиры!F756)</f>
        <v/>
      </c>
      <c r="H758">
        <f>IF(Квартиры!H756="","",Квартиры!H756)</f>
        <v/>
      </c>
      <c r="I758">
        <f>IF(Квартиры!I756="","",Квартиры!I756)</f>
        <v/>
      </c>
      <c r="J758">
        <f>IF(Квартиры!J756="","",Квартиры!J756)</f>
        <v/>
      </c>
    </row>
    <row r="759">
      <c r="A759">
        <f>IF(Квартиры!A757="","",Квартиры!A757)</f>
        <v/>
      </c>
      <c r="B759">
        <f>IF(Квартиры!B757="","",Квартиры!B757)</f>
        <v/>
      </c>
      <c r="C759">
        <f>IF(Квартиры!C757="","",Квартиры!C757)</f>
        <v/>
      </c>
      <c r="D759">
        <f>IF(Квартиры!D757="","",Квартиры!D757)</f>
        <v/>
      </c>
      <c r="E759">
        <f>IF(Квартиры!G757="","",Квартиры!G757)</f>
        <v/>
      </c>
      <c r="F759">
        <f>IF(Квартиры!E757="","",Квартиры!E757)</f>
        <v/>
      </c>
      <c r="G759">
        <f>IF(Квартиры!F757="","",Квартиры!F757)</f>
        <v/>
      </c>
      <c r="H759">
        <f>IF(Квартиры!H757="","",Квартиры!H757)</f>
        <v/>
      </c>
      <c r="I759">
        <f>IF(Квартиры!I757="","",Квартиры!I757)</f>
        <v/>
      </c>
      <c r="J759">
        <f>IF(Квартиры!J757="","",Квартиры!J757)</f>
        <v/>
      </c>
    </row>
    <row r="760">
      <c r="A760">
        <f>IF(Квартиры!A758="","",Квартиры!A758)</f>
        <v/>
      </c>
      <c r="B760">
        <f>IF(Квартиры!B758="","",Квартиры!B758)</f>
        <v/>
      </c>
      <c r="C760">
        <f>IF(Квартиры!C758="","",Квартиры!C758)</f>
        <v/>
      </c>
      <c r="D760">
        <f>IF(Квартиры!D758="","",Квартиры!D758)</f>
        <v/>
      </c>
      <c r="E760">
        <f>IF(Квартиры!G758="","",Квартиры!G758)</f>
        <v/>
      </c>
      <c r="F760">
        <f>IF(Квартиры!E758="","",Квартиры!E758)</f>
        <v/>
      </c>
      <c r="G760">
        <f>IF(Квартиры!F758="","",Квартиры!F758)</f>
        <v/>
      </c>
      <c r="H760">
        <f>IF(Квартиры!H758="","",Квартиры!H758)</f>
        <v/>
      </c>
      <c r="I760">
        <f>IF(Квартиры!I758="","",Квартиры!I758)</f>
        <v/>
      </c>
      <c r="J760">
        <f>IF(Квартиры!J758="","",Квартиры!J758)</f>
        <v/>
      </c>
    </row>
    <row r="761">
      <c r="A761">
        <f>IF(Квартиры!A759="","",Квартиры!A759)</f>
        <v/>
      </c>
      <c r="B761">
        <f>IF(Квартиры!B759="","",Квартиры!B759)</f>
        <v/>
      </c>
      <c r="C761">
        <f>IF(Квартиры!C759="","",Квартиры!C759)</f>
        <v/>
      </c>
      <c r="D761">
        <f>IF(Квартиры!D759="","",Квартиры!D759)</f>
        <v/>
      </c>
      <c r="E761">
        <f>IF(Квартиры!G759="","",Квартиры!G759)</f>
        <v/>
      </c>
      <c r="F761">
        <f>IF(Квартиры!E759="","",Квартиры!E759)</f>
        <v/>
      </c>
      <c r="G761">
        <f>IF(Квартиры!F759="","",Квартиры!F759)</f>
        <v/>
      </c>
      <c r="H761">
        <f>IF(Квартиры!H759="","",Квартиры!H759)</f>
        <v/>
      </c>
      <c r="I761">
        <f>IF(Квартиры!I759="","",Квартиры!I759)</f>
        <v/>
      </c>
      <c r="J761">
        <f>IF(Квартиры!J759="","",Квартиры!J759)</f>
        <v/>
      </c>
    </row>
    <row r="762">
      <c r="A762">
        <f>IF(Квартиры!A760="","",Квартиры!A760)</f>
        <v/>
      </c>
      <c r="B762">
        <f>IF(Квартиры!B760="","",Квартиры!B760)</f>
        <v/>
      </c>
      <c r="C762">
        <f>IF(Квартиры!C760="","",Квартиры!C760)</f>
        <v/>
      </c>
      <c r="D762">
        <f>IF(Квартиры!D760="","",Квартиры!D760)</f>
        <v/>
      </c>
      <c r="E762">
        <f>IF(Квартиры!G760="","",Квартиры!G760)</f>
        <v/>
      </c>
      <c r="F762">
        <f>IF(Квартиры!E760="","",Квартиры!E760)</f>
        <v/>
      </c>
      <c r="G762">
        <f>IF(Квартиры!F760="","",Квартиры!F760)</f>
        <v/>
      </c>
      <c r="H762">
        <f>IF(Квартиры!H760="","",Квартиры!H760)</f>
        <v/>
      </c>
      <c r="I762">
        <f>IF(Квартиры!I760="","",Квартиры!I760)</f>
        <v/>
      </c>
      <c r="J762">
        <f>IF(Квартиры!J760="","",Квартиры!J760)</f>
        <v/>
      </c>
    </row>
    <row r="763">
      <c r="A763">
        <f>IF(Квартиры!A761="","",Квартиры!A761)</f>
        <v/>
      </c>
      <c r="B763">
        <f>IF(Квартиры!B761="","",Квартиры!B761)</f>
        <v/>
      </c>
      <c r="C763">
        <f>IF(Квартиры!C761="","",Квартиры!C761)</f>
        <v/>
      </c>
      <c r="D763">
        <f>IF(Квартиры!D761="","",Квартиры!D761)</f>
        <v/>
      </c>
      <c r="E763">
        <f>IF(Квартиры!G761="","",Квартиры!G761)</f>
        <v/>
      </c>
      <c r="F763">
        <f>IF(Квартиры!E761="","",Квартиры!E761)</f>
        <v/>
      </c>
      <c r="G763">
        <f>IF(Квартиры!F761="","",Квартиры!F761)</f>
        <v/>
      </c>
      <c r="H763">
        <f>IF(Квартиры!H761="","",Квартиры!H761)</f>
        <v/>
      </c>
      <c r="I763">
        <f>IF(Квартиры!I761="","",Квартиры!I761)</f>
        <v/>
      </c>
      <c r="J763">
        <f>IF(Квартиры!J761="","",Квартиры!J761)</f>
        <v/>
      </c>
    </row>
    <row r="764">
      <c r="A764">
        <f>IF(Квартиры!A762="","",Квартиры!A762)</f>
        <v/>
      </c>
      <c r="B764">
        <f>IF(Квартиры!B762="","",Квартиры!B762)</f>
        <v/>
      </c>
      <c r="C764">
        <f>IF(Квартиры!C762="","",Квартиры!C762)</f>
        <v/>
      </c>
      <c r="D764">
        <f>IF(Квартиры!D762="","",Квартиры!D762)</f>
        <v/>
      </c>
      <c r="E764">
        <f>IF(Квартиры!G762="","",Квартиры!G762)</f>
        <v/>
      </c>
      <c r="F764">
        <f>IF(Квартиры!E762="","",Квартиры!E762)</f>
        <v/>
      </c>
      <c r="G764">
        <f>IF(Квартиры!F762="","",Квартиры!F762)</f>
        <v/>
      </c>
      <c r="H764">
        <f>IF(Квартиры!H762="","",Квартиры!H762)</f>
        <v/>
      </c>
      <c r="I764">
        <f>IF(Квартиры!I762="","",Квартиры!I762)</f>
        <v/>
      </c>
      <c r="J764">
        <f>IF(Квартиры!J762="","",Квартиры!J762)</f>
        <v/>
      </c>
    </row>
    <row r="765">
      <c r="A765">
        <f>IF(Квартиры!A763="","",Квартиры!A763)</f>
        <v/>
      </c>
      <c r="B765">
        <f>IF(Квартиры!B763="","",Квартиры!B763)</f>
        <v/>
      </c>
      <c r="C765">
        <f>IF(Квартиры!C763="","",Квартиры!C763)</f>
        <v/>
      </c>
      <c r="D765">
        <f>IF(Квартиры!D763="","",Квартиры!D763)</f>
        <v/>
      </c>
      <c r="E765">
        <f>IF(Квартиры!G763="","",Квартиры!G763)</f>
        <v/>
      </c>
      <c r="F765">
        <f>IF(Квартиры!E763="","",Квартиры!E763)</f>
        <v/>
      </c>
      <c r="G765">
        <f>IF(Квартиры!F763="","",Квартиры!F763)</f>
        <v/>
      </c>
      <c r="H765">
        <f>IF(Квартиры!H763="","",Квартиры!H763)</f>
        <v/>
      </c>
      <c r="I765">
        <f>IF(Квартиры!I763="","",Квартиры!I763)</f>
        <v/>
      </c>
      <c r="J765">
        <f>IF(Квартиры!J763="","",Квартиры!J763)</f>
        <v/>
      </c>
    </row>
    <row r="766">
      <c r="A766">
        <f>IF(Квартиры!A764="","",Квартиры!A764)</f>
        <v/>
      </c>
      <c r="B766">
        <f>IF(Квартиры!B764="","",Квартиры!B764)</f>
        <v/>
      </c>
      <c r="C766">
        <f>IF(Квартиры!C764="","",Квартиры!C764)</f>
        <v/>
      </c>
      <c r="D766">
        <f>IF(Квартиры!D764="","",Квартиры!D764)</f>
        <v/>
      </c>
      <c r="E766">
        <f>IF(Квартиры!G764="","",Квартиры!G764)</f>
        <v/>
      </c>
      <c r="F766">
        <f>IF(Квартиры!E764="","",Квартиры!E764)</f>
        <v/>
      </c>
      <c r="G766">
        <f>IF(Квартиры!F764="","",Квартиры!F764)</f>
        <v/>
      </c>
      <c r="H766">
        <f>IF(Квартиры!H764="","",Квартиры!H764)</f>
        <v/>
      </c>
      <c r="I766">
        <f>IF(Квартиры!I764="","",Квартиры!I764)</f>
        <v/>
      </c>
      <c r="J766">
        <f>IF(Квартиры!J764="","",Квартиры!J764)</f>
        <v/>
      </c>
    </row>
    <row r="767">
      <c r="A767">
        <f>IF(Квартиры!A765="","",Квартиры!A765)</f>
        <v/>
      </c>
      <c r="B767">
        <f>IF(Квартиры!B765="","",Квартиры!B765)</f>
        <v/>
      </c>
      <c r="C767">
        <f>IF(Квартиры!C765="","",Квартиры!C765)</f>
        <v/>
      </c>
      <c r="D767">
        <f>IF(Квартиры!D765="","",Квартиры!D765)</f>
        <v/>
      </c>
      <c r="E767">
        <f>IF(Квартиры!G765="","",Квартиры!G765)</f>
        <v/>
      </c>
      <c r="F767">
        <f>IF(Квартиры!E765="","",Квартиры!E765)</f>
        <v/>
      </c>
      <c r="G767">
        <f>IF(Квартиры!F765="","",Квартиры!F765)</f>
        <v/>
      </c>
      <c r="H767">
        <f>IF(Квартиры!H765="","",Квартиры!H765)</f>
        <v/>
      </c>
      <c r="I767">
        <f>IF(Квартиры!I765="","",Квартиры!I765)</f>
        <v/>
      </c>
      <c r="J767">
        <f>IF(Квартиры!J765="","",Квартиры!J765)</f>
        <v/>
      </c>
    </row>
    <row r="768">
      <c r="A768">
        <f>IF(Квартиры!A766="","",Квартиры!A766)</f>
        <v/>
      </c>
      <c r="B768">
        <f>IF(Квартиры!B766="","",Квартиры!B766)</f>
        <v/>
      </c>
      <c r="C768">
        <f>IF(Квартиры!C766="","",Квартиры!C766)</f>
        <v/>
      </c>
      <c r="D768">
        <f>IF(Квартиры!D766="","",Квартиры!D766)</f>
        <v/>
      </c>
      <c r="E768">
        <f>IF(Квартиры!G766="","",Квартиры!G766)</f>
        <v/>
      </c>
      <c r="F768">
        <f>IF(Квартиры!E766="","",Квартиры!E766)</f>
        <v/>
      </c>
      <c r="G768">
        <f>IF(Квартиры!F766="","",Квартиры!F766)</f>
        <v/>
      </c>
      <c r="H768">
        <f>IF(Квартиры!H766="","",Квартиры!H766)</f>
        <v/>
      </c>
      <c r="I768">
        <f>IF(Квартиры!I766="","",Квартиры!I766)</f>
        <v/>
      </c>
      <c r="J768">
        <f>IF(Квартиры!J766="","",Квартиры!J766)</f>
        <v/>
      </c>
    </row>
    <row r="769">
      <c r="A769">
        <f>IF(Квартиры!A767="","",Квартиры!A767)</f>
        <v/>
      </c>
      <c r="B769">
        <f>IF(Квартиры!B767="","",Квартиры!B767)</f>
        <v/>
      </c>
      <c r="C769">
        <f>IF(Квартиры!C767="","",Квартиры!C767)</f>
        <v/>
      </c>
      <c r="D769">
        <f>IF(Квартиры!D767="","",Квартиры!D767)</f>
        <v/>
      </c>
      <c r="E769">
        <f>IF(Квартиры!G767="","",Квартиры!G767)</f>
        <v/>
      </c>
      <c r="F769">
        <f>IF(Квартиры!E767="","",Квартиры!E767)</f>
        <v/>
      </c>
      <c r="G769">
        <f>IF(Квартиры!F767="","",Квартиры!F767)</f>
        <v/>
      </c>
      <c r="H769">
        <f>IF(Квартиры!H767="","",Квартиры!H767)</f>
        <v/>
      </c>
      <c r="I769">
        <f>IF(Квартиры!I767="","",Квартиры!I767)</f>
        <v/>
      </c>
      <c r="J769">
        <f>IF(Квартиры!J767="","",Квартиры!J767)</f>
        <v/>
      </c>
    </row>
    <row r="770">
      <c r="A770">
        <f>IF(Квартиры!A768="","",Квартиры!A768)</f>
        <v/>
      </c>
      <c r="B770">
        <f>IF(Квартиры!B768="","",Квартиры!B768)</f>
        <v/>
      </c>
      <c r="C770">
        <f>IF(Квартиры!C768="","",Квартиры!C768)</f>
        <v/>
      </c>
      <c r="D770">
        <f>IF(Квартиры!D768="","",Квартиры!D768)</f>
        <v/>
      </c>
      <c r="E770">
        <f>IF(Квартиры!G768="","",Квартиры!G768)</f>
        <v/>
      </c>
      <c r="F770">
        <f>IF(Квартиры!E768="","",Квартиры!E768)</f>
        <v/>
      </c>
      <c r="G770">
        <f>IF(Квартиры!F768="","",Квартиры!F768)</f>
        <v/>
      </c>
      <c r="H770">
        <f>IF(Квартиры!H768="","",Квартиры!H768)</f>
        <v/>
      </c>
      <c r="I770">
        <f>IF(Квартиры!I768="","",Квартиры!I768)</f>
        <v/>
      </c>
      <c r="J770">
        <f>IF(Квартиры!J768="","",Квартиры!J768)</f>
        <v/>
      </c>
    </row>
    <row r="771">
      <c r="A771">
        <f>IF(Квартиры!A769="","",Квартиры!A769)</f>
        <v/>
      </c>
      <c r="B771">
        <f>IF(Квартиры!B769="","",Квартиры!B769)</f>
        <v/>
      </c>
      <c r="C771">
        <f>IF(Квартиры!C769="","",Квартиры!C769)</f>
        <v/>
      </c>
      <c r="D771">
        <f>IF(Квартиры!D769="","",Квартиры!D769)</f>
        <v/>
      </c>
      <c r="E771">
        <f>IF(Квартиры!G769="","",Квартиры!G769)</f>
        <v/>
      </c>
      <c r="F771">
        <f>IF(Квартиры!E769="","",Квартиры!E769)</f>
        <v/>
      </c>
      <c r="G771">
        <f>IF(Квартиры!F769="","",Квартиры!F769)</f>
        <v/>
      </c>
      <c r="H771">
        <f>IF(Квартиры!H769="","",Квартиры!H769)</f>
        <v/>
      </c>
      <c r="I771">
        <f>IF(Квартиры!I769="","",Квартиры!I769)</f>
        <v/>
      </c>
      <c r="J771">
        <f>IF(Квартиры!J769="","",Квартиры!J769)</f>
        <v/>
      </c>
    </row>
    <row r="772">
      <c r="A772">
        <f>IF(Квартиры!A770="","",Квартиры!A770)</f>
        <v/>
      </c>
      <c r="B772">
        <f>IF(Квартиры!B770="","",Квартиры!B770)</f>
        <v/>
      </c>
      <c r="C772">
        <f>IF(Квартиры!C770="","",Квартиры!C770)</f>
        <v/>
      </c>
      <c r="D772">
        <f>IF(Квартиры!D770="","",Квартиры!D770)</f>
        <v/>
      </c>
      <c r="E772">
        <f>IF(Квартиры!G770="","",Квартиры!G770)</f>
        <v/>
      </c>
      <c r="F772">
        <f>IF(Квартиры!E770="","",Квартиры!E770)</f>
        <v/>
      </c>
      <c r="G772">
        <f>IF(Квартиры!F770="","",Квартиры!F770)</f>
        <v/>
      </c>
      <c r="H772">
        <f>IF(Квартиры!H770="","",Квартиры!H770)</f>
        <v/>
      </c>
      <c r="I772">
        <f>IF(Квартиры!I770="","",Квартиры!I770)</f>
        <v/>
      </c>
      <c r="J772">
        <f>IF(Квартиры!J770="","",Квартиры!J770)</f>
        <v/>
      </c>
    </row>
    <row r="773">
      <c r="A773">
        <f>IF(Квартиры!A771="","",Квартиры!A771)</f>
        <v/>
      </c>
      <c r="B773">
        <f>IF(Квартиры!B771="","",Квартиры!B771)</f>
        <v/>
      </c>
      <c r="C773">
        <f>IF(Квартиры!C771="","",Квартиры!C771)</f>
        <v/>
      </c>
      <c r="D773">
        <f>IF(Квартиры!D771="","",Квартиры!D771)</f>
        <v/>
      </c>
      <c r="E773">
        <f>IF(Квартиры!G771="","",Квартиры!G771)</f>
        <v/>
      </c>
      <c r="F773">
        <f>IF(Квартиры!E771="","",Квартиры!E771)</f>
        <v/>
      </c>
      <c r="G773">
        <f>IF(Квартиры!F771="","",Квартиры!F771)</f>
        <v/>
      </c>
      <c r="H773">
        <f>IF(Квартиры!H771="","",Квартиры!H771)</f>
        <v/>
      </c>
      <c r="I773">
        <f>IF(Квартиры!I771="","",Квартиры!I771)</f>
        <v/>
      </c>
      <c r="J773">
        <f>IF(Квартиры!J771="","",Квартиры!J771)</f>
        <v/>
      </c>
    </row>
    <row r="774">
      <c r="A774">
        <f>IF(Квартиры!A772="","",Квартиры!A772)</f>
        <v/>
      </c>
      <c r="B774">
        <f>IF(Квартиры!B772="","",Квартиры!B772)</f>
        <v/>
      </c>
      <c r="C774">
        <f>IF(Квартиры!C772="","",Квартиры!C772)</f>
        <v/>
      </c>
      <c r="D774">
        <f>IF(Квартиры!D772="","",Квартиры!D772)</f>
        <v/>
      </c>
      <c r="E774">
        <f>IF(Квартиры!G772="","",Квартиры!G772)</f>
        <v/>
      </c>
      <c r="F774">
        <f>IF(Квартиры!E772="","",Квартиры!E772)</f>
        <v/>
      </c>
      <c r="G774">
        <f>IF(Квартиры!F772="","",Квартиры!F772)</f>
        <v/>
      </c>
      <c r="H774">
        <f>IF(Квартиры!H772="","",Квартиры!H772)</f>
        <v/>
      </c>
      <c r="I774">
        <f>IF(Квартиры!I772="","",Квартиры!I772)</f>
        <v/>
      </c>
      <c r="J774">
        <f>IF(Квартиры!J772="","",Квартиры!J772)</f>
        <v/>
      </c>
    </row>
    <row r="775">
      <c r="A775">
        <f>IF(Квартиры!A773="","",Квартиры!A773)</f>
        <v/>
      </c>
      <c r="B775">
        <f>IF(Квартиры!B773="","",Квартиры!B773)</f>
        <v/>
      </c>
      <c r="C775">
        <f>IF(Квартиры!C773="","",Квартиры!C773)</f>
        <v/>
      </c>
      <c r="D775">
        <f>IF(Квартиры!D773="","",Квартиры!D773)</f>
        <v/>
      </c>
      <c r="E775">
        <f>IF(Квартиры!G773="","",Квартиры!G773)</f>
        <v/>
      </c>
      <c r="F775">
        <f>IF(Квартиры!E773="","",Квартиры!E773)</f>
        <v/>
      </c>
      <c r="G775">
        <f>IF(Квартиры!F773="","",Квартиры!F773)</f>
        <v/>
      </c>
      <c r="H775">
        <f>IF(Квартиры!H773="","",Квартиры!H773)</f>
        <v/>
      </c>
      <c r="I775">
        <f>IF(Квартиры!I773="","",Квартиры!I773)</f>
        <v/>
      </c>
      <c r="J775">
        <f>IF(Квартиры!J773="","",Квартиры!J773)</f>
        <v/>
      </c>
    </row>
    <row r="776">
      <c r="A776">
        <f>IF(Квартиры!A774="","",Квартиры!A774)</f>
        <v/>
      </c>
      <c r="B776">
        <f>IF(Квартиры!B774="","",Квартиры!B774)</f>
        <v/>
      </c>
      <c r="C776">
        <f>IF(Квартиры!C774="","",Квартиры!C774)</f>
        <v/>
      </c>
      <c r="D776">
        <f>IF(Квартиры!D774="","",Квартиры!D774)</f>
        <v/>
      </c>
      <c r="E776">
        <f>IF(Квартиры!G774="","",Квартиры!G774)</f>
        <v/>
      </c>
      <c r="F776">
        <f>IF(Квартиры!E774="","",Квартиры!E774)</f>
        <v/>
      </c>
      <c r="G776">
        <f>IF(Квартиры!F774="","",Квартиры!F774)</f>
        <v/>
      </c>
      <c r="H776">
        <f>IF(Квартиры!H774="","",Квартиры!H774)</f>
        <v/>
      </c>
      <c r="I776">
        <f>IF(Квартиры!I774="","",Квартиры!I774)</f>
        <v/>
      </c>
      <c r="J776">
        <f>IF(Квартиры!J774="","",Квартиры!J774)</f>
        <v/>
      </c>
    </row>
    <row r="777">
      <c r="A777">
        <f>IF(Квартиры!A775="","",Квартиры!A775)</f>
        <v/>
      </c>
      <c r="B777">
        <f>IF(Квартиры!B775="","",Квартиры!B775)</f>
        <v/>
      </c>
      <c r="C777">
        <f>IF(Квартиры!C775="","",Квартиры!C775)</f>
        <v/>
      </c>
      <c r="D777">
        <f>IF(Квартиры!D775="","",Квартиры!D775)</f>
        <v/>
      </c>
      <c r="E777">
        <f>IF(Квартиры!G775="","",Квартиры!G775)</f>
        <v/>
      </c>
      <c r="F777">
        <f>IF(Квартиры!E775="","",Квартиры!E775)</f>
        <v/>
      </c>
      <c r="G777">
        <f>IF(Квартиры!F775="","",Квартиры!F775)</f>
        <v/>
      </c>
      <c r="H777">
        <f>IF(Квартиры!H775="","",Квартиры!H775)</f>
        <v/>
      </c>
      <c r="I777">
        <f>IF(Квартиры!I775="","",Квартиры!I775)</f>
        <v/>
      </c>
      <c r="J777">
        <f>IF(Квартиры!J775="","",Квартиры!J775)</f>
        <v/>
      </c>
    </row>
    <row r="778">
      <c r="A778">
        <f>IF(Квартиры!A776="","",Квартиры!A776)</f>
        <v/>
      </c>
      <c r="B778">
        <f>IF(Квартиры!B776="","",Квартиры!B776)</f>
        <v/>
      </c>
      <c r="C778">
        <f>IF(Квартиры!C776="","",Квартиры!C776)</f>
        <v/>
      </c>
      <c r="D778">
        <f>IF(Квартиры!D776="","",Квартиры!D776)</f>
        <v/>
      </c>
      <c r="E778">
        <f>IF(Квартиры!G776="","",Квартиры!G776)</f>
        <v/>
      </c>
      <c r="F778">
        <f>IF(Квартиры!E776="","",Квартиры!E776)</f>
        <v/>
      </c>
      <c r="G778">
        <f>IF(Квартиры!F776="","",Квартиры!F776)</f>
        <v/>
      </c>
      <c r="H778">
        <f>IF(Квартиры!H776="","",Квартиры!H776)</f>
        <v/>
      </c>
      <c r="I778">
        <f>IF(Квартиры!I776="","",Квартиры!I776)</f>
        <v/>
      </c>
      <c r="J778">
        <f>IF(Квартиры!J776="","",Квартиры!J776)</f>
        <v/>
      </c>
    </row>
    <row r="779">
      <c r="A779">
        <f>IF(Квартиры!A777="","",Квартиры!A777)</f>
        <v/>
      </c>
      <c r="B779">
        <f>IF(Квартиры!B777="","",Квартиры!B777)</f>
        <v/>
      </c>
      <c r="C779">
        <f>IF(Квартиры!C777="","",Квартиры!C777)</f>
        <v/>
      </c>
      <c r="D779">
        <f>IF(Квартиры!D777="","",Квартиры!D777)</f>
        <v/>
      </c>
      <c r="E779">
        <f>IF(Квартиры!G777="","",Квартиры!G777)</f>
        <v/>
      </c>
      <c r="F779">
        <f>IF(Квартиры!E777="","",Квартиры!E777)</f>
        <v/>
      </c>
      <c r="G779">
        <f>IF(Квартиры!F777="","",Квартиры!F777)</f>
        <v/>
      </c>
      <c r="H779">
        <f>IF(Квартиры!H777="","",Квартиры!H777)</f>
        <v/>
      </c>
      <c r="I779">
        <f>IF(Квартиры!I777="","",Квартиры!I777)</f>
        <v/>
      </c>
      <c r="J779">
        <f>IF(Квартиры!J777="","",Квартиры!J777)</f>
        <v/>
      </c>
    </row>
    <row r="780">
      <c r="A780">
        <f>IF(Квартиры!A778="","",Квартиры!A778)</f>
        <v/>
      </c>
      <c r="B780">
        <f>IF(Квартиры!B778="","",Квартиры!B778)</f>
        <v/>
      </c>
      <c r="C780">
        <f>IF(Квартиры!C778="","",Квартиры!C778)</f>
        <v/>
      </c>
      <c r="D780">
        <f>IF(Квартиры!D778="","",Квартиры!D778)</f>
        <v/>
      </c>
      <c r="E780">
        <f>IF(Квартиры!G778="","",Квартиры!G778)</f>
        <v/>
      </c>
      <c r="F780">
        <f>IF(Квартиры!E778="","",Квартиры!E778)</f>
        <v/>
      </c>
      <c r="G780">
        <f>IF(Квартиры!F778="","",Квартиры!F778)</f>
        <v/>
      </c>
      <c r="H780">
        <f>IF(Квартиры!H778="","",Квартиры!H778)</f>
        <v/>
      </c>
      <c r="I780">
        <f>IF(Квартиры!I778="","",Квартиры!I778)</f>
        <v/>
      </c>
      <c r="J780">
        <f>IF(Квартиры!J778="","",Квартиры!J778)</f>
        <v/>
      </c>
    </row>
    <row r="781">
      <c r="A781">
        <f>IF(Квартиры!A779="","",Квартиры!A779)</f>
        <v/>
      </c>
      <c r="B781">
        <f>IF(Квартиры!B779="","",Квартиры!B779)</f>
        <v/>
      </c>
      <c r="C781">
        <f>IF(Квартиры!C779="","",Квартиры!C779)</f>
        <v/>
      </c>
      <c r="D781">
        <f>IF(Квартиры!D779="","",Квартиры!D779)</f>
        <v/>
      </c>
      <c r="E781">
        <f>IF(Квартиры!G779="","",Квартиры!G779)</f>
        <v/>
      </c>
      <c r="F781">
        <f>IF(Квартиры!E779="","",Квартиры!E779)</f>
        <v/>
      </c>
      <c r="G781">
        <f>IF(Квартиры!F779="","",Квартиры!F779)</f>
        <v/>
      </c>
      <c r="H781">
        <f>IF(Квартиры!H779="","",Квартиры!H779)</f>
        <v/>
      </c>
      <c r="I781">
        <f>IF(Квартиры!I779="","",Квартиры!I779)</f>
        <v/>
      </c>
      <c r="J781">
        <f>IF(Квартиры!J779="","",Квартиры!J779)</f>
        <v/>
      </c>
    </row>
    <row r="782">
      <c r="A782">
        <f>IF(Квартиры!A780="","",Квартиры!A780)</f>
        <v/>
      </c>
      <c r="B782">
        <f>IF(Квартиры!B780="","",Квартиры!B780)</f>
        <v/>
      </c>
      <c r="C782">
        <f>IF(Квартиры!C780="","",Квартиры!C780)</f>
        <v/>
      </c>
      <c r="D782">
        <f>IF(Квартиры!D780="","",Квартиры!D780)</f>
        <v/>
      </c>
      <c r="E782">
        <f>IF(Квартиры!G780="","",Квартиры!G780)</f>
        <v/>
      </c>
      <c r="F782">
        <f>IF(Квартиры!E780="","",Квартиры!E780)</f>
        <v/>
      </c>
      <c r="G782">
        <f>IF(Квартиры!F780="","",Квартиры!F780)</f>
        <v/>
      </c>
      <c r="H782">
        <f>IF(Квартиры!H780="","",Квартиры!H780)</f>
        <v/>
      </c>
      <c r="I782">
        <f>IF(Квартиры!I780="","",Квартиры!I780)</f>
        <v/>
      </c>
      <c r="J782">
        <f>IF(Квартиры!J780="","",Квартиры!J780)</f>
        <v/>
      </c>
    </row>
    <row r="783">
      <c r="A783">
        <f>IF(Квартиры!A781="","",Квартиры!A781)</f>
        <v/>
      </c>
      <c r="B783">
        <f>IF(Квартиры!B781="","",Квартиры!B781)</f>
        <v/>
      </c>
      <c r="C783">
        <f>IF(Квартиры!C781="","",Квартиры!C781)</f>
        <v/>
      </c>
      <c r="D783">
        <f>IF(Квартиры!D781="","",Квартиры!D781)</f>
        <v/>
      </c>
      <c r="E783">
        <f>IF(Квартиры!G781="","",Квартиры!G781)</f>
        <v/>
      </c>
      <c r="F783">
        <f>IF(Квартиры!E781="","",Квартиры!E781)</f>
        <v/>
      </c>
      <c r="G783">
        <f>IF(Квартиры!F781="","",Квартиры!F781)</f>
        <v/>
      </c>
      <c r="H783">
        <f>IF(Квартиры!H781="","",Квартиры!H781)</f>
        <v/>
      </c>
      <c r="I783">
        <f>IF(Квартиры!I781="","",Квартиры!I781)</f>
        <v/>
      </c>
      <c r="J783">
        <f>IF(Квартиры!J781="","",Квартиры!J781)</f>
        <v/>
      </c>
    </row>
    <row r="784">
      <c r="A784">
        <f>IF(Квартиры!A782="","",Квартиры!A782)</f>
        <v/>
      </c>
      <c r="B784">
        <f>IF(Квартиры!B782="","",Квартиры!B782)</f>
        <v/>
      </c>
      <c r="C784">
        <f>IF(Квартиры!C782="","",Квартиры!C782)</f>
        <v/>
      </c>
      <c r="D784">
        <f>IF(Квартиры!D782="","",Квартиры!D782)</f>
        <v/>
      </c>
      <c r="E784">
        <f>IF(Квартиры!G782="","",Квартиры!G782)</f>
        <v/>
      </c>
      <c r="F784">
        <f>IF(Квартиры!E782="","",Квартиры!E782)</f>
        <v/>
      </c>
      <c r="G784">
        <f>IF(Квартиры!F782="","",Квартиры!F782)</f>
        <v/>
      </c>
      <c r="H784">
        <f>IF(Квартиры!H782="","",Квартиры!H782)</f>
        <v/>
      </c>
      <c r="I784">
        <f>IF(Квартиры!I782="","",Квартиры!I782)</f>
        <v/>
      </c>
      <c r="J784">
        <f>IF(Квартиры!J782="","",Квартиры!J782)</f>
        <v/>
      </c>
    </row>
    <row r="785">
      <c r="A785">
        <f>IF(Квартиры!A783="","",Квартиры!A783)</f>
        <v/>
      </c>
      <c r="B785">
        <f>IF(Квартиры!B783="","",Квартиры!B783)</f>
        <v/>
      </c>
      <c r="C785">
        <f>IF(Квартиры!C783="","",Квартиры!C783)</f>
        <v/>
      </c>
      <c r="D785">
        <f>IF(Квартиры!D783="","",Квартиры!D783)</f>
        <v/>
      </c>
      <c r="E785">
        <f>IF(Квартиры!G783="","",Квартиры!G783)</f>
        <v/>
      </c>
      <c r="F785">
        <f>IF(Квартиры!E783="","",Квартиры!E783)</f>
        <v/>
      </c>
      <c r="G785">
        <f>IF(Квартиры!F783="","",Квартиры!F783)</f>
        <v/>
      </c>
      <c r="H785">
        <f>IF(Квартиры!H783="","",Квартиры!H783)</f>
        <v/>
      </c>
      <c r="I785">
        <f>IF(Квартиры!I783="","",Квартиры!I783)</f>
        <v/>
      </c>
      <c r="J785">
        <f>IF(Квартиры!J783="","",Квартиры!J783)</f>
        <v/>
      </c>
    </row>
    <row r="786">
      <c r="A786">
        <f>IF(Квартиры!A784="","",Квартиры!A784)</f>
        <v/>
      </c>
      <c r="B786">
        <f>IF(Квартиры!B784="","",Квартиры!B784)</f>
        <v/>
      </c>
      <c r="C786">
        <f>IF(Квартиры!C784="","",Квартиры!C784)</f>
        <v/>
      </c>
      <c r="D786">
        <f>IF(Квартиры!D784="","",Квартиры!D784)</f>
        <v/>
      </c>
      <c r="E786">
        <f>IF(Квартиры!G784="","",Квартиры!G784)</f>
        <v/>
      </c>
      <c r="F786">
        <f>IF(Квартиры!E784="","",Квартиры!E784)</f>
        <v/>
      </c>
      <c r="G786">
        <f>IF(Квартиры!F784="","",Квартиры!F784)</f>
        <v/>
      </c>
      <c r="H786">
        <f>IF(Квартиры!H784="","",Квартиры!H784)</f>
        <v/>
      </c>
      <c r="I786">
        <f>IF(Квартиры!I784="","",Квартиры!I784)</f>
        <v/>
      </c>
      <c r="J786">
        <f>IF(Квартиры!J784="","",Квартиры!J784)</f>
        <v/>
      </c>
    </row>
    <row r="787">
      <c r="A787">
        <f>IF(Квартиры!A785="","",Квартиры!A785)</f>
        <v/>
      </c>
      <c r="B787">
        <f>IF(Квартиры!B785="","",Квартиры!B785)</f>
        <v/>
      </c>
      <c r="C787">
        <f>IF(Квартиры!C785="","",Квартиры!C785)</f>
        <v/>
      </c>
      <c r="D787">
        <f>IF(Квартиры!D785="","",Квартиры!D785)</f>
        <v/>
      </c>
      <c r="E787">
        <f>IF(Квартиры!G785="","",Квартиры!G785)</f>
        <v/>
      </c>
      <c r="F787">
        <f>IF(Квартиры!E785="","",Квартиры!E785)</f>
        <v/>
      </c>
      <c r="G787">
        <f>IF(Квартиры!F785="","",Квартиры!F785)</f>
        <v/>
      </c>
      <c r="H787">
        <f>IF(Квартиры!H785="","",Квартиры!H785)</f>
        <v/>
      </c>
      <c r="I787">
        <f>IF(Квартиры!I785="","",Квартиры!I785)</f>
        <v/>
      </c>
      <c r="J787">
        <f>IF(Квартиры!J785="","",Квартиры!J785)</f>
        <v/>
      </c>
    </row>
    <row r="788">
      <c r="A788">
        <f>IF(Квартиры!A786="","",Квартиры!A786)</f>
        <v/>
      </c>
      <c r="B788">
        <f>IF(Квартиры!B786="","",Квартиры!B786)</f>
        <v/>
      </c>
      <c r="C788">
        <f>IF(Квартиры!C786="","",Квартиры!C786)</f>
        <v/>
      </c>
      <c r="D788">
        <f>IF(Квартиры!D786="","",Квартиры!D786)</f>
        <v/>
      </c>
      <c r="E788">
        <f>IF(Квартиры!G786="","",Квартиры!G786)</f>
        <v/>
      </c>
      <c r="F788">
        <f>IF(Квартиры!E786="","",Квартиры!E786)</f>
        <v/>
      </c>
      <c r="G788">
        <f>IF(Квартиры!F786="","",Квартиры!F786)</f>
        <v/>
      </c>
      <c r="H788">
        <f>IF(Квартиры!H786="","",Квартиры!H786)</f>
        <v/>
      </c>
      <c r="I788">
        <f>IF(Квартиры!I786="","",Квартиры!I786)</f>
        <v/>
      </c>
      <c r="J788">
        <f>IF(Квартиры!J786="","",Квартиры!J786)</f>
        <v/>
      </c>
    </row>
    <row r="789">
      <c r="A789">
        <f>IF(Квартиры!A787="","",Квартиры!A787)</f>
        <v/>
      </c>
      <c r="B789">
        <f>IF(Квартиры!B787="","",Квартиры!B787)</f>
        <v/>
      </c>
      <c r="C789">
        <f>IF(Квартиры!C787="","",Квартиры!C787)</f>
        <v/>
      </c>
      <c r="D789">
        <f>IF(Квартиры!D787="","",Квартиры!D787)</f>
        <v/>
      </c>
      <c r="E789">
        <f>IF(Квартиры!G787="","",Квартиры!G787)</f>
        <v/>
      </c>
      <c r="F789">
        <f>IF(Квартиры!E787="","",Квартиры!E787)</f>
        <v/>
      </c>
      <c r="G789">
        <f>IF(Квартиры!F787="","",Квартиры!F787)</f>
        <v/>
      </c>
      <c r="H789">
        <f>IF(Квартиры!H787="","",Квартиры!H787)</f>
        <v/>
      </c>
      <c r="I789">
        <f>IF(Квартиры!I787="","",Квартиры!I787)</f>
        <v/>
      </c>
      <c r="J789">
        <f>IF(Квартиры!J787="","",Квартиры!J787)</f>
        <v/>
      </c>
    </row>
    <row r="790">
      <c r="A790">
        <f>IF(Квартиры!A788="","",Квартиры!A788)</f>
        <v/>
      </c>
      <c r="B790">
        <f>IF(Квартиры!B788="","",Квартиры!B788)</f>
        <v/>
      </c>
      <c r="C790">
        <f>IF(Квартиры!C788="","",Квартиры!C788)</f>
        <v/>
      </c>
      <c r="D790">
        <f>IF(Квартиры!D788="","",Квартиры!D788)</f>
        <v/>
      </c>
      <c r="E790">
        <f>IF(Квартиры!G788="","",Квартиры!G788)</f>
        <v/>
      </c>
      <c r="F790">
        <f>IF(Квартиры!E788="","",Квартиры!E788)</f>
        <v/>
      </c>
      <c r="G790">
        <f>IF(Квартиры!F788="","",Квартиры!F788)</f>
        <v/>
      </c>
      <c r="H790">
        <f>IF(Квартиры!H788="","",Квартиры!H788)</f>
        <v/>
      </c>
      <c r="I790">
        <f>IF(Квартиры!I788="","",Квартиры!I788)</f>
        <v/>
      </c>
      <c r="J790">
        <f>IF(Квартиры!J788="","",Квартиры!J788)</f>
        <v/>
      </c>
    </row>
    <row r="791">
      <c r="A791">
        <f>IF(Квартиры!A789="","",Квартиры!A789)</f>
        <v/>
      </c>
      <c r="B791">
        <f>IF(Квартиры!B789="","",Квартиры!B789)</f>
        <v/>
      </c>
      <c r="C791">
        <f>IF(Квартиры!C789="","",Квартиры!C789)</f>
        <v/>
      </c>
      <c r="D791">
        <f>IF(Квартиры!D789="","",Квартиры!D789)</f>
        <v/>
      </c>
      <c r="E791">
        <f>IF(Квартиры!G789="","",Квартиры!G789)</f>
        <v/>
      </c>
      <c r="F791">
        <f>IF(Квартиры!E789="","",Квартиры!E789)</f>
        <v/>
      </c>
      <c r="G791">
        <f>IF(Квартиры!F789="","",Квартиры!F789)</f>
        <v/>
      </c>
      <c r="H791">
        <f>IF(Квартиры!H789="","",Квартиры!H789)</f>
        <v/>
      </c>
      <c r="I791">
        <f>IF(Квартиры!I789="","",Квартиры!I789)</f>
        <v/>
      </c>
      <c r="J791">
        <f>IF(Квартиры!J789="","",Квартиры!J789)</f>
        <v/>
      </c>
    </row>
    <row r="792">
      <c r="A792">
        <f>IF(Квартиры!A790="","",Квартиры!A790)</f>
        <v/>
      </c>
      <c r="B792">
        <f>IF(Квартиры!B790="","",Квартиры!B790)</f>
        <v/>
      </c>
      <c r="C792">
        <f>IF(Квартиры!C790="","",Квартиры!C790)</f>
        <v/>
      </c>
      <c r="D792">
        <f>IF(Квартиры!D790="","",Квартиры!D790)</f>
        <v/>
      </c>
      <c r="E792">
        <f>IF(Квартиры!G790="","",Квартиры!G790)</f>
        <v/>
      </c>
      <c r="F792">
        <f>IF(Квартиры!E790="","",Квартиры!E790)</f>
        <v/>
      </c>
      <c r="G792">
        <f>IF(Квартиры!F790="","",Квартиры!F790)</f>
        <v/>
      </c>
      <c r="H792">
        <f>IF(Квартиры!H790="","",Квартиры!H790)</f>
        <v/>
      </c>
      <c r="I792">
        <f>IF(Квартиры!I790="","",Квартиры!I790)</f>
        <v/>
      </c>
      <c r="J792">
        <f>IF(Квартиры!J790="","",Квартиры!J790)</f>
        <v/>
      </c>
    </row>
    <row r="793">
      <c r="A793">
        <f>IF(Квартиры!A791="","",Квартиры!A791)</f>
        <v/>
      </c>
      <c r="B793">
        <f>IF(Квартиры!B791="","",Квартиры!B791)</f>
        <v/>
      </c>
      <c r="C793">
        <f>IF(Квартиры!C791="","",Квартиры!C791)</f>
        <v/>
      </c>
      <c r="D793">
        <f>IF(Квартиры!D791="","",Квартиры!D791)</f>
        <v/>
      </c>
      <c r="E793">
        <f>IF(Квартиры!G791="","",Квартиры!G791)</f>
        <v/>
      </c>
      <c r="F793">
        <f>IF(Квартиры!E791="","",Квартиры!E791)</f>
        <v/>
      </c>
      <c r="G793">
        <f>IF(Квартиры!F791="","",Квартиры!F791)</f>
        <v/>
      </c>
      <c r="H793">
        <f>IF(Квартиры!H791="","",Квартиры!H791)</f>
        <v/>
      </c>
      <c r="I793">
        <f>IF(Квартиры!I791="","",Квартиры!I791)</f>
        <v/>
      </c>
      <c r="J793">
        <f>IF(Квартиры!J791="","",Квартиры!J791)</f>
        <v/>
      </c>
    </row>
    <row r="794">
      <c r="A794">
        <f>IF(Квартиры!A792="","",Квартиры!A792)</f>
        <v/>
      </c>
      <c r="B794">
        <f>IF(Квартиры!B792="","",Квартиры!B792)</f>
        <v/>
      </c>
      <c r="C794">
        <f>IF(Квартиры!C792="","",Квартиры!C792)</f>
        <v/>
      </c>
      <c r="D794">
        <f>IF(Квартиры!D792="","",Квартиры!D792)</f>
        <v/>
      </c>
      <c r="E794">
        <f>IF(Квартиры!G792="","",Квартиры!G792)</f>
        <v/>
      </c>
      <c r="F794">
        <f>IF(Квартиры!E792="","",Квартиры!E792)</f>
        <v/>
      </c>
      <c r="G794">
        <f>IF(Квартиры!F792="","",Квартиры!F792)</f>
        <v/>
      </c>
      <c r="H794">
        <f>IF(Квартиры!H792="","",Квартиры!H792)</f>
        <v/>
      </c>
      <c r="I794">
        <f>IF(Квартиры!I792="","",Квартиры!I792)</f>
        <v/>
      </c>
      <c r="J794">
        <f>IF(Квартиры!J792="","",Квартиры!J792)</f>
        <v/>
      </c>
    </row>
    <row r="795">
      <c r="A795">
        <f>IF(Квартиры!A793="","",Квартиры!A793)</f>
        <v/>
      </c>
      <c r="B795">
        <f>IF(Квартиры!B793="","",Квартиры!B793)</f>
        <v/>
      </c>
      <c r="C795">
        <f>IF(Квартиры!C793="","",Квартиры!C793)</f>
        <v/>
      </c>
      <c r="D795">
        <f>IF(Квартиры!D793="","",Квартиры!D793)</f>
        <v/>
      </c>
      <c r="E795">
        <f>IF(Квартиры!G793="","",Квартиры!G793)</f>
        <v/>
      </c>
      <c r="F795">
        <f>IF(Квартиры!E793="","",Квартиры!E793)</f>
        <v/>
      </c>
      <c r="G795">
        <f>IF(Квартиры!F793="","",Квартиры!F793)</f>
        <v/>
      </c>
      <c r="H795">
        <f>IF(Квартиры!H793="","",Квартиры!H793)</f>
        <v/>
      </c>
      <c r="I795">
        <f>IF(Квартиры!I793="","",Квартиры!I793)</f>
        <v/>
      </c>
      <c r="J795">
        <f>IF(Квартиры!J793="","",Квартиры!J793)</f>
        <v/>
      </c>
    </row>
    <row r="796">
      <c r="A796">
        <f>IF(Квартиры!A794="","",Квартиры!A794)</f>
        <v/>
      </c>
      <c r="B796">
        <f>IF(Квартиры!B794="","",Квартиры!B794)</f>
        <v/>
      </c>
      <c r="C796">
        <f>IF(Квартиры!C794="","",Квартиры!C794)</f>
        <v/>
      </c>
      <c r="D796">
        <f>IF(Квартиры!D794="","",Квартиры!D794)</f>
        <v/>
      </c>
      <c r="E796">
        <f>IF(Квартиры!G794="","",Квартиры!G794)</f>
        <v/>
      </c>
      <c r="F796">
        <f>IF(Квартиры!E794="","",Квартиры!E794)</f>
        <v/>
      </c>
      <c r="G796">
        <f>IF(Квартиры!F794="","",Квартиры!F794)</f>
        <v/>
      </c>
      <c r="H796">
        <f>IF(Квартиры!H794="","",Квартиры!H794)</f>
        <v/>
      </c>
      <c r="I796">
        <f>IF(Квартиры!I794="","",Квартиры!I794)</f>
        <v/>
      </c>
      <c r="J796">
        <f>IF(Квартиры!J794="","",Квартиры!J794)</f>
        <v/>
      </c>
    </row>
    <row r="797">
      <c r="A797">
        <f>IF(Квартиры!A795="","",Квартиры!A795)</f>
        <v/>
      </c>
      <c r="B797">
        <f>IF(Квартиры!B795="","",Квартиры!B795)</f>
        <v/>
      </c>
      <c r="C797">
        <f>IF(Квартиры!C795="","",Квартиры!C795)</f>
        <v/>
      </c>
      <c r="D797">
        <f>IF(Квартиры!D795="","",Квартиры!D795)</f>
        <v/>
      </c>
      <c r="E797">
        <f>IF(Квартиры!G795="","",Квартиры!G795)</f>
        <v/>
      </c>
      <c r="F797">
        <f>IF(Квартиры!E795="","",Квартиры!E795)</f>
        <v/>
      </c>
      <c r="G797">
        <f>IF(Квартиры!F795="","",Квартиры!F795)</f>
        <v/>
      </c>
      <c r="H797">
        <f>IF(Квартиры!H795="","",Квартиры!H795)</f>
        <v/>
      </c>
      <c r="I797">
        <f>IF(Квартиры!I795="","",Квартиры!I795)</f>
        <v/>
      </c>
      <c r="J797">
        <f>IF(Квартиры!J795="","",Квартиры!J795)</f>
        <v/>
      </c>
    </row>
    <row r="798">
      <c r="A798">
        <f>IF(Квартиры!A796="","",Квартиры!A796)</f>
        <v/>
      </c>
      <c r="B798">
        <f>IF(Квартиры!B796="","",Квартиры!B796)</f>
        <v/>
      </c>
      <c r="C798">
        <f>IF(Квартиры!C796="","",Квартиры!C796)</f>
        <v/>
      </c>
      <c r="D798">
        <f>IF(Квартиры!D796="","",Квартиры!D796)</f>
        <v/>
      </c>
      <c r="E798">
        <f>IF(Квартиры!G796="","",Квартиры!G796)</f>
        <v/>
      </c>
      <c r="F798">
        <f>IF(Квартиры!E796="","",Квартиры!E796)</f>
        <v/>
      </c>
      <c r="G798">
        <f>IF(Квартиры!F796="","",Квартиры!F796)</f>
        <v/>
      </c>
      <c r="H798">
        <f>IF(Квартиры!H796="","",Квартиры!H796)</f>
        <v/>
      </c>
      <c r="I798">
        <f>IF(Квартиры!I796="","",Квартиры!I796)</f>
        <v/>
      </c>
      <c r="J798">
        <f>IF(Квартиры!J796="","",Квартиры!J796)</f>
        <v/>
      </c>
    </row>
    <row r="799">
      <c r="A799">
        <f>IF(Квартиры!A797="","",Квартиры!A797)</f>
        <v/>
      </c>
      <c r="B799">
        <f>IF(Квартиры!B797="","",Квартиры!B797)</f>
        <v/>
      </c>
      <c r="C799">
        <f>IF(Квартиры!C797="","",Квартиры!C797)</f>
        <v/>
      </c>
      <c r="D799">
        <f>IF(Квартиры!D797="","",Квартиры!D797)</f>
        <v/>
      </c>
      <c r="E799">
        <f>IF(Квартиры!G797="","",Квартиры!G797)</f>
        <v/>
      </c>
      <c r="F799">
        <f>IF(Квартиры!E797="","",Квартиры!E797)</f>
        <v/>
      </c>
      <c r="G799">
        <f>IF(Квартиры!F797="","",Квартиры!F797)</f>
        <v/>
      </c>
      <c r="H799">
        <f>IF(Квартиры!H797="","",Квартиры!H797)</f>
        <v/>
      </c>
      <c r="I799">
        <f>IF(Квартиры!I797="","",Квартиры!I797)</f>
        <v/>
      </c>
      <c r="J799">
        <f>IF(Квартиры!J797="","",Квартиры!J797)</f>
        <v/>
      </c>
    </row>
    <row r="800">
      <c r="A800">
        <f>IF(Квартиры!A798="","",Квартиры!A798)</f>
        <v/>
      </c>
      <c r="B800">
        <f>IF(Квартиры!B798="","",Квартиры!B798)</f>
        <v/>
      </c>
      <c r="C800">
        <f>IF(Квартиры!C798="","",Квартиры!C798)</f>
        <v/>
      </c>
      <c r="D800">
        <f>IF(Квартиры!D798="","",Квартиры!D798)</f>
        <v/>
      </c>
      <c r="E800">
        <f>IF(Квартиры!G798="","",Квартиры!G798)</f>
        <v/>
      </c>
      <c r="F800">
        <f>IF(Квартиры!E798="","",Квартиры!E798)</f>
        <v/>
      </c>
      <c r="G800">
        <f>IF(Квартиры!F798="","",Квартиры!F798)</f>
        <v/>
      </c>
      <c r="H800">
        <f>IF(Квартиры!H798="","",Квартиры!H798)</f>
        <v/>
      </c>
      <c r="I800">
        <f>IF(Квартиры!I798="","",Квартиры!I798)</f>
        <v/>
      </c>
      <c r="J800">
        <f>IF(Квартиры!J798="","",Квартиры!J798)</f>
        <v/>
      </c>
    </row>
    <row r="801">
      <c r="A801">
        <f>IF(Квартиры!A799="","",Квартиры!A799)</f>
        <v/>
      </c>
      <c r="B801">
        <f>IF(Квартиры!B799="","",Квартиры!B799)</f>
        <v/>
      </c>
      <c r="C801">
        <f>IF(Квартиры!C799="","",Квартиры!C799)</f>
        <v/>
      </c>
      <c r="D801">
        <f>IF(Квартиры!D799="","",Квартиры!D799)</f>
        <v/>
      </c>
      <c r="E801">
        <f>IF(Квартиры!G799="","",Квартиры!G799)</f>
        <v/>
      </c>
      <c r="F801">
        <f>IF(Квартиры!E799="","",Квартиры!E799)</f>
        <v/>
      </c>
      <c r="G801">
        <f>IF(Квартиры!F799="","",Квартиры!F799)</f>
        <v/>
      </c>
      <c r="H801">
        <f>IF(Квартиры!H799="","",Квартиры!H799)</f>
        <v/>
      </c>
      <c r="I801">
        <f>IF(Квартиры!I799="","",Квартиры!I799)</f>
        <v/>
      </c>
      <c r="J801">
        <f>IF(Квартиры!J799="","",Квартиры!J799)</f>
        <v/>
      </c>
    </row>
    <row r="802">
      <c r="A802">
        <f>IF(Квартиры!A800="","",Квартиры!A800)</f>
        <v/>
      </c>
      <c r="B802">
        <f>IF(Квартиры!B800="","",Квартиры!B800)</f>
        <v/>
      </c>
      <c r="C802">
        <f>IF(Квартиры!C800="","",Квартиры!C800)</f>
        <v/>
      </c>
      <c r="D802">
        <f>IF(Квартиры!D800="","",Квартиры!D800)</f>
        <v/>
      </c>
      <c r="E802">
        <f>IF(Квартиры!G800="","",Квартиры!G800)</f>
        <v/>
      </c>
      <c r="F802">
        <f>IF(Квартиры!E800="","",Квартиры!E800)</f>
        <v/>
      </c>
      <c r="G802">
        <f>IF(Квартиры!F800="","",Квартиры!F800)</f>
        <v/>
      </c>
      <c r="H802">
        <f>IF(Квартиры!H800="","",Квартиры!H800)</f>
        <v/>
      </c>
      <c r="I802">
        <f>IF(Квартиры!I800="","",Квартиры!I800)</f>
        <v/>
      </c>
      <c r="J802">
        <f>IF(Квартиры!J800="","",Квартиры!J800)</f>
        <v/>
      </c>
    </row>
    <row r="803">
      <c r="A803">
        <f>IF(Квартиры!A801="","",Квартиры!A801)</f>
        <v/>
      </c>
      <c r="B803">
        <f>IF(Квартиры!B801="","",Квартиры!B801)</f>
        <v/>
      </c>
      <c r="C803">
        <f>IF(Квартиры!C801="","",Квартиры!C801)</f>
        <v/>
      </c>
      <c r="D803">
        <f>IF(Квартиры!D801="","",Квартиры!D801)</f>
        <v/>
      </c>
      <c r="E803">
        <f>IF(Квартиры!G801="","",Квартиры!G801)</f>
        <v/>
      </c>
      <c r="F803">
        <f>IF(Квартиры!E801="","",Квартиры!E801)</f>
        <v/>
      </c>
      <c r="G803">
        <f>IF(Квартиры!F801="","",Квартиры!F801)</f>
        <v/>
      </c>
      <c r="H803">
        <f>IF(Квартиры!H801="","",Квартиры!H801)</f>
        <v/>
      </c>
      <c r="I803">
        <f>IF(Квартиры!I801="","",Квартиры!I801)</f>
        <v/>
      </c>
      <c r="J803">
        <f>IF(Квартиры!J801="","",Квартиры!J801)</f>
        <v/>
      </c>
    </row>
    <row r="804">
      <c r="A804">
        <f>IF(Квартиры!A802="","",Квартиры!A802)</f>
        <v/>
      </c>
      <c r="B804">
        <f>IF(Квартиры!B802="","",Квартиры!B802)</f>
        <v/>
      </c>
      <c r="C804">
        <f>IF(Квартиры!C802="","",Квартиры!C802)</f>
        <v/>
      </c>
      <c r="D804">
        <f>IF(Квартиры!D802="","",Квартиры!D802)</f>
        <v/>
      </c>
      <c r="E804">
        <f>IF(Квартиры!G802="","",Квартиры!G802)</f>
        <v/>
      </c>
      <c r="F804">
        <f>IF(Квартиры!E802="","",Квартиры!E802)</f>
        <v/>
      </c>
      <c r="G804">
        <f>IF(Квартиры!F802="","",Квартиры!F802)</f>
        <v/>
      </c>
      <c r="H804">
        <f>IF(Квартиры!H802="","",Квартиры!H802)</f>
        <v/>
      </c>
      <c r="I804">
        <f>IF(Квартиры!I802="","",Квартиры!I802)</f>
        <v/>
      </c>
      <c r="J804">
        <f>IF(Квартиры!J802="","",Квартиры!J802)</f>
        <v/>
      </c>
    </row>
    <row r="805">
      <c r="A805">
        <f>IF(Квартиры!A803="","",Квартиры!A803)</f>
        <v/>
      </c>
      <c r="B805">
        <f>IF(Квартиры!B803="","",Квартиры!B803)</f>
        <v/>
      </c>
      <c r="C805">
        <f>IF(Квартиры!C803="","",Квартиры!C803)</f>
        <v/>
      </c>
      <c r="D805">
        <f>IF(Квартиры!D803="","",Квартиры!D803)</f>
        <v/>
      </c>
      <c r="E805">
        <f>IF(Квартиры!G803="","",Квартиры!G803)</f>
        <v/>
      </c>
      <c r="F805">
        <f>IF(Квартиры!E803="","",Квартиры!E803)</f>
        <v/>
      </c>
      <c r="G805">
        <f>IF(Квартиры!F803="","",Квартиры!F803)</f>
        <v/>
      </c>
      <c r="H805">
        <f>IF(Квартиры!H803="","",Квартиры!H803)</f>
        <v/>
      </c>
      <c r="I805">
        <f>IF(Квартиры!I803="","",Квартиры!I803)</f>
        <v/>
      </c>
      <c r="J805">
        <f>IF(Квартиры!J803="","",Квартиры!J803)</f>
        <v/>
      </c>
    </row>
    <row r="806">
      <c r="A806">
        <f>IF(Квартиры!A804="","",Квартиры!A804)</f>
        <v/>
      </c>
      <c r="B806">
        <f>IF(Квартиры!B804="","",Квартиры!B804)</f>
        <v/>
      </c>
      <c r="C806">
        <f>IF(Квартиры!C804="","",Квартиры!C804)</f>
        <v/>
      </c>
      <c r="D806">
        <f>IF(Квартиры!D804="","",Квартиры!D804)</f>
        <v/>
      </c>
      <c r="E806">
        <f>IF(Квартиры!G804="","",Квартиры!G804)</f>
        <v/>
      </c>
      <c r="F806">
        <f>IF(Квартиры!E804="","",Квартиры!E804)</f>
        <v/>
      </c>
      <c r="G806">
        <f>IF(Квартиры!F804="","",Квартиры!F804)</f>
        <v/>
      </c>
      <c r="H806">
        <f>IF(Квартиры!H804="","",Квартиры!H804)</f>
        <v/>
      </c>
      <c r="I806">
        <f>IF(Квартиры!I804="","",Квартиры!I804)</f>
        <v/>
      </c>
      <c r="J806">
        <f>IF(Квартиры!J804="","",Квартиры!J804)</f>
        <v/>
      </c>
    </row>
    <row r="807">
      <c r="A807">
        <f>IF(Квартиры!A805="","",Квартиры!A805)</f>
        <v/>
      </c>
      <c r="B807">
        <f>IF(Квартиры!B805="","",Квартиры!B805)</f>
        <v/>
      </c>
      <c r="C807">
        <f>IF(Квартиры!C805="","",Квартиры!C805)</f>
        <v/>
      </c>
      <c r="D807">
        <f>IF(Квартиры!D805="","",Квартиры!D805)</f>
        <v/>
      </c>
      <c r="E807">
        <f>IF(Квартиры!G805="","",Квартиры!G805)</f>
        <v/>
      </c>
      <c r="F807">
        <f>IF(Квартиры!E805="","",Квартиры!E805)</f>
        <v/>
      </c>
      <c r="G807">
        <f>IF(Квартиры!F805="","",Квартиры!F805)</f>
        <v/>
      </c>
      <c r="H807">
        <f>IF(Квартиры!H805="","",Квартиры!H805)</f>
        <v/>
      </c>
      <c r="I807">
        <f>IF(Квартиры!I805="","",Квартиры!I805)</f>
        <v/>
      </c>
      <c r="J807">
        <f>IF(Квартиры!J805="","",Квартиры!J805)</f>
        <v/>
      </c>
    </row>
    <row r="808">
      <c r="A808">
        <f>IF(Квартиры!A806="","",Квартиры!A806)</f>
        <v/>
      </c>
      <c r="B808">
        <f>IF(Квартиры!B806="","",Квартиры!B806)</f>
        <v/>
      </c>
      <c r="C808">
        <f>IF(Квартиры!C806="","",Квартиры!C806)</f>
        <v/>
      </c>
      <c r="D808">
        <f>IF(Квартиры!D806="","",Квартиры!D806)</f>
        <v/>
      </c>
      <c r="E808">
        <f>IF(Квартиры!G806="","",Квартиры!G806)</f>
        <v/>
      </c>
      <c r="F808">
        <f>IF(Квартиры!E806="","",Квартиры!E806)</f>
        <v/>
      </c>
      <c r="G808">
        <f>IF(Квартиры!F806="","",Квартиры!F806)</f>
        <v/>
      </c>
      <c r="H808">
        <f>IF(Квартиры!H806="","",Квартиры!H806)</f>
        <v/>
      </c>
      <c r="I808">
        <f>IF(Квартиры!I806="","",Квартиры!I806)</f>
        <v/>
      </c>
      <c r="J808">
        <f>IF(Квартиры!J806="","",Квартиры!J806)</f>
        <v/>
      </c>
    </row>
    <row r="809">
      <c r="A809">
        <f>IF(Квартиры!A807="","",Квартиры!A807)</f>
        <v/>
      </c>
      <c r="B809">
        <f>IF(Квартиры!B807="","",Квартиры!B807)</f>
        <v/>
      </c>
      <c r="C809">
        <f>IF(Квартиры!C807="","",Квартиры!C807)</f>
        <v/>
      </c>
      <c r="D809">
        <f>IF(Квартиры!D807="","",Квартиры!D807)</f>
        <v/>
      </c>
      <c r="E809">
        <f>IF(Квартиры!G807="","",Квартиры!G807)</f>
        <v/>
      </c>
      <c r="F809">
        <f>IF(Квартиры!E807="","",Квартиры!E807)</f>
        <v/>
      </c>
      <c r="G809">
        <f>IF(Квартиры!F807="","",Квартиры!F807)</f>
        <v/>
      </c>
      <c r="H809">
        <f>IF(Квартиры!H807="","",Квартиры!H807)</f>
        <v/>
      </c>
      <c r="I809">
        <f>IF(Квартиры!I807="","",Квартиры!I807)</f>
        <v/>
      </c>
      <c r="J809">
        <f>IF(Квартиры!J807="","",Квартиры!J807)</f>
        <v/>
      </c>
    </row>
    <row r="810">
      <c r="A810">
        <f>IF(Квартиры!A808="","",Квартиры!A808)</f>
        <v/>
      </c>
      <c r="B810">
        <f>IF(Квартиры!B808="","",Квартиры!B808)</f>
        <v/>
      </c>
      <c r="C810">
        <f>IF(Квартиры!C808="","",Квартиры!C808)</f>
        <v/>
      </c>
      <c r="D810">
        <f>IF(Квартиры!D808="","",Квартиры!D808)</f>
        <v/>
      </c>
      <c r="E810">
        <f>IF(Квартиры!G808="","",Квартиры!G808)</f>
        <v/>
      </c>
      <c r="F810">
        <f>IF(Квартиры!E808="","",Квартиры!E808)</f>
        <v/>
      </c>
      <c r="G810">
        <f>IF(Квартиры!F808="","",Квартиры!F808)</f>
        <v/>
      </c>
      <c r="H810">
        <f>IF(Квартиры!H808="","",Квартиры!H808)</f>
        <v/>
      </c>
      <c r="I810">
        <f>IF(Квартиры!I808="","",Квартиры!I808)</f>
        <v/>
      </c>
      <c r="J810">
        <f>IF(Квартиры!J808="","",Квартиры!J808)</f>
        <v/>
      </c>
    </row>
    <row r="811">
      <c r="A811">
        <f>IF(Квартиры!A809="","",Квартиры!A809)</f>
        <v/>
      </c>
      <c r="B811">
        <f>IF(Квартиры!B809="","",Квартиры!B809)</f>
        <v/>
      </c>
      <c r="C811">
        <f>IF(Квартиры!C809="","",Квартиры!C809)</f>
        <v/>
      </c>
      <c r="D811">
        <f>IF(Квартиры!D809="","",Квартиры!D809)</f>
        <v/>
      </c>
      <c r="E811">
        <f>IF(Квартиры!G809="","",Квартиры!G809)</f>
        <v/>
      </c>
      <c r="F811">
        <f>IF(Квартиры!E809="","",Квартиры!E809)</f>
        <v/>
      </c>
      <c r="G811">
        <f>IF(Квартиры!F809="","",Квартиры!F809)</f>
        <v/>
      </c>
      <c r="H811">
        <f>IF(Квартиры!H809="","",Квартиры!H809)</f>
        <v/>
      </c>
      <c r="I811">
        <f>IF(Квартиры!I809="","",Квартиры!I809)</f>
        <v/>
      </c>
      <c r="J811">
        <f>IF(Квартиры!J809="","",Квартиры!J809)</f>
        <v/>
      </c>
    </row>
    <row r="812">
      <c r="A812">
        <f>IF(Квартиры!A810="","",Квартиры!A810)</f>
        <v/>
      </c>
      <c r="B812">
        <f>IF(Квартиры!B810="","",Квартиры!B810)</f>
        <v/>
      </c>
      <c r="C812">
        <f>IF(Квартиры!C810="","",Квартиры!C810)</f>
        <v/>
      </c>
      <c r="D812">
        <f>IF(Квартиры!D810="","",Квартиры!D810)</f>
        <v/>
      </c>
      <c r="E812">
        <f>IF(Квартиры!G810="","",Квартиры!G810)</f>
        <v/>
      </c>
      <c r="F812">
        <f>IF(Квартиры!E810="","",Квартиры!E810)</f>
        <v/>
      </c>
      <c r="G812">
        <f>IF(Квартиры!F810="","",Квартиры!F810)</f>
        <v/>
      </c>
      <c r="H812">
        <f>IF(Квартиры!H810="","",Квартиры!H810)</f>
        <v/>
      </c>
      <c r="I812">
        <f>IF(Квартиры!I810="","",Квартиры!I810)</f>
        <v/>
      </c>
      <c r="J812">
        <f>IF(Квартиры!J810="","",Квартиры!J810)</f>
        <v/>
      </c>
    </row>
    <row r="813">
      <c r="A813">
        <f>IF(Квартиры!A811="","",Квартиры!A811)</f>
        <v/>
      </c>
      <c r="B813">
        <f>IF(Квартиры!B811="","",Квартиры!B811)</f>
        <v/>
      </c>
      <c r="C813">
        <f>IF(Квартиры!C811="","",Квартиры!C811)</f>
        <v/>
      </c>
      <c r="D813">
        <f>IF(Квартиры!D811="","",Квартиры!D811)</f>
        <v/>
      </c>
      <c r="E813">
        <f>IF(Квартиры!G811="","",Квартиры!G811)</f>
        <v/>
      </c>
      <c r="F813">
        <f>IF(Квартиры!E811="","",Квартиры!E811)</f>
        <v/>
      </c>
      <c r="G813">
        <f>IF(Квартиры!F811="","",Квартиры!F811)</f>
        <v/>
      </c>
      <c r="H813">
        <f>IF(Квартиры!H811="","",Квартиры!H811)</f>
        <v/>
      </c>
      <c r="I813">
        <f>IF(Квартиры!I811="","",Квартиры!I811)</f>
        <v/>
      </c>
      <c r="J813">
        <f>IF(Квартиры!J811="","",Квартиры!J811)</f>
        <v/>
      </c>
    </row>
    <row r="814">
      <c r="A814">
        <f>IF(Квартиры!A812="","",Квартиры!A812)</f>
        <v/>
      </c>
      <c r="B814">
        <f>IF(Квартиры!B812="","",Квартиры!B812)</f>
        <v/>
      </c>
      <c r="C814">
        <f>IF(Квартиры!C812="","",Квартиры!C812)</f>
        <v/>
      </c>
      <c r="D814">
        <f>IF(Квартиры!D812="","",Квартиры!D812)</f>
        <v/>
      </c>
      <c r="E814">
        <f>IF(Квартиры!G812="","",Квартиры!G812)</f>
        <v/>
      </c>
      <c r="F814">
        <f>IF(Квартиры!E812="","",Квартиры!E812)</f>
        <v/>
      </c>
      <c r="G814">
        <f>IF(Квартиры!F812="","",Квартиры!F812)</f>
        <v/>
      </c>
      <c r="H814">
        <f>IF(Квартиры!H812="","",Квартиры!H812)</f>
        <v/>
      </c>
      <c r="I814">
        <f>IF(Квартиры!I812="","",Квартиры!I812)</f>
        <v/>
      </c>
      <c r="J814">
        <f>IF(Квартиры!J812="","",Квартиры!J812)</f>
        <v/>
      </c>
    </row>
    <row r="815">
      <c r="A815">
        <f>IF(Квартиры!A813="","",Квартиры!A813)</f>
        <v/>
      </c>
      <c r="B815">
        <f>IF(Квартиры!B813="","",Квартиры!B813)</f>
        <v/>
      </c>
      <c r="C815">
        <f>IF(Квартиры!C813="","",Квартиры!C813)</f>
        <v/>
      </c>
      <c r="D815">
        <f>IF(Квартиры!D813="","",Квартиры!D813)</f>
        <v/>
      </c>
      <c r="E815">
        <f>IF(Квартиры!G813="","",Квартиры!G813)</f>
        <v/>
      </c>
      <c r="F815">
        <f>IF(Квартиры!E813="","",Квартиры!E813)</f>
        <v/>
      </c>
      <c r="G815">
        <f>IF(Квартиры!F813="","",Квартиры!F813)</f>
        <v/>
      </c>
      <c r="H815">
        <f>IF(Квартиры!H813="","",Квартиры!H813)</f>
        <v/>
      </c>
      <c r="I815">
        <f>IF(Квартиры!I813="","",Квартиры!I813)</f>
        <v/>
      </c>
      <c r="J815">
        <f>IF(Квартиры!J813="","",Квартиры!J813)</f>
        <v/>
      </c>
    </row>
    <row r="816">
      <c r="A816">
        <f>IF(Квартиры!A814="","",Квартиры!A814)</f>
        <v/>
      </c>
      <c r="B816">
        <f>IF(Квартиры!B814="","",Квартиры!B814)</f>
        <v/>
      </c>
      <c r="C816">
        <f>IF(Квартиры!C814="","",Квартиры!C814)</f>
        <v/>
      </c>
      <c r="D816">
        <f>IF(Квартиры!D814="","",Квартиры!D814)</f>
        <v/>
      </c>
      <c r="E816">
        <f>IF(Квартиры!G814="","",Квартиры!G814)</f>
        <v/>
      </c>
      <c r="F816">
        <f>IF(Квартиры!E814="","",Квартиры!E814)</f>
        <v/>
      </c>
      <c r="G816">
        <f>IF(Квартиры!F814="","",Квартиры!F814)</f>
        <v/>
      </c>
      <c r="H816">
        <f>IF(Квартиры!H814="","",Квартиры!H814)</f>
        <v/>
      </c>
      <c r="I816">
        <f>IF(Квартиры!I814="","",Квартиры!I814)</f>
        <v/>
      </c>
      <c r="J816">
        <f>IF(Квартиры!J814="","",Квартиры!J814)</f>
        <v/>
      </c>
    </row>
    <row r="817">
      <c r="A817">
        <f>IF(Квартиры!A815="","",Квартиры!A815)</f>
        <v/>
      </c>
      <c r="B817">
        <f>IF(Квартиры!B815="","",Квартиры!B815)</f>
        <v/>
      </c>
      <c r="C817">
        <f>IF(Квартиры!C815="","",Квартиры!C815)</f>
        <v/>
      </c>
      <c r="D817">
        <f>IF(Квартиры!D815="","",Квартиры!D815)</f>
        <v/>
      </c>
      <c r="E817">
        <f>IF(Квартиры!G815="","",Квартиры!G815)</f>
        <v/>
      </c>
      <c r="F817">
        <f>IF(Квартиры!E815="","",Квартиры!E815)</f>
        <v/>
      </c>
      <c r="G817">
        <f>IF(Квартиры!F815="","",Квартиры!F815)</f>
        <v/>
      </c>
      <c r="H817">
        <f>IF(Квартиры!H815="","",Квартиры!H815)</f>
        <v/>
      </c>
      <c r="I817">
        <f>IF(Квартиры!I815="","",Квартиры!I815)</f>
        <v/>
      </c>
      <c r="J817">
        <f>IF(Квартиры!J815="","",Квартиры!J815)</f>
        <v/>
      </c>
    </row>
    <row r="818">
      <c r="A818">
        <f>IF(Квартиры!A816="","",Квартиры!A816)</f>
        <v/>
      </c>
      <c r="B818">
        <f>IF(Квартиры!B816="","",Квартиры!B816)</f>
        <v/>
      </c>
      <c r="C818">
        <f>IF(Квартиры!C816="","",Квартиры!C816)</f>
        <v/>
      </c>
      <c r="D818">
        <f>IF(Квартиры!D816="","",Квартиры!D816)</f>
        <v/>
      </c>
      <c r="E818">
        <f>IF(Квартиры!G816="","",Квартиры!G816)</f>
        <v/>
      </c>
      <c r="F818">
        <f>IF(Квартиры!E816="","",Квартиры!E816)</f>
        <v/>
      </c>
      <c r="G818">
        <f>IF(Квартиры!F816="","",Квартиры!F816)</f>
        <v/>
      </c>
      <c r="H818">
        <f>IF(Квартиры!H816="","",Квартиры!H816)</f>
        <v/>
      </c>
      <c r="I818">
        <f>IF(Квартиры!I816="","",Квартиры!I816)</f>
        <v/>
      </c>
      <c r="J818">
        <f>IF(Квартиры!J816="","",Квартиры!J816)</f>
        <v/>
      </c>
    </row>
    <row r="819">
      <c r="A819">
        <f>IF(Квартиры!A817="","",Квартиры!A817)</f>
        <v/>
      </c>
      <c r="B819">
        <f>IF(Квартиры!B817="","",Квартиры!B817)</f>
        <v/>
      </c>
      <c r="C819">
        <f>IF(Квартиры!C817="","",Квартиры!C817)</f>
        <v/>
      </c>
      <c r="D819">
        <f>IF(Квартиры!D817="","",Квартиры!D817)</f>
        <v/>
      </c>
      <c r="E819">
        <f>IF(Квартиры!G817="","",Квартиры!G817)</f>
        <v/>
      </c>
      <c r="F819">
        <f>IF(Квартиры!E817="","",Квартиры!E817)</f>
        <v/>
      </c>
      <c r="G819">
        <f>IF(Квартиры!F817="","",Квартиры!F817)</f>
        <v/>
      </c>
      <c r="H819">
        <f>IF(Квартиры!H817="","",Квартиры!H817)</f>
        <v/>
      </c>
      <c r="I819">
        <f>IF(Квартиры!I817="","",Квартиры!I817)</f>
        <v/>
      </c>
      <c r="J819">
        <f>IF(Квартиры!J817="","",Квартиры!J817)</f>
        <v/>
      </c>
    </row>
    <row r="820">
      <c r="A820">
        <f>IF(Квартиры!A818="","",Квартиры!A818)</f>
        <v/>
      </c>
      <c r="B820">
        <f>IF(Квартиры!B818="","",Квартиры!B818)</f>
        <v/>
      </c>
      <c r="C820">
        <f>IF(Квартиры!C818="","",Квартиры!C818)</f>
        <v/>
      </c>
      <c r="D820">
        <f>IF(Квартиры!D818="","",Квартиры!D818)</f>
        <v/>
      </c>
      <c r="E820">
        <f>IF(Квартиры!G818="","",Квартиры!G818)</f>
        <v/>
      </c>
      <c r="F820">
        <f>IF(Квартиры!E818="","",Квартиры!E818)</f>
        <v/>
      </c>
      <c r="G820">
        <f>IF(Квартиры!F818="","",Квартиры!F818)</f>
        <v/>
      </c>
      <c r="H820">
        <f>IF(Квартиры!H818="","",Квартиры!H818)</f>
        <v/>
      </c>
      <c r="I820">
        <f>IF(Квартиры!I818="","",Квартиры!I818)</f>
        <v/>
      </c>
      <c r="J820">
        <f>IF(Квартиры!J818="","",Квартиры!J818)</f>
        <v/>
      </c>
    </row>
    <row r="821">
      <c r="A821">
        <f>IF(Квартиры!A819="","",Квартиры!A819)</f>
        <v/>
      </c>
      <c r="B821">
        <f>IF(Квартиры!B819="","",Квартиры!B819)</f>
        <v/>
      </c>
      <c r="C821">
        <f>IF(Квартиры!C819="","",Квартиры!C819)</f>
        <v/>
      </c>
      <c r="D821">
        <f>IF(Квартиры!D819="","",Квартиры!D819)</f>
        <v/>
      </c>
      <c r="E821">
        <f>IF(Квартиры!G819="","",Квартиры!G819)</f>
        <v/>
      </c>
      <c r="F821">
        <f>IF(Квартиры!E819="","",Квартиры!E819)</f>
        <v/>
      </c>
      <c r="G821">
        <f>IF(Квартиры!F819="","",Квартиры!F819)</f>
        <v/>
      </c>
      <c r="H821">
        <f>IF(Квартиры!H819="","",Квартиры!H819)</f>
        <v/>
      </c>
      <c r="I821">
        <f>IF(Квартиры!I819="","",Квартиры!I819)</f>
        <v/>
      </c>
      <c r="J821">
        <f>IF(Квартиры!J819="","",Квартиры!J819)</f>
        <v/>
      </c>
    </row>
    <row r="822">
      <c r="A822">
        <f>IF(Квартиры!A820="","",Квартиры!A820)</f>
        <v/>
      </c>
      <c r="B822">
        <f>IF(Квартиры!B820="","",Квартиры!B820)</f>
        <v/>
      </c>
      <c r="C822">
        <f>IF(Квартиры!C820="","",Квартиры!C820)</f>
        <v/>
      </c>
      <c r="D822">
        <f>IF(Квартиры!D820="","",Квартиры!D820)</f>
        <v/>
      </c>
      <c r="E822">
        <f>IF(Квартиры!G820="","",Квартиры!G820)</f>
        <v/>
      </c>
      <c r="F822">
        <f>IF(Квартиры!E820="","",Квартиры!E820)</f>
        <v/>
      </c>
      <c r="G822">
        <f>IF(Квартиры!F820="","",Квартиры!F820)</f>
        <v/>
      </c>
      <c r="H822">
        <f>IF(Квартиры!H820="","",Квартиры!H820)</f>
        <v/>
      </c>
      <c r="I822">
        <f>IF(Квартиры!I820="","",Квартиры!I820)</f>
        <v/>
      </c>
      <c r="J822">
        <f>IF(Квартиры!J820="","",Квартиры!J820)</f>
        <v/>
      </c>
    </row>
    <row r="823">
      <c r="A823">
        <f>IF(Квартиры!A821="","",Квартиры!A821)</f>
        <v/>
      </c>
      <c r="B823">
        <f>IF(Квартиры!B821="","",Квартиры!B821)</f>
        <v/>
      </c>
      <c r="C823">
        <f>IF(Квартиры!C821="","",Квартиры!C821)</f>
        <v/>
      </c>
      <c r="D823">
        <f>IF(Квартиры!D821="","",Квартиры!D821)</f>
        <v/>
      </c>
      <c r="E823">
        <f>IF(Квартиры!G821="","",Квартиры!G821)</f>
        <v/>
      </c>
      <c r="F823">
        <f>IF(Квартиры!E821="","",Квартиры!E821)</f>
        <v/>
      </c>
      <c r="G823">
        <f>IF(Квартиры!F821="","",Квартиры!F821)</f>
        <v/>
      </c>
      <c r="H823">
        <f>IF(Квартиры!H821="","",Квартиры!H821)</f>
        <v/>
      </c>
      <c r="I823">
        <f>IF(Квартиры!I821="","",Квартиры!I821)</f>
        <v/>
      </c>
      <c r="J823">
        <f>IF(Квартиры!J821="","",Квартиры!J821)</f>
        <v/>
      </c>
    </row>
    <row r="824">
      <c r="A824">
        <f>IF(Квартиры!A822="","",Квартиры!A822)</f>
        <v/>
      </c>
      <c r="B824">
        <f>IF(Квартиры!B822="","",Квартиры!B822)</f>
        <v/>
      </c>
      <c r="C824">
        <f>IF(Квартиры!C822="","",Квартиры!C822)</f>
        <v/>
      </c>
      <c r="D824">
        <f>IF(Квартиры!D822="","",Квартиры!D822)</f>
        <v/>
      </c>
      <c r="E824">
        <f>IF(Квартиры!G822="","",Квартиры!G822)</f>
        <v/>
      </c>
      <c r="F824">
        <f>IF(Квартиры!E822="","",Квартиры!E822)</f>
        <v/>
      </c>
      <c r="G824">
        <f>IF(Квартиры!F822="","",Квартиры!F822)</f>
        <v/>
      </c>
      <c r="H824">
        <f>IF(Квартиры!H822="","",Квартиры!H822)</f>
        <v/>
      </c>
      <c r="I824">
        <f>IF(Квартиры!I822="","",Квартиры!I822)</f>
        <v/>
      </c>
      <c r="J824">
        <f>IF(Квартиры!J822="","",Квартиры!J822)</f>
        <v/>
      </c>
    </row>
    <row r="825">
      <c r="A825">
        <f>IF(Квартиры!A823="","",Квартиры!A823)</f>
        <v/>
      </c>
      <c r="B825">
        <f>IF(Квартиры!B823="","",Квартиры!B823)</f>
        <v/>
      </c>
      <c r="C825">
        <f>IF(Квартиры!C823="","",Квартиры!C823)</f>
        <v/>
      </c>
      <c r="D825">
        <f>IF(Квартиры!D823="","",Квартиры!D823)</f>
        <v/>
      </c>
      <c r="E825">
        <f>IF(Квартиры!G823="","",Квартиры!G823)</f>
        <v/>
      </c>
      <c r="F825">
        <f>IF(Квартиры!E823="","",Квартиры!E823)</f>
        <v/>
      </c>
      <c r="G825">
        <f>IF(Квартиры!F823="","",Квартиры!F823)</f>
        <v/>
      </c>
      <c r="H825">
        <f>IF(Квартиры!H823="","",Квартиры!H823)</f>
        <v/>
      </c>
      <c r="I825">
        <f>IF(Квартиры!I823="","",Квартиры!I823)</f>
        <v/>
      </c>
      <c r="J825">
        <f>IF(Квартиры!J823="","",Квартиры!J823)</f>
        <v/>
      </c>
    </row>
    <row r="826">
      <c r="A826">
        <f>IF(Квартиры!A824="","",Квартиры!A824)</f>
        <v/>
      </c>
      <c r="B826">
        <f>IF(Квартиры!B824="","",Квартиры!B824)</f>
        <v/>
      </c>
      <c r="C826">
        <f>IF(Квартиры!C824="","",Квартиры!C824)</f>
        <v/>
      </c>
      <c r="D826">
        <f>IF(Квартиры!D824="","",Квартиры!D824)</f>
        <v/>
      </c>
      <c r="E826">
        <f>IF(Квартиры!G824="","",Квартиры!G824)</f>
        <v/>
      </c>
      <c r="F826">
        <f>IF(Квартиры!E824="","",Квартиры!E824)</f>
        <v/>
      </c>
      <c r="G826">
        <f>IF(Квартиры!F824="","",Квартиры!F824)</f>
        <v/>
      </c>
      <c r="H826">
        <f>IF(Квартиры!H824="","",Квартиры!H824)</f>
        <v/>
      </c>
      <c r="I826">
        <f>IF(Квартиры!I824="","",Квартиры!I824)</f>
        <v/>
      </c>
      <c r="J826">
        <f>IF(Квартиры!J824="","",Квартиры!J824)</f>
        <v/>
      </c>
    </row>
    <row r="827">
      <c r="A827">
        <f>IF(Квартиры!A825="","",Квартиры!A825)</f>
        <v/>
      </c>
      <c r="B827">
        <f>IF(Квартиры!B825="","",Квартиры!B825)</f>
        <v/>
      </c>
      <c r="C827">
        <f>IF(Квартиры!C825="","",Квартиры!C825)</f>
        <v/>
      </c>
      <c r="D827">
        <f>IF(Квартиры!D825="","",Квартиры!D825)</f>
        <v/>
      </c>
      <c r="E827">
        <f>IF(Квартиры!G825="","",Квартиры!G825)</f>
        <v/>
      </c>
      <c r="F827">
        <f>IF(Квартиры!E825="","",Квартиры!E825)</f>
        <v/>
      </c>
      <c r="G827">
        <f>IF(Квартиры!F825="","",Квартиры!F825)</f>
        <v/>
      </c>
      <c r="H827">
        <f>IF(Квартиры!H825="","",Квартиры!H825)</f>
        <v/>
      </c>
      <c r="I827">
        <f>IF(Квартиры!I825="","",Квартиры!I825)</f>
        <v/>
      </c>
      <c r="J827">
        <f>IF(Квартиры!J825="","",Квартиры!J825)</f>
        <v/>
      </c>
    </row>
    <row r="828">
      <c r="A828">
        <f>IF(Квартиры!A826="","",Квартиры!A826)</f>
        <v/>
      </c>
      <c r="B828">
        <f>IF(Квартиры!B826="","",Квартиры!B826)</f>
        <v/>
      </c>
      <c r="C828">
        <f>IF(Квартиры!C826="","",Квартиры!C826)</f>
        <v/>
      </c>
      <c r="D828">
        <f>IF(Квартиры!D826="","",Квартиры!D826)</f>
        <v/>
      </c>
      <c r="E828">
        <f>IF(Квартиры!G826="","",Квартиры!G826)</f>
        <v/>
      </c>
      <c r="F828">
        <f>IF(Квартиры!E826="","",Квартиры!E826)</f>
        <v/>
      </c>
      <c r="G828">
        <f>IF(Квартиры!F826="","",Квартиры!F826)</f>
        <v/>
      </c>
      <c r="H828">
        <f>IF(Квартиры!H826="","",Квартиры!H826)</f>
        <v/>
      </c>
      <c r="I828">
        <f>IF(Квартиры!I826="","",Квартиры!I826)</f>
        <v/>
      </c>
      <c r="J828">
        <f>IF(Квартиры!J826="","",Квартиры!J826)</f>
        <v/>
      </c>
    </row>
    <row r="829">
      <c r="A829">
        <f>IF(Квартиры!A827="","",Квартиры!A827)</f>
        <v/>
      </c>
      <c r="B829">
        <f>IF(Квартиры!B827="","",Квартиры!B827)</f>
        <v/>
      </c>
      <c r="C829">
        <f>IF(Квартиры!C827="","",Квартиры!C827)</f>
        <v/>
      </c>
      <c r="D829">
        <f>IF(Квартиры!D827="","",Квартиры!D827)</f>
        <v/>
      </c>
      <c r="E829">
        <f>IF(Квартиры!G827="","",Квартиры!G827)</f>
        <v/>
      </c>
      <c r="F829">
        <f>IF(Квартиры!E827="","",Квартиры!E827)</f>
        <v/>
      </c>
      <c r="G829">
        <f>IF(Квартиры!F827="","",Квартиры!F827)</f>
        <v/>
      </c>
      <c r="H829">
        <f>IF(Квартиры!H827="","",Квартиры!H827)</f>
        <v/>
      </c>
      <c r="I829">
        <f>IF(Квартиры!I827="","",Квартиры!I827)</f>
        <v/>
      </c>
      <c r="J829">
        <f>IF(Квартиры!J827="","",Квартиры!J827)</f>
        <v/>
      </c>
    </row>
    <row r="830">
      <c r="A830">
        <f>IF(Квартиры!A828="","",Квартиры!A828)</f>
        <v/>
      </c>
      <c r="B830">
        <f>IF(Квартиры!B828="","",Квартиры!B828)</f>
        <v/>
      </c>
      <c r="C830">
        <f>IF(Квартиры!C828="","",Квартиры!C828)</f>
        <v/>
      </c>
      <c r="D830">
        <f>IF(Квартиры!D828="","",Квартиры!D828)</f>
        <v/>
      </c>
      <c r="E830">
        <f>IF(Квартиры!G828="","",Квартиры!G828)</f>
        <v/>
      </c>
      <c r="F830">
        <f>IF(Квартиры!E828="","",Квартиры!E828)</f>
        <v/>
      </c>
      <c r="G830">
        <f>IF(Квартиры!F828="","",Квартиры!F828)</f>
        <v/>
      </c>
      <c r="H830">
        <f>IF(Квартиры!H828="","",Квартиры!H828)</f>
        <v/>
      </c>
      <c r="I830">
        <f>IF(Квартиры!I828="","",Квартиры!I828)</f>
        <v/>
      </c>
      <c r="J830">
        <f>IF(Квартиры!J828="","",Квартиры!J828)</f>
        <v/>
      </c>
    </row>
    <row r="831">
      <c r="A831">
        <f>IF(Квартиры!A829="","",Квартиры!A829)</f>
        <v/>
      </c>
      <c r="B831">
        <f>IF(Квартиры!B829="","",Квартиры!B829)</f>
        <v/>
      </c>
      <c r="C831">
        <f>IF(Квартиры!C829="","",Квартиры!C829)</f>
        <v/>
      </c>
      <c r="D831">
        <f>IF(Квартиры!D829="","",Квартиры!D829)</f>
        <v/>
      </c>
      <c r="E831">
        <f>IF(Квартиры!G829="","",Квартиры!G829)</f>
        <v/>
      </c>
      <c r="F831">
        <f>IF(Квартиры!E829="","",Квартиры!E829)</f>
        <v/>
      </c>
      <c r="G831">
        <f>IF(Квартиры!F829="","",Квартиры!F829)</f>
        <v/>
      </c>
      <c r="H831">
        <f>IF(Квартиры!H829="","",Квартиры!H829)</f>
        <v/>
      </c>
      <c r="I831">
        <f>IF(Квартиры!I829="","",Квартиры!I829)</f>
        <v/>
      </c>
      <c r="J831">
        <f>IF(Квартиры!J829="","",Квартиры!J829)</f>
        <v/>
      </c>
    </row>
    <row r="832">
      <c r="A832">
        <f>IF(Квартиры!A830="","",Квартиры!A830)</f>
        <v/>
      </c>
      <c r="B832">
        <f>IF(Квартиры!B830="","",Квартиры!B830)</f>
        <v/>
      </c>
      <c r="C832">
        <f>IF(Квартиры!C830="","",Квартиры!C830)</f>
        <v/>
      </c>
      <c r="D832">
        <f>IF(Квартиры!D830="","",Квартиры!D830)</f>
        <v/>
      </c>
      <c r="E832">
        <f>IF(Квартиры!G830="","",Квартиры!G830)</f>
        <v/>
      </c>
      <c r="F832">
        <f>IF(Квартиры!E830="","",Квартиры!E830)</f>
        <v/>
      </c>
      <c r="G832">
        <f>IF(Квартиры!F830="","",Квартиры!F830)</f>
        <v/>
      </c>
      <c r="H832">
        <f>IF(Квартиры!H830="","",Квартиры!H830)</f>
        <v/>
      </c>
      <c r="I832">
        <f>IF(Квартиры!I830="","",Квартиры!I830)</f>
        <v/>
      </c>
      <c r="J832">
        <f>IF(Квартиры!J830="","",Квартиры!J830)</f>
        <v/>
      </c>
    </row>
    <row r="833">
      <c r="A833">
        <f>IF(Квартиры!A831="","",Квартиры!A831)</f>
        <v/>
      </c>
      <c r="B833">
        <f>IF(Квартиры!B831="","",Квартиры!B831)</f>
        <v/>
      </c>
      <c r="C833">
        <f>IF(Квартиры!C831="","",Квартиры!C831)</f>
        <v/>
      </c>
      <c r="D833">
        <f>IF(Квартиры!D831="","",Квартиры!D831)</f>
        <v/>
      </c>
      <c r="E833">
        <f>IF(Квартиры!G831="","",Квартиры!G831)</f>
        <v/>
      </c>
      <c r="F833">
        <f>IF(Квартиры!E831="","",Квартиры!E831)</f>
        <v/>
      </c>
      <c r="G833">
        <f>IF(Квартиры!F831="","",Квартиры!F831)</f>
        <v/>
      </c>
      <c r="H833">
        <f>IF(Квартиры!H831="","",Квартиры!H831)</f>
        <v/>
      </c>
      <c r="I833">
        <f>IF(Квартиры!I831="","",Квартиры!I831)</f>
        <v/>
      </c>
      <c r="J833">
        <f>IF(Квартиры!J831="","",Квартиры!J831)</f>
        <v/>
      </c>
    </row>
    <row r="834">
      <c r="A834">
        <f>IF(Квартиры!A832="","",Квартиры!A832)</f>
        <v/>
      </c>
      <c r="B834">
        <f>IF(Квартиры!B832="","",Квартиры!B832)</f>
        <v/>
      </c>
      <c r="C834">
        <f>IF(Квартиры!C832="","",Квартиры!C832)</f>
        <v/>
      </c>
      <c r="D834">
        <f>IF(Квартиры!D832="","",Квартиры!D832)</f>
        <v/>
      </c>
      <c r="E834">
        <f>IF(Квартиры!G832="","",Квартиры!G832)</f>
        <v/>
      </c>
      <c r="F834">
        <f>IF(Квартиры!E832="","",Квартиры!E832)</f>
        <v/>
      </c>
      <c r="G834">
        <f>IF(Квартиры!F832="","",Квартиры!F832)</f>
        <v/>
      </c>
      <c r="H834">
        <f>IF(Квартиры!H832="","",Квартиры!H832)</f>
        <v/>
      </c>
      <c r="I834">
        <f>IF(Квартиры!I832="","",Квартиры!I832)</f>
        <v/>
      </c>
      <c r="J834">
        <f>IF(Квартиры!J832="","",Квартиры!J832)</f>
        <v/>
      </c>
    </row>
    <row r="835">
      <c r="A835">
        <f>IF(Квартиры!A833="","",Квартиры!A833)</f>
        <v/>
      </c>
      <c r="B835">
        <f>IF(Квартиры!B833="","",Квартиры!B833)</f>
        <v/>
      </c>
      <c r="C835">
        <f>IF(Квартиры!C833="","",Квартиры!C833)</f>
        <v/>
      </c>
      <c r="D835">
        <f>IF(Квартиры!D833="","",Квартиры!D833)</f>
        <v/>
      </c>
      <c r="E835">
        <f>IF(Квартиры!G833="","",Квартиры!G833)</f>
        <v/>
      </c>
      <c r="F835">
        <f>IF(Квартиры!E833="","",Квартиры!E833)</f>
        <v/>
      </c>
      <c r="G835">
        <f>IF(Квартиры!F833="","",Квартиры!F833)</f>
        <v/>
      </c>
      <c r="H835">
        <f>IF(Квартиры!H833="","",Квартиры!H833)</f>
        <v/>
      </c>
      <c r="I835">
        <f>IF(Квартиры!I833="","",Квартиры!I833)</f>
        <v/>
      </c>
      <c r="J835">
        <f>IF(Квартиры!J833="","",Квартиры!J833)</f>
        <v/>
      </c>
    </row>
    <row r="836">
      <c r="A836">
        <f>IF(Квартиры!A834="","",Квартиры!A834)</f>
        <v/>
      </c>
      <c r="B836">
        <f>IF(Квартиры!B834="","",Квартиры!B834)</f>
        <v/>
      </c>
      <c r="C836">
        <f>IF(Квартиры!C834="","",Квартиры!C834)</f>
        <v/>
      </c>
      <c r="D836">
        <f>IF(Квартиры!D834="","",Квартиры!D834)</f>
        <v/>
      </c>
      <c r="E836">
        <f>IF(Квартиры!G834="","",Квартиры!G834)</f>
        <v/>
      </c>
      <c r="F836">
        <f>IF(Квартиры!E834="","",Квартиры!E834)</f>
        <v/>
      </c>
      <c r="G836">
        <f>IF(Квартиры!F834="","",Квартиры!F834)</f>
        <v/>
      </c>
      <c r="H836">
        <f>IF(Квартиры!H834="","",Квартиры!H834)</f>
        <v/>
      </c>
      <c r="I836">
        <f>IF(Квартиры!I834="","",Квартиры!I834)</f>
        <v/>
      </c>
      <c r="J836">
        <f>IF(Квартиры!J834="","",Квартиры!J834)</f>
        <v/>
      </c>
    </row>
    <row r="837">
      <c r="A837">
        <f>IF(Квартиры!A835="","",Квартиры!A835)</f>
        <v/>
      </c>
      <c r="B837">
        <f>IF(Квартиры!B835="","",Квартиры!B835)</f>
        <v/>
      </c>
      <c r="C837">
        <f>IF(Квартиры!C835="","",Квартиры!C835)</f>
        <v/>
      </c>
      <c r="D837">
        <f>IF(Квартиры!D835="","",Квартиры!D835)</f>
        <v/>
      </c>
      <c r="E837">
        <f>IF(Квартиры!G835="","",Квартиры!G835)</f>
        <v/>
      </c>
      <c r="F837">
        <f>IF(Квартиры!E835="","",Квартиры!E835)</f>
        <v/>
      </c>
      <c r="G837">
        <f>IF(Квартиры!F835="","",Квартиры!F835)</f>
        <v/>
      </c>
      <c r="H837">
        <f>IF(Квартиры!H835="","",Квартиры!H835)</f>
        <v/>
      </c>
      <c r="I837">
        <f>IF(Квартиры!I835="","",Квартиры!I835)</f>
        <v/>
      </c>
      <c r="J837">
        <f>IF(Квартиры!J835="","",Квартиры!J835)</f>
        <v/>
      </c>
    </row>
    <row r="838">
      <c r="A838">
        <f>IF(Квартиры!A836="","",Квартиры!A836)</f>
        <v/>
      </c>
      <c r="B838">
        <f>IF(Квартиры!B836="","",Квартиры!B836)</f>
        <v/>
      </c>
      <c r="C838">
        <f>IF(Квартиры!C836="","",Квартиры!C836)</f>
        <v/>
      </c>
      <c r="D838">
        <f>IF(Квартиры!D836="","",Квартиры!D836)</f>
        <v/>
      </c>
      <c r="E838">
        <f>IF(Квартиры!G836="","",Квартиры!G836)</f>
        <v/>
      </c>
      <c r="F838">
        <f>IF(Квартиры!E836="","",Квартиры!E836)</f>
        <v/>
      </c>
      <c r="G838">
        <f>IF(Квартиры!F836="","",Квартиры!F836)</f>
        <v/>
      </c>
      <c r="H838">
        <f>IF(Квартиры!H836="","",Квартиры!H836)</f>
        <v/>
      </c>
      <c r="I838">
        <f>IF(Квартиры!I836="","",Квартиры!I836)</f>
        <v/>
      </c>
      <c r="J838">
        <f>IF(Квартиры!J836="","",Квартиры!J836)</f>
        <v/>
      </c>
    </row>
    <row r="839">
      <c r="A839">
        <f>IF(Квартиры!A837="","",Квартиры!A837)</f>
        <v/>
      </c>
      <c r="B839">
        <f>IF(Квартиры!B837="","",Квартиры!B837)</f>
        <v/>
      </c>
      <c r="C839">
        <f>IF(Квартиры!C837="","",Квартиры!C837)</f>
        <v/>
      </c>
      <c r="D839">
        <f>IF(Квартиры!D837="","",Квартиры!D837)</f>
        <v/>
      </c>
      <c r="E839">
        <f>IF(Квартиры!G837="","",Квартиры!G837)</f>
        <v/>
      </c>
      <c r="F839">
        <f>IF(Квартиры!E837="","",Квартиры!E837)</f>
        <v/>
      </c>
      <c r="G839">
        <f>IF(Квартиры!F837="","",Квартиры!F837)</f>
        <v/>
      </c>
      <c r="H839">
        <f>IF(Квартиры!H837="","",Квартиры!H837)</f>
        <v/>
      </c>
      <c r="I839">
        <f>IF(Квартиры!I837="","",Квартиры!I837)</f>
        <v/>
      </c>
      <c r="J839">
        <f>IF(Квартиры!J837="","",Квартиры!J837)</f>
        <v/>
      </c>
    </row>
    <row r="840">
      <c r="A840">
        <f>IF(Квартиры!A838="","",Квартиры!A838)</f>
        <v/>
      </c>
      <c r="B840">
        <f>IF(Квартиры!B838="","",Квартиры!B838)</f>
        <v/>
      </c>
      <c r="C840">
        <f>IF(Квартиры!C838="","",Квартиры!C838)</f>
        <v/>
      </c>
      <c r="D840">
        <f>IF(Квартиры!D838="","",Квартиры!D838)</f>
        <v/>
      </c>
      <c r="E840">
        <f>IF(Квартиры!G838="","",Квартиры!G838)</f>
        <v/>
      </c>
      <c r="F840">
        <f>IF(Квартиры!E838="","",Квартиры!E838)</f>
        <v/>
      </c>
      <c r="G840">
        <f>IF(Квартиры!F838="","",Квартиры!F838)</f>
        <v/>
      </c>
      <c r="H840">
        <f>IF(Квартиры!H838="","",Квартиры!H838)</f>
        <v/>
      </c>
      <c r="I840">
        <f>IF(Квартиры!I838="","",Квартиры!I838)</f>
        <v/>
      </c>
      <c r="J840">
        <f>IF(Квартиры!J838="","",Квартиры!J838)</f>
        <v/>
      </c>
    </row>
    <row r="841">
      <c r="A841">
        <f>IF(Квартиры!A839="","",Квартиры!A839)</f>
        <v/>
      </c>
      <c r="B841">
        <f>IF(Квартиры!B839="","",Квартиры!B839)</f>
        <v/>
      </c>
      <c r="C841">
        <f>IF(Квартиры!C839="","",Квартиры!C839)</f>
        <v/>
      </c>
      <c r="D841">
        <f>IF(Квартиры!D839="","",Квартиры!D839)</f>
        <v/>
      </c>
      <c r="E841">
        <f>IF(Квартиры!G839="","",Квартиры!G839)</f>
        <v/>
      </c>
      <c r="F841">
        <f>IF(Квартиры!E839="","",Квартиры!E839)</f>
        <v/>
      </c>
      <c r="G841">
        <f>IF(Квартиры!F839="","",Квартиры!F839)</f>
        <v/>
      </c>
      <c r="H841">
        <f>IF(Квартиры!H839="","",Квартиры!H839)</f>
        <v/>
      </c>
      <c r="I841">
        <f>IF(Квартиры!I839="","",Квартиры!I839)</f>
        <v/>
      </c>
      <c r="J841">
        <f>IF(Квартиры!J839="","",Квартиры!J839)</f>
        <v/>
      </c>
    </row>
    <row r="842">
      <c r="A842">
        <f>IF(Квартиры!A840="","",Квартиры!A840)</f>
        <v/>
      </c>
      <c r="B842">
        <f>IF(Квартиры!B840="","",Квартиры!B840)</f>
        <v/>
      </c>
      <c r="C842">
        <f>IF(Квартиры!C840="","",Квартиры!C840)</f>
        <v/>
      </c>
      <c r="D842">
        <f>IF(Квартиры!D840="","",Квартиры!D840)</f>
        <v/>
      </c>
      <c r="E842">
        <f>IF(Квартиры!G840="","",Квартиры!G840)</f>
        <v/>
      </c>
      <c r="F842">
        <f>IF(Квартиры!E840="","",Квартиры!E840)</f>
        <v/>
      </c>
      <c r="G842">
        <f>IF(Квартиры!F840="","",Квартиры!F840)</f>
        <v/>
      </c>
      <c r="H842">
        <f>IF(Квартиры!H840="","",Квартиры!H840)</f>
        <v/>
      </c>
      <c r="I842">
        <f>IF(Квартиры!I840="","",Квартиры!I840)</f>
        <v/>
      </c>
      <c r="J842">
        <f>IF(Квартиры!J840="","",Квартиры!J840)</f>
        <v/>
      </c>
    </row>
    <row r="843">
      <c r="A843">
        <f>IF(Квартиры!A841="","",Квартиры!A841)</f>
        <v/>
      </c>
      <c r="B843">
        <f>IF(Квартиры!B841="","",Квартиры!B841)</f>
        <v/>
      </c>
      <c r="C843">
        <f>IF(Квартиры!C841="","",Квартиры!C841)</f>
        <v/>
      </c>
      <c r="D843">
        <f>IF(Квартиры!D841="","",Квартиры!D841)</f>
        <v/>
      </c>
      <c r="E843">
        <f>IF(Квартиры!G841="","",Квартиры!G841)</f>
        <v/>
      </c>
      <c r="F843">
        <f>IF(Квартиры!E841="","",Квартиры!E841)</f>
        <v/>
      </c>
      <c r="G843">
        <f>IF(Квартиры!F841="","",Квартиры!F841)</f>
        <v/>
      </c>
      <c r="H843">
        <f>IF(Квартиры!H841="","",Квартиры!H841)</f>
        <v/>
      </c>
      <c r="I843">
        <f>IF(Квартиры!I841="","",Квартиры!I841)</f>
        <v/>
      </c>
      <c r="J843">
        <f>IF(Квартиры!J841="","",Квартиры!J841)</f>
        <v/>
      </c>
    </row>
    <row r="844">
      <c r="A844">
        <f>IF(Квартиры!A842="","",Квартиры!A842)</f>
        <v/>
      </c>
      <c r="B844">
        <f>IF(Квартиры!B842="","",Квартиры!B842)</f>
        <v/>
      </c>
      <c r="C844">
        <f>IF(Квартиры!C842="","",Квартиры!C842)</f>
        <v/>
      </c>
      <c r="D844">
        <f>IF(Квартиры!D842="","",Квартиры!D842)</f>
        <v/>
      </c>
      <c r="E844">
        <f>IF(Квартиры!G842="","",Квартиры!G842)</f>
        <v/>
      </c>
      <c r="F844">
        <f>IF(Квартиры!E842="","",Квартиры!E842)</f>
        <v/>
      </c>
      <c r="G844">
        <f>IF(Квартиры!F842="","",Квартиры!F842)</f>
        <v/>
      </c>
      <c r="H844">
        <f>IF(Квартиры!H842="","",Квартиры!H842)</f>
        <v/>
      </c>
      <c r="I844">
        <f>IF(Квартиры!I842="","",Квартиры!I842)</f>
        <v/>
      </c>
      <c r="J844">
        <f>IF(Квартиры!J842="","",Квартиры!J842)</f>
        <v/>
      </c>
    </row>
    <row r="845">
      <c r="A845">
        <f>IF(Квартиры!A843="","",Квартиры!A843)</f>
        <v/>
      </c>
      <c r="B845">
        <f>IF(Квартиры!B843="","",Квартиры!B843)</f>
        <v/>
      </c>
      <c r="C845">
        <f>IF(Квартиры!C843="","",Квартиры!C843)</f>
        <v/>
      </c>
      <c r="D845">
        <f>IF(Квартиры!D843="","",Квартиры!D843)</f>
        <v/>
      </c>
      <c r="E845">
        <f>IF(Квартиры!G843="","",Квартиры!G843)</f>
        <v/>
      </c>
      <c r="F845">
        <f>IF(Квартиры!E843="","",Квартиры!E843)</f>
        <v/>
      </c>
      <c r="G845">
        <f>IF(Квартиры!F843="","",Квартиры!F843)</f>
        <v/>
      </c>
      <c r="H845">
        <f>IF(Квартиры!H843="","",Квартиры!H843)</f>
        <v/>
      </c>
      <c r="I845">
        <f>IF(Квартиры!I843="","",Квартиры!I843)</f>
        <v/>
      </c>
      <c r="J845">
        <f>IF(Квартиры!J843="","",Квартиры!J843)</f>
        <v/>
      </c>
    </row>
    <row r="846">
      <c r="A846">
        <f>IF(Квартиры!A844="","",Квартиры!A844)</f>
        <v/>
      </c>
      <c r="B846">
        <f>IF(Квартиры!B844="","",Квартиры!B844)</f>
        <v/>
      </c>
      <c r="C846">
        <f>IF(Квартиры!C844="","",Квартиры!C844)</f>
        <v/>
      </c>
      <c r="D846">
        <f>IF(Квартиры!D844="","",Квартиры!D844)</f>
        <v/>
      </c>
      <c r="E846">
        <f>IF(Квартиры!G844="","",Квартиры!G844)</f>
        <v/>
      </c>
      <c r="F846">
        <f>IF(Квартиры!E844="","",Квартиры!E844)</f>
        <v/>
      </c>
      <c r="G846">
        <f>IF(Квартиры!F844="","",Квартиры!F844)</f>
        <v/>
      </c>
      <c r="H846">
        <f>IF(Квартиры!H844="","",Квартиры!H844)</f>
        <v/>
      </c>
      <c r="I846">
        <f>IF(Квартиры!I844="","",Квартиры!I844)</f>
        <v/>
      </c>
      <c r="J846">
        <f>IF(Квартиры!J844="","",Квартиры!J844)</f>
        <v/>
      </c>
    </row>
    <row r="847">
      <c r="A847">
        <f>IF(Квартиры!A845="","",Квартиры!A845)</f>
        <v/>
      </c>
      <c r="B847">
        <f>IF(Квартиры!B845="","",Квартиры!B845)</f>
        <v/>
      </c>
      <c r="C847">
        <f>IF(Квартиры!C845="","",Квартиры!C845)</f>
        <v/>
      </c>
      <c r="D847">
        <f>IF(Квартиры!D845="","",Квартиры!D845)</f>
        <v/>
      </c>
      <c r="E847">
        <f>IF(Квартиры!G845="","",Квартиры!G845)</f>
        <v/>
      </c>
      <c r="F847">
        <f>IF(Квартиры!E845="","",Квартиры!E845)</f>
        <v/>
      </c>
      <c r="G847">
        <f>IF(Квартиры!F845="","",Квартиры!F845)</f>
        <v/>
      </c>
      <c r="H847">
        <f>IF(Квартиры!H845="","",Квартиры!H845)</f>
        <v/>
      </c>
      <c r="I847">
        <f>IF(Квартиры!I845="","",Квартиры!I845)</f>
        <v/>
      </c>
      <c r="J847">
        <f>IF(Квартиры!J845="","",Квартиры!J845)</f>
        <v/>
      </c>
    </row>
    <row r="848">
      <c r="A848">
        <f>IF(Квартиры!A846="","",Квартиры!A846)</f>
        <v/>
      </c>
      <c r="B848">
        <f>IF(Квартиры!B846="","",Квартиры!B846)</f>
        <v/>
      </c>
      <c r="C848">
        <f>IF(Квартиры!C846="","",Квартиры!C846)</f>
        <v/>
      </c>
      <c r="D848">
        <f>IF(Квартиры!D846="","",Квартиры!D846)</f>
        <v/>
      </c>
      <c r="E848">
        <f>IF(Квартиры!G846="","",Квартиры!G846)</f>
        <v/>
      </c>
      <c r="F848">
        <f>IF(Квартиры!E846="","",Квартиры!E846)</f>
        <v/>
      </c>
      <c r="G848">
        <f>IF(Квартиры!F846="","",Квартиры!F846)</f>
        <v/>
      </c>
      <c r="H848">
        <f>IF(Квартиры!H846="","",Квартиры!H846)</f>
        <v/>
      </c>
      <c r="I848">
        <f>IF(Квартиры!I846="","",Квартиры!I846)</f>
        <v/>
      </c>
      <c r="J848">
        <f>IF(Квартиры!J846="","",Квартиры!J846)</f>
        <v/>
      </c>
    </row>
    <row r="849">
      <c r="A849">
        <f>IF(Квартиры!A847="","",Квартиры!A847)</f>
        <v/>
      </c>
      <c r="B849">
        <f>IF(Квартиры!B847="","",Квартиры!B847)</f>
        <v/>
      </c>
      <c r="C849">
        <f>IF(Квартиры!C847="","",Квартиры!C847)</f>
        <v/>
      </c>
      <c r="D849">
        <f>IF(Квартиры!D847="","",Квартиры!D847)</f>
        <v/>
      </c>
      <c r="E849">
        <f>IF(Квартиры!G847="","",Квартиры!G847)</f>
        <v/>
      </c>
      <c r="F849">
        <f>IF(Квартиры!E847="","",Квартиры!E847)</f>
        <v/>
      </c>
      <c r="G849">
        <f>IF(Квартиры!F847="","",Квартиры!F847)</f>
        <v/>
      </c>
      <c r="H849">
        <f>IF(Квартиры!H847="","",Квартиры!H847)</f>
        <v/>
      </c>
      <c r="I849">
        <f>IF(Квартиры!I847="","",Квартиры!I847)</f>
        <v/>
      </c>
      <c r="J849">
        <f>IF(Квартиры!J847="","",Квартиры!J847)</f>
        <v/>
      </c>
    </row>
    <row r="850">
      <c r="A850">
        <f>IF(Квартиры!A848="","",Квартиры!A848)</f>
        <v/>
      </c>
      <c r="B850">
        <f>IF(Квартиры!B848="","",Квартиры!B848)</f>
        <v/>
      </c>
      <c r="C850">
        <f>IF(Квартиры!C848="","",Квартиры!C848)</f>
        <v/>
      </c>
      <c r="D850">
        <f>IF(Квартиры!D848="","",Квартиры!D848)</f>
        <v/>
      </c>
      <c r="E850">
        <f>IF(Квартиры!G848="","",Квартиры!G848)</f>
        <v/>
      </c>
      <c r="F850">
        <f>IF(Квартиры!E848="","",Квартиры!E848)</f>
        <v/>
      </c>
      <c r="G850">
        <f>IF(Квартиры!F848="","",Квартиры!F848)</f>
        <v/>
      </c>
      <c r="H850">
        <f>IF(Квартиры!H848="","",Квартиры!H848)</f>
        <v/>
      </c>
      <c r="I850">
        <f>IF(Квартиры!I848="","",Квартиры!I848)</f>
        <v/>
      </c>
      <c r="J850">
        <f>IF(Квартиры!J848="","",Квартиры!J848)</f>
        <v/>
      </c>
    </row>
    <row r="851">
      <c r="A851">
        <f>IF(Квартиры!A849="","",Квартиры!A849)</f>
        <v/>
      </c>
      <c r="B851">
        <f>IF(Квартиры!B849="","",Квартиры!B849)</f>
        <v/>
      </c>
      <c r="C851">
        <f>IF(Квартиры!C849="","",Квартиры!C849)</f>
        <v/>
      </c>
      <c r="D851">
        <f>IF(Квартиры!D849="","",Квартиры!D849)</f>
        <v/>
      </c>
      <c r="E851">
        <f>IF(Квартиры!G849="","",Квартиры!G849)</f>
        <v/>
      </c>
      <c r="F851">
        <f>IF(Квартиры!E849="","",Квартиры!E849)</f>
        <v/>
      </c>
      <c r="G851">
        <f>IF(Квартиры!F849="","",Квартиры!F849)</f>
        <v/>
      </c>
      <c r="H851">
        <f>IF(Квартиры!H849="","",Квартиры!H849)</f>
        <v/>
      </c>
      <c r="I851">
        <f>IF(Квартиры!I849="","",Квартиры!I849)</f>
        <v/>
      </c>
      <c r="J851">
        <f>IF(Квартиры!J849="","",Квартиры!J849)</f>
        <v/>
      </c>
    </row>
    <row r="852">
      <c r="A852">
        <f>IF(Квартиры!A850="","",Квартиры!A850)</f>
        <v/>
      </c>
      <c r="B852">
        <f>IF(Квартиры!B850="","",Квартиры!B850)</f>
        <v/>
      </c>
      <c r="C852">
        <f>IF(Квартиры!C850="","",Квартиры!C850)</f>
        <v/>
      </c>
      <c r="D852">
        <f>IF(Квартиры!D850="","",Квартиры!D850)</f>
        <v/>
      </c>
      <c r="E852">
        <f>IF(Квартиры!G850="","",Квартиры!G850)</f>
        <v/>
      </c>
      <c r="F852">
        <f>IF(Квартиры!E850="","",Квартиры!E850)</f>
        <v/>
      </c>
      <c r="G852">
        <f>IF(Квартиры!F850="","",Квартиры!F850)</f>
        <v/>
      </c>
      <c r="H852">
        <f>IF(Квартиры!H850="","",Квартиры!H850)</f>
        <v/>
      </c>
      <c r="I852">
        <f>IF(Квартиры!I850="","",Квартиры!I850)</f>
        <v/>
      </c>
      <c r="J852">
        <f>IF(Квартиры!J850="","",Квартиры!J850)</f>
        <v/>
      </c>
    </row>
    <row r="853">
      <c r="A853">
        <f>IF(Квартиры!A851="","",Квартиры!A851)</f>
        <v/>
      </c>
      <c r="B853">
        <f>IF(Квартиры!B851="","",Квартиры!B851)</f>
        <v/>
      </c>
      <c r="C853">
        <f>IF(Квартиры!C851="","",Квартиры!C851)</f>
        <v/>
      </c>
      <c r="D853">
        <f>IF(Квартиры!D851="","",Квартиры!D851)</f>
        <v/>
      </c>
      <c r="E853">
        <f>IF(Квартиры!G851="","",Квартиры!G851)</f>
        <v/>
      </c>
      <c r="F853">
        <f>IF(Квартиры!E851="","",Квартиры!E851)</f>
        <v/>
      </c>
      <c r="G853">
        <f>IF(Квартиры!F851="","",Квартиры!F851)</f>
        <v/>
      </c>
      <c r="H853">
        <f>IF(Квартиры!H851="","",Квартиры!H851)</f>
        <v/>
      </c>
      <c r="I853">
        <f>IF(Квартиры!I851="","",Квартиры!I851)</f>
        <v/>
      </c>
      <c r="J853">
        <f>IF(Квартиры!J851="","",Квартиры!J851)</f>
        <v/>
      </c>
    </row>
    <row r="854">
      <c r="A854">
        <f>IF(Квартиры!A852="","",Квартиры!A852)</f>
        <v/>
      </c>
      <c r="B854">
        <f>IF(Квартиры!B852="","",Квартиры!B852)</f>
        <v/>
      </c>
      <c r="C854">
        <f>IF(Квартиры!C852="","",Квартиры!C852)</f>
        <v/>
      </c>
      <c r="D854">
        <f>IF(Квартиры!D852="","",Квартиры!D852)</f>
        <v/>
      </c>
      <c r="E854">
        <f>IF(Квартиры!G852="","",Квартиры!G852)</f>
        <v/>
      </c>
      <c r="F854">
        <f>IF(Квартиры!E852="","",Квартиры!E852)</f>
        <v/>
      </c>
      <c r="G854">
        <f>IF(Квартиры!F852="","",Квартиры!F852)</f>
        <v/>
      </c>
      <c r="H854">
        <f>IF(Квартиры!H852="","",Квартиры!H852)</f>
        <v/>
      </c>
      <c r="I854">
        <f>IF(Квартиры!I852="","",Квартиры!I852)</f>
        <v/>
      </c>
      <c r="J854">
        <f>IF(Квартиры!J852="","",Квартиры!J852)</f>
        <v/>
      </c>
    </row>
    <row r="855">
      <c r="A855">
        <f>IF(Квартиры!A853="","",Квартиры!A853)</f>
        <v/>
      </c>
      <c r="B855">
        <f>IF(Квартиры!B853="","",Квартиры!B853)</f>
        <v/>
      </c>
      <c r="C855">
        <f>IF(Квартиры!C853="","",Квартиры!C853)</f>
        <v/>
      </c>
      <c r="D855">
        <f>IF(Квартиры!D853="","",Квартиры!D853)</f>
        <v/>
      </c>
      <c r="E855">
        <f>IF(Квартиры!G853="","",Квартиры!G853)</f>
        <v/>
      </c>
      <c r="F855">
        <f>IF(Квартиры!E853="","",Квартиры!E853)</f>
        <v/>
      </c>
      <c r="G855">
        <f>IF(Квартиры!F853="","",Квартиры!F853)</f>
        <v/>
      </c>
      <c r="H855">
        <f>IF(Квартиры!H853="","",Квартиры!H853)</f>
        <v/>
      </c>
      <c r="I855">
        <f>IF(Квартиры!I853="","",Квартиры!I853)</f>
        <v/>
      </c>
      <c r="J855">
        <f>IF(Квартиры!J853="","",Квартиры!J853)</f>
        <v/>
      </c>
    </row>
    <row r="856">
      <c r="A856">
        <f>IF(Квартиры!A854="","",Квартиры!A854)</f>
        <v/>
      </c>
      <c r="B856">
        <f>IF(Квартиры!B854="","",Квартиры!B854)</f>
        <v/>
      </c>
      <c r="C856">
        <f>IF(Квартиры!C854="","",Квартиры!C854)</f>
        <v/>
      </c>
      <c r="D856">
        <f>IF(Квартиры!D854="","",Квартиры!D854)</f>
        <v/>
      </c>
      <c r="E856">
        <f>IF(Квартиры!G854="","",Квартиры!G854)</f>
        <v/>
      </c>
      <c r="F856">
        <f>IF(Квартиры!E854="","",Квартиры!E854)</f>
        <v/>
      </c>
      <c r="G856">
        <f>IF(Квартиры!F854="","",Квартиры!F854)</f>
        <v/>
      </c>
      <c r="H856">
        <f>IF(Квартиры!H854="","",Квартиры!H854)</f>
        <v/>
      </c>
      <c r="I856">
        <f>IF(Квартиры!I854="","",Квартиры!I854)</f>
        <v/>
      </c>
      <c r="J856">
        <f>IF(Квартиры!J854="","",Квартиры!J854)</f>
        <v/>
      </c>
    </row>
    <row r="857">
      <c r="A857">
        <f>IF(Квартиры!A855="","",Квартиры!A855)</f>
        <v/>
      </c>
      <c r="B857">
        <f>IF(Квартиры!B855="","",Квартиры!B855)</f>
        <v/>
      </c>
      <c r="C857">
        <f>IF(Квартиры!C855="","",Квартиры!C855)</f>
        <v/>
      </c>
      <c r="D857">
        <f>IF(Квартиры!D855="","",Квартиры!D855)</f>
        <v/>
      </c>
      <c r="E857">
        <f>IF(Квартиры!G855="","",Квартиры!G855)</f>
        <v/>
      </c>
      <c r="F857">
        <f>IF(Квартиры!E855="","",Квартиры!E855)</f>
        <v/>
      </c>
      <c r="G857">
        <f>IF(Квартиры!F855="","",Квартиры!F855)</f>
        <v/>
      </c>
      <c r="H857">
        <f>IF(Квартиры!H855="","",Квартиры!H855)</f>
        <v/>
      </c>
      <c r="I857">
        <f>IF(Квартиры!I855="","",Квартиры!I855)</f>
        <v/>
      </c>
      <c r="J857">
        <f>IF(Квартиры!J855="","",Квартиры!J855)</f>
        <v/>
      </c>
    </row>
    <row r="858">
      <c r="A858">
        <f>IF(Квартиры!A856="","",Квартиры!A856)</f>
        <v/>
      </c>
      <c r="B858">
        <f>IF(Квартиры!B856="","",Квартиры!B856)</f>
        <v/>
      </c>
      <c r="C858">
        <f>IF(Квартиры!C856="","",Квартиры!C856)</f>
        <v/>
      </c>
      <c r="D858">
        <f>IF(Квартиры!D856="","",Квартиры!D856)</f>
        <v/>
      </c>
      <c r="E858">
        <f>IF(Квартиры!G856="","",Квартиры!G856)</f>
        <v/>
      </c>
      <c r="F858">
        <f>IF(Квартиры!E856="","",Квартиры!E856)</f>
        <v/>
      </c>
      <c r="G858">
        <f>IF(Квартиры!F856="","",Квартиры!F856)</f>
        <v/>
      </c>
      <c r="H858">
        <f>IF(Квартиры!H856="","",Квартиры!H856)</f>
        <v/>
      </c>
      <c r="I858">
        <f>IF(Квартиры!I856="","",Квартиры!I856)</f>
        <v/>
      </c>
      <c r="J858">
        <f>IF(Квартиры!J856="","",Квартиры!J856)</f>
        <v/>
      </c>
    </row>
    <row r="859">
      <c r="A859">
        <f>IF(Квартиры!A857="","",Квартиры!A857)</f>
        <v/>
      </c>
      <c r="B859">
        <f>IF(Квартиры!B857="","",Квартиры!B857)</f>
        <v/>
      </c>
      <c r="C859">
        <f>IF(Квартиры!C857="","",Квартиры!C857)</f>
        <v/>
      </c>
      <c r="D859">
        <f>IF(Квартиры!D857="","",Квартиры!D857)</f>
        <v/>
      </c>
      <c r="E859">
        <f>IF(Квартиры!G857="","",Квартиры!G857)</f>
        <v/>
      </c>
      <c r="F859">
        <f>IF(Квартиры!E857="","",Квартиры!E857)</f>
        <v/>
      </c>
      <c r="G859">
        <f>IF(Квартиры!F857="","",Квартиры!F857)</f>
        <v/>
      </c>
      <c r="H859">
        <f>IF(Квартиры!H857="","",Квартиры!H857)</f>
        <v/>
      </c>
      <c r="I859">
        <f>IF(Квартиры!I857="","",Квартиры!I857)</f>
        <v/>
      </c>
      <c r="J859">
        <f>IF(Квартиры!J857="","",Квартиры!J857)</f>
        <v/>
      </c>
    </row>
    <row r="860">
      <c r="A860">
        <f>IF(Квартиры!A858="","",Квартиры!A858)</f>
        <v/>
      </c>
      <c r="B860">
        <f>IF(Квартиры!B858="","",Квартиры!B858)</f>
        <v/>
      </c>
      <c r="C860">
        <f>IF(Квартиры!C858="","",Квартиры!C858)</f>
        <v/>
      </c>
      <c r="D860">
        <f>IF(Квартиры!D858="","",Квартиры!D858)</f>
        <v/>
      </c>
      <c r="E860">
        <f>IF(Квартиры!G858="","",Квартиры!G858)</f>
        <v/>
      </c>
      <c r="F860">
        <f>IF(Квартиры!E858="","",Квартиры!E858)</f>
        <v/>
      </c>
      <c r="G860">
        <f>IF(Квартиры!F858="","",Квартиры!F858)</f>
        <v/>
      </c>
      <c r="H860">
        <f>IF(Квартиры!H858="","",Квартиры!H858)</f>
        <v/>
      </c>
      <c r="I860">
        <f>IF(Квартиры!I858="","",Квартиры!I858)</f>
        <v/>
      </c>
      <c r="J860">
        <f>IF(Квартиры!J858="","",Квартиры!J858)</f>
        <v/>
      </c>
    </row>
    <row r="861">
      <c r="A861">
        <f>IF(Квартиры!A859="","",Квартиры!A859)</f>
        <v/>
      </c>
      <c r="B861">
        <f>IF(Квартиры!B859="","",Квартиры!B859)</f>
        <v/>
      </c>
      <c r="C861">
        <f>IF(Квартиры!C859="","",Квартиры!C859)</f>
        <v/>
      </c>
      <c r="D861">
        <f>IF(Квартиры!D859="","",Квартиры!D859)</f>
        <v/>
      </c>
      <c r="E861">
        <f>IF(Квартиры!G859="","",Квартиры!G859)</f>
        <v/>
      </c>
      <c r="F861">
        <f>IF(Квартиры!E859="","",Квартиры!E859)</f>
        <v/>
      </c>
      <c r="G861">
        <f>IF(Квартиры!F859="","",Квартиры!F859)</f>
        <v/>
      </c>
      <c r="H861">
        <f>IF(Квартиры!H859="","",Квартиры!H859)</f>
        <v/>
      </c>
      <c r="I861">
        <f>IF(Квартиры!I859="","",Квартиры!I859)</f>
        <v/>
      </c>
      <c r="J861">
        <f>IF(Квартиры!J859="","",Квартиры!J859)</f>
        <v/>
      </c>
    </row>
    <row r="862">
      <c r="A862">
        <f>IF(Квартиры!A860="","",Квартиры!A860)</f>
        <v/>
      </c>
      <c r="B862">
        <f>IF(Квартиры!B860="","",Квартиры!B860)</f>
        <v/>
      </c>
      <c r="C862">
        <f>IF(Квартиры!C860="","",Квартиры!C860)</f>
        <v/>
      </c>
      <c r="D862">
        <f>IF(Квартиры!D860="","",Квартиры!D860)</f>
        <v/>
      </c>
      <c r="E862">
        <f>IF(Квартиры!G860="","",Квартиры!G860)</f>
        <v/>
      </c>
      <c r="F862">
        <f>IF(Квартиры!E860="","",Квартиры!E860)</f>
        <v/>
      </c>
      <c r="G862">
        <f>IF(Квартиры!F860="","",Квартиры!F860)</f>
        <v/>
      </c>
      <c r="H862">
        <f>IF(Квартиры!H860="","",Квартиры!H860)</f>
        <v/>
      </c>
      <c r="I862">
        <f>IF(Квартиры!I860="","",Квартиры!I860)</f>
        <v/>
      </c>
      <c r="J862">
        <f>IF(Квартиры!J860="","",Квартиры!J860)</f>
        <v/>
      </c>
    </row>
    <row r="863">
      <c r="A863">
        <f>IF(Квартиры!A861="","",Квартиры!A861)</f>
        <v/>
      </c>
      <c r="B863">
        <f>IF(Квартиры!B861="","",Квартиры!B861)</f>
        <v/>
      </c>
      <c r="C863">
        <f>IF(Квартиры!C861="","",Квартиры!C861)</f>
        <v/>
      </c>
      <c r="D863">
        <f>IF(Квартиры!D861="","",Квартиры!D861)</f>
        <v/>
      </c>
      <c r="E863">
        <f>IF(Квартиры!G861="","",Квартиры!G861)</f>
        <v/>
      </c>
      <c r="F863">
        <f>IF(Квартиры!E861="","",Квартиры!E861)</f>
        <v/>
      </c>
      <c r="G863">
        <f>IF(Квартиры!F861="","",Квартиры!F861)</f>
        <v/>
      </c>
      <c r="H863">
        <f>IF(Квартиры!H861="","",Квартиры!H861)</f>
        <v/>
      </c>
      <c r="I863">
        <f>IF(Квартиры!I861="","",Квартиры!I861)</f>
        <v/>
      </c>
      <c r="J863">
        <f>IF(Квартиры!J861="","",Квартиры!J861)</f>
        <v/>
      </c>
    </row>
    <row r="864">
      <c r="A864">
        <f>IF(Квартиры!A862="","",Квартиры!A862)</f>
        <v/>
      </c>
      <c r="B864">
        <f>IF(Квартиры!B862="","",Квартиры!B862)</f>
        <v/>
      </c>
      <c r="C864">
        <f>IF(Квартиры!C862="","",Квартиры!C862)</f>
        <v/>
      </c>
      <c r="D864">
        <f>IF(Квартиры!D862="","",Квартиры!D862)</f>
        <v/>
      </c>
      <c r="E864">
        <f>IF(Квартиры!G862="","",Квартиры!G862)</f>
        <v/>
      </c>
      <c r="F864">
        <f>IF(Квартиры!E862="","",Квартиры!E862)</f>
        <v/>
      </c>
      <c r="G864">
        <f>IF(Квартиры!F862="","",Квартиры!F862)</f>
        <v/>
      </c>
      <c r="H864">
        <f>IF(Квартиры!H862="","",Квартиры!H862)</f>
        <v/>
      </c>
      <c r="I864">
        <f>IF(Квартиры!I862="","",Квартиры!I862)</f>
        <v/>
      </c>
      <c r="J864">
        <f>IF(Квартиры!J862="","",Квартиры!J862)</f>
        <v/>
      </c>
    </row>
    <row r="865">
      <c r="A865">
        <f>IF(Квартиры!A863="","",Квартиры!A863)</f>
        <v/>
      </c>
      <c r="B865">
        <f>IF(Квартиры!B863="","",Квартиры!B863)</f>
        <v/>
      </c>
      <c r="C865">
        <f>IF(Квартиры!C863="","",Квартиры!C863)</f>
        <v/>
      </c>
      <c r="D865">
        <f>IF(Квартиры!D863="","",Квартиры!D863)</f>
        <v/>
      </c>
      <c r="E865">
        <f>IF(Квартиры!G863="","",Квартиры!G863)</f>
        <v/>
      </c>
      <c r="F865">
        <f>IF(Квартиры!E863="","",Квартиры!E863)</f>
        <v/>
      </c>
      <c r="G865">
        <f>IF(Квартиры!F863="","",Квартиры!F863)</f>
        <v/>
      </c>
      <c r="H865">
        <f>IF(Квартиры!H863="","",Квартиры!H863)</f>
        <v/>
      </c>
      <c r="I865">
        <f>IF(Квартиры!I863="","",Квартиры!I863)</f>
        <v/>
      </c>
      <c r="J865">
        <f>IF(Квартиры!J863="","",Квартиры!J863)</f>
        <v/>
      </c>
    </row>
    <row r="866">
      <c r="A866">
        <f>IF(Квартиры!A864="","",Квартиры!A864)</f>
        <v/>
      </c>
      <c r="B866">
        <f>IF(Квартиры!B864="","",Квартиры!B864)</f>
        <v/>
      </c>
      <c r="C866">
        <f>IF(Квартиры!C864="","",Квартиры!C864)</f>
        <v/>
      </c>
      <c r="D866">
        <f>IF(Квартиры!D864="","",Квартиры!D864)</f>
        <v/>
      </c>
      <c r="E866">
        <f>IF(Квартиры!G864="","",Квартиры!G864)</f>
        <v/>
      </c>
      <c r="F866">
        <f>IF(Квартиры!E864="","",Квартиры!E864)</f>
        <v/>
      </c>
      <c r="G866">
        <f>IF(Квартиры!F864="","",Квартиры!F864)</f>
        <v/>
      </c>
      <c r="H866">
        <f>IF(Квартиры!H864="","",Квартиры!H864)</f>
        <v/>
      </c>
      <c r="I866">
        <f>IF(Квартиры!I864="","",Квартиры!I864)</f>
        <v/>
      </c>
      <c r="J866">
        <f>IF(Квартиры!J864="","",Квартиры!J864)</f>
        <v/>
      </c>
    </row>
    <row r="867">
      <c r="A867">
        <f>IF(Квартиры!A865="","",Квартиры!A865)</f>
        <v/>
      </c>
      <c r="B867">
        <f>IF(Квартиры!B865="","",Квартиры!B865)</f>
        <v/>
      </c>
      <c r="C867">
        <f>IF(Квартиры!C865="","",Квартиры!C865)</f>
        <v/>
      </c>
      <c r="D867">
        <f>IF(Квартиры!D865="","",Квартиры!D865)</f>
        <v/>
      </c>
      <c r="E867">
        <f>IF(Квартиры!G865="","",Квартиры!G865)</f>
        <v/>
      </c>
      <c r="F867">
        <f>IF(Квартиры!E865="","",Квартиры!E865)</f>
        <v/>
      </c>
      <c r="G867">
        <f>IF(Квартиры!F865="","",Квартиры!F865)</f>
        <v/>
      </c>
      <c r="H867">
        <f>IF(Квартиры!H865="","",Квартиры!H865)</f>
        <v/>
      </c>
      <c r="I867">
        <f>IF(Квартиры!I865="","",Квартиры!I865)</f>
        <v/>
      </c>
      <c r="J867">
        <f>IF(Квартиры!J865="","",Квартиры!J865)</f>
        <v/>
      </c>
    </row>
    <row r="868">
      <c r="A868">
        <f>IF(Квартиры!A866="","",Квартиры!A866)</f>
        <v/>
      </c>
      <c r="B868">
        <f>IF(Квартиры!B866="","",Квартиры!B866)</f>
        <v/>
      </c>
      <c r="C868">
        <f>IF(Квартиры!C866="","",Квартиры!C866)</f>
        <v/>
      </c>
      <c r="D868">
        <f>IF(Квартиры!D866="","",Квартиры!D866)</f>
        <v/>
      </c>
      <c r="E868">
        <f>IF(Квартиры!G866="","",Квартиры!G866)</f>
        <v/>
      </c>
      <c r="F868">
        <f>IF(Квартиры!E866="","",Квартиры!E866)</f>
        <v/>
      </c>
      <c r="G868">
        <f>IF(Квартиры!F866="","",Квартиры!F866)</f>
        <v/>
      </c>
      <c r="H868">
        <f>IF(Квартиры!H866="","",Квартиры!H866)</f>
        <v/>
      </c>
      <c r="I868">
        <f>IF(Квартиры!I866="","",Квартиры!I866)</f>
        <v/>
      </c>
      <c r="J868">
        <f>IF(Квартиры!J866="","",Квартиры!J866)</f>
        <v/>
      </c>
    </row>
    <row r="869">
      <c r="A869">
        <f>IF(Квартиры!A867="","",Квартиры!A867)</f>
        <v/>
      </c>
      <c r="B869">
        <f>IF(Квартиры!B867="","",Квартиры!B867)</f>
        <v/>
      </c>
      <c r="C869">
        <f>IF(Квартиры!C867="","",Квартиры!C867)</f>
        <v/>
      </c>
      <c r="D869">
        <f>IF(Квартиры!D867="","",Квартиры!D867)</f>
        <v/>
      </c>
      <c r="E869">
        <f>IF(Квартиры!G867="","",Квартиры!G867)</f>
        <v/>
      </c>
      <c r="F869">
        <f>IF(Квартиры!E867="","",Квартиры!E867)</f>
        <v/>
      </c>
      <c r="G869">
        <f>IF(Квартиры!F867="","",Квартиры!F867)</f>
        <v/>
      </c>
      <c r="H869">
        <f>IF(Квартиры!H867="","",Квартиры!H867)</f>
        <v/>
      </c>
      <c r="I869">
        <f>IF(Квартиры!I867="","",Квартиры!I867)</f>
        <v/>
      </c>
      <c r="J869">
        <f>IF(Квартиры!J867="","",Квартиры!J867)</f>
        <v/>
      </c>
    </row>
    <row r="870">
      <c r="A870">
        <f>IF(Квартиры!A868="","",Квартиры!A868)</f>
        <v/>
      </c>
      <c r="B870">
        <f>IF(Квартиры!B868="","",Квартиры!B868)</f>
        <v/>
      </c>
      <c r="C870">
        <f>IF(Квартиры!C868="","",Квартиры!C868)</f>
        <v/>
      </c>
      <c r="D870">
        <f>IF(Квартиры!D868="","",Квартиры!D868)</f>
        <v/>
      </c>
      <c r="E870">
        <f>IF(Квартиры!G868="","",Квартиры!G868)</f>
        <v/>
      </c>
      <c r="F870">
        <f>IF(Квартиры!E868="","",Квартиры!E868)</f>
        <v/>
      </c>
      <c r="G870">
        <f>IF(Квартиры!F868="","",Квартиры!F868)</f>
        <v/>
      </c>
      <c r="H870">
        <f>IF(Квартиры!H868="","",Квартиры!H868)</f>
        <v/>
      </c>
      <c r="I870">
        <f>IF(Квартиры!I868="","",Квартиры!I868)</f>
        <v/>
      </c>
      <c r="J870">
        <f>IF(Квартиры!J868="","",Квартиры!J868)</f>
        <v/>
      </c>
    </row>
    <row r="871">
      <c r="A871">
        <f>IF(Квартиры!A869="","",Квартиры!A869)</f>
        <v/>
      </c>
      <c r="B871">
        <f>IF(Квартиры!B869="","",Квартиры!B869)</f>
        <v/>
      </c>
      <c r="C871">
        <f>IF(Квартиры!C869="","",Квартиры!C869)</f>
        <v/>
      </c>
      <c r="D871">
        <f>IF(Квартиры!D869="","",Квартиры!D869)</f>
        <v/>
      </c>
      <c r="E871">
        <f>IF(Квартиры!G869="","",Квартиры!G869)</f>
        <v/>
      </c>
      <c r="F871">
        <f>IF(Квартиры!E869="","",Квартиры!E869)</f>
        <v/>
      </c>
      <c r="G871">
        <f>IF(Квартиры!F869="","",Квартиры!F869)</f>
        <v/>
      </c>
      <c r="H871">
        <f>IF(Квартиры!H869="","",Квартиры!H869)</f>
        <v/>
      </c>
      <c r="I871">
        <f>IF(Квартиры!I869="","",Квартиры!I869)</f>
        <v/>
      </c>
      <c r="J871">
        <f>IF(Квартиры!J869="","",Квартиры!J869)</f>
        <v/>
      </c>
    </row>
    <row r="872">
      <c r="A872">
        <f>IF(Квартиры!A870="","",Квартиры!A870)</f>
        <v/>
      </c>
      <c r="B872">
        <f>IF(Квартиры!B870="","",Квартиры!B870)</f>
        <v/>
      </c>
      <c r="C872">
        <f>IF(Квартиры!C870="","",Квартиры!C870)</f>
        <v/>
      </c>
      <c r="D872">
        <f>IF(Квартиры!D870="","",Квартиры!D870)</f>
        <v/>
      </c>
      <c r="E872">
        <f>IF(Квартиры!G870="","",Квартиры!G870)</f>
        <v/>
      </c>
      <c r="F872">
        <f>IF(Квартиры!E870="","",Квартиры!E870)</f>
        <v/>
      </c>
      <c r="G872">
        <f>IF(Квартиры!F870="","",Квартиры!F870)</f>
        <v/>
      </c>
      <c r="H872">
        <f>IF(Квартиры!H870="","",Квартиры!H870)</f>
        <v/>
      </c>
      <c r="I872">
        <f>IF(Квартиры!I870="","",Квартиры!I870)</f>
        <v/>
      </c>
      <c r="J872">
        <f>IF(Квартиры!J870="","",Квартиры!J870)</f>
        <v/>
      </c>
    </row>
    <row r="873">
      <c r="A873">
        <f>IF(Квартиры!A871="","",Квартиры!A871)</f>
        <v/>
      </c>
      <c r="B873">
        <f>IF(Квартиры!B871="","",Квартиры!B871)</f>
        <v/>
      </c>
      <c r="C873">
        <f>IF(Квартиры!C871="","",Квартиры!C871)</f>
        <v/>
      </c>
      <c r="D873">
        <f>IF(Квартиры!D871="","",Квартиры!D871)</f>
        <v/>
      </c>
      <c r="E873">
        <f>IF(Квартиры!G871="","",Квартиры!G871)</f>
        <v/>
      </c>
      <c r="F873">
        <f>IF(Квартиры!E871="","",Квартиры!E871)</f>
        <v/>
      </c>
      <c r="G873">
        <f>IF(Квартиры!F871="","",Квартиры!F871)</f>
        <v/>
      </c>
      <c r="H873">
        <f>IF(Квартиры!H871="","",Квартиры!H871)</f>
        <v/>
      </c>
      <c r="I873">
        <f>IF(Квартиры!I871="","",Квартиры!I871)</f>
        <v/>
      </c>
      <c r="J873">
        <f>IF(Квартиры!J871="","",Квартиры!J871)</f>
        <v/>
      </c>
    </row>
    <row r="874">
      <c r="A874">
        <f>IF(Квартиры!A872="","",Квартиры!A872)</f>
        <v/>
      </c>
      <c r="B874">
        <f>IF(Квартиры!B872="","",Квартиры!B872)</f>
        <v/>
      </c>
      <c r="C874">
        <f>IF(Квартиры!C872="","",Квартиры!C872)</f>
        <v/>
      </c>
      <c r="D874">
        <f>IF(Квартиры!D872="","",Квартиры!D872)</f>
        <v/>
      </c>
      <c r="E874">
        <f>IF(Квартиры!G872="","",Квартиры!G872)</f>
        <v/>
      </c>
      <c r="F874">
        <f>IF(Квартиры!E872="","",Квартиры!E872)</f>
        <v/>
      </c>
      <c r="G874">
        <f>IF(Квартиры!F872="","",Квартиры!F872)</f>
        <v/>
      </c>
      <c r="H874">
        <f>IF(Квартиры!H872="","",Квартиры!H872)</f>
        <v/>
      </c>
      <c r="I874">
        <f>IF(Квартиры!I872="","",Квартиры!I872)</f>
        <v/>
      </c>
      <c r="J874">
        <f>IF(Квартиры!J872="","",Квартиры!J872)</f>
        <v/>
      </c>
    </row>
    <row r="875">
      <c r="A875">
        <f>IF(Квартиры!A873="","",Квартиры!A873)</f>
        <v/>
      </c>
      <c r="B875">
        <f>IF(Квартиры!B873="","",Квартиры!B873)</f>
        <v/>
      </c>
      <c r="C875">
        <f>IF(Квартиры!C873="","",Квартиры!C873)</f>
        <v/>
      </c>
      <c r="D875">
        <f>IF(Квартиры!D873="","",Квартиры!D873)</f>
        <v/>
      </c>
      <c r="E875">
        <f>IF(Квартиры!G873="","",Квартиры!G873)</f>
        <v/>
      </c>
      <c r="F875">
        <f>IF(Квартиры!E873="","",Квартиры!E873)</f>
        <v/>
      </c>
      <c r="G875">
        <f>IF(Квартиры!F873="","",Квартиры!F873)</f>
        <v/>
      </c>
      <c r="H875">
        <f>IF(Квартиры!H873="","",Квартиры!H873)</f>
        <v/>
      </c>
      <c r="I875">
        <f>IF(Квартиры!I873="","",Квартиры!I873)</f>
        <v/>
      </c>
      <c r="J875">
        <f>IF(Квартиры!J873="","",Квартиры!J873)</f>
        <v/>
      </c>
    </row>
    <row r="876">
      <c r="A876">
        <f>IF(Квартиры!A874="","",Квартиры!A874)</f>
        <v/>
      </c>
      <c r="B876">
        <f>IF(Квартиры!B874="","",Квартиры!B874)</f>
        <v/>
      </c>
      <c r="C876">
        <f>IF(Квартиры!C874="","",Квартиры!C874)</f>
        <v/>
      </c>
      <c r="D876">
        <f>IF(Квартиры!D874="","",Квартиры!D874)</f>
        <v/>
      </c>
      <c r="E876">
        <f>IF(Квартиры!G874="","",Квартиры!G874)</f>
        <v/>
      </c>
      <c r="F876">
        <f>IF(Квартиры!E874="","",Квартиры!E874)</f>
        <v/>
      </c>
      <c r="G876">
        <f>IF(Квартиры!F874="","",Квартиры!F874)</f>
        <v/>
      </c>
      <c r="H876">
        <f>IF(Квартиры!H874="","",Квартиры!H874)</f>
        <v/>
      </c>
      <c r="I876">
        <f>IF(Квартиры!I874="","",Квартиры!I874)</f>
        <v/>
      </c>
      <c r="J876">
        <f>IF(Квартиры!J874="","",Квартиры!J874)</f>
        <v/>
      </c>
    </row>
    <row r="877">
      <c r="A877">
        <f>IF(Квартиры!A875="","",Квартиры!A875)</f>
        <v/>
      </c>
      <c r="B877">
        <f>IF(Квартиры!B875="","",Квартиры!B875)</f>
        <v/>
      </c>
      <c r="C877">
        <f>IF(Квартиры!C875="","",Квартиры!C875)</f>
        <v/>
      </c>
      <c r="D877">
        <f>IF(Квартиры!D875="","",Квартиры!D875)</f>
        <v/>
      </c>
      <c r="E877">
        <f>IF(Квартиры!G875="","",Квартиры!G875)</f>
        <v/>
      </c>
      <c r="F877">
        <f>IF(Квартиры!E875="","",Квартиры!E875)</f>
        <v/>
      </c>
      <c r="G877">
        <f>IF(Квартиры!F875="","",Квартиры!F875)</f>
        <v/>
      </c>
      <c r="H877">
        <f>IF(Квартиры!H875="","",Квартиры!H875)</f>
        <v/>
      </c>
      <c r="I877">
        <f>IF(Квартиры!I875="","",Квартиры!I875)</f>
        <v/>
      </c>
      <c r="J877">
        <f>IF(Квартиры!J875="","",Квартиры!J875)</f>
        <v/>
      </c>
    </row>
    <row r="878">
      <c r="A878">
        <f>IF(Квартиры!A876="","",Квартиры!A876)</f>
        <v/>
      </c>
      <c r="B878">
        <f>IF(Квартиры!B876="","",Квартиры!B876)</f>
        <v/>
      </c>
      <c r="C878">
        <f>IF(Квартиры!C876="","",Квартиры!C876)</f>
        <v/>
      </c>
      <c r="D878">
        <f>IF(Квартиры!D876="","",Квартиры!D876)</f>
        <v/>
      </c>
      <c r="E878">
        <f>IF(Квартиры!G876="","",Квартиры!G876)</f>
        <v/>
      </c>
      <c r="F878">
        <f>IF(Квартиры!E876="","",Квартиры!E876)</f>
        <v/>
      </c>
      <c r="G878">
        <f>IF(Квартиры!F876="","",Квартиры!F876)</f>
        <v/>
      </c>
      <c r="H878">
        <f>IF(Квартиры!H876="","",Квартиры!H876)</f>
        <v/>
      </c>
      <c r="I878">
        <f>IF(Квартиры!I876="","",Квартиры!I876)</f>
        <v/>
      </c>
      <c r="J878">
        <f>IF(Квартиры!J876="","",Квартиры!J876)</f>
        <v/>
      </c>
    </row>
    <row r="879">
      <c r="A879">
        <f>IF(Квартиры!A877="","",Квартиры!A877)</f>
        <v/>
      </c>
      <c r="B879">
        <f>IF(Квартиры!B877="","",Квартиры!B877)</f>
        <v/>
      </c>
      <c r="C879">
        <f>IF(Квартиры!C877="","",Квартиры!C877)</f>
        <v/>
      </c>
      <c r="D879">
        <f>IF(Квартиры!D877="","",Квартиры!D877)</f>
        <v/>
      </c>
      <c r="E879">
        <f>IF(Квартиры!G877="","",Квартиры!G877)</f>
        <v/>
      </c>
      <c r="F879">
        <f>IF(Квартиры!E877="","",Квартиры!E877)</f>
        <v/>
      </c>
      <c r="G879">
        <f>IF(Квартиры!F877="","",Квартиры!F877)</f>
        <v/>
      </c>
      <c r="H879">
        <f>IF(Квартиры!H877="","",Квартиры!H877)</f>
        <v/>
      </c>
      <c r="I879">
        <f>IF(Квартиры!I877="","",Квартиры!I877)</f>
        <v/>
      </c>
      <c r="J879">
        <f>IF(Квартиры!J877="","",Квартиры!J877)</f>
        <v/>
      </c>
    </row>
    <row r="880">
      <c r="A880">
        <f>IF(Квартиры!A878="","",Квартиры!A878)</f>
        <v/>
      </c>
      <c r="B880">
        <f>IF(Квартиры!B878="","",Квартиры!B878)</f>
        <v/>
      </c>
      <c r="C880">
        <f>IF(Квартиры!C878="","",Квартиры!C878)</f>
        <v/>
      </c>
      <c r="D880">
        <f>IF(Квартиры!D878="","",Квартиры!D878)</f>
        <v/>
      </c>
      <c r="E880">
        <f>IF(Квартиры!G878="","",Квартиры!G878)</f>
        <v/>
      </c>
      <c r="F880">
        <f>IF(Квартиры!E878="","",Квартиры!E878)</f>
        <v/>
      </c>
      <c r="G880">
        <f>IF(Квартиры!F878="","",Квартиры!F878)</f>
        <v/>
      </c>
      <c r="H880">
        <f>IF(Квартиры!H878="","",Квартиры!H878)</f>
        <v/>
      </c>
      <c r="I880">
        <f>IF(Квартиры!I878="","",Квартиры!I878)</f>
        <v/>
      </c>
      <c r="J880">
        <f>IF(Квартиры!J878="","",Квартиры!J878)</f>
        <v/>
      </c>
    </row>
    <row r="881">
      <c r="A881">
        <f>IF(Квартиры!A879="","",Квартиры!A879)</f>
        <v/>
      </c>
      <c r="B881">
        <f>IF(Квартиры!B879="","",Квартиры!B879)</f>
        <v/>
      </c>
      <c r="C881">
        <f>IF(Квартиры!C879="","",Квартиры!C879)</f>
        <v/>
      </c>
      <c r="D881">
        <f>IF(Квартиры!D879="","",Квартиры!D879)</f>
        <v/>
      </c>
      <c r="E881">
        <f>IF(Квартиры!G879="","",Квартиры!G879)</f>
        <v/>
      </c>
      <c r="F881">
        <f>IF(Квартиры!E879="","",Квартиры!E879)</f>
        <v/>
      </c>
      <c r="G881">
        <f>IF(Квартиры!F879="","",Квартиры!F879)</f>
        <v/>
      </c>
      <c r="H881">
        <f>IF(Квартиры!H879="","",Квартиры!H879)</f>
        <v/>
      </c>
      <c r="I881">
        <f>IF(Квартиры!I879="","",Квартиры!I879)</f>
        <v/>
      </c>
      <c r="J881">
        <f>IF(Квартиры!J879="","",Квартиры!J879)</f>
        <v/>
      </c>
    </row>
    <row r="882">
      <c r="A882">
        <f>IF(Квартиры!A880="","",Квартиры!A880)</f>
        <v/>
      </c>
      <c r="B882">
        <f>IF(Квартиры!B880="","",Квартиры!B880)</f>
        <v/>
      </c>
      <c r="C882">
        <f>IF(Квартиры!C880="","",Квартиры!C880)</f>
        <v/>
      </c>
      <c r="D882">
        <f>IF(Квартиры!D880="","",Квартиры!D880)</f>
        <v/>
      </c>
      <c r="E882">
        <f>IF(Квартиры!G880="","",Квартиры!G880)</f>
        <v/>
      </c>
      <c r="F882">
        <f>IF(Квартиры!E880="","",Квартиры!E880)</f>
        <v/>
      </c>
      <c r="G882">
        <f>IF(Квартиры!F880="","",Квартиры!F880)</f>
        <v/>
      </c>
      <c r="H882">
        <f>IF(Квартиры!H880="","",Квартиры!H880)</f>
        <v/>
      </c>
      <c r="I882">
        <f>IF(Квартиры!I880="","",Квартиры!I880)</f>
        <v/>
      </c>
      <c r="J882">
        <f>IF(Квартиры!J880="","",Квартиры!J880)</f>
        <v/>
      </c>
    </row>
    <row r="883">
      <c r="A883">
        <f>IF(Квартиры!A881="","",Квартиры!A881)</f>
        <v/>
      </c>
      <c r="B883">
        <f>IF(Квартиры!B881="","",Квартиры!B881)</f>
        <v/>
      </c>
      <c r="C883">
        <f>IF(Квартиры!C881="","",Квартиры!C881)</f>
        <v/>
      </c>
      <c r="D883">
        <f>IF(Квартиры!D881="","",Квартиры!D881)</f>
        <v/>
      </c>
      <c r="E883">
        <f>IF(Квартиры!G881="","",Квартиры!G881)</f>
        <v/>
      </c>
      <c r="F883">
        <f>IF(Квартиры!E881="","",Квартиры!E881)</f>
        <v/>
      </c>
      <c r="G883">
        <f>IF(Квартиры!F881="","",Квартиры!F881)</f>
        <v/>
      </c>
      <c r="H883">
        <f>IF(Квартиры!H881="","",Квартиры!H881)</f>
        <v/>
      </c>
      <c r="I883">
        <f>IF(Квартиры!I881="","",Квартиры!I881)</f>
        <v/>
      </c>
      <c r="J883">
        <f>IF(Квартиры!J881="","",Квартиры!J881)</f>
        <v/>
      </c>
    </row>
    <row r="884">
      <c r="A884">
        <f>IF(Квартиры!A882="","",Квартиры!A882)</f>
        <v/>
      </c>
      <c r="B884">
        <f>IF(Квартиры!B882="","",Квартиры!B882)</f>
        <v/>
      </c>
      <c r="C884">
        <f>IF(Квартиры!C882="","",Квартиры!C882)</f>
        <v/>
      </c>
      <c r="D884">
        <f>IF(Квартиры!D882="","",Квартиры!D882)</f>
        <v/>
      </c>
      <c r="E884">
        <f>IF(Квартиры!G882="","",Квартиры!G882)</f>
        <v/>
      </c>
      <c r="F884">
        <f>IF(Квартиры!E882="","",Квартиры!E882)</f>
        <v/>
      </c>
      <c r="G884">
        <f>IF(Квартиры!F882="","",Квартиры!F882)</f>
        <v/>
      </c>
      <c r="H884">
        <f>IF(Квартиры!H882="","",Квартиры!H882)</f>
        <v/>
      </c>
      <c r="I884">
        <f>IF(Квартиры!I882="","",Квартиры!I882)</f>
        <v/>
      </c>
      <c r="J884">
        <f>IF(Квартиры!J882="","",Квартиры!J882)</f>
        <v/>
      </c>
    </row>
    <row r="885">
      <c r="A885">
        <f>IF(Квартиры!A883="","",Квартиры!A883)</f>
        <v/>
      </c>
      <c r="B885">
        <f>IF(Квартиры!B883="","",Квартиры!B883)</f>
        <v/>
      </c>
      <c r="C885">
        <f>IF(Квартиры!C883="","",Квартиры!C883)</f>
        <v/>
      </c>
      <c r="D885">
        <f>IF(Квартиры!D883="","",Квартиры!D883)</f>
        <v/>
      </c>
      <c r="E885">
        <f>IF(Квартиры!G883="","",Квартиры!G883)</f>
        <v/>
      </c>
      <c r="F885">
        <f>IF(Квартиры!E883="","",Квартиры!E883)</f>
        <v/>
      </c>
      <c r="G885">
        <f>IF(Квартиры!F883="","",Квартиры!F883)</f>
        <v/>
      </c>
      <c r="H885">
        <f>IF(Квартиры!H883="","",Квартиры!H883)</f>
        <v/>
      </c>
      <c r="I885">
        <f>IF(Квартиры!I883="","",Квартиры!I883)</f>
        <v/>
      </c>
      <c r="J885">
        <f>IF(Квартиры!J883="","",Квартиры!J883)</f>
        <v/>
      </c>
    </row>
    <row r="886">
      <c r="A886">
        <f>IF(Квартиры!A884="","",Квартиры!A884)</f>
        <v/>
      </c>
      <c r="B886">
        <f>IF(Квартиры!B884="","",Квартиры!B884)</f>
        <v/>
      </c>
      <c r="C886">
        <f>IF(Квартиры!C884="","",Квартиры!C884)</f>
        <v/>
      </c>
      <c r="D886">
        <f>IF(Квартиры!D884="","",Квартиры!D884)</f>
        <v/>
      </c>
      <c r="E886">
        <f>IF(Квартиры!G884="","",Квартиры!G884)</f>
        <v/>
      </c>
      <c r="F886">
        <f>IF(Квартиры!E884="","",Квартиры!E884)</f>
        <v/>
      </c>
      <c r="G886">
        <f>IF(Квартиры!F884="","",Квартиры!F884)</f>
        <v/>
      </c>
      <c r="H886">
        <f>IF(Квартиры!H884="","",Квартиры!H884)</f>
        <v/>
      </c>
      <c r="I886">
        <f>IF(Квартиры!I884="","",Квартиры!I884)</f>
        <v/>
      </c>
      <c r="J886">
        <f>IF(Квартиры!J884="","",Квартиры!J884)</f>
        <v/>
      </c>
    </row>
    <row r="887">
      <c r="A887">
        <f>IF(Квартиры!A885="","",Квартиры!A885)</f>
        <v/>
      </c>
      <c r="B887">
        <f>IF(Квартиры!B885="","",Квартиры!B885)</f>
        <v/>
      </c>
      <c r="C887">
        <f>IF(Квартиры!C885="","",Квартиры!C885)</f>
        <v/>
      </c>
      <c r="D887">
        <f>IF(Квартиры!D885="","",Квартиры!D885)</f>
        <v/>
      </c>
      <c r="E887">
        <f>IF(Квартиры!G885="","",Квартиры!G885)</f>
        <v/>
      </c>
      <c r="F887">
        <f>IF(Квартиры!E885="","",Квартиры!E885)</f>
        <v/>
      </c>
      <c r="G887">
        <f>IF(Квартиры!F885="","",Квартиры!F885)</f>
        <v/>
      </c>
      <c r="H887">
        <f>IF(Квартиры!H885="","",Квартиры!H885)</f>
        <v/>
      </c>
      <c r="I887">
        <f>IF(Квартиры!I885="","",Квартиры!I885)</f>
        <v/>
      </c>
      <c r="J887">
        <f>IF(Квартиры!J885="","",Квартиры!J885)</f>
        <v/>
      </c>
    </row>
    <row r="888">
      <c r="A888">
        <f>IF(Квартиры!A886="","",Квартиры!A886)</f>
        <v/>
      </c>
      <c r="B888">
        <f>IF(Квартиры!B886="","",Квартиры!B886)</f>
        <v/>
      </c>
      <c r="C888">
        <f>IF(Квартиры!C886="","",Квартиры!C886)</f>
        <v/>
      </c>
      <c r="D888">
        <f>IF(Квартиры!D886="","",Квартиры!D886)</f>
        <v/>
      </c>
      <c r="E888">
        <f>IF(Квартиры!G886="","",Квартиры!G886)</f>
        <v/>
      </c>
      <c r="F888">
        <f>IF(Квартиры!E886="","",Квартиры!E886)</f>
        <v/>
      </c>
      <c r="G888">
        <f>IF(Квартиры!F886="","",Квартиры!F886)</f>
        <v/>
      </c>
      <c r="H888">
        <f>IF(Квартиры!H886="","",Квартиры!H886)</f>
        <v/>
      </c>
      <c r="I888">
        <f>IF(Квартиры!I886="","",Квартиры!I886)</f>
        <v/>
      </c>
      <c r="J888">
        <f>IF(Квартиры!J886="","",Квартиры!J886)</f>
        <v/>
      </c>
    </row>
    <row r="889">
      <c r="A889">
        <f>IF(Квартиры!A887="","",Квартиры!A887)</f>
        <v/>
      </c>
      <c r="B889">
        <f>IF(Квартиры!B887="","",Квартиры!B887)</f>
        <v/>
      </c>
      <c r="C889">
        <f>IF(Квартиры!C887="","",Квартиры!C887)</f>
        <v/>
      </c>
      <c r="D889">
        <f>IF(Квартиры!D887="","",Квартиры!D887)</f>
        <v/>
      </c>
      <c r="E889">
        <f>IF(Квартиры!G887="","",Квартиры!G887)</f>
        <v/>
      </c>
      <c r="F889">
        <f>IF(Квартиры!E887="","",Квартиры!E887)</f>
        <v/>
      </c>
      <c r="G889">
        <f>IF(Квартиры!F887="","",Квартиры!F887)</f>
        <v/>
      </c>
      <c r="H889">
        <f>IF(Квартиры!H887="","",Квартиры!H887)</f>
        <v/>
      </c>
      <c r="I889">
        <f>IF(Квартиры!I887="","",Квартиры!I887)</f>
        <v/>
      </c>
      <c r="J889">
        <f>IF(Квартиры!J887="","",Квартиры!J887)</f>
        <v/>
      </c>
    </row>
    <row r="890">
      <c r="A890">
        <f>IF(Квартиры!A888="","",Квартиры!A888)</f>
        <v/>
      </c>
      <c r="B890">
        <f>IF(Квартиры!B888="","",Квартиры!B888)</f>
        <v/>
      </c>
      <c r="C890">
        <f>IF(Квартиры!C888="","",Квартиры!C888)</f>
        <v/>
      </c>
      <c r="D890">
        <f>IF(Квартиры!D888="","",Квартиры!D888)</f>
        <v/>
      </c>
      <c r="E890">
        <f>IF(Квартиры!G888="","",Квартиры!G888)</f>
        <v/>
      </c>
      <c r="F890">
        <f>IF(Квартиры!E888="","",Квартиры!E888)</f>
        <v/>
      </c>
      <c r="G890">
        <f>IF(Квартиры!F888="","",Квартиры!F888)</f>
        <v/>
      </c>
      <c r="H890">
        <f>IF(Квартиры!H888="","",Квартиры!H888)</f>
        <v/>
      </c>
      <c r="I890">
        <f>IF(Квартиры!I888="","",Квартиры!I888)</f>
        <v/>
      </c>
      <c r="J890">
        <f>IF(Квартиры!J888="","",Квартиры!J888)</f>
        <v/>
      </c>
    </row>
    <row r="891">
      <c r="A891">
        <f>IF(Квартиры!A889="","",Квартиры!A889)</f>
        <v/>
      </c>
      <c r="B891">
        <f>IF(Квартиры!B889="","",Квартиры!B889)</f>
        <v/>
      </c>
      <c r="C891">
        <f>IF(Квартиры!C889="","",Квартиры!C889)</f>
        <v/>
      </c>
      <c r="D891">
        <f>IF(Квартиры!D889="","",Квартиры!D889)</f>
        <v/>
      </c>
      <c r="E891">
        <f>IF(Квартиры!G889="","",Квартиры!G889)</f>
        <v/>
      </c>
      <c r="F891">
        <f>IF(Квартиры!E889="","",Квартиры!E889)</f>
        <v/>
      </c>
      <c r="G891">
        <f>IF(Квартиры!F889="","",Квартиры!F889)</f>
        <v/>
      </c>
      <c r="H891">
        <f>IF(Квартиры!H889="","",Квартиры!H889)</f>
        <v/>
      </c>
      <c r="I891">
        <f>IF(Квартиры!I889="","",Квартиры!I889)</f>
        <v/>
      </c>
      <c r="J891">
        <f>IF(Квартиры!J889="","",Квартиры!J889)</f>
        <v/>
      </c>
    </row>
    <row r="892">
      <c r="A892">
        <f>IF(Квартиры!A890="","",Квартиры!A890)</f>
        <v/>
      </c>
      <c r="B892">
        <f>IF(Квартиры!B890="","",Квартиры!B890)</f>
        <v/>
      </c>
      <c r="C892">
        <f>IF(Квартиры!C890="","",Квартиры!C890)</f>
        <v/>
      </c>
      <c r="D892">
        <f>IF(Квартиры!D890="","",Квартиры!D890)</f>
        <v/>
      </c>
      <c r="E892">
        <f>IF(Квартиры!G890="","",Квартиры!G890)</f>
        <v/>
      </c>
      <c r="F892">
        <f>IF(Квартиры!E890="","",Квартиры!E890)</f>
        <v/>
      </c>
      <c r="G892">
        <f>IF(Квартиры!F890="","",Квартиры!F890)</f>
        <v/>
      </c>
      <c r="H892">
        <f>IF(Квартиры!H890="","",Квартиры!H890)</f>
        <v/>
      </c>
      <c r="I892">
        <f>IF(Квартиры!I890="","",Квартиры!I890)</f>
        <v/>
      </c>
      <c r="J892">
        <f>IF(Квартиры!J890="","",Квартиры!J890)</f>
        <v/>
      </c>
    </row>
    <row r="893">
      <c r="A893">
        <f>IF(Квартиры!A891="","",Квартиры!A891)</f>
        <v/>
      </c>
      <c r="B893">
        <f>IF(Квартиры!B891="","",Квартиры!B891)</f>
        <v/>
      </c>
      <c r="C893">
        <f>IF(Квартиры!C891="","",Квартиры!C891)</f>
        <v/>
      </c>
      <c r="D893">
        <f>IF(Квартиры!D891="","",Квартиры!D891)</f>
        <v/>
      </c>
      <c r="E893">
        <f>IF(Квартиры!G891="","",Квартиры!G891)</f>
        <v/>
      </c>
      <c r="F893">
        <f>IF(Квартиры!E891="","",Квартиры!E891)</f>
        <v/>
      </c>
      <c r="G893">
        <f>IF(Квартиры!F891="","",Квартиры!F891)</f>
        <v/>
      </c>
      <c r="H893">
        <f>IF(Квартиры!H891="","",Квартиры!H891)</f>
        <v/>
      </c>
      <c r="I893">
        <f>IF(Квартиры!I891="","",Квартиры!I891)</f>
        <v/>
      </c>
      <c r="J893">
        <f>IF(Квартиры!J891="","",Квартиры!J891)</f>
        <v/>
      </c>
    </row>
    <row r="894">
      <c r="A894">
        <f>IF(Квартиры!A892="","",Квартиры!A892)</f>
        <v/>
      </c>
      <c r="B894">
        <f>IF(Квартиры!B892="","",Квартиры!B892)</f>
        <v/>
      </c>
      <c r="C894">
        <f>IF(Квартиры!C892="","",Квартиры!C892)</f>
        <v/>
      </c>
      <c r="D894">
        <f>IF(Квартиры!D892="","",Квартиры!D892)</f>
        <v/>
      </c>
      <c r="E894">
        <f>IF(Квартиры!G892="","",Квартиры!G892)</f>
        <v/>
      </c>
      <c r="F894">
        <f>IF(Квартиры!E892="","",Квартиры!E892)</f>
        <v/>
      </c>
      <c r="G894">
        <f>IF(Квартиры!F892="","",Квартиры!F892)</f>
        <v/>
      </c>
      <c r="H894">
        <f>IF(Квартиры!H892="","",Квартиры!H892)</f>
        <v/>
      </c>
      <c r="I894">
        <f>IF(Квартиры!I892="","",Квартиры!I892)</f>
        <v/>
      </c>
      <c r="J894">
        <f>IF(Квартиры!J892="","",Квартиры!J892)</f>
        <v/>
      </c>
    </row>
    <row r="895">
      <c r="A895">
        <f>IF(Квартиры!A893="","",Квартиры!A893)</f>
        <v/>
      </c>
      <c r="B895">
        <f>IF(Квартиры!B893="","",Квартиры!B893)</f>
        <v/>
      </c>
      <c r="C895">
        <f>IF(Квартиры!C893="","",Квартиры!C893)</f>
        <v/>
      </c>
      <c r="D895">
        <f>IF(Квартиры!D893="","",Квартиры!D893)</f>
        <v/>
      </c>
      <c r="E895">
        <f>IF(Квартиры!G893="","",Квартиры!G893)</f>
        <v/>
      </c>
      <c r="F895">
        <f>IF(Квартиры!E893="","",Квартиры!E893)</f>
        <v/>
      </c>
      <c r="G895">
        <f>IF(Квартиры!F893="","",Квартиры!F893)</f>
        <v/>
      </c>
      <c r="H895">
        <f>IF(Квартиры!H893="","",Квартиры!H893)</f>
        <v/>
      </c>
      <c r="I895">
        <f>IF(Квартиры!I893="","",Квартиры!I893)</f>
        <v/>
      </c>
      <c r="J895">
        <f>IF(Квартиры!J893="","",Квартиры!J893)</f>
        <v/>
      </c>
    </row>
    <row r="896">
      <c r="A896">
        <f>IF(Квартиры!A894="","",Квартиры!A894)</f>
        <v/>
      </c>
      <c r="B896">
        <f>IF(Квартиры!B894="","",Квартиры!B894)</f>
        <v/>
      </c>
      <c r="C896">
        <f>IF(Квартиры!C894="","",Квартиры!C894)</f>
        <v/>
      </c>
      <c r="D896">
        <f>IF(Квартиры!D894="","",Квартиры!D894)</f>
        <v/>
      </c>
      <c r="E896">
        <f>IF(Квартиры!G894="","",Квартиры!G894)</f>
        <v/>
      </c>
      <c r="F896">
        <f>IF(Квартиры!E894="","",Квартиры!E894)</f>
        <v/>
      </c>
      <c r="G896">
        <f>IF(Квартиры!F894="","",Квартиры!F894)</f>
        <v/>
      </c>
      <c r="H896">
        <f>IF(Квартиры!H894="","",Квартиры!H894)</f>
        <v/>
      </c>
      <c r="I896">
        <f>IF(Квартиры!I894="","",Квартиры!I894)</f>
        <v/>
      </c>
      <c r="J896">
        <f>IF(Квартиры!J894="","",Квартиры!J894)</f>
        <v/>
      </c>
    </row>
    <row r="897">
      <c r="A897">
        <f>IF(Квартиры!A895="","",Квартиры!A895)</f>
        <v/>
      </c>
      <c r="B897">
        <f>IF(Квартиры!B895="","",Квартиры!B895)</f>
        <v/>
      </c>
      <c r="C897">
        <f>IF(Квартиры!C895="","",Квартиры!C895)</f>
        <v/>
      </c>
      <c r="D897">
        <f>IF(Квартиры!D895="","",Квартиры!D895)</f>
        <v/>
      </c>
      <c r="E897">
        <f>IF(Квартиры!G895="","",Квартиры!G895)</f>
        <v/>
      </c>
      <c r="F897">
        <f>IF(Квартиры!E895="","",Квартиры!E895)</f>
        <v/>
      </c>
      <c r="G897">
        <f>IF(Квартиры!F895="","",Квартиры!F895)</f>
        <v/>
      </c>
      <c r="H897">
        <f>IF(Квартиры!H895="","",Квартиры!H895)</f>
        <v/>
      </c>
      <c r="I897">
        <f>IF(Квартиры!I895="","",Квартиры!I895)</f>
        <v/>
      </c>
      <c r="J897">
        <f>IF(Квартиры!J895="","",Квартиры!J895)</f>
        <v/>
      </c>
    </row>
    <row r="898">
      <c r="A898">
        <f>IF(Квартиры!A896="","",Квартиры!A896)</f>
        <v/>
      </c>
      <c r="B898">
        <f>IF(Квартиры!B896="","",Квартиры!B896)</f>
        <v/>
      </c>
      <c r="C898">
        <f>IF(Квартиры!C896="","",Квартиры!C896)</f>
        <v/>
      </c>
      <c r="D898">
        <f>IF(Квартиры!D896="","",Квартиры!D896)</f>
        <v/>
      </c>
      <c r="E898">
        <f>IF(Квартиры!G896="","",Квартиры!G896)</f>
        <v/>
      </c>
      <c r="F898">
        <f>IF(Квартиры!E896="","",Квартиры!E896)</f>
        <v/>
      </c>
      <c r="G898">
        <f>IF(Квартиры!F896="","",Квартиры!F896)</f>
        <v/>
      </c>
      <c r="H898">
        <f>IF(Квартиры!H896="","",Квартиры!H896)</f>
        <v/>
      </c>
      <c r="I898">
        <f>IF(Квартиры!I896="","",Квартиры!I896)</f>
        <v/>
      </c>
      <c r="J898">
        <f>IF(Квартиры!J896="","",Квартиры!J896)</f>
        <v/>
      </c>
    </row>
    <row r="899">
      <c r="A899">
        <f>IF(Квартиры!A897="","",Квартиры!A897)</f>
        <v/>
      </c>
      <c r="B899">
        <f>IF(Квартиры!B897="","",Квартиры!B897)</f>
        <v/>
      </c>
      <c r="C899">
        <f>IF(Квартиры!C897="","",Квартиры!C897)</f>
        <v/>
      </c>
      <c r="D899">
        <f>IF(Квартиры!D897="","",Квартиры!D897)</f>
        <v/>
      </c>
      <c r="E899">
        <f>IF(Квартиры!G897="","",Квартиры!G897)</f>
        <v/>
      </c>
      <c r="F899">
        <f>IF(Квартиры!E897="","",Квартиры!E897)</f>
        <v/>
      </c>
      <c r="G899">
        <f>IF(Квартиры!F897="","",Квартиры!F897)</f>
        <v/>
      </c>
      <c r="H899">
        <f>IF(Квартиры!H897="","",Квартиры!H897)</f>
        <v/>
      </c>
      <c r="I899">
        <f>IF(Квартиры!I897="","",Квартиры!I897)</f>
        <v/>
      </c>
      <c r="J899">
        <f>IF(Квартиры!J897="","",Квартиры!J897)</f>
        <v/>
      </c>
    </row>
    <row r="900">
      <c r="A900">
        <f>IF(Квартиры!A898="","",Квартиры!A898)</f>
        <v/>
      </c>
      <c r="B900">
        <f>IF(Квартиры!B898="","",Квартиры!B898)</f>
        <v/>
      </c>
      <c r="C900">
        <f>IF(Квартиры!C898="","",Квартиры!C898)</f>
        <v/>
      </c>
      <c r="D900">
        <f>IF(Квартиры!D898="","",Квартиры!D898)</f>
        <v/>
      </c>
      <c r="E900">
        <f>IF(Квартиры!G898="","",Квартиры!G898)</f>
        <v/>
      </c>
      <c r="F900">
        <f>IF(Квартиры!E898="","",Квартиры!E898)</f>
        <v/>
      </c>
      <c r="G900">
        <f>IF(Квартиры!F898="","",Квартиры!F898)</f>
        <v/>
      </c>
      <c r="H900">
        <f>IF(Квартиры!H898="","",Квартиры!H898)</f>
        <v/>
      </c>
      <c r="I900">
        <f>IF(Квартиры!I898="","",Квартиры!I898)</f>
        <v/>
      </c>
      <c r="J900">
        <f>IF(Квартиры!J898="","",Квартиры!J898)</f>
        <v/>
      </c>
    </row>
    <row r="901">
      <c r="A901">
        <f>IF(Квартиры!A899="","",Квартиры!A899)</f>
        <v/>
      </c>
      <c r="B901">
        <f>IF(Квартиры!B899="","",Квартиры!B899)</f>
        <v/>
      </c>
      <c r="C901">
        <f>IF(Квартиры!C899="","",Квартиры!C899)</f>
        <v/>
      </c>
      <c r="D901">
        <f>IF(Квартиры!D899="","",Квартиры!D899)</f>
        <v/>
      </c>
      <c r="E901">
        <f>IF(Квартиры!G899="","",Квартиры!G899)</f>
        <v/>
      </c>
      <c r="F901">
        <f>IF(Квартиры!E899="","",Квартиры!E899)</f>
        <v/>
      </c>
      <c r="G901">
        <f>IF(Квартиры!F899="","",Квартиры!F899)</f>
        <v/>
      </c>
      <c r="H901">
        <f>IF(Квартиры!H899="","",Квартиры!H899)</f>
        <v/>
      </c>
      <c r="I901">
        <f>IF(Квартиры!I899="","",Квартиры!I899)</f>
        <v/>
      </c>
      <c r="J901">
        <f>IF(Квартиры!J899="","",Квартиры!J899)</f>
        <v/>
      </c>
    </row>
    <row r="902">
      <c r="A902">
        <f>IF(Квартиры!A900="","",Квартиры!A900)</f>
        <v/>
      </c>
      <c r="B902">
        <f>IF(Квартиры!B900="","",Квартиры!B900)</f>
        <v/>
      </c>
      <c r="C902">
        <f>IF(Квартиры!C900="","",Квартиры!C900)</f>
        <v/>
      </c>
      <c r="D902">
        <f>IF(Квартиры!D900="","",Квартиры!D900)</f>
        <v/>
      </c>
      <c r="E902">
        <f>IF(Квартиры!G900="","",Квартиры!G900)</f>
        <v/>
      </c>
      <c r="F902">
        <f>IF(Квартиры!E900="","",Квартиры!E900)</f>
        <v/>
      </c>
      <c r="G902">
        <f>IF(Квартиры!F900="","",Квартиры!F900)</f>
        <v/>
      </c>
      <c r="H902">
        <f>IF(Квартиры!H900="","",Квартиры!H900)</f>
        <v/>
      </c>
      <c r="I902">
        <f>IF(Квартиры!I900="","",Квартиры!I900)</f>
        <v/>
      </c>
      <c r="J902">
        <f>IF(Квартиры!J900="","",Квартиры!J900)</f>
        <v/>
      </c>
    </row>
    <row r="903">
      <c r="A903">
        <f>IF(Квартиры!A901="","",Квартиры!A901)</f>
        <v/>
      </c>
      <c r="B903">
        <f>IF(Квартиры!B901="","",Квартиры!B901)</f>
        <v/>
      </c>
      <c r="C903">
        <f>IF(Квартиры!C901="","",Квартиры!C901)</f>
        <v/>
      </c>
      <c r="D903">
        <f>IF(Квартиры!D901="","",Квартиры!D901)</f>
        <v/>
      </c>
      <c r="E903">
        <f>IF(Квартиры!G901="","",Квартиры!G901)</f>
        <v/>
      </c>
      <c r="F903">
        <f>IF(Квартиры!E901="","",Квартиры!E901)</f>
        <v/>
      </c>
      <c r="G903">
        <f>IF(Квартиры!F901="","",Квартиры!F901)</f>
        <v/>
      </c>
      <c r="H903">
        <f>IF(Квартиры!H901="","",Квартиры!H901)</f>
        <v/>
      </c>
      <c r="I903">
        <f>IF(Квартиры!I901="","",Квартиры!I901)</f>
        <v/>
      </c>
      <c r="J903">
        <f>IF(Квартиры!J901="","",Квартиры!J901)</f>
        <v/>
      </c>
    </row>
    <row r="904">
      <c r="A904">
        <f>IF(Квартиры!A902="","",Квартиры!A902)</f>
        <v/>
      </c>
      <c r="B904">
        <f>IF(Квартиры!B902="","",Квартиры!B902)</f>
        <v/>
      </c>
      <c r="C904">
        <f>IF(Квартиры!C902="","",Квартиры!C902)</f>
        <v/>
      </c>
      <c r="D904">
        <f>IF(Квартиры!D902="","",Квартиры!D902)</f>
        <v/>
      </c>
      <c r="E904">
        <f>IF(Квартиры!G902="","",Квартиры!G902)</f>
        <v/>
      </c>
      <c r="F904">
        <f>IF(Квартиры!E902="","",Квартиры!E902)</f>
        <v/>
      </c>
      <c r="G904">
        <f>IF(Квартиры!F902="","",Квартиры!F902)</f>
        <v/>
      </c>
      <c r="H904">
        <f>IF(Квартиры!H902="","",Квартиры!H902)</f>
        <v/>
      </c>
      <c r="I904">
        <f>IF(Квартиры!I902="","",Квартиры!I902)</f>
        <v/>
      </c>
      <c r="J904">
        <f>IF(Квартиры!J902="","",Квартиры!J902)</f>
        <v/>
      </c>
    </row>
    <row r="905">
      <c r="A905">
        <f>IF(Квартиры!A903="","",Квартиры!A903)</f>
        <v/>
      </c>
      <c r="B905">
        <f>IF(Квартиры!B903="","",Квартиры!B903)</f>
        <v/>
      </c>
      <c r="C905">
        <f>IF(Квартиры!C903="","",Квартиры!C903)</f>
        <v/>
      </c>
      <c r="D905">
        <f>IF(Квартиры!D903="","",Квартиры!D903)</f>
        <v/>
      </c>
      <c r="E905">
        <f>IF(Квартиры!G903="","",Квартиры!G903)</f>
        <v/>
      </c>
      <c r="F905">
        <f>IF(Квартиры!E903="","",Квартиры!E903)</f>
        <v/>
      </c>
      <c r="G905">
        <f>IF(Квартиры!F903="","",Квартиры!F903)</f>
        <v/>
      </c>
      <c r="H905">
        <f>IF(Квартиры!H903="","",Квартиры!H903)</f>
        <v/>
      </c>
      <c r="I905">
        <f>IF(Квартиры!I903="","",Квартиры!I903)</f>
        <v/>
      </c>
      <c r="J905">
        <f>IF(Квартиры!J903="","",Квартиры!J903)</f>
        <v/>
      </c>
    </row>
    <row r="906">
      <c r="A906">
        <f>IF(Квартиры!A904="","",Квартиры!A904)</f>
        <v/>
      </c>
      <c r="B906">
        <f>IF(Квартиры!B904="","",Квартиры!B904)</f>
        <v/>
      </c>
      <c r="C906">
        <f>IF(Квартиры!C904="","",Квартиры!C904)</f>
        <v/>
      </c>
      <c r="D906">
        <f>IF(Квартиры!D904="","",Квартиры!D904)</f>
        <v/>
      </c>
      <c r="E906">
        <f>IF(Квартиры!G904="","",Квартиры!G904)</f>
        <v/>
      </c>
      <c r="F906">
        <f>IF(Квартиры!E904="","",Квартиры!E904)</f>
        <v/>
      </c>
      <c r="G906">
        <f>IF(Квартиры!F904="","",Квартиры!F904)</f>
        <v/>
      </c>
      <c r="H906">
        <f>IF(Квартиры!H904="","",Квартиры!H904)</f>
        <v/>
      </c>
      <c r="I906">
        <f>IF(Квартиры!I904="","",Квартиры!I904)</f>
        <v/>
      </c>
      <c r="J906">
        <f>IF(Квартиры!J904="","",Квартиры!J904)</f>
        <v/>
      </c>
    </row>
    <row r="907">
      <c r="A907">
        <f>IF(Квартиры!A905="","",Квартиры!A905)</f>
        <v/>
      </c>
      <c r="B907">
        <f>IF(Квартиры!B905="","",Квартиры!B905)</f>
        <v/>
      </c>
      <c r="C907">
        <f>IF(Квартиры!C905="","",Квартиры!C905)</f>
        <v/>
      </c>
      <c r="D907">
        <f>IF(Квартиры!D905="","",Квартиры!D905)</f>
        <v/>
      </c>
      <c r="E907">
        <f>IF(Квартиры!G905="","",Квартиры!G905)</f>
        <v/>
      </c>
      <c r="F907">
        <f>IF(Квартиры!E905="","",Квартиры!E905)</f>
        <v/>
      </c>
      <c r="G907">
        <f>IF(Квартиры!F905="","",Квартиры!F905)</f>
        <v/>
      </c>
      <c r="H907">
        <f>IF(Квартиры!H905="","",Квартиры!H905)</f>
        <v/>
      </c>
      <c r="I907">
        <f>IF(Квартиры!I905="","",Квартиры!I905)</f>
        <v/>
      </c>
      <c r="J907">
        <f>IF(Квартиры!J905="","",Квартиры!J905)</f>
        <v/>
      </c>
    </row>
    <row r="908">
      <c r="A908">
        <f>IF(Квартиры!A906="","",Квартиры!A906)</f>
        <v/>
      </c>
      <c r="B908">
        <f>IF(Квартиры!B906="","",Квартиры!B906)</f>
        <v/>
      </c>
      <c r="C908">
        <f>IF(Квартиры!C906="","",Квартиры!C906)</f>
        <v/>
      </c>
      <c r="D908">
        <f>IF(Квартиры!D906="","",Квартиры!D906)</f>
        <v/>
      </c>
      <c r="E908">
        <f>IF(Квартиры!G906="","",Квартиры!G906)</f>
        <v/>
      </c>
      <c r="F908">
        <f>IF(Квартиры!E906="","",Квартиры!E906)</f>
        <v/>
      </c>
      <c r="G908">
        <f>IF(Квартиры!F906="","",Квартиры!F906)</f>
        <v/>
      </c>
      <c r="H908">
        <f>IF(Квартиры!H906="","",Квартиры!H906)</f>
        <v/>
      </c>
      <c r="I908">
        <f>IF(Квартиры!I906="","",Квартиры!I906)</f>
        <v/>
      </c>
      <c r="J908">
        <f>IF(Квартиры!J906="","",Квартиры!J906)</f>
        <v/>
      </c>
    </row>
    <row r="909">
      <c r="A909">
        <f>IF(Квартиры!A907="","",Квартиры!A907)</f>
        <v/>
      </c>
      <c r="B909">
        <f>IF(Квартиры!B907="","",Квартиры!B907)</f>
        <v/>
      </c>
      <c r="C909">
        <f>IF(Квартиры!C907="","",Квартиры!C907)</f>
        <v/>
      </c>
      <c r="D909">
        <f>IF(Квартиры!D907="","",Квартиры!D907)</f>
        <v/>
      </c>
      <c r="E909">
        <f>IF(Квартиры!G907="","",Квартиры!G907)</f>
        <v/>
      </c>
      <c r="F909">
        <f>IF(Квартиры!E907="","",Квартиры!E907)</f>
        <v/>
      </c>
      <c r="G909">
        <f>IF(Квартиры!F907="","",Квартиры!F907)</f>
        <v/>
      </c>
      <c r="H909">
        <f>IF(Квартиры!H907="","",Квартиры!H907)</f>
        <v/>
      </c>
      <c r="I909">
        <f>IF(Квартиры!I907="","",Квартиры!I907)</f>
        <v/>
      </c>
      <c r="J909">
        <f>IF(Квартиры!J907="","",Квартиры!J907)</f>
        <v/>
      </c>
    </row>
    <row r="910">
      <c r="A910">
        <f>IF(Квартиры!A908="","",Квартиры!A908)</f>
        <v/>
      </c>
      <c r="B910">
        <f>IF(Квартиры!B908="","",Квартиры!B908)</f>
        <v/>
      </c>
      <c r="C910">
        <f>IF(Квартиры!C908="","",Квартиры!C908)</f>
        <v/>
      </c>
      <c r="D910">
        <f>IF(Квартиры!D908="","",Квартиры!D908)</f>
        <v/>
      </c>
      <c r="E910">
        <f>IF(Квартиры!G908="","",Квартиры!G908)</f>
        <v/>
      </c>
      <c r="F910">
        <f>IF(Квартиры!E908="","",Квартиры!E908)</f>
        <v/>
      </c>
      <c r="G910">
        <f>IF(Квартиры!F908="","",Квартиры!F908)</f>
        <v/>
      </c>
      <c r="H910">
        <f>IF(Квартиры!H908="","",Квартиры!H908)</f>
        <v/>
      </c>
      <c r="I910">
        <f>IF(Квартиры!I908="","",Квартиры!I908)</f>
        <v/>
      </c>
      <c r="J910">
        <f>IF(Квартиры!J908="","",Квартиры!J908)</f>
        <v/>
      </c>
    </row>
    <row r="911">
      <c r="A911">
        <f>IF(Квартиры!A909="","",Квартиры!A909)</f>
        <v/>
      </c>
      <c r="B911">
        <f>IF(Квартиры!B909="","",Квартиры!B909)</f>
        <v/>
      </c>
      <c r="C911">
        <f>IF(Квартиры!C909="","",Квартиры!C909)</f>
        <v/>
      </c>
      <c r="D911">
        <f>IF(Квартиры!D909="","",Квартиры!D909)</f>
        <v/>
      </c>
      <c r="E911">
        <f>IF(Квартиры!G909="","",Квартиры!G909)</f>
        <v/>
      </c>
      <c r="F911">
        <f>IF(Квартиры!E909="","",Квартиры!E909)</f>
        <v/>
      </c>
      <c r="G911">
        <f>IF(Квартиры!F909="","",Квартиры!F909)</f>
        <v/>
      </c>
      <c r="H911">
        <f>IF(Квартиры!H909="","",Квартиры!H909)</f>
        <v/>
      </c>
      <c r="I911">
        <f>IF(Квартиры!I909="","",Квартиры!I909)</f>
        <v/>
      </c>
      <c r="J911">
        <f>IF(Квартиры!J909="","",Квартиры!J909)</f>
        <v/>
      </c>
    </row>
    <row r="912">
      <c r="A912">
        <f>IF(Квартиры!A910="","",Квартиры!A910)</f>
        <v/>
      </c>
      <c r="B912">
        <f>IF(Квартиры!B910="","",Квартиры!B910)</f>
        <v/>
      </c>
      <c r="C912">
        <f>IF(Квартиры!C910="","",Квартиры!C910)</f>
        <v/>
      </c>
      <c r="D912">
        <f>IF(Квартиры!D910="","",Квартиры!D910)</f>
        <v/>
      </c>
      <c r="E912">
        <f>IF(Квартиры!G910="","",Квартиры!G910)</f>
        <v/>
      </c>
      <c r="F912">
        <f>IF(Квартиры!E910="","",Квартиры!E910)</f>
        <v/>
      </c>
      <c r="G912">
        <f>IF(Квартиры!F910="","",Квартиры!F910)</f>
        <v/>
      </c>
      <c r="H912">
        <f>IF(Квартиры!H910="","",Квартиры!H910)</f>
        <v/>
      </c>
      <c r="I912">
        <f>IF(Квартиры!I910="","",Квартиры!I910)</f>
        <v/>
      </c>
      <c r="J912">
        <f>IF(Квартиры!J910="","",Квартиры!J910)</f>
        <v/>
      </c>
    </row>
    <row r="913">
      <c r="A913">
        <f>IF(Квартиры!A911="","",Квартиры!A911)</f>
        <v/>
      </c>
      <c r="B913">
        <f>IF(Квартиры!B911="","",Квартиры!B911)</f>
        <v/>
      </c>
      <c r="C913">
        <f>IF(Квартиры!C911="","",Квартиры!C911)</f>
        <v/>
      </c>
      <c r="D913">
        <f>IF(Квартиры!D911="","",Квартиры!D911)</f>
        <v/>
      </c>
      <c r="E913">
        <f>IF(Квартиры!G911="","",Квартиры!G911)</f>
        <v/>
      </c>
      <c r="F913">
        <f>IF(Квартиры!E911="","",Квартиры!E911)</f>
        <v/>
      </c>
      <c r="G913">
        <f>IF(Квартиры!F911="","",Квартиры!F911)</f>
        <v/>
      </c>
      <c r="H913">
        <f>IF(Квартиры!H911="","",Квартиры!H911)</f>
        <v/>
      </c>
      <c r="I913">
        <f>IF(Квартиры!I911="","",Квартиры!I911)</f>
        <v/>
      </c>
      <c r="J913">
        <f>IF(Квартиры!J911="","",Квартиры!J911)</f>
        <v/>
      </c>
    </row>
    <row r="914">
      <c r="A914">
        <f>IF(Квартиры!A912="","",Квартиры!A912)</f>
        <v/>
      </c>
      <c r="B914">
        <f>IF(Квартиры!B912="","",Квартиры!B912)</f>
        <v/>
      </c>
      <c r="C914">
        <f>IF(Квартиры!C912="","",Квартиры!C912)</f>
        <v/>
      </c>
      <c r="D914">
        <f>IF(Квартиры!D912="","",Квартиры!D912)</f>
        <v/>
      </c>
      <c r="E914">
        <f>IF(Квартиры!G912="","",Квартиры!G912)</f>
        <v/>
      </c>
      <c r="F914">
        <f>IF(Квартиры!E912="","",Квартиры!E912)</f>
        <v/>
      </c>
      <c r="G914">
        <f>IF(Квартиры!F912="","",Квартиры!F912)</f>
        <v/>
      </c>
      <c r="H914">
        <f>IF(Квартиры!H912="","",Квартиры!H912)</f>
        <v/>
      </c>
      <c r="I914">
        <f>IF(Квартиры!I912="","",Квартиры!I912)</f>
        <v/>
      </c>
      <c r="J914">
        <f>IF(Квартиры!J912="","",Квартиры!J912)</f>
        <v/>
      </c>
    </row>
    <row r="915">
      <c r="A915">
        <f>IF(Квартиры!A913="","",Квартиры!A913)</f>
        <v/>
      </c>
      <c r="B915">
        <f>IF(Квартиры!B913="","",Квартиры!B913)</f>
        <v/>
      </c>
      <c r="C915">
        <f>IF(Квартиры!C913="","",Квартиры!C913)</f>
        <v/>
      </c>
      <c r="D915">
        <f>IF(Квартиры!D913="","",Квартиры!D913)</f>
        <v/>
      </c>
      <c r="E915">
        <f>IF(Квартиры!G913="","",Квартиры!G913)</f>
        <v/>
      </c>
      <c r="F915">
        <f>IF(Квартиры!E913="","",Квартиры!E913)</f>
        <v/>
      </c>
      <c r="G915">
        <f>IF(Квартиры!F913="","",Квартиры!F913)</f>
        <v/>
      </c>
      <c r="H915">
        <f>IF(Квартиры!H913="","",Квартиры!H913)</f>
        <v/>
      </c>
      <c r="I915">
        <f>IF(Квартиры!I913="","",Квартиры!I913)</f>
        <v/>
      </c>
      <c r="J915">
        <f>IF(Квартиры!J913="","",Квартиры!J913)</f>
        <v/>
      </c>
    </row>
    <row r="916">
      <c r="A916">
        <f>IF(Квартиры!A914="","",Квартиры!A914)</f>
        <v/>
      </c>
      <c r="B916">
        <f>IF(Квартиры!B914="","",Квартиры!B914)</f>
        <v/>
      </c>
      <c r="C916">
        <f>IF(Квартиры!C914="","",Квартиры!C914)</f>
        <v/>
      </c>
      <c r="D916">
        <f>IF(Квартиры!D914="","",Квартиры!D914)</f>
        <v/>
      </c>
      <c r="E916">
        <f>IF(Квартиры!G914="","",Квартиры!G914)</f>
        <v/>
      </c>
      <c r="F916">
        <f>IF(Квартиры!E914="","",Квартиры!E914)</f>
        <v/>
      </c>
      <c r="G916">
        <f>IF(Квартиры!F914="","",Квартиры!F914)</f>
        <v/>
      </c>
      <c r="H916">
        <f>IF(Квартиры!H914="","",Квартиры!H914)</f>
        <v/>
      </c>
      <c r="I916">
        <f>IF(Квартиры!I914="","",Квартиры!I914)</f>
        <v/>
      </c>
      <c r="J916">
        <f>IF(Квартиры!J914="","",Квартиры!J914)</f>
        <v/>
      </c>
    </row>
    <row r="917">
      <c r="A917">
        <f>IF(Квартиры!A915="","",Квартиры!A915)</f>
        <v/>
      </c>
      <c r="B917">
        <f>IF(Квартиры!B915="","",Квартиры!B915)</f>
        <v/>
      </c>
      <c r="C917">
        <f>IF(Квартиры!C915="","",Квартиры!C915)</f>
        <v/>
      </c>
      <c r="D917">
        <f>IF(Квартиры!D915="","",Квартиры!D915)</f>
        <v/>
      </c>
      <c r="E917">
        <f>IF(Квартиры!G915="","",Квартиры!G915)</f>
        <v/>
      </c>
      <c r="F917">
        <f>IF(Квартиры!E915="","",Квартиры!E915)</f>
        <v/>
      </c>
      <c r="G917">
        <f>IF(Квартиры!F915="","",Квартиры!F915)</f>
        <v/>
      </c>
      <c r="H917">
        <f>IF(Квартиры!H915="","",Квартиры!H915)</f>
        <v/>
      </c>
      <c r="I917">
        <f>IF(Квартиры!I915="","",Квартиры!I915)</f>
        <v/>
      </c>
      <c r="J917">
        <f>IF(Квартиры!J915="","",Квартиры!J915)</f>
        <v/>
      </c>
    </row>
    <row r="918">
      <c r="A918">
        <f>IF(Квартиры!A916="","",Квартиры!A916)</f>
        <v/>
      </c>
      <c r="B918">
        <f>IF(Квартиры!B916="","",Квартиры!B916)</f>
        <v/>
      </c>
      <c r="C918">
        <f>IF(Квартиры!C916="","",Квартиры!C916)</f>
        <v/>
      </c>
      <c r="D918">
        <f>IF(Квартиры!D916="","",Квартиры!D916)</f>
        <v/>
      </c>
      <c r="E918">
        <f>IF(Квартиры!G916="","",Квартиры!G916)</f>
        <v/>
      </c>
      <c r="F918">
        <f>IF(Квартиры!E916="","",Квартиры!E916)</f>
        <v/>
      </c>
      <c r="G918">
        <f>IF(Квартиры!F916="","",Квартиры!F916)</f>
        <v/>
      </c>
      <c r="H918">
        <f>IF(Квартиры!H916="","",Квартиры!H916)</f>
        <v/>
      </c>
      <c r="I918">
        <f>IF(Квартиры!I916="","",Квартиры!I916)</f>
        <v/>
      </c>
      <c r="J918">
        <f>IF(Квартиры!J916="","",Квартиры!J916)</f>
        <v/>
      </c>
    </row>
    <row r="919">
      <c r="A919">
        <f>IF(Квартиры!A917="","",Квартиры!A917)</f>
        <v/>
      </c>
      <c r="B919">
        <f>IF(Квартиры!B917="","",Квартиры!B917)</f>
        <v/>
      </c>
      <c r="C919">
        <f>IF(Квартиры!C917="","",Квартиры!C917)</f>
        <v/>
      </c>
      <c r="D919">
        <f>IF(Квартиры!D917="","",Квартиры!D917)</f>
        <v/>
      </c>
      <c r="E919">
        <f>IF(Квартиры!G917="","",Квартиры!G917)</f>
        <v/>
      </c>
      <c r="F919">
        <f>IF(Квартиры!E917="","",Квартиры!E917)</f>
        <v/>
      </c>
      <c r="G919">
        <f>IF(Квартиры!F917="","",Квартиры!F917)</f>
        <v/>
      </c>
      <c r="H919">
        <f>IF(Квартиры!H917="","",Квартиры!H917)</f>
        <v/>
      </c>
      <c r="I919">
        <f>IF(Квартиры!I917="","",Квартиры!I917)</f>
        <v/>
      </c>
      <c r="J919">
        <f>IF(Квартиры!J917="","",Квартиры!J917)</f>
        <v/>
      </c>
    </row>
    <row r="920">
      <c r="A920">
        <f>IF(Квартиры!A918="","",Квартиры!A918)</f>
        <v/>
      </c>
      <c r="B920">
        <f>IF(Квартиры!B918="","",Квартиры!B918)</f>
        <v/>
      </c>
      <c r="C920">
        <f>IF(Квартиры!C918="","",Квартиры!C918)</f>
        <v/>
      </c>
      <c r="D920">
        <f>IF(Квартиры!D918="","",Квартиры!D918)</f>
        <v/>
      </c>
      <c r="E920">
        <f>IF(Квартиры!G918="","",Квартиры!G918)</f>
        <v/>
      </c>
      <c r="F920">
        <f>IF(Квартиры!E918="","",Квартиры!E918)</f>
        <v/>
      </c>
      <c r="G920">
        <f>IF(Квартиры!F918="","",Квартиры!F918)</f>
        <v/>
      </c>
      <c r="H920">
        <f>IF(Квартиры!H918="","",Квартиры!H918)</f>
        <v/>
      </c>
      <c r="I920">
        <f>IF(Квартиры!I918="","",Квартиры!I918)</f>
        <v/>
      </c>
      <c r="J920">
        <f>IF(Квартиры!J918="","",Квартиры!J918)</f>
        <v/>
      </c>
    </row>
    <row r="921">
      <c r="A921">
        <f>IF(Квартиры!A919="","",Квартиры!A919)</f>
        <v/>
      </c>
      <c r="B921">
        <f>IF(Квартиры!B919="","",Квартиры!B919)</f>
        <v/>
      </c>
      <c r="C921">
        <f>IF(Квартиры!C919="","",Квартиры!C919)</f>
        <v/>
      </c>
      <c r="D921">
        <f>IF(Квартиры!D919="","",Квартиры!D919)</f>
        <v/>
      </c>
      <c r="E921">
        <f>IF(Квартиры!G919="","",Квартиры!G919)</f>
        <v/>
      </c>
      <c r="F921">
        <f>IF(Квартиры!E919="","",Квартиры!E919)</f>
        <v/>
      </c>
      <c r="G921">
        <f>IF(Квартиры!F919="","",Квартиры!F919)</f>
        <v/>
      </c>
      <c r="H921">
        <f>IF(Квартиры!H919="","",Квартиры!H919)</f>
        <v/>
      </c>
      <c r="I921">
        <f>IF(Квартиры!I919="","",Квартиры!I919)</f>
        <v/>
      </c>
      <c r="J921">
        <f>IF(Квартиры!J919="","",Квартиры!J919)</f>
        <v/>
      </c>
    </row>
    <row r="922">
      <c r="A922">
        <f>IF(Квартиры!A920="","",Квартиры!A920)</f>
        <v/>
      </c>
      <c r="B922">
        <f>IF(Квартиры!B920="","",Квартиры!B920)</f>
        <v/>
      </c>
      <c r="C922">
        <f>IF(Квартиры!C920="","",Квартиры!C920)</f>
        <v/>
      </c>
      <c r="D922">
        <f>IF(Квартиры!D920="","",Квартиры!D920)</f>
        <v/>
      </c>
      <c r="E922">
        <f>IF(Квартиры!G920="","",Квартиры!G920)</f>
        <v/>
      </c>
      <c r="F922">
        <f>IF(Квартиры!E920="","",Квартиры!E920)</f>
        <v/>
      </c>
      <c r="G922">
        <f>IF(Квартиры!F920="","",Квартиры!F920)</f>
        <v/>
      </c>
      <c r="H922">
        <f>IF(Квартиры!H920="","",Квартиры!H920)</f>
        <v/>
      </c>
      <c r="I922">
        <f>IF(Квартиры!I920="","",Квартиры!I920)</f>
        <v/>
      </c>
      <c r="J922">
        <f>IF(Квартиры!J920="","",Квартиры!J920)</f>
        <v/>
      </c>
    </row>
    <row r="923">
      <c r="A923">
        <f>IF(Квартиры!A921="","",Квартиры!A921)</f>
        <v/>
      </c>
      <c r="B923">
        <f>IF(Квартиры!B921="","",Квартиры!B921)</f>
        <v/>
      </c>
      <c r="C923">
        <f>IF(Квартиры!C921="","",Квартиры!C921)</f>
        <v/>
      </c>
      <c r="D923">
        <f>IF(Квартиры!D921="","",Квартиры!D921)</f>
        <v/>
      </c>
      <c r="E923">
        <f>IF(Квартиры!G921="","",Квартиры!G921)</f>
        <v/>
      </c>
      <c r="F923">
        <f>IF(Квартиры!E921="","",Квартиры!E921)</f>
        <v/>
      </c>
      <c r="G923">
        <f>IF(Квартиры!F921="","",Квартиры!F921)</f>
        <v/>
      </c>
      <c r="H923">
        <f>IF(Квартиры!H921="","",Квартиры!H921)</f>
        <v/>
      </c>
      <c r="I923">
        <f>IF(Квартиры!I921="","",Квартиры!I921)</f>
        <v/>
      </c>
      <c r="J923">
        <f>IF(Квартиры!J921="","",Квартиры!J921)</f>
        <v/>
      </c>
    </row>
    <row r="924">
      <c r="A924">
        <f>IF(Квартиры!A922="","",Квартиры!A922)</f>
        <v/>
      </c>
      <c r="B924">
        <f>IF(Квартиры!B922="","",Квартиры!B922)</f>
        <v/>
      </c>
      <c r="C924">
        <f>IF(Квартиры!C922="","",Квартиры!C922)</f>
        <v/>
      </c>
      <c r="D924">
        <f>IF(Квартиры!D922="","",Квартиры!D922)</f>
        <v/>
      </c>
      <c r="E924">
        <f>IF(Квартиры!G922="","",Квартиры!G922)</f>
        <v/>
      </c>
      <c r="F924">
        <f>IF(Квартиры!E922="","",Квартиры!E922)</f>
        <v/>
      </c>
      <c r="G924">
        <f>IF(Квартиры!F922="","",Квартиры!F922)</f>
        <v/>
      </c>
      <c r="H924">
        <f>IF(Квартиры!H922="","",Квартиры!H922)</f>
        <v/>
      </c>
      <c r="I924">
        <f>IF(Квартиры!I922="","",Квартиры!I922)</f>
        <v/>
      </c>
      <c r="J924">
        <f>IF(Квартиры!J922="","",Квартиры!J922)</f>
        <v/>
      </c>
    </row>
    <row r="925">
      <c r="A925">
        <f>IF(Квартиры!A923="","",Квартиры!A923)</f>
        <v/>
      </c>
      <c r="B925">
        <f>IF(Квартиры!B923="","",Квартиры!B923)</f>
        <v/>
      </c>
      <c r="C925">
        <f>IF(Квартиры!C923="","",Квартиры!C923)</f>
        <v/>
      </c>
      <c r="D925">
        <f>IF(Квартиры!D923="","",Квартиры!D923)</f>
        <v/>
      </c>
      <c r="E925">
        <f>IF(Квартиры!G923="","",Квартиры!G923)</f>
        <v/>
      </c>
      <c r="F925">
        <f>IF(Квартиры!E923="","",Квартиры!E923)</f>
        <v/>
      </c>
      <c r="G925">
        <f>IF(Квартиры!F923="","",Квартиры!F923)</f>
        <v/>
      </c>
      <c r="H925">
        <f>IF(Квартиры!H923="","",Квартиры!H923)</f>
        <v/>
      </c>
      <c r="I925">
        <f>IF(Квартиры!I923="","",Квартиры!I923)</f>
        <v/>
      </c>
      <c r="J925">
        <f>IF(Квартиры!J923="","",Квартиры!J923)</f>
        <v/>
      </c>
    </row>
    <row r="926">
      <c r="A926">
        <f>IF(Квартиры!A924="","",Квартиры!A924)</f>
        <v/>
      </c>
      <c r="B926">
        <f>IF(Квартиры!B924="","",Квартиры!B924)</f>
        <v/>
      </c>
      <c r="C926">
        <f>IF(Квартиры!C924="","",Квартиры!C924)</f>
        <v/>
      </c>
      <c r="D926">
        <f>IF(Квартиры!D924="","",Квартиры!D924)</f>
        <v/>
      </c>
      <c r="E926">
        <f>IF(Квартиры!G924="","",Квартиры!G924)</f>
        <v/>
      </c>
      <c r="F926">
        <f>IF(Квартиры!E924="","",Квартиры!E924)</f>
        <v/>
      </c>
      <c r="G926">
        <f>IF(Квартиры!F924="","",Квартиры!F924)</f>
        <v/>
      </c>
      <c r="H926">
        <f>IF(Квартиры!H924="","",Квартиры!H924)</f>
        <v/>
      </c>
      <c r="I926">
        <f>IF(Квартиры!I924="","",Квартиры!I924)</f>
        <v/>
      </c>
      <c r="J926">
        <f>IF(Квартиры!J924="","",Квартиры!J924)</f>
        <v/>
      </c>
    </row>
    <row r="927">
      <c r="A927">
        <f>IF(Квартиры!A925="","",Квартиры!A925)</f>
        <v/>
      </c>
      <c r="B927">
        <f>IF(Квартиры!B925="","",Квартиры!B925)</f>
        <v/>
      </c>
      <c r="C927">
        <f>IF(Квартиры!C925="","",Квартиры!C925)</f>
        <v/>
      </c>
      <c r="D927">
        <f>IF(Квартиры!D925="","",Квартиры!D925)</f>
        <v/>
      </c>
      <c r="E927">
        <f>IF(Квартиры!G925="","",Квартиры!G925)</f>
        <v/>
      </c>
      <c r="F927">
        <f>IF(Квартиры!E925="","",Квартиры!E925)</f>
        <v/>
      </c>
      <c r="G927">
        <f>IF(Квартиры!F925="","",Квартиры!F925)</f>
        <v/>
      </c>
      <c r="H927">
        <f>IF(Квартиры!H925="","",Квартиры!H925)</f>
        <v/>
      </c>
      <c r="I927">
        <f>IF(Квартиры!I925="","",Квартиры!I925)</f>
        <v/>
      </c>
      <c r="J927">
        <f>IF(Квартиры!J925="","",Квартиры!J925)</f>
        <v/>
      </c>
    </row>
    <row r="928">
      <c r="A928">
        <f>IF(Квартиры!A926="","",Квартиры!A926)</f>
        <v/>
      </c>
      <c r="B928">
        <f>IF(Квартиры!B926="","",Квартиры!B926)</f>
        <v/>
      </c>
      <c r="C928">
        <f>IF(Квартиры!C926="","",Квартиры!C926)</f>
        <v/>
      </c>
      <c r="D928">
        <f>IF(Квартиры!D926="","",Квартиры!D926)</f>
        <v/>
      </c>
      <c r="E928">
        <f>IF(Квартиры!G926="","",Квартиры!G926)</f>
        <v/>
      </c>
      <c r="F928">
        <f>IF(Квартиры!E926="","",Квартиры!E926)</f>
        <v/>
      </c>
      <c r="G928">
        <f>IF(Квартиры!F926="","",Квартиры!F926)</f>
        <v/>
      </c>
      <c r="H928">
        <f>IF(Квартиры!H926="","",Квартиры!H926)</f>
        <v/>
      </c>
      <c r="I928">
        <f>IF(Квартиры!I926="","",Квартиры!I926)</f>
        <v/>
      </c>
      <c r="J928">
        <f>IF(Квартиры!J926="","",Квартиры!J926)</f>
        <v/>
      </c>
    </row>
    <row r="929">
      <c r="A929">
        <f>IF(Квартиры!A927="","",Квартиры!A927)</f>
        <v/>
      </c>
      <c r="B929">
        <f>IF(Квартиры!B927="","",Квартиры!B927)</f>
        <v/>
      </c>
      <c r="C929">
        <f>IF(Квартиры!C927="","",Квартиры!C927)</f>
        <v/>
      </c>
      <c r="D929">
        <f>IF(Квартиры!D927="","",Квартиры!D927)</f>
        <v/>
      </c>
      <c r="E929">
        <f>IF(Квартиры!G927="","",Квартиры!G927)</f>
        <v/>
      </c>
      <c r="F929">
        <f>IF(Квартиры!E927="","",Квартиры!E927)</f>
        <v/>
      </c>
      <c r="G929">
        <f>IF(Квартиры!F927="","",Квартиры!F927)</f>
        <v/>
      </c>
      <c r="H929">
        <f>IF(Квартиры!H927="","",Квартиры!H927)</f>
        <v/>
      </c>
      <c r="I929">
        <f>IF(Квартиры!I927="","",Квартиры!I927)</f>
        <v/>
      </c>
      <c r="J929">
        <f>IF(Квартиры!J927="","",Квартиры!J927)</f>
        <v/>
      </c>
    </row>
    <row r="930">
      <c r="A930">
        <f>IF(Квартиры!A928="","",Квартиры!A928)</f>
        <v/>
      </c>
      <c r="B930">
        <f>IF(Квартиры!B928="","",Квартиры!B928)</f>
        <v/>
      </c>
      <c r="C930">
        <f>IF(Квартиры!C928="","",Квартиры!C928)</f>
        <v/>
      </c>
      <c r="D930">
        <f>IF(Квартиры!D928="","",Квартиры!D928)</f>
        <v/>
      </c>
      <c r="E930">
        <f>IF(Квартиры!G928="","",Квартиры!G928)</f>
        <v/>
      </c>
      <c r="F930">
        <f>IF(Квартиры!E928="","",Квартиры!E928)</f>
        <v/>
      </c>
      <c r="G930">
        <f>IF(Квартиры!F928="","",Квартиры!F928)</f>
        <v/>
      </c>
      <c r="H930">
        <f>IF(Квартиры!H928="","",Квартиры!H928)</f>
        <v/>
      </c>
      <c r="I930">
        <f>IF(Квартиры!I928="","",Квартиры!I928)</f>
        <v/>
      </c>
      <c r="J930">
        <f>IF(Квартиры!J928="","",Квартиры!J928)</f>
        <v/>
      </c>
    </row>
    <row r="931">
      <c r="A931">
        <f>IF(Квартиры!A929="","",Квартиры!A929)</f>
        <v/>
      </c>
      <c r="B931">
        <f>IF(Квартиры!B929="","",Квартиры!B929)</f>
        <v/>
      </c>
      <c r="C931">
        <f>IF(Квартиры!C929="","",Квартиры!C929)</f>
        <v/>
      </c>
      <c r="D931">
        <f>IF(Квартиры!D929="","",Квартиры!D929)</f>
        <v/>
      </c>
      <c r="E931">
        <f>IF(Квартиры!G929="","",Квартиры!G929)</f>
        <v/>
      </c>
      <c r="F931">
        <f>IF(Квартиры!E929="","",Квартиры!E929)</f>
        <v/>
      </c>
      <c r="G931">
        <f>IF(Квартиры!F929="","",Квартиры!F929)</f>
        <v/>
      </c>
      <c r="H931">
        <f>IF(Квартиры!H929="","",Квартиры!H929)</f>
        <v/>
      </c>
      <c r="I931">
        <f>IF(Квартиры!I929="","",Квартиры!I929)</f>
        <v/>
      </c>
      <c r="J931">
        <f>IF(Квартиры!J929="","",Квартиры!J929)</f>
        <v/>
      </c>
    </row>
    <row r="932">
      <c r="A932">
        <f>IF(Квартиры!A930="","",Квартиры!A930)</f>
        <v/>
      </c>
      <c r="B932">
        <f>IF(Квартиры!B930="","",Квартиры!B930)</f>
        <v/>
      </c>
      <c r="C932">
        <f>IF(Квартиры!C930="","",Квартиры!C930)</f>
        <v/>
      </c>
      <c r="D932">
        <f>IF(Квартиры!D930="","",Квартиры!D930)</f>
        <v/>
      </c>
      <c r="E932">
        <f>IF(Квартиры!G930="","",Квартиры!G930)</f>
        <v/>
      </c>
      <c r="F932">
        <f>IF(Квартиры!E930="","",Квартиры!E930)</f>
        <v/>
      </c>
      <c r="G932">
        <f>IF(Квартиры!F930="","",Квартиры!F930)</f>
        <v/>
      </c>
      <c r="H932">
        <f>IF(Квартиры!H930="","",Квартиры!H930)</f>
        <v/>
      </c>
      <c r="I932">
        <f>IF(Квартиры!I930="","",Квартиры!I930)</f>
        <v/>
      </c>
      <c r="J932">
        <f>IF(Квартиры!J930="","",Квартиры!J930)</f>
        <v/>
      </c>
    </row>
    <row r="933">
      <c r="A933">
        <f>IF(Квартиры!A931="","",Квартиры!A931)</f>
        <v/>
      </c>
      <c r="B933">
        <f>IF(Квартиры!B931="","",Квартиры!B931)</f>
        <v/>
      </c>
      <c r="C933">
        <f>IF(Квартиры!C931="","",Квартиры!C931)</f>
        <v/>
      </c>
      <c r="D933">
        <f>IF(Квартиры!D931="","",Квартиры!D931)</f>
        <v/>
      </c>
      <c r="E933">
        <f>IF(Квартиры!G931="","",Квартиры!G931)</f>
        <v/>
      </c>
      <c r="F933">
        <f>IF(Квартиры!E931="","",Квартиры!E931)</f>
        <v/>
      </c>
      <c r="G933">
        <f>IF(Квартиры!F931="","",Квартиры!F931)</f>
        <v/>
      </c>
      <c r="H933">
        <f>IF(Квартиры!H931="","",Квартиры!H931)</f>
        <v/>
      </c>
      <c r="I933">
        <f>IF(Квартиры!I931="","",Квартиры!I931)</f>
        <v/>
      </c>
      <c r="J933">
        <f>IF(Квартиры!J931="","",Квартиры!J931)</f>
        <v/>
      </c>
    </row>
    <row r="934">
      <c r="A934">
        <f>IF(Квартиры!A932="","",Квартиры!A932)</f>
        <v/>
      </c>
      <c r="B934">
        <f>IF(Квартиры!B932="","",Квартиры!B932)</f>
        <v/>
      </c>
      <c r="C934">
        <f>IF(Квартиры!C932="","",Квартиры!C932)</f>
        <v/>
      </c>
      <c r="D934">
        <f>IF(Квартиры!D932="","",Квартиры!D932)</f>
        <v/>
      </c>
      <c r="E934">
        <f>IF(Квартиры!G932="","",Квартиры!G932)</f>
        <v/>
      </c>
      <c r="F934">
        <f>IF(Квартиры!E932="","",Квартиры!E932)</f>
        <v/>
      </c>
      <c r="G934">
        <f>IF(Квартиры!F932="","",Квартиры!F932)</f>
        <v/>
      </c>
      <c r="H934">
        <f>IF(Квартиры!H932="","",Квартиры!H932)</f>
        <v/>
      </c>
      <c r="I934">
        <f>IF(Квартиры!I932="","",Квартиры!I932)</f>
        <v/>
      </c>
      <c r="J934">
        <f>IF(Квартиры!J932="","",Квартиры!J932)</f>
        <v/>
      </c>
    </row>
    <row r="935">
      <c r="A935">
        <f>IF(Квартиры!A933="","",Квартиры!A933)</f>
        <v/>
      </c>
      <c r="B935">
        <f>IF(Квартиры!B933="","",Квартиры!B933)</f>
        <v/>
      </c>
      <c r="C935">
        <f>IF(Квартиры!C933="","",Квартиры!C933)</f>
        <v/>
      </c>
      <c r="D935">
        <f>IF(Квартиры!D933="","",Квартиры!D933)</f>
        <v/>
      </c>
      <c r="E935">
        <f>IF(Квартиры!G933="","",Квартиры!G933)</f>
        <v/>
      </c>
      <c r="F935">
        <f>IF(Квартиры!E933="","",Квартиры!E933)</f>
        <v/>
      </c>
      <c r="G935">
        <f>IF(Квартиры!F933="","",Квартиры!F933)</f>
        <v/>
      </c>
      <c r="H935">
        <f>IF(Квартиры!H933="","",Квартиры!H933)</f>
        <v/>
      </c>
      <c r="I935">
        <f>IF(Квартиры!I933="","",Квартиры!I933)</f>
        <v/>
      </c>
      <c r="J935">
        <f>IF(Квартиры!J933="","",Квартиры!J933)</f>
        <v/>
      </c>
    </row>
    <row r="936">
      <c r="A936">
        <f>IF(Квартиры!A934="","",Квартиры!A934)</f>
        <v/>
      </c>
      <c r="B936">
        <f>IF(Квартиры!B934="","",Квартиры!B934)</f>
        <v/>
      </c>
      <c r="C936">
        <f>IF(Квартиры!C934="","",Квартиры!C934)</f>
        <v/>
      </c>
      <c r="D936">
        <f>IF(Квартиры!D934="","",Квартиры!D934)</f>
        <v/>
      </c>
      <c r="E936">
        <f>IF(Квартиры!G934="","",Квартиры!G934)</f>
        <v/>
      </c>
      <c r="F936">
        <f>IF(Квартиры!E934="","",Квартиры!E934)</f>
        <v/>
      </c>
      <c r="G936">
        <f>IF(Квартиры!F934="","",Квартиры!F934)</f>
        <v/>
      </c>
      <c r="H936">
        <f>IF(Квартиры!H934="","",Квартиры!H934)</f>
        <v/>
      </c>
      <c r="I936">
        <f>IF(Квартиры!I934="","",Квартиры!I934)</f>
        <v/>
      </c>
      <c r="J936">
        <f>IF(Квартиры!J934="","",Квартиры!J934)</f>
        <v/>
      </c>
    </row>
    <row r="937">
      <c r="A937">
        <f>IF(Квартиры!A935="","",Квартиры!A935)</f>
        <v/>
      </c>
      <c r="B937">
        <f>IF(Квартиры!B935="","",Квартиры!B935)</f>
        <v/>
      </c>
      <c r="C937">
        <f>IF(Квартиры!C935="","",Квартиры!C935)</f>
        <v/>
      </c>
      <c r="D937">
        <f>IF(Квартиры!D935="","",Квартиры!D935)</f>
        <v/>
      </c>
      <c r="E937">
        <f>IF(Квартиры!G935="","",Квартиры!G935)</f>
        <v/>
      </c>
      <c r="F937">
        <f>IF(Квартиры!E935="","",Квартиры!E935)</f>
        <v/>
      </c>
      <c r="G937">
        <f>IF(Квартиры!F935="","",Квартиры!F935)</f>
        <v/>
      </c>
      <c r="H937">
        <f>IF(Квартиры!H935="","",Квартиры!H935)</f>
        <v/>
      </c>
      <c r="I937">
        <f>IF(Квартиры!I935="","",Квартиры!I935)</f>
        <v/>
      </c>
      <c r="J937">
        <f>IF(Квартиры!J935="","",Квартиры!J935)</f>
        <v/>
      </c>
    </row>
    <row r="938">
      <c r="A938">
        <f>IF(Квартиры!A936="","",Квартиры!A936)</f>
        <v/>
      </c>
      <c r="B938">
        <f>IF(Квартиры!B936="","",Квартиры!B936)</f>
        <v/>
      </c>
      <c r="C938">
        <f>IF(Квартиры!C936="","",Квартиры!C936)</f>
        <v/>
      </c>
      <c r="D938">
        <f>IF(Квартиры!D936="","",Квартиры!D936)</f>
        <v/>
      </c>
      <c r="E938">
        <f>IF(Квартиры!G936="","",Квартиры!G936)</f>
        <v/>
      </c>
      <c r="F938">
        <f>IF(Квартиры!E936="","",Квартиры!E936)</f>
        <v/>
      </c>
      <c r="G938">
        <f>IF(Квартиры!F936="","",Квартиры!F936)</f>
        <v/>
      </c>
      <c r="H938">
        <f>IF(Квартиры!H936="","",Квартиры!H936)</f>
        <v/>
      </c>
      <c r="I938">
        <f>IF(Квартиры!I936="","",Квартиры!I936)</f>
        <v/>
      </c>
      <c r="J938">
        <f>IF(Квартиры!J936="","",Квартиры!J936)</f>
        <v/>
      </c>
    </row>
    <row r="939">
      <c r="A939">
        <f>IF(Квартиры!A937="","",Квартиры!A937)</f>
        <v/>
      </c>
      <c r="B939">
        <f>IF(Квартиры!B937="","",Квартиры!B937)</f>
        <v/>
      </c>
      <c r="C939">
        <f>IF(Квартиры!C937="","",Квартиры!C937)</f>
        <v/>
      </c>
      <c r="D939">
        <f>IF(Квартиры!D937="","",Квартиры!D937)</f>
        <v/>
      </c>
      <c r="E939">
        <f>IF(Квартиры!G937="","",Квартиры!G937)</f>
        <v/>
      </c>
      <c r="F939">
        <f>IF(Квартиры!E937="","",Квартиры!E937)</f>
        <v/>
      </c>
      <c r="G939">
        <f>IF(Квартиры!F937="","",Квартиры!F937)</f>
        <v/>
      </c>
      <c r="H939">
        <f>IF(Квартиры!H937="","",Квартиры!H937)</f>
        <v/>
      </c>
      <c r="I939">
        <f>IF(Квартиры!I937="","",Квартиры!I937)</f>
        <v/>
      </c>
      <c r="J939">
        <f>IF(Квартиры!J937="","",Квартиры!J937)</f>
        <v/>
      </c>
    </row>
    <row r="940">
      <c r="A940">
        <f>IF(Квартиры!A938="","",Квартиры!A938)</f>
        <v/>
      </c>
      <c r="B940">
        <f>IF(Квартиры!B938="","",Квартиры!B938)</f>
        <v/>
      </c>
      <c r="C940">
        <f>IF(Квартиры!C938="","",Квартиры!C938)</f>
        <v/>
      </c>
      <c r="D940">
        <f>IF(Квартиры!D938="","",Квартиры!D938)</f>
        <v/>
      </c>
      <c r="E940">
        <f>IF(Квартиры!G938="","",Квартиры!G938)</f>
        <v/>
      </c>
      <c r="F940">
        <f>IF(Квартиры!E938="","",Квартиры!E938)</f>
        <v/>
      </c>
      <c r="G940">
        <f>IF(Квартиры!F938="","",Квартиры!F938)</f>
        <v/>
      </c>
      <c r="H940">
        <f>IF(Квартиры!H938="","",Квартиры!H938)</f>
        <v/>
      </c>
      <c r="I940">
        <f>IF(Квартиры!I938="","",Квартиры!I938)</f>
        <v/>
      </c>
      <c r="J940">
        <f>IF(Квартиры!J938="","",Квартиры!J938)</f>
        <v/>
      </c>
    </row>
    <row r="941">
      <c r="A941">
        <f>IF(Квартиры!A939="","",Квартиры!A939)</f>
        <v/>
      </c>
      <c r="B941">
        <f>IF(Квартиры!B939="","",Квартиры!B939)</f>
        <v/>
      </c>
      <c r="C941">
        <f>IF(Квартиры!C939="","",Квартиры!C939)</f>
        <v/>
      </c>
      <c r="D941">
        <f>IF(Квартиры!D939="","",Квартиры!D939)</f>
        <v/>
      </c>
      <c r="E941">
        <f>IF(Квартиры!G939="","",Квартиры!G939)</f>
        <v/>
      </c>
      <c r="F941">
        <f>IF(Квартиры!E939="","",Квартиры!E939)</f>
        <v/>
      </c>
      <c r="G941">
        <f>IF(Квартиры!F939="","",Квартиры!F939)</f>
        <v/>
      </c>
      <c r="H941">
        <f>IF(Квартиры!H939="","",Квартиры!H939)</f>
        <v/>
      </c>
      <c r="I941">
        <f>IF(Квартиры!I939="","",Квартиры!I939)</f>
        <v/>
      </c>
      <c r="J941">
        <f>IF(Квартиры!J939="","",Квартиры!J939)</f>
        <v/>
      </c>
    </row>
    <row r="942">
      <c r="A942">
        <f>IF(Квартиры!A940="","",Квартиры!A940)</f>
        <v/>
      </c>
      <c r="B942">
        <f>IF(Квартиры!B940="","",Квартиры!B940)</f>
        <v/>
      </c>
      <c r="C942">
        <f>IF(Квартиры!C940="","",Квартиры!C940)</f>
        <v/>
      </c>
      <c r="D942">
        <f>IF(Квартиры!D940="","",Квартиры!D940)</f>
        <v/>
      </c>
      <c r="E942">
        <f>IF(Квартиры!G940="","",Квартиры!G940)</f>
        <v/>
      </c>
      <c r="F942">
        <f>IF(Квартиры!E940="","",Квартиры!E940)</f>
        <v/>
      </c>
      <c r="G942">
        <f>IF(Квартиры!F940="","",Квартиры!F940)</f>
        <v/>
      </c>
      <c r="H942">
        <f>IF(Квартиры!H940="","",Квартиры!H940)</f>
        <v/>
      </c>
      <c r="I942">
        <f>IF(Квартиры!I940="","",Квартиры!I940)</f>
        <v/>
      </c>
      <c r="J942">
        <f>IF(Квартиры!J940="","",Квартиры!J940)</f>
        <v/>
      </c>
    </row>
    <row r="943">
      <c r="A943">
        <f>IF(Квартиры!A941="","",Квартиры!A941)</f>
        <v/>
      </c>
      <c r="B943">
        <f>IF(Квартиры!B941="","",Квартиры!B941)</f>
        <v/>
      </c>
      <c r="C943">
        <f>IF(Квартиры!C941="","",Квартиры!C941)</f>
        <v/>
      </c>
      <c r="D943">
        <f>IF(Квартиры!D941="","",Квартиры!D941)</f>
        <v/>
      </c>
      <c r="E943">
        <f>IF(Квартиры!G941="","",Квартиры!G941)</f>
        <v/>
      </c>
      <c r="F943">
        <f>IF(Квартиры!E941="","",Квартиры!E941)</f>
        <v/>
      </c>
      <c r="G943">
        <f>IF(Квартиры!F941="","",Квартиры!F941)</f>
        <v/>
      </c>
      <c r="H943">
        <f>IF(Квартиры!H941="","",Квартиры!H941)</f>
        <v/>
      </c>
      <c r="I943">
        <f>IF(Квартиры!I941="","",Квартиры!I941)</f>
        <v/>
      </c>
      <c r="J943">
        <f>IF(Квартиры!J941="","",Квартиры!J941)</f>
        <v/>
      </c>
    </row>
    <row r="944">
      <c r="A944">
        <f>IF(Квартиры!A942="","",Квартиры!A942)</f>
        <v/>
      </c>
      <c r="B944">
        <f>IF(Квартиры!B942="","",Квартиры!B942)</f>
        <v/>
      </c>
      <c r="C944">
        <f>IF(Квартиры!C942="","",Квартиры!C942)</f>
        <v/>
      </c>
      <c r="D944">
        <f>IF(Квартиры!D942="","",Квартиры!D942)</f>
        <v/>
      </c>
      <c r="E944">
        <f>IF(Квартиры!G942="","",Квартиры!G942)</f>
        <v/>
      </c>
      <c r="F944">
        <f>IF(Квартиры!E942="","",Квартиры!E942)</f>
        <v/>
      </c>
      <c r="G944">
        <f>IF(Квартиры!F942="","",Квартиры!F942)</f>
        <v/>
      </c>
      <c r="H944">
        <f>IF(Квартиры!H942="","",Квартиры!H942)</f>
        <v/>
      </c>
      <c r="I944">
        <f>IF(Квартиры!I942="","",Квартиры!I942)</f>
        <v/>
      </c>
      <c r="J944">
        <f>IF(Квартиры!J942="","",Квартиры!J942)</f>
        <v/>
      </c>
    </row>
    <row r="945">
      <c r="A945">
        <f>IF(Квартиры!A943="","",Квартиры!A943)</f>
        <v/>
      </c>
      <c r="B945">
        <f>IF(Квартиры!B943="","",Квартиры!B943)</f>
        <v/>
      </c>
      <c r="C945">
        <f>IF(Квартиры!C943="","",Квартиры!C943)</f>
        <v/>
      </c>
      <c r="D945">
        <f>IF(Квартиры!D943="","",Квартиры!D943)</f>
        <v/>
      </c>
      <c r="E945">
        <f>IF(Квартиры!G943="","",Квартиры!G943)</f>
        <v/>
      </c>
      <c r="F945">
        <f>IF(Квартиры!E943="","",Квартиры!E943)</f>
        <v/>
      </c>
      <c r="G945">
        <f>IF(Квартиры!F943="","",Квартиры!F943)</f>
        <v/>
      </c>
      <c r="H945">
        <f>IF(Квартиры!H943="","",Квартиры!H943)</f>
        <v/>
      </c>
      <c r="I945">
        <f>IF(Квартиры!I943="","",Квартиры!I943)</f>
        <v/>
      </c>
      <c r="J945">
        <f>IF(Квартиры!J943="","",Квартиры!J943)</f>
        <v/>
      </c>
    </row>
    <row r="946">
      <c r="A946">
        <f>IF(Квартиры!A944="","",Квартиры!A944)</f>
        <v/>
      </c>
      <c r="B946">
        <f>IF(Квартиры!B944="","",Квартиры!B944)</f>
        <v/>
      </c>
      <c r="C946">
        <f>IF(Квартиры!C944="","",Квартиры!C944)</f>
        <v/>
      </c>
      <c r="D946">
        <f>IF(Квартиры!D944="","",Квартиры!D944)</f>
        <v/>
      </c>
      <c r="E946">
        <f>IF(Квартиры!G944="","",Квартиры!G944)</f>
        <v/>
      </c>
      <c r="F946">
        <f>IF(Квартиры!E944="","",Квартиры!E944)</f>
        <v/>
      </c>
      <c r="G946">
        <f>IF(Квартиры!F944="","",Квартиры!F944)</f>
        <v/>
      </c>
      <c r="H946">
        <f>IF(Квартиры!H944="","",Квартиры!H944)</f>
        <v/>
      </c>
      <c r="I946">
        <f>IF(Квартиры!I944="","",Квартиры!I944)</f>
        <v/>
      </c>
      <c r="J946">
        <f>IF(Квартиры!J944="","",Квартиры!J944)</f>
        <v/>
      </c>
    </row>
    <row r="947">
      <c r="A947">
        <f>IF(Квартиры!A945="","",Квартиры!A945)</f>
        <v/>
      </c>
      <c r="B947">
        <f>IF(Квартиры!B945="","",Квартиры!B945)</f>
        <v/>
      </c>
      <c r="C947">
        <f>IF(Квартиры!C945="","",Квартиры!C945)</f>
        <v/>
      </c>
      <c r="D947">
        <f>IF(Квартиры!D945="","",Квартиры!D945)</f>
        <v/>
      </c>
      <c r="E947">
        <f>IF(Квартиры!G945="","",Квартиры!G945)</f>
        <v/>
      </c>
      <c r="F947">
        <f>IF(Квартиры!E945="","",Квартиры!E945)</f>
        <v/>
      </c>
      <c r="G947">
        <f>IF(Квартиры!F945="","",Квартиры!F945)</f>
        <v/>
      </c>
      <c r="H947">
        <f>IF(Квартиры!H945="","",Квартиры!H945)</f>
        <v/>
      </c>
      <c r="I947">
        <f>IF(Квартиры!I945="","",Квартиры!I945)</f>
        <v/>
      </c>
      <c r="J947">
        <f>IF(Квартиры!J945="","",Квартиры!J945)</f>
        <v/>
      </c>
    </row>
    <row r="948">
      <c r="A948">
        <f>IF(Квартиры!A946="","",Квартиры!A946)</f>
        <v/>
      </c>
      <c r="B948">
        <f>IF(Квартиры!B946="","",Квартиры!B946)</f>
        <v/>
      </c>
      <c r="C948">
        <f>IF(Квартиры!C946="","",Квартиры!C946)</f>
        <v/>
      </c>
      <c r="D948">
        <f>IF(Квартиры!D946="","",Квартиры!D946)</f>
        <v/>
      </c>
      <c r="E948">
        <f>IF(Квартиры!G946="","",Квартиры!G946)</f>
        <v/>
      </c>
      <c r="F948">
        <f>IF(Квартиры!E946="","",Квартиры!E946)</f>
        <v/>
      </c>
      <c r="G948">
        <f>IF(Квартиры!F946="","",Квартиры!F946)</f>
        <v/>
      </c>
      <c r="H948">
        <f>IF(Квартиры!H946="","",Квартиры!H946)</f>
        <v/>
      </c>
      <c r="I948">
        <f>IF(Квартиры!I946="","",Квартиры!I946)</f>
        <v/>
      </c>
      <c r="J948">
        <f>IF(Квартиры!J946="","",Квартиры!J946)</f>
        <v/>
      </c>
    </row>
    <row r="949">
      <c r="A949">
        <f>IF(Квартиры!A947="","",Квартиры!A947)</f>
        <v/>
      </c>
      <c r="B949">
        <f>IF(Квартиры!B947="","",Квартиры!B947)</f>
        <v/>
      </c>
      <c r="C949">
        <f>IF(Квартиры!C947="","",Квартиры!C947)</f>
        <v/>
      </c>
      <c r="D949">
        <f>IF(Квартиры!D947="","",Квартиры!D947)</f>
        <v/>
      </c>
      <c r="E949">
        <f>IF(Квартиры!G947="","",Квартиры!G947)</f>
        <v/>
      </c>
      <c r="F949">
        <f>IF(Квартиры!E947="","",Квартиры!E947)</f>
        <v/>
      </c>
      <c r="G949">
        <f>IF(Квартиры!F947="","",Квартиры!F947)</f>
        <v/>
      </c>
      <c r="H949">
        <f>IF(Квартиры!H947="","",Квартиры!H947)</f>
        <v/>
      </c>
      <c r="I949">
        <f>IF(Квартиры!I947="","",Квартиры!I947)</f>
        <v/>
      </c>
      <c r="J949">
        <f>IF(Квартиры!J947="","",Квартиры!J947)</f>
        <v/>
      </c>
    </row>
    <row r="950">
      <c r="A950">
        <f>IF(Квартиры!A948="","",Квартиры!A948)</f>
        <v/>
      </c>
      <c r="B950">
        <f>IF(Квартиры!B948="","",Квартиры!B948)</f>
        <v/>
      </c>
      <c r="C950">
        <f>IF(Квартиры!C948="","",Квартиры!C948)</f>
        <v/>
      </c>
      <c r="D950">
        <f>IF(Квартиры!D948="","",Квартиры!D948)</f>
        <v/>
      </c>
      <c r="E950">
        <f>IF(Квартиры!G948="","",Квартиры!G948)</f>
        <v/>
      </c>
      <c r="F950">
        <f>IF(Квартиры!E948="","",Квартиры!E948)</f>
        <v/>
      </c>
      <c r="G950">
        <f>IF(Квартиры!F948="","",Квартиры!F948)</f>
        <v/>
      </c>
      <c r="H950">
        <f>IF(Квартиры!H948="","",Квартиры!H948)</f>
        <v/>
      </c>
      <c r="I950">
        <f>IF(Квартиры!I948="","",Квартиры!I948)</f>
        <v/>
      </c>
      <c r="J950">
        <f>IF(Квартиры!J948="","",Квартиры!J948)</f>
        <v/>
      </c>
    </row>
    <row r="951">
      <c r="A951">
        <f>IF(Квартиры!A949="","",Квартиры!A949)</f>
        <v/>
      </c>
      <c r="B951">
        <f>IF(Квартиры!B949="","",Квартиры!B949)</f>
        <v/>
      </c>
      <c r="C951">
        <f>IF(Квартиры!C949="","",Квартиры!C949)</f>
        <v/>
      </c>
      <c r="D951">
        <f>IF(Квартиры!D949="","",Квартиры!D949)</f>
        <v/>
      </c>
      <c r="E951">
        <f>IF(Квартиры!G949="","",Квартиры!G949)</f>
        <v/>
      </c>
      <c r="F951">
        <f>IF(Квартиры!E949="","",Квартиры!E949)</f>
        <v/>
      </c>
      <c r="G951">
        <f>IF(Квартиры!F949="","",Квартиры!F949)</f>
        <v/>
      </c>
      <c r="H951">
        <f>IF(Квартиры!H949="","",Квартиры!H949)</f>
        <v/>
      </c>
      <c r="I951">
        <f>IF(Квартиры!I949="","",Квартиры!I949)</f>
        <v/>
      </c>
      <c r="J951">
        <f>IF(Квартиры!J949="","",Квартиры!J949)</f>
        <v/>
      </c>
    </row>
    <row r="952">
      <c r="A952">
        <f>IF(Квартиры!A950="","",Квартиры!A950)</f>
        <v/>
      </c>
      <c r="B952">
        <f>IF(Квартиры!B950="","",Квартиры!B950)</f>
        <v/>
      </c>
      <c r="C952">
        <f>IF(Квартиры!C950="","",Квартиры!C950)</f>
        <v/>
      </c>
      <c r="D952">
        <f>IF(Квартиры!D950="","",Квартиры!D950)</f>
        <v/>
      </c>
      <c r="E952">
        <f>IF(Квартиры!G950="","",Квартиры!G950)</f>
        <v/>
      </c>
      <c r="F952">
        <f>IF(Квартиры!E950="","",Квартиры!E950)</f>
        <v/>
      </c>
      <c r="G952">
        <f>IF(Квартиры!F950="","",Квартиры!F950)</f>
        <v/>
      </c>
      <c r="H952">
        <f>IF(Квартиры!H950="","",Квартиры!H950)</f>
        <v/>
      </c>
      <c r="I952">
        <f>IF(Квартиры!I950="","",Квартиры!I950)</f>
        <v/>
      </c>
      <c r="J952">
        <f>IF(Квартиры!J950="","",Квартиры!J950)</f>
        <v/>
      </c>
    </row>
    <row r="953">
      <c r="A953">
        <f>IF(Квартиры!A951="","",Квартиры!A951)</f>
        <v/>
      </c>
      <c r="B953">
        <f>IF(Квартиры!B951="","",Квартиры!B951)</f>
        <v/>
      </c>
      <c r="C953">
        <f>IF(Квартиры!C951="","",Квартиры!C951)</f>
        <v/>
      </c>
      <c r="D953">
        <f>IF(Квартиры!D951="","",Квартиры!D951)</f>
        <v/>
      </c>
      <c r="E953">
        <f>IF(Квартиры!G951="","",Квартиры!G951)</f>
        <v/>
      </c>
      <c r="F953">
        <f>IF(Квартиры!E951="","",Квартиры!E951)</f>
        <v/>
      </c>
      <c r="G953">
        <f>IF(Квартиры!F951="","",Квартиры!F951)</f>
        <v/>
      </c>
      <c r="H953">
        <f>IF(Квартиры!H951="","",Квартиры!H951)</f>
        <v/>
      </c>
      <c r="I953">
        <f>IF(Квартиры!I951="","",Квартиры!I951)</f>
        <v/>
      </c>
      <c r="J953">
        <f>IF(Квартиры!J951="","",Квартиры!J951)</f>
        <v/>
      </c>
    </row>
    <row r="954">
      <c r="A954">
        <f>IF(Квартиры!A952="","",Квартиры!A952)</f>
        <v/>
      </c>
      <c r="B954">
        <f>IF(Квартиры!B952="","",Квартиры!B952)</f>
        <v/>
      </c>
      <c r="C954">
        <f>IF(Квартиры!C952="","",Квартиры!C952)</f>
        <v/>
      </c>
      <c r="D954">
        <f>IF(Квартиры!D952="","",Квартиры!D952)</f>
        <v/>
      </c>
      <c r="E954">
        <f>IF(Квартиры!G952="","",Квартиры!G952)</f>
        <v/>
      </c>
      <c r="F954">
        <f>IF(Квартиры!E952="","",Квартиры!E952)</f>
        <v/>
      </c>
      <c r="G954">
        <f>IF(Квартиры!F952="","",Квартиры!F952)</f>
        <v/>
      </c>
      <c r="H954">
        <f>IF(Квартиры!H952="","",Квартиры!H952)</f>
        <v/>
      </c>
      <c r="I954">
        <f>IF(Квартиры!I952="","",Квартиры!I952)</f>
        <v/>
      </c>
      <c r="J954">
        <f>IF(Квартиры!J952="","",Квартиры!J952)</f>
        <v/>
      </c>
    </row>
    <row r="955">
      <c r="A955">
        <f>IF(Квартиры!A953="","",Квартиры!A953)</f>
        <v/>
      </c>
      <c r="B955">
        <f>IF(Квартиры!B953="","",Квартиры!B953)</f>
        <v/>
      </c>
      <c r="C955">
        <f>IF(Квартиры!C953="","",Квартиры!C953)</f>
        <v/>
      </c>
      <c r="D955">
        <f>IF(Квартиры!D953="","",Квартиры!D953)</f>
        <v/>
      </c>
      <c r="E955">
        <f>IF(Квартиры!G953="","",Квартиры!G953)</f>
        <v/>
      </c>
      <c r="F955">
        <f>IF(Квартиры!E953="","",Квартиры!E953)</f>
        <v/>
      </c>
      <c r="G955">
        <f>IF(Квартиры!F953="","",Квартиры!F953)</f>
        <v/>
      </c>
      <c r="H955">
        <f>IF(Квартиры!H953="","",Квартиры!H953)</f>
        <v/>
      </c>
      <c r="I955">
        <f>IF(Квартиры!I953="","",Квартиры!I953)</f>
        <v/>
      </c>
      <c r="J955">
        <f>IF(Квартиры!J953="","",Квартиры!J953)</f>
        <v/>
      </c>
    </row>
    <row r="956">
      <c r="A956">
        <f>IF(Квартиры!A954="","",Квартиры!A954)</f>
        <v/>
      </c>
      <c r="B956">
        <f>IF(Квартиры!B954="","",Квартиры!B954)</f>
        <v/>
      </c>
      <c r="C956">
        <f>IF(Квартиры!C954="","",Квартиры!C954)</f>
        <v/>
      </c>
      <c r="D956">
        <f>IF(Квартиры!D954="","",Квартиры!D954)</f>
        <v/>
      </c>
      <c r="E956">
        <f>IF(Квартиры!G954="","",Квартиры!G954)</f>
        <v/>
      </c>
      <c r="F956">
        <f>IF(Квартиры!E954="","",Квартиры!E954)</f>
        <v/>
      </c>
      <c r="G956">
        <f>IF(Квартиры!F954="","",Квартиры!F954)</f>
        <v/>
      </c>
      <c r="H956">
        <f>IF(Квартиры!H954="","",Квартиры!H954)</f>
        <v/>
      </c>
      <c r="I956">
        <f>IF(Квартиры!I954="","",Квартиры!I954)</f>
        <v/>
      </c>
      <c r="J956">
        <f>IF(Квартиры!J954="","",Квартиры!J954)</f>
        <v/>
      </c>
    </row>
    <row r="957">
      <c r="A957">
        <f>IF(Квартиры!A955="","",Квартиры!A955)</f>
        <v/>
      </c>
      <c r="B957">
        <f>IF(Квартиры!B955="","",Квартиры!B955)</f>
        <v/>
      </c>
      <c r="C957">
        <f>IF(Квартиры!C955="","",Квартиры!C955)</f>
        <v/>
      </c>
      <c r="D957">
        <f>IF(Квартиры!D955="","",Квартиры!D955)</f>
        <v/>
      </c>
      <c r="E957">
        <f>IF(Квартиры!G955="","",Квартиры!G955)</f>
        <v/>
      </c>
      <c r="F957">
        <f>IF(Квартиры!E955="","",Квартиры!E955)</f>
        <v/>
      </c>
      <c r="G957">
        <f>IF(Квартиры!F955="","",Квартиры!F955)</f>
        <v/>
      </c>
      <c r="H957">
        <f>IF(Квартиры!H955="","",Квартиры!H955)</f>
        <v/>
      </c>
      <c r="I957">
        <f>IF(Квартиры!I955="","",Квартиры!I955)</f>
        <v/>
      </c>
      <c r="J957">
        <f>IF(Квартиры!J955="","",Квартиры!J955)</f>
        <v/>
      </c>
    </row>
    <row r="958">
      <c r="A958">
        <f>IF(Квартиры!A956="","",Квартиры!A956)</f>
        <v/>
      </c>
      <c r="B958">
        <f>IF(Квартиры!B956="","",Квартиры!B956)</f>
        <v/>
      </c>
      <c r="C958">
        <f>IF(Квартиры!C956="","",Квартиры!C956)</f>
        <v/>
      </c>
      <c r="D958">
        <f>IF(Квартиры!D956="","",Квартиры!D956)</f>
        <v/>
      </c>
      <c r="E958">
        <f>IF(Квартиры!G956="","",Квартиры!G956)</f>
        <v/>
      </c>
      <c r="F958">
        <f>IF(Квартиры!E956="","",Квартиры!E956)</f>
        <v/>
      </c>
      <c r="G958">
        <f>IF(Квартиры!F956="","",Квартиры!F956)</f>
        <v/>
      </c>
      <c r="H958">
        <f>IF(Квартиры!H956="","",Квартиры!H956)</f>
        <v/>
      </c>
      <c r="I958">
        <f>IF(Квартиры!I956="","",Квартиры!I956)</f>
        <v/>
      </c>
      <c r="J958">
        <f>IF(Квартиры!J956="","",Квартиры!J956)</f>
        <v/>
      </c>
    </row>
    <row r="959">
      <c r="A959">
        <f>IF(Квартиры!A957="","",Квартиры!A957)</f>
        <v/>
      </c>
      <c r="B959">
        <f>IF(Квартиры!B957="","",Квартиры!B957)</f>
        <v/>
      </c>
      <c r="C959">
        <f>IF(Квартиры!C957="","",Квартиры!C957)</f>
        <v/>
      </c>
      <c r="D959">
        <f>IF(Квартиры!D957="","",Квартиры!D957)</f>
        <v/>
      </c>
      <c r="E959">
        <f>IF(Квартиры!G957="","",Квартиры!G957)</f>
        <v/>
      </c>
      <c r="F959">
        <f>IF(Квартиры!E957="","",Квартиры!E957)</f>
        <v/>
      </c>
      <c r="G959">
        <f>IF(Квартиры!F957="","",Квартиры!F957)</f>
        <v/>
      </c>
      <c r="H959">
        <f>IF(Квартиры!H957="","",Квартиры!H957)</f>
        <v/>
      </c>
      <c r="I959">
        <f>IF(Квартиры!I957="","",Квартиры!I957)</f>
        <v/>
      </c>
      <c r="J959">
        <f>IF(Квартиры!J957="","",Квартиры!J957)</f>
        <v/>
      </c>
    </row>
    <row r="960">
      <c r="A960">
        <f>IF(Квартиры!A958="","",Квартиры!A958)</f>
        <v/>
      </c>
      <c r="B960">
        <f>IF(Квартиры!B958="","",Квартиры!B958)</f>
        <v/>
      </c>
      <c r="C960">
        <f>IF(Квартиры!C958="","",Квартиры!C958)</f>
        <v/>
      </c>
      <c r="D960">
        <f>IF(Квартиры!D958="","",Квартиры!D958)</f>
        <v/>
      </c>
      <c r="E960">
        <f>IF(Квартиры!G958="","",Квартиры!G958)</f>
        <v/>
      </c>
      <c r="F960">
        <f>IF(Квартиры!E958="","",Квартиры!E958)</f>
        <v/>
      </c>
      <c r="G960">
        <f>IF(Квартиры!F958="","",Квартиры!F958)</f>
        <v/>
      </c>
      <c r="H960">
        <f>IF(Квартиры!H958="","",Квартиры!H958)</f>
        <v/>
      </c>
      <c r="I960">
        <f>IF(Квартиры!I958="","",Квартиры!I958)</f>
        <v/>
      </c>
      <c r="J960">
        <f>IF(Квартиры!J958="","",Квартиры!J958)</f>
        <v/>
      </c>
    </row>
    <row r="961">
      <c r="A961">
        <f>IF(Квартиры!A959="","",Квартиры!A959)</f>
        <v/>
      </c>
      <c r="B961">
        <f>IF(Квартиры!B959="","",Квартиры!B959)</f>
        <v/>
      </c>
      <c r="C961">
        <f>IF(Квартиры!C959="","",Квартиры!C959)</f>
        <v/>
      </c>
      <c r="D961">
        <f>IF(Квартиры!D959="","",Квартиры!D959)</f>
        <v/>
      </c>
      <c r="E961">
        <f>IF(Квартиры!G959="","",Квартиры!G959)</f>
        <v/>
      </c>
      <c r="F961">
        <f>IF(Квартиры!E959="","",Квартиры!E959)</f>
        <v/>
      </c>
      <c r="G961">
        <f>IF(Квартиры!F959="","",Квартиры!F959)</f>
        <v/>
      </c>
      <c r="H961">
        <f>IF(Квартиры!H959="","",Квартиры!H959)</f>
        <v/>
      </c>
      <c r="I961">
        <f>IF(Квартиры!I959="","",Квартиры!I959)</f>
        <v/>
      </c>
      <c r="J961">
        <f>IF(Квартиры!J959="","",Квартиры!J959)</f>
        <v/>
      </c>
    </row>
    <row r="962">
      <c r="A962">
        <f>IF(Квартиры!A960="","",Квартиры!A960)</f>
        <v/>
      </c>
      <c r="B962">
        <f>IF(Квартиры!B960="","",Квартиры!B960)</f>
        <v/>
      </c>
      <c r="C962">
        <f>IF(Квартиры!C960="","",Квартиры!C960)</f>
        <v/>
      </c>
      <c r="D962">
        <f>IF(Квартиры!D960="","",Квартиры!D960)</f>
        <v/>
      </c>
      <c r="E962">
        <f>IF(Квартиры!G960="","",Квартиры!G960)</f>
        <v/>
      </c>
      <c r="F962">
        <f>IF(Квартиры!E960="","",Квартиры!E960)</f>
        <v/>
      </c>
      <c r="G962">
        <f>IF(Квартиры!F960="","",Квартиры!F960)</f>
        <v/>
      </c>
      <c r="H962">
        <f>IF(Квартиры!H960="","",Квартиры!H960)</f>
        <v/>
      </c>
      <c r="I962">
        <f>IF(Квартиры!I960="","",Квартиры!I960)</f>
        <v/>
      </c>
      <c r="J962">
        <f>IF(Квартиры!J960="","",Квартиры!J960)</f>
        <v/>
      </c>
    </row>
    <row r="963">
      <c r="A963">
        <f>IF(Квартиры!A961="","",Квартиры!A961)</f>
        <v/>
      </c>
      <c r="B963">
        <f>IF(Квартиры!B961="","",Квартиры!B961)</f>
        <v/>
      </c>
      <c r="C963">
        <f>IF(Квартиры!C961="","",Квартиры!C961)</f>
        <v/>
      </c>
      <c r="D963">
        <f>IF(Квартиры!D961="","",Квартиры!D961)</f>
        <v/>
      </c>
      <c r="E963">
        <f>IF(Квартиры!G961="","",Квартиры!G961)</f>
        <v/>
      </c>
      <c r="F963">
        <f>IF(Квартиры!E961="","",Квартиры!E961)</f>
        <v/>
      </c>
      <c r="G963">
        <f>IF(Квартиры!F961="","",Квартиры!F961)</f>
        <v/>
      </c>
      <c r="H963">
        <f>IF(Квартиры!H961="","",Квартиры!H961)</f>
        <v/>
      </c>
      <c r="I963">
        <f>IF(Квартиры!I961="","",Квартиры!I961)</f>
        <v/>
      </c>
      <c r="J963">
        <f>IF(Квартиры!J961="","",Квартиры!J961)</f>
        <v/>
      </c>
    </row>
    <row r="964">
      <c r="A964">
        <f>IF(Квартиры!A962="","",Квартиры!A962)</f>
        <v/>
      </c>
      <c r="B964">
        <f>IF(Квартиры!B962="","",Квартиры!B962)</f>
        <v/>
      </c>
      <c r="C964">
        <f>IF(Квартиры!C962="","",Квартиры!C962)</f>
        <v/>
      </c>
      <c r="D964">
        <f>IF(Квартиры!D962="","",Квартиры!D962)</f>
        <v/>
      </c>
      <c r="E964">
        <f>IF(Квартиры!G962="","",Квартиры!G962)</f>
        <v/>
      </c>
      <c r="F964">
        <f>IF(Квартиры!E962="","",Квартиры!E962)</f>
        <v/>
      </c>
      <c r="G964">
        <f>IF(Квартиры!F962="","",Квартиры!F962)</f>
        <v/>
      </c>
      <c r="H964">
        <f>IF(Квартиры!H962="","",Квартиры!H962)</f>
        <v/>
      </c>
      <c r="I964">
        <f>IF(Квартиры!I962="","",Квартиры!I962)</f>
        <v/>
      </c>
      <c r="J964">
        <f>IF(Квартиры!J962="","",Квартиры!J962)</f>
        <v/>
      </c>
    </row>
    <row r="965">
      <c r="A965">
        <f>IF(Квартиры!A963="","",Квартиры!A963)</f>
        <v/>
      </c>
      <c r="B965">
        <f>IF(Квартиры!B963="","",Квартиры!B963)</f>
        <v/>
      </c>
      <c r="C965">
        <f>IF(Квартиры!C963="","",Квартиры!C963)</f>
        <v/>
      </c>
      <c r="D965">
        <f>IF(Квартиры!D963="","",Квартиры!D963)</f>
        <v/>
      </c>
      <c r="E965">
        <f>IF(Квартиры!G963="","",Квартиры!G963)</f>
        <v/>
      </c>
      <c r="F965">
        <f>IF(Квартиры!E963="","",Квартиры!E963)</f>
        <v/>
      </c>
      <c r="G965">
        <f>IF(Квартиры!F963="","",Квартиры!F963)</f>
        <v/>
      </c>
      <c r="H965">
        <f>IF(Квартиры!H963="","",Квартиры!H963)</f>
        <v/>
      </c>
      <c r="I965">
        <f>IF(Квартиры!I963="","",Квартиры!I963)</f>
        <v/>
      </c>
      <c r="J965">
        <f>IF(Квартиры!J963="","",Квартиры!J963)</f>
        <v/>
      </c>
    </row>
    <row r="966">
      <c r="A966">
        <f>IF(Квартиры!A964="","",Квартиры!A964)</f>
        <v/>
      </c>
      <c r="B966">
        <f>IF(Квартиры!B964="","",Квартиры!B964)</f>
        <v/>
      </c>
      <c r="C966">
        <f>IF(Квартиры!C964="","",Квартиры!C964)</f>
        <v/>
      </c>
      <c r="D966">
        <f>IF(Квартиры!D964="","",Квартиры!D964)</f>
        <v/>
      </c>
      <c r="E966">
        <f>IF(Квартиры!G964="","",Квартиры!G964)</f>
        <v/>
      </c>
      <c r="F966">
        <f>IF(Квартиры!E964="","",Квартиры!E964)</f>
        <v/>
      </c>
      <c r="G966">
        <f>IF(Квартиры!F964="","",Квартиры!F964)</f>
        <v/>
      </c>
      <c r="H966">
        <f>IF(Квартиры!H964="","",Квартиры!H964)</f>
        <v/>
      </c>
      <c r="I966">
        <f>IF(Квартиры!I964="","",Квартиры!I964)</f>
        <v/>
      </c>
      <c r="J966">
        <f>IF(Квартиры!J964="","",Квартиры!J964)</f>
        <v/>
      </c>
    </row>
    <row r="967">
      <c r="A967">
        <f>IF(Квартиры!A965="","",Квартиры!A965)</f>
        <v/>
      </c>
      <c r="B967">
        <f>IF(Квартиры!B965="","",Квартиры!B965)</f>
        <v/>
      </c>
      <c r="C967">
        <f>IF(Квартиры!C965="","",Квартиры!C965)</f>
        <v/>
      </c>
      <c r="D967">
        <f>IF(Квартиры!D965="","",Квартиры!D965)</f>
        <v/>
      </c>
      <c r="E967">
        <f>IF(Квартиры!G965="","",Квартиры!G965)</f>
        <v/>
      </c>
      <c r="F967">
        <f>IF(Квартиры!E965="","",Квартиры!E965)</f>
        <v/>
      </c>
      <c r="G967">
        <f>IF(Квартиры!F965="","",Квартиры!F965)</f>
        <v/>
      </c>
      <c r="H967">
        <f>IF(Квартиры!H965="","",Квартиры!H965)</f>
        <v/>
      </c>
      <c r="I967">
        <f>IF(Квартиры!I965="","",Квартиры!I965)</f>
        <v/>
      </c>
      <c r="J967">
        <f>IF(Квартиры!J965="","",Квартиры!J965)</f>
        <v/>
      </c>
    </row>
    <row r="968">
      <c r="A968">
        <f>IF(Квартиры!A966="","",Квартиры!A966)</f>
        <v/>
      </c>
      <c r="B968">
        <f>IF(Квартиры!B966="","",Квартиры!B966)</f>
        <v/>
      </c>
      <c r="C968">
        <f>IF(Квартиры!C966="","",Квартиры!C966)</f>
        <v/>
      </c>
      <c r="D968">
        <f>IF(Квартиры!D966="","",Квартиры!D966)</f>
        <v/>
      </c>
      <c r="E968">
        <f>IF(Квартиры!G966="","",Квартиры!G966)</f>
        <v/>
      </c>
      <c r="F968">
        <f>IF(Квартиры!E966="","",Квартиры!E966)</f>
        <v/>
      </c>
      <c r="G968">
        <f>IF(Квартиры!F966="","",Квартиры!F966)</f>
        <v/>
      </c>
      <c r="H968">
        <f>IF(Квартиры!H966="","",Квартиры!H966)</f>
        <v/>
      </c>
      <c r="I968">
        <f>IF(Квартиры!I966="","",Квартиры!I966)</f>
        <v/>
      </c>
      <c r="J968">
        <f>IF(Квартиры!J966="","",Квартиры!J966)</f>
        <v/>
      </c>
    </row>
    <row r="969">
      <c r="A969">
        <f>IF(Квартиры!A967="","",Квартиры!A967)</f>
        <v/>
      </c>
      <c r="B969">
        <f>IF(Квартиры!B967="","",Квартиры!B967)</f>
        <v/>
      </c>
      <c r="C969">
        <f>IF(Квартиры!C967="","",Квартиры!C967)</f>
        <v/>
      </c>
      <c r="D969">
        <f>IF(Квартиры!D967="","",Квартиры!D967)</f>
        <v/>
      </c>
      <c r="E969">
        <f>IF(Квартиры!G967="","",Квартиры!G967)</f>
        <v/>
      </c>
      <c r="F969">
        <f>IF(Квартиры!E967="","",Квартиры!E967)</f>
        <v/>
      </c>
      <c r="G969">
        <f>IF(Квартиры!F967="","",Квартиры!F967)</f>
        <v/>
      </c>
      <c r="H969">
        <f>IF(Квартиры!H967="","",Квартиры!H967)</f>
        <v/>
      </c>
      <c r="I969">
        <f>IF(Квартиры!I967="","",Квартиры!I967)</f>
        <v/>
      </c>
      <c r="J969">
        <f>IF(Квартиры!J967="","",Квартиры!J967)</f>
        <v/>
      </c>
    </row>
    <row r="970">
      <c r="A970">
        <f>IF(Квартиры!A968="","",Квартиры!A968)</f>
        <v/>
      </c>
      <c r="B970">
        <f>IF(Квартиры!B968="","",Квартиры!B968)</f>
        <v/>
      </c>
      <c r="C970">
        <f>IF(Квартиры!C968="","",Квартиры!C968)</f>
        <v/>
      </c>
      <c r="D970">
        <f>IF(Квартиры!D968="","",Квартиры!D968)</f>
        <v/>
      </c>
      <c r="E970">
        <f>IF(Квартиры!G968="","",Квартиры!G968)</f>
        <v/>
      </c>
      <c r="F970">
        <f>IF(Квартиры!E968="","",Квартиры!E968)</f>
        <v/>
      </c>
      <c r="G970">
        <f>IF(Квартиры!F968="","",Квартиры!F968)</f>
        <v/>
      </c>
      <c r="H970">
        <f>IF(Квартиры!H968="","",Квартиры!H968)</f>
        <v/>
      </c>
      <c r="I970">
        <f>IF(Квартиры!I968="","",Квартиры!I968)</f>
        <v/>
      </c>
      <c r="J970">
        <f>IF(Квартиры!J968="","",Квартиры!J968)</f>
        <v/>
      </c>
    </row>
    <row r="971">
      <c r="A971">
        <f>IF(Квартиры!A969="","",Квартиры!A969)</f>
        <v/>
      </c>
      <c r="B971">
        <f>IF(Квартиры!B969="","",Квартиры!B969)</f>
        <v/>
      </c>
      <c r="C971">
        <f>IF(Квартиры!C969="","",Квартиры!C969)</f>
        <v/>
      </c>
      <c r="D971">
        <f>IF(Квартиры!D969="","",Квартиры!D969)</f>
        <v/>
      </c>
      <c r="E971">
        <f>IF(Квартиры!G969="","",Квартиры!G969)</f>
        <v/>
      </c>
      <c r="F971">
        <f>IF(Квартиры!E969="","",Квартиры!E969)</f>
        <v/>
      </c>
      <c r="G971">
        <f>IF(Квартиры!F969="","",Квартиры!F969)</f>
        <v/>
      </c>
      <c r="H971">
        <f>IF(Квартиры!H969="","",Квартиры!H969)</f>
        <v/>
      </c>
      <c r="I971">
        <f>IF(Квартиры!I969="","",Квартиры!I969)</f>
        <v/>
      </c>
      <c r="J971">
        <f>IF(Квартиры!J969="","",Квартиры!J969)</f>
        <v/>
      </c>
    </row>
    <row r="972">
      <c r="A972">
        <f>IF(Квартиры!A970="","",Квартиры!A970)</f>
        <v/>
      </c>
      <c r="B972">
        <f>IF(Квартиры!B970="","",Квартиры!B970)</f>
        <v/>
      </c>
      <c r="C972">
        <f>IF(Квартиры!C970="","",Квартиры!C970)</f>
        <v/>
      </c>
      <c r="D972">
        <f>IF(Квартиры!D970="","",Квартиры!D970)</f>
        <v/>
      </c>
      <c r="E972">
        <f>IF(Квартиры!G970="","",Квартиры!G970)</f>
        <v/>
      </c>
      <c r="F972">
        <f>IF(Квартиры!E970="","",Квартиры!E970)</f>
        <v/>
      </c>
      <c r="G972">
        <f>IF(Квартиры!F970="","",Квартиры!F970)</f>
        <v/>
      </c>
      <c r="H972">
        <f>IF(Квартиры!H970="","",Квартиры!H970)</f>
        <v/>
      </c>
      <c r="I972">
        <f>IF(Квартиры!I970="","",Квартиры!I970)</f>
        <v/>
      </c>
      <c r="J972">
        <f>IF(Квартиры!J970="","",Квартиры!J970)</f>
        <v/>
      </c>
    </row>
    <row r="973">
      <c r="A973">
        <f>IF(Квартиры!A971="","",Квартиры!A971)</f>
        <v/>
      </c>
      <c r="B973">
        <f>IF(Квартиры!B971="","",Квартиры!B971)</f>
        <v/>
      </c>
      <c r="C973">
        <f>IF(Квартиры!C971="","",Квартиры!C971)</f>
        <v/>
      </c>
      <c r="D973">
        <f>IF(Квартиры!D971="","",Квартиры!D971)</f>
        <v/>
      </c>
      <c r="E973">
        <f>IF(Квартиры!G971="","",Квартиры!G971)</f>
        <v/>
      </c>
      <c r="F973">
        <f>IF(Квартиры!E971="","",Квартиры!E971)</f>
        <v/>
      </c>
      <c r="G973">
        <f>IF(Квартиры!F971="","",Квартиры!F971)</f>
        <v/>
      </c>
      <c r="H973">
        <f>IF(Квартиры!H971="","",Квартиры!H971)</f>
        <v/>
      </c>
      <c r="I973">
        <f>IF(Квартиры!I971="","",Квартиры!I971)</f>
        <v/>
      </c>
      <c r="J973">
        <f>IF(Квартиры!J971="","",Квартиры!J971)</f>
        <v/>
      </c>
    </row>
    <row r="974">
      <c r="A974">
        <f>IF(Квартиры!A972="","",Квартиры!A972)</f>
        <v/>
      </c>
      <c r="B974">
        <f>IF(Квартиры!B972="","",Квартиры!B972)</f>
        <v/>
      </c>
      <c r="C974">
        <f>IF(Квартиры!C972="","",Квартиры!C972)</f>
        <v/>
      </c>
      <c r="D974">
        <f>IF(Квартиры!D972="","",Квартиры!D972)</f>
        <v/>
      </c>
      <c r="E974">
        <f>IF(Квартиры!G972="","",Квартиры!G972)</f>
        <v/>
      </c>
      <c r="F974">
        <f>IF(Квартиры!E972="","",Квартиры!E972)</f>
        <v/>
      </c>
      <c r="G974">
        <f>IF(Квартиры!F972="","",Квартиры!F972)</f>
        <v/>
      </c>
      <c r="H974">
        <f>IF(Квартиры!H972="","",Квартиры!H972)</f>
        <v/>
      </c>
      <c r="I974">
        <f>IF(Квартиры!I972="","",Квартиры!I972)</f>
        <v/>
      </c>
      <c r="J974">
        <f>IF(Квартиры!J972="","",Квартиры!J972)</f>
        <v/>
      </c>
    </row>
    <row r="975">
      <c r="A975">
        <f>IF(Квартиры!A973="","",Квартиры!A973)</f>
        <v/>
      </c>
      <c r="B975">
        <f>IF(Квартиры!B973="","",Квартиры!B973)</f>
        <v/>
      </c>
      <c r="C975">
        <f>IF(Квартиры!C973="","",Квартиры!C973)</f>
        <v/>
      </c>
      <c r="D975">
        <f>IF(Квартиры!D973="","",Квартиры!D973)</f>
        <v/>
      </c>
      <c r="E975">
        <f>IF(Квартиры!G973="","",Квартиры!G973)</f>
        <v/>
      </c>
      <c r="F975">
        <f>IF(Квартиры!E973="","",Квартиры!E973)</f>
        <v/>
      </c>
      <c r="G975">
        <f>IF(Квартиры!F973="","",Квартиры!F973)</f>
        <v/>
      </c>
      <c r="H975">
        <f>IF(Квартиры!H973="","",Квартиры!H973)</f>
        <v/>
      </c>
      <c r="I975">
        <f>IF(Квартиры!I973="","",Квартиры!I973)</f>
        <v/>
      </c>
      <c r="J975">
        <f>IF(Квартиры!J973="","",Квартиры!J973)</f>
        <v/>
      </c>
    </row>
    <row r="976">
      <c r="A976">
        <f>IF(Квартиры!A974="","",Квартиры!A974)</f>
        <v/>
      </c>
      <c r="B976">
        <f>IF(Квартиры!B974="","",Квартиры!B974)</f>
        <v/>
      </c>
      <c r="C976">
        <f>IF(Квартиры!C974="","",Квартиры!C974)</f>
        <v/>
      </c>
      <c r="D976">
        <f>IF(Квартиры!D974="","",Квартиры!D974)</f>
        <v/>
      </c>
      <c r="E976">
        <f>IF(Квартиры!G974="","",Квартиры!G974)</f>
        <v/>
      </c>
      <c r="F976">
        <f>IF(Квартиры!E974="","",Квартиры!E974)</f>
        <v/>
      </c>
      <c r="G976">
        <f>IF(Квартиры!F974="","",Квартиры!F974)</f>
        <v/>
      </c>
      <c r="H976">
        <f>IF(Квартиры!H974="","",Квартиры!H974)</f>
        <v/>
      </c>
      <c r="I976">
        <f>IF(Квартиры!I974="","",Квартиры!I974)</f>
        <v/>
      </c>
      <c r="J976">
        <f>IF(Квартиры!J974="","",Квартиры!J974)</f>
        <v/>
      </c>
    </row>
    <row r="977">
      <c r="A977">
        <f>IF(Квартиры!A975="","",Квартиры!A975)</f>
        <v/>
      </c>
      <c r="B977">
        <f>IF(Квартиры!B975="","",Квартиры!B975)</f>
        <v/>
      </c>
      <c r="C977">
        <f>IF(Квартиры!C975="","",Квартиры!C975)</f>
        <v/>
      </c>
      <c r="D977">
        <f>IF(Квартиры!D975="","",Квартиры!D975)</f>
        <v/>
      </c>
      <c r="E977">
        <f>IF(Квартиры!G975="","",Квартиры!G975)</f>
        <v/>
      </c>
      <c r="F977">
        <f>IF(Квартиры!E975="","",Квартиры!E975)</f>
        <v/>
      </c>
      <c r="G977">
        <f>IF(Квартиры!F975="","",Квартиры!F975)</f>
        <v/>
      </c>
      <c r="H977">
        <f>IF(Квартиры!H975="","",Квартиры!H975)</f>
        <v/>
      </c>
      <c r="I977">
        <f>IF(Квартиры!I975="","",Квартиры!I975)</f>
        <v/>
      </c>
      <c r="J977">
        <f>IF(Квартиры!J975="","",Квартиры!J975)</f>
        <v/>
      </c>
    </row>
    <row r="978">
      <c r="A978">
        <f>IF(Квартиры!A976="","",Квартиры!A976)</f>
        <v/>
      </c>
      <c r="B978">
        <f>IF(Квартиры!B976="","",Квартиры!B976)</f>
        <v/>
      </c>
      <c r="C978">
        <f>IF(Квартиры!C976="","",Квартиры!C976)</f>
        <v/>
      </c>
      <c r="D978">
        <f>IF(Квартиры!D976="","",Квартиры!D976)</f>
        <v/>
      </c>
      <c r="E978">
        <f>IF(Квартиры!G976="","",Квартиры!G976)</f>
        <v/>
      </c>
      <c r="F978">
        <f>IF(Квартиры!E976="","",Квартиры!E976)</f>
        <v/>
      </c>
      <c r="G978">
        <f>IF(Квартиры!F976="","",Квартиры!F976)</f>
        <v/>
      </c>
      <c r="H978">
        <f>IF(Квартиры!H976="","",Квартиры!H976)</f>
        <v/>
      </c>
      <c r="I978">
        <f>IF(Квартиры!I976="","",Квартиры!I976)</f>
        <v/>
      </c>
      <c r="J978">
        <f>IF(Квартиры!J976="","",Квартиры!J976)</f>
        <v/>
      </c>
    </row>
    <row r="979">
      <c r="A979">
        <f>IF(Квартиры!A977="","",Квартиры!A977)</f>
        <v/>
      </c>
      <c r="B979">
        <f>IF(Квартиры!B977="","",Квартиры!B977)</f>
        <v/>
      </c>
      <c r="C979">
        <f>IF(Квартиры!C977="","",Квартиры!C977)</f>
        <v/>
      </c>
      <c r="D979">
        <f>IF(Квартиры!D977="","",Квартиры!D977)</f>
        <v/>
      </c>
      <c r="E979">
        <f>IF(Квартиры!G977="","",Квартиры!G977)</f>
        <v/>
      </c>
      <c r="F979">
        <f>IF(Квартиры!E977="","",Квартиры!E977)</f>
        <v/>
      </c>
      <c r="G979">
        <f>IF(Квартиры!F977="","",Квартиры!F977)</f>
        <v/>
      </c>
      <c r="H979">
        <f>IF(Квартиры!H977="","",Квартиры!H977)</f>
        <v/>
      </c>
      <c r="I979">
        <f>IF(Квартиры!I977="","",Квартиры!I977)</f>
        <v/>
      </c>
      <c r="J979">
        <f>IF(Квартиры!J977="","",Квартиры!J977)</f>
        <v/>
      </c>
    </row>
    <row r="980">
      <c r="A980">
        <f>IF(Квартиры!A978="","",Квартиры!A978)</f>
        <v/>
      </c>
      <c r="B980">
        <f>IF(Квартиры!B978="","",Квартиры!B978)</f>
        <v/>
      </c>
      <c r="C980">
        <f>IF(Квартиры!C978="","",Квартиры!C978)</f>
        <v/>
      </c>
      <c r="D980">
        <f>IF(Квартиры!D978="","",Квартиры!D978)</f>
        <v/>
      </c>
      <c r="E980">
        <f>IF(Квартиры!G978="","",Квартиры!G978)</f>
        <v/>
      </c>
      <c r="F980">
        <f>IF(Квартиры!E978="","",Квартиры!E978)</f>
        <v/>
      </c>
      <c r="G980">
        <f>IF(Квартиры!F978="","",Квартиры!F978)</f>
        <v/>
      </c>
      <c r="H980">
        <f>IF(Квартиры!H978="","",Квартиры!H978)</f>
        <v/>
      </c>
      <c r="I980">
        <f>IF(Квартиры!I978="","",Квартиры!I978)</f>
        <v/>
      </c>
      <c r="J980">
        <f>IF(Квартиры!J978="","",Квартиры!J978)</f>
        <v/>
      </c>
    </row>
    <row r="981">
      <c r="A981">
        <f>IF(Квартиры!A979="","",Квартиры!A979)</f>
        <v/>
      </c>
      <c r="B981">
        <f>IF(Квартиры!B979="","",Квартиры!B979)</f>
        <v/>
      </c>
      <c r="C981">
        <f>IF(Квартиры!C979="","",Квартиры!C979)</f>
        <v/>
      </c>
      <c r="D981">
        <f>IF(Квартиры!D979="","",Квартиры!D979)</f>
        <v/>
      </c>
      <c r="E981">
        <f>IF(Квартиры!G979="","",Квартиры!G979)</f>
        <v/>
      </c>
      <c r="F981">
        <f>IF(Квартиры!E979="","",Квартиры!E979)</f>
        <v/>
      </c>
      <c r="G981">
        <f>IF(Квартиры!F979="","",Квартиры!F979)</f>
        <v/>
      </c>
      <c r="H981">
        <f>IF(Квартиры!H979="","",Квартиры!H979)</f>
        <v/>
      </c>
      <c r="I981">
        <f>IF(Квартиры!I979="","",Квартиры!I979)</f>
        <v/>
      </c>
      <c r="J981">
        <f>IF(Квартиры!J979="","",Квартиры!J979)</f>
        <v/>
      </c>
    </row>
    <row r="982">
      <c r="A982">
        <f>IF(Квартиры!A980="","",Квартиры!A980)</f>
        <v/>
      </c>
      <c r="B982">
        <f>IF(Квартиры!B980="","",Квартиры!B980)</f>
        <v/>
      </c>
      <c r="C982">
        <f>IF(Квартиры!C980="","",Квартиры!C980)</f>
        <v/>
      </c>
      <c r="D982">
        <f>IF(Квартиры!D980="","",Квартиры!D980)</f>
        <v/>
      </c>
      <c r="E982">
        <f>IF(Квартиры!G980="","",Квартиры!G980)</f>
        <v/>
      </c>
      <c r="F982">
        <f>IF(Квартиры!E980="","",Квартиры!E980)</f>
        <v/>
      </c>
      <c r="G982">
        <f>IF(Квартиры!F980="","",Квартиры!F980)</f>
        <v/>
      </c>
      <c r="H982">
        <f>IF(Квартиры!H980="","",Квартиры!H980)</f>
        <v/>
      </c>
      <c r="I982">
        <f>IF(Квартиры!I980="","",Квартиры!I980)</f>
        <v/>
      </c>
      <c r="J982">
        <f>IF(Квартиры!J980="","",Квартиры!J980)</f>
        <v/>
      </c>
    </row>
    <row r="983">
      <c r="A983">
        <f>IF(Квартиры!A981="","",Квартиры!A981)</f>
        <v/>
      </c>
      <c r="B983">
        <f>IF(Квартиры!B981="","",Квартиры!B981)</f>
        <v/>
      </c>
      <c r="C983">
        <f>IF(Квартиры!C981="","",Квартиры!C981)</f>
        <v/>
      </c>
      <c r="D983">
        <f>IF(Квартиры!D981="","",Квартиры!D981)</f>
        <v/>
      </c>
      <c r="E983">
        <f>IF(Квартиры!G981="","",Квартиры!G981)</f>
        <v/>
      </c>
      <c r="F983">
        <f>IF(Квартиры!E981="","",Квартиры!E981)</f>
        <v/>
      </c>
      <c r="G983">
        <f>IF(Квартиры!F981="","",Квартиры!F981)</f>
        <v/>
      </c>
      <c r="H983">
        <f>IF(Квартиры!H981="","",Квартиры!H981)</f>
        <v/>
      </c>
      <c r="I983">
        <f>IF(Квартиры!I981="","",Квартиры!I981)</f>
        <v/>
      </c>
      <c r="J983">
        <f>IF(Квартиры!J981="","",Квартиры!J981)</f>
        <v/>
      </c>
    </row>
    <row r="984">
      <c r="A984">
        <f>IF(Квартиры!A982="","",Квартиры!A982)</f>
        <v/>
      </c>
      <c r="B984">
        <f>IF(Квартиры!B982="","",Квартиры!B982)</f>
        <v/>
      </c>
      <c r="C984">
        <f>IF(Квартиры!C982="","",Квартиры!C982)</f>
        <v/>
      </c>
      <c r="D984">
        <f>IF(Квартиры!D982="","",Квартиры!D982)</f>
        <v/>
      </c>
      <c r="E984">
        <f>IF(Квартиры!G982="","",Квартиры!G982)</f>
        <v/>
      </c>
      <c r="F984">
        <f>IF(Квартиры!E982="","",Квартиры!E982)</f>
        <v/>
      </c>
      <c r="G984">
        <f>IF(Квартиры!F982="","",Квартиры!F982)</f>
        <v/>
      </c>
      <c r="H984">
        <f>IF(Квартиры!H982="","",Квартиры!H982)</f>
        <v/>
      </c>
      <c r="I984">
        <f>IF(Квартиры!I982="","",Квартиры!I982)</f>
        <v/>
      </c>
      <c r="J984">
        <f>IF(Квартиры!J982="","",Квартиры!J982)</f>
        <v/>
      </c>
    </row>
    <row r="985">
      <c r="A985">
        <f>IF(Квартиры!A983="","",Квартиры!A983)</f>
        <v/>
      </c>
      <c r="B985">
        <f>IF(Квартиры!B983="","",Квартиры!B983)</f>
        <v/>
      </c>
      <c r="C985">
        <f>IF(Квартиры!C983="","",Квартиры!C983)</f>
        <v/>
      </c>
      <c r="D985">
        <f>IF(Квартиры!D983="","",Квартиры!D983)</f>
        <v/>
      </c>
      <c r="E985">
        <f>IF(Квартиры!G983="","",Квартиры!G983)</f>
        <v/>
      </c>
      <c r="F985">
        <f>IF(Квартиры!E983="","",Квартиры!E983)</f>
        <v/>
      </c>
      <c r="G985">
        <f>IF(Квартиры!F983="","",Квартиры!F983)</f>
        <v/>
      </c>
      <c r="H985">
        <f>IF(Квартиры!H983="","",Квартиры!H983)</f>
        <v/>
      </c>
      <c r="I985">
        <f>IF(Квартиры!I983="","",Квартиры!I983)</f>
        <v/>
      </c>
      <c r="J985">
        <f>IF(Квартиры!J983="","",Квартиры!J983)</f>
        <v/>
      </c>
    </row>
    <row r="986">
      <c r="A986">
        <f>IF(Квартиры!A984="","",Квартиры!A984)</f>
        <v/>
      </c>
      <c r="B986">
        <f>IF(Квартиры!B984="","",Квартиры!B984)</f>
        <v/>
      </c>
      <c r="C986">
        <f>IF(Квартиры!C984="","",Квартиры!C984)</f>
        <v/>
      </c>
      <c r="D986">
        <f>IF(Квартиры!D984="","",Квартиры!D984)</f>
        <v/>
      </c>
      <c r="E986">
        <f>IF(Квартиры!G984="","",Квартиры!G984)</f>
        <v/>
      </c>
      <c r="F986">
        <f>IF(Квартиры!E984="","",Квартиры!E984)</f>
        <v/>
      </c>
      <c r="G986">
        <f>IF(Квартиры!F984="","",Квартиры!F984)</f>
        <v/>
      </c>
      <c r="H986">
        <f>IF(Квартиры!H984="","",Квартиры!H984)</f>
        <v/>
      </c>
      <c r="I986">
        <f>IF(Квартиры!I984="","",Квартиры!I984)</f>
        <v/>
      </c>
      <c r="J986">
        <f>IF(Квартиры!J984="","",Квартиры!J984)</f>
        <v/>
      </c>
    </row>
    <row r="987">
      <c r="A987">
        <f>IF(Квартиры!A985="","",Квартиры!A985)</f>
        <v/>
      </c>
      <c r="B987">
        <f>IF(Квартиры!B985="","",Квартиры!B985)</f>
        <v/>
      </c>
      <c r="C987">
        <f>IF(Квартиры!C985="","",Квартиры!C985)</f>
        <v/>
      </c>
      <c r="D987">
        <f>IF(Квартиры!D985="","",Квартиры!D985)</f>
        <v/>
      </c>
      <c r="E987">
        <f>IF(Квартиры!G985="","",Квартиры!G985)</f>
        <v/>
      </c>
      <c r="F987">
        <f>IF(Квартиры!E985="","",Квартиры!E985)</f>
        <v/>
      </c>
      <c r="G987">
        <f>IF(Квартиры!F985="","",Квартиры!F985)</f>
        <v/>
      </c>
      <c r="H987">
        <f>IF(Квартиры!H985="","",Квартиры!H985)</f>
        <v/>
      </c>
      <c r="I987">
        <f>IF(Квартиры!I985="","",Квартиры!I985)</f>
        <v/>
      </c>
      <c r="J987">
        <f>IF(Квартиры!J985="","",Квартиры!J985)</f>
        <v/>
      </c>
    </row>
    <row r="988">
      <c r="A988">
        <f>IF(Квартиры!A986="","",Квартиры!A986)</f>
        <v/>
      </c>
      <c r="B988">
        <f>IF(Квартиры!B986="","",Квартиры!B986)</f>
        <v/>
      </c>
      <c r="C988">
        <f>IF(Квартиры!C986="","",Квартиры!C986)</f>
        <v/>
      </c>
      <c r="D988">
        <f>IF(Квартиры!D986="","",Квартиры!D986)</f>
        <v/>
      </c>
      <c r="E988">
        <f>IF(Квартиры!G986="","",Квартиры!G986)</f>
        <v/>
      </c>
      <c r="F988">
        <f>IF(Квартиры!E986="","",Квартиры!E986)</f>
        <v/>
      </c>
      <c r="G988">
        <f>IF(Квартиры!F986="","",Квартиры!F986)</f>
        <v/>
      </c>
      <c r="H988">
        <f>IF(Квартиры!H986="","",Квартиры!H986)</f>
        <v/>
      </c>
      <c r="I988">
        <f>IF(Квартиры!I986="","",Квартиры!I986)</f>
        <v/>
      </c>
      <c r="J988">
        <f>IF(Квартиры!J986="","",Квартиры!J986)</f>
        <v/>
      </c>
    </row>
    <row r="989">
      <c r="A989">
        <f>IF(Квартиры!A987="","",Квартиры!A987)</f>
        <v/>
      </c>
      <c r="B989">
        <f>IF(Квартиры!B987="","",Квартиры!B987)</f>
        <v/>
      </c>
      <c r="C989">
        <f>IF(Квартиры!C987="","",Квартиры!C987)</f>
        <v/>
      </c>
      <c r="D989">
        <f>IF(Квартиры!D987="","",Квартиры!D987)</f>
        <v/>
      </c>
      <c r="E989">
        <f>IF(Квартиры!G987="","",Квартиры!G987)</f>
        <v/>
      </c>
      <c r="F989">
        <f>IF(Квартиры!E987="","",Квартиры!E987)</f>
        <v/>
      </c>
      <c r="G989">
        <f>IF(Квартиры!F987="","",Квартиры!F987)</f>
        <v/>
      </c>
      <c r="H989">
        <f>IF(Квартиры!H987="","",Квартиры!H987)</f>
        <v/>
      </c>
      <c r="I989">
        <f>IF(Квартиры!I987="","",Квартиры!I987)</f>
        <v/>
      </c>
      <c r="J989">
        <f>IF(Квартиры!J987="","",Квартиры!J987)</f>
        <v/>
      </c>
    </row>
    <row r="990">
      <c r="A990">
        <f>IF(Квартиры!A988="","",Квартиры!A988)</f>
        <v/>
      </c>
      <c r="B990">
        <f>IF(Квартиры!B988="","",Квартиры!B988)</f>
        <v/>
      </c>
      <c r="C990">
        <f>IF(Квартиры!C988="","",Квартиры!C988)</f>
        <v/>
      </c>
      <c r="D990">
        <f>IF(Квартиры!D988="","",Квартиры!D988)</f>
        <v/>
      </c>
      <c r="E990">
        <f>IF(Квартиры!G988="","",Квартиры!G988)</f>
        <v/>
      </c>
      <c r="F990">
        <f>IF(Квартиры!E988="","",Квартиры!E988)</f>
        <v/>
      </c>
      <c r="G990">
        <f>IF(Квартиры!F988="","",Квартиры!F988)</f>
        <v/>
      </c>
      <c r="H990">
        <f>IF(Квартиры!H988="","",Квартиры!H988)</f>
        <v/>
      </c>
      <c r="I990">
        <f>IF(Квартиры!I988="","",Квартиры!I988)</f>
        <v/>
      </c>
      <c r="J990">
        <f>IF(Квартиры!J988="","",Квартиры!J988)</f>
        <v/>
      </c>
    </row>
    <row r="991">
      <c r="A991">
        <f>IF(Квартиры!A989="","",Квартиры!A989)</f>
        <v/>
      </c>
      <c r="B991">
        <f>IF(Квартиры!B989="","",Квартиры!B989)</f>
        <v/>
      </c>
      <c r="C991">
        <f>IF(Квартиры!C989="","",Квартиры!C989)</f>
        <v/>
      </c>
      <c r="D991">
        <f>IF(Квартиры!D989="","",Квартиры!D989)</f>
        <v/>
      </c>
      <c r="E991">
        <f>IF(Квартиры!G989="","",Квартиры!G989)</f>
        <v/>
      </c>
      <c r="F991">
        <f>IF(Квартиры!E989="","",Квартиры!E989)</f>
        <v/>
      </c>
      <c r="G991">
        <f>IF(Квартиры!F989="","",Квартиры!F989)</f>
        <v/>
      </c>
      <c r="H991">
        <f>IF(Квартиры!H989="","",Квартиры!H989)</f>
        <v/>
      </c>
      <c r="I991">
        <f>IF(Квартиры!I989="","",Квартиры!I989)</f>
        <v/>
      </c>
      <c r="J991">
        <f>IF(Квартиры!J989="","",Квартиры!J989)</f>
        <v/>
      </c>
    </row>
    <row r="992">
      <c r="A992">
        <f>IF(Квартиры!A990="","",Квартиры!A990)</f>
        <v/>
      </c>
      <c r="B992">
        <f>IF(Квартиры!B990="","",Квартиры!B990)</f>
        <v/>
      </c>
      <c r="C992">
        <f>IF(Квартиры!C990="","",Квартиры!C990)</f>
        <v/>
      </c>
      <c r="D992">
        <f>IF(Квартиры!D990="","",Квартиры!D990)</f>
        <v/>
      </c>
      <c r="E992">
        <f>IF(Квартиры!G990="","",Квартиры!G990)</f>
        <v/>
      </c>
      <c r="F992">
        <f>IF(Квартиры!E990="","",Квартиры!E990)</f>
        <v/>
      </c>
      <c r="G992">
        <f>IF(Квартиры!F990="","",Квартиры!F990)</f>
        <v/>
      </c>
      <c r="H992">
        <f>IF(Квартиры!H990="","",Квартиры!H990)</f>
        <v/>
      </c>
      <c r="I992">
        <f>IF(Квартиры!I990="","",Квартиры!I990)</f>
        <v/>
      </c>
      <c r="J992">
        <f>IF(Квартиры!J990="","",Квартиры!J990)</f>
        <v/>
      </c>
    </row>
    <row r="993">
      <c r="A993">
        <f>IF(Квартиры!A991="","",Квартиры!A991)</f>
        <v/>
      </c>
      <c r="B993">
        <f>IF(Квартиры!B991="","",Квартиры!B991)</f>
        <v/>
      </c>
      <c r="C993">
        <f>IF(Квартиры!C991="","",Квартиры!C991)</f>
        <v/>
      </c>
      <c r="D993">
        <f>IF(Квартиры!D991="","",Квартиры!D991)</f>
        <v/>
      </c>
      <c r="E993">
        <f>IF(Квартиры!G991="","",Квартиры!G991)</f>
        <v/>
      </c>
      <c r="F993">
        <f>IF(Квартиры!E991="","",Квартиры!E991)</f>
        <v/>
      </c>
      <c r="G993">
        <f>IF(Квартиры!F991="","",Квартиры!F991)</f>
        <v/>
      </c>
      <c r="H993">
        <f>IF(Квартиры!H991="","",Квартиры!H991)</f>
        <v/>
      </c>
      <c r="I993">
        <f>IF(Квартиры!I991="","",Квартиры!I991)</f>
        <v/>
      </c>
      <c r="J993">
        <f>IF(Квартиры!J991="","",Квартиры!J991)</f>
        <v/>
      </c>
    </row>
    <row r="994">
      <c r="A994">
        <f>IF(Квартиры!A992="","",Квартиры!A992)</f>
        <v/>
      </c>
      <c r="B994">
        <f>IF(Квартиры!B992="","",Квартиры!B992)</f>
        <v/>
      </c>
      <c r="C994">
        <f>IF(Квартиры!C992="","",Квартиры!C992)</f>
        <v/>
      </c>
      <c r="D994">
        <f>IF(Квартиры!D992="","",Квартиры!D992)</f>
        <v/>
      </c>
      <c r="E994">
        <f>IF(Квартиры!G992="","",Квартиры!G992)</f>
        <v/>
      </c>
      <c r="F994">
        <f>IF(Квартиры!E992="","",Квартиры!E992)</f>
        <v/>
      </c>
      <c r="G994">
        <f>IF(Квартиры!F992="","",Квартиры!F992)</f>
        <v/>
      </c>
      <c r="H994">
        <f>IF(Квартиры!H992="","",Квартиры!H992)</f>
        <v/>
      </c>
      <c r="I994">
        <f>IF(Квартиры!I992="","",Квартиры!I992)</f>
        <v/>
      </c>
      <c r="J994">
        <f>IF(Квартиры!J992="","",Квартиры!J992)</f>
        <v/>
      </c>
    </row>
    <row r="995">
      <c r="A995">
        <f>IF(Квартиры!A993="","",Квартиры!A993)</f>
        <v/>
      </c>
      <c r="B995">
        <f>IF(Квартиры!B993="","",Квартиры!B993)</f>
        <v/>
      </c>
      <c r="C995">
        <f>IF(Квартиры!C993="","",Квартиры!C993)</f>
        <v/>
      </c>
      <c r="D995">
        <f>IF(Квартиры!D993="","",Квартиры!D993)</f>
        <v/>
      </c>
      <c r="E995">
        <f>IF(Квартиры!G993="","",Квартиры!G993)</f>
        <v/>
      </c>
      <c r="F995">
        <f>IF(Квартиры!E993="","",Квартиры!E993)</f>
        <v/>
      </c>
      <c r="G995">
        <f>IF(Квартиры!F993="","",Квартиры!F993)</f>
        <v/>
      </c>
      <c r="H995">
        <f>IF(Квартиры!H993="","",Квартиры!H993)</f>
        <v/>
      </c>
      <c r="I995">
        <f>IF(Квартиры!I993="","",Квартиры!I993)</f>
        <v/>
      </c>
      <c r="J995">
        <f>IF(Квартиры!J993="","",Квартиры!J993)</f>
        <v/>
      </c>
    </row>
    <row r="996">
      <c r="A996">
        <f>IF(Квартиры!A994="","",Квартиры!A994)</f>
        <v/>
      </c>
      <c r="B996">
        <f>IF(Квартиры!B994="","",Квартиры!B994)</f>
        <v/>
      </c>
      <c r="C996">
        <f>IF(Квартиры!C994="","",Квартиры!C994)</f>
        <v/>
      </c>
      <c r="D996">
        <f>IF(Квартиры!D994="","",Квартиры!D994)</f>
        <v/>
      </c>
      <c r="E996">
        <f>IF(Квартиры!G994="","",Квартиры!G994)</f>
        <v/>
      </c>
      <c r="F996">
        <f>IF(Квартиры!E994="","",Квартиры!E994)</f>
        <v/>
      </c>
      <c r="G996">
        <f>IF(Квартиры!F994="","",Квартиры!F994)</f>
        <v/>
      </c>
      <c r="H996">
        <f>IF(Квартиры!H994="","",Квартиры!H994)</f>
        <v/>
      </c>
      <c r="I996">
        <f>IF(Квартиры!I994="","",Квартиры!I994)</f>
        <v/>
      </c>
      <c r="J996">
        <f>IF(Квартиры!J994="","",Квартиры!J994)</f>
        <v/>
      </c>
    </row>
    <row r="997">
      <c r="A997">
        <f>IF(Квартиры!A995="","",Квартиры!A995)</f>
        <v/>
      </c>
      <c r="B997">
        <f>IF(Квартиры!B995="","",Квартиры!B995)</f>
        <v/>
      </c>
      <c r="C997">
        <f>IF(Квартиры!C995="","",Квартиры!C995)</f>
        <v/>
      </c>
      <c r="D997">
        <f>IF(Квартиры!D995="","",Квартиры!D995)</f>
        <v/>
      </c>
      <c r="E997">
        <f>IF(Квартиры!G995="","",Квартиры!G995)</f>
        <v/>
      </c>
      <c r="F997">
        <f>IF(Квартиры!E995="","",Квартиры!E995)</f>
        <v/>
      </c>
      <c r="G997">
        <f>IF(Квартиры!F995="","",Квартиры!F995)</f>
        <v/>
      </c>
      <c r="H997">
        <f>IF(Квартиры!H995="","",Квартиры!H995)</f>
        <v/>
      </c>
      <c r="I997">
        <f>IF(Квартиры!I995="","",Квартиры!I995)</f>
        <v/>
      </c>
      <c r="J997">
        <f>IF(Квартиры!J995="","",Квартиры!J995)</f>
        <v/>
      </c>
    </row>
    <row r="998">
      <c r="A998">
        <f>IF(Квартиры!A996="","",Квартиры!A996)</f>
        <v/>
      </c>
      <c r="B998">
        <f>IF(Квартиры!B996="","",Квартиры!B996)</f>
        <v/>
      </c>
      <c r="C998">
        <f>IF(Квартиры!C996="","",Квартиры!C996)</f>
        <v/>
      </c>
      <c r="D998">
        <f>IF(Квартиры!D996="","",Квартиры!D996)</f>
        <v/>
      </c>
      <c r="E998">
        <f>IF(Квартиры!G996="","",Квартиры!G996)</f>
        <v/>
      </c>
      <c r="F998">
        <f>IF(Квартиры!E996="","",Квартиры!E996)</f>
        <v/>
      </c>
      <c r="G998">
        <f>IF(Квартиры!F996="","",Квартиры!F996)</f>
        <v/>
      </c>
      <c r="H998">
        <f>IF(Квартиры!H996="","",Квартиры!H996)</f>
        <v/>
      </c>
      <c r="I998">
        <f>IF(Квартиры!I996="","",Квартиры!I996)</f>
        <v/>
      </c>
      <c r="J998">
        <f>IF(Квартиры!J996="","",Квартиры!J996)</f>
        <v/>
      </c>
    </row>
    <row r="999">
      <c r="A999">
        <f>IF(Квартиры!A997="","",Квартиры!A997)</f>
        <v/>
      </c>
      <c r="B999">
        <f>IF(Квартиры!B997="","",Квартиры!B997)</f>
        <v/>
      </c>
      <c r="C999">
        <f>IF(Квартиры!C997="","",Квартиры!C997)</f>
        <v/>
      </c>
      <c r="D999">
        <f>IF(Квартиры!D997="","",Квартиры!D997)</f>
        <v/>
      </c>
      <c r="E999">
        <f>IF(Квартиры!G997="","",Квартиры!G997)</f>
        <v/>
      </c>
      <c r="F999">
        <f>IF(Квартиры!E997="","",Квартиры!E997)</f>
        <v/>
      </c>
      <c r="G999">
        <f>IF(Квартиры!F997="","",Квартиры!F997)</f>
        <v/>
      </c>
      <c r="H999">
        <f>IF(Квартиры!H997="","",Квартиры!H997)</f>
        <v/>
      </c>
      <c r="I999">
        <f>IF(Квартиры!I997="","",Квартиры!I997)</f>
        <v/>
      </c>
      <c r="J999">
        <f>IF(Квартиры!J997="","",Квартиры!J997)</f>
        <v/>
      </c>
    </row>
    <row r="1000">
      <c r="A1000">
        <f>IF(Квартиры!A998="","",Квартиры!A998)</f>
        <v/>
      </c>
      <c r="B1000">
        <f>IF(Квартиры!B998="","",Квартиры!B998)</f>
        <v/>
      </c>
      <c r="C1000">
        <f>IF(Квартиры!C998="","",Квартиры!C998)</f>
        <v/>
      </c>
      <c r="D1000">
        <f>IF(Квартиры!D998="","",Квартиры!D998)</f>
        <v/>
      </c>
      <c r="E1000">
        <f>IF(Квартиры!G998="","",Квартиры!G998)</f>
        <v/>
      </c>
      <c r="F1000">
        <f>IF(Квартиры!E998="","",Квартиры!E998)</f>
        <v/>
      </c>
      <c r="G1000">
        <f>IF(Квартиры!F998="","",Квартиры!F998)</f>
        <v/>
      </c>
      <c r="H1000">
        <f>IF(Квартиры!H998="","",Квартиры!H998)</f>
        <v/>
      </c>
      <c r="I1000">
        <f>IF(Квартиры!I998="","",Квартиры!I998)</f>
        <v/>
      </c>
      <c r="J1000">
        <f>IF(Квартиры!J998="","",Квартиры!J998)</f>
        <v/>
      </c>
    </row>
    <row r="1001">
      <c r="A1001">
        <f>IF(Квартиры!A999="","",Квартиры!A999)</f>
        <v/>
      </c>
      <c r="B1001">
        <f>IF(Квартиры!B999="","",Квартиры!B999)</f>
        <v/>
      </c>
      <c r="C1001">
        <f>IF(Квартиры!C999="","",Квартиры!C999)</f>
        <v/>
      </c>
      <c r="D1001">
        <f>IF(Квартиры!D999="","",Квартиры!D999)</f>
        <v/>
      </c>
      <c r="E1001">
        <f>IF(Квартиры!G999="","",Квартиры!G999)</f>
        <v/>
      </c>
      <c r="F1001">
        <f>IF(Квартиры!E999="","",Квартиры!E999)</f>
        <v/>
      </c>
      <c r="G1001">
        <f>IF(Квартиры!F999="","",Квартиры!F999)</f>
        <v/>
      </c>
      <c r="H1001">
        <f>IF(Квартиры!H999="","",Квартиры!H999)</f>
        <v/>
      </c>
      <c r="I1001">
        <f>IF(Квартиры!I999="","",Квартиры!I999)</f>
        <v/>
      </c>
      <c r="J1001">
        <f>IF(Квартиры!J999="","",Квартиры!J999)</f>
        <v/>
      </c>
    </row>
    <row r="1002">
      <c r="A1002">
        <f>IF(Квартиры!A1000="","",Квартиры!A1000)</f>
        <v/>
      </c>
      <c r="B1002">
        <f>IF(Квартиры!B1000="","",Квартиры!B1000)</f>
        <v/>
      </c>
      <c r="C1002">
        <f>IF(Квартиры!C1000="","",Квартиры!C1000)</f>
        <v/>
      </c>
      <c r="D1002">
        <f>IF(Квартиры!D1000="","",Квартиры!D1000)</f>
        <v/>
      </c>
      <c r="E1002">
        <f>IF(Квартиры!G1000="","",Квартиры!G1000)</f>
        <v/>
      </c>
      <c r="F1002">
        <f>IF(Квартиры!E1000="","",Квартиры!E1000)</f>
        <v/>
      </c>
      <c r="G1002">
        <f>IF(Квартиры!F1000="","",Квартиры!F1000)</f>
        <v/>
      </c>
      <c r="H1002">
        <f>IF(Квартиры!H1000="","",Квартиры!H1000)</f>
        <v/>
      </c>
      <c r="I1002">
        <f>IF(Квартиры!I1000="","",Квартиры!I1000)</f>
        <v/>
      </c>
      <c r="J1002">
        <f>IF(Квартиры!J1000="","",Квартиры!J1000)</f>
        <v/>
      </c>
    </row>
    <row r="1003">
      <c r="A1003">
        <f>IF(Квартиры!A1001="","",Квартиры!A1001)</f>
        <v/>
      </c>
      <c r="B1003">
        <f>IF(Квартиры!B1001="","",Квартиры!B1001)</f>
        <v/>
      </c>
      <c r="C1003">
        <f>IF(Квартиры!C1001="","",Квартиры!C1001)</f>
        <v/>
      </c>
      <c r="D1003">
        <f>IF(Квартиры!D1001="","",Квартиры!D1001)</f>
        <v/>
      </c>
      <c r="E1003">
        <f>IF(Квартиры!G1001="","",Квартиры!G1001)</f>
        <v/>
      </c>
      <c r="F1003">
        <f>IF(Квартиры!E1001="","",Квартиры!E1001)</f>
        <v/>
      </c>
      <c r="G1003">
        <f>IF(Квартиры!F1001="","",Квартиры!F1001)</f>
        <v/>
      </c>
      <c r="H1003">
        <f>IF(Квартиры!H1001="","",Квартиры!H1001)</f>
        <v/>
      </c>
      <c r="I1003">
        <f>IF(Квартиры!I1001="","",Квартиры!I1001)</f>
        <v/>
      </c>
      <c r="J1003">
        <f>IF(Квартиры!J1001="","",Квартиры!J1001)</f>
        <v/>
      </c>
    </row>
    <row r="1004">
      <c r="A1004">
        <f>IF(Квартиры!A1002="","",Квартиры!A1002)</f>
        <v/>
      </c>
      <c r="B1004">
        <f>IF(Квартиры!B1002="","",Квартиры!B1002)</f>
        <v/>
      </c>
      <c r="C1004">
        <f>IF(Квартиры!C1002="","",Квартиры!C1002)</f>
        <v/>
      </c>
      <c r="D1004">
        <f>IF(Квартиры!D1002="","",Квартиры!D1002)</f>
        <v/>
      </c>
      <c r="E1004">
        <f>IF(Квартиры!G1002="","",Квартиры!G1002)</f>
        <v/>
      </c>
      <c r="F1004">
        <f>IF(Квартиры!E1002="","",Квартиры!E1002)</f>
        <v/>
      </c>
      <c r="G1004">
        <f>IF(Квартиры!F1002="","",Квартиры!F1002)</f>
        <v/>
      </c>
      <c r="H1004">
        <f>IF(Квартиры!H1002="","",Квартиры!H1002)</f>
        <v/>
      </c>
      <c r="I1004">
        <f>IF(Квартиры!I1002="","",Квартиры!I1002)</f>
        <v/>
      </c>
      <c r="J1004">
        <f>IF(Квартиры!J1002="","",Квартиры!J1002)</f>
        <v/>
      </c>
    </row>
    <row r="1005">
      <c r="A1005">
        <f>IF(Квартиры!A1003="","",Квартиры!A1003)</f>
        <v/>
      </c>
      <c r="B1005">
        <f>IF(Квартиры!B1003="","",Квартиры!B1003)</f>
        <v/>
      </c>
      <c r="C1005">
        <f>IF(Квартиры!C1003="","",Квартиры!C1003)</f>
        <v/>
      </c>
      <c r="D1005">
        <f>IF(Квартиры!D1003="","",Квартиры!D1003)</f>
        <v/>
      </c>
      <c r="E1005">
        <f>IF(Квартиры!G1003="","",Квартиры!G1003)</f>
        <v/>
      </c>
      <c r="F1005">
        <f>IF(Квартиры!E1003="","",Квартиры!E1003)</f>
        <v/>
      </c>
      <c r="G1005">
        <f>IF(Квартиры!F1003="","",Квартиры!F1003)</f>
        <v/>
      </c>
      <c r="H1005">
        <f>IF(Квартиры!H1003="","",Квартиры!H1003)</f>
        <v/>
      </c>
      <c r="I1005">
        <f>IF(Квартиры!I1003="","",Квартиры!I1003)</f>
        <v/>
      </c>
      <c r="J1005">
        <f>IF(Квартиры!J1003="","",Квартиры!J1003)</f>
        <v/>
      </c>
    </row>
    <row r="1006">
      <c r="A1006">
        <f>IF(Квартиры!A1004="","",Квартиры!A1004)</f>
        <v/>
      </c>
      <c r="B1006">
        <f>IF(Квартиры!B1004="","",Квартиры!B1004)</f>
        <v/>
      </c>
      <c r="C1006">
        <f>IF(Квартиры!C1004="","",Квартиры!C1004)</f>
        <v/>
      </c>
      <c r="D1006">
        <f>IF(Квартиры!D1004="","",Квартиры!D1004)</f>
        <v/>
      </c>
      <c r="E1006">
        <f>IF(Квартиры!G1004="","",Квартиры!G1004)</f>
        <v/>
      </c>
      <c r="F1006">
        <f>IF(Квартиры!E1004="","",Квартиры!E1004)</f>
        <v/>
      </c>
      <c r="G1006">
        <f>IF(Квартиры!F1004="","",Квартиры!F1004)</f>
        <v/>
      </c>
      <c r="H1006">
        <f>IF(Квартиры!H1004="","",Квартиры!H1004)</f>
        <v/>
      </c>
      <c r="I1006">
        <f>IF(Квартиры!I1004="","",Квартиры!I1004)</f>
        <v/>
      </c>
      <c r="J1006">
        <f>IF(Квартиры!J1004="","",Квартиры!J1004)</f>
        <v/>
      </c>
    </row>
    <row r="1007">
      <c r="A1007">
        <f>IF(Квартиры!A1005="","",Квартиры!A1005)</f>
        <v/>
      </c>
      <c r="B1007">
        <f>IF(Квартиры!B1005="","",Квартиры!B1005)</f>
        <v/>
      </c>
      <c r="C1007">
        <f>IF(Квартиры!C1005="","",Квартиры!C1005)</f>
        <v/>
      </c>
      <c r="D1007">
        <f>IF(Квартиры!D1005="","",Квартиры!D1005)</f>
        <v/>
      </c>
      <c r="E1007">
        <f>IF(Квартиры!G1005="","",Квартиры!G1005)</f>
        <v/>
      </c>
      <c r="F1007">
        <f>IF(Квартиры!E1005="","",Квартиры!E1005)</f>
        <v/>
      </c>
      <c r="G1007">
        <f>IF(Квартиры!F1005="","",Квартиры!F1005)</f>
        <v/>
      </c>
      <c r="H1007">
        <f>IF(Квартиры!H1005="","",Квартиры!H1005)</f>
        <v/>
      </c>
      <c r="I1007">
        <f>IF(Квартиры!I1005="","",Квартиры!I1005)</f>
        <v/>
      </c>
      <c r="J1007">
        <f>IF(Квартиры!J1005="","",Квартиры!J1005)</f>
        <v/>
      </c>
    </row>
    <row r="1008">
      <c r="A1008">
        <f>IF(Квартиры!A1006="","",Квартиры!A1006)</f>
        <v/>
      </c>
      <c r="B1008">
        <f>IF(Квартиры!B1006="","",Квартиры!B1006)</f>
        <v/>
      </c>
      <c r="C1008">
        <f>IF(Квартиры!C1006="","",Квартиры!C1006)</f>
        <v/>
      </c>
      <c r="D1008">
        <f>IF(Квартиры!D1006="","",Квартиры!D1006)</f>
        <v/>
      </c>
      <c r="E1008">
        <f>IF(Квартиры!G1006="","",Квартиры!G1006)</f>
        <v/>
      </c>
      <c r="F1008">
        <f>IF(Квартиры!E1006="","",Квартиры!E1006)</f>
        <v/>
      </c>
      <c r="G1008">
        <f>IF(Квартиры!F1006="","",Квартиры!F1006)</f>
        <v/>
      </c>
      <c r="H1008">
        <f>IF(Квартиры!H1006="","",Квартиры!H1006)</f>
        <v/>
      </c>
      <c r="I1008">
        <f>IF(Квартиры!I1006="","",Квартиры!I1006)</f>
        <v/>
      </c>
      <c r="J1008">
        <f>IF(Квартиры!J1006="","",Квартиры!J1006)</f>
        <v/>
      </c>
    </row>
    <row r="1009">
      <c r="A1009">
        <f>IF(Квартиры!A1007="","",Квартиры!A1007)</f>
        <v/>
      </c>
      <c r="B1009">
        <f>IF(Квартиры!B1007="","",Квартиры!B1007)</f>
        <v/>
      </c>
      <c r="C1009">
        <f>IF(Квартиры!C1007="","",Квартиры!C1007)</f>
        <v/>
      </c>
      <c r="D1009">
        <f>IF(Квартиры!D1007="","",Квартиры!D1007)</f>
        <v/>
      </c>
      <c r="E1009">
        <f>IF(Квартиры!G1007="","",Квартиры!G1007)</f>
        <v/>
      </c>
      <c r="F1009">
        <f>IF(Квартиры!E1007="","",Квартиры!E1007)</f>
        <v/>
      </c>
      <c r="G1009">
        <f>IF(Квартиры!F1007="","",Квартиры!F1007)</f>
        <v/>
      </c>
      <c r="H1009">
        <f>IF(Квартиры!H1007="","",Квартиры!H1007)</f>
        <v/>
      </c>
      <c r="I1009">
        <f>IF(Квартиры!I1007="","",Квартиры!I1007)</f>
        <v/>
      </c>
      <c r="J1009">
        <f>IF(Квартиры!J1007="","",Квартиры!J1007)</f>
        <v/>
      </c>
    </row>
    <row r="1010">
      <c r="A1010">
        <f>IF(Квартиры!A1008="","",Квартиры!A1008)</f>
        <v/>
      </c>
      <c r="B1010">
        <f>IF(Квартиры!B1008="","",Квартиры!B1008)</f>
        <v/>
      </c>
      <c r="C1010">
        <f>IF(Квартиры!C1008="","",Квартиры!C1008)</f>
        <v/>
      </c>
      <c r="D1010">
        <f>IF(Квартиры!D1008="","",Квартиры!D1008)</f>
        <v/>
      </c>
      <c r="E1010">
        <f>IF(Квартиры!G1008="","",Квартиры!G1008)</f>
        <v/>
      </c>
      <c r="F1010">
        <f>IF(Квартиры!E1008="","",Квартиры!E1008)</f>
        <v/>
      </c>
      <c r="G1010">
        <f>IF(Квартиры!F1008="","",Квартиры!F1008)</f>
        <v/>
      </c>
      <c r="H1010">
        <f>IF(Квартиры!H1008="","",Квартиры!H1008)</f>
        <v/>
      </c>
      <c r="I1010">
        <f>IF(Квартиры!I1008="","",Квартиры!I1008)</f>
        <v/>
      </c>
      <c r="J1010">
        <f>IF(Квартиры!J1008="","",Квартиры!J1008)</f>
        <v/>
      </c>
    </row>
    <row r="1011">
      <c r="A1011">
        <f>IF(Квартиры!A1009="","",Квартиры!A1009)</f>
        <v/>
      </c>
      <c r="B1011">
        <f>IF(Квартиры!B1009="","",Квартиры!B1009)</f>
        <v/>
      </c>
      <c r="C1011">
        <f>IF(Квартиры!C1009="","",Квартиры!C1009)</f>
        <v/>
      </c>
      <c r="D1011">
        <f>IF(Квартиры!D1009="","",Квартиры!D1009)</f>
        <v/>
      </c>
      <c r="E1011">
        <f>IF(Квартиры!G1009="","",Квартиры!G1009)</f>
        <v/>
      </c>
      <c r="F1011">
        <f>IF(Квартиры!E1009="","",Квартиры!E1009)</f>
        <v/>
      </c>
      <c r="G1011">
        <f>IF(Квартиры!F1009="","",Квартиры!F1009)</f>
        <v/>
      </c>
      <c r="H1011">
        <f>IF(Квартиры!H1009="","",Квартиры!H1009)</f>
        <v/>
      </c>
      <c r="I1011">
        <f>IF(Квартиры!I1009="","",Квартиры!I1009)</f>
        <v/>
      </c>
      <c r="J1011">
        <f>IF(Квартиры!J1009="","",Квартиры!J1009)</f>
        <v/>
      </c>
    </row>
    <row r="1012">
      <c r="A1012">
        <f>IF(Квартиры!A1010="","",Квартиры!A1010)</f>
        <v/>
      </c>
      <c r="B1012">
        <f>IF(Квартиры!B1010="","",Квартиры!B1010)</f>
        <v/>
      </c>
      <c r="C1012">
        <f>IF(Квартиры!C1010="","",Квартиры!C1010)</f>
        <v/>
      </c>
      <c r="D1012">
        <f>IF(Квартиры!D1010="","",Квартиры!D1010)</f>
        <v/>
      </c>
      <c r="E1012">
        <f>IF(Квартиры!G1010="","",Квартиры!G1010)</f>
        <v/>
      </c>
      <c r="F1012">
        <f>IF(Квартиры!E1010="","",Квартиры!E1010)</f>
        <v/>
      </c>
      <c r="G1012">
        <f>IF(Квартиры!F1010="","",Квартиры!F1010)</f>
        <v/>
      </c>
      <c r="H1012">
        <f>IF(Квартиры!H1010="","",Квартиры!H1010)</f>
        <v/>
      </c>
      <c r="I1012">
        <f>IF(Квартиры!I1010="","",Квартиры!I1010)</f>
        <v/>
      </c>
      <c r="J1012">
        <f>IF(Квартиры!J1010="","",Квартиры!J1010)</f>
        <v/>
      </c>
    </row>
    <row r="1013">
      <c r="A1013">
        <f>IF(Квартиры!A1011="","",Квартиры!A1011)</f>
        <v/>
      </c>
      <c r="B1013">
        <f>IF(Квартиры!B1011="","",Квартиры!B1011)</f>
        <v/>
      </c>
      <c r="C1013">
        <f>IF(Квартиры!C1011="","",Квартиры!C1011)</f>
        <v/>
      </c>
      <c r="D1013">
        <f>IF(Квартиры!D1011="","",Квартиры!D1011)</f>
        <v/>
      </c>
      <c r="E1013">
        <f>IF(Квартиры!G1011="","",Квартиры!G1011)</f>
        <v/>
      </c>
      <c r="F1013">
        <f>IF(Квартиры!E1011="","",Квартиры!E1011)</f>
        <v/>
      </c>
      <c r="G1013">
        <f>IF(Квартиры!F1011="","",Квартиры!F1011)</f>
        <v/>
      </c>
      <c r="H1013">
        <f>IF(Квартиры!H1011="","",Квартиры!H1011)</f>
        <v/>
      </c>
      <c r="I1013">
        <f>IF(Квартиры!I1011="","",Квартиры!I1011)</f>
        <v/>
      </c>
      <c r="J1013">
        <f>IF(Квартиры!J1011="","",Квартиры!J1011)</f>
        <v/>
      </c>
    </row>
    <row r="1014">
      <c r="A1014">
        <f>IF(Квартиры!A1012="","",Квартиры!A1012)</f>
        <v/>
      </c>
      <c r="B1014">
        <f>IF(Квартиры!B1012="","",Квартиры!B1012)</f>
        <v/>
      </c>
      <c r="C1014">
        <f>IF(Квартиры!C1012="","",Квартиры!C1012)</f>
        <v/>
      </c>
      <c r="D1014">
        <f>IF(Квартиры!D1012="","",Квартиры!D1012)</f>
        <v/>
      </c>
      <c r="E1014">
        <f>IF(Квартиры!G1012="","",Квартиры!G1012)</f>
        <v/>
      </c>
      <c r="F1014">
        <f>IF(Квартиры!E1012="","",Квартиры!E1012)</f>
        <v/>
      </c>
      <c r="G1014">
        <f>IF(Квартиры!F1012="","",Квартиры!F1012)</f>
        <v/>
      </c>
      <c r="H1014">
        <f>IF(Квартиры!H1012="","",Квартиры!H1012)</f>
        <v/>
      </c>
      <c r="I1014">
        <f>IF(Квартиры!I1012="","",Квартиры!I1012)</f>
        <v/>
      </c>
      <c r="J1014">
        <f>IF(Квартиры!J1012="","",Квартиры!J1012)</f>
        <v/>
      </c>
    </row>
    <row r="1015">
      <c r="A1015">
        <f>IF(Квартиры!A1013="","",Квартиры!A1013)</f>
        <v/>
      </c>
      <c r="B1015">
        <f>IF(Квартиры!B1013="","",Квартиры!B1013)</f>
        <v/>
      </c>
      <c r="C1015">
        <f>IF(Квартиры!C1013="","",Квартиры!C1013)</f>
        <v/>
      </c>
      <c r="D1015">
        <f>IF(Квартиры!D1013="","",Квартиры!D1013)</f>
        <v/>
      </c>
      <c r="E1015">
        <f>IF(Квартиры!G1013="","",Квартиры!G1013)</f>
        <v/>
      </c>
      <c r="F1015">
        <f>IF(Квартиры!E1013="","",Квартиры!E1013)</f>
        <v/>
      </c>
      <c r="G1015">
        <f>IF(Квартиры!F1013="","",Квартиры!F1013)</f>
        <v/>
      </c>
      <c r="H1015">
        <f>IF(Квартиры!H1013="","",Квартиры!H1013)</f>
        <v/>
      </c>
      <c r="I1015">
        <f>IF(Квартиры!I1013="","",Квартиры!I1013)</f>
        <v/>
      </c>
      <c r="J1015">
        <f>IF(Квартиры!J1013="","",Квартиры!J1013)</f>
        <v/>
      </c>
    </row>
    <row r="1016">
      <c r="A1016">
        <f>IF(Квартиры!A1014="","",Квартиры!A1014)</f>
        <v/>
      </c>
      <c r="B1016">
        <f>IF(Квартиры!B1014="","",Квартиры!B1014)</f>
        <v/>
      </c>
      <c r="C1016">
        <f>IF(Квартиры!C1014="","",Квартиры!C1014)</f>
        <v/>
      </c>
      <c r="D1016">
        <f>IF(Квартиры!D1014="","",Квартиры!D1014)</f>
        <v/>
      </c>
      <c r="E1016">
        <f>IF(Квартиры!G1014="","",Квартиры!G1014)</f>
        <v/>
      </c>
      <c r="F1016">
        <f>IF(Квартиры!E1014="","",Квартиры!E1014)</f>
        <v/>
      </c>
      <c r="G1016">
        <f>IF(Квартиры!F1014="","",Квартиры!F1014)</f>
        <v/>
      </c>
      <c r="H1016">
        <f>IF(Квартиры!H1014="","",Квартиры!H1014)</f>
        <v/>
      </c>
      <c r="I1016">
        <f>IF(Квартиры!I1014="","",Квартиры!I1014)</f>
        <v/>
      </c>
      <c r="J1016">
        <f>IF(Квартиры!J1014="","",Квартиры!J1014)</f>
        <v/>
      </c>
    </row>
    <row r="1017">
      <c r="A1017">
        <f>IF(Квартиры!A1015="","",Квартиры!A1015)</f>
        <v/>
      </c>
      <c r="B1017">
        <f>IF(Квартиры!B1015="","",Квартиры!B1015)</f>
        <v/>
      </c>
      <c r="C1017">
        <f>IF(Квартиры!C1015="","",Квартиры!C1015)</f>
        <v/>
      </c>
      <c r="D1017">
        <f>IF(Квартиры!D1015="","",Квартиры!D1015)</f>
        <v/>
      </c>
      <c r="E1017">
        <f>IF(Квартиры!G1015="","",Квартиры!G1015)</f>
        <v/>
      </c>
      <c r="F1017">
        <f>IF(Квартиры!E1015="","",Квартиры!E1015)</f>
        <v/>
      </c>
      <c r="G1017">
        <f>IF(Квартиры!F1015="","",Квартиры!F1015)</f>
        <v/>
      </c>
      <c r="H1017">
        <f>IF(Квартиры!H1015="","",Квартиры!H1015)</f>
        <v/>
      </c>
      <c r="I1017">
        <f>IF(Квартиры!I1015="","",Квартиры!I1015)</f>
        <v/>
      </c>
      <c r="J1017">
        <f>IF(Квартиры!J1015="","",Квартиры!J1015)</f>
        <v/>
      </c>
    </row>
    <row r="1018">
      <c r="A1018">
        <f>IF(Квартиры!A1016="","",Квартиры!A1016)</f>
        <v/>
      </c>
      <c r="B1018">
        <f>IF(Квартиры!B1016="","",Квартиры!B1016)</f>
        <v/>
      </c>
      <c r="C1018">
        <f>IF(Квартиры!C1016="","",Квартиры!C1016)</f>
        <v/>
      </c>
      <c r="D1018">
        <f>IF(Квартиры!D1016="","",Квартиры!D1016)</f>
        <v/>
      </c>
      <c r="E1018">
        <f>IF(Квартиры!G1016="","",Квартиры!G1016)</f>
        <v/>
      </c>
      <c r="F1018">
        <f>IF(Квартиры!E1016="","",Квартиры!E1016)</f>
        <v/>
      </c>
      <c r="G1018">
        <f>IF(Квартиры!F1016="","",Квартиры!F1016)</f>
        <v/>
      </c>
      <c r="H1018">
        <f>IF(Квартиры!H1016="","",Квартиры!H1016)</f>
        <v/>
      </c>
      <c r="I1018">
        <f>IF(Квартиры!I1016="","",Квартиры!I1016)</f>
        <v/>
      </c>
      <c r="J1018">
        <f>IF(Квартиры!J1016="","",Квартиры!J1016)</f>
        <v/>
      </c>
    </row>
    <row r="1019">
      <c r="A1019">
        <f>IF(Квартиры!A1017="","",Квартиры!A1017)</f>
        <v/>
      </c>
      <c r="B1019">
        <f>IF(Квартиры!B1017="","",Квартиры!B1017)</f>
        <v/>
      </c>
      <c r="C1019">
        <f>IF(Квартиры!C1017="","",Квартиры!C1017)</f>
        <v/>
      </c>
      <c r="D1019">
        <f>IF(Квартиры!D1017="","",Квартиры!D1017)</f>
        <v/>
      </c>
      <c r="E1019">
        <f>IF(Квартиры!G1017="","",Квартиры!G1017)</f>
        <v/>
      </c>
      <c r="F1019">
        <f>IF(Квартиры!E1017="","",Квартиры!E1017)</f>
        <v/>
      </c>
      <c r="G1019">
        <f>IF(Квартиры!F1017="","",Квартиры!F1017)</f>
        <v/>
      </c>
      <c r="H1019">
        <f>IF(Квартиры!H1017="","",Квартиры!H1017)</f>
        <v/>
      </c>
      <c r="I1019">
        <f>IF(Квартиры!I1017="","",Квартиры!I1017)</f>
        <v/>
      </c>
      <c r="J1019">
        <f>IF(Квартиры!J1017="","",Квартиры!J1017)</f>
        <v/>
      </c>
    </row>
    <row r="1020">
      <c r="A1020">
        <f>IF(Квартиры!A1018="","",Квартиры!A1018)</f>
        <v/>
      </c>
      <c r="B1020">
        <f>IF(Квартиры!B1018="","",Квартиры!B1018)</f>
        <v/>
      </c>
      <c r="C1020">
        <f>IF(Квартиры!C1018="","",Квартиры!C1018)</f>
        <v/>
      </c>
      <c r="D1020">
        <f>IF(Квартиры!D1018="","",Квартиры!D1018)</f>
        <v/>
      </c>
      <c r="E1020">
        <f>IF(Квартиры!G1018="","",Квартиры!G1018)</f>
        <v/>
      </c>
      <c r="F1020">
        <f>IF(Квартиры!E1018="","",Квартиры!E1018)</f>
        <v/>
      </c>
      <c r="G1020">
        <f>IF(Квартиры!F1018="","",Квартиры!F1018)</f>
        <v/>
      </c>
      <c r="H1020">
        <f>IF(Квартиры!H1018="","",Квартиры!H1018)</f>
        <v/>
      </c>
      <c r="I1020">
        <f>IF(Квартиры!I1018="","",Квартиры!I1018)</f>
        <v/>
      </c>
      <c r="J1020">
        <f>IF(Квартиры!J1018="","",Квартиры!J1018)</f>
        <v/>
      </c>
    </row>
    <row r="1021">
      <c r="A1021">
        <f>IF(Квартиры!A1019="","",Квартиры!A1019)</f>
        <v/>
      </c>
      <c r="B1021">
        <f>IF(Квартиры!B1019="","",Квартиры!B1019)</f>
        <v/>
      </c>
      <c r="C1021">
        <f>IF(Квартиры!C1019="","",Квартиры!C1019)</f>
        <v/>
      </c>
      <c r="D1021">
        <f>IF(Квартиры!D1019="","",Квартиры!D1019)</f>
        <v/>
      </c>
      <c r="E1021">
        <f>IF(Квартиры!G1019="","",Квартиры!G1019)</f>
        <v/>
      </c>
      <c r="F1021">
        <f>IF(Квартиры!E1019="","",Квартиры!E1019)</f>
        <v/>
      </c>
      <c r="G1021">
        <f>IF(Квартиры!F1019="","",Квартиры!F1019)</f>
        <v/>
      </c>
      <c r="H1021">
        <f>IF(Квартиры!H1019="","",Квартиры!H1019)</f>
        <v/>
      </c>
      <c r="I1021">
        <f>IF(Квартиры!I1019="","",Квартиры!I1019)</f>
        <v/>
      </c>
      <c r="J1021">
        <f>IF(Квартиры!J1019="","",Квартиры!J1019)</f>
        <v/>
      </c>
    </row>
    <row r="1022">
      <c r="A1022">
        <f>IF(Квартиры!A1020="","",Квартиры!A1020)</f>
        <v/>
      </c>
      <c r="B1022">
        <f>IF(Квартиры!B1020="","",Квартиры!B1020)</f>
        <v/>
      </c>
      <c r="C1022">
        <f>IF(Квартиры!C1020="","",Квартиры!C1020)</f>
        <v/>
      </c>
      <c r="D1022">
        <f>IF(Квартиры!D1020="","",Квартиры!D1020)</f>
        <v/>
      </c>
      <c r="E1022">
        <f>IF(Квартиры!G1020="","",Квартиры!G1020)</f>
        <v/>
      </c>
      <c r="F1022">
        <f>IF(Квартиры!E1020="","",Квартиры!E1020)</f>
        <v/>
      </c>
      <c r="G1022">
        <f>IF(Квартиры!F1020="","",Квартиры!F1020)</f>
        <v/>
      </c>
      <c r="H1022">
        <f>IF(Квартиры!H1020="","",Квартиры!H1020)</f>
        <v/>
      </c>
      <c r="I1022">
        <f>IF(Квартиры!I1020="","",Квартиры!I1020)</f>
        <v/>
      </c>
      <c r="J1022">
        <f>IF(Квартиры!J1020="","",Квартиры!J1020)</f>
        <v/>
      </c>
    </row>
    <row r="1023">
      <c r="A1023">
        <f>IF(Квартиры!A1021="","",Квартиры!A1021)</f>
        <v/>
      </c>
      <c r="B1023">
        <f>IF(Квартиры!B1021="","",Квартиры!B1021)</f>
        <v/>
      </c>
      <c r="C1023">
        <f>IF(Квартиры!C1021="","",Квартиры!C1021)</f>
        <v/>
      </c>
      <c r="D1023">
        <f>IF(Квартиры!D1021="","",Квартиры!D1021)</f>
        <v/>
      </c>
      <c r="E1023">
        <f>IF(Квартиры!G1021="","",Квартиры!G1021)</f>
        <v/>
      </c>
      <c r="F1023">
        <f>IF(Квартиры!E1021="","",Квартиры!E1021)</f>
        <v/>
      </c>
      <c r="G1023">
        <f>IF(Квартиры!F1021="","",Квартиры!F1021)</f>
        <v/>
      </c>
      <c r="H1023">
        <f>IF(Квартиры!H1021="","",Квартиры!H1021)</f>
        <v/>
      </c>
      <c r="I1023">
        <f>IF(Квартиры!I1021="","",Квартиры!I1021)</f>
        <v/>
      </c>
      <c r="J1023">
        <f>IF(Квартиры!J1021="","",Квартиры!J1021)</f>
        <v/>
      </c>
    </row>
    <row r="1024">
      <c r="A1024">
        <f>IF(Квартиры!A1022="","",Квартиры!A1022)</f>
        <v/>
      </c>
      <c r="B1024">
        <f>IF(Квартиры!B1022="","",Квартиры!B1022)</f>
        <v/>
      </c>
      <c r="C1024">
        <f>IF(Квартиры!C1022="","",Квартиры!C1022)</f>
        <v/>
      </c>
      <c r="D1024">
        <f>IF(Квартиры!D1022="","",Квартиры!D1022)</f>
        <v/>
      </c>
      <c r="E1024">
        <f>IF(Квартиры!G1022="","",Квартиры!G1022)</f>
        <v/>
      </c>
      <c r="F1024">
        <f>IF(Квартиры!E1022="","",Квартиры!E1022)</f>
        <v/>
      </c>
      <c r="G1024">
        <f>IF(Квартиры!F1022="","",Квартиры!F1022)</f>
        <v/>
      </c>
      <c r="H1024">
        <f>IF(Квартиры!H1022="","",Квартиры!H1022)</f>
        <v/>
      </c>
      <c r="I1024">
        <f>IF(Квартиры!I1022="","",Квартиры!I1022)</f>
        <v/>
      </c>
      <c r="J1024">
        <f>IF(Квартиры!J1022="","",Квартиры!J1022)</f>
        <v/>
      </c>
    </row>
    <row r="1025">
      <c r="A1025">
        <f>IF(Квартиры!A1023="","",Квартиры!A1023)</f>
        <v/>
      </c>
      <c r="B1025">
        <f>IF(Квартиры!B1023="","",Квартиры!B1023)</f>
        <v/>
      </c>
      <c r="C1025">
        <f>IF(Квартиры!C1023="","",Квартиры!C1023)</f>
        <v/>
      </c>
      <c r="D1025">
        <f>IF(Квартиры!D1023="","",Квартиры!D1023)</f>
        <v/>
      </c>
      <c r="E1025">
        <f>IF(Квартиры!G1023="","",Квартиры!G1023)</f>
        <v/>
      </c>
      <c r="F1025">
        <f>IF(Квартиры!E1023="","",Квартиры!E1023)</f>
        <v/>
      </c>
      <c r="G1025">
        <f>IF(Квартиры!F1023="","",Квартиры!F1023)</f>
        <v/>
      </c>
      <c r="H1025">
        <f>IF(Квартиры!H1023="","",Квартиры!H1023)</f>
        <v/>
      </c>
      <c r="I1025">
        <f>IF(Квартиры!I1023="","",Квартиры!I1023)</f>
        <v/>
      </c>
      <c r="J1025">
        <f>IF(Квартиры!J1023="","",Квартиры!J1023)</f>
        <v/>
      </c>
    </row>
    <row r="1026">
      <c r="A1026">
        <f>IF(Квартиры!A1024="","",Квартиры!A1024)</f>
        <v/>
      </c>
      <c r="B1026">
        <f>IF(Квартиры!B1024="","",Квартиры!B1024)</f>
        <v/>
      </c>
      <c r="C1026">
        <f>IF(Квартиры!C1024="","",Квартиры!C1024)</f>
        <v/>
      </c>
      <c r="D1026">
        <f>IF(Квартиры!D1024="","",Квартиры!D1024)</f>
        <v/>
      </c>
      <c r="E1026">
        <f>IF(Квартиры!G1024="","",Квартиры!G1024)</f>
        <v/>
      </c>
      <c r="F1026">
        <f>IF(Квартиры!E1024="","",Квартиры!E1024)</f>
        <v/>
      </c>
      <c r="G1026">
        <f>IF(Квартиры!F1024="","",Квартиры!F1024)</f>
        <v/>
      </c>
      <c r="H1026">
        <f>IF(Квартиры!H1024="","",Квартиры!H1024)</f>
        <v/>
      </c>
      <c r="I1026">
        <f>IF(Квартиры!I1024="","",Квартиры!I1024)</f>
        <v/>
      </c>
      <c r="J1026">
        <f>IF(Квартиры!J1024="","",Квартиры!J1024)</f>
        <v/>
      </c>
    </row>
    <row r="1027">
      <c r="A1027">
        <f>IF(Квартиры!A1025="","",Квартиры!A1025)</f>
        <v/>
      </c>
      <c r="B1027">
        <f>IF(Квартиры!B1025="","",Квартиры!B1025)</f>
        <v/>
      </c>
      <c r="C1027">
        <f>IF(Квартиры!C1025="","",Квартиры!C1025)</f>
        <v/>
      </c>
      <c r="D1027">
        <f>IF(Квартиры!D1025="","",Квартиры!D1025)</f>
        <v/>
      </c>
      <c r="E1027">
        <f>IF(Квартиры!G1025="","",Квартиры!G1025)</f>
        <v/>
      </c>
      <c r="F1027">
        <f>IF(Квартиры!E1025="","",Квартиры!E1025)</f>
        <v/>
      </c>
      <c r="G1027">
        <f>IF(Квартиры!F1025="","",Квартиры!F1025)</f>
        <v/>
      </c>
      <c r="H1027">
        <f>IF(Квартиры!H1025="","",Квартиры!H1025)</f>
        <v/>
      </c>
      <c r="I1027">
        <f>IF(Квартиры!I1025="","",Квартиры!I1025)</f>
        <v/>
      </c>
      <c r="J1027">
        <f>IF(Квартиры!J1025="","",Квартиры!J1025)</f>
        <v/>
      </c>
    </row>
    <row r="1028">
      <c r="A1028">
        <f>IF(Квартиры!A1026="","",Квартиры!A1026)</f>
        <v/>
      </c>
      <c r="B1028">
        <f>IF(Квартиры!B1026="","",Квартиры!B1026)</f>
        <v/>
      </c>
      <c r="C1028">
        <f>IF(Квартиры!C1026="","",Квартиры!C1026)</f>
        <v/>
      </c>
      <c r="D1028">
        <f>IF(Квартиры!D1026="","",Квартиры!D1026)</f>
        <v/>
      </c>
      <c r="E1028">
        <f>IF(Квартиры!G1026="","",Квартиры!G1026)</f>
        <v/>
      </c>
      <c r="F1028">
        <f>IF(Квартиры!E1026="","",Квартиры!E1026)</f>
        <v/>
      </c>
      <c r="G1028">
        <f>IF(Квартиры!F1026="","",Квартиры!F1026)</f>
        <v/>
      </c>
      <c r="H1028">
        <f>IF(Квартиры!H1026="","",Квартиры!H1026)</f>
        <v/>
      </c>
      <c r="I1028">
        <f>IF(Квартиры!I1026="","",Квартиры!I1026)</f>
        <v/>
      </c>
      <c r="J1028">
        <f>IF(Квартиры!J1026="","",Квартиры!J1026)</f>
        <v/>
      </c>
    </row>
    <row r="1029">
      <c r="A1029">
        <f>IF(Квартиры!A1027="","",Квартиры!A1027)</f>
        <v/>
      </c>
      <c r="B1029">
        <f>IF(Квартиры!B1027="","",Квартиры!B1027)</f>
        <v/>
      </c>
      <c r="C1029">
        <f>IF(Квартиры!C1027="","",Квартиры!C1027)</f>
        <v/>
      </c>
      <c r="D1029">
        <f>IF(Квартиры!D1027="","",Квартиры!D1027)</f>
        <v/>
      </c>
      <c r="E1029">
        <f>IF(Квартиры!G1027="","",Квартиры!G1027)</f>
        <v/>
      </c>
      <c r="F1029">
        <f>IF(Квартиры!E1027="","",Квартиры!E1027)</f>
        <v/>
      </c>
      <c r="G1029">
        <f>IF(Квартиры!F1027="","",Квартиры!F1027)</f>
        <v/>
      </c>
      <c r="H1029">
        <f>IF(Квартиры!H1027="","",Квартиры!H1027)</f>
        <v/>
      </c>
      <c r="I1029">
        <f>IF(Квартиры!I1027="","",Квартиры!I1027)</f>
        <v/>
      </c>
      <c r="J1029">
        <f>IF(Квартиры!J1027="","",Квартиры!J1027)</f>
        <v/>
      </c>
    </row>
    <row r="1030">
      <c r="A1030">
        <f>IF(Квартиры!A1028="","",Квартиры!A1028)</f>
        <v/>
      </c>
      <c r="B1030">
        <f>IF(Квартиры!B1028="","",Квартиры!B1028)</f>
        <v/>
      </c>
      <c r="C1030">
        <f>IF(Квартиры!C1028="","",Квартиры!C1028)</f>
        <v/>
      </c>
      <c r="D1030">
        <f>IF(Квартиры!D1028="","",Квартиры!D1028)</f>
        <v/>
      </c>
      <c r="E1030">
        <f>IF(Квартиры!G1028="","",Квартиры!G1028)</f>
        <v/>
      </c>
      <c r="F1030">
        <f>IF(Квартиры!E1028="","",Квартиры!E1028)</f>
        <v/>
      </c>
      <c r="G1030">
        <f>IF(Квартиры!F1028="","",Квартиры!F1028)</f>
        <v/>
      </c>
      <c r="H1030">
        <f>IF(Квартиры!H1028="","",Квартиры!H1028)</f>
        <v/>
      </c>
      <c r="I1030">
        <f>IF(Квартиры!I1028="","",Квартиры!I1028)</f>
        <v/>
      </c>
      <c r="J1030">
        <f>IF(Квартиры!J1028="","",Квартиры!J1028)</f>
        <v/>
      </c>
    </row>
    <row r="1031">
      <c r="A1031">
        <f>IF(Квартиры!A1029="","",Квартиры!A1029)</f>
        <v/>
      </c>
      <c r="B1031">
        <f>IF(Квартиры!B1029="","",Квартиры!B1029)</f>
        <v/>
      </c>
      <c r="C1031">
        <f>IF(Квартиры!C1029="","",Квартиры!C1029)</f>
        <v/>
      </c>
      <c r="D1031">
        <f>IF(Квартиры!D1029="","",Квартиры!D1029)</f>
        <v/>
      </c>
      <c r="E1031">
        <f>IF(Квартиры!G1029="","",Квартиры!G1029)</f>
        <v/>
      </c>
      <c r="F1031">
        <f>IF(Квартиры!E1029="","",Квартиры!E1029)</f>
        <v/>
      </c>
      <c r="G1031">
        <f>IF(Квартиры!F1029="","",Квартиры!F1029)</f>
        <v/>
      </c>
      <c r="H1031">
        <f>IF(Квартиры!H1029="","",Квартиры!H1029)</f>
        <v/>
      </c>
      <c r="I1031">
        <f>IF(Квартиры!I1029="","",Квартиры!I1029)</f>
        <v/>
      </c>
      <c r="J1031">
        <f>IF(Квартиры!J1029="","",Квартиры!J1029)</f>
        <v/>
      </c>
    </row>
    <row r="1032">
      <c r="A1032">
        <f>IF(Квартиры!A1030="","",Квартиры!A1030)</f>
        <v/>
      </c>
      <c r="B1032">
        <f>IF(Квартиры!B1030="","",Квартиры!B1030)</f>
        <v/>
      </c>
      <c r="C1032">
        <f>IF(Квартиры!C1030="","",Квартиры!C1030)</f>
        <v/>
      </c>
      <c r="D1032">
        <f>IF(Квартиры!D1030="","",Квартиры!D1030)</f>
        <v/>
      </c>
      <c r="E1032">
        <f>IF(Квартиры!G1030="","",Квартиры!G1030)</f>
        <v/>
      </c>
      <c r="F1032">
        <f>IF(Квартиры!E1030="","",Квартиры!E1030)</f>
        <v/>
      </c>
      <c r="G1032">
        <f>IF(Квартиры!F1030="","",Квартиры!F1030)</f>
        <v/>
      </c>
      <c r="H1032">
        <f>IF(Квартиры!H1030="","",Квартиры!H1030)</f>
        <v/>
      </c>
      <c r="I1032">
        <f>IF(Квартиры!I1030="","",Квартиры!I1030)</f>
        <v/>
      </c>
      <c r="J1032">
        <f>IF(Квартиры!J1030="","",Квартиры!J1030)</f>
        <v/>
      </c>
    </row>
    <row r="1033">
      <c r="A1033">
        <f>IF(Квартиры!A1031="","",Квартиры!A1031)</f>
        <v/>
      </c>
      <c r="B1033">
        <f>IF(Квартиры!B1031="","",Квартиры!B1031)</f>
        <v/>
      </c>
      <c r="C1033">
        <f>IF(Квартиры!C1031="","",Квартиры!C1031)</f>
        <v/>
      </c>
      <c r="D1033">
        <f>IF(Квартиры!D1031="","",Квартиры!D1031)</f>
        <v/>
      </c>
      <c r="E1033">
        <f>IF(Квартиры!G1031="","",Квартиры!G1031)</f>
        <v/>
      </c>
      <c r="F1033">
        <f>IF(Квартиры!E1031="","",Квартиры!E1031)</f>
        <v/>
      </c>
      <c r="G1033">
        <f>IF(Квартиры!F1031="","",Квартиры!F1031)</f>
        <v/>
      </c>
      <c r="H1033">
        <f>IF(Квартиры!H1031="","",Квартиры!H1031)</f>
        <v/>
      </c>
      <c r="I1033">
        <f>IF(Квартиры!I1031="","",Квартиры!I1031)</f>
        <v/>
      </c>
      <c r="J1033">
        <f>IF(Квартиры!J1031="","",Квартиры!J1031)</f>
        <v/>
      </c>
    </row>
    <row r="1034">
      <c r="A1034">
        <f>IF(Квартиры!A1032="","",Квартиры!A1032)</f>
        <v/>
      </c>
      <c r="B1034">
        <f>IF(Квартиры!B1032="","",Квартиры!B1032)</f>
        <v/>
      </c>
      <c r="C1034">
        <f>IF(Квартиры!C1032="","",Квартиры!C1032)</f>
        <v/>
      </c>
      <c r="D1034">
        <f>IF(Квартиры!D1032="","",Квартиры!D1032)</f>
        <v/>
      </c>
      <c r="E1034">
        <f>IF(Квартиры!G1032="","",Квартиры!G1032)</f>
        <v/>
      </c>
      <c r="F1034">
        <f>IF(Квартиры!E1032="","",Квартиры!E1032)</f>
        <v/>
      </c>
      <c r="G1034">
        <f>IF(Квартиры!F1032="","",Квартиры!F1032)</f>
        <v/>
      </c>
      <c r="H1034">
        <f>IF(Квартиры!H1032="","",Квартиры!H1032)</f>
        <v/>
      </c>
      <c r="I1034">
        <f>IF(Квартиры!I1032="","",Квартиры!I1032)</f>
        <v/>
      </c>
      <c r="J1034">
        <f>IF(Квартиры!J1032="","",Квартиры!J1032)</f>
        <v/>
      </c>
    </row>
    <row r="1035">
      <c r="A1035">
        <f>IF(Квартиры!A1033="","",Квартиры!A1033)</f>
        <v/>
      </c>
      <c r="B1035">
        <f>IF(Квартиры!B1033="","",Квартиры!B1033)</f>
        <v/>
      </c>
      <c r="C1035">
        <f>IF(Квартиры!C1033="","",Квартиры!C1033)</f>
        <v/>
      </c>
      <c r="D1035">
        <f>IF(Квартиры!D1033="","",Квартиры!D1033)</f>
        <v/>
      </c>
      <c r="E1035">
        <f>IF(Квартиры!G1033="","",Квартиры!G1033)</f>
        <v/>
      </c>
      <c r="F1035">
        <f>IF(Квартиры!E1033="","",Квартиры!E1033)</f>
        <v/>
      </c>
      <c r="G1035">
        <f>IF(Квартиры!F1033="","",Квартиры!F1033)</f>
        <v/>
      </c>
      <c r="H1035">
        <f>IF(Квартиры!H1033="","",Квартиры!H1033)</f>
        <v/>
      </c>
      <c r="I1035">
        <f>IF(Квартиры!I1033="","",Квартиры!I1033)</f>
        <v/>
      </c>
      <c r="J1035">
        <f>IF(Квартиры!J1033="","",Квартиры!J1033)</f>
        <v/>
      </c>
    </row>
    <row r="1036">
      <c r="A1036">
        <f>IF(Квартиры!A1034="","",Квартиры!A1034)</f>
        <v/>
      </c>
      <c r="B1036">
        <f>IF(Квартиры!B1034="","",Квартиры!B1034)</f>
        <v/>
      </c>
      <c r="C1036">
        <f>IF(Квартиры!C1034="","",Квартиры!C1034)</f>
        <v/>
      </c>
      <c r="D1036">
        <f>IF(Квартиры!D1034="","",Квартиры!D1034)</f>
        <v/>
      </c>
      <c r="E1036">
        <f>IF(Квартиры!G1034="","",Квартиры!G1034)</f>
        <v/>
      </c>
      <c r="F1036">
        <f>IF(Квартиры!E1034="","",Квартиры!E1034)</f>
        <v/>
      </c>
      <c r="G1036">
        <f>IF(Квартиры!F1034="","",Квартиры!F1034)</f>
        <v/>
      </c>
      <c r="H1036">
        <f>IF(Квартиры!H1034="","",Квартиры!H1034)</f>
        <v/>
      </c>
      <c r="I1036">
        <f>IF(Квартиры!I1034="","",Квартиры!I1034)</f>
        <v/>
      </c>
      <c r="J1036">
        <f>IF(Квартиры!J1034="","",Квартиры!J1034)</f>
        <v/>
      </c>
    </row>
    <row r="1037">
      <c r="A1037">
        <f>IF(Квартиры!A1035="","",Квартиры!A1035)</f>
        <v/>
      </c>
      <c r="B1037">
        <f>IF(Квартиры!B1035="","",Квартиры!B1035)</f>
        <v/>
      </c>
      <c r="C1037">
        <f>IF(Квартиры!C1035="","",Квартиры!C1035)</f>
        <v/>
      </c>
      <c r="D1037">
        <f>IF(Квартиры!D1035="","",Квартиры!D1035)</f>
        <v/>
      </c>
      <c r="E1037">
        <f>IF(Квартиры!G1035="","",Квартиры!G1035)</f>
        <v/>
      </c>
      <c r="F1037">
        <f>IF(Квартиры!E1035="","",Квартиры!E1035)</f>
        <v/>
      </c>
      <c r="G1037">
        <f>IF(Квартиры!F1035="","",Квартиры!F1035)</f>
        <v/>
      </c>
      <c r="H1037">
        <f>IF(Квартиры!H1035="","",Квартиры!H1035)</f>
        <v/>
      </c>
      <c r="I1037">
        <f>IF(Квартиры!I1035="","",Квартиры!I1035)</f>
        <v/>
      </c>
      <c r="J1037">
        <f>IF(Квартиры!J1035="","",Квартиры!J1035)</f>
        <v/>
      </c>
    </row>
    <row r="1038">
      <c r="A1038">
        <f>IF(Квартиры!A1036="","",Квартиры!A1036)</f>
        <v/>
      </c>
      <c r="B1038">
        <f>IF(Квартиры!B1036="","",Квартиры!B1036)</f>
        <v/>
      </c>
      <c r="C1038">
        <f>IF(Квартиры!C1036="","",Квартиры!C1036)</f>
        <v/>
      </c>
      <c r="D1038">
        <f>IF(Квартиры!D1036="","",Квартиры!D1036)</f>
        <v/>
      </c>
      <c r="E1038">
        <f>IF(Квартиры!G1036="","",Квартиры!G1036)</f>
        <v/>
      </c>
      <c r="F1038">
        <f>IF(Квартиры!E1036="","",Квартиры!E1036)</f>
        <v/>
      </c>
      <c r="G1038">
        <f>IF(Квартиры!F1036="","",Квартиры!F1036)</f>
        <v/>
      </c>
      <c r="H1038">
        <f>IF(Квартиры!H1036="","",Квартиры!H1036)</f>
        <v/>
      </c>
      <c r="I1038">
        <f>IF(Квартиры!I1036="","",Квартиры!I1036)</f>
        <v/>
      </c>
      <c r="J1038">
        <f>IF(Квартиры!J1036="","",Квартиры!J1036)</f>
        <v/>
      </c>
    </row>
    <row r="1039">
      <c r="A1039">
        <f>IF(Квартиры!A1037="","",Квартиры!A1037)</f>
        <v/>
      </c>
      <c r="B1039">
        <f>IF(Квартиры!B1037="","",Квартиры!B1037)</f>
        <v/>
      </c>
      <c r="C1039">
        <f>IF(Квартиры!C1037="","",Квартиры!C1037)</f>
        <v/>
      </c>
      <c r="D1039">
        <f>IF(Квартиры!D1037="","",Квартиры!D1037)</f>
        <v/>
      </c>
      <c r="E1039">
        <f>IF(Квартиры!G1037="","",Квартиры!G1037)</f>
        <v/>
      </c>
      <c r="F1039">
        <f>IF(Квартиры!E1037="","",Квартиры!E1037)</f>
        <v/>
      </c>
      <c r="G1039">
        <f>IF(Квартиры!F1037="","",Квартиры!F1037)</f>
        <v/>
      </c>
      <c r="H1039">
        <f>IF(Квартиры!H1037="","",Квартиры!H1037)</f>
        <v/>
      </c>
      <c r="I1039">
        <f>IF(Квартиры!I1037="","",Квартиры!I1037)</f>
        <v/>
      </c>
      <c r="J1039">
        <f>IF(Квартиры!J1037="","",Квартиры!J1037)</f>
        <v/>
      </c>
    </row>
    <row r="1040">
      <c r="A1040">
        <f>IF(Квартиры!A1038="","",Квартиры!A1038)</f>
        <v/>
      </c>
      <c r="B1040">
        <f>IF(Квартиры!B1038="","",Квартиры!B1038)</f>
        <v/>
      </c>
      <c r="C1040">
        <f>IF(Квартиры!C1038="","",Квартиры!C1038)</f>
        <v/>
      </c>
      <c r="D1040">
        <f>IF(Квартиры!D1038="","",Квартиры!D1038)</f>
        <v/>
      </c>
      <c r="E1040">
        <f>IF(Квартиры!G1038="","",Квартиры!G1038)</f>
        <v/>
      </c>
      <c r="F1040">
        <f>IF(Квартиры!E1038="","",Квартиры!E1038)</f>
        <v/>
      </c>
      <c r="G1040">
        <f>IF(Квартиры!F1038="","",Квартиры!F1038)</f>
        <v/>
      </c>
      <c r="H1040">
        <f>IF(Квартиры!H1038="","",Квартиры!H1038)</f>
        <v/>
      </c>
      <c r="I1040">
        <f>IF(Квартиры!I1038="","",Квартиры!I1038)</f>
        <v/>
      </c>
      <c r="J1040">
        <f>IF(Квартиры!J1038="","",Квартиры!J1038)</f>
        <v/>
      </c>
    </row>
    <row r="1041">
      <c r="A1041">
        <f>IF(Квартиры!A1039="","",Квартиры!A1039)</f>
        <v/>
      </c>
      <c r="B1041">
        <f>IF(Квартиры!B1039="","",Квартиры!B1039)</f>
        <v/>
      </c>
      <c r="C1041">
        <f>IF(Квартиры!C1039="","",Квартиры!C1039)</f>
        <v/>
      </c>
      <c r="D1041">
        <f>IF(Квартиры!D1039="","",Квартиры!D1039)</f>
        <v/>
      </c>
      <c r="E1041">
        <f>IF(Квартиры!G1039="","",Квартиры!G1039)</f>
        <v/>
      </c>
      <c r="F1041">
        <f>IF(Квартиры!E1039="","",Квартиры!E1039)</f>
        <v/>
      </c>
      <c r="G1041">
        <f>IF(Квартиры!F1039="","",Квартиры!F1039)</f>
        <v/>
      </c>
      <c r="H1041">
        <f>IF(Квартиры!H1039="","",Квартиры!H1039)</f>
        <v/>
      </c>
      <c r="I1041">
        <f>IF(Квартиры!I1039="","",Квартиры!I1039)</f>
        <v/>
      </c>
      <c r="J1041">
        <f>IF(Квартиры!J1039="","",Квартиры!J1039)</f>
        <v/>
      </c>
    </row>
    <row r="1042">
      <c r="A1042">
        <f>IF(Квартиры!A1040="","",Квартиры!A1040)</f>
        <v/>
      </c>
      <c r="B1042">
        <f>IF(Квартиры!B1040="","",Квартиры!B1040)</f>
        <v/>
      </c>
      <c r="C1042">
        <f>IF(Квартиры!C1040="","",Квартиры!C1040)</f>
        <v/>
      </c>
      <c r="D1042">
        <f>IF(Квартиры!D1040="","",Квартиры!D1040)</f>
        <v/>
      </c>
      <c r="E1042">
        <f>IF(Квартиры!G1040="","",Квартиры!G1040)</f>
        <v/>
      </c>
      <c r="F1042">
        <f>IF(Квартиры!E1040="","",Квартиры!E1040)</f>
        <v/>
      </c>
      <c r="G1042">
        <f>IF(Квартиры!F1040="","",Квартиры!F1040)</f>
        <v/>
      </c>
      <c r="H1042">
        <f>IF(Квартиры!H1040="","",Квартиры!H1040)</f>
        <v/>
      </c>
      <c r="I1042">
        <f>IF(Квартиры!I1040="","",Квартиры!I1040)</f>
        <v/>
      </c>
      <c r="J1042">
        <f>IF(Квартиры!J1040="","",Квартиры!J1040)</f>
        <v/>
      </c>
    </row>
    <row r="1043">
      <c r="A1043">
        <f>IF(Квартиры!A1041="","",Квартиры!A1041)</f>
        <v/>
      </c>
      <c r="B1043">
        <f>IF(Квартиры!B1041="","",Квартиры!B1041)</f>
        <v/>
      </c>
      <c r="C1043">
        <f>IF(Квартиры!C1041="","",Квартиры!C1041)</f>
        <v/>
      </c>
      <c r="D1043">
        <f>IF(Квартиры!D1041="","",Квартиры!D1041)</f>
        <v/>
      </c>
      <c r="E1043">
        <f>IF(Квартиры!G1041="","",Квартиры!G1041)</f>
        <v/>
      </c>
      <c r="F1043">
        <f>IF(Квартиры!E1041="","",Квартиры!E1041)</f>
        <v/>
      </c>
      <c r="G1043">
        <f>IF(Квартиры!F1041="","",Квартиры!F1041)</f>
        <v/>
      </c>
      <c r="H1043">
        <f>IF(Квартиры!H1041="","",Квартиры!H1041)</f>
        <v/>
      </c>
      <c r="I1043">
        <f>IF(Квартиры!I1041="","",Квартиры!I1041)</f>
        <v/>
      </c>
      <c r="J1043">
        <f>IF(Квартиры!J1041="","",Квартиры!J1041)</f>
        <v/>
      </c>
    </row>
    <row r="1044">
      <c r="A1044">
        <f>IF(Квартиры!A1042="","",Квартиры!A1042)</f>
        <v/>
      </c>
      <c r="B1044">
        <f>IF(Квартиры!B1042="","",Квартиры!B1042)</f>
        <v/>
      </c>
      <c r="C1044">
        <f>IF(Квартиры!C1042="","",Квартиры!C1042)</f>
        <v/>
      </c>
      <c r="D1044">
        <f>IF(Квартиры!D1042="","",Квартиры!D1042)</f>
        <v/>
      </c>
      <c r="E1044">
        <f>IF(Квартиры!G1042="","",Квартиры!G1042)</f>
        <v/>
      </c>
      <c r="F1044">
        <f>IF(Квартиры!E1042="","",Квартиры!E1042)</f>
        <v/>
      </c>
      <c r="G1044">
        <f>IF(Квартиры!F1042="","",Квартиры!F1042)</f>
        <v/>
      </c>
      <c r="H1044">
        <f>IF(Квартиры!H1042="","",Квартиры!H1042)</f>
        <v/>
      </c>
      <c r="I1044">
        <f>IF(Квартиры!I1042="","",Квартиры!I1042)</f>
        <v/>
      </c>
      <c r="J1044">
        <f>IF(Квартиры!J1042="","",Квартиры!J1042)</f>
        <v/>
      </c>
    </row>
    <row r="1045">
      <c r="A1045">
        <f>IF(Квартиры!A1043="","",Квартиры!A1043)</f>
        <v/>
      </c>
      <c r="B1045">
        <f>IF(Квартиры!B1043="","",Квартиры!B1043)</f>
        <v/>
      </c>
      <c r="C1045">
        <f>IF(Квартиры!C1043="","",Квартиры!C1043)</f>
        <v/>
      </c>
      <c r="D1045">
        <f>IF(Квартиры!D1043="","",Квартиры!D1043)</f>
        <v/>
      </c>
      <c r="E1045">
        <f>IF(Квартиры!G1043="","",Квартиры!G1043)</f>
        <v/>
      </c>
      <c r="F1045">
        <f>IF(Квартиры!E1043="","",Квартиры!E1043)</f>
        <v/>
      </c>
      <c r="G1045">
        <f>IF(Квартиры!F1043="","",Квартиры!F1043)</f>
        <v/>
      </c>
      <c r="H1045">
        <f>IF(Квартиры!H1043="","",Квартиры!H1043)</f>
        <v/>
      </c>
      <c r="I1045">
        <f>IF(Квартиры!I1043="","",Квартиры!I1043)</f>
        <v/>
      </c>
      <c r="J1045">
        <f>IF(Квартиры!J1043="","",Квартиры!J1043)</f>
        <v/>
      </c>
    </row>
    <row r="1046">
      <c r="A1046">
        <f>IF(Квартиры!A1044="","",Квартиры!A1044)</f>
        <v/>
      </c>
      <c r="B1046">
        <f>IF(Квартиры!B1044="","",Квартиры!B1044)</f>
        <v/>
      </c>
      <c r="C1046">
        <f>IF(Квартиры!C1044="","",Квартиры!C1044)</f>
        <v/>
      </c>
      <c r="D1046">
        <f>IF(Квартиры!D1044="","",Квартиры!D1044)</f>
        <v/>
      </c>
      <c r="E1046">
        <f>IF(Квартиры!G1044="","",Квартиры!G1044)</f>
        <v/>
      </c>
      <c r="F1046">
        <f>IF(Квартиры!E1044="","",Квартиры!E1044)</f>
        <v/>
      </c>
      <c r="G1046">
        <f>IF(Квартиры!F1044="","",Квартиры!F1044)</f>
        <v/>
      </c>
      <c r="H1046">
        <f>IF(Квартиры!H1044="","",Квартиры!H1044)</f>
        <v/>
      </c>
      <c r="I1046">
        <f>IF(Квартиры!I1044="","",Квартиры!I1044)</f>
        <v/>
      </c>
      <c r="J1046">
        <f>IF(Квартиры!J1044="","",Квартиры!J1044)</f>
        <v/>
      </c>
    </row>
    <row r="1047">
      <c r="A1047">
        <f>IF(Квартиры!A1045="","",Квартиры!A1045)</f>
        <v/>
      </c>
      <c r="B1047">
        <f>IF(Квартиры!B1045="","",Квартиры!B1045)</f>
        <v/>
      </c>
      <c r="C1047">
        <f>IF(Квартиры!C1045="","",Квартиры!C1045)</f>
        <v/>
      </c>
      <c r="D1047">
        <f>IF(Квартиры!D1045="","",Квартиры!D1045)</f>
        <v/>
      </c>
      <c r="E1047">
        <f>IF(Квартиры!G1045="","",Квартиры!G1045)</f>
        <v/>
      </c>
      <c r="F1047">
        <f>IF(Квартиры!E1045="","",Квартиры!E1045)</f>
        <v/>
      </c>
      <c r="G1047">
        <f>IF(Квартиры!F1045="","",Квартиры!F1045)</f>
        <v/>
      </c>
      <c r="H1047">
        <f>IF(Квартиры!H1045="","",Квартиры!H1045)</f>
        <v/>
      </c>
      <c r="I1047">
        <f>IF(Квартиры!I1045="","",Квартиры!I1045)</f>
        <v/>
      </c>
      <c r="J1047">
        <f>IF(Квартиры!J1045="","",Квартиры!J1045)</f>
        <v/>
      </c>
    </row>
    <row r="1048">
      <c r="A1048">
        <f>IF(Квартиры!A1046="","",Квартиры!A1046)</f>
        <v/>
      </c>
      <c r="B1048">
        <f>IF(Квартиры!B1046="","",Квартиры!B1046)</f>
        <v/>
      </c>
      <c r="C1048">
        <f>IF(Квартиры!C1046="","",Квартиры!C1046)</f>
        <v/>
      </c>
      <c r="D1048">
        <f>IF(Квартиры!D1046="","",Квартиры!D1046)</f>
        <v/>
      </c>
      <c r="E1048">
        <f>IF(Квартиры!G1046="","",Квартиры!G1046)</f>
        <v/>
      </c>
      <c r="F1048">
        <f>IF(Квартиры!E1046="","",Квартиры!E1046)</f>
        <v/>
      </c>
      <c r="G1048">
        <f>IF(Квартиры!F1046="","",Квартиры!F1046)</f>
        <v/>
      </c>
      <c r="H1048">
        <f>IF(Квартиры!H1046="","",Квартиры!H1046)</f>
        <v/>
      </c>
      <c r="I1048">
        <f>IF(Квартиры!I1046="","",Квартиры!I1046)</f>
        <v/>
      </c>
      <c r="J1048">
        <f>IF(Квартиры!J1046="","",Квартиры!J1046)</f>
        <v/>
      </c>
    </row>
    <row r="1049">
      <c r="A1049">
        <f>IF(Квартиры!A1047="","",Квартиры!A1047)</f>
        <v/>
      </c>
      <c r="B1049">
        <f>IF(Квартиры!B1047="","",Квартиры!B1047)</f>
        <v/>
      </c>
      <c r="C1049">
        <f>IF(Квартиры!C1047="","",Квартиры!C1047)</f>
        <v/>
      </c>
      <c r="D1049">
        <f>IF(Квартиры!D1047="","",Квартиры!D1047)</f>
        <v/>
      </c>
      <c r="E1049">
        <f>IF(Квартиры!G1047="","",Квартиры!G1047)</f>
        <v/>
      </c>
      <c r="F1049">
        <f>IF(Квартиры!E1047="","",Квартиры!E1047)</f>
        <v/>
      </c>
      <c r="G1049">
        <f>IF(Квартиры!F1047="","",Квартиры!F1047)</f>
        <v/>
      </c>
      <c r="H1049">
        <f>IF(Квартиры!H1047="","",Квартиры!H1047)</f>
        <v/>
      </c>
      <c r="I1049">
        <f>IF(Квартиры!I1047="","",Квартиры!I1047)</f>
        <v/>
      </c>
      <c r="J1049">
        <f>IF(Квартиры!J1047="","",Квартиры!J1047)</f>
        <v/>
      </c>
    </row>
    <row r="1050">
      <c r="A1050">
        <f>IF(Квартиры!A1048="","",Квартиры!A1048)</f>
        <v/>
      </c>
      <c r="B1050">
        <f>IF(Квартиры!B1048="","",Квартиры!B1048)</f>
        <v/>
      </c>
      <c r="C1050">
        <f>IF(Квартиры!C1048="","",Квартиры!C1048)</f>
        <v/>
      </c>
      <c r="D1050">
        <f>IF(Квартиры!D1048="","",Квартиры!D1048)</f>
        <v/>
      </c>
      <c r="E1050">
        <f>IF(Квартиры!G1048="","",Квартиры!G1048)</f>
        <v/>
      </c>
      <c r="F1050">
        <f>IF(Квартиры!E1048="","",Квартиры!E1048)</f>
        <v/>
      </c>
      <c r="G1050">
        <f>IF(Квартиры!F1048="","",Квартиры!F1048)</f>
        <v/>
      </c>
      <c r="H1050">
        <f>IF(Квартиры!H1048="","",Квартиры!H1048)</f>
        <v/>
      </c>
      <c r="I1050">
        <f>IF(Квартиры!I1048="","",Квартиры!I1048)</f>
        <v/>
      </c>
      <c r="J1050">
        <f>IF(Квартиры!J1048="","",Квартиры!J1048)</f>
        <v/>
      </c>
    </row>
    <row r="1051">
      <c r="A1051">
        <f>IF(Квартиры!A1049="","",Квартиры!A1049)</f>
        <v/>
      </c>
      <c r="B1051">
        <f>IF(Квартиры!B1049="","",Квартиры!B1049)</f>
        <v/>
      </c>
      <c r="C1051">
        <f>IF(Квартиры!C1049="","",Квартиры!C1049)</f>
        <v/>
      </c>
      <c r="D1051">
        <f>IF(Квартиры!D1049="","",Квартиры!D1049)</f>
        <v/>
      </c>
      <c r="E1051">
        <f>IF(Квартиры!G1049="","",Квартиры!G1049)</f>
        <v/>
      </c>
      <c r="F1051">
        <f>IF(Квартиры!E1049="","",Квартиры!E1049)</f>
        <v/>
      </c>
      <c r="G1051">
        <f>IF(Квартиры!F1049="","",Квартиры!F1049)</f>
        <v/>
      </c>
      <c r="H1051">
        <f>IF(Квартиры!H1049="","",Квартиры!H1049)</f>
        <v/>
      </c>
      <c r="I1051">
        <f>IF(Квартиры!I1049="","",Квартиры!I1049)</f>
        <v/>
      </c>
      <c r="J1051">
        <f>IF(Квартиры!J1049="","",Квартиры!J1049)</f>
        <v/>
      </c>
    </row>
    <row r="1052">
      <c r="A1052">
        <f>IF(Квартиры!A1050="","",Квартиры!A1050)</f>
        <v/>
      </c>
      <c r="B1052">
        <f>IF(Квартиры!B1050="","",Квартиры!B1050)</f>
        <v/>
      </c>
      <c r="C1052">
        <f>IF(Квартиры!C1050="","",Квартиры!C1050)</f>
        <v/>
      </c>
      <c r="D1052">
        <f>IF(Квартиры!D1050="","",Квартиры!D1050)</f>
        <v/>
      </c>
      <c r="E1052">
        <f>IF(Квартиры!G1050="","",Квартиры!G1050)</f>
        <v/>
      </c>
      <c r="F1052">
        <f>IF(Квартиры!E1050="","",Квартиры!E1050)</f>
        <v/>
      </c>
      <c r="G1052">
        <f>IF(Квартиры!F1050="","",Квартиры!F1050)</f>
        <v/>
      </c>
      <c r="H1052">
        <f>IF(Квартиры!H1050="","",Квартиры!H1050)</f>
        <v/>
      </c>
      <c r="I1052">
        <f>IF(Квартиры!I1050="","",Квартиры!I1050)</f>
        <v/>
      </c>
      <c r="J1052">
        <f>IF(Квартиры!J1050="","",Квартиры!J1050)</f>
        <v/>
      </c>
    </row>
    <row r="1053">
      <c r="A1053">
        <f>IF(Квартиры!A1051="","",Квартиры!A1051)</f>
        <v/>
      </c>
      <c r="B1053">
        <f>IF(Квартиры!B1051="","",Квартиры!B1051)</f>
        <v/>
      </c>
      <c r="C1053">
        <f>IF(Квартиры!C1051="","",Квартиры!C1051)</f>
        <v/>
      </c>
      <c r="D1053">
        <f>IF(Квартиры!D1051="","",Квартиры!D1051)</f>
        <v/>
      </c>
      <c r="E1053">
        <f>IF(Квартиры!G1051="","",Квартиры!G1051)</f>
        <v/>
      </c>
      <c r="F1053">
        <f>IF(Квартиры!E1051="","",Квартиры!E1051)</f>
        <v/>
      </c>
      <c r="G1053">
        <f>IF(Квартиры!F1051="","",Квартиры!F1051)</f>
        <v/>
      </c>
      <c r="H1053">
        <f>IF(Квартиры!H1051="","",Квартиры!H1051)</f>
        <v/>
      </c>
      <c r="I1053">
        <f>IF(Квартиры!I1051="","",Квартиры!I1051)</f>
        <v/>
      </c>
      <c r="J1053">
        <f>IF(Квартиры!J1051="","",Квартиры!J1051)</f>
        <v/>
      </c>
    </row>
    <row r="1054">
      <c r="A1054">
        <f>IF(Квартиры!A1052="","",Квартиры!A1052)</f>
        <v/>
      </c>
      <c r="B1054">
        <f>IF(Квартиры!B1052="","",Квартиры!B1052)</f>
        <v/>
      </c>
      <c r="C1054">
        <f>IF(Квартиры!C1052="","",Квартиры!C1052)</f>
        <v/>
      </c>
      <c r="D1054">
        <f>IF(Квартиры!D1052="","",Квартиры!D1052)</f>
        <v/>
      </c>
      <c r="E1054">
        <f>IF(Квартиры!G1052="","",Квартиры!G1052)</f>
        <v/>
      </c>
      <c r="F1054">
        <f>IF(Квартиры!E1052="","",Квартиры!E1052)</f>
        <v/>
      </c>
      <c r="G1054">
        <f>IF(Квартиры!F1052="","",Квартиры!F1052)</f>
        <v/>
      </c>
      <c r="H1054">
        <f>IF(Квартиры!H1052="","",Квартиры!H1052)</f>
        <v/>
      </c>
      <c r="I1054">
        <f>IF(Квартиры!I1052="","",Квартиры!I1052)</f>
        <v/>
      </c>
      <c r="J1054">
        <f>IF(Квартиры!J1052="","",Квартиры!J1052)</f>
        <v/>
      </c>
    </row>
    <row r="1055">
      <c r="A1055">
        <f>IF(Квартиры!A1053="","",Квартиры!A1053)</f>
        <v/>
      </c>
      <c r="B1055">
        <f>IF(Квартиры!B1053="","",Квартиры!B1053)</f>
        <v/>
      </c>
      <c r="C1055">
        <f>IF(Квартиры!C1053="","",Квартиры!C1053)</f>
        <v/>
      </c>
      <c r="D1055">
        <f>IF(Квартиры!D1053="","",Квартиры!D1053)</f>
        <v/>
      </c>
      <c r="E1055">
        <f>IF(Квартиры!G1053="","",Квартиры!G1053)</f>
        <v/>
      </c>
      <c r="F1055">
        <f>IF(Квартиры!E1053="","",Квартиры!E1053)</f>
        <v/>
      </c>
      <c r="G1055">
        <f>IF(Квартиры!F1053="","",Квартиры!F1053)</f>
        <v/>
      </c>
      <c r="H1055">
        <f>IF(Квартиры!H1053="","",Квартиры!H1053)</f>
        <v/>
      </c>
      <c r="I1055">
        <f>IF(Квартиры!I1053="","",Квартиры!I1053)</f>
        <v/>
      </c>
      <c r="J1055">
        <f>IF(Квартиры!J1053="","",Квартиры!J1053)</f>
        <v/>
      </c>
    </row>
    <row r="1056">
      <c r="A1056">
        <f>IF(Квартиры!A1054="","",Квартиры!A1054)</f>
        <v/>
      </c>
      <c r="B1056">
        <f>IF(Квартиры!B1054="","",Квартиры!B1054)</f>
        <v/>
      </c>
      <c r="C1056">
        <f>IF(Квартиры!C1054="","",Квартиры!C1054)</f>
        <v/>
      </c>
      <c r="D1056">
        <f>IF(Квартиры!D1054="","",Квартиры!D1054)</f>
        <v/>
      </c>
      <c r="E1056">
        <f>IF(Квартиры!G1054="","",Квартиры!G1054)</f>
        <v/>
      </c>
      <c r="F1056">
        <f>IF(Квартиры!E1054="","",Квартиры!E1054)</f>
        <v/>
      </c>
      <c r="G1056">
        <f>IF(Квартиры!F1054="","",Квартиры!F1054)</f>
        <v/>
      </c>
      <c r="H1056">
        <f>IF(Квартиры!H1054="","",Квартиры!H1054)</f>
        <v/>
      </c>
      <c r="I1056">
        <f>IF(Квартиры!I1054="","",Квартиры!I1054)</f>
        <v/>
      </c>
      <c r="J1056">
        <f>IF(Квартиры!J1054="","",Квартиры!J1054)</f>
        <v/>
      </c>
    </row>
    <row r="1057">
      <c r="A1057">
        <f>IF(Квартиры!A1055="","",Квартиры!A1055)</f>
        <v/>
      </c>
      <c r="B1057">
        <f>IF(Квартиры!B1055="","",Квартиры!B1055)</f>
        <v/>
      </c>
      <c r="C1057">
        <f>IF(Квартиры!C1055="","",Квартиры!C1055)</f>
        <v/>
      </c>
      <c r="D1057">
        <f>IF(Квартиры!D1055="","",Квартиры!D1055)</f>
        <v/>
      </c>
      <c r="E1057">
        <f>IF(Квартиры!G1055="","",Квартиры!G1055)</f>
        <v/>
      </c>
      <c r="F1057">
        <f>IF(Квартиры!E1055="","",Квартиры!E1055)</f>
        <v/>
      </c>
      <c r="G1057">
        <f>IF(Квартиры!F1055="","",Квартиры!F1055)</f>
        <v/>
      </c>
      <c r="H1057">
        <f>IF(Квартиры!H1055="","",Квартиры!H1055)</f>
        <v/>
      </c>
      <c r="I1057">
        <f>IF(Квартиры!I1055="","",Квартиры!I1055)</f>
        <v/>
      </c>
      <c r="J1057">
        <f>IF(Квартиры!J1055="","",Квартиры!J1055)</f>
        <v/>
      </c>
    </row>
    <row r="1058">
      <c r="A1058">
        <f>IF(Квартиры!A1056="","",Квартиры!A1056)</f>
        <v/>
      </c>
      <c r="B1058">
        <f>IF(Квартиры!B1056="","",Квартиры!B1056)</f>
        <v/>
      </c>
      <c r="C1058">
        <f>IF(Квартиры!C1056="","",Квартиры!C1056)</f>
        <v/>
      </c>
      <c r="D1058">
        <f>IF(Квартиры!D1056="","",Квартиры!D1056)</f>
        <v/>
      </c>
      <c r="E1058">
        <f>IF(Квартиры!G1056="","",Квартиры!G1056)</f>
        <v/>
      </c>
      <c r="F1058">
        <f>IF(Квартиры!E1056="","",Квартиры!E1056)</f>
        <v/>
      </c>
      <c r="G1058">
        <f>IF(Квартиры!F1056="","",Квартиры!F1056)</f>
        <v/>
      </c>
      <c r="H1058">
        <f>IF(Квартиры!H1056="","",Квартиры!H1056)</f>
        <v/>
      </c>
      <c r="I1058">
        <f>IF(Квартиры!I1056="","",Квартиры!I1056)</f>
        <v/>
      </c>
      <c r="J1058">
        <f>IF(Квартиры!J1056="","",Квартиры!J1056)</f>
        <v/>
      </c>
    </row>
    <row r="1059">
      <c r="A1059">
        <f>IF(Квартиры!A1057="","",Квартиры!A1057)</f>
        <v/>
      </c>
      <c r="B1059">
        <f>IF(Квартиры!B1057="","",Квартиры!B1057)</f>
        <v/>
      </c>
      <c r="C1059">
        <f>IF(Квартиры!C1057="","",Квартиры!C1057)</f>
        <v/>
      </c>
      <c r="D1059">
        <f>IF(Квартиры!D1057="","",Квартиры!D1057)</f>
        <v/>
      </c>
      <c r="E1059">
        <f>IF(Квартиры!G1057="","",Квартиры!G1057)</f>
        <v/>
      </c>
      <c r="F1059">
        <f>IF(Квартиры!E1057="","",Квартиры!E1057)</f>
        <v/>
      </c>
      <c r="G1059">
        <f>IF(Квартиры!F1057="","",Квартиры!F1057)</f>
        <v/>
      </c>
      <c r="H1059">
        <f>IF(Квартиры!H1057="","",Квартиры!H1057)</f>
        <v/>
      </c>
      <c r="I1059">
        <f>IF(Квартиры!I1057="","",Квартиры!I1057)</f>
        <v/>
      </c>
      <c r="J1059">
        <f>IF(Квартиры!J1057="","",Квартиры!J1057)</f>
        <v/>
      </c>
    </row>
    <row r="1060">
      <c r="A1060">
        <f>IF(Квартиры!A1058="","",Квартиры!A1058)</f>
        <v/>
      </c>
      <c r="B1060">
        <f>IF(Квартиры!B1058="","",Квартиры!B1058)</f>
        <v/>
      </c>
      <c r="C1060">
        <f>IF(Квартиры!C1058="","",Квартиры!C1058)</f>
        <v/>
      </c>
      <c r="D1060">
        <f>IF(Квартиры!D1058="","",Квартиры!D1058)</f>
        <v/>
      </c>
      <c r="E1060">
        <f>IF(Квартиры!G1058="","",Квартиры!G1058)</f>
        <v/>
      </c>
      <c r="F1060">
        <f>IF(Квартиры!E1058="","",Квартиры!E1058)</f>
        <v/>
      </c>
      <c r="G1060">
        <f>IF(Квартиры!F1058="","",Квартиры!F1058)</f>
        <v/>
      </c>
      <c r="H1060">
        <f>IF(Квартиры!H1058="","",Квартиры!H1058)</f>
        <v/>
      </c>
      <c r="I1060">
        <f>IF(Квартиры!I1058="","",Квартиры!I1058)</f>
        <v/>
      </c>
      <c r="J1060">
        <f>IF(Квартиры!J1058="","",Квартиры!J1058)</f>
        <v/>
      </c>
    </row>
    <row r="1061">
      <c r="A1061">
        <f>IF(Квартиры!A1059="","",Квартиры!A1059)</f>
        <v/>
      </c>
      <c r="B1061">
        <f>IF(Квартиры!B1059="","",Квартиры!B1059)</f>
        <v/>
      </c>
      <c r="C1061">
        <f>IF(Квартиры!C1059="","",Квартиры!C1059)</f>
        <v/>
      </c>
      <c r="D1061">
        <f>IF(Квартиры!D1059="","",Квартиры!D1059)</f>
        <v/>
      </c>
      <c r="E1061">
        <f>IF(Квартиры!G1059="","",Квартиры!G1059)</f>
        <v/>
      </c>
      <c r="F1061">
        <f>IF(Квартиры!E1059="","",Квартиры!E1059)</f>
        <v/>
      </c>
      <c r="G1061">
        <f>IF(Квартиры!F1059="","",Квартиры!F1059)</f>
        <v/>
      </c>
      <c r="H1061">
        <f>IF(Квартиры!H1059="","",Квартиры!H1059)</f>
        <v/>
      </c>
      <c r="I1061">
        <f>IF(Квартиры!I1059="","",Квартиры!I1059)</f>
        <v/>
      </c>
      <c r="J1061">
        <f>IF(Квартиры!J1059="","",Квартиры!J1059)</f>
        <v/>
      </c>
    </row>
    <row r="1062">
      <c r="A1062">
        <f>IF(Квартиры!A1060="","",Квартиры!A1060)</f>
        <v/>
      </c>
      <c r="B1062">
        <f>IF(Квартиры!B1060="","",Квартиры!B1060)</f>
        <v/>
      </c>
      <c r="C1062">
        <f>IF(Квартиры!C1060="","",Квартиры!C1060)</f>
        <v/>
      </c>
      <c r="D1062">
        <f>IF(Квартиры!D1060="","",Квартиры!D1060)</f>
        <v/>
      </c>
      <c r="E1062">
        <f>IF(Квартиры!G1060="","",Квартиры!G1060)</f>
        <v/>
      </c>
      <c r="F1062">
        <f>IF(Квартиры!E1060="","",Квартиры!E1060)</f>
        <v/>
      </c>
      <c r="G1062">
        <f>IF(Квартиры!F1060="","",Квартиры!F1060)</f>
        <v/>
      </c>
      <c r="H1062">
        <f>IF(Квартиры!H1060="","",Квартиры!H1060)</f>
        <v/>
      </c>
      <c r="I1062">
        <f>IF(Квартиры!I1060="","",Квартиры!I1060)</f>
        <v/>
      </c>
      <c r="J1062">
        <f>IF(Квартиры!J1060="","",Квартиры!J1060)</f>
        <v/>
      </c>
    </row>
    <row r="1063">
      <c r="A1063">
        <f>IF(Квартиры!A1061="","",Квартиры!A1061)</f>
        <v/>
      </c>
      <c r="B1063">
        <f>IF(Квартиры!B1061="","",Квартиры!B1061)</f>
        <v/>
      </c>
      <c r="C1063">
        <f>IF(Квартиры!C1061="","",Квартиры!C1061)</f>
        <v/>
      </c>
      <c r="D1063">
        <f>IF(Квартиры!D1061="","",Квартиры!D1061)</f>
        <v/>
      </c>
      <c r="E1063">
        <f>IF(Квартиры!G1061="","",Квартиры!G1061)</f>
        <v/>
      </c>
      <c r="F1063">
        <f>IF(Квартиры!E1061="","",Квартиры!E1061)</f>
        <v/>
      </c>
      <c r="G1063">
        <f>IF(Квартиры!F1061="","",Квартиры!F1061)</f>
        <v/>
      </c>
      <c r="H1063">
        <f>IF(Квартиры!H1061="","",Квартиры!H1061)</f>
        <v/>
      </c>
      <c r="I1063">
        <f>IF(Квартиры!I1061="","",Квартиры!I1061)</f>
        <v/>
      </c>
      <c r="J1063">
        <f>IF(Квартиры!J1061="","",Квартиры!J1061)</f>
        <v/>
      </c>
    </row>
    <row r="1064">
      <c r="A1064">
        <f>IF(Квартиры!A1062="","",Квартиры!A1062)</f>
        <v/>
      </c>
      <c r="B1064">
        <f>IF(Квартиры!B1062="","",Квартиры!B1062)</f>
        <v/>
      </c>
      <c r="C1064">
        <f>IF(Квартиры!C1062="","",Квартиры!C1062)</f>
        <v/>
      </c>
      <c r="D1064">
        <f>IF(Квартиры!D1062="","",Квартиры!D1062)</f>
        <v/>
      </c>
      <c r="E1064">
        <f>IF(Квартиры!G1062="","",Квартиры!G1062)</f>
        <v/>
      </c>
      <c r="F1064">
        <f>IF(Квартиры!E1062="","",Квартиры!E1062)</f>
        <v/>
      </c>
      <c r="G1064">
        <f>IF(Квартиры!F1062="","",Квартиры!F1062)</f>
        <v/>
      </c>
      <c r="H1064">
        <f>IF(Квартиры!H1062="","",Квартиры!H1062)</f>
        <v/>
      </c>
      <c r="I1064">
        <f>IF(Квартиры!I1062="","",Квартиры!I1062)</f>
        <v/>
      </c>
      <c r="J1064">
        <f>IF(Квартиры!J1062="","",Квартиры!J1062)</f>
        <v/>
      </c>
    </row>
    <row r="1065">
      <c r="A1065">
        <f>IF(Квартиры!A1063="","",Квартиры!A1063)</f>
        <v/>
      </c>
      <c r="B1065">
        <f>IF(Квартиры!B1063="","",Квартиры!B1063)</f>
        <v/>
      </c>
      <c r="C1065">
        <f>IF(Квартиры!C1063="","",Квартиры!C1063)</f>
        <v/>
      </c>
      <c r="D1065">
        <f>IF(Квартиры!D1063="","",Квартиры!D1063)</f>
        <v/>
      </c>
      <c r="E1065">
        <f>IF(Квартиры!G1063="","",Квартиры!G1063)</f>
        <v/>
      </c>
      <c r="F1065">
        <f>IF(Квартиры!E1063="","",Квартиры!E1063)</f>
        <v/>
      </c>
      <c r="G1065">
        <f>IF(Квартиры!F1063="","",Квартиры!F1063)</f>
        <v/>
      </c>
      <c r="H1065">
        <f>IF(Квартиры!H1063="","",Квартиры!H1063)</f>
        <v/>
      </c>
      <c r="I1065">
        <f>IF(Квартиры!I1063="","",Квартиры!I1063)</f>
        <v/>
      </c>
      <c r="J1065">
        <f>IF(Квартиры!J1063="","",Квартиры!J1063)</f>
        <v/>
      </c>
    </row>
    <row r="1066">
      <c r="A1066">
        <f>IF(Квартиры!A1064="","",Квартиры!A1064)</f>
        <v/>
      </c>
      <c r="B1066">
        <f>IF(Квартиры!B1064="","",Квартиры!B1064)</f>
        <v/>
      </c>
      <c r="C1066">
        <f>IF(Квартиры!C1064="","",Квартиры!C1064)</f>
        <v/>
      </c>
      <c r="D1066">
        <f>IF(Квартиры!D1064="","",Квартиры!D1064)</f>
        <v/>
      </c>
      <c r="E1066">
        <f>IF(Квартиры!G1064="","",Квартиры!G1064)</f>
        <v/>
      </c>
      <c r="F1066">
        <f>IF(Квартиры!E1064="","",Квартиры!E1064)</f>
        <v/>
      </c>
      <c r="G1066">
        <f>IF(Квартиры!F1064="","",Квартиры!F1064)</f>
        <v/>
      </c>
      <c r="H1066">
        <f>IF(Квартиры!H1064="","",Квартиры!H1064)</f>
        <v/>
      </c>
      <c r="I1066">
        <f>IF(Квартиры!I1064="","",Квартиры!I1064)</f>
        <v/>
      </c>
      <c r="J1066">
        <f>IF(Квартиры!J1064="","",Квартиры!J1064)</f>
        <v/>
      </c>
    </row>
    <row r="1067">
      <c r="A1067">
        <f>IF(Квартиры!A1065="","",Квартиры!A1065)</f>
        <v/>
      </c>
      <c r="B1067">
        <f>IF(Квартиры!B1065="","",Квартиры!B1065)</f>
        <v/>
      </c>
      <c r="C1067">
        <f>IF(Квартиры!C1065="","",Квартиры!C1065)</f>
        <v/>
      </c>
      <c r="D1067">
        <f>IF(Квартиры!D1065="","",Квартиры!D1065)</f>
        <v/>
      </c>
      <c r="E1067">
        <f>IF(Квартиры!G1065="","",Квартиры!G1065)</f>
        <v/>
      </c>
      <c r="F1067">
        <f>IF(Квартиры!E1065="","",Квартиры!E1065)</f>
        <v/>
      </c>
      <c r="G1067">
        <f>IF(Квартиры!F1065="","",Квартиры!F1065)</f>
        <v/>
      </c>
      <c r="H1067">
        <f>IF(Квартиры!H1065="","",Квартиры!H1065)</f>
        <v/>
      </c>
      <c r="I1067">
        <f>IF(Квартиры!I1065="","",Квартиры!I1065)</f>
        <v/>
      </c>
      <c r="J1067">
        <f>IF(Квартиры!J1065="","",Квартиры!J1065)</f>
        <v/>
      </c>
    </row>
    <row r="1068">
      <c r="A1068">
        <f>IF(Квартиры!A1066="","",Квартиры!A1066)</f>
        <v/>
      </c>
      <c r="B1068">
        <f>IF(Квартиры!B1066="","",Квартиры!B1066)</f>
        <v/>
      </c>
      <c r="C1068">
        <f>IF(Квартиры!C1066="","",Квартиры!C1066)</f>
        <v/>
      </c>
      <c r="D1068">
        <f>IF(Квартиры!D1066="","",Квартиры!D1066)</f>
        <v/>
      </c>
      <c r="E1068">
        <f>IF(Квартиры!G1066="","",Квартиры!G1066)</f>
        <v/>
      </c>
      <c r="F1068">
        <f>IF(Квартиры!E1066="","",Квартиры!E1066)</f>
        <v/>
      </c>
      <c r="G1068">
        <f>IF(Квартиры!F1066="","",Квартиры!F1066)</f>
        <v/>
      </c>
      <c r="H1068">
        <f>IF(Квартиры!H1066="","",Квартиры!H1066)</f>
        <v/>
      </c>
      <c r="I1068">
        <f>IF(Квартиры!I1066="","",Квартиры!I1066)</f>
        <v/>
      </c>
      <c r="J1068">
        <f>IF(Квартиры!J1066="","",Квартиры!J1066)</f>
        <v/>
      </c>
    </row>
    <row r="1069">
      <c r="A1069">
        <f>IF(Квартиры!A1067="","",Квартиры!A1067)</f>
        <v/>
      </c>
      <c r="B1069">
        <f>IF(Квартиры!B1067="","",Квартиры!B1067)</f>
        <v/>
      </c>
      <c r="C1069">
        <f>IF(Квартиры!C1067="","",Квартиры!C1067)</f>
        <v/>
      </c>
      <c r="D1069">
        <f>IF(Квартиры!D1067="","",Квартиры!D1067)</f>
        <v/>
      </c>
      <c r="E1069">
        <f>IF(Квартиры!G1067="","",Квартиры!G1067)</f>
        <v/>
      </c>
      <c r="F1069">
        <f>IF(Квартиры!E1067="","",Квартиры!E1067)</f>
        <v/>
      </c>
      <c r="G1069">
        <f>IF(Квартиры!F1067="","",Квартиры!F1067)</f>
        <v/>
      </c>
      <c r="H1069">
        <f>IF(Квартиры!H1067="","",Квартиры!H1067)</f>
        <v/>
      </c>
      <c r="I1069">
        <f>IF(Квартиры!I1067="","",Квартиры!I1067)</f>
        <v/>
      </c>
      <c r="J1069">
        <f>IF(Квартиры!J1067="","",Квартиры!J1067)</f>
        <v/>
      </c>
    </row>
    <row r="1070">
      <c r="A1070">
        <f>IF(Квартиры!A1068="","",Квартиры!A1068)</f>
        <v/>
      </c>
      <c r="B1070">
        <f>IF(Квартиры!B1068="","",Квартиры!B1068)</f>
        <v/>
      </c>
      <c r="C1070">
        <f>IF(Квартиры!C1068="","",Квартиры!C1068)</f>
        <v/>
      </c>
      <c r="D1070">
        <f>IF(Квартиры!D1068="","",Квартиры!D1068)</f>
        <v/>
      </c>
      <c r="E1070">
        <f>IF(Квартиры!G1068="","",Квартиры!G1068)</f>
        <v/>
      </c>
      <c r="F1070">
        <f>IF(Квартиры!E1068="","",Квартиры!E1068)</f>
        <v/>
      </c>
      <c r="G1070">
        <f>IF(Квартиры!F1068="","",Квартиры!F1068)</f>
        <v/>
      </c>
      <c r="H1070">
        <f>IF(Квартиры!H1068="","",Квартиры!H1068)</f>
        <v/>
      </c>
      <c r="I1070">
        <f>IF(Квартиры!I1068="","",Квартиры!I1068)</f>
        <v/>
      </c>
      <c r="J1070">
        <f>IF(Квартиры!J1068="","",Квартиры!J1068)</f>
        <v/>
      </c>
    </row>
    <row r="1071">
      <c r="A1071">
        <f>IF(Квартиры!A1069="","",Квартиры!A1069)</f>
        <v/>
      </c>
      <c r="B1071">
        <f>IF(Квартиры!B1069="","",Квартиры!B1069)</f>
        <v/>
      </c>
      <c r="C1071">
        <f>IF(Квартиры!C1069="","",Квартиры!C1069)</f>
        <v/>
      </c>
      <c r="D1071">
        <f>IF(Квартиры!D1069="","",Квартиры!D1069)</f>
        <v/>
      </c>
      <c r="E1071">
        <f>IF(Квартиры!G1069="","",Квартиры!G1069)</f>
        <v/>
      </c>
      <c r="F1071">
        <f>IF(Квартиры!E1069="","",Квартиры!E1069)</f>
        <v/>
      </c>
      <c r="G1071">
        <f>IF(Квартиры!F1069="","",Квартиры!F1069)</f>
        <v/>
      </c>
      <c r="H1071">
        <f>IF(Квартиры!H1069="","",Квартиры!H1069)</f>
        <v/>
      </c>
      <c r="I1071">
        <f>IF(Квартиры!I1069="","",Квартиры!I1069)</f>
        <v/>
      </c>
      <c r="J1071">
        <f>IF(Квартиры!J1069="","",Квартиры!J1069)</f>
        <v/>
      </c>
    </row>
    <row r="1072">
      <c r="A1072">
        <f>IF(Квартиры!A1070="","",Квартиры!A1070)</f>
        <v/>
      </c>
      <c r="B1072">
        <f>IF(Квартиры!B1070="","",Квартиры!B1070)</f>
        <v/>
      </c>
      <c r="C1072">
        <f>IF(Квартиры!C1070="","",Квартиры!C1070)</f>
        <v/>
      </c>
      <c r="D1072">
        <f>IF(Квартиры!D1070="","",Квартиры!D1070)</f>
        <v/>
      </c>
      <c r="E1072">
        <f>IF(Квартиры!G1070="","",Квартиры!G1070)</f>
        <v/>
      </c>
      <c r="F1072">
        <f>IF(Квартиры!E1070="","",Квартиры!E1070)</f>
        <v/>
      </c>
      <c r="G1072">
        <f>IF(Квартиры!F1070="","",Квартиры!F1070)</f>
        <v/>
      </c>
      <c r="H1072">
        <f>IF(Квартиры!H1070="","",Квартиры!H1070)</f>
        <v/>
      </c>
      <c r="I1072">
        <f>IF(Квартиры!I1070="","",Квартиры!I1070)</f>
        <v/>
      </c>
      <c r="J1072">
        <f>IF(Квартиры!J1070="","",Квартиры!J1070)</f>
        <v/>
      </c>
    </row>
    <row r="1073">
      <c r="A1073">
        <f>IF(Квартиры!A1071="","",Квартиры!A1071)</f>
        <v/>
      </c>
      <c r="B1073">
        <f>IF(Квартиры!B1071="","",Квартиры!B1071)</f>
        <v/>
      </c>
      <c r="C1073">
        <f>IF(Квартиры!C1071="","",Квартиры!C1071)</f>
        <v/>
      </c>
      <c r="D1073">
        <f>IF(Квартиры!D1071="","",Квартиры!D1071)</f>
        <v/>
      </c>
      <c r="E1073">
        <f>IF(Квартиры!G1071="","",Квартиры!G1071)</f>
        <v/>
      </c>
      <c r="F1073">
        <f>IF(Квартиры!E1071="","",Квартиры!E1071)</f>
        <v/>
      </c>
      <c r="G1073">
        <f>IF(Квартиры!F1071="","",Квартиры!F1071)</f>
        <v/>
      </c>
      <c r="H1073">
        <f>IF(Квартиры!H1071="","",Квартиры!H1071)</f>
        <v/>
      </c>
      <c r="I1073">
        <f>IF(Квартиры!I1071="","",Квартиры!I1071)</f>
        <v/>
      </c>
      <c r="J1073">
        <f>IF(Квартиры!J1071="","",Квартиры!J1071)</f>
        <v/>
      </c>
    </row>
    <row r="1074">
      <c r="A1074">
        <f>IF(Квартиры!A1072="","",Квартиры!A1072)</f>
        <v/>
      </c>
      <c r="B1074">
        <f>IF(Квартиры!B1072="","",Квартиры!B1072)</f>
        <v/>
      </c>
      <c r="C1074">
        <f>IF(Квартиры!C1072="","",Квартиры!C1072)</f>
        <v/>
      </c>
      <c r="D1074">
        <f>IF(Квартиры!D1072="","",Квартиры!D1072)</f>
        <v/>
      </c>
      <c r="E1074">
        <f>IF(Квартиры!G1072="","",Квартиры!G1072)</f>
        <v/>
      </c>
      <c r="F1074">
        <f>IF(Квартиры!E1072="","",Квартиры!E1072)</f>
        <v/>
      </c>
      <c r="G1074">
        <f>IF(Квартиры!F1072="","",Квартиры!F1072)</f>
        <v/>
      </c>
      <c r="H1074">
        <f>IF(Квартиры!H1072="","",Квартиры!H1072)</f>
        <v/>
      </c>
      <c r="I1074">
        <f>IF(Квартиры!I1072="","",Квартиры!I1072)</f>
        <v/>
      </c>
      <c r="J1074">
        <f>IF(Квартиры!J1072="","",Квартиры!J1072)</f>
        <v/>
      </c>
    </row>
    <row r="1075">
      <c r="A1075">
        <f>IF(Квартиры!A1073="","",Квартиры!A1073)</f>
        <v/>
      </c>
      <c r="B1075">
        <f>IF(Квартиры!B1073="","",Квартиры!B1073)</f>
        <v/>
      </c>
      <c r="C1075">
        <f>IF(Квартиры!C1073="","",Квартиры!C1073)</f>
        <v/>
      </c>
      <c r="D1075">
        <f>IF(Квартиры!D1073="","",Квартиры!D1073)</f>
        <v/>
      </c>
      <c r="E1075">
        <f>IF(Квартиры!G1073="","",Квартиры!G1073)</f>
        <v/>
      </c>
      <c r="F1075">
        <f>IF(Квартиры!E1073="","",Квартиры!E1073)</f>
        <v/>
      </c>
      <c r="G1075">
        <f>IF(Квартиры!F1073="","",Квартиры!F1073)</f>
        <v/>
      </c>
      <c r="H1075">
        <f>IF(Квартиры!H1073="","",Квартиры!H1073)</f>
        <v/>
      </c>
      <c r="I1075">
        <f>IF(Квартиры!I1073="","",Квартиры!I1073)</f>
        <v/>
      </c>
      <c r="J1075">
        <f>IF(Квартиры!J1073="","",Квартиры!J1073)</f>
        <v/>
      </c>
    </row>
    <row r="1076">
      <c r="A1076">
        <f>IF(Квартиры!A1074="","",Квартиры!A1074)</f>
        <v/>
      </c>
      <c r="B1076">
        <f>IF(Квартиры!B1074="","",Квартиры!B1074)</f>
        <v/>
      </c>
      <c r="C1076">
        <f>IF(Квартиры!C1074="","",Квартиры!C1074)</f>
        <v/>
      </c>
      <c r="D1076">
        <f>IF(Квартиры!D1074="","",Квартиры!D1074)</f>
        <v/>
      </c>
      <c r="E1076">
        <f>IF(Квартиры!G1074="","",Квартиры!G1074)</f>
        <v/>
      </c>
      <c r="F1076">
        <f>IF(Квартиры!E1074="","",Квартиры!E1074)</f>
        <v/>
      </c>
      <c r="G1076">
        <f>IF(Квартиры!F1074="","",Квартиры!F1074)</f>
        <v/>
      </c>
      <c r="H1076">
        <f>IF(Квартиры!H1074="","",Квартиры!H1074)</f>
        <v/>
      </c>
      <c r="I1076">
        <f>IF(Квартиры!I1074="","",Квартиры!I1074)</f>
        <v/>
      </c>
      <c r="J1076">
        <f>IF(Квартиры!J1074="","",Квартиры!J1074)</f>
        <v/>
      </c>
    </row>
    <row r="1077">
      <c r="A1077">
        <f>IF(Квартиры!A1075="","",Квартиры!A1075)</f>
        <v/>
      </c>
      <c r="B1077">
        <f>IF(Квартиры!B1075="","",Квартиры!B1075)</f>
        <v/>
      </c>
      <c r="C1077">
        <f>IF(Квартиры!C1075="","",Квартиры!C1075)</f>
        <v/>
      </c>
      <c r="D1077">
        <f>IF(Квартиры!D1075="","",Квартиры!D1075)</f>
        <v/>
      </c>
      <c r="E1077">
        <f>IF(Квартиры!G1075="","",Квартиры!G1075)</f>
        <v/>
      </c>
      <c r="F1077">
        <f>IF(Квартиры!E1075="","",Квартиры!E1075)</f>
        <v/>
      </c>
      <c r="G1077">
        <f>IF(Квартиры!F1075="","",Квартиры!F1075)</f>
        <v/>
      </c>
      <c r="H1077">
        <f>IF(Квартиры!H1075="","",Квартиры!H1075)</f>
        <v/>
      </c>
      <c r="I1077">
        <f>IF(Квартиры!I1075="","",Квартиры!I1075)</f>
        <v/>
      </c>
      <c r="J1077">
        <f>IF(Квартиры!J1075="","",Квартиры!J1075)</f>
        <v/>
      </c>
    </row>
    <row r="1078">
      <c r="A1078">
        <f>IF(Квартиры!A1076="","",Квартиры!A1076)</f>
        <v/>
      </c>
      <c r="B1078">
        <f>IF(Квартиры!B1076="","",Квартиры!B1076)</f>
        <v/>
      </c>
      <c r="C1078">
        <f>IF(Квартиры!C1076="","",Квартиры!C1076)</f>
        <v/>
      </c>
      <c r="D1078">
        <f>IF(Квартиры!D1076="","",Квартиры!D1076)</f>
        <v/>
      </c>
      <c r="E1078">
        <f>IF(Квартиры!G1076="","",Квартиры!G1076)</f>
        <v/>
      </c>
      <c r="F1078">
        <f>IF(Квартиры!E1076="","",Квартиры!E1076)</f>
        <v/>
      </c>
      <c r="G1078">
        <f>IF(Квартиры!F1076="","",Квартиры!F1076)</f>
        <v/>
      </c>
      <c r="H1078">
        <f>IF(Квартиры!H1076="","",Квартиры!H1076)</f>
        <v/>
      </c>
      <c r="I1078">
        <f>IF(Квартиры!I1076="","",Квартиры!I1076)</f>
        <v/>
      </c>
      <c r="J1078">
        <f>IF(Квартиры!J1076="","",Квартиры!J1076)</f>
        <v/>
      </c>
    </row>
    <row r="1079">
      <c r="A1079">
        <f>IF(Квартиры!A1077="","",Квартиры!A1077)</f>
        <v/>
      </c>
      <c r="B1079">
        <f>IF(Квартиры!B1077="","",Квартиры!B1077)</f>
        <v/>
      </c>
      <c r="C1079">
        <f>IF(Квартиры!C1077="","",Квартиры!C1077)</f>
        <v/>
      </c>
      <c r="D1079">
        <f>IF(Квартиры!D1077="","",Квартиры!D1077)</f>
        <v/>
      </c>
      <c r="E1079">
        <f>IF(Квартиры!G1077="","",Квартиры!G1077)</f>
        <v/>
      </c>
      <c r="F1079">
        <f>IF(Квартиры!E1077="","",Квартиры!E1077)</f>
        <v/>
      </c>
      <c r="G1079">
        <f>IF(Квартиры!F1077="","",Квартиры!F1077)</f>
        <v/>
      </c>
      <c r="H1079">
        <f>IF(Квартиры!H1077="","",Квартиры!H1077)</f>
        <v/>
      </c>
      <c r="I1079">
        <f>IF(Квартиры!I1077="","",Квартиры!I1077)</f>
        <v/>
      </c>
      <c r="J1079">
        <f>IF(Квартиры!J1077="","",Квартиры!J1077)</f>
        <v/>
      </c>
    </row>
    <row r="1080">
      <c r="A1080">
        <f>IF(Квартиры!A1078="","",Квартиры!A1078)</f>
        <v/>
      </c>
      <c r="B1080">
        <f>IF(Квартиры!B1078="","",Квартиры!B1078)</f>
        <v/>
      </c>
      <c r="C1080">
        <f>IF(Квартиры!C1078="","",Квартиры!C1078)</f>
        <v/>
      </c>
      <c r="D1080">
        <f>IF(Квартиры!D1078="","",Квартиры!D1078)</f>
        <v/>
      </c>
      <c r="E1080">
        <f>IF(Квартиры!G1078="","",Квартиры!G1078)</f>
        <v/>
      </c>
      <c r="F1080">
        <f>IF(Квартиры!E1078="","",Квартиры!E1078)</f>
        <v/>
      </c>
      <c r="G1080">
        <f>IF(Квартиры!F1078="","",Квартиры!F1078)</f>
        <v/>
      </c>
      <c r="H1080">
        <f>IF(Квартиры!H1078="","",Квартиры!H1078)</f>
        <v/>
      </c>
      <c r="I1080">
        <f>IF(Квартиры!I1078="","",Квартиры!I1078)</f>
        <v/>
      </c>
      <c r="J1080">
        <f>IF(Квартиры!J1078="","",Квартиры!J1078)</f>
        <v/>
      </c>
    </row>
    <row r="1081">
      <c r="A1081">
        <f>IF(Квартиры!A1079="","",Квартиры!A1079)</f>
        <v/>
      </c>
      <c r="B1081">
        <f>IF(Квартиры!B1079="","",Квартиры!B1079)</f>
        <v/>
      </c>
      <c r="C1081">
        <f>IF(Квартиры!C1079="","",Квартиры!C1079)</f>
        <v/>
      </c>
      <c r="D1081">
        <f>IF(Квартиры!D1079="","",Квартиры!D1079)</f>
        <v/>
      </c>
      <c r="E1081">
        <f>IF(Квартиры!G1079="","",Квартиры!G1079)</f>
        <v/>
      </c>
      <c r="F1081">
        <f>IF(Квартиры!E1079="","",Квартиры!E1079)</f>
        <v/>
      </c>
      <c r="G1081">
        <f>IF(Квартиры!F1079="","",Квартиры!F1079)</f>
        <v/>
      </c>
      <c r="H1081">
        <f>IF(Квартиры!H1079="","",Квартиры!H1079)</f>
        <v/>
      </c>
      <c r="I1081">
        <f>IF(Квартиры!I1079="","",Квартиры!I1079)</f>
        <v/>
      </c>
      <c r="J1081">
        <f>IF(Квартиры!J1079="","",Квартиры!J1079)</f>
        <v/>
      </c>
    </row>
    <row r="1082">
      <c r="A1082">
        <f>IF(Квартиры!A1080="","",Квартиры!A1080)</f>
        <v/>
      </c>
      <c r="B1082">
        <f>IF(Квартиры!B1080="","",Квартиры!B1080)</f>
        <v/>
      </c>
      <c r="C1082">
        <f>IF(Квартиры!C1080="","",Квартиры!C1080)</f>
        <v/>
      </c>
      <c r="D1082">
        <f>IF(Квартиры!D1080="","",Квартиры!D1080)</f>
        <v/>
      </c>
      <c r="E1082">
        <f>IF(Квартиры!G1080="","",Квартиры!G1080)</f>
        <v/>
      </c>
      <c r="F1082">
        <f>IF(Квартиры!E1080="","",Квартиры!E1080)</f>
        <v/>
      </c>
      <c r="G1082">
        <f>IF(Квартиры!F1080="","",Квартиры!F1080)</f>
        <v/>
      </c>
      <c r="H1082">
        <f>IF(Квартиры!H1080="","",Квартиры!H1080)</f>
        <v/>
      </c>
      <c r="I1082">
        <f>IF(Квартиры!I1080="","",Квартиры!I1080)</f>
        <v/>
      </c>
      <c r="J1082">
        <f>IF(Квартиры!J1080="","",Квартиры!J1080)</f>
        <v/>
      </c>
    </row>
    <row r="1083">
      <c r="A1083">
        <f>IF(Квартиры!A1081="","",Квартиры!A1081)</f>
        <v/>
      </c>
      <c r="B1083">
        <f>IF(Квартиры!B1081="","",Квартиры!B1081)</f>
        <v/>
      </c>
      <c r="C1083">
        <f>IF(Квартиры!C1081="","",Квартиры!C1081)</f>
        <v/>
      </c>
      <c r="D1083">
        <f>IF(Квартиры!D1081="","",Квартиры!D1081)</f>
        <v/>
      </c>
      <c r="E1083">
        <f>IF(Квартиры!G1081="","",Квартиры!G1081)</f>
        <v/>
      </c>
      <c r="F1083">
        <f>IF(Квартиры!E1081="","",Квартиры!E1081)</f>
        <v/>
      </c>
      <c r="G1083">
        <f>IF(Квартиры!F1081="","",Квартиры!F1081)</f>
        <v/>
      </c>
      <c r="H1083">
        <f>IF(Квартиры!H1081="","",Квартиры!H1081)</f>
        <v/>
      </c>
      <c r="I1083">
        <f>IF(Квартиры!I1081="","",Квартиры!I1081)</f>
        <v/>
      </c>
      <c r="J1083">
        <f>IF(Квартиры!J1081="","",Квартиры!J1081)</f>
        <v/>
      </c>
    </row>
    <row r="1084">
      <c r="A1084">
        <f>IF(Квартиры!A1082="","",Квартиры!A1082)</f>
        <v/>
      </c>
      <c r="B1084">
        <f>IF(Квартиры!B1082="","",Квартиры!B1082)</f>
        <v/>
      </c>
      <c r="C1084">
        <f>IF(Квартиры!C1082="","",Квартиры!C1082)</f>
        <v/>
      </c>
      <c r="D1084">
        <f>IF(Квартиры!D1082="","",Квартиры!D1082)</f>
        <v/>
      </c>
      <c r="E1084">
        <f>IF(Квартиры!G1082="","",Квартиры!G1082)</f>
        <v/>
      </c>
      <c r="F1084">
        <f>IF(Квартиры!E1082="","",Квартиры!E1082)</f>
        <v/>
      </c>
      <c r="G1084">
        <f>IF(Квартиры!F1082="","",Квартиры!F1082)</f>
        <v/>
      </c>
      <c r="H1084">
        <f>IF(Квартиры!H1082="","",Квартиры!H1082)</f>
        <v/>
      </c>
      <c r="I1084">
        <f>IF(Квартиры!I1082="","",Квартиры!I1082)</f>
        <v/>
      </c>
      <c r="J1084">
        <f>IF(Квартиры!J1082="","",Квартиры!J1082)</f>
        <v/>
      </c>
    </row>
    <row r="1085">
      <c r="A1085">
        <f>IF(Квартиры!A1083="","",Квартиры!A1083)</f>
        <v/>
      </c>
      <c r="B1085">
        <f>IF(Квартиры!B1083="","",Квартиры!B1083)</f>
        <v/>
      </c>
      <c r="C1085">
        <f>IF(Квартиры!C1083="","",Квартиры!C1083)</f>
        <v/>
      </c>
      <c r="D1085">
        <f>IF(Квартиры!D1083="","",Квартиры!D1083)</f>
        <v/>
      </c>
      <c r="E1085">
        <f>IF(Квартиры!G1083="","",Квартиры!G1083)</f>
        <v/>
      </c>
      <c r="F1085">
        <f>IF(Квартиры!E1083="","",Квартиры!E1083)</f>
        <v/>
      </c>
      <c r="G1085">
        <f>IF(Квартиры!F1083="","",Квартиры!F1083)</f>
        <v/>
      </c>
      <c r="H1085">
        <f>IF(Квартиры!H1083="","",Квартиры!H1083)</f>
        <v/>
      </c>
      <c r="I1085">
        <f>IF(Квартиры!I1083="","",Квартиры!I1083)</f>
        <v/>
      </c>
      <c r="J1085">
        <f>IF(Квартиры!J1083="","",Квартиры!J1083)</f>
        <v/>
      </c>
    </row>
    <row r="1086">
      <c r="A1086">
        <f>IF(Квартиры!A1084="","",Квартиры!A1084)</f>
        <v/>
      </c>
      <c r="B1086">
        <f>IF(Квартиры!B1084="","",Квартиры!B1084)</f>
        <v/>
      </c>
      <c r="C1086">
        <f>IF(Квартиры!C1084="","",Квартиры!C1084)</f>
        <v/>
      </c>
      <c r="D1086">
        <f>IF(Квартиры!D1084="","",Квартиры!D1084)</f>
        <v/>
      </c>
      <c r="E1086">
        <f>IF(Квартиры!G1084="","",Квартиры!G1084)</f>
        <v/>
      </c>
      <c r="F1086">
        <f>IF(Квартиры!E1084="","",Квартиры!E1084)</f>
        <v/>
      </c>
      <c r="G1086">
        <f>IF(Квартиры!F1084="","",Квартиры!F1084)</f>
        <v/>
      </c>
      <c r="H1086">
        <f>IF(Квартиры!H1084="","",Квартиры!H1084)</f>
        <v/>
      </c>
      <c r="I1086">
        <f>IF(Квартиры!I1084="","",Квартиры!I1084)</f>
        <v/>
      </c>
      <c r="J1086">
        <f>IF(Квартиры!J1084="","",Квартиры!J1084)</f>
        <v/>
      </c>
    </row>
    <row r="1087">
      <c r="A1087">
        <f>IF(Квартиры!A1085="","",Квартиры!A1085)</f>
        <v/>
      </c>
      <c r="B1087">
        <f>IF(Квартиры!B1085="","",Квартиры!B1085)</f>
        <v/>
      </c>
      <c r="C1087">
        <f>IF(Квартиры!C1085="","",Квартиры!C1085)</f>
        <v/>
      </c>
      <c r="D1087">
        <f>IF(Квартиры!D1085="","",Квартиры!D1085)</f>
        <v/>
      </c>
      <c r="E1087">
        <f>IF(Квартиры!G1085="","",Квартиры!G1085)</f>
        <v/>
      </c>
      <c r="F1087">
        <f>IF(Квартиры!E1085="","",Квартиры!E1085)</f>
        <v/>
      </c>
      <c r="G1087">
        <f>IF(Квартиры!F1085="","",Квартиры!F1085)</f>
        <v/>
      </c>
      <c r="H1087">
        <f>IF(Квартиры!H1085="","",Квартиры!H1085)</f>
        <v/>
      </c>
      <c r="I1087">
        <f>IF(Квартиры!I1085="","",Квартиры!I1085)</f>
        <v/>
      </c>
      <c r="J1087">
        <f>IF(Квартиры!J1085="","",Квартиры!J1085)</f>
        <v/>
      </c>
    </row>
    <row r="1088">
      <c r="A1088">
        <f>IF(Квартиры!A1086="","",Квартиры!A1086)</f>
        <v/>
      </c>
      <c r="B1088">
        <f>IF(Квартиры!B1086="","",Квартиры!B1086)</f>
        <v/>
      </c>
      <c r="C1088">
        <f>IF(Квартиры!C1086="","",Квартиры!C1086)</f>
        <v/>
      </c>
      <c r="D1088">
        <f>IF(Квартиры!D1086="","",Квартиры!D1086)</f>
        <v/>
      </c>
      <c r="E1088">
        <f>IF(Квартиры!G1086="","",Квартиры!G1086)</f>
        <v/>
      </c>
      <c r="F1088">
        <f>IF(Квартиры!E1086="","",Квартиры!E1086)</f>
        <v/>
      </c>
      <c r="G1088">
        <f>IF(Квартиры!F1086="","",Квартиры!F1086)</f>
        <v/>
      </c>
      <c r="H1088">
        <f>IF(Квартиры!H1086="","",Квартиры!H1086)</f>
        <v/>
      </c>
      <c r="I1088">
        <f>IF(Квартиры!I1086="","",Квартиры!I1086)</f>
        <v/>
      </c>
      <c r="J1088">
        <f>IF(Квартиры!J1086="","",Квартиры!J1086)</f>
        <v/>
      </c>
    </row>
    <row r="1089">
      <c r="A1089">
        <f>IF(Квартиры!A1087="","",Квартиры!A1087)</f>
        <v/>
      </c>
      <c r="B1089">
        <f>IF(Квартиры!B1087="","",Квартиры!B1087)</f>
        <v/>
      </c>
      <c r="C1089">
        <f>IF(Квартиры!C1087="","",Квартиры!C1087)</f>
        <v/>
      </c>
      <c r="D1089">
        <f>IF(Квартиры!D1087="","",Квартиры!D1087)</f>
        <v/>
      </c>
      <c r="E1089">
        <f>IF(Квартиры!G1087="","",Квартиры!G1087)</f>
        <v/>
      </c>
      <c r="F1089">
        <f>IF(Квартиры!E1087="","",Квартиры!E1087)</f>
        <v/>
      </c>
      <c r="G1089">
        <f>IF(Квартиры!F1087="","",Квартиры!F1087)</f>
        <v/>
      </c>
      <c r="H1089">
        <f>IF(Квартиры!H1087="","",Квартиры!H1087)</f>
        <v/>
      </c>
      <c r="I1089">
        <f>IF(Квартиры!I1087="","",Квартиры!I1087)</f>
        <v/>
      </c>
      <c r="J1089">
        <f>IF(Квартиры!J1087="","",Квартиры!J1087)</f>
        <v/>
      </c>
    </row>
    <row r="1090">
      <c r="A1090">
        <f>IF(Квартиры!A1088="","",Квартиры!A1088)</f>
        <v/>
      </c>
      <c r="B1090">
        <f>IF(Квартиры!B1088="","",Квартиры!B1088)</f>
        <v/>
      </c>
      <c r="C1090">
        <f>IF(Квартиры!C1088="","",Квартиры!C1088)</f>
        <v/>
      </c>
      <c r="D1090">
        <f>IF(Квартиры!D1088="","",Квартиры!D1088)</f>
        <v/>
      </c>
      <c r="E1090">
        <f>IF(Квартиры!G1088="","",Квартиры!G1088)</f>
        <v/>
      </c>
      <c r="F1090">
        <f>IF(Квартиры!E1088="","",Квартиры!E1088)</f>
        <v/>
      </c>
      <c r="G1090">
        <f>IF(Квартиры!F1088="","",Квартиры!F1088)</f>
        <v/>
      </c>
      <c r="H1090">
        <f>IF(Квартиры!H1088="","",Квартиры!H1088)</f>
        <v/>
      </c>
      <c r="I1090">
        <f>IF(Квартиры!I1088="","",Квартиры!I1088)</f>
        <v/>
      </c>
      <c r="J1090">
        <f>IF(Квартиры!J1088="","",Квартиры!J1088)</f>
        <v/>
      </c>
    </row>
    <row r="1091">
      <c r="A1091">
        <f>IF(Квартиры!A1089="","",Квартиры!A1089)</f>
        <v/>
      </c>
      <c r="B1091">
        <f>IF(Квартиры!B1089="","",Квартиры!B1089)</f>
        <v/>
      </c>
      <c r="C1091">
        <f>IF(Квартиры!C1089="","",Квартиры!C1089)</f>
        <v/>
      </c>
      <c r="D1091">
        <f>IF(Квартиры!D1089="","",Квартиры!D1089)</f>
        <v/>
      </c>
      <c r="E1091">
        <f>IF(Квартиры!G1089="","",Квартиры!G1089)</f>
        <v/>
      </c>
      <c r="F1091">
        <f>IF(Квартиры!E1089="","",Квартиры!E1089)</f>
        <v/>
      </c>
      <c r="G1091">
        <f>IF(Квартиры!F1089="","",Квартиры!F1089)</f>
        <v/>
      </c>
      <c r="H1091">
        <f>IF(Квартиры!H1089="","",Квартиры!H1089)</f>
        <v/>
      </c>
      <c r="I1091">
        <f>IF(Квартиры!I1089="","",Квартиры!I1089)</f>
        <v/>
      </c>
      <c r="J1091">
        <f>IF(Квартиры!J1089="","",Квартиры!J1089)</f>
        <v/>
      </c>
    </row>
    <row r="1092">
      <c r="A1092">
        <f>IF(Квартиры!A1090="","",Квартиры!A1090)</f>
        <v/>
      </c>
      <c r="B1092">
        <f>IF(Квартиры!B1090="","",Квартиры!B1090)</f>
        <v/>
      </c>
      <c r="C1092">
        <f>IF(Квартиры!C1090="","",Квартиры!C1090)</f>
        <v/>
      </c>
      <c r="D1092">
        <f>IF(Квартиры!D1090="","",Квартиры!D1090)</f>
        <v/>
      </c>
      <c r="E1092">
        <f>IF(Квартиры!G1090="","",Квартиры!G1090)</f>
        <v/>
      </c>
      <c r="F1092">
        <f>IF(Квартиры!E1090="","",Квартиры!E1090)</f>
        <v/>
      </c>
      <c r="G1092">
        <f>IF(Квартиры!F1090="","",Квартиры!F1090)</f>
        <v/>
      </c>
      <c r="H1092">
        <f>IF(Квартиры!H1090="","",Квартиры!H1090)</f>
        <v/>
      </c>
      <c r="I1092">
        <f>IF(Квартиры!I1090="","",Квартиры!I1090)</f>
        <v/>
      </c>
      <c r="J1092">
        <f>IF(Квартиры!J1090="","",Квартиры!J1090)</f>
        <v/>
      </c>
    </row>
    <row r="1093">
      <c r="A1093">
        <f>IF(Квартиры!A1091="","",Квартиры!A1091)</f>
        <v/>
      </c>
      <c r="B1093">
        <f>IF(Квартиры!B1091="","",Квартиры!B1091)</f>
        <v/>
      </c>
      <c r="C1093">
        <f>IF(Квартиры!C1091="","",Квартиры!C1091)</f>
        <v/>
      </c>
      <c r="D1093">
        <f>IF(Квартиры!D1091="","",Квартиры!D1091)</f>
        <v/>
      </c>
      <c r="E1093">
        <f>IF(Квартиры!G1091="","",Квартиры!G1091)</f>
        <v/>
      </c>
      <c r="F1093">
        <f>IF(Квартиры!E1091="","",Квартиры!E1091)</f>
        <v/>
      </c>
      <c r="G1093">
        <f>IF(Квартиры!F1091="","",Квартиры!F1091)</f>
        <v/>
      </c>
      <c r="H1093">
        <f>IF(Квартиры!H1091="","",Квартиры!H1091)</f>
        <v/>
      </c>
      <c r="I1093">
        <f>IF(Квартиры!I1091="","",Квартиры!I1091)</f>
        <v/>
      </c>
      <c r="J1093">
        <f>IF(Квартиры!J1091="","",Квартиры!J1091)</f>
        <v/>
      </c>
    </row>
    <row r="1094">
      <c r="A1094">
        <f>IF(Квартиры!A1092="","",Квартиры!A1092)</f>
        <v/>
      </c>
      <c r="B1094">
        <f>IF(Квартиры!B1092="","",Квартиры!B1092)</f>
        <v/>
      </c>
      <c r="C1094">
        <f>IF(Квартиры!C1092="","",Квартиры!C1092)</f>
        <v/>
      </c>
      <c r="D1094">
        <f>IF(Квартиры!D1092="","",Квартиры!D1092)</f>
        <v/>
      </c>
      <c r="E1094">
        <f>IF(Квартиры!G1092="","",Квартиры!G1092)</f>
        <v/>
      </c>
      <c r="F1094">
        <f>IF(Квартиры!E1092="","",Квартиры!E1092)</f>
        <v/>
      </c>
      <c r="G1094">
        <f>IF(Квартиры!F1092="","",Квартиры!F1092)</f>
        <v/>
      </c>
      <c r="H1094">
        <f>IF(Квартиры!H1092="","",Квартиры!H1092)</f>
        <v/>
      </c>
      <c r="I1094">
        <f>IF(Квартиры!I1092="","",Квартиры!I1092)</f>
        <v/>
      </c>
      <c r="J1094">
        <f>IF(Квартиры!J1092="","",Квартиры!J1092)</f>
        <v/>
      </c>
    </row>
    <row r="1095">
      <c r="A1095">
        <f>IF(Квартиры!A1093="","",Квартиры!A1093)</f>
        <v/>
      </c>
      <c r="B1095">
        <f>IF(Квартиры!B1093="","",Квартиры!B1093)</f>
        <v/>
      </c>
      <c r="C1095">
        <f>IF(Квартиры!C1093="","",Квартиры!C1093)</f>
        <v/>
      </c>
      <c r="D1095">
        <f>IF(Квартиры!D1093="","",Квартиры!D1093)</f>
        <v/>
      </c>
      <c r="E1095">
        <f>IF(Квартиры!G1093="","",Квартиры!G1093)</f>
        <v/>
      </c>
      <c r="F1095">
        <f>IF(Квартиры!E1093="","",Квартиры!E1093)</f>
        <v/>
      </c>
      <c r="G1095">
        <f>IF(Квартиры!F1093="","",Квартиры!F1093)</f>
        <v/>
      </c>
      <c r="H1095">
        <f>IF(Квартиры!H1093="","",Квартиры!H1093)</f>
        <v/>
      </c>
      <c r="I1095">
        <f>IF(Квартиры!I1093="","",Квартиры!I1093)</f>
        <v/>
      </c>
      <c r="J1095">
        <f>IF(Квартиры!J1093="","",Квартиры!J1093)</f>
        <v/>
      </c>
    </row>
    <row r="1096">
      <c r="A1096">
        <f>IF(Квартиры!A1094="","",Квартиры!A1094)</f>
        <v/>
      </c>
      <c r="B1096">
        <f>IF(Квартиры!B1094="","",Квартиры!B1094)</f>
        <v/>
      </c>
      <c r="C1096">
        <f>IF(Квартиры!C1094="","",Квартиры!C1094)</f>
        <v/>
      </c>
      <c r="D1096">
        <f>IF(Квартиры!D1094="","",Квартиры!D1094)</f>
        <v/>
      </c>
      <c r="E1096">
        <f>IF(Квартиры!G1094="","",Квартиры!G1094)</f>
        <v/>
      </c>
      <c r="F1096">
        <f>IF(Квартиры!E1094="","",Квартиры!E1094)</f>
        <v/>
      </c>
      <c r="G1096">
        <f>IF(Квартиры!F1094="","",Квартиры!F1094)</f>
        <v/>
      </c>
      <c r="H1096">
        <f>IF(Квартиры!H1094="","",Квартиры!H1094)</f>
        <v/>
      </c>
      <c r="I1096">
        <f>IF(Квартиры!I1094="","",Квартиры!I1094)</f>
        <v/>
      </c>
      <c r="J1096">
        <f>IF(Квартиры!J1094="","",Квартиры!J1094)</f>
        <v/>
      </c>
    </row>
    <row r="1097">
      <c r="A1097">
        <f>IF(Квартиры!A1095="","",Квартиры!A1095)</f>
        <v/>
      </c>
      <c r="B1097">
        <f>IF(Квартиры!B1095="","",Квартиры!B1095)</f>
        <v/>
      </c>
      <c r="C1097">
        <f>IF(Квартиры!C1095="","",Квартиры!C1095)</f>
        <v/>
      </c>
      <c r="D1097">
        <f>IF(Квартиры!D1095="","",Квартиры!D1095)</f>
        <v/>
      </c>
      <c r="E1097">
        <f>IF(Квартиры!G1095="","",Квартиры!G1095)</f>
        <v/>
      </c>
      <c r="F1097">
        <f>IF(Квартиры!E1095="","",Квартиры!E1095)</f>
        <v/>
      </c>
      <c r="G1097">
        <f>IF(Квартиры!F1095="","",Квартиры!F1095)</f>
        <v/>
      </c>
      <c r="H1097">
        <f>IF(Квартиры!H1095="","",Квартиры!H1095)</f>
        <v/>
      </c>
      <c r="I1097">
        <f>IF(Квартиры!I1095="","",Квартиры!I1095)</f>
        <v/>
      </c>
      <c r="J1097">
        <f>IF(Квартиры!J1095="","",Квартиры!J1095)</f>
        <v/>
      </c>
    </row>
    <row r="1098">
      <c r="A1098">
        <f>IF(Квартиры!A1096="","",Квартиры!A1096)</f>
        <v/>
      </c>
      <c r="B1098">
        <f>IF(Квартиры!B1096="","",Квартиры!B1096)</f>
        <v/>
      </c>
      <c r="C1098">
        <f>IF(Квартиры!C1096="","",Квартиры!C1096)</f>
        <v/>
      </c>
      <c r="D1098">
        <f>IF(Квартиры!D1096="","",Квартиры!D1096)</f>
        <v/>
      </c>
      <c r="E1098">
        <f>IF(Квартиры!G1096="","",Квартиры!G1096)</f>
        <v/>
      </c>
      <c r="F1098">
        <f>IF(Квартиры!E1096="","",Квартиры!E1096)</f>
        <v/>
      </c>
      <c r="G1098">
        <f>IF(Квартиры!F1096="","",Квартиры!F1096)</f>
        <v/>
      </c>
      <c r="H1098">
        <f>IF(Квартиры!H1096="","",Квартиры!H1096)</f>
        <v/>
      </c>
      <c r="I1098">
        <f>IF(Квартиры!I1096="","",Квартиры!I1096)</f>
        <v/>
      </c>
      <c r="J1098">
        <f>IF(Квартиры!J1096="","",Квартиры!J1096)</f>
        <v/>
      </c>
    </row>
    <row r="1099">
      <c r="A1099">
        <f>IF(Квартиры!A1097="","",Квартиры!A1097)</f>
        <v/>
      </c>
      <c r="B1099">
        <f>IF(Квартиры!B1097="","",Квартиры!B1097)</f>
        <v/>
      </c>
      <c r="C1099">
        <f>IF(Квартиры!C1097="","",Квартиры!C1097)</f>
        <v/>
      </c>
      <c r="D1099">
        <f>IF(Квартиры!D1097="","",Квартиры!D1097)</f>
        <v/>
      </c>
      <c r="E1099">
        <f>IF(Квартиры!G1097="","",Квартиры!G1097)</f>
        <v/>
      </c>
      <c r="F1099">
        <f>IF(Квартиры!E1097="","",Квартиры!E1097)</f>
        <v/>
      </c>
      <c r="G1099">
        <f>IF(Квартиры!F1097="","",Квартиры!F1097)</f>
        <v/>
      </c>
      <c r="H1099">
        <f>IF(Квартиры!H1097="","",Квартиры!H1097)</f>
        <v/>
      </c>
      <c r="I1099">
        <f>IF(Квартиры!I1097="","",Квартиры!I1097)</f>
        <v/>
      </c>
      <c r="J1099">
        <f>IF(Квартиры!J1097="","",Квартиры!J1097)</f>
        <v/>
      </c>
    </row>
    <row r="1100">
      <c r="A1100">
        <f>IF(Квартиры!A1098="","",Квартиры!A1098)</f>
        <v/>
      </c>
      <c r="B1100">
        <f>IF(Квартиры!B1098="","",Квартиры!B1098)</f>
        <v/>
      </c>
      <c r="C1100">
        <f>IF(Квартиры!C1098="","",Квартиры!C1098)</f>
        <v/>
      </c>
      <c r="D1100">
        <f>IF(Квартиры!D1098="","",Квартиры!D1098)</f>
        <v/>
      </c>
      <c r="E1100">
        <f>IF(Квартиры!G1098="","",Квартиры!G1098)</f>
        <v/>
      </c>
      <c r="F1100">
        <f>IF(Квартиры!E1098="","",Квартиры!E1098)</f>
        <v/>
      </c>
      <c r="G1100">
        <f>IF(Квартиры!F1098="","",Квартиры!F1098)</f>
        <v/>
      </c>
      <c r="H1100">
        <f>IF(Квартиры!H1098="","",Квартиры!H1098)</f>
        <v/>
      </c>
      <c r="I1100">
        <f>IF(Квартиры!I1098="","",Квартиры!I1098)</f>
        <v/>
      </c>
      <c r="J1100">
        <f>IF(Квартиры!J1098="","",Квартиры!J1098)</f>
        <v/>
      </c>
    </row>
    <row r="1101">
      <c r="A1101">
        <f>IF(Квартиры!A1099="","",Квартиры!A1099)</f>
        <v/>
      </c>
      <c r="B1101">
        <f>IF(Квартиры!B1099="","",Квартиры!B1099)</f>
        <v/>
      </c>
      <c r="C1101">
        <f>IF(Квартиры!C1099="","",Квартиры!C1099)</f>
        <v/>
      </c>
      <c r="D1101">
        <f>IF(Квартиры!D1099="","",Квартиры!D1099)</f>
        <v/>
      </c>
      <c r="E1101">
        <f>IF(Квартиры!G1099="","",Квартиры!G1099)</f>
        <v/>
      </c>
      <c r="F1101">
        <f>IF(Квартиры!E1099="","",Квартиры!E1099)</f>
        <v/>
      </c>
      <c r="G1101">
        <f>IF(Квартиры!F1099="","",Квартиры!F1099)</f>
        <v/>
      </c>
      <c r="H1101">
        <f>IF(Квартиры!H1099="","",Квартиры!H1099)</f>
        <v/>
      </c>
      <c r="I1101">
        <f>IF(Квартиры!I1099="","",Квартиры!I1099)</f>
        <v/>
      </c>
      <c r="J1101">
        <f>IF(Квартиры!J1099="","",Квартиры!J1099)</f>
        <v/>
      </c>
    </row>
    <row r="1102">
      <c r="A1102">
        <f>IF(Квартиры!A1100="","",Квартиры!A1100)</f>
        <v/>
      </c>
      <c r="B1102">
        <f>IF(Квартиры!B1100="","",Квартиры!B1100)</f>
        <v/>
      </c>
      <c r="C1102">
        <f>IF(Квартиры!C1100="","",Квартиры!C1100)</f>
        <v/>
      </c>
      <c r="D1102">
        <f>IF(Квартиры!D1100="","",Квартиры!D1100)</f>
        <v/>
      </c>
      <c r="E1102">
        <f>IF(Квартиры!G1100="","",Квартиры!G1100)</f>
        <v/>
      </c>
      <c r="F1102">
        <f>IF(Квартиры!E1100="","",Квартиры!E1100)</f>
        <v/>
      </c>
      <c r="G1102">
        <f>IF(Квартиры!F1100="","",Квартиры!F1100)</f>
        <v/>
      </c>
      <c r="H1102">
        <f>IF(Квартиры!H1100="","",Квартиры!H1100)</f>
        <v/>
      </c>
      <c r="I1102">
        <f>IF(Квартиры!I1100="","",Квартиры!I1100)</f>
        <v/>
      </c>
      <c r="J1102">
        <f>IF(Квартиры!J1100="","",Квартиры!J1100)</f>
        <v/>
      </c>
    </row>
    <row r="1103">
      <c r="A1103">
        <f>IF(Квартиры!A1101="","",Квартиры!A1101)</f>
        <v/>
      </c>
      <c r="B1103">
        <f>IF(Квартиры!B1101="","",Квартиры!B1101)</f>
        <v/>
      </c>
      <c r="C1103">
        <f>IF(Квартиры!C1101="","",Квартиры!C1101)</f>
        <v/>
      </c>
      <c r="D1103">
        <f>IF(Квартиры!D1101="","",Квартиры!D1101)</f>
        <v/>
      </c>
      <c r="E1103">
        <f>IF(Квартиры!G1101="","",Квартиры!G1101)</f>
        <v/>
      </c>
      <c r="F1103">
        <f>IF(Квартиры!E1101="","",Квартиры!E1101)</f>
        <v/>
      </c>
      <c r="G1103">
        <f>IF(Квартиры!F1101="","",Квартиры!F1101)</f>
        <v/>
      </c>
      <c r="H1103">
        <f>IF(Квартиры!H1101="","",Квартиры!H1101)</f>
        <v/>
      </c>
      <c r="I1103">
        <f>IF(Квартиры!I1101="","",Квартиры!I1101)</f>
        <v/>
      </c>
      <c r="J1103">
        <f>IF(Квартиры!J1101="","",Квартиры!J1101)</f>
        <v/>
      </c>
    </row>
    <row r="1104">
      <c r="A1104">
        <f>IF(Квартиры!A1102="","",Квартиры!A1102)</f>
        <v/>
      </c>
      <c r="B1104">
        <f>IF(Квартиры!B1102="","",Квартиры!B1102)</f>
        <v/>
      </c>
      <c r="C1104">
        <f>IF(Квартиры!C1102="","",Квартиры!C1102)</f>
        <v/>
      </c>
      <c r="D1104">
        <f>IF(Квартиры!D1102="","",Квартиры!D1102)</f>
        <v/>
      </c>
      <c r="E1104">
        <f>IF(Квартиры!G1102="","",Квартиры!G1102)</f>
        <v/>
      </c>
      <c r="F1104">
        <f>IF(Квартиры!E1102="","",Квартиры!E1102)</f>
        <v/>
      </c>
      <c r="G1104">
        <f>IF(Квартиры!F1102="","",Квартиры!F1102)</f>
        <v/>
      </c>
      <c r="H1104">
        <f>IF(Квартиры!H1102="","",Квартиры!H1102)</f>
        <v/>
      </c>
      <c r="I1104">
        <f>IF(Квартиры!I1102="","",Квартиры!I1102)</f>
        <v/>
      </c>
      <c r="J1104">
        <f>IF(Квартиры!J1102="","",Квартиры!J1102)</f>
        <v/>
      </c>
    </row>
    <row r="1105">
      <c r="A1105">
        <f>IF(Квартиры!A1103="","",Квартиры!A1103)</f>
        <v/>
      </c>
      <c r="B1105">
        <f>IF(Квартиры!B1103="","",Квартиры!B1103)</f>
        <v/>
      </c>
      <c r="C1105">
        <f>IF(Квартиры!C1103="","",Квартиры!C1103)</f>
        <v/>
      </c>
      <c r="D1105">
        <f>IF(Квартиры!D1103="","",Квартиры!D1103)</f>
        <v/>
      </c>
      <c r="E1105">
        <f>IF(Квартиры!G1103="","",Квартиры!G1103)</f>
        <v/>
      </c>
      <c r="F1105">
        <f>IF(Квартиры!E1103="","",Квартиры!E1103)</f>
        <v/>
      </c>
      <c r="G1105">
        <f>IF(Квартиры!F1103="","",Квартиры!F1103)</f>
        <v/>
      </c>
      <c r="H1105">
        <f>IF(Квартиры!H1103="","",Квартиры!H1103)</f>
        <v/>
      </c>
      <c r="I1105">
        <f>IF(Квартиры!I1103="","",Квартиры!I1103)</f>
        <v/>
      </c>
      <c r="J1105">
        <f>IF(Квартиры!J1103="","",Квартиры!J1103)</f>
        <v/>
      </c>
    </row>
    <row r="1106">
      <c r="A1106">
        <f>IF(Квартиры!A1104="","",Квартиры!A1104)</f>
        <v/>
      </c>
      <c r="B1106">
        <f>IF(Квартиры!B1104="","",Квартиры!B1104)</f>
        <v/>
      </c>
      <c r="C1106">
        <f>IF(Квартиры!C1104="","",Квартиры!C1104)</f>
        <v/>
      </c>
      <c r="D1106">
        <f>IF(Квартиры!D1104="","",Квартиры!D1104)</f>
        <v/>
      </c>
      <c r="E1106">
        <f>IF(Квартиры!G1104="","",Квартиры!G1104)</f>
        <v/>
      </c>
      <c r="F1106">
        <f>IF(Квартиры!E1104="","",Квартиры!E1104)</f>
        <v/>
      </c>
      <c r="G1106">
        <f>IF(Квартиры!F1104="","",Квартиры!F1104)</f>
        <v/>
      </c>
      <c r="H1106">
        <f>IF(Квартиры!H1104="","",Квартиры!H1104)</f>
        <v/>
      </c>
      <c r="I1106">
        <f>IF(Квартиры!I1104="","",Квартиры!I1104)</f>
        <v/>
      </c>
      <c r="J1106">
        <f>IF(Квартиры!J1104="","",Квартиры!J1104)</f>
        <v/>
      </c>
    </row>
    <row r="1107">
      <c r="A1107">
        <f>IF(Квартиры!A1105="","",Квартиры!A1105)</f>
        <v/>
      </c>
      <c r="B1107">
        <f>IF(Квартиры!B1105="","",Квартиры!B1105)</f>
        <v/>
      </c>
      <c r="C1107">
        <f>IF(Квартиры!C1105="","",Квартиры!C1105)</f>
        <v/>
      </c>
      <c r="D1107">
        <f>IF(Квартиры!D1105="","",Квартиры!D1105)</f>
        <v/>
      </c>
      <c r="E1107">
        <f>IF(Квартиры!G1105="","",Квартиры!G1105)</f>
        <v/>
      </c>
      <c r="F1107">
        <f>IF(Квартиры!E1105="","",Квартиры!E1105)</f>
        <v/>
      </c>
      <c r="G1107">
        <f>IF(Квартиры!F1105="","",Квартиры!F1105)</f>
        <v/>
      </c>
      <c r="H1107">
        <f>IF(Квартиры!H1105="","",Квартиры!H1105)</f>
        <v/>
      </c>
      <c r="I1107">
        <f>IF(Квартиры!I1105="","",Квартиры!I1105)</f>
        <v/>
      </c>
      <c r="J1107">
        <f>IF(Квартиры!J1105="","",Квартиры!J1105)</f>
        <v/>
      </c>
    </row>
    <row r="1108">
      <c r="A1108">
        <f>IF(Квартиры!A1106="","",Квартиры!A1106)</f>
        <v/>
      </c>
      <c r="B1108">
        <f>IF(Квартиры!B1106="","",Квартиры!B1106)</f>
        <v/>
      </c>
      <c r="C1108">
        <f>IF(Квартиры!C1106="","",Квартиры!C1106)</f>
        <v/>
      </c>
      <c r="D1108">
        <f>IF(Квартиры!D1106="","",Квартиры!D1106)</f>
        <v/>
      </c>
      <c r="E1108">
        <f>IF(Квартиры!G1106="","",Квартиры!G1106)</f>
        <v/>
      </c>
      <c r="F1108">
        <f>IF(Квартиры!E1106="","",Квартиры!E1106)</f>
        <v/>
      </c>
      <c r="G1108">
        <f>IF(Квартиры!F1106="","",Квартиры!F1106)</f>
        <v/>
      </c>
      <c r="H1108">
        <f>IF(Квартиры!H1106="","",Квартиры!H1106)</f>
        <v/>
      </c>
      <c r="I1108">
        <f>IF(Квартиры!I1106="","",Квартиры!I1106)</f>
        <v/>
      </c>
      <c r="J1108">
        <f>IF(Квартиры!J1106="","",Квартиры!J1106)</f>
        <v/>
      </c>
    </row>
    <row r="1109">
      <c r="A1109">
        <f>IF(Квартиры!A1107="","",Квартиры!A1107)</f>
        <v/>
      </c>
      <c r="B1109">
        <f>IF(Квартиры!B1107="","",Квартиры!B1107)</f>
        <v/>
      </c>
      <c r="C1109">
        <f>IF(Квартиры!C1107="","",Квартиры!C1107)</f>
        <v/>
      </c>
      <c r="D1109">
        <f>IF(Квартиры!D1107="","",Квартиры!D1107)</f>
        <v/>
      </c>
      <c r="E1109">
        <f>IF(Квартиры!G1107="","",Квартиры!G1107)</f>
        <v/>
      </c>
      <c r="F1109">
        <f>IF(Квартиры!E1107="","",Квартиры!E1107)</f>
        <v/>
      </c>
      <c r="G1109">
        <f>IF(Квартиры!F1107="","",Квартиры!F1107)</f>
        <v/>
      </c>
      <c r="H1109">
        <f>IF(Квартиры!H1107="","",Квартиры!H1107)</f>
        <v/>
      </c>
      <c r="I1109">
        <f>IF(Квартиры!I1107="","",Квартиры!I1107)</f>
        <v/>
      </c>
      <c r="J1109">
        <f>IF(Квартиры!J1107="","",Квартиры!J1107)</f>
        <v/>
      </c>
    </row>
    <row r="1110">
      <c r="A1110">
        <f>IF(Квартиры!A1108="","",Квартиры!A1108)</f>
        <v/>
      </c>
      <c r="B1110">
        <f>IF(Квартиры!B1108="","",Квартиры!B1108)</f>
        <v/>
      </c>
      <c r="C1110">
        <f>IF(Квартиры!C1108="","",Квартиры!C1108)</f>
        <v/>
      </c>
      <c r="D1110">
        <f>IF(Квартиры!D1108="","",Квартиры!D1108)</f>
        <v/>
      </c>
      <c r="E1110">
        <f>IF(Квартиры!G1108="","",Квартиры!G1108)</f>
        <v/>
      </c>
      <c r="F1110">
        <f>IF(Квартиры!E1108="","",Квартиры!E1108)</f>
        <v/>
      </c>
      <c r="G1110">
        <f>IF(Квартиры!F1108="","",Квартиры!F1108)</f>
        <v/>
      </c>
      <c r="H1110">
        <f>IF(Квартиры!H1108="","",Квартиры!H1108)</f>
        <v/>
      </c>
      <c r="I1110">
        <f>IF(Квартиры!I1108="","",Квартиры!I1108)</f>
        <v/>
      </c>
      <c r="J1110">
        <f>IF(Квартиры!J1108="","",Квартиры!J1108)</f>
        <v/>
      </c>
    </row>
    <row r="1111">
      <c r="A1111">
        <f>IF(Квартиры!A1109="","",Квартиры!A1109)</f>
        <v/>
      </c>
      <c r="B1111">
        <f>IF(Квартиры!B1109="","",Квартиры!B1109)</f>
        <v/>
      </c>
      <c r="C1111">
        <f>IF(Квартиры!C1109="","",Квартиры!C1109)</f>
        <v/>
      </c>
      <c r="D1111">
        <f>IF(Квартиры!D1109="","",Квартиры!D1109)</f>
        <v/>
      </c>
      <c r="E1111">
        <f>IF(Квартиры!G1109="","",Квартиры!G1109)</f>
        <v/>
      </c>
      <c r="F1111">
        <f>IF(Квартиры!E1109="","",Квартиры!E1109)</f>
        <v/>
      </c>
      <c r="G1111">
        <f>IF(Квартиры!F1109="","",Квартиры!F1109)</f>
        <v/>
      </c>
      <c r="H1111">
        <f>IF(Квартиры!H1109="","",Квартиры!H1109)</f>
        <v/>
      </c>
      <c r="I1111">
        <f>IF(Квартиры!I1109="","",Квартиры!I1109)</f>
        <v/>
      </c>
      <c r="J1111">
        <f>IF(Квартиры!J1109="","",Квартиры!J1109)</f>
        <v/>
      </c>
    </row>
    <row r="1112">
      <c r="A1112">
        <f>IF(Квартиры!A1110="","",Квартиры!A1110)</f>
        <v/>
      </c>
      <c r="B1112">
        <f>IF(Квартиры!B1110="","",Квартиры!B1110)</f>
        <v/>
      </c>
      <c r="C1112">
        <f>IF(Квартиры!C1110="","",Квартиры!C1110)</f>
        <v/>
      </c>
      <c r="D1112">
        <f>IF(Квартиры!D1110="","",Квартиры!D1110)</f>
        <v/>
      </c>
      <c r="E1112">
        <f>IF(Квартиры!G1110="","",Квартиры!G1110)</f>
        <v/>
      </c>
      <c r="F1112">
        <f>IF(Квартиры!E1110="","",Квартиры!E1110)</f>
        <v/>
      </c>
      <c r="G1112">
        <f>IF(Квартиры!F1110="","",Квартиры!F1110)</f>
        <v/>
      </c>
      <c r="H1112">
        <f>IF(Квартиры!H1110="","",Квартиры!H1110)</f>
        <v/>
      </c>
      <c r="I1112">
        <f>IF(Квартиры!I1110="","",Квартиры!I1110)</f>
        <v/>
      </c>
      <c r="J1112">
        <f>IF(Квартиры!J1110="","",Квартиры!J1110)</f>
        <v/>
      </c>
    </row>
    <row r="1113">
      <c r="A1113">
        <f>IF(Квартиры!A1111="","",Квартиры!A1111)</f>
        <v/>
      </c>
      <c r="B1113">
        <f>IF(Квартиры!B1111="","",Квартиры!B1111)</f>
        <v/>
      </c>
      <c r="C1113">
        <f>IF(Квартиры!C1111="","",Квартиры!C1111)</f>
        <v/>
      </c>
      <c r="D1113">
        <f>IF(Квартиры!D1111="","",Квартиры!D1111)</f>
        <v/>
      </c>
      <c r="E1113">
        <f>IF(Квартиры!G1111="","",Квартиры!G1111)</f>
        <v/>
      </c>
      <c r="F1113">
        <f>IF(Квартиры!E1111="","",Квартиры!E1111)</f>
        <v/>
      </c>
      <c r="G1113">
        <f>IF(Квартиры!F1111="","",Квартиры!F1111)</f>
        <v/>
      </c>
      <c r="H1113">
        <f>IF(Квартиры!H1111="","",Квартиры!H1111)</f>
        <v/>
      </c>
      <c r="I1113">
        <f>IF(Квартиры!I1111="","",Квартиры!I1111)</f>
        <v/>
      </c>
      <c r="J1113">
        <f>IF(Квартиры!J1111="","",Квартиры!J1111)</f>
        <v/>
      </c>
    </row>
    <row r="1114">
      <c r="A1114">
        <f>IF(Квартиры!A1112="","",Квартиры!A1112)</f>
        <v/>
      </c>
      <c r="B1114">
        <f>IF(Квартиры!B1112="","",Квартиры!B1112)</f>
        <v/>
      </c>
      <c r="C1114">
        <f>IF(Квартиры!C1112="","",Квартиры!C1112)</f>
        <v/>
      </c>
      <c r="D1114">
        <f>IF(Квартиры!D1112="","",Квартиры!D1112)</f>
        <v/>
      </c>
      <c r="E1114">
        <f>IF(Квартиры!G1112="","",Квартиры!G1112)</f>
        <v/>
      </c>
      <c r="F1114">
        <f>IF(Квартиры!E1112="","",Квартиры!E1112)</f>
        <v/>
      </c>
      <c r="G1114">
        <f>IF(Квартиры!F1112="","",Квартиры!F1112)</f>
        <v/>
      </c>
      <c r="H1114">
        <f>IF(Квартиры!H1112="","",Квартиры!H1112)</f>
        <v/>
      </c>
      <c r="I1114">
        <f>IF(Квартиры!I1112="","",Квартиры!I1112)</f>
        <v/>
      </c>
      <c r="J1114">
        <f>IF(Квартиры!J1112="","",Квартиры!J1112)</f>
        <v/>
      </c>
    </row>
    <row r="1115">
      <c r="A1115">
        <f>IF(Квартиры!A1113="","",Квартиры!A1113)</f>
        <v/>
      </c>
      <c r="B1115">
        <f>IF(Квартиры!B1113="","",Квартиры!B1113)</f>
        <v/>
      </c>
      <c r="C1115">
        <f>IF(Квартиры!C1113="","",Квартиры!C1113)</f>
        <v/>
      </c>
      <c r="D1115">
        <f>IF(Квартиры!D1113="","",Квартиры!D1113)</f>
        <v/>
      </c>
      <c r="E1115">
        <f>IF(Квартиры!G1113="","",Квартиры!G1113)</f>
        <v/>
      </c>
      <c r="F1115">
        <f>IF(Квартиры!E1113="","",Квартиры!E1113)</f>
        <v/>
      </c>
      <c r="G1115">
        <f>IF(Квартиры!F1113="","",Квартиры!F1113)</f>
        <v/>
      </c>
      <c r="H1115">
        <f>IF(Квартиры!H1113="","",Квартиры!H1113)</f>
        <v/>
      </c>
      <c r="I1115">
        <f>IF(Квартиры!I1113="","",Квартиры!I1113)</f>
        <v/>
      </c>
      <c r="J1115">
        <f>IF(Квартиры!J1113="","",Квартиры!J1113)</f>
        <v/>
      </c>
    </row>
    <row r="1116">
      <c r="A1116">
        <f>IF(Квартиры!A1114="","",Квартиры!A1114)</f>
        <v/>
      </c>
      <c r="B1116">
        <f>IF(Квартиры!B1114="","",Квартиры!B1114)</f>
        <v/>
      </c>
      <c r="C1116">
        <f>IF(Квартиры!C1114="","",Квартиры!C1114)</f>
        <v/>
      </c>
      <c r="D1116">
        <f>IF(Квартиры!D1114="","",Квартиры!D1114)</f>
        <v/>
      </c>
      <c r="E1116">
        <f>IF(Квартиры!G1114="","",Квартиры!G1114)</f>
        <v/>
      </c>
      <c r="F1116">
        <f>IF(Квартиры!E1114="","",Квартиры!E1114)</f>
        <v/>
      </c>
      <c r="G1116">
        <f>IF(Квартиры!F1114="","",Квартиры!F1114)</f>
        <v/>
      </c>
      <c r="H1116">
        <f>IF(Квартиры!H1114="","",Квартиры!H1114)</f>
        <v/>
      </c>
      <c r="I1116">
        <f>IF(Квартиры!I1114="","",Квартиры!I1114)</f>
        <v/>
      </c>
      <c r="J1116">
        <f>IF(Квартиры!J1114="","",Квартиры!J1114)</f>
        <v/>
      </c>
    </row>
    <row r="1117">
      <c r="A1117">
        <f>IF(Квартиры!A1115="","",Квартиры!A1115)</f>
        <v/>
      </c>
      <c r="B1117">
        <f>IF(Квартиры!B1115="","",Квартиры!B1115)</f>
        <v/>
      </c>
      <c r="C1117">
        <f>IF(Квартиры!C1115="","",Квартиры!C1115)</f>
        <v/>
      </c>
      <c r="D1117">
        <f>IF(Квартиры!D1115="","",Квартиры!D1115)</f>
        <v/>
      </c>
      <c r="E1117">
        <f>IF(Квартиры!G1115="","",Квартиры!G1115)</f>
        <v/>
      </c>
      <c r="F1117">
        <f>IF(Квартиры!E1115="","",Квартиры!E1115)</f>
        <v/>
      </c>
      <c r="G1117">
        <f>IF(Квартиры!F1115="","",Квартиры!F1115)</f>
        <v/>
      </c>
      <c r="H1117">
        <f>IF(Квартиры!H1115="","",Квартиры!H1115)</f>
        <v/>
      </c>
      <c r="I1117">
        <f>IF(Квартиры!I1115="","",Квартиры!I1115)</f>
        <v/>
      </c>
      <c r="J1117">
        <f>IF(Квартиры!J1115="","",Квартиры!J1115)</f>
        <v/>
      </c>
    </row>
    <row r="1118">
      <c r="A1118">
        <f>IF(Квартиры!A1116="","",Квартиры!A1116)</f>
        <v/>
      </c>
      <c r="B1118">
        <f>IF(Квартиры!B1116="","",Квартиры!B1116)</f>
        <v/>
      </c>
      <c r="C1118">
        <f>IF(Квартиры!C1116="","",Квартиры!C1116)</f>
        <v/>
      </c>
      <c r="D1118">
        <f>IF(Квартиры!D1116="","",Квартиры!D1116)</f>
        <v/>
      </c>
      <c r="E1118">
        <f>IF(Квартиры!G1116="","",Квартиры!G1116)</f>
        <v/>
      </c>
      <c r="F1118">
        <f>IF(Квартиры!E1116="","",Квартиры!E1116)</f>
        <v/>
      </c>
      <c r="G1118">
        <f>IF(Квартиры!F1116="","",Квартиры!F1116)</f>
        <v/>
      </c>
      <c r="H1118">
        <f>IF(Квартиры!H1116="","",Квартиры!H1116)</f>
        <v/>
      </c>
      <c r="I1118">
        <f>IF(Квартиры!I1116="","",Квартиры!I1116)</f>
        <v/>
      </c>
      <c r="J1118">
        <f>IF(Квартиры!J1116="","",Квартиры!J1116)</f>
        <v/>
      </c>
    </row>
    <row r="1119">
      <c r="A1119">
        <f>IF(Квартиры!A1117="","",Квартиры!A1117)</f>
        <v/>
      </c>
      <c r="B1119">
        <f>IF(Квартиры!B1117="","",Квартиры!B1117)</f>
        <v/>
      </c>
      <c r="C1119">
        <f>IF(Квартиры!C1117="","",Квартиры!C1117)</f>
        <v/>
      </c>
      <c r="D1119">
        <f>IF(Квартиры!D1117="","",Квартиры!D1117)</f>
        <v/>
      </c>
      <c r="E1119">
        <f>IF(Квартиры!G1117="","",Квартиры!G1117)</f>
        <v/>
      </c>
      <c r="F1119">
        <f>IF(Квартиры!E1117="","",Квартиры!E1117)</f>
        <v/>
      </c>
      <c r="G1119">
        <f>IF(Квартиры!F1117="","",Квартиры!F1117)</f>
        <v/>
      </c>
      <c r="H1119">
        <f>IF(Квартиры!H1117="","",Квартиры!H1117)</f>
        <v/>
      </c>
      <c r="I1119">
        <f>IF(Квартиры!I1117="","",Квартиры!I1117)</f>
        <v/>
      </c>
      <c r="J1119">
        <f>IF(Квартиры!J1117="","",Квартиры!J1117)</f>
        <v/>
      </c>
    </row>
    <row r="1120">
      <c r="A1120">
        <f>IF(Квартиры!A1118="","",Квартиры!A1118)</f>
        <v/>
      </c>
      <c r="B1120">
        <f>IF(Квартиры!B1118="","",Квартиры!B1118)</f>
        <v/>
      </c>
      <c r="C1120">
        <f>IF(Квартиры!C1118="","",Квартиры!C1118)</f>
        <v/>
      </c>
      <c r="D1120">
        <f>IF(Квартиры!D1118="","",Квартиры!D1118)</f>
        <v/>
      </c>
      <c r="E1120">
        <f>IF(Квартиры!G1118="","",Квартиры!G1118)</f>
        <v/>
      </c>
      <c r="F1120">
        <f>IF(Квартиры!E1118="","",Квартиры!E1118)</f>
        <v/>
      </c>
      <c r="G1120">
        <f>IF(Квартиры!F1118="","",Квартиры!F1118)</f>
        <v/>
      </c>
      <c r="H1120">
        <f>IF(Квартиры!H1118="","",Квартиры!H1118)</f>
        <v/>
      </c>
      <c r="I1120">
        <f>IF(Квартиры!I1118="","",Квартиры!I1118)</f>
        <v/>
      </c>
      <c r="J1120">
        <f>IF(Квартиры!J1118="","",Квартиры!J1118)</f>
        <v/>
      </c>
    </row>
    <row r="1121">
      <c r="A1121">
        <f>IF(Квартиры!A1119="","",Квартиры!A1119)</f>
        <v/>
      </c>
      <c r="B1121">
        <f>IF(Квартиры!B1119="","",Квартиры!B1119)</f>
        <v/>
      </c>
      <c r="C1121">
        <f>IF(Квартиры!C1119="","",Квартиры!C1119)</f>
        <v/>
      </c>
      <c r="D1121">
        <f>IF(Квартиры!D1119="","",Квартиры!D1119)</f>
        <v/>
      </c>
      <c r="E1121">
        <f>IF(Квартиры!G1119="","",Квартиры!G1119)</f>
        <v/>
      </c>
      <c r="F1121">
        <f>IF(Квартиры!E1119="","",Квартиры!E1119)</f>
        <v/>
      </c>
      <c r="G1121">
        <f>IF(Квартиры!F1119="","",Квартиры!F1119)</f>
        <v/>
      </c>
      <c r="H1121">
        <f>IF(Квартиры!H1119="","",Квартиры!H1119)</f>
        <v/>
      </c>
      <c r="I1121">
        <f>IF(Квартиры!I1119="","",Квартиры!I1119)</f>
        <v/>
      </c>
      <c r="J1121">
        <f>IF(Квартиры!J1119="","",Квартиры!J1119)</f>
        <v/>
      </c>
    </row>
    <row r="1122">
      <c r="A1122">
        <f>IF(Квартиры!A1120="","",Квартиры!A1120)</f>
        <v/>
      </c>
      <c r="B1122">
        <f>IF(Квартиры!B1120="","",Квартиры!B1120)</f>
        <v/>
      </c>
      <c r="C1122">
        <f>IF(Квартиры!C1120="","",Квартиры!C1120)</f>
        <v/>
      </c>
      <c r="D1122">
        <f>IF(Квартиры!D1120="","",Квартиры!D1120)</f>
        <v/>
      </c>
      <c r="E1122">
        <f>IF(Квартиры!G1120="","",Квартиры!G1120)</f>
        <v/>
      </c>
      <c r="F1122">
        <f>IF(Квартиры!E1120="","",Квартиры!E1120)</f>
        <v/>
      </c>
      <c r="G1122">
        <f>IF(Квартиры!F1120="","",Квартиры!F1120)</f>
        <v/>
      </c>
      <c r="H1122">
        <f>IF(Квартиры!H1120="","",Квартиры!H1120)</f>
        <v/>
      </c>
      <c r="I1122">
        <f>IF(Квартиры!I1120="","",Квартиры!I1120)</f>
        <v/>
      </c>
      <c r="J1122">
        <f>IF(Квартиры!J1120="","",Квартиры!J1120)</f>
        <v/>
      </c>
    </row>
    <row r="1123">
      <c r="A1123">
        <f>IF(Квартиры!A1121="","",Квартиры!A1121)</f>
        <v/>
      </c>
      <c r="B1123">
        <f>IF(Квартиры!B1121="","",Квартиры!B1121)</f>
        <v/>
      </c>
      <c r="C1123">
        <f>IF(Квартиры!C1121="","",Квартиры!C1121)</f>
        <v/>
      </c>
      <c r="D1123">
        <f>IF(Квартиры!D1121="","",Квартиры!D1121)</f>
        <v/>
      </c>
      <c r="E1123">
        <f>IF(Квартиры!G1121="","",Квартиры!G1121)</f>
        <v/>
      </c>
      <c r="F1123">
        <f>IF(Квартиры!E1121="","",Квартиры!E1121)</f>
        <v/>
      </c>
      <c r="G1123">
        <f>IF(Квартиры!F1121="","",Квартиры!F1121)</f>
        <v/>
      </c>
      <c r="H1123">
        <f>IF(Квартиры!H1121="","",Квартиры!H1121)</f>
        <v/>
      </c>
      <c r="I1123">
        <f>IF(Квартиры!I1121="","",Квартиры!I1121)</f>
        <v/>
      </c>
      <c r="J1123">
        <f>IF(Квартиры!J1121="","",Квартиры!J1121)</f>
        <v/>
      </c>
    </row>
    <row r="1124">
      <c r="A1124">
        <f>IF(Квартиры!A1122="","",Квартиры!A1122)</f>
        <v/>
      </c>
      <c r="B1124">
        <f>IF(Квартиры!B1122="","",Квартиры!B1122)</f>
        <v/>
      </c>
      <c r="C1124">
        <f>IF(Квартиры!C1122="","",Квартиры!C1122)</f>
        <v/>
      </c>
      <c r="D1124">
        <f>IF(Квартиры!D1122="","",Квартиры!D1122)</f>
        <v/>
      </c>
      <c r="E1124">
        <f>IF(Квартиры!G1122="","",Квартиры!G1122)</f>
        <v/>
      </c>
      <c r="F1124">
        <f>IF(Квартиры!E1122="","",Квартиры!E1122)</f>
        <v/>
      </c>
      <c r="G1124">
        <f>IF(Квартиры!F1122="","",Квартиры!F1122)</f>
        <v/>
      </c>
      <c r="H1124">
        <f>IF(Квартиры!H1122="","",Квартиры!H1122)</f>
        <v/>
      </c>
      <c r="I1124">
        <f>IF(Квартиры!I1122="","",Квартиры!I1122)</f>
        <v/>
      </c>
      <c r="J1124">
        <f>IF(Квартиры!J1122="","",Квартиры!J1122)</f>
        <v/>
      </c>
    </row>
    <row r="1125">
      <c r="A1125">
        <f>IF(Квартиры!A1123="","",Квартиры!A1123)</f>
        <v/>
      </c>
      <c r="B1125">
        <f>IF(Квартиры!B1123="","",Квартиры!B1123)</f>
        <v/>
      </c>
      <c r="C1125">
        <f>IF(Квартиры!C1123="","",Квартиры!C1123)</f>
        <v/>
      </c>
      <c r="D1125">
        <f>IF(Квартиры!D1123="","",Квартиры!D1123)</f>
        <v/>
      </c>
      <c r="E1125">
        <f>IF(Квартиры!G1123="","",Квартиры!G1123)</f>
        <v/>
      </c>
      <c r="F1125">
        <f>IF(Квартиры!E1123="","",Квартиры!E1123)</f>
        <v/>
      </c>
      <c r="G1125">
        <f>IF(Квартиры!F1123="","",Квартиры!F1123)</f>
        <v/>
      </c>
      <c r="H1125">
        <f>IF(Квартиры!H1123="","",Квартиры!H1123)</f>
        <v/>
      </c>
      <c r="I1125">
        <f>IF(Квартиры!I1123="","",Квартиры!I1123)</f>
        <v/>
      </c>
      <c r="J1125">
        <f>IF(Квартиры!J1123="","",Квартиры!J1123)</f>
        <v/>
      </c>
    </row>
    <row r="1126">
      <c r="A1126">
        <f>IF(Квартиры!A1124="","",Квартиры!A1124)</f>
        <v/>
      </c>
      <c r="B1126">
        <f>IF(Квартиры!B1124="","",Квартиры!B1124)</f>
        <v/>
      </c>
      <c r="C1126">
        <f>IF(Квартиры!C1124="","",Квартиры!C1124)</f>
        <v/>
      </c>
      <c r="D1126">
        <f>IF(Квартиры!D1124="","",Квартиры!D1124)</f>
        <v/>
      </c>
      <c r="E1126">
        <f>IF(Квартиры!G1124="","",Квартиры!G1124)</f>
        <v/>
      </c>
      <c r="F1126">
        <f>IF(Квартиры!E1124="","",Квартиры!E1124)</f>
        <v/>
      </c>
      <c r="G1126">
        <f>IF(Квартиры!F1124="","",Квартиры!F1124)</f>
        <v/>
      </c>
      <c r="H1126">
        <f>IF(Квартиры!H1124="","",Квартиры!H1124)</f>
        <v/>
      </c>
      <c r="I1126">
        <f>IF(Квартиры!I1124="","",Квартиры!I1124)</f>
        <v/>
      </c>
      <c r="J1126">
        <f>IF(Квартиры!J1124="","",Квартиры!J1124)</f>
        <v/>
      </c>
    </row>
    <row r="1127">
      <c r="A1127">
        <f>IF(Квартиры!A1125="","",Квартиры!A1125)</f>
        <v/>
      </c>
      <c r="B1127">
        <f>IF(Квартиры!B1125="","",Квартиры!B1125)</f>
        <v/>
      </c>
      <c r="C1127">
        <f>IF(Квартиры!C1125="","",Квартиры!C1125)</f>
        <v/>
      </c>
      <c r="D1127">
        <f>IF(Квартиры!D1125="","",Квартиры!D1125)</f>
        <v/>
      </c>
      <c r="E1127">
        <f>IF(Квартиры!G1125="","",Квартиры!G1125)</f>
        <v/>
      </c>
      <c r="F1127">
        <f>IF(Квартиры!E1125="","",Квартиры!E1125)</f>
        <v/>
      </c>
      <c r="G1127">
        <f>IF(Квартиры!F1125="","",Квартиры!F1125)</f>
        <v/>
      </c>
      <c r="H1127">
        <f>IF(Квартиры!H1125="","",Квартиры!H1125)</f>
        <v/>
      </c>
      <c r="I1127">
        <f>IF(Квартиры!I1125="","",Квартиры!I1125)</f>
        <v/>
      </c>
      <c r="J1127">
        <f>IF(Квартиры!J1125="","",Квартиры!J1125)</f>
        <v/>
      </c>
    </row>
    <row r="1128">
      <c r="A1128">
        <f>IF(Квартиры!A1126="","",Квартиры!A1126)</f>
        <v/>
      </c>
      <c r="B1128">
        <f>IF(Квартиры!B1126="","",Квартиры!B1126)</f>
        <v/>
      </c>
      <c r="C1128">
        <f>IF(Квартиры!C1126="","",Квартиры!C1126)</f>
        <v/>
      </c>
      <c r="D1128">
        <f>IF(Квартиры!D1126="","",Квартиры!D1126)</f>
        <v/>
      </c>
      <c r="E1128">
        <f>IF(Квартиры!G1126="","",Квартиры!G1126)</f>
        <v/>
      </c>
      <c r="F1128">
        <f>IF(Квартиры!E1126="","",Квартиры!E1126)</f>
        <v/>
      </c>
      <c r="G1128">
        <f>IF(Квартиры!F1126="","",Квартиры!F1126)</f>
        <v/>
      </c>
      <c r="H1128">
        <f>IF(Квартиры!H1126="","",Квартиры!H1126)</f>
        <v/>
      </c>
      <c r="I1128">
        <f>IF(Квартиры!I1126="","",Квартиры!I1126)</f>
        <v/>
      </c>
      <c r="J1128">
        <f>IF(Квартиры!J1126="","",Квартиры!J1126)</f>
        <v/>
      </c>
    </row>
    <row r="1129">
      <c r="A1129">
        <f>IF(Квартиры!A1127="","",Квартиры!A1127)</f>
        <v/>
      </c>
      <c r="B1129">
        <f>IF(Квартиры!B1127="","",Квартиры!B1127)</f>
        <v/>
      </c>
      <c r="C1129">
        <f>IF(Квартиры!C1127="","",Квартиры!C1127)</f>
        <v/>
      </c>
      <c r="D1129">
        <f>IF(Квартиры!D1127="","",Квартиры!D1127)</f>
        <v/>
      </c>
      <c r="E1129">
        <f>IF(Квартиры!G1127="","",Квартиры!G1127)</f>
        <v/>
      </c>
      <c r="F1129">
        <f>IF(Квартиры!E1127="","",Квартиры!E1127)</f>
        <v/>
      </c>
      <c r="G1129">
        <f>IF(Квартиры!F1127="","",Квартиры!F1127)</f>
        <v/>
      </c>
      <c r="H1129">
        <f>IF(Квартиры!H1127="","",Квартиры!H1127)</f>
        <v/>
      </c>
      <c r="I1129">
        <f>IF(Квартиры!I1127="","",Квартиры!I1127)</f>
        <v/>
      </c>
      <c r="J1129">
        <f>IF(Квартиры!J1127="","",Квартиры!J1127)</f>
        <v/>
      </c>
    </row>
    <row r="1130">
      <c r="A1130">
        <f>IF(Квартиры!A1128="","",Квартиры!A1128)</f>
        <v/>
      </c>
      <c r="B1130">
        <f>IF(Квартиры!B1128="","",Квартиры!B1128)</f>
        <v/>
      </c>
      <c r="C1130">
        <f>IF(Квартиры!C1128="","",Квартиры!C1128)</f>
        <v/>
      </c>
      <c r="D1130">
        <f>IF(Квартиры!D1128="","",Квартиры!D1128)</f>
        <v/>
      </c>
      <c r="E1130">
        <f>IF(Квартиры!G1128="","",Квартиры!G1128)</f>
        <v/>
      </c>
      <c r="F1130">
        <f>IF(Квартиры!E1128="","",Квартиры!E1128)</f>
        <v/>
      </c>
      <c r="G1130">
        <f>IF(Квартиры!F1128="","",Квартиры!F1128)</f>
        <v/>
      </c>
      <c r="H1130">
        <f>IF(Квартиры!H1128="","",Квартиры!H1128)</f>
        <v/>
      </c>
      <c r="I1130">
        <f>IF(Квартиры!I1128="","",Квартиры!I1128)</f>
        <v/>
      </c>
      <c r="J1130">
        <f>IF(Квартиры!J1128="","",Квартиры!J1128)</f>
        <v/>
      </c>
    </row>
    <row r="1131">
      <c r="A1131">
        <f>IF(Квартиры!A1129="","",Квартиры!A1129)</f>
        <v/>
      </c>
      <c r="B1131">
        <f>IF(Квартиры!B1129="","",Квартиры!B1129)</f>
        <v/>
      </c>
      <c r="C1131">
        <f>IF(Квартиры!C1129="","",Квартиры!C1129)</f>
        <v/>
      </c>
      <c r="D1131">
        <f>IF(Квартиры!D1129="","",Квартиры!D1129)</f>
        <v/>
      </c>
      <c r="E1131">
        <f>IF(Квартиры!G1129="","",Квартиры!G1129)</f>
        <v/>
      </c>
      <c r="F1131">
        <f>IF(Квартиры!E1129="","",Квартиры!E1129)</f>
        <v/>
      </c>
      <c r="G1131">
        <f>IF(Квартиры!F1129="","",Квартиры!F1129)</f>
        <v/>
      </c>
      <c r="H1131">
        <f>IF(Квартиры!H1129="","",Квартиры!H1129)</f>
        <v/>
      </c>
      <c r="I1131">
        <f>IF(Квартиры!I1129="","",Квартиры!I1129)</f>
        <v/>
      </c>
      <c r="J1131">
        <f>IF(Квартиры!J1129="","",Квартиры!J1129)</f>
        <v/>
      </c>
    </row>
    <row r="1132">
      <c r="A1132">
        <f>IF(Квартиры!A1130="","",Квартиры!A1130)</f>
        <v/>
      </c>
      <c r="B1132">
        <f>IF(Квартиры!B1130="","",Квартиры!B1130)</f>
        <v/>
      </c>
      <c r="C1132">
        <f>IF(Квартиры!C1130="","",Квартиры!C1130)</f>
        <v/>
      </c>
      <c r="D1132">
        <f>IF(Квартиры!D1130="","",Квартиры!D1130)</f>
        <v/>
      </c>
      <c r="E1132">
        <f>IF(Квартиры!G1130="","",Квартиры!G1130)</f>
        <v/>
      </c>
      <c r="F1132">
        <f>IF(Квартиры!E1130="","",Квартиры!E1130)</f>
        <v/>
      </c>
      <c r="G1132">
        <f>IF(Квартиры!F1130="","",Квартиры!F1130)</f>
        <v/>
      </c>
      <c r="H1132">
        <f>IF(Квартиры!H1130="","",Квартиры!H1130)</f>
        <v/>
      </c>
      <c r="I1132">
        <f>IF(Квартиры!I1130="","",Квартиры!I1130)</f>
        <v/>
      </c>
      <c r="J1132">
        <f>IF(Квартиры!J1130="","",Квартиры!J1130)</f>
        <v/>
      </c>
    </row>
    <row r="1133">
      <c r="A1133">
        <f>IF(Квартиры!A1131="","",Квартиры!A1131)</f>
        <v/>
      </c>
      <c r="B1133">
        <f>IF(Квартиры!B1131="","",Квартиры!B1131)</f>
        <v/>
      </c>
      <c r="C1133">
        <f>IF(Квартиры!C1131="","",Квартиры!C1131)</f>
        <v/>
      </c>
      <c r="D1133">
        <f>IF(Квартиры!D1131="","",Квартиры!D1131)</f>
        <v/>
      </c>
      <c r="E1133">
        <f>IF(Квартиры!G1131="","",Квартиры!G1131)</f>
        <v/>
      </c>
      <c r="F1133">
        <f>IF(Квартиры!E1131="","",Квартиры!E1131)</f>
        <v/>
      </c>
      <c r="G1133">
        <f>IF(Квартиры!F1131="","",Квартиры!F1131)</f>
        <v/>
      </c>
      <c r="H1133">
        <f>IF(Квартиры!H1131="","",Квартиры!H1131)</f>
        <v/>
      </c>
      <c r="I1133">
        <f>IF(Квартиры!I1131="","",Квартиры!I1131)</f>
        <v/>
      </c>
      <c r="J1133">
        <f>IF(Квартиры!J1131="","",Квартиры!J1131)</f>
        <v/>
      </c>
    </row>
    <row r="1134">
      <c r="A1134">
        <f>IF(Квартиры!A1132="","",Квартиры!A1132)</f>
        <v/>
      </c>
      <c r="B1134">
        <f>IF(Квартиры!B1132="","",Квартиры!B1132)</f>
        <v/>
      </c>
      <c r="C1134">
        <f>IF(Квартиры!C1132="","",Квартиры!C1132)</f>
        <v/>
      </c>
      <c r="D1134">
        <f>IF(Квартиры!D1132="","",Квартиры!D1132)</f>
        <v/>
      </c>
      <c r="E1134">
        <f>IF(Квартиры!G1132="","",Квартиры!G1132)</f>
        <v/>
      </c>
      <c r="F1134">
        <f>IF(Квартиры!E1132="","",Квартиры!E1132)</f>
        <v/>
      </c>
      <c r="G1134">
        <f>IF(Квартиры!F1132="","",Квартиры!F1132)</f>
        <v/>
      </c>
      <c r="H1134">
        <f>IF(Квартиры!H1132="","",Квартиры!H1132)</f>
        <v/>
      </c>
      <c r="I1134">
        <f>IF(Квартиры!I1132="","",Квартиры!I1132)</f>
        <v/>
      </c>
      <c r="J1134">
        <f>IF(Квартиры!J1132="","",Квартиры!J1132)</f>
        <v/>
      </c>
    </row>
    <row r="1135">
      <c r="A1135">
        <f>IF(Квартиры!A1133="","",Квартиры!A1133)</f>
        <v/>
      </c>
      <c r="B1135">
        <f>IF(Квартиры!B1133="","",Квартиры!B1133)</f>
        <v/>
      </c>
      <c r="C1135">
        <f>IF(Квартиры!C1133="","",Квартиры!C1133)</f>
        <v/>
      </c>
      <c r="D1135">
        <f>IF(Квартиры!D1133="","",Квартиры!D1133)</f>
        <v/>
      </c>
      <c r="E1135">
        <f>IF(Квартиры!G1133="","",Квартиры!G1133)</f>
        <v/>
      </c>
      <c r="F1135">
        <f>IF(Квартиры!E1133="","",Квартиры!E1133)</f>
        <v/>
      </c>
      <c r="G1135">
        <f>IF(Квартиры!F1133="","",Квартиры!F1133)</f>
        <v/>
      </c>
      <c r="H1135">
        <f>IF(Квартиры!H1133="","",Квартиры!H1133)</f>
        <v/>
      </c>
      <c r="I1135">
        <f>IF(Квартиры!I1133="","",Квартиры!I1133)</f>
        <v/>
      </c>
      <c r="J1135">
        <f>IF(Квартиры!J1133="","",Квартиры!J1133)</f>
        <v/>
      </c>
    </row>
    <row r="1136">
      <c r="A1136">
        <f>IF(Квартиры!A1134="","",Квартиры!A1134)</f>
        <v/>
      </c>
      <c r="B1136">
        <f>IF(Квартиры!B1134="","",Квартиры!B1134)</f>
        <v/>
      </c>
      <c r="C1136">
        <f>IF(Квартиры!C1134="","",Квартиры!C1134)</f>
        <v/>
      </c>
      <c r="D1136">
        <f>IF(Квартиры!D1134="","",Квартиры!D1134)</f>
        <v/>
      </c>
      <c r="E1136">
        <f>IF(Квартиры!G1134="","",Квартиры!G1134)</f>
        <v/>
      </c>
      <c r="F1136">
        <f>IF(Квартиры!E1134="","",Квартиры!E1134)</f>
        <v/>
      </c>
      <c r="G1136">
        <f>IF(Квартиры!F1134="","",Квартиры!F1134)</f>
        <v/>
      </c>
      <c r="H1136">
        <f>IF(Квартиры!H1134="","",Квартиры!H1134)</f>
        <v/>
      </c>
      <c r="I1136">
        <f>IF(Квартиры!I1134="","",Квартиры!I1134)</f>
        <v/>
      </c>
      <c r="J1136">
        <f>IF(Квартиры!J1134="","",Квартиры!J1134)</f>
        <v/>
      </c>
    </row>
    <row r="1137">
      <c r="A1137">
        <f>IF(Квартиры!A1135="","",Квартиры!A1135)</f>
        <v/>
      </c>
      <c r="B1137">
        <f>IF(Квартиры!B1135="","",Квартиры!B1135)</f>
        <v/>
      </c>
      <c r="C1137">
        <f>IF(Квартиры!C1135="","",Квартиры!C1135)</f>
        <v/>
      </c>
      <c r="D1137">
        <f>IF(Квартиры!D1135="","",Квартиры!D1135)</f>
        <v/>
      </c>
      <c r="E1137">
        <f>IF(Квартиры!G1135="","",Квартиры!G1135)</f>
        <v/>
      </c>
      <c r="F1137">
        <f>IF(Квартиры!E1135="","",Квартиры!E1135)</f>
        <v/>
      </c>
      <c r="G1137">
        <f>IF(Квартиры!F1135="","",Квартиры!F1135)</f>
        <v/>
      </c>
      <c r="H1137">
        <f>IF(Квартиры!H1135="","",Квартиры!H1135)</f>
        <v/>
      </c>
      <c r="I1137">
        <f>IF(Квартиры!I1135="","",Квартиры!I1135)</f>
        <v/>
      </c>
      <c r="J1137">
        <f>IF(Квартиры!J1135="","",Квартиры!J1135)</f>
        <v/>
      </c>
    </row>
    <row r="1138">
      <c r="A1138">
        <f>IF(Квартиры!A1136="","",Квартиры!A1136)</f>
        <v/>
      </c>
      <c r="B1138">
        <f>IF(Квартиры!B1136="","",Квартиры!B1136)</f>
        <v/>
      </c>
      <c r="C1138">
        <f>IF(Квартиры!C1136="","",Квартиры!C1136)</f>
        <v/>
      </c>
      <c r="D1138">
        <f>IF(Квартиры!D1136="","",Квартиры!D1136)</f>
        <v/>
      </c>
      <c r="E1138">
        <f>IF(Квартиры!G1136="","",Квартиры!G1136)</f>
        <v/>
      </c>
      <c r="F1138">
        <f>IF(Квартиры!E1136="","",Квартиры!E1136)</f>
        <v/>
      </c>
      <c r="G1138">
        <f>IF(Квартиры!F1136="","",Квартиры!F1136)</f>
        <v/>
      </c>
      <c r="H1138">
        <f>IF(Квартиры!H1136="","",Квартиры!H1136)</f>
        <v/>
      </c>
      <c r="I1138">
        <f>IF(Квартиры!I1136="","",Квартиры!I1136)</f>
        <v/>
      </c>
      <c r="J1138">
        <f>IF(Квартиры!J1136="","",Квартиры!J1136)</f>
        <v/>
      </c>
    </row>
    <row r="1139">
      <c r="A1139">
        <f>IF(Квартиры!A1137="","",Квартиры!A1137)</f>
        <v/>
      </c>
      <c r="B1139">
        <f>IF(Квартиры!B1137="","",Квартиры!B1137)</f>
        <v/>
      </c>
      <c r="C1139">
        <f>IF(Квартиры!C1137="","",Квартиры!C1137)</f>
        <v/>
      </c>
      <c r="D1139">
        <f>IF(Квартиры!D1137="","",Квартиры!D1137)</f>
        <v/>
      </c>
      <c r="E1139">
        <f>IF(Квартиры!G1137="","",Квартиры!G1137)</f>
        <v/>
      </c>
      <c r="F1139">
        <f>IF(Квартиры!E1137="","",Квартиры!E1137)</f>
        <v/>
      </c>
      <c r="G1139">
        <f>IF(Квартиры!F1137="","",Квартиры!F1137)</f>
        <v/>
      </c>
      <c r="H1139">
        <f>IF(Квартиры!H1137="","",Квартиры!H1137)</f>
        <v/>
      </c>
      <c r="I1139">
        <f>IF(Квартиры!I1137="","",Квартиры!I1137)</f>
        <v/>
      </c>
      <c r="J1139">
        <f>IF(Квартиры!J1137="","",Квартиры!J1137)</f>
        <v/>
      </c>
    </row>
    <row r="1140">
      <c r="A1140">
        <f>IF(Квартиры!A1138="","",Квартиры!A1138)</f>
        <v/>
      </c>
      <c r="B1140">
        <f>IF(Квартиры!B1138="","",Квартиры!B1138)</f>
        <v/>
      </c>
      <c r="C1140">
        <f>IF(Квартиры!C1138="","",Квартиры!C1138)</f>
        <v/>
      </c>
      <c r="D1140">
        <f>IF(Квартиры!D1138="","",Квартиры!D1138)</f>
        <v/>
      </c>
      <c r="E1140">
        <f>IF(Квартиры!G1138="","",Квартиры!G1138)</f>
        <v/>
      </c>
      <c r="F1140">
        <f>IF(Квартиры!E1138="","",Квартиры!E1138)</f>
        <v/>
      </c>
      <c r="G1140">
        <f>IF(Квартиры!F1138="","",Квартиры!F1138)</f>
        <v/>
      </c>
      <c r="H1140">
        <f>IF(Квартиры!H1138="","",Квартиры!H1138)</f>
        <v/>
      </c>
      <c r="I1140">
        <f>IF(Квартиры!I1138="","",Квартиры!I1138)</f>
        <v/>
      </c>
      <c r="J1140">
        <f>IF(Квартиры!J1138="","",Квартиры!J1138)</f>
        <v/>
      </c>
    </row>
    <row r="1141">
      <c r="A1141">
        <f>IF(Квартиры!A1139="","",Квартиры!A1139)</f>
        <v/>
      </c>
      <c r="B1141">
        <f>IF(Квартиры!B1139="","",Квартиры!B1139)</f>
        <v/>
      </c>
      <c r="C1141">
        <f>IF(Квартиры!C1139="","",Квартиры!C1139)</f>
        <v/>
      </c>
      <c r="D1141">
        <f>IF(Квартиры!D1139="","",Квартиры!D1139)</f>
        <v/>
      </c>
      <c r="E1141">
        <f>IF(Квартиры!G1139="","",Квартиры!G1139)</f>
        <v/>
      </c>
      <c r="F1141">
        <f>IF(Квартиры!E1139="","",Квартиры!E1139)</f>
        <v/>
      </c>
      <c r="G1141">
        <f>IF(Квартиры!F1139="","",Квартиры!F1139)</f>
        <v/>
      </c>
      <c r="H1141">
        <f>IF(Квартиры!H1139="","",Квартиры!H1139)</f>
        <v/>
      </c>
      <c r="I1141">
        <f>IF(Квартиры!I1139="","",Квартиры!I1139)</f>
        <v/>
      </c>
      <c r="J1141">
        <f>IF(Квартиры!J1139="","",Квартиры!J1139)</f>
        <v/>
      </c>
    </row>
    <row r="1142">
      <c r="A1142">
        <f>IF(Квартиры!A1140="","",Квартиры!A1140)</f>
        <v/>
      </c>
      <c r="B1142">
        <f>IF(Квартиры!B1140="","",Квартиры!B1140)</f>
        <v/>
      </c>
      <c r="C1142">
        <f>IF(Квартиры!C1140="","",Квартиры!C1140)</f>
        <v/>
      </c>
      <c r="D1142">
        <f>IF(Квартиры!D1140="","",Квартиры!D1140)</f>
        <v/>
      </c>
      <c r="E1142">
        <f>IF(Квартиры!G1140="","",Квартиры!G1140)</f>
        <v/>
      </c>
      <c r="F1142">
        <f>IF(Квартиры!E1140="","",Квартиры!E1140)</f>
        <v/>
      </c>
      <c r="G1142">
        <f>IF(Квартиры!F1140="","",Квартиры!F1140)</f>
        <v/>
      </c>
      <c r="H1142">
        <f>IF(Квартиры!H1140="","",Квартиры!H1140)</f>
        <v/>
      </c>
      <c r="I1142">
        <f>IF(Квартиры!I1140="","",Квартиры!I1140)</f>
        <v/>
      </c>
      <c r="J1142">
        <f>IF(Квартиры!J1140="","",Квартиры!J1140)</f>
        <v/>
      </c>
    </row>
    <row r="1143">
      <c r="A1143">
        <f>IF(Квартиры!A1141="","",Квартиры!A1141)</f>
        <v/>
      </c>
      <c r="B1143">
        <f>IF(Квартиры!B1141="","",Квартиры!B1141)</f>
        <v/>
      </c>
      <c r="C1143">
        <f>IF(Квартиры!C1141="","",Квартиры!C1141)</f>
        <v/>
      </c>
      <c r="D1143">
        <f>IF(Квартиры!D1141="","",Квартиры!D1141)</f>
        <v/>
      </c>
      <c r="E1143">
        <f>IF(Квартиры!G1141="","",Квартиры!G1141)</f>
        <v/>
      </c>
      <c r="F1143">
        <f>IF(Квартиры!E1141="","",Квартиры!E1141)</f>
        <v/>
      </c>
      <c r="G1143">
        <f>IF(Квартиры!F1141="","",Квартиры!F1141)</f>
        <v/>
      </c>
      <c r="H1143">
        <f>IF(Квартиры!H1141="","",Квартиры!H1141)</f>
        <v/>
      </c>
      <c r="I1143">
        <f>IF(Квартиры!I1141="","",Квартиры!I1141)</f>
        <v/>
      </c>
      <c r="J1143">
        <f>IF(Квартиры!J1141="","",Квартиры!J1141)</f>
        <v/>
      </c>
    </row>
    <row r="1144">
      <c r="A1144">
        <f>IF(Квартиры!A1142="","",Квартиры!A1142)</f>
        <v/>
      </c>
      <c r="B1144">
        <f>IF(Квартиры!B1142="","",Квартиры!B1142)</f>
        <v/>
      </c>
      <c r="C1144">
        <f>IF(Квартиры!C1142="","",Квартиры!C1142)</f>
        <v/>
      </c>
      <c r="D1144">
        <f>IF(Квартиры!D1142="","",Квартиры!D1142)</f>
        <v/>
      </c>
      <c r="E1144">
        <f>IF(Квартиры!G1142="","",Квартиры!G1142)</f>
        <v/>
      </c>
      <c r="F1144">
        <f>IF(Квартиры!E1142="","",Квартиры!E1142)</f>
        <v/>
      </c>
      <c r="G1144">
        <f>IF(Квартиры!F1142="","",Квартиры!F1142)</f>
        <v/>
      </c>
      <c r="H1144">
        <f>IF(Квартиры!H1142="","",Квартиры!H1142)</f>
        <v/>
      </c>
      <c r="I1144">
        <f>IF(Квартиры!I1142="","",Квартиры!I1142)</f>
        <v/>
      </c>
      <c r="J1144">
        <f>IF(Квартиры!J1142="","",Квартиры!J1142)</f>
        <v/>
      </c>
    </row>
    <row r="1145">
      <c r="A1145">
        <f>IF(Квартиры!A1143="","",Квартиры!A1143)</f>
        <v/>
      </c>
      <c r="B1145">
        <f>IF(Квартиры!B1143="","",Квартиры!B1143)</f>
        <v/>
      </c>
      <c r="C1145">
        <f>IF(Квартиры!C1143="","",Квартиры!C1143)</f>
        <v/>
      </c>
      <c r="D1145">
        <f>IF(Квартиры!D1143="","",Квартиры!D1143)</f>
        <v/>
      </c>
      <c r="E1145">
        <f>IF(Квартиры!G1143="","",Квартиры!G1143)</f>
        <v/>
      </c>
      <c r="F1145">
        <f>IF(Квартиры!E1143="","",Квартиры!E1143)</f>
        <v/>
      </c>
      <c r="G1145">
        <f>IF(Квартиры!F1143="","",Квартиры!F1143)</f>
        <v/>
      </c>
      <c r="H1145">
        <f>IF(Квартиры!H1143="","",Квартиры!H1143)</f>
        <v/>
      </c>
      <c r="I1145">
        <f>IF(Квартиры!I1143="","",Квартиры!I1143)</f>
        <v/>
      </c>
      <c r="J1145">
        <f>IF(Квартиры!J1143="","",Квартиры!J1143)</f>
        <v/>
      </c>
    </row>
    <row r="1146">
      <c r="A1146">
        <f>IF(Квартиры!A1144="","",Квартиры!A1144)</f>
        <v/>
      </c>
      <c r="B1146">
        <f>IF(Квартиры!B1144="","",Квартиры!B1144)</f>
        <v/>
      </c>
      <c r="C1146">
        <f>IF(Квартиры!C1144="","",Квартиры!C1144)</f>
        <v/>
      </c>
      <c r="D1146">
        <f>IF(Квартиры!D1144="","",Квартиры!D1144)</f>
        <v/>
      </c>
      <c r="E1146">
        <f>IF(Квартиры!G1144="","",Квартиры!G1144)</f>
        <v/>
      </c>
      <c r="F1146">
        <f>IF(Квартиры!E1144="","",Квартиры!E1144)</f>
        <v/>
      </c>
      <c r="G1146">
        <f>IF(Квартиры!F1144="","",Квартиры!F1144)</f>
        <v/>
      </c>
      <c r="H1146">
        <f>IF(Квартиры!H1144="","",Квартиры!H1144)</f>
        <v/>
      </c>
      <c r="I1146">
        <f>IF(Квартиры!I1144="","",Квартиры!I1144)</f>
        <v/>
      </c>
      <c r="J1146">
        <f>IF(Квартиры!J1144="","",Квартиры!J1144)</f>
        <v/>
      </c>
    </row>
    <row r="1147">
      <c r="A1147">
        <f>IF(Квартиры!A1145="","",Квартиры!A1145)</f>
        <v/>
      </c>
      <c r="B1147">
        <f>IF(Квартиры!B1145="","",Квартиры!B1145)</f>
        <v/>
      </c>
      <c r="C1147">
        <f>IF(Квартиры!C1145="","",Квартиры!C1145)</f>
        <v/>
      </c>
      <c r="D1147">
        <f>IF(Квартиры!D1145="","",Квартиры!D1145)</f>
        <v/>
      </c>
      <c r="E1147">
        <f>IF(Квартиры!G1145="","",Квартиры!G1145)</f>
        <v/>
      </c>
      <c r="F1147">
        <f>IF(Квартиры!E1145="","",Квартиры!E1145)</f>
        <v/>
      </c>
      <c r="G1147">
        <f>IF(Квартиры!F1145="","",Квартиры!F1145)</f>
        <v/>
      </c>
      <c r="H1147">
        <f>IF(Квартиры!H1145="","",Квартиры!H1145)</f>
        <v/>
      </c>
      <c r="I1147">
        <f>IF(Квартиры!I1145="","",Квартиры!I1145)</f>
        <v/>
      </c>
      <c r="J1147">
        <f>IF(Квартиры!J1145="","",Квартиры!J1145)</f>
        <v/>
      </c>
    </row>
    <row r="1148">
      <c r="A1148">
        <f>IF(Квартиры!A1146="","",Квартиры!A1146)</f>
        <v/>
      </c>
      <c r="B1148">
        <f>IF(Квартиры!B1146="","",Квартиры!B1146)</f>
        <v/>
      </c>
      <c r="C1148">
        <f>IF(Квартиры!C1146="","",Квартиры!C1146)</f>
        <v/>
      </c>
      <c r="D1148">
        <f>IF(Квартиры!D1146="","",Квартиры!D1146)</f>
        <v/>
      </c>
      <c r="E1148">
        <f>IF(Квартиры!G1146="","",Квартиры!G1146)</f>
        <v/>
      </c>
      <c r="F1148">
        <f>IF(Квартиры!E1146="","",Квартиры!E1146)</f>
        <v/>
      </c>
      <c r="G1148">
        <f>IF(Квартиры!F1146="","",Квартиры!F1146)</f>
        <v/>
      </c>
      <c r="H1148">
        <f>IF(Квартиры!H1146="","",Квартиры!H1146)</f>
        <v/>
      </c>
      <c r="I1148">
        <f>IF(Квартиры!I1146="","",Квартиры!I1146)</f>
        <v/>
      </c>
      <c r="J1148">
        <f>IF(Квартиры!J1146="","",Квартиры!J1146)</f>
        <v/>
      </c>
    </row>
    <row r="1149">
      <c r="A1149">
        <f>IF(Квартиры!A1147="","",Квартиры!A1147)</f>
        <v/>
      </c>
      <c r="B1149">
        <f>IF(Квартиры!B1147="","",Квартиры!B1147)</f>
        <v/>
      </c>
      <c r="C1149">
        <f>IF(Квартиры!C1147="","",Квартиры!C1147)</f>
        <v/>
      </c>
      <c r="D1149">
        <f>IF(Квартиры!D1147="","",Квартиры!D1147)</f>
        <v/>
      </c>
      <c r="E1149">
        <f>IF(Квартиры!G1147="","",Квартиры!G1147)</f>
        <v/>
      </c>
      <c r="F1149">
        <f>IF(Квартиры!E1147="","",Квартиры!E1147)</f>
        <v/>
      </c>
      <c r="G1149">
        <f>IF(Квартиры!F1147="","",Квартиры!F1147)</f>
        <v/>
      </c>
      <c r="H1149">
        <f>IF(Квартиры!H1147="","",Квартиры!H1147)</f>
        <v/>
      </c>
      <c r="I1149">
        <f>IF(Квартиры!I1147="","",Квартиры!I1147)</f>
        <v/>
      </c>
      <c r="J1149">
        <f>IF(Квартиры!J1147="","",Квартиры!J1147)</f>
        <v/>
      </c>
    </row>
    <row r="1150">
      <c r="A1150">
        <f>IF(Квартиры!A1148="","",Квартиры!A1148)</f>
        <v/>
      </c>
      <c r="B1150">
        <f>IF(Квартиры!B1148="","",Квартиры!B1148)</f>
        <v/>
      </c>
      <c r="C1150">
        <f>IF(Квартиры!C1148="","",Квартиры!C1148)</f>
        <v/>
      </c>
      <c r="D1150">
        <f>IF(Квартиры!D1148="","",Квартиры!D1148)</f>
        <v/>
      </c>
      <c r="E1150">
        <f>IF(Квартиры!G1148="","",Квартиры!G1148)</f>
        <v/>
      </c>
      <c r="F1150">
        <f>IF(Квартиры!E1148="","",Квартиры!E1148)</f>
        <v/>
      </c>
      <c r="G1150">
        <f>IF(Квартиры!F1148="","",Квартиры!F1148)</f>
        <v/>
      </c>
      <c r="H1150">
        <f>IF(Квартиры!H1148="","",Квартиры!H1148)</f>
        <v/>
      </c>
      <c r="I1150">
        <f>IF(Квартиры!I1148="","",Квартиры!I1148)</f>
        <v/>
      </c>
      <c r="J1150">
        <f>IF(Квартиры!J1148="","",Квартиры!J1148)</f>
        <v/>
      </c>
    </row>
    <row r="1151">
      <c r="A1151">
        <f>IF(Квартиры!A1149="","",Квартиры!A1149)</f>
        <v/>
      </c>
      <c r="B1151">
        <f>IF(Квартиры!B1149="","",Квартиры!B1149)</f>
        <v/>
      </c>
      <c r="C1151">
        <f>IF(Квартиры!C1149="","",Квартиры!C1149)</f>
        <v/>
      </c>
      <c r="D1151">
        <f>IF(Квартиры!D1149="","",Квартиры!D1149)</f>
        <v/>
      </c>
      <c r="E1151">
        <f>IF(Квартиры!G1149="","",Квартиры!G1149)</f>
        <v/>
      </c>
      <c r="F1151">
        <f>IF(Квартиры!E1149="","",Квартиры!E1149)</f>
        <v/>
      </c>
      <c r="G1151">
        <f>IF(Квартиры!F1149="","",Квартиры!F1149)</f>
        <v/>
      </c>
      <c r="H1151">
        <f>IF(Квартиры!H1149="","",Квартиры!H1149)</f>
        <v/>
      </c>
      <c r="I1151">
        <f>IF(Квартиры!I1149="","",Квартиры!I1149)</f>
        <v/>
      </c>
      <c r="J1151">
        <f>IF(Квартиры!J1149="","",Квартиры!J1149)</f>
        <v/>
      </c>
    </row>
    <row r="1152">
      <c r="A1152">
        <f>IF(Квартиры!A1150="","",Квартиры!A1150)</f>
        <v/>
      </c>
      <c r="B1152">
        <f>IF(Квартиры!B1150="","",Квартиры!B1150)</f>
        <v/>
      </c>
      <c r="C1152">
        <f>IF(Квартиры!C1150="","",Квартиры!C1150)</f>
        <v/>
      </c>
      <c r="D1152">
        <f>IF(Квартиры!D1150="","",Квартиры!D1150)</f>
        <v/>
      </c>
      <c r="E1152">
        <f>IF(Квартиры!G1150="","",Квартиры!G1150)</f>
        <v/>
      </c>
      <c r="F1152">
        <f>IF(Квартиры!E1150="","",Квартиры!E1150)</f>
        <v/>
      </c>
      <c r="G1152">
        <f>IF(Квартиры!F1150="","",Квартиры!F1150)</f>
        <v/>
      </c>
      <c r="H1152">
        <f>IF(Квартиры!H1150="","",Квартиры!H1150)</f>
        <v/>
      </c>
      <c r="I1152">
        <f>IF(Квартиры!I1150="","",Квартиры!I1150)</f>
        <v/>
      </c>
      <c r="J1152">
        <f>IF(Квартиры!J1150="","",Квартиры!J1150)</f>
        <v/>
      </c>
    </row>
    <row r="1153">
      <c r="A1153">
        <f>IF(Квартиры!A1151="","",Квартиры!A1151)</f>
        <v/>
      </c>
      <c r="B1153">
        <f>IF(Квартиры!B1151="","",Квартиры!B1151)</f>
        <v/>
      </c>
      <c r="C1153">
        <f>IF(Квартиры!C1151="","",Квартиры!C1151)</f>
        <v/>
      </c>
      <c r="D1153">
        <f>IF(Квартиры!D1151="","",Квартиры!D1151)</f>
        <v/>
      </c>
      <c r="E1153">
        <f>IF(Квартиры!G1151="","",Квартиры!G1151)</f>
        <v/>
      </c>
      <c r="F1153">
        <f>IF(Квартиры!E1151="","",Квартиры!E1151)</f>
        <v/>
      </c>
      <c r="G1153">
        <f>IF(Квартиры!F1151="","",Квартиры!F1151)</f>
        <v/>
      </c>
      <c r="H1153">
        <f>IF(Квартиры!H1151="","",Квартиры!H1151)</f>
        <v/>
      </c>
      <c r="I1153">
        <f>IF(Квартиры!I1151="","",Квартиры!I1151)</f>
        <v/>
      </c>
      <c r="J1153">
        <f>IF(Квартиры!J1151="","",Квартиры!J1151)</f>
        <v/>
      </c>
    </row>
    <row r="1154">
      <c r="A1154">
        <f>IF(Квартиры!A1152="","",Квартиры!A1152)</f>
        <v/>
      </c>
      <c r="B1154">
        <f>IF(Квартиры!B1152="","",Квартиры!B1152)</f>
        <v/>
      </c>
      <c r="C1154">
        <f>IF(Квартиры!C1152="","",Квартиры!C1152)</f>
        <v/>
      </c>
      <c r="D1154">
        <f>IF(Квартиры!D1152="","",Квартиры!D1152)</f>
        <v/>
      </c>
      <c r="E1154">
        <f>IF(Квартиры!G1152="","",Квартиры!G1152)</f>
        <v/>
      </c>
      <c r="F1154">
        <f>IF(Квартиры!E1152="","",Квартиры!E1152)</f>
        <v/>
      </c>
      <c r="G1154">
        <f>IF(Квартиры!F1152="","",Квартиры!F1152)</f>
        <v/>
      </c>
      <c r="H1154">
        <f>IF(Квартиры!H1152="","",Квартиры!H1152)</f>
        <v/>
      </c>
      <c r="I1154">
        <f>IF(Квартиры!I1152="","",Квартиры!I1152)</f>
        <v/>
      </c>
      <c r="J1154">
        <f>IF(Квартиры!J1152="","",Квартиры!J1152)</f>
        <v/>
      </c>
    </row>
    <row r="1155">
      <c r="A1155">
        <f>IF(Квартиры!A1153="","",Квартиры!A1153)</f>
        <v/>
      </c>
      <c r="B1155">
        <f>IF(Квартиры!B1153="","",Квартиры!B1153)</f>
        <v/>
      </c>
      <c r="C1155">
        <f>IF(Квартиры!C1153="","",Квартиры!C1153)</f>
        <v/>
      </c>
      <c r="D1155">
        <f>IF(Квартиры!D1153="","",Квартиры!D1153)</f>
        <v/>
      </c>
      <c r="E1155">
        <f>IF(Квартиры!G1153="","",Квартиры!G1153)</f>
        <v/>
      </c>
      <c r="F1155">
        <f>IF(Квартиры!E1153="","",Квартиры!E1153)</f>
        <v/>
      </c>
      <c r="G1155">
        <f>IF(Квартиры!F1153="","",Квартиры!F1153)</f>
        <v/>
      </c>
      <c r="H1155">
        <f>IF(Квартиры!H1153="","",Квартиры!H1153)</f>
        <v/>
      </c>
      <c r="I1155">
        <f>IF(Квартиры!I1153="","",Квартиры!I1153)</f>
        <v/>
      </c>
      <c r="J1155">
        <f>IF(Квартиры!J1153="","",Квартиры!J1153)</f>
        <v/>
      </c>
    </row>
    <row r="1156">
      <c r="A1156">
        <f>IF(Квартиры!A1154="","",Квартиры!A1154)</f>
        <v/>
      </c>
      <c r="B1156">
        <f>IF(Квартиры!B1154="","",Квартиры!B1154)</f>
        <v/>
      </c>
      <c r="C1156">
        <f>IF(Квартиры!C1154="","",Квартиры!C1154)</f>
        <v/>
      </c>
      <c r="D1156">
        <f>IF(Квартиры!D1154="","",Квартиры!D1154)</f>
        <v/>
      </c>
      <c r="E1156">
        <f>IF(Квартиры!G1154="","",Квартиры!G1154)</f>
        <v/>
      </c>
      <c r="F1156">
        <f>IF(Квартиры!E1154="","",Квартиры!E1154)</f>
        <v/>
      </c>
      <c r="G1156">
        <f>IF(Квартиры!F1154="","",Квартиры!F1154)</f>
        <v/>
      </c>
      <c r="H1156">
        <f>IF(Квартиры!H1154="","",Квартиры!H1154)</f>
        <v/>
      </c>
      <c r="I1156">
        <f>IF(Квартиры!I1154="","",Квартиры!I1154)</f>
        <v/>
      </c>
      <c r="J1156">
        <f>IF(Квартиры!J1154="","",Квартиры!J1154)</f>
        <v/>
      </c>
    </row>
    <row r="1157">
      <c r="A1157">
        <f>IF(Квартиры!A1155="","",Квартиры!A1155)</f>
        <v/>
      </c>
      <c r="B1157">
        <f>IF(Квартиры!B1155="","",Квартиры!B1155)</f>
        <v/>
      </c>
      <c r="C1157">
        <f>IF(Квартиры!C1155="","",Квартиры!C1155)</f>
        <v/>
      </c>
      <c r="D1157">
        <f>IF(Квартиры!D1155="","",Квартиры!D1155)</f>
        <v/>
      </c>
      <c r="E1157">
        <f>IF(Квартиры!G1155="","",Квартиры!G1155)</f>
        <v/>
      </c>
      <c r="F1157">
        <f>IF(Квартиры!E1155="","",Квартиры!E1155)</f>
        <v/>
      </c>
      <c r="G1157">
        <f>IF(Квартиры!F1155="","",Квартиры!F1155)</f>
        <v/>
      </c>
      <c r="H1157">
        <f>IF(Квартиры!H1155="","",Квартиры!H1155)</f>
        <v/>
      </c>
      <c r="I1157">
        <f>IF(Квартиры!I1155="","",Квартиры!I1155)</f>
        <v/>
      </c>
      <c r="J1157">
        <f>IF(Квартиры!J1155="","",Квартиры!J1155)</f>
        <v/>
      </c>
    </row>
    <row r="1158">
      <c r="A1158">
        <f>IF(Квартиры!A1156="","",Квартиры!A1156)</f>
        <v/>
      </c>
      <c r="B1158">
        <f>IF(Квартиры!B1156="","",Квартиры!B1156)</f>
        <v/>
      </c>
      <c r="C1158">
        <f>IF(Квартиры!C1156="","",Квартиры!C1156)</f>
        <v/>
      </c>
      <c r="D1158">
        <f>IF(Квартиры!D1156="","",Квартиры!D1156)</f>
        <v/>
      </c>
      <c r="E1158">
        <f>IF(Квартиры!G1156="","",Квартиры!G1156)</f>
        <v/>
      </c>
      <c r="F1158">
        <f>IF(Квартиры!E1156="","",Квартиры!E1156)</f>
        <v/>
      </c>
      <c r="G1158">
        <f>IF(Квартиры!F1156="","",Квартиры!F1156)</f>
        <v/>
      </c>
      <c r="H1158">
        <f>IF(Квартиры!H1156="","",Квартиры!H1156)</f>
        <v/>
      </c>
      <c r="I1158">
        <f>IF(Квартиры!I1156="","",Квартиры!I1156)</f>
        <v/>
      </c>
      <c r="J1158">
        <f>IF(Квартиры!J1156="","",Квартиры!J1156)</f>
        <v/>
      </c>
    </row>
    <row r="1159">
      <c r="A1159">
        <f>IF(Квартиры!A1157="","",Квартиры!A1157)</f>
        <v/>
      </c>
      <c r="B1159">
        <f>IF(Квартиры!B1157="","",Квартиры!B1157)</f>
        <v/>
      </c>
      <c r="C1159">
        <f>IF(Квартиры!C1157="","",Квартиры!C1157)</f>
        <v/>
      </c>
      <c r="D1159">
        <f>IF(Квартиры!D1157="","",Квартиры!D1157)</f>
        <v/>
      </c>
      <c r="E1159">
        <f>IF(Квартиры!G1157="","",Квартиры!G1157)</f>
        <v/>
      </c>
      <c r="F1159">
        <f>IF(Квартиры!E1157="","",Квартиры!E1157)</f>
        <v/>
      </c>
      <c r="G1159">
        <f>IF(Квартиры!F1157="","",Квартиры!F1157)</f>
        <v/>
      </c>
      <c r="H1159">
        <f>IF(Квартиры!H1157="","",Квартиры!H1157)</f>
        <v/>
      </c>
      <c r="I1159">
        <f>IF(Квартиры!I1157="","",Квартиры!I1157)</f>
        <v/>
      </c>
      <c r="J1159">
        <f>IF(Квартиры!J1157="","",Квартиры!J1157)</f>
        <v/>
      </c>
    </row>
    <row r="1160">
      <c r="A1160">
        <f>IF(Квартиры!A1158="","",Квартиры!A1158)</f>
        <v/>
      </c>
      <c r="B1160">
        <f>IF(Квартиры!B1158="","",Квартиры!B1158)</f>
        <v/>
      </c>
      <c r="C1160">
        <f>IF(Квартиры!C1158="","",Квартиры!C1158)</f>
        <v/>
      </c>
      <c r="D1160">
        <f>IF(Квартиры!D1158="","",Квартиры!D1158)</f>
        <v/>
      </c>
      <c r="E1160">
        <f>IF(Квартиры!G1158="","",Квартиры!G1158)</f>
        <v/>
      </c>
      <c r="F1160">
        <f>IF(Квартиры!E1158="","",Квартиры!E1158)</f>
        <v/>
      </c>
      <c r="G1160">
        <f>IF(Квартиры!F1158="","",Квартиры!F1158)</f>
        <v/>
      </c>
      <c r="H1160">
        <f>IF(Квартиры!H1158="","",Квартиры!H1158)</f>
        <v/>
      </c>
      <c r="I1160">
        <f>IF(Квартиры!I1158="","",Квартиры!I1158)</f>
        <v/>
      </c>
      <c r="J1160">
        <f>IF(Квартиры!J1158="","",Квартиры!J1158)</f>
        <v/>
      </c>
    </row>
    <row r="1161">
      <c r="A1161">
        <f>IF(Квартиры!A1159="","",Квартиры!A1159)</f>
        <v/>
      </c>
      <c r="B1161">
        <f>IF(Квартиры!B1159="","",Квартиры!B1159)</f>
        <v/>
      </c>
      <c r="C1161">
        <f>IF(Квартиры!C1159="","",Квартиры!C1159)</f>
        <v/>
      </c>
      <c r="D1161">
        <f>IF(Квартиры!D1159="","",Квартиры!D1159)</f>
        <v/>
      </c>
      <c r="E1161">
        <f>IF(Квартиры!G1159="","",Квартиры!G1159)</f>
        <v/>
      </c>
      <c r="F1161">
        <f>IF(Квартиры!E1159="","",Квартиры!E1159)</f>
        <v/>
      </c>
      <c r="G1161">
        <f>IF(Квартиры!F1159="","",Квартиры!F1159)</f>
        <v/>
      </c>
      <c r="H1161">
        <f>IF(Квартиры!H1159="","",Квартиры!H1159)</f>
        <v/>
      </c>
      <c r="I1161">
        <f>IF(Квартиры!I1159="","",Квартиры!I1159)</f>
        <v/>
      </c>
      <c r="J1161">
        <f>IF(Квартиры!J1159="","",Квартиры!J1159)</f>
        <v/>
      </c>
    </row>
    <row r="1162">
      <c r="A1162">
        <f>IF(Квартиры!A1160="","",Квартиры!A1160)</f>
        <v/>
      </c>
      <c r="B1162">
        <f>IF(Квартиры!B1160="","",Квартиры!B1160)</f>
        <v/>
      </c>
      <c r="C1162">
        <f>IF(Квартиры!C1160="","",Квартиры!C1160)</f>
        <v/>
      </c>
      <c r="D1162">
        <f>IF(Квартиры!D1160="","",Квартиры!D1160)</f>
        <v/>
      </c>
      <c r="E1162">
        <f>IF(Квартиры!G1160="","",Квартиры!G1160)</f>
        <v/>
      </c>
      <c r="F1162">
        <f>IF(Квартиры!E1160="","",Квартиры!E1160)</f>
        <v/>
      </c>
      <c r="G1162">
        <f>IF(Квартиры!F1160="","",Квартиры!F1160)</f>
        <v/>
      </c>
      <c r="H1162">
        <f>IF(Квартиры!H1160="","",Квартиры!H1160)</f>
        <v/>
      </c>
      <c r="I1162">
        <f>IF(Квартиры!I1160="","",Квартиры!I1160)</f>
        <v/>
      </c>
      <c r="J1162">
        <f>IF(Квартиры!J1160="","",Квартиры!J1160)</f>
        <v/>
      </c>
    </row>
    <row r="1163">
      <c r="A1163">
        <f>IF(Квартиры!A1161="","",Квартиры!A1161)</f>
        <v/>
      </c>
      <c r="B1163">
        <f>IF(Квартиры!B1161="","",Квартиры!B1161)</f>
        <v/>
      </c>
      <c r="C1163">
        <f>IF(Квартиры!C1161="","",Квартиры!C1161)</f>
        <v/>
      </c>
      <c r="D1163">
        <f>IF(Квартиры!D1161="","",Квартиры!D1161)</f>
        <v/>
      </c>
      <c r="E1163">
        <f>IF(Квартиры!G1161="","",Квартиры!G1161)</f>
        <v/>
      </c>
      <c r="F1163">
        <f>IF(Квартиры!E1161="","",Квартиры!E1161)</f>
        <v/>
      </c>
      <c r="G1163">
        <f>IF(Квартиры!F1161="","",Квартиры!F1161)</f>
        <v/>
      </c>
      <c r="H1163">
        <f>IF(Квартиры!H1161="","",Квартиры!H1161)</f>
        <v/>
      </c>
      <c r="I1163">
        <f>IF(Квартиры!I1161="","",Квартиры!I1161)</f>
        <v/>
      </c>
      <c r="J1163">
        <f>IF(Квартиры!J1161="","",Квартиры!J1161)</f>
        <v/>
      </c>
    </row>
    <row r="1164">
      <c r="A1164">
        <f>IF(Квартиры!A1162="","",Квартиры!A1162)</f>
        <v/>
      </c>
      <c r="B1164">
        <f>IF(Квартиры!B1162="","",Квартиры!B1162)</f>
        <v/>
      </c>
      <c r="C1164">
        <f>IF(Квартиры!C1162="","",Квартиры!C1162)</f>
        <v/>
      </c>
      <c r="D1164">
        <f>IF(Квартиры!D1162="","",Квартиры!D1162)</f>
        <v/>
      </c>
      <c r="E1164">
        <f>IF(Квартиры!G1162="","",Квартиры!G1162)</f>
        <v/>
      </c>
      <c r="F1164">
        <f>IF(Квартиры!E1162="","",Квартиры!E1162)</f>
        <v/>
      </c>
      <c r="G1164">
        <f>IF(Квартиры!F1162="","",Квартиры!F1162)</f>
        <v/>
      </c>
      <c r="H1164">
        <f>IF(Квартиры!H1162="","",Квартиры!H1162)</f>
        <v/>
      </c>
      <c r="I1164">
        <f>IF(Квартиры!I1162="","",Квартиры!I1162)</f>
        <v/>
      </c>
      <c r="J1164">
        <f>IF(Квартиры!J1162="","",Квартиры!J1162)</f>
        <v/>
      </c>
    </row>
    <row r="1165">
      <c r="A1165">
        <f>IF(Квартиры!A1163="","",Квартиры!A1163)</f>
        <v/>
      </c>
      <c r="B1165">
        <f>IF(Квартиры!B1163="","",Квартиры!B1163)</f>
        <v/>
      </c>
      <c r="C1165">
        <f>IF(Квартиры!C1163="","",Квартиры!C1163)</f>
        <v/>
      </c>
      <c r="D1165">
        <f>IF(Квартиры!D1163="","",Квартиры!D1163)</f>
        <v/>
      </c>
      <c r="E1165">
        <f>IF(Квартиры!G1163="","",Квартиры!G1163)</f>
        <v/>
      </c>
      <c r="F1165">
        <f>IF(Квартиры!E1163="","",Квартиры!E1163)</f>
        <v/>
      </c>
      <c r="G1165">
        <f>IF(Квартиры!F1163="","",Квартиры!F1163)</f>
        <v/>
      </c>
      <c r="H1165">
        <f>IF(Квартиры!H1163="","",Квартиры!H1163)</f>
        <v/>
      </c>
      <c r="I1165">
        <f>IF(Квартиры!I1163="","",Квартиры!I1163)</f>
        <v/>
      </c>
      <c r="J1165">
        <f>IF(Квартиры!J1163="","",Квартиры!J1163)</f>
        <v/>
      </c>
    </row>
    <row r="1166">
      <c r="A1166">
        <f>IF(Квартиры!A1164="","",Квартиры!A1164)</f>
        <v/>
      </c>
      <c r="B1166">
        <f>IF(Квартиры!B1164="","",Квартиры!B1164)</f>
        <v/>
      </c>
      <c r="C1166">
        <f>IF(Квартиры!C1164="","",Квартиры!C1164)</f>
        <v/>
      </c>
      <c r="D1166">
        <f>IF(Квартиры!D1164="","",Квартиры!D1164)</f>
        <v/>
      </c>
      <c r="E1166">
        <f>IF(Квартиры!G1164="","",Квартиры!G1164)</f>
        <v/>
      </c>
      <c r="F1166">
        <f>IF(Квартиры!E1164="","",Квартиры!E1164)</f>
        <v/>
      </c>
      <c r="G1166">
        <f>IF(Квартиры!F1164="","",Квартиры!F1164)</f>
        <v/>
      </c>
      <c r="H1166">
        <f>IF(Квартиры!H1164="","",Квартиры!H1164)</f>
        <v/>
      </c>
      <c r="I1166">
        <f>IF(Квартиры!I1164="","",Квартиры!I1164)</f>
        <v/>
      </c>
      <c r="J1166">
        <f>IF(Квартиры!J1164="","",Квартиры!J1164)</f>
        <v/>
      </c>
    </row>
    <row r="1167">
      <c r="A1167">
        <f>IF(Квартиры!A1165="","",Квартиры!A1165)</f>
        <v/>
      </c>
      <c r="B1167">
        <f>IF(Квартиры!B1165="","",Квартиры!B1165)</f>
        <v/>
      </c>
      <c r="C1167">
        <f>IF(Квартиры!C1165="","",Квартиры!C1165)</f>
        <v/>
      </c>
      <c r="D1167">
        <f>IF(Квартиры!D1165="","",Квартиры!D1165)</f>
        <v/>
      </c>
      <c r="E1167">
        <f>IF(Квартиры!G1165="","",Квартиры!G1165)</f>
        <v/>
      </c>
      <c r="F1167">
        <f>IF(Квартиры!E1165="","",Квартиры!E1165)</f>
        <v/>
      </c>
      <c r="G1167">
        <f>IF(Квартиры!F1165="","",Квартиры!F1165)</f>
        <v/>
      </c>
      <c r="H1167">
        <f>IF(Квартиры!H1165="","",Квартиры!H1165)</f>
        <v/>
      </c>
      <c r="I1167">
        <f>IF(Квартиры!I1165="","",Квартиры!I1165)</f>
        <v/>
      </c>
      <c r="J1167">
        <f>IF(Квартиры!J1165="","",Квартиры!J1165)</f>
        <v/>
      </c>
    </row>
    <row r="1168">
      <c r="A1168">
        <f>IF(Квартиры!A1166="","",Квартиры!A1166)</f>
        <v/>
      </c>
      <c r="B1168">
        <f>IF(Квартиры!B1166="","",Квартиры!B1166)</f>
        <v/>
      </c>
      <c r="C1168">
        <f>IF(Квартиры!C1166="","",Квартиры!C1166)</f>
        <v/>
      </c>
      <c r="D1168">
        <f>IF(Квартиры!D1166="","",Квартиры!D1166)</f>
        <v/>
      </c>
      <c r="E1168">
        <f>IF(Квартиры!G1166="","",Квартиры!G1166)</f>
        <v/>
      </c>
      <c r="F1168">
        <f>IF(Квартиры!E1166="","",Квартиры!E1166)</f>
        <v/>
      </c>
      <c r="G1168">
        <f>IF(Квартиры!F1166="","",Квартиры!F1166)</f>
        <v/>
      </c>
      <c r="H1168">
        <f>IF(Квартиры!H1166="","",Квартиры!H1166)</f>
        <v/>
      </c>
      <c r="I1168">
        <f>IF(Квартиры!I1166="","",Квартиры!I1166)</f>
        <v/>
      </c>
      <c r="J1168">
        <f>IF(Квартиры!J1166="","",Квартиры!J1166)</f>
        <v/>
      </c>
    </row>
    <row r="1169">
      <c r="A1169">
        <f>IF(Квартиры!A1167="","",Квартиры!A1167)</f>
        <v/>
      </c>
      <c r="B1169">
        <f>IF(Квартиры!B1167="","",Квартиры!B1167)</f>
        <v/>
      </c>
      <c r="C1169">
        <f>IF(Квартиры!C1167="","",Квартиры!C1167)</f>
        <v/>
      </c>
      <c r="D1169">
        <f>IF(Квартиры!D1167="","",Квартиры!D1167)</f>
        <v/>
      </c>
      <c r="E1169">
        <f>IF(Квартиры!G1167="","",Квартиры!G1167)</f>
        <v/>
      </c>
      <c r="F1169">
        <f>IF(Квартиры!E1167="","",Квартиры!E1167)</f>
        <v/>
      </c>
      <c r="G1169">
        <f>IF(Квартиры!F1167="","",Квартиры!F1167)</f>
        <v/>
      </c>
      <c r="H1169">
        <f>IF(Квартиры!H1167="","",Квартиры!H1167)</f>
        <v/>
      </c>
      <c r="I1169">
        <f>IF(Квартиры!I1167="","",Квартиры!I1167)</f>
        <v/>
      </c>
      <c r="J1169">
        <f>IF(Квартиры!J1167="","",Квартиры!J1167)</f>
        <v/>
      </c>
    </row>
    <row r="1170">
      <c r="A1170">
        <f>IF(Квартиры!A1168="","",Квартиры!A1168)</f>
        <v/>
      </c>
      <c r="B1170">
        <f>IF(Квартиры!B1168="","",Квартиры!B1168)</f>
        <v/>
      </c>
      <c r="C1170">
        <f>IF(Квартиры!C1168="","",Квартиры!C1168)</f>
        <v/>
      </c>
      <c r="D1170">
        <f>IF(Квартиры!D1168="","",Квартиры!D1168)</f>
        <v/>
      </c>
      <c r="E1170">
        <f>IF(Квартиры!G1168="","",Квартиры!G1168)</f>
        <v/>
      </c>
      <c r="F1170">
        <f>IF(Квартиры!E1168="","",Квартиры!E1168)</f>
        <v/>
      </c>
      <c r="G1170">
        <f>IF(Квартиры!F1168="","",Квартиры!F1168)</f>
        <v/>
      </c>
      <c r="H1170">
        <f>IF(Квартиры!H1168="","",Квартиры!H1168)</f>
        <v/>
      </c>
      <c r="I1170">
        <f>IF(Квартиры!I1168="","",Квартиры!I1168)</f>
        <v/>
      </c>
      <c r="J1170">
        <f>IF(Квартиры!J1168="","",Квартиры!J1168)</f>
        <v/>
      </c>
    </row>
    <row r="1171">
      <c r="A1171">
        <f>IF(Квартиры!A1169="","",Квартиры!A1169)</f>
        <v/>
      </c>
      <c r="B1171">
        <f>IF(Квартиры!B1169="","",Квартиры!B1169)</f>
        <v/>
      </c>
      <c r="C1171">
        <f>IF(Квартиры!C1169="","",Квартиры!C1169)</f>
        <v/>
      </c>
      <c r="D1171">
        <f>IF(Квартиры!D1169="","",Квартиры!D1169)</f>
        <v/>
      </c>
      <c r="E1171">
        <f>IF(Квартиры!G1169="","",Квартиры!G1169)</f>
        <v/>
      </c>
      <c r="F1171">
        <f>IF(Квартиры!E1169="","",Квартиры!E1169)</f>
        <v/>
      </c>
      <c r="G1171">
        <f>IF(Квартиры!F1169="","",Квартиры!F1169)</f>
        <v/>
      </c>
      <c r="H1171">
        <f>IF(Квартиры!H1169="","",Квартиры!H1169)</f>
        <v/>
      </c>
      <c r="I1171">
        <f>IF(Квартиры!I1169="","",Квартиры!I1169)</f>
        <v/>
      </c>
      <c r="J1171">
        <f>IF(Квартиры!J1169="","",Квартиры!J1169)</f>
        <v/>
      </c>
    </row>
    <row r="1172">
      <c r="A1172">
        <f>IF(Квартиры!A1170="","",Квартиры!A1170)</f>
        <v/>
      </c>
      <c r="B1172">
        <f>IF(Квартиры!B1170="","",Квартиры!B1170)</f>
        <v/>
      </c>
      <c r="C1172">
        <f>IF(Квартиры!C1170="","",Квартиры!C1170)</f>
        <v/>
      </c>
      <c r="D1172">
        <f>IF(Квартиры!D1170="","",Квартиры!D1170)</f>
        <v/>
      </c>
      <c r="E1172">
        <f>IF(Квартиры!G1170="","",Квартиры!G1170)</f>
        <v/>
      </c>
      <c r="F1172">
        <f>IF(Квартиры!E1170="","",Квартиры!E1170)</f>
        <v/>
      </c>
      <c r="G1172">
        <f>IF(Квартиры!F1170="","",Квартиры!F1170)</f>
        <v/>
      </c>
      <c r="H1172">
        <f>IF(Квартиры!H1170="","",Квартиры!H1170)</f>
        <v/>
      </c>
      <c r="I1172">
        <f>IF(Квартиры!I1170="","",Квартиры!I1170)</f>
        <v/>
      </c>
      <c r="J1172">
        <f>IF(Квартиры!J1170="","",Квартиры!J1170)</f>
        <v/>
      </c>
    </row>
    <row r="1173">
      <c r="A1173">
        <f>IF(Квартиры!A1171="","",Квартиры!A1171)</f>
        <v/>
      </c>
      <c r="B1173">
        <f>IF(Квартиры!B1171="","",Квартиры!B1171)</f>
        <v/>
      </c>
      <c r="C1173">
        <f>IF(Квартиры!C1171="","",Квартиры!C1171)</f>
        <v/>
      </c>
      <c r="D1173">
        <f>IF(Квартиры!D1171="","",Квартиры!D1171)</f>
        <v/>
      </c>
      <c r="E1173">
        <f>IF(Квартиры!G1171="","",Квартиры!G1171)</f>
        <v/>
      </c>
      <c r="F1173">
        <f>IF(Квартиры!E1171="","",Квартиры!E1171)</f>
        <v/>
      </c>
      <c r="G1173">
        <f>IF(Квартиры!F1171="","",Квартиры!F1171)</f>
        <v/>
      </c>
      <c r="H1173">
        <f>IF(Квартиры!H1171="","",Квартиры!H1171)</f>
        <v/>
      </c>
      <c r="I1173">
        <f>IF(Квартиры!I1171="","",Квартиры!I1171)</f>
        <v/>
      </c>
      <c r="J1173">
        <f>IF(Квартиры!J1171="","",Квартиры!J1171)</f>
        <v/>
      </c>
    </row>
    <row r="1174">
      <c r="A1174">
        <f>IF(Квартиры!A1172="","",Квартиры!A1172)</f>
        <v/>
      </c>
      <c r="B1174">
        <f>IF(Квартиры!B1172="","",Квартиры!B1172)</f>
        <v/>
      </c>
      <c r="C1174">
        <f>IF(Квартиры!C1172="","",Квартиры!C1172)</f>
        <v/>
      </c>
      <c r="D1174">
        <f>IF(Квартиры!D1172="","",Квартиры!D1172)</f>
        <v/>
      </c>
      <c r="E1174">
        <f>IF(Квартиры!G1172="","",Квартиры!G1172)</f>
        <v/>
      </c>
      <c r="F1174">
        <f>IF(Квартиры!E1172="","",Квартиры!E1172)</f>
        <v/>
      </c>
      <c r="G1174">
        <f>IF(Квартиры!F1172="","",Квартиры!F1172)</f>
        <v/>
      </c>
      <c r="H1174">
        <f>IF(Квартиры!H1172="","",Квартиры!H1172)</f>
        <v/>
      </c>
      <c r="I1174">
        <f>IF(Квартиры!I1172="","",Квартиры!I1172)</f>
        <v/>
      </c>
      <c r="J1174">
        <f>IF(Квартиры!J1172="","",Квартиры!J1172)</f>
        <v/>
      </c>
    </row>
    <row r="1175">
      <c r="A1175">
        <f>IF(Квартиры!A1173="","",Квартиры!A1173)</f>
        <v/>
      </c>
      <c r="B1175">
        <f>IF(Квартиры!B1173="","",Квартиры!B1173)</f>
        <v/>
      </c>
      <c r="C1175">
        <f>IF(Квартиры!C1173="","",Квартиры!C1173)</f>
        <v/>
      </c>
      <c r="D1175">
        <f>IF(Квартиры!D1173="","",Квартиры!D1173)</f>
        <v/>
      </c>
      <c r="E1175">
        <f>IF(Квартиры!G1173="","",Квартиры!G1173)</f>
        <v/>
      </c>
      <c r="F1175">
        <f>IF(Квартиры!E1173="","",Квартиры!E1173)</f>
        <v/>
      </c>
      <c r="G1175">
        <f>IF(Квартиры!F1173="","",Квартиры!F1173)</f>
        <v/>
      </c>
      <c r="H1175">
        <f>IF(Квартиры!H1173="","",Квартиры!H1173)</f>
        <v/>
      </c>
      <c r="I1175">
        <f>IF(Квартиры!I1173="","",Квартиры!I1173)</f>
        <v/>
      </c>
      <c r="J1175">
        <f>IF(Квартиры!J1173="","",Квартиры!J1173)</f>
        <v/>
      </c>
    </row>
    <row r="1176">
      <c r="A1176">
        <f>IF(Квартиры!A1174="","",Квартиры!A1174)</f>
        <v/>
      </c>
      <c r="B1176">
        <f>IF(Квартиры!B1174="","",Квартиры!B1174)</f>
        <v/>
      </c>
      <c r="C1176">
        <f>IF(Квартиры!C1174="","",Квартиры!C1174)</f>
        <v/>
      </c>
      <c r="D1176">
        <f>IF(Квартиры!D1174="","",Квартиры!D1174)</f>
        <v/>
      </c>
      <c r="E1176">
        <f>IF(Квартиры!G1174="","",Квартиры!G1174)</f>
        <v/>
      </c>
      <c r="F1176">
        <f>IF(Квартиры!E1174="","",Квартиры!E1174)</f>
        <v/>
      </c>
      <c r="G1176">
        <f>IF(Квартиры!F1174="","",Квартиры!F1174)</f>
        <v/>
      </c>
      <c r="H1176">
        <f>IF(Квартиры!H1174="","",Квартиры!H1174)</f>
        <v/>
      </c>
      <c r="I1176">
        <f>IF(Квартиры!I1174="","",Квартиры!I1174)</f>
        <v/>
      </c>
      <c r="J1176">
        <f>IF(Квартиры!J1174="","",Квартиры!J1174)</f>
        <v/>
      </c>
    </row>
    <row r="1177">
      <c r="A1177">
        <f>IF(Квартиры!A1175="","",Квартиры!A1175)</f>
        <v/>
      </c>
      <c r="B1177">
        <f>IF(Квартиры!B1175="","",Квартиры!B1175)</f>
        <v/>
      </c>
      <c r="C1177">
        <f>IF(Квартиры!C1175="","",Квартиры!C1175)</f>
        <v/>
      </c>
      <c r="D1177">
        <f>IF(Квартиры!D1175="","",Квартиры!D1175)</f>
        <v/>
      </c>
      <c r="E1177">
        <f>IF(Квартиры!G1175="","",Квартиры!G1175)</f>
        <v/>
      </c>
      <c r="F1177">
        <f>IF(Квартиры!E1175="","",Квартиры!E1175)</f>
        <v/>
      </c>
      <c r="G1177">
        <f>IF(Квартиры!F1175="","",Квартиры!F1175)</f>
        <v/>
      </c>
      <c r="H1177">
        <f>IF(Квартиры!H1175="","",Квартиры!H1175)</f>
        <v/>
      </c>
      <c r="I1177">
        <f>IF(Квартиры!I1175="","",Квартиры!I1175)</f>
        <v/>
      </c>
      <c r="J1177">
        <f>IF(Квартиры!J1175="","",Квартиры!J1175)</f>
        <v/>
      </c>
    </row>
    <row r="1178">
      <c r="A1178">
        <f>IF(Квартиры!A1176="","",Квартиры!A1176)</f>
        <v/>
      </c>
      <c r="B1178">
        <f>IF(Квартиры!B1176="","",Квартиры!B1176)</f>
        <v/>
      </c>
      <c r="C1178">
        <f>IF(Квартиры!C1176="","",Квартиры!C1176)</f>
        <v/>
      </c>
      <c r="D1178">
        <f>IF(Квартиры!D1176="","",Квартиры!D1176)</f>
        <v/>
      </c>
      <c r="E1178">
        <f>IF(Квартиры!G1176="","",Квартиры!G1176)</f>
        <v/>
      </c>
      <c r="F1178">
        <f>IF(Квартиры!E1176="","",Квартиры!E1176)</f>
        <v/>
      </c>
      <c r="G1178">
        <f>IF(Квартиры!F1176="","",Квартиры!F1176)</f>
        <v/>
      </c>
      <c r="H1178">
        <f>IF(Квартиры!H1176="","",Квартиры!H1176)</f>
        <v/>
      </c>
      <c r="I1178">
        <f>IF(Квартиры!I1176="","",Квартиры!I1176)</f>
        <v/>
      </c>
      <c r="J1178">
        <f>IF(Квартиры!J1176="","",Квартиры!J1176)</f>
        <v/>
      </c>
    </row>
    <row r="1179">
      <c r="A1179">
        <f>IF(Квартиры!A1177="","",Квартиры!A1177)</f>
        <v/>
      </c>
      <c r="B1179">
        <f>IF(Квартиры!B1177="","",Квартиры!B1177)</f>
        <v/>
      </c>
      <c r="C1179">
        <f>IF(Квартиры!C1177="","",Квартиры!C1177)</f>
        <v/>
      </c>
      <c r="D1179">
        <f>IF(Квартиры!D1177="","",Квартиры!D1177)</f>
        <v/>
      </c>
      <c r="E1179">
        <f>IF(Квартиры!G1177="","",Квартиры!G1177)</f>
        <v/>
      </c>
      <c r="F1179">
        <f>IF(Квартиры!E1177="","",Квартиры!E1177)</f>
        <v/>
      </c>
      <c r="G1179">
        <f>IF(Квартиры!F1177="","",Квартиры!F1177)</f>
        <v/>
      </c>
      <c r="H1179">
        <f>IF(Квартиры!H1177="","",Квартиры!H1177)</f>
        <v/>
      </c>
      <c r="I1179">
        <f>IF(Квартиры!I1177="","",Квартиры!I1177)</f>
        <v/>
      </c>
      <c r="J1179">
        <f>IF(Квартиры!J1177="","",Квартиры!J1177)</f>
        <v/>
      </c>
    </row>
    <row r="1180">
      <c r="A1180">
        <f>IF(Квартиры!A1178="","",Квартиры!A1178)</f>
        <v/>
      </c>
      <c r="B1180">
        <f>IF(Квартиры!B1178="","",Квартиры!B1178)</f>
        <v/>
      </c>
      <c r="C1180">
        <f>IF(Квартиры!C1178="","",Квартиры!C1178)</f>
        <v/>
      </c>
      <c r="D1180">
        <f>IF(Квартиры!D1178="","",Квартиры!D1178)</f>
        <v/>
      </c>
      <c r="E1180">
        <f>IF(Квартиры!G1178="","",Квартиры!G1178)</f>
        <v/>
      </c>
      <c r="F1180">
        <f>IF(Квартиры!E1178="","",Квартиры!E1178)</f>
        <v/>
      </c>
      <c r="G1180">
        <f>IF(Квартиры!F1178="","",Квартиры!F1178)</f>
        <v/>
      </c>
      <c r="H1180">
        <f>IF(Квартиры!H1178="","",Квартиры!H1178)</f>
        <v/>
      </c>
      <c r="I1180">
        <f>IF(Квартиры!I1178="","",Квартиры!I1178)</f>
        <v/>
      </c>
      <c r="J1180">
        <f>IF(Квартиры!J1178="","",Квартиры!J1178)</f>
        <v/>
      </c>
    </row>
    <row r="1181">
      <c r="A1181">
        <f>IF(Квартиры!A1179="","",Квартиры!A1179)</f>
        <v/>
      </c>
      <c r="B1181">
        <f>IF(Квартиры!B1179="","",Квартиры!B1179)</f>
        <v/>
      </c>
      <c r="C1181">
        <f>IF(Квартиры!C1179="","",Квартиры!C1179)</f>
        <v/>
      </c>
      <c r="D1181">
        <f>IF(Квартиры!D1179="","",Квартиры!D1179)</f>
        <v/>
      </c>
      <c r="E1181">
        <f>IF(Квартиры!G1179="","",Квартиры!G1179)</f>
        <v/>
      </c>
      <c r="F1181">
        <f>IF(Квартиры!E1179="","",Квартиры!E1179)</f>
        <v/>
      </c>
      <c r="G1181">
        <f>IF(Квартиры!F1179="","",Квартиры!F1179)</f>
        <v/>
      </c>
      <c r="H1181">
        <f>IF(Квартиры!H1179="","",Квартиры!H1179)</f>
        <v/>
      </c>
      <c r="I1181">
        <f>IF(Квартиры!I1179="","",Квартиры!I1179)</f>
        <v/>
      </c>
      <c r="J1181">
        <f>IF(Квартиры!J1179="","",Квартиры!J1179)</f>
        <v/>
      </c>
    </row>
    <row r="1182">
      <c r="A1182">
        <f>IF(Квартиры!A1180="","",Квартиры!A1180)</f>
        <v/>
      </c>
      <c r="B1182">
        <f>IF(Квартиры!B1180="","",Квартиры!B1180)</f>
        <v/>
      </c>
      <c r="C1182">
        <f>IF(Квартиры!C1180="","",Квартиры!C1180)</f>
        <v/>
      </c>
      <c r="D1182">
        <f>IF(Квартиры!D1180="","",Квартиры!D1180)</f>
        <v/>
      </c>
      <c r="E1182">
        <f>IF(Квартиры!G1180="","",Квартиры!G1180)</f>
        <v/>
      </c>
      <c r="F1182">
        <f>IF(Квартиры!E1180="","",Квартиры!E1180)</f>
        <v/>
      </c>
      <c r="G1182">
        <f>IF(Квартиры!F1180="","",Квартиры!F1180)</f>
        <v/>
      </c>
      <c r="H1182">
        <f>IF(Квартиры!H1180="","",Квартиры!H1180)</f>
        <v/>
      </c>
      <c r="I1182">
        <f>IF(Квартиры!I1180="","",Квартиры!I1180)</f>
        <v/>
      </c>
      <c r="J1182">
        <f>IF(Квартиры!J1180="","",Квартиры!J1180)</f>
        <v/>
      </c>
    </row>
    <row r="1183">
      <c r="A1183">
        <f>IF(Квартиры!A1181="","",Квартиры!A1181)</f>
        <v/>
      </c>
      <c r="B1183">
        <f>IF(Квартиры!B1181="","",Квартиры!B1181)</f>
        <v/>
      </c>
      <c r="C1183">
        <f>IF(Квартиры!C1181="","",Квартиры!C1181)</f>
        <v/>
      </c>
      <c r="D1183">
        <f>IF(Квартиры!D1181="","",Квартиры!D1181)</f>
        <v/>
      </c>
      <c r="E1183">
        <f>IF(Квартиры!G1181="","",Квартиры!G1181)</f>
        <v/>
      </c>
      <c r="F1183">
        <f>IF(Квартиры!E1181="","",Квартиры!E1181)</f>
        <v/>
      </c>
      <c r="G1183">
        <f>IF(Квартиры!F1181="","",Квартиры!F1181)</f>
        <v/>
      </c>
      <c r="H1183">
        <f>IF(Квартиры!H1181="","",Квартиры!H1181)</f>
        <v/>
      </c>
      <c r="I1183">
        <f>IF(Квартиры!I1181="","",Квартиры!I1181)</f>
        <v/>
      </c>
      <c r="J1183">
        <f>IF(Квартиры!J1181="","",Квартиры!J1181)</f>
        <v/>
      </c>
    </row>
    <row r="1184">
      <c r="A1184">
        <f>IF(Квартиры!A1182="","",Квартиры!A1182)</f>
        <v/>
      </c>
      <c r="B1184">
        <f>IF(Квартиры!B1182="","",Квартиры!B1182)</f>
        <v/>
      </c>
      <c r="C1184">
        <f>IF(Квартиры!C1182="","",Квартиры!C1182)</f>
        <v/>
      </c>
      <c r="D1184">
        <f>IF(Квартиры!D1182="","",Квартиры!D1182)</f>
        <v/>
      </c>
      <c r="E1184">
        <f>IF(Квартиры!G1182="","",Квартиры!G1182)</f>
        <v/>
      </c>
      <c r="F1184">
        <f>IF(Квартиры!E1182="","",Квартиры!E1182)</f>
        <v/>
      </c>
      <c r="G1184">
        <f>IF(Квартиры!F1182="","",Квартиры!F1182)</f>
        <v/>
      </c>
      <c r="H1184">
        <f>IF(Квартиры!H1182="","",Квартиры!H1182)</f>
        <v/>
      </c>
      <c r="I1184">
        <f>IF(Квартиры!I1182="","",Квартиры!I1182)</f>
        <v/>
      </c>
      <c r="J1184">
        <f>IF(Квартиры!J1182="","",Квартиры!J1182)</f>
        <v/>
      </c>
    </row>
    <row r="1185">
      <c r="A1185">
        <f>IF(Квартиры!A1183="","",Квартиры!A1183)</f>
        <v/>
      </c>
      <c r="B1185">
        <f>IF(Квартиры!B1183="","",Квартиры!B1183)</f>
        <v/>
      </c>
      <c r="C1185">
        <f>IF(Квартиры!C1183="","",Квартиры!C1183)</f>
        <v/>
      </c>
      <c r="D1185">
        <f>IF(Квартиры!D1183="","",Квартиры!D1183)</f>
        <v/>
      </c>
      <c r="E1185">
        <f>IF(Квартиры!G1183="","",Квартиры!G1183)</f>
        <v/>
      </c>
      <c r="F1185">
        <f>IF(Квартиры!E1183="","",Квартиры!E1183)</f>
        <v/>
      </c>
      <c r="G1185">
        <f>IF(Квартиры!F1183="","",Квартиры!F1183)</f>
        <v/>
      </c>
      <c r="H1185">
        <f>IF(Квартиры!H1183="","",Квартиры!H1183)</f>
        <v/>
      </c>
      <c r="I1185">
        <f>IF(Квартиры!I1183="","",Квартиры!I1183)</f>
        <v/>
      </c>
      <c r="J1185">
        <f>IF(Квартиры!J1183="","",Квартиры!J1183)</f>
        <v/>
      </c>
    </row>
    <row r="1186">
      <c r="A1186">
        <f>IF(Квартиры!A1184="","",Квартиры!A1184)</f>
        <v/>
      </c>
      <c r="B1186">
        <f>IF(Квартиры!B1184="","",Квартиры!B1184)</f>
        <v/>
      </c>
      <c r="C1186">
        <f>IF(Квартиры!C1184="","",Квартиры!C1184)</f>
        <v/>
      </c>
      <c r="D1186">
        <f>IF(Квартиры!D1184="","",Квартиры!D1184)</f>
        <v/>
      </c>
      <c r="E1186">
        <f>IF(Квартиры!G1184="","",Квартиры!G1184)</f>
        <v/>
      </c>
      <c r="F1186">
        <f>IF(Квартиры!E1184="","",Квартиры!E1184)</f>
        <v/>
      </c>
      <c r="G1186">
        <f>IF(Квартиры!F1184="","",Квартиры!F1184)</f>
        <v/>
      </c>
      <c r="H1186">
        <f>IF(Квартиры!H1184="","",Квартиры!H1184)</f>
        <v/>
      </c>
      <c r="I1186">
        <f>IF(Квартиры!I1184="","",Квартиры!I1184)</f>
        <v/>
      </c>
      <c r="J1186">
        <f>IF(Квартиры!J1184="","",Квартиры!J1184)</f>
        <v/>
      </c>
    </row>
    <row r="1187">
      <c r="A1187">
        <f>IF(Квартиры!A1185="","",Квартиры!A1185)</f>
        <v/>
      </c>
      <c r="B1187">
        <f>IF(Квартиры!B1185="","",Квартиры!B1185)</f>
        <v/>
      </c>
      <c r="C1187">
        <f>IF(Квартиры!C1185="","",Квартиры!C1185)</f>
        <v/>
      </c>
      <c r="D1187">
        <f>IF(Квартиры!D1185="","",Квартиры!D1185)</f>
        <v/>
      </c>
      <c r="E1187">
        <f>IF(Квартиры!G1185="","",Квартиры!G1185)</f>
        <v/>
      </c>
      <c r="F1187">
        <f>IF(Квартиры!E1185="","",Квартиры!E1185)</f>
        <v/>
      </c>
      <c r="G1187">
        <f>IF(Квартиры!F1185="","",Квартиры!F1185)</f>
        <v/>
      </c>
      <c r="H1187">
        <f>IF(Квартиры!H1185="","",Квартиры!H1185)</f>
        <v/>
      </c>
      <c r="I1187">
        <f>IF(Квартиры!I1185="","",Квартиры!I1185)</f>
        <v/>
      </c>
      <c r="J1187">
        <f>IF(Квартиры!J1185="","",Квартиры!J1185)</f>
        <v/>
      </c>
    </row>
    <row r="1188">
      <c r="A1188">
        <f>IF(Квартиры!A1186="","",Квартиры!A1186)</f>
        <v/>
      </c>
      <c r="B1188">
        <f>IF(Квартиры!B1186="","",Квартиры!B1186)</f>
        <v/>
      </c>
      <c r="C1188">
        <f>IF(Квартиры!C1186="","",Квартиры!C1186)</f>
        <v/>
      </c>
      <c r="D1188">
        <f>IF(Квартиры!D1186="","",Квартиры!D1186)</f>
        <v/>
      </c>
      <c r="E1188">
        <f>IF(Квартиры!G1186="","",Квартиры!G1186)</f>
        <v/>
      </c>
      <c r="F1188">
        <f>IF(Квартиры!E1186="","",Квартиры!E1186)</f>
        <v/>
      </c>
      <c r="G1188">
        <f>IF(Квартиры!F1186="","",Квартиры!F1186)</f>
        <v/>
      </c>
      <c r="H1188">
        <f>IF(Квартиры!H1186="","",Квартиры!H1186)</f>
        <v/>
      </c>
      <c r="I1188">
        <f>IF(Квартиры!I1186="","",Квартиры!I1186)</f>
        <v/>
      </c>
      <c r="J1188">
        <f>IF(Квартиры!J1186="","",Квартиры!J1186)</f>
        <v/>
      </c>
    </row>
    <row r="1189">
      <c r="A1189">
        <f>IF(Квартиры!A1187="","",Квартиры!A1187)</f>
        <v/>
      </c>
      <c r="B1189">
        <f>IF(Квартиры!B1187="","",Квартиры!B1187)</f>
        <v/>
      </c>
      <c r="C1189">
        <f>IF(Квартиры!C1187="","",Квартиры!C1187)</f>
        <v/>
      </c>
      <c r="D1189">
        <f>IF(Квартиры!D1187="","",Квартиры!D1187)</f>
        <v/>
      </c>
      <c r="E1189">
        <f>IF(Квартиры!G1187="","",Квартиры!G1187)</f>
        <v/>
      </c>
      <c r="F1189">
        <f>IF(Квартиры!E1187="","",Квартиры!E1187)</f>
        <v/>
      </c>
      <c r="G1189">
        <f>IF(Квартиры!F1187="","",Квартиры!F1187)</f>
        <v/>
      </c>
      <c r="H1189">
        <f>IF(Квартиры!H1187="","",Квартиры!H1187)</f>
        <v/>
      </c>
      <c r="I1189">
        <f>IF(Квартиры!I1187="","",Квартиры!I1187)</f>
        <v/>
      </c>
      <c r="J1189">
        <f>IF(Квартиры!J1187="","",Квартиры!J1187)</f>
        <v/>
      </c>
    </row>
    <row r="1190">
      <c r="A1190">
        <f>IF(Квартиры!A1188="","",Квартиры!A1188)</f>
        <v/>
      </c>
      <c r="B1190">
        <f>IF(Квартиры!B1188="","",Квартиры!B1188)</f>
        <v/>
      </c>
      <c r="C1190">
        <f>IF(Квартиры!C1188="","",Квартиры!C1188)</f>
        <v/>
      </c>
      <c r="D1190">
        <f>IF(Квартиры!D1188="","",Квартиры!D1188)</f>
        <v/>
      </c>
      <c r="E1190">
        <f>IF(Квартиры!G1188="","",Квартиры!G1188)</f>
        <v/>
      </c>
      <c r="F1190">
        <f>IF(Квартиры!E1188="","",Квартиры!E1188)</f>
        <v/>
      </c>
      <c r="G1190">
        <f>IF(Квартиры!F1188="","",Квартиры!F1188)</f>
        <v/>
      </c>
      <c r="H1190">
        <f>IF(Квартиры!H1188="","",Квартиры!H1188)</f>
        <v/>
      </c>
      <c r="I1190">
        <f>IF(Квартиры!I1188="","",Квартиры!I1188)</f>
        <v/>
      </c>
      <c r="J1190">
        <f>IF(Квартиры!J1188="","",Квартиры!J1188)</f>
        <v/>
      </c>
    </row>
    <row r="1191">
      <c r="A1191">
        <f>IF(Квартиры!A1189="","",Квартиры!A1189)</f>
        <v/>
      </c>
      <c r="B1191">
        <f>IF(Квартиры!B1189="","",Квартиры!B1189)</f>
        <v/>
      </c>
      <c r="C1191">
        <f>IF(Квартиры!C1189="","",Квартиры!C1189)</f>
        <v/>
      </c>
      <c r="D1191">
        <f>IF(Квартиры!D1189="","",Квартиры!D1189)</f>
        <v/>
      </c>
      <c r="E1191">
        <f>IF(Квартиры!G1189="","",Квартиры!G1189)</f>
        <v/>
      </c>
      <c r="F1191">
        <f>IF(Квартиры!E1189="","",Квартиры!E1189)</f>
        <v/>
      </c>
      <c r="G1191">
        <f>IF(Квартиры!F1189="","",Квартиры!F1189)</f>
        <v/>
      </c>
      <c r="H1191">
        <f>IF(Квартиры!H1189="","",Квартиры!H1189)</f>
        <v/>
      </c>
      <c r="I1191">
        <f>IF(Квартиры!I1189="","",Квартиры!I1189)</f>
        <v/>
      </c>
      <c r="J1191">
        <f>IF(Квартиры!J1189="","",Квартиры!J1189)</f>
        <v/>
      </c>
    </row>
    <row r="1192">
      <c r="A1192">
        <f>IF(Квартиры!A1190="","",Квартиры!A1190)</f>
        <v/>
      </c>
      <c r="B1192">
        <f>IF(Квартиры!B1190="","",Квартиры!B1190)</f>
        <v/>
      </c>
      <c r="C1192">
        <f>IF(Квартиры!C1190="","",Квартиры!C1190)</f>
        <v/>
      </c>
      <c r="D1192">
        <f>IF(Квартиры!D1190="","",Квартиры!D1190)</f>
        <v/>
      </c>
      <c r="E1192">
        <f>IF(Квартиры!G1190="","",Квартиры!G1190)</f>
        <v/>
      </c>
      <c r="F1192">
        <f>IF(Квартиры!E1190="","",Квартиры!E1190)</f>
        <v/>
      </c>
      <c r="G1192">
        <f>IF(Квартиры!F1190="","",Квартиры!F1190)</f>
        <v/>
      </c>
      <c r="H1192">
        <f>IF(Квартиры!H1190="","",Квартиры!H1190)</f>
        <v/>
      </c>
      <c r="I1192">
        <f>IF(Квартиры!I1190="","",Квартиры!I1190)</f>
        <v/>
      </c>
      <c r="J1192">
        <f>IF(Квартиры!J1190="","",Квартиры!J1190)</f>
        <v/>
      </c>
    </row>
    <row r="1193">
      <c r="A1193">
        <f>IF(Квартиры!A1191="","",Квартиры!A1191)</f>
        <v/>
      </c>
      <c r="B1193">
        <f>IF(Квартиры!B1191="","",Квартиры!B1191)</f>
        <v/>
      </c>
      <c r="C1193">
        <f>IF(Квартиры!C1191="","",Квартиры!C1191)</f>
        <v/>
      </c>
      <c r="D1193">
        <f>IF(Квартиры!D1191="","",Квартиры!D1191)</f>
        <v/>
      </c>
      <c r="E1193">
        <f>IF(Квартиры!G1191="","",Квартиры!G1191)</f>
        <v/>
      </c>
      <c r="F1193">
        <f>IF(Квартиры!E1191="","",Квартиры!E1191)</f>
        <v/>
      </c>
      <c r="G1193">
        <f>IF(Квартиры!F1191="","",Квартиры!F1191)</f>
        <v/>
      </c>
      <c r="H1193">
        <f>IF(Квартиры!H1191="","",Квартиры!H1191)</f>
        <v/>
      </c>
      <c r="I1193">
        <f>IF(Квартиры!I1191="","",Квартиры!I1191)</f>
        <v/>
      </c>
      <c r="J1193">
        <f>IF(Квартиры!J1191="","",Квартиры!J1191)</f>
        <v/>
      </c>
    </row>
    <row r="1194">
      <c r="A1194">
        <f>IF(Квартиры!A1192="","",Квартиры!A1192)</f>
        <v/>
      </c>
      <c r="B1194">
        <f>IF(Квартиры!B1192="","",Квартиры!B1192)</f>
        <v/>
      </c>
      <c r="C1194">
        <f>IF(Квартиры!C1192="","",Квартиры!C1192)</f>
        <v/>
      </c>
      <c r="D1194">
        <f>IF(Квартиры!D1192="","",Квартиры!D1192)</f>
        <v/>
      </c>
      <c r="E1194">
        <f>IF(Квартиры!G1192="","",Квартиры!G1192)</f>
        <v/>
      </c>
      <c r="F1194">
        <f>IF(Квартиры!E1192="","",Квартиры!E1192)</f>
        <v/>
      </c>
      <c r="G1194">
        <f>IF(Квартиры!F1192="","",Квартиры!F1192)</f>
        <v/>
      </c>
      <c r="H1194">
        <f>IF(Квартиры!H1192="","",Квартиры!H1192)</f>
        <v/>
      </c>
      <c r="I1194">
        <f>IF(Квартиры!I1192="","",Квартиры!I1192)</f>
        <v/>
      </c>
      <c r="J1194">
        <f>IF(Квартиры!J1192="","",Квартиры!J1192)</f>
        <v/>
      </c>
    </row>
    <row r="1195">
      <c r="A1195">
        <f>IF(Квартиры!A1193="","",Квартиры!A1193)</f>
        <v/>
      </c>
      <c r="B1195">
        <f>IF(Квартиры!B1193="","",Квартиры!B1193)</f>
        <v/>
      </c>
      <c r="C1195">
        <f>IF(Квартиры!C1193="","",Квартиры!C1193)</f>
        <v/>
      </c>
      <c r="D1195">
        <f>IF(Квартиры!D1193="","",Квартиры!D1193)</f>
        <v/>
      </c>
      <c r="E1195">
        <f>IF(Квартиры!G1193="","",Квартиры!G1193)</f>
        <v/>
      </c>
      <c r="F1195">
        <f>IF(Квартиры!E1193="","",Квартиры!E1193)</f>
        <v/>
      </c>
      <c r="G1195">
        <f>IF(Квартиры!F1193="","",Квартиры!F1193)</f>
        <v/>
      </c>
      <c r="H1195">
        <f>IF(Квартиры!H1193="","",Квартиры!H1193)</f>
        <v/>
      </c>
      <c r="I1195">
        <f>IF(Квартиры!I1193="","",Квартиры!I1193)</f>
        <v/>
      </c>
      <c r="J1195">
        <f>IF(Квартиры!J1193="","",Квартиры!J1193)</f>
        <v/>
      </c>
    </row>
    <row r="1196">
      <c r="A1196">
        <f>IF(Квартиры!A1194="","",Квартиры!A1194)</f>
        <v/>
      </c>
      <c r="B1196">
        <f>IF(Квартиры!B1194="","",Квартиры!B1194)</f>
        <v/>
      </c>
      <c r="C1196">
        <f>IF(Квартиры!C1194="","",Квартиры!C1194)</f>
        <v/>
      </c>
      <c r="D1196">
        <f>IF(Квартиры!D1194="","",Квартиры!D1194)</f>
        <v/>
      </c>
      <c r="E1196">
        <f>IF(Квартиры!G1194="","",Квартиры!G1194)</f>
        <v/>
      </c>
      <c r="F1196">
        <f>IF(Квартиры!E1194="","",Квартиры!E1194)</f>
        <v/>
      </c>
      <c r="G1196">
        <f>IF(Квартиры!F1194="","",Квартиры!F1194)</f>
        <v/>
      </c>
      <c r="H1196">
        <f>IF(Квартиры!H1194="","",Квартиры!H1194)</f>
        <v/>
      </c>
      <c r="I1196">
        <f>IF(Квартиры!I1194="","",Квартиры!I1194)</f>
        <v/>
      </c>
      <c r="J1196">
        <f>IF(Квартиры!J1194="","",Квартиры!J1194)</f>
        <v/>
      </c>
    </row>
    <row r="1197">
      <c r="A1197">
        <f>IF(Квартиры!A1195="","",Квартиры!A1195)</f>
        <v/>
      </c>
      <c r="B1197">
        <f>IF(Квартиры!B1195="","",Квартиры!B1195)</f>
        <v/>
      </c>
      <c r="C1197">
        <f>IF(Квартиры!C1195="","",Квартиры!C1195)</f>
        <v/>
      </c>
      <c r="D1197">
        <f>IF(Квартиры!D1195="","",Квартиры!D1195)</f>
        <v/>
      </c>
      <c r="E1197">
        <f>IF(Квартиры!G1195="","",Квартиры!G1195)</f>
        <v/>
      </c>
      <c r="F1197">
        <f>IF(Квартиры!E1195="","",Квартиры!E1195)</f>
        <v/>
      </c>
      <c r="G1197">
        <f>IF(Квартиры!F1195="","",Квартиры!F1195)</f>
        <v/>
      </c>
      <c r="H1197">
        <f>IF(Квартиры!H1195="","",Квартиры!H1195)</f>
        <v/>
      </c>
      <c r="I1197">
        <f>IF(Квартиры!I1195="","",Квартиры!I1195)</f>
        <v/>
      </c>
      <c r="J1197">
        <f>IF(Квартиры!J1195="","",Квартиры!J1195)</f>
        <v/>
      </c>
    </row>
    <row r="1198">
      <c r="A1198">
        <f>IF(Квартиры!A1196="","",Квартиры!A1196)</f>
        <v/>
      </c>
      <c r="B1198">
        <f>IF(Квартиры!B1196="","",Квартиры!B1196)</f>
        <v/>
      </c>
      <c r="C1198">
        <f>IF(Квартиры!C1196="","",Квартиры!C1196)</f>
        <v/>
      </c>
      <c r="D1198">
        <f>IF(Квартиры!D1196="","",Квартиры!D1196)</f>
        <v/>
      </c>
      <c r="E1198">
        <f>IF(Квартиры!G1196="","",Квартиры!G1196)</f>
        <v/>
      </c>
      <c r="F1198">
        <f>IF(Квартиры!E1196="","",Квартиры!E1196)</f>
        <v/>
      </c>
      <c r="G1198">
        <f>IF(Квартиры!F1196="","",Квартиры!F1196)</f>
        <v/>
      </c>
      <c r="H1198">
        <f>IF(Квартиры!H1196="","",Квартиры!H1196)</f>
        <v/>
      </c>
      <c r="I1198">
        <f>IF(Квартиры!I1196="","",Квартиры!I1196)</f>
        <v/>
      </c>
      <c r="J1198">
        <f>IF(Квартиры!J1196="","",Квартиры!J1196)</f>
        <v/>
      </c>
    </row>
    <row r="1199">
      <c r="A1199">
        <f>IF(Квартиры!A1197="","",Квартиры!A1197)</f>
        <v/>
      </c>
      <c r="B1199">
        <f>IF(Квартиры!B1197="","",Квартиры!B1197)</f>
        <v/>
      </c>
      <c r="C1199">
        <f>IF(Квартиры!C1197="","",Квартиры!C1197)</f>
        <v/>
      </c>
      <c r="D1199">
        <f>IF(Квартиры!D1197="","",Квартиры!D1197)</f>
        <v/>
      </c>
      <c r="E1199">
        <f>IF(Квартиры!G1197="","",Квартиры!G1197)</f>
        <v/>
      </c>
      <c r="F1199">
        <f>IF(Квартиры!E1197="","",Квартиры!E1197)</f>
        <v/>
      </c>
      <c r="G1199">
        <f>IF(Квартиры!F1197="","",Квартиры!F1197)</f>
        <v/>
      </c>
      <c r="H1199">
        <f>IF(Квартиры!H1197="","",Квартиры!H1197)</f>
        <v/>
      </c>
      <c r="I1199">
        <f>IF(Квартиры!I1197="","",Квартиры!I1197)</f>
        <v/>
      </c>
      <c r="J1199">
        <f>IF(Квартиры!J1197="","",Квартиры!J1197)</f>
        <v/>
      </c>
    </row>
    <row r="1200">
      <c r="A1200">
        <f>IF(Квартиры!A1198="","",Квартиры!A1198)</f>
        <v/>
      </c>
      <c r="B1200">
        <f>IF(Квартиры!B1198="","",Квартиры!B1198)</f>
        <v/>
      </c>
      <c r="C1200">
        <f>IF(Квартиры!C1198="","",Квартиры!C1198)</f>
        <v/>
      </c>
      <c r="D1200">
        <f>IF(Квартиры!D1198="","",Квартиры!D1198)</f>
        <v/>
      </c>
      <c r="E1200">
        <f>IF(Квартиры!G1198="","",Квартиры!G1198)</f>
        <v/>
      </c>
      <c r="F1200">
        <f>IF(Квартиры!E1198="","",Квартиры!E1198)</f>
        <v/>
      </c>
      <c r="G1200">
        <f>IF(Квартиры!F1198="","",Квартиры!F1198)</f>
        <v/>
      </c>
      <c r="H1200">
        <f>IF(Квартиры!H1198="","",Квартиры!H1198)</f>
        <v/>
      </c>
      <c r="I1200">
        <f>IF(Квартиры!I1198="","",Квартиры!I1198)</f>
        <v/>
      </c>
      <c r="J1200">
        <f>IF(Квартиры!J1198="","",Квартиры!J1198)</f>
        <v/>
      </c>
    </row>
    <row r="1201">
      <c r="A1201">
        <f>IF(Квартиры!A1199="","",Квартиры!A1199)</f>
        <v/>
      </c>
      <c r="B1201">
        <f>IF(Квартиры!B1199="","",Квартиры!B1199)</f>
        <v/>
      </c>
      <c r="C1201">
        <f>IF(Квартиры!C1199="","",Квартиры!C1199)</f>
        <v/>
      </c>
      <c r="D1201">
        <f>IF(Квартиры!D1199="","",Квартиры!D1199)</f>
        <v/>
      </c>
      <c r="E1201">
        <f>IF(Квартиры!G1199="","",Квартиры!G1199)</f>
        <v/>
      </c>
      <c r="F1201">
        <f>IF(Квартиры!E1199="","",Квартиры!E1199)</f>
        <v/>
      </c>
      <c r="G1201">
        <f>IF(Квартиры!F1199="","",Квартиры!F1199)</f>
        <v/>
      </c>
      <c r="H1201">
        <f>IF(Квартиры!H1199="","",Квартиры!H1199)</f>
        <v/>
      </c>
      <c r="I1201">
        <f>IF(Квартиры!I1199="","",Квартиры!I1199)</f>
        <v/>
      </c>
      <c r="J1201">
        <f>IF(Квартиры!J1199="","",Квартиры!J1199)</f>
        <v/>
      </c>
    </row>
    <row r="1202">
      <c r="A1202">
        <f>IF(Квартиры!A1200="","",Квартиры!A1200)</f>
        <v/>
      </c>
      <c r="B1202">
        <f>IF(Квартиры!B1200="","",Квартиры!B1200)</f>
        <v/>
      </c>
      <c r="C1202">
        <f>IF(Квартиры!C1200="","",Квартиры!C1200)</f>
        <v/>
      </c>
      <c r="D1202">
        <f>IF(Квартиры!D1200="","",Квартиры!D1200)</f>
        <v/>
      </c>
      <c r="E1202">
        <f>IF(Квартиры!G1200="","",Квартиры!G1200)</f>
        <v/>
      </c>
      <c r="F1202">
        <f>IF(Квартиры!E1200="","",Квартиры!E1200)</f>
        <v/>
      </c>
      <c r="G1202">
        <f>IF(Квартиры!F1200="","",Квартиры!F1200)</f>
        <v/>
      </c>
      <c r="H1202">
        <f>IF(Квартиры!H1200="","",Квартиры!H1200)</f>
        <v/>
      </c>
      <c r="I1202">
        <f>IF(Квартиры!I1200="","",Квартиры!I1200)</f>
        <v/>
      </c>
      <c r="J1202">
        <f>IF(Квартиры!J1200="","",Квартиры!J1200)</f>
        <v/>
      </c>
    </row>
    <row r="1203">
      <c r="A1203">
        <f>IF(Квартиры!A1201="","",Квартиры!A1201)</f>
        <v/>
      </c>
      <c r="B1203">
        <f>IF(Квартиры!B1201="","",Квартиры!B1201)</f>
        <v/>
      </c>
      <c r="C1203">
        <f>IF(Квартиры!C1201="","",Квартиры!C1201)</f>
        <v/>
      </c>
      <c r="D1203">
        <f>IF(Квартиры!D1201="","",Квартиры!D1201)</f>
        <v/>
      </c>
      <c r="E1203">
        <f>IF(Квартиры!G1201="","",Квартиры!G1201)</f>
        <v/>
      </c>
      <c r="F1203">
        <f>IF(Квартиры!E1201="","",Квартиры!E1201)</f>
        <v/>
      </c>
      <c r="G1203">
        <f>IF(Квартиры!F1201="","",Квартиры!F1201)</f>
        <v/>
      </c>
      <c r="H1203">
        <f>IF(Квартиры!H1201="","",Квартиры!H1201)</f>
        <v/>
      </c>
      <c r="I1203">
        <f>IF(Квартиры!I1201="","",Квартиры!I1201)</f>
        <v/>
      </c>
      <c r="J1203">
        <f>IF(Квартиры!J1201="","",Квартиры!J1201)</f>
        <v/>
      </c>
    </row>
    <row r="1204">
      <c r="A1204">
        <f>IF(Квартиры!A1202="","",Квартиры!A1202)</f>
        <v/>
      </c>
      <c r="B1204">
        <f>IF(Квартиры!B1202="","",Квартиры!B1202)</f>
        <v/>
      </c>
      <c r="C1204">
        <f>IF(Квартиры!C1202="","",Квартиры!C1202)</f>
        <v/>
      </c>
      <c r="D1204">
        <f>IF(Квартиры!D1202="","",Квартиры!D1202)</f>
        <v/>
      </c>
      <c r="E1204">
        <f>IF(Квартиры!G1202="","",Квартиры!G1202)</f>
        <v/>
      </c>
      <c r="F1204">
        <f>IF(Квартиры!E1202="","",Квартиры!E1202)</f>
        <v/>
      </c>
      <c r="G1204">
        <f>IF(Квартиры!F1202="","",Квартиры!F1202)</f>
        <v/>
      </c>
      <c r="H1204">
        <f>IF(Квартиры!H1202="","",Квартиры!H1202)</f>
        <v/>
      </c>
      <c r="I1204">
        <f>IF(Квартиры!I1202="","",Квартиры!I1202)</f>
        <v/>
      </c>
      <c r="J1204">
        <f>IF(Квартиры!J1202="","",Квартиры!J1202)</f>
        <v/>
      </c>
    </row>
    <row r="1205">
      <c r="A1205">
        <f>IF(Квартиры!A1203="","",Квартиры!A1203)</f>
        <v/>
      </c>
      <c r="B1205">
        <f>IF(Квартиры!B1203="","",Квартиры!B1203)</f>
        <v/>
      </c>
      <c r="C1205">
        <f>IF(Квартиры!C1203="","",Квартиры!C1203)</f>
        <v/>
      </c>
      <c r="D1205">
        <f>IF(Квартиры!D1203="","",Квартиры!D1203)</f>
        <v/>
      </c>
      <c r="E1205">
        <f>IF(Квартиры!G1203="","",Квартиры!G1203)</f>
        <v/>
      </c>
      <c r="F1205">
        <f>IF(Квартиры!E1203="","",Квартиры!E1203)</f>
        <v/>
      </c>
      <c r="G1205">
        <f>IF(Квартиры!F1203="","",Квартиры!F1203)</f>
        <v/>
      </c>
      <c r="H1205">
        <f>IF(Квартиры!H1203="","",Квартиры!H1203)</f>
        <v/>
      </c>
      <c r="I1205">
        <f>IF(Квартиры!I1203="","",Квартиры!I1203)</f>
        <v/>
      </c>
      <c r="J1205">
        <f>IF(Квартиры!J1203="","",Квартиры!J1203)</f>
        <v/>
      </c>
    </row>
    <row r="1206">
      <c r="A1206">
        <f>IF(Квартиры!A1204="","",Квартиры!A1204)</f>
        <v/>
      </c>
      <c r="B1206">
        <f>IF(Квартиры!B1204="","",Квартиры!B1204)</f>
        <v/>
      </c>
      <c r="C1206">
        <f>IF(Квартиры!C1204="","",Квартиры!C1204)</f>
        <v/>
      </c>
      <c r="D1206">
        <f>IF(Квартиры!D1204="","",Квартиры!D1204)</f>
        <v/>
      </c>
      <c r="E1206">
        <f>IF(Квартиры!G1204="","",Квартиры!G1204)</f>
        <v/>
      </c>
      <c r="F1206">
        <f>IF(Квартиры!E1204="","",Квартиры!E1204)</f>
        <v/>
      </c>
      <c r="G1206">
        <f>IF(Квартиры!F1204="","",Квартиры!F1204)</f>
        <v/>
      </c>
      <c r="H1206">
        <f>IF(Квартиры!H1204="","",Квартиры!H1204)</f>
        <v/>
      </c>
      <c r="I1206">
        <f>IF(Квартиры!I1204="","",Квартиры!I1204)</f>
        <v/>
      </c>
      <c r="J1206">
        <f>IF(Квартиры!J1204="","",Квартиры!J1204)</f>
        <v/>
      </c>
    </row>
    <row r="1207">
      <c r="A1207">
        <f>IF(Квартиры!A1205="","",Квартиры!A1205)</f>
        <v/>
      </c>
      <c r="B1207">
        <f>IF(Квартиры!B1205="","",Квартиры!B1205)</f>
        <v/>
      </c>
      <c r="C1207">
        <f>IF(Квартиры!C1205="","",Квартиры!C1205)</f>
        <v/>
      </c>
      <c r="D1207">
        <f>IF(Квартиры!D1205="","",Квартиры!D1205)</f>
        <v/>
      </c>
      <c r="E1207">
        <f>IF(Квартиры!G1205="","",Квартиры!G1205)</f>
        <v/>
      </c>
      <c r="F1207">
        <f>IF(Квартиры!E1205="","",Квартиры!E1205)</f>
        <v/>
      </c>
      <c r="G1207">
        <f>IF(Квартиры!F1205="","",Квартиры!F1205)</f>
        <v/>
      </c>
      <c r="H1207">
        <f>IF(Квартиры!H1205="","",Квартиры!H1205)</f>
        <v/>
      </c>
      <c r="I1207">
        <f>IF(Квартиры!I1205="","",Квартиры!I1205)</f>
        <v/>
      </c>
      <c r="J1207">
        <f>IF(Квартиры!J1205="","",Квартиры!J1205)</f>
        <v/>
      </c>
    </row>
    <row r="1208">
      <c r="A1208">
        <f>IF(Квартиры!A1206="","",Квартиры!A1206)</f>
        <v/>
      </c>
      <c r="B1208">
        <f>IF(Квартиры!B1206="","",Квартиры!B1206)</f>
        <v/>
      </c>
      <c r="C1208">
        <f>IF(Квартиры!C1206="","",Квартиры!C1206)</f>
        <v/>
      </c>
      <c r="D1208">
        <f>IF(Квартиры!D1206="","",Квартиры!D1206)</f>
        <v/>
      </c>
      <c r="E1208">
        <f>IF(Квартиры!G1206="","",Квартиры!G1206)</f>
        <v/>
      </c>
      <c r="F1208">
        <f>IF(Квартиры!E1206="","",Квартиры!E1206)</f>
        <v/>
      </c>
      <c r="G1208">
        <f>IF(Квартиры!F1206="","",Квартиры!F1206)</f>
        <v/>
      </c>
      <c r="H1208">
        <f>IF(Квартиры!H1206="","",Квартиры!H1206)</f>
        <v/>
      </c>
      <c r="I1208">
        <f>IF(Квартиры!I1206="","",Квартиры!I1206)</f>
        <v/>
      </c>
      <c r="J1208">
        <f>IF(Квартиры!J1206="","",Квартиры!J1206)</f>
        <v/>
      </c>
    </row>
    <row r="1209">
      <c r="A1209">
        <f>IF(Квартиры!A1207="","",Квартиры!A1207)</f>
        <v/>
      </c>
      <c r="B1209">
        <f>IF(Квартиры!B1207="","",Квартиры!B1207)</f>
        <v/>
      </c>
      <c r="C1209">
        <f>IF(Квартиры!C1207="","",Квартиры!C1207)</f>
        <v/>
      </c>
      <c r="D1209">
        <f>IF(Квартиры!D1207="","",Квартиры!D1207)</f>
        <v/>
      </c>
      <c r="E1209">
        <f>IF(Квартиры!G1207="","",Квартиры!G1207)</f>
        <v/>
      </c>
      <c r="F1209">
        <f>IF(Квартиры!E1207="","",Квартиры!E1207)</f>
        <v/>
      </c>
      <c r="G1209">
        <f>IF(Квартиры!F1207="","",Квартиры!F1207)</f>
        <v/>
      </c>
      <c r="H1209">
        <f>IF(Квартиры!H1207="","",Квартиры!H1207)</f>
        <v/>
      </c>
      <c r="I1209">
        <f>IF(Квартиры!I1207="","",Квартиры!I1207)</f>
        <v/>
      </c>
      <c r="J1209">
        <f>IF(Квартиры!J1207="","",Квартиры!J1207)</f>
        <v/>
      </c>
    </row>
    <row r="1210">
      <c r="A1210">
        <f>IF(Квартиры!A1208="","",Квартиры!A1208)</f>
        <v/>
      </c>
      <c r="B1210">
        <f>IF(Квартиры!B1208="","",Квартиры!B1208)</f>
        <v/>
      </c>
      <c r="C1210">
        <f>IF(Квартиры!C1208="","",Квартиры!C1208)</f>
        <v/>
      </c>
      <c r="D1210">
        <f>IF(Квартиры!D1208="","",Квартиры!D1208)</f>
        <v/>
      </c>
      <c r="E1210">
        <f>IF(Квартиры!G1208="","",Квартиры!G1208)</f>
        <v/>
      </c>
      <c r="F1210">
        <f>IF(Квартиры!E1208="","",Квартиры!E1208)</f>
        <v/>
      </c>
      <c r="G1210">
        <f>IF(Квартиры!F1208="","",Квартиры!F1208)</f>
        <v/>
      </c>
      <c r="H1210">
        <f>IF(Квартиры!H1208="","",Квартиры!H1208)</f>
        <v/>
      </c>
      <c r="I1210">
        <f>IF(Квартиры!I1208="","",Квартиры!I1208)</f>
        <v/>
      </c>
      <c r="J1210">
        <f>IF(Квартиры!J1208="","",Квартиры!J1208)</f>
        <v/>
      </c>
    </row>
    <row r="1211">
      <c r="A1211">
        <f>IF(Квартиры!A1209="","",Квартиры!A1209)</f>
        <v/>
      </c>
      <c r="B1211">
        <f>IF(Квартиры!B1209="","",Квартиры!B1209)</f>
        <v/>
      </c>
      <c r="C1211">
        <f>IF(Квартиры!C1209="","",Квартиры!C1209)</f>
        <v/>
      </c>
      <c r="D1211">
        <f>IF(Квартиры!D1209="","",Квартиры!D1209)</f>
        <v/>
      </c>
      <c r="E1211">
        <f>IF(Квартиры!G1209="","",Квартиры!G1209)</f>
        <v/>
      </c>
      <c r="F1211">
        <f>IF(Квартиры!E1209="","",Квартиры!E1209)</f>
        <v/>
      </c>
      <c r="G1211">
        <f>IF(Квартиры!F1209="","",Квартиры!F1209)</f>
        <v/>
      </c>
      <c r="H1211">
        <f>IF(Квартиры!H1209="","",Квартиры!H1209)</f>
        <v/>
      </c>
      <c r="I1211">
        <f>IF(Квартиры!I1209="","",Квартиры!I1209)</f>
        <v/>
      </c>
      <c r="J1211">
        <f>IF(Квартиры!J1209="","",Квартиры!J1209)</f>
        <v/>
      </c>
    </row>
    <row r="1212">
      <c r="A1212">
        <f>IF(Квартиры!A1210="","",Квартиры!A1210)</f>
        <v/>
      </c>
      <c r="B1212">
        <f>IF(Квартиры!B1210="","",Квартиры!B1210)</f>
        <v/>
      </c>
      <c r="C1212">
        <f>IF(Квартиры!C1210="","",Квартиры!C1210)</f>
        <v/>
      </c>
      <c r="D1212">
        <f>IF(Квартиры!D1210="","",Квартиры!D1210)</f>
        <v/>
      </c>
      <c r="E1212">
        <f>IF(Квартиры!G1210="","",Квартиры!G1210)</f>
        <v/>
      </c>
      <c r="F1212">
        <f>IF(Квартиры!E1210="","",Квартиры!E1210)</f>
        <v/>
      </c>
      <c r="G1212">
        <f>IF(Квартиры!F1210="","",Квартиры!F1210)</f>
        <v/>
      </c>
      <c r="H1212">
        <f>IF(Квартиры!H1210="","",Квартиры!H1210)</f>
        <v/>
      </c>
      <c r="I1212">
        <f>IF(Квартиры!I1210="","",Квартиры!I1210)</f>
        <v/>
      </c>
      <c r="J1212">
        <f>IF(Квартиры!J1210="","",Квартиры!J1210)</f>
        <v/>
      </c>
    </row>
    <row r="1213">
      <c r="A1213">
        <f>IF(Квартиры!A1211="","",Квартиры!A1211)</f>
        <v/>
      </c>
      <c r="B1213">
        <f>IF(Квартиры!B1211="","",Квартиры!B1211)</f>
        <v/>
      </c>
      <c r="C1213">
        <f>IF(Квартиры!C1211="","",Квартиры!C1211)</f>
        <v/>
      </c>
      <c r="D1213">
        <f>IF(Квартиры!D1211="","",Квартиры!D1211)</f>
        <v/>
      </c>
      <c r="E1213">
        <f>IF(Квартиры!G1211="","",Квартиры!G1211)</f>
        <v/>
      </c>
      <c r="F1213">
        <f>IF(Квартиры!E1211="","",Квартиры!E1211)</f>
        <v/>
      </c>
      <c r="G1213">
        <f>IF(Квартиры!F1211="","",Квартиры!F1211)</f>
        <v/>
      </c>
      <c r="H1213">
        <f>IF(Квартиры!H1211="","",Квартиры!H1211)</f>
        <v/>
      </c>
      <c r="I1213">
        <f>IF(Квартиры!I1211="","",Квартиры!I1211)</f>
        <v/>
      </c>
      <c r="J1213">
        <f>IF(Квартиры!J1211="","",Квартиры!J1211)</f>
        <v/>
      </c>
    </row>
    <row r="1214">
      <c r="A1214">
        <f>IF(Квартиры!A1212="","",Квартиры!A1212)</f>
        <v/>
      </c>
      <c r="B1214">
        <f>IF(Квартиры!B1212="","",Квартиры!B1212)</f>
        <v/>
      </c>
      <c r="C1214">
        <f>IF(Квартиры!C1212="","",Квартиры!C1212)</f>
        <v/>
      </c>
      <c r="D1214">
        <f>IF(Квартиры!D1212="","",Квартиры!D1212)</f>
        <v/>
      </c>
      <c r="E1214">
        <f>IF(Квартиры!G1212="","",Квартиры!G1212)</f>
        <v/>
      </c>
      <c r="F1214">
        <f>IF(Квартиры!E1212="","",Квартиры!E1212)</f>
        <v/>
      </c>
      <c r="G1214">
        <f>IF(Квартиры!F1212="","",Квартиры!F1212)</f>
        <v/>
      </c>
      <c r="H1214">
        <f>IF(Квартиры!H1212="","",Квартиры!H1212)</f>
        <v/>
      </c>
      <c r="I1214">
        <f>IF(Квартиры!I1212="","",Квартиры!I1212)</f>
        <v/>
      </c>
      <c r="J1214">
        <f>IF(Квартиры!J1212="","",Квартиры!J1212)</f>
        <v/>
      </c>
    </row>
    <row r="1215">
      <c r="A1215">
        <f>IF(Квартиры!A1213="","",Квартиры!A1213)</f>
        <v/>
      </c>
      <c r="B1215">
        <f>IF(Квартиры!B1213="","",Квартиры!B1213)</f>
        <v/>
      </c>
      <c r="C1215">
        <f>IF(Квартиры!C1213="","",Квартиры!C1213)</f>
        <v/>
      </c>
      <c r="D1215">
        <f>IF(Квартиры!D1213="","",Квартиры!D1213)</f>
        <v/>
      </c>
      <c r="E1215">
        <f>IF(Квартиры!G1213="","",Квартиры!G1213)</f>
        <v/>
      </c>
      <c r="F1215">
        <f>IF(Квартиры!E1213="","",Квартиры!E1213)</f>
        <v/>
      </c>
      <c r="G1215">
        <f>IF(Квартиры!F1213="","",Квартиры!F1213)</f>
        <v/>
      </c>
      <c r="H1215">
        <f>IF(Квартиры!H1213="","",Квартиры!H1213)</f>
        <v/>
      </c>
      <c r="I1215">
        <f>IF(Квартиры!I1213="","",Квартиры!I1213)</f>
        <v/>
      </c>
      <c r="J1215">
        <f>IF(Квартиры!J1213="","",Квартиры!J1213)</f>
        <v/>
      </c>
    </row>
    <row r="1216">
      <c r="A1216">
        <f>IF(Квартиры!A1214="","",Квартиры!A1214)</f>
        <v/>
      </c>
      <c r="B1216">
        <f>IF(Квартиры!B1214="","",Квартиры!B1214)</f>
        <v/>
      </c>
      <c r="C1216">
        <f>IF(Квартиры!C1214="","",Квартиры!C1214)</f>
        <v/>
      </c>
      <c r="D1216">
        <f>IF(Квартиры!D1214="","",Квартиры!D1214)</f>
        <v/>
      </c>
      <c r="E1216">
        <f>IF(Квартиры!G1214="","",Квартиры!G1214)</f>
        <v/>
      </c>
      <c r="F1216">
        <f>IF(Квартиры!E1214="","",Квартиры!E1214)</f>
        <v/>
      </c>
      <c r="G1216">
        <f>IF(Квартиры!F1214="","",Квартиры!F1214)</f>
        <v/>
      </c>
      <c r="H1216">
        <f>IF(Квартиры!H1214="","",Квартиры!H1214)</f>
        <v/>
      </c>
      <c r="I1216">
        <f>IF(Квартиры!I1214="","",Квартиры!I1214)</f>
        <v/>
      </c>
      <c r="J1216">
        <f>IF(Квартиры!J1214="","",Квартиры!J1214)</f>
        <v/>
      </c>
    </row>
    <row r="1217">
      <c r="A1217">
        <f>IF(Квартиры!A1215="","",Квартиры!A1215)</f>
        <v/>
      </c>
      <c r="B1217">
        <f>IF(Квартиры!B1215="","",Квартиры!B1215)</f>
        <v/>
      </c>
      <c r="C1217">
        <f>IF(Квартиры!C1215="","",Квартиры!C1215)</f>
        <v/>
      </c>
      <c r="D1217">
        <f>IF(Квартиры!D1215="","",Квартиры!D1215)</f>
        <v/>
      </c>
      <c r="E1217">
        <f>IF(Квартиры!G1215="","",Квартиры!G1215)</f>
        <v/>
      </c>
      <c r="F1217">
        <f>IF(Квартиры!E1215="","",Квартиры!E1215)</f>
        <v/>
      </c>
      <c r="G1217">
        <f>IF(Квартиры!F1215="","",Квартиры!F1215)</f>
        <v/>
      </c>
      <c r="H1217">
        <f>IF(Квартиры!H1215="","",Квартиры!H1215)</f>
        <v/>
      </c>
      <c r="I1217">
        <f>IF(Квартиры!I1215="","",Квартиры!I1215)</f>
        <v/>
      </c>
      <c r="J1217">
        <f>IF(Квартиры!J1215="","",Квартиры!J1215)</f>
        <v/>
      </c>
    </row>
    <row r="1218">
      <c r="A1218">
        <f>IF(Квартиры!A1216="","",Квартиры!A1216)</f>
        <v/>
      </c>
      <c r="B1218">
        <f>IF(Квартиры!B1216="","",Квартиры!B1216)</f>
        <v/>
      </c>
      <c r="C1218">
        <f>IF(Квартиры!C1216="","",Квартиры!C1216)</f>
        <v/>
      </c>
      <c r="D1218">
        <f>IF(Квартиры!D1216="","",Квартиры!D1216)</f>
        <v/>
      </c>
      <c r="E1218">
        <f>IF(Квартиры!G1216="","",Квартиры!G1216)</f>
        <v/>
      </c>
      <c r="F1218">
        <f>IF(Квартиры!E1216="","",Квартиры!E1216)</f>
        <v/>
      </c>
      <c r="G1218">
        <f>IF(Квартиры!F1216="","",Квартиры!F1216)</f>
        <v/>
      </c>
      <c r="H1218">
        <f>IF(Квартиры!H1216="","",Квартиры!H1216)</f>
        <v/>
      </c>
      <c r="I1218">
        <f>IF(Квартиры!I1216="","",Квартиры!I1216)</f>
        <v/>
      </c>
      <c r="J1218">
        <f>IF(Квартиры!J1216="","",Квартиры!J1216)</f>
        <v/>
      </c>
    </row>
    <row r="1219">
      <c r="A1219">
        <f>IF(Квартиры!A1217="","",Квартиры!A1217)</f>
        <v/>
      </c>
      <c r="B1219">
        <f>IF(Квартиры!B1217="","",Квартиры!B1217)</f>
        <v/>
      </c>
      <c r="C1219">
        <f>IF(Квартиры!C1217="","",Квартиры!C1217)</f>
        <v/>
      </c>
      <c r="D1219">
        <f>IF(Квартиры!D1217="","",Квартиры!D1217)</f>
        <v/>
      </c>
      <c r="E1219">
        <f>IF(Квартиры!G1217="","",Квартиры!G1217)</f>
        <v/>
      </c>
      <c r="F1219">
        <f>IF(Квартиры!E1217="","",Квартиры!E1217)</f>
        <v/>
      </c>
      <c r="G1219">
        <f>IF(Квартиры!F1217="","",Квартиры!F1217)</f>
        <v/>
      </c>
      <c r="H1219">
        <f>IF(Квартиры!H1217="","",Квартиры!H1217)</f>
        <v/>
      </c>
      <c r="I1219">
        <f>IF(Квартиры!I1217="","",Квартиры!I1217)</f>
        <v/>
      </c>
      <c r="J1219">
        <f>IF(Квартиры!J1217="","",Квартиры!J1217)</f>
        <v/>
      </c>
    </row>
    <row r="1220">
      <c r="A1220">
        <f>IF(Квартиры!A1218="","",Квартиры!A1218)</f>
        <v/>
      </c>
      <c r="B1220">
        <f>IF(Квартиры!B1218="","",Квартиры!B1218)</f>
        <v/>
      </c>
      <c r="C1220">
        <f>IF(Квартиры!C1218="","",Квартиры!C1218)</f>
        <v/>
      </c>
      <c r="D1220">
        <f>IF(Квартиры!D1218="","",Квартиры!D1218)</f>
        <v/>
      </c>
      <c r="E1220">
        <f>IF(Квартиры!G1218="","",Квартиры!G1218)</f>
        <v/>
      </c>
      <c r="F1220">
        <f>IF(Квартиры!E1218="","",Квартиры!E1218)</f>
        <v/>
      </c>
      <c r="G1220">
        <f>IF(Квартиры!F1218="","",Квартиры!F1218)</f>
        <v/>
      </c>
      <c r="H1220">
        <f>IF(Квартиры!H1218="","",Квартиры!H1218)</f>
        <v/>
      </c>
      <c r="I1220">
        <f>IF(Квартиры!I1218="","",Квартиры!I1218)</f>
        <v/>
      </c>
      <c r="J1220">
        <f>IF(Квартиры!J1218="","",Квартиры!J1218)</f>
        <v/>
      </c>
    </row>
    <row r="1221">
      <c r="A1221">
        <f>IF(Квартиры!A1219="","",Квартиры!A1219)</f>
        <v/>
      </c>
      <c r="B1221">
        <f>IF(Квартиры!B1219="","",Квартиры!B1219)</f>
        <v/>
      </c>
      <c r="C1221">
        <f>IF(Квартиры!C1219="","",Квартиры!C1219)</f>
        <v/>
      </c>
      <c r="D1221">
        <f>IF(Квартиры!D1219="","",Квартиры!D1219)</f>
        <v/>
      </c>
      <c r="E1221">
        <f>IF(Квартиры!G1219="","",Квартиры!G1219)</f>
        <v/>
      </c>
      <c r="F1221">
        <f>IF(Квартиры!E1219="","",Квартиры!E1219)</f>
        <v/>
      </c>
      <c r="G1221">
        <f>IF(Квартиры!F1219="","",Квартиры!F1219)</f>
        <v/>
      </c>
      <c r="H1221">
        <f>IF(Квартиры!H1219="","",Квартиры!H1219)</f>
        <v/>
      </c>
      <c r="I1221">
        <f>IF(Квартиры!I1219="","",Квартиры!I1219)</f>
        <v/>
      </c>
      <c r="J1221">
        <f>IF(Квартиры!J1219="","",Квартиры!J1219)</f>
        <v/>
      </c>
    </row>
    <row r="1222">
      <c r="A1222">
        <f>IF(Квартиры!A1220="","",Квартиры!A1220)</f>
        <v/>
      </c>
      <c r="B1222">
        <f>IF(Квартиры!B1220="","",Квартиры!B1220)</f>
        <v/>
      </c>
      <c r="C1222">
        <f>IF(Квартиры!C1220="","",Квартиры!C1220)</f>
        <v/>
      </c>
      <c r="D1222">
        <f>IF(Квартиры!D1220="","",Квартиры!D1220)</f>
        <v/>
      </c>
      <c r="E1222">
        <f>IF(Квартиры!G1220="","",Квартиры!G1220)</f>
        <v/>
      </c>
      <c r="F1222">
        <f>IF(Квартиры!E1220="","",Квартиры!E1220)</f>
        <v/>
      </c>
      <c r="G1222">
        <f>IF(Квартиры!F1220="","",Квартиры!F1220)</f>
        <v/>
      </c>
      <c r="H1222">
        <f>IF(Квартиры!H1220="","",Квартиры!H1220)</f>
        <v/>
      </c>
      <c r="I1222">
        <f>IF(Квартиры!I1220="","",Квартиры!I1220)</f>
        <v/>
      </c>
      <c r="J1222">
        <f>IF(Квартиры!J1220="","",Квартиры!J1220)</f>
        <v/>
      </c>
    </row>
    <row r="1223">
      <c r="A1223">
        <f>IF(Квартиры!A1221="","",Квартиры!A1221)</f>
        <v/>
      </c>
      <c r="B1223">
        <f>IF(Квартиры!B1221="","",Квартиры!B1221)</f>
        <v/>
      </c>
      <c r="C1223">
        <f>IF(Квартиры!C1221="","",Квартиры!C1221)</f>
        <v/>
      </c>
      <c r="D1223">
        <f>IF(Квартиры!D1221="","",Квартиры!D1221)</f>
        <v/>
      </c>
      <c r="E1223">
        <f>IF(Квартиры!G1221="","",Квартиры!G1221)</f>
        <v/>
      </c>
      <c r="F1223">
        <f>IF(Квартиры!E1221="","",Квартиры!E1221)</f>
        <v/>
      </c>
      <c r="G1223">
        <f>IF(Квартиры!F1221="","",Квартиры!F1221)</f>
        <v/>
      </c>
      <c r="H1223">
        <f>IF(Квартиры!H1221="","",Квартиры!H1221)</f>
        <v/>
      </c>
      <c r="I1223">
        <f>IF(Квартиры!I1221="","",Квартиры!I1221)</f>
        <v/>
      </c>
      <c r="J1223">
        <f>IF(Квартиры!J1221="","",Квартиры!J1221)</f>
        <v/>
      </c>
    </row>
    <row r="1224">
      <c r="A1224">
        <f>IF(Квартиры!A1222="","",Квартиры!A1222)</f>
        <v/>
      </c>
      <c r="B1224">
        <f>IF(Квартиры!B1222="","",Квартиры!B1222)</f>
        <v/>
      </c>
      <c r="C1224">
        <f>IF(Квартиры!C1222="","",Квартиры!C1222)</f>
        <v/>
      </c>
      <c r="D1224">
        <f>IF(Квартиры!D1222="","",Квартиры!D1222)</f>
        <v/>
      </c>
      <c r="E1224">
        <f>IF(Квартиры!G1222="","",Квартиры!G1222)</f>
        <v/>
      </c>
      <c r="F1224">
        <f>IF(Квартиры!E1222="","",Квартиры!E1222)</f>
        <v/>
      </c>
      <c r="G1224">
        <f>IF(Квартиры!F1222="","",Квартиры!F1222)</f>
        <v/>
      </c>
      <c r="H1224">
        <f>IF(Квартиры!H1222="","",Квартиры!H1222)</f>
        <v/>
      </c>
      <c r="I1224">
        <f>IF(Квартиры!I1222="","",Квартиры!I1222)</f>
        <v/>
      </c>
      <c r="J1224">
        <f>IF(Квартиры!J1222="","",Квартиры!J1222)</f>
        <v/>
      </c>
    </row>
    <row r="1225">
      <c r="A1225">
        <f>IF(Квартиры!A1223="","",Квартиры!A1223)</f>
        <v/>
      </c>
      <c r="B1225">
        <f>IF(Квартиры!B1223="","",Квартиры!B1223)</f>
        <v/>
      </c>
      <c r="C1225">
        <f>IF(Квартиры!C1223="","",Квартиры!C1223)</f>
        <v/>
      </c>
      <c r="D1225">
        <f>IF(Квартиры!D1223="","",Квартиры!D1223)</f>
        <v/>
      </c>
      <c r="E1225">
        <f>IF(Квартиры!G1223="","",Квартиры!G1223)</f>
        <v/>
      </c>
      <c r="F1225">
        <f>IF(Квартиры!E1223="","",Квартиры!E1223)</f>
        <v/>
      </c>
      <c r="G1225">
        <f>IF(Квартиры!F1223="","",Квартиры!F1223)</f>
        <v/>
      </c>
      <c r="H1225">
        <f>IF(Квартиры!H1223="","",Квартиры!H1223)</f>
        <v/>
      </c>
      <c r="I1225">
        <f>IF(Квартиры!I1223="","",Квартиры!I1223)</f>
        <v/>
      </c>
      <c r="J1225">
        <f>IF(Квартиры!J1223="","",Квартиры!J1223)</f>
        <v/>
      </c>
    </row>
    <row r="1226">
      <c r="A1226">
        <f>IF(Квартиры!A1224="","",Квартиры!A1224)</f>
        <v/>
      </c>
      <c r="B1226">
        <f>IF(Квартиры!B1224="","",Квартиры!B1224)</f>
        <v/>
      </c>
      <c r="C1226">
        <f>IF(Квартиры!C1224="","",Квартиры!C1224)</f>
        <v/>
      </c>
      <c r="D1226">
        <f>IF(Квартиры!D1224="","",Квартиры!D1224)</f>
        <v/>
      </c>
      <c r="E1226">
        <f>IF(Квартиры!G1224="","",Квартиры!G1224)</f>
        <v/>
      </c>
      <c r="F1226">
        <f>IF(Квартиры!E1224="","",Квартиры!E1224)</f>
        <v/>
      </c>
      <c r="G1226">
        <f>IF(Квартиры!F1224="","",Квартиры!F1224)</f>
        <v/>
      </c>
      <c r="H1226">
        <f>IF(Квартиры!H1224="","",Квартиры!H1224)</f>
        <v/>
      </c>
      <c r="I1226">
        <f>IF(Квартиры!I1224="","",Квартиры!I1224)</f>
        <v/>
      </c>
      <c r="J1226">
        <f>IF(Квартиры!J1224="","",Квартиры!J1224)</f>
        <v/>
      </c>
    </row>
    <row r="1227">
      <c r="A1227">
        <f>IF(Квартиры!A1225="","",Квартиры!A1225)</f>
        <v/>
      </c>
      <c r="B1227">
        <f>IF(Квартиры!B1225="","",Квартиры!B1225)</f>
        <v/>
      </c>
      <c r="C1227">
        <f>IF(Квартиры!C1225="","",Квартиры!C1225)</f>
        <v/>
      </c>
      <c r="D1227">
        <f>IF(Квартиры!D1225="","",Квартиры!D1225)</f>
        <v/>
      </c>
      <c r="E1227">
        <f>IF(Квартиры!G1225="","",Квартиры!G1225)</f>
        <v/>
      </c>
      <c r="F1227">
        <f>IF(Квартиры!E1225="","",Квартиры!E1225)</f>
        <v/>
      </c>
      <c r="G1227">
        <f>IF(Квартиры!F1225="","",Квартиры!F1225)</f>
        <v/>
      </c>
      <c r="H1227">
        <f>IF(Квартиры!H1225="","",Квартиры!H1225)</f>
        <v/>
      </c>
      <c r="I1227">
        <f>IF(Квартиры!I1225="","",Квартиры!I1225)</f>
        <v/>
      </c>
      <c r="J1227">
        <f>IF(Квартиры!J1225="","",Квартиры!J1225)</f>
        <v/>
      </c>
    </row>
    <row r="1228">
      <c r="A1228">
        <f>IF(Квартиры!A1226="","",Квартиры!A1226)</f>
        <v/>
      </c>
      <c r="B1228">
        <f>IF(Квартиры!B1226="","",Квартиры!B1226)</f>
        <v/>
      </c>
      <c r="C1228">
        <f>IF(Квартиры!C1226="","",Квартиры!C1226)</f>
        <v/>
      </c>
      <c r="D1228">
        <f>IF(Квартиры!D1226="","",Квартиры!D1226)</f>
        <v/>
      </c>
      <c r="E1228">
        <f>IF(Квартиры!G1226="","",Квартиры!G1226)</f>
        <v/>
      </c>
      <c r="F1228">
        <f>IF(Квартиры!E1226="","",Квартиры!E1226)</f>
        <v/>
      </c>
      <c r="G1228">
        <f>IF(Квартиры!F1226="","",Квартиры!F1226)</f>
        <v/>
      </c>
      <c r="H1228">
        <f>IF(Квартиры!H1226="","",Квартиры!H1226)</f>
        <v/>
      </c>
      <c r="I1228">
        <f>IF(Квартиры!I1226="","",Квартиры!I1226)</f>
        <v/>
      </c>
      <c r="J1228">
        <f>IF(Квартиры!J1226="","",Квартиры!J1226)</f>
        <v/>
      </c>
    </row>
    <row r="1229">
      <c r="A1229">
        <f>IF(Квартиры!A1227="","",Квартиры!A1227)</f>
        <v/>
      </c>
      <c r="B1229">
        <f>IF(Квартиры!B1227="","",Квартиры!B1227)</f>
        <v/>
      </c>
      <c r="C1229">
        <f>IF(Квартиры!C1227="","",Квартиры!C1227)</f>
        <v/>
      </c>
      <c r="D1229">
        <f>IF(Квартиры!D1227="","",Квартиры!D1227)</f>
        <v/>
      </c>
      <c r="E1229">
        <f>IF(Квартиры!G1227="","",Квартиры!G1227)</f>
        <v/>
      </c>
      <c r="F1229">
        <f>IF(Квартиры!E1227="","",Квартиры!E1227)</f>
        <v/>
      </c>
      <c r="G1229">
        <f>IF(Квартиры!F1227="","",Квартиры!F1227)</f>
        <v/>
      </c>
      <c r="H1229">
        <f>IF(Квартиры!H1227="","",Квартиры!H1227)</f>
        <v/>
      </c>
      <c r="I1229">
        <f>IF(Квартиры!I1227="","",Квартиры!I1227)</f>
        <v/>
      </c>
      <c r="J1229">
        <f>IF(Квартиры!J1227="","",Квартиры!J1227)</f>
        <v/>
      </c>
    </row>
    <row r="1230">
      <c r="A1230">
        <f>IF(Квартиры!A1228="","",Квартиры!A1228)</f>
        <v/>
      </c>
      <c r="B1230">
        <f>IF(Квартиры!B1228="","",Квартиры!B1228)</f>
        <v/>
      </c>
      <c r="C1230">
        <f>IF(Квартиры!C1228="","",Квартиры!C1228)</f>
        <v/>
      </c>
      <c r="D1230">
        <f>IF(Квартиры!D1228="","",Квартиры!D1228)</f>
        <v/>
      </c>
      <c r="E1230">
        <f>IF(Квартиры!G1228="","",Квартиры!G1228)</f>
        <v/>
      </c>
      <c r="F1230">
        <f>IF(Квартиры!E1228="","",Квартиры!E1228)</f>
        <v/>
      </c>
      <c r="G1230">
        <f>IF(Квартиры!F1228="","",Квартиры!F1228)</f>
        <v/>
      </c>
      <c r="H1230">
        <f>IF(Квартиры!H1228="","",Квартиры!H1228)</f>
        <v/>
      </c>
      <c r="I1230">
        <f>IF(Квартиры!I1228="","",Квартиры!I1228)</f>
        <v/>
      </c>
      <c r="J1230">
        <f>IF(Квартиры!J1228="","",Квартиры!J1228)</f>
        <v/>
      </c>
    </row>
    <row r="1231">
      <c r="A1231">
        <f>IF(Квартиры!A1229="","",Квартиры!A1229)</f>
        <v/>
      </c>
      <c r="B1231">
        <f>IF(Квартиры!B1229="","",Квартиры!B1229)</f>
        <v/>
      </c>
      <c r="C1231">
        <f>IF(Квартиры!C1229="","",Квартиры!C1229)</f>
        <v/>
      </c>
      <c r="D1231">
        <f>IF(Квартиры!D1229="","",Квартиры!D1229)</f>
        <v/>
      </c>
      <c r="E1231">
        <f>IF(Квартиры!G1229="","",Квартиры!G1229)</f>
        <v/>
      </c>
      <c r="F1231">
        <f>IF(Квартиры!E1229="","",Квартиры!E1229)</f>
        <v/>
      </c>
      <c r="G1231">
        <f>IF(Квартиры!F1229="","",Квартиры!F1229)</f>
        <v/>
      </c>
      <c r="H1231">
        <f>IF(Квартиры!H1229="","",Квартиры!H1229)</f>
        <v/>
      </c>
      <c r="I1231">
        <f>IF(Квартиры!I1229="","",Квартиры!I1229)</f>
        <v/>
      </c>
      <c r="J1231">
        <f>IF(Квартиры!J1229="","",Квартиры!J1229)</f>
        <v/>
      </c>
    </row>
    <row r="1232">
      <c r="A1232">
        <f>IF(Квартиры!A1230="","",Квартиры!A1230)</f>
        <v/>
      </c>
      <c r="B1232">
        <f>IF(Квартиры!B1230="","",Квартиры!B1230)</f>
        <v/>
      </c>
      <c r="C1232">
        <f>IF(Квартиры!C1230="","",Квартиры!C1230)</f>
        <v/>
      </c>
      <c r="D1232">
        <f>IF(Квартиры!D1230="","",Квартиры!D1230)</f>
        <v/>
      </c>
      <c r="E1232">
        <f>IF(Квартиры!G1230="","",Квартиры!G1230)</f>
        <v/>
      </c>
      <c r="F1232">
        <f>IF(Квартиры!E1230="","",Квартиры!E1230)</f>
        <v/>
      </c>
      <c r="G1232">
        <f>IF(Квартиры!F1230="","",Квартиры!F1230)</f>
        <v/>
      </c>
      <c r="H1232">
        <f>IF(Квартиры!H1230="","",Квартиры!H1230)</f>
        <v/>
      </c>
      <c r="I1232">
        <f>IF(Квартиры!I1230="","",Квартиры!I1230)</f>
        <v/>
      </c>
      <c r="J1232">
        <f>IF(Квартиры!J1230="","",Квартиры!J1230)</f>
        <v/>
      </c>
    </row>
    <row r="1233">
      <c r="A1233">
        <f>IF(Квартиры!A1231="","",Квартиры!A1231)</f>
        <v/>
      </c>
      <c r="B1233">
        <f>IF(Квартиры!B1231="","",Квартиры!B1231)</f>
        <v/>
      </c>
      <c r="C1233">
        <f>IF(Квартиры!C1231="","",Квартиры!C1231)</f>
        <v/>
      </c>
      <c r="D1233">
        <f>IF(Квартиры!D1231="","",Квартиры!D1231)</f>
        <v/>
      </c>
      <c r="E1233">
        <f>IF(Квартиры!G1231="","",Квартиры!G1231)</f>
        <v/>
      </c>
      <c r="F1233">
        <f>IF(Квартиры!E1231="","",Квартиры!E1231)</f>
        <v/>
      </c>
      <c r="G1233">
        <f>IF(Квартиры!F1231="","",Квартиры!F1231)</f>
        <v/>
      </c>
      <c r="H1233">
        <f>IF(Квартиры!H1231="","",Квартиры!H1231)</f>
        <v/>
      </c>
      <c r="I1233">
        <f>IF(Квартиры!I1231="","",Квартиры!I1231)</f>
        <v/>
      </c>
      <c r="J1233">
        <f>IF(Квартиры!J1231="","",Квартиры!J1231)</f>
        <v/>
      </c>
    </row>
    <row r="1234">
      <c r="A1234">
        <f>IF(Квартиры!A1232="","",Квартиры!A1232)</f>
        <v/>
      </c>
      <c r="B1234">
        <f>IF(Квартиры!B1232="","",Квартиры!B1232)</f>
        <v/>
      </c>
      <c r="C1234">
        <f>IF(Квартиры!C1232="","",Квартиры!C1232)</f>
        <v/>
      </c>
      <c r="D1234">
        <f>IF(Квартиры!D1232="","",Квартиры!D1232)</f>
        <v/>
      </c>
      <c r="E1234">
        <f>IF(Квартиры!G1232="","",Квартиры!G1232)</f>
        <v/>
      </c>
      <c r="F1234">
        <f>IF(Квартиры!E1232="","",Квартиры!E1232)</f>
        <v/>
      </c>
      <c r="G1234">
        <f>IF(Квартиры!F1232="","",Квартиры!F1232)</f>
        <v/>
      </c>
      <c r="H1234">
        <f>IF(Квартиры!H1232="","",Квартиры!H1232)</f>
        <v/>
      </c>
      <c r="I1234">
        <f>IF(Квартиры!I1232="","",Квартиры!I1232)</f>
        <v/>
      </c>
      <c r="J1234">
        <f>IF(Квартиры!J1232="","",Квартиры!J1232)</f>
        <v/>
      </c>
    </row>
    <row r="1235">
      <c r="A1235">
        <f>IF(Квартиры!A1233="","",Квартиры!A1233)</f>
        <v/>
      </c>
      <c r="B1235">
        <f>IF(Квартиры!B1233="","",Квартиры!B1233)</f>
        <v/>
      </c>
      <c r="C1235">
        <f>IF(Квартиры!C1233="","",Квартиры!C1233)</f>
        <v/>
      </c>
      <c r="D1235">
        <f>IF(Квартиры!D1233="","",Квартиры!D1233)</f>
        <v/>
      </c>
      <c r="E1235">
        <f>IF(Квартиры!G1233="","",Квартиры!G1233)</f>
        <v/>
      </c>
      <c r="F1235">
        <f>IF(Квартиры!E1233="","",Квартиры!E1233)</f>
        <v/>
      </c>
      <c r="G1235">
        <f>IF(Квартиры!F1233="","",Квартиры!F1233)</f>
        <v/>
      </c>
      <c r="H1235">
        <f>IF(Квартиры!H1233="","",Квартиры!H1233)</f>
        <v/>
      </c>
      <c r="I1235">
        <f>IF(Квартиры!I1233="","",Квартиры!I1233)</f>
        <v/>
      </c>
      <c r="J1235">
        <f>IF(Квартиры!J1233="","",Квартиры!J1233)</f>
        <v/>
      </c>
    </row>
    <row r="1236">
      <c r="A1236">
        <f>IF(Квартиры!A1234="","",Квартиры!A1234)</f>
        <v/>
      </c>
      <c r="B1236">
        <f>IF(Квартиры!B1234="","",Квартиры!B1234)</f>
        <v/>
      </c>
      <c r="C1236">
        <f>IF(Квартиры!C1234="","",Квартиры!C1234)</f>
        <v/>
      </c>
      <c r="D1236">
        <f>IF(Квартиры!D1234="","",Квартиры!D1234)</f>
        <v/>
      </c>
      <c r="E1236">
        <f>IF(Квартиры!G1234="","",Квартиры!G1234)</f>
        <v/>
      </c>
      <c r="F1236">
        <f>IF(Квартиры!E1234="","",Квартиры!E1234)</f>
        <v/>
      </c>
      <c r="G1236">
        <f>IF(Квартиры!F1234="","",Квартиры!F1234)</f>
        <v/>
      </c>
      <c r="H1236">
        <f>IF(Квартиры!H1234="","",Квартиры!H1234)</f>
        <v/>
      </c>
      <c r="I1236">
        <f>IF(Квартиры!I1234="","",Квартиры!I1234)</f>
        <v/>
      </c>
      <c r="J1236">
        <f>IF(Квартиры!J1234="","",Квартиры!J1234)</f>
        <v/>
      </c>
    </row>
    <row r="1237">
      <c r="A1237">
        <f>IF(Квартиры!A1235="","",Квартиры!A1235)</f>
        <v/>
      </c>
      <c r="B1237">
        <f>IF(Квартиры!B1235="","",Квартиры!B1235)</f>
        <v/>
      </c>
      <c r="C1237">
        <f>IF(Квартиры!C1235="","",Квартиры!C1235)</f>
        <v/>
      </c>
      <c r="D1237">
        <f>IF(Квартиры!D1235="","",Квартиры!D1235)</f>
        <v/>
      </c>
      <c r="E1237">
        <f>IF(Квартиры!G1235="","",Квартиры!G1235)</f>
        <v/>
      </c>
      <c r="F1237">
        <f>IF(Квартиры!E1235="","",Квартиры!E1235)</f>
        <v/>
      </c>
      <c r="G1237">
        <f>IF(Квартиры!F1235="","",Квартиры!F1235)</f>
        <v/>
      </c>
      <c r="H1237">
        <f>IF(Квартиры!H1235="","",Квартиры!H1235)</f>
        <v/>
      </c>
      <c r="I1237">
        <f>IF(Квартиры!I1235="","",Квартиры!I1235)</f>
        <v/>
      </c>
      <c r="J1237">
        <f>IF(Квартиры!J1235="","",Квартиры!J1235)</f>
        <v/>
      </c>
    </row>
    <row r="1238">
      <c r="A1238">
        <f>IF(Квартиры!A1236="","",Квартиры!A1236)</f>
        <v/>
      </c>
      <c r="B1238">
        <f>IF(Квартиры!B1236="","",Квартиры!B1236)</f>
        <v/>
      </c>
      <c r="C1238">
        <f>IF(Квартиры!C1236="","",Квартиры!C1236)</f>
        <v/>
      </c>
      <c r="D1238">
        <f>IF(Квартиры!D1236="","",Квартиры!D1236)</f>
        <v/>
      </c>
      <c r="E1238">
        <f>IF(Квартиры!G1236="","",Квартиры!G1236)</f>
        <v/>
      </c>
      <c r="F1238">
        <f>IF(Квартиры!E1236="","",Квартиры!E1236)</f>
        <v/>
      </c>
      <c r="G1238">
        <f>IF(Квартиры!F1236="","",Квартиры!F1236)</f>
        <v/>
      </c>
      <c r="H1238">
        <f>IF(Квартиры!H1236="","",Квартиры!H1236)</f>
        <v/>
      </c>
      <c r="I1238">
        <f>IF(Квартиры!I1236="","",Квартиры!I1236)</f>
        <v/>
      </c>
      <c r="J1238">
        <f>IF(Квартиры!J1236="","",Квартиры!J1236)</f>
        <v/>
      </c>
    </row>
    <row r="1239">
      <c r="A1239">
        <f>IF(Квартиры!A1237="","",Квартиры!A1237)</f>
        <v/>
      </c>
      <c r="B1239">
        <f>IF(Квартиры!B1237="","",Квартиры!B1237)</f>
        <v/>
      </c>
      <c r="C1239">
        <f>IF(Квартиры!C1237="","",Квартиры!C1237)</f>
        <v/>
      </c>
      <c r="D1239">
        <f>IF(Квартиры!D1237="","",Квартиры!D1237)</f>
        <v/>
      </c>
      <c r="E1239">
        <f>IF(Квартиры!G1237="","",Квартиры!G1237)</f>
        <v/>
      </c>
      <c r="F1239">
        <f>IF(Квартиры!E1237="","",Квартиры!E1237)</f>
        <v/>
      </c>
      <c r="G1239">
        <f>IF(Квартиры!F1237="","",Квартиры!F1237)</f>
        <v/>
      </c>
      <c r="H1239">
        <f>IF(Квартиры!H1237="","",Квартиры!H1237)</f>
        <v/>
      </c>
      <c r="I1239">
        <f>IF(Квартиры!I1237="","",Квартиры!I1237)</f>
        <v/>
      </c>
      <c r="J1239">
        <f>IF(Квартиры!J1237="","",Квартиры!J1237)</f>
        <v/>
      </c>
    </row>
    <row r="1240">
      <c r="A1240">
        <f>IF(Квартиры!A1238="","",Квартиры!A1238)</f>
        <v/>
      </c>
      <c r="B1240">
        <f>IF(Квартиры!B1238="","",Квартиры!B1238)</f>
        <v/>
      </c>
      <c r="C1240">
        <f>IF(Квартиры!C1238="","",Квартиры!C1238)</f>
        <v/>
      </c>
      <c r="D1240">
        <f>IF(Квартиры!D1238="","",Квартиры!D1238)</f>
        <v/>
      </c>
      <c r="E1240">
        <f>IF(Квартиры!G1238="","",Квартиры!G1238)</f>
        <v/>
      </c>
      <c r="F1240">
        <f>IF(Квартиры!E1238="","",Квартиры!E1238)</f>
        <v/>
      </c>
      <c r="G1240">
        <f>IF(Квартиры!F1238="","",Квартиры!F1238)</f>
        <v/>
      </c>
      <c r="H1240">
        <f>IF(Квартиры!H1238="","",Квартиры!H1238)</f>
        <v/>
      </c>
      <c r="I1240">
        <f>IF(Квартиры!I1238="","",Квартиры!I1238)</f>
        <v/>
      </c>
      <c r="J1240">
        <f>IF(Квартиры!J1238="","",Квартиры!J1238)</f>
        <v/>
      </c>
    </row>
    <row r="1241">
      <c r="A1241">
        <f>IF(Квартиры!A1239="","",Квартиры!A1239)</f>
        <v/>
      </c>
      <c r="B1241">
        <f>IF(Квартиры!B1239="","",Квартиры!B1239)</f>
        <v/>
      </c>
      <c r="C1241">
        <f>IF(Квартиры!C1239="","",Квартиры!C1239)</f>
        <v/>
      </c>
      <c r="D1241">
        <f>IF(Квартиры!D1239="","",Квартиры!D1239)</f>
        <v/>
      </c>
      <c r="E1241">
        <f>IF(Квартиры!G1239="","",Квартиры!G1239)</f>
        <v/>
      </c>
      <c r="F1241">
        <f>IF(Квартиры!E1239="","",Квартиры!E1239)</f>
        <v/>
      </c>
      <c r="G1241">
        <f>IF(Квартиры!F1239="","",Квартиры!F1239)</f>
        <v/>
      </c>
      <c r="H1241">
        <f>IF(Квартиры!H1239="","",Квартиры!H1239)</f>
        <v/>
      </c>
      <c r="I1241">
        <f>IF(Квартиры!I1239="","",Квартиры!I1239)</f>
        <v/>
      </c>
      <c r="J1241">
        <f>IF(Квартиры!J1239="","",Квартиры!J1239)</f>
        <v/>
      </c>
    </row>
    <row r="1242">
      <c r="A1242">
        <f>IF(Квартиры!A1240="","",Квартиры!A1240)</f>
        <v/>
      </c>
      <c r="B1242">
        <f>IF(Квартиры!B1240="","",Квартиры!B1240)</f>
        <v/>
      </c>
      <c r="C1242">
        <f>IF(Квартиры!C1240="","",Квартиры!C1240)</f>
        <v/>
      </c>
      <c r="D1242">
        <f>IF(Квартиры!D1240="","",Квартиры!D1240)</f>
        <v/>
      </c>
      <c r="E1242">
        <f>IF(Квартиры!G1240="","",Квартиры!G1240)</f>
        <v/>
      </c>
      <c r="F1242">
        <f>IF(Квартиры!E1240="","",Квартиры!E1240)</f>
        <v/>
      </c>
      <c r="G1242">
        <f>IF(Квартиры!F1240="","",Квартиры!F1240)</f>
        <v/>
      </c>
      <c r="H1242">
        <f>IF(Квартиры!H1240="","",Квартиры!H1240)</f>
        <v/>
      </c>
      <c r="I1242">
        <f>IF(Квартиры!I1240="","",Квартиры!I1240)</f>
        <v/>
      </c>
      <c r="J1242">
        <f>IF(Квартиры!J1240="","",Квартиры!J1240)</f>
        <v/>
      </c>
    </row>
    <row r="1243">
      <c r="A1243">
        <f>IF(Квартиры!A1241="","",Квартиры!A1241)</f>
        <v/>
      </c>
      <c r="B1243">
        <f>IF(Квартиры!B1241="","",Квартиры!B1241)</f>
        <v/>
      </c>
      <c r="C1243">
        <f>IF(Квартиры!C1241="","",Квартиры!C1241)</f>
        <v/>
      </c>
      <c r="D1243">
        <f>IF(Квартиры!D1241="","",Квартиры!D1241)</f>
        <v/>
      </c>
      <c r="E1243">
        <f>IF(Квартиры!G1241="","",Квартиры!G1241)</f>
        <v/>
      </c>
      <c r="F1243">
        <f>IF(Квартиры!E1241="","",Квартиры!E1241)</f>
        <v/>
      </c>
      <c r="G1243">
        <f>IF(Квартиры!F1241="","",Квартиры!F1241)</f>
        <v/>
      </c>
      <c r="H1243">
        <f>IF(Квартиры!H1241="","",Квартиры!H1241)</f>
        <v/>
      </c>
      <c r="I1243">
        <f>IF(Квартиры!I1241="","",Квартиры!I1241)</f>
        <v/>
      </c>
      <c r="J1243">
        <f>IF(Квартиры!J1241="","",Квартиры!J1241)</f>
        <v/>
      </c>
    </row>
    <row r="1244">
      <c r="A1244">
        <f>IF(Квартиры!A1242="","",Квартиры!A1242)</f>
        <v/>
      </c>
      <c r="B1244">
        <f>IF(Квартиры!B1242="","",Квартиры!B1242)</f>
        <v/>
      </c>
      <c r="C1244">
        <f>IF(Квартиры!C1242="","",Квартиры!C1242)</f>
        <v/>
      </c>
      <c r="D1244">
        <f>IF(Квартиры!D1242="","",Квартиры!D1242)</f>
        <v/>
      </c>
      <c r="E1244">
        <f>IF(Квартиры!G1242="","",Квартиры!G1242)</f>
        <v/>
      </c>
      <c r="F1244">
        <f>IF(Квартиры!E1242="","",Квартиры!E1242)</f>
        <v/>
      </c>
      <c r="G1244">
        <f>IF(Квартиры!F1242="","",Квартиры!F1242)</f>
        <v/>
      </c>
      <c r="H1244">
        <f>IF(Квартиры!H1242="","",Квартиры!H1242)</f>
        <v/>
      </c>
      <c r="I1244">
        <f>IF(Квартиры!I1242="","",Квартиры!I1242)</f>
        <v/>
      </c>
      <c r="J1244">
        <f>IF(Квартиры!J1242="","",Квартиры!J1242)</f>
        <v/>
      </c>
    </row>
    <row r="1245">
      <c r="A1245">
        <f>IF(Квартиры!A1243="","",Квартиры!A1243)</f>
        <v/>
      </c>
      <c r="B1245">
        <f>IF(Квартиры!B1243="","",Квартиры!B1243)</f>
        <v/>
      </c>
      <c r="C1245">
        <f>IF(Квартиры!C1243="","",Квартиры!C1243)</f>
        <v/>
      </c>
      <c r="D1245">
        <f>IF(Квартиры!D1243="","",Квартиры!D1243)</f>
        <v/>
      </c>
      <c r="E1245">
        <f>IF(Квартиры!G1243="","",Квартиры!G1243)</f>
        <v/>
      </c>
      <c r="F1245">
        <f>IF(Квартиры!E1243="","",Квартиры!E1243)</f>
        <v/>
      </c>
      <c r="G1245">
        <f>IF(Квартиры!F1243="","",Квартиры!F1243)</f>
        <v/>
      </c>
      <c r="H1245">
        <f>IF(Квартиры!H1243="","",Квартиры!H1243)</f>
        <v/>
      </c>
      <c r="I1245">
        <f>IF(Квартиры!I1243="","",Квартиры!I1243)</f>
        <v/>
      </c>
      <c r="J1245">
        <f>IF(Квартиры!J1243="","",Квартиры!J1243)</f>
        <v/>
      </c>
    </row>
    <row r="1246">
      <c r="A1246">
        <f>IF(Квартиры!A1244="","",Квартиры!A1244)</f>
        <v/>
      </c>
      <c r="B1246">
        <f>IF(Квартиры!B1244="","",Квартиры!B1244)</f>
        <v/>
      </c>
      <c r="C1246">
        <f>IF(Квартиры!C1244="","",Квартиры!C1244)</f>
        <v/>
      </c>
      <c r="D1246">
        <f>IF(Квартиры!D1244="","",Квартиры!D1244)</f>
        <v/>
      </c>
      <c r="E1246">
        <f>IF(Квартиры!G1244="","",Квартиры!G1244)</f>
        <v/>
      </c>
      <c r="F1246">
        <f>IF(Квартиры!E1244="","",Квартиры!E1244)</f>
        <v/>
      </c>
      <c r="G1246">
        <f>IF(Квартиры!F1244="","",Квартиры!F1244)</f>
        <v/>
      </c>
      <c r="H1246">
        <f>IF(Квартиры!H1244="","",Квартиры!H1244)</f>
        <v/>
      </c>
      <c r="I1246">
        <f>IF(Квартиры!I1244="","",Квартиры!I1244)</f>
        <v/>
      </c>
      <c r="J1246">
        <f>IF(Квартиры!J1244="","",Квартиры!J1244)</f>
        <v/>
      </c>
    </row>
    <row r="1247">
      <c r="A1247">
        <f>IF(Квартиры!A1245="","",Квартиры!A1245)</f>
        <v/>
      </c>
      <c r="B1247">
        <f>IF(Квартиры!B1245="","",Квартиры!B1245)</f>
        <v/>
      </c>
      <c r="C1247">
        <f>IF(Квартиры!C1245="","",Квартиры!C1245)</f>
        <v/>
      </c>
      <c r="D1247">
        <f>IF(Квартиры!D1245="","",Квартиры!D1245)</f>
        <v/>
      </c>
      <c r="E1247">
        <f>IF(Квартиры!G1245="","",Квартиры!G1245)</f>
        <v/>
      </c>
      <c r="F1247">
        <f>IF(Квартиры!E1245="","",Квартиры!E1245)</f>
        <v/>
      </c>
      <c r="G1247">
        <f>IF(Квартиры!F1245="","",Квартиры!F1245)</f>
        <v/>
      </c>
      <c r="H1247">
        <f>IF(Квартиры!H1245="","",Квартиры!H1245)</f>
        <v/>
      </c>
      <c r="I1247">
        <f>IF(Квартиры!I1245="","",Квартиры!I1245)</f>
        <v/>
      </c>
      <c r="J1247">
        <f>IF(Квартиры!J1245="","",Квартиры!J1245)</f>
        <v/>
      </c>
    </row>
    <row r="1248">
      <c r="A1248">
        <f>IF(Квартиры!A1246="","",Квартиры!A1246)</f>
        <v/>
      </c>
      <c r="B1248">
        <f>IF(Квартиры!B1246="","",Квартиры!B1246)</f>
        <v/>
      </c>
      <c r="C1248">
        <f>IF(Квартиры!C1246="","",Квартиры!C1246)</f>
        <v/>
      </c>
      <c r="D1248">
        <f>IF(Квартиры!D1246="","",Квартиры!D1246)</f>
        <v/>
      </c>
      <c r="E1248">
        <f>IF(Квартиры!G1246="","",Квартиры!G1246)</f>
        <v/>
      </c>
      <c r="F1248">
        <f>IF(Квартиры!E1246="","",Квартиры!E1246)</f>
        <v/>
      </c>
      <c r="G1248">
        <f>IF(Квартиры!F1246="","",Квартиры!F1246)</f>
        <v/>
      </c>
      <c r="H1248">
        <f>IF(Квартиры!H1246="","",Квартиры!H1246)</f>
        <v/>
      </c>
      <c r="I1248">
        <f>IF(Квартиры!I1246="","",Квартиры!I1246)</f>
        <v/>
      </c>
      <c r="J1248">
        <f>IF(Квартиры!J1246="","",Квартиры!J1246)</f>
        <v/>
      </c>
    </row>
    <row r="1249">
      <c r="A1249">
        <f>IF(Квартиры!A1247="","",Квартиры!A1247)</f>
        <v/>
      </c>
      <c r="B1249">
        <f>IF(Квартиры!B1247="","",Квартиры!B1247)</f>
        <v/>
      </c>
      <c r="C1249">
        <f>IF(Квартиры!C1247="","",Квартиры!C1247)</f>
        <v/>
      </c>
      <c r="D1249">
        <f>IF(Квартиры!D1247="","",Квартиры!D1247)</f>
        <v/>
      </c>
      <c r="E1249">
        <f>IF(Квартиры!G1247="","",Квартиры!G1247)</f>
        <v/>
      </c>
      <c r="F1249">
        <f>IF(Квартиры!E1247="","",Квартиры!E1247)</f>
        <v/>
      </c>
      <c r="G1249">
        <f>IF(Квартиры!F1247="","",Квартиры!F1247)</f>
        <v/>
      </c>
      <c r="H1249">
        <f>IF(Квартиры!H1247="","",Квартиры!H1247)</f>
        <v/>
      </c>
      <c r="I1249">
        <f>IF(Квартиры!I1247="","",Квартиры!I1247)</f>
        <v/>
      </c>
      <c r="J1249">
        <f>IF(Квартиры!J1247="","",Квартиры!J1247)</f>
        <v/>
      </c>
    </row>
    <row r="1250">
      <c r="A1250">
        <f>IF(Квартиры!A1248="","",Квартиры!A1248)</f>
        <v/>
      </c>
      <c r="B1250">
        <f>IF(Квартиры!B1248="","",Квартиры!B1248)</f>
        <v/>
      </c>
      <c r="C1250">
        <f>IF(Квартиры!C1248="","",Квартиры!C1248)</f>
        <v/>
      </c>
      <c r="D1250">
        <f>IF(Квартиры!D1248="","",Квартиры!D1248)</f>
        <v/>
      </c>
      <c r="E1250">
        <f>IF(Квартиры!G1248="","",Квартиры!G1248)</f>
        <v/>
      </c>
      <c r="F1250">
        <f>IF(Квартиры!E1248="","",Квартиры!E1248)</f>
        <v/>
      </c>
      <c r="G1250">
        <f>IF(Квартиры!F1248="","",Квартиры!F1248)</f>
        <v/>
      </c>
      <c r="H1250">
        <f>IF(Квартиры!H1248="","",Квартиры!H1248)</f>
        <v/>
      </c>
      <c r="I1250">
        <f>IF(Квартиры!I1248="","",Квартиры!I1248)</f>
        <v/>
      </c>
      <c r="J1250">
        <f>IF(Квартиры!J1248="","",Квартиры!J1248)</f>
        <v/>
      </c>
    </row>
    <row r="1251">
      <c r="A1251">
        <f>IF(Квартиры!A1249="","",Квартиры!A1249)</f>
        <v/>
      </c>
      <c r="B1251">
        <f>IF(Квартиры!B1249="","",Квартиры!B1249)</f>
        <v/>
      </c>
      <c r="C1251">
        <f>IF(Квартиры!C1249="","",Квартиры!C1249)</f>
        <v/>
      </c>
      <c r="D1251">
        <f>IF(Квартиры!D1249="","",Квартиры!D1249)</f>
        <v/>
      </c>
      <c r="E1251">
        <f>IF(Квартиры!G1249="","",Квартиры!G1249)</f>
        <v/>
      </c>
      <c r="F1251">
        <f>IF(Квартиры!E1249="","",Квартиры!E1249)</f>
        <v/>
      </c>
      <c r="G1251">
        <f>IF(Квартиры!F1249="","",Квартиры!F1249)</f>
        <v/>
      </c>
      <c r="H1251">
        <f>IF(Квартиры!H1249="","",Квартиры!H1249)</f>
        <v/>
      </c>
      <c r="I1251">
        <f>IF(Квартиры!I1249="","",Квартиры!I1249)</f>
        <v/>
      </c>
      <c r="J1251">
        <f>IF(Квартиры!J1249="","",Квартиры!J1249)</f>
        <v/>
      </c>
    </row>
    <row r="1252">
      <c r="A1252">
        <f>IF(Квартиры!A1250="","",Квартиры!A1250)</f>
        <v/>
      </c>
      <c r="B1252">
        <f>IF(Квартиры!B1250="","",Квартиры!B1250)</f>
        <v/>
      </c>
      <c r="C1252">
        <f>IF(Квартиры!C1250="","",Квартиры!C1250)</f>
        <v/>
      </c>
      <c r="D1252">
        <f>IF(Квартиры!D1250="","",Квартиры!D1250)</f>
        <v/>
      </c>
      <c r="E1252">
        <f>IF(Квартиры!G1250="","",Квартиры!G1250)</f>
        <v/>
      </c>
      <c r="F1252">
        <f>IF(Квартиры!E1250="","",Квартиры!E1250)</f>
        <v/>
      </c>
      <c r="G1252">
        <f>IF(Квартиры!F1250="","",Квартиры!F1250)</f>
        <v/>
      </c>
      <c r="H1252">
        <f>IF(Квартиры!H1250="","",Квартиры!H1250)</f>
        <v/>
      </c>
      <c r="I1252">
        <f>IF(Квартиры!I1250="","",Квартиры!I1250)</f>
        <v/>
      </c>
      <c r="J1252">
        <f>IF(Квартиры!J1250="","",Квартиры!J1250)</f>
        <v/>
      </c>
    </row>
    <row r="1253">
      <c r="A1253">
        <f>IF(Квартиры!A1251="","",Квартиры!A1251)</f>
        <v/>
      </c>
      <c r="B1253">
        <f>IF(Квартиры!B1251="","",Квартиры!B1251)</f>
        <v/>
      </c>
      <c r="C1253">
        <f>IF(Квартиры!C1251="","",Квартиры!C1251)</f>
        <v/>
      </c>
      <c r="D1253">
        <f>IF(Квартиры!D1251="","",Квартиры!D1251)</f>
        <v/>
      </c>
      <c r="E1253">
        <f>IF(Квартиры!G1251="","",Квартиры!G1251)</f>
        <v/>
      </c>
      <c r="F1253">
        <f>IF(Квартиры!E1251="","",Квартиры!E1251)</f>
        <v/>
      </c>
      <c r="G1253">
        <f>IF(Квартиры!F1251="","",Квартиры!F1251)</f>
        <v/>
      </c>
      <c r="H1253">
        <f>IF(Квартиры!H1251="","",Квартиры!H1251)</f>
        <v/>
      </c>
      <c r="I1253">
        <f>IF(Квартиры!I1251="","",Квартиры!I1251)</f>
        <v/>
      </c>
      <c r="J1253">
        <f>IF(Квартиры!J1251="","",Квартиры!J1251)</f>
        <v/>
      </c>
    </row>
    <row r="1254">
      <c r="A1254">
        <f>IF(Квартиры!A1252="","",Квартиры!A1252)</f>
        <v/>
      </c>
      <c r="B1254">
        <f>IF(Квартиры!B1252="","",Квартиры!B1252)</f>
        <v/>
      </c>
      <c r="C1254">
        <f>IF(Квартиры!C1252="","",Квартиры!C1252)</f>
        <v/>
      </c>
      <c r="D1254">
        <f>IF(Квартиры!D1252="","",Квартиры!D1252)</f>
        <v/>
      </c>
      <c r="E1254">
        <f>IF(Квартиры!G1252="","",Квартиры!G1252)</f>
        <v/>
      </c>
      <c r="F1254">
        <f>IF(Квартиры!E1252="","",Квартиры!E1252)</f>
        <v/>
      </c>
      <c r="G1254">
        <f>IF(Квартиры!F1252="","",Квартиры!F1252)</f>
        <v/>
      </c>
      <c r="H1254">
        <f>IF(Квартиры!H1252="","",Квартиры!H1252)</f>
        <v/>
      </c>
      <c r="I1254">
        <f>IF(Квартиры!I1252="","",Квартиры!I1252)</f>
        <v/>
      </c>
      <c r="J1254">
        <f>IF(Квартиры!J1252="","",Квартиры!J1252)</f>
        <v/>
      </c>
    </row>
    <row r="1255">
      <c r="A1255">
        <f>IF(Квартиры!A1253="","",Квартиры!A1253)</f>
        <v/>
      </c>
      <c r="B1255">
        <f>IF(Квартиры!B1253="","",Квартиры!B1253)</f>
        <v/>
      </c>
      <c r="C1255">
        <f>IF(Квартиры!C1253="","",Квартиры!C1253)</f>
        <v/>
      </c>
      <c r="D1255">
        <f>IF(Квартиры!D1253="","",Квартиры!D1253)</f>
        <v/>
      </c>
      <c r="E1255">
        <f>IF(Квартиры!G1253="","",Квартиры!G1253)</f>
        <v/>
      </c>
      <c r="F1255">
        <f>IF(Квартиры!E1253="","",Квартиры!E1253)</f>
        <v/>
      </c>
      <c r="G1255">
        <f>IF(Квартиры!F1253="","",Квартиры!F1253)</f>
        <v/>
      </c>
      <c r="H1255">
        <f>IF(Квартиры!H1253="","",Квартиры!H1253)</f>
        <v/>
      </c>
      <c r="I1255">
        <f>IF(Квартиры!I1253="","",Квартиры!I1253)</f>
        <v/>
      </c>
      <c r="J1255">
        <f>IF(Квартиры!J1253="","",Квартиры!J1253)</f>
        <v/>
      </c>
    </row>
    <row r="1256">
      <c r="A1256">
        <f>IF(Квартиры!A1254="","",Квартиры!A1254)</f>
        <v/>
      </c>
      <c r="B1256">
        <f>IF(Квартиры!B1254="","",Квартиры!B1254)</f>
        <v/>
      </c>
      <c r="C1256">
        <f>IF(Квартиры!C1254="","",Квартиры!C1254)</f>
        <v/>
      </c>
      <c r="D1256">
        <f>IF(Квартиры!D1254="","",Квартиры!D1254)</f>
        <v/>
      </c>
      <c r="E1256">
        <f>IF(Квартиры!G1254="","",Квартиры!G1254)</f>
        <v/>
      </c>
      <c r="F1256">
        <f>IF(Квартиры!E1254="","",Квартиры!E1254)</f>
        <v/>
      </c>
      <c r="G1256">
        <f>IF(Квартиры!F1254="","",Квартиры!F1254)</f>
        <v/>
      </c>
      <c r="H1256">
        <f>IF(Квартиры!H1254="","",Квартиры!H1254)</f>
        <v/>
      </c>
      <c r="I1256">
        <f>IF(Квартиры!I1254="","",Квартиры!I1254)</f>
        <v/>
      </c>
      <c r="J1256">
        <f>IF(Квартиры!J1254="","",Квартиры!J1254)</f>
        <v/>
      </c>
    </row>
    <row r="1257">
      <c r="A1257">
        <f>IF(Квартиры!A1255="","",Квартиры!A1255)</f>
        <v/>
      </c>
      <c r="B1257">
        <f>IF(Квартиры!B1255="","",Квартиры!B1255)</f>
        <v/>
      </c>
      <c r="C1257">
        <f>IF(Квартиры!C1255="","",Квартиры!C1255)</f>
        <v/>
      </c>
      <c r="D1257">
        <f>IF(Квартиры!D1255="","",Квартиры!D1255)</f>
        <v/>
      </c>
      <c r="E1257">
        <f>IF(Квартиры!G1255="","",Квартиры!G1255)</f>
        <v/>
      </c>
      <c r="F1257">
        <f>IF(Квартиры!E1255="","",Квартиры!E1255)</f>
        <v/>
      </c>
      <c r="G1257">
        <f>IF(Квартиры!F1255="","",Квартиры!F1255)</f>
        <v/>
      </c>
      <c r="H1257">
        <f>IF(Квартиры!H1255="","",Квартиры!H1255)</f>
        <v/>
      </c>
      <c r="I1257">
        <f>IF(Квартиры!I1255="","",Квартиры!I1255)</f>
        <v/>
      </c>
      <c r="J1257">
        <f>IF(Квартиры!J1255="","",Квартиры!J1255)</f>
        <v/>
      </c>
    </row>
    <row r="1258">
      <c r="A1258">
        <f>IF(Квартиры!A1256="","",Квартиры!A1256)</f>
        <v/>
      </c>
      <c r="B1258">
        <f>IF(Квартиры!B1256="","",Квартиры!B1256)</f>
        <v/>
      </c>
      <c r="C1258">
        <f>IF(Квартиры!C1256="","",Квартиры!C1256)</f>
        <v/>
      </c>
      <c r="D1258">
        <f>IF(Квартиры!D1256="","",Квартиры!D1256)</f>
        <v/>
      </c>
      <c r="E1258">
        <f>IF(Квартиры!G1256="","",Квартиры!G1256)</f>
        <v/>
      </c>
      <c r="F1258">
        <f>IF(Квартиры!E1256="","",Квартиры!E1256)</f>
        <v/>
      </c>
      <c r="G1258">
        <f>IF(Квартиры!F1256="","",Квартиры!F1256)</f>
        <v/>
      </c>
      <c r="H1258">
        <f>IF(Квартиры!H1256="","",Квартиры!H1256)</f>
        <v/>
      </c>
      <c r="I1258">
        <f>IF(Квартиры!I1256="","",Квартиры!I1256)</f>
        <v/>
      </c>
      <c r="J1258">
        <f>IF(Квартиры!J1256="","",Квартиры!J1256)</f>
        <v/>
      </c>
    </row>
    <row r="1259">
      <c r="A1259">
        <f>IF(Квартиры!A1257="","",Квартиры!A1257)</f>
        <v/>
      </c>
      <c r="B1259">
        <f>IF(Квартиры!B1257="","",Квартиры!B1257)</f>
        <v/>
      </c>
      <c r="C1259">
        <f>IF(Квартиры!C1257="","",Квартиры!C1257)</f>
        <v/>
      </c>
      <c r="D1259">
        <f>IF(Квартиры!D1257="","",Квартиры!D1257)</f>
        <v/>
      </c>
      <c r="E1259">
        <f>IF(Квартиры!G1257="","",Квартиры!G1257)</f>
        <v/>
      </c>
      <c r="F1259">
        <f>IF(Квартиры!E1257="","",Квартиры!E1257)</f>
        <v/>
      </c>
      <c r="G1259">
        <f>IF(Квартиры!F1257="","",Квартиры!F1257)</f>
        <v/>
      </c>
      <c r="H1259">
        <f>IF(Квартиры!H1257="","",Квартиры!H1257)</f>
        <v/>
      </c>
      <c r="I1259">
        <f>IF(Квартиры!I1257="","",Квартиры!I1257)</f>
        <v/>
      </c>
      <c r="J1259">
        <f>IF(Квартиры!J1257="","",Квартиры!J1257)</f>
        <v/>
      </c>
    </row>
    <row r="1260">
      <c r="A1260">
        <f>IF(Квартиры!A1258="","",Квартиры!A1258)</f>
        <v/>
      </c>
      <c r="B1260">
        <f>IF(Квартиры!B1258="","",Квартиры!B1258)</f>
        <v/>
      </c>
      <c r="C1260">
        <f>IF(Квартиры!C1258="","",Квартиры!C1258)</f>
        <v/>
      </c>
      <c r="D1260">
        <f>IF(Квартиры!D1258="","",Квартиры!D1258)</f>
        <v/>
      </c>
      <c r="E1260">
        <f>IF(Квартиры!G1258="","",Квартиры!G1258)</f>
        <v/>
      </c>
      <c r="F1260">
        <f>IF(Квартиры!E1258="","",Квартиры!E1258)</f>
        <v/>
      </c>
      <c r="G1260">
        <f>IF(Квартиры!F1258="","",Квартиры!F1258)</f>
        <v/>
      </c>
      <c r="H1260">
        <f>IF(Квартиры!H1258="","",Квартиры!H1258)</f>
        <v/>
      </c>
      <c r="I1260">
        <f>IF(Квартиры!I1258="","",Квартиры!I1258)</f>
        <v/>
      </c>
      <c r="J1260">
        <f>IF(Квартиры!J1258="","",Квартиры!J1258)</f>
        <v/>
      </c>
    </row>
    <row r="1261">
      <c r="A1261">
        <f>IF(Квартиры!A1259="","",Квартиры!A1259)</f>
        <v/>
      </c>
      <c r="B1261">
        <f>IF(Квартиры!B1259="","",Квартиры!B1259)</f>
        <v/>
      </c>
      <c r="C1261">
        <f>IF(Квартиры!C1259="","",Квартиры!C1259)</f>
        <v/>
      </c>
      <c r="D1261">
        <f>IF(Квартиры!D1259="","",Квартиры!D1259)</f>
        <v/>
      </c>
      <c r="E1261">
        <f>IF(Квартиры!G1259="","",Квартиры!G1259)</f>
        <v/>
      </c>
      <c r="F1261">
        <f>IF(Квартиры!E1259="","",Квартиры!E1259)</f>
        <v/>
      </c>
      <c r="G1261">
        <f>IF(Квартиры!F1259="","",Квартиры!F1259)</f>
        <v/>
      </c>
      <c r="H1261">
        <f>IF(Квартиры!H1259="","",Квартиры!H1259)</f>
        <v/>
      </c>
      <c r="I1261">
        <f>IF(Квартиры!I1259="","",Квартиры!I1259)</f>
        <v/>
      </c>
      <c r="J1261">
        <f>IF(Квартиры!J1259="","",Квартиры!J1259)</f>
        <v/>
      </c>
    </row>
    <row r="1262">
      <c r="A1262">
        <f>IF(Квартиры!A1260="","",Квартиры!A1260)</f>
        <v/>
      </c>
      <c r="B1262">
        <f>IF(Квартиры!B1260="","",Квартиры!B1260)</f>
        <v/>
      </c>
      <c r="C1262">
        <f>IF(Квартиры!C1260="","",Квартиры!C1260)</f>
        <v/>
      </c>
      <c r="D1262">
        <f>IF(Квартиры!D1260="","",Квартиры!D1260)</f>
        <v/>
      </c>
      <c r="E1262">
        <f>IF(Квартиры!G1260="","",Квартиры!G1260)</f>
        <v/>
      </c>
      <c r="F1262">
        <f>IF(Квартиры!E1260="","",Квартиры!E1260)</f>
        <v/>
      </c>
      <c r="G1262">
        <f>IF(Квартиры!F1260="","",Квартиры!F1260)</f>
        <v/>
      </c>
      <c r="H1262">
        <f>IF(Квартиры!H1260="","",Квартиры!H1260)</f>
        <v/>
      </c>
      <c r="I1262">
        <f>IF(Квартиры!I1260="","",Квартиры!I1260)</f>
        <v/>
      </c>
      <c r="J1262">
        <f>IF(Квартиры!J1260="","",Квартиры!J1260)</f>
        <v/>
      </c>
    </row>
    <row r="1263">
      <c r="A1263">
        <f>IF(Квартиры!A1261="","",Квартиры!A1261)</f>
        <v/>
      </c>
      <c r="B1263">
        <f>IF(Квартиры!B1261="","",Квартиры!B1261)</f>
        <v/>
      </c>
      <c r="C1263">
        <f>IF(Квартиры!C1261="","",Квартиры!C1261)</f>
        <v/>
      </c>
      <c r="D1263">
        <f>IF(Квартиры!D1261="","",Квартиры!D1261)</f>
        <v/>
      </c>
      <c r="E1263">
        <f>IF(Квартиры!G1261="","",Квартиры!G1261)</f>
        <v/>
      </c>
      <c r="F1263">
        <f>IF(Квартиры!E1261="","",Квартиры!E1261)</f>
        <v/>
      </c>
      <c r="G1263">
        <f>IF(Квартиры!F1261="","",Квартиры!F1261)</f>
        <v/>
      </c>
      <c r="H1263">
        <f>IF(Квартиры!H1261="","",Квартиры!H1261)</f>
        <v/>
      </c>
      <c r="I1263">
        <f>IF(Квартиры!I1261="","",Квартиры!I1261)</f>
        <v/>
      </c>
      <c r="J1263">
        <f>IF(Квартиры!J1261="","",Квартиры!J1261)</f>
        <v/>
      </c>
    </row>
    <row r="1264">
      <c r="A1264">
        <f>IF(Квартиры!A1262="","",Квартиры!A1262)</f>
        <v/>
      </c>
      <c r="B1264">
        <f>IF(Квартиры!B1262="","",Квартиры!B1262)</f>
        <v/>
      </c>
      <c r="C1264">
        <f>IF(Квартиры!C1262="","",Квартиры!C1262)</f>
        <v/>
      </c>
      <c r="D1264">
        <f>IF(Квартиры!D1262="","",Квартиры!D1262)</f>
        <v/>
      </c>
      <c r="E1264">
        <f>IF(Квартиры!G1262="","",Квартиры!G1262)</f>
        <v/>
      </c>
      <c r="F1264">
        <f>IF(Квартиры!E1262="","",Квартиры!E1262)</f>
        <v/>
      </c>
      <c r="G1264">
        <f>IF(Квартиры!F1262="","",Квартиры!F1262)</f>
        <v/>
      </c>
      <c r="H1264">
        <f>IF(Квартиры!H1262="","",Квартиры!H1262)</f>
        <v/>
      </c>
      <c r="I1264">
        <f>IF(Квартиры!I1262="","",Квартиры!I1262)</f>
        <v/>
      </c>
      <c r="J1264">
        <f>IF(Квартиры!J1262="","",Квартиры!J1262)</f>
        <v/>
      </c>
    </row>
    <row r="1265">
      <c r="A1265">
        <f>IF(Квартиры!A1263="","",Квартиры!A1263)</f>
        <v/>
      </c>
      <c r="B1265">
        <f>IF(Квартиры!B1263="","",Квартиры!B1263)</f>
        <v/>
      </c>
      <c r="C1265">
        <f>IF(Квартиры!C1263="","",Квартиры!C1263)</f>
        <v/>
      </c>
      <c r="D1265">
        <f>IF(Квартиры!D1263="","",Квартиры!D1263)</f>
        <v/>
      </c>
      <c r="E1265">
        <f>IF(Квартиры!G1263="","",Квартиры!G1263)</f>
        <v/>
      </c>
      <c r="F1265">
        <f>IF(Квартиры!E1263="","",Квартиры!E1263)</f>
        <v/>
      </c>
      <c r="G1265">
        <f>IF(Квартиры!F1263="","",Квартиры!F1263)</f>
        <v/>
      </c>
      <c r="H1265">
        <f>IF(Квартиры!H1263="","",Квартиры!H1263)</f>
        <v/>
      </c>
      <c r="I1265">
        <f>IF(Квартиры!I1263="","",Квартиры!I1263)</f>
        <v/>
      </c>
      <c r="J1265">
        <f>IF(Квартиры!J1263="","",Квартиры!J1263)</f>
        <v/>
      </c>
    </row>
    <row r="1266">
      <c r="A1266">
        <f>IF(Квартиры!A1264="","",Квартиры!A1264)</f>
        <v/>
      </c>
      <c r="B1266">
        <f>IF(Квартиры!B1264="","",Квартиры!B1264)</f>
        <v/>
      </c>
      <c r="C1266">
        <f>IF(Квартиры!C1264="","",Квартиры!C1264)</f>
        <v/>
      </c>
      <c r="D1266">
        <f>IF(Квартиры!D1264="","",Квартиры!D1264)</f>
        <v/>
      </c>
      <c r="E1266">
        <f>IF(Квартиры!G1264="","",Квартиры!G1264)</f>
        <v/>
      </c>
      <c r="F1266">
        <f>IF(Квартиры!E1264="","",Квартиры!E1264)</f>
        <v/>
      </c>
      <c r="G1266">
        <f>IF(Квартиры!F1264="","",Квартиры!F1264)</f>
        <v/>
      </c>
      <c r="H1266">
        <f>IF(Квартиры!H1264="","",Квартиры!H1264)</f>
        <v/>
      </c>
      <c r="I1266">
        <f>IF(Квартиры!I1264="","",Квартиры!I1264)</f>
        <v/>
      </c>
      <c r="J1266">
        <f>IF(Квартиры!J1264="","",Квартиры!J1264)</f>
        <v/>
      </c>
    </row>
    <row r="1267">
      <c r="A1267">
        <f>IF(Квартиры!A1265="","",Квартиры!A1265)</f>
        <v/>
      </c>
      <c r="B1267">
        <f>IF(Квартиры!B1265="","",Квартиры!B1265)</f>
        <v/>
      </c>
      <c r="C1267">
        <f>IF(Квартиры!C1265="","",Квартиры!C1265)</f>
        <v/>
      </c>
      <c r="D1267">
        <f>IF(Квартиры!D1265="","",Квартиры!D1265)</f>
        <v/>
      </c>
      <c r="E1267">
        <f>IF(Квартиры!G1265="","",Квартиры!G1265)</f>
        <v/>
      </c>
      <c r="F1267">
        <f>IF(Квартиры!E1265="","",Квартиры!E1265)</f>
        <v/>
      </c>
      <c r="G1267">
        <f>IF(Квартиры!F1265="","",Квартиры!F1265)</f>
        <v/>
      </c>
      <c r="H1267">
        <f>IF(Квартиры!H1265="","",Квартиры!H1265)</f>
        <v/>
      </c>
      <c r="I1267">
        <f>IF(Квартиры!I1265="","",Квартиры!I1265)</f>
        <v/>
      </c>
      <c r="J1267">
        <f>IF(Квартиры!J1265="","",Квартиры!J1265)</f>
        <v/>
      </c>
    </row>
    <row r="1268">
      <c r="A1268">
        <f>IF(Квартиры!A1266="","",Квартиры!A1266)</f>
        <v/>
      </c>
      <c r="B1268">
        <f>IF(Квартиры!B1266="","",Квартиры!B1266)</f>
        <v/>
      </c>
      <c r="C1268">
        <f>IF(Квартиры!C1266="","",Квартиры!C1266)</f>
        <v/>
      </c>
      <c r="D1268">
        <f>IF(Квартиры!D1266="","",Квартиры!D1266)</f>
        <v/>
      </c>
      <c r="E1268">
        <f>IF(Квартиры!G1266="","",Квартиры!G1266)</f>
        <v/>
      </c>
      <c r="F1268">
        <f>IF(Квартиры!E1266="","",Квартиры!E1266)</f>
        <v/>
      </c>
      <c r="G1268">
        <f>IF(Квартиры!F1266="","",Квартиры!F1266)</f>
        <v/>
      </c>
      <c r="H1268">
        <f>IF(Квартиры!H1266="","",Квартиры!H1266)</f>
        <v/>
      </c>
      <c r="I1268">
        <f>IF(Квартиры!I1266="","",Квартиры!I1266)</f>
        <v/>
      </c>
      <c r="J1268">
        <f>IF(Квартиры!J1266="","",Квартиры!J1266)</f>
        <v/>
      </c>
    </row>
    <row r="1269">
      <c r="A1269">
        <f>IF(Квартиры!A1267="","",Квартиры!A1267)</f>
        <v/>
      </c>
      <c r="B1269">
        <f>IF(Квартиры!B1267="","",Квартиры!B1267)</f>
        <v/>
      </c>
      <c r="C1269">
        <f>IF(Квартиры!C1267="","",Квартиры!C1267)</f>
        <v/>
      </c>
      <c r="D1269">
        <f>IF(Квартиры!D1267="","",Квартиры!D1267)</f>
        <v/>
      </c>
      <c r="E1269">
        <f>IF(Квартиры!G1267="","",Квартиры!G1267)</f>
        <v/>
      </c>
      <c r="F1269">
        <f>IF(Квартиры!E1267="","",Квартиры!E1267)</f>
        <v/>
      </c>
      <c r="G1269">
        <f>IF(Квартиры!F1267="","",Квартиры!F1267)</f>
        <v/>
      </c>
      <c r="H1269">
        <f>IF(Квартиры!H1267="","",Квартиры!H1267)</f>
        <v/>
      </c>
      <c r="I1269">
        <f>IF(Квартиры!I1267="","",Квартиры!I1267)</f>
        <v/>
      </c>
      <c r="J1269">
        <f>IF(Квартиры!J1267="","",Квартиры!J1267)</f>
        <v/>
      </c>
    </row>
    <row r="1270">
      <c r="A1270">
        <f>IF(Квартиры!A1268="","",Квартиры!A1268)</f>
        <v/>
      </c>
      <c r="B1270">
        <f>IF(Квартиры!B1268="","",Квартиры!B1268)</f>
        <v/>
      </c>
      <c r="C1270">
        <f>IF(Квартиры!C1268="","",Квартиры!C1268)</f>
        <v/>
      </c>
      <c r="D1270">
        <f>IF(Квартиры!D1268="","",Квартиры!D1268)</f>
        <v/>
      </c>
      <c r="E1270">
        <f>IF(Квартиры!G1268="","",Квартиры!G1268)</f>
        <v/>
      </c>
      <c r="F1270">
        <f>IF(Квартиры!E1268="","",Квартиры!E1268)</f>
        <v/>
      </c>
      <c r="G1270">
        <f>IF(Квартиры!F1268="","",Квартиры!F1268)</f>
        <v/>
      </c>
      <c r="H1270">
        <f>IF(Квартиры!H1268="","",Квартиры!H1268)</f>
        <v/>
      </c>
      <c r="I1270">
        <f>IF(Квартиры!I1268="","",Квартиры!I1268)</f>
        <v/>
      </c>
      <c r="J1270">
        <f>IF(Квартиры!J1268="","",Квартиры!J1268)</f>
        <v/>
      </c>
    </row>
    <row r="1271">
      <c r="A1271">
        <f>IF(Квартиры!A1269="","",Квартиры!A1269)</f>
        <v/>
      </c>
      <c r="B1271">
        <f>IF(Квартиры!B1269="","",Квартиры!B1269)</f>
        <v/>
      </c>
      <c r="C1271">
        <f>IF(Квартиры!C1269="","",Квартиры!C1269)</f>
        <v/>
      </c>
      <c r="D1271">
        <f>IF(Квартиры!D1269="","",Квартиры!D1269)</f>
        <v/>
      </c>
      <c r="E1271">
        <f>IF(Квартиры!G1269="","",Квартиры!G1269)</f>
        <v/>
      </c>
      <c r="F1271">
        <f>IF(Квартиры!E1269="","",Квартиры!E1269)</f>
        <v/>
      </c>
      <c r="G1271">
        <f>IF(Квартиры!F1269="","",Квартиры!F1269)</f>
        <v/>
      </c>
      <c r="H1271">
        <f>IF(Квартиры!H1269="","",Квартиры!H1269)</f>
        <v/>
      </c>
      <c r="I1271">
        <f>IF(Квартиры!I1269="","",Квартиры!I1269)</f>
        <v/>
      </c>
      <c r="J1271">
        <f>IF(Квартиры!J1269="","",Квартиры!J1269)</f>
        <v/>
      </c>
    </row>
    <row r="1272">
      <c r="A1272">
        <f>IF(Квартиры!A1270="","",Квартиры!A1270)</f>
        <v/>
      </c>
      <c r="B1272">
        <f>IF(Квартиры!B1270="","",Квартиры!B1270)</f>
        <v/>
      </c>
      <c r="C1272">
        <f>IF(Квартиры!C1270="","",Квартиры!C1270)</f>
        <v/>
      </c>
      <c r="D1272">
        <f>IF(Квартиры!D1270="","",Квартиры!D1270)</f>
        <v/>
      </c>
      <c r="E1272">
        <f>IF(Квартиры!G1270="","",Квартиры!G1270)</f>
        <v/>
      </c>
      <c r="F1272">
        <f>IF(Квартиры!E1270="","",Квартиры!E1270)</f>
        <v/>
      </c>
      <c r="G1272">
        <f>IF(Квартиры!F1270="","",Квартиры!F1270)</f>
        <v/>
      </c>
      <c r="H1272">
        <f>IF(Квартиры!H1270="","",Квартиры!H1270)</f>
        <v/>
      </c>
      <c r="I1272">
        <f>IF(Квартиры!I1270="","",Квартиры!I1270)</f>
        <v/>
      </c>
      <c r="J1272">
        <f>IF(Квартиры!J1270="","",Квартиры!J1270)</f>
        <v/>
      </c>
    </row>
    <row r="1273">
      <c r="A1273">
        <f>IF(Квартиры!A1271="","",Квартиры!A1271)</f>
        <v/>
      </c>
      <c r="B1273">
        <f>IF(Квартиры!B1271="","",Квартиры!B1271)</f>
        <v/>
      </c>
      <c r="C1273">
        <f>IF(Квартиры!C1271="","",Квартиры!C1271)</f>
        <v/>
      </c>
      <c r="D1273">
        <f>IF(Квартиры!D1271="","",Квартиры!D1271)</f>
        <v/>
      </c>
      <c r="E1273">
        <f>IF(Квартиры!G1271="","",Квартиры!G1271)</f>
        <v/>
      </c>
      <c r="F1273">
        <f>IF(Квартиры!E1271="","",Квартиры!E1271)</f>
        <v/>
      </c>
      <c r="G1273">
        <f>IF(Квартиры!F1271="","",Квартиры!F1271)</f>
        <v/>
      </c>
      <c r="H1273">
        <f>IF(Квартиры!H1271="","",Квартиры!H1271)</f>
        <v/>
      </c>
      <c r="I1273">
        <f>IF(Квартиры!I1271="","",Квартиры!I1271)</f>
        <v/>
      </c>
      <c r="J1273">
        <f>IF(Квартиры!J1271="","",Квартиры!J1271)</f>
        <v/>
      </c>
    </row>
    <row r="1274">
      <c r="A1274">
        <f>IF(Квартиры!A1272="","",Квартиры!A1272)</f>
        <v/>
      </c>
      <c r="B1274">
        <f>IF(Квартиры!B1272="","",Квартиры!B1272)</f>
        <v/>
      </c>
      <c r="C1274">
        <f>IF(Квартиры!C1272="","",Квартиры!C1272)</f>
        <v/>
      </c>
      <c r="D1274">
        <f>IF(Квартиры!D1272="","",Квартиры!D1272)</f>
        <v/>
      </c>
      <c r="E1274">
        <f>IF(Квартиры!G1272="","",Квартиры!G1272)</f>
        <v/>
      </c>
      <c r="F1274">
        <f>IF(Квартиры!E1272="","",Квартиры!E1272)</f>
        <v/>
      </c>
      <c r="G1274">
        <f>IF(Квартиры!F1272="","",Квартиры!F1272)</f>
        <v/>
      </c>
      <c r="H1274">
        <f>IF(Квартиры!H1272="","",Квартиры!H1272)</f>
        <v/>
      </c>
      <c r="I1274">
        <f>IF(Квартиры!I1272="","",Квартиры!I1272)</f>
        <v/>
      </c>
      <c r="J1274">
        <f>IF(Квартиры!J1272="","",Квартиры!J1272)</f>
        <v/>
      </c>
    </row>
    <row r="1275">
      <c r="A1275">
        <f>IF(Квартиры!A1273="","",Квартиры!A1273)</f>
        <v/>
      </c>
      <c r="B1275">
        <f>IF(Квартиры!B1273="","",Квартиры!B1273)</f>
        <v/>
      </c>
      <c r="C1275">
        <f>IF(Квартиры!C1273="","",Квартиры!C1273)</f>
        <v/>
      </c>
      <c r="D1275">
        <f>IF(Квартиры!D1273="","",Квартиры!D1273)</f>
        <v/>
      </c>
      <c r="E1275">
        <f>IF(Квартиры!G1273="","",Квартиры!G1273)</f>
        <v/>
      </c>
      <c r="F1275">
        <f>IF(Квартиры!E1273="","",Квартиры!E1273)</f>
        <v/>
      </c>
      <c r="G1275">
        <f>IF(Квартиры!F1273="","",Квартиры!F1273)</f>
        <v/>
      </c>
      <c r="H1275">
        <f>IF(Квартиры!H1273="","",Квартиры!H1273)</f>
        <v/>
      </c>
      <c r="I1275">
        <f>IF(Квартиры!I1273="","",Квартиры!I1273)</f>
        <v/>
      </c>
      <c r="J1275">
        <f>IF(Квартиры!J1273="","",Квартиры!J1273)</f>
        <v/>
      </c>
    </row>
    <row r="1276">
      <c r="A1276">
        <f>IF(Квартиры!A1274="","",Квартиры!A1274)</f>
        <v/>
      </c>
      <c r="B1276">
        <f>IF(Квартиры!B1274="","",Квартиры!B1274)</f>
        <v/>
      </c>
      <c r="C1276">
        <f>IF(Квартиры!C1274="","",Квартиры!C1274)</f>
        <v/>
      </c>
      <c r="D1276">
        <f>IF(Квартиры!D1274="","",Квартиры!D1274)</f>
        <v/>
      </c>
      <c r="E1276">
        <f>IF(Квартиры!G1274="","",Квартиры!G1274)</f>
        <v/>
      </c>
      <c r="F1276">
        <f>IF(Квартиры!E1274="","",Квартиры!E1274)</f>
        <v/>
      </c>
      <c r="G1276">
        <f>IF(Квартиры!F1274="","",Квартиры!F1274)</f>
        <v/>
      </c>
      <c r="H1276">
        <f>IF(Квартиры!H1274="","",Квартиры!H1274)</f>
        <v/>
      </c>
      <c r="I1276">
        <f>IF(Квартиры!I1274="","",Квартиры!I1274)</f>
        <v/>
      </c>
      <c r="J1276">
        <f>IF(Квартиры!J1274="","",Квартиры!J1274)</f>
        <v/>
      </c>
    </row>
    <row r="1277">
      <c r="A1277">
        <f>IF(Квартиры!A1275="","",Квартиры!A1275)</f>
        <v/>
      </c>
      <c r="B1277">
        <f>IF(Квартиры!B1275="","",Квартиры!B1275)</f>
        <v/>
      </c>
      <c r="C1277">
        <f>IF(Квартиры!C1275="","",Квартиры!C1275)</f>
        <v/>
      </c>
      <c r="D1277">
        <f>IF(Квартиры!D1275="","",Квартиры!D1275)</f>
        <v/>
      </c>
      <c r="E1277">
        <f>IF(Квартиры!G1275="","",Квартиры!G1275)</f>
        <v/>
      </c>
      <c r="F1277">
        <f>IF(Квартиры!E1275="","",Квартиры!E1275)</f>
        <v/>
      </c>
      <c r="G1277">
        <f>IF(Квартиры!F1275="","",Квартиры!F1275)</f>
        <v/>
      </c>
      <c r="H1277">
        <f>IF(Квартиры!H1275="","",Квартиры!H1275)</f>
        <v/>
      </c>
      <c r="I1277">
        <f>IF(Квартиры!I1275="","",Квартиры!I1275)</f>
        <v/>
      </c>
      <c r="J1277">
        <f>IF(Квартиры!J1275="","",Квартиры!J1275)</f>
        <v/>
      </c>
    </row>
    <row r="1278">
      <c r="A1278">
        <f>IF(Квартиры!A1276="","",Квартиры!A1276)</f>
        <v/>
      </c>
      <c r="B1278">
        <f>IF(Квартиры!B1276="","",Квартиры!B1276)</f>
        <v/>
      </c>
      <c r="C1278">
        <f>IF(Квартиры!C1276="","",Квартиры!C1276)</f>
        <v/>
      </c>
      <c r="D1278">
        <f>IF(Квартиры!D1276="","",Квартиры!D1276)</f>
        <v/>
      </c>
      <c r="E1278">
        <f>IF(Квартиры!G1276="","",Квартиры!G1276)</f>
        <v/>
      </c>
      <c r="F1278">
        <f>IF(Квартиры!E1276="","",Квартиры!E1276)</f>
        <v/>
      </c>
      <c r="G1278">
        <f>IF(Квартиры!F1276="","",Квартиры!F1276)</f>
        <v/>
      </c>
      <c r="H1278">
        <f>IF(Квартиры!H1276="","",Квартиры!H1276)</f>
        <v/>
      </c>
      <c r="I1278">
        <f>IF(Квартиры!I1276="","",Квартиры!I1276)</f>
        <v/>
      </c>
      <c r="J1278">
        <f>IF(Квартиры!J1276="","",Квартиры!J1276)</f>
        <v/>
      </c>
    </row>
    <row r="1279">
      <c r="A1279">
        <f>IF(Квартиры!A1277="","",Квартиры!A1277)</f>
        <v/>
      </c>
      <c r="B1279">
        <f>IF(Квартиры!B1277="","",Квартиры!B1277)</f>
        <v/>
      </c>
      <c r="C1279">
        <f>IF(Квартиры!C1277="","",Квартиры!C1277)</f>
        <v/>
      </c>
      <c r="D1279">
        <f>IF(Квартиры!D1277="","",Квартиры!D1277)</f>
        <v/>
      </c>
      <c r="E1279">
        <f>IF(Квартиры!G1277="","",Квартиры!G1277)</f>
        <v/>
      </c>
      <c r="F1279">
        <f>IF(Квартиры!E1277="","",Квартиры!E1277)</f>
        <v/>
      </c>
      <c r="G1279">
        <f>IF(Квартиры!F1277="","",Квартиры!F1277)</f>
        <v/>
      </c>
      <c r="H1279">
        <f>IF(Квартиры!H1277="","",Квартиры!H1277)</f>
        <v/>
      </c>
      <c r="I1279">
        <f>IF(Квартиры!I1277="","",Квартиры!I1277)</f>
        <v/>
      </c>
      <c r="J1279">
        <f>IF(Квартиры!J1277="","",Квартиры!J1277)</f>
        <v/>
      </c>
    </row>
    <row r="1280">
      <c r="A1280">
        <f>IF(Квартиры!A1278="","",Квартиры!A1278)</f>
        <v/>
      </c>
      <c r="B1280">
        <f>IF(Квартиры!B1278="","",Квартиры!B1278)</f>
        <v/>
      </c>
      <c r="C1280">
        <f>IF(Квартиры!C1278="","",Квартиры!C1278)</f>
        <v/>
      </c>
      <c r="D1280">
        <f>IF(Квартиры!D1278="","",Квартиры!D1278)</f>
        <v/>
      </c>
      <c r="E1280">
        <f>IF(Квартиры!G1278="","",Квартиры!G1278)</f>
        <v/>
      </c>
      <c r="F1280">
        <f>IF(Квартиры!E1278="","",Квартиры!E1278)</f>
        <v/>
      </c>
      <c r="G1280">
        <f>IF(Квартиры!F1278="","",Квартиры!F1278)</f>
        <v/>
      </c>
      <c r="H1280">
        <f>IF(Квартиры!H1278="","",Квартиры!H1278)</f>
        <v/>
      </c>
      <c r="I1280">
        <f>IF(Квартиры!I1278="","",Квартиры!I1278)</f>
        <v/>
      </c>
      <c r="J1280">
        <f>IF(Квартиры!J1278="","",Квартиры!J1278)</f>
        <v/>
      </c>
    </row>
    <row r="1281">
      <c r="A1281">
        <f>IF(Квартиры!A1279="","",Квартиры!A1279)</f>
        <v/>
      </c>
      <c r="B1281">
        <f>IF(Квартиры!B1279="","",Квартиры!B1279)</f>
        <v/>
      </c>
      <c r="C1281">
        <f>IF(Квартиры!C1279="","",Квартиры!C1279)</f>
        <v/>
      </c>
      <c r="D1281">
        <f>IF(Квартиры!D1279="","",Квартиры!D1279)</f>
        <v/>
      </c>
      <c r="E1281">
        <f>IF(Квартиры!G1279="","",Квартиры!G1279)</f>
        <v/>
      </c>
      <c r="F1281">
        <f>IF(Квартиры!E1279="","",Квартиры!E1279)</f>
        <v/>
      </c>
      <c r="G1281">
        <f>IF(Квартиры!F1279="","",Квартиры!F1279)</f>
        <v/>
      </c>
      <c r="H1281">
        <f>IF(Квартиры!H1279="","",Квартиры!H1279)</f>
        <v/>
      </c>
      <c r="I1281">
        <f>IF(Квартиры!I1279="","",Квартиры!I1279)</f>
        <v/>
      </c>
      <c r="J1281">
        <f>IF(Квартиры!J1279="","",Квартиры!J1279)</f>
        <v/>
      </c>
    </row>
    <row r="1282">
      <c r="A1282">
        <f>IF(Квартиры!A1280="","",Квартиры!A1280)</f>
        <v/>
      </c>
      <c r="B1282">
        <f>IF(Квартиры!B1280="","",Квартиры!B1280)</f>
        <v/>
      </c>
      <c r="C1282">
        <f>IF(Квартиры!C1280="","",Квартиры!C1280)</f>
        <v/>
      </c>
      <c r="D1282">
        <f>IF(Квартиры!D1280="","",Квартиры!D1280)</f>
        <v/>
      </c>
      <c r="E1282">
        <f>IF(Квартиры!G1280="","",Квартиры!G1280)</f>
        <v/>
      </c>
      <c r="F1282">
        <f>IF(Квартиры!E1280="","",Квартиры!E1280)</f>
        <v/>
      </c>
      <c r="G1282">
        <f>IF(Квартиры!F1280="","",Квартиры!F1280)</f>
        <v/>
      </c>
      <c r="H1282">
        <f>IF(Квартиры!H1280="","",Квартиры!H1280)</f>
        <v/>
      </c>
      <c r="I1282">
        <f>IF(Квартиры!I1280="","",Квартиры!I1280)</f>
        <v/>
      </c>
      <c r="J1282">
        <f>IF(Квартиры!J1280="","",Квартиры!J1280)</f>
        <v/>
      </c>
    </row>
    <row r="1283">
      <c r="A1283">
        <f>IF(Квартиры!A1281="","",Квартиры!A1281)</f>
        <v/>
      </c>
      <c r="B1283">
        <f>IF(Квартиры!B1281="","",Квартиры!B1281)</f>
        <v/>
      </c>
      <c r="C1283">
        <f>IF(Квартиры!C1281="","",Квартиры!C1281)</f>
        <v/>
      </c>
      <c r="D1283">
        <f>IF(Квартиры!D1281="","",Квартиры!D1281)</f>
        <v/>
      </c>
      <c r="E1283">
        <f>IF(Квартиры!G1281="","",Квартиры!G1281)</f>
        <v/>
      </c>
      <c r="F1283">
        <f>IF(Квартиры!E1281="","",Квартиры!E1281)</f>
        <v/>
      </c>
      <c r="G1283">
        <f>IF(Квартиры!F1281="","",Квартиры!F1281)</f>
        <v/>
      </c>
      <c r="H1283">
        <f>IF(Квартиры!H1281="","",Квартиры!H1281)</f>
        <v/>
      </c>
      <c r="I1283">
        <f>IF(Квартиры!I1281="","",Квартиры!I1281)</f>
        <v/>
      </c>
      <c r="J1283">
        <f>IF(Квартиры!J1281="","",Квартиры!J1281)</f>
        <v/>
      </c>
    </row>
    <row r="1284">
      <c r="A1284">
        <f>IF(Квартиры!A1282="","",Квартиры!A1282)</f>
        <v/>
      </c>
      <c r="B1284">
        <f>IF(Квартиры!B1282="","",Квартиры!B1282)</f>
        <v/>
      </c>
      <c r="C1284">
        <f>IF(Квартиры!C1282="","",Квартиры!C1282)</f>
        <v/>
      </c>
      <c r="D1284">
        <f>IF(Квартиры!D1282="","",Квартиры!D1282)</f>
        <v/>
      </c>
      <c r="E1284">
        <f>IF(Квартиры!G1282="","",Квартиры!G1282)</f>
        <v/>
      </c>
      <c r="F1284">
        <f>IF(Квартиры!E1282="","",Квартиры!E1282)</f>
        <v/>
      </c>
      <c r="G1284">
        <f>IF(Квартиры!F1282="","",Квартиры!F1282)</f>
        <v/>
      </c>
      <c r="H1284">
        <f>IF(Квартиры!H1282="","",Квартиры!H1282)</f>
        <v/>
      </c>
      <c r="I1284">
        <f>IF(Квартиры!I1282="","",Квартиры!I1282)</f>
        <v/>
      </c>
      <c r="J1284">
        <f>IF(Квартиры!J1282="","",Квартиры!J1282)</f>
        <v/>
      </c>
    </row>
    <row r="1285">
      <c r="A1285">
        <f>IF(Квартиры!A1283="","",Квартиры!A1283)</f>
        <v/>
      </c>
      <c r="B1285">
        <f>IF(Квартиры!B1283="","",Квартиры!B1283)</f>
        <v/>
      </c>
      <c r="C1285">
        <f>IF(Квартиры!C1283="","",Квартиры!C1283)</f>
        <v/>
      </c>
      <c r="D1285">
        <f>IF(Квартиры!D1283="","",Квартиры!D1283)</f>
        <v/>
      </c>
      <c r="E1285">
        <f>IF(Квартиры!G1283="","",Квартиры!G1283)</f>
        <v/>
      </c>
      <c r="F1285">
        <f>IF(Квартиры!E1283="","",Квартиры!E1283)</f>
        <v/>
      </c>
      <c r="G1285">
        <f>IF(Квартиры!F1283="","",Квартиры!F1283)</f>
        <v/>
      </c>
      <c r="H1285">
        <f>IF(Квартиры!H1283="","",Квартиры!H1283)</f>
        <v/>
      </c>
      <c r="I1285">
        <f>IF(Квартиры!I1283="","",Квартиры!I1283)</f>
        <v/>
      </c>
      <c r="J1285">
        <f>IF(Квартиры!J1283="","",Квартиры!J1283)</f>
        <v/>
      </c>
    </row>
    <row r="1286">
      <c r="A1286">
        <f>IF(Квартиры!A1284="","",Квартиры!A1284)</f>
        <v/>
      </c>
      <c r="B1286">
        <f>IF(Квартиры!B1284="","",Квартиры!B1284)</f>
        <v/>
      </c>
      <c r="C1286">
        <f>IF(Квартиры!C1284="","",Квартиры!C1284)</f>
        <v/>
      </c>
      <c r="D1286">
        <f>IF(Квартиры!D1284="","",Квартиры!D1284)</f>
        <v/>
      </c>
      <c r="E1286">
        <f>IF(Квартиры!G1284="","",Квартиры!G1284)</f>
        <v/>
      </c>
      <c r="F1286">
        <f>IF(Квартиры!E1284="","",Квартиры!E1284)</f>
        <v/>
      </c>
      <c r="G1286">
        <f>IF(Квартиры!F1284="","",Квартиры!F1284)</f>
        <v/>
      </c>
      <c r="H1286">
        <f>IF(Квартиры!H1284="","",Квартиры!H1284)</f>
        <v/>
      </c>
      <c r="I1286">
        <f>IF(Квартиры!I1284="","",Квартиры!I1284)</f>
        <v/>
      </c>
      <c r="J1286">
        <f>IF(Квартиры!J1284="","",Квартиры!J1284)</f>
        <v/>
      </c>
    </row>
    <row r="1287">
      <c r="A1287">
        <f>IF(Квартиры!A1285="","",Квартиры!A1285)</f>
        <v/>
      </c>
      <c r="B1287">
        <f>IF(Квартиры!B1285="","",Квартиры!B1285)</f>
        <v/>
      </c>
      <c r="C1287">
        <f>IF(Квартиры!C1285="","",Квартиры!C1285)</f>
        <v/>
      </c>
      <c r="D1287">
        <f>IF(Квартиры!D1285="","",Квартиры!D1285)</f>
        <v/>
      </c>
      <c r="E1287">
        <f>IF(Квартиры!G1285="","",Квартиры!G1285)</f>
        <v/>
      </c>
      <c r="F1287">
        <f>IF(Квартиры!E1285="","",Квартиры!E1285)</f>
        <v/>
      </c>
      <c r="G1287">
        <f>IF(Квартиры!F1285="","",Квартиры!F1285)</f>
        <v/>
      </c>
      <c r="H1287">
        <f>IF(Квартиры!H1285="","",Квартиры!H1285)</f>
        <v/>
      </c>
      <c r="I1287">
        <f>IF(Квартиры!I1285="","",Квартиры!I1285)</f>
        <v/>
      </c>
      <c r="J1287">
        <f>IF(Квартиры!J1285="","",Квартиры!J1285)</f>
        <v/>
      </c>
    </row>
    <row r="1288">
      <c r="A1288">
        <f>IF(Квартиры!A1286="","",Квартиры!A1286)</f>
        <v/>
      </c>
      <c r="B1288">
        <f>IF(Квартиры!B1286="","",Квартиры!B1286)</f>
        <v/>
      </c>
      <c r="C1288">
        <f>IF(Квартиры!C1286="","",Квартиры!C1286)</f>
        <v/>
      </c>
      <c r="D1288">
        <f>IF(Квартиры!D1286="","",Квартиры!D1286)</f>
        <v/>
      </c>
      <c r="E1288">
        <f>IF(Квартиры!G1286="","",Квартиры!G1286)</f>
        <v/>
      </c>
      <c r="F1288">
        <f>IF(Квартиры!E1286="","",Квартиры!E1286)</f>
        <v/>
      </c>
      <c r="G1288">
        <f>IF(Квартиры!F1286="","",Квартиры!F1286)</f>
        <v/>
      </c>
      <c r="H1288">
        <f>IF(Квартиры!H1286="","",Квартиры!H1286)</f>
        <v/>
      </c>
      <c r="I1288">
        <f>IF(Квартиры!I1286="","",Квартиры!I1286)</f>
        <v/>
      </c>
      <c r="J1288">
        <f>IF(Квартиры!J1286="","",Квартиры!J1286)</f>
        <v/>
      </c>
    </row>
    <row r="1289">
      <c r="A1289">
        <f>IF(Квартиры!A1287="","",Квартиры!A1287)</f>
        <v/>
      </c>
      <c r="B1289">
        <f>IF(Квартиры!B1287="","",Квартиры!B1287)</f>
        <v/>
      </c>
      <c r="C1289">
        <f>IF(Квартиры!C1287="","",Квартиры!C1287)</f>
        <v/>
      </c>
      <c r="D1289">
        <f>IF(Квартиры!D1287="","",Квартиры!D1287)</f>
        <v/>
      </c>
      <c r="E1289">
        <f>IF(Квартиры!G1287="","",Квартиры!G1287)</f>
        <v/>
      </c>
      <c r="F1289">
        <f>IF(Квартиры!E1287="","",Квартиры!E1287)</f>
        <v/>
      </c>
      <c r="G1289">
        <f>IF(Квартиры!F1287="","",Квартиры!F1287)</f>
        <v/>
      </c>
      <c r="H1289">
        <f>IF(Квартиры!H1287="","",Квартиры!H1287)</f>
        <v/>
      </c>
      <c r="I1289">
        <f>IF(Квартиры!I1287="","",Квартиры!I1287)</f>
        <v/>
      </c>
      <c r="J1289">
        <f>IF(Квартиры!J1287="","",Квартиры!J1287)</f>
        <v/>
      </c>
    </row>
    <row r="1290">
      <c r="A1290">
        <f>IF(Квартиры!A1288="","",Квартиры!A1288)</f>
        <v/>
      </c>
      <c r="B1290">
        <f>IF(Квартиры!B1288="","",Квартиры!B1288)</f>
        <v/>
      </c>
      <c r="C1290">
        <f>IF(Квартиры!C1288="","",Квартиры!C1288)</f>
        <v/>
      </c>
      <c r="D1290">
        <f>IF(Квартиры!D1288="","",Квартиры!D1288)</f>
        <v/>
      </c>
      <c r="E1290">
        <f>IF(Квартиры!G1288="","",Квартиры!G1288)</f>
        <v/>
      </c>
      <c r="F1290">
        <f>IF(Квартиры!E1288="","",Квартиры!E1288)</f>
        <v/>
      </c>
      <c r="G1290">
        <f>IF(Квартиры!F1288="","",Квартиры!F1288)</f>
        <v/>
      </c>
      <c r="H1290">
        <f>IF(Квартиры!H1288="","",Квартиры!H1288)</f>
        <v/>
      </c>
      <c r="I1290">
        <f>IF(Квартиры!I1288="","",Квартиры!I1288)</f>
        <v/>
      </c>
      <c r="J1290">
        <f>IF(Квартиры!J1288="","",Квартиры!J1288)</f>
        <v/>
      </c>
    </row>
    <row r="1291">
      <c r="A1291">
        <f>IF(Квартиры!A1289="","",Квартиры!A1289)</f>
        <v/>
      </c>
      <c r="B1291">
        <f>IF(Квартиры!B1289="","",Квартиры!B1289)</f>
        <v/>
      </c>
      <c r="C1291">
        <f>IF(Квартиры!C1289="","",Квартиры!C1289)</f>
        <v/>
      </c>
      <c r="D1291">
        <f>IF(Квартиры!D1289="","",Квартиры!D1289)</f>
        <v/>
      </c>
      <c r="E1291">
        <f>IF(Квартиры!G1289="","",Квартиры!G1289)</f>
        <v/>
      </c>
      <c r="F1291">
        <f>IF(Квартиры!E1289="","",Квартиры!E1289)</f>
        <v/>
      </c>
      <c r="G1291">
        <f>IF(Квартиры!F1289="","",Квартиры!F1289)</f>
        <v/>
      </c>
      <c r="H1291">
        <f>IF(Квартиры!H1289="","",Квартиры!H1289)</f>
        <v/>
      </c>
      <c r="I1291">
        <f>IF(Квартиры!I1289="","",Квартиры!I1289)</f>
        <v/>
      </c>
      <c r="J1291">
        <f>IF(Квартиры!J1289="","",Квартиры!J1289)</f>
        <v/>
      </c>
    </row>
    <row r="1292">
      <c r="A1292">
        <f>IF(Квартиры!A1290="","",Квартиры!A1290)</f>
        <v/>
      </c>
      <c r="B1292">
        <f>IF(Квартиры!B1290="","",Квартиры!B1290)</f>
        <v/>
      </c>
      <c r="C1292">
        <f>IF(Квартиры!C1290="","",Квартиры!C1290)</f>
        <v/>
      </c>
      <c r="D1292">
        <f>IF(Квартиры!D1290="","",Квартиры!D1290)</f>
        <v/>
      </c>
      <c r="E1292">
        <f>IF(Квартиры!G1290="","",Квартиры!G1290)</f>
        <v/>
      </c>
      <c r="F1292">
        <f>IF(Квартиры!E1290="","",Квартиры!E1290)</f>
        <v/>
      </c>
      <c r="G1292">
        <f>IF(Квартиры!F1290="","",Квартиры!F1290)</f>
        <v/>
      </c>
      <c r="H1292">
        <f>IF(Квартиры!H1290="","",Квартиры!H1290)</f>
        <v/>
      </c>
      <c r="I1292">
        <f>IF(Квартиры!I1290="","",Квартиры!I1290)</f>
        <v/>
      </c>
      <c r="J1292">
        <f>IF(Квартиры!J1290="","",Квартиры!J1290)</f>
        <v/>
      </c>
    </row>
    <row r="1293">
      <c r="A1293">
        <f>IF(Квартиры!A1291="","",Квартиры!A1291)</f>
        <v/>
      </c>
      <c r="B1293">
        <f>IF(Квартиры!B1291="","",Квартиры!B1291)</f>
        <v/>
      </c>
      <c r="C1293">
        <f>IF(Квартиры!C1291="","",Квартиры!C1291)</f>
        <v/>
      </c>
      <c r="D1293">
        <f>IF(Квартиры!D1291="","",Квартиры!D1291)</f>
        <v/>
      </c>
      <c r="E1293">
        <f>IF(Квартиры!G1291="","",Квартиры!G1291)</f>
        <v/>
      </c>
      <c r="F1293">
        <f>IF(Квартиры!E1291="","",Квартиры!E1291)</f>
        <v/>
      </c>
      <c r="G1293">
        <f>IF(Квартиры!F1291="","",Квартиры!F1291)</f>
        <v/>
      </c>
      <c r="H1293">
        <f>IF(Квартиры!H1291="","",Квартиры!H1291)</f>
        <v/>
      </c>
      <c r="I1293">
        <f>IF(Квартиры!I1291="","",Квартиры!I1291)</f>
        <v/>
      </c>
      <c r="J1293">
        <f>IF(Квартиры!J1291="","",Квартиры!J1291)</f>
        <v/>
      </c>
    </row>
    <row r="1294">
      <c r="A1294">
        <f>IF(Квартиры!A1292="","",Квартиры!A1292)</f>
        <v/>
      </c>
      <c r="B1294">
        <f>IF(Квартиры!B1292="","",Квартиры!B1292)</f>
        <v/>
      </c>
      <c r="C1294">
        <f>IF(Квартиры!C1292="","",Квартиры!C1292)</f>
        <v/>
      </c>
      <c r="D1294">
        <f>IF(Квартиры!D1292="","",Квартиры!D1292)</f>
        <v/>
      </c>
      <c r="E1294">
        <f>IF(Квартиры!G1292="","",Квартиры!G1292)</f>
        <v/>
      </c>
      <c r="F1294">
        <f>IF(Квартиры!E1292="","",Квартиры!E1292)</f>
        <v/>
      </c>
      <c r="G1294">
        <f>IF(Квартиры!F1292="","",Квартиры!F1292)</f>
        <v/>
      </c>
      <c r="H1294">
        <f>IF(Квартиры!H1292="","",Квартиры!H1292)</f>
        <v/>
      </c>
      <c r="I1294">
        <f>IF(Квартиры!I1292="","",Квартиры!I1292)</f>
        <v/>
      </c>
      <c r="J1294">
        <f>IF(Квартиры!J1292="","",Квартиры!J1292)</f>
        <v/>
      </c>
    </row>
    <row r="1295">
      <c r="A1295">
        <f>IF(Квартиры!A1293="","",Квартиры!A1293)</f>
        <v/>
      </c>
      <c r="B1295">
        <f>IF(Квартиры!B1293="","",Квартиры!B1293)</f>
        <v/>
      </c>
      <c r="C1295">
        <f>IF(Квартиры!C1293="","",Квартиры!C1293)</f>
        <v/>
      </c>
      <c r="D1295">
        <f>IF(Квартиры!D1293="","",Квартиры!D1293)</f>
        <v/>
      </c>
      <c r="E1295">
        <f>IF(Квартиры!G1293="","",Квартиры!G1293)</f>
        <v/>
      </c>
      <c r="F1295">
        <f>IF(Квартиры!E1293="","",Квартиры!E1293)</f>
        <v/>
      </c>
      <c r="G1295">
        <f>IF(Квартиры!F1293="","",Квартиры!F1293)</f>
        <v/>
      </c>
      <c r="H1295">
        <f>IF(Квартиры!H1293="","",Квартиры!H1293)</f>
        <v/>
      </c>
      <c r="I1295">
        <f>IF(Квартиры!I1293="","",Квартиры!I1293)</f>
        <v/>
      </c>
      <c r="J1295">
        <f>IF(Квартиры!J1293="","",Квартиры!J1293)</f>
        <v/>
      </c>
    </row>
    <row r="1296">
      <c r="A1296">
        <f>IF(Квартиры!A1294="","",Квартиры!A1294)</f>
        <v/>
      </c>
      <c r="B1296">
        <f>IF(Квартиры!B1294="","",Квартиры!B1294)</f>
        <v/>
      </c>
      <c r="C1296">
        <f>IF(Квартиры!C1294="","",Квартиры!C1294)</f>
        <v/>
      </c>
      <c r="D1296">
        <f>IF(Квартиры!D1294="","",Квартиры!D1294)</f>
        <v/>
      </c>
      <c r="E1296">
        <f>IF(Квартиры!G1294="","",Квартиры!G1294)</f>
        <v/>
      </c>
      <c r="F1296">
        <f>IF(Квартиры!E1294="","",Квартиры!E1294)</f>
        <v/>
      </c>
      <c r="G1296">
        <f>IF(Квартиры!F1294="","",Квартиры!F1294)</f>
        <v/>
      </c>
      <c r="H1296">
        <f>IF(Квартиры!H1294="","",Квартиры!H1294)</f>
        <v/>
      </c>
      <c r="I1296">
        <f>IF(Квартиры!I1294="","",Квартиры!I1294)</f>
        <v/>
      </c>
      <c r="J1296">
        <f>IF(Квартиры!J1294="","",Квартиры!J1294)</f>
        <v/>
      </c>
    </row>
    <row r="1297">
      <c r="A1297">
        <f>IF(Квартиры!A1295="","",Квартиры!A1295)</f>
        <v/>
      </c>
      <c r="B1297">
        <f>IF(Квартиры!B1295="","",Квартиры!B1295)</f>
        <v/>
      </c>
      <c r="C1297">
        <f>IF(Квартиры!C1295="","",Квартиры!C1295)</f>
        <v/>
      </c>
      <c r="D1297">
        <f>IF(Квартиры!D1295="","",Квартиры!D1295)</f>
        <v/>
      </c>
      <c r="E1297">
        <f>IF(Квартиры!G1295="","",Квартиры!G1295)</f>
        <v/>
      </c>
      <c r="F1297">
        <f>IF(Квартиры!E1295="","",Квартиры!E1295)</f>
        <v/>
      </c>
      <c r="G1297">
        <f>IF(Квартиры!F1295="","",Квартиры!F1295)</f>
        <v/>
      </c>
      <c r="H1297">
        <f>IF(Квартиры!H1295="","",Квартиры!H1295)</f>
        <v/>
      </c>
      <c r="I1297">
        <f>IF(Квартиры!I1295="","",Квартиры!I1295)</f>
        <v/>
      </c>
      <c r="J1297">
        <f>IF(Квартиры!J1295="","",Квартиры!J1295)</f>
        <v/>
      </c>
    </row>
    <row r="1298">
      <c r="A1298">
        <f>IF(Квартиры!A1296="","",Квартиры!A1296)</f>
        <v/>
      </c>
      <c r="B1298">
        <f>IF(Квартиры!B1296="","",Квартиры!B1296)</f>
        <v/>
      </c>
      <c r="C1298">
        <f>IF(Квартиры!C1296="","",Квартиры!C1296)</f>
        <v/>
      </c>
      <c r="D1298">
        <f>IF(Квартиры!D1296="","",Квартиры!D1296)</f>
        <v/>
      </c>
      <c r="E1298">
        <f>IF(Квартиры!G1296="","",Квартиры!G1296)</f>
        <v/>
      </c>
      <c r="F1298">
        <f>IF(Квартиры!E1296="","",Квартиры!E1296)</f>
        <v/>
      </c>
      <c r="G1298">
        <f>IF(Квартиры!F1296="","",Квартиры!F1296)</f>
        <v/>
      </c>
      <c r="H1298">
        <f>IF(Квартиры!H1296="","",Квартиры!H1296)</f>
        <v/>
      </c>
      <c r="I1298">
        <f>IF(Квартиры!I1296="","",Квартиры!I1296)</f>
        <v/>
      </c>
      <c r="J1298">
        <f>IF(Квартиры!J1296="","",Квартиры!J1296)</f>
        <v/>
      </c>
    </row>
    <row r="1299">
      <c r="A1299">
        <f>IF(Квартиры!A1297="","",Квартиры!A1297)</f>
        <v/>
      </c>
      <c r="B1299">
        <f>IF(Квартиры!B1297="","",Квартиры!B1297)</f>
        <v/>
      </c>
      <c r="C1299">
        <f>IF(Квартиры!C1297="","",Квартиры!C1297)</f>
        <v/>
      </c>
      <c r="D1299">
        <f>IF(Квартиры!D1297="","",Квартиры!D1297)</f>
        <v/>
      </c>
      <c r="E1299">
        <f>IF(Квартиры!G1297="","",Квартиры!G1297)</f>
        <v/>
      </c>
      <c r="F1299">
        <f>IF(Квартиры!E1297="","",Квартиры!E1297)</f>
        <v/>
      </c>
      <c r="G1299">
        <f>IF(Квартиры!F1297="","",Квартиры!F1297)</f>
        <v/>
      </c>
      <c r="H1299">
        <f>IF(Квартиры!H1297="","",Квартиры!H1297)</f>
        <v/>
      </c>
      <c r="I1299">
        <f>IF(Квартиры!I1297="","",Квартиры!I1297)</f>
        <v/>
      </c>
      <c r="J1299">
        <f>IF(Квартиры!J1297="","",Квартиры!J1297)</f>
        <v/>
      </c>
    </row>
    <row r="1300">
      <c r="A1300">
        <f>IF(Квартиры!A1298="","",Квартиры!A1298)</f>
        <v/>
      </c>
      <c r="B1300">
        <f>IF(Квартиры!B1298="","",Квартиры!B1298)</f>
        <v/>
      </c>
      <c r="C1300">
        <f>IF(Квартиры!C1298="","",Квартиры!C1298)</f>
        <v/>
      </c>
      <c r="D1300">
        <f>IF(Квартиры!D1298="","",Квартиры!D1298)</f>
        <v/>
      </c>
      <c r="E1300">
        <f>IF(Квартиры!G1298="","",Квартиры!G1298)</f>
        <v/>
      </c>
      <c r="F1300">
        <f>IF(Квартиры!E1298="","",Квартиры!E1298)</f>
        <v/>
      </c>
      <c r="G1300">
        <f>IF(Квартиры!F1298="","",Квартиры!F1298)</f>
        <v/>
      </c>
      <c r="H1300">
        <f>IF(Квартиры!H1298="","",Квартиры!H1298)</f>
        <v/>
      </c>
      <c r="I1300">
        <f>IF(Квартиры!I1298="","",Квартиры!I1298)</f>
        <v/>
      </c>
      <c r="J1300">
        <f>IF(Квартиры!J1298="","",Квартиры!J1298)</f>
        <v/>
      </c>
    </row>
    <row r="1301">
      <c r="A1301">
        <f>IF(Квартиры!A1299="","",Квартиры!A1299)</f>
        <v/>
      </c>
      <c r="B1301">
        <f>IF(Квартиры!B1299="","",Квартиры!B1299)</f>
        <v/>
      </c>
      <c r="C1301">
        <f>IF(Квартиры!C1299="","",Квартиры!C1299)</f>
        <v/>
      </c>
      <c r="D1301">
        <f>IF(Квартиры!D1299="","",Квартиры!D1299)</f>
        <v/>
      </c>
      <c r="E1301">
        <f>IF(Квартиры!G1299="","",Квартиры!G1299)</f>
        <v/>
      </c>
      <c r="F1301">
        <f>IF(Квартиры!E1299="","",Квартиры!E1299)</f>
        <v/>
      </c>
      <c r="G1301">
        <f>IF(Квартиры!F1299="","",Квартиры!F1299)</f>
        <v/>
      </c>
      <c r="H1301">
        <f>IF(Квартиры!H1299="","",Квартиры!H1299)</f>
        <v/>
      </c>
      <c r="I1301">
        <f>IF(Квартиры!I1299="","",Квартиры!I1299)</f>
        <v/>
      </c>
      <c r="J1301">
        <f>IF(Квартиры!J1299="","",Квартиры!J1299)</f>
        <v/>
      </c>
    </row>
    <row r="1302">
      <c r="A1302">
        <f>IF(Квартиры!A1300="","",Квартиры!A1300)</f>
        <v/>
      </c>
      <c r="B1302">
        <f>IF(Квартиры!B1300="","",Квартиры!B1300)</f>
        <v/>
      </c>
      <c r="C1302">
        <f>IF(Квартиры!C1300="","",Квартиры!C1300)</f>
        <v/>
      </c>
      <c r="D1302">
        <f>IF(Квартиры!D1300="","",Квартиры!D1300)</f>
        <v/>
      </c>
      <c r="E1302">
        <f>IF(Квартиры!G1300="","",Квартиры!G1300)</f>
        <v/>
      </c>
      <c r="F1302">
        <f>IF(Квартиры!E1300="","",Квартиры!E1300)</f>
        <v/>
      </c>
      <c r="G1302">
        <f>IF(Квартиры!F1300="","",Квартиры!F1300)</f>
        <v/>
      </c>
      <c r="H1302">
        <f>IF(Квартиры!H1300="","",Квартиры!H1300)</f>
        <v/>
      </c>
      <c r="I1302">
        <f>IF(Квартиры!I1300="","",Квартиры!I1300)</f>
        <v/>
      </c>
      <c r="J1302">
        <f>IF(Квартиры!J1300="","",Квартиры!J1300)</f>
        <v/>
      </c>
    </row>
    <row r="1303">
      <c r="A1303">
        <f>IF(Квартиры!A1301="","",Квартиры!A1301)</f>
        <v/>
      </c>
      <c r="B1303">
        <f>IF(Квартиры!B1301="","",Квартиры!B1301)</f>
        <v/>
      </c>
      <c r="C1303">
        <f>IF(Квартиры!C1301="","",Квартиры!C1301)</f>
        <v/>
      </c>
      <c r="D1303">
        <f>IF(Квартиры!D1301="","",Квартиры!D1301)</f>
        <v/>
      </c>
      <c r="E1303">
        <f>IF(Квартиры!G1301="","",Квартиры!G1301)</f>
        <v/>
      </c>
      <c r="F1303">
        <f>IF(Квартиры!E1301="","",Квартиры!E1301)</f>
        <v/>
      </c>
      <c r="G1303">
        <f>IF(Квартиры!F1301="","",Квартиры!F1301)</f>
        <v/>
      </c>
      <c r="H1303">
        <f>IF(Квартиры!H1301="","",Квартиры!H1301)</f>
        <v/>
      </c>
      <c r="I1303">
        <f>IF(Квартиры!I1301="","",Квартиры!I1301)</f>
        <v/>
      </c>
      <c r="J1303">
        <f>IF(Квартиры!J1301="","",Квартиры!J1301)</f>
        <v/>
      </c>
    </row>
    <row r="1304">
      <c r="A1304">
        <f>IF(Квартиры!A1302="","",Квартиры!A1302)</f>
        <v/>
      </c>
      <c r="B1304">
        <f>IF(Квартиры!B1302="","",Квартиры!B1302)</f>
        <v/>
      </c>
      <c r="C1304">
        <f>IF(Квартиры!C1302="","",Квартиры!C1302)</f>
        <v/>
      </c>
      <c r="D1304">
        <f>IF(Квартиры!D1302="","",Квартиры!D1302)</f>
        <v/>
      </c>
      <c r="E1304">
        <f>IF(Квартиры!G1302="","",Квартиры!G1302)</f>
        <v/>
      </c>
      <c r="F1304">
        <f>IF(Квартиры!E1302="","",Квартиры!E1302)</f>
        <v/>
      </c>
      <c r="G1304">
        <f>IF(Квартиры!F1302="","",Квартиры!F1302)</f>
        <v/>
      </c>
      <c r="H1304">
        <f>IF(Квартиры!H1302="","",Квартиры!H1302)</f>
        <v/>
      </c>
      <c r="I1304">
        <f>IF(Квартиры!I1302="","",Квартиры!I1302)</f>
        <v/>
      </c>
      <c r="J1304">
        <f>IF(Квартиры!J1302="","",Квартиры!J1302)</f>
        <v/>
      </c>
    </row>
    <row r="1305">
      <c r="A1305">
        <f>IF(Квартиры!A1303="","",Квартиры!A1303)</f>
        <v/>
      </c>
      <c r="B1305">
        <f>IF(Квартиры!B1303="","",Квартиры!B1303)</f>
        <v/>
      </c>
      <c r="C1305">
        <f>IF(Квартиры!C1303="","",Квартиры!C1303)</f>
        <v/>
      </c>
      <c r="D1305">
        <f>IF(Квартиры!D1303="","",Квартиры!D1303)</f>
        <v/>
      </c>
      <c r="E1305">
        <f>IF(Квартиры!G1303="","",Квартиры!G1303)</f>
        <v/>
      </c>
      <c r="F1305">
        <f>IF(Квартиры!E1303="","",Квартиры!E1303)</f>
        <v/>
      </c>
      <c r="G1305">
        <f>IF(Квартиры!F1303="","",Квартиры!F1303)</f>
        <v/>
      </c>
      <c r="H1305">
        <f>IF(Квартиры!H1303="","",Квартиры!H1303)</f>
        <v/>
      </c>
      <c r="I1305">
        <f>IF(Квартиры!I1303="","",Квартиры!I1303)</f>
        <v/>
      </c>
      <c r="J1305">
        <f>IF(Квартиры!J1303="","",Квартиры!J1303)</f>
        <v/>
      </c>
    </row>
    <row r="1306">
      <c r="A1306">
        <f>IF(Квартиры!A1304="","",Квартиры!A1304)</f>
        <v/>
      </c>
      <c r="B1306">
        <f>IF(Квартиры!B1304="","",Квартиры!B1304)</f>
        <v/>
      </c>
      <c r="C1306">
        <f>IF(Квартиры!C1304="","",Квартиры!C1304)</f>
        <v/>
      </c>
      <c r="D1306">
        <f>IF(Квартиры!D1304="","",Квартиры!D1304)</f>
        <v/>
      </c>
      <c r="E1306">
        <f>IF(Квартиры!G1304="","",Квартиры!G1304)</f>
        <v/>
      </c>
      <c r="F1306">
        <f>IF(Квартиры!E1304="","",Квартиры!E1304)</f>
        <v/>
      </c>
      <c r="G1306">
        <f>IF(Квартиры!F1304="","",Квартиры!F1304)</f>
        <v/>
      </c>
      <c r="H1306">
        <f>IF(Квартиры!H1304="","",Квартиры!H1304)</f>
        <v/>
      </c>
      <c r="I1306">
        <f>IF(Квартиры!I1304="","",Квартиры!I1304)</f>
        <v/>
      </c>
      <c r="J1306">
        <f>IF(Квартиры!J1304="","",Квартиры!J1304)</f>
        <v/>
      </c>
    </row>
    <row r="1307">
      <c r="A1307">
        <f>IF(Квартиры!A1305="","",Квартиры!A1305)</f>
        <v/>
      </c>
      <c r="B1307">
        <f>IF(Квартиры!B1305="","",Квартиры!B1305)</f>
        <v/>
      </c>
      <c r="C1307">
        <f>IF(Квартиры!C1305="","",Квартиры!C1305)</f>
        <v/>
      </c>
      <c r="D1307">
        <f>IF(Квартиры!D1305="","",Квартиры!D1305)</f>
        <v/>
      </c>
      <c r="E1307">
        <f>IF(Квартиры!G1305="","",Квартиры!G1305)</f>
        <v/>
      </c>
      <c r="F1307">
        <f>IF(Квартиры!E1305="","",Квартиры!E1305)</f>
        <v/>
      </c>
      <c r="G1307">
        <f>IF(Квартиры!F1305="","",Квартиры!F1305)</f>
        <v/>
      </c>
      <c r="H1307">
        <f>IF(Квартиры!H1305="","",Квартиры!H1305)</f>
        <v/>
      </c>
      <c r="I1307">
        <f>IF(Квартиры!I1305="","",Квартиры!I1305)</f>
        <v/>
      </c>
      <c r="J1307">
        <f>IF(Квартиры!J1305="","",Квартиры!J1305)</f>
        <v/>
      </c>
    </row>
    <row r="1308">
      <c r="A1308">
        <f>IF(Квартиры!A1306="","",Квартиры!A1306)</f>
        <v/>
      </c>
      <c r="B1308">
        <f>IF(Квартиры!B1306="","",Квартиры!B1306)</f>
        <v/>
      </c>
      <c r="C1308">
        <f>IF(Квартиры!C1306="","",Квартиры!C1306)</f>
        <v/>
      </c>
      <c r="D1308">
        <f>IF(Квартиры!D1306="","",Квартиры!D1306)</f>
        <v/>
      </c>
      <c r="E1308">
        <f>IF(Квартиры!G1306="","",Квартиры!G1306)</f>
        <v/>
      </c>
      <c r="F1308">
        <f>IF(Квартиры!E1306="","",Квартиры!E1306)</f>
        <v/>
      </c>
      <c r="G1308">
        <f>IF(Квартиры!F1306="","",Квартиры!F1306)</f>
        <v/>
      </c>
      <c r="H1308">
        <f>IF(Квартиры!H1306="","",Квартиры!H1306)</f>
        <v/>
      </c>
      <c r="I1308">
        <f>IF(Квартиры!I1306="","",Квартиры!I1306)</f>
        <v/>
      </c>
      <c r="J1308">
        <f>IF(Квартиры!J1306="","",Квартиры!J1306)</f>
        <v/>
      </c>
    </row>
    <row r="1309">
      <c r="A1309">
        <f>IF(Квартиры!A1307="","",Квартиры!A1307)</f>
        <v/>
      </c>
      <c r="B1309">
        <f>IF(Квартиры!B1307="","",Квартиры!B1307)</f>
        <v/>
      </c>
      <c r="C1309">
        <f>IF(Квартиры!C1307="","",Квартиры!C1307)</f>
        <v/>
      </c>
      <c r="D1309">
        <f>IF(Квартиры!D1307="","",Квартиры!D1307)</f>
        <v/>
      </c>
      <c r="E1309">
        <f>IF(Квартиры!G1307="","",Квартиры!G1307)</f>
        <v/>
      </c>
      <c r="F1309">
        <f>IF(Квартиры!E1307="","",Квартиры!E1307)</f>
        <v/>
      </c>
      <c r="G1309">
        <f>IF(Квартиры!F1307="","",Квартиры!F1307)</f>
        <v/>
      </c>
      <c r="H1309">
        <f>IF(Квартиры!H1307="","",Квартиры!H1307)</f>
        <v/>
      </c>
      <c r="I1309">
        <f>IF(Квартиры!I1307="","",Квартиры!I1307)</f>
        <v/>
      </c>
      <c r="J1309">
        <f>IF(Квартиры!J1307="","",Квартиры!J1307)</f>
        <v/>
      </c>
    </row>
    <row r="1310">
      <c r="A1310">
        <f>IF(Квартиры!A1308="","",Квартиры!A1308)</f>
        <v/>
      </c>
      <c r="B1310">
        <f>IF(Квартиры!B1308="","",Квартиры!B1308)</f>
        <v/>
      </c>
      <c r="C1310">
        <f>IF(Квартиры!C1308="","",Квартиры!C1308)</f>
        <v/>
      </c>
      <c r="D1310">
        <f>IF(Квартиры!D1308="","",Квартиры!D1308)</f>
        <v/>
      </c>
      <c r="E1310">
        <f>IF(Квартиры!G1308="","",Квартиры!G1308)</f>
        <v/>
      </c>
      <c r="F1310">
        <f>IF(Квартиры!E1308="","",Квартиры!E1308)</f>
        <v/>
      </c>
      <c r="G1310">
        <f>IF(Квартиры!F1308="","",Квартиры!F1308)</f>
        <v/>
      </c>
      <c r="H1310">
        <f>IF(Квартиры!H1308="","",Квартиры!H1308)</f>
        <v/>
      </c>
      <c r="I1310">
        <f>IF(Квартиры!I1308="","",Квартиры!I1308)</f>
        <v/>
      </c>
      <c r="J1310">
        <f>IF(Квартиры!J1308="","",Квартиры!J1308)</f>
        <v/>
      </c>
    </row>
    <row r="1311">
      <c r="A1311">
        <f>IF(Квартиры!A1309="","",Квартиры!A1309)</f>
        <v/>
      </c>
      <c r="B1311">
        <f>IF(Квартиры!B1309="","",Квартиры!B1309)</f>
        <v/>
      </c>
      <c r="C1311">
        <f>IF(Квартиры!C1309="","",Квартиры!C1309)</f>
        <v/>
      </c>
      <c r="D1311">
        <f>IF(Квартиры!D1309="","",Квартиры!D1309)</f>
        <v/>
      </c>
      <c r="E1311">
        <f>IF(Квартиры!G1309="","",Квартиры!G1309)</f>
        <v/>
      </c>
      <c r="F1311">
        <f>IF(Квартиры!E1309="","",Квартиры!E1309)</f>
        <v/>
      </c>
      <c r="G1311">
        <f>IF(Квартиры!F1309="","",Квартиры!F1309)</f>
        <v/>
      </c>
      <c r="H1311">
        <f>IF(Квартиры!H1309="","",Квартиры!H1309)</f>
        <v/>
      </c>
      <c r="I1311">
        <f>IF(Квартиры!I1309="","",Квартиры!I1309)</f>
        <v/>
      </c>
      <c r="J1311">
        <f>IF(Квартиры!J1309="","",Квартиры!J1309)</f>
        <v/>
      </c>
    </row>
    <row r="1312">
      <c r="A1312">
        <f>IF(Квартиры!A1310="","",Квартиры!A1310)</f>
        <v/>
      </c>
      <c r="B1312">
        <f>IF(Квартиры!B1310="","",Квартиры!B1310)</f>
        <v/>
      </c>
      <c r="C1312">
        <f>IF(Квартиры!C1310="","",Квартиры!C1310)</f>
        <v/>
      </c>
      <c r="D1312">
        <f>IF(Квартиры!D1310="","",Квартиры!D1310)</f>
        <v/>
      </c>
      <c r="E1312">
        <f>IF(Квартиры!G1310="","",Квартиры!G1310)</f>
        <v/>
      </c>
      <c r="F1312">
        <f>IF(Квартиры!E1310="","",Квартиры!E1310)</f>
        <v/>
      </c>
      <c r="G1312">
        <f>IF(Квартиры!F1310="","",Квартиры!F1310)</f>
        <v/>
      </c>
      <c r="H1312">
        <f>IF(Квартиры!H1310="","",Квартиры!H1310)</f>
        <v/>
      </c>
      <c r="I1312">
        <f>IF(Квартиры!I1310="","",Квартиры!I1310)</f>
        <v/>
      </c>
      <c r="J1312">
        <f>IF(Квартиры!J1310="","",Квартиры!J1310)</f>
        <v/>
      </c>
    </row>
    <row r="1313">
      <c r="A1313">
        <f>IF(Квартиры!A1311="","",Квартиры!A1311)</f>
        <v/>
      </c>
      <c r="B1313">
        <f>IF(Квартиры!B1311="","",Квартиры!B1311)</f>
        <v/>
      </c>
      <c r="C1313">
        <f>IF(Квартиры!C1311="","",Квартиры!C1311)</f>
        <v/>
      </c>
      <c r="D1313">
        <f>IF(Квартиры!D1311="","",Квартиры!D1311)</f>
        <v/>
      </c>
      <c r="E1313">
        <f>IF(Квартиры!G1311="","",Квартиры!G1311)</f>
        <v/>
      </c>
      <c r="F1313">
        <f>IF(Квартиры!E1311="","",Квартиры!E1311)</f>
        <v/>
      </c>
      <c r="G1313">
        <f>IF(Квартиры!F1311="","",Квартиры!F1311)</f>
        <v/>
      </c>
      <c r="H1313">
        <f>IF(Квартиры!H1311="","",Квартиры!H1311)</f>
        <v/>
      </c>
      <c r="I1313">
        <f>IF(Квартиры!I1311="","",Квартиры!I1311)</f>
        <v/>
      </c>
      <c r="J1313">
        <f>IF(Квартиры!J1311="","",Квартиры!J1311)</f>
        <v/>
      </c>
    </row>
    <row r="1314">
      <c r="A1314">
        <f>IF(Квартиры!A1312="","",Квартиры!A1312)</f>
        <v/>
      </c>
      <c r="B1314">
        <f>IF(Квартиры!B1312="","",Квартиры!B1312)</f>
        <v/>
      </c>
      <c r="C1314">
        <f>IF(Квартиры!C1312="","",Квартиры!C1312)</f>
        <v/>
      </c>
      <c r="D1314">
        <f>IF(Квартиры!D1312="","",Квартиры!D1312)</f>
        <v/>
      </c>
      <c r="E1314">
        <f>IF(Квартиры!G1312="","",Квартиры!G1312)</f>
        <v/>
      </c>
      <c r="F1314">
        <f>IF(Квартиры!E1312="","",Квартиры!E1312)</f>
        <v/>
      </c>
      <c r="G1314">
        <f>IF(Квартиры!F1312="","",Квартиры!F1312)</f>
        <v/>
      </c>
      <c r="H1314">
        <f>IF(Квартиры!H1312="","",Квартиры!H1312)</f>
        <v/>
      </c>
      <c r="I1314">
        <f>IF(Квартиры!I1312="","",Квартиры!I1312)</f>
        <v/>
      </c>
      <c r="J1314">
        <f>IF(Квартиры!J1312="","",Квартиры!J1312)</f>
        <v/>
      </c>
    </row>
    <row r="1315">
      <c r="A1315">
        <f>IF(Квартиры!A1313="","",Квартиры!A1313)</f>
        <v/>
      </c>
      <c r="B1315">
        <f>IF(Квартиры!B1313="","",Квартиры!B1313)</f>
        <v/>
      </c>
      <c r="C1315">
        <f>IF(Квартиры!C1313="","",Квартиры!C1313)</f>
        <v/>
      </c>
      <c r="D1315">
        <f>IF(Квартиры!D1313="","",Квартиры!D1313)</f>
        <v/>
      </c>
      <c r="E1315">
        <f>IF(Квартиры!G1313="","",Квартиры!G1313)</f>
        <v/>
      </c>
      <c r="F1315">
        <f>IF(Квартиры!E1313="","",Квартиры!E1313)</f>
        <v/>
      </c>
      <c r="G1315">
        <f>IF(Квартиры!F1313="","",Квартиры!F1313)</f>
        <v/>
      </c>
      <c r="H1315">
        <f>IF(Квартиры!H1313="","",Квартиры!H1313)</f>
        <v/>
      </c>
      <c r="I1315">
        <f>IF(Квартиры!I1313="","",Квартиры!I1313)</f>
        <v/>
      </c>
      <c r="J1315">
        <f>IF(Квартиры!J1313="","",Квартиры!J1313)</f>
        <v/>
      </c>
    </row>
    <row r="1316">
      <c r="A1316">
        <f>IF(Квартиры!A1314="","",Квартиры!A1314)</f>
        <v/>
      </c>
      <c r="B1316">
        <f>IF(Квартиры!B1314="","",Квартиры!B1314)</f>
        <v/>
      </c>
      <c r="C1316">
        <f>IF(Квартиры!C1314="","",Квартиры!C1314)</f>
        <v/>
      </c>
      <c r="D1316">
        <f>IF(Квартиры!D1314="","",Квартиры!D1314)</f>
        <v/>
      </c>
      <c r="E1316">
        <f>IF(Квартиры!G1314="","",Квартиры!G1314)</f>
        <v/>
      </c>
      <c r="F1316">
        <f>IF(Квартиры!E1314="","",Квартиры!E1314)</f>
        <v/>
      </c>
      <c r="G1316">
        <f>IF(Квартиры!F1314="","",Квартиры!F1314)</f>
        <v/>
      </c>
      <c r="H1316">
        <f>IF(Квартиры!H1314="","",Квартиры!H1314)</f>
        <v/>
      </c>
      <c r="I1316">
        <f>IF(Квартиры!I1314="","",Квартиры!I1314)</f>
        <v/>
      </c>
      <c r="J1316">
        <f>IF(Квартиры!J1314="","",Квартиры!J1314)</f>
        <v/>
      </c>
    </row>
    <row r="1317">
      <c r="A1317">
        <f>IF(Квартиры!A1315="","",Квартиры!A1315)</f>
        <v/>
      </c>
      <c r="B1317">
        <f>IF(Квартиры!B1315="","",Квартиры!B1315)</f>
        <v/>
      </c>
      <c r="C1317">
        <f>IF(Квартиры!C1315="","",Квартиры!C1315)</f>
        <v/>
      </c>
      <c r="D1317">
        <f>IF(Квартиры!D1315="","",Квартиры!D1315)</f>
        <v/>
      </c>
      <c r="E1317">
        <f>IF(Квартиры!G1315="","",Квартиры!G1315)</f>
        <v/>
      </c>
      <c r="F1317">
        <f>IF(Квартиры!E1315="","",Квартиры!E1315)</f>
        <v/>
      </c>
      <c r="G1317">
        <f>IF(Квартиры!F1315="","",Квартиры!F1315)</f>
        <v/>
      </c>
      <c r="H1317">
        <f>IF(Квартиры!H1315="","",Квартиры!H1315)</f>
        <v/>
      </c>
      <c r="I1317">
        <f>IF(Квартиры!I1315="","",Квартиры!I1315)</f>
        <v/>
      </c>
      <c r="J1317">
        <f>IF(Квартиры!J1315="","",Квартиры!J1315)</f>
        <v/>
      </c>
    </row>
    <row r="1318">
      <c r="A1318">
        <f>IF(Квартиры!A1316="","",Квартиры!A1316)</f>
        <v/>
      </c>
      <c r="B1318">
        <f>IF(Квартиры!B1316="","",Квартиры!B1316)</f>
        <v/>
      </c>
      <c r="C1318">
        <f>IF(Квартиры!C1316="","",Квартиры!C1316)</f>
        <v/>
      </c>
      <c r="D1318">
        <f>IF(Квартиры!D1316="","",Квартиры!D1316)</f>
        <v/>
      </c>
      <c r="E1318">
        <f>IF(Квартиры!G1316="","",Квартиры!G1316)</f>
        <v/>
      </c>
      <c r="F1318">
        <f>IF(Квартиры!E1316="","",Квартиры!E1316)</f>
        <v/>
      </c>
      <c r="G1318">
        <f>IF(Квартиры!F1316="","",Квартиры!F1316)</f>
        <v/>
      </c>
      <c r="H1318">
        <f>IF(Квартиры!H1316="","",Квартиры!H1316)</f>
        <v/>
      </c>
      <c r="I1318">
        <f>IF(Квартиры!I1316="","",Квартиры!I1316)</f>
        <v/>
      </c>
      <c r="J1318">
        <f>IF(Квартиры!J1316="","",Квартиры!J1316)</f>
        <v/>
      </c>
    </row>
    <row r="1319">
      <c r="A1319">
        <f>IF(Квартиры!A1317="","",Квартиры!A1317)</f>
        <v/>
      </c>
      <c r="B1319">
        <f>IF(Квартиры!B1317="","",Квартиры!B1317)</f>
        <v/>
      </c>
      <c r="C1319">
        <f>IF(Квартиры!C1317="","",Квартиры!C1317)</f>
        <v/>
      </c>
      <c r="D1319">
        <f>IF(Квартиры!D1317="","",Квартиры!D1317)</f>
        <v/>
      </c>
      <c r="E1319">
        <f>IF(Квартиры!G1317="","",Квартиры!G1317)</f>
        <v/>
      </c>
      <c r="F1319">
        <f>IF(Квартиры!E1317="","",Квартиры!E1317)</f>
        <v/>
      </c>
      <c r="G1319">
        <f>IF(Квартиры!F1317="","",Квартиры!F1317)</f>
        <v/>
      </c>
      <c r="H1319">
        <f>IF(Квартиры!H1317="","",Квартиры!H1317)</f>
        <v/>
      </c>
      <c r="I1319">
        <f>IF(Квартиры!I1317="","",Квартиры!I1317)</f>
        <v/>
      </c>
      <c r="J1319">
        <f>IF(Квартиры!J1317="","",Квартиры!J1317)</f>
        <v/>
      </c>
    </row>
    <row r="1320">
      <c r="A1320">
        <f>IF(Квартиры!A1318="","",Квартиры!A1318)</f>
        <v/>
      </c>
      <c r="B1320">
        <f>IF(Квартиры!B1318="","",Квартиры!B1318)</f>
        <v/>
      </c>
      <c r="C1320">
        <f>IF(Квартиры!C1318="","",Квартиры!C1318)</f>
        <v/>
      </c>
      <c r="D1320">
        <f>IF(Квартиры!D1318="","",Квартиры!D1318)</f>
        <v/>
      </c>
      <c r="E1320">
        <f>IF(Квартиры!G1318="","",Квартиры!G1318)</f>
        <v/>
      </c>
      <c r="F1320">
        <f>IF(Квартиры!E1318="","",Квартиры!E1318)</f>
        <v/>
      </c>
      <c r="G1320">
        <f>IF(Квартиры!F1318="","",Квартиры!F1318)</f>
        <v/>
      </c>
      <c r="H1320">
        <f>IF(Квартиры!H1318="","",Квартиры!H1318)</f>
        <v/>
      </c>
      <c r="I1320">
        <f>IF(Квартиры!I1318="","",Квартиры!I1318)</f>
        <v/>
      </c>
      <c r="J1320">
        <f>IF(Квартиры!J1318="","",Квартиры!J1318)</f>
        <v/>
      </c>
    </row>
    <row r="1321">
      <c r="A1321">
        <f>IF(Квартиры!A1319="","",Квартиры!A1319)</f>
        <v/>
      </c>
      <c r="B1321">
        <f>IF(Квартиры!B1319="","",Квартиры!B1319)</f>
        <v/>
      </c>
      <c r="C1321">
        <f>IF(Квартиры!C1319="","",Квартиры!C1319)</f>
        <v/>
      </c>
      <c r="D1321">
        <f>IF(Квартиры!D1319="","",Квартиры!D1319)</f>
        <v/>
      </c>
      <c r="E1321">
        <f>IF(Квартиры!G1319="","",Квартиры!G1319)</f>
        <v/>
      </c>
      <c r="F1321">
        <f>IF(Квартиры!E1319="","",Квартиры!E1319)</f>
        <v/>
      </c>
      <c r="G1321">
        <f>IF(Квартиры!F1319="","",Квартиры!F1319)</f>
        <v/>
      </c>
      <c r="H1321">
        <f>IF(Квартиры!H1319="","",Квартиры!H1319)</f>
        <v/>
      </c>
      <c r="I1321">
        <f>IF(Квартиры!I1319="","",Квартиры!I1319)</f>
        <v/>
      </c>
      <c r="J1321">
        <f>IF(Квартиры!J1319="","",Квартиры!J1319)</f>
        <v/>
      </c>
    </row>
    <row r="1322">
      <c r="A1322">
        <f>IF(Квартиры!A1320="","",Квартиры!A1320)</f>
        <v/>
      </c>
      <c r="B1322">
        <f>IF(Квартиры!B1320="","",Квартиры!B1320)</f>
        <v/>
      </c>
      <c r="C1322">
        <f>IF(Квартиры!C1320="","",Квартиры!C1320)</f>
        <v/>
      </c>
      <c r="D1322">
        <f>IF(Квартиры!D1320="","",Квартиры!D1320)</f>
        <v/>
      </c>
      <c r="E1322">
        <f>IF(Квартиры!G1320="","",Квартиры!G1320)</f>
        <v/>
      </c>
      <c r="F1322">
        <f>IF(Квартиры!E1320="","",Квартиры!E1320)</f>
        <v/>
      </c>
      <c r="G1322">
        <f>IF(Квартиры!F1320="","",Квартиры!F1320)</f>
        <v/>
      </c>
      <c r="H1322">
        <f>IF(Квартиры!H1320="","",Квартиры!H1320)</f>
        <v/>
      </c>
      <c r="I1322">
        <f>IF(Квартиры!I1320="","",Квартиры!I1320)</f>
        <v/>
      </c>
      <c r="J1322">
        <f>IF(Квартиры!J1320="","",Квартиры!J1320)</f>
        <v/>
      </c>
    </row>
    <row r="1323">
      <c r="A1323">
        <f>IF(Квартиры!A1321="","",Квартиры!A1321)</f>
        <v/>
      </c>
      <c r="B1323">
        <f>IF(Квартиры!B1321="","",Квартиры!B1321)</f>
        <v/>
      </c>
      <c r="C1323">
        <f>IF(Квартиры!C1321="","",Квартиры!C1321)</f>
        <v/>
      </c>
      <c r="D1323">
        <f>IF(Квартиры!D1321="","",Квартиры!D1321)</f>
        <v/>
      </c>
      <c r="E1323">
        <f>IF(Квартиры!G1321="","",Квартиры!G1321)</f>
        <v/>
      </c>
      <c r="F1323">
        <f>IF(Квартиры!E1321="","",Квартиры!E1321)</f>
        <v/>
      </c>
      <c r="G1323">
        <f>IF(Квартиры!F1321="","",Квартиры!F1321)</f>
        <v/>
      </c>
      <c r="H1323">
        <f>IF(Квартиры!H1321="","",Квартиры!H1321)</f>
        <v/>
      </c>
      <c r="I1323">
        <f>IF(Квартиры!I1321="","",Квартиры!I1321)</f>
        <v/>
      </c>
      <c r="J1323">
        <f>IF(Квартиры!J1321="","",Квартиры!J1321)</f>
        <v/>
      </c>
    </row>
    <row r="1324">
      <c r="A1324">
        <f>IF(Квартиры!A1322="","",Квартиры!A1322)</f>
        <v/>
      </c>
      <c r="B1324">
        <f>IF(Квартиры!B1322="","",Квартиры!B1322)</f>
        <v/>
      </c>
      <c r="C1324">
        <f>IF(Квартиры!C1322="","",Квартиры!C1322)</f>
        <v/>
      </c>
      <c r="D1324">
        <f>IF(Квартиры!D1322="","",Квартиры!D1322)</f>
        <v/>
      </c>
      <c r="E1324">
        <f>IF(Квартиры!G1322="","",Квартиры!G1322)</f>
        <v/>
      </c>
      <c r="F1324">
        <f>IF(Квартиры!E1322="","",Квартиры!E1322)</f>
        <v/>
      </c>
      <c r="G1324">
        <f>IF(Квартиры!F1322="","",Квартиры!F1322)</f>
        <v/>
      </c>
      <c r="H1324">
        <f>IF(Квартиры!H1322="","",Квартиры!H1322)</f>
        <v/>
      </c>
      <c r="I1324">
        <f>IF(Квартиры!I1322="","",Квартиры!I1322)</f>
        <v/>
      </c>
      <c r="J1324">
        <f>IF(Квартиры!J1322="","",Квартиры!J1322)</f>
        <v/>
      </c>
    </row>
    <row r="1325">
      <c r="A1325">
        <f>IF(Квартиры!A1323="","",Квартиры!A1323)</f>
        <v/>
      </c>
      <c r="B1325">
        <f>IF(Квартиры!B1323="","",Квартиры!B1323)</f>
        <v/>
      </c>
      <c r="C1325">
        <f>IF(Квартиры!C1323="","",Квартиры!C1323)</f>
        <v/>
      </c>
      <c r="D1325">
        <f>IF(Квартиры!D1323="","",Квартиры!D1323)</f>
        <v/>
      </c>
      <c r="E1325">
        <f>IF(Квартиры!G1323="","",Квартиры!G1323)</f>
        <v/>
      </c>
      <c r="F1325">
        <f>IF(Квартиры!E1323="","",Квартиры!E1323)</f>
        <v/>
      </c>
      <c r="G1325">
        <f>IF(Квартиры!F1323="","",Квартиры!F1323)</f>
        <v/>
      </c>
      <c r="H1325">
        <f>IF(Квартиры!H1323="","",Квартиры!H1323)</f>
        <v/>
      </c>
      <c r="I1325">
        <f>IF(Квартиры!I1323="","",Квартиры!I1323)</f>
        <v/>
      </c>
      <c r="J1325">
        <f>IF(Квартиры!J1323="","",Квартиры!J1323)</f>
        <v/>
      </c>
    </row>
    <row r="1326">
      <c r="A1326">
        <f>IF(Квартиры!A1324="","",Квартиры!A1324)</f>
        <v/>
      </c>
      <c r="B1326">
        <f>IF(Квартиры!B1324="","",Квартиры!B1324)</f>
        <v/>
      </c>
      <c r="C1326">
        <f>IF(Квартиры!C1324="","",Квартиры!C1324)</f>
        <v/>
      </c>
      <c r="D1326">
        <f>IF(Квартиры!D1324="","",Квартиры!D1324)</f>
        <v/>
      </c>
      <c r="E1326">
        <f>IF(Квартиры!G1324="","",Квартиры!G1324)</f>
        <v/>
      </c>
      <c r="F1326">
        <f>IF(Квартиры!E1324="","",Квартиры!E1324)</f>
        <v/>
      </c>
      <c r="G1326">
        <f>IF(Квартиры!F1324="","",Квартиры!F1324)</f>
        <v/>
      </c>
      <c r="H1326">
        <f>IF(Квартиры!H1324="","",Квартиры!H1324)</f>
        <v/>
      </c>
      <c r="I1326">
        <f>IF(Квартиры!I1324="","",Квартиры!I1324)</f>
        <v/>
      </c>
      <c r="J1326">
        <f>IF(Квартиры!J1324="","",Квартиры!J1324)</f>
        <v/>
      </c>
    </row>
    <row r="1327">
      <c r="A1327">
        <f>IF(Квартиры!A1325="","",Квартиры!A1325)</f>
        <v/>
      </c>
      <c r="B1327">
        <f>IF(Квартиры!B1325="","",Квартиры!B1325)</f>
        <v/>
      </c>
      <c r="C1327">
        <f>IF(Квартиры!C1325="","",Квартиры!C1325)</f>
        <v/>
      </c>
      <c r="D1327">
        <f>IF(Квартиры!D1325="","",Квартиры!D1325)</f>
        <v/>
      </c>
      <c r="E1327">
        <f>IF(Квартиры!G1325="","",Квартиры!G1325)</f>
        <v/>
      </c>
      <c r="F1327">
        <f>IF(Квартиры!E1325="","",Квартиры!E1325)</f>
        <v/>
      </c>
      <c r="G1327">
        <f>IF(Квартиры!F1325="","",Квартиры!F1325)</f>
        <v/>
      </c>
      <c r="H1327">
        <f>IF(Квартиры!H1325="","",Квартиры!H1325)</f>
        <v/>
      </c>
      <c r="I1327">
        <f>IF(Квартиры!I1325="","",Квартиры!I1325)</f>
        <v/>
      </c>
      <c r="J1327">
        <f>IF(Квартиры!J1325="","",Квартиры!J1325)</f>
        <v/>
      </c>
    </row>
    <row r="1328">
      <c r="A1328">
        <f>IF(Квартиры!A1326="","",Квартиры!A1326)</f>
        <v/>
      </c>
      <c r="B1328">
        <f>IF(Квартиры!B1326="","",Квартиры!B1326)</f>
        <v/>
      </c>
      <c r="C1328">
        <f>IF(Квартиры!C1326="","",Квартиры!C1326)</f>
        <v/>
      </c>
      <c r="D1328">
        <f>IF(Квартиры!D1326="","",Квартиры!D1326)</f>
        <v/>
      </c>
      <c r="E1328">
        <f>IF(Квартиры!G1326="","",Квартиры!G1326)</f>
        <v/>
      </c>
      <c r="F1328">
        <f>IF(Квартиры!E1326="","",Квартиры!E1326)</f>
        <v/>
      </c>
      <c r="G1328">
        <f>IF(Квартиры!F1326="","",Квартиры!F1326)</f>
        <v/>
      </c>
      <c r="H1328">
        <f>IF(Квартиры!H1326="","",Квартиры!H1326)</f>
        <v/>
      </c>
      <c r="I1328">
        <f>IF(Квартиры!I1326="","",Квартиры!I1326)</f>
        <v/>
      </c>
      <c r="J1328">
        <f>IF(Квартиры!J1326="","",Квартиры!J1326)</f>
        <v/>
      </c>
    </row>
    <row r="1329">
      <c r="A1329">
        <f>IF(Квартиры!A1327="","",Квартиры!A1327)</f>
        <v/>
      </c>
      <c r="B1329">
        <f>IF(Квартиры!B1327="","",Квартиры!B1327)</f>
        <v/>
      </c>
      <c r="C1329">
        <f>IF(Квартиры!C1327="","",Квартиры!C1327)</f>
        <v/>
      </c>
      <c r="D1329">
        <f>IF(Квартиры!D1327="","",Квартиры!D1327)</f>
        <v/>
      </c>
      <c r="E1329">
        <f>IF(Квартиры!G1327="","",Квартиры!G1327)</f>
        <v/>
      </c>
      <c r="F1329">
        <f>IF(Квартиры!E1327="","",Квартиры!E1327)</f>
        <v/>
      </c>
      <c r="G1329">
        <f>IF(Квартиры!F1327="","",Квартиры!F1327)</f>
        <v/>
      </c>
      <c r="H1329">
        <f>IF(Квартиры!H1327="","",Квартиры!H1327)</f>
        <v/>
      </c>
      <c r="I1329">
        <f>IF(Квартиры!I1327="","",Квартиры!I1327)</f>
        <v/>
      </c>
      <c r="J1329">
        <f>IF(Квартиры!J1327="","",Квартиры!J1327)</f>
        <v/>
      </c>
    </row>
    <row r="1330">
      <c r="A1330">
        <f>IF(Квартиры!A1328="","",Квартиры!A1328)</f>
        <v/>
      </c>
      <c r="B1330">
        <f>IF(Квартиры!B1328="","",Квартиры!B1328)</f>
        <v/>
      </c>
      <c r="C1330">
        <f>IF(Квартиры!C1328="","",Квартиры!C1328)</f>
        <v/>
      </c>
      <c r="D1330">
        <f>IF(Квартиры!D1328="","",Квартиры!D1328)</f>
        <v/>
      </c>
      <c r="E1330">
        <f>IF(Квартиры!G1328="","",Квартиры!G1328)</f>
        <v/>
      </c>
      <c r="F1330">
        <f>IF(Квартиры!E1328="","",Квартиры!E1328)</f>
        <v/>
      </c>
      <c r="G1330">
        <f>IF(Квартиры!F1328="","",Квартиры!F1328)</f>
        <v/>
      </c>
      <c r="H1330">
        <f>IF(Квартиры!H1328="","",Квартиры!H1328)</f>
        <v/>
      </c>
      <c r="I1330">
        <f>IF(Квартиры!I1328="","",Квартиры!I1328)</f>
        <v/>
      </c>
      <c r="J1330">
        <f>IF(Квартиры!J1328="","",Квартиры!J1328)</f>
        <v/>
      </c>
    </row>
    <row r="1331">
      <c r="A1331">
        <f>IF(Квартиры!A1329="","",Квартиры!A1329)</f>
        <v/>
      </c>
      <c r="B1331">
        <f>IF(Квартиры!B1329="","",Квартиры!B1329)</f>
        <v/>
      </c>
      <c r="C1331">
        <f>IF(Квартиры!C1329="","",Квартиры!C1329)</f>
        <v/>
      </c>
      <c r="D1331">
        <f>IF(Квартиры!D1329="","",Квартиры!D1329)</f>
        <v/>
      </c>
      <c r="E1331">
        <f>IF(Квартиры!G1329="","",Квартиры!G1329)</f>
        <v/>
      </c>
      <c r="F1331">
        <f>IF(Квартиры!E1329="","",Квартиры!E1329)</f>
        <v/>
      </c>
      <c r="G1331">
        <f>IF(Квартиры!F1329="","",Квартиры!F1329)</f>
        <v/>
      </c>
      <c r="H1331">
        <f>IF(Квартиры!H1329="","",Квартиры!H1329)</f>
        <v/>
      </c>
      <c r="I1331">
        <f>IF(Квартиры!I1329="","",Квартиры!I1329)</f>
        <v/>
      </c>
      <c r="J1331">
        <f>IF(Квартиры!J1329="","",Квартиры!J1329)</f>
        <v/>
      </c>
    </row>
    <row r="1332">
      <c r="A1332">
        <f>IF(Квартиры!A1330="","",Квартиры!A1330)</f>
        <v/>
      </c>
      <c r="B1332">
        <f>IF(Квартиры!B1330="","",Квартиры!B1330)</f>
        <v/>
      </c>
      <c r="C1332">
        <f>IF(Квартиры!C1330="","",Квартиры!C1330)</f>
        <v/>
      </c>
      <c r="D1332">
        <f>IF(Квартиры!D1330="","",Квартиры!D1330)</f>
        <v/>
      </c>
      <c r="E1332">
        <f>IF(Квартиры!G1330="","",Квартиры!G1330)</f>
        <v/>
      </c>
      <c r="F1332">
        <f>IF(Квартиры!E1330="","",Квартиры!E1330)</f>
        <v/>
      </c>
      <c r="G1332">
        <f>IF(Квартиры!F1330="","",Квартиры!F1330)</f>
        <v/>
      </c>
      <c r="H1332">
        <f>IF(Квартиры!H1330="","",Квартиры!H1330)</f>
        <v/>
      </c>
      <c r="I1332">
        <f>IF(Квартиры!I1330="","",Квартиры!I1330)</f>
        <v/>
      </c>
      <c r="J1332">
        <f>IF(Квартиры!J1330="","",Квартиры!J1330)</f>
        <v/>
      </c>
    </row>
    <row r="1333">
      <c r="A1333">
        <f>IF(Квартиры!A1331="","",Квартиры!A1331)</f>
        <v/>
      </c>
      <c r="B1333">
        <f>IF(Квартиры!B1331="","",Квартиры!B1331)</f>
        <v/>
      </c>
      <c r="C1333">
        <f>IF(Квартиры!C1331="","",Квартиры!C1331)</f>
        <v/>
      </c>
      <c r="D1333">
        <f>IF(Квартиры!D1331="","",Квартиры!D1331)</f>
        <v/>
      </c>
      <c r="E1333">
        <f>IF(Квартиры!G1331="","",Квартиры!G1331)</f>
        <v/>
      </c>
      <c r="F1333">
        <f>IF(Квартиры!E1331="","",Квартиры!E1331)</f>
        <v/>
      </c>
      <c r="G1333">
        <f>IF(Квартиры!F1331="","",Квартиры!F1331)</f>
        <v/>
      </c>
      <c r="H1333">
        <f>IF(Квартиры!H1331="","",Квартиры!H1331)</f>
        <v/>
      </c>
      <c r="I1333">
        <f>IF(Квартиры!I1331="","",Квартиры!I1331)</f>
        <v/>
      </c>
      <c r="J1333">
        <f>IF(Квартиры!J1331="","",Квартиры!J1331)</f>
        <v/>
      </c>
    </row>
    <row r="1334">
      <c r="A1334">
        <f>IF(Квартиры!A1332="","",Квартиры!A1332)</f>
        <v/>
      </c>
      <c r="B1334">
        <f>IF(Квартиры!B1332="","",Квартиры!B1332)</f>
        <v/>
      </c>
      <c r="C1334">
        <f>IF(Квартиры!C1332="","",Квартиры!C1332)</f>
        <v/>
      </c>
      <c r="D1334">
        <f>IF(Квартиры!D1332="","",Квартиры!D1332)</f>
        <v/>
      </c>
      <c r="E1334">
        <f>IF(Квартиры!G1332="","",Квартиры!G1332)</f>
        <v/>
      </c>
      <c r="F1334">
        <f>IF(Квартиры!E1332="","",Квартиры!E1332)</f>
        <v/>
      </c>
      <c r="G1334">
        <f>IF(Квартиры!F1332="","",Квартиры!F1332)</f>
        <v/>
      </c>
      <c r="H1334">
        <f>IF(Квартиры!H1332="","",Квартиры!H1332)</f>
        <v/>
      </c>
      <c r="I1334">
        <f>IF(Квартиры!I1332="","",Квартиры!I1332)</f>
        <v/>
      </c>
      <c r="J1334">
        <f>IF(Квартиры!J1332="","",Квартиры!J1332)</f>
        <v/>
      </c>
    </row>
    <row r="1335">
      <c r="A1335">
        <f>IF(Квартиры!A1333="","",Квартиры!A1333)</f>
        <v/>
      </c>
      <c r="B1335">
        <f>IF(Квартиры!B1333="","",Квартиры!B1333)</f>
        <v/>
      </c>
      <c r="C1335">
        <f>IF(Квартиры!C1333="","",Квартиры!C1333)</f>
        <v/>
      </c>
      <c r="D1335">
        <f>IF(Квартиры!D1333="","",Квартиры!D1333)</f>
        <v/>
      </c>
      <c r="E1335">
        <f>IF(Квартиры!G1333="","",Квартиры!G1333)</f>
        <v/>
      </c>
      <c r="F1335">
        <f>IF(Квартиры!E1333="","",Квартиры!E1333)</f>
        <v/>
      </c>
      <c r="G1335">
        <f>IF(Квартиры!F1333="","",Квартиры!F1333)</f>
        <v/>
      </c>
      <c r="H1335">
        <f>IF(Квартиры!H1333="","",Квартиры!H1333)</f>
        <v/>
      </c>
      <c r="I1335">
        <f>IF(Квартиры!I1333="","",Квартиры!I1333)</f>
        <v/>
      </c>
      <c r="J1335">
        <f>IF(Квартиры!J1333="","",Квартиры!J1333)</f>
        <v/>
      </c>
    </row>
    <row r="1336">
      <c r="A1336">
        <f>IF(Квартиры!A1334="","",Квартиры!A1334)</f>
        <v/>
      </c>
      <c r="B1336">
        <f>IF(Квартиры!B1334="","",Квартиры!B1334)</f>
        <v/>
      </c>
      <c r="C1336">
        <f>IF(Квартиры!C1334="","",Квартиры!C1334)</f>
        <v/>
      </c>
      <c r="D1336">
        <f>IF(Квартиры!D1334="","",Квартиры!D1334)</f>
        <v/>
      </c>
      <c r="E1336">
        <f>IF(Квартиры!G1334="","",Квартиры!G1334)</f>
        <v/>
      </c>
      <c r="F1336">
        <f>IF(Квартиры!E1334="","",Квартиры!E1334)</f>
        <v/>
      </c>
      <c r="G1336">
        <f>IF(Квартиры!F1334="","",Квартиры!F1334)</f>
        <v/>
      </c>
      <c r="H1336">
        <f>IF(Квартиры!H1334="","",Квартиры!H1334)</f>
        <v/>
      </c>
      <c r="I1336">
        <f>IF(Квартиры!I1334="","",Квартиры!I1334)</f>
        <v/>
      </c>
      <c r="J1336">
        <f>IF(Квартиры!J1334="","",Квартиры!J1334)</f>
        <v/>
      </c>
    </row>
    <row r="1337">
      <c r="A1337">
        <f>IF(Квартиры!A1335="","",Квартиры!A1335)</f>
        <v/>
      </c>
      <c r="B1337">
        <f>IF(Квартиры!B1335="","",Квартиры!B1335)</f>
        <v/>
      </c>
      <c r="C1337">
        <f>IF(Квартиры!C1335="","",Квартиры!C1335)</f>
        <v/>
      </c>
      <c r="D1337">
        <f>IF(Квартиры!D1335="","",Квартиры!D1335)</f>
        <v/>
      </c>
      <c r="E1337">
        <f>IF(Квартиры!G1335="","",Квартиры!G1335)</f>
        <v/>
      </c>
      <c r="F1337">
        <f>IF(Квартиры!E1335="","",Квартиры!E1335)</f>
        <v/>
      </c>
      <c r="G1337">
        <f>IF(Квартиры!F1335="","",Квартиры!F1335)</f>
        <v/>
      </c>
      <c r="H1337">
        <f>IF(Квартиры!H1335="","",Квартиры!H1335)</f>
        <v/>
      </c>
      <c r="I1337">
        <f>IF(Квартиры!I1335="","",Квартиры!I1335)</f>
        <v/>
      </c>
      <c r="J1337">
        <f>IF(Квартиры!J1335="","",Квартиры!J1335)</f>
        <v/>
      </c>
    </row>
    <row r="1338">
      <c r="A1338">
        <f>IF(Квартиры!A1336="","",Квартиры!A1336)</f>
        <v/>
      </c>
      <c r="B1338">
        <f>IF(Квартиры!B1336="","",Квартиры!B1336)</f>
        <v/>
      </c>
      <c r="C1338">
        <f>IF(Квартиры!C1336="","",Квартиры!C1336)</f>
        <v/>
      </c>
      <c r="D1338">
        <f>IF(Квартиры!D1336="","",Квартиры!D1336)</f>
        <v/>
      </c>
      <c r="E1338">
        <f>IF(Квартиры!G1336="","",Квартиры!G1336)</f>
        <v/>
      </c>
      <c r="F1338">
        <f>IF(Квартиры!E1336="","",Квартиры!E1336)</f>
        <v/>
      </c>
      <c r="G1338">
        <f>IF(Квартиры!F1336="","",Квартиры!F1336)</f>
        <v/>
      </c>
      <c r="H1338">
        <f>IF(Квартиры!H1336="","",Квартиры!H1336)</f>
        <v/>
      </c>
      <c r="I1338">
        <f>IF(Квартиры!I1336="","",Квартиры!I1336)</f>
        <v/>
      </c>
      <c r="J1338">
        <f>IF(Квартиры!J1336="","",Квартиры!J1336)</f>
        <v/>
      </c>
    </row>
    <row r="1339">
      <c r="A1339">
        <f>IF(Квартиры!A1337="","",Квартиры!A1337)</f>
        <v/>
      </c>
      <c r="B1339">
        <f>IF(Квартиры!B1337="","",Квартиры!B1337)</f>
        <v/>
      </c>
      <c r="C1339">
        <f>IF(Квартиры!C1337="","",Квартиры!C1337)</f>
        <v/>
      </c>
      <c r="D1339">
        <f>IF(Квартиры!D1337="","",Квартиры!D1337)</f>
        <v/>
      </c>
      <c r="E1339">
        <f>IF(Квартиры!G1337="","",Квартиры!G1337)</f>
        <v/>
      </c>
      <c r="F1339">
        <f>IF(Квартиры!E1337="","",Квартиры!E1337)</f>
        <v/>
      </c>
      <c r="G1339">
        <f>IF(Квартиры!F1337="","",Квартиры!F1337)</f>
        <v/>
      </c>
      <c r="H1339">
        <f>IF(Квартиры!H1337="","",Квартиры!H1337)</f>
        <v/>
      </c>
      <c r="I1339">
        <f>IF(Квартиры!I1337="","",Квартиры!I1337)</f>
        <v/>
      </c>
      <c r="J1339">
        <f>IF(Квартиры!J1337="","",Квартиры!J1337)</f>
        <v/>
      </c>
    </row>
    <row r="1340">
      <c r="A1340">
        <f>IF(Квартиры!A1338="","",Квартиры!A1338)</f>
        <v/>
      </c>
      <c r="B1340">
        <f>IF(Квартиры!B1338="","",Квартиры!B1338)</f>
        <v/>
      </c>
      <c r="C1340">
        <f>IF(Квартиры!C1338="","",Квартиры!C1338)</f>
        <v/>
      </c>
      <c r="D1340">
        <f>IF(Квартиры!D1338="","",Квартиры!D1338)</f>
        <v/>
      </c>
      <c r="E1340">
        <f>IF(Квартиры!G1338="","",Квартиры!G1338)</f>
        <v/>
      </c>
      <c r="F1340">
        <f>IF(Квартиры!E1338="","",Квартиры!E1338)</f>
        <v/>
      </c>
      <c r="G1340">
        <f>IF(Квартиры!F1338="","",Квартиры!F1338)</f>
        <v/>
      </c>
      <c r="H1340">
        <f>IF(Квартиры!H1338="","",Квартиры!H1338)</f>
        <v/>
      </c>
      <c r="I1340">
        <f>IF(Квартиры!I1338="","",Квартиры!I1338)</f>
        <v/>
      </c>
      <c r="J1340">
        <f>IF(Квартиры!J1338="","",Квартиры!J1338)</f>
        <v/>
      </c>
    </row>
    <row r="1341">
      <c r="A1341">
        <f>IF(Квартиры!A1339="","",Квартиры!A1339)</f>
        <v/>
      </c>
      <c r="B1341">
        <f>IF(Квартиры!B1339="","",Квартиры!B1339)</f>
        <v/>
      </c>
      <c r="C1341">
        <f>IF(Квартиры!C1339="","",Квартиры!C1339)</f>
        <v/>
      </c>
      <c r="D1341">
        <f>IF(Квартиры!D1339="","",Квартиры!D1339)</f>
        <v/>
      </c>
      <c r="E1341">
        <f>IF(Квартиры!G1339="","",Квартиры!G1339)</f>
        <v/>
      </c>
      <c r="F1341">
        <f>IF(Квартиры!E1339="","",Квартиры!E1339)</f>
        <v/>
      </c>
      <c r="G1341">
        <f>IF(Квартиры!F1339="","",Квартиры!F1339)</f>
        <v/>
      </c>
      <c r="H1341">
        <f>IF(Квартиры!H1339="","",Квартиры!H1339)</f>
        <v/>
      </c>
      <c r="I1341">
        <f>IF(Квартиры!I1339="","",Квартиры!I1339)</f>
        <v/>
      </c>
      <c r="J1341">
        <f>IF(Квартиры!J1339="","",Квартиры!J1339)</f>
        <v/>
      </c>
    </row>
    <row r="1342">
      <c r="A1342">
        <f>IF(Квартиры!A1340="","",Квартиры!A1340)</f>
        <v/>
      </c>
      <c r="B1342">
        <f>IF(Квартиры!B1340="","",Квартиры!B1340)</f>
        <v/>
      </c>
      <c r="C1342">
        <f>IF(Квартиры!C1340="","",Квартиры!C1340)</f>
        <v/>
      </c>
      <c r="D1342">
        <f>IF(Квартиры!D1340="","",Квартиры!D1340)</f>
        <v/>
      </c>
      <c r="E1342">
        <f>IF(Квартиры!G1340="","",Квартиры!G1340)</f>
        <v/>
      </c>
      <c r="F1342">
        <f>IF(Квартиры!E1340="","",Квартиры!E1340)</f>
        <v/>
      </c>
      <c r="G1342">
        <f>IF(Квартиры!F1340="","",Квартиры!F1340)</f>
        <v/>
      </c>
      <c r="H1342">
        <f>IF(Квартиры!H1340="","",Квартиры!H1340)</f>
        <v/>
      </c>
      <c r="I1342">
        <f>IF(Квартиры!I1340="","",Квартиры!I1340)</f>
        <v/>
      </c>
      <c r="J1342">
        <f>IF(Квартиры!J1340="","",Квартиры!J1340)</f>
        <v/>
      </c>
    </row>
    <row r="1343">
      <c r="A1343">
        <f>IF(Квартиры!A1341="","",Квартиры!A1341)</f>
        <v/>
      </c>
      <c r="B1343">
        <f>IF(Квартиры!B1341="","",Квартиры!B1341)</f>
        <v/>
      </c>
      <c r="C1343">
        <f>IF(Квартиры!C1341="","",Квартиры!C1341)</f>
        <v/>
      </c>
      <c r="D1343">
        <f>IF(Квартиры!D1341="","",Квартиры!D1341)</f>
        <v/>
      </c>
      <c r="E1343">
        <f>IF(Квартиры!G1341="","",Квартиры!G1341)</f>
        <v/>
      </c>
      <c r="F1343">
        <f>IF(Квартиры!E1341="","",Квартиры!E1341)</f>
        <v/>
      </c>
      <c r="G1343">
        <f>IF(Квартиры!F1341="","",Квартиры!F1341)</f>
        <v/>
      </c>
      <c r="H1343">
        <f>IF(Квартиры!H1341="","",Квартиры!H1341)</f>
        <v/>
      </c>
      <c r="I1343">
        <f>IF(Квартиры!I1341="","",Квартиры!I1341)</f>
        <v/>
      </c>
      <c r="J1343">
        <f>IF(Квартиры!J1341="","",Квартиры!J1341)</f>
        <v/>
      </c>
    </row>
    <row r="1344">
      <c r="A1344">
        <f>IF(Квартиры!A1342="","",Квартиры!A1342)</f>
        <v/>
      </c>
      <c r="B1344">
        <f>IF(Квартиры!B1342="","",Квартиры!B1342)</f>
        <v/>
      </c>
      <c r="C1344">
        <f>IF(Квартиры!C1342="","",Квартиры!C1342)</f>
        <v/>
      </c>
      <c r="D1344">
        <f>IF(Квартиры!D1342="","",Квартиры!D1342)</f>
        <v/>
      </c>
      <c r="E1344">
        <f>IF(Квартиры!G1342="","",Квартиры!G1342)</f>
        <v/>
      </c>
      <c r="F1344">
        <f>IF(Квартиры!E1342="","",Квартиры!E1342)</f>
        <v/>
      </c>
      <c r="G1344">
        <f>IF(Квартиры!F1342="","",Квартиры!F1342)</f>
        <v/>
      </c>
      <c r="H1344">
        <f>IF(Квартиры!H1342="","",Квартиры!H1342)</f>
        <v/>
      </c>
      <c r="I1344">
        <f>IF(Квартиры!I1342="","",Квартиры!I1342)</f>
        <v/>
      </c>
      <c r="J1344">
        <f>IF(Квартиры!J1342="","",Квартиры!J1342)</f>
        <v/>
      </c>
    </row>
    <row r="1345">
      <c r="A1345">
        <f>IF(Квартиры!A1343="","",Квартиры!A1343)</f>
        <v/>
      </c>
      <c r="B1345">
        <f>IF(Квартиры!B1343="","",Квартиры!B1343)</f>
        <v/>
      </c>
      <c r="C1345">
        <f>IF(Квартиры!C1343="","",Квартиры!C1343)</f>
        <v/>
      </c>
      <c r="D1345">
        <f>IF(Квартиры!D1343="","",Квартиры!D1343)</f>
        <v/>
      </c>
      <c r="E1345">
        <f>IF(Квартиры!G1343="","",Квартиры!G1343)</f>
        <v/>
      </c>
      <c r="F1345">
        <f>IF(Квартиры!E1343="","",Квартиры!E1343)</f>
        <v/>
      </c>
      <c r="G1345">
        <f>IF(Квартиры!F1343="","",Квартиры!F1343)</f>
        <v/>
      </c>
      <c r="H1345">
        <f>IF(Квартиры!H1343="","",Квартиры!H1343)</f>
        <v/>
      </c>
      <c r="I1345">
        <f>IF(Квартиры!I1343="","",Квартиры!I1343)</f>
        <v/>
      </c>
      <c r="J1345">
        <f>IF(Квартиры!J1343="","",Квартиры!J1343)</f>
        <v/>
      </c>
    </row>
    <row r="1346">
      <c r="A1346">
        <f>IF(Квартиры!A1344="","",Квартиры!A1344)</f>
        <v/>
      </c>
      <c r="B1346">
        <f>IF(Квартиры!B1344="","",Квартиры!B1344)</f>
        <v/>
      </c>
      <c r="C1346">
        <f>IF(Квартиры!C1344="","",Квартиры!C1344)</f>
        <v/>
      </c>
      <c r="D1346">
        <f>IF(Квартиры!D1344="","",Квартиры!D1344)</f>
        <v/>
      </c>
      <c r="E1346">
        <f>IF(Квартиры!G1344="","",Квартиры!G1344)</f>
        <v/>
      </c>
      <c r="F1346">
        <f>IF(Квартиры!E1344="","",Квартиры!E1344)</f>
        <v/>
      </c>
      <c r="G1346">
        <f>IF(Квартиры!F1344="","",Квартиры!F1344)</f>
        <v/>
      </c>
      <c r="H1346">
        <f>IF(Квартиры!H1344="","",Квартиры!H1344)</f>
        <v/>
      </c>
      <c r="I1346">
        <f>IF(Квартиры!I1344="","",Квартиры!I1344)</f>
        <v/>
      </c>
      <c r="J1346">
        <f>IF(Квартиры!J1344="","",Квартиры!J1344)</f>
        <v/>
      </c>
    </row>
    <row r="1347">
      <c r="A1347">
        <f>IF(Квартиры!A1345="","",Квартиры!A1345)</f>
        <v/>
      </c>
      <c r="B1347">
        <f>IF(Квартиры!B1345="","",Квартиры!B1345)</f>
        <v/>
      </c>
      <c r="C1347">
        <f>IF(Квартиры!C1345="","",Квартиры!C1345)</f>
        <v/>
      </c>
      <c r="D1347">
        <f>IF(Квартиры!D1345="","",Квартиры!D1345)</f>
        <v/>
      </c>
      <c r="E1347">
        <f>IF(Квартиры!G1345="","",Квартиры!G1345)</f>
        <v/>
      </c>
      <c r="F1347">
        <f>IF(Квартиры!E1345="","",Квартиры!E1345)</f>
        <v/>
      </c>
      <c r="G1347">
        <f>IF(Квартиры!F1345="","",Квартиры!F1345)</f>
        <v/>
      </c>
      <c r="H1347">
        <f>IF(Квартиры!H1345="","",Квартиры!H1345)</f>
        <v/>
      </c>
      <c r="I1347">
        <f>IF(Квартиры!I1345="","",Квартиры!I1345)</f>
        <v/>
      </c>
      <c r="J1347">
        <f>IF(Квартиры!J1345="","",Квартиры!J1345)</f>
        <v/>
      </c>
    </row>
    <row r="1348">
      <c r="A1348">
        <f>IF(Квартиры!A1346="","",Квартиры!A1346)</f>
        <v/>
      </c>
      <c r="B1348">
        <f>IF(Квартиры!B1346="","",Квартиры!B1346)</f>
        <v/>
      </c>
      <c r="C1348">
        <f>IF(Квартиры!C1346="","",Квартиры!C1346)</f>
        <v/>
      </c>
      <c r="D1348">
        <f>IF(Квартиры!D1346="","",Квартиры!D1346)</f>
        <v/>
      </c>
      <c r="E1348">
        <f>IF(Квартиры!G1346="","",Квартиры!G1346)</f>
        <v/>
      </c>
      <c r="F1348">
        <f>IF(Квартиры!E1346="","",Квартиры!E1346)</f>
        <v/>
      </c>
      <c r="G1348">
        <f>IF(Квартиры!F1346="","",Квартиры!F1346)</f>
        <v/>
      </c>
      <c r="H1348">
        <f>IF(Квартиры!H1346="","",Квартиры!H1346)</f>
        <v/>
      </c>
      <c r="I1348">
        <f>IF(Квартиры!I1346="","",Квартиры!I1346)</f>
        <v/>
      </c>
      <c r="J1348">
        <f>IF(Квартиры!J1346="","",Квартиры!J1346)</f>
        <v/>
      </c>
    </row>
    <row r="1349">
      <c r="A1349">
        <f>IF(Квартиры!A1347="","",Квартиры!A1347)</f>
        <v/>
      </c>
      <c r="B1349">
        <f>IF(Квартиры!B1347="","",Квартиры!B1347)</f>
        <v/>
      </c>
      <c r="C1349">
        <f>IF(Квартиры!C1347="","",Квартиры!C1347)</f>
        <v/>
      </c>
      <c r="D1349">
        <f>IF(Квартиры!D1347="","",Квартиры!D1347)</f>
        <v/>
      </c>
      <c r="E1349">
        <f>IF(Квартиры!G1347="","",Квартиры!G1347)</f>
        <v/>
      </c>
      <c r="F1349">
        <f>IF(Квартиры!E1347="","",Квартиры!E1347)</f>
        <v/>
      </c>
      <c r="G1349">
        <f>IF(Квартиры!F1347="","",Квартиры!F1347)</f>
        <v/>
      </c>
      <c r="H1349">
        <f>IF(Квартиры!H1347="","",Квартиры!H1347)</f>
        <v/>
      </c>
      <c r="I1349">
        <f>IF(Квартиры!I1347="","",Квартиры!I1347)</f>
        <v/>
      </c>
      <c r="J1349">
        <f>IF(Квартиры!J1347="","",Квартиры!J1347)</f>
        <v/>
      </c>
    </row>
    <row r="1350">
      <c r="A1350">
        <f>IF(Квартиры!A1348="","",Квартиры!A1348)</f>
        <v/>
      </c>
      <c r="B1350">
        <f>IF(Квартиры!B1348="","",Квартиры!B1348)</f>
        <v/>
      </c>
      <c r="C1350">
        <f>IF(Квартиры!C1348="","",Квартиры!C1348)</f>
        <v/>
      </c>
      <c r="D1350">
        <f>IF(Квартиры!D1348="","",Квартиры!D1348)</f>
        <v/>
      </c>
      <c r="E1350">
        <f>IF(Квартиры!G1348="","",Квартиры!G1348)</f>
        <v/>
      </c>
      <c r="F1350">
        <f>IF(Квартиры!E1348="","",Квартиры!E1348)</f>
        <v/>
      </c>
      <c r="G1350">
        <f>IF(Квартиры!F1348="","",Квартиры!F1348)</f>
        <v/>
      </c>
      <c r="H1350">
        <f>IF(Квартиры!H1348="","",Квартиры!H1348)</f>
        <v/>
      </c>
      <c r="I1350">
        <f>IF(Квартиры!I1348="","",Квартиры!I1348)</f>
        <v/>
      </c>
      <c r="J1350">
        <f>IF(Квартиры!J1348="","",Квартиры!J1348)</f>
        <v/>
      </c>
    </row>
    <row r="1351">
      <c r="A1351">
        <f>IF(Квартиры!A1349="","",Квартиры!A1349)</f>
        <v/>
      </c>
      <c r="B1351">
        <f>IF(Квартиры!B1349="","",Квартиры!B1349)</f>
        <v/>
      </c>
      <c r="C1351">
        <f>IF(Квартиры!C1349="","",Квартиры!C1349)</f>
        <v/>
      </c>
      <c r="D1351">
        <f>IF(Квартиры!D1349="","",Квартиры!D1349)</f>
        <v/>
      </c>
      <c r="E1351">
        <f>IF(Квартиры!G1349="","",Квартиры!G1349)</f>
        <v/>
      </c>
      <c r="F1351">
        <f>IF(Квартиры!E1349="","",Квартиры!E1349)</f>
        <v/>
      </c>
      <c r="G1351">
        <f>IF(Квартиры!F1349="","",Квартиры!F1349)</f>
        <v/>
      </c>
      <c r="H1351">
        <f>IF(Квартиры!H1349="","",Квартиры!H1349)</f>
        <v/>
      </c>
      <c r="I1351">
        <f>IF(Квартиры!I1349="","",Квартиры!I1349)</f>
        <v/>
      </c>
      <c r="J1351">
        <f>IF(Квартиры!J1349="","",Квартиры!J1349)</f>
        <v/>
      </c>
    </row>
    <row r="1352">
      <c r="A1352">
        <f>IF(Квартиры!A1350="","",Квартиры!A1350)</f>
        <v/>
      </c>
      <c r="B1352">
        <f>IF(Квартиры!B1350="","",Квартиры!B1350)</f>
        <v/>
      </c>
      <c r="C1352">
        <f>IF(Квартиры!C1350="","",Квартиры!C1350)</f>
        <v/>
      </c>
      <c r="D1352">
        <f>IF(Квартиры!D1350="","",Квартиры!D1350)</f>
        <v/>
      </c>
      <c r="E1352">
        <f>IF(Квартиры!G1350="","",Квартиры!G1350)</f>
        <v/>
      </c>
      <c r="F1352">
        <f>IF(Квартиры!E1350="","",Квартиры!E1350)</f>
        <v/>
      </c>
      <c r="G1352">
        <f>IF(Квартиры!F1350="","",Квартиры!F1350)</f>
        <v/>
      </c>
      <c r="H1352">
        <f>IF(Квартиры!H1350="","",Квартиры!H1350)</f>
        <v/>
      </c>
      <c r="I1352">
        <f>IF(Квартиры!I1350="","",Квартиры!I1350)</f>
        <v/>
      </c>
      <c r="J1352">
        <f>IF(Квартиры!J1350="","",Квартиры!J1350)</f>
        <v/>
      </c>
    </row>
    <row r="1353">
      <c r="A1353">
        <f>IF(Квартиры!A1351="","",Квартиры!A1351)</f>
        <v/>
      </c>
      <c r="B1353">
        <f>IF(Квартиры!B1351="","",Квартиры!B1351)</f>
        <v/>
      </c>
      <c r="C1353">
        <f>IF(Квартиры!C1351="","",Квартиры!C1351)</f>
        <v/>
      </c>
      <c r="D1353">
        <f>IF(Квартиры!D1351="","",Квартиры!D1351)</f>
        <v/>
      </c>
      <c r="E1353">
        <f>IF(Квартиры!G1351="","",Квартиры!G1351)</f>
        <v/>
      </c>
      <c r="F1353">
        <f>IF(Квартиры!E1351="","",Квартиры!E1351)</f>
        <v/>
      </c>
      <c r="G1353">
        <f>IF(Квартиры!F1351="","",Квартиры!F1351)</f>
        <v/>
      </c>
      <c r="H1353">
        <f>IF(Квартиры!H1351="","",Квартиры!H1351)</f>
        <v/>
      </c>
      <c r="I1353">
        <f>IF(Квартиры!I1351="","",Квартиры!I1351)</f>
        <v/>
      </c>
      <c r="J1353">
        <f>IF(Квартиры!J1351="","",Квартиры!J1351)</f>
        <v/>
      </c>
    </row>
    <row r="1354">
      <c r="A1354">
        <f>IF(Квартиры!A1352="","",Квартиры!A1352)</f>
        <v/>
      </c>
      <c r="B1354">
        <f>IF(Квартиры!B1352="","",Квартиры!B1352)</f>
        <v/>
      </c>
      <c r="C1354">
        <f>IF(Квартиры!C1352="","",Квартиры!C1352)</f>
        <v/>
      </c>
      <c r="D1354">
        <f>IF(Квартиры!D1352="","",Квартиры!D1352)</f>
        <v/>
      </c>
      <c r="E1354">
        <f>IF(Квартиры!G1352="","",Квартиры!G1352)</f>
        <v/>
      </c>
      <c r="F1354">
        <f>IF(Квартиры!E1352="","",Квартиры!E1352)</f>
        <v/>
      </c>
      <c r="G1354">
        <f>IF(Квартиры!F1352="","",Квартиры!F1352)</f>
        <v/>
      </c>
      <c r="H1354">
        <f>IF(Квартиры!H1352="","",Квартиры!H1352)</f>
        <v/>
      </c>
      <c r="I1354">
        <f>IF(Квартиры!I1352="","",Квартиры!I1352)</f>
        <v/>
      </c>
      <c r="J1354">
        <f>IF(Квартиры!J1352="","",Квартиры!J1352)</f>
        <v/>
      </c>
    </row>
    <row r="1355">
      <c r="A1355">
        <f>IF(Квартиры!A1353="","",Квартиры!A1353)</f>
        <v/>
      </c>
      <c r="B1355">
        <f>IF(Квартиры!B1353="","",Квартиры!B1353)</f>
        <v/>
      </c>
      <c r="C1355">
        <f>IF(Квартиры!C1353="","",Квартиры!C1353)</f>
        <v/>
      </c>
      <c r="D1355">
        <f>IF(Квартиры!D1353="","",Квартиры!D1353)</f>
        <v/>
      </c>
      <c r="E1355">
        <f>IF(Квартиры!G1353="","",Квартиры!G1353)</f>
        <v/>
      </c>
      <c r="F1355">
        <f>IF(Квартиры!E1353="","",Квартиры!E1353)</f>
        <v/>
      </c>
      <c r="G1355">
        <f>IF(Квартиры!F1353="","",Квартиры!F1353)</f>
        <v/>
      </c>
      <c r="H1355">
        <f>IF(Квартиры!H1353="","",Квартиры!H1353)</f>
        <v/>
      </c>
      <c r="I1355">
        <f>IF(Квартиры!I1353="","",Квартиры!I1353)</f>
        <v/>
      </c>
      <c r="J1355">
        <f>IF(Квартиры!J1353="","",Квартиры!J1353)</f>
        <v/>
      </c>
    </row>
    <row r="1356">
      <c r="A1356">
        <f>IF(Квартиры!A1354="","",Квартиры!A1354)</f>
        <v/>
      </c>
      <c r="B1356">
        <f>IF(Квартиры!B1354="","",Квартиры!B1354)</f>
        <v/>
      </c>
      <c r="C1356">
        <f>IF(Квартиры!C1354="","",Квартиры!C1354)</f>
        <v/>
      </c>
      <c r="D1356">
        <f>IF(Квартиры!D1354="","",Квартиры!D1354)</f>
        <v/>
      </c>
      <c r="E1356">
        <f>IF(Квартиры!G1354="","",Квартиры!G1354)</f>
        <v/>
      </c>
      <c r="F1356">
        <f>IF(Квартиры!E1354="","",Квартиры!E1354)</f>
        <v/>
      </c>
      <c r="G1356">
        <f>IF(Квартиры!F1354="","",Квартиры!F1354)</f>
        <v/>
      </c>
      <c r="H1356">
        <f>IF(Квартиры!H1354="","",Квартиры!H1354)</f>
        <v/>
      </c>
      <c r="I1356">
        <f>IF(Квартиры!I1354="","",Квартиры!I1354)</f>
        <v/>
      </c>
      <c r="J1356">
        <f>IF(Квартиры!J1354="","",Квартиры!J1354)</f>
        <v/>
      </c>
    </row>
    <row r="1357">
      <c r="A1357">
        <f>IF(Квартиры!A1355="","",Квартиры!A1355)</f>
        <v/>
      </c>
      <c r="B1357">
        <f>IF(Квартиры!B1355="","",Квартиры!B1355)</f>
        <v/>
      </c>
      <c r="C1357">
        <f>IF(Квартиры!C1355="","",Квартиры!C1355)</f>
        <v/>
      </c>
      <c r="D1357">
        <f>IF(Квартиры!D1355="","",Квартиры!D1355)</f>
        <v/>
      </c>
      <c r="E1357">
        <f>IF(Квартиры!G1355="","",Квартиры!G1355)</f>
        <v/>
      </c>
      <c r="F1357">
        <f>IF(Квартиры!E1355="","",Квартиры!E1355)</f>
        <v/>
      </c>
      <c r="G1357">
        <f>IF(Квартиры!F1355="","",Квартиры!F1355)</f>
        <v/>
      </c>
      <c r="H1357">
        <f>IF(Квартиры!H1355="","",Квартиры!H1355)</f>
        <v/>
      </c>
      <c r="I1357">
        <f>IF(Квартиры!I1355="","",Квартиры!I1355)</f>
        <v/>
      </c>
      <c r="J1357">
        <f>IF(Квартиры!J1355="","",Квартиры!J1355)</f>
        <v/>
      </c>
    </row>
    <row r="1358">
      <c r="A1358">
        <f>IF(Квартиры!A1356="","",Квартиры!A1356)</f>
        <v/>
      </c>
      <c r="B1358">
        <f>IF(Квартиры!B1356="","",Квартиры!B1356)</f>
        <v/>
      </c>
      <c r="C1358">
        <f>IF(Квартиры!C1356="","",Квартиры!C1356)</f>
        <v/>
      </c>
      <c r="D1358">
        <f>IF(Квартиры!D1356="","",Квартиры!D1356)</f>
        <v/>
      </c>
      <c r="E1358">
        <f>IF(Квартиры!G1356="","",Квартиры!G1356)</f>
        <v/>
      </c>
      <c r="F1358">
        <f>IF(Квартиры!E1356="","",Квартиры!E1356)</f>
        <v/>
      </c>
      <c r="G1358">
        <f>IF(Квартиры!F1356="","",Квартиры!F1356)</f>
        <v/>
      </c>
      <c r="H1358">
        <f>IF(Квартиры!H1356="","",Квартиры!H1356)</f>
        <v/>
      </c>
      <c r="I1358">
        <f>IF(Квартиры!I1356="","",Квартиры!I1356)</f>
        <v/>
      </c>
      <c r="J1358">
        <f>IF(Квартиры!J1356="","",Квартиры!J1356)</f>
        <v/>
      </c>
    </row>
    <row r="1359">
      <c r="A1359">
        <f>IF(Квартиры!A1357="","",Квартиры!A1357)</f>
        <v/>
      </c>
      <c r="B1359">
        <f>IF(Квартиры!B1357="","",Квартиры!B1357)</f>
        <v/>
      </c>
      <c r="C1359">
        <f>IF(Квартиры!C1357="","",Квартиры!C1357)</f>
        <v/>
      </c>
      <c r="D1359">
        <f>IF(Квартиры!D1357="","",Квартиры!D1357)</f>
        <v/>
      </c>
      <c r="E1359">
        <f>IF(Квартиры!G1357="","",Квартиры!G1357)</f>
        <v/>
      </c>
      <c r="F1359">
        <f>IF(Квартиры!E1357="","",Квартиры!E1357)</f>
        <v/>
      </c>
      <c r="G1359">
        <f>IF(Квартиры!F1357="","",Квартиры!F1357)</f>
        <v/>
      </c>
      <c r="H1359">
        <f>IF(Квартиры!H1357="","",Квартиры!H1357)</f>
        <v/>
      </c>
      <c r="I1359">
        <f>IF(Квартиры!I1357="","",Квартиры!I1357)</f>
        <v/>
      </c>
      <c r="J1359">
        <f>IF(Квартиры!J1357="","",Квартиры!J1357)</f>
        <v/>
      </c>
    </row>
    <row r="1360">
      <c r="A1360">
        <f>IF(Квартиры!A1358="","",Квартиры!A1358)</f>
        <v/>
      </c>
      <c r="B1360">
        <f>IF(Квартиры!B1358="","",Квартиры!B1358)</f>
        <v/>
      </c>
      <c r="C1360">
        <f>IF(Квартиры!C1358="","",Квартиры!C1358)</f>
        <v/>
      </c>
      <c r="D1360">
        <f>IF(Квартиры!D1358="","",Квартиры!D1358)</f>
        <v/>
      </c>
      <c r="E1360">
        <f>IF(Квартиры!G1358="","",Квартиры!G1358)</f>
        <v/>
      </c>
      <c r="F1360">
        <f>IF(Квартиры!E1358="","",Квартиры!E1358)</f>
        <v/>
      </c>
      <c r="G1360">
        <f>IF(Квартиры!F1358="","",Квартиры!F1358)</f>
        <v/>
      </c>
      <c r="H1360">
        <f>IF(Квартиры!H1358="","",Квартиры!H1358)</f>
        <v/>
      </c>
      <c r="I1360">
        <f>IF(Квартиры!I1358="","",Квартиры!I1358)</f>
        <v/>
      </c>
      <c r="J1360">
        <f>IF(Квартиры!J1358="","",Квартиры!J1358)</f>
        <v/>
      </c>
    </row>
    <row r="1361">
      <c r="A1361">
        <f>IF(Квартиры!A1359="","",Квартиры!A1359)</f>
        <v/>
      </c>
      <c r="B1361">
        <f>IF(Квартиры!B1359="","",Квартиры!B1359)</f>
        <v/>
      </c>
      <c r="C1361">
        <f>IF(Квартиры!C1359="","",Квартиры!C1359)</f>
        <v/>
      </c>
      <c r="D1361">
        <f>IF(Квартиры!D1359="","",Квартиры!D1359)</f>
        <v/>
      </c>
      <c r="E1361">
        <f>IF(Квартиры!G1359="","",Квартиры!G1359)</f>
        <v/>
      </c>
      <c r="F1361">
        <f>IF(Квартиры!E1359="","",Квартиры!E1359)</f>
        <v/>
      </c>
      <c r="G1361">
        <f>IF(Квартиры!F1359="","",Квартиры!F1359)</f>
        <v/>
      </c>
      <c r="H1361">
        <f>IF(Квартиры!H1359="","",Квартиры!H1359)</f>
        <v/>
      </c>
      <c r="I1361">
        <f>IF(Квартиры!I1359="","",Квартиры!I1359)</f>
        <v/>
      </c>
      <c r="J1361">
        <f>IF(Квартиры!J1359="","",Квартиры!J1359)</f>
        <v/>
      </c>
    </row>
    <row r="1362">
      <c r="A1362">
        <f>IF(Квартиры!A1360="","",Квартиры!A1360)</f>
        <v/>
      </c>
      <c r="B1362">
        <f>IF(Квартиры!B1360="","",Квартиры!B1360)</f>
        <v/>
      </c>
      <c r="C1362">
        <f>IF(Квартиры!C1360="","",Квартиры!C1360)</f>
        <v/>
      </c>
      <c r="D1362">
        <f>IF(Квартиры!D1360="","",Квартиры!D1360)</f>
        <v/>
      </c>
      <c r="E1362">
        <f>IF(Квартиры!G1360="","",Квартиры!G1360)</f>
        <v/>
      </c>
      <c r="F1362">
        <f>IF(Квартиры!E1360="","",Квартиры!E1360)</f>
        <v/>
      </c>
      <c r="G1362">
        <f>IF(Квартиры!F1360="","",Квартиры!F1360)</f>
        <v/>
      </c>
      <c r="H1362">
        <f>IF(Квартиры!H1360="","",Квартиры!H1360)</f>
        <v/>
      </c>
      <c r="I1362">
        <f>IF(Квартиры!I1360="","",Квартиры!I1360)</f>
        <v/>
      </c>
      <c r="J1362">
        <f>IF(Квартиры!J1360="","",Квартиры!J1360)</f>
        <v/>
      </c>
    </row>
    <row r="1363">
      <c r="A1363">
        <f>IF(Квартиры!A1361="","",Квартиры!A1361)</f>
        <v/>
      </c>
      <c r="B1363">
        <f>IF(Квартиры!B1361="","",Квартиры!B1361)</f>
        <v/>
      </c>
      <c r="C1363">
        <f>IF(Квартиры!C1361="","",Квартиры!C1361)</f>
        <v/>
      </c>
      <c r="D1363">
        <f>IF(Квартиры!D1361="","",Квартиры!D1361)</f>
        <v/>
      </c>
      <c r="E1363">
        <f>IF(Квартиры!G1361="","",Квартиры!G1361)</f>
        <v/>
      </c>
      <c r="F1363">
        <f>IF(Квартиры!E1361="","",Квартиры!E1361)</f>
        <v/>
      </c>
      <c r="G1363">
        <f>IF(Квартиры!F1361="","",Квартиры!F1361)</f>
        <v/>
      </c>
      <c r="H1363">
        <f>IF(Квартиры!H1361="","",Квартиры!H1361)</f>
        <v/>
      </c>
      <c r="I1363">
        <f>IF(Квартиры!I1361="","",Квартиры!I1361)</f>
        <v/>
      </c>
      <c r="J1363">
        <f>IF(Квартиры!J1361="","",Квартиры!J1361)</f>
        <v/>
      </c>
    </row>
    <row r="1364">
      <c r="A1364">
        <f>IF(Квартиры!A1362="","",Квартиры!A1362)</f>
        <v/>
      </c>
      <c r="B1364">
        <f>IF(Квартиры!B1362="","",Квартиры!B1362)</f>
        <v/>
      </c>
      <c r="C1364">
        <f>IF(Квартиры!C1362="","",Квартиры!C1362)</f>
        <v/>
      </c>
      <c r="D1364">
        <f>IF(Квартиры!D1362="","",Квартиры!D1362)</f>
        <v/>
      </c>
      <c r="E1364">
        <f>IF(Квартиры!G1362="","",Квартиры!G1362)</f>
        <v/>
      </c>
      <c r="F1364">
        <f>IF(Квартиры!E1362="","",Квартиры!E1362)</f>
        <v/>
      </c>
      <c r="G1364">
        <f>IF(Квартиры!F1362="","",Квартиры!F1362)</f>
        <v/>
      </c>
      <c r="H1364">
        <f>IF(Квартиры!H1362="","",Квартиры!H1362)</f>
        <v/>
      </c>
      <c r="I1364">
        <f>IF(Квартиры!I1362="","",Квартиры!I1362)</f>
        <v/>
      </c>
      <c r="J1364">
        <f>IF(Квартиры!J1362="","",Квартиры!J1362)</f>
        <v/>
      </c>
    </row>
    <row r="1365">
      <c r="A1365">
        <f>IF(Квартиры!A1363="","",Квартиры!A1363)</f>
        <v/>
      </c>
      <c r="B1365">
        <f>IF(Квартиры!B1363="","",Квартиры!B1363)</f>
        <v/>
      </c>
      <c r="C1365">
        <f>IF(Квартиры!C1363="","",Квартиры!C1363)</f>
        <v/>
      </c>
      <c r="D1365">
        <f>IF(Квартиры!D1363="","",Квартиры!D1363)</f>
        <v/>
      </c>
      <c r="E1365">
        <f>IF(Квартиры!G1363="","",Квартиры!G1363)</f>
        <v/>
      </c>
      <c r="F1365">
        <f>IF(Квартиры!E1363="","",Квартиры!E1363)</f>
        <v/>
      </c>
      <c r="G1365">
        <f>IF(Квартиры!F1363="","",Квартиры!F1363)</f>
        <v/>
      </c>
      <c r="H1365">
        <f>IF(Квартиры!H1363="","",Квартиры!H1363)</f>
        <v/>
      </c>
      <c r="I1365">
        <f>IF(Квартиры!I1363="","",Квартиры!I1363)</f>
        <v/>
      </c>
      <c r="J1365">
        <f>IF(Квартиры!J1363="","",Квартиры!J1363)</f>
        <v/>
      </c>
    </row>
    <row r="1366">
      <c r="A1366">
        <f>IF(Квартиры!A1364="","",Квартиры!A1364)</f>
        <v/>
      </c>
      <c r="B1366">
        <f>IF(Квартиры!B1364="","",Квартиры!B1364)</f>
        <v/>
      </c>
      <c r="C1366">
        <f>IF(Квартиры!C1364="","",Квартиры!C1364)</f>
        <v/>
      </c>
      <c r="D1366">
        <f>IF(Квартиры!D1364="","",Квартиры!D1364)</f>
        <v/>
      </c>
      <c r="E1366">
        <f>IF(Квартиры!G1364="","",Квартиры!G1364)</f>
        <v/>
      </c>
      <c r="F1366">
        <f>IF(Квартиры!E1364="","",Квартиры!E1364)</f>
        <v/>
      </c>
      <c r="G1366">
        <f>IF(Квартиры!F1364="","",Квартиры!F1364)</f>
        <v/>
      </c>
      <c r="H1366">
        <f>IF(Квартиры!H1364="","",Квартиры!H1364)</f>
        <v/>
      </c>
      <c r="I1366">
        <f>IF(Квартиры!I1364="","",Квартиры!I1364)</f>
        <v/>
      </c>
      <c r="J1366">
        <f>IF(Квартиры!J1364="","",Квартиры!J1364)</f>
        <v/>
      </c>
    </row>
    <row r="1367">
      <c r="A1367">
        <f>IF(Квартиры!A1365="","",Квартиры!A1365)</f>
        <v/>
      </c>
      <c r="B1367">
        <f>IF(Квартиры!B1365="","",Квартиры!B1365)</f>
        <v/>
      </c>
      <c r="C1367">
        <f>IF(Квартиры!C1365="","",Квартиры!C1365)</f>
        <v/>
      </c>
      <c r="D1367">
        <f>IF(Квартиры!D1365="","",Квартиры!D1365)</f>
        <v/>
      </c>
      <c r="E1367">
        <f>IF(Квартиры!G1365="","",Квартиры!G1365)</f>
        <v/>
      </c>
      <c r="F1367">
        <f>IF(Квартиры!E1365="","",Квартиры!E1365)</f>
        <v/>
      </c>
      <c r="G1367">
        <f>IF(Квартиры!F1365="","",Квартиры!F1365)</f>
        <v/>
      </c>
      <c r="H1367">
        <f>IF(Квартиры!H1365="","",Квартиры!H1365)</f>
        <v/>
      </c>
      <c r="I1367">
        <f>IF(Квартиры!I1365="","",Квартиры!I1365)</f>
        <v/>
      </c>
      <c r="J1367">
        <f>IF(Квартиры!J1365="","",Квартиры!J1365)</f>
        <v/>
      </c>
    </row>
    <row r="1368">
      <c r="A1368">
        <f>IF(Квартиры!A1366="","",Квартиры!A1366)</f>
        <v/>
      </c>
      <c r="B1368">
        <f>IF(Квартиры!B1366="","",Квартиры!B1366)</f>
        <v/>
      </c>
      <c r="C1368">
        <f>IF(Квартиры!C1366="","",Квартиры!C1366)</f>
        <v/>
      </c>
      <c r="D1368">
        <f>IF(Квартиры!D1366="","",Квартиры!D1366)</f>
        <v/>
      </c>
      <c r="E1368">
        <f>IF(Квартиры!G1366="","",Квартиры!G1366)</f>
        <v/>
      </c>
      <c r="F1368">
        <f>IF(Квартиры!E1366="","",Квартиры!E1366)</f>
        <v/>
      </c>
      <c r="G1368">
        <f>IF(Квартиры!F1366="","",Квартиры!F1366)</f>
        <v/>
      </c>
      <c r="H1368">
        <f>IF(Квартиры!H1366="","",Квартиры!H1366)</f>
        <v/>
      </c>
      <c r="I1368">
        <f>IF(Квартиры!I1366="","",Квартиры!I1366)</f>
        <v/>
      </c>
      <c r="J1368">
        <f>IF(Квартиры!J1366="","",Квартиры!J1366)</f>
        <v/>
      </c>
    </row>
    <row r="1369">
      <c r="A1369">
        <f>IF(Квартиры!A1367="","",Квартиры!A1367)</f>
        <v/>
      </c>
      <c r="B1369">
        <f>IF(Квартиры!B1367="","",Квартиры!B1367)</f>
        <v/>
      </c>
      <c r="C1369">
        <f>IF(Квартиры!C1367="","",Квартиры!C1367)</f>
        <v/>
      </c>
      <c r="D1369">
        <f>IF(Квартиры!D1367="","",Квартиры!D1367)</f>
        <v/>
      </c>
      <c r="E1369">
        <f>IF(Квартиры!G1367="","",Квартиры!G1367)</f>
        <v/>
      </c>
      <c r="F1369">
        <f>IF(Квартиры!E1367="","",Квартиры!E1367)</f>
        <v/>
      </c>
      <c r="G1369">
        <f>IF(Квартиры!F1367="","",Квартиры!F1367)</f>
        <v/>
      </c>
      <c r="H1369">
        <f>IF(Квартиры!H1367="","",Квартиры!H1367)</f>
        <v/>
      </c>
      <c r="I1369">
        <f>IF(Квартиры!I1367="","",Квартиры!I1367)</f>
        <v/>
      </c>
      <c r="J1369">
        <f>IF(Квартиры!J1367="","",Квартиры!J1367)</f>
        <v/>
      </c>
    </row>
    <row r="1370">
      <c r="A1370">
        <f>IF(Квартиры!A1368="","",Квартиры!A1368)</f>
        <v/>
      </c>
      <c r="B1370">
        <f>IF(Квартиры!B1368="","",Квартиры!B1368)</f>
        <v/>
      </c>
      <c r="C1370">
        <f>IF(Квартиры!C1368="","",Квартиры!C1368)</f>
        <v/>
      </c>
      <c r="D1370">
        <f>IF(Квартиры!D1368="","",Квартиры!D1368)</f>
        <v/>
      </c>
      <c r="E1370">
        <f>IF(Квартиры!G1368="","",Квартиры!G1368)</f>
        <v/>
      </c>
      <c r="F1370">
        <f>IF(Квартиры!E1368="","",Квартиры!E1368)</f>
        <v/>
      </c>
      <c r="G1370">
        <f>IF(Квартиры!F1368="","",Квартиры!F1368)</f>
        <v/>
      </c>
      <c r="H1370">
        <f>IF(Квартиры!H1368="","",Квартиры!H1368)</f>
        <v/>
      </c>
      <c r="I1370">
        <f>IF(Квартиры!I1368="","",Квартиры!I1368)</f>
        <v/>
      </c>
      <c r="J1370">
        <f>IF(Квартиры!J1368="","",Квартиры!J1368)</f>
        <v/>
      </c>
    </row>
    <row r="1371">
      <c r="A1371">
        <f>IF(Квартиры!A1369="","",Квартиры!A1369)</f>
        <v/>
      </c>
      <c r="B1371">
        <f>IF(Квартиры!B1369="","",Квартиры!B1369)</f>
        <v/>
      </c>
      <c r="C1371">
        <f>IF(Квартиры!C1369="","",Квартиры!C1369)</f>
        <v/>
      </c>
      <c r="D1371">
        <f>IF(Квартиры!D1369="","",Квартиры!D1369)</f>
        <v/>
      </c>
      <c r="E1371">
        <f>IF(Квартиры!G1369="","",Квартиры!G1369)</f>
        <v/>
      </c>
      <c r="F1371">
        <f>IF(Квартиры!E1369="","",Квартиры!E1369)</f>
        <v/>
      </c>
      <c r="G1371">
        <f>IF(Квартиры!F1369="","",Квартиры!F1369)</f>
        <v/>
      </c>
      <c r="H1371">
        <f>IF(Квартиры!H1369="","",Квартиры!H1369)</f>
        <v/>
      </c>
      <c r="I1371">
        <f>IF(Квартиры!I1369="","",Квартиры!I1369)</f>
        <v/>
      </c>
      <c r="J1371">
        <f>IF(Квартиры!J1369="","",Квартиры!J1369)</f>
        <v/>
      </c>
    </row>
    <row r="1372">
      <c r="A1372">
        <f>IF(Квартиры!A1370="","",Квартиры!A1370)</f>
        <v/>
      </c>
      <c r="B1372">
        <f>IF(Квартиры!B1370="","",Квартиры!B1370)</f>
        <v/>
      </c>
      <c r="C1372">
        <f>IF(Квартиры!C1370="","",Квартиры!C1370)</f>
        <v/>
      </c>
      <c r="D1372">
        <f>IF(Квартиры!D1370="","",Квартиры!D1370)</f>
        <v/>
      </c>
      <c r="E1372">
        <f>IF(Квартиры!G1370="","",Квартиры!G1370)</f>
        <v/>
      </c>
      <c r="F1372">
        <f>IF(Квартиры!E1370="","",Квартиры!E1370)</f>
        <v/>
      </c>
      <c r="G1372">
        <f>IF(Квартиры!F1370="","",Квартиры!F1370)</f>
        <v/>
      </c>
      <c r="H1372">
        <f>IF(Квартиры!H1370="","",Квартиры!H1370)</f>
        <v/>
      </c>
      <c r="I1372">
        <f>IF(Квартиры!I1370="","",Квартиры!I1370)</f>
        <v/>
      </c>
      <c r="J1372">
        <f>IF(Квартиры!J1370="","",Квартиры!J1370)</f>
        <v/>
      </c>
    </row>
    <row r="1373">
      <c r="A1373">
        <f>IF(Квартиры!A1371="","",Квартиры!A1371)</f>
        <v/>
      </c>
      <c r="B1373">
        <f>IF(Квартиры!B1371="","",Квартиры!B1371)</f>
        <v/>
      </c>
      <c r="C1373">
        <f>IF(Квартиры!C1371="","",Квартиры!C1371)</f>
        <v/>
      </c>
      <c r="D1373">
        <f>IF(Квартиры!D1371="","",Квартиры!D1371)</f>
        <v/>
      </c>
      <c r="E1373">
        <f>IF(Квартиры!G1371="","",Квартиры!G1371)</f>
        <v/>
      </c>
      <c r="F1373">
        <f>IF(Квартиры!E1371="","",Квартиры!E1371)</f>
        <v/>
      </c>
      <c r="G1373">
        <f>IF(Квартиры!F1371="","",Квартиры!F1371)</f>
        <v/>
      </c>
      <c r="H1373">
        <f>IF(Квартиры!H1371="","",Квартиры!H1371)</f>
        <v/>
      </c>
      <c r="I1373">
        <f>IF(Квартиры!I1371="","",Квартиры!I1371)</f>
        <v/>
      </c>
      <c r="J1373">
        <f>IF(Квартиры!J1371="","",Квартиры!J1371)</f>
        <v/>
      </c>
    </row>
    <row r="1374">
      <c r="A1374">
        <f>IF(Квартиры!A1372="","",Квартиры!A1372)</f>
        <v/>
      </c>
      <c r="B1374">
        <f>IF(Квартиры!B1372="","",Квартиры!B1372)</f>
        <v/>
      </c>
      <c r="C1374">
        <f>IF(Квартиры!C1372="","",Квартиры!C1372)</f>
        <v/>
      </c>
      <c r="D1374">
        <f>IF(Квартиры!D1372="","",Квартиры!D1372)</f>
        <v/>
      </c>
      <c r="E1374">
        <f>IF(Квартиры!G1372="","",Квартиры!G1372)</f>
        <v/>
      </c>
      <c r="F1374">
        <f>IF(Квартиры!E1372="","",Квартиры!E1372)</f>
        <v/>
      </c>
      <c r="G1374">
        <f>IF(Квартиры!F1372="","",Квартиры!F1372)</f>
        <v/>
      </c>
      <c r="H1374">
        <f>IF(Квартиры!H1372="","",Квартиры!H1372)</f>
        <v/>
      </c>
      <c r="I1374">
        <f>IF(Квартиры!I1372="","",Квартиры!I1372)</f>
        <v/>
      </c>
      <c r="J1374">
        <f>IF(Квартиры!J1372="","",Квартиры!J1372)</f>
        <v/>
      </c>
    </row>
    <row r="1375">
      <c r="A1375">
        <f>IF(Квартиры!A1373="","",Квартиры!A1373)</f>
        <v/>
      </c>
      <c r="B1375">
        <f>IF(Квартиры!B1373="","",Квартиры!B1373)</f>
        <v/>
      </c>
      <c r="C1375">
        <f>IF(Квартиры!C1373="","",Квартиры!C1373)</f>
        <v/>
      </c>
      <c r="D1375">
        <f>IF(Квартиры!D1373="","",Квартиры!D1373)</f>
        <v/>
      </c>
      <c r="E1375">
        <f>IF(Квартиры!G1373="","",Квартиры!G1373)</f>
        <v/>
      </c>
      <c r="F1375">
        <f>IF(Квартиры!E1373="","",Квартиры!E1373)</f>
        <v/>
      </c>
      <c r="G1375">
        <f>IF(Квартиры!F1373="","",Квартиры!F1373)</f>
        <v/>
      </c>
      <c r="H1375">
        <f>IF(Квартиры!H1373="","",Квартиры!H1373)</f>
        <v/>
      </c>
      <c r="I1375">
        <f>IF(Квартиры!I1373="","",Квартиры!I1373)</f>
        <v/>
      </c>
      <c r="J1375">
        <f>IF(Квартиры!J1373="","",Квартиры!J1373)</f>
        <v/>
      </c>
    </row>
    <row r="1376">
      <c r="A1376">
        <f>IF(Квартиры!A1374="","",Квартиры!A1374)</f>
        <v/>
      </c>
      <c r="B1376">
        <f>IF(Квартиры!B1374="","",Квартиры!B1374)</f>
        <v/>
      </c>
      <c r="C1376">
        <f>IF(Квартиры!C1374="","",Квартиры!C1374)</f>
        <v/>
      </c>
      <c r="D1376">
        <f>IF(Квартиры!D1374="","",Квартиры!D1374)</f>
        <v/>
      </c>
      <c r="E1376">
        <f>IF(Квартиры!G1374="","",Квартиры!G1374)</f>
        <v/>
      </c>
      <c r="F1376">
        <f>IF(Квартиры!E1374="","",Квартиры!E1374)</f>
        <v/>
      </c>
      <c r="G1376">
        <f>IF(Квартиры!F1374="","",Квартиры!F1374)</f>
        <v/>
      </c>
      <c r="H1376">
        <f>IF(Квартиры!H1374="","",Квартиры!H1374)</f>
        <v/>
      </c>
      <c r="I1376">
        <f>IF(Квартиры!I1374="","",Квартиры!I1374)</f>
        <v/>
      </c>
      <c r="J1376">
        <f>IF(Квартиры!J1374="","",Квартиры!J1374)</f>
        <v/>
      </c>
    </row>
    <row r="1377">
      <c r="A1377">
        <f>IF(Квартиры!A1375="","",Квартиры!A1375)</f>
        <v/>
      </c>
      <c r="B1377">
        <f>IF(Квартиры!B1375="","",Квартиры!B1375)</f>
        <v/>
      </c>
      <c r="C1377">
        <f>IF(Квартиры!C1375="","",Квартиры!C1375)</f>
        <v/>
      </c>
      <c r="D1377">
        <f>IF(Квартиры!D1375="","",Квартиры!D1375)</f>
        <v/>
      </c>
      <c r="E1377">
        <f>IF(Квартиры!G1375="","",Квартиры!G1375)</f>
        <v/>
      </c>
      <c r="F1377">
        <f>IF(Квартиры!E1375="","",Квартиры!E1375)</f>
        <v/>
      </c>
      <c r="G1377">
        <f>IF(Квартиры!F1375="","",Квартиры!F1375)</f>
        <v/>
      </c>
      <c r="H1377">
        <f>IF(Квартиры!H1375="","",Квартиры!H1375)</f>
        <v/>
      </c>
      <c r="I1377">
        <f>IF(Квартиры!I1375="","",Квартиры!I1375)</f>
        <v/>
      </c>
      <c r="J1377">
        <f>IF(Квартиры!J1375="","",Квартиры!J1375)</f>
        <v/>
      </c>
    </row>
    <row r="1378">
      <c r="A1378">
        <f>IF(Квартиры!A1376="","",Квартиры!A1376)</f>
        <v/>
      </c>
      <c r="B1378">
        <f>IF(Квартиры!B1376="","",Квартиры!B1376)</f>
        <v/>
      </c>
      <c r="C1378">
        <f>IF(Квартиры!C1376="","",Квартиры!C1376)</f>
        <v/>
      </c>
      <c r="D1378">
        <f>IF(Квартиры!D1376="","",Квартиры!D1376)</f>
        <v/>
      </c>
      <c r="E1378">
        <f>IF(Квартиры!G1376="","",Квартиры!G1376)</f>
        <v/>
      </c>
      <c r="F1378">
        <f>IF(Квартиры!E1376="","",Квартиры!E1376)</f>
        <v/>
      </c>
      <c r="G1378">
        <f>IF(Квартиры!F1376="","",Квартиры!F1376)</f>
        <v/>
      </c>
      <c r="H1378">
        <f>IF(Квартиры!H1376="","",Квартиры!H1376)</f>
        <v/>
      </c>
      <c r="I1378">
        <f>IF(Квартиры!I1376="","",Квартиры!I1376)</f>
        <v/>
      </c>
      <c r="J1378">
        <f>IF(Квартиры!J1376="","",Квартиры!J1376)</f>
        <v/>
      </c>
    </row>
    <row r="1379">
      <c r="A1379">
        <f>IF(Квартиры!A1377="","",Квартиры!A1377)</f>
        <v/>
      </c>
      <c r="B1379">
        <f>IF(Квартиры!B1377="","",Квартиры!B1377)</f>
        <v/>
      </c>
      <c r="C1379">
        <f>IF(Квартиры!C1377="","",Квартиры!C1377)</f>
        <v/>
      </c>
      <c r="D1379">
        <f>IF(Квартиры!D1377="","",Квартиры!D1377)</f>
        <v/>
      </c>
      <c r="E1379">
        <f>IF(Квартиры!G1377="","",Квартиры!G1377)</f>
        <v/>
      </c>
      <c r="F1379">
        <f>IF(Квартиры!E1377="","",Квартиры!E1377)</f>
        <v/>
      </c>
      <c r="G1379">
        <f>IF(Квартиры!F1377="","",Квартиры!F1377)</f>
        <v/>
      </c>
      <c r="H1379">
        <f>IF(Квартиры!H1377="","",Квартиры!H1377)</f>
        <v/>
      </c>
      <c r="I1379">
        <f>IF(Квартиры!I1377="","",Квартиры!I1377)</f>
        <v/>
      </c>
      <c r="J1379">
        <f>IF(Квартиры!J1377="","",Квартиры!J1377)</f>
        <v/>
      </c>
    </row>
    <row r="1380">
      <c r="A1380">
        <f>IF(Квартиры!A1378="","",Квартиры!A1378)</f>
        <v/>
      </c>
      <c r="B1380">
        <f>IF(Квартиры!B1378="","",Квартиры!B1378)</f>
        <v/>
      </c>
      <c r="C1380">
        <f>IF(Квартиры!C1378="","",Квартиры!C1378)</f>
        <v/>
      </c>
      <c r="D1380">
        <f>IF(Квартиры!D1378="","",Квартиры!D1378)</f>
        <v/>
      </c>
      <c r="E1380">
        <f>IF(Квартиры!G1378="","",Квартиры!G1378)</f>
        <v/>
      </c>
      <c r="F1380">
        <f>IF(Квартиры!E1378="","",Квартиры!E1378)</f>
        <v/>
      </c>
      <c r="G1380">
        <f>IF(Квартиры!F1378="","",Квартиры!F1378)</f>
        <v/>
      </c>
      <c r="H1380">
        <f>IF(Квартиры!H1378="","",Квартиры!H1378)</f>
        <v/>
      </c>
      <c r="I1380">
        <f>IF(Квартиры!I1378="","",Квартиры!I1378)</f>
        <v/>
      </c>
      <c r="J1380">
        <f>IF(Квартиры!J1378="","",Квартиры!J1378)</f>
        <v/>
      </c>
    </row>
    <row r="1381">
      <c r="A1381">
        <f>IF(Квартиры!A1379="","",Квартиры!A1379)</f>
        <v/>
      </c>
      <c r="B1381">
        <f>IF(Квартиры!B1379="","",Квартиры!B1379)</f>
        <v/>
      </c>
      <c r="C1381">
        <f>IF(Квартиры!C1379="","",Квартиры!C1379)</f>
        <v/>
      </c>
      <c r="D1381">
        <f>IF(Квартиры!D1379="","",Квартиры!D1379)</f>
        <v/>
      </c>
      <c r="E1381">
        <f>IF(Квартиры!G1379="","",Квартиры!G1379)</f>
        <v/>
      </c>
      <c r="F1381">
        <f>IF(Квартиры!E1379="","",Квартиры!E1379)</f>
        <v/>
      </c>
      <c r="G1381">
        <f>IF(Квартиры!F1379="","",Квартиры!F1379)</f>
        <v/>
      </c>
      <c r="H1381">
        <f>IF(Квартиры!H1379="","",Квартиры!H1379)</f>
        <v/>
      </c>
      <c r="I1381">
        <f>IF(Квартиры!I1379="","",Квартиры!I1379)</f>
        <v/>
      </c>
      <c r="J1381">
        <f>IF(Квартиры!J1379="","",Квартиры!J1379)</f>
        <v/>
      </c>
    </row>
    <row r="1382">
      <c r="A1382">
        <f>IF(Квартиры!A1380="","",Квартиры!A1380)</f>
        <v/>
      </c>
      <c r="B1382">
        <f>IF(Квартиры!B1380="","",Квартиры!B1380)</f>
        <v/>
      </c>
      <c r="C1382">
        <f>IF(Квартиры!C1380="","",Квартиры!C1380)</f>
        <v/>
      </c>
      <c r="D1382">
        <f>IF(Квартиры!D1380="","",Квартиры!D1380)</f>
        <v/>
      </c>
      <c r="E1382">
        <f>IF(Квартиры!G1380="","",Квартиры!G1380)</f>
        <v/>
      </c>
      <c r="F1382">
        <f>IF(Квартиры!E1380="","",Квартиры!E1380)</f>
        <v/>
      </c>
      <c r="G1382">
        <f>IF(Квартиры!F1380="","",Квартиры!F1380)</f>
        <v/>
      </c>
      <c r="H1382">
        <f>IF(Квартиры!H1380="","",Квартиры!H1380)</f>
        <v/>
      </c>
      <c r="I1382">
        <f>IF(Квартиры!I1380="","",Квартиры!I1380)</f>
        <v/>
      </c>
      <c r="J1382">
        <f>IF(Квартиры!J1380="","",Квартиры!J1380)</f>
        <v/>
      </c>
    </row>
    <row r="1383">
      <c r="A1383">
        <f>IF(Квартиры!A1381="","",Квартиры!A1381)</f>
        <v/>
      </c>
      <c r="B1383">
        <f>IF(Квартиры!B1381="","",Квартиры!B1381)</f>
        <v/>
      </c>
      <c r="C1383">
        <f>IF(Квартиры!C1381="","",Квартиры!C1381)</f>
        <v/>
      </c>
      <c r="D1383">
        <f>IF(Квартиры!D1381="","",Квартиры!D1381)</f>
        <v/>
      </c>
      <c r="E1383">
        <f>IF(Квартиры!G1381="","",Квартиры!G1381)</f>
        <v/>
      </c>
      <c r="F1383">
        <f>IF(Квартиры!E1381="","",Квартиры!E1381)</f>
        <v/>
      </c>
      <c r="G1383">
        <f>IF(Квартиры!F1381="","",Квартиры!F1381)</f>
        <v/>
      </c>
      <c r="H1383">
        <f>IF(Квартиры!H1381="","",Квартиры!H1381)</f>
        <v/>
      </c>
      <c r="I1383">
        <f>IF(Квартиры!I1381="","",Квартиры!I1381)</f>
        <v/>
      </c>
      <c r="J1383">
        <f>IF(Квартиры!J1381="","",Квартиры!J1381)</f>
        <v/>
      </c>
    </row>
    <row r="1384">
      <c r="A1384">
        <f>IF(Квартиры!A1382="","",Квартиры!A1382)</f>
        <v/>
      </c>
      <c r="B1384">
        <f>IF(Квартиры!B1382="","",Квартиры!B1382)</f>
        <v/>
      </c>
      <c r="C1384">
        <f>IF(Квартиры!C1382="","",Квартиры!C1382)</f>
        <v/>
      </c>
      <c r="D1384">
        <f>IF(Квартиры!D1382="","",Квартиры!D1382)</f>
        <v/>
      </c>
      <c r="E1384">
        <f>IF(Квартиры!G1382="","",Квартиры!G1382)</f>
        <v/>
      </c>
      <c r="F1384">
        <f>IF(Квартиры!E1382="","",Квартиры!E1382)</f>
        <v/>
      </c>
      <c r="G1384">
        <f>IF(Квартиры!F1382="","",Квартиры!F1382)</f>
        <v/>
      </c>
      <c r="H1384">
        <f>IF(Квартиры!H1382="","",Квартиры!H1382)</f>
        <v/>
      </c>
      <c r="I1384">
        <f>IF(Квартиры!I1382="","",Квартиры!I1382)</f>
        <v/>
      </c>
      <c r="J1384">
        <f>IF(Квартиры!J1382="","",Квартиры!J1382)</f>
        <v/>
      </c>
    </row>
    <row r="1385">
      <c r="A1385">
        <f>IF(Квартиры!A1383="","",Квартиры!A1383)</f>
        <v/>
      </c>
      <c r="B1385">
        <f>IF(Квартиры!B1383="","",Квартиры!B1383)</f>
        <v/>
      </c>
      <c r="C1385">
        <f>IF(Квартиры!C1383="","",Квартиры!C1383)</f>
        <v/>
      </c>
      <c r="D1385">
        <f>IF(Квартиры!D1383="","",Квартиры!D1383)</f>
        <v/>
      </c>
      <c r="E1385">
        <f>IF(Квартиры!G1383="","",Квартиры!G1383)</f>
        <v/>
      </c>
      <c r="F1385">
        <f>IF(Квартиры!E1383="","",Квартиры!E1383)</f>
        <v/>
      </c>
      <c r="G1385">
        <f>IF(Квартиры!F1383="","",Квартиры!F1383)</f>
        <v/>
      </c>
      <c r="H1385">
        <f>IF(Квартиры!H1383="","",Квартиры!H1383)</f>
        <v/>
      </c>
      <c r="I1385">
        <f>IF(Квартиры!I1383="","",Квартиры!I1383)</f>
        <v/>
      </c>
      <c r="J1385">
        <f>IF(Квартиры!J1383="","",Квартиры!J1383)</f>
        <v/>
      </c>
    </row>
    <row r="1386">
      <c r="A1386">
        <f>IF(Квартиры!A1384="","",Квартиры!A1384)</f>
        <v/>
      </c>
      <c r="B1386">
        <f>IF(Квартиры!B1384="","",Квартиры!B1384)</f>
        <v/>
      </c>
      <c r="C1386">
        <f>IF(Квартиры!C1384="","",Квартиры!C1384)</f>
        <v/>
      </c>
      <c r="D1386">
        <f>IF(Квартиры!D1384="","",Квартиры!D1384)</f>
        <v/>
      </c>
      <c r="E1386">
        <f>IF(Квартиры!G1384="","",Квартиры!G1384)</f>
        <v/>
      </c>
      <c r="F1386">
        <f>IF(Квартиры!E1384="","",Квартиры!E1384)</f>
        <v/>
      </c>
      <c r="G1386">
        <f>IF(Квартиры!F1384="","",Квартиры!F1384)</f>
        <v/>
      </c>
      <c r="H1386">
        <f>IF(Квартиры!H1384="","",Квартиры!H1384)</f>
        <v/>
      </c>
      <c r="I1386">
        <f>IF(Квартиры!I1384="","",Квартиры!I1384)</f>
        <v/>
      </c>
      <c r="J1386">
        <f>IF(Квартиры!J1384="","",Квартиры!J1384)</f>
        <v/>
      </c>
    </row>
    <row r="1387">
      <c r="A1387">
        <f>IF(Квартиры!A1385="","",Квартиры!A1385)</f>
        <v/>
      </c>
      <c r="B1387">
        <f>IF(Квартиры!B1385="","",Квартиры!B1385)</f>
        <v/>
      </c>
      <c r="C1387">
        <f>IF(Квартиры!C1385="","",Квартиры!C1385)</f>
        <v/>
      </c>
      <c r="D1387">
        <f>IF(Квартиры!D1385="","",Квартиры!D1385)</f>
        <v/>
      </c>
      <c r="E1387">
        <f>IF(Квартиры!G1385="","",Квартиры!G1385)</f>
        <v/>
      </c>
      <c r="F1387">
        <f>IF(Квартиры!E1385="","",Квартиры!E1385)</f>
        <v/>
      </c>
      <c r="G1387">
        <f>IF(Квартиры!F1385="","",Квартиры!F1385)</f>
        <v/>
      </c>
      <c r="H1387">
        <f>IF(Квартиры!H1385="","",Квартиры!H1385)</f>
        <v/>
      </c>
      <c r="I1387">
        <f>IF(Квартиры!I1385="","",Квартиры!I1385)</f>
        <v/>
      </c>
      <c r="J1387">
        <f>IF(Квартиры!J1385="","",Квартиры!J1385)</f>
        <v/>
      </c>
    </row>
    <row r="1388">
      <c r="A1388">
        <f>IF(Квартиры!A1386="","",Квартиры!A1386)</f>
        <v/>
      </c>
      <c r="B1388">
        <f>IF(Квартиры!B1386="","",Квартиры!B1386)</f>
        <v/>
      </c>
      <c r="C1388">
        <f>IF(Квартиры!C1386="","",Квартиры!C1386)</f>
        <v/>
      </c>
      <c r="D1388">
        <f>IF(Квартиры!D1386="","",Квартиры!D1386)</f>
        <v/>
      </c>
      <c r="E1388">
        <f>IF(Квартиры!G1386="","",Квартиры!G1386)</f>
        <v/>
      </c>
      <c r="F1388">
        <f>IF(Квартиры!E1386="","",Квартиры!E1386)</f>
        <v/>
      </c>
      <c r="G1388">
        <f>IF(Квартиры!F1386="","",Квартиры!F1386)</f>
        <v/>
      </c>
      <c r="H1388">
        <f>IF(Квартиры!H1386="","",Квартиры!H1386)</f>
        <v/>
      </c>
      <c r="I1388">
        <f>IF(Квартиры!I1386="","",Квартиры!I1386)</f>
        <v/>
      </c>
      <c r="J1388">
        <f>IF(Квартиры!J1386="","",Квартиры!J1386)</f>
        <v/>
      </c>
    </row>
    <row r="1389">
      <c r="A1389">
        <f>IF(Квартиры!A1387="","",Квартиры!A1387)</f>
        <v/>
      </c>
      <c r="B1389">
        <f>IF(Квартиры!B1387="","",Квартиры!B1387)</f>
        <v/>
      </c>
      <c r="C1389">
        <f>IF(Квартиры!C1387="","",Квартиры!C1387)</f>
        <v/>
      </c>
      <c r="D1389">
        <f>IF(Квартиры!D1387="","",Квартиры!D1387)</f>
        <v/>
      </c>
      <c r="E1389">
        <f>IF(Квартиры!G1387="","",Квартиры!G1387)</f>
        <v/>
      </c>
      <c r="F1389">
        <f>IF(Квартиры!E1387="","",Квартиры!E1387)</f>
        <v/>
      </c>
      <c r="G1389">
        <f>IF(Квартиры!F1387="","",Квартиры!F1387)</f>
        <v/>
      </c>
      <c r="H1389">
        <f>IF(Квартиры!H1387="","",Квартиры!H1387)</f>
        <v/>
      </c>
      <c r="I1389">
        <f>IF(Квартиры!I1387="","",Квартиры!I1387)</f>
        <v/>
      </c>
      <c r="J1389">
        <f>IF(Квартиры!J1387="","",Квартиры!J1387)</f>
        <v/>
      </c>
    </row>
    <row r="1390">
      <c r="A1390">
        <f>IF(Квартиры!A1388="","",Квартиры!A1388)</f>
        <v/>
      </c>
      <c r="B1390">
        <f>IF(Квартиры!B1388="","",Квартиры!B1388)</f>
        <v/>
      </c>
      <c r="C1390">
        <f>IF(Квартиры!C1388="","",Квартиры!C1388)</f>
        <v/>
      </c>
      <c r="D1390">
        <f>IF(Квартиры!D1388="","",Квартиры!D1388)</f>
        <v/>
      </c>
      <c r="E1390">
        <f>IF(Квартиры!G1388="","",Квартиры!G1388)</f>
        <v/>
      </c>
      <c r="F1390">
        <f>IF(Квартиры!E1388="","",Квартиры!E1388)</f>
        <v/>
      </c>
      <c r="G1390">
        <f>IF(Квартиры!F1388="","",Квартиры!F1388)</f>
        <v/>
      </c>
      <c r="H1390">
        <f>IF(Квартиры!H1388="","",Квартиры!H1388)</f>
        <v/>
      </c>
      <c r="I1390">
        <f>IF(Квартиры!I1388="","",Квартиры!I1388)</f>
        <v/>
      </c>
      <c r="J1390">
        <f>IF(Квартиры!J1388="","",Квартиры!J1388)</f>
        <v/>
      </c>
    </row>
    <row r="1391">
      <c r="A1391">
        <f>IF(Квартиры!A1389="","",Квартиры!A1389)</f>
        <v/>
      </c>
      <c r="B1391">
        <f>IF(Квартиры!B1389="","",Квартиры!B1389)</f>
        <v/>
      </c>
      <c r="C1391">
        <f>IF(Квартиры!C1389="","",Квартиры!C1389)</f>
        <v/>
      </c>
      <c r="D1391">
        <f>IF(Квартиры!D1389="","",Квартиры!D1389)</f>
        <v/>
      </c>
      <c r="E1391">
        <f>IF(Квартиры!G1389="","",Квартиры!G1389)</f>
        <v/>
      </c>
      <c r="F1391">
        <f>IF(Квартиры!E1389="","",Квартиры!E1389)</f>
        <v/>
      </c>
      <c r="G1391">
        <f>IF(Квартиры!F1389="","",Квартиры!F1389)</f>
        <v/>
      </c>
      <c r="H1391">
        <f>IF(Квартиры!H1389="","",Квартиры!H1389)</f>
        <v/>
      </c>
      <c r="I1391">
        <f>IF(Квартиры!I1389="","",Квартиры!I1389)</f>
        <v/>
      </c>
      <c r="J1391">
        <f>IF(Квартиры!J1389="","",Квартиры!J1389)</f>
        <v/>
      </c>
    </row>
    <row r="1392">
      <c r="A1392">
        <f>IF(Квартиры!A1390="","",Квартиры!A1390)</f>
        <v/>
      </c>
      <c r="B1392">
        <f>IF(Квартиры!B1390="","",Квартиры!B1390)</f>
        <v/>
      </c>
      <c r="C1392">
        <f>IF(Квартиры!C1390="","",Квартиры!C1390)</f>
        <v/>
      </c>
      <c r="D1392">
        <f>IF(Квартиры!D1390="","",Квартиры!D1390)</f>
        <v/>
      </c>
      <c r="E1392">
        <f>IF(Квартиры!G1390="","",Квартиры!G1390)</f>
        <v/>
      </c>
      <c r="F1392">
        <f>IF(Квартиры!E1390="","",Квартиры!E1390)</f>
        <v/>
      </c>
      <c r="G1392">
        <f>IF(Квартиры!F1390="","",Квартиры!F1390)</f>
        <v/>
      </c>
      <c r="H1392">
        <f>IF(Квартиры!H1390="","",Квартиры!H1390)</f>
        <v/>
      </c>
      <c r="I1392">
        <f>IF(Квартиры!I1390="","",Квартиры!I1390)</f>
        <v/>
      </c>
      <c r="J1392">
        <f>IF(Квартиры!J1390="","",Квартиры!J1390)</f>
        <v/>
      </c>
    </row>
    <row r="1393">
      <c r="A1393">
        <f>IF(Квартиры!A1391="","",Квартиры!A1391)</f>
        <v/>
      </c>
      <c r="B1393">
        <f>IF(Квартиры!B1391="","",Квартиры!B1391)</f>
        <v/>
      </c>
      <c r="C1393">
        <f>IF(Квартиры!C1391="","",Квартиры!C1391)</f>
        <v/>
      </c>
      <c r="D1393">
        <f>IF(Квартиры!D1391="","",Квартиры!D1391)</f>
        <v/>
      </c>
      <c r="E1393">
        <f>IF(Квартиры!G1391="","",Квартиры!G1391)</f>
        <v/>
      </c>
      <c r="F1393">
        <f>IF(Квартиры!E1391="","",Квартиры!E1391)</f>
        <v/>
      </c>
      <c r="G1393">
        <f>IF(Квартиры!F1391="","",Квартиры!F1391)</f>
        <v/>
      </c>
      <c r="H1393">
        <f>IF(Квартиры!H1391="","",Квартиры!H1391)</f>
        <v/>
      </c>
      <c r="I1393">
        <f>IF(Квартиры!I1391="","",Квартиры!I1391)</f>
        <v/>
      </c>
      <c r="J1393">
        <f>IF(Квартиры!J1391="","",Квартиры!J1391)</f>
        <v/>
      </c>
    </row>
    <row r="1394">
      <c r="A1394">
        <f>IF(Квартиры!A1392="","",Квартиры!A1392)</f>
        <v/>
      </c>
      <c r="B1394">
        <f>IF(Квартиры!B1392="","",Квартиры!B1392)</f>
        <v/>
      </c>
      <c r="C1394">
        <f>IF(Квартиры!C1392="","",Квартиры!C1392)</f>
        <v/>
      </c>
      <c r="D1394">
        <f>IF(Квартиры!D1392="","",Квартиры!D1392)</f>
        <v/>
      </c>
      <c r="E1394">
        <f>IF(Квартиры!G1392="","",Квартиры!G1392)</f>
        <v/>
      </c>
      <c r="F1394">
        <f>IF(Квартиры!E1392="","",Квартиры!E1392)</f>
        <v/>
      </c>
      <c r="G1394">
        <f>IF(Квартиры!F1392="","",Квартиры!F1392)</f>
        <v/>
      </c>
      <c r="H1394">
        <f>IF(Квартиры!H1392="","",Квартиры!H1392)</f>
        <v/>
      </c>
      <c r="I1394">
        <f>IF(Квартиры!I1392="","",Квартиры!I1392)</f>
        <v/>
      </c>
      <c r="J1394">
        <f>IF(Квартиры!J1392="","",Квартиры!J1392)</f>
        <v/>
      </c>
    </row>
    <row r="1395">
      <c r="A1395">
        <f>IF(Квартиры!A1393="","",Квартиры!A1393)</f>
        <v/>
      </c>
      <c r="B1395">
        <f>IF(Квартиры!B1393="","",Квартиры!B1393)</f>
        <v/>
      </c>
      <c r="C1395">
        <f>IF(Квартиры!C1393="","",Квартиры!C1393)</f>
        <v/>
      </c>
      <c r="D1395">
        <f>IF(Квартиры!D1393="","",Квартиры!D1393)</f>
        <v/>
      </c>
      <c r="E1395">
        <f>IF(Квартиры!G1393="","",Квартиры!G1393)</f>
        <v/>
      </c>
      <c r="F1395">
        <f>IF(Квартиры!E1393="","",Квартиры!E1393)</f>
        <v/>
      </c>
      <c r="G1395">
        <f>IF(Квартиры!F1393="","",Квартиры!F1393)</f>
        <v/>
      </c>
      <c r="H1395">
        <f>IF(Квартиры!H1393="","",Квартиры!H1393)</f>
        <v/>
      </c>
      <c r="I1395">
        <f>IF(Квартиры!I1393="","",Квартиры!I1393)</f>
        <v/>
      </c>
      <c r="J1395">
        <f>IF(Квартиры!J1393="","",Квартиры!J1393)</f>
        <v/>
      </c>
    </row>
    <row r="1396">
      <c r="A1396">
        <f>IF(Квартиры!A1394="","",Квартиры!A1394)</f>
        <v/>
      </c>
      <c r="B1396">
        <f>IF(Квартиры!B1394="","",Квартиры!B1394)</f>
        <v/>
      </c>
      <c r="C1396">
        <f>IF(Квартиры!C1394="","",Квартиры!C1394)</f>
        <v/>
      </c>
      <c r="D1396">
        <f>IF(Квартиры!D1394="","",Квартиры!D1394)</f>
        <v/>
      </c>
      <c r="E1396">
        <f>IF(Квартиры!G1394="","",Квартиры!G1394)</f>
        <v/>
      </c>
      <c r="F1396">
        <f>IF(Квартиры!E1394="","",Квартиры!E1394)</f>
        <v/>
      </c>
      <c r="G1396">
        <f>IF(Квартиры!F1394="","",Квартиры!F1394)</f>
        <v/>
      </c>
      <c r="H1396">
        <f>IF(Квартиры!H1394="","",Квартиры!H1394)</f>
        <v/>
      </c>
      <c r="I1396">
        <f>IF(Квартиры!I1394="","",Квартиры!I1394)</f>
        <v/>
      </c>
      <c r="J1396">
        <f>IF(Квартиры!J1394="","",Квартиры!J1394)</f>
        <v/>
      </c>
    </row>
    <row r="1397">
      <c r="A1397">
        <f>IF(Квартиры!A1395="","",Квартиры!A1395)</f>
        <v/>
      </c>
      <c r="B1397">
        <f>IF(Квартиры!B1395="","",Квартиры!B1395)</f>
        <v/>
      </c>
      <c r="C1397">
        <f>IF(Квартиры!C1395="","",Квартиры!C1395)</f>
        <v/>
      </c>
      <c r="D1397">
        <f>IF(Квартиры!D1395="","",Квартиры!D1395)</f>
        <v/>
      </c>
      <c r="E1397">
        <f>IF(Квартиры!G1395="","",Квартиры!G1395)</f>
        <v/>
      </c>
      <c r="F1397">
        <f>IF(Квартиры!E1395="","",Квартиры!E1395)</f>
        <v/>
      </c>
      <c r="G1397">
        <f>IF(Квартиры!F1395="","",Квартиры!F1395)</f>
        <v/>
      </c>
      <c r="H1397">
        <f>IF(Квартиры!H1395="","",Квартиры!H1395)</f>
        <v/>
      </c>
      <c r="I1397">
        <f>IF(Квартиры!I1395="","",Квартиры!I1395)</f>
        <v/>
      </c>
      <c r="J1397">
        <f>IF(Квартиры!J1395="","",Квартиры!J1395)</f>
        <v/>
      </c>
    </row>
    <row r="1398">
      <c r="A1398">
        <f>IF(Квартиры!A1396="","",Квартиры!A1396)</f>
        <v/>
      </c>
      <c r="B1398">
        <f>IF(Квартиры!B1396="","",Квартиры!B1396)</f>
        <v/>
      </c>
      <c r="C1398">
        <f>IF(Квартиры!C1396="","",Квартиры!C1396)</f>
        <v/>
      </c>
      <c r="D1398">
        <f>IF(Квартиры!D1396="","",Квартиры!D1396)</f>
        <v/>
      </c>
      <c r="E1398">
        <f>IF(Квартиры!G1396="","",Квартиры!G1396)</f>
        <v/>
      </c>
      <c r="F1398">
        <f>IF(Квартиры!E1396="","",Квартиры!E1396)</f>
        <v/>
      </c>
      <c r="G1398">
        <f>IF(Квартиры!F1396="","",Квартиры!F1396)</f>
        <v/>
      </c>
      <c r="H1398">
        <f>IF(Квартиры!H1396="","",Квартиры!H1396)</f>
        <v/>
      </c>
      <c r="I1398">
        <f>IF(Квартиры!I1396="","",Квартиры!I1396)</f>
        <v/>
      </c>
      <c r="J1398">
        <f>IF(Квартиры!J1396="","",Квартиры!J1396)</f>
        <v/>
      </c>
    </row>
    <row r="1399">
      <c r="A1399">
        <f>IF(Квартиры!A1397="","",Квартиры!A1397)</f>
        <v/>
      </c>
      <c r="B1399">
        <f>IF(Квартиры!B1397="","",Квартиры!B1397)</f>
        <v/>
      </c>
      <c r="C1399">
        <f>IF(Квартиры!C1397="","",Квартиры!C1397)</f>
        <v/>
      </c>
      <c r="D1399">
        <f>IF(Квартиры!D1397="","",Квартиры!D1397)</f>
        <v/>
      </c>
      <c r="E1399">
        <f>IF(Квартиры!G1397="","",Квартиры!G1397)</f>
        <v/>
      </c>
      <c r="F1399">
        <f>IF(Квартиры!E1397="","",Квартиры!E1397)</f>
        <v/>
      </c>
      <c r="G1399">
        <f>IF(Квартиры!F1397="","",Квартиры!F1397)</f>
        <v/>
      </c>
      <c r="H1399">
        <f>IF(Квартиры!H1397="","",Квартиры!H1397)</f>
        <v/>
      </c>
      <c r="I1399">
        <f>IF(Квартиры!I1397="","",Квартиры!I1397)</f>
        <v/>
      </c>
      <c r="J1399">
        <f>IF(Квартиры!J1397="","",Квартиры!J1397)</f>
        <v/>
      </c>
    </row>
    <row r="1400">
      <c r="A1400">
        <f>IF(Квартиры!A1398="","",Квартиры!A1398)</f>
        <v/>
      </c>
      <c r="B1400">
        <f>IF(Квартиры!B1398="","",Квартиры!B1398)</f>
        <v/>
      </c>
      <c r="C1400">
        <f>IF(Квартиры!C1398="","",Квартиры!C1398)</f>
        <v/>
      </c>
      <c r="D1400">
        <f>IF(Квартиры!D1398="","",Квартиры!D1398)</f>
        <v/>
      </c>
      <c r="E1400">
        <f>IF(Квартиры!G1398="","",Квартиры!G1398)</f>
        <v/>
      </c>
      <c r="F1400">
        <f>IF(Квартиры!E1398="","",Квартиры!E1398)</f>
        <v/>
      </c>
      <c r="G1400">
        <f>IF(Квартиры!F1398="","",Квартиры!F1398)</f>
        <v/>
      </c>
      <c r="H1400">
        <f>IF(Квартиры!H1398="","",Квартиры!H1398)</f>
        <v/>
      </c>
      <c r="I1400">
        <f>IF(Квартиры!I1398="","",Квартиры!I1398)</f>
        <v/>
      </c>
      <c r="J1400">
        <f>IF(Квартиры!J1398="","",Квартиры!J1398)</f>
        <v/>
      </c>
    </row>
    <row r="1401">
      <c r="A1401">
        <f>IF(Квартиры!A1399="","",Квартиры!A1399)</f>
        <v/>
      </c>
      <c r="B1401">
        <f>IF(Квартиры!B1399="","",Квартиры!B1399)</f>
        <v/>
      </c>
      <c r="C1401">
        <f>IF(Квартиры!C1399="","",Квартиры!C1399)</f>
        <v/>
      </c>
      <c r="D1401">
        <f>IF(Квартиры!D1399="","",Квартиры!D1399)</f>
        <v/>
      </c>
      <c r="E1401">
        <f>IF(Квартиры!G1399="","",Квартиры!G1399)</f>
        <v/>
      </c>
      <c r="F1401">
        <f>IF(Квартиры!E1399="","",Квартиры!E1399)</f>
        <v/>
      </c>
      <c r="G1401">
        <f>IF(Квартиры!F1399="","",Квартиры!F1399)</f>
        <v/>
      </c>
      <c r="H1401">
        <f>IF(Квартиры!H1399="","",Квартиры!H1399)</f>
        <v/>
      </c>
      <c r="I1401">
        <f>IF(Квартиры!I1399="","",Квартиры!I1399)</f>
        <v/>
      </c>
      <c r="J1401">
        <f>IF(Квартиры!J1399="","",Квартиры!J1399)</f>
        <v/>
      </c>
    </row>
    <row r="1402">
      <c r="A1402">
        <f>IF(Квартиры!A1400="","",Квартиры!A1400)</f>
        <v/>
      </c>
      <c r="B1402">
        <f>IF(Квартиры!B1400="","",Квартиры!B1400)</f>
        <v/>
      </c>
      <c r="C1402">
        <f>IF(Квартиры!C1400="","",Квартиры!C1400)</f>
        <v/>
      </c>
      <c r="D1402">
        <f>IF(Квартиры!D1400="","",Квартиры!D1400)</f>
        <v/>
      </c>
      <c r="E1402">
        <f>IF(Квартиры!G1400="","",Квартиры!G1400)</f>
        <v/>
      </c>
      <c r="F1402">
        <f>IF(Квартиры!E1400="","",Квартиры!E1400)</f>
        <v/>
      </c>
      <c r="G1402">
        <f>IF(Квартиры!F1400="","",Квартиры!F1400)</f>
        <v/>
      </c>
      <c r="H1402">
        <f>IF(Квартиры!H1400="","",Квартиры!H1400)</f>
        <v/>
      </c>
      <c r="I1402">
        <f>IF(Квартиры!I1400="","",Квартиры!I1400)</f>
        <v/>
      </c>
      <c r="J1402">
        <f>IF(Квартиры!J1400="","",Квартиры!J1400)</f>
        <v/>
      </c>
    </row>
    <row r="1403">
      <c r="A1403">
        <f>IF(Квартиры!A1401="","",Квартиры!A1401)</f>
        <v/>
      </c>
      <c r="B1403">
        <f>IF(Квартиры!B1401="","",Квартиры!B1401)</f>
        <v/>
      </c>
      <c r="C1403">
        <f>IF(Квартиры!C1401="","",Квартиры!C1401)</f>
        <v/>
      </c>
      <c r="D1403">
        <f>IF(Квартиры!D1401="","",Квартиры!D1401)</f>
        <v/>
      </c>
      <c r="E1403">
        <f>IF(Квартиры!G1401="","",Квартиры!G1401)</f>
        <v/>
      </c>
      <c r="F1403">
        <f>IF(Квартиры!E1401="","",Квартиры!E1401)</f>
        <v/>
      </c>
      <c r="G1403">
        <f>IF(Квартиры!F1401="","",Квартиры!F1401)</f>
        <v/>
      </c>
      <c r="H1403">
        <f>IF(Квартиры!H1401="","",Квартиры!H1401)</f>
        <v/>
      </c>
      <c r="I1403">
        <f>IF(Квартиры!I1401="","",Квартиры!I1401)</f>
        <v/>
      </c>
      <c r="J1403">
        <f>IF(Квартиры!J1401="","",Квартиры!J1401)</f>
        <v/>
      </c>
    </row>
    <row r="1404">
      <c r="A1404">
        <f>IF(Квартиры!A1402="","",Квартиры!A1402)</f>
        <v/>
      </c>
      <c r="B1404">
        <f>IF(Квартиры!B1402="","",Квартиры!B1402)</f>
        <v/>
      </c>
      <c r="C1404">
        <f>IF(Квартиры!C1402="","",Квартиры!C1402)</f>
        <v/>
      </c>
      <c r="D1404">
        <f>IF(Квартиры!D1402="","",Квартиры!D1402)</f>
        <v/>
      </c>
      <c r="E1404">
        <f>IF(Квартиры!G1402="","",Квартиры!G1402)</f>
        <v/>
      </c>
      <c r="F1404">
        <f>IF(Квартиры!E1402="","",Квартиры!E1402)</f>
        <v/>
      </c>
      <c r="G1404">
        <f>IF(Квартиры!F1402="","",Квартиры!F1402)</f>
        <v/>
      </c>
      <c r="H1404">
        <f>IF(Квартиры!H1402="","",Квартиры!H1402)</f>
        <v/>
      </c>
      <c r="I1404">
        <f>IF(Квартиры!I1402="","",Квартиры!I1402)</f>
        <v/>
      </c>
      <c r="J1404">
        <f>IF(Квартиры!J1402="","",Квартиры!J1402)</f>
        <v/>
      </c>
    </row>
    <row r="1405">
      <c r="A1405">
        <f>IF(Квартиры!A1403="","",Квартиры!A1403)</f>
        <v/>
      </c>
      <c r="B1405">
        <f>IF(Квартиры!B1403="","",Квартиры!B1403)</f>
        <v/>
      </c>
      <c r="C1405">
        <f>IF(Квартиры!C1403="","",Квартиры!C1403)</f>
        <v/>
      </c>
      <c r="D1405">
        <f>IF(Квартиры!D1403="","",Квартиры!D1403)</f>
        <v/>
      </c>
      <c r="E1405">
        <f>IF(Квартиры!G1403="","",Квартиры!G1403)</f>
        <v/>
      </c>
      <c r="F1405">
        <f>IF(Квартиры!E1403="","",Квартиры!E1403)</f>
        <v/>
      </c>
      <c r="G1405">
        <f>IF(Квартиры!F1403="","",Квартиры!F1403)</f>
        <v/>
      </c>
      <c r="H1405">
        <f>IF(Квартиры!H1403="","",Квартиры!H1403)</f>
        <v/>
      </c>
      <c r="I1405">
        <f>IF(Квартиры!I1403="","",Квартиры!I1403)</f>
        <v/>
      </c>
      <c r="J1405">
        <f>IF(Квартиры!J1403="","",Квартиры!J1403)</f>
        <v/>
      </c>
    </row>
    <row r="1406">
      <c r="A1406">
        <f>IF(Квартиры!A1404="","",Квартиры!A1404)</f>
        <v/>
      </c>
      <c r="B1406">
        <f>IF(Квартиры!B1404="","",Квартиры!B1404)</f>
        <v/>
      </c>
      <c r="C1406">
        <f>IF(Квартиры!C1404="","",Квартиры!C1404)</f>
        <v/>
      </c>
      <c r="D1406">
        <f>IF(Квартиры!D1404="","",Квартиры!D1404)</f>
        <v/>
      </c>
      <c r="E1406">
        <f>IF(Квартиры!G1404="","",Квартиры!G1404)</f>
        <v/>
      </c>
      <c r="F1406">
        <f>IF(Квартиры!E1404="","",Квартиры!E1404)</f>
        <v/>
      </c>
      <c r="G1406">
        <f>IF(Квартиры!F1404="","",Квартиры!F1404)</f>
        <v/>
      </c>
      <c r="H1406">
        <f>IF(Квартиры!H1404="","",Квартиры!H1404)</f>
        <v/>
      </c>
      <c r="I1406">
        <f>IF(Квартиры!I1404="","",Квартиры!I1404)</f>
        <v/>
      </c>
      <c r="J1406">
        <f>IF(Квартиры!J1404="","",Квартиры!J1404)</f>
        <v/>
      </c>
    </row>
    <row r="1407">
      <c r="A1407">
        <f>IF(Квартиры!A1405="","",Квартиры!A1405)</f>
        <v/>
      </c>
      <c r="B1407">
        <f>IF(Квартиры!B1405="","",Квартиры!B1405)</f>
        <v/>
      </c>
      <c r="C1407">
        <f>IF(Квартиры!C1405="","",Квартиры!C1405)</f>
        <v/>
      </c>
      <c r="D1407">
        <f>IF(Квартиры!D1405="","",Квартиры!D1405)</f>
        <v/>
      </c>
      <c r="E1407">
        <f>IF(Квартиры!G1405="","",Квартиры!G1405)</f>
        <v/>
      </c>
      <c r="F1407">
        <f>IF(Квартиры!E1405="","",Квартиры!E1405)</f>
        <v/>
      </c>
      <c r="G1407">
        <f>IF(Квартиры!F1405="","",Квартиры!F1405)</f>
        <v/>
      </c>
      <c r="H1407">
        <f>IF(Квартиры!H1405="","",Квартиры!H1405)</f>
        <v/>
      </c>
      <c r="I1407">
        <f>IF(Квартиры!I1405="","",Квартиры!I1405)</f>
        <v/>
      </c>
      <c r="J1407">
        <f>IF(Квартиры!J1405="","",Квартиры!J1405)</f>
        <v/>
      </c>
    </row>
    <row r="1408">
      <c r="A1408">
        <f>IF(Квартиры!A1406="","",Квартиры!A1406)</f>
        <v/>
      </c>
      <c r="B1408">
        <f>IF(Квартиры!B1406="","",Квартиры!B1406)</f>
        <v/>
      </c>
      <c r="C1408">
        <f>IF(Квартиры!C1406="","",Квартиры!C1406)</f>
        <v/>
      </c>
      <c r="D1408">
        <f>IF(Квартиры!D1406="","",Квартиры!D1406)</f>
        <v/>
      </c>
      <c r="E1408">
        <f>IF(Квартиры!G1406="","",Квартиры!G1406)</f>
        <v/>
      </c>
      <c r="F1408">
        <f>IF(Квартиры!E1406="","",Квартиры!E1406)</f>
        <v/>
      </c>
      <c r="G1408">
        <f>IF(Квартиры!F1406="","",Квартиры!F1406)</f>
        <v/>
      </c>
      <c r="H1408">
        <f>IF(Квартиры!H1406="","",Квартиры!H1406)</f>
        <v/>
      </c>
      <c r="I1408">
        <f>IF(Квартиры!I1406="","",Квартиры!I1406)</f>
        <v/>
      </c>
      <c r="J1408">
        <f>IF(Квартиры!J1406="","",Квартиры!J1406)</f>
        <v/>
      </c>
    </row>
    <row r="1409">
      <c r="A1409">
        <f>IF(Квартиры!A1407="","",Квартиры!A1407)</f>
        <v/>
      </c>
      <c r="B1409">
        <f>IF(Квартиры!B1407="","",Квартиры!B1407)</f>
        <v/>
      </c>
      <c r="C1409">
        <f>IF(Квартиры!C1407="","",Квартиры!C1407)</f>
        <v/>
      </c>
      <c r="D1409">
        <f>IF(Квартиры!D1407="","",Квартиры!D1407)</f>
        <v/>
      </c>
      <c r="E1409">
        <f>IF(Квартиры!G1407="","",Квартиры!G1407)</f>
        <v/>
      </c>
      <c r="F1409">
        <f>IF(Квартиры!E1407="","",Квартиры!E1407)</f>
        <v/>
      </c>
      <c r="G1409">
        <f>IF(Квартиры!F1407="","",Квартиры!F1407)</f>
        <v/>
      </c>
      <c r="H1409">
        <f>IF(Квартиры!H1407="","",Квартиры!H1407)</f>
        <v/>
      </c>
      <c r="I1409">
        <f>IF(Квартиры!I1407="","",Квартиры!I1407)</f>
        <v/>
      </c>
      <c r="J1409">
        <f>IF(Квартиры!J1407="","",Квартиры!J1407)</f>
        <v/>
      </c>
    </row>
    <row r="1410">
      <c r="A1410">
        <f>IF(Квартиры!A1408="","",Квартиры!A1408)</f>
        <v/>
      </c>
      <c r="B1410">
        <f>IF(Квартиры!B1408="","",Квартиры!B1408)</f>
        <v/>
      </c>
      <c r="C1410">
        <f>IF(Квартиры!C1408="","",Квартиры!C1408)</f>
        <v/>
      </c>
      <c r="D1410">
        <f>IF(Квартиры!D1408="","",Квартиры!D1408)</f>
        <v/>
      </c>
      <c r="E1410">
        <f>IF(Квартиры!G1408="","",Квартиры!G1408)</f>
        <v/>
      </c>
      <c r="F1410">
        <f>IF(Квартиры!E1408="","",Квартиры!E1408)</f>
        <v/>
      </c>
      <c r="G1410">
        <f>IF(Квартиры!F1408="","",Квартиры!F1408)</f>
        <v/>
      </c>
      <c r="H1410">
        <f>IF(Квартиры!H1408="","",Квартиры!H1408)</f>
        <v/>
      </c>
      <c r="I1410">
        <f>IF(Квартиры!I1408="","",Квартиры!I1408)</f>
        <v/>
      </c>
      <c r="J1410">
        <f>IF(Квартиры!J1408="","",Квартиры!J1408)</f>
        <v/>
      </c>
    </row>
    <row r="1411">
      <c r="A1411">
        <f>IF(Квартиры!A1409="","",Квартиры!A1409)</f>
        <v/>
      </c>
      <c r="B1411">
        <f>IF(Квартиры!B1409="","",Квартиры!B1409)</f>
        <v/>
      </c>
      <c r="C1411">
        <f>IF(Квартиры!C1409="","",Квартиры!C1409)</f>
        <v/>
      </c>
      <c r="D1411">
        <f>IF(Квартиры!D1409="","",Квартиры!D1409)</f>
        <v/>
      </c>
      <c r="E1411">
        <f>IF(Квартиры!G1409="","",Квартиры!G1409)</f>
        <v/>
      </c>
      <c r="F1411">
        <f>IF(Квартиры!E1409="","",Квартиры!E1409)</f>
        <v/>
      </c>
      <c r="G1411">
        <f>IF(Квартиры!F1409="","",Квартиры!F1409)</f>
        <v/>
      </c>
      <c r="H1411">
        <f>IF(Квартиры!H1409="","",Квартиры!H1409)</f>
        <v/>
      </c>
      <c r="I1411">
        <f>IF(Квартиры!I1409="","",Квартиры!I1409)</f>
        <v/>
      </c>
      <c r="J1411">
        <f>IF(Квартиры!J1409="","",Квартиры!J1409)</f>
        <v/>
      </c>
    </row>
    <row r="1412">
      <c r="A1412">
        <f>IF(Квартиры!A1410="","",Квартиры!A1410)</f>
        <v/>
      </c>
      <c r="B1412">
        <f>IF(Квартиры!B1410="","",Квартиры!B1410)</f>
        <v/>
      </c>
      <c r="C1412">
        <f>IF(Квартиры!C1410="","",Квартиры!C1410)</f>
        <v/>
      </c>
      <c r="D1412">
        <f>IF(Квартиры!D1410="","",Квартиры!D1410)</f>
        <v/>
      </c>
      <c r="E1412">
        <f>IF(Квартиры!G1410="","",Квартиры!G1410)</f>
        <v/>
      </c>
      <c r="F1412">
        <f>IF(Квартиры!E1410="","",Квартиры!E1410)</f>
        <v/>
      </c>
      <c r="G1412">
        <f>IF(Квартиры!F1410="","",Квартиры!F1410)</f>
        <v/>
      </c>
      <c r="H1412">
        <f>IF(Квартиры!H1410="","",Квартиры!H1410)</f>
        <v/>
      </c>
      <c r="I1412">
        <f>IF(Квартиры!I1410="","",Квартиры!I1410)</f>
        <v/>
      </c>
      <c r="J1412">
        <f>IF(Квартиры!J1410="","",Квартиры!J1410)</f>
        <v/>
      </c>
    </row>
    <row r="1413">
      <c r="A1413">
        <f>IF(Квартиры!A1411="","",Квартиры!A1411)</f>
        <v/>
      </c>
      <c r="B1413">
        <f>IF(Квартиры!B1411="","",Квартиры!B1411)</f>
        <v/>
      </c>
      <c r="C1413">
        <f>IF(Квартиры!C1411="","",Квартиры!C1411)</f>
        <v/>
      </c>
      <c r="D1413">
        <f>IF(Квартиры!D1411="","",Квартиры!D1411)</f>
        <v/>
      </c>
      <c r="E1413">
        <f>IF(Квартиры!G1411="","",Квартиры!G1411)</f>
        <v/>
      </c>
      <c r="F1413">
        <f>IF(Квартиры!E1411="","",Квартиры!E1411)</f>
        <v/>
      </c>
      <c r="G1413">
        <f>IF(Квартиры!F1411="","",Квартиры!F1411)</f>
        <v/>
      </c>
      <c r="H1413">
        <f>IF(Квартиры!H1411="","",Квартиры!H1411)</f>
        <v/>
      </c>
      <c r="I1413">
        <f>IF(Квартиры!I1411="","",Квартиры!I1411)</f>
        <v/>
      </c>
      <c r="J1413">
        <f>IF(Квартиры!J1411="","",Квартиры!J1411)</f>
        <v/>
      </c>
    </row>
    <row r="1414">
      <c r="A1414">
        <f>IF(Квартиры!A1412="","",Квартиры!A1412)</f>
        <v/>
      </c>
      <c r="B1414">
        <f>IF(Квартиры!B1412="","",Квартиры!B1412)</f>
        <v/>
      </c>
      <c r="C1414">
        <f>IF(Квартиры!C1412="","",Квартиры!C1412)</f>
        <v/>
      </c>
      <c r="D1414">
        <f>IF(Квартиры!D1412="","",Квартиры!D1412)</f>
        <v/>
      </c>
      <c r="E1414">
        <f>IF(Квартиры!G1412="","",Квартиры!G1412)</f>
        <v/>
      </c>
      <c r="F1414">
        <f>IF(Квартиры!E1412="","",Квартиры!E1412)</f>
        <v/>
      </c>
      <c r="G1414">
        <f>IF(Квартиры!F1412="","",Квартиры!F1412)</f>
        <v/>
      </c>
      <c r="H1414">
        <f>IF(Квартиры!H1412="","",Квартиры!H1412)</f>
        <v/>
      </c>
      <c r="I1414">
        <f>IF(Квартиры!I1412="","",Квартиры!I1412)</f>
        <v/>
      </c>
      <c r="J1414">
        <f>IF(Квартиры!J1412="","",Квартиры!J1412)</f>
        <v/>
      </c>
    </row>
    <row r="1415">
      <c r="A1415">
        <f>IF(Квартиры!A1413="","",Квартиры!A1413)</f>
        <v/>
      </c>
      <c r="B1415">
        <f>IF(Квартиры!B1413="","",Квартиры!B1413)</f>
        <v/>
      </c>
      <c r="C1415">
        <f>IF(Квартиры!C1413="","",Квартиры!C1413)</f>
        <v/>
      </c>
      <c r="D1415">
        <f>IF(Квартиры!D1413="","",Квартиры!D1413)</f>
        <v/>
      </c>
      <c r="E1415">
        <f>IF(Квартиры!G1413="","",Квартиры!G1413)</f>
        <v/>
      </c>
      <c r="F1415">
        <f>IF(Квартиры!E1413="","",Квартиры!E1413)</f>
        <v/>
      </c>
      <c r="G1415">
        <f>IF(Квартиры!F1413="","",Квартиры!F1413)</f>
        <v/>
      </c>
      <c r="H1415">
        <f>IF(Квартиры!H1413="","",Квартиры!H1413)</f>
        <v/>
      </c>
      <c r="I1415">
        <f>IF(Квартиры!I1413="","",Квартиры!I1413)</f>
        <v/>
      </c>
      <c r="J1415">
        <f>IF(Квартиры!J1413="","",Квартиры!J1413)</f>
        <v/>
      </c>
    </row>
    <row r="1416">
      <c r="A1416">
        <f>IF(Квартиры!A1414="","",Квартиры!A1414)</f>
        <v/>
      </c>
      <c r="B1416">
        <f>IF(Квартиры!B1414="","",Квартиры!B1414)</f>
        <v/>
      </c>
      <c r="C1416">
        <f>IF(Квартиры!C1414="","",Квартиры!C1414)</f>
        <v/>
      </c>
      <c r="D1416">
        <f>IF(Квартиры!D1414="","",Квартиры!D1414)</f>
        <v/>
      </c>
      <c r="E1416">
        <f>IF(Квартиры!G1414="","",Квартиры!G1414)</f>
        <v/>
      </c>
      <c r="F1416">
        <f>IF(Квартиры!E1414="","",Квартиры!E1414)</f>
        <v/>
      </c>
      <c r="G1416">
        <f>IF(Квартиры!F1414="","",Квартиры!F1414)</f>
        <v/>
      </c>
      <c r="H1416">
        <f>IF(Квартиры!H1414="","",Квартиры!H1414)</f>
        <v/>
      </c>
      <c r="I1416">
        <f>IF(Квартиры!I1414="","",Квартиры!I1414)</f>
        <v/>
      </c>
      <c r="J1416">
        <f>IF(Квартиры!J1414="","",Квартиры!J1414)</f>
        <v/>
      </c>
    </row>
    <row r="1417">
      <c r="A1417">
        <f>IF(Квартиры!A1415="","",Квартиры!A1415)</f>
        <v/>
      </c>
      <c r="B1417">
        <f>IF(Квартиры!B1415="","",Квартиры!B1415)</f>
        <v/>
      </c>
      <c r="C1417">
        <f>IF(Квартиры!C1415="","",Квартиры!C1415)</f>
        <v/>
      </c>
      <c r="D1417">
        <f>IF(Квартиры!D1415="","",Квартиры!D1415)</f>
        <v/>
      </c>
      <c r="E1417">
        <f>IF(Квартиры!G1415="","",Квартиры!G1415)</f>
        <v/>
      </c>
      <c r="F1417">
        <f>IF(Квартиры!E1415="","",Квартиры!E1415)</f>
        <v/>
      </c>
      <c r="G1417">
        <f>IF(Квартиры!F1415="","",Квартиры!F1415)</f>
        <v/>
      </c>
      <c r="H1417">
        <f>IF(Квартиры!H1415="","",Квартиры!H1415)</f>
        <v/>
      </c>
      <c r="I1417">
        <f>IF(Квартиры!I1415="","",Квартиры!I1415)</f>
        <v/>
      </c>
      <c r="J1417">
        <f>IF(Квартиры!J1415="","",Квартиры!J1415)</f>
        <v/>
      </c>
    </row>
    <row r="1418">
      <c r="A1418">
        <f>IF(Квартиры!A1416="","",Квартиры!A1416)</f>
        <v/>
      </c>
      <c r="B1418">
        <f>IF(Квартиры!B1416="","",Квартиры!B1416)</f>
        <v/>
      </c>
      <c r="C1418">
        <f>IF(Квартиры!C1416="","",Квартиры!C1416)</f>
        <v/>
      </c>
      <c r="D1418">
        <f>IF(Квартиры!D1416="","",Квартиры!D1416)</f>
        <v/>
      </c>
      <c r="E1418">
        <f>IF(Квартиры!G1416="","",Квартиры!G1416)</f>
        <v/>
      </c>
      <c r="F1418">
        <f>IF(Квартиры!E1416="","",Квартиры!E1416)</f>
        <v/>
      </c>
      <c r="G1418">
        <f>IF(Квартиры!F1416="","",Квартиры!F1416)</f>
        <v/>
      </c>
      <c r="H1418">
        <f>IF(Квартиры!H1416="","",Квартиры!H1416)</f>
        <v/>
      </c>
      <c r="I1418">
        <f>IF(Квартиры!I1416="","",Квартиры!I1416)</f>
        <v/>
      </c>
      <c r="J1418">
        <f>IF(Квартиры!J1416="","",Квартиры!J1416)</f>
        <v/>
      </c>
    </row>
    <row r="1419">
      <c r="A1419">
        <f>IF(Квартиры!A1417="","",Квартиры!A1417)</f>
        <v/>
      </c>
      <c r="B1419">
        <f>IF(Квартиры!B1417="","",Квартиры!B1417)</f>
        <v/>
      </c>
      <c r="C1419">
        <f>IF(Квартиры!C1417="","",Квартиры!C1417)</f>
        <v/>
      </c>
      <c r="D1419">
        <f>IF(Квартиры!D1417="","",Квартиры!D1417)</f>
        <v/>
      </c>
      <c r="E1419">
        <f>IF(Квартиры!G1417="","",Квартиры!G1417)</f>
        <v/>
      </c>
      <c r="F1419">
        <f>IF(Квартиры!E1417="","",Квартиры!E1417)</f>
        <v/>
      </c>
      <c r="G1419">
        <f>IF(Квартиры!F1417="","",Квартиры!F1417)</f>
        <v/>
      </c>
      <c r="H1419">
        <f>IF(Квартиры!H1417="","",Квартиры!H1417)</f>
        <v/>
      </c>
      <c r="I1419">
        <f>IF(Квартиры!I1417="","",Квартиры!I1417)</f>
        <v/>
      </c>
      <c r="J1419">
        <f>IF(Квартиры!J1417="","",Квартиры!J1417)</f>
        <v/>
      </c>
    </row>
    <row r="1420">
      <c r="A1420">
        <f>IF(Квартиры!A1418="","",Квартиры!A1418)</f>
        <v/>
      </c>
      <c r="B1420">
        <f>IF(Квартиры!B1418="","",Квартиры!B1418)</f>
        <v/>
      </c>
      <c r="C1420">
        <f>IF(Квартиры!C1418="","",Квартиры!C1418)</f>
        <v/>
      </c>
      <c r="D1420">
        <f>IF(Квартиры!D1418="","",Квартиры!D1418)</f>
        <v/>
      </c>
      <c r="E1420">
        <f>IF(Квартиры!G1418="","",Квартиры!G1418)</f>
        <v/>
      </c>
      <c r="F1420">
        <f>IF(Квартиры!E1418="","",Квартиры!E1418)</f>
        <v/>
      </c>
      <c r="G1420">
        <f>IF(Квартиры!F1418="","",Квартиры!F1418)</f>
        <v/>
      </c>
      <c r="H1420">
        <f>IF(Квартиры!H1418="","",Квартиры!H1418)</f>
        <v/>
      </c>
      <c r="I1420">
        <f>IF(Квартиры!I1418="","",Квартиры!I1418)</f>
        <v/>
      </c>
      <c r="J1420">
        <f>IF(Квартиры!J1418="","",Квартиры!J1418)</f>
        <v/>
      </c>
    </row>
    <row r="1421">
      <c r="A1421">
        <f>IF(Квартиры!A1419="","",Квартиры!A1419)</f>
        <v/>
      </c>
      <c r="B1421">
        <f>IF(Квартиры!B1419="","",Квартиры!B1419)</f>
        <v/>
      </c>
      <c r="C1421">
        <f>IF(Квартиры!C1419="","",Квартиры!C1419)</f>
        <v/>
      </c>
      <c r="D1421">
        <f>IF(Квартиры!D1419="","",Квартиры!D1419)</f>
        <v/>
      </c>
      <c r="E1421">
        <f>IF(Квартиры!G1419="","",Квартиры!G1419)</f>
        <v/>
      </c>
      <c r="F1421">
        <f>IF(Квартиры!E1419="","",Квартиры!E1419)</f>
        <v/>
      </c>
      <c r="G1421">
        <f>IF(Квартиры!F1419="","",Квартиры!F1419)</f>
        <v/>
      </c>
      <c r="H1421">
        <f>IF(Квартиры!H1419="","",Квартиры!H1419)</f>
        <v/>
      </c>
      <c r="I1421">
        <f>IF(Квартиры!I1419="","",Квартиры!I1419)</f>
        <v/>
      </c>
      <c r="J1421">
        <f>IF(Квартиры!J1419="","",Квартиры!J1419)</f>
        <v/>
      </c>
    </row>
    <row r="1422">
      <c r="A1422">
        <f>IF(Квартиры!A1420="","",Квартиры!A1420)</f>
        <v/>
      </c>
      <c r="B1422">
        <f>IF(Квартиры!B1420="","",Квартиры!B1420)</f>
        <v/>
      </c>
      <c r="C1422">
        <f>IF(Квартиры!C1420="","",Квартиры!C1420)</f>
        <v/>
      </c>
      <c r="D1422">
        <f>IF(Квартиры!D1420="","",Квартиры!D1420)</f>
        <v/>
      </c>
      <c r="E1422">
        <f>IF(Квартиры!G1420="","",Квартиры!G1420)</f>
        <v/>
      </c>
      <c r="F1422">
        <f>IF(Квартиры!E1420="","",Квартиры!E1420)</f>
        <v/>
      </c>
      <c r="G1422">
        <f>IF(Квартиры!F1420="","",Квартиры!F1420)</f>
        <v/>
      </c>
      <c r="H1422">
        <f>IF(Квартиры!H1420="","",Квартиры!H1420)</f>
        <v/>
      </c>
      <c r="I1422">
        <f>IF(Квартиры!I1420="","",Квартиры!I1420)</f>
        <v/>
      </c>
      <c r="J1422">
        <f>IF(Квартиры!J1420="","",Квартиры!J1420)</f>
        <v/>
      </c>
    </row>
    <row r="1423">
      <c r="A1423">
        <f>IF(Квартиры!A1421="","",Квартиры!A1421)</f>
        <v/>
      </c>
      <c r="B1423">
        <f>IF(Квартиры!B1421="","",Квартиры!B1421)</f>
        <v/>
      </c>
      <c r="C1423">
        <f>IF(Квартиры!C1421="","",Квартиры!C1421)</f>
        <v/>
      </c>
      <c r="D1423">
        <f>IF(Квартиры!D1421="","",Квартиры!D1421)</f>
        <v/>
      </c>
      <c r="E1423">
        <f>IF(Квартиры!G1421="","",Квартиры!G1421)</f>
        <v/>
      </c>
      <c r="F1423">
        <f>IF(Квартиры!E1421="","",Квартиры!E1421)</f>
        <v/>
      </c>
      <c r="G1423">
        <f>IF(Квартиры!F1421="","",Квартиры!F1421)</f>
        <v/>
      </c>
      <c r="H1423">
        <f>IF(Квартиры!H1421="","",Квартиры!H1421)</f>
        <v/>
      </c>
      <c r="I1423">
        <f>IF(Квартиры!I1421="","",Квартиры!I1421)</f>
        <v/>
      </c>
      <c r="J1423">
        <f>IF(Квартиры!J1421="","",Квартиры!J1421)</f>
        <v/>
      </c>
    </row>
    <row r="1424">
      <c r="A1424">
        <f>IF(Квартиры!A1422="","",Квартиры!A1422)</f>
        <v/>
      </c>
      <c r="B1424">
        <f>IF(Квартиры!B1422="","",Квартиры!B1422)</f>
        <v/>
      </c>
      <c r="C1424">
        <f>IF(Квартиры!C1422="","",Квартиры!C1422)</f>
        <v/>
      </c>
      <c r="D1424">
        <f>IF(Квартиры!D1422="","",Квартиры!D1422)</f>
        <v/>
      </c>
      <c r="E1424">
        <f>IF(Квартиры!G1422="","",Квартиры!G1422)</f>
        <v/>
      </c>
      <c r="F1424">
        <f>IF(Квартиры!E1422="","",Квартиры!E1422)</f>
        <v/>
      </c>
      <c r="G1424">
        <f>IF(Квартиры!F1422="","",Квартиры!F1422)</f>
        <v/>
      </c>
      <c r="H1424">
        <f>IF(Квартиры!H1422="","",Квартиры!H1422)</f>
        <v/>
      </c>
      <c r="I1424">
        <f>IF(Квартиры!I1422="","",Квартиры!I1422)</f>
        <v/>
      </c>
      <c r="J1424">
        <f>IF(Квартиры!J1422="","",Квартиры!J1422)</f>
        <v/>
      </c>
    </row>
    <row r="1425">
      <c r="A1425">
        <f>IF(Квартиры!A1423="","",Квартиры!A1423)</f>
        <v/>
      </c>
      <c r="B1425">
        <f>IF(Квартиры!B1423="","",Квартиры!B1423)</f>
        <v/>
      </c>
      <c r="C1425">
        <f>IF(Квартиры!C1423="","",Квартиры!C1423)</f>
        <v/>
      </c>
      <c r="D1425">
        <f>IF(Квартиры!D1423="","",Квартиры!D1423)</f>
        <v/>
      </c>
      <c r="E1425">
        <f>IF(Квартиры!G1423="","",Квартиры!G1423)</f>
        <v/>
      </c>
      <c r="F1425">
        <f>IF(Квартиры!E1423="","",Квартиры!E1423)</f>
        <v/>
      </c>
      <c r="G1425">
        <f>IF(Квартиры!F1423="","",Квартиры!F1423)</f>
        <v/>
      </c>
      <c r="H1425">
        <f>IF(Квартиры!H1423="","",Квартиры!H1423)</f>
        <v/>
      </c>
      <c r="I1425">
        <f>IF(Квартиры!I1423="","",Квартиры!I1423)</f>
        <v/>
      </c>
      <c r="J1425">
        <f>IF(Квартиры!J1423="","",Квартиры!J1423)</f>
        <v/>
      </c>
    </row>
    <row r="1426">
      <c r="A1426">
        <f>IF(Квартиры!A1424="","",Квартиры!A1424)</f>
        <v/>
      </c>
      <c r="B1426">
        <f>IF(Квартиры!B1424="","",Квартиры!B1424)</f>
        <v/>
      </c>
      <c r="C1426">
        <f>IF(Квартиры!C1424="","",Квартиры!C1424)</f>
        <v/>
      </c>
      <c r="D1426">
        <f>IF(Квартиры!D1424="","",Квартиры!D1424)</f>
        <v/>
      </c>
      <c r="E1426">
        <f>IF(Квартиры!G1424="","",Квартиры!G1424)</f>
        <v/>
      </c>
      <c r="F1426">
        <f>IF(Квартиры!E1424="","",Квартиры!E1424)</f>
        <v/>
      </c>
      <c r="G1426">
        <f>IF(Квартиры!F1424="","",Квартиры!F1424)</f>
        <v/>
      </c>
      <c r="H1426">
        <f>IF(Квартиры!H1424="","",Квартиры!H1424)</f>
        <v/>
      </c>
      <c r="I1426">
        <f>IF(Квартиры!I1424="","",Квартиры!I1424)</f>
        <v/>
      </c>
      <c r="J1426">
        <f>IF(Квартиры!J1424="","",Квартиры!J1424)</f>
        <v/>
      </c>
    </row>
    <row r="1427">
      <c r="A1427">
        <f>IF(Квартиры!A1425="","",Квартиры!A1425)</f>
        <v/>
      </c>
      <c r="B1427">
        <f>IF(Квартиры!B1425="","",Квартиры!B1425)</f>
        <v/>
      </c>
      <c r="C1427">
        <f>IF(Квартиры!C1425="","",Квартиры!C1425)</f>
        <v/>
      </c>
      <c r="D1427">
        <f>IF(Квартиры!D1425="","",Квартиры!D1425)</f>
        <v/>
      </c>
      <c r="E1427">
        <f>IF(Квартиры!G1425="","",Квартиры!G1425)</f>
        <v/>
      </c>
      <c r="F1427">
        <f>IF(Квартиры!E1425="","",Квартиры!E1425)</f>
        <v/>
      </c>
      <c r="G1427">
        <f>IF(Квартиры!F1425="","",Квартиры!F1425)</f>
        <v/>
      </c>
      <c r="H1427">
        <f>IF(Квартиры!H1425="","",Квартиры!H1425)</f>
        <v/>
      </c>
      <c r="I1427">
        <f>IF(Квартиры!I1425="","",Квартиры!I1425)</f>
        <v/>
      </c>
      <c r="J1427">
        <f>IF(Квартиры!J1425="","",Квартиры!J1425)</f>
        <v/>
      </c>
    </row>
    <row r="1428">
      <c r="A1428">
        <f>IF(Квартиры!A1426="","",Квартиры!A1426)</f>
        <v/>
      </c>
      <c r="B1428">
        <f>IF(Квартиры!B1426="","",Квартиры!B1426)</f>
        <v/>
      </c>
      <c r="C1428">
        <f>IF(Квартиры!C1426="","",Квартиры!C1426)</f>
        <v/>
      </c>
      <c r="D1428">
        <f>IF(Квартиры!D1426="","",Квартиры!D1426)</f>
        <v/>
      </c>
      <c r="E1428">
        <f>IF(Квартиры!G1426="","",Квартиры!G1426)</f>
        <v/>
      </c>
      <c r="F1428">
        <f>IF(Квартиры!E1426="","",Квартиры!E1426)</f>
        <v/>
      </c>
      <c r="G1428">
        <f>IF(Квартиры!F1426="","",Квартиры!F1426)</f>
        <v/>
      </c>
      <c r="H1428">
        <f>IF(Квартиры!H1426="","",Квартиры!H1426)</f>
        <v/>
      </c>
      <c r="I1428">
        <f>IF(Квартиры!I1426="","",Квартиры!I1426)</f>
        <v/>
      </c>
      <c r="J1428">
        <f>IF(Квартиры!J1426="","",Квартиры!J1426)</f>
        <v/>
      </c>
    </row>
    <row r="1429">
      <c r="A1429">
        <f>IF(Квартиры!A1427="","",Квартиры!A1427)</f>
        <v/>
      </c>
      <c r="B1429">
        <f>IF(Квартиры!B1427="","",Квартиры!B1427)</f>
        <v/>
      </c>
      <c r="C1429">
        <f>IF(Квартиры!C1427="","",Квартиры!C1427)</f>
        <v/>
      </c>
      <c r="D1429">
        <f>IF(Квартиры!D1427="","",Квартиры!D1427)</f>
        <v/>
      </c>
      <c r="E1429">
        <f>IF(Квартиры!G1427="","",Квартиры!G1427)</f>
        <v/>
      </c>
      <c r="F1429">
        <f>IF(Квартиры!E1427="","",Квартиры!E1427)</f>
        <v/>
      </c>
      <c r="G1429">
        <f>IF(Квартиры!F1427="","",Квартиры!F1427)</f>
        <v/>
      </c>
      <c r="H1429">
        <f>IF(Квартиры!H1427="","",Квартиры!H1427)</f>
        <v/>
      </c>
      <c r="I1429">
        <f>IF(Квартиры!I1427="","",Квартиры!I1427)</f>
        <v/>
      </c>
      <c r="J1429">
        <f>IF(Квартиры!J1427="","",Квартиры!J1427)</f>
        <v/>
      </c>
    </row>
    <row r="1430">
      <c r="A1430">
        <f>IF(Квартиры!A1428="","",Квартиры!A1428)</f>
        <v/>
      </c>
      <c r="B1430">
        <f>IF(Квартиры!B1428="","",Квартиры!B1428)</f>
        <v/>
      </c>
      <c r="C1430">
        <f>IF(Квартиры!C1428="","",Квартиры!C1428)</f>
        <v/>
      </c>
      <c r="D1430">
        <f>IF(Квартиры!D1428="","",Квартиры!D1428)</f>
        <v/>
      </c>
      <c r="E1430">
        <f>IF(Квартиры!G1428="","",Квартиры!G1428)</f>
        <v/>
      </c>
      <c r="F1430">
        <f>IF(Квартиры!E1428="","",Квартиры!E1428)</f>
        <v/>
      </c>
      <c r="G1430">
        <f>IF(Квартиры!F1428="","",Квартиры!F1428)</f>
        <v/>
      </c>
      <c r="H1430">
        <f>IF(Квартиры!H1428="","",Квартиры!H1428)</f>
        <v/>
      </c>
      <c r="I1430">
        <f>IF(Квартиры!I1428="","",Квартиры!I1428)</f>
        <v/>
      </c>
      <c r="J1430">
        <f>IF(Квартиры!J1428="","",Квартиры!J1428)</f>
        <v/>
      </c>
    </row>
    <row r="1431">
      <c r="A1431">
        <f>IF(Квартиры!A1429="","",Квартиры!A1429)</f>
        <v/>
      </c>
      <c r="B1431">
        <f>IF(Квартиры!B1429="","",Квартиры!B1429)</f>
        <v/>
      </c>
      <c r="C1431">
        <f>IF(Квартиры!C1429="","",Квартиры!C1429)</f>
        <v/>
      </c>
      <c r="D1431">
        <f>IF(Квартиры!D1429="","",Квартиры!D1429)</f>
        <v/>
      </c>
      <c r="E1431">
        <f>IF(Квартиры!G1429="","",Квартиры!G1429)</f>
        <v/>
      </c>
      <c r="F1431">
        <f>IF(Квартиры!E1429="","",Квартиры!E1429)</f>
        <v/>
      </c>
      <c r="G1431">
        <f>IF(Квартиры!F1429="","",Квартиры!F1429)</f>
        <v/>
      </c>
      <c r="H1431">
        <f>IF(Квартиры!H1429="","",Квартиры!H1429)</f>
        <v/>
      </c>
      <c r="I1431">
        <f>IF(Квартиры!I1429="","",Квартиры!I1429)</f>
        <v/>
      </c>
      <c r="J1431">
        <f>IF(Квартиры!J1429="","",Квартиры!J1429)</f>
        <v/>
      </c>
    </row>
    <row r="1432">
      <c r="A1432">
        <f>IF(Квартиры!A1430="","",Квартиры!A1430)</f>
        <v/>
      </c>
      <c r="B1432">
        <f>IF(Квартиры!B1430="","",Квартиры!B1430)</f>
        <v/>
      </c>
      <c r="C1432">
        <f>IF(Квартиры!C1430="","",Квартиры!C1430)</f>
        <v/>
      </c>
      <c r="D1432">
        <f>IF(Квартиры!D1430="","",Квартиры!D1430)</f>
        <v/>
      </c>
      <c r="E1432">
        <f>IF(Квартиры!G1430="","",Квартиры!G1430)</f>
        <v/>
      </c>
      <c r="F1432">
        <f>IF(Квартиры!E1430="","",Квартиры!E1430)</f>
        <v/>
      </c>
      <c r="G1432">
        <f>IF(Квартиры!F1430="","",Квартиры!F1430)</f>
        <v/>
      </c>
      <c r="H1432">
        <f>IF(Квартиры!H1430="","",Квартиры!H1430)</f>
        <v/>
      </c>
      <c r="I1432">
        <f>IF(Квартиры!I1430="","",Квартиры!I1430)</f>
        <v/>
      </c>
      <c r="J1432">
        <f>IF(Квартиры!J1430="","",Квартиры!J1430)</f>
        <v/>
      </c>
    </row>
    <row r="1433">
      <c r="A1433">
        <f>IF(Квартиры!A1431="","",Квартиры!A1431)</f>
        <v/>
      </c>
      <c r="B1433">
        <f>IF(Квартиры!B1431="","",Квартиры!B1431)</f>
        <v/>
      </c>
      <c r="C1433">
        <f>IF(Квартиры!C1431="","",Квартиры!C1431)</f>
        <v/>
      </c>
      <c r="D1433">
        <f>IF(Квартиры!D1431="","",Квартиры!D1431)</f>
        <v/>
      </c>
      <c r="E1433">
        <f>IF(Квартиры!G1431="","",Квартиры!G1431)</f>
        <v/>
      </c>
      <c r="F1433">
        <f>IF(Квартиры!E1431="","",Квартиры!E1431)</f>
        <v/>
      </c>
      <c r="G1433">
        <f>IF(Квартиры!F1431="","",Квартиры!F1431)</f>
        <v/>
      </c>
      <c r="H1433">
        <f>IF(Квартиры!H1431="","",Квартиры!H1431)</f>
        <v/>
      </c>
      <c r="I1433">
        <f>IF(Квартиры!I1431="","",Квартиры!I1431)</f>
        <v/>
      </c>
      <c r="J1433">
        <f>IF(Квартиры!J1431="","",Квартиры!J1431)</f>
        <v/>
      </c>
    </row>
    <row r="1434">
      <c r="A1434">
        <f>IF(Квартиры!A1432="","",Квартиры!A1432)</f>
        <v/>
      </c>
      <c r="B1434">
        <f>IF(Квартиры!B1432="","",Квартиры!B1432)</f>
        <v/>
      </c>
      <c r="C1434">
        <f>IF(Квартиры!C1432="","",Квартиры!C1432)</f>
        <v/>
      </c>
      <c r="D1434">
        <f>IF(Квартиры!D1432="","",Квартиры!D1432)</f>
        <v/>
      </c>
      <c r="E1434">
        <f>IF(Квартиры!G1432="","",Квартиры!G1432)</f>
        <v/>
      </c>
      <c r="F1434">
        <f>IF(Квартиры!E1432="","",Квартиры!E1432)</f>
        <v/>
      </c>
      <c r="G1434">
        <f>IF(Квартиры!F1432="","",Квартиры!F1432)</f>
        <v/>
      </c>
      <c r="H1434">
        <f>IF(Квартиры!H1432="","",Квартиры!H1432)</f>
        <v/>
      </c>
      <c r="I1434">
        <f>IF(Квартиры!I1432="","",Квартиры!I1432)</f>
        <v/>
      </c>
      <c r="J1434">
        <f>IF(Квартиры!J1432="","",Квартиры!J1432)</f>
        <v/>
      </c>
    </row>
    <row r="1435">
      <c r="A1435">
        <f>IF(Квартиры!A1433="","",Квартиры!A1433)</f>
        <v/>
      </c>
      <c r="B1435">
        <f>IF(Квартиры!B1433="","",Квартиры!B1433)</f>
        <v/>
      </c>
      <c r="C1435">
        <f>IF(Квартиры!C1433="","",Квартиры!C1433)</f>
        <v/>
      </c>
      <c r="D1435">
        <f>IF(Квартиры!D1433="","",Квартиры!D1433)</f>
        <v/>
      </c>
      <c r="E1435">
        <f>IF(Квартиры!G1433="","",Квартиры!G1433)</f>
        <v/>
      </c>
      <c r="F1435">
        <f>IF(Квартиры!E1433="","",Квартиры!E1433)</f>
        <v/>
      </c>
      <c r="G1435">
        <f>IF(Квартиры!F1433="","",Квартиры!F1433)</f>
        <v/>
      </c>
      <c r="H1435">
        <f>IF(Квартиры!H1433="","",Квартиры!H1433)</f>
        <v/>
      </c>
      <c r="I1435">
        <f>IF(Квартиры!I1433="","",Квартиры!I1433)</f>
        <v/>
      </c>
      <c r="J1435">
        <f>IF(Квартиры!J1433="","",Квартиры!J1433)</f>
        <v/>
      </c>
    </row>
    <row r="1436">
      <c r="A1436">
        <f>IF(Квартиры!A1434="","",Квартиры!A1434)</f>
        <v/>
      </c>
      <c r="B1436">
        <f>IF(Квартиры!B1434="","",Квартиры!B1434)</f>
        <v/>
      </c>
      <c r="C1436">
        <f>IF(Квартиры!C1434="","",Квартиры!C1434)</f>
        <v/>
      </c>
      <c r="D1436">
        <f>IF(Квартиры!D1434="","",Квартиры!D1434)</f>
        <v/>
      </c>
      <c r="E1436">
        <f>IF(Квартиры!G1434="","",Квартиры!G1434)</f>
        <v/>
      </c>
      <c r="F1436">
        <f>IF(Квартиры!E1434="","",Квартиры!E1434)</f>
        <v/>
      </c>
      <c r="G1436">
        <f>IF(Квартиры!F1434="","",Квартиры!F1434)</f>
        <v/>
      </c>
      <c r="H1436">
        <f>IF(Квартиры!H1434="","",Квартиры!H1434)</f>
        <v/>
      </c>
      <c r="I1436">
        <f>IF(Квартиры!I1434="","",Квартиры!I1434)</f>
        <v/>
      </c>
      <c r="J1436">
        <f>IF(Квартиры!J1434="","",Квартиры!J1434)</f>
        <v/>
      </c>
    </row>
    <row r="1437">
      <c r="A1437">
        <f>IF(Квартиры!A1435="","",Квартиры!A1435)</f>
        <v/>
      </c>
      <c r="B1437">
        <f>IF(Квартиры!B1435="","",Квартиры!B1435)</f>
        <v/>
      </c>
      <c r="C1437">
        <f>IF(Квартиры!C1435="","",Квартиры!C1435)</f>
        <v/>
      </c>
      <c r="D1437">
        <f>IF(Квартиры!D1435="","",Квартиры!D1435)</f>
        <v/>
      </c>
      <c r="E1437">
        <f>IF(Квартиры!G1435="","",Квартиры!G1435)</f>
        <v/>
      </c>
      <c r="F1437">
        <f>IF(Квартиры!E1435="","",Квартиры!E1435)</f>
        <v/>
      </c>
      <c r="G1437">
        <f>IF(Квартиры!F1435="","",Квартиры!F1435)</f>
        <v/>
      </c>
      <c r="H1437">
        <f>IF(Квартиры!H1435="","",Квартиры!H1435)</f>
        <v/>
      </c>
      <c r="I1437">
        <f>IF(Квартиры!I1435="","",Квартиры!I1435)</f>
        <v/>
      </c>
      <c r="J1437">
        <f>IF(Квартиры!J1435="","",Квартиры!J1435)</f>
        <v/>
      </c>
    </row>
    <row r="1438">
      <c r="A1438">
        <f>IF(Квартиры!A1436="","",Квартиры!A1436)</f>
        <v/>
      </c>
      <c r="B1438">
        <f>IF(Квартиры!B1436="","",Квартиры!B1436)</f>
        <v/>
      </c>
      <c r="C1438">
        <f>IF(Квартиры!C1436="","",Квартиры!C1436)</f>
        <v/>
      </c>
      <c r="D1438">
        <f>IF(Квартиры!D1436="","",Квартиры!D1436)</f>
        <v/>
      </c>
      <c r="E1438">
        <f>IF(Квартиры!G1436="","",Квартиры!G1436)</f>
        <v/>
      </c>
      <c r="F1438">
        <f>IF(Квартиры!E1436="","",Квартиры!E1436)</f>
        <v/>
      </c>
      <c r="G1438">
        <f>IF(Квартиры!F1436="","",Квартиры!F1436)</f>
        <v/>
      </c>
      <c r="H1438">
        <f>IF(Квартиры!H1436="","",Квартиры!H1436)</f>
        <v/>
      </c>
      <c r="I1438">
        <f>IF(Квартиры!I1436="","",Квартиры!I1436)</f>
        <v/>
      </c>
      <c r="J1438">
        <f>IF(Квартиры!J1436="","",Квартиры!J1436)</f>
        <v/>
      </c>
    </row>
    <row r="1439">
      <c r="A1439">
        <f>IF(Квартиры!A1437="","",Квартиры!A1437)</f>
        <v/>
      </c>
      <c r="B1439">
        <f>IF(Квартиры!B1437="","",Квартиры!B1437)</f>
        <v/>
      </c>
      <c r="C1439">
        <f>IF(Квартиры!C1437="","",Квартиры!C1437)</f>
        <v/>
      </c>
      <c r="D1439">
        <f>IF(Квартиры!D1437="","",Квартиры!D1437)</f>
        <v/>
      </c>
      <c r="E1439">
        <f>IF(Квартиры!G1437="","",Квартиры!G1437)</f>
        <v/>
      </c>
      <c r="F1439">
        <f>IF(Квартиры!E1437="","",Квартиры!E1437)</f>
        <v/>
      </c>
      <c r="G1439">
        <f>IF(Квартиры!F1437="","",Квартиры!F1437)</f>
        <v/>
      </c>
      <c r="H1439">
        <f>IF(Квартиры!H1437="","",Квартиры!H1437)</f>
        <v/>
      </c>
      <c r="I1439">
        <f>IF(Квартиры!I1437="","",Квартиры!I1437)</f>
        <v/>
      </c>
      <c r="J1439">
        <f>IF(Квартиры!J1437="","",Квартиры!J1437)</f>
        <v/>
      </c>
    </row>
    <row r="1440">
      <c r="A1440">
        <f>IF(Квартиры!A1438="","",Квартиры!A1438)</f>
        <v/>
      </c>
      <c r="B1440">
        <f>IF(Квартиры!B1438="","",Квартиры!B1438)</f>
        <v/>
      </c>
      <c r="C1440">
        <f>IF(Квартиры!C1438="","",Квартиры!C1438)</f>
        <v/>
      </c>
      <c r="D1440">
        <f>IF(Квартиры!D1438="","",Квартиры!D1438)</f>
        <v/>
      </c>
      <c r="E1440">
        <f>IF(Квартиры!G1438="","",Квартиры!G1438)</f>
        <v/>
      </c>
      <c r="F1440">
        <f>IF(Квартиры!E1438="","",Квартиры!E1438)</f>
        <v/>
      </c>
      <c r="G1440">
        <f>IF(Квартиры!F1438="","",Квартиры!F1438)</f>
        <v/>
      </c>
      <c r="H1440">
        <f>IF(Квартиры!H1438="","",Квартиры!H1438)</f>
        <v/>
      </c>
      <c r="I1440">
        <f>IF(Квартиры!I1438="","",Квартиры!I1438)</f>
        <v/>
      </c>
      <c r="J1440">
        <f>IF(Квартиры!J1438="","",Квартиры!J1438)</f>
        <v/>
      </c>
    </row>
    <row r="1441">
      <c r="A1441">
        <f>IF(Квартиры!A1439="","",Квартиры!A1439)</f>
        <v/>
      </c>
      <c r="B1441">
        <f>IF(Квартиры!B1439="","",Квартиры!B1439)</f>
        <v/>
      </c>
      <c r="C1441">
        <f>IF(Квартиры!C1439="","",Квартиры!C1439)</f>
        <v/>
      </c>
      <c r="D1441">
        <f>IF(Квартиры!D1439="","",Квартиры!D1439)</f>
        <v/>
      </c>
      <c r="E1441">
        <f>IF(Квартиры!G1439="","",Квартиры!G1439)</f>
        <v/>
      </c>
      <c r="F1441">
        <f>IF(Квартиры!E1439="","",Квартиры!E1439)</f>
        <v/>
      </c>
      <c r="G1441">
        <f>IF(Квартиры!F1439="","",Квартиры!F1439)</f>
        <v/>
      </c>
      <c r="H1441">
        <f>IF(Квартиры!H1439="","",Квартиры!H1439)</f>
        <v/>
      </c>
      <c r="I1441">
        <f>IF(Квартиры!I1439="","",Квартиры!I1439)</f>
        <v/>
      </c>
      <c r="J1441">
        <f>IF(Квартиры!J1439="","",Квартиры!J1439)</f>
        <v/>
      </c>
    </row>
    <row r="1442">
      <c r="A1442">
        <f>IF(Квартиры!A1440="","",Квартиры!A1440)</f>
        <v/>
      </c>
      <c r="B1442">
        <f>IF(Квартиры!B1440="","",Квартиры!B1440)</f>
        <v/>
      </c>
      <c r="C1442">
        <f>IF(Квартиры!C1440="","",Квартиры!C1440)</f>
        <v/>
      </c>
      <c r="D1442">
        <f>IF(Квартиры!D1440="","",Квартиры!D1440)</f>
        <v/>
      </c>
      <c r="E1442">
        <f>IF(Квартиры!G1440="","",Квартиры!G1440)</f>
        <v/>
      </c>
      <c r="F1442">
        <f>IF(Квартиры!E1440="","",Квартиры!E1440)</f>
        <v/>
      </c>
      <c r="G1442">
        <f>IF(Квартиры!F1440="","",Квартиры!F1440)</f>
        <v/>
      </c>
      <c r="H1442">
        <f>IF(Квартиры!H1440="","",Квартиры!H1440)</f>
        <v/>
      </c>
      <c r="I1442">
        <f>IF(Квартиры!I1440="","",Квартиры!I1440)</f>
        <v/>
      </c>
      <c r="J1442">
        <f>IF(Квартиры!J1440="","",Квартиры!J1440)</f>
        <v/>
      </c>
    </row>
    <row r="1443">
      <c r="A1443">
        <f>IF(Квартиры!A1441="","",Квартиры!A1441)</f>
        <v/>
      </c>
      <c r="B1443">
        <f>IF(Квартиры!B1441="","",Квартиры!B1441)</f>
        <v/>
      </c>
      <c r="C1443">
        <f>IF(Квартиры!C1441="","",Квартиры!C1441)</f>
        <v/>
      </c>
      <c r="D1443">
        <f>IF(Квартиры!D1441="","",Квартиры!D1441)</f>
        <v/>
      </c>
      <c r="E1443">
        <f>IF(Квартиры!G1441="","",Квартиры!G1441)</f>
        <v/>
      </c>
      <c r="F1443">
        <f>IF(Квартиры!E1441="","",Квартиры!E1441)</f>
        <v/>
      </c>
      <c r="G1443">
        <f>IF(Квартиры!F1441="","",Квартиры!F1441)</f>
        <v/>
      </c>
      <c r="H1443">
        <f>IF(Квартиры!H1441="","",Квартиры!H1441)</f>
        <v/>
      </c>
      <c r="I1443">
        <f>IF(Квартиры!I1441="","",Квартиры!I1441)</f>
        <v/>
      </c>
      <c r="J1443">
        <f>IF(Квартиры!J1441="","",Квартиры!J1441)</f>
        <v/>
      </c>
    </row>
    <row r="1444">
      <c r="A1444">
        <f>IF(Квартиры!A1442="","",Квартиры!A1442)</f>
        <v/>
      </c>
      <c r="B1444">
        <f>IF(Квартиры!B1442="","",Квартиры!B1442)</f>
        <v/>
      </c>
      <c r="C1444">
        <f>IF(Квартиры!C1442="","",Квартиры!C1442)</f>
        <v/>
      </c>
      <c r="D1444">
        <f>IF(Квартиры!D1442="","",Квартиры!D1442)</f>
        <v/>
      </c>
      <c r="E1444">
        <f>IF(Квартиры!G1442="","",Квартиры!G1442)</f>
        <v/>
      </c>
      <c r="F1444">
        <f>IF(Квартиры!E1442="","",Квартиры!E1442)</f>
        <v/>
      </c>
      <c r="G1444">
        <f>IF(Квартиры!F1442="","",Квартиры!F1442)</f>
        <v/>
      </c>
      <c r="H1444">
        <f>IF(Квартиры!H1442="","",Квартиры!H1442)</f>
        <v/>
      </c>
      <c r="I1444">
        <f>IF(Квартиры!I1442="","",Квартиры!I1442)</f>
        <v/>
      </c>
      <c r="J1444">
        <f>IF(Квартиры!J1442="","",Квартиры!J1442)</f>
        <v/>
      </c>
    </row>
    <row r="1445">
      <c r="A1445">
        <f>IF(Квартиры!A1443="","",Квартиры!A1443)</f>
        <v/>
      </c>
      <c r="B1445">
        <f>IF(Квартиры!B1443="","",Квартиры!B1443)</f>
        <v/>
      </c>
      <c r="C1445">
        <f>IF(Квартиры!C1443="","",Квартиры!C1443)</f>
        <v/>
      </c>
      <c r="D1445">
        <f>IF(Квартиры!D1443="","",Квартиры!D1443)</f>
        <v/>
      </c>
      <c r="E1445">
        <f>IF(Квартиры!G1443="","",Квартиры!G1443)</f>
        <v/>
      </c>
      <c r="F1445">
        <f>IF(Квартиры!E1443="","",Квартиры!E1443)</f>
        <v/>
      </c>
      <c r="G1445">
        <f>IF(Квартиры!F1443="","",Квартиры!F1443)</f>
        <v/>
      </c>
      <c r="H1445">
        <f>IF(Квартиры!H1443="","",Квартиры!H1443)</f>
        <v/>
      </c>
      <c r="I1445">
        <f>IF(Квартиры!I1443="","",Квартиры!I1443)</f>
        <v/>
      </c>
      <c r="J1445">
        <f>IF(Квартиры!J1443="","",Квартиры!J1443)</f>
        <v/>
      </c>
    </row>
    <row r="1446">
      <c r="A1446">
        <f>IF(Квартиры!A1444="","",Квартиры!A1444)</f>
        <v/>
      </c>
      <c r="B1446">
        <f>IF(Квартиры!B1444="","",Квартиры!B1444)</f>
        <v/>
      </c>
      <c r="C1446">
        <f>IF(Квартиры!C1444="","",Квартиры!C1444)</f>
        <v/>
      </c>
      <c r="D1446">
        <f>IF(Квартиры!D1444="","",Квартиры!D1444)</f>
        <v/>
      </c>
      <c r="E1446">
        <f>IF(Квартиры!G1444="","",Квартиры!G1444)</f>
        <v/>
      </c>
      <c r="F1446">
        <f>IF(Квартиры!E1444="","",Квартиры!E1444)</f>
        <v/>
      </c>
      <c r="G1446">
        <f>IF(Квартиры!F1444="","",Квартиры!F1444)</f>
        <v/>
      </c>
      <c r="H1446">
        <f>IF(Квартиры!H1444="","",Квартиры!H1444)</f>
        <v/>
      </c>
      <c r="I1446">
        <f>IF(Квартиры!I1444="","",Квартиры!I1444)</f>
        <v/>
      </c>
      <c r="J1446">
        <f>IF(Квартиры!J1444="","",Квартиры!J1444)</f>
        <v/>
      </c>
    </row>
    <row r="1447">
      <c r="A1447">
        <f>IF(Квартиры!A1445="","",Квартиры!A1445)</f>
        <v/>
      </c>
      <c r="B1447">
        <f>IF(Квартиры!B1445="","",Квартиры!B1445)</f>
        <v/>
      </c>
      <c r="C1447">
        <f>IF(Квартиры!C1445="","",Квартиры!C1445)</f>
        <v/>
      </c>
      <c r="D1447">
        <f>IF(Квартиры!D1445="","",Квартиры!D1445)</f>
        <v/>
      </c>
      <c r="E1447">
        <f>IF(Квартиры!G1445="","",Квартиры!G1445)</f>
        <v/>
      </c>
      <c r="F1447">
        <f>IF(Квартиры!E1445="","",Квартиры!E1445)</f>
        <v/>
      </c>
      <c r="G1447">
        <f>IF(Квартиры!F1445="","",Квартиры!F1445)</f>
        <v/>
      </c>
      <c r="H1447">
        <f>IF(Квартиры!H1445="","",Квартиры!H1445)</f>
        <v/>
      </c>
      <c r="I1447">
        <f>IF(Квартиры!I1445="","",Квартиры!I1445)</f>
        <v/>
      </c>
      <c r="J1447">
        <f>IF(Квартиры!J1445="","",Квартиры!J1445)</f>
        <v/>
      </c>
    </row>
    <row r="1448">
      <c r="A1448">
        <f>IF(Квартиры!A1446="","",Квартиры!A1446)</f>
        <v/>
      </c>
      <c r="B1448">
        <f>IF(Квартиры!B1446="","",Квартиры!B1446)</f>
        <v/>
      </c>
      <c r="C1448">
        <f>IF(Квартиры!C1446="","",Квартиры!C1446)</f>
        <v/>
      </c>
      <c r="D1448">
        <f>IF(Квартиры!D1446="","",Квартиры!D1446)</f>
        <v/>
      </c>
      <c r="E1448">
        <f>IF(Квартиры!G1446="","",Квартиры!G1446)</f>
        <v/>
      </c>
      <c r="F1448">
        <f>IF(Квартиры!E1446="","",Квартиры!E1446)</f>
        <v/>
      </c>
      <c r="G1448">
        <f>IF(Квартиры!F1446="","",Квартиры!F1446)</f>
        <v/>
      </c>
      <c r="H1448">
        <f>IF(Квартиры!H1446="","",Квартиры!H1446)</f>
        <v/>
      </c>
      <c r="I1448">
        <f>IF(Квартиры!I1446="","",Квартиры!I1446)</f>
        <v/>
      </c>
      <c r="J1448">
        <f>IF(Квартиры!J1446="","",Квартиры!J1446)</f>
        <v/>
      </c>
    </row>
    <row r="1449">
      <c r="A1449">
        <f>IF(Квартиры!A1447="","",Квартиры!A1447)</f>
        <v/>
      </c>
      <c r="B1449">
        <f>IF(Квартиры!B1447="","",Квартиры!B1447)</f>
        <v/>
      </c>
      <c r="C1449">
        <f>IF(Квартиры!C1447="","",Квартиры!C1447)</f>
        <v/>
      </c>
      <c r="D1449">
        <f>IF(Квартиры!D1447="","",Квартиры!D1447)</f>
        <v/>
      </c>
      <c r="E1449">
        <f>IF(Квартиры!G1447="","",Квартиры!G1447)</f>
        <v/>
      </c>
      <c r="F1449">
        <f>IF(Квартиры!E1447="","",Квартиры!E1447)</f>
        <v/>
      </c>
      <c r="G1449">
        <f>IF(Квартиры!F1447="","",Квартиры!F1447)</f>
        <v/>
      </c>
      <c r="H1449">
        <f>IF(Квартиры!H1447="","",Квартиры!H1447)</f>
        <v/>
      </c>
      <c r="I1449">
        <f>IF(Квартиры!I1447="","",Квартиры!I1447)</f>
        <v/>
      </c>
      <c r="J1449">
        <f>IF(Квартиры!J1447="","",Квартиры!J1447)</f>
        <v/>
      </c>
    </row>
    <row r="1450">
      <c r="A1450">
        <f>IF(Квартиры!A1448="","",Квартиры!A1448)</f>
        <v/>
      </c>
      <c r="B1450">
        <f>IF(Квартиры!B1448="","",Квартиры!B1448)</f>
        <v/>
      </c>
      <c r="C1450">
        <f>IF(Квартиры!C1448="","",Квартиры!C1448)</f>
        <v/>
      </c>
      <c r="D1450">
        <f>IF(Квартиры!D1448="","",Квартиры!D1448)</f>
        <v/>
      </c>
      <c r="E1450">
        <f>IF(Квартиры!G1448="","",Квартиры!G1448)</f>
        <v/>
      </c>
      <c r="F1450">
        <f>IF(Квартиры!E1448="","",Квартиры!E1448)</f>
        <v/>
      </c>
      <c r="G1450">
        <f>IF(Квартиры!F1448="","",Квартиры!F1448)</f>
        <v/>
      </c>
      <c r="H1450">
        <f>IF(Квартиры!H1448="","",Квартиры!H1448)</f>
        <v/>
      </c>
      <c r="I1450">
        <f>IF(Квартиры!I1448="","",Квартиры!I1448)</f>
        <v/>
      </c>
      <c r="J1450">
        <f>IF(Квартиры!J1448="","",Квартиры!J1448)</f>
        <v/>
      </c>
    </row>
    <row r="1451">
      <c r="A1451">
        <f>IF(Квартиры!A1449="","",Квартиры!A1449)</f>
        <v/>
      </c>
      <c r="B1451">
        <f>IF(Квартиры!B1449="","",Квартиры!B1449)</f>
        <v/>
      </c>
      <c r="C1451">
        <f>IF(Квартиры!C1449="","",Квартиры!C1449)</f>
        <v/>
      </c>
      <c r="D1451">
        <f>IF(Квартиры!D1449="","",Квартиры!D1449)</f>
        <v/>
      </c>
      <c r="E1451">
        <f>IF(Квартиры!G1449="","",Квартиры!G1449)</f>
        <v/>
      </c>
      <c r="F1451">
        <f>IF(Квартиры!E1449="","",Квартиры!E1449)</f>
        <v/>
      </c>
      <c r="G1451">
        <f>IF(Квартиры!F1449="","",Квартиры!F1449)</f>
        <v/>
      </c>
      <c r="H1451">
        <f>IF(Квартиры!H1449="","",Квартиры!H1449)</f>
        <v/>
      </c>
      <c r="I1451">
        <f>IF(Квартиры!I1449="","",Квартиры!I1449)</f>
        <v/>
      </c>
      <c r="J1451">
        <f>IF(Квартиры!J1449="","",Квартиры!J1449)</f>
        <v/>
      </c>
    </row>
    <row r="1452">
      <c r="A1452">
        <f>IF(Квартиры!A1450="","",Квартиры!A1450)</f>
        <v/>
      </c>
      <c r="B1452">
        <f>IF(Квартиры!B1450="","",Квартиры!B1450)</f>
        <v/>
      </c>
      <c r="C1452">
        <f>IF(Квартиры!C1450="","",Квартиры!C1450)</f>
        <v/>
      </c>
      <c r="D1452">
        <f>IF(Квартиры!D1450="","",Квартиры!D1450)</f>
        <v/>
      </c>
      <c r="E1452">
        <f>IF(Квартиры!G1450="","",Квартиры!G1450)</f>
        <v/>
      </c>
      <c r="F1452">
        <f>IF(Квартиры!E1450="","",Квартиры!E1450)</f>
        <v/>
      </c>
      <c r="G1452">
        <f>IF(Квартиры!F1450="","",Квартиры!F1450)</f>
        <v/>
      </c>
      <c r="H1452">
        <f>IF(Квартиры!H1450="","",Квартиры!H1450)</f>
        <v/>
      </c>
      <c r="I1452">
        <f>IF(Квартиры!I1450="","",Квартиры!I1450)</f>
        <v/>
      </c>
      <c r="J1452">
        <f>IF(Квартиры!J1450="","",Квартиры!J1450)</f>
        <v/>
      </c>
    </row>
    <row r="1453">
      <c r="A1453">
        <f>IF(Квартиры!A1451="","",Квартиры!A1451)</f>
        <v/>
      </c>
      <c r="B1453">
        <f>IF(Квартиры!B1451="","",Квартиры!B1451)</f>
        <v/>
      </c>
      <c r="C1453">
        <f>IF(Квартиры!C1451="","",Квартиры!C1451)</f>
        <v/>
      </c>
      <c r="D1453">
        <f>IF(Квартиры!D1451="","",Квартиры!D1451)</f>
        <v/>
      </c>
      <c r="E1453">
        <f>IF(Квартиры!G1451="","",Квартиры!G1451)</f>
        <v/>
      </c>
      <c r="F1453">
        <f>IF(Квартиры!E1451="","",Квартиры!E1451)</f>
        <v/>
      </c>
      <c r="G1453">
        <f>IF(Квартиры!F1451="","",Квартиры!F1451)</f>
        <v/>
      </c>
      <c r="H1453">
        <f>IF(Квартиры!H1451="","",Квартиры!H1451)</f>
        <v/>
      </c>
      <c r="I1453">
        <f>IF(Квартиры!I1451="","",Квартиры!I1451)</f>
        <v/>
      </c>
      <c r="J1453">
        <f>IF(Квартиры!J1451="","",Квартиры!J1451)</f>
        <v/>
      </c>
    </row>
    <row r="1454">
      <c r="A1454">
        <f>IF(Квартиры!A1452="","",Квартиры!A1452)</f>
        <v/>
      </c>
      <c r="B1454">
        <f>IF(Квартиры!B1452="","",Квартиры!B1452)</f>
        <v/>
      </c>
      <c r="C1454">
        <f>IF(Квартиры!C1452="","",Квартиры!C1452)</f>
        <v/>
      </c>
      <c r="D1454">
        <f>IF(Квартиры!D1452="","",Квартиры!D1452)</f>
        <v/>
      </c>
      <c r="E1454">
        <f>IF(Квартиры!G1452="","",Квартиры!G1452)</f>
        <v/>
      </c>
      <c r="F1454">
        <f>IF(Квартиры!E1452="","",Квартиры!E1452)</f>
        <v/>
      </c>
      <c r="G1454">
        <f>IF(Квартиры!F1452="","",Квартиры!F1452)</f>
        <v/>
      </c>
      <c r="H1454">
        <f>IF(Квартиры!H1452="","",Квартиры!H1452)</f>
        <v/>
      </c>
      <c r="I1454">
        <f>IF(Квартиры!I1452="","",Квартиры!I1452)</f>
        <v/>
      </c>
      <c r="J1454">
        <f>IF(Квартиры!J1452="","",Квартиры!J1452)</f>
        <v/>
      </c>
    </row>
    <row r="1455">
      <c r="A1455">
        <f>IF(Квартиры!A1453="","",Квартиры!A1453)</f>
        <v/>
      </c>
      <c r="B1455">
        <f>IF(Квартиры!B1453="","",Квартиры!B1453)</f>
        <v/>
      </c>
      <c r="C1455">
        <f>IF(Квартиры!C1453="","",Квартиры!C1453)</f>
        <v/>
      </c>
      <c r="D1455">
        <f>IF(Квартиры!D1453="","",Квартиры!D1453)</f>
        <v/>
      </c>
      <c r="E1455">
        <f>IF(Квартиры!G1453="","",Квартиры!G1453)</f>
        <v/>
      </c>
      <c r="F1455">
        <f>IF(Квартиры!E1453="","",Квартиры!E1453)</f>
        <v/>
      </c>
      <c r="G1455">
        <f>IF(Квартиры!F1453="","",Квартиры!F1453)</f>
        <v/>
      </c>
      <c r="H1455">
        <f>IF(Квартиры!H1453="","",Квартиры!H1453)</f>
        <v/>
      </c>
      <c r="I1455">
        <f>IF(Квартиры!I1453="","",Квартиры!I1453)</f>
        <v/>
      </c>
      <c r="J1455">
        <f>IF(Квартиры!J1453="","",Квартиры!J1453)</f>
        <v/>
      </c>
    </row>
    <row r="1456">
      <c r="A1456">
        <f>IF(Квартиры!A1454="","",Квартиры!A1454)</f>
        <v/>
      </c>
      <c r="B1456">
        <f>IF(Квартиры!B1454="","",Квартиры!B1454)</f>
        <v/>
      </c>
      <c r="C1456">
        <f>IF(Квартиры!C1454="","",Квартиры!C1454)</f>
        <v/>
      </c>
      <c r="D1456">
        <f>IF(Квартиры!D1454="","",Квартиры!D1454)</f>
        <v/>
      </c>
      <c r="E1456">
        <f>IF(Квартиры!G1454="","",Квартиры!G1454)</f>
        <v/>
      </c>
      <c r="F1456">
        <f>IF(Квартиры!E1454="","",Квартиры!E1454)</f>
        <v/>
      </c>
      <c r="G1456">
        <f>IF(Квартиры!F1454="","",Квартиры!F1454)</f>
        <v/>
      </c>
      <c r="H1456">
        <f>IF(Квартиры!H1454="","",Квартиры!H1454)</f>
        <v/>
      </c>
      <c r="I1456">
        <f>IF(Квартиры!I1454="","",Квартиры!I1454)</f>
        <v/>
      </c>
      <c r="J1456">
        <f>IF(Квартиры!J1454="","",Квартиры!J1454)</f>
        <v/>
      </c>
    </row>
    <row r="1457">
      <c r="A1457">
        <f>IF(Квартиры!A1455="","",Квартиры!A1455)</f>
        <v/>
      </c>
      <c r="B1457">
        <f>IF(Квартиры!B1455="","",Квартиры!B1455)</f>
        <v/>
      </c>
      <c r="C1457">
        <f>IF(Квартиры!C1455="","",Квартиры!C1455)</f>
        <v/>
      </c>
      <c r="D1457">
        <f>IF(Квартиры!D1455="","",Квартиры!D1455)</f>
        <v/>
      </c>
      <c r="E1457">
        <f>IF(Квартиры!G1455="","",Квартиры!G1455)</f>
        <v/>
      </c>
      <c r="F1457">
        <f>IF(Квартиры!E1455="","",Квартиры!E1455)</f>
        <v/>
      </c>
      <c r="G1457">
        <f>IF(Квартиры!F1455="","",Квартиры!F1455)</f>
        <v/>
      </c>
      <c r="H1457">
        <f>IF(Квартиры!H1455="","",Квартиры!H1455)</f>
        <v/>
      </c>
      <c r="I1457">
        <f>IF(Квартиры!I1455="","",Квартиры!I1455)</f>
        <v/>
      </c>
      <c r="J1457">
        <f>IF(Квартиры!J1455="","",Квартиры!J1455)</f>
        <v/>
      </c>
    </row>
    <row r="1458">
      <c r="A1458">
        <f>IF(Квартиры!A1456="","",Квартиры!A1456)</f>
        <v/>
      </c>
      <c r="B1458">
        <f>IF(Квартиры!B1456="","",Квартиры!B1456)</f>
        <v/>
      </c>
      <c r="C1458">
        <f>IF(Квартиры!C1456="","",Квартиры!C1456)</f>
        <v/>
      </c>
      <c r="D1458">
        <f>IF(Квартиры!D1456="","",Квартиры!D1456)</f>
        <v/>
      </c>
      <c r="E1458">
        <f>IF(Квартиры!G1456="","",Квартиры!G1456)</f>
        <v/>
      </c>
      <c r="F1458">
        <f>IF(Квартиры!E1456="","",Квартиры!E1456)</f>
        <v/>
      </c>
      <c r="G1458">
        <f>IF(Квартиры!F1456="","",Квартиры!F1456)</f>
        <v/>
      </c>
      <c r="H1458">
        <f>IF(Квартиры!H1456="","",Квартиры!H1456)</f>
        <v/>
      </c>
      <c r="I1458">
        <f>IF(Квартиры!I1456="","",Квартиры!I1456)</f>
        <v/>
      </c>
      <c r="J1458">
        <f>IF(Квартиры!J1456="","",Квартиры!J1456)</f>
        <v/>
      </c>
    </row>
    <row r="1459">
      <c r="A1459">
        <f>IF(Квартиры!A1457="","",Квартиры!A1457)</f>
        <v/>
      </c>
      <c r="B1459">
        <f>IF(Квартиры!B1457="","",Квартиры!B1457)</f>
        <v/>
      </c>
      <c r="C1459">
        <f>IF(Квартиры!C1457="","",Квартиры!C1457)</f>
        <v/>
      </c>
      <c r="D1459">
        <f>IF(Квартиры!D1457="","",Квартиры!D1457)</f>
        <v/>
      </c>
      <c r="E1459">
        <f>IF(Квартиры!G1457="","",Квартиры!G1457)</f>
        <v/>
      </c>
      <c r="F1459">
        <f>IF(Квартиры!E1457="","",Квартиры!E1457)</f>
        <v/>
      </c>
      <c r="G1459">
        <f>IF(Квартиры!F1457="","",Квартиры!F1457)</f>
        <v/>
      </c>
      <c r="H1459">
        <f>IF(Квартиры!H1457="","",Квартиры!H1457)</f>
        <v/>
      </c>
      <c r="I1459">
        <f>IF(Квартиры!I1457="","",Квартиры!I1457)</f>
        <v/>
      </c>
      <c r="J1459">
        <f>IF(Квартиры!J1457="","",Квартиры!J1457)</f>
        <v/>
      </c>
    </row>
    <row r="1460">
      <c r="A1460">
        <f>IF(Квартиры!A1458="","",Квартиры!A1458)</f>
        <v/>
      </c>
      <c r="B1460">
        <f>IF(Квартиры!B1458="","",Квартиры!B1458)</f>
        <v/>
      </c>
      <c r="C1460">
        <f>IF(Квартиры!C1458="","",Квартиры!C1458)</f>
        <v/>
      </c>
      <c r="D1460">
        <f>IF(Квартиры!D1458="","",Квартиры!D1458)</f>
        <v/>
      </c>
      <c r="E1460">
        <f>IF(Квартиры!G1458="","",Квартиры!G1458)</f>
        <v/>
      </c>
      <c r="F1460">
        <f>IF(Квартиры!E1458="","",Квартиры!E1458)</f>
        <v/>
      </c>
      <c r="G1460">
        <f>IF(Квартиры!F1458="","",Квартиры!F1458)</f>
        <v/>
      </c>
      <c r="H1460">
        <f>IF(Квартиры!H1458="","",Квартиры!H1458)</f>
        <v/>
      </c>
      <c r="I1460">
        <f>IF(Квартиры!I1458="","",Квартиры!I1458)</f>
        <v/>
      </c>
      <c r="J1460">
        <f>IF(Квартиры!J1458="","",Квартиры!J1458)</f>
        <v/>
      </c>
    </row>
    <row r="1461">
      <c r="A1461">
        <f>IF(Квартиры!A1459="","",Квартиры!A1459)</f>
        <v/>
      </c>
      <c r="B1461">
        <f>IF(Квартиры!B1459="","",Квартиры!B1459)</f>
        <v/>
      </c>
      <c r="C1461">
        <f>IF(Квартиры!C1459="","",Квартиры!C1459)</f>
        <v/>
      </c>
      <c r="D1461">
        <f>IF(Квартиры!D1459="","",Квартиры!D1459)</f>
        <v/>
      </c>
      <c r="E1461">
        <f>IF(Квартиры!G1459="","",Квартиры!G1459)</f>
        <v/>
      </c>
      <c r="F1461">
        <f>IF(Квартиры!E1459="","",Квартиры!E1459)</f>
        <v/>
      </c>
      <c r="G1461">
        <f>IF(Квартиры!F1459="","",Квартиры!F1459)</f>
        <v/>
      </c>
      <c r="H1461">
        <f>IF(Квартиры!H1459="","",Квартиры!H1459)</f>
        <v/>
      </c>
      <c r="I1461">
        <f>IF(Квартиры!I1459="","",Квартиры!I1459)</f>
        <v/>
      </c>
      <c r="J1461">
        <f>IF(Квартиры!J1459="","",Квартиры!J1459)</f>
        <v/>
      </c>
    </row>
    <row r="1462">
      <c r="A1462">
        <f>IF(Квартиры!A1460="","",Квартиры!A1460)</f>
        <v/>
      </c>
      <c r="B1462">
        <f>IF(Квартиры!B1460="","",Квартиры!B1460)</f>
        <v/>
      </c>
      <c r="C1462">
        <f>IF(Квартиры!C1460="","",Квартиры!C1460)</f>
        <v/>
      </c>
      <c r="D1462">
        <f>IF(Квартиры!D1460="","",Квартиры!D1460)</f>
        <v/>
      </c>
      <c r="E1462">
        <f>IF(Квартиры!G1460="","",Квартиры!G1460)</f>
        <v/>
      </c>
      <c r="F1462">
        <f>IF(Квартиры!E1460="","",Квартиры!E1460)</f>
        <v/>
      </c>
      <c r="G1462">
        <f>IF(Квартиры!F1460="","",Квартиры!F1460)</f>
        <v/>
      </c>
      <c r="H1462">
        <f>IF(Квартиры!H1460="","",Квартиры!H1460)</f>
        <v/>
      </c>
      <c r="I1462">
        <f>IF(Квартиры!I1460="","",Квартиры!I1460)</f>
        <v/>
      </c>
      <c r="J1462">
        <f>IF(Квартиры!J1460="","",Квартиры!J1460)</f>
        <v/>
      </c>
    </row>
    <row r="1463">
      <c r="A1463">
        <f>IF(Квартиры!A1461="","",Квартиры!A1461)</f>
        <v/>
      </c>
      <c r="B1463">
        <f>IF(Квартиры!B1461="","",Квартиры!B1461)</f>
        <v/>
      </c>
      <c r="C1463">
        <f>IF(Квартиры!C1461="","",Квартиры!C1461)</f>
        <v/>
      </c>
      <c r="D1463">
        <f>IF(Квартиры!D1461="","",Квартиры!D1461)</f>
        <v/>
      </c>
      <c r="E1463">
        <f>IF(Квартиры!G1461="","",Квартиры!G1461)</f>
        <v/>
      </c>
      <c r="F1463">
        <f>IF(Квартиры!E1461="","",Квартиры!E1461)</f>
        <v/>
      </c>
      <c r="G1463">
        <f>IF(Квартиры!F1461="","",Квартиры!F1461)</f>
        <v/>
      </c>
      <c r="H1463">
        <f>IF(Квартиры!H1461="","",Квартиры!H1461)</f>
        <v/>
      </c>
      <c r="I1463">
        <f>IF(Квартиры!I1461="","",Квартиры!I1461)</f>
        <v/>
      </c>
      <c r="J1463">
        <f>IF(Квартиры!J1461="","",Квартиры!J1461)</f>
        <v/>
      </c>
    </row>
    <row r="1464">
      <c r="A1464">
        <f>IF(Квартиры!A1462="","",Квартиры!A1462)</f>
        <v/>
      </c>
      <c r="B1464">
        <f>IF(Квартиры!B1462="","",Квартиры!B1462)</f>
        <v/>
      </c>
      <c r="C1464">
        <f>IF(Квартиры!C1462="","",Квартиры!C1462)</f>
        <v/>
      </c>
      <c r="D1464">
        <f>IF(Квартиры!D1462="","",Квартиры!D1462)</f>
        <v/>
      </c>
      <c r="E1464">
        <f>IF(Квартиры!G1462="","",Квартиры!G1462)</f>
        <v/>
      </c>
      <c r="F1464">
        <f>IF(Квартиры!E1462="","",Квартиры!E1462)</f>
        <v/>
      </c>
      <c r="G1464">
        <f>IF(Квартиры!F1462="","",Квартиры!F1462)</f>
        <v/>
      </c>
      <c r="H1464">
        <f>IF(Квартиры!H1462="","",Квартиры!H1462)</f>
        <v/>
      </c>
      <c r="I1464">
        <f>IF(Квартиры!I1462="","",Квартиры!I1462)</f>
        <v/>
      </c>
      <c r="J1464">
        <f>IF(Квартиры!J1462="","",Квартиры!J1462)</f>
        <v/>
      </c>
    </row>
    <row r="1465">
      <c r="A1465">
        <f>IF(Квартиры!A1463="","",Квартиры!A1463)</f>
        <v/>
      </c>
      <c r="B1465">
        <f>IF(Квартиры!B1463="","",Квартиры!B1463)</f>
        <v/>
      </c>
      <c r="C1465">
        <f>IF(Квартиры!C1463="","",Квартиры!C1463)</f>
        <v/>
      </c>
      <c r="D1465">
        <f>IF(Квартиры!D1463="","",Квартиры!D1463)</f>
        <v/>
      </c>
      <c r="E1465">
        <f>IF(Квартиры!G1463="","",Квартиры!G1463)</f>
        <v/>
      </c>
      <c r="F1465">
        <f>IF(Квартиры!E1463="","",Квартиры!E1463)</f>
        <v/>
      </c>
      <c r="G1465">
        <f>IF(Квартиры!F1463="","",Квартиры!F1463)</f>
        <v/>
      </c>
      <c r="H1465">
        <f>IF(Квартиры!H1463="","",Квартиры!H1463)</f>
        <v/>
      </c>
      <c r="I1465">
        <f>IF(Квартиры!I1463="","",Квартиры!I1463)</f>
        <v/>
      </c>
      <c r="J1465">
        <f>IF(Квартиры!J1463="","",Квартиры!J1463)</f>
        <v/>
      </c>
    </row>
    <row r="1466">
      <c r="A1466">
        <f>IF(Квартиры!A1464="","",Квартиры!A1464)</f>
        <v/>
      </c>
      <c r="B1466">
        <f>IF(Квартиры!B1464="","",Квартиры!B1464)</f>
        <v/>
      </c>
      <c r="C1466">
        <f>IF(Квартиры!C1464="","",Квартиры!C1464)</f>
        <v/>
      </c>
      <c r="D1466">
        <f>IF(Квартиры!D1464="","",Квартиры!D1464)</f>
        <v/>
      </c>
      <c r="E1466">
        <f>IF(Квартиры!G1464="","",Квартиры!G1464)</f>
        <v/>
      </c>
      <c r="F1466">
        <f>IF(Квартиры!E1464="","",Квартиры!E1464)</f>
        <v/>
      </c>
      <c r="G1466">
        <f>IF(Квартиры!F1464="","",Квартиры!F1464)</f>
        <v/>
      </c>
      <c r="H1466">
        <f>IF(Квартиры!H1464="","",Квартиры!H1464)</f>
        <v/>
      </c>
      <c r="I1466">
        <f>IF(Квартиры!I1464="","",Квартиры!I1464)</f>
        <v/>
      </c>
      <c r="J1466">
        <f>IF(Квартиры!J1464="","",Квартиры!J1464)</f>
        <v/>
      </c>
    </row>
    <row r="1467">
      <c r="A1467">
        <f>IF(Квартиры!A1465="","",Квартиры!A1465)</f>
        <v/>
      </c>
      <c r="B1467">
        <f>IF(Квартиры!B1465="","",Квартиры!B1465)</f>
        <v/>
      </c>
      <c r="C1467">
        <f>IF(Квартиры!C1465="","",Квартиры!C1465)</f>
        <v/>
      </c>
      <c r="D1467">
        <f>IF(Квартиры!D1465="","",Квартиры!D1465)</f>
        <v/>
      </c>
      <c r="E1467">
        <f>IF(Квартиры!G1465="","",Квартиры!G1465)</f>
        <v/>
      </c>
      <c r="F1467">
        <f>IF(Квартиры!E1465="","",Квартиры!E1465)</f>
        <v/>
      </c>
      <c r="G1467">
        <f>IF(Квартиры!F1465="","",Квартиры!F1465)</f>
        <v/>
      </c>
      <c r="H1467">
        <f>IF(Квартиры!H1465="","",Квартиры!H1465)</f>
        <v/>
      </c>
      <c r="I1467">
        <f>IF(Квартиры!I1465="","",Квартиры!I1465)</f>
        <v/>
      </c>
      <c r="J1467">
        <f>IF(Квартиры!J1465="","",Квартиры!J1465)</f>
        <v/>
      </c>
    </row>
    <row r="1468">
      <c r="A1468">
        <f>IF(Квартиры!A1466="","",Квартиры!A1466)</f>
        <v/>
      </c>
      <c r="B1468">
        <f>IF(Квартиры!B1466="","",Квартиры!B1466)</f>
        <v/>
      </c>
      <c r="C1468">
        <f>IF(Квартиры!C1466="","",Квартиры!C1466)</f>
        <v/>
      </c>
      <c r="D1468">
        <f>IF(Квартиры!D1466="","",Квартиры!D1466)</f>
        <v/>
      </c>
      <c r="E1468">
        <f>IF(Квартиры!G1466="","",Квартиры!G1466)</f>
        <v/>
      </c>
      <c r="F1468">
        <f>IF(Квартиры!E1466="","",Квартиры!E1466)</f>
        <v/>
      </c>
      <c r="G1468">
        <f>IF(Квартиры!F1466="","",Квартиры!F1466)</f>
        <v/>
      </c>
      <c r="H1468">
        <f>IF(Квартиры!H1466="","",Квартиры!H1466)</f>
        <v/>
      </c>
      <c r="I1468">
        <f>IF(Квартиры!I1466="","",Квартиры!I1466)</f>
        <v/>
      </c>
      <c r="J1468">
        <f>IF(Квартиры!J1466="","",Квартиры!J1466)</f>
        <v/>
      </c>
    </row>
    <row r="1469">
      <c r="A1469">
        <f>IF(Квартиры!A1467="","",Квартиры!A1467)</f>
        <v/>
      </c>
      <c r="B1469">
        <f>IF(Квартиры!B1467="","",Квартиры!B1467)</f>
        <v/>
      </c>
      <c r="C1469">
        <f>IF(Квартиры!C1467="","",Квартиры!C1467)</f>
        <v/>
      </c>
      <c r="D1469">
        <f>IF(Квартиры!D1467="","",Квартиры!D1467)</f>
        <v/>
      </c>
      <c r="E1469">
        <f>IF(Квартиры!G1467="","",Квартиры!G1467)</f>
        <v/>
      </c>
      <c r="F1469">
        <f>IF(Квартиры!E1467="","",Квартиры!E1467)</f>
        <v/>
      </c>
      <c r="G1469">
        <f>IF(Квартиры!F1467="","",Квартиры!F1467)</f>
        <v/>
      </c>
      <c r="H1469">
        <f>IF(Квартиры!H1467="","",Квартиры!H1467)</f>
        <v/>
      </c>
      <c r="I1469">
        <f>IF(Квартиры!I1467="","",Квартиры!I1467)</f>
        <v/>
      </c>
      <c r="J1469">
        <f>IF(Квартиры!J1467="","",Квартиры!J1467)</f>
        <v/>
      </c>
    </row>
    <row r="1470">
      <c r="A1470">
        <f>IF(Квартиры!A1468="","",Квартиры!A1468)</f>
        <v/>
      </c>
      <c r="B1470">
        <f>IF(Квартиры!B1468="","",Квартиры!B1468)</f>
        <v/>
      </c>
      <c r="C1470">
        <f>IF(Квартиры!C1468="","",Квартиры!C1468)</f>
        <v/>
      </c>
      <c r="D1470">
        <f>IF(Квартиры!D1468="","",Квартиры!D1468)</f>
        <v/>
      </c>
      <c r="E1470">
        <f>IF(Квартиры!G1468="","",Квартиры!G1468)</f>
        <v/>
      </c>
      <c r="F1470">
        <f>IF(Квартиры!E1468="","",Квартиры!E1468)</f>
        <v/>
      </c>
      <c r="G1470">
        <f>IF(Квартиры!F1468="","",Квартиры!F1468)</f>
        <v/>
      </c>
      <c r="H1470">
        <f>IF(Квартиры!H1468="","",Квартиры!H1468)</f>
        <v/>
      </c>
      <c r="I1470">
        <f>IF(Квартиры!I1468="","",Квартиры!I1468)</f>
        <v/>
      </c>
      <c r="J1470">
        <f>IF(Квартиры!J1468="","",Квартиры!J1468)</f>
        <v/>
      </c>
    </row>
    <row r="1471">
      <c r="A1471">
        <f>IF(Квартиры!A1469="","",Квартиры!A1469)</f>
        <v/>
      </c>
      <c r="B1471">
        <f>IF(Квартиры!B1469="","",Квартиры!B1469)</f>
        <v/>
      </c>
      <c r="C1471">
        <f>IF(Квартиры!C1469="","",Квартиры!C1469)</f>
        <v/>
      </c>
      <c r="D1471">
        <f>IF(Квартиры!D1469="","",Квартиры!D1469)</f>
        <v/>
      </c>
      <c r="E1471">
        <f>IF(Квартиры!G1469="","",Квартиры!G1469)</f>
        <v/>
      </c>
      <c r="F1471">
        <f>IF(Квартиры!E1469="","",Квартиры!E1469)</f>
        <v/>
      </c>
      <c r="G1471">
        <f>IF(Квартиры!F1469="","",Квартиры!F1469)</f>
        <v/>
      </c>
      <c r="H1471">
        <f>IF(Квартиры!H1469="","",Квартиры!H1469)</f>
        <v/>
      </c>
      <c r="I1471">
        <f>IF(Квартиры!I1469="","",Квартиры!I1469)</f>
        <v/>
      </c>
      <c r="J1471">
        <f>IF(Квартиры!J1469="","",Квартиры!J1469)</f>
        <v/>
      </c>
    </row>
    <row r="1472">
      <c r="A1472">
        <f>IF(Квартиры!A1470="","",Квартиры!A1470)</f>
        <v/>
      </c>
      <c r="B1472">
        <f>IF(Квартиры!B1470="","",Квартиры!B1470)</f>
        <v/>
      </c>
      <c r="C1472">
        <f>IF(Квартиры!C1470="","",Квартиры!C1470)</f>
        <v/>
      </c>
      <c r="D1472">
        <f>IF(Квартиры!D1470="","",Квартиры!D1470)</f>
        <v/>
      </c>
      <c r="E1472">
        <f>IF(Квартиры!G1470="","",Квартиры!G1470)</f>
        <v/>
      </c>
      <c r="F1472">
        <f>IF(Квартиры!E1470="","",Квартиры!E1470)</f>
        <v/>
      </c>
      <c r="G1472">
        <f>IF(Квартиры!F1470="","",Квартиры!F1470)</f>
        <v/>
      </c>
      <c r="H1472">
        <f>IF(Квартиры!H1470="","",Квартиры!H1470)</f>
        <v/>
      </c>
      <c r="I1472">
        <f>IF(Квартиры!I1470="","",Квартиры!I1470)</f>
        <v/>
      </c>
      <c r="J1472">
        <f>IF(Квартиры!J1470="","",Квартиры!J1470)</f>
        <v/>
      </c>
    </row>
    <row r="1473">
      <c r="A1473">
        <f>IF(Квартиры!A1471="","",Квартиры!A1471)</f>
        <v/>
      </c>
      <c r="B1473">
        <f>IF(Квартиры!B1471="","",Квартиры!B1471)</f>
        <v/>
      </c>
      <c r="C1473">
        <f>IF(Квартиры!C1471="","",Квартиры!C1471)</f>
        <v/>
      </c>
      <c r="D1473">
        <f>IF(Квартиры!D1471="","",Квартиры!D1471)</f>
        <v/>
      </c>
      <c r="E1473">
        <f>IF(Квартиры!G1471="","",Квартиры!G1471)</f>
        <v/>
      </c>
      <c r="F1473">
        <f>IF(Квартиры!E1471="","",Квартиры!E1471)</f>
        <v/>
      </c>
      <c r="G1473">
        <f>IF(Квартиры!F1471="","",Квартиры!F1471)</f>
        <v/>
      </c>
      <c r="H1473">
        <f>IF(Квартиры!H1471="","",Квартиры!H1471)</f>
        <v/>
      </c>
      <c r="I1473">
        <f>IF(Квартиры!I1471="","",Квартиры!I1471)</f>
        <v/>
      </c>
      <c r="J1473">
        <f>IF(Квартиры!J1471="","",Квартиры!J1471)</f>
        <v/>
      </c>
    </row>
    <row r="1474">
      <c r="A1474">
        <f>IF(Квартиры!A1472="","",Квартиры!A1472)</f>
        <v/>
      </c>
      <c r="B1474">
        <f>IF(Квартиры!B1472="","",Квартиры!B1472)</f>
        <v/>
      </c>
      <c r="C1474">
        <f>IF(Квартиры!C1472="","",Квартиры!C1472)</f>
        <v/>
      </c>
      <c r="D1474">
        <f>IF(Квартиры!D1472="","",Квартиры!D1472)</f>
        <v/>
      </c>
      <c r="E1474">
        <f>IF(Квартиры!G1472="","",Квартиры!G1472)</f>
        <v/>
      </c>
      <c r="F1474">
        <f>IF(Квартиры!E1472="","",Квартиры!E1472)</f>
        <v/>
      </c>
      <c r="G1474">
        <f>IF(Квартиры!F1472="","",Квартиры!F1472)</f>
        <v/>
      </c>
      <c r="H1474">
        <f>IF(Квартиры!H1472="","",Квартиры!H1472)</f>
        <v/>
      </c>
      <c r="I1474">
        <f>IF(Квартиры!I1472="","",Квартиры!I1472)</f>
        <v/>
      </c>
      <c r="J1474">
        <f>IF(Квартиры!J1472="","",Квартиры!J1472)</f>
        <v/>
      </c>
    </row>
    <row r="1475">
      <c r="A1475">
        <f>IF(Квартиры!A1473="","",Квартиры!A1473)</f>
        <v/>
      </c>
      <c r="B1475">
        <f>IF(Квартиры!B1473="","",Квартиры!B1473)</f>
        <v/>
      </c>
      <c r="C1475">
        <f>IF(Квартиры!C1473="","",Квартиры!C1473)</f>
        <v/>
      </c>
      <c r="D1475">
        <f>IF(Квартиры!D1473="","",Квартиры!D1473)</f>
        <v/>
      </c>
      <c r="E1475">
        <f>IF(Квартиры!G1473="","",Квартиры!G1473)</f>
        <v/>
      </c>
      <c r="F1475">
        <f>IF(Квартиры!E1473="","",Квартиры!E1473)</f>
        <v/>
      </c>
      <c r="G1475">
        <f>IF(Квартиры!F1473="","",Квартиры!F1473)</f>
        <v/>
      </c>
      <c r="H1475">
        <f>IF(Квартиры!H1473="","",Квартиры!H1473)</f>
        <v/>
      </c>
      <c r="I1475">
        <f>IF(Квартиры!I1473="","",Квартиры!I1473)</f>
        <v/>
      </c>
      <c r="J1475">
        <f>IF(Квартиры!J1473="","",Квартиры!J1473)</f>
        <v/>
      </c>
    </row>
    <row r="1476">
      <c r="A1476">
        <f>IF(Квартиры!A1474="","",Квартиры!A1474)</f>
        <v/>
      </c>
      <c r="B1476">
        <f>IF(Квартиры!B1474="","",Квартиры!B1474)</f>
        <v/>
      </c>
      <c r="C1476">
        <f>IF(Квартиры!C1474="","",Квартиры!C1474)</f>
        <v/>
      </c>
      <c r="D1476">
        <f>IF(Квартиры!D1474="","",Квартиры!D1474)</f>
        <v/>
      </c>
      <c r="E1476">
        <f>IF(Квартиры!G1474="","",Квартиры!G1474)</f>
        <v/>
      </c>
      <c r="F1476">
        <f>IF(Квартиры!E1474="","",Квартиры!E1474)</f>
        <v/>
      </c>
      <c r="G1476">
        <f>IF(Квартиры!F1474="","",Квартиры!F1474)</f>
        <v/>
      </c>
      <c r="H1476">
        <f>IF(Квартиры!H1474="","",Квартиры!H1474)</f>
        <v/>
      </c>
      <c r="I1476">
        <f>IF(Квартиры!I1474="","",Квартиры!I1474)</f>
        <v/>
      </c>
      <c r="J1476">
        <f>IF(Квартиры!J1474="","",Квартиры!J1474)</f>
        <v/>
      </c>
    </row>
    <row r="1477">
      <c r="A1477">
        <f>IF(Квартиры!A1475="","",Квартиры!A1475)</f>
        <v/>
      </c>
      <c r="B1477">
        <f>IF(Квартиры!B1475="","",Квартиры!B1475)</f>
        <v/>
      </c>
      <c r="C1477">
        <f>IF(Квартиры!C1475="","",Квартиры!C1475)</f>
        <v/>
      </c>
      <c r="D1477">
        <f>IF(Квартиры!D1475="","",Квартиры!D1475)</f>
        <v/>
      </c>
      <c r="E1477">
        <f>IF(Квартиры!G1475="","",Квартиры!G1475)</f>
        <v/>
      </c>
      <c r="F1477">
        <f>IF(Квартиры!E1475="","",Квартиры!E1475)</f>
        <v/>
      </c>
      <c r="G1477">
        <f>IF(Квартиры!F1475="","",Квартиры!F1475)</f>
        <v/>
      </c>
      <c r="H1477">
        <f>IF(Квартиры!H1475="","",Квартиры!H1475)</f>
        <v/>
      </c>
      <c r="I1477">
        <f>IF(Квартиры!I1475="","",Квартиры!I1475)</f>
        <v/>
      </c>
      <c r="J1477">
        <f>IF(Квартиры!J1475="","",Квартиры!J1475)</f>
        <v/>
      </c>
    </row>
    <row r="1478">
      <c r="A1478">
        <f>IF(Квартиры!A1476="","",Квартиры!A1476)</f>
        <v/>
      </c>
      <c r="B1478">
        <f>IF(Квартиры!B1476="","",Квартиры!B1476)</f>
        <v/>
      </c>
      <c r="C1478">
        <f>IF(Квартиры!C1476="","",Квартиры!C1476)</f>
        <v/>
      </c>
      <c r="D1478">
        <f>IF(Квартиры!D1476="","",Квартиры!D1476)</f>
        <v/>
      </c>
      <c r="E1478">
        <f>IF(Квартиры!G1476="","",Квартиры!G1476)</f>
        <v/>
      </c>
      <c r="F1478">
        <f>IF(Квартиры!E1476="","",Квартиры!E1476)</f>
        <v/>
      </c>
      <c r="G1478">
        <f>IF(Квартиры!F1476="","",Квартиры!F1476)</f>
        <v/>
      </c>
      <c r="H1478">
        <f>IF(Квартиры!H1476="","",Квартиры!H1476)</f>
        <v/>
      </c>
      <c r="I1478">
        <f>IF(Квартиры!I1476="","",Квартиры!I1476)</f>
        <v/>
      </c>
      <c r="J1478">
        <f>IF(Квартиры!J1476="","",Квартиры!J1476)</f>
        <v/>
      </c>
    </row>
    <row r="1479">
      <c r="A1479">
        <f>IF(Квартиры!A1477="","",Квартиры!A1477)</f>
        <v/>
      </c>
      <c r="B1479">
        <f>IF(Квартиры!B1477="","",Квартиры!B1477)</f>
        <v/>
      </c>
      <c r="C1479">
        <f>IF(Квартиры!C1477="","",Квартиры!C1477)</f>
        <v/>
      </c>
      <c r="D1479">
        <f>IF(Квартиры!D1477="","",Квартиры!D1477)</f>
        <v/>
      </c>
      <c r="E1479">
        <f>IF(Квартиры!G1477="","",Квартиры!G1477)</f>
        <v/>
      </c>
      <c r="F1479">
        <f>IF(Квартиры!E1477="","",Квартиры!E1477)</f>
        <v/>
      </c>
      <c r="G1479">
        <f>IF(Квартиры!F1477="","",Квартиры!F1477)</f>
        <v/>
      </c>
      <c r="H1479">
        <f>IF(Квартиры!H1477="","",Квартиры!H1477)</f>
        <v/>
      </c>
      <c r="I1479">
        <f>IF(Квартиры!I1477="","",Квартиры!I1477)</f>
        <v/>
      </c>
      <c r="J1479">
        <f>IF(Квартиры!J1477="","",Квартиры!J1477)</f>
        <v/>
      </c>
    </row>
    <row r="1480">
      <c r="A1480">
        <f>IF(Квартиры!A1478="","",Квартиры!A1478)</f>
        <v/>
      </c>
      <c r="B1480">
        <f>IF(Квартиры!B1478="","",Квартиры!B1478)</f>
        <v/>
      </c>
      <c r="C1480">
        <f>IF(Квартиры!C1478="","",Квартиры!C1478)</f>
        <v/>
      </c>
      <c r="D1480">
        <f>IF(Квартиры!D1478="","",Квартиры!D1478)</f>
        <v/>
      </c>
      <c r="E1480">
        <f>IF(Квартиры!G1478="","",Квартиры!G1478)</f>
        <v/>
      </c>
      <c r="F1480">
        <f>IF(Квартиры!E1478="","",Квартиры!E1478)</f>
        <v/>
      </c>
      <c r="G1480">
        <f>IF(Квартиры!F1478="","",Квартиры!F1478)</f>
        <v/>
      </c>
      <c r="H1480">
        <f>IF(Квартиры!H1478="","",Квартиры!H1478)</f>
        <v/>
      </c>
      <c r="I1480">
        <f>IF(Квартиры!I1478="","",Квартиры!I1478)</f>
        <v/>
      </c>
      <c r="J1480">
        <f>IF(Квартиры!J1478="","",Квартиры!J1478)</f>
        <v/>
      </c>
    </row>
    <row r="1481">
      <c r="A1481">
        <f>IF(Квартиры!A1479="","",Квартиры!A1479)</f>
        <v/>
      </c>
      <c r="B1481">
        <f>IF(Квартиры!B1479="","",Квартиры!B1479)</f>
        <v/>
      </c>
      <c r="C1481">
        <f>IF(Квартиры!C1479="","",Квартиры!C1479)</f>
        <v/>
      </c>
      <c r="D1481">
        <f>IF(Квартиры!D1479="","",Квартиры!D1479)</f>
        <v/>
      </c>
      <c r="E1481">
        <f>IF(Квартиры!G1479="","",Квартиры!G1479)</f>
        <v/>
      </c>
      <c r="F1481">
        <f>IF(Квартиры!E1479="","",Квартиры!E1479)</f>
        <v/>
      </c>
      <c r="G1481">
        <f>IF(Квартиры!F1479="","",Квартиры!F1479)</f>
        <v/>
      </c>
      <c r="H1481">
        <f>IF(Квартиры!H1479="","",Квартиры!H1479)</f>
        <v/>
      </c>
      <c r="I1481">
        <f>IF(Квартиры!I1479="","",Квартиры!I1479)</f>
        <v/>
      </c>
      <c r="J1481">
        <f>IF(Квартиры!J1479="","",Квартиры!J1479)</f>
        <v/>
      </c>
    </row>
    <row r="1482">
      <c r="A1482">
        <f>IF(Квартиры!A1480="","",Квартиры!A1480)</f>
        <v/>
      </c>
      <c r="B1482">
        <f>IF(Квартиры!B1480="","",Квартиры!B1480)</f>
        <v/>
      </c>
      <c r="C1482">
        <f>IF(Квартиры!C1480="","",Квартиры!C1480)</f>
        <v/>
      </c>
      <c r="D1482">
        <f>IF(Квартиры!D1480="","",Квартиры!D1480)</f>
        <v/>
      </c>
      <c r="E1482">
        <f>IF(Квартиры!G1480="","",Квартиры!G1480)</f>
        <v/>
      </c>
      <c r="F1482">
        <f>IF(Квартиры!E1480="","",Квартиры!E1480)</f>
        <v/>
      </c>
      <c r="G1482">
        <f>IF(Квартиры!F1480="","",Квартиры!F1480)</f>
        <v/>
      </c>
      <c r="H1482">
        <f>IF(Квартиры!H1480="","",Квартиры!H1480)</f>
        <v/>
      </c>
      <c r="I1482">
        <f>IF(Квартиры!I1480="","",Квартиры!I1480)</f>
        <v/>
      </c>
      <c r="J1482">
        <f>IF(Квартиры!J1480="","",Квартиры!J1480)</f>
        <v/>
      </c>
    </row>
    <row r="1483">
      <c r="A1483">
        <f>IF(Квартиры!A1481="","",Квартиры!A1481)</f>
        <v/>
      </c>
      <c r="B1483">
        <f>IF(Квартиры!B1481="","",Квартиры!B1481)</f>
        <v/>
      </c>
      <c r="C1483">
        <f>IF(Квартиры!C1481="","",Квартиры!C1481)</f>
        <v/>
      </c>
      <c r="D1483">
        <f>IF(Квартиры!D1481="","",Квартиры!D1481)</f>
        <v/>
      </c>
      <c r="E1483">
        <f>IF(Квартиры!G1481="","",Квартиры!G1481)</f>
        <v/>
      </c>
      <c r="F1483">
        <f>IF(Квартиры!E1481="","",Квартиры!E1481)</f>
        <v/>
      </c>
      <c r="G1483">
        <f>IF(Квартиры!F1481="","",Квартиры!F1481)</f>
        <v/>
      </c>
      <c r="H1483">
        <f>IF(Квартиры!H1481="","",Квартиры!H1481)</f>
        <v/>
      </c>
      <c r="I1483">
        <f>IF(Квартиры!I1481="","",Квартиры!I1481)</f>
        <v/>
      </c>
      <c r="J1483">
        <f>IF(Квартиры!J1481="","",Квартиры!J1481)</f>
        <v/>
      </c>
    </row>
    <row r="1484">
      <c r="A1484">
        <f>IF(Квартиры!A1482="","",Квартиры!A1482)</f>
        <v/>
      </c>
      <c r="B1484">
        <f>IF(Квартиры!B1482="","",Квартиры!B1482)</f>
        <v/>
      </c>
      <c r="C1484">
        <f>IF(Квартиры!C1482="","",Квартиры!C1482)</f>
        <v/>
      </c>
      <c r="D1484">
        <f>IF(Квартиры!D1482="","",Квартиры!D1482)</f>
        <v/>
      </c>
      <c r="E1484">
        <f>IF(Квартиры!G1482="","",Квартиры!G1482)</f>
        <v/>
      </c>
      <c r="F1484">
        <f>IF(Квартиры!E1482="","",Квартиры!E1482)</f>
        <v/>
      </c>
      <c r="G1484">
        <f>IF(Квартиры!F1482="","",Квартиры!F1482)</f>
        <v/>
      </c>
      <c r="H1484">
        <f>IF(Квартиры!H1482="","",Квартиры!H1482)</f>
        <v/>
      </c>
      <c r="I1484">
        <f>IF(Квартиры!I1482="","",Квартиры!I1482)</f>
        <v/>
      </c>
      <c r="J1484">
        <f>IF(Квартиры!J1482="","",Квартиры!J1482)</f>
        <v/>
      </c>
    </row>
    <row r="1485">
      <c r="A1485">
        <f>IF(Квартиры!A1483="","",Квартиры!A1483)</f>
        <v/>
      </c>
      <c r="B1485">
        <f>IF(Квартиры!B1483="","",Квартиры!B1483)</f>
        <v/>
      </c>
      <c r="C1485">
        <f>IF(Квартиры!C1483="","",Квартиры!C1483)</f>
        <v/>
      </c>
      <c r="D1485">
        <f>IF(Квартиры!D1483="","",Квартиры!D1483)</f>
        <v/>
      </c>
      <c r="E1485">
        <f>IF(Квартиры!G1483="","",Квартиры!G1483)</f>
        <v/>
      </c>
      <c r="F1485">
        <f>IF(Квартиры!E1483="","",Квартиры!E1483)</f>
        <v/>
      </c>
      <c r="G1485">
        <f>IF(Квартиры!F1483="","",Квартиры!F1483)</f>
        <v/>
      </c>
      <c r="H1485">
        <f>IF(Квартиры!H1483="","",Квартиры!H1483)</f>
        <v/>
      </c>
      <c r="I1485">
        <f>IF(Квартиры!I1483="","",Квартиры!I1483)</f>
        <v/>
      </c>
      <c r="J1485">
        <f>IF(Квартиры!J1483="","",Квартиры!J1483)</f>
        <v/>
      </c>
    </row>
    <row r="1486">
      <c r="A1486">
        <f>IF(Квартиры!A1484="","",Квартиры!A1484)</f>
        <v/>
      </c>
      <c r="B1486">
        <f>IF(Квартиры!B1484="","",Квартиры!B1484)</f>
        <v/>
      </c>
      <c r="C1486">
        <f>IF(Квартиры!C1484="","",Квартиры!C1484)</f>
        <v/>
      </c>
      <c r="D1486">
        <f>IF(Квартиры!D1484="","",Квартиры!D1484)</f>
        <v/>
      </c>
      <c r="E1486">
        <f>IF(Квартиры!G1484="","",Квартиры!G1484)</f>
        <v/>
      </c>
      <c r="F1486">
        <f>IF(Квартиры!E1484="","",Квартиры!E1484)</f>
        <v/>
      </c>
      <c r="G1486">
        <f>IF(Квартиры!F1484="","",Квартиры!F1484)</f>
        <v/>
      </c>
      <c r="H1486">
        <f>IF(Квартиры!H1484="","",Квартиры!H1484)</f>
        <v/>
      </c>
      <c r="I1486">
        <f>IF(Квартиры!I1484="","",Квартиры!I1484)</f>
        <v/>
      </c>
      <c r="J1486">
        <f>IF(Квартиры!J1484="","",Квартиры!J1484)</f>
        <v/>
      </c>
    </row>
    <row r="1487">
      <c r="A1487">
        <f>IF(Квартиры!A1485="","",Квартиры!A1485)</f>
        <v/>
      </c>
      <c r="B1487">
        <f>IF(Квартиры!B1485="","",Квартиры!B1485)</f>
        <v/>
      </c>
      <c r="C1487">
        <f>IF(Квартиры!C1485="","",Квартиры!C1485)</f>
        <v/>
      </c>
      <c r="D1487">
        <f>IF(Квартиры!D1485="","",Квартиры!D1485)</f>
        <v/>
      </c>
      <c r="E1487">
        <f>IF(Квартиры!G1485="","",Квартиры!G1485)</f>
        <v/>
      </c>
      <c r="F1487">
        <f>IF(Квартиры!E1485="","",Квартиры!E1485)</f>
        <v/>
      </c>
      <c r="G1487">
        <f>IF(Квартиры!F1485="","",Квартиры!F1485)</f>
        <v/>
      </c>
      <c r="H1487">
        <f>IF(Квартиры!H1485="","",Квартиры!H1485)</f>
        <v/>
      </c>
      <c r="I1487">
        <f>IF(Квартиры!I1485="","",Квартиры!I1485)</f>
        <v/>
      </c>
      <c r="J1487">
        <f>IF(Квартиры!J1485="","",Квартиры!J1485)</f>
        <v/>
      </c>
    </row>
    <row r="1488">
      <c r="A1488">
        <f>IF(Квартиры!A1486="","",Квартиры!A1486)</f>
        <v/>
      </c>
      <c r="B1488">
        <f>IF(Квартиры!B1486="","",Квартиры!B1486)</f>
        <v/>
      </c>
      <c r="C1488">
        <f>IF(Квартиры!C1486="","",Квартиры!C1486)</f>
        <v/>
      </c>
      <c r="D1488">
        <f>IF(Квартиры!D1486="","",Квартиры!D1486)</f>
        <v/>
      </c>
      <c r="E1488">
        <f>IF(Квартиры!G1486="","",Квартиры!G1486)</f>
        <v/>
      </c>
      <c r="F1488">
        <f>IF(Квартиры!E1486="","",Квартиры!E1486)</f>
        <v/>
      </c>
      <c r="G1488">
        <f>IF(Квартиры!F1486="","",Квартиры!F1486)</f>
        <v/>
      </c>
      <c r="H1488">
        <f>IF(Квартиры!H1486="","",Квартиры!H1486)</f>
        <v/>
      </c>
      <c r="I1488">
        <f>IF(Квартиры!I1486="","",Квартиры!I1486)</f>
        <v/>
      </c>
      <c r="J1488">
        <f>IF(Квартиры!J1486="","",Квартиры!J1486)</f>
        <v/>
      </c>
    </row>
    <row r="1489">
      <c r="A1489">
        <f>IF(Квартиры!A1487="","",Квартиры!A1487)</f>
        <v/>
      </c>
      <c r="B1489">
        <f>IF(Квартиры!B1487="","",Квартиры!B1487)</f>
        <v/>
      </c>
      <c r="C1489">
        <f>IF(Квартиры!C1487="","",Квартиры!C1487)</f>
        <v/>
      </c>
      <c r="D1489">
        <f>IF(Квартиры!D1487="","",Квартиры!D1487)</f>
        <v/>
      </c>
      <c r="E1489">
        <f>IF(Квартиры!G1487="","",Квартиры!G1487)</f>
        <v/>
      </c>
      <c r="F1489">
        <f>IF(Квартиры!E1487="","",Квартиры!E1487)</f>
        <v/>
      </c>
      <c r="G1489">
        <f>IF(Квартиры!F1487="","",Квартиры!F1487)</f>
        <v/>
      </c>
      <c r="H1489">
        <f>IF(Квартиры!H1487="","",Квартиры!H1487)</f>
        <v/>
      </c>
      <c r="I1489">
        <f>IF(Квартиры!I1487="","",Квартиры!I1487)</f>
        <v/>
      </c>
      <c r="J1489">
        <f>IF(Квартиры!J1487="","",Квартиры!J1487)</f>
        <v/>
      </c>
    </row>
    <row r="1490">
      <c r="A1490">
        <f>IF(Квартиры!A1488="","",Квартиры!A1488)</f>
        <v/>
      </c>
      <c r="B1490">
        <f>IF(Квартиры!B1488="","",Квартиры!B1488)</f>
        <v/>
      </c>
      <c r="C1490">
        <f>IF(Квартиры!C1488="","",Квартиры!C1488)</f>
        <v/>
      </c>
      <c r="D1490">
        <f>IF(Квартиры!D1488="","",Квартиры!D1488)</f>
        <v/>
      </c>
      <c r="E1490">
        <f>IF(Квартиры!G1488="","",Квартиры!G1488)</f>
        <v/>
      </c>
      <c r="F1490">
        <f>IF(Квартиры!E1488="","",Квартиры!E1488)</f>
        <v/>
      </c>
      <c r="G1490">
        <f>IF(Квартиры!F1488="","",Квартиры!F1488)</f>
        <v/>
      </c>
      <c r="H1490">
        <f>IF(Квартиры!H1488="","",Квартиры!H1488)</f>
        <v/>
      </c>
      <c r="I1490">
        <f>IF(Квартиры!I1488="","",Квартиры!I1488)</f>
        <v/>
      </c>
      <c r="J1490">
        <f>IF(Квартиры!J1488="","",Квартиры!J1488)</f>
        <v/>
      </c>
    </row>
    <row r="1491">
      <c r="A1491">
        <f>IF(Квартиры!A1489="","",Квартиры!A1489)</f>
        <v/>
      </c>
      <c r="B1491">
        <f>IF(Квартиры!B1489="","",Квартиры!B1489)</f>
        <v/>
      </c>
      <c r="C1491">
        <f>IF(Квартиры!C1489="","",Квартиры!C1489)</f>
        <v/>
      </c>
      <c r="D1491">
        <f>IF(Квартиры!D1489="","",Квартиры!D1489)</f>
        <v/>
      </c>
      <c r="E1491">
        <f>IF(Квартиры!G1489="","",Квартиры!G1489)</f>
        <v/>
      </c>
      <c r="F1491">
        <f>IF(Квартиры!E1489="","",Квартиры!E1489)</f>
        <v/>
      </c>
      <c r="G1491">
        <f>IF(Квартиры!F1489="","",Квартиры!F1489)</f>
        <v/>
      </c>
      <c r="H1491">
        <f>IF(Квартиры!H1489="","",Квартиры!H1489)</f>
        <v/>
      </c>
      <c r="I1491">
        <f>IF(Квартиры!I1489="","",Квартиры!I1489)</f>
        <v/>
      </c>
      <c r="J1491">
        <f>IF(Квартиры!J1489="","",Квартиры!J1489)</f>
        <v/>
      </c>
    </row>
    <row r="1492">
      <c r="A1492">
        <f>IF(Квартиры!A1490="","",Квартиры!A1490)</f>
        <v/>
      </c>
      <c r="B1492">
        <f>IF(Квартиры!B1490="","",Квартиры!B1490)</f>
        <v/>
      </c>
      <c r="C1492">
        <f>IF(Квартиры!C1490="","",Квартиры!C1490)</f>
        <v/>
      </c>
      <c r="D1492">
        <f>IF(Квартиры!D1490="","",Квартиры!D1490)</f>
        <v/>
      </c>
      <c r="E1492">
        <f>IF(Квартиры!G1490="","",Квартиры!G1490)</f>
        <v/>
      </c>
      <c r="F1492">
        <f>IF(Квартиры!E1490="","",Квартиры!E1490)</f>
        <v/>
      </c>
      <c r="G1492">
        <f>IF(Квартиры!F1490="","",Квартиры!F1490)</f>
        <v/>
      </c>
      <c r="H1492">
        <f>IF(Квартиры!H1490="","",Квартиры!H1490)</f>
        <v/>
      </c>
      <c r="I1492">
        <f>IF(Квартиры!I1490="","",Квартиры!I1490)</f>
        <v/>
      </c>
      <c r="J1492">
        <f>IF(Квартиры!J1490="","",Квартиры!J1490)</f>
        <v/>
      </c>
    </row>
    <row r="1493">
      <c r="A1493">
        <f>IF(Квартиры!A1491="","",Квартиры!A1491)</f>
        <v/>
      </c>
      <c r="B1493">
        <f>IF(Квартиры!B1491="","",Квартиры!B1491)</f>
        <v/>
      </c>
      <c r="C1493">
        <f>IF(Квартиры!C1491="","",Квартиры!C1491)</f>
        <v/>
      </c>
      <c r="D1493">
        <f>IF(Квартиры!D1491="","",Квартиры!D1491)</f>
        <v/>
      </c>
      <c r="E1493">
        <f>IF(Квартиры!G1491="","",Квартиры!G1491)</f>
        <v/>
      </c>
      <c r="F1493">
        <f>IF(Квартиры!E1491="","",Квартиры!E1491)</f>
        <v/>
      </c>
      <c r="G1493">
        <f>IF(Квартиры!F1491="","",Квартиры!F1491)</f>
        <v/>
      </c>
      <c r="H1493">
        <f>IF(Квартиры!H1491="","",Квартиры!H1491)</f>
        <v/>
      </c>
      <c r="I1493">
        <f>IF(Квартиры!I1491="","",Квартиры!I1491)</f>
        <v/>
      </c>
      <c r="J1493">
        <f>IF(Квартиры!J1491="","",Квартиры!J1491)</f>
        <v/>
      </c>
    </row>
    <row r="1494">
      <c r="A1494">
        <f>IF(Квартиры!A1492="","",Квартиры!A1492)</f>
        <v/>
      </c>
      <c r="B1494">
        <f>IF(Квартиры!B1492="","",Квартиры!B1492)</f>
        <v/>
      </c>
      <c r="C1494">
        <f>IF(Квартиры!C1492="","",Квартиры!C1492)</f>
        <v/>
      </c>
      <c r="D1494">
        <f>IF(Квартиры!D1492="","",Квартиры!D1492)</f>
        <v/>
      </c>
      <c r="E1494">
        <f>IF(Квартиры!G1492="","",Квартиры!G1492)</f>
        <v/>
      </c>
      <c r="F1494">
        <f>IF(Квартиры!E1492="","",Квартиры!E1492)</f>
        <v/>
      </c>
      <c r="G1494">
        <f>IF(Квартиры!F1492="","",Квартиры!F1492)</f>
        <v/>
      </c>
      <c r="H1494">
        <f>IF(Квартиры!H1492="","",Квартиры!H1492)</f>
        <v/>
      </c>
      <c r="I1494">
        <f>IF(Квартиры!I1492="","",Квартиры!I1492)</f>
        <v/>
      </c>
      <c r="J1494">
        <f>IF(Квартиры!J1492="","",Квартиры!J1492)</f>
        <v/>
      </c>
    </row>
    <row r="1495">
      <c r="A1495">
        <f>IF(Квартиры!A1493="","",Квартиры!A1493)</f>
        <v/>
      </c>
      <c r="B1495">
        <f>IF(Квартиры!B1493="","",Квартиры!B1493)</f>
        <v/>
      </c>
      <c r="C1495">
        <f>IF(Квартиры!C1493="","",Квартиры!C1493)</f>
        <v/>
      </c>
      <c r="D1495">
        <f>IF(Квартиры!D1493="","",Квартиры!D1493)</f>
        <v/>
      </c>
      <c r="E1495">
        <f>IF(Квартиры!G1493="","",Квартиры!G1493)</f>
        <v/>
      </c>
      <c r="F1495">
        <f>IF(Квартиры!E1493="","",Квартиры!E1493)</f>
        <v/>
      </c>
      <c r="G1495">
        <f>IF(Квартиры!F1493="","",Квартиры!F1493)</f>
        <v/>
      </c>
      <c r="H1495">
        <f>IF(Квартиры!H1493="","",Квартиры!H1493)</f>
        <v/>
      </c>
      <c r="I1495">
        <f>IF(Квартиры!I1493="","",Квартиры!I1493)</f>
        <v/>
      </c>
      <c r="J1495">
        <f>IF(Квартиры!J1493="","",Квартиры!J1493)</f>
        <v/>
      </c>
    </row>
    <row r="1496">
      <c r="A1496">
        <f>IF(Квартиры!A1494="","",Квартиры!A1494)</f>
        <v/>
      </c>
      <c r="B1496">
        <f>IF(Квартиры!B1494="","",Квартиры!B1494)</f>
        <v/>
      </c>
      <c r="C1496">
        <f>IF(Квартиры!C1494="","",Квартиры!C1494)</f>
        <v/>
      </c>
      <c r="D1496">
        <f>IF(Квартиры!D1494="","",Квартиры!D1494)</f>
        <v/>
      </c>
      <c r="E1496">
        <f>IF(Квартиры!G1494="","",Квартиры!G1494)</f>
        <v/>
      </c>
      <c r="F1496">
        <f>IF(Квартиры!E1494="","",Квартиры!E1494)</f>
        <v/>
      </c>
      <c r="G1496">
        <f>IF(Квартиры!F1494="","",Квартиры!F1494)</f>
        <v/>
      </c>
      <c r="H1496">
        <f>IF(Квартиры!H1494="","",Квартиры!H1494)</f>
        <v/>
      </c>
      <c r="I1496">
        <f>IF(Квартиры!I1494="","",Квартиры!I1494)</f>
        <v/>
      </c>
      <c r="J1496">
        <f>IF(Квартиры!J1494="","",Квартиры!J1494)</f>
        <v/>
      </c>
    </row>
    <row r="1497">
      <c r="A1497">
        <f>IF(Квартиры!A1495="","",Квартиры!A1495)</f>
        <v/>
      </c>
      <c r="B1497">
        <f>IF(Квартиры!B1495="","",Квартиры!B1495)</f>
        <v/>
      </c>
      <c r="C1497">
        <f>IF(Квартиры!C1495="","",Квартиры!C1495)</f>
        <v/>
      </c>
      <c r="D1497">
        <f>IF(Квартиры!D1495="","",Квартиры!D1495)</f>
        <v/>
      </c>
      <c r="E1497">
        <f>IF(Квартиры!G1495="","",Квартиры!G1495)</f>
        <v/>
      </c>
      <c r="F1497">
        <f>IF(Квартиры!E1495="","",Квартиры!E1495)</f>
        <v/>
      </c>
      <c r="G1497">
        <f>IF(Квартиры!F1495="","",Квартиры!F1495)</f>
        <v/>
      </c>
      <c r="H1497">
        <f>IF(Квартиры!H1495="","",Квартиры!H1495)</f>
        <v/>
      </c>
      <c r="I1497">
        <f>IF(Квартиры!I1495="","",Квартиры!I1495)</f>
        <v/>
      </c>
      <c r="J1497">
        <f>IF(Квартиры!J1495="","",Квартиры!J1495)</f>
        <v/>
      </c>
    </row>
    <row r="1498">
      <c r="A1498">
        <f>IF(Квартиры!A1496="","",Квартиры!A1496)</f>
        <v/>
      </c>
      <c r="B1498">
        <f>IF(Квартиры!B1496="","",Квартиры!B1496)</f>
        <v/>
      </c>
      <c r="C1498">
        <f>IF(Квартиры!C1496="","",Квартиры!C1496)</f>
        <v/>
      </c>
      <c r="D1498">
        <f>IF(Квартиры!D1496="","",Квартиры!D1496)</f>
        <v/>
      </c>
      <c r="E1498">
        <f>IF(Квартиры!G1496="","",Квартиры!G1496)</f>
        <v/>
      </c>
      <c r="F1498">
        <f>IF(Квартиры!E1496="","",Квартиры!E1496)</f>
        <v/>
      </c>
      <c r="G1498">
        <f>IF(Квартиры!F1496="","",Квартиры!F1496)</f>
        <v/>
      </c>
      <c r="H1498">
        <f>IF(Квартиры!H1496="","",Квартиры!H1496)</f>
        <v/>
      </c>
      <c r="I1498">
        <f>IF(Квартиры!I1496="","",Квартиры!I1496)</f>
        <v/>
      </c>
      <c r="J1498">
        <f>IF(Квартиры!J1496="","",Квартиры!J1496)</f>
        <v/>
      </c>
    </row>
    <row r="1499">
      <c r="A1499">
        <f>IF(Квартиры!A1497="","",Квартиры!A1497)</f>
        <v/>
      </c>
      <c r="B1499">
        <f>IF(Квартиры!B1497="","",Квартиры!B1497)</f>
        <v/>
      </c>
      <c r="C1499">
        <f>IF(Квартиры!C1497="","",Квартиры!C1497)</f>
        <v/>
      </c>
      <c r="D1499">
        <f>IF(Квартиры!D1497="","",Квартиры!D1497)</f>
        <v/>
      </c>
      <c r="E1499">
        <f>IF(Квартиры!G1497="","",Квартиры!G1497)</f>
        <v/>
      </c>
      <c r="F1499">
        <f>IF(Квартиры!E1497="","",Квартиры!E1497)</f>
        <v/>
      </c>
      <c r="G1499">
        <f>IF(Квартиры!F1497="","",Квартиры!F1497)</f>
        <v/>
      </c>
      <c r="H1499">
        <f>IF(Квартиры!H1497="","",Квартиры!H1497)</f>
        <v/>
      </c>
      <c r="I1499">
        <f>IF(Квартиры!I1497="","",Квартиры!I1497)</f>
        <v/>
      </c>
      <c r="J1499">
        <f>IF(Квартиры!J1497="","",Квартиры!J1497)</f>
        <v/>
      </c>
    </row>
    <row r="1500">
      <c r="A1500">
        <f>IF(Квартиры!A1498="","",Квартиры!A1498)</f>
        <v/>
      </c>
      <c r="B1500">
        <f>IF(Квартиры!B1498="","",Квартиры!B1498)</f>
        <v/>
      </c>
      <c r="C1500">
        <f>IF(Квартиры!C1498="","",Квартиры!C1498)</f>
        <v/>
      </c>
      <c r="D1500">
        <f>IF(Квартиры!D1498="","",Квартиры!D1498)</f>
        <v/>
      </c>
      <c r="E1500">
        <f>IF(Квартиры!G1498="","",Квартиры!G1498)</f>
        <v/>
      </c>
      <c r="F1500">
        <f>IF(Квартиры!E1498="","",Квартиры!E1498)</f>
        <v/>
      </c>
      <c r="G1500">
        <f>IF(Квартиры!F1498="","",Квартиры!F1498)</f>
        <v/>
      </c>
      <c r="H1500">
        <f>IF(Квартиры!H1498="","",Квартиры!H1498)</f>
        <v/>
      </c>
      <c r="I1500">
        <f>IF(Квартиры!I1498="","",Квартиры!I1498)</f>
        <v/>
      </c>
      <c r="J1500">
        <f>IF(Квартиры!J1498="","",Квартиры!J1498)</f>
        <v/>
      </c>
    </row>
    <row r="1501">
      <c r="A1501">
        <f>IF(Квартиры!A1499="","",Квартиры!A1499)</f>
        <v/>
      </c>
      <c r="B1501">
        <f>IF(Квартиры!B1499="","",Квартиры!B1499)</f>
        <v/>
      </c>
      <c r="C1501">
        <f>IF(Квартиры!C1499="","",Квартиры!C1499)</f>
        <v/>
      </c>
      <c r="D1501">
        <f>IF(Квартиры!D1499="","",Квартиры!D1499)</f>
        <v/>
      </c>
      <c r="E1501">
        <f>IF(Квартиры!G1499="","",Квартиры!G1499)</f>
        <v/>
      </c>
      <c r="F1501">
        <f>IF(Квартиры!E1499="","",Квартиры!E1499)</f>
        <v/>
      </c>
      <c r="G1501">
        <f>IF(Квартиры!F1499="","",Квартиры!F1499)</f>
        <v/>
      </c>
      <c r="H1501">
        <f>IF(Квартиры!H1499="","",Квартиры!H1499)</f>
        <v/>
      </c>
      <c r="I1501">
        <f>IF(Квартиры!I1499="","",Квартиры!I1499)</f>
        <v/>
      </c>
      <c r="J1501">
        <f>IF(Квартиры!J1499="","",Квартиры!J1499)</f>
        <v/>
      </c>
    </row>
    <row r="1502">
      <c r="A1502">
        <f>IF(Квартиры!A1500="","",Квартиры!A1500)</f>
        <v/>
      </c>
      <c r="B1502">
        <f>IF(Квартиры!B1500="","",Квартиры!B1500)</f>
        <v/>
      </c>
      <c r="C1502">
        <f>IF(Квартиры!C1500="","",Квартиры!C1500)</f>
        <v/>
      </c>
      <c r="D1502">
        <f>IF(Квартиры!D1500="","",Квартиры!D1500)</f>
        <v/>
      </c>
      <c r="E1502">
        <f>IF(Квартиры!G1500="","",Квартиры!G1500)</f>
        <v/>
      </c>
      <c r="F1502">
        <f>IF(Квартиры!E1500="","",Квартиры!E1500)</f>
        <v/>
      </c>
      <c r="G1502">
        <f>IF(Квартиры!F1500="","",Квартиры!F1500)</f>
        <v/>
      </c>
      <c r="H1502">
        <f>IF(Квартиры!H1500="","",Квартиры!H1500)</f>
        <v/>
      </c>
      <c r="I1502">
        <f>IF(Квартиры!I1500="","",Квартиры!I1500)</f>
        <v/>
      </c>
      <c r="J1502">
        <f>IF(Квартиры!J1500="","",Квартиры!J1500)</f>
        <v/>
      </c>
    </row>
    <row r="1503">
      <c r="A1503">
        <f>IF(Квартиры!A1501="","",Квартиры!A1501)</f>
        <v/>
      </c>
      <c r="B1503">
        <f>IF(Квартиры!B1501="","",Квартиры!B1501)</f>
        <v/>
      </c>
      <c r="C1503">
        <f>IF(Квартиры!C1501="","",Квартиры!C1501)</f>
        <v/>
      </c>
      <c r="D1503">
        <f>IF(Квартиры!D1501="","",Квартиры!D1501)</f>
        <v/>
      </c>
      <c r="E1503">
        <f>IF(Квартиры!G1501="","",Квартиры!G1501)</f>
        <v/>
      </c>
      <c r="F1503">
        <f>IF(Квартиры!E1501="","",Квартиры!E1501)</f>
        <v/>
      </c>
      <c r="G1503">
        <f>IF(Квартиры!F1501="","",Квартиры!F1501)</f>
        <v/>
      </c>
      <c r="H1503">
        <f>IF(Квартиры!H1501="","",Квартиры!H1501)</f>
        <v/>
      </c>
      <c r="I1503">
        <f>IF(Квартиры!I1501="","",Квартиры!I1501)</f>
        <v/>
      </c>
      <c r="J1503">
        <f>IF(Квартиры!J1501="","",Квартиры!J1501)</f>
        <v/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Этаж</t>
        </is>
      </c>
      <c r="B1" t="inlineStr">
        <is>
          <t>Тип</t>
        </is>
      </c>
      <c r="C1" t="inlineStr">
        <is>
          <t>Номер</t>
        </is>
      </c>
      <c r="D1" t="inlineStr">
        <is>
          <t>Sобщ</t>
        </is>
      </c>
      <c r="E1" t="inlineStr">
        <is>
          <t>Sж</t>
        </is>
      </c>
      <c r="F1" t="inlineStr">
        <is>
          <t>Имя</t>
        </is>
      </c>
      <c r="G1" t="inlineStr">
        <is>
          <t>Число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58" customWidth="1" min="1" max="1"/>
    <col width="24" customWidth="1" min="2" max="2"/>
    <col width="24" customWidth="1" min="3" max="3"/>
    <col width="24" customWidth="1" min="4" max="4"/>
    <col width="34" customWidth="1" min="5" max="5"/>
  </cols>
  <sheetData>
    <row r="1">
      <c r="A1" s="3" t="inlineStr">
        <is>
          <t>НАСТРОЙКИ (меняются без правки формул)</t>
        </is>
      </c>
    </row>
    <row r="2">
      <c r="E2" t="inlineStr">
        <is>
          <t>служебное</t>
        </is>
      </c>
    </row>
    <row r="3">
      <c r="A3" t="inlineStr">
        <is>
          <t>Корпус (формула берёт K__ из имени связи АР; можно вписать вручную)</t>
        </is>
      </c>
      <c r="B3">
        <f>IF(E4&lt;&gt;"","K"&amp;MID(E3,E4+1,2),IF(E3&lt;&gt;"",E3,"—"))</f>
        <v/>
      </c>
      <c r="D3" t="inlineStr">
        <is>
          <t>Связь АР:</t>
        </is>
      </c>
      <c r="E3">
        <f>IFERROR(INDEX(INDIRECT("'Выгрузка'!B1:B4000"),MATCH("Связь АР:",INDIRECT("'Выгрузка'!A1:A4000"),0))&amp;"","")</f>
        <v/>
      </c>
    </row>
    <row r="4">
      <c r="A4" t="inlineStr">
        <is>
          <t>Учитывать тип квартиры при поиске типовых этажей (да/нет)</t>
        </is>
      </c>
      <c r="B4" t="inlineStr">
        <is>
          <t>нет</t>
        </is>
      </c>
      <c r="E4">
        <f>IFERROR(LOOKUP(2,1/(((MID($E$3,ROW($1:$80),1)="K")+(MID($E$3,ROW($1:$80),1)="К"))*(MID("_"&amp;$E$3,ROW($1:$80),1)="_")*ISNUMBER(--MID($E$3,ROW($1:$80)+1,2))*(LEN(MID($E$3,ROW($1:$80)+1,2))=2)),ROW($1:$80)),"")</f>
        <v/>
      </c>
    </row>
    <row r="5">
      <c r="D5" t="inlineStr">
        <is>
          <t>Выгружено:</t>
        </is>
      </c>
      <c r="E5">
        <f>IFERROR(INDEX(INDIRECT("'Выгрузка'!B1:B4000"),MATCH("Выгружено:",INDIRECT("'Выгрузка'!A1:A4000"),0))&amp;"","")</f>
        <v/>
      </c>
    </row>
    <row r="6">
      <c r="A6" s="2" t="inlineStr">
        <is>
          <t>Номер столбца в «Выгрузке» (A=1, B=2 …)</t>
        </is>
      </c>
    </row>
    <row r="7">
      <c r="A7" t="inlineStr">
        <is>
          <t>Этаж</t>
        </is>
      </c>
      <c r="B7" t="n">
        <v>1</v>
      </c>
    </row>
    <row r="8">
      <c r="A8" t="inlineStr">
        <is>
          <t>Тип квартиры</t>
        </is>
      </c>
      <c r="B8" t="n">
        <v>2</v>
      </c>
    </row>
    <row r="9">
      <c r="A9" t="inlineStr">
        <is>
          <t>Номер квартиры на этаже</t>
        </is>
      </c>
      <c r="B9" t="n">
        <v>3</v>
      </c>
    </row>
    <row r="10">
      <c r="A10" t="inlineStr">
        <is>
          <t>Площадь общая</t>
        </is>
      </c>
      <c r="B10" t="n">
        <v>4</v>
      </c>
    </row>
    <row r="11">
      <c r="A11" t="inlineStr">
        <is>
          <t>Площадь жилая</t>
        </is>
      </c>
      <c r="B11" t="n">
        <v>5</v>
      </c>
    </row>
    <row r="12">
      <c r="A12" t="inlineStr">
        <is>
          <t>Имя помещения</t>
        </is>
      </c>
      <c r="B12" t="n">
        <v>6</v>
      </c>
    </row>
    <row r="13">
      <c r="A13" t="inlineStr">
        <is>
          <t>Число (пусто = 1)</t>
        </is>
      </c>
      <c r="B13" t="n">
        <v>7</v>
      </c>
    </row>
    <row r="15">
      <c r="A15" s="2" t="inlineStr">
        <is>
          <t>Имена помещений (по одному в ячейке, регистр не важен)</t>
        </is>
      </c>
    </row>
    <row r="16">
      <c r="B16" s="2" t="inlineStr">
        <is>
          <t>СУ</t>
        </is>
      </c>
      <c r="C16" s="2" t="inlineStr">
        <is>
          <t>Уборная</t>
        </is>
      </c>
      <c r="D16" s="2" t="inlineStr">
        <is>
          <t>Гардеробная</t>
        </is>
      </c>
    </row>
    <row r="17">
      <c r="A17" t="inlineStr">
        <is>
          <t>варианты →</t>
        </is>
      </c>
      <c r="B17" t="inlineStr">
        <is>
          <t>Совмещенный санузел</t>
        </is>
      </c>
      <c r="C17" t="inlineStr">
        <is>
          <t>Уборная</t>
        </is>
      </c>
      <c r="D17" t="inlineStr">
        <is>
          <t>Гардеробная</t>
        </is>
      </c>
    </row>
    <row r="18">
      <c r="B18" t="inlineStr">
        <is>
          <t>Санузел</t>
        </is>
      </c>
      <c r="C18" t="inlineStr">
        <is>
          <t>Туалет</t>
        </is>
      </c>
    </row>
    <row r="19">
      <c r="B19" t="inlineStr">
        <is>
          <t>Ванная</t>
        </is>
      </c>
    </row>
    <row r="20">
      <c r="B20" t="inlineStr">
        <is>
          <t>Совмещённый санузел</t>
        </is>
      </c>
    </row>
    <row r="27">
      <c r="A27" t="inlineStr">
        <is>
          <t>Строки 17–26 — до 10 вариантов на каждый вид. Тип «1(1XL)» разбирается: Комнат=1, Тип=1XL.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Этаж</t>
        </is>
      </c>
      <c r="B1" s="2" t="inlineStr">
        <is>
          <t>Номер</t>
        </is>
      </c>
      <c r="C1" s="2" t="inlineStr">
        <is>
          <t>Тип</t>
        </is>
      </c>
      <c r="D1" s="2" t="inlineStr">
        <is>
          <t>Sобщ</t>
        </is>
      </c>
      <c r="E1" s="2" t="inlineStr">
        <is>
          <t>Sж</t>
        </is>
      </c>
      <c r="F1" s="2" t="inlineStr">
        <is>
          <t>Имя</t>
        </is>
      </c>
      <c r="G1" s="2" t="inlineStr">
        <is>
          <t>Число</t>
        </is>
      </c>
      <c r="H1" s="2" t="inlineStr">
        <is>
          <t>Вид</t>
        </is>
      </c>
      <c r="I1" s="2" t="inlineStr">
        <is>
          <t>Ключ кв.</t>
        </is>
      </c>
      <c r="J1" s="2" t="inlineStr">
        <is>
          <t>№ кв. п/п</t>
        </is>
      </c>
    </row>
    <row r="2">
      <c r="A2">
        <f>IFERROR(--SUBSTITUTE(SUBSTITUTE(TRIM(INDEX(INDIRECT("'Выгрузка'!A2:Z2"),Настройки!$B$7)),",","."),".",MID(1/2,2,1)),"")</f>
        <v/>
      </c>
      <c r="B2">
        <f>IFERROR(--SUBSTITUTE(SUBSTITUTE(TRIM(INDEX(INDIRECT("'Выгрузка'!A2:Z2"),Настройки!$B$9)),",","."),".",MID(1/2,2,1)),"")</f>
        <v/>
      </c>
      <c r="C2">
        <f>TRIM(INDEX(INDIRECT("'Выгрузка'!A2:Z2"),Настройки!$B$8)&amp;"")</f>
        <v/>
      </c>
      <c r="D2">
        <f>IFERROR(--SUBSTITUTE(SUBSTITUTE(TRIM(INDEX(INDIRECT("'Выгрузка'!A2:Z2"),Настройки!$B$10)),",","."),".",MID(1/2,2,1)),"")</f>
        <v/>
      </c>
      <c r="E2">
        <f>IFERROR(--SUBSTITUTE(SUBSTITUTE(TRIM(INDEX(INDIRECT("'Выгрузка'!A2:Z2"),Настройки!$B$11)),",","."),".",MID(1/2,2,1)),"")</f>
        <v/>
      </c>
      <c r="F2">
        <f>TRIM(INDEX(INDIRECT("'Выгрузка'!A2:Z2"),Настройки!$B$12)&amp;"")</f>
        <v/>
      </c>
      <c r="G2">
        <f>IF(F2="",0,IF(TRIM(INDEX(INDIRECT("'Выгрузка'!A2:Z2"),Настройки!$B$13)&amp;"")="",1,IFERROR(--SUBSTITUTE(SUBSTITUTE(TRIM(INDEX(INDIRECT("'Выгрузка'!A2:Z2"),Настройки!$B$13)),",","."),".",MID(1/2,2,1)),"")))</f>
        <v/>
      </c>
      <c r="H2">
        <f>IF(F2="",0,IF(COUNTIF(Настройки!$B$17:$B$26,F2)&gt;0,1,IF(COUNTIF(Настройки!$C$17:$C$26,F2)&gt;0,2,IF(COUNTIF(Настройки!$D$17:$D$26,F2)&gt;0,3,0))))</f>
        <v/>
      </c>
      <c r="I2">
        <f>IF(AND(ISNUMBER(A2),ISNUMBER(B2)),A2*1000+B2,"")</f>
        <v/>
      </c>
      <c r="J2">
        <f>IF(I2="","",IF(COUNTIF(I$2:I2,I2)=1,MAX(J$1:J1)+1,""))</f>
        <v/>
      </c>
    </row>
    <row r="3">
      <c r="A3">
        <f>IFERROR(--SUBSTITUTE(SUBSTITUTE(TRIM(INDEX(INDIRECT("'Выгрузка'!A3:Z3"),Настройки!$B$7)),",","."),".",MID(1/2,2,1)),"")</f>
        <v/>
      </c>
      <c r="B3">
        <f>IFERROR(--SUBSTITUTE(SUBSTITUTE(TRIM(INDEX(INDIRECT("'Выгрузка'!A3:Z3"),Настройки!$B$9)),",","."),".",MID(1/2,2,1)),"")</f>
        <v/>
      </c>
      <c r="C3">
        <f>TRIM(INDEX(INDIRECT("'Выгрузка'!A3:Z3"),Настройки!$B$8)&amp;"")</f>
        <v/>
      </c>
      <c r="D3">
        <f>IFERROR(--SUBSTITUTE(SUBSTITUTE(TRIM(INDEX(INDIRECT("'Выгрузка'!A3:Z3"),Настройки!$B$10)),",","."),".",MID(1/2,2,1)),"")</f>
        <v/>
      </c>
      <c r="E3">
        <f>IFERROR(--SUBSTITUTE(SUBSTITUTE(TRIM(INDEX(INDIRECT("'Выгрузка'!A3:Z3"),Настройки!$B$11)),",","."),".",MID(1/2,2,1)),"")</f>
        <v/>
      </c>
      <c r="F3">
        <f>TRIM(INDEX(INDIRECT("'Выгрузка'!A3:Z3"),Настройки!$B$12)&amp;"")</f>
        <v/>
      </c>
      <c r="G3">
        <f>IF(F3="",0,IF(TRIM(INDEX(INDIRECT("'Выгрузка'!A3:Z3"),Настройки!$B$13)&amp;"")="",1,IFERROR(--SUBSTITUTE(SUBSTITUTE(TRIM(INDEX(INDIRECT("'Выгрузка'!A3:Z3"),Настройки!$B$13)),",","."),".",MID(1/2,2,1)),"")))</f>
        <v/>
      </c>
      <c r="H3">
        <f>IF(F3="",0,IF(COUNTIF(Настройки!$B$17:$B$26,F3)&gt;0,1,IF(COUNTIF(Настройки!$C$17:$C$26,F3)&gt;0,2,IF(COUNTIF(Настройки!$D$17:$D$26,F3)&gt;0,3,0))))</f>
        <v/>
      </c>
      <c r="I3">
        <f>IF(AND(ISNUMBER(A3),ISNUMBER(B3)),A3*1000+B3,"")</f>
        <v/>
      </c>
      <c r="J3">
        <f>IF(I3="","",IF(COUNTIF(I$2:I3,I3)=1,MAX(J$1:J2)+1,""))</f>
        <v/>
      </c>
    </row>
    <row r="4">
      <c r="A4">
        <f>IFERROR(--SUBSTITUTE(SUBSTITUTE(TRIM(INDEX(INDIRECT("'Выгрузка'!A4:Z4"),Настройки!$B$7)),",","."),".",MID(1/2,2,1)),"")</f>
        <v/>
      </c>
      <c r="B4">
        <f>IFERROR(--SUBSTITUTE(SUBSTITUTE(TRIM(INDEX(INDIRECT("'Выгрузка'!A4:Z4"),Настройки!$B$9)),",","."),".",MID(1/2,2,1)),"")</f>
        <v/>
      </c>
      <c r="C4">
        <f>TRIM(INDEX(INDIRECT("'Выгрузка'!A4:Z4"),Настройки!$B$8)&amp;"")</f>
        <v/>
      </c>
      <c r="D4">
        <f>IFERROR(--SUBSTITUTE(SUBSTITUTE(TRIM(INDEX(INDIRECT("'Выгрузка'!A4:Z4"),Настройки!$B$10)),",","."),".",MID(1/2,2,1)),"")</f>
        <v/>
      </c>
      <c r="E4">
        <f>IFERROR(--SUBSTITUTE(SUBSTITUTE(TRIM(INDEX(INDIRECT("'Выгрузка'!A4:Z4"),Настройки!$B$11)),",","."),".",MID(1/2,2,1)),"")</f>
        <v/>
      </c>
      <c r="F4">
        <f>TRIM(INDEX(INDIRECT("'Выгрузка'!A4:Z4"),Настройки!$B$12)&amp;"")</f>
        <v/>
      </c>
      <c r="G4">
        <f>IF(F4="",0,IF(TRIM(INDEX(INDIRECT("'Выгрузка'!A4:Z4"),Настройки!$B$13)&amp;"")="",1,IFERROR(--SUBSTITUTE(SUBSTITUTE(TRIM(INDEX(INDIRECT("'Выгрузка'!A4:Z4"),Настройки!$B$13)),",","."),".",MID(1/2,2,1)),"")))</f>
        <v/>
      </c>
      <c r="H4">
        <f>IF(F4="",0,IF(COUNTIF(Настройки!$B$17:$B$26,F4)&gt;0,1,IF(COUNTIF(Настройки!$C$17:$C$26,F4)&gt;0,2,IF(COUNTIF(Настройки!$D$17:$D$26,F4)&gt;0,3,0))))</f>
        <v/>
      </c>
      <c r="I4">
        <f>IF(AND(ISNUMBER(A4),ISNUMBER(B4)),A4*1000+B4,"")</f>
        <v/>
      </c>
      <c r="J4">
        <f>IF(I4="","",IF(COUNTIF(I$2:I4,I4)=1,MAX(J$1:J3)+1,""))</f>
        <v/>
      </c>
    </row>
    <row r="5">
      <c r="A5">
        <f>IFERROR(--SUBSTITUTE(SUBSTITUTE(TRIM(INDEX(INDIRECT("'Выгрузка'!A5:Z5"),Настройки!$B$7)),",","."),".",MID(1/2,2,1)),"")</f>
        <v/>
      </c>
      <c r="B5">
        <f>IFERROR(--SUBSTITUTE(SUBSTITUTE(TRIM(INDEX(INDIRECT("'Выгрузка'!A5:Z5"),Настройки!$B$9)),",","."),".",MID(1/2,2,1)),"")</f>
        <v/>
      </c>
      <c r="C5">
        <f>TRIM(INDEX(INDIRECT("'Выгрузка'!A5:Z5"),Настройки!$B$8)&amp;"")</f>
        <v/>
      </c>
      <c r="D5">
        <f>IFERROR(--SUBSTITUTE(SUBSTITUTE(TRIM(INDEX(INDIRECT("'Выгрузка'!A5:Z5"),Настройки!$B$10)),",","."),".",MID(1/2,2,1)),"")</f>
        <v/>
      </c>
      <c r="E5">
        <f>IFERROR(--SUBSTITUTE(SUBSTITUTE(TRIM(INDEX(INDIRECT("'Выгрузка'!A5:Z5"),Настройки!$B$11)),",","."),".",MID(1/2,2,1)),"")</f>
        <v/>
      </c>
      <c r="F5">
        <f>TRIM(INDEX(INDIRECT("'Выгрузка'!A5:Z5"),Настройки!$B$12)&amp;"")</f>
        <v/>
      </c>
      <c r="G5">
        <f>IF(F5="",0,IF(TRIM(INDEX(INDIRECT("'Выгрузка'!A5:Z5"),Настройки!$B$13)&amp;"")="",1,IFERROR(--SUBSTITUTE(SUBSTITUTE(TRIM(INDEX(INDIRECT("'Выгрузка'!A5:Z5"),Настройки!$B$13)),",","."),".",MID(1/2,2,1)),"")))</f>
        <v/>
      </c>
      <c r="H5">
        <f>IF(F5="",0,IF(COUNTIF(Настройки!$B$17:$B$26,F5)&gt;0,1,IF(COUNTIF(Настройки!$C$17:$C$26,F5)&gt;0,2,IF(COUNTIF(Настройки!$D$17:$D$26,F5)&gt;0,3,0))))</f>
        <v/>
      </c>
      <c r="I5">
        <f>IF(AND(ISNUMBER(A5),ISNUMBER(B5)),A5*1000+B5,"")</f>
        <v/>
      </c>
      <c r="J5">
        <f>IF(I5="","",IF(COUNTIF(I$2:I5,I5)=1,MAX(J$1:J4)+1,""))</f>
        <v/>
      </c>
    </row>
    <row r="6">
      <c r="A6">
        <f>IFERROR(--SUBSTITUTE(SUBSTITUTE(TRIM(INDEX(INDIRECT("'Выгрузка'!A6:Z6"),Настройки!$B$7)),",","."),".",MID(1/2,2,1)),"")</f>
        <v/>
      </c>
      <c r="B6">
        <f>IFERROR(--SUBSTITUTE(SUBSTITUTE(TRIM(INDEX(INDIRECT("'Выгрузка'!A6:Z6"),Настройки!$B$9)),",","."),".",MID(1/2,2,1)),"")</f>
        <v/>
      </c>
      <c r="C6">
        <f>TRIM(INDEX(INDIRECT("'Выгрузка'!A6:Z6"),Настройки!$B$8)&amp;"")</f>
        <v/>
      </c>
      <c r="D6">
        <f>IFERROR(--SUBSTITUTE(SUBSTITUTE(TRIM(INDEX(INDIRECT("'Выгрузка'!A6:Z6"),Настройки!$B$10)),",","."),".",MID(1/2,2,1)),"")</f>
        <v/>
      </c>
      <c r="E6">
        <f>IFERROR(--SUBSTITUTE(SUBSTITUTE(TRIM(INDEX(INDIRECT("'Выгрузка'!A6:Z6"),Настройки!$B$11)),",","."),".",MID(1/2,2,1)),"")</f>
        <v/>
      </c>
      <c r="F6">
        <f>TRIM(INDEX(INDIRECT("'Выгрузка'!A6:Z6"),Настройки!$B$12)&amp;"")</f>
        <v/>
      </c>
      <c r="G6">
        <f>IF(F6="",0,IF(TRIM(INDEX(INDIRECT("'Выгрузка'!A6:Z6"),Настройки!$B$13)&amp;"")="",1,IFERROR(--SUBSTITUTE(SUBSTITUTE(TRIM(INDEX(INDIRECT("'Выгрузка'!A6:Z6"),Настройки!$B$13)),",","."),".",MID(1/2,2,1)),"")))</f>
        <v/>
      </c>
      <c r="H6">
        <f>IF(F6="",0,IF(COUNTIF(Настройки!$B$17:$B$26,F6)&gt;0,1,IF(COUNTIF(Настройки!$C$17:$C$26,F6)&gt;0,2,IF(COUNTIF(Настройки!$D$17:$D$26,F6)&gt;0,3,0))))</f>
        <v/>
      </c>
      <c r="I6">
        <f>IF(AND(ISNUMBER(A6),ISNUMBER(B6)),A6*1000+B6,"")</f>
        <v/>
      </c>
      <c r="J6">
        <f>IF(I6="","",IF(COUNTIF(I$2:I6,I6)=1,MAX(J$1:J5)+1,""))</f>
        <v/>
      </c>
    </row>
    <row r="7">
      <c r="A7">
        <f>IFERROR(--SUBSTITUTE(SUBSTITUTE(TRIM(INDEX(INDIRECT("'Выгрузка'!A7:Z7"),Настройки!$B$7)),",","."),".",MID(1/2,2,1)),"")</f>
        <v/>
      </c>
      <c r="B7">
        <f>IFERROR(--SUBSTITUTE(SUBSTITUTE(TRIM(INDEX(INDIRECT("'Выгрузка'!A7:Z7"),Настройки!$B$9)),",","."),".",MID(1/2,2,1)),"")</f>
        <v/>
      </c>
      <c r="C7">
        <f>TRIM(INDEX(INDIRECT("'Выгрузка'!A7:Z7"),Настройки!$B$8)&amp;"")</f>
        <v/>
      </c>
      <c r="D7">
        <f>IFERROR(--SUBSTITUTE(SUBSTITUTE(TRIM(INDEX(INDIRECT("'Выгрузка'!A7:Z7"),Настройки!$B$10)),",","."),".",MID(1/2,2,1)),"")</f>
        <v/>
      </c>
      <c r="E7">
        <f>IFERROR(--SUBSTITUTE(SUBSTITUTE(TRIM(INDEX(INDIRECT("'Выгрузка'!A7:Z7"),Настройки!$B$11)),",","."),".",MID(1/2,2,1)),"")</f>
        <v/>
      </c>
      <c r="F7">
        <f>TRIM(INDEX(INDIRECT("'Выгрузка'!A7:Z7"),Настройки!$B$12)&amp;"")</f>
        <v/>
      </c>
      <c r="G7">
        <f>IF(F7="",0,IF(TRIM(INDEX(INDIRECT("'Выгрузка'!A7:Z7"),Настройки!$B$13)&amp;"")="",1,IFERROR(--SUBSTITUTE(SUBSTITUTE(TRIM(INDEX(INDIRECT("'Выгрузка'!A7:Z7"),Настройки!$B$13)),",","."),".",MID(1/2,2,1)),"")))</f>
        <v/>
      </c>
      <c r="H7">
        <f>IF(F7="",0,IF(COUNTIF(Настройки!$B$17:$B$26,F7)&gt;0,1,IF(COUNTIF(Настройки!$C$17:$C$26,F7)&gt;0,2,IF(COUNTIF(Настройки!$D$17:$D$26,F7)&gt;0,3,0))))</f>
        <v/>
      </c>
      <c r="I7">
        <f>IF(AND(ISNUMBER(A7),ISNUMBER(B7)),A7*1000+B7,"")</f>
        <v/>
      </c>
      <c r="J7">
        <f>IF(I7="","",IF(COUNTIF(I$2:I7,I7)=1,MAX(J$1:J6)+1,""))</f>
        <v/>
      </c>
    </row>
    <row r="8">
      <c r="A8">
        <f>IFERROR(--SUBSTITUTE(SUBSTITUTE(TRIM(INDEX(INDIRECT("'Выгрузка'!A8:Z8"),Настройки!$B$7)),",","."),".",MID(1/2,2,1)),"")</f>
        <v/>
      </c>
      <c r="B8">
        <f>IFERROR(--SUBSTITUTE(SUBSTITUTE(TRIM(INDEX(INDIRECT("'Выгрузка'!A8:Z8"),Настройки!$B$9)),",","."),".",MID(1/2,2,1)),"")</f>
        <v/>
      </c>
      <c r="C8">
        <f>TRIM(INDEX(INDIRECT("'Выгрузка'!A8:Z8"),Настройки!$B$8)&amp;"")</f>
        <v/>
      </c>
      <c r="D8">
        <f>IFERROR(--SUBSTITUTE(SUBSTITUTE(TRIM(INDEX(INDIRECT("'Выгрузка'!A8:Z8"),Настройки!$B$10)),",","."),".",MID(1/2,2,1)),"")</f>
        <v/>
      </c>
      <c r="E8">
        <f>IFERROR(--SUBSTITUTE(SUBSTITUTE(TRIM(INDEX(INDIRECT("'Выгрузка'!A8:Z8"),Настройки!$B$11)),",","."),".",MID(1/2,2,1)),"")</f>
        <v/>
      </c>
      <c r="F8">
        <f>TRIM(INDEX(INDIRECT("'Выгрузка'!A8:Z8"),Настройки!$B$12)&amp;"")</f>
        <v/>
      </c>
      <c r="G8">
        <f>IF(F8="",0,IF(TRIM(INDEX(INDIRECT("'Выгрузка'!A8:Z8"),Настройки!$B$13)&amp;"")="",1,IFERROR(--SUBSTITUTE(SUBSTITUTE(TRIM(INDEX(INDIRECT("'Выгрузка'!A8:Z8"),Настройки!$B$13)),",","."),".",MID(1/2,2,1)),"")))</f>
        <v/>
      </c>
      <c r="H8">
        <f>IF(F8="",0,IF(COUNTIF(Настройки!$B$17:$B$26,F8)&gt;0,1,IF(COUNTIF(Настройки!$C$17:$C$26,F8)&gt;0,2,IF(COUNTIF(Настройки!$D$17:$D$26,F8)&gt;0,3,0))))</f>
        <v/>
      </c>
      <c r="I8">
        <f>IF(AND(ISNUMBER(A8),ISNUMBER(B8)),A8*1000+B8,"")</f>
        <v/>
      </c>
      <c r="J8">
        <f>IF(I8="","",IF(COUNTIF(I$2:I8,I8)=1,MAX(J$1:J7)+1,""))</f>
        <v/>
      </c>
    </row>
    <row r="9">
      <c r="A9">
        <f>IFERROR(--SUBSTITUTE(SUBSTITUTE(TRIM(INDEX(INDIRECT("'Выгрузка'!A9:Z9"),Настройки!$B$7)),",","."),".",MID(1/2,2,1)),"")</f>
        <v/>
      </c>
      <c r="B9">
        <f>IFERROR(--SUBSTITUTE(SUBSTITUTE(TRIM(INDEX(INDIRECT("'Выгрузка'!A9:Z9"),Настройки!$B$9)),",","."),".",MID(1/2,2,1)),"")</f>
        <v/>
      </c>
      <c r="C9">
        <f>TRIM(INDEX(INDIRECT("'Выгрузка'!A9:Z9"),Настройки!$B$8)&amp;"")</f>
        <v/>
      </c>
      <c r="D9">
        <f>IFERROR(--SUBSTITUTE(SUBSTITUTE(TRIM(INDEX(INDIRECT("'Выгрузка'!A9:Z9"),Настройки!$B$10)),",","."),".",MID(1/2,2,1)),"")</f>
        <v/>
      </c>
      <c r="E9">
        <f>IFERROR(--SUBSTITUTE(SUBSTITUTE(TRIM(INDEX(INDIRECT("'Выгрузка'!A9:Z9"),Настройки!$B$11)),",","."),".",MID(1/2,2,1)),"")</f>
        <v/>
      </c>
      <c r="F9">
        <f>TRIM(INDEX(INDIRECT("'Выгрузка'!A9:Z9"),Настройки!$B$12)&amp;"")</f>
        <v/>
      </c>
      <c r="G9">
        <f>IF(F9="",0,IF(TRIM(INDEX(INDIRECT("'Выгрузка'!A9:Z9"),Настройки!$B$13)&amp;"")="",1,IFERROR(--SUBSTITUTE(SUBSTITUTE(TRIM(INDEX(INDIRECT("'Выгрузка'!A9:Z9"),Настройки!$B$13)),",","."),".",MID(1/2,2,1)),"")))</f>
        <v/>
      </c>
      <c r="H9">
        <f>IF(F9="",0,IF(COUNTIF(Настройки!$B$17:$B$26,F9)&gt;0,1,IF(COUNTIF(Настройки!$C$17:$C$26,F9)&gt;0,2,IF(COUNTIF(Настройки!$D$17:$D$26,F9)&gt;0,3,0))))</f>
        <v/>
      </c>
      <c r="I9">
        <f>IF(AND(ISNUMBER(A9),ISNUMBER(B9)),A9*1000+B9,"")</f>
        <v/>
      </c>
      <c r="J9">
        <f>IF(I9="","",IF(COUNTIF(I$2:I9,I9)=1,MAX(J$1:J8)+1,""))</f>
        <v/>
      </c>
    </row>
    <row r="10">
      <c r="A10">
        <f>IFERROR(--SUBSTITUTE(SUBSTITUTE(TRIM(INDEX(INDIRECT("'Выгрузка'!A10:Z10"),Настройки!$B$7)),",","."),".",MID(1/2,2,1)),"")</f>
        <v/>
      </c>
      <c r="B10">
        <f>IFERROR(--SUBSTITUTE(SUBSTITUTE(TRIM(INDEX(INDIRECT("'Выгрузка'!A10:Z10"),Настройки!$B$9)),",","."),".",MID(1/2,2,1)),"")</f>
        <v/>
      </c>
      <c r="C10">
        <f>TRIM(INDEX(INDIRECT("'Выгрузка'!A10:Z10"),Настройки!$B$8)&amp;"")</f>
        <v/>
      </c>
      <c r="D10">
        <f>IFERROR(--SUBSTITUTE(SUBSTITUTE(TRIM(INDEX(INDIRECT("'Выгрузка'!A10:Z10"),Настройки!$B$10)),",","."),".",MID(1/2,2,1)),"")</f>
        <v/>
      </c>
      <c r="E10">
        <f>IFERROR(--SUBSTITUTE(SUBSTITUTE(TRIM(INDEX(INDIRECT("'Выгрузка'!A10:Z10"),Настройки!$B$11)),",","."),".",MID(1/2,2,1)),"")</f>
        <v/>
      </c>
      <c r="F10">
        <f>TRIM(INDEX(INDIRECT("'Выгрузка'!A10:Z10"),Настройки!$B$12)&amp;"")</f>
        <v/>
      </c>
      <c r="G10">
        <f>IF(F10="",0,IF(TRIM(INDEX(INDIRECT("'Выгрузка'!A10:Z10"),Настройки!$B$13)&amp;"")="",1,IFERROR(--SUBSTITUTE(SUBSTITUTE(TRIM(INDEX(INDIRECT("'Выгрузка'!A10:Z10"),Настройки!$B$13)),",","."),".",MID(1/2,2,1)),"")))</f>
        <v/>
      </c>
      <c r="H10">
        <f>IF(F10="",0,IF(COUNTIF(Настройки!$B$17:$B$26,F10)&gt;0,1,IF(COUNTIF(Настройки!$C$17:$C$26,F10)&gt;0,2,IF(COUNTIF(Настройки!$D$17:$D$26,F10)&gt;0,3,0))))</f>
        <v/>
      </c>
      <c r="I10">
        <f>IF(AND(ISNUMBER(A10),ISNUMBER(B10)),A10*1000+B10,"")</f>
        <v/>
      </c>
      <c r="J10">
        <f>IF(I10="","",IF(COUNTIF(I$2:I10,I10)=1,MAX(J$1:J9)+1,""))</f>
        <v/>
      </c>
    </row>
    <row r="11">
      <c r="A11">
        <f>IFERROR(--SUBSTITUTE(SUBSTITUTE(TRIM(INDEX(INDIRECT("'Выгрузка'!A11:Z11"),Настройки!$B$7)),",","."),".",MID(1/2,2,1)),"")</f>
        <v/>
      </c>
      <c r="B11">
        <f>IFERROR(--SUBSTITUTE(SUBSTITUTE(TRIM(INDEX(INDIRECT("'Выгрузка'!A11:Z11"),Настройки!$B$9)),",","."),".",MID(1/2,2,1)),"")</f>
        <v/>
      </c>
      <c r="C11">
        <f>TRIM(INDEX(INDIRECT("'Выгрузка'!A11:Z11"),Настройки!$B$8)&amp;"")</f>
        <v/>
      </c>
      <c r="D11">
        <f>IFERROR(--SUBSTITUTE(SUBSTITUTE(TRIM(INDEX(INDIRECT("'Выгрузка'!A11:Z11"),Настройки!$B$10)),",","."),".",MID(1/2,2,1)),"")</f>
        <v/>
      </c>
      <c r="E11">
        <f>IFERROR(--SUBSTITUTE(SUBSTITUTE(TRIM(INDEX(INDIRECT("'Выгрузка'!A11:Z11"),Настройки!$B$11)),",","."),".",MID(1/2,2,1)),"")</f>
        <v/>
      </c>
      <c r="F11">
        <f>TRIM(INDEX(INDIRECT("'Выгрузка'!A11:Z11"),Настройки!$B$12)&amp;"")</f>
        <v/>
      </c>
      <c r="G11">
        <f>IF(F11="",0,IF(TRIM(INDEX(INDIRECT("'Выгрузка'!A11:Z11"),Настройки!$B$13)&amp;"")="",1,IFERROR(--SUBSTITUTE(SUBSTITUTE(TRIM(INDEX(INDIRECT("'Выгрузка'!A11:Z11"),Настройки!$B$13)),",","."),".",MID(1/2,2,1)),"")))</f>
        <v/>
      </c>
      <c r="H11">
        <f>IF(F11="",0,IF(COUNTIF(Настройки!$B$17:$B$26,F11)&gt;0,1,IF(COUNTIF(Настройки!$C$17:$C$26,F11)&gt;0,2,IF(COUNTIF(Настройки!$D$17:$D$26,F11)&gt;0,3,0))))</f>
        <v/>
      </c>
      <c r="I11">
        <f>IF(AND(ISNUMBER(A11),ISNUMBER(B11)),A11*1000+B11,"")</f>
        <v/>
      </c>
      <c r="J11">
        <f>IF(I11="","",IF(COUNTIF(I$2:I11,I11)=1,MAX(J$1:J10)+1,""))</f>
        <v/>
      </c>
    </row>
    <row r="12">
      <c r="A12">
        <f>IFERROR(--SUBSTITUTE(SUBSTITUTE(TRIM(INDEX(INDIRECT("'Выгрузка'!A12:Z12"),Настройки!$B$7)),",","."),".",MID(1/2,2,1)),"")</f>
        <v/>
      </c>
      <c r="B12">
        <f>IFERROR(--SUBSTITUTE(SUBSTITUTE(TRIM(INDEX(INDIRECT("'Выгрузка'!A12:Z12"),Настройки!$B$9)),",","."),".",MID(1/2,2,1)),"")</f>
        <v/>
      </c>
      <c r="C12">
        <f>TRIM(INDEX(INDIRECT("'Выгрузка'!A12:Z12"),Настройки!$B$8)&amp;"")</f>
        <v/>
      </c>
      <c r="D12">
        <f>IFERROR(--SUBSTITUTE(SUBSTITUTE(TRIM(INDEX(INDIRECT("'Выгрузка'!A12:Z12"),Настройки!$B$10)),",","."),".",MID(1/2,2,1)),"")</f>
        <v/>
      </c>
      <c r="E12">
        <f>IFERROR(--SUBSTITUTE(SUBSTITUTE(TRIM(INDEX(INDIRECT("'Выгрузка'!A12:Z12"),Настройки!$B$11)),",","."),".",MID(1/2,2,1)),"")</f>
        <v/>
      </c>
      <c r="F12">
        <f>TRIM(INDEX(INDIRECT("'Выгрузка'!A12:Z12"),Настройки!$B$12)&amp;"")</f>
        <v/>
      </c>
      <c r="G12">
        <f>IF(F12="",0,IF(TRIM(INDEX(INDIRECT("'Выгрузка'!A12:Z12"),Настройки!$B$13)&amp;"")="",1,IFERROR(--SUBSTITUTE(SUBSTITUTE(TRIM(INDEX(INDIRECT("'Выгрузка'!A12:Z12"),Настройки!$B$13)),",","."),".",MID(1/2,2,1)),"")))</f>
        <v/>
      </c>
      <c r="H12">
        <f>IF(F12="",0,IF(COUNTIF(Настройки!$B$17:$B$26,F12)&gt;0,1,IF(COUNTIF(Настройки!$C$17:$C$26,F12)&gt;0,2,IF(COUNTIF(Настройки!$D$17:$D$26,F12)&gt;0,3,0))))</f>
        <v/>
      </c>
      <c r="I12">
        <f>IF(AND(ISNUMBER(A12),ISNUMBER(B12)),A12*1000+B12,"")</f>
        <v/>
      </c>
      <c r="J12">
        <f>IF(I12="","",IF(COUNTIF(I$2:I12,I12)=1,MAX(J$1:J11)+1,""))</f>
        <v/>
      </c>
    </row>
    <row r="13">
      <c r="A13">
        <f>IFERROR(--SUBSTITUTE(SUBSTITUTE(TRIM(INDEX(INDIRECT("'Выгрузка'!A13:Z13"),Настройки!$B$7)),",","."),".",MID(1/2,2,1)),"")</f>
        <v/>
      </c>
      <c r="B13">
        <f>IFERROR(--SUBSTITUTE(SUBSTITUTE(TRIM(INDEX(INDIRECT("'Выгрузка'!A13:Z13"),Настройки!$B$9)),",","."),".",MID(1/2,2,1)),"")</f>
        <v/>
      </c>
      <c r="C13">
        <f>TRIM(INDEX(INDIRECT("'Выгрузка'!A13:Z13"),Настройки!$B$8)&amp;"")</f>
        <v/>
      </c>
      <c r="D13">
        <f>IFERROR(--SUBSTITUTE(SUBSTITUTE(TRIM(INDEX(INDIRECT("'Выгрузка'!A13:Z13"),Настройки!$B$10)),",","."),".",MID(1/2,2,1)),"")</f>
        <v/>
      </c>
      <c r="E13">
        <f>IFERROR(--SUBSTITUTE(SUBSTITUTE(TRIM(INDEX(INDIRECT("'Выгрузка'!A13:Z13"),Настройки!$B$11)),",","."),".",MID(1/2,2,1)),"")</f>
        <v/>
      </c>
      <c r="F13">
        <f>TRIM(INDEX(INDIRECT("'Выгрузка'!A13:Z13"),Настройки!$B$12)&amp;"")</f>
        <v/>
      </c>
      <c r="G13">
        <f>IF(F13="",0,IF(TRIM(INDEX(INDIRECT("'Выгрузка'!A13:Z13"),Настройки!$B$13)&amp;"")="",1,IFERROR(--SUBSTITUTE(SUBSTITUTE(TRIM(INDEX(INDIRECT("'Выгрузка'!A13:Z13"),Настройки!$B$13)),",","."),".",MID(1/2,2,1)),"")))</f>
        <v/>
      </c>
      <c r="H13">
        <f>IF(F13="",0,IF(COUNTIF(Настройки!$B$17:$B$26,F13)&gt;0,1,IF(COUNTIF(Настройки!$C$17:$C$26,F13)&gt;0,2,IF(COUNTIF(Настройки!$D$17:$D$26,F13)&gt;0,3,0))))</f>
        <v/>
      </c>
      <c r="I13">
        <f>IF(AND(ISNUMBER(A13),ISNUMBER(B13)),A13*1000+B13,"")</f>
        <v/>
      </c>
      <c r="J13">
        <f>IF(I13="","",IF(COUNTIF(I$2:I13,I13)=1,MAX(J$1:J12)+1,""))</f>
        <v/>
      </c>
    </row>
    <row r="14">
      <c r="A14">
        <f>IFERROR(--SUBSTITUTE(SUBSTITUTE(TRIM(INDEX(INDIRECT("'Выгрузка'!A14:Z14"),Настройки!$B$7)),",","."),".",MID(1/2,2,1)),"")</f>
        <v/>
      </c>
      <c r="B14">
        <f>IFERROR(--SUBSTITUTE(SUBSTITUTE(TRIM(INDEX(INDIRECT("'Выгрузка'!A14:Z14"),Настройки!$B$9)),",","."),".",MID(1/2,2,1)),"")</f>
        <v/>
      </c>
      <c r="C14">
        <f>TRIM(INDEX(INDIRECT("'Выгрузка'!A14:Z14"),Настройки!$B$8)&amp;"")</f>
        <v/>
      </c>
      <c r="D14">
        <f>IFERROR(--SUBSTITUTE(SUBSTITUTE(TRIM(INDEX(INDIRECT("'Выгрузка'!A14:Z14"),Настройки!$B$10)),",","."),".",MID(1/2,2,1)),"")</f>
        <v/>
      </c>
      <c r="E14">
        <f>IFERROR(--SUBSTITUTE(SUBSTITUTE(TRIM(INDEX(INDIRECT("'Выгрузка'!A14:Z14"),Настройки!$B$11)),",","."),".",MID(1/2,2,1)),"")</f>
        <v/>
      </c>
      <c r="F14">
        <f>TRIM(INDEX(INDIRECT("'Выгрузка'!A14:Z14"),Настройки!$B$12)&amp;"")</f>
        <v/>
      </c>
      <c r="G14">
        <f>IF(F14="",0,IF(TRIM(INDEX(INDIRECT("'Выгрузка'!A14:Z14"),Настройки!$B$13)&amp;"")="",1,IFERROR(--SUBSTITUTE(SUBSTITUTE(TRIM(INDEX(INDIRECT("'Выгрузка'!A14:Z14"),Настройки!$B$13)),",","."),".",MID(1/2,2,1)),"")))</f>
        <v/>
      </c>
      <c r="H14">
        <f>IF(F14="",0,IF(COUNTIF(Настройки!$B$17:$B$26,F14)&gt;0,1,IF(COUNTIF(Настройки!$C$17:$C$26,F14)&gt;0,2,IF(COUNTIF(Настройки!$D$17:$D$26,F14)&gt;0,3,0))))</f>
        <v/>
      </c>
      <c r="I14">
        <f>IF(AND(ISNUMBER(A14),ISNUMBER(B14)),A14*1000+B14,"")</f>
        <v/>
      </c>
      <c r="J14">
        <f>IF(I14="","",IF(COUNTIF(I$2:I14,I14)=1,MAX(J$1:J13)+1,""))</f>
        <v/>
      </c>
    </row>
    <row r="15">
      <c r="A15">
        <f>IFERROR(--SUBSTITUTE(SUBSTITUTE(TRIM(INDEX(INDIRECT("'Выгрузка'!A15:Z15"),Настройки!$B$7)),",","."),".",MID(1/2,2,1)),"")</f>
        <v/>
      </c>
      <c r="B15">
        <f>IFERROR(--SUBSTITUTE(SUBSTITUTE(TRIM(INDEX(INDIRECT("'Выгрузка'!A15:Z15"),Настройки!$B$9)),",","."),".",MID(1/2,2,1)),"")</f>
        <v/>
      </c>
      <c r="C15">
        <f>TRIM(INDEX(INDIRECT("'Выгрузка'!A15:Z15"),Настройки!$B$8)&amp;"")</f>
        <v/>
      </c>
      <c r="D15">
        <f>IFERROR(--SUBSTITUTE(SUBSTITUTE(TRIM(INDEX(INDIRECT("'Выгрузка'!A15:Z15"),Настройки!$B$10)),",","."),".",MID(1/2,2,1)),"")</f>
        <v/>
      </c>
      <c r="E15">
        <f>IFERROR(--SUBSTITUTE(SUBSTITUTE(TRIM(INDEX(INDIRECT("'Выгрузка'!A15:Z15"),Настройки!$B$11)),",","."),".",MID(1/2,2,1)),"")</f>
        <v/>
      </c>
      <c r="F15">
        <f>TRIM(INDEX(INDIRECT("'Выгрузка'!A15:Z15"),Настройки!$B$12)&amp;"")</f>
        <v/>
      </c>
      <c r="G15">
        <f>IF(F15="",0,IF(TRIM(INDEX(INDIRECT("'Выгрузка'!A15:Z15"),Настройки!$B$13)&amp;"")="",1,IFERROR(--SUBSTITUTE(SUBSTITUTE(TRIM(INDEX(INDIRECT("'Выгрузка'!A15:Z15"),Настройки!$B$13)),",","."),".",MID(1/2,2,1)),"")))</f>
        <v/>
      </c>
      <c r="H15">
        <f>IF(F15="",0,IF(COUNTIF(Настройки!$B$17:$B$26,F15)&gt;0,1,IF(COUNTIF(Настройки!$C$17:$C$26,F15)&gt;0,2,IF(COUNTIF(Настройки!$D$17:$D$26,F15)&gt;0,3,0))))</f>
        <v/>
      </c>
      <c r="I15">
        <f>IF(AND(ISNUMBER(A15),ISNUMBER(B15)),A15*1000+B15,"")</f>
        <v/>
      </c>
      <c r="J15">
        <f>IF(I15="","",IF(COUNTIF(I$2:I15,I15)=1,MAX(J$1:J14)+1,""))</f>
        <v/>
      </c>
    </row>
    <row r="16">
      <c r="A16">
        <f>IFERROR(--SUBSTITUTE(SUBSTITUTE(TRIM(INDEX(INDIRECT("'Выгрузка'!A16:Z16"),Настройки!$B$7)),",","."),".",MID(1/2,2,1)),"")</f>
        <v/>
      </c>
      <c r="B16">
        <f>IFERROR(--SUBSTITUTE(SUBSTITUTE(TRIM(INDEX(INDIRECT("'Выгрузка'!A16:Z16"),Настройки!$B$9)),",","."),".",MID(1/2,2,1)),"")</f>
        <v/>
      </c>
      <c r="C16">
        <f>TRIM(INDEX(INDIRECT("'Выгрузка'!A16:Z16"),Настройки!$B$8)&amp;"")</f>
        <v/>
      </c>
      <c r="D16">
        <f>IFERROR(--SUBSTITUTE(SUBSTITUTE(TRIM(INDEX(INDIRECT("'Выгрузка'!A16:Z16"),Настройки!$B$10)),",","."),".",MID(1/2,2,1)),"")</f>
        <v/>
      </c>
      <c r="E16">
        <f>IFERROR(--SUBSTITUTE(SUBSTITUTE(TRIM(INDEX(INDIRECT("'Выгрузка'!A16:Z16"),Настройки!$B$11)),",","."),".",MID(1/2,2,1)),"")</f>
        <v/>
      </c>
      <c r="F16">
        <f>TRIM(INDEX(INDIRECT("'Выгрузка'!A16:Z16"),Настройки!$B$12)&amp;"")</f>
        <v/>
      </c>
      <c r="G16">
        <f>IF(F16="",0,IF(TRIM(INDEX(INDIRECT("'Выгрузка'!A16:Z16"),Настройки!$B$13)&amp;"")="",1,IFERROR(--SUBSTITUTE(SUBSTITUTE(TRIM(INDEX(INDIRECT("'Выгрузка'!A16:Z16"),Настройки!$B$13)),",","."),".",MID(1/2,2,1)),"")))</f>
        <v/>
      </c>
      <c r="H16">
        <f>IF(F16="",0,IF(COUNTIF(Настройки!$B$17:$B$26,F16)&gt;0,1,IF(COUNTIF(Настройки!$C$17:$C$26,F16)&gt;0,2,IF(COUNTIF(Настройки!$D$17:$D$26,F16)&gt;0,3,0))))</f>
        <v/>
      </c>
      <c r="I16">
        <f>IF(AND(ISNUMBER(A16),ISNUMBER(B16)),A16*1000+B16,"")</f>
        <v/>
      </c>
      <c r="J16">
        <f>IF(I16="","",IF(COUNTIF(I$2:I16,I16)=1,MAX(J$1:J15)+1,""))</f>
        <v/>
      </c>
    </row>
    <row r="17">
      <c r="A17">
        <f>IFERROR(--SUBSTITUTE(SUBSTITUTE(TRIM(INDEX(INDIRECT("'Выгрузка'!A17:Z17"),Настройки!$B$7)),",","."),".",MID(1/2,2,1)),"")</f>
        <v/>
      </c>
      <c r="B17">
        <f>IFERROR(--SUBSTITUTE(SUBSTITUTE(TRIM(INDEX(INDIRECT("'Выгрузка'!A17:Z17"),Настройки!$B$9)),",","."),".",MID(1/2,2,1)),"")</f>
        <v/>
      </c>
      <c r="C17">
        <f>TRIM(INDEX(INDIRECT("'Выгрузка'!A17:Z17"),Настройки!$B$8)&amp;"")</f>
        <v/>
      </c>
      <c r="D17">
        <f>IFERROR(--SUBSTITUTE(SUBSTITUTE(TRIM(INDEX(INDIRECT("'Выгрузка'!A17:Z17"),Настройки!$B$10)),",","."),".",MID(1/2,2,1)),"")</f>
        <v/>
      </c>
      <c r="E17">
        <f>IFERROR(--SUBSTITUTE(SUBSTITUTE(TRIM(INDEX(INDIRECT("'Выгрузка'!A17:Z17"),Настройки!$B$11)),",","."),".",MID(1/2,2,1)),"")</f>
        <v/>
      </c>
      <c r="F17">
        <f>TRIM(INDEX(INDIRECT("'Выгрузка'!A17:Z17"),Настройки!$B$12)&amp;"")</f>
        <v/>
      </c>
      <c r="G17">
        <f>IF(F17="",0,IF(TRIM(INDEX(INDIRECT("'Выгрузка'!A17:Z17"),Настройки!$B$13)&amp;"")="",1,IFERROR(--SUBSTITUTE(SUBSTITUTE(TRIM(INDEX(INDIRECT("'Выгрузка'!A17:Z17"),Настройки!$B$13)),",","."),".",MID(1/2,2,1)),"")))</f>
        <v/>
      </c>
      <c r="H17">
        <f>IF(F17="",0,IF(COUNTIF(Настройки!$B$17:$B$26,F17)&gt;0,1,IF(COUNTIF(Настройки!$C$17:$C$26,F17)&gt;0,2,IF(COUNTIF(Настройки!$D$17:$D$26,F17)&gt;0,3,0))))</f>
        <v/>
      </c>
      <c r="I17">
        <f>IF(AND(ISNUMBER(A17),ISNUMBER(B17)),A17*1000+B17,"")</f>
        <v/>
      </c>
      <c r="J17">
        <f>IF(I17="","",IF(COUNTIF(I$2:I17,I17)=1,MAX(J$1:J16)+1,""))</f>
        <v/>
      </c>
    </row>
    <row r="18">
      <c r="A18">
        <f>IFERROR(--SUBSTITUTE(SUBSTITUTE(TRIM(INDEX(INDIRECT("'Выгрузка'!A18:Z18"),Настройки!$B$7)),",","."),".",MID(1/2,2,1)),"")</f>
        <v/>
      </c>
      <c r="B18">
        <f>IFERROR(--SUBSTITUTE(SUBSTITUTE(TRIM(INDEX(INDIRECT("'Выгрузка'!A18:Z18"),Настройки!$B$9)),",","."),".",MID(1/2,2,1)),"")</f>
        <v/>
      </c>
      <c r="C18">
        <f>TRIM(INDEX(INDIRECT("'Выгрузка'!A18:Z18"),Настройки!$B$8)&amp;"")</f>
        <v/>
      </c>
      <c r="D18">
        <f>IFERROR(--SUBSTITUTE(SUBSTITUTE(TRIM(INDEX(INDIRECT("'Выгрузка'!A18:Z18"),Настройки!$B$10)),",","."),".",MID(1/2,2,1)),"")</f>
        <v/>
      </c>
      <c r="E18">
        <f>IFERROR(--SUBSTITUTE(SUBSTITUTE(TRIM(INDEX(INDIRECT("'Выгрузка'!A18:Z18"),Настройки!$B$11)),",","."),".",MID(1/2,2,1)),"")</f>
        <v/>
      </c>
      <c r="F18">
        <f>TRIM(INDEX(INDIRECT("'Выгрузка'!A18:Z18"),Настройки!$B$12)&amp;"")</f>
        <v/>
      </c>
      <c r="G18">
        <f>IF(F18="",0,IF(TRIM(INDEX(INDIRECT("'Выгрузка'!A18:Z18"),Настройки!$B$13)&amp;"")="",1,IFERROR(--SUBSTITUTE(SUBSTITUTE(TRIM(INDEX(INDIRECT("'Выгрузка'!A18:Z18"),Настройки!$B$13)),",","."),".",MID(1/2,2,1)),"")))</f>
        <v/>
      </c>
      <c r="H18">
        <f>IF(F18="",0,IF(COUNTIF(Настройки!$B$17:$B$26,F18)&gt;0,1,IF(COUNTIF(Настройки!$C$17:$C$26,F18)&gt;0,2,IF(COUNTIF(Настройки!$D$17:$D$26,F18)&gt;0,3,0))))</f>
        <v/>
      </c>
      <c r="I18">
        <f>IF(AND(ISNUMBER(A18),ISNUMBER(B18)),A18*1000+B18,"")</f>
        <v/>
      </c>
      <c r="J18">
        <f>IF(I18="","",IF(COUNTIF(I$2:I18,I18)=1,MAX(J$1:J17)+1,""))</f>
        <v/>
      </c>
    </row>
    <row r="19">
      <c r="A19">
        <f>IFERROR(--SUBSTITUTE(SUBSTITUTE(TRIM(INDEX(INDIRECT("'Выгрузка'!A19:Z19"),Настройки!$B$7)),",","."),".",MID(1/2,2,1)),"")</f>
        <v/>
      </c>
      <c r="B19">
        <f>IFERROR(--SUBSTITUTE(SUBSTITUTE(TRIM(INDEX(INDIRECT("'Выгрузка'!A19:Z19"),Настройки!$B$9)),",","."),".",MID(1/2,2,1)),"")</f>
        <v/>
      </c>
      <c r="C19">
        <f>TRIM(INDEX(INDIRECT("'Выгрузка'!A19:Z19"),Настройки!$B$8)&amp;"")</f>
        <v/>
      </c>
      <c r="D19">
        <f>IFERROR(--SUBSTITUTE(SUBSTITUTE(TRIM(INDEX(INDIRECT("'Выгрузка'!A19:Z19"),Настройки!$B$10)),",","."),".",MID(1/2,2,1)),"")</f>
        <v/>
      </c>
      <c r="E19">
        <f>IFERROR(--SUBSTITUTE(SUBSTITUTE(TRIM(INDEX(INDIRECT("'Выгрузка'!A19:Z19"),Настройки!$B$11)),",","."),".",MID(1/2,2,1)),"")</f>
        <v/>
      </c>
      <c r="F19">
        <f>TRIM(INDEX(INDIRECT("'Выгрузка'!A19:Z19"),Настройки!$B$12)&amp;"")</f>
        <v/>
      </c>
      <c r="G19">
        <f>IF(F19="",0,IF(TRIM(INDEX(INDIRECT("'Выгрузка'!A19:Z19"),Настройки!$B$13)&amp;"")="",1,IFERROR(--SUBSTITUTE(SUBSTITUTE(TRIM(INDEX(INDIRECT("'Выгрузка'!A19:Z19"),Настройки!$B$13)),",","."),".",MID(1/2,2,1)),"")))</f>
        <v/>
      </c>
      <c r="H19">
        <f>IF(F19="",0,IF(COUNTIF(Настройки!$B$17:$B$26,F19)&gt;0,1,IF(COUNTIF(Настройки!$C$17:$C$26,F19)&gt;0,2,IF(COUNTIF(Настройки!$D$17:$D$26,F19)&gt;0,3,0))))</f>
        <v/>
      </c>
      <c r="I19">
        <f>IF(AND(ISNUMBER(A19),ISNUMBER(B19)),A19*1000+B19,"")</f>
        <v/>
      </c>
      <c r="J19">
        <f>IF(I19="","",IF(COUNTIF(I$2:I19,I19)=1,MAX(J$1:J18)+1,""))</f>
        <v/>
      </c>
    </row>
    <row r="20">
      <c r="A20">
        <f>IFERROR(--SUBSTITUTE(SUBSTITUTE(TRIM(INDEX(INDIRECT("'Выгрузка'!A20:Z20"),Настройки!$B$7)),",","."),".",MID(1/2,2,1)),"")</f>
        <v/>
      </c>
      <c r="B20">
        <f>IFERROR(--SUBSTITUTE(SUBSTITUTE(TRIM(INDEX(INDIRECT("'Выгрузка'!A20:Z20"),Настройки!$B$9)),",","."),".",MID(1/2,2,1)),"")</f>
        <v/>
      </c>
      <c r="C20">
        <f>TRIM(INDEX(INDIRECT("'Выгрузка'!A20:Z20"),Настройки!$B$8)&amp;"")</f>
        <v/>
      </c>
      <c r="D20">
        <f>IFERROR(--SUBSTITUTE(SUBSTITUTE(TRIM(INDEX(INDIRECT("'Выгрузка'!A20:Z20"),Настройки!$B$10)),",","."),".",MID(1/2,2,1)),"")</f>
        <v/>
      </c>
      <c r="E20">
        <f>IFERROR(--SUBSTITUTE(SUBSTITUTE(TRIM(INDEX(INDIRECT("'Выгрузка'!A20:Z20"),Настройки!$B$11)),",","."),".",MID(1/2,2,1)),"")</f>
        <v/>
      </c>
      <c r="F20">
        <f>TRIM(INDEX(INDIRECT("'Выгрузка'!A20:Z20"),Настройки!$B$12)&amp;"")</f>
        <v/>
      </c>
      <c r="G20">
        <f>IF(F20="",0,IF(TRIM(INDEX(INDIRECT("'Выгрузка'!A20:Z20"),Настройки!$B$13)&amp;"")="",1,IFERROR(--SUBSTITUTE(SUBSTITUTE(TRIM(INDEX(INDIRECT("'Выгрузка'!A20:Z20"),Настройки!$B$13)),",","."),".",MID(1/2,2,1)),"")))</f>
        <v/>
      </c>
      <c r="H20">
        <f>IF(F20="",0,IF(COUNTIF(Настройки!$B$17:$B$26,F20)&gt;0,1,IF(COUNTIF(Настройки!$C$17:$C$26,F20)&gt;0,2,IF(COUNTIF(Настройки!$D$17:$D$26,F20)&gt;0,3,0))))</f>
        <v/>
      </c>
      <c r="I20">
        <f>IF(AND(ISNUMBER(A20),ISNUMBER(B20)),A20*1000+B20,"")</f>
        <v/>
      </c>
      <c r="J20">
        <f>IF(I20="","",IF(COUNTIF(I$2:I20,I20)=1,MAX(J$1:J19)+1,""))</f>
        <v/>
      </c>
    </row>
    <row r="21">
      <c r="A21">
        <f>IFERROR(--SUBSTITUTE(SUBSTITUTE(TRIM(INDEX(INDIRECT("'Выгрузка'!A21:Z21"),Настройки!$B$7)),",","."),".",MID(1/2,2,1)),"")</f>
        <v/>
      </c>
      <c r="B21">
        <f>IFERROR(--SUBSTITUTE(SUBSTITUTE(TRIM(INDEX(INDIRECT("'Выгрузка'!A21:Z21"),Настройки!$B$9)),",","."),".",MID(1/2,2,1)),"")</f>
        <v/>
      </c>
      <c r="C21">
        <f>TRIM(INDEX(INDIRECT("'Выгрузка'!A21:Z21"),Настройки!$B$8)&amp;"")</f>
        <v/>
      </c>
      <c r="D21">
        <f>IFERROR(--SUBSTITUTE(SUBSTITUTE(TRIM(INDEX(INDIRECT("'Выгрузка'!A21:Z21"),Настройки!$B$10)),",","."),".",MID(1/2,2,1)),"")</f>
        <v/>
      </c>
      <c r="E21">
        <f>IFERROR(--SUBSTITUTE(SUBSTITUTE(TRIM(INDEX(INDIRECT("'Выгрузка'!A21:Z21"),Настройки!$B$11)),",","."),".",MID(1/2,2,1)),"")</f>
        <v/>
      </c>
      <c r="F21">
        <f>TRIM(INDEX(INDIRECT("'Выгрузка'!A21:Z21"),Настройки!$B$12)&amp;"")</f>
        <v/>
      </c>
      <c r="G21">
        <f>IF(F21="",0,IF(TRIM(INDEX(INDIRECT("'Выгрузка'!A21:Z21"),Настройки!$B$13)&amp;"")="",1,IFERROR(--SUBSTITUTE(SUBSTITUTE(TRIM(INDEX(INDIRECT("'Выгрузка'!A21:Z21"),Настройки!$B$13)),",","."),".",MID(1/2,2,1)),"")))</f>
        <v/>
      </c>
      <c r="H21">
        <f>IF(F21="",0,IF(COUNTIF(Настройки!$B$17:$B$26,F21)&gt;0,1,IF(COUNTIF(Настройки!$C$17:$C$26,F21)&gt;0,2,IF(COUNTIF(Настройки!$D$17:$D$26,F21)&gt;0,3,0))))</f>
        <v/>
      </c>
      <c r="I21">
        <f>IF(AND(ISNUMBER(A21),ISNUMBER(B21)),A21*1000+B21,"")</f>
        <v/>
      </c>
      <c r="J21">
        <f>IF(I21="","",IF(COUNTIF(I$2:I21,I21)=1,MAX(J$1:J20)+1,""))</f>
        <v/>
      </c>
    </row>
    <row r="22">
      <c r="A22">
        <f>IFERROR(--SUBSTITUTE(SUBSTITUTE(TRIM(INDEX(INDIRECT("'Выгрузка'!A22:Z22"),Настройки!$B$7)),",","."),".",MID(1/2,2,1)),"")</f>
        <v/>
      </c>
      <c r="B22">
        <f>IFERROR(--SUBSTITUTE(SUBSTITUTE(TRIM(INDEX(INDIRECT("'Выгрузка'!A22:Z22"),Настройки!$B$9)),",","."),".",MID(1/2,2,1)),"")</f>
        <v/>
      </c>
      <c r="C22">
        <f>TRIM(INDEX(INDIRECT("'Выгрузка'!A22:Z22"),Настройки!$B$8)&amp;"")</f>
        <v/>
      </c>
      <c r="D22">
        <f>IFERROR(--SUBSTITUTE(SUBSTITUTE(TRIM(INDEX(INDIRECT("'Выгрузка'!A22:Z22"),Настройки!$B$10)),",","."),".",MID(1/2,2,1)),"")</f>
        <v/>
      </c>
      <c r="E22">
        <f>IFERROR(--SUBSTITUTE(SUBSTITUTE(TRIM(INDEX(INDIRECT("'Выгрузка'!A22:Z22"),Настройки!$B$11)),",","."),".",MID(1/2,2,1)),"")</f>
        <v/>
      </c>
      <c r="F22">
        <f>TRIM(INDEX(INDIRECT("'Выгрузка'!A22:Z22"),Настройки!$B$12)&amp;"")</f>
        <v/>
      </c>
      <c r="G22">
        <f>IF(F22="",0,IF(TRIM(INDEX(INDIRECT("'Выгрузка'!A22:Z22"),Настройки!$B$13)&amp;"")="",1,IFERROR(--SUBSTITUTE(SUBSTITUTE(TRIM(INDEX(INDIRECT("'Выгрузка'!A22:Z22"),Настройки!$B$13)),",","."),".",MID(1/2,2,1)),"")))</f>
        <v/>
      </c>
      <c r="H22">
        <f>IF(F22="",0,IF(COUNTIF(Настройки!$B$17:$B$26,F22)&gt;0,1,IF(COUNTIF(Настройки!$C$17:$C$26,F22)&gt;0,2,IF(COUNTIF(Настройки!$D$17:$D$26,F22)&gt;0,3,0))))</f>
        <v/>
      </c>
      <c r="I22">
        <f>IF(AND(ISNUMBER(A22),ISNUMBER(B22)),A22*1000+B22,"")</f>
        <v/>
      </c>
      <c r="J22">
        <f>IF(I22="","",IF(COUNTIF(I$2:I22,I22)=1,MAX(J$1:J21)+1,""))</f>
        <v/>
      </c>
    </row>
    <row r="23">
      <c r="A23">
        <f>IFERROR(--SUBSTITUTE(SUBSTITUTE(TRIM(INDEX(INDIRECT("'Выгрузка'!A23:Z23"),Настройки!$B$7)),",","."),".",MID(1/2,2,1)),"")</f>
        <v/>
      </c>
      <c r="B23">
        <f>IFERROR(--SUBSTITUTE(SUBSTITUTE(TRIM(INDEX(INDIRECT("'Выгрузка'!A23:Z23"),Настройки!$B$9)),",","."),".",MID(1/2,2,1)),"")</f>
        <v/>
      </c>
      <c r="C23">
        <f>TRIM(INDEX(INDIRECT("'Выгрузка'!A23:Z23"),Настройки!$B$8)&amp;"")</f>
        <v/>
      </c>
      <c r="D23">
        <f>IFERROR(--SUBSTITUTE(SUBSTITUTE(TRIM(INDEX(INDIRECT("'Выгрузка'!A23:Z23"),Настройки!$B$10)),",","."),".",MID(1/2,2,1)),"")</f>
        <v/>
      </c>
      <c r="E23">
        <f>IFERROR(--SUBSTITUTE(SUBSTITUTE(TRIM(INDEX(INDIRECT("'Выгрузка'!A23:Z23"),Настройки!$B$11)),",","."),".",MID(1/2,2,1)),"")</f>
        <v/>
      </c>
      <c r="F23">
        <f>TRIM(INDEX(INDIRECT("'Выгрузка'!A23:Z23"),Настройки!$B$12)&amp;"")</f>
        <v/>
      </c>
      <c r="G23">
        <f>IF(F23="",0,IF(TRIM(INDEX(INDIRECT("'Выгрузка'!A23:Z23"),Настройки!$B$13)&amp;"")="",1,IFERROR(--SUBSTITUTE(SUBSTITUTE(TRIM(INDEX(INDIRECT("'Выгрузка'!A23:Z23"),Настройки!$B$13)),",","."),".",MID(1/2,2,1)),"")))</f>
        <v/>
      </c>
      <c r="H23">
        <f>IF(F23="",0,IF(COUNTIF(Настройки!$B$17:$B$26,F23)&gt;0,1,IF(COUNTIF(Настройки!$C$17:$C$26,F23)&gt;0,2,IF(COUNTIF(Настройки!$D$17:$D$26,F23)&gt;0,3,0))))</f>
        <v/>
      </c>
      <c r="I23">
        <f>IF(AND(ISNUMBER(A23),ISNUMBER(B23)),A23*1000+B23,"")</f>
        <v/>
      </c>
      <c r="J23">
        <f>IF(I23="","",IF(COUNTIF(I$2:I23,I23)=1,MAX(J$1:J22)+1,""))</f>
        <v/>
      </c>
    </row>
    <row r="24">
      <c r="A24">
        <f>IFERROR(--SUBSTITUTE(SUBSTITUTE(TRIM(INDEX(INDIRECT("'Выгрузка'!A24:Z24"),Настройки!$B$7)),",","."),".",MID(1/2,2,1)),"")</f>
        <v/>
      </c>
      <c r="B24">
        <f>IFERROR(--SUBSTITUTE(SUBSTITUTE(TRIM(INDEX(INDIRECT("'Выгрузка'!A24:Z24"),Настройки!$B$9)),",","."),".",MID(1/2,2,1)),"")</f>
        <v/>
      </c>
      <c r="C24">
        <f>TRIM(INDEX(INDIRECT("'Выгрузка'!A24:Z24"),Настройки!$B$8)&amp;"")</f>
        <v/>
      </c>
      <c r="D24">
        <f>IFERROR(--SUBSTITUTE(SUBSTITUTE(TRIM(INDEX(INDIRECT("'Выгрузка'!A24:Z24"),Настройки!$B$10)),",","."),".",MID(1/2,2,1)),"")</f>
        <v/>
      </c>
      <c r="E24">
        <f>IFERROR(--SUBSTITUTE(SUBSTITUTE(TRIM(INDEX(INDIRECT("'Выгрузка'!A24:Z24"),Настройки!$B$11)),",","."),".",MID(1/2,2,1)),"")</f>
        <v/>
      </c>
      <c r="F24">
        <f>TRIM(INDEX(INDIRECT("'Выгрузка'!A24:Z24"),Настройки!$B$12)&amp;"")</f>
        <v/>
      </c>
      <c r="G24">
        <f>IF(F24="",0,IF(TRIM(INDEX(INDIRECT("'Выгрузка'!A24:Z24"),Настройки!$B$13)&amp;"")="",1,IFERROR(--SUBSTITUTE(SUBSTITUTE(TRIM(INDEX(INDIRECT("'Выгрузка'!A24:Z24"),Настройки!$B$13)),",","."),".",MID(1/2,2,1)),"")))</f>
        <v/>
      </c>
      <c r="H24">
        <f>IF(F24="",0,IF(COUNTIF(Настройки!$B$17:$B$26,F24)&gt;0,1,IF(COUNTIF(Настройки!$C$17:$C$26,F24)&gt;0,2,IF(COUNTIF(Настройки!$D$17:$D$26,F24)&gt;0,3,0))))</f>
        <v/>
      </c>
      <c r="I24">
        <f>IF(AND(ISNUMBER(A24),ISNUMBER(B24)),A24*1000+B24,"")</f>
        <v/>
      </c>
      <c r="J24">
        <f>IF(I24="","",IF(COUNTIF(I$2:I24,I24)=1,MAX(J$1:J23)+1,""))</f>
        <v/>
      </c>
    </row>
    <row r="25">
      <c r="A25">
        <f>IFERROR(--SUBSTITUTE(SUBSTITUTE(TRIM(INDEX(INDIRECT("'Выгрузка'!A25:Z25"),Настройки!$B$7)),",","."),".",MID(1/2,2,1)),"")</f>
        <v/>
      </c>
      <c r="B25">
        <f>IFERROR(--SUBSTITUTE(SUBSTITUTE(TRIM(INDEX(INDIRECT("'Выгрузка'!A25:Z25"),Настройки!$B$9)),",","."),".",MID(1/2,2,1)),"")</f>
        <v/>
      </c>
      <c r="C25">
        <f>TRIM(INDEX(INDIRECT("'Выгрузка'!A25:Z25"),Настройки!$B$8)&amp;"")</f>
        <v/>
      </c>
      <c r="D25">
        <f>IFERROR(--SUBSTITUTE(SUBSTITUTE(TRIM(INDEX(INDIRECT("'Выгрузка'!A25:Z25"),Настройки!$B$10)),",","."),".",MID(1/2,2,1)),"")</f>
        <v/>
      </c>
      <c r="E25">
        <f>IFERROR(--SUBSTITUTE(SUBSTITUTE(TRIM(INDEX(INDIRECT("'Выгрузка'!A25:Z25"),Настройки!$B$11)),",","."),".",MID(1/2,2,1)),"")</f>
        <v/>
      </c>
      <c r="F25">
        <f>TRIM(INDEX(INDIRECT("'Выгрузка'!A25:Z25"),Настройки!$B$12)&amp;"")</f>
        <v/>
      </c>
      <c r="G25">
        <f>IF(F25="",0,IF(TRIM(INDEX(INDIRECT("'Выгрузка'!A25:Z25"),Настройки!$B$13)&amp;"")="",1,IFERROR(--SUBSTITUTE(SUBSTITUTE(TRIM(INDEX(INDIRECT("'Выгрузка'!A25:Z25"),Настройки!$B$13)),",","."),".",MID(1/2,2,1)),"")))</f>
        <v/>
      </c>
      <c r="H25">
        <f>IF(F25="",0,IF(COUNTIF(Настройки!$B$17:$B$26,F25)&gt;0,1,IF(COUNTIF(Настройки!$C$17:$C$26,F25)&gt;0,2,IF(COUNTIF(Настройки!$D$17:$D$26,F25)&gt;0,3,0))))</f>
        <v/>
      </c>
      <c r="I25">
        <f>IF(AND(ISNUMBER(A25),ISNUMBER(B25)),A25*1000+B25,"")</f>
        <v/>
      </c>
      <c r="J25">
        <f>IF(I25="","",IF(COUNTIF(I$2:I25,I25)=1,MAX(J$1:J24)+1,""))</f>
        <v/>
      </c>
    </row>
    <row r="26">
      <c r="A26">
        <f>IFERROR(--SUBSTITUTE(SUBSTITUTE(TRIM(INDEX(INDIRECT("'Выгрузка'!A26:Z26"),Настройки!$B$7)),",","."),".",MID(1/2,2,1)),"")</f>
        <v/>
      </c>
      <c r="B26">
        <f>IFERROR(--SUBSTITUTE(SUBSTITUTE(TRIM(INDEX(INDIRECT("'Выгрузка'!A26:Z26"),Настройки!$B$9)),",","."),".",MID(1/2,2,1)),"")</f>
        <v/>
      </c>
      <c r="C26">
        <f>TRIM(INDEX(INDIRECT("'Выгрузка'!A26:Z26"),Настройки!$B$8)&amp;"")</f>
        <v/>
      </c>
      <c r="D26">
        <f>IFERROR(--SUBSTITUTE(SUBSTITUTE(TRIM(INDEX(INDIRECT("'Выгрузка'!A26:Z26"),Настройки!$B$10)),",","."),".",MID(1/2,2,1)),"")</f>
        <v/>
      </c>
      <c r="E26">
        <f>IFERROR(--SUBSTITUTE(SUBSTITUTE(TRIM(INDEX(INDIRECT("'Выгрузка'!A26:Z26"),Настройки!$B$11)),",","."),".",MID(1/2,2,1)),"")</f>
        <v/>
      </c>
      <c r="F26">
        <f>TRIM(INDEX(INDIRECT("'Выгрузка'!A26:Z26"),Настройки!$B$12)&amp;"")</f>
        <v/>
      </c>
      <c r="G26">
        <f>IF(F26="",0,IF(TRIM(INDEX(INDIRECT("'Выгрузка'!A26:Z26"),Настройки!$B$13)&amp;"")="",1,IFERROR(--SUBSTITUTE(SUBSTITUTE(TRIM(INDEX(INDIRECT("'Выгрузка'!A26:Z26"),Настройки!$B$13)),",","."),".",MID(1/2,2,1)),"")))</f>
        <v/>
      </c>
      <c r="H26">
        <f>IF(F26="",0,IF(COUNTIF(Настройки!$B$17:$B$26,F26)&gt;0,1,IF(COUNTIF(Настройки!$C$17:$C$26,F26)&gt;0,2,IF(COUNTIF(Настройки!$D$17:$D$26,F26)&gt;0,3,0))))</f>
        <v/>
      </c>
      <c r="I26">
        <f>IF(AND(ISNUMBER(A26),ISNUMBER(B26)),A26*1000+B26,"")</f>
        <v/>
      </c>
      <c r="J26">
        <f>IF(I26="","",IF(COUNTIF(I$2:I26,I26)=1,MAX(J$1:J25)+1,""))</f>
        <v/>
      </c>
    </row>
    <row r="27">
      <c r="A27">
        <f>IFERROR(--SUBSTITUTE(SUBSTITUTE(TRIM(INDEX(INDIRECT("'Выгрузка'!A27:Z27"),Настройки!$B$7)),",","."),".",MID(1/2,2,1)),"")</f>
        <v/>
      </c>
      <c r="B27">
        <f>IFERROR(--SUBSTITUTE(SUBSTITUTE(TRIM(INDEX(INDIRECT("'Выгрузка'!A27:Z27"),Настройки!$B$9)),",","."),".",MID(1/2,2,1)),"")</f>
        <v/>
      </c>
      <c r="C27">
        <f>TRIM(INDEX(INDIRECT("'Выгрузка'!A27:Z27"),Настройки!$B$8)&amp;"")</f>
        <v/>
      </c>
      <c r="D27">
        <f>IFERROR(--SUBSTITUTE(SUBSTITUTE(TRIM(INDEX(INDIRECT("'Выгрузка'!A27:Z27"),Настройки!$B$10)),",","."),".",MID(1/2,2,1)),"")</f>
        <v/>
      </c>
      <c r="E27">
        <f>IFERROR(--SUBSTITUTE(SUBSTITUTE(TRIM(INDEX(INDIRECT("'Выгрузка'!A27:Z27"),Настройки!$B$11)),",","."),".",MID(1/2,2,1)),"")</f>
        <v/>
      </c>
      <c r="F27">
        <f>TRIM(INDEX(INDIRECT("'Выгрузка'!A27:Z27"),Настройки!$B$12)&amp;"")</f>
        <v/>
      </c>
      <c r="G27">
        <f>IF(F27="",0,IF(TRIM(INDEX(INDIRECT("'Выгрузка'!A27:Z27"),Настройки!$B$13)&amp;"")="",1,IFERROR(--SUBSTITUTE(SUBSTITUTE(TRIM(INDEX(INDIRECT("'Выгрузка'!A27:Z27"),Настройки!$B$13)),",","."),".",MID(1/2,2,1)),"")))</f>
        <v/>
      </c>
      <c r="H27">
        <f>IF(F27="",0,IF(COUNTIF(Настройки!$B$17:$B$26,F27)&gt;0,1,IF(COUNTIF(Настройки!$C$17:$C$26,F27)&gt;0,2,IF(COUNTIF(Настройки!$D$17:$D$26,F27)&gt;0,3,0))))</f>
        <v/>
      </c>
      <c r="I27">
        <f>IF(AND(ISNUMBER(A27),ISNUMBER(B27)),A27*1000+B27,"")</f>
        <v/>
      </c>
      <c r="J27">
        <f>IF(I27="","",IF(COUNTIF(I$2:I27,I27)=1,MAX(J$1:J26)+1,""))</f>
        <v/>
      </c>
    </row>
    <row r="28">
      <c r="A28">
        <f>IFERROR(--SUBSTITUTE(SUBSTITUTE(TRIM(INDEX(INDIRECT("'Выгрузка'!A28:Z28"),Настройки!$B$7)),",","."),".",MID(1/2,2,1)),"")</f>
        <v/>
      </c>
      <c r="B28">
        <f>IFERROR(--SUBSTITUTE(SUBSTITUTE(TRIM(INDEX(INDIRECT("'Выгрузка'!A28:Z28"),Настройки!$B$9)),",","."),".",MID(1/2,2,1)),"")</f>
        <v/>
      </c>
      <c r="C28">
        <f>TRIM(INDEX(INDIRECT("'Выгрузка'!A28:Z28"),Настройки!$B$8)&amp;"")</f>
        <v/>
      </c>
      <c r="D28">
        <f>IFERROR(--SUBSTITUTE(SUBSTITUTE(TRIM(INDEX(INDIRECT("'Выгрузка'!A28:Z28"),Настройки!$B$10)),",","."),".",MID(1/2,2,1)),"")</f>
        <v/>
      </c>
      <c r="E28">
        <f>IFERROR(--SUBSTITUTE(SUBSTITUTE(TRIM(INDEX(INDIRECT("'Выгрузка'!A28:Z28"),Настройки!$B$11)),",","."),".",MID(1/2,2,1)),"")</f>
        <v/>
      </c>
      <c r="F28">
        <f>TRIM(INDEX(INDIRECT("'Выгрузка'!A28:Z28"),Настройки!$B$12)&amp;"")</f>
        <v/>
      </c>
      <c r="G28">
        <f>IF(F28="",0,IF(TRIM(INDEX(INDIRECT("'Выгрузка'!A28:Z28"),Настройки!$B$13)&amp;"")="",1,IFERROR(--SUBSTITUTE(SUBSTITUTE(TRIM(INDEX(INDIRECT("'Выгрузка'!A28:Z28"),Настройки!$B$13)),",","."),".",MID(1/2,2,1)),"")))</f>
        <v/>
      </c>
      <c r="H28">
        <f>IF(F28="",0,IF(COUNTIF(Настройки!$B$17:$B$26,F28)&gt;0,1,IF(COUNTIF(Настройки!$C$17:$C$26,F28)&gt;0,2,IF(COUNTIF(Настройки!$D$17:$D$26,F28)&gt;0,3,0))))</f>
        <v/>
      </c>
      <c r="I28">
        <f>IF(AND(ISNUMBER(A28),ISNUMBER(B28)),A28*1000+B28,"")</f>
        <v/>
      </c>
      <c r="J28">
        <f>IF(I28="","",IF(COUNTIF(I$2:I28,I28)=1,MAX(J$1:J27)+1,""))</f>
        <v/>
      </c>
    </row>
    <row r="29">
      <c r="A29">
        <f>IFERROR(--SUBSTITUTE(SUBSTITUTE(TRIM(INDEX(INDIRECT("'Выгрузка'!A29:Z29"),Настройки!$B$7)),",","."),".",MID(1/2,2,1)),"")</f>
        <v/>
      </c>
      <c r="B29">
        <f>IFERROR(--SUBSTITUTE(SUBSTITUTE(TRIM(INDEX(INDIRECT("'Выгрузка'!A29:Z29"),Настройки!$B$9)),",","."),".",MID(1/2,2,1)),"")</f>
        <v/>
      </c>
      <c r="C29">
        <f>TRIM(INDEX(INDIRECT("'Выгрузка'!A29:Z29"),Настройки!$B$8)&amp;"")</f>
        <v/>
      </c>
      <c r="D29">
        <f>IFERROR(--SUBSTITUTE(SUBSTITUTE(TRIM(INDEX(INDIRECT("'Выгрузка'!A29:Z29"),Настройки!$B$10)),",","."),".",MID(1/2,2,1)),"")</f>
        <v/>
      </c>
      <c r="E29">
        <f>IFERROR(--SUBSTITUTE(SUBSTITUTE(TRIM(INDEX(INDIRECT("'Выгрузка'!A29:Z29"),Настройки!$B$11)),",","."),".",MID(1/2,2,1)),"")</f>
        <v/>
      </c>
      <c r="F29">
        <f>TRIM(INDEX(INDIRECT("'Выгрузка'!A29:Z29"),Настройки!$B$12)&amp;"")</f>
        <v/>
      </c>
      <c r="G29">
        <f>IF(F29="",0,IF(TRIM(INDEX(INDIRECT("'Выгрузка'!A29:Z29"),Настройки!$B$13)&amp;"")="",1,IFERROR(--SUBSTITUTE(SUBSTITUTE(TRIM(INDEX(INDIRECT("'Выгрузка'!A29:Z29"),Настройки!$B$13)),",","."),".",MID(1/2,2,1)),"")))</f>
        <v/>
      </c>
      <c r="H29">
        <f>IF(F29="",0,IF(COUNTIF(Настройки!$B$17:$B$26,F29)&gt;0,1,IF(COUNTIF(Настройки!$C$17:$C$26,F29)&gt;0,2,IF(COUNTIF(Настройки!$D$17:$D$26,F29)&gt;0,3,0))))</f>
        <v/>
      </c>
      <c r="I29">
        <f>IF(AND(ISNUMBER(A29),ISNUMBER(B29)),A29*1000+B29,"")</f>
        <v/>
      </c>
      <c r="J29">
        <f>IF(I29="","",IF(COUNTIF(I$2:I29,I29)=1,MAX(J$1:J28)+1,""))</f>
        <v/>
      </c>
    </row>
    <row r="30">
      <c r="A30">
        <f>IFERROR(--SUBSTITUTE(SUBSTITUTE(TRIM(INDEX(INDIRECT("'Выгрузка'!A30:Z30"),Настройки!$B$7)),",","."),".",MID(1/2,2,1)),"")</f>
        <v/>
      </c>
      <c r="B30">
        <f>IFERROR(--SUBSTITUTE(SUBSTITUTE(TRIM(INDEX(INDIRECT("'Выгрузка'!A30:Z30"),Настройки!$B$9)),",","."),".",MID(1/2,2,1)),"")</f>
        <v/>
      </c>
      <c r="C30">
        <f>TRIM(INDEX(INDIRECT("'Выгрузка'!A30:Z30"),Настройки!$B$8)&amp;"")</f>
        <v/>
      </c>
      <c r="D30">
        <f>IFERROR(--SUBSTITUTE(SUBSTITUTE(TRIM(INDEX(INDIRECT("'Выгрузка'!A30:Z30"),Настройки!$B$10)),",","."),".",MID(1/2,2,1)),"")</f>
        <v/>
      </c>
      <c r="E30">
        <f>IFERROR(--SUBSTITUTE(SUBSTITUTE(TRIM(INDEX(INDIRECT("'Выгрузка'!A30:Z30"),Настройки!$B$11)),",","."),".",MID(1/2,2,1)),"")</f>
        <v/>
      </c>
      <c r="F30">
        <f>TRIM(INDEX(INDIRECT("'Выгрузка'!A30:Z30"),Настройки!$B$12)&amp;"")</f>
        <v/>
      </c>
      <c r="G30">
        <f>IF(F30="",0,IF(TRIM(INDEX(INDIRECT("'Выгрузка'!A30:Z30"),Настройки!$B$13)&amp;"")="",1,IFERROR(--SUBSTITUTE(SUBSTITUTE(TRIM(INDEX(INDIRECT("'Выгрузка'!A30:Z30"),Настройки!$B$13)),",","."),".",MID(1/2,2,1)),"")))</f>
        <v/>
      </c>
      <c r="H30">
        <f>IF(F30="",0,IF(COUNTIF(Настройки!$B$17:$B$26,F30)&gt;0,1,IF(COUNTIF(Настройки!$C$17:$C$26,F30)&gt;0,2,IF(COUNTIF(Настройки!$D$17:$D$26,F30)&gt;0,3,0))))</f>
        <v/>
      </c>
      <c r="I30">
        <f>IF(AND(ISNUMBER(A30),ISNUMBER(B30)),A30*1000+B30,"")</f>
        <v/>
      </c>
      <c r="J30">
        <f>IF(I30="","",IF(COUNTIF(I$2:I30,I30)=1,MAX(J$1:J29)+1,""))</f>
        <v/>
      </c>
    </row>
    <row r="31">
      <c r="A31">
        <f>IFERROR(--SUBSTITUTE(SUBSTITUTE(TRIM(INDEX(INDIRECT("'Выгрузка'!A31:Z31"),Настройки!$B$7)),",","."),".",MID(1/2,2,1)),"")</f>
        <v/>
      </c>
      <c r="B31">
        <f>IFERROR(--SUBSTITUTE(SUBSTITUTE(TRIM(INDEX(INDIRECT("'Выгрузка'!A31:Z31"),Настройки!$B$9)),",","."),".",MID(1/2,2,1)),"")</f>
        <v/>
      </c>
      <c r="C31">
        <f>TRIM(INDEX(INDIRECT("'Выгрузка'!A31:Z31"),Настройки!$B$8)&amp;"")</f>
        <v/>
      </c>
      <c r="D31">
        <f>IFERROR(--SUBSTITUTE(SUBSTITUTE(TRIM(INDEX(INDIRECT("'Выгрузка'!A31:Z31"),Настройки!$B$10)),",","."),".",MID(1/2,2,1)),"")</f>
        <v/>
      </c>
      <c r="E31">
        <f>IFERROR(--SUBSTITUTE(SUBSTITUTE(TRIM(INDEX(INDIRECT("'Выгрузка'!A31:Z31"),Настройки!$B$11)),",","."),".",MID(1/2,2,1)),"")</f>
        <v/>
      </c>
      <c r="F31">
        <f>TRIM(INDEX(INDIRECT("'Выгрузка'!A31:Z31"),Настройки!$B$12)&amp;"")</f>
        <v/>
      </c>
      <c r="G31">
        <f>IF(F31="",0,IF(TRIM(INDEX(INDIRECT("'Выгрузка'!A31:Z31"),Настройки!$B$13)&amp;"")="",1,IFERROR(--SUBSTITUTE(SUBSTITUTE(TRIM(INDEX(INDIRECT("'Выгрузка'!A31:Z31"),Настройки!$B$13)),",","."),".",MID(1/2,2,1)),"")))</f>
        <v/>
      </c>
      <c r="H31">
        <f>IF(F31="",0,IF(COUNTIF(Настройки!$B$17:$B$26,F31)&gt;0,1,IF(COUNTIF(Настройки!$C$17:$C$26,F31)&gt;0,2,IF(COUNTIF(Настройки!$D$17:$D$26,F31)&gt;0,3,0))))</f>
        <v/>
      </c>
      <c r="I31">
        <f>IF(AND(ISNUMBER(A31),ISNUMBER(B31)),A31*1000+B31,"")</f>
        <v/>
      </c>
      <c r="J31">
        <f>IF(I31="","",IF(COUNTIF(I$2:I31,I31)=1,MAX(J$1:J30)+1,""))</f>
        <v/>
      </c>
    </row>
    <row r="32">
      <c r="A32">
        <f>IFERROR(--SUBSTITUTE(SUBSTITUTE(TRIM(INDEX(INDIRECT("'Выгрузка'!A32:Z32"),Настройки!$B$7)),",","."),".",MID(1/2,2,1)),"")</f>
        <v/>
      </c>
      <c r="B32">
        <f>IFERROR(--SUBSTITUTE(SUBSTITUTE(TRIM(INDEX(INDIRECT("'Выгрузка'!A32:Z32"),Настройки!$B$9)),",","."),".",MID(1/2,2,1)),"")</f>
        <v/>
      </c>
      <c r="C32">
        <f>TRIM(INDEX(INDIRECT("'Выгрузка'!A32:Z32"),Настройки!$B$8)&amp;"")</f>
        <v/>
      </c>
      <c r="D32">
        <f>IFERROR(--SUBSTITUTE(SUBSTITUTE(TRIM(INDEX(INDIRECT("'Выгрузка'!A32:Z32"),Настройки!$B$10)),",","."),".",MID(1/2,2,1)),"")</f>
        <v/>
      </c>
      <c r="E32">
        <f>IFERROR(--SUBSTITUTE(SUBSTITUTE(TRIM(INDEX(INDIRECT("'Выгрузка'!A32:Z32"),Настройки!$B$11)),",","."),".",MID(1/2,2,1)),"")</f>
        <v/>
      </c>
      <c r="F32">
        <f>TRIM(INDEX(INDIRECT("'Выгрузка'!A32:Z32"),Настройки!$B$12)&amp;"")</f>
        <v/>
      </c>
      <c r="G32">
        <f>IF(F32="",0,IF(TRIM(INDEX(INDIRECT("'Выгрузка'!A32:Z32"),Настройки!$B$13)&amp;"")="",1,IFERROR(--SUBSTITUTE(SUBSTITUTE(TRIM(INDEX(INDIRECT("'Выгрузка'!A32:Z32"),Настройки!$B$13)),",","."),".",MID(1/2,2,1)),"")))</f>
        <v/>
      </c>
      <c r="H32">
        <f>IF(F32="",0,IF(COUNTIF(Настройки!$B$17:$B$26,F32)&gt;0,1,IF(COUNTIF(Настройки!$C$17:$C$26,F32)&gt;0,2,IF(COUNTIF(Настройки!$D$17:$D$26,F32)&gt;0,3,0))))</f>
        <v/>
      </c>
      <c r="I32">
        <f>IF(AND(ISNUMBER(A32),ISNUMBER(B32)),A32*1000+B32,"")</f>
        <v/>
      </c>
      <c r="J32">
        <f>IF(I32="","",IF(COUNTIF(I$2:I32,I32)=1,MAX(J$1:J31)+1,""))</f>
        <v/>
      </c>
    </row>
    <row r="33">
      <c r="A33">
        <f>IFERROR(--SUBSTITUTE(SUBSTITUTE(TRIM(INDEX(INDIRECT("'Выгрузка'!A33:Z33"),Настройки!$B$7)),",","."),".",MID(1/2,2,1)),"")</f>
        <v/>
      </c>
      <c r="B33">
        <f>IFERROR(--SUBSTITUTE(SUBSTITUTE(TRIM(INDEX(INDIRECT("'Выгрузка'!A33:Z33"),Настройки!$B$9)),",","."),".",MID(1/2,2,1)),"")</f>
        <v/>
      </c>
      <c r="C33">
        <f>TRIM(INDEX(INDIRECT("'Выгрузка'!A33:Z33"),Настройки!$B$8)&amp;"")</f>
        <v/>
      </c>
      <c r="D33">
        <f>IFERROR(--SUBSTITUTE(SUBSTITUTE(TRIM(INDEX(INDIRECT("'Выгрузка'!A33:Z33"),Настройки!$B$10)),",","."),".",MID(1/2,2,1)),"")</f>
        <v/>
      </c>
      <c r="E33">
        <f>IFERROR(--SUBSTITUTE(SUBSTITUTE(TRIM(INDEX(INDIRECT("'Выгрузка'!A33:Z33"),Настройки!$B$11)),",","."),".",MID(1/2,2,1)),"")</f>
        <v/>
      </c>
      <c r="F33">
        <f>TRIM(INDEX(INDIRECT("'Выгрузка'!A33:Z33"),Настройки!$B$12)&amp;"")</f>
        <v/>
      </c>
      <c r="G33">
        <f>IF(F33="",0,IF(TRIM(INDEX(INDIRECT("'Выгрузка'!A33:Z33"),Настройки!$B$13)&amp;"")="",1,IFERROR(--SUBSTITUTE(SUBSTITUTE(TRIM(INDEX(INDIRECT("'Выгрузка'!A33:Z33"),Настройки!$B$13)),",","."),".",MID(1/2,2,1)),"")))</f>
        <v/>
      </c>
      <c r="H33">
        <f>IF(F33="",0,IF(COUNTIF(Настройки!$B$17:$B$26,F33)&gt;0,1,IF(COUNTIF(Настройки!$C$17:$C$26,F33)&gt;0,2,IF(COUNTIF(Настройки!$D$17:$D$26,F33)&gt;0,3,0))))</f>
        <v/>
      </c>
      <c r="I33">
        <f>IF(AND(ISNUMBER(A33),ISNUMBER(B33)),A33*1000+B33,"")</f>
        <v/>
      </c>
      <c r="J33">
        <f>IF(I33="","",IF(COUNTIF(I$2:I33,I33)=1,MAX(J$1:J32)+1,""))</f>
        <v/>
      </c>
    </row>
    <row r="34">
      <c r="A34">
        <f>IFERROR(--SUBSTITUTE(SUBSTITUTE(TRIM(INDEX(INDIRECT("'Выгрузка'!A34:Z34"),Настройки!$B$7)),",","."),".",MID(1/2,2,1)),"")</f>
        <v/>
      </c>
      <c r="B34">
        <f>IFERROR(--SUBSTITUTE(SUBSTITUTE(TRIM(INDEX(INDIRECT("'Выгрузка'!A34:Z34"),Настройки!$B$9)),",","."),".",MID(1/2,2,1)),"")</f>
        <v/>
      </c>
      <c r="C34">
        <f>TRIM(INDEX(INDIRECT("'Выгрузка'!A34:Z34"),Настройки!$B$8)&amp;"")</f>
        <v/>
      </c>
      <c r="D34">
        <f>IFERROR(--SUBSTITUTE(SUBSTITUTE(TRIM(INDEX(INDIRECT("'Выгрузка'!A34:Z34"),Настройки!$B$10)),",","."),".",MID(1/2,2,1)),"")</f>
        <v/>
      </c>
      <c r="E34">
        <f>IFERROR(--SUBSTITUTE(SUBSTITUTE(TRIM(INDEX(INDIRECT("'Выгрузка'!A34:Z34"),Настройки!$B$11)),",","."),".",MID(1/2,2,1)),"")</f>
        <v/>
      </c>
      <c r="F34">
        <f>TRIM(INDEX(INDIRECT("'Выгрузка'!A34:Z34"),Настройки!$B$12)&amp;"")</f>
        <v/>
      </c>
      <c r="G34">
        <f>IF(F34="",0,IF(TRIM(INDEX(INDIRECT("'Выгрузка'!A34:Z34"),Настройки!$B$13)&amp;"")="",1,IFERROR(--SUBSTITUTE(SUBSTITUTE(TRIM(INDEX(INDIRECT("'Выгрузка'!A34:Z34"),Настройки!$B$13)),",","."),".",MID(1/2,2,1)),"")))</f>
        <v/>
      </c>
      <c r="H34">
        <f>IF(F34="",0,IF(COUNTIF(Настройки!$B$17:$B$26,F34)&gt;0,1,IF(COUNTIF(Настройки!$C$17:$C$26,F34)&gt;0,2,IF(COUNTIF(Настройки!$D$17:$D$26,F34)&gt;0,3,0))))</f>
        <v/>
      </c>
      <c r="I34">
        <f>IF(AND(ISNUMBER(A34),ISNUMBER(B34)),A34*1000+B34,"")</f>
        <v/>
      </c>
      <c r="J34">
        <f>IF(I34="","",IF(COUNTIF(I$2:I34,I34)=1,MAX(J$1:J33)+1,""))</f>
        <v/>
      </c>
    </row>
    <row r="35">
      <c r="A35">
        <f>IFERROR(--SUBSTITUTE(SUBSTITUTE(TRIM(INDEX(INDIRECT("'Выгрузка'!A35:Z35"),Настройки!$B$7)),",","."),".",MID(1/2,2,1)),"")</f>
        <v/>
      </c>
      <c r="B35">
        <f>IFERROR(--SUBSTITUTE(SUBSTITUTE(TRIM(INDEX(INDIRECT("'Выгрузка'!A35:Z35"),Настройки!$B$9)),",","."),".",MID(1/2,2,1)),"")</f>
        <v/>
      </c>
      <c r="C35">
        <f>TRIM(INDEX(INDIRECT("'Выгрузка'!A35:Z35"),Настройки!$B$8)&amp;"")</f>
        <v/>
      </c>
      <c r="D35">
        <f>IFERROR(--SUBSTITUTE(SUBSTITUTE(TRIM(INDEX(INDIRECT("'Выгрузка'!A35:Z35"),Настройки!$B$10)),",","."),".",MID(1/2,2,1)),"")</f>
        <v/>
      </c>
      <c r="E35">
        <f>IFERROR(--SUBSTITUTE(SUBSTITUTE(TRIM(INDEX(INDIRECT("'Выгрузка'!A35:Z35"),Настройки!$B$11)),",","."),".",MID(1/2,2,1)),"")</f>
        <v/>
      </c>
      <c r="F35">
        <f>TRIM(INDEX(INDIRECT("'Выгрузка'!A35:Z35"),Настройки!$B$12)&amp;"")</f>
        <v/>
      </c>
      <c r="G35">
        <f>IF(F35="",0,IF(TRIM(INDEX(INDIRECT("'Выгрузка'!A35:Z35"),Настройки!$B$13)&amp;"")="",1,IFERROR(--SUBSTITUTE(SUBSTITUTE(TRIM(INDEX(INDIRECT("'Выгрузка'!A35:Z35"),Настройки!$B$13)),",","."),".",MID(1/2,2,1)),"")))</f>
        <v/>
      </c>
      <c r="H35">
        <f>IF(F35="",0,IF(COUNTIF(Настройки!$B$17:$B$26,F35)&gt;0,1,IF(COUNTIF(Настройки!$C$17:$C$26,F35)&gt;0,2,IF(COUNTIF(Настройки!$D$17:$D$26,F35)&gt;0,3,0))))</f>
        <v/>
      </c>
      <c r="I35">
        <f>IF(AND(ISNUMBER(A35),ISNUMBER(B35)),A35*1000+B35,"")</f>
        <v/>
      </c>
      <c r="J35">
        <f>IF(I35="","",IF(COUNTIF(I$2:I35,I35)=1,MAX(J$1:J34)+1,""))</f>
        <v/>
      </c>
    </row>
    <row r="36">
      <c r="A36">
        <f>IFERROR(--SUBSTITUTE(SUBSTITUTE(TRIM(INDEX(INDIRECT("'Выгрузка'!A36:Z36"),Настройки!$B$7)),",","."),".",MID(1/2,2,1)),"")</f>
        <v/>
      </c>
      <c r="B36">
        <f>IFERROR(--SUBSTITUTE(SUBSTITUTE(TRIM(INDEX(INDIRECT("'Выгрузка'!A36:Z36"),Настройки!$B$9)),",","."),".",MID(1/2,2,1)),"")</f>
        <v/>
      </c>
      <c r="C36">
        <f>TRIM(INDEX(INDIRECT("'Выгрузка'!A36:Z36"),Настройки!$B$8)&amp;"")</f>
        <v/>
      </c>
      <c r="D36">
        <f>IFERROR(--SUBSTITUTE(SUBSTITUTE(TRIM(INDEX(INDIRECT("'Выгрузка'!A36:Z36"),Настройки!$B$10)),",","."),".",MID(1/2,2,1)),"")</f>
        <v/>
      </c>
      <c r="E36">
        <f>IFERROR(--SUBSTITUTE(SUBSTITUTE(TRIM(INDEX(INDIRECT("'Выгрузка'!A36:Z36"),Настройки!$B$11)),",","."),".",MID(1/2,2,1)),"")</f>
        <v/>
      </c>
      <c r="F36">
        <f>TRIM(INDEX(INDIRECT("'Выгрузка'!A36:Z36"),Настройки!$B$12)&amp;"")</f>
        <v/>
      </c>
      <c r="G36">
        <f>IF(F36="",0,IF(TRIM(INDEX(INDIRECT("'Выгрузка'!A36:Z36"),Настройки!$B$13)&amp;"")="",1,IFERROR(--SUBSTITUTE(SUBSTITUTE(TRIM(INDEX(INDIRECT("'Выгрузка'!A36:Z36"),Настройки!$B$13)),",","."),".",MID(1/2,2,1)),"")))</f>
        <v/>
      </c>
      <c r="H36">
        <f>IF(F36="",0,IF(COUNTIF(Настройки!$B$17:$B$26,F36)&gt;0,1,IF(COUNTIF(Настройки!$C$17:$C$26,F36)&gt;0,2,IF(COUNTIF(Настройки!$D$17:$D$26,F36)&gt;0,3,0))))</f>
        <v/>
      </c>
      <c r="I36">
        <f>IF(AND(ISNUMBER(A36),ISNUMBER(B36)),A36*1000+B36,"")</f>
        <v/>
      </c>
      <c r="J36">
        <f>IF(I36="","",IF(COUNTIF(I$2:I36,I36)=1,MAX(J$1:J35)+1,""))</f>
        <v/>
      </c>
    </row>
    <row r="37">
      <c r="A37">
        <f>IFERROR(--SUBSTITUTE(SUBSTITUTE(TRIM(INDEX(INDIRECT("'Выгрузка'!A37:Z37"),Настройки!$B$7)),",","."),".",MID(1/2,2,1)),"")</f>
        <v/>
      </c>
      <c r="B37">
        <f>IFERROR(--SUBSTITUTE(SUBSTITUTE(TRIM(INDEX(INDIRECT("'Выгрузка'!A37:Z37"),Настройки!$B$9)),",","."),".",MID(1/2,2,1)),"")</f>
        <v/>
      </c>
      <c r="C37">
        <f>TRIM(INDEX(INDIRECT("'Выгрузка'!A37:Z37"),Настройки!$B$8)&amp;"")</f>
        <v/>
      </c>
      <c r="D37">
        <f>IFERROR(--SUBSTITUTE(SUBSTITUTE(TRIM(INDEX(INDIRECT("'Выгрузка'!A37:Z37"),Настройки!$B$10)),",","."),".",MID(1/2,2,1)),"")</f>
        <v/>
      </c>
      <c r="E37">
        <f>IFERROR(--SUBSTITUTE(SUBSTITUTE(TRIM(INDEX(INDIRECT("'Выгрузка'!A37:Z37"),Настройки!$B$11)),",","."),".",MID(1/2,2,1)),"")</f>
        <v/>
      </c>
      <c r="F37">
        <f>TRIM(INDEX(INDIRECT("'Выгрузка'!A37:Z37"),Настройки!$B$12)&amp;"")</f>
        <v/>
      </c>
      <c r="G37">
        <f>IF(F37="",0,IF(TRIM(INDEX(INDIRECT("'Выгрузка'!A37:Z37"),Настройки!$B$13)&amp;"")="",1,IFERROR(--SUBSTITUTE(SUBSTITUTE(TRIM(INDEX(INDIRECT("'Выгрузка'!A37:Z37"),Настройки!$B$13)),",","."),".",MID(1/2,2,1)),"")))</f>
        <v/>
      </c>
      <c r="H37">
        <f>IF(F37="",0,IF(COUNTIF(Настройки!$B$17:$B$26,F37)&gt;0,1,IF(COUNTIF(Настройки!$C$17:$C$26,F37)&gt;0,2,IF(COUNTIF(Настройки!$D$17:$D$26,F37)&gt;0,3,0))))</f>
        <v/>
      </c>
      <c r="I37">
        <f>IF(AND(ISNUMBER(A37),ISNUMBER(B37)),A37*1000+B37,"")</f>
        <v/>
      </c>
      <c r="J37">
        <f>IF(I37="","",IF(COUNTIF(I$2:I37,I37)=1,MAX(J$1:J36)+1,""))</f>
        <v/>
      </c>
    </row>
    <row r="38">
      <c r="A38">
        <f>IFERROR(--SUBSTITUTE(SUBSTITUTE(TRIM(INDEX(INDIRECT("'Выгрузка'!A38:Z38"),Настройки!$B$7)),",","."),".",MID(1/2,2,1)),"")</f>
        <v/>
      </c>
      <c r="B38">
        <f>IFERROR(--SUBSTITUTE(SUBSTITUTE(TRIM(INDEX(INDIRECT("'Выгрузка'!A38:Z38"),Настройки!$B$9)),",","."),".",MID(1/2,2,1)),"")</f>
        <v/>
      </c>
      <c r="C38">
        <f>TRIM(INDEX(INDIRECT("'Выгрузка'!A38:Z38"),Настройки!$B$8)&amp;"")</f>
        <v/>
      </c>
      <c r="D38">
        <f>IFERROR(--SUBSTITUTE(SUBSTITUTE(TRIM(INDEX(INDIRECT("'Выгрузка'!A38:Z38"),Настройки!$B$10)),",","."),".",MID(1/2,2,1)),"")</f>
        <v/>
      </c>
      <c r="E38">
        <f>IFERROR(--SUBSTITUTE(SUBSTITUTE(TRIM(INDEX(INDIRECT("'Выгрузка'!A38:Z38"),Настройки!$B$11)),",","."),".",MID(1/2,2,1)),"")</f>
        <v/>
      </c>
      <c r="F38">
        <f>TRIM(INDEX(INDIRECT("'Выгрузка'!A38:Z38"),Настройки!$B$12)&amp;"")</f>
        <v/>
      </c>
      <c r="G38">
        <f>IF(F38="",0,IF(TRIM(INDEX(INDIRECT("'Выгрузка'!A38:Z38"),Настройки!$B$13)&amp;"")="",1,IFERROR(--SUBSTITUTE(SUBSTITUTE(TRIM(INDEX(INDIRECT("'Выгрузка'!A38:Z38"),Настройки!$B$13)),",","."),".",MID(1/2,2,1)),"")))</f>
        <v/>
      </c>
      <c r="H38">
        <f>IF(F38="",0,IF(COUNTIF(Настройки!$B$17:$B$26,F38)&gt;0,1,IF(COUNTIF(Настройки!$C$17:$C$26,F38)&gt;0,2,IF(COUNTIF(Настройки!$D$17:$D$26,F38)&gt;0,3,0))))</f>
        <v/>
      </c>
      <c r="I38">
        <f>IF(AND(ISNUMBER(A38),ISNUMBER(B38)),A38*1000+B38,"")</f>
        <v/>
      </c>
      <c r="J38">
        <f>IF(I38="","",IF(COUNTIF(I$2:I38,I38)=1,MAX(J$1:J37)+1,""))</f>
        <v/>
      </c>
    </row>
    <row r="39">
      <c r="A39">
        <f>IFERROR(--SUBSTITUTE(SUBSTITUTE(TRIM(INDEX(INDIRECT("'Выгрузка'!A39:Z39"),Настройки!$B$7)),",","."),".",MID(1/2,2,1)),"")</f>
        <v/>
      </c>
      <c r="B39">
        <f>IFERROR(--SUBSTITUTE(SUBSTITUTE(TRIM(INDEX(INDIRECT("'Выгрузка'!A39:Z39"),Настройки!$B$9)),",","."),".",MID(1/2,2,1)),"")</f>
        <v/>
      </c>
      <c r="C39">
        <f>TRIM(INDEX(INDIRECT("'Выгрузка'!A39:Z39"),Настройки!$B$8)&amp;"")</f>
        <v/>
      </c>
      <c r="D39">
        <f>IFERROR(--SUBSTITUTE(SUBSTITUTE(TRIM(INDEX(INDIRECT("'Выгрузка'!A39:Z39"),Настройки!$B$10)),",","."),".",MID(1/2,2,1)),"")</f>
        <v/>
      </c>
      <c r="E39">
        <f>IFERROR(--SUBSTITUTE(SUBSTITUTE(TRIM(INDEX(INDIRECT("'Выгрузка'!A39:Z39"),Настройки!$B$11)),",","."),".",MID(1/2,2,1)),"")</f>
        <v/>
      </c>
      <c r="F39">
        <f>TRIM(INDEX(INDIRECT("'Выгрузка'!A39:Z39"),Настройки!$B$12)&amp;"")</f>
        <v/>
      </c>
      <c r="G39">
        <f>IF(F39="",0,IF(TRIM(INDEX(INDIRECT("'Выгрузка'!A39:Z39"),Настройки!$B$13)&amp;"")="",1,IFERROR(--SUBSTITUTE(SUBSTITUTE(TRIM(INDEX(INDIRECT("'Выгрузка'!A39:Z39"),Настройки!$B$13)),",","."),".",MID(1/2,2,1)),"")))</f>
        <v/>
      </c>
      <c r="H39">
        <f>IF(F39="",0,IF(COUNTIF(Настройки!$B$17:$B$26,F39)&gt;0,1,IF(COUNTIF(Настройки!$C$17:$C$26,F39)&gt;0,2,IF(COUNTIF(Настройки!$D$17:$D$26,F39)&gt;0,3,0))))</f>
        <v/>
      </c>
      <c r="I39">
        <f>IF(AND(ISNUMBER(A39),ISNUMBER(B39)),A39*1000+B39,"")</f>
        <v/>
      </c>
      <c r="J39">
        <f>IF(I39="","",IF(COUNTIF(I$2:I39,I39)=1,MAX(J$1:J38)+1,""))</f>
        <v/>
      </c>
    </row>
    <row r="40">
      <c r="A40">
        <f>IFERROR(--SUBSTITUTE(SUBSTITUTE(TRIM(INDEX(INDIRECT("'Выгрузка'!A40:Z40"),Настройки!$B$7)),",","."),".",MID(1/2,2,1)),"")</f>
        <v/>
      </c>
      <c r="B40">
        <f>IFERROR(--SUBSTITUTE(SUBSTITUTE(TRIM(INDEX(INDIRECT("'Выгрузка'!A40:Z40"),Настройки!$B$9)),",","."),".",MID(1/2,2,1)),"")</f>
        <v/>
      </c>
      <c r="C40">
        <f>TRIM(INDEX(INDIRECT("'Выгрузка'!A40:Z40"),Настройки!$B$8)&amp;"")</f>
        <v/>
      </c>
      <c r="D40">
        <f>IFERROR(--SUBSTITUTE(SUBSTITUTE(TRIM(INDEX(INDIRECT("'Выгрузка'!A40:Z40"),Настройки!$B$10)),",","."),".",MID(1/2,2,1)),"")</f>
        <v/>
      </c>
      <c r="E40">
        <f>IFERROR(--SUBSTITUTE(SUBSTITUTE(TRIM(INDEX(INDIRECT("'Выгрузка'!A40:Z40"),Настройки!$B$11)),",","."),".",MID(1/2,2,1)),"")</f>
        <v/>
      </c>
      <c r="F40">
        <f>TRIM(INDEX(INDIRECT("'Выгрузка'!A40:Z40"),Настройки!$B$12)&amp;"")</f>
        <v/>
      </c>
      <c r="G40">
        <f>IF(F40="",0,IF(TRIM(INDEX(INDIRECT("'Выгрузка'!A40:Z40"),Настройки!$B$13)&amp;"")="",1,IFERROR(--SUBSTITUTE(SUBSTITUTE(TRIM(INDEX(INDIRECT("'Выгрузка'!A40:Z40"),Настройки!$B$13)),",","."),".",MID(1/2,2,1)),"")))</f>
        <v/>
      </c>
      <c r="H40">
        <f>IF(F40="",0,IF(COUNTIF(Настройки!$B$17:$B$26,F40)&gt;0,1,IF(COUNTIF(Настройки!$C$17:$C$26,F40)&gt;0,2,IF(COUNTIF(Настройки!$D$17:$D$26,F40)&gt;0,3,0))))</f>
        <v/>
      </c>
      <c r="I40">
        <f>IF(AND(ISNUMBER(A40),ISNUMBER(B40)),A40*1000+B40,"")</f>
        <v/>
      </c>
      <c r="J40">
        <f>IF(I40="","",IF(COUNTIF(I$2:I40,I40)=1,MAX(J$1:J39)+1,""))</f>
        <v/>
      </c>
    </row>
    <row r="41">
      <c r="A41">
        <f>IFERROR(--SUBSTITUTE(SUBSTITUTE(TRIM(INDEX(INDIRECT("'Выгрузка'!A41:Z41"),Настройки!$B$7)),",","."),".",MID(1/2,2,1)),"")</f>
        <v/>
      </c>
      <c r="B41">
        <f>IFERROR(--SUBSTITUTE(SUBSTITUTE(TRIM(INDEX(INDIRECT("'Выгрузка'!A41:Z41"),Настройки!$B$9)),",","."),".",MID(1/2,2,1)),"")</f>
        <v/>
      </c>
      <c r="C41">
        <f>TRIM(INDEX(INDIRECT("'Выгрузка'!A41:Z41"),Настройки!$B$8)&amp;"")</f>
        <v/>
      </c>
      <c r="D41">
        <f>IFERROR(--SUBSTITUTE(SUBSTITUTE(TRIM(INDEX(INDIRECT("'Выгрузка'!A41:Z41"),Настройки!$B$10)),",","."),".",MID(1/2,2,1)),"")</f>
        <v/>
      </c>
      <c r="E41">
        <f>IFERROR(--SUBSTITUTE(SUBSTITUTE(TRIM(INDEX(INDIRECT("'Выгрузка'!A41:Z41"),Настройки!$B$11)),",","."),".",MID(1/2,2,1)),"")</f>
        <v/>
      </c>
      <c r="F41">
        <f>TRIM(INDEX(INDIRECT("'Выгрузка'!A41:Z41"),Настройки!$B$12)&amp;"")</f>
        <v/>
      </c>
      <c r="G41">
        <f>IF(F41="",0,IF(TRIM(INDEX(INDIRECT("'Выгрузка'!A41:Z41"),Настройки!$B$13)&amp;"")="",1,IFERROR(--SUBSTITUTE(SUBSTITUTE(TRIM(INDEX(INDIRECT("'Выгрузка'!A41:Z41"),Настройки!$B$13)),",","."),".",MID(1/2,2,1)),"")))</f>
        <v/>
      </c>
      <c r="H41">
        <f>IF(F41="",0,IF(COUNTIF(Настройки!$B$17:$B$26,F41)&gt;0,1,IF(COUNTIF(Настройки!$C$17:$C$26,F41)&gt;0,2,IF(COUNTIF(Настройки!$D$17:$D$26,F41)&gt;0,3,0))))</f>
        <v/>
      </c>
      <c r="I41">
        <f>IF(AND(ISNUMBER(A41),ISNUMBER(B41)),A41*1000+B41,"")</f>
        <v/>
      </c>
      <c r="J41">
        <f>IF(I41="","",IF(COUNTIF(I$2:I41,I41)=1,MAX(J$1:J40)+1,""))</f>
        <v/>
      </c>
    </row>
    <row r="42">
      <c r="A42">
        <f>IFERROR(--SUBSTITUTE(SUBSTITUTE(TRIM(INDEX(INDIRECT("'Выгрузка'!A42:Z42"),Настройки!$B$7)),",","."),".",MID(1/2,2,1)),"")</f>
        <v/>
      </c>
      <c r="B42">
        <f>IFERROR(--SUBSTITUTE(SUBSTITUTE(TRIM(INDEX(INDIRECT("'Выгрузка'!A42:Z42"),Настройки!$B$9)),",","."),".",MID(1/2,2,1)),"")</f>
        <v/>
      </c>
      <c r="C42">
        <f>TRIM(INDEX(INDIRECT("'Выгрузка'!A42:Z42"),Настройки!$B$8)&amp;"")</f>
        <v/>
      </c>
      <c r="D42">
        <f>IFERROR(--SUBSTITUTE(SUBSTITUTE(TRIM(INDEX(INDIRECT("'Выгрузка'!A42:Z42"),Настройки!$B$10)),",","."),".",MID(1/2,2,1)),"")</f>
        <v/>
      </c>
      <c r="E42">
        <f>IFERROR(--SUBSTITUTE(SUBSTITUTE(TRIM(INDEX(INDIRECT("'Выгрузка'!A42:Z42"),Настройки!$B$11)),",","."),".",MID(1/2,2,1)),"")</f>
        <v/>
      </c>
      <c r="F42">
        <f>TRIM(INDEX(INDIRECT("'Выгрузка'!A42:Z42"),Настройки!$B$12)&amp;"")</f>
        <v/>
      </c>
      <c r="G42">
        <f>IF(F42="",0,IF(TRIM(INDEX(INDIRECT("'Выгрузка'!A42:Z42"),Настройки!$B$13)&amp;"")="",1,IFERROR(--SUBSTITUTE(SUBSTITUTE(TRIM(INDEX(INDIRECT("'Выгрузка'!A42:Z42"),Настройки!$B$13)),",","."),".",MID(1/2,2,1)),"")))</f>
        <v/>
      </c>
      <c r="H42">
        <f>IF(F42="",0,IF(COUNTIF(Настройки!$B$17:$B$26,F42)&gt;0,1,IF(COUNTIF(Настройки!$C$17:$C$26,F42)&gt;0,2,IF(COUNTIF(Настройки!$D$17:$D$26,F42)&gt;0,3,0))))</f>
        <v/>
      </c>
      <c r="I42">
        <f>IF(AND(ISNUMBER(A42),ISNUMBER(B42)),A42*1000+B42,"")</f>
        <v/>
      </c>
      <c r="J42">
        <f>IF(I42="","",IF(COUNTIF(I$2:I42,I42)=1,MAX(J$1:J41)+1,""))</f>
        <v/>
      </c>
    </row>
    <row r="43">
      <c r="A43">
        <f>IFERROR(--SUBSTITUTE(SUBSTITUTE(TRIM(INDEX(INDIRECT("'Выгрузка'!A43:Z43"),Настройки!$B$7)),",","."),".",MID(1/2,2,1)),"")</f>
        <v/>
      </c>
      <c r="B43">
        <f>IFERROR(--SUBSTITUTE(SUBSTITUTE(TRIM(INDEX(INDIRECT("'Выгрузка'!A43:Z43"),Настройки!$B$9)),",","."),".",MID(1/2,2,1)),"")</f>
        <v/>
      </c>
      <c r="C43">
        <f>TRIM(INDEX(INDIRECT("'Выгрузка'!A43:Z43"),Настройки!$B$8)&amp;"")</f>
        <v/>
      </c>
      <c r="D43">
        <f>IFERROR(--SUBSTITUTE(SUBSTITUTE(TRIM(INDEX(INDIRECT("'Выгрузка'!A43:Z43"),Настройки!$B$10)),",","."),".",MID(1/2,2,1)),"")</f>
        <v/>
      </c>
      <c r="E43">
        <f>IFERROR(--SUBSTITUTE(SUBSTITUTE(TRIM(INDEX(INDIRECT("'Выгрузка'!A43:Z43"),Настройки!$B$11)),",","."),".",MID(1/2,2,1)),"")</f>
        <v/>
      </c>
      <c r="F43">
        <f>TRIM(INDEX(INDIRECT("'Выгрузка'!A43:Z43"),Настройки!$B$12)&amp;"")</f>
        <v/>
      </c>
      <c r="G43">
        <f>IF(F43="",0,IF(TRIM(INDEX(INDIRECT("'Выгрузка'!A43:Z43"),Настройки!$B$13)&amp;"")="",1,IFERROR(--SUBSTITUTE(SUBSTITUTE(TRIM(INDEX(INDIRECT("'Выгрузка'!A43:Z43"),Настройки!$B$13)),",","."),".",MID(1/2,2,1)),"")))</f>
        <v/>
      </c>
      <c r="H43">
        <f>IF(F43="",0,IF(COUNTIF(Настройки!$B$17:$B$26,F43)&gt;0,1,IF(COUNTIF(Настройки!$C$17:$C$26,F43)&gt;0,2,IF(COUNTIF(Настройки!$D$17:$D$26,F43)&gt;0,3,0))))</f>
        <v/>
      </c>
      <c r="I43">
        <f>IF(AND(ISNUMBER(A43),ISNUMBER(B43)),A43*1000+B43,"")</f>
        <v/>
      </c>
      <c r="J43">
        <f>IF(I43="","",IF(COUNTIF(I$2:I43,I43)=1,MAX(J$1:J42)+1,""))</f>
        <v/>
      </c>
    </row>
    <row r="44">
      <c r="A44">
        <f>IFERROR(--SUBSTITUTE(SUBSTITUTE(TRIM(INDEX(INDIRECT("'Выгрузка'!A44:Z44"),Настройки!$B$7)),",","."),".",MID(1/2,2,1)),"")</f>
        <v/>
      </c>
      <c r="B44">
        <f>IFERROR(--SUBSTITUTE(SUBSTITUTE(TRIM(INDEX(INDIRECT("'Выгрузка'!A44:Z44"),Настройки!$B$9)),",","."),".",MID(1/2,2,1)),"")</f>
        <v/>
      </c>
      <c r="C44">
        <f>TRIM(INDEX(INDIRECT("'Выгрузка'!A44:Z44"),Настройки!$B$8)&amp;"")</f>
        <v/>
      </c>
      <c r="D44">
        <f>IFERROR(--SUBSTITUTE(SUBSTITUTE(TRIM(INDEX(INDIRECT("'Выгрузка'!A44:Z44"),Настройки!$B$10)),",","."),".",MID(1/2,2,1)),"")</f>
        <v/>
      </c>
      <c r="E44">
        <f>IFERROR(--SUBSTITUTE(SUBSTITUTE(TRIM(INDEX(INDIRECT("'Выгрузка'!A44:Z44"),Настройки!$B$11)),",","."),".",MID(1/2,2,1)),"")</f>
        <v/>
      </c>
      <c r="F44">
        <f>TRIM(INDEX(INDIRECT("'Выгрузка'!A44:Z44"),Настройки!$B$12)&amp;"")</f>
        <v/>
      </c>
      <c r="G44">
        <f>IF(F44="",0,IF(TRIM(INDEX(INDIRECT("'Выгрузка'!A44:Z44"),Настройки!$B$13)&amp;"")="",1,IFERROR(--SUBSTITUTE(SUBSTITUTE(TRIM(INDEX(INDIRECT("'Выгрузка'!A44:Z44"),Настройки!$B$13)),",","."),".",MID(1/2,2,1)),"")))</f>
        <v/>
      </c>
      <c r="H44">
        <f>IF(F44="",0,IF(COUNTIF(Настройки!$B$17:$B$26,F44)&gt;0,1,IF(COUNTIF(Настройки!$C$17:$C$26,F44)&gt;0,2,IF(COUNTIF(Настройки!$D$17:$D$26,F44)&gt;0,3,0))))</f>
        <v/>
      </c>
      <c r="I44">
        <f>IF(AND(ISNUMBER(A44),ISNUMBER(B44)),A44*1000+B44,"")</f>
        <v/>
      </c>
      <c r="J44">
        <f>IF(I44="","",IF(COUNTIF(I$2:I44,I44)=1,MAX(J$1:J43)+1,""))</f>
        <v/>
      </c>
    </row>
    <row r="45">
      <c r="A45">
        <f>IFERROR(--SUBSTITUTE(SUBSTITUTE(TRIM(INDEX(INDIRECT("'Выгрузка'!A45:Z45"),Настройки!$B$7)),",","."),".",MID(1/2,2,1)),"")</f>
        <v/>
      </c>
      <c r="B45">
        <f>IFERROR(--SUBSTITUTE(SUBSTITUTE(TRIM(INDEX(INDIRECT("'Выгрузка'!A45:Z45"),Настройки!$B$9)),",","."),".",MID(1/2,2,1)),"")</f>
        <v/>
      </c>
      <c r="C45">
        <f>TRIM(INDEX(INDIRECT("'Выгрузка'!A45:Z45"),Настройки!$B$8)&amp;"")</f>
        <v/>
      </c>
      <c r="D45">
        <f>IFERROR(--SUBSTITUTE(SUBSTITUTE(TRIM(INDEX(INDIRECT("'Выгрузка'!A45:Z45"),Настройки!$B$10)),",","."),".",MID(1/2,2,1)),"")</f>
        <v/>
      </c>
      <c r="E45">
        <f>IFERROR(--SUBSTITUTE(SUBSTITUTE(TRIM(INDEX(INDIRECT("'Выгрузка'!A45:Z45"),Настройки!$B$11)),",","."),".",MID(1/2,2,1)),"")</f>
        <v/>
      </c>
      <c r="F45">
        <f>TRIM(INDEX(INDIRECT("'Выгрузка'!A45:Z45"),Настройки!$B$12)&amp;"")</f>
        <v/>
      </c>
      <c r="G45">
        <f>IF(F45="",0,IF(TRIM(INDEX(INDIRECT("'Выгрузка'!A45:Z45"),Настройки!$B$13)&amp;"")="",1,IFERROR(--SUBSTITUTE(SUBSTITUTE(TRIM(INDEX(INDIRECT("'Выгрузка'!A45:Z45"),Настройки!$B$13)),",","."),".",MID(1/2,2,1)),"")))</f>
        <v/>
      </c>
      <c r="H45">
        <f>IF(F45="",0,IF(COUNTIF(Настройки!$B$17:$B$26,F45)&gt;0,1,IF(COUNTIF(Настройки!$C$17:$C$26,F45)&gt;0,2,IF(COUNTIF(Настройки!$D$17:$D$26,F45)&gt;0,3,0))))</f>
        <v/>
      </c>
      <c r="I45">
        <f>IF(AND(ISNUMBER(A45),ISNUMBER(B45)),A45*1000+B45,"")</f>
        <v/>
      </c>
      <c r="J45">
        <f>IF(I45="","",IF(COUNTIF(I$2:I45,I45)=1,MAX(J$1:J44)+1,""))</f>
        <v/>
      </c>
    </row>
    <row r="46">
      <c r="A46">
        <f>IFERROR(--SUBSTITUTE(SUBSTITUTE(TRIM(INDEX(INDIRECT("'Выгрузка'!A46:Z46"),Настройки!$B$7)),",","."),".",MID(1/2,2,1)),"")</f>
        <v/>
      </c>
      <c r="B46">
        <f>IFERROR(--SUBSTITUTE(SUBSTITUTE(TRIM(INDEX(INDIRECT("'Выгрузка'!A46:Z46"),Настройки!$B$9)),",","."),".",MID(1/2,2,1)),"")</f>
        <v/>
      </c>
      <c r="C46">
        <f>TRIM(INDEX(INDIRECT("'Выгрузка'!A46:Z46"),Настройки!$B$8)&amp;"")</f>
        <v/>
      </c>
      <c r="D46">
        <f>IFERROR(--SUBSTITUTE(SUBSTITUTE(TRIM(INDEX(INDIRECT("'Выгрузка'!A46:Z46"),Настройки!$B$10)),",","."),".",MID(1/2,2,1)),"")</f>
        <v/>
      </c>
      <c r="E46">
        <f>IFERROR(--SUBSTITUTE(SUBSTITUTE(TRIM(INDEX(INDIRECT("'Выгрузка'!A46:Z46"),Настройки!$B$11)),",","."),".",MID(1/2,2,1)),"")</f>
        <v/>
      </c>
      <c r="F46">
        <f>TRIM(INDEX(INDIRECT("'Выгрузка'!A46:Z46"),Настройки!$B$12)&amp;"")</f>
        <v/>
      </c>
      <c r="G46">
        <f>IF(F46="",0,IF(TRIM(INDEX(INDIRECT("'Выгрузка'!A46:Z46"),Настройки!$B$13)&amp;"")="",1,IFERROR(--SUBSTITUTE(SUBSTITUTE(TRIM(INDEX(INDIRECT("'Выгрузка'!A46:Z46"),Настройки!$B$13)),",","."),".",MID(1/2,2,1)),"")))</f>
        <v/>
      </c>
      <c r="H46">
        <f>IF(F46="",0,IF(COUNTIF(Настройки!$B$17:$B$26,F46)&gt;0,1,IF(COUNTIF(Настройки!$C$17:$C$26,F46)&gt;0,2,IF(COUNTIF(Настройки!$D$17:$D$26,F46)&gt;0,3,0))))</f>
        <v/>
      </c>
      <c r="I46">
        <f>IF(AND(ISNUMBER(A46),ISNUMBER(B46)),A46*1000+B46,"")</f>
        <v/>
      </c>
      <c r="J46">
        <f>IF(I46="","",IF(COUNTIF(I$2:I46,I46)=1,MAX(J$1:J45)+1,""))</f>
        <v/>
      </c>
    </row>
    <row r="47">
      <c r="A47">
        <f>IFERROR(--SUBSTITUTE(SUBSTITUTE(TRIM(INDEX(INDIRECT("'Выгрузка'!A47:Z47"),Настройки!$B$7)),",","."),".",MID(1/2,2,1)),"")</f>
        <v/>
      </c>
      <c r="B47">
        <f>IFERROR(--SUBSTITUTE(SUBSTITUTE(TRIM(INDEX(INDIRECT("'Выгрузка'!A47:Z47"),Настройки!$B$9)),",","."),".",MID(1/2,2,1)),"")</f>
        <v/>
      </c>
      <c r="C47">
        <f>TRIM(INDEX(INDIRECT("'Выгрузка'!A47:Z47"),Настройки!$B$8)&amp;"")</f>
        <v/>
      </c>
      <c r="D47">
        <f>IFERROR(--SUBSTITUTE(SUBSTITUTE(TRIM(INDEX(INDIRECT("'Выгрузка'!A47:Z47"),Настройки!$B$10)),",","."),".",MID(1/2,2,1)),"")</f>
        <v/>
      </c>
      <c r="E47">
        <f>IFERROR(--SUBSTITUTE(SUBSTITUTE(TRIM(INDEX(INDIRECT("'Выгрузка'!A47:Z47"),Настройки!$B$11)),",","."),".",MID(1/2,2,1)),"")</f>
        <v/>
      </c>
      <c r="F47">
        <f>TRIM(INDEX(INDIRECT("'Выгрузка'!A47:Z47"),Настройки!$B$12)&amp;"")</f>
        <v/>
      </c>
      <c r="G47">
        <f>IF(F47="",0,IF(TRIM(INDEX(INDIRECT("'Выгрузка'!A47:Z47"),Настройки!$B$13)&amp;"")="",1,IFERROR(--SUBSTITUTE(SUBSTITUTE(TRIM(INDEX(INDIRECT("'Выгрузка'!A47:Z47"),Настройки!$B$13)),",","."),".",MID(1/2,2,1)),"")))</f>
        <v/>
      </c>
      <c r="H47">
        <f>IF(F47="",0,IF(COUNTIF(Настройки!$B$17:$B$26,F47)&gt;0,1,IF(COUNTIF(Настройки!$C$17:$C$26,F47)&gt;0,2,IF(COUNTIF(Настройки!$D$17:$D$26,F47)&gt;0,3,0))))</f>
        <v/>
      </c>
      <c r="I47">
        <f>IF(AND(ISNUMBER(A47),ISNUMBER(B47)),A47*1000+B47,"")</f>
        <v/>
      </c>
      <c r="J47">
        <f>IF(I47="","",IF(COUNTIF(I$2:I47,I47)=1,MAX(J$1:J46)+1,""))</f>
        <v/>
      </c>
    </row>
    <row r="48">
      <c r="A48">
        <f>IFERROR(--SUBSTITUTE(SUBSTITUTE(TRIM(INDEX(INDIRECT("'Выгрузка'!A48:Z48"),Настройки!$B$7)),",","."),".",MID(1/2,2,1)),"")</f>
        <v/>
      </c>
      <c r="B48">
        <f>IFERROR(--SUBSTITUTE(SUBSTITUTE(TRIM(INDEX(INDIRECT("'Выгрузка'!A48:Z48"),Настройки!$B$9)),",","."),".",MID(1/2,2,1)),"")</f>
        <v/>
      </c>
      <c r="C48">
        <f>TRIM(INDEX(INDIRECT("'Выгрузка'!A48:Z48"),Настройки!$B$8)&amp;"")</f>
        <v/>
      </c>
      <c r="D48">
        <f>IFERROR(--SUBSTITUTE(SUBSTITUTE(TRIM(INDEX(INDIRECT("'Выгрузка'!A48:Z48"),Настройки!$B$10)),",","."),".",MID(1/2,2,1)),"")</f>
        <v/>
      </c>
      <c r="E48">
        <f>IFERROR(--SUBSTITUTE(SUBSTITUTE(TRIM(INDEX(INDIRECT("'Выгрузка'!A48:Z48"),Настройки!$B$11)),",","."),".",MID(1/2,2,1)),"")</f>
        <v/>
      </c>
      <c r="F48">
        <f>TRIM(INDEX(INDIRECT("'Выгрузка'!A48:Z48"),Настройки!$B$12)&amp;"")</f>
        <v/>
      </c>
      <c r="G48">
        <f>IF(F48="",0,IF(TRIM(INDEX(INDIRECT("'Выгрузка'!A48:Z48"),Настройки!$B$13)&amp;"")="",1,IFERROR(--SUBSTITUTE(SUBSTITUTE(TRIM(INDEX(INDIRECT("'Выгрузка'!A48:Z48"),Настройки!$B$13)),",","."),".",MID(1/2,2,1)),"")))</f>
        <v/>
      </c>
      <c r="H48">
        <f>IF(F48="",0,IF(COUNTIF(Настройки!$B$17:$B$26,F48)&gt;0,1,IF(COUNTIF(Настройки!$C$17:$C$26,F48)&gt;0,2,IF(COUNTIF(Настройки!$D$17:$D$26,F48)&gt;0,3,0))))</f>
        <v/>
      </c>
      <c r="I48">
        <f>IF(AND(ISNUMBER(A48),ISNUMBER(B48)),A48*1000+B48,"")</f>
        <v/>
      </c>
      <c r="J48">
        <f>IF(I48="","",IF(COUNTIF(I$2:I48,I48)=1,MAX(J$1:J47)+1,""))</f>
        <v/>
      </c>
    </row>
    <row r="49">
      <c r="A49">
        <f>IFERROR(--SUBSTITUTE(SUBSTITUTE(TRIM(INDEX(INDIRECT("'Выгрузка'!A49:Z49"),Настройки!$B$7)),",","."),".",MID(1/2,2,1)),"")</f>
        <v/>
      </c>
      <c r="B49">
        <f>IFERROR(--SUBSTITUTE(SUBSTITUTE(TRIM(INDEX(INDIRECT("'Выгрузка'!A49:Z49"),Настройки!$B$9)),",","."),".",MID(1/2,2,1)),"")</f>
        <v/>
      </c>
      <c r="C49">
        <f>TRIM(INDEX(INDIRECT("'Выгрузка'!A49:Z49"),Настройки!$B$8)&amp;"")</f>
        <v/>
      </c>
      <c r="D49">
        <f>IFERROR(--SUBSTITUTE(SUBSTITUTE(TRIM(INDEX(INDIRECT("'Выгрузка'!A49:Z49"),Настройки!$B$10)),",","."),".",MID(1/2,2,1)),"")</f>
        <v/>
      </c>
      <c r="E49">
        <f>IFERROR(--SUBSTITUTE(SUBSTITUTE(TRIM(INDEX(INDIRECT("'Выгрузка'!A49:Z49"),Настройки!$B$11)),",","."),".",MID(1/2,2,1)),"")</f>
        <v/>
      </c>
      <c r="F49">
        <f>TRIM(INDEX(INDIRECT("'Выгрузка'!A49:Z49"),Настройки!$B$12)&amp;"")</f>
        <v/>
      </c>
      <c r="G49">
        <f>IF(F49="",0,IF(TRIM(INDEX(INDIRECT("'Выгрузка'!A49:Z49"),Настройки!$B$13)&amp;"")="",1,IFERROR(--SUBSTITUTE(SUBSTITUTE(TRIM(INDEX(INDIRECT("'Выгрузка'!A49:Z49"),Настройки!$B$13)),",","."),".",MID(1/2,2,1)),"")))</f>
        <v/>
      </c>
      <c r="H49">
        <f>IF(F49="",0,IF(COUNTIF(Настройки!$B$17:$B$26,F49)&gt;0,1,IF(COUNTIF(Настройки!$C$17:$C$26,F49)&gt;0,2,IF(COUNTIF(Настройки!$D$17:$D$26,F49)&gt;0,3,0))))</f>
        <v/>
      </c>
      <c r="I49">
        <f>IF(AND(ISNUMBER(A49),ISNUMBER(B49)),A49*1000+B49,"")</f>
        <v/>
      </c>
      <c r="J49">
        <f>IF(I49="","",IF(COUNTIF(I$2:I49,I49)=1,MAX(J$1:J48)+1,""))</f>
        <v/>
      </c>
    </row>
    <row r="50">
      <c r="A50">
        <f>IFERROR(--SUBSTITUTE(SUBSTITUTE(TRIM(INDEX(INDIRECT("'Выгрузка'!A50:Z50"),Настройки!$B$7)),",","."),".",MID(1/2,2,1)),"")</f>
        <v/>
      </c>
      <c r="B50">
        <f>IFERROR(--SUBSTITUTE(SUBSTITUTE(TRIM(INDEX(INDIRECT("'Выгрузка'!A50:Z50"),Настройки!$B$9)),",","."),".",MID(1/2,2,1)),"")</f>
        <v/>
      </c>
      <c r="C50">
        <f>TRIM(INDEX(INDIRECT("'Выгрузка'!A50:Z50"),Настройки!$B$8)&amp;"")</f>
        <v/>
      </c>
      <c r="D50">
        <f>IFERROR(--SUBSTITUTE(SUBSTITUTE(TRIM(INDEX(INDIRECT("'Выгрузка'!A50:Z50"),Настройки!$B$10)),",","."),".",MID(1/2,2,1)),"")</f>
        <v/>
      </c>
      <c r="E50">
        <f>IFERROR(--SUBSTITUTE(SUBSTITUTE(TRIM(INDEX(INDIRECT("'Выгрузка'!A50:Z50"),Настройки!$B$11)),",","."),".",MID(1/2,2,1)),"")</f>
        <v/>
      </c>
      <c r="F50">
        <f>TRIM(INDEX(INDIRECT("'Выгрузка'!A50:Z50"),Настройки!$B$12)&amp;"")</f>
        <v/>
      </c>
      <c r="G50">
        <f>IF(F50="",0,IF(TRIM(INDEX(INDIRECT("'Выгрузка'!A50:Z50"),Настройки!$B$13)&amp;"")="",1,IFERROR(--SUBSTITUTE(SUBSTITUTE(TRIM(INDEX(INDIRECT("'Выгрузка'!A50:Z50"),Настройки!$B$13)),",","."),".",MID(1/2,2,1)),"")))</f>
        <v/>
      </c>
      <c r="H50">
        <f>IF(F50="",0,IF(COUNTIF(Настройки!$B$17:$B$26,F50)&gt;0,1,IF(COUNTIF(Настройки!$C$17:$C$26,F50)&gt;0,2,IF(COUNTIF(Настройки!$D$17:$D$26,F50)&gt;0,3,0))))</f>
        <v/>
      </c>
      <c r="I50">
        <f>IF(AND(ISNUMBER(A50),ISNUMBER(B50)),A50*1000+B50,"")</f>
        <v/>
      </c>
      <c r="J50">
        <f>IF(I50="","",IF(COUNTIF(I$2:I50,I50)=1,MAX(J$1:J49)+1,""))</f>
        <v/>
      </c>
    </row>
    <row r="51">
      <c r="A51">
        <f>IFERROR(--SUBSTITUTE(SUBSTITUTE(TRIM(INDEX(INDIRECT("'Выгрузка'!A51:Z51"),Настройки!$B$7)),",","."),".",MID(1/2,2,1)),"")</f>
        <v/>
      </c>
      <c r="B51">
        <f>IFERROR(--SUBSTITUTE(SUBSTITUTE(TRIM(INDEX(INDIRECT("'Выгрузка'!A51:Z51"),Настройки!$B$9)),",","."),".",MID(1/2,2,1)),"")</f>
        <v/>
      </c>
      <c r="C51">
        <f>TRIM(INDEX(INDIRECT("'Выгрузка'!A51:Z51"),Настройки!$B$8)&amp;"")</f>
        <v/>
      </c>
      <c r="D51">
        <f>IFERROR(--SUBSTITUTE(SUBSTITUTE(TRIM(INDEX(INDIRECT("'Выгрузка'!A51:Z51"),Настройки!$B$10)),",","."),".",MID(1/2,2,1)),"")</f>
        <v/>
      </c>
      <c r="E51">
        <f>IFERROR(--SUBSTITUTE(SUBSTITUTE(TRIM(INDEX(INDIRECT("'Выгрузка'!A51:Z51"),Настройки!$B$11)),",","."),".",MID(1/2,2,1)),"")</f>
        <v/>
      </c>
      <c r="F51">
        <f>TRIM(INDEX(INDIRECT("'Выгрузка'!A51:Z51"),Настройки!$B$12)&amp;"")</f>
        <v/>
      </c>
      <c r="G51">
        <f>IF(F51="",0,IF(TRIM(INDEX(INDIRECT("'Выгрузка'!A51:Z51"),Настройки!$B$13)&amp;"")="",1,IFERROR(--SUBSTITUTE(SUBSTITUTE(TRIM(INDEX(INDIRECT("'Выгрузка'!A51:Z51"),Настройки!$B$13)),",","."),".",MID(1/2,2,1)),"")))</f>
        <v/>
      </c>
      <c r="H51">
        <f>IF(F51="",0,IF(COUNTIF(Настройки!$B$17:$B$26,F51)&gt;0,1,IF(COUNTIF(Настройки!$C$17:$C$26,F51)&gt;0,2,IF(COUNTIF(Настройки!$D$17:$D$26,F51)&gt;0,3,0))))</f>
        <v/>
      </c>
      <c r="I51">
        <f>IF(AND(ISNUMBER(A51),ISNUMBER(B51)),A51*1000+B51,"")</f>
        <v/>
      </c>
      <c r="J51">
        <f>IF(I51="","",IF(COUNTIF(I$2:I51,I51)=1,MAX(J$1:J50)+1,""))</f>
        <v/>
      </c>
    </row>
    <row r="52">
      <c r="A52">
        <f>IFERROR(--SUBSTITUTE(SUBSTITUTE(TRIM(INDEX(INDIRECT("'Выгрузка'!A52:Z52"),Настройки!$B$7)),",","."),".",MID(1/2,2,1)),"")</f>
        <v/>
      </c>
      <c r="B52">
        <f>IFERROR(--SUBSTITUTE(SUBSTITUTE(TRIM(INDEX(INDIRECT("'Выгрузка'!A52:Z52"),Настройки!$B$9)),",","."),".",MID(1/2,2,1)),"")</f>
        <v/>
      </c>
      <c r="C52">
        <f>TRIM(INDEX(INDIRECT("'Выгрузка'!A52:Z52"),Настройки!$B$8)&amp;"")</f>
        <v/>
      </c>
      <c r="D52">
        <f>IFERROR(--SUBSTITUTE(SUBSTITUTE(TRIM(INDEX(INDIRECT("'Выгрузка'!A52:Z52"),Настройки!$B$10)),",","."),".",MID(1/2,2,1)),"")</f>
        <v/>
      </c>
      <c r="E52">
        <f>IFERROR(--SUBSTITUTE(SUBSTITUTE(TRIM(INDEX(INDIRECT("'Выгрузка'!A52:Z52"),Настройки!$B$11)),",","."),".",MID(1/2,2,1)),"")</f>
        <v/>
      </c>
      <c r="F52">
        <f>TRIM(INDEX(INDIRECT("'Выгрузка'!A52:Z52"),Настройки!$B$12)&amp;"")</f>
        <v/>
      </c>
      <c r="G52">
        <f>IF(F52="",0,IF(TRIM(INDEX(INDIRECT("'Выгрузка'!A52:Z52"),Настройки!$B$13)&amp;"")="",1,IFERROR(--SUBSTITUTE(SUBSTITUTE(TRIM(INDEX(INDIRECT("'Выгрузка'!A52:Z52"),Настройки!$B$13)),",","."),".",MID(1/2,2,1)),"")))</f>
        <v/>
      </c>
      <c r="H52">
        <f>IF(F52="",0,IF(COUNTIF(Настройки!$B$17:$B$26,F52)&gt;0,1,IF(COUNTIF(Настройки!$C$17:$C$26,F52)&gt;0,2,IF(COUNTIF(Настройки!$D$17:$D$26,F52)&gt;0,3,0))))</f>
        <v/>
      </c>
      <c r="I52">
        <f>IF(AND(ISNUMBER(A52),ISNUMBER(B52)),A52*1000+B52,"")</f>
        <v/>
      </c>
      <c r="J52">
        <f>IF(I52="","",IF(COUNTIF(I$2:I52,I52)=1,MAX(J$1:J51)+1,""))</f>
        <v/>
      </c>
    </row>
    <row r="53">
      <c r="A53">
        <f>IFERROR(--SUBSTITUTE(SUBSTITUTE(TRIM(INDEX(INDIRECT("'Выгрузка'!A53:Z53"),Настройки!$B$7)),",","."),".",MID(1/2,2,1)),"")</f>
        <v/>
      </c>
      <c r="B53">
        <f>IFERROR(--SUBSTITUTE(SUBSTITUTE(TRIM(INDEX(INDIRECT("'Выгрузка'!A53:Z53"),Настройки!$B$9)),",","."),".",MID(1/2,2,1)),"")</f>
        <v/>
      </c>
      <c r="C53">
        <f>TRIM(INDEX(INDIRECT("'Выгрузка'!A53:Z53"),Настройки!$B$8)&amp;"")</f>
        <v/>
      </c>
      <c r="D53">
        <f>IFERROR(--SUBSTITUTE(SUBSTITUTE(TRIM(INDEX(INDIRECT("'Выгрузка'!A53:Z53"),Настройки!$B$10)),",","."),".",MID(1/2,2,1)),"")</f>
        <v/>
      </c>
      <c r="E53">
        <f>IFERROR(--SUBSTITUTE(SUBSTITUTE(TRIM(INDEX(INDIRECT("'Выгрузка'!A53:Z53"),Настройки!$B$11)),",","."),".",MID(1/2,2,1)),"")</f>
        <v/>
      </c>
      <c r="F53">
        <f>TRIM(INDEX(INDIRECT("'Выгрузка'!A53:Z53"),Настройки!$B$12)&amp;"")</f>
        <v/>
      </c>
      <c r="G53">
        <f>IF(F53="",0,IF(TRIM(INDEX(INDIRECT("'Выгрузка'!A53:Z53"),Настройки!$B$13)&amp;"")="",1,IFERROR(--SUBSTITUTE(SUBSTITUTE(TRIM(INDEX(INDIRECT("'Выгрузка'!A53:Z53"),Настройки!$B$13)),",","."),".",MID(1/2,2,1)),"")))</f>
        <v/>
      </c>
      <c r="H53">
        <f>IF(F53="",0,IF(COUNTIF(Настройки!$B$17:$B$26,F53)&gt;0,1,IF(COUNTIF(Настройки!$C$17:$C$26,F53)&gt;0,2,IF(COUNTIF(Настройки!$D$17:$D$26,F53)&gt;0,3,0))))</f>
        <v/>
      </c>
      <c r="I53">
        <f>IF(AND(ISNUMBER(A53),ISNUMBER(B53)),A53*1000+B53,"")</f>
        <v/>
      </c>
      <c r="J53">
        <f>IF(I53="","",IF(COUNTIF(I$2:I53,I53)=1,MAX(J$1:J52)+1,""))</f>
        <v/>
      </c>
    </row>
    <row r="54">
      <c r="A54">
        <f>IFERROR(--SUBSTITUTE(SUBSTITUTE(TRIM(INDEX(INDIRECT("'Выгрузка'!A54:Z54"),Настройки!$B$7)),",","."),".",MID(1/2,2,1)),"")</f>
        <v/>
      </c>
      <c r="B54">
        <f>IFERROR(--SUBSTITUTE(SUBSTITUTE(TRIM(INDEX(INDIRECT("'Выгрузка'!A54:Z54"),Настройки!$B$9)),",","."),".",MID(1/2,2,1)),"")</f>
        <v/>
      </c>
      <c r="C54">
        <f>TRIM(INDEX(INDIRECT("'Выгрузка'!A54:Z54"),Настройки!$B$8)&amp;"")</f>
        <v/>
      </c>
      <c r="D54">
        <f>IFERROR(--SUBSTITUTE(SUBSTITUTE(TRIM(INDEX(INDIRECT("'Выгрузка'!A54:Z54"),Настройки!$B$10)),",","."),".",MID(1/2,2,1)),"")</f>
        <v/>
      </c>
      <c r="E54">
        <f>IFERROR(--SUBSTITUTE(SUBSTITUTE(TRIM(INDEX(INDIRECT("'Выгрузка'!A54:Z54"),Настройки!$B$11)),",","."),".",MID(1/2,2,1)),"")</f>
        <v/>
      </c>
      <c r="F54">
        <f>TRIM(INDEX(INDIRECT("'Выгрузка'!A54:Z54"),Настройки!$B$12)&amp;"")</f>
        <v/>
      </c>
      <c r="G54">
        <f>IF(F54="",0,IF(TRIM(INDEX(INDIRECT("'Выгрузка'!A54:Z54"),Настройки!$B$13)&amp;"")="",1,IFERROR(--SUBSTITUTE(SUBSTITUTE(TRIM(INDEX(INDIRECT("'Выгрузка'!A54:Z54"),Настройки!$B$13)),",","."),".",MID(1/2,2,1)),"")))</f>
        <v/>
      </c>
      <c r="H54">
        <f>IF(F54="",0,IF(COUNTIF(Настройки!$B$17:$B$26,F54)&gt;0,1,IF(COUNTIF(Настройки!$C$17:$C$26,F54)&gt;0,2,IF(COUNTIF(Настройки!$D$17:$D$26,F54)&gt;0,3,0))))</f>
        <v/>
      </c>
      <c r="I54">
        <f>IF(AND(ISNUMBER(A54),ISNUMBER(B54)),A54*1000+B54,"")</f>
        <v/>
      </c>
      <c r="J54">
        <f>IF(I54="","",IF(COUNTIF(I$2:I54,I54)=1,MAX(J$1:J53)+1,""))</f>
        <v/>
      </c>
    </row>
    <row r="55">
      <c r="A55">
        <f>IFERROR(--SUBSTITUTE(SUBSTITUTE(TRIM(INDEX(INDIRECT("'Выгрузка'!A55:Z55"),Настройки!$B$7)),",","."),".",MID(1/2,2,1)),"")</f>
        <v/>
      </c>
      <c r="B55">
        <f>IFERROR(--SUBSTITUTE(SUBSTITUTE(TRIM(INDEX(INDIRECT("'Выгрузка'!A55:Z55"),Настройки!$B$9)),",","."),".",MID(1/2,2,1)),"")</f>
        <v/>
      </c>
      <c r="C55">
        <f>TRIM(INDEX(INDIRECT("'Выгрузка'!A55:Z55"),Настройки!$B$8)&amp;"")</f>
        <v/>
      </c>
      <c r="D55">
        <f>IFERROR(--SUBSTITUTE(SUBSTITUTE(TRIM(INDEX(INDIRECT("'Выгрузка'!A55:Z55"),Настройки!$B$10)),",","."),".",MID(1/2,2,1)),"")</f>
        <v/>
      </c>
      <c r="E55">
        <f>IFERROR(--SUBSTITUTE(SUBSTITUTE(TRIM(INDEX(INDIRECT("'Выгрузка'!A55:Z55"),Настройки!$B$11)),",","."),".",MID(1/2,2,1)),"")</f>
        <v/>
      </c>
      <c r="F55">
        <f>TRIM(INDEX(INDIRECT("'Выгрузка'!A55:Z55"),Настройки!$B$12)&amp;"")</f>
        <v/>
      </c>
      <c r="G55">
        <f>IF(F55="",0,IF(TRIM(INDEX(INDIRECT("'Выгрузка'!A55:Z55"),Настройки!$B$13)&amp;"")="",1,IFERROR(--SUBSTITUTE(SUBSTITUTE(TRIM(INDEX(INDIRECT("'Выгрузка'!A55:Z55"),Настройки!$B$13)),",","."),".",MID(1/2,2,1)),"")))</f>
        <v/>
      </c>
      <c r="H55">
        <f>IF(F55="",0,IF(COUNTIF(Настройки!$B$17:$B$26,F55)&gt;0,1,IF(COUNTIF(Настройки!$C$17:$C$26,F55)&gt;0,2,IF(COUNTIF(Настройки!$D$17:$D$26,F55)&gt;0,3,0))))</f>
        <v/>
      </c>
      <c r="I55">
        <f>IF(AND(ISNUMBER(A55),ISNUMBER(B55)),A55*1000+B55,"")</f>
        <v/>
      </c>
      <c r="J55">
        <f>IF(I55="","",IF(COUNTIF(I$2:I55,I55)=1,MAX(J$1:J54)+1,""))</f>
        <v/>
      </c>
    </row>
    <row r="56">
      <c r="A56">
        <f>IFERROR(--SUBSTITUTE(SUBSTITUTE(TRIM(INDEX(INDIRECT("'Выгрузка'!A56:Z56"),Настройки!$B$7)),",","."),".",MID(1/2,2,1)),"")</f>
        <v/>
      </c>
      <c r="B56">
        <f>IFERROR(--SUBSTITUTE(SUBSTITUTE(TRIM(INDEX(INDIRECT("'Выгрузка'!A56:Z56"),Настройки!$B$9)),",","."),".",MID(1/2,2,1)),"")</f>
        <v/>
      </c>
      <c r="C56">
        <f>TRIM(INDEX(INDIRECT("'Выгрузка'!A56:Z56"),Настройки!$B$8)&amp;"")</f>
        <v/>
      </c>
      <c r="D56">
        <f>IFERROR(--SUBSTITUTE(SUBSTITUTE(TRIM(INDEX(INDIRECT("'Выгрузка'!A56:Z56"),Настройки!$B$10)),",","."),".",MID(1/2,2,1)),"")</f>
        <v/>
      </c>
      <c r="E56">
        <f>IFERROR(--SUBSTITUTE(SUBSTITUTE(TRIM(INDEX(INDIRECT("'Выгрузка'!A56:Z56"),Настройки!$B$11)),",","."),".",MID(1/2,2,1)),"")</f>
        <v/>
      </c>
      <c r="F56">
        <f>TRIM(INDEX(INDIRECT("'Выгрузка'!A56:Z56"),Настройки!$B$12)&amp;"")</f>
        <v/>
      </c>
      <c r="G56">
        <f>IF(F56="",0,IF(TRIM(INDEX(INDIRECT("'Выгрузка'!A56:Z56"),Настройки!$B$13)&amp;"")="",1,IFERROR(--SUBSTITUTE(SUBSTITUTE(TRIM(INDEX(INDIRECT("'Выгрузка'!A56:Z56"),Настройки!$B$13)),",","."),".",MID(1/2,2,1)),"")))</f>
        <v/>
      </c>
      <c r="H56">
        <f>IF(F56="",0,IF(COUNTIF(Настройки!$B$17:$B$26,F56)&gt;0,1,IF(COUNTIF(Настройки!$C$17:$C$26,F56)&gt;0,2,IF(COUNTIF(Настройки!$D$17:$D$26,F56)&gt;0,3,0))))</f>
        <v/>
      </c>
      <c r="I56">
        <f>IF(AND(ISNUMBER(A56),ISNUMBER(B56)),A56*1000+B56,"")</f>
        <v/>
      </c>
      <c r="J56">
        <f>IF(I56="","",IF(COUNTIF(I$2:I56,I56)=1,MAX(J$1:J55)+1,""))</f>
        <v/>
      </c>
    </row>
    <row r="57">
      <c r="A57">
        <f>IFERROR(--SUBSTITUTE(SUBSTITUTE(TRIM(INDEX(INDIRECT("'Выгрузка'!A57:Z57"),Настройки!$B$7)),",","."),".",MID(1/2,2,1)),"")</f>
        <v/>
      </c>
      <c r="B57">
        <f>IFERROR(--SUBSTITUTE(SUBSTITUTE(TRIM(INDEX(INDIRECT("'Выгрузка'!A57:Z57"),Настройки!$B$9)),",","."),".",MID(1/2,2,1)),"")</f>
        <v/>
      </c>
      <c r="C57">
        <f>TRIM(INDEX(INDIRECT("'Выгрузка'!A57:Z57"),Настройки!$B$8)&amp;"")</f>
        <v/>
      </c>
      <c r="D57">
        <f>IFERROR(--SUBSTITUTE(SUBSTITUTE(TRIM(INDEX(INDIRECT("'Выгрузка'!A57:Z57"),Настройки!$B$10)),",","."),".",MID(1/2,2,1)),"")</f>
        <v/>
      </c>
      <c r="E57">
        <f>IFERROR(--SUBSTITUTE(SUBSTITUTE(TRIM(INDEX(INDIRECT("'Выгрузка'!A57:Z57"),Настройки!$B$11)),",","."),".",MID(1/2,2,1)),"")</f>
        <v/>
      </c>
      <c r="F57">
        <f>TRIM(INDEX(INDIRECT("'Выгрузка'!A57:Z57"),Настройки!$B$12)&amp;"")</f>
        <v/>
      </c>
      <c r="G57">
        <f>IF(F57="",0,IF(TRIM(INDEX(INDIRECT("'Выгрузка'!A57:Z57"),Настройки!$B$13)&amp;"")="",1,IFERROR(--SUBSTITUTE(SUBSTITUTE(TRIM(INDEX(INDIRECT("'Выгрузка'!A57:Z57"),Настройки!$B$13)),",","."),".",MID(1/2,2,1)),"")))</f>
        <v/>
      </c>
      <c r="H57">
        <f>IF(F57="",0,IF(COUNTIF(Настройки!$B$17:$B$26,F57)&gt;0,1,IF(COUNTIF(Настройки!$C$17:$C$26,F57)&gt;0,2,IF(COUNTIF(Настройки!$D$17:$D$26,F57)&gt;0,3,0))))</f>
        <v/>
      </c>
      <c r="I57">
        <f>IF(AND(ISNUMBER(A57),ISNUMBER(B57)),A57*1000+B57,"")</f>
        <v/>
      </c>
      <c r="J57">
        <f>IF(I57="","",IF(COUNTIF(I$2:I57,I57)=1,MAX(J$1:J56)+1,""))</f>
        <v/>
      </c>
    </row>
    <row r="58">
      <c r="A58">
        <f>IFERROR(--SUBSTITUTE(SUBSTITUTE(TRIM(INDEX(INDIRECT("'Выгрузка'!A58:Z58"),Настройки!$B$7)),",","."),".",MID(1/2,2,1)),"")</f>
        <v/>
      </c>
      <c r="B58">
        <f>IFERROR(--SUBSTITUTE(SUBSTITUTE(TRIM(INDEX(INDIRECT("'Выгрузка'!A58:Z58"),Настройки!$B$9)),",","."),".",MID(1/2,2,1)),"")</f>
        <v/>
      </c>
      <c r="C58">
        <f>TRIM(INDEX(INDIRECT("'Выгрузка'!A58:Z58"),Настройки!$B$8)&amp;"")</f>
        <v/>
      </c>
      <c r="D58">
        <f>IFERROR(--SUBSTITUTE(SUBSTITUTE(TRIM(INDEX(INDIRECT("'Выгрузка'!A58:Z58"),Настройки!$B$10)),",","."),".",MID(1/2,2,1)),"")</f>
        <v/>
      </c>
      <c r="E58">
        <f>IFERROR(--SUBSTITUTE(SUBSTITUTE(TRIM(INDEX(INDIRECT("'Выгрузка'!A58:Z58"),Настройки!$B$11)),",","."),".",MID(1/2,2,1)),"")</f>
        <v/>
      </c>
      <c r="F58">
        <f>TRIM(INDEX(INDIRECT("'Выгрузка'!A58:Z58"),Настройки!$B$12)&amp;"")</f>
        <v/>
      </c>
      <c r="G58">
        <f>IF(F58="",0,IF(TRIM(INDEX(INDIRECT("'Выгрузка'!A58:Z58"),Настройки!$B$13)&amp;"")="",1,IFERROR(--SUBSTITUTE(SUBSTITUTE(TRIM(INDEX(INDIRECT("'Выгрузка'!A58:Z58"),Настройки!$B$13)),",","."),".",MID(1/2,2,1)),"")))</f>
        <v/>
      </c>
      <c r="H58">
        <f>IF(F58="",0,IF(COUNTIF(Настройки!$B$17:$B$26,F58)&gt;0,1,IF(COUNTIF(Настройки!$C$17:$C$26,F58)&gt;0,2,IF(COUNTIF(Настройки!$D$17:$D$26,F58)&gt;0,3,0))))</f>
        <v/>
      </c>
      <c r="I58">
        <f>IF(AND(ISNUMBER(A58),ISNUMBER(B58)),A58*1000+B58,"")</f>
        <v/>
      </c>
      <c r="J58">
        <f>IF(I58="","",IF(COUNTIF(I$2:I58,I58)=1,MAX(J$1:J57)+1,""))</f>
        <v/>
      </c>
    </row>
    <row r="59">
      <c r="A59">
        <f>IFERROR(--SUBSTITUTE(SUBSTITUTE(TRIM(INDEX(INDIRECT("'Выгрузка'!A59:Z59"),Настройки!$B$7)),",","."),".",MID(1/2,2,1)),"")</f>
        <v/>
      </c>
      <c r="B59">
        <f>IFERROR(--SUBSTITUTE(SUBSTITUTE(TRIM(INDEX(INDIRECT("'Выгрузка'!A59:Z59"),Настройки!$B$9)),",","."),".",MID(1/2,2,1)),"")</f>
        <v/>
      </c>
      <c r="C59">
        <f>TRIM(INDEX(INDIRECT("'Выгрузка'!A59:Z59"),Настройки!$B$8)&amp;"")</f>
        <v/>
      </c>
      <c r="D59">
        <f>IFERROR(--SUBSTITUTE(SUBSTITUTE(TRIM(INDEX(INDIRECT("'Выгрузка'!A59:Z59"),Настройки!$B$10)),",","."),".",MID(1/2,2,1)),"")</f>
        <v/>
      </c>
      <c r="E59">
        <f>IFERROR(--SUBSTITUTE(SUBSTITUTE(TRIM(INDEX(INDIRECT("'Выгрузка'!A59:Z59"),Настройки!$B$11)),",","."),".",MID(1/2,2,1)),"")</f>
        <v/>
      </c>
      <c r="F59">
        <f>TRIM(INDEX(INDIRECT("'Выгрузка'!A59:Z59"),Настройки!$B$12)&amp;"")</f>
        <v/>
      </c>
      <c r="G59">
        <f>IF(F59="",0,IF(TRIM(INDEX(INDIRECT("'Выгрузка'!A59:Z59"),Настройки!$B$13)&amp;"")="",1,IFERROR(--SUBSTITUTE(SUBSTITUTE(TRIM(INDEX(INDIRECT("'Выгрузка'!A59:Z59"),Настройки!$B$13)),",","."),".",MID(1/2,2,1)),"")))</f>
        <v/>
      </c>
      <c r="H59">
        <f>IF(F59="",0,IF(COUNTIF(Настройки!$B$17:$B$26,F59)&gt;0,1,IF(COUNTIF(Настройки!$C$17:$C$26,F59)&gt;0,2,IF(COUNTIF(Настройки!$D$17:$D$26,F59)&gt;0,3,0))))</f>
        <v/>
      </c>
      <c r="I59">
        <f>IF(AND(ISNUMBER(A59),ISNUMBER(B59)),A59*1000+B59,"")</f>
        <v/>
      </c>
      <c r="J59">
        <f>IF(I59="","",IF(COUNTIF(I$2:I59,I59)=1,MAX(J$1:J58)+1,""))</f>
        <v/>
      </c>
    </row>
    <row r="60">
      <c r="A60">
        <f>IFERROR(--SUBSTITUTE(SUBSTITUTE(TRIM(INDEX(INDIRECT("'Выгрузка'!A60:Z60"),Настройки!$B$7)),",","."),".",MID(1/2,2,1)),"")</f>
        <v/>
      </c>
      <c r="B60">
        <f>IFERROR(--SUBSTITUTE(SUBSTITUTE(TRIM(INDEX(INDIRECT("'Выгрузка'!A60:Z60"),Настройки!$B$9)),",","."),".",MID(1/2,2,1)),"")</f>
        <v/>
      </c>
      <c r="C60">
        <f>TRIM(INDEX(INDIRECT("'Выгрузка'!A60:Z60"),Настройки!$B$8)&amp;"")</f>
        <v/>
      </c>
      <c r="D60">
        <f>IFERROR(--SUBSTITUTE(SUBSTITUTE(TRIM(INDEX(INDIRECT("'Выгрузка'!A60:Z60"),Настройки!$B$10)),",","."),".",MID(1/2,2,1)),"")</f>
        <v/>
      </c>
      <c r="E60">
        <f>IFERROR(--SUBSTITUTE(SUBSTITUTE(TRIM(INDEX(INDIRECT("'Выгрузка'!A60:Z60"),Настройки!$B$11)),",","."),".",MID(1/2,2,1)),"")</f>
        <v/>
      </c>
      <c r="F60">
        <f>TRIM(INDEX(INDIRECT("'Выгрузка'!A60:Z60"),Настройки!$B$12)&amp;"")</f>
        <v/>
      </c>
      <c r="G60">
        <f>IF(F60="",0,IF(TRIM(INDEX(INDIRECT("'Выгрузка'!A60:Z60"),Настройки!$B$13)&amp;"")="",1,IFERROR(--SUBSTITUTE(SUBSTITUTE(TRIM(INDEX(INDIRECT("'Выгрузка'!A60:Z60"),Настройки!$B$13)),",","."),".",MID(1/2,2,1)),"")))</f>
        <v/>
      </c>
      <c r="H60">
        <f>IF(F60="",0,IF(COUNTIF(Настройки!$B$17:$B$26,F60)&gt;0,1,IF(COUNTIF(Настройки!$C$17:$C$26,F60)&gt;0,2,IF(COUNTIF(Настройки!$D$17:$D$26,F60)&gt;0,3,0))))</f>
        <v/>
      </c>
      <c r="I60">
        <f>IF(AND(ISNUMBER(A60),ISNUMBER(B60)),A60*1000+B60,"")</f>
        <v/>
      </c>
      <c r="J60">
        <f>IF(I60="","",IF(COUNTIF(I$2:I60,I60)=1,MAX(J$1:J59)+1,""))</f>
        <v/>
      </c>
    </row>
    <row r="61">
      <c r="A61">
        <f>IFERROR(--SUBSTITUTE(SUBSTITUTE(TRIM(INDEX(INDIRECT("'Выгрузка'!A61:Z61"),Настройки!$B$7)),",","."),".",MID(1/2,2,1)),"")</f>
        <v/>
      </c>
      <c r="B61">
        <f>IFERROR(--SUBSTITUTE(SUBSTITUTE(TRIM(INDEX(INDIRECT("'Выгрузка'!A61:Z61"),Настройки!$B$9)),",","."),".",MID(1/2,2,1)),"")</f>
        <v/>
      </c>
      <c r="C61">
        <f>TRIM(INDEX(INDIRECT("'Выгрузка'!A61:Z61"),Настройки!$B$8)&amp;"")</f>
        <v/>
      </c>
      <c r="D61">
        <f>IFERROR(--SUBSTITUTE(SUBSTITUTE(TRIM(INDEX(INDIRECT("'Выгрузка'!A61:Z61"),Настройки!$B$10)),",","."),".",MID(1/2,2,1)),"")</f>
        <v/>
      </c>
      <c r="E61">
        <f>IFERROR(--SUBSTITUTE(SUBSTITUTE(TRIM(INDEX(INDIRECT("'Выгрузка'!A61:Z61"),Настройки!$B$11)),",","."),".",MID(1/2,2,1)),"")</f>
        <v/>
      </c>
      <c r="F61">
        <f>TRIM(INDEX(INDIRECT("'Выгрузка'!A61:Z61"),Настройки!$B$12)&amp;"")</f>
        <v/>
      </c>
      <c r="G61">
        <f>IF(F61="",0,IF(TRIM(INDEX(INDIRECT("'Выгрузка'!A61:Z61"),Настройки!$B$13)&amp;"")="",1,IFERROR(--SUBSTITUTE(SUBSTITUTE(TRIM(INDEX(INDIRECT("'Выгрузка'!A61:Z61"),Настройки!$B$13)),",","."),".",MID(1/2,2,1)),"")))</f>
        <v/>
      </c>
      <c r="H61">
        <f>IF(F61="",0,IF(COUNTIF(Настройки!$B$17:$B$26,F61)&gt;0,1,IF(COUNTIF(Настройки!$C$17:$C$26,F61)&gt;0,2,IF(COUNTIF(Настройки!$D$17:$D$26,F61)&gt;0,3,0))))</f>
        <v/>
      </c>
      <c r="I61">
        <f>IF(AND(ISNUMBER(A61),ISNUMBER(B61)),A61*1000+B61,"")</f>
        <v/>
      </c>
      <c r="J61">
        <f>IF(I61="","",IF(COUNTIF(I$2:I61,I61)=1,MAX(J$1:J60)+1,""))</f>
        <v/>
      </c>
    </row>
    <row r="62">
      <c r="A62">
        <f>IFERROR(--SUBSTITUTE(SUBSTITUTE(TRIM(INDEX(INDIRECT("'Выгрузка'!A62:Z62"),Настройки!$B$7)),",","."),".",MID(1/2,2,1)),"")</f>
        <v/>
      </c>
      <c r="B62">
        <f>IFERROR(--SUBSTITUTE(SUBSTITUTE(TRIM(INDEX(INDIRECT("'Выгрузка'!A62:Z62"),Настройки!$B$9)),",","."),".",MID(1/2,2,1)),"")</f>
        <v/>
      </c>
      <c r="C62">
        <f>TRIM(INDEX(INDIRECT("'Выгрузка'!A62:Z62"),Настройки!$B$8)&amp;"")</f>
        <v/>
      </c>
      <c r="D62">
        <f>IFERROR(--SUBSTITUTE(SUBSTITUTE(TRIM(INDEX(INDIRECT("'Выгрузка'!A62:Z62"),Настройки!$B$10)),",","."),".",MID(1/2,2,1)),"")</f>
        <v/>
      </c>
      <c r="E62">
        <f>IFERROR(--SUBSTITUTE(SUBSTITUTE(TRIM(INDEX(INDIRECT("'Выгрузка'!A62:Z62"),Настройки!$B$11)),",","."),".",MID(1/2,2,1)),"")</f>
        <v/>
      </c>
      <c r="F62">
        <f>TRIM(INDEX(INDIRECT("'Выгрузка'!A62:Z62"),Настройки!$B$12)&amp;"")</f>
        <v/>
      </c>
      <c r="G62">
        <f>IF(F62="",0,IF(TRIM(INDEX(INDIRECT("'Выгрузка'!A62:Z62"),Настройки!$B$13)&amp;"")="",1,IFERROR(--SUBSTITUTE(SUBSTITUTE(TRIM(INDEX(INDIRECT("'Выгрузка'!A62:Z62"),Настройки!$B$13)),",","."),".",MID(1/2,2,1)),"")))</f>
        <v/>
      </c>
      <c r="H62">
        <f>IF(F62="",0,IF(COUNTIF(Настройки!$B$17:$B$26,F62)&gt;0,1,IF(COUNTIF(Настройки!$C$17:$C$26,F62)&gt;0,2,IF(COUNTIF(Настройки!$D$17:$D$26,F62)&gt;0,3,0))))</f>
        <v/>
      </c>
      <c r="I62">
        <f>IF(AND(ISNUMBER(A62),ISNUMBER(B62)),A62*1000+B62,"")</f>
        <v/>
      </c>
      <c r="J62">
        <f>IF(I62="","",IF(COUNTIF(I$2:I62,I62)=1,MAX(J$1:J61)+1,""))</f>
        <v/>
      </c>
    </row>
    <row r="63">
      <c r="A63">
        <f>IFERROR(--SUBSTITUTE(SUBSTITUTE(TRIM(INDEX(INDIRECT("'Выгрузка'!A63:Z63"),Настройки!$B$7)),",","."),".",MID(1/2,2,1)),"")</f>
        <v/>
      </c>
      <c r="B63">
        <f>IFERROR(--SUBSTITUTE(SUBSTITUTE(TRIM(INDEX(INDIRECT("'Выгрузка'!A63:Z63"),Настройки!$B$9)),",","."),".",MID(1/2,2,1)),"")</f>
        <v/>
      </c>
      <c r="C63">
        <f>TRIM(INDEX(INDIRECT("'Выгрузка'!A63:Z63"),Настройки!$B$8)&amp;"")</f>
        <v/>
      </c>
      <c r="D63">
        <f>IFERROR(--SUBSTITUTE(SUBSTITUTE(TRIM(INDEX(INDIRECT("'Выгрузка'!A63:Z63"),Настройки!$B$10)),",","."),".",MID(1/2,2,1)),"")</f>
        <v/>
      </c>
      <c r="E63">
        <f>IFERROR(--SUBSTITUTE(SUBSTITUTE(TRIM(INDEX(INDIRECT("'Выгрузка'!A63:Z63"),Настройки!$B$11)),",","."),".",MID(1/2,2,1)),"")</f>
        <v/>
      </c>
      <c r="F63">
        <f>TRIM(INDEX(INDIRECT("'Выгрузка'!A63:Z63"),Настройки!$B$12)&amp;"")</f>
        <v/>
      </c>
      <c r="G63">
        <f>IF(F63="",0,IF(TRIM(INDEX(INDIRECT("'Выгрузка'!A63:Z63"),Настройки!$B$13)&amp;"")="",1,IFERROR(--SUBSTITUTE(SUBSTITUTE(TRIM(INDEX(INDIRECT("'Выгрузка'!A63:Z63"),Настройки!$B$13)),",","."),".",MID(1/2,2,1)),"")))</f>
        <v/>
      </c>
      <c r="H63">
        <f>IF(F63="",0,IF(COUNTIF(Настройки!$B$17:$B$26,F63)&gt;0,1,IF(COUNTIF(Настройки!$C$17:$C$26,F63)&gt;0,2,IF(COUNTIF(Настройки!$D$17:$D$26,F63)&gt;0,3,0))))</f>
        <v/>
      </c>
      <c r="I63">
        <f>IF(AND(ISNUMBER(A63),ISNUMBER(B63)),A63*1000+B63,"")</f>
        <v/>
      </c>
      <c r="J63">
        <f>IF(I63="","",IF(COUNTIF(I$2:I63,I63)=1,MAX(J$1:J62)+1,""))</f>
        <v/>
      </c>
    </row>
    <row r="64">
      <c r="A64">
        <f>IFERROR(--SUBSTITUTE(SUBSTITUTE(TRIM(INDEX(INDIRECT("'Выгрузка'!A64:Z64"),Настройки!$B$7)),",","."),".",MID(1/2,2,1)),"")</f>
        <v/>
      </c>
      <c r="B64">
        <f>IFERROR(--SUBSTITUTE(SUBSTITUTE(TRIM(INDEX(INDIRECT("'Выгрузка'!A64:Z64"),Настройки!$B$9)),",","."),".",MID(1/2,2,1)),"")</f>
        <v/>
      </c>
      <c r="C64">
        <f>TRIM(INDEX(INDIRECT("'Выгрузка'!A64:Z64"),Настройки!$B$8)&amp;"")</f>
        <v/>
      </c>
      <c r="D64">
        <f>IFERROR(--SUBSTITUTE(SUBSTITUTE(TRIM(INDEX(INDIRECT("'Выгрузка'!A64:Z64"),Настройки!$B$10)),",","."),".",MID(1/2,2,1)),"")</f>
        <v/>
      </c>
      <c r="E64">
        <f>IFERROR(--SUBSTITUTE(SUBSTITUTE(TRIM(INDEX(INDIRECT("'Выгрузка'!A64:Z64"),Настройки!$B$11)),",","."),".",MID(1/2,2,1)),"")</f>
        <v/>
      </c>
      <c r="F64">
        <f>TRIM(INDEX(INDIRECT("'Выгрузка'!A64:Z64"),Настройки!$B$12)&amp;"")</f>
        <v/>
      </c>
      <c r="G64">
        <f>IF(F64="",0,IF(TRIM(INDEX(INDIRECT("'Выгрузка'!A64:Z64"),Настройки!$B$13)&amp;"")="",1,IFERROR(--SUBSTITUTE(SUBSTITUTE(TRIM(INDEX(INDIRECT("'Выгрузка'!A64:Z64"),Настройки!$B$13)),",","."),".",MID(1/2,2,1)),"")))</f>
        <v/>
      </c>
      <c r="H64">
        <f>IF(F64="",0,IF(COUNTIF(Настройки!$B$17:$B$26,F64)&gt;0,1,IF(COUNTIF(Настройки!$C$17:$C$26,F64)&gt;0,2,IF(COUNTIF(Настройки!$D$17:$D$26,F64)&gt;0,3,0))))</f>
        <v/>
      </c>
      <c r="I64">
        <f>IF(AND(ISNUMBER(A64),ISNUMBER(B64)),A64*1000+B64,"")</f>
        <v/>
      </c>
      <c r="J64">
        <f>IF(I64="","",IF(COUNTIF(I$2:I64,I64)=1,MAX(J$1:J63)+1,""))</f>
        <v/>
      </c>
    </row>
    <row r="65">
      <c r="A65">
        <f>IFERROR(--SUBSTITUTE(SUBSTITUTE(TRIM(INDEX(INDIRECT("'Выгрузка'!A65:Z65"),Настройки!$B$7)),",","."),".",MID(1/2,2,1)),"")</f>
        <v/>
      </c>
      <c r="B65">
        <f>IFERROR(--SUBSTITUTE(SUBSTITUTE(TRIM(INDEX(INDIRECT("'Выгрузка'!A65:Z65"),Настройки!$B$9)),",","."),".",MID(1/2,2,1)),"")</f>
        <v/>
      </c>
      <c r="C65">
        <f>TRIM(INDEX(INDIRECT("'Выгрузка'!A65:Z65"),Настройки!$B$8)&amp;"")</f>
        <v/>
      </c>
      <c r="D65">
        <f>IFERROR(--SUBSTITUTE(SUBSTITUTE(TRIM(INDEX(INDIRECT("'Выгрузка'!A65:Z65"),Настройки!$B$10)),",","."),".",MID(1/2,2,1)),"")</f>
        <v/>
      </c>
      <c r="E65">
        <f>IFERROR(--SUBSTITUTE(SUBSTITUTE(TRIM(INDEX(INDIRECT("'Выгрузка'!A65:Z65"),Настройки!$B$11)),",","."),".",MID(1/2,2,1)),"")</f>
        <v/>
      </c>
      <c r="F65">
        <f>TRIM(INDEX(INDIRECT("'Выгрузка'!A65:Z65"),Настройки!$B$12)&amp;"")</f>
        <v/>
      </c>
      <c r="G65">
        <f>IF(F65="",0,IF(TRIM(INDEX(INDIRECT("'Выгрузка'!A65:Z65"),Настройки!$B$13)&amp;"")="",1,IFERROR(--SUBSTITUTE(SUBSTITUTE(TRIM(INDEX(INDIRECT("'Выгрузка'!A65:Z65"),Настройки!$B$13)),",","."),".",MID(1/2,2,1)),"")))</f>
        <v/>
      </c>
      <c r="H65">
        <f>IF(F65="",0,IF(COUNTIF(Настройки!$B$17:$B$26,F65)&gt;0,1,IF(COUNTIF(Настройки!$C$17:$C$26,F65)&gt;0,2,IF(COUNTIF(Настройки!$D$17:$D$26,F65)&gt;0,3,0))))</f>
        <v/>
      </c>
      <c r="I65">
        <f>IF(AND(ISNUMBER(A65),ISNUMBER(B65)),A65*1000+B65,"")</f>
        <v/>
      </c>
      <c r="J65">
        <f>IF(I65="","",IF(COUNTIF(I$2:I65,I65)=1,MAX(J$1:J64)+1,""))</f>
        <v/>
      </c>
    </row>
    <row r="66">
      <c r="A66">
        <f>IFERROR(--SUBSTITUTE(SUBSTITUTE(TRIM(INDEX(INDIRECT("'Выгрузка'!A66:Z66"),Настройки!$B$7)),",","."),".",MID(1/2,2,1)),"")</f>
        <v/>
      </c>
      <c r="B66">
        <f>IFERROR(--SUBSTITUTE(SUBSTITUTE(TRIM(INDEX(INDIRECT("'Выгрузка'!A66:Z66"),Настройки!$B$9)),",","."),".",MID(1/2,2,1)),"")</f>
        <v/>
      </c>
      <c r="C66">
        <f>TRIM(INDEX(INDIRECT("'Выгрузка'!A66:Z66"),Настройки!$B$8)&amp;"")</f>
        <v/>
      </c>
      <c r="D66">
        <f>IFERROR(--SUBSTITUTE(SUBSTITUTE(TRIM(INDEX(INDIRECT("'Выгрузка'!A66:Z66"),Настройки!$B$10)),",","."),".",MID(1/2,2,1)),"")</f>
        <v/>
      </c>
      <c r="E66">
        <f>IFERROR(--SUBSTITUTE(SUBSTITUTE(TRIM(INDEX(INDIRECT("'Выгрузка'!A66:Z66"),Настройки!$B$11)),",","."),".",MID(1/2,2,1)),"")</f>
        <v/>
      </c>
      <c r="F66">
        <f>TRIM(INDEX(INDIRECT("'Выгрузка'!A66:Z66"),Настройки!$B$12)&amp;"")</f>
        <v/>
      </c>
      <c r="G66">
        <f>IF(F66="",0,IF(TRIM(INDEX(INDIRECT("'Выгрузка'!A66:Z66"),Настройки!$B$13)&amp;"")="",1,IFERROR(--SUBSTITUTE(SUBSTITUTE(TRIM(INDEX(INDIRECT("'Выгрузка'!A66:Z66"),Настройки!$B$13)),",","."),".",MID(1/2,2,1)),"")))</f>
        <v/>
      </c>
      <c r="H66">
        <f>IF(F66="",0,IF(COUNTIF(Настройки!$B$17:$B$26,F66)&gt;0,1,IF(COUNTIF(Настройки!$C$17:$C$26,F66)&gt;0,2,IF(COUNTIF(Настройки!$D$17:$D$26,F66)&gt;0,3,0))))</f>
        <v/>
      </c>
      <c r="I66">
        <f>IF(AND(ISNUMBER(A66),ISNUMBER(B66)),A66*1000+B66,"")</f>
        <v/>
      </c>
      <c r="J66">
        <f>IF(I66="","",IF(COUNTIF(I$2:I66,I66)=1,MAX(J$1:J65)+1,""))</f>
        <v/>
      </c>
    </row>
    <row r="67">
      <c r="A67">
        <f>IFERROR(--SUBSTITUTE(SUBSTITUTE(TRIM(INDEX(INDIRECT("'Выгрузка'!A67:Z67"),Настройки!$B$7)),",","."),".",MID(1/2,2,1)),"")</f>
        <v/>
      </c>
      <c r="B67">
        <f>IFERROR(--SUBSTITUTE(SUBSTITUTE(TRIM(INDEX(INDIRECT("'Выгрузка'!A67:Z67"),Настройки!$B$9)),",","."),".",MID(1/2,2,1)),"")</f>
        <v/>
      </c>
      <c r="C67">
        <f>TRIM(INDEX(INDIRECT("'Выгрузка'!A67:Z67"),Настройки!$B$8)&amp;"")</f>
        <v/>
      </c>
      <c r="D67">
        <f>IFERROR(--SUBSTITUTE(SUBSTITUTE(TRIM(INDEX(INDIRECT("'Выгрузка'!A67:Z67"),Настройки!$B$10)),",","."),".",MID(1/2,2,1)),"")</f>
        <v/>
      </c>
      <c r="E67">
        <f>IFERROR(--SUBSTITUTE(SUBSTITUTE(TRIM(INDEX(INDIRECT("'Выгрузка'!A67:Z67"),Настройки!$B$11)),",","."),".",MID(1/2,2,1)),"")</f>
        <v/>
      </c>
      <c r="F67">
        <f>TRIM(INDEX(INDIRECT("'Выгрузка'!A67:Z67"),Настройки!$B$12)&amp;"")</f>
        <v/>
      </c>
      <c r="G67">
        <f>IF(F67="",0,IF(TRIM(INDEX(INDIRECT("'Выгрузка'!A67:Z67"),Настройки!$B$13)&amp;"")="",1,IFERROR(--SUBSTITUTE(SUBSTITUTE(TRIM(INDEX(INDIRECT("'Выгрузка'!A67:Z67"),Настройки!$B$13)),",","."),".",MID(1/2,2,1)),"")))</f>
        <v/>
      </c>
      <c r="H67">
        <f>IF(F67="",0,IF(COUNTIF(Настройки!$B$17:$B$26,F67)&gt;0,1,IF(COUNTIF(Настройки!$C$17:$C$26,F67)&gt;0,2,IF(COUNTIF(Настройки!$D$17:$D$26,F67)&gt;0,3,0))))</f>
        <v/>
      </c>
      <c r="I67">
        <f>IF(AND(ISNUMBER(A67),ISNUMBER(B67)),A67*1000+B67,"")</f>
        <v/>
      </c>
      <c r="J67">
        <f>IF(I67="","",IF(COUNTIF(I$2:I67,I67)=1,MAX(J$1:J66)+1,""))</f>
        <v/>
      </c>
    </row>
    <row r="68">
      <c r="A68">
        <f>IFERROR(--SUBSTITUTE(SUBSTITUTE(TRIM(INDEX(INDIRECT("'Выгрузка'!A68:Z68"),Настройки!$B$7)),",","."),".",MID(1/2,2,1)),"")</f>
        <v/>
      </c>
      <c r="B68">
        <f>IFERROR(--SUBSTITUTE(SUBSTITUTE(TRIM(INDEX(INDIRECT("'Выгрузка'!A68:Z68"),Настройки!$B$9)),",","."),".",MID(1/2,2,1)),"")</f>
        <v/>
      </c>
      <c r="C68">
        <f>TRIM(INDEX(INDIRECT("'Выгрузка'!A68:Z68"),Настройки!$B$8)&amp;"")</f>
        <v/>
      </c>
      <c r="D68">
        <f>IFERROR(--SUBSTITUTE(SUBSTITUTE(TRIM(INDEX(INDIRECT("'Выгрузка'!A68:Z68"),Настройки!$B$10)),",","."),".",MID(1/2,2,1)),"")</f>
        <v/>
      </c>
      <c r="E68">
        <f>IFERROR(--SUBSTITUTE(SUBSTITUTE(TRIM(INDEX(INDIRECT("'Выгрузка'!A68:Z68"),Настройки!$B$11)),",","."),".",MID(1/2,2,1)),"")</f>
        <v/>
      </c>
      <c r="F68">
        <f>TRIM(INDEX(INDIRECT("'Выгрузка'!A68:Z68"),Настройки!$B$12)&amp;"")</f>
        <v/>
      </c>
      <c r="G68">
        <f>IF(F68="",0,IF(TRIM(INDEX(INDIRECT("'Выгрузка'!A68:Z68"),Настройки!$B$13)&amp;"")="",1,IFERROR(--SUBSTITUTE(SUBSTITUTE(TRIM(INDEX(INDIRECT("'Выгрузка'!A68:Z68"),Настройки!$B$13)),",","."),".",MID(1/2,2,1)),"")))</f>
        <v/>
      </c>
      <c r="H68">
        <f>IF(F68="",0,IF(COUNTIF(Настройки!$B$17:$B$26,F68)&gt;0,1,IF(COUNTIF(Настройки!$C$17:$C$26,F68)&gt;0,2,IF(COUNTIF(Настройки!$D$17:$D$26,F68)&gt;0,3,0))))</f>
        <v/>
      </c>
      <c r="I68">
        <f>IF(AND(ISNUMBER(A68),ISNUMBER(B68)),A68*1000+B68,"")</f>
        <v/>
      </c>
      <c r="J68">
        <f>IF(I68="","",IF(COUNTIF(I$2:I68,I68)=1,MAX(J$1:J67)+1,""))</f>
        <v/>
      </c>
    </row>
    <row r="69">
      <c r="A69">
        <f>IFERROR(--SUBSTITUTE(SUBSTITUTE(TRIM(INDEX(INDIRECT("'Выгрузка'!A69:Z69"),Настройки!$B$7)),",","."),".",MID(1/2,2,1)),"")</f>
        <v/>
      </c>
      <c r="B69">
        <f>IFERROR(--SUBSTITUTE(SUBSTITUTE(TRIM(INDEX(INDIRECT("'Выгрузка'!A69:Z69"),Настройки!$B$9)),",","."),".",MID(1/2,2,1)),"")</f>
        <v/>
      </c>
      <c r="C69">
        <f>TRIM(INDEX(INDIRECT("'Выгрузка'!A69:Z69"),Настройки!$B$8)&amp;"")</f>
        <v/>
      </c>
      <c r="D69">
        <f>IFERROR(--SUBSTITUTE(SUBSTITUTE(TRIM(INDEX(INDIRECT("'Выгрузка'!A69:Z69"),Настройки!$B$10)),",","."),".",MID(1/2,2,1)),"")</f>
        <v/>
      </c>
      <c r="E69">
        <f>IFERROR(--SUBSTITUTE(SUBSTITUTE(TRIM(INDEX(INDIRECT("'Выгрузка'!A69:Z69"),Настройки!$B$11)),",","."),".",MID(1/2,2,1)),"")</f>
        <v/>
      </c>
      <c r="F69">
        <f>TRIM(INDEX(INDIRECT("'Выгрузка'!A69:Z69"),Настройки!$B$12)&amp;"")</f>
        <v/>
      </c>
      <c r="G69">
        <f>IF(F69="",0,IF(TRIM(INDEX(INDIRECT("'Выгрузка'!A69:Z69"),Настройки!$B$13)&amp;"")="",1,IFERROR(--SUBSTITUTE(SUBSTITUTE(TRIM(INDEX(INDIRECT("'Выгрузка'!A69:Z69"),Настройки!$B$13)),",","."),".",MID(1/2,2,1)),"")))</f>
        <v/>
      </c>
      <c r="H69">
        <f>IF(F69="",0,IF(COUNTIF(Настройки!$B$17:$B$26,F69)&gt;0,1,IF(COUNTIF(Настройки!$C$17:$C$26,F69)&gt;0,2,IF(COUNTIF(Настройки!$D$17:$D$26,F69)&gt;0,3,0))))</f>
        <v/>
      </c>
      <c r="I69">
        <f>IF(AND(ISNUMBER(A69),ISNUMBER(B69)),A69*1000+B69,"")</f>
        <v/>
      </c>
      <c r="J69">
        <f>IF(I69="","",IF(COUNTIF(I$2:I69,I69)=1,MAX(J$1:J68)+1,""))</f>
        <v/>
      </c>
    </row>
    <row r="70">
      <c r="A70">
        <f>IFERROR(--SUBSTITUTE(SUBSTITUTE(TRIM(INDEX(INDIRECT("'Выгрузка'!A70:Z70"),Настройки!$B$7)),",","."),".",MID(1/2,2,1)),"")</f>
        <v/>
      </c>
      <c r="B70">
        <f>IFERROR(--SUBSTITUTE(SUBSTITUTE(TRIM(INDEX(INDIRECT("'Выгрузка'!A70:Z70"),Настройки!$B$9)),",","."),".",MID(1/2,2,1)),"")</f>
        <v/>
      </c>
      <c r="C70">
        <f>TRIM(INDEX(INDIRECT("'Выгрузка'!A70:Z70"),Настройки!$B$8)&amp;"")</f>
        <v/>
      </c>
      <c r="D70">
        <f>IFERROR(--SUBSTITUTE(SUBSTITUTE(TRIM(INDEX(INDIRECT("'Выгрузка'!A70:Z70"),Настройки!$B$10)),",","."),".",MID(1/2,2,1)),"")</f>
        <v/>
      </c>
      <c r="E70">
        <f>IFERROR(--SUBSTITUTE(SUBSTITUTE(TRIM(INDEX(INDIRECT("'Выгрузка'!A70:Z70"),Настройки!$B$11)),",","."),".",MID(1/2,2,1)),"")</f>
        <v/>
      </c>
      <c r="F70">
        <f>TRIM(INDEX(INDIRECT("'Выгрузка'!A70:Z70"),Настройки!$B$12)&amp;"")</f>
        <v/>
      </c>
      <c r="G70">
        <f>IF(F70="",0,IF(TRIM(INDEX(INDIRECT("'Выгрузка'!A70:Z70"),Настройки!$B$13)&amp;"")="",1,IFERROR(--SUBSTITUTE(SUBSTITUTE(TRIM(INDEX(INDIRECT("'Выгрузка'!A70:Z70"),Настройки!$B$13)),",","."),".",MID(1/2,2,1)),"")))</f>
        <v/>
      </c>
      <c r="H70">
        <f>IF(F70="",0,IF(COUNTIF(Настройки!$B$17:$B$26,F70)&gt;0,1,IF(COUNTIF(Настройки!$C$17:$C$26,F70)&gt;0,2,IF(COUNTIF(Настройки!$D$17:$D$26,F70)&gt;0,3,0))))</f>
        <v/>
      </c>
      <c r="I70">
        <f>IF(AND(ISNUMBER(A70),ISNUMBER(B70)),A70*1000+B70,"")</f>
        <v/>
      </c>
      <c r="J70">
        <f>IF(I70="","",IF(COUNTIF(I$2:I70,I70)=1,MAX(J$1:J69)+1,""))</f>
        <v/>
      </c>
    </row>
    <row r="71">
      <c r="A71">
        <f>IFERROR(--SUBSTITUTE(SUBSTITUTE(TRIM(INDEX(INDIRECT("'Выгрузка'!A71:Z71"),Настройки!$B$7)),",","."),".",MID(1/2,2,1)),"")</f>
        <v/>
      </c>
      <c r="B71">
        <f>IFERROR(--SUBSTITUTE(SUBSTITUTE(TRIM(INDEX(INDIRECT("'Выгрузка'!A71:Z71"),Настройки!$B$9)),",","."),".",MID(1/2,2,1)),"")</f>
        <v/>
      </c>
      <c r="C71">
        <f>TRIM(INDEX(INDIRECT("'Выгрузка'!A71:Z71"),Настройки!$B$8)&amp;"")</f>
        <v/>
      </c>
      <c r="D71">
        <f>IFERROR(--SUBSTITUTE(SUBSTITUTE(TRIM(INDEX(INDIRECT("'Выгрузка'!A71:Z71"),Настройки!$B$10)),",","."),".",MID(1/2,2,1)),"")</f>
        <v/>
      </c>
      <c r="E71">
        <f>IFERROR(--SUBSTITUTE(SUBSTITUTE(TRIM(INDEX(INDIRECT("'Выгрузка'!A71:Z71"),Настройки!$B$11)),",","."),".",MID(1/2,2,1)),"")</f>
        <v/>
      </c>
      <c r="F71">
        <f>TRIM(INDEX(INDIRECT("'Выгрузка'!A71:Z71"),Настройки!$B$12)&amp;"")</f>
        <v/>
      </c>
      <c r="G71">
        <f>IF(F71="",0,IF(TRIM(INDEX(INDIRECT("'Выгрузка'!A71:Z71"),Настройки!$B$13)&amp;"")="",1,IFERROR(--SUBSTITUTE(SUBSTITUTE(TRIM(INDEX(INDIRECT("'Выгрузка'!A71:Z71"),Настройки!$B$13)),",","."),".",MID(1/2,2,1)),"")))</f>
        <v/>
      </c>
      <c r="H71">
        <f>IF(F71="",0,IF(COUNTIF(Настройки!$B$17:$B$26,F71)&gt;0,1,IF(COUNTIF(Настройки!$C$17:$C$26,F71)&gt;0,2,IF(COUNTIF(Настройки!$D$17:$D$26,F71)&gt;0,3,0))))</f>
        <v/>
      </c>
      <c r="I71">
        <f>IF(AND(ISNUMBER(A71),ISNUMBER(B71)),A71*1000+B71,"")</f>
        <v/>
      </c>
      <c r="J71">
        <f>IF(I71="","",IF(COUNTIF(I$2:I71,I71)=1,MAX(J$1:J70)+1,""))</f>
        <v/>
      </c>
    </row>
    <row r="72">
      <c r="A72">
        <f>IFERROR(--SUBSTITUTE(SUBSTITUTE(TRIM(INDEX(INDIRECT("'Выгрузка'!A72:Z72"),Настройки!$B$7)),",","."),".",MID(1/2,2,1)),"")</f>
        <v/>
      </c>
      <c r="B72">
        <f>IFERROR(--SUBSTITUTE(SUBSTITUTE(TRIM(INDEX(INDIRECT("'Выгрузка'!A72:Z72"),Настройки!$B$9)),",","."),".",MID(1/2,2,1)),"")</f>
        <v/>
      </c>
      <c r="C72">
        <f>TRIM(INDEX(INDIRECT("'Выгрузка'!A72:Z72"),Настройки!$B$8)&amp;"")</f>
        <v/>
      </c>
      <c r="D72">
        <f>IFERROR(--SUBSTITUTE(SUBSTITUTE(TRIM(INDEX(INDIRECT("'Выгрузка'!A72:Z72"),Настройки!$B$10)),",","."),".",MID(1/2,2,1)),"")</f>
        <v/>
      </c>
      <c r="E72">
        <f>IFERROR(--SUBSTITUTE(SUBSTITUTE(TRIM(INDEX(INDIRECT("'Выгрузка'!A72:Z72"),Настройки!$B$11)),",","."),".",MID(1/2,2,1)),"")</f>
        <v/>
      </c>
      <c r="F72">
        <f>TRIM(INDEX(INDIRECT("'Выгрузка'!A72:Z72"),Настройки!$B$12)&amp;"")</f>
        <v/>
      </c>
      <c r="G72">
        <f>IF(F72="",0,IF(TRIM(INDEX(INDIRECT("'Выгрузка'!A72:Z72"),Настройки!$B$13)&amp;"")="",1,IFERROR(--SUBSTITUTE(SUBSTITUTE(TRIM(INDEX(INDIRECT("'Выгрузка'!A72:Z72"),Настройки!$B$13)),",","."),".",MID(1/2,2,1)),"")))</f>
        <v/>
      </c>
      <c r="H72">
        <f>IF(F72="",0,IF(COUNTIF(Настройки!$B$17:$B$26,F72)&gt;0,1,IF(COUNTIF(Настройки!$C$17:$C$26,F72)&gt;0,2,IF(COUNTIF(Настройки!$D$17:$D$26,F72)&gt;0,3,0))))</f>
        <v/>
      </c>
      <c r="I72">
        <f>IF(AND(ISNUMBER(A72),ISNUMBER(B72)),A72*1000+B72,"")</f>
        <v/>
      </c>
      <c r="J72">
        <f>IF(I72="","",IF(COUNTIF(I$2:I72,I72)=1,MAX(J$1:J71)+1,""))</f>
        <v/>
      </c>
    </row>
    <row r="73">
      <c r="A73">
        <f>IFERROR(--SUBSTITUTE(SUBSTITUTE(TRIM(INDEX(INDIRECT("'Выгрузка'!A73:Z73"),Настройки!$B$7)),",","."),".",MID(1/2,2,1)),"")</f>
        <v/>
      </c>
      <c r="B73">
        <f>IFERROR(--SUBSTITUTE(SUBSTITUTE(TRIM(INDEX(INDIRECT("'Выгрузка'!A73:Z73"),Настройки!$B$9)),",","."),".",MID(1/2,2,1)),"")</f>
        <v/>
      </c>
      <c r="C73">
        <f>TRIM(INDEX(INDIRECT("'Выгрузка'!A73:Z73"),Настройки!$B$8)&amp;"")</f>
        <v/>
      </c>
      <c r="D73">
        <f>IFERROR(--SUBSTITUTE(SUBSTITUTE(TRIM(INDEX(INDIRECT("'Выгрузка'!A73:Z73"),Настройки!$B$10)),",","."),".",MID(1/2,2,1)),"")</f>
        <v/>
      </c>
      <c r="E73">
        <f>IFERROR(--SUBSTITUTE(SUBSTITUTE(TRIM(INDEX(INDIRECT("'Выгрузка'!A73:Z73"),Настройки!$B$11)),",","."),".",MID(1/2,2,1)),"")</f>
        <v/>
      </c>
      <c r="F73">
        <f>TRIM(INDEX(INDIRECT("'Выгрузка'!A73:Z73"),Настройки!$B$12)&amp;"")</f>
        <v/>
      </c>
      <c r="G73">
        <f>IF(F73="",0,IF(TRIM(INDEX(INDIRECT("'Выгрузка'!A73:Z73"),Настройки!$B$13)&amp;"")="",1,IFERROR(--SUBSTITUTE(SUBSTITUTE(TRIM(INDEX(INDIRECT("'Выгрузка'!A73:Z73"),Настройки!$B$13)),",","."),".",MID(1/2,2,1)),"")))</f>
        <v/>
      </c>
      <c r="H73">
        <f>IF(F73="",0,IF(COUNTIF(Настройки!$B$17:$B$26,F73)&gt;0,1,IF(COUNTIF(Настройки!$C$17:$C$26,F73)&gt;0,2,IF(COUNTIF(Настройки!$D$17:$D$26,F73)&gt;0,3,0))))</f>
        <v/>
      </c>
      <c r="I73">
        <f>IF(AND(ISNUMBER(A73),ISNUMBER(B73)),A73*1000+B73,"")</f>
        <v/>
      </c>
      <c r="J73">
        <f>IF(I73="","",IF(COUNTIF(I$2:I73,I73)=1,MAX(J$1:J72)+1,""))</f>
        <v/>
      </c>
    </row>
    <row r="74">
      <c r="A74">
        <f>IFERROR(--SUBSTITUTE(SUBSTITUTE(TRIM(INDEX(INDIRECT("'Выгрузка'!A74:Z74"),Настройки!$B$7)),",","."),".",MID(1/2,2,1)),"")</f>
        <v/>
      </c>
      <c r="B74">
        <f>IFERROR(--SUBSTITUTE(SUBSTITUTE(TRIM(INDEX(INDIRECT("'Выгрузка'!A74:Z74"),Настройки!$B$9)),",","."),".",MID(1/2,2,1)),"")</f>
        <v/>
      </c>
      <c r="C74">
        <f>TRIM(INDEX(INDIRECT("'Выгрузка'!A74:Z74"),Настройки!$B$8)&amp;"")</f>
        <v/>
      </c>
      <c r="D74">
        <f>IFERROR(--SUBSTITUTE(SUBSTITUTE(TRIM(INDEX(INDIRECT("'Выгрузка'!A74:Z74"),Настройки!$B$10)),",","."),".",MID(1/2,2,1)),"")</f>
        <v/>
      </c>
      <c r="E74">
        <f>IFERROR(--SUBSTITUTE(SUBSTITUTE(TRIM(INDEX(INDIRECT("'Выгрузка'!A74:Z74"),Настройки!$B$11)),",","."),".",MID(1/2,2,1)),"")</f>
        <v/>
      </c>
      <c r="F74">
        <f>TRIM(INDEX(INDIRECT("'Выгрузка'!A74:Z74"),Настройки!$B$12)&amp;"")</f>
        <v/>
      </c>
      <c r="G74">
        <f>IF(F74="",0,IF(TRIM(INDEX(INDIRECT("'Выгрузка'!A74:Z74"),Настройки!$B$13)&amp;"")="",1,IFERROR(--SUBSTITUTE(SUBSTITUTE(TRIM(INDEX(INDIRECT("'Выгрузка'!A74:Z74"),Настройки!$B$13)),",","."),".",MID(1/2,2,1)),"")))</f>
        <v/>
      </c>
      <c r="H74">
        <f>IF(F74="",0,IF(COUNTIF(Настройки!$B$17:$B$26,F74)&gt;0,1,IF(COUNTIF(Настройки!$C$17:$C$26,F74)&gt;0,2,IF(COUNTIF(Настройки!$D$17:$D$26,F74)&gt;0,3,0))))</f>
        <v/>
      </c>
      <c r="I74">
        <f>IF(AND(ISNUMBER(A74),ISNUMBER(B74)),A74*1000+B74,"")</f>
        <v/>
      </c>
      <c r="J74">
        <f>IF(I74="","",IF(COUNTIF(I$2:I74,I74)=1,MAX(J$1:J73)+1,""))</f>
        <v/>
      </c>
    </row>
    <row r="75">
      <c r="A75">
        <f>IFERROR(--SUBSTITUTE(SUBSTITUTE(TRIM(INDEX(INDIRECT("'Выгрузка'!A75:Z75"),Настройки!$B$7)),",","."),".",MID(1/2,2,1)),"")</f>
        <v/>
      </c>
      <c r="B75">
        <f>IFERROR(--SUBSTITUTE(SUBSTITUTE(TRIM(INDEX(INDIRECT("'Выгрузка'!A75:Z75"),Настройки!$B$9)),",","."),".",MID(1/2,2,1)),"")</f>
        <v/>
      </c>
      <c r="C75">
        <f>TRIM(INDEX(INDIRECT("'Выгрузка'!A75:Z75"),Настройки!$B$8)&amp;"")</f>
        <v/>
      </c>
      <c r="D75">
        <f>IFERROR(--SUBSTITUTE(SUBSTITUTE(TRIM(INDEX(INDIRECT("'Выгрузка'!A75:Z75"),Настройки!$B$10)),",","."),".",MID(1/2,2,1)),"")</f>
        <v/>
      </c>
      <c r="E75">
        <f>IFERROR(--SUBSTITUTE(SUBSTITUTE(TRIM(INDEX(INDIRECT("'Выгрузка'!A75:Z75"),Настройки!$B$11)),",","."),".",MID(1/2,2,1)),"")</f>
        <v/>
      </c>
      <c r="F75">
        <f>TRIM(INDEX(INDIRECT("'Выгрузка'!A75:Z75"),Настройки!$B$12)&amp;"")</f>
        <v/>
      </c>
      <c r="G75">
        <f>IF(F75="",0,IF(TRIM(INDEX(INDIRECT("'Выгрузка'!A75:Z75"),Настройки!$B$13)&amp;"")="",1,IFERROR(--SUBSTITUTE(SUBSTITUTE(TRIM(INDEX(INDIRECT("'Выгрузка'!A75:Z75"),Настройки!$B$13)),",","."),".",MID(1/2,2,1)),"")))</f>
        <v/>
      </c>
      <c r="H75">
        <f>IF(F75="",0,IF(COUNTIF(Настройки!$B$17:$B$26,F75)&gt;0,1,IF(COUNTIF(Настройки!$C$17:$C$26,F75)&gt;0,2,IF(COUNTIF(Настройки!$D$17:$D$26,F75)&gt;0,3,0))))</f>
        <v/>
      </c>
      <c r="I75">
        <f>IF(AND(ISNUMBER(A75),ISNUMBER(B75)),A75*1000+B75,"")</f>
        <v/>
      </c>
      <c r="J75">
        <f>IF(I75="","",IF(COUNTIF(I$2:I75,I75)=1,MAX(J$1:J74)+1,""))</f>
        <v/>
      </c>
    </row>
    <row r="76">
      <c r="A76">
        <f>IFERROR(--SUBSTITUTE(SUBSTITUTE(TRIM(INDEX(INDIRECT("'Выгрузка'!A76:Z76"),Настройки!$B$7)),",","."),".",MID(1/2,2,1)),"")</f>
        <v/>
      </c>
      <c r="B76">
        <f>IFERROR(--SUBSTITUTE(SUBSTITUTE(TRIM(INDEX(INDIRECT("'Выгрузка'!A76:Z76"),Настройки!$B$9)),",","."),".",MID(1/2,2,1)),"")</f>
        <v/>
      </c>
      <c r="C76">
        <f>TRIM(INDEX(INDIRECT("'Выгрузка'!A76:Z76"),Настройки!$B$8)&amp;"")</f>
        <v/>
      </c>
      <c r="D76">
        <f>IFERROR(--SUBSTITUTE(SUBSTITUTE(TRIM(INDEX(INDIRECT("'Выгрузка'!A76:Z76"),Настройки!$B$10)),",","."),".",MID(1/2,2,1)),"")</f>
        <v/>
      </c>
      <c r="E76">
        <f>IFERROR(--SUBSTITUTE(SUBSTITUTE(TRIM(INDEX(INDIRECT("'Выгрузка'!A76:Z76"),Настройки!$B$11)),",","."),".",MID(1/2,2,1)),"")</f>
        <v/>
      </c>
      <c r="F76">
        <f>TRIM(INDEX(INDIRECT("'Выгрузка'!A76:Z76"),Настройки!$B$12)&amp;"")</f>
        <v/>
      </c>
      <c r="G76">
        <f>IF(F76="",0,IF(TRIM(INDEX(INDIRECT("'Выгрузка'!A76:Z76"),Настройки!$B$13)&amp;"")="",1,IFERROR(--SUBSTITUTE(SUBSTITUTE(TRIM(INDEX(INDIRECT("'Выгрузка'!A76:Z76"),Настройки!$B$13)),",","."),".",MID(1/2,2,1)),"")))</f>
        <v/>
      </c>
      <c r="H76">
        <f>IF(F76="",0,IF(COUNTIF(Настройки!$B$17:$B$26,F76)&gt;0,1,IF(COUNTIF(Настройки!$C$17:$C$26,F76)&gt;0,2,IF(COUNTIF(Настройки!$D$17:$D$26,F76)&gt;0,3,0))))</f>
        <v/>
      </c>
      <c r="I76">
        <f>IF(AND(ISNUMBER(A76),ISNUMBER(B76)),A76*1000+B76,"")</f>
        <v/>
      </c>
      <c r="J76">
        <f>IF(I76="","",IF(COUNTIF(I$2:I76,I76)=1,MAX(J$1:J75)+1,""))</f>
        <v/>
      </c>
    </row>
    <row r="77">
      <c r="A77">
        <f>IFERROR(--SUBSTITUTE(SUBSTITUTE(TRIM(INDEX(INDIRECT("'Выгрузка'!A77:Z77"),Настройки!$B$7)),",","."),".",MID(1/2,2,1)),"")</f>
        <v/>
      </c>
      <c r="B77">
        <f>IFERROR(--SUBSTITUTE(SUBSTITUTE(TRIM(INDEX(INDIRECT("'Выгрузка'!A77:Z77"),Настройки!$B$9)),",","."),".",MID(1/2,2,1)),"")</f>
        <v/>
      </c>
      <c r="C77">
        <f>TRIM(INDEX(INDIRECT("'Выгрузка'!A77:Z77"),Настройки!$B$8)&amp;"")</f>
        <v/>
      </c>
      <c r="D77">
        <f>IFERROR(--SUBSTITUTE(SUBSTITUTE(TRIM(INDEX(INDIRECT("'Выгрузка'!A77:Z77"),Настройки!$B$10)),",","."),".",MID(1/2,2,1)),"")</f>
        <v/>
      </c>
      <c r="E77">
        <f>IFERROR(--SUBSTITUTE(SUBSTITUTE(TRIM(INDEX(INDIRECT("'Выгрузка'!A77:Z77"),Настройки!$B$11)),",","."),".",MID(1/2,2,1)),"")</f>
        <v/>
      </c>
      <c r="F77">
        <f>TRIM(INDEX(INDIRECT("'Выгрузка'!A77:Z77"),Настройки!$B$12)&amp;"")</f>
        <v/>
      </c>
      <c r="G77">
        <f>IF(F77="",0,IF(TRIM(INDEX(INDIRECT("'Выгрузка'!A77:Z77"),Настройки!$B$13)&amp;"")="",1,IFERROR(--SUBSTITUTE(SUBSTITUTE(TRIM(INDEX(INDIRECT("'Выгрузка'!A77:Z77"),Настройки!$B$13)),",","."),".",MID(1/2,2,1)),"")))</f>
        <v/>
      </c>
      <c r="H77">
        <f>IF(F77="",0,IF(COUNTIF(Настройки!$B$17:$B$26,F77)&gt;0,1,IF(COUNTIF(Настройки!$C$17:$C$26,F77)&gt;0,2,IF(COUNTIF(Настройки!$D$17:$D$26,F77)&gt;0,3,0))))</f>
        <v/>
      </c>
      <c r="I77">
        <f>IF(AND(ISNUMBER(A77),ISNUMBER(B77)),A77*1000+B77,"")</f>
        <v/>
      </c>
      <c r="J77">
        <f>IF(I77="","",IF(COUNTIF(I$2:I77,I77)=1,MAX(J$1:J76)+1,""))</f>
        <v/>
      </c>
    </row>
    <row r="78">
      <c r="A78">
        <f>IFERROR(--SUBSTITUTE(SUBSTITUTE(TRIM(INDEX(INDIRECT("'Выгрузка'!A78:Z78"),Настройки!$B$7)),",","."),".",MID(1/2,2,1)),"")</f>
        <v/>
      </c>
      <c r="B78">
        <f>IFERROR(--SUBSTITUTE(SUBSTITUTE(TRIM(INDEX(INDIRECT("'Выгрузка'!A78:Z78"),Настройки!$B$9)),",","."),".",MID(1/2,2,1)),"")</f>
        <v/>
      </c>
      <c r="C78">
        <f>TRIM(INDEX(INDIRECT("'Выгрузка'!A78:Z78"),Настройки!$B$8)&amp;"")</f>
        <v/>
      </c>
      <c r="D78">
        <f>IFERROR(--SUBSTITUTE(SUBSTITUTE(TRIM(INDEX(INDIRECT("'Выгрузка'!A78:Z78"),Настройки!$B$10)),",","."),".",MID(1/2,2,1)),"")</f>
        <v/>
      </c>
      <c r="E78">
        <f>IFERROR(--SUBSTITUTE(SUBSTITUTE(TRIM(INDEX(INDIRECT("'Выгрузка'!A78:Z78"),Настройки!$B$11)),",","."),".",MID(1/2,2,1)),"")</f>
        <v/>
      </c>
      <c r="F78">
        <f>TRIM(INDEX(INDIRECT("'Выгрузка'!A78:Z78"),Настройки!$B$12)&amp;"")</f>
        <v/>
      </c>
      <c r="G78">
        <f>IF(F78="",0,IF(TRIM(INDEX(INDIRECT("'Выгрузка'!A78:Z78"),Настройки!$B$13)&amp;"")="",1,IFERROR(--SUBSTITUTE(SUBSTITUTE(TRIM(INDEX(INDIRECT("'Выгрузка'!A78:Z78"),Настройки!$B$13)),",","."),".",MID(1/2,2,1)),"")))</f>
        <v/>
      </c>
      <c r="H78">
        <f>IF(F78="",0,IF(COUNTIF(Настройки!$B$17:$B$26,F78)&gt;0,1,IF(COUNTIF(Настройки!$C$17:$C$26,F78)&gt;0,2,IF(COUNTIF(Настройки!$D$17:$D$26,F78)&gt;0,3,0))))</f>
        <v/>
      </c>
      <c r="I78">
        <f>IF(AND(ISNUMBER(A78),ISNUMBER(B78)),A78*1000+B78,"")</f>
        <v/>
      </c>
      <c r="J78">
        <f>IF(I78="","",IF(COUNTIF(I$2:I78,I78)=1,MAX(J$1:J77)+1,""))</f>
        <v/>
      </c>
    </row>
    <row r="79">
      <c r="A79">
        <f>IFERROR(--SUBSTITUTE(SUBSTITUTE(TRIM(INDEX(INDIRECT("'Выгрузка'!A79:Z79"),Настройки!$B$7)),",","."),".",MID(1/2,2,1)),"")</f>
        <v/>
      </c>
      <c r="B79">
        <f>IFERROR(--SUBSTITUTE(SUBSTITUTE(TRIM(INDEX(INDIRECT("'Выгрузка'!A79:Z79"),Настройки!$B$9)),",","."),".",MID(1/2,2,1)),"")</f>
        <v/>
      </c>
      <c r="C79">
        <f>TRIM(INDEX(INDIRECT("'Выгрузка'!A79:Z79"),Настройки!$B$8)&amp;"")</f>
        <v/>
      </c>
      <c r="D79">
        <f>IFERROR(--SUBSTITUTE(SUBSTITUTE(TRIM(INDEX(INDIRECT("'Выгрузка'!A79:Z79"),Настройки!$B$10)),",","."),".",MID(1/2,2,1)),"")</f>
        <v/>
      </c>
      <c r="E79">
        <f>IFERROR(--SUBSTITUTE(SUBSTITUTE(TRIM(INDEX(INDIRECT("'Выгрузка'!A79:Z79"),Настройки!$B$11)),",","."),".",MID(1/2,2,1)),"")</f>
        <v/>
      </c>
      <c r="F79">
        <f>TRIM(INDEX(INDIRECT("'Выгрузка'!A79:Z79"),Настройки!$B$12)&amp;"")</f>
        <v/>
      </c>
      <c r="G79">
        <f>IF(F79="",0,IF(TRIM(INDEX(INDIRECT("'Выгрузка'!A79:Z79"),Настройки!$B$13)&amp;"")="",1,IFERROR(--SUBSTITUTE(SUBSTITUTE(TRIM(INDEX(INDIRECT("'Выгрузка'!A79:Z79"),Настройки!$B$13)),",","."),".",MID(1/2,2,1)),"")))</f>
        <v/>
      </c>
      <c r="H79">
        <f>IF(F79="",0,IF(COUNTIF(Настройки!$B$17:$B$26,F79)&gt;0,1,IF(COUNTIF(Настройки!$C$17:$C$26,F79)&gt;0,2,IF(COUNTIF(Настройки!$D$17:$D$26,F79)&gt;0,3,0))))</f>
        <v/>
      </c>
      <c r="I79">
        <f>IF(AND(ISNUMBER(A79),ISNUMBER(B79)),A79*1000+B79,"")</f>
        <v/>
      </c>
      <c r="J79">
        <f>IF(I79="","",IF(COUNTIF(I$2:I79,I79)=1,MAX(J$1:J78)+1,""))</f>
        <v/>
      </c>
    </row>
    <row r="80">
      <c r="A80">
        <f>IFERROR(--SUBSTITUTE(SUBSTITUTE(TRIM(INDEX(INDIRECT("'Выгрузка'!A80:Z80"),Настройки!$B$7)),",","."),".",MID(1/2,2,1)),"")</f>
        <v/>
      </c>
      <c r="B80">
        <f>IFERROR(--SUBSTITUTE(SUBSTITUTE(TRIM(INDEX(INDIRECT("'Выгрузка'!A80:Z80"),Настройки!$B$9)),",","."),".",MID(1/2,2,1)),"")</f>
        <v/>
      </c>
      <c r="C80">
        <f>TRIM(INDEX(INDIRECT("'Выгрузка'!A80:Z80"),Настройки!$B$8)&amp;"")</f>
        <v/>
      </c>
      <c r="D80">
        <f>IFERROR(--SUBSTITUTE(SUBSTITUTE(TRIM(INDEX(INDIRECT("'Выгрузка'!A80:Z80"),Настройки!$B$10)),",","."),".",MID(1/2,2,1)),"")</f>
        <v/>
      </c>
      <c r="E80">
        <f>IFERROR(--SUBSTITUTE(SUBSTITUTE(TRIM(INDEX(INDIRECT("'Выгрузка'!A80:Z80"),Настройки!$B$11)),",","."),".",MID(1/2,2,1)),"")</f>
        <v/>
      </c>
      <c r="F80">
        <f>TRIM(INDEX(INDIRECT("'Выгрузка'!A80:Z80"),Настройки!$B$12)&amp;"")</f>
        <v/>
      </c>
      <c r="G80">
        <f>IF(F80="",0,IF(TRIM(INDEX(INDIRECT("'Выгрузка'!A80:Z80"),Настройки!$B$13)&amp;"")="",1,IFERROR(--SUBSTITUTE(SUBSTITUTE(TRIM(INDEX(INDIRECT("'Выгрузка'!A80:Z80"),Настройки!$B$13)),",","."),".",MID(1/2,2,1)),"")))</f>
        <v/>
      </c>
      <c r="H80">
        <f>IF(F80="",0,IF(COUNTIF(Настройки!$B$17:$B$26,F80)&gt;0,1,IF(COUNTIF(Настройки!$C$17:$C$26,F80)&gt;0,2,IF(COUNTIF(Настройки!$D$17:$D$26,F80)&gt;0,3,0))))</f>
        <v/>
      </c>
      <c r="I80">
        <f>IF(AND(ISNUMBER(A80),ISNUMBER(B80)),A80*1000+B80,"")</f>
        <v/>
      </c>
      <c r="J80">
        <f>IF(I80="","",IF(COUNTIF(I$2:I80,I80)=1,MAX(J$1:J79)+1,""))</f>
        <v/>
      </c>
    </row>
    <row r="81">
      <c r="A81">
        <f>IFERROR(--SUBSTITUTE(SUBSTITUTE(TRIM(INDEX(INDIRECT("'Выгрузка'!A81:Z81"),Настройки!$B$7)),",","."),".",MID(1/2,2,1)),"")</f>
        <v/>
      </c>
      <c r="B81">
        <f>IFERROR(--SUBSTITUTE(SUBSTITUTE(TRIM(INDEX(INDIRECT("'Выгрузка'!A81:Z81"),Настройки!$B$9)),",","."),".",MID(1/2,2,1)),"")</f>
        <v/>
      </c>
      <c r="C81">
        <f>TRIM(INDEX(INDIRECT("'Выгрузка'!A81:Z81"),Настройки!$B$8)&amp;"")</f>
        <v/>
      </c>
      <c r="D81">
        <f>IFERROR(--SUBSTITUTE(SUBSTITUTE(TRIM(INDEX(INDIRECT("'Выгрузка'!A81:Z81"),Настройки!$B$10)),",","."),".",MID(1/2,2,1)),"")</f>
        <v/>
      </c>
      <c r="E81">
        <f>IFERROR(--SUBSTITUTE(SUBSTITUTE(TRIM(INDEX(INDIRECT("'Выгрузка'!A81:Z81"),Настройки!$B$11)),",","."),".",MID(1/2,2,1)),"")</f>
        <v/>
      </c>
      <c r="F81">
        <f>TRIM(INDEX(INDIRECT("'Выгрузка'!A81:Z81"),Настройки!$B$12)&amp;"")</f>
        <v/>
      </c>
      <c r="G81">
        <f>IF(F81="",0,IF(TRIM(INDEX(INDIRECT("'Выгрузка'!A81:Z81"),Настройки!$B$13)&amp;"")="",1,IFERROR(--SUBSTITUTE(SUBSTITUTE(TRIM(INDEX(INDIRECT("'Выгрузка'!A81:Z81"),Настройки!$B$13)),",","."),".",MID(1/2,2,1)),"")))</f>
        <v/>
      </c>
      <c r="H81">
        <f>IF(F81="",0,IF(COUNTIF(Настройки!$B$17:$B$26,F81)&gt;0,1,IF(COUNTIF(Настройки!$C$17:$C$26,F81)&gt;0,2,IF(COUNTIF(Настройки!$D$17:$D$26,F81)&gt;0,3,0))))</f>
        <v/>
      </c>
      <c r="I81">
        <f>IF(AND(ISNUMBER(A81),ISNUMBER(B81)),A81*1000+B81,"")</f>
        <v/>
      </c>
      <c r="J81">
        <f>IF(I81="","",IF(COUNTIF(I$2:I81,I81)=1,MAX(J$1:J80)+1,""))</f>
        <v/>
      </c>
    </row>
    <row r="82">
      <c r="A82">
        <f>IFERROR(--SUBSTITUTE(SUBSTITUTE(TRIM(INDEX(INDIRECT("'Выгрузка'!A82:Z82"),Настройки!$B$7)),",","."),".",MID(1/2,2,1)),"")</f>
        <v/>
      </c>
      <c r="B82">
        <f>IFERROR(--SUBSTITUTE(SUBSTITUTE(TRIM(INDEX(INDIRECT("'Выгрузка'!A82:Z82"),Настройки!$B$9)),",","."),".",MID(1/2,2,1)),"")</f>
        <v/>
      </c>
      <c r="C82">
        <f>TRIM(INDEX(INDIRECT("'Выгрузка'!A82:Z82"),Настройки!$B$8)&amp;"")</f>
        <v/>
      </c>
      <c r="D82">
        <f>IFERROR(--SUBSTITUTE(SUBSTITUTE(TRIM(INDEX(INDIRECT("'Выгрузка'!A82:Z82"),Настройки!$B$10)),",","."),".",MID(1/2,2,1)),"")</f>
        <v/>
      </c>
      <c r="E82">
        <f>IFERROR(--SUBSTITUTE(SUBSTITUTE(TRIM(INDEX(INDIRECT("'Выгрузка'!A82:Z82"),Настройки!$B$11)),",","."),".",MID(1/2,2,1)),"")</f>
        <v/>
      </c>
      <c r="F82">
        <f>TRIM(INDEX(INDIRECT("'Выгрузка'!A82:Z82"),Настройки!$B$12)&amp;"")</f>
        <v/>
      </c>
      <c r="G82">
        <f>IF(F82="",0,IF(TRIM(INDEX(INDIRECT("'Выгрузка'!A82:Z82"),Настройки!$B$13)&amp;"")="",1,IFERROR(--SUBSTITUTE(SUBSTITUTE(TRIM(INDEX(INDIRECT("'Выгрузка'!A82:Z82"),Настройки!$B$13)),",","."),".",MID(1/2,2,1)),"")))</f>
        <v/>
      </c>
      <c r="H82">
        <f>IF(F82="",0,IF(COUNTIF(Настройки!$B$17:$B$26,F82)&gt;0,1,IF(COUNTIF(Настройки!$C$17:$C$26,F82)&gt;0,2,IF(COUNTIF(Настройки!$D$17:$D$26,F82)&gt;0,3,0))))</f>
        <v/>
      </c>
      <c r="I82">
        <f>IF(AND(ISNUMBER(A82),ISNUMBER(B82)),A82*1000+B82,"")</f>
        <v/>
      </c>
      <c r="J82">
        <f>IF(I82="","",IF(COUNTIF(I$2:I82,I82)=1,MAX(J$1:J81)+1,""))</f>
        <v/>
      </c>
    </row>
    <row r="83">
      <c r="A83">
        <f>IFERROR(--SUBSTITUTE(SUBSTITUTE(TRIM(INDEX(INDIRECT("'Выгрузка'!A83:Z83"),Настройки!$B$7)),",","."),".",MID(1/2,2,1)),"")</f>
        <v/>
      </c>
      <c r="B83">
        <f>IFERROR(--SUBSTITUTE(SUBSTITUTE(TRIM(INDEX(INDIRECT("'Выгрузка'!A83:Z83"),Настройки!$B$9)),",","."),".",MID(1/2,2,1)),"")</f>
        <v/>
      </c>
      <c r="C83">
        <f>TRIM(INDEX(INDIRECT("'Выгрузка'!A83:Z83"),Настройки!$B$8)&amp;"")</f>
        <v/>
      </c>
      <c r="D83">
        <f>IFERROR(--SUBSTITUTE(SUBSTITUTE(TRIM(INDEX(INDIRECT("'Выгрузка'!A83:Z83"),Настройки!$B$10)),",","."),".",MID(1/2,2,1)),"")</f>
        <v/>
      </c>
      <c r="E83">
        <f>IFERROR(--SUBSTITUTE(SUBSTITUTE(TRIM(INDEX(INDIRECT("'Выгрузка'!A83:Z83"),Настройки!$B$11)),",","."),".",MID(1/2,2,1)),"")</f>
        <v/>
      </c>
      <c r="F83">
        <f>TRIM(INDEX(INDIRECT("'Выгрузка'!A83:Z83"),Настройки!$B$12)&amp;"")</f>
        <v/>
      </c>
      <c r="G83">
        <f>IF(F83="",0,IF(TRIM(INDEX(INDIRECT("'Выгрузка'!A83:Z83"),Настройки!$B$13)&amp;"")="",1,IFERROR(--SUBSTITUTE(SUBSTITUTE(TRIM(INDEX(INDIRECT("'Выгрузка'!A83:Z83"),Настройки!$B$13)),",","."),".",MID(1/2,2,1)),"")))</f>
        <v/>
      </c>
      <c r="H83">
        <f>IF(F83="",0,IF(COUNTIF(Настройки!$B$17:$B$26,F83)&gt;0,1,IF(COUNTIF(Настройки!$C$17:$C$26,F83)&gt;0,2,IF(COUNTIF(Настройки!$D$17:$D$26,F83)&gt;0,3,0))))</f>
        <v/>
      </c>
      <c r="I83">
        <f>IF(AND(ISNUMBER(A83),ISNUMBER(B83)),A83*1000+B83,"")</f>
        <v/>
      </c>
      <c r="J83">
        <f>IF(I83="","",IF(COUNTIF(I$2:I83,I83)=1,MAX(J$1:J82)+1,""))</f>
        <v/>
      </c>
    </row>
    <row r="84">
      <c r="A84">
        <f>IFERROR(--SUBSTITUTE(SUBSTITUTE(TRIM(INDEX(INDIRECT("'Выгрузка'!A84:Z84"),Настройки!$B$7)),",","."),".",MID(1/2,2,1)),"")</f>
        <v/>
      </c>
      <c r="B84">
        <f>IFERROR(--SUBSTITUTE(SUBSTITUTE(TRIM(INDEX(INDIRECT("'Выгрузка'!A84:Z84"),Настройки!$B$9)),",","."),".",MID(1/2,2,1)),"")</f>
        <v/>
      </c>
      <c r="C84">
        <f>TRIM(INDEX(INDIRECT("'Выгрузка'!A84:Z84"),Настройки!$B$8)&amp;"")</f>
        <v/>
      </c>
      <c r="D84">
        <f>IFERROR(--SUBSTITUTE(SUBSTITUTE(TRIM(INDEX(INDIRECT("'Выгрузка'!A84:Z84"),Настройки!$B$10)),",","."),".",MID(1/2,2,1)),"")</f>
        <v/>
      </c>
      <c r="E84">
        <f>IFERROR(--SUBSTITUTE(SUBSTITUTE(TRIM(INDEX(INDIRECT("'Выгрузка'!A84:Z84"),Настройки!$B$11)),",","."),".",MID(1/2,2,1)),"")</f>
        <v/>
      </c>
      <c r="F84">
        <f>TRIM(INDEX(INDIRECT("'Выгрузка'!A84:Z84"),Настройки!$B$12)&amp;"")</f>
        <v/>
      </c>
      <c r="G84">
        <f>IF(F84="",0,IF(TRIM(INDEX(INDIRECT("'Выгрузка'!A84:Z84"),Настройки!$B$13)&amp;"")="",1,IFERROR(--SUBSTITUTE(SUBSTITUTE(TRIM(INDEX(INDIRECT("'Выгрузка'!A84:Z84"),Настройки!$B$13)),",","."),".",MID(1/2,2,1)),"")))</f>
        <v/>
      </c>
      <c r="H84">
        <f>IF(F84="",0,IF(COUNTIF(Настройки!$B$17:$B$26,F84)&gt;0,1,IF(COUNTIF(Настройки!$C$17:$C$26,F84)&gt;0,2,IF(COUNTIF(Настройки!$D$17:$D$26,F84)&gt;0,3,0))))</f>
        <v/>
      </c>
      <c r="I84">
        <f>IF(AND(ISNUMBER(A84),ISNUMBER(B84)),A84*1000+B84,"")</f>
        <v/>
      </c>
      <c r="J84">
        <f>IF(I84="","",IF(COUNTIF(I$2:I84,I84)=1,MAX(J$1:J83)+1,""))</f>
        <v/>
      </c>
    </row>
    <row r="85">
      <c r="A85">
        <f>IFERROR(--SUBSTITUTE(SUBSTITUTE(TRIM(INDEX(INDIRECT("'Выгрузка'!A85:Z85"),Настройки!$B$7)),",","."),".",MID(1/2,2,1)),"")</f>
        <v/>
      </c>
      <c r="B85">
        <f>IFERROR(--SUBSTITUTE(SUBSTITUTE(TRIM(INDEX(INDIRECT("'Выгрузка'!A85:Z85"),Настройки!$B$9)),",","."),".",MID(1/2,2,1)),"")</f>
        <v/>
      </c>
      <c r="C85">
        <f>TRIM(INDEX(INDIRECT("'Выгрузка'!A85:Z85"),Настройки!$B$8)&amp;"")</f>
        <v/>
      </c>
      <c r="D85">
        <f>IFERROR(--SUBSTITUTE(SUBSTITUTE(TRIM(INDEX(INDIRECT("'Выгрузка'!A85:Z85"),Настройки!$B$10)),",","."),".",MID(1/2,2,1)),"")</f>
        <v/>
      </c>
      <c r="E85">
        <f>IFERROR(--SUBSTITUTE(SUBSTITUTE(TRIM(INDEX(INDIRECT("'Выгрузка'!A85:Z85"),Настройки!$B$11)),",","."),".",MID(1/2,2,1)),"")</f>
        <v/>
      </c>
      <c r="F85">
        <f>TRIM(INDEX(INDIRECT("'Выгрузка'!A85:Z85"),Настройки!$B$12)&amp;"")</f>
        <v/>
      </c>
      <c r="G85">
        <f>IF(F85="",0,IF(TRIM(INDEX(INDIRECT("'Выгрузка'!A85:Z85"),Настройки!$B$13)&amp;"")="",1,IFERROR(--SUBSTITUTE(SUBSTITUTE(TRIM(INDEX(INDIRECT("'Выгрузка'!A85:Z85"),Настройки!$B$13)),",","."),".",MID(1/2,2,1)),"")))</f>
        <v/>
      </c>
      <c r="H85">
        <f>IF(F85="",0,IF(COUNTIF(Настройки!$B$17:$B$26,F85)&gt;0,1,IF(COUNTIF(Настройки!$C$17:$C$26,F85)&gt;0,2,IF(COUNTIF(Настройки!$D$17:$D$26,F85)&gt;0,3,0))))</f>
        <v/>
      </c>
      <c r="I85">
        <f>IF(AND(ISNUMBER(A85),ISNUMBER(B85)),A85*1000+B85,"")</f>
        <v/>
      </c>
      <c r="J85">
        <f>IF(I85="","",IF(COUNTIF(I$2:I85,I85)=1,MAX(J$1:J84)+1,""))</f>
        <v/>
      </c>
    </row>
    <row r="86">
      <c r="A86">
        <f>IFERROR(--SUBSTITUTE(SUBSTITUTE(TRIM(INDEX(INDIRECT("'Выгрузка'!A86:Z86"),Настройки!$B$7)),",","."),".",MID(1/2,2,1)),"")</f>
        <v/>
      </c>
      <c r="B86">
        <f>IFERROR(--SUBSTITUTE(SUBSTITUTE(TRIM(INDEX(INDIRECT("'Выгрузка'!A86:Z86"),Настройки!$B$9)),",","."),".",MID(1/2,2,1)),"")</f>
        <v/>
      </c>
      <c r="C86">
        <f>TRIM(INDEX(INDIRECT("'Выгрузка'!A86:Z86"),Настройки!$B$8)&amp;"")</f>
        <v/>
      </c>
      <c r="D86">
        <f>IFERROR(--SUBSTITUTE(SUBSTITUTE(TRIM(INDEX(INDIRECT("'Выгрузка'!A86:Z86"),Настройки!$B$10)),",","."),".",MID(1/2,2,1)),"")</f>
        <v/>
      </c>
      <c r="E86">
        <f>IFERROR(--SUBSTITUTE(SUBSTITUTE(TRIM(INDEX(INDIRECT("'Выгрузка'!A86:Z86"),Настройки!$B$11)),",","."),".",MID(1/2,2,1)),"")</f>
        <v/>
      </c>
      <c r="F86">
        <f>TRIM(INDEX(INDIRECT("'Выгрузка'!A86:Z86"),Настройки!$B$12)&amp;"")</f>
        <v/>
      </c>
      <c r="G86">
        <f>IF(F86="",0,IF(TRIM(INDEX(INDIRECT("'Выгрузка'!A86:Z86"),Настройки!$B$13)&amp;"")="",1,IFERROR(--SUBSTITUTE(SUBSTITUTE(TRIM(INDEX(INDIRECT("'Выгрузка'!A86:Z86"),Настройки!$B$13)),",","."),".",MID(1/2,2,1)),"")))</f>
        <v/>
      </c>
      <c r="H86">
        <f>IF(F86="",0,IF(COUNTIF(Настройки!$B$17:$B$26,F86)&gt;0,1,IF(COUNTIF(Настройки!$C$17:$C$26,F86)&gt;0,2,IF(COUNTIF(Настройки!$D$17:$D$26,F86)&gt;0,3,0))))</f>
        <v/>
      </c>
      <c r="I86">
        <f>IF(AND(ISNUMBER(A86),ISNUMBER(B86)),A86*1000+B86,"")</f>
        <v/>
      </c>
      <c r="J86">
        <f>IF(I86="","",IF(COUNTIF(I$2:I86,I86)=1,MAX(J$1:J85)+1,""))</f>
        <v/>
      </c>
    </row>
    <row r="87">
      <c r="A87">
        <f>IFERROR(--SUBSTITUTE(SUBSTITUTE(TRIM(INDEX(INDIRECT("'Выгрузка'!A87:Z87"),Настройки!$B$7)),",","."),".",MID(1/2,2,1)),"")</f>
        <v/>
      </c>
      <c r="B87">
        <f>IFERROR(--SUBSTITUTE(SUBSTITUTE(TRIM(INDEX(INDIRECT("'Выгрузка'!A87:Z87"),Настройки!$B$9)),",","."),".",MID(1/2,2,1)),"")</f>
        <v/>
      </c>
      <c r="C87">
        <f>TRIM(INDEX(INDIRECT("'Выгрузка'!A87:Z87"),Настройки!$B$8)&amp;"")</f>
        <v/>
      </c>
      <c r="D87">
        <f>IFERROR(--SUBSTITUTE(SUBSTITUTE(TRIM(INDEX(INDIRECT("'Выгрузка'!A87:Z87"),Настройки!$B$10)),",","."),".",MID(1/2,2,1)),"")</f>
        <v/>
      </c>
      <c r="E87">
        <f>IFERROR(--SUBSTITUTE(SUBSTITUTE(TRIM(INDEX(INDIRECT("'Выгрузка'!A87:Z87"),Настройки!$B$11)),",","."),".",MID(1/2,2,1)),"")</f>
        <v/>
      </c>
      <c r="F87">
        <f>TRIM(INDEX(INDIRECT("'Выгрузка'!A87:Z87"),Настройки!$B$12)&amp;"")</f>
        <v/>
      </c>
      <c r="G87">
        <f>IF(F87="",0,IF(TRIM(INDEX(INDIRECT("'Выгрузка'!A87:Z87"),Настройки!$B$13)&amp;"")="",1,IFERROR(--SUBSTITUTE(SUBSTITUTE(TRIM(INDEX(INDIRECT("'Выгрузка'!A87:Z87"),Настройки!$B$13)),",","."),".",MID(1/2,2,1)),"")))</f>
        <v/>
      </c>
      <c r="H87">
        <f>IF(F87="",0,IF(COUNTIF(Настройки!$B$17:$B$26,F87)&gt;0,1,IF(COUNTIF(Настройки!$C$17:$C$26,F87)&gt;0,2,IF(COUNTIF(Настройки!$D$17:$D$26,F87)&gt;0,3,0))))</f>
        <v/>
      </c>
      <c r="I87">
        <f>IF(AND(ISNUMBER(A87),ISNUMBER(B87)),A87*1000+B87,"")</f>
        <v/>
      </c>
      <c r="J87">
        <f>IF(I87="","",IF(COUNTIF(I$2:I87,I87)=1,MAX(J$1:J86)+1,""))</f>
        <v/>
      </c>
    </row>
    <row r="88">
      <c r="A88">
        <f>IFERROR(--SUBSTITUTE(SUBSTITUTE(TRIM(INDEX(INDIRECT("'Выгрузка'!A88:Z88"),Настройки!$B$7)),",","."),".",MID(1/2,2,1)),"")</f>
        <v/>
      </c>
      <c r="B88">
        <f>IFERROR(--SUBSTITUTE(SUBSTITUTE(TRIM(INDEX(INDIRECT("'Выгрузка'!A88:Z88"),Настройки!$B$9)),",","."),".",MID(1/2,2,1)),"")</f>
        <v/>
      </c>
      <c r="C88">
        <f>TRIM(INDEX(INDIRECT("'Выгрузка'!A88:Z88"),Настройки!$B$8)&amp;"")</f>
        <v/>
      </c>
      <c r="D88">
        <f>IFERROR(--SUBSTITUTE(SUBSTITUTE(TRIM(INDEX(INDIRECT("'Выгрузка'!A88:Z88"),Настройки!$B$10)),",","."),".",MID(1/2,2,1)),"")</f>
        <v/>
      </c>
      <c r="E88">
        <f>IFERROR(--SUBSTITUTE(SUBSTITUTE(TRIM(INDEX(INDIRECT("'Выгрузка'!A88:Z88"),Настройки!$B$11)),",","."),".",MID(1/2,2,1)),"")</f>
        <v/>
      </c>
      <c r="F88">
        <f>TRIM(INDEX(INDIRECT("'Выгрузка'!A88:Z88"),Настройки!$B$12)&amp;"")</f>
        <v/>
      </c>
      <c r="G88">
        <f>IF(F88="",0,IF(TRIM(INDEX(INDIRECT("'Выгрузка'!A88:Z88"),Настройки!$B$13)&amp;"")="",1,IFERROR(--SUBSTITUTE(SUBSTITUTE(TRIM(INDEX(INDIRECT("'Выгрузка'!A88:Z88"),Настройки!$B$13)),",","."),".",MID(1/2,2,1)),"")))</f>
        <v/>
      </c>
      <c r="H88">
        <f>IF(F88="",0,IF(COUNTIF(Настройки!$B$17:$B$26,F88)&gt;0,1,IF(COUNTIF(Настройки!$C$17:$C$26,F88)&gt;0,2,IF(COUNTIF(Настройки!$D$17:$D$26,F88)&gt;0,3,0))))</f>
        <v/>
      </c>
      <c r="I88">
        <f>IF(AND(ISNUMBER(A88),ISNUMBER(B88)),A88*1000+B88,"")</f>
        <v/>
      </c>
      <c r="J88">
        <f>IF(I88="","",IF(COUNTIF(I$2:I88,I88)=1,MAX(J$1:J87)+1,""))</f>
        <v/>
      </c>
    </row>
    <row r="89">
      <c r="A89">
        <f>IFERROR(--SUBSTITUTE(SUBSTITUTE(TRIM(INDEX(INDIRECT("'Выгрузка'!A89:Z89"),Настройки!$B$7)),",","."),".",MID(1/2,2,1)),"")</f>
        <v/>
      </c>
      <c r="B89">
        <f>IFERROR(--SUBSTITUTE(SUBSTITUTE(TRIM(INDEX(INDIRECT("'Выгрузка'!A89:Z89"),Настройки!$B$9)),",","."),".",MID(1/2,2,1)),"")</f>
        <v/>
      </c>
      <c r="C89">
        <f>TRIM(INDEX(INDIRECT("'Выгрузка'!A89:Z89"),Настройки!$B$8)&amp;"")</f>
        <v/>
      </c>
      <c r="D89">
        <f>IFERROR(--SUBSTITUTE(SUBSTITUTE(TRIM(INDEX(INDIRECT("'Выгрузка'!A89:Z89"),Настройки!$B$10)),",","."),".",MID(1/2,2,1)),"")</f>
        <v/>
      </c>
      <c r="E89">
        <f>IFERROR(--SUBSTITUTE(SUBSTITUTE(TRIM(INDEX(INDIRECT("'Выгрузка'!A89:Z89"),Настройки!$B$11)),",","."),".",MID(1/2,2,1)),"")</f>
        <v/>
      </c>
      <c r="F89">
        <f>TRIM(INDEX(INDIRECT("'Выгрузка'!A89:Z89"),Настройки!$B$12)&amp;"")</f>
        <v/>
      </c>
      <c r="G89">
        <f>IF(F89="",0,IF(TRIM(INDEX(INDIRECT("'Выгрузка'!A89:Z89"),Настройки!$B$13)&amp;"")="",1,IFERROR(--SUBSTITUTE(SUBSTITUTE(TRIM(INDEX(INDIRECT("'Выгрузка'!A89:Z89"),Настройки!$B$13)),",","."),".",MID(1/2,2,1)),"")))</f>
        <v/>
      </c>
      <c r="H89">
        <f>IF(F89="",0,IF(COUNTIF(Настройки!$B$17:$B$26,F89)&gt;0,1,IF(COUNTIF(Настройки!$C$17:$C$26,F89)&gt;0,2,IF(COUNTIF(Настройки!$D$17:$D$26,F89)&gt;0,3,0))))</f>
        <v/>
      </c>
      <c r="I89">
        <f>IF(AND(ISNUMBER(A89),ISNUMBER(B89)),A89*1000+B89,"")</f>
        <v/>
      </c>
      <c r="J89">
        <f>IF(I89="","",IF(COUNTIF(I$2:I89,I89)=1,MAX(J$1:J88)+1,""))</f>
        <v/>
      </c>
    </row>
    <row r="90">
      <c r="A90">
        <f>IFERROR(--SUBSTITUTE(SUBSTITUTE(TRIM(INDEX(INDIRECT("'Выгрузка'!A90:Z90"),Настройки!$B$7)),",","."),".",MID(1/2,2,1)),"")</f>
        <v/>
      </c>
      <c r="B90">
        <f>IFERROR(--SUBSTITUTE(SUBSTITUTE(TRIM(INDEX(INDIRECT("'Выгрузка'!A90:Z90"),Настройки!$B$9)),",","."),".",MID(1/2,2,1)),"")</f>
        <v/>
      </c>
      <c r="C90">
        <f>TRIM(INDEX(INDIRECT("'Выгрузка'!A90:Z90"),Настройки!$B$8)&amp;"")</f>
        <v/>
      </c>
      <c r="D90">
        <f>IFERROR(--SUBSTITUTE(SUBSTITUTE(TRIM(INDEX(INDIRECT("'Выгрузка'!A90:Z90"),Настройки!$B$10)),",","."),".",MID(1/2,2,1)),"")</f>
        <v/>
      </c>
      <c r="E90">
        <f>IFERROR(--SUBSTITUTE(SUBSTITUTE(TRIM(INDEX(INDIRECT("'Выгрузка'!A90:Z90"),Настройки!$B$11)),",","."),".",MID(1/2,2,1)),"")</f>
        <v/>
      </c>
      <c r="F90">
        <f>TRIM(INDEX(INDIRECT("'Выгрузка'!A90:Z90"),Настройки!$B$12)&amp;"")</f>
        <v/>
      </c>
      <c r="G90">
        <f>IF(F90="",0,IF(TRIM(INDEX(INDIRECT("'Выгрузка'!A90:Z90"),Настройки!$B$13)&amp;"")="",1,IFERROR(--SUBSTITUTE(SUBSTITUTE(TRIM(INDEX(INDIRECT("'Выгрузка'!A90:Z90"),Настройки!$B$13)),",","."),".",MID(1/2,2,1)),"")))</f>
        <v/>
      </c>
      <c r="H90">
        <f>IF(F90="",0,IF(COUNTIF(Настройки!$B$17:$B$26,F90)&gt;0,1,IF(COUNTIF(Настройки!$C$17:$C$26,F90)&gt;0,2,IF(COUNTIF(Настройки!$D$17:$D$26,F90)&gt;0,3,0))))</f>
        <v/>
      </c>
      <c r="I90">
        <f>IF(AND(ISNUMBER(A90),ISNUMBER(B90)),A90*1000+B90,"")</f>
        <v/>
      </c>
      <c r="J90">
        <f>IF(I90="","",IF(COUNTIF(I$2:I90,I90)=1,MAX(J$1:J89)+1,""))</f>
        <v/>
      </c>
    </row>
    <row r="91">
      <c r="A91">
        <f>IFERROR(--SUBSTITUTE(SUBSTITUTE(TRIM(INDEX(INDIRECT("'Выгрузка'!A91:Z91"),Настройки!$B$7)),",","."),".",MID(1/2,2,1)),"")</f>
        <v/>
      </c>
      <c r="B91">
        <f>IFERROR(--SUBSTITUTE(SUBSTITUTE(TRIM(INDEX(INDIRECT("'Выгрузка'!A91:Z91"),Настройки!$B$9)),",","."),".",MID(1/2,2,1)),"")</f>
        <v/>
      </c>
      <c r="C91">
        <f>TRIM(INDEX(INDIRECT("'Выгрузка'!A91:Z91"),Настройки!$B$8)&amp;"")</f>
        <v/>
      </c>
      <c r="D91">
        <f>IFERROR(--SUBSTITUTE(SUBSTITUTE(TRIM(INDEX(INDIRECT("'Выгрузка'!A91:Z91"),Настройки!$B$10)),",","."),".",MID(1/2,2,1)),"")</f>
        <v/>
      </c>
      <c r="E91">
        <f>IFERROR(--SUBSTITUTE(SUBSTITUTE(TRIM(INDEX(INDIRECT("'Выгрузка'!A91:Z91"),Настройки!$B$11)),",","."),".",MID(1/2,2,1)),"")</f>
        <v/>
      </c>
      <c r="F91">
        <f>TRIM(INDEX(INDIRECT("'Выгрузка'!A91:Z91"),Настройки!$B$12)&amp;"")</f>
        <v/>
      </c>
      <c r="G91">
        <f>IF(F91="",0,IF(TRIM(INDEX(INDIRECT("'Выгрузка'!A91:Z91"),Настройки!$B$13)&amp;"")="",1,IFERROR(--SUBSTITUTE(SUBSTITUTE(TRIM(INDEX(INDIRECT("'Выгрузка'!A91:Z91"),Настройки!$B$13)),",","."),".",MID(1/2,2,1)),"")))</f>
        <v/>
      </c>
      <c r="H91">
        <f>IF(F91="",0,IF(COUNTIF(Настройки!$B$17:$B$26,F91)&gt;0,1,IF(COUNTIF(Настройки!$C$17:$C$26,F91)&gt;0,2,IF(COUNTIF(Настройки!$D$17:$D$26,F91)&gt;0,3,0))))</f>
        <v/>
      </c>
      <c r="I91">
        <f>IF(AND(ISNUMBER(A91),ISNUMBER(B91)),A91*1000+B91,"")</f>
        <v/>
      </c>
      <c r="J91">
        <f>IF(I91="","",IF(COUNTIF(I$2:I91,I91)=1,MAX(J$1:J90)+1,""))</f>
        <v/>
      </c>
    </row>
    <row r="92">
      <c r="A92">
        <f>IFERROR(--SUBSTITUTE(SUBSTITUTE(TRIM(INDEX(INDIRECT("'Выгрузка'!A92:Z92"),Настройки!$B$7)),",","."),".",MID(1/2,2,1)),"")</f>
        <v/>
      </c>
      <c r="B92">
        <f>IFERROR(--SUBSTITUTE(SUBSTITUTE(TRIM(INDEX(INDIRECT("'Выгрузка'!A92:Z92"),Настройки!$B$9)),",","."),".",MID(1/2,2,1)),"")</f>
        <v/>
      </c>
      <c r="C92">
        <f>TRIM(INDEX(INDIRECT("'Выгрузка'!A92:Z92"),Настройки!$B$8)&amp;"")</f>
        <v/>
      </c>
      <c r="D92">
        <f>IFERROR(--SUBSTITUTE(SUBSTITUTE(TRIM(INDEX(INDIRECT("'Выгрузка'!A92:Z92"),Настройки!$B$10)),",","."),".",MID(1/2,2,1)),"")</f>
        <v/>
      </c>
      <c r="E92">
        <f>IFERROR(--SUBSTITUTE(SUBSTITUTE(TRIM(INDEX(INDIRECT("'Выгрузка'!A92:Z92"),Настройки!$B$11)),",","."),".",MID(1/2,2,1)),"")</f>
        <v/>
      </c>
      <c r="F92">
        <f>TRIM(INDEX(INDIRECT("'Выгрузка'!A92:Z92"),Настройки!$B$12)&amp;"")</f>
        <v/>
      </c>
      <c r="G92">
        <f>IF(F92="",0,IF(TRIM(INDEX(INDIRECT("'Выгрузка'!A92:Z92"),Настройки!$B$13)&amp;"")="",1,IFERROR(--SUBSTITUTE(SUBSTITUTE(TRIM(INDEX(INDIRECT("'Выгрузка'!A92:Z92"),Настройки!$B$13)),",","."),".",MID(1/2,2,1)),"")))</f>
        <v/>
      </c>
      <c r="H92">
        <f>IF(F92="",0,IF(COUNTIF(Настройки!$B$17:$B$26,F92)&gt;0,1,IF(COUNTIF(Настройки!$C$17:$C$26,F92)&gt;0,2,IF(COUNTIF(Настройки!$D$17:$D$26,F92)&gt;0,3,0))))</f>
        <v/>
      </c>
      <c r="I92">
        <f>IF(AND(ISNUMBER(A92),ISNUMBER(B92)),A92*1000+B92,"")</f>
        <v/>
      </c>
      <c r="J92">
        <f>IF(I92="","",IF(COUNTIF(I$2:I92,I92)=1,MAX(J$1:J91)+1,""))</f>
        <v/>
      </c>
    </row>
    <row r="93">
      <c r="A93">
        <f>IFERROR(--SUBSTITUTE(SUBSTITUTE(TRIM(INDEX(INDIRECT("'Выгрузка'!A93:Z93"),Настройки!$B$7)),",","."),".",MID(1/2,2,1)),"")</f>
        <v/>
      </c>
      <c r="B93">
        <f>IFERROR(--SUBSTITUTE(SUBSTITUTE(TRIM(INDEX(INDIRECT("'Выгрузка'!A93:Z93"),Настройки!$B$9)),",","."),".",MID(1/2,2,1)),"")</f>
        <v/>
      </c>
      <c r="C93">
        <f>TRIM(INDEX(INDIRECT("'Выгрузка'!A93:Z93"),Настройки!$B$8)&amp;"")</f>
        <v/>
      </c>
      <c r="D93">
        <f>IFERROR(--SUBSTITUTE(SUBSTITUTE(TRIM(INDEX(INDIRECT("'Выгрузка'!A93:Z93"),Настройки!$B$10)),",","."),".",MID(1/2,2,1)),"")</f>
        <v/>
      </c>
      <c r="E93">
        <f>IFERROR(--SUBSTITUTE(SUBSTITUTE(TRIM(INDEX(INDIRECT("'Выгрузка'!A93:Z93"),Настройки!$B$11)),",","."),".",MID(1/2,2,1)),"")</f>
        <v/>
      </c>
      <c r="F93">
        <f>TRIM(INDEX(INDIRECT("'Выгрузка'!A93:Z93"),Настройки!$B$12)&amp;"")</f>
        <v/>
      </c>
      <c r="G93">
        <f>IF(F93="",0,IF(TRIM(INDEX(INDIRECT("'Выгрузка'!A93:Z93"),Настройки!$B$13)&amp;"")="",1,IFERROR(--SUBSTITUTE(SUBSTITUTE(TRIM(INDEX(INDIRECT("'Выгрузка'!A93:Z93"),Настройки!$B$13)),",","."),".",MID(1/2,2,1)),"")))</f>
        <v/>
      </c>
      <c r="H93">
        <f>IF(F93="",0,IF(COUNTIF(Настройки!$B$17:$B$26,F93)&gt;0,1,IF(COUNTIF(Настройки!$C$17:$C$26,F93)&gt;0,2,IF(COUNTIF(Настройки!$D$17:$D$26,F93)&gt;0,3,0))))</f>
        <v/>
      </c>
      <c r="I93">
        <f>IF(AND(ISNUMBER(A93),ISNUMBER(B93)),A93*1000+B93,"")</f>
        <v/>
      </c>
      <c r="J93">
        <f>IF(I93="","",IF(COUNTIF(I$2:I93,I93)=1,MAX(J$1:J92)+1,""))</f>
        <v/>
      </c>
    </row>
    <row r="94">
      <c r="A94">
        <f>IFERROR(--SUBSTITUTE(SUBSTITUTE(TRIM(INDEX(INDIRECT("'Выгрузка'!A94:Z94"),Настройки!$B$7)),",","."),".",MID(1/2,2,1)),"")</f>
        <v/>
      </c>
      <c r="B94">
        <f>IFERROR(--SUBSTITUTE(SUBSTITUTE(TRIM(INDEX(INDIRECT("'Выгрузка'!A94:Z94"),Настройки!$B$9)),",","."),".",MID(1/2,2,1)),"")</f>
        <v/>
      </c>
      <c r="C94">
        <f>TRIM(INDEX(INDIRECT("'Выгрузка'!A94:Z94"),Настройки!$B$8)&amp;"")</f>
        <v/>
      </c>
      <c r="D94">
        <f>IFERROR(--SUBSTITUTE(SUBSTITUTE(TRIM(INDEX(INDIRECT("'Выгрузка'!A94:Z94"),Настройки!$B$10)),",","."),".",MID(1/2,2,1)),"")</f>
        <v/>
      </c>
      <c r="E94">
        <f>IFERROR(--SUBSTITUTE(SUBSTITUTE(TRIM(INDEX(INDIRECT("'Выгрузка'!A94:Z94"),Настройки!$B$11)),",","."),".",MID(1/2,2,1)),"")</f>
        <v/>
      </c>
      <c r="F94">
        <f>TRIM(INDEX(INDIRECT("'Выгрузка'!A94:Z94"),Настройки!$B$12)&amp;"")</f>
        <v/>
      </c>
      <c r="G94">
        <f>IF(F94="",0,IF(TRIM(INDEX(INDIRECT("'Выгрузка'!A94:Z94"),Настройки!$B$13)&amp;"")="",1,IFERROR(--SUBSTITUTE(SUBSTITUTE(TRIM(INDEX(INDIRECT("'Выгрузка'!A94:Z94"),Настройки!$B$13)),",","."),".",MID(1/2,2,1)),"")))</f>
        <v/>
      </c>
      <c r="H94">
        <f>IF(F94="",0,IF(COUNTIF(Настройки!$B$17:$B$26,F94)&gt;0,1,IF(COUNTIF(Настройки!$C$17:$C$26,F94)&gt;0,2,IF(COUNTIF(Настройки!$D$17:$D$26,F94)&gt;0,3,0))))</f>
        <v/>
      </c>
      <c r="I94">
        <f>IF(AND(ISNUMBER(A94),ISNUMBER(B94)),A94*1000+B94,"")</f>
        <v/>
      </c>
      <c r="J94">
        <f>IF(I94="","",IF(COUNTIF(I$2:I94,I94)=1,MAX(J$1:J93)+1,""))</f>
        <v/>
      </c>
    </row>
    <row r="95">
      <c r="A95">
        <f>IFERROR(--SUBSTITUTE(SUBSTITUTE(TRIM(INDEX(INDIRECT("'Выгрузка'!A95:Z95"),Настройки!$B$7)),",","."),".",MID(1/2,2,1)),"")</f>
        <v/>
      </c>
      <c r="B95">
        <f>IFERROR(--SUBSTITUTE(SUBSTITUTE(TRIM(INDEX(INDIRECT("'Выгрузка'!A95:Z95"),Настройки!$B$9)),",","."),".",MID(1/2,2,1)),"")</f>
        <v/>
      </c>
      <c r="C95">
        <f>TRIM(INDEX(INDIRECT("'Выгрузка'!A95:Z95"),Настройки!$B$8)&amp;"")</f>
        <v/>
      </c>
      <c r="D95">
        <f>IFERROR(--SUBSTITUTE(SUBSTITUTE(TRIM(INDEX(INDIRECT("'Выгрузка'!A95:Z95"),Настройки!$B$10)),",","."),".",MID(1/2,2,1)),"")</f>
        <v/>
      </c>
      <c r="E95">
        <f>IFERROR(--SUBSTITUTE(SUBSTITUTE(TRIM(INDEX(INDIRECT("'Выгрузка'!A95:Z95"),Настройки!$B$11)),",","."),".",MID(1/2,2,1)),"")</f>
        <v/>
      </c>
      <c r="F95">
        <f>TRIM(INDEX(INDIRECT("'Выгрузка'!A95:Z95"),Настройки!$B$12)&amp;"")</f>
        <v/>
      </c>
      <c r="G95">
        <f>IF(F95="",0,IF(TRIM(INDEX(INDIRECT("'Выгрузка'!A95:Z95"),Настройки!$B$13)&amp;"")="",1,IFERROR(--SUBSTITUTE(SUBSTITUTE(TRIM(INDEX(INDIRECT("'Выгрузка'!A95:Z95"),Настройки!$B$13)),",","."),".",MID(1/2,2,1)),"")))</f>
        <v/>
      </c>
      <c r="H95">
        <f>IF(F95="",0,IF(COUNTIF(Настройки!$B$17:$B$26,F95)&gt;0,1,IF(COUNTIF(Настройки!$C$17:$C$26,F95)&gt;0,2,IF(COUNTIF(Настройки!$D$17:$D$26,F95)&gt;0,3,0))))</f>
        <v/>
      </c>
      <c r="I95">
        <f>IF(AND(ISNUMBER(A95),ISNUMBER(B95)),A95*1000+B95,"")</f>
        <v/>
      </c>
      <c r="J95">
        <f>IF(I95="","",IF(COUNTIF(I$2:I95,I95)=1,MAX(J$1:J94)+1,""))</f>
        <v/>
      </c>
    </row>
    <row r="96">
      <c r="A96">
        <f>IFERROR(--SUBSTITUTE(SUBSTITUTE(TRIM(INDEX(INDIRECT("'Выгрузка'!A96:Z96"),Настройки!$B$7)),",","."),".",MID(1/2,2,1)),"")</f>
        <v/>
      </c>
      <c r="B96">
        <f>IFERROR(--SUBSTITUTE(SUBSTITUTE(TRIM(INDEX(INDIRECT("'Выгрузка'!A96:Z96"),Настройки!$B$9)),",","."),".",MID(1/2,2,1)),"")</f>
        <v/>
      </c>
      <c r="C96">
        <f>TRIM(INDEX(INDIRECT("'Выгрузка'!A96:Z96"),Настройки!$B$8)&amp;"")</f>
        <v/>
      </c>
      <c r="D96">
        <f>IFERROR(--SUBSTITUTE(SUBSTITUTE(TRIM(INDEX(INDIRECT("'Выгрузка'!A96:Z96"),Настройки!$B$10)),",","."),".",MID(1/2,2,1)),"")</f>
        <v/>
      </c>
      <c r="E96">
        <f>IFERROR(--SUBSTITUTE(SUBSTITUTE(TRIM(INDEX(INDIRECT("'Выгрузка'!A96:Z96"),Настройки!$B$11)),",","."),".",MID(1/2,2,1)),"")</f>
        <v/>
      </c>
      <c r="F96">
        <f>TRIM(INDEX(INDIRECT("'Выгрузка'!A96:Z96"),Настройки!$B$12)&amp;"")</f>
        <v/>
      </c>
      <c r="G96">
        <f>IF(F96="",0,IF(TRIM(INDEX(INDIRECT("'Выгрузка'!A96:Z96"),Настройки!$B$13)&amp;"")="",1,IFERROR(--SUBSTITUTE(SUBSTITUTE(TRIM(INDEX(INDIRECT("'Выгрузка'!A96:Z96"),Настройки!$B$13)),",","."),".",MID(1/2,2,1)),"")))</f>
        <v/>
      </c>
      <c r="H96">
        <f>IF(F96="",0,IF(COUNTIF(Настройки!$B$17:$B$26,F96)&gt;0,1,IF(COUNTIF(Настройки!$C$17:$C$26,F96)&gt;0,2,IF(COUNTIF(Настройки!$D$17:$D$26,F96)&gt;0,3,0))))</f>
        <v/>
      </c>
      <c r="I96">
        <f>IF(AND(ISNUMBER(A96),ISNUMBER(B96)),A96*1000+B96,"")</f>
        <v/>
      </c>
      <c r="J96">
        <f>IF(I96="","",IF(COUNTIF(I$2:I96,I96)=1,MAX(J$1:J95)+1,""))</f>
        <v/>
      </c>
    </row>
    <row r="97">
      <c r="A97">
        <f>IFERROR(--SUBSTITUTE(SUBSTITUTE(TRIM(INDEX(INDIRECT("'Выгрузка'!A97:Z97"),Настройки!$B$7)),",","."),".",MID(1/2,2,1)),"")</f>
        <v/>
      </c>
      <c r="B97">
        <f>IFERROR(--SUBSTITUTE(SUBSTITUTE(TRIM(INDEX(INDIRECT("'Выгрузка'!A97:Z97"),Настройки!$B$9)),",","."),".",MID(1/2,2,1)),"")</f>
        <v/>
      </c>
      <c r="C97">
        <f>TRIM(INDEX(INDIRECT("'Выгрузка'!A97:Z97"),Настройки!$B$8)&amp;"")</f>
        <v/>
      </c>
      <c r="D97">
        <f>IFERROR(--SUBSTITUTE(SUBSTITUTE(TRIM(INDEX(INDIRECT("'Выгрузка'!A97:Z97"),Настройки!$B$10)),",","."),".",MID(1/2,2,1)),"")</f>
        <v/>
      </c>
      <c r="E97">
        <f>IFERROR(--SUBSTITUTE(SUBSTITUTE(TRIM(INDEX(INDIRECT("'Выгрузка'!A97:Z97"),Настройки!$B$11)),",","."),".",MID(1/2,2,1)),"")</f>
        <v/>
      </c>
      <c r="F97">
        <f>TRIM(INDEX(INDIRECT("'Выгрузка'!A97:Z97"),Настройки!$B$12)&amp;"")</f>
        <v/>
      </c>
      <c r="G97">
        <f>IF(F97="",0,IF(TRIM(INDEX(INDIRECT("'Выгрузка'!A97:Z97"),Настройки!$B$13)&amp;"")="",1,IFERROR(--SUBSTITUTE(SUBSTITUTE(TRIM(INDEX(INDIRECT("'Выгрузка'!A97:Z97"),Настройки!$B$13)),",","."),".",MID(1/2,2,1)),"")))</f>
        <v/>
      </c>
      <c r="H97">
        <f>IF(F97="",0,IF(COUNTIF(Настройки!$B$17:$B$26,F97)&gt;0,1,IF(COUNTIF(Настройки!$C$17:$C$26,F97)&gt;0,2,IF(COUNTIF(Настройки!$D$17:$D$26,F97)&gt;0,3,0))))</f>
        <v/>
      </c>
      <c r="I97">
        <f>IF(AND(ISNUMBER(A97),ISNUMBER(B97)),A97*1000+B97,"")</f>
        <v/>
      </c>
      <c r="J97">
        <f>IF(I97="","",IF(COUNTIF(I$2:I97,I97)=1,MAX(J$1:J96)+1,""))</f>
        <v/>
      </c>
    </row>
    <row r="98">
      <c r="A98">
        <f>IFERROR(--SUBSTITUTE(SUBSTITUTE(TRIM(INDEX(INDIRECT("'Выгрузка'!A98:Z98"),Настройки!$B$7)),",","."),".",MID(1/2,2,1)),"")</f>
        <v/>
      </c>
      <c r="B98">
        <f>IFERROR(--SUBSTITUTE(SUBSTITUTE(TRIM(INDEX(INDIRECT("'Выгрузка'!A98:Z98"),Настройки!$B$9)),",","."),".",MID(1/2,2,1)),"")</f>
        <v/>
      </c>
      <c r="C98">
        <f>TRIM(INDEX(INDIRECT("'Выгрузка'!A98:Z98"),Настройки!$B$8)&amp;"")</f>
        <v/>
      </c>
      <c r="D98">
        <f>IFERROR(--SUBSTITUTE(SUBSTITUTE(TRIM(INDEX(INDIRECT("'Выгрузка'!A98:Z98"),Настройки!$B$10)),",","."),".",MID(1/2,2,1)),"")</f>
        <v/>
      </c>
      <c r="E98">
        <f>IFERROR(--SUBSTITUTE(SUBSTITUTE(TRIM(INDEX(INDIRECT("'Выгрузка'!A98:Z98"),Настройки!$B$11)),",","."),".",MID(1/2,2,1)),"")</f>
        <v/>
      </c>
      <c r="F98">
        <f>TRIM(INDEX(INDIRECT("'Выгрузка'!A98:Z98"),Настройки!$B$12)&amp;"")</f>
        <v/>
      </c>
      <c r="G98">
        <f>IF(F98="",0,IF(TRIM(INDEX(INDIRECT("'Выгрузка'!A98:Z98"),Настройки!$B$13)&amp;"")="",1,IFERROR(--SUBSTITUTE(SUBSTITUTE(TRIM(INDEX(INDIRECT("'Выгрузка'!A98:Z98"),Настройки!$B$13)),",","."),".",MID(1/2,2,1)),"")))</f>
        <v/>
      </c>
      <c r="H98">
        <f>IF(F98="",0,IF(COUNTIF(Настройки!$B$17:$B$26,F98)&gt;0,1,IF(COUNTIF(Настройки!$C$17:$C$26,F98)&gt;0,2,IF(COUNTIF(Настройки!$D$17:$D$26,F98)&gt;0,3,0))))</f>
        <v/>
      </c>
      <c r="I98">
        <f>IF(AND(ISNUMBER(A98),ISNUMBER(B98)),A98*1000+B98,"")</f>
        <v/>
      </c>
      <c r="J98">
        <f>IF(I98="","",IF(COUNTIF(I$2:I98,I98)=1,MAX(J$1:J97)+1,""))</f>
        <v/>
      </c>
    </row>
    <row r="99">
      <c r="A99">
        <f>IFERROR(--SUBSTITUTE(SUBSTITUTE(TRIM(INDEX(INDIRECT("'Выгрузка'!A99:Z99"),Настройки!$B$7)),",","."),".",MID(1/2,2,1)),"")</f>
        <v/>
      </c>
      <c r="B99">
        <f>IFERROR(--SUBSTITUTE(SUBSTITUTE(TRIM(INDEX(INDIRECT("'Выгрузка'!A99:Z99"),Настройки!$B$9)),",","."),".",MID(1/2,2,1)),"")</f>
        <v/>
      </c>
      <c r="C99">
        <f>TRIM(INDEX(INDIRECT("'Выгрузка'!A99:Z99"),Настройки!$B$8)&amp;"")</f>
        <v/>
      </c>
      <c r="D99">
        <f>IFERROR(--SUBSTITUTE(SUBSTITUTE(TRIM(INDEX(INDIRECT("'Выгрузка'!A99:Z99"),Настройки!$B$10)),",","."),".",MID(1/2,2,1)),"")</f>
        <v/>
      </c>
      <c r="E99">
        <f>IFERROR(--SUBSTITUTE(SUBSTITUTE(TRIM(INDEX(INDIRECT("'Выгрузка'!A99:Z99"),Настройки!$B$11)),",","."),".",MID(1/2,2,1)),"")</f>
        <v/>
      </c>
      <c r="F99">
        <f>TRIM(INDEX(INDIRECT("'Выгрузка'!A99:Z99"),Настройки!$B$12)&amp;"")</f>
        <v/>
      </c>
      <c r="G99">
        <f>IF(F99="",0,IF(TRIM(INDEX(INDIRECT("'Выгрузка'!A99:Z99"),Настройки!$B$13)&amp;"")="",1,IFERROR(--SUBSTITUTE(SUBSTITUTE(TRIM(INDEX(INDIRECT("'Выгрузка'!A99:Z99"),Настройки!$B$13)),",","."),".",MID(1/2,2,1)),"")))</f>
        <v/>
      </c>
      <c r="H99">
        <f>IF(F99="",0,IF(COUNTIF(Настройки!$B$17:$B$26,F99)&gt;0,1,IF(COUNTIF(Настройки!$C$17:$C$26,F99)&gt;0,2,IF(COUNTIF(Настройки!$D$17:$D$26,F99)&gt;0,3,0))))</f>
        <v/>
      </c>
      <c r="I99">
        <f>IF(AND(ISNUMBER(A99),ISNUMBER(B99)),A99*1000+B99,"")</f>
        <v/>
      </c>
      <c r="J99">
        <f>IF(I99="","",IF(COUNTIF(I$2:I99,I99)=1,MAX(J$1:J98)+1,""))</f>
        <v/>
      </c>
    </row>
    <row r="100">
      <c r="A100">
        <f>IFERROR(--SUBSTITUTE(SUBSTITUTE(TRIM(INDEX(INDIRECT("'Выгрузка'!A100:Z100"),Настройки!$B$7)),",","."),".",MID(1/2,2,1)),"")</f>
        <v/>
      </c>
      <c r="B100">
        <f>IFERROR(--SUBSTITUTE(SUBSTITUTE(TRIM(INDEX(INDIRECT("'Выгрузка'!A100:Z100"),Настройки!$B$9)),",","."),".",MID(1/2,2,1)),"")</f>
        <v/>
      </c>
      <c r="C100">
        <f>TRIM(INDEX(INDIRECT("'Выгрузка'!A100:Z100"),Настройки!$B$8)&amp;"")</f>
        <v/>
      </c>
      <c r="D100">
        <f>IFERROR(--SUBSTITUTE(SUBSTITUTE(TRIM(INDEX(INDIRECT("'Выгрузка'!A100:Z100"),Настройки!$B$10)),",","."),".",MID(1/2,2,1)),"")</f>
        <v/>
      </c>
      <c r="E100">
        <f>IFERROR(--SUBSTITUTE(SUBSTITUTE(TRIM(INDEX(INDIRECT("'Выгрузка'!A100:Z100"),Настройки!$B$11)),",","."),".",MID(1/2,2,1)),"")</f>
        <v/>
      </c>
      <c r="F100">
        <f>TRIM(INDEX(INDIRECT("'Выгрузка'!A100:Z100"),Настройки!$B$12)&amp;"")</f>
        <v/>
      </c>
      <c r="G100">
        <f>IF(F100="",0,IF(TRIM(INDEX(INDIRECT("'Выгрузка'!A100:Z100"),Настройки!$B$13)&amp;"")="",1,IFERROR(--SUBSTITUTE(SUBSTITUTE(TRIM(INDEX(INDIRECT("'Выгрузка'!A100:Z100"),Настройки!$B$13)),",","."),".",MID(1/2,2,1)),"")))</f>
        <v/>
      </c>
      <c r="H100">
        <f>IF(F100="",0,IF(COUNTIF(Настройки!$B$17:$B$26,F100)&gt;0,1,IF(COUNTIF(Настройки!$C$17:$C$26,F100)&gt;0,2,IF(COUNTIF(Настройки!$D$17:$D$26,F100)&gt;0,3,0))))</f>
        <v/>
      </c>
      <c r="I100">
        <f>IF(AND(ISNUMBER(A100),ISNUMBER(B100)),A100*1000+B100,"")</f>
        <v/>
      </c>
      <c r="J100">
        <f>IF(I100="","",IF(COUNTIF(I$2:I100,I100)=1,MAX(J$1:J99)+1,""))</f>
        <v/>
      </c>
    </row>
    <row r="101">
      <c r="A101">
        <f>IFERROR(--SUBSTITUTE(SUBSTITUTE(TRIM(INDEX(INDIRECT("'Выгрузка'!A101:Z101"),Настройки!$B$7)),",","."),".",MID(1/2,2,1)),"")</f>
        <v/>
      </c>
      <c r="B101">
        <f>IFERROR(--SUBSTITUTE(SUBSTITUTE(TRIM(INDEX(INDIRECT("'Выгрузка'!A101:Z101"),Настройки!$B$9)),",","."),".",MID(1/2,2,1)),"")</f>
        <v/>
      </c>
      <c r="C101">
        <f>TRIM(INDEX(INDIRECT("'Выгрузка'!A101:Z101"),Настройки!$B$8)&amp;"")</f>
        <v/>
      </c>
      <c r="D101">
        <f>IFERROR(--SUBSTITUTE(SUBSTITUTE(TRIM(INDEX(INDIRECT("'Выгрузка'!A101:Z101"),Настройки!$B$10)),",","."),".",MID(1/2,2,1)),"")</f>
        <v/>
      </c>
      <c r="E101">
        <f>IFERROR(--SUBSTITUTE(SUBSTITUTE(TRIM(INDEX(INDIRECT("'Выгрузка'!A101:Z101"),Настройки!$B$11)),",","."),".",MID(1/2,2,1)),"")</f>
        <v/>
      </c>
      <c r="F101">
        <f>TRIM(INDEX(INDIRECT("'Выгрузка'!A101:Z101"),Настройки!$B$12)&amp;"")</f>
        <v/>
      </c>
      <c r="G101">
        <f>IF(F101="",0,IF(TRIM(INDEX(INDIRECT("'Выгрузка'!A101:Z101"),Настройки!$B$13)&amp;"")="",1,IFERROR(--SUBSTITUTE(SUBSTITUTE(TRIM(INDEX(INDIRECT("'Выгрузка'!A101:Z101"),Настройки!$B$13)),",","."),".",MID(1/2,2,1)),"")))</f>
        <v/>
      </c>
      <c r="H101">
        <f>IF(F101="",0,IF(COUNTIF(Настройки!$B$17:$B$26,F101)&gt;0,1,IF(COUNTIF(Настройки!$C$17:$C$26,F101)&gt;0,2,IF(COUNTIF(Настройки!$D$17:$D$26,F101)&gt;0,3,0))))</f>
        <v/>
      </c>
      <c r="I101">
        <f>IF(AND(ISNUMBER(A101),ISNUMBER(B101)),A101*1000+B101,"")</f>
        <v/>
      </c>
      <c r="J101">
        <f>IF(I101="","",IF(COUNTIF(I$2:I101,I101)=1,MAX(J$1:J100)+1,""))</f>
        <v/>
      </c>
    </row>
    <row r="102">
      <c r="A102">
        <f>IFERROR(--SUBSTITUTE(SUBSTITUTE(TRIM(INDEX(INDIRECT("'Выгрузка'!A102:Z102"),Настройки!$B$7)),",","."),".",MID(1/2,2,1)),"")</f>
        <v/>
      </c>
      <c r="B102">
        <f>IFERROR(--SUBSTITUTE(SUBSTITUTE(TRIM(INDEX(INDIRECT("'Выгрузка'!A102:Z102"),Настройки!$B$9)),",","."),".",MID(1/2,2,1)),"")</f>
        <v/>
      </c>
      <c r="C102">
        <f>TRIM(INDEX(INDIRECT("'Выгрузка'!A102:Z102"),Настройки!$B$8)&amp;"")</f>
        <v/>
      </c>
      <c r="D102">
        <f>IFERROR(--SUBSTITUTE(SUBSTITUTE(TRIM(INDEX(INDIRECT("'Выгрузка'!A102:Z102"),Настройки!$B$10)),",","."),".",MID(1/2,2,1)),"")</f>
        <v/>
      </c>
      <c r="E102">
        <f>IFERROR(--SUBSTITUTE(SUBSTITUTE(TRIM(INDEX(INDIRECT("'Выгрузка'!A102:Z102"),Настройки!$B$11)),",","."),".",MID(1/2,2,1)),"")</f>
        <v/>
      </c>
      <c r="F102">
        <f>TRIM(INDEX(INDIRECT("'Выгрузка'!A102:Z102"),Настройки!$B$12)&amp;"")</f>
        <v/>
      </c>
      <c r="G102">
        <f>IF(F102="",0,IF(TRIM(INDEX(INDIRECT("'Выгрузка'!A102:Z102"),Настройки!$B$13)&amp;"")="",1,IFERROR(--SUBSTITUTE(SUBSTITUTE(TRIM(INDEX(INDIRECT("'Выгрузка'!A102:Z102"),Настройки!$B$13)),",","."),".",MID(1/2,2,1)),"")))</f>
        <v/>
      </c>
      <c r="H102">
        <f>IF(F102="",0,IF(COUNTIF(Настройки!$B$17:$B$26,F102)&gt;0,1,IF(COUNTIF(Настройки!$C$17:$C$26,F102)&gt;0,2,IF(COUNTIF(Настройки!$D$17:$D$26,F102)&gt;0,3,0))))</f>
        <v/>
      </c>
      <c r="I102">
        <f>IF(AND(ISNUMBER(A102),ISNUMBER(B102)),A102*1000+B102,"")</f>
        <v/>
      </c>
      <c r="J102">
        <f>IF(I102="","",IF(COUNTIF(I$2:I102,I102)=1,MAX(J$1:J101)+1,""))</f>
        <v/>
      </c>
    </row>
    <row r="103">
      <c r="A103">
        <f>IFERROR(--SUBSTITUTE(SUBSTITUTE(TRIM(INDEX(INDIRECT("'Выгрузка'!A103:Z103"),Настройки!$B$7)),",","."),".",MID(1/2,2,1)),"")</f>
        <v/>
      </c>
      <c r="B103">
        <f>IFERROR(--SUBSTITUTE(SUBSTITUTE(TRIM(INDEX(INDIRECT("'Выгрузка'!A103:Z103"),Настройки!$B$9)),",","."),".",MID(1/2,2,1)),"")</f>
        <v/>
      </c>
      <c r="C103">
        <f>TRIM(INDEX(INDIRECT("'Выгрузка'!A103:Z103"),Настройки!$B$8)&amp;"")</f>
        <v/>
      </c>
      <c r="D103">
        <f>IFERROR(--SUBSTITUTE(SUBSTITUTE(TRIM(INDEX(INDIRECT("'Выгрузка'!A103:Z103"),Настройки!$B$10)),",","."),".",MID(1/2,2,1)),"")</f>
        <v/>
      </c>
      <c r="E103">
        <f>IFERROR(--SUBSTITUTE(SUBSTITUTE(TRIM(INDEX(INDIRECT("'Выгрузка'!A103:Z103"),Настройки!$B$11)),",","."),".",MID(1/2,2,1)),"")</f>
        <v/>
      </c>
      <c r="F103">
        <f>TRIM(INDEX(INDIRECT("'Выгрузка'!A103:Z103"),Настройки!$B$12)&amp;"")</f>
        <v/>
      </c>
      <c r="G103">
        <f>IF(F103="",0,IF(TRIM(INDEX(INDIRECT("'Выгрузка'!A103:Z103"),Настройки!$B$13)&amp;"")="",1,IFERROR(--SUBSTITUTE(SUBSTITUTE(TRIM(INDEX(INDIRECT("'Выгрузка'!A103:Z103"),Настройки!$B$13)),",","."),".",MID(1/2,2,1)),"")))</f>
        <v/>
      </c>
      <c r="H103">
        <f>IF(F103="",0,IF(COUNTIF(Настройки!$B$17:$B$26,F103)&gt;0,1,IF(COUNTIF(Настройки!$C$17:$C$26,F103)&gt;0,2,IF(COUNTIF(Настройки!$D$17:$D$26,F103)&gt;0,3,0))))</f>
        <v/>
      </c>
      <c r="I103">
        <f>IF(AND(ISNUMBER(A103),ISNUMBER(B103)),A103*1000+B103,"")</f>
        <v/>
      </c>
      <c r="J103">
        <f>IF(I103="","",IF(COUNTIF(I$2:I103,I103)=1,MAX(J$1:J102)+1,""))</f>
        <v/>
      </c>
    </row>
    <row r="104">
      <c r="A104">
        <f>IFERROR(--SUBSTITUTE(SUBSTITUTE(TRIM(INDEX(INDIRECT("'Выгрузка'!A104:Z104"),Настройки!$B$7)),",","."),".",MID(1/2,2,1)),"")</f>
        <v/>
      </c>
      <c r="B104">
        <f>IFERROR(--SUBSTITUTE(SUBSTITUTE(TRIM(INDEX(INDIRECT("'Выгрузка'!A104:Z104"),Настройки!$B$9)),",","."),".",MID(1/2,2,1)),"")</f>
        <v/>
      </c>
      <c r="C104">
        <f>TRIM(INDEX(INDIRECT("'Выгрузка'!A104:Z104"),Настройки!$B$8)&amp;"")</f>
        <v/>
      </c>
      <c r="D104">
        <f>IFERROR(--SUBSTITUTE(SUBSTITUTE(TRIM(INDEX(INDIRECT("'Выгрузка'!A104:Z104"),Настройки!$B$10)),",","."),".",MID(1/2,2,1)),"")</f>
        <v/>
      </c>
      <c r="E104">
        <f>IFERROR(--SUBSTITUTE(SUBSTITUTE(TRIM(INDEX(INDIRECT("'Выгрузка'!A104:Z104"),Настройки!$B$11)),",","."),".",MID(1/2,2,1)),"")</f>
        <v/>
      </c>
      <c r="F104">
        <f>TRIM(INDEX(INDIRECT("'Выгрузка'!A104:Z104"),Настройки!$B$12)&amp;"")</f>
        <v/>
      </c>
      <c r="G104">
        <f>IF(F104="",0,IF(TRIM(INDEX(INDIRECT("'Выгрузка'!A104:Z104"),Настройки!$B$13)&amp;"")="",1,IFERROR(--SUBSTITUTE(SUBSTITUTE(TRIM(INDEX(INDIRECT("'Выгрузка'!A104:Z104"),Настройки!$B$13)),",","."),".",MID(1/2,2,1)),"")))</f>
        <v/>
      </c>
      <c r="H104">
        <f>IF(F104="",0,IF(COUNTIF(Настройки!$B$17:$B$26,F104)&gt;0,1,IF(COUNTIF(Настройки!$C$17:$C$26,F104)&gt;0,2,IF(COUNTIF(Настройки!$D$17:$D$26,F104)&gt;0,3,0))))</f>
        <v/>
      </c>
      <c r="I104">
        <f>IF(AND(ISNUMBER(A104),ISNUMBER(B104)),A104*1000+B104,"")</f>
        <v/>
      </c>
      <c r="J104">
        <f>IF(I104="","",IF(COUNTIF(I$2:I104,I104)=1,MAX(J$1:J103)+1,""))</f>
        <v/>
      </c>
    </row>
    <row r="105">
      <c r="A105">
        <f>IFERROR(--SUBSTITUTE(SUBSTITUTE(TRIM(INDEX(INDIRECT("'Выгрузка'!A105:Z105"),Настройки!$B$7)),",","."),".",MID(1/2,2,1)),"")</f>
        <v/>
      </c>
      <c r="B105">
        <f>IFERROR(--SUBSTITUTE(SUBSTITUTE(TRIM(INDEX(INDIRECT("'Выгрузка'!A105:Z105"),Настройки!$B$9)),",","."),".",MID(1/2,2,1)),"")</f>
        <v/>
      </c>
      <c r="C105">
        <f>TRIM(INDEX(INDIRECT("'Выгрузка'!A105:Z105"),Настройки!$B$8)&amp;"")</f>
        <v/>
      </c>
      <c r="D105">
        <f>IFERROR(--SUBSTITUTE(SUBSTITUTE(TRIM(INDEX(INDIRECT("'Выгрузка'!A105:Z105"),Настройки!$B$10)),",","."),".",MID(1/2,2,1)),"")</f>
        <v/>
      </c>
      <c r="E105">
        <f>IFERROR(--SUBSTITUTE(SUBSTITUTE(TRIM(INDEX(INDIRECT("'Выгрузка'!A105:Z105"),Настройки!$B$11)),",","."),".",MID(1/2,2,1)),"")</f>
        <v/>
      </c>
      <c r="F105">
        <f>TRIM(INDEX(INDIRECT("'Выгрузка'!A105:Z105"),Настройки!$B$12)&amp;"")</f>
        <v/>
      </c>
      <c r="G105">
        <f>IF(F105="",0,IF(TRIM(INDEX(INDIRECT("'Выгрузка'!A105:Z105"),Настройки!$B$13)&amp;"")="",1,IFERROR(--SUBSTITUTE(SUBSTITUTE(TRIM(INDEX(INDIRECT("'Выгрузка'!A105:Z105"),Настройки!$B$13)),",","."),".",MID(1/2,2,1)),"")))</f>
        <v/>
      </c>
      <c r="H105">
        <f>IF(F105="",0,IF(COUNTIF(Настройки!$B$17:$B$26,F105)&gt;0,1,IF(COUNTIF(Настройки!$C$17:$C$26,F105)&gt;0,2,IF(COUNTIF(Настройки!$D$17:$D$26,F105)&gt;0,3,0))))</f>
        <v/>
      </c>
      <c r="I105">
        <f>IF(AND(ISNUMBER(A105),ISNUMBER(B105)),A105*1000+B105,"")</f>
        <v/>
      </c>
      <c r="J105">
        <f>IF(I105="","",IF(COUNTIF(I$2:I105,I105)=1,MAX(J$1:J104)+1,""))</f>
        <v/>
      </c>
    </row>
    <row r="106">
      <c r="A106">
        <f>IFERROR(--SUBSTITUTE(SUBSTITUTE(TRIM(INDEX(INDIRECT("'Выгрузка'!A106:Z106"),Настройки!$B$7)),",","."),".",MID(1/2,2,1)),"")</f>
        <v/>
      </c>
      <c r="B106">
        <f>IFERROR(--SUBSTITUTE(SUBSTITUTE(TRIM(INDEX(INDIRECT("'Выгрузка'!A106:Z106"),Настройки!$B$9)),",","."),".",MID(1/2,2,1)),"")</f>
        <v/>
      </c>
      <c r="C106">
        <f>TRIM(INDEX(INDIRECT("'Выгрузка'!A106:Z106"),Настройки!$B$8)&amp;"")</f>
        <v/>
      </c>
      <c r="D106">
        <f>IFERROR(--SUBSTITUTE(SUBSTITUTE(TRIM(INDEX(INDIRECT("'Выгрузка'!A106:Z106"),Настройки!$B$10)),",","."),".",MID(1/2,2,1)),"")</f>
        <v/>
      </c>
      <c r="E106">
        <f>IFERROR(--SUBSTITUTE(SUBSTITUTE(TRIM(INDEX(INDIRECT("'Выгрузка'!A106:Z106"),Настройки!$B$11)),",","."),".",MID(1/2,2,1)),"")</f>
        <v/>
      </c>
      <c r="F106">
        <f>TRIM(INDEX(INDIRECT("'Выгрузка'!A106:Z106"),Настройки!$B$12)&amp;"")</f>
        <v/>
      </c>
      <c r="G106">
        <f>IF(F106="",0,IF(TRIM(INDEX(INDIRECT("'Выгрузка'!A106:Z106"),Настройки!$B$13)&amp;"")="",1,IFERROR(--SUBSTITUTE(SUBSTITUTE(TRIM(INDEX(INDIRECT("'Выгрузка'!A106:Z106"),Настройки!$B$13)),",","."),".",MID(1/2,2,1)),"")))</f>
        <v/>
      </c>
      <c r="H106">
        <f>IF(F106="",0,IF(COUNTIF(Настройки!$B$17:$B$26,F106)&gt;0,1,IF(COUNTIF(Настройки!$C$17:$C$26,F106)&gt;0,2,IF(COUNTIF(Настройки!$D$17:$D$26,F106)&gt;0,3,0))))</f>
        <v/>
      </c>
      <c r="I106">
        <f>IF(AND(ISNUMBER(A106),ISNUMBER(B106)),A106*1000+B106,"")</f>
        <v/>
      </c>
      <c r="J106">
        <f>IF(I106="","",IF(COUNTIF(I$2:I106,I106)=1,MAX(J$1:J105)+1,""))</f>
        <v/>
      </c>
    </row>
    <row r="107">
      <c r="A107">
        <f>IFERROR(--SUBSTITUTE(SUBSTITUTE(TRIM(INDEX(INDIRECT("'Выгрузка'!A107:Z107"),Настройки!$B$7)),",","."),".",MID(1/2,2,1)),"")</f>
        <v/>
      </c>
      <c r="B107">
        <f>IFERROR(--SUBSTITUTE(SUBSTITUTE(TRIM(INDEX(INDIRECT("'Выгрузка'!A107:Z107"),Настройки!$B$9)),",","."),".",MID(1/2,2,1)),"")</f>
        <v/>
      </c>
      <c r="C107">
        <f>TRIM(INDEX(INDIRECT("'Выгрузка'!A107:Z107"),Настройки!$B$8)&amp;"")</f>
        <v/>
      </c>
      <c r="D107">
        <f>IFERROR(--SUBSTITUTE(SUBSTITUTE(TRIM(INDEX(INDIRECT("'Выгрузка'!A107:Z107"),Настройки!$B$10)),",","."),".",MID(1/2,2,1)),"")</f>
        <v/>
      </c>
      <c r="E107">
        <f>IFERROR(--SUBSTITUTE(SUBSTITUTE(TRIM(INDEX(INDIRECT("'Выгрузка'!A107:Z107"),Настройки!$B$11)),",","."),".",MID(1/2,2,1)),"")</f>
        <v/>
      </c>
      <c r="F107">
        <f>TRIM(INDEX(INDIRECT("'Выгрузка'!A107:Z107"),Настройки!$B$12)&amp;"")</f>
        <v/>
      </c>
      <c r="G107">
        <f>IF(F107="",0,IF(TRIM(INDEX(INDIRECT("'Выгрузка'!A107:Z107"),Настройки!$B$13)&amp;"")="",1,IFERROR(--SUBSTITUTE(SUBSTITUTE(TRIM(INDEX(INDIRECT("'Выгрузка'!A107:Z107"),Настройки!$B$13)),",","."),".",MID(1/2,2,1)),"")))</f>
        <v/>
      </c>
      <c r="H107">
        <f>IF(F107="",0,IF(COUNTIF(Настройки!$B$17:$B$26,F107)&gt;0,1,IF(COUNTIF(Настройки!$C$17:$C$26,F107)&gt;0,2,IF(COUNTIF(Настройки!$D$17:$D$26,F107)&gt;0,3,0))))</f>
        <v/>
      </c>
      <c r="I107">
        <f>IF(AND(ISNUMBER(A107),ISNUMBER(B107)),A107*1000+B107,"")</f>
        <v/>
      </c>
      <c r="J107">
        <f>IF(I107="","",IF(COUNTIF(I$2:I107,I107)=1,MAX(J$1:J106)+1,""))</f>
        <v/>
      </c>
    </row>
    <row r="108">
      <c r="A108">
        <f>IFERROR(--SUBSTITUTE(SUBSTITUTE(TRIM(INDEX(INDIRECT("'Выгрузка'!A108:Z108"),Настройки!$B$7)),",","."),".",MID(1/2,2,1)),"")</f>
        <v/>
      </c>
      <c r="B108">
        <f>IFERROR(--SUBSTITUTE(SUBSTITUTE(TRIM(INDEX(INDIRECT("'Выгрузка'!A108:Z108"),Настройки!$B$9)),",","."),".",MID(1/2,2,1)),"")</f>
        <v/>
      </c>
      <c r="C108">
        <f>TRIM(INDEX(INDIRECT("'Выгрузка'!A108:Z108"),Настройки!$B$8)&amp;"")</f>
        <v/>
      </c>
      <c r="D108">
        <f>IFERROR(--SUBSTITUTE(SUBSTITUTE(TRIM(INDEX(INDIRECT("'Выгрузка'!A108:Z108"),Настройки!$B$10)),",","."),".",MID(1/2,2,1)),"")</f>
        <v/>
      </c>
      <c r="E108">
        <f>IFERROR(--SUBSTITUTE(SUBSTITUTE(TRIM(INDEX(INDIRECT("'Выгрузка'!A108:Z108"),Настройки!$B$11)),",","."),".",MID(1/2,2,1)),"")</f>
        <v/>
      </c>
      <c r="F108">
        <f>TRIM(INDEX(INDIRECT("'Выгрузка'!A108:Z108"),Настройки!$B$12)&amp;"")</f>
        <v/>
      </c>
      <c r="G108">
        <f>IF(F108="",0,IF(TRIM(INDEX(INDIRECT("'Выгрузка'!A108:Z108"),Настройки!$B$13)&amp;"")="",1,IFERROR(--SUBSTITUTE(SUBSTITUTE(TRIM(INDEX(INDIRECT("'Выгрузка'!A108:Z108"),Настройки!$B$13)),",","."),".",MID(1/2,2,1)),"")))</f>
        <v/>
      </c>
      <c r="H108">
        <f>IF(F108="",0,IF(COUNTIF(Настройки!$B$17:$B$26,F108)&gt;0,1,IF(COUNTIF(Настройки!$C$17:$C$26,F108)&gt;0,2,IF(COUNTIF(Настройки!$D$17:$D$26,F108)&gt;0,3,0))))</f>
        <v/>
      </c>
      <c r="I108">
        <f>IF(AND(ISNUMBER(A108),ISNUMBER(B108)),A108*1000+B108,"")</f>
        <v/>
      </c>
      <c r="J108">
        <f>IF(I108="","",IF(COUNTIF(I$2:I108,I108)=1,MAX(J$1:J107)+1,""))</f>
        <v/>
      </c>
    </row>
    <row r="109">
      <c r="A109">
        <f>IFERROR(--SUBSTITUTE(SUBSTITUTE(TRIM(INDEX(INDIRECT("'Выгрузка'!A109:Z109"),Настройки!$B$7)),",","."),".",MID(1/2,2,1)),"")</f>
        <v/>
      </c>
      <c r="B109">
        <f>IFERROR(--SUBSTITUTE(SUBSTITUTE(TRIM(INDEX(INDIRECT("'Выгрузка'!A109:Z109"),Настройки!$B$9)),",","."),".",MID(1/2,2,1)),"")</f>
        <v/>
      </c>
      <c r="C109">
        <f>TRIM(INDEX(INDIRECT("'Выгрузка'!A109:Z109"),Настройки!$B$8)&amp;"")</f>
        <v/>
      </c>
      <c r="D109">
        <f>IFERROR(--SUBSTITUTE(SUBSTITUTE(TRIM(INDEX(INDIRECT("'Выгрузка'!A109:Z109"),Настройки!$B$10)),",","."),".",MID(1/2,2,1)),"")</f>
        <v/>
      </c>
      <c r="E109">
        <f>IFERROR(--SUBSTITUTE(SUBSTITUTE(TRIM(INDEX(INDIRECT("'Выгрузка'!A109:Z109"),Настройки!$B$11)),",","."),".",MID(1/2,2,1)),"")</f>
        <v/>
      </c>
      <c r="F109">
        <f>TRIM(INDEX(INDIRECT("'Выгрузка'!A109:Z109"),Настройки!$B$12)&amp;"")</f>
        <v/>
      </c>
      <c r="G109">
        <f>IF(F109="",0,IF(TRIM(INDEX(INDIRECT("'Выгрузка'!A109:Z109"),Настройки!$B$13)&amp;"")="",1,IFERROR(--SUBSTITUTE(SUBSTITUTE(TRIM(INDEX(INDIRECT("'Выгрузка'!A109:Z109"),Настройки!$B$13)),",","."),".",MID(1/2,2,1)),"")))</f>
        <v/>
      </c>
      <c r="H109">
        <f>IF(F109="",0,IF(COUNTIF(Настройки!$B$17:$B$26,F109)&gt;0,1,IF(COUNTIF(Настройки!$C$17:$C$26,F109)&gt;0,2,IF(COUNTIF(Настройки!$D$17:$D$26,F109)&gt;0,3,0))))</f>
        <v/>
      </c>
      <c r="I109">
        <f>IF(AND(ISNUMBER(A109),ISNUMBER(B109)),A109*1000+B109,"")</f>
        <v/>
      </c>
      <c r="J109">
        <f>IF(I109="","",IF(COUNTIF(I$2:I109,I109)=1,MAX(J$1:J108)+1,""))</f>
        <v/>
      </c>
    </row>
    <row r="110">
      <c r="A110">
        <f>IFERROR(--SUBSTITUTE(SUBSTITUTE(TRIM(INDEX(INDIRECT("'Выгрузка'!A110:Z110"),Настройки!$B$7)),",","."),".",MID(1/2,2,1)),"")</f>
        <v/>
      </c>
      <c r="B110">
        <f>IFERROR(--SUBSTITUTE(SUBSTITUTE(TRIM(INDEX(INDIRECT("'Выгрузка'!A110:Z110"),Настройки!$B$9)),",","."),".",MID(1/2,2,1)),"")</f>
        <v/>
      </c>
      <c r="C110">
        <f>TRIM(INDEX(INDIRECT("'Выгрузка'!A110:Z110"),Настройки!$B$8)&amp;"")</f>
        <v/>
      </c>
      <c r="D110">
        <f>IFERROR(--SUBSTITUTE(SUBSTITUTE(TRIM(INDEX(INDIRECT("'Выгрузка'!A110:Z110"),Настройки!$B$10)),",","."),".",MID(1/2,2,1)),"")</f>
        <v/>
      </c>
      <c r="E110">
        <f>IFERROR(--SUBSTITUTE(SUBSTITUTE(TRIM(INDEX(INDIRECT("'Выгрузка'!A110:Z110"),Настройки!$B$11)),",","."),".",MID(1/2,2,1)),"")</f>
        <v/>
      </c>
      <c r="F110">
        <f>TRIM(INDEX(INDIRECT("'Выгрузка'!A110:Z110"),Настройки!$B$12)&amp;"")</f>
        <v/>
      </c>
      <c r="G110">
        <f>IF(F110="",0,IF(TRIM(INDEX(INDIRECT("'Выгрузка'!A110:Z110"),Настройки!$B$13)&amp;"")="",1,IFERROR(--SUBSTITUTE(SUBSTITUTE(TRIM(INDEX(INDIRECT("'Выгрузка'!A110:Z110"),Настройки!$B$13)),",","."),".",MID(1/2,2,1)),"")))</f>
        <v/>
      </c>
      <c r="H110">
        <f>IF(F110="",0,IF(COUNTIF(Настройки!$B$17:$B$26,F110)&gt;0,1,IF(COUNTIF(Настройки!$C$17:$C$26,F110)&gt;0,2,IF(COUNTIF(Настройки!$D$17:$D$26,F110)&gt;0,3,0))))</f>
        <v/>
      </c>
      <c r="I110">
        <f>IF(AND(ISNUMBER(A110),ISNUMBER(B110)),A110*1000+B110,"")</f>
        <v/>
      </c>
      <c r="J110">
        <f>IF(I110="","",IF(COUNTIF(I$2:I110,I110)=1,MAX(J$1:J109)+1,""))</f>
        <v/>
      </c>
    </row>
    <row r="111">
      <c r="A111">
        <f>IFERROR(--SUBSTITUTE(SUBSTITUTE(TRIM(INDEX(INDIRECT("'Выгрузка'!A111:Z111"),Настройки!$B$7)),",","."),".",MID(1/2,2,1)),"")</f>
        <v/>
      </c>
      <c r="B111">
        <f>IFERROR(--SUBSTITUTE(SUBSTITUTE(TRIM(INDEX(INDIRECT("'Выгрузка'!A111:Z111"),Настройки!$B$9)),",","."),".",MID(1/2,2,1)),"")</f>
        <v/>
      </c>
      <c r="C111">
        <f>TRIM(INDEX(INDIRECT("'Выгрузка'!A111:Z111"),Настройки!$B$8)&amp;"")</f>
        <v/>
      </c>
      <c r="D111">
        <f>IFERROR(--SUBSTITUTE(SUBSTITUTE(TRIM(INDEX(INDIRECT("'Выгрузка'!A111:Z111"),Настройки!$B$10)),",","."),".",MID(1/2,2,1)),"")</f>
        <v/>
      </c>
      <c r="E111">
        <f>IFERROR(--SUBSTITUTE(SUBSTITUTE(TRIM(INDEX(INDIRECT("'Выгрузка'!A111:Z111"),Настройки!$B$11)),",","."),".",MID(1/2,2,1)),"")</f>
        <v/>
      </c>
      <c r="F111">
        <f>TRIM(INDEX(INDIRECT("'Выгрузка'!A111:Z111"),Настройки!$B$12)&amp;"")</f>
        <v/>
      </c>
      <c r="G111">
        <f>IF(F111="",0,IF(TRIM(INDEX(INDIRECT("'Выгрузка'!A111:Z111"),Настройки!$B$13)&amp;"")="",1,IFERROR(--SUBSTITUTE(SUBSTITUTE(TRIM(INDEX(INDIRECT("'Выгрузка'!A111:Z111"),Настройки!$B$13)),",","."),".",MID(1/2,2,1)),"")))</f>
        <v/>
      </c>
      <c r="H111">
        <f>IF(F111="",0,IF(COUNTIF(Настройки!$B$17:$B$26,F111)&gt;0,1,IF(COUNTIF(Настройки!$C$17:$C$26,F111)&gt;0,2,IF(COUNTIF(Настройки!$D$17:$D$26,F111)&gt;0,3,0))))</f>
        <v/>
      </c>
      <c r="I111">
        <f>IF(AND(ISNUMBER(A111),ISNUMBER(B111)),A111*1000+B111,"")</f>
        <v/>
      </c>
      <c r="J111">
        <f>IF(I111="","",IF(COUNTIF(I$2:I111,I111)=1,MAX(J$1:J110)+1,""))</f>
        <v/>
      </c>
    </row>
    <row r="112">
      <c r="A112">
        <f>IFERROR(--SUBSTITUTE(SUBSTITUTE(TRIM(INDEX(INDIRECT("'Выгрузка'!A112:Z112"),Настройки!$B$7)),",","."),".",MID(1/2,2,1)),"")</f>
        <v/>
      </c>
      <c r="B112">
        <f>IFERROR(--SUBSTITUTE(SUBSTITUTE(TRIM(INDEX(INDIRECT("'Выгрузка'!A112:Z112"),Настройки!$B$9)),",","."),".",MID(1/2,2,1)),"")</f>
        <v/>
      </c>
      <c r="C112">
        <f>TRIM(INDEX(INDIRECT("'Выгрузка'!A112:Z112"),Настройки!$B$8)&amp;"")</f>
        <v/>
      </c>
      <c r="D112">
        <f>IFERROR(--SUBSTITUTE(SUBSTITUTE(TRIM(INDEX(INDIRECT("'Выгрузка'!A112:Z112"),Настройки!$B$10)),",","."),".",MID(1/2,2,1)),"")</f>
        <v/>
      </c>
      <c r="E112">
        <f>IFERROR(--SUBSTITUTE(SUBSTITUTE(TRIM(INDEX(INDIRECT("'Выгрузка'!A112:Z112"),Настройки!$B$11)),",","."),".",MID(1/2,2,1)),"")</f>
        <v/>
      </c>
      <c r="F112">
        <f>TRIM(INDEX(INDIRECT("'Выгрузка'!A112:Z112"),Настройки!$B$12)&amp;"")</f>
        <v/>
      </c>
      <c r="G112">
        <f>IF(F112="",0,IF(TRIM(INDEX(INDIRECT("'Выгрузка'!A112:Z112"),Настройки!$B$13)&amp;"")="",1,IFERROR(--SUBSTITUTE(SUBSTITUTE(TRIM(INDEX(INDIRECT("'Выгрузка'!A112:Z112"),Настройки!$B$13)),",","."),".",MID(1/2,2,1)),"")))</f>
        <v/>
      </c>
      <c r="H112">
        <f>IF(F112="",0,IF(COUNTIF(Настройки!$B$17:$B$26,F112)&gt;0,1,IF(COUNTIF(Настройки!$C$17:$C$26,F112)&gt;0,2,IF(COUNTIF(Настройки!$D$17:$D$26,F112)&gt;0,3,0))))</f>
        <v/>
      </c>
      <c r="I112">
        <f>IF(AND(ISNUMBER(A112),ISNUMBER(B112)),A112*1000+B112,"")</f>
        <v/>
      </c>
      <c r="J112">
        <f>IF(I112="","",IF(COUNTIF(I$2:I112,I112)=1,MAX(J$1:J111)+1,""))</f>
        <v/>
      </c>
    </row>
    <row r="113">
      <c r="A113">
        <f>IFERROR(--SUBSTITUTE(SUBSTITUTE(TRIM(INDEX(INDIRECT("'Выгрузка'!A113:Z113"),Настройки!$B$7)),",","."),".",MID(1/2,2,1)),"")</f>
        <v/>
      </c>
      <c r="B113">
        <f>IFERROR(--SUBSTITUTE(SUBSTITUTE(TRIM(INDEX(INDIRECT("'Выгрузка'!A113:Z113"),Настройки!$B$9)),",","."),".",MID(1/2,2,1)),"")</f>
        <v/>
      </c>
      <c r="C113">
        <f>TRIM(INDEX(INDIRECT("'Выгрузка'!A113:Z113"),Настройки!$B$8)&amp;"")</f>
        <v/>
      </c>
      <c r="D113">
        <f>IFERROR(--SUBSTITUTE(SUBSTITUTE(TRIM(INDEX(INDIRECT("'Выгрузка'!A113:Z113"),Настройки!$B$10)),",","."),".",MID(1/2,2,1)),"")</f>
        <v/>
      </c>
      <c r="E113">
        <f>IFERROR(--SUBSTITUTE(SUBSTITUTE(TRIM(INDEX(INDIRECT("'Выгрузка'!A113:Z113"),Настройки!$B$11)),",","."),".",MID(1/2,2,1)),"")</f>
        <v/>
      </c>
      <c r="F113">
        <f>TRIM(INDEX(INDIRECT("'Выгрузка'!A113:Z113"),Настройки!$B$12)&amp;"")</f>
        <v/>
      </c>
      <c r="G113">
        <f>IF(F113="",0,IF(TRIM(INDEX(INDIRECT("'Выгрузка'!A113:Z113"),Настройки!$B$13)&amp;"")="",1,IFERROR(--SUBSTITUTE(SUBSTITUTE(TRIM(INDEX(INDIRECT("'Выгрузка'!A113:Z113"),Настройки!$B$13)),",","."),".",MID(1/2,2,1)),"")))</f>
        <v/>
      </c>
      <c r="H113">
        <f>IF(F113="",0,IF(COUNTIF(Настройки!$B$17:$B$26,F113)&gt;0,1,IF(COUNTIF(Настройки!$C$17:$C$26,F113)&gt;0,2,IF(COUNTIF(Настройки!$D$17:$D$26,F113)&gt;0,3,0))))</f>
        <v/>
      </c>
      <c r="I113">
        <f>IF(AND(ISNUMBER(A113),ISNUMBER(B113)),A113*1000+B113,"")</f>
        <v/>
      </c>
      <c r="J113">
        <f>IF(I113="","",IF(COUNTIF(I$2:I113,I113)=1,MAX(J$1:J112)+1,""))</f>
        <v/>
      </c>
    </row>
    <row r="114">
      <c r="A114">
        <f>IFERROR(--SUBSTITUTE(SUBSTITUTE(TRIM(INDEX(INDIRECT("'Выгрузка'!A114:Z114"),Настройки!$B$7)),",","."),".",MID(1/2,2,1)),"")</f>
        <v/>
      </c>
      <c r="B114">
        <f>IFERROR(--SUBSTITUTE(SUBSTITUTE(TRIM(INDEX(INDIRECT("'Выгрузка'!A114:Z114"),Настройки!$B$9)),",","."),".",MID(1/2,2,1)),"")</f>
        <v/>
      </c>
      <c r="C114">
        <f>TRIM(INDEX(INDIRECT("'Выгрузка'!A114:Z114"),Настройки!$B$8)&amp;"")</f>
        <v/>
      </c>
      <c r="D114">
        <f>IFERROR(--SUBSTITUTE(SUBSTITUTE(TRIM(INDEX(INDIRECT("'Выгрузка'!A114:Z114"),Настройки!$B$10)),",","."),".",MID(1/2,2,1)),"")</f>
        <v/>
      </c>
      <c r="E114">
        <f>IFERROR(--SUBSTITUTE(SUBSTITUTE(TRIM(INDEX(INDIRECT("'Выгрузка'!A114:Z114"),Настройки!$B$11)),",","."),".",MID(1/2,2,1)),"")</f>
        <v/>
      </c>
      <c r="F114">
        <f>TRIM(INDEX(INDIRECT("'Выгрузка'!A114:Z114"),Настройки!$B$12)&amp;"")</f>
        <v/>
      </c>
      <c r="G114">
        <f>IF(F114="",0,IF(TRIM(INDEX(INDIRECT("'Выгрузка'!A114:Z114"),Настройки!$B$13)&amp;"")="",1,IFERROR(--SUBSTITUTE(SUBSTITUTE(TRIM(INDEX(INDIRECT("'Выгрузка'!A114:Z114"),Настройки!$B$13)),",","."),".",MID(1/2,2,1)),"")))</f>
        <v/>
      </c>
      <c r="H114">
        <f>IF(F114="",0,IF(COUNTIF(Настройки!$B$17:$B$26,F114)&gt;0,1,IF(COUNTIF(Настройки!$C$17:$C$26,F114)&gt;0,2,IF(COUNTIF(Настройки!$D$17:$D$26,F114)&gt;0,3,0))))</f>
        <v/>
      </c>
      <c r="I114">
        <f>IF(AND(ISNUMBER(A114),ISNUMBER(B114)),A114*1000+B114,"")</f>
        <v/>
      </c>
      <c r="J114">
        <f>IF(I114="","",IF(COUNTIF(I$2:I114,I114)=1,MAX(J$1:J113)+1,""))</f>
        <v/>
      </c>
    </row>
    <row r="115">
      <c r="A115">
        <f>IFERROR(--SUBSTITUTE(SUBSTITUTE(TRIM(INDEX(INDIRECT("'Выгрузка'!A115:Z115"),Настройки!$B$7)),",","."),".",MID(1/2,2,1)),"")</f>
        <v/>
      </c>
      <c r="B115">
        <f>IFERROR(--SUBSTITUTE(SUBSTITUTE(TRIM(INDEX(INDIRECT("'Выгрузка'!A115:Z115"),Настройки!$B$9)),",","."),".",MID(1/2,2,1)),"")</f>
        <v/>
      </c>
      <c r="C115">
        <f>TRIM(INDEX(INDIRECT("'Выгрузка'!A115:Z115"),Настройки!$B$8)&amp;"")</f>
        <v/>
      </c>
      <c r="D115">
        <f>IFERROR(--SUBSTITUTE(SUBSTITUTE(TRIM(INDEX(INDIRECT("'Выгрузка'!A115:Z115"),Настройки!$B$10)),",","."),".",MID(1/2,2,1)),"")</f>
        <v/>
      </c>
      <c r="E115">
        <f>IFERROR(--SUBSTITUTE(SUBSTITUTE(TRIM(INDEX(INDIRECT("'Выгрузка'!A115:Z115"),Настройки!$B$11)),",","."),".",MID(1/2,2,1)),"")</f>
        <v/>
      </c>
      <c r="F115">
        <f>TRIM(INDEX(INDIRECT("'Выгрузка'!A115:Z115"),Настройки!$B$12)&amp;"")</f>
        <v/>
      </c>
      <c r="G115">
        <f>IF(F115="",0,IF(TRIM(INDEX(INDIRECT("'Выгрузка'!A115:Z115"),Настройки!$B$13)&amp;"")="",1,IFERROR(--SUBSTITUTE(SUBSTITUTE(TRIM(INDEX(INDIRECT("'Выгрузка'!A115:Z115"),Настройки!$B$13)),",","."),".",MID(1/2,2,1)),"")))</f>
        <v/>
      </c>
      <c r="H115">
        <f>IF(F115="",0,IF(COUNTIF(Настройки!$B$17:$B$26,F115)&gt;0,1,IF(COUNTIF(Настройки!$C$17:$C$26,F115)&gt;0,2,IF(COUNTIF(Настройки!$D$17:$D$26,F115)&gt;0,3,0))))</f>
        <v/>
      </c>
      <c r="I115">
        <f>IF(AND(ISNUMBER(A115),ISNUMBER(B115)),A115*1000+B115,"")</f>
        <v/>
      </c>
      <c r="J115">
        <f>IF(I115="","",IF(COUNTIF(I$2:I115,I115)=1,MAX(J$1:J114)+1,""))</f>
        <v/>
      </c>
    </row>
    <row r="116">
      <c r="A116">
        <f>IFERROR(--SUBSTITUTE(SUBSTITUTE(TRIM(INDEX(INDIRECT("'Выгрузка'!A116:Z116"),Настройки!$B$7)),",","."),".",MID(1/2,2,1)),"")</f>
        <v/>
      </c>
      <c r="B116">
        <f>IFERROR(--SUBSTITUTE(SUBSTITUTE(TRIM(INDEX(INDIRECT("'Выгрузка'!A116:Z116"),Настройки!$B$9)),",","."),".",MID(1/2,2,1)),"")</f>
        <v/>
      </c>
      <c r="C116">
        <f>TRIM(INDEX(INDIRECT("'Выгрузка'!A116:Z116"),Настройки!$B$8)&amp;"")</f>
        <v/>
      </c>
      <c r="D116">
        <f>IFERROR(--SUBSTITUTE(SUBSTITUTE(TRIM(INDEX(INDIRECT("'Выгрузка'!A116:Z116"),Настройки!$B$10)),",","."),".",MID(1/2,2,1)),"")</f>
        <v/>
      </c>
      <c r="E116">
        <f>IFERROR(--SUBSTITUTE(SUBSTITUTE(TRIM(INDEX(INDIRECT("'Выгрузка'!A116:Z116"),Настройки!$B$11)),",","."),".",MID(1/2,2,1)),"")</f>
        <v/>
      </c>
      <c r="F116">
        <f>TRIM(INDEX(INDIRECT("'Выгрузка'!A116:Z116"),Настройки!$B$12)&amp;"")</f>
        <v/>
      </c>
      <c r="G116">
        <f>IF(F116="",0,IF(TRIM(INDEX(INDIRECT("'Выгрузка'!A116:Z116"),Настройки!$B$13)&amp;"")="",1,IFERROR(--SUBSTITUTE(SUBSTITUTE(TRIM(INDEX(INDIRECT("'Выгрузка'!A116:Z116"),Настройки!$B$13)),",","."),".",MID(1/2,2,1)),"")))</f>
        <v/>
      </c>
      <c r="H116">
        <f>IF(F116="",0,IF(COUNTIF(Настройки!$B$17:$B$26,F116)&gt;0,1,IF(COUNTIF(Настройки!$C$17:$C$26,F116)&gt;0,2,IF(COUNTIF(Настройки!$D$17:$D$26,F116)&gt;0,3,0))))</f>
        <v/>
      </c>
      <c r="I116">
        <f>IF(AND(ISNUMBER(A116),ISNUMBER(B116)),A116*1000+B116,"")</f>
        <v/>
      </c>
      <c r="J116">
        <f>IF(I116="","",IF(COUNTIF(I$2:I116,I116)=1,MAX(J$1:J115)+1,""))</f>
        <v/>
      </c>
    </row>
    <row r="117">
      <c r="A117">
        <f>IFERROR(--SUBSTITUTE(SUBSTITUTE(TRIM(INDEX(INDIRECT("'Выгрузка'!A117:Z117"),Настройки!$B$7)),",","."),".",MID(1/2,2,1)),"")</f>
        <v/>
      </c>
      <c r="B117">
        <f>IFERROR(--SUBSTITUTE(SUBSTITUTE(TRIM(INDEX(INDIRECT("'Выгрузка'!A117:Z117"),Настройки!$B$9)),",","."),".",MID(1/2,2,1)),"")</f>
        <v/>
      </c>
      <c r="C117">
        <f>TRIM(INDEX(INDIRECT("'Выгрузка'!A117:Z117"),Настройки!$B$8)&amp;"")</f>
        <v/>
      </c>
      <c r="D117">
        <f>IFERROR(--SUBSTITUTE(SUBSTITUTE(TRIM(INDEX(INDIRECT("'Выгрузка'!A117:Z117"),Настройки!$B$10)),",","."),".",MID(1/2,2,1)),"")</f>
        <v/>
      </c>
      <c r="E117">
        <f>IFERROR(--SUBSTITUTE(SUBSTITUTE(TRIM(INDEX(INDIRECT("'Выгрузка'!A117:Z117"),Настройки!$B$11)),",","."),".",MID(1/2,2,1)),"")</f>
        <v/>
      </c>
      <c r="F117">
        <f>TRIM(INDEX(INDIRECT("'Выгрузка'!A117:Z117"),Настройки!$B$12)&amp;"")</f>
        <v/>
      </c>
      <c r="G117">
        <f>IF(F117="",0,IF(TRIM(INDEX(INDIRECT("'Выгрузка'!A117:Z117"),Настройки!$B$13)&amp;"")="",1,IFERROR(--SUBSTITUTE(SUBSTITUTE(TRIM(INDEX(INDIRECT("'Выгрузка'!A117:Z117"),Настройки!$B$13)),",","."),".",MID(1/2,2,1)),"")))</f>
        <v/>
      </c>
      <c r="H117">
        <f>IF(F117="",0,IF(COUNTIF(Настройки!$B$17:$B$26,F117)&gt;0,1,IF(COUNTIF(Настройки!$C$17:$C$26,F117)&gt;0,2,IF(COUNTIF(Настройки!$D$17:$D$26,F117)&gt;0,3,0))))</f>
        <v/>
      </c>
      <c r="I117">
        <f>IF(AND(ISNUMBER(A117),ISNUMBER(B117)),A117*1000+B117,"")</f>
        <v/>
      </c>
      <c r="J117">
        <f>IF(I117="","",IF(COUNTIF(I$2:I117,I117)=1,MAX(J$1:J116)+1,""))</f>
        <v/>
      </c>
    </row>
    <row r="118">
      <c r="A118">
        <f>IFERROR(--SUBSTITUTE(SUBSTITUTE(TRIM(INDEX(INDIRECT("'Выгрузка'!A118:Z118"),Настройки!$B$7)),",","."),".",MID(1/2,2,1)),"")</f>
        <v/>
      </c>
      <c r="B118">
        <f>IFERROR(--SUBSTITUTE(SUBSTITUTE(TRIM(INDEX(INDIRECT("'Выгрузка'!A118:Z118"),Настройки!$B$9)),",","."),".",MID(1/2,2,1)),"")</f>
        <v/>
      </c>
      <c r="C118">
        <f>TRIM(INDEX(INDIRECT("'Выгрузка'!A118:Z118"),Настройки!$B$8)&amp;"")</f>
        <v/>
      </c>
      <c r="D118">
        <f>IFERROR(--SUBSTITUTE(SUBSTITUTE(TRIM(INDEX(INDIRECT("'Выгрузка'!A118:Z118"),Настройки!$B$10)),",","."),".",MID(1/2,2,1)),"")</f>
        <v/>
      </c>
      <c r="E118">
        <f>IFERROR(--SUBSTITUTE(SUBSTITUTE(TRIM(INDEX(INDIRECT("'Выгрузка'!A118:Z118"),Настройки!$B$11)),",","."),".",MID(1/2,2,1)),"")</f>
        <v/>
      </c>
      <c r="F118">
        <f>TRIM(INDEX(INDIRECT("'Выгрузка'!A118:Z118"),Настройки!$B$12)&amp;"")</f>
        <v/>
      </c>
      <c r="G118">
        <f>IF(F118="",0,IF(TRIM(INDEX(INDIRECT("'Выгрузка'!A118:Z118"),Настройки!$B$13)&amp;"")="",1,IFERROR(--SUBSTITUTE(SUBSTITUTE(TRIM(INDEX(INDIRECT("'Выгрузка'!A118:Z118"),Настройки!$B$13)),",","."),".",MID(1/2,2,1)),"")))</f>
        <v/>
      </c>
      <c r="H118">
        <f>IF(F118="",0,IF(COUNTIF(Настройки!$B$17:$B$26,F118)&gt;0,1,IF(COUNTIF(Настройки!$C$17:$C$26,F118)&gt;0,2,IF(COUNTIF(Настройки!$D$17:$D$26,F118)&gt;0,3,0))))</f>
        <v/>
      </c>
      <c r="I118">
        <f>IF(AND(ISNUMBER(A118),ISNUMBER(B118)),A118*1000+B118,"")</f>
        <v/>
      </c>
      <c r="J118">
        <f>IF(I118="","",IF(COUNTIF(I$2:I118,I118)=1,MAX(J$1:J117)+1,""))</f>
        <v/>
      </c>
    </row>
    <row r="119">
      <c r="A119">
        <f>IFERROR(--SUBSTITUTE(SUBSTITUTE(TRIM(INDEX(INDIRECT("'Выгрузка'!A119:Z119"),Настройки!$B$7)),",","."),".",MID(1/2,2,1)),"")</f>
        <v/>
      </c>
      <c r="B119">
        <f>IFERROR(--SUBSTITUTE(SUBSTITUTE(TRIM(INDEX(INDIRECT("'Выгрузка'!A119:Z119"),Настройки!$B$9)),",","."),".",MID(1/2,2,1)),"")</f>
        <v/>
      </c>
      <c r="C119">
        <f>TRIM(INDEX(INDIRECT("'Выгрузка'!A119:Z119"),Настройки!$B$8)&amp;"")</f>
        <v/>
      </c>
      <c r="D119">
        <f>IFERROR(--SUBSTITUTE(SUBSTITUTE(TRIM(INDEX(INDIRECT("'Выгрузка'!A119:Z119"),Настройки!$B$10)),",","."),".",MID(1/2,2,1)),"")</f>
        <v/>
      </c>
      <c r="E119">
        <f>IFERROR(--SUBSTITUTE(SUBSTITUTE(TRIM(INDEX(INDIRECT("'Выгрузка'!A119:Z119"),Настройки!$B$11)),",","."),".",MID(1/2,2,1)),"")</f>
        <v/>
      </c>
      <c r="F119">
        <f>TRIM(INDEX(INDIRECT("'Выгрузка'!A119:Z119"),Настройки!$B$12)&amp;"")</f>
        <v/>
      </c>
      <c r="G119">
        <f>IF(F119="",0,IF(TRIM(INDEX(INDIRECT("'Выгрузка'!A119:Z119"),Настройки!$B$13)&amp;"")="",1,IFERROR(--SUBSTITUTE(SUBSTITUTE(TRIM(INDEX(INDIRECT("'Выгрузка'!A119:Z119"),Настройки!$B$13)),",","."),".",MID(1/2,2,1)),"")))</f>
        <v/>
      </c>
      <c r="H119">
        <f>IF(F119="",0,IF(COUNTIF(Настройки!$B$17:$B$26,F119)&gt;0,1,IF(COUNTIF(Настройки!$C$17:$C$26,F119)&gt;0,2,IF(COUNTIF(Настройки!$D$17:$D$26,F119)&gt;0,3,0))))</f>
        <v/>
      </c>
      <c r="I119">
        <f>IF(AND(ISNUMBER(A119),ISNUMBER(B119)),A119*1000+B119,"")</f>
        <v/>
      </c>
      <c r="J119">
        <f>IF(I119="","",IF(COUNTIF(I$2:I119,I119)=1,MAX(J$1:J118)+1,""))</f>
        <v/>
      </c>
    </row>
    <row r="120">
      <c r="A120">
        <f>IFERROR(--SUBSTITUTE(SUBSTITUTE(TRIM(INDEX(INDIRECT("'Выгрузка'!A120:Z120"),Настройки!$B$7)),",","."),".",MID(1/2,2,1)),"")</f>
        <v/>
      </c>
      <c r="B120">
        <f>IFERROR(--SUBSTITUTE(SUBSTITUTE(TRIM(INDEX(INDIRECT("'Выгрузка'!A120:Z120"),Настройки!$B$9)),",","."),".",MID(1/2,2,1)),"")</f>
        <v/>
      </c>
      <c r="C120">
        <f>TRIM(INDEX(INDIRECT("'Выгрузка'!A120:Z120"),Настройки!$B$8)&amp;"")</f>
        <v/>
      </c>
      <c r="D120">
        <f>IFERROR(--SUBSTITUTE(SUBSTITUTE(TRIM(INDEX(INDIRECT("'Выгрузка'!A120:Z120"),Настройки!$B$10)),",","."),".",MID(1/2,2,1)),"")</f>
        <v/>
      </c>
      <c r="E120">
        <f>IFERROR(--SUBSTITUTE(SUBSTITUTE(TRIM(INDEX(INDIRECT("'Выгрузка'!A120:Z120"),Настройки!$B$11)),",","."),".",MID(1/2,2,1)),"")</f>
        <v/>
      </c>
      <c r="F120">
        <f>TRIM(INDEX(INDIRECT("'Выгрузка'!A120:Z120"),Настройки!$B$12)&amp;"")</f>
        <v/>
      </c>
      <c r="G120">
        <f>IF(F120="",0,IF(TRIM(INDEX(INDIRECT("'Выгрузка'!A120:Z120"),Настройки!$B$13)&amp;"")="",1,IFERROR(--SUBSTITUTE(SUBSTITUTE(TRIM(INDEX(INDIRECT("'Выгрузка'!A120:Z120"),Настройки!$B$13)),",","."),".",MID(1/2,2,1)),"")))</f>
        <v/>
      </c>
      <c r="H120">
        <f>IF(F120="",0,IF(COUNTIF(Настройки!$B$17:$B$26,F120)&gt;0,1,IF(COUNTIF(Настройки!$C$17:$C$26,F120)&gt;0,2,IF(COUNTIF(Настройки!$D$17:$D$26,F120)&gt;0,3,0))))</f>
        <v/>
      </c>
      <c r="I120">
        <f>IF(AND(ISNUMBER(A120),ISNUMBER(B120)),A120*1000+B120,"")</f>
        <v/>
      </c>
      <c r="J120">
        <f>IF(I120="","",IF(COUNTIF(I$2:I120,I120)=1,MAX(J$1:J119)+1,""))</f>
        <v/>
      </c>
    </row>
    <row r="121">
      <c r="A121">
        <f>IFERROR(--SUBSTITUTE(SUBSTITUTE(TRIM(INDEX(INDIRECT("'Выгрузка'!A121:Z121"),Настройки!$B$7)),",","."),".",MID(1/2,2,1)),"")</f>
        <v/>
      </c>
      <c r="B121">
        <f>IFERROR(--SUBSTITUTE(SUBSTITUTE(TRIM(INDEX(INDIRECT("'Выгрузка'!A121:Z121"),Настройки!$B$9)),",","."),".",MID(1/2,2,1)),"")</f>
        <v/>
      </c>
      <c r="C121">
        <f>TRIM(INDEX(INDIRECT("'Выгрузка'!A121:Z121"),Настройки!$B$8)&amp;"")</f>
        <v/>
      </c>
      <c r="D121">
        <f>IFERROR(--SUBSTITUTE(SUBSTITUTE(TRIM(INDEX(INDIRECT("'Выгрузка'!A121:Z121"),Настройки!$B$10)),",","."),".",MID(1/2,2,1)),"")</f>
        <v/>
      </c>
      <c r="E121">
        <f>IFERROR(--SUBSTITUTE(SUBSTITUTE(TRIM(INDEX(INDIRECT("'Выгрузка'!A121:Z121"),Настройки!$B$11)),",","."),".",MID(1/2,2,1)),"")</f>
        <v/>
      </c>
      <c r="F121">
        <f>TRIM(INDEX(INDIRECT("'Выгрузка'!A121:Z121"),Настройки!$B$12)&amp;"")</f>
        <v/>
      </c>
      <c r="G121">
        <f>IF(F121="",0,IF(TRIM(INDEX(INDIRECT("'Выгрузка'!A121:Z121"),Настройки!$B$13)&amp;"")="",1,IFERROR(--SUBSTITUTE(SUBSTITUTE(TRIM(INDEX(INDIRECT("'Выгрузка'!A121:Z121"),Настройки!$B$13)),",","."),".",MID(1/2,2,1)),"")))</f>
        <v/>
      </c>
      <c r="H121">
        <f>IF(F121="",0,IF(COUNTIF(Настройки!$B$17:$B$26,F121)&gt;0,1,IF(COUNTIF(Настройки!$C$17:$C$26,F121)&gt;0,2,IF(COUNTIF(Настройки!$D$17:$D$26,F121)&gt;0,3,0))))</f>
        <v/>
      </c>
      <c r="I121">
        <f>IF(AND(ISNUMBER(A121),ISNUMBER(B121)),A121*1000+B121,"")</f>
        <v/>
      </c>
      <c r="J121">
        <f>IF(I121="","",IF(COUNTIF(I$2:I121,I121)=1,MAX(J$1:J120)+1,""))</f>
        <v/>
      </c>
    </row>
    <row r="122">
      <c r="A122">
        <f>IFERROR(--SUBSTITUTE(SUBSTITUTE(TRIM(INDEX(INDIRECT("'Выгрузка'!A122:Z122"),Настройки!$B$7)),",","."),".",MID(1/2,2,1)),"")</f>
        <v/>
      </c>
      <c r="B122">
        <f>IFERROR(--SUBSTITUTE(SUBSTITUTE(TRIM(INDEX(INDIRECT("'Выгрузка'!A122:Z122"),Настройки!$B$9)),",","."),".",MID(1/2,2,1)),"")</f>
        <v/>
      </c>
      <c r="C122">
        <f>TRIM(INDEX(INDIRECT("'Выгрузка'!A122:Z122"),Настройки!$B$8)&amp;"")</f>
        <v/>
      </c>
      <c r="D122">
        <f>IFERROR(--SUBSTITUTE(SUBSTITUTE(TRIM(INDEX(INDIRECT("'Выгрузка'!A122:Z122"),Настройки!$B$10)),",","."),".",MID(1/2,2,1)),"")</f>
        <v/>
      </c>
      <c r="E122">
        <f>IFERROR(--SUBSTITUTE(SUBSTITUTE(TRIM(INDEX(INDIRECT("'Выгрузка'!A122:Z122"),Настройки!$B$11)),",","."),".",MID(1/2,2,1)),"")</f>
        <v/>
      </c>
      <c r="F122">
        <f>TRIM(INDEX(INDIRECT("'Выгрузка'!A122:Z122"),Настройки!$B$12)&amp;"")</f>
        <v/>
      </c>
      <c r="G122">
        <f>IF(F122="",0,IF(TRIM(INDEX(INDIRECT("'Выгрузка'!A122:Z122"),Настройки!$B$13)&amp;"")="",1,IFERROR(--SUBSTITUTE(SUBSTITUTE(TRIM(INDEX(INDIRECT("'Выгрузка'!A122:Z122"),Настройки!$B$13)),",","."),".",MID(1/2,2,1)),"")))</f>
        <v/>
      </c>
      <c r="H122">
        <f>IF(F122="",0,IF(COUNTIF(Настройки!$B$17:$B$26,F122)&gt;0,1,IF(COUNTIF(Настройки!$C$17:$C$26,F122)&gt;0,2,IF(COUNTIF(Настройки!$D$17:$D$26,F122)&gt;0,3,0))))</f>
        <v/>
      </c>
      <c r="I122">
        <f>IF(AND(ISNUMBER(A122),ISNUMBER(B122)),A122*1000+B122,"")</f>
        <v/>
      </c>
      <c r="J122">
        <f>IF(I122="","",IF(COUNTIF(I$2:I122,I122)=1,MAX(J$1:J121)+1,""))</f>
        <v/>
      </c>
    </row>
    <row r="123">
      <c r="A123">
        <f>IFERROR(--SUBSTITUTE(SUBSTITUTE(TRIM(INDEX(INDIRECT("'Выгрузка'!A123:Z123"),Настройки!$B$7)),",","."),".",MID(1/2,2,1)),"")</f>
        <v/>
      </c>
      <c r="B123">
        <f>IFERROR(--SUBSTITUTE(SUBSTITUTE(TRIM(INDEX(INDIRECT("'Выгрузка'!A123:Z123"),Настройки!$B$9)),",","."),".",MID(1/2,2,1)),"")</f>
        <v/>
      </c>
      <c r="C123">
        <f>TRIM(INDEX(INDIRECT("'Выгрузка'!A123:Z123"),Настройки!$B$8)&amp;"")</f>
        <v/>
      </c>
      <c r="D123">
        <f>IFERROR(--SUBSTITUTE(SUBSTITUTE(TRIM(INDEX(INDIRECT("'Выгрузка'!A123:Z123"),Настройки!$B$10)),",","."),".",MID(1/2,2,1)),"")</f>
        <v/>
      </c>
      <c r="E123">
        <f>IFERROR(--SUBSTITUTE(SUBSTITUTE(TRIM(INDEX(INDIRECT("'Выгрузка'!A123:Z123"),Настройки!$B$11)),",","."),".",MID(1/2,2,1)),"")</f>
        <v/>
      </c>
      <c r="F123">
        <f>TRIM(INDEX(INDIRECT("'Выгрузка'!A123:Z123"),Настройки!$B$12)&amp;"")</f>
        <v/>
      </c>
      <c r="G123">
        <f>IF(F123="",0,IF(TRIM(INDEX(INDIRECT("'Выгрузка'!A123:Z123"),Настройки!$B$13)&amp;"")="",1,IFERROR(--SUBSTITUTE(SUBSTITUTE(TRIM(INDEX(INDIRECT("'Выгрузка'!A123:Z123"),Настройки!$B$13)),",","."),".",MID(1/2,2,1)),"")))</f>
        <v/>
      </c>
      <c r="H123">
        <f>IF(F123="",0,IF(COUNTIF(Настройки!$B$17:$B$26,F123)&gt;0,1,IF(COUNTIF(Настройки!$C$17:$C$26,F123)&gt;0,2,IF(COUNTIF(Настройки!$D$17:$D$26,F123)&gt;0,3,0))))</f>
        <v/>
      </c>
      <c r="I123">
        <f>IF(AND(ISNUMBER(A123),ISNUMBER(B123)),A123*1000+B123,"")</f>
        <v/>
      </c>
      <c r="J123">
        <f>IF(I123="","",IF(COUNTIF(I$2:I123,I123)=1,MAX(J$1:J122)+1,""))</f>
        <v/>
      </c>
    </row>
    <row r="124">
      <c r="A124">
        <f>IFERROR(--SUBSTITUTE(SUBSTITUTE(TRIM(INDEX(INDIRECT("'Выгрузка'!A124:Z124"),Настройки!$B$7)),",","."),".",MID(1/2,2,1)),"")</f>
        <v/>
      </c>
      <c r="B124">
        <f>IFERROR(--SUBSTITUTE(SUBSTITUTE(TRIM(INDEX(INDIRECT("'Выгрузка'!A124:Z124"),Настройки!$B$9)),",","."),".",MID(1/2,2,1)),"")</f>
        <v/>
      </c>
      <c r="C124">
        <f>TRIM(INDEX(INDIRECT("'Выгрузка'!A124:Z124"),Настройки!$B$8)&amp;"")</f>
        <v/>
      </c>
      <c r="D124">
        <f>IFERROR(--SUBSTITUTE(SUBSTITUTE(TRIM(INDEX(INDIRECT("'Выгрузка'!A124:Z124"),Настройки!$B$10)),",","."),".",MID(1/2,2,1)),"")</f>
        <v/>
      </c>
      <c r="E124">
        <f>IFERROR(--SUBSTITUTE(SUBSTITUTE(TRIM(INDEX(INDIRECT("'Выгрузка'!A124:Z124"),Настройки!$B$11)),",","."),".",MID(1/2,2,1)),"")</f>
        <v/>
      </c>
      <c r="F124">
        <f>TRIM(INDEX(INDIRECT("'Выгрузка'!A124:Z124"),Настройки!$B$12)&amp;"")</f>
        <v/>
      </c>
      <c r="G124">
        <f>IF(F124="",0,IF(TRIM(INDEX(INDIRECT("'Выгрузка'!A124:Z124"),Настройки!$B$13)&amp;"")="",1,IFERROR(--SUBSTITUTE(SUBSTITUTE(TRIM(INDEX(INDIRECT("'Выгрузка'!A124:Z124"),Настройки!$B$13)),",","."),".",MID(1/2,2,1)),"")))</f>
        <v/>
      </c>
      <c r="H124">
        <f>IF(F124="",0,IF(COUNTIF(Настройки!$B$17:$B$26,F124)&gt;0,1,IF(COUNTIF(Настройки!$C$17:$C$26,F124)&gt;0,2,IF(COUNTIF(Настройки!$D$17:$D$26,F124)&gt;0,3,0))))</f>
        <v/>
      </c>
      <c r="I124">
        <f>IF(AND(ISNUMBER(A124),ISNUMBER(B124)),A124*1000+B124,"")</f>
        <v/>
      </c>
      <c r="J124">
        <f>IF(I124="","",IF(COUNTIF(I$2:I124,I124)=1,MAX(J$1:J123)+1,""))</f>
        <v/>
      </c>
    </row>
    <row r="125">
      <c r="A125">
        <f>IFERROR(--SUBSTITUTE(SUBSTITUTE(TRIM(INDEX(INDIRECT("'Выгрузка'!A125:Z125"),Настройки!$B$7)),",","."),".",MID(1/2,2,1)),"")</f>
        <v/>
      </c>
      <c r="B125">
        <f>IFERROR(--SUBSTITUTE(SUBSTITUTE(TRIM(INDEX(INDIRECT("'Выгрузка'!A125:Z125"),Настройки!$B$9)),",","."),".",MID(1/2,2,1)),"")</f>
        <v/>
      </c>
      <c r="C125">
        <f>TRIM(INDEX(INDIRECT("'Выгрузка'!A125:Z125"),Настройки!$B$8)&amp;"")</f>
        <v/>
      </c>
      <c r="D125">
        <f>IFERROR(--SUBSTITUTE(SUBSTITUTE(TRIM(INDEX(INDIRECT("'Выгрузка'!A125:Z125"),Настройки!$B$10)),",","."),".",MID(1/2,2,1)),"")</f>
        <v/>
      </c>
      <c r="E125">
        <f>IFERROR(--SUBSTITUTE(SUBSTITUTE(TRIM(INDEX(INDIRECT("'Выгрузка'!A125:Z125"),Настройки!$B$11)),",","."),".",MID(1/2,2,1)),"")</f>
        <v/>
      </c>
      <c r="F125">
        <f>TRIM(INDEX(INDIRECT("'Выгрузка'!A125:Z125"),Настройки!$B$12)&amp;"")</f>
        <v/>
      </c>
      <c r="G125">
        <f>IF(F125="",0,IF(TRIM(INDEX(INDIRECT("'Выгрузка'!A125:Z125"),Настройки!$B$13)&amp;"")="",1,IFERROR(--SUBSTITUTE(SUBSTITUTE(TRIM(INDEX(INDIRECT("'Выгрузка'!A125:Z125"),Настройки!$B$13)),",","."),".",MID(1/2,2,1)),"")))</f>
        <v/>
      </c>
      <c r="H125">
        <f>IF(F125="",0,IF(COUNTIF(Настройки!$B$17:$B$26,F125)&gt;0,1,IF(COUNTIF(Настройки!$C$17:$C$26,F125)&gt;0,2,IF(COUNTIF(Настройки!$D$17:$D$26,F125)&gt;0,3,0))))</f>
        <v/>
      </c>
      <c r="I125">
        <f>IF(AND(ISNUMBER(A125),ISNUMBER(B125)),A125*1000+B125,"")</f>
        <v/>
      </c>
      <c r="J125">
        <f>IF(I125="","",IF(COUNTIF(I$2:I125,I125)=1,MAX(J$1:J124)+1,""))</f>
        <v/>
      </c>
    </row>
    <row r="126">
      <c r="A126">
        <f>IFERROR(--SUBSTITUTE(SUBSTITUTE(TRIM(INDEX(INDIRECT("'Выгрузка'!A126:Z126"),Настройки!$B$7)),",","."),".",MID(1/2,2,1)),"")</f>
        <v/>
      </c>
      <c r="B126">
        <f>IFERROR(--SUBSTITUTE(SUBSTITUTE(TRIM(INDEX(INDIRECT("'Выгрузка'!A126:Z126"),Настройки!$B$9)),",","."),".",MID(1/2,2,1)),"")</f>
        <v/>
      </c>
      <c r="C126">
        <f>TRIM(INDEX(INDIRECT("'Выгрузка'!A126:Z126"),Настройки!$B$8)&amp;"")</f>
        <v/>
      </c>
      <c r="D126">
        <f>IFERROR(--SUBSTITUTE(SUBSTITUTE(TRIM(INDEX(INDIRECT("'Выгрузка'!A126:Z126"),Настройки!$B$10)),",","."),".",MID(1/2,2,1)),"")</f>
        <v/>
      </c>
      <c r="E126">
        <f>IFERROR(--SUBSTITUTE(SUBSTITUTE(TRIM(INDEX(INDIRECT("'Выгрузка'!A126:Z126"),Настройки!$B$11)),",","."),".",MID(1/2,2,1)),"")</f>
        <v/>
      </c>
      <c r="F126">
        <f>TRIM(INDEX(INDIRECT("'Выгрузка'!A126:Z126"),Настройки!$B$12)&amp;"")</f>
        <v/>
      </c>
      <c r="G126">
        <f>IF(F126="",0,IF(TRIM(INDEX(INDIRECT("'Выгрузка'!A126:Z126"),Настройки!$B$13)&amp;"")="",1,IFERROR(--SUBSTITUTE(SUBSTITUTE(TRIM(INDEX(INDIRECT("'Выгрузка'!A126:Z126"),Настройки!$B$13)),",","."),".",MID(1/2,2,1)),"")))</f>
        <v/>
      </c>
      <c r="H126">
        <f>IF(F126="",0,IF(COUNTIF(Настройки!$B$17:$B$26,F126)&gt;0,1,IF(COUNTIF(Настройки!$C$17:$C$26,F126)&gt;0,2,IF(COUNTIF(Настройки!$D$17:$D$26,F126)&gt;0,3,0))))</f>
        <v/>
      </c>
      <c r="I126">
        <f>IF(AND(ISNUMBER(A126),ISNUMBER(B126)),A126*1000+B126,"")</f>
        <v/>
      </c>
      <c r="J126">
        <f>IF(I126="","",IF(COUNTIF(I$2:I126,I126)=1,MAX(J$1:J125)+1,""))</f>
        <v/>
      </c>
    </row>
    <row r="127">
      <c r="A127">
        <f>IFERROR(--SUBSTITUTE(SUBSTITUTE(TRIM(INDEX(INDIRECT("'Выгрузка'!A127:Z127"),Настройки!$B$7)),",","."),".",MID(1/2,2,1)),"")</f>
        <v/>
      </c>
      <c r="B127">
        <f>IFERROR(--SUBSTITUTE(SUBSTITUTE(TRIM(INDEX(INDIRECT("'Выгрузка'!A127:Z127"),Настройки!$B$9)),",","."),".",MID(1/2,2,1)),"")</f>
        <v/>
      </c>
      <c r="C127">
        <f>TRIM(INDEX(INDIRECT("'Выгрузка'!A127:Z127"),Настройки!$B$8)&amp;"")</f>
        <v/>
      </c>
      <c r="D127">
        <f>IFERROR(--SUBSTITUTE(SUBSTITUTE(TRIM(INDEX(INDIRECT("'Выгрузка'!A127:Z127"),Настройки!$B$10)),",","."),".",MID(1/2,2,1)),"")</f>
        <v/>
      </c>
      <c r="E127">
        <f>IFERROR(--SUBSTITUTE(SUBSTITUTE(TRIM(INDEX(INDIRECT("'Выгрузка'!A127:Z127"),Настройки!$B$11)),",","."),".",MID(1/2,2,1)),"")</f>
        <v/>
      </c>
      <c r="F127">
        <f>TRIM(INDEX(INDIRECT("'Выгрузка'!A127:Z127"),Настройки!$B$12)&amp;"")</f>
        <v/>
      </c>
      <c r="G127">
        <f>IF(F127="",0,IF(TRIM(INDEX(INDIRECT("'Выгрузка'!A127:Z127"),Настройки!$B$13)&amp;"")="",1,IFERROR(--SUBSTITUTE(SUBSTITUTE(TRIM(INDEX(INDIRECT("'Выгрузка'!A127:Z127"),Настройки!$B$13)),",","."),".",MID(1/2,2,1)),"")))</f>
        <v/>
      </c>
      <c r="H127">
        <f>IF(F127="",0,IF(COUNTIF(Настройки!$B$17:$B$26,F127)&gt;0,1,IF(COUNTIF(Настройки!$C$17:$C$26,F127)&gt;0,2,IF(COUNTIF(Настройки!$D$17:$D$26,F127)&gt;0,3,0))))</f>
        <v/>
      </c>
      <c r="I127">
        <f>IF(AND(ISNUMBER(A127),ISNUMBER(B127)),A127*1000+B127,"")</f>
        <v/>
      </c>
      <c r="J127">
        <f>IF(I127="","",IF(COUNTIF(I$2:I127,I127)=1,MAX(J$1:J126)+1,""))</f>
        <v/>
      </c>
    </row>
    <row r="128">
      <c r="A128">
        <f>IFERROR(--SUBSTITUTE(SUBSTITUTE(TRIM(INDEX(INDIRECT("'Выгрузка'!A128:Z128"),Настройки!$B$7)),",","."),".",MID(1/2,2,1)),"")</f>
        <v/>
      </c>
      <c r="B128">
        <f>IFERROR(--SUBSTITUTE(SUBSTITUTE(TRIM(INDEX(INDIRECT("'Выгрузка'!A128:Z128"),Настройки!$B$9)),",","."),".",MID(1/2,2,1)),"")</f>
        <v/>
      </c>
      <c r="C128">
        <f>TRIM(INDEX(INDIRECT("'Выгрузка'!A128:Z128"),Настройки!$B$8)&amp;"")</f>
        <v/>
      </c>
      <c r="D128">
        <f>IFERROR(--SUBSTITUTE(SUBSTITUTE(TRIM(INDEX(INDIRECT("'Выгрузка'!A128:Z128"),Настройки!$B$10)),",","."),".",MID(1/2,2,1)),"")</f>
        <v/>
      </c>
      <c r="E128">
        <f>IFERROR(--SUBSTITUTE(SUBSTITUTE(TRIM(INDEX(INDIRECT("'Выгрузка'!A128:Z128"),Настройки!$B$11)),",","."),".",MID(1/2,2,1)),"")</f>
        <v/>
      </c>
      <c r="F128">
        <f>TRIM(INDEX(INDIRECT("'Выгрузка'!A128:Z128"),Настройки!$B$12)&amp;"")</f>
        <v/>
      </c>
      <c r="G128">
        <f>IF(F128="",0,IF(TRIM(INDEX(INDIRECT("'Выгрузка'!A128:Z128"),Настройки!$B$13)&amp;"")="",1,IFERROR(--SUBSTITUTE(SUBSTITUTE(TRIM(INDEX(INDIRECT("'Выгрузка'!A128:Z128"),Настройки!$B$13)),",","."),".",MID(1/2,2,1)),"")))</f>
        <v/>
      </c>
      <c r="H128">
        <f>IF(F128="",0,IF(COUNTIF(Настройки!$B$17:$B$26,F128)&gt;0,1,IF(COUNTIF(Настройки!$C$17:$C$26,F128)&gt;0,2,IF(COUNTIF(Настройки!$D$17:$D$26,F128)&gt;0,3,0))))</f>
        <v/>
      </c>
      <c r="I128">
        <f>IF(AND(ISNUMBER(A128),ISNUMBER(B128)),A128*1000+B128,"")</f>
        <v/>
      </c>
      <c r="J128">
        <f>IF(I128="","",IF(COUNTIF(I$2:I128,I128)=1,MAX(J$1:J127)+1,""))</f>
        <v/>
      </c>
    </row>
    <row r="129">
      <c r="A129">
        <f>IFERROR(--SUBSTITUTE(SUBSTITUTE(TRIM(INDEX(INDIRECT("'Выгрузка'!A129:Z129"),Настройки!$B$7)),",","."),".",MID(1/2,2,1)),"")</f>
        <v/>
      </c>
      <c r="B129">
        <f>IFERROR(--SUBSTITUTE(SUBSTITUTE(TRIM(INDEX(INDIRECT("'Выгрузка'!A129:Z129"),Настройки!$B$9)),",","."),".",MID(1/2,2,1)),"")</f>
        <v/>
      </c>
      <c r="C129">
        <f>TRIM(INDEX(INDIRECT("'Выгрузка'!A129:Z129"),Настройки!$B$8)&amp;"")</f>
        <v/>
      </c>
      <c r="D129">
        <f>IFERROR(--SUBSTITUTE(SUBSTITUTE(TRIM(INDEX(INDIRECT("'Выгрузка'!A129:Z129"),Настройки!$B$10)),",","."),".",MID(1/2,2,1)),"")</f>
        <v/>
      </c>
      <c r="E129">
        <f>IFERROR(--SUBSTITUTE(SUBSTITUTE(TRIM(INDEX(INDIRECT("'Выгрузка'!A129:Z129"),Настройки!$B$11)),",","."),".",MID(1/2,2,1)),"")</f>
        <v/>
      </c>
      <c r="F129">
        <f>TRIM(INDEX(INDIRECT("'Выгрузка'!A129:Z129"),Настройки!$B$12)&amp;"")</f>
        <v/>
      </c>
      <c r="G129">
        <f>IF(F129="",0,IF(TRIM(INDEX(INDIRECT("'Выгрузка'!A129:Z129"),Настройки!$B$13)&amp;"")="",1,IFERROR(--SUBSTITUTE(SUBSTITUTE(TRIM(INDEX(INDIRECT("'Выгрузка'!A129:Z129"),Настройки!$B$13)),",","."),".",MID(1/2,2,1)),"")))</f>
        <v/>
      </c>
      <c r="H129">
        <f>IF(F129="",0,IF(COUNTIF(Настройки!$B$17:$B$26,F129)&gt;0,1,IF(COUNTIF(Настройки!$C$17:$C$26,F129)&gt;0,2,IF(COUNTIF(Настройки!$D$17:$D$26,F129)&gt;0,3,0))))</f>
        <v/>
      </c>
      <c r="I129">
        <f>IF(AND(ISNUMBER(A129),ISNUMBER(B129)),A129*1000+B129,"")</f>
        <v/>
      </c>
      <c r="J129">
        <f>IF(I129="","",IF(COUNTIF(I$2:I129,I129)=1,MAX(J$1:J128)+1,""))</f>
        <v/>
      </c>
    </row>
    <row r="130">
      <c r="A130">
        <f>IFERROR(--SUBSTITUTE(SUBSTITUTE(TRIM(INDEX(INDIRECT("'Выгрузка'!A130:Z130"),Настройки!$B$7)),",","."),".",MID(1/2,2,1)),"")</f>
        <v/>
      </c>
      <c r="B130">
        <f>IFERROR(--SUBSTITUTE(SUBSTITUTE(TRIM(INDEX(INDIRECT("'Выгрузка'!A130:Z130"),Настройки!$B$9)),",","."),".",MID(1/2,2,1)),"")</f>
        <v/>
      </c>
      <c r="C130">
        <f>TRIM(INDEX(INDIRECT("'Выгрузка'!A130:Z130"),Настройки!$B$8)&amp;"")</f>
        <v/>
      </c>
      <c r="D130">
        <f>IFERROR(--SUBSTITUTE(SUBSTITUTE(TRIM(INDEX(INDIRECT("'Выгрузка'!A130:Z130"),Настройки!$B$10)),",","."),".",MID(1/2,2,1)),"")</f>
        <v/>
      </c>
      <c r="E130">
        <f>IFERROR(--SUBSTITUTE(SUBSTITUTE(TRIM(INDEX(INDIRECT("'Выгрузка'!A130:Z130"),Настройки!$B$11)),",","."),".",MID(1/2,2,1)),"")</f>
        <v/>
      </c>
      <c r="F130">
        <f>TRIM(INDEX(INDIRECT("'Выгрузка'!A130:Z130"),Настройки!$B$12)&amp;"")</f>
        <v/>
      </c>
      <c r="G130">
        <f>IF(F130="",0,IF(TRIM(INDEX(INDIRECT("'Выгрузка'!A130:Z130"),Настройки!$B$13)&amp;"")="",1,IFERROR(--SUBSTITUTE(SUBSTITUTE(TRIM(INDEX(INDIRECT("'Выгрузка'!A130:Z130"),Настройки!$B$13)),",","."),".",MID(1/2,2,1)),"")))</f>
        <v/>
      </c>
      <c r="H130">
        <f>IF(F130="",0,IF(COUNTIF(Настройки!$B$17:$B$26,F130)&gt;0,1,IF(COUNTIF(Настройки!$C$17:$C$26,F130)&gt;0,2,IF(COUNTIF(Настройки!$D$17:$D$26,F130)&gt;0,3,0))))</f>
        <v/>
      </c>
      <c r="I130">
        <f>IF(AND(ISNUMBER(A130),ISNUMBER(B130)),A130*1000+B130,"")</f>
        <v/>
      </c>
      <c r="J130">
        <f>IF(I130="","",IF(COUNTIF(I$2:I130,I130)=1,MAX(J$1:J129)+1,""))</f>
        <v/>
      </c>
    </row>
    <row r="131">
      <c r="A131">
        <f>IFERROR(--SUBSTITUTE(SUBSTITUTE(TRIM(INDEX(INDIRECT("'Выгрузка'!A131:Z131"),Настройки!$B$7)),",","."),".",MID(1/2,2,1)),"")</f>
        <v/>
      </c>
      <c r="B131">
        <f>IFERROR(--SUBSTITUTE(SUBSTITUTE(TRIM(INDEX(INDIRECT("'Выгрузка'!A131:Z131"),Настройки!$B$9)),",","."),".",MID(1/2,2,1)),"")</f>
        <v/>
      </c>
      <c r="C131">
        <f>TRIM(INDEX(INDIRECT("'Выгрузка'!A131:Z131"),Настройки!$B$8)&amp;"")</f>
        <v/>
      </c>
      <c r="D131">
        <f>IFERROR(--SUBSTITUTE(SUBSTITUTE(TRIM(INDEX(INDIRECT("'Выгрузка'!A131:Z131"),Настройки!$B$10)),",","."),".",MID(1/2,2,1)),"")</f>
        <v/>
      </c>
      <c r="E131">
        <f>IFERROR(--SUBSTITUTE(SUBSTITUTE(TRIM(INDEX(INDIRECT("'Выгрузка'!A131:Z131"),Настройки!$B$11)),",","."),".",MID(1/2,2,1)),"")</f>
        <v/>
      </c>
      <c r="F131">
        <f>TRIM(INDEX(INDIRECT("'Выгрузка'!A131:Z131"),Настройки!$B$12)&amp;"")</f>
        <v/>
      </c>
      <c r="G131">
        <f>IF(F131="",0,IF(TRIM(INDEX(INDIRECT("'Выгрузка'!A131:Z131"),Настройки!$B$13)&amp;"")="",1,IFERROR(--SUBSTITUTE(SUBSTITUTE(TRIM(INDEX(INDIRECT("'Выгрузка'!A131:Z131"),Настройки!$B$13)),",","."),".",MID(1/2,2,1)),"")))</f>
        <v/>
      </c>
      <c r="H131">
        <f>IF(F131="",0,IF(COUNTIF(Настройки!$B$17:$B$26,F131)&gt;0,1,IF(COUNTIF(Настройки!$C$17:$C$26,F131)&gt;0,2,IF(COUNTIF(Настройки!$D$17:$D$26,F131)&gt;0,3,0))))</f>
        <v/>
      </c>
      <c r="I131">
        <f>IF(AND(ISNUMBER(A131),ISNUMBER(B131)),A131*1000+B131,"")</f>
        <v/>
      </c>
      <c r="J131">
        <f>IF(I131="","",IF(COUNTIF(I$2:I131,I131)=1,MAX(J$1:J130)+1,""))</f>
        <v/>
      </c>
    </row>
    <row r="132">
      <c r="A132">
        <f>IFERROR(--SUBSTITUTE(SUBSTITUTE(TRIM(INDEX(INDIRECT("'Выгрузка'!A132:Z132"),Настройки!$B$7)),",","."),".",MID(1/2,2,1)),"")</f>
        <v/>
      </c>
      <c r="B132">
        <f>IFERROR(--SUBSTITUTE(SUBSTITUTE(TRIM(INDEX(INDIRECT("'Выгрузка'!A132:Z132"),Настройки!$B$9)),",","."),".",MID(1/2,2,1)),"")</f>
        <v/>
      </c>
      <c r="C132">
        <f>TRIM(INDEX(INDIRECT("'Выгрузка'!A132:Z132"),Настройки!$B$8)&amp;"")</f>
        <v/>
      </c>
      <c r="D132">
        <f>IFERROR(--SUBSTITUTE(SUBSTITUTE(TRIM(INDEX(INDIRECT("'Выгрузка'!A132:Z132"),Настройки!$B$10)),",","."),".",MID(1/2,2,1)),"")</f>
        <v/>
      </c>
      <c r="E132">
        <f>IFERROR(--SUBSTITUTE(SUBSTITUTE(TRIM(INDEX(INDIRECT("'Выгрузка'!A132:Z132"),Настройки!$B$11)),",","."),".",MID(1/2,2,1)),"")</f>
        <v/>
      </c>
      <c r="F132">
        <f>TRIM(INDEX(INDIRECT("'Выгрузка'!A132:Z132"),Настройки!$B$12)&amp;"")</f>
        <v/>
      </c>
      <c r="G132">
        <f>IF(F132="",0,IF(TRIM(INDEX(INDIRECT("'Выгрузка'!A132:Z132"),Настройки!$B$13)&amp;"")="",1,IFERROR(--SUBSTITUTE(SUBSTITUTE(TRIM(INDEX(INDIRECT("'Выгрузка'!A132:Z132"),Настройки!$B$13)),",","."),".",MID(1/2,2,1)),"")))</f>
        <v/>
      </c>
      <c r="H132">
        <f>IF(F132="",0,IF(COUNTIF(Настройки!$B$17:$B$26,F132)&gt;0,1,IF(COUNTIF(Настройки!$C$17:$C$26,F132)&gt;0,2,IF(COUNTIF(Настройки!$D$17:$D$26,F132)&gt;0,3,0))))</f>
        <v/>
      </c>
      <c r="I132">
        <f>IF(AND(ISNUMBER(A132),ISNUMBER(B132)),A132*1000+B132,"")</f>
        <v/>
      </c>
      <c r="J132">
        <f>IF(I132="","",IF(COUNTIF(I$2:I132,I132)=1,MAX(J$1:J131)+1,""))</f>
        <v/>
      </c>
    </row>
    <row r="133">
      <c r="A133">
        <f>IFERROR(--SUBSTITUTE(SUBSTITUTE(TRIM(INDEX(INDIRECT("'Выгрузка'!A133:Z133"),Настройки!$B$7)),",","."),".",MID(1/2,2,1)),"")</f>
        <v/>
      </c>
      <c r="B133">
        <f>IFERROR(--SUBSTITUTE(SUBSTITUTE(TRIM(INDEX(INDIRECT("'Выгрузка'!A133:Z133"),Настройки!$B$9)),",","."),".",MID(1/2,2,1)),"")</f>
        <v/>
      </c>
      <c r="C133">
        <f>TRIM(INDEX(INDIRECT("'Выгрузка'!A133:Z133"),Настройки!$B$8)&amp;"")</f>
        <v/>
      </c>
      <c r="D133">
        <f>IFERROR(--SUBSTITUTE(SUBSTITUTE(TRIM(INDEX(INDIRECT("'Выгрузка'!A133:Z133"),Настройки!$B$10)),",","."),".",MID(1/2,2,1)),"")</f>
        <v/>
      </c>
      <c r="E133">
        <f>IFERROR(--SUBSTITUTE(SUBSTITUTE(TRIM(INDEX(INDIRECT("'Выгрузка'!A133:Z133"),Настройки!$B$11)),",","."),".",MID(1/2,2,1)),"")</f>
        <v/>
      </c>
      <c r="F133">
        <f>TRIM(INDEX(INDIRECT("'Выгрузка'!A133:Z133"),Настройки!$B$12)&amp;"")</f>
        <v/>
      </c>
      <c r="G133">
        <f>IF(F133="",0,IF(TRIM(INDEX(INDIRECT("'Выгрузка'!A133:Z133"),Настройки!$B$13)&amp;"")="",1,IFERROR(--SUBSTITUTE(SUBSTITUTE(TRIM(INDEX(INDIRECT("'Выгрузка'!A133:Z133"),Настройки!$B$13)),",","."),".",MID(1/2,2,1)),"")))</f>
        <v/>
      </c>
      <c r="H133">
        <f>IF(F133="",0,IF(COUNTIF(Настройки!$B$17:$B$26,F133)&gt;0,1,IF(COUNTIF(Настройки!$C$17:$C$26,F133)&gt;0,2,IF(COUNTIF(Настройки!$D$17:$D$26,F133)&gt;0,3,0))))</f>
        <v/>
      </c>
      <c r="I133">
        <f>IF(AND(ISNUMBER(A133),ISNUMBER(B133)),A133*1000+B133,"")</f>
        <v/>
      </c>
      <c r="J133">
        <f>IF(I133="","",IF(COUNTIF(I$2:I133,I133)=1,MAX(J$1:J132)+1,""))</f>
        <v/>
      </c>
    </row>
    <row r="134">
      <c r="A134">
        <f>IFERROR(--SUBSTITUTE(SUBSTITUTE(TRIM(INDEX(INDIRECT("'Выгрузка'!A134:Z134"),Настройки!$B$7)),",","."),".",MID(1/2,2,1)),"")</f>
        <v/>
      </c>
      <c r="B134">
        <f>IFERROR(--SUBSTITUTE(SUBSTITUTE(TRIM(INDEX(INDIRECT("'Выгрузка'!A134:Z134"),Настройки!$B$9)),",","."),".",MID(1/2,2,1)),"")</f>
        <v/>
      </c>
      <c r="C134">
        <f>TRIM(INDEX(INDIRECT("'Выгрузка'!A134:Z134"),Настройки!$B$8)&amp;"")</f>
        <v/>
      </c>
      <c r="D134">
        <f>IFERROR(--SUBSTITUTE(SUBSTITUTE(TRIM(INDEX(INDIRECT("'Выгрузка'!A134:Z134"),Настройки!$B$10)),",","."),".",MID(1/2,2,1)),"")</f>
        <v/>
      </c>
      <c r="E134">
        <f>IFERROR(--SUBSTITUTE(SUBSTITUTE(TRIM(INDEX(INDIRECT("'Выгрузка'!A134:Z134"),Настройки!$B$11)),",","."),".",MID(1/2,2,1)),"")</f>
        <v/>
      </c>
      <c r="F134">
        <f>TRIM(INDEX(INDIRECT("'Выгрузка'!A134:Z134"),Настройки!$B$12)&amp;"")</f>
        <v/>
      </c>
      <c r="G134">
        <f>IF(F134="",0,IF(TRIM(INDEX(INDIRECT("'Выгрузка'!A134:Z134"),Настройки!$B$13)&amp;"")="",1,IFERROR(--SUBSTITUTE(SUBSTITUTE(TRIM(INDEX(INDIRECT("'Выгрузка'!A134:Z134"),Настройки!$B$13)),",","."),".",MID(1/2,2,1)),"")))</f>
        <v/>
      </c>
      <c r="H134">
        <f>IF(F134="",0,IF(COUNTIF(Настройки!$B$17:$B$26,F134)&gt;0,1,IF(COUNTIF(Настройки!$C$17:$C$26,F134)&gt;0,2,IF(COUNTIF(Настройки!$D$17:$D$26,F134)&gt;0,3,0))))</f>
        <v/>
      </c>
      <c r="I134">
        <f>IF(AND(ISNUMBER(A134),ISNUMBER(B134)),A134*1000+B134,"")</f>
        <v/>
      </c>
      <c r="J134">
        <f>IF(I134="","",IF(COUNTIF(I$2:I134,I134)=1,MAX(J$1:J133)+1,""))</f>
        <v/>
      </c>
    </row>
    <row r="135">
      <c r="A135">
        <f>IFERROR(--SUBSTITUTE(SUBSTITUTE(TRIM(INDEX(INDIRECT("'Выгрузка'!A135:Z135"),Настройки!$B$7)),",","."),".",MID(1/2,2,1)),"")</f>
        <v/>
      </c>
      <c r="B135">
        <f>IFERROR(--SUBSTITUTE(SUBSTITUTE(TRIM(INDEX(INDIRECT("'Выгрузка'!A135:Z135"),Настройки!$B$9)),",","."),".",MID(1/2,2,1)),"")</f>
        <v/>
      </c>
      <c r="C135">
        <f>TRIM(INDEX(INDIRECT("'Выгрузка'!A135:Z135"),Настройки!$B$8)&amp;"")</f>
        <v/>
      </c>
      <c r="D135">
        <f>IFERROR(--SUBSTITUTE(SUBSTITUTE(TRIM(INDEX(INDIRECT("'Выгрузка'!A135:Z135"),Настройки!$B$10)),",","."),".",MID(1/2,2,1)),"")</f>
        <v/>
      </c>
      <c r="E135">
        <f>IFERROR(--SUBSTITUTE(SUBSTITUTE(TRIM(INDEX(INDIRECT("'Выгрузка'!A135:Z135"),Настройки!$B$11)),",","."),".",MID(1/2,2,1)),"")</f>
        <v/>
      </c>
      <c r="F135">
        <f>TRIM(INDEX(INDIRECT("'Выгрузка'!A135:Z135"),Настройки!$B$12)&amp;"")</f>
        <v/>
      </c>
      <c r="G135">
        <f>IF(F135="",0,IF(TRIM(INDEX(INDIRECT("'Выгрузка'!A135:Z135"),Настройки!$B$13)&amp;"")="",1,IFERROR(--SUBSTITUTE(SUBSTITUTE(TRIM(INDEX(INDIRECT("'Выгрузка'!A135:Z135"),Настройки!$B$13)),",","."),".",MID(1/2,2,1)),"")))</f>
        <v/>
      </c>
      <c r="H135">
        <f>IF(F135="",0,IF(COUNTIF(Настройки!$B$17:$B$26,F135)&gt;0,1,IF(COUNTIF(Настройки!$C$17:$C$26,F135)&gt;0,2,IF(COUNTIF(Настройки!$D$17:$D$26,F135)&gt;0,3,0))))</f>
        <v/>
      </c>
      <c r="I135">
        <f>IF(AND(ISNUMBER(A135),ISNUMBER(B135)),A135*1000+B135,"")</f>
        <v/>
      </c>
      <c r="J135">
        <f>IF(I135="","",IF(COUNTIF(I$2:I135,I135)=1,MAX(J$1:J134)+1,""))</f>
        <v/>
      </c>
    </row>
    <row r="136">
      <c r="A136">
        <f>IFERROR(--SUBSTITUTE(SUBSTITUTE(TRIM(INDEX(INDIRECT("'Выгрузка'!A136:Z136"),Настройки!$B$7)),",","."),".",MID(1/2,2,1)),"")</f>
        <v/>
      </c>
      <c r="B136">
        <f>IFERROR(--SUBSTITUTE(SUBSTITUTE(TRIM(INDEX(INDIRECT("'Выгрузка'!A136:Z136"),Настройки!$B$9)),",","."),".",MID(1/2,2,1)),"")</f>
        <v/>
      </c>
      <c r="C136">
        <f>TRIM(INDEX(INDIRECT("'Выгрузка'!A136:Z136"),Настройки!$B$8)&amp;"")</f>
        <v/>
      </c>
      <c r="D136">
        <f>IFERROR(--SUBSTITUTE(SUBSTITUTE(TRIM(INDEX(INDIRECT("'Выгрузка'!A136:Z136"),Настройки!$B$10)),",","."),".",MID(1/2,2,1)),"")</f>
        <v/>
      </c>
      <c r="E136">
        <f>IFERROR(--SUBSTITUTE(SUBSTITUTE(TRIM(INDEX(INDIRECT("'Выгрузка'!A136:Z136"),Настройки!$B$11)),",","."),".",MID(1/2,2,1)),"")</f>
        <v/>
      </c>
      <c r="F136">
        <f>TRIM(INDEX(INDIRECT("'Выгрузка'!A136:Z136"),Настройки!$B$12)&amp;"")</f>
        <v/>
      </c>
      <c r="G136">
        <f>IF(F136="",0,IF(TRIM(INDEX(INDIRECT("'Выгрузка'!A136:Z136"),Настройки!$B$13)&amp;"")="",1,IFERROR(--SUBSTITUTE(SUBSTITUTE(TRIM(INDEX(INDIRECT("'Выгрузка'!A136:Z136"),Настройки!$B$13)),",","."),".",MID(1/2,2,1)),"")))</f>
        <v/>
      </c>
      <c r="H136">
        <f>IF(F136="",0,IF(COUNTIF(Настройки!$B$17:$B$26,F136)&gt;0,1,IF(COUNTIF(Настройки!$C$17:$C$26,F136)&gt;0,2,IF(COUNTIF(Настройки!$D$17:$D$26,F136)&gt;0,3,0))))</f>
        <v/>
      </c>
      <c r="I136">
        <f>IF(AND(ISNUMBER(A136),ISNUMBER(B136)),A136*1000+B136,"")</f>
        <v/>
      </c>
      <c r="J136">
        <f>IF(I136="","",IF(COUNTIF(I$2:I136,I136)=1,MAX(J$1:J135)+1,""))</f>
        <v/>
      </c>
    </row>
    <row r="137">
      <c r="A137">
        <f>IFERROR(--SUBSTITUTE(SUBSTITUTE(TRIM(INDEX(INDIRECT("'Выгрузка'!A137:Z137"),Настройки!$B$7)),",","."),".",MID(1/2,2,1)),"")</f>
        <v/>
      </c>
      <c r="B137">
        <f>IFERROR(--SUBSTITUTE(SUBSTITUTE(TRIM(INDEX(INDIRECT("'Выгрузка'!A137:Z137"),Настройки!$B$9)),",","."),".",MID(1/2,2,1)),"")</f>
        <v/>
      </c>
      <c r="C137">
        <f>TRIM(INDEX(INDIRECT("'Выгрузка'!A137:Z137"),Настройки!$B$8)&amp;"")</f>
        <v/>
      </c>
      <c r="D137">
        <f>IFERROR(--SUBSTITUTE(SUBSTITUTE(TRIM(INDEX(INDIRECT("'Выгрузка'!A137:Z137"),Настройки!$B$10)),",","."),".",MID(1/2,2,1)),"")</f>
        <v/>
      </c>
      <c r="E137">
        <f>IFERROR(--SUBSTITUTE(SUBSTITUTE(TRIM(INDEX(INDIRECT("'Выгрузка'!A137:Z137"),Настройки!$B$11)),",","."),".",MID(1/2,2,1)),"")</f>
        <v/>
      </c>
      <c r="F137">
        <f>TRIM(INDEX(INDIRECT("'Выгрузка'!A137:Z137"),Настройки!$B$12)&amp;"")</f>
        <v/>
      </c>
      <c r="G137">
        <f>IF(F137="",0,IF(TRIM(INDEX(INDIRECT("'Выгрузка'!A137:Z137"),Настройки!$B$13)&amp;"")="",1,IFERROR(--SUBSTITUTE(SUBSTITUTE(TRIM(INDEX(INDIRECT("'Выгрузка'!A137:Z137"),Настройки!$B$13)),",","."),".",MID(1/2,2,1)),"")))</f>
        <v/>
      </c>
      <c r="H137">
        <f>IF(F137="",0,IF(COUNTIF(Настройки!$B$17:$B$26,F137)&gt;0,1,IF(COUNTIF(Настройки!$C$17:$C$26,F137)&gt;0,2,IF(COUNTIF(Настройки!$D$17:$D$26,F137)&gt;0,3,0))))</f>
        <v/>
      </c>
      <c r="I137">
        <f>IF(AND(ISNUMBER(A137),ISNUMBER(B137)),A137*1000+B137,"")</f>
        <v/>
      </c>
      <c r="J137">
        <f>IF(I137="","",IF(COUNTIF(I$2:I137,I137)=1,MAX(J$1:J136)+1,""))</f>
        <v/>
      </c>
    </row>
    <row r="138">
      <c r="A138">
        <f>IFERROR(--SUBSTITUTE(SUBSTITUTE(TRIM(INDEX(INDIRECT("'Выгрузка'!A138:Z138"),Настройки!$B$7)),",","."),".",MID(1/2,2,1)),"")</f>
        <v/>
      </c>
      <c r="B138">
        <f>IFERROR(--SUBSTITUTE(SUBSTITUTE(TRIM(INDEX(INDIRECT("'Выгрузка'!A138:Z138"),Настройки!$B$9)),",","."),".",MID(1/2,2,1)),"")</f>
        <v/>
      </c>
      <c r="C138">
        <f>TRIM(INDEX(INDIRECT("'Выгрузка'!A138:Z138"),Настройки!$B$8)&amp;"")</f>
        <v/>
      </c>
      <c r="D138">
        <f>IFERROR(--SUBSTITUTE(SUBSTITUTE(TRIM(INDEX(INDIRECT("'Выгрузка'!A138:Z138"),Настройки!$B$10)),",","."),".",MID(1/2,2,1)),"")</f>
        <v/>
      </c>
      <c r="E138">
        <f>IFERROR(--SUBSTITUTE(SUBSTITUTE(TRIM(INDEX(INDIRECT("'Выгрузка'!A138:Z138"),Настройки!$B$11)),",","."),".",MID(1/2,2,1)),"")</f>
        <v/>
      </c>
      <c r="F138">
        <f>TRIM(INDEX(INDIRECT("'Выгрузка'!A138:Z138"),Настройки!$B$12)&amp;"")</f>
        <v/>
      </c>
      <c r="G138">
        <f>IF(F138="",0,IF(TRIM(INDEX(INDIRECT("'Выгрузка'!A138:Z138"),Настройки!$B$13)&amp;"")="",1,IFERROR(--SUBSTITUTE(SUBSTITUTE(TRIM(INDEX(INDIRECT("'Выгрузка'!A138:Z138"),Настройки!$B$13)),",","."),".",MID(1/2,2,1)),"")))</f>
        <v/>
      </c>
      <c r="H138">
        <f>IF(F138="",0,IF(COUNTIF(Настройки!$B$17:$B$26,F138)&gt;0,1,IF(COUNTIF(Настройки!$C$17:$C$26,F138)&gt;0,2,IF(COUNTIF(Настройки!$D$17:$D$26,F138)&gt;0,3,0))))</f>
        <v/>
      </c>
      <c r="I138">
        <f>IF(AND(ISNUMBER(A138),ISNUMBER(B138)),A138*1000+B138,"")</f>
        <v/>
      </c>
      <c r="J138">
        <f>IF(I138="","",IF(COUNTIF(I$2:I138,I138)=1,MAX(J$1:J137)+1,""))</f>
        <v/>
      </c>
    </row>
    <row r="139">
      <c r="A139">
        <f>IFERROR(--SUBSTITUTE(SUBSTITUTE(TRIM(INDEX(INDIRECT("'Выгрузка'!A139:Z139"),Настройки!$B$7)),",","."),".",MID(1/2,2,1)),"")</f>
        <v/>
      </c>
      <c r="B139">
        <f>IFERROR(--SUBSTITUTE(SUBSTITUTE(TRIM(INDEX(INDIRECT("'Выгрузка'!A139:Z139"),Настройки!$B$9)),",","."),".",MID(1/2,2,1)),"")</f>
        <v/>
      </c>
      <c r="C139">
        <f>TRIM(INDEX(INDIRECT("'Выгрузка'!A139:Z139"),Настройки!$B$8)&amp;"")</f>
        <v/>
      </c>
      <c r="D139">
        <f>IFERROR(--SUBSTITUTE(SUBSTITUTE(TRIM(INDEX(INDIRECT("'Выгрузка'!A139:Z139"),Настройки!$B$10)),",","."),".",MID(1/2,2,1)),"")</f>
        <v/>
      </c>
      <c r="E139">
        <f>IFERROR(--SUBSTITUTE(SUBSTITUTE(TRIM(INDEX(INDIRECT("'Выгрузка'!A139:Z139"),Настройки!$B$11)),",","."),".",MID(1/2,2,1)),"")</f>
        <v/>
      </c>
      <c r="F139">
        <f>TRIM(INDEX(INDIRECT("'Выгрузка'!A139:Z139"),Настройки!$B$12)&amp;"")</f>
        <v/>
      </c>
      <c r="G139">
        <f>IF(F139="",0,IF(TRIM(INDEX(INDIRECT("'Выгрузка'!A139:Z139"),Настройки!$B$13)&amp;"")="",1,IFERROR(--SUBSTITUTE(SUBSTITUTE(TRIM(INDEX(INDIRECT("'Выгрузка'!A139:Z139"),Настройки!$B$13)),",","."),".",MID(1/2,2,1)),"")))</f>
        <v/>
      </c>
      <c r="H139">
        <f>IF(F139="",0,IF(COUNTIF(Настройки!$B$17:$B$26,F139)&gt;0,1,IF(COUNTIF(Настройки!$C$17:$C$26,F139)&gt;0,2,IF(COUNTIF(Настройки!$D$17:$D$26,F139)&gt;0,3,0))))</f>
        <v/>
      </c>
      <c r="I139">
        <f>IF(AND(ISNUMBER(A139),ISNUMBER(B139)),A139*1000+B139,"")</f>
        <v/>
      </c>
      <c r="J139">
        <f>IF(I139="","",IF(COUNTIF(I$2:I139,I139)=1,MAX(J$1:J138)+1,""))</f>
        <v/>
      </c>
    </row>
    <row r="140">
      <c r="A140">
        <f>IFERROR(--SUBSTITUTE(SUBSTITUTE(TRIM(INDEX(INDIRECT("'Выгрузка'!A140:Z140"),Настройки!$B$7)),",","."),".",MID(1/2,2,1)),"")</f>
        <v/>
      </c>
      <c r="B140">
        <f>IFERROR(--SUBSTITUTE(SUBSTITUTE(TRIM(INDEX(INDIRECT("'Выгрузка'!A140:Z140"),Настройки!$B$9)),",","."),".",MID(1/2,2,1)),"")</f>
        <v/>
      </c>
      <c r="C140">
        <f>TRIM(INDEX(INDIRECT("'Выгрузка'!A140:Z140"),Настройки!$B$8)&amp;"")</f>
        <v/>
      </c>
      <c r="D140">
        <f>IFERROR(--SUBSTITUTE(SUBSTITUTE(TRIM(INDEX(INDIRECT("'Выгрузка'!A140:Z140"),Настройки!$B$10)),",","."),".",MID(1/2,2,1)),"")</f>
        <v/>
      </c>
      <c r="E140">
        <f>IFERROR(--SUBSTITUTE(SUBSTITUTE(TRIM(INDEX(INDIRECT("'Выгрузка'!A140:Z140"),Настройки!$B$11)),",","."),".",MID(1/2,2,1)),"")</f>
        <v/>
      </c>
      <c r="F140">
        <f>TRIM(INDEX(INDIRECT("'Выгрузка'!A140:Z140"),Настройки!$B$12)&amp;"")</f>
        <v/>
      </c>
      <c r="G140">
        <f>IF(F140="",0,IF(TRIM(INDEX(INDIRECT("'Выгрузка'!A140:Z140"),Настройки!$B$13)&amp;"")="",1,IFERROR(--SUBSTITUTE(SUBSTITUTE(TRIM(INDEX(INDIRECT("'Выгрузка'!A140:Z140"),Настройки!$B$13)),",","."),".",MID(1/2,2,1)),"")))</f>
        <v/>
      </c>
      <c r="H140">
        <f>IF(F140="",0,IF(COUNTIF(Настройки!$B$17:$B$26,F140)&gt;0,1,IF(COUNTIF(Настройки!$C$17:$C$26,F140)&gt;0,2,IF(COUNTIF(Настройки!$D$17:$D$26,F140)&gt;0,3,0))))</f>
        <v/>
      </c>
      <c r="I140">
        <f>IF(AND(ISNUMBER(A140),ISNUMBER(B140)),A140*1000+B140,"")</f>
        <v/>
      </c>
      <c r="J140">
        <f>IF(I140="","",IF(COUNTIF(I$2:I140,I140)=1,MAX(J$1:J139)+1,""))</f>
        <v/>
      </c>
    </row>
    <row r="141">
      <c r="A141">
        <f>IFERROR(--SUBSTITUTE(SUBSTITUTE(TRIM(INDEX(INDIRECT("'Выгрузка'!A141:Z141"),Настройки!$B$7)),",","."),".",MID(1/2,2,1)),"")</f>
        <v/>
      </c>
      <c r="B141">
        <f>IFERROR(--SUBSTITUTE(SUBSTITUTE(TRIM(INDEX(INDIRECT("'Выгрузка'!A141:Z141"),Настройки!$B$9)),",","."),".",MID(1/2,2,1)),"")</f>
        <v/>
      </c>
      <c r="C141">
        <f>TRIM(INDEX(INDIRECT("'Выгрузка'!A141:Z141"),Настройки!$B$8)&amp;"")</f>
        <v/>
      </c>
      <c r="D141">
        <f>IFERROR(--SUBSTITUTE(SUBSTITUTE(TRIM(INDEX(INDIRECT("'Выгрузка'!A141:Z141"),Настройки!$B$10)),",","."),".",MID(1/2,2,1)),"")</f>
        <v/>
      </c>
      <c r="E141">
        <f>IFERROR(--SUBSTITUTE(SUBSTITUTE(TRIM(INDEX(INDIRECT("'Выгрузка'!A141:Z141"),Настройки!$B$11)),",","."),".",MID(1/2,2,1)),"")</f>
        <v/>
      </c>
      <c r="F141">
        <f>TRIM(INDEX(INDIRECT("'Выгрузка'!A141:Z141"),Настройки!$B$12)&amp;"")</f>
        <v/>
      </c>
      <c r="G141">
        <f>IF(F141="",0,IF(TRIM(INDEX(INDIRECT("'Выгрузка'!A141:Z141"),Настройки!$B$13)&amp;"")="",1,IFERROR(--SUBSTITUTE(SUBSTITUTE(TRIM(INDEX(INDIRECT("'Выгрузка'!A141:Z141"),Настройки!$B$13)),",","."),".",MID(1/2,2,1)),"")))</f>
        <v/>
      </c>
      <c r="H141">
        <f>IF(F141="",0,IF(COUNTIF(Настройки!$B$17:$B$26,F141)&gt;0,1,IF(COUNTIF(Настройки!$C$17:$C$26,F141)&gt;0,2,IF(COUNTIF(Настройки!$D$17:$D$26,F141)&gt;0,3,0))))</f>
        <v/>
      </c>
      <c r="I141">
        <f>IF(AND(ISNUMBER(A141),ISNUMBER(B141)),A141*1000+B141,"")</f>
        <v/>
      </c>
      <c r="J141">
        <f>IF(I141="","",IF(COUNTIF(I$2:I141,I141)=1,MAX(J$1:J140)+1,""))</f>
        <v/>
      </c>
    </row>
    <row r="142">
      <c r="A142">
        <f>IFERROR(--SUBSTITUTE(SUBSTITUTE(TRIM(INDEX(INDIRECT("'Выгрузка'!A142:Z142"),Настройки!$B$7)),",","."),".",MID(1/2,2,1)),"")</f>
        <v/>
      </c>
      <c r="B142">
        <f>IFERROR(--SUBSTITUTE(SUBSTITUTE(TRIM(INDEX(INDIRECT("'Выгрузка'!A142:Z142"),Настройки!$B$9)),",","."),".",MID(1/2,2,1)),"")</f>
        <v/>
      </c>
      <c r="C142">
        <f>TRIM(INDEX(INDIRECT("'Выгрузка'!A142:Z142"),Настройки!$B$8)&amp;"")</f>
        <v/>
      </c>
      <c r="D142">
        <f>IFERROR(--SUBSTITUTE(SUBSTITUTE(TRIM(INDEX(INDIRECT("'Выгрузка'!A142:Z142"),Настройки!$B$10)),",","."),".",MID(1/2,2,1)),"")</f>
        <v/>
      </c>
      <c r="E142">
        <f>IFERROR(--SUBSTITUTE(SUBSTITUTE(TRIM(INDEX(INDIRECT("'Выгрузка'!A142:Z142"),Настройки!$B$11)),",","."),".",MID(1/2,2,1)),"")</f>
        <v/>
      </c>
      <c r="F142">
        <f>TRIM(INDEX(INDIRECT("'Выгрузка'!A142:Z142"),Настройки!$B$12)&amp;"")</f>
        <v/>
      </c>
      <c r="G142">
        <f>IF(F142="",0,IF(TRIM(INDEX(INDIRECT("'Выгрузка'!A142:Z142"),Настройки!$B$13)&amp;"")="",1,IFERROR(--SUBSTITUTE(SUBSTITUTE(TRIM(INDEX(INDIRECT("'Выгрузка'!A142:Z142"),Настройки!$B$13)),",","."),".",MID(1/2,2,1)),"")))</f>
        <v/>
      </c>
      <c r="H142">
        <f>IF(F142="",0,IF(COUNTIF(Настройки!$B$17:$B$26,F142)&gt;0,1,IF(COUNTIF(Настройки!$C$17:$C$26,F142)&gt;0,2,IF(COUNTIF(Настройки!$D$17:$D$26,F142)&gt;0,3,0))))</f>
        <v/>
      </c>
      <c r="I142">
        <f>IF(AND(ISNUMBER(A142),ISNUMBER(B142)),A142*1000+B142,"")</f>
        <v/>
      </c>
      <c r="J142">
        <f>IF(I142="","",IF(COUNTIF(I$2:I142,I142)=1,MAX(J$1:J141)+1,""))</f>
        <v/>
      </c>
    </row>
    <row r="143">
      <c r="A143">
        <f>IFERROR(--SUBSTITUTE(SUBSTITUTE(TRIM(INDEX(INDIRECT("'Выгрузка'!A143:Z143"),Настройки!$B$7)),",","."),".",MID(1/2,2,1)),"")</f>
        <v/>
      </c>
      <c r="B143">
        <f>IFERROR(--SUBSTITUTE(SUBSTITUTE(TRIM(INDEX(INDIRECT("'Выгрузка'!A143:Z143"),Настройки!$B$9)),",","."),".",MID(1/2,2,1)),"")</f>
        <v/>
      </c>
      <c r="C143">
        <f>TRIM(INDEX(INDIRECT("'Выгрузка'!A143:Z143"),Настройки!$B$8)&amp;"")</f>
        <v/>
      </c>
      <c r="D143">
        <f>IFERROR(--SUBSTITUTE(SUBSTITUTE(TRIM(INDEX(INDIRECT("'Выгрузка'!A143:Z143"),Настройки!$B$10)),",","."),".",MID(1/2,2,1)),"")</f>
        <v/>
      </c>
      <c r="E143">
        <f>IFERROR(--SUBSTITUTE(SUBSTITUTE(TRIM(INDEX(INDIRECT("'Выгрузка'!A143:Z143"),Настройки!$B$11)),",","."),".",MID(1/2,2,1)),"")</f>
        <v/>
      </c>
      <c r="F143">
        <f>TRIM(INDEX(INDIRECT("'Выгрузка'!A143:Z143"),Настройки!$B$12)&amp;"")</f>
        <v/>
      </c>
      <c r="G143">
        <f>IF(F143="",0,IF(TRIM(INDEX(INDIRECT("'Выгрузка'!A143:Z143"),Настройки!$B$13)&amp;"")="",1,IFERROR(--SUBSTITUTE(SUBSTITUTE(TRIM(INDEX(INDIRECT("'Выгрузка'!A143:Z143"),Настройки!$B$13)),",","."),".",MID(1/2,2,1)),"")))</f>
        <v/>
      </c>
      <c r="H143">
        <f>IF(F143="",0,IF(COUNTIF(Настройки!$B$17:$B$26,F143)&gt;0,1,IF(COUNTIF(Настройки!$C$17:$C$26,F143)&gt;0,2,IF(COUNTIF(Настройки!$D$17:$D$26,F143)&gt;0,3,0))))</f>
        <v/>
      </c>
      <c r="I143">
        <f>IF(AND(ISNUMBER(A143),ISNUMBER(B143)),A143*1000+B143,"")</f>
        <v/>
      </c>
      <c r="J143">
        <f>IF(I143="","",IF(COUNTIF(I$2:I143,I143)=1,MAX(J$1:J142)+1,""))</f>
        <v/>
      </c>
    </row>
    <row r="144">
      <c r="A144">
        <f>IFERROR(--SUBSTITUTE(SUBSTITUTE(TRIM(INDEX(INDIRECT("'Выгрузка'!A144:Z144"),Настройки!$B$7)),",","."),".",MID(1/2,2,1)),"")</f>
        <v/>
      </c>
      <c r="B144">
        <f>IFERROR(--SUBSTITUTE(SUBSTITUTE(TRIM(INDEX(INDIRECT("'Выгрузка'!A144:Z144"),Настройки!$B$9)),",","."),".",MID(1/2,2,1)),"")</f>
        <v/>
      </c>
      <c r="C144">
        <f>TRIM(INDEX(INDIRECT("'Выгрузка'!A144:Z144"),Настройки!$B$8)&amp;"")</f>
        <v/>
      </c>
      <c r="D144">
        <f>IFERROR(--SUBSTITUTE(SUBSTITUTE(TRIM(INDEX(INDIRECT("'Выгрузка'!A144:Z144"),Настройки!$B$10)),",","."),".",MID(1/2,2,1)),"")</f>
        <v/>
      </c>
      <c r="E144">
        <f>IFERROR(--SUBSTITUTE(SUBSTITUTE(TRIM(INDEX(INDIRECT("'Выгрузка'!A144:Z144"),Настройки!$B$11)),",","."),".",MID(1/2,2,1)),"")</f>
        <v/>
      </c>
      <c r="F144">
        <f>TRIM(INDEX(INDIRECT("'Выгрузка'!A144:Z144"),Настройки!$B$12)&amp;"")</f>
        <v/>
      </c>
      <c r="G144">
        <f>IF(F144="",0,IF(TRIM(INDEX(INDIRECT("'Выгрузка'!A144:Z144"),Настройки!$B$13)&amp;"")="",1,IFERROR(--SUBSTITUTE(SUBSTITUTE(TRIM(INDEX(INDIRECT("'Выгрузка'!A144:Z144"),Настройки!$B$13)),",","."),".",MID(1/2,2,1)),"")))</f>
        <v/>
      </c>
      <c r="H144">
        <f>IF(F144="",0,IF(COUNTIF(Настройки!$B$17:$B$26,F144)&gt;0,1,IF(COUNTIF(Настройки!$C$17:$C$26,F144)&gt;0,2,IF(COUNTIF(Настройки!$D$17:$D$26,F144)&gt;0,3,0))))</f>
        <v/>
      </c>
      <c r="I144">
        <f>IF(AND(ISNUMBER(A144),ISNUMBER(B144)),A144*1000+B144,"")</f>
        <v/>
      </c>
      <c r="J144">
        <f>IF(I144="","",IF(COUNTIF(I$2:I144,I144)=1,MAX(J$1:J143)+1,""))</f>
        <v/>
      </c>
    </row>
    <row r="145">
      <c r="A145">
        <f>IFERROR(--SUBSTITUTE(SUBSTITUTE(TRIM(INDEX(INDIRECT("'Выгрузка'!A145:Z145"),Настройки!$B$7)),",","."),".",MID(1/2,2,1)),"")</f>
        <v/>
      </c>
      <c r="B145">
        <f>IFERROR(--SUBSTITUTE(SUBSTITUTE(TRIM(INDEX(INDIRECT("'Выгрузка'!A145:Z145"),Настройки!$B$9)),",","."),".",MID(1/2,2,1)),"")</f>
        <v/>
      </c>
      <c r="C145">
        <f>TRIM(INDEX(INDIRECT("'Выгрузка'!A145:Z145"),Настройки!$B$8)&amp;"")</f>
        <v/>
      </c>
      <c r="D145">
        <f>IFERROR(--SUBSTITUTE(SUBSTITUTE(TRIM(INDEX(INDIRECT("'Выгрузка'!A145:Z145"),Настройки!$B$10)),",","."),".",MID(1/2,2,1)),"")</f>
        <v/>
      </c>
      <c r="E145">
        <f>IFERROR(--SUBSTITUTE(SUBSTITUTE(TRIM(INDEX(INDIRECT("'Выгрузка'!A145:Z145"),Настройки!$B$11)),",","."),".",MID(1/2,2,1)),"")</f>
        <v/>
      </c>
      <c r="F145">
        <f>TRIM(INDEX(INDIRECT("'Выгрузка'!A145:Z145"),Настройки!$B$12)&amp;"")</f>
        <v/>
      </c>
      <c r="G145">
        <f>IF(F145="",0,IF(TRIM(INDEX(INDIRECT("'Выгрузка'!A145:Z145"),Настройки!$B$13)&amp;"")="",1,IFERROR(--SUBSTITUTE(SUBSTITUTE(TRIM(INDEX(INDIRECT("'Выгрузка'!A145:Z145"),Настройки!$B$13)),",","."),".",MID(1/2,2,1)),"")))</f>
        <v/>
      </c>
      <c r="H145">
        <f>IF(F145="",0,IF(COUNTIF(Настройки!$B$17:$B$26,F145)&gt;0,1,IF(COUNTIF(Настройки!$C$17:$C$26,F145)&gt;0,2,IF(COUNTIF(Настройки!$D$17:$D$26,F145)&gt;0,3,0))))</f>
        <v/>
      </c>
      <c r="I145">
        <f>IF(AND(ISNUMBER(A145),ISNUMBER(B145)),A145*1000+B145,"")</f>
        <v/>
      </c>
      <c r="J145">
        <f>IF(I145="","",IF(COUNTIF(I$2:I145,I145)=1,MAX(J$1:J144)+1,""))</f>
        <v/>
      </c>
    </row>
    <row r="146">
      <c r="A146">
        <f>IFERROR(--SUBSTITUTE(SUBSTITUTE(TRIM(INDEX(INDIRECT("'Выгрузка'!A146:Z146"),Настройки!$B$7)),",","."),".",MID(1/2,2,1)),"")</f>
        <v/>
      </c>
      <c r="B146">
        <f>IFERROR(--SUBSTITUTE(SUBSTITUTE(TRIM(INDEX(INDIRECT("'Выгрузка'!A146:Z146"),Настройки!$B$9)),",","."),".",MID(1/2,2,1)),"")</f>
        <v/>
      </c>
      <c r="C146">
        <f>TRIM(INDEX(INDIRECT("'Выгрузка'!A146:Z146"),Настройки!$B$8)&amp;"")</f>
        <v/>
      </c>
      <c r="D146">
        <f>IFERROR(--SUBSTITUTE(SUBSTITUTE(TRIM(INDEX(INDIRECT("'Выгрузка'!A146:Z146"),Настройки!$B$10)),",","."),".",MID(1/2,2,1)),"")</f>
        <v/>
      </c>
      <c r="E146">
        <f>IFERROR(--SUBSTITUTE(SUBSTITUTE(TRIM(INDEX(INDIRECT("'Выгрузка'!A146:Z146"),Настройки!$B$11)),",","."),".",MID(1/2,2,1)),"")</f>
        <v/>
      </c>
      <c r="F146">
        <f>TRIM(INDEX(INDIRECT("'Выгрузка'!A146:Z146"),Настройки!$B$12)&amp;"")</f>
        <v/>
      </c>
      <c r="G146">
        <f>IF(F146="",0,IF(TRIM(INDEX(INDIRECT("'Выгрузка'!A146:Z146"),Настройки!$B$13)&amp;"")="",1,IFERROR(--SUBSTITUTE(SUBSTITUTE(TRIM(INDEX(INDIRECT("'Выгрузка'!A146:Z146"),Настройки!$B$13)),",","."),".",MID(1/2,2,1)),"")))</f>
        <v/>
      </c>
      <c r="H146">
        <f>IF(F146="",0,IF(COUNTIF(Настройки!$B$17:$B$26,F146)&gt;0,1,IF(COUNTIF(Настройки!$C$17:$C$26,F146)&gt;0,2,IF(COUNTIF(Настройки!$D$17:$D$26,F146)&gt;0,3,0))))</f>
        <v/>
      </c>
      <c r="I146">
        <f>IF(AND(ISNUMBER(A146),ISNUMBER(B146)),A146*1000+B146,"")</f>
        <v/>
      </c>
      <c r="J146">
        <f>IF(I146="","",IF(COUNTIF(I$2:I146,I146)=1,MAX(J$1:J145)+1,""))</f>
        <v/>
      </c>
    </row>
    <row r="147">
      <c r="A147">
        <f>IFERROR(--SUBSTITUTE(SUBSTITUTE(TRIM(INDEX(INDIRECT("'Выгрузка'!A147:Z147"),Настройки!$B$7)),",","."),".",MID(1/2,2,1)),"")</f>
        <v/>
      </c>
      <c r="B147">
        <f>IFERROR(--SUBSTITUTE(SUBSTITUTE(TRIM(INDEX(INDIRECT("'Выгрузка'!A147:Z147"),Настройки!$B$9)),",","."),".",MID(1/2,2,1)),"")</f>
        <v/>
      </c>
      <c r="C147">
        <f>TRIM(INDEX(INDIRECT("'Выгрузка'!A147:Z147"),Настройки!$B$8)&amp;"")</f>
        <v/>
      </c>
      <c r="D147">
        <f>IFERROR(--SUBSTITUTE(SUBSTITUTE(TRIM(INDEX(INDIRECT("'Выгрузка'!A147:Z147"),Настройки!$B$10)),",","."),".",MID(1/2,2,1)),"")</f>
        <v/>
      </c>
      <c r="E147">
        <f>IFERROR(--SUBSTITUTE(SUBSTITUTE(TRIM(INDEX(INDIRECT("'Выгрузка'!A147:Z147"),Настройки!$B$11)),",","."),".",MID(1/2,2,1)),"")</f>
        <v/>
      </c>
      <c r="F147">
        <f>TRIM(INDEX(INDIRECT("'Выгрузка'!A147:Z147"),Настройки!$B$12)&amp;"")</f>
        <v/>
      </c>
      <c r="G147">
        <f>IF(F147="",0,IF(TRIM(INDEX(INDIRECT("'Выгрузка'!A147:Z147"),Настройки!$B$13)&amp;"")="",1,IFERROR(--SUBSTITUTE(SUBSTITUTE(TRIM(INDEX(INDIRECT("'Выгрузка'!A147:Z147"),Настройки!$B$13)),",","."),".",MID(1/2,2,1)),"")))</f>
        <v/>
      </c>
      <c r="H147">
        <f>IF(F147="",0,IF(COUNTIF(Настройки!$B$17:$B$26,F147)&gt;0,1,IF(COUNTIF(Настройки!$C$17:$C$26,F147)&gt;0,2,IF(COUNTIF(Настройки!$D$17:$D$26,F147)&gt;0,3,0))))</f>
        <v/>
      </c>
      <c r="I147">
        <f>IF(AND(ISNUMBER(A147),ISNUMBER(B147)),A147*1000+B147,"")</f>
        <v/>
      </c>
      <c r="J147">
        <f>IF(I147="","",IF(COUNTIF(I$2:I147,I147)=1,MAX(J$1:J146)+1,""))</f>
        <v/>
      </c>
    </row>
    <row r="148">
      <c r="A148">
        <f>IFERROR(--SUBSTITUTE(SUBSTITUTE(TRIM(INDEX(INDIRECT("'Выгрузка'!A148:Z148"),Настройки!$B$7)),",","."),".",MID(1/2,2,1)),"")</f>
        <v/>
      </c>
      <c r="B148">
        <f>IFERROR(--SUBSTITUTE(SUBSTITUTE(TRIM(INDEX(INDIRECT("'Выгрузка'!A148:Z148"),Настройки!$B$9)),",","."),".",MID(1/2,2,1)),"")</f>
        <v/>
      </c>
      <c r="C148">
        <f>TRIM(INDEX(INDIRECT("'Выгрузка'!A148:Z148"),Настройки!$B$8)&amp;"")</f>
        <v/>
      </c>
      <c r="D148">
        <f>IFERROR(--SUBSTITUTE(SUBSTITUTE(TRIM(INDEX(INDIRECT("'Выгрузка'!A148:Z148"),Настройки!$B$10)),",","."),".",MID(1/2,2,1)),"")</f>
        <v/>
      </c>
      <c r="E148">
        <f>IFERROR(--SUBSTITUTE(SUBSTITUTE(TRIM(INDEX(INDIRECT("'Выгрузка'!A148:Z148"),Настройки!$B$11)),",","."),".",MID(1/2,2,1)),"")</f>
        <v/>
      </c>
      <c r="F148">
        <f>TRIM(INDEX(INDIRECT("'Выгрузка'!A148:Z148"),Настройки!$B$12)&amp;"")</f>
        <v/>
      </c>
      <c r="G148">
        <f>IF(F148="",0,IF(TRIM(INDEX(INDIRECT("'Выгрузка'!A148:Z148"),Настройки!$B$13)&amp;"")="",1,IFERROR(--SUBSTITUTE(SUBSTITUTE(TRIM(INDEX(INDIRECT("'Выгрузка'!A148:Z148"),Настройки!$B$13)),",","."),".",MID(1/2,2,1)),"")))</f>
        <v/>
      </c>
      <c r="H148">
        <f>IF(F148="",0,IF(COUNTIF(Настройки!$B$17:$B$26,F148)&gt;0,1,IF(COUNTIF(Настройки!$C$17:$C$26,F148)&gt;0,2,IF(COUNTIF(Настройки!$D$17:$D$26,F148)&gt;0,3,0))))</f>
        <v/>
      </c>
      <c r="I148">
        <f>IF(AND(ISNUMBER(A148),ISNUMBER(B148)),A148*1000+B148,"")</f>
        <v/>
      </c>
      <c r="J148">
        <f>IF(I148="","",IF(COUNTIF(I$2:I148,I148)=1,MAX(J$1:J147)+1,""))</f>
        <v/>
      </c>
    </row>
    <row r="149">
      <c r="A149">
        <f>IFERROR(--SUBSTITUTE(SUBSTITUTE(TRIM(INDEX(INDIRECT("'Выгрузка'!A149:Z149"),Настройки!$B$7)),",","."),".",MID(1/2,2,1)),"")</f>
        <v/>
      </c>
      <c r="B149">
        <f>IFERROR(--SUBSTITUTE(SUBSTITUTE(TRIM(INDEX(INDIRECT("'Выгрузка'!A149:Z149"),Настройки!$B$9)),",","."),".",MID(1/2,2,1)),"")</f>
        <v/>
      </c>
      <c r="C149">
        <f>TRIM(INDEX(INDIRECT("'Выгрузка'!A149:Z149"),Настройки!$B$8)&amp;"")</f>
        <v/>
      </c>
      <c r="D149">
        <f>IFERROR(--SUBSTITUTE(SUBSTITUTE(TRIM(INDEX(INDIRECT("'Выгрузка'!A149:Z149"),Настройки!$B$10)),",","."),".",MID(1/2,2,1)),"")</f>
        <v/>
      </c>
      <c r="E149">
        <f>IFERROR(--SUBSTITUTE(SUBSTITUTE(TRIM(INDEX(INDIRECT("'Выгрузка'!A149:Z149"),Настройки!$B$11)),",","."),".",MID(1/2,2,1)),"")</f>
        <v/>
      </c>
      <c r="F149">
        <f>TRIM(INDEX(INDIRECT("'Выгрузка'!A149:Z149"),Настройки!$B$12)&amp;"")</f>
        <v/>
      </c>
      <c r="G149">
        <f>IF(F149="",0,IF(TRIM(INDEX(INDIRECT("'Выгрузка'!A149:Z149"),Настройки!$B$13)&amp;"")="",1,IFERROR(--SUBSTITUTE(SUBSTITUTE(TRIM(INDEX(INDIRECT("'Выгрузка'!A149:Z149"),Настройки!$B$13)),",","."),".",MID(1/2,2,1)),"")))</f>
        <v/>
      </c>
      <c r="H149">
        <f>IF(F149="",0,IF(COUNTIF(Настройки!$B$17:$B$26,F149)&gt;0,1,IF(COUNTIF(Настройки!$C$17:$C$26,F149)&gt;0,2,IF(COUNTIF(Настройки!$D$17:$D$26,F149)&gt;0,3,0))))</f>
        <v/>
      </c>
      <c r="I149">
        <f>IF(AND(ISNUMBER(A149),ISNUMBER(B149)),A149*1000+B149,"")</f>
        <v/>
      </c>
      <c r="J149">
        <f>IF(I149="","",IF(COUNTIF(I$2:I149,I149)=1,MAX(J$1:J148)+1,""))</f>
        <v/>
      </c>
    </row>
    <row r="150">
      <c r="A150">
        <f>IFERROR(--SUBSTITUTE(SUBSTITUTE(TRIM(INDEX(INDIRECT("'Выгрузка'!A150:Z150"),Настройки!$B$7)),",","."),".",MID(1/2,2,1)),"")</f>
        <v/>
      </c>
      <c r="B150">
        <f>IFERROR(--SUBSTITUTE(SUBSTITUTE(TRIM(INDEX(INDIRECT("'Выгрузка'!A150:Z150"),Настройки!$B$9)),",","."),".",MID(1/2,2,1)),"")</f>
        <v/>
      </c>
      <c r="C150">
        <f>TRIM(INDEX(INDIRECT("'Выгрузка'!A150:Z150"),Настройки!$B$8)&amp;"")</f>
        <v/>
      </c>
      <c r="D150">
        <f>IFERROR(--SUBSTITUTE(SUBSTITUTE(TRIM(INDEX(INDIRECT("'Выгрузка'!A150:Z150"),Настройки!$B$10)),",","."),".",MID(1/2,2,1)),"")</f>
        <v/>
      </c>
      <c r="E150">
        <f>IFERROR(--SUBSTITUTE(SUBSTITUTE(TRIM(INDEX(INDIRECT("'Выгрузка'!A150:Z150"),Настройки!$B$11)),",","."),".",MID(1/2,2,1)),"")</f>
        <v/>
      </c>
      <c r="F150">
        <f>TRIM(INDEX(INDIRECT("'Выгрузка'!A150:Z150"),Настройки!$B$12)&amp;"")</f>
        <v/>
      </c>
      <c r="G150">
        <f>IF(F150="",0,IF(TRIM(INDEX(INDIRECT("'Выгрузка'!A150:Z150"),Настройки!$B$13)&amp;"")="",1,IFERROR(--SUBSTITUTE(SUBSTITUTE(TRIM(INDEX(INDIRECT("'Выгрузка'!A150:Z150"),Настройки!$B$13)),",","."),".",MID(1/2,2,1)),"")))</f>
        <v/>
      </c>
      <c r="H150">
        <f>IF(F150="",0,IF(COUNTIF(Настройки!$B$17:$B$26,F150)&gt;0,1,IF(COUNTIF(Настройки!$C$17:$C$26,F150)&gt;0,2,IF(COUNTIF(Настройки!$D$17:$D$26,F150)&gt;0,3,0))))</f>
        <v/>
      </c>
      <c r="I150">
        <f>IF(AND(ISNUMBER(A150),ISNUMBER(B150)),A150*1000+B150,"")</f>
        <v/>
      </c>
      <c r="J150">
        <f>IF(I150="","",IF(COUNTIF(I$2:I150,I150)=1,MAX(J$1:J149)+1,""))</f>
        <v/>
      </c>
    </row>
    <row r="151">
      <c r="A151">
        <f>IFERROR(--SUBSTITUTE(SUBSTITUTE(TRIM(INDEX(INDIRECT("'Выгрузка'!A151:Z151"),Настройки!$B$7)),",","."),".",MID(1/2,2,1)),"")</f>
        <v/>
      </c>
      <c r="B151">
        <f>IFERROR(--SUBSTITUTE(SUBSTITUTE(TRIM(INDEX(INDIRECT("'Выгрузка'!A151:Z151"),Настройки!$B$9)),",","."),".",MID(1/2,2,1)),"")</f>
        <v/>
      </c>
      <c r="C151">
        <f>TRIM(INDEX(INDIRECT("'Выгрузка'!A151:Z151"),Настройки!$B$8)&amp;"")</f>
        <v/>
      </c>
      <c r="D151">
        <f>IFERROR(--SUBSTITUTE(SUBSTITUTE(TRIM(INDEX(INDIRECT("'Выгрузка'!A151:Z151"),Настройки!$B$10)),",","."),".",MID(1/2,2,1)),"")</f>
        <v/>
      </c>
      <c r="E151">
        <f>IFERROR(--SUBSTITUTE(SUBSTITUTE(TRIM(INDEX(INDIRECT("'Выгрузка'!A151:Z151"),Настройки!$B$11)),",","."),".",MID(1/2,2,1)),"")</f>
        <v/>
      </c>
      <c r="F151">
        <f>TRIM(INDEX(INDIRECT("'Выгрузка'!A151:Z151"),Настройки!$B$12)&amp;"")</f>
        <v/>
      </c>
      <c r="G151">
        <f>IF(F151="",0,IF(TRIM(INDEX(INDIRECT("'Выгрузка'!A151:Z151"),Настройки!$B$13)&amp;"")="",1,IFERROR(--SUBSTITUTE(SUBSTITUTE(TRIM(INDEX(INDIRECT("'Выгрузка'!A151:Z151"),Настройки!$B$13)),",","."),".",MID(1/2,2,1)),"")))</f>
        <v/>
      </c>
      <c r="H151">
        <f>IF(F151="",0,IF(COUNTIF(Настройки!$B$17:$B$26,F151)&gt;0,1,IF(COUNTIF(Настройки!$C$17:$C$26,F151)&gt;0,2,IF(COUNTIF(Настройки!$D$17:$D$26,F151)&gt;0,3,0))))</f>
        <v/>
      </c>
      <c r="I151">
        <f>IF(AND(ISNUMBER(A151),ISNUMBER(B151)),A151*1000+B151,"")</f>
        <v/>
      </c>
      <c r="J151">
        <f>IF(I151="","",IF(COUNTIF(I$2:I151,I151)=1,MAX(J$1:J150)+1,""))</f>
        <v/>
      </c>
    </row>
    <row r="152">
      <c r="A152">
        <f>IFERROR(--SUBSTITUTE(SUBSTITUTE(TRIM(INDEX(INDIRECT("'Выгрузка'!A152:Z152"),Настройки!$B$7)),",","."),".",MID(1/2,2,1)),"")</f>
        <v/>
      </c>
      <c r="B152">
        <f>IFERROR(--SUBSTITUTE(SUBSTITUTE(TRIM(INDEX(INDIRECT("'Выгрузка'!A152:Z152"),Настройки!$B$9)),",","."),".",MID(1/2,2,1)),"")</f>
        <v/>
      </c>
      <c r="C152">
        <f>TRIM(INDEX(INDIRECT("'Выгрузка'!A152:Z152"),Настройки!$B$8)&amp;"")</f>
        <v/>
      </c>
      <c r="D152">
        <f>IFERROR(--SUBSTITUTE(SUBSTITUTE(TRIM(INDEX(INDIRECT("'Выгрузка'!A152:Z152"),Настройки!$B$10)),",","."),".",MID(1/2,2,1)),"")</f>
        <v/>
      </c>
      <c r="E152">
        <f>IFERROR(--SUBSTITUTE(SUBSTITUTE(TRIM(INDEX(INDIRECT("'Выгрузка'!A152:Z152"),Настройки!$B$11)),",","."),".",MID(1/2,2,1)),"")</f>
        <v/>
      </c>
      <c r="F152">
        <f>TRIM(INDEX(INDIRECT("'Выгрузка'!A152:Z152"),Настройки!$B$12)&amp;"")</f>
        <v/>
      </c>
      <c r="G152">
        <f>IF(F152="",0,IF(TRIM(INDEX(INDIRECT("'Выгрузка'!A152:Z152"),Настройки!$B$13)&amp;"")="",1,IFERROR(--SUBSTITUTE(SUBSTITUTE(TRIM(INDEX(INDIRECT("'Выгрузка'!A152:Z152"),Настройки!$B$13)),",","."),".",MID(1/2,2,1)),"")))</f>
        <v/>
      </c>
      <c r="H152">
        <f>IF(F152="",0,IF(COUNTIF(Настройки!$B$17:$B$26,F152)&gt;0,1,IF(COUNTIF(Настройки!$C$17:$C$26,F152)&gt;0,2,IF(COUNTIF(Настройки!$D$17:$D$26,F152)&gt;0,3,0))))</f>
        <v/>
      </c>
      <c r="I152">
        <f>IF(AND(ISNUMBER(A152),ISNUMBER(B152)),A152*1000+B152,"")</f>
        <v/>
      </c>
      <c r="J152">
        <f>IF(I152="","",IF(COUNTIF(I$2:I152,I152)=1,MAX(J$1:J151)+1,""))</f>
        <v/>
      </c>
    </row>
    <row r="153">
      <c r="A153">
        <f>IFERROR(--SUBSTITUTE(SUBSTITUTE(TRIM(INDEX(INDIRECT("'Выгрузка'!A153:Z153"),Настройки!$B$7)),",","."),".",MID(1/2,2,1)),"")</f>
        <v/>
      </c>
      <c r="B153">
        <f>IFERROR(--SUBSTITUTE(SUBSTITUTE(TRIM(INDEX(INDIRECT("'Выгрузка'!A153:Z153"),Настройки!$B$9)),",","."),".",MID(1/2,2,1)),"")</f>
        <v/>
      </c>
      <c r="C153">
        <f>TRIM(INDEX(INDIRECT("'Выгрузка'!A153:Z153"),Настройки!$B$8)&amp;"")</f>
        <v/>
      </c>
      <c r="D153">
        <f>IFERROR(--SUBSTITUTE(SUBSTITUTE(TRIM(INDEX(INDIRECT("'Выгрузка'!A153:Z153"),Настройки!$B$10)),",","."),".",MID(1/2,2,1)),"")</f>
        <v/>
      </c>
      <c r="E153">
        <f>IFERROR(--SUBSTITUTE(SUBSTITUTE(TRIM(INDEX(INDIRECT("'Выгрузка'!A153:Z153"),Настройки!$B$11)),",","."),".",MID(1/2,2,1)),"")</f>
        <v/>
      </c>
      <c r="F153">
        <f>TRIM(INDEX(INDIRECT("'Выгрузка'!A153:Z153"),Настройки!$B$12)&amp;"")</f>
        <v/>
      </c>
      <c r="G153">
        <f>IF(F153="",0,IF(TRIM(INDEX(INDIRECT("'Выгрузка'!A153:Z153"),Настройки!$B$13)&amp;"")="",1,IFERROR(--SUBSTITUTE(SUBSTITUTE(TRIM(INDEX(INDIRECT("'Выгрузка'!A153:Z153"),Настройки!$B$13)),",","."),".",MID(1/2,2,1)),"")))</f>
        <v/>
      </c>
      <c r="H153">
        <f>IF(F153="",0,IF(COUNTIF(Настройки!$B$17:$B$26,F153)&gt;0,1,IF(COUNTIF(Настройки!$C$17:$C$26,F153)&gt;0,2,IF(COUNTIF(Настройки!$D$17:$D$26,F153)&gt;0,3,0))))</f>
        <v/>
      </c>
      <c r="I153">
        <f>IF(AND(ISNUMBER(A153),ISNUMBER(B153)),A153*1000+B153,"")</f>
        <v/>
      </c>
      <c r="J153">
        <f>IF(I153="","",IF(COUNTIF(I$2:I153,I153)=1,MAX(J$1:J152)+1,""))</f>
        <v/>
      </c>
    </row>
    <row r="154">
      <c r="A154">
        <f>IFERROR(--SUBSTITUTE(SUBSTITUTE(TRIM(INDEX(INDIRECT("'Выгрузка'!A154:Z154"),Настройки!$B$7)),",","."),".",MID(1/2,2,1)),"")</f>
        <v/>
      </c>
      <c r="B154">
        <f>IFERROR(--SUBSTITUTE(SUBSTITUTE(TRIM(INDEX(INDIRECT("'Выгрузка'!A154:Z154"),Настройки!$B$9)),",","."),".",MID(1/2,2,1)),"")</f>
        <v/>
      </c>
      <c r="C154">
        <f>TRIM(INDEX(INDIRECT("'Выгрузка'!A154:Z154"),Настройки!$B$8)&amp;"")</f>
        <v/>
      </c>
      <c r="D154">
        <f>IFERROR(--SUBSTITUTE(SUBSTITUTE(TRIM(INDEX(INDIRECT("'Выгрузка'!A154:Z154"),Настройки!$B$10)),",","."),".",MID(1/2,2,1)),"")</f>
        <v/>
      </c>
      <c r="E154">
        <f>IFERROR(--SUBSTITUTE(SUBSTITUTE(TRIM(INDEX(INDIRECT("'Выгрузка'!A154:Z154"),Настройки!$B$11)),",","."),".",MID(1/2,2,1)),"")</f>
        <v/>
      </c>
      <c r="F154">
        <f>TRIM(INDEX(INDIRECT("'Выгрузка'!A154:Z154"),Настройки!$B$12)&amp;"")</f>
        <v/>
      </c>
      <c r="G154">
        <f>IF(F154="",0,IF(TRIM(INDEX(INDIRECT("'Выгрузка'!A154:Z154"),Настройки!$B$13)&amp;"")="",1,IFERROR(--SUBSTITUTE(SUBSTITUTE(TRIM(INDEX(INDIRECT("'Выгрузка'!A154:Z154"),Настройки!$B$13)),",","."),".",MID(1/2,2,1)),"")))</f>
        <v/>
      </c>
      <c r="H154">
        <f>IF(F154="",0,IF(COUNTIF(Настройки!$B$17:$B$26,F154)&gt;0,1,IF(COUNTIF(Настройки!$C$17:$C$26,F154)&gt;0,2,IF(COUNTIF(Настройки!$D$17:$D$26,F154)&gt;0,3,0))))</f>
        <v/>
      </c>
      <c r="I154">
        <f>IF(AND(ISNUMBER(A154),ISNUMBER(B154)),A154*1000+B154,"")</f>
        <v/>
      </c>
      <c r="J154">
        <f>IF(I154="","",IF(COUNTIF(I$2:I154,I154)=1,MAX(J$1:J153)+1,""))</f>
        <v/>
      </c>
    </row>
    <row r="155">
      <c r="A155">
        <f>IFERROR(--SUBSTITUTE(SUBSTITUTE(TRIM(INDEX(INDIRECT("'Выгрузка'!A155:Z155"),Настройки!$B$7)),",","."),".",MID(1/2,2,1)),"")</f>
        <v/>
      </c>
      <c r="B155">
        <f>IFERROR(--SUBSTITUTE(SUBSTITUTE(TRIM(INDEX(INDIRECT("'Выгрузка'!A155:Z155"),Настройки!$B$9)),",","."),".",MID(1/2,2,1)),"")</f>
        <v/>
      </c>
      <c r="C155">
        <f>TRIM(INDEX(INDIRECT("'Выгрузка'!A155:Z155"),Настройки!$B$8)&amp;"")</f>
        <v/>
      </c>
      <c r="D155">
        <f>IFERROR(--SUBSTITUTE(SUBSTITUTE(TRIM(INDEX(INDIRECT("'Выгрузка'!A155:Z155"),Настройки!$B$10)),",","."),".",MID(1/2,2,1)),"")</f>
        <v/>
      </c>
      <c r="E155">
        <f>IFERROR(--SUBSTITUTE(SUBSTITUTE(TRIM(INDEX(INDIRECT("'Выгрузка'!A155:Z155"),Настройки!$B$11)),",","."),".",MID(1/2,2,1)),"")</f>
        <v/>
      </c>
      <c r="F155">
        <f>TRIM(INDEX(INDIRECT("'Выгрузка'!A155:Z155"),Настройки!$B$12)&amp;"")</f>
        <v/>
      </c>
      <c r="G155">
        <f>IF(F155="",0,IF(TRIM(INDEX(INDIRECT("'Выгрузка'!A155:Z155"),Настройки!$B$13)&amp;"")="",1,IFERROR(--SUBSTITUTE(SUBSTITUTE(TRIM(INDEX(INDIRECT("'Выгрузка'!A155:Z155"),Настройки!$B$13)),",","."),".",MID(1/2,2,1)),"")))</f>
        <v/>
      </c>
      <c r="H155">
        <f>IF(F155="",0,IF(COUNTIF(Настройки!$B$17:$B$26,F155)&gt;0,1,IF(COUNTIF(Настройки!$C$17:$C$26,F155)&gt;0,2,IF(COUNTIF(Настройки!$D$17:$D$26,F155)&gt;0,3,0))))</f>
        <v/>
      </c>
      <c r="I155">
        <f>IF(AND(ISNUMBER(A155),ISNUMBER(B155)),A155*1000+B155,"")</f>
        <v/>
      </c>
      <c r="J155">
        <f>IF(I155="","",IF(COUNTIF(I$2:I155,I155)=1,MAX(J$1:J154)+1,""))</f>
        <v/>
      </c>
    </row>
    <row r="156">
      <c r="A156">
        <f>IFERROR(--SUBSTITUTE(SUBSTITUTE(TRIM(INDEX(INDIRECT("'Выгрузка'!A156:Z156"),Настройки!$B$7)),",","."),".",MID(1/2,2,1)),"")</f>
        <v/>
      </c>
      <c r="B156">
        <f>IFERROR(--SUBSTITUTE(SUBSTITUTE(TRIM(INDEX(INDIRECT("'Выгрузка'!A156:Z156"),Настройки!$B$9)),",","."),".",MID(1/2,2,1)),"")</f>
        <v/>
      </c>
      <c r="C156">
        <f>TRIM(INDEX(INDIRECT("'Выгрузка'!A156:Z156"),Настройки!$B$8)&amp;"")</f>
        <v/>
      </c>
      <c r="D156">
        <f>IFERROR(--SUBSTITUTE(SUBSTITUTE(TRIM(INDEX(INDIRECT("'Выгрузка'!A156:Z156"),Настройки!$B$10)),",","."),".",MID(1/2,2,1)),"")</f>
        <v/>
      </c>
      <c r="E156">
        <f>IFERROR(--SUBSTITUTE(SUBSTITUTE(TRIM(INDEX(INDIRECT("'Выгрузка'!A156:Z156"),Настройки!$B$11)),",","."),".",MID(1/2,2,1)),"")</f>
        <v/>
      </c>
      <c r="F156">
        <f>TRIM(INDEX(INDIRECT("'Выгрузка'!A156:Z156"),Настройки!$B$12)&amp;"")</f>
        <v/>
      </c>
      <c r="G156">
        <f>IF(F156="",0,IF(TRIM(INDEX(INDIRECT("'Выгрузка'!A156:Z156"),Настройки!$B$13)&amp;"")="",1,IFERROR(--SUBSTITUTE(SUBSTITUTE(TRIM(INDEX(INDIRECT("'Выгрузка'!A156:Z156"),Настройки!$B$13)),",","."),".",MID(1/2,2,1)),"")))</f>
        <v/>
      </c>
      <c r="H156">
        <f>IF(F156="",0,IF(COUNTIF(Настройки!$B$17:$B$26,F156)&gt;0,1,IF(COUNTIF(Настройки!$C$17:$C$26,F156)&gt;0,2,IF(COUNTIF(Настройки!$D$17:$D$26,F156)&gt;0,3,0))))</f>
        <v/>
      </c>
      <c r="I156">
        <f>IF(AND(ISNUMBER(A156),ISNUMBER(B156)),A156*1000+B156,"")</f>
        <v/>
      </c>
      <c r="J156">
        <f>IF(I156="","",IF(COUNTIF(I$2:I156,I156)=1,MAX(J$1:J155)+1,""))</f>
        <v/>
      </c>
    </row>
    <row r="157">
      <c r="A157">
        <f>IFERROR(--SUBSTITUTE(SUBSTITUTE(TRIM(INDEX(INDIRECT("'Выгрузка'!A157:Z157"),Настройки!$B$7)),",","."),".",MID(1/2,2,1)),"")</f>
        <v/>
      </c>
      <c r="B157">
        <f>IFERROR(--SUBSTITUTE(SUBSTITUTE(TRIM(INDEX(INDIRECT("'Выгрузка'!A157:Z157"),Настройки!$B$9)),",","."),".",MID(1/2,2,1)),"")</f>
        <v/>
      </c>
      <c r="C157">
        <f>TRIM(INDEX(INDIRECT("'Выгрузка'!A157:Z157"),Настройки!$B$8)&amp;"")</f>
        <v/>
      </c>
      <c r="D157">
        <f>IFERROR(--SUBSTITUTE(SUBSTITUTE(TRIM(INDEX(INDIRECT("'Выгрузка'!A157:Z157"),Настройки!$B$10)),",","."),".",MID(1/2,2,1)),"")</f>
        <v/>
      </c>
      <c r="E157">
        <f>IFERROR(--SUBSTITUTE(SUBSTITUTE(TRIM(INDEX(INDIRECT("'Выгрузка'!A157:Z157"),Настройки!$B$11)),",","."),".",MID(1/2,2,1)),"")</f>
        <v/>
      </c>
      <c r="F157">
        <f>TRIM(INDEX(INDIRECT("'Выгрузка'!A157:Z157"),Настройки!$B$12)&amp;"")</f>
        <v/>
      </c>
      <c r="G157">
        <f>IF(F157="",0,IF(TRIM(INDEX(INDIRECT("'Выгрузка'!A157:Z157"),Настройки!$B$13)&amp;"")="",1,IFERROR(--SUBSTITUTE(SUBSTITUTE(TRIM(INDEX(INDIRECT("'Выгрузка'!A157:Z157"),Настройки!$B$13)),",","."),".",MID(1/2,2,1)),"")))</f>
        <v/>
      </c>
      <c r="H157">
        <f>IF(F157="",0,IF(COUNTIF(Настройки!$B$17:$B$26,F157)&gt;0,1,IF(COUNTIF(Настройки!$C$17:$C$26,F157)&gt;0,2,IF(COUNTIF(Настройки!$D$17:$D$26,F157)&gt;0,3,0))))</f>
        <v/>
      </c>
      <c r="I157">
        <f>IF(AND(ISNUMBER(A157),ISNUMBER(B157)),A157*1000+B157,"")</f>
        <v/>
      </c>
      <c r="J157">
        <f>IF(I157="","",IF(COUNTIF(I$2:I157,I157)=1,MAX(J$1:J156)+1,""))</f>
        <v/>
      </c>
    </row>
    <row r="158">
      <c r="A158">
        <f>IFERROR(--SUBSTITUTE(SUBSTITUTE(TRIM(INDEX(INDIRECT("'Выгрузка'!A158:Z158"),Настройки!$B$7)),",","."),".",MID(1/2,2,1)),"")</f>
        <v/>
      </c>
      <c r="B158">
        <f>IFERROR(--SUBSTITUTE(SUBSTITUTE(TRIM(INDEX(INDIRECT("'Выгрузка'!A158:Z158"),Настройки!$B$9)),",","."),".",MID(1/2,2,1)),"")</f>
        <v/>
      </c>
      <c r="C158">
        <f>TRIM(INDEX(INDIRECT("'Выгрузка'!A158:Z158"),Настройки!$B$8)&amp;"")</f>
        <v/>
      </c>
      <c r="D158">
        <f>IFERROR(--SUBSTITUTE(SUBSTITUTE(TRIM(INDEX(INDIRECT("'Выгрузка'!A158:Z158"),Настройки!$B$10)),",","."),".",MID(1/2,2,1)),"")</f>
        <v/>
      </c>
      <c r="E158">
        <f>IFERROR(--SUBSTITUTE(SUBSTITUTE(TRIM(INDEX(INDIRECT("'Выгрузка'!A158:Z158"),Настройки!$B$11)),",","."),".",MID(1/2,2,1)),"")</f>
        <v/>
      </c>
      <c r="F158">
        <f>TRIM(INDEX(INDIRECT("'Выгрузка'!A158:Z158"),Настройки!$B$12)&amp;"")</f>
        <v/>
      </c>
      <c r="G158">
        <f>IF(F158="",0,IF(TRIM(INDEX(INDIRECT("'Выгрузка'!A158:Z158"),Настройки!$B$13)&amp;"")="",1,IFERROR(--SUBSTITUTE(SUBSTITUTE(TRIM(INDEX(INDIRECT("'Выгрузка'!A158:Z158"),Настройки!$B$13)),",","."),".",MID(1/2,2,1)),"")))</f>
        <v/>
      </c>
      <c r="H158">
        <f>IF(F158="",0,IF(COUNTIF(Настройки!$B$17:$B$26,F158)&gt;0,1,IF(COUNTIF(Настройки!$C$17:$C$26,F158)&gt;0,2,IF(COUNTIF(Настройки!$D$17:$D$26,F158)&gt;0,3,0))))</f>
        <v/>
      </c>
      <c r="I158">
        <f>IF(AND(ISNUMBER(A158),ISNUMBER(B158)),A158*1000+B158,"")</f>
        <v/>
      </c>
      <c r="J158">
        <f>IF(I158="","",IF(COUNTIF(I$2:I158,I158)=1,MAX(J$1:J157)+1,""))</f>
        <v/>
      </c>
    </row>
    <row r="159">
      <c r="A159">
        <f>IFERROR(--SUBSTITUTE(SUBSTITUTE(TRIM(INDEX(INDIRECT("'Выгрузка'!A159:Z159"),Настройки!$B$7)),",","."),".",MID(1/2,2,1)),"")</f>
        <v/>
      </c>
      <c r="B159">
        <f>IFERROR(--SUBSTITUTE(SUBSTITUTE(TRIM(INDEX(INDIRECT("'Выгрузка'!A159:Z159"),Настройки!$B$9)),",","."),".",MID(1/2,2,1)),"")</f>
        <v/>
      </c>
      <c r="C159">
        <f>TRIM(INDEX(INDIRECT("'Выгрузка'!A159:Z159"),Настройки!$B$8)&amp;"")</f>
        <v/>
      </c>
      <c r="D159">
        <f>IFERROR(--SUBSTITUTE(SUBSTITUTE(TRIM(INDEX(INDIRECT("'Выгрузка'!A159:Z159"),Настройки!$B$10)),",","."),".",MID(1/2,2,1)),"")</f>
        <v/>
      </c>
      <c r="E159">
        <f>IFERROR(--SUBSTITUTE(SUBSTITUTE(TRIM(INDEX(INDIRECT("'Выгрузка'!A159:Z159"),Настройки!$B$11)),",","."),".",MID(1/2,2,1)),"")</f>
        <v/>
      </c>
      <c r="F159">
        <f>TRIM(INDEX(INDIRECT("'Выгрузка'!A159:Z159"),Настройки!$B$12)&amp;"")</f>
        <v/>
      </c>
      <c r="G159">
        <f>IF(F159="",0,IF(TRIM(INDEX(INDIRECT("'Выгрузка'!A159:Z159"),Настройки!$B$13)&amp;"")="",1,IFERROR(--SUBSTITUTE(SUBSTITUTE(TRIM(INDEX(INDIRECT("'Выгрузка'!A159:Z159"),Настройки!$B$13)),",","."),".",MID(1/2,2,1)),"")))</f>
        <v/>
      </c>
      <c r="H159">
        <f>IF(F159="",0,IF(COUNTIF(Настройки!$B$17:$B$26,F159)&gt;0,1,IF(COUNTIF(Настройки!$C$17:$C$26,F159)&gt;0,2,IF(COUNTIF(Настройки!$D$17:$D$26,F159)&gt;0,3,0))))</f>
        <v/>
      </c>
      <c r="I159">
        <f>IF(AND(ISNUMBER(A159),ISNUMBER(B159)),A159*1000+B159,"")</f>
        <v/>
      </c>
      <c r="J159">
        <f>IF(I159="","",IF(COUNTIF(I$2:I159,I159)=1,MAX(J$1:J158)+1,""))</f>
        <v/>
      </c>
    </row>
    <row r="160">
      <c r="A160">
        <f>IFERROR(--SUBSTITUTE(SUBSTITUTE(TRIM(INDEX(INDIRECT("'Выгрузка'!A160:Z160"),Настройки!$B$7)),",","."),".",MID(1/2,2,1)),"")</f>
        <v/>
      </c>
      <c r="B160">
        <f>IFERROR(--SUBSTITUTE(SUBSTITUTE(TRIM(INDEX(INDIRECT("'Выгрузка'!A160:Z160"),Настройки!$B$9)),",","."),".",MID(1/2,2,1)),"")</f>
        <v/>
      </c>
      <c r="C160">
        <f>TRIM(INDEX(INDIRECT("'Выгрузка'!A160:Z160"),Настройки!$B$8)&amp;"")</f>
        <v/>
      </c>
      <c r="D160">
        <f>IFERROR(--SUBSTITUTE(SUBSTITUTE(TRIM(INDEX(INDIRECT("'Выгрузка'!A160:Z160"),Настройки!$B$10)),",","."),".",MID(1/2,2,1)),"")</f>
        <v/>
      </c>
      <c r="E160">
        <f>IFERROR(--SUBSTITUTE(SUBSTITUTE(TRIM(INDEX(INDIRECT("'Выгрузка'!A160:Z160"),Настройки!$B$11)),",","."),".",MID(1/2,2,1)),"")</f>
        <v/>
      </c>
      <c r="F160">
        <f>TRIM(INDEX(INDIRECT("'Выгрузка'!A160:Z160"),Настройки!$B$12)&amp;"")</f>
        <v/>
      </c>
      <c r="G160">
        <f>IF(F160="",0,IF(TRIM(INDEX(INDIRECT("'Выгрузка'!A160:Z160"),Настройки!$B$13)&amp;"")="",1,IFERROR(--SUBSTITUTE(SUBSTITUTE(TRIM(INDEX(INDIRECT("'Выгрузка'!A160:Z160"),Настройки!$B$13)),",","."),".",MID(1/2,2,1)),"")))</f>
        <v/>
      </c>
      <c r="H160">
        <f>IF(F160="",0,IF(COUNTIF(Настройки!$B$17:$B$26,F160)&gt;0,1,IF(COUNTIF(Настройки!$C$17:$C$26,F160)&gt;0,2,IF(COUNTIF(Настройки!$D$17:$D$26,F160)&gt;0,3,0))))</f>
        <v/>
      </c>
      <c r="I160">
        <f>IF(AND(ISNUMBER(A160),ISNUMBER(B160)),A160*1000+B160,"")</f>
        <v/>
      </c>
      <c r="J160">
        <f>IF(I160="","",IF(COUNTIF(I$2:I160,I160)=1,MAX(J$1:J159)+1,""))</f>
        <v/>
      </c>
    </row>
    <row r="161">
      <c r="A161">
        <f>IFERROR(--SUBSTITUTE(SUBSTITUTE(TRIM(INDEX(INDIRECT("'Выгрузка'!A161:Z161"),Настройки!$B$7)),",","."),".",MID(1/2,2,1)),"")</f>
        <v/>
      </c>
      <c r="B161">
        <f>IFERROR(--SUBSTITUTE(SUBSTITUTE(TRIM(INDEX(INDIRECT("'Выгрузка'!A161:Z161"),Настройки!$B$9)),",","."),".",MID(1/2,2,1)),"")</f>
        <v/>
      </c>
      <c r="C161">
        <f>TRIM(INDEX(INDIRECT("'Выгрузка'!A161:Z161"),Настройки!$B$8)&amp;"")</f>
        <v/>
      </c>
      <c r="D161">
        <f>IFERROR(--SUBSTITUTE(SUBSTITUTE(TRIM(INDEX(INDIRECT("'Выгрузка'!A161:Z161"),Настройки!$B$10)),",","."),".",MID(1/2,2,1)),"")</f>
        <v/>
      </c>
      <c r="E161">
        <f>IFERROR(--SUBSTITUTE(SUBSTITUTE(TRIM(INDEX(INDIRECT("'Выгрузка'!A161:Z161"),Настройки!$B$11)),",","."),".",MID(1/2,2,1)),"")</f>
        <v/>
      </c>
      <c r="F161">
        <f>TRIM(INDEX(INDIRECT("'Выгрузка'!A161:Z161"),Настройки!$B$12)&amp;"")</f>
        <v/>
      </c>
      <c r="G161">
        <f>IF(F161="",0,IF(TRIM(INDEX(INDIRECT("'Выгрузка'!A161:Z161"),Настройки!$B$13)&amp;"")="",1,IFERROR(--SUBSTITUTE(SUBSTITUTE(TRIM(INDEX(INDIRECT("'Выгрузка'!A161:Z161"),Настройки!$B$13)),",","."),".",MID(1/2,2,1)),"")))</f>
        <v/>
      </c>
      <c r="H161">
        <f>IF(F161="",0,IF(COUNTIF(Настройки!$B$17:$B$26,F161)&gt;0,1,IF(COUNTIF(Настройки!$C$17:$C$26,F161)&gt;0,2,IF(COUNTIF(Настройки!$D$17:$D$26,F161)&gt;0,3,0))))</f>
        <v/>
      </c>
      <c r="I161">
        <f>IF(AND(ISNUMBER(A161),ISNUMBER(B161)),A161*1000+B161,"")</f>
        <v/>
      </c>
      <c r="J161">
        <f>IF(I161="","",IF(COUNTIF(I$2:I161,I161)=1,MAX(J$1:J160)+1,""))</f>
        <v/>
      </c>
    </row>
    <row r="162">
      <c r="A162">
        <f>IFERROR(--SUBSTITUTE(SUBSTITUTE(TRIM(INDEX(INDIRECT("'Выгрузка'!A162:Z162"),Настройки!$B$7)),",","."),".",MID(1/2,2,1)),"")</f>
        <v/>
      </c>
      <c r="B162">
        <f>IFERROR(--SUBSTITUTE(SUBSTITUTE(TRIM(INDEX(INDIRECT("'Выгрузка'!A162:Z162"),Настройки!$B$9)),",","."),".",MID(1/2,2,1)),"")</f>
        <v/>
      </c>
      <c r="C162">
        <f>TRIM(INDEX(INDIRECT("'Выгрузка'!A162:Z162"),Настройки!$B$8)&amp;"")</f>
        <v/>
      </c>
      <c r="D162">
        <f>IFERROR(--SUBSTITUTE(SUBSTITUTE(TRIM(INDEX(INDIRECT("'Выгрузка'!A162:Z162"),Настройки!$B$10)),",","."),".",MID(1/2,2,1)),"")</f>
        <v/>
      </c>
      <c r="E162">
        <f>IFERROR(--SUBSTITUTE(SUBSTITUTE(TRIM(INDEX(INDIRECT("'Выгрузка'!A162:Z162"),Настройки!$B$11)),",","."),".",MID(1/2,2,1)),"")</f>
        <v/>
      </c>
      <c r="F162">
        <f>TRIM(INDEX(INDIRECT("'Выгрузка'!A162:Z162"),Настройки!$B$12)&amp;"")</f>
        <v/>
      </c>
      <c r="G162">
        <f>IF(F162="",0,IF(TRIM(INDEX(INDIRECT("'Выгрузка'!A162:Z162"),Настройки!$B$13)&amp;"")="",1,IFERROR(--SUBSTITUTE(SUBSTITUTE(TRIM(INDEX(INDIRECT("'Выгрузка'!A162:Z162"),Настройки!$B$13)),",","."),".",MID(1/2,2,1)),"")))</f>
        <v/>
      </c>
      <c r="H162">
        <f>IF(F162="",0,IF(COUNTIF(Настройки!$B$17:$B$26,F162)&gt;0,1,IF(COUNTIF(Настройки!$C$17:$C$26,F162)&gt;0,2,IF(COUNTIF(Настройки!$D$17:$D$26,F162)&gt;0,3,0))))</f>
        <v/>
      </c>
      <c r="I162">
        <f>IF(AND(ISNUMBER(A162),ISNUMBER(B162)),A162*1000+B162,"")</f>
        <v/>
      </c>
      <c r="J162">
        <f>IF(I162="","",IF(COUNTIF(I$2:I162,I162)=1,MAX(J$1:J161)+1,""))</f>
        <v/>
      </c>
    </row>
    <row r="163">
      <c r="A163">
        <f>IFERROR(--SUBSTITUTE(SUBSTITUTE(TRIM(INDEX(INDIRECT("'Выгрузка'!A163:Z163"),Настройки!$B$7)),",","."),".",MID(1/2,2,1)),"")</f>
        <v/>
      </c>
      <c r="B163">
        <f>IFERROR(--SUBSTITUTE(SUBSTITUTE(TRIM(INDEX(INDIRECT("'Выгрузка'!A163:Z163"),Настройки!$B$9)),",","."),".",MID(1/2,2,1)),"")</f>
        <v/>
      </c>
      <c r="C163">
        <f>TRIM(INDEX(INDIRECT("'Выгрузка'!A163:Z163"),Настройки!$B$8)&amp;"")</f>
        <v/>
      </c>
      <c r="D163">
        <f>IFERROR(--SUBSTITUTE(SUBSTITUTE(TRIM(INDEX(INDIRECT("'Выгрузка'!A163:Z163"),Настройки!$B$10)),",","."),".",MID(1/2,2,1)),"")</f>
        <v/>
      </c>
      <c r="E163">
        <f>IFERROR(--SUBSTITUTE(SUBSTITUTE(TRIM(INDEX(INDIRECT("'Выгрузка'!A163:Z163"),Настройки!$B$11)),",","."),".",MID(1/2,2,1)),"")</f>
        <v/>
      </c>
      <c r="F163">
        <f>TRIM(INDEX(INDIRECT("'Выгрузка'!A163:Z163"),Настройки!$B$12)&amp;"")</f>
        <v/>
      </c>
      <c r="G163">
        <f>IF(F163="",0,IF(TRIM(INDEX(INDIRECT("'Выгрузка'!A163:Z163"),Настройки!$B$13)&amp;"")="",1,IFERROR(--SUBSTITUTE(SUBSTITUTE(TRIM(INDEX(INDIRECT("'Выгрузка'!A163:Z163"),Настройки!$B$13)),",","."),".",MID(1/2,2,1)),"")))</f>
        <v/>
      </c>
      <c r="H163">
        <f>IF(F163="",0,IF(COUNTIF(Настройки!$B$17:$B$26,F163)&gt;0,1,IF(COUNTIF(Настройки!$C$17:$C$26,F163)&gt;0,2,IF(COUNTIF(Настройки!$D$17:$D$26,F163)&gt;0,3,0))))</f>
        <v/>
      </c>
      <c r="I163">
        <f>IF(AND(ISNUMBER(A163),ISNUMBER(B163)),A163*1000+B163,"")</f>
        <v/>
      </c>
      <c r="J163">
        <f>IF(I163="","",IF(COUNTIF(I$2:I163,I163)=1,MAX(J$1:J162)+1,""))</f>
        <v/>
      </c>
    </row>
    <row r="164">
      <c r="A164">
        <f>IFERROR(--SUBSTITUTE(SUBSTITUTE(TRIM(INDEX(INDIRECT("'Выгрузка'!A164:Z164"),Настройки!$B$7)),",","."),".",MID(1/2,2,1)),"")</f>
        <v/>
      </c>
      <c r="B164">
        <f>IFERROR(--SUBSTITUTE(SUBSTITUTE(TRIM(INDEX(INDIRECT("'Выгрузка'!A164:Z164"),Настройки!$B$9)),",","."),".",MID(1/2,2,1)),"")</f>
        <v/>
      </c>
      <c r="C164">
        <f>TRIM(INDEX(INDIRECT("'Выгрузка'!A164:Z164"),Настройки!$B$8)&amp;"")</f>
        <v/>
      </c>
      <c r="D164">
        <f>IFERROR(--SUBSTITUTE(SUBSTITUTE(TRIM(INDEX(INDIRECT("'Выгрузка'!A164:Z164"),Настройки!$B$10)),",","."),".",MID(1/2,2,1)),"")</f>
        <v/>
      </c>
      <c r="E164">
        <f>IFERROR(--SUBSTITUTE(SUBSTITUTE(TRIM(INDEX(INDIRECT("'Выгрузка'!A164:Z164"),Настройки!$B$11)),",","."),".",MID(1/2,2,1)),"")</f>
        <v/>
      </c>
      <c r="F164">
        <f>TRIM(INDEX(INDIRECT("'Выгрузка'!A164:Z164"),Настройки!$B$12)&amp;"")</f>
        <v/>
      </c>
      <c r="G164">
        <f>IF(F164="",0,IF(TRIM(INDEX(INDIRECT("'Выгрузка'!A164:Z164"),Настройки!$B$13)&amp;"")="",1,IFERROR(--SUBSTITUTE(SUBSTITUTE(TRIM(INDEX(INDIRECT("'Выгрузка'!A164:Z164"),Настройки!$B$13)),",","."),".",MID(1/2,2,1)),"")))</f>
        <v/>
      </c>
      <c r="H164">
        <f>IF(F164="",0,IF(COUNTIF(Настройки!$B$17:$B$26,F164)&gt;0,1,IF(COUNTIF(Настройки!$C$17:$C$26,F164)&gt;0,2,IF(COUNTIF(Настройки!$D$17:$D$26,F164)&gt;0,3,0))))</f>
        <v/>
      </c>
      <c r="I164">
        <f>IF(AND(ISNUMBER(A164),ISNUMBER(B164)),A164*1000+B164,"")</f>
        <v/>
      </c>
      <c r="J164">
        <f>IF(I164="","",IF(COUNTIF(I$2:I164,I164)=1,MAX(J$1:J163)+1,""))</f>
        <v/>
      </c>
    </row>
    <row r="165">
      <c r="A165">
        <f>IFERROR(--SUBSTITUTE(SUBSTITUTE(TRIM(INDEX(INDIRECT("'Выгрузка'!A165:Z165"),Настройки!$B$7)),",","."),".",MID(1/2,2,1)),"")</f>
        <v/>
      </c>
      <c r="B165">
        <f>IFERROR(--SUBSTITUTE(SUBSTITUTE(TRIM(INDEX(INDIRECT("'Выгрузка'!A165:Z165"),Настройки!$B$9)),",","."),".",MID(1/2,2,1)),"")</f>
        <v/>
      </c>
      <c r="C165">
        <f>TRIM(INDEX(INDIRECT("'Выгрузка'!A165:Z165"),Настройки!$B$8)&amp;"")</f>
        <v/>
      </c>
      <c r="D165">
        <f>IFERROR(--SUBSTITUTE(SUBSTITUTE(TRIM(INDEX(INDIRECT("'Выгрузка'!A165:Z165"),Настройки!$B$10)),",","."),".",MID(1/2,2,1)),"")</f>
        <v/>
      </c>
      <c r="E165">
        <f>IFERROR(--SUBSTITUTE(SUBSTITUTE(TRIM(INDEX(INDIRECT("'Выгрузка'!A165:Z165"),Настройки!$B$11)),",","."),".",MID(1/2,2,1)),"")</f>
        <v/>
      </c>
      <c r="F165">
        <f>TRIM(INDEX(INDIRECT("'Выгрузка'!A165:Z165"),Настройки!$B$12)&amp;"")</f>
        <v/>
      </c>
      <c r="G165">
        <f>IF(F165="",0,IF(TRIM(INDEX(INDIRECT("'Выгрузка'!A165:Z165"),Настройки!$B$13)&amp;"")="",1,IFERROR(--SUBSTITUTE(SUBSTITUTE(TRIM(INDEX(INDIRECT("'Выгрузка'!A165:Z165"),Настройки!$B$13)),",","."),".",MID(1/2,2,1)),"")))</f>
        <v/>
      </c>
      <c r="H165">
        <f>IF(F165="",0,IF(COUNTIF(Настройки!$B$17:$B$26,F165)&gt;0,1,IF(COUNTIF(Настройки!$C$17:$C$26,F165)&gt;0,2,IF(COUNTIF(Настройки!$D$17:$D$26,F165)&gt;0,3,0))))</f>
        <v/>
      </c>
      <c r="I165">
        <f>IF(AND(ISNUMBER(A165),ISNUMBER(B165)),A165*1000+B165,"")</f>
        <v/>
      </c>
      <c r="J165">
        <f>IF(I165="","",IF(COUNTIF(I$2:I165,I165)=1,MAX(J$1:J164)+1,""))</f>
        <v/>
      </c>
    </row>
    <row r="166">
      <c r="A166">
        <f>IFERROR(--SUBSTITUTE(SUBSTITUTE(TRIM(INDEX(INDIRECT("'Выгрузка'!A166:Z166"),Настройки!$B$7)),",","."),".",MID(1/2,2,1)),"")</f>
        <v/>
      </c>
      <c r="B166">
        <f>IFERROR(--SUBSTITUTE(SUBSTITUTE(TRIM(INDEX(INDIRECT("'Выгрузка'!A166:Z166"),Настройки!$B$9)),",","."),".",MID(1/2,2,1)),"")</f>
        <v/>
      </c>
      <c r="C166">
        <f>TRIM(INDEX(INDIRECT("'Выгрузка'!A166:Z166"),Настройки!$B$8)&amp;"")</f>
        <v/>
      </c>
      <c r="D166">
        <f>IFERROR(--SUBSTITUTE(SUBSTITUTE(TRIM(INDEX(INDIRECT("'Выгрузка'!A166:Z166"),Настройки!$B$10)),",","."),".",MID(1/2,2,1)),"")</f>
        <v/>
      </c>
      <c r="E166">
        <f>IFERROR(--SUBSTITUTE(SUBSTITUTE(TRIM(INDEX(INDIRECT("'Выгрузка'!A166:Z166"),Настройки!$B$11)),",","."),".",MID(1/2,2,1)),"")</f>
        <v/>
      </c>
      <c r="F166">
        <f>TRIM(INDEX(INDIRECT("'Выгрузка'!A166:Z166"),Настройки!$B$12)&amp;"")</f>
        <v/>
      </c>
      <c r="G166">
        <f>IF(F166="",0,IF(TRIM(INDEX(INDIRECT("'Выгрузка'!A166:Z166"),Настройки!$B$13)&amp;"")="",1,IFERROR(--SUBSTITUTE(SUBSTITUTE(TRIM(INDEX(INDIRECT("'Выгрузка'!A166:Z166"),Настройки!$B$13)),",","."),".",MID(1/2,2,1)),"")))</f>
        <v/>
      </c>
      <c r="H166">
        <f>IF(F166="",0,IF(COUNTIF(Настройки!$B$17:$B$26,F166)&gt;0,1,IF(COUNTIF(Настройки!$C$17:$C$26,F166)&gt;0,2,IF(COUNTIF(Настройки!$D$17:$D$26,F166)&gt;0,3,0))))</f>
        <v/>
      </c>
      <c r="I166">
        <f>IF(AND(ISNUMBER(A166),ISNUMBER(B166)),A166*1000+B166,"")</f>
        <v/>
      </c>
      <c r="J166">
        <f>IF(I166="","",IF(COUNTIF(I$2:I166,I166)=1,MAX(J$1:J165)+1,""))</f>
        <v/>
      </c>
    </row>
    <row r="167">
      <c r="A167">
        <f>IFERROR(--SUBSTITUTE(SUBSTITUTE(TRIM(INDEX(INDIRECT("'Выгрузка'!A167:Z167"),Настройки!$B$7)),",","."),".",MID(1/2,2,1)),"")</f>
        <v/>
      </c>
      <c r="B167">
        <f>IFERROR(--SUBSTITUTE(SUBSTITUTE(TRIM(INDEX(INDIRECT("'Выгрузка'!A167:Z167"),Настройки!$B$9)),",","."),".",MID(1/2,2,1)),"")</f>
        <v/>
      </c>
      <c r="C167">
        <f>TRIM(INDEX(INDIRECT("'Выгрузка'!A167:Z167"),Настройки!$B$8)&amp;"")</f>
        <v/>
      </c>
      <c r="D167">
        <f>IFERROR(--SUBSTITUTE(SUBSTITUTE(TRIM(INDEX(INDIRECT("'Выгрузка'!A167:Z167"),Настройки!$B$10)),",","."),".",MID(1/2,2,1)),"")</f>
        <v/>
      </c>
      <c r="E167">
        <f>IFERROR(--SUBSTITUTE(SUBSTITUTE(TRIM(INDEX(INDIRECT("'Выгрузка'!A167:Z167"),Настройки!$B$11)),",","."),".",MID(1/2,2,1)),"")</f>
        <v/>
      </c>
      <c r="F167">
        <f>TRIM(INDEX(INDIRECT("'Выгрузка'!A167:Z167"),Настройки!$B$12)&amp;"")</f>
        <v/>
      </c>
      <c r="G167">
        <f>IF(F167="",0,IF(TRIM(INDEX(INDIRECT("'Выгрузка'!A167:Z167"),Настройки!$B$13)&amp;"")="",1,IFERROR(--SUBSTITUTE(SUBSTITUTE(TRIM(INDEX(INDIRECT("'Выгрузка'!A167:Z167"),Настройки!$B$13)),",","."),".",MID(1/2,2,1)),"")))</f>
        <v/>
      </c>
      <c r="H167">
        <f>IF(F167="",0,IF(COUNTIF(Настройки!$B$17:$B$26,F167)&gt;0,1,IF(COUNTIF(Настройки!$C$17:$C$26,F167)&gt;0,2,IF(COUNTIF(Настройки!$D$17:$D$26,F167)&gt;0,3,0))))</f>
        <v/>
      </c>
      <c r="I167">
        <f>IF(AND(ISNUMBER(A167),ISNUMBER(B167)),A167*1000+B167,"")</f>
        <v/>
      </c>
      <c r="J167">
        <f>IF(I167="","",IF(COUNTIF(I$2:I167,I167)=1,MAX(J$1:J166)+1,""))</f>
        <v/>
      </c>
    </row>
    <row r="168">
      <c r="A168">
        <f>IFERROR(--SUBSTITUTE(SUBSTITUTE(TRIM(INDEX(INDIRECT("'Выгрузка'!A168:Z168"),Настройки!$B$7)),",","."),".",MID(1/2,2,1)),"")</f>
        <v/>
      </c>
      <c r="B168">
        <f>IFERROR(--SUBSTITUTE(SUBSTITUTE(TRIM(INDEX(INDIRECT("'Выгрузка'!A168:Z168"),Настройки!$B$9)),",","."),".",MID(1/2,2,1)),"")</f>
        <v/>
      </c>
      <c r="C168">
        <f>TRIM(INDEX(INDIRECT("'Выгрузка'!A168:Z168"),Настройки!$B$8)&amp;"")</f>
        <v/>
      </c>
      <c r="D168">
        <f>IFERROR(--SUBSTITUTE(SUBSTITUTE(TRIM(INDEX(INDIRECT("'Выгрузка'!A168:Z168"),Настройки!$B$10)),",","."),".",MID(1/2,2,1)),"")</f>
        <v/>
      </c>
      <c r="E168">
        <f>IFERROR(--SUBSTITUTE(SUBSTITUTE(TRIM(INDEX(INDIRECT("'Выгрузка'!A168:Z168"),Настройки!$B$11)),",","."),".",MID(1/2,2,1)),"")</f>
        <v/>
      </c>
      <c r="F168">
        <f>TRIM(INDEX(INDIRECT("'Выгрузка'!A168:Z168"),Настройки!$B$12)&amp;"")</f>
        <v/>
      </c>
      <c r="G168">
        <f>IF(F168="",0,IF(TRIM(INDEX(INDIRECT("'Выгрузка'!A168:Z168"),Настройки!$B$13)&amp;"")="",1,IFERROR(--SUBSTITUTE(SUBSTITUTE(TRIM(INDEX(INDIRECT("'Выгрузка'!A168:Z168"),Настройки!$B$13)),",","."),".",MID(1/2,2,1)),"")))</f>
        <v/>
      </c>
      <c r="H168">
        <f>IF(F168="",0,IF(COUNTIF(Настройки!$B$17:$B$26,F168)&gt;0,1,IF(COUNTIF(Настройки!$C$17:$C$26,F168)&gt;0,2,IF(COUNTIF(Настройки!$D$17:$D$26,F168)&gt;0,3,0))))</f>
        <v/>
      </c>
      <c r="I168">
        <f>IF(AND(ISNUMBER(A168),ISNUMBER(B168)),A168*1000+B168,"")</f>
        <v/>
      </c>
      <c r="J168">
        <f>IF(I168="","",IF(COUNTIF(I$2:I168,I168)=1,MAX(J$1:J167)+1,""))</f>
        <v/>
      </c>
    </row>
    <row r="169">
      <c r="A169">
        <f>IFERROR(--SUBSTITUTE(SUBSTITUTE(TRIM(INDEX(INDIRECT("'Выгрузка'!A169:Z169"),Настройки!$B$7)),",","."),".",MID(1/2,2,1)),"")</f>
        <v/>
      </c>
      <c r="B169">
        <f>IFERROR(--SUBSTITUTE(SUBSTITUTE(TRIM(INDEX(INDIRECT("'Выгрузка'!A169:Z169"),Настройки!$B$9)),",","."),".",MID(1/2,2,1)),"")</f>
        <v/>
      </c>
      <c r="C169">
        <f>TRIM(INDEX(INDIRECT("'Выгрузка'!A169:Z169"),Настройки!$B$8)&amp;"")</f>
        <v/>
      </c>
      <c r="D169">
        <f>IFERROR(--SUBSTITUTE(SUBSTITUTE(TRIM(INDEX(INDIRECT("'Выгрузка'!A169:Z169"),Настройки!$B$10)),",","."),".",MID(1/2,2,1)),"")</f>
        <v/>
      </c>
      <c r="E169">
        <f>IFERROR(--SUBSTITUTE(SUBSTITUTE(TRIM(INDEX(INDIRECT("'Выгрузка'!A169:Z169"),Настройки!$B$11)),",","."),".",MID(1/2,2,1)),"")</f>
        <v/>
      </c>
      <c r="F169">
        <f>TRIM(INDEX(INDIRECT("'Выгрузка'!A169:Z169"),Настройки!$B$12)&amp;"")</f>
        <v/>
      </c>
      <c r="G169">
        <f>IF(F169="",0,IF(TRIM(INDEX(INDIRECT("'Выгрузка'!A169:Z169"),Настройки!$B$13)&amp;"")="",1,IFERROR(--SUBSTITUTE(SUBSTITUTE(TRIM(INDEX(INDIRECT("'Выгрузка'!A169:Z169"),Настройки!$B$13)),",","."),".",MID(1/2,2,1)),"")))</f>
        <v/>
      </c>
      <c r="H169">
        <f>IF(F169="",0,IF(COUNTIF(Настройки!$B$17:$B$26,F169)&gt;0,1,IF(COUNTIF(Настройки!$C$17:$C$26,F169)&gt;0,2,IF(COUNTIF(Настройки!$D$17:$D$26,F169)&gt;0,3,0))))</f>
        <v/>
      </c>
      <c r="I169">
        <f>IF(AND(ISNUMBER(A169),ISNUMBER(B169)),A169*1000+B169,"")</f>
        <v/>
      </c>
      <c r="J169">
        <f>IF(I169="","",IF(COUNTIF(I$2:I169,I169)=1,MAX(J$1:J168)+1,""))</f>
        <v/>
      </c>
    </row>
    <row r="170">
      <c r="A170">
        <f>IFERROR(--SUBSTITUTE(SUBSTITUTE(TRIM(INDEX(INDIRECT("'Выгрузка'!A170:Z170"),Настройки!$B$7)),",","."),".",MID(1/2,2,1)),"")</f>
        <v/>
      </c>
      <c r="B170">
        <f>IFERROR(--SUBSTITUTE(SUBSTITUTE(TRIM(INDEX(INDIRECT("'Выгрузка'!A170:Z170"),Настройки!$B$9)),",","."),".",MID(1/2,2,1)),"")</f>
        <v/>
      </c>
      <c r="C170">
        <f>TRIM(INDEX(INDIRECT("'Выгрузка'!A170:Z170"),Настройки!$B$8)&amp;"")</f>
        <v/>
      </c>
      <c r="D170">
        <f>IFERROR(--SUBSTITUTE(SUBSTITUTE(TRIM(INDEX(INDIRECT("'Выгрузка'!A170:Z170"),Настройки!$B$10)),",","."),".",MID(1/2,2,1)),"")</f>
        <v/>
      </c>
      <c r="E170">
        <f>IFERROR(--SUBSTITUTE(SUBSTITUTE(TRIM(INDEX(INDIRECT("'Выгрузка'!A170:Z170"),Настройки!$B$11)),",","."),".",MID(1/2,2,1)),"")</f>
        <v/>
      </c>
      <c r="F170">
        <f>TRIM(INDEX(INDIRECT("'Выгрузка'!A170:Z170"),Настройки!$B$12)&amp;"")</f>
        <v/>
      </c>
      <c r="G170">
        <f>IF(F170="",0,IF(TRIM(INDEX(INDIRECT("'Выгрузка'!A170:Z170"),Настройки!$B$13)&amp;"")="",1,IFERROR(--SUBSTITUTE(SUBSTITUTE(TRIM(INDEX(INDIRECT("'Выгрузка'!A170:Z170"),Настройки!$B$13)),",","."),".",MID(1/2,2,1)),"")))</f>
        <v/>
      </c>
      <c r="H170">
        <f>IF(F170="",0,IF(COUNTIF(Настройки!$B$17:$B$26,F170)&gt;0,1,IF(COUNTIF(Настройки!$C$17:$C$26,F170)&gt;0,2,IF(COUNTIF(Настройки!$D$17:$D$26,F170)&gt;0,3,0))))</f>
        <v/>
      </c>
      <c r="I170">
        <f>IF(AND(ISNUMBER(A170),ISNUMBER(B170)),A170*1000+B170,"")</f>
        <v/>
      </c>
      <c r="J170">
        <f>IF(I170="","",IF(COUNTIF(I$2:I170,I170)=1,MAX(J$1:J169)+1,""))</f>
        <v/>
      </c>
    </row>
    <row r="171">
      <c r="A171">
        <f>IFERROR(--SUBSTITUTE(SUBSTITUTE(TRIM(INDEX(INDIRECT("'Выгрузка'!A171:Z171"),Настройки!$B$7)),",","."),".",MID(1/2,2,1)),"")</f>
        <v/>
      </c>
      <c r="B171">
        <f>IFERROR(--SUBSTITUTE(SUBSTITUTE(TRIM(INDEX(INDIRECT("'Выгрузка'!A171:Z171"),Настройки!$B$9)),",","."),".",MID(1/2,2,1)),"")</f>
        <v/>
      </c>
      <c r="C171">
        <f>TRIM(INDEX(INDIRECT("'Выгрузка'!A171:Z171"),Настройки!$B$8)&amp;"")</f>
        <v/>
      </c>
      <c r="D171">
        <f>IFERROR(--SUBSTITUTE(SUBSTITUTE(TRIM(INDEX(INDIRECT("'Выгрузка'!A171:Z171"),Настройки!$B$10)),",","."),".",MID(1/2,2,1)),"")</f>
        <v/>
      </c>
      <c r="E171">
        <f>IFERROR(--SUBSTITUTE(SUBSTITUTE(TRIM(INDEX(INDIRECT("'Выгрузка'!A171:Z171"),Настройки!$B$11)),",","."),".",MID(1/2,2,1)),"")</f>
        <v/>
      </c>
      <c r="F171">
        <f>TRIM(INDEX(INDIRECT("'Выгрузка'!A171:Z171"),Настройки!$B$12)&amp;"")</f>
        <v/>
      </c>
      <c r="G171">
        <f>IF(F171="",0,IF(TRIM(INDEX(INDIRECT("'Выгрузка'!A171:Z171"),Настройки!$B$13)&amp;"")="",1,IFERROR(--SUBSTITUTE(SUBSTITUTE(TRIM(INDEX(INDIRECT("'Выгрузка'!A171:Z171"),Настройки!$B$13)),",","."),".",MID(1/2,2,1)),"")))</f>
        <v/>
      </c>
      <c r="H171">
        <f>IF(F171="",0,IF(COUNTIF(Настройки!$B$17:$B$26,F171)&gt;0,1,IF(COUNTIF(Настройки!$C$17:$C$26,F171)&gt;0,2,IF(COUNTIF(Настройки!$D$17:$D$26,F171)&gt;0,3,0))))</f>
        <v/>
      </c>
      <c r="I171">
        <f>IF(AND(ISNUMBER(A171),ISNUMBER(B171)),A171*1000+B171,"")</f>
        <v/>
      </c>
      <c r="J171">
        <f>IF(I171="","",IF(COUNTIF(I$2:I171,I171)=1,MAX(J$1:J170)+1,""))</f>
        <v/>
      </c>
    </row>
    <row r="172">
      <c r="A172">
        <f>IFERROR(--SUBSTITUTE(SUBSTITUTE(TRIM(INDEX(INDIRECT("'Выгрузка'!A172:Z172"),Настройки!$B$7)),",","."),".",MID(1/2,2,1)),"")</f>
        <v/>
      </c>
      <c r="B172">
        <f>IFERROR(--SUBSTITUTE(SUBSTITUTE(TRIM(INDEX(INDIRECT("'Выгрузка'!A172:Z172"),Настройки!$B$9)),",","."),".",MID(1/2,2,1)),"")</f>
        <v/>
      </c>
      <c r="C172">
        <f>TRIM(INDEX(INDIRECT("'Выгрузка'!A172:Z172"),Настройки!$B$8)&amp;"")</f>
        <v/>
      </c>
      <c r="D172">
        <f>IFERROR(--SUBSTITUTE(SUBSTITUTE(TRIM(INDEX(INDIRECT("'Выгрузка'!A172:Z172"),Настройки!$B$10)),",","."),".",MID(1/2,2,1)),"")</f>
        <v/>
      </c>
      <c r="E172">
        <f>IFERROR(--SUBSTITUTE(SUBSTITUTE(TRIM(INDEX(INDIRECT("'Выгрузка'!A172:Z172"),Настройки!$B$11)),",","."),".",MID(1/2,2,1)),"")</f>
        <v/>
      </c>
      <c r="F172">
        <f>TRIM(INDEX(INDIRECT("'Выгрузка'!A172:Z172"),Настройки!$B$12)&amp;"")</f>
        <v/>
      </c>
      <c r="G172">
        <f>IF(F172="",0,IF(TRIM(INDEX(INDIRECT("'Выгрузка'!A172:Z172"),Настройки!$B$13)&amp;"")="",1,IFERROR(--SUBSTITUTE(SUBSTITUTE(TRIM(INDEX(INDIRECT("'Выгрузка'!A172:Z172"),Настройки!$B$13)),",","."),".",MID(1/2,2,1)),"")))</f>
        <v/>
      </c>
      <c r="H172">
        <f>IF(F172="",0,IF(COUNTIF(Настройки!$B$17:$B$26,F172)&gt;0,1,IF(COUNTIF(Настройки!$C$17:$C$26,F172)&gt;0,2,IF(COUNTIF(Настройки!$D$17:$D$26,F172)&gt;0,3,0))))</f>
        <v/>
      </c>
      <c r="I172">
        <f>IF(AND(ISNUMBER(A172),ISNUMBER(B172)),A172*1000+B172,"")</f>
        <v/>
      </c>
      <c r="J172">
        <f>IF(I172="","",IF(COUNTIF(I$2:I172,I172)=1,MAX(J$1:J171)+1,""))</f>
        <v/>
      </c>
    </row>
    <row r="173">
      <c r="A173">
        <f>IFERROR(--SUBSTITUTE(SUBSTITUTE(TRIM(INDEX(INDIRECT("'Выгрузка'!A173:Z173"),Настройки!$B$7)),",","."),".",MID(1/2,2,1)),"")</f>
        <v/>
      </c>
      <c r="B173">
        <f>IFERROR(--SUBSTITUTE(SUBSTITUTE(TRIM(INDEX(INDIRECT("'Выгрузка'!A173:Z173"),Настройки!$B$9)),",","."),".",MID(1/2,2,1)),"")</f>
        <v/>
      </c>
      <c r="C173">
        <f>TRIM(INDEX(INDIRECT("'Выгрузка'!A173:Z173"),Настройки!$B$8)&amp;"")</f>
        <v/>
      </c>
      <c r="D173">
        <f>IFERROR(--SUBSTITUTE(SUBSTITUTE(TRIM(INDEX(INDIRECT("'Выгрузка'!A173:Z173"),Настройки!$B$10)),",","."),".",MID(1/2,2,1)),"")</f>
        <v/>
      </c>
      <c r="E173">
        <f>IFERROR(--SUBSTITUTE(SUBSTITUTE(TRIM(INDEX(INDIRECT("'Выгрузка'!A173:Z173"),Настройки!$B$11)),",","."),".",MID(1/2,2,1)),"")</f>
        <v/>
      </c>
      <c r="F173">
        <f>TRIM(INDEX(INDIRECT("'Выгрузка'!A173:Z173"),Настройки!$B$12)&amp;"")</f>
        <v/>
      </c>
      <c r="G173">
        <f>IF(F173="",0,IF(TRIM(INDEX(INDIRECT("'Выгрузка'!A173:Z173"),Настройки!$B$13)&amp;"")="",1,IFERROR(--SUBSTITUTE(SUBSTITUTE(TRIM(INDEX(INDIRECT("'Выгрузка'!A173:Z173"),Настройки!$B$13)),",","."),".",MID(1/2,2,1)),"")))</f>
        <v/>
      </c>
      <c r="H173">
        <f>IF(F173="",0,IF(COUNTIF(Настройки!$B$17:$B$26,F173)&gt;0,1,IF(COUNTIF(Настройки!$C$17:$C$26,F173)&gt;0,2,IF(COUNTIF(Настройки!$D$17:$D$26,F173)&gt;0,3,0))))</f>
        <v/>
      </c>
      <c r="I173">
        <f>IF(AND(ISNUMBER(A173),ISNUMBER(B173)),A173*1000+B173,"")</f>
        <v/>
      </c>
      <c r="J173">
        <f>IF(I173="","",IF(COUNTIF(I$2:I173,I173)=1,MAX(J$1:J172)+1,""))</f>
        <v/>
      </c>
    </row>
    <row r="174">
      <c r="A174">
        <f>IFERROR(--SUBSTITUTE(SUBSTITUTE(TRIM(INDEX(INDIRECT("'Выгрузка'!A174:Z174"),Настройки!$B$7)),",","."),".",MID(1/2,2,1)),"")</f>
        <v/>
      </c>
      <c r="B174">
        <f>IFERROR(--SUBSTITUTE(SUBSTITUTE(TRIM(INDEX(INDIRECT("'Выгрузка'!A174:Z174"),Настройки!$B$9)),",","."),".",MID(1/2,2,1)),"")</f>
        <v/>
      </c>
      <c r="C174">
        <f>TRIM(INDEX(INDIRECT("'Выгрузка'!A174:Z174"),Настройки!$B$8)&amp;"")</f>
        <v/>
      </c>
      <c r="D174">
        <f>IFERROR(--SUBSTITUTE(SUBSTITUTE(TRIM(INDEX(INDIRECT("'Выгрузка'!A174:Z174"),Настройки!$B$10)),",","."),".",MID(1/2,2,1)),"")</f>
        <v/>
      </c>
      <c r="E174">
        <f>IFERROR(--SUBSTITUTE(SUBSTITUTE(TRIM(INDEX(INDIRECT("'Выгрузка'!A174:Z174"),Настройки!$B$11)),",","."),".",MID(1/2,2,1)),"")</f>
        <v/>
      </c>
      <c r="F174">
        <f>TRIM(INDEX(INDIRECT("'Выгрузка'!A174:Z174"),Настройки!$B$12)&amp;"")</f>
        <v/>
      </c>
      <c r="G174">
        <f>IF(F174="",0,IF(TRIM(INDEX(INDIRECT("'Выгрузка'!A174:Z174"),Настройки!$B$13)&amp;"")="",1,IFERROR(--SUBSTITUTE(SUBSTITUTE(TRIM(INDEX(INDIRECT("'Выгрузка'!A174:Z174"),Настройки!$B$13)),",","."),".",MID(1/2,2,1)),"")))</f>
        <v/>
      </c>
      <c r="H174">
        <f>IF(F174="",0,IF(COUNTIF(Настройки!$B$17:$B$26,F174)&gt;0,1,IF(COUNTIF(Настройки!$C$17:$C$26,F174)&gt;0,2,IF(COUNTIF(Настройки!$D$17:$D$26,F174)&gt;0,3,0))))</f>
        <v/>
      </c>
      <c r="I174">
        <f>IF(AND(ISNUMBER(A174),ISNUMBER(B174)),A174*1000+B174,"")</f>
        <v/>
      </c>
      <c r="J174">
        <f>IF(I174="","",IF(COUNTIF(I$2:I174,I174)=1,MAX(J$1:J173)+1,""))</f>
        <v/>
      </c>
    </row>
    <row r="175">
      <c r="A175">
        <f>IFERROR(--SUBSTITUTE(SUBSTITUTE(TRIM(INDEX(INDIRECT("'Выгрузка'!A175:Z175"),Настройки!$B$7)),",","."),".",MID(1/2,2,1)),"")</f>
        <v/>
      </c>
      <c r="B175">
        <f>IFERROR(--SUBSTITUTE(SUBSTITUTE(TRIM(INDEX(INDIRECT("'Выгрузка'!A175:Z175"),Настройки!$B$9)),",","."),".",MID(1/2,2,1)),"")</f>
        <v/>
      </c>
      <c r="C175">
        <f>TRIM(INDEX(INDIRECT("'Выгрузка'!A175:Z175"),Настройки!$B$8)&amp;"")</f>
        <v/>
      </c>
      <c r="D175">
        <f>IFERROR(--SUBSTITUTE(SUBSTITUTE(TRIM(INDEX(INDIRECT("'Выгрузка'!A175:Z175"),Настройки!$B$10)),",","."),".",MID(1/2,2,1)),"")</f>
        <v/>
      </c>
      <c r="E175">
        <f>IFERROR(--SUBSTITUTE(SUBSTITUTE(TRIM(INDEX(INDIRECT("'Выгрузка'!A175:Z175"),Настройки!$B$11)),",","."),".",MID(1/2,2,1)),"")</f>
        <v/>
      </c>
      <c r="F175">
        <f>TRIM(INDEX(INDIRECT("'Выгрузка'!A175:Z175"),Настройки!$B$12)&amp;"")</f>
        <v/>
      </c>
      <c r="G175">
        <f>IF(F175="",0,IF(TRIM(INDEX(INDIRECT("'Выгрузка'!A175:Z175"),Настройки!$B$13)&amp;"")="",1,IFERROR(--SUBSTITUTE(SUBSTITUTE(TRIM(INDEX(INDIRECT("'Выгрузка'!A175:Z175"),Настройки!$B$13)),",","."),".",MID(1/2,2,1)),"")))</f>
        <v/>
      </c>
      <c r="H175">
        <f>IF(F175="",0,IF(COUNTIF(Настройки!$B$17:$B$26,F175)&gt;0,1,IF(COUNTIF(Настройки!$C$17:$C$26,F175)&gt;0,2,IF(COUNTIF(Настройки!$D$17:$D$26,F175)&gt;0,3,0))))</f>
        <v/>
      </c>
      <c r="I175">
        <f>IF(AND(ISNUMBER(A175),ISNUMBER(B175)),A175*1000+B175,"")</f>
        <v/>
      </c>
      <c r="J175">
        <f>IF(I175="","",IF(COUNTIF(I$2:I175,I175)=1,MAX(J$1:J174)+1,""))</f>
        <v/>
      </c>
    </row>
    <row r="176">
      <c r="A176">
        <f>IFERROR(--SUBSTITUTE(SUBSTITUTE(TRIM(INDEX(INDIRECT("'Выгрузка'!A176:Z176"),Настройки!$B$7)),",","."),".",MID(1/2,2,1)),"")</f>
        <v/>
      </c>
      <c r="B176">
        <f>IFERROR(--SUBSTITUTE(SUBSTITUTE(TRIM(INDEX(INDIRECT("'Выгрузка'!A176:Z176"),Настройки!$B$9)),",","."),".",MID(1/2,2,1)),"")</f>
        <v/>
      </c>
      <c r="C176">
        <f>TRIM(INDEX(INDIRECT("'Выгрузка'!A176:Z176"),Настройки!$B$8)&amp;"")</f>
        <v/>
      </c>
      <c r="D176">
        <f>IFERROR(--SUBSTITUTE(SUBSTITUTE(TRIM(INDEX(INDIRECT("'Выгрузка'!A176:Z176"),Настройки!$B$10)),",","."),".",MID(1/2,2,1)),"")</f>
        <v/>
      </c>
      <c r="E176">
        <f>IFERROR(--SUBSTITUTE(SUBSTITUTE(TRIM(INDEX(INDIRECT("'Выгрузка'!A176:Z176"),Настройки!$B$11)),",","."),".",MID(1/2,2,1)),"")</f>
        <v/>
      </c>
      <c r="F176">
        <f>TRIM(INDEX(INDIRECT("'Выгрузка'!A176:Z176"),Настройки!$B$12)&amp;"")</f>
        <v/>
      </c>
      <c r="G176">
        <f>IF(F176="",0,IF(TRIM(INDEX(INDIRECT("'Выгрузка'!A176:Z176"),Настройки!$B$13)&amp;"")="",1,IFERROR(--SUBSTITUTE(SUBSTITUTE(TRIM(INDEX(INDIRECT("'Выгрузка'!A176:Z176"),Настройки!$B$13)),",","."),".",MID(1/2,2,1)),"")))</f>
        <v/>
      </c>
      <c r="H176">
        <f>IF(F176="",0,IF(COUNTIF(Настройки!$B$17:$B$26,F176)&gt;0,1,IF(COUNTIF(Настройки!$C$17:$C$26,F176)&gt;0,2,IF(COUNTIF(Настройки!$D$17:$D$26,F176)&gt;0,3,0))))</f>
        <v/>
      </c>
      <c r="I176">
        <f>IF(AND(ISNUMBER(A176),ISNUMBER(B176)),A176*1000+B176,"")</f>
        <v/>
      </c>
      <c r="J176">
        <f>IF(I176="","",IF(COUNTIF(I$2:I176,I176)=1,MAX(J$1:J175)+1,""))</f>
        <v/>
      </c>
    </row>
    <row r="177">
      <c r="A177">
        <f>IFERROR(--SUBSTITUTE(SUBSTITUTE(TRIM(INDEX(INDIRECT("'Выгрузка'!A177:Z177"),Настройки!$B$7)),",","."),".",MID(1/2,2,1)),"")</f>
        <v/>
      </c>
      <c r="B177">
        <f>IFERROR(--SUBSTITUTE(SUBSTITUTE(TRIM(INDEX(INDIRECT("'Выгрузка'!A177:Z177"),Настройки!$B$9)),",","."),".",MID(1/2,2,1)),"")</f>
        <v/>
      </c>
      <c r="C177">
        <f>TRIM(INDEX(INDIRECT("'Выгрузка'!A177:Z177"),Настройки!$B$8)&amp;"")</f>
        <v/>
      </c>
      <c r="D177">
        <f>IFERROR(--SUBSTITUTE(SUBSTITUTE(TRIM(INDEX(INDIRECT("'Выгрузка'!A177:Z177"),Настройки!$B$10)),",","."),".",MID(1/2,2,1)),"")</f>
        <v/>
      </c>
      <c r="E177">
        <f>IFERROR(--SUBSTITUTE(SUBSTITUTE(TRIM(INDEX(INDIRECT("'Выгрузка'!A177:Z177"),Настройки!$B$11)),",","."),".",MID(1/2,2,1)),"")</f>
        <v/>
      </c>
      <c r="F177">
        <f>TRIM(INDEX(INDIRECT("'Выгрузка'!A177:Z177"),Настройки!$B$12)&amp;"")</f>
        <v/>
      </c>
      <c r="G177">
        <f>IF(F177="",0,IF(TRIM(INDEX(INDIRECT("'Выгрузка'!A177:Z177"),Настройки!$B$13)&amp;"")="",1,IFERROR(--SUBSTITUTE(SUBSTITUTE(TRIM(INDEX(INDIRECT("'Выгрузка'!A177:Z177"),Настройки!$B$13)),",","."),".",MID(1/2,2,1)),"")))</f>
        <v/>
      </c>
      <c r="H177">
        <f>IF(F177="",0,IF(COUNTIF(Настройки!$B$17:$B$26,F177)&gt;0,1,IF(COUNTIF(Настройки!$C$17:$C$26,F177)&gt;0,2,IF(COUNTIF(Настройки!$D$17:$D$26,F177)&gt;0,3,0))))</f>
        <v/>
      </c>
      <c r="I177">
        <f>IF(AND(ISNUMBER(A177),ISNUMBER(B177)),A177*1000+B177,"")</f>
        <v/>
      </c>
      <c r="J177">
        <f>IF(I177="","",IF(COUNTIF(I$2:I177,I177)=1,MAX(J$1:J176)+1,""))</f>
        <v/>
      </c>
    </row>
    <row r="178">
      <c r="A178">
        <f>IFERROR(--SUBSTITUTE(SUBSTITUTE(TRIM(INDEX(INDIRECT("'Выгрузка'!A178:Z178"),Настройки!$B$7)),",","."),".",MID(1/2,2,1)),"")</f>
        <v/>
      </c>
      <c r="B178">
        <f>IFERROR(--SUBSTITUTE(SUBSTITUTE(TRIM(INDEX(INDIRECT("'Выгрузка'!A178:Z178"),Настройки!$B$9)),",","."),".",MID(1/2,2,1)),"")</f>
        <v/>
      </c>
      <c r="C178">
        <f>TRIM(INDEX(INDIRECT("'Выгрузка'!A178:Z178"),Настройки!$B$8)&amp;"")</f>
        <v/>
      </c>
      <c r="D178">
        <f>IFERROR(--SUBSTITUTE(SUBSTITUTE(TRIM(INDEX(INDIRECT("'Выгрузка'!A178:Z178"),Настройки!$B$10)),",","."),".",MID(1/2,2,1)),"")</f>
        <v/>
      </c>
      <c r="E178">
        <f>IFERROR(--SUBSTITUTE(SUBSTITUTE(TRIM(INDEX(INDIRECT("'Выгрузка'!A178:Z178"),Настройки!$B$11)),",","."),".",MID(1/2,2,1)),"")</f>
        <v/>
      </c>
      <c r="F178">
        <f>TRIM(INDEX(INDIRECT("'Выгрузка'!A178:Z178"),Настройки!$B$12)&amp;"")</f>
        <v/>
      </c>
      <c r="G178">
        <f>IF(F178="",0,IF(TRIM(INDEX(INDIRECT("'Выгрузка'!A178:Z178"),Настройки!$B$13)&amp;"")="",1,IFERROR(--SUBSTITUTE(SUBSTITUTE(TRIM(INDEX(INDIRECT("'Выгрузка'!A178:Z178"),Настройки!$B$13)),",","."),".",MID(1/2,2,1)),"")))</f>
        <v/>
      </c>
      <c r="H178">
        <f>IF(F178="",0,IF(COUNTIF(Настройки!$B$17:$B$26,F178)&gt;0,1,IF(COUNTIF(Настройки!$C$17:$C$26,F178)&gt;0,2,IF(COUNTIF(Настройки!$D$17:$D$26,F178)&gt;0,3,0))))</f>
        <v/>
      </c>
      <c r="I178">
        <f>IF(AND(ISNUMBER(A178),ISNUMBER(B178)),A178*1000+B178,"")</f>
        <v/>
      </c>
      <c r="J178">
        <f>IF(I178="","",IF(COUNTIF(I$2:I178,I178)=1,MAX(J$1:J177)+1,""))</f>
        <v/>
      </c>
    </row>
    <row r="179">
      <c r="A179">
        <f>IFERROR(--SUBSTITUTE(SUBSTITUTE(TRIM(INDEX(INDIRECT("'Выгрузка'!A179:Z179"),Настройки!$B$7)),",","."),".",MID(1/2,2,1)),"")</f>
        <v/>
      </c>
      <c r="B179">
        <f>IFERROR(--SUBSTITUTE(SUBSTITUTE(TRIM(INDEX(INDIRECT("'Выгрузка'!A179:Z179"),Настройки!$B$9)),",","."),".",MID(1/2,2,1)),"")</f>
        <v/>
      </c>
      <c r="C179">
        <f>TRIM(INDEX(INDIRECT("'Выгрузка'!A179:Z179"),Настройки!$B$8)&amp;"")</f>
        <v/>
      </c>
      <c r="D179">
        <f>IFERROR(--SUBSTITUTE(SUBSTITUTE(TRIM(INDEX(INDIRECT("'Выгрузка'!A179:Z179"),Настройки!$B$10)),",","."),".",MID(1/2,2,1)),"")</f>
        <v/>
      </c>
      <c r="E179">
        <f>IFERROR(--SUBSTITUTE(SUBSTITUTE(TRIM(INDEX(INDIRECT("'Выгрузка'!A179:Z179"),Настройки!$B$11)),",","."),".",MID(1/2,2,1)),"")</f>
        <v/>
      </c>
      <c r="F179">
        <f>TRIM(INDEX(INDIRECT("'Выгрузка'!A179:Z179"),Настройки!$B$12)&amp;"")</f>
        <v/>
      </c>
      <c r="G179">
        <f>IF(F179="",0,IF(TRIM(INDEX(INDIRECT("'Выгрузка'!A179:Z179"),Настройки!$B$13)&amp;"")="",1,IFERROR(--SUBSTITUTE(SUBSTITUTE(TRIM(INDEX(INDIRECT("'Выгрузка'!A179:Z179"),Настройки!$B$13)),",","."),".",MID(1/2,2,1)),"")))</f>
        <v/>
      </c>
      <c r="H179">
        <f>IF(F179="",0,IF(COUNTIF(Настройки!$B$17:$B$26,F179)&gt;0,1,IF(COUNTIF(Настройки!$C$17:$C$26,F179)&gt;0,2,IF(COUNTIF(Настройки!$D$17:$D$26,F179)&gt;0,3,0))))</f>
        <v/>
      </c>
      <c r="I179">
        <f>IF(AND(ISNUMBER(A179),ISNUMBER(B179)),A179*1000+B179,"")</f>
        <v/>
      </c>
      <c r="J179">
        <f>IF(I179="","",IF(COUNTIF(I$2:I179,I179)=1,MAX(J$1:J178)+1,""))</f>
        <v/>
      </c>
    </row>
    <row r="180">
      <c r="A180">
        <f>IFERROR(--SUBSTITUTE(SUBSTITUTE(TRIM(INDEX(INDIRECT("'Выгрузка'!A180:Z180"),Настройки!$B$7)),",","."),".",MID(1/2,2,1)),"")</f>
        <v/>
      </c>
      <c r="B180">
        <f>IFERROR(--SUBSTITUTE(SUBSTITUTE(TRIM(INDEX(INDIRECT("'Выгрузка'!A180:Z180"),Настройки!$B$9)),",","."),".",MID(1/2,2,1)),"")</f>
        <v/>
      </c>
      <c r="C180">
        <f>TRIM(INDEX(INDIRECT("'Выгрузка'!A180:Z180"),Настройки!$B$8)&amp;"")</f>
        <v/>
      </c>
      <c r="D180">
        <f>IFERROR(--SUBSTITUTE(SUBSTITUTE(TRIM(INDEX(INDIRECT("'Выгрузка'!A180:Z180"),Настройки!$B$10)),",","."),".",MID(1/2,2,1)),"")</f>
        <v/>
      </c>
      <c r="E180">
        <f>IFERROR(--SUBSTITUTE(SUBSTITUTE(TRIM(INDEX(INDIRECT("'Выгрузка'!A180:Z180"),Настройки!$B$11)),",","."),".",MID(1/2,2,1)),"")</f>
        <v/>
      </c>
      <c r="F180">
        <f>TRIM(INDEX(INDIRECT("'Выгрузка'!A180:Z180"),Настройки!$B$12)&amp;"")</f>
        <v/>
      </c>
      <c r="G180">
        <f>IF(F180="",0,IF(TRIM(INDEX(INDIRECT("'Выгрузка'!A180:Z180"),Настройки!$B$13)&amp;"")="",1,IFERROR(--SUBSTITUTE(SUBSTITUTE(TRIM(INDEX(INDIRECT("'Выгрузка'!A180:Z180"),Настройки!$B$13)),",","."),".",MID(1/2,2,1)),"")))</f>
        <v/>
      </c>
      <c r="H180">
        <f>IF(F180="",0,IF(COUNTIF(Настройки!$B$17:$B$26,F180)&gt;0,1,IF(COUNTIF(Настройки!$C$17:$C$26,F180)&gt;0,2,IF(COUNTIF(Настройки!$D$17:$D$26,F180)&gt;0,3,0))))</f>
        <v/>
      </c>
      <c r="I180">
        <f>IF(AND(ISNUMBER(A180),ISNUMBER(B180)),A180*1000+B180,"")</f>
        <v/>
      </c>
      <c r="J180">
        <f>IF(I180="","",IF(COUNTIF(I$2:I180,I180)=1,MAX(J$1:J179)+1,""))</f>
        <v/>
      </c>
    </row>
    <row r="181">
      <c r="A181">
        <f>IFERROR(--SUBSTITUTE(SUBSTITUTE(TRIM(INDEX(INDIRECT("'Выгрузка'!A181:Z181"),Настройки!$B$7)),",","."),".",MID(1/2,2,1)),"")</f>
        <v/>
      </c>
      <c r="B181">
        <f>IFERROR(--SUBSTITUTE(SUBSTITUTE(TRIM(INDEX(INDIRECT("'Выгрузка'!A181:Z181"),Настройки!$B$9)),",","."),".",MID(1/2,2,1)),"")</f>
        <v/>
      </c>
      <c r="C181">
        <f>TRIM(INDEX(INDIRECT("'Выгрузка'!A181:Z181"),Настройки!$B$8)&amp;"")</f>
        <v/>
      </c>
      <c r="D181">
        <f>IFERROR(--SUBSTITUTE(SUBSTITUTE(TRIM(INDEX(INDIRECT("'Выгрузка'!A181:Z181"),Настройки!$B$10)),",","."),".",MID(1/2,2,1)),"")</f>
        <v/>
      </c>
      <c r="E181">
        <f>IFERROR(--SUBSTITUTE(SUBSTITUTE(TRIM(INDEX(INDIRECT("'Выгрузка'!A181:Z181"),Настройки!$B$11)),",","."),".",MID(1/2,2,1)),"")</f>
        <v/>
      </c>
      <c r="F181">
        <f>TRIM(INDEX(INDIRECT("'Выгрузка'!A181:Z181"),Настройки!$B$12)&amp;"")</f>
        <v/>
      </c>
      <c r="G181">
        <f>IF(F181="",0,IF(TRIM(INDEX(INDIRECT("'Выгрузка'!A181:Z181"),Настройки!$B$13)&amp;"")="",1,IFERROR(--SUBSTITUTE(SUBSTITUTE(TRIM(INDEX(INDIRECT("'Выгрузка'!A181:Z181"),Настройки!$B$13)),",","."),".",MID(1/2,2,1)),"")))</f>
        <v/>
      </c>
      <c r="H181">
        <f>IF(F181="",0,IF(COUNTIF(Настройки!$B$17:$B$26,F181)&gt;0,1,IF(COUNTIF(Настройки!$C$17:$C$26,F181)&gt;0,2,IF(COUNTIF(Настройки!$D$17:$D$26,F181)&gt;0,3,0))))</f>
        <v/>
      </c>
      <c r="I181">
        <f>IF(AND(ISNUMBER(A181),ISNUMBER(B181)),A181*1000+B181,"")</f>
        <v/>
      </c>
      <c r="J181">
        <f>IF(I181="","",IF(COUNTIF(I$2:I181,I181)=1,MAX(J$1:J180)+1,""))</f>
        <v/>
      </c>
    </row>
    <row r="182">
      <c r="A182">
        <f>IFERROR(--SUBSTITUTE(SUBSTITUTE(TRIM(INDEX(INDIRECT("'Выгрузка'!A182:Z182"),Настройки!$B$7)),",","."),".",MID(1/2,2,1)),"")</f>
        <v/>
      </c>
      <c r="B182">
        <f>IFERROR(--SUBSTITUTE(SUBSTITUTE(TRIM(INDEX(INDIRECT("'Выгрузка'!A182:Z182"),Настройки!$B$9)),",","."),".",MID(1/2,2,1)),"")</f>
        <v/>
      </c>
      <c r="C182">
        <f>TRIM(INDEX(INDIRECT("'Выгрузка'!A182:Z182"),Настройки!$B$8)&amp;"")</f>
        <v/>
      </c>
      <c r="D182">
        <f>IFERROR(--SUBSTITUTE(SUBSTITUTE(TRIM(INDEX(INDIRECT("'Выгрузка'!A182:Z182"),Настройки!$B$10)),",","."),".",MID(1/2,2,1)),"")</f>
        <v/>
      </c>
      <c r="E182">
        <f>IFERROR(--SUBSTITUTE(SUBSTITUTE(TRIM(INDEX(INDIRECT("'Выгрузка'!A182:Z182"),Настройки!$B$11)),",","."),".",MID(1/2,2,1)),"")</f>
        <v/>
      </c>
      <c r="F182">
        <f>TRIM(INDEX(INDIRECT("'Выгрузка'!A182:Z182"),Настройки!$B$12)&amp;"")</f>
        <v/>
      </c>
      <c r="G182">
        <f>IF(F182="",0,IF(TRIM(INDEX(INDIRECT("'Выгрузка'!A182:Z182"),Настройки!$B$13)&amp;"")="",1,IFERROR(--SUBSTITUTE(SUBSTITUTE(TRIM(INDEX(INDIRECT("'Выгрузка'!A182:Z182"),Настройки!$B$13)),",","."),".",MID(1/2,2,1)),"")))</f>
        <v/>
      </c>
      <c r="H182">
        <f>IF(F182="",0,IF(COUNTIF(Настройки!$B$17:$B$26,F182)&gt;0,1,IF(COUNTIF(Настройки!$C$17:$C$26,F182)&gt;0,2,IF(COUNTIF(Настройки!$D$17:$D$26,F182)&gt;0,3,0))))</f>
        <v/>
      </c>
      <c r="I182">
        <f>IF(AND(ISNUMBER(A182),ISNUMBER(B182)),A182*1000+B182,"")</f>
        <v/>
      </c>
      <c r="J182">
        <f>IF(I182="","",IF(COUNTIF(I$2:I182,I182)=1,MAX(J$1:J181)+1,""))</f>
        <v/>
      </c>
    </row>
    <row r="183">
      <c r="A183">
        <f>IFERROR(--SUBSTITUTE(SUBSTITUTE(TRIM(INDEX(INDIRECT("'Выгрузка'!A183:Z183"),Настройки!$B$7)),",","."),".",MID(1/2,2,1)),"")</f>
        <v/>
      </c>
      <c r="B183">
        <f>IFERROR(--SUBSTITUTE(SUBSTITUTE(TRIM(INDEX(INDIRECT("'Выгрузка'!A183:Z183"),Настройки!$B$9)),",","."),".",MID(1/2,2,1)),"")</f>
        <v/>
      </c>
      <c r="C183">
        <f>TRIM(INDEX(INDIRECT("'Выгрузка'!A183:Z183"),Настройки!$B$8)&amp;"")</f>
        <v/>
      </c>
      <c r="D183">
        <f>IFERROR(--SUBSTITUTE(SUBSTITUTE(TRIM(INDEX(INDIRECT("'Выгрузка'!A183:Z183"),Настройки!$B$10)),",","."),".",MID(1/2,2,1)),"")</f>
        <v/>
      </c>
      <c r="E183">
        <f>IFERROR(--SUBSTITUTE(SUBSTITUTE(TRIM(INDEX(INDIRECT("'Выгрузка'!A183:Z183"),Настройки!$B$11)),",","."),".",MID(1/2,2,1)),"")</f>
        <v/>
      </c>
      <c r="F183">
        <f>TRIM(INDEX(INDIRECT("'Выгрузка'!A183:Z183"),Настройки!$B$12)&amp;"")</f>
        <v/>
      </c>
      <c r="G183">
        <f>IF(F183="",0,IF(TRIM(INDEX(INDIRECT("'Выгрузка'!A183:Z183"),Настройки!$B$13)&amp;"")="",1,IFERROR(--SUBSTITUTE(SUBSTITUTE(TRIM(INDEX(INDIRECT("'Выгрузка'!A183:Z183"),Настройки!$B$13)),",","."),".",MID(1/2,2,1)),"")))</f>
        <v/>
      </c>
      <c r="H183">
        <f>IF(F183="",0,IF(COUNTIF(Настройки!$B$17:$B$26,F183)&gt;0,1,IF(COUNTIF(Настройки!$C$17:$C$26,F183)&gt;0,2,IF(COUNTIF(Настройки!$D$17:$D$26,F183)&gt;0,3,0))))</f>
        <v/>
      </c>
      <c r="I183">
        <f>IF(AND(ISNUMBER(A183),ISNUMBER(B183)),A183*1000+B183,"")</f>
        <v/>
      </c>
      <c r="J183">
        <f>IF(I183="","",IF(COUNTIF(I$2:I183,I183)=1,MAX(J$1:J182)+1,""))</f>
        <v/>
      </c>
    </row>
    <row r="184">
      <c r="A184">
        <f>IFERROR(--SUBSTITUTE(SUBSTITUTE(TRIM(INDEX(INDIRECT("'Выгрузка'!A184:Z184"),Настройки!$B$7)),",","."),".",MID(1/2,2,1)),"")</f>
        <v/>
      </c>
      <c r="B184">
        <f>IFERROR(--SUBSTITUTE(SUBSTITUTE(TRIM(INDEX(INDIRECT("'Выгрузка'!A184:Z184"),Настройки!$B$9)),",","."),".",MID(1/2,2,1)),"")</f>
        <v/>
      </c>
      <c r="C184">
        <f>TRIM(INDEX(INDIRECT("'Выгрузка'!A184:Z184"),Настройки!$B$8)&amp;"")</f>
        <v/>
      </c>
      <c r="D184">
        <f>IFERROR(--SUBSTITUTE(SUBSTITUTE(TRIM(INDEX(INDIRECT("'Выгрузка'!A184:Z184"),Настройки!$B$10)),",","."),".",MID(1/2,2,1)),"")</f>
        <v/>
      </c>
      <c r="E184">
        <f>IFERROR(--SUBSTITUTE(SUBSTITUTE(TRIM(INDEX(INDIRECT("'Выгрузка'!A184:Z184"),Настройки!$B$11)),",","."),".",MID(1/2,2,1)),"")</f>
        <v/>
      </c>
      <c r="F184">
        <f>TRIM(INDEX(INDIRECT("'Выгрузка'!A184:Z184"),Настройки!$B$12)&amp;"")</f>
        <v/>
      </c>
      <c r="G184">
        <f>IF(F184="",0,IF(TRIM(INDEX(INDIRECT("'Выгрузка'!A184:Z184"),Настройки!$B$13)&amp;"")="",1,IFERROR(--SUBSTITUTE(SUBSTITUTE(TRIM(INDEX(INDIRECT("'Выгрузка'!A184:Z184"),Настройки!$B$13)),",","."),".",MID(1/2,2,1)),"")))</f>
        <v/>
      </c>
      <c r="H184">
        <f>IF(F184="",0,IF(COUNTIF(Настройки!$B$17:$B$26,F184)&gt;0,1,IF(COUNTIF(Настройки!$C$17:$C$26,F184)&gt;0,2,IF(COUNTIF(Настройки!$D$17:$D$26,F184)&gt;0,3,0))))</f>
        <v/>
      </c>
      <c r="I184">
        <f>IF(AND(ISNUMBER(A184),ISNUMBER(B184)),A184*1000+B184,"")</f>
        <v/>
      </c>
      <c r="J184">
        <f>IF(I184="","",IF(COUNTIF(I$2:I184,I184)=1,MAX(J$1:J183)+1,""))</f>
        <v/>
      </c>
    </row>
    <row r="185">
      <c r="A185">
        <f>IFERROR(--SUBSTITUTE(SUBSTITUTE(TRIM(INDEX(INDIRECT("'Выгрузка'!A185:Z185"),Настройки!$B$7)),",","."),".",MID(1/2,2,1)),"")</f>
        <v/>
      </c>
      <c r="B185">
        <f>IFERROR(--SUBSTITUTE(SUBSTITUTE(TRIM(INDEX(INDIRECT("'Выгрузка'!A185:Z185"),Настройки!$B$9)),",","."),".",MID(1/2,2,1)),"")</f>
        <v/>
      </c>
      <c r="C185">
        <f>TRIM(INDEX(INDIRECT("'Выгрузка'!A185:Z185"),Настройки!$B$8)&amp;"")</f>
        <v/>
      </c>
      <c r="D185">
        <f>IFERROR(--SUBSTITUTE(SUBSTITUTE(TRIM(INDEX(INDIRECT("'Выгрузка'!A185:Z185"),Настройки!$B$10)),",","."),".",MID(1/2,2,1)),"")</f>
        <v/>
      </c>
      <c r="E185">
        <f>IFERROR(--SUBSTITUTE(SUBSTITUTE(TRIM(INDEX(INDIRECT("'Выгрузка'!A185:Z185"),Настройки!$B$11)),",","."),".",MID(1/2,2,1)),"")</f>
        <v/>
      </c>
      <c r="F185">
        <f>TRIM(INDEX(INDIRECT("'Выгрузка'!A185:Z185"),Настройки!$B$12)&amp;"")</f>
        <v/>
      </c>
      <c r="G185">
        <f>IF(F185="",0,IF(TRIM(INDEX(INDIRECT("'Выгрузка'!A185:Z185"),Настройки!$B$13)&amp;"")="",1,IFERROR(--SUBSTITUTE(SUBSTITUTE(TRIM(INDEX(INDIRECT("'Выгрузка'!A185:Z185"),Настройки!$B$13)),",","."),".",MID(1/2,2,1)),"")))</f>
        <v/>
      </c>
      <c r="H185">
        <f>IF(F185="",0,IF(COUNTIF(Настройки!$B$17:$B$26,F185)&gt;0,1,IF(COUNTIF(Настройки!$C$17:$C$26,F185)&gt;0,2,IF(COUNTIF(Настройки!$D$17:$D$26,F185)&gt;0,3,0))))</f>
        <v/>
      </c>
      <c r="I185">
        <f>IF(AND(ISNUMBER(A185),ISNUMBER(B185)),A185*1000+B185,"")</f>
        <v/>
      </c>
      <c r="J185">
        <f>IF(I185="","",IF(COUNTIF(I$2:I185,I185)=1,MAX(J$1:J184)+1,""))</f>
        <v/>
      </c>
    </row>
    <row r="186">
      <c r="A186">
        <f>IFERROR(--SUBSTITUTE(SUBSTITUTE(TRIM(INDEX(INDIRECT("'Выгрузка'!A186:Z186"),Настройки!$B$7)),",","."),".",MID(1/2,2,1)),"")</f>
        <v/>
      </c>
      <c r="B186">
        <f>IFERROR(--SUBSTITUTE(SUBSTITUTE(TRIM(INDEX(INDIRECT("'Выгрузка'!A186:Z186"),Настройки!$B$9)),",","."),".",MID(1/2,2,1)),"")</f>
        <v/>
      </c>
      <c r="C186">
        <f>TRIM(INDEX(INDIRECT("'Выгрузка'!A186:Z186"),Настройки!$B$8)&amp;"")</f>
        <v/>
      </c>
      <c r="D186">
        <f>IFERROR(--SUBSTITUTE(SUBSTITUTE(TRIM(INDEX(INDIRECT("'Выгрузка'!A186:Z186"),Настройки!$B$10)),",","."),".",MID(1/2,2,1)),"")</f>
        <v/>
      </c>
      <c r="E186">
        <f>IFERROR(--SUBSTITUTE(SUBSTITUTE(TRIM(INDEX(INDIRECT("'Выгрузка'!A186:Z186"),Настройки!$B$11)),",","."),".",MID(1/2,2,1)),"")</f>
        <v/>
      </c>
      <c r="F186">
        <f>TRIM(INDEX(INDIRECT("'Выгрузка'!A186:Z186"),Настройки!$B$12)&amp;"")</f>
        <v/>
      </c>
      <c r="G186">
        <f>IF(F186="",0,IF(TRIM(INDEX(INDIRECT("'Выгрузка'!A186:Z186"),Настройки!$B$13)&amp;"")="",1,IFERROR(--SUBSTITUTE(SUBSTITUTE(TRIM(INDEX(INDIRECT("'Выгрузка'!A186:Z186"),Настройки!$B$13)),",","."),".",MID(1/2,2,1)),"")))</f>
        <v/>
      </c>
      <c r="H186">
        <f>IF(F186="",0,IF(COUNTIF(Настройки!$B$17:$B$26,F186)&gt;0,1,IF(COUNTIF(Настройки!$C$17:$C$26,F186)&gt;0,2,IF(COUNTIF(Настройки!$D$17:$D$26,F186)&gt;0,3,0))))</f>
        <v/>
      </c>
      <c r="I186">
        <f>IF(AND(ISNUMBER(A186),ISNUMBER(B186)),A186*1000+B186,"")</f>
        <v/>
      </c>
      <c r="J186">
        <f>IF(I186="","",IF(COUNTIF(I$2:I186,I186)=1,MAX(J$1:J185)+1,""))</f>
        <v/>
      </c>
    </row>
    <row r="187">
      <c r="A187">
        <f>IFERROR(--SUBSTITUTE(SUBSTITUTE(TRIM(INDEX(INDIRECT("'Выгрузка'!A187:Z187"),Настройки!$B$7)),",","."),".",MID(1/2,2,1)),"")</f>
        <v/>
      </c>
      <c r="B187">
        <f>IFERROR(--SUBSTITUTE(SUBSTITUTE(TRIM(INDEX(INDIRECT("'Выгрузка'!A187:Z187"),Настройки!$B$9)),",","."),".",MID(1/2,2,1)),"")</f>
        <v/>
      </c>
      <c r="C187">
        <f>TRIM(INDEX(INDIRECT("'Выгрузка'!A187:Z187"),Настройки!$B$8)&amp;"")</f>
        <v/>
      </c>
      <c r="D187">
        <f>IFERROR(--SUBSTITUTE(SUBSTITUTE(TRIM(INDEX(INDIRECT("'Выгрузка'!A187:Z187"),Настройки!$B$10)),",","."),".",MID(1/2,2,1)),"")</f>
        <v/>
      </c>
      <c r="E187">
        <f>IFERROR(--SUBSTITUTE(SUBSTITUTE(TRIM(INDEX(INDIRECT("'Выгрузка'!A187:Z187"),Настройки!$B$11)),",","."),".",MID(1/2,2,1)),"")</f>
        <v/>
      </c>
      <c r="F187">
        <f>TRIM(INDEX(INDIRECT("'Выгрузка'!A187:Z187"),Настройки!$B$12)&amp;"")</f>
        <v/>
      </c>
      <c r="G187">
        <f>IF(F187="",0,IF(TRIM(INDEX(INDIRECT("'Выгрузка'!A187:Z187"),Настройки!$B$13)&amp;"")="",1,IFERROR(--SUBSTITUTE(SUBSTITUTE(TRIM(INDEX(INDIRECT("'Выгрузка'!A187:Z187"),Настройки!$B$13)),",","."),".",MID(1/2,2,1)),"")))</f>
        <v/>
      </c>
      <c r="H187">
        <f>IF(F187="",0,IF(COUNTIF(Настройки!$B$17:$B$26,F187)&gt;0,1,IF(COUNTIF(Настройки!$C$17:$C$26,F187)&gt;0,2,IF(COUNTIF(Настройки!$D$17:$D$26,F187)&gt;0,3,0))))</f>
        <v/>
      </c>
      <c r="I187">
        <f>IF(AND(ISNUMBER(A187),ISNUMBER(B187)),A187*1000+B187,"")</f>
        <v/>
      </c>
      <c r="J187">
        <f>IF(I187="","",IF(COUNTIF(I$2:I187,I187)=1,MAX(J$1:J186)+1,""))</f>
        <v/>
      </c>
    </row>
    <row r="188">
      <c r="A188">
        <f>IFERROR(--SUBSTITUTE(SUBSTITUTE(TRIM(INDEX(INDIRECT("'Выгрузка'!A188:Z188"),Настройки!$B$7)),",","."),".",MID(1/2,2,1)),"")</f>
        <v/>
      </c>
      <c r="B188">
        <f>IFERROR(--SUBSTITUTE(SUBSTITUTE(TRIM(INDEX(INDIRECT("'Выгрузка'!A188:Z188"),Настройки!$B$9)),",","."),".",MID(1/2,2,1)),"")</f>
        <v/>
      </c>
      <c r="C188">
        <f>TRIM(INDEX(INDIRECT("'Выгрузка'!A188:Z188"),Настройки!$B$8)&amp;"")</f>
        <v/>
      </c>
      <c r="D188">
        <f>IFERROR(--SUBSTITUTE(SUBSTITUTE(TRIM(INDEX(INDIRECT("'Выгрузка'!A188:Z188"),Настройки!$B$10)),",","."),".",MID(1/2,2,1)),"")</f>
        <v/>
      </c>
      <c r="E188">
        <f>IFERROR(--SUBSTITUTE(SUBSTITUTE(TRIM(INDEX(INDIRECT("'Выгрузка'!A188:Z188"),Настройки!$B$11)),",","."),".",MID(1/2,2,1)),"")</f>
        <v/>
      </c>
      <c r="F188">
        <f>TRIM(INDEX(INDIRECT("'Выгрузка'!A188:Z188"),Настройки!$B$12)&amp;"")</f>
        <v/>
      </c>
      <c r="G188">
        <f>IF(F188="",0,IF(TRIM(INDEX(INDIRECT("'Выгрузка'!A188:Z188"),Настройки!$B$13)&amp;"")="",1,IFERROR(--SUBSTITUTE(SUBSTITUTE(TRIM(INDEX(INDIRECT("'Выгрузка'!A188:Z188"),Настройки!$B$13)),",","."),".",MID(1/2,2,1)),"")))</f>
        <v/>
      </c>
      <c r="H188">
        <f>IF(F188="",0,IF(COUNTIF(Настройки!$B$17:$B$26,F188)&gt;0,1,IF(COUNTIF(Настройки!$C$17:$C$26,F188)&gt;0,2,IF(COUNTIF(Настройки!$D$17:$D$26,F188)&gt;0,3,0))))</f>
        <v/>
      </c>
      <c r="I188">
        <f>IF(AND(ISNUMBER(A188),ISNUMBER(B188)),A188*1000+B188,"")</f>
        <v/>
      </c>
      <c r="J188">
        <f>IF(I188="","",IF(COUNTIF(I$2:I188,I188)=1,MAX(J$1:J187)+1,""))</f>
        <v/>
      </c>
    </row>
    <row r="189">
      <c r="A189">
        <f>IFERROR(--SUBSTITUTE(SUBSTITUTE(TRIM(INDEX(INDIRECT("'Выгрузка'!A189:Z189"),Настройки!$B$7)),",","."),".",MID(1/2,2,1)),"")</f>
        <v/>
      </c>
      <c r="B189">
        <f>IFERROR(--SUBSTITUTE(SUBSTITUTE(TRIM(INDEX(INDIRECT("'Выгрузка'!A189:Z189"),Настройки!$B$9)),",","."),".",MID(1/2,2,1)),"")</f>
        <v/>
      </c>
      <c r="C189">
        <f>TRIM(INDEX(INDIRECT("'Выгрузка'!A189:Z189"),Настройки!$B$8)&amp;"")</f>
        <v/>
      </c>
      <c r="D189">
        <f>IFERROR(--SUBSTITUTE(SUBSTITUTE(TRIM(INDEX(INDIRECT("'Выгрузка'!A189:Z189"),Настройки!$B$10)),",","."),".",MID(1/2,2,1)),"")</f>
        <v/>
      </c>
      <c r="E189">
        <f>IFERROR(--SUBSTITUTE(SUBSTITUTE(TRIM(INDEX(INDIRECT("'Выгрузка'!A189:Z189"),Настройки!$B$11)),",","."),".",MID(1/2,2,1)),"")</f>
        <v/>
      </c>
      <c r="F189">
        <f>TRIM(INDEX(INDIRECT("'Выгрузка'!A189:Z189"),Настройки!$B$12)&amp;"")</f>
        <v/>
      </c>
      <c r="G189">
        <f>IF(F189="",0,IF(TRIM(INDEX(INDIRECT("'Выгрузка'!A189:Z189"),Настройки!$B$13)&amp;"")="",1,IFERROR(--SUBSTITUTE(SUBSTITUTE(TRIM(INDEX(INDIRECT("'Выгрузка'!A189:Z189"),Настройки!$B$13)),",","."),".",MID(1/2,2,1)),"")))</f>
        <v/>
      </c>
      <c r="H189">
        <f>IF(F189="",0,IF(COUNTIF(Настройки!$B$17:$B$26,F189)&gt;0,1,IF(COUNTIF(Настройки!$C$17:$C$26,F189)&gt;0,2,IF(COUNTIF(Настройки!$D$17:$D$26,F189)&gt;0,3,0))))</f>
        <v/>
      </c>
      <c r="I189">
        <f>IF(AND(ISNUMBER(A189),ISNUMBER(B189)),A189*1000+B189,"")</f>
        <v/>
      </c>
      <c r="J189">
        <f>IF(I189="","",IF(COUNTIF(I$2:I189,I189)=1,MAX(J$1:J188)+1,""))</f>
        <v/>
      </c>
    </row>
    <row r="190">
      <c r="A190">
        <f>IFERROR(--SUBSTITUTE(SUBSTITUTE(TRIM(INDEX(INDIRECT("'Выгрузка'!A190:Z190"),Настройки!$B$7)),",","."),".",MID(1/2,2,1)),"")</f>
        <v/>
      </c>
      <c r="B190">
        <f>IFERROR(--SUBSTITUTE(SUBSTITUTE(TRIM(INDEX(INDIRECT("'Выгрузка'!A190:Z190"),Настройки!$B$9)),",","."),".",MID(1/2,2,1)),"")</f>
        <v/>
      </c>
      <c r="C190">
        <f>TRIM(INDEX(INDIRECT("'Выгрузка'!A190:Z190"),Настройки!$B$8)&amp;"")</f>
        <v/>
      </c>
      <c r="D190">
        <f>IFERROR(--SUBSTITUTE(SUBSTITUTE(TRIM(INDEX(INDIRECT("'Выгрузка'!A190:Z190"),Настройки!$B$10)),",","."),".",MID(1/2,2,1)),"")</f>
        <v/>
      </c>
      <c r="E190">
        <f>IFERROR(--SUBSTITUTE(SUBSTITUTE(TRIM(INDEX(INDIRECT("'Выгрузка'!A190:Z190"),Настройки!$B$11)),",","."),".",MID(1/2,2,1)),"")</f>
        <v/>
      </c>
      <c r="F190">
        <f>TRIM(INDEX(INDIRECT("'Выгрузка'!A190:Z190"),Настройки!$B$12)&amp;"")</f>
        <v/>
      </c>
      <c r="G190">
        <f>IF(F190="",0,IF(TRIM(INDEX(INDIRECT("'Выгрузка'!A190:Z190"),Настройки!$B$13)&amp;"")="",1,IFERROR(--SUBSTITUTE(SUBSTITUTE(TRIM(INDEX(INDIRECT("'Выгрузка'!A190:Z190"),Настройки!$B$13)),",","."),".",MID(1/2,2,1)),"")))</f>
        <v/>
      </c>
      <c r="H190">
        <f>IF(F190="",0,IF(COUNTIF(Настройки!$B$17:$B$26,F190)&gt;0,1,IF(COUNTIF(Настройки!$C$17:$C$26,F190)&gt;0,2,IF(COUNTIF(Настройки!$D$17:$D$26,F190)&gt;0,3,0))))</f>
        <v/>
      </c>
      <c r="I190">
        <f>IF(AND(ISNUMBER(A190),ISNUMBER(B190)),A190*1000+B190,"")</f>
        <v/>
      </c>
      <c r="J190">
        <f>IF(I190="","",IF(COUNTIF(I$2:I190,I190)=1,MAX(J$1:J189)+1,""))</f>
        <v/>
      </c>
    </row>
    <row r="191">
      <c r="A191">
        <f>IFERROR(--SUBSTITUTE(SUBSTITUTE(TRIM(INDEX(INDIRECT("'Выгрузка'!A191:Z191"),Настройки!$B$7)),",","."),".",MID(1/2,2,1)),"")</f>
        <v/>
      </c>
      <c r="B191">
        <f>IFERROR(--SUBSTITUTE(SUBSTITUTE(TRIM(INDEX(INDIRECT("'Выгрузка'!A191:Z191"),Настройки!$B$9)),",","."),".",MID(1/2,2,1)),"")</f>
        <v/>
      </c>
      <c r="C191">
        <f>TRIM(INDEX(INDIRECT("'Выгрузка'!A191:Z191"),Настройки!$B$8)&amp;"")</f>
        <v/>
      </c>
      <c r="D191">
        <f>IFERROR(--SUBSTITUTE(SUBSTITUTE(TRIM(INDEX(INDIRECT("'Выгрузка'!A191:Z191"),Настройки!$B$10)),",","."),".",MID(1/2,2,1)),"")</f>
        <v/>
      </c>
      <c r="E191">
        <f>IFERROR(--SUBSTITUTE(SUBSTITUTE(TRIM(INDEX(INDIRECT("'Выгрузка'!A191:Z191"),Настройки!$B$11)),",","."),".",MID(1/2,2,1)),"")</f>
        <v/>
      </c>
      <c r="F191">
        <f>TRIM(INDEX(INDIRECT("'Выгрузка'!A191:Z191"),Настройки!$B$12)&amp;"")</f>
        <v/>
      </c>
      <c r="G191">
        <f>IF(F191="",0,IF(TRIM(INDEX(INDIRECT("'Выгрузка'!A191:Z191"),Настройки!$B$13)&amp;"")="",1,IFERROR(--SUBSTITUTE(SUBSTITUTE(TRIM(INDEX(INDIRECT("'Выгрузка'!A191:Z191"),Настройки!$B$13)),",","."),".",MID(1/2,2,1)),"")))</f>
        <v/>
      </c>
      <c r="H191">
        <f>IF(F191="",0,IF(COUNTIF(Настройки!$B$17:$B$26,F191)&gt;0,1,IF(COUNTIF(Настройки!$C$17:$C$26,F191)&gt;0,2,IF(COUNTIF(Настройки!$D$17:$D$26,F191)&gt;0,3,0))))</f>
        <v/>
      </c>
      <c r="I191">
        <f>IF(AND(ISNUMBER(A191),ISNUMBER(B191)),A191*1000+B191,"")</f>
        <v/>
      </c>
      <c r="J191">
        <f>IF(I191="","",IF(COUNTIF(I$2:I191,I191)=1,MAX(J$1:J190)+1,""))</f>
        <v/>
      </c>
    </row>
    <row r="192">
      <c r="A192">
        <f>IFERROR(--SUBSTITUTE(SUBSTITUTE(TRIM(INDEX(INDIRECT("'Выгрузка'!A192:Z192"),Настройки!$B$7)),",","."),".",MID(1/2,2,1)),"")</f>
        <v/>
      </c>
      <c r="B192">
        <f>IFERROR(--SUBSTITUTE(SUBSTITUTE(TRIM(INDEX(INDIRECT("'Выгрузка'!A192:Z192"),Настройки!$B$9)),",","."),".",MID(1/2,2,1)),"")</f>
        <v/>
      </c>
      <c r="C192">
        <f>TRIM(INDEX(INDIRECT("'Выгрузка'!A192:Z192"),Настройки!$B$8)&amp;"")</f>
        <v/>
      </c>
      <c r="D192">
        <f>IFERROR(--SUBSTITUTE(SUBSTITUTE(TRIM(INDEX(INDIRECT("'Выгрузка'!A192:Z192"),Настройки!$B$10)),",","."),".",MID(1/2,2,1)),"")</f>
        <v/>
      </c>
      <c r="E192">
        <f>IFERROR(--SUBSTITUTE(SUBSTITUTE(TRIM(INDEX(INDIRECT("'Выгрузка'!A192:Z192"),Настройки!$B$11)),",","."),".",MID(1/2,2,1)),"")</f>
        <v/>
      </c>
      <c r="F192">
        <f>TRIM(INDEX(INDIRECT("'Выгрузка'!A192:Z192"),Настройки!$B$12)&amp;"")</f>
        <v/>
      </c>
      <c r="G192">
        <f>IF(F192="",0,IF(TRIM(INDEX(INDIRECT("'Выгрузка'!A192:Z192"),Настройки!$B$13)&amp;"")="",1,IFERROR(--SUBSTITUTE(SUBSTITUTE(TRIM(INDEX(INDIRECT("'Выгрузка'!A192:Z192"),Настройки!$B$13)),",","."),".",MID(1/2,2,1)),"")))</f>
        <v/>
      </c>
      <c r="H192">
        <f>IF(F192="",0,IF(COUNTIF(Настройки!$B$17:$B$26,F192)&gt;0,1,IF(COUNTIF(Настройки!$C$17:$C$26,F192)&gt;0,2,IF(COUNTIF(Настройки!$D$17:$D$26,F192)&gt;0,3,0))))</f>
        <v/>
      </c>
      <c r="I192">
        <f>IF(AND(ISNUMBER(A192),ISNUMBER(B192)),A192*1000+B192,"")</f>
        <v/>
      </c>
      <c r="J192">
        <f>IF(I192="","",IF(COUNTIF(I$2:I192,I192)=1,MAX(J$1:J191)+1,""))</f>
        <v/>
      </c>
    </row>
    <row r="193">
      <c r="A193">
        <f>IFERROR(--SUBSTITUTE(SUBSTITUTE(TRIM(INDEX(INDIRECT("'Выгрузка'!A193:Z193"),Настройки!$B$7)),",","."),".",MID(1/2,2,1)),"")</f>
        <v/>
      </c>
      <c r="B193">
        <f>IFERROR(--SUBSTITUTE(SUBSTITUTE(TRIM(INDEX(INDIRECT("'Выгрузка'!A193:Z193"),Настройки!$B$9)),",","."),".",MID(1/2,2,1)),"")</f>
        <v/>
      </c>
      <c r="C193">
        <f>TRIM(INDEX(INDIRECT("'Выгрузка'!A193:Z193"),Настройки!$B$8)&amp;"")</f>
        <v/>
      </c>
      <c r="D193">
        <f>IFERROR(--SUBSTITUTE(SUBSTITUTE(TRIM(INDEX(INDIRECT("'Выгрузка'!A193:Z193"),Настройки!$B$10)),",","."),".",MID(1/2,2,1)),"")</f>
        <v/>
      </c>
      <c r="E193">
        <f>IFERROR(--SUBSTITUTE(SUBSTITUTE(TRIM(INDEX(INDIRECT("'Выгрузка'!A193:Z193"),Настройки!$B$11)),",","."),".",MID(1/2,2,1)),"")</f>
        <v/>
      </c>
      <c r="F193">
        <f>TRIM(INDEX(INDIRECT("'Выгрузка'!A193:Z193"),Настройки!$B$12)&amp;"")</f>
        <v/>
      </c>
      <c r="G193">
        <f>IF(F193="",0,IF(TRIM(INDEX(INDIRECT("'Выгрузка'!A193:Z193"),Настройки!$B$13)&amp;"")="",1,IFERROR(--SUBSTITUTE(SUBSTITUTE(TRIM(INDEX(INDIRECT("'Выгрузка'!A193:Z193"),Настройки!$B$13)),",","."),".",MID(1/2,2,1)),"")))</f>
        <v/>
      </c>
      <c r="H193">
        <f>IF(F193="",0,IF(COUNTIF(Настройки!$B$17:$B$26,F193)&gt;0,1,IF(COUNTIF(Настройки!$C$17:$C$26,F193)&gt;0,2,IF(COUNTIF(Настройки!$D$17:$D$26,F193)&gt;0,3,0))))</f>
        <v/>
      </c>
      <c r="I193">
        <f>IF(AND(ISNUMBER(A193),ISNUMBER(B193)),A193*1000+B193,"")</f>
        <v/>
      </c>
      <c r="J193">
        <f>IF(I193="","",IF(COUNTIF(I$2:I193,I193)=1,MAX(J$1:J192)+1,""))</f>
        <v/>
      </c>
    </row>
    <row r="194">
      <c r="A194">
        <f>IFERROR(--SUBSTITUTE(SUBSTITUTE(TRIM(INDEX(INDIRECT("'Выгрузка'!A194:Z194"),Настройки!$B$7)),",","."),".",MID(1/2,2,1)),"")</f>
        <v/>
      </c>
      <c r="B194">
        <f>IFERROR(--SUBSTITUTE(SUBSTITUTE(TRIM(INDEX(INDIRECT("'Выгрузка'!A194:Z194"),Настройки!$B$9)),",","."),".",MID(1/2,2,1)),"")</f>
        <v/>
      </c>
      <c r="C194">
        <f>TRIM(INDEX(INDIRECT("'Выгрузка'!A194:Z194"),Настройки!$B$8)&amp;"")</f>
        <v/>
      </c>
      <c r="D194">
        <f>IFERROR(--SUBSTITUTE(SUBSTITUTE(TRIM(INDEX(INDIRECT("'Выгрузка'!A194:Z194"),Настройки!$B$10)),",","."),".",MID(1/2,2,1)),"")</f>
        <v/>
      </c>
      <c r="E194">
        <f>IFERROR(--SUBSTITUTE(SUBSTITUTE(TRIM(INDEX(INDIRECT("'Выгрузка'!A194:Z194"),Настройки!$B$11)),",","."),".",MID(1/2,2,1)),"")</f>
        <v/>
      </c>
      <c r="F194">
        <f>TRIM(INDEX(INDIRECT("'Выгрузка'!A194:Z194"),Настройки!$B$12)&amp;"")</f>
        <v/>
      </c>
      <c r="G194">
        <f>IF(F194="",0,IF(TRIM(INDEX(INDIRECT("'Выгрузка'!A194:Z194"),Настройки!$B$13)&amp;"")="",1,IFERROR(--SUBSTITUTE(SUBSTITUTE(TRIM(INDEX(INDIRECT("'Выгрузка'!A194:Z194"),Настройки!$B$13)),",","."),".",MID(1/2,2,1)),"")))</f>
        <v/>
      </c>
      <c r="H194">
        <f>IF(F194="",0,IF(COUNTIF(Настройки!$B$17:$B$26,F194)&gt;0,1,IF(COUNTIF(Настройки!$C$17:$C$26,F194)&gt;0,2,IF(COUNTIF(Настройки!$D$17:$D$26,F194)&gt;0,3,0))))</f>
        <v/>
      </c>
      <c r="I194">
        <f>IF(AND(ISNUMBER(A194),ISNUMBER(B194)),A194*1000+B194,"")</f>
        <v/>
      </c>
      <c r="J194">
        <f>IF(I194="","",IF(COUNTIF(I$2:I194,I194)=1,MAX(J$1:J193)+1,""))</f>
        <v/>
      </c>
    </row>
    <row r="195">
      <c r="A195">
        <f>IFERROR(--SUBSTITUTE(SUBSTITUTE(TRIM(INDEX(INDIRECT("'Выгрузка'!A195:Z195"),Настройки!$B$7)),",","."),".",MID(1/2,2,1)),"")</f>
        <v/>
      </c>
      <c r="B195">
        <f>IFERROR(--SUBSTITUTE(SUBSTITUTE(TRIM(INDEX(INDIRECT("'Выгрузка'!A195:Z195"),Настройки!$B$9)),",","."),".",MID(1/2,2,1)),"")</f>
        <v/>
      </c>
      <c r="C195">
        <f>TRIM(INDEX(INDIRECT("'Выгрузка'!A195:Z195"),Настройки!$B$8)&amp;"")</f>
        <v/>
      </c>
      <c r="D195">
        <f>IFERROR(--SUBSTITUTE(SUBSTITUTE(TRIM(INDEX(INDIRECT("'Выгрузка'!A195:Z195"),Настройки!$B$10)),",","."),".",MID(1/2,2,1)),"")</f>
        <v/>
      </c>
      <c r="E195">
        <f>IFERROR(--SUBSTITUTE(SUBSTITUTE(TRIM(INDEX(INDIRECT("'Выгрузка'!A195:Z195"),Настройки!$B$11)),",","."),".",MID(1/2,2,1)),"")</f>
        <v/>
      </c>
      <c r="F195">
        <f>TRIM(INDEX(INDIRECT("'Выгрузка'!A195:Z195"),Настройки!$B$12)&amp;"")</f>
        <v/>
      </c>
      <c r="G195">
        <f>IF(F195="",0,IF(TRIM(INDEX(INDIRECT("'Выгрузка'!A195:Z195"),Настройки!$B$13)&amp;"")="",1,IFERROR(--SUBSTITUTE(SUBSTITUTE(TRIM(INDEX(INDIRECT("'Выгрузка'!A195:Z195"),Настройки!$B$13)),",","."),".",MID(1/2,2,1)),"")))</f>
        <v/>
      </c>
      <c r="H195">
        <f>IF(F195="",0,IF(COUNTIF(Настройки!$B$17:$B$26,F195)&gt;0,1,IF(COUNTIF(Настройки!$C$17:$C$26,F195)&gt;0,2,IF(COUNTIF(Настройки!$D$17:$D$26,F195)&gt;0,3,0))))</f>
        <v/>
      </c>
      <c r="I195">
        <f>IF(AND(ISNUMBER(A195),ISNUMBER(B195)),A195*1000+B195,"")</f>
        <v/>
      </c>
      <c r="J195">
        <f>IF(I195="","",IF(COUNTIF(I$2:I195,I195)=1,MAX(J$1:J194)+1,""))</f>
        <v/>
      </c>
    </row>
    <row r="196">
      <c r="A196">
        <f>IFERROR(--SUBSTITUTE(SUBSTITUTE(TRIM(INDEX(INDIRECT("'Выгрузка'!A196:Z196"),Настройки!$B$7)),",","."),".",MID(1/2,2,1)),"")</f>
        <v/>
      </c>
      <c r="B196">
        <f>IFERROR(--SUBSTITUTE(SUBSTITUTE(TRIM(INDEX(INDIRECT("'Выгрузка'!A196:Z196"),Настройки!$B$9)),",","."),".",MID(1/2,2,1)),"")</f>
        <v/>
      </c>
      <c r="C196">
        <f>TRIM(INDEX(INDIRECT("'Выгрузка'!A196:Z196"),Настройки!$B$8)&amp;"")</f>
        <v/>
      </c>
      <c r="D196">
        <f>IFERROR(--SUBSTITUTE(SUBSTITUTE(TRIM(INDEX(INDIRECT("'Выгрузка'!A196:Z196"),Настройки!$B$10)),",","."),".",MID(1/2,2,1)),"")</f>
        <v/>
      </c>
      <c r="E196">
        <f>IFERROR(--SUBSTITUTE(SUBSTITUTE(TRIM(INDEX(INDIRECT("'Выгрузка'!A196:Z196"),Настройки!$B$11)),",","."),".",MID(1/2,2,1)),"")</f>
        <v/>
      </c>
      <c r="F196">
        <f>TRIM(INDEX(INDIRECT("'Выгрузка'!A196:Z196"),Настройки!$B$12)&amp;"")</f>
        <v/>
      </c>
      <c r="G196">
        <f>IF(F196="",0,IF(TRIM(INDEX(INDIRECT("'Выгрузка'!A196:Z196"),Настройки!$B$13)&amp;"")="",1,IFERROR(--SUBSTITUTE(SUBSTITUTE(TRIM(INDEX(INDIRECT("'Выгрузка'!A196:Z196"),Настройки!$B$13)),",","."),".",MID(1/2,2,1)),"")))</f>
        <v/>
      </c>
      <c r="H196">
        <f>IF(F196="",0,IF(COUNTIF(Настройки!$B$17:$B$26,F196)&gt;0,1,IF(COUNTIF(Настройки!$C$17:$C$26,F196)&gt;0,2,IF(COUNTIF(Настройки!$D$17:$D$26,F196)&gt;0,3,0))))</f>
        <v/>
      </c>
      <c r="I196">
        <f>IF(AND(ISNUMBER(A196),ISNUMBER(B196)),A196*1000+B196,"")</f>
        <v/>
      </c>
      <c r="J196">
        <f>IF(I196="","",IF(COUNTIF(I$2:I196,I196)=1,MAX(J$1:J195)+1,""))</f>
        <v/>
      </c>
    </row>
    <row r="197">
      <c r="A197">
        <f>IFERROR(--SUBSTITUTE(SUBSTITUTE(TRIM(INDEX(INDIRECT("'Выгрузка'!A197:Z197"),Настройки!$B$7)),",","."),".",MID(1/2,2,1)),"")</f>
        <v/>
      </c>
      <c r="B197">
        <f>IFERROR(--SUBSTITUTE(SUBSTITUTE(TRIM(INDEX(INDIRECT("'Выгрузка'!A197:Z197"),Настройки!$B$9)),",","."),".",MID(1/2,2,1)),"")</f>
        <v/>
      </c>
      <c r="C197">
        <f>TRIM(INDEX(INDIRECT("'Выгрузка'!A197:Z197"),Настройки!$B$8)&amp;"")</f>
        <v/>
      </c>
      <c r="D197">
        <f>IFERROR(--SUBSTITUTE(SUBSTITUTE(TRIM(INDEX(INDIRECT("'Выгрузка'!A197:Z197"),Настройки!$B$10)),",","."),".",MID(1/2,2,1)),"")</f>
        <v/>
      </c>
      <c r="E197">
        <f>IFERROR(--SUBSTITUTE(SUBSTITUTE(TRIM(INDEX(INDIRECT("'Выгрузка'!A197:Z197"),Настройки!$B$11)),",","."),".",MID(1/2,2,1)),"")</f>
        <v/>
      </c>
      <c r="F197">
        <f>TRIM(INDEX(INDIRECT("'Выгрузка'!A197:Z197"),Настройки!$B$12)&amp;"")</f>
        <v/>
      </c>
      <c r="G197">
        <f>IF(F197="",0,IF(TRIM(INDEX(INDIRECT("'Выгрузка'!A197:Z197"),Настройки!$B$13)&amp;"")="",1,IFERROR(--SUBSTITUTE(SUBSTITUTE(TRIM(INDEX(INDIRECT("'Выгрузка'!A197:Z197"),Настройки!$B$13)),",","."),".",MID(1/2,2,1)),"")))</f>
        <v/>
      </c>
      <c r="H197">
        <f>IF(F197="",0,IF(COUNTIF(Настройки!$B$17:$B$26,F197)&gt;0,1,IF(COUNTIF(Настройки!$C$17:$C$26,F197)&gt;0,2,IF(COUNTIF(Настройки!$D$17:$D$26,F197)&gt;0,3,0))))</f>
        <v/>
      </c>
      <c r="I197">
        <f>IF(AND(ISNUMBER(A197),ISNUMBER(B197)),A197*1000+B197,"")</f>
        <v/>
      </c>
      <c r="J197">
        <f>IF(I197="","",IF(COUNTIF(I$2:I197,I197)=1,MAX(J$1:J196)+1,""))</f>
        <v/>
      </c>
    </row>
    <row r="198">
      <c r="A198">
        <f>IFERROR(--SUBSTITUTE(SUBSTITUTE(TRIM(INDEX(INDIRECT("'Выгрузка'!A198:Z198"),Настройки!$B$7)),",","."),".",MID(1/2,2,1)),"")</f>
        <v/>
      </c>
      <c r="B198">
        <f>IFERROR(--SUBSTITUTE(SUBSTITUTE(TRIM(INDEX(INDIRECT("'Выгрузка'!A198:Z198"),Настройки!$B$9)),",","."),".",MID(1/2,2,1)),"")</f>
        <v/>
      </c>
      <c r="C198">
        <f>TRIM(INDEX(INDIRECT("'Выгрузка'!A198:Z198"),Настройки!$B$8)&amp;"")</f>
        <v/>
      </c>
      <c r="D198">
        <f>IFERROR(--SUBSTITUTE(SUBSTITUTE(TRIM(INDEX(INDIRECT("'Выгрузка'!A198:Z198"),Настройки!$B$10)),",","."),".",MID(1/2,2,1)),"")</f>
        <v/>
      </c>
      <c r="E198">
        <f>IFERROR(--SUBSTITUTE(SUBSTITUTE(TRIM(INDEX(INDIRECT("'Выгрузка'!A198:Z198"),Настройки!$B$11)),",","."),".",MID(1/2,2,1)),"")</f>
        <v/>
      </c>
      <c r="F198">
        <f>TRIM(INDEX(INDIRECT("'Выгрузка'!A198:Z198"),Настройки!$B$12)&amp;"")</f>
        <v/>
      </c>
      <c r="G198">
        <f>IF(F198="",0,IF(TRIM(INDEX(INDIRECT("'Выгрузка'!A198:Z198"),Настройки!$B$13)&amp;"")="",1,IFERROR(--SUBSTITUTE(SUBSTITUTE(TRIM(INDEX(INDIRECT("'Выгрузка'!A198:Z198"),Настройки!$B$13)),",","."),".",MID(1/2,2,1)),"")))</f>
        <v/>
      </c>
      <c r="H198">
        <f>IF(F198="",0,IF(COUNTIF(Настройки!$B$17:$B$26,F198)&gt;0,1,IF(COUNTIF(Настройки!$C$17:$C$26,F198)&gt;0,2,IF(COUNTIF(Настройки!$D$17:$D$26,F198)&gt;0,3,0))))</f>
        <v/>
      </c>
      <c r="I198">
        <f>IF(AND(ISNUMBER(A198),ISNUMBER(B198)),A198*1000+B198,"")</f>
        <v/>
      </c>
      <c r="J198">
        <f>IF(I198="","",IF(COUNTIF(I$2:I198,I198)=1,MAX(J$1:J197)+1,""))</f>
        <v/>
      </c>
    </row>
    <row r="199">
      <c r="A199">
        <f>IFERROR(--SUBSTITUTE(SUBSTITUTE(TRIM(INDEX(INDIRECT("'Выгрузка'!A199:Z199"),Настройки!$B$7)),",","."),".",MID(1/2,2,1)),"")</f>
        <v/>
      </c>
      <c r="B199">
        <f>IFERROR(--SUBSTITUTE(SUBSTITUTE(TRIM(INDEX(INDIRECT("'Выгрузка'!A199:Z199"),Настройки!$B$9)),",","."),".",MID(1/2,2,1)),"")</f>
        <v/>
      </c>
      <c r="C199">
        <f>TRIM(INDEX(INDIRECT("'Выгрузка'!A199:Z199"),Настройки!$B$8)&amp;"")</f>
        <v/>
      </c>
      <c r="D199">
        <f>IFERROR(--SUBSTITUTE(SUBSTITUTE(TRIM(INDEX(INDIRECT("'Выгрузка'!A199:Z199"),Настройки!$B$10)),",","."),".",MID(1/2,2,1)),"")</f>
        <v/>
      </c>
      <c r="E199">
        <f>IFERROR(--SUBSTITUTE(SUBSTITUTE(TRIM(INDEX(INDIRECT("'Выгрузка'!A199:Z199"),Настройки!$B$11)),",","."),".",MID(1/2,2,1)),"")</f>
        <v/>
      </c>
      <c r="F199">
        <f>TRIM(INDEX(INDIRECT("'Выгрузка'!A199:Z199"),Настройки!$B$12)&amp;"")</f>
        <v/>
      </c>
      <c r="G199">
        <f>IF(F199="",0,IF(TRIM(INDEX(INDIRECT("'Выгрузка'!A199:Z199"),Настройки!$B$13)&amp;"")="",1,IFERROR(--SUBSTITUTE(SUBSTITUTE(TRIM(INDEX(INDIRECT("'Выгрузка'!A199:Z199"),Настройки!$B$13)),",","."),".",MID(1/2,2,1)),"")))</f>
        <v/>
      </c>
      <c r="H199">
        <f>IF(F199="",0,IF(COUNTIF(Настройки!$B$17:$B$26,F199)&gt;0,1,IF(COUNTIF(Настройки!$C$17:$C$26,F199)&gt;0,2,IF(COUNTIF(Настройки!$D$17:$D$26,F199)&gt;0,3,0))))</f>
        <v/>
      </c>
      <c r="I199">
        <f>IF(AND(ISNUMBER(A199),ISNUMBER(B199)),A199*1000+B199,"")</f>
        <v/>
      </c>
      <c r="J199">
        <f>IF(I199="","",IF(COUNTIF(I$2:I199,I199)=1,MAX(J$1:J198)+1,""))</f>
        <v/>
      </c>
    </row>
    <row r="200">
      <c r="A200">
        <f>IFERROR(--SUBSTITUTE(SUBSTITUTE(TRIM(INDEX(INDIRECT("'Выгрузка'!A200:Z200"),Настройки!$B$7)),",","."),".",MID(1/2,2,1)),"")</f>
        <v/>
      </c>
      <c r="B200">
        <f>IFERROR(--SUBSTITUTE(SUBSTITUTE(TRIM(INDEX(INDIRECT("'Выгрузка'!A200:Z200"),Настройки!$B$9)),",","."),".",MID(1/2,2,1)),"")</f>
        <v/>
      </c>
      <c r="C200">
        <f>TRIM(INDEX(INDIRECT("'Выгрузка'!A200:Z200"),Настройки!$B$8)&amp;"")</f>
        <v/>
      </c>
      <c r="D200">
        <f>IFERROR(--SUBSTITUTE(SUBSTITUTE(TRIM(INDEX(INDIRECT("'Выгрузка'!A200:Z200"),Настройки!$B$10)),",","."),".",MID(1/2,2,1)),"")</f>
        <v/>
      </c>
      <c r="E200">
        <f>IFERROR(--SUBSTITUTE(SUBSTITUTE(TRIM(INDEX(INDIRECT("'Выгрузка'!A200:Z200"),Настройки!$B$11)),",","."),".",MID(1/2,2,1)),"")</f>
        <v/>
      </c>
      <c r="F200">
        <f>TRIM(INDEX(INDIRECT("'Выгрузка'!A200:Z200"),Настройки!$B$12)&amp;"")</f>
        <v/>
      </c>
      <c r="G200">
        <f>IF(F200="",0,IF(TRIM(INDEX(INDIRECT("'Выгрузка'!A200:Z200"),Настройки!$B$13)&amp;"")="",1,IFERROR(--SUBSTITUTE(SUBSTITUTE(TRIM(INDEX(INDIRECT("'Выгрузка'!A200:Z200"),Настройки!$B$13)),",","."),".",MID(1/2,2,1)),"")))</f>
        <v/>
      </c>
      <c r="H200">
        <f>IF(F200="",0,IF(COUNTIF(Настройки!$B$17:$B$26,F200)&gt;0,1,IF(COUNTIF(Настройки!$C$17:$C$26,F200)&gt;0,2,IF(COUNTIF(Настройки!$D$17:$D$26,F200)&gt;0,3,0))))</f>
        <v/>
      </c>
      <c r="I200">
        <f>IF(AND(ISNUMBER(A200),ISNUMBER(B200)),A200*1000+B200,"")</f>
        <v/>
      </c>
      <c r="J200">
        <f>IF(I200="","",IF(COUNTIF(I$2:I200,I200)=1,MAX(J$1:J199)+1,""))</f>
        <v/>
      </c>
    </row>
    <row r="201">
      <c r="A201">
        <f>IFERROR(--SUBSTITUTE(SUBSTITUTE(TRIM(INDEX(INDIRECT("'Выгрузка'!A201:Z201"),Настройки!$B$7)),",","."),".",MID(1/2,2,1)),"")</f>
        <v/>
      </c>
      <c r="B201">
        <f>IFERROR(--SUBSTITUTE(SUBSTITUTE(TRIM(INDEX(INDIRECT("'Выгрузка'!A201:Z201"),Настройки!$B$9)),",","."),".",MID(1/2,2,1)),"")</f>
        <v/>
      </c>
      <c r="C201">
        <f>TRIM(INDEX(INDIRECT("'Выгрузка'!A201:Z201"),Настройки!$B$8)&amp;"")</f>
        <v/>
      </c>
      <c r="D201">
        <f>IFERROR(--SUBSTITUTE(SUBSTITUTE(TRIM(INDEX(INDIRECT("'Выгрузка'!A201:Z201"),Настройки!$B$10)),",","."),".",MID(1/2,2,1)),"")</f>
        <v/>
      </c>
      <c r="E201">
        <f>IFERROR(--SUBSTITUTE(SUBSTITUTE(TRIM(INDEX(INDIRECT("'Выгрузка'!A201:Z201"),Настройки!$B$11)),",","."),".",MID(1/2,2,1)),"")</f>
        <v/>
      </c>
      <c r="F201">
        <f>TRIM(INDEX(INDIRECT("'Выгрузка'!A201:Z201"),Настройки!$B$12)&amp;"")</f>
        <v/>
      </c>
      <c r="G201">
        <f>IF(F201="",0,IF(TRIM(INDEX(INDIRECT("'Выгрузка'!A201:Z201"),Настройки!$B$13)&amp;"")="",1,IFERROR(--SUBSTITUTE(SUBSTITUTE(TRIM(INDEX(INDIRECT("'Выгрузка'!A201:Z201"),Настройки!$B$13)),",","."),".",MID(1/2,2,1)),"")))</f>
        <v/>
      </c>
      <c r="H201">
        <f>IF(F201="",0,IF(COUNTIF(Настройки!$B$17:$B$26,F201)&gt;0,1,IF(COUNTIF(Настройки!$C$17:$C$26,F201)&gt;0,2,IF(COUNTIF(Настройки!$D$17:$D$26,F201)&gt;0,3,0))))</f>
        <v/>
      </c>
      <c r="I201">
        <f>IF(AND(ISNUMBER(A201),ISNUMBER(B201)),A201*1000+B201,"")</f>
        <v/>
      </c>
      <c r="J201">
        <f>IF(I201="","",IF(COUNTIF(I$2:I201,I201)=1,MAX(J$1:J200)+1,""))</f>
        <v/>
      </c>
    </row>
    <row r="202">
      <c r="A202">
        <f>IFERROR(--SUBSTITUTE(SUBSTITUTE(TRIM(INDEX(INDIRECT("'Выгрузка'!A202:Z202"),Настройки!$B$7)),",","."),".",MID(1/2,2,1)),"")</f>
        <v/>
      </c>
      <c r="B202">
        <f>IFERROR(--SUBSTITUTE(SUBSTITUTE(TRIM(INDEX(INDIRECT("'Выгрузка'!A202:Z202"),Настройки!$B$9)),",","."),".",MID(1/2,2,1)),"")</f>
        <v/>
      </c>
      <c r="C202">
        <f>TRIM(INDEX(INDIRECT("'Выгрузка'!A202:Z202"),Настройки!$B$8)&amp;"")</f>
        <v/>
      </c>
      <c r="D202">
        <f>IFERROR(--SUBSTITUTE(SUBSTITUTE(TRIM(INDEX(INDIRECT("'Выгрузка'!A202:Z202"),Настройки!$B$10)),",","."),".",MID(1/2,2,1)),"")</f>
        <v/>
      </c>
      <c r="E202">
        <f>IFERROR(--SUBSTITUTE(SUBSTITUTE(TRIM(INDEX(INDIRECT("'Выгрузка'!A202:Z202"),Настройки!$B$11)),",","."),".",MID(1/2,2,1)),"")</f>
        <v/>
      </c>
      <c r="F202">
        <f>TRIM(INDEX(INDIRECT("'Выгрузка'!A202:Z202"),Настройки!$B$12)&amp;"")</f>
        <v/>
      </c>
      <c r="G202">
        <f>IF(F202="",0,IF(TRIM(INDEX(INDIRECT("'Выгрузка'!A202:Z202"),Настройки!$B$13)&amp;"")="",1,IFERROR(--SUBSTITUTE(SUBSTITUTE(TRIM(INDEX(INDIRECT("'Выгрузка'!A202:Z202"),Настройки!$B$13)),",","."),".",MID(1/2,2,1)),"")))</f>
        <v/>
      </c>
      <c r="H202">
        <f>IF(F202="",0,IF(COUNTIF(Настройки!$B$17:$B$26,F202)&gt;0,1,IF(COUNTIF(Настройки!$C$17:$C$26,F202)&gt;0,2,IF(COUNTIF(Настройки!$D$17:$D$26,F202)&gt;0,3,0))))</f>
        <v/>
      </c>
      <c r="I202">
        <f>IF(AND(ISNUMBER(A202),ISNUMBER(B202)),A202*1000+B202,"")</f>
        <v/>
      </c>
      <c r="J202">
        <f>IF(I202="","",IF(COUNTIF(I$2:I202,I202)=1,MAX(J$1:J201)+1,""))</f>
        <v/>
      </c>
    </row>
    <row r="203">
      <c r="A203">
        <f>IFERROR(--SUBSTITUTE(SUBSTITUTE(TRIM(INDEX(INDIRECT("'Выгрузка'!A203:Z203"),Настройки!$B$7)),",","."),".",MID(1/2,2,1)),"")</f>
        <v/>
      </c>
      <c r="B203">
        <f>IFERROR(--SUBSTITUTE(SUBSTITUTE(TRIM(INDEX(INDIRECT("'Выгрузка'!A203:Z203"),Настройки!$B$9)),",","."),".",MID(1/2,2,1)),"")</f>
        <v/>
      </c>
      <c r="C203">
        <f>TRIM(INDEX(INDIRECT("'Выгрузка'!A203:Z203"),Настройки!$B$8)&amp;"")</f>
        <v/>
      </c>
      <c r="D203">
        <f>IFERROR(--SUBSTITUTE(SUBSTITUTE(TRIM(INDEX(INDIRECT("'Выгрузка'!A203:Z203"),Настройки!$B$10)),",","."),".",MID(1/2,2,1)),"")</f>
        <v/>
      </c>
      <c r="E203">
        <f>IFERROR(--SUBSTITUTE(SUBSTITUTE(TRIM(INDEX(INDIRECT("'Выгрузка'!A203:Z203"),Настройки!$B$11)),",","."),".",MID(1/2,2,1)),"")</f>
        <v/>
      </c>
      <c r="F203">
        <f>TRIM(INDEX(INDIRECT("'Выгрузка'!A203:Z203"),Настройки!$B$12)&amp;"")</f>
        <v/>
      </c>
      <c r="G203">
        <f>IF(F203="",0,IF(TRIM(INDEX(INDIRECT("'Выгрузка'!A203:Z203"),Настройки!$B$13)&amp;"")="",1,IFERROR(--SUBSTITUTE(SUBSTITUTE(TRIM(INDEX(INDIRECT("'Выгрузка'!A203:Z203"),Настройки!$B$13)),",","."),".",MID(1/2,2,1)),"")))</f>
        <v/>
      </c>
      <c r="H203">
        <f>IF(F203="",0,IF(COUNTIF(Настройки!$B$17:$B$26,F203)&gt;0,1,IF(COUNTIF(Настройки!$C$17:$C$26,F203)&gt;0,2,IF(COUNTIF(Настройки!$D$17:$D$26,F203)&gt;0,3,0))))</f>
        <v/>
      </c>
      <c r="I203">
        <f>IF(AND(ISNUMBER(A203),ISNUMBER(B203)),A203*1000+B203,"")</f>
        <v/>
      </c>
      <c r="J203">
        <f>IF(I203="","",IF(COUNTIF(I$2:I203,I203)=1,MAX(J$1:J202)+1,""))</f>
        <v/>
      </c>
    </row>
    <row r="204">
      <c r="A204">
        <f>IFERROR(--SUBSTITUTE(SUBSTITUTE(TRIM(INDEX(INDIRECT("'Выгрузка'!A204:Z204"),Настройки!$B$7)),",","."),".",MID(1/2,2,1)),"")</f>
        <v/>
      </c>
      <c r="B204">
        <f>IFERROR(--SUBSTITUTE(SUBSTITUTE(TRIM(INDEX(INDIRECT("'Выгрузка'!A204:Z204"),Настройки!$B$9)),",","."),".",MID(1/2,2,1)),"")</f>
        <v/>
      </c>
      <c r="C204">
        <f>TRIM(INDEX(INDIRECT("'Выгрузка'!A204:Z204"),Настройки!$B$8)&amp;"")</f>
        <v/>
      </c>
      <c r="D204">
        <f>IFERROR(--SUBSTITUTE(SUBSTITUTE(TRIM(INDEX(INDIRECT("'Выгрузка'!A204:Z204"),Настройки!$B$10)),",","."),".",MID(1/2,2,1)),"")</f>
        <v/>
      </c>
      <c r="E204">
        <f>IFERROR(--SUBSTITUTE(SUBSTITUTE(TRIM(INDEX(INDIRECT("'Выгрузка'!A204:Z204"),Настройки!$B$11)),",","."),".",MID(1/2,2,1)),"")</f>
        <v/>
      </c>
      <c r="F204">
        <f>TRIM(INDEX(INDIRECT("'Выгрузка'!A204:Z204"),Настройки!$B$12)&amp;"")</f>
        <v/>
      </c>
      <c r="G204">
        <f>IF(F204="",0,IF(TRIM(INDEX(INDIRECT("'Выгрузка'!A204:Z204"),Настройки!$B$13)&amp;"")="",1,IFERROR(--SUBSTITUTE(SUBSTITUTE(TRIM(INDEX(INDIRECT("'Выгрузка'!A204:Z204"),Настройки!$B$13)),",","."),".",MID(1/2,2,1)),"")))</f>
        <v/>
      </c>
      <c r="H204">
        <f>IF(F204="",0,IF(COUNTIF(Настройки!$B$17:$B$26,F204)&gt;0,1,IF(COUNTIF(Настройки!$C$17:$C$26,F204)&gt;0,2,IF(COUNTIF(Настройки!$D$17:$D$26,F204)&gt;0,3,0))))</f>
        <v/>
      </c>
      <c r="I204">
        <f>IF(AND(ISNUMBER(A204),ISNUMBER(B204)),A204*1000+B204,"")</f>
        <v/>
      </c>
      <c r="J204">
        <f>IF(I204="","",IF(COUNTIF(I$2:I204,I204)=1,MAX(J$1:J203)+1,""))</f>
        <v/>
      </c>
    </row>
    <row r="205">
      <c r="A205">
        <f>IFERROR(--SUBSTITUTE(SUBSTITUTE(TRIM(INDEX(INDIRECT("'Выгрузка'!A205:Z205"),Настройки!$B$7)),",","."),".",MID(1/2,2,1)),"")</f>
        <v/>
      </c>
      <c r="B205">
        <f>IFERROR(--SUBSTITUTE(SUBSTITUTE(TRIM(INDEX(INDIRECT("'Выгрузка'!A205:Z205"),Настройки!$B$9)),",","."),".",MID(1/2,2,1)),"")</f>
        <v/>
      </c>
      <c r="C205">
        <f>TRIM(INDEX(INDIRECT("'Выгрузка'!A205:Z205"),Настройки!$B$8)&amp;"")</f>
        <v/>
      </c>
      <c r="D205">
        <f>IFERROR(--SUBSTITUTE(SUBSTITUTE(TRIM(INDEX(INDIRECT("'Выгрузка'!A205:Z205"),Настройки!$B$10)),",","."),".",MID(1/2,2,1)),"")</f>
        <v/>
      </c>
      <c r="E205">
        <f>IFERROR(--SUBSTITUTE(SUBSTITUTE(TRIM(INDEX(INDIRECT("'Выгрузка'!A205:Z205"),Настройки!$B$11)),",","."),".",MID(1/2,2,1)),"")</f>
        <v/>
      </c>
      <c r="F205">
        <f>TRIM(INDEX(INDIRECT("'Выгрузка'!A205:Z205"),Настройки!$B$12)&amp;"")</f>
        <v/>
      </c>
      <c r="G205">
        <f>IF(F205="",0,IF(TRIM(INDEX(INDIRECT("'Выгрузка'!A205:Z205"),Настройки!$B$13)&amp;"")="",1,IFERROR(--SUBSTITUTE(SUBSTITUTE(TRIM(INDEX(INDIRECT("'Выгрузка'!A205:Z205"),Настройки!$B$13)),",","."),".",MID(1/2,2,1)),"")))</f>
        <v/>
      </c>
      <c r="H205">
        <f>IF(F205="",0,IF(COUNTIF(Настройки!$B$17:$B$26,F205)&gt;0,1,IF(COUNTIF(Настройки!$C$17:$C$26,F205)&gt;0,2,IF(COUNTIF(Настройки!$D$17:$D$26,F205)&gt;0,3,0))))</f>
        <v/>
      </c>
      <c r="I205">
        <f>IF(AND(ISNUMBER(A205),ISNUMBER(B205)),A205*1000+B205,"")</f>
        <v/>
      </c>
      <c r="J205">
        <f>IF(I205="","",IF(COUNTIF(I$2:I205,I205)=1,MAX(J$1:J204)+1,""))</f>
        <v/>
      </c>
    </row>
    <row r="206">
      <c r="A206">
        <f>IFERROR(--SUBSTITUTE(SUBSTITUTE(TRIM(INDEX(INDIRECT("'Выгрузка'!A206:Z206"),Настройки!$B$7)),",","."),".",MID(1/2,2,1)),"")</f>
        <v/>
      </c>
      <c r="B206">
        <f>IFERROR(--SUBSTITUTE(SUBSTITUTE(TRIM(INDEX(INDIRECT("'Выгрузка'!A206:Z206"),Настройки!$B$9)),",","."),".",MID(1/2,2,1)),"")</f>
        <v/>
      </c>
      <c r="C206">
        <f>TRIM(INDEX(INDIRECT("'Выгрузка'!A206:Z206"),Настройки!$B$8)&amp;"")</f>
        <v/>
      </c>
      <c r="D206">
        <f>IFERROR(--SUBSTITUTE(SUBSTITUTE(TRIM(INDEX(INDIRECT("'Выгрузка'!A206:Z206"),Настройки!$B$10)),",","."),".",MID(1/2,2,1)),"")</f>
        <v/>
      </c>
      <c r="E206">
        <f>IFERROR(--SUBSTITUTE(SUBSTITUTE(TRIM(INDEX(INDIRECT("'Выгрузка'!A206:Z206"),Настройки!$B$11)),",","."),".",MID(1/2,2,1)),"")</f>
        <v/>
      </c>
      <c r="F206">
        <f>TRIM(INDEX(INDIRECT("'Выгрузка'!A206:Z206"),Настройки!$B$12)&amp;"")</f>
        <v/>
      </c>
      <c r="G206">
        <f>IF(F206="",0,IF(TRIM(INDEX(INDIRECT("'Выгрузка'!A206:Z206"),Настройки!$B$13)&amp;"")="",1,IFERROR(--SUBSTITUTE(SUBSTITUTE(TRIM(INDEX(INDIRECT("'Выгрузка'!A206:Z206"),Настройки!$B$13)),",","."),".",MID(1/2,2,1)),"")))</f>
        <v/>
      </c>
      <c r="H206">
        <f>IF(F206="",0,IF(COUNTIF(Настройки!$B$17:$B$26,F206)&gt;0,1,IF(COUNTIF(Настройки!$C$17:$C$26,F206)&gt;0,2,IF(COUNTIF(Настройки!$D$17:$D$26,F206)&gt;0,3,0))))</f>
        <v/>
      </c>
      <c r="I206">
        <f>IF(AND(ISNUMBER(A206),ISNUMBER(B206)),A206*1000+B206,"")</f>
        <v/>
      </c>
      <c r="J206">
        <f>IF(I206="","",IF(COUNTIF(I$2:I206,I206)=1,MAX(J$1:J205)+1,""))</f>
        <v/>
      </c>
    </row>
    <row r="207">
      <c r="A207">
        <f>IFERROR(--SUBSTITUTE(SUBSTITUTE(TRIM(INDEX(INDIRECT("'Выгрузка'!A207:Z207"),Настройки!$B$7)),",","."),".",MID(1/2,2,1)),"")</f>
        <v/>
      </c>
      <c r="B207">
        <f>IFERROR(--SUBSTITUTE(SUBSTITUTE(TRIM(INDEX(INDIRECT("'Выгрузка'!A207:Z207"),Настройки!$B$9)),",","."),".",MID(1/2,2,1)),"")</f>
        <v/>
      </c>
      <c r="C207">
        <f>TRIM(INDEX(INDIRECT("'Выгрузка'!A207:Z207"),Настройки!$B$8)&amp;"")</f>
        <v/>
      </c>
      <c r="D207">
        <f>IFERROR(--SUBSTITUTE(SUBSTITUTE(TRIM(INDEX(INDIRECT("'Выгрузка'!A207:Z207"),Настройки!$B$10)),",","."),".",MID(1/2,2,1)),"")</f>
        <v/>
      </c>
      <c r="E207">
        <f>IFERROR(--SUBSTITUTE(SUBSTITUTE(TRIM(INDEX(INDIRECT("'Выгрузка'!A207:Z207"),Настройки!$B$11)),",","."),".",MID(1/2,2,1)),"")</f>
        <v/>
      </c>
      <c r="F207">
        <f>TRIM(INDEX(INDIRECT("'Выгрузка'!A207:Z207"),Настройки!$B$12)&amp;"")</f>
        <v/>
      </c>
      <c r="G207">
        <f>IF(F207="",0,IF(TRIM(INDEX(INDIRECT("'Выгрузка'!A207:Z207"),Настройки!$B$13)&amp;"")="",1,IFERROR(--SUBSTITUTE(SUBSTITUTE(TRIM(INDEX(INDIRECT("'Выгрузка'!A207:Z207"),Настройки!$B$13)),",","."),".",MID(1/2,2,1)),"")))</f>
        <v/>
      </c>
      <c r="H207">
        <f>IF(F207="",0,IF(COUNTIF(Настройки!$B$17:$B$26,F207)&gt;0,1,IF(COUNTIF(Настройки!$C$17:$C$26,F207)&gt;0,2,IF(COUNTIF(Настройки!$D$17:$D$26,F207)&gt;0,3,0))))</f>
        <v/>
      </c>
      <c r="I207">
        <f>IF(AND(ISNUMBER(A207),ISNUMBER(B207)),A207*1000+B207,"")</f>
        <v/>
      </c>
      <c r="J207">
        <f>IF(I207="","",IF(COUNTIF(I$2:I207,I207)=1,MAX(J$1:J206)+1,""))</f>
        <v/>
      </c>
    </row>
    <row r="208">
      <c r="A208">
        <f>IFERROR(--SUBSTITUTE(SUBSTITUTE(TRIM(INDEX(INDIRECT("'Выгрузка'!A208:Z208"),Настройки!$B$7)),",","."),".",MID(1/2,2,1)),"")</f>
        <v/>
      </c>
      <c r="B208">
        <f>IFERROR(--SUBSTITUTE(SUBSTITUTE(TRIM(INDEX(INDIRECT("'Выгрузка'!A208:Z208"),Настройки!$B$9)),",","."),".",MID(1/2,2,1)),"")</f>
        <v/>
      </c>
      <c r="C208">
        <f>TRIM(INDEX(INDIRECT("'Выгрузка'!A208:Z208"),Настройки!$B$8)&amp;"")</f>
        <v/>
      </c>
      <c r="D208">
        <f>IFERROR(--SUBSTITUTE(SUBSTITUTE(TRIM(INDEX(INDIRECT("'Выгрузка'!A208:Z208"),Настройки!$B$10)),",","."),".",MID(1/2,2,1)),"")</f>
        <v/>
      </c>
      <c r="E208">
        <f>IFERROR(--SUBSTITUTE(SUBSTITUTE(TRIM(INDEX(INDIRECT("'Выгрузка'!A208:Z208"),Настройки!$B$11)),",","."),".",MID(1/2,2,1)),"")</f>
        <v/>
      </c>
      <c r="F208">
        <f>TRIM(INDEX(INDIRECT("'Выгрузка'!A208:Z208"),Настройки!$B$12)&amp;"")</f>
        <v/>
      </c>
      <c r="G208">
        <f>IF(F208="",0,IF(TRIM(INDEX(INDIRECT("'Выгрузка'!A208:Z208"),Настройки!$B$13)&amp;"")="",1,IFERROR(--SUBSTITUTE(SUBSTITUTE(TRIM(INDEX(INDIRECT("'Выгрузка'!A208:Z208"),Настройки!$B$13)),",","."),".",MID(1/2,2,1)),"")))</f>
        <v/>
      </c>
      <c r="H208">
        <f>IF(F208="",0,IF(COUNTIF(Настройки!$B$17:$B$26,F208)&gt;0,1,IF(COUNTIF(Настройки!$C$17:$C$26,F208)&gt;0,2,IF(COUNTIF(Настройки!$D$17:$D$26,F208)&gt;0,3,0))))</f>
        <v/>
      </c>
      <c r="I208">
        <f>IF(AND(ISNUMBER(A208),ISNUMBER(B208)),A208*1000+B208,"")</f>
        <v/>
      </c>
      <c r="J208">
        <f>IF(I208="","",IF(COUNTIF(I$2:I208,I208)=1,MAX(J$1:J207)+1,""))</f>
        <v/>
      </c>
    </row>
    <row r="209">
      <c r="A209">
        <f>IFERROR(--SUBSTITUTE(SUBSTITUTE(TRIM(INDEX(INDIRECT("'Выгрузка'!A209:Z209"),Настройки!$B$7)),",","."),".",MID(1/2,2,1)),"")</f>
        <v/>
      </c>
      <c r="B209">
        <f>IFERROR(--SUBSTITUTE(SUBSTITUTE(TRIM(INDEX(INDIRECT("'Выгрузка'!A209:Z209"),Настройки!$B$9)),",","."),".",MID(1/2,2,1)),"")</f>
        <v/>
      </c>
      <c r="C209">
        <f>TRIM(INDEX(INDIRECT("'Выгрузка'!A209:Z209"),Настройки!$B$8)&amp;"")</f>
        <v/>
      </c>
      <c r="D209">
        <f>IFERROR(--SUBSTITUTE(SUBSTITUTE(TRIM(INDEX(INDIRECT("'Выгрузка'!A209:Z209"),Настройки!$B$10)),",","."),".",MID(1/2,2,1)),"")</f>
        <v/>
      </c>
      <c r="E209">
        <f>IFERROR(--SUBSTITUTE(SUBSTITUTE(TRIM(INDEX(INDIRECT("'Выгрузка'!A209:Z209"),Настройки!$B$11)),",","."),".",MID(1/2,2,1)),"")</f>
        <v/>
      </c>
      <c r="F209">
        <f>TRIM(INDEX(INDIRECT("'Выгрузка'!A209:Z209"),Настройки!$B$12)&amp;"")</f>
        <v/>
      </c>
      <c r="G209">
        <f>IF(F209="",0,IF(TRIM(INDEX(INDIRECT("'Выгрузка'!A209:Z209"),Настройки!$B$13)&amp;"")="",1,IFERROR(--SUBSTITUTE(SUBSTITUTE(TRIM(INDEX(INDIRECT("'Выгрузка'!A209:Z209"),Настройки!$B$13)),",","."),".",MID(1/2,2,1)),"")))</f>
        <v/>
      </c>
      <c r="H209">
        <f>IF(F209="",0,IF(COUNTIF(Настройки!$B$17:$B$26,F209)&gt;0,1,IF(COUNTIF(Настройки!$C$17:$C$26,F209)&gt;0,2,IF(COUNTIF(Настройки!$D$17:$D$26,F209)&gt;0,3,0))))</f>
        <v/>
      </c>
      <c r="I209">
        <f>IF(AND(ISNUMBER(A209),ISNUMBER(B209)),A209*1000+B209,"")</f>
        <v/>
      </c>
      <c r="J209">
        <f>IF(I209="","",IF(COUNTIF(I$2:I209,I209)=1,MAX(J$1:J208)+1,""))</f>
        <v/>
      </c>
    </row>
    <row r="210">
      <c r="A210">
        <f>IFERROR(--SUBSTITUTE(SUBSTITUTE(TRIM(INDEX(INDIRECT("'Выгрузка'!A210:Z210"),Настройки!$B$7)),",","."),".",MID(1/2,2,1)),"")</f>
        <v/>
      </c>
      <c r="B210">
        <f>IFERROR(--SUBSTITUTE(SUBSTITUTE(TRIM(INDEX(INDIRECT("'Выгрузка'!A210:Z210"),Настройки!$B$9)),",","."),".",MID(1/2,2,1)),"")</f>
        <v/>
      </c>
      <c r="C210">
        <f>TRIM(INDEX(INDIRECT("'Выгрузка'!A210:Z210"),Настройки!$B$8)&amp;"")</f>
        <v/>
      </c>
      <c r="D210">
        <f>IFERROR(--SUBSTITUTE(SUBSTITUTE(TRIM(INDEX(INDIRECT("'Выгрузка'!A210:Z210"),Настройки!$B$10)),",","."),".",MID(1/2,2,1)),"")</f>
        <v/>
      </c>
      <c r="E210">
        <f>IFERROR(--SUBSTITUTE(SUBSTITUTE(TRIM(INDEX(INDIRECT("'Выгрузка'!A210:Z210"),Настройки!$B$11)),",","."),".",MID(1/2,2,1)),"")</f>
        <v/>
      </c>
      <c r="F210">
        <f>TRIM(INDEX(INDIRECT("'Выгрузка'!A210:Z210"),Настройки!$B$12)&amp;"")</f>
        <v/>
      </c>
      <c r="G210">
        <f>IF(F210="",0,IF(TRIM(INDEX(INDIRECT("'Выгрузка'!A210:Z210"),Настройки!$B$13)&amp;"")="",1,IFERROR(--SUBSTITUTE(SUBSTITUTE(TRIM(INDEX(INDIRECT("'Выгрузка'!A210:Z210"),Настройки!$B$13)),",","."),".",MID(1/2,2,1)),"")))</f>
        <v/>
      </c>
      <c r="H210">
        <f>IF(F210="",0,IF(COUNTIF(Настройки!$B$17:$B$26,F210)&gt;0,1,IF(COUNTIF(Настройки!$C$17:$C$26,F210)&gt;0,2,IF(COUNTIF(Настройки!$D$17:$D$26,F210)&gt;0,3,0))))</f>
        <v/>
      </c>
      <c r="I210">
        <f>IF(AND(ISNUMBER(A210),ISNUMBER(B210)),A210*1000+B210,"")</f>
        <v/>
      </c>
      <c r="J210">
        <f>IF(I210="","",IF(COUNTIF(I$2:I210,I210)=1,MAX(J$1:J209)+1,""))</f>
        <v/>
      </c>
    </row>
    <row r="211">
      <c r="A211">
        <f>IFERROR(--SUBSTITUTE(SUBSTITUTE(TRIM(INDEX(INDIRECT("'Выгрузка'!A211:Z211"),Настройки!$B$7)),",","."),".",MID(1/2,2,1)),"")</f>
        <v/>
      </c>
      <c r="B211">
        <f>IFERROR(--SUBSTITUTE(SUBSTITUTE(TRIM(INDEX(INDIRECT("'Выгрузка'!A211:Z211"),Настройки!$B$9)),",","."),".",MID(1/2,2,1)),"")</f>
        <v/>
      </c>
      <c r="C211">
        <f>TRIM(INDEX(INDIRECT("'Выгрузка'!A211:Z211"),Настройки!$B$8)&amp;"")</f>
        <v/>
      </c>
      <c r="D211">
        <f>IFERROR(--SUBSTITUTE(SUBSTITUTE(TRIM(INDEX(INDIRECT("'Выгрузка'!A211:Z211"),Настройки!$B$10)),",","."),".",MID(1/2,2,1)),"")</f>
        <v/>
      </c>
      <c r="E211">
        <f>IFERROR(--SUBSTITUTE(SUBSTITUTE(TRIM(INDEX(INDIRECT("'Выгрузка'!A211:Z211"),Настройки!$B$11)),",","."),".",MID(1/2,2,1)),"")</f>
        <v/>
      </c>
      <c r="F211">
        <f>TRIM(INDEX(INDIRECT("'Выгрузка'!A211:Z211"),Настройки!$B$12)&amp;"")</f>
        <v/>
      </c>
      <c r="G211">
        <f>IF(F211="",0,IF(TRIM(INDEX(INDIRECT("'Выгрузка'!A211:Z211"),Настройки!$B$13)&amp;"")="",1,IFERROR(--SUBSTITUTE(SUBSTITUTE(TRIM(INDEX(INDIRECT("'Выгрузка'!A211:Z211"),Настройки!$B$13)),",","."),".",MID(1/2,2,1)),"")))</f>
        <v/>
      </c>
      <c r="H211">
        <f>IF(F211="",0,IF(COUNTIF(Настройки!$B$17:$B$26,F211)&gt;0,1,IF(COUNTIF(Настройки!$C$17:$C$26,F211)&gt;0,2,IF(COUNTIF(Настройки!$D$17:$D$26,F211)&gt;0,3,0))))</f>
        <v/>
      </c>
      <c r="I211">
        <f>IF(AND(ISNUMBER(A211),ISNUMBER(B211)),A211*1000+B211,"")</f>
        <v/>
      </c>
      <c r="J211">
        <f>IF(I211="","",IF(COUNTIF(I$2:I211,I211)=1,MAX(J$1:J210)+1,""))</f>
        <v/>
      </c>
    </row>
    <row r="212">
      <c r="A212">
        <f>IFERROR(--SUBSTITUTE(SUBSTITUTE(TRIM(INDEX(INDIRECT("'Выгрузка'!A212:Z212"),Настройки!$B$7)),",","."),".",MID(1/2,2,1)),"")</f>
        <v/>
      </c>
      <c r="B212">
        <f>IFERROR(--SUBSTITUTE(SUBSTITUTE(TRIM(INDEX(INDIRECT("'Выгрузка'!A212:Z212"),Настройки!$B$9)),",","."),".",MID(1/2,2,1)),"")</f>
        <v/>
      </c>
      <c r="C212">
        <f>TRIM(INDEX(INDIRECT("'Выгрузка'!A212:Z212"),Настройки!$B$8)&amp;"")</f>
        <v/>
      </c>
      <c r="D212">
        <f>IFERROR(--SUBSTITUTE(SUBSTITUTE(TRIM(INDEX(INDIRECT("'Выгрузка'!A212:Z212"),Настройки!$B$10)),",","."),".",MID(1/2,2,1)),"")</f>
        <v/>
      </c>
      <c r="E212">
        <f>IFERROR(--SUBSTITUTE(SUBSTITUTE(TRIM(INDEX(INDIRECT("'Выгрузка'!A212:Z212"),Настройки!$B$11)),",","."),".",MID(1/2,2,1)),"")</f>
        <v/>
      </c>
      <c r="F212">
        <f>TRIM(INDEX(INDIRECT("'Выгрузка'!A212:Z212"),Настройки!$B$12)&amp;"")</f>
        <v/>
      </c>
      <c r="G212">
        <f>IF(F212="",0,IF(TRIM(INDEX(INDIRECT("'Выгрузка'!A212:Z212"),Настройки!$B$13)&amp;"")="",1,IFERROR(--SUBSTITUTE(SUBSTITUTE(TRIM(INDEX(INDIRECT("'Выгрузка'!A212:Z212"),Настройки!$B$13)),",","."),".",MID(1/2,2,1)),"")))</f>
        <v/>
      </c>
      <c r="H212">
        <f>IF(F212="",0,IF(COUNTIF(Настройки!$B$17:$B$26,F212)&gt;0,1,IF(COUNTIF(Настройки!$C$17:$C$26,F212)&gt;0,2,IF(COUNTIF(Настройки!$D$17:$D$26,F212)&gt;0,3,0))))</f>
        <v/>
      </c>
      <c r="I212">
        <f>IF(AND(ISNUMBER(A212),ISNUMBER(B212)),A212*1000+B212,"")</f>
        <v/>
      </c>
      <c r="J212">
        <f>IF(I212="","",IF(COUNTIF(I$2:I212,I212)=1,MAX(J$1:J211)+1,""))</f>
        <v/>
      </c>
    </row>
    <row r="213">
      <c r="A213">
        <f>IFERROR(--SUBSTITUTE(SUBSTITUTE(TRIM(INDEX(INDIRECT("'Выгрузка'!A213:Z213"),Настройки!$B$7)),",","."),".",MID(1/2,2,1)),"")</f>
        <v/>
      </c>
      <c r="B213">
        <f>IFERROR(--SUBSTITUTE(SUBSTITUTE(TRIM(INDEX(INDIRECT("'Выгрузка'!A213:Z213"),Настройки!$B$9)),",","."),".",MID(1/2,2,1)),"")</f>
        <v/>
      </c>
      <c r="C213">
        <f>TRIM(INDEX(INDIRECT("'Выгрузка'!A213:Z213"),Настройки!$B$8)&amp;"")</f>
        <v/>
      </c>
      <c r="D213">
        <f>IFERROR(--SUBSTITUTE(SUBSTITUTE(TRIM(INDEX(INDIRECT("'Выгрузка'!A213:Z213"),Настройки!$B$10)),",","."),".",MID(1/2,2,1)),"")</f>
        <v/>
      </c>
      <c r="E213">
        <f>IFERROR(--SUBSTITUTE(SUBSTITUTE(TRIM(INDEX(INDIRECT("'Выгрузка'!A213:Z213"),Настройки!$B$11)),",","."),".",MID(1/2,2,1)),"")</f>
        <v/>
      </c>
      <c r="F213">
        <f>TRIM(INDEX(INDIRECT("'Выгрузка'!A213:Z213"),Настройки!$B$12)&amp;"")</f>
        <v/>
      </c>
      <c r="G213">
        <f>IF(F213="",0,IF(TRIM(INDEX(INDIRECT("'Выгрузка'!A213:Z213"),Настройки!$B$13)&amp;"")="",1,IFERROR(--SUBSTITUTE(SUBSTITUTE(TRIM(INDEX(INDIRECT("'Выгрузка'!A213:Z213"),Настройки!$B$13)),",","."),".",MID(1/2,2,1)),"")))</f>
        <v/>
      </c>
      <c r="H213">
        <f>IF(F213="",0,IF(COUNTIF(Настройки!$B$17:$B$26,F213)&gt;0,1,IF(COUNTIF(Настройки!$C$17:$C$26,F213)&gt;0,2,IF(COUNTIF(Настройки!$D$17:$D$26,F213)&gt;0,3,0))))</f>
        <v/>
      </c>
      <c r="I213">
        <f>IF(AND(ISNUMBER(A213),ISNUMBER(B213)),A213*1000+B213,"")</f>
        <v/>
      </c>
      <c r="J213">
        <f>IF(I213="","",IF(COUNTIF(I$2:I213,I213)=1,MAX(J$1:J212)+1,""))</f>
        <v/>
      </c>
    </row>
    <row r="214">
      <c r="A214">
        <f>IFERROR(--SUBSTITUTE(SUBSTITUTE(TRIM(INDEX(INDIRECT("'Выгрузка'!A214:Z214"),Настройки!$B$7)),",","."),".",MID(1/2,2,1)),"")</f>
        <v/>
      </c>
      <c r="B214">
        <f>IFERROR(--SUBSTITUTE(SUBSTITUTE(TRIM(INDEX(INDIRECT("'Выгрузка'!A214:Z214"),Настройки!$B$9)),",","."),".",MID(1/2,2,1)),"")</f>
        <v/>
      </c>
      <c r="C214">
        <f>TRIM(INDEX(INDIRECT("'Выгрузка'!A214:Z214"),Настройки!$B$8)&amp;"")</f>
        <v/>
      </c>
      <c r="D214">
        <f>IFERROR(--SUBSTITUTE(SUBSTITUTE(TRIM(INDEX(INDIRECT("'Выгрузка'!A214:Z214"),Настройки!$B$10)),",","."),".",MID(1/2,2,1)),"")</f>
        <v/>
      </c>
      <c r="E214">
        <f>IFERROR(--SUBSTITUTE(SUBSTITUTE(TRIM(INDEX(INDIRECT("'Выгрузка'!A214:Z214"),Настройки!$B$11)),",","."),".",MID(1/2,2,1)),"")</f>
        <v/>
      </c>
      <c r="F214">
        <f>TRIM(INDEX(INDIRECT("'Выгрузка'!A214:Z214"),Настройки!$B$12)&amp;"")</f>
        <v/>
      </c>
      <c r="G214">
        <f>IF(F214="",0,IF(TRIM(INDEX(INDIRECT("'Выгрузка'!A214:Z214"),Настройки!$B$13)&amp;"")="",1,IFERROR(--SUBSTITUTE(SUBSTITUTE(TRIM(INDEX(INDIRECT("'Выгрузка'!A214:Z214"),Настройки!$B$13)),",","."),".",MID(1/2,2,1)),"")))</f>
        <v/>
      </c>
      <c r="H214">
        <f>IF(F214="",0,IF(COUNTIF(Настройки!$B$17:$B$26,F214)&gt;0,1,IF(COUNTIF(Настройки!$C$17:$C$26,F214)&gt;0,2,IF(COUNTIF(Настройки!$D$17:$D$26,F214)&gt;0,3,0))))</f>
        <v/>
      </c>
      <c r="I214">
        <f>IF(AND(ISNUMBER(A214),ISNUMBER(B214)),A214*1000+B214,"")</f>
        <v/>
      </c>
      <c r="J214">
        <f>IF(I214="","",IF(COUNTIF(I$2:I214,I214)=1,MAX(J$1:J213)+1,""))</f>
        <v/>
      </c>
    </row>
    <row r="215">
      <c r="A215">
        <f>IFERROR(--SUBSTITUTE(SUBSTITUTE(TRIM(INDEX(INDIRECT("'Выгрузка'!A215:Z215"),Настройки!$B$7)),",","."),".",MID(1/2,2,1)),"")</f>
        <v/>
      </c>
      <c r="B215">
        <f>IFERROR(--SUBSTITUTE(SUBSTITUTE(TRIM(INDEX(INDIRECT("'Выгрузка'!A215:Z215"),Настройки!$B$9)),",","."),".",MID(1/2,2,1)),"")</f>
        <v/>
      </c>
      <c r="C215">
        <f>TRIM(INDEX(INDIRECT("'Выгрузка'!A215:Z215"),Настройки!$B$8)&amp;"")</f>
        <v/>
      </c>
      <c r="D215">
        <f>IFERROR(--SUBSTITUTE(SUBSTITUTE(TRIM(INDEX(INDIRECT("'Выгрузка'!A215:Z215"),Настройки!$B$10)),",","."),".",MID(1/2,2,1)),"")</f>
        <v/>
      </c>
      <c r="E215">
        <f>IFERROR(--SUBSTITUTE(SUBSTITUTE(TRIM(INDEX(INDIRECT("'Выгрузка'!A215:Z215"),Настройки!$B$11)),",","."),".",MID(1/2,2,1)),"")</f>
        <v/>
      </c>
      <c r="F215">
        <f>TRIM(INDEX(INDIRECT("'Выгрузка'!A215:Z215"),Настройки!$B$12)&amp;"")</f>
        <v/>
      </c>
      <c r="G215">
        <f>IF(F215="",0,IF(TRIM(INDEX(INDIRECT("'Выгрузка'!A215:Z215"),Настройки!$B$13)&amp;"")="",1,IFERROR(--SUBSTITUTE(SUBSTITUTE(TRIM(INDEX(INDIRECT("'Выгрузка'!A215:Z215"),Настройки!$B$13)),",","."),".",MID(1/2,2,1)),"")))</f>
        <v/>
      </c>
      <c r="H215">
        <f>IF(F215="",0,IF(COUNTIF(Настройки!$B$17:$B$26,F215)&gt;0,1,IF(COUNTIF(Настройки!$C$17:$C$26,F215)&gt;0,2,IF(COUNTIF(Настройки!$D$17:$D$26,F215)&gt;0,3,0))))</f>
        <v/>
      </c>
      <c r="I215">
        <f>IF(AND(ISNUMBER(A215),ISNUMBER(B215)),A215*1000+B215,"")</f>
        <v/>
      </c>
      <c r="J215">
        <f>IF(I215="","",IF(COUNTIF(I$2:I215,I215)=1,MAX(J$1:J214)+1,""))</f>
        <v/>
      </c>
    </row>
    <row r="216">
      <c r="A216">
        <f>IFERROR(--SUBSTITUTE(SUBSTITUTE(TRIM(INDEX(INDIRECT("'Выгрузка'!A216:Z216"),Настройки!$B$7)),",","."),".",MID(1/2,2,1)),"")</f>
        <v/>
      </c>
      <c r="B216">
        <f>IFERROR(--SUBSTITUTE(SUBSTITUTE(TRIM(INDEX(INDIRECT("'Выгрузка'!A216:Z216"),Настройки!$B$9)),",","."),".",MID(1/2,2,1)),"")</f>
        <v/>
      </c>
      <c r="C216">
        <f>TRIM(INDEX(INDIRECT("'Выгрузка'!A216:Z216"),Настройки!$B$8)&amp;"")</f>
        <v/>
      </c>
      <c r="D216">
        <f>IFERROR(--SUBSTITUTE(SUBSTITUTE(TRIM(INDEX(INDIRECT("'Выгрузка'!A216:Z216"),Настройки!$B$10)),",","."),".",MID(1/2,2,1)),"")</f>
        <v/>
      </c>
      <c r="E216">
        <f>IFERROR(--SUBSTITUTE(SUBSTITUTE(TRIM(INDEX(INDIRECT("'Выгрузка'!A216:Z216"),Настройки!$B$11)),",","."),".",MID(1/2,2,1)),"")</f>
        <v/>
      </c>
      <c r="F216">
        <f>TRIM(INDEX(INDIRECT("'Выгрузка'!A216:Z216"),Настройки!$B$12)&amp;"")</f>
        <v/>
      </c>
      <c r="G216">
        <f>IF(F216="",0,IF(TRIM(INDEX(INDIRECT("'Выгрузка'!A216:Z216"),Настройки!$B$13)&amp;"")="",1,IFERROR(--SUBSTITUTE(SUBSTITUTE(TRIM(INDEX(INDIRECT("'Выгрузка'!A216:Z216"),Настройки!$B$13)),",","."),".",MID(1/2,2,1)),"")))</f>
        <v/>
      </c>
      <c r="H216">
        <f>IF(F216="",0,IF(COUNTIF(Настройки!$B$17:$B$26,F216)&gt;0,1,IF(COUNTIF(Настройки!$C$17:$C$26,F216)&gt;0,2,IF(COUNTIF(Настройки!$D$17:$D$26,F216)&gt;0,3,0))))</f>
        <v/>
      </c>
      <c r="I216">
        <f>IF(AND(ISNUMBER(A216),ISNUMBER(B216)),A216*1000+B216,"")</f>
        <v/>
      </c>
      <c r="J216">
        <f>IF(I216="","",IF(COUNTIF(I$2:I216,I216)=1,MAX(J$1:J215)+1,""))</f>
        <v/>
      </c>
    </row>
    <row r="217">
      <c r="A217">
        <f>IFERROR(--SUBSTITUTE(SUBSTITUTE(TRIM(INDEX(INDIRECT("'Выгрузка'!A217:Z217"),Настройки!$B$7)),",","."),".",MID(1/2,2,1)),"")</f>
        <v/>
      </c>
      <c r="B217">
        <f>IFERROR(--SUBSTITUTE(SUBSTITUTE(TRIM(INDEX(INDIRECT("'Выгрузка'!A217:Z217"),Настройки!$B$9)),",","."),".",MID(1/2,2,1)),"")</f>
        <v/>
      </c>
      <c r="C217">
        <f>TRIM(INDEX(INDIRECT("'Выгрузка'!A217:Z217"),Настройки!$B$8)&amp;"")</f>
        <v/>
      </c>
      <c r="D217">
        <f>IFERROR(--SUBSTITUTE(SUBSTITUTE(TRIM(INDEX(INDIRECT("'Выгрузка'!A217:Z217"),Настройки!$B$10)),",","."),".",MID(1/2,2,1)),"")</f>
        <v/>
      </c>
      <c r="E217">
        <f>IFERROR(--SUBSTITUTE(SUBSTITUTE(TRIM(INDEX(INDIRECT("'Выгрузка'!A217:Z217"),Настройки!$B$11)),",","."),".",MID(1/2,2,1)),"")</f>
        <v/>
      </c>
      <c r="F217">
        <f>TRIM(INDEX(INDIRECT("'Выгрузка'!A217:Z217"),Настройки!$B$12)&amp;"")</f>
        <v/>
      </c>
      <c r="G217">
        <f>IF(F217="",0,IF(TRIM(INDEX(INDIRECT("'Выгрузка'!A217:Z217"),Настройки!$B$13)&amp;"")="",1,IFERROR(--SUBSTITUTE(SUBSTITUTE(TRIM(INDEX(INDIRECT("'Выгрузка'!A217:Z217"),Настройки!$B$13)),",","."),".",MID(1/2,2,1)),"")))</f>
        <v/>
      </c>
      <c r="H217">
        <f>IF(F217="",0,IF(COUNTIF(Настройки!$B$17:$B$26,F217)&gt;0,1,IF(COUNTIF(Настройки!$C$17:$C$26,F217)&gt;0,2,IF(COUNTIF(Настройки!$D$17:$D$26,F217)&gt;0,3,0))))</f>
        <v/>
      </c>
      <c r="I217">
        <f>IF(AND(ISNUMBER(A217),ISNUMBER(B217)),A217*1000+B217,"")</f>
        <v/>
      </c>
      <c r="J217">
        <f>IF(I217="","",IF(COUNTIF(I$2:I217,I217)=1,MAX(J$1:J216)+1,""))</f>
        <v/>
      </c>
    </row>
    <row r="218">
      <c r="A218">
        <f>IFERROR(--SUBSTITUTE(SUBSTITUTE(TRIM(INDEX(INDIRECT("'Выгрузка'!A218:Z218"),Настройки!$B$7)),",","."),".",MID(1/2,2,1)),"")</f>
        <v/>
      </c>
      <c r="B218">
        <f>IFERROR(--SUBSTITUTE(SUBSTITUTE(TRIM(INDEX(INDIRECT("'Выгрузка'!A218:Z218"),Настройки!$B$9)),",","."),".",MID(1/2,2,1)),"")</f>
        <v/>
      </c>
      <c r="C218">
        <f>TRIM(INDEX(INDIRECT("'Выгрузка'!A218:Z218"),Настройки!$B$8)&amp;"")</f>
        <v/>
      </c>
      <c r="D218">
        <f>IFERROR(--SUBSTITUTE(SUBSTITUTE(TRIM(INDEX(INDIRECT("'Выгрузка'!A218:Z218"),Настройки!$B$10)),",","."),".",MID(1/2,2,1)),"")</f>
        <v/>
      </c>
      <c r="E218">
        <f>IFERROR(--SUBSTITUTE(SUBSTITUTE(TRIM(INDEX(INDIRECT("'Выгрузка'!A218:Z218"),Настройки!$B$11)),",","."),".",MID(1/2,2,1)),"")</f>
        <v/>
      </c>
      <c r="F218">
        <f>TRIM(INDEX(INDIRECT("'Выгрузка'!A218:Z218"),Настройки!$B$12)&amp;"")</f>
        <v/>
      </c>
      <c r="G218">
        <f>IF(F218="",0,IF(TRIM(INDEX(INDIRECT("'Выгрузка'!A218:Z218"),Настройки!$B$13)&amp;"")="",1,IFERROR(--SUBSTITUTE(SUBSTITUTE(TRIM(INDEX(INDIRECT("'Выгрузка'!A218:Z218"),Настройки!$B$13)),",","."),".",MID(1/2,2,1)),"")))</f>
        <v/>
      </c>
      <c r="H218">
        <f>IF(F218="",0,IF(COUNTIF(Настройки!$B$17:$B$26,F218)&gt;0,1,IF(COUNTIF(Настройки!$C$17:$C$26,F218)&gt;0,2,IF(COUNTIF(Настройки!$D$17:$D$26,F218)&gt;0,3,0))))</f>
        <v/>
      </c>
      <c r="I218">
        <f>IF(AND(ISNUMBER(A218),ISNUMBER(B218)),A218*1000+B218,"")</f>
        <v/>
      </c>
      <c r="J218">
        <f>IF(I218="","",IF(COUNTIF(I$2:I218,I218)=1,MAX(J$1:J217)+1,""))</f>
        <v/>
      </c>
    </row>
    <row r="219">
      <c r="A219">
        <f>IFERROR(--SUBSTITUTE(SUBSTITUTE(TRIM(INDEX(INDIRECT("'Выгрузка'!A219:Z219"),Настройки!$B$7)),",","."),".",MID(1/2,2,1)),"")</f>
        <v/>
      </c>
      <c r="B219">
        <f>IFERROR(--SUBSTITUTE(SUBSTITUTE(TRIM(INDEX(INDIRECT("'Выгрузка'!A219:Z219"),Настройки!$B$9)),",","."),".",MID(1/2,2,1)),"")</f>
        <v/>
      </c>
      <c r="C219">
        <f>TRIM(INDEX(INDIRECT("'Выгрузка'!A219:Z219"),Настройки!$B$8)&amp;"")</f>
        <v/>
      </c>
      <c r="D219">
        <f>IFERROR(--SUBSTITUTE(SUBSTITUTE(TRIM(INDEX(INDIRECT("'Выгрузка'!A219:Z219"),Настройки!$B$10)),",","."),".",MID(1/2,2,1)),"")</f>
        <v/>
      </c>
      <c r="E219">
        <f>IFERROR(--SUBSTITUTE(SUBSTITUTE(TRIM(INDEX(INDIRECT("'Выгрузка'!A219:Z219"),Настройки!$B$11)),",","."),".",MID(1/2,2,1)),"")</f>
        <v/>
      </c>
      <c r="F219">
        <f>TRIM(INDEX(INDIRECT("'Выгрузка'!A219:Z219"),Настройки!$B$12)&amp;"")</f>
        <v/>
      </c>
      <c r="G219">
        <f>IF(F219="",0,IF(TRIM(INDEX(INDIRECT("'Выгрузка'!A219:Z219"),Настройки!$B$13)&amp;"")="",1,IFERROR(--SUBSTITUTE(SUBSTITUTE(TRIM(INDEX(INDIRECT("'Выгрузка'!A219:Z219"),Настройки!$B$13)),",","."),".",MID(1/2,2,1)),"")))</f>
        <v/>
      </c>
      <c r="H219">
        <f>IF(F219="",0,IF(COUNTIF(Настройки!$B$17:$B$26,F219)&gt;0,1,IF(COUNTIF(Настройки!$C$17:$C$26,F219)&gt;0,2,IF(COUNTIF(Настройки!$D$17:$D$26,F219)&gt;0,3,0))))</f>
        <v/>
      </c>
      <c r="I219">
        <f>IF(AND(ISNUMBER(A219),ISNUMBER(B219)),A219*1000+B219,"")</f>
        <v/>
      </c>
      <c r="J219">
        <f>IF(I219="","",IF(COUNTIF(I$2:I219,I219)=1,MAX(J$1:J218)+1,""))</f>
        <v/>
      </c>
    </row>
    <row r="220">
      <c r="A220">
        <f>IFERROR(--SUBSTITUTE(SUBSTITUTE(TRIM(INDEX(INDIRECT("'Выгрузка'!A220:Z220"),Настройки!$B$7)),",","."),".",MID(1/2,2,1)),"")</f>
        <v/>
      </c>
      <c r="B220">
        <f>IFERROR(--SUBSTITUTE(SUBSTITUTE(TRIM(INDEX(INDIRECT("'Выгрузка'!A220:Z220"),Настройки!$B$9)),",","."),".",MID(1/2,2,1)),"")</f>
        <v/>
      </c>
      <c r="C220">
        <f>TRIM(INDEX(INDIRECT("'Выгрузка'!A220:Z220"),Настройки!$B$8)&amp;"")</f>
        <v/>
      </c>
      <c r="D220">
        <f>IFERROR(--SUBSTITUTE(SUBSTITUTE(TRIM(INDEX(INDIRECT("'Выгрузка'!A220:Z220"),Настройки!$B$10)),",","."),".",MID(1/2,2,1)),"")</f>
        <v/>
      </c>
      <c r="E220">
        <f>IFERROR(--SUBSTITUTE(SUBSTITUTE(TRIM(INDEX(INDIRECT("'Выгрузка'!A220:Z220"),Настройки!$B$11)),",","."),".",MID(1/2,2,1)),"")</f>
        <v/>
      </c>
      <c r="F220">
        <f>TRIM(INDEX(INDIRECT("'Выгрузка'!A220:Z220"),Настройки!$B$12)&amp;"")</f>
        <v/>
      </c>
      <c r="G220">
        <f>IF(F220="",0,IF(TRIM(INDEX(INDIRECT("'Выгрузка'!A220:Z220"),Настройки!$B$13)&amp;"")="",1,IFERROR(--SUBSTITUTE(SUBSTITUTE(TRIM(INDEX(INDIRECT("'Выгрузка'!A220:Z220"),Настройки!$B$13)),",","."),".",MID(1/2,2,1)),"")))</f>
        <v/>
      </c>
      <c r="H220">
        <f>IF(F220="",0,IF(COUNTIF(Настройки!$B$17:$B$26,F220)&gt;0,1,IF(COUNTIF(Настройки!$C$17:$C$26,F220)&gt;0,2,IF(COUNTIF(Настройки!$D$17:$D$26,F220)&gt;0,3,0))))</f>
        <v/>
      </c>
      <c r="I220">
        <f>IF(AND(ISNUMBER(A220),ISNUMBER(B220)),A220*1000+B220,"")</f>
        <v/>
      </c>
      <c r="J220">
        <f>IF(I220="","",IF(COUNTIF(I$2:I220,I220)=1,MAX(J$1:J219)+1,""))</f>
        <v/>
      </c>
    </row>
    <row r="221">
      <c r="A221">
        <f>IFERROR(--SUBSTITUTE(SUBSTITUTE(TRIM(INDEX(INDIRECT("'Выгрузка'!A221:Z221"),Настройки!$B$7)),",","."),".",MID(1/2,2,1)),"")</f>
        <v/>
      </c>
      <c r="B221">
        <f>IFERROR(--SUBSTITUTE(SUBSTITUTE(TRIM(INDEX(INDIRECT("'Выгрузка'!A221:Z221"),Настройки!$B$9)),",","."),".",MID(1/2,2,1)),"")</f>
        <v/>
      </c>
      <c r="C221">
        <f>TRIM(INDEX(INDIRECT("'Выгрузка'!A221:Z221"),Настройки!$B$8)&amp;"")</f>
        <v/>
      </c>
      <c r="D221">
        <f>IFERROR(--SUBSTITUTE(SUBSTITUTE(TRIM(INDEX(INDIRECT("'Выгрузка'!A221:Z221"),Настройки!$B$10)),",","."),".",MID(1/2,2,1)),"")</f>
        <v/>
      </c>
      <c r="E221">
        <f>IFERROR(--SUBSTITUTE(SUBSTITUTE(TRIM(INDEX(INDIRECT("'Выгрузка'!A221:Z221"),Настройки!$B$11)),",","."),".",MID(1/2,2,1)),"")</f>
        <v/>
      </c>
      <c r="F221">
        <f>TRIM(INDEX(INDIRECT("'Выгрузка'!A221:Z221"),Настройки!$B$12)&amp;"")</f>
        <v/>
      </c>
      <c r="G221">
        <f>IF(F221="",0,IF(TRIM(INDEX(INDIRECT("'Выгрузка'!A221:Z221"),Настройки!$B$13)&amp;"")="",1,IFERROR(--SUBSTITUTE(SUBSTITUTE(TRIM(INDEX(INDIRECT("'Выгрузка'!A221:Z221"),Настройки!$B$13)),",","."),".",MID(1/2,2,1)),"")))</f>
        <v/>
      </c>
      <c r="H221">
        <f>IF(F221="",0,IF(COUNTIF(Настройки!$B$17:$B$26,F221)&gt;0,1,IF(COUNTIF(Настройки!$C$17:$C$26,F221)&gt;0,2,IF(COUNTIF(Настройки!$D$17:$D$26,F221)&gt;0,3,0))))</f>
        <v/>
      </c>
      <c r="I221">
        <f>IF(AND(ISNUMBER(A221),ISNUMBER(B221)),A221*1000+B221,"")</f>
        <v/>
      </c>
      <c r="J221">
        <f>IF(I221="","",IF(COUNTIF(I$2:I221,I221)=1,MAX(J$1:J220)+1,""))</f>
        <v/>
      </c>
    </row>
    <row r="222">
      <c r="A222">
        <f>IFERROR(--SUBSTITUTE(SUBSTITUTE(TRIM(INDEX(INDIRECT("'Выгрузка'!A222:Z222"),Настройки!$B$7)),",","."),".",MID(1/2,2,1)),"")</f>
        <v/>
      </c>
      <c r="B222">
        <f>IFERROR(--SUBSTITUTE(SUBSTITUTE(TRIM(INDEX(INDIRECT("'Выгрузка'!A222:Z222"),Настройки!$B$9)),",","."),".",MID(1/2,2,1)),"")</f>
        <v/>
      </c>
      <c r="C222">
        <f>TRIM(INDEX(INDIRECT("'Выгрузка'!A222:Z222"),Настройки!$B$8)&amp;"")</f>
        <v/>
      </c>
      <c r="D222">
        <f>IFERROR(--SUBSTITUTE(SUBSTITUTE(TRIM(INDEX(INDIRECT("'Выгрузка'!A222:Z222"),Настройки!$B$10)),",","."),".",MID(1/2,2,1)),"")</f>
        <v/>
      </c>
      <c r="E222">
        <f>IFERROR(--SUBSTITUTE(SUBSTITUTE(TRIM(INDEX(INDIRECT("'Выгрузка'!A222:Z222"),Настройки!$B$11)),",","."),".",MID(1/2,2,1)),"")</f>
        <v/>
      </c>
      <c r="F222">
        <f>TRIM(INDEX(INDIRECT("'Выгрузка'!A222:Z222"),Настройки!$B$12)&amp;"")</f>
        <v/>
      </c>
      <c r="G222">
        <f>IF(F222="",0,IF(TRIM(INDEX(INDIRECT("'Выгрузка'!A222:Z222"),Настройки!$B$13)&amp;"")="",1,IFERROR(--SUBSTITUTE(SUBSTITUTE(TRIM(INDEX(INDIRECT("'Выгрузка'!A222:Z222"),Настройки!$B$13)),",","."),".",MID(1/2,2,1)),"")))</f>
        <v/>
      </c>
      <c r="H222">
        <f>IF(F222="",0,IF(COUNTIF(Настройки!$B$17:$B$26,F222)&gt;0,1,IF(COUNTIF(Настройки!$C$17:$C$26,F222)&gt;0,2,IF(COUNTIF(Настройки!$D$17:$D$26,F222)&gt;0,3,0))))</f>
        <v/>
      </c>
      <c r="I222">
        <f>IF(AND(ISNUMBER(A222),ISNUMBER(B222)),A222*1000+B222,"")</f>
        <v/>
      </c>
      <c r="J222">
        <f>IF(I222="","",IF(COUNTIF(I$2:I222,I222)=1,MAX(J$1:J221)+1,""))</f>
        <v/>
      </c>
    </row>
    <row r="223">
      <c r="A223">
        <f>IFERROR(--SUBSTITUTE(SUBSTITUTE(TRIM(INDEX(INDIRECT("'Выгрузка'!A223:Z223"),Настройки!$B$7)),",","."),".",MID(1/2,2,1)),"")</f>
        <v/>
      </c>
      <c r="B223">
        <f>IFERROR(--SUBSTITUTE(SUBSTITUTE(TRIM(INDEX(INDIRECT("'Выгрузка'!A223:Z223"),Настройки!$B$9)),",","."),".",MID(1/2,2,1)),"")</f>
        <v/>
      </c>
      <c r="C223">
        <f>TRIM(INDEX(INDIRECT("'Выгрузка'!A223:Z223"),Настройки!$B$8)&amp;"")</f>
        <v/>
      </c>
      <c r="D223">
        <f>IFERROR(--SUBSTITUTE(SUBSTITUTE(TRIM(INDEX(INDIRECT("'Выгрузка'!A223:Z223"),Настройки!$B$10)),",","."),".",MID(1/2,2,1)),"")</f>
        <v/>
      </c>
      <c r="E223">
        <f>IFERROR(--SUBSTITUTE(SUBSTITUTE(TRIM(INDEX(INDIRECT("'Выгрузка'!A223:Z223"),Настройки!$B$11)),",","."),".",MID(1/2,2,1)),"")</f>
        <v/>
      </c>
      <c r="F223">
        <f>TRIM(INDEX(INDIRECT("'Выгрузка'!A223:Z223"),Настройки!$B$12)&amp;"")</f>
        <v/>
      </c>
      <c r="G223">
        <f>IF(F223="",0,IF(TRIM(INDEX(INDIRECT("'Выгрузка'!A223:Z223"),Настройки!$B$13)&amp;"")="",1,IFERROR(--SUBSTITUTE(SUBSTITUTE(TRIM(INDEX(INDIRECT("'Выгрузка'!A223:Z223"),Настройки!$B$13)),",","."),".",MID(1/2,2,1)),"")))</f>
        <v/>
      </c>
      <c r="H223">
        <f>IF(F223="",0,IF(COUNTIF(Настройки!$B$17:$B$26,F223)&gt;0,1,IF(COUNTIF(Настройки!$C$17:$C$26,F223)&gt;0,2,IF(COUNTIF(Настройки!$D$17:$D$26,F223)&gt;0,3,0))))</f>
        <v/>
      </c>
      <c r="I223">
        <f>IF(AND(ISNUMBER(A223),ISNUMBER(B223)),A223*1000+B223,"")</f>
        <v/>
      </c>
      <c r="J223">
        <f>IF(I223="","",IF(COUNTIF(I$2:I223,I223)=1,MAX(J$1:J222)+1,""))</f>
        <v/>
      </c>
    </row>
    <row r="224">
      <c r="A224">
        <f>IFERROR(--SUBSTITUTE(SUBSTITUTE(TRIM(INDEX(INDIRECT("'Выгрузка'!A224:Z224"),Настройки!$B$7)),",","."),".",MID(1/2,2,1)),"")</f>
        <v/>
      </c>
      <c r="B224">
        <f>IFERROR(--SUBSTITUTE(SUBSTITUTE(TRIM(INDEX(INDIRECT("'Выгрузка'!A224:Z224"),Настройки!$B$9)),",","."),".",MID(1/2,2,1)),"")</f>
        <v/>
      </c>
      <c r="C224">
        <f>TRIM(INDEX(INDIRECT("'Выгрузка'!A224:Z224"),Настройки!$B$8)&amp;"")</f>
        <v/>
      </c>
      <c r="D224">
        <f>IFERROR(--SUBSTITUTE(SUBSTITUTE(TRIM(INDEX(INDIRECT("'Выгрузка'!A224:Z224"),Настройки!$B$10)),",","."),".",MID(1/2,2,1)),"")</f>
        <v/>
      </c>
      <c r="E224">
        <f>IFERROR(--SUBSTITUTE(SUBSTITUTE(TRIM(INDEX(INDIRECT("'Выгрузка'!A224:Z224"),Настройки!$B$11)),",","."),".",MID(1/2,2,1)),"")</f>
        <v/>
      </c>
      <c r="F224">
        <f>TRIM(INDEX(INDIRECT("'Выгрузка'!A224:Z224"),Настройки!$B$12)&amp;"")</f>
        <v/>
      </c>
      <c r="G224">
        <f>IF(F224="",0,IF(TRIM(INDEX(INDIRECT("'Выгрузка'!A224:Z224"),Настройки!$B$13)&amp;"")="",1,IFERROR(--SUBSTITUTE(SUBSTITUTE(TRIM(INDEX(INDIRECT("'Выгрузка'!A224:Z224"),Настройки!$B$13)),",","."),".",MID(1/2,2,1)),"")))</f>
        <v/>
      </c>
      <c r="H224">
        <f>IF(F224="",0,IF(COUNTIF(Настройки!$B$17:$B$26,F224)&gt;0,1,IF(COUNTIF(Настройки!$C$17:$C$26,F224)&gt;0,2,IF(COUNTIF(Настройки!$D$17:$D$26,F224)&gt;0,3,0))))</f>
        <v/>
      </c>
      <c r="I224">
        <f>IF(AND(ISNUMBER(A224),ISNUMBER(B224)),A224*1000+B224,"")</f>
        <v/>
      </c>
      <c r="J224">
        <f>IF(I224="","",IF(COUNTIF(I$2:I224,I224)=1,MAX(J$1:J223)+1,""))</f>
        <v/>
      </c>
    </row>
    <row r="225">
      <c r="A225">
        <f>IFERROR(--SUBSTITUTE(SUBSTITUTE(TRIM(INDEX(INDIRECT("'Выгрузка'!A225:Z225"),Настройки!$B$7)),",","."),".",MID(1/2,2,1)),"")</f>
        <v/>
      </c>
      <c r="B225">
        <f>IFERROR(--SUBSTITUTE(SUBSTITUTE(TRIM(INDEX(INDIRECT("'Выгрузка'!A225:Z225"),Настройки!$B$9)),",","."),".",MID(1/2,2,1)),"")</f>
        <v/>
      </c>
      <c r="C225">
        <f>TRIM(INDEX(INDIRECT("'Выгрузка'!A225:Z225"),Настройки!$B$8)&amp;"")</f>
        <v/>
      </c>
      <c r="D225">
        <f>IFERROR(--SUBSTITUTE(SUBSTITUTE(TRIM(INDEX(INDIRECT("'Выгрузка'!A225:Z225"),Настройки!$B$10)),",","."),".",MID(1/2,2,1)),"")</f>
        <v/>
      </c>
      <c r="E225">
        <f>IFERROR(--SUBSTITUTE(SUBSTITUTE(TRIM(INDEX(INDIRECT("'Выгрузка'!A225:Z225"),Настройки!$B$11)),",","."),".",MID(1/2,2,1)),"")</f>
        <v/>
      </c>
      <c r="F225">
        <f>TRIM(INDEX(INDIRECT("'Выгрузка'!A225:Z225"),Настройки!$B$12)&amp;"")</f>
        <v/>
      </c>
      <c r="G225">
        <f>IF(F225="",0,IF(TRIM(INDEX(INDIRECT("'Выгрузка'!A225:Z225"),Настройки!$B$13)&amp;"")="",1,IFERROR(--SUBSTITUTE(SUBSTITUTE(TRIM(INDEX(INDIRECT("'Выгрузка'!A225:Z225"),Настройки!$B$13)),",","."),".",MID(1/2,2,1)),"")))</f>
        <v/>
      </c>
      <c r="H225">
        <f>IF(F225="",0,IF(COUNTIF(Настройки!$B$17:$B$26,F225)&gt;0,1,IF(COUNTIF(Настройки!$C$17:$C$26,F225)&gt;0,2,IF(COUNTIF(Настройки!$D$17:$D$26,F225)&gt;0,3,0))))</f>
        <v/>
      </c>
      <c r="I225">
        <f>IF(AND(ISNUMBER(A225),ISNUMBER(B225)),A225*1000+B225,"")</f>
        <v/>
      </c>
      <c r="J225">
        <f>IF(I225="","",IF(COUNTIF(I$2:I225,I225)=1,MAX(J$1:J224)+1,""))</f>
        <v/>
      </c>
    </row>
    <row r="226">
      <c r="A226">
        <f>IFERROR(--SUBSTITUTE(SUBSTITUTE(TRIM(INDEX(INDIRECT("'Выгрузка'!A226:Z226"),Настройки!$B$7)),",","."),".",MID(1/2,2,1)),"")</f>
        <v/>
      </c>
      <c r="B226">
        <f>IFERROR(--SUBSTITUTE(SUBSTITUTE(TRIM(INDEX(INDIRECT("'Выгрузка'!A226:Z226"),Настройки!$B$9)),",","."),".",MID(1/2,2,1)),"")</f>
        <v/>
      </c>
      <c r="C226">
        <f>TRIM(INDEX(INDIRECT("'Выгрузка'!A226:Z226"),Настройки!$B$8)&amp;"")</f>
        <v/>
      </c>
      <c r="D226">
        <f>IFERROR(--SUBSTITUTE(SUBSTITUTE(TRIM(INDEX(INDIRECT("'Выгрузка'!A226:Z226"),Настройки!$B$10)),",","."),".",MID(1/2,2,1)),"")</f>
        <v/>
      </c>
      <c r="E226">
        <f>IFERROR(--SUBSTITUTE(SUBSTITUTE(TRIM(INDEX(INDIRECT("'Выгрузка'!A226:Z226"),Настройки!$B$11)),",","."),".",MID(1/2,2,1)),"")</f>
        <v/>
      </c>
      <c r="F226">
        <f>TRIM(INDEX(INDIRECT("'Выгрузка'!A226:Z226"),Настройки!$B$12)&amp;"")</f>
        <v/>
      </c>
      <c r="G226">
        <f>IF(F226="",0,IF(TRIM(INDEX(INDIRECT("'Выгрузка'!A226:Z226"),Настройки!$B$13)&amp;"")="",1,IFERROR(--SUBSTITUTE(SUBSTITUTE(TRIM(INDEX(INDIRECT("'Выгрузка'!A226:Z226"),Настройки!$B$13)),",","."),".",MID(1/2,2,1)),"")))</f>
        <v/>
      </c>
      <c r="H226">
        <f>IF(F226="",0,IF(COUNTIF(Настройки!$B$17:$B$26,F226)&gt;0,1,IF(COUNTIF(Настройки!$C$17:$C$26,F226)&gt;0,2,IF(COUNTIF(Настройки!$D$17:$D$26,F226)&gt;0,3,0))))</f>
        <v/>
      </c>
      <c r="I226">
        <f>IF(AND(ISNUMBER(A226),ISNUMBER(B226)),A226*1000+B226,"")</f>
        <v/>
      </c>
      <c r="J226">
        <f>IF(I226="","",IF(COUNTIF(I$2:I226,I226)=1,MAX(J$1:J225)+1,""))</f>
        <v/>
      </c>
    </row>
    <row r="227">
      <c r="A227">
        <f>IFERROR(--SUBSTITUTE(SUBSTITUTE(TRIM(INDEX(INDIRECT("'Выгрузка'!A227:Z227"),Настройки!$B$7)),",","."),".",MID(1/2,2,1)),"")</f>
        <v/>
      </c>
      <c r="B227">
        <f>IFERROR(--SUBSTITUTE(SUBSTITUTE(TRIM(INDEX(INDIRECT("'Выгрузка'!A227:Z227"),Настройки!$B$9)),",","."),".",MID(1/2,2,1)),"")</f>
        <v/>
      </c>
      <c r="C227">
        <f>TRIM(INDEX(INDIRECT("'Выгрузка'!A227:Z227"),Настройки!$B$8)&amp;"")</f>
        <v/>
      </c>
      <c r="D227">
        <f>IFERROR(--SUBSTITUTE(SUBSTITUTE(TRIM(INDEX(INDIRECT("'Выгрузка'!A227:Z227"),Настройки!$B$10)),",","."),".",MID(1/2,2,1)),"")</f>
        <v/>
      </c>
      <c r="E227">
        <f>IFERROR(--SUBSTITUTE(SUBSTITUTE(TRIM(INDEX(INDIRECT("'Выгрузка'!A227:Z227"),Настройки!$B$11)),",","."),".",MID(1/2,2,1)),"")</f>
        <v/>
      </c>
      <c r="F227">
        <f>TRIM(INDEX(INDIRECT("'Выгрузка'!A227:Z227"),Настройки!$B$12)&amp;"")</f>
        <v/>
      </c>
      <c r="G227">
        <f>IF(F227="",0,IF(TRIM(INDEX(INDIRECT("'Выгрузка'!A227:Z227"),Настройки!$B$13)&amp;"")="",1,IFERROR(--SUBSTITUTE(SUBSTITUTE(TRIM(INDEX(INDIRECT("'Выгрузка'!A227:Z227"),Настройки!$B$13)),",","."),".",MID(1/2,2,1)),"")))</f>
        <v/>
      </c>
      <c r="H227">
        <f>IF(F227="",0,IF(COUNTIF(Настройки!$B$17:$B$26,F227)&gt;0,1,IF(COUNTIF(Настройки!$C$17:$C$26,F227)&gt;0,2,IF(COUNTIF(Настройки!$D$17:$D$26,F227)&gt;0,3,0))))</f>
        <v/>
      </c>
      <c r="I227">
        <f>IF(AND(ISNUMBER(A227),ISNUMBER(B227)),A227*1000+B227,"")</f>
        <v/>
      </c>
      <c r="J227">
        <f>IF(I227="","",IF(COUNTIF(I$2:I227,I227)=1,MAX(J$1:J226)+1,""))</f>
        <v/>
      </c>
    </row>
    <row r="228">
      <c r="A228">
        <f>IFERROR(--SUBSTITUTE(SUBSTITUTE(TRIM(INDEX(INDIRECT("'Выгрузка'!A228:Z228"),Настройки!$B$7)),",","."),".",MID(1/2,2,1)),"")</f>
        <v/>
      </c>
      <c r="B228">
        <f>IFERROR(--SUBSTITUTE(SUBSTITUTE(TRIM(INDEX(INDIRECT("'Выгрузка'!A228:Z228"),Настройки!$B$9)),",","."),".",MID(1/2,2,1)),"")</f>
        <v/>
      </c>
      <c r="C228">
        <f>TRIM(INDEX(INDIRECT("'Выгрузка'!A228:Z228"),Настройки!$B$8)&amp;"")</f>
        <v/>
      </c>
      <c r="D228">
        <f>IFERROR(--SUBSTITUTE(SUBSTITUTE(TRIM(INDEX(INDIRECT("'Выгрузка'!A228:Z228"),Настройки!$B$10)),",","."),".",MID(1/2,2,1)),"")</f>
        <v/>
      </c>
      <c r="E228">
        <f>IFERROR(--SUBSTITUTE(SUBSTITUTE(TRIM(INDEX(INDIRECT("'Выгрузка'!A228:Z228"),Настройки!$B$11)),",","."),".",MID(1/2,2,1)),"")</f>
        <v/>
      </c>
      <c r="F228">
        <f>TRIM(INDEX(INDIRECT("'Выгрузка'!A228:Z228"),Настройки!$B$12)&amp;"")</f>
        <v/>
      </c>
      <c r="G228">
        <f>IF(F228="",0,IF(TRIM(INDEX(INDIRECT("'Выгрузка'!A228:Z228"),Настройки!$B$13)&amp;"")="",1,IFERROR(--SUBSTITUTE(SUBSTITUTE(TRIM(INDEX(INDIRECT("'Выгрузка'!A228:Z228"),Настройки!$B$13)),",","."),".",MID(1/2,2,1)),"")))</f>
        <v/>
      </c>
      <c r="H228">
        <f>IF(F228="",0,IF(COUNTIF(Настройки!$B$17:$B$26,F228)&gt;0,1,IF(COUNTIF(Настройки!$C$17:$C$26,F228)&gt;0,2,IF(COUNTIF(Настройки!$D$17:$D$26,F228)&gt;0,3,0))))</f>
        <v/>
      </c>
      <c r="I228">
        <f>IF(AND(ISNUMBER(A228),ISNUMBER(B228)),A228*1000+B228,"")</f>
        <v/>
      </c>
      <c r="J228">
        <f>IF(I228="","",IF(COUNTIF(I$2:I228,I228)=1,MAX(J$1:J227)+1,""))</f>
        <v/>
      </c>
    </row>
    <row r="229">
      <c r="A229">
        <f>IFERROR(--SUBSTITUTE(SUBSTITUTE(TRIM(INDEX(INDIRECT("'Выгрузка'!A229:Z229"),Настройки!$B$7)),",","."),".",MID(1/2,2,1)),"")</f>
        <v/>
      </c>
      <c r="B229">
        <f>IFERROR(--SUBSTITUTE(SUBSTITUTE(TRIM(INDEX(INDIRECT("'Выгрузка'!A229:Z229"),Настройки!$B$9)),",","."),".",MID(1/2,2,1)),"")</f>
        <v/>
      </c>
      <c r="C229">
        <f>TRIM(INDEX(INDIRECT("'Выгрузка'!A229:Z229"),Настройки!$B$8)&amp;"")</f>
        <v/>
      </c>
      <c r="D229">
        <f>IFERROR(--SUBSTITUTE(SUBSTITUTE(TRIM(INDEX(INDIRECT("'Выгрузка'!A229:Z229"),Настройки!$B$10)),",","."),".",MID(1/2,2,1)),"")</f>
        <v/>
      </c>
      <c r="E229">
        <f>IFERROR(--SUBSTITUTE(SUBSTITUTE(TRIM(INDEX(INDIRECT("'Выгрузка'!A229:Z229"),Настройки!$B$11)),",","."),".",MID(1/2,2,1)),"")</f>
        <v/>
      </c>
      <c r="F229">
        <f>TRIM(INDEX(INDIRECT("'Выгрузка'!A229:Z229"),Настройки!$B$12)&amp;"")</f>
        <v/>
      </c>
      <c r="G229">
        <f>IF(F229="",0,IF(TRIM(INDEX(INDIRECT("'Выгрузка'!A229:Z229"),Настройки!$B$13)&amp;"")="",1,IFERROR(--SUBSTITUTE(SUBSTITUTE(TRIM(INDEX(INDIRECT("'Выгрузка'!A229:Z229"),Настройки!$B$13)),",","."),".",MID(1/2,2,1)),"")))</f>
        <v/>
      </c>
      <c r="H229">
        <f>IF(F229="",0,IF(COUNTIF(Настройки!$B$17:$B$26,F229)&gt;0,1,IF(COUNTIF(Настройки!$C$17:$C$26,F229)&gt;0,2,IF(COUNTIF(Настройки!$D$17:$D$26,F229)&gt;0,3,0))))</f>
        <v/>
      </c>
      <c r="I229">
        <f>IF(AND(ISNUMBER(A229),ISNUMBER(B229)),A229*1000+B229,"")</f>
        <v/>
      </c>
      <c r="J229">
        <f>IF(I229="","",IF(COUNTIF(I$2:I229,I229)=1,MAX(J$1:J228)+1,""))</f>
        <v/>
      </c>
    </row>
    <row r="230">
      <c r="A230">
        <f>IFERROR(--SUBSTITUTE(SUBSTITUTE(TRIM(INDEX(INDIRECT("'Выгрузка'!A230:Z230"),Настройки!$B$7)),",","."),".",MID(1/2,2,1)),"")</f>
        <v/>
      </c>
      <c r="B230">
        <f>IFERROR(--SUBSTITUTE(SUBSTITUTE(TRIM(INDEX(INDIRECT("'Выгрузка'!A230:Z230"),Настройки!$B$9)),",","."),".",MID(1/2,2,1)),"")</f>
        <v/>
      </c>
      <c r="C230">
        <f>TRIM(INDEX(INDIRECT("'Выгрузка'!A230:Z230"),Настройки!$B$8)&amp;"")</f>
        <v/>
      </c>
      <c r="D230">
        <f>IFERROR(--SUBSTITUTE(SUBSTITUTE(TRIM(INDEX(INDIRECT("'Выгрузка'!A230:Z230"),Настройки!$B$10)),",","."),".",MID(1/2,2,1)),"")</f>
        <v/>
      </c>
      <c r="E230">
        <f>IFERROR(--SUBSTITUTE(SUBSTITUTE(TRIM(INDEX(INDIRECT("'Выгрузка'!A230:Z230"),Настройки!$B$11)),",","."),".",MID(1/2,2,1)),"")</f>
        <v/>
      </c>
      <c r="F230">
        <f>TRIM(INDEX(INDIRECT("'Выгрузка'!A230:Z230"),Настройки!$B$12)&amp;"")</f>
        <v/>
      </c>
      <c r="G230">
        <f>IF(F230="",0,IF(TRIM(INDEX(INDIRECT("'Выгрузка'!A230:Z230"),Настройки!$B$13)&amp;"")="",1,IFERROR(--SUBSTITUTE(SUBSTITUTE(TRIM(INDEX(INDIRECT("'Выгрузка'!A230:Z230"),Настройки!$B$13)),",","."),".",MID(1/2,2,1)),"")))</f>
        <v/>
      </c>
      <c r="H230">
        <f>IF(F230="",0,IF(COUNTIF(Настройки!$B$17:$B$26,F230)&gt;0,1,IF(COUNTIF(Настройки!$C$17:$C$26,F230)&gt;0,2,IF(COUNTIF(Настройки!$D$17:$D$26,F230)&gt;0,3,0))))</f>
        <v/>
      </c>
      <c r="I230">
        <f>IF(AND(ISNUMBER(A230),ISNUMBER(B230)),A230*1000+B230,"")</f>
        <v/>
      </c>
      <c r="J230">
        <f>IF(I230="","",IF(COUNTIF(I$2:I230,I230)=1,MAX(J$1:J229)+1,""))</f>
        <v/>
      </c>
    </row>
    <row r="231">
      <c r="A231">
        <f>IFERROR(--SUBSTITUTE(SUBSTITUTE(TRIM(INDEX(INDIRECT("'Выгрузка'!A231:Z231"),Настройки!$B$7)),",","."),".",MID(1/2,2,1)),"")</f>
        <v/>
      </c>
      <c r="B231">
        <f>IFERROR(--SUBSTITUTE(SUBSTITUTE(TRIM(INDEX(INDIRECT("'Выгрузка'!A231:Z231"),Настройки!$B$9)),",","."),".",MID(1/2,2,1)),"")</f>
        <v/>
      </c>
      <c r="C231">
        <f>TRIM(INDEX(INDIRECT("'Выгрузка'!A231:Z231"),Настройки!$B$8)&amp;"")</f>
        <v/>
      </c>
      <c r="D231">
        <f>IFERROR(--SUBSTITUTE(SUBSTITUTE(TRIM(INDEX(INDIRECT("'Выгрузка'!A231:Z231"),Настройки!$B$10)),",","."),".",MID(1/2,2,1)),"")</f>
        <v/>
      </c>
      <c r="E231">
        <f>IFERROR(--SUBSTITUTE(SUBSTITUTE(TRIM(INDEX(INDIRECT("'Выгрузка'!A231:Z231"),Настройки!$B$11)),",","."),".",MID(1/2,2,1)),"")</f>
        <v/>
      </c>
      <c r="F231">
        <f>TRIM(INDEX(INDIRECT("'Выгрузка'!A231:Z231"),Настройки!$B$12)&amp;"")</f>
        <v/>
      </c>
      <c r="G231">
        <f>IF(F231="",0,IF(TRIM(INDEX(INDIRECT("'Выгрузка'!A231:Z231"),Настройки!$B$13)&amp;"")="",1,IFERROR(--SUBSTITUTE(SUBSTITUTE(TRIM(INDEX(INDIRECT("'Выгрузка'!A231:Z231"),Настройки!$B$13)),",","."),".",MID(1/2,2,1)),"")))</f>
        <v/>
      </c>
      <c r="H231">
        <f>IF(F231="",0,IF(COUNTIF(Настройки!$B$17:$B$26,F231)&gt;0,1,IF(COUNTIF(Настройки!$C$17:$C$26,F231)&gt;0,2,IF(COUNTIF(Настройки!$D$17:$D$26,F231)&gt;0,3,0))))</f>
        <v/>
      </c>
      <c r="I231">
        <f>IF(AND(ISNUMBER(A231),ISNUMBER(B231)),A231*1000+B231,"")</f>
        <v/>
      </c>
      <c r="J231">
        <f>IF(I231="","",IF(COUNTIF(I$2:I231,I231)=1,MAX(J$1:J230)+1,""))</f>
        <v/>
      </c>
    </row>
    <row r="232">
      <c r="A232">
        <f>IFERROR(--SUBSTITUTE(SUBSTITUTE(TRIM(INDEX(INDIRECT("'Выгрузка'!A232:Z232"),Настройки!$B$7)),",","."),".",MID(1/2,2,1)),"")</f>
        <v/>
      </c>
      <c r="B232">
        <f>IFERROR(--SUBSTITUTE(SUBSTITUTE(TRIM(INDEX(INDIRECT("'Выгрузка'!A232:Z232"),Настройки!$B$9)),",","."),".",MID(1/2,2,1)),"")</f>
        <v/>
      </c>
      <c r="C232">
        <f>TRIM(INDEX(INDIRECT("'Выгрузка'!A232:Z232"),Настройки!$B$8)&amp;"")</f>
        <v/>
      </c>
      <c r="D232">
        <f>IFERROR(--SUBSTITUTE(SUBSTITUTE(TRIM(INDEX(INDIRECT("'Выгрузка'!A232:Z232"),Настройки!$B$10)),",","."),".",MID(1/2,2,1)),"")</f>
        <v/>
      </c>
      <c r="E232">
        <f>IFERROR(--SUBSTITUTE(SUBSTITUTE(TRIM(INDEX(INDIRECT("'Выгрузка'!A232:Z232"),Настройки!$B$11)),",","."),".",MID(1/2,2,1)),"")</f>
        <v/>
      </c>
      <c r="F232">
        <f>TRIM(INDEX(INDIRECT("'Выгрузка'!A232:Z232"),Настройки!$B$12)&amp;"")</f>
        <v/>
      </c>
      <c r="G232">
        <f>IF(F232="",0,IF(TRIM(INDEX(INDIRECT("'Выгрузка'!A232:Z232"),Настройки!$B$13)&amp;"")="",1,IFERROR(--SUBSTITUTE(SUBSTITUTE(TRIM(INDEX(INDIRECT("'Выгрузка'!A232:Z232"),Настройки!$B$13)),",","."),".",MID(1/2,2,1)),"")))</f>
        <v/>
      </c>
      <c r="H232">
        <f>IF(F232="",0,IF(COUNTIF(Настройки!$B$17:$B$26,F232)&gt;0,1,IF(COUNTIF(Настройки!$C$17:$C$26,F232)&gt;0,2,IF(COUNTIF(Настройки!$D$17:$D$26,F232)&gt;0,3,0))))</f>
        <v/>
      </c>
      <c r="I232">
        <f>IF(AND(ISNUMBER(A232),ISNUMBER(B232)),A232*1000+B232,"")</f>
        <v/>
      </c>
      <c r="J232">
        <f>IF(I232="","",IF(COUNTIF(I$2:I232,I232)=1,MAX(J$1:J231)+1,""))</f>
        <v/>
      </c>
    </row>
    <row r="233">
      <c r="A233">
        <f>IFERROR(--SUBSTITUTE(SUBSTITUTE(TRIM(INDEX(INDIRECT("'Выгрузка'!A233:Z233"),Настройки!$B$7)),",","."),".",MID(1/2,2,1)),"")</f>
        <v/>
      </c>
      <c r="B233">
        <f>IFERROR(--SUBSTITUTE(SUBSTITUTE(TRIM(INDEX(INDIRECT("'Выгрузка'!A233:Z233"),Настройки!$B$9)),",","."),".",MID(1/2,2,1)),"")</f>
        <v/>
      </c>
      <c r="C233">
        <f>TRIM(INDEX(INDIRECT("'Выгрузка'!A233:Z233"),Настройки!$B$8)&amp;"")</f>
        <v/>
      </c>
      <c r="D233">
        <f>IFERROR(--SUBSTITUTE(SUBSTITUTE(TRIM(INDEX(INDIRECT("'Выгрузка'!A233:Z233"),Настройки!$B$10)),",","."),".",MID(1/2,2,1)),"")</f>
        <v/>
      </c>
      <c r="E233">
        <f>IFERROR(--SUBSTITUTE(SUBSTITUTE(TRIM(INDEX(INDIRECT("'Выгрузка'!A233:Z233"),Настройки!$B$11)),",","."),".",MID(1/2,2,1)),"")</f>
        <v/>
      </c>
      <c r="F233">
        <f>TRIM(INDEX(INDIRECT("'Выгрузка'!A233:Z233"),Настройки!$B$12)&amp;"")</f>
        <v/>
      </c>
      <c r="G233">
        <f>IF(F233="",0,IF(TRIM(INDEX(INDIRECT("'Выгрузка'!A233:Z233"),Настройки!$B$13)&amp;"")="",1,IFERROR(--SUBSTITUTE(SUBSTITUTE(TRIM(INDEX(INDIRECT("'Выгрузка'!A233:Z233"),Настройки!$B$13)),",","."),".",MID(1/2,2,1)),"")))</f>
        <v/>
      </c>
      <c r="H233">
        <f>IF(F233="",0,IF(COUNTIF(Настройки!$B$17:$B$26,F233)&gt;0,1,IF(COUNTIF(Настройки!$C$17:$C$26,F233)&gt;0,2,IF(COUNTIF(Настройки!$D$17:$D$26,F233)&gt;0,3,0))))</f>
        <v/>
      </c>
      <c r="I233">
        <f>IF(AND(ISNUMBER(A233),ISNUMBER(B233)),A233*1000+B233,"")</f>
        <v/>
      </c>
      <c r="J233">
        <f>IF(I233="","",IF(COUNTIF(I$2:I233,I233)=1,MAX(J$1:J232)+1,""))</f>
        <v/>
      </c>
    </row>
    <row r="234">
      <c r="A234">
        <f>IFERROR(--SUBSTITUTE(SUBSTITUTE(TRIM(INDEX(INDIRECT("'Выгрузка'!A234:Z234"),Настройки!$B$7)),",","."),".",MID(1/2,2,1)),"")</f>
        <v/>
      </c>
      <c r="B234">
        <f>IFERROR(--SUBSTITUTE(SUBSTITUTE(TRIM(INDEX(INDIRECT("'Выгрузка'!A234:Z234"),Настройки!$B$9)),",","."),".",MID(1/2,2,1)),"")</f>
        <v/>
      </c>
      <c r="C234">
        <f>TRIM(INDEX(INDIRECT("'Выгрузка'!A234:Z234"),Настройки!$B$8)&amp;"")</f>
        <v/>
      </c>
      <c r="D234">
        <f>IFERROR(--SUBSTITUTE(SUBSTITUTE(TRIM(INDEX(INDIRECT("'Выгрузка'!A234:Z234"),Настройки!$B$10)),",","."),".",MID(1/2,2,1)),"")</f>
        <v/>
      </c>
      <c r="E234">
        <f>IFERROR(--SUBSTITUTE(SUBSTITUTE(TRIM(INDEX(INDIRECT("'Выгрузка'!A234:Z234"),Настройки!$B$11)),",","."),".",MID(1/2,2,1)),"")</f>
        <v/>
      </c>
      <c r="F234">
        <f>TRIM(INDEX(INDIRECT("'Выгрузка'!A234:Z234"),Настройки!$B$12)&amp;"")</f>
        <v/>
      </c>
      <c r="G234">
        <f>IF(F234="",0,IF(TRIM(INDEX(INDIRECT("'Выгрузка'!A234:Z234"),Настройки!$B$13)&amp;"")="",1,IFERROR(--SUBSTITUTE(SUBSTITUTE(TRIM(INDEX(INDIRECT("'Выгрузка'!A234:Z234"),Настройки!$B$13)),",","."),".",MID(1/2,2,1)),"")))</f>
        <v/>
      </c>
      <c r="H234">
        <f>IF(F234="",0,IF(COUNTIF(Настройки!$B$17:$B$26,F234)&gt;0,1,IF(COUNTIF(Настройки!$C$17:$C$26,F234)&gt;0,2,IF(COUNTIF(Настройки!$D$17:$D$26,F234)&gt;0,3,0))))</f>
        <v/>
      </c>
      <c r="I234">
        <f>IF(AND(ISNUMBER(A234),ISNUMBER(B234)),A234*1000+B234,"")</f>
        <v/>
      </c>
      <c r="J234">
        <f>IF(I234="","",IF(COUNTIF(I$2:I234,I234)=1,MAX(J$1:J233)+1,""))</f>
        <v/>
      </c>
    </row>
    <row r="235">
      <c r="A235">
        <f>IFERROR(--SUBSTITUTE(SUBSTITUTE(TRIM(INDEX(INDIRECT("'Выгрузка'!A235:Z235"),Настройки!$B$7)),",","."),".",MID(1/2,2,1)),"")</f>
        <v/>
      </c>
      <c r="B235">
        <f>IFERROR(--SUBSTITUTE(SUBSTITUTE(TRIM(INDEX(INDIRECT("'Выгрузка'!A235:Z235"),Настройки!$B$9)),",","."),".",MID(1/2,2,1)),"")</f>
        <v/>
      </c>
      <c r="C235">
        <f>TRIM(INDEX(INDIRECT("'Выгрузка'!A235:Z235"),Настройки!$B$8)&amp;"")</f>
        <v/>
      </c>
      <c r="D235">
        <f>IFERROR(--SUBSTITUTE(SUBSTITUTE(TRIM(INDEX(INDIRECT("'Выгрузка'!A235:Z235"),Настройки!$B$10)),",","."),".",MID(1/2,2,1)),"")</f>
        <v/>
      </c>
      <c r="E235">
        <f>IFERROR(--SUBSTITUTE(SUBSTITUTE(TRIM(INDEX(INDIRECT("'Выгрузка'!A235:Z235"),Настройки!$B$11)),",","."),".",MID(1/2,2,1)),"")</f>
        <v/>
      </c>
      <c r="F235">
        <f>TRIM(INDEX(INDIRECT("'Выгрузка'!A235:Z235"),Настройки!$B$12)&amp;"")</f>
        <v/>
      </c>
      <c r="G235">
        <f>IF(F235="",0,IF(TRIM(INDEX(INDIRECT("'Выгрузка'!A235:Z235"),Настройки!$B$13)&amp;"")="",1,IFERROR(--SUBSTITUTE(SUBSTITUTE(TRIM(INDEX(INDIRECT("'Выгрузка'!A235:Z235"),Настройки!$B$13)),",","."),".",MID(1/2,2,1)),"")))</f>
        <v/>
      </c>
      <c r="H235">
        <f>IF(F235="",0,IF(COUNTIF(Настройки!$B$17:$B$26,F235)&gt;0,1,IF(COUNTIF(Настройки!$C$17:$C$26,F235)&gt;0,2,IF(COUNTIF(Настройки!$D$17:$D$26,F235)&gt;0,3,0))))</f>
        <v/>
      </c>
      <c r="I235">
        <f>IF(AND(ISNUMBER(A235),ISNUMBER(B235)),A235*1000+B235,"")</f>
        <v/>
      </c>
      <c r="J235">
        <f>IF(I235="","",IF(COUNTIF(I$2:I235,I235)=1,MAX(J$1:J234)+1,""))</f>
        <v/>
      </c>
    </row>
    <row r="236">
      <c r="A236">
        <f>IFERROR(--SUBSTITUTE(SUBSTITUTE(TRIM(INDEX(INDIRECT("'Выгрузка'!A236:Z236"),Настройки!$B$7)),",","."),".",MID(1/2,2,1)),"")</f>
        <v/>
      </c>
      <c r="B236">
        <f>IFERROR(--SUBSTITUTE(SUBSTITUTE(TRIM(INDEX(INDIRECT("'Выгрузка'!A236:Z236"),Настройки!$B$9)),",","."),".",MID(1/2,2,1)),"")</f>
        <v/>
      </c>
      <c r="C236">
        <f>TRIM(INDEX(INDIRECT("'Выгрузка'!A236:Z236"),Настройки!$B$8)&amp;"")</f>
        <v/>
      </c>
      <c r="D236">
        <f>IFERROR(--SUBSTITUTE(SUBSTITUTE(TRIM(INDEX(INDIRECT("'Выгрузка'!A236:Z236"),Настройки!$B$10)),",","."),".",MID(1/2,2,1)),"")</f>
        <v/>
      </c>
      <c r="E236">
        <f>IFERROR(--SUBSTITUTE(SUBSTITUTE(TRIM(INDEX(INDIRECT("'Выгрузка'!A236:Z236"),Настройки!$B$11)),",","."),".",MID(1/2,2,1)),"")</f>
        <v/>
      </c>
      <c r="F236">
        <f>TRIM(INDEX(INDIRECT("'Выгрузка'!A236:Z236"),Настройки!$B$12)&amp;"")</f>
        <v/>
      </c>
      <c r="G236">
        <f>IF(F236="",0,IF(TRIM(INDEX(INDIRECT("'Выгрузка'!A236:Z236"),Настройки!$B$13)&amp;"")="",1,IFERROR(--SUBSTITUTE(SUBSTITUTE(TRIM(INDEX(INDIRECT("'Выгрузка'!A236:Z236"),Настройки!$B$13)),",","."),".",MID(1/2,2,1)),"")))</f>
        <v/>
      </c>
      <c r="H236">
        <f>IF(F236="",0,IF(COUNTIF(Настройки!$B$17:$B$26,F236)&gt;0,1,IF(COUNTIF(Настройки!$C$17:$C$26,F236)&gt;0,2,IF(COUNTIF(Настройки!$D$17:$D$26,F236)&gt;0,3,0))))</f>
        <v/>
      </c>
      <c r="I236">
        <f>IF(AND(ISNUMBER(A236),ISNUMBER(B236)),A236*1000+B236,"")</f>
        <v/>
      </c>
      <c r="J236">
        <f>IF(I236="","",IF(COUNTIF(I$2:I236,I236)=1,MAX(J$1:J235)+1,""))</f>
        <v/>
      </c>
    </row>
    <row r="237">
      <c r="A237">
        <f>IFERROR(--SUBSTITUTE(SUBSTITUTE(TRIM(INDEX(INDIRECT("'Выгрузка'!A237:Z237"),Настройки!$B$7)),",","."),".",MID(1/2,2,1)),"")</f>
        <v/>
      </c>
      <c r="B237">
        <f>IFERROR(--SUBSTITUTE(SUBSTITUTE(TRIM(INDEX(INDIRECT("'Выгрузка'!A237:Z237"),Настройки!$B$9)),",","."),".",MID(1/2,2,1)),"")</f>
        <v/>
      </c>
      <c r="C237">
        <f>TRIM(INDEX(INDIRECT("'Выгрузка'!A237:Z237"),Настройки!$B$8)&amp;"")</f>
        <v/>
      </c>
      <c r="D237">
        <f>IFERROR(--SUBSTITUTE(SUBSTITUTE(TRIM(INDEX(INDIRECT("'Выгрузка'!A237:Z237"),Настройки!$B$10)),",","."),".",MID(1/2,2,1)),"")</f>
        <v/>
      </c>
      <c r="E237">
        <f>IFERROR(--SUBSTITUTE(SUBSTITUTE(TRIM(INDEX(INDIRECT("'Выгрузка'!A237:Z237"),Настройки!$B$11)),",","."),".",MID(1/2,2,1)),"")</f>
        <v/>
      </c>
      <c r="F237">
        <f>TRIM(INDEX(INDIRECT("'Выгрузка'!A237:Z237"),Настройки!$B$12)&amp;"")</f>
        <v/>
      </c>
      <c r="G237">
        <f>IF(F237="",0,IF(TRIM(INDEX(INDIRECT("'Выгрузка'!A237:Z237"),Настройки!$B$13)&amp;"")="",1,IFERROR(--SUBSTITUTE(SUBSTITUTE(TRIM(INDEX(INDIRECT("'Выгрузка'!A237:Z237"),Настройки!$B$13)),",","."),".",MID(1/2,2,1)),"")))</f>
        <v/>
      </c>
      <c r="H237">
        <f>IF(F237="",0,IF(COUNTIF(Настройки!$B$17:$B$26,F237)&gt;0,1,IF(COUNTIF(Настройки!$C$17:$C$26,F237)&gt;0,2,IF(COUNTIF(Настройки!$D$17:$D$26,F237)&gt;0,3,0))))</f>
        <v/>
      </c>
      <c r="I237">
        <f>IF(AND(ISNUMBER(A237),ISNUMBER(B237)),A237*1000+B237,"")</f>
        <v/>
      </c>
      <c r="J237">
        <f>IF(I237="","",IF(COUNTIF(I$2:I237,I237)=1,MAX(J$1:J236)+1,""))</f>
        <v/>
      </c>
    </row>
    <row r="238">
      <c r="A238">
        <f>IFERROR(--SUBSTITUTE(SUBSTITUTE(TRIM(INDEX(INDIRECT("'Выгрузка'!A238:Z238"),Настройки!$B$7)),",","."),".",MID(1/2,2,1)),"")</f>
        <v/>
      </c>
      <c r="B238">
        <f>IFERROR(--SUBSTITUTE(SUBSTITUTE(TRIM(INDEX(INDIRECT("'Выгрузка'!A238:Z238"),Настройки!$B$9)),",","."),".",MID(1/2,2,1)),"")</f>
        <v/>
      </c>
      <c r="C238">
        <f>TRIM(INDEX(INDIRECT("'Выгрузка'!A238:Z238"),Настройки!$B$8)&amp;"")</f>
        <v/>
      </c>
      <c r="D238">
        <f>IFERROR(--SUBSTITUTE(SUBSTITUTE(TRIM(INDEX(INDIRECT("'Выгрузка'!A238:Z238"),Настройки!$B$10)),",","."),".",MID(1/2,2,1)),"")</f>
        <v/>
      </c>
      <c r="E238">
        <f>IFERROR(--SUBSTITUTE(SUBSTITUTE(TRIM(INDEX(INDIRECT("'Выгрузка'!A238:Z238"),Настройки!$B$11)),",","."),".",MID(1/2,2,1)),"")</f>
        <v/>
      </c>
      <c r="F238">
        <f>TRIM(INDEX(INDIRECT("'Выгрузка'!A238:Z238"),Настройки!$B$12)&amp;"")</f>
        <v/>
      </c>
      <c r="G238">
        <f>IF(F238="",0,IF(TRIM(INDEX(INDIRECT("'Выгрузка'!A238:Z238"),Настройки!$B$13)&amp;"")="",1,IFERROR(--SUBSTITUTE(SUBSTITUTE(TRIM(INDEX(INDIRECT("'Выгрузка'!A238:Z238"),Настройки!$B$13)),",","."),".",MID(1/2,2,1)),"")))</f>
        <v/>
      </c>
      <c r="H238">
        <f>IF(F238="",0,IF(COUNTIF(Настройки!$B$17:$B$26,F238)&gt;0,1,IF(COUNTIF(Настройки!$C$17:$C$26,F238)&gt;0,2,IF(COUNTIF(Настройки!$D$17:$D$26,F238)&gt;0,3,0))))</f>
        <v/>
      </c>
      <c r="I238">
        <f>IF(AND(ISNUMBER(A238),ISNUMBER(B238)),A238*1000+B238,"")</f>
        <v/>
      </c>
      <c r="J238">
        <f>IF(I238="","",IF(COUNTIF(I$2:I238,I238)=1,MAX(J$1:J237)+1,""))</f>
        <v/>
      </c>
    </row>
    <row r="239">
      <c r="A239">
        <f>IFERROR(--SUBSTITUTE(SUBSTITUTE(TRIM(INDEX(INDIRECT("'Выгрузка'!A239:Z239"),Настройки!$B$7)),",","."),".",MID(1/2,2,1)),"")</f>
        <v/>
      </c>
      <c r="B239">
        <f>IFERROR(--SUBSTITUTE(SUBSTITUTE(TRIM(INDEX(INDIRECT("'Выгрузка'!A239:Z239"),Настройки!$B$9)),",","."),".",MID(1/2,2,1)),"")</f>
        <v/>
      </c>
      <c r="C239">
        <f>TRIM(INDEX(INDIRECT("'Выгрузка'!A239:Z239"),Настройки!$B$8)&amp;"")</f>
        <v/>
      </c>
      <c r="D239">
        <f>IFERROR(--SUBSTITUTE(SUBSTITUTE(TRIM(INDEX(INDIRECT("'Выгрузка'!A239:Z239"),Настройки!$B$10)),",","."),".",MID(1/2,2,1)),"")</f>
        <v/>
      </c>
      <c r="E239">
        <f>IFERROR(--SUBSTITUTE(SUBSTITUTE(TRIM(INDEX(INDIRECT("'Выгрузка'!A239:Z239"),Настройки!$B$11)),",","."),".",MID(1/2,2,1)),"")</f>
        <v/>
      </c>
      <c r="F239">
        <f>TRIM(INDEX(INDIRECT("'Выгрузка'!A239:Z239"),Настройки!$B$12)&amp;"")</f>
        <v/>
      </c>
      <c r="G239">
        <f>IF(F239="",0,IF(TRIM(INDEX(INDIRECT("'Выгрузка'!A239:Z239"),Настройки!$B$13)&amp;"")="",1,IFERROR(--SUBSTITUTE(SUBSTITUTE(TRIM(INDEX(INDIRECT("'Выгрузка'!A239:Z239"),Настройки!$B$13)),",","."),".",MID(1/2,2,1)),"")))</f>
        <v/>
      </c>
      <c r="H239">
        <f>IF(F239="",0,IF(COUNTIF(Настройки!$B$17:$B$26,F239)&gt;0,1,IF(COUNTIF(Настройки!$C$17:$C$26,F239)&gt;0,2,IF(COUNTIF(Настройки!$D$17:$D$26,F239)&gt;0,3,0))))</f>
        <v/>
      </c>
      <c r="I239">
        <f>IF(AND(ISNUMBER(A239),ISNUMBER(B239)),A239*1000+B239,"")</f>
        <v/>
      </c>
      <c r="J239">
        <f>IF(I239="","",IF(COUNTIF(I$2:I239,I239)=1,MAX(J$1:J238)+1,""))</f>
        <v/>
      </c>
    </row>
    <row r="240">
      <c r="A240">
        <f>IFERROR(--SUBSTITUTE(SUBSTITUTE(TRIM(INDEX(INDIRECT("'Выгрузка'!A240:Z240"),Настройки!$B$7)),",","."),".",MID(1/2,2,1)),"")</f>
        <v/>
      </c>
      <c r="B240">
        <f>IFERROR(--SUBSTITUTE(SUBSTITUTE(TRIM(INDEX(INDIRECT("'Выгрузка'!A240:Z240"),Настройки!$B$9)),",","."),".",MID(1/2,2,1)),"")</f>
        <v/>
      </c>
      <c r="C240">
        <f>TRIM(INDEX(INDIRECT("'Выгрузка'!A240:Z240"),Настройки!$B$8)&amp;"")</f>
        <v/>
      </c>
      <c r="D240">
        <f>IFERROR(--SUBSTITUTE(SUBSTITUTE(TRIM(INDEX(INDIRECT("'Выгрузка'!A240:Z240"),Настройки!$B$10)),",","."),".",MID(1/2,2,1)),"")</f>
        <v/>
      </c>
      <c r="E240">
        <f>IFERROR(--SUBSTITUTE(SUBSTITUTE(TRIM(INDEX(INDIRECT("'Выгрузка'!A240:Z240"),Настройки!$B$11)),",","."),".",MID(1/2,2,1)),"")</f>
        <v/>
      </c>
      <c r="F240">
        <f>TRIM(INDEX(INDIRECT("'Выгрузка'!A240:Z240"),Настройки!$B$12)&amp;"")</f>
        <v/>
      </c>
      <c r="G240">
        <f>IF(F240="",0,IF(TRIM(INDEX(INDIRECT("'Выгрузка'!A240:Z240"),Настройки!$B$13)&amp;"")="",1,IFERROR(--SUBSTITUTE(SUBSTITUTE(TRIM(INDEX(INDIRECT("'Выгрузка'!A240:Z240"),Настройки!$B$13)),",","."),".",MID(1/2,2,1)),"")))</f>
        <v/>
      </c>
      <c r="H240">
        <f>IF(F240="",0,IF(COUNTIF(Настройки!$B$17:$B$26,F240)&gt;0,1,IF(COUNTIF(Настройки!$C$17:$C$26,F240)&gt;0,2,IF(COUNTIF(Настройки!$D$17:$D$26,F240)&gt;0,3,0))))</f>
        <v/>
      </c>
      <c r="I240">
        <f>IF(AND(ISNUMBER(A240),ISNUMBER(B240)),A240*1000+B240,"")</f>
        <v/>
      </c>
      <c r="J240">
        <f>IF(I240="","",IF(COUNTIF(I$2:I240,I240)=1,MAX(J$1:J239)+1,""))</f>
        <v/>
      </c>
    </row>
    <row r="241">
      <c r="A241">
        <f>IFERROR(--SUBSTITUTE(SUBSTITUTE(TRIM(INDEX(INDIRECT("'Выгрузка'!A241:Z241"),Настройки!$B$7)),",","."),".",MID(1/2,2,1)),"")</f>
        <v/>
      </c>
      <c r="B241">
        <f>IFERROR(--SUBSTITUTE(SUBSTITUTE(TRIM(INDEX(INDIRECT("'Выгрузка'!A241:Z241"),Настройки!$B$9)),",","."),".",MID(1/2,2,1)),"")</f>
        <v/>
      </c>
      <c r="C241">
        <f>TRIM(INDEX(INDIRECT("'Выгрузка'!A241:Z241"),Настройки!$B$8)&amp;"")</f>
        <v/>
      </c>
      <c r="D241">
        <f>IFERROR(--SUBSTITUTE(SUBSTITUTE(TRIM(INDEX(INDIRECT("'Выгрузка'!A241:Z241"),Настройки!$B$10)),",","."),".",MID(1/2,2,1)),"")</f>
        <v/>
      </c>
      <c r="E241">
        <f>IFERROR(--SUBSTITUTE(SUBSTITUTE(TRIM(INDEX(INDIRECT("'Выгрузка'!A241:Z241"),Настройки!$B$11)),",","."),".",MID(1/2,2,1)),"")</f>
        <v/>
      </c>
      <c r="F241">
        <f>TRIM(INDEX(INDIRECT("'Выгрузка'!A241:Z241"),Настройки!$B$12)&amp;"")</f>
        <v/>
      </c>
      <c r="G241">
        <f>IF(F241="",0,IF(TRIM(INDEX(INDIRECT("'Выгрузка'!A241:Z241"),Настройки!$B$13)&amp;"")="",1,IFERROR(--SUBSTITUTE(SUBSTITUTE(TRIM(INDEX(INDIRECT("'Выгрузка'!A241:Z241"),Настройки!$B$13)),",","."),".",MID(1/2,2,1)),"")))</f>
        <v/>
      </c>
      <c r="H241">
        <f>IF(F241="",0,IF(COUNTIF(Настройки!$B$17:$B$26,F241)&gt;0,1,IF(COUNTIF(Настройки!$C$17:$C$26,F241)&gt;0,2,IF(COUNTIF(Настройки!$D$17:$D$26,F241)&gt;0,3,0))))</f>
        <v/>
      </c>
      <c r="I241">
        <f>IF(AND(ISNUMBER(A241),ISNUMBER(B241)),A241*1000+B241,"")</f>
        <v/>
      </c>
      <c r="J241">
        <f>IF(I241="","",IF(COUNTIF(I$2:I241,I241)=1,MAX(J$1:J240)+1,""))</f>
        <v/>
      </c>
    </row>
    <row r="242">
      <c r="A242">
        <f>IFERROR(--SUBSTITUTE(SUBSTITUTE(TRIM(INDEX(INDIRECT("'Выгрузка'!A242:Z242"),Настройки!$B$7)),",","."),".",MID(1/2,2,1)),"")</f>
        <v/>
      </c>
      <c r="B242">
        <f>IFERROR(--SUBSTITUTE(SUBSTITUTE(TRIM(INDEX(INDIRECT("'Выгрузка'!A242:Z242"),Настройки!$B$9)),",","."),".",MID(1/2,2,1)),"")</f>
        <v/>
      </c>
      <c r="C242">
        <f>TRIM(INDEX(INDIRECT("'Выгрузка'!A242:Z242"),Настройки!$B$8)&amp;"")</f>
        <v/>
      </c>
      <c r="D242">
        <f>IFERROR(--SUBSTITUTE(SUBSTITUTE(TRIM(INDEX(INDIRECT("'Выгрузка'!A242:Z242"),Настройки!$B$10)),",","."),".",MID(1/2,2,1)),"")</f>
        <v/>
      </c>
      <c r="E242">
        <f>IFERROR(--SUBSTITUTE(SUBSTITUTE(TRIM(INDEX(INDIRECT("'Выгрузка'!A242:Z242"),Настройки!$B$11)),",","."),".",MID(1/2,2,1)),"")</f>
        <v/>
      </c>
      <c r="F242">
        <f>TRIM(INDEX(INDIRECT("'Выгрузка'!A242:Z242"),Настройки!$B$12)&amp;"")</f>
        <v/>
      </c>
      <c r="G242">
        <f>IF(F242="",0,IF(TRIM(INDEX(INDIRECT("'Выгрузка'!A242:Z242"),Настройки!$B$13)&amp;"")="",1,IFERROR(--SUBSTITUTE(SUBSTITUTE(TRIM(INDEX(INDIRECT("'Выгрузка'!A242:Z242"),Настройки!$B$13)),",","."),".",MID(1/2,2,1)),"")))</f>
        <v/>
      </c>
      <c r="H242">
        <f>IF(F242="",0,IF(COUNTIF(Настройки!$B$17:$B$26,F242)&gt;0,1,IF(COUNTIF(Настройки!$C$17:$C$26,F242)&gt;0,2,IF(COUNTIF(Настройки!$D$17:$D$26,F242)&gt;0,3,0))))</f>
        <v/>
      </c>
      <c r="I242">
        <f>IF(AND(ISNUMBER(A242),ISNUMBER(B242)),A242*1000+B242,"")</f>
        <v/>
      </c>
      <c r="J242">
        <f>IF(I242="","",IF(COUNTIF(I$2:I242,I242)=1,MAX(J$1:J241)+1,""))</f>
        <v/>
      </c>
    </row>
    <row r="243">
      <c r="A243">
        <f>IFERROR(--SUBSTITUTE(SUBSTITUTE(TRIM(INDEX(INDIRECT("'Выгрузка'!A243:Z243"),Настройки!$B$7)),",","."),".",MID(1/2,2,1)),"")</f>
        <v/>
      </c>
      <c r="B243">
        <f>IFERROR(--SUBSTITUTE(SUBSTITUTE(TRIM(INDEX(INDIRECT("'Выгрузка'!A243:Z243"),Настройки!$B$9)),",","."),".",MID(1/2,2,1)),"")</f>
        <v/>
      </c>
      <c r="C243">
        <f>TRIM(INDEX(INDIRECT("'Выгрузка'!A243:Z243"),Настройки!$B$8)&amp;"")</f>
        <v/>
      </c>
      <c r="D243">
        <f>IFERROR(--SUBSTITUTE(SUBSTITUTE(TRIM(INDEX(INDIRECT("'Выгрузка'!A243:Z243"),Настройки!$B$10)),",","."),".",MID(1/2,2,1)),"")</f>
        <v/>
      </c>
      <c r="E243">
        <f>IFERROR(--SUBSTITUTE(SUBSTITUTE(TRIM(INDEX(INDIRECT("'Выгрузка'!A243:Z243"),Настройки!$B$11)),",","."),".",MID(1/2,2,1)),"")</f>
        <v/>
      </c>
      <c r="F243">
        <f>TRIM(INDEX(INDIRECT("'Выгрузка'!A243:Z243"),Настройки!$B$12)&amp;"")</f>
        <v/>
      </c>
      <c r="G243">
        <f>IF(F243="",0,IF(TRIM(INDEX(INDIRECT("'Выгрузка'!A243:Z243"),Настройки!$B$13)&amp;"")="",1,IFERROR(--SUBSTITUTE(SUBSTITUTE(TRIM(INDEX(INDIRECT("'Выгрузка'!A243:Z243"),Настройки!$B$13)),",","."),".",MID(1/2,2,1)),"")))</f>
        <v/>
      </c>
      <c r="H243">
        <f>IF(F243="",0,IF(COUNTIF(Настройки!$B$17:$B$26,F243)&gt;0,1,IF(COUNTIF(Настройки!$C$17:$C$26,F243)&gt;0,2,IF(COUNTIF(Настройки!$D$17:$D$26,F243)&gt;0,3,0))))</f>
        <v/>
      </c>
      <c r="I243">
        <f>IF(AND(ISNUMBER(A243),ISNUMBER(B243)),A243*1000+B243,"")</f>
        <v/>
      </c>
      <c r="J243">
        <f>IF(I243="","",IF(COUNTIF(I$2:I243,I243)=1,MAX(J$1:J242)+1,""))</f>
        <v/>
      </c>
    </row>
    <row r="244">
      <c r="A244">
        <f>IFERROR(--SUBSTITUTE(SUBSTITUTE(TRIM(INDEX(INDIRECT("'Выгрузка'!A244:Z244"),Настройки!$B$7)),",","."),".",MID(1/2,2,1)),"")</f>
        <v/>
      </c>
      <c r="B244">
        <f>IFERROR(--SUBSTITUTE(SUBSTITUTE(TRIM(INDEX(INDIRECT("'Выгрузка'!A244:Z244"),Настройки!$B$9)),",","."),".",MID(1/2,2,1)),"")</f>
        <v/>
      </c>
      <c r="C244">
        <f>TRIM(INDEX(INDIRECT("'Выгрузка'!A244:Z244"),Настройки!$B$8)&amp;"")</f>
        <v/>
      </c>
      <c r="D244">
        <f>IFERROR(--SUBSTITUTE(SUBSTITUTE(TRIM(INDEX(INDIRECT("'Выгрузка'!A244:Z244"),Настройки!$B$10)),",","."),".",MID(1/2,2,1)),"")</f>
        <v/>
      </c>
      <c r="E244">
        <f>IFERROR(--SUBSTITUTE(SUBSTITUTE(TRIM(INDEX(INDIRECT("'Выгрузка'!A244:Z244"),Настройки!$B$11)),",","."),".",MID(1/2,2,1)),"")</f>
        <v/>
      </c>
      <c r="F244">
        <f>TRIM(INDEX(INDIRECT("'Выгрузка'!A244:Z244"),Настройки!$B$12)&amp;"")</f>
        <v/>
      </c>
      <c r="G244">
        <f>IF(F244="",0,IF(TRIM(INDEX(INDIRECT("'Выгрузка'!A244:Z244"),Настройки!$B$13)&amp;"")="",1,IFERROR(--SUBSTITUTE(SUBSTITUTE(TRIM(INDEX(INDIRECT("'Выгрузка'!A244:Z244"),Настройки!$B$13)),",","."),".",MID(1/2,2,1)),"")))</f>
        <v/>
      </c>
      <c r="H244">
        <f>IF(F244="",0,IF(COUNTIF(Настройки!$B$17:$B$26,F244)&gt;0,1,IF(COUNTIF(Настройки!$C$17:$C$26,F244)&gt;0,2,IF(COUNTIF(Настройки!$D$17:$D$26,F244)&gt;0,3,0))))</f>
        <v/>
      </c>
      <c r="I244">
        <f>IF(AND(ISNUMBER(A244),ISNUMBER(B244)),A244*1000+B244,"")</f>
        <v/>
      </c>
      <c r="J244">
        <f>IF(I244="","",IF(COUNTIF(I$2:I244,I244)=1,MAX(J$1:J243)+1,""))</f>
        <v/>
      </c>
    </row>
    <row r="245">
      <c r="A245">
        <f>IFERROR(--SUBSTITUTE(SUBSTITUTE(TRIM(INDEX(INDIRECT("'Выгрузка'!A245:Z245"),Настройки!$B$7)),",","."),".",MID(1/2,2,1)),"")</f>
        <v/>
      </c>
      <c r="B245">
        <f>IFERROR(--SUBSTITUTE(SUBSTITUTE(TRIM(INDEX(INDIRECT("'Выгрузка'!A245:Z245"),Настройки!$B$9)),",","."),".",MID(1/2,2,1)),"")</f>
        <v/>
      </c>
      <c r="C245">
        <f>TRIM(INDEX(INDIRECT("'Выгрузка'!A245:Z245"),Настройки!$B$8)&amp;"")</f>
        <v/>
      </c>
      <c r="D245">
        <f>IFERROR(--SUBSTITUTE(SUBSTITUTE(TRIM(INDEX(INDIRECT("'Выгрузка'!A245:Z245"),Настройки!$B$10)),",","."),".",MID(1/2,2,1)),"")</f>
        <v/>
      </c>
      <c r="E245">
        <f>IFERROR(--SUBSTITUTE(SUBSTITUTE(TRIM(INDEX(INDIRECT("'Выгрузка'!A245:Z245"),Настройки!$B$11)),",","."),".",MID(1/2,2,1)),"")</f>
        <v/>
      </c>
      <c r="F245">
        <f>TRIM(INDEX(INDIRECT("'Выгрузка'!A245:Z245"),Настройки!$B$12)&amp;"")</f>
        <v/>
      </c>
      <c r="G245">
        <f>IF(F245="",0,IF(TRIM(INDEX(INDIRECT("'Выгрузка'!A245:Z245"),Настройки!$B$13)&amp;"")="",1,IFERROR(--SUBSTITUTE(SUBSTITUTE(TRIM(INDEX(INDIRECT("'Выгрузка'!A245:Z245"),Настройки!$B$13)),",","."),".",MID(1/2,2,1)),"")))</f>
        <v/>
      </c>
      <c r="H245">
        <f>IF(F245="",0,IF(COUNTIF(Настройки!$B$17:$B$26,F245)&gt;0,1,IF(COUNTIF(Настройки!$C$17:$C$26,F245)&gt;0,2,IF(COUNTIF(Настройки!$D$17:$D$26,F245)&gt;0,3,0))))</f>
        <v/>
      </c>
      <c r="I245">
        <f>IF(AND(ISNUMBER(A245),ISNUMBER(B245)),A245*1000+B245,"")</f>
        <v/>
      </c>
      <c r="J245">
        <f>IF(I245="","",IF(COUNTIF(I$2:I245,I245)=1,MAX(J$1:J244)+1,""))</f>
        <v/>
      </c>
    </row>
    <row r="246">
      <c r="A246">
        <f>IFERROR(--SUBSTITUTE(SUBSTITUTE(TRIM(INDEX(INDIRECT("'Выгрузка'!A246:Z246"),Настройки!$B$7)),",","."),".",MID(1/2,2,1)),"")</f>
        <v/>
      </c>
      <c r="B246">
        <f>IFERROR(--SUBSTITUTE(SUBSTITUTE(TRIM(INDEX(INDIRECT("'Выгрузка'!A246:Z246"),Настройки!$B$9)),",","."),".",MID(1/2,2,1)),"")</f>
        <v/>
      </c>
      <c r="C246">
        <f>TRIM(INDEX(INDIRECT("'Выгрузка'!A246:Z246"),Настройки!$B$8)&amp;"")</f>
        <v/>
      </c>
      <c r="D246">
        <f>IFERROR(--SUBSTITUTE(SUBSTITUTE(TRIM(INDEX(INDIRECT("'Выгрузка'!A246:Z246"),Настройки!$B$10)),",","."),".",MID(1/2,2,1)),"")</f>
        <v/>
      </c>
      <c r="E246">
        <f>IFERROR(--SUBSTITUTE(SUBSTITUTE(TRIM(INDEX(INDIRECT("'Выгрузка'!A246:Z246"),Настройки!$B$11)),",","."),".",MID(1/2,2,1)),"")</f>
        <v/>
      </c>
      <c r="F246">
        <f>TRIM(INDEX(INDIRECT("'Выгрузка'!A246:Z246"),Настройки!$B$12)&amp;"")</f>
        <v/>
      </c>
      <c r="G246">
        <f>IF(F246="",0,IF(TRIM(INDEX(INDIRECT("'Выгрузка'!A246:Z246"),Настройки!$B$13)&amp;"")="",1,IFERROR(--SUBSTITUTE(SUBSTITUTE(TRIM(INDEX(INDIRECT("'Выгрузка'!A246:Z246"),Настройки!$B$13)),",","."),".",MID(1/2,2,1)),"")))</f>
        <v/>
      </c>
      <c r="H246">
        <f>IF(F246="",0,IF(COUNTIF(Настройки!$B$17:$B$26,F246)&gt;0,1,IF(COUNTIF(Настройки!$C$17:$C$26,F246)&gt;0,2,IF(COUNTIF(Настройки!$D$17:$D$26,F246)&gt;0,3,0))))</f>
        <v/>
      </c>
      <c r="I246">
        <f>IF(AND(ISNUMBER(A246),ISNUMBER(B246)),A246*1000+B246,"")</f>
        <v/>
      </c>
      <c r="J246">
        <f>IF(I246="","",IF(COUNTIF(I$2:I246,I246)=1,MAX(J$1:J245)+1,""))</f>
        <v/>
      </c>
    </row>
    <row r="247">
      <c r="A247">
        <f>IFERROR(--SUBSTITUTE(SUBSTITUTE(TRIM(INDEX(INDIRECT("'Выгрузка'!A247:Z247"),Настройки!$B$7)),",","."),".",MID(1/2,2,1)),"")</f>
        <v/>
      </c>
      <c r="B247">
        <f>IFERROR(--SUBSTITUTE(SUBSTITUTE(TRIM(INDEX(INDIRECT("'Выгрузка'!A247:Z247"),Настройки!$B$9)),",","."),".",MID(1/2,2,1)),"")</f>
        <v/>
      </c>
      <c r="C247">
        <f>TRIM(INDEX(INDIRECT("'Выгрузка'!A247:Z247"),Настройки!$B$8)&amp;"")</f>
        <v/>
      </c>
      <c r="D247">
        <f>IFERROR(--SUBSTITUTE(SUBSTITUTE(TRIM(INDEX(INDIRECT("'Выгрузка'!A247:Z247"),Настройки!$B$10)),",","."),".",MID(1/2,2,1)),"")</f>
        <v/>
      </c>
      <c r="E247">
        <f>IFERROR(--SUBSTITUTE(SUBSTITUTE(TRIM(INDEX(INDIRECT("'Выгрузка'!A247:Z247"),Настройки!$B$11)),",","."),".",MID(1/2,2,1)),"")</f>
        <v/>
      </c>
      <c r="F247">
        <f>TRIM(INDEX(INDIRECT("'Выгрузка'!A247:Z247"),Настройки!$B$12)&amp;"")</f>
        <v/>
      </c>
      <c r="G247">
        <f>IF(F247="",0,IF(TRIM(INDEX(INDIRECT("'Выгрузка'!A247:Z247"),Настройки!$B$13)&amp;"")="",1,IFERROR(--SUBSTITUTE(SUBSTITUTE(TRIM(INDEX(INDIRECT("'Выгрузка'!A247:Z247"),Настройки!$B$13)),",","."),".",MID(1/2,2,1)),"")))</f>
        <v/>
      </c>
      <c r="H247">
        <f>IF(F247="",0,IF(COUNTIF(Настройки!$B$17:$B$26,F247)&gt;0,1,IF(COUNTIF(Настройки!$C$17:$C$26,F247)&gt;0,2,IF(COUNTIF(Настройки!$D$17:$D$26,F247)&gt;0,3,0))))</f>
        <v/>
      </c>
      <c r="I247">
        <f>IF(AND(ISNUMBER(A247),ISNUMBER(B247)),A247*1000+B247,"")</f>
        <v/>
      </c>
      <c r="J247">
        <f>IF(I247="","",IF(COUNTIF(I$2:I247,I247)=1,MAX(J$1:J246)+1,""))</f>
        <v/>
      </c>
    </row>
    <row r="248">
      <c r="A248">
        <f>IFERROR(--SUBSTITUTE(SUBSTITUTE(TRIM(INDEX(INDIRECT("'Выгрузка'!A248:Z248"),Настройки!$B$7)),",","."),".",MID(1/2,2,1)),"")</f>
        <v/>
      </c>
      <c r="B248">
        <f>IFERROR(--SUBSTITUTE(SUBSTITUTE(TRIM(INDEX(INDIRECT("'Выгрузка'!A248:Z248"),Настройки!$B$9)),",","."),".",MID(1/2,2,1)),"")</f>
        <v/>
      </c>
      <c r="C248">
        <f>TRIM(INDEX(INDIRECT("'Выгрузка'!A248:Z248"),Настройки!$B$8)&amp;"")</f>
        <v/>
      </c>
      <c r="D248">
        <f>IFERROR(--SUBSTITUTE(SUBSTITUTE(TRIM(INDEX(INDIRECT("'Выгрузка'!A248:Z248"),Настройки!$B$10)),",","."),".",MID(1/2,2,1)),"")</f>
        <v/>
      </c>
      <c r="E248">
        <f>IFERROR(--SUBSTITUTE(SUBSTITUTE(TRIM(INDEX(INDIRECT("'Выгрузка'!A248:Z248"),Настройки!$B$11)),",","."),".",MID(1/2,2,1)),"")</f>
        <v/>
      </c>
      <c r="F248">
        <f>TRIM(INDEX(INDIRECT("'Выгрузка'!A248:Z248"),Настройки!$B$12)&amp;"")</f>
        <v/>
      </c>
      <c r="G248">
        <f>IF(F248="",0,IF(TRIM(INDEX(INDIRECT("'Выгрузка'!A248:Z248"),Настройки!$B$13)&amp;"")="",1,IFERROR(--SUBSTITUTE(SUBSTITUTE(TRIM(INDEX(INDIRECT("'Выгрузка'!A248:Z248"),Настройки!$B$13)),",","."),".",MID(1/2,2,1)),"")))</f>
        <v/>
      </c>
      <c r="H248">
        <f>IF(F248="",0,IF(COUNTIF(Настройки!$B$17:$B$26,F248)&gt;0,1,IF(COUNTIF(Настройки!$C$17:$C$26,F248)&gt;0,2,IF(COUNTIF(Настройки!$D$17:$D$26,F248)&gt;0,3,0))))</f>
        <v/>
      </c>
      <c r="I248">
        <f>IF(AND(ISNUMBER(A248),ISNUMBER(B248)),A248*1000+B248,"")</f>
        <v/>
      </c>
      <c r="J248">
        <f>IF(I248="","",IF(COUNTIF(I$2:I248,I248)=1,MAX(J$1:J247)+1,""))</f>
        <v/>
      </c>
    </row>
    <row r="249">
      <c r="A249">
        <f>IFERROR(--SUBSTITUTE(SUBSTITUTE(TRIM(INDEX(INDIRECT("'Выгрузка'!A249:Z249"),Настройки!$B$7)),",","."),".",MID(1/2,2,1)),"")</f>
        <v/>
      </c>
      <c r="B249">
        <f>IFERROR(--SUBSTITUTE(SUBSTITUTE(TRIM(INDEX(INDIRECT("'Выгрузка'!A249:Z249"),Настройки!$B$9)),",","."),".",MID(1/2,2,1)),"")</f>
        <v/>
      </c>
      <c r="C249">
        <f>TRIM(INDEX(INDIRECT("'Выгрузка'!A249:Z249"),Настройки!$B$8)&amp;"")</f>
        <v/>
      </c>
      <c r="D249">
        <f>IFERROR(--SUBSTITUTE(SUBSTITUTE(TRIM(INDEX(INDIRECT("'Выгрузка'!A249:Z249"),Настройки!$B$10)),",","."),".",MID(1/2,2,1)),"")</f>
        <v/>
      </c>
      <c r="E249">
        <f>IFERROR(--SUBSTITUTE(SUBSTITUTE(TRIM(INDEX(INDIRECT("'Выгрузка'!A249:Z249"),Настройки!$B$11)),",","."),".",MID(1/2,2,1)),"")</f>
        <v/>
      </c>
      <c r="F249">
        <f>TRIM(INDEX(INDIRECT("'Выгрузка'!A249:Z249"),Настройки!$B$12)&amp;"")</f>
        <v/>
      </c>
      <c r="G249">
        <f>IF(F249="",0,IF(TRIM(INDEX(INDIRECT("'Выгрузка'!A249:Z249"),Настройки!$B$13)&amp;"")="",1,IFERROR(--SUBSTITUTE(SUBSTITUTE(TRIM(INDEX(INDIRECT("'Выгрузка'!A249:Z249"),Настройки!$B$13)),",","."),".",MID(1/2,2,1)),"")))</f>
        <v/>
      </c>
      <c r="H249">
        <f>IF(F249="",0,IF(COUNTIF(Настройки!$B$17:$B$26,F249)&gt;0,1,IF(COUNTIF(Настройки!$C$17:$C$26,F249)&gt;0,2,IF(COUNTIF(Настройки!$D$17:$D$26,F249)&gt;0,3,0))))</f>
        <v/>
      </c>
      <c r="I249">
        <f>IF(AND(ISNUMBER(A249),ISNUMBER(B249)),A249*1000+B249,"")</f>
        <v/>
      </c>
      <c r="J249">
        <f>IF(I249="","",IF(COUNTIF(I$2:I249,I249)=1,MAX(J$1:J248)+1,""))</f>
        <v/>
      </c>
    </row>
    <row r="250">
      <c r="A250">
        <f>IFERROR(--SUBSTITUTE(SUBSTITUTE(TRIM(INDEX(INDIRECT("'Выгрузка'!A250:Z250"),Настройки!$B$7)),",","."),".",MID(1/2,2,1)),"")</f>
        <v/>
      </c>
      <c r="B250">
        <f>IFERROR(--SUBSTITUTE(SUBSTITUTE(TRIM(INDEX(INDIRECT("'Выгрузка'!A250:Z250"),Настройки!$B$9)),",","."),".",MID(1/2,2,1)),"")</f>
        <v/>
      </c>
      <c r="C250">
        <f>TRIM(INDEX(INDIRECT("'Выгрузка'!A250:Z250"),Настройки!$B$8)&amp;"")</f>
        <v/>
      </c>
      <c r="D250">
        <f>IFERROR(--SUBSTITUTE(SUBSTITUTE(TRIM(INDEX(INDIRECT("'Выгрузка'!A250:Z250"),Настройки!$B$10)),",","."),".",MID(1/2,2,1)),"")</f>
        <v/>
      </c>
      <c r="E250">
        <f>IFERROR(--SUBSTITUTE(SUBSTITUTE(TRIM(INDEX(INDIRECT("'Выгрузка'!A250:Z250"),Настройки!$B$11)),",","."),".",MID(1/2,2,1)),"")</f>
        <v/>
      </c>
      <c r="F250">
        <f>TRIM(INDEX(INDIRECT("'Выгрузка'!A250:Z250"),Настройки!$B$12)&amp;"")</f>
        <v/>
      </c>
      <c r="G250">
        <f>IF(F250="",0,IF(TRIM(INDEX(INDIRECT("'Выгрузка'!A250:Z250"),Настройки!$B$13)&amp;"")="",1,IFERROR(--SUBSTITUTE(SUBSTITUTE(TRIM(INDEX(INDIRECT("'Выгрузка'!A250:Z250"),Настройки!$B$13)),",","."),".",MID(1/2,2,1)),"")))</f>
        <v/>
      </c>
      <c r="H250">
        <f>IF(F250="",0,IF(COUNTIF(Настройки!$B$17:$B$26,F250)&gt;0,1,IF(COUNTIF(Настройки!$C$17:$C$26,F250)&gt;0,2,IF(COUNTIF(Настройки!$D$17:$D$26,F250)&gt;0,3,0))))</f>
        <v/>
      </c>
      <c r="I250">
        <f>IF(AND(ISNUMBER(A250),ISNUMBER(B250)),A250*1000+B250,"")</f>
        <v/>
      </c>
      <c r="J250">
        <f>IF(I250="","",IF(COUNTIF(I$2:I250,I250)=1,MAX(J$1:J249)+1,""))</f>
        <v/>
      </c>
    </row>
    <row r="251">
      <c r="A251">
        <f>IFERROR(--SUBSTITUTE(SUBSTITUTE(TRIM(INDEX(INDIRECT("'Выгрузка'!A251:Z251"),Настройки!$B$7)),",","."),".",MID(1/2,2,1)),"")</f>
        <v/>
      </c>
      <c r="B251">
        <f>IFERROR(--SUBSTITUTE(SUBSTITUTE(TRIM(INDEX(INDIRECT("'Выгрузка'!A251:Z251"),Настройки!$B$9)),",","."),".",MID(1/2,2,1)),"")</f>
        <v/>
      </c>
      <c r="C251">
        <f>TRIM(INDEX(INDIRECT("'Выгрузка'!A251:Z251"),Настройки!$B$8)&amp;"")</f>
        <v/>
      </c>
      <c r="D251">
        <f>IFERROR(--SUBSTITUTE(SUBSTITUTE(TRIM(INDEX(INDIRECT("'Выгрузка'!A251:Z251"),Настройки!$B$10)),",","."),".",MID(1/2,2,1)),"")</f>
        <v/>
      </c>
      <c r="E251">
        <f>IFERROR(--SUBSTITUTE(SUBSTITUTE(TRIM(INDEX(INDIRECT("'Выгрузка'!A251:Z251"),Настройки!$B$11)),",","."),".",MID(1/2,2,1)),"")</f>
        <v/>
      </c>
      <c r="F251">
        <f>TRIM(INDEX(INDIRECT("'Выгрузка'!A251:Z251"),Настройки!$B$12)&amp;"")</f>
        <v/>
      </c>
      <c r="G251">
        <f>IF(F251="",0,IF(TRIM(INDEX(INDIRECT("'Выгрузка'!A251:Z251"),Настройки!$B$13)&amp;"")="",1,IFERROR(--SUBSTITUTE(SUBSTITUTE(TRIM(INDEX(INDIRECT("'Выгрузка'!A251:Z251"),Настройки!$B$13)),",","."),".",MID(1/2,2,1)),"")))</f>
        <v/>
      </c>
      <c r="H251">
        <f>IF(F251="",0,IF(COUNTIF(Настройки!$B$17:$B$26,F251)&gt;0,1,IF(COUNTIF(Настройки!$C$17:$C$26,F251)&gt;0,2,IF(COUNTIF(Настройки!$D$17:$D$26,F251)&gt;0,3,0))))</f>
        <v/>
      </c>
      <c r="I251">
        <f>IF(AND(ISNUMBER(A251),ISNUMBER(B251)),A251*1000+B251,"")</f>
        <v/>
      </c>
      <c r="J251">
        <f>IF(I251="","",IF(COUNTIF(I$2:I251,I251)=1,MAX(J$1:J250)+1,""))</f>
        <v/>
      </c>
    </row>
    <row r="252">
      <c r="A252">
        <f>IFERROR(--SUBSTITUTE(SUBSTITUTE(TRIM(INDEX(INDIRECT("'Выгрузка'!A252:Z252"),Настройки!$B$7)),",","."),".",MID(1/2,2,1)),"")</f>
        <v/>
      </c>
      <c r="B252">
        <f>IFERROR(--SUBSTITUTE(SUBSTITUTE(TRIM(INDEX(INDIRECT("'Выгрузка'!A252:Z252"),Настройки!$B$9)),",","."),".",MID(1/2,2,1)),"")</f>
        <v/>
      </c>
      <c r="C252">
        <f>TRIM(INDEX(INDIRECT("'Выгрузка'!A252:Z252"),Настройки!$B$8)&amp;"")</f>
        <v/>
      </c>
      <c r="D252">
        <f>IFERROR(--SUBSTITUTE(SUBSTITUTE(TRIM(INDEX(INDIRECT("'Выгрузка'!A252:Z252"),Настройки!$B$10)),",","."),".",MID(1/2,2,1)),"")</f>
        <v/>
      </c>
      <c r="E252">
        <f>IFERROR(--SUBSTITUTE(SUBSTITUTE(TRIM(INDEX(INDIRECT("'Выгрузка'!A252:Z252"),Настройки!$B$11)),",","."),".",MID(1/2,2,1)),"")</f>
        <v/>
      </c>
      <c r="F252">
        <f>TRIM(INDEX(INDIRECT("'Выгрузка'!A252:Z252"),Настройки!$B$12)&amp;"")</f>
        <v/>
      </c>
      <c r="G252">
        <f>IF(F252="",0,IF(TRIM(INDEX(INDIRECT("'Выгрузка'!A252:Z252"),Настройки!$B$13)&amp;"")="",1,IFERROR(--SUBSTITUTE(SUBSTITUTE(TRIM(INDEX(INDIRECT("'Выгрузка'!A252:Z252"),Настройки!$B$13)),",","."),".",MID(1/2,2,1)),"")))</f>
        <v/>
      </c>
      <c r="H252">
        <f>IF(F252="",0,IF(COUNTIF(Настройки!$B$17:$B$26,F252)&gt;0,1,IF(COUNTIF(Настройки!$C$17:$C$26,F252)&gt;0,2,IF(COUNTIF(Настройки!$D$17:$D$26,F252)&gt;0,3,0))))</f>
        <v/>
      </c>
      <c r="I252">
        <f>IF(AND(ISNUMBER(A252),ISNUMBER(B252)),A252*1000+B252,"")</f>
        <v/>
      </c>
      <c r="J252">
        <f>IF(I252="","",IF(COUNTIF(I$2:I252,I252)=1,MAX(J$1:J251)+1,""))</f>
        <v/>
      </c>
    </row>
    <row r="253">
      <c r="A253">
        <f>IFERROR(--SUBSTITUTE(SUBSTITUTE(TRIM(INDEX(INDIRECT("'Выгрузка'!A253:Z253"),Настройки!$B$7)),",","."),".",MID(1/2,2,1)),"")</f>
        <v/>
      </c>
      <c r="B253">
        <f>IFERROR(--SUBSTITUTE(SUBSTITUTE(TRIM(INDEX(INDIRECT("'Выгрузка'!A253:Z253"),Настройки!$B$9)),",","."),".",MID(1/2,2,1)),"")</f>
        <v/>
      </c>
      <c r="C253">
        <f>TRIM(INDEX(INDIRECT("'Выгрузка'!A253:Z253"),Настройки!$B$8)&amp;"")</f>
        <v/>
      </c>
      <c r="D253">
        <f>IFERROR(--SUBSTITUTE(SUBSTITUTE(TRIM(INDEX(INDIRECT("'Выгрузка'!A253:Z253"),Настройки!$B$10)),",","."),".",MID(1/2,2,1)),"")</f>
        <v/>
      </c>
      <c r="E253">
        <f>IFERROR(--SUBSTITUTE(SUBSTITUTE(TRIM(INDEX(INDIRECT("'Выгрузка'!A253:Z253"),Настройки!$B$11)),",","."),".",MID(1/2,2,1)),"")</f>
        <v/>
      </c>
      <c r="F253">
        <f>TRIM(INDEX(INDIRECT("'Выгрузка'!A253:Z253"),Настройки!$B$12)&amp;"")</f>
        <v/>
      </c>
      <c r="G253">
        <f>IF(F253="",0,IF(TRIM(INDEX(INDIRECT("'Выгрузка'!A253:Z253"),Настройки!$B$13)&amp;"")="",1,IFERROR(--SUBSTITUTE(SUBSTITUTE(TRIM(INDEX(INDIRECT("'Выгрузка'!A253:Z253"),Настройки!$B$13)),",","."),".",MID(1/2,2,1)),"")))</f>
        <v/>
      </c>
      <c r="H253">
        <f>IF(F253="",0,IF(COUNTIF(Настройки!$B$17:$B$26,F253)&gt;0,1,IF(COUNTIF(Настройки!$C$17:$C$26,F253)&gt;0,2,IF(COUNTIF(Настройки!$D$17:$D$26,F253)&gt;0,3,0))))</f>
        <v/>
      </c>
      <c r="I253">
        <f>IF(AND(ISNUMBER(A253),ISNUMBER(B253)),A253*1000+B253,"")</f>
        <v/>
      </c>
      <c r="J253">
        <f>IF(I253="","",IF(COUNTIF(I$2:I253,I253)=1,MAX(J$1:J252)+1,""))</f>
        <v/>
      </c>
    </row>
    <row r="254">
      <c r="A254">
        <f>IFERROR(--SUBSTITUTE(SUBSTITUTE(TRIM(INDEX(INDIRECT("'Выгрузка'!A254:Z254"),Настройки!$B$7)),",","."),".",MID(1/2,2,1)),"")</f>
        <v/>
      </c>
      <c r="B254">
        <f>IFERROR(--SUBSTITUTE(SUBSTITUTE(TRIM(INDEX(INDIRECT("'Выгрузка'!A254:Z254"),Настройки!$B$9)),",","."),".",MID(1/2,2,1)),"")</f>
        <v/>
      </c>
      <c r="C254">
        <f>TRIM(INDEX(INDIRECT("'Выгрузка'!A254:Z254"),Настройки!$B$8)&amp;"")</f>
        <v/>
      </c>
      <c r="D254">
        <f>IFERROR(--SUBSTITUTE(SUBSTITUTE(TRIM(INDEX(INDIRECT("'Выгрузка'!A254:Z254"),Настройки!$B$10)),",","."),".",MID(1/2,2,1)),"")</f>
        <v/>
      </c>
      <c r="E254">
        <f>IFERROR(--SUBSTITUTE(SUBSTITUTE(TRIM(INDEX(INDIRECT("'Выгрузка'!A254:Z254"),Настройки!$B$11)),",","."),".",MID(1/2,2,1)),"")</f>
        <v/>
      </c>
      <c r="F254">
        <f>TRIM(INDEX(INDIRECT("'Выгрузка'!A254:Z254"),Настройки!$B$12)&amp;"")</f>
        <v/>
      </c>
      <c r="G254">
        <f>IF(F254="",0,IF(TRIM(INDEX(INDIRECT("'Выгрузка'!A254:Z254"),Настройки!$B$13)&amp;"")="",1,IFERROR(--SUBSTITUTE(SUBSTITUTE(TRIM(INDEX(INDIRECT("'Выгрузка'!A254:Z254"),Настройки!$B$13)),",","."),".",MID(1/2,2,1)),"")))</f>
        <v/>
      </c>
      <c r="H254">
        <f>IF(F254="",0,IF(COUNTIF(Настройки!$B$17:$B$26,F254)&gt;0,1,IF(COUNTIF(Настройки!$C$17:$C$26,F254)&gt;0,2,IF(COUNTIF(Настройки!$D$17:$D$26,F254)&gt;0,3,0))))</f>
        <v/>
      </c>
      <c r="I254">
        <f>IF(AND(ISNUMBER(A254),ISNUMBER(B254)),A254*1000+B254,"")</f>
        <v/>
      </c>
      <c r="J254">
        <f>IF(I254="","",IF(COUNTIF(I$2:I254,I254)=1,MAX(J$1:J253)+1,""))</f>
        <v/>
      </c>
    </row>
    <row r="255">
      <c r="A255">
        <f>IFERROR(--SUBSTITUTE(SUBSTITUTE(TRIM(INDEX(INDIRECT("'Выгрузка'!A255:Z255"),Настройки!$B$7)),",","."),".",MID(1/2,2,1)),"")</f>
        <v/>
      </c>
      <c r="B255">
        <f>IFERROR(--SUBSTITUTE(SUBSTITUTE(TRIM(INDEX(INDIRECT("'Выгрузка'!A255:Z255"),Настройки!$B$9)),",","."),".",MID(1/2,2,1)),"")</f>
        <v/>
      </c>
      <c r="C255">
        <f>TRIM(INDEX(INDIRECT("'Выгрузка'!A255:Z255"),Настройки!$B$8)&amp;"")</f>
        <v/>
      </c>
      <c r="D255">
        <f>IFERROR(--SUBSTITUTE(SUBSTITUTE(TRIM(INDEX(INDIRECT("'Выгрузка'!A255:Z255"),Настройки!$B$10)),",","."),".",MID(1/2,2,1)),"")</f>
        <v/>
      </c>
      <c r="E255">
        <f>IFERROR(--SUBSTITUTE(SUBSTITUTE(TRIM(INDEX(INDIRECT("'Выгрузка'!A255:Z255"),Настройки!$B$11)),",","."),".",MID(1/2,2,1)),"")</f>
        <v/>
      </c>
      <c r="F255">
        <f>TRIM(INDEX(INDIRECT("'Выгрузка'!A255:Z255"),Настройки!$B$12)&amp;"")</f>
        <v/>
      </c>
      <c r="G255">
        <f>IF(F255="",0,IF(TRIM(INDEX(INDIRECT("'Выгрузка'!A255:Z255"),Настройки!$B$13)&amp;"")="",1,IFERROR(--SUBSTITUTE(SUBSTITUTE(TRIM(INDEX(INDIRECT("'Выгрузка'!A255:Z255"),Настройки!$B$13)),",","."),".",MID(1/2,2,1)),"")))</f>
        <v/>
      </c>
      <c r="H255">
        <f>IF(F255="",0,IF(COUNTIF(Настройки!$B$17:$B$26,F255)&gt;0,1,IF(COUNTIF(Настройки!$C$17:$C$26,F255)&gt;0,2,IF(COUNTIF(Настройки!$D$17:$D$26,F255)&gt;0,3,0))))</f>
        <v/>
      </c>
      <c r="I255">
        <f>IF(AND(ISNUMBER(A255),ISNUMBER(B255)),A255*1000+B255,"")</f>
        <v/>
      </c>
      <c r="J255">
        <f>IF(I255="","",IF(COUNTIF(I$2:I255,I255)=1,MAX(J$1:J254)+1,""))</f>
        <v/>
      </c>
    </row>
    <row r="256">
      <c r="A256">
        <f>IFERROR(--SUBSTITUTE(SUBSTITUTE(TRIM(INDEX(INDIRECT("'Выгрузка'!A256:Z256"),Настройки!$B$7)),",","."),".",MID(1/2,2,1)),"")</f>
        <v/>
      </c>
      <c r="B256">
        <f>IFERROR(--SUBSTITUTE(SUBSTITUTE(TRIM(INDEX(INDIRECT("'Выгрузка'!A256:Z256"),Настройки!$B$9)),",","."),".",MID(1/2,2,1)),"")</f>
        <v/>
      </c>
      <c r="C256">
        <f>TRIM(INDEX(INDIRECT("'Выгрузка'!A256:Z256"),Настройки!$B$8)&amp;"")</f>
        <v/>
      </c>
      <c r="D256">
        <f>IFERROR(--SUBSTITUTE(SUBSTITUTE(TRIM(INDEX(INDIRECT("'Выгрузка'!A256:Z256"),Настройки!$B$10)),",","."),".",MID(1/2,2,1)),"")</f>
        <v/>
      </c>
      <c r="E256">
        <f>IFERROR(--SUBSTITUTE(SUBSTITUTE(TRIM(INDEX(INDIRECT("'Выгрузка'!A256:Z256"),Настройки!$B$11)),",","."),".",MID(1/2,2,1)),"")</f>
        <v/>
      </c>
      <c r="F256">
        <f>TRIM(INDEX(INDIRECT("'Выгрузка'!A256:Z256"),Настройки!$B$12)&amp;"")</f>
        <v/>
      </c>
      <c r="G256">
        <f>IF(F256="",0,IF(TRIM(INDEX(INDIRECT("'Выгрузка'!A256:Z256"),Настройки!$B$13)&amp;"")="",1,IFERROR(--SUBSTITUTE(SUBSTITUTE(TRIM(INDEX(INDIRECT("'Выгрузка'!A256:Z256"),Настройки!$B$13)),",","."),".",MID(1/2,2,1)),"")))</f>
        <v/>
      </c>
      <c r="H256">
        <f>IF(F256="",0,IF(COUNTIF(Настройки!$B$17:$B$26,F256)&gt;0,1,IF(COUNTIF(Настройки!$C$17:$C$26,F256)&gt;0,2,IF(COUNTIF(Настройки!$D$17:$D$26,F256)&gt;0,3,0))))</f>
        <v/>
      </c>
      <c r="I256">
        <f>IF(AND(ISNUMBER(A256),ISNUMBER(B256)),A256*1000+B256,"")</f>
        <v/>
      </c>
      <c r="J256">
        <f>IF(I256="","",IF(COUNTIF(I$2:I256,I256)=1,MAX(J$1:J255)+1,""))</f>
        <v/>
      </c>
    </row>
    <row r="257">
      <c r="A257">
        <f>IFERROR(--SUBSTITUTE(SUBSTITUTE(TRIM(INDEX(INDIRECT("'Выгрузка'!A257:Z257"),Настройки!$B$7)),",","."),".",MID(1/2,2,1)),"")</f>
        <v/>
      </c>
      <c r="B257">
        <f>IFERROR(--SUBSTITUTE(SUBSTITUTE(TRIM(INDEX(INDIRECT("'Выгрузка'!A257:Z257"),Настройки!$B$9)),",","."),".",MID(1/2,2,1)),"")</f>
        <v/>
      </c>
      <c r="C257">
        <f>TRIM(INDEX(INDIRECT("'Выгрузка'!A257:Z257"),Настройки!$B$8)&amp;"")</f>
        <v/>
      </c>
      <c r="D257">
        <f>IFERROR(--SUBSTITUTE(SUBSTITUTE(TRIM(INDEX(INDIRECT("'Выгрузка'!A257:Z257"),Настройки!$B$10)),",","."),".",MID(1/2,2,1)),"")</f>
        <v/>
      </c>
      <c r="E257">
        <f>IFERROR(--SUBSTITUTE(SUBSTITUTE(TRIM(INDEX(INDIRECT("'Выгрузка'!A257:Z257"),Настройки!$B$11)),",","."),".",MID(1/2,2,1)),"")</f>
        <v/>
      </c>
      <c r="F257">
        <f>TRIM(INDEX(INDIRECT("'Выгрузка'!A257:Z257"),Настройки!$B$12)&amp;"")</f>
        <v/>
      </c>
      <c r="G257">
        <f>IF(F257="",0,IF(TRIM(INDEX(INDIRECT("'Выгрузка'!A257:Z257"),Настройки!$B$13)&amp;"")="",1,IFERROR(--SUBSTITUTE(SUBSTITUTE(TRIM(INDEX(INDIRECT("'Выгрузка'!A257:Z257"),Настройки!$B$13)),",","."),".",MID(1/2,2,1)),"")))</f>
        <v/>
      </c>
      <c r="H257">
        <f>IF(F257="",0,IF(COUNTIF(Настройки!$B$17:$B$26,F257)&gt;0,1,IF(COUNTIF(Настройки!$C$17:$C$26,F257)&gt;0,2,IF(COUNTIF(Настройки!$D$17:$D$26,F257)&gt;0,3,0))))</f>
        <v/>
      </c>
      <c r="I257">
        <f>IF(AND(ISNUMBER(A257),ISNUMBER(B257)),A257*1000+B257,"")</f>
        <v/>
      </c>
      <c r="J257">
        <f>IF(I257="","",IF(COUNTIF(I$2:I257,I257)=1,MAX(J$1:J256)+1,""))</f>
        <v/>
      </c>
    </row>
    <row r="258">
      <c r="A258">
        <f>IFERROR(--SUBSTITUTE(SUBSTITUTE(TRIM(INDEX(INDIRECT("'Выгрузка'!A258:Z258"),Настройки!$B$7)),",","."),".",MID(1/2,2,1)),"")</f>
        <v/>
      </c>
      <c r="B258">
        <f>IFERROR(--SUBSTITUTE(SUBSTITUTE(TRIM(INDEX(INDIRECT("'Выгрузка'!A258:Z258"),Настройки!$B$9)),",","."),".",MID(1/2,2,1)),"")</f>
        <v/>
      </c>
      <c r="C258">
        <f>TRIM(INDEX(INDIRECT("'Выгрузка'!A258:Z258"),Настройки!$B$8)&amp;"")</f>
        <v/>
      </c>
      <c r="D258">
        <f>IFERROR(--SUBSTITUTE(SUBSTITUTE(TRIM(INDEX(INDIRECT("'Выгрузка'!A258:Z258"),Настройки!$B$10)),",","."),".",MID(1/2,2,1)),"")</f>
        <v/>
      </c>
      <c r="E258">
        <f>IFERROR(--SUBSTITUTE(SUBSTITUTE(TRIM(INDEX(INDIRECT("'Выгрузка'!A258:Z258"),Настройки!$B$11)),",","."),".",MID(1/2,2,1)),"")</f>
        <v/>
      </c>
      <c r="F258">
        <f>TRIM(INDEX(INDIRECT("'Выгрузка'!A258:Z258"),Настройки!$B$12)&amp;"")</f>
        <v/>
      </c>
      <c r="G258">
        <f>IF(F258="",0,IF(TRIM(INDEX(INDIRECT("'Выгрузка'!A258:Z258"),Настройки!$B$13)&amp;"")="",1,IFERROR(--SUBSTITUTE(SUBSTITUTE(TRIM(INDEX(INDIRECT("'Выгрузка'!A258:Z258"),Настройки!$B$13)),",","."),".",MID(1/2,2,1)),"")))</f>
        <v/>
      </c>
      <c r="H258">
        <f>IF(F258="",0,IF(COUNTIF(Настройки!$B$17:$B$26,F258)&gt;0,1,IF(COUNTIF(Настройки!$C$17:$C$26,F258)&gt;0,2,IF(COUNTIF(Настройки!$D$17:$D$26,F258)&gt;0,3,0))))</f>
        <v/>
      </c>
      <c r="I258">
        <f>IF(AND(ISNUMBER(A258),ISNUMBER(B258)),A258*1000+B258,"")</f>
        <v/>
      </c>
      <c r="J258">
        <f>IF(I258="","",IF(COUNTIF(I$2:I258,I258)=1,MAX(J$1:J257)+1,""))</f>
        <v/>
      </c>
    </row>
    <row r="259">
      <c r="A259">
        <f>IFERROR(--SUBSTITUTE(SUBSTITUTE(TRIM(INDEX(INDIRECT("'Выгрузка'!A259:Z259"),Настройки!$B$7)),",","."),".",MID(1/2,2,1)),"")</f>
        <v/>
      </c>
      <c r="B259">
        <f>IFERROR(--SUBSTITUTE(SUBSTITUTE(TRIM(INDEX(INDIRECT("'Выгрузка'!A259:Z259"),Настройки!$B$9)),",","."),".",MID(1/2,2,1)),"")</f>
        <v/>
      </c>
      <c r="C259">
        <f>TRIM(INDEX(INDIRECT("'Выгрузка'!A259:Z259"),Настройки!$B$8)&amp;"")</f>
        <v/>
      </c>
      <c r="D259">
        <f>IFERROR(--SUBSTITUTE(SUBSTITUTE(TRIM(INDEX(INDIRECT("'Выгрузка'!A259:Z259"),Настройки!$B$10)),",","."),".",MID(1/2,2,1)),"")</f>
        <v/>
      </c>
      <c r="E259">
        <f>IFERROR(--SUBSTITUTE(SUBSTITUTE(TRIM(INDEX(INDIRECT("'Выгрузка'!A259:Z259"),Настройки!$B$11)),",","."),".",MID(1/2,2,1)),"")</f>
        <v/>
      </c>
      <c r="F259">
        <f>TRIM(INDEX(INDIRECT("'Выгрузка'!A259:Z259"),Настройки!$B$12)&amp;"")</f>
        <v/>
      </c>
      <c r="G259">
        <f>IF(F259="",0,IF(TRIM(INDEX(INDIRECT("'Выгрузка'!A259:Z259"),Настройки!$B$13)&amp;"")="",1,IFERROR(--SUBSTITUTE(SUBSTITUTE(TRIM(INDEX(INDIRECT("'Выгрузка'!A259:Z259"),Настройки!$B$13)),",","."),".",MID(1/2,2,1)),"")))</f>
        <v/>
      </c>
      <c r="H259">
        <f>IF(F259="",0,IF(COUNTIF(Настройки!$B$17:$B$26,F259)&gt;0,1,IF(COUNTIF(Настройки!$C$17:$C$26,F259)&gt;0,2,IF(COUNTIF(Настройки!$D$17:$D$26,F259)&gt;0,3,0))))</f>
        <v/>
      </c>
      <c r="I259">
        <f>IF(AND(ISNUMBER(A259),ISNUMBER(B259)),A259*1000+B259,"")</f>
        <v/>
      </c>
      <c r="J259">
        <f>IF(I259="","",IF(COUNTIF(I$2:I259,I259)=1,MAX(J$1:J258)+1,""))</f>
        <v/>
      </c>
    </row>
    <row r="260">
      <c r="A260">
        <f>IFERROR(--SUBSTITUTE(SUBSTITUTE(TRIM(INDEX(INDIRECT("'Выгрузка'!A260:Z260"),Настройки!$B$7)),",","."),".",MID(1/2,2,1)),"")</f>
        <v/>
      </c>
      <c r="B260">
        <f>IFERROR(--SUBSTITUTE(SUBSTITUTE(TRIM(INDEX(INDIRECT("'Выгрузка'!A260:Z260"),Настройки!$B$9)),",","."),".",MID(1/2,2,1)),"")</f>
        <v/>
      </c>
      <c r="C260">
        <f>TRIM(INDEX(INDIRECT("'Выгрузка'!A260:Z260"),Настройки!$B$8)&amp;"")</f>
        <v/>
      </c>
      <c r="D260">
        <f>IFERROR(--SUBSTITUTE(SUBSTITUTE(TRIM(INDEX(INDIRECT("'Выгрузка'!A260:Z260"),Настройки!$B$10)),",","."),".",MID(1/2,2,1)),"")</f>
        <v/>
      </c>
      <c r="E260">
        <f>IFERROR(--SUBSTITUTE(SUBSTITUTE(TRIM(INDEX(INDIRECT("'Выгрузка'!A260:Z260"),Настройки!$B$11)),",","."),".",MID(1/2,2,1)),"")</f>
        <v/>
      </c>
      <c r="F260">
        <f>TRIM(INDEX(INDIRECT("'Выгрузка'!A260:Z260"),Настройки!$B$12)&amp;"")</f>
        <v/>
      </c>
      <c r="G260">
        <f>IF(F260="",0,IF(TRIM(INDEX(INDIRECT("'Выгрузка'!A260:Z260"),Настройки!$B$13)&amp;"")="",1,IFERROR(--SUBSTITUTE(SUBSTITUTE(TRIM(INDEX(INDIRECT("'Выгрузка'!A260:Z260"),Настройки!$B$13)),",","."),".",MID(1/2,2,1)),"")))</f>
        <v/>
      </c>
      <c r="H260">
        <f>IF(F260="",0,IF(COUNTIF(Настройки!$B$17:$B$26,F260)&gt;0,1,IF(COUNTIF(Настройки!$C$17:$C$26,F260)&gt;0,2,IF(COUNTIF(Настройки!$D$17:$D$26,F260)&gt;0,3,0))))</f>
        <v/>
      </c>
      <c r="I260">
        <f>IF(AND(ISNUMBER(A260),ISNUMBER(B260)),A260*1000+B260,"")</f>
        <v/>
      </c>
      <c r="J260">
        <f>IF(I260="","",IF(COUNTIF(I$2:I260,I260)=1,MAX(J$1:J259)+1,""))</f>
        <v/>
      </c>
    </row>
    <row r="261">
      <c r="A261">
        <f>IFERROR(--SUBSTITUTE(SUBSTITUTE(TRIM(INDEX(INDIRECT("'Выгрузка'!A261:Z261"),Настройки!$B$7)),",","."),".",MID(1/2,2,1)),"")</f>
        <v/>
      </c>
      <c r="B261">
        <f>IFERROR(--SUBSTITUTE(SUBSTITUTE(TRIM(INDEX(INDIRECT("'Выгрузка'!A261:Z261"),Настройки!$B$9)),",","."),".",MID(1/2,2,1)),"")</f>
        <v/>
      </c>
      <c r="C261">
        <f>TRIM(INDEX(INDIRECT("'Выгрузка'!A261:Z261"),Настройки!$B$8)&amp;"")</f>
        <v/>
      </c>
      <c r="D261">
        <f>IFERROR(--SUBSTITUTE(SUBSTITUTE(TRIM(INDEX(INDIRECT("'Выгрузка'!A261:Z261"),Настройки!$B$10)),",","."),".",MID(1/2,2,1)),"")</f>
        <v/>
      </c>
      <c r="E261">
        <f>IFERROR(--SUBSTITUTE(SUBSTITUTE(TRIM(INDEX(INDIRECT("'Выгрузка'!A261:Z261"),Настройки!$B$11)),",","."),".",MID(1/2,2,1)),"")</f>
        <v/>
      </c>
      <c r="F261">
        <f>TRIM(INDEX(INDIRECT("'Выгрузка'!A261:Z261"),Настройки!$B$12)&amp;"")</f>
        <v/>
      </c>
      <c r="G261">
        <f>IF(F261="",0,IF(TRIM(INDEX(INDIRECT("'Выгрузка'!A261:Z261"),Настройки!$B$13)&amp;"")="",1,IFERROR(--SUBSTITUTE(SUBSTITUTE(TRIM(INDEX(INDIRECT("'Выгрузка'!A261:Z261"),Настройки!$B$13)),",","."),".",MID(1/2,2,1)),"")))</f>
        <v/>
      </c>
      <c r="H261">
        <f>IF(F261="",0,IF(COUNTIF(Настройки!$B$17:$B$26,F261)&gt;0,1,IF(COUNTIF(Настройки!$C$17:$C$26,F261)&gt;0,2,IF(COUNTIF(Настройки!$D$17:$D$26,F261)&gt;0,3,0))))</f>
        <v/>
      </c>
      <c r="I261">
        <f>IF(AND(ISNUMBER(A261),ISNUMBER(B261)),A261*1000+B261,"")</f>
        <v/>
      </c>
      <c r="J261">
        <f>IF(I261="","",IF(COUNTIF(I$2:I261,I261)=1,MAX(J$1:J260)+1,""))</f>
        <v/>
      </c>
    </row>
    <row r="262">
      <c r="A262">
        <f>IFERROR(--SUBSTITUTE(SUBSTITUTE(TRIM(INDEX(INDIRECT("'Выгрузка'!A262:Z262"),Настройки!$B$7)),",","."),".",MID(1/2,2,1)),"")</f>
        <v/>
      </c>
      <c r="B262">
        <f>IFERROR(--SUBSTITUTE(SUBSTITUTE(TRIM(INDEX(INDIRECT("'Выгрузка'!A262:Z262"),Настройки!$B$9)),",","."),".",MID(1/2,2,1)),"")</f>
        <v/>
      </c>
      <c r="C262">
        <f>TRIM(INDEX(INDIRECT("'Выгрузка'!A262:Z262"),Настройки!$B$8)&amp;"")</f>
        <v/>
      </c>
      <c r="D262">
        <f>IFERROR(--SUBSTITUTE(SUBSTITUTE(TRIM(INDEX(INDIRECT("'Выгрузка'!A262:Z262"),Настройки!$B$10)),",","."),".",MID(1/2,2,1)),"")</f>
        <v/>
      </c>
      <c r="E262">
        <f>IFERROR(--SUBSTITUTE(SUBSTITUTE(TRIM(INDEX(INDIRECT("'Выгрузка'!A262:Z262"),Настройки!$B$11)),",","."),".",MID(1/2,2,1)),"")</f>
        <v/>
      </c>
      <c r="F262">
        <f>TRIM(INDEX(INDIRECT("'Выгрузка'!A262:Z262"),Настройки!$B$12)&amp;"")</f>
        <v/>
      </c>
      <c r="G262">
        <f>IF(F262="",0,IF(TRIM(INDEX(INDIRECT("'Выгрузка'!A262:Z262"),Настройки!$B$13)&amp;"")="",1,IFERROR(--SUBSTITUTE(SUBSTITUTE(TRIM(INDEX(INDIRECT("'Выгрузка'!A262:Z262"),Настройки!$B$13)),",","."),".",MID(1/2,2,1)),"")))</f>
        <v/>
      </c>
      <c r="H262">
        <f>IF(F262="",0,IF(COUNTIF(Настройки!$B$17:$B$26,F262)&gt;0,1,IF(COUNTIF(Настройки!$C$17:$C$26,F262)&gt;0,2,IF(COUNTIF(Настройки!$D$17:$D$26,F262)&gt;0,3,0))))</f>
        <v/>
      </c>
      <c r="I262">
        <f>IF(AND(ISNUMBER(A262),ISNUMBER(B262)),A262*1000+B262,"")</f>
        <v/>
      </c>
      <c r="J262">
        <f>IF(I262="","",IF(COUNTIF(I$2:I262,I262)=1,MAX(J$1:J261)+1,""))</f>
        <v/>
      </c>
    </row>
    <row r="263">
      <c r="A263">
        <f>IFERROR(--SUBSTITUTE(SUBSTITUTE(TRIM(INDEX(INDIRECT("'Выгрузка'!A263:Z263"),Настройки!$B$7)),",","."),".",MID(1/2,2,1)),"")</f>
        <v/>
      </c>
      <c r="B263">
        <f>IFERROR(--SUBSTITUTE(SUBSTITUTE(TRIM(INDEX(INDIRECT("'Выгрузка'!A263:Z263"),Настройки!$B$9)),",","."),".",MID(1/2,2,1)),"")</f>
        <v/>
      </c>
      <c r="C263">
        <f>TRIM(INDEX(INDIRECT("'Выгрузка'!A263:Z263"),Настройки!$B$8)&amp;"")</f>
        <v/>
      </c>
      <c r="D263">
        <f>IFERROR(--SUBSTITUTE(SUBSTITUTE(TRIM(INDEX(INDIRECT("'Выгрузка'!A263:Z263"),Настройки!$B$10)),",","."),".",MID(1/2,2,1)),"")</f>
        <v/>
      </c>
      <c r="E263">
        <f>IFERROR(--SUBSTITUTE(SUBSTITUTE(TRIM(INDEX(INDIRECT("'Выгрузка'!A263:Z263"),Настройки!$B$11)),",","."),".",MID(1/2,2,1)),"")</f>
        <v/>
      </c>
      <c r="F263">
        <f>TRIM(INDEX(INDIRECT("'Выгрузка'!A263:Z263"),Настройки!$B$12)&amp;"")</f>
        <v/>
      </c>
      <c r="G263">
        <f>IF(F263="",0,IF(TRIM(INDEX(INDIRECT("'Выгрузка'!A263:Z263"),Настройки!$B$13)&amp;"")="",1,IFERROR(--SUBSTITUTE(SUBSTITUTE(TRIM(INDEX(INDIRECT("'Выгрузка'!A263:Z263"),Настройки!$B$13)),",","."),".",MID(1/2,2,1)),"")))</f>
        <v/>
      </c>
      <c r="H263">
        <f>IF(F263="",0,IF(COUNTIF(Настройки!$B$17:$B$26,F263)&gt;0,1,IF(COUNTIF(Настройки!$C$17:$C$26,F263)&gt;0,2,IF(COUNTIF(Настройки!$D$17:$D$26,F263)&gt;0,3,0))))</f>
        <v/>
      </c>
      <c r="I263">
        <f>IF(AND(ISNUMBER(A263),ISNUMBER(B263)),A263*1000+B263,"")</f>
        <v/>
      </c>
      <c r="J263">
        <f>IF(I263="","",IF(COUNTIF(I$2:I263,I263)=1,MAX(J$1:J262)+1,""))</f>
        <v/>
      </c>
    </row>
    <row r="264">
      <c r="A264">
        <f>IFERROR(--SUBSTITUTE(SUBSTITUTE(TRIM(INDEX(INDIRECT("'Выгрузка'!A264:Z264"),Настройки!$B$7)),",","."),".",MID(1/2,2,1)),"")</f>
        <v/>
      </c>
      <c r="B264">
        <f>IFERROR(--SUBSTITUTE(SUBSTITUTE(TRIM(INDEX(INDIRECT("'Выгрузка'!A264:Z264"),Настройки!$B$9)),",","."),".",MID(1/2,2,1)),"")</f>
        <v/>
      </c>
      <c r="C264">
        <f>TRIM(INDEX(INDIRECT("'Выгрузка'!A264:Z264"),Настройки!$B$8)&amp;"")</f>
        <v/>
      </c>
      <c r="D264">
        <f>IFERROR(--SUBSTITUTE(SUBSTITUTE(TRIM(INDEX(INDIRECT("'Выгрузка'!A264:Z264"),Настройки!$B$10)),",","."),".",MID(1/2,2,1)),"")</f>
        <v/>
      </c>
      <c r="E264">
        <f>IFERROR(--SUBSTITUTE(SUBSTITUTE(TRIM(INDEX(INDIRECT("'Выгрузка'!A264:Z264"),Настройки!$B$11)),",","."),".",MID(1/2,2,1)),"")</f>
        <v/>
      </c>
      <c r="F264">
        <f>TRIM(INDEX(INDIRECT("'Выгрузка'!A264:Z264"),Настройки!$B$12)&amp;"")</f>
        <v/>
      </c>
      <c r="G264">
        <f>IF(F264="",0,IF(TRIM(INDEX(INDIRECT("'Выгрузка'!A264:Z264"),Настройки!$B$13)&amp;"")="",1,IFERROR(--SUBSTITUTE(SUBSTITUTE(TRIM(INDEX(INDIRECT("'Выгрузка'!A264:Z264"),Настройки!$B$13)),",","."),".",MID(1/2,2,1)),"")))</f>
        <v/>
      </c>
      <c r="H264">
        <f>IF(F264="",0,IF(COUNTIF(Настройки!$B$17:$B$26,F264)&gt;0,1,IF(COUNTIF(Настройки!$C$17:$C$26,F264)&gt;0,2,IF(COUNTIF(Настройки!$D$17:$D$26,F264)&gt;0,3,0))))</f>
        <v/>
      </c>
      <c r="I264">
        <f>IF(AND(ISNUMBER(A264),ISNUMBER(B264)),A264*1000+B264,"")</f>
        <v/>
      </c>
      <c r="J264">
        <f>IF(I264="","",IF(COUNTIF(I$2:I264,I264)=1,MAX(J$1:J263)+1,""))</f>
        <v/>
      </c>
    </row>
    <row r="265">
      <c r="A265">
        <f>IFERROR(--SUBSTITUTE(SUBSTITUTE(TRIM(INDEX(INDIRECT("'Выгрузка'!A265:Z265"),Настройки!$B$7)),",","."),".",MID(1/2,2,1)),"")</f>
        <v/>
      </c>
      <c r="B265">
        <f>IFERROR(--SUBSTITUTE(SUBSTITUTE(TRIM(INDEX(INDIRECT("'Выгрузка'!A265:Z265"),Настройки!$B$9)),",","."),".",MID(1/2,2,1)),"")</f>
        <v/>
      </c>
      <c r="C265">
        <f>TRIM(INDEX(INDIRECT("'Выгрузка'!A265:Z265"),Настройки!$B$8)&amp;"")</f>
        <v/>
      </c>
      <c r="D265">
        <f>IFERROR(--SUBSTITUTE(SUBSTITUTE(TRIM(INDEX(INDIRECT("'Выгрузка'!A265:Z265"),Настройки!$B$10)),",","."),".",MID(1/2,2,1)),"")</f>
        <v/>
      </c>
      <c r="E265">
        <f>IFERROR(--SUBSTITUTE(SUBSTITUTE(TRIM(INDEX(INDIRECT("'Выгрузка'!A265:Z265"),Настройки!$B$11)),",","."),".",MID(1/2,2,1)),"")</f>
        <v/>
      </c>
      <c r="F265">
        <f>TRIM(INDEX(INDIRECT("'Выгрузка'!A265:Z265"),Настройки!$B$12)&amp;"")</f>
        <v/>
      </c>
      <c r="G265">
        <f>IF(F265="",0,IF(TRIM(INDEX(INDIRECT("'Выгрузка'!A265:Z265"),Настройки!$B$13)&amp;"")="",1,IFERROR(--SUBSTITUTE(SUBSTITUTE(TRIM(INDEX(INDIRECT("'Выгрузка'!A265:Z265"),Настройки!$B$13)),",","."),".",MID(1/2,2,1)),"")))</f>
        <v/>
      </c>
      <c r="H265">
        <f>IF(F265="",0,IF(COUNTIF(Настройки!$B$17:$B$26,F265)&gt;0,1,IF(COUNTIF(Настройки!$C$17:$C$26,F265)&gt;0,2,IF(COUNTIF(Настройки!$D$17:$D$26,F265)&gt;0,3,0))))</f>
        <v/>
      </c>
      <c r="I265">
        <f>IF(AND(ISNUMBER(A265),ISNUMBER(B265)),A265*1000+B265,"")</f>
        <v/>
      </c>
      <c r="J265">
        <f>IF(I265="","",IF(COUNTIF(I$2:I265,I265)=1,MAX(J$1:J264)+1,""))</f>
        <v/>
      </c>
    </row>
    <row r="266">
      <c r="A266">
        <f>IFERROR(--SUBSTITUTE(SUBSTITUTE(TRIM(INDEX(INDIRECT("'Выгрузка'!A266:Z266"),Настройки!$B$7)),",","."),".",MID(1/2,2,1)),"")</f>
        <v/>
      </c>
      <c r="B266">
        <f>IFERROR(--SUBSTITUTE(SUBSTITUTE(TRIM(INDEX(INDIRECT("'Выгрузка'!A266:Z266"),Настройки!$B$9)),",","."),".",MID(1/2,2,1)),"")</f>
        <v/>
      </c>
      <c r="C266">
        <f>TRIM(INDEX(INDIRECT("'Выгрузка'!A266:Z266"),Настройки!$B$8)&amp;"")</f>
        <v/>
      </c>
      <c r="D266">
        <f>IFERROR(--SUBSTITUTE(SUBSTITUTE(TRIM(INDEX(INDIRECT("'Выгрузка'!A266:Z266"),Настройки!$B$10)),",","."),".",MID(1/2,2,1)),"")</f>
        <v/>
      </c>
      <c r="E266">
        <f>IFERROR(--SUBSTITUTE(SUBSTITUTE(TRIM(INDEX(INDIRECT("'Выгрузка'!A266:Z266"),Настройки!$B$11)),",","."),".",MID(1/2,2,1)),"")</f>
        <v/>
      </c>
      <c r="F266">
        <f>TRIM(INDEX(INDIRECT("'Выгрузка'!A266:Z266"),Настройки!$B$12)&amp;"")</f>
        <v/>
      </c>
      <c r="G266">
        <f>IF(F266="",0,IF(TRIM(INDEX(INDIRECT("'Выгрузка'!A266:Z266"),Настройки!$B$13)&amp;"")="",1,IFERROR(--SUBSTITUTE(SUBSTITUTE(TRIM(INDEX(INDIRECT("'Выгрузка'!A266:Z266"),Настройки!$B$13)),",","."),".",MID(1/2,2,1)),"")))</f>
        <v/>
      </c>
      <c r="H266">
        <f>IF(F266="",0,IF(COUNTIF(Настройки!$B$17:$B$26,F266)&gt;0,1,IF(COUNTIF(Настройки!$C$17:$C$26,F266)&gt;0,2,IF(COUNTIF(Настройки!$D$17:$D$26,F266)&gt;0,3,0))))</f>
        <v/>
      </c>
      <c r="I266">
        <f>IF(AND(ISNUMBER(A266),ISNUMBER(B266)),A266*1000+B266,"")</f>
        <v/>
      </c>
      <c r="J266">
        <f>IF(I266="","",IF(COUNTIF(I$2:I266,I266)=1,MAX(J$1:J265)+1,""))</f>
        <v/>
      </c>
    </row>
    <row r="267">
      <c r="A267">
        <f>IFERROR(--SUBSTITUTE(SUBSTITUTE(TRIM(INDEX(INDIRECT("'Выгрузка'!A267:Z267"),Настройки!$B$7)),",","."),".",MID(1/2,2,1)),"")</f>
        <v/>
      </c>
      <c r="B267">
        <f>IFERROR(--SUBSTITUTE(SUBSTITUTE(TRIM(INDEX(INDIRECT("'Выгрузка'!A267:Z267"),Настройки!$B$9)),",","."),".",MID(1/2,2,1)),"")</f>
        <v/>
      </c>
      <c r="C267">
        <f>TRIM(INDEX(INDIRECT("'Выгрузка'!A267:Z267"),Настройки!$B$8)&amp;"")</f>
        <v/>
      </c>
      <c r="D267">
        <f>IFERROR(--SUBSTITUTE(SUBSTITUTE(TRIM(INDEX(INDIRECT("'Выгрузка'!A267:Z267"),Настройки!$B$10)),",","."),".",MID(1/2,2,1)),"")</f>
        <v/>
      </c>
      <c r="E267">
        <f>IFERROR(--SUBSTITUTE(SUBSTITUTE(TRIM(INDEX(INDIRECT("'Выгрузка'!A267:Z267"),Настройки!$B$11)),",","."),".",MID(1/2,2,1)),"")</f>
        <v/>
      </c>
      <c r="F267">
        <f>TRIM(INDEX(INDIRECT("'Выгрузка'!A267:Z267"),Настройки!$B$12)&amp;"")</f>
        <v/>
      </c>
      <c r="G267">
        <f>IF(F267="",0,IF(TRIM(INDEX(INDIRECT("'Выгрузка'!A267:Z267"),Настройки!$B$13)&amp;"")="",1,IFERROR(--SUBSTITUTE(SUBSTITUTE(TRIM(INDEX(INDIRECT("'Выгрузка'!A267:Z267"),Настройки!$B$13)),",","."),".",MID(1/2,2,1)),"")))</f>
        <v/>
      </c>
      <c r="H267">
        <f>IF(F267="",0,IF(COUNTIF(Настройки!$B$17:$B$26,F267)&gt;0,1,IF(COUNTIF(Настройки!$C$17:$C$26,F267)&gt;0,2,IF(COUNTIF(Настройки!$D$17:$D$26,F267)&gt;0,3,0))))</f>
        <v/>
      </c>
      <c r="I267">
        <f>IF(AND(ISNUMBER(A267),ISNUMBER(B267)),A267*1000+B267,"")</f>
        <v/>
      </c>
      <c r="J267">
        <f>IF(I267="","",IF(COUNTIF(I$2:I267,I267)=1,MAX(J$1:J266)+1,""))</f>
        <v/>
      </c>
    </row>
    <row r="268">
      <c r="A268">
        <f>IFERROR(--SUBSTITUTE(SUBSTITUTE(TRIM(INDEX(INDIRECT("'Выгрузка'!A268:Z268"),Настройки!$B$7)),",","."),".",MID(1/2,2,1)),"")</f>
        <v/>
      </c>
      <c r="B268">
        <f>IFERROR(--SUBSTITUTE(SUBSTITUTE(TRIM(INDEX(INDIRECT("'Выгрузка'!A268:Z268"),Настройки!$B$9)),",","."),".",MID(1/2,2,1)),"")</f>
        <v/>
      </c>
      <c r="C268">
        <f>TRIM(INDEX(INDIRECT("'Выгрузка'!A268:Z268"),Настройки!$B$8)&amp;"")</f>
        <v/>
      </c>
      <c r="D268">
        <f>IFERROR(--SUBSTITUTE(SUBSTITUTE(TRIM(INDEX(INDIRECT("'Выгрузка'!A268:Z268"),Настройки!$B$10)),",","."),".",MID(1/2,2,1)),"")</f>
        <v/>
      </c>
      <c r="E268">
        <f>IFERROR(--SUBSTITUTE(SUBSTITUTE(TRIM(INDEX(INDIRECT("'Выгрузка'!A268:Z268"),Настройки!$B$11)),",","."),".",MID(1/2,2,1)),"")</f>
        <v/>
      </c>
      <c r="F268">
        <f>TRIM(INDEX(INDIRECT("'Выгрузка'!A268:Z268"),Настройки!$B$12)&amp;"")</f>
        <v/>
      </c>
      <c r="G268">
        <f>IF(F268="",0,IF(TRIM(INDEX(INDIRECT("'Выгрузка'!A268:Z268"),Настройки!$B$13)&amp;"")="",1,IFERROR(--SUBSTITUTE(SUBSTITUTE(TRIM(INDEX(INDIRECT("'Выгрузка'!A268:Z268"),Настройки!$B$13)),",","."),".",MID(1/2,2,1)),"")))</f>
        <v/>
      </c>
      <c r="H268">
        <f>IF(F268="",0,IF(COUNTIF(Настройки!$B$17:$B$26,F268)&gt;0,1,IF(COUNTIF(Настройки!$C$17:$C$26,F268)&gt;0,2,IF(COUNTIF(Настройки!$D$17:$D$26,F268)&gt;0,3,0))))</f>
        <v/>
      </c>
      <c r="I268">
        <f>IF(AND(ISNUMBER(A268),ISNUMBER(B268)),A268*1000+B268,"")</f>
        <v/>
      </c>
      <c r="J268">
        <f>IF(I268="","",IF(COUNTIF(I$2:I268,I268)=1,MAX(J$1:J267)+1,""))</f>
        <v/>
      </c>
    </row>
    <row r="269">
      <c r="A269">
        <f>IFERROR(--SUBSTITUTE(SUBSTITUTE(TRIM(INDEX(INDIRECT("'Выгрузка'!A269:Z269"),Настройки!$B$7)),",","."),".",MID(1/2,2,1)),"")</f>
        <v/>
      </c>
      <c r="B269">
        <f>IFERROR(--SUBSTITUTE(SUBSTITUTE(TRIM(INDEX(INDIRECT("'Выгрузка'!A269:Z269"),Настройки!$B$9)),",","."),".",MID(1/2,2,1)),"")</f>
        <v/>
      </c>
      <c r="C269">
        <f>TRIM(INDEX(INDIRECT("'Выгрузка'!A269:Z269"),Настройки!$B$8)&amp;"")</f>
        <v/>
      </c>
      <c r="D269">
        <f>IFERROR(--SUBSTITUTE(SUBSTITUTE(TRIM(INDEX(INDIRECT("'Выгрузка'!A269:Z269"),Настройки!$B$10)),",","."),".",MID(1/2,2,1)),"")</f>
        <v/>
      </c>
      <c r="E269">
        <f>IFERROR(--SUBSTITUTE(SUBSTITUTE(TRIM(INDEX(INDIRECT("'Выгрузка'!A269:Z269"),Настройки!$B$11)),",","."),".",MID(1/2,2,1)),"")</f>
        <v/>
      </c>
      <c r="F269">
        <f>TRIM(INDEX(INDIRECT("'Выгрузка'!A269:Z269"),Настройки!$B$12)&amp;"")</f>
        <v/>
      </c>
      <c r="G269">
        <f>IF(F269="",0,IF(TRIM(INDEX(INDIRECT("'Выгрузка'!A269:Z269"),Настройки!$B$13)&amp;"")="",1,IFERROR(--SUBSTITUTE(SUBSTITUTE(TRIM(INDEX(INDIRECT("'Выгрузка'!A269:Z269"),Настройки!$B$13)),",","."),".",MID(1/2,2,1)),"")))</f>
        <v/>
      </c>
      <c r="H269">
        <f>IF(F269="",0,IF(COUNTIF(Настройки!$B$17:$B$26,F269)&gt;0,1,IF(COUNTIF(Настройки!$C$17:$C$26,F269)&gt;0,2,IF(COUNTIF(Настройки!$D$17:$D$26,F269)&gt;0,3,0))))</f>
        <v/>
      </c>
      <c r="I269">
        <f>IF(AND(ISNUMBER(A269),ISNUMBER(B269)),A269*1000+B269,"")</f>
        <v/>
      </c>
      <c r="J269">
        <f>IF(I269="","",IF(COUNTIF(I$2:I269,I269)=1,MAX(J$1:J268)+1,""))</f>
        <v/>
      </c>
    </row>
    <row r="270">
      <c r="A270">
        <f>IFERROR(--SUBSTITUTE(SUBSTITUTE(TRIM(INDEX(INDIRECT("'Выгрузка'!A270:Z270"),Настройки!$B$7)),",","."),".",MID(1/2,2,1)),"")</f>
        <v/>
      </c>
      <c r="B270">
        <f>IFERROR(--SUBSTITUTE(SUBSTITUTE(TRIM(INDEX(INDIRECT("'Выгрузка'!A270:Z270"),Настройки!$B$9)),",","."),".",MID(1/2,2,1)),"")</f>
        <v/>
      </c>
      <c r="C270">
        <f>TRIM(INDEX(INDIRECT("'Выгрузка'!A270:Z270"),Настройки!$B$8)&amp;"")</f>
        <v/>
      </c>
      <c r="D270">
        <f>IFERROR(--SUBSTITUTE(SUBSTITUTE(TRIM(INDEX(INDIRECT("'Выгрузка'!A270:Z270"),Настройки!$B$10)),",","."),".",MID(1/2,2,1)),"")</f>
        <v/>
      </c>
      <c r="E270">
        <f>IFERROR(--SUBSTITUTE(SUBSTITUTE(TRIM(INDEX(INDIRECT("'Выгрузка'!A270:Z270"),Настройки!$B$11)),",","."),".",MID(1/2,2,1)),"")</f>
        <v/>
      </c>
      <c r="F270">
        <f>TRIM(INDEX(INDIRECT("'Выгрузка'!A270:Z270"),Настройки!$B$12)&amp;"")</f>
        <v/>
      </c>
      <c r="G270">
        <f>IF(F270="",0,IF(TRIM(INDEX(INDIRECT("'Выгрузка'!A270:Z270"),Настройки!$B$13)&amp;"")="",1,IFERROR(--SUBSTITUTE(SUBSTITUTE(TRIM(INDEX(INDIRECT("'Выгрузка'!A270:Z270"),Настройки!$B$13)),",","."),".",MID(1/2,2,1)),"")))</f>
        <v/>
      </c>
      <c r="H270">
        <f>IF(F270="",0,IF(COUNTIF(Настройки!$B$17:$B$26,F270)&gt;0,1,IF(COUNTIF(Настройки!$C$17:$C$26,F270)&gt;0,2,IF(COUNTIF(Настройки!$D$17:$D$26,F270)&gt;0,3,0))))</f>
        <v/>
      </c>
      <c r="I270">
        <f>IF(AND(ISNUMBER(A270),ISNUMBER(B270)),A270*1000+B270,"")</f>
        <v/>
      </c>
      <c r="J270">
        <f>IF(I270="","",IF(COUNTIF(I$2:I270,I270)=1,MAX(J$1:J269)+1,""))</f>
        <v/>
      </c>
    </row>
    <row r="271">
      <c r="A271">
        <f>IFERROR(--SUBSTITUTE(SUBSTITUTE(TRIM(INDEX(INDIRECT("'Выгрузка'!A271:Z271"),Настройки!$B$7)),",","."),".",MID(1/2,2,1)),"")</f>
        <v/>
      </c>
      <c r="B271">
        <f>IFERROR(--SUBSTITUTE(SUBSTITUTE(TRIM(INDEX(INDIRECT("'Выгрузка'!A271:Z271"),Настройки!$B$9)),",","."),".",MID(1/2,2,1)),"")</f>
        <v/>
      </c>
      <c r="C271">
        <f>TRIM(INDEX(INDIRECT("'Выгрузка'!A271:Z271"),Настройки!$B$8)&amp;"")</f>
        <v/>
      </c>
      <c r="D271">
        <f>IFERROR(--SUBSTITUTE(SUBSTITUTE(TRIM(INDEX(INDIRECT("'Выгрузка'!A271:Z271"),Настройки!$B$10)),",","."),".",MID(1/2,2,1)),"")</f>
        <v/>
      </c>
      <c r="E271">
        <f>IFERROR(--SUBSTITUTE(SUBSTITUTE(TRIM(INDEX(INDIRECT("'Выгрузка'!A271:Z271"),Настройки!$B$11)),",","."),".",MID(1/2,2,1)),"")</f>
        <v/>
      </c>
      <c r="F271">
        <f>TRIM(INDEX(INDIRECT("'Выгрузка'!A271:Z271"),Настройки!$B$12)&amp;"")</f>
        <v/>
      </c>
      <c r="G271">
        <f>IF(F271="",0,IF(TRIM(INDEX(INDIRECT("'Выгрузка'!A271:Z271"),Настройки!$B$13)&amp;"")="",1,IFERROR(--SUBSTITUTE(SUBSTITUTE(TRIM(INDEX(INDIRECT("'Выгрузка'!A271:Z271"),Настройки!$B$13)),",","."),".",MID(1/2,2,1)),"")))</f>
        <v/>
      </c>
      <c r="H271">
        <f>IF(F271="",0,IF(COUNTIF(Настройки!$B$17:$B$26,F271)&gt;0,1,IF(COUNTIF(Настройки!$C$17:$C$26,F271)&gt;0,2,IF(COUNTIF(Настройки!$D$17:$D$26,F271)&gt;0,3,0))))</f>
        <v/>
      </c>
      <c r="I271">
        <f>IF(AND(ISNUMBER(A271),ISNUMBER(B271)),A271*1000+B271,"")</f>
        <v/>
      </c>
      <c r="J271">
        <f>IF(I271="","",IF(COUNTIF(I$2:I271,I271)=1,MAX(J$1:J270)+1,""))</f>
        <v/>
      </c>
    </row>
    <row r="272">
      <c r="A272">
        <f>IFERROR(--SUBSTITUTE(SUBSTITUTE(TRIM(INDEX(INDIRECT("'Выгрузка'!A272:Z272"),Настройки!$B$7)),",","."),".",MID(1/2,2,1)),"")</f>
        <v/>
      </c>
      <c r="B272">
        <f>IFERROR(--SUBSTITUTE(SUBSTITUTE(TRIM(INDEX(INDIRECT("'Выгрузка'!A272:Z272"),Настройки!$B$9)),",","."),".",MID(1/2,2,1)),"")</f>
        <v/>
      </c>
      <c r="C272">
        <f>TRIM(INDEX(INDIRECT("'Выгрузка'!A272:Z272"),Настройки!$B$8)&amp;"")</f>
        <v/>
      </c>
      <c r="D272">
        <f>IFERROR(--SUBSTITUTE(SUBSTITUTE(TRIM(INDEX(INDIRECT("'Выгрузка'!A272:Z272"),Настройки!$B$10)),",","."),".",MID(1/2,2,1)),"")</f>
        <v/>
      </c>
      <c r="E272">
        <f>IFERROR(--SUBSTITUTE(SUBSTITUTE(TRIM(INDEX(INDIRECT("'Выгрузка'!A272:Z272"),Настройки!$B$11)),",","."),".",MID(1/2,2,1)),"")</f>
        <v/>
      </c>
      <c r="F272">
        <f>TRIM(INDEX(INDIRECT("'Выгрузка'!A272:Z272"),Настройки!$B$12)&amp;"")</f>
        <v/>
      </c>
      <c r="G272">
        <f>IF(F272="",0,IF(TRIM(INDEX(INDIRECT("'Выгрузка'!A272:Z272"),Настройки!$B$13)&amp;"")="",1,IFERROR(--SUBSTITUTE(SUBSTITUTE(TRIM(INDEX(INDIRECT("'Выгрузка'!A272:Z272"),Настройки!$B$13)),",","."),".",MID(1/2,2,1)),"")))</f>
        <v/>
      </c>
      <c r="H272">
        <f>IF(F272="",0,IF(COUNTIF(Настройки!$B$17:$B$26,F272)&gt;0,1,IF(COUNTIF(Настройки!$C$17:$C$26,F272)&gt;0,2,IF(COUNTIF(Настройки!$D$17:$D$26,F272)&gt;0,3,0))))</f>
        <v/>
      </c>
      <c r="I272">
        <f>IF(AND(ISNUMBER(A272),ISNUMBER(B272)),A272*1000+B272,"")</f>
        <v/>
      </c>
      <c r="J272">
        <f>IF(I272="","",IF(COUNTIF(I$2:I272,I272)=1,MAX(J$1:J271)+1,""))</f>
        <v/>
      </c>
    </row>
    <row r="273">
      <c r="A273">
        <f>IFERROR(--SUBSTITUTE(SUBSTITUTE(TRIM(INDEX(INDIRECT("'Выгрузка'!A273:Z273"),Настройки!$B$7)),",","."),".",MID(1/2,2,1)),"")</f>
        <v/>
      </c>
      <c r="B273">
        <f>IFERROR(--SUBSTITUTE(SUBSTITUTE(TRIM(INDEX(INDIRECT("'Выгрузка'!A273:Z273"),Настройки!$B$9)),",","."),".",MID(1/2,2,1)),"")</f>
        <v/>
      </c>
      <c r="C273">
        <f>TRIM(INDEX(INDIRECT("'Выгрузка'!A273:Z273"),Настройки!$B$8)&amp;"")</f>
        <v/>
      </c>
      <c r="D273">
        <f>IFERROR(--SUBSTITUTE(SUBSTITUTE(TRIM(INDEX(INDIRECT("'Выгрузка'!A273:Z273"),Настройки!$B$10)),",","."),".",MID(1/2,2,1)),"")</f>
        <v/>
      </c>
      <c r="E273">
        <f>IFERROR(--SUBSTITUTE(SUBSTITUTE(TRIM(INDEX(INDIRECT("'Выгрузка'!A273:Z273"),Настройки!$B$11)),",","."),".",MID(1/2,2,1)),"")</f>
        <v/>
      </c>
      <c r="F273">
        <f>TRIM(INDEX(INDIRECT("'Выгрузка'!A273:Z273"),Настройки!$B$12)&amp;"")</f>
        <v/>
      </c>
      <c r="G273">
        <f>IF(F273="",0,IF(TRIM(INDEX(INDIRECT("'Выгрузка'!A273:Z273"),Настройки!$B$13)&amp;"")="",1,IFERROR(--SUBSTITUTE(SUBSTITUTE(TRIM(INDEX(INDIRECT("'Выгрузка'!A273:Z273"),Настройки!$B$13)),",","."),".",MID(1/2,2,1)),"")))</f>
        <v/>
      </c>
      <c r="H273">
        <f>IF(F273="",0,IF(COUNTIF(Настройки!$B$17:$B$26,F273)&gt;0,1,IF(COUNTIF(Настройки!$C$17:$C$26,F273)&gt;0,2,IF(COUNTIF(Настройки!$D$17:$D$26,F273)&gt;0,3,0))))</f>
        <v/>
      </c>
      <c r="I273">
        <f>IF(AND(ISNUMBER(A273),ISNUMBER(B273)),A273*1000+B273,"")</f>
        <v/>
      </c>
      <c r="J273">
        <f>IF(I273="","",IF(COUNTIF(I$2:I273,I273)=1,MAX(J$1:J272)+1,""))</f>
        <v/>
      </c>
    </row>
    <row r="274">
      <c r="A274">
        <f>IFERROR(--SUBSTITUTE(SUBSTITUTE(TRIM(INDEX(INDIRECT("'Выгрузка'!A274:Z274"),Настройки!$B$7)),",","."),".",MID(1/2,2,1)),"")</f>
        <v/>
      </c>
      <c r="B274">
        <f>IFERROR(--SUBSTITUTE(SUBSTITUTE(TRIM(INDEX(INDIRECT("'Выгрузка'!A274:Z274"),Настройки!$B$9)),",","."),".",MID(1/2,2,1)),"")</f>
        <v/>
      </c>
      <c r="C274">
        <f>TRIM(INDEX(INDIRECT("'Выгрузка'!A274:Z274"),Настройки!$B$8)&amp;"")</f>
        <v/>
      </c>
      <c r="D274">
        <f>IFERROR(--SUBSTITUTE(SUBSTITUTE(TRIM(INDEX(INDIRECT("'Выгрузка'!A274:Z274"),Настройки!$B$10)),",","."),".",MID(1/2,2,1)),"")</f>
        <v/>
      </c>
      <c r="E274">
        <f>IFERROR(--SUBSTITUTE(SUBSTITUTE(TRIM(INDEX(INDIRECT("'Выгрузка'!A274:Z274"),Настройки!$B$11)),",","."),".",MID(1/2,2,1)),"")</f>
        <v/>
      </c>
      <c r="F274">
        <f>TRIM(INDEX(INDIRECT("'Выгрузка'!A274:Z274"),Настройки!$B$12)&amp;"")</f>
        <v/>
      </c>
      <c r="G274">
        <f>IF(F274="",0,IF(TRIM(INDEX(INDIRECT("'Выгрузка'!A274:Z274"),Настройки!$B$13)&amp;"")="",1,IFERROR(--SUBSTITUTE(SUBSTITUTE(TRIM(INDEX(INDIRECT("'Выгрузка'!A274:Z274"),Настройки!$B$13)),",","."),".",MID(1/2,2,1)),"")))</f>
        <v/>
      </c>
      <c r="H274">
        <f>IF(F274="",0,IF(COUNTIF(Настройки!$B$17:$B$26,F274)&gt;0,1,IF(COUNTIF(Настройки!$C$17:$C$26,F274)&gt;0,2,IF(COUNTIF(Настройки!$D$17:$D$26,F274)&gt;0,3,0))))</f>
        <v/>
      </c>
      <c r="I274">
        <f>IF(AND(ISNUMBER(A274),ISNUMBER(B274)),A274*1000+B274,"")</f>
        <v/>
      </c>
      <c r="J274">
        <f>IF(I274="","",IF(COUNTIF(I$2:I274,I274)=1,MAX(J$1:J273)+1,""))</f>
        <v/>
      </c>
    </row>
    <row r="275">
      <c r="A275">
        <f>IFERROR(--SUBSTITUTE(SUBSTITUTE(TRIM(INDEX(INDIRECT("'Выгрузка'!A275:Z275"),Настройки!$B$7)),",","."),".",MID(1/2,2,1)),"")</f>
        <v/>
      </c>
      <c r="B275">
        <f>IFERROR(--SUBSTITUTE(SUBSTITUTE(TRIM(INDEX(INDIRECT("'Выгрузка'!A275:Z275"),Настройки!$B$9)),",","."),".",MID(1/2,2,1)),"")</f>
        <v/>
      </c>
      <c r="C275">
        <f>TRIM(INDEX(INDIRECT("'Выгрузка'!A275:Z275"),Настройки!$B$8)&amp;"")</f>
        <v/>
      </c>
      <c r="D275">
        <f>IFERROR(--SUBSTITUTE(SUBSTITUTE(TRIM(INDEX(INDIRECT("'Выгрузка'!A275:Z275"),Настройки!$B$10)),",","."),".",MID(1/2,2,1)),"")</f>
        <v/>
      </c>
      <c r="E275">
        <f>IFERROR(--SUBSTITUTE(SUBSTITUTE(TRIM(INDEX(INDIRECT("'Выгрузка'!A275:Z275"),Настройки!$B$11)),",","."),".",MID(1/2,2,1)),"")</f>
        <v/>
      </c>
      <c r="F275">
        <f>TRIM(INDEX(INDIRECT("'Выгрузка'!A275:Z275"),Настройки!$B$12)&amp;"")</f>
        <v/>
      </c>
      <c r="G275">
        <f>IF(F275="",0,IF(TRIM(INDEX(INDIRECT("'Выгрузка'!A275:Z275"),Настройки!$B$13)&amp;"")="",1,IFERROR(--SUBSTITUTE(SUBSTITUTE(TRIM(INDEX(INDIRECT("'Выгрузка'!A275:Z275"),Настройки!$B$13)),",","."),".",MID(1/2,2,1)),"")))</f>
        <v/>
      </c>
      <c r="H275">
        <f>IF(F275="",0,IF(COUNTIF(Настройки!$B$17:$B$26,F275)&gt;0,1,IF(COUNTIF(Настройки!$C$17:$C$26,F275)&gt;0,2,IF(COUNTIF(Настройки!$D$17:$D$26,F275)&gt;0,3,0))))</f>
        <v/>
      </c>
      <c r="I275">
        <f>IF(AND(ISNUMBER(A275),ISNUMBER(B275)),A275*1000+B275,"")</f>
        <v/>
      </c>
      <c r="J275">
        <f>IF(I275="","",IF(COUNTIF(I$2:I275,I275)=1,MAX(J$1:J274)+1,""))</f>
        <v/>
      </c>
    </row>
    <row r="276">
      <c r="A276">
        <f>IFERROR(--SUBSTITUTE(SUBSTITUTE(TRIM(INDEX(INDIRECT("'Выгрузка'!A276:Z276"),Настройки!$B$7)),",","."),".",MID(1/2,2,1)),"")</f>
        <v/>
      </c>
      <c r="B276">
        <f>IFERROR(--SUBSTITUTE(SUBSTITUTE(TRIM(INDEX(INDIRECT("'Выгрузка'!A276:Z276"),Настройки!$B$9)),",","."),".",MID(1/2,2,1)),"")</f>
        <v/>
      </c>
      <c r="C276">
        <f>TRIM(INDEX(INDIRECT("'Выгрузка'!A276:Z276"),Настройки!$B$8)&amp;"")</f>
        <v/>
      </c>
      <c r="D276">
        <f>IFERROR(--SUBSTITUTE(SUBSTITUTE(TRIM(INDEX(INDIRECT("'Выгрузка'!A276:Z276"),Настройки!$B$10)),",","."),".",MID(1/2,2,1)),"")</f>
        <v/>
      </c>
      <c r="E276">
        <f>IFERROR(--SUBSTITUTE(SUBSTITUTE(TRIM(INDEX(INDIRECT("'Выгрузка'!A276:Z276"),Настройки!$B$11)),",","."),".",MID(1/2,2,1)),"")</f>
        <v/>
      </c>
      <c r="F276">
        <f>TRIM(INDEX(INDIRECT("'Выгрузка'!A276:Z276"),Настройки!$B$12)&amp;"")</f>
        <v/>
      </c>
      <c r="G276">
        <f>IF(F276="",0,IF(TRIM(INDEX(INDIRECT("'Выгрузка'!A276:Z276"),Настройки!$B$13)&amp;"")="",1,IFERROR(--SUBSTITUTE(SUBSTITUTE(TRIM(INDEX(INDIRECT("'Выгрузка'!A276:Z276"),Настройки!$B$13)),",","."),".",MID(1/2,2,1)),"")))</f>
        <v/>
      </c>
      <c r="H276">
        <f>IF(F276="",0,IF(COUNTIF(Настройки!$B$17:$B$26,F276)&gt;0,1,IF(COUNTIF(Настройки!$C$17:$C$26,F276)&gt;0,2,IF(COUNTIF(Настройки!$D$17:$D$26,F276)&gt;0,3,0))))</f>
        <v/>
      </c>
      <c r="I276">
        <f>IF(AND(ISNUMBER(A276),ISNUMBER(B276)),A276*1000+B276,"")</f>
        <v/>
      </c>
      <c r="J276">
        <f>IF(I276="","",IF(COUNTIF(I$2:I276,I276)=1,MAX(J$1:J275)+1,""))</f>
        <v/>
      </c>
    </row>
    <row r="277">
      <c r="A277">
        <f>IFERROR(--SUBSTITUTE(SUBSTITUTE(TRIM(INDEX(INDIRECT("'Выгрузка'!A277:Z277"),Настройки!$B$7)),",","."),".",MID(1/2,2,1)),"")</f>
        <v/>
      </c>
      <c r="B277">
        <f>IFERROR(--SUBSTITUTE(SUBSTITUTE(TRIM(INDEX(INDIRECT("'Выгрузка'!A277:Z277"),Настройки!$B$9)),",","."),".",MID(1/2,2,1)),"")</f>
        <v/>
      </c>
      <c r="C277">
        <f>TRIM(INDEX(INDIRECT("'Выгрузка'!A277:Z277"),Настройки!$B$8)&amp;"")</f>
        <v/>
      </c>
      <c r="D277">
        <f>IFERROR(--SUBSTITUTE(SUBSTITUTE(TRIM(INDEX(INDIRECT("'Выгрузка'!A277:Z277"),Настройки!$B$10)),",","."),".",MID(1/2,2,1)),"")</f>
        <v/>
      </c>
      <c r="E277">
        <f>IFERROR(--SUBSTITUTE(SUBSTITUTE(TRIM(INDEX(INDIRECT("'Выгрузка'!A277:Z277"),Настройки!$B$11)),",","."),".",MID(1/2,2,1)),"")</f>
        <v/>
      </c>
      <c r="F277">
        <f>TRIM(INDEX(INDIRECT("'Выгрузка'!A277:Z277"),Настройки!$B$12)&amp;"")</f>
        <v/>
      </c>
      <c r="G277">
        <f>IF(F277="",0,IF(TRIM(INDEX(INDIRECT("'Выгрузка'!A277:Z277"),Настройки!$B$13)&amp;"")="",1,IFERROR(--SUBSTITUTE(SUBSTITUTE(TRIM(INDEX(INDIRECT("'Выгрузка'!A277:Z277"),Настройки!$B$13)),",","."),".",MID(1/2,2,1)),"")))</f>
        <v/>
      </c>
      <c r="H277">
        <f>IF(F277="",0,IF(COUNTIF(Настройки!$B$17:$B$26,F277)&gt;0,1,IF(COUNTIF(Настройки!$C$17:$C$26,F277)&gt;0,2,IF(COUNTIF(Настройки!$D$17:$D$26,F277)&gt;0,3,0))))</f>
        <v/>
      </c>
      <c r="I277">
        <f>IF(AND(ISNUMBER(A277),ISNUMBER(B277)),A277*1000+B277,"")</f>
        <v/>
      </c>
      <c r="J277">
        <f>IF(I277="","",IF(COUNTIF(I$2:I277,I277)=1,MAX(J$1:J276)+1,""))</f>
        <v/>
      </c>
    </row>
    <row r="278">
      <c r="A278">
        <f>IFERROR(--SUBSTITUTE(SUBSTITUTE(TRIM(INDEX(INDIRECT("'Выгрузка'!A278:Z278"),Настройки!$B$7)),",","."),".",MID(1/2,2,1)),"")</f>
        <v/>
      </c>
      <c r="B278">
        <f>IFERROR(--SUBSTITUTE(SUBSTITUTE(TRIM(INDEX(INDIRECT("'Выгрузка'!A278:Z278"),Настройки!$B$9)),",","."),".",MID(1/2,2,1)),"")</f>
        <v/>
      </c>
      <c r="C278">
        <f>TRIM(INDEX(INDIRECT("'Выгрузка'!A278:Z278"),Настройки!$B$8)&amp;"")</f>
        <v/>
      </c>
      <c r="D278">
        <f>IFERROR(--SUBSTITUTE(SUBSTITUTE(TRIM(INDEX(INDIRECT("'Выгрузка'!A278:Z278"),Настройки!$B$10)),",","."),".",MID(1/2,2,1)),"")</f>
        <v/>
      </c>
      <c r="E278">
        <f>IFERROR(--SUBSTITUTE(SUBSTITUTE(TRIM(INDEX(INDIRECT("'Выгрузка'!A278:Z278"),Настройки!$B$11)),",","."),".",MID(1/2,2,1)),"")</f>
        <v/>
      </c>
      <c r="F278">
        <f>TRIM(INDEX(INDIRECT("'Выгрузка'!A278:Z278"),Настройки!$B$12)&amp;"")</f>
        <v/>
      </c>
      <c r="G278">
        <f>IF(F278="",0,IF(TRIM(INDEX(INDIRECT("'Выгрузка'!A278:Z278"),Настройки!$B$13)&amp;"")="",1,IFERROR(--SUBSTITUTE(SUBSTITUTE(TRIM(INDEX(INDIRECT("'Выгрузка'!A278:Z278"),Настройки!$B$13)),",","."),".",MID(1/2,2,1)),"")))</f>
        <v/>
      </c>
      <c r="H278">
        <f>IF(F278="",0,IF(COUNTIF(Настройки!$B$17:$B$26,F278)&gt;0,1,IF(COUNTIF(Настройки!$C$17:$C$26,F278)&gt;0,2,IF(COUNTIF(Настройки!$D$17:$D$26,F278)&gt;0,3,0))))</f>
        <v/>
      </c>
      <c r="I278">
        <f>IF(AND(ISNUMBER(A278),ISNUMBER(B278)),A278*1000+B278,"")</f>
        <v/>
      </c>
      <c r="J278">
        <f>IF(I278="","",IF(COUNTIF(I$2:I278,I278)=1,MAX(J$1:J277)+1,""))</f>
        <v/>
      </c>
    </row>
    <row r="279">
      <c r="A279">
        <f>IFERROR(--SUBSTITUTE(SUBSTITUTE(TRIM(INDEX(INDIRECT("'Выгрузка'!A279:Z279"),Настройки!$B$7)),",","."),".",MID(1/2,2,1)),"")</f>
        <v/>
      </c>
      <c r="B279">
        <f>IFERROR(--SUBSTITUTE(SUBSTITUTE(TRIM(INDEX(INDIRECT("'Выгрузка'!A279:Z279"),Настройки!$B$9)),",","."),".",MID(1/2,2,1)),"")</f>
        <v/>
      </c>
      <c r="C279">
        <f>TRIM(INDEX(INDIRECT("'Выгрузка'!A279:Z279"),Настройки!$B$8)&amp;"")</f>
        <v/>
      </c>
      <c r="D279">
        <f>IFERROR(--SUBSTITUTE(SUBSTITUTE(TRIM(INDEX(INDIRECT("'Выгрузка'!A279:Z279"),Настройки!$B$10)),",","."),".",MID(1/2,2,1)),"")</f>
        <v/>
      </c>
      <c r="E279">
        <f>IFERROR(--SUBSTITUTE(SUBSTITUTE(TRIM(INDEX(INDIRECT("'Выгрузка'!A279:Z279"),Настройки!$B$11)),",","."),".",MID(1/2,2,1)),"")</f>
        <v/>
      </c>
      <c r="F279">
        <f>TRIM(INDEX(INDIRECT("'Выгрузка'!A279:Z279"),Настройки!$B$12)&amp;"")</f>
        <v/>
      </c>
      <c r="G279">
        <f>IF(F279="",0,IF(TRIM(INDEX(INDIRECT("'Выгрузка'!A279:Z279"),Настройки!$B$13)&amp;"")="",1,IFERROR(--SUBSTITUTE(SUBSTITUTE(TRIM(INDEX(INDIRECT("'Выгрузка'!A279:Z279"),Настройки!$B$13)),",","."),".",MID(1/2,2,1)),"")))</f>
        <v/>
      </c>
      <c r="H279">
        <f>IF(F279="",0,IF(COUNTIF(Настройки!$B$17:$B$26,F279)&gt;0,1,IF(COUNTIF(Настройки!$C$17:$C$26,F279)&gt;0,2,IF(COUNTIF(Настройки!$D$17:$D$26,F279)&gt;0,3,0))))</f>
        <v/>
      </c>
      <c r="I279">
        <f>IF(AND(ISNUMBER(A279),ISNUMBER(B279)),A279*1000+B279,"")</f>
        <v/>
      </c>
      <c r="J279">
        <f>IF(I279="","",IF(COUNTIF(I$2:I279,I279)=1,MAX(J$1:J278)+1,""))</f>
        <v/>
      </c>
    </row>
    <row r="280">
      <c r="A280">
        <f>IFERROR(--SUBSTITUTE(SUBSTITUTE(TRIM(INDEX(INDIRECT("'Выгрузка'!A280:Z280"),Настройки!$B$7)),",","."),".",MID(1/2,2,1)),"")</f>
        <v/>
      </c>
      <c r="B280">
        <f>IFERROR(--SUBSTITUTE(SUBSTITUTE(TRIM(INDEX(INDIRECT("'Выгрузка'!A280:Z280"),Настройки!$B$9)),",","."),".",MID(1/2,2,1)),"")</f>
        <v/>
      </c>
      <c r="C280">
        <f>TRIM(INDEX(INDIRECT("'Выгрузка'!A280:Z280"),Настройки!$B$8)&amp;"")</f>
        <v/>
      </c>
      <c r="D280">
        <f>IFERROR(--SUBSTITUTE(SUBSTITUTE(TRIM(INDEX(INDIRECT("'Выгрузка'!A280:Z280"),Настройки!$B$10)),",","."),".",MID(1/2,2,1)),"")</f>
        <v/>
      </c>
      <c r="E280">
        <f>IFERROR(--SUBSTITUTE(SUBSTITUTE(TRIM(INDEX(INDIRECT("'Выгрузка'!A280:Z280"),Настройки!$B$11)),",","."),".",MID(1/2,2,1)),"")</f>
        <v/>
      </c>
      <c r="F280">
        <f>TRIM(INDEX(INDIRECT("'Выгрузка'!A280:Z280"),Настройки!$B$12)&amp;"")</f>
        <v/>
      </c>
      <c r="G280">
        <f>IF(F280="",0,IF(TRIM(INDEX(INDIRECT("'Выгрузка'!A280:Z280"),Настройки!$B$13)&amp;"")="",1,IFERROR(--SUBSTITUTE(SUBSTITUTE(TRIM(INDEX(INDIRECT("'Выгрузка'!A280:Z280"),Настройки!$B$13)),",","."),".",MID(1/2,2,1)),"")))</f>
        <v/>
      </c>
      <c r="H280">
        <f>IF(F280="",0,IF(COUNTIF(Настройки!$B$17:$B$26,F280)&gt;0,1,IF(COUNTIF(Настройки!$C$17:$C$26,F280)&gt;0,2,IF(COUNTIF(Настройки!$D$17:$D$26,F280)&gt;0,3,0))))</f>
        <v/>
      </c>
      <c r="I280">
        <f>IF(AND(ISNUMBER(A280),ISNUMBER(B280)),A280*1000+B280,"")</f>
        <v/>
      </c>
      <c r="J280">
        <f>IF(I280="","",IF(COUNTIF(I$2:I280,I280)=1,MAX(J$1:J279)+1,""))</f>
        <v/>
      </c>
    </row>
    <row r="281">
      <c r="A281">
        <f>IFERROR(--SUBSTITUTE(SUBSTITUTE(TRIM(INDEX(INDIRECT("'Выгрузка'!A281:Z281"),Настройки!$B$7)),",","."),".",MID(1/2,2,1)),"")</f>
        <v/>
      </c>
      <c r="B281">
        <f>IFERROR(--SUBSTITUTE(SUBSTITUTE(TRIM(INDEX(INDIRECT("'Выгрузка'!A281:Z281"),Настройки!$B$9)),",","."),".",MID(1/2,2,1)),"")</f>
        <v/>
      </c>
      <c r="C281">
        <f>TRIM(INDEX(INDIRECT("'Выгрузка'!A281:Z281"),Настройки!$B$8)&amp;"")</f>
        <v/>
      </c>
      <c r="D281">
        <f>IFERROR(--SUBSTITUTE(SUBSTITUTE(TRIM(INDEX(INDIRECT("'Выгрузка'!A281:Z281"),Настройки!$B$10)),",","."),".",MID(1/2,2,1)),"")</f>
        <v/>
      </c>
      <c r="E281">
        <f>IFERROR(--SUBSTITUTE(SUBSTITUTE(TRIM(INDEX(INDIRECT("'Выгрузка'!A281:Z281"),Настройки!$B$11)),",","."),".",MID(1/2,2,1)),"")</f>
        <v/>
      </c>
      <c r="F281">
        <f>TRIM(INDEX(INDIRECT("'Выгрузка'!A281:Z281"),Настройки!$B$12)&amp;"")</f>
        <v/>
      </c>
      <c r="G281">
        <f>IF(F281="",0,IF(TRIM(INDEX(INDIRECT("'Выгрузка'!A281:Z281"),Настройки!$B$13)&amp;"")="",1,IFERROR(--SUBSTITUTE(SUBSTITUTE(TRIM(INDEX(INDIRECT("'Выгрузка'!A281:Z281"),Настройки!$B$13)),",","."),".",MID(1/2,2,1)),"")))</f>
        <v/>
      </c>
      <c r="H281">
        <f>IF(F281="",0,IF(COUNTIF(Настройки!$B$17:$B$26,F281)&gt;0,1,IF(COUNTIF(Настройки!$C$17:$C$26,F281)&gt;0,2,IF(COUNTIF(Настройки!$D$17:$D$26,F281)&gt;0,3,0))))</f>
        <v/>
      </c>
      <c r="I281">
        <f>IF(AND(ISNUMBER(A281),ISNUMBER(B281)),A281*1000+B281,"")</f>
        <v/>
      </c>
      <c r="J281">
        <f>IF(I281="","",IF(COUNTIF(I$2:I281,I281)=1,MAX(J$1:J280)+1,""))</f>
        <v/>
      </c>
    </row>
    <row r="282">
      <c r="A282">
        <f>IFERROR(--SUBSTITUTE(SUBSTITUTE(TRIM(INDEX(INDIRECT("'Выгрузка'!A282:Z282"),Настройки!$B$7)),",","."),".",MID(1/2,2,1)),"")</f>
        <v/>
      </c>
      <c r="B282">
        <f>IFERROR(--SUBSTITUTE(SUBSTITUTE(TRIM(INDEX(INDIRECT("'Выгрузка'!A282:Z282"),Настройки!$B$9)),",","."),".",MID(1/2,2,1)),"")</f>
        <v/>
      </c>
      <c r="C282">
        <f>TRIM(INDEX(INDIRECT("'Выгрузка'!A282:Z282"),Настройки!$B$8)&amp;"")</f>
        <v/>
      </c>
      <c r="D282">
        <f>IFERROR(--SUBSTITUTE(SUBSTITUTE(TRIM(INDEX(INDIRECT("'Выгрузка'!A282:Z282"),Настройки!$B$10)),",","."),".",MID(1/2,2,1)),"")</f>
        <v/>
      </c>
      <c r="E282">
        <f>IFERROR(--SUBSTITUTE(SUBSTITUTE(TRIM(INDEX(INDIRECT("'Выгрузка'!A282:Z282"),Настройки!$B$11)),",","."),".",MID(1/2,2,1)),"")</f>
        <v/>
      </c>
      <c r="F282">
        <f>TRIM(INDEX(INDIRECT("'Выгрузка'!A282:Z282"),Настройки!$B$12)&amp;"")</f>
        <v/>
      </c>
      <c r="G282">
        <f>IF(F282="",0,IF(TRIM(INDEX(INDIRECT("'Выгрузка'!A282:Z282"),Настройки!$B$13)&amp;"")="",1,IFERROR(--SUBSTITUTE(SUBSTITUTE(TRIM(INDEX(INDIRECT("'Выгрузка'!A282:Z282"),Настройки!$B$13)),",","."),".",MID(1/2,2,1)),"")))</f>
        <v/>
      </c>
      <c r="H282">
        <f>IF(F282="",0,IF(COUNTIF(Настройки!$B$17:$B$26,F282)&gt;0,1,IF(COUNTIF(Настройки!$C$17:$C$26,F282)&gt;0,2,IF(COUNTIF(Настройки!$D$17:$D$26,F282)&gt;0,3,0))))</f>
        <v/>
      </c>
      <c r="I282">
        <f>IF(AND(ISNUMBER(A282),ISNUMBER(B282)),A282*1000+B282,"")</f>
        <v/>
      </c>
      <c r="J282">
        <f>IF(I282="","",IF(COUNTIF(I$2:I282,I282)=1,MAX(J$1:J281)+1,""))</f>
        <v/>
      </c>
    </row>
    <row r="283">
      <c r="A283">
        <f>IFERROR(--SUBSTITUTE(SUBSTITUTE(TRIM(INDEX(INDIRECT("'Выгрузка'!A283:Z283"),Настройки!$B$7)),",","."),".",MID(1/2,2,1)),"")</f>
        <v/>
      </c>
      <c r="B283">
        <f>IFERROR(--SUBSTITUTE(SUBSTITUTE(TRIM(INDEX(INDIRECT("'Выгрузка'!A283:Z283"),Настройки!$B$9)),",","."),".",MID(1/2,2,1)),"")</f>
        <v/>
      </c>
      <c r="C283">
        <f>TRIM(INDEX(INDIRECT("'Выгрузка'!A283:Z283"),Настройки!$B$8)&amp;"")</f>
        <v/>
      </c>
      <c r="D283">
        <f>IFERROR(--SUBSTITUTE(SUBSTITUTE(TRIM(INDEX(INDIRECT("'Выгрузка'!A283:Z283"),Настройки!$B$10)),",","."),".",MID(1/2,2,1)),"")</f>
        <v/>
      </c>
      <c r="E283">
        <f>IFERROR(--SUBSTITUTE(SUBSTITUTE(TRIM(INDEX(INDIRECT("'Выгрузка'!A283:Z283"),Настройки!$B$11)),",","."),".",MID(1/2,2,1)),"")</f>
        <v/>
      </c>
      <c r="F283">
        <f>TRIM(INDEX(INDIRECT("'Выгрузка'!A283:Z283"),Настройки!$B$12)&amp;"")</f>
        <v/>
      </c>
      <c r="G283">
        <f>IF(F283="",0,IF(TRIM(INDEX(INDIRECT("'Выгрузка'!A283:Z283"),Настройки!$B$13)&amp;"")="",1,IFERROR(--SUBSTITUTE(SUBSTITUTE(TRIM(INDEX(INDIRECT("'Выгрузка'!A283:Z283"),Настройки!$B$13)),",","."),".",MID(1/2,2,1)),"")))</f>
        <v/>
      </c>
      <c r="H283">
        <f>IF(F283="",0,IF(COUNTIF(Настройки!$B$17:$B$26,F283)&gt;0,1,IF(COUNTIF(Настройки!$C$17:$C$26,F283)&gt;0,2,IF(COUNTIF(Настройки!$D$17:$D$26,F283)&gt;0,3,0))))</f>
        <v/>
      </c>
      <c r="I283">
        <f>IF(AND(ISNUMBER(A283),ISNUMBER(B283)),A283*1000+B283,"")</f>
        <v/>
      </c>
      <c r="J283">
        <f>IF(I283="","",IF(COUNTIF(I$2:I283,I283)=1,MAX(J$1:J282)+1,""))</f>
        <v/>
      </c>
    </row>
    <row r="284">
      <c r="A284">
        <f>IFERROR(--SUBSTITUTE(SUBSTITUTE(TRIM(INDEX(INDIRECT("'Выгрузка'!A284:Z284"),Настройки!$B$7)),",","."),".",MID(1/2,2,1)),"")</f>
        <v/>
      </c>
      <c r="B284">
        <f>IFERROR(--SUBSTITUTE(SUBSTITUTE(TRIM(INDEX(INDIRECT("'Выгрузка'!A284:Z284"),Настройки!$B$9)),",","."),".",MID(1/2,2,1)),"")</f>
        <v/>
      </c>
      <c r="C284">
        <f>TRIM(INDEX(INDIRECT("'Выгрузка'!A284:Z284"),Настройки!$B$8)&amp;"")</f>
        <v/>
      </c>
      <c r="D284">
        <f>IFERROR(--SUBSTITUTE(SUBSTITUTE(TRIM(INDEX(INDIRECT("'Выгрузка'!A284:Z284"),Настройки!$B$10)),",","."),".",MID(1/2,2,1)),"")</f>
        <v/>
      </c>
      <c r="E284">
        <f>IFERROR(--SUBSTITUTE(SUBSTITUTE(TRIM(INDEX(INDIRECT("'Выгрузка'!A284:Z284"),Настройки!$B$11)),",","."),".",MID(1/2,2,1)),"")</f>
        <v/>
      </c>
      <c r="F284">
        <f>TRIM(INDEX(INDIRECT("'Выгрузка'!A284:Z284"),Настройки!$B$12)&amp;"")</f>
        <v/>
      </c>
      <c r="G284">
        <f>IF(F284="",0,IF(TRIM(INDEX(INDIRECT("'Выгрузка'!A284:Z284"),Настройки!$B$13)&amp;"")="",1,IFERROR(--SUBSTITUTE(SUBSTITUTE(TRIM(INDEX(INDIRECT("'Выгрузка'!A284:Z284"),Настройки!$B$13)),",","."),".",MID(1/2,2,1)),"")))</f>
        <v/>
      </c>
      <c r="H284">
        <f>IF(F284="",0,IF(COUNTIF(Настройки!$B$17:$B$26,F284)&gt;0,1,IF(COUNTIF(Настройки!$C$17:$C$26,F284)&gt;0,2,IF(COUNTIF(Настройки!$D$17:$D$26,F284)&gt;0,3,0))))</f>
        <v/>
      </c>
      <c r="I284">
        <f>IF(AND(ISNUMBER(A284),ISNUMBER(B284)),A284*1000+B284,"")</f>
        <v/>
      </c>
      <c r="J284">
        <f>IF(I284="","",IF(COUNTIF(I$2:I284,I284)=1,MAX(J$1:J283)+1,""))</f>
        <v/>
      </c>
    </row>
    <row r="285">
      <c r="A285">
        <f>IFERROR(--SUBSTITUTE(SUBSTITUTE(TRIM(INDEX(INDIRECT("'Выгрузка'!A285:Z285"),Настройки!$B$7)),",","."),".",MID(1/2,2,1)),"")</f>
        <v/>
      </c>
      <c r="B285">
        <f>IFERROR(--SUBSTITUTE(SUBSTITUTE(TRIM(INDEX(INDIRECT("'Выгрузка'!A285:Z285"),Настройки!$B$9)),",","."),".",MID(1/2,2,1)),"")</f>
        <v/>
      </c>
      <c r="C285">
        <f>TRIM(INDEX(INDIRECT("'Выгрузка'!A285:Z285"),Настройки!$B$8)&amp;"")</f>
        <v/>
      </c>
      <c r="D285">
        <f>IFERROR(--SUBSTITUTE(SUBSTITUTE(TRIM(INDEX(INDIRECT("'Выгрузка'!A285:Z285"),Настройки!$B$10)),",","."),".",MID(1/2,2,1)),"")</f>
        <v/>
      </c>
      <c r="E285">
        <f>IFERROR(--SUBSTITUTE(SUBSTITUTE(TRIM(INDEX(INDIRECT("'Выгрузка'!A285:Z285"),Настройки!$B$11)),",","."),".",MID(1/2,2,1)),"")</f>
        <v/>
      </c>
      <c r="F285">
        <f>TRIM(INDEX(INDIRECT("'Выгрузка'!A285:Z285"),Настройки!$B$12)&amp;"")</f>
        <v/>
      </c>
      <c r="G285">
        <f>IF(F285="",0,IF(TRIM(INDEX(INDIRECT("'Выгрузка'!A285:Z285"),Настройки!$B$13)&amp;"")="",1,IFERROR(--SUBSTITUTE(SUBSTITUTE(TRIM(INDEX(INDIRECT("'Выгрузка'!A285:Z285"),Настройки!$B$13)),",","."),".",MID(1/2,2,1)),"")))</f>
        <v/>
      </c>
      <c r="H285">
        <f>IF(F285="",0,IF(COUNTIF(Настройки!$B$17:$B$26,F285)&gt;0,1,IF(COUNTIF(Настройки!$C$17:$C$26,F285)&gt;0,2,IF(COUNTIF(Настройки!$D$17:$D$26,F285)&gt;0,3,0))))</f>
        <v/>
      </c>
      <c r="I285">
        <f>IF(AND(ISNUMBER(A285),ISNUMBER(B285)),A285*1000+B285,"")</f>
        <v/>
      </c>
      <c r="J285">
        <f>IF(I285="","",IF(COUNTIF(I$2:I285,I285)=1,MAX(J$1:J284)+1,""))</f>
        <v/>
      </c>
    </row>
    <row r="286">
      <c r="A286">
        <f>IFERROR(--SUBSTITUTE(SUBSTITUTE(TRIM(INDEX(INDIRECT("'Выгрузка'!A286:Z286"),Настройки!$B$7)),",","."),".",MID(1/2,2,1)),"")</f>
        <v/>
      </c>
      <c r="B286">
        <f>IFERROR(--SUBSTITUTE(SUBSTITUTE(TRIM(INDEX(INDIRECT("'Выгрузка'!A286:Z286"),Настройки!$B$9)),",","."),".",MID(1/2,2,1)),"")</f>
        <v/>
      </c>
      <c r="C286">
        <f>TRIM(INDEX(INDIRECT("'Выгрузка'!A286:Z286"),Настройки!$B$8)&amp;"")</f>
        <v/>
      </c>
      <c r="D286">
        <f>IFERROR(--SUBSTITUTE(SUBSTITUTE(TRIM(INDEX(INDIRECT("'Выгрузка'!A286:Z286"),Настройки!$B$10)),",","."),".",MID(1/2,2,1)),"")</f>
        <v/>
      </c>
      <c r="E286">
        <f>IFERROR(--SUBSTITUTE(SUBSTITUTE(TRIM(INDEX(INDIRECT("'Выгрузка'!A286:Z286"),Настройки!$B$11)),",","."),".",MID(1/2,2,1)),"")</f>
        <v/>
      </c>
      <c r="F286">
        <f>TRIM(INDEX(INDIRECT("'Выгрузка'!A286:Z286"),Настройки!$B$12)&amp;"")</f>
        <v/>
      </c>
      <c r="G286">
        <f>IF(F286="",0,IF(TRIM(INDEX(INDIRECT("'Выгрузка'!A286:Z286"),Настройки!$B$13)&amp;"")="",1,IFERROR(--SUBSTITUTE(SUBSTITUTE(TRIM(INDEX(INDIRECT("'Выгрузка'!A286:Z286"),Настройки!$B$13)),",","."),".",MID(1/2,2,1)),"")))</f>
        <v/>
      </c>
      <c r="H286">
        <f>IF(F286="",0,IF(COUNTIF(Настройки!$B$17:$B$26,F286)&gt;0,1,IF(COUNTIF(Настройки!$C$17:$C$26,F286)&gt;0,2,IF(COUNTIF(Настройки!$D$17:$D$26,F286)&gt;0,3,0))))</f>
        <v/>
      </c>
      <c r="I286">
        <f>IF(AND(ISNUMBER(A286),ISNUMBER(B286)),A286*1000+B286,"")</f>
        <v/>
      </c>
      <c r="J286">
        <f>IF(I286="","",IF(COUNTIF(I$2:I286,I286)=1,MAX(J$1:J285)+1,""))</f>
        <v/>
      </c>
    </row>
    <row r="287">
      <c r="A287">
        <f>IFERROR(--SUBSTITUTE(SUBSTITUTE(TRIM(INDEX(INDIRECT("'Выгрузка'!A287:Z287"),Настройки!$B$7)),",","."),".",MID(1/2,2,1)),"")</f>
        <v/>
      </c>
      <c r="B287">
        <f>IFERROR(--SUBSTITUTE(SUBSTITUTE(TRIM(INDEX(INDIRECT("'Выгрузка'!A287:Z287"),Настройки!$B$9)),",","."),".",MID(1/2,2,1)),"")</f>
        <v/>
      </c>
      <c r="C287">
        <f>TRIM(INDEX(INDIRECT("'Выгрузка'!A287:Z287"),Настройки!$B$8)&amp;"")</f>
        <v/>
      </c>
      <c r="D287">
        <f>IFERROR(--SUBSTITUTE(SUBSTITUTE(TRIM(INDEX(INDIRECT("'Выгрузка'!A287:Z287"),Настройки!$B$10)),",","."),".",MID(1/2,2,1)),"")</f>
        <v/>
      </c>
      <c r="E287">
        <f>IFERROR(--SUBSTITUTE(SUBSTITUTE(TRIM(INDEX(INDIRECT("'Выгрузка'!A287:Z287"),Настройки!$B$11)),",","."),".",MID(1/2,2,1)),"")</f>
        <v/>
      </c>
      <c r="F287">
        <f>TRIM(INDEX(INDIRECT("'Выгрузка'!A287:Z287"),Настройки!$B$12)&amp;"")</f>
        <v/>
      </c>
      <c r="G287">
        <f>IF(F287="",0,IF(TRIM(INDEX(INDIRECT("'Выгрузка'!A287:Z287"),Настройки!$B$13)&amp;"")="",1,IFERROR(--SUBSTITUTE(SUBSTITUTE(TRIM(INDEX(INDIRECT("'Выгрузка'!A287:Z287"),Настройки!$B$13)),",","."),".",MID(1/2,2,1)),"")))</f>
        <v/>
      </c>
      <c r="H287">
        <f>IF(F287="",0,IF(COUNTIF(Настройки!$B$17:$B$26,F287)&gt;0,1,IF(COUNTIF(Настройки!$C$17:$C$26,F287)&gt;0,2,IF(COUNTIF(Настройки!$D$17:$D$26,F287)&gt;0,3,0))))</f>
        <v/>
      </c>
      <c r="I287">
        <f>IF(AND(ISNUMBER(A287),ISNUMBER(B287)),A287*1000+B287,"")</f>
        <v/>
      </c>
      <c r="J287">
        <f>IF(I287="","",IF(COUNTIF(I$2:I287,I287)=1,MAX(J$1:J286)+1,""))</f>
        <v/>
      </c>
    </row>
    <row r="288">
      <c r="A288">
        <f>IFERROR(--SUBSTITUTE(SUBSTITUTE(TRIM(INDEX(INDIRECT("'Выгрузка'!A288:Z288"),Настройки!$B$7)),",","."),".",MID(1/2,2,1)),"")</f>
        <v/>
      </c>
      <c r="B288">
        <f>IFERROR(--SUBSTITUTE(SUBSTITUTE(TRIM(INDEX(INDIRECT("'Выгрузка'!A288:Z288"),Настройки!$B$9)),",","."),".",MID(1/2,2,1)),"")</f>
        <v/>
      </c>
      <c r="C288">
        <f>TRIM(INDEX(INDIRECT("'Выгрузка'!A288:Z288"),Настройки!$B$8)&amp;"")</f>
        <v/>
      </c>
      <c r="D288">
        <f>IFERROR(--SUBSTITUTE(SUBSTITUTE(TRIM(INDEX(INDIRECT("'Выгрузка'!A288:Z288"),Настройки!$B$10)),",","."),".",MID(1/2,2,1)),"")</f>
        <v/>
      </c>
      <c r="E288">
        <f>IFERROR(--SUBSTITUTE(SUBSTITUTE(TRIM(INDEX(INDIRECT("'Выгрузка'!A288:Z288"),Настройки!$B$11)),",","."),".",MID(1/2,2,1)),"")</f>
        <v/>
      </c>
      <c r="F288">
        <f>TRIM(INDEX(INDIRECT("'Выгрузка'!A288:Z288"),Настройки!$B$12)&amp;"")</f>
        <v/>
      </c>
      <c r="G288">
        <f>IF(F288="",0,IF(TRIM(INDEX(INDIRECT("'Выгрузка'!A288:Z288"),Настройки!$B$13)&amp;"")="",1,IFERROR(--SUBSTITUTE(SUBSTITUTE(TRIM(INDEX(INDIRECT("'Выгрузка'!A288:Z288"),Настройки!$B$13)),",","."),".",MID(1/2,2,1)),"")))</f>
        <v/>
      </c>
      <c r="H288">
        <f>IF(F288="",0,IF(COUNTIF(Настройки!$B$17:$B$26,F288)&gt;0,1,IF(COUNTIF(Настройки!$C$17:$C$26,F288)&gt;0,2,IF(COUNTIF(Настройки!$D$17:$D$26,F288)&gt;0,3,0))))</f>
        <v/>
      </c>
      <c r="I288">
        <f>IF(AND(ISNUMBER(A288),ISNUMBER(B288)),A288*1000+B288,"")</f>
        <v/>
      </c>
      <c r="J288">
        <f>IF(I288="","",IF(COUNTIF(I$2:I288,I288)=1,MAX(J$1:J287)+1,""))</f>
        <v/>
      </c>
    </row>
    <row r="289">
      <c r="A289">
        <f>IFERROR(--SUBSTITUTE(SUBSTITUTE(TRIM(INDEX(INDIRECT("'Выгрузка'!A289:Z289"),Настройки!$B$7)),",","."),".",MID(1/2,2,1)),"")</f>
        <v/>
      </c>
      <c r="B289">
        <f>IFERROR(--SUBSTITUTE(SUBSTITUTE(TRIM(INDEX(INDIRECT("'Выгрузка'!A289:Z289"),Настройки!$B$9)),",","."),".",MID(1/2,2,1)),"")</f>
        <v/>
      </c>
      <c r="C289">
        <f>TRIM(INDEX(INDIRECT("'Выгрузка'!A289:Z289"),Настройки!$B$8)&amp;"")</f>
        <v/>
      </c>
      <c r="D289">
        <f>IFERROR(--SUBSTITUTE(SUBSTITUTE(TRIM(INDEX(INDIRECT("'Выгрузка'!A289:Z289"),Настройки!$B$10)),",","."),".",MID(1/2,2,1)),"")</f>
        <v/>
      </c>
      <c r="E289">
        <f>IFERROR(--SUBSTITUTE(SUBSTITUTE(TRIM(INDEX(INDIRECT("'Выгрузка'!A289:Z289"),Настройки!$B$11)),",","."),".",MID(1/2,2,1)),"")</f>
        <v/>
      </c>
      <c r="F289">
        <f>TRIM(INDEX(INDIRECT("'Выгрузка'!A289:Z289"),Настройки!$B$12)&amp;"")</f>
        <v/>
      </c>
      <c r="G289">
        <f>IF(F289="",0,IF(TRIM(INDEX(INDIRECT("'Выгрузка'!A289:Z289"),Настройки!$B$13)&amp;"")="",1,IFERROR(--SUBSTITUTE(SUBSTITUTE(TRIM(INDEX(INDIRECT("'Выгрузка'!A289:Z289"),Настройки!$B$13)),",","."),".",MID(1/2,2,1)),"")))</f>
        <v/>
      </c>
      <c r="H289">
        <f>IF(F289="",0,IF(COUNTIF(Настройки!$B$17:$B$26,F289)&gt;0,1,IF(COUNTIF(Настройки!$C$17:$C$26,F289)&gt;0,2,IF(COUNTIF(Настройки!$D$17:$D$26,F289)&gt;0,3,0))))</f>
        <v/>
      </c>
      <c r="I289">
        <f>IF(AND(ISNUMBER(A289),ISNUMBER(B289)),A289*1000+B289,"")</f>
        <v/>
      </c>
      <c r="J289">
        <f>IF(I289="","",IF(COUNTIF(I$2:I289,I289)=1,MAX(J$1:J288)+1,""))</f>
        <v/>
      </c>
    </row>
    <row r="290">
      <c r="A290">
        <f>IFERROR(--SUBSTITUTE(SUBSTITUTE(TRIM(INDEX(INDIRECT("'Выгрузка'!A290:Z290"),Настройки!$B$7)),",","."),".",MID(1/2,2,1)),"")</f>
        <v/>
      </c>
      <c r="B290">
        <f>IFERROR(--SUBSTITUTE(SUBSTITUTE(TRIM(INDEX(INDIRECT("'Выгрузка'!A290:Z290"),Настройки!$B$9)),",","."),".",MID(1/2,2,1)),"")</f>
        <v/>
      </c>
      <c r="C290">
        <f>TRIM(INDEX(INDIRECT("'Выгрузка'!A290:Z290"),Настройки!$B$8)&amp;"")</f>
        <v/>
      </c>
      <c r="D290">
        <f>IFERROR(--SUBSTITUTE(SUBSTITUTE(TRIM(INDEX(INDIRECT("'Выгрузка'!A290:Z290"),Настройки!$B$10)),",","."),".",MID(1/2,2,1)),"")</f>
        <v/>
      </c>
      <c r="E290">
        <f>IFERROR(--SUBSTITUTE(SUBSTITUTE(TRIM(INDEX(INDIRECT("'Выгрузка'!A290:Z290"),Настройки!$B$11)),",","."),".",MID(1/2,2,1)),"")</f>
        <v/>
      </c>
      <c r="F290">
        <f>TRIM(INDEX(INDIRECT("'Выгрузка'!A290:Z290"),Настройки!$B$12)&amp;"")</f>
        <v/>
      </c>
      <c r="G290">
        <f>IF(F290="",0,IF(TRIM(INDEX(INDIRECT("'Выгрузка'!A290:Z290"),Настройки!$B$13)&amp;"")="",1,IFERROR(--SUBSTITUTE(SUBSTITUTE(TRIM(INDEX(INDIRECT("'Выгрузка'!A290:Z290"),Настройки!$B$13)),",","."),".",MID(1/2,2,1)),"")))</f>
        <v/>
      </c>
      <c r="H290">
        <f>IF(F290="",0,IF(COUNTIF(Настройки!$B$17:$B$26,F290)&gt;0,1,IF(COUNTIF(Настройки!$C$17:$C$26,F290)&gt;0,2,IF(COUNTIF(Настройки!$D$17:$D$26,F290)&gt;0,3,0))))</f>
        <v/>
      </c>
      <c r="I290">
        <f>IF(AND(ISNUMBER(A290),ISNUMBER(B290)),A290*1000+B290,"")</f>
        <v/>
      </c>
      <c r="J290">
        <f>IF(I290="","",IF(COUNTIF(I$2:I290,I290)=1,MAX(J$1:J289)+1,""))</f>
        <v/>
      </c>
    </row>
    <row r="291">
      <c r="A291">
        <f>IFERROR(--SUBSTITUTE(SUBSTITUTE(TRIM(INDEX(INDIRECT("'Выгрузка'!A291:Z291"),Настройки!$B$7)),",","."),".",MID(1/2,2,1)),"")</f>
        <v/>
      </c>
      <c r="B291">
        <f>IFERROR(--SUBSTITUTE(SUBSTITUTE(TRIM(INDEX(INDIRECT("'Выгрузка'!A291:Z291"),Настройки!$B$9)),",","."),".",MID(1/2,2,1)),"")</f>
        <v/>
      </c>
      <c r="C291">
        <f>TRIM(INDEX(INDIRECT("'Выгрузка'!A291:Z291"),Настройки!$B$8)&amp;"")</f>
        <v/>
      </c>
      <c r="D291">
        <f>IFERROR(--SUBSTITUTE(SUBSTITUTE(TRIM(INDEX(INDIRECT("'Выгрузка'!A291:Z291"),Настройки!$B$10)),",","."),".",MID(1/2,2,1)),"")</f>
        <v/>
      </c>
      <c r="E291">
        <f>IFERROR(--SUBSTITUTE(SUBSTITUTE(TRIM(INDEX(INDIRECT("'Выгрузка'!A291:Z291"),Настройки!$B$11)),",","."),".",MID(1/2,2,1)),"")</f>
        <v/>
      </c>
      <c r="F291">
        <f>TRIM(INDEX(INDIRECT("'Выгрузка'!A291:Z291"),Настройки!$B$12)&amp;"")</f>
        <v/>
      </c>
      <c r="G291">
        <f>IF(F291="",0,IF(TRIM(INDEX(INDIRECT("'Выгрузка'!A291:Z291"),Настройки!$B$13)&amp;"")="",1,IFERROR(--SUBSTITUTE(SUBSTITUTE(TRIM(INDEX(INDIRECT("'Выгрузка'!A291:Z291"),Настройки!$B$13)),",","."),".",MID(1/2,2,1)),"")))</f>
        <v/>
      </c>
      <c r="H291">
        <f>IF(F291="",0,IF(COUNTIF(Настройки!$B$17:$B$26,F291)&gt;0,1,IF(COUNTIF(Настройки!$C$17:$C$26,F291)&gt;0,2,IF(COUNTIF(Настройки!$D$17:$D$26,F291)&gt;0,3,0))))</f>
        <v/>
      </c>
      <c r="I291">
        <f>IF(AND(ISNUMBER(A291),ISNUMBER(B291)),A291*1000+B291,"")</f>
        <v/>
      </c>
      <c r="J291">
        <f>IF(I291="","",IF(COUNTIF(I$2:I291,I291)=1,MAX(J$1:J290)+1,""))</f>
        <v/>
      </c>
    </row>
    <row r="292">
      <c r="A292">
        <f>IFERROR(--SUBSTITUTE(SUBSTITUTE(TRIM(INDEX(INDIRECT("'Выгрузка'!A292:Z292"),Настройки!$B$7)),",","."),".",MID(1/2,2,1)),"")</f>
        <v/>
      </c>
      <c r="B292">
        <f>IFERROR(--SUBSTITUTE(SUBSTITUTE(TRIM(INDEX(INDIRECT("'Выгрузка'!A292:Z292"),Настройки!$B$9)),",","."),".",MID(1/2,2,1)),"")</f>
        <v/>
      </c>
      <c r="C292">
        <f>TRIM(INDEX(INDIRECT("'Выгрузка'!A292:Z292"),Настройки!$B$8)&amp;"")</f>
        <v/>
      </c>
      <c r="D292">
        <f>IFERROR(--SUBSTITUTE(SUBSTITUTE(TRIM(INDEX(INDIRECT("'Выгрузка'!A292:Z292"),Настройки!$B$10)),",","."),".",MID(1/2,2,1)),"")</f>
        <v/>
      </c>
      <c r="E292">
        <f>IFERROR(--SUBSTITUTE(SUBSTITUTE(TRIM(INDEX(INDIRECT("'Выгрузка'!A292:Z292"),Настройки!$B$11)),",","."),".",MID(1/2,2,1)),"")</f>
        <v/>
      </c>
      <c r="F292">
        <f>TRIM(INDEX(INDIRECT("'Выгрузка'!A292:Z292"),Настройки!$B$12)&amp;"")</f>
        <v/>
      </c>
      <c r="G292">
        <f>IF(F292="",0,IF(TRIM(INDEX(INDIRECT("'Выгрузка'!A292:Z292"),Настройки!$B$13)&amp;"")="",1,IFERROR(--SUBSTITUTE(SUBSTITUTE(TRIM(INDEX(INDIRECT("'Выгрузка'!A292:Z292"),Настройки!$B$13)),",","."),".",MID(1/2,2,1)),"")))</f>
        <v/>
      </c>
      <c r="H292">
        <f>IF(F292="",0,IF(COUNTIF(Настройки!$B$17:$B$26,F292)&gt;0,1,IF(COUNTIF(Настройки!$C$17:$C$26,F292)&gt;0,2,IF(COUNTIF(Настройки!$D$17:$D$26,F292)&gt;0,3,0))))</f>
        <v/>
      </c>
      <c r="I292">
        <f>IF(AND(ISNUMBER(A292),ISNUMBER(B292)),A292*1000+B292,"")</f>
        <v/>
      </c>
      <c r="J292">
        <f>IF(I292="","",IF(COUNTIF(I$2:I292,I292)=1,MAX(J$1:J291)+1,""))</f>
        <v/>
      </c>
    </row>
    <row r="293">
      <c r="A293">
        <f>IFERROR(--SUBSTITUTE(SUBSTITUTE(TRIM(INDEX(INDIRECT("'Выгрузка'!A293:Z293"),Настройки!$B$7)),",","."),".",MID(1/2,2,1)),"")</f>
        <v/>
      </c>
      <c r="B293">
        <f>IFERROR(--SUBSTITUTE(SUBSTITUTE(TRIM(INDEX(INDIRECT("'Выгрузка'!A293:Z293"),Настройки!$B$9)),",","."),".",MID(1/2,2,1)),"")</f>
        <v/>
      </c>
      <c r="C293">
        <f>TRIM(INDEX(INDIRECT("'Выгрузка'!A293:Z293"),Настройки!$B$8)&amp;"")</f>
        <v/>
      </c>
      <c r="D293">
        <f>IFERROR(--SUBSTITUTE(SUBSTITUTE(TRIM(INDEX(INDIRECT("'Выгрузка'!A293:Z293"),Настройки!$B$10)),",","."),".",MID(1/2,2,1)),"")</f>
        <v/>
      </c>
      <c r="E293">
        <f>IFERROR(--SUBSTITUTE(SUBSTITUTE(TRIM(INDEX(INDIRECT("'Выгрузка'!A293:Z293"),Настройки!$B$11)),",","."),".",MID(1/2,2,1)),"")</f>
        <v/>
      </c>
      <c r="F293">
        <f>TRIM(INDEX(INDIRECT("'Выгрузка'!A293:Z293"),Настройки!$B$12)&amp;"")</f>
        <v/>
      </c>
      <c r="G293">
        <f>IF(F293="",0,IF(TRIM(INDEX(INDIRECT("'Выгрузка'!A293:Z293"),Настройки!$B$13)&amp;"")="",1,IFERROR(--SUBSTITUTE(SUBSTITUTE(TRIM(INDEX(INDIRECT("'Выгрузка'!A293:Z293"),Настройки!$B$13)),",","."),".",MID(1/2,2,1)),"")))</f>
        <v/>
      </c>
      <c r="H293">
        <f>IF(F293="",0,IF(COUNTIF(Настройки!$B$17:$B$26,F293)&gt;0,1,IF(COUNTIF(Настройки!$C$17:$C$26,F293)&gt;0,2,IF(COUNTIF(Настройки!$D$17:$D$26,F293)&gt;0,3,0))))</f>
        <v/>
      </c>
      <c r="I293">
        <f>IF(AND(ISNUMBER(A293),ISNUMBER(B293)),A293*1000+B293,"")</f>
        <v/>
      </c>
      <c r="J293">
        <f>IF(I293="","",IF(COUNTIF(I$2:I293,I293)=1,MAX(J$1:J292)+1,""))</f>
        <v/>
      </c>
    </row>
    <row r="294">
      <c r="A294">
        <f>IFERROR(--SUBSTITUTE(SUBSTITUTE(TRIM(INDEX(INDIRECT("'Выгрузка'!A294:Z294"),Настройки!$B$7)),",","."),".",MID(1/2,2,1)),"")</f>
        <v/>
      </c>
      <c r="B294">
        <f>IFERROR(--SUBSTITUTE(SUBSTITUTE(TRIM(INDEX(INDIRECT("'Выгрузка'!A294:Z294"),Настройки!$B$9)),",","."),".",MID(1/2,2,1)),"")</f>
        <v/>
      </c>
      <c r="C294">
        <f>TRIM(INDEX(INDIRECT("'Выгрузка'!A294:Z294"),Настройки!$B$8)&amp;"")</f>
        <v/>
      </c>
      <c r="D294">
        <f>IFERROR(--SUBSTITUTE(SUBSTITUTE(TRIM(INDEX(INDIRECT("'Выгрузка'!A294:Z294"),Настройки!$B$10)),",","."),".",MID(1/2,2,1)),"")</f>
        <v/>
      </c>
      <c r="E294">
        <f>IFERROR(--SUBSTITUTE(SUBSTITUTE(TRIM(INDEX(INDIRECT("'Выгрузка'!A294:Z294"),Настройки!$B$11)),",","."),".",MID(1/2,2,1)),"")</f>
        <v/>
      </c>
      <c r="F294">
        <f>TRIM(INDEX(INDIRECT("'Выгрузка'!A294:Z294"),Настройки!$B$12)&amp;"")</f>
        <v/>
      </c>
      <c r="G294">
        <f>IF(F294="",0,IF(TRIM(INDEX(INDIRECT("'Выгрузка'!A294:Z294"),Настройки!$B$13)&amp;"")="",1,IFERROR(--SUBSTITUTE(SUBSTITUTE(TRIM(INDEX(INDIRECT("'Выгрузка'!A294:Z294"),Настройки!$B$13)),",","."),".",MID(1/2,2,1)),"")))</f>
        <v/>
      </c>
      <c r="H294">
        <f>IF(F294="",0,IF(COUNTIF(Настройки!$B$17:$B$26,F294)&gt;0,1,IF(COUNTIF(Настройки!$C$17:$C$26,F294)&gt;0,2,IF(COUNTIF(Настройки!$D$17:$D$26,F294)&gt;0,3,0))))</f>
        <v/>
      </c>
      <c r="I294">
        <f>IF(AND(ISNUMBER(A294),ISNUMBER(B294)),A294*1000+B294,"")</f>
        <v/>
      </c>
      <c r="J294">
        <f>IF(I294="","",IF(COUNTIF(I$2:I294,I294)=1,MAX(J$1:J293)+1,""))</f>
        <v/>
      </c>
    </row>
    <row r="295">
      <c r="A295">
        <f>IFERROR(--SUBSTITUTE(SUBSTITUTE(TRIM(INDEX(INDIRECT("'Выгрузка'!A295:Z295"),Настройки!$B$7)),",","."),".",MID(1/2,2,1)),"")</f>
        <v/>
      </c>
      <c r="B295">
        <f>IFERROR(--SUBSTITUTE(SUBSTITUTE(TRIM(INDEX(INDIRECT("'Выгрузка'!A295:Z295"),Настройки!$B$9)),",","."),".",MID(1/2,2,1)),"")</f>
        <v/>
      </c>
      <c r="C295">
        <f>TRIM(INDEX(INDIRECT("'Выгрузка'!A295:Z295"),Настройки!$B$8)&amp;"")</f>
        <v/>
      </c>
      <c r="D295">
        <f>IFERROR(--SUBSTITUTE(SUBSTITUTE(TRIM(INDEX(INDIRECT("'Выгрузка'!A295:Z295"),Настройки!$B$10)),",","."),".",MID(1/2,2,1)),"")</f>
        <v/>
      </c>
      <c r="E295">
        <f>IFERROR(--SUBSTITUTE(SUBSTITUTE(TRIM(INDEX(INDIRECT("'Выгрузка'!A295:Z295"),Настройки!$B$11)),",","."),".",MID(1/2,2,1)),"")</f>
        <v/>
      </c>
      <c r="F295">
        <f>TRIM(INDEX(INDIRECT("'Выгрузка'!A295:Z295"),Настройки!$B$12)&amp;"")</f>
        <v/>
      </c>
      <c r="G295">
        <f>IF(F295="",0,IF(TRIM(INDEX(INDIRECT("'Выгрузка'!A295:Z295"),Настройки!$B$13)&amp;"")="",1,IFERROR(--SUBSTITUTE(SUBSTITUTE(TRIM(INDEX(INDIRECT("'Выгрузка'!A295:Z295"),Настройки!$B$13)),",","."),".",MID(1/2,2,1)),"")))</f>
        <v/>
      </c>
      <c r="H295">
        <f>IF(F295="",0,IF(COUNTIF(Настройки!$B$17:$B$26,F295)&gt;0,1,IF(COUNTIF(Настройки!$C$17:$C$26,F295)&gt;0,2,IF(COUNTIF(Настройки!$D$17:$D$26,F295)&gt;0,3,0))))</f>
        <v/>
      </c>
      <c r="I295">
        <f>IF(AND(ISNUMBER(A295),ISNUMBER(B295)),A295*1000+B295,"")</f>
        <v/>
      </c>
      <c r="J295">
        <f>IF(I295="","",IF(COUNTIF(I$2:I295,I295)=1,MAX(J$1:J294)+1,""))</f>
        <v/>
      </c>
    </row>
    <row r="296">
      <c r="A296">
        <f>IFERROR(--SUBSTITUTE(SUBSTITUTE(TRIM(INDEX(INDIRECT("'Выгрузка'!A296:Z296"),Настройки!$B$7)),",","."),".",MID(1/2,2,1)),"")</f>
        <v/>
      </c>
      <c r="B296">
        <f>IFERROR(--SUBSTITUTE(SUBSTITUTE(TRIM(INDEX(INDIRECT("'Выгрузка'!A296:Z296"),Настройки!$B$9)),",","."),".",MID(1/2,2,1)),"")</f>
        <v/>
      </c>
      <c r="C296">
        <f>TRIM(INDEX(INDIRECT("'Выгрузка'!A296:Z296"),Настройки!$B$8)&amp;"")</f>
        <v/>
      </c>
      <c r="D296">
        <f>IFERROR(--SUBSTITUTE(SUBSTITUTE(TRIM(INDEX(INDIRECT("'Выгрузка'!A296:Z296"),Настройки!$B$10)),",","."),".",MID(1/2,2,1)),"")</f>
        <v/>
      </c>
      <c r="E296">
        <f>IFERROR(--SUBSTITUTE(SUBSTITUTE(TRIM(INDEX(INDIRECT("'Выгрузка'!A296:Z296"),Настройки!$B$11)),",","."),".",MID(1/2,2,1)),"")</f>
        <v/>
      </c>
      <c r="F296">
        <f>TRIM(INDEX(INDIRECT("'Выгрузка'!A296:Z296"),Настройки!$B$12)&amp;"")</f>
        <v/>
      </c>
      <c r="G296">
        <f>IF(F296="",0,IF(TRIM(INDEX(INDIRECT("'Выгрузка'!A296:Z296"),Настройки!$B$13)&amp;"")="",1,IFERROR(--SUBSTITUTE(SUBSTITUTE(TRIM(INDEX(INDIRECT("'Выгрузка'!A296:Z296"),Настройки!$B$13)),",","."),".",MID(1/2,2,1)),"")))</f>
        <v/>
      </c>
      <c r="H296">
        <f>IF(F296="",0,IF(COUNTIF(Настройки!$B$17:$B$26,F296)&gt;0,1,IF(COUNTIF(Настройки!$C$17:$C$26,F296)&gt;0,2,IF(COUNTIF(Настройки!$D$17:$D$26,F296)&gt;0,3,0))))</f>
        <v/>
      </c>
      <c r="I296">
        <f>IF(AND(ISNUMBER(A296),ISNUMBER(B296)),A296*1000+B296,"")</f>
        <v/>
      </c>
      <c r="J296">
        <f>IF(I296="","",IF(COUNTIF(I$2:I296,I296)=1,MAX(J$1:J295)+1,""))</f>
        <v/>
      </c>
    </row>
    <row r="297">
      <c r="A297">
        <f>IFERROR(--SUBSTITUTE(SUBSTITUTE(TRIM(INDEX(INDIRECT("'Выгрузка'!A297:Z297"),Настройки!$B$7)),",","."),".",MID(1/2,2,1)),"")</f>
        <v/>
      </c>
      <c r="B297">
        <f>IFERROR(--SUBSTITUTE(SUBSTITUTE(TRIM(INDEX(INDIRECT("'Выгрузка'!A297:Z297"),Настройки!$B$9)),",","."),".",MID(1/2,2,1)),"")</f>
        <v/>
      </c>
      <c r="C297">
        <f>TRIM(INDEX(INDIRECT("'Выгрузка'!A297:Z297"),Настройки!$B$8)&amp;"")</f>
        <v/>
      </c>
      <c r="D297">
        <f>IFERROR(--SUBSTITUTE(SUBSTITUTE(TRIM(INDEX(INDIRECT("'Выгрузка'!A297:Z297"),Настройки!$B$10)),",","."),".",MID(1/2,2,1)),"")</f>
        <v/>
      </c>
      <c r="E297">
        <f>IFERROR(--SUBSTITUTE(SUBSTITUTE(TRIM(INDEX(INDIRECT("'Выгрузка'!A297:Z297"),Настройки!$B$11)),",","."),".",MID(1/2,2,1)),"")</f>
        <v/>
      </c>
      <c r="F297">
        <f>TRIM(INDEX(INDIRECT("'Выгрузка'!A297:Z297"),Настройки!$B$12)&amp;"")</f>
        <v/>
      </c>
      <c r="G297">
        <f>IF(F297="",0,IF(TRIM(INDEX(INDIRECT("'Выгрузка'!A297:Z297"),Настройки!$B$13)&amp;"")="",1,IFERROR(--SUBSTITUTE(SUBSTITUTE(TRIM(INDEX(INDIRECT("'Выгрузка'!A297:Z297"),Настройки!$B$13)),",","."),".",MID(1/2,2,1)),"")))</f>
        <v/>
      </c>
      <c r="H297">
        <f>IF(F297="",0,IF(COUNTIF(Настройки!$B$17:$B$26,F297)&gt;0,1,IF(COUNTIF(Настройки!$C$17:$C$26,F297)&gt;0,2,IF(COUNTIF(Настройки!$D$17:$D$26,F297)&gt;0,3,0))))</f>
        <v/>
      </c>
      <c r="I297">
        <f>IF(AND(ISNUMBER(A297),ISNUMBER(B297)),A297*1000+B297,"")</f>
        <v/>
      </c>
      <c r="J297">
        <f>IF(I297="","",IF(COUNTIF(I$2:I297,I297)=1,MAX(J$1:J296)+1,""))</f>
        <v/>
      </c>
    </row>
    <row r="298">
      <c r="A298">
        <f>IFERROR(--SUBSTITUTE(SUBSTITUTE(TRIM(INDEX(INDIRECT("'Выгрузка'!A298:Z298"),Настройки!$B$7)),",","."),".",MID(1/2,2,1)),"")</f>
        <v/>
      </c>
      <c r="B298">
        <f>IFERROR(--SUBSTITUTE(SUBSTITUTE(TRIM(INDEX(INDIRECT("'Выгрузка'!A298:Z298"),Настройки!$B$9)),",","."),".",MID(1/2,2,1)),"")</f>
        <v/>
      </c>
      <c r="C298">
        <f>TRIM(INDEX(INDIRECT("'Выгрузка'!A298:Z298"),Настройки!$B$8)&amp;"")</f>
        <v/>
      </c>
      <c r="D298">
        <f>IFERROR(--SUBSTITUTE(SUBSTITUTE(TRIM(INDEX(INDIRECT("'Выгрузка'!A298:Z298"),Настройки!$B$10)),",","."),".",MID(1/2,2,1)),"")</f>
        <v/>
      </c>
      <c r="E298">
        <f>IFERROR(--SUBSTITUTE(SUBSTITUTE(TRIM(INDEX(INDIRECT("'Выгрузка'!A298:Z298"),Настройки!$B$11)),",","."),".",MID(1/2,2,1)),"")</f>
        <v/>
      </c>
      <c r="F298">
        <f>TRIM(INDEX(INDIRECT("'Выгрузка'!A298:Z298"),Настройки!$B$12)&amp;"")</f>
        <v/>
      </c>
      <c r="G298">
        <f>IF(F298="",0,IF(TRIM(INDEX(INDIRECT("'Выгрузка'!A298:Z298"),Настройки!$B$13)&amp;"")="",1,IFERROR(--SUBSTITUTE(SUBSTITUTE(TRIM(INDEX(INDIRECT("'Выгрузка'!A298:Z298"),Настройки!$B$13)),",","."),".",MID(1/2,2,1)),"")))</f>
        <v/>
      </c>
      <c r="H298">
        <f>IF(F298="",0,IF(COUNTIF(Настройки!$B$17:$B$26,F298)&gt;0,1,IF(COUNTIF(Настройки!$C$17:$C$26,F298)&gt;0,2,IF(COUNTIF(Настройки!$D$17:$D$26,F298)&gt;0,3,0))))</f>
        <v/>
      </c>
      <c r="I298">
        <f>IF(AND(ISNUMBER(A298),ISNUMBER(B298)),A298*1000+B298,"")</f>
        <v/>
      </c>
      <c r="J298">
        <f>IF(I298="","",IF(COUNTIF(I$2:I298,I298)=1,MAX(J$1:J297)+1,""))</f>
        <v/>
      </c>
    </row>
    <row r="299">
      <c r="A299">
        <f>IFERROR(--SUBSTITUTE(SUBSTITUTE(TRIM(INDEX(INDIRECT("'Выгрузка'!A299:Z299"),Настройки!$B$7)),",","."),".",MID(1/2,2,1)),"")</f>
        <v/>
      </c>
      <c r="B299">
        <f>IFERROR(--SUBSTITUTE(SUBSTITUTE(TRIM(INDEX(INDIRECT("'Выгрузка'!A299:Z299"),Настройки!$B$9)),",","."),".",MID(1/2,2,1)),"")</f>
        <v/>
      </c>
      <c r="C299">
        <f>TRIM(INDEX(INDIRECT("'Выгрузка'!A299:Z299"),Настройки!$B$8)&amp;"")</f>
        <v/>
      </c>
      <c r="D299">
        <f>IFERROR(--SUBSTITUTE(SUBSTITUTE(TRIM(INDEX(INDIRECT("'Выгрузка'!A299:Z299"),Настройки!$B$10)),",","."),".",MID(1/2,2,1)),"")</f>
        <v/>
      </c>
      <c r="E299">
        <f>IFERROR(--SUBSTITUTE(SUBSTITUTE(TRIM(INDEX(INDIRECT("'Выгрузка'!A299:Z299"),Настройки!$B$11)),",","."),".",MID(1/2,2,1)),"")</f>
        <v/>
      </c>
      <c r="F299">
        <f>TRIM(INDEX(INDIRECT("'Выгрузка'!A299:Z299"),Настройки!$B$12)&amp;"")</f>
        <v/>
      </c>
      <c r="G299">
        <f>IF(F299="",0,IF(TRIM(INDEX(INDIRECT("'Выгрузка'!A299:Z299"),Настройки!$B$13)&amp;"")="",1,IFERROR(--SUBSTITUTE(SUBSTITUTE(TRIM(INDEX(INDIRECT("'Выгрузка'!A299:Z299"),Настройки!$B$13)),",","."),".",MID(1/2,2,1)),"")))</f>
        <v/>
      </c>
      <c r="H299">
        <f>IF(F299="",0,IF(COUNTIF(Настройки!$B$17:$B$26,F299)&gt;0,1,IF(COUNTIF(Настройки!$C$17:$C$26,F299)&gt;0,2,IF(COUNTIF(Настройки!$D$17:$D$26,F299)&gt;0,3,0))))</f>
        <v/>
      </c>
      <c r="I299">
        <f>IF(AND(ISNUMBER(A299),ISNUMBER(B299)),A299*1000+B299,"")</f>
        <v/>
      </c>
      <c r="J299">
        <f>IF(I299="","",IF(COUNTIF(I$2:I299,I299)=1,MAX(J$1:J298)+1,""))</f>
        <v/>
      </c>
    </row>
    <row r="300">
      <c r="A300">
        <f>IFERROR(--SUBSTITUTE(SUBSTITUTE(TRIM(INDEX(INDIRECT("'Выгрузка'!A300:Z300"),Настройки!$B$7)),",","."),".",MID(1/2,2,1)),"")</f>
        <v/>
      </c>
      <c r="B300">
        <f>IFERROR(--SUBSTITUTE(SUBSTITUTE(TRIM(INDEX(INDIRECT("'Выгрузка'!A300:Z300"),Настройки!$B$9)),",","."),".",MID(1/2,2,1)),"")</f>
        <v/>
      </c>
      <c r="C300">
        <f>TRIM(INDEX(INDIRECT("'Выгрузка'!A300:Z300"),Настройки!$B$8)&amp;"")</f>
        <v/>
      </c>
      <c r="D300">
        <f>IFERROR(--SUBSTITUTE(SUBSTITUTE(TRIM(INDEX(INDIRECT("'Выгрузка'!A300:Z300"),Настройки!$B$10)),",","."),".",MID(1/2,2,1)),"")</f>
        <v/>
      </c>
      <c r="E300">
        <f>IFERROR(--SUBSTITUTE(SUBSTITUTE(TRIM(INDEX(INDIRECT("'Выгрузка'!A300:Z300"),Настройки!$B$11)),",","."),".",MID(1/2,2,1)),"")</f>
        <v/>
      </c>
      <c r="F300">
        <f>TRIM(INDEX(INDIRECT("'Выгрузка'!A300:Z300"),Настройки!$B$12)&amp;"")</f>
        <v/>
      </c>
      <c r="G300">
        <f>IF(F300="",0,IF(TRIM(INDEX(INDIRECT("'Выгрузка'!A300:Z300"),Настройки!$B$13)&amp;"")="",1,IFERROR(--SUBSTITUTE(SUBSTITUTE(TRIM(INDEX(INDIRECT("'Выгрузка'!A300:Z300"),Настройки!$B$13)),",","."),".",MID(1/2,2,1)),"")))</f>
        <v/>
      </c>
      <c r="H300">
        <f>IF(F300="",0,IF(COUNTIF(Настройки!$B$17:$B$26,F300)&gt;0,1,IF(COUNTIF(Настройки!$C$17:$C$26,F300)&gt;0,2,IF(COUNTIF(Настройки!$D$17:$D$26,F300)&gt;0,3,0))))</f>
        <v/>
      </c>
      <c r="I300">
        <f>IF(AND(ISNUMBER(A300),ISNUMBER(B300)),A300*1000+B300,"")</f>
        <v/>
      </c>
      <c r="J300">
        <f>IF(I300="","",IF(COUNTIF(I$2:I300,I300)=1,MAX(J$1:J299)+1,""))</f>
        <v/>
      </c>
    </row>
    <row r="301">
      <c r="A301">
        <f>IFERROR(--SUBSTITUTE(SUBSTITUTE(TRIM(INDEX(INDIRECT("'Выгрузка'!A301:Z301"),Настройки!$B$7)),",","."),".",MID(1/2,2,1)),"")</f>
        <v/>
      </c>
      <c r="B301">
        <f>IFERROR(--SUBSTITUTE(SUBSTITUTE(TRIM(INDEX(INDIRECT("'Выгрузка'!A301:Z301"),Настройки!$B$9)),",","."),".",MID(1/2,2,1)),"")</f>
        <v/>
      </c>
      <c r="C301">
        <f>TRIM(INDEX(INDIRECT("'Выгрузка'!A301:Z301"),Настройки!$B$8)&amp;"")</f>
        <v/>
      </c>
      <c r="D301">
        <f>IFERROR(--SUBSTITUTE(SUBSTITUTE(TRIM(INDEX(INDIRECT("'Выгрузка'!A301:Z301"),Настройки!$B$10)),",","."),".",MID(1/2,2,1)),"")</f>
        <v/>
      </c>
      <c r="E301">
        <f>IFERROR(--SUBSTITUTE(SUBSTITUTE(TRIM(INDEX(INDIRECT("'Выгрузка'!A301:Z301"),Настройки!$B$11)),",","."),".",MID(1/2,2,1)),"")</f>
        <v/>
      </c>
      <c r="F301">
        <f>TRIM(INDEX(INDIRECT("'Выгрузка'!A301:Z301"),Настройки!$B$12)&amp;"")</f>
        <v/>
      </c>
      <c r="G301">
        <f>IF(F301="",0,IF(TRIM(INDEX(INDIRECT("'Выгрузка'!A301:Z301"),Настройки!$B$13)&amp;"")="",1,IFERROR(--SUBSTITUTE(SUBSTITUTE(TRIM(INDEX(INDIRECT("'Выгрузка'!A301:Z301"),Настройки!$B$13)),",","."),".",MID(1/2,2,1)),"")))</f>
        <v/>
      </c>
      <c r="H301">
        <f>IF(F301="",0,IF(COUNTIF(Настройки!$B$17:$B$26,F301)&gt;0,1,IF(COUNTIF(Настройки!$C$17:$C$26,F301)&gt;0,2,IF(COUNTIF(Настройки!$D$17:$D$26,F301)&gt;0,3,0))))</f>
        <v/>
      </c>
      <c r="I301">
        <f>IF(AND(ISNUMBER(A301),ISNUMBER(B301)),A301*1000+B301,"")</f>
        <v/>
      </c>
      <c r="J301">
        <f>IF(I301="","",IF(COUNTIF(I$2:I301,I301)=1,MAX(J$1:J300)+1,""))</f>
        <v/>
      </c>
    </row>
    <row r="302">
      <c r="A302">
        <f>IFERROR(--SUBSTITUTE(SUBSTITUTE(TRIM(INDEX(INDIRECT("'Выгрузка'!A302:Z302"),Настройки!$B$7)),",","."),".",MID(1/2,2,1)),"")</f>
        <v/>
      </c>
      <c r="B302">
        <f>IFERROR(--SUBSTITUTE(SUBSTITUTE(TRIM(INDEX(INDIRECT("'Выгрузка'!A302:Z302"),Настройки!$B$9)),",","."),".",MID(1/2,2,1)),"")</f>
        <v/>
      </c>
      <c r="C302">
        <f>TRIM(INDEX(INDIRECT("'Выгрузка'!A302:Z302"),Настройки!$B$8)&amp;"")</f>
        <v/>
      </c>
      <c r="D302">
        <f>IFERROR(--SUBSTITUTE(SUBSTITUTE(TRIM(INDEX(INDIRECT("'Выгрузка'!A302:Z302"),Настройки!$B$10)),",","."),".",MID(1/2,2,1)),"")</f>
        <v/>
      </c>
      <c r="E302">
        <f>IFERROR(--SUBSTITUTE(SUBSTITUTE(TRIM(INDEX(INDIRECT("'Выгрузка'!A302:Z302"),Настройки!$B$11)),",","."),".",MID(1/2,2,1)),"")</f>
        <v/>
      </c>
      <c r="F302">
        <f>TRIM(INDEX(INDIRECT("'Выгрузка'!A302:Z302"),Настройки!$B$12)&amp;"")</f>
        <v/>
      </c>
      <c r="G302">
        <f>IF(F302="",0,IF(TRIM(INDEX(INDIRECT("'Выгрузка'!A302:Z302"),Настройки!$B$13)&amp;"")="",1,IFERROR(--SUBSTITUTE(SUBSTITUTE(TRIM(INDEX(INDIRECT("'Выгрузка'!A302:Z302"),Настройки!$B$13)),",","."),".",MID(1/2,2,1)),"")))</f>
        <v/>
      </c>
      <c r="H302">
        <f>IF(F302="",0,IF(COUNTIF(Настройки!$B$17:$B$26,F302)&gt;0,1,IF(COUNTIF(Настройки!$C$17:$C$26,F302)&gt;0,2,IF(COUNTIF(Настройки!$D$17:$D$26,F302)&gt;0,3,0))))</f>
        <v/>
      </c>
      <c r="I302">
        <f>IF(AND(ISNUMBER(A302),ISNUMBER(B302)),A302*1000+B302,"")</f>
        <v/>
      </c>
      <c r="J302">
        <f>IF(I302="","",IF(COUNTIF(I$2:I302,I302)=1,MAX(J$1:J301)+1,""))</f>
        <v/>
      </c>
    </row>
    <row r="303">
      <c r="A303">
        <f>IFERROR(--SUBSTITUTE(SUBSTITUTE(TRIM(INDEX(INDIRECT("'Выгрузка'!A303:Z303"),Настройки!$B$7)),",","."),".",MID(1/2,2,1)),"")</f>
        <v/>
      </c>
      <c r="B303">
        <f>IFERROR(--SUBSTITUTE(SUBSTITUTE(TRIM(INDEX(INDIRECT("'Выгрузка'!A303:Z303"),Настройки!$B$9)),",","."),".",MID(1/2,2,1)),"")</f>
        <v/>
      </c>
      <c r="C303">
        <f>TRIM(INDEX(INDIRECT("'Выгрузка'!A303:Z303"),Настройки!$B$8)&amp;"")</f>
        <v/>
      </c>
      <c r="D303">
        <f>IFERROR(--SUBSTITUTE(SUBSTITUTE(TRIM(INDEX(INDIRECT("'Выгрузка'!A303:Z303"),Настройки!$B$10)),",","."),".",MID(1/2,2,1)),"")</f>
        <v/>
      </c>
      <c r="E303">
        <f>IFERROR(--SUBSTITUTE(SUBSTITUTE(TRIM(INDEX(INDIRECT("'Выгрузка'!A303:Z303"),Настройки!$B$11)),",","."),".",MID(1/2,2,1)),"")</f>
        <v/>
      </c>
      <c r="F303">
        <f>TRIM(INDEX(INDIRECT("'Выгрузка'!A303:Z303"),Настройки!$B$12)&amp;"")</f>
        <v/>
      </c>
      <c r="G303">
        <f>IF(F303="",0,IF(TRIM(INDEX(INDIRECT("'Выгрузка'!A303:Z303"),Настройки!$B$13)&amp;"")="",1,IFERROR(--SUBSTITUTE(SUBSTITUTE(TRIM(INDEX(INDIRECT("'Выгрузка'!A303:Z303"),Настройки!$B$13)),",","."),".",MID(1/2,2,1)),"")))</f>
        <v/>
      </c>
      <c r="H303">
        <f>IF(F303="",0,IF(COUNTIF(Настройки!$B$17:$B$26,F303)&gt;0,1,IF(COUNTIF(Настройки!$C$17:$C$26,F303)&gt;0,2,IF(COUNTIF(Настройки!$D$17:$D$26,F303)&gt;0,3,0))))</f>
        <v/>
      </c>
      <c r="I303">
        <f>IF(AND(ISNUMBER(A303),ISNUMBER(B303)),A303*1000+B303,"")</f>
        <v/>
      </c>
      <c r="J303">
        <f>IF(I303="","",IF(COUNTIF(I$2:I303,I303)=1,MAX(J$1:J302)+1,""))</f>
        <v/>
      </c>
    </row>
    <row r="304">
      <c r="A304">
        <f>IFERROR(--SUBSTITUTE(SUBSTITUTE(TRIM(INDEX(INDIRECT("'Выгрузка'!A304:Z304"),Настройки!$B$7)),",","."),".",MID(1/2,2,1)),"")</f>
        <v/>
      </c>
      <c r="B304">
        <f>IFERROR(--SUBSTITUTE(SUBSTITUTE(TRIM(INDEX(INDIRECT("'Выгрузка'!A304:Z304"),Настройки!$B$9)),",","."),".",MID(1/2,2,1)),"")</f>
        <v/>
      </c>
      <c r="C304">
        <f>TRIM(INDEX(INDIRECT("'Выгрузка'!A304:Z304"),Настройки!$B$8)&amp;"")</f>
        <v/>
      </c>
      <c r="D304">
        <f>IFERROR(--SUBSTITUTE(SUBSTITUTE(TRIM(INDEX(INDIRECT("'Выгрузка'!A304:Z304"),Настройки!$B$10)),",","."),".",MID(1/2,2,1)),"")</f>
        <v/>
      </c>
      <c r="E304">
        <f>IFERROR(--SUBSTITUTE(SUBSTITUTE(TRIM(INDEX(INDIRECT("'Выгрузка'!A304:Z304"),Настройки!$B$11)),",","."),".",MID(1/2,2,1)),"")</f>
        <v/>
      </c>
      <c r="F304">
        <f>TRIM(INDEX(INDIRECT("'Выгрузка'!A304:Z304"),Настройки!$B$12)&amp;"")</f>
        <v/>
      </c>
      <c r="G304">
        <f>IF(F304="",0,IF(TRIM(INDEX(INDIRECT("'Выгрузка'!A304:Z304"),Настройки!$B$13)&amp;"")="",1,IFERROR(--SUBSTITUTE(SUBSTITUTE(TRIM(INDEX(INDIRECT("'Выгрузка'!A304:Z304"),Настройки!$B$13)),",","."),".",MID(1/2,2,1)),"")))</f>
        <v/>
      </c>
      <c r="H304">
        <f>IF(F304="",0,IF(COUNTIF(Настройки!$B$17:$B$26,F304)&gt;0,1,IF(COUNTIF(Настройки!$C$17:$C$26,F304)&gt;0,2,IF(COUNTIF(Настройки!$D$17:$D$26,F304)&gt;0,3,0))))</f>
        <v/>
      </c>
      <c r="I304">
        <f>IF(AND(ISNUMBER(A304),ISNUMBER(B304)),A304*1000+B304,"")</f>
        <v/>
      </c>
      <c r="J304">
        <f>IF(I304="","",IF(COUNTIF(I$2:I304,I304)=1,MAX(J$1:J303)+1,""))</f>
        <v/>
      </c>
    </row>
    <row r="305">
      <c r="A305">
        <f>IFERROR(--SUBSTITUTE(SUBSTITUTE(TRIM(INDEX(INDIRECT("'Выгрузка'!A305:Z305"),Настройки!$B$7)),",","."),".",MID(1/2,2,1)),"")</f>
        <v/>
      </c>
      <c r="B305">
        <f>IFERROR(--SUBSTITUTE(SUBSTITUTE(TRIM(INDEX(INDIRECT("'Выгрузка'!A305:Z305"),Настройки!$B$9)),",","."),".",MID(1/2,2,1)),"")</f>
        <v/>
      </c>
      <c r="C305">
        <f>TRIM(INDEX(INDIRECT("'Выгрузка'!A305:Z305"),Настройки!$B$8)&amp;"")</f>
        <v/>
      </c>
      <c r="D305">
        <f>IFERROR(--SUBSTITUTE(SUBSTITUTE(TRIM(INDEX(INDIRECT("'Выгрузка'!A305:Z305"),Настройки!$B$10)),",","."),".",MID(1/2,2,1)),"")</f>
        <v/>
      </c>
      <c r="E305">
        <f>IFERROR(--SUBSTITUTE(SUBSTITUTE(TRIM(INDEX(INDIRECT("'Выгрузка'!A305:Z305"),Настройки!$B$11)),",","."),".",MID(1/2,2,1)),"")</f>
        <v/>
      </c>
      <c r="F305">
        <f>TRIM(INDEX(INDIRECT("'Выгрузка'!A305:Z305"),Настройки!$B$12)&amp;"")</f>
        <v/>
      </c>
      <c r="G305">
        <f>IF(F305="",0,IF(TRIM(INDEX(INDIRECT("'Выгрузка'!A305:Z305"),Настройки!$B$13)&amp;"")="",1,IFERROR(--SUBSTITUTE(SUBSTITUTE(TRIM(INDEX(INDIRECT("'Выгрузка'!A305:Z305"),Настройки!$B$13)),",","."),".",MID(1/2,2,1)),"")))</f>
        <v/>
      </c>
      <c r="H305">
        <f>IF(F305="",0,IF(COUNTIF(Настройки!$B$17:$B$26,F305)&gt;0,1,IF(COUNTIF(Настройки!$C$17:$C$26,F305)&gt;0,2,IF(COUNTIF(Настройки!$D$17:$D$26,F305)&gt;0,3,0))))</f>
        <v/>
      </c>
      <c r="I305">
        <f>IF(AND(ISNUMBER(A305),ISNUMBER(B305)),A305*1000+B305,"")</f>
        <v/>
      </c>
      <c r="J305">
        <f>IF(I305="","",IF(COUNTIF(I$2:I305,I305)=1,MAX(J$1:J304)+1,""))</f>
        <v/>
      </c>
    </row>
    <row r="306">
      <c r="A306">
        <f>IFERROR(--SUBSTITUTE(SUBSTITUTE(TRIM(INDEX(INDIRECT("'Выгрузка'!A306:Z306"),Настройки!$B$7)),",","."),".",MID(1/2,2,1)),"")</f>
        <v/>
      </c>
      <c r="B306">
        <f>IFERROR(--SUBSTITUTE(SUBSTITUTE(TRIM(INDEX(INDIRECT("'Выгрузка'!A306:Z306"),Настройки!$B$9)),",","."),".",MID(1/2,2,1)),"")</f>
        <v/>
      </c>
      <c r="C306">
        <f>TRIM(INDEX(INDIRECT("'Выгрузка'!A306:Z306"),Настройки!$B$8)&amp;"")</f>
        <v/>
      </c>
      <c r="D306">
        <f>IFERROR(--SUBSTITUTE(SUBSTITUTE(TRIM(INDEX(INDIRECT("'Выгрузка'!A306:Z306"),Настройки!$B$10)),",","."),".",MID(1/2,2,1)),"")</f>
        <v/>
      </c>
      <c r="E306">
        <f>IFERROR(--SUBSTITUTE(SUBSTITUTE(TRIM(INDEX(INDIRECT("'Выгрузка'!A306:Z306"),Настройки!$B$11)),",","."),".",MID(1/2,2,1)),"")</f>
        <v/>
      </c>
      <c r="F306">
        <f>TRIM(INDEX(INDIRECT("'Выгрузка'!A306:Z306"),Настройки!$B$12)&amp;"")</f>
        <v/>
      </c>
      <c r="G306">
        <f>IF(F306="",0,IF(TRIM(INDEX(INDIRECT("'Выгрузка'!A306:Z306"),Настройки!$B$13)&amp;"")="",1,IFERROR(--SUBSTITUTE(SUBSTITUTE(TRIM(INDEX(INDIRECT("'Выгрузка'!A306:Z306"),Настройки!$B$13)),",","."),".",MID(1/2,2,1)),"")))</f>
        <v/>
      </c>
      <c r="H306">
        <f>IF(F306="",0,IF(COUNTIF(Настройки!$B$17:$B$26,F306)&gt;0,1,IF(COUNTIF(Настройки!$C$17:$C$26,F306)&gt;0,2,IF(COUNTIF(Настройки!$D$17:$D$26,F306)&gt;0,3,0))))</f>
        <v/>
      </c>
      <c r="I306">
        <f>IF(AND(ISNUMBER(A306),ISNUMBER(B306)),A306*1000+B306,"")</f>
        <v/>
      </c>
      <c r="J306">
        <f>IF(I306="","",IF(COUNTIF(I$2:I306,I306)=1,MAX(J$1:J305)+1,""))</f>
        <v/>
      </c>
    </row>
    <row r="307">
      <c r="A307">
        <f>IFERROR(--SUBSTITUTE(SUBSTITUTE(TRIM(INDEX(INDIRECT("'Выгрузка'!A307:Z307"),Настройки!$B$7)),",","."),".",MID(1/2,2,1)),"")</f>
        <v/>
      </c>
      <c r="B307">
        <f>IFERROR(--SUBSTITUTE(SUBSTITUTE(TRIM(INDEX(INDIRECT("'Выгрузка'!A307:Z307"),Настройки!$B$9)),",","."),".",MID(1/2,2,1)),"")</f>
        <v/>
      </c>
      <c r="C307">
        <f>TRIM(INDEX(INDIRECT("'Выгрузка'!A307:Z307"),Настройки!$B$8)&amp;"")</f>
        <v/>
      </c>
      <c r="D307">
        <f>IFERROR(--SUBSTITUTE(SUBSTITUTE(TRIM(INDEX(INDIRECT("'Выгрузка'!A307:Z307"),Настройки!$B$10)),",","."),".",MID(1/2,2,1)),"")</f>
        <v/>
      </c>
      <c r="E307">
        <f>IFERROR(--SUBSTITUTE(SUBSTITUTE(TRIM(INDEX(INDIRECT("'Выгрузка'!A307:Z307"),Настройки!$B$11)),",","."),".",MID(1/2,2,1)),"")</f>
        <v/>
      </c>
      <c r="F307">
        <f>TRIM(INDEX(INDIRECT("'Выгрузка'!A307:Z307"),Настройки!$B$12)&amp;"")</f>
        <v/>
      </c>
      <c r="G307">
        <f>IF(F307="",0,IF(TRIM(INDEX(INDIRECT("'Выгрузка'!A307:Z307"),Настройки!$B$13)&amp;"")="",1,IFERROR(--SUBSTITUTE(SUBSTITUTE(TRIM(INDEX(INDIRECT("'Выгрузка'!A307:Z307"),Настройки!$B$13)),",","."),".",MID(1/2,2,1)),"")))</f>
        <v/>
      </c>
      <c r="H307">
        <f>IF(F307="",0,IF(COUNTIF(Настройки!$B$17:$B$26,F307)&gt;0,1,IF(COUNTIF(Настройки!$C$17:$C$26,F307)&gt;0,2,IF(COUNTIF(Настройки!$D$17:$D$26,F307)&gt;0,3,0))))</f>
        <v/>
      </c>
      <c r="I307">
        <f>IF(AND(ISNUMBER(A307),ISNUMBER(B307)),A307*1000+B307,"")</f>
        <v/>
      </c>
      <c r="J307">
        <f>IF(I307="","",IF(COUNTIF(I$2:I307,I307)=1,MAX(J$1:J306)+1,""))</f>
        <v/>
      </c>
    </row>
    <row r="308">
      <c r="A308">
        <f>IFERROR(--SUBSTITUTE(SUBSTITUTE(TRIM(INDEX(INDIRECT("'Выгрузка'!A308:Z308"),Настройки!$B$7)),",","."),".",MID(1/2,2,1)),"")</f>
        <v/>
      </c>
      <c r="B308">
        <f>IFERROR(--SUBSTITUTE(SUBSTITUTE(TRIM(INDEX(INDIRECT("'Выгрузка'!A308:Z308"),Настройки!$B$9)),",","."),".",MID(1/2,2,1)),"")</f>
        <v/>
      </c>
      <c r="C308">
        <f>TRIM(INDEX(INDIRECT("'Выгрузка'!A308:Z308"),Настройки!$B$8)&amp;"")</f>
        <v/>
      </c>
      <c r="D308">
        <f>IFERROR(--SUBSTITUTE(SUBSTITUTE(TRIM(INDEX(INDIRECT("'Выгрузка'!A308:Z308"),Настройки!$B$10)),",","."),".",MID(1/2,2,1)),"")</f>
        <v/>
      </c>
      <c r="E308">
        <f>IFERROR(--SUBSTITUTE(SUBSTITUTE(TRIM(INDEX(INDIRECT("'Выгрузка'!A308:Z308"),Настройки!$B$11)),",","."),".",MID(1/2,2,1)),"")</f>
        <v/>
      </c>
      <c r="F308">
        <f>TRIM(INDEX(INDIRECT("'Выгрузка'!A308:Z308"),Настройки!$B$12)&amp;"")</f>
        <v/>
      </c>
      <c r="G308">
        <f>IF(F308="",0,IF(TRIM(INDEX(INDIRECT("'Выгрузка'!A308:Z308"),Настройки!$B$13)&amp;"")="",1,IFERROR(--SUBSTITUTE(SUBSTITUTE(TRIM(INDEX(INDIRECT("'Выгрузка'!A308:Z308"),Настройки!$B$13)),",","."),".",MID(1/2,2,1)),"")))</f>
        <v/>
      </c>
      <c r="H308">
        <f>IF(F308="",0,IF(COUNTIF(Настройки!$B$17:$B$26,F308)&gt;0,1,IF(COUNTIF(Настройки!$C$17:$C$26,F308)&gt;0,2,IF(COUNTIF(Настройки!$D$17:$D$26,F308)&gt;0,3,0))))</f>
        <v/>
      </c>
      <c r="I308">
        <f>IF(AND(ISNUMBER(A308),ISNUMBER(B308)),A308*1000+B308,"")</f>
        <v/>
      </c>
      <c r="J308">
        <f>IF(I308="","",IF(COUNTIF(I$2:I308,I308)=1,MAX(J$1:J307)+1,""))</f>
        <v/>
      </c>
    </row>
    <row r="309">
      <c r="A309">
        <f>IFERROR(--SUBSTITUTE(SUBSTITUTE(TRIM(INDEX(INDIRECT("'Выгрузка'!A309:Z309"),Настройки!$B$7)),",","."),".",MID(1/2,2,1)),"")</f>
        <v/>
      </c>
      <c r="B309">
        <f>IFERROR(--SUBSTITUTE(SUBSTITUTE(TRIM(INDEX(INDIRECT("'Выгрузка'!A309:Z309"),Настройки!$B$9)),",","."),".",MID(1/2,2,1)),"")</f>
        <v/>
      </c>
      <c r="C309">
        <f>TRIM(INDEX(INDIRECT("'Выгрузка'!A309:Z309"),Настройки!$B$8)&amp;"")</f>
        <v/>
      </c>
      <c r="D309">
        <f>IFERROR(--SUBSTITUTE(SUBSTITUTE(TRIM(INDEX(INDIRECT("'Выгрузка'!A309:Z309"),Настройки!$B$10)),",","."),".",MID(1/2,2,1)),"")</f>
        <v/>
      </c>
      <c r="E309">
        <f>IFERROR(--SUBSTITUTE(SUBSTITUTE(TRIM(INDEX(INDIRECT("'Выгрузка'!A309:Z309"),Настройки!$B$11)),",","."),".",MID(1/2,2,1)),"")</f>
        <v/>
      </c>
      <c r="F309">
        <f>TRIM(INDEX(INDIRECT("'Выгрузка'!A309:Z309"),Настройки!$B$12)&amp;"")</f>
        <v/>
      </c>
      <c r="G309">
        <f>IF(F309="",0,IF(TRIM(INDEX(INDIRECT("'Выгрузка'!A309:Z309"),Настройки!$B$13)&amp;"")="",1,IFERROR(--SUBSTITUTE(SUBSTITUTE(TRIM(INDEX(INDIRECT("'Выгрузка'!A309:Z309"),Настройки!$B$13)),",","."),".",MID(1/2,2,1)),"")))</f>
        <v/>
      </c>
      <c r="H309">
        <f>IF(F309="",0,IF(COUNTIF(Настройки!$B$17:$B$26,F309)&gt;0,1,IF(COUNTIF(Настройки!$C$17:$C$26,F309)&gt;0,2,IF(COUNTIF(Настройки!$D$17:$D$26,F309)&gt;0,3,0))))</f>
        <v/>
      </c>
      <c r="I309">
        <f>IF(AND(ISNUMBER(A309),ISNUMBER(B309)),A309*1000+B309,"")</f>
        <v/>
      </c>
      <c r="J309">
        <f>IF(I309="","",IF(COUNTIF(I$2:I309,I309)=1,MAX(J$1:J308)+1,""))</f>
        <v/>
      </c>
    </row>
    <row r="310">
      <c r="A310">
        <f>IFERROR(--SUBSTITUTE(SUBSTITUTE(TRIM(INDEX(INDIRECT("'Выгрузка'!A310:Z310"),Настройки!$B$7)),",","."),".",MID(1/2,2,1)),"")</f>
        <v/>
      </c>
      <c r="B310">
        <f>IFERROR(--SUBSTITUTE(SUBSTITUTE(TRIM(INDEX(INDIRECT("'Выгрузка'!A310:Z310"),Настройки!$B$9)),",","."),".",MID(1/2,2,1)),"")</f>
        <v/>
      </c>
      <c r="C310">
        <f>TRIM(INDEX(INDIRECT("'Выгрузка'!A310:Z310"),Настройки!$B$8)&amp;"")</f>
        <v/>
      </c>
      <c r="D310">
        <f>IFERROR(--SUBSTITUTE(SUBSTITUTE(TRIM(INDEX(INDIRECT("'Выгрузка'!A310:Z310"),Настройки!$B$10)),",","."),".",MID(1/2,2,1)),"")</f>
        <v/>
      </c>
      <c r="E310">
        <f>IFERROR(--SUBSTITUTE(SUBSTITUTE(TRIM(INDEX(INDIRECT("'Выгрузка'!A310:Z310"),Настройки!$B$11)),",","."),".",MID(1/2,2,1)),"")</f>
        <v/>
      </c>
      <c r="F310">
        <f>TRIM(INDEX(INDIRECT("'Выгрузка'!A310:Z310"),Настройки!$B$12)&amp;"")</f>
        <v/>
      </c>
      <c r="G310">
        <f>IF(F310="",0,IF(TRIM(INDEX(INDIRECT("'Выгрузка'!A310:Z310"),Настройки!$B$13)&amp;"")="",1,IFERROR(--SUBSTITUTE(SUBSTITUTE(TRIM(INDEX(INDIRECT("'Выгрузка'!A310:Z310"),Настройки!$B$13)),",","."),".",MID(1/2,2,1)),"")))</f>
        <v/>
      </c>
      <c r="H310">
        <f>IF(F310="",0,IF(COUNTIF(Настройки!$B$17:$B$26,F310)&gt;0,1,IF(COUNTIF(Настройки!$C$17:$C$26,F310)&gt;0,2,IF(COUNTIF(Настройки!$D$17:$D$26,F310)&gt;0,3,0))))</f>
        <v/>
      </c>
      <c r="I310">
        <f>IF(AND(ISNUMBER(A310),ISNUMBER(B310)),A310*1000+B310,"")</f>
        <v/>
      </c>
      <c r="J310">
        <f>IF(I310="","",IF(COUNTIF(I$2:I310,I310)=1,MAX(J$1:J309)+1,""))</f>
        <v/>
      </c>
    </row>
    <row r="311">
      <c r="A311">
        <f>IFERROR(--SUBSTITUTE(SUBSTITUTE(TRIM(INDEX(INDIRECT("'Выгрузка'!A311:Z311"),Настройки!$B$7)),",","."),".",MID(1/2,2,1)),"")</f>
        <v/>
      </c>
      <c r="B311">
        <f>IFERROR(--SUBSTITUTE(SUBSTITUTE(TRIM(INDEX(INDIRECT("'Выгрузка'!A311:Z311"),Настройки!$B$9)),",","."),".",MID(1/2,2,1)),"")</f>
        <v/>
      </c>
      <c r="C311">
        <f>TRIM(INDEX(INDIRECT("'Выгрузка'!A311:Z311"),Настройки!$B$8)&amp;"")</f>
        <v/>
      </c>
      <c r="D311">
        <f>IFERROR(--SUBSTITUTE(SUBSTITUTE(TRIM(INDEX(INDIRECT("'Выгрузка'!A311:Z311"),Настройки!$B$10)),",","."),".",MID(1/2,2,1)),"")</f>
        <v/>
      </c>
      <c r="E311">
        <f>IFERROR(--SUBSTITUTE(SUBSTITUTE(TRIM(INDEX(INDIRECT("'Выгрузка'!A311:Z311"),Настройки!$B$11)),",","."),".",MID(1/2,2,1)),"")</f>
        <v/>
      </c>
      <c r="F311">
        <f>TRIM(INDEX(INDIRECT("'Выгрузка'!A311:Z311"),Настройки!$B$12)&amp;"")</f>
        <v/>
      </c>
      <c r="G311">
        <f>IF(F311="",0,IF(TRIM(INDEX(INDIRECT("'Выгрузка'!A311:Z311"),Настройки!$B$13)&amp;"")="",1,IFERROR(--SUBSTITUTE(SUBSTITUTE(TRIM(INDEX(INDIRECT("'Выгрузка'!A311:Z311"),Настройки!$B$13)),",","."),".",MID(1/2,2,1)),"")))</f>
        <v/>
      </c>
      <c r="H311">
        <f>IF(F311="",0,IF(COUNTIF(Настройки!$B$17:$B$26,F311)&gt;0,1,IF(COUNTIF(Настройки!$C$17:$C$26,F311)&gt;0,2,IF(COUNTIF(Настройки!$D$17:$D$26,F311)&gt;0,3,0))))</f>
        <v/>
      </c>
      <c r="I311">
        <f>IF(AND(ISNUMBER(A311),ISNUMBER(B311)),A311*1000+B311,"")</f>
        <v/>
      </c>
      <c r="J311">
        <f>IF(I311="","",IF(COUNTIF(I$2:I311,I311)=1,MAX(J$1:J310)+1,""))</f>
        <v/>
      </c>
    </row>
    <row r="312">
      <c r="A312">
        <f>IFERROR(--SUBSTITUTE(SUBSTITUTE(TRIM(INDEX(INDIRECT("'Выгрузка'!A312:Z312"),Настройки!$B$7)),",","."),".",MID(1/2,2,1)),"")</f>
        <v/>
      </c>
      <c r="B312">
        <f>IFERROR(--SUBSTITUTE(SUBSTITUTE(TRIM(INDEX(INDIRECT("'Выгрузка'!A312:Z312"),Настройки!$B$9)),",","."),".",MID(1/2,2,1)),"")</f>
        <v/>
      </c>
      <c r="C312">
        <f>TRIM(INDEX(INDIRECT("'Выгрузка'!A312:Z312"),Настройки!$B$8)&amp;"")</f>
        <v/>
      </c>
      <c r="D312">
        <f>IFERROR(--SUBSTITUTE(SUBSTITUTE(TRIM(INDEX(INDIRECT("'Выгрузка'!A312:Z312"),Настройки!$B$10)),",","."),".",MID(1/2,2,1)),"")</f>
        <v/>
      </c>
      <c r="E312">
        <f>IFERROR(--SUBSTITUTE(SUBSTITUTE(TRIM(INDEX(INDIRECT("'Выгрузка'!A312:Z312"),Настройки!$B$11)),",","."),".",MID(1/2,2,1)),"")</f>
        <v/>
      </c>
      <c r="F312">
        <f>TRIM(INDEX(INDIRECT("'Выгрузка'!A312:Z312"),Настройки!$B$12)&amp;"")</f>
        <v/>
      </c>
      <c r="G312">
        <f>IF(F312="",0,IF(TRIM(INDEX(INDIRECT("'Выгрузка'!A312:Z312"),Настройки!$B$13)&amp;"")="",1,IFERROR(--SUBSTITUTE(SUBSTITUTE(TRIM(INDEX(INDIRECT("'Выгрузка'!A312:Z312"),Настройки!$B$13)),",","."),".",MID(1/2,2,1)),"")))</f>
        <v/>
      </c>
      <c r="H312">
        <f>IF(F312="",0,IF(COUNTIF(Настройки!$B$17:$B$26,F312)&gt;0,1,IF(COUNTIF(Настройки!$C$17:$C$26,F312)&gt;0,2,IF(COUNTIF(Настройки!$D$17:$D$26,F312)&gt;0,3,0))))</f>
        <v/>
      </c>
      <c r="I312">
        <f>IF(AND(ISNUMBER(A312),ISNUMBER(B312)),A312*1000+B312,"")</f>
        <v/>
      </c>
      <c r="J312">
        <f>IF(I312="","",IF(COUNTIF(I$2:I312,I312)=1,MAX(J$1:J311)+1,""))</f>
        <v/>
      </c>
    </row>
    <row r="313">
      <c r="A313">
        <f>IFERROR(--SUBSTITUTE(SUBSTITUTE(TRIM(INDEX(INDIRECT("'Выгрузка'!A313:Z313"),Настройки!$B$7)),",","."),".",MID(1/2,2,1)),"")</f>
        <v/>
      </c>
      <c r="B313">
        <f>IFERROR(--SUBSTITUTE(SUBSTITUTE(TRIM(INDEX(INDIRECT("'Выгрузка'!A313:Z313"),Настройки!$B$9)),",","."),".",MID(1/2,2,1)),"")</f>
        <v/>
      </c>
      <c r="C313">
        <f>TRIM(INDEX(INDIRECT("'Выгрузка'!A313:Z313"),Настройки!$B$8)&amp;"")</f>
        <v/>
      </c>
      <c r="D313">
        <f>IFERROR(--SUBSTITUTE(SUBSTITUTE(TRIM(INDEX(INDIRECT("'Выгрузка'!A313:Z313"),Настройки!$B$10)),",","."),".",MID(1/2,2,1)),"")</f>
        <v/>
      </c>
      <c r="E313">
        <f>IFERROR(--SUBSTITUTE(SUBSTITUTE(TRIM(INDEX(INDIRECT("'Выгрузка'!A313:Z313"),Настройки!$B$11)),",","."),".",MID(1/2,2,1)),"")</f>
        <v/>
      </c>
      <c r="F313">
        <f>TRIM(INDEX(INDIRECT("'Выгрузка'!A313:Z313"),Настройки!$B$12)&amp;"")</f>
        <v/>
      </c>
      <c r="G313">
        <f>IF(F313="",0,IF(TRIM(INDEX(INDIRECT("'Выгрузка'!A313:Z313"),Настройки!$B$13)&amp;"")="",1,IFERROR(--SUBSTITUTE(SUBSTITUTE(TRIM(INDEX(INDIRECT("'Выгрузка'!A313:Z313"),Настройки!$B$13)),",","."),".",MID(1/2,2,1)),"")))</f>
        <v/>
      </c>
      <c r="H313">
        <f>IF(F313="",0,IF(COUNTIF(Настройки!$B$17:$B$26,F313)&gt;0,1,IF(COUNTIF(Настройки!$C$17:$C$26,F313)&gt;0,2,IF(COUNTIF(Настройки!$D$17:$D$26,F313)&gt;0,3,0))))</f>
        <v/>
      </c>
      <c r="I313">
        <f>IF(AND(ISNUMBER(A313),ISNUMBER(B313)),A313*1000+B313,"")</f>
        <v/>
      </c>
      <c r="J313">
        <f>IF(I313="","",IF(COUNTIF(I$2:I313,I313)=1,MAX(J$1:J312)+1,""))</f>
        <v/>
      </c>
    </row>
    <row r="314">
      <c r="A314">
        <f>IFERROR(--SUBSTITUTE(SUBSTITUTE(TRIM(INDEX(INDIRECT("'Выгрузка'!A314:Z314"),Настройки!$B$7)),",","."),".",MID(1/2,2,1)),"")</f>
        <v/>
      </c>
      <c r="B314">
        <f>IFERROR(--SUBSTITUTE(SUBSTITUTE(TRIM(INDEX(INDIRECT("'Выгрузка'!A314:Z314"),Настройки!$B$9)),",","."),".",MID(1/2,2,1)),"")</f>
        <v/>
      </c>
      <c r="C314">
        <f>TRIM(INDEX(INDIRECT("'Выгрузка'!A314:Z314"),Настройки!$B$8)&amp;"")</f>
        <v/>
      </c>
      <c r="D314">
        <f>IFERROR(--SUBSTITUTE(SUBSTITUTE(TRIM(INDEX(INDIRECT("'Выгрузка'!A314:Z314"),Настройки!$B$10)),",","."),".",MID(1/2,2,1)),"")</f>
        <v/>
      </c>
      <c r="E314">
        <f>IFERROR(--SUBSTITUTE(SUBSTITUTE(TRIM(INDEX(INDIRECT("'Выгрузка'!A314:Z314"),Настройки!$B$11)),",","."),".",MID(1/2,2,1)),"")</f>
        <v/>
      </c>
      <c r="F314">
        <f>TRIM(INDEX(INDIRECT("'Выгрузка'!A314:Z314"),Настройки!$B$12)&amp;"")</f>
        <v/>
      </c>
      <c r="G314">
        <f>IF(F314="",0,IF(TRIM(INDEX(INDIRECT("'Выгрузка'!A314:Z314"),Настройки!$B$13)&amp;"")="",1,IFERROR(--SUBSTITUTE(SUBSTITUTE(TRIM(INDEX(INDIRECT("'Выгрузка'!A314:Z314"),Настройки!$B$13)),",","."),".",MID(1/2,2,1)),"")))</f>
        <v/>
      </c>
      <c r="H314">
        <f>IF(F314="",0,IF(COUNTIF(Настройки!$B$17:$B$26,F314)&gt;0,1,IF(COUNTIF(Настройки!$C$17:$C$26,F314)&gt;0,2,IF(COUNTIF(Настройки!$D$17:$D$26,F314)&gt;0,3,0))))</f>
        <v/>
      </c>
      <c r="I314">
        <f>IF(AND(ISNUMBER(A314),ISNUMBER(B314)),A314*1000+B314,"")</f>
        <v/>
      </c>
      <c r="J314">
        <f>IF(I314="","",IF(COUNTIF(I$2:I314,I314)=1,MAX(J$1:J313)+1,""))</f>
        <v/>
      </c>
    </row>
    <row r="315">
      <c r="A315">
        <f>IFERROR(--SUBSTITUTE(SUBSTITUTE(TRIM(INDEX(INDIRECT("'Выгрузка'!A315:Z315"),Настройки!$B$7)),",","."),".",MID(1/2,2,1)),"")</f>
        <v/>
      </c>
      <c r="B315">
        <f>IFERROR(--SUBSTITUTE(SUBSTITUTE(TRIM(INDEX(INDIRECT("'Выгрузка'!A315:Z315"),Настройки!$B$9)),",","."),".",MID(1/2,2,1)),"")</f>
        <v/>
      </c>
      <c r="C315">
        <f>TRIM(INDEX(INDIRECT("'Выгрузка'!A315:Z315"),Настройки!$B$8)&amp;"")</f>
        <v/>
      </c>
      <c r="D315">
        <f>IFERROR(--SUBSTITUTE(SUBSTITUTE(TRIM(INDEX(INDIRECT("'Выгрузка'!A315:Z315"),Настройки!$B$10)),",","."),".",MID(1/2,2,1)),"")</f>
        <v/>
      </c>
      <c r="E315">
        <f>IFERROR(--SUBSTITUTE(SUBSTITUTE(TRIM(INDEX(INDIRECT("'Выгрузка'!A315:Z315"),Настройки!$B$11)),",","."),".",MID(1/2,2,1)),"")</f>
        <v/>
      </c>
      <c r="F315">
        <f>TRIM(INDEX(INDIRECT("'Выгрузка'!A315:Z315"),Настройки!$B$12)&amp;"")</f>
        <v/>
      </c>
      <c r="G315">
        <f>IF(F315="",0,IF(TRIM(INDEX(INDIRECT("'Выгрузка'!A315:Z315"),Настройки!$B$13)&amp;"")="",1,IFERROR(--SUBSTITUTE(SUBSTITUTE(TRIM(INDEX(INDIRECT("'Выгрузка'!A315:Z315"),Настройки!$B$13)),",","."),".",MID(1/2,2,1)),"")))</f>
        <v/>
      </c>
      <c r="H315">
        <f>IF(F315="",0,IF(COUNTIF(Настройки!$B$17:$B$26,F315)&gt;0,1,IF(COUNTIF(Настройки!$C$17:$C$26,F315)&gt;0,2,IF(COUNTIF(Настройки!$D$17:$D$26,F315)&gt;0,3,0))))</f>
        <v/>
      </c>
      <c r="I315">
        <f>IF(AND(ISNUMBER(A315),ISNUMBER(B315)),A315*1000+B315,"")</f>
        <v/>
      </c>
      <c r="J315">
        <f>IF(I315="","",IF(COUNTIF(I$2:I315,I315)=1,MAX(J$1:J314)+1,""))</f>
        <v/>
      </c>
    </row>
    <row r="316">
      <c r="A316">
        <f>IFERROR(--SUBSTITUTE(SUBSTITUTE(TRIM(INDEX(INDIRECT("'Выгрузка'!A316:Z316"),Настройки!$B$7)),",","."),".",MID(1/2,2,1)),"")</f>
        <v/>
      </c>
      <c r="B316">
        <f>IFERROR(--SUBSTITUTE(SUBSTITUTE(TRIM(INDEX(INDIRECT("'Выгрузка'!A316:Z316"),Настройки!$B$9)),",","."),".",MID(1/2,2,1)),"")</f>
        <v/>
      </c>
      <c r="C316">
        <f>TRIM(INDEX(INDIRECT("'Выгрузка'!A316:Z316"),Настройки!$B$8)&amp;"")</f>
        <v/>
      </c>
      <c r="D316">
        <f>IFERROR(--SUBSTITUTE(SUBSTITUTE(TRIM(INDEX(INDIRECT("'Выгрузка'!A316:Z316"),Настройки!$B$10)),",","."),".",MID(1/2,2,1)),"")</f>
        <v/>
      </c>
      <c r="E316">
        <f>IFERROR(--SUBSTITUTE(SUBSTITUTE(TRIM(INDEX(INDIRECT("'Выгрузка'!A316:Z316"),Настройки!$B$11)),",","."),".",MID(1/2,2,1)),"")</f>
        <v/>
      </c>
      <c r="F316">
        <f>TRIM(INDEX(INDIRECT("'Выгрузка'!A316:Z316"),Настройки!$B$12)&amp;"")</f>
        <v/>
      </c>
      <c r="G316">
        <f>IF(F316="",0,IF(TRIM(INDEX(INDIRECT("'Выгрузка'!A316:Z316"),Настройки!$B$13)&amp;"")="",1,IFERROR(--SUBSTITUTE(SUBSTITUTE(TRIM(INDEX(INDIRECT("'Выгрузка'!A316:Z316"),Настройки!$B$13)),",","."),".",MID(1/2,2,1)),"")))</f>
        <v/>
      </c>
      <c r="H316">
        <f>IF(F316="",0,IF(COUNTIF(Настройки!$B$17:$B$26,F316)&gt;0,1,IF(COUNTIF(Настройки!$C$17:$C$26,F316)&gt;0,2,IF(COUNTIF(Настройки!$D$17:$D$26,F316)&gt;0,3,0))))</f>
        <v/>
      </c>
      <c r="I316">
        <f>IF(AND(ISNUMBER(A316),ISNUMBER(B316)),A316*1000+B316,"")</f>
        <v/>
      </c>
      <c r="J316">
        <f>IF(I316="","",IF(COUNTIF(I$2:I316,I316)=1,MAX(J$1:J315)+1,""))</f>
        <v/>
      </c>
    </row>
    <row r="317">
      <c r="A317">
        <f>IFERROR(--SUBSTITUTE(SUBSTITUTE(TRIM(INDEX(INDIRECT("'Выгрузка'!A317:Z317"),Настройки!$B$7)),",","."),".",MID(1/2,2,1)),"")</f>
        <v/>
      </c>
      <c r="B317">
        <f>IFERROR(--SUBSTITUTE(SUBSTITUTE(TRIM(INDEX(INDIRECT("'Выгрузка'!A317:Z317"),Настройки!$B$9)),",","."),".",MID(1/2,2,1)),"")</f>
        <v/>
      </c>
      <c r="C317">
        <f>TRIM(INDEX(INDIRECT("'Выгрузка'!A317:Z317"),Настройки!$B$8)&amp;"")</f>
        <v/>
      </c>
      <c r="D317">
        <f>IFERROR(--SUBSTITUTE(SUBSTITUTE(TRIM(INDEX(INDIRECT("'Выгрузка'!A317:Z317"),Настройки!$B$10)),",","."),".",MID(1/2,2,1)),"")</f>
        <v/>
      </c>
      <c r="E317">
        <f>IFERROR(--SUBSTITUTE(SUBSTITUTE(TRIM(INDEX(INDIRECT("'Выгрузка'!A317:Z317"),Настройки!$B$11)),",","."),".",MID(1/2,2,1)),"")</f>
        <v/>
      </c>
      <c r="F317">
        <f>TRIM(INDEX(INDIRECT("'Выгрузка'!A317:Z317"),Настройки!$B$12)&amp;"")</f>
        <v/>
      </c>
      <c r="G317">
        <f>IF(F317="",0,IF(TRIM(INDEX(INDIRECT("'Выгрузка'!A317:Z317"),Настройки!$B$13)&amp;"")="",1,IFERROR(--SUBSTITUTE(SUBSTITUTE(TRIM(INDEX(INDIRECT("'Выгрузка'!A317:Z317"),Настройки!$B$13)),",","."),".",MID(1/2,2,1)),"")))</f>
        <v/>
      </c>
      <c r="H317">
        <f>IF(F317="",0,IF(COUNTIF(Настройки!$B$17:$B$26,F317)&gt;0,1,IF(COUNTIF(Настройки!$C$17:$C$26,F317)&gt;0,2,IF(COUNTIF(Настройки!$D$17:$D$26,F317)&gt;0,3,0))))</f>
        <v/>
      </c>
      <c r="I317">
        <f>IF(AND(ISNUMBER(A317),ISNUMBER(B317)),A317*1000+B317,"")</f>
        <v/>
      </c>
      <c r="J317">
        <f>IF(I317="","",IF(COUNTIF(I$2:I317,I317)=1,MAX(J$1:J316)+1,""))</f>
        <v/>
      </c>
    </row>
    <row r="318">
      <c r="A318">
        <f>IFERROR(--SUBSTITUTE(SUBSTITUTE(TRIM(INDEX(INDIRECT("'Выгрузка'!A318:Z318"),Настройки!$B$7)),",","."),".",MID(1/2,2,1)),"")</f>
        <v/>
      </c>
      <c r="B318">
        <f>IFERROR(--SUBSTITUTE(SUBSTITUTE(TRIM(INDEX(INDIRECT("'Выгрузка'!A318:Z318"),Настройки!$B$9)),",","."),".",MID(1/2,2,1)),"")</f>
        <v/>
      </c>
      <c r="C318">
        <f>TRIM(INDEX(INDIRECT("'Выгрузка'!A318:Z318"),Настройки!$B$8)&amp;"")</f>
        <v/>
      </c>
      <c r="D318">
        <f>IFERROR(--SUBSTITUTE(SUBSTITUTE(TRIM(INDEX(INDIRECT("'Выгрузка'!A318:Z318"),Настройки!$B$10)),",","."),".",MID(1/2,2,1)),"")</f>
        <v/>
      </c>
      <c r="E318">
        <f>IFERROR(--SUBSTITUTE(SUBSTITUTE(TRIM(INDEX(INDIRECT("'Выгрузка'!A318:Z318"),Настройки!$B$11)),",","."),".",MID(1/2,2,1)),"")</f>
        <v/>
      </c>
      <c r="F318">
        <f>TRIM(INDEX(INDIRECT("'Выгрузка'!A318:Z318"),Настройки!$B$12)&amp;"")</f>
        <v/>
      </c>
      <c r="G318">
        <f>IF(F318="",0,IF(TRIM(INDEX(INDIRECT("'Выгрузка'!A318:Z318"),Настройки!$B$13)&amp;"")="",1,IFERROR(--SUBSTITUTE(SUBSTITUTE(TRIM(INDEX(INDIRECT("'Выгрузка'!A318:Z318"),Настройки!$B$13)),",","."),".",MID(1/2,2,1)),"")))</f>
        <v/>
      </c>
      <c r="H318">
        <f>IF(F318="",0,IF(COUNTIF(Настройки!$B$17:$B$26,F318)&gt;0,1,IF(COUNTIF(Настройки!$C$17:$C$26,F318)&gt;0,2,IF(COUNTIF(Настройки!$D$17:$D$26,F318)&gt;0,3,0))))</f>
        <v/>
      </c>
      <c r="I318">
        <f>IF(AND(ISNUMBER(A318),ISNUMBER(B318)),A318*1000+B318,"")</f>
        <v/>
      </c>
      <c r="J318">
        <f>IF(I318="","",IF(COUNTIF(I$2:I318,I318)=1,MAX(J$1:J317)+1,""))</f>
        <v/>
      </c>
    </row>
    <row r="319">
      <c r="A319">
        <f>IFERROR(--SUBSTITUTE(SUBSTITUTE(TRIM(INDEX(INDIRECT("'Выгрузка'!A319:Z319"),Настройки!$B$7)),",","."),".",MID(1/2,2,1)),"")</f>
        <v/>
      </c>
      <c r="B319">
        <f>IFERROR(--SUBSTITUTE(SUBSTITUTE(TRIM(INDEX(INDIRECT("'Выгрузка'!A319:Z319"),Настройки!$B$9)),",","."),".",MID(1/2,2,1)),"")</f>
        <v/>
      </c>
      <c r="C319">
        <f>TRIM(INDEX(INDIRECT("'Выгрузка'!A319:Z319"),Настройки!$B$8)&amp;"")</f>
        <v/>
      </c>
      <c r="D319">
        <f>IFERROR(--SUBSTITUTE(SUBSTITUTE(TRIM(INDEX(INDIRECT("'Выгрузка'!A319:Z319"),Настройки!$B$10)),",","."),".",MID(1/2,2,1)),"")</f>
        <v/>
      </c>
      <c r="E319">
        <f>IFERROR(--SUBSTITUTE(SUBSTITUTE(TRIM(INDEX(INDIRECT("'Выгрузка'!A319:Z319"),Настройки!$B$11)),",","."),".",MID(1/2,2,1)),"")</f>
        <v/>
      </c>
      <c r="F319">
        <f>TRIM(INDEX(INDIRECT("'Выгрузка'!A319:Z319"),Настройки!$B$12)&amp;"")</f>
        <v/>
      </c>
      <c r="G319">
        <f>IF(F319="",0,IF(TRIM(INDEX(INDIRECT("'Выгрузка'!A319:Z319"),Настройки!$B$13)&amp;"")="",1,IFERROR(--SUBSTITUTE(SUBSTITUTE(TRIM(INDEX(INDIRECT("'Выгрузка'!A319:Z319"),Настройки!$B$13)),",","."),".",MID(1/2,2,1)),"")))</f>
        <v/>
      </c>
      <c r="H319">
        <f>IF(F319="",0,IF(COUNTIF(Настройки!$B$17:$B$26,F319)&gt;0,1,IF(COUNTIF(Настройки!$C$17:$C$26,F319)&gt;0,2,IF(COUNTIF(Настройки!$D$17:$D$26,F319)&gt;0,3,0))))</f>
        <v/>
      </c>
      <c r="I319">
        <f>IF(AND(ISNUMBER(A319),ISNUMBER(B319)),A319*1000+B319,"")</f>
        <v/>
      </c>
      <c r="J319">
        <f>IF(I319="","",IF(COUNTIF(I$2:I319,I319)=1,MAX(J$1:J318)+1,""))</f>
        <v/>
      </c>
    </row>
    <row r="320">
      <c r="A320">
        <f>IFERROR(--SUBSTITUTE(SUBSTITUTE(TRIM(INDEX(INDIRECT("'Выгрузка'!A320:Z320"),Настройки!$B$7)),",","."),".",MID(1/2,2,1)),"")</f>
        <v/>
      </c>
      <c r="B320">
        <f>IFERROR(--SUBSTITUTE(SUBSTITUTE(TRIM(INDEX(INDIRECT("'Выгрузка'!A320:Z320"),Настройки!$B$9)),",","."),".",MID(1/2,2,1)),"")</f>
        <v/>
      </c>
      <c r="C320">
        <f>TRIM(INDEX(INDIRECT("'Выгрузка'!A320:Z320"),Настройки!$B$8)&amp;"")</f>
        <v/>
      </c>
      <c r="D320">
        <f>IFERROR(--SUBSTITUTE(SUBSTITUTE(TRIM(INDEX(INDIRECT("'Выгрузка'!A320:Z320"),Настройки!$B$10)),",","."),".",MID(1/2,2,1)),"")</f>
        <v/>
      </c>
      <c r="E320">
        <f>IFERROR(--SUBSTITUTE(SUBSTITUTE(TRIM(INDEX(INDIRECT("'Выгрузка'!A320:Z320"),Настройки!$B$11)),",","."),".",MID(1/2,2,1)),"")</f>
        <v/>
      </c>
      <c r="F320">
        <f>TRIM(INDEX(INDIRECT("'Выгрузка'!A320:Z320"),Настройки!$B$12)&amp;"")</f>
        <v/>
      </c>
      <c r="G320">
        <f>IF(F320="",0,IF(TRIM(INDEX(INDIRECT("'Выгрузка'!A320:Z320"),Настройки!$B$13)&amp;"")="",1,IFERROR(--SUBSTITUTE(SUBSTITUTE(TRIM(INDEX(INDIRECT("'Выгрузка'!A320:Z320"),Настройки!$B$13)),",","."),".",MID(1/2,2,1)),"")))</f>
        <v/>
      </c>
      <c r="H320">
        <f>IF(F320="",0,IF(COUNTIF(Настройки!$B$17:$B$26,F320)&gt;0,1,IF(COUNTIF(Настройки!$C$17:$C$26,F320)&gt;0,2,IF(COUNTIF(Настройки!$D$17:$D$26,F320)&gt;0,3,0))))</f>
        <v/>
      </c>
      <c r="I320">
        <f>IF(AND(ISNUMBER(A320),ISNUMBER(B320)),A320*1000+B320,"")</f>
        <v/>
      </c>
      <c r="J320">
        <f>IF(I320="","",IF(COUNTIF(I$2:I320,I320)=1,MAX(J$1:J319)+1,""))</f>
        <v/>
      </c>
    </row>
    <row r="321">
      <c r="A321">
        <f>IFERROR(--SUBSTITUTE(SUBSTITUTE(TRIM(INDEX(INDIRECT("'Выгрузка'!A321:Z321"),Настройки!$B$7)),",","."),".",MID(1/2,2,1)),"")</f>
        <v/>
      </c>
      <c r="B321">
        <f>IFERROR(--SUBSTITUTE(SUBSTITUTE(TRIM(INDEX(INDIRECT("'Выгрузка'!A321:Z321"),Настройки!$B$9)),",","."),".",MID(1/2,2,1)),"")</f>
        <v/>
      </c>
      <c r="C321">
        <f>TRIM(INDEX(INDIRECT("'Выгрузка'!A321:Z321"),Настройки!$B$8)&amp;"")</f>
        <v/>
      </c>
      <c r="D321">
        <f>IFERROR(--SUBSTITUTE(SUBSTITUTE(TRIM(INDEX(INDIRECT("'Выгрузка'!A321:Z321"),Настройки!$B$10)),",","."),".",MID(1/2,2,1)),"")</f>
        <v/>
      </c>
      <c r="E321">
        <f>IFERROR(--SUBSTITUTE(SUBSTITUTE(TRIM(INDEX(INDIRECT("'Выгрузка'!A321:Z321"),Настройки!$B$11)),",","."),".",MID(1/2,2,1)),"")</f>
        <v/>
      </c>
      <c r="F321">
        <f>TRIM(INDEX(INDIRECT("'Выгрузка'!A321:Z321"),Настройки!$B$12)&amp;"")</f>
        <v/>
      </c>
      <c r="G321">
        <f>IF(F321="",0,IF(TRIM(INDEX(INDIRECT("'Выгрузка'!A321:Z321"),Настройки!$B$13)&amp;"")="",1,IFERROR(--SUBSTITUTE(SUBSTITUTE(TRIM(INDEX(INDIRECT("'Выгрузка'!A321:Z321"),Настройки!$B$13)),",","."),".",MID(1/2,2,1)),"")))</f>
        <v/>
      </c>
      <c r="H321">
        <f>IF(F321="",0,IF(COUNTIF(Настройки!$B$17:$B$26,F321)&gt;0,1,IF(COUNTIF(Настройки!$C$17:$C$26,F321)&gt;0,2,IF(COUNTIF(Настройки!$D$17:$D$26,F321)&gt;0,3,0))))</f>
        <v/>
      </c>
      <c r="I321">
        <f>IF(AND(ISNUMBER(A321),ISNUMBER(B321)),A321*1000+B321,"")</f>
        <v/>
      </c>
      <c r="J321">
        <f>IF(I321="","",IF(COUNTIF(I$2:I321,I321)=1,MAX(J$1:J320)+1,""))</f>
        <v/>
      </c>
    </row>
    <row r="322">
      <c r="A322">
        <f>IFERROR(--SUBSTITUTE(SUBSTITUTE(TRIM(INDEX(INDIRECT("'Выгрузка'!A322:Z322"),Настройки!$B$7)),",","."),".",MID(1/2,2,1)),"")</f>
        <v/>
      </c>
      <c r="B322">
        <f>IFERROR(--SUBSTITUTE(SUBSTITUTE(TRIM(INDEX(INDIRECT("'Выгрузка'!A322:Z322"),Настройки!$B$9)),",","."),".",MID(1/2,2,1)),"")</f>
        <v/>
      </c>
      <c r="C322">
        <f>TRIM(INDEX(INDIRECT("'Выгрузка'!A322:Z322"),Настройки!$B$8)&amp;"")</f>
        <v/>
      </c>
      <c r="D322">
        <f>IFERROR(--SUBSTITUTE(SUBSTITUTE(TRIM(INDEX(INDIRECT("'Выгрузка'!A322:Z322"),Настройки!$B$10)),",","."),".",MID(1/2,2,1)),"")</f>
        <v/>
      </c>
      <c r="E322">
        <f>IFERROR(--SUBSTITUTE(SUBSTITUTE(TRIM(INDEX(INDIRECT("'Выгрузка'!A322:Z322"),Настройки!$B$11)),",","."),".",MID(1/2,2,1)),"")</f>
        <v/>
      </c>
      <c r="F322">
        <f>TRIM(INDEX(INDIRECT("'Выгрузка'!A322:Z322"),Настройки!$B$12)&amp;"")</f>
        <v/>
      </c>
      <c r="G322">
        <f>IF(F322="",0,IF(TRIM(INDEX(INDIRECT("'Выгрузка'!A322:Z322"),Настройки!$B$13)&amp;"")="",1,IFERROR(--SUBSTITUTE(SUBSTITUTE(TRIM(INDEX(INDIRECT("'Выгрузка'!A322:Z322"),Настройки!$B$13)),",","."),".",MID(1/2,2,1)),"")))</f>
        <v/>
      </c>
      <c r="H322">
        <f>IF(F322="",0,IF(COUNTIF(Настройки!$B$17:$B$26,F322)&gt;0,1,IF(COUNTIF(Настройки!$C$17:$C$26,F322)&gt;0,2,IF(COUNTIF(Настройки!$D$17:$D$26,F322)&gt;0,3,0))))</f>
        <v/>
      </c>
      <c r="I322">
        <f>IF(AND(ISNUMBER(A322),ISNUMBER(B322)),A322*1000+B322,"")</f>
        <v/>
      </c>
      <c r="J322">
        <f>IF(I322="","",IF(COUNTIF(I$2:I322,I322)=1,MAX(J$1:J321)+1,""))</f>
        <v/>
      </c>
    </row>
    <row r="323">
      <c r="A323">
        <f>IFERROR(--SUBSTITUTE(SUBSTITUTE(TRIM(INDEX(INDIRECT("'Выгрузка'!A323:Z323"),Настройки!$B$7)),",","."),".",MID(1/2,2,1)),"")</f>
        <v/>
      </c>
      <c r="B323">
        <f>IFERROR(--SUBSTITUTE(SUBSTITUTE(TRIM(INDEX(INDIRECT("'Выгрузка'!A323:Z323"),Настройки!$B$9)),",","."),".",MID(1/2,2,1)),"")</f>
        <v/>
      </c>
      <c r="C323">
        <f>TRIM(INDEX(INDIRECT("'Выгрузка'!A323:Z323"),Настройки!$B$8)&amp;"")</f>
        <v/>
      </c>
      <c r="D323">
        <f>IFERROR(--SUBSTITUTE(SUBSTITUTE(TRIM(INDEX(INDIRECT("'Выгрузка'!A323:Z323"),Настройки!$B$10)),",","."),".",MID(1/2,2,1)),"")</f>
        <v/>
      </c>
      <c r="E323">
        <f>IFERROR(--SUBSTITUTE(SUBSTITUTE(TRIM(INDEX(INDIRECT("'Выгрузка'!A323:Z323"),Настройки!$B$11)),",","."),".",MID(1/2,2,1)),"")</f>
        <v/>
      </c>
      <c r="F323">
        <f>TRIM(INDEX(INDIRECT("'Выгрузка'!A323:Z323"),Настройки!$B$12)&amp;"")</f>
        <v/>
      </c>
      <c r="G323">
        <f>IF(F323="",0,IF(TRIM(INDEX(INDIRECT("'Выгрузка'!A323:Z323"),Настройки!$B$13)&amp;"")="",1,IFERROR(--SUBSTITUTE(SUBSTITUTE(TRIM(INDEX(INDIRECT("'Выгрузка'!A323:Z323"),Настройки!$B$13)),",","."),".",MID(1/2,2,1)),"")))</f>
        <v/>
      </c>
      <c r="H323">
        <f>IF(F323="",0,IF(COUNTIF(Настройки!$B$17:$B$26,F323)&gt;0,1,IF(COUNTIF(Настройки!$C$17:$C$26,F323)&gt;0,2,IF(COUNTIF(Настройки!$D$17:$D$26,F323)&gt;0,3,0))))</f>
        <v/>
      </c>
      <c r="I323">
        <f>IF(AND(ISNUMBER(A323),ISNUMBER(B323)),A323*1000+B323,"")</f>
        <v/>
      </c>
      <c r="J323">
        <f>IF(I323="","",IF(COUNTIF(I$2:I323,I323)=1,MAX(J$1:J322)+1,""))</f>
        <v/>
      </c>
    </row>
    <row r="324">
      <c r="A324">
        <f>IFERROR(--SUBSTITUTE(SUBSTITUTE(TRIM(INDEX(INDIRECT("'Выгрузка'!A324:Z324"),Настройки!$B$7)),",","."),".",MID(1/2,2,1)),"")</f>
        <v/>
      </c>
      <c r="B324">
        <f>IFERROR(--SUBSTITUTE(SUBSTITUTE(TRIM(INDEX(INDIRECT("'Выгрузка'!A324:Z324"),Настройки!$B$9)),",","."),".",MID(1/2,2,1)),"")</f>
        <v/>
      </c>
      <c r="C324">
        <f>TRIM(INDEX(INDIRECT("'Выгрузка'!A324:Z324"),Настройки!$B$8)&amp;"")</f>
        <v/>
      </c>
      <c r="D324">
        <f>IFERROR(--SUBSTITUTE(SUBSTITUTE(TRIM(INDEX(INDIRECT("'Выгрузка'!A324:Z324"),Настройки!$B$10)),",","."),".",MID(1/2,2,1)),"")</f>
        <v/>
      </c>
      <c r="E324">
        <f>IFERROR(--SUBSTITUTE(SUBSTITUTE(TRIM(INDEX(INDIRECT("'Выгрузка'!A324:Z324"),Настройки!$B$11)),",","."),".",MID(1/2,2,1)),"")</f>
        <v/>
      </c>
      <c r="F324">
        <f>TRIM(INDEX(INDIRECT("'Выгрузка'!A324:Z324"),Настройки!$B$12)&amp;"")</f>
        <v/>
      </c>
      <c r="G324">
        <f>IF(F324="",0,IF(TRIM(INDEX(INDIRECT("'Выгрузка'!A324:Z324"),Настройки!$B$13)&amp;"")="",1,IFERROR(--SUBSTITUTE(SUBSTITUTE(TRIM(INDEX(INDIRECT("'Выгрузка'!A324:Z324"),Настройки!$B$13)),",","."),".",MID(1/2,2,1)),"")))</f>
        <v/>
      </c>
      <c r="H324">
        <f>IF(F324="",0,IF(COUNTIF(Настройки!$B$17:$B$26,F324)&gt;0,1,IF(COUNTIF(Настройки!$C$17:$C$26,F324)&gt;0,2,IF(COUNTIF(Настройки!$D$17:$D$26,F324)&gt;0,3,0))))</f>
        <v/>
      </c>
      <c r="I324">
        <f>IF(AND(ISNUMBER(A324),ISNUMBER(B324)),A324*1000+B324,"")</f>
        <v/>
      </c>
      <c r="J324">
        <f>IF(I324="","",IF(COUNTIF(I$2:I324,I324)=1,MAX(J$1:J323)+1,""))</f>
        <v/>
      </c>
    </row>
    <row r="325">
      <c r="A325">
        <f>IFERROR(--SUBSTITUTE(SUBSTITUTE(TRIM(INDEX(INDIRECT("'Выгрузка'!A325:Z325"),Настройки!$B$7)),",","."),".",MID(1/2,2,1)),"")</f>
        <v/>
      </c>
      <c r="B325">
        <f>IFERROR(--SUBSTITUTE(SUBSTITUTE(TRIM(INDEX(INDIRECT("'Выгрузка'!A325:Z325"),Настройки!$B$9)),",","."),".",MID(1/2,2,1)),"")</f>
        <v/>
      </c>
      <c r="C325">
        <f>TRIM(INDEX(INDIRECT("'Выгрузка'!A325:Z325"),Настройки!$B$8)&amp;"")</f>
        <v/>
      </c>
      <c r="D325">
        <f>IFERROR(--SUBSTITUTE(SUBSTITUTE(TRIM(INDEX(INDIRECT("'Выгрузка'!A325:Z325"),Настройки!$B$10)),",","."),".",MID(1/2,2,1)),"")</f>
        <v/>
      </c>
      <c r="E325">
        <f>IFERROR(--SUBSTITUTE(SUBSTITUTE(TRIM(INDEX(INDIRECT("'Выгрузка'!A325:Z325"),Настройки!$B$11)),",","."),".",MID(1/2,2,1)),"")</f>
        <v/>
      </c>
      <c r="F325">
        <f>TRIM(INDEX(INDIRECT("'Выгрузка'!A325:Z325"),Настройки!$B$12)&amp;"")</f>
        <v/>
      </c>
      <c r="G325">
        <f>IF(F325="",0,IF(TRIM(INDEX(INDIRECT("'Выгрузка'!A325:Z325"),Настройки!$B$13)&amp;"")="",1,IFERROR(--SUBSTITUTE(SUBSTITUTE(TRIM(INDEX(INDIRECT("'Выгрузка'!A325:Z325"),Настройки!$B$13)),",","."),".",MID(1/2,2,1)),"")))</f>
        <v/>
      </c>
      <c r="H325">
        <f>IF(F325="",0,IF(COUNTIF(Настройки!$B$17:$B$26,F325)&gt;0,1,IF(COUNTIF(Настройки!$C$17:$C$26,F325)&gt;0,2,IF(COUNTIF(Настройки!$D$17:$D$26,F325)&gt;0,3,0))))</f>
        <v/>
      </c>
      <c r="I325">
        <f>IF(AND(ISNUMBER(A325),ISNUMBER(B325)),A325*1000+B325,"")</f>
        <v/>
      </c>
      <c r="J325">
        <f>IF(I325="","",IF(COUNTIF(I$2:I325,I325)=1,MAX(J$1:J324)+1,""))</f>
        <v/>
      </c>
    </row>
    <row r="326">
      <c r="A326">
        <f>IFERROR(--SUBSTITUTE(SUBSTITUTE(TRIM(INDEX(INDIRECT("'Выгрузка'!A326:Z326"),Настройки!$B$7)),",","."),".",MID(1/2,2,1)),"")</f>
        <v/>
      </c>
      <c r="B326">
        <f>IFERROR(--SUBSTITUTE(SUBSTITUTE(TRIM(INDEX(INDIRECT("'Выгрузка'!A326:Z326"),Настройки!$B$9)),",","."),".",MID(1/2,2,1)),"")</f>
        <v/>
      </c>
      <c r="C326">
        <f>TRIM(INDEX(INDIRECT("'Выгрузка'!A326:Z326"),Настройки!$B$8)&amp;"")</f>
        <v/>
      </c>
      <c r="D326">
        <f>IFERROR(--SUBSTITUTE(SUBSTITUTE(TRIM(INDEX(INDIRECT("'Выгрузка'!A326:Z326"),Настройки!$B$10)),",","."),".",MID(1/2,2,1)),"")</f>
        <v/>
      </c>
      <c r="E326">
        <f>IFERROR(--SUBSTITUTE(SUBSTITUTE(TRIM(INDEX(INDIRECT("'Выгрузка'!A326:Z326"),Настройки!$B$11)),",","."),".",MID(1/2,2,1)),"")</f>
        <v/>
      </c>
      <c r="F326">
        <f>TRIM(INDEX(INDIRECT("'Выгрузка'!A326:Z326"),Настройки!$B$12)&amp;"")</f>
        <v/>
      </c>
      <c r="G326">
        <f>IF(F326="",0,IF(TRIM(INDEX(INDIRECT("'Выгрузка'!A326:Z326"),Настройки!$B$13)&amp;"")="",1,IFERROR(--SUBSTITUTE(SUBSTITUTE(TRIM(INDEX(INDIRECT("'Выгрузка'!A326:Z326"),Настройки!$B$13)),",","."),".",MID(1/2,2,1)),"")))</f>
        <v/>
      </c>
      <c r="H326">
        <f>IF(F326="",0,IF(COUNTIF(Настройки!$B$17:$B$26,F326)&gt;0,1,IF(COUNTIF(Настройки!$C$17:$C$26,F326)&gt;0,2,IF(COUNTIF(Настройки!$D$17:$D$26,F326)&gt;0,3,0))))</f>
        <v/>
      </c>
      <c r="I326">
        <f>IF(AND(ISNUMBER(A326),ISNUMBER(B326)),A326*1000+B326,"")</f>
        <v/>
      </c>
      <c r="J326">
        <f>IF(I326="","",IF(COUNTIF(I$2:I326,I326)=1,MAX(J$1:J325)+1,""))</f>
        <v/>
      </c>
    </row>
    <row r="327">
      <c r="A327">
        <f>IFERROR(--SUBSTITUTE(SUBSTITUTE(TRIM(INDEX(INDIRECT("'Выгрузка'!A327:Z327"),Настройки!$B$7)),",","."),".",MID(1/2,2,1)),"")</f>
        <v/>
      </c>
      <c r="B327">
        <f>IFERROR(--SUBSTITUTE(SUBSTITUTE(TRIM(INDEX(INDIRECT("'Выгрузка'!A327:Z327"),Настройки!$B$9)),",","."),".",MID(1/2,2,1)),"")</f>
        <v/>
      </c>
      <c r="C327">
        <f>TRIM(INDEX(INDIRECT("'Выгрузка'!A327:Z327"),Настройки!$B$8)&amp;"")</f>
        <v/>
      </c>
      <c r="D327">
        <f>IFERROR(--SUBSTITUTE(SUBSTITUTE(TRIM(INDEX(INDIRECT("'Выгрузка'!A327:Z327"),Настройки!$B$10)),",","."),".",MID(1/2,2,1)),"")</f>
        <v/>
      </c>
      <c r="E327">
        <f>IFERROR(--SUBSTITUTE(SUBSTITUTE(TRIM(INDEX(INDIRECT("'Выгрузка'!A327:Z327"),Настройки!$B$11)),",","."),".",MID(1/2,2,1)),"")</f>
        <v/>
      </c>
      <c r="F327">
        <f>TRIM(INDEX(INDIRECT("'Выгрузка'!A327:Z327"),Настройки!$B$12)&amp;"")</f>
        <v/>
      </c>
      <c r="G327">
        <f>IF(F327="",0,IF(TRIM(INDEX(INDIRECT("'Выгрузка'!A327:Z327"),Настройки!$B$13)&amp;"")="",1,IFERROR(--SUBSTITUTE(SUBSTITUTE(TRIM(INDEX(INDIRECT("'Выгрузка'!A327:Z327"),Настройки!$B$13)),",","."),".",MID(1/2,2,1)),"")))</f>
        <v/>
      </c>
      <c r="H327">
        <f>IF(F327="",0,IF(COUNTIF(Настройки!$B$17:$B$26,F327)&gt;0,1,IF(COUNTIF(Настройки!$C$17:$C$26,F327)&gt;0,2,IF(COUNTIF(Настройки!$D$17:$D$26,F327)&gt;0,3,0))))</f>
        <v/>
      </c>
      <c r="I327">
        <f>IF(AND(ISNUMBER(A327),ISNUMBER(B327)),A327*1000+B327,"")</f>
        <v/>
      </c>
      <c r="J327">
        <f>IF(I327="","",IF(COUNTIF(I$2:I327,I327)=1,MAX(J$1:J326)+1,""))</f>
        <v/>
      </c>
    </row>
    <row r="328">
      <c r="A328">
        <f>IFERROR(--SUBSTITUTE(SUBSTITUTE(TRIM(INDEX(INDIRECT("'Выгрузка'!A328:Z328"),Настройки!$B$7)),",","."),".",MID(1/2,2,1)),"")</f>
        <v/>
      </c>
      <c r="B328">
        <f>IFERROR(--SUBSTITUTE(SUBSTITUTE(TRIM(INDEX(INDIRECT("'Выгрузка'!A328:Z328"),Настройки!$B$9)),",","."),".",MID(1/2,2,1)),"")</f>
        <v/>
      </c>
      <c r="C328">
        <f>TRIM(INDEX(INDIRECT("'Выгрузка'!A328:Z328"),Настройки!$B$8)&amp;"")</f>
        <v/>
      </c>
      <c r="D328">
        <f>IFERROR(--SUBSTITUTE(SUBSTITUTE(TRIM(INDEX(INDIRECT("'Выгрузка'!A328:Z328"),Настройки!$B$10)),",","."),".",MID(1/2,2,1)),"")</f>
        <v/>
      </c>
      <c r="E328">
        <f>IFERROR(--SUBSTITUTE(SUBSTITUTE(TRIM(INDEX(INDIRECT("'Выгрузка'!A328:Z328"),Настройки!$B$11)),",","."),".",MID(1/2,2,1)),"")</f>
        <v/>
      </c>
      <c r="F328">
        <f>TRIM(INDEX(INDIRECT("'Выгрузка'!A328:Z328"),Настройки!$B$12)&amp;"")</f>
        <v/>
      </c>
      <c r="G328">
        <f>IF(F328="",0,IF(TRIM(INDEX(INDIRECT("'Выгрузка'!A328:Z328"),Настройки!$B$13)&amp;"")="",1,IFERROR(--SUBSTITUTE(SUBSTITUTE(TRIM(INDEX(INDIRECT("'Выгрузка'!A328:Z328"),Настройки!$B$13)),",","."),".",MID(1/2,2,1)),"")))</f>
        <v/>
      </c>
      <c r="H328">
        <f>IF(F328="",0,IF(COUNTIF(Настройки!$B$17:$B$26,F328)&gt;0,1,IF(COUNTIF(Настройки!$C$17:$C$26,F328)&gt;0,2,IF(COUNTIF(Настройки!$D$17:$D$26,F328)&gt;0,3,0))))</f>
        <v/>
      </c>
      <c r="I328">
        <f>IF(AND(ISNUMBER(A328),ISNUMBER(B328)),A328*1000+B328,"")</f>
        <v/>
      </c>
      <c r="J328">
        <f>IF(I328="","",IF(COUNTIF(I$2:I328,I328)=1,MAX(J$1:J327)+1,""))</f>
        <v/>
      </c>
    </row>
    <row r="329">
      <c r="A329">
        <f>IFERROR(--SUBSTITUTE(SUBSTITUTE(TRIM(INDEX(INDIRECT("'Выгрузка'!A329:Z329"),Настройки!$B$7)),",","."),".",MID(1/2,2,1)),"")</f>
        <v/>
      </c>
      <c r="B329">
        <f>IFERROR(--SUBSTITUTE(SUBSTITUTE(TRIM(INDEX(INDIRECT("'Выгрузка'!A329:Z329"),Настройки!$B$9)),",","."),".",MID(1/2,2,1)),"")</f>
        <v/>
      </c>
      <c r="C329">
        <f>TRIM(INDEX(INDIRECT("'Выгрузка'!A329:Z329"),Настройки!$B$8)&amp;"")</f>
        <v/>
      </c>
      <c r="D329">
        <f>IFERROR(--SUBSTITUTE(SUBSTITUTE(TRIM(INDEX(INDIRECT("'Выгрузка'!A329:Z329"),Настройки!$B$10)),",","."),".",MID(1/2,2,1)),"")</f>
        <v/>
      </c>
      <c r="E329">
        <f>IFERROR(--SUBSTITUTE(SUBSTITUTE(TRIM(INDEX(INDIRECT("'Выгрузка'!A329:Z329"),Настройки!$B$11)),",","."),".",MID(1/2,2,1)),"")</f>
        <v/>
      </c>
      <c r="F329">
        <f>TRIM(INDEX(INDIRECT("'Выгрузка'!A329:Z329"),Настройки!$B$12)&amp;"")</f>
        <v/>
      </c>
      <c r="G329">
        <f>IF(F329="",0,IF(TRIM(INDEX(INDIRECT("'Выгрузка'!A329:Z329"),Настройки!$B$13)&amp;"")="",1,IFERROR(--SUBSTITUTE(SUBSTITUTE(TRIM(INDEX(INDIRECT("'Выгрузка'!A329:Z329"),Настройки!$B$13)),",","."),".",MID(1/2,2,1)),"")))</f>
        <v/>
      </c>
      <c r="H329">
        <f>IF(F329="",0,IF(COUNTIF(Настройки!$B$17:$B$26,F329)&gt;0,1,IF(COUNTIF(Настройки!$C$17:$C$26,F329)&gt;0,2,IF(COUNTIF(Настройки!$D$17:$D$26,F329)&gt;0,3,0))))</f>
        <v/>
      </c>
      <c r="I329">
        <f>IF(AND(ISNUMBER(A329),ISNUMBER(B329)),A329*1000+B329,"")</f>
        <v/>
      </c>
      <c r="J329">
        <f>IF(I329="","",IF(COUNTIF(I$2:I329,I329)=1,MAX(J$1:J328)+1,""))</f>
        <v/>
      </c>
    </row>
    <row r="330">
      <c r="A330">
        <f>IFERROR(--SUBSTITUTE(SUBSTITUTE(TRIM(INDEX(INDIRECT("'Выгрузка'!A330:Z330"),Настройки!$B$7)),",","."),".",MID(1/2,2,1)),"")</f>
        <v/>
      </c>
      <c r="B330">
        <f>IFERROR(--SUBSTITUTE(SUBSTITUTE(TRIM(INDEX(INDIRECT("'Выгрузка'!A330:Z330"),Настройки!$B$9)),",","."),".",MID(1/2,2,1)),"")</f>
        <v/>
      </c>
      <c r="C330">
        <f>TRIM(INDEX(INDIRECT("'Выгрузка'!A330:Z330"),Настройки!$B$8)&amp;"")</f>
        <v/>
      </c>
      <c r="D330">
        <f>IFERROR(--SUBSTITUTE(SUBSTITUTE(TRIM(INDEX(INDIRECT("'Выгрузка'!A330:Z330"),Настройки!$B$10)),",","."),".",MID(1/2,2,1)),"")</f>
        <v/>
      </c>
      <c r="E330">
        <f>IFERROR(--SUBSTITUTE(SUBSTITUTE(TRIM(INDEX(INDIRECT("'Выгрузка'!A330:Z330"),Настройки!$B$11)),",","."),".",MID(1/2,2,1)),"")</f>
        <v/>
      </c>
      <c r="F330">
        <f>TRIM(INDEX(INDIRECT("'Выгрузка'!A330:Z330"),Настройки!$B$12)&amp;"")</f>
        <v/>
      </c>
      <c r="G330">
        <f>IF(F330="",0,IF(TRIM(INDEX(INDIRECT("'Выгрузка'!A330:Z330"),Настройки!$B$13)&amp;"")="",1,IFERROR(--SUBSTITUTE(SUBSTITUTE(TRIM(INDEX(INDIRECT("'Выгрузка'!A330:Z330"),Настройки!$B$13)),",","."),".",MID(1/2,2,1)),"")))</f>
        <v/>
      </c>
      <c r="H330">
        <f>IF(F330="",0,IF(COUNTIF(Настройки!$B$17:$B$26,F330)&gt;0,1,IF(COUNTIF(Настройки!$C$17:$C$26,F330)&gt;0,2,IF(COUNTIF(Настройки!$D$17:$D$26,F330)&gt;0,3,0))))</f>
        <v/>
      </c>
      <c r="I330">
        <f>IF(AND(ISNUMBER(A330),ISNUMBER(B330)),A330*1000+B330,"")</f>
        <v/>
      </c>
      <c r="J330">
        <f>IF(I330="","",IF(COUNTIF(I$2:I330,I330)=1,MAX(J$1:J329)+1,""))</f>
        <v/>
      </c>
    </row>
    <row r="331">
      <c r="A331">
        <f>IFERROR(--SUBSTITUTE(SUBSTITUTE(TRIM(INDEX(INDIRECT("'Выгрузка'!A331:Z331"),Настройки!$B$7)),",","."),".",MID(1/2,2,1)),"")</f>
        <v/>
      </c>
      <c r="B331">
        <f>IFERROR(--SUBSTITUTE(SUBSTITUTE(TRIM(INDEX(INDIRECT("'Выгрузка'!A331:Z331"),Настройки!$B$9)),",","."),".",MID(1/2,2,1)),"")</f>
        <v/>
      </c>
      <c r="C331">
        <f>TRIM(INDEX(INDIRECT("'Выгрузка'!A331:Z331"),Настройки!$B$8)&amp;"")</f>
        <v/>
      </c>
      <c r="D331">
        <f>IFERROR(--SUBSTITUTE(SUBSTITUTE(TRIM(INDEX(INDIRECT("'Выгрузка'!A331:Z331"),Настройки!$B$10)),",","."),".",MID(1/2,2,1)),"")</f>
        <v/>
      </c>
      <c r="E331">
        <f>IFERROR(--SUBSTITUTE(SUBSTITUTE(TRIM(INDEX(INDIRECT("'Выгрузка'!A331:Z331"),Настройки!$B$11)),",","."),".",MID(1/2,2,1)),"")</f>
        <v/>
      </c>
      <c r="F331">
        <f>TRIM(INDEX(INDIRECT("'Выгрузка'!A331:Z331"),Настройки!$B$12)&amp;"")</f>
        <v/>
      </c>
      <c r="G331">
        <f>IF(F331="",0,IF(TRIM(INDEX(INDIRECT("'Выгрузка'!A331:Z331"),Настройки!$B$13)&amp;"")="",1,IFERROR(--SUBSTITUTE(SUBSTITUTE(TRIM(INDEX(INDIRECT("'Выгрузка'!A331:Z331"),Настройки!$B$13)),",","."),".",MID(1/2,2,1)),"")))</f>
        <v/>
      </c>
      <c r="H331">
        <f>IF(F331="",0,IF(COUNTIF(Настройки!$B$17:$B$26,F331)&gt;0,1,IF(COUNTIF(Настройки!$C$17:$C$26,F331)&gt;0,2,IF(COUNTIF(Настройки!$D$17:$D$26,F331)&gt;0,3,0))))</f>
        <v/>
      </c>
      <c r="I331">
        <f>IF(AND(ISNUMBER(A331),ISNUMBER(B331)),A331*1000+B331,"")</f>
        <v/>
      </c>
      <c r="J331">
        <f>IF(I331="","",IF(COUNTIF(I$2:I331,I331)=1,MAX(J$1:J330)+1,""))</f>
        <v/>
      </c>
    </row>
    <row r="332">
      <c r="A332">
        <f>IFERROR(--SUBSTITUTE(SUBSTITUTE(TRIM(INDEX(INDIRECT("'Выгрузка'!A332:Z332"),Настройки!$B$7)),",","."),".",MID(1/2,2,1)),"")</f>
        <v/>
      </c>
      <c r="B332">
        <f>IFERROR(--SUBSTITUTE(SUBSTITUTE(TRIM(INDEX(INDIRECT("'Выгрузка'!A332:Z332"),Настройки!$B$9)),",","."),".",MID(1/2,2,1)),"")</f>
        <v/>
      </c>
      <c r="C332">
        <f>TRIM(INDEX(INDIRECT("'Выгрузка'!A332:Z332"),Настройки!$B$8)&amp;"")</f>
        <v/>
      </c>
      <c r="D332">
        <f>IFERROR(--SUBSTITUTE(SUBSTITUTE(TRIM(INDEX(INDIRECT("'Выгрузка'!A332:Z332"),Настройки!$B$10)),",","."),".",MID(1/2,2,1)),"")</f>
        <v/>
      </c>
      <c r="E332">
        <f>IFERROR(--SUBSTITUTE(SUBSTITUTE(TRIM(INDEX(INDIRECT("'Выгрузка'!A332:Z332"),Настройки!$B$11)),",","."),".",MID(1/2,2,1)),"")</f>
        <v/>
      </c>
      <c r="F332">
        <f>TRIM(INDEX(INDIRECT("'Выгрузка'!A332:Z332"),Настройки!$B$12)&amp;"")</f>
        <v/>
      </c>
      <c r="G332">
        <f>IF(F332="",0,IF(TRIM(INDEX(INDIRECT("'Выгрузка'!A332:Z332"),Настройки!$B$13)&amp;"")="",1,IFERROR(--SUBSTITUTE(SUBSTITUTE(TRIM(INDEX(INDIRECT("'Выгрузка'!A332:Z332"),Настройки!$B$13)),",","."),".",MID(1/2,2,1)),"")))</f>
        <v/>
      </c>
      <c r="H332">
        <f>IF(F332="",0,IF(COUNTIF(Настройки!$B$17:$B$26,F332)&gt;0,1,IF(COUNTIF(Настройки!$C$17:$C$26,F332)&gt;0,2,IF(COUNTIF(Настройки!$D$17:$D$26,F332)&gt;0,3,0))))</f>
        <v/>
      </c>
      <c r="I332">
        <f>IF(AND(ISNUMBER(A332),ISNUMBER(B332)),A332*1000+B332,"")</f>
        <v/>
      </c>
      <c r="J332">
        <f>IF(I332="","",IF(COUNTIF(I$2:I332,I332)=1,MAX(J$1:J331)+1,""))</f>
        <v/>
      </c>
    </row>
    <row r="333">
      <c r="A333">
        <f>IFERROR(--SUBSTITUTE(SUBSTITUTE(TRIM(INDEX(INDIRECT("'Выгрузка'!A333:Z333"),Настройки!$B$7)),",","."),".",MID(1/2,2,1)),"")</f>
        <v/>
      </c>
      <c r="B333">
        <f>IFERROR(--SUBSTITUTE(SUBSTITUTE(TRIM(INDEX(INDIRECT("'Выгрузка'!A333:Z333"),Настройки!$B$9)),",","."),".",MID(1/2,2,1)),"")</f>
        <v/>
      </c>
      <c r="C333">
        <f>TRIM(INDEX(INDIRECT("'Выгрузка'!A333:Z333"),Настройки!$B$8)&amp;"")</f>
        <v/>
      </c>
      <c r="D333">
        <f>IFERROR(--SUBSTITUTE(SUBSTITUTE(TRIM(INDEX(INDIRECT("'Выгрузка'!A333:Z333"),Настройки!$B$10)),",","."),".",MID(1/2,2,1)),"")</f>
        <v/>
      </c>
      <c r="E333">
        <f>IFERROR(--SUBSTITUTE(SUBSTITUTE(TRIM(INDEX(INDIRECT("'Выгрузка'!A333:Z333"),Настройки!$B$11)),",","."),".",MID(1/2,2,1)),"")</f>
        <v/>
      </c>
      <c r="F333">
        <f>TRIM(INDEX(INDIRECT("'Выгрузка'!A333:Z333"),Настройки!$B$12)&amp;"")</f>
        <v/>
      </c>
      <c r="G333">
        <f>IF(F333="",0,IF(TRIM(INDEX(INDIRECT("'Выгрузка'!A333:Z333"),Настройки!$B$13)&amp;"")="",1,IFERROR(--SUBSTITUTE(SUBSTITUTE(TRIM(INDEX(INDIRECT("'Выгрузка'!A333:Z333"),Настройки!$B$13)),",","."),".",MID(1/2,2,1)),"")))</f>
        <v/>
      </c>
      <c r="H333">
        <f>IF(F333="",0,IF(COUNTIF(Настройки!$B$17:$B$26,F333)&gt;0,1,IF(COUNTIF(Настройки!$C$17:$C$26,F333)&gt;0,2,IF(COUNTIF(Настройки!$D$17:$D$26,F333)&gt;0,3,0))))</f>
        <v/>
      </c>
      <c r="I333">
        <f>IF(AND(ISNUMBER(A333),ISNUMBER(B333)),A333*1000+B333,"")</f>
        <v/>
      </c>
      <c r="J333">
        <f>IF(I333="","",IF(COUNTIF(I$2:I333,I333)=1,MAX(J$1:J332)+1,""))</f>
        <v/>
      </c>
    </row>
    <row r="334">
      <c r="A334">
        <f>IFERROR(--SUBSTITUTE(SUBSTITUTE(TRIM(INDEX(INDIRECT("'Выгрузка'!A334:Z334"),Настройки!$B$7)),",","."),".",MID(1/2,2,1)),"")</f>
        <v/>
      </c>
      <c r="B334">
        <f>IFERROR(--SUBSTITUTE(SUBSTITUTE(TRIM(INDEX(INDIRECT("'Выгрузка'!A334:Z334"),Настройки!$B$9)),",","."),".",MID(1/2,2,1)),"")</f>
        <v/>
      </c>
      <c r="C334">
        <f>TRIM(INDEX(INDIRECT("'Выгрузка'!A334:Z334"),Настройки!$B$8)&amp;"")</f>
        <v/>
      </c>
      <c r="D334">
        <f>IFERROR(--SUBSTITUTE(SUBSTITUTE(TRIM(INDEX(INDIRECT("'Выгрузка'!A334:Z334"),Настройки!$B$10)),",","."),".",MID(1/2,2,1)),"")</f>
        <v/>
      </c>
      <c r="E334">
        <f>IFERROR(--SUBSTITUTE(SUBSTITUTE(TRIM(INDEX(INDIRECT("'Выгрузка'!A334:Z334"),Настройки!$B$11)),",","."),".",MID(1/2,2,1)),"")</f>
        <v/>
      </c>
      <c r="F334">
        <f>TRIM(INDEX(INDIRECT("'Выгрузка'!A334:Z334"),Настройки!$B$12)&amp;"")</f>
        <v/>
      </c>
      <c r="G334">
        <f>IF(F334="",0,IF(TRIM(INDEX(INDIRECT("'Выгрузка'!A334:Z334"),Настройки!$B$13)&amp;"")="",1,IFERROR(--SUBSTITUTE(SUBSTITUTE(TRIM(INDEX(INDIRECT("'Выгрузка'!A334:Z334"),Настройки!$B$13)),",","."),".",MID(1/2,2,1)),"")))</f>
        <v/>
      </c>
      <c r="H334">
        <f>IF(F334="",0,IF(COUNTIF(Настройки!$B$17:$B$26,F334)&gt;0,1,IF(COUNTIF(Настройки!$C$17:$C$26,F334)&gt;0,2,IF(COUNTIF(Настройки!$D$17:$D$26,F334)&gt;0,3,0))))</f>
        <v/>
      </c>
      <c r="I334">
        <f>IF(AND(ISNUMBER(A334),ISNUMBER(B334)),A334*1000+B334,"")</f>
        <v/>
      </c>
      <c r="J334">
        <f>IF(I334="","",IF(COUNTIF(I$2:I334,I334)=1,MAX(J$1:J333)+1,""))</f>
        <v/>
      </c>
    </row>
    <row r="335">
      <c r="A335">
        <f>IFERROR(--SUBSTITUTE(SUBSTITUTE(TRIM(INDEX(INDIRECT("'Выгрузка'!A335:Z335"),Настройки!$B$7)),",","."),".",MID(1/2,2,1)),"")</f>
        <v/>
      </c>
      <c r="B335">
        <f>IFERROR(--SUBSTITUTE(SUBSTITUTE(TRIM(INDEX(INDIRECT("'Выгрузка'!A335:Z335"),Настройки!$B$9)),",","."),".",MID(1/2,2,1)),"")</f>
        <v/>
      </c>
      <c r="C335">
        <f>TRIM(INDEX(INDIRECT("'Выгрузка'!A335:Z335"),Настройки!$B$8)&amp;"")</f>
        <v/>
      </c>
      <c r="D335">
        <f>IFERROR(--SUBSTITUTE(SUBSTITUTE(TRIM(INDEX(INDIRECT("'Выгрузка'!A335:Z335"),Настройки!$B$10)),",","."),".",MID(1/2,2,1)),"")</f>
        <v/>
      </c>
      <c r="E335">
        <f>IFERROR(--SUBSTITUTE(SUBSTITUTE(TRIM(INDEX(INDIRECT("'Выгрузка'!A335:Z335"),Настройки!$B$11)),",","."),".",MID(1/2,2,1)),"")</f>
        <v/>
      </c>
      <c r="F335">
        <f>TRIM(INDEX(INDIRECT("'Выгрузка'!A335:Z335"),Настройки!$B$12)&amp;"")</f>
        <v/>
      </c>
      <c r="G335">
        <f>IF(F335="",0,IF(TRIM(INDEX(INDIRECT("'Выгрузка'!A335:Z335"),Настройки!$B$13)&amp;"")="",1,IFERROR(--SUBSTITUTE(SUBSTITUTE(TRIM(INDEX(INDIRECT("'Выгрузка'!A335:Z335"),Настройки!$B$13)),",","."),".",MID(1/2,2,1)),"")))</f>
        <v/>
      </c>
      <c r="H335">
        <f>IF(F335="",0,IF(COUNTIF(Настройки!$B$17:$B$26,F335)&gt;0,1,IF(COUNTIF(Настройки!$C$17:$C$26,F335)&gt;0,2,IF(COUNTIF(Настройки!$D$17:$D$26,F335)&gt;0,3,0))))</f>
        <v/>
      </c>
      <c r="I335">
        <f>IF(AND(ISNUMBER(A335),ISNUMBER(B335)),A335*1000+B335,"")</f>
        <v/>
      </c>
      <c r="J335">
        <f>IF(I335="","",IF(COUNTIF(I$2:I335,I335)=1,MAX(J$1:J334)+1,""))</f>
        <v/>
      </c>
    </row>
    <row r="336">
      <c r="A336">
        <f>IFERROR(--SUBSTITUTE(SUBSTITUTE(TRIM(INDEX(INDIRECT("'Выгрузка'!A336:Z336"),Настройки!$B$7)),",","."),".",MID(1/2,2,1)),"")</f>
        <v/>
      </c>
      <c r="B336">
        <f>IFERROR(--SUBSTITUTE(SUBSTITUTE(TRIM(INDEX(INDIRECT("'Выгрузка'!A336:Z336"),Настройки!$B$9)),",","."),".",MID(1/2,2,1)),"")</f>
        <v/>
      </c>
      <c r="C336">
        <f>TRIM(INDEX(INDIRECT("'Выгрузка'!A336:Z336"),Настройки!$B$8)&amp;"")</f>
        <v/>
      </c>
      <c r="D336">
        <f>IFERROR(--SUBSTITUTE(SUBSTITUTE(TRIM(INDEX(INDIRECT("'Выгрузка'!A336:Z336"),Настройки!$B$10)),",","."),".",MID(1/2,2,1)),"")</f>
        <v/>
      </c>
      <c r="E336">
        <f>IFERROR(--SUBSTITUTE(SUBSTITUTE(TRIM(INDEX(INDIRECT("'Выгрузка'!A336:Z336"),Настройки!$B$11)),",","."),".",MID(1/2,2,1)),"")</f>
        <v/>
      </c>
      <c r="F336">
        <f>TRIM(INDEX(INDIRECT("'Выгрузка'!A336:Z336"),Настройки!$B$12)&amp;"")</f>
        <v/>
      </c>
      <c r="G336">
        <f>IF(F336="",0,IF(TRIM(INDEX(INDIRECT("'Выгрузка'!A336:Z336"),Настройки!$B$13)&amp;"")="",1,IFERROR(--SUBSTITUTE(SUBSTITUTE(TRIM(INDEX(INDIRECT("'Выгрузка'!A336:Z336"),Настройки!$B$13)),",","."),".",MID(1/2,2,1)),"")))</f>
        <v/>
      </c>
      <c r="H336">
        <f>IF(F336="",0,IF(COUNTIF(Настройки!$B$17:$B$26,F336)&gt;0,1,IF(COUNTIF(Настройки!$C$17:$C$26,F336)&gt;0,2,IF(COUNTIF(Настройки!$D$17:$D$26,F336)&gt;0,3,0))))</f>
        <v/>
      </c>
      <c r="I336">
        <f>IF(AND(ISNUMBER(A336),ISNUMBER(B336)),A336*1000+B336,"")</f>
        <v/>
      </c>
      <c r="J336">
        <f>IF(I336="","",IF(COUNTIF(I$2:I336,I336)=1,MAX(J$1:J335)+1,""))</f>
        <v/>
      </c>
    </row>
    <row r="337">
      <c r="A337">
        <f>IFERROR(--SUBSTITUTE(SUBSTITUTE(TRIM(INDEX(INDIRECT("'Выгрузка'!A337:Z337"),Настройки!$B$7)),",","."),".",MID(1/2,2,1)),"")</f>
        <v/>
      </c>
      <c r="B337">
        <f>IFERROR(--SUBSTITUTE(SUBSTITUTE(TRIM(INDEX(INDIRECT("'Выгрузка'!A337:Z337"),Настройки!$B$9)),",","."),".",MID(1/2,2,1)),"")</f>
        <v/>
      </c>
      <c r="C337">
        <f>TRIM(INDEX(INDIRECT("'Выгрузка'!A337:Z337"),Настройки!$B$8)&amp;"")</f>
        <v/>
      </c>
      <c r="D337">
        <f>IFERROR(--SUBSTITUTE(SUBSTITUTE(TRIM(INDEX(INDIRECT("'Выгрузка'!A337:Z337"),Настройки!$B$10)),",","."),".",MID(1/2,2,1)),"")</f>
        <v/>
      </c>
      <c r="E337">
        <f>IFERROR(--SUBSTITUTE(SUBSTITUTE(TRIM(INDEX(INDIRECT("'Выгрузка'!A337:Z337"),Настройки!$B$11)),",","."),".",MID(1/2,2,1)),"")</f>
        <v/>
      </c>
      <c r="F337">
        <f>TRIM(INDEX(INDIRECT("'Выгрузка'!A337:Z337"),Настройки!$B$12)&amp;"")</f>
        <v/>
      </c>
      <c r="G337">
        <f>IF(F337="",0,IF(TRIM(INDEX(INDIRECT("'Выгрузка'!A337:Z337"),Настройки!$B$13)&amp;"")="",1,IFERROR(--SUBSTITUTE(SUBSTITUTE(TRIM(INDEX(INDIRECT("'Выгрузка'!A337:Z337"),Настройки!$B$13)),",","."),".",MID(1/2,2,1)),"")))</f>
        <v/>
      </c>
      <c r="H337">
        <f>IF(F337="",0,IF(COUNTIF(Настройки!$B$17:$B$26,F337)&gt;0,1,IF(COUNTIF(Настройки!$C$17:$C$26,F337)&gt;0,2,IF(COUNTIF(Настройки!$D$17:$D$26,F337)&gt;0,3,0))))</f>
        <v/>
      </c>
      <c r="I337">
        <f>IF(AND(ISNUMBER(A337),ISNUMBER(B337)),A337*1000+B337,"")</f>
        <v/>
      </c>
      <c r="J337">
        <f>IF(I337="","",IF(COUNTIF(I$2:I337,I337)=1,MAX(J$1:J336)+1,""))</f>
        <v/>
      </c>
    </row>
    <row r="338">
      <c r="A338">
        <f>IFERROR(--SUBSTITUTE(SUBSTITUTE(TRIM(INDEX(INDIRECT("'Выгрузка'!A338:Z338"),Настройки!$B$7)),",","."),".",MID(1/2,2,1)),"")</f>
        <v/>
      </c>
      <c r="B338">
        <f>IFERROR(--SUBSTITUTE(SUBSTITUTE(TRIM(INDEX(INDIRECT("'Выгрузка'!A338:Z338"),Настройки!$B$9)),",","."),".",MID(1/2,2,1)),"")</f>
        <v/>
      </c>
      <c r="C338">
        <f>TRIM(INDEX(INDIRECT("'Выгрузка'!A338:Z338"),Настройки!$B$8)&amp;"")</f>
        <v/>
      </c>
      <c r="D338">
        <f>IFERROR(--SUBSTITUTE(SUBSTITUTE(TRIM(INDEX(INDIRECT("'Выгрузка'!A338:Z338"),Настройки!$B$10)),",","."),".",MID(1/2,2,1)),"")</f>
        <v/>
      </c>
      <c r="E338">
        <f>IFERROR(--SUBSTITUTE(SUBSTITUTE(TRIM(INDEX(INDIRECT("'Выгрузка'!A338:Z338"),Настройки!$B$11)),",","."),".",MID(1/2,2,1)),"")</f>
        <v/>
      </c>
      <c r="F338">
        <f>TRIM(INDEX(INDIRECT("'Выгрузка'!A338:Z338"),Настройки!$B$12)&amp;"")</f>
        <v/>
      </c>
      <c r="G338">
        <f>IF(F338="",0,IF(TRIM(INDEX(INDIRECT("'Выгрузка'!A338:Z338"),Настройки!$B$13)&amp;"")="",1,IFERROR(--SUBSTITUTE(SUBSTITUTE(TRIM(INDEX(INDIRECT("'Выгрузка'!A338:Z338"),Настройки!$B$13)),",","."),".",MID(1/2,2,1)),"")))</f>
        <v/>
      </c>
      <c r="H338">
        <f>IF(F338="",0,IF(COUNTIF(Настройки!$B$17:$B$26,F338)&gt;0,1,IF(COUNTIF(Настройки!$C$17:$C$26,F338)&gt;0,2,IF(COUNTIF(Настройки!$D$17:$D$26,F338)&gt;0,3,0))))</f>
        <v/>
      </c>
      <c r="I338">
        <f>IF(AND(ISNUMBER(A338),ISNUMBER(B338)),A338*1000+B338,"")</f>
        <v/>
      </c>
      <c r="J338">
        <f>IF(I338="","",IF(COUNTIF(I$2:I338,I338)=1,MAX(J$1:J337)+1,""))</f>
        <v/>
      </c>
    </row>
    <row r="339">
      <c r="A339">
        <f>IFERROR(--SUBSTITUTE(SUBSTITUTE(TRIM(INDEX(INDIRECT("'Выгрузка'!A339:Z339"),Настройки!$B$7)),",","."),".",MID(1/2,2,1)),"")</f>
        <v/>
      </c>
      <c r="B339">
        <f>IFERROR(--SUBSTITUTE(SUBSTITUTE(TRIM(INDEX(INDIRECT("'Выгрузка'!A339:Z339"),Настройки!$B$9)),",","."),".",MID(1/2,2,1)),"")</f>
        <v/>
      </c>
      <c r="C339">
        <f>TRIM(INDEX(INDIRECT("'Выгрузка'!A339:Z339"),Настройки!$B$8)&amp;"")</f>
        <v/>
      </c>
      <c r="D339">
        <f>IFERROR(--SUBSTITUTE(SUBSTITUTE(TRIM(INDEX(INDIRECT("'Выгрузка'!A339:Z339"),Настройки!$B$10)),",","."),".",MID(1/2,2,1)),"")</f>
        <v/>
      </c>
      <c r="E339">
        <f>IFERROR(--SUBSTITUTE(SUBSTITUTE(TRIM(INDEX(INDIRECT("'Выгрузка'!A339:Z339"),Настройки!$B$11)),",","."),".",MID(1/2,2,1)),"")</f>
        <v/>
      </c>
      <c r="F339">
        <f>TRIM(INDEX(INDIRECT("'Выгрузка'!A339:Z339"),Настройки!$B$12)&amp;"")</f>
        <v/>
      </c>
      <c r="G339">
        <f>IF(F339="",0,IF(TRIM(INDEX(INDIRECT("'Выгрузка'!A339:Z339"),Настройки!$B$13)&amp;"")="",1,IFERROR(--SUBSTITUTE(SUBSTITUTE(TRIM(INDEX(INDIRECT("'Выгрузка'!A339:Z339"),Настройки!$B$13)),",","."),".",MID(1/2,2,1)),"")))</f>
        <v/>
      </c>
      <c r="H339">
        <f>IF(F339="",0,IF(COUNTIF(Настройки!$B$17:$B$26,F339)&gt;0,1,IF(COUNTIF(Настройки!$C$17:$C$26,F339)&gt;0,2,IF(COUNTIF(Настройки!$D$17:$D$26,F339)&gt;0,3,0))))</f>
        <v/>
      </c>
      <c r="I339">
        <f>IF(AND(ISNUMBER(A339),ISNUMBER(B339)),A339*1000+B339,"")</f>
        <v/>
      </c>
      <c r="J339">
        <f>IF(I339="","",IF(COUNTIF(I$2:I339,I339)=1,MAX(J$1:J338)+1,""))</f>
        <v/>
      </c>
    </row>
    <row r="340">
      <c r="A340">
        <f>IFERROR(--SUBSTITUTE(SUBSTITUTE(TRIM(INDEX(INDIRECT("'Выгрузка'!A340:Z340"),Настройки!$B$7)),",","."),".",MID(1/2,2,1)),"")</f>
        <v/>
      </c>
      <c r="B340">
        <f>IFERROR(--SUBSTITUTE(SUBSTITUTE(TRIM(INDEX(INDIRECT("'Выгрузка'!A340:Z340"),Настройки!$B$9)),",","."),".",MID(1/2,2,1)),"")</f>
        <v/>
      </c>
      <c r="C340">
        <f>TRIM(INDEX(INDIRECT("'Выгрузка'!A340:Z340"),Настройки!$B$8)&amp;"")</f>
        <v/>
      </c>
      <c r="D340">
        <f>IFERROR(--SUBSTITUTE(SUBSTITUTE(TRIM(INDEX(INDIRECT("'Выгрузка'!A340:Z340"),Настройки!$B$10)),",","."),".",MID(1/2,2,1)),"")</f>
        <v/>
      </c>
      <c r="E340">
        <f>IFERROR(--SUBSTITUTE(SUBSTITUTE(TRIM(INDEX(INDIRECT("'Выгрузка'!A340:Z340"),Настройки!$B$11)),",","."),".",MID(1/2,2,1)),"")</f>
        <v/>
      </c>
      <c r="F340">
        <f>TRIM(INDEX(INDIRECT("'Выгрузка'!A340:Z340"),Настройки!$B$12)&amp;"")</f>
        <v/>
      </c>
      <c r="G340">
        <f>IF(F340="",0,IF(TRIM(INDEX(INDIRECT("'Выгрузка'!A340:Z340"),Настройки!$B$13)&amp;"")="",1,IFERROR(--SUBSTITUTE(SUBSTITUTE(TRIM(INDEX(INDIRECT("'Выгрузка'!A340:Z340"),Настройки!$B$13)),",","."),".",MID(1/2,2,1)),"")))</f>
        <v/>
      </c>
      <c r="H340">
        <f>IF(F340="",0,IF(COUNTIF(Настройки!$B$17:$B$26,F340)&gt;0,1,IF(COUNTIF(Настройки!$C$17:$C$26,F340)&gt;0,2,IF(COUNTIF(Настройки!$D$17:$D$26,F340)&gt;0,3,0))))</f>
        <v/>
      </c>
      <c r="I340">
        <f>IF(AND(ISNUMBER(A340),ISNUMBER(B340)),A340*1000+B340,"")</f>
        <v/>
      </c>
      <c r="J340">
        <f>IF(I340="","",IF(COUNTIF(I$2:I340,I340)=1,MAX(J$1:J339)+1,""))</f>
        <v/>
      </c>
    </row>
    <row r="341">
      <c r="A341">
        <f>IFERROR(--SUBSTITUTE(SUBSTITUTE(TRIM(INDEX(INDIRECT("'Выгрузка'!A341:Z341"),Настройки!$B$7)),",","."),".",MID(1/2,2,1)),"")</f>
        <v/>
      </c>
      <c r="B341">
        <f>IFERROR(--SUBSTITUTE(SUBSTITUTE(TRIM(INDEX(INDIRECT("'Выгрузка'!A341:Z341"),Настройки!$B$9)),",","."),".",MID(1/2,2,1)),"")</f>
        <v/>
      </c>
      <c r="C341">
        <f>TRIM(INDEX(INDIRECT("'Выгрузка'!A341:Z341"),Настройки!$B$8)&amp;"")</f>
        <v/>
      </c>
      <c r="D341">
        <f>IFERROR(--SUBSTITUTE(SUBSTITUTE(TRIM(INDEX(INDIRECT("'Выгрузка'!A341:Z341"),Настройки!$B$10)),",","."),".",MID(1/2,2,1)),"")</f>
        <v/>
      </c>
      <c r="E341">
        <f>IFERROR(--SUBSTITUTE(SUBSTITUTE(TRIM(INDEX(INDIRECT("'Выгрузка'!A341:Z341"),Настройки!$B$11)),",","."),".",MID(1/2,2,1)),"")</f>
        <v/>
      </c>
      <c r="F341">
        <f>TRIM(INDEX(INDIRECT("'Выгрузка'!A341:Z341"),Настройки!$B$12)&amp;"")</f>
        <v/>
      </c>
      <c r="G341">
        <f>IF(F341="",0,IF(TRIM(INDEX(INDIRECT("'Выгрузка'!A341:Z341"),Настройки!$B$13)&amp;"")="",1,IFERROR(--SUBSTITUTE(SUBSTITUTE(TRIM(INDEX(INDIRECT("'Выгрузка'!A341:Z341"),Настройки!$B$13)),",","."),".",MID(1/2,2,1)),"")))</f>
        <v/>
      </c>
      <c r="H341">
        <f>IF(F341="",0,IF(COUNTIF(Настройки!$B$17:$B$26,F341)&gt;0,1,IF(COUNTIF(Настройки!$C$17:$C$26,F341)&gt;0,2,IF(COUNTIF(Настройки!$D$17:$D$26,F341)&gt;0,3,0))))</f>
        <v/>
      </c>
      <c r="I341">
        <f>IF(AND(ISNUMBER(A341),ISNUMBER(B341)),A341*1000+B341,"")</f>
        <v/>
      </c>
      <c r="J341">
        <f>IF(I341="","",IF(COUNTIF(I$2:I341,I341)=1,MAX(J$1:J340)+1,""))</f>
        <v/>
      </c>
    </row>
    <row r="342">
      <c r="A342">
        <f>IFERROR(--SUBSTITUTE(SUBSTITUTE(TRIM(INDEX(INDIRECT("'Выгрузка'!A342:Z342"),Настройки!$B$7)),",","."),".",MID(1/2,2,1)),"")</f>
        <v/>
      </c>
      <c r="B342">
        <f>IFERROR(--SUBSTITUTE(SUBSTITUTE(TRIM(INDEX(INDIRECT("'Выгрузка'!A342:Z342"),Настройки!$B$9)),",","."),".",MID(1/2,2,1)),"")</f>
        <v/>
      </c>
      <c r="C342">
        <f>TRIM(INDEX(INDIRECT("'Выгрузка'!A342:Z342"),Настройки!$B$8)&amp;"")</f>
        <v/>
      </c>
      <c r="D342">
        <f>IFERROR(--SUBSTITUTE(SUBSTITUTE(TRIM(INDEX(INDIRECT("'Выгрузка'!A342:Z342"),Настройки!$B$10)),",","."),".",MID(1/2,2,1)),"")</f>
        <v/>
      </c>
      <c r="E342">
        <f>IFERROR(--SUBSTITUTE(SUBSTITUTE(TRIM(INDEX(INDIRECT("'Выгрузка'!A342:Z342"),Настройки!$B$11)),",","."),".",MID(1/2,2,1)),"")</f>
        <v/>
      </c>
      <c r="F342">
        <f>TRIM(INDEX(INDIRECT("'Выгрузка'!A342:Z342"),Настройки!$B$12)&amp;"")</f>
        <v/>
      </c>
      <c r="G342">
        <f>IF(F342="",0,IF(TRIM(INDEX(INDIRECT("'Выгрузка'!A342:Z342"),Настройки!$B$13)&amp;"")="",1,IFERROR(--SUBSTITUTE(SUBSTITUTE(TRIM(INDEX(INDIRECT("'Выгрузка'!A342:Z342"),Настройки!$B$13)),",","."),".",MID(1/2,2,1)),"")))</f>
        <v/>
      </c>
      <c r="H342">
        <f>IF(F342="",0,IF(COUNTIF(Настройки!$B$17:$B$26,F342)&gt;0,1,IF(COUNTIF(Настройки!$C$17:$C$26,F342)&gt;0,2,IF(COUNTIF(Настройки!$D$17:$D$26,F342)&gt;0,3,0))))</f>
        <v/>
      </c>
      <c r="I342">
        <f>IF(AND(ISNUMBER(A342),ISNUMBER(B342)),A342*1000+B342,"")</f>
        <v/>
      </c>
      <c r="J342">
        <f>IF(I342="","",IF(COUNTIF(I$2:I342,I342)=1,MAX(J$1:J341)+1,""))</f>
        <v/>
      </c>
    </row>
    <row r="343">
      <c r="A343">
        <f>IFERROR(--SUBSTITUTE(SUBSTITUTE(TRIM(INDEX(INDIRECT("'Выгрузка'!A343:Z343"),Настройки!$B$7)),",","."),".",MID(1/2,2,1)),"")</f>
        <v/>
      </c>
      <c r="B343">
        <f>IFERROR(--SUBSTITUTE(SUBSTITUTE(TRIM(INDEX(INDIRECT("'Выгрузка'!A343:Z343"),Настройки!$B$9)),",","."),".",MID(1/2,2,1)),"")</f>
        <v/>
      </c>
      <c r="C343">
        <f>TRIM(INDEX(INDIRECT("'Выгрузка'!A343:Z343"),Настройки!$B$8)&amp;"")</f>
        <v/>
      </c>
      <c r="D343">
        <f>IFERROR(--SUBSTITUTE(SUBSTITUTE(TRIM(INDEX(INDIRECT("'Выгрузка'!A343:Z343"),Настройки!$B$10)),",","."),".",MID(1/2,2,1)),"")</f>
        <v/>
      </c>
      <c r="E343">
        <f>IFERROR(--SUBSTITUTE(SUBSTITUTE(TRIM(INDEX(INDIRECT("'Выгрузка'!A343:Z343"),Настройки!$B$11)),",","."),".",MID(1/2,2,1)),"")</f>
        <v/>
      </c>
      <c r="F343">
        <f>TRIM(INDEX(INDIRECT("'Выгрузка'!A343:Z343"),Настройки!$B$12)&amp;"")</f>
        <v/>
      </c>
      <c r="G343">
        <f>IF(F343="",0,IF(TRIM(INDEX(INDIRECT("'Выгрузка'!A343:Z343"),Настройки!$B$13)&amp;"")="",1,IFERROR(--SUBSTITUTE(SUBSTITUTE(TRIM(INDEX(INDIRECT("'Выгрузка'!A343:Z343"),Настройки!$B$13)),",","."),".",MID(1/2,2,1)),"")))</f>
        <v/>
      </c>
      <c r="H343">
        <f>IF(F343="",0,IF(COUNTIF(Настройки!$B$17:$B$26,F343)&gt;0,1,IF(COUNTIF(Настройки!$C$17:$C$26,F343)&gt;0,2,IF(COUNTIF(Настройки!$D$17:$D$26,F343)&gt;0,3,0))))</f>
        <v/>
      </c>
      <c r="I343">
        <f>IF(AND(ISNUMBER(A343),ISNUMBER(B343)),A343*1000+B343,"")</f>
        <v/>
      </c>
      <c r="J343">
        <f>IF(I343="","",IF(COUNTIF(I$2:I343,I343)=1,MAX(J$1:J342)+1,""))</f>
        <v/>
      </c>
    </row>
    <row r="344">
      <c r="A344">
        <f>IFERROR(--SUBSTITUTE(SUBSTITUTE(TRIM(INDEX(INDIRECT("'Выгрузка'!A344:Z344"),Настройки!$B$7)),",","."),".",MID(1/2,2,1)),"")</f>
        <v/>
      </c>
      <c r="B344">
        <f>IFERROR(--SUBSTITUTE(SUBSTITUTE(TRIM(INDEX(INDIRECT("'Выгрузка'!A344:Z344"),Настройки!$B$9)),",","."),".",MID(1/2,2,1)),"")</f>
        <v/>
      </c>
      <c r="C344">
        <f>TRIM(INDEX(INDIRECT("'Выгрузка'!A344:Z344"),Настройки!$B$8)&amp;"")</f>
        <v/>
      </c>
      <c r="D344">
        <f>IFERROR(--SUBSTITUTE(SUBSTITUTE(TRIM(INDEX(INDIRECT("'Выгрузка'!A344:Z344"),Настройки!$B$10)),",","."),".",MID(1/2,2,1)),"")</f>
        <v/>
      </c>
      <c r="E344">
        <f>IFERROR(--SUBSTITUTE(SUBSTITUTE(TRIM(INDEX(INDIRECT("'Выгрузка'!A344:Z344"),Настройки!$B$11)),",","."),".",MID(1/2,2,1)),"")</f>
        <v/>
      </c>
      <c r="F344">
        <f>TRIM(INDEX(INDIRECT("'Выгрузка'!A344:Z344"),Настройки!$B$12)&amp;"")</f>
        <v/>
      </c>
      <c r="G344">
        <f>IF(F344="",0,IF(TRIM(INDEX(INDIRECT("'Выгрузка'!A344:Z344"),Настройки!$B$13)&amp;"")="",1,IFERROR(--SUBSTITUTE(SUBSTITUTE(TRIM(INDEX(INDIRECT("'Выгрузка'!A344:Z344"),Настройки!$B$13)),",","."),".",MID(1/2,2,1)),"")))</f>
        <v/>
      </c>
      <c r="H344">
        <f>IF(F344="",0,IF(COUNTIF(Настройки!$B$17:$B$26,F344)&gt;0,1,IF(COUNTIF(Настройки!$C$17:$C$26,F344)&gt;0,2,IF(COUNTIF(Настройки!$D$17:$D$26,F344)&gt;0,3,0))))</f>
        <v/>
      </c>
      <c r="I344">
        <f>IF(AND(ISNUMBER(A344),ISNUMBER(B344)),A344*1000+B344,"")</f>
        <v/>
      </c>
      <c r="J344">
        <f>IF(I344="","",IF(COUNTIF(I$2:I344,I344)=1,MAX(J$1:J343)+1,""))</f>
        <v/>
      </c>
    </row>
    <row r="345">
      <c r="A345">
        <f>IFERROR(--SUBSTITUTE(SUBSTITUTE(TRIM(INDEX(INDIRECT("'Выгрузка'!A345:Z345"),Настройки!$B$7)),",","."),".",MID(1/2,2,1)),"")</f>
        <v/>
      </c>
      <c r="B345">
        <f>IFERROR(--SUBSTITUTE(SUBSTITUTE(TRIM(INDEX(INDIRECT("'Выгрузка'!A345:Z345"),Настройки!$B$9)),",","."),".",MID(1/2,2,1)),"")</f>
        <v/>
      </c>
      <c r="C345">
        <f>TRIM(INDEX(INDIRECT("'Выгрузка'!A345:Z345"),Настройки!$B$8)&amp;"")</f>
        <v/>
      </c>
      <c r="D345">
        <f>IFERROR(--SUBSTITUTE(SUBSTITUTE(TRIM(INDEX(INDIRECT("'Выгрузка'!A345:Z345"),Настройки!$B$10)),",","."),".",MID(1/2,2,1)),"")</f>
        <v/>
      </c>
      <c r="E345">
        <f>IFERROR(--SUBSTITUTE(SUBSTITUTE(TRIM(INDEX(INDIRECT("'Выгрузка'!A345:Z345"),Настройки!$B$11)),",","."),".",MID(1/2,2,1)),"")</f>
        <v/>
      </c>
      <c r="F345">
        <f>TRIM(INDEX(INDIRECT("'Выгрузка'!A345:Z345"),Настройки!$B$12)&amp;"")</f>
        <v/>
      </c>
      <c r="G345">
        <f>IF(F345="",0,IF(TRIM(INDEX(INDIRECT("'Выгрузка'!A345:Z345"),Настройки!$B$13)&amp;"")="",1,IFERROR(--SUBSTITUTE(SUBSTITUTE(TRIM(INDEX(INDIRECT("'Выгрузка'!A345:Z345"),Настройки!$B$13)),",","."),".",MID(1/2,2,1)),"")))</f>
        <v/>
      </c>
      <c r="H345">
        <f>IF(F345="",0,IF(COUNTIF(Настройки!$B$17:$B$26,F345)&gt;0,1,IF(COUNTIF(Настройки!$C$17:$C$26,F345)&gt;0,2,IF(COUNTIF(Настройки!$D$17:$D$26,F345)&gt;0,3,0))))</f>
        <v/>
      </c>
      <c r="I345">
        <f>IF(AND(ISNUMBER(A345),ISNUMBER(B345)),A345*1000+B345,"")</f>
        <v/>
      </c>
      <c r="J345">
        <f>IF(I345="","",IF(COUNTIF(I$2:I345,I345)=1,MAX(J$1:J344)+1,""))</f>
        <v/>
      </c>
    </row>
    <row r="346">
      <c r="A346">
        <f>IFERROR(--SUBSTITUTE(SUBSTITUTE(TRIM(INDEX(INDIRECT("'Выгрузка'!A346:Z346"),Настройки!$B$7)),",","."),".",MID(1/2,2,1)),"")</f>
        <v/>
      </c>
      <c r="B346">
        <f>IFERROR(--SUBSTITUTE(SUBSTITUTE(TRIM(INDEX(INDIRECT("'Выгрузка'!A346:Z346"),Настройки!$B$9)),",","."),".",MID(1/2,2,1)),"")</f>
        <v/>
      </c>
      <c r="C346">
        <f>TRIM(INDEX(INDIRECT("'Выгрузка'!A346:Z346"),Настройки!$B$8)&amp;"")</f>
        <v/>
      </c>
      <c r="D346">
        <f>IFERROR(--SUBSTITUTE(SUBSTITUTE(TRIM(INDEX(INDIRECT("'Выгрузка'!A346:Z346"),Настройки!$B$10)),",","."),".",MID(1/2,2,1)),"")</f>
        <v/>
      </c>
      <c r="E346">
        <f>IFERROR(--SUBSTITUTE(SUBSTITUTE(TRIM(INDEX(INDIRECT("'Выгрузка'!A346:Z346"),Настройки!$B$11)),",","."),".",MID(1/2,2,1)),"")</f>
        <v/>
      </c>
      <c r="F346">
        <f>TRIM(INDEX(INDIRECT("'Выгрузка'!A346:Z346"),Настройки!$B$12)&amp;"")</f>
        <v/>
      </c>
      <c r="G346">
        <f>IF(F346="",0,IF(TRIM(INDEX(INDIRECT("'Выгрузка'!A346:Z346"),Настройки!$B$13)&amp;"")="",1,IFERROR(--SUBSTITUTE(SUBSTITUTE(TRIM(INDEX(INDIRECT("'Выгрузка'!A346:Z346"),Настройки!$B$13)),",","."),".",MID(1/2,2,1)),"")))</f>
        <v/>
      </c>
      <c r="H346">
        <f>IF(F346="",0,IF(COUNTIF(Настройки!$B$17:$B$26,F346)&gt;0,1,IF(COUNTIF(Настройки!$C$17:$C$26,F346)&gt;0,2,IF(COUNTIF(Настройки!$D$17:$D$26,F346)&gt;0,3,0))))</f>
        <v/>
      </c>
      <c r="I346">
        <f>IF(AND(ISNUMBER(A346),ISNUMBER(B346)),A346*1000+B346,"")</f>
        <v/>
      </c>
      <c r="J346">
        <f>IF(I346="","",IF(COUNTIF(I$2:I346,I346)=1,MAX(J$1:J345)+1,""))</f>
        <v/>
      </c>
    </row>
    <row r="347">
      <c r="A347">
        <f>IFERROR(--SUBSTITUTE(SUBSTITUTE(TRIM(INDEX(INDIRECT("'Выгрузка'!A347:Z347"),Настройки!$B$7)),",","."),".",MID(1/2,2,1)),"")</f>
        <v/>
      </c>
      <c r="B347">
        <f>IFERROR(--SUBSTITUTE(SUBSTITUTE(TRIM(INDEX(INDIRECT("'Выгрузка'!A347:Z347"),Настройки!$B$9)),",","."),".",MID(1/2,2,1)),"")</f>
        <v/>
      </c>
      <c r="C347">
        <f>TRIM(INDEX(INDIRECT("'Выгрузка'!A347:Z347"),Настройки!$B$8)&amp;"")</f>
        <v/>
      </c>
      <c r="D347">
        <f>IFERROR(--SUBSTITUTE(SUBSTITUTE(TRIM(INDEX(INDIRECT("'Выгрузка'!A347:Z347"),Настройки!$B$10)),",","."),".",MID(1/2,2,1)),"")</f>
        <v/>
      </c>
      <c r="E347">
        <f>IFERROR(--SUBSTITUTE(SUBSTITUTE(TRIM(INDEX(INDIRECT("'Выгрузка'!A347:Z347"),Настройки!$B$11)),",","."),".",MID(1/2,2,1)),"")</f>
        <v/>
      </c>
      <c r="F347">
        <f>TRIM(INDEX(INDIRECT("'Выгрузка'!A347:Z347"),Настройки!$B$12)&amp;"")</f>
        <v/>
      </c>
      <c r="G347">
        <f>IF(F347="",0,IF(TRIM(INDEX(INDIRECT("'Выгрузка'!A347:Z347"),Настройки!$B$13)&amp;"")="",1,IFERROR(--SUBSTITUTE(SUBSTITUTE(TRIM(INDEX(INDIRECT("'Выгрузка'!A347:Z347"),Настройки!$B$13)),",","."),".",MID(1/2,2,1)),"")))</f>
        <v/>
      </c>
      <c r="H347">
        <f>IF(F347="",0,IF(COUNTIF(Настройки!$B$17:$B$26,F347)&gt;0,1,IF(COUNTIF(Настройки!$C$17:$C$26,F347)&gt;0,2,IF(COUNTIF(Настройки!$D$17:$D$26,F347)&gt;0,3,0))))</f>
        <v/>
      </c>
      <c r="I347">
        <f>IF(AND(ISNUMBER(A347),ISNUMBER(B347)),A347*1000+B347,"")</f>
        <v/>
      </c>
      <c r="J347">
        <f>IF(I347="","",IF(COUNTIF(I$2:I347,I347)=1,MAX(J$1:J346)+1,""))</f>
        <v/>
      </c>
    </row>
    <row r="348">
      <c r="A348">
        <f>IFERROR(--SUBSTITUTE(SUBSTITUTE(TRIM(INDEX(INDIRECT("'Выгрузка'!A348:Z348"),Настройки!$B$7)),",","."),".",MID(1/2,2,1)),"")</f>
        <v/>
      </c>
      <c r="B348">
        <f>IFERROR(--SUBSTITUTE(SUBSTITUTE(TRIM(INDEX(INDIRECT("'Выгрузка'!A348:Z348"),Настройки!$B$9)),",","."),".",MID(1/2,2,1)),"")</f>
        <v/>
      </c>
      <c r="C348">
        <f>TRIM(INDEX(INDIRECT("'Выгрузка'!A348:Z348"),Настройки!$B$8)&amp;"")</f>
        <v/>
      </c>
      <c r="D348">
        <f>IFERROR(--SUBSTITUTE(SUBSTITUTE(TRIM(INDEX(INDIRECT("'Выгрузка'!A348:Z348"),Настройки!$B$10)),",","."),".",MID(1/2,2,1)),"")</f>
        <v/>
      </c>
      <c r="E348">
        <f>IFERROR(--SUBSTITUTE(SUBSTITUTE(TRIM(INDEX(INDIRECT("'Выгрузка'!A348:Z348"),Настройки!$B$11)),",","."),".",MID(1/2,2,1)),"")</f>
        <v/>
      </c>
      <c r="F348">
        <f>TRIM(INDEX(INDIRECT("'Выгрузка'!A348:Z348"),Настройки!$B$12)&amp;"")</f>
        <v/>
      </c>
      <c r="G348">
        <f>IF(F348="",0,IF(TRIM(INDEX(INDIRECT("'Выгрузка'!A348:Z348"),Настройки!$B$13)&amp;"")="",1,IFERROR(--SUBSTITUTE(SUBSTITUTE(TRIM(INDEX(INDIRECT("'Выгрузка'!A348:Z348"),Настройки!$B$13)),",","."),".",MID(1/2,2,1)),"")))</f>
        <v/>
      </c>
      <c r="H348">
        <f>IF(F348="",0,IF(COUNTIF(Настройки!$B$17:$B$26,F348)&gt;0,1,IF(COUNTIF(Настройки!$C$17:$C$26,F348)&gt;0,2,IF(COUNTIF(Настройки!$D$17:$D$26,F348)&gt;0,3,0))))</f>
        <v/>
      </c>
      <c r="I348">
        <f>IF(AND(ISNUMBER(A348),ISNUMBER(B348)),A348*1000+B348,"")</f>
        <v/>
      </c>
      <c r="J348">
        <f>IF(I348="","",IF(COUNTIF(I$2:I348,I348)=1,MAX(J$1:J347)+1,""))</f>
        <v/>
      </c>
    </row>
    <row r="349">
      <c r="A349">
        <f>IFERROR(--SUBSTITUTE(SUBSTITUTE(TRIM(INDEX(INDIRECT("'Выгрузка'!A349:Z349"),Настройки!$B$7)),",","."),".",MID(1/2,2,1)),"")</f>
        <v/>
      </c>
      <c r="B349">
        <f>IFERROR(--SUBSTITUTE(SUBSTITUTE(TRIM(INDEX(INDIRECT("'Выгрузка'!A349:Z349"),Настройки!$B$9)),",","."),".",MID(1/2,2,1)),"")</f>
        <v/>
      </c>
      <c r="C349">
        <f>TRIM(INDEX(INDIRECT("'Выгрузка'!A349:Z349"),Настройки!$B$8)&amp;"")</f>
        <v/>
      </c>
      <c r="D349">
        <f>IFERROR(--SUBSTITUTE(SUBSTITUTE(TRIM(INDEX(INDIRECT("'Выгрузка'!A349:Z349"),Настройки!$B$10)),",","."),".",MID(1/2,2,1)),"")</f>
        <v/>
      </c>
      <c r="E349">
        <f>IFERROR(--SUBSTITUTE(SUBSTITUTE(TRIM(INDEX(INDIRECT("'Выгрузка'!A349:Z349"),Настройки!$B$11)),",","."),".",MID(1/2,2,1)),"")</f>
        <v/>
      </c>
      <c r="F349">
        <f>TRIM(INDEX(INDIRECT("'Выгрузка'!A349:Z349"),Настройки!$B$12)&amp;"")</f>
        <v/>
      </c>
      <c r="G349">
        <f>IF(F349="",0,IF(TRIM(INDEX(INDIRECT("'Выгрузка'!A349:Z349"),Настройки!$B$13)&amp;"")="",1,IFERROR(--SUBSTITUTE(SUBSTITUTE(TRIM(INDEX(INDIRECT("'Выгрузка'!A349:Z349"),Настройки!$B$13)),",","."),".",MID(1/2,2,1)),"")))</f>
        <v/>
      </c>
      <c r="H349">
        <f>IF(F349="",0,IF(COUNTIF(Настройки!$B$17:$B$26,F349)&gt;0,1,IF(COUNTIF(Настройки!$C$17:$C$26,F349)&gt;0,2,IF(COUNTIF(Настройки!$D$17:$D$26,F349)&gt;0,3,0))))</f>
        <v/>
      </c>
      <c r="I349">
        <f>IF(AND(ISNUMBER(A349),ISNUMBER(B349)),A349*1000+B349,"")</f>
        <v/>
      </c>
      <c r="J349">
        <f>IF(I349="","",IF(COUNTIF(I$2:I349,I349)=1,MAX(J$1:J348)+1,""))</f>
        <v/>
      </c>
    </row>
    <row r="350">
      <c r="A350">
        <f>IFERROR(--SUBSTITUTE(SUBSTITUTE(TRIM(INDEX(INDIRECT("'Выгрузка'!A350:Z350"),Настройки!$B$7)),",","."),".",MID(1/2,2,1)),"")</f>
        <v/>
      </c>
      <c r="B350">
        <f>IFERROR(--SUBSTITUTE(SUBSTITUTE(TRIM(INDEX(INDIRECT("'Выгрузка'!A350:Z350"),Настройки!$B$9)),",","."),".",MID(1/2,2,1)),"")</f>
        <v/>
      </c>
      <c r="C350">
        <f>TRIM(INDEX(INDIRECT("'Выгрузка'!A350:Z350"),Настройки!$B$8)&amp;"")</f>
        <v/>
      </c>
      <c r="D350">
        <f>IFERROR(--SUBSTITUTE(SUBSTITUTE(TRIM(INDEX(INDIRECT("'Выгрузка'!A350:Z350"),Настройки!$B$10)),",","."),".",MID(1/2,2,1)),"")</f>
        <v/>
      </c>
      <c r="E350">
        <f>IFERROR(--SUBSTITUTE(SUBSTITUTE(TRIM(INDEX(INDIRECT("'Выгрузка'!A350:Z350"),Настройки!$B$11)),",","."),".",MID(1/2,2,1)),"")</f>
        <v/>
      </c>
      <c r="F350">
        <f>TRIM(INDEX(INDIRECT("'Выгрузка'!A350:Z350"),Настройки!$B$12)&amp;"")</f>
        <v/>
      </c>
      <c r="G350">
        <f>IF(F350="",0,IF(TRIM(INDEX(INDIRECT("'Выгрузка'!A350:Z350"),Настройки!$B$13)&amp;"")="",1,IFERROR(--SUBSTITUTE(SUBSTITUTE(TRIM(INDEX(INDIRECT("'Выгрузка'!A350:Z350"),Настройки!$B$13)),",","."),".",MID(1/2,2,1)),"")))</f>
        <v/>
      </c>
      <c r="H350">
        <f>IF(F350="",0,IF(COUNTIF(Настройки!$B$17:$B$26,F350)&gt;0,1,IF(COUNTIF(Настройки!$C$17:$C$26,F350)&gt;0,2,IF(COUNTIF(Настройки!$D$17:$D$26,F350)&gt;0,3,0))))</f>
        <v/>
      </c>
      <c r="I350">
        <f>IF(AND(ISNUMBER(A350),ISNUMBER(B350)),A350*1000+B350,"")</f>
        <v/>
      </c>
      <c r="J350">
        <f>IF(I350="","",IF(COUNTIF(I$2:I350,I350)=1,MAX(J$1:J349)+1,""))</f>
        <v/>
      </c>
    </row>
    <row r="351">
      <c r="A351">
        <f>IFERROR(--SUBSTITUTE(SUBSTITUTE(TRIM(INDEX(INDIRECT("'Выгрузка'!A351:Z351"),Настройки!$B$7)),",","."),".",MID(1/2,2,1)),"")</f>
        <v/>
      </c>
      <c r="B351">
        <f>IFERROR(--SUBSTITUTE(SUBSTITUTE(TRIM(INDEX(INDIRECT("'Выгрузка'!A351:Z351"),Настройки!$B$9)),",","."),".",MID(1/2,2,1)),"")</f>
        <v/>
      </c>
      <c r="C351">
        <f>TRIM(INDEX(INDIRECT("'Выгрузка'!A351:Z351"),Настройки!$B$8)&amp;"")</f>
        <v/>
      </c>
      <c r="D351">
        <f>IFERROR(--SUBSTITUTE(SUBSTITUTE(TRIM(INDEX(INDIRECT("'Выгрузка'!A351:Z351"),Настройки!$B$10)),",","."),".",MID(1/2,2,1)),"")</f>
        <v/>
      </c>
      <c r="E351">
        <f>IFERROR(--SUBSTITUTE(SUBSTITUTE(TRIM(INDEX(INDIRECT("'Выгрузка'!A351:Z351"),Настройки!$B$11)),",","."),".",MID(1/2,2,1)),"")</f>
        <v/>
      </c>
      <c r="F351">
        <f>TRIM(INDEX(INDIRECT("'Выгрузка'!A351:Z351"),Настройки!$B$12)&amp;"")</f>
        <v/>
      </c>
      <c r="G351">
        <f>IF(F351="",0,IF(TRIM(INDEX(INDIRECT("'Выгрузка'!A351:Z351"),Настройки!$B$13)&amp;"")="",1,IFERROR(--SUBSTITUTE(SUBSTITUTE(TRIM(INDEX(INDIRECT("'Выгрузка'!A351:Z351"),Настройки!$B$13)),",","."),".",MID(1/2,2,1)),"")))</f>
        <v/>
      </c>
      <c r="H351">
        <f>IF(F351="",0,IF(COUNTIF(Настройки!$B$17:$B$26,F351)&gt;0,1,IF(COUNTIF(Настройки!$C$17:$C$26,F351)&gt;0,2,IF(COUNTIF(Настройки!$D$17:$D$26,F351)&gt;0,3,0))))</f>
        <v/>
      </c>
      <c r="I351">
        <f>IF(AND(ISNUMBER(A351),ISNUMBER(B351)),A351*1000+B351,"")</f>
        <v/>
      </c>
      <c r="J351">
        <f>IF(I351="","",IF(COUNTIF(I$2:I351,I351)=1,MAX(J$1:J350)+1,""))</f>
        <v/>
      </c>
    </row>
    <row r="352">
      <c r="A352">
        <f>IFERROR(--SUBSTITUTE(SUBSTITUTE(TRIM(INDEX(INDIRECT("'Выгрузка'!A352:Z352"),Настройки!$B$7)),",","."),".",MID(1/2,2,1)),"")</f>
        <v/>
      </c>
      <c r="B352">
        <f>IFERROR(--SUBSTITUTE(SUBSTITUTE(TRIM(INDEX(INDIRECT("'Выгрузка'!A352:Z352"),Настройки!$B$9)),",","."),".",MID(1/2,2,1)),"")</f>
        <v/>
      </c>
      <c r="C352">
        <f>TRIM(INDEX(INDIRECT("'Выгрузка'!A352:Z352"),Настройки!$B$8)&amp;"")</f>
        <v/>
      </c>
      <c r="D352">
        <f>IFERROR(--SUBSTITUTE(SUBSTITUTE(TRIM(INDEX(INDIRECT("'Выгрузка'!A352:Z352"),Настройки!$B$10)),",","."),".",MID(1/2,2,1)),"")</f>
        <v/>
      </c>
      <c r="E352">
        <f>IFERROR(--SUBSTITUTE(SUBSTITUTE(TRIM(INDEX(INDIRECT("'Выгрузка'!A352:Z352"),Настройки!$B$11)),",","."),".",MID(1/2,2,1)),"")</f>
        <v/>
      </c>
      <c r="F352">
        <f>TRIM(INDEX(INDIRECT("'Выгрузка'!A352:Z352"),Настройки!$B$12)&amp;"")</f>
        <v/>
      </c>
      <c r="G352">
        <f>IF(F352="",0,IF(TRIM(INDEX(INDIRECT("'Выгрузка'!A352:Z352"),Настройки!$B$13)&amp;"")="",1,IFERROR(--SUBSTITUTE(SUBSTITUTE(TRIM(INDEX(INDIRECT("'Выгрузка'!A352:Z352"),Настройки!$B$13)),",","."),".",MID(1/2,2,1)),"")))</f>
        <v/>
      </c>
      <c r="H352">
        <f>IF(F352="",0,IF(COUNTIF(Настройки!$B$17:$B$26,F352)&gt;0,1,IF(COUNTIF(Настройки!$C$17:$C$26,F352)&gt;0,2,IF(COUNTIF(Настройки!$D$17:$D$26,F352)&gt;0,3,0))))</f>
        <v/>
      </c>
      <c r="I352">
        <f>IF(AND(ISNUMBER(A352),ISNUMBER(B352)),A352*1000+B352,"")</f>
        <v/>
      </c>
      <c r="J352">
        <f>IF(I352="","",IF(COUNTIF(I$2:I352,I352)=1,MAX(J$1:J351)+1,""))</f>
        <v/>
      </c>
    </row>
    <row r="353">
      <c r="A353">
        <f>IFERROR(--SUBSTITUTE(SUBSTITUTE(TRIM(INDEX(INDIRECT("'Выгрузка'!A353:Z353"),Настройки!$B$7)),",","."),".",MID(1/2,2,1)),"")</f>
        <v/>
      </c>
      <c r="B353">
        <f>IFERROR(--SUBSTITUTE(SUBSTITUTE(TRIM(INDEX(INDIRECT("'Выгрузка'!A353:Z353"),Настройки!$B$9)),",","."),".",MID(1/2,2,1)),"")</f>
        <v/>
      </c>
      <c r="C353">
        <f>TRIM(INDEX(INDIRECT("'Выгрузка'!A353:Z353"),Настройки!$B$8)&amp;"")</f>
        <v/>
      </c>
      <c r="D353">
        <f>IFERROR(--SUBSTITUTE(SUBSTITUTE(TRIM(INDEX(INDIRECT("'Выгрузка'!A353:Z353"),Настройки!$B$10)),",","."),".",MID(1/2,2,1)),"")</f>
        <v/>
      </c>
      <c r="E353">
        <f>IFERROR(--SUBSTITUTE(SUBSTITUTE(TRIM(INDEX(INDIRECT("'Выгрузка'!A353:Z353"),Настройки!$B$11)),",","."),".",MID(1/2,2,1)),"")</f>
        <v/>
      </c>
      <c r="F353">
        <f>TRIM(INDEX(INDIRECT("'Выгрузка'!A353:Z353"),Настройки!$B$12)&amp;"")</f>
        <v/>
      </c>
      <c r="G353">
        <f>IF(F353="",0,IF(TRIM(INDEX(INDIRECT("'Выгрузка'!A353:Z353"),Настройки!$B$13)&amp;"")="",1,IFERROR(--SUBSTITUTE(SUBSTITUTE(TRIM(INDEX(INDIRECT("'Выгрузка'!A353:Z353"),Настройки!$B$13)),",","."),".",MID(1/2,2,1)),"")))</f>
        <v/>
      </c>
      <c r="H353">
        <f>IF(F353="",0,IF(COUNTIF(Настройки!$B$17:$B$26,F353)&gt;0,1,IF(COUNTIF(Настройки!$C$17:$C$26,F353)&gt;0,2,IF(COUNTIF(Настройки!$D$17:$D$26,F353)&gt;0,3,0))))</f>
        <v/>
      </c>
      <c r="I353">
        <f>IF(AND(ISNUMBER(A353),ISNUMBER(B353)),A353*1000+B353,"")</f>
        <v/>
      </c>
      <c r="J353">
        <f>IF(I353="","",IF(COUNTIF(I$2:I353,I353)=1,MAX(J$1:J352)+1,""))</f>
        <v/>
      </c>
    </row>
    <row r="354">
      <c r="A354">
        <f>IFERROR(--SUBSTITUTE(SUBSTITUTE(TRIM(INDEX(INDIRECT("'Выгрузка'!A354:Z354"),Настройки!$B$7)),",","."),".",MID(1/2,2,1)),"")</f>
        <v/>
      </c>
      <c r="B354">
        <f>IFERROR(--SUBSTITUTE(SUBSTITUTE(TRIM(INDEX(INDIRECT("'Выгрузка'!A354:Z354"),Настройки!$B$9)),",","."),".",MID(1/2,2,1)),"")</f>
        <v/>
      </c>
      <c r="C354">
        <f>TRIM(INDEX(INDIRECT("'Выгрузка'!A354:Z354"),Настройки!$B$8)&amp;"")</f>
        <v/>
      </c>
      <c r="D354">
        <f>IFERROR(--SUBSTITUTE(SUBSTITUTE(TRIM(INDEX(INDIRECT("'Выгрузка'!A354:Z354"),Настройки!$B$10)),",","."),".",MID(1/2,2,1)),"")</f>
        <v/>
      </c>
      <c r="E354">
        <f>IFERROR(--SUBSTITUTE(SUBSTITUTE(TRIM(INDEX(INDIRECT("'Выгрузка'!A354:Z354"),Настройки!$B$11)),",","."),".",MID(1/2,2,1)),"")</f>
        <v/>
      </c>
      <c r="F354">
        <f>TRIM(INDEX(INDIRECT("'Выгрузка'!A354:Z354"),Настройки!$B$12)&amp;"")</f>
        <v/>
      </c>
      <c r="G354">
        <f>IF(F354="",0,IF(TRIM(INDEX(INDIRECT("'Выгрузка'!A354:Z354"),Настройки!$B$13)&amp;"")="",1,IFERROR(--SUBSTITUTE(SUBSTITUTE(TRIM(INDEX(INDIRECT("'Выгрузка'!A354:Z354"),Настройки!$B$13)),",","."),".",MID(1/2,2,1)),"")))</f>
        <v/>
      </c>
      <c r="H354">
        <f>IF(F354="",0,IF(COUNTIF(Настройки!$B$17:$B$26,F354)&gt;0,1,IF(COUNTIF(Настройки!$C$17:$C$26,F354)&gt;0,2,IF(COUNTIF(Настройки!$D$17:$D$26,F354)&gt;0,3,0))))</f>
        <v/>
      </c>
      <c r="I354">
        <f>IF(AND(ISNUMBER(A354),ISNUMBER(B354)),A354*1000+B354,"")</f>
        <v/>
      </c>
      <c r="J354">
        <f>IF(I354="","",IF(COUNTIF(I$2:I354,I354)=1,MAX(J$1:J353)+1,""))</f>
        <v/>
      </c>
    </row>
    <row r="355">
      <c r="A355">
        <f>IFERROR(--SUBSTITUTE(SUBSTITUTE(TRIM(INDEX(INDIRECT("'Выгрузка'!A355:Z355"),Настройки!$B$7)),",","."),".",MID(1/2,2,1)),"")</f>
        <v/>
      </c>
      <c r="B355">
        <f>IFERROR(--SUBSTITUTE(SUBSTITUTE(TRIM(INDEX(INDIRECT("'Выгрузка'!A355:Z355"),Настройки!$B$9)),",","."),".",MID(1/2,2,1)),"")</f>
        <v/>
      </c>
      <c r="C355">
        <f>TRIM(INDEX(INDIRECT("'Выгрузка'!A355:Z355"),Настройки!$B$8)&amp;"")</f>
        <v/>
      </c>
      <c r="D355">
        <f>IFERROR(--SUBSTITUTE(SUBSTITUTE(TRIM(INDEX(INDIRECT("'Выгрузка'!A355:Z355"),Настройки!$B$10)),",","."),".",MID(1/2,2,1)),"")</f>
        <v/>
      </c>
      <c r="E355">
        <f>IFERROR(--SUBSTITUTE(SUBSTITUTE(TRIM(INDEX(INDIRECT("'Выгрузка'!A355:Z355"),Настройки!$B$11)),",","."),".",MID(1/2,2,1)),"")</f>
        <v/>
      </c>
      <c r="F355">
        <f>TRIM(INDEX(INDIRECT("'Выгрузка'!A355:Z355"),Настройки!$B$12)&amp;"")</f>
        <v/>
      </c>
      <c r="G355">
        <f>IF(F355="",0,IF(TRIM(INDEX(INDIRECT("'Выгрузка'!A355:Z355"),Настройки!$B$13)&amp;"")="",1,IFERROR(--SUBSTITUTE(SUBSTITUTE(TRIM(INDEX(INDIRECT("'Выгрузка'!A355:Z355"),Настройки!$B$13)),",","."),".",MID(1/2,2,1)),"")))</f>
        <v/>
      </c>
      <c r="H355">
        <f>IF(F355="",0,IF(COUNTIF(Настройки!$B$17:$B$26,F355)&gt;0,1,IF(COUNTIF(Настройки!$C$17:$C$26,F355)&gt;0,2,IF(COUNTIF(Настройки!$D$17:$D$26,F355)&gt;0,3,0))))</f>
        <v/>
      </c>
      <c r="I355">
        <f>IF(AND(ISNUMBER(A355),ISNUMBER(B355)),A355*1000+B355,"")</f>
        <v/>
      </c>
      <c r="J355">
        <f>IF(I355="","",IF(COUNTIF(I$2:I355,I355)=1,MAX(J$1:J354)+1,""))</f>
        <v/>
      </c>
    </row>
    <row r="356">
      <c r="A356">
        <f>IFERROR(--SUBSTITUTE(SUBSTITUTE(TRIM(INDEX(INDIRECT("'Выгрузка'!A356:Z356"),Настройки!$B$7)),",","."),".",MID(1/2,2,1)),"")</f>
        <v/>
      </c>
      <c r="B356">
        <f>IFERROR(--SUBSTITUTE(SUBSTITUTE(TRIM(INDEX(INDIRECT("'Выгрузка'!A356:Z356"),Настройки!$B$9)),",","."),".",MID(1/2,2,1)),"")</f>
        <v/>
      </c>
      <c r="C356">
        <f>TRIM(INDEX(INDIRECT("'Выгрузка'!A356:Z356"),Настройки!$B$8)&amp;"")</f>
        <v/>
      </c>
      <c r="D356">
        <f>IFERROR(--SUBSTITUTE(SUBSTITUTE(TRIM(INDEX(INDIRECT("'Выгрузка'!A356:Z356"),Настройки!$B$10)),",","."),".",MID(1/2,2,1)),"")</f>
        <v/>
      </c>
      <c r="E356">
        <f>IFERROR(--SUBSTITUTE(SUBSTITUTE(TRIM(INDEX(INDIRECT("'Выгрузка'!A356:Z356"),Настройки!$B$11)),",","."),".",MID(1/2,2,1)),"")</f>
        <v/>
      </c>
      <c r="F356">
        <f>TRIM(INDEX(INDIRECT("'Выгрузка'!A356:Z356"),Настройки!$B$12)&amp;"")</f>
        <v/>
      </c>
      <c r="G356">
        <f>IF(F356="",0,IF(TRIM(INDEX(INDIRECT("'Выгрузка'!A356:Z356"),Настройки!$B$13)&amp;"")="",1,IFERROR(--SUBSTITUTE(SUBSTITUTE(TRIM(INDEX(INDIRECT("'Выгрузка'!A356:Z356"),Настройки!$B$13)),",","."),".",MID(1/2,2,1)),"")))</f>
        <v/>
      </c>
      <c r="H356">
        <f>IF(F356="",0,IF(COUNTIF(Настройки!$B$17:$B$26,F356)&gt;0,1,IF(COUNTIF(Настройки!$C$17:$C$26,F356)&gt;0,2,IF(COUNTIF(Настройки!$D$17:$D$26,F356)&gt;0,3,0))))</f>
        <v/>
      </c>
      <c r="I356">
        <f>IF(AND(ISNUMBER(A356),ISNUMBER(B356)),A356*1000+B356,"")</f>
        <v/>
      </c>
      <c r="J356">
        <f>IF(I356="","",IF(COUNTIF(I$2:I356,I356)=1,MAX(J$1:J355)+1,""))</f>
        <v/>
      </c>
    </row>
    <row r="357">
      <c r="A357">
        <f>IFERROR(--SUBSTITUTE(SUBSTITUTE(TRIM(INDEX(INDIRECT("'Выгрузка'!A357:Z357"),Настройки!$B$7)),",","."),".",MID(1/2,2,1)),"")</f>
        <v/>
      </c>
      <c r="B357">
        <f>IFERROR(--SUBSTITUTE(SUBSTITUTE(TRIM(INDEX(INDIRECT("'Выгрузка'!A357:Z357"),Настройки!$B$9)),",","."),".",MID(1/2,2,1)),"")</f>
        <v/>
      </c>
      <c r="C357">
        <f>TRIM(INDEX(INDIRECT("'Выгрузка'!A357:Z357"),Настройки!$B$8)&amp;"")</f>
        <v/>
      </c>
      <c r="D357">
        <f>IFERROR(--SUBSTITUTE(SUBSTITUTE(TRIM(INDEX(INDIRECT("'Выгрузка'!A357:Z357"),Настройки!$B$10)),",","."),".",MID(1/2,2,1)),"")</f>
        <v/>
      </c>
      <c r="E357">
        <f>IFERROR(--SUBSTITUTE(SUBSTITUTE(TRIM(INDEX(INDIRECT("'Выгрузка'!A357:Z357"),Настройки!$B$11)),",","."),".",MID(1/2,2,1)),"")</f>
        <v/>
      </c>
      <c r="F357">
        <f>TRIM(INDEX(INDIRECT("'Выгрузка'!A357:Z357"),Настройки!$B$12)&amp;"")</f>
        <v/>
      </c>
      <c r="G357">
        <f>IF(F357="",0,IF(TRIM(INDEX(INDIRECT("'Выгрузка'!A357:Z357"),Настройки!$B$13)&amp;"")="",1,IFERROR(--SUBSTITUTE(SUBSTITUTE(TRIM(INDEX(INDIRECT("'Выгрузка'!A357:Z357"),Настройки!$B$13)),",","."),".",MID(1/2,2,1)),"")))</f>
        <v/>
      </c>
      <c r="H357">
        <f>IF(F357="",0,IF(COUNTIF(Настройки!$B$17:$B$26,F357)&gt;0,1,IF(COUNTIF(Настройки!$C$17:$C$26,F357)&gt;0,2,IF(COUNTIF(Настройки!$D$17:$D$26,F357)&gt;0,3,0))))</f>
        <v/>
      </c>
      <c r="I357">
        <f>IF(AND(ISNUMBER(A357),ISNUMBER(B357)),A357*1000+B357,"")</f>
        <v/>
      </c>
      <c r="J357">
        <f>IF(I357="","",IF(COUNTIF(I$2:I357,I357)=1,MAX(J$1:J356)+1,""))</f>
        <v/>
      </c>
    </row>
    <row r="358">
      <c r="A358">
        <f>IFERROR(--SUBSTITUTE(SUBSTITUTE(TRIM(INDEX(INDIRECT("'Выгрузка'!A358:Z358"),Настройки!$B$7)),",","."),".",MID(1/2,2,1)),"")</f>
        <v/>
      </c>
      <c r="B358">
        <f>IFERROR(--SUBSTITUTE(SUBSTITUTE(TRIM(INDEX(INDIRECT("'Выгрузка'!A358:Z358"),Настройки!$B$9)),",","."),".",MID(1/2,2,1)),"")</f>
        <v/>
      </c>
      <c r="C358">
        <f>TRIM(INDEX(INDIRECT("'Выгрузка'!A358:Z358"),Настройки!$B$8)&amp;"")</f>
        <v/>
      </c>
      <c r="D358">
        <f>IFERROR(--SUBSTITUTE(SUBSTITUTE(TRIM(INDEX(INDIRECT("'Выгрузка'!A358:Z358"),Настройки!$B$10)),",","."),".",MID(1/2,2,1)),"")</f>
        <v/>
      </c>
      <c r="E358">
        <f>IFERROR(--SUBSTITUTE(SUBSTITUTE(TRIM(INDEX(INDIRECT("'Выгрузка'!A358:Z358"),Настройки!$B$11)),",","."),".",MID(1/2,2,1)),"")</f>
        <v/>
      </c>
      <c r="F358">
        <f>TRIM(INDEX(INDIRECT("'Выгрузка'!A358:Z358"),Настройки!$B$12)&amp;"")</f>
        <v/>
      </c>
      <c r="G358">
        <f>IF(F358="",0,IF(TRIM(INDEX(INDIRECT("'Выгрузка'!A358:Z358"),Настройки!$B$13)&amp;"")="",1,IFERROR(--SUBSTITUTE(SUBSTITUTE(TRIM(INDEX(INDIRECT("'Выгрузка'!A358:Z358"),Настройки!$B$13)),",","."),".",MID(1/2,2,1)),"")))</f>
        <v/>
      </c>
      <c r="H358">
        <f>IF(F358="",0,IF(COUNTIF(Настройки!$B$17:$B$26,F358)&gt;0,1,IF(COUNTIF(Настройки!$C$17:$C$26,F358)&gt;0,2,IF(COUNTIF(Настройки!$D$17:$D$26,F358)&gt;0,3,0))))</f>
        <v/>
      </c>
      <c r="I358">
        <f>IF(AND(ISNUMBER(A358),ISNUMBER(B358)),A358*1000+B358,"")</f>
        <v/>
      </c>
      <c r="J358">
        <f>IF(I358="","",IF(COUNTIF(I$2:I358,I358)=1,MAX(J$1:J357)+1,""))</f>
        <v/>
      </c>
    </row>
    <row r="359">
      <c r="A359">
        <f>IFERROR(--SUBSTITUTE(SUBSTITUTE(TRIM(INDEX(INDIRECT("'Выгрузка'!A359:Z359"),Настройки!$B$7)),",","."),".",MID(1/2,2,1)),"")</f>
        <v/>
      </c>
      <c r="B359">
        <f>IFERROR(--SUBSTITUTE(SUBSTITUTE(TRIM(INDEX(INDIRECT("'Выгрузка'!A359:Z359"),Настройки!$B$9)),",","."),".",MID(1/2,2,1)),"")</f>
        <v/>
      </c>
      <c r="C359">
        <f>TRIM(INDEX(INDIRECT("'Выгрузка'!A359:Z359"),Настройки!$B$8)&amp;"")</f>
        <v/>
      </c>
      <c r="D359">
        <f>IFERROR(--SUBSTITUTE(SUBSTITUTE(TRIM(INDEX(INDIRECT("'Выгрузка'!A359:Z359"),Настройки!$B$10)),",","."),".",MID(1/2,2,1)),"")</f>
        <v/>
      </c>
      <c r="E359">
        <f>IFERROR(--SUBSTITUTE(SUBSTITUTE(TRIM(INDEX(INDIRECT("'Выгрузка'!A359:Z359"),Настройки!$B$11)),",","."),".",MID(1/2,2,1)),"")</f>
        <v/>
      </c>
      <c r="F359">
        <f>TRIM(INDEX(INDIRECT("'Выгрузка'!A359:Z359"),Настройки!$B$12)&amp;"")</f>
        <v/>
      </c>
      <c r="G359">
        <f>IF(F359="",0,IF(TRIM(INDEX(INDIRECT("'Выгрузка'!A359:Z359"),Настройки!$B$13)&amp;"")="",1,IFERROR(--SUBSTITUTE(SUBSTITUTE(TRIM(INDEX(INDIRECT("'Выгрузка'!A359:Z359"),Настройки!$B$13)),",","."),".",MID(1/2,2,1)),"")))</f>
        <v/>
      </c>
      <c r="H359">
        <f>IF(F359="",0,IF(COUNTIF(Настройки!$B$17:$B$26,F359)&gt;0,1,IF(COUNTIF(Настройки!$C$17:$C$26,F359)&gt;0,2,IF(COUNTIF(Настройки!$D$17:$D$26,F359)&gt;0,3,0))))</f>
        <v/>
      </c>
      <c r="I359">
        <f>IF(AND(ISNUMBER(A359),ISNUMBER(B359)),A359*1000+B359,"")</f>
        <v/>
      </c>
      <c r="J359">
        <f>IF(I359="","",IF(COUNTIF(I$2:I359,I359)=1,MAX(J$1:J358)+1,""))</f>
        <v/>
      </c>
    </row>
    <row r="360">
      <c r="A360">
        <f>IFERROR(--SUBSTITUTE(SUBSTITUTE(TRIM(INDEX(INDIRECT("'Выгрузка'!A360:Z360"),Настройки!$B$7)),",","."),".",MID(1/2,2,1)),"")</f>
        <v/>
      </c>
      <c r="B360">
        <f>IFERROR(--SUBSTITUTE(SUBSTITUTE(TRIM(INDEX(INDIRECT("'Выгрузка'!A360:Z360"),Настройки!$B$9)),",","."),".",MID(1/2,2,1)),"")</f>
        <v/>
      </c>
      <c r="C360">
        <f>TRIM(INDEX(INDIRECT("'Выгрузка'!A360:Z360"),Настройки!$B$8)&amp;"")</f>
        <v/>
      </c>
      <c r="D360">
        <f>IFERROR(--SUBSTITUTE(SUBSTITUTE(TRIM(INDEX(INDIRECT("'Выгрузка'!A360:Z360"),Настройки!$B$10)),",","."),".",MID(1/2,2,1)),"")</f>
        <v/>
      </c>
      <c r="E360">
        <f>IFERROR(--SUBSTITUTE(SUBSTITUTE(TRIM(INDEX(INDIRECT("'Выгрузка'!A360:Z360"),Настройки!$B$11)),",","."),".",MID(1/2,2,1)),"")</f>
        <v/>
      </c>
      <c r="F360">
        <f>TRIM(INDEX(INDIRECT("'Выгрузка'!A360:Z360"),Настройки!$B$12)&amp;"")</f>
        <v/>
      </c>
      <c r="G360">
        <f>IF(F360="",0,IF(TRIM(INDEX(INDIRECT("'Выгрузка'!A360:Z360"),Настройки!$B$13)&amp;"")="",1,IFERROR(--SUBSTITUTE(SUBSTITUTE(TRIM(INDEX(INDIRECT("'Выгрузка'!A360:Z360"),Настройки!$B$13)),",","."),".",MID(1/2,2,1)),"")))</f>
        <v/>
      </c>
      <c r="H360">
        <f>IF(F360="",0,IF(COUNTIF(Настройки!$B$17:$B$26,F360)&gt;0,1,IF(COUNTIF(Настройки!$C$17:$C$26,F360)&gt;0,2,IF(COUNTIF(Настройки!$D$17:$D$26,F360)&gt;0,3,0))))</f>
        <v/>
      </c>
      <c r="I360">
        <f>IF(AND(ISNUMBER(A360),ISNUMBER(B360)),A360*1000+B360,"")</f>
        <v/>
      </c>
      <c r="J360">
        <f>IF(I360="","",IF(COUNTIF(I$2:I360,I360)=1,MAX(J$1:J359)+1,""))</f>
        <v/>
      </c>
    </row>
    <row r="361">
      <c r="A361">
        <f>IFERROR(--SUBSTITUTE(SUBSTITUTE(TRIM(INDEX(INDIRECT("'Выгрузка'!A361:Z361"),Настройки!$B$7)),",","."),".",MID(1/2,2,1)),"")</f>
        <v/>
      </c>
      <c r="B361">
        <f>IFERROR(--SUBSTITUTE(SUBSTITUTE(TRIM(INDEX(INDIRECT("'Выгрузка'!A361:Z361"),Настройки!$B$9)),",","."),".",MID(1/2,2,1)),"")</f>
        <v/>
      </c>
      <c r="C361">
        <f>TRIM(INDEX(INDIRECT("'Выгрузка'!A361:Z361"),Настройки!$B$8)&amp;"")</f>
        <v/>
      </c>
      <c r="D361">
        <f>IFERROR(--SUBSTITUTE(SUBSTITUTE(TRIM(INDEX(INDIRECT("'Выгрузка'!A361:Z361"),Настройки!$B$10)),",","."),".",MID(1/2,2,1)),"")</f>
        <v/>
      </c>
      <c r="E361">
        <f>IFERROR(--SUBSTITUTE(SUBSTITUTE(TRIM(INDEX(INDIRECT("'Выгрузка'!A361:Z361"),Настройки!$B$11)),",","."),".",MID(1/2,2,1)),"")</f>
        <v/>
      </c>
      <c r="F361">
        <f>TRIM(INDEX(INDIRECT("'Выгрузка'!A361:Z361"),Настройки!$B$12)&amp;"")</f>
        <v/>
      </c>
      <c r="G361">
        <f>IF(F361="",0,IF(TRIM(INDEX(INDIRECT("'Выгрузка'!A361:Z361"),Настройки!$B$13)&amp;"")="",1,IFERROR(--SUBSTITUTE(SUBSTITUTE(TRIM(INDEX(INDIRECT("'Выгрузка'!A361:Z361"),Настройки!$B$13)),",","."),".",MID(1/2,2,1)),"")))</f>
        <v/>
      </c>
      <c r="H361">
        <f>IF(F361="",0,IF(COUNTIF(Настройки!$B$17:$B$26,F361)&gt;0,1,IF(COUNTIF(Настройки!$C$17:$C$26,F361)&gt;0,2,IF(COUNTIF(Настройки!$D$17:$D$26,F361)&gt;0,3,0))))</f>
        <v/>
      </c>
      <c r="I361">
        <f>IF(AND(ISNUMBER(A361),ISNUMBER(B361)),A361*1000+B361,"")</f>
        <v/>
      </c>
      <c r="J361">
        <f>IF(I361="","",IF(COUNTIF(I$2:I361,I361)=1,MAX(J$1:J360)+1,""))</f>
        <v/>
      </c>
    </row>
    <row r="362">
      <c r="A362">
        <f>IFERROR(--SUBSTITUTE(SUBSTITUTE(TRIM(INDEX(INDIRECT("'Выгрузка'!A362:Z362"),Настройки!$B$7)),",","."),".",MID(1/2,2,1)),"")</f>
        <v/>
      </c>
      <c r="B362">
        <f>IFERROR(--SUBSTITUTE(SUBSTITUTE(TRIM(INDEX(INDIRECT("'Выгрузка'!A362:Z362"),Настройки!$B$9)),",","."),".",MID(1/2,2,1)),"")</f>
        <v/>
      </c>
      <c r="C362">
        <f>TRIM(INDEX(INDIRECT("'Выгрузка'!A362:Z362"),Настройки!$B$8)&amp;"")</f>
        <v/>
      </c>
      <c r="D362">
        <f>IFERROR(--SUBSTITUTE(SUBSTITUTE(TRIM(INDEX(INDIRECT("'Выгрузка'!A362:Z362"),Настройки!$B$10)),",","."),".",MID(1/2,2,1)),"")</f>
        <v/>
      </c>
      <c r="E362">
        <f>IFERROR(--SUBSTITUTE(SUBSTITUTE(TRIM(INDEX(INDIRECT("'Выгрузка'!A362:Z362"),Настройки!$B$11)),",","."),".",MID(1/2,2,1)),"")</f>
        <v/>
      </c>
      <c r="F362">
        <f>TRIM(INDEX(INDIRECT("'Выгрузка'!A362:Z362"),Настройки!$B$12)&amp;"")</f>
        <v/>
      </c>
      <c r="G362">
        <f>IF(F362="",0,IF(TRIM(INDEX(INDIRECT("'Выгрузка'!A362:Z362"),Настройки!$B$13)&amp;"")="",1,IFERROR(--SUBSTITUTE(SUBSTITUTE(TRIM(INDEX(INDIRECT("'Выгрузка'!A362:Z362"),Настройки!$B$13)),",","."),".",MID(1/2,2,1)),"")))</f>
        <v/>
      </c>
      <c r="H362">
        <f>IF(F362="",0,IF(COUNTIF(Настройки!$B$17:$B$26,F362)&gt;0,1,IF(COUNTIF(Настройки!$C$17:$C$26,F362)&gt;0,2,IF(COUNTIF(Настройки!$D$17:$D$26,F362)&gt;0,3,0))))</f>
        <v/>
      </c>
      <c r="I362">
        <f>IF(AND(ISNUMBER(A362),ISNUMBER(B362)),A362*1000+B362,"")</f>
        <v/>
      </c>
      <c r="J362">
        <f>IF(I362="","",IF(COUNTIF(I$2:I362,I362)=1,MAX(J$1:J361)+1,""))</f>
        <v/>
      </c>
    </row>
    <row r="363">
      <c r="A363">
        <f>IFERROR(--SUBSTITUTE(SUBSTITUTE(TRIM(INDEX(INDIRECT("'Выгрузка'!A363:Z363"),Настройки!$B$7)),",","."),".",MID(1/2,2,1)),"")</f>
        <v/>
      </c>
      <c r="B363">
        <f>IFERROR(--SUBSTITUTE(SUBSTITUTE(TRIM(INDEX(INDIRECT("'Выгрузка'!A363:Z363"),Настройки!$B$9)),",","."),".",MID(1/2,2,1)),"")</f>
        <v/>
      </c>
      <c r="C363">
        <f>TRIM(INDEX(INDIRECT("'Выгрузка'!A363:Z363"),Настройки!$B$8)&amp;"")</f>
        <v/>
      </c>
      <c r="D363">
        <f>IFERROR(--SUBSTITUTE(SUBSTITUTE(TRIM(INDEX(INDIRECT("'Выгрузка'!A363:Z363"),Настройки!$B$10)),",","."),".",MID(1/2,2,1)),"")</f>
        <v/>
      </c>
      <c r="E363">
        <f>IFERROR(--SUBSTITUTE(SUBSTITUTE(TRIM(INDEX(INDIRECT("'Выгрузка'!A363:Z363"),Настройки!$B$11)),",","."),".",MID(1/2,2,1)),"")</f>
        <v/>
      </c>
      <c r="F363">
        <f>TRIM(INDEX(INDIRECT("'Выгрузка'!A363:Z363"),Настройки!$B$12)&amp;"")</f>
        <v/>
      </c>
      <c r="G363">
        <f>IF(F363="",0,IF(TRIM(INDEX(INDIRECT("'Выгрузка'!A363:Z363"),Настройки!$B$13)&amp;"")="",1,IFERROR(--SUBSTITUTE(SUBSTITUTE(TRIM(INDEX(INDIRECT("'Выгрузка'!A363:Z363"),Настройки!$B$13)),",","."),".",MID(1/2,2,1)),"")))</f>
        <v/>
      </c>
      <c r="H363">
        <f>IF(F363="",0,IF(COUNTIF(Настройки!$B$17:$B$26,F363)&gt;0,1,IF(COUNTIF(Настройки!$C$17:$C$26,F363)&gt;0,2,IF(COUNTIF(Настройки!$D$17:$D$26,F363)&gt;0,3,0))))</f>
        <v/>
      </c>
      <c r="I363">
        <f>IF(AND(ISNUMBER(A363),ISNUMBER(B363)),A363*1000+B363,"")</f>
        <v/>
      </c>
      <c r="J363">
        <f>IF(I363="","",IF(COUNTIF(I$2:I363,I363)=1,MAX(J$1:J362)+1,""))</f>
        <v/>
      </c>
    </row>
    <row r="364">
      <c r="A364">
        <f>IFERROR(--SUBSTITUTE(SUBSTITUTE(TRIM(INDEX(INDIRECT("'Выгрузка'!A364:Z364"),Настройки!$B$7)),",","."),".",MID(1/2,2,1)),"")</f>
        <v/>
      </c>
      <c r="B364">
        <f>IFERROR(--SUBSTITUTE(SUBSTITUTE(TRIM(INDEX(INDIRECT("'Выгрузка'!A364:Z364"),Настройки!$B$9)),",","."),".",MID(1/2,2,1)),"")</f>
        <v/>
      </c>
      <c r="C364">
        <f>TRIM(INDEX(INDIRECT("'Выгрузка'!A364:Z364"),Настройки!$B$8)&amp;"")</f>
        <v/>
      </c>
      <c r="D364">
        <f>IFERROR(--SUBSTITUTE(SUBSTITUTE(TRIM(INDEX(INDIRECT("'Выгрузка'!A364:Z364"),Настройки!$B$10)),",","."),".",MID(1/2,2,1)),"")</f>
        <v/>
      </c>
      <c r="E364">
        <f>IFERROR(--SUBSTITUTE(SUBSTITUTE(TRIM(INDEX(INDIRECT("'Выгрузка'!A364:Z364"),Настройки!$B$11)),",","."),".",MID(1/2,2,1)),"")</f>
        <v/>
      </c>
      <c r="F364">
        <f>TRIM(INDEX(INDIRECT("'Выгрузка'!A364:Z364"),Настройки!$B$12)&amp;"")</f>
        <v/>
      </c>
      <c r="G364">
        <f>IF(F364="",0,IF(TRIM(INDEX(INDIRECT("'Выгрузка'!A364:Z364"),Настройки!$B$13)&amp;"")="",1,IFERROR(--SUBSTITUTE(SUBSTITUTE(TRIM(INDEX(INDIRECT("'Выгрузка'!A364:Z364"),Настройки!$B$13)),",","."),".",MID(1/2,2,1)),"")))</f>
        <v/>
      </c>
      <c r="H364">
        <f>IF(F364="",0,IF(COUNTIF(Настройки!$B$17:$B$26,F364)&gt;0,1,IF(COUNTIF(Настройки!$C$17:$C$26,F364)&gt;0,2,IF(COUNTIF(Настройки!$D$17:$D$26,F364)&gt;0,3,0))))</f>
        <v/>
      </c>
      <c r="I364">
        <f>IF(AND(ISNUMBER(A364),ISNUMBER(B364)),A364*1000+B364,"")</f>
        <v/>
      </c>
      <c r="J364">
        <f>IF(I364="","",IF(COUNTIF(I$2:I364,I364)=1,MAX(J$1:J363)+1,""))</f>
        <v/>
      </c>
    </row>
    <row r="365">
      <c r="A365">
        <f>IFERROR(--SUBSTITUTE(SUBSTITUTE(TRIM(INDEX(INDIRECT("'Выгрузка'!A365:Z365"),Настройки!$B$7)),",","."),".",MID(1/2,2,1)),"")</f>
        <v/>
      </c>
      <c r="B365">
        <f>IFERROR(--SUBSTITUTE(SUBSTITUTE(TRIM(INDEX(INDIRECT("'Выгрузка'!A365:Z365"),Настройки!$B$9)),",","."),".",MID(1/2,2,1)),"")</f>
        <v/>
      </c>
      <c r="C365">
        <f>TRIM(INDEX(INDIRECT("'Выгрузка'!A365:Z365"),Настройки!$B$8)&amp;"")</f>
        <v/>
      </c>
      <c r="D365">
        <f>IFERROR(--SUBSTITUTE(SUBSTITUTE(TRIM(INDEX(INDIRECT("'Выгрузка'!A365:Z365"),Настройки!$B$10)),",","."),".",MID(1/2,2,1)),"")</f>
        <v/>
      </c>
      <c r="E365">
        <f>IFERROR(--SUBSTITUTE(SUBSTITUTE(TRIM(INDEX(INDIRECT("'Выгрузка'!A365:Z365"),Настройки!$B$11)),",","."),".",MID(1/2,2,1)),"")</f>
        <v/>
      </c>
      <c r="F365">
        <f>TRIM(INDEX(INDIRECT("'Выгрузка'!A365:Z365"),Настройки!$B$12)&amp;"")</f>
        <v/>
      </c>
      <c r="G365">
        <f>IF(F365="",0,IF(TRIM(INDEX(INDIRECT("'Выгрузка'!A365:Z365"),Настройки!$B$13)&amp;"")="",1,IFERROR(--SUBSTITUTE(SUBSTITUTE(TRIM(INDEX(INDIRECT("'Выгрузка'!A365:Z365"),Настройки!$B$13)),",","."),".",MID(1/2,2,1)),"")))</f>
        <v/>
      </c>
      <c r="H365">
        <f>IF(F365="",0,IF(COUNTIF(Настройки!$B$17:$B$26,F365)&gt;0,1,IF(COUNTIF(Настройки!$C$17:$C$26,F365)&gt;0,2,IF(COUNTIF(Настройки!$D$17:$D$26,F365)&gt;0,3,0))))</f>
        <v/>
      </c>
      <c r="I365">
        <f>IF(AND(ISNUMBER(A365),ISNUMBER(B365)),A365*1000+B365,"")</f>
        <v/>
      </c>
      <c r="J365">
        <f>IF(I365="","",IF(COUNTIF(I$2:I365,I365)=1,MAX(J$1:J364)+1,""))</f>
        <v/>
      </c>
    </row>
    <row r="366">
      <c r="A366">
        <f>IFERROR(--SUBSTITUTE(SUBSTITUTE(TRIM(INDEX(INDIRECT("'Выгрузка'!A366:Z366"),Настройки!$B$7)),",","."),".",MID(1/2,2,1)),"")</f>
        <v/>
      </c>
      <c r="B366">
        <f>IFERROR(--SUBSTITUTE(SUBSTITUTE(TRIM(INDEX(INDIRECT("'Выгрузка'!A366:Z366"),Настройки!$B$9)),",","."),".",MID(1/2,2,1)),"")</f>
        <v/>
      </c>
      <c r="C366">
        <f>TRIM(INDEX(INDIRECT("'Выгрузка'!A366:Z366"),Настройки!$B$8)&amp;"")</f>
        <v/>
      </c>
      <c r="D366">
        <f>IFERROR(--SUBSTITUTE(SUBSTITUTE(TRIM(INDEX(INDIRECT("'Выгрузка'!A366:Z366"),Настройки!$B$10)),",","."),".",MID(1/2,2,1)),"")</f>
        <v/>
      </c>
      <c r="E366">
        <f>IFERROR(--SUBSTITUTE(SUBSTITUTE(TRIM(INDEX(INDIRECT("'Выгрузка'!A366:Z366"),Настройки!$B$11)),",","."),".",MID(1/2,2,1)),"")</f>
        <v/>
      </c>
      <c r="F366">
        <f>TRIM(INDEX(INDIRECT("'Выгрузка'!A366:Z366"),Настройки!$B$12)&amp;"")</f>
        <v/>
      </c>
      <c r="G366">
        <f>IF(F366="",0,IF(TRIM(INDEX(INDIRECT("'Выгрузка'!A366:Z366"),Настройки!$B$13)&amp;"")="",1,IFERROR(--SUBSTITUTE(SUBSTITUTE(TRIM(INDEX(INDIRECT("'Выгрузка'!A366:Z366"),Настройки!$B$13)),",","."),".",MID(1/2,2,1)),"")))</f>
        <v/>
      </c>
      <c r="H366">
        <f>IF(F366="",0,IF(COUNTIF(Настройки!$B$17:$B$26,F366)&gt;0,1,IF(COUNTIF(Настройки!$C$17:$C$26,F366)&gt;0,2,IF(COUNTIF(Настройки!$D$17:$D$26,F366)&gt;0,3,0))))</f>
        <v/>
      </c>
      <c r="I366">
        <f>IF(AND(ISNUMBER(A366),ISNUMBER(B366)),A366*1000+B366,"")</f>
        <v/>
      </c>
      <c r="J366">
        <f>IF(I366="","",IF(COUNTIF(I$2:I366,I366)=1,MAX(J$1:J365)+1,""))</f>
        <v/>
      </c>
    </row>
    <row r="367">
      <c r="A367">
        <f>IFERROR(--SUBSTITUTE(SUBSTITUTE(TRIM(INDEX(INDIRECT("'Выгрузка'!A367:Z367"),Настройки!$B$7)),",","."),".",MID(1/2,2,1)),"")</f>
        <v/>
      </c>
      <c r="B367">
        <f>IFERROR(--SUBSTITUTE(SUBSTITUTE(TRIM(INDEX(INDIRECT("'Выгрузка'!A367:Z367"),Настройки!$B$9)),",","."),".",MID(1/2,2,1)),"")</f>
        <v/>
      </c>
      <c r="C367">
        <f>TRIM(INDEX(INDIRECT("'Выгрузка'!A367:Z367"),Настройки!$B$8)&amp;"")</f>
        <v/>
      </c>
      <c r="D367">
        <f>IFERROR(--SUBSTITUTE(SUBSTITUTE(TRIM(INDEX(INDIRECT("'Выгрузка'!A367:Z367"),Настройки!$B$10)),",","."),".",MID(1/2,2,1)),"")</f>
        <v/>
      </c>
      <c r="E367">
        <f>IFERROR(--SUBSTITUTE(SUBSTITUTE(TRIM(INDEX(INDIRECT("'Выгрузка'!A367:Z367"),Настройки!$B$11)),",","."),".",MID(1/2,2,1)),"")</f>
        <v/>
      </c>
      <c r="F367">
        <f>TRIM(INDEX(INDIRECT("'Выгрузка'!A367:Z367"),Настройки!$B$12)&amp;"")</f>
        <v/>
      </c>
      <c r="G367">
        <f>IF(F367="",0,IF(TRIM(INDEX(INDIRECT("'Выгрузка'!A367:Z367"),Настройки!$B$13)&amp;"")="",1,IFERROR(--SUBSTITUTE(SUBSTITUTE(TRIM(INDEX(INDIRECT("'Выгрузка'!A367:Z367"),Настройки!$B$13)),",","."),".",MID(1/2,2,1)),"")))</f>
        <v/>
      </c>
      <c r="H367">
        <f>IF(F367="",0,IF(COUNTIF(Настройки!$B$17:$B$26,F367)&gt;0,1,IF(COUNTIF(Настройки!$C$17:$C$26,F367)&gt;0,2,IF(COUNTIF(Настройки!$D$17:$D$26,F367)&gt;0,3,0))))</f>
        <v/>
      </c>
      <c r="I367">
        <f>IF(AND(ISNUMBER(A367),ISNUMBER(B367)),A367*1000+B367,"")</f>
        <v/>
      </c>
      <c r="J367">
        <f>IF(I367="","",IF(COUNTIF(I$2:I367,I367)=1,MAX(J$1:J366)+1,""))</f>
        <v/>
      </c>
    </row>
    <row r="368">
      <c r="A368">
        <f>IFERROR(--SUBSTITUTE(SUBSTITUTE(TRIM(INDEX(INDIRECT("'Выгрузка'!A368:Z368"),Настройки!$B$7)),",","."),".",MID(1/2,2,1)),"")</f>
        <v/>
      </c>
      <c r="B368">
        <f>IFERROR(--SUBSTITUTE(SUBSTITUTE(TRIM(INDEX(INDIRECT("'Выгрузка'!A368:Z368"),Настройки!$B$9)),",","."),".",MID(1/2,2,1)),"")</f>
        <v/>
      </c>
      <c r="C368">
        <f>TRIM(INDEX(INDIRECT("'Выгрузка'!A368:Z368"),Настройки!$B$8)&amp;"")</f>
        <v/>
      </c>
      <c r="D368">
        <f>IFERROR(--SUBSTITUTE(SUBSTITUTE(TRIM(INDEX(INDIRECT("'Выгрузка'!A368:Z368"),Настройки!$B$10)),",","."),".",MID(1/2,2,1)),"")</f>
        <v/>
      </c>
      <c r="E368">
        <f>IFERROR(--SUBSTITUTE(SUBSTITUTE(TRIM(INDEX(INDIRECT("'Выгрузка'!A368:Z368"),Настройки!$B$11)),",","."),".",MID(1/2,2,1)),"")</f>
        <v/>
      </c>
      <c r="F368">
        <f>TRIM(INDEX(INDIRECT("'Выгрузка'!A368:Z368"),Настройки!$B$12)&amp;"")</f>
        <v/>
      </c>
      <c r="G368">
        <f>IF(F368="",0,IF(TRIM(INDEX(INDIRECT("'Выгрузка'!A368:Z368"),Настройки!$B$13)&amp;"")="",1,IFERROR(--SUBSTITUTE(SUBSTITUTE(TRIM(INDEX(INDIRECT("'Выгрузка'!A368:Z368"),Настройки!$B$13)),",","."),".",MID(1/2,2,1)),"")))</f>
        <v/>
      </c>
      <c r="H368">
        <f>IF(F368="",0,IF(COUNTIF(Настройки!$B$17:$B$26,F368)&gt;0,1,IF(COUNTIF(Настройки!$C$17:$C$26,F368)&gt;0,2,IF(COUNTIF(Настройки!$D$17:$D$26,F368)&gt;0,3,0))))</f>
        <v/>
      </c>
      <c r="I368">
        <f>IF(AND(ISNUMBER(A368),ISNUMBER(B368)),A368*1000+B368,"")</f>
        <v/>
      </c>
      <c r="J368">
        <f>IF(I368="","",IF(COUNTIF(I$2:I368,I368)=1,MAX(J$1:J367)+1,""))</f>
        <v/>
      </c>
    </row>
    <row r="369">
      <c r="A369">
        <f>IFERROR(--SUBSTITUTE(SUBSTITUTE(TRIM(INDEX(INDIRECT("'Выгрузка'!A369:Z369"),Настройки!$B$7)),",","."),".",MID(1/2,2,1)),"")</f>
        <v/>
      </c>
      <c r="B369">
        <f>IFERROR(--SUBSTITUTE(SUBSTITUTE(TRIM(INDEX(INDIRECT("'Выгрузка'!A369:Z369"),Настройки!$B$9)),",","."),".",MID(1/2,2,1)),"")</f>
        <v/>
      </c>
      <c r="C369">
        <f>TRIM(INDEX(INDIRECT("'Выгрузка'!A369:Z369"),Настройки!$B$8)&amp;"")</f>
        <v/>
      </c>
      <c r="D369">
        <f>IFERROR(--SUBSTITUTE(SUBSTITUTE(TRIM(INDEX(INDIRECT("'Выгрузка'!A369:Z369"),Настройки!$B$10)),",","."),".",MID(1/2,2,1)),"")</f>
        <v/>
      </c>
      <c r="E369">
        <f>IFERROR(--SUBSTITUTE(SUBSTITUTE(TRIM(INDEX(INDIRECT("'Выгрузка'!A369:Z369"),Настройки!$B$11)),",","."),".",MID(1/2,2,1)),"")</f>
        <v/>
      </c>
      <c r="F369">
        <f>TRIM(INDEX(INDIRECT("'Выгрузка'!A369:Z369"),Настройки!$B$12)&amp;"")</f>
        <v/>
      </c>
      <c r="G369">
        <f>IF(F369="",0,IF(TRIM(INDEX(INDIRECT("'Выгрузка'!A369:Z369"),Настройки!$B$13)&amp;"")="",1,IFERROR(--SUBSTITUTE(SUBSTITUTE(TRIM(INDEX(INDIRECT("'Выгрузка'!A369:Z369"),Настройки!$B$13)),",","."),".",MID(1/2,2,1)),"")))</f>
        <v/>
      </c>
      <c r="H369">
        <f>IF(F369="",0,IF(COUNTIF(Настройки!$B$17:$B$26,F369)&gt;0,1,IF(COUNTIF(Настройки!$C$17:$C$26,F369)&gt;0,2,IF(COUNTIF(Настройки!$D$17:$D$26,F369)&gt;0,3,0))))</f>
        <v/>
      </c>
      <c r="I369">
        <f>IF(AND(ISNUMBER(A369),ISNUMBER(B369)),A369*1000+B369,"")</f>
        <v/>
      </c>
      <c r="J369">
        <f>IF(I369="","",IF(COUNTIF(I$2:I369,I369)=1,MAX(J$1:J368)+1,""))</f>
        <v/>
      </c>
    </row>
    <row r="370">
      <c r="A370">
        <f>IFERROR(--SUBSTITUTE(SUBSTITUTE(TRIM(INDEX(INDIRECT("'Выгрузка'!A370:Z370"),Настройки!$B$7)),",","."),".",MID(1/2,2,1)),"")</f>
        <v/>
      </c>
      <c r="B370">
        <f>IFERROR(--SUBSTITUTE(SUBSTITUTE(TRIM(INDEX(INDIRECT("'Выгрузка'!A370:Z370"),Настройки!$B$9)),",","."),".",MID(1/2,2,1)),"")</f>
        <v/>
      </c>
      <c r="C370">
        <f>TRIM(INDEX(INDIRECT("'Выгрузка'!A370:Z370"),Настройки!$B$8)&amp;"")</f>
        <v/>
      </c>
      <c r="D370">
        <f>IFERROR(--SUBSTITUTE(SUBSTITUTE(TRIM(INDEX(INDIRECT("'Выгрузка'!A370:Z370"),Настройки!$B$10)),",","."),".",MID(1/2,2,1)),"")</f>
        <v/>
      </c>
      <c r="E370">
        <f>IFERROR(--SUBSTITUTE(SUBSTITUTE(TRIM(INDEX(INDIRECT("'Выгрузка'!A370:Z370"),Настройки!$B$11)),",","."),".",MID(1/2,2,1)),"")</f>
        <v/>
      </c>
      <c r="F370">
        <f>TRIM(INDEX(INDIRECT("'Выгрузка'!A370:Z370"),Настройки!$B$12)&amp;"")</f>
        <v/>
      </c>
      <c r="G370">
        <f>IF(F370="",0,IF(TRIM(INDEX(INDIRECT("'Выгрузка'!A370:Z370"),Настройки!$B$13)&amp;"")="",1,IFERROR(--SUBSTITUTE(SUBSTITUTE(TRIM(INDEX(INDIRECT("'Выгрузка'!A370:Z370"),Настройки!$B$13)),",","."),".",MID(1/2,2,1)),"")))</f>
        <v/>
      </c>
      <c r="H370">
        <f>IF(F370="",0,IF(COUNTIF(Настройки!$B$17:$B$26,F370)&gt;0,1,IF(COUNTIF(Настройки!$C$17:$C$26,F370)&gt;0,2,IF(COUNTIF(Настройки!$D$17:$D$26,F370)&gt;0,3,0))))</f>
        <v/>
      </c>
      <c r="I370">
        <f>IF(AND(ISNUMBER(A370),ISNUMBER(B370)),A370*1000+B370,"")</f>
        <v/>
      </c>
      <c r="J370">
        <f>IF(I370="","",IF(COUNTIF(I$2:I370,I370)=1,MAX(J$1:J369)+1,""))</f>
        <v/>
      </c>
    </row>
    <row r="371">
      <c r="A371">
        <f>IFERROR(--SUBSTITUTE(SUBSTITUTE(TRIM(INDEX(INDIRECT("'Выгрузка'!A371:Z371"),Настройки!$B$7)),",","."),".",MID(1/2,2,1)),"")</f>
        <v/>
      </c>
      <c r="B371">
        <f>IFERROR(--SUBSTITUTE(SUBSTITUTE(TRIM(INDEX(INDIRECT("'Выгрузка'!A371:Z371"),Настройки!$B$9)),",","."),".",MID(1/2,2,1)),"")</f>
        <v/>
      </c>
      <c r="C371">
        <f>TRIM(INDEX(INDIRECT("'Выгрузка'!A371:Z371"),Настройки!$B$8)&amp;"")</f>
        <v/>
      </c>
      <c r="D371">
        <f>IFERROR(--SUBSTITUTE(SUBSTITUTE(TRIM(INDEX(INDIRECT("'Выгрузка'!A371:Z371"),Настройки!$B$10)),",","."),".",MID(1/2,2,1)),"")</f>
        <v/>
      </c>
      <c r="E371">
        <f>IFERROR(--SUBSTITUTE(SUBSTITUTE(TRIM(INDEX(INDIRECT("'Выгрузка'!A371:Z371"),Настройки!$B$11)),",","."),".",MID(1/2,2,1)),"")</f>
        <v/>
      </c>
      <c r="F371">
        <f>TRIM(INDEX(INDIRECT("'Выгрузка'!A371:Z371"),Настройки!$B$12)&amp;"")</f>
        <v/>
      </c>
      <c r="G371">
        <f>IF(F371="",0,IF(TRIM(INDEX(INDIRECT("'Выгрузка'!A371:Z371"),Настройки!$B$13)&amp;"")="",1,IFERROR(--SUBSTITUTE(SUBSTITUTE(TRIM(INDEX(INDIRECT("'Выгрузка'!A371:Z371"),Настройки!$B$13)),",","."),".",MID(1/2,2,1)),"")))</f>
        <v/>
      </c>
      <c r="H371">
        <f>IF(F371="",0,IF(COUNTIF(Настройки!$B$17:$B$26,F371)&gt;0,1,IF(COUNTIF(Настройки!$C$17:$C$26,F371)&gt;0,2,IF(COUNTIF(Настройки!$D$17:$D$26,F371)&gt;0,3,0))))</f>
        <v/>
      </c>
      <c r="I371">
        <f>IF(AND(ISNUMBER(A371),ISNUMBER(B371)),A371*1000+B371,"")</f>
        <v/>
      </c>
      <c r="J371">
        <f>IF(I371="","",IF(COUNTIF(I$2:I371,I371)=1,MAX(J$1:J370)+1,""))</f>
        <v/>
      </c>
    </row>
    <row r="372">
      <c r="A372">
        <f>IFERROR(--SUBSTITUTE(SUBSTITUTE(TRIM(INDEX(INDIRECT("'Выгрузка'!A372:Z372"),Настройки!$B$7)),",","."),".",MID(1/2,2,1)),"")</f>
        <v/>
      </c>
      <c r="B372">
        <f>IFERROR(--SUBSTITUTE(SUBSTITUTE(TRIM(INDEX(INDIRECT("'Выгрузка'!A372:Z372"),Настройки!$B$9)),",","."),".",MID(1/2,2,1)),"")</f>
        <v/>
      </c>
      <c r="C372">
        <f>TRIM(INDEX(INDIRECT("'Выгрузка'!A372:Z372"),Настройки!$B$8)&amp;"")</f>
        <v/>
      </c>
      <c r="D372">
        <f>IFERROR(--SUBSTITUTE(SUBSTITUTE(TRIM(INDEX(INDIRECT("'Выгрузка'!A372:Z372"),Настройки!$B$10)),",","."),".",MID(1/2,2,1)),"")</f>
        <v/>
      </c>
      <c r="E372">
        <f>IFERROR(--SUBSTITUTE(SUBSTITUTE(TRIM(INDEX(INDIRECT("'Выгрузка'!A372:Z372"),Настройки!$B$11)),",","."),".",MID(1/2,2,1)),"")</f>
        <v/>
      </c>
      <c r="F372">
        <f>TRIM(INDEX(INDIRECT("'Выгрузка'!A372:Z372"),Настройки!$B$12)&amp;"")</f>
        <v/>
      </c>
      <c r="G372">
        <f>IF(F372="",0,IF(TRIM(INDEX(INDIRECT("'Выгрузка'!A372:Z372"),Настройки!$B$13)&amp;"")="",1,IFERROR(--SUBSTITUTE(SUBSTITUTE(TRIM(INDEX(INDIRECT("'Выгрузка'!A372:Z372"),Настройки!$B$13)),",","."),".",MID(1/2,2,1)),"")))</f>
        <v/>
      </c>
      <c r="H372">
        <f>IF(F372="",0,IF(COUNTIF(Настройки!$B$17:$B$26,F372)&gt;0,1,IF(COUNTIF(Настройки!$C$17:$C$26,F372)&gt;0,2,IF(COUNTIF(Настройки!$D$17:$D$26,F372)&gt;0,3,0))))</f>
        <v/>
      </c>
      <c r="I372">
        <f>IF(AND(ISNUMBER(A372),ISNUMBER(B372)),A372*1000+B372,"")</f>
        <v/>
      </c>
      <c r="J372">
        <f>IF(I372="","",IF(COUNTIF(I$2:I372,I372)=1,MAX(J$1:J371)+1,""))</f>
        <v/>
      </c>
    </row>
    <row r="373">
      <c r="A373">
        <f>IFERROR(--SUBSTITUTE(SUBSTITUTE(TRIM(INDEX(INDIRECT("'Выгрузка'!A373:Z373"),Настройки!$B$7)),",","."),".",MID(1/2,2,1)),"")</f>
        <v/>
      </c>
      <c r="B373">
        <f>IFERROR(--SUBSTITUTE(SUBSTITUTE(TRIM(INDEX(INDIRECT("'Выгрузка'!A373:Z373"),Настройки!$B$9)),",","."),".",MID(1/2,2,1)),"")</f>
        <v/>
      </c>
      <c r="C373">
        <f>TRIM(INDEX(INDIRECT("'Выгрузка'!A373:Z373"),Настройки!$B$8)&amp;"")</f>
        <v/>
      </c>
      <c r="D373">
        <f>IFERROR(--SUBSTITUTE(SUBSTITUTE(TRIM(INDEX(INDIRECT("'Выгрузка'!A373:Z373"),Настройки!$B$10)),",","."),".",MID(1/2,2,1)),"")</f>
        <v/>
      </c>
      <c r="E373">
        <f>IFERROR(--SUBSTITUTE(SUBSTITUTE(TRIM(INDEX(INDIRECT("'Выгрузка'!A373:Z373"),Настройки!$B$11)),",","."),".",MID(1/2,2,1)),"")</f>
        <v/>
      </c>
      <c r="F373">
        <f>TRIM(INDEX(INDIRECT("'Выгрузка'!A373:Z373"),Настройки!$B$12)&amp;"")</f>
        <v/>
      </c>
      <c r="G373">
        <f>IF(F373="",0,IF(TRIM(INDEX(INDIRECT("'Выгрузка'!A373:Z373"),Настройки!$B$13)&amp;"")="",1,IFERROR(--SUBSTITUTE(SUBSTITUTE(TRIM(INDEX(INDIRECT("'Выгрузка'!A373:Z373"),Настройки!$B$13)),",","."),".",MID(1/2,2,1)),"")))</f>
        <v/>
      </c>
      <c r="H373">
        <f>IF(F373="",0,IF(COUNTIF(Настройки!$B$17:$B$26,F373)&gt;0,1,IF(COUNTIF(Настройки!$C$17:$C$26,F373)&gt;0,2,IF(COUNTIF(Настройки!$D$17:$D$26,F373)&gt;0,3,0))))</f>
        <v/>
      </c>
      <c r="I373">
        <f>IF(AND(ISNUMBER(A373),ISNUMBER(B373)),A373*1000+B373,"")</f>
        <v/>
      </c>
      <c r="J373">
        <f>IF(I373="","",IF(COUNTIF(I$2:I373,I373)=1,MAX(J$1:J372)+1,""))</f>
        <v/>
      </c>
    </row>
    <row r="374">
      <c r="A374">
        <f>IFERROR(--SUBSTITUTE(SUBSTITUTE(TRIM(INDEX(INDIRECT("'Выгрузка'!A374:Z374"),Настройки!$B$7)),",","."),".",MID(1/2,2,1)),"")</f>
        <v/>
      </c>
      <c r="B374">
        <f>IFERROR(--SUBSTITUTE(SUBSTITUTE(TRIM(INDEX(INDIRECT("'Выгрузка'!A374:Z374"),Настройки!$B$9)),",","."),".",MID(1/2,2,1)),"")</f>
        <v/>
      </c>
      <c r="C374">
        <f>TRIM(INDEX(INDIRECT("'Выгрузка'!A374:Z374"),Настройки!$B$8)&amp;"")</f>
        <v/>
      </c>
      <c r="D374">
        <f>IFERROR(--SUBSTITUTE(SUBSTITUTE(TRIM(INDEX(INDIRECT("'Выгрузка'!A374:Z374"),Настройки!$B$10)),",","."),".",MID(1/2,2,1)),"")</f>
        <v/>
      </c>
      <c r="E374">
        <f>IFERROR(--SUBSTITUTE(SUBSTITUTE(TRIM(INDEX(INDIRECT("'Выгрузка'!A374:Z374"),Настройки!$B$11)),",","."),".",MID(1/2,2,1)),"")</f>
        <v/>
      </c>
      <c r="F374">
        <f>TRIM(INDEX(INDIRECT("'Выгрузка'!A374:Z374"),Настройки!$B$12)&amp;"")</f>
        <v/>
      </c>
      <c r="G374">
        <f>IF(F374="",0,IF(TRIM(INDEX(INDIRECT("'Выгрузка'!A374:Z374"),Настройки!$B$13)&amp;"")="",1,IFERROR(--SUBSTITUTE(SUBSTITUTE(TRIM(INDEX(INDIRECT("'Выгрузка'!A374:Z374"),Настройки!$B$13)),",","."),".",MID(1/2,2,1)),"")))</f>
        <v/>
      </c>
      <c r="H374">
        <f>IF(F374="",0,IF(COUNTIF(Настройки!$B$17:$B$26,F374)&gt;0,1,IF(COUNTIF(Настройки!$C$17:$C$26,F374)&gt;0,2,IF(COUNTIF(Настройки!$D$17:$D$26,F374)&gt;0,3,0))))</f>
        <v/>
      </c>
      <c r="I374">
        <f>IF(AND(ISNUMBER(A374),ISNUMBER(B374)),A374*1000+B374,"")</f>
        <v/>
      </c>
      <c r="J374">
        <f>IF(I374="","",IF(COUNTIF(I$2:I374,I374)=1,MAX(J$1:J373)+1,""))</f>
        <v/>
      </c>
    </row>
    <row r="375">
      <c r="A375">
        <f>IFERROR(--SUBSTITUTE(SUBSTITUTE(TRIM(INDEX(INDIRECT("'Выгрузка'!A375:Z375"),Настройки!$B$7)),",","."),".",MID(1/2,2,1)),"")</f>
        <v/>
      </c>
      <c r="B375">
        <f>IFERROR(--SUBSTITUTE(SUBSTITUTE(TRIM(INDEX(INDIRECT("'Выгрузка'!A375:Z375"),Настройки!$B$9)),",","."),".",MID(1/2,2,1)),"")</f>
        <v/>
      </c>
      <c r="C375">
        <f>TRIM(INDEX(INDIRECT("'Выгрузка'!A375:Z375"),Настройки!$B$8)&amp;"")</f>
        <v/>
      </c>
      <c r="D375">
        <f>IFERROR(--SUBSTITUTE(SUBSTITUTE(TRIM(INDEX(INDIRECT("'Выгрузка'!A375:Z375"),Настройки!$B$10)),",","."),".",MID(1/2,2,1)),"")</f>
        <v/>
      </c>
      <c r="E375">
        <f>IFERROR(--SUBSTITUTE(SUBSTITUTE(TRIM(INDEX(INDIRECT("'Выгрузка'!A375:Z375"),Настройки!$B$11)),",","."),".",MID(1/2,2,1)),"")</f>
        <v/>
      </c>
      <c r="F375">
        <f>TRIM(INDEX(INDIRECT("'Выгрузка'!A375:Z375"),Настройки!$B$12)&amp;"")</f>
        <v/>
      </c>
      <c r="G375">
        <f>IF(F375="",0,IF(TRIM(INDEX(INDIRECT("'Выгрузка'!A375:Z375"),Настройки!$B$13)&amp;"")="",1,IFERROR(--SUBSTITUTE(SUBSTITUTE(TRIM(INDEX(INDIRECT("'Выгрузка'!A375:Z375"),Настройки!$B$13)),",","."),".",MID(1/2,2,1)),"")))</f>
        <v/>
      </c>
      <c r="H375">
        <f>IF(F375="",0,IF(COUNTIF(Настройки!$B$17:$B$26,F375)&gt;0,1,IF(COUNTIF(Настройки!$C$17:$C$26,F375)&gt;0,2,IF(COUNTIF(Настройки!$D$17:$D$26,F375)&gt;0,3,0))))</f>
        <v/>
      </c>
      <c r="I375">
        <f>IF(AND(ISNUMBER(A375),ISNUMBER(B375)),A375*1000+B375,"")</f>
        <v/>
      </c>
      <c r="J375">
        <f>IF(I375="","",IF(COUNTIF(I$2:I375,I375)=1,MAX(J$1:J374)+1,""))</f>
        <v/>
      </c>
    </row>
    <row r="376">
      <c r="A376">
        <f>IFERROR(--SUBSTITUTE(SUBSTITUTE(TRIM(INDEX(INDIRECT("'Выгрузка'!A376:Z376"),Настройки!$B$7)),",","."),".",MID(1/2,2,1)),"")</f>
        <v/>
      </c>
      <c r="B376">
        <f>IFERROR(--SUBSTITUTE(SUBSTITUTE(TRIM(INDEX(INDIRECT("'Выгрузка'!A376:Z376"),Настройки!$B$9)),",","."),".",MID(1/2,2,1)),"")</f>
        <v/>
      </c>
      <c r="C376">
        <f>TRIM(INDEX(INDIRECT("'Выгрузка'!A376:Z376"),Настройки!$B$8)&amp;"")</f>
        <v/>
      </c>
      <c r="D376">
        <f>IFERROR(--SUBSTITUTE(SUBSTITUTE(TRIM(INDEX(INDIRECT("'Выгрузка'!A376:Z376"),Настройки!$B$10)),",","."),".",MID(1/2,2,1)),"")</f>
        <v/>
      </c>
      <c r="E376">
        <f>IFERROR(--SUBSTITUTE(SUBSTITUTE(TRIM(INDEX(INDIRECT("'Выгрузка'!A376:Z376"),Настройки!$B$11)),",","."),".",MID(1/2,2,1)),"")</f>
        <v/>
      </c>
      <c r="F376">
        <f>TRIM(INDEX(INDIRECT("'Выгрузка'!A376:Z376"),Настройки!$B$12)&amp;"")</f>
        <v/>
      </c>
      <c r="G376">
        <f>IF(F376="",0,IF(TRIM(INDEX(INDIRECT("'Выгрузка'!A376:Z376"),Настройки!$B$13)&amp;"")="",1,IFERROR(--SUBSTITUTE(SUBSTITUTE(TRIM(INDEX(INDIRECT("'Выгрузка'!A376:Z376"),Настройки!$B$13)),",","."),".",MID(1/2,2,1)),"")))</f>
        <v/>
      </c>
      <c r="H376">
        <f>IF(F376="",0,IF(COUNTIF(Настройки!$B$17:$B$26,F376)&gt;0,1,IF(COUNTIF(Настройки!$C$17:$C$26,F376)&gt;0,2,IF(COUNTIF(Настройки!$D$17:$D$26,F376)&gt;0,3,0))))</f>
        <v/>
      </c>
      <c r="I376">
        <f>IF(AND(ISNUMBER(A376),ISNUMBER(B376)),A376*1000+B376,"")</f>
        <v/>
      </c>
      <c r="J376">
        <f>IF(I376="","",IF(COUNTIF(I$2:I376,I376)=1,MAX(J$1:J375)+1,""))</f>
        <v/>
      </c>
    </row>
    <row r="377">
      <c r="A377">
        <f>IFERROR(--SUBSTITUTE(SUBSTITUTE(TRIM(INDEX(INDIRECT("'Выгрузка'!A377:Z377"),Настройки!$B$7)),",","."),".",MID(1/2,2,1)),"")</f>
        <v/>
      </c>
      <c r="B377">
        <f>IFERROR(--SUBSTITUTE(SUBSTITUTE(TRIM(INDEX(INDIRECT("'Выгрузка'!A377:Z377"),Настройки!$B$9)),",","."),".",MID(1/2,2,1)),"")</f>
        <v/>
      </c>
      <c r="C377">
        <f>TRIM(INDEX(INDIRECT("'Выгрузка'!A377:Z377"),Настройки!$B$8)&amp;"")</f>
        <v/>
      </c>
      <c r="D377">
        <f>IFERROR(--SUBSTITUTE(SUBSTITUTE(TRIM(INDEX(INDIRECT("'Выгрузка'!A377:Z377"),Настройки!$B$10)),",","."),".",MID(1/2,2,1)),"")</f>
        <v/>
      </c>
      <c r="E377">
        <f>IFERROR(--SUBSTITUTE(SUBSTITUTE(TRIM(INDEX(INDIRECT("'Выгрузка'!A377:Z377"),Настройки!$B$11)),",","."),".",MID(1/2,2,1)),"")</f>
        <v/>
      </c>
      <c r="F377">
        <f>TRIM(INDEX(INDIRECT("'Выгрузка'!A377:Z377"),Настройки!$B$12)&amp;"")</f>
        <v/>
      </c>
      <c r="G377">
        <f>IF(F377="",0,IF(TRIM(INDEX(INDIRECT("'Выгрузка'!A377:Z377"),Настройки!$B$13)&amp;"")="",1,IFERROR(--SUBSTITUTE(SUBSTITUTE(TRIM(INDEX(INDIRECT("'Выгрузка'!A377:Z377"),Настройки!$B$13)),",","."),".",MID(1/2,2,1)),"")))</f>
        <v/>
      </c>
      <c r="H377">
        <f>IF(F377="",0,IF(COUNTIF(Настройки!$B$17:$B$26,F377)&gt;0,1,IF(COUNTIF(Настройки!$C$17:$C$26,F377)&gt;0,2,IF(COUNTIF(Настройки!$D$17:$D$26,F377)&gt;0,3,0))))</f>
        <v/>
      </c>
      <c r="I377">
        <f>IF(AND(ISNUMBER(A377),ISNUMBER(B377)),A377*1000+B377,"")</f>
        <v/>
      </c>
      <c r="J377">
        <f>IF(I377="","",IF(COUNTIF(I$2:I377,I377)=1,MAX(J$1:J376)+1,""))</f>
        <v/>
      </c>
    </row>
    <row r="378">
      <c r="A378">
        <f>IFERROR(--SUBSTITUTE(SUBSTITUTE(TRIM(INDEX(INDIRECT("'Выгрузка'!A378:Z378"),Настройки!$B$7)),",","."),".",MID(1/2,2,1)),"")</f>
        <v/>
      </c>
      <c r="B378">
        <f>IFERROR(--SUBSTITUTE(SUBSTITUTE(TRIM(INDEX(INDIRECT("'Выгрузка'!A378:Z378"),Настройки!$B$9)),",","."),".",MID(1/2,2,1)),"")</f>
        <v/>
      </c>
      <c r="C378">
        <f>TRIM(INDEX(INDIRECT("'Выгрузка'!A378:Z378"),Настройки!$B$8)&amp;"")</f>
        <v/>
      </c>
      <c r="D378">
        <f>IFERROR(--SUBSTITUTE(SUBSTITUTE(TRIM(INDEX(INDIRECT("'Выгрузка'!A378:Z378"),Настройки!$B$10)),",","."),".",MID(1/2,2,1)),"")</f>
        <v/>
      </c>
      <c r="E378">
        <f>IFERROR(--SUBSTITUTE(SUBSTITUTE(TRIM(INDEX(INDIRECT("'Выгрузка'!A378:Z378"),Настройки!$B$11)),",","."),".",MID(1/2,2,1)),"")</f>
        <v/>
      </c>
      <c r="F378">
        <f>TRIM(INDEX(INDIRECT("'Выгрузка'!A378:Z378"),Настройки!$B$12)&amp;"")</f>
        <v/>
      </c>
      <c r="G378">
        <f>IF(F378="",0,IF(TRIM(INDEX(INDIRECT("'Выгрузка'!A378:Z378"),Настройки!$B$13)&amp;"")="",1,IFERROR(--SUBSTITUTE(SUBSTITUTE(TRIM(INDEX(INDIRECT("'Выгрузка'!A378:Z378"),Настройки!$B$13)),",","."),".",MID(1/2,2,1)),"")))</f>
        <v/>
      </c>
      <c r="H378">
        <f>IF(F378="",0,IF(COUNTIF(Настройки!$B$17:$B$26,F378)&gt;0,1,IF(COUNTIF(Настройки!$C$17:$C$26,F378)&gt;0,2,IF(COUNTIF(Настройки!$D$17:$D$26,F378)&gt;0,3,0))))</f>
        <v/>
      </c>
      <c r="I378">
        <f>IF(AND(ISNUMBER(A378),ISNUMBER(B378)),A378*1000+B378,"")</f>
        <v/>
      </c>
      <c r="J378">
        <f>IF(I378="","",IF(COUNTIF(I$2:I378,I378)=1,MAX(J$1:J377)+1,""))</f>
        <v/>
      </c>
    </row>
    <row r="379">
      <c r="A379">
        <f>IFERROR(--SUBSTITUTE(SUBSTITUTE(TRIM(INDEX(INDIRECT("'Выгрузка'!A379:Z379"),Настройки!$B$7)),",","."),".",MID(1/2,2,1)),"")</f>
        <v/>
      </c>
      <c r="B379">
        <f>IFERROR(--SUBSTITUTE(SUBSTITUTE(TRIM(INDEX(INDIRECT("'Выгрузка'!A379:Z379"),Настройки!$B$9)),",","."),".",MID(1/2,2,1)),"")</f>
        <v/>
      </c>
      <c r="C379">
        <f>TRIM(INDEX(INDIRECT("'Выгрузка'!A379:Z379"),Настройки!$B$8)&amp;"")</f>
        <v/>
      </c>
      <c r="D379">
        <f>IFERROR(--SUBSTITUTE(SUBSTITUTE(TRIM(INDEX(INDIRECT("'Выгрузка'!A379:Z379"),Настройки!$B$10)),",","."),".",MID(1/2,2,1)),"")</f>
        <v/>
      </c>
      <c r="E379">
        <f>IFERROR(--SUBSTITUTE(SUBSTITUTE(TRIM(INDEX(INDIRECT("'Выгрузка'!A379:Z379"),Настройки!$B$11)),",","."),".",MID(1/2,2,1)),"")</f>
        <v/>
      </c>
      <c r="F379">
        <f>TRIM(INDEX(INDIRECT("'Выгрузка'!A379:Z379"),Настройки!$B$12)&amp;"")</f>
        <v/>
      </c>
      <c r="G379">
        <f>IF(F379="",0,IF(TRIM(INDEX(INDIRECT("'Выгрузка'!A379:Z379"),Настройки!$B$13)&amp;"")="",1,IFERROR(--SUBSTITUTE(SUBSTITUTE(TRIM(INDEX(INDIRECT("'Выгрузка'!A379:Z379"),Настройки!$B$13)),",","."),".",MID(1/2,2,1)),"")))</f>
        <v/>
      </c>
      <c r="H379">
        <f>IF(F379="",0,IF(COUNTIF(Настройки!$B$17:$B$26,F379)&gt;0,1,IF(COUNTIF(Настройки!$C$17:$C$26,F379)&gt;0,2,IF(COUNTIF(Настройки!$D$17:$D$26,F379)&gt;0,3,0))))</f>
        <v/>
      </c>
      <c r="I379">
        <f>IF(AND(ISNUMBER(A379),ISNUMBER(B379)),A379*1000+B379,"")</f>
        <v/>
      </c>
      <c r="J379">
        <f>IF(I379="","",IF(COUNTIF(I$2:I379,I379)=1,MAX(J$1:J378)+1,""))</f>
        <v/>
      </c>
    </row>
    <row r="380">
      <c r="A380">
        <f>IFERROR(--SUBSTITUTE(SUBSTITUTE(TRIM(INDEX(INDIRECT("'Выгрузка'!A380:Z380"),Настройки!$B$7)),",","."),".",MID(1/2,2,1)),"")</f>
        <v/>
      </c>
      <c r="B380">
        <f>IFERROR(--SUBSTITUTE(SUBSTITUTE(TRIM(INDEX(INDIRECT("'Выгрузка'!A380:Z380"),Настройки!$B$9)),",","."),".",MID(1/2,2,1)),"")</f>
        <v/>
      </c>
      <c r="C380">
        <f>TRIM(INDEX(INDIRECT("'Выгрузка'!A380:Z380"),Настройки!$B$8)&amp;"")</f>
        <v/>
      </c>
      <c r="D380">
        <f>IFERROR(--SUBSTITUTE(SUBSTITUTE(TRIM(INDEX(INDIRECT("'Выгрузка'!A380:Z380"),Настройки!$B$10)),",","."),".",MID(1/2,2,1)),"")</f>
        <v/>
      </c>
      <c r="E380">
        <f>IFERROR(--SUBSTITUTE(SUBSTITUTE(TRIM(INDEX(INDIRECT("'Выгрузка'!A380:Z380"),Настройки!$B$11)),",","."),".",MID(1/2,2,1)),"")</f>
        <v/>
      </c>
      <c r="F380">
        <f>TRIM(INDEX(INDIRECT("'Выгрузка'!A380:Z380"),Настройки!$B$12)&amp;"")</f>
        <v/>
      </c>
      <c r="G380">
        <f>IF(F380="",0,IF(TRIM(INDEX(INDIRECT("'Выгрузка'!A380:Z380"),Настройки!$B$13)&amp;"")="",1,IFERROR(--SUBSTITUTE(SUBSTITUTE(TRIM(INDEX(INDIRECT("'Выгрузка'!A380:Z380"),Настройки!$B$13)),",","."),".",MID(1/2,2,1)),"")))</f>
        <v/>
      </c>
      <c r="H380">
        <f>IF(F380="",0,IF(COUNTIF(Настройки!$B$17:$B$26,F380)&gt;0,1,IF(COUNTIF(Настройки!$C$17:$C$26,F380)&gt;0,2,IF(COUNTIF(Настройки!$D$17:$D$26,F380)&gt;0,3,0))))</f>
        <v/>
      </c>
      <c r="I380">
        <f>IF(AND(ISNUMBER(A380),ISNUMBER(B380)),A380*1000+B380,"")</f>
        <v/>
      </c>
      <c r="J380">
        <f>IF(I380="","",IF(COUNTIF(I$2:I380,I380)=1,MAX(J$1:J379)+1,""))</f>
        <v/>
      </c>
    </row>
    <row r="381">
      <c r="A381">
        <f>IFERROR(--SUBSTITUTE(SUBSTITUTE(TRIM(INDEX(INDIRECT("'Выгрузка'!A381:Z381"),Настройки!$B$7)),",","."),".",MID(1/2,2,1)),"")</f>
        <v/>
      </c>
      <c r="B381">
        <f>IFERROR(--SUBSTITUTE(SUBSTITUTE(TRIM(INDEX(INDIRECT("'Выгрузка'!A381:Z381"),Настройки!$B$9)),",","."),".",MID(1/2,2,1)),"")</f>
        <v/>
      </c>
      <c r="C381">
        <f>TRIM(INDEX(INDIRECT("'Выгрузка'!A381:Z381"),Настройки!$B$8)&amp;"")</f>
        <v/>
      </c>
      <c r="D381">
        <f>IFERROR(--SUBSTITUTE(SUBSTITUTE(TRIM(INDEX(INDIRECT("'Выгрузка'!A381:Z381"),Настройки!$B$10)),",","."),".",MID(1/2,2,1)),"")</f>
        <v/>
      </c>
      <c r="E381">
        <f>IFERROR(--SUBSTITUTE(SUBSTITUTE(TRIM(INDEX(INDIRECT("'Выгрузка'!A381:Z381"),Настройки!$B$11)),",","."),".",MID(1/2,2,1)),"")</f>
        <v/>
      </c>
      <c r="F381">
        <f>TRIM(INDEX(INDIRECT("'Выгрузка'!A381:Z381"),Настройки!$B$12)&amp;"")</f>
        <v/>
      </c>
      <c r="G381">
        <f>IF(F381="",0,IF(TRIM(INDEX(INDIRECT("'Выгрузка'!A381:Z381"),Настройки!$B$13)&amp;"")="",1,IFERROR(--SUBSTITUTE(SUBSTITUTE(TRIM(INDEX(INDIRECT("'Выгрузка'!A381:Z381"),Настройки!$B$13)),",","."),".",MID(1/2,2,1)),"")))</f>
        <v/>
      </c>
      <c r="H381">
        <f>IF(F381="",0,IF(COUNTIF(Настройки!$B$17:$B$26,F381)&gt;0,1,IF(COUNTIF(Настройки!$C$17:$C$26,F381)&gt;0,2,IF(COUNTIF(Настройки!$D$17:$D$26,F381)&gt;0,3,0))))</f>
        <v/>
      </c>
      <c r="I381">
        <f>IF(AND(ISNUMBER(A381),ISNUMBER(B381)),A381*1000+B381,"")</f>
        <v/>
      </c>
      <c r="J381">
        <f>IF(I381="","",IF(COUNTIF(I$2:I381,I381)=1,MAX(J$1:J380)+1,""))</f>
        <v/>
      </c>
    </row>
    <row r="382">
      <c r="A382">
        <f>IFERROR(--SUBSTITUTE(SUBSTITUTE(TRIM(INDEX(INDIRECT("'Выгрузка'!A382:Z382"),Настройки!$B$7)),",","."),".",MID(1/2,2,1)),"")</f>
        <v/>
      </c>
      <c r="B382">
        <f>IFERROR(--SUBSTITUTE(SUBSTITUTE(TRIM(INDEX(INDIRECT("'Выгрузка'!A382:Z382"),Настройки!$B$9)),",","."),".",MID(1/2,2,1)),"")</f>
        <v/>
      </c>
      <c r="C382">
        <f>TRIM(INDEX(INDIRECT("'Выгрузка'!A382:Z382"),Настройки!$B$8)&amp;"")</f>
        <v/>
      </c>
      <c r="D382">
        <f>IFERROR(--SUBSTITUTE(SUBSTITUTE(TRIM(INDEX(INDIRECT("'Выгрузка'!A382:Z382"),Настройки!$B$10)),",","."),".",MID(1/2,2,1)),"")</f>
        <v/>
      </c>
      <c r="E382">
        <f>IFERROR(--SUBSTITUTE(SUBSTITUTE(TRIM(INDEX(INDIRECT("'Выгрузка'!A382:Z382"),Настройки!$B$11)),",","."),".",MID(1/2,2,1)),"")</f>
        <v/>
      </c>
      <c r="F382">
        <f>TRIM(INDEX(INDIRECT("'Выгрузка'!A382:Z382"),Настройки!$B$12)&amp;"")</f>
        <v/>
      </c>
      <c r="G382">
        <f>IF(F382="",0,IF(TRIM(INDEX(INDIRECT("'Выгрузка'!A382:Z382"),Настройки!$B$13)&amp;"")="",1,IFERROR(--SUBSTITUTE(SUBSTITUTE(TRIM(INDEX(INDIRECT("'Выгрузка'!A382:Z382"),Настройки!$B$13)),",","."),".",MID(1/2,2,1)),"")))</f>
        <v/>
      </c>
      <c r="H382">
        <f>IF(F382="",0,IF(COUNTIF(Настройки!$B$17:$B$26,F382)&gt;0,1,IF(COUNTIF(Настройки!$C$17:$C$26,F382)&gt;0,2,IF(COUNTIF(Настройки!$D$17:$D$26,F382)&gt;0,3,0))))</f>
        <v/>
      </c>
      <c r="I382">
        <f>IF(AND(ISNUMBER(A382),ISNUMBER(B382)),A382*1000+B382,"")</f>
        <v/>
      </c>
      <c r="J382">
        <f>IF(I382="","",IF(COUNTIF(I$2:I382,I382)=1,MAX(J$1:J381)+1,""))</f>
        <v/>
      </c>
    </row>
    <row r="383">
      <c r="A383">
        <f>IFERROR(--SUBSTITUTE(SUBSTITUTE(TRIM(INDEX(INDIRECT("'Выгрузка'!A383:Z383"),Настройки!$B$7)),",","."),".",MID(1/2,2,1)),"")</f>
        <v/>
      </c>
      <c r="B383">
        <f>IFERROR(--SUBSTITUTE(SUBSTITUTE(TRIM(INDEX(INDIRECT("'Выгрузка'!A383:Z383"),Настройки!$B$9)),",","."),".",MID(1/2,2,1)),"")</f>
        <v/>
      </c>
      <c r="C383">
        <f>TRIM(INDEX(INDIRECT("'Выгрузка'!A383:Z383"),Настройки!$B$8)&amp;"")</f>
        <v/>
      </c>
      <c r="D383">
        <f>IFERROR(--SUBSTITUTE(SUBSTITUTE(TRIM(INDEX(INDIRECT("'Выгрузка'!A383:Z383"),Настройки!$B$10)),",","."),".",MID(1/2,2,1)),"")</f>
        <v/>
      </c>
      <c r="E383">
        <f>IFERROR(--SUBSTITUTE(SUBSTITUTE(TRIM(INDEX(INDIRECT("'Выгрузка'!A383:Z383"),Настройки!$B$11)),",","."),".",MID(1/2,2,1)),"")</f>
        <v/>
      </c>
      <c r="F383">
        <f>TRIM(INDEX(INDIRECT("'Выгрузка'!A383:Z383"),Настройки!$B$12)&amp;"")</f>
        <v/>
      </c>
      <c r="G383">
        <f>IF(F383="",0,IF(TRIM(INDEX(INDIRECT("'Выгрузка'!A383:Z383"),Настройки!$B$13)&amp;"")="",1,IFERROR(--SUBSTITUTE(SUBSTITUTE(TRIM(INDEX(INDIRECT("'Выгрузка'!A383:Z383"),Настройки!$B$13)),",","."),".",MID(1/2,2,1)),"")))</f>
        <v/>
      </c>
      <c r="H383">
        <f>IF(F383="",0,IF(COUNTIF(Настройки!$B$17:$B$26,F383)&gt;0,1,IF(COUNTIF(Настройки!$C$17:$C$26,F383)&gt;0,2,IF(COUNTIF(Настройки!$D$17:$D$26,F383)&gt;0,3,0))))</f>
        <v/>
      </c>
      <c r="I383">
        <f>IF(AND(ISNUMBER(A383),ISNUMBER(B383)),A383*1000+B383,"")</f>
        <v/>
      </c>
      <c r="J383">
        <f>IF(I383="","",IF(COUNTIF(I$2:I383,I383)=1,MAX(J$1:J382)+1,""))</f>
        <v/>
      </c>
    </row>
    <row r="384">
      <c r="A384">
        <f>IFERROR(--SUBSTITUTE(SUBSTITUTE(TRIM(INDEX(INDIRECT("'Выгрузка'!A384:Z384"),Настройки!$B$7)),",","."),".",MID(1/2,2,1)),"")</f>
        <v/>
      </c>
      <c r="B384">
        <f>IFERROR(--SUBSTITUTE(SUBSTITUTE(TRIM(INDEX(INDIRECT("'Выгрузка'!A384:Z384"),Настройки!$B$9)),",","."),".",MID(1/2,2,1)),"")</f>
        <v/>
      </c>
      <c r="C384">
        <f>TRIM(INDEX(INDIRECT("'Выгрузка'!A384:Z384"),Настройки!$B$8)&amp;"")</f>
        <v/>
      </c>
      <c r="D384">
        <f>IFERROR(--SUBSTITUTE(SUBSTITUTE(TRIM(INDEX(INDIRECT("'Выгрузка'!A384:Z384"),Настройки!$B$10)),",","."),".",MID(1/2,2,1)),"")</f>
        <v/>
      </c>
      <c r="E384">
        <f>IFERROR(--SUBSTITUTE(SUBSTITUTE(TRIM(INDEX(INDIRECT("'Выгрузка'!A384:Z384"),Настройки!$B$11)),",","."),".",MID(1/2,2,1)),"")</f>
        <v/>
      </c>
      <c r="F384">
        <f>TRIM(INDEX(INDIRECT("'Выгрузка'!A384:Z384"),Настройки!$B$12)&amp;"")</f>
        <v/>
      </c>
      <c r="G384">
        <f>IF(F384="",0,IF(TRIM(INDEX(INDIRECT("'Выгрузка'!A384:Z384"),Настройки!$B$13)&amp;"")="",1,IFERROR(--SUBSTITUTE(SUBSTITUTE(TRIM(INDEX(INDIRECT("'Выгрузка'!A384:Z384"),Настройки!$B$13)),",","."),".",MID(1/2,2,1)),"")))</f>
        <v/>
      </c>
      <c r="H384">
        <f>IF(F384="",0,IF(COUNTIF(Настройки!$B$17:$B$26,F384)&gt;0,1,IF(COUNTIF(Настройки!$C$17:$C$26,F384)&gt;0,2,IF(COUNTIF(Настройки!$D$17:$D$26,F384)&gt;0,3,0))))</f>
        <v/>
      </c>
      <c r="I384">
        <f>IF(AND(ISNUMBER(A384),ISNUMBER(B384)),A384*1000+B384,"")</f>
        <v/>
      </c>
      <c r="J384">
        <f>IF(I384="","",IF(COUNTIF(I$2:I384,I384)=1,MAX(J$1:J383)+1,""))</f>
        <v/>
      </c>
    </row>
    <row r="385">
      <c r="A385">
        <f>IFERROR(--SUBSTITUTE(SUBSTITUTE(TRIM(INDEX(INDIRECT("'Выгрузка'!A385:Z385"),Настройки!$B$7)),",","."),".",MID(1/2,2,1)),"")</f>
        <v/>
      </c>
      <c r="B385">
        <f>IFERROR(--SUBSTITUTE(SUBSTITUTE(TRIM(INDEX(INDIRECT("'Выгрузка'!A385:Z385"),Настройки!$B$9)),",","."),".",MID(1/2,2,1)),"")</f>
        <v/>
      </c>
      <c r="C385">
        <f>TRIM(INDEX(INDIRECT("'Выгрузка'!A385:Z385"),Настройки!$B$8)&amp;"")</f>
        <v/>
      </c>
      <c r="D385">
        <f>IFERROR(--SUBSTITUTE(SUBSTITUTE(TRIM(INDEX(INDIRECT("'Выгрузка'!A385:Z385"),Настройки!$B$10)),",","."),".",MID(1/2,2,1)),"")</f>
        <v/>
      </c>
      <c r="E385">
        <f>IFERROR(--SUBSTITUTE(SUBSTITUTE(TRIM(INDEX(INDIRECT("'Выгрузка'!A385:Z385"),Настройки!$B$11)),",","."),".",MID(1/2,2,1)),"")</f>
        <v/>
      </c>
      <c r="F385">
        <f>TRIM(INDEX(INDIRECT("'Выгрузка'!A385:Z385"),Настройки!$B$12)&amp;"")</f>
        <v/>
      </c>
      <c r="G385">
        <f>IF(F385="",0,IF(TRIM(INDEX(INDIRECT("'Выгрузка'!A385:Z385"),Настройки!$B$13)&amp;"")="",1,IFERROR(--SUBSTITUTE(SUBSTITUTE(TRIM(INDEX(INDIRECT("'Выгрузка'!A385:Z385"),Настройки!$B$13)),",","."),".",MID(1/2,2,1)),"")))</f>
        <v/>
      </c>
      <c r="H385">
        <f>IF(F385="",0,IF(COUNTIF(Настройки!$B$17:$B$26,F385)&gt;0,1,IF(COUNTIF(Настройки!$C$17:$C$26,F385)&gt;0,2,IF(COUNTIF(Настройки!$D$17:$D$26,F385)&gt;0,3,0))))</f>
        <v/>
      </c>
      <c r="I385">
        <f>IF(AND(ISNUMBER(A385),ISNUMBER(B385)),A385*1000+B385,"")</f>
        <v/>
      </c>
      <c r="J385">
        <f>IF(I385="","",IF(COUNTIF(I$2:I385,I385)=1,MAX(J$1:J384)+1,""))</f>
        <v/>
      </c>
    </row>
    <row r="386">
      <c r="A386">
        <f>IFERROR(--SUBSTITUTE(SUBSTITUTE(TRIM(INDEX(INDIRECT("'Выгрузка'!A386:Z386"),Настройки!$B$7)),",","."),".",MID(1/2,2,1)),"")</f>
        <v/>
      </c>
      <c r="B386">
        <f>IFERROR(--SUBSTITUTE(SUBSTITUTE(TRIM(INDEX(INDIRECT("'Выгрузка'!A386:Z386"),Настройки!$B$9)),",","."),".",MID(1/2,2,1)),"")</f>
        <v/>
      </c>
      <c r="C386">
        <f>TRIM(INDEX(INDIRECT("'Выгрузка'!A386:Z386"),Настройки!$B$8)&amp;"")</f>
        <v/>
      </c>
      <c r="D386">
        <f>IFERROR(--SUBSTITUTE(SUBSTITUTE(TRIM(INDEX(INDIRECT("'Выгрузка'!A386:Z386"),Настройки!$B$10)),",","."),".",MID(1/2,2,1)),"")</f>
        <v/>
      </c>
      <c r="E386">
        <f>IFERROR(--SUBSTITUTE(SUBSTITUTE(TRIM(INDEX(INDIRECT("'Выгрузка'!A386:Z386"),Настройки!$B$11)),",","."),".",MID(1/2,2,1)),"")</f>
        <v/>
      </c>
      <c r="F386">
        <f>TRIM(INDEX(INDIRECT("'Выгрузка'!A386:Z386"),Настройки!$B$12)&amp;"")</f>
        <v/>
      </c>
      <c r="G386">
        <f>IF(F386="",0,IF(TRIM(INDEX(INDIRECT("'Выгрузка'!A386:Z386"),Настройки!$B$13)&amp;"")="",1,IFERROR(--SUBSTITUTE(SUBSTITUTE(TRIM(INDEX(INDIRECT("'Выгрузка'!A386:Z386"),Настройки!$B$13)),",","."),".",MID(1/2,2,1)),"")))</f>
        <v/>
      </c>
      <c r="H386">
        <f>IF(F386="",0,IF(COUNTIF(Настройки!$B$17:$B$26,F386)&gt;0,1,IF(COUNTIF(Настройки!$C$17:$C$26,F386)&gt;0,2,IF(COUNTIF(Настройки!$D$17:$D$26,F386)&gt;0,3,0))))</f>
        <v/>
      </c>
      <c r="I386">
        <f>IF(AND(ISNUMBER(A386),ISNUMBER(B386)),A386*1000+B386,"")</f>
        <v/>
      </c>
      <c r="J386">
        <f>IF(I386="","",IF(COUNTIF(I$2:I386,I386)=1,MAX(J$1:J385)+1,""))</f>
        <v/>
      </c>
    </row>
    <row r="387">
      <c r="A387">
        <f>IFERROR(--SUBSTITUTE(SUBSTITUTE(TRIM(INDEX(INDIRECT("'Выгрузка'!A387:Z387"),Настройки!$B$7)),",","."),".",MID(1/2,2,1)),"")</f>
        <v/>
      </c>
      <c r="B387">
        <f>IFERROR(--SUBSTITUTE(SUBSTITUTE(TRIM(INDEX(INDIRECT("'Выгрузка'!A387:Z387"),Настройки!$B$9)),",","."),".",MID(1/2,2,1)),"")</f>
        <v/>
      </c>
      <c r="C387">
        <f>TRIM(INDEX(INDIRECT("'Выгрузка'!A387:Z387"),Настройки!$B$8)&amp;"")</f>
        <v/>
      </c>
      <c r="D387">
        <f>IFERROR(--SUBSTITUTE(SUBSTITUTE(TRIM(INDEX(INDIRECT("'Выгрузка'!A387:Z387"),Настройки!$B$10)),",","."),".",MID(1/2,2,1)),"")</f>
        <v/>
      </c>
      <c r="E387">
        <f>IFERROR(--SUBSTITUTE(SUBSTITUTE(TRIM(INDEX(INDIRECT("'Выгрузка'!A387:Z387"),Настройки!$B$11)),",","."),".",MID(1/2,2,1)),"")</f>
        <v/>
      </c>
      <c r="F387">
        <f>TRIM(INDEX(INDIRECT("'Выгрузка'!A387:Z387"),Настройки!$B$12)&amp;"")</f>
        <v/>
      </c>
      <c r="G387">
        <f>IF(F387="",0,IF(TRIM(INDEX(INDIRECT("'Выгрузка'!A387:Z387"),Настройки!$B$13)&amp;"")="",1,IFERROR(--SUBSTITUTE(SUBSTITUTE(TRIM(INDEX(INDIRECT("'Выгрузка'!A387:Z387"),Настройки!$B$13)),",","."),".",MID(1/2,2,1)),"")))</f>
        <v/>
      </c>
      <c r="H387">
        <f>IF(F387="",0,IF(COUNTIF(Настройки!$B$17:$B$26,F387)&gt;0,1,IF(COUNTIF(Настройки!$C$17:$C$26,F387)&gt;0,2,IF(COUNTIF(Настройки!$D$17:$D$26,F387)&gt;0,3,0))))</f>
        <v/>
      </c>
      <c r="I387">
        <f>IF(AND(ISNUMBER(A387),ISNUMBER(B387)),A387*1000+B387,"")</f>
        <v/>
      </c>
      <c r="J387">
        <f>IF(I387="","",IF(COUNTIF(I$2:I387,I387)=1,MAX(J$1:J386)+1,""))</f>
        <v/>
      </c>
    </row>
    <row r="388">
      <c r="A388">
        <f>IFERROR(--SUBSTITUTE(SUBSTITUTE(TRIM(INDEX(INDIRECT("'Выгрузка'!A388:Z388"),Настройки!$B$7)),",","."),".",MID(1/2,2,1)),"")</f>
        <v/>
      </c>
      <c r="B388">
        <f>IFERROR(--SUBSTITUTE(SUBSTITUTE(TRIM(INDEX(INDIRECT("'Выгрузка'!A388:Z388"),Настройки!$B$9)),",","."),".",MID(1/2,2,1)),"")</f>
        <v/>
      </c>
      <c r="C388">
        <f>TRIM(INDEX(INDIRECT("'Выгрузка'!A388:Z388"),Настройки!$B$8)&amp;"")</f>
        <v/>
      </c>
      <c r="D388">
        <f>IFERROR(--SUBSTITUTE(SUBSTITUTE(TRIM(INDEX(INDIRECT("'Выгрузка'!A388:Z388"),Настройки!$B$10)),",","."),".",MID(1/2,2,1)),"")</f>
        <v/>
      </c>
      <c r="E388">
        <f>IFERROR(--SUBSTITUTE(SUBSTITUTE(TRIM(INDEX(INDIRECT("'Выгрузка'!A388:Z388"),Настройки!$B$11)),",","."),".",MID(1/2,2,1)),"")</f>
        <v/>
      </c>
      <c r="F388">
        <f>TRIM(INDEX(INDIRECT("'Выгрузка'!A388:Z388"),Настройки!$B$12)&amp;"")</f>
        <v/>
      </c>
      <c r="G388">
        <f>IF(F388="",0,IF(TRIM(INDEX(INDIRECT("'Выгрузка'!A388:Z388"),Настройки!$B$13)&amp;"")="",1,IFERROR(--SUBSTITUTE(SUBSTITUTE(TRIM(INDEX(INDIRECT("'Выгрузка'!A388:Z388"),Настройки!$B$13)),",","."),".",MID(1/2,2,1)),"")))</f>
        <v/>
      </c>
      <c r="H388">
        <f>IF(F388="",0,IF(COUNTIF(Настройки!$B$17:$B$26,F388)&gt;0,1,IF(COUNTIF(Настройки!$C$17:$C$26,F388)&gt;0,2,IF(COUNTIF(Настройки!$D$17:$D$26,F388)&gt;0,3,0))))</f>
        <v/>
      </c>
      <c r="I388">
        <f>IF(AND(ISNUMBER(A388),ISNUMBER(B388)),A388*1000+B388,"")</f>
        <v/>
      </c>
      <c r="J388">
        <f>IF(I388="","",IF(COUNTIF(I$2:I388,I388)=1,MAX(J$1:J387)+1,""))</f>
        <v/>
      </c>
    </row>
    <row r="389">
      <c r="A389">
        <f>IFERROR(--SUBSTITUTE(SUBSTITUTE(TRIM(INDEX(INDIRECT("'Выгрузка'!A389:Z389"),Настройки!$B$7)),",","."),".",MID(1/2,2,1)),"")</f>
        <v/>
      </c>
      <c r="B389">
        <f>IFERROR(--SUBSTITUTE(SUBSTITUTE(TRIM(INDEX(INDIRECT("'Выгрузка'!A389:Z389"),Настройки!$B$9)),",","."),".",MID(1/2,2,1)),"")</f>
        <v/>
      </c>
      <c r="C389">
        <f>TRIM(INDEX(INDIRECT("'Выгрузка'!A389:Z389"),Настройки!$B$8)&amp;"")</f>
        <v/>
      </c>
      <c r="D389">
        <f>IFERROR(--SUBSTITUTE(SUBSTITUTE(TRIM(INDEX(INDIRECT("'Выгрузка'!A389:Z389"),Настройки!$B$10)),",","."),".",MID(1/2,2,1)),"")</f>
        <v/>
      </c>
      <c r="E389">
        <f>IFERROR(--SUBSTITUTE(SUBSTITUTE(TRIM(INDEX(INDIRECT("'Выгрузка'!A389:Z389"),Настройки!$B$11)),",","."),".",MID(1/2,2,1)),"")</f>
        <v/>
      </c>
      <c r="F389">
        <f>TRIM(INDEX(INDIRECT("'Выгрузка'!A389:Z389"),Настройки!$B$12)&amp;"")</f>
        <v/>
      </c>
      <c r="G389">
        <f>IF(F389="",0,IF(TRIM(INDEX(INDIRECT("'Выгрузка'!A389:Z389"),Настройки!$B$13)&amp;"")="",1,IFERROR(--SUBSTITUTE(SUBSTITUTE(TRIM(INDEX(INDIRECT("'Выгрузка'!A389:Z389"),Настройки!$B$13)),",","."),".",MID(1/2,2,1)),"")))</f>
        <v/>
      </c>
      <c r="H389">
        <f>IF(F389="",0,IF(COUNTIF(Настройки!$B$17:$B$26,F389)&gt;0,1,IF(COUNTIF(Настройки!$C$17:$C$26,F389)&gt;0,2,IF(COUNTIF(Настройки!$D$17:$D$26,F389)&gt;0,3,0))))</f>
        <v/>
      </c>
      <c r="I389">
        <f>IF(AND(ISNUMBER(A389),ISNUMBER(B389)),A389*1000+B389,"")</f>
        <v/>
      </c>
      <c r="J389">
        <f>IF(I389="","",IF(COUNTIF(I$2:I389,I389)=1,MAX(J$1:J388)+1,""))</f>
        <v/>
      </c>
    </row>
    <row r="390">
      <c r="A390">
        <f>IFERROR(--SUBSTITUTE(SUBSTITUTE(TRIM(INDEX(INDIRECT("'Выгрузка'!A390:Z390"),Настройки!$B$7)),",","."),".",MID(1/2,2,1)),"")</f>
        <v/>
      </c>
      <c r="B390">
        <f>IFERROR(--SUBSTITUTE(SUBSTITUTE(TRIM(INDEX(INDIRECT("'Выгрузка'!A390:Z390"),Настройки!$B$9)),",","."),".",MID(1/2,2,1)),"")</f>
        <v/>
      </c>
      <c r="C390">
        <f>TRIM(INDEX(INDIRECT("'Выгрузка'!A390:Z390"),Настройки!$B$8)&amp;"")</f>
        <v/>
      </c>
      <c r="D390">
        <f>IFERROR(--SUBSTITUTE(SUBSTITUTE(TRIM(INDEX(INDIRECT("'Выгрузка'!A390:Z390"),Настройки!$B$10)),",","."),".",MID(1/2,2,1)),"")</f>
        <v/>
      </c>
      <c r="E390">
        <f>IFERROR(--SUBSTITUTE(SUBSTITUTE(TRIM(INDEX(INDIRECT("'Выгрузка'!A390:Z390"),Настройки!$B$11)),",","."),".",MID(1/2,2,1)),"")</f>
        <v/>
      </c>
      <c r="F390">
        <f>TRIM(INDEX(INDIRECT("'Выгрузка'!A390:Z390"),Настройки!$B$12)&amp;"")</f>
        <v/>
      </c>
      <c r="G390">
        <f>IF(F390="",0,IF(TRIM(INDEX(INDIRECT("'Выгрузка'!A390:Z390"),Настройки!$B$13)&amp;"")="",1,IFERROR(--SUBSTITUTE(SUBSTITUTE(TRIM(INDEX(INDIRECT("'Выгрузка'!A390:Z390"),Настройки!$B$13)),",","."),".",MID(1/2,2,1)),"")))</f>
        <v/>
      </c>
      <c r="H390">
        <f>IF(F390="",0,IF(COUNTIF(Настройки!$B$17:$B$26,F390)&gt;0,1,IF(COUNTIF(Настройки!$C$17:$C$26,F390)&gt;0,2,IF(COUNTIF(Настройки!$D$17:$D$26,F390)&gt;0,3,0))))</f>
        <v/>
      </c>
      <c r="I390">
        <f>IF(AND(ISNUMBER(A390),ISNUMBER(B390)),A390*1000+B390,"")</f>
        <v/>
      </c>
      <c r="J390">
        <f>IF(I390="","",IF(COUNTIF(I$2:I390,I390)=1,MAX(J$1:J389)+1,""))</f>
        <v/>
      </c>
    </row>
    <row r="391">
      <c r="A391">
        <f>IFERROR(--SUBSTITUTE(SUBSTITUTE(TRIM(INDEX(INDIRECT("'Выгрузка'!A391:Z391"),Настройки!$B$7)),",","."),".",MID(1/2,2,1)),"")</f>
        <v/>
      </c>
      <c r="B391">
        <f>IFERROR(--SUBSTITUTE(SUBSTITUTE(TRIM(INDEX(INDIRECT("'Выгрузка'!A391:Z391"),Настройки!$B$9)),",","."),".",MID(1/2,2,1)),"")</f>
        <v/>
      </c>
      <c r="C391">
        <f>TRIM(INDEX(INDIRECT("'Выгрузка'!A391:Z391"),Настройки!$B$8)&amp;"")</f>
        <v/>
      </c>
      <c r="D391">
        <f>IFERROR(--SUBSTITUTE(SUBSTITUTE(TRIM(INDEX(INDIRECT("'Выгрузка'!A391:Z391"),Настройки!$B$10)),",","."),".",MID(1/2,2,1)),"")</f>
        <v/>
      </c>
      <c r="E391">
        <f>IFERROR(--SUBSTITUTE(SUBSTITUTE(TRIM(INDEX(INDIRECT("'Выгрузка'!A391:Z391"),Настройки!$B$11)),",","."),".",MID(1/2,2,1)),"")</f>
        <v/>
      </c>
      <c r="F391">
        <f>TRIM(INDEX(INDIRECT("'Выгрузка'!A391:Z391"),Настройки!$B$12)&amp;"")</f>
        <v/>
      </c>
      <c r="G391">
        <f>IF(F391="",0,IF(TRIM(INDEX(INDIRECT("'Выгрузка'!A391:Z391"),Настройки!$B$13)&amp;"")="",1,IFERROR(--SUBSTITUTE(SUBSTITUTE(TRIM(INDEX(INDIRECT("'Выгрузка'!A391:Z391"),Настройки!$B$13)),",","."),".",MID(1/2,2,1)),"")))</f>
        <v/>
      </c>
      <c r="H391">
        <f>IF(F391="",0,IF(COUNTIF(Настройки!$B$17:$B$26,F391)&gt;0,1,IF(COUNTIF(Настройки!$C$17:$C$26,F391)&gt;0,2,IF(COUNTIF(Настройки!$D$17:$D$26,F391)&gt;0,3,0))))</f>
        <v/>
      </c>
      <c r="I391">
        <f>IF(AND(ISNUMBER(A391),ISNUMBER(B391)),A391*1000+B391,"")</f>
        <v/>
      </c>
      <c r="J391">
        <f>IF(I391="","",IF(COUNTIF(I$2:I391,I391)=1,MAX(J$1:J390)+1,""))</f>
        <v/>
      </c>
    </row>
    <row r="392">
      <c r="A392">
        <f>IFERROR(--SUBSTITUTE(SUBSTITUTE(TRIM(INDEX(INDIRECT("'Выгрузка'!A392:Z392"),Настройки!$B$7)),",","."),".",MID(1/2,2,1)),"")</f>
        <v/>
      </c>
      <c r="B392">
        <f>IFERROR(--SUBSTITUTE(SUBSTITUTE(TRIM(INDEX(INDIRECT("'Выгрузка'!A392:Z392"),Настройки!$B$9)),",","."),".",MID(1/2,2,1)),"")</f>
        <v/>
      </c>
      <c r="C392">
        <f>TRIM(INDEX(INDIRECT("'Выгрузка'!A392:Z392"),Настройки!$B$8)&amp;"")</f>
        <v/>
      </c>
      <c r="D392">
        <f>IFERROR(--SUBSTITUTE(SUBSTITUTE(TRIM(INDEX(INDIRECT("'Выгрузка'!A392:Z392"),Настройки!$B$10)),",","."),".",MID(1/2,2,1)),"")</f>
        <v/>
      </c>
      <c r="E392">
        <f>IFERROR(--SUBSTITUTE(SUBSTITUTE(TRIM(INDEX(INDIRECT("'Выгрузка'!A392:Z392"),Настройки!$B$11)),",","."),".",MID(1/2,2,1)),"")</f>
        <v/>
      </c>
      <c r="F392">
        <f>TRIM(INDEX(INDIRECT("'Выгрузка'!A392:Z392"),Настройки!$B$12)&amp;"")</f>
        <v/>
      </c>
      <c r="G392">
        <f>IF(F392="",0,IF(TRIM(INDEX(INDIRECT("'Выгрузка'!A392:Z392"),Настройки!$B$13)&amp;"")="",1,IFERROR(--SUBSTITUTE(SUBSTITUTE(TRIM(INDEX(INDIRECT("'Выгрузка'!A392:Z392"),Настройки!$B$13)),",","."),".",MID(1/2,2,1)),"")))</f>
        <v/>
      </c>
      <c r="H392">
        <f>IF(F392="",0,IF(COUNTIF(Настройки!$B$17:$B$26,F392)&gt;0,1,IF(COUNTIF(Настройки!$C$17:$C$26,F392)&gt;0,2,IF(COUNTIF(Настройки!$D$17:$D$26,F392)&gt;0,3,0))))</f>
        <v/>
      </c>
      <c r="I392">
        <f>IF(AND(ISNUMBER(A392),ISNUMBER(B392)),A392*1000+B392,"")</f>
        <v/>
      </c>
      <c r="J392">
        <f>IF(I392="","",IF(COUNTIF(I$2:I392,I392)=1,MAX(J$1:J391)+1,""))</f>
        <v/>
      </c>
    </row>
    <row r="393">
      <c r="A393">
        <f>IFERROR(--SUBSTITUTE(SUBSTITUTE(TRIM(INDEX(INDIRECT("'Выгрузка'!A393:Z393"),Настройки!$B$7)),",","."),".",MID(1/2,2,1)),"")</f>
        <v/>
      </c>
      <c r="B393">
        <f>IFERROR(--SUBSTITUTE(SUBSTITUTE(TRIM(INDEX(INDIRECT("'Выгрузка'!A393:Z393"),Настройки!$B$9)),",","."),".",MID(1/2,2,1)),"")</f>
        <v/>
      </c>
      <c r="C393">
        <f>TRIM(INDEX(INDIRECT("'Выгрузка'!A393:Z393"),Настройки!$B$8)&amp;"")</f>
        <v/>
      </c>
      <c r="D393">
        <f>IFERROR(--SUBSTITUTE(SUBSTITUTE(TRIM(INDEX(INDIRECT("'Выгрузка'!A393:Z393"),Настройки!$B$10)),",","."),".",MID(1/2,2,1)),"")</f>
        <v/>
      </c>
      <c r="E393">
        <f>IFERROR(--SUBSTITUTE(SUBSTITUTE(TRIM(INDEX(INDIRECT("'Выгрузка'!A393:Z393"),Настройки!$B$11)),",","."),".",MID(1/2,2,1)),"")</f>
        <v/>
      </c>
      <c r="F393">
        <f>TRIM(INDEX(INDIRECT("'Выгрузка'!A393:Z393"),Настройки!$B$12)&amp;"")</f>
        <v/>
      </c>
      <c r="G393">
        <f>IF(F393="",0,IF(TRIM(INDEX(INDIRECT("'Выгрузка'!A393:Z393"),Настройки!$B$13)&amp;"")="",1,IFERROR(--SUBSTITUTE(SUBSTITUTE(TRIM(INDEX(INDIRECT("'Выгрузка'!A393:Z393"),Настройки!$B$13)),",","."),".",MID(1/2,2,1)),"")))</f>
        <v/>
      </c>
      <c r="H393">
        <f>IF(F393="",0,IF(COUNTIF(Настройки!$B$17:$B$26,F393)&gt;0,1,IF(COUNTIF(Настройки!$C$17:$C$26,F393)&gt;0,2,IF(COUNTIF(Настройки!$D$17:$D$26,F393)&gt;0,3,0))))</f>
        <v/>
      </c>
      <c r="I393">
        <f>IF(AND(ISNUMBER(A393),ISNUMBER(B393)),A393*1000+B393,"")</f>
        <v/>
      </c>
      <c r="J393">
        <f>IF(I393="","",IF(COUNTIF(I$2:I393,I393)=1,MAX(J$1:J392)+1,""))</f>
        <v/>
      </c>
    </row>
    <row r="394">
      <c r="A394">
        <f>IFERROR(--SUBSTITUTE(SUBSTITUTE(TRIM(INDEX(INDIRECT("'Выгрузка'!A394:Z394"),Настройки!$B$7)),",","."),".",MID(1/2,2,1)),"")</f>
        <v/>
      </c>
      <c r="B394">
        <f>IFERROR(--SUBSTITUTE(SUBSTITUTE(TRIM(INDEX(INDIRECT("'Выгрузка'!A394:Z394"),Настройки!$B$9)),",","."),".",MID(1/2,2,1)),"")</f>
        <v/>
      </c>
      <c r="C394">
        <f>TRIM(INDEX(INDIRECT("'Выгрузка'!A394:Z394"),Настройки!$B$8)&amp;"")</f>
        <v/>
      </c>
      <c r="D394">
        <f>IFERROR(--SUBSTITUTE(SUBSTITUTE(TRIM(INDEX(INDIRECT("'Выгрузка'!A394:Z394"),Настройки!$B$10)),",","."),".",MID(1/2,2,1)),"")</f>
        <v/>
      </c>
      <c r="E394">
        <f>IFERROR(--SUBSTITUTE(SUBSTITUTE(TRIM(INDEX(INDIRECT("'Выгрузка'!A394:Z394"),Настройки!$B$11)),",","."),".",MID(1/2,2,1)),"")</f>
        <v/>
      </c>
      <c r="F394">
        <f>TRIM(INDEX(INDIRECT("'Выгрузка'!A394:Z394"),Настройки!$B$12)&amp;"")</f>
        <v/>
      </c>
      <c r="G394">
        <f>IF(F394="",0,IF(TRIM(INDEX(INDIRECT("'Выгрузка'!A394:Z394"),Настройки!$B$13)&amp;"")="",1,IFERROR(--SUBSTITUTE(SUBSTITUTE(TRIM(INDEX(INDIRECT("'Выгрузка'!A394:Z394"),Настройки!$B$13)),",","."),".",MID(1/2,2,1)),"")))</f>
        <v/>
      </c>
      <c r="H394">
        <f>IF(F394="",0,IF(COUNTIF(Настройки!$B$17:$B$26,F394)&gt;0,1,IF(COUNTIF(Настройки!$C$17:$C$26,F394)&gt;0,2,IF(COUNTIF(Настройки!$D$17:$D$26,F394)&gt;0,3,0))))</f>
        <v/>
      </c>
      <c r="I394">
        <f>IF(AND(ISNUMBER(A394),ISNUMBER(B394)),A394*1000+B394,"")</f>
        <v/>
      </c>
      <c r="J394">
        <f>IF(I394="","",IF(COUNTIF(I$2:I394,I394)=1,MAX(J$1:J393)+1,""))</f>
        <v/>
      </c>
    </row>
    <row r="395">
      <c r="A395">
        <f>IFERROR(--SUBSTITUTE(SUBSTITUTE(TRIM(INDEX(INDIRECT("'Выгрузка'!A395:Z395"),Настройки!$B$7)),",","."),".",MID(1/2,2,1)),"")</f>
        <v/>
      </c>
      <c r="B395">
        <f>IFERROR(--SUBSTITUTE(SUBSTITUTE(TRIM(INDEX(INDIRECT("'Выгрузка'!A395:Z395"),Настройки!$B$9)),",","."),".",MID(1/2,2,1)),"")</f>
        <v/>
      </c>
      <c r="C395">
        <f>TRIM(INDEX(INDIRECT("'Выгрузка'!A395:Z395"),Настройки!$B$8)&amp;"")</f>
        <v/>
      </c>
      <c r="D395">
        <f>IFERROR(--SUBSTITUTE(SUBSTITUTE(TRIM(INDEX(INDIRECT("'Выгрузка'!A395:Z395"),Настройки!$B$10)),",","."),".",MID(1/2,2,1)),"")</f>
        <v/>
      </c>
      <c r="E395">
        <f>IFERROR(--SUBSTITUTE(SUBSTITUTE(TRIM(INDEX(INDIRECT("'Выгрузка'!A395:Z395"),Настройки!$B$11)),",","."),".",MID(1/2,2,1)),"")</f>
        <v/>
      </c>
      <c r="F395">
        <f>TRIM(INDEX(INDIRECT("'Выгрузка'!A395:Z395"),Настройки!$B$12)&amp;"")</f>
        <v/>
      </c>
      <c r="G395">
        <f>IF(F395="",0,IF(TRIM(INDEX(INDIRECT("'Выгрузка'!A395:Z395"),Настройки!$B$13)&amp;"")="",1,IFERROR(--SUBSTITUTE(SUBSTITUTE(TRIM(INDEX(INDIRECT("'Выгрузка'!A395:Z395"),Настройки!$B$13)),",","."),".",MID(1/2,2,1)),"")))</f>
        <v/>
      </c>
      <c r="H395">
        <f>IF(F395="",0,IF(COUNTIF(Настройки!$B$17:$B$26,F395)&gt;0,1,IF(COUNTIF(Настройки!$C$17:$C$26,F395)&gt;0,2,IF(COUNTIF(Настройки!$D$17:$D$26,F395)&gt;0,3,0))))</f>
        <v/>
      </c>
      <c r="I395">
        <f>IF(AND(ISNUMBER(A395),ISNUMBER(B395)),A395*1000+B395,"")</f>
        <v/>
      </c>
      <c r="J395">
        <f>IF(I395="","",IF(COUNTIF(I$2:I395,I395)=1,MAX(J$1:J394)+1,""))</f>
        <v/>
      </c>
    </row>
    <row r="396">
      <c r="A396">
        <f>IFERROR(--SUBSTITUTE(SUBSTITUTE(TRIM(INDEX(INDIRECT("'Выгрузка'!A396:Z396"),Настройки!$B$7)),",","."),".",MID(1/2,2,1)),"")</f>
        <v/>
      </c>
      <c r="B396">
        <f>IFERROR(--SUBSTITUTE(SUBSTITUTE(TRIM(INDEX(INDIRECT("'Выгрузка'!A396:Z396"),Настройки!$B$9)),",","."),".",MID(1/2,2,1)),"")</f>
        <v/>
      </c>
      <c r="C396">
        <f>TRIM(INDEX(INDIRECT("'Выгрузка'!A396:Z396"),Настройки!$B$8)&amp;"")</f>
        <v/>
      </c>
      <c r="D396">
        <f>IFERROR(--SUBSTITUTE(SUBSTITUTE(TRIM(INDEX(INDIRECT("'Выгрузка'!A396:Z396"),Настройки!$B$10)),",","."),".",MID(1/2,2,1)),"")</f>
        <v/>
      </c>
      <c r="E396">
        <f>IFERROR(--SUBSTITUTE(SUBSTITUTE(TRIM(INDEX(INDIRECT("'Выгрузка'!A396:Z396"),Настройки!$B$11)),",","."),".",MID(1/2,2,1)),"")</f>
        <v/>
      </c>
      <c r="F396">
        <f>TRIM(INDEX(INDIRECT("'Выгрузка'!A396:Z396"),Настройки!$B$12)&amp;"")</f>
        <v/>
      </c>
      <c r="G396">
        <f>IF(F396="",0,IF(TRIM(INDEX(INDIRECT("'Выгрузка'!A396:Z396"),Настройки!$B$13)&amp;"")="",1,IFERROR(--SUBSTITUTE(SUBSTITUTE(TRIM(INDEX(INDIRECT("'Выгрузка'!A396:Z396"),Настройки!$B$13)),",","."),".",MID(1/2,2,1)),"")))</f>
        <v/>
      </c>
      <c r="H396">
        <f>IF(F396="",0,IF(COUNTIF(Настройки!$B$17:$B$26,F396)&gt;0,1,IF(COUNTIF(Настройки!$C$17:$C$26,F396)&gt;0,2,IF(COUNTIF(Настройки!$D$17:$D$26,F396)&gt;0,3,0))))</f>
        <v/>
      </c>
      <c r="I396">
        <f>IF(AND(ISNUMBER(A396),ISNUMBER(B396)),A396*1000+B396,"")</f>
        <v/>
      </c>
      <c r="J396">
        <f>IF(I396="","",IF(COUNTIF(I$2:I396,I396)=1,MAX(J$1:J395)+1,""))</f>
        <v/>
      </c>
    </row>
    <row r="397">
      <c r="A397">
        <f>IFERROR(--SUBSTITUTE(SUBSTITUTE(TRIM(INDEX(INDIRECT("'Выгрузка'!A397:Z397"),Настройки!$B$7)),",","."),".",MID(1/2,2,1)),"")</f>
        <v/>
      </c>
      <c r="B397">
        <f>IFERROR(--SUBSTITUTE(SUBSTITUTE(TRIM(INDEX(INDIRECT("'Выгрузка'!A397:Z397"),Настройки!$B$9)),",","."),".",MID(1/2,2,1)),"")</f>
        <v/>
      </c>
      <c r="C397">
        <f>TRIM(INDEX(INDIRECT("'Выгрузка'!A397:Z397"),Настройки!$B$8)&amp;"")</f>
        <v/>
      </c>
      <c r="D397">
        <f>IFERROR(--SUBSTITUTE(SUBSTITUTE(TRIM(INDEX(INDIRECT("'Выгрузка'!A397:Z397"),Настройки!$B$10)),",","."),".",MID(1/2,2,1)),"")</f>
        <v/>
      </c>
      <c r="E397">
        <f>IFERROR(--SUBSTITUTE(SUBSTITUTE(TRIM(INDEX(INDIRECT("'Выгрузка'!A397:Z397"),Настройки!$B$11)),",","."),".",MID(1/2,2,1)),"")</f>
        <v/>
      </c>
      <c r="F397">
        <f>TRIM(INDEX(INDIRECT("'Выгрузка'!A397:Z397"),Настройки!$B$12)&amp;"")</f>
        <v/>
      </c>
      <c r="G397">
        <f>IF(F397="",0,IF(TRIM(INDEX(INDIRECT("'Выгрузка'!A397:Z397"),Настройки!$B$13)&amp;"")="",1,IFERROR(--SUBSTITUTE(SUBSTITUTE(TRIM(INDEX(INDIRECT("'Выгрузка'!A397:Z397"),Настройки!$B$13)),",","."),".",MID(1/2,2,1)),"")))</f>
        <v/>
      </c>
      <c r="H397">
        <f>IF(F397="",0,IF(COUNTIF(Настройки!$B$17:$B$26,F397)&gt;0,1,IF(COUNTIF(Настройки!$C$17:$C$26,F397)&gt;0,2,IF(COUNTIF(Настройки!$D$17:$D$26,F397)&gt;0,3,0))))</f>
        <v/>
      </c>
      <c r="I397">
        <f>IF(AND(ISNUMBER(A397),ISNUMBER(B397)),A397*1000+B397,"")</f>
        <v/>
      </c>
      <c r="J397">
        <f>IF(I397="","",IF(COUNTIF(I$2:I397,I397)=1,MAX(J$1:J396)+1,""))</f>
        <v/>
      </c>
    </row>
    <row r="398">
      <c r="A398">
        <f>IFERROR(--SUBSTITUTE(SUBSTITUTE(TRIM(INDEX(INDIRECT("'Выгрузка'!A398:Z398"),Настройки!$B$7)),",","."),".",MID(1/2,2,1)),"")</f>
        <v/>
      </c>
      <c r="B398">
        <f>IFERROR(--SUBSTITUTE(SUBSTITUTE(TRIM(INDEX(INDIRECT("'Выгрузка'!A398:Z398"),Настройки!$B$9)),",","."),".",MID(1/2,2,1)),"")</f>
        <v/>
      </c>
      <c r="C398">
        <f>TRIM(INDEX(INDIRECT("'Выгрузка'!A398:Z398"),Настройки!$B$8)&amp;"")</f>
        <v/>
      </c>
      <c r="D398">
        <f>IFERROR(--SUBSTITUTE(SUBSTITUTE(TRIM(INDEX(INDIRECT("'Выгрузка'!A398:Z398"),Настройки!$B$10)),",","."),".",MID(1/2,2,1)),"")</f>
        <v/>
      </c>
      <c r="E398">
        <f>IFERROR(--SUBSTITUTE(SUBSTITUTE(TRIM(INDEX(INDIRECT("'Выгрузка'!A398:Z398"),Настройки!$B$11)),",","."),".",MID(1/2,2,1)),"")</f>
        <v/>
      </c>
      <c r="F398">
        <f>TRIM(INDEX(INDIRECT("'Выгрузка'!A398:Z398"),Настройки!$B$12)&amp;"")</f>
        <v/>
      </c>
      <c r="G398">
        <f>IF(F398="",0,IF(TRIM(INDEX(INDIRECT("'Выгрузка'!A398:Z398"),Настройки!$B$13)&amp;"")="",1,IFERROR(--SUBSTITUTE(SUBSTITUTE(TRIM(INDEX(INDIRECT("'Выгрузка'!A398:Z398"),Настройки!$B$13)),",","."),".",MID(1/2,2,1)),"")))</f>
        <v/>
      </c>
      <c r="H398">
        <f>IF(F398="",0,IF(COUNTIF(Настройки!$B$17:$B$26,F398)&gt;0,1,IF(COUNTIF(Настройки!$C$17:$C$26,F398)&gt;0,2,IF(COUNTIF(Настройки!$D$17:$D$26,F398)&gt;0,3,0))))</f>
        <v/>
      </c>
      <c r="I398">
        <f>IF(AND(ISNUMBER(A398),ISNUMBER(B398)),A398*1000+B398,"")</f>
        <v/>
      </c>
      <c r="J398">
        <f>IF(I398="","",IF(COUNTIF(I$2:I398,I398)=1,MAX(J$1:J397)+1,""))</f>
        <v/>
      </c>
    </row>
    <row r="399">
      <c r="A399">
        <f>IFERROR(--SUBSTITUTE(SUBSTITUTE(TRIM(INDEX(INDIRECT("'Выгрузка'!A399:Z399"),Настройки!$B$7)),",","."),".",MID(1/2,2,1)),"")</f>
        <v/>
      </c>
      <c r="B399">
        <f>IFERROR(--SUBSTITUTE(SUBSTITUTE(TRIM(INDEX(INDIRECT("'Выгрузка'!A399:Z399"),Настройки!$B$9)),",","."),".",MID(1/2,2,1)),"")</f>
        <v/>
      </c>
      <c r="C399">
        <f>TRIM(INDEX(INDIRECT("'Выгрузка'!A399:Z399"),Настройки!$B$8)&amp;"")</f>
        <v/>
      </c>
      <c r="D399">
        <f>IFERROR(--SUBSTITUTE(SUBSTITUTE(TRIM(INDEX(INDIRECT("'Выгрузка'!A399:Z399"),Настройки!$B$10)),",","."),".",MID(1/2,2,1)),"")</f>
        <v/>
      </c>
      <c r="E399">
        <f>IFERROR(--SUBSTITUTE(SUBSTITUTE(TRIM(INDEX(INDIRECT("'Выгрузка'!A399:Z399"),Настройки!$B$11)),",","."),".",MID(1/2,2,1)),"")</f>
        <v/>
      </c>
      <c r="F399">
        <f>TRIM(INDEX(INDIRECT("'Выгрузка'!A399:Z399"),Настройки!$B$12)&amp;"")</f>
        <v/>
      </c>
      <c r="G399">
        <f>IF(F399="",0,IF(TRIM(INDEX(INDIRECT("'Выгрузка'!A399:Z399"),Настройки!$B$13)&amp;"")="",1,IFERROR(--SUBSTITUTE(SUBSTITUTE(TRIM(INDEX(INDIRECT("'Выгрузка'!A399:Z399"),Настройки!$B$13)),",","."),".",MID(1/2,2,1)),"")))</f>
        <v/>
      </c>
      <c r="H399">
        <f>IF(F399="",0,IF(COUNTIF(Настройки!$B$17:$B$26,F399)&gt;0,1,IF(COUNTIF(Настройки!$C$17:$C$26,F399)&gt;0,2,IF(COUNTIF(Настройки!$D$17:$D$26,F399)&gt;0,3,0))))</f>
        <v/>
      </c>
      <c r="I399">
        <f>IF(AND(ISNUMBER(A399),ISNUMBER(B399)),A399*1000+B399,"")</f>
        <v/>
      </c>
      <c r="J399">
        <f>IF(I399="","",IF(COUNTIF(I$2:I399,I399)=1,MAX(J$1:J398)+1,""))</f>
        <v/>
      </c>
    </row>
    <row r="400">
      <c r="A400">
        <f>IFERROR(--SUBSTITUTE(SUBSTITUTE(TRIM(INDEX(INDIRECT("'Выгрузка'!A400:Z400"),Настройки!$B$7)),",","."),".",MID(1/2,2,1)),"")</f>
        <v/>
      </c>
      <c r="B400">
        <f>IFERROR(--SUBSTITUTE(SUBSTITUTE(TRIM(INDEX(INDIRECT("'Выгрузка'!A400:Z400"),Настройки!$B$9)),",","."),".",MID(1/2,2,1)),"")</f>
        <v/>
      </c>
      <c r="C400">
        <f>TRIM(INDEX(INDIRECT("'Выгрузка'!A400:Z400"),Настройки!$B$8)&amp;"")</f>
        <v/>
      </c>
      <c r="D400">
        <f>IFERROR(--SUBSTITUTE(SUBSTITUTE(TRIM(INDEX(INDIRECT("'Выгрузка'!A400:Z400"),Настройки!$B$10)),",","."),".",MID(1/2,2,1)),"")</f>
        <v/>
      </c>
      <c r="E400">
        <f>IFERROR(--SUBSTITUTE(SUBSTITUTE(TRIM(INDEX(INDIRECT("'Выгрузка'!A400:Z400"),Настройки!$B$11)),",","."),".",MID(1/2,2,1)),"")</f>
        <v/>
      </c>
      <c r="F400">
        <f>TRIM(INDEX(INDIRECT("'Выгрузка'!A400:Z400"),Настройки!$B$12)&amp;"")</f>
        <v/>
      </c>
      <c r="G400">
        <f>IF(F400="",0,IF(TRIM(INDEX(INDIRECT("'Выгрузка'!A400:Z400"),Настройки!$B$13)&amp;"")="",1,IFERROR(--SUBSTITUTE(SUBSTITUTE(TRIM(INDEX(INDIRECT("'Выгрузка'!A400:Z400"),Настройки!$B$13)),",","."),".",MID(1/2,2,1)),"")))</f>
        <v/>
      </c>
      <c r="H400">
        <f>IF(F400="",0,IF(COUNTIF(Настройки!$B$17:$B$26,F400)&gt;0,1,IF(COUNTIF(Настройки!$C$17:$C$26,F400)&gt;0,2,IF(COUNTIF(Настройки!$D$17:$D$26,F400)&gt;0,3,0))))</f>
        <v/>
      </c>
      <c r="I400">
        <f>IF(AND(ISNUMBER(A400),ISNUMBER(B400)),A400*1000+B400,"")</f>
        <v/>
      </c>
      <c r="J400">
        <f>IF(I400="","",IF(COUNTIF(I$2:I400,I400)=1,MAX(J$1:J399)+1,""))</f>
        <v/>
      </c>
    </row>
    <row r="401">
      <c r="A401">
        <f>IFERROR(--SUBSTITUTE(SUBSTITUTE(TRIM(INDEX(INDIRECT("'Выгрузка'!A401:Z401"),Настройки!$B$7)),",","."),".",MID(1/2,2,1)),"")</f>
        <v/>
      </c>
      <c r="B401">
        <f>IFERROR(--SUBSTITUTE(SUBSTITUTE(TRIM(INDEX(INDIRECT("'Выгрузка'!A401:Z401"),Настройки!$B$9)),",","."),".",MID(1/2,2,1)),"")</f>
        <v/>
      </c>
      <c r="C401">
        <f>TRIM(INDEX(INDIRECT("'Выгрузка'!A401:Z401"),Настройки!$B$8)&amp;"")</f>
        <v/>
      </c>
      <c r="D401">
        <f>IFERROR(--SUBSTITUTE(SUBSTITUTE(TRIM(INDEX(INDIRECT("'Выгрузка'!A401:Z401"),Настройки!$B$10)),",","."),".",MID(1/2,2,1)),"")</f>
        <v/>
      </c>
      <c r="E401">
        <f>IFERROR(--SUBSTITUTE(SUBSTITUTE(TRIM(INDEX(INDIRECT("'Выгрузка'!A401:Z401"),Настройки!$B$11)),",","."),".",MID(1/2,2,1)),"")</f>
        <v/>
      </c>
      <c r="F401">
        <f>TRIM(INDEX(INDIRECT("'Выгрузка'!A401:Z401"),Настройки!$B$12)&amp;"")</f>
        <v/>
      </c>
      <c r="G401">
        <f>IF(F401="",0,IF(TRIM(INDEX(INDIRECT("'Выгрузка'!A401:Z401"),Настройки!$B$13)&amp;"")="",1,IFERROR(--SUBSTITUTE(SUBSTITUTE(TRIM(INDEX(INDIRECT("'Выгрузка'!A401:Z401"),Настройки!$B$13)),",","."),".",MID(1/2,2,1)),"")))</f>
        <v/>
      </c>
      <c r="H401">
        <f>IF(F401="",0,IF(COUNTIF(Настройки!$B$17:$B$26,F401)&gt;0,1,IF(COUNTIF(Настройки!$C$17:$C$26,F401)&gt;0,2,IF(COUNTIF(Настройки!$D$17:$D$26,F401)&gt;0,3,0))))</f>
        <v/>
      </c>
      <c r="I401">
        <f>IF(AND(ISNUMBER(A401),ISNUMBER(B401)),A401*1000+B401,"")</f>
        <v/>
      </c>
      <c r="J401">
        <f>IF(I401="","",IF(COUNTIF(I$2:I401,I401)=1,MAX(J$1:J400)+1,""))</f>
        <v/>
      </c>
    </row>
    <row r="402">
      <c r="A402">
        <f>IFERROR(--SUBSTITUTE(SUBSTITUTE(TRIM(INDEX(INDIRECT("'Выгрузка'!A402:Z402"),Настройки!$B$7)),",","."),".",MID(1/2,2,1)),"")</f>
        <v/>
      </c>
      <c r="B402">
        <f>IFERROR(--SUBSTITUTE(SUBSTITUTE(TRIM(INDEX(INDIRECT("'Выгрузка'!A402:Z402"),Настройки!$B$9)),",","."),".",MID(1/2,2,1)),"")</f>
        <v/>
      </c>
      <c r="C402">
        <f>TRIM(INDEX(INDIRECT("'Выгрузка'!A402:Z402"),Настройки!$B$8)&amp;"")</f>
        <v/>
      </c>
      <c r="D402">
        <f>IFERROR(--SUBSTITUTE(SUBSTITUTE(TRIM(INDEX(INDIRECT("'Выгрузка'!A402:Z402"),Настройки!$B$10)),",","."),".",MID(1/2,2,1)),"")</f>
        <v/>
      </c>
      <c r="E402">
        <f>IFERROR(--SUBSTITUTE(SUBSTITUTE(TRIM(INDEX(INDIRECT("'Выгрузка'!A402:Z402"),Настройки!$B$11)),",","."),".",MID(1/2,2,1)),"")</f>
        <v/>
      </c>
      <c r="F402">
        <f>TRIM(INDEX(INDIRECT("'Выгрузка'!A402:Z402"),Настройки!$B$12)&amp;"")</f>
        <v/>
      </c>
      <c r="G402">
        <f>IF(F402="",0,IF(TRIM(INDEX(INDIRECT("'Выгрузка'!A402:Z402"),Настройки!$B$13)&amp;"")="",1,IFERROR(--SUBSTITUTE(SUBSTITUTE(TRIM(INDEX(INDIRECT("'Выгрузка'!A402:Z402"),Настройки!$B$13)),",","."),".",MID(1/2,2,1)),"")))</f>
        <v/>
      </c>
      <c r="H402">
        <f>IF(F402="",0,IF(COUNTIF(Настройки!$B$17:$B$26,F402)&gt;0,1,IF(COUNTIF(Настройки!$C$17:$C$26,F402)&gt;0,2,IF(COUNTIF(Настройки!$D$17:$D$26,F402)&gt;0,3,0))))</f>
        <v/>
      </c>
      <c r="I402">
        <f>IF(AND(ISNUMBER(A402),ISNUMBER(B402)),A402*1000+B402,"")</f>
        <v/>
      </c>
      <c r="J402">
        <f>IF(I402="","",IF(COUNTIF(I$2:I402,I402)=1,MAX(J$1:J401)+1,""))</f>
        <v/>
      </c>
    </row>
    <row r="403">
      <c r="A403">
        <f>IFERROR(--SUBSTITUTE(SUBSTITUTE(TRIM(INDEX(INDIRECT("'Выгрузка'!A403:Z403"),Настройки!$B$7)),",","."),".",MID(1/2,2,1)),"")</f>
        <v/>
      </c>
      <c r="B403">
        <f>IFERROR(--SUBSTITUTE(SUBSTITUTE(TRIM(INDEX(INDIRECT("'Выгрузка'!A403:Z403"),Настройки!$B$9)),",","."),".",MID(1/2,2,1)),"")</f>
        <v/>
      </c>
      <c r="C403">
        <f>TRIM(INDEX(INDIRECT("'Выгрузка'!A403:Z403"),Настройки!$B$8)&amp;"")</f>
        <v/>
      </c>
      <c r="D403">
        <f>IFERROR(--SUBSTITUTE(SUBSTITUTE(TRIM(INDEX(INDIRECT("'Выгрузка'!A403:Z403"),Настройки!$B$10)),",","."),".",MID(1/2,2,1)),"")</f>
        <v/>
      </c>
      <c r="E403">
        <f>IFERROR(--SUBSTITUTE(SUBSTITUTE(TRIM(INDEX(INDIRECT("'Выгрузка'!A403:Z403"),Настройки!$B$11)),",","."),".",MID(1/2,2,1)),"")</f>
        <v/>
      </c>
      <c r="F403">
        <f>TRIM(INDEX(INDIRECT("'Выгрузка'!A403:Z403"),Настройки!$B$12)&amp;"")</f>
        <v/>
      </c>
      <c r="G403">
        <f>IF(F403="",0,IF(TRIM(INDEX(INDIRECT("'Выгрузка'!A403:Z403"),Настройки!$B$13)&amp;"")="",1,IFERROR(--SUBSTITUTE(SUBSTITUTE(TRIM(INDEX(INDIRECT("'Выгрузка'!A403:Z403"),Настройки!$B$13)),",","."),".",MID(1/2,2,1)),"")))</f>
        <v/>
      </c>
      <c r="H403">
        <f>IF(F403="",0,IF(COUNTIF(Настройки!$B$17:$B$26,F403)&gt;0,1,IF(COUNTIF(Настройки!$C$17:$C$26,F403)&gt;0,2,IF(COUNTIF(Настройки!$D$17:$D$26,F403)&gt;0,3,0))))</f>
        <v/>
      </c>
      <c r="I403">
        <f>IF(AND(ISNUMBER(A403),ISNUMBER(B403)),A403*1000+B403,"")</f>
        <v/>
      </c>
      <c r="J403">
        <f>IF(I403="","",IF(COUNTIF(I$2:I403,I403)=1,MAX(J$1:J402)+1,""))</f>
        <v/>
      </c>
    </row>
    <row r="404">
      <c r="A404">
        <f>IFERROR(--SUBSTITUTE(SUBSTITUTE(TRIM(INDEX(INDIRECT("'Выгрузка'!A404:Z404"),Настройки!$B$7)),",","."),".",MID(1/2,2,1)),"")</f>
        <v/>
      </c>
      <c r="B404">
        <f>IFERROR(--SUBSTITUTE(SUBSTITUTE(TRIM(INDEX(INDIRECT("'Выгрузка'!A404:Z404"),Настройки!$B$9)),",","."),".",MID(1/2,2,1)),"")</f>
        <v/>
      </c>
      <c r="C404">
        <f>TRIM(INDEX(INDIRECT("'Выгрузка'!A404:Z404"),Настройки!$B$8)&amp;"")</f>
        <v/>
      </c>
      <c r="D404">
        <f>IFERROR(--SUBSTITUTE(SUBSTITUTE(TRIM(INDEX(INDIRECT("'Выгрузка'!A404:Z404"),Настройки!$B$10)),",","."),".",MID(1/2,2,1)),"")</f>
        <v/>
      </c>
      <c r="E404">
        <f>IFERROR(--SUBSTITUTE(SUBSTITUTE(TRIM(INDEX(INDIRECT("'Выгрузка'!A404:Z404"),Настройки!$B$11)),",","."),".",MID(1/2,2,1)),"")</f>
        <v/>
      </c>
      <c r="F404">
        <f>TRIM(INDEX(INDIRECT("'Выгрузка'!A404:Z404"),Настройки!$B$12)&amp;"")</f>
        <v/>
      </c>
      <c r="G404">
        <f>IF(F404="",0,IF(TRIM(INDEX(INDIRECT("'Выгрузка'!A404:Z404"),Настройки!$B$13)&amp;"")="",1,IFERROR(--SUBSTITUTE(SUBSTITUTE(TRIM(INDEX(INDIRECT("'Выгрузка'!A404:Z404"),Настройки!$B$13)),",","."),".",MID(1/2,2,1)),"")))</f>
        <v/>
      </c>
      <c r="H404">
        <f>IF(F404="",0,IF(COUNTIF(Настройки!$B$17:$B$26,F404)&gt;0,1,IF(COUNTIF(Настройки!$C$17:$C$26,F404)&gt;0,2,IF(COUNTIF(Настройки!$D$17:$D$26,F404)&gt;0,3,0))))</f>
        <v/>
      </c>
      <c r="I404">
        <f>IF(AND(ISNUMBER(A404),ISNUMBER(B404)),A404*1000+B404,"")</f>
        <v/>
      </c>
      <c r="J404">
        <f>IF(I404="","",IF(COUNTIF(I$2:I404,I404)=1,MAX(J$1:J403)+1,""))</f>
        <v/>
      </c>
    </row>
    <row r="405">
      <c r="A405">
        <f>IFERROR(--SUBSTITUTE(SUBSTITUTE(TRIM(INDEX(INDIRECT("'Выгрузка'!A405:Z405"),Настройки!$B$7)),",","."),".",MID(1/2,2,1)),"")</f>
        <v/>
      </c>
      <c r="B405">
        <f>IFERROR(--SUBSTITUTE(SUBSTITUTE(TRIM(INDEX(INDIRECT("'Выгрузка'!A405:Z405"),Настройки!$B$9)),",","."),".",MID(1/2,2,1)),"")</f>
        <v/>
      </c>
      <c r="C405">
        <f>TRIM(INDEX(INDIRECT("'Выгрузка'!A405:Z405"),Настройки!$B$8)&amp;"")</f>
        <v/>
      </c>
      <c r="D405">
        <f>IFERROR(--SUBSTITUTE(SUBSTITUTE(TRIM(INDEX(INDIRECT("'Выгрузка'!A405:Z405"),Настройки!$B$10)),",","."),".",MID(1/2,2,1)),"")</f>
        <v/>
      </c>
      <c r="E405">
        <f>IFERROR(--SUBSTITUTE(SUBSTITUTE(TRIM(INDEX(INDIRECT("'Выгрузка'!A405:Z405"),Настройки!$B$11)),",","."),".",MID(1/2,2,1)),"")</f>
        <v/>
      </c>
      <c r="F405">
        <f>TRIM(INDEX(INDIRECT("'Выгрузка'!A405:Z405"),Настройки!$B$12)&amp;"")</f>
        <v/>
      </c>
      <c r="G405">
        <f>IF(F405="",0,IF(TRIM(INDEX(INDIRECT("'Выгрузка'!A405:Z405"),Настройки!$B$13)&amp;"")="",1,IFERROR(--SUBSTITUTE(SUBSTITUTE(TRIM(INDEX(INDIRECT("'Выгрузка'!A405:Z405"),Настройки!$B$13)),",","."),".",MID(1/2,2,1)),"")))</f>
        <v/>
      </c>
      <c r="H405">
        <f>IF(F405="",0,IF(COUNTIF(Настройки!$B$17:$B$26,F405)&gt;0,1,IF(COUNTIF(Настройки!$C$17:$C$26,F405)&gt;0,2,IF(COUNTIF(Настройки!$D$17:$D$26,F405)&gt;0,3,0))))</f>
        <v/>
      </c>
      <c r="I405">
        <f>IF(AND(ISNUMBER(A405),ISNUMBER(B405)),A405*1000+B405,"")</f>
        <v/>
      </c>
      <c r="J405">
        <f>IF(I405="","",IF(COUNTIF(I$2:I405,I405)=1,MAX(J$1:J404)+1,""))</f>
        <v/>
      </c>
    </row>
    <row r="406">
      <c r="A406">
        <f>IFERROR(--SUBSTITUTE(SUBSTITUTE(TRIM(INDEX(INDIRECT("'Выгрузка'!A406:Z406"),Настройки!$B$7)),",","."),".",MID(1/2,2,1)),"")</f>
        <v/>
      </c>
      <c r="B406">
        <f>IFERROR(--SUBSTITUTE(SUBSTITUTE(TRIM(INDEX(INDIRECT("'Выгрузка'!A406:Z406"),Настройки!$B$9)),",","."),".",MID(1/2,2,1)),"")</f>
        <v/>
      </c>
      <c r="C406">
        <f>TRIM(INDEX(INDIRECT("'Выгрузка'!A406:Z406"),Настройки!$B$8)&amp;"")</f>
        <v/>
      </c>
      <c r="D406">
        <f>IFERROR(--SUBSTITUTE(SUBSTITUTE(TRIM(INDEX(INDIRECT("'Выгрузка'!A406:Z406"),Настройки!$B$10)),",","."),".",MID(1/2,2,1)),"")</f>
        <v/>
      </c>
      <c r="E406">
        <f>IFERROR(--SUBSTITUTE(SUBSTITUTE(TRIM(INDEX(INDIRECT("'Выгрузка'!A406:Z406"),Настройки!$B$11)),",","."),".",MID(1/2,2,1)),"")</f>
        <v/>
      </c>
      <c r="F406">
        <f>TRIM(INDEX(INDIRECT("'Выгрузка'!A406:Z406"),Настройки!$B$12)&amp;"")</f>
        <v/>
      </c>
      <c r="G406">
        <f>IF(F406="",0,IF(TRIM(INDEX(INDIRECT("'Выгрузка'!A406:Z406"),Настройки!$B$13)&amp;"")="",1,IFERROR(--SUBSTITUTE(SUBSTITUTE(TRIM(INDEX(INDIRECT("'Выгрузка'!A406:Z406"),Настройки!$B$13)),",","."),".",MID(1/2,2,1)),"")))</f>
        <v/>
      </c>
      <c r="H406">
        <f>IF(F406="",0,IF(COUNTIF(Настройки!$B$17:$B$26,F406)&gt;0,1,IF(COUNTIF(Настройки!$C$17:$C$26,F406)&gt;0,2,IF(COUNTIF(Настройки!$D$17:$D$26,F406)&gt;0,3,0))))</f>
        <v/>
      </c>
      <c r="I406">
        <f>IF(AND(ISNUMBER(A406),ISNUMBER(B406)),A406*1000+B406,"")</f>
        <v/>
      </c>
      <c r="J406">
        <f>IF(I406="","",IF(COUNTIF(I$2:I406,I406)=1,MAX(J$1:J405)+1,""))</f>
        <v/>
      </c>
    </row>
    <row r="407">
      <c r="A407">
        <f>IFERROR(--SUBSTITUTE(SUBSTITUTE(TRIM(INDEX(INDIRECT("'Выгрузка'!A407:Z407"),Настройки!$B$7)),",","."),".",MID(1/2,2,1)),"")</f>
        <v/>
      </c>
      <c r="B407">
        <f>IFERROR(--SUBSTITUTE(SUBSTITUTE(TRIM(INDEX(INDIRECT("'Выгрузка'!A407:Z407"),Настройки!$B$9)),",","."),".",MID(1/2,2,1)),"")</f>
        <v/>
      </c>
      <c r="C407">
        <f>TRIM(INDEX(INDIRECT("'Выгрузка'!A407:Z407"),Настройки!$B$8)&amp;"")</f>
        <v/>
      </c>
      <c r="D407">
        <f>IFERROR(--SUBSTITUTE(SUBSTITUTE(TRIM(INDEX(INDIRECT("'Выгрузка'!A407:Z407"),Настройки!$B$10)),",","."),".",MID(1/2,2,1)),"")</f>
        <v/>
      </c>
      <c r="E407">
        <f>IFERROR(--SUBSTITUTE(SUBSTITUTE(TRIM(INDEX(INDIRECT("'Выгрузка'!A407:Z407"),Настройки!$B$11)),",","."),".",MID(1/2,2,1)),"")</f>
        <v/>
      </c>
      <c r="F407">
        <f>TRIM(INDEX(INDIRECT("'Выгрузка'!A407:Z407"),Настройки!$B$12)&amp;"")</f>
        <v/>
      </c>
      <c r="G407">
        <f>IF(F407="",0,IF(TRIM(INDEX(INDIRECT("'Выгрузка'!A407:Z407"),Настройки!$B$13)&amp;"")="",1,IFERROR(--SUBSTITUTE(SUBSTITUTE(TRIM(INDEX(INDIRECT("'Выгрузка'!A407:Z407"),Настройки!$B$13)),",","."),".",MID(1/2,2,1)),"")))</f>
        <v/>
      </c>
      <c r="H407">
        <f>IF(F407="",0,IF(COUNTIF(Настройки!$B$17:$B$26,F407)&gt;0,1,IF(COUNTIF(Настройки!$C$17:$C$26,F407)&gt;0,2,IF(COUNTIF(Настройки!$D$17:$D$26,F407)&gt;0,3,0))))</f>
        <v/>
      </c>
      <c r="I407">
        <f>IF(AND(ISNUMBER(A407),ISNUMBER(B407)),A407*1000+B407,"")</f>
        <v/>
      </c>
      <c r="J407">
        <f>IF(I407="","",IF(COUNTIF(I$2:I407,I407)=1,MAX(J$1:J406)+1,""))</f>
        <v/>
      </c>
    </row>
    <row r="408">
      <c r="A408">
        <f>IFERROR(--SUBSTITUTE(SUBSTITUTE(TRIM(INDEX(INDIRECT("'Выгрузка'!A408:Z408"),Настройки!$B$7)),",","."),".",MID(1/2,2,1)),"")</f>
        <v/>
      </c>
      <c r="B408">
        <f>IFERROR(--SUBSTITUTE(SUBSTITUTE(TRIM(INDEX(INDIRECT("'Выгрузка'!A408:Z408"),Настройки!$B$9)),",","."),".",MID(1/2,2,1)),"")</f>
        <v/>
      </c>
      <c r="C408">
        <f>TRIM(INDEX(INDIRECT("'Выгрузка'!A408:Z408"),Настройки!$B$8)&amp;"")</f>
        <v/>
      </c>
      <c r="D408">
        <f>IFERROR(--SUBSTITUTE(SUBSTITUTE(TRIM(INDEX(INDIRECT("'Выгрузка'!A408:Z408"),Настройки!$B$10)),",","."),".",MID(1/2,2,1)),"")</f>
        <v/>
      </c>
      <c r="E408">
        <f>IFERROR(--SUBSTITUTE(SUBSTITUTE(TRIM(INDEX(INDIRECT("'Выгрузка'!A408:Z408"),Настройки!$B$11)),",","."),".",MID(1/2,2,1)),"")</f>
        <v/>
      </c>
      <c r="F408">
        <f>TRIM(INDEX(INDIRECT("'Выгрузка'!A408:Z408"),Настройки!$B$12)&amp;"")</f>
        <v/>
      </c>
      <c r="G408">
        <f>IF(F408="",0,IF(TRIM(INDEX(INDIRECT("'Выгрузка'!A408:Z408"),Настройки!$B$13)&amp;"")="",1,IFERROR(--SUBSTITUTE(SUBSTITUTE(TRIM(INDEX(INDIRECT("'Выгрузка'!A408:Z408"),Настройки!$B$13)),",","."),".",MID(1/2,2,1)),"")))</f>
        <v/>
      </c>
      <c r="H408">
        <f>IF(F408="",0,IF(COUNTIF(Настройки!$B$17:$B$26,F408)&gt;0,1,IF(COUNTIF(Настройки!$C$17:$C$26,F408)&gt;0,2,IF(COUNTIF(Настройки!$D$17:$D$26,F408)&gt;0,3,0))))</f>
        <v/>
      </c>
      <c r="I408">
        <f>IF(AND(ISNUMBER(A408),ISNUMBER(B408)),A408*1000+B408,"")</f>
        <v/>
      </c>
      <c r="J408">
        <f>IF(I408="","",IF(COUNTIF(I$2:I408,I408)=1,MAX(J$1:J407)+1,""))</f>
        <v/>
      </c>
    </row>
    <row r="409">
      <c r="A409">
        <f>IFERROR(--SUBSTITUTE(SUBSTITUTE(TRIM(INDEX(INDIRECT("'Выгрузка'!A409:Z409"),Настройки!$B$7)),",","."),".",MID(1/2,2,1)),"")</f>
        <v/>
      </c>
      <c r="B409">
        <f>IFERROR(--SUBSTITUTE(SUBSTITUTE(TRIM(INDEX(INDIRECT("'Выгрузка'!A409:Z409"),Настройки!$B$9)),",","."),".",MID(1/2,2,1)),"")</f>
        <v/>
      </c>
      <c r="C409">
        <f>TRIM(INDEX(INDIRECT("'Выгрузка'!A409:Z409"),Настройки!$B$8)&amp;"")</f>
        <v/>
      </c>
      <c r="D409">
        <f>IFERROR(--SUBSTITUTE(SUBSTITUTE(TRIM(INDEX(INDIRECT("'Выгрузка'!A409:Z409"),Настройки!$B$10)),",","."),".",MID(1/2,2,1)),"")</f>
        <v/>
      </c>
      <c r="E409">
        <f>IFERROR(--SUBSTITUTE(SUBSTITUTE(TRIM(INDEX(INDIRECT("'Выгрузка'!A409:Z409"),Настройки!$B$11)),",","."),".",MID(1/2,2,1)),"")</f>
        <v/>
      </c>
      <c r="F409">
        <f>TRIM(INDEX(INDIRECT("'Выгрузка'!A409:Z409"),Настройки!$B$12)&amp;"")</f>
        <v/>
      </c>
      <c r="G409">
        <f>IF(F409="",0,IF(TRIM(INDEX(INDIRECT("'Выгрузка'!A409:Z409"),Настройки!$B$13)&amp;"")="",1,IFERROR(--SUBSTITUTE(SUBSTITUTE(TRIM(INDEX(INDIRECT("'Выгрузка'!A409:Z409"),Настройки!$B$13)),",","."),".",MID(1/2,2,1)),"")))</f>
        <v/>
      </c>
      <c r="H409">
        <f>IF(F409="",0,IF(COUNTIF(Настройки!$B$17:$B$26,F409)&gt;0,1,IF(COUNTIF(Настройки!$C$17:$C$26,F409)&gt;0,2,IF(COUNTIF(Настройки!$D$17:$D$26,F409)&gt;0,3,0))))</f>
        <v/>
      </c>
      <c r="I409">
        <f>IF(AND(ISNUMBER(A409),ISNUMBER(B409)),A409*1000+B409,"")</f>
        <v/>
      </c>
      <c r="J409">
        <f>IF(I409="","",IF(COUNTIF(I$2:I409,I409)=1,MAX(J$1:J408)+1,""))</f>
        <v/>
      </c>
    </row>
    <row r="410">
      <c r="A410">
        <f>IFERROR(--SUBSTITUTE(SUBSTITUTE(TRIM(INDEX(INDIRECT("'Выгрузка'!A410:Z410"),Настройки!$B$7)),",","."),".",MID(1/2,2,1)),"")</f>
        <v/>
      </c>
      <c r="B410">
        <f>IFERROR(--SUBSTITUTE(SUBSTITUTE(TRIM(INDEX(INDIRECT("'Выгрузка'!A410:Z410"),Настройки!$B$9)),",","."),".",MID(1/2,2,1)),"")</f>
        <v/>
      </c>
      <c r="C410">
        <f>TRIM(INDEX(INDIRECT("'Выгрузка'!A410:Z410"),Настройки!$B$8)&amp;"")</f>
        <v/>
      </c>
      <c r="D410">
        <f>IFERROR(--SUBSTITUTE(SUBSTITUTE(TRIM(INDEX(INDIRECT("'Выгрузка'!A410:Z410"),Настройки!$B$10)),",","."),".",MID(1/2,2,1)),"")</f>
        <v/>
      </c>
      <c r="E410">
        <f>IFERROR(--SUBSTITUTE(SUBSTITUTE(TRIM(INDEX(INDIRECT("'Выгрузка'!A410:Z410"),Настройки!$B$11)),",","."),".",MID(1/2,2,1)),"")</f>
        <v/>
      </c>
      <c r="F410">
        <f>TRIM(INDEX(INDIRECT("'Выгрузка'!A410:Z410"),Настройки!$B$12)&amp;"")</f>
        <v/>
      </c>
      <c r="G410">
        <f>IF(F410="",0,IF(TRIM(INDEX(INDIRECT("'Выгрузка'!A410:Z410"),Настройки!$B$13)&amp;"")="",1,IFERROR(--SUBSTITUTE(SUBSTITUTE(TRIM(INDEX(INDIRECT("'Выгрузка'!A410:Z410"),Настройки!$B$13)),",","."),".",MID(1/2,2,1)),"")))</f>
        <v/>
      </c>
      <c r="H410">
        <f>IF(F410="",0,IF(COUNTIF(Настройки!$B$17:$B$26,F410)&gt;0,1,IF(COUNTIF(Настройки!$C$17:$C$26,F410)&gt;0,2,IF(COUNTIF(Настройки!$D$17:$D$26,F410)&gt;0,3,0))))</f>
        <v/>
      </c>
      <c r="I410">
        <f>IF(AND(ISNUMBER(A410),ISNUMBER(B410)),A410*1000+B410,"")</f>
        <v/>
      </c>
      <c r="J410">
        <f>IF(I410="","",IF(COUNTIF(I$2:I410,I410)=1,MAX(J$1:J409)+1,""))</f>
        <v/>
      </c>
    </row>
    <row r="411">
      <c r="A411">
        <f>IFERROR(--SUBSTITUTE(SUBSTITUTE(TRIM(INDEX(INDIRECT("'Выгрузка'!A411:Z411"),Настройки!$B$7)),",","."),".",MID(1/2,2,1)),"")</f>
        <v/>
      </c>
      <c r="B411">
        <f>IFERROR(--SUBSTITUTE(SUBSTITUTE(TRIM(INDEX(INDIRECT("'Выгрузка'!A411:Z411"),Настройки!$B$9)),",","."),".",MID(1/2,2,1)),"")</f>
        <v/>
      </c>
      <c r="C411">
        <f>TRIM(INDEX(INDIRECT("'Выгрузка'!A411:Z411"),Настройки!$B$8)&amp;"")</f>
        <v/>
      </c>
      <c r="D411">
        <f>IFERROR(--SUBSTITUTE(SUBSTITUTE(TRIM(INDEX(INDIRECT("'Выгрузка'!A411:Z411"),Настройки!$B$10)),",","."),".",MID(1/2,2,1)),"")</f>
        <v/>
      </c>
      <c r="E411">
        <f>IFERROR(--SUBSTITUTE(SUBSTITUTE(TRIM(INDEX(INDIRECT("'Выгрузка'!A411:Z411"),Настройки!$B$11)),",","."),".",MID(1/2,2,1)),"")</f>
        <v/>
      </c>
      <c r="F411">
        <f>TRIM(INDEX(INDIRECT("'Выгрузка'!A411:Z411"),Настройки!$B$12)&amp;"")</f>
        <v/>
      </c>
      <c r="G411">
        <f>IF(F411="",0,IF(TRIM(INDEX(INDIRECT("'Выгрузка'!A411:Z411"),Настройки!$B$13)&amp;"")="",1,IFERROR(--SUBSTITUTE(SUBSTITUTE(TRIM(INDEX(INDIRECT("'Выгрузка'!A411:Z411"),Настройки!$B$13)),",","."),".",MID(1/2,2,1)),"")))</f>
        <v/>
      </c>
      <c r="H411">
        <f>IF(F411="",0,IF(COUNTIF(Настройки!$B$17:$B$26,F411)&gt;0,1,IF(COUNTIF(Настройки!$C$17:$C$26,F411)&gt;0,2,IF(COUNTIF(Настройки!$D$17:$D$26,F411)&gt;0,3,0))))</f>
        <v/>
      </c>
      <c r="I411">
        <f>IF(AND(ISNUMBER(A411),ISNUMBER(B411)),A411*1000+B411,"")</f>
        <v/>
      </c>
      <c r="J411">
        <f>IF(I411="","",IF(COUNTIF(I$2:I411,I411)=1,MAX(J$1:J410)+1,""))</f>
        <v/>
      </c>
    </row>
    <row r="412">
      <c r="A412">
        <f>IFERROR(--SUBSTITUTE(SUBSTITUTE(TRIM(INDEX(INDIRECT("'Выгрузка'!A412:Z412"),Настройки!$B$7)),",","."),".",MID(1/2,2,1)),"")</f>
        <v/>
      </c>
      <c r="B412">
        <f>IFERROR(--SUBSTITUTE(SUBSTITUTE(TRIM(INDEX(INDIRECT("'Выгрузка'!A412:Z412"),Настройки!$B$9)),",","."),".",MID(1/2,2,1)),"")</f>
        <v/>
      </c>
      <c r="C412">
        <f>TRIM(INDEX(INDIRECT("'Выгрузка'!A412:Z412"),Настройки!$B$8)&amp;"")</f>
        <v/>
      </c>
      <c r="D412">
        <f>IFERROR(--SUBSTITUTE(SUBSTITUTE(TRIM(INDEX(INDIRECT("'Выгрузка'!A412:Z412"),Настройки!$B$10)),",","."),".",MID(1/2,2,1)),"")</f>
        <v/>
      </c>
      <c r="E412">
        <f>IFERROR(--SUBSTITUTE(SUBSTITUTE(TRIM(INDEX(INDIRECT("'Выгрузка'!A412:Z412"),Настройки!$B$11)),",","."),".",MID(1/2,2,1)),"")</f>
        <v/>
      </c>
      <c r="F412">
        <f>TRIM(INDEX(INDIRECT("'Выгрузка'!A412:Z412"),Настройки!$B$12)&amp;"")</f>
        <v/>
      </c>
      <c r="G412">
        <f>IF(F412="",0,IF(TRIM(INDEX(INDIRECT("'Выгрузка'!A412:Z412"),Настройки!$B$13)&amp;"")="",1,IFERROR(--SUBSTITUTE(SUBSTITUTE(TRIM(INDEX(INDIRECT("'Выгрузка'!A412:Z412"),Настройки!$B$13)),",","."),".",MID(1/2,2,1)),"")))</f>
        <v/>
      </c>
      <c r="H412">
        <f>IF(F412="",0,IF(COUNTIF(Настройки!$B$17:$B$26,F412)&gt;0,1,IF(COUNTIF(Настройки!$C$17:$C$26,F412)&gt;0,2,IF(COUNTIF(Настройки!$D$17:$D$26,F412)&gt;0,3,0))))</f>
        <v/>
      </c>
      <c r="I412">
        <f>IF(AND(ISNUMBER(A412),ISNUMBER(B412)),A412*1000+B412,"")</f>
        <v/>
      </c>
      <c r="J412">
        <f>IF(I412="","",IF(COUNTIF(I$2:I412,I412)=1,MAX(J$1:J411)+1,""))</f>
        <v/>
      </c>
    </row>
    <row r="413">
      <c r="A413">
        <f>IFERROR(--SUBSTITUTE(SUBSTITUTE(TRIM(INDEX(INDIRECT("'Выгрузка'!A413:Z413"),Настройки!$B$7)),",","."),".",MID(1/2,2,1)),"")</f>
        <v/>
      </c>
      <c r="B413">
        <f>IFERROR(--SUBSTITUTE(SUBSTITUTE(TRIM(INDEX(INDIRECT("'Выгрузка'!A413:Z413"),Настройки!$B$9)),",","."),".",MID(1/2,2,1)),"")</f>
        <v/>
      </c>
      <c r="C413">
        <f>TRIM(INDEX(INDIRECT("'Выгрузка'!A413:Z413"),Настройки!$B$8)&amp;"")</f>
        <v/>
      </c>
      <c r="D413">
        <f>IFERROR(--SUBSTITUTE(SUBSTITUTE(TRIM(INDEX(INDIRECT("'Выгрузка'!A413:Z413"),Настройки!$B$10)),",","."),".",MID(1/2,2,1)),"")</f>
        <v/>
      </c>
      <c r="E413">
        <f>IFERROR(--SUBSTITUTE(SUBSTITUTE(TRIM(INDEX(INDIRECT("'Выгрузка'!A413:Z413"),Настройки!$B$11)),",","."),".",MID(1/2,2,1)),"")</f>
        <v/>
      </c>
      <c r="F413">
        <f>TRIM(INDEX(INDIRECT("'Выгрузка'!A413:Z413"),Настройки!$B$12)&amp;"")</f>
        <v/>
      </c>
      <c r="G413">
        <f>IF(F413="",0,IF(TRIM(INDEX(INDIRECT("'Выгрузка'!A413:Z413"),Настройки!$B$13)&amp;"")="",1,IFERROR(--SUBSTITUTE(SUBSTITUTE(TRIM(INDEX(INDIRECT("'Выгрузка'!A413:Z413"),Настройки!$B$13)),",","."),".",MID(1/2,2,1)),"")))</f>
        <v/>
      </c>
      <c r="H413">
        <f>IF(F413="",0,IF(COUNTIF(Настройки!$B$17:$B$26,F413)&gt;0,1,IF(COUNTIF(Настройки!$C$17:$C$26,F413)&gt;0,2,IF(COUNTIF(Настройки!$D$17:$D$26,F413)&gt;0,3,0))))</f>
        <v/>
      </c>
      <c r="I413">
        <f>IF(AND(ISNUMBER(A413),ISNUMBER(B413)),A413*1000+B413,"")</f>
        <v/>
      </c>
      <c r="J413">
        <f>IF(I413="","",IF(COUNTIF(I$2:I413,I413)=1,MAX(J$1:J412)+1,""))</f>
        <v/>
      </c>
    </row>
    <row r="414">
      <c r="A414">
        <f>IFERROR(--SUBSTITUTE(SUBSTITUTE(TRIM(INDEX(INDIRECT("'Выгрузка'!A414:Z414"),Настройки!$B$7)),",","."),".",MID(1/2,2,1)),"")</f>
        <v/>
      </c>
      <c r="B414">
        <f>IFERROR(--SUBSTITUTE(SUBSTITUTE(TRIM(INDEX(INDIRECT("'Выгрузка'!A414:Z414"),Настройки!$B$9)),",","."),".",MID(1/2,2,1)),"")</f>
        <v/>
      </c>
      <c r="C414">
        <f>TRIM(INDEX(INDIRECT("'Выгрузка'!A414:Z414"),Настройки!$B$8)&amp;"")</f>
        <v/>
      </c>
      <c r="D414">
        <f>IFERROR(--SUBSTITUTE(SUBSTITUTE(TRIM(INDEX(INDIRECT("'Выгрузка'!A414:Z414"),Настройки!$B$10)),",","."),".",MID(1/2,2,1)),"")</f>
        <v/>
      </c>
      <c r="E414">
        <f>IFERROR(--SUBSTITUTE(SUBSTITUTE(TRIM(INDEX(INDIRECT("'Выгрузка'!A414:Z414"),Настройки!$B$11)),",","."),".",MID(1/2,2,1)),"")</f>
        <v/>
      </c>
      <c r="F414">
        <f>TRIM(INDEX(INDIRECT("'Выгрузка'!A414:Z414"),Настройки!$B$12)&amp;"")</f>
        <v/>
      </c>
      <c r="G414">
        <f>IF(F414="",0,IF(TRIM(INDEX(INDIRECT("'Выгрузка'!A414:Z414"),Настройки!$B$13)&amp;"")="",1,IFERROR(--SUBSTITUTE(SUBSTITUTE(TRIM(INDEX(INDIRECT("'Выгрузка'!A414:Z414"),Настройки!$B$13)),",","."),".",MID(1/2,2,1)),"")))</f>
        <v/>
      </c>
      <c r="H414">
        <f>IF(F414="",0,IF(COUNTIF(Настройки!$B$17:$B$26,F414)&gt;0,1,IF(COUNTIF(Настройки!$C$17:$C$26,F414)&gt;0,2,IF(COUNTIF(Настройки!$D$17:$D$26,F414)&gt;0,3,0))))</f>
        <v/>
      </c>
      <c r="I414">
        <f>IF(AND(ISNUMBER(A414),ISNUMBER(B414)),A414*1000+B414,"")</f>
        <v/>
      </c>
      <c r="J414">
        <f>IF(I414="","",IF(COUNTIF(I$2:I414,I414)=1,MAX(J$1:J413)+1,""))</f>
        <v/>
      </c>
    </row>
    <row r="415">
      <c r="A415">
        <f>IFERROR(--SUBSTITUTE(SUBSTITUTE(TRIM(INDEX(INDIRECT("'Выгрузка'!A415:Z415"),Настройки!$B$7)),",","."),".",MID(1/2,2,1)),"")</f>
        <v/>
      </c>
      <c r="B415">
        <f>IFERROR(--SUBSTITUTE(SUBSTITUTE(TRIM(INDEX(INDIRECT("'Выгрузка'!A415:Z415"),Настройки!$B$9)),",","."),".",MID(1/2,2,1)),"")</f>
        <v/>
      </c>
      <c r="C415">
        <f>TRIM(INDEX(INDIRECT("'Выгрузка'!A415:Z415"),Настройки!$B$8)&amp;"")</f>
        <v/>
      </c>
      <c r="D415">
        <f>IFERROR(--SUBSTITUTE(SUBSTITUTE(TRIM(INDEX(INDIRECT("'Выгрузка'!A415:Z415"),Настройки!$B$10)),",","."),".",MID(1/2,2,1)),"")</f>
        <v/>
      </c>
      <c r="E415">
        <f>IFERROR(--SUBSTITUTE(SUBSTITUTE(TRIM(INDEX(INDIRECT("'Выгрузка'!A415:Z415"),Настройки!$B$11)),",","."),".",MID(1/2,2,1)),"")</f>
        <v/>
      </c>
      <c r="F415">
        <f>TRIM(INDEX(INDIRECT("'Выгрузка'!A415:Z415"),Настройки!$B$12)&amp;"")</f>
        <v/>
      </c>
      <c r="G415">
        <f>IF(F415="",0,IF(TRIM(INDEX(INDIRECT("'Выгрузка'!A415:Z415"),Настройки!$B$13)&amp;"")="",1,IFERROR(--SUBSTITUTE(SUBSTITUTE(TRIM(INDEX(INDIRECT("'Выгрузка'!A415:Z415"),Настройки!$B$13)),",","."),".",MID(1/2,2,1)),"")))</f>
        <v/>
      </c>
      <c r="H415">
        <f>IF(F415="",0,IF(COUNTIF(Настройки!$B$17:$B$26,F415)&gt;0,1,IF(COUNTIF(Настройки!$C$17:$C$26,F415)&gt;0,2,IF(COUNTIF(Настройки!$D$17:$D$26,F415)&gt;0,3,0))))</f>
        <v/>
      </c>
      <c r="I415">
        <f>IF(AND(ISNUMBER(A415),ISNUMBER(B415)),A415*1000+B415,"")</f>
        <v/>
      </c>
      <c r="J415">
        <f>IF(I415="","",IF(COUNTIF(I$2:I415,I415)=1,MAX(J$1:J414)+1,""))</f>
        <v/>
      </c>
    </row>
    <row r="416">
      <c r="A416">
        <f>IFERROR(--SUBSTITUTE(SUBSTITUTE(TRIM(INDEX(INDIRECT("'Выгрузка'!A416:Z416"),Настройки!$B$7)),",","."),".",MID(1/2,2,1)),"")</f>
        <v/>
      </c>
      <c r="B416">
        <f>IFERROR(--SUBSTITUTE(SUBSTITUTE(TRIM(INDEX(INDIRECT("'Выгрузка'!A416:Z416"),Настройки!$B$9)),",","."),".",MID(1/2,2,1)),"")</f>
        <v/>
      </c>
      <c r="C416">
        <f>TRIM(INDEX(INDIRECT("'Выгрузка'!A416:Z416"),Настройки!$B$8)&amp;"")</f>
        <v/>
      </c>
      <c r="D416">
        <f>IFERROR(--SUBSTITUTE(SUBSTITUTE(TRIM(INDEX(INDIRECT("'Выгрузка'!A416:Z416"),Настройки!$B$10)),",","."),".",MID(1/2,2,1)),"")</f>
        <v/>
      </c>
      <c r="E416">
        <f>IFERROR(--SUBSTITUTE(SUBSTITUTE(TRIM(INDEX(INDIRECT("'Выгрузка'!A416:Z416"),Настройки!$B$11)),",","."),".",MID(1/2,2,1)),"")</f>
        <v/>
      </c>
      <c r="F416">
        <f>TRIM(INDEX(INDIRECT("'Выгрузка'!A416:Z416"),Настройки!$B$12)&amp;"")</f>
        <v/>
      </c>
      <c r="G416">
        <f>IF(F416="",0,IF(TRIM(INDEX(INDIRECT("'Выгрузка'!A416:Z416"),Настройки!$B$13)&amp;"")="",1,IFERROR(--SUBSTITUTE(SUBSTITUTE(TRIM(INDEX(INDIRECT("'Выгрузка'!A416:Z416"),Настройки!$B$13)),",","."),".",MID(1/2,2,1)),"")))</f>
        <v/>
      </c>
      <c r="H416">
        <f>IF(F416="",0,IF(COUNTIF(Настройки!$B$17:$B$26,F416)&gt;0,1,IF(COUNTIF(Настройки!$C$17:$C$26,F416)&gt;0,2,IF(COUNTIF(Настройки!$D$17:$D$26,F416)&gt;0,3,0))))</f>
        <v/>
      </c>
      <c r="I416">
        <f>IF(AND(ISNUMBER(A416),ISNUMBER(B416)),A416*1000+B416,"")</f>
        <v/>
      </c>
      <c r="J416">
        <f>IF(I416="","",IF(COUNTIF(I$2:I416,I416)=1,MAX(J$1:J415)+1,""))</f>
        <v/>
      </c>
    </row>
    <row r="417">
      <c r="A417">
        <f>IFERROR(--SUBSTITUTE(SUBSTITUTE(TRIM(INDEX(INDIRECT("'Выгрузка'!A417:Z417"),Настройки!$B$7)),",","."),".",MID(1/2,2,1)),"")</f>
        <v/>
      </c>
      <c r="B417">
        <f>IFERROR(--SUBSTITUTE(SUBSTITUTE(TRIM(INDEX(INDIRECT("'Выгрузка'!A417:Z417"),Настройки!$B$9)),",","."),".",MID(1/2,2,1)),"")</f>
        <v/>
      </c>
      <c r="C417">
        <f>TRIM(INDEX(INDIRECT("'Выгрузка'!A417:Z417"),Настройки!$B$8)&amp;"")</f>
        <v/>
      </c>
      <c r="D417">
        <f>IFERROR(--SUBSTITUTE(SUBSTITUTE(TRIM(INDEX(INDIRECT("'Выгрузка'!A417:Z417"),Настройки!$B$10)),",","."),".",MID(1/2,2,1)),"")</f>
        <v/>
      </c>
      <c r="E417">
        <f>IFERROR(--SUBSTITUTE(SUBSTITUTE(TRIM(INDEX(INDIRECT("'Выгрузка'!A417:Z417"),Настройки!$B$11)),",","."),".",MID(1/2,2,1)),"")</f>
        <v/>
      </c>
      <c r="F417">
        <f>TRIM(INDEX(INDIRECT("'Выгрузка'!A417:Z417"),Настройки!$B$12)&amp;"")</f>
        <v/>
      </c>
      <c r="G417">
        <f>IF(F417="",0,IF(TRIM(INDEX(INDIRECT("'Выгрузка'!A417:Z417"),Настройки!$B$13)&amp;"")="",1,IFERROR(--SUBSTITUTE(SUBSTITUTE(TRIM(INDEX(INDIRECT("'Выгрузка'!A417:Z417"),Настройки!$B$13)),",","."),".",MID(1/2,2,1)),"")))</f>
        <v/>
      </c>
      <c r="H417">
        <f>IF(F417="",0,IF(COUNTIF(Настройки!$B$17:$B$26,F417)&gt;0,1,IF(COUNTIF(Настройки!$C$17:$C$26,F417)&gt;0,2,IF(COUNTIF(Настройки!$D$17:$D$26,F417)&gt;0,3,0))))</f>
        <v/>
      </c>
      <c r="I417">
        <f>IF(AND(ISNUMBER(A417),ISNUMBER(B417)),A417*1000+B417,"")</f>
        <v/>
      </c>
      <c r="J417">
        <f>IF(I417="","",IF(COUNTIF(I$2:I417,I417)=1,MAX(J$1:J416)+1,""))</f>
        <v/>
      </c>
    </row>
    <row r="418">
      <c r="A418">
        <f>IFERROR(--SUBSTITUTE(SUBSTITUTE(TRIM(INDEX(INDIRECT("'Выгрузка'!A418:Z418"),Настройки!$B$7)),",","."),".",MID(1/2,2,1)),"")</f>
        <v/>
      </c>
      <c r="B418">
        <f>IFERROR(--SUBSTITUTE(SUBSTITUTE(TRIM(INDEX(INDIRECT("'Выгрузка'!A418:Z418"),Настройки!$B$9)),",","."),".",MID(1/2,2,1)),"")</f>
        <v/>
      </c>
      <c r="C418">
        <f>TRIM(INDEX(INDIRECT("'Выгрузка'!A418:Z418"),Настройки!$B$8)&amp;"")</f>
        <v/>
      </c>
      <c r="D418">
        <f>IFERROR(--SUBSTITUTE(SUBSTITUTE(TRIM(INDEX(INDIRECT("'Выгрузка'!A418:Z418"),Настройки!$B$10)),",","."),".",MID(1/2,2,1)),"")</f>
        <v/>
      </c>
      <c r="E418">
        <f>IFERROR(--SUBSTITUTE(SUBSTITUTE(TRIM(INDEX(INDIRECT("'Выгрузка'!A418:Z418"),Настройки!$B$11)),",","."),".",MID(1/2,2,1)),"")</f>
        <v/>
      </c>
      <c r="F418">
        <f>TRIM(INDEX(INDIRECT("'Выгрузка'!A418:Z418"),Настройки!$B$12)&amp;"")</f>
        <v/>
      </c>
      <c r="G418">
        <f>IF(F418="",0,IF(TRIM(INDEX(INDIRECT("'Выгрузка'!A418:Z418"),Настройки!$B$13)&amp;"")="",1,IFERROR(--SUBSTITUTE(SUBSTITUTE(TRIM(INDEX(INDIRECT("'Выгрузка'!A418:Z418"),Настройки!$B$13)),",","."),".",MID(1/2,2,1)),"")))</f>
        <v/>
      </c>
      <c r="H418">
        <f>IF(F418="",0,IF(COUNTIF(Настройки!$B$17:$B$26,F418)&gt;0,1,IF(COUNTIF(Настройки!$C$17:$C$26,F418)&gt;0,2,IF(COUNTIF(Настройки!$D$17:$D$26,F418)&gt;0,3,0))))</f>
        <v/>
      </c>
      <c r="I418">
        <f>IF(AND(ISNUMBER(A418),ISNUMBER(B418)),A418*1000+B418,"")</f>
        <v/>
      </c>
      <c r="J418">
        <f>IF(I418="","",IF(COUNTIF(I$2:I418,I418)=1,MAX(J$1:J417)+1,""))</f>
        <v/>
      </c>
    </row>
    <row r="419">
      <c r="A419">
        <f>IFERROR(--SUBSTITUTE(SUBSTITUTE(TRIM(INDEX(INDIRECT("'Выгрузка'!A419:Z419"),Настройки!$B$7)),",","."),".",MID(1/2,2,1)),"")</f>
        <v/>
      </c>
      <c r="B419">
        <f>IFERROR(--SUBSTITUTE(SUBSTITUTE(TRIM(INDEX(INDIRECT("'Выгрузка'!A419:Z419"),Настройки!$B$9)),",","."),".",MID(1/2,2,1)),"")</f>
        <v/>
      </c>
      <c r="C419">
        <f>TRIM(INDEX(INDIRECT("'Выгрузка'!A419:Z419"),Настройки!$B$8)&amp;"")</f>
        <v/>
      </c>
      <c r="D419">
        <f>IFERROR(--SUBSTITUTE(SUBSTITUTE(TRIM(INDEX(INDIRECT("'Выгрузка'!A419:Z419"),Настройки!$B$10)),",","."),".",MID(1/2,2,1)),"")</f>
        <v/>
      </c>
      <c r="E419">
        <f>IFERROR(--SUBSTITUTE(SUBSTITUTE(TRIM(INDEX(INDIRECT("'Выгрузка'!A419:Z419"),Настройки!$B$11)),",","."),".",MID(1/2,2,1)),"")</f>
        <v/>
      </c>
      <c r="F419">
        <f>TRIM(INDEX(INDIRECT("'Выгрузка'!A419:Z419"),Настройки!$B$12)&amp;"")</f>
        <v/>
      </c>
      <c r="G419">
        <f>IF(F419="",0,IF(TRIM(INDEX(INDIRECT("'Выгрузка'!A419:Z419"),Настройки!$B$13)&amp;"")="",1,IFERROR(--SUBSTITUTE(SUBSTITUTE(TRIM(INDEX(INDIRECT("'Выгрузка'!A419:Z419"),Настройки!$B$13)),",","."),".",MID(1/2,2,1)),"")))</f>
        <v/>
      </c>
      <c r="H419">
        <f>IF(F419="",0,IF(COUNTIF(Настройки!$B$17:$B$26,F419)&gt;0,1,IF(COUNTIF(Настройки!$C$17:$C$26,F419)&gt;0,2,IF(COUNTIF(Настройки!$D$17:$D$26,F419)&gt;0,3,0))))</f>
        <v/>
      </c>
      <c r="I419">
        <f>IF(AND(ISNUMBER(A419),ISNUMBER(B419)),A419*1000+B419,"")</f>
        <v/>
      </c>
      <c r="J419">
        <f>IF(I419="","",IF(COUNTIF(I$2:I419,I419)=1,MAX(J$1:J418)+1,""))</f>
        <v/>
      </c>
    </row>
    <row r="420">
      <c r="A420">
        <f>IFERROR(--SUBSTITUTE(SUBSTITUTE(TRIM(INDEX(INDIRECT("'Выгрузка'!A420:Z420"),Настройки!$B$7)),",","."),".",MID(1/2,2,1)),"")</f>
        <v/>
      </c>
      <c r="B420">
        <f>IFERROR(--SUBSTITUTE(SUBSTITUTE(TRIM(INDEX(INDIRECT("'Выгрузка'!A420:Z420"),Настройки!$B$9)),",","."),".",MID(1/2,2,1)),"")</f>
        <v/>
      </c>
      <c r="C420">
        <f>TRIM(INDEX(INDIRECT("'Выгрузка'!A420:Z420"),Настройки!$B$8)&amp;"")</f>
        <v/>
      </c>
      <c r="D420">
        <f>IFERROR(--SUBSTITUTE(SUBSTITUTE(TRIM(INDEX(INDIRECT("'Выгрузка'!A420:Z420"),Настройки!$B$10)),",","."),".",MID(1/2,2,1)),"")</f>
        <v/>
      </c>
      <c r="E420">
        <f>IFERROR(--SUBSTITUTE(SUBSTITUTE(TRIM(INDEX(INDIRECT("'Выгрузка'!A420:Z420"),Настройки!$B$11)),",","."),".",MID(1/2,2,1)),"")</f>
        <v/>
      </c>
      <c r="F420">
        <f>TRIM(INDEX(INDIRECT("'Выгрузка'!A420:Z420"),Настройки!$B$12)&amp;"")</f>
        <v/>
      </c>
      <c r="G420">
        <f>IF(F420="",0,IF(TRIM(INDEX(INDIRECT("'Выгрузка'!A420:Z420"),Настройки!$B$13)&amp;"")="",1,IFERROR(--SUBSTITUTE(SUBSTITUTE(TRIM(INDEX(INDIRECT("'Выгрузка'!A420:Z420"),Настройки!$B$13)),",","."),".",MID(1/2,2,1)),"")))</f>
        <v/>
      </c>
      <c r="H420">
        <f>IF(F420="",0,IF(COUNTIF(Настройки!$B$17:$B$26,F420)&gt;0,1,IF(COUNTIF(Настройки!$C$17:$C$26,F420)&gt;0,2,IF(COUNTIF(Настройки!$D$17:$D$26,F420)&gt;0,3,0))))</f>
        <v/>
      </c>
      <c r="I420">
        <f>IF(AND(ISNUMBER(A420),ISNUMBER(B420)),A420*1000+B420,"")</f>
        <v/>
      </c>
      <c r="J420">
        <f>IF(I420="","",IF(COUNTIF(I$2:I420,I420)=1,MAX(J$1:J419)+1,""))</f>
        <v/>
      </c>
    </row>
    <row r="421">
      <c r="A421">
        <f>IFERROR(--SUBSTITUTE(SUBSTITUTE(TRIM(INDEX(INDIRECT("'Выгрузка'!A421:Z421"),Настройки!$B$7)),",","."),".",MID(1/2,2,1)),"")</f>
        <v/>
      </c>
      <c r="B421">
        <f>IFERROR(--SUBSTITUTE(SUBSTITUTE(TRIM(INDEX(INDIRECT("'Выгрузка'!A421:Z421"),Настройки!$B$9)),",","."),".",MID(1/2,2,1)),"")</f>
        <v/>
      </c>
      <c r="C421">
        <f>TRIM(INDEX(INDIRECT("'Выгрузка'!A421:Z421"),Настройки!$B$8)&amp;"")</f>
        <v/>
      </c>
      <c r="D421">
        <f>IFERROR(--SUBSTITUTE(SUBSTITUTE(TRIM(INDEX(INDIRECT("'Выгрузка'!A421:Z421"),Настройки!$B$10)),",","."),".",MID(1/2,2,1)),"")</f>
        <v/>
      </c>
      <c r="E421">
        <f>IFERROR(--SUBSTITUTE(SUBSTITUTE(TRIM(INDEX(INDIRECT("'Выгрузка'!A421:Z421"),Настройки!$B$11)),",","."),".",MID(1/2,2,1)),"")</f>
        <v/>
      </c>
      <c r="F421">
        <f>TRIM(INDEX(INDIRECT("'Выгрузка'!A421:Z421"),Настройки!$B$12)&amp;"")</f>
        <v/>
      </c>
      <c r="G421">
        <f>IF(F421="",0,IF(TRIM(INDEX(INDIRECT("'Выгрузка'!A421:Z421"),Настройки!$B$13)&amp;"")="",1,IFERROR(--SUBSTITUTE(SUBSTITUTE(TRIM(INDEX(INDIRECT("'Выгрузка'!A421:Z421"),Настройки!$B$13)),",","."),".",MID(1/2,2,1)),"")))</f>
        <v/>
      </c>
      <c r="H421">
        <f>IF(F421="",0,IF(COUNTIF(Настройки!$B$17:$B$26,F421)&gt;0,1,IF(COUNTIF(Настройки!$C$17:$C$26,F421)&gt;0,2,IF(COUNTIF(Настройки!$D$17:$D$26,F421)&gt;0,3,0))))</f>
        <v/>
      </c>
      <c r="I421">
        <f>IF(AND(ISNUMBER(A421),ISNUMBER(B421)),A421*1000+B421,"")</f>
        <v/>
      </c>
      <c r="J421">
        <f>IF(I421="","",IF(COUNTIF(I$2:I421,I421)=1,MAX(J$1:J420)+1,""))</f>
        <v/>
      </c>
    </row>
    <row r="422">
      <c r="A422">
        <f>IFERROR(--SUBSTITUTE(SUBSTITUTE(TRIM(INDEX(INDIRECT("'Выгрузка'!A422:Z422"),Настройки!$B$7)),",","."),".",MID(1/2,2,1)),"")</f>
        <v/>
      </c>
      <c r="B422">
        <f>IFERROR(--SUBSTITUTE(SUBSTITUTE(TRIM(INDEX(INDIRECT("'Выгрузка'!A422:Z422"),Настройки!$B$9)),",","."),".",MID(1/2,2,1)),"")</f>
        <v/>
      </c>
      <c r="C422">
        <f>TRIM(INDEX(INDIRECT("'Выгрузка'!A422:Z422"),Настройки!$B$8)&amp;"")</f>
        <v/>
      </c>
      <c r="D422">
        <f>IFERROR(--SUBSTITUTE(SUBSTITUTE(TRIM(INDEX(INDIRECT("'Выгрузка'!A422:Z422"),Настройки!$B$10)),",","."),".",MID(1/2,2,1)),"")</f>
        <v/>
      </c>
      <c r="E422">
        <f>IFERROR(--SUBSTITUTE(SUBSTITUTE(TRIM(INDEX(INDIRECT("'Выгрузка'!A422:Z422"),Настройки!$B$11)),",","."),".",MID(1/2,2,1)),"")</f>
        <v/>
      </c>
      <c r="F422">
        <f>TRIM(INDEX(INDIRECT("'Выгрузка'!A422:Z422"),Настройки!$B$12)&amp;"")</f>
        <v/>
      </c>
      <c r="G422">
        <f>IF(F422="",0,IF(TRIM(INDEX(INDIRECT("'Выгрузка'!A422:Z422"),Настройки!$B$13)&amp;"")="",1,IFERROR(--SUBSTITUTE(SUBSTITUTE(TRIM(INDEX(INDIRECT("'Выгрузка'!A422:Z422"),Настройки!$B$13)),",","."),".",MID(1/2,2,1)),"")))</f>
        <v/>
      </c>
      <c r="H422">
        <f>IF(F422="",0,IF(COUNTIF(Настройки!$B$17:$B$26,F422)&gt;0,1,IF(COUNTIF(Настройки!$C$17:$C$26,F422)&gt;0,2,IF(COUNTIF(Настройки!$D$17:$D$26,F422)&gt;0,3,0))))</f>
        <v/>
      </c>
      <c r="I422">
        <f>IF(AND(ISNUMBER(A422),ISNUMBER(B422)),A422*1000+B422,"")</f>
        <v/>
      </c>
      <c r="J422">
        <f>IF(I422="","",IF(COUNTIF(I$2:I422,I422)=1,MAX(J$1:J421)+1,""))</f>
        <v/>
      </c>
    </row>
    <row r="423">
      <c r="A423">
        <f>IFERROR(--SUBSTITUTE(SUBSTITUTE(TRIM(INDEX(INDIRECT("'Выгрузка'!A423:Z423"),Настройки!$B$7)),",","."),".",MID(1/2,2,1)),"")</f>
        <v/>
      </c>
      <c r="B423">
        <f>IFERROR(--SUBSTITUTE(SUBSTITUTE(TRIM(INDEX(INDIRECT("'Выгрузка'!A423:Z423"),Настройки!$B$9)),",","."),".",MID(1/2,2,1)),"")</f>
        <v/>
      </c>
      <c r="C423">
        <f>TRIM(INDEX(INDIRECT("'Выгрузка'!A423:Z423"),Настройки!$B$8)&amp;"")</f>
        <v/>
      </c>
      <c r="D423">
        <f>IFERROR(--SUBSTITUTE(SUBSTITUTE(TRIM(INDEX(INDIRECT("'Выгрузка'!A423:Z423"),Настройки!$B$10)),",","."),".",MID(1/2,2,1)),"")</f>
        <v/>
      </c>
      <c r="E423">
        <f>IFERROR(--SUBSTITUTE(SUBSTITUTE(TRIM(INDEX(INDIRECT("'Выгрузка'!A423:Z423"),Настройки!$B$11)),",","."),".",MID(1/2,2,1)),"")</f>
        <v/>
      </c>
      <c r="F423">
        <f>TRIM(INDEX(INDIRECT("'Выгрузка'!A423:Z423"),Настройки!$B$12)&amp;"")</f>
        <v/>
      </c>
      <c r="G423">
        <f>IF(F423="",0,IF(TRIM(INDEX(INDIRECT("'Выгрузка'!A423:Z423"),Настройки!$B$13)&amp;"")="",1,IFERROR(--SUBSTITUTE(SUBSTITUTE(TRIM(INDEX(INDIRECT("'Выгрузка'!A423:Z423"),Настройки!$B$13)),",","."),".",MID(1/2,2,1)),"")))</f>
        <v/>
      </c>
      <c r="H423">
        <f>IF(F423="",0,IF(COUNTIF(Настройки!$B$17:$B$26,F423)&gt;0,1,IF(COUNTIF(Настройки!$C$17:$C$26,F423)&gt;0,2,IF(COUNTIF(Настройки!$D$17:$D$26,F423)&gt;0,3,0))))</f>
        <v/>
      </c>
      <c r="I423">
        <f>IF(AND(ISNUMBER(A423),ISNUMBER(B423)),A423*1000+B423,"")</f>
        <v/>
      </c>
      <c r="J423">
        <f>IF(I423="","",IF(COUNTIF(I$2:I423,I423)=1,MAX(J$1:J422)+1,""))</f>
        <v/>
      </c>
    </row>
    <row r="424">
      <c r="A424">
        <f>IFERROR(--SUBSTITUTE(SUBSTITUTE(TRIM(INDEX(INDIRECT("'Выгрузка'!A424:Z424"),Настройки!$B$7)),",","."),".",MID(1/2,2,1)),"")</f>
        <v/>
      </c>
      <c r="B424">
        <f>IFERROR(--SUBSTITUTE(SUBSTITUTE(TRIM(INDEX(INDIRECT("'Выгрузка'!A424:Z424"),Настройки!$B$9)),",","."),".",MID(1/2,2,1)),"")</f>
        <v/>
      </c>
      <c r="C424">
        <f>TRIM(INDEX(INDIRECT("'Выгрузка'!A424:Z424"),Настройки!$B$8)&amp;"")</f>
        <v/>
      </c>
      <c r="D424">
        <f>IFERROR(--SUBSTITUTE(SUBSTITUTE(TRIM(INDEX(INDIRECT("'Выгрузка'!A424:Z424"),Настройки!$B$10)),",","."),".",MID(1/2,2,1)),"")</f>
        <v/>
      </c>
      <c r="E424">
        <f>IFERROR(--SUBSTITUTE(SUBSTITUTE(TRIM(INDEX(INDIRECT("'Выгрузка'!A424:Z424"),Настройки!$B$11)),",","."),".",MID(1/2,2,1)),"")</f>
        <v/>
      </c>
      <c r="F424">
        <f>TRIM(INDEX(INDIRECT("'Выгрузка'!A424:Z424"),Настройки!$B$12)&amp;"")</f>
        <v/>
      </c>
      <c r="G424">
        <f>IF(F424="",0,IF(TRIM(INDEX(INDIRECT("'Выгрузка'!A424:Z424"),Настройки!$B$13)&amp;"")="",1,IFERROR(--SUBSTITUTE(SUBSTITUTE(TRIM(INDEX(INDIRECT("'Выгрузка'!A424:Z424"),Настройки!$B$13)),",","."),".",MID(1/2,2,1)),"")))</f>
        <v/>
      </c>
      <c r="H424">
        <f>IF(F424="",0,IF(COUNTIF(Настройки!$B$17:$B$26,F424)&gt;0,1,IF(COUNTIF(Настройки!$C$17:$C$26,F424)&gt;0,2,IF(COUNTIF(Настройки!$D$17:$D$26,F424)&gt;0,3,0))))</f>
        <v/>
      </c>
      <c r="I424">
        <f>IF(AND(ISNUMBER(A424),ISNUMBER(B424)),A424*1000+B424,"")</f>
        <v/>
      </c>
      <c r="J424">
        <f>IF(I424="","",IF(COUNTIF(I$2:I424,I424)=1,MAX(J$1:J423)+1,""))</f>
        <v/>
      </c>
    </row>
    <row r="425">
      <c r="A425">
        <f>IFERROR(--SUBSTITUTE(SUBSTITUTE(TRIM(INDEX(INDIRECT("'Выгрузка'!A425:Z425"),Настройки!$B$7)),",","."),".",MID(1/2,2,1)),"")</f>
        <v/>
      </c>
      <c r="B425">
        <f>IFERROR(--SUBSTITUTE(SUBSTITUTE(TRIM(INDEX(INDIRECT("'Выгрузка'!A425:Z425"),Настройки!$B$9)),",","."),".",MID(1/2,2,1)),"")</f>
        <v/>
      </c>
      <c r="C425">
        <f>TRIM(INDEX(INDIRECT("'Выгрузка'!A425:Z425"),Настройки!$B$8)&amp;"")</f>
        <v/>
      </c>
      <c r="D425">
        <f>IFERROR(--SUBSTITUTE(SUBSTITUTE(TRIM(INDEX(INDIRECT("'Выгрузка'!A425:Z425"),Настройки!$B$10)),",","."),".",MID(1/2,2,1)),"")</f>
        <v/>
      </c>
      <c r="E425">
        <f>IFERROR(--SUBSTITUTE(SUBSTITUTE(TRIM(INDEX(INDIRECT("'Выгрузка'!A425:Z425"),Настройки!$B$11)),",","."),".",MID(1/2,2,1)),"")</f>
        <v/>
      </c>
      <c r="F425">
        <f>TRIM(INDEX(INDIRECT("'Выгрузка'!A425:Z425"),Настройки!$B$12)&amp;"")</f>
        <v/>
      </c>
      <c r="G425">
        <f>IF(F425="",0,IF(TRIM(INDEX(INDIRECT("'Выгрузка'!A425:Z425"),Настройки!$B$13)&amp;"")="",1,IFERROR(--SUBSTITUTE(SUBSTITUTE(TRIM(INDEX(INDIRECT("'Выгрузка'!A425:Z425"),Настройки!$B$13)),",","."),".",MID(1/2,2,1)),"")))</f>
        <v/>
      </c>
      <c r="H425">
        <f>IF(F425="",0,IF(COUNTIF(Настройки!$B$17:$B$26,F425)&gt;0,1,IF(COUNTIF(Настройки!$C$17:$C$26,F425)&gt;0,2,IF(COUNTIF(Настройки!$D$17:$D$26,F425)&gt;0,3,0))))</f>
        <v/>
      </c>
      <c r="I425">
        <f>IF(AND(ISNUMBER(A425),ISNUMBER(B425)),A425*1000+B425,"")</f>
        <v/>
      </c>
      <c r="J425">
        <f>IF(I425="","",IF(COUNTIF(I$2:I425,I425)=1,MAX(J$1:J424)+1,""))</f>
        <v/>
      </c>
    </row>
    <row r="426">
      <c r="A426">
        <f>IFERROR(--SUBSTITUTE(SUBSTITUTE(TRIM(INDEX(INDIRECT("'Выгрузка'!A426:Z426"),Настройки!$B$7)),",","."),".",MID(1/2,2,1)),"")</f>
        <v/>
      </c>
      <c r="B426">
        <f>IFERROR(--SUBSTITUTE(SUBSTITUTE(TRIM(INDEX(INDIRECT("'Выгрузка'!A426:Z426"),Настройки!$B$9)),",","."),".",MID(1/2,2,1)),"")</f>
        <v/>
      </c>
      <c r="C426">
        <f>TRIM(INDEX(INDIRECT("'Выгрузка'!A426:Z426"),Настройки!$B$8)&amp;"")</f>
        <v/>
      </c>
      <c r="D426">
        <f>IFERROR(--SUBSTITUTE(SUBSTITUTE(TRIM(INDEX(INDIRECT("'Выгрузка'!A426:Z426"),Настройки!$B$10)),",","."),".",MID(1/2,2,1)),"")</f>
        <v/>
      </c>
      <c r="E426">
        <f>IFERROR(--SUBSTITUTE(SUBSTITUTE(TRIM(INDEX(INDIRECT("'Выгрузка'!A426:Z426"),Настройки!$B$11)),",","."),".",MID(1/2,2,1)),"")</f>
        <v/>
      </c>
      <c r="F426">
        <f>TRIM(INDEX(INDIRECT("'Выгрузка'!A426:Z426"),Настройки!$B$12)&amp;"")</f>
        <v/>
      </c>
      <c r="G426">
        <f>IF(F426="",0,IF(TRIM(INDEX(INDIRECT("'Выгрузка'!A426:Z426"),Настройки!$B$13)&amp;"")="",1,IFERROR(--SUBSTITUTE(SUBSTITUTE(TRIM(INDEX(INDIRECT("'Выгрузка'!A426:Z426"),Настройки!$B$13)),",","."),".",MID(1/2,2,1)),"")))</f>
        <v/>
      </c>
      <c r="H426">
        <f>IF(F426="",0,IF(COUNTIF(Настройки!$B$17:$B$26,F426)&gt;0,1,IF(COUNTIF(Настройки!$C$17:$C$26,F426)&gt;0,2,IF(COUNTIF(Настройки!$D$17:$D$26,F426)&gt;0,3,0))))</f>
        <v/>
      </c>
      <c r="I426">
        <f>IF(AND(ISNUMBER(A426),ISNUMBER(B426)),A426*1000+B426,"")</f>
        <v/>
      </c>
      <c r="J426">
        <f>IF(I426="","",IF(COUNTIF(I$2:I426,I426)=1,MAX(J$1:J425)+1,""))</f>
        <v/>
      </c>
    </row>
    <row r="427">
      <c r="A427">
        <f>IFERROR(--SUBSTITUTE(SUBSTITUTE(TRIM(INDEX(INDIRECT("'Выгрузка'!A427:Z427"),Настройки!$B$7)),",","."),".",MID(1/2,2,1)),"")</f>
        <v/>
      </c>
      <c r="B427">
        <f>IFERROR(--SUBSTITUTE(SUBSTITUTE(TRIM(INDEX(INDIRECT("'Выгрузка'!A427:Z427"),Настройки!$B$9)),",","."),".",MID(1/2,2,1)),"")</f>
        <v/>
      </c>
      <c r="C427">
        <f>TRIM(INDEX(INDIRECT("'Выгрузка'!A427:Z427"),Настройки!$B$8)&amp;"")</f>
        <v/>
      </c>
      <c r="D427">
        <f>IFERROR(--SUBSTITUTE(SUBSTITUTE(TRIM(INDEX(INDIRECT("'Выгрузка'!A427:Z427"),Настройки!$B$10)),",","."),".",MID(1/2,2,1)),"")</f>
        <v/>
      </c>
      <c r="E427">
        <f>IFERROR(--SUBSTITUTE(SUBSTITUTE(TRIM(INDEX(INDIRECT("'Выгрузка'!A427:Z427"),Настройки!$B$11)),",","."),".",MID(1/2,2,1)),"")</f>
        <v/>
      </c>
      <c r="F427">
        <f>TRIM(INDEX(INDIRECT("'Выгрузка'!A427:Z427"),Настройки!$B$12)&amp;"")</f>
        <v/>
      </c>
      <c r="G427">
        <f>IF(F427="",0,IF(TRIM(INDEX(INDIRECT("'Выгрузка'!A427:Z427"),Настройки!$B$13)&amp;"")="",1,IFERROR(--SUBSTITUTE(SUBSTITUTE(TRIM(INDEX(INDIRECT("'Выгрузка'!A427:Z427"),Настройки!$B$13)),",","."),".",MID(1/2,2,1)),"")))</f>
        <v/>
      </c>
      <c r="H427">
        <f>IF(F427="",0,IF(COUNTIF(Настройки!$B$17:$B$26,F427)&gt;0,1,IF(COUNTIF(Настройки!$C$17:$C$26,F427)&gt;0,2,IF(COUNTIF(Настройки!$D$17:$D$26,F427)&gt;0,3,0))))</f>
        <v/>
      </c>
      <c r="I427">
        <f>IF(AND(ISNUMBER(A427),ISNUMBER(B427)),A427*1000+B427,"")</f>
        <v/>
      </c>
      <c r="J427">
        <f>IF(I427="","",IF(COUNTIF(I$2:I427,I427)=1,MAX(J$1:J426)+1,""))</f>
        <v/>
      </c>
    </row>
    <row r="428">
      <c r="A428">
        <f>IFERROR(--SUBSTITUTE(SUBSTITUTE(TRIM(INDEX(INDIRECT("'Выгрузка'!A428:Z428"),Настройки!$B$7)),",","."),".",MID(1/2,2,1)),"")</f>
        <v/>
      </c>
      <c r="B428">
        <f>IFERROR(--SUBSTITUTE(SUBSTITUTE(TRIM(INDEX(INDIRECT("'Выгрузка'!A428:Z428"),Настройки!$B$9)),",","."),".",MID(1/2,2,1)),"")</f>
        <v/>
      </c>
      <c r="C428">
        <f>TRIM(INDEX(INDIRECT("'Выгрузка'!A428:Z428"),Настройки!$B$8)&amp;"")</f>
        <v/>
      </c>
      <c r="D428">
        <f>IFERROR(--SUBSTITUTE(SUBSTITUTE(TRIM(INDEX(INDIRECT("'Выгрузка'!A428:Z428"),Настройки!$B$10)),",","."),".",MID(1/2,2,1)),"")</f>
        <v/>
      </c>
      <c r="E428">
        <f>IFERROR(--SUBSTITUTE(SUBSTITUTE(TRIM(INDEX(INDIRECT("'Выгрузка'!A428:Z428"),Настройки!$B$11)),",","."),".",MID(1/2,2,1)),"")</f>
        <v/>
      </c>
      <c r="F428">
        <f>TRIM(INDEX(INDIRECT("'Выгрузка'!A428:Z428"),Настройки!$B$12)&amp;"")</f>
        <v/>
      </c>
      <c r="G428">
        <f>IF(F428="",0,IF(TRIM(INDEX(INDIRECT("'Выгрузка'!A428:Z428"),Настройки!$B$13)&amp;"")="",1,IFERROR(--SUBSTITUTE(SUBSTITUTE(TRIM(INDEX(INDIRECT("'Выгрузка'!A428:Z428"),Настройки!$B$13)),",","."),".",MID(1/2,2,1)),"")))</f>
        <v/>
      </c>
      <c r="H428">
        <f>IF(F428="",0,IF(COUNTIF(Настройки!$B$17:$B$26,F428)&gt;0,1,IF(COUNTIF(Настройки!$C$17:$C$26,F428)&gt;0,2,IF(COUNTIF(Настройки!$D$17:$D$26,F428)&gt;0,3,0))))</f>
        <v/>
      </c>
      <c r="I428">
        <f>IF(AND(ISNUMBER(A428),ISNUMBER(B428)),A428*1000+B428,"")</f>
        <v/>
      </c>
      <c r="J428">
        <f>IF(I428="","",IF(COUNTIF(I$2:I428,I428)=1,MAX(J$1:J427)+1,""))</f>
        <v/>
      </c>
    </row>
    <row r="429">
      <c r="A429">
        <f>IFERROR(--SUBSTITUTE(SUBSTITUTE(TRIM(INDEX(INDIRECT("'Выгрузка'!A429:Z429"),Настройки!$B$7)),",","."),".",MID(1/2,2,1)),"")</f>
        <v/>
      </c>
      <c r="B429">
        <f>IFERROR(--SUBSTITUTE(SUBSTITUTE(TRIM(INDEX(INDIRECT("'Выгрузка'!A429:Z429"),Настройки!$B$9)),",","."),".",MID(1/2,2,1)),"")</f>
        <v/>
      </c>
      <c r="C429">
        <f>TRIM(INDEX(INDIRECT("'Выгрузка'!A429:Z429"),Настройки!$B$8)&amp;"")</f>
        <v/>
      </c>
      <c r="D429">
        <f>IFERROR(--SUBSTITUTE(SUBSTITUTE(TRIM(INDEX(INDIRECT("'Выгрузка'!A429:Z429"),Настройки!$B$10)),",","."),".",MID(1/2,2,1)),"")</f>
        <v/>
      </c>
      <c r="E429">
        <f>IFERROR(--SUBSTITUTE(SUBSTITUTE(TRIM(INDEX(INDIRECT("'Выгрузка'!A429:Z429"),Настройки!$B$11)),",","."),".",MID(1/2,2,1)),"")</f>
        <v/>
      </c>
      <c r="F429">
        <f>TRIM(INDEX(INDIRECT("'Выгрузка'!A429:Z429"),Настройки!$B$12)&amp;"")</f>
        <v/>
      </c>
      <c r="G429">
        <f>IF(F429="",0,IF(TRIM(INDEX(INDIRECT("'Выгрузка'!A429:Z429"),Настройки!$B$13)&amp;"")="",1,IFERROR(--SUBSTITUTE(SUBSTITUTE(TRIM(INDEX(INDIRECT("'Выгрузка'!A429:Z429"),Настройки!$B$13)),",","."),".",MID(1/2,2,1)),"")))</f>
        <v/>
      </c>
      <c r="H429">
        <f>IF(F429="",0,IF(COUNTIF(Настройки!$B$17:$B$26,F429)&gt;0,1,IF(COUNTIF(Настройки!$C$17:$C$26,F429)&gt;0,2,IF(COUNTIF(Настройки!$D$17:$D$26,F429)&gt;0,3,0))))</f>
        <v/>
      </c>
      <c r="I429">
        <f>IF(AND(ISNUMBER(A429),ISNUMBER(B429)),A429*1000+B429,"")</f>
        <v/>
      </c>
      <c r="J429">
        <f>IF(I429="","",IF(COUNTIF(I$2:I429,I429)=1,MAX(J$1:J428)+1,""))</f>
        <v/>
      </c>
    </row>
    <row r="430">
      <c r="A430">
        <f>IFERROR(--SUBSTITUTE(SUBSTITUTE(TRIM(INDEX(INDIRECT("'Выгрузка'!A430:Z430"),Настройки!$B$7)),",","."),".",MID(1/2,2,1)),"")</f>
        <v/>
      </c>
      <c r="B430">
        <f>IFERROR(--SUBSTITUTE(SUBSTITUTE(TRIM(INDEX(INDIRECT("'Выгрузка'!A430:Z430"),Настройки!$B$9)),",","."),".",MID(1/2,2,1)),"")</f>
        <v/>
      </c>
      <c r="C430">
        <f>TRIM(INDEX(INDIRECT("'Выгрузка'!A430:Z430"),Настройки!$B$8)&amp;"")</f>
        <v/>
      </c>
      <c r="D430">
        <f>IFERROR(--SUBSTITUTE(SUBSTITUTE(TRIM(INDEX(INDIRECT("'Выгрузка'!A430:Z430"),Настройки!$B$10)),",","."),".",MID(1/2,2,1)),"")</f>
        <v/>
      </c>
      <c r="E430">
        <f>IFERROR(--SUBSTITUTE(SUBSTITUTE(TRIM(INDEX(INDIRECT("'Выгрузка'!A430:Z430"),Настройки!$B$11)),",","."),".",MID(1/2,2,1)),"")</f>
        <v/>
      </c>
      <c r="F430">
        <f>TRIM(INDEX(INDIRECT("'Выгрузка'!A430:Z430"),Настройки!$B$12)&amp;"")</f>
        <v/>
      </c>
      <c r="G430">
        <f>IF(F430="",0,IF(TRIM(INDEX(INDIRECT("'Выгрузка'!A430:Z430"),Настройки!$B$13)&amp;"")="",1,IFERROR(--SUBSTITUTE(SUBSTITUTE(TRIM(INDEX(INDIRECT("'Выгрузка'!A430:Z430"),Настройки!$B$13)),",","."),".",MID(1/2,2,1)),"")))</f>
        <v/>
      </c>
      <c r="H430">
        <f>IF(F430="",0,IF(COUNTIF(Настройки!$B$17:$B$26,F430)&gt;0,1,IF(COUNTIF(Настройки!$C$17:$C$26,F430)&gt;0,2,IF(COUNTIF(Настройки!$D$17:$D$26,F430)&gt;0,3,0))))</f>
        <v/>
      </c>
      <c r="I430">
        <f>IF(AND(ISNUMBER(A430),ISNUMBER(B430)),A430*1000+B430,"")</f>
        <v/>
      </c>
      <c r="J430">
        <f>IF(I430="","",IF(COUNTIF(I$2:I430,I430)=1,MAX(J$1:J429)+1,""))</f>
        <v/>
      </c>
    </row>
    <row r="431">
      <c r="A431">
        <f>IFERROR(--SUBSTITUTE(SUBSTITUTE(TRIM(INDEX(INDIRECT("'Выгрузка'!A431:Z431"),Настройки!$B$7)),",","."),".",MID(1/2,2,1)),"")</f>
        <v/>
      </c>
      <c r="B431">
        <f>IFERROR(--SUBSTITUTE(SUBSTITUTE(TRIM(INDEX(INDIRECT("'Выгрузка'!A431:Z431"),Настройки!$B$9)),",","."),".",MID(1/2,2,1)),"")</f>
        <v/>
      </c>
      <c r="C431">
        <f>TRIM(INDEX(INDIRECT("'Выгрузка'!A431:Z431"),Настройки!$B$8)&amp;"")</f>
        <v/>
      </c>
      <c r="D431">
        <f>IFERROR(--SUBSTITUTE(SUBSTITUTE(TRIM(INDEX(INDIRECT("'Выгрузка'!A431:Z431"),Настройки!$B$10)),",","."),".",MID(1/2,2,1)),"")</f>
        <v/>
      </c>
      <c r="E431">
        <f>IFERROR(--SUBSTITUTE(SUBSTITUTE(TRIM(INDEX(INDIRECT("'Выгрузка'!A431:Z431"),Настройки!$B$11)),",","."),".",MID(1/2,2,1)),"")</f>
        <v/>
      </c>
      <c r="F431">
        <f>TRIM(INDEX(INDIRECT("'Выгрузка'!A431:Z431"),Настройки!$B$12)&amp;"")</f>
        <v/>
      </c>
      <c r="G431">
        <f>IF(F431="",0,IF(TRIM(INDEX(INDIRECT("'Выгрузка'!A431:Z431"),Настройки!$B$13)&amp;"")="",1,IFERROR(--SUBSTITUTE(SUBSTITUTE(TRIM(INDEX(INDIRECT("'Выгрузка'!A431:Z431"),Настройки!$B$13)),",","."),".",MID(1/2,2,1)),"")))</f>
        <v/>
      </c>
      <c r="H431">
        <f>IF(F431="",0,IF(COUNTIF(Настройки!$B$17:$B$26,F431)&gt;0,1,IF(COUNTIF(Настройки!$C$17:$C$26,F431)&gt;0,2,IF(COUNTIF(Настройки!$D$17:$D$26,F431)&gt;0,3,0))))</f>
        <v/>
      </c>
      <c r="I431">
        <f>IF(AND(ISNUMBER(A431),ISNUMBER(B431)),A431*1000+B431,"")</f>
        <v/>
      </c>
      <c r="J431">
        <f>IF(I431="","",IF(COUNTIF(I$2:I431,I431)=1,MAX(J$1:J430)+1,""))</f>
        <v/>
      </c>
    </row>
    <row r="432">
      <c r="A432">
        <f>IFERROR(--SUBSTITUTE(SUBSTITUTE(TRIM(INDEX(INDIRECT("'Выгрузка'!A432:Z432"),Настройки!$B$7)),",","."),".",MID(1/2,2,1)),"")</f>
        <v/>
      </c>
      <c r="B432">
        <f>IFERROR(--SUBSTITUTE(SUBSTITUTE(TRIM(INDEX(INDIRECT("'Выгрузка'!A432:Z432"),Настройки!$B$9)),",","."),".",MID(1/2,2,1)),"")</f>
        <v/>
      </c>
      <c r="C432">
        <f>TRIM(INDEX(INDIRECT("'Выгрузка'!A432:Z432"),Настройки!$B$8)&amp;"")</f>
        <v/>
      </c>
      <c r="D432">
        <f>IFERROR(--SUBSTITUTE(SUBSTITUTE(TRIM(INDEX(INDIRECT("'Выгрузка'!A432:Z432"),Настройки!$B$10)),",","."),".",MID(1/2,2,1)),"")</f>
        <v/>
      </c>
      <c r="E432">
        <f>IFERROR(--SUBSTITUTE(SUBSTITUTE(TRIM(INDEX(INDIRECT("'Выгрузка'!A432:Z432"),Настройки!$B$11)),",","."),".",MID(1/2,2,1)),"")</f>
        <v/>
      </c>
      <c r="F432">
        <f>TRIM(INDEX(INDIRECT("'Выгрузка'!A432:Z432"),Настройки!$B$12)&amp;"")</f>
        <v/>
      </c>
      <c r="G432">
        <f>IF(F432="",0,IF(TRIM(INDEX(INDIRECT("'Выгрузка'!A432:Z432"),Настройки!$B$13)&amp;"")="",1,IFERROR(--SUBSTITUTE(SUBSTITUTE(TRIM(INDEX(INDIRECT("'Выгрузка'!A432:Z432"),Настройки!$B$13)),",","."),".",MID(1/2,2,1)),"")))</f>
        <v/>
      </c>
      <c r="H432">
        <f>IF(F432="",0,IF(COUNTIF(Настройки!$B$17:$B$26,F432)&gt;0,1,IF(COUNTIF(Настройки!$C$17:$C$26,F432)&gt;0,2,IF(COUNTIF(Настройки!$D$17:$D$26,F432)&gt;0,3,0))))</f>
        <v/>
      </c>
      <c r="I432">
        <f>IF(AND(ISNUMBER(A432),ISNUMBER(B432)),A432*1000+B432,"")</f>
        <v/>
      </c>
      <c r="J432">
        <f>IF(I432="","",IF(COUNTIF(I$2:I432,I432)=1,MAX(J$1:J431)+1,""))</f>
        <v/>
      </c>
    </row>
    <row r="433">
      <c r="A433">
        <f>IFERROR(--SUBSTITUTE(SUBSTITUTE(TRIM(INDEX(INDIRECT("'Выгрузка'!A433:Z433"),Настройки!$B$7)),",","."),".",MID(1/2,2,1)),"")</f>
        <v/>
      </c>
      <c r="B433">
        <f>IFERROR(--SUBSTITUTE(SUBSTITUTE(TRIM(INDEX(INDIRECT("'Выгрузка'!A433:Z433"),Настройки!$B$9)),",","."),".",MID(1/2,2,1)),"")</f>
        <v/>
      </c>
      <c r="C433">
        <f>TRIM(INDEX(INDIRECT("'Выгрузка'!A433:Z433"),Настройки!$B$8)&amp;"")</f>
        <v/>
      </c>
      <c r="D433">
        <f>IFERROR(--SUBSTITUTE(SUBSTITUTE(TRIM(INDEX(INDIRECT("'Выгрузка'!A433:Z433"),Настройки!$B$10)),",","."),".",MID(1/2,2,1)),"")</f>
        <v/>
      </c>
      <c r="E433">
        <f>IFERROR(--SUBSTITUTE(SUBSTITUTE(TRIM(INDEX(INDIRECT("'Выгрузка'!A433:Z433"),Настройки!$B$11)),",","."),".",MID(1/2,2,1)),"")</f>
        <v/>
      </c>
      <c r="F433">
        <f>TRIM(INDEX(INDIRECT("'Выгрузка'!A433:Z433"),Настройки!$B$12)&amp;"")</f>
        <v/>
      </c>
      <c r="G433">
        <f>IF(F433="",0,IF(TRIM(INDEX(INDIRECT("'Выгрузка'!A433:Z433"),Настройки!$B$13)&amp;"")="",1,IFERROR(--SUBSTITUTE(SUBSTITUTE(TRIM(INDEX(INDIRECT("'Выгрузка'!A433:Z433"),Настройки!$B$13)),",","."),".",MID(1/2,2,1)),"")))</f>
        <v/>
      </c>
      <c r="H433">
        <f>IF(F433="",0,IF(COUNTIF(Настройки!$B$17:$B$26,F433)&gt;0,1,IF(COUNTIF(Настройки!$C$17:$C$26,F433)&gt;0,2,IF(COUNTIF(Настройки!$D$17:$D$26,F433)&gt;0,3,0))))</f>
        <v/>
      </c>
      <c r="I433">
        <f>IF(AND(ISNUMBER(A433),ISNUMBER(B433)),A433*1000+B433,"")</f>
        <v/>
      </c>
      <c r="J433">
        <f>IF(I433="","",IF(COUNTIF(I$2:I433,I433)=1,MAX(J$1:J432)+1,""))</f>
        <v/>
      </c>
    </row>
    <row r="434">
      <c r="A434">
        <f>IFERROR(--SUBSTITUTE(SUBSTITUTE(TRIM(INDEX(INDIRECT("'Выгрузка'!A434:Z434"),Настройки!$B$7)),",","."),".",MID(1/2,2,1)),"")</f>
        <v/>
      </c>
      <c r="B434">
        <f>IFERROR(--SUBSTITUTE(SUBSTITUTE(TRIM(INDEX(INDIRECT("'Выгрузка'!A434:Z434"),Настройки!$B$9)),",","."),".",MID(1/2,2,1)),"")</f>
        <v/>
      </c>
      <c r="C434">
        <f>TRIM(INDEX(INDIRECT("'Выгрузка'!A434:Z434"),Настройки!$B$8)&amp;"")</f>
        <v/>
      </c>
      <c r="D434">
        <f>IFERROR(--SUBSTITUTE(SUBSTITUTE(TRIM(INDEX(INDIRECT("'Выгрузка'!A434:Z434"),Настройки!$B$10)),",","."),".",MID(1/2,2,1)),"")</f>
        <v/>
      </c>
      <c r="E434">
        <f>IFERROR(--SUBSTITUTE(SUBSTITUTE(TRIM(INDEX(INDIRECT("'Выгрузка'!A434:Z434"),Настройки!$B$11)),",","."),".",MID(1/2,2,1)),"")</f>
        <v/>
      </c>
      <c r="F434">
        <f>TRIM(INDEX(INDIRECT("'Выгрузка'!A434:Z434"),Настройки!$B$12)&amp;"")</f>
        <v/>
      </c>
      <c r="G434">
        <f>IF(F434="",0,IF(TRIM(INDEX(INDIRECT("'Выгрузка'!A434:Z434"),Настройки!$B$13)&amp;"")="",1,IFERROR(--SUBSTITUTE(SUBSTITUTE(TRIM(INDEX(INDIRECT("'Выгрузка'!A434:Z434"),Настройки!$B$13)),",","."),".",MID(1/2,2,1)),"")))</f>
        <v/>
      </c>
      <c r="H434">
        <f>IF(F434="",0,IF(COUNTIF(Настройки!$B$17:$B$26,F434)&gt;0,1,IF(COUNTIF(Настройки!$C$17:$C$26,F434)&gt;0,2,IF(COUNTIF(Настройки!$D$17:$D$26,F434)&gt;0,3,0))))</f>
        <v/>
      </c>
      <c r="I434">
        <f>IF(AND(ISNUMBER(A434),ISNUMBER(B434)),A434*1000+B434,"")</f>
        <v/>
      </c>
      <c r="J434">
        <f>IF(I434="","",IF(COUNTIF(I$2:I434,I434)=1,MAX(J$1:J433)+1,""))</f>
        <v/>
      </c>
    </row>
    <row r="435">
      <c r="A435">
        <f>IFERROR(--SUBSTITUTE(SUBSTITUTE(TRIM(INDEX(INDIRECT("'Выгрузка'!A435:Z435"),Настройки!$B$7)),",","."),".",MID(1/2,2,1)),"")</f>
        <v/>
      </c>
      <c r="B435">
        <f>IFERROR(--SUBSTITUTE(SUBSTITUTE(TRIM(INDEX(INDIRECT("'Выгрузка'!A435:Z435"),Настройки!$B$9)),",","."),".",MID(1/2,2,1)),"")</f>
        <v/>
      </c>
      <c r="C435">
        <f>TRIM(INDEX(INDIRECT("'Выгрузка'!A435:Z435"),Настройки!$B$8)&amp;"")</f>
        <v/>
      </c>
      <c r="D435">
        <f>IFERROR(--SUBSTITUTE(SUBSTITUTE(TRIM(INDEX(INDIRECT("'Выгрузка'!A435:Z435"),Настройки!$B$10)),",","."),".",MID(1/2,2,1)),"")</f>
        <v/>
      </c>
      <c r="E435">
        <f>IFERROR(--SUBSTITUTE(SUBSTITUTE(TRIM(INDEX(INDIRECT("'Выгрузка'!A435:Z435"),Настройки!$B$11)),",","."),".",MID(1/2,2,1)),"")</f>
        <v/>
      </c>
      <c r="F435">
        <f>TRIM(INDEX(INDIRECT("'Выгрузка'!A435:Z435"),Настройки!$B$12)&amp;"")</f>
        <v/>
      </c>
      <c r="G435">
        <f>IF(F435="",0,IF(TRIM(INDEX(INDIRECT("'Выгрузка'!A435:Z435"),Настройки!$B$13)&amp;"")="",1,IFERROR(--SUBSTITUTE(SUBSTITUTE(TRIM(INDEX(INDIRECT("'Выгрузка'!A435:Z435"),Настройки!$B$13)),",","."),".",MID(1/2,2,1)),"")))</f>
        <v/>
      </c>
      <c r="H435">
        <f>IF(F435="",0,IF(COUNTIF(Настройки!$B$17:$B$26,F435)&gt;0,1,IF(COUNTIF(Настройки!$C$17:$C$26,F435)&gt;0,2,IF(COUNTIF(Настройки!$D$17:$D$26,F435)&gt;0,3,0))))</f>
        <v/>
      </c>
      <c r="I435">
        <f>IF(AND(ISNUMBER(A435),ISNUMBER(B435)),A435*1000+B435,"")</f>
        <v/>
      </c>
      <c r="J435">
        <f>IF(I435="","",IF(COUNTIF(I$2:I435,I435)=1,MAX(J$1:J434)+1,""))</f>
        <v/>
      </c>
    </row>
    <row r="436">
      <c r="A436">
        <f>IFERROR(--SUBSTITUTE(SUBSTITUTE(TRIM(INDEX(INDIRECT("'Выгрузка'!A436:Z436"),Настройки!$B$7)),",","."),".",MID(1/2,2,1)),"")</f>
        <v/>
      </c>
      <c r="B436">
        <f>IFERROR(--SUBSTITUTE(SUBSTITUTE(TRIM(INDEX(INDIRECT("'Выгрузка'!A436:Z436"),Настройки!$B$9)),",","."),".",MID(1/2,2,1)),"")</f>
        <v/>
      </c>
      <c r="C436">
        <f>TRIM(INDEX(INDIRECT("'Выгрузка'!A436:Z436"),Настройки!$B$8)&amp;"")</f>
        <v/>
      </c>
      <c r="D436">
        <f>IFERROR(--SUBSTITUTE(SUBSTITUTE(TRIM(INDEX(INDIRECT("'Выгрузка'!A436:Z436"),Настройки!$B$10)),",","."),".",MID(1/2,2,1)),"")</f>
        <v/>
      </c>
      <c r="E436">
        <f>IFERROR(--SUBSTITUTE(SUBSTITUTE(TRIM(INDEX(INDIRECT("'Выгрузка'!A436:Z436"),Настройки!$B$11)),",","."),".",MID(1/2,2,1)),"")</f>
        <v/>
      </c>
      <c r="F436">
        <f>TRIM(INDEX(INDIRECT("'Выгрузка'!A436:Z436"),Настройки!$B$12)&amp;"")</f>
        <v/>
      </c>
      <c r="G436">
        <f>IF(F436="",0,IF(TRIM(INDEX(INDIRECT("'Выгрузка'!A436:Z436"),Настройки!$B$13)&amp;"")="",1,IFERROR(--SUBSTITUTE(SUBSTITUTE(TRIM(INDEX(INDIRECT("'Выгрузка'!A436:Z436"),Настройки!$B$13)),",","."),".",MID(1/2,2,1)),"")))</f>
        <v/>
      </c>
      <c r="H436">
        <f>IF(F436="",0,IF(COUNTIF(Настройки!$B$17:$B$26,F436)&gt;0,1,IF(COUNTIF(Настройки!$C$17:$C$26,F436)&gt;0,2,IF(COUNTIF(Настройки!$D$17:$D$26,F436)&gt;0,3,0))))</f>
        <v/>
      </c>
      <c r="I436">
        <f>IF(AND(ISNUMBER(A436),ISNUMBER(B436)),A436*1000+B436,"")</f>
        <v/>
      </c>
      <c r="J436">
        <f>IF(I436="","",IF(COUNTIF(I$2:I436,I436)=1,MAX(J$1:J435)+1,""))</f>
        <v/>
      </c>
    </row>
    <row r="437">
      <c r="A437">
        <f>IFERROR(--SUBSTITUTE(SUBSTITUTE(TRIM(INDEX(INDIRECT("'Выгрузка'!A437:Z437"),Настройки!$B$7)),",","."),".",MID(1/2,2,1)),"")</f>
        <v/>
      </c>
      <c r="B437">
        <f>IFERROR(--SUBSTITUTE(SUBSTITUTE(TRIM(INDEX(INDIRECT("'Выгрузка'!A437:Z437"),Настройки!$B$9)),",","."),".",MID(1/2,2,1)),"")</f>
        <v/>
      </c>
      <c r="C437">
        <f>TRIM(INDEX(INDIRECT("'Выгрузка'!A437:Z437"),Настройки!$B$8)&amp;"")</f>
        <v/>
      </c>
      <c r="D437">
        <f>IFERROR(--SUBSTITUTE(SUBSTITUTE(TRIM(INDEX(INDIRECT("'Выгрузка'!A437:Z437"),Настройки!$B$10)),",","."),".",MID(1/2,2,1)),"")</f>
        <v/>
      </c>
      <c r="E437">
        <f>IFERROR(--SUBSTITUTE(SUBSTITUTE(TRIM(INDEX(INDIRECT("'Выгрузка'!A437:Z437"),Настройки!$B$11)),",","."),".",MID(1/2,2,1)),"")</f>
        <v/>
      </c>
      <c r="F437">
        <f>TRIM(INDEX(INDIRECT("'Выгрузка'!A437:Z437"),Настройки!$B$12)&amp;"")</f>
        <v/>
      </c>
      <c r="G437">
        <f>IF(F437="",0,IF(TRIM(INDEX(INDIRECT("'Выгрузка'!A437:Z437"),Настройки!$B$13)&amp;"")="",1,IFERROR(--SUBSTITUTE(SUBSTITUTE(TRIM(INDEX(INDIRECT("'Выгрузка'!A437:Z437"),Настройки!$B$13)),",","."),".",MID(1/2,2,1)),"")))</f>
        <v/>
      </c>
      <c r="H437">
        <f>IF(F437="",0,IF(COUNTIF(Настройки!$B$17:$B$26,F437)&gt;0,1,IF(COUNTIF(Настройки!$C$17:$C$26,F437)&gt;0,2,IF(COUNTIF(Настройки!$D$17:$D$26,F437)&gt;0,3,0))))</f>
        <v/>
      </c>
      <c r="I437">
        <f>IF(AND(ISNUMBER(A437),ISNUMBER(B437)),A437*1000+B437,"")</f>
        <v/>
      </c>
      <c r="J437">
        <f>IF(I437="","",IF(COUNTIF(I$2:I437,I437)=1,MAX(J$1:J436)+1,""))</f>
        <v/>
      </c>
    </row>
    <row r="438">
      <c r="A438">
        <f>IFERROR(--SUBSTITUTE(SUBSTITUTE(TRIM(INDEX(INDIRECT("'Выгрузка'!A438:Z438"),Настройки!$B$7)),",","."),".",MID(1/2,2,1)),"")</f>
        <v/>
      </c>
      <c r="B438">
        <f>IFERROR(--SUBSTITUTE(SUBSTITUTE(TRIM(INDEX(INDIRECT("'Выгрузка'!A438:Z438"),Настройки!$B$9)),",","."),".",MID(1/2,2,1)),"")</f>
        <v/>
      </c>
      <c r="C438">
        <f>TRIM(INDEX(INDIRECT("'Выгрузка'!A438:Z438"),Настройки!$B$8)&amp;"")</f>
        <v/>
      </c>
      <c r="D438">
        <f>IFERROR(--SUBSTITUTE(SUBSTITUTE(TRIM(INDEX(INDIRECT("'Выгрузка'!A438:Z438"),Настройки!$B$10)),",","."),".",MID(1/2,2,1)),"")</f>
        <v/>
      </c>
      <c r="E438">
        <f>IFERROR(--SUBSTITUTE(SUBSTITUTE(TRIM(INDEX(INDIRECT("'Выгрузка'!A438:Z438"),Настройки!$B$11)),",","."),".",MID(1/2,2,1)),"")</f>
        <v/>
      </c>
      <c r="F438">
        <f>TRIM(INDEX(INDIRECT("'Выгрузка'!A438:Z438"),Настройки!$B$12)&amp;"")</f>
        <v/>
      </c>
      <c r="G438">
        <f>IF(F438="",0,IF(TRIM(INDEX(INDIRECT("'Выгрузка'!A438:Z438"),Настройки!$B$13)&amp;"")="",1,IFERROR(--SUBSTITUTE(SUBSTITUTE(TRIM(INDEX(INDIRECT("'Выгрузка'!A438:Z438"),Настройки!$B$13)),",","."),".",MID(1/2,2,1)),"")))</f>
        <v/>
      </c>
      <c r="H438">
        <f>IF(F438="",0,IF(COUNTIF(Настройки!$B$17:$B$26,F438)&gt;0,1,IF(COUNTIF(Настройки!$C$17:$C$26,F438)&gt;0,2,IF(COUNTIF(Настройки!$D$17:$D$26,F438)&gt;0,3,0))))</f>
        <v/>
      </c>
      <c r="I438">
        <f>IF(AND(ISNUMBER(A438),ISNUMBER(B438)),A438*1000+B438,"")</f>
        <v/>
      </c>
      <c r="J438">
        <f>IF(I438="","",IF(COUNTIF(I$2:I438,I438)=1,MAX(J$1:J437)+1,""))</f>
        <v/>
      </c>
    </row>
    <row r="439">
      <c r="A439">
        <f>IFERROR(--SUBSTITUTE(SUBSTITUTE(TRIM(INDEX(INDIRECT("'Выгрузка'!A439:Z439"),Настройки!$B$7)),",","."),".",MID(1/2,2,1)),"")</f>
        <v/>
      </c>
      <c r="B439">
        <f>IFERROR(--SUBSTITUTE(SUBSTITUTE(TRIM(INDEX(INDIRECT("'Выгрузка'!A439:Z439"),Настройки!$B$9)),",","."),".",MID(1/2,2,1)),"")</f>
        <v/>
      </c>
      <c r="C439">
        <f>TRIM(INDEX(INDIRECT("'Выгрузка'!A439:Z439"),Настройки!$B$8)&amp;"")</f>
        <v/>
      </c>
      <c r="D439">
        <f>IFERROR(--SUBSTITUTE(SUBSTITUTE(TRIM(INDEX(INDIRECT("'Выгрузка'!A439:Z439"),Настройки!$B$10)),",","."),".",MID(1/2,2,1)),"")</f>
        <v/>
      </c>
      <c r="E439">
        <f>IFERROR(--SUBSTITUTE(SUBSTITUTE(TRIM(INDEX(INDIRECT("'Выгрузка'!A439:Z439"),Настройки!$B$11)),",","."),".",MID(1/2,2,1)),"")</f>
        <v/>
      </c>
      <c r="F439">
        <f>TRIM(INDEX(INDIRECT("'Выгрузка'!A439:Z439"),Настройки!$B$12)&amp;"")</f>
        <v/>
      </c>
      <c r="G439">
        <f>IF(F439="",0,IF(TRIM(INDEX(INDIRECT("'Выгрузка'!A439:Z439"),Настройки!$B$13)&amp;"")="",1,IFERROR(--SUBSTITUTE(SUBSTITUTE(TRIM(INDEX(INDIRECT("'Выгрузка'!A439:Z439"),Настройки!$B$13)),",","."),".",MID(1/2,2,1)),"")))</f>
        <v/>
      </c>
      <c r="H439">
        <f>IF(F439="",0,IF(COUNTIF(Настройки!$B$17:$B$26,F439)&gt;0,1,IF(COUNTIF(Настройки!$C$17:$C$26,F439)&gt;0,2,IF(COUNTIF(Настройки!$D$17:$D$26,F439)&gt;0,3,0))))</f>
        <v/>
      </c>
      <c r="I439">
        <f>IF(AND(ISNUMBER(A439),ISNUMBER(B439)),A439*1000+B439,"")</f>
        <v/>
      </c>
      <c r="J439">
        <f>IF(I439="","",IF(COUNTIF(I$2:I439,I439)=1,MAX(J$1:J438)+1,""))</f>
        <v/>
      </c>
    </row>
    <row r="440">
      <c r="A440">
        <f>IFERROR(--SUBSTITUTE(SUBSTITUTE(TRIM(INDEX(INDIRECT("'Выгрузка'!A440:Z440"),Настройки!$B$7)),",","."),".",MID(1/2,2,1)),"")</f>
        <v/>
      </c>
      <c r="B440">
        <f>IFERROR(--SUBSTITUTE(SUBSTITUTE(TRIM(INDEX(INDIRECT("'Выгрузка'!A440:Z440"),Настройки!$B$9)),",","."),".",MID(1/2,2,1)),"")</f>
        <v/>
      </c>
      <c r="C440">
        <f>TRIM(INDEX(INDIRECT("'Выгрузка'!A440:Z440"),Настройки!$B$8)&amp;"")</f>
        <v/>
      </c>
      <c r="D440">
        <f>IFERROR(--SUBSTITUTE(SUBSTITUTE(TRIM(INDEX(INDIRECT("'Выгрузка'!A440:Z440"),Настройки!$B$10)),",","."),".",MID(1/2,2,1)),"")</f>
        <v/>
      </c>
      <c r="E440">
        <f>IFERROR(--SUBSTITUTE(SUBSTITUTE(TRIM(INDEX(INDIRECT("'Выгрузка'!A440:Z440"),Настройки!$B$11)),",","."),".",MID(1/2,2,1)),"")</f>
        <v/>
      </c>
      <c r="F440">
        <f>TRIM(INDEX(INDIRECT("'Выгрузка'!A440:Z440"),Настройки!$B$12)&amp;"")</f>
        <v/>
      </c>
      <c r="G440">
        <f>IF(F440="",0,IF(TRIM(INDEX(INDIRECT("'Выгрузка'!A440:Z440"),Настройки!$B$13)&amp;"")="",1,IFERROR(--SUBSTITUTE(SUBSTITUTE(TRIM(INDEX(INDIRECT("'Выгрузка'!A440:Z440"),Настройки!$B$13)),",","."),".",MID(1/2,2,1)),"")))</f>
        <v/>
      </c>
      <c r="H440">
        <f>IF(F440="",0,IF(COUNTIF(Настройки!$B$17:$B$26,F440)&gt;0,1,IF(COUNTIF(Настройки!$C$17:$C$26,F440)&gt;0,2,IF(COUNTIF(Настройки!$D$17:$D$26,F440)&gt;0,3,0))))</f>
        <v/>
      </c>
      <c r="I440">
        <f>IF(AND(ISNUMBER(A440),ISNUMBER(B440)),A440*1000+B440,"")</f>
        <v/>
      </c>
      <c r="J440">
        <f>IF(I440="","",IF(COUNTIF(I$2:I440,I440)=1,MAX(J$1:J439)+1,""))</f>
        <v/>
      </c>
    </row>
    <row r="441">
      <c r="A441">
        <f>IFERROR(--SUBSTITUTE(SUBSTITUTE(TRIM(INDEX(INDIRECT("'Выгрузка'!A441:Z441"),Настройки!$B$7)),",","."),".",MID(1/2,2,1)),"")</f>
        <v/>
      </c>
      <c r="B441">
        <f>IFERROR(--SUBSTITUTE(SUBSTITUTE(TRIM(INDEX(INDIRECT("'Выгрузка'!A441:Z441"),Настройки!$B$9)),",","."),".",MID(1/2,2,1)),"")</f>
        <v/>
      </c>
      <c r="C441">
        <f>TRIM(INDEX(INDIRECT("'Выгрузка'!A441:Z441"),Настройки!$B$8)&amp;"")</f>
        <v/>
      </c>
      <c r="D441">
        <f>IFERROR(--SUBSTITUTE(SUBSTITUTE(TRIM(INDEX(INDIRECT("'Выгрузка'!A441:Z441"),Настройки!$B$10)),",","."),".",MID(1/2,2,1)),"")</f>
        <v/>
      </c>
      <c r="E441">
        <f>IFERROR(--SUBSTITUTE(SUBSTITUTE(TRIM(INDEX(INDIRECT("'Выгрузка'!A441:Z441"),Настройки!$B$11)),",","."),".",MID(1/2,2,1)),"")</f>
        <v/>
      </c>
      <c r="F441">
        <f>TRIM(INDEX(INDIRECT("'Выгрузка'!A441:Z441"),Настройки!$B$12)&amp;"")</f>
        <v/>
      </c>
      <c r="G441">
        <f>IF(F441="",0,IF(TRIM(INDEX(INDIRECT("'Выгрузка'!A441:Z441"),Настройки!$B$13)&amp;"")="",1,IFERROR(--SUBSTITUTE(SUBSTITUTE(TRIM(INDEX(INDIRECT("'Выгрузка'!A441:Z441"),Настройки!$B$13)),",","."),".",MID(1/2,2,1)),"")))</f>
        <v/>
      </c>
      <c r="H441">
        <f>IF(F441="",0,IF(COUNTIF(Настройки!$B$17:$B$26,F441)&gt;0,1,IF(COUNTIF(Настройки!$C$17:$C$26,F441)&gt;0,2,IF(COUNTIF(Настройки!$D$17:$D$26,F441)&gt;0,3,0))))</f>
        <v/>
      </c>
      <c r="I441">
        <f>IF(AND(ISNUMBER(A441),ISNUMBER(B441)),A441*1000+B441,"")</f>
        <v/>
      </c>
      <c r="J441">
        <f>IF(I441="","",IF(COUNTIF(I$2:I441,I441)=1,MAX(J$1:J440)+1,""))</f>
        <v/>
      </c>
    </row>
    <row r="442">
      <c r="A442">
        <f>IFERROR(--SUBSTITUTE(SUBSTITUTE(TRIM(INDEX(INDIRECT("'Выгрузка'!A442:Z442"),Настройки!$B$7)),",","."),".",MID(1/2,2,1)),"")</f>
        <v/>
      </c>
      <c r="B442">
        <f>IFERROR(--SUBSTITUTE(SUBSTITUTE(TRIM(INDEX(INDIRECT("'Выгрузка'!A442:Z442"),Настройки!$B$9)),",","."),".",MID(1/2,2,1)),"")</f>
        <v/>
      </c>
      <c r="C442">
        <f>TRIM(INDEX(INDIRECT("'Выгрузка'!A442:Z442"),Настройки!$B$8)&amp;"")</f>
        <v/>
      </c>
      <c r="D442">
        <f>IFERROR(--SUBSTITUTE(SUBSTITUTE(TRIM(INDEX(INDIRECT("'Выгрузка'!A442:Z442"),Настройки!$B$10)),",","."),".",MID(1/2,2,1)),"")</f>
        <v/>
      </c>
      <c r="E442">
        <f>IFERROR(--SUBSTITUTE(SUBSTITUTE(TRIM(INDEX(INDIRECT("'Выгрузка'!A442:Z442"),Настройки!$B$11)),",","."),".",MID(1/2,2,1)),"")</f>
        <v/>
      </c>
      <c r="F442">
        <f>TRIM(INDEX(INDIRECT("'Выгрузка'!A442:Z442"),Настройки!$B$12)&amp;"")</f>
        <v/>
      </c>
      <c r="G442">
        <f>IF(F442="",0,IF(TRIM(INDEX(INDIRECT("'Выгрузка'!A442:Z442"),Настройки!$B$13)&amp;"")="",1,IFERROR(--SUBSTITUTE(SUBSTITUTE(TRIM(INDEX(INDIRECT("'Выгрузка'!A442:Z442"),Настройки!$B$13)),",","."),".",MID(1/2,2,1)),"")))</f>
        <v/>
      </c>
      <c r="H442">
        <f>IF(F442="",0,IF(COUNTIF(Настройки!$B$17:$B$26,F442)&gt;0,1,IF(COUNTIF(Настройки!$C$17:$C$26,F442)&gt;0,2,IF(COUNTIF(Настройки!$D$17:$D$26,F442)&gt;0,3,0))))</f>
        <v/>
      </c>
      <c r="I442">
        <f>IF(AND(ISNUMBER(A442),ISNUMBER(B442)),A442*1000+B442,"")</f>
        <v/>
      </c>
      <c r="J442">
        <f>IF(I442="","",IF(COUNTIF(I$2:I442,I442)=1,MAX(J$1:J441)+1,""))</f>
        <v/>
      </c>
    </row>
    <row r="443">
      <c r="A443">
        <f>IFERROR(--SUBSTITUTE(SUBSTITUTE(TRIM(INDEX(INDIRECT("'Выгрузка'!A443:Z443"),Настройки!$B$7)),",","."),".",MID(1/2,2,1)),"")</f>
        <v/>
      </c>
      <c r="B443">
        <f>IFERROR(--SUBSTITUTE(SUBSTITUTE(TRIM(INDEX(INDIRECT("'Выгрузка'!A443:Z443"),Настройки!$B$9)),",","."),".",MID(1/2,2,1)),"")</f>
        <v/>
      </c>
      <c r="C443">
        <f>TRIM(INDEX(INDIRECT("'Выгрузка'!A443:Z443"),Настройки!$B$8)&amp;"")</f>
        <v/>
      </c>
      <c r="D443">
        <f>IFERROR(--SUBSTITUTE(SUBSTITUTE(TRIM(INDEX(INDIRECT("'Выгрузка'!A443:Z443"),Настройки!$B$10)),",","."),".",MID(1/2,2,1)),"")</f>
        <v/>
      </c>
      <c r="E443">
        <f>IFERROR(--SUBSTITUTE(SUBSTITUTE(TRIM(INDEX(INDIRECT("'Выгрузка'!A443:Z443"),Настройки!$B$11)),",","."),".",MID(1/2,2,1)),"")</f>
        <v/>
      </c>
      <c r="F443">
        <f>TRIM(INDEX(INDIRECT("'Выгрузка'!A443:Z443"),Настройки!$B$12)&amp;"")</f>
        <v/>
      </c>
      <c r="G443">
        <f>IF(F443="",0,IF(TRIM(INDEX(INDIRECT("'Выгрузка'!A443:Z443"),Настройки!$B$13)&amp;"")="",1,IFERROR(--SUBSTITUTE(SUBSTITUTE(TRIM(INDEX(INDIRECT("'Выгрузка'!A443:Z443"),Настройки!$B$13)),",","."),".",MID(1/2,2,1)),"")))</f>
        <v/>
      </c>
      <c r="H443">
        <f>IF(F443="",0,IF(COUNTIF(Настройки!$B$17:$B$26,F443)&gt;0,1,IF(COUNTIF(Настройки!$C$17:$C$26,F443)&gt;0,2,IF(COUNTIF(Настройки!$D$17:$D$26,F443)&gt;0,3,0))))</f>
        <v/>
      </c>
      <c r="I443">
        <f>IF(AND(ISNUMBER(A443),ISNUMBER(B443)),A443*1000+B443,"")</f>
        <v/>
      </c>
      <c r="J443">
        <f>IF(I443="","",IF(COUNTIF(I$2:I443,I443)=1,MAX(J$1:J442)+1,""))</f>
        <v/>
      </c>
    </row>
    <row r="444">
      <c r="A444">
        <f>IFERROR(--SUBSTITUTE(SUBSTITUTE(TRIM(INDEX(INDIRECT("'Выгрузка'!A444:Z444"),Настройки!$B$7)),",","."),".",MID(1/2,2,1)),"")</f>
        <v/>
      </c>
      <c r="B444">
        <f>IFERROR(--SUBSTITUTE(SUBSTITUTE(TRIM(INDEX(INDIRECT("'Выгрузка'!A444:Z444"),Настройки!$B$9)),",","."),".",MID(1/2,2,1)),"")</f>
        <v/>
      </c>
      <c r="C444">
        <f>TRIM(INDEX(INDIRECT("'Выгрузка'!A444:Z444"),Настройки!$B$8)&amp;"")</f>
        <v/>
      </c>
      <c r="D444">
        <f>IFERROR(--SUBSTITUTE(SUBSTITUTE(TRIM(INDEX(INDIRECT("'Выгрузка'!A444:Z444"),Настройки!$B$10)),",","."),".",MID(1/2,2,1)),"")</f>
        <v/>
      </c>
      <c r="E444">
        <f>IFERROR(--SUBSTITUTE(SUBSTITUTE(TRIM(INDEX(INDIRECT("'Выгрузка'!A444:Z444"),Настройки!$B$11)),",","."),".",MID(1/2,2,1)),"")</f>
        <v/>
      </c>
      <c r="F444">
        <f>TRIM(INDEX(INDIRECT("'Выгрузка'!A444:Z444"),Настройки!$B$12)&amp;"")</f>
        <v/>
      </c>
      <c r="G444">
        <f>IF(F444="",0,IF(TRIM(INDEX(INDIRECT("'Выгрузка'!A444:Z444"),Настройки!$B$13)&amp;"")="",1,IFERROR(--SUBSTITUTE(SUBSTITUTE(TRIM(INDEX(INDIRECT("'Выгрузка'!A444:Z444"),Настройки!$B$13)),",","."),".",MID(1/2,2,1)),"")))</f>
        <v/>
      </c>
      <c r="H444">
        <f>IF(F444="",0,IF(COUNTIF(Настройки!$B$17:$B$26,F444)&gt;0,1,IF(COUNTIF(Настройки!$C$17:$C$26,F444)&gt;0,2,IF(COUNTIF(Настройки!$D$17:$D$26,F444)&gt;0,3,0))))</f>
        <v/>
      </c>
      <c r="I444">
        <f>IF(AND(ISNUMBER(A444),ISNUMBER(B444)),A444*1000+B444,"")</f>
        <v/>
      </c>
      <c r="J444">
        <f>IF(I444="","",IF(COUNTIF(I$2:I444,I444)=1,MAX(J$1:J443)+1,""))</f>
        <v/>
      </c>
    </row>
    <row r="445">
      <c r="A445">
        <f>IFERROR(--SUBSTITUTE(SUBSTITUTE(TRIM(INDEX(INDIRECT("'Выгрузка'!A445:Z445"),Настройки!$B$7)),",","."),".",MID(1/2,2,1)),"")</f>
        <v/>
      </c>
      <c r="B445">
        <f>IFERROR(--SUBSTITUTE(SUBSTITUTE(TRIM(INDEX(INDIRECT("'Выгрузка'!A445:Z445"),Настройки!$B$9)),",","."),".",MID(1/2,2,1)),"")</f>
        <v/>
      </c>
      <c r="C445">
        <f>TRIM(INDEX(INDIRECT("'Выгрузка'!A445:Z445"),Настройки!$B$8)&amp;"")</f>
        <v/>
      </c>
      <c r="D445">
        <f>IFERROR(--SUBSTITUTE(SUBSTITUTE(TRIM(INDEX(INDIRECT("'Выгрузка'!A445:Z445"),Настройки!$B$10)),",","."),".",MID(1/2,2,1)),"")</f>
        <v/>
      </c>
      <c r="E445">
        <f>IFERROR(--SUBSTITUTE(SUBSTITUTE(TRIM(INDEX(INDIRECT("'Выгрузка'!A445:Z445"),Настройки!$B$11)),",","."),".",MID(1/2,2,1)),"")</f>
        <v/>
      </c>
      <c r="F445">
        <f>TRIM(INDEX(INDIRECT("'Выгрузка'!A445:Z445"),Настройки!$B$12)&amp;"")</f>
        <v/>
      </c>
      <c r="G445">
        <f>IF(F445="",0,IF(TRIM(INDEX(INDIRECT("'Выгрузка'!A445:Z445"),Настройки!$B$13)&amp;"")="",1,IFERROR(--SUBSTITUTE(SUBSTITUTE(TRIM(INDEX(INDIRECT("'Выгрузка'!A445:Z445"),Настройки!$B$13)),",","."),".",MID(1/2,2,1)),"")))</f>
        <v/>
      </c>
      <c r="H445">
        <f>IF(F445="",0,IF(COUNTIF(Настройки!$B$17:$B$26,F445)&gt;0,1,IF(COUNTIF(Настройки!$C$17:$C$26,F445)&gt;0,2,IF(COUNTIF(Настройки!$D$17:$D$26,F445)&gt;0,3,0))))</f>
        <v/>
      </c>
      <c r="I445">
        <f>IF(AND(ISNUMBER(A445),ISNUMBER(B445)),A445*1000+B445,"")</f>
        <v/>
      </c>
      <c r="J445">
        <f>IF(I445="","",IF(COUNTIF(I$2:I445,I445)=1,MAX(J$1:J444)+1,""))</f>
        <v/>
      </c>
    </row>
    <row r="446">
      <c r="A446">
        <f>IFERROR(--SUBSTITUTE(SUBSTITUTE(TRIM(INDEX(INDIRECT("'Выгрузка'!A446:Z446"),Настройки!$B$7)),",","."),".",MID(1/2,2,1)),"")</f>
        <v/>
      </c>
      <c r="B446">
        <f>IFERROR(--SUBSTITUTE(SUBSTITUTE(TRIM(INDEX(INDIRECT("'Выгрузка'!A446:Z446"),Настройки!$B$9)),",","."),".",MID(1/2,2,1)),"")</f>
        <v/>
      </c>
      <c r="C446">
        <f>TRIM(INDEX(INDIRECT("'Выгрузка'!A446:Z446"),Настройки!$B$8)&amp;"")</f>
        <v/>
      </c>
      <c r="D446">
        <f>IFERROR(--SUBSTITUTE(SUBSTITUTE(TRIM(INDEX(INDIRECT("'Выгрузка'!A446:Z446"),Настройки!$B$10)),",","."),".",MID(1/2,2,1)),"")</f>
        <v/>
      </c>
      <c r="E446">
        <f>IFERROR(--SUBSTITUTE(SUBSTITUTE(TRIM(INDEX(INDIRECT("'Выгрузка'!A446:Z446"),Настройки!$B$11)),",","."),".",MID(1/2,2,1)),"")</f>
        <v/>
      </c>
      <c r="F446">
        <f>TRIM(INDEX(INDIRECT("'Выгрузка'!A446:Z446"),Настройки!$B$12)&amp;"")</f>
        <v/>
      </c>
      <c r="G446">
        <f>IF(F446="",0,IF(TRIM(INDEX(INDIRECT("'Выгрузка'!A446:Z446"),Настройки!$B$13)&amp;"")="",1,IFERROR(--SUBSTITUTE(SUBSTITUTE(TRIM(INDEX(INDIRECT("'Выгрузка'!A446:Z446"),Настройки!$B$13)),",","."),".",MID(1/2,2,1)),"")))</f>
        <v/>
      </c>
      <c r="H446">
        <f>IF(F446="",0,IF(COUNTIF(Настройки!$B$17:$B$26,F446)&gt;0,1,IF(COUNTIF(Настройки!$C$17:$C$26,F446)&gt;0,2,IF(COUNTIF(Настройки!$D$17:$D$26,F446)&gt;0,3,0))))</f>
        <v/>
      </c>
      <c r="I446">
        <f>IF(AND(ISNUMBER(A446),ISNUMBER(B446)),A446*1000+B446,"")</f>
        <v/>
      </c>
      <c r="J446">
        <f>IF(I446="","",IF(COUNTIF(I$2:I446,I446)=1,MAX(J$1:J445)+1,""))</f>
        <v/>
      </c>
    </row>
    <row r="447">
      <c r="A447">
        <f>IFERROR(--SUBSTITUTE(SUBSTITUTE(TRIM(INDEX(INDIRECT("'Выгрузка'!A447:Z447"),Настройки!$B$7)),",","."),".",MID(1/2,2,1)),"")</f>
        <v/>
      </c>
      <c r="B447">
        <f>IFERROR(--SUBSTITUTE(SUBSTITUTE(TRIM(INDEX(INDIRECT("'Выгрузка'!A447:Z447"),Настройки!$B$9)),",","."),".",MID(1/2,2,1)),"")</f>
        <v/>
      </c>
      <c r="C447">
        <f>TRIM(INDEX(INDIRECT("'Выгрузка'!A447:Z447"),Настройки!$B$8)&amp;"")</f>
        <v/>
      </c>
      <c r="D447">
        <f>IFERROR(--SUBSTITUTE(SUBSTITUTE(TRIM(INDEX(INDIRECT("'Выгрузка'!A447:Z447"),Настройки!$B$10)),",","."),".",MID(1/2,2,1)),"")</f>
        <v/>
      </c>
      <c r="E447">
        <f>IFERROR(--SUBSTITUTE(SUBSTITUTE(TRIM(INDEX(INDIRECT("'Выгрузка'!A447:Z447"),Настройки!$B$11)),",","."),".",MID(1/2,2,1)),"")</f>
        <v/>
      </c>
      <c r="F447">
        <f>TRIM(INDEX(INDIRECT("'Выгрузка'!A447:Z447"),Настройки!$B$12)&amp;"")</f>
        <v/>
      </c>
      <c r="G447">
        <f>IF(F447="",0,IF(TRIM(INDEX(INDIRECT("'Выгрузка'!A447:Z447"),Настройки!$B$13)&amp;"")="",1,IFERROR(--SUBSTITUTE(SUBSTITUTE(TRIM(INDEX(INDIRECT("'Выгрузка'!A447:Z447"),Настройки!$B$13)),",","."),".",MID(1/2,2,1)),"")))</f>
        <v/>
      </c>
      <c r="H447">
        <f>IF(F447="",0,IF(COUNTIF(Настройки!$B$17:$B$26,F447)&gt;0,1,IF(COUNTIF(Настройки!$C$17:$C$26,F447)&gt;0,2,IF(COUNTIF(Настройки!$D$17:$D$26,F447)&gt;0,3,0))))</f>
        <v/>
      </c>
      <c r="I447">
        <f>IF(AND(ISNUMBER(A447),ISNUMBER(B447)),A447*1000+B447,"")</f>
        <v/>
      </c>
      <c r="J447">
        <f>IF(I447="","",IF(COUNTIF(I$2:I447,I447)=1,MAX(J$1:J446)+1,""))</f>
        <v/>
      </c>
    </row>
    <row r="448">
      <c r="A448">
        <f>IFERROR(--SUBSTITUTE(SUBSTITUTE(TRIM(INDEX(INDIRECT("'Выгрузка'!A448:Z448"),Настройки!$B$7)),",","."),".",MID(1/2,2,1)),"")</f>
        <v/>
      </c>
      <c r="B448">
        <f>IFERROR(--SUBSTITUTE(SUBSTITUTE(TRIM(INDEX(INDIRECT("'Выгрузка'!A448:Z448"),Настройки!$B$9)),",","."),".",MID(1/2,2,1)),"")</f>
        <v/>
      </c>
      <c r="C448">
        <f>TRIM(INDEX(INDIRECT("'Выгрузка'!A448:Z448"),Настройки!$B$8)&amp;"")</f>
        <v/>
      </c>
      <c r="D448">
        <f>IFERROR(--SUBSTITUTE(SUBSTITUTE(TRIM(INDEX(INDIRECT("'Выгрузка'!A448:Z448"),Настройки!$B$10)),",","."),".",MID(1/2,2,1)),"")</f>
        <v/>
      </c>
      <c r="E448">
        <f>IFERROR(--SUBSTITUTE(SUBSTITUTE(TRIM(INDEX(INDIRECT("'Выгрузка'!A448:Z448"),Настройки!$B$11)),",","."),".",MID(1/2,2,1)),"")</f>
        <v/>
      </c>
      <c r="F448">
        <f>TRIM(INDEX(INDIRECT("'Выгрузка'!A448:Z448"),Настройки!$B$12)&amp;"")</f>
        <v/>
      </c>
      <c r="G448">
        <f>IF(F448="",0,IF(TRIM(INDEX(INDIRECT("'Выгрузка'!A448:Z448"),Настройки!$B$13)&amp;"")="",1,IFERROR(--SUBSTITUTE(SUBSTITUTE(TRIM(INDEX(INDIRECT("'Выгрузка'!A448:Z448"),Настройки!$B$13)),",","."),".",MID(1/2,2,1)),"")))</f>
        <v/>
      </c>
      <c r="H448">
        <f>IF(F448="",0,IF(COUNTIF(Настройки!$B$17:$B$26,F448)&gt;0,1,IF(COUNTIF(Настройки!$C$17:$C$26,F448)&gt;0,2,IF(COUNTIF(Настройки!$D$17:$D$26,F448)&gt;0,3,0))))</f>
        <v/>
      </c>
      <c r="I448">
        <f>IF(AND(ISNUMBER(A448),ISNUMBER(B448)),A448*1000+B448,"")</f>
        <v/>
      </c>
      <c r="J448">
        <f>IF(I448="","",IF(COUNTIF(I$2:I448,I448)=1,MAX(J$1:J447)+1,""))</f>
        <v/>
      </c>
    </row>
    <row r="449">
      <c r="A449">
        <f>IFERROR(--SUBSTITUTE(SUBSTITUTE(TRIM(INDEX(INDIRECT("'Выгрузка'!A449:Z449"),Настройки!$B$7)),",","."),".",MID(1/2,2,1)),"")</f>
        <v/>
      </c>
      <c r="B449">
        <f>IFERROR(--SUBSTITUTE(SUBSTITUTE(TRIM(INDEX(INDIRECT("'Выгрузка'!A449:Z449"),Настройки!$B$9)),",","."),".",MID(1/2,2,1)),"")</f>
        <v/>
      </c>
      <c r="C449">
        <f>TRIM(INDEX(INDIRECT("'Выгрузка'!A449:Z449"),Настройки!$B$8)&amp;"")</f>
        <v/>
      </c>
      <c r="D449">
        <f>IFERROR(--SUBSTITUTE(SUBSTITUTE(TRIM(INDEX(INDIRECT("'Выгрузка'!A449:Z449"),Настройки!$B$10)),",","."),".",MID(1/2,2,1)),"")</f>
        <v/>
      </c>
      <c r="E449">
        <f>IFERROR(--SUBSTITUTE(SUBSTITUTE(TRIM(INDEX(INDIRECT("'Выгрузка'!A449:Z449"),Настройки!$B$11)),",","."),".",MID(1/2,2,1)),"")</f>
        <v/>
      </c>
      <c r="F449">
        <f>TRIM(INDEX(INDIRECT("'Выгрузка'!A449:Z449"),Настройки!$B$12)&amp;"")</f>
        <v/>
      </c>
      <c r="G449">
        <f>IF(F449="",0,IF(TRIM(INDEX(INDIRECT("'Выгрузка'!A449:Z449"),Настройки!$B$13)&amp;"")="",1,IFERROR(--SUBSTITUTE(SUBSTITUTE(TRIM(INDEX(INDIRECT("'Выгрузка'!A449:Z449"),Настройки!$B$13)),",","."),".",MID(1/2,2,1)),"")))</f>
        <v/>
      </c>
      <c r="H449">
        <f>IF(F449="",0,IF(COUNTIF(Настройки!$B$17:$B$26,F449)&gt;0,1,IF(COUNTIF(Настройки!$C$17:$C$26,F449)&gt;0,2,IF(COUNTIF(Настройки!$D$17:$D$26,F449)&gt;0,3,0))))</f>
        <v/>
      </c>
      <c r="I449">
        <f>IF(AND(ISNUMBER(A449),ISNUMBER(B449)),A449*1000+B449,"")</f>
        <v/>
      </c>
      <c r="J449">
        <f>IF(I449="","",IF(COUNTIF(I$2:I449,I449)=1,MAX(J$1:J448)+1,""))</f>
        <v/>
      </c>
    </row>
    <row r="450">
      <c r="A450">
        <f>IFERROR(--SUBSTITUTE(SUBSTITUTE(TRIM(INDEX(INDIRECT("'Выгрузка'!A450:Z450"),Настройки!$B$7)),",","."),".",MID(1/2,2,1)),"")</f>
        <v/>
      </c>
      <c r="B450">
        <f>IFERROR(--SUBSTITUTE(SUBSTITUTE(TRIM(INDEX(INDIRECT("'Выгрузка'!A450:Z450"),Настройки!$B$9)),",","."),".",MID(1/2,2,1)),"")</f>
        <v/>
      </c>
      <c r="C450">
        <f>TRIM(INDEX(INDIRECT("'Выгрузка'!A450:Z450"),Настройки!$B$8)&amp;"")</f>
        <v/>
      </c>
      <c r="D450">
        <f>IFERROR(--SUBSTITUTE(SUBSTITUTE(TRIM(INDEX(INDIRECT("'Выгрузка'!A450:Z450"),Настройки!$B$10)),",","."),".",MID(1/2,2,1)),"")</f>
        <v/>
      </c>
      <c r="E450">
        <f>IFERROR(--SUBSTITUTE(SUBSTITUTE(TRIM(INDEX(INDIRECT("'Выгрузка'!A450:Z450"),Настройки!$B$11)),",","."),".",MID(1/2,2,1)),"")</f>
        <v/>
      </c>
      <c r="F450">
        <f>TRIM(INDEX(INDIRECT("'Выгрузка'!A450:Z450"),Настройки!$B$12)&amp;"")</f>
        <v/>
      </c>
      <c r="G450">
        <f>IF(F450="",0,IF(TRIM(INDEX(INDIRECT("'Выгрузка'!A450:Z450"),Настройки!$B$13)&amp;"")="",1,IFERROR(--SUBSTITUTE(SUBSTITUTE(TRIM(INDEX(INDIRECT("'Выгрузка'!A450:Z450"),Настройки!$B$13)),",","."),".",MID(1/2,2,1)),"")))</f>
        <v/>
      </c>
      <c r="H450">
        <f>IF(F450="",0,IF(COUNTIF(Настройки!$B$17:$B$26,F450)&gt;0,1,IF(COUNTIF(Настройки!$C$17:$C$26,F450)&gt;0,2,IF(COUNTIF(Настройки!$D$17:$D$26,F450)&gt;0,3,0))))</f>
        <v/>
      </c>
      <c r="I450">
        <f>IF(AND(ISNUMBER(A450),ISNUMBER(B450)),A450*1000+B450,"")</f>
        <v/>
      </c>
      <c r="J450">
        <f>IF(I450="","",IF(COUNTIF(I$2:I450,I450)=1,MAX(J$1:J449)+1,""))</f>
        <v/>
      </c>
    </row>
    <row r="451">
      <c r="A451">
        <f>IFERROR(--SUBSTITUTE(SUBSTITUTE(TRIM(INDEX(INDIRECT("'Выгрузка'!A451:Z451"),Настройки!$B$7)),",","."),".",MID(1/2,2,1)),"")</f>
        <v/>
      </c>
      <c r="B451">
        <f>IFERROR(--SUBSTITUTE(SUBSTITUTE(TRIM(INDEX(INDIRECT("'Выгрузка'!A451:Z451"),Настройки!$B$9)),",","."),".",MID(1/2,2,1)),"")</f>
        <v/>
      </c>
      <c r="C451">
        <f>TRIM(INDEX(INDIRECT("'Выгрузка'!A451:Z451"),Настройки!$B$8)&amp;"")</f>
        <v/>
      </c>
      <c r="D451">
        <f>IFERROR(--SUBSTITUTE(SUBSTITUTE(TRIM(INDEX(INDIRECT("'Выгрузка'!A451:Z451"),Настройки!$B$10)),",","."),".",MID(1/2,2,1)),"")</f>
        <v/>
      </c>
      <c r="E451">
        <f>IFERROR(--SUBSTITUTE(SUBSTITUTE(TRIM(INDEX(INDIRECT("'Выгрузка'!A451:Z451"),Настройки!$B$11)),",","."),".",MID(1/2,2,1)),"")</f>
        <v/>
      </c>
      <c r="F451">
        <f>TRIM(INDEX(INDIRECT("'Выгрузка'!A451:Z451"),Настройки!$B$12)&amp;"")</f>
        <v/>
      </c>
      <c r="G451">
        <f>IF(F451="",0,IF(TRIM(INDEX(INDIRECT("'Выгрузка'!A451:Z451"),Настройки!$B$13)&amp;"")="",1,IFERROR(--SUBSTITUTE(SUBSTITUTE(TRIM(INDEX(INDIRECT("'Выгрузка'!A451:Z451"),Настройки!$B$13)),",","."),".",MID(1/2,2,1)),"")))</f>
        <v/>
      </c>
      <c r="H451">
        <f>IF(F451="",0,IF(COUNTIF(Настройки!$B$17:$B$26,F451)&gt;0,1,IF(COUNTIF(Настройки!$C$17:$C$26,F451)&gt;0,2,IF(COUNTIF(Настройки!$D$17:$D$26,F451)&gt;0,3,0))))</f>
        <v/>
      </c>
      <c r="I451">
        <f>IF(AND(ISNUMBER(A451),ISNUMBER(B451)),A451*1000+B451,"")</f>
        <v/>
      </c>
      <c r="J451">
        <f>IF(I451="","",IF(COUNTIF(I$2:I451,I451)=1,MAX(J$1:J450)+1,""))</f>
        <v/>
      </c>
    </row>
    <row r="452">
      <c r="A452">
        <f>IFERROR(--SUBSTITUTE(SUBSTITUTE(TRIM(INDEX(INDIRECT("'Выгрузка'!A452:Z452"),Настройки!$B$7)),",","."),".",MID(1/2,2,1)),"")</f>
        <v/>
      </c>
      <c r="B452">
        <f>IFERROR(--SUBSTITUTE(SUBSTITUTE(TRIM(INDEX(INDIRECT("'Выгрузка'!A452:Z452"),Настройки!$B$9)),",","."),".",MID(1/2,2,1)),"")</f>
        <v/>
      </c>
      <c r="C452">
        <f>TRIM(INDEX(INDIRECT("'Выгрузка'!A452:Z452"),Настройки!$B$8)&amp;"")</f>
        <v/>
      </c>
      <c r="D452">
        <f>IFERROR(--SUBSTITUTE(SUBSTITUTE(TRIM(INDEX(INDIRECT("'Выгрузка'!A452:Z452"),Настройки!$B$10)),",","."),".",MID(1/2,2,1)),"")</f>
        <v/>
      </c>
      <c r="E452">
        <f>IFERROR(--SUBSTITUTE(SUBSTITUTE(TRIM(INDEX(INDIRECT("'Выгрузка'!A452:Z452"),Настройки!$B$11)),",","."),".",MID(1/2,2,1)),"")</f>
        <v/>
      </c>
      <c r="F452">
        <f>TRIM(INDEX(INDIRECT("'Выгрузка'!A452:Z452"),Настройки!$B$12)&amp;"")</f>
        <v/>
      </c>
      <c r="G452">
        <f>IF(F452="",0,IF(TRIM(INDEX(INDIRECT("'Выгрузка'!A452:Z452"),Настройки!$B$13)&amp;"")="",1,IFERROR(--SUBSTITUTE(SUBSTITUTE(TRIM(INDEX(INDIRECT("'Выгрузка'!A452:Z452"),Настройки!$B$13)),",","."),".",MID(1/2,2,1)),"")))</f>
        <v/>
      </c>
      <c r="H452">
        <f>IF(F452="",0,IF(COUNTIF(Настройки!$B$17:$B$26,F452)&gt;0,1,IF(COUNTIF(Настройки!$C$17:$C$26,F452)&gt;0,2,IF(COUNTIF(Настройки!$D$17:$D$26,F452)&gt;0,3,0))))</f>
        <v/>
      </c>
      <c r="I452">
        <f>IF(AND(ISNUMBER(A452),ISNUMBER(B452)),A452*1000+B452,"")</f>
        <v/>
      </c>
      <c r="J452">
        <f>IF(I452="","",IF(COUNTIF(I$2:I452,I452)=1,MAX(J$1:J451)+1,""))</f>
        <v/>
      </c>
    </row>
    <row r="453">
      <c r="A453">
        <f>IFERROR(--SUBSTITUTE(SUBSTITUTE(TRIM(INDEX(INDIRECT("'Выгрузка'!A453:Z453"),Настройки!$B$7)),",","."),".",MID(1/2,2,1)),"")</f>
        <v/>
      </c>
      <c r="B453">
        <f>IFERROR(--SUBSTITUTE(SUBSTITUTE(TRIM(INDEX(INDIRECT("'Выгрузка'!A453:Z453"),Настройки!$B$9)),",","."),".",MID(1/2,2,1)),"")</f>
        <v/>
      </c>
      <c r="C453">
        <f>TRIM(INDEX(INDIRECT("'Выгрузка'!A453:Z453"),Настройки!$B$8)&amp;"")</f>
        <v/>
      </c>
      <c r="D453">
        <f>IFERROR(--SUBSTITUTE(SUBSTITUTE(TRIM(INDEX(INDIRECT("'Выгрузка'!A453:Z453"),Настройки!$B$10)),",","."),".",MID(1/2,2,1)),"")</f>
        <v/>
      </c>
      <c r="E453">
        <f>IFERROR(--SUBSTITUTE(SUBSTITUTE(TRIM(INDEX(INDIRECT("'Выгрузка'!A453:Z453"),Настройки!$B$11)),",","."),".",MID(1/2,2,1)),"")</f>
        <v/>
      </c>
      <c r="F453">
        <f>TRIM(INDEX(INDIRECT("'Выгрузка'!A453:Z453"),Настройки!$B$12)&amp;"")</f>
        <v/>
      </c>
      <c r="G453">
        <f>IF(F453="",0,IF(TRIM(INDEX(INDIRECT("'Выгрузка'!A453:Z453"),Настройки!$B$13)&amp;"")="",1,IFERROR(--SUBSTITUTE(SUBSTITUTE(TRIM(INDEX(INDIRECT("'Выгрузка'!A453:Z453"),Настройки!$B$13)),",","."),".",MID(1/2,2,1)),"")))</f>
        <v/>
      </c>
      <c r="H453">
        <f>IF(F453="",0,IF(COUNTIF(Настройки!$B$17:$B$26,F453)&gt;0,1,IF(COUNTIF(Настройки!$C$17:$C$26,F453)&gt;0,2,IF(COUNTIF(Настройки!$D$17:$D$26,F453)&gt;0,3,0))))</f>
        <v/>
      </c>
      <c r="I453">
        <f>IF(AND(ISNUMBER(A453),ISNUMBER(B453)),A453*1000+B453,"")</f>
        <v/>
      </c>
      <c r="J453">
        <f>IF(I453="","",IF(COUNTIF(I$2:I453,I453)=1,MAX(J$1:J452)+1,""))</f>
        <v/>
      </c>
    </row>
    <row r="454">
      <c r="A454">
        <f>IFERROR(--SUBSTITUTE(SUBSTITUTE(TRIM(INDEX(INDIRECT("'Выгрузка'!A454:Z454"),Настройки!$B$7)),",","."),".",MID(1/2,2,1)),"")</f>
        <v/>
      </c>
      <c r="B454">
        <f>IFERROR(--SUBSTITUTE(SUBSTITUTE(TRIM(INDEX(INDIRECT("'Выгрузка'!A454:Z454"),Настройки!$B$9)),",","."),".",MID(1/2,2,1)),"")</f>
        <v/>
      </c>
      <c r="C454">
        <f>TRIM(INDEX(INDIRECT("'Выгрузка'!A454:Z454"),Настройки!$B$8)&amp;"")</f>
        <v/>
      </c>
      <c r="D454">
        <f>IFERROR(--SUBSTITUTE(SUBSTITUTE(TRIM(INDEX(INDIRECT("'Выгрузка'!A454:Z454"),Настройки!$B$10)),",","."),".",MID(1/2,2,1)),"")</f>
        <v/>
      </c>
      <c r="E454">
        <f>IFERROR(--SUBSTITUTE(SUBSTITUTE(TRIM(INDEX(INDIRECT("'Выгрузка'!A454:Z454"),Настройки!$B$11)),",","."),".",MID(1/2,2,1)),"")</f>
        <v/>
      </c>
      <c r="F454">
        <f>TRIM(INDEX(INDIRECT("'Выгрузка'!A454:Z454"),Настройки!$B$12)&amp;"")</f>
        <v/>
      </c>
      <c r="G454">
        <f>IF(F454="",0,IF(TRIM(INDEX(INDIRECT("'Выгрузка'!A454:Z454"),Настройки!$B$13)&amp;"")="",1,IFERROR(--SUBSTITUTE(SUBSTITUTE(TRIM(INDEX(INDIRECT("'Выгрузка'!A454:Z454"),Настройки!$B$13)),",","."),".",MID(1/2,2,1)),"")))</f>
        <v/>
      </c>
      <c r="H454">
        <f>IF(F454="",0,IF(COUNTIF(Настройки!$B$17:$B$26,F454)&gt;0,1,IF(COUNTIF(Настройки!$C$17:$C$26,F454)&gt;0,2,IF(COUNTIF(Настройки!$D$17:$D$26,F454)&gt;0,3,0))))</f>
        <v/>
      </c>
      <c r="I454">
        <f>IF(AND(ISNUMBER(A454),ISNUMBER(B454)),A454*1000+B454,"")</f>
        <v/>
      </c>
      <c r="J454">
        <f>IF(I454="","",IF(COUNTIF(I$2:I454,I454)=1,MAX(J$1:J453)+1,""))</f>
        <v/>
      </c>
    </row>
    <row r="455">
      <c r="A455">
        <f>IFERROR(--SUBSTITUTE(SUBSTITUTE(TRIM(INDEX(INDIRECT("'Выгрузка'!A455:Z455"),Настройки!$B$7)),",","."),".",MID(1/2,2,1)),"")</f>
        <v/>
      </c>
      <c r="B455">
        <f>IFERROR(--SUBSTITUTE(SUBSTITUTE(TRIM(INDEX(INDIRECT("'Выгрузка'!A455:Z455"),Настройки!$B$9)),",","."),".",MID(1/2,2,1)),"")</f>
        <v/>
      </c>
      <c r="C455">
        <f>TRIM(INDEX(INDIRECT("'Выгрузка'!A455:Z455"),Настройки!$B$8)&amp;"")</f>
        <v/>
      </c>
      <c r="D455">
        <f>IFERROR(--SUBSTITUTE(SUBSTITUTE(TRIM(INDEX(INDIRECT("'Выгрузка'!A455:Z455"),Настройки!$B$10)),",","."),".",MID(1/2,2,1)),"")</f>
        <v/>
      </c>
      <c r="E455">
        <f>IFERROR(--SUBSTITUTE(SUBSTITUTE(TRIM(INDEX(INDIRECT("'Выгрузка'!A455:Z455"),Настройки!$B$11)),",","."),".",MID(1/2,2,1)),"")</f>
        <v/>
      </c>
      <c r="F455">
        <f>TRIM(INDEX(INDIRECT("'Выгрузка'!A455:Z455"),Настройки!$B$12)&amp;"")</f>
        <v/>
      </c>
      <c r="G455">
        <f>IF(F455="",0,IF(TRIM(INDEX(INDIRECT("'Выгрузка'!A455:Z455"),Настройки!$B$13)&amp;"")="",1,IFERROR(--SUBSTITUTE(SUBSTITUTE(TRIM(INDEX(INDIRECT("'Выгрузка'!A455:Z455"),Настройки!$B$13)),",","."),".",MID(1/2,2,1)),"")))</f>
        <v/>
      </c>
      <c r="H455">
        <f>IF(F455="",0,IF(COUNTIF(Настройки!$B$17:$B$26,F455)&gt;0,1,IF(COUNTIF(Настройки!$C$17:$C$26,F455)&gt;0,2,IF(COUNTIF(Настройки!$D$17:$D$26,F455)&gt;0,3,0))))</f>
        <v/>
      </c>
      <c r="I455">
        <f>IF(AND(ISNUMBER(A455),ISNUMBER(B455)),A455*1000+B455,"")</f>
        <v/>
      </c>
      <c r="J455">
        <f>IF(I455="","",IF(COUNTIF(I$2:I455,I455)=1,MAX(J$1:J454)+1,""))</f>
        <v/>
      </c>
    </row>
    <row r="456">
      <c r="A456">
        <f>IFERROR(--SUBSTITUTE(SUBSTITUTE(TRIM(INDEX(INDIRECT("'Выгрузка'!A456:Z456"),Настройки!$B$7)),",","."),".",MID(1/2,2,1)),"")</f>
        <v/>
      </c>
      <c r="B456">
        <f>IFERROR(--SUBSTITUTE(SUBSTITUTE(TRIM(INDEX(INDIRECT("'Выгрузка'!A456:Z456"),Настройки!$B$9)),",","."),".",MID(1/2,2,1)),"")</f>
        <v/>
      </c>
      <c r="C456">
        <f>TRIM(INDEX(INDIRECT("'Выгрузка'!A456:Z456"),Настройки!$B$8)&amp;"")</f>
        <v/>
      </c>
      <c r="D456">
        <f>IFERROR(--SUBSTITUTE(SUBSTITUTE(TRIM(INDEX(INDIRECT("'Выгрузка'!A456:Z456"),Настройки!$B$10)),",","."),".",MID(1/2,2,1)),"")</f>
        <v/>
      </c>
      <c r="E456">
        <f>IFERROR(--SUBSTITUTE(SUBSTITUTE(TRIM(INDEX(INDIRECT("'Выгрузка'!A456:Z456"),Настройки!$B$11)),",","."),".",MID(1/2,2,1)),"")</f>
        <v/>
      </c>
      <c r="F456">
        <f>TRIM(INDEX(INDIRECT("'Выгрузка'!A456:Z456"),Настройки!$B$12)&amp;"")</f>
        <v/>
      </c>
      <c r="G456">
        <f>IF(F456="",0,IF(TRIM(INDEX(INDIRECT("'Выгрузка'!A456:Z456"),Настройки!$B$13)&amp;"")="",1,IFERROR(--SUBSTITUTE(SUBSTITUTE(TRIM(INDEX(INDIRECT("'Выгрузка'!A456:Z456"),Настройки!$B$13)),",","."),".",MID(1/2,2,1)),"")))</f>
        <v/>
      </c>
      <c r="H456">
        <f>IF(F456="",0,IF(COUNTIF(Настройки!$B$17:$B$26,F456)&gt;0,1,IF(COUNTIF(Настройки!$C$17:$C$26,F456)&gt;0,2,IF(COUNTIF(Настройки!$D$17:$D$26,F456)&gt;0,3,0))))</f>
        <v/>
      </c>
      <c r="I456">
        <f>IF(AND(ISNUMBER(A456),ISNUMBER(B456)),A456*1000+B456,"")</f>
        <v/>
      </c>
      <c r="J456">
        <f>IF(I456="","",IF(COUNTIF(I$2:I456,I456)=1,MAX(J$1:J455)+1,""))</f>
        <v/>
      </c>
    </row>
    <row r="457">
      <c r="A457">
        <f>IFERROR(--SUBSTITUTE(SUBSTITUTE(TRIM(INDEX(INDIRECT("'Выгрузка'!A457:Z457"),Настройки!$B$7)),",","."),".",MID(1/2,2,1)),"")</f>
        <v/>
      </c>
      <c r="B457">
        <f>IFERROR(--SUBSTITUTE(SUBSTITUTE(TRIM(INDEX(INDIRECT("'Выгрузка'!A457:Z457"),Настройки!$B$9)),",","."),".",MID(1/2,2,1)),"")</f>
        <v/>
      </c>
      <c r="C457">
        <f>TRIM(INDEX(INDIRECT("'Выгрузка'!A457:Z457"),Настройки!$B$8)&amp;"")</f>
        <v/>
      </c>
      <c r="D457">
        <f>IFERROR(--SUBSTITUTE(SUBSTITUTE(TRIM(INDEX(INDIRECT("'Выгрузка'!A457:Z457"),Настройки!$B$10)),",","."),".",MID(1/2,2,1)),"")</f>
        <v/>
      </c>
      <c r="E457">
        <f>IFERROR(--SUBSTITUTE(SUBSTITUTE(TRIM(INDEX(INDIRECT("'Выгрузка'!A457:Z457"),Настройки!$B$11)),",","."),".",MID(1/2,2,1)),"")</f>
        <v/>
      </c>
      <c r="F457">
        <f>TRIM(INDEX(INDIRECT("'Выгрузка'!A457:Z457"),Настройки!$B$12)&amp;"")</f>
        <v/>
      </c>
      <c r="G457">
        <f>IF(F457="",0,IF(TRIM(INDEX(INDIRECT("'Выгрузка'!A457:Z457"),Настройки!$B$13)&amp;"")="",1,IFERROR(--SUBSTITUTE(SUBSTITUTE(TRIM(INDEX(INDIRECT("'Выгрузка'!A457:Z457"),Настройки!$B$13)),",","."),".",MID(1/2,2,1)),"")))</f>
        <v/>
      </c>
      <c r="H457">
        <f>IF(F457="",0,IF(COUNTIF(Настройки!$B$17:$B$26,F457)&gt;0,1,IF(COUNTIF(Настройки!$C$17:$C$26,F457)&gt;0,2,IF(COUNTIF(Настройки!$D$17:$D$26,F457)&gt;0,3,0))))</f>
        <v/>
      </c>
      <c r="I457">
        <f>IF(AND(ISNUMBER(A457),ISNUMBER(B457)),A457*1000+B457,"")</f>
        <v/>
      </c>
      <c r="J457">
        <f>IF(I457="","",IF(COUNTIF(I$2:I457,I457)=1,MAX(J$1:J456)+1,""))</f>
        <v/>
      </c>
    </row>
    <row r="458">
      <c r="A458">
        <f>IFERROR(--SUBSTITUTE(SUBSTITUTE(TRIM(INDEX(INDIRECT("'Выгрузка'!A458:Z458"),Настройки!$B$7)),",","."),".",MID(1/2,2,1)),"")</f>
        <v/>
      </c>
      <c r="B458">
        <f>IFERROR(--SUBSTITUTE(SUBSTITUTE(TRIM(INDEX(INDIRECT("'Выгрузка'!A458:Z458"),Настройки!$B$9)),",","."),".",MID(1/2,2,1)),"")</f>
        <v/>
      </c>
      <c r="C458">
        <f>TRIM(INDEX(INDIRECT("'Выгрузка'!A458:Z458"),Настройки!$B$8)&amp;"")</f>
        <v/>
      </c>
      <c r="D458">
        <f>IFERROR(--SUBSTITUTE(SUBSTITUTE(TRIM(INDEX(INDIRECT("'Выгрузка'!A458:Z458"),Настройки!$B$10)),",","."),".",MID(1/2,2,1)),"")</f>
        <v/>
      </c>
      <c r="E458">
        <f>IFERROR(--SUBSTITUTE(SUBSTITUTE(TRIM(INDEX(INDIRECT("'Выгрузка'!A458:Z458"),Настройки!$B$11)),",","."),".",MID(1/2,2,1)),"")</f>
        <v/>
      </c>
      <c r="F458">
        <f>TRIM(INDEX(INDIRECT("'Выгрузка'!A458:Z458"),Настройки!$B$12)&amp;"")</f>
        <v/>
      </c>
      <c r="G458">
        <f>IF(F458="",0,IF(TRIM(INDEX(INDIRECT("'Выгрузка'!A458:Z458"),Настройки!$B$13)&amp;"")="",1,IFERROR(--SUBSTITUTE(SUBSTITUTE(TRIM(INDEX(INDIRECT("'Выгрузка'!A458:Z458"),Настройки!$B$13)),",","."),".",MID(1/2,2,1)),"")))</f>
        <v/>
      </c>
      <c r="H458">
        <f>IF(F458="",0,IF(COUNTIF(Настройки!$B$17:$B$26,F458)&gt;0,1,IF(COUNTIF(Настройки!$C$17:$C$26,F458)&gt;0,2,IF(COUNTIF(Настройки!$D$17:$D$26,F458)&gt;0,3,0))))</f>
        <v/>
      </c>
      <c r="I458">
        <f>IF(AND(ISNUMBER(A458),ISNUMBER(B458)),A458*1000+B458,"")</f>
        <v/>
      </c>
      <c r="J458">
        <f>IF(I458="","",IF(COUNTIF(I$2:I458,I458)=1,MAX(J$1:J457)+1,""))</f>
        <v/>
      </c>
    </row>
    <row r="459">
      <c r="A459">
        <f>IFERROR(--SUBSTITUTE(SUBSTITUTE(TRIM(INDEX(INDIRECT("'Выгрузка'!A459:Z459"),Настройки!$B$7)),",","."),".",MID(1/2,2,1)),"")</f>
        <v/>
      </c>
      <c r="B459">
        <f>IFERROR(--SUBSTITUTE(SUBSTITUTE(TRIM(INDEX(INDIRECT("'Выгрузка'!A459:Z459"),Настройки!$B$9)),",","."),".",MID(1/2,2,1)),"")</f>
        <v/>
      </c>
      <c r="C459">
        <f>TRIM(INDEX(INDIRECT("'Выгрузка'!A459:Z459"),Настройки!$B$8)&amp;"")</f>
        <v/>
      </c>
      <c r="D459">
        <f>IFERROR(--SUBSTITUTE(SUBSTITUTE(TRIM(INDEX(INDIRECT("'Выгрузка'!A459:Z459"),Настройки!$B$10)),",","."),".",MID(1/2,2,1)),"")</f>
        <v/>
      </c>
      <c r="E459">
        <f>IFERROR(--SUBSTITUTE(SUBSTITUTE(TRIM(INDEX(INDIRECT("'Выгрузка'!A459:Z459"),Настройки!$B$11)),",","."),".",MID(1/2,2,1)),"")</f>
        <v/>
      </c>
      <c r="F459">
        <f>TRIM(INDEX(INDIRECT("'Выгрузка'!A459:Z459"),Настройки!$B$12)&amp;"")</f>
        <v/>
      </c>
      <c r="G459">
        <f>IF(F459="",0,IF(TRIM(INDEX(INDIRECT("'Выгрузка'!A459:Z459"),Настройки!$B$13)&amp;"")="",1,IFERROR(--SUBSTITUTE(SUBSTITUTE(TRIM(INDEX(INDIRECT("'Выгрузка'!A459:Z459"),Настройки!$B$13)),",","."),".",MID(1/2,2,1)),"")))</f>
        <v/>
      </c>
      <c r="H459">
        <f>IF(F459="",0,IF(COUNTIF(Настройки!$B$17:$B$26,F459)&gt;0,1,IF(COUNTIF(Настройки!$C$17:$C$26,F459)&gt;0,2,IF(COUNTIF(Настройки!$D$17:$D$26,F459)&gt;0,3,0))))</f>
        <v/>
      </c>
      <c r="I459">
        <f>IF(AND(ISNUMBER(A459),ISNUMBER(B459)),A459*1000+B459,"")</f>
        <v/>
      </c>
      <c r="J459">
        <f>IF(I459="","",IF(COUNTIF(I$2:I459,I459)=1,MAX(J$1:J458)+1,""))</f>
        <v/>
      </c>
    </row>
    <row r="460">
      <c r="A460">
        <f>IFERROR(--SUBSTITUTE(SUBSTITUTE(TRIM(INDEX(INDIRECT("'Выгрузка'!A460:Z460"),Настройки!$B$7)),",","."),".",MID(1/2,2,1)),"")</f>
        <v/>
      </c>
      <c r="B460">
        <f>IFERROR(--SUBSTITUTE(SUBSTITUTE(TRIM(INDEX(INDIRECT("'Выгрузка'!A460:Z460"),Настройки!$B$9)),",","."),".",MID(1/2,2,1)),"")</f>
        <v/>
      </c>
      <c r="C460">
        <f>TRIM(INDEX(INDIRECT("'Выгрузка'!A460:Z460"),Настройки!$B$8)&amp;"")</f>
        <v/>
      </c>
      <c r="D460">
        <f>IFERROR(--SUBSTITUTE(SUBSTITUTE(TRIM(INDEX(INDIRECT("'Выгрузка'!A460:Z460"),Настройки!$B$10)),",","."),".",MID(1/2,2,1)),"")</f>
        <v/>
      </c>
      <c r="E460">
        <f>IFERROR(--SUBSTITUTE(SUBSTITUTE(TRIM(INDEX(INDIRECT("'Выгрузка'!A460:Z460"),Настройки!$B$11)),",","."),".",MID(1/2,2,1)),"")</f>
        <v/>
      </c>
      <c r="F460">
        <f>TRIM(INDEX(INDIRECT("'Выгрузка'!A460:Z460"),Настройки!$B$12)&amp;"")</f>
        <v/>
      </c>
      <c r="G460">
        <f>IF(F460="",0,IF(TRIM(INDEX(INDIRECT("'Выгрузка'!A460:Z460"),Настройки!$B$13)&amp;"")="",1,IFERROR(--SUBSTITUTE(SUBSTITUTE(TRIM(INDEX(INDIRECT("'Выгрузка'!A460:Z460"),Настройки!$B$13)),",","."),".",MID(1/2,2,1)),"")))</f>
        <v/>
      </c>
      <c r="H460">
        <f>IF(F460="",0,IF(COUNTIF(Настройки!$B$17:$B$26,F460)&gt;0,1,IF(COUNTIF(Настройки!$C$17:$C$26,F460)&gt;0,2,IF(COUNTIF(Настройки!$D$17:$D$26,F460)&gt;0,3,0))))</f>
        <v/>
      </c>
      <c r="I460">
        <f>IF(AND(ISNUMBER(A460),ISNUMBER(B460)),A460*1000+B460,"")</f>
        <v/>
      </c>
      <c r="J460">
        <f>IF(I460="","",IF(COUNTIF(I$2:I460,I460)=1,MAX(J$1:J459)+1,""))</f>
        <v/>
      </c>
    </row>
    <row r="461">
      <c r="A461">
        <f>IFERROR(--SUBSTITUTE(SUBSTITUTE(TRIM(INDEX(INDIRECT("'Выгрузка'!A461:Z461"),Настройки!$B$7)),",","."),".",MID(1/2,2,1)),"")</f>
        <v/>
      </c>
      <c r="B461">
        <f>IFERROR(--SUBSTITUTE(SUBSTITUTE(TRIM(INDEX(INDIRECT("'Выгрузка'!A461:Z461"),Настройки!$B$9)),",","."),".",MID(1/2,2,1)),"")</f>
        <v/>
      </c>
      <c r="C461">
        <f>TRIM(INDEX(INDIRECT("'Выгрузка'!A461:Z461"),Настройки!$B$8)&amp;"")</f>
        <v/>
      </c>
      <c r="D461">
        <f>IFERROR(--SUBSTITUTE(SUBSTITUTE(TRIM(INDEX(INDIRECT("'Выгрузка'!A461:Z461"),Настройки!$B$10)),",","."),".",MID(1/2,2,1)),"")</f>
        <v/>
      </c>
      <c r="E461">
        <f>IFERROR(--SUBSTITUTE(SUBSTITUTE(TRIM(INDEX(INDIRECT("'Выгрузка'!A461:Z461"),Настройки!$B$11)),",","."),".",MID(1/2,2,1)),"")</f>
        <v/>
      </c>
      <c r="F461">
        <f>TRIM(INDEX(INDIRECT("'Выгрузка'!A461:Z461"),Настройки!$B$12)&amp;"")</f>
        <v/>
      </c>
      <c r="G461">
        <f>IF(F461="",0,IF(TRIM(INDEX(INDIRECT("'Выгрузка'!A461:Z461"),Настройки!$B$13)&amp;"")="",1,IFERROR(--SUBSTITUTE(SUBSTITUTE(TRIM(INDEX(INDIRECT("'Выгрузка'!A461:Z461"),Настройки!$B$13)),",","."),".",MID(1/2,2,1)),"")))</f>
        <v/>
      </c>
      <c r="H461">
        <f>IF(F461="",0,IF(COUNTIF(Настройки!$B$17:$B$26,F461)&gt;0,1,IF(COUNTIF(Настройки!$C$17:$C$26,F461)&gt;0,2,IF(COUNTIF(Настройки!$D$17:$D$26,F461)&gt;0,3,0))))</f>
        <v/>
      </c>
      <c r="I461">
        <f>IF(AND(ISNUMBER(A461),ISNUMBER(B461)),A461*1000+B461,"")</f>
        <v/>
      </c>
      <c r="J461">
        <f>IF(I461="","",IF(COUNTIF(I$2:I461,I461)=1,MAX(J$1:J460)+1,""))</f>
        <v/>
      </c>
    </row>
    <row r="462">
      <c r="A462">
        <f>IFERROR(--SUBSTITUTE(SUBSTITUTE(TRIM(INDEX(INDIRECT("'Выгрузка'!A462:Z462"),Настройки!$B$7)),",","."),".",MID(1/2,2,1)),"")</f>
        <v/>
      </c>
      <c r="B462">
        <f>IFERROR(--SUBSTITUTE(SUBSTITUTE(TRIM(INDEX(INDIRECT("'Выгрузка'!A462:Z462"),Настройки!$B$9)),",","."),".",MID(1/2,2,1)),"")</f>
        <v/>
      </c>
      <c r="C462">
        <f>TRIM(INDEX(INDIRECT("'Выгрузка'!A462:Z462"),Настройки!$B$8)&amp;"")</f>
        <v/>
      </c>
      <c r="D462">
        <f>IFERROR(--SUBSTITUTE(SUBSTITUTE(TRIM(INDEX(INDIRECT("'Выгрузка'!A462:Z462"),Настройки!$B$10)),",","."),".",MID(1/2,2,1)),"")</f>
        <v/>
      </c>
      <c r="E462">
        <f>IFERROR(--SUBSTITUTE(SUBSTITUTE(TRIM(INDEX(INDIRECT("'Выгрузка'!A462:Z462"),Настройки!$B$11)),",","."),".",MID(1/2,2,1)),"")</f>
        <v/>
      </c>
      <c r="F462">
        <f>TRIM(INDEX(INDIRECT("'Выгрузка'!A462:Z462"),Настройки!$B$12)&amp;"")</f>
        <v/>
      </c>
      <c r="G462">
        <f>IF(F462="",0,IF(TRIM(INDEX(INDIRECT("'Выгрузка'!A462:Z462"),Настройки!$B$13)&amp;"")="",1,IFERROR(--SUBSTITUTE(SUBSTITUTE(TRIM(INDEX(INDIRECT("'Выгрузка'!A462:Z462"),Настройки!$B$13)),",","."),".",MID(1/2,2,1)),"")))</f>
        <v/>
      </c>
      <c r="H462">
        <f>IF(F462="",0,IF(COUNTIF(Настройки!$B$17:$B$26,F462)&gt;0,1,IF(COUNTIF(Настройки!$C$17:$C$26,F462)&gt;0,2,IF(COUNTIF(Настройки!$D$17:$D$26,F462)&gt;0,3,0))))</f>
        <v/>
      </c>
      <c r="I462">
        <f>IF(AND(ISNUMBER(A462),ISNUMBER(B462)),A462*1000+B462,"")</f>
        <v/>
      </c>
      <c r="J462">
        <f>IF(I462="","",IF(COUNTIF(I$2:I462,I462)=1,MAX(J$1:J461)+1,""))</f>
        <v/>
      </c>
    </row>
    <row r="463">
      <c r="A463">
        <f>IFERROR(--SUBSTITUTE(SUBSTITUTE(TRIM(INDEX(INDIRECT("'Выгрузка'!A463:Z463"),Настройки!$B$7)),",","."),".",MID(1/2,2,1)),"")</f>
        <v/>
      </c>
      <c r="B463">
        <f>IFERROR(--SUBSTITUTE(SUBSTITUTE(TRIM(INDEX(INDIRECT("'Выгрузка'!A463:Z463"),Настройки!$B$9)),",","."),".",MID(1/2,2,1)),"")</f>
        <v/>
      </c>
      <c r="C463">
        <f>TRIM(INDEX(INDIRECT("'Выгрузка'!A463:Z463"),Настройки!$B$8)&amp;"")</f>
        <v/>
      </c>
      <c r="D463">
        <f>IFERROR(--SUBSTITUTE(SUBSTITUTE(TRIM(INDEX(INDIRECT("'Выгрузка'!A463:Z463"),Настройки!$B$10)),",","."),".",MID(1/2,2,1)),"")</f>
        <v/>
      </c>
      <c r="E463">
        <f>IFERROR(--SUBSTITUTE(SUBSTITUTE(TRIM(INDEX(INDIRECT("'Выгрузка'!A463:Z463"),Настройки!$B$11)),",","."),".",MID(1/2,2,1)),"")</f>
        <v/>
      </c>
      <c r="F463">
        <f>TRIM(INDEX(INDIRECT("'Выгрузка'!A463:Z463"),Настройки!$B$12)&amp;"")</f>
        <v/>
      </c>
      <c r="G463">
        <f>IF(F463="",0,IF(TRIM(INDEX(INDIRECT("'Выгрузка'!A463:Z463"),Настройки!$B$13)&amp;"")="",1,IFERROR(--SUBSTITUTE(SUBSTITUTE(TRIM(INDEX(INDIRECT("'Выгрузка'!A463:Z463"),Настройки!$B$13)),",","."),".",MID(1/2,2,1)),"")))</f>
        <v/>
      </c>
      <c r="H463">
        <f>IF(F463="",0,IF(COUNTIF(Настройки!$B$17:$B$26,F463)&gt;0,1,IF(COUNTIF(Настройки!$C$17:$C$26,F463)&gt;0,2,IF(COUNTIF(Настройки!$D$17:$D$26,F463)&gt;0,3,0))))</f>
        <v/>
      </c>
      <c r="I463">
        <f>IF(AND(ISNUMBER(A463),ISNUMBER(B463)),A463*1000+B463,"")</f>
        <v/>
      </c>
      <c r="J463">
        <f>IF(I463="","",IF(COUNTIF(I$2:I463,I463)=1,MAX(J$1:J462)+1,""))</f>
        <v/>
      </c>
    </row>
    <row r="464">
      <c r="A464">
        <f>IFERROR(--SUBSTITUTE(SUBSTITUTE(TRIM(INDEX(INDIRECT("'Выгрузка'!A464:Z464"),Настройки!$B$7)),",","."),".",MID(1/2,2,1)),"")</f>
        <v/>
      </c>
      <c r="B464">
        <f>IFERROR(--SUBSTITUTE(SUBSTITUTE(TRIM(INDEX(INDIRECT("'Выгрузка'!A464:Z464"),Настройки!$B$9)),",","."),".",MID(1/2,2,1)),"")</f>
        <v/>
      </c>
      <c r="C464">
        <f>TRIM(INDEX(INDIRECT("'Выгрузка'!A464:Z464"),Настройки!$B$8)&amp;"")</f>
        <v/>
      </c>
      <c r="D464">
        <f>IFERROR(--SUBSTITUTE(SUBSTITUTE(TRIM(INDEX(INDIRECT("'Выгрузка'!A464:Z464"),Настройки!$B$10)),",","."),".",MID(1/2,2,1)),"")</f>
        <v/>
      </c>
      <c r="E464">
        <f>IFERROR(--SUBSTITUTE(SUBSTITUTE(TRIM(INDEX(INDIRECT("'Выгрузка'!A464:Z464"),Настройки!$B$11)),",","."),".",MID(1/2,2,1)),"")</f>
        <v/>
      </c>
      <c r="F464">
        <f>TRIM(INDEX(INDIRECT("'Выгрузка'!A464:Z464"),Настройки!$B$12)&amp;"")</f>
        <v/>
      </c>
      <c r="G464">
        <f>IF(F464="",0,IF(TRIM(INDEX(INDIRECT("'Выгрузка'!A464:Z464"),Настройки!$B$13)&amp;"")="",1,IFERROR(--SUBSTITUTE(SUBSTITUTE(TRIM(INDEX(INDIRECT("'Выгрузка'!A464:Z464"),Настройки!$B$13)),",","."),".",MID(1/2,2,1)),"")))</f>
        <v/>
      </c>
      <c r="H464">
        <f>IF(F464="",0,IF(COUNTIF(Настройки!$B$17:$B$26,F464)&gt;0,1,IF(COUNTIF(Настройки!$C$17:$C$26,F464)&gt;0,2,IF(COUNTIF(Настройки!$D$17:$D$26,F464)&gt;0,3,0))))</f>
        <v/>
      </c>
      <c r="I464">
        <f>IF(AND(ISNUMBER(A464),ISNUMBER(B464)),A464*1000+B464,"")</f>
        <v/>
      </c>
      <c r="J464">
        <f>IF(I464="","",IF(COUNTIF(I$2:I464,I464)=1,MAX(J$1:J463)+1,""))</f>
        <v/>
      </c>
    </row>
    <row r="465">
      <c r="A465">
        <f>IFERROR(--SUBSTITUTE(SUBSTITUTE(TRIM(INDEX(INDIRECT("'Выгрузка'!A465:Z465"),Настройки!$B$7)),",","."),".",MID(1/2,2,1)),"")</f>
        <v/>
      </c>
      <c r="B465">
        <f>IFERROR(--SUBSTITUTE(SUBSTITUTE(TRIM(INDEX(INDIRECT("'Выгрузка'!A465:Z465"),Настройки!$B$9)),",","."),".",MID(1/2,2,1)),"")</f>
        <v/>
      </c>
      <c r="C465">
        <f>TRIM(INDEX(INDIRECT("'Выгрузка'!A465:Z465"),Настройки!$B$8)&amp;"")</f>
        <v/>
      </c>
      <c r="D465">
        <f>IFERROR(--SUBSTITUTE(SUBSTITUTE(TRIM(INDEX(INDIRECT("'Выгрузка'!A465:Z465"),Настройки!$B$10)),",","."),".",MID(1/2,2,1)),"")</f>
        <v/>
      </c>
      <c r="E465">
        <f>IFERROR(--SUBSTITUTE(SUBSTITUTE(TRIM(INDEX(INDIRECT("'Выгрузка'!A465:Z465"),Настройки!$B$11)),",","."),".",MID(1/2,2,1)),"")</f>
        <v/>
      </c>
      <c r="F465">
        <f>TRIM(INDEX(INDIRECT("'Выгрузка'!A465:Z465"),Настройки!$B$12)&amp;"")</f>
        <v/>
      </c>
      <c r="G465">
        <f>IF(F465="",0,IF(TRIM(INDEX(INDIRECT("'Выгрузка'!A465:Z465"),Настройки!$B$13)&amp;"")="",1,IFERROR(--SUBSTITUTE(SUBSTITUTE(TRIM(INDEX(INDIRECT("'Выгрузка'!A465:Z465"),Настройки!$B$13)),",","."),".",MID(1/2,2,1)),"")))</f>
        <v/>
      </c>
      <c r="H465">
        <f>IF(F465="",0,IF(COUNTIF(Настройки!$B$17:$B$26,F465)&gt;0,1,IF(COUNTIF(Настройки!$C$17:$C$26,F465)&gt;0,2,IF(COUNTIF(Настройки!$D$17:$D$26,F465)&gt;0,3,0))))</f>
        <v/>
      </c>
      <c r="I465">
        <f>IF(AND(ISNUMBER(A465),ISNUMBER(B465)),A465*1000+B465,"")</f>
        <v/>
      </c>
      <c r="J465">
        <f>IF(I465="","",IF(COUNTIF(I$2:I465,I465)=1,MAX(J$1:J464)+1,""))</f>
        <v/>
      </c>
    </row>
    <row r="466">
      <c r="A466">
        <f>IFERROR(--SUBSTITUTE(SUBSTITUTE(TRIM(INDEX(INDIRECT("'Выгрузка'!A466:Z466"),Настройки!$B$7)),",","."),".",MID(1/2,2,1)),"")</f>
        <v/>
      </c>
      <c r="B466">
        <f>IFERROR(--SUBSTITUTE(SUBSTITUTE(TRIM(INDEX(INDIRECT("'Выгрузка'!A466:Z466"),Настройки!$B$9)),",","."),".",MID(1/2,2,1)),"")</f>
        <v/>
      </c>
      <c r="C466">
        <f>TRIM(INDEX(INDIRECT("'Выгрузка'!A466:Z466"),Настройки!$B$8)&amp;"")</f>
        <v/>
      </c>
      <c r="D466">
        <f>IFERROR(--SUBSTITUTE(SUBSTITUTE(TRIM(INDEX(INDIRECT("'Выгрузка'!A466:Z466"),Настройки!$B$10)),",","."),".",MID(1/2,2,1)),"")</f>
        <v/>
      </c>
      <c r="E466">
        <f>IFERROR(--SUBSTITUTE(SUBSTITUTE(TRIM(INDEX(INDIRECT("'Выгрузка'!A466:Z466"),Настройки!$B$11)),",","."),".",MID(1/2,2,1)),"")</f>
        <v/>
      </c>
      <c r="F466">
        <f>TRIM(INDEX(INDIRECT("'Выгрузка'!A466:Z466"),Настройки!$B$12)&amp;"")</f>
        <v/>
      </c>
      <c r="G466">
        <f>IF(F466="",0,IF(TRIM(INDEX(INDIRECT("'Выгрузка'!A466:Z466"),Настройки!$B$13)&amp;"")="",1,IFERROR(--SUBSTITUTE(SUBSTITUTE(TRIM(INDEX(INDIRECT("'Выгрузка'!A466:Z466"),Настройки!$B$13)),",","."),".",MID(1/2,2,1)),"")))</f>
        <v/>
      </c>
      <c r="H466">
        <f>IF(F466="",0,IF(COUNTIF(Настройки!$B$17:$B$26,F466)&gt;0,1,IF(COUNTIF(Настройки!$C$17:$C$26,F466)&gt;0,2,IF(COUNTIF(Настройки!$D$17:$D$26,F466)&gt;0,3,0))))</f>
        <v/>
      </c>
      <c r="I466">
        <f>IF(AND(ISNUMBER(A466),ISNUMBER(B466)),A466*1000+B466,"")</f>
        <v/>
      </c>
      <c r="J466">
        <f>IF(I466="","",IF(COUNTIF(I$2:I466,I466)=1,MAX(J$1:J465)+1,""))</f>
        <v/>
      </c>
    </row>
    <row r="467">
      <c r="A467">
        <f>IFERROR(--SUBSTITUTE(SUBSTITUTE(TRIM(INDEX(INDIRECT("'Выгрузка'!A467:Z467"),Настройки!$B$7)),",","."),".",MID(1/2,2,1)),"")</f>
        <v/>
      </c>
      <c r="B467">
        <f>IFERROR(--SUBSTITUTE(SUBSTITUTE(TRIM(INDEX(INDIRECT("'Выгрузка'!A467:Z467"),Настройки!$B$9)),",","."),".",MID(1/2,2,1)),"")</f>
        <v/>
      </c>
      <c r="C467">
        <f>TRIM(INDEX(INDIRECT("'Выгрузка'!A467:Z467"),Настройки!$B$8)&amp;"")</f>
        <v/>
      </c>
      <c r="D467">
        <f>IFERROR(--SUBSTITUTE(SUBSTITUTE(TRIM(INDEX(INDIRECT("'Выгрузка'!A467:Z467"),Настройки!$B$10)),",","."),".",MID(1/2,2,1)),"")</f>
        <v/>
      </c>
      <c r="E467">
        <f>IFERROR(--SUBSTITUTE(SUBSTITUTE(TRIM(INDEX(INDIRECT("'Выгрузка'!A467:Z467"),Настройки!$B$11)),",","."),".",MID(1/2,2,1)),"")</f>
        <v/>
      </c>
      <c r="F467">
        <f>TRIM(INDEX(INDIRECT("'Выгрузка'!A467:Z467"),Настройки!$B$12)&amp;"")</f>
        <v/>
      </c>
      <c r="G467">
        <f>IF(F467="",0,IF(TRIM(INDEX(INDIRECT("'Выгрузка'!A467:Z467"),Настройки!$B$13)&amp;"")="",1,IFERROR(--SUBSTITUTE(SUBSTITUTE(TRIM(INDEX(INDIRECT("'Выгрузка'!A467:Z467"),Настройки!$B$13)),",","."),".",MID(1/2,2,1)),"")))</f>
        <v/>
      </c>
      <c r="H467">
        <f>IF(F467="",0,IF(COUNTIF(Настройки!$B$17:$B$26,F467)&gt;0,1,IF(COUNTIF(Настройки!$C$17:$C$26,F467)&gt;0,2,IF(COUNTIF(Настройки!$D$17:$D$26,F467)&gt;0,3,0))))</f>
        <v/>
      </c>
      <c r="I467">
        <f>IF(AND(ISNUMBER(A467),ISNUMBER(B467)),A467*1000+B467,"")</f>
        <v/>
      </c>
      <c r="J467">
        <f>IF(I467="","",IF(COUNTIF(I$2:I467,I467)=1,MAX(J$1:J466)+1,""))</f>
        <v/>
      </c>
    </row>
    <row r="468">
      <c r="A468">
        <f>IFERROR(--SUBSTITUTE(SUBSTITUTE(TRIM(INDEX(INDIRECT("'Выгрузка'!A468:Z468"),Настройки!$B$7)),",","."),".",MID(1/2,2,1)),"")</f>
        <v/>
      </c>
      <c r="B468">
        <f>IFERROR(--SUBSTITUTE(SUBSTITUTE(TRIM(INDEX(INDIRECT("'Выгрузка'!A468:Z468"),Настройки!$B$9)),",","."),".",MID(1/2,2,1)),"")</f>
        <v/>
      </c>
      <c r="C468">
        <f>TRIM(INDEX(INDIRECT("'Выгрузка'!A468:Z468"),Настройки!$B$8)&amp;"")</f>
        <v/>
      </c>
      <c r="D468">
        <f>IFERROR(--SUBSTITUTE(SUBSTITUTE(TRIM(INDEX(INDIRECT("'Выгрузка'!A468:Z468"),Настройки!$B$10)),",","."),".",MID(1/2,2,1)),"")</f>
        <v/>
      </c>
      <c r="E468">
        <f>IFERROR(--SUBSTITUTE(SUBSTITUTE(TRIM(INDEX(INDIRECT("'Выгрузка'!A468:Z468"),Настройки!$B$11)),",","."),".",MID(1/2,2,1)),"")</f>
        <v/>
      </c>
      <c r="F468">
        <f>TRIM(INDEX(INDIRECT("'Выгрузка'!A468:Z468"),Настройки!$B$12)&amp;"")</f>
        <v/>
      </c>
      <c r="G468">
        <f>IF(F468="",0,IF(TRIM(INDEX(INDIRECT("'Выгрузка'!A468:Z468"),Настройки!$B$13)&amp;"")="",1,IFERROR(--SUBSTITUTE(SUBSTITUTE(TRIM(INDEX(INDIRECT("'Выгрузка'!A468:Z468"),Настройки!$B$13)),",","."),".",MID(1/2,2,1)),"")))</f>
        <v/>
      </c>
      <c r="H468">
        <f>IF(F468="",0,IF(COUNTIF(Настройки!$B$17:$B$26,F468)&gt;0,1,IF(COUNTIF(Настройки!$C$17:$C$26,F468)&gt;0,2,IF(COUNTIF(Настройки!$D$17:$D$26,F468)&gt;0,3,0))))</f>
        <v/>
      </c>
      <c r="I468">
        <f>IF(AND(ISNUMBER(A468),ISNUMBER(B468)),A468*1000+B468,"")</f>
        <v/>
      </c>
      <c r="J468">
        <f>IF(I468="","",IF(COUNTIF(I$2:I468,I468)=1,MAX(J$1:J467)+1,""))</f>
        <v/>
      </c>
    </row>
    <row r="469">
      <c r="A469">
        <f>IFERROR(--SUBSTITUTE(SUBSTITUTE(TRIM(INDEX(INDIRECT("'Выгрузка'!A469:Z469"),Настройки!$B$7)),",","."),".",MID(1/2,2,1)),"")</f>
        <v/>
      </c>
      <c r="B469">
        <f>IFERROR(--SUBSTITUTE(SUBSTITUTE(TRIM(INDEX(INDIRECT("'Выгрузка'!A469:Z469"),Настройки!$B$9)),",","."),".",MID(1/2,2,1)),"")</f>
        <v/>
      </c>
      <c r="C469">
        <f>TRIM(INDEX(INDIRECT("'Выгрузка'!A469:Z469"),Настройки!$B$8)&amp;"")</f>
        <v/>
      </c>
      <c r="D469">
        <f>IFERROR(--SUBSTITUTE(SUBSTITUTE(TRIM(INDEX(INDIRECT("'Выгрузка'!A469:Z469"),Настройки!$B$10)),",","."),".",MID(1/2,2,1)),"")</f>
        <v/>
      </c>
      <c r="E469">
        <f>IFERROR(--SUBSTITUTE(SUBSTITUTE(TRIM(INDEX(INDIRECT("'Выгрузка'!A469:Z469"),Настройки!$B$11)),",","."),".",MID(1/2,2,1)),"")</f>
        <v/>
      </c>
      <c r="F469">
        <f>TRIM(INDEX(INDIRECT("'Выгрузка'!A469:Z469"),Настройки!$B$12)&amp;"")</f>
        <v/>
      </c>
      <c r="G469">
        <f>IF(F469="",0,IF(TRIM(INDEX(INDIRECT("'Выгрузка'!A469:Z469"),Настройки!$B$13)&amp;"")="",1,IFERROR(--SUBSTITUTE(SUBSTITUTE(TRIM(INDEX(INDIRECT("'Выгрузка'!A469:Z469"),Настройки!$B$13)),",","."),".",MID(1/2,2,1)),"")))</f>
        <v/>
      </c>
      <c r="H469">
        <f>IF(F469="",0,IF(COUNTIF(Настройки!$B$17:$B$26,F469)&gt;0,1,IF(COUNTIF(Настройки!$C$17:$C$26,F469)&gt;0,2,IF(COUNTIF(Настройки!$D$17:$D$26,F469)&gt;0,3,0))))</f>
        <v/>
      </c>
      <c r="I469">
        <f>IF(AND(ISNUMBER(A469),ISNUMBER(B469)),A469*1000+B469,"")</f>
        <v/>
      </c>
      <c r="J469">
        <f>IF(I469="","",IF(COUNTIF(I$2:I469,I469)=1,MAX(J$1:J468)+1,""))</f>
        <v/>
      </c>
    </row>
    <row r="470">
      <c r="A470">
        <f>IFERROR(--SUBSTITUTE(SUBSTITUTE(TRIM(INDEX(INDIRECT("'Выгрузка'!A470:Z470"),Настройки!$B$7)),",","."),".",MID(1/2,2,1)),"")</f>
        <v/>
      </c>
      <c r="B470">
        <f>IFERROR(--SUBSTITUTE(SUBSTITUTE(TRIM(INDEX(INDIRECT("'Выгрузка'!A470:Z470"),Настройки!$B$9)),",","."),".",MID(1/2,2,1)),"")</f>
        <v/>
      </c>
      <c r="C470">
        <f>TRIM(INDEX(INDIRECT("'Выгрузка'!A470:Z470"),Настройки!$B$8)&amp;"")</f>
        <v/>
      </c>
      <c r="D470">
        <f>IFERROR(--SUBSTITUTE(SUBSTITUTE(TRIM(INDEX(INDIRECT("'Выгрузка'!A470:Z470"),Настройки!$B$10)),",","."),".",MID(1/2,2,1)),"")</f>
        <v/>
      </c>
      <c r="E470">
        <f>IFERROR(--SUBSTITUTE(SUBSTITUTE(TRIM(INDEX(INDIRECT("'Выгрузка'!A470:Z470"),Настройки!$B$11)),",","."),".",MID(1/2,2,1)),"")</f>
        <v/>
      </c>
      <c r="F470">
        <f>TRIM(INDEX(INDIRECT("'Выгрузка'!A470:Z470"),Настройки!$B$12)&amp;"")</f>
        <v/>
      </c>
      <c r="G470">
        <f>IF(F470="",0,IF(TRIM(INDEX(INDIRECT("'Выгрузка'!A470:Z470"),Настройки!$B$13)&amp;"")="",1,IFERROR(--SUBSTITUTE(SUBSTITUTE(TRIM(INDEX(INDIRECT("'Выгрузка'!A470:Z470"),Настройки!$B$13)),",","."),".",MID(1/2,2,1)),"")))</f>
        <v/>
      </c>
      <c r="H470">
        <f>IF(F470="",0,IF(COUNTIF(Настройки!$B$17:$B$26,F470)&gt;0,1,IF(COUNTIF(Настройки!$C$17:$C$26,F470)&gt;0,2,IF(COUNTIF(Настройки!$D$17:$D$26,F470)&gt;0,3,0))))</f>
        <v/>
      </c>
      <c r="I470">
        <f>IF(AND(ISNUMBER(A470),ISNUMBER(B470)),A470*1000+B470,"")</f>
        <v/>
      </c>
      <c r="J470">
        <f>IF(I470="","",IF(COUNTIF(I$2:I470,I470)=1,MAX(J$1:J469)+1,""))</f>
        <v/>
      </c>
    </row>
    <row r="471">
      <c r="A471">
        <f>IFERROR(--SUBSTITUTE(SUBSTITUTE(TRIM(INDEX(INDIRECT("'Выгрузка'!A471:Z471"),Настройки!$B$7)),",","."),".",MID(1/2,2,1)),"")</f>
        <v/>
      </c>
      <c r="B471">
        <f>IFERROR(--SUBSTITUTE(SUBSTITUTE(TRIM(INDEX(INDIRECT("'Выгрузка'!A471:Z471"),Настройки!$B$9)),",","."),".",MID(1/2,2,1)),"")</f>
        <v/>
      </c>
      <c r="C471">
        <f>TRIM(INDEX(INDIRECT("'Выгрузка'!A471:Z471"),Настройки!$B$8)&amp;"")</f>
        <v/>
      </c>
      <c r="D471">
        <f>IFERROR(--SUBSTITUTE(SUBSTITUTE(TRIM(INDEX(INDIRECT("'Выгрузка'!A471:Z471"),Настройки!$B$10)),",","."),".",MID(1/2,2,1)),"")</f>
        <v/>
      </c>
      <c r="E471">
        <f>IFERROR(--SUBSTITUTE(SUBSTITUTE(TRIM(INDEX(INDIRECT("'Выгрузка'!A471:Z471"),Настройки!$B$11)),",","."),".",MID(1/2,2,1)),"")</f>
        <v/>
      </c>
      <c r="F471">
        <f>TRIM(INDEX(INDIRECT("'Выгрузка'!A471:Z471"),Настройки!$B$12)&amp;"")</f>
        <v/>
      </c>
      <c r="G471">
        <f>IF(F471="",0,IF(TRIM(INDEX(INDIRECT("'Выгрузка'!A471:Z471"),Настройки!$B$13)&amp;"")="",1,IFERROR(--SUBSTITUTE(SUBSTITUTE(TRIM(INDEX(INDIRECT("'Выгрузка'!A471:Z471"),Настройки!$B$13)),",","."),".",MID(1/2,2,1)),"")))</f>
        <v/>
      </c>
      <c r="H471">
        <f>IF(F471="",0,IF(COUNTIF(Настройки!$B$17:$B$26,F471)&gt;0,1,IF(COUNTIF(Настройки!$C$17:$C$26,F471)&gt;0,2,IF(COUNTIF(Настройки!$D$17:$D$26,F471)&gt;0,3,0))))</f>
        <v/>
      </c>
      <c r="I471">
        <f>IF(AND(ISNUMBER(A471),ISNUMBER(B471)),A471*1000+B471,"")</f>
        <v/>
      </c>
      <c r="J471">
        <f>IF(I471="","",IF(COUNTIF(I$2:I471,I471)=1,MAX(J$1:J470)+1,""))</f>
        <v/>
      </c>
    </row>
    <row r="472">
      <c r="A472">
        <f>IFERROR(--SUBSTITUTE(SUBSTITUTE(TRIM(INDEX(INDIRECT("'Выгрузка'!A472:Z472"),Настройки!$B$7)),",","."),".",MID(1/2,2,1)),"")</f>
        <v/>
      </c>
      <c r="B472">
        <f>IFERROR(--SUBSTITUTE(SUBSTITUTE(TRIM(INDEX(INDIRECT("'Выгрузка'!A472:Z472"),Настройки!$B$9)),",","."),".",MID(1/2,2,1)),"")</f>
        <v/>
      </c>
      <c r="C472">
        <f>TRIM(INDEX(INDIRECT("'Выгрузка'!A472:Z472"),Настройки!$B$8)&amp;"")</f>
        <v/>
      </c>
      <c r="D472">
        <f>IFERROR(--SUBSTITUTE(SUBSTITUTE(TRIM(INDEX(INDIRECT("'Выгрузка'!A472:Z472"),Настройки!$B$10)),",","."),".",MID(1/2,2,1)),"")</f>
        <v/>
      </c>
      <c r="E472">
        <f>IFERROR(--SUBSTITUTE(SUBSTITUTE(TRIM(INDEX(INDIRECT("'Выгрузка'!A472:Z472"),Настройки!$B$11)),",","."),".",MID(1/2,2,1)),"")</f>
        <v/>
      </c>
      <c r="F472">
        <f>TRIM(INDEX(INDIRECT("'Выгрузка'!A472:Z472"),Настройки!$B$12)&amp;"")</f>
        <v/>
      </c>
      <c r="G472">
        <f>IF(F472="",0,IF(TRIM(INDEX(INDIRECT("'Выгрузка'!A472:Z472"),Настройки!$B$13)&amp;"")="",1,IFERROR(--SUBSTITUTE(SUBSTITUTE(TRIM(INDEX(INDIRECT("'Выгрузка'!A472:Z472"),Настройки!$B$13)),",","."),".",MID(1/2,2,1)),"")))</f>
        <v/>
      </c>
      <c r="H472">
        <f>IF(F472="",0,IF(COUNTIF(Настройки!$B$17:$B$26,F472)&gt;0,1,IF(COUNTIF(Настройки!$C$17:$C$26,F472)&gt;0,2,IF(COUNTIF(Настройки!$D$17:$D$26,F472)&gt;0,3,0))))</f>
        <v/>
      </c>
      <c r="I472">
        <f>IF(AND(ISNUMBER(A472),ISNUMBER(B472)),A472*1000+B472,"")</f>
        <v/>
      </c>
      <c r="J472">
        <f>IF(I472="","",IF(COUNTIF(I$2:I472,I472)=1,MAX(J$1:J471)+1,""))</f>
        <v/>
      </c>
    </row>
    <row r="473">
      <c r="A473">
        <f>IFERROR(--SUBSTITUTE(SUBSTITUTE(TRIM(INDEX(INDIRECT("'Выгрузка'!A473:Z473"),Настройки!$B$7)),",","."),".",MID(1/2,2,1)),"")</f>
        <v/>
      </c>
      <c r="B473">
        <f>IFERROR(--SUBSTITUTE(SUBSTITUTE(TRIM(INDEX(INDIRECT("'Выгрузка'!A473:Z473"),Настройки!$B$9)),",","."),".",MID(1/2,2,1)),"")</f>
        <v/>
      </c>
      <c r="C473">
        <f>TRIM(INDEX(INDIRECT("'Выгрузка'!A473:Z473"),Настройки!$B$8)&amp;"")</f>
        <v/>
      </c>
      <c r="D473">
        <f>IFERROR(--SUBSTITUTE(SUBSTITUTE(TRIM(INDEX(INDIRECT("'Выгрузка'!A473:Z473"),Настройки!$B$10)),",","."),".",MID(1/2,2,1)),"")</f>
        <v/>
      </c>
      <c r="E473">
        <f>IFERROR(--SUBSTITUTE(SUBSTITUTE(TRIM(INDEX(INDIRECT("'Выгрузка'!A473:Z473"),Настройки!$B$11)),",","."),".",MID(1/2,2,1)),"")</f>
        <v/>
      </c>
      <c r="F473">
        <f>TRIM(INDEX(INDIRECT("'Выгрузка'!A473:Z473"),Настройки!$B$12)&amp;"")</f>
        <v/>
      </c>
      <c r="G473">
        <f>IF(F473="",0,IF(TRIM(INDEX(INDIRECT("'Выгрузка'!A473:Z473"),Настройки!$B$13)&amp;"")="",1,IFERROR(--SUBSTITUTE(SUBSTITUTE(TRIM(INDEX(INDIRECT("'Выгрузка'!A473:Z473"),Настройки!$B$13)),",","."),".",MID(1/2,2,1)),"")))</f>
        <v/>
      </c>
      <c r="H473">
        <f>IF(F473="",0,IF(COUNTIF(Настройки!$B$17:$B$26,F473)&gt;0,1,IF(COUNTIF(Настройки!$C$17:$C$26,F473)&gt;0,2,IF(COUNTIF(Настройки!$D$17:$D$26,F473)&gt;0,3,0))))</f>
        <v/>
      </c>
      <c r="I473">
        <f>IF(AND(ISNUMBER(A473),ISNUMBER(B473)),A473*1000+B473,"")</f>
        <v/>
      </c>
      <c r="J473">
        <f>IF(I473="","",IF(COUNTIF(I$2:I473,I473)=1,MAX(J$1:J472)+1,""))</f>
        <v/>
      </c>
    </row>
    <row r="474">
      <c r="A474">
        <f>IFERROR(--SUBSTITUTE(SUBSTITUTE(TRIM(INDEX(INDIRECT("'Выгрузка'!A474:Z474"),Настройки!$B$7)),",","."),".",MID(1/2,2,1)),"")</f>
        <v/>
      </c>
      <c r="B474">
        <f>IFERROR(--SUBSTITUTE(SUBSTITUTE(TRIM(INDEX(INDIRECT("'Выгрузка'!A474:Z474"),Настройки!$B$9)),",","."),".",MID(1/2,2,1)),"")</f>
        <v/>
      </c>
      <c r="C474">
        <f>TRIM(INDEX(INDIRECT("'Выгрузка'!A474:Z474"),Настройки!$B$8)&amp;"")</f>
        <v/>
      </c>
      <c r="D474">
        <f>IFERROR(--SUBSTITUTE(SUBSTITUTE(TRIM(INDEX(INDIRECT("'Выгрузка'!A474:Z474"),Настройки!$B$10)),",","."),".",MID(1/2,2,1)),"")</f>
        <v/>
      </c>
      <c r="E474">
        <f>IFERROR(--SUBSTITUTE(SUBSTITUTE(TRIM(INDEX(INDIRECT("'Выгрузка'!A474:Z474"),Настройки!$B$11)),",","."),".",MID(1/2,2,1)),"")</f>
        <v/>
      </c>
      <c r="F474">
        <f>TRIM(INDEX(INDIRECT("'Выгрузка'!A474:Z474"),Настройки!$B$12)&amp;"")</f>
        <v/>
      </c>
      <c r="G474">
        <f>IF(F474="",0,IF(TRIM(INDEX(INDIRECT("'Выгрузка'!A474:Z474"),Настройки!$B$13)&amp;"")="",1,IFERROR(--SUBSTITUTE(SUBSTITUTE(TRIM(INDEX(INDIRECT("'Выгрузка'!A474:Z474"),Настройки!$B$13)),",","."),".",MID(1/2,2,1)),"")))</f>
        <v/>
      </c>
      <c r="H474">
        <f>IF(F474="",0,IF(COUNTIF(Настройки!$B$17:$B$26,F474)&gt;0,1,IF(COUNTIF(Настройки!$C$17:$C$26,F474)&gt;0,2,IF(COUNTIF(Настройки!$D$17:$D$26,F474)&gt;0,3,0))))</f>
        <v/>
      </c>
      <c r="I474">
        <f>IF(AND(ISNUMBER(A474),ISNUMBER(B474)),A474*1000+B474,"")</f>
        <v/>
      </c>
      <c r="J474">
        <f>IF(I474="","",IF(COUNTIF(I$2:I474,I474)=1,MAX(J$1:J473)+1,""))</f>
        <v/>
      </c>
    </row>
    <row r="475">
      <c r="A475">
        <f>IFERROR(--SUBSTITUTE(SUBSTITUTE(TRIM(INDEX(INDIRECT("'Выгрузка'!A475:Z475"),Настройки!$B$7)),",","."),".",MID(1/2,2,1)),"")</f>
        <v/>
      </c>
      <c r="B475">
        <f>IFERROR(--SUBSTITUTE(SUBSTITUTE(TRIM(INDEX(INDIRECT("'Выгрузка'!A475:Z475"),Настройки!$B$9)),",","."),".",MID(1/2,2,1)),"")</f>
        <v/>
      </c>
      <c r="C475">
        <f>TRIM(INDEX(INDIRECT("'Выгрузка'!A475:Z475"),Настройки!$B$8)&amp;"")</f>
        <v/>
      </c>
      <c r="D475">
        <f>IFERROR(--SUBSTITUTE(SUBSTITUTE(TRIM(INDEX(INDIRECT("'Выгрузка'!A475:Z475"),Настройки!$B$10)),",","."),".",MID(1/2,2,1)),"")</f>
        <v/>
      </c>
      <c r="E475">
        <f>IFERROR(--SUBSTITUTE(SUBSTITUTE(TRIM(INDEX(INDIRECT("'Выгрузка'!A475:Z475"),Настройки!$B$11)),",","."),".",MID(1/2,2,1)),"")</f>
        <v/>
      </c>
      <c r="F475">
        <f>TRIM(INDEX(INDIRECT("'Выгрузка'!A475:Z475"),Настройки!$B$12)&amp;"")</f>
        <v/>
      </c>
      <c r="G475">
        <f>IF(F475="",0,IF(TRIM(INDEX(INDIRECT("'Выгрузка'!A475:Z475"),Настройки!$B$13)&amp;"")="",1,IFERROR(--SUBSTITUTE(SUBSTITUTE(TRIM(INDEX(INDIRECT("'Выгрузка'!A475:Z475"),Настройки!$B$13)),",","."),".",MID(1/2,2,1)),"")))</f>
        <v/>
      </c>
      <c r="H475">
        <f>IF(F475="",0,IF(COUNTIF(Настройки!$B$17:$B$26,F475)&gt;0,1,IF(COUNTIF(Настройки!$C$17:$C$26,F475)&gt;0,2,IF(COUNTIF(Настройки!$D$17:$D$26,F475)&gt;0,3,0))))</f>
        <v/>
      </c>
      <c r="I475">
        <f>IF(AND(ISNUMBER(A475),ISNUMBER(B475)),A475*1000+B475,"")</f>
        <v/>
      </c>
      <c r="J475">
        <f>IF(I475="","",IF(COUNTIF(I$2:I475,I475)=1,MAX(J$1:J474)+1,""))</f>
        <v/>
      </c>
    </row>
    <row r="476">
      <c r="A476">
        <f>IFERROR(--SUBSTITUTE(SUBSTITUTE(TRIM(INDEX(INDIRECT("'Выгрузка'!A476:Z476"),Настройки!$B$7)),",","."),".",MID(1/2,2,1)),"")</f>
        <v/>
      </c>
      <c r="B476">
        <f>IFERROR(--SUBSTITUTE(SUBSTITUTE(TRIM(INDEX(INDIRECT("'Выгрузка'!A476:Z476"),Настройки!$B$9)),",","."),".",MID(1/2,2,1)),"")</f>
        <v/>
      </c>
      <c r="C476">
        <f>TRIM(INDEX(INDIRECT("'Выгрузка'!A476:Z476"),Настройки!$B$8)&amp;"")</f>
        <v/>
      </c>
      <c r="D476">
        <f>IFERROR(--SUBSTITUTE(SUBSTITUTE(TRIM(INDEX(INDIRECT("'Выгрузка'!A476:Z476"),Настройки!$B$10)),",","."),".",MID(1/2,2,1)),"")</f>
        <v/>
      </c>
      <c r="E476">
        <f>IFERROR(--SUBSTITUTE(SUBSTITUTE(TRIM(INDEX(INDIRECT("'Выгрузка'!A476:Z476"),Настройки!$B$11)),",","."),".",MID(1/2,2,1)),"")</f>
        <v/>
      </c>
      <c r="F476">
        <f>TRIM(INDEX(INDIRECT("'Выгрузка'!A476:Z476"),Настройки!$B$12)&amp;"")</f>
        <v/>
      </c>
      <c r="G476">
        <f>IF(F476="",0,IF(TRIM(INDEX(INDIRECT("'Выгрузка'!A476:Z476"),Настройки!$B$13)&amp;"")="",1,IFERROR(--SUBSTITUTE(SUBSTITUTE(TRIM(INDEX(INDIRECT("'Выгрузка'!A476:Z476"),Настройки!$B$13)),",","."),".",MID(1/2,2,1)),"")))</f>
        <v/>
      </c>
      <c r="H476">
        <f>IF(F476="",0,IF(COUNTIF(Настройки!$B$17:$B$26,F476)&gt;0,1,IF(COUNTIF(Настройки!$C$17:$C$26,F476)&gt;0,2,IF(COUNTIF(Настройки!$D$17:$D$26,F476)&gt;0,3,0))))</f>
        <v/>
      </c>
      <c r="I476">
        <f>IF(AND(ISNUMBER(A476),ISNUMBER(B476)),A476*1000+B476,"")</f>
        <v/>
      </c>
      <c r="J476">
        <f>IF(I476="","",IF(COUNTIF(I$2:I476,I476)=1,MAX(J$1:J475)+1,""))</f>
        <v/>
      </c>
    </row>
    <row r="477">
      <c r="A477">
        <f>IFERROR(--SUBSTITUTE(SUBSTITUTE(TRIM(INDEX(INDIRECT("'Выгрузка'!A477:Z477"),Настройки!$B$7)),",","."),".",MID(1/2,2,1)),"")</f>
        <v/>
      </c>
      <c r="B477">
        <f>IFERROR(--SUBSTITUTE(SUBSTITUTE(TRIM(INDEX(INDIRECT("'Выгрузка'!A477:Z477"),Настройки!$B$9)),",","."),".",MID(1/2,2,1)),"")</f>
        <v/>
      </c>
      <c r="C477">
        <f>TRIM(INDEX(INDIRECT("'Выгрузка'!A477:Z477"),Настройки!$B$8)&amp;"")</f>
        <v/>
      </c>
      <c r="D477">
        <f>IFERROR(--SUBSTITUTE(SUBSTITUTE(TRIM(INDEX(INDIRECT("'Выгрузка'!A477:Z477"),Настройки!$B$10)),",","."),".",MID(1/2,2,1)),"")</f>
        <v/>
      </c>
      <c r="E477">
        <f>IFERROR(--SUBSTITUTE(SUBSTITUTE(TRIM(INDEX(INDIRECT("'Выгрузка'!A477:Z477"),Настройки!$B$11)),",","."),".",MID(1/2,2,1)),"")</f>
        <v/>
      </c>
      <c r="F477">
        <f>TRIM(INDEX(INDIRECT("'Выгрузка'!A477:Z477"),Настройки!$B$12)&amp;"")</f>
        <v/>
      </c>
      <c r="G477">
        <f>IF(F477="",0,IF(TRIM(INDEX(INDIRECT("'Выгрузка'!A477:Z477"),Настройки!$B$13)&amp;"")="",1,IFERROR(--SUBSTITUTE(SUBSTITUTE(TRIM(INDEX(INDIRECT("'Выгрузка'!A477:Z477"),Настройки!$B$13)),",","."),".",MID(1/2,2,1)),"")))</f>
        <v/>
      </c>
      <c r="H477">
        <f>IF(F477="",0,IF(COUNTIF(Настройки!$B$17:$B$26,F477)&gt;0,1,IF(COUNTIF(Настройки!$C$17:$C$26,F477)&gt;0,2,IF(COUNTIF(Настройки!$D$17:$D$26,F477)&gt;0,3,0))))</f>
        <v/>
      </c>
      <c r="I477">
        <f>IF(AND(ISNUMBER(A477),ISNUMBER(B477)),A477*1000+B477,"")</f>
        <v/>
      </c>
      <c r="J477">
        <f>IF(I477="","",IF(COUNTIF(I$2:I477,I477)=1,MAX(J$1:J476)+1,""))</f>
        <v/>
      </c>
    </row>
    <row r="478">
      <c r="A478">
        <f>IFERROR(--SUBSTITUTE(SUBSTITUTE(TRIM(INDEX(INDIRECT("'Выгрузка'!A478:Z478"),Настройки!$B$7)),",","."),".",MID(1/2,2,1)),"")</f>
        <v/>
      </c>
      <c r="B478">
        <f>IFERROR(--SUBSTITUTE(SUBSTITUTE(TRIM(INDEX(INDIRECT("'Выгрузка'!A478:Z478"),Настройки!$B$9)),",","."),".",MID(1/2,2,1)),"")</f>
        <v/>
      </c>
      <c r="C478">
        <f>TRIM(INDEX(INDIRECT("'Выгрузка'!A478:Z478"),Настройки!$B$8)&amp;"")</f>
        <v/>
      </c>
      <c r="D478">
        <f>IFERROR(--SUBSTITUTE(SUBSTITUTE(TRIM(INDEX(INDIRECT("'Выгрузка'!A478:Z478"),Настройки!$B$10)),",","."),".",MID(1/2,2,1)),"")</f>
        <v/>
      </c>
      <c r="E478">
        <f>IFERROR(--SUBSTITUTE(SUBSTITUTE(TRIM(INDEX(INDIRECT("'Выгрузка'!A478:Z478"),Настройки!$B$11)),",","."),".",MID(1/2,2,1)),"")</f>
        <v/>
      </c>
      <c r="F478">
        <f>TRIM(INDEX(INDIRECT("'Выгрузка'!A478:Z478"),Настройки!$B$12)&amp;"")</f>
        <v/>
      </c>
      <c r="G478">
        <f>IF(F478="",0,IF(TRIM(INDEX(INDIRECT("'Выгрузка'!A478:Z478"),Настройки!$B$13)&amp;"")="",1,IFERROR(--SUBSTITUTE(SUBSTITUTE(TRIM(INDEX(INDIRECT("'Выгрузка'!A478:Z478"),Настройки!$B$13)),",","."),".",MID(1/2,2,1)),"")))</f>
        <v/>
      </c>
      <c r="H478">
        <f>IF(F478="",0,IF(COUNTIF(Настройки!$B$17:$B$26,F478)&gt;0,1,IF(COUNTIF(Настройки!$C$17:$C$26,F478)&gt;0,2,IF(COUNTIF(Настройки!$D$17:$D$26,F478)&gt;0,3,0))))</f>
        <v/>
      </c>
      <c r="I478">
        <f>IF(AND(ISNUMBER(A478),ISNUMBER(B478)),A478*1000+B478,"")</f>
        <v/>
      </c>
      <c r="J478">
        <f>IF(I478="","",IF(COUNTIF(I$2:I478,I478)=1,MAX(J$1:J477)+1,""))</f>
        <v/>
      </c>
    </row>
    <row r="479">
      <c r="A479">
        <f>IFERROR(--SUBSTITUTE(SUBSTITUTE(TRIM(INDEX(INDIRECT("'Выгрузка'!A479:Z479"),Настройки!$B$7)),",","."),".",MID(1/2,2,1)),"")</f>
        <v/>
      </c>
      <c r="B479">
        <f>IFERROR(--SUBSTITUTE(SUBSTITUTE(TRIM(INDEX(INDIRECT("'Выгрузка'!A479:Z479"),Настройки!$B$9)),",","."),".",MID(1/2,2,1)),"")</f>
        <v/>
      </c>
      <c r="C479">
        <f>TRIM(INDEX(INDIRECT("'Выгрузка'!A479:Z479"),Настройки!$B$8)&amp;"")</f>
        <v/>
      </c>
      <c r="D479">
        <f>IFERROR(--SUBSTITUTE(SUBSTITUTE(TRIM(INDEX(INDIRECT("'Выгрузка'!A479:Z479"),Настройки!$B$10)),",","."),".",MID(1/2,2,1)),"")</f>
        <v/>
      </c>
      <c r="E479">
        <f>IFERROR(--SUBSTITUTE(SUBSTITUTE(TRIM(INDEX(INDIRECT("'Выгрузка'!A479:Z479"),Настройки!$B$11)),",","."),".",MID(1/2,2,1)),"")</f>
        <v/>
      </c>
      <c r="F479">
        <f>TRIM(INDEX(INDIRECT("'Выгрузка'!A479:Z479"),Настройки!$B$12)&amp;"")</f>
        <v/>
      </c>
      <c r="G479">
        <f>IF(F479="",0,IF(TRIM(INDEX(INDIRECT("'Выгрузка'!A479:Z479"),Настройки!$B$13)&amp;"")="",1,IFERROR(--SUBSTITUTE(SUBSTITUTE(TRIM(INDEX(INDIRECT("'Выгрузка'!A479:Z479"),Настройки!$B$13)),",","."),".",MID(1/2,2,1)),"")))</f>
        <v/>
      </c>
      <c r="H479">
        <f>IF(F479="",0,IF(COUNTIF(Настройки!$B$17:$B$26,F479)&gt;0,1,IF(COUNTIF(Настройки!$C$17:$C$26,F479)&gt;0,2,IF(COUNTIF(Настройки!$D$17:$D$26,F479)&gt;0,3,0))))</f>
        <v/>
      </c>
      <c r="I479">
        <f>IF(AND(ISNUMBER(A479),ISNUMBER(B479)),A479*1000+B479,"")</f>
        <v/>
      </c>
      <c r="J479">
        <f>IF(I479="","",IF(COUNTIF(I$2:I479,I479)=1,MAX(J$1:J478)+1,""))</f>
        <v/>
      </c>
    </row>
    <row r="480">
      <c r="A480">
        <f>IFERROR(--SUBSTITUTE(SUBSTITUTE(TRIM(INDEX(INDIRECT("'Выгрузка'!A480:Z480"),Настройки!$B$7)),",","."),".",MID(1/2,2,1)),"")</f>
        <v/>
      </c>
      <c r="B480">
        <f>IFERROR(--SUBSTITUTE(SUBSTITUTE(TRIM(INDEX(INDIRECT("'Выгрузка'!A480:Z480"),Настройки!$B$9)),",","."),".",MID(1/2,2,1)),"")</f>
        <v/>
      </c>
      <c r="C480">
        <f>TRIM(INDEX(INDIRECT("'Выгрузка'!A480:Z480"),Настройки!$B$8)&amp;"")</f>
        <v/>
      </c>
      <c r="D480">
        <f>IFERROR(--SUBSTITUTE(SUBSTITUTE(TRIM(INDEX(INDIRECT("'Выгрузка'!A480:Z480"),Настройки!$B$10)),",","."),".",MID(1/2,2,1)),"")</f>
        <v/>
      </c>
      <c r="E480">
        <f>IFERROR(--SUBSTITUTE(SUBSTITUTE(TRIM(INDEX(INDIRECT("'Выгрузка'!A480:Z480"),Настройки!$B$11)),",","."),".",MID(1/2,2,1)),"")</f>
        <v/>
      </c>
      <c r="F480">
        <f>TRIM(INDEX(INDIRECT("'Выгрузка'!A480:Z480"),Настройки!$B$12)&amp;"")</f>
        <v/>
      </c>
      <c r="G480">
        <f>IF(F480="",0,IF(TRIM(INDEX(INDIRECT("'Выгрузка'!A480:Z480"),Настройки!$B$13)&amp;"")="",1,IFERROR(--SUBSTITUTE(SUBSTITUTE(TRIM(INDEX(INDIRECT("'Выгрузка'!A480:Z480"),Настройки!$B$13)),",","."),".",MID(1/2,2,1)),"")))</f>
        <v/>
      </c>
      <c r="H480">
        <f>IF(F480="",0,IF(COUNTIF(Настройки!$B$17:$B$26,F480)&gt;0,1,IF(COUNTIF(Настройки!$C$17:$C$26,F480)&gt;0,2,IF(COUNTIF(Настройки!$D$17:$D$26,F480)&gt;0,3,0))))</f>
        <v/>
      </c>
      <c r="I480">
        <f>IF(AND(ISNUMBER(A480),ISNUMBER(B480)),A480*1000+B480,"")</f>
        <v/>
      </c>
      <c r="J480">
        <f>IF(I480="","",IF(COUNTIF(I$2:I480,I480)=1,MAX(J$1:J479)+1,""))</f>
        <v/>
      </c>
    </row>
    <row r="481">
      <c r="A481">
        <f>IFERROR(--SUBSTITUTE(SUBSTITUTE(TRIM(INDEX(INDIRECT("'Выгрузка'!A481:Z481"),Настройки!$B$7)),",","."),".",MID(1/2,2,1)),"")</f>
        <v/>
      </c>
      <c r="B481">
        <f>IFERROR(--SUBSTITUTE(SUBSTITUTE(TRIM(INDEX(INDIRECT("'Выгрузка'!A481:Z481"),Настройки!$B$9)),",","."),".",MID(1/2,2,1)),"")</f>
        <v/>
      </c>
      <c r="C481">
        <f>TRIM(INDEX(INDIRECT("'Выгрузка'!A481:Z481"),Настройки!$B$8)&amp;"")</f>
        <v/>
      </c>
      <c r="D481">
        <f>IFERROR(--SUBSTITUTE(SUBSTITUTE(TRIM(INDEX(INDIRECT("'Выгрузка'!A481:Z481"),Настройки!$B$10)),",","."),".",MID(1/2,2,1)),"")</f>
        <v/>
      </c>
      <c r="E481">
        <f>IFERROR(--SUBSTITUTE(SUBSTITUTE(TRIM(INDEX(INDIRECT("'Выгрузка'!A481:Z481"),Настройки!$B$11)),",","."),".",MID(1/2,2,1)),"")</f>
        <v/>
      </c>
      <c r="F481">
        <f>TRIM(INDEX(INDIRECT("'Выгрузка'!A481:Z481"),Настройки!$B$12)&amp;"")</f>
        <v/>
      </c>
      <c r="G481">
        <f>IF(F481="",0,IF(TRIM(INDEX(INDIRECT("'Выгрузка'!A481:Z481"),Настройки!$B$13)&amp;"")="",1,IFERROR(--SUBSTITUTE(SUBSTITUTE(TRIM(INDEX(INDIRECT("'Выгрузка'!A481:Z481"),Настройки!$B$13)),",","."),".",MID(1/2,2,1)),"")))</f>
        <v/>
      </c>
      <c r="H481">
        <f>IF(F481="",0,IF(COUNTIF(Настройки!$B$17:$B$26,F481)&gt;0,1,IF(COUNTIF(Настройки!$C$17:$C$26,F481)&gt;0,2,IF(COUNTIF(Настройки!$D$17:$D$26,F481)&gt;0,3,0))))</f>
        <v/>
      </c>
      <c r="I481">
        <f>IF(AND(ISNUMBER(A481),ISNUMBER(B481)),A481*1000+B481,"")</f>
        <v/>
      </c>
      <c r="J481">
        <f>IF(I481="","",IF(COUNTIF(I$2:I481,I481)=1,MAX(J$1:J480)+1,""))</f>
        <v/>
      </c>
    </row>
    <row r="482">
      <c r="A482">
        <f>IFERROR(--SUBSTITUTE(SUBSTITUTE(TRIM(INDEX(INDIRECT("'Выгрузка'!A482:Z482"),Настройки!$B$7)),",","."),".",MID(1/2,2,1)),"")</f>
        <v/>
      </c>
      <c r="B482">
        <f>IFERROR(--SUBSTITUTE(SUBSTITUTE(TRIM(INDEX(INDIRECT("'Выгрузка'!A482:Z482"),Настройки!$B$9)),",","."),".",MID(1/2,2,1)),"")</f>
        <v/>
      </c>
      <c r="C482">
        <f>TRIM(INDEX(INDIRECT("'Выгрузка'!A482:Z482"),Настройки!$B$8)&amp;"")</f>
        <v/>
      </c>
      <c r="D482">
        <f>IFERROR(--SUBSTITUTE(SUBSTITUTE(TRIM(INDEX(INDIRECT("'Выгрузка'!A482:Z482"),Настройки!$B$10)),",","."),".",MID(1/2,2,1)),"")</f>
        <v/>
      </c>
      <c r="E482">
        <f>IFERROR(--SUBSTITUTE(SUBSTITUTE(TRIM(INDEX(INDIRECT("'Выгрузка'!A482:Z482"),Настройки!$B$11)),",","."),".",MID(1/2,2,1)),"")</f>
        <v/>
      </c>
      <c r="F482">
        <f>TRIM(INDEX(INDIRECT("'Выгрузка'!A482:Z482"),Настройки!$B$12)&amp;"")</f>
        <v/>
      </c>
      <c r="G482">
        <f>IF(F482="",0,IF(TRIM(INDEX(INDIRECT("'Выгрузка'!A482:Z482"),Настройки!$B$13)&amp;"")="",1,IFERROR(--SUBSTITUTE(SUBSTITUTE(TRIM(INDEX(INDIRECT("'Выгрузка'!A482:Z482"),Настройки!$B$13)),",","."),".",MID(1/2,2,1)),"")))</f>
        <v/>
      </c>
      <c r="H482">
        <f>IF(F482="",0,IF(COUNTIF(Настройки!$B$17:$B$26,F482)&gt;0,1,IF(COUNTIF(Настройки!$C$17:$C$26,F482)&gt;0,2,IF(COUNTIF(Настройки!$D$17:$D$26,F482)&gt;0,3,0))))</f>
        <v/>
      </c>
      <c r="I482">
        <f>IF(AND(ISNUMBER(A482),ISNUMBER(B482)),A482*1000+B482,"")</f>
        <v/>
      </c>
      <c r="J482">
        <f>IF(I482="","",IF(COUNTIF(I$2:I482,I482)=1,MAX(J$1:J481)+1,""))</f>
        <v/>
      </c>
    </row>
    <row r="483">
      <c r="A483">
        <f>IFERROR(--SUBSTITUTE(SUBSTITUTE(TRIM(INDEX(INDIRECT("'Выгрузка'!A483:Z483"),Настройки!$B$7)),",","."),".",MID(1/2,2,1)),"")</f>
        <v/>
      </c>
      <c r="B483">
        <f>IFERROR(--SUBSTITUTE(SUBSTITUTE(TRIM(INDEX(INDIRECT("'Выгрузка'!A483:Z483"),Настройки!$B$9)),",","."),".",MID(1/2,2,1)),"")</f>
        <v/>
      </c>
      <c r="C483">
        <f>TRIM(INDEX(INDIRECT("'Выгрузка'!A483:Z483"),Настройки!$B$8)&amp;"")</f>
        <v/>
      </c>
      <c r="D483">
        <f>IFERROR(--SUBSTITUTE(SUBSTITUTE(TRIM(INDEX(INDIRECT("'Выгрузка'!A483:Z483"),Настройки!$B$10)),",","."),".",MID(1/2,2,1)),"")</f>
        <v/>
      </c>
      <c r="E483">
        <f>IFERROR(--SUBSTITUTE(SUBSTITUTE(TRIM(INDEX(INDIRECT("'Выгрузка'!A483:Z483"),Настройки!$B$11)),",","."),".",MID(1/2,2,1)),"")</f>
        <v/>
      </c>
      <c r="F483">
        <f>TRIM(INDEX(INDIRECT("'Выгрузка'!A483:Z483"),Настройки!$B$12)&amp;"")</f>
        <v/>
      </c>
      <c r="G483">
        <f>IF(F483="",0,IF(TRIM(INDEX(INDIRECT("'Выгрузка'!A483:Z483"),Настройки!$B$13)&amp;"")="",1,IFERROR(--SUBSTITUTE(SUBSTITUTE(TRIM(INDEX(INDIRECT("'Выгрузка'!A483:Z483"),Настройки!$B$13)),",","."),".",MID(1/2,2,1)),"")))</f>
        <v/>
      </c>
      <c r="H483">
        <f>IF(F483="",0,IF(COUNTIF(Настройки!$B$17:$B$26,F483)&gt;0,1,IF(COUNTIF(Настройки!$C$17:$C$26,F483)&gt;0,2,IF(COUNTIF(Настройки!$D$17:$D$26,F483)&gt;0,3,0))))</f>
        <v/>
      </c>
      <c r="I483">
        <f>IF(AND(ISNUMBER(A483),ISNUMBER(B483)),A483*1000+B483,"")</f>
        <v/>
      </c>
      <c r="J483">
        <f>IF(I483="","",IF(COUNTIF(I$2:I483,I483)=1,MAX(J$1:J482)+1,""))</f>
        <v/>
      </c>
    </row>
    <row r="484">
      <c r="A484">
        <f>IFERROR(--SUBSTITUTE(SUBSTITUTE(TRIM(INDEX(INDIRECT("'Выгрузка'!A484:Z484"),Настройки!$B$7)),",","."),".",MID(1/2,2,1)),"")</f>
        <v/>
      </c>
      <c r="B484">
        <f>IFERROR(--SUBSTITUTE(SUBSTITUTE(TRIM(INDEX(INDIRECT("'Выгрузка'!A484:Z484"),Настройки!$B$9)),",","."),".",MID(1/2,2,1)),"")</f>
        <v/>
      </c>
      <c r="C484">
        <f>TRIM(INDEX(INDIRECT("'Выгрузка'!A484:Z484"),Настройки!$B$8)&amp;"")</f>
        <v/>
      </c>
      <c r="D484">
        <f>IFERROR(--SUBSTITUTE(SUBSTITUTE(TRIM(INDEX(INDIRECT("'Выгрузка'!A484:Z484"),Настройки!$B$10)),",","."),".",MID(1/2,2,1)),"")</f>
        <v/>
      </c>
      <c r="E484">
        <f>IFERROR(--SUBSTITUTE(SUBSTITUTE(TRIM(INDEX(INDIRECT("'Выгрузка'!A484:Z484"),Настройки!$B$11)),",","."),".",MID(1/2,2,1)),"")</f>
        <v/>
      </c>
      <c r="F484">
        <f>TRIM(INDEX(INDIRECT("'Выгрузка'!A484:Z484"),Настройки!$B$12)&amp;"")</f>
        <v/>
      </c>
      <c r="G484">
        <f>IF(F484="",0,IF(TRIM(INDEX(INDIRECT("'Выгрузка'!A484:Z484"),Настройки!$B$13)&amp;"")="",1,IFERROR(--SUBSTITUTE(SUBSTITUTE(TRIM(INDEX(INDIRECT("'Выгрузка'!A484:Z484"),Настройки!$B$13)),",","."),".",MID(1/2,2,1)),"")))</f>
        <v/>
      </c>
      <c r="H484">
        <f>IF(F484="",0,IF(COUNTIF(Настройки!$B$17:$B$26,F484)&gt;0,1,IF(COUNTIF(Настройки!$C$17:$C$26,F484)&gt;0,2,IF(COUNTIF(Настройки!$D$17:$D$26,F484)&gt;0,3,0))))</f>
        <v/>
      </c>
      <c r="I484">
        <f>IF(AND(ISNUMBER(A484),ISNUMBER(B484)),A484*1000+B484,"")</f>
        <v/>
      </c>
      <c r="J484">
        <f>IF(I484="","",IF(COUNTIF(I$2:I484,I484)=1,MAX(J$1:J483)+1,""))</f>
        <v/>
      </c>
    </row>
    <row r="485">
      <c r="A485">
        <f>IFERROR(--SUBSTITUTE(SUBSTITUTE(TRIM(INDEX(INDIRECT("'Выгрузка'!A485:Z485"),Настройки!$B$7)),",","."),".",MID(1/2,2,1)),"")</f>
        <v/>
      </c>
      <c r="B485">
        <f>IFERROR(--SUBSTITUTE(SUBSTITUTE(TRIM(INDEX(INDIRECT("'Выгрузка'!A485:Z485"),Настройки!$B$9)),",","."),".",MID(1/2,2,1)),"")</f>
        <v/>
      </c>
      <c r="C485">
        <f>TRIM(INDEX(INDIRECT("'Выгрузка'!A485:Z485"),Настройки!$B$8)&amp;"")</f>
        <v/>
      </c>
      <c r="D485">
        <f>IFERROR(--SUBSTITUTE(SUBSTITUTE(TRIM(INDEX(INDIRECT("'Выгрузка'!A485:Z485"),Настройки!$B$10)),",","."),".",MID(1/2,2,1)),"")</f>
        <v/>
      </c>
      <c r="E485">
        <f>IFERROR(--SUBSTITUTE(SUBSTITUTE(TRIM(INDEX(INDIRECT("'Выгрузка'!A485:Z485"),Настройки!$B$11)),",","."),".",MID(1/2,2,1)),"")</f>
        <v/>
      </c>
      <c r="F485">
        <f>TRIM(INDEX(INDIRECT("'Выгрузка'!A485:Z485"),Настройки!$B$12)&amp;"")</f>
        <v/>
      </c>
      <c r="G485">
        <f>IF(F485="",0,IF(TRIM(INDEX(INDIRECT("'Выгрузка'!A485:Z485"),Настройки!$B$13)&amp;"")="",1,IFERROR(--SUBSTITUTE(SUBSTITUTE(TRIM(INDEX(INDIRECT("'Выгрузка'!A485:Z485"),Настройки!$B$13)),",","."),".",MID(1/2,2,1)),"")))</f>
        <v/>
      </c>
      <c r="H485">
        <f>IF(F485="",0,IF(COUNTIF(Настройки!$B$17:$B$26,F485)&gt;0,1,IF(COUNTIF(Настройки!$C$17:$C$26,F485)&gt;0,2,IF(COUNTIF(Настройки!$D$17:$D$26,F485)&gt;0,3,0))))</f>
        <v/>
      </c>
      <c r="I485">
        <f>IF(AND(ISNUMBER(A485),ISNUMBER(B485)),A485*1000+B485,"")</f>
        <v/>
      </c>
      <c r="J485">
        <f>IF(I485="","",IF(COUNTIF(I$2:I485,I485)=1,MAX(J$1:J484)+1,""))</f>
        <v/>
      </c>
    </row>
    <row r="486">
      <c r="A486">
        <f>IFERROR(--SUBSTITUTE(SUBSTITUTE(TRIM(INDEX(INDIRECT("'Выгрузка'!A486:Z486"),Настройки!$B$7)),",","."),".",MID(1/2,2,1)),"")</f>
        <v/>
      </c>
      <c r="B486">
        <f>IFERROR(--SUBSTITUTE(SUBSTITUTE(TRIM(INDEX(INDIRECT("'Выгрузка'!A486:Z486"),Настройки!$B$9)),",","."),".",MID(1/2,2,1)),"")</f>
        <v/>
      </c>
      <c r="C486">
        <f>TRIM(INDEX(INDIRECT("'Выгрузка'!A486:Z486"),Настройки!$B$8)&amp;"")</f>
        <v/>
      </c>
      <c r="D486">
        <f>IFERROR(--SUBSTITUTE(SUBSTITUTE(TRIM(INDEX(INDIRECT("'Выгрузка'!A486:Z486"),Настройки!$B$10)),",","."),".",MID(1/2,2,1)),"")</f>
        <v/>
      </c>
      <c r="E486">
        <f>IFERROR(--SUBSTITUTE(SUBSTITUTE(TRIM(INDEX(INDIRECT("'Выгрузка'!A486:Z486"),Настройки!$B$11)),",","."),".",MID(1/2,2,1)),"")</f>
        <v/>
      </c>
      <c r="F486">
        <f>TRIM(INDEX(INDIRECT("'Выгрузка'!A486:Z486"),Настройки!$B$12)&amp;"")</f>
        <v/>
      </c>
      <c r="G486">
        <f>IF(F486="",0,IF(TRIM(INDEX(INDIRECT("'Выгрузка'!A486:Z486"),Настройки!$B$13)&amp;"")="",1,IFERROR(--SUBSTITUTE(SUBSTITUTE(TRIM(INDEX(INDIRECT("'Выгрузка'!A486:Z486"),Настройки!$B$13)),",","."),".",MID(1/2,2,1)),"")))</f>
        <v/>
      </c>
      <c r="H486">
        <f>IF(F486="",0,IF(COUNTIF(Настройки!$B$17:$B$26,F486)&gt;0,1,IF(COUNTIF(Настройки!$C$17:$C$26,F486)&gt;0,2,IF(COUNTIF(Настройки!$D$17:$D$26,F486)&gt;0,3,0))))</f>
        <v/>
      </c>
      <c r="I486">
        <f>IF(AND(ISNUMBER(A486),ISNUMBER(B486)),A486*1000+B486,"")</f>
        <v/>
      </c>
      <c r="J486">
        <f>IF(I486="","",IF(COUNTIF(I$2:I486,I486)=1,MAX(J$1:J485)+1,""))</f>
        <v/>
      </c>
    </row>
    <row r="487">
      <c r="A487">
        <f>IFERROR(--SUBSTITUTE(SUBSTITUTE(TRIM(INDEX(INDIRECT("'Выгрузка'!A487:Z487"),Настройки!$B$7)),",","."),".",MID(1/2,2,1)),"")</f>
        <v/>
      </c>
      <c r="B487">
        <f>IFERROR(--SUBSTITUTE(SUBSTITUTE(TRIM(INDEX(INDIRECT("'Выгрузка'!A487:Z487"),Настройки!$B$9)),",","."),".",MID(1/2,2,1)),"")</f>
        <v/>
      </c>
      <c r="C487">
        <f>TRIM(INDEX(INDIRECT("'Выгрузка'!A487:Z487"),Настройки!$B$8)&amp;"")</f>
        <v/>
      </c>
      <c r="D487">
        <f>IFERROR(--SUBSTITUTE(SUBSTITUTE(TRIM(INDEX(INDIRECT("'Выгрузка'!A487:Z487"),Настройки!$B$10)),",","."),".",MID(1/2,2,1)),"")</f>
        <v/>
      </c>
      <c r="E487">
        <f>IFERROR(--SUBSTITUTE(SUBSTITUTE(TRIM(INDEX(INDIRECT("'Выгрузка'!A487:Z487"),Настройки!$B$11)),",","."),".",MID(1/2,2,1)),"")</f>
        <v/>
      </c>
      <c r="F487">
        <f>TRIM(INDEX(INDIRECT("'Выгрузка'!A487:Z487"),Настройки!$B$12)&amp;"")</f>
        <v/>
      </c>
      <c r="G487">
        <f>IF(F487="",0,IF(TRIM(INDEX(INDIRECT("'Выгрузка'!A487:Z487"),Настройки!$B$13)&amp;"")="",1,IFERROR(--SUBSTITUTE(SUBSTITUTE(TRIM(INDEX(INDIRECT("'Выгрузка'!A487:Z487"),Настройки!$B$13)),",","."),".",MID(1/2,2,1)),"")))</f>
        <v/>
      </c>
      <c r="H487">
        <f>IF(F487="",0,IF(COUNTIF(Настройки!$B$17:$B$26,F487)&gt;0,1,IF(COUNTIF(Настройки!$C$17:$C$26,F487)&gt;0,2,IF(COUNTIF(Настройки!$D$17:$D$26,F487)&gt;0,3,0))))</f>
        <v/>
      </c>
      <c r="I487">
        <f>IF(AND(ISNUMBER(A487),ISNUMBER(B487)),A487*1000+B487,"")</f>
        <v/>
      </c>
      <c r="J487">
        <f>IF(I487="","",IF(COUNTIF(I$2:I487,I487)=1,MAX(J$1:J486)+1,""))</f>
        <v/>
      </c>
    </row>
    <row r="488">
      <c r="A488">
        <f>IFERROR(--SUBSTITUTE(SUBSTITUTE(TRIM(INDEX(INDIRECT("'Выгрузка'!A488:Z488"),Настройки!$B$7)),",","."),".",MID(1/2,2,1)),"")</f>
        <v/>
      </c>
      <c r="B488">
        <f>IFERROR(--SUBSTITUTE(SUBSTITUTE(TRIM(INDEX(INDIRECT("'Выгрузка'!A488:Z488"),Настройки!$B$9)),",","."),".",MID(1/2,2,1)),"")</f>
        <v/>
      </c>
      <c r="C488">
        <f>TRIM(INDEX(INDIRECT("'Выгрузка'!A488:Z488"),Настройки!$B$8)&amp;"")</f>
        <v/>
      </c>
      <c r="D488">
        <f>IFERROR(--SUBSTITUTE(SUBSTITUTE(TRIM(INDEX(INDIRECT("'Выгрузка'!A488:Z488"),Настройки!$B$10)),",","."),".",MID(1/2,2,1)),"")</f>
        <v/>
      </c>
      <c r="E488">
        <f>IFERROR(--SUBSTITUTE(SUBSTITUTE(TRIM(INDEX(INDIRECT("'Выгрузка'!A488:Z488"),Настройки!$B$11)),",","."),".",MID(1/2,2,1)),"")</f>
        <v/>
      </c>
      <c r="F488">
        <f>TRIM(INDEX(INDIRECT("'Выгрузка'!A488:Z488"),Настройки!$B$12)&amp;"")</f>
        <v/>
      </c>
      <c r="G488">
        <f>IF(F488="",0,IF(TRIM(INDEX(INDIRECT("'Выгрузка'!A488:Z488"),Настройки!$B$13)&amp;"")="",1,IFERROR(--SUBSTITUTE(SUBSTITUTE(TRIM(INDEX(INDIRECT("'Выгрузка'!A488:Z488"),Настройки!$B$13)),",","."),".",MID(1/2,2,1)),"")))</f>
        <v/>
      </c>
      <c r="H488">
        <f>IF(F488="",0,IF(COUNTIF(Настройки!$B$17:$B$26,F488)&gt;0,1,IF(COUNTIF(Настройки!$C$17:$C$26,F488)&gt;0,2,IF(COUNTIF(Настройки!$D$17:$D$26,F488)&gt;0,3,0))))</f>
        <v/>
      </c>
      <c r="I488">
        <f>IF(AND(ISNUMBER(A488),ISNUMBER(B488)),A488*1000+B488,"")</f>
        <v/>
      </c>
      <c r="J488">
        <f>IF(I488="","",IF(COUNTIF(I$2:I488,I488)=1,MAX(J$1:J487)+1,""))</f>
        <v/>
      </c>
    </row>
    <row r="489">
      <c r="A489">
        <f>IFERROR(--SUBSTITUTE(SUBSTITUTE(TRIM(INDEX(INDIRECT("'Выгрузка'!A489:Z489"),Настройки!$B$7)),",","."),".",MID(1/2,2,1)),"")</f>
        <v/>
      </c>
      <c r="B489">
        <f>IFERROR(--SUBSTITUTE(SUBSTITUTE(TRIM(INDEX(INDIRECT("'Выгрузка'!A489:Z489"),Настройки!$B$9)),",","."),".",MID(1/2,2,1)),"")</f>
        <v/>
      </c>
      <c r="C489">
        <f>TRIM(INDEX(INDIRECT("'Выгрузка'!A489:Z489"),Настройки!$B$8)&amp;"")</f>
        <v/>
      </c>
      <c r="D489">
        <f>IFERROR(--SUBSTITUTE(SUBSTITUTE(TRIM(INDEX(INDIRECT("'Выгрузка'!A489:Z489"),Настройки!$B$10)),",","."),".",MID(1/2,2,1)),"")</f>
        <v/>
      </c>
      <c r="E489">
        <f>IFERROR(--SUBSTITUTE(SUBSTITUTE(TRIM(INDEX(INDIRECT("'Выгрузка'!A489:Z489"),Настройки!$B$11)),",","."),".",MID(1/2,2,1)),"")</f>
        <v/>
      </c>
      <c r="F489">
        <f>TRIM(INDEX(INDIRECT("'Выгрузка'!A489:Z489"),Настройки!$B$12)&amp;"")</f>
        <v/>
      </c>
      <c r="G489">
        <f>IF(F489="",0,IF(TRIM(INDEX(INDIRECT("'Выгрузка'!A489:Z489"),Настройки!$B$13)&amp;"")="",1,IFERROR(--SUBSTITUTE(SUBSTITUTE(TRIM(INDEX(INDIRECT("'Выгрузка'!A489:Z489"),Настройки!$B$13)),",","."),".",MID(1/2,2,1)),"")))</f>
        <v/>
      </c>
      <c r="H489">
        <f>IF(F489="",0,IF(COUNTIF(Настройки!$B$17:$B$26,F489)&gt;0,1,IF(COUNTIF(Настройки!$C$17:$C$26,F489)&gt;0,2,IF(COUNTIF(Настройки!$D$17:$D$26,F489)&gt;0,3,0))))</f>
        <v/>
      </c>
      <c r="I489">
        <f>IF(AND(ISNUMBER(A489),ISNUMBER(B489)),A489*1000+B489,"")</f>
        <v/>
      </c>
      <c r="J489">
        <f>IF(I489="","",IF(COUNTIF(I$2:I489,I489)=1,MAX(J$1:J488)+1,""))</f>
        <v/>
      </c>
    </row>
    <row r="490">
      <c r="A490">
        <f>IFERROR(--SUBSTITUTE(SUBSTITUTE(TRIM(INDEX(INDIRECT("'Выгрузка'!A490:Z490"),Настройки!$B$7)),",","."),".",MID(1/2,2,1)),"")</f>
        <v/>
      </c>
      <c r="B490">
        <f>IFERROR(--SUBSTITUTE(SUBSTITUTE(TRIM(INDEX(INDIRECT("'Выгрузка'!A490:Z490"),Настройки!$B$9)),",","."),".",MID(1/2,2,1)),"")</f>
        <v/>
      </c>
      <c r="C490">
        <f>TRIM(INDEX(INDIRECT("'Выгрузка'!A490:Z490"),Настройки!$B$8)&amp;"")</f>
        <v/>
      </c>
      <c r="D490">
        <f>IFERROR(--SUBSTITUTE(SUBSTITUTE(TRIM(INDEX(INDIRECT("'Выгрузка'!A490:Z490"),Настройки!$B$10)),",","."),".",MID(1/2,2,1)),"")</f>
        <v/>
      </c>
      <c r="E490">
        <f>IFERROR(--SUBSTITUTE(SUBSTITUTE(TRIM(INDEX(INDIRECT("'Выгрузка'!A490:Z490"),Настройки!$B$11)),",","."),".",MID(1/2,2,1)),"")</f>
        <v/>
      </c>
      <c r="F490">
        <f>TRIM(INDEX(INDIRECT("'Выгрузка'!A490:Z490"),Настройки!$B$12)&amp;"")</f>
        <v/>
      </c>
      <c r="G490">
        <f>IF(F490="",0,IF(TRIM(INDEX(INDIRECT("'Выгрузка'!A490:Z490"),Настройки!$B$13)&amp;"")="",1,IFERROR(--SUBSTITUTE(SUBSTITUTE(TRIM(INDEX(INDIRECT("'Выгрузка'!A490:Z490"),Настройки!$B$13)),",","."),".",MID(1/2,2,1)),"")))</f>
        <v/>
      </c>
      <c r="H490">
        <f>IF(F490="",0,IF(COUNTIF(Настройки!$B$17:$B$26,F490)&gt;0,1,IF(COUNTIF(Настройки!$C$17:$C$26,F490)&gt;0,2,IF(COUNTIF(Настройки!$D$17:$D$26,F490)&gt;0,3,0))))</f>
        <v/>
      </c>
      <c r="I490">
        <f>IF(AND(ISNUMBER(A490),ISNUMBER(B490)),A490*1000+B490,"")</f>
        <v/>
      </c>
      <c r="J490">
        <f>IF(I490="","",IF(COUNTIF(I$2:I490,I490)=1,MAX(J$1:J489)+1,""))</f>
        <v/>
      </c>
    </row>
    <row r="491">
      <c r="A491">
        <f>IFERROR(--SUBSTITUTE(SUBSTITUTE(TRIM(INDEX(INDIRECT("'Выгрузка'!A491:Z491"),Настройки!$B$7)),",","."),".",MID(1/2,2,1)),"")</f>
        <v/>
      </c>
      <c r="B491">
        <f>IFERROR(--SUBSTITUTE(SUBSTITUTE(TRIM(INDEX(INDIRECT("'Выгрузка'!A491:Z491"),Настройки!$B$9)),",","."),".",MID(1/2,2,1)),"")</f>
        <v/>
      </c>
      <c r="C491">
        <f>TRIM(INDEX(INDIRECT("'Выгрузка'!A491:Z491"),Настройки!$B$8)&amp;"")</f>
        <v/>
      </c>
      <c r="D491">
        <f>IFERROR(--SUBSTITUTE(SUBSTITUTE(TRIM(INDEX(INDIRECT("'Выгрузка'!A491:Z491"),Настройки!$B$10)),",","."),".",MID(1/2,2,1)),"")</f>
        <v/>
      </c>
      <c r="E491">
        <f>IFERROR(--SUBSTITUTE(SUBSTITUTE(TRIM(INDEX(INDIRECT("'Выгрузка'!A491:Z491"),Настройки!$B$11)),",","."),".",MID(1/2,2,1)),"")</f>
        <v/>
      </c>
      <c r="F491">
        <f>TRIM(INDEX(INDIRECT("'Выгрузка'!A491:Z491"),Настройки!$B$12)&amp;"")</f>
        <v/>
      </c>
      <c r="G491">
        <f>IF(F491="",0,IF(TRIM(INDEX(INDIRECT("'Выгрузка'!A491:Z491"),Настройки!$B$13)&amp;"")="",1,IFERROR(--SUBSTITUTE(SUBSTITUTE(TRIM(INDEX(INDIRECT("'Выгрузка'!A491:Z491"),Настройки!$B$13)),",","."),".",MID(1/2,2,1)),"")))</f>
        <v/>
      </c>
      <c r="H491">
        <f>IF(F491="",0,IF(COUNTIF(Настройки!$B$17:$B$26,F491)&gt;0,1,IF(COUNTIF(Настройки!$C$17:$C$26,F491)&gt;0,2,IF(COUNTIF(Настройки!$D$17:$D$26,F491)&gt;0,3,0))))</f>
        <v/>
      </c>
      <c r="I491">
        <f>IF(AND(ISNUMBER(A491),ISNUMBER(B491)),A491*1000+B491,"")</f>
        <v/>
      </c>
      <c r="J491">
        <f>IF(I491="","",IF(COUNTIF(I$2:I491,I491)=1,MAX(J$1:J490)+1,""))</f>
        <v/>
      </c>
    </row>
    <row r="492">
      <c r="A492">
        <f>IFERROR(--SUBSTITUTE(SUBSTITUTE(TRIM(INDEX(INDIRECT("'Выгрузка'!A492:Z492"),Настройки!$B$7)),",","."),".",MID(1/2,2,1)),"")</f>
        <v/>
      </c>
      <c r="B492">
        <f>IFERROR(--SUBSTITUTE(SUBSTITUTE(TRIM(INDEX(INDIRECT("'Выгрузка'!A492:Z492"),Настройки!$B$9)),",","."),".",MID(1/2,2,1)),"")</f>
        <v/>
      </c>
      <c r="C492">
        <f>TRIM(INDEX(INDIRECT("'Выгрузка'!A492:Z492"),Настройки!$B$8)&amp;"")</f>
        <v/>
      </c>
      <c r="D492">
        <f>IFERROR(--SUBSTITUTE(SUBSTITUTE(TRIM(INDEX(INDIRECT("'Выгрузка'!A492:Z492"),Настройки!$B$10)),",","."),".",MID(1/2,2,1)),"")</f>
        <v/>
      </c>
      <c r="E492">
        <f>IFERROR(--SUBSTITUTE(SUBSTITUTE(TRIM(INDEX(INDIRECT("'Выгрузка'!A492:Z492"),Настройки!$B$11)),",","."),".",MID(1/2,2,1)),"")</f>
        <v/>
      </c>
      <c r="F492">
        <f>TRIM(INDEX(INDIRECT("'Выгрузка'!A492:Z492"),Настройки!$B$12)&amp;"")</f>
        <v/>
      </c>
      <c r="G492">
        <f>IF(F492="",0,IF(TRIM(INDEX(INDIRECT("'Выгрузка'!A492:Z492"),Настройки!$B$13)&amp;"")="",1,IFERROR(--SUBSTITUTE(SUBSTITUTE(TRIM(INDEX(INDIRECT("'Выгрузка'!A492:Z492"),Настройки!$B$13)),",","."),".",MID(1/2,2,1)),"")))</f>
        <v/>
      </c>
      <c r="H492">
        <f>IF(F492="",0,IF(COUNTIF(Настройки!$B$17:$B$26,F492)&gt;0,1,IF(COUNTIF(Настройки!$C$17:$C$26,F492)&gt;0,2,IF(COUNTIF(Настройки!$D$17:$D$26,F492)&gt;0,3,0))))</f>
        <v/>
      </c>
      <c r="I492">
        <f>IF(AND(ISNUMBER(A492),ISNUMBER(B492)),A492*1000+B492,"")</f>
        <v/>
      </c>
      <c r="J492">
        <f>IF(I492="","",IF(COUNTIF(I$2:I492,I492)=1,MAX(J$1:J491)+1,""))</f>
        <v/>
      </c>
    </row>
    <row r="493">
      <c r="A493">
        <f>IFERROR(--SUBSTITUTE(SUBSTITUTE(TRIM(INDEX(INDIRECT("'Выгрузка'!A493:Z493"),Настройки!$B$7)),",","."),".",MID(1/2,2,1)),"")</f>
        <v/>
      </c>
      <c r="B493">
        <f>IFERROR(--SUBSTITUTE(SUBSTITUTE(TRIM(INDEX(INDIRECT("'Выгрузка'!A493:Z493"),Настройки!$B$9)),",","."),".",MID(1/2,2,1)),"")</f>
        <v/>
      </c>
      <c r="C493">
        <f>TRIM(INDEX(INDIRECT("'Выгрузка'!A493:Z493"),Настройки!$B$8)&amp;"")</f>
        <v/>
      </c>
      <c r="D493">
        <f>IFERROR(--SUBSTITUTE(SUBSTITUTE(TRIM(INDEX(INDIRECT("'Выгрузка'!A493:Z493"),Настройки!$B$10)),",","."),".",MID(1/2,2,1)),"")</f>
        <v/>
      </c>
      <c r="E493">
        <f>IFERROR(--SUBSTITUTE(SUBSTITUTE(TRIM(INDEX(INDIRECT("'Выгрузка'!A493:Z493"),Настройки!$B$11)),",","."),".",MID(1/2,2,1)),"")</f>
        <v/>
      </c>
      <c r="F493">
        <f>TRIM(INDEX(INDIRECT("'Выгрузка'!A493:Z493"),Настройки!$B$12)&amp;"")</f>
        <v/>
      </c>
      <c r="G493">
        <f>IF(F493="",0,IF(TRIM(INDEX(INDIRECT("'Выгрузка'!A493:Z493"),Настройки!$B$13)&amp;"")="",1,IFERROR(--SUBSTITUTE(SUBSTITUTE(TRIM(INDEX(INDIRECT("'Выгрузка'!A493:Z493"),Настройки!$B$13)),",","."),".",MID(1/2,2,1)),"")))</f>
        <v/>
      </c>
      <c r="H493">
        <f>IF(F493="",0,IF(COUNTIF(Настройки!$B$17:$B$26,F493)&gt;0,1,IF(COUNTIF(Настройки!$C$17:$C$26,F493)&gt;0,2,IF(COUNTIF(Настройки!$D$17:$D$26,F493)&gt;0,3,0))))</f>
        <v/>
      </c>
      <c r="I493">
        <f>IF(AND(ISNUMBER(A493),ISNUMBER(B493)),A493*1000+B493,"")</f>
        <v/>
      </c>
      <c r="J493">
        <f>IF(I493="","",IF(COUNTIF(I$2:I493,I493)=1,MAX(J$1:J492)+1,""))</f>
        <v/>
      </c>
    </row>
    <row r="494">
      <c r="A494">
        <f>IFERROR(--SUBSTITUTE(SUBSTITUTE(TRIM(INDEX(INDIRECT("'Выгрузка'!A494:Z494"),Настройки!$B$7)),",","."),".",MID(1/2,2,1)),"")</f>
        <v/>
      </c>
      <c r="B494">
        <f>IFERROR(--SUBSTITUTE(SUBSTITUTE(TRIM(INDEX(INDIRECT("'Выгрузка'!A494:Z494"),Настройки!$B$9)),",","."),".",MID(1/2,2,1)),"")</f>
        <v/>
      </c>
      <c r="C494">
        <f>TRIM(INDEX(INDIRECT("'Выгрузка'!A494:Z494"),Настройки!$B$8)&amp;"")</f>
        <v/>
      </c>
      <c r="D494">
        <f>IFERROR(--SUBSTITUTE(SUBSTITUTE(TRIM(INDEX(INDIRECT("'Выгрузка'!A494:Z494"),Настройки!$B$10)),",","."),".",MID(1/2,2,1)),"")</f>
        <v/>
      </c>
      <c r="E494">
        <f>IFERROR(--SUBSTITUTE(SUBSTITUTE(TRIM(INDEX(INDIRECT("'Выгрузка'!A494:Z494"),Настройки!$B$11)),",","."),".",MID(1/2,2,1)),"")</f>
        <v/>
      </c>
      <c r="F494">
        <f>TRIM(INDEX(INDIRECT("'Выгрузка'!A494:Z494"),Настройки!$B$12)&amp;"")</f>
        <v/>
      </c>
      <c r="G494">
        <f>IF(F494="",0,IF(TRIM(INDEX(INDIRECT("'Выгрузка'!A494:Z494"),Настройки!$B$13)&amp;"")="",1,IFERROR(--SUBSTITUTE(SUBSTITUTE(TRIM(INDEX(INDIRECT("'Выгрузка'!A494:Z494"),Настройки!$B$13)),",","."),".",MID(1/2,2,1)),"")))</f>
        <v/>
      </c>
      <c r="H494">
        <f>IF(F494="",0,IF(COUNTIF(Настройки!$B$17:$B$26,F494)&gt;0,1,IF(COUNTIF(Настройки!$C$17:$C$26,F494)&gt;0,2,IF(COUNTIF(Настройки!$D$17:$D$26,F494)&gt;0,3,0))))</f>
        <v/>
      </c>
      <c r="I494">
        <f>IF(AND(ISNUMBER(A494),ISNUMBER(B494)),A494*1000+B494,"")</f>
        <v/>
      </c>
      <c r="J494">
        <f>IF(I494="","",IF(COUNTIF(I$2:I494,I494)=1,MAX(J$1:J493)+1,""))</f>
        <v/>
      </c>
    </row>
    <row r="495">
      <c r="A495">
        <f>IFERROR(--SUBSTITUTE(SUBSTITUTE(TRIM(INDEX(INDIRECT("'Выгрузка'!A495:Z495"),Настройки!$B$7)),",","."),".",MID(1/2,2,1)),"")</f>
        <v/>
      </c>
      <c r="B495">
        <f>IFERROR(--SUBSTITUTE(SUBSTITUTE(TRIM(INDEX(INDIRECT("'Выгрузка'!A495:Z495"),Настройки!$B$9)),",","."),".",MID(1/2,2,1)),"")</f>
        <v/>
      </c>
      <c r="C495">
        <f>TRIM(INDEX(INDIRECT("'Выгрузка'!A495:Z495"),Настройки!$B$8)&amp;"")</f>
        <v/>
      </c>
      <c r="D495">
        <f>IFERROR(--SUBSTITUTE(SUBSTITUTE(TRIM(INDEX(INDIRECT("'Выгрузка'!A495:Z495"),Настройки!$B$10)),",","."),".",MID(1/2,2,1)),"")</f>
        <v/>
      </c>
      <c r="E495">
        <f>IFERROR(--SUBSTITUTE(SUBSTITUTE(TRIM(INDEX(INDIRECT("'Выгрузка'!A495:Z495"),Настройки!$B$11)),",","."),".",MID(1/2,2,1)),"")</f>
        <v/>
      </c>
      <c r="F495">
        <f>TRIM(INDEX(INDIRECT("'Выгрузка'!A495:Z495"),Настройки!$B$12)&amp;"")</f>
        <v/>
      </c>
      <c r="G495">
        <f>IF(F495="",0,IF(TRIM(INDEX(INDIRECT("'Выгрузка'!A495:Z495"),Настройки!$B$13)&amp;"")="",1,IFERROR(--SUBSTITUTE(SUBSTITUTE(TRIM(INDEX(INDIRECT("'Выгрузка'!A495:Z495"),Настройки!$B$13)),",","."),".",MID(1/2,2,1)),"")))</f>
        <v/>
      </c>
      <c r="H495">
        <f>IF(F495="",0,IF(COUNTIF(Настройки!$B$17:$B$26,F495)&gt;0,1,IF(COUNTIF(Настройки!$C$17:$C$26,F495)&gt;0,2,IF(COUNTIF(Настройки!$D$17:$D$26,F495)&gt;0,3,0))))</f>
        <v/>
      </c>
      <c r="I495">
        <f>IF(AND(ISNUMBER(A495),ISNUMBER(B495)),A495*1000+B495,"")</f>
        <v/>
      </c>
      <c r="J495">
        <f>IF(I495="","",IF(COUNTIF(I$2:I495,I495)=1,MAX(J$1:J494)+1,""))</f>
        <v/>
      </c>
    </row>
    <row r="496">
      <c r="A496">
        <f>IFERROR(--SUBSTITUTE(SUBSTITUTE(TRIM(INDEX(INDIRECT("'Выгрузка'!A496:Z496"),Настройки!$B$7)),",","."),".",MID(1/2,2,1)),"")</f>
        <v/>
      </c>
      <c r="B496">
        <f>IFERROR(--SUBSTITUTE(SUBSTITUTE(TRIM(INDEX(INDIRECT("'Выгрузка'!A496:Z496"),Настройки!$B$9)),",","."),".",MID(1/2,2,1)),"")</f>
        <v/>
      </c>
      <c r="C496">
        <f>TRIM(INDEX(INDIRECT("'Выгрузка'!A496:Z496"),Настройки!$B$8)&amp;"")</f>
        <v/>
      </c>
      <c r="D496">
        <f>IFERROR(--SUBSTITUTE(SUBSTITUTE(TRIM(INDEX(INDIRECT("'Выгрузка'!A496:Z496"),Настройки!$B$10)),",","."),".",MID(1/2,2,1)),"")</f>
        <v/>
      </c>
      <c r="E496">
        <f>IFERROR(--SUBSTITUTE(SUBSTITUTE(TRIM(INDEX(INDIRECT("'Выгрузка'!A496:Z496"),Настройки!$B$11)),",","."),".",MID(1/2,2,1)),"")</f>
        <v/>
      </c>
      <c r="F496">
        <f>TRIM(INDEX(INDIRECT("'Выгрузка'!A496:Z496"),Настройки!$B$12)&amp;"")</f>
        <v/>
      </c>
      <c r="G496">
        <f>IF(F496="",0,IF(TRIM(INDEX(INDIRECT("'Выгрузка'!A496:Z496"),Настройки!$B$13)&amp;"")="",1,IFERROR(--SUBSTITUTE(SUBSTITUTE(TRIM(INDEX(INDIRECT("'Выгрузка'!A496:Z496"),Настройки!$B$13)),",","."),".",MID(1/2,2,1)),"")))</f>
        <v/>
      </c>
      <c r="H496">
        <f>IF(F496="",0,IF(COUNTIF(Настройки!$B$17:$B$26,F496)&gt;0,1,IF(COUNTIF(Настройки!$C$17:$C$26,F496)&gt;0,2,IF(COUNTIF(Настройки!$D$17:$D$26,F496)&gt;0,3,0))))</f>
        <v/>
      </c>
      <c r="I496">
        <f>IF(AND(ISNUMBER(A496),ISNUMBER(B496)),A496*1000+B496,"")</f>
        <v/>
      </c>
      <c r="J496">
        <f>IF(I496="","",IF(COUNTIF(I$2:I496,I496)=1,MAX(J$1:J495)+1,""))</f>
        <v/>
      </c>
    </row>
    <row r="497">
      <c r="A497">
        <f>IFERROR(--SUBSTITUTE(SUBSTITUTE(TRIM(INDEX(INDIRECT("'Выгрузка'!A497:Z497"),Настройки!$B$7)),",","."),".",MID(1/2,2,1)),"")</f>
        <v/>
      </c>
      <c r="B497">
        <f>IFERROR(--SUBSTITUTE(SUBSTITUTE(TRIM(INDEX(INDIRECT("'Выгрузка'!A497:Z497"),Настройки!$B$9)),",","."),".",MID(1/2,2,1)),"")</f>
        <v/>
      </c>
      <c r="C497">
        <f>TRIM(INDEX(INDIRECT("'Выгрузка'!A497:Z497"),Настройки!$B$8)&amp;"")</f>
        <v/>
      </c>
      <c r="D497">
        <f>IFERROR(--SUBSTITUTE(SUBSTITUTE(TRIM(INDEX(INDIRECT("'Выгрузка'!A497:Z497"),Настройки!$B$10)),",","."),".",MID(1/2,2,1)),"")</f>
        <v/>
      </c>
      <c r="E497">
        <f>IFERROR(--SUBSTITUTE(SUBSTITUTE(TRIM(INDEX(INDIRECT("'Выгрузка'!A497:Z497"),Настройки!$B$11)),",","."),".",MID(1/2,2,1)),"")</f>
        <v/>
      </c>
      <c r="F497">
        <f>TRIM(INDEX(INDIRECT("'Выгрузка'!A497:Z497"),Настройки!$B$12)&amp;"")</f>
        <v/>
      </c>
      <c r="G497">
        <f>IF(F497="",0,IF(TRIM(INDEX(INDIRECT("'Выгрузка'!A497:Z497"),Настройки!$B$13)&amp;"")="",1,IFERROR(--SUBSTITUTE(SUBSTITUTE(TRIM(INDEX(INDIRECT("'Выгрузка'!A497:Z497"),Настройки!$B$13)),",","."),".",MID(1/2,2,1)),"")))</f>
        <v/>
      </c>
      <c r="H497">
        <f>IF(F497="",0,IF(COUNTIF(Настройки!$B$17:$B$26,F497)&gt;0,1,IF(COUNTIF(Настройки!$C$17:$C$26,F497)&gt;0,2,IF(COUNTIF(Настройки!$D$17:$D$26,F497)&gt;0,3,0))))</f>
        <v/>
      </c>
      <c r="I497">
        <f>IF(AND(ISNUMBER(A497),ISNUMBER(B497)),A497*1000+B497,"")</f>
        <v/>
      </c>
      <c r="J497">
        <f>IF(I497="","",IF(COUNTIF(I$2:I497,I497)=1,MAX(J$1:J496)+1,""))</f>
        <v/>
      </c>
    </row>
    <row r="498">
      <c r="A498">
        <f>IFERROR(--SUBSTITUTE(SUBSTITUTE(TRIM(INDEX(INDIRECT("'Выгрузка'!A498:Z498"),Настройки!$B$7)),",","."),".",MID(1/2,2,1)),"")</f>
        <v/>
      </c>
      <c r="B498">
        <f>IFERROR(--SUBSTITUTE(SUBSTITUTE(TRIM(INDEX(INDIRECT("'Выгрузка'!A498:Z498"),Настройки!$B$9)),",","."),".",MID(1/2,2,1)),"")</f>
        <v/>
      </c>
      <c r="C498">
        <f>TRIM(INDEX(INDIRECT("'Выгрузка'!A498:Z498"),Настройки!$B$8)&amp;"")</f>
        <v/>
      </c>
      <c r="D498">
        <f>IFERROR(--SUBSTITUTE(SUBSTITUTE(TRIM(INDEX(INDIRECT("'Выгрузка'!A498:Z498"),Настройки!$B$10)),",","."),".",MID(1/2,2,1)),"")</f>
        <v/>
      </c>
      <c r="E498">
        <f>IFERROR(--SUBSTITUTE(SUBSTITUTE(TRIM(INDEX(INDIRECT("'Выгрузка'!A498:Z498"),Настройки!$B$11)),",","."),".",MID(1/2,2,1)),"")</f>
        <v/>
      </c>
      <c r="F498">
        <f>TRIM(INDEX(INDIRECT("'Выгрузка'!A498:Z498"),Настройки!$B$12)&amp;"")</f>
        <v/>
      </c>
      <c r="G498">
        <f>IF(F498="",0,IF(TRIM(INDEX(INDIRECT("'Выгрузка'!A498:Z498"),Настройки!$B$13)&amp;"")="",1,IFERROR(--SUBSTITUTE(SUBSTITUTE(TRIM(INDEX(INDIRECT("'Выгрузка'!A498:Z498"),Настройки!$B$13)),",","."),".",MID(1/2,2,1)),"")))</f>
        <v/>
      </c>
      <c r="H498">
        <f>IF(F498="",0,IF(COUNTIF(Настройки!$B$17:$B$26,F498)&gt;0,1,IF(COUNTIF(Настройки!$C$17:$C$26,F498)&gt;0,2,IF(COUNTIF(Настройки!$D$17:$D$26,F498)&gt;0,3,0))))</f>
        <v/>
      </c>
      <c r="I498">
        <f>IF(AND(ISNUMBER(A498),ISNUMBER(B498)),A498*1000+B498,"")</f>
        <v/>
      </c>
      <c r="J498">
        <f>IF(I498="","",IF(COUNTIF(I$2:I498,I498)=1,MAX(J$1:J497)+1,""))</f>
        <v/>
      </c>
    </row>
    <row r="499">
      <c r="A499">
        <f>IFERROR(--SUBSTITUTE(SUBSTITUTE(TRIM(INDEX(INDIRECT("'Выгрузка'!A499:Z499"),Настройки!$B$7)),",","."),".",MID(1/2,2,1)),"")</f>
        <v/>
      </c>
      <c r="B499">
        <f>IFERROR(--SUBSTITUTE(SUBSTITUTE(TRIM(INDEX(INDIRECT("'Выгрузка'!A499:Z499"),Настройки!$B$9)),",","."),".",MID(1/2,2,1)),"")</f>
        <v/>
      </c>
      <c r="C499">
        <f>TRIM(INDEX(INDIRECT("'Выгрузка'!A499:Z499"),Настройки!$B$8)&amp;"")</f>
        <v/>
      </c>
      <c r="D499">
        <f>IFERROR(--SUBSTITUTE(SUBSTITUTE(TRIM(INDEX(INDIRECT("'Выгрузка'!A499:Z499"),Настройки!$B$10)),",","."),".",MID(1/2,2,1)),"")</f>
        <v/>
      </c>
      <c r="E499">
        <f>IFERROR(--SUBSTITUTE(SUBSTITUTE(TRIM(INDEX(INDIRECT("'Выгрузка'!A499:Z499"),Настройки!$B$11)),",","."),".",MID(1/2,2,1)),"")</f>
        <v/>
      </c>
      <c r="F499">
        <f>TRIM(INDEX(INDIRECT("'Выгрузка'!A499:Z499"),Настройки!$B$12)&amp;"")</f>
        <v/>
      </c>
      <c r="G499">
        <f>IF(F499="",0,IF(TRIM(INDEX(INDIRECT("'Выгрузка'!A499:Z499"),Настройки!$B$13)&amp;"")="",1,IFERROR(--SUBSTITUTE(SUBSTITUTE(TRIM(INDEX(INDIRECT("'Выгрузка'!A499:Z499"),Настройки!$B$13)),",","."),".",MID(1/2,2,1)),"")))</f>
        <v/>
      </c>
      <c r="H499">
        <f>IF(F499="",0,IF(COUNTIF(Настройки!$B$17:$B$26,F499)&gt;0,1,IF(COUNTIF(Настройки!$C$17:$C$26,F499)&gt;0,2,IF(COUNTIF(Настройки!$D$17:$D$26,F499)&gt;0,3,0))))</f>
        <v/>
      </c>
      <c r="I499">
        <f>IF(AND(ISNUMBER(A499),ISNUMBER(B499)),A499*1000+B499,"")</f>
        <v/>
      </c>
      <c r="J499">
        <f>IF(I499="","",IF(COUNTIF(I$2:I499,I499)=1,MAX(J$1:J498)+1,""))</f>
        <v/>
      </c>
    </row>
    <row r="500">
      <c r="A500">
        <f>IFERROR(--SUBSTITUTE(SUBSTITUTE(TRIM(INDEX(INDIRECT("'Выгрузка'!A500:Z500"),Настройки!$B$7)),",","."),".",MID(1/2,2,1)),"")</f>
        <v/>
      </c>
      <c r="B500">
        <f>IFERROR(--SUBSTITUTE(SUBSTITUTE(TRIM(INDEX(INDIRECT("'Выгрузка'!A500:Z500"),Настройки!$B$9)),",","."),".",MID(1/2,2,1)),"")</f>
        <v/>
      </c>
      <c r="C500">
        <f>TRIM(INDEX(INDIRECT("'Выгрузка'!A500:Z500"),Настройки!$B$8)&amp;"")</f>
        <v/>
      </c>
      <c r="D500">
        <f>IFERROR(--SUBSTITUTE(SUBSTITUTE(TRIM(INDEX(INDIRECT("'Выгрузка'!A500:Z500"),Настройки!$B$10)),",","."),".",MID(1/2,2,1)),"")</f>
        <v/>
      </c>
      <c r="E500">
        <f>IFERROR(--SUBSTITUTE(SUBSTITUTE(TRIM(INDEX(INDIRECT("'Выгрузка'!A500:Z500"),Настройки!$B$11)),",","."),".",MID(1/2,2,1)),"")</f>
        <v/>
      </c>
      <c r="F500">
        <f>TRIM(INDEX(INDIRECT("'Выгрузка'!A500:Z500"),Настройки!$B$12)&amp;"")</f>
        <v/>
      </c>
      <c r="G500">
        <f>IF(F500="",0,IF(TRIM(INDEX(INDIRECT("'Выгрузка'!A500:Z500"),Настройки!$B$13)&amp;"")="",1,IFERROR(--SUBSTITUTE(SUBSTITUTE(TRIM(INDEX(INDIRECT("'Выгрузка'!A500:Z500"),Настройки!$B$13)),",","."),".",MID(1/2,2,1)),"")))</f>
        <v/>
      </c>
      <c r="H500">
        <f>IF(F500="",0,IF(COUNTIF(Настройки!$B$17:$B$26,F500)&gt;0,1,IF(COUNTIF(Настройки!$C$17:$C$26,F500)&gt;0,2,IF(COUNTIF(Настройки!$D$17:$D$26,F500)&gt;0,3,0))))</f>
        <v/>
      </c>
      <c r="I500">
        <f>IF(AND(ISNUMBER(A500),ISNUMBER(B500)),A500*1000+B500,"")</f>
        <v/>
      </c>
      <c r="J500">
        <f>IF(I500="","",IF(COUNTIF(I$2:I500,I500)=1,MAX(J$1:J499)+1,""))</f>
        <v/>
      </c>
    </row>
    <row r="501">
      <c r="A501">
        <f>IFERROR(--SUBSTITUTE(SUBSTITUTE(TRIM(INDEX(INDIRECT("'Выгрузка'!A501:Z501"),Настройки!$B$7)),",","."),".",MID(1/2,2,1)),"")</f>
        <v/>
      </c>
      <c r="B501">
        <f>IFERROR(--SUBSTITUTE(SUBSTITUTE(TRIM(INDEX(INDIRECT("'Выгрузка'!A501:Z501"),Настройки!$B$9)),",","."),".",MID(1/2,2,1)),"")</f>
        <v/>
      </c>
      <c r="C501">
        <f>TRIM(INDEX(INDIRECT("'Выгрузка'!A501:Z501"),Настройки!$B$8)&amp;"")</f>
        <v/>
      </c>
      <c r="D501">
        <f>IFERROR(--SUBSTITUTE(SUBSTITUTE(TRIM(INDEX(INDIRECT("'Выгрузка'!A501:Z501"),Настройки!$B$10)),",","."),".",MID(1/2,2,1)),"")</f>
        <v/>
      </c>
      <c r="E501">
        <f>IFERROR(--SUBSTITUTE(SUBSTITUTE(TRIM(INDEX(INDIRECT("'Выгрузка'!A501:Z501"),Настройки!$B$11)),",","."),".",MID(1/2,2,1)),"")</f>
        <v/>
      </c>
      <c r="F501">
        <f>TRIM(INDEX(INDIRECT("'Выгрузка'!A501:Z501"),Настройки!$B$12)&amp;"")</f>
        <v/>
      </c>
      <c r="G501">
        <f>IF(F501="",0,IF(TRIM(INDEX(INDIRECT("'Выгрузка'!A501:Z501"),Настройки!$B$13)&amp;"")="",1,IFERROR(--SUBSTITUTE(SUBSTITUTE(TRIM(INDEX(INDIRECT("'Выгрузка'!A501:Z501"),Настройки!$B$13)),",","."),".",MID(1/2,2,1)),"")))</f>
        <v/>
      </c>
      <c r="H501">
        <f>IF(F501="",0,IF(COUNTIF(Настройки!$B$17:$B$26,F501)&gt;0,1,IF(COUNTIF(Настройки!$C$17:$C$26,F501)&gt;0,2,IF(COUNTIF(Настройки!$D$17:$D$26,F501)&gt;0,3,0))))</f>
        <v/>
      </c>
      <c r="I501">
        <f>IF(AND(ISNUMBER(A501),ISNUMBER(B501)),A501*1000+B501,"")</f>
        <v/>
      </c>
      <c r="J501">
        <f>IF(I501="","",IF(COUNTIF(I$2:I501,I501)=1,MAX(J$1:J500)+1,""))</f>
        <v/>
      </c>
    </row>
    <row r="502">
      <c r="A502">
        <f>IFERROR(--SUBSTITUTE(SUBSTITUTE(TRIM(INDEX(INDIRECT("'Выгрузка'!A502:Z502"),Настройки!$B$7)),",","."),".",MID(1/2,2,1)),"")</f>
        <v/>
      </c>
      <c r="B502">
        <f>IFERROR(--SUBSTITUTE(SUBSTITUTE(TRIM(INDEX(INDIRECT("'Выгрузка'!A502:Z502"),Настройки!$B$9)),",","."),".",MID(1/2,2,1)),"")</f>
        <v/>
      </c>
      <c r="C502">
        <f>TRIM(INDEX(INDIRECT("'Выгрузка'!A502:Z502"),Настройки!$B$8)&amp;"")</f>
        <v/>
      </c>
      <c r="D502">
        <f>IFERROR(--SUBSTITUTE(SUBSTITUTE(TRIM(INDEX(INDIRECT("'Выгрузка'!A502:Z502"),Настройки!$B$10)),",","."),".",MID(1/2,2,1)),"")</f>
        <v/>
      </c>
      <c r="E502">
        <f>IFERROR(--SUBSTITUTE(SUBSTITUTE(TRIM(INDEX(INDIRECT("'Выгрузка'!A502:Z502"),Настройки!$B$11)),",","."),".",MID(1/2,2,1)),"")</f>
        <v/>
      </c>
      <c r="F502">
        <f>TRIM(INDEX(INDIRECT("'Выгрузка'!A502:Z502"),Настройки!$B$12)&amp;"")</f>
        <v/>
      </c>
      <c r="G502">
        <f>IF(F502="",0,IF(TRIM(INDEX(INDIRECT("'Выгрузка'!A502:Z502"),Настройки!$B$13)&amp;"")="",1,IFERROR(--SUBSTITUTE(SUBSTITUTE(TRIM(INDEX(INDIRECT("'Выгрузка'!A502:Z502"),Настройки!$B$13)),",","."),".",MID(1/2,2,1)),"")))</f>
        <v/>
      </c>
      <c r="H502">
        <f>IF(F502="",0,IF(COUNTIF(Настройки!$B$17:$B$26,F502)&gt;0,1,IF(COUNTIF(Настройки!$C$17:$C$26,F502)&gt;0,2,IF(COUNTIF(Настройки!$D$17:$D$26,F502)&gt;0,3,0))))</f>
        <v/>
      </c>
      <c r="I502">
        <f>IF(AND(ISNUMBER(A502),ISNUMBER(B502)),A502*1000+B502,"")</f>
        <v/>
      </c>
      <c r="J502">
        <f>IF(I502="","",IF(COUNTIF(I$2:I502,I502)=1,MAX(J$1:J501)+1,""))</f>
        <v/>
      </c>
    </row>
    <row r="503">
      <c r="A503">
        <f>IFERROR(--SUBSTITUTE(SUBSTITUTE(TRIM(INDEX(INDIRECT("'Выгрузка'!A503:Z503"),Настройки!$B$7)),",","."),".",MID(1/2,2,1)),"")</f>
        <v/>
      </c>
      <c r="B503">
        <f>IFERROR(--SUBSTITUTE(SUBSTITUTE(TRIM(INDEX(INDIRECT("'Выгрузка'!A503:Z503"),Настройки!$B$9)),",","."),".",MID(1/2,2,1)),"")</f>
        <v/>
      </c>
      <c r="C503">
        <f>TRIM(INDEX(INDIRECT("'Выгрузка'!A503:Z503"),Настройки!$B$8)&amp;"")</f>
        <v/>
      </c>
      <c r="D503">
        <f>IFERROR(--SUBSTITUTE(SUBSTITUTE(TRIM(INDEX(INDIRECT("'Выгрузка'!A503:Z503"),Настройки!$B$10)),",","."),".",MID(1/2,2,1)),"")</f>
        <v/>
      </c>
      <c r="E503">
        <f>IFERROR(--SUBSTITUTE(SUBSTITUTE(TRIM(INDEX(INDIRECT("'Выгрузка'!A503:Z503"),Настройки!$B$11)),",","."),".",MID(1/2,2,1)),"")</f>
        <v/>
      </c>
      <c r="F503">
        <f>TRIM(INDEX(INDIRECT("'Выгрузка'!A503:Z503"),Настройки!$B$12)&amp;"")</f>
        <v/>
      </c>
      <c r="G503">
        <f>IF(F503="",0,IF(TRIM(INDEX(INDIRECT("'Выгрузка'!A503:Z503"),Настройки!$B$13)&amp;"")="",1,IFERROR(--SUBSTITUTE(SUBSTITUTE(TRIM(INDEX(INDIRECT("'Выгрузка'!A503:Z503"),Настройки!$B$13)),",","."),".",MID(1/2,2,1)),"")))</f>
        <v/>
      </c>
      <c r="H503">
        <f>IF(F503="",0,IF(COUNTIF(Настройки!$B$17:$B$26,F503)&gt;0,1,IF(COUNTIF(Настройки!$C$17:$C$26,F503)&gt;0,2,IF(COUNTIF(Настройки!$D$17:$D$26,F503)&gt;0,3,0))))</f>
        <v/>
      </c>
      <c r="I503">
        <f>IF(AND(ISNUMBER(A503),ISNUMBER(B503)),A503*1000+B503,"")</f>
        <v/>
      </c>
      <c r="J503">
        <f>IF(I503="","",IF(COUNTIF(I$2:I503,I503)=1,MAX(J$1:J502)+1,""))</f>
        <v/>
      </c>
    </row>
    <row r="504">
      <c r="A504">
        <f>IFERROR(--SUBSTITUTE(SUBSTITUTE(TRIM(INDEX(INDIRECT("'Выгрузка'!A504:Z504"),Настройки!$B$7)),",","."),".",MID(1/2,2,1)),"")</f>
        <v/>
      </c>
      <c r="B504">
        <f>IFERROR(--SUBSTITUTE(SUBSTITUTE(TRIM(INDEX(INDIRECT("'Выгрузка'!A504:Z504"),Настройки!$B$9)),",","."),".",MID(1/2,2,1)),"")</f>
        <v/>
      </c>
      <c r="C504">
        <f>TRIM(INDEX(INDIRECT("'Выгрузка'!A504:Z504"),Настройки!$B$8)&amp;"")</f>
        <v/>
      </c>
      <c r="D504">
        <f>IFERROR(--SUBSTITUTE(SUBSTITUTE(TRIM(INDEX(INDIRECT("'Выгрузка'!A504:Z504"),Настройки!$B$10)),",","."),".",MID(1/2,2,1)),"")</f>
        <v/>
      </c>
      <c r="E504">
        <f>IFERROR(--SUBSTITUTE(SUBSTITUTE(TRIM(INDEX(INDIRECT("'Выгрузка'!A504:Z504"),Настройки!$B$11)),",","."),".",MID(1/2,2,1)),"")</f>
        <v/>
      </c>
      <c r="F504">
        <f>TRIM(INDEX(INDIRECT("'Выгрузка'!A504:Z504"),Настройки!$B$12)&amp;"")</f>
        <v/>
      </c>
      <c r="G504">
        <f>IF(F504="",0,IF(TRIM(INDEX(INDIRECT("'Выгрузка'!A504:Z504"),Настройки!$B$13)&amp;"")="",1,IFERROR(--SUBSTITUTE(SUBSTITUTE(TRIM(INDEX(INDIRECT("'Выгрузка'!A504:Z504"),Настройки!$B$13)),",","."),".",MID(1/2,2,1)),"")))</f>
        <v/>
      </c>
      <c r="H504">
        <f>IF(F504="",0,IF(COUNTIF(Настройки!$B$17:$B$26,F504)&gt;0,1,IF(COUNTIF(Настройки!$C$17:$C$26,F504)&gt;0,2,IF(COUNTIF(Настройки!$D$17:$D$26,F504)&gt;0,3,0))))</f>
        <v/>
      </c>
      <c r="I504">
        <f>IF(AND(ISNUMBER(A504),ISNUMBER(B504)),A504*1000+B504,"")</f>
        <v/>
      </c>
      <c r="J504">
        <f>IF(I504="","",IF(COUNTIF(I$2:I504,I504)=1,MAX(J$1:J503)+1,""))</f>
        <v/>
      </c>
    </row>
    <row r="505">
      <c r="A505">
        <f>IFERROR(--SUBSTITUTE(SUBSTITUTE(TRIM(INDEX(INDIRECT("'Выгрузка'!A505:Z505"),Настройки!$B$7)),",","."),".",MID(1/2,2,1)),"")</f>
        <v/>
      </c>
      <c r="B505">
        <f>IFERROR(--SUBSTITUTE(SUBSTITUTE(TRIM(INDEX(INDIRECT("'Выгрузка'!A505:Z505"),Настройки!$B$9)),",","."),".",MID(1/2,2,1)),"")</f>
        <v/>
      </c>
      <c r="C505">
        <f>TRIM(INDEX(INDIRECT("'Выгрузка'!A505:Z505"),Настройки!$B$8)&amp;"")</f>
        <v/>
      </c>
      <c r="D505">
        <f>IFERROR(--SUBSTITUTE(SUBSTITUTE(TRIM(INDEX(INDIRECT("'Выгрузка'!A505:Z505"),Настройки!$B$10)),",","."),".",MID(1/2,2,1)),"")</f>
        <v/>
      </c>
      <c r="E505">
        <f>IFERROR(--SUBSTITUTE(SUBSTITUTE(TRIM(INDEX(INDIRECT("'Выгрузка'!A505:Z505"),Настройки!$B$11)),",","."),".",MID(1/2,2,1)),"")</f>
        <v/>
      </c>
      <c r="F505">
        <f>TRIM(INDEX(INDIRECT("'Выгрузка'!A505:Z505"),Настройки!$B$12)&amp;"")</f>
        <v/>
      </c>
      <c r="G505">
        <f>IF(F505="",0,IF(TRIM(INDEX(INDIRECT("'Выгрузка'!A505:Z505"),Настройки!$B$13)&amp;"")="",1,IFERROR(--SUBSTITUTE(SUBSTITUTE(TRIM(INDEX(INDIRECT("'Выгрузка'!A505:Z505"),Настройки!$B$13)),",","."),".",MID(1/2,2,1)),"")))</f>
        <v/>
      </c>
      <c r="H505">
        <f>IF(F505="",0,IF(COUNTIF(Настройки!$B$17:$B$26,F505)&gt;0,1,IF(COUNTIF(Настройки!$C$17:$C$26,F505)&gt;0,2,IF(COUNTIF(Настройки!$D$17:$D$26,F505)&gt;0,3,0))))</f>
        <v/>
      </c>
      <c r="I505">
        <f>IF(AND(ISNUMBER(A505),ISNUMBER(B505)),A505*1000+B505,"")</f>
        <v/>
      </c>
      <c r="J505">
        <f>IF(I505="","",IF(COUNTIF(I$2:I505,I505)=1,MAX(J$1:J504)+1,""))</f>
        <v/>
      </c>
    </row>
    <row r="506">
      <c r="A506">
        <f>IFERROR(--SUBSTITUTE(SUBSTITUTE(TRIM(INDEX(INDIRECT("'Выгрузка'!A506:Z506"),Настройки!$B$7)),",","."),".",MID(1/2,2,1)),"")</f>
        <v/>
      </c>
      <c r="B506">
        <f>IFERROR(--SUBSTITUTE(SUBSTITUTE(TRIM(INDEX(INDIRECT("'Выгрузка'!A506:Z506"),Настройки!$B$9)),",","."),".",MID(1/2,2,1)),"")</f>
        <v/>
      </c>
      <c r="C506">
        <f>TRIM(INDEX(INDIRECT("'Выгрузка'!A506:Z506"),Настройки!$B$8)&amp;"")</f>
        <v/>
      </c>
      <c r="D506">
        <f>IFERROR(--SUBSTITUTE(SUBSTITUTE(TRIM(INDEX(INDIRECT("'Выгрузка'!A506:Z506"),Настройки!$B$10)),",","."),".",MID(1/2,2,1)),"")</f>
        <v/>
      </c>
      <c r="E506">
        <f>IFERROR(--SUBSTITUTE(SUBSTITUTE(TRIM(INDEX(INDIRECT("'Выгрузка'!A506:Z506"),Настройки!$B$11)),",","."),".",MID(1/2,2,1)),"")</f>
        <v/>
      </c>
      <c r="F506">
        <f>TRIM(INDEX(INDIRECT("'Выгрузка'!A506:Z506"),Настройки!$B$12)&amp;"")</f>
        <v/>
      </c>
      <c r="G506">
        <f>IF(F506="",0,IF(TRIM(INDEX(INDIRECT("'Выгрузка'!A506:Z506"),Настройки!$B$13)&amp;"")="",1,IFERROR(--SUBSTITUTE(SUBSTITUTE(TRIM(INDEX(INDIRECT("'Выгрузка'!A506:Z506"),Настройки!$B$13)),",","."),".",MID(1/2,2,1)),"")))</f>
        <v/>
      </c>
      <c r="H506">
        <f>IF(F506="",0,IF(COUNTIF(Настройки!$B$17:$B$26,F506)&gt;0,1,IF(COUNTIF(Настройки!$C$17:$C$26,F506)&gt;0,2,IF(COUNTIF(Настройки!$D$17:$D$26,F506)&gt;0,3,0))))</f>
        <v/>
      </c>
      <c r="I506">
        <f>IF(AND(ISNUMBER(A506),ISNUMBER(B506)),A506*1000+B506,"")</f>
        <v/>
      </c>
      <c r="J506">
        <f>IF(I506="","",IF(COUNTIF(I$2:I506,I506)=1,MAX(J$1:J505)+1,""))</f>
        <v/>
      </c>
    </row>
    <row r="507">
      <c r="A507">
        <f>IFERROR(--SUBSTITUTE(SUBSTITUTE(TRIM(INDEX(INDIRECT("'Выгрузка'!A507:Z507"),Настройки!$B$7)),",","."),".",MID(1/2,2,1)),"")</f>
        <v/>
      </c>
      <c r="B507">
        <f>IFERROR(--SUBSTITUTE(SUBSTITUTE(TRIM(INDEX(INDIRECT("'Выгрузка'!A507:Z507"),Настройки!$B$9)),",","."),".",MID(1/2,2,1)),"")</f>
        <v/>
      </c>
      <c r="C507">
        <f>TRIM(INDEX(INDIRECT("'Выгрузка'!A507:Z507"),Настройки!$B$8)&amp;"")</f>
        <v/>
      </c>
      <c r="D507">
        <f>IFERROR(--SUBSTITUTE(SUBSTITUTE(TRIM(INDEX(INDIRECT("'Выгрузка'!A507:Z507"),Настройки!$B$10)),",","."),".",MID(1/2,2,1)),"")</f>
        <v/>
      </c>
      <c r="E507">
        <f>IFERROR(--SUBSTITUTE(SUBSTITUTE(TRIM(INDEX(INDIRECT("'Выгрузка'!A507:Z507"),Настройки!$B$11)),",","."),".",MID(1/2,2,1)),"")</f>
        <v/>
      </c>
      <c r="F507">
        <f>TRIM(INDEX(INDIRECT("'Выгрузка'!A507:Z507"),Настройки!$B$12)&amp;"")</f>
        <v/>
      </c>
      <c r="G507">
        <f>IF(F507="",0,IF(TRIM(INDEX(INDIRECT("'Выгрузка'!A507:Z507"),Настройки!$B$13)&amp;"")="",1,IFERROR(--SUBSTITUTE(SUBSTITUTE(TRIM(INDEX(INDIRECT("'Выгрузка'!A507:Z507"),Настройки!$B$13)),",","."),".",MID(1/2,2,1)),"")))</f>
        <v/>
      </c>
      <c r="H507">
        <f>IF(F507="",0,IF(COUNTIF(Настройки!$B$17:$B$26,F507)&gt;0,1,IF(COUNTIF(Настройки!$C$17:$C$26,F507)&gt;0,2,IF(COUNTIF(Настройки!$D$17:$D$26,F507)&gt;0,3,0))))</f>
        <v/>
      </c>
      <c r="I507">
        <f>IF(AND(ISNUMBER(A507),ISNUMBER(B507)),A507*1000+B507,"")</f>
        <v/>
      </c>
      <c r="J507">
        <f>IF(I507="","",IF(COUNTIF(I$2:I507,I507)=1,MAX(J$1:J506)+1,""))</f>
        <v/>
      </c>
    </row>
    <row r="508">
      <c r="A508">
        <f>IFERROR(--SUBSTITUTE(SUBSTITUTE(TRIM(INDEX(INDIRECT("'Выгрузка'!A508:Z508"),Настройки!$B$7)),",","."),".",MID(1/2,2,1)),"")</f>
        <v/>
      </c>
      <c r="B508">
        <f>IFERROR(--SUBSTITUTE(SUBSTITUTE(TRIM(INDEX(INDIRECT("'Выгрузка'!A508:Z508"),Настройки!$B$9)),",","."),".",MID(1/2,2,1)),"")</f>
        <v/>
      </c>
      <c r="C508">
        <f>TRIM(INDEX(INDIRECT("'Выгрузка'!A508:Z508"),Настройки!$B$8)&amp;"")</f>
        <v/>
      </c>
      <c r="D508">
        <f>IFERROR(--SUBSTITUTE(SUBSTITUTE(TRIM(INDEX(INDIRECT("'Выгрузка'!A508:Z508"),Настройки!$B$10)),",","."),".",MID(1/2,2,1)),"")</f>
        <v/>
      </c>
      <c r="E508">
        <f>IFERROR(--SUBSTITUTE(SUBSTITUTE(TRIM(INDEX(INDIRECT("'Выгрузка'!A508:Z508"),Настройки!$B$11)),",","."),".",MID(1/2,2,1)),"")</f>
        <v/>
      </c>
      <c r="F508">
        <f>TRIM(INDEX(INDIRECT("'Выгрузка'!A508:Z508"),Настройки!$B$12)&amp;"")</f>
        <v/>
      </c>
      <c r="G508">
        <f>IF(F508="",0,IF(TRIM(INDEX(INDIRECT("'Выгрузка'!A508:Z508"),Настройки!$B$13)&amp;"")="",1,IFERROR(--SUBSTITUTE(SUBSTITUTE(TRIM(INDEX(INDIRECT("'Выгрузка'!A508:Z508"),Настройки!$B$13)),",","."),".",MID(1/2,2,1)),"")))</f>
        <v/>
      </c>
      <c r="H508">
        <f>IF(F508="",0,IF(COUNTIF(Настройки!$B$17:$B$26,F508)&gt;0,1,IF(COUNTIF(Настройки!$C$17:$C$26,F508)&gt;0,2,IF(COUNTIF(Настройки!$D$17:$D$26,F508)&gt;0,3,0))))</f>
        <v/>
      </c>
      <c r="I508">
        <f>IF(AND(ISNUMBER(A508),ISNUMBER(B508)),A508*1000+B508,"")</f>
        <v/>
      </c>
      <c r="J508">
        <f>IF(I508="","",IF(COUNTIF(I$2:I508,I508)=1,MAX(J$1:J507)+1,""))</f>
        <v/>
      </c>
    </row>
    <row r="509">
      <c r="A509">
        <f>IFERROR(--SUBSTITUTE(SUBSTITUTE(TRIM(INDEX(INDIRECT("'Выгрузка'!A509:Z509"),Настройки!$B$7)),",","."),".",MID(1/2,2,1)),"")</f>
        <v/>
      </c>
      <c r="B509">
        <f>IFERROR(--SUBSTITUTE(SUBSTITUTE(TRIM(INDEX(INDIRECT("'Выгрузка'!A509:Z509"),Настройки!$B$9)),",","."),".",MID(1/2,2,1)),"")</f>
        <v/>
      </c>
      <c r="C509">
        <f>TRIM(INDEX(INDIRECT("'Выгрузка'!A509:Z509"),Настройки!$B$8)&amp;"")</f>
        <v/>
      </c>
      <c r="D509">
        <f>IFERROR(--SUBSTITUTE(SUBSTITUTE(TRIM(INDEX(INDIRECT("'Выгрузка'!A509:Z509"),Настройки!$B$10)),",","."),".",MID(1/2,2,1)),"")</f>
        <v/>
      </c>
      <c r="E509">
        <f>IFERROR(--SUBSTITUTE(SUBSTITUTE(TRIM(INDEX(INDIRECT("'Выгрузка'!A509:Z509"),Настройки!$B$11)),",","."),".",MID(1/2,2,1)),"")</f>
        <v/>
      </c>
      <c r="F509">
        <f>TRIM(INDEX(INDIRECT("'Выгрузка'!A509:Z509"),Настройки!$B$12)&amp;"")</f>
        <v/>
      </c>
      <c r="G509">
        <f>IF(F509="",0,IF(TRIM(INDEX(INDIRECT("'Выгрузка'!A509:Z509"),Настройки!$B$13)&amp;"")="",1,IFERROR(--SUBSTITUTE(SUBSTITUTE(TRIM(INDEX(INDIRECT("'Выгрузка'!A509:Z509"),Настройки!$B$13)),",","."),".",MID(1/2,2,1)),"")))</f>
        <v/>
      </c>
      <c r="H509">
        <f>IF(F509="",0,IF(COUNTIF(Настройки!$B$17:$B$26,F509)&gt;0,1,IF(COUNTIF(Настройки!$C$17:$C$26,F509)&gt;0,2,IF(COUNTIF(Настройки!$D$17:$D$26,F509)&gt;0,3,0))))</f>
        <v/>
      </c>
      <c r="I509">
        <f>IF(AND(ISNUMBER(A509),ISNUMBER(B509)),A509*1000+B509,"")</f>
        <v/>
      </c>
      <c r="J509">
        <f>IF(I509="","",IF(COUNTIF(I$2:I509,I509)=1,MAX(J$1:J508)+1,""))</f>
        <v/>
      </c>
    </row>
    <row r="510">
      <c r="A510">
        <f>IFERROR(--SUBSTITUTE(SUBSTITUTE(TRIM(INDEX(INDIRECT("'Выгрузка'!A510:Z510"),Настройки!$B$7)),",","."),".",MID(1/2,2,1)),"")</f>
        <v/>
      </c>
      <c r="B510">
        <f>IFERROR(--SUBSTITUTE(SUBSTITUTE(TRIM(INDEX(INDIRECT("'Выгрузка'!A510:Z510"),Настройки!$B$9)),",","."),".",MID(1/2,2,1)),"")</f>
        <v/>
      </c>
      <c r="C510">
        <f>TRIM(INDEX(INDIRECT("'Выгрузка'!A510:Z510"),Настройки!$B$8)&amp;"")</f>
        <v/>
      </c>
      <c r="D510">
        <f>IFERROR(--SUBSTITUTE(SUBSTITUTE(TRIM(INDEX(INDIRECT("'Выгрузка'!A510:Z510"),Настройки!$B$10)),",","."),".",MID(1/2,2,1)),"")</f>
        <v/>
      </c>
      <c r="E510">
        <f>IFERROR(--SUBSTITUTE(SUBSTITUTE(TRIM(INDEX(INDIRECT("'Выгрузка'!A510:Z510"),Настройки!$B$11)),",","."),".",MID(1/2,2,1)),"")</f>
        <v/>
      </c>
      <c r="F510">
        <f>TRIM(INDEX(INDIRECT("'Выгрузка'!A510:Z510"),Настройки!$B$12)&amp;"")</f>
        <v/>
      </c>
      <c r="G510">
        <f>IF(F510="",0,IF(TRIM(INDEX(INDIRECT("'Выгрузка'!A510:Z510"),Настройки!$B$13)&amp;"")="",1,IFERROR(--SUBSTITUTE(SUBSTITUTE(TRIM(INDEX(INDIRECT("'Выгрузка'!A510:Z510"),Настройки!$B$13)),",","."),".",MID(1/2,2,1)),"")))</f>
        <v/>
      </c>
      <c r="H510">
        <f>IF(F510="",0,IF(COUNTIF(Настройки!$B$17:$B$26,F510)&gt;0,1,IF(COUNTIF(Настройки!$C$17:$C$26,F510)&gt;0,2,IF(COUNTIF(Настройки!$D$17:$D$26,F510)&gt;0,3,0))))</f>
        <v/>
      </c>
      <c r="I510">
        <f>IF(AND(ISNUMBER(A510),ISNUMBER(B510)),A510*1000+B510,"")</f>
        <v/>
      </c>
      <c r="J510">
        <f>IF(I510="","",IF(COUNTIF(I$2:I510,I510)=1,MAX(J$1:J509)+1,""))</f>
        <v/>
      </c>
    </row>
    <row r="511">
      <c r="A511">
        <f>IFERROR(--SUBSTITUTE(SUBSTITUTE(TRIM(INDEX(INDIRECT("'Выгрузка'!A511:Z511"),Настройки!$B$7)),",","."),".",MID(1/2,2,1)),"")</f>
        <v/>
      </c>
      <c r="B511">
        <f>IFERROR(--SUBSTITUTE(SUBSTITUTE(TRIM(INDEX(INDIRECT("'Выгрузка'!A511:Z511"),Настройки!$B$9)),",","."),".",MID(1/2,2,1)),"")</f>
        <v/>
      </c>
      <c r="C511">
        <f>TRIM(INDEX(INDIRECT("'Выгрузка'!A511:Z511"),Настройки!$B$8)&amp;"")</f>
        <v/>
      </c>
      <c r="D511">
        <f>IFERROR(--SUBSTITUTE(SUBSTITUTE(TRIM(INDEX(INDIRECT("'Выгрузка'!A511:Z511"),Настройки!$B$10)),",","."),".",MID(1/2,2,1)),"")</f>
        <v/>
      </c>
      <c r="E511">
        <f>IFERROR(--SUBSTITUTE(SUBSTITUTE(TRIM(INDEX(INDIRECT("'Выгрузка'!A511:Z511"),Настройки!$B$11)),",","."),".",MID(1/2,2,1)),"")</f>
        <v/>
      </c>
      <c r="F511">
        <f>TRIM(INDEX(INDIRECT("'Выгрузка'!A511:Z511"),Настройки!$B$12)&amp;"")</f>
        <v/>
      </c>
      <c r="G511">
        <f>IF(F511="",0,IF(TRIM(INDEX(INDIRECT("'Выгрузка'!A511:Z511"),Настройки!$B$13)&amp;"")="",1,IFERROR(--SUBSTITUTE(SUBSTITUTE(TRIM(INDEX(INDIRECT("'Выгрузка'!A511:Z511"),Настройки!$B$13)),",","."),".",MID(1/2,2,1)),"")))</f>
        <v/>
      </c>
      <c r="H511">
        <f>IF(F511="",0,IF(COUNTIF(Настройки!$B$17:$B$26,F511)&gt;0,1,IF(COUNTIF(Настройки!$C$17:$C$26,F511)&gt;0,2,IF(COUNTIF(Настройки!$D$17:$D$26,F511)&gt;0,3,0))))</f>
        <v/>
      </c>
      <c r="I511">
        <f>IF(AND(ISNUMBER(A511),ISNUMBER(B511)),A511*1000+B511,"")</f>
        <v/>
      </c>
      <c r="J511">
        <f>IF(I511="","",IF(COUNTIF(I$2:I511,I511)=1,MAX(J$1:J510)+1,""))</f>
        <v/>
      </c>
    </row>
    <row r="512">
      <c r="A512">
        <f>IFERROR(--SUBSTITUTE(SUBSTITUTE(TRIM(INDEX(INDIRECT("'Выгрузка'!A512:Z512"),Настройки!$B$7)),",","."),".",MID(1/2,2,1)),"")</f>
        <v/>
      </c>
      <c r="B512">
        <f>IFERROR(--SUBSTITUTE(SUBSTITUTE(TRIM(INDEX(INDIRECT("'Выгрузка'!A512:Z512"),Настройки!$B$9)),",","."),".",MID(1/2,2,1)),"")</f>
        <v/>
      </c>
      <c r="C512">
        <f>TRIM(INDEX(INDIRECT("'Выгрузка'!A512:Z512"),Настройки!$B$8)&amp;"")</f>
        <v/>
      </c>
      <c r="D512">
        <f>IFERROR(--SUBSTITUTE(SUBSTITUTE(TRIM(INDEX(INDIRECT("'Выгрузка'!A512:Z512"),Настройки!$B$10)),",","."),".",MID(1/2,2,1)),"")</f>
        <v/>
      </c>
      <c r="E512">
        <f>IFERROR(--SUBSTITUTE(SUBSTITUTE(TRIM(INDEX(INDIRECT("'Выгрузка'!A512:Z512"),Настройки!$B$11)),",","."),".",MID(1/2,2,1)),"")</f>
        <v/>
      </c>
      <c r="F512">
        <f>TRIM(INDEX(INDIRECT("'Выгрузка'!A512:Z512"),Настройки!$B$12)&amp;"")</f>
        <v/>
      </c>
      <c r="G512">
        <f>IF(F512="",0,IF(TRIM(INDEX(INDIRECT("'Выгрузка'!A512:Z512"),Настройки!$B$13)&amp;"")="",1,IFERROR(--SUBSTITUTE(SUBSTITUTE(TRIM(INDEX(INDIRECT("'Выгрузка'!A512:Z512"),Настройки!$B$13)),",","."),".",MID(1/2,2,1)),"")))</f>
        <v/>
      </c>
      <c r="H512">
        <f>IF(F512="",0,IF(COUNTIF(Настройки!$B$17:$B$26,F512)&gt;0,1,IF(COUNTIF(Настройки!$C$17:$C$26,F512)&gt;0,2,IF(COUNTIF(Настройки!$D$17:$D$26,F512)&gt;0,3,0))))</f>
        <v/>
      </c>
      <c r="I512">
        <f>IF(AND(ISNUMBER(A512),ISNUMBER(B512)),A512*1000+B512,"")</f>
        <v/>
      </c>
      <c r="J512">
        <f>IF(I512="","",IF(COUNTIF(I$2:I512,I512)=1,MAX(J$1:J511)+1,""))</f>
        <v/>
      </c>
    </row>
    <row r="513">
      <c r="A513">
        <f>IFERROR(--SUBSTITUTE(SUBSTITUTE(TRIM(INDEX(INDIRECT("'Выгрузка'!A513:Z513"),Настройки!$B$7)),",","."),".",MID(1/2,2,1)),"")</f>
        <v/>
      </c>
      <c r="B513">
        <f>IFERROR(--SUBSTITUTE(SUBSTITUTE(TRIM(INDEX(INDIRECT("'Выгрузка'!A513:Z513"),Настройки!$B$9)),",","."),".",MID(1/2,2,1)),"")</f>
        <v/>
      </c>
      <c r="C513">
        <f>TRIM(INDEX(INDIRECT("'Выгрузка'!A513:Z513"),Настройки!$B$8)&amp;"")</f>
        <v/>
      </c>
      <c r="D513">
        <f>IFERROR(--SUBSTITUTE(SUBSTITUTE(TRIM(INDEX(INDIRECT("'Выгрузка'!A513:Z513"),Настройки!$B$10)),",","."),".",MID(1/2,2,1)),"")</f>
        <v/>
      </c>
      <c r="E513">
        <f>IFERROR(--SUBSTITUTE(SUBSTITUTE(TRIM(INDEX(INDIRECT("'Выгрузка'!A513:Z513"),Настройки!$B$11)),",","."),".",MID(1/2,2,1)),"")</f>
        <v/>
      </c>
      <c r="F513">
        <f>TRIM(INDEX(INDIRECT("'Выгрузка'!A513:Z513"),Настройки!$B$12)&amp;"")</f>
        <v/>
      </c>
      <c r="G513">
        <f>IF(F513="",0,IF(TRIM(INDEX(INDIRECT("'Выгрузка'!A513:Z513"),Настройки!$B$13)&amp;"")="",1,IFERROR(--SUBSTITUTE(SUBSTITUTE(TRIM(INDEX(INDIRECT("'Выгрузка'!A513:Z513"),Настройки!$B$13)),",","."),".",MID(1/2,2,1)),"")))</f>
        <v/>
      </c>
      <c r="H513">
        <f>IF(F513="",0,IF(COUNTIF(Настройки!$B$17:$B$26,F513)&gt;0,1,IF(COUNTIF(Настройки!$C$17:$C$26,F513)&gt;0,2,IF(COUNTIF(Настройки!$D$17:$D$26,F513)&gt;0,3,0))))</f>
        <v/>
      </c>
      <c r="I513">
        <f>IF(AND(ISNUMBER(A513),ISNUMBER(B513)),A513*1000+B513,"")</f>
        <v/>
      </c>
      <c r="J513">
        <f>IF(I513="","",IF(COUNTIF(I$2:I513,I513)=1,MAX(J$1:J512)+1,""))</f>
        <v/>
      </c>
    </row>
    <row r="514">
      <c r="A514">
        <f>IFERROR(--SUBSTITUTE(SUBSTITUTE(TRIM(INDEX(INDIRECT("'Выгрузка'!A514:Z514"),Настройки!$B$7)),",","."),".",MID(1/2,2,1)),"")</f>
        <v/>
      </c>
      <c r="B514">
        <f>IFERROR(--SUBSTITUTE(SUBSTITUTE(TRIM(INDEX(INDIRECT("'Выгрузка'!A514:Z514"),Настройки!$B$9)),",","."),".",MID(1/2,2,1)),"")</f>
        <v/>
      </c>
      <c r="C514">
        <f>TRIM(INDEX(INDIRECT("'Выгрузка'!A514:Z514"),Настройки!$B$8)&amp;"")</f>
        <v/>
      </c>
      <c r="D514">
        <f>IFERROR(--SUBSTITUTE(SUBSTITUTE(TRIM(INDEX(INDIRECT("'Выгрузка'!A514:Z514"),Настройки!$B$10)),",","."),".",MID(1/2,2,1)),"")</f>
        <v/>
      </c>
      <c r="E514">
        <f>IFERROR(--SUBSTITUTE(SUBSTITUTE(TRIM(INDEX(INDIRECT("'Выгрузка'!A514:Z514"),Настройки!$B$11)),",","."),".",MID(1/2,2,1)),"")</f>
        <v/>
      </c>
      <c r="F514">
        <f>TRIM(INDEX(INDIRECT("'Выгрузка'!A514:Z514"),Настройки!$B$12)&amp;"")</f>
        <v/>
      </c>
      <c r="G514">
        <f>IF(F514="",0,IF(TRIM(INDEX(INDIRECT("'Выгрузка'!A514:Z514"),Настройки!$B$13)&amp;"")="",1,IFERROR(--SUBSTITUTE(SUBSTITUTE(TRIM(INDEX(INDIRECT("'Выгрузка'!A514:Z514"),Настройки!$B$13)),",","."),".",MID(1/2,2,1)),"")))</f>
        <v/>
      </c>
      <c r="H514">
        <f>IF(F514="",0,IF(COUNTIF(Настройки!$B$17:$B$26,F514)&gt;0,1,IF(COUNTIF(Настройки!$C$17:$C$26,F514)&gt;0,2,IF(COUNTIF(Настройки!$D$17:$D$26,F514)&gt;0,3,0))))</f>
        <v/>
      </c>
      <c r="I514">
        <f>IF(AND(ISNUMBER(A514),ISNUMBER(B514)),A514*1000+B514,"")</f>
        <v/>
      </c>
      <c r="J514">
        <f>IF(I514="","",IF(COUNTIF(I$2:I514,I514)=1,MAX(J$1:J513)+1,""))</f>
        <v/>
      </c>
    </row>
    <row r="515">
      <c r="A515">
        <f>IFERROR(--SUBSTITUTE(SUBSTITUTE(TRIM(INDEX(INDIRECT("'Выгрузка'!A515:Z515"),Настройки!$B$7)),",","."),".",MID(1/2,2,1)),"")</f>
        <v/>
      </c>
      <c r="B515">
        <f>IFERROR(--SUBSTITUTE(SUBSTITUTE(TRIM(INDEX(INDIRECT("'Выгрузка'!A515:Z515"),Настройки!$B$9)),",","."),".",MID(1/2,2,1)),"")</f>
        <v/>
      </c>
      <c r="C515">
        <f>TRIM(INDEX(INDIRECT("'Выгрузка'!A515:Z515"),Настройки!$B$8)&amp;"")</f>
        <v/>
      </c>
      <c r="D515">
        <f>IFERROR(--SUBSTITUTE(SUBSTITUTE(TRIM(INDEX(INDIRECT("'Выгрузка'!A515:Z515"),Настройки!$B$10)),",","."),".",MID(1/2,2,1)),"")</f>
        <v/>
      </c>
      <c r="E515">
        <f>IFERROR(--SUBSTITUTE(SUBSTITUTE(TRIM(INDEX(INDIRECT("'Выгрузка'!A515:Z515"),Настройки!$B$11)),",","."),".",MID(1/2,2,1)),"")</f>
        <v/>
      </c>
      <c r="F515">
        <f>TRIM(INDEX(INDIRECT("'Выгрузка'!A515:Z515"),Настройки!$B$12)&amp;"")</f>
        <v/>
      </c>
      <c r="G515">
        <f>IF(F515="",0,IF(TRIM(INDEX(INDIRECT("'Выгрузка'!A515:Z515"),Настройки!$B$13)&amp;"")="",1,IFERROR(--SUBSTITUTE(SUBSTITUTE(TRIM(INDEX(INDIRECT("'Выгрузка'!A515:Z515"),Настройки!$B$13)),",","."),".",MID(1/2,2,1)),"")))</f>
        <v/>
      </c>
      <c r="H515">
        <f>IF(F515="",0,IF(COUNTIF(Настройки!$B$17:$B$26,F515)&gt;0,1,IF(COUNTIF(Настройки!$C$17:$C$26,F515)&gt;0,2,IF(COUNTIF(Настройки!$D$17:$D$26,F515)&gt;0,3,0))))</f>
        <v/>
      </c>
      <c r="I515">
        <f>IF(AND(ISNUMBER(A515),ISNUMBER(B515)),A515*1000+B515,"")</f>
        <v/>
      </c>
      <c r="J515">
        <f>IF(I515="","",IF(COUNTIF(I$2:I515,I515)=1,MAX(J$1:J514)+1,""))</f>
        <v/>
      </c>
    </row>
    <row r="516">
      <c r="A516">
        <f>IFERROR(--SUBSTITUTE(SUBSTITUTE(TRIM(INDEX(INDIRECT("'Выгрузка'!A516:Z516"),Настройки!$B$7)),",","."),".",MID(1/2,2,1)),"")</f>
        <v/>
      </c>
      <c r="B516">
        <f>IFERROR(--SUBSTITUTE(SUBSTITUTE(TRIM(INDEX(INDIRECT("'Выгрузка'!A516:Z516"),Настройки!$B$9)),",","."),".",MID(1/2,2,1)),"")</f>
        <v/>
      </c>
      <c r="C516">
        <f>TRIM(INDEX(INDIRECT("'Выгрузка'!A516:Z516"),Настройки!$B$8)&amp;"")</f>
        <v/>
      </c>
      <c r="D516">
        <f>IFERROR(--SUBSTITUTE(SUBSTITUTE(TRIM(INDEX(INDIRECT("'Выгрузка'!A516:Z516"),Настройки!$B$10)),",","."),".",MID(1/2,2,1)),"")</f>
        <v/>
      </c>
      <c r="E516">
        <f>IFERROR(--SUBSTITUTE(SUBSTITUTE(TRIM(INDEX(INDIRECT("'Выгрузка'!A516:Z516"),Настройки!$B$11)),",","."),".",MID(1/2,2,1)),"")</f>
        <v/>
      </c>
      <c r="F516">
        <f>TRIM(INDEX(INDIRECT("'Выгрузка'!A516:Z516"),Настройки!$B$12)&amp;"")</f>
        <v/>
      </c>
      <c r="G516">
        <f>IF(F516="",0,IF(TRIM(INDEX(INDIRECT("'Выгрузка'!A516:Z516"),Настройки!$B$13)&amp;"")="",1,IFERROR(--SUBSTITUTE(SUBSTITUTE(TRIM(INDEX(INDIRECT("'Выгрузка'!A516:Z516"),Настройки!$B$13)),",","."),".",MID(1/2,2,1)),"")))</f>
        <v/>
      </c>
      <c r="H516">
        <f>IF(F516="",0,IF(COUNTIF(Настройки!$B$17:$B$26,F516)&gt;0,1,IF(COUNTIF(Настройки!$C$17:$C$26,F516)&gt;0,2,IF(COUNTIF(Настройки!$D$17:$D$26,F516)&gt;0,3,0))))</f>
        <v/>
      </c>
      <c r="I516">
        <f>IF(AND(ISNUMBER(A516),ISNUMBER(B516)),A516*1000+B516,"")</f>
        <v/>
      </c>
      <c r="J516">
        <f>IF(I516="","",IF(COUNTIF(I$2:I516,I516)=1,MAX(J$1:J515)+1,""))</f>
        <v/>
      </c>
    </row>
    <row r="517">
      <c r="A517">
        <f>IFERROR(--SUBSTITUTE(SUBSTITUTE(TRIM(INDEX(INDIRECT("'Выгрузка'!A517:Z517"),Настройки!$B$7)),",","."),".",MID(1/2,2,1)),"")</f>
        <v/>
      </c>
      <c r="B517">
        <f>IFERROR(--SUBSTITUTE(SUBSTITUTE(TRIM(INDEX(INDIRECT("'Выгрузка'!A517:Z517"),Настройки!$B$9)),",","."),".",MID(1/2,2,1)),"")</f>
        <v/>
      </c>
      <c r="C517">
        <f>TRIM(INDEX(INDIRECT("'Выгрузка'!A517:Z517"),Настройки!$B$8)&amp;"")</f>
        <v/>
      </c>
      <c r="D517">
        <f>IFERROR(--SUBSTITUTE(SUBSTITUTE(TRIM(INDEX(INDIRECT("'Выгрузка'!A517:Z517"),Настройки!$B$10)),",","."),".",MID(1/2,2,1)),"")</f>
        <v/>
      </c>
      <c r="E517">
        <f>IFERROR(--SUBSTITUTE(SUBSTITUTE(TRIM(INDEX(INDIRECT("'Выгрузка'!A517:Z517"),Настройки!$B$11)),",","."),".",MID(1/2,2,1)),"")</f>
        <v/>
      </c>
      <c r="F517">
        <f>TRIM(INDEX(INDIRECT("'Выгрузка'!A517:Z517"),Настройки!$B$12)&amp;"")</f>
        <v/>
      </c>
      <c r="G517">
        <f>IF(F517="",0,IF(TRIM(INDEX(INDIRECT("'Выгрузка'!A517:Z517"),Настройки!$B$13)&amp;"")="",1,IFERROR(--SUBSTITUTE(SUBSTITUTE(TRIM(INDEX(INDIRECT("'Выгрузка'!A517:Z517"),Настройки!$B$13)),",","."),".",MID(1/2,2,1)),"")))</f>
        <v/>
      </c>
      <c r="H517">
        <f>IF(F517="",0,IF(COUNTIF(Настройки!$B$17:$B$26,F517)&gt;0,1,IF(COUNTIF(Настройки!$C$17:$C$26,F517)&gt;0,2,IF(COUNTIF(Настройки!$D$17:$D$26,F517)&gt;0,3,0))))</f>
        <v/>
      </c>
      <c r="I517">
        <f>IF(AND(ISNUMBER(A517),ISNUMBER(B517)),A517*1000+B517,"")</f>
        <v/>
      </c>
      <c r="J517">
        <f>IF(I517="","",IF(COUNTIF(I$2:I517,I517)=1,MAX(J$1:J516)+1,""))</f>
        <v/>
      </c>
    </row>
    <row r="518">
      <c r="A518">
        <f>IFERROR(--SUBSTITUTE(SUBSTITUTE(TRIM(INDEX(INDIRECT("'Выгрузка'!A518:Z518"),Настройки!$B$7)),",","."),".",MID(1/2,2,1)),"")</f>
        <v/>
      </c>
      <c r="B518">
        <f>IFERROR(--SUBSTITUTE(SUBSTITUTE(TRIM(INDEX(INDIRECT("'Выгрузка'!A518:Z518"),Настройки!$B$9)),",","."),".",MID(1/2,2,1)),"")</f>
        <v/>
      </c>
      <c r="C518">
        <f>TRIM(INDEX(INDIRECT("'Выгрузка'!A518:Z518"),Настройки!$B$8)&amp;"")</f>
        <v/>
      </c>
      <c r="D518">
        <f>IFERROR(--SUBSTITUTE(SUBSTITUTE(TRIM(INDEX(INDIRECT("'Выгрузка'!A518:Z518"),Настройки!$B$10)),",","."),".",MID(1/2,2,1)),"")</f>
        <v/>
      </c>
      <c r="E518">
        <f>IFERROR(--SUBSTITUTE(SUBSTITUTE(TRIM(INDEX(INDIRECT("'Выгрузка'!A518:Z518"),Настройки!$B$11)),",","."),".",MID(1/2,2,1)),"")</f>
        <v/>
      </c>
      <c r="F518">
        <f>TRIM(INDEX(INDIRECT("'Выгрузка'!A518:Z518"),Настройки!$B$12)&amp;"")</f>
        <v/>
      </c>
      <c r="G518">
        <f>IF(F518="",0,IF(TRIM(INDEX(INDIRECT("'Выгрузка'!A518:Z518"),Настройки!$B$13)&amp;"")="",1,IFERROR(--SUBSTITUTE(SUBSTITUTE(TRIM(INDEX(INDIRECT("'Выгрузка'!A518:Z518"),Настройки!$B$13)),",","."),".",MID(1/2,2,1)),"")))</f>
        <v/>
      </c>
      <c r="H518">
        <f>IF(F518="",0,IF(COUNTIF(Настройки!$B$17:$B$26,F518)&gt;0,1,IF(COUNTIF(Настройки!$C$17:$C$26,F518)&gt;0,2,IF(COUNTIF(Настройки!$D$17:$D$26,F518)&gt;0,3,0))))</f>
        <v/>
      </c>
      <c r="I518">
        <f>IF(AND(ISNUMBER(A518),ISNUMBER(B518)),A518*1000+B518,"")</f>
        <v/>
      </c>
      <c r="J518">
        <f>IF(I518="","",IF(COUNTIF(I$2:I518,I518)=1,MAX(J$1:J517)+1,""))</f>
        <v/>
      </c>
    </row>
    <row r="519">
      <c r="A519">
        <f>IFERROR(--SUBSTITUTE(SUBSTITUTE(TRIM(INDEX(INDIRECT("'Выгрузка'!A519:Z519"),Настройки!$B$7)),",","."),".",MID(1/2,2,1)),"")</f>
        <v/>
      </c>
      <c r="B519">
        <f>IFERROR(--SUBSTITUTE(SUBSTITUTE(TRIM(INDEX(INDIRECT("'Выгрузка'!A519:Z519"),Настройки!$B$9)),",","."),".",MID(1/2,2,1)),"")</f>
        <v/>
      </c>
      <c r="C519">
        <f>TRIM(INDEX(INDIRECT("'Выгрузка'!A519:Z519"),Настройки!$B$8)&amp;"")</f>
        <v/>
      </c>
      <c r="D519">
        <f>IFERROR(--SUBSTITUTE(SUBSTITUTE(TRIM(INDEX(INDIRECT("'Выгрузка'!A519:Z519"),Настройки!$B$10)),",","."),".",MID(1/2,2,1)),"")</f>
        <v/>
      </c>
      <c r="E519">
        <f>IFERROR(--SUBSTITUTE(SUBSTITUTE(TRIM(INDEX(INDIRECT("'Выгрузка'!A519:Z519"),Настройки!$B$11)),",","."),".",MID(1/2,2,1)),"")</f>
        <v/>
      </c>
      <c r="F519">
        <f>TRIM(INDEX(INDIRECT("'Выгрузка'!A519:Z519"),Настройки!$B$12)&amp;"")</f>
        <v/>
      </c>
      <c r="G519">
        <f>IF(F519="",0,IF(TRIM(INDEX(INDIRECT("'Выгрузка'!A519:Z519"),Настройки!$B$13)&amp;"")="",1,IFERROR(--SUBSTITUTE(SUBSTITUTE(TRIM(INDEX(INDIRECT("'Выгрузка'!A519:Z519"),Настройки!$B$13)),",","."),".",MID(1/2,2,1)),"")))</f>
        <v/>
      </c>
      <c r="H519">
        <f>IF(F519="",0,IF(COUNTIF(Настройки!$B$17:$B$26,F519)&gt;0,1,IF(COUNTIF(Настройки!$C$17:$C$26,F519)&gt;0,2,IF(COUNTIF(Настройки!$D$17:$D$26,F519)&gt;0,3,0))))</f>
        <v/>
      </c>
      <c r="I519">
        <f>IF(AND(ISNUMBER(A519),ISNUMBER(B519)),A519*1000+B519,"")</f>
        <v/>
      </c>
      <c r="J519">
        <f>IF(I519="","",IF(COUNTIF(I$2:I519,I519)=1,MAX(J$1:J518)+1,""))</f>
        <v/>
      </c>
    </row>
    <row r="520">
      <c r="A520">
        <f>IFERROR(--SUBSTITUTE(SUBSTITUTE(TRIM(INDEX(INDIRECT("'Выгрузка'!A520:Z520"),Настройки!$B$7)),",","."),".",MID(1/2,2,1)),"")</f>
        <v/>
      </c>
      <c r="B520">
        <f>IFERROR(--SUBSTITUTE(SUBSTITUTE(TRIM(INDEX(INDIRECT("'Выгрузка'!A520:Z520"),Настройки!$B$9)),",","."),".",MID(1/2,2,1)),"")</f>
        <v/>
      </c>
      <c r="C520">
        <f>TRIM(INDEX(INDIRECT("'Выгрузка'!A520:Z520"),Настройки!$B$8)&amp;"")</f>
        <v/>
      </c>
      <c r="D520">
        <f>IFERROR(--SUBSTITUTE(SUBSTITUTE(TRIM(INDEX(INDIRECT("'Выгрузка'!A520:Z520"),Настройки!$B$10)),",","."),".",MID(1/2,2,1)),"")</f>
        <v/>
      </c>
      <c r="E520">
        <f>IFERROR(--SUBSTITUTE(SUBSTITUTE(TRIM(INDEX(INDIRECT("'Выгрузка'!A520:Z520"),Настройки!$B$11)),",","."),".",MID(1/2,2,1)),"")</f>
        <v/>
      </c>
      <c r="F520">
        <f>TRIM(INDEX(INDIRECT("'Выгрузка'!A520:Z520"),Настройки!$B$12)&amp;"")</f>
        <v/>
      </c>
      <c r="G520">
        <f>IF(F520="",0,IF(TRIM(INDEX(INDIRECT("'Выгрузка'!A520:Z520"),Настройки!$B$13)&amp;"")="",1,IFERROR(--SUBSTITUTE(SUBSTITUTE(TRIM(INDEX(INDIRECT("'Выгрузка'!A520:Z520"),Настройки!$B$13)),",","."),".",MID(1/2,2,1)),"")))</f>
        <v/>
      </c>
      <c r="H520">
        <f>IF(F520="",0,IF(COUNTIF(Настройки!$B$17:$B$26,F520)&gt;0,1,IF(COUNTIF(Настройки!$C$17:$C$26,F520)&gt;0,2,IF(COUNTIF(Настройки!$D$17:$D$26,F520)&gt;0,3,0))))</f>
        <v/>
      </c>
      <c r="I520">
        <f>IF(AND(ISNUMBER(A520),ISNUMBER(B520)),A520*1000+B520,"")</f>
        <v/>
      </c>
      <c r="J520">
        <f>IF(I520="","",IF(COUNTIF(I$2:I520,I520)=1,MAX(J$1:J519)+1,""))</f>
        <v/>
      </c>
    </row>
    <row r="521">
      <c r="A521">
        <f>IFERROR(--SUBSTITUTE(SUBSTITUTE(TRIM(INDEX(INDIRECT("'Выгрузка'!A521:Z521"),Настройки!$B$7)),",","."),".",MID(1/2,2,1)),"")</f>
        <v/>
      </c>
      <c r="B521">
        <f>IFERROR(--SUBSTITUTE(SUBSTITUTE(TRIM(INDEX(INDIRECT("'Выгрузка'!A521:Z521"),Настройки!$B$9)),",","."),".",MID(1/2,2,1)),"")</f>
        <v/>
      </c>
      <c r="C521">
        <f>TRIM(INDEX(INDIRECT("'Выгрузка'!A521:Z521"),Настройки!$B$8)&amp;"")</f>
        <v/>
      </c>
      <c r="D521">
        <f>IFERROR(--SUBSTITUTE(SUBSTITUTE(TRIM(INDEX(INDIRECT("'Выгрузка'!A521:Z521"),Настройки!$B$10)),",","."),".",MID(1/2,2,1)),"")</f>
        <v/>
      </c>
      <c r="E521">
        <f>IFERROR(--SUBSTITUTE(SUBSTITUTE(TRIM(INDEX(INDIRECT("'Выгрузка'!A521:Z521"),Настройки!$B$11)),",","."),".",MID(1/2,2,1)),"")</f>
        <v/>
      </c>
      <c r="F521">
        <f>TRIM(INDEX(INDIRECT("'Выгрузка'!A521:Z521"),Настройки!$B$12)&amp;"")</f>
        <v/>
      </c>
      <c r="G521">
        <f>IF(F521="",0,IF(TRIM(INDEX(INDIRECT("'Выгрузка'!A521:Z521"),Настройки!$B$13)&amp;"")="",1,IFERROR(--SUBSTITUTE(SUBSTITUTE(TRIM(INDEX(INDIRECT("'Выгрузка'!A521:Z521"),Настройки!$B$13)),",","."),".",MID(1/2,2,1)),"")))</f>
        <v/>
      </c>
      <c r="H521">
        <f>IF(F521="",0,IF(COUNTIF(Настройки!$B$17:$B$26,F521)&gt;0,1,IF(COUNTIF(Настройки!$C$17:$C$26,F521)&gt;0,2,IF(COUNTIF(Настройки!$D$17:$D$26,F521)&gt;0,3,0))))</f>
        <v/>
      </c>
      <c r="I521">
        <f>IF(AND(ISNUMBER(A521),ISNUMBER(B521)),A521*1000+B521,"")</f>
        <v/>
      </c>
      <c r="J521">
        <f>IF(I521="","",IF(COUNTIF(I$2:I521,I521)=1,MAX(J$1:J520)+1,""))</f>
        <v/>
      </c>
    </row>
    <row r="522">
      <c r="A522">
        <f>IFERROR(--SUBSTITUTE(SUBSTITUTE(TRIM(INDEX(INDIRECT("'Выгрузка'!A522:Z522"),Настройки!$B$7)),",","."),".",MID(1/2,2,1)),"")</f>
        <v/>
      </c>
      <c r="B522">
        <f>IFERROR(--SUBSTITUTE(SUBSTITUTE(TRIM(INDEX(INDIRECT("'Выгрузка'!A522:Z522"),Настройки!$B$9)),",","."),".",MID(1/2,2,1)),"")</f>
        <v/>
      </c>
      <c r="C522">
        <f>TRIM(INDEX(INDIRECT("'Выгрузка'!A522:Z522"),Настройки!$B$8)&amp;"")</f>
        <v/>
      </c>
      <c r="D522">
        <f>IFERROR(--SUBSTITUTE(SUBSTITUTE(TRIM(INDEX(INDIRECT("'Выгрузка'!A522:Z522"),Настройки!$B$10)),",","."),".",MID(1/2,2,1)),"")</f>
        <v/>
      </c>
      <c r="E522">
        <f>IFERROR(--SUBSTITUTE(SUBSTITUTE(TRIM(INDEX(INDIRECT("'Выгрузка'!A522:Z522"),Настройки!$B$11)),",","."),".",MID(1/2,2,1)),"")</f>
        <v/>
      </c>
      <c r="F522">
        <f>TRIM(INDEX(INDIRECT("'Выгрузка'!A522:Z522"),Настройки!$B$12)&amp;"")</f>
        <v/>
      </c>
      <c r="G522">
        <f>IF(F522="",0,IF(TRIM(INDEX(INDIRECT("'Выгрузка'!A522:Z522"),Настройки!$B$13)&amp;"")="",1,IFERROR(--SUBSTITUTE(SUBSTITUTE(TRIM(INDEX(INDIRECT("'Выгрузка'!A522:Z522"),Настройки!$B$13)),",","."),".",MID(1/2,2,1)),"")))</f>
        <v/>
      </c>
      <c r="H522">
        <f>IF(F522="",0,IF(COUNTIF(Настройки!$B$17:$B$26,F522)&gt;0,1,IF(COUNTIF(Настройки!$C$17:$C$26,F522)&gt;0,2,IF(COUNTIF(Настройки!$D$17:$D$26,F522)&gt;0,3,0))))</f>
        <v/>
      </c>
      <c r="I522">
        <f>IF(AND(ISNUMBER(A522),ISNUMBER(B522)),A522*1000+B522,"")</f>
        <v/>
      </c>
      <c r="J522">
        <f>IF(I522="","",IF(COUNTIF(I$2:I522,I522)=1,MAX(J$1:J521)+1,""))</f>
        <v/>
      </c>
    </row>
    <row r="523">
      <c r="A523">
        <f>IFERROR(--SUBSTITUTE(SUBSTITUTE(TRIM(INDEX(INDIRECT("'Выгрузка'!A523:Z523"),Настройки!$B$7)),",","."),".",MID(1/2,2,1)),"")</f>
        <v/>
      </c>
      <c r="B523">
        <f>IFERROR(--SUBSTITUTE(SUBSTITUTE(TRIM(INDEX(INDIRECT("'Выгрузка'!A523:Z523"),Настройки!$B$9)),",","."),".",MID(1/2,2,1)),"")</f>
        <v/>
      </c>
      <c r="C523">
        <f>TRIM(INDEX(INDIRECT("'Выгрузка'!A523:Z523"),Настройки!$B$8)&amp;"")</f>
        <v/>
      </c>
      <c r="D523">
        <f>IFERROR(--SUBSTITUTE(SUBSTITUTE(TRIM(INDEX(INDIRECT("'Выгрузка'!A523:Z523"),Настройки!$B$10)),",","."),".",MID(1/2,2,1)),"")</f>
        <v/>
      </c>
      <c r="E523">
        <f>IFERROR(--SUBSTITUTE(SUBSTITUTE(TRIM(INDEX(INDIRECT("'Выгрузка'!A523:Z523"),Настройки!$B$11)),",","."),".",MID(1/2,2,1)),"")</f>
        <v/>
      </c>
      <c r="F523">
        <f>TRIM(INDEX(INDIRECT("'Выгрузка'!A523:Z523"),Настройки!$B$12)&amp;"")</f>
        <v/>
      </c>
      <c r="G523">
        <f>IF(F523="",0,IF(TRIM(INDEX(INDIRECT("'Выгрузка'!A523:Z523"),Настройки!$B$13)&amp;"")="",1,IFERROR(--SUBSTITUTE(SUBSTITUTE(TRIM(INDEX(INDIRECT("'Выгрузка'!A523:Z523"),Настройки!$B$13)),",","."),".",MID(1/2,2,1)),"")))</f>
        <v/>
      </c>
      <c r="H523">
        <f>IF(F523="",0,IF(COUNTIF(Настройки!$B$17:$B$26,F523)&gt;0,1,IF(COUNTIF(Настройки!$C$17:$C$26,F523)&gt;0,2,IF(COUNTIF(Настройки!$D$17:$D$26,F523)&gt;0,3,0))))</f>
        <v/>
      </c>
      <c r="I523">
        <f>IF(AND(ISNUMBER(A523),ISNUMBER(B523)),A523*1000+B523,"")</f>
        <v/>
      </c>
      <c r="J523">
        <f>IF(I523="","",IF(COUNTIF(I$2:I523,I523)=1,MAX(J$1:J522)+1,""))</f>
        <v/>
      </c>
    </row>
    <row r="524">
      <c r="A524">
        <f>IFERROR(--SUBSTITUTE(SUBSTITUTE(TRIM(INDEX(INDIRECT("'Выгрузка'!A524:Z524"),Настройки!$B$7)),",","."),".",MID(1/2,2,1)),"")</f>
        <v/>
      </c>
      <c r="B524">
        <f>IFERROR(--SUBSTITUTE(SUBSTITUTE(TRIM(INDEX(INDIRECT("'Выгрузка'!A524:Z524"),Настройки!$B$9)),",","."),".",MID(1/2,2,1)),"")</f>
        <v/>
      </c>
      <c r="C524">
        <f>TRIM(INDEX(INDIRECT("'Выгрузка'!A524:Z524"),Настройки!$B$8)&amp;"")</f>
        <v/>
      </c>
      <c r="D524">
        <f>IFERROR(--SUBSTITUTE(SUBSTITUTE(TRIM(INDEX(INDIRECT("'Выгрузка'!A524:Z524"),Настройки!$B$10)),",","."),".",MID(1/2,2,1)),"")</f>
        <v/>
      </c>
      <c r="E524">
        <f>IFERROR(--SUBSTITUTE(SUBSTITUTE(TRIM(INDEX(INDIRECT("'Выгрузка'!A524:Z524"),Настройки!$B$11)),",","."),".",MID(1/2,2,1)),"")</f>
        <v/>
      </c>
      <c r="F524">
        <f>TRIM(INDEX(INDIRECT("'Выгрузка'!A524:Z524"),Настройки!$B$12)&amp;"")</f>
        <v/>
      </c>
      <c r="G524">
        <f>IF(F524="",0,IF(TRIM(INDEX(INDIRECT("'Выгрузка'!A524:Z524"),Настройки!$B$13)&amp;"")="",1,IFERROR(--SUBSTITUTE(SUBSTITUTE(TRIM(INDEX(INDIRECT("'Выгрузка'!A524:Z524"),Настройки!$B$13)),",","."),".",MID(1/2,2,1)),"")))</f>
        <v/>
      </c>
      <c r="H524">
        <f>IF(F524="",0,IF(COUNTIF(Настройки!$B$17:$B$26,F524)&gt;0,1,IF(COUNTIF(Настройки!$C$17:$C$26,F524)&gt;0,2,IF(COUNTIF(Настройки!$D$17:$D$26,F524)&gt;0,3,0))))</f>
        <v/>
      </c>
      <c r="I524">
        <f>IF(AND(ISNUMBER(A524),ISNUMBER(B524)),A524*1000+B524,"")</f>
        <v/>
      </c>
      <c r="J524">
        <f>IF(I524="","",IF(COUNTIF(I$2:I524,I524)=1,MAX(J$1:J523)+1,""))</f>
        <v/>
      </c>
    </row>
    <row r="525">
      <c r="A525">
        <f>IFERROR(--SUBSTITUTE(SUBSTITUTE(TRIM(INDEX(INDIRECT("'Выгрузка'!A525:Z525"),Настройки!$B$7)),",","."),".",MID(1/2,2,1)),"")</f>
        <v/>
      </c>
      <c r="B525">
        <f>IFERROR(--SUBSTITUTE(SUBSTITUTE(TRIM(INDEX(INDIRECT("'Выгрузка'!A525:Z525"),Настройки!$B$9)),",","."),".",MID(1/2,2,1)),"")</f>
        <v/>
      </c>
      <c r="C525">
        <f>TRIM(INDEX(INDIRECT("'Выгрузка'!A525:Z525"),Настройки!$B$8)&amp;"")</f>
        <v/>
      </c>
      <c r="D525">
        <f>IFERROR(--SUBSTITUTE(SUBSTITUTE(TRIM(INDEX(INDIRECT("'Выгрузка'!A525:Z525"),Настройки!$B$10)),",","."),".",MID(1/2,2,1)),"")</f>
        <v/>
      </c>
      <c r="E525">
        <f>IFERROR(--SUBSTITUTE(SUBSTITUTE(TRIM(INDEX(INDIRECT("'Выгрузка'!A525:Z525"),Настройки!$B$11)),",","."),".",MID(1/2,2,1)),"")</f>
        <v/>
      </c>
      <c r="F525">
        <f>TRIM(INDEX(INDIRECT("'Выгрузка'!A525:Z525"),Настройки!$B$12)&amp;"")</f>
        <v/>
      </c>
      <c r="G525">
        <f>IF(F525="",0,IF(TRIM(INDEX(INDIRECT("'Выгрузка'!A525:Z525"),Настройки!$B$13)&amp;"")="",1,IFERROR(--SUBSTITUTE(SUBSTITUTE(TRIM(INDEX(INDIRECT("'Выгрузка'!A525:Z525"),Настройки!$B$13)),",","."),".",MID(1/2,2,1)),"")))</f>
        <v/>
      </c>
      <c r="H525">
        <f>IF(F525="",0,IF(COUNTIF(Настройки!$B$17:$B$26,F525)&gt;0,1,IF(COUNTIF(Настройки!$C$17:$C$26,F525)&gt;0,2,IF(COUNTIF(Настройки!$D$17:$D$26,F525)&gt;0,3,0))))</f>
        <v/>
      </c>
      <c r="I525">
        <f>IF(AND(ISNUMBER(A525),ISNUMBER(B525)),A525*1000+B525,"")</f>
        <v/>
      </c>
      <c r="J525">
        <f>IF(I525="","",IF(COUNTIF(I$2:I525,I525)=1,MAX(J$1:J524)+1,""))</f>
        <v/>
      </c>
    </row>
    <row r="526">
      <c r="A526">
        <f>IFERROR(--SUBSTITUTE(SUBSTITUTE(TRIM(INDEX(INDIRECT("'Выгрузка'!A526:Z526"),Настройки!$B$7)),",","."),".",MID(1/2,2,1)),"")</f>
        <v/>
      </c>
      <c r="B526">
        <f>IFERROR(--SUBSTITUTE(SUBSTITUTE(TRIM(INDEX(INDIRECT("'Выгрузка'!A526:Z526"),Настройки!$B$9)),",","."),".",MID(1/2,2,1)),"")</f>
        <v/>
      </c>
      <c r="C526">
        <f>TRIM(INDEX(INDIRECT("'Выгрузка'!A526:Z526"),Настройки!$B$8)&amp;"")</f>
        <v/>
      </c>
      <c r="D526">
        <f>IFERROR(--SUBSTITUTE(SUBSTITUTE(TRIM(INDEX(INDIRECT("'Выгрузка'!A526:Z526"),Настройки!$B$10)),",","."),".",MID(1/2,2,1)),"")</f>
        <v/>
      </c>
      <c r="E526">
        <f>IFERROR(--SUBSTITUTE(SUBSTITUTE(TRIM(INDEX(INDIRECT("'Выгрузка'!A526:Z526"),Настройки!$B$11)),",","."),".",MID(1/2,2,1)),"")</f>
        <v/>
      </c>
      <c r="F526">
        <f>TRIM(INDEX(INDIRECT("'Выгрузка'!A526:Z526"),Настройки!$B$12)&amp;"")</f>
        <v/>
      </c>
      <c r="G526">
        <f>IF(F526="",0,IF(TRIM(INDEX(INDIRECT("'Выгрузка'!A526:Z526"),Настройки!$B$13)&amp;"")="",1,IFERROR(--SUBSTITUTE(SUBSTITUTE(TRIM(INDEX(INDIRECT("'Выгрузка'!A526:Z526"),Настройки!$B$13)),",","."),".",MID(1/2,2,1)),"")))</f>
        <v/>
      </c>
      <c r="H526">
        <f>IF(F526="",0,IF(COUNTIF(Настройки!$B$17:$B$26,F526)&gt;0,1,IF(COUNTIF(Настройки!$C$17:$C$26,F526)&gt;0,2,IF(COUNTIF(Настройки!$D$17:$D$26,F526)&gt;0,3,0))))</f>
        <v/>
      </c>
      <c r="I526">
        <f>IF(AND(ISNUMBER(A526),ISNUMBER(B526)),A526*1000+B526,"")</f>
        <v/>
      </c>
      <c r="J526">
        <f>IF(I526="","",IF(COUNTIF(I$2:I526,I526)=1,MAX(J$1:J525)+1,""))</f>
        <v/>
      </c>
    </row>
    <row r="527">
      <c r="A527">
        <f>IFERROR(--SUBSTITUTE(SUBSTITUTE(TRIM(INDEX(INDIRECT("'Выгрузка'!A527:Z527"),Настройки!$B$7)),",","."),".",MID(1/2,2,1)),"")</f>
        <v/>
      </c>
      <c r="B527">
        <f>IFERROR(--SUBSTITUTE(SUBSTITUTE(TRIM(INDEX(INDIRECT("'Выгрузка'!A527:Z527"),Настройки!$B$9)),",","."),".",MID(1/2,2,1)),"")</f>
        <v/>
      </c>
      <c r="C527">
        <f>TRIM(INDEX(INDIRECT("'Выгрузка'!A527:Z527"),Настройки!$B$8)&amp;"")</f>
        <v/>
      </c>
      <c r="D527">
        <f>IFERROR(--SUBSTITUTE(SUBSTITUTE(TRIM(INDEX(INDIRECT("'Выгрузка'!A527:Z527"),Настройки!$B$10)),",","."),".",MID(1/2,2,1)),"")</f>
        <v/>
      </c>
      <c r="E527">
        <f>IFERROR(--SUBSTITUTE(SUBSTITUTE(TRIM(INDEX(INDIRECT("'Выгрузка'!A527:Z527"),Настройки!$B$11)),",","."),".",MID(1/2,2,1)),"")</f>
        <v/>
      </c>
      <c r="F527">
        <f>TRIM(INDEX(INDIRECT("'Выгрузка'!A527:Z527"),Настройки!$B$12)&amp;"")</f>
        <v/>
      </c>
      <c r="G527">
        <f>IF(F527="",0,IF(TRIM(INDEX(INDIRECT("'Выгрузка'!A527:Z527"),Настройки!$B$13)&amp;"")="",1,IFERROR(--SUBSTITUTE(SUBSTITUTE(TRIM(INDEX(INDIRECT("'Выгрузка'!A527:Z527"),Настройки!$B$13)),",","."),".",MID(1/2,2,1)),"")))</f>
        <v/>
      </c>
      <c r="H527">
        <f>IF(F527="",0,IF(COUNTIF(Настройки!$B$17:$B$26,F527)&gt;0,1,IF(COUNTIF(Настройки!$C$17:$C$26,F527)&gt;0,2,IF(COUNTIF(Настройки!$D$17:$D$26,F527)&gt;0,3,0))))</f>
        <v/>
      </c>
      <c r="I527">
        <f>IF(AND(ISNUMBER(A527),ISNUMBER(B527)),A527*1000+B527,"")</f>
        <v/>
      </c>
      <c r="J527">
        <f>IF(I527="","",IF(COUNTIF(I$2:I527,I527)=1,MAX(J$1:J526)+1,""))</f>
        <v/>
      </c>
    </row>
    <row r="528">
      <c r="A528">
        <f>IFERROR(--SUBSTITUTE(SUBSTITUTE(TRIM(INDEX(INDIRECT("'Выгрузка'!A528:Z528"),Настройки!$B$7)),",","."),".",MID(1/2,2,1)),"")</f>
        <v/>
      </c>
      <c r="B528">
        <f>IFERROR(--SUBSTITUTE(SUBSTITUTE(TRIM(INDEX(INDIRECT("'Выгрузка'!A528:Z528"),Настройки!$B$9)),",","."),".",MID(1/2,2,1)),"")</f>
        <v/>
      </c>
      <c r="C528">
        <f>TRIM(INDEX(INDIRECT("'Выгрузка'!A528:Z528"),Настройки!$B$8)&amp;"")</f>
        <v/>
      </c>
      <c r="D528">
        <f>IFERROR(--SUBSTITUTE(SUBSTITUTE(TRIM(INDEX(INDIRECT("'Выгрузка'!A528:Z528"),Настройки!$B$10)),",","."),".",MID(1/2,2,1)),"")</f>
        <v/>
      </c>
      <c r="E528">
        <f>IFERROR(--SUBSTITUTE(SUBSTITUTE(TRIM(INDEX(INDIRECT("'Выгрузка'!A528:Z528"),Настройки!$B$11)),",","."),".",MID(1/2,2,1)),"")</f>
        <v/>
      </c>
      <c r="F528">
        <f>TRIM(INDEX(INDIRECT("'Выгрузка'!A528:Z528"),Настройки!$B$12)&amp;"")</f>
        <v/>
      </c>
      <c r="G528">
        <f>IF(F528="",0,IF(TRIM(INDEX(INDIRECT("'Выгрузка'!A528:Z528"),Настройки!$B$13)&amp;"")="",1,IFERROR(--SUBSTITUTE(SUBSTITUTE(TRIM(INDEX(INDIRECT("'Выгрузка'!A528:Z528"),Настройки!$B$13)),",","."),".",MID(1/2,2,1)),"")))</f>
        <v/>
      </c>
      <c r="H528">
        <f>IF(F528="",0,IF(COUNTIF(Настройки!$B$17:$B$26,F528)&gt;0,1,IF(COUNTIF(Настройки!$C$17:$C$26,F528)&gt;0,2,IF(COUNTIF(Настройки!$D$17:$D$26,F528)&gt;0,3,0))))</f>
        <v/>
      </c>
      <c r="I528">
        <f>IF(AND(ISNUMBER(A528),ISNUMBER(B528)),A528*1000+B528,"")</f>
        <v/>
      </c>
      <c r="J528">
        <f>IF(I528="","",IF(COUNTIF(I$2:I528,I528)=1,MAX(J$1:J527)+1,""))</f>
        <v/>
      </c>
    </row>
    <row r="529">
      <c r="A529">
        <f>IFERROR(--SUBSTITUTE(SUBSTITUTE(TRIM(INDEX(INDIRECT("'Выгрузка'!A529:Z529"),Настройки!$B$7)),",","."),".",MID(1/2,2,1)),"")</f>
        <v/>
      </c>
      <c r="B529">
        <f>IFERROR(--SUBSTITUTE(SUBSTITUTE(TRIM(INDEX(INDIRECT("'Выгрузка'!A529:Z529"),Настройки!$B$9)),",","."),".",MID(1/2,2,1)),"")</f>
        <v/>
      </c>
      <c r="C529">
        <f>TRIM(INDEX(INDIRECT("'Выгрузка'!A529:Z529"),Настройки!$B$8)&amp;"")</f>
        <v/>
      </c>
      <c r="D529">
        <f>IFERROR(--SUBSTITUTE(SUBSTITUTE(TRIM(INDEX(INDIRECT("'Выгрузка'!A529:Z529"),Настройки!$B$10)),",","."),".",MID(1/2,2,1)),"")</f>
        <v/>
      </c>
      <c r="E529">
        <f>IFERROR(--SUBSTITUTE(SUBSTITUTE(TRIM(INDEX(INDIRECT("'Выгрузка'!A529:Z529"),Настройки!$B$11)),",","."),".",MID(1/2,2,1)),"")</f>
        <v/>
      </c>
      <c r="F529">
        <f>TRIM(INDEX(INDIRECT("'Выгрузка'!A529:Z529"),Настройки!$B$12)&amp;"")</f>
        <v/>
      </c>
      <c r="G529">
        <f>IF(F529="",0,IF(TRIM(INDEX(INDIRECT("'Выгрузка'!A529:Z529"),Настройки!$B$13)&amp;"")="",1,IFERROR(--SUBSTITUTE(SUBSTITUTE(TRIM(INDEX(INDIRECT("'Выгрузка'!A529:Z529"),Настройки!$B$13)),",","."),".",MID(1/2,2,1)),"")))</f>
        <v/>
      </c>
      <c r="H529">
        <f>IF(F529="",0,IF(COUNTIF(Настройки!$B$17:$B$26,F529)&gt;0,1,IF(COUNTIF(Настройки!$C$17:$C$26,F529)&gt;0,2,IF(COUNTIF(Настройки!$D$17:$D$26,F529)&gt;0,3,0))))</f>
        <v/>
      </c>
      <c r="I529">
        <f>IF(AND(ISNUMBER(A529),ISNUMBER(B529)),A529*1000+B529,"")</f>
        <v/>
      </c>
      <c r="J529">
        <f>IF(I529="","",IF(COUNTIF(I$2:I529,I529)=1,MAX(J$1:J528)+1,""))</f>
        <v/>
      </c>
    </row>
    <row r="530">
      <c r="A530">
        <f>IFERROR(--SUBSTITUTE(SUBSTITUTE(TRIM(INDEX(INDIRECT("'Выгрузка'!A530:Z530"),Настройки!$B$7)),",","."),".",MID(1/2,2,1)),"")</f>
        <v/>
      </c>
      <c r="B530">
        <f>IFERROR(--SUBSTITUTE(SUBSTITUTE(TRIM(INDEX(INDIRECT("'Выгрузка'!A530:Z530"),Настройки!$B$9)),",","."),".",MID(1/2,2,1)),"")</f>
        <v/>
      </c>
      <c r="C530">
        <f>TRIM(INDEX(INDIRECT("'Выгрузка'!A530:Z530"),Настройки!$B$8)&amp;"")</f>
        <v/>
      </c>
      <c r="D530">
        <f>IFERROR(--SUBSTITUTE(SUBSTITUTE(TRIM(INDEX(INDIRECT("'Выгрузка'!A530:Z530"),Настройки!$B$10)),",","."),".",MID(1/2,2,1)),"")</f>
        <v/>
      </c>
      <c r="E530">
        <f>IFERROR(--SUBSTITUTE(SUBSTITUTE(TRIM(INDEX(INDIRECT("'Выгрузка'!A530:Z530"),Настройки!$B$11)),",","."),".",MID(1/2,2,1)),"")</f>
        <v/>
      </c>
      <c r="F530">
        <f>TRIM(INDEX(INDIRECT("'Выгрузка'!A530:Z530"),Настройки!$B$12)&amp;"")</f>
        <v/>
      </c>
      <c r="G530">
        <f>IF(F530="",0,IF(TRIM(INDEX(INDIRECT("'Выгрузка'!A530:Z530"),Настройки!$B$13)&amp;"")="",1,IFERROR(--SUBSTITUTE(SUBSTITUTE(TRIM(INDEX(INDIRECT("'Выгрузка'!A530:Z530"),Настройки!$B$13)),",","."),".",MID(1/2,2,1)),"")))</f>
        <v/>
      </c>
      <c r="H530">
        <f>IF(F530="",0,IF(COUNTIF(Настройки!$B$17:$B$26,F530)&gt;0,1,IF(COUNTIF(Настройки!$C$17:$C$26,F530)&gt;0,2,IF(COUNTIF(Настройки!$D$17:$D$26,F530)&gt;0,3,0))))</f>
        <v/>
      </c>
      <c r="I530">
        <f>IF(AND(ISNUMBER(A530),ISNUMBER(B530)),A530*1000+B530,"")</f>
        <v/>
      </c>
      <c r="J530">
        <f>IF(I530="","",IF(COUNTIF(I$2:I530,I530)=1,MAX(J$1:J529)+1,""))</f>
        <v/>
      </c>
    </row>
    <row r="531">
      <c r="A531">
        <f>IFERROR(--SUBSTITUTE(SUBSTITUTE(TRIM(INDEX(INDIRECT("'Выгрузка'!A531:Z531"),Настройки!$B$7)),",","."),".",MID(1/2,2,1)),"")</f>
        <v/>
      </c>
      <c r="B531">
        <f>IFERROR(--SUBSTITUTE(SUBSTITUTE(TRIM(INDEX(INDIRECT("'Выгрузка'!A531:Z531"),Настройки!$B$9)),",","."),".",MID(1/2,2,1)),"")</f>
        <v/>
      </c>
      <c r="C531">
        <f>TRIM(INDEX(INDIRECT("'Выгрузка'!A531:Z531"),Настройки!$B$8)&amp;"")</f>
        <v/>
      </c>
      <c r="D531">
        <f>IFERROR(--SUBSTITUTE(SUBSTITUTE(TRIM(INDEX(INDIRECT("'Выгрузка'!A531:Z531"),Настройки!$B$10)),",","."),".",MID(1/2,2,1)),"")</f>
        <v/>
      </c>
      <c r="E531">
        <f>IFERROR(--SUBSTITUTE(SUBSTITUTE(TRIM(INDEX(INDIRECT("'Выгрузка'!A531:Z531"),Настройки!$B$11)),",","."),".",MID(1/2,2,1)),"")</f>
        <v/>
      </c>
      <c r="F531">
        <f>TRIM(INDEX(INDIRECT("'Выгрузка'!A531:Z531"),Настройки!$B$12)&amp;"")</f>
        <v/>
      </c>
      <c r="G531">
        <f>IF(F531="",0,IF(TRIM(INDEX(INDIRECT("'Выгрузка'!A531:Z531"),Настройки!$B$13)&amp;"")="",1,IFERROR(--SUBSTITUTE(SUBSTITUTE(TRIM(INDEX(INDIRECT("'Выгрузка'!A531:Z531"),Настройки!$B$13)),",","."),".",MID(1/2,2,1)),"")))</f>
        <v/>
      </c>
      <c r="H531">
        <f>IF(F531="",0,IF(COUNTIF(Настройки!$B$17:$B$26,F531)&gt;0,1,IF(COUNTIF(Настройки!$C$17:$C$26,F531)&gt;0,2,IF(COUNTIF(Настройки!$D$17:$D$26,F531)&gt;0,3,0))))</f>
        <v/>
      </c>
      <c r="I531">
        <f>IF(AND(ISNUMBER(A531),ISNUMBER(B531)),A531*1000+B531,"")</f>
        <v/>
      </c>
      <c r="J531">
        <f>IF(I531="","",IF(COUNTIF(I$2:I531,I531)=1,MAX(J$1:J530)+1,""))</f>
        <v/>
      </c>
    </row>
    <row r="532">
      <c r="A532">
        <f>IFERROR(--SUBSTITUTE(SUBSTITUTE(TRIM(INDEX(INDIRECT("'Выгрузка'!A532:Z532"),Настройки!$B$7)),",","."),".",MID(1/2,2,1)),"")</f>
        <v/>
      </c>
      <c r="B532">
        <f>IFERROR(--SUBSTITUTE(SUBSTITUTE(TRIM(INDEX(INDIRECT("'Выгрузка'!A532:Z532"),Настройки!$B$9)),",","."),".",MID(1/2,2,1)),"")</f>
        <v/>
      </c>
      <c r="C532">
        <f>TRIM(INDEX(INDIRECT("'Выгрузка'!A532:Z532"),Настройки!$B$8)&amp;"")</f>
        <v/>
      </c>
      <c r="D532">
        <f>IFERROR(--SUBSTITUTE(SUBSTITUTE(TRIM(INDEX(INDIRECT("'Выгрузка'!A532:Z532"),Настройки!$B$10)),",","."),".",MID(1/2,2,1)),"")</f>
        <v/>
      </c>
      <c r="E532">
        <f>IFERROR(--SUBSTITUTE(SUBSTITUTE(TRIM(INDEX(INDIRECT("'Выгрузка'!A532:Z532"),Настройки!$B$11)),",","."),".",MID(1/2,2,1)),"")</f>
        <v/>
      </c>
      <c r="F532">
        <f>TRIM(INDEX(INDIRECT("'Выгрузка'!A532:Z532"),Настройки!$B$12)&amp;"")</f>
        <v/>
      </c>
      <c r="G532">
        <f>IF(F532="",0,IF(TRIM(INDEX(INDIRECT("'Выгрузка'!A532:Z532"),Настройки!$B$13)&amp;"")="",1,IFERROR(--SUBSTITUTE(SUBSTITUTE(TRIM(INDEX(INDIRECT("'Выгрузка'!A532:Z532"),Настройки!$B$13)),",","."),".",MID(1/2,2,1)),"")))</f>
        <v/>
      </c>
      <c r="H532">
        <f>IF(F532="",0,IF(COUNTIF(Настройки!$B$17:$B$26,F532)&gt;0,1,IF(COUNTIF(Настройки!$C$17:$C$26,F532)&gt;0,2,IF(COUNTIF(Настройки!$D$17:$D$26,F532)&gt;0,3,0))))</f>
        <v/>
      </c>
      <c r="I532">
        <f>IF(AND(ISNUMBER(A532),ISNUMBER(B532)),A532*1000+B532,"")</f>
        <v/>
      </c>
      <c r="J532">
        <f>IF(I532="","",IF(COUNTIF(I$2:I532,I532)=1,MAX(J$1:J531)+1,""))</f>
        <v/>
      </c>
    </row>
    <row r="533">
      <c r="A533">
        <f>IFERROR(--SUBSTITUTE(SUBSTITUTE(TRIM(INDEX(INDIRECT("'Выгрузка'!A533:Z533"),Настройки!$B$7)),",","."),".",MID(1/2,2,1)),"")</f>
        <v/>
      </c>
      <c r="B533">
        <f>IFERROR(--SUBSTITUTE(SUBSTITUTE(TRIM(INDEX(INDIRECT("'Выгрузка'!A533:Z533"),Настройки!$B$9)),",","."),".",MID(1/2,2,1)),"")</f>
        <v/>
      </c>
      <c r="C533">
        <f>TRIM(INDEX(INDIRECT("'Выгрузка'!A533:Z533"),Настройки!$B$8)&amp;"")</f>
        <v/>
      </c>
      <c r="D533">
        <f>IFERROR(--SUBSTITUTE(SUBSTITUTE(TRIM(INDEX(INDIRECT("'Выгрузка'!A533:Z533"),Настройки!$B$10)),",","."),".",MID(1/2,2,1)),"")</f>
        <v/>
      </c>
      <c r="E533">
        <f>IFERROR(--SUBSTITUTE(SUBSTITUTE(TRIM(INDEX(INDIRECT("'Выгрузка'!A533:Z533"),Настройки!$B$11)),",","."),".",MID(1/2,2,1)),"")</f>
        <v/>
      </c>
      <c r="F533">
        <f>TRIM(INDEX(INDIRECT("'Выгрузка'!A533:Z533"),Настройки!$B$12)&amp;"")</f>
        <v/>
      </c>
      <c r="G533">
        <f>IF(F533="",0,IF(TRIM(INDEX(INDIRECT("'Выгрузка'!A533:Z533"),Настройки!$B$13)&amp;"")="",1,IFERROR(--SUBSTITUTE(SUBSTITUTE(TRIM(INDEX(INDIRECT("'Выгрузка'!A533:Z533"),Настройки!$B$13)),",","."),".",MID(1/2,2,1)),"")))</f>
        <v/>
      </c>
      <c r="H533">
        <f>IF(F533="",0,IF(COUNTIF(Настройки!$B$17:$B$26,F533)&gt;0,1,IF(COUNTIF(Настройки!$C$17:$C$26,F533)&gt;0,2,IF(COUNTIF(Настройки!$D$17:$D$26,F533)&gt;0,3,0))))</f>
        <v/>
      </c>
      <c r="I533">
        <f>IF(AND(ISNUMBER(A533),ISNUMBER(B533)),A533*1000+B533,"")</f>
        <v/>
      </c>
      <c r="J533">
        <f>IF(I533="","",IF(COUNTIF(I$2:I533,I533)=1,MAX(J$1:J532)+1,""))</f>
        <v/>
      </c>
    </row>
    <row r="534">
      <c r="A534">
        <f>IFERROR(--SUBSTITUTE(SUBSTITUTE(TRIM(INDEX(INDIRECT("'Выгрузка'!A534:Z534"),Настройки!$B$7)),",","."),".",MID(1/2,2,1)),"")</f>
        <v/>
      </c>
      <c r="B534">
        <f>IFERROR(--SUBSTITUTE(SUBSTITUTE(TRIM(INDEX(INDIRECT("'Выгрузка'!A534:Z534"),Настройки!$B$9)),",","."),".",MID(1/2,2,1)),"")</f>
        <v/>
      </c>
      <c r="C534">
        <f>TRIM(INDEX(INDIRECT("'Выгрузка'!A534:Z534"),Настройки!$B$8)&amp;"")</f>
        <v/>
      </c>
      <c r="D534">
        <f>IFERROR(--SUBSTITUTE(SUBSTITUTE(TRIM(INDEX(INDIRECT("'Выгрузка'!A534:Z534"),Настройки!$B$10)),",","."),".",MID(1/2,2,1)),"")</f>
        <v/>
      </c>
      <c r="E534">
        <f>IFERROR(--SUBSTITUTE(SUBSTITUTE(TRIM(INDEX(INDIRECT("'Выгрузка'!A534:Z534"),Настройки!$B$11)),",","."),".",MID(1/2,2,1)),"")</f>
        <v/>
      </c>
      <c r="F534">
        <f>TRIM(INDEX(INDIRECT("'Выгрузка'!A534:Z534"),Настройки!$B$12)&amp;"")</f>
        <v/>
      </c>
      <c r="G534">
        <f>IF(F534="",0,IF(TRIM(INDEX(INDIRECT("'Выгрузка'!A534:Z534"),Настройки!$B$13)&amp;"")="",1,IFERROR(--SUBSTITUTE(SUBSTITUTE(TRIM(INDEX(INDIRECT("'Выгрузка'!A534:Z534"),Настройки!$B$13)),",","."),".",MID(1/2,2,1)),"")))</f>
        <v/>
      </c>
      <c r="H534">
        <f>IF(F534="",0,IF(COUNTIF(Настройки!$B$17:$B$26,F534)&gt;0,1,IF(COUNTIF(Настройки!$C$17:$C$26,F534)&gt;0,2,IF(COUNTIF(Настройки!$D$17:$D$26,F534)&gt;0,3,0))))</f>
        <v/>
      </c>
      <c r="I534">
        <f>IF(AND(ISNUMBER(A534),ISNUMBER(B534)),A534*1000+B534,"")</f>
        <v/>
      </c>
      <c r="J534">
        <f>IF(I534="","",IF(COUNTIF(I$2:I534,I534)=1,MAX(J$1:J533)+1,""))</f>
        <v/>
      </c>
    </row>
    <row r="535">
      <c r="A535">
        <f>IFERROR(--SUBSTITUTE(SUBSTITUTE(TRIM(INDEX(INDIRECT("'Выгрузка'!A535:Z535"),Настройки!$B$7)),",","."),".",MID(1/2,2,1)),"")</f>
        <v/>
      </c>
      <c r="B535">
        <f>IFERROR(--SUBSTITUTE(SUBSTITUTE(TRIM(INDEX(INDIRECT("'Выгрузка'!A535:Z535"),Настройки!$B$9)),",","."),".",MID(1/2,2,1)),"")</f>
        <v/>
      </c>
      <c r="C535">
        <f>TRIM(INDEX(INDIRECT("'Выгрузка'!A535:Z535"),Настройки!$B$8)&amp;"")</f>
        <v/>
      </c>
      <c r="D535">
        <f>IFERROR(--SUBSTITUTE(SUBSTITUTE(TRIM(INDEX(INDIRECT("'Выгрузка'!A535:Z535"),Настройки!$B$10)),",","."),".",MID(1/2,2,1)),"")</f>
        <v/>
      </c>
      <c r="E535">
        <f>IFERROR(--SUBSTITUTE(SUBSTITUTE(TRIM(INDEX(INDIRECT("'Выгрузка'!A535:Z535"),Настройки!$B$11)),",","."),".",MID(1/2,2,1)),"")</f>
        <v/>
      </c>
      <c r="F535">
        <f>TRIM(INDEX(INDIRECT("'Выгрузка'!A535:Z535"),Настройки!$B$12)&amp;"")</f>
        <v/>
      </c>
      <c r="G535">
        <f>IF(F535="",0,IF(TRIM(INDEX(INDIRECT("'Выгрузка'!A535:Z535"),Настройки!$B$13)&amp;"")="",1,IFERROR(--SUBSTITUTE(SUBSTITUTE(TRIM(INDEX(INDIRECT("'Выгрузка'!A535:Z535"),Настройки!$B$13)),",","."),".",MID(1/2,2,1)),"")))</f>
        <v/>
      </c>
      <c r="H535">
        <f>IF(F535="",0,IF(COUNTIF(Настройки!$B$17:$B$26,F535)&gt;0,1,IF(COUNTIF(Настройки!$C$17:$C$26,F535)&gt;0,2,IF(COUNTIF(Настройки!$D$17:$D$26,F535)&gt;0,3,0))))</f>
        <v/>
      </c>
      <c r="I535">
        <f>IF(AND(ISNUMBER(A535),ISNUMBER(B535)),A535*1000+B535,"")</f>
        <v/>
      </c>
      <c r="J535">
        <f>IF(I535="","",IF(COUNTIF(I$2:I535,I535)=1,MAX(J$1:J534)+1,""))</f>
        <v/>
      </c>
    </row>
    <row r="536">
      <c r="A536">
        <f>IFERROR(--SUBSTITUTE(SUBSTITUTE(TRIM(INDEX(INDIRECT("'Выгрузка'!A536:Z536"),Настройки!$B$7)),",","."),".",MID(1/2,2,1)),"")</f>
        <v/>
      </c>
      <c r="B536">
        <f>IFERROR(--SUBSTITUTE(SUBSTITUTE(TRIM(INDEX(INDIRECT("'Выгрузка'!A536:Z536"),Настройки!$B$9)),",","."),".",MID(1/2,2,1)),"")</f>
        <v/>
      </c>
      <c r="C536">
        <f>TRIM(INDEX(INDIRECT("'Выгрузка'!A536:Z536"),Настройки!$B$8)&amp;"")</f>
        <v/>
      </c>
      <c r="D536">
        <f>IFERROR(--SUBSTITUTE(SUBSTITUTE(TRIM(INDEX(INDIRECT("'Выгрузка'!A536:Z536"),Настройки!$B$10)),",","."),".",MID(1/2,2,1)),"")</f>
        <v/>
      </c>
      <c r="E536">
        <f>IFERROR(--SUBSTITUTE(SUBSTITUTE(TRIM(INDEX(INDIRECT("'Выгрузка'!A536:Z536"),Настройки!$B$11)),",","."),".",MID(1/2,2,1)),"")</f>
        <v/>
      </c>
      <c r="F536">
        <f>TRIM(INDEX(INDIRECT("'Выгрузка'!A536:Z536"),Настройки!$B$12)&amp;"")</f>
        <v/>
      </c>
      <c r="G536">
        <f>IF(F536="",0,IF(TRIM(INDEX(INDIRECT("'Выгрузка'!A536:Z536"),Настройки!$B$13)&amp;"")="",1,IFERROR(--SUBSTITUTE(SUBSTITUTE(TRIM(INDEX(INDIRECT("'Выгрузка'!A536:Z536"),Настройки!$B$13)),",","."),".",MID(1/2,2,1)),"")))</f>
        <v/>
      </c>
      <c r="H536">
        <f>IF(F536="",0,IF(COUNTIF(Настройки!$B$17:$B$26,F536)&gt;0,1,IF(COUNTIF(Настройки!$C$17:$C$26,F536)&gt;0,2,IF(COUNTIF(Настройки!$D$17:$D$26,F536)&gt;0,3,0))))</f>
        <v/>
      </c>
      <c r="I536">
        <f>IF(AND(ISNUMBER(A536),ISNUMBER(B536)),A536*1000+B536,"")</f>
        <v/>
      </c>
      <c r="J536">
        <f>IF(I536="","",IF(COUNTIF(I$2:I536,I536)=1,MAX(J$1:J535)+1,""))</f>
        <v/>
      </c>
    </row>
    <row r="537">
      <c r="A537">
        <f>IFERROR(--SUBSTITUTE(SUBSTITUTE(TRIM(INDEX(INDIRECT("'Выгрузка'!A537:Z537"),Настройки!$B$7)),",","."),".",MID(1/2,2,1)),"")</f>
        <v/>
      </c>
      <c r="B537">
        <f>IFERROR(--SUBSTITUTE(SUBSTITUTE(TRIM(INDEX(INDIRECT("'Выгрузка'!A537:Z537"),Настройки!$B$9)),",","."),".",MID(1/2,2,1)),"")</f>
        <v/>
      </c>
      <c r="C537">
        <f>TRIM(INDEX(INDIRECT("'Выгрузка'!A537:Z537"),Настройки!$B$8)&amp;"")</f>
        <v/>
      </c>
      <c r="D537">
        <f>IFERROR(--SUBSTITUTE(SUBSTITUTE(TRIM(INDEX(INDIRECT("'Выгрузка'!A537:Z537"),Настройки!$B$10)),",","."),".",MID(1/2,2,1)),"")</f>
        <v/>
      </c>
      <c r="E537">
        <f>IFERROR(--SUBSTITUTE(SUBSTITUTE(TRIM(INDEX(INDIRECT("'Выгрузка'!A537:Z537"),Настройки!$B$11)),",","."),".",MID(1/2,2,1)),"")</f>
        <v/>
      </c>
      <c r="F537">
        <f>TRIM(INDEX(INDIRECT("'Выгрузка'!A537:Z537"),Настройки!$B$12)&amp;"")</f>
        <v/>
      </c>
      <c r="G537">
        <f>IF(F537="",0,IF(TRIM(INDEX(INDIRECT("'Выгрузка'!A537:Z537"),Настройки!$B$13)&amp;"")="",1,IFERROR(--SUBSTITUTE(SUBSTITUTE(TRIM(INDEX(INDIRECT("'Выгрузка'!A537:Z537"),Настройки!$B$13)),",","."),".",MID(1/2,2,1)),"")))</f>
        <v/>
      </c>
      <c r="H537">
        <f>IF(F537="",0,IF(COUNTIF(Настройки!$B$17:$B$26,F537)&gt;0,1,IF(COUNTIF(Настройки!$C$17:$C$26,F537)&gt;0,2,IF(COUNTIF(Настройки!$D$17:$D$26,F537)&gt;0,3,0))))</f>
        <v/>
      </c>
      <c r="I537">
        <f>IF(AND(ISNUMBER(A537),ISNUMBER(B537)),A537*1000+B537,"")</f>
        <v/>
      </c>
      <c r="J537">
        <f>IF(I537="","",IF(COUNTIF(I$2:I537,I537)=1,MAX(J$1:J536)+1,""))</f>
        <v/>
      </c>
    </row>
    <row r="538">
      <c r="A538">
        <f>IFERROR(--SUBSTITUTE(SUBSTITUTE(TRIM(INDEX(INDIRECT("'Выгрузка'!A538:Z538"),Настройки!$B$7)),",","."),".",MID(1/2,2,1)),"")</f>
        <v/>
      </c>
      <c r="B538">
        <f>IFERROR(--SUBSTITUTE(SUBSTITUTE(TRIM(INDEX(INDIRECT("'Выгрузка'!A538:Z538"),Настройки!$B$9)),",","."),".",MID(1/2,2,1)),"")</f>
        <v/>
      </c>
      <c r="C538">
        <f>TRIM(INDEX(INDIRECT("'Выгрузка'!A538:Z538"),Настройки!$B$8)&amp;"")</f>
        <v/>
      </c>
      <c r="D538">
        <f>IFERROR(--SUBSTITUTE(SUBSTITUTE(TRIM(INDEX(INDIRECT("'Выгрузка'!A538:Z538"),Настройки!$B$10)),",","."),".",MID(1/2,2,1)),"")</f>
        <v/>
      </c>
      <c r="E538">
        <f>IFERROR(--SUBSTITUTE(SUBSTITUTE(TRIM(INDEX(INDIRECT("'Выгрузка'!A538:Z538"),Настройки!$B$11)),",","."),".",MID(1/2,2,1)),"")</f>
        <v/>
      </c>
      <c r="F538">
        <f>TRIM(INDEX(INDIRECT("'Выгрузка'!A538:Z538"),Настройки!$B$12)&amp;"")</f>
        <v/>
      </c>
      <c r="G538">
        <f>IF(F538="",0,IF(TRIM(INDEX(INDIRECT("'Выгрузка'!A538:Z538"),Настройки!$B$13)&amp;"")="",1,IFERROR(--SUBSTITUTE(SUBSTITUTE(TRIM(INDEX(INDIRECT("'Выгрузка'!A538:Z538"),Настройки!$B$13)),",","."),".",MID(1/2,2,1)),"")))</f>
        <v/>
      </c>
      <c r="H538">
        <f>IF(F538="",0,IF(COUNTIF(Настройки!$B$17:$B$26,F538)&gt;0,1,IF(COUNTIF(Настройки!$C$17:$C$26,F538)&gt;0,2,IF(COUNTIF(Настройки!$D$17:$D$26,F538)&gt;0,3,0))))</f>
        <v/>
      </c>
      <c r="I538">
        <f>IF(AND(ISNUMBER(A538),ISNUMBER(B538)),A538*1000+B538,"")</f>
        <v/>
      </c>
      <c r="J538">
        <f>IF(I538="","",IF(COUNTIF(I$2:I538,I538)=1,MAX(J$1:J537)+1,""))</f>
        <v/>
      </c>
    </row>
    <row r="539">
      <c r="A539">
        <f>IFERROR(--SUBSTITUTE(SUBSTITUTE(TRIM(INDEX(INDIRECT("'Выгрузка'!A539:Z539"),Настройки!$B$7)),",","."),".",MID(1/2,2,1)),"")</f>
        <v/>
      </c>
      <c r="B539">
        <f>IFERROR(--SUBSTITUTE(SUBSTITUTE(TRIM(INDEX(INDIRECT("'Выгрузка'!A539:Z539"),Настройки!$B$9)),",","."),".",MID(1/2,2,1)),"")</f>
        <v/>
      </c>
      <c r="C539">
        <f>TRIM(INDEX(INDIRECT("'Выгрузка'!A539:Z539"),Настройки!$B$8)&amp;"")</f>
        <v/>
      </c>
      <c r="D539">
        <f>IFERROR(--SUBSTITUTE(SUBSTITUTE(TRIM(INDEX(INDIRECT("'Выгрузка'!A539:Z539"),Настройки!$B$10)),",","."),".",MID(1/2,2,1)),"")</f>
        <v/>
      </c>
      <c r="E539">
        <f>IFERROR(--SUBSTITUTE(SUBSTITUTE(TRIM(INDEX(INDIRECT("'Выгрузка'!A539:Z539"),Настройки!$B$11)),",","."),".",MID(1/2,2,1)),"")</f>
        <v/>
      </c>
      <c r="F539">
        <f>TRIM(INDEX(INDIRECT("'Выгрузка'!A539:Z539"),Настройки!$B$12)&amp;"")</f>
        <v/>
      </c>
      <c r="G539">
        <f>IF(F539="",0,IF(TRIM(INDEX(INDIRECT("'Выгрузка'!A539:Z539"),Настройки!$B$13)&amp;"")="",1,IFERROR(--SUBSTITUTE(SUBSTITUTE(TRIM(INDEX(INDIRECT("'Выгрузка'!A539:Z539"),Настройки!$B$13)),",","."),".",MID(1/2,2,1)),"")))</f>
        <v/>
      </c>
      <c r="H539">
        <f>IF(F539="",0,IF(COUNTIF(Настройки!$B$17:$B$26,F539)&gt;0,1,IF(COUNTIF(Настройки!$C$17:$C$26,F539)&gt;0,2,IF(COUNTIF(Настройки!$D$17:$D$26,F539)&gt;0,3,0))))</f>
        <v/>
      </c>
      <c r="I539">
        <f>IF(AND(ISNUMBER(A539),ISNUMBER(B539)),A539*1000+B539,"")</f>
        <v/>
      </c>
      <c r="J539">
        <f>IF(I539="","",IF(COUNTIF(I$2:I539,I539)=1,MAX(J$1:J538)+1,""))</f>
        <v/>
      </c>
    </row>
    <row r="540">
      <c r="A540">
        <f>IFERROR(--SUBSTITUTE(SUBSTITUTE(TRIM(INDEX(INDIRECT("'Выгрузка'!A540:Z540"),Настройки!$B$7)),",","."),".",MID(1/2,2,1)),"")</f>
        <v/>
      </c>
      <c r="B540">
        <f>IFERROR(--SUBSTITUTE(SUBSTITUTE(TRIM(INDEX(INDIRECT("'Выгрузка'!A540:Z540"),Настройки!$B$9)),",","."),".",MID(1/2,2,1)),"")</f>
        <v/>
      </c>
      <c r="C540">
        <f>TRIM(INDEX(INDIRECT("'Выгрузка'!A540:Z540"),Настройки!$B$8)&amp;"")</f>
        <v/>
      </c>
      <c r="D540">
        <f>IFERROR(--SUBSTITUTE(SUBSTITUTE(TRIM(INDEX(INDIRECT("'Выгрузка'!A540:Z540"),Настройки!$B$10)),",","."),".",MID(1/2,2,1)),"")</f>
        <v/>
      </c>
      <c r="E540">
        <f>IFERROR(--SUBSTITUTE(SUBSTITUTE(TRIM(INDEX(INDIRECT("'Выгрузка'!A540:Z540"),Настройки!$B$11)),",","."),".",MID(1/2,2,1)),"")</f>
        <v/>
      </c>
      <c r="F540">
        <f>TRIM(INDEX(INDIRECT("'Выгрузка'!A540:Z540"),Настройки!$B$12)&amp;"")</f>
        <v/>
      </c>
      <c r="G540">
        <f>IF(F540="",0,IF(TRIM(INDEX(INDIRECT("'Выгрузка'!A540:Z540"),Настройки!$B$13)&amp;"")="",1,IFERROR(--SUBSTITUTE(SUBSTITUTE(TRIM(INDEX(INDIRECT("'Выгрузка'!A540:Z540"),Настройки!$B$13)),",","."),".",MID(1/2,2,1)),"")))</f>
        <v/>
      </c>
      <c r="H540">
        <f>IF(F540="",0,IF(COUNTIF(Настройки!$B$17:$B$26,F540)&gt;0,1,IF(COUNTIF(Настройки!$C$17:$C$26,F540)&gt;0,2,IF(COUNTIF(Настройки!$D$17:$D$26,F540)&gt;0,3,0))))</f>
        <v/>
      </c>
      <c r="I540">
        <f>IF(AND(ISNUMBER(A540),ISNUMBER(B540)),A540*1000+B540,"")</f>
        <v/>
      </c>
      <c r="J540">
        <f>IF(I540="","",IF(COUNTIF(I$2:I540,I540)=1,MAX(J$1:J539)+1,""))</f>
        <v/>
      </c>
    </row>
    <row r="541">
      <c r="A541">
        <f>IFERROR(--SUBSTITUTE(SUBSTITUTE(TRIM(INDEX(INDIRECT("'Выгрузка'!A541:Z541"),Настройки!$B$7)),",","."),".",MID(1/2,2,1)),"")</f>
        <v/>
      </c>
      <c r="B541">
        <f>IFERROR(--SUBSTITUTE(SUBSTITUTE(TRIM(INDEX(INDIRECT("'Выгрузка'!A541:Z541"),Настройки!$B$9)),",","."),".",MID(1/2,2,1)),"")</f>
        <v/>
      </c>
      <c r="C541">
        <f>TRIM(INDEX(INDIRECT("'Выгрузка'!A541:Z541"),Настройки!$B$8)&amp;"")</f>
        <v/>
      </c>
      <c r="D541">
        <f>IFERROR(--SUBSTITUTE(SUBSTITUTE(TRIM(INDEX(INDIRECT("'Выгрузка'!A541:Z541"),Настройки!$B$10)),",","."),".",MID(1/2,2,1)),"")</f>
        <v/>
      </c>
      <c r="E541">
        <f>IFERROR(--SUBSTITUTE(SUBSTITUTE(TRIM(INDEX(INDIRECT("'Выгрузка'!A541:Z541"),Настройки!$B$11)),",","."),".",MID(1/2,2,1)),"")</f>
        <v/>
      </c>
      <c r="F541">
        <f>TRIM(INDEX(INDIRECT("'Выгрузка'!A541:Z541"),Настройки!$B$12)&amp;"")</f>
        <v/>
      </c>
      <c r="G541">
        <f>IF(F541="",0,IF(TRIM(INDEX(INDIRECT("'Выгрузка'!A541:Z541"),Настройки!$B$13)&amp;"")="",1,IFERROR(--SUBSTITUTE(SUBSTITUTE(TRIM(INDEX(INDIRECT("'Выгрузка'!A541:Z541"),Настройки!$B$13)),",","."),".",MID(1/2,2,1)),"")))</f>
        <v/>
      </c>
      <c r="H541">
        <f>IF(F541="",0,IF(COUNTIF(Настройки!$B$17:$B$26,F541)&gt;0,1,IF(COUNTIF(Настройки!$C$17:$C$26,F541)&gt;0,2,IF(COUNTIF(Настройки!$D$17:$D$26,F541)&gt;0,3,0))))</f>
        <v/>
      </c>
      <c r="I541">
        <f>IF(AND(ISNUMBER(A541),ISNUMBER(B541)),A541*1000+B541,"")</f>
        <v/>
      </c>
      <c r="J541">
        <f>IF(I541="","",IF(COUNTIF(I$2:I541,I541)=1,MAX(J$1:J540)+1,""))</f>
        <v/>
      </c>
    </row>
    <row r="542">
      <c r="A542">
        <f>IFERROR(--SUBSTITUTE(SUBSTITUTE(TRIM(INDEX(INDIRECT("'Выгрузка'!A542:Z542"),Настройки!$B$7)),",","."),".",MID(1/2,2,1)),"")</f>
        <v/>
      </c>
      <c r="B542">
        <f>IFERROR(--SUBSTITUTE(SUBSTITUTE(TRIM(INDEX(INDIRECT("'Выгрузка'!A542:Z542"),Настройки!$B$9)),",","."),".",MID(1/2,2,1)),"")</f>
        <v/>
      </c>
      <c r="C542">
        <f>TRIM(INDEX(INDIRECT("'Выгрузка'!A542:Z542"),Настройки!$B$8)&amp;"")</f>
        <v/>
      </c>
      <c r="D542">
        <f>IFERROR(--SUBSTITUTE(SUBSTITUTE(TRIM(INDEX(INDIRECT("'Выгрузка'!A542:Z542"),Настройки!$B$10)),",","."),".",MID(1/2,2,1)),"")</f>
        <v/>
      </c>
      <c r="E542">
        <f>IFERROR(--SUBSTITUTE(SUBSTITUTE(TRIM(INDEX(INDIRECT("'Выгрузка'!A542:Z542"),Настройки!$B$11)),",","."),".",MID(1/2,2,1)),"")</f>
        <v/>
      </c>
      <c r="F542">
        <f>TRIM(INDEX(INDIRECT("'Выгрузка'!A542:Z542"),Настройки!$B$12)&amp;"")</f>
        <v/>
      </c>
      <c r="G542">
        <f>IF(F542="",0,IF(TRIM(INDEX(INDIRECT("'Выгрузка'!A542:Z542"),Настройки!$B$13)&amp;"")="",1,IFERROR(--SUBSTITUTE(SUBSTITUTE(TRIM(INDEX(INDIRECT("'Выгрузка'!A542:Z542"),Настройки!$B$13)),",","."),".",MID(1/2,2,1)),"")))</f>
        <v/>
      </c>
      <c r="H542">
        <f>IF(F542="",0,IF(COUNTIF(Настройки!$B$17:$B$26,F542)&gt;0,1,IF(COUNTIF(Настройки!$C$17:$C$26,F542)&gt;0,2,IF(COUNTIF(Настройки!$D$17:$D$26,F542)&gt;0,3,0))))</f>
        <v/>
      </c>
      <c r="I542">
        <f>IF(AND(ISNUMBER(A542),ISNUMBER(B542)),A542*1000+B542,"")</f>
        <v/>
      </c>
      <c r="J542">
        <f>IF(I542="","",IF(COUNTIF(I$2:I542,I542)=1,MAX(J$1:J541)+1,""))</f>
        <v/>
      </c>
    </row>
    <row r="543">
      <c r="A543">
        <f>IFERROR(--SUBSTITUTE(SUBSTITUTE(TRIM(INDEX(INDIRECT("'Выгрузка'!A543:Z543"),Настройки!$B$7)),",","."),".",MID(1/2,2,1)),"")</f>
        <v/>
      </c>
      <c r="B543">
        <f>IFERROR(--SUBSTITUTE(SUBSTITUTE(TRIM(INDEX(INDIRECT("'Выгрузка'!A543:Z543"),Настройки!$B$9)),",","."),".",MID(1/2,2,1)),"")</f>
        <v/>
      </c>
      <c r="C543">
        <f>TRIM(INDEX(INDIRECT("'Выгрузка'!A543:Z543"),Настройки!$B$8)&amp;"")</f>
        <v/>
      </c>
      <c r="D543">
        <f>IFERROR(--SUBSTITUTE(SUBSTITUTE(TRIM(INDEX(INDIRECT("'Выгрузка'!A543:Z543"),Настройки!$B$10)),",","."),".",MID(1/2,2,1)),"")</f>
        <v/>
      </c>
      <c r="E543">
        <f>IFERROR(--SUBSTITUTE(SUBSTITUTE(TRIM(INDEX(INDIRECT("'Выгрузка'!A543:Z543"),Настройки!$B$11)),",","."),".",MID(1/2,2,1)),"")</f>
        <v/>
      </c>
      <c r="F543">
        <f>TRIM(INDEX(INDIRECT("'Выгрузка'!A543:Z543"),Настройки!$B$12)&amp;"")</f>
        <v/>
      </c>
      <c r="G543">
        <f>IF(F543="",0,IF(TRIM(INDEX(INDIRECT("'Выгрузка'!A543:Z543"),Настройки!$B$13)&amp;"")="",1,IFERROR(--SUBSTITUTE(SUBSTITUTE(TRIM(INDEX(INDIRECT("'Выгрузка'!A543:Z543"),Настройки!$B$13)),",","."),".",MID(1/2,2,1)),"")))</f>
        <v/>
      </c>
      <c r="H543">
        <f>IF(F543="",0,IF(COUNTIF(Настройки!$B$17:$B$26,F543)&gt;0,1,IF(COUNTIF(Настройки!$C$17:$C$26,F543)&gt;0,2,IF(COUNTIF(Настройки!$D$17:$D$26,F543)&gt;0,3,0))))</f>
        <v/>
      </c>
      <c r="I543">
        <f>IF(AND(ISNUMBER(A543),ISNUMBER(B543)),A543*1000+B543,"")</f>
        <v/>
      </c>
      <c r="J543">
        <f>IF(I543="","",IF(COUNTIF(I$2:I543,I543)=1,MAX(J$1:J542)+1,""))</f>
        <v/>
      </c>
    </row>
    <row r="544">
      <c r="A544">
        <f>IFERROR(--SUBSTITUTE(SUBSTITUTE(TRIM(INDEX(INDIRECT("'Выгрузка'!A544:Z544"),Настройки!$B$7)),",","."),".",MID(1/2,2,1)),"")</f>
        <v/>
      </c>
      <c r="B544">
        <f>IFERROR(--SUBSTITUTE(SUBSTITUTE(TRIM(INDEX(INDIRECT("'Выгрузка'!A544:Z544"),Настройки!$B$9)),",","."),".",MID(1/2,2,1)),"")</f>
        <v/>
      </c>
      <c r="C544">
        <f>TRIM(INDEX(INDIRECT("'Выгрузка'!A544:Z544"),Настройки!$B$8)&amp;"")</f>
        <v/>
      </c>
      <c r="D544">
        <f>IFERROR(--SUBSTITUTE(SUBSTITUTE(TRIM(INDEX(INDIRECT("'Выгрузка'!A544:Z544"),Настройки!$B$10)),",","."),".",MID(1/2,2,1)),"")</f>
        <v/>
      </c>
      <c r="E544">
        <f>IFERROR(--SUBSTITUTE(SUBSTITUTE(TRIM(INDEX(INDIRECT("'Выгрузка'!A544:Z544"),Настройки!$B$11)),",","."),".",MID(1/2,2,1)),"")</f>
        <v/>
      </c>
      <c r="F544">
        <f>TRIM(INDEX(INDIRECT("'Выгрузка'!A544:Z544"),Настройки!$B$12)&amp;"")</f>
        <v/>
      </c>
      <c r="G544">
        <f>IF(F544="",0,IF(TRIM(INDEX(INDIRECT("'Выгрузка'!A544:Z544"),Настройки!$B$13)&amp;"")="",1,IFERROR(--SUBSTITUTE(SUBSTITUTE(TRIM(INDEX(INDIRECT("'Выгрузка'!A544:Z544"),Настройки!$B$13)),",","."),".",MID(1/2,2,1)),"")))</f>
        <v/>
      </c>
      <c r="H544">
        <f>IF(F544="",0,IF(COUNTIF(Настройки!$B$17:$B$26,F544)&gt;0,1,IF(COUNTIF(Настройки!$C$17:$C$26,F544)&gt;0,2,IF(COUNTIF(Настройки!$D$17:$D$26,F544)&gt;0,3,0))))</f>
        <v/>
      </c>
      <c r="I544">
        <f>IF(AND(ISNUMBER(A544),ISNUMBER(B544)),A544*1000+B544,"")</f>
        <v/>
      </c>
      <c r="J544">
        <f>IF(I544="","",IF(COUNTIF(I$2:I544,I544)=1,MAX(J$1:J543)+1,""))</f>
        <v/>
      </c>
    </row>
    <row r="545">
      <c r="A545">
        <f>IFERROR(--SUBSTITUTE(SUBSTITUTE(TRIM(INDEX(INDIRECT("'Выгрузка'!A545:Z545"),Настройки!$B$7)),",","."),".",MID(1/2,2,1)),"")</f>
        <v/>
      </c>
      <c r="B545">
        <f>IFERROR(--SUBSTITUTE(SUBSTITUTE(TRIM(INDEX(INDIRECT("'Выгрузка'!A545:Z545"),Настройки!$B$9)),",","."),".",MID(1/2,2,1)),"")</f>
        <v/>
      </c>
      <c r="C545">
        <f>TRIM(INDEX(INDIRECT("'Выгрузка'!A545:Z545"),Настройки!$B$8)&amp;"")</f>
        <v/>
      </c>
      <c r="D545">
        <f>IFERROR(--SUBSTITUTE(SUBSTITUTE(TRIM(INDEX(INDIRECT("'Выгрузка'!A545:Z545"),Настройки!$B$10)),",","."),".",MID(1/2,2,1)),"")</f>
        <v/>
      </c>
      <c r="E545">
        <f>IFERROR(--SUBSTITUTE(SUBSTITUTE(TRIM(INDEX(INDIRECT("'Выгрузка'!A545:Z545"),Настройки!$B$11)),",","."),".",MID(1/2,2,1)),"")</f>
        <v/>
      </c>
      <c r="F545">
        <f>TRIM(INDEX(INDIRECT("'Выгрузка'!A545:Z545"),Настройки!$B$12)&amp;"")</f>
        <v/>
      </c>
      <c r="G545">
        <f>IF(F545="",0,IF(TRIM(INDEX(INDIRECT("'Выгрузка'!A545:Z545"),Настройки!$B$13)&amp;"")="",1,IFERROR(--SUBSTITUTE(SUBSTITUTE(TRIM(INDEX(INDIRECT("'Выгрузка'!A545:Z545"),Настройки!$B$13)),",","."),".",MID(1/2,2,1)),"")))</f>
        <v/>
      </c>
      <c r="H545">
        <f>IF(F545="",0,IF(COUNTIF(Настройки!$B$17:$B$26,F545)&gt;0,1,IF(COUNTIF(Настройки!$C$17:$C$26,F545)&gt;0,2,IF(COUNTIF(Настройки!$D$17:$D$26,F545)&gt;0,3,0))))</f>
        <v/>
      </c>
      <c r="I545">
        <f>IF(AND(ISNUMBER(A545),ISNUMBER(B545)),A545*1000+B545,"")</f>
        <v/>
      </c>
      <c r="J545">
        <f>IF(I545="","",IF(COUNTIF(I$2:I545,I545)=1,MAX(J$1:J544)+1,""))</f>
        <v/>
      </c>
    </row>
    <row r="546">
      <c r="A546">
        <f>IFERROR(--SUBSTITUTE(SUBSTITUTE(TRIM(INDEX(INDIRECT("'Выгрузка'!A546:Z546"),Настройки!$B$7)),",","."),".",MID(1/2,2,1)),"")</f>
        <v/>
      </c>
      <c r="B546">
        <f>IFERROR(--SUBSTITUTE(SUBSTITUTE(TRIM(INDEX(INDIRECT("'Выгрузка'!A546:Z546"),Настройки!$B$9)),",","."),".",MID(1/2,2,1)),"")</f>
        <v/>
      </c>
      <c r="C546">
        <f>TRIM(INDEX(INDIRECT("'Выгрузка'!A546:Z546"),Настройки!$B$8)&amp;"")</f>
        <v/>
      </c>
      <c r="D546">
        <f>IFERROR(--SUBSTITUTE(SUBSTITUTE(TRIM(INDEX(INDIRECT("'Выгрузка'!A546:Z546"),Настройки!$B$10)),",","."),".",MID(1/2,2,1)),"")</f>
        <v/>
      </c>
      <c r="E546">
        <f>IFERROR(--SUBSTITUTE(SUBSTITUTE(TRIM(INDEX(INDIRECT("'Выгрузка'!A546:Z546"),Настройки!$B$11)),",","."),".",MID(1/2,2,1)),"")</f>
        <v/>
      </c>
      <c r="F546">
        <f>TRIM(INDEX(INDIRECT("'Выгрузка'!A546:Z546"),Настройки!$B$12)&amp;"")</f>
        <v/>
      </c>
      <c r="G546">
        <f>IF(F546="",0,IF(TRIM(INDEX(INDIRECT("'Выгрузка'!A546:Z546"),Настройки!$B$13)&amp;"")="",1,IFERROR(--SUBSTITUTE(SUBSTITUTE(TRIM(INDEX(INDIRECT("'Выгрузка'!A546:Z546"),Настройки!$B$13)),",","."),".",MID(1/2,2,1)),"")))</f>
        <v/>
      </c>
      <c r="H546">
        <f>IF(F546="",0,IF(COUNTIF(Настройки!$B$17:$B$26,F546)&gt;0,1,IF(COUNTIF(Настройки!$C$17:$C$26,F546)&gt;0,2,IF(COUNTIF(Настройки!$D$17:$D$26,F546)&gt;0,3,0))))</f>
        <v/>
      </c>
      <c r="I546">
        <f>IF(AND(ISNUMBER(A546),ISNUMBER(B546)),A546*1000+B546,"")</f>
        <v/>
      </c>
      <c r="J546">
        <f>IF(I546="","",IF(COUNTIF(I$2:I546,I546)=1,MAX(J$1:J545)+1,""))</f>
        <v/>
      </c>
    </row>
    <row r="547">
      <c r="A547">
        <f>IFERROR(--SUBSTITUTE(SUBSTITUTE(TRIM(INDEX(INDIRECT("'Выгрузка'!A547:Z547"),Настройки!$B$7)),",","."),".",MID(1/2,2,1)),"")</f>
        <v/>
      </c>
      <c r="B547">
        <f>IFERROR(--SUBSTITUTE(SUBSTITUTE(TRIM(INDEX(INDIRECT("'Выгрузка'!A547:Z547"),Настройки!$B$9)),",","."),".",MID(1/2,2,1)),"")</f>
        <v/>
      </c>
      <c r="C547">
        <f>TRIM(INDEX(INDIRECT("'Выгрузка'!A547:Z547"),Настройки!$B$8)&amp;"")</f>
        <v/>
      </c>
      <c r="D547">
        <f>IFERROR(--SUBSTITUTE(SUBSTITUTE(TRIM(INDEX(INDIRECT("'Выгрузка'!A547:Z547"),Настройки!$B$10)),",","."),".",MID(1/2,2,1)),"")</f>
        <v/>
      </c>
      <c r="E547">
        <f>IFERROR(--SUBSTITUTE(SUBSTITUTE(TRIM(INDEX(INDIRECT("'Выгрузка'!A547:Z547"),Настройки!$B$11)),",","."),".",MID(1/2,2,1)),"")</f>
        <v/>
      </c>
      <c r="F547">
        <f>TRIM(INDEX(INDIRECT("'Выгрузка'!A547:Z547"),Настройки!$B$12)&amp;"")</f>
        <v/>
      </c>
      <c r="G547">
        <f>IF(F547="",0,IF(TRIM(INDEX(INDIRECT("'Выгрузка'!A547:Z547"),Настройки!$B$13)&amp;"")="",1,IFERROR(--SUBSTITUTE(SUBSTITUTE(TRIM(INDEX(INDIRECT("'Выгрузка'!A547:Z547"),Настройки!$B$13)),",","."),".",MID(1/2,2,1)),"")))</f>
        <v/>
      </c>
      <c r="H547">
        <f>IF(F547="",0,IF(COUNTIF(Настройки!$B$17:$B$26,F547)&gt;0,1,IF(COUNTIF(Настройки!$C$17:$C$26,F547)&gt;0,2,IF(COUNTIF(Настройки!$D$17:$D$26,F547)&gt;0,3,0))))</f>
        <v/>
      </c>
      <c r="I547">
        <f>IF(AND(ISNUMBER(A547),ISNUMBER(B547)),A547*1000+B547,"")</f>
        <v/>
      </c>
      <c r="J547">
        <f>IF(I547="","",IF(COUNTIF(I$2:I547,I547)=1,MAX(J$1:J546)+1,""))</f>
        <v/>
      </c>
    </row>
    <row r="548">
      <c r="A548">
        <f>IFERROR(--SUBSTITUTE(SUBSTITUTE(TRIM(INDEX(INDIRECT("'Выгрузка'!A548:Z548"),Настройки!$B$7)),",","."),".",MID(1/2,2,1)),"")</f>
        <v/>
      </c>
      <c r="B548">
        <f>IFERROR(--SUBSTITUTE(SUBSTITUTE(TRIM(INDEX(INDIRECT("'Выгрузка'!A548:Z548"),Настройки!$B$9)),",","."),".",MID(1/2,2,1)),"")</f>
        <v/>
      </c>
      <c r="C548">
        <f>TRIM(INDEX(INDIRECT("'Выгрузка'!A548:Z548"),Настройки!$B$8)&amp;"")</f>
        <v/>
      </c>
      <c r="D548">
        <f>IFERROR(--SUBSTITUTE(SUBSTITUTE(TRIM(INDEX(INDIRECT("'Выгрузка'!A548:Z548"),Настройки!$B$10)),",","."),".",MID(1/2,2,1)),"")</f>
        <v/>
      </c>
      <c r="E548">
        <f>IFERROR(--SUBSTITUTE(SUBSTITUTE(TRIM(INDEX(INDIRECT("'Выгрузка'!A548:Z548"),Настройки!$B$11)),",","."),".",MID(1/2,2,1)),"")</f>
        <v/>
      </c>
      <c r="F548">
        <f>TRIM(INDEX(INDIRECT("'Выгрузка'!A548:Z548"),Настройки!$B$12)&amp;"")</f>
        <v/>
      </c>
      <c r="G548">
        <f>IF(F548="",0,IF(TRIM(INDEX(INDIRECT("'Выгрузка'!A548:Z548"),Настройки!$B$13)&amp;"")="",1,IFERROR(--SUBSTITUTE(SUBSTITUTE(TRIM(INDEX(INDIRECT("'Выгрузка'!A548:Z548"),Настройки!$B$13)),",","."),".",MID(1/2,2,1)),"")))</f>
        <v/>
      </c>
      <c r="H548">
        <f>IF(F548="",0,IF(COUNTIF(Настройки!$B$17:$B$26,F548)&gt;0,1,IF(COUNTIF(Настройки!$C$17:$C$26,F548)&gt;0,2,IF(COUNTIF(Настройки!$D$17:$D$26,F548)&gt;0,3,0))))</f>
        <v/>
      </c>
      <c r="I548">
        <f>IF(AND(ISNUMBER(A548),ISNUMBER(B548)),A548*1000+B548,"")</f>
        <v/>
      </c>
      <c r="J548">
        <f>IF(I548="","",IF(COUNTIF(I$2:I548,I548)=1,MAX(J$1:J547)+1,""))</f>
        <v/>
      </c>
    </row>
    <row r="549">
      <c r="A549">
        <f>IFERROR(--SUBSTITUTE(SUBSTITUTE(TRIM(INDEX(INDIRECT("'Выгрузка'!A549:Z549"),Настройки!$B$7)),",","."),".",MID(1/2,2,1)),"")</f>
        <v/>
      </c>
      <c r="B549">
        <f>IFERROR(--SUBSTITUTE(SUBSTITUTE(TRIM(INDEX(INDIRECT("'Выгрузка'!A549:Z549"),Настройки!$B$9)),",","."),".",MID(1/2,2,1)),"")</f>
        <v/>
      </c>
      <c r="C549">
        <f>TRIM(INDEX(INDIRECT("'Выгрузка'!A549:Z549"),Настройки!$B$8)&amp;"")</f>
        <v/>
      </c>
      <c r="D549">
        <f>IFERROR(--SUBSTITUTE(SUBSTITUTE(TRIM(INDEX(INDIRECT("'Выгрузка'!A549:Z549"),Настройки!$B$10)),",","."),".",MID(1/2,2,1)),"")</f>
        <v/>
      </c>
      <c r="E549">
        <f>IFERROR(--SUBSTITUTE(SUBSTITUTE(TRIM(INDEX(INDIRECT("'Выгрузка'!A549:Z549"),Настройки!$B$11)),",","."),".",MID(1/2,2,1)),"")</f>
        <v/>
      </c>
      <c r="F549">
        <f>TRIM(INDEX(INDIRECT("'Выгрузка'!A549:Z549"),Настройки!$B$12)&amp;"")</f>
        <v/>
      </c>
      <c r="G549">
        <f>IF(F549="",0,IF(TRIM(INDEX(INDIRECT("'Выгрузка'!A549:Z549"),Настройки!$B$13)&amp;"")="",1,IFERROR(--SUBSTITUTE(SUBSTITUTE(TRIM(INDEX(INDIRECT("'Выгрузка'!A549:Z549"),Настройки!$B$13)),",","."),".",MID(1/2,2,1)),"")))</f>
        <v/>
      </c>
      <c r="H549">
        <f>IF(F549="",0,IF(COUNTIF(Настройки!$B$17:$B$26,F549)&gt;0,1,IF(COUNTIF(Настройки!$C$17:$C$26,F549)&gt;0,2,IF(COUNTIF(Настройки!$D$17:$D$26,F549)&gt;0,3,0))))</f>
        <v/>
      </c>
      <c r="I549">
        <f>IF(AND(ISNUMBER(A549),ISNUMBER(B549)),A549*1000+B549,"")</f>
        <v/>
      </c>
      <c r="J549">
        <f>IF(I549="","",IF(COUNTIF(I$2:I549,I549)=1,MAX(J$1:J548)+1,""))</f>
        <v/>
      </c>
    </row>
    <row r="550">
      <c r="A550">
        <f>IFERROR(--SUBSTITUTE(SUBSTITUTE(TRIM(INDEX(INDIRECT("'Выгрузка'!A550:Z550"),Настройки!$B$7)),",","."),".",MID(1/2,2,1)),"")</f>
        <v/>
      </c>
      <c r="B550">
        <f>IFERROR(--SUBSTITUTE(SUBSTITUTE(TRIM(INDEX(INDIRECT("'Выгрузка'!A550:Z550"),Настройки!$B$9)),",","."),".",MID(1/2,2,1)),"")</f>
        <v/>
      </c>
      <c r="C550">
        <f>TRIM(INDEX(INDIRECT("'Выгрузка'!A550:Z550"),Настройки!$B$8)&amp;"")</f>
        <v/>
      </c>
      <c r="D550">
        <f>IFERROR(--SUBSTITUTE(SUBSTITUTE(TRIM(INDEX(INDIRECT("'Выгрузка'!A550:Z550"),Настройки!$B$10)),",","."),".",MID(1/2,2,1)),"")</f>
        <v/>
      </c>
      <c r="E550">
        <f>IFERROR(--SUBSTITUTE(SUBSTITUTE(TRIM(INDEX(INDIRECT("'Выгрузка'!A550:Z550"),Настройки!$B$11)),",","."),".",MID(1/2,2,1)),"")</f>
        <v/>
      </c>
      <c r="F550">
        <f>TRIM(INDEX(INDIRECT("'Выгрузка'!A550:Z550"),Настройки!$B$12)&amp;"")</f>
        <v/>
      </c>
      <c r="G550">
        <f>IF(F550="",0,IF(TRIM(INDEX(INDIRECT("'Выгрузка'!A550:Z550"),Настройки!$B$13)&amp;"")="",1,IFERROR(--SUBSTITUTE(SUBSTITUTE(TRIM(INDEX(INDIRECT("'Выгрузка'!A550:Z550"),Настройки!$B$13)),",","."),".",MID(1/2,2,1)),"")))</f>
        <v/>
      </c>
      <c r="H550">
        <f>IF(F550="",0,IF(COUNTIF(Настройки!$B$17:$B$26,F550)&gt;0,1,IF(COUNTIF(Настройки!$C$17:$C$26,F550)&gt;0,2,IF(COUNTIF(Настройки!$D$17:$D$26,F550)&gt;0,3,0))))</f>
        <v/>
      </c>
      <c r="I550">
        <f>IF(AND(ISNUMBER(A550),ISNUMBER(B550)),A550*1000+B550,"")</f>
        <v/>
      </c>
      <c r="J550">
        <f>IF(I550="","",IF(COUNTIF(I$2:I550,I550)=1,MAX(J$1:J549)+1,""))</f>
        <v/>
      </c>
    </row>
    <row r="551">
      <c r="A551">
        <f>IFERROR(--SUBSTITUTE(SUBSTITUTE(TRIM(INDEX(INDIRECT("'Выгрузка'!A551:Z551"),Настройки!$B$7)),",","."),".",MID(1/2,2,1)),"")</f>
        <v/>
      </c>
      <c r="B551">
        <f>IFERROR(--SUBSTITUTE(SUBSTITUTE(TRIM(INDEX(INDIRECT("'Выгрузка'!A551:Z551"),Настройки!$B$9)),",","."),".",MID(1/2,2,1)),"")</f>
        <v/>
      </c>
      <c r="C551">
        <f>TRIM(INDEX(INDIRECT("'Выгрузка'!A551:Z551"),Настройки!$B$8)&amp;"")</f>
        <v/>
      </c>
      <c r="D551">
        <f>IFERROR(--SUBSTITUTE(SUBSTITUTE(TRIM(INDEX(INDIRECT("'Выгрузка'!A551:Z551"),Настройки!$B$10)),",","."),".",MID(1/2,2,1)),"")</f>
        <v/>
      </c>
      <c r="E551">
        <f>IFERROR(--SUBSTITUTE(SUBSTITUTE(TRIM(INDEX(INDIRECT("'Выгрузка'!A551:Z551"),Настройки!$B$11)),",","."),".",MID(1/2,2,1)),"")</f>
        <v/>
      </c>
      <c r="F551">
        <f>TRIM(INDEX(INDIRECT("'Выгрузка'!A551:Z551"),Настройки!$B$12)&amp;"")</f>
        <v/>
      </c>
      <c r="G551">
        <f>IF(F551="",0,IF(TRIM(INDEX(INDIRECT("'Выгрузка'!A551:Z551"),Настройки!$B$13)&amp;"")="",1,IFERROR(--SUBSTITUTE(SUBSTITUTE(TRIM(INDEX(INDIRECT("'Выгрузка'!A551:Z551"),Настройки!$B$13)),",","."),".",MID(1/2,2,1)),"")))</f>
        <v/>
      </c>
      <c r="H551">
        <f>IF(F551="",0,IF(COUNTIF(Настройки!$B$17:$B$26,F551)&gt;0,1,IF(COUNTIF(Настройки!$C$17:$C$26,F551)&gt;0,2,IF(COUNTIF(Настройки!$D$17:$D$26,F551)&gt;0,3,0))))</f>
        <v/>
      </c>
      <c r="I551">
        <f>IF(AND(ISNUMBER(A551),ISNUMBER(B551)),A551*1000+B551,"")</f>
        <v/>
      </c>
      <c r="J551">
        <f>IF(I551="","",IF(COUNTIF(I$2:I551,I551)=1,MAX(J$1:J550)+1,""))</f>
        <v/>
      </c>
    </row>
    <row r="552">
      <c r="A552">
        <f>IFERROR(--SUBSTITUTE(SUBSTITUTE(TRIM(INDEX(INDIRECT("'Выгрузка'!A552:Z552"),Настройки!$B$7)),",","."),".",MID(1/2,2,1)),"")</f>
        <v/>
      </c>
      <c r="B552">
        <f>IFERROR(--SUBSTITUTE(SUBSTITUTE(TRIM(INDEX(INDIRECT("'Выгрузка'!A552:Z552"),Настройки!$B$9)),",","."),".",MID(1/2,2,1)),"")</f>
        <v/>
      </c>
      <c r="C552">
        <f>TRIM(INDEX(INDIRECT("'Выгрузка'!A552:Z552"),Настройки!$B$8)&amp;"")</f>
        <v/>
      </c>
      <c r="D552">
        <f>IFERROR(--SUBSTITUTE(SUBSTITUTE(TRIM(INDEX(INDIRECT("'Выгрузка'!A552:Z552"),Настройки!$B$10)),",","."),".",MID(1/2,2,1)),"")</f>
        <v/>
      </c>
      <c r="E552">
        <f>IFERROR(--SUBSTITUTE(SUBSTITUTE(TRIM(INDEX(INDIRECT("'Выгрузка'!A552:Z552"),Настройки!$B$11)),",","."),".",MID(1/2,2,1)),"")</f>
        <v/>
      </c>
      <c r="F552">
        <f>TRIM(INDEX(INDIRECT("'Выгрузка'!A552:Z552"),Настройки!$B$12)&amp;"")</f>
        <v/>
      </c>
      <c r="G552">
        <f>IF(F552="",0,IF(TRIM(INDEX(INDIRECT("'Выгрузка'!A552:Z552"),Настройки!$B$13)&amp;"")="",1,IFERROR(--SUBSTITUTE(SUBSTITUTE(TRIM(INDEX(INDIRECT("'Выгрузка'!A552:Z552"),Настройки!$B$13)),",","."),".",MID(1/2,2,1)),"")))</f>
        <v/>
      </c>
      <c r="H552">
        <f>IF(F552="",0,IF(COUNTIF(Настройки!$B$17:$B$26,F552)&gt;0,1,IF(COUNTIF(Настройки!$C$17:$C$26,F552)&gt;0,2,IF(COUNTIF(Настройки!$D$17:$D$26,F552)&gt;0,3,0))))</f>
        <v/>
      </c>
      <c r="I552">
        <f>IF(AND(ISNUMBER(A552),ISNUMBER(B552)),A552*1000+B552,"")</f>
        <v/>
      </c>
      <c r="J552">
        <f>IF(I552="","",IF(COUNTIF(I$2:I552,I552)=1,MAX(J$1:J551)+1,""))</f>
        <v/>
      </c>
    </row>
    <row r="553">
      <c r="A553">
        <f>IFERROR(--SUBSTITUTE(SUBSTITUTE(TRIM(INDEX(INDIRECT("'Выгрузка'!A553:Z553"),Настройки!$B$7)),",","."),".",MID(1/2,2,1)),"")</f>
        <v/>
      </c>
      <c r="B553">
        <f>IFERROR(--SUBSTITUTE(SUBSTITUTE(TRIM(INDEX(INDIRECT("'Выгрузка'!A553:Z553"),Настройки!$B$9)),",","."),".",MID(1/2,2,1)),"")</f>
        <v/>
      </c>
      <c r="C553">
        <f>TRIM(INDEX(INDIRECT("'Выгрузка'!A553:Z553"),Настройки!$B$8)&amp;"")</f>
        <v/>
      </c>
      <c r="D553">
        <f>IFERROR(--SUBSTITUTE(SUBSTITUTE(TRIM(INDEX(INDIRECT("'Выгрузка'!A553:Z553"),Настройки!$B$10)),",","."),".",MID(1/2,2,1)),"")</f>
        <v/>
      </c>
      <c r="E553">
        <f>IFERROR(--SUBSTITUTE(SUBSTITUTE(TRIM(INDEX(INDIRECT("'Выгрузка'!A553:Z553"),Настройки!$B$11)),",","."),".",MID(1/2,2,1)),"")</f>
        <v/>
      </c>
      <c r="F553">
        <f>TRIM(INDEX(INDIRECT("'Выгрузка'!A553:Z553"),Настройки!$B$12)&amp;"")</f>
        <v/>
      </c>
      <c r="G553">
        <f>IF(F553="",0,IF(TRIM(INDEX(INDIRECT("'Выгрузка'!A553:Z553"),Настройки!$B$13)&amp;"")="",1,IFERROR(--SUBSTITUTE(SUBSTITUTE(TRIM(INDEX(INDIRECT("'Выгрузка'!A553:Z553"),Настройки!$B$13)),",","."),".",MID(1/2,2,1)),"")))</f>
        <v/>
      </c>
      <c r="H553">
        <f>IF(F553="",0,IF(COUNTIF(Настройки!$B$17:$B$26,F553)&gt;0,1,IF(COUNTIF(Настройки!$C$17:$C$26,F553)&gt;0,2,IF(COUNTIF(Настройки!$D$17:$D$26,F553)&gt;0,3,0))))</f>
        <v/>
      </c>
      <c r="I553">
        <f>IF(AND(ISNUMBER(A553),ISNUMBER(B553)),A553*1000+B553,"")</f>
        <v/>
      </c>
      <c r="J553">
        <f>IF(I553="","",IF(COUNTIF(I$2:I553,I553)=1,MAX(J$1:J552)+1,""))</f>
        <v/>
      </c>
    </row>
    <row r="554">
      <c r="A554">
        <f>IFERROR(--SUBSTITUTE(SUBSTITUTE(TRIM(INDEX(INDIRECT("'Выгрузка'!A554:Z554"),Настройки!$B$7)),",","."),".",MID(1/2,2,1)),"")</f>
        <v/>
      </c>
      <c r="B554">
        <f>IFERROR(--SUBSTITUTE(SUBSTITUTE(TRIM(INDEX(INDIRECT("'Выгрузка'!A554:Z554"),Настройки!$B$9)),",","."),".",MID(1/2,2,1)),"")</f>
        <v/>
      </c>
      <c r="C554">
        <f>TRIM(INDEX(INDIRECT("'Выгрузка'!A554:Z554"),Настройки!$B$8)&amp;"")</f>
        <v/>
      </c>
      <c r="D554">
        <f>IFERROR(--SUBSTITUTE(SUBSTITUTE(TRIM(INDEX(INDIRECT("'Выгрузка'!A554:Z554"),Настройки!$B$10)),",","."),".",MID(1/2,2,1)),"")</f>
        <v/>
      </c>
      <c r="E554">
        <f>IFERROR(--SUBSTITUTE(SUBSTITUTE(TRIM(INDEX(INDIRECT("'Выгрузка'!A554:Z554"),Настройки!$B$11)),",","."),".",MID(1/2,2,1)),"")</f>
        <v/>
      </c>
      <c r="F554">
        <f>TRIM(INDEX(INDIRECT("'Выгрузка'!A554:Z554"),Настройки!$B$12)&amp;"")</f>
        <v/>
      </c>
      <c r="G554">
        <f>IF(F554="",0,IF(TRIM(INDEX(INDIRECT("'Выгрузка'!A554:Z554"),Настройки!$B$13)&amp;"")="",1,IFERROR(--SUBSTITUTE(SUBSTITUTE(TRIM(INDEX(INDIRECT("'Выгрузка'!A554:Z554"),Настройки!$B$13)),",","."),".",MID(1/2,2,1)),"")))</f>
        <v/>
      </c>
      <c r="H554">
        <f>IF(F554="",0,IF(COUNTIF(Настройки!$B$17:$B$26,F554)&gt;0,1,IF(COUNTIF(Настройки!$C$17:$C$26,F554)&gt;0,2,IF(COUNTIF(Настройки!$D$17:$D$26,F554)&gt;0,3,0))))</f>
        <v/>
      </c>
      <c r="I554">
        <f>IF(AND(ISNUMBER(A554),ISNUMBER(B554)),A554*1000+B554,"")</f>
        <v/>
      </c>
      <c r="J554">
        <f>IF(I554="","",IF(COUNTIF(I$2:I554,I554)=1,MAX(J$1:J553)+1,""))</f>
        <v/>
      </c>
    </row>
    <row r="555">
      <c r="A555">
        <f>IFERROR(--SUBSTITUTE(SUBSTITUTE(TRIM(INDEX(INDIRECT("'Выгрузка'!A555:Z555"),Настройки!$B$7)),",","."),".",MID(1/2,2,1)),"")</f>
        <v/>
      </c>
      <c r="B555">
        <f>IFERROR(--SUBSTITUTE(SUBSTITUTE(TRIM(INDEX(INDIRECT("'Выгрузка'!A555:Z555"),Настройки!$B$9)),",","."),".",MID(1/2,2,1)),"")</f>
        <v/>
      </c>
      <c r="C555">
        <f>TRIM(INDEX(INDIRECT("'Выгрузка'!A555:Z555"),Настройки!$B$8)&amp;"")</f>
        <v/>
      </c>
      <c r="D555">
        <f>IFERROR(--SUBSTITUTE(SUBSTITUTE(TRIM(INDEX(INDIRECT("'Выгрузка'!A555:Z555"),Настройки!$B$10)),",","."),".",MID(1/2,2,1)),"")</f>
        <v/>
      </c>
      <c r="E555">
        <f>IFERROR(--SUBSTITUTE(SUBSTITUTE(TRIM(INDEX(INDIRECT("'Выгрузка'!A555:Z555"),Настройки!$B$11)),",","."),".",MID(1/2,2,1)),"")</f>
        <v/>
      </c>
      <c r="F555">
        <f>TRIM(INDEX(INDIRECT("'Выгрузка'!A555:Z555"),Настройки!$B$12)&amp;"")</f>
        <v/>
      </c>
      <c r="G555">
        <f>IF(F555="",0,IF(TRIM(INDEX(INDIRECT("'Выгрузка'!A555:Z555"),Настройки!$B$13)&amp;"")="",1,IFERROR(--SUBSTITUTE(SUBSTITUTE(TRIM(INDEX(INDIRECT("'Выгрузка'!A555:Z555"),Настройки!$B$13)),",","."),".",MID(1/2,2,1)),"")))</f>
        <v/>
      </c>
      <c r="H555">
        <f>IF(F555="",0,IF(COUNTIF(Настройки!$B$17:$B$26,F555)&gt;0,1,IF(COUNTIF(Настройки!$C$17:$C$26,F555)&gt;0,2,IF(COUNTIF(Настройки!$D$17:$D$26,F555)&gt;0,3,0))))</f>
        <v/>
      </c>
      <c r="I555">
        <f>IF(AND(ISNUMBER(A555),ISNUMBER(B555)),A555*1000+B555,"")</f>
        <v/>
      </c>
      <c r="J555">
        <f>IF(I555="","",IF(COUNTIF(I$2:I555,I555)=1,MAX(J$1:J554)+1,""))</f>
        <v/>
      </c>
    </row>
    <row r="556">
      <c r="A556">
        <f>IFERROR(--SUBSTITUTE(SUBSTITUTE(TRIM(INDEX(INDIRECT("'Выгрузка'!A556:Z556"),Настройки!$B$7)),",","."),".",MID(1/2,2,1)),"")</f>
        <v/>
      </c>
      <c r="B556">
        <f>IFERROR(--SUBSTITUTE(SUBSTITUTE(TRIM(INDEX(INDIRECT("'Выгрузка'!A556:Z556"),Настройки!$B$9)),",","."),".",MID(1/2,2,1)),"")</f>
        <v/>
      </c>
      <c r="C556">
        <f>TRIM(INDEX(INDIRECT("'Выгрузка'!A556:Z556"),Настройки!$B$8)&amp;"")</f>
        <v/>
      </c>
      <c r="D556">
        <f>IFERROR(--SUBSTITUTE(SUBSTITUTE(TRIM(INDEX(INDIRECT("'Выгрузка'!A556:Z556"),Настройки!$B$10)),",","."),".",MID(1/2,2,1)),"")</f>
        <v/>
      </c>
      <c r="E556">
        <f>IFERROR(--SUBSTITUTE(SUBSTITUTE(TRIM(INDEX(INDIRECT("'Выгрузка'!A556:Z556"),Настройки!$B$11)),",","."),".",MID(1/2,2,1)),"")</f>
        <v/>
      </c>
      <c r="F556">
        <f>TRIM(INDEX(INDIRECT("'Выгрузка'!A556:Z556"),Настройки!$B$12)&amp;"")</f>
        <v/>
      </c>
      <c r="G556">
        <f>IF(F556="",0,IF(TRIM(INDEX(INDIRECT("'Выгрузка'!A556:Z556"),Настройки!$B$13)&amp;"")="",1,IFERROR(--SUBSTITUTE(SUBSTITUTE(TRIM(INDEX(INDIRECT("'Выгрузка'!A556:Z556"),Настройки!$B$13)),",","."),".",MID(1/2,2,1)),"")))</f>
        <v/>
      </c>
      <c r="H556">
        <f>IF(F556="",0,IF(COUNTIF(Настройки!$B$17:$B$26,F556)&gt;0,1,IF(COUNTIF(Настройки!$C$17:$C$26,F556)&gt;0,2,IF(COUNTIF(Настройки!$D$17:$D$26,F556)&gt;0,3,0))))</f>
        <v/>
      </c>
      <c r="I556">
        <f>IF(AND(ISNUMBER(A556),ISNUMBER(B556)),A556*1000+B556,"")</f>
        <v/>
      </c>
      <c r="J556">
        <f>IF(I556="","",IF(COUNTIF(I$2:I556,I556)=1,MAX(J$1:J555)+1,""))</f>
        <v/>
      </c>
    </row>
    <row r="557">
      <c r="A557">
        <f>IFERROR(--SUBSTITUTE(SUBSTITUTE(TRIM(INDEX(INDIRECT("'Выгрузка'!A557:Z557"),Настройки!$B$7)),",","."),".",MID(1/2,2,1)),"")</f>
        <v/>
      </c>
      <c r="B557">
        <f>IFERROR(--SUBSTITUTE(SUBSTITUTE(TRIM(INDEX(INDIRECT("'Выгрузка'!A557:Z557"),Настройки!$B$9)),",","."),".",MID(1/2,2,1)),"")</f>
        <v/>
      </c>
      <c r="C557">
        <f>TRIM(INDEX(INDIRECT("'Выгрузка'!A557:Z557"),Настройки!$B$8)&amp;"")</f>
        <v/>
      </c>
      <c r="D557">
        <f>IFERROR(--SUBSTITUTE(SUBSTITUTE(TRIM(INDEX(INDIRECT("'Выгрузка'!A557:Z557"),Настройки!$B$10)),",","."),".",MID(1/2,2,1)),"")</f>
        <v/>
      </c>
      <c r="E557">
        <f>IFERROR(--SUBSTITUTE(SUBSTITUTE(TRIM(INDEX(INDIRECT("'Выгрузка'!A557:Z557"),Настройки!$B$11)),",","."),".",MID(1/2,2,1)),"")</f>
        <v/>
      </c>
      <c r="F557">
        <f>TRIM(INDEX(INDIRECT("'Выгрузка'!A557:Z557"),Настройки!$B$12)&amp;"")</f>
        <v/>
      </c>
      <c r="G557">
        <f>IF(F557="",0,IF(TRIM(INDEX(INDIRECT("'Выгрузка'!A557:Z557"),Настройки!$B$13)&amp;"")="",1,IFERROR(--SUBSTITUTE(SUBSTITUTE(TRIM(INDEX(INDIRECT("'Выгрузка'!A557:Z557"),Настройки!$B$13)),",","."),".",MID(1/2,2,1)),"")))</f>
        <v/>
      </c>
      <c r="H557">
        <f>IF(F557="",0,IF(COUNTIF(Настройки!$B$17:$B$26,F557)&gt;0,1,IF(COUNTIF(Настройки!$C$17:$C$26,F557)&gt;0,2,IF(COUNTIF(Настройки!$D$17:$D$26,F557)&gt;0,3,0))))</f>
        <v/>
      </c>
      <c r="I557">
        <f>IF(AND(ISNUMBER(A557),ISNUMBER(B557)),A557*1000+B557,"")</f>
        <v/>
      </c>
      <c r="J557">
        <f>IF(I557="","",IF(COUNTIF(I$2:I557,I557)=1,MAX(J$1:J556)+1,""))</f>
        <v/>
      </c>
    </row>
    <row r="558">
      <c r="A558">
        <f>IFERROR(--SUBSTITUTE(SUBSTITUTE(TRIM(INDEX(INDIRECT("'Выгрузка'!A558:Z558"),Настройки!$B$7)),",","."),".",MID(1/2,2,1)),"")</f>
        <v/>
      </c>
      <c r="B558">
        <f>IFERROR(--SUBSTITUTE(SUBSTITUTE(TRIM(INDEX(INDIRECT("'Выгрузка'!A558:Z558"),Настройки!$B$9)),",","."),".",MID(1/2,2,1)),"")</f>
        <v/>
      </c>
      <c r="C558">
        <f>TRIM(INDEX(INDIRECT("'Выгрузка'!A558:Z558"),Настройки!$B$8)&amp;"")</f>
        <v/>
      </c>
      <c r="D558">
        <f>IFERROR(--SUBSTITUTE(SUBSTITUTE(TRIM(INDEX(INDIRECT("'Выгрузка'!A558:Z558"),Настройки!$B$10)),",","."),".",MID(1/2,2,1)),"")</f>
        <v/>
      </c>
      <c r="E558">
        <f>IFERROR(--SUBSTITUTE(SUBSTITUTE(TRIM(INDEX(INDIRECT("'Выгрузка'!A558:Z558"),Настройки!$B$11)),",","."),".",MID(1/2,2,1)),"")</f>
        <v/>
      </c>
      <c r="F558">
        <f>TRIM(INDEX(INDIRECT("'Выгрузка'!A558:Z558"),Настройки!$B$12)&amp;"")</f>
        <v/>
      </c>
      <c r="G558">
        <f>IF(F558="",0,IF(TRIM(INDEX(INDIRECT("'Выгрузка'!A558:Z558"),Настройки!$B$13)&amp;"")="",1,IFERROR(--SUBSTITUTE(SUBSTITUTE(TRIM(INDEX(INDIRECT("'Выгрузка'!A558:Z558"),Настройки!$B$13)),",","."),".",MID(1/2,2,1)),"")))</f>
        <v/>
      </c>
      <c r="H558">
        <f>IF(F558="",0,IF(COUNTIF(Настройки!$B$17:$B$26,F558)&gt;0,1,IF(COUNTIF(Настройки!$C$17:$C$26,F558)&gt;0,2,IF(COUNTIF(Настройки!$D$17:$D$26,F558)&gt;0,3,0))))</f>
        <v/>
      </c>
      <c r="I558">
        <f>IF(AND(ISNUMBER(A558),ISNUMBER(B558)),A558*1000+B558,"")</f>
        <v/>
      </c>
      <c r="J558">
        <f>IF(I558="","",IF(COUNTIF(I$2:I558,I558)=1,MAX(J$1:J557)+1,""))</f>
        <v/>
      </c>
    </row>
    <row r="559">
      <c r="A559">
        <f>IFERROR(--SUBSTITUTE(SUBSTITUTE(TRIM(INDEX(INDIRECT("'Выгрузка'!A559:Z559"),Настройки!$B$7)),",","."),".",MID(1/2,2,1)),"")</f>
        <v/>
      </c>
      <c r="B559">
        <f>IFERROR(--SUBSTITUTE(SUBSTITUTE(TRIM(INDEX(INDIRECT("'Выгрузка'!A559:Z559"),Настройки!$B$9)),",","."),".",MID(1/2,2,1)),"")</f>
        <v/>
      </c>
      <c r="C559">
        <f>TRIM(INDEX(INDIRECT("'Выгрузка'!A559:Z559"),Настройки!$B$8)&amp;"")</f>
        <v/>
      </c>
      <c r="D559">
        <f>IFERROR(--SUBSTITUTE(SUBSTITUTE(TRIM(INDEX(INDIRECT("'Выгрузка'!A559:Z559"),Настройки!$B$10)),",","."),".",MID(1/2,2,1)),"")</f>
        <v/>
      </c>
      <c r="E559">
        <f>IFERROR(--SUBSTITUTE(SUBSTITUTE(TRIM(INDEX(INDIRECT("'Выгрузка'!A559:Z559"),Настройки!$B$11)),",","."),".",MID(1/2,2,1)),"")</f>
        <v/>
      </c>
      <c r="F559">
        <f>TRIM(INDEX(INDIRECT("'Выгрузка'!A559:Z559"),Настройки!$B$12)&amp;"")</f>
        <v/>
      </c>
      <c r="G559">
        <f>IF(F559="",0,IF(TRIM(INDEX(INDIRECT("'Выгрузка'!A559:Z559"),Настройки!$B$13)&amp;"")="",1,IFERROR(--SUBSTITUTE(SUBSTITUTE(TRIM(INDEX(INDIRECT("'Выгрузка'!A559:Z559"),Настройки!$B$13)),",","."),".",MID(1/2,2,1)),"")))</f>
        <v/>
      </c>
      <c r="H559">
        <f>IF(F559="",0,IF(COUNTIF(Настройки!$B$17:$B$26,F559)&gt;0,1,IF(COUNTIF(Настройки!$C$17:$C$26,F559)&gt;0,2,IF(COUNTIF(Настройки!$D$17:$D$26,F559)&gt;0,3,0))))</f>
        <v/>
      </c>
      <c r="I559">
        <f>IF(AND(ISNUMBER(A559),ISNUMBER(B559)),A559*1000+B559,"")</f>
        <v/>
      </c>
      <c r="J559">
        <f>IF(I559="","",IF(COUNTIF(I$2:I559,I559)=1,MAX(J$1:J558)+1,""))</f>
        <v/>
      </c>
    </row>
    <row r="560">
      <c r="A560">
        <f>IFERROR(--SUBSTITUTE(SUBSTITUTE(TRIM(INDEX(INDIRECT("'Выгрузка'!A560:Z560"),Настройки!$B$7)),",","."),".",MID(1/2,2,1)),"")</f>
        <v/>
      </c>
      <c r="B560">
        <f>IFERROR(--SUBSTITUTE(SUBSTITUTE(TRIM(INDEX(INDIRECT("'Выгрузка'!A560:Z560"),Настройки!$B$9)),",","."),".",MID(1/2,2,1)),"")</f>
        <v/>
      </c>
      <c r="C560">
        <f>TRIM(INDEX(INDIRECT("'Выгрузка'!A560:Z560"),Настройки!$B$8)&amp;"")</f>
        <v/>
      </c>
      <c r="D560">
        <f>IFERROR(--SUBSTITUTE(SUBSTITUTE(TRIM(INDEX(INDIRECT("'Выгрузка'!A560:Z560"),Настройки!$B$10)),",","."),".",MID(1/2,2,1)),"")</f>
        <v/>
      </c>
      <c r="E560">
        <f>IFERROR(--SUBSTITUTE(SUBSTITUTE(TRIM(INDEX(INDIRECT("'Выгрузка'!A560:Z560"),Настройки!$B$11)),",","."),".",MID(1/2,2,1)),"")</f>
        <v/>
      </c>
      <c r="F560">
        <f>TRIM(INDEX(INDIRECT("'Выгрузка'!A560:Z560"),Настройки!$B$12)&amp;"")</f>
        <v/>
      </c>
      <c r="G560">
        <f>IF(F560="",0,IF(TRIM(INDEX(INDIRECT("'Выгрузка'!A560:Z560"),Настройки!$B$13)&amp;"")="",1,IFERROR(--SUBSTITUTE(SUBSTITUTE(TRIM(INDEX(INDIRECT("'Выгрузка'!A560:Z560"),Настройки!$B$13)),",","."),".",MID(1/2,2,1)),"")))</f>
        <v/>
      </c>
      <c r="H560">
        <f>IF(F560="",0,IF(COUNTIF(Настройки!$B$17:$B$26,F560)&gt;0,1,IF(COUNTIF(Настройки!$C$17:$C$26,F560)&gt;0,2,IF(COUNTIF(Настройки!$D$17:$D$26,F560)&gt;0,3,0))))</f>
        <v/>
      </c>
      <c r="I560">
        <f>IF(AND(ISNUMBER(A560),ISNUMBER(B560)),A560*1000+B560,"")</f>
        <v/>
      </c>
      <c r="J560">
        <f>IF(I560="","",IF(COUNTIF(I$2:I560,I560)=1,MAX(J$1:J559)+1,""))</f>
        <v/>
      </c>
    </row>
    <row r="561">
      <c r="A561">
        <f>IFERROR(--SUBSTITUTE(SUBSTITUTE(TRIM(INDEX(INDIRECT("'Выгрузка'!A561:Z561"),Настройки!$B$7)),",","."),".",MID(1/2,2,1)),"")</f>
        <v/>
      </c>
      <c r="B561">
        <f>IFERROR(--SUBSTITUTE(SUBSTITUTE(TRIM(INDEX(INDIRECT("'Выгрузка'!A561:Z561"),Настройки!$B$9)),",","."),".",MID(1/2,2,1)),"")</f>
        <v/>
      </c>
      <c r="C561">
        <f>TRIM(INDEX(INDIRECT("'Выгрузка'!A561:Z561"),Настройки!$B$8)&amp;"")</f>
        <v/>
      </c>
      <c r="D561">
        <f>IFERROR(--SUBSTITUTE(SUBSTITUTE(TRIM(INDEX(INDIRECT("'Выгрузка'!A561:Z561"),Настройки!$B$10)),",","."),".",MID(1/2,2,1)),"")</f>
        <v/>
      </c>
      <c r="E561">
        <f>IFERROR(--SUBSTITUTE(SUBSTITUTE(TRIM(INDEX(INDIRECT("'Выгрузка'!A561:Z561"),Настройки!$B$11)),",","."),".",MID(1/2,2,1)),"")</f>
        <v/>
      </c>
      <c r="F561">
        <f>TRIM(INDEX(INDIRECT("'Выгрузка'!A561:Z561"),Настройки!$B$12)&amp;"")</f>
        <v/>
      </c>
      <c r="G561">
        <f>IF(F561="",0,IF(TRIM(INDEX(INDIRECT("'Выгрузка'!A561:Z561"),Настройки!$B$13)&amp;"")="",1,IFERROR(--SUBSTITUTE(SUBSTITUTE(TRIM(INDEX(INDIRECT("'Выгрузка'!A561:Z561"),Настройки!$B$13)),",","."),".",MID(1/2,2,1)),"")))</f>
        <v/>
      </c>
      <c r="H561">
        <f>IF(F561="",0,IF(COUNTIF(Настройки!$B$17:$B$26,F561)&gt;0,1,IF(COUNTIF(Настройки!$C$17:$C$26,F561)&gt;0,2,IF(COUNTIF(Настройки!$D$17:$D$26,F561)&gt;0,3,0))))</f>
        <v/>
      </c>
      <c r="I561">
        <f>IF(AND(ISNUMBER(A561),ISNUMBER(B561)),A561*1000+B561,"")</f>
        <v/>
      </c>
      <c r="J561">
        <f>IF(I561="","",IF(COUNTIF(I$2:I561,I561)=1,MAX(J$1:J560)+1,""))</f>
        <v/>
      </c>
    </row>
    <row r="562">
      <c r="A562">
        <f>IFERROR(--SUBSTITUTE(SUBSTITUTE(TRIM(INDEX(INDIRECT("'Выгрузка'!A562:Z562"),Настройки!$B$7)),",","."),".",MID(1/2,2,1)),"")</f>
        <v/>
      </c>
      <c r="B562">
        <f>IFERROR(--SUBSTITUTE(SUBSTITUTE(TRIM(INDEX(INDIRECT("'Выгрузка'!A562:Z562"),Настройки!$B$9)),",","."),".",MID(1/2,2,1)),"")</f>
        <v/>
      </c>
      <c r="C562">
        <f>TRIM(INDEX(INDIRECT("'Выгрузка'!A562:Z562"),Настройки!$B$8)&amp;"")</f>
        <v/>
      </c>
      <c r="D562">
        <f>IFERROR(--SUBSTITUTE(SUBSTITUTE(TRIM(INDEX(INDIRECT("'Выгрузка'!A562:Z562"),Настройки!$B$10)),",","."),".",MID(1/2,2,1)),"")</f>
        <v/>
      </c>
      <c r="E562">
        <f>IFERROR(--SUBSTITUTE(SUBSTITUTE(TRIM(INDEX(INDIRECT("'Выгрузка'!A562:Z562"),Настройки!$B$11)),",","."),".",MID(1/2,2,1)),"")</f>
        <v/>
      </c>
      <c r="F562">
        <f>TRIM(INDEX(INDIRECT("'Выгрузка'!A562:Z562"),Настройки!$B$12)&amp;"")</f>
        <v/>
      </c>
      <c r="G562">
        <f>IF(F562="",0,IF(TRIM(INDEX(INDIRECT("'Выгрузка'!A562:Z562"),Настройки!$B$13)&amp;"")="",1,IFERROR(--SUBSTITUTE(SUBSTITUTE(TRIM(INDEX(INDIRECT("'Выгрузка'!A562:Z562"),Настройки!$B$13)),",","."),".",MID(1/2,2,1)),"")))</f>
        <v/>
      </c>
      <c r="H562">
        <f>IF(F562="",0,IF(COUNTIF(Настройки!$B$17:$B$26,F562)&gt;0,1,IF(COUNTIF(Настройки!$C$17:$C$26,F562)&gt;0,2,IF(COUNTIF(Настройки!$D$17:$D$26,F562)&gt;0,3,0))))</f>
        <v/>
      </c>
      <c r="I562">
        <f>IF(AND(ISNUMBER(A562),ISNUMBER(B562)),A562*1000+B562,"")</f>
        <v/>
      </c>
      <c r="J562">
        <f>IF(I562="","",IF(COUNTIF(I$2:I562,I562)=1,MAX(J$1:J561)+1,""))</f>
        <v/>
      </c>
    </row>
    <row r="563">
      <c r="A563">
        <f>IFERROR(--SUBSTITUTE(SUBSTITUTE(TRIM(INDEX(INDIRECT("'Выгрузка'!A563:Z563"),Настройки!$B$7)),",","."),".",MID(1/2,2,1)),"")</f>
        <v/>
      </c>
      <c r="B563">
        <f>IFERROR(--SUBSTITUTE(SUBSTITUTE(TRIM(INDEX(INDIRECT("'Выгрузка'!A563:Z563"),Настройки!$B$9)),",","."),".",MID(1/2,2,1)),"")</f>
        <v/>
      </c>
      <c r="C563">
        <f>TRIM(INDEX(INDIRECT("'Выгрузка'!A563:Z563"),Настройки!$B$8)&amp;"")</f>
        <v/>
      </c>
      <c r="D563">
        <f>IFERROR(--SUBSTITUTE(SUBSTITUTE(TRIM(INDEX(INDIRECT("'Выгрузка'!A563:Z563"),Настройки!$B$10)),",","."),".",MID(1/2,2,1)),"")</f>
        <v/>
      </c>
      <c r="E563">
        <f>IFERROR(--SUBSTITUTE(SUBSTITUTE(TRIM(INDEX(INDIRECT("'Выгрузка'!A563:Z563"),Настройки!$B$11)),",","."),".",MID(1/2,2,1)),"")</f>
        <v/>
      </c>
      <c r="F563">
        <f>TRIM(INDEX(INDIRECT("'Выгрузка'!A563:Z563"),Настройки!$B$12)&amp;"")</f>
        <v/>
      </c>
      <c r="G563">
        <f>IF(F563="",0,IF(TRIM(INDEX(INDIRECT("'Выгрузка'!A563:Z563"),Настройки!$B$13)&amp;"")="",1,IFERROR(--SUBSTITUTE(SUBSTITUTE(TRIM(INDEX(INDIRECT("'Выгрузка'!A563:Z563"),Настройки!$B$13)),",","."),".",MID(1/2,2,1)),"")))</f>
        <v/>
      </c>
      <c r="H563">
        <f>IF(F563="",0,IF(COUNTIF(Настройки!$B$17:$B$26,F563)&gt;0,1,IF(COUNTIF(Настройки!$C$17:$C$26,F563)&gt;0,2,IF(COUNTIF(Настройки!$D$17:$D$26,F563)&gt;0,3,0))))</f>
        <v/>
      </c>
      <c r="I563">
        <f>IF(AND(ISNUMBER(A563),ISNUMBER(B563)),A563*1000+B563,"")</f>
        <v/>
      </c>
      <c r="J563">
        <f>IF(I563="","",IF(COUNTIF(I$2:I563,I563)=1,MAX(J$1:J562)+1,""))</f>
        <v/>
      </c>
    </row>
    <row r="564">
      <c r="A564">
        <f>IFERROR(--SUBSTITUTE(SUBSTITUTE(TRIM(INDEX(INDIRECT("'Выгрузка'!A564:Z564"),Настройки!$B$7)),",","."),".",MID(1/2,2,1)),"")</f>
        <v/>
      </c>
      <c r="B564">
        <f>IFERROR(--SUBSTITUTE(SUBSTITUTE(TRIM(INDEX(INDIRECT("'Выгрузка'!A564:Z564"),Настройки!$B$9)),",","."),".",MID(1/2,2,1)),"")</f>
        <v/>
      </c>
      <c r="C564">
        <f>TRIM(INDEX(INDIRECT("'Выгрузка'!A564:Z564"),Настройки!$B$8)&amp;"")</f>
        <v/>
      </c>
      <c r="D564">
        <f>IFERROR(--SUBSTITUTE(SUBSTITUTE(TRIM(INDEX(INDIRECT("'Выгрузка'!A564:Z564"),Настройки!$B$10)),",","."),".",MID(1/2,2,1)),"")</f>
        <v/>
      </c>
      <c r="E564">
        <f>IFERROR(--SUBSTITUTE(SUBSTITUTE(TRIM(INDEX(INDIRECT("'Выгрузка'!A564:Z564"),Настройки!$B$11)),",","."),".",MID(1/2,2,1)),"")</f>
        <v/>
      </c>
      <c r="F564">
        <f>TRIM(INDEX(INDIRECT("'Выгрузка'!A564:Z564"),Настройки!$B$12)&amp;"")</f>
        <v/>
      </c>
      <c r="G564">
        <f>IF(F564="",0,IF(TRIM(INDEX(INDIRECT("'Выгрузка'!A564:Z564"),Настройки!$B$13)&amp;"")="",1,IFERROR(--SUBSTITUTE(SUBSTITUTE(TRIM(INDEX(INDIRECT("'Выгрузка'!A564:Z564"),Настройки!$B$13)),",","."),".",MID(1/2,2,1)),"")))</f>
        <v/>
      </c>
      <c r="H564">
        <f>IF(F564="",0,IF(COUNTIF(Настройки!$B$17:$B$26,F564)&gt;0,1,IF(COUNTIF(Настройки!$C$17:$C$26,F564)&gt;0,2,IF(COUNTIF(Настройки!$D$17:$D$26,F564)&gt;0,3,0))))</f>
        <v/>
      </c>
      <c r="I564">
        <f>IF(AND(ISNUMBER(A564),ISNUMBER(B564)),A564*1000+B564,"")</f>
        <v/>
      </c>
      <c r="J564">
        <f>IF(I564="","",IF(COUNTIF(I$2:I564,I564)=1,MAX(J$1:J563)+1,""))</f>
        <v/>
      </c>
    </row>
    <row r="565">
      <c r="A565">
        <f>IFERROR(--SUBSTITUTE(SUBSTITUTE(TRIM(INDEX(INDIRECT("'Выгрузка'!A565:Z565"),Настройки!$B$7)),",","."),".",MID(1/2,2,1)),"")</f>
        <v/>
      </c>
      <c r="B565">
        <f>IFERROR(--SUBSTITUTE(SUBSTITUTE(TRIM(INDEX(INDIRECT("'Выгрузка'!A565:Z565"),Настройки!$B$9)),",","."),".",MID(1/2,2,1)),"")</f>
        <v/>
      </c>
      <c r="C565">
        <f>TRIM(INDEX(INDIRECT("'Выгрузка'!A565:Z565"),Настройки!$B$8)&amp;"")</f>
        <v/>
      </c>
      <c r="D565">
        <f>IFERROR(--SUBSTITUTE(SUBSTITUTE(TRIM(INDEX(INDIRECT("'Выгрузка'!A565:Z565"),Настройки!$B$10)),",","."),".",MID(1/2,2,1)),"")</f>
        <v/>
      </c>
      <c r="E565">
        <f>IFERROR(--SUBSTITUTE(SUBSTITUTE(TRIM(INDEX(INDIRECT("'Выгрузка'!A565:Z565"),Настройки!$B$11)),",","."),".",MID(1/2,2,1)),"")</f>
        <v/>
      </c>
      <c r="F565">
        <f>TRIM(INDEX(INDIRECT("'Выгрузка'!A565:Z565"),Настройки!$B$12)&amp;"")</f>
        <v/>
      </c>
      <c r="G565">
        <f>IF(F565="",0,IF(TRIM(INDEX(INDIRECT("'Выгрузка'!A565:Z565"),Настройки!$B$13)&amp;"")="",1,IFERROR(--SUBSTITUTE(SUBSTITUTE(TRIM(INDEX(INDIRECT("'Выгрузка'!A565:Z565"),Настройки!$B$13)),",","."),".",MID(1/2,2,1)),"")))</f>
        <v/>
      </c>
      <c r="H565">
        <f>IF(F565="",0,IF(COUNTIF(Настройки!$B$17:$B$26,F565)&gt;0,1,IF(COUNTIF(Настройки!$C$17:$C$26,F565)&gt;0,2,IF(COUNTIF(Настройки!$D$17:$D$26,F565)&gt;0,3,0))))</f>
        <v/>
      </c>
      <c r="I565">
        <f>IF(AND(ISNUMBER(A565),ISNUMBER(B565)),A565*1000+B565,"")</f>
        <v/>
      </c>
      <c r="J565">
        <f>IF(I565="","",IF(COUNTIF(I$2:I565,I565)=1,MAX(J$1:J564)+1,""))</f>
        <v/>
      </c>
    </row>
    <row r="566">
      <c r="A566">
        <f>IFERROR(--SUBSTITUTE(SUBSTITUTE(TRIM(INDEX(INDIRECT("'Выгрузка'!A566:Z566"),Настройки!$B$7)),",","."),".",MID(1/2,2,1)),"")</f>
        <v/>
      </c>
      <c r="B566">
        <f>IFERROR(--SUBSTITUTE(SUBSTITUTE(TRIM(INDEX(INDIRECT("'Выгрузка'!A566:Z566"),Настройки!$B$9)),",","."),".",MID(1/2,2,1)),"")</f>
        <v/>
      </c>
      <c r="C566">
        <f>TRIM(INDEX(INDIRECT("'Выгрузка'!A566:Z566"),Настройки!$B$8)&amp;"")</f>
        <v/>
      </c>
      <c r="D566">
        <f>IFERROR(--SUBSTITUTE(SUBSTITUTE(TRIM(INDEX(INDIRECT("'Выгрузка'!A566:Z566"),Настройки!$B$10)),",","."),".",MID(1/2,2,1)),"")</f>
        <v/>
      </c>
      <c r="E566">
        <f>IFERROR(--SUBSTITUTE(SUBSTITUTE(TRIM(INDEX(INDIRECT("'Выгрузка'!A566:Z566"),Настройки!$B$11)),",","."),".",MID(1/2,2,1)),"")</f>
        <v/>
      </c>
      <c r="F566">
        <f>TRIM(INDEX(INDIRECT("'Выгрузка'!A566:Z566"),Настройки!$B$12)&amp;"")</f>
        <v/>
      </c>
      <c r="G566">
        <f>IF(F566="",0,IF(TRIM(INDEX(INDIRECT("'Выгрузка'!A566:Z566"),Настройки!$B$13)&amp;"")="",1,IFERROR(--SUBSTITUTE(SUBSTITUTE(TRIM(INDEX(INDIRECT("'Выгрузка'!A566:Z566"),Настройки!$B$13)),",","."),".",MID(1/2,2,1)),"")))</f>
        <v/>
      </c>
      <c r="H566">
        <f>IF(F566="",0,IF(COUNTIF(Настройки!$B$17:$B$26,F566)&gt;0,1,IF(COUNTIF(Настройки!$C$17:$C$26,F566)&gt;0,2,IF(COUNTIF(Настройки!$D$17:$D$26,F566)&gt;0,3,0))))</f>
        <v/>
      </c>
      <c r="I566">
        <f>IF(AND(ISNUMBER(A566),ISNUMBER(B566)),A566*1000+B566,"")</f>
        <v/>
      </c>
      <c r="J566">
        <f>IF(I566="","",IF(COUNTIF(I$2:I566,I566)=1,MAX(J$1:J565)+1,""))</f>
        <v/>
      </c>
    </row>
    <row r="567">
      <c r="A567">
        <f>IFERROR(--SUBSTITUTE(SUBSTITUTE(TRIM(INDEX(INDIRECT("'Выгрузка'!A567:Z567"),Настройки!$B$7)),",","."),".",MID(1/2,2,1)),"")</f>
        <v/>
      </c>
      <c r="B567">
        <f>IFERROR(--SUBSTITUTE(SUBSTITUTE(TRIM(INDEX(INDIRECT("'Выгрузка'!A567:Z567"),Настройки!$B$9)),",","."),".",MID(1/2,2,1)),"")</f>
        <v/>
      </c>
      <c r="C567">
        <f>TRIM(INDEX(INDIRECT("'Выгрузка'!A567:Z567"),Настройки!$B$8)&amp;"")</f>
        <v/>
      </c>
      <c r="D567">
        <f>IFERROR(--SUBSTITUTE(SUBSTITUTE(TRIM(INDEX(INDIRECT("'Выгрузка'!A567:Z567"),Настройки!$B$10)),",","."),".",MID(1/2,2,1)),"")</f>
        <v/>
      </c>
      <c r="E567">
        <f>IFERROR(--SUBSTITUTE(SUBSTITUTE(TRIM(INDEX(INDIRECT("'Выгрузка'!A567:Z567"),Настройки!$B$11)),",","."),".",MID(1/2,2,1)),"")</f>
        <v/>
      </c>
      <c r="F567">
        <f>TRIM(INDEX(INDIRECT("'Выгрузка'!A567:Z567"),Настройки!$B$12)&amp;"")</f>
        <v/>
      </c>
      <c r="G567">
        <f>IF(F567="",0,IF(TRIM(INDEX(INDIRECT("'Выгрузка'!A567:Z567"),Настройки!$B$13)&amp;"")="",1,IFERROR(--SUBSTITUTE(SUBSTITUTE(TRIM(INDEX(INDIRECT("'Выгрузка'!A567:Z567"),Настройки!$B$13)),",","."),".",MID(1/2,2,1)),"")))</f>
        <v/>
      </c>
      <c r="H567">
        <f>IF(F567="",0,IF(COUNTIF(Настройки!$B$17:$B$26,F567)&gt;0,1,IF(COUNTIF(Настройки!$C$17:$C$26,F567)&gt;0,2,IF(COUNTIF(Настройки!$D$17:$D$26,F567)&gt;0,3,0))))</f>
        <v/>
      </c>
      <c r="I567">
        <f>IF(AND(ISNUMBER(A567),ISNUMBER(B567)),A567*1000+B567,"")</f>
        <v/>
      </c>
      <c r="J567">
        <f>IF(I567="","",IF(COUNTIF(I$2:I567,I567)=1,MAX(J$1:J566)+1,""))</f>
        <v/>
      </c>
    </row>
    <row r="568">
      <c r="A568">
        <f>IFERROR(--SUBSTITUTE(SUBSTITUTE(TRIM(INDEX(INDIRECT("'Выгрузка'!A568:Z568"),Настройки!$B$7)),",","."),".",MID(1/2,2,1)),"")</f>
        <v/>
      </c>
      <c r="B568">
        <f>IFERROR(--SUBSTITUTE(SUBSTITUTE(TRIM(INDEX(INDIRECT("'Выгрузка'!A568:Z568"),Настройки!$B$9)),",","."),".",MID(1/2,2,1)),"")</f>
        <v/>
      </c>
      <c r="C568">
        <f>TRIM(INDEX(INDIRECT("'Выгрузка'!A568:Z568"),Настройки!$B$8)&amp;"")</f>
        <v/>
      </c>
      <c r="D568">
        <f>IFERROR(--SUBSTITUTE(SUBSTITUTE(TRIM(INDEX(INDIRECT("'Выгрузка'!A568:Z568"),Настройки!$B$10)),",","."),".",MID(1/2,2,1)),"")</f>
        <v/>
      </c>
      <c r="E568">
        <f>IFERROR(--SUBSTITUTE(SUBSTITUTE(TRIM(INDEX(INDIRECT("'Выгрузка'!A568:Z568"),Настройки!$B$11)),",","."),".",MID(1/2,2,1)),"")</f>
        <v/>
      </c>
      <c r="F568">
        <f>TRIM(INDEX(INDIRECT("'Выгрузка'!A568:Z568"),Настройки!$B$12)&amp;"")</f>
        <v/>
      </c>
      <c r="G568">
        <f>IF(F568="",0,IF(TRIM(INDEX(INDIRECT("'Выгрузка'!A568:Z568"),Настройки!$B$13)&amp;"")="",1,IFERROR(--SUBSTITUTE(SUBSTITUTE(TRIM(INDEX(INDIRECT("'Выгрузка'!A568:Z568"),Настройки!$B$13)),",","."),".",MID(1/2,2,1)),"")))</f>
        <v/>
      </c>
      <c r="H568">
        <f>IF(F568="",0,IF(COUNTIF(Настройки!$B$17:$B$26,F568)&gt;0,1,IF(COUNTIF(Настройки!$C$17:$C$26,F568)&gt;0,2,IF(COUNTIF(Настройки!$D$17:$D$26,F568)&gt;0,3,0))))</f>
        <v/>
      </c>
      <c r="I568">
        <f>IF(AND(ISNUMBER(A568),ISNUMBER(B568)),A568*1000+B568,"")</f>
        <v/>
      </c>
      <c r="J568">
        <f>IF(I568="","",IF(COUNTIF(I$2:I568,I568)=1,MAX(J$1:J567)+1,""))</f>
        <v/>
      </c>
    </row>
    <row r="569">
      <c r="A569">
        <f>IFERROR(--SUBSTITUTE(SUBSTITUTE(TRIM(INDEX(INDIRECT("'Выгрузка'!A569:Z569"),Настройки!$B$7)),",","."),".",MID(1/2,2,1)),"")</f>
        <v/>
      </c>
      <c r="B569">
        <f>IFERROR(--SUBSTITUTE(SUBSTITUTE(TRIM(INDEX(INDIRECT("'Выгрузка'!A569:Z569"),Настройки!$B$9)),",","."),".",MID(1/2,2,1)),"")</f>
        <v/>
      </c>
      <c r="C569">
        <f>TRIM(INDEX(INDIRECT("'Выгрузка'!A569:Z569"),Настройки!$B$8)&amp;"")</f>
        <v/>
      </c>
      <c r="D569">
        <f>IFERROR(--SUBSTITUTE(SUBSTITUTE(TRIM(INDEX(INDIRECT("'Выгрузка'!A569:Z569"),Настройки!$B$10)),",","."),".",MID(1/2,2,1)),"")</f>
        <v/>
      </c>
      <c r="E569">
        <f>IFERROR(--SUBSTITUTE(SUBSTITUTE(TRIM(INDEX(INDIRECT("'Выгрузка'!A569:Z569"),Настройки!$B$11)),",","."),".",MID(1/2,2,1)),"")</f>
        <v/>
      </c>
      <c r="F569">
        <f>TRIM(INDEX(INDIRECT("'Выгрузка'!A569:Z569"),Настройки!$B$12)&amp;"")</f>
        <v/>
      </c>
      <c r="G569">
        <f>IF(F569="",0,IF(TRIM(INDEX(INDIRECT("'Выгрузка'!A569:Z569"),Настройки!$B$13)&amp;"")="",1,IFERROR(--SUBSTITUTE(SUBSTITUTE(TRIM(INDEX(INDIRECT("'Выгрузка'!A569:Z569"),Настройки!$B$13)),",","."),".",MID(1/2,2,1)),"")))</f>
        <v/>
      </c>
      <c r="H569">
        <f>IF(F569="",0,IF(COUNTIF(Настройки!$B$17:$B$26,F569)&gt;0,1,IF(COUNTIF(Настройки!$C$17:$C$26,F569)&gt;0,2,IF(COUNTIF(Настройки!$D$17:$D$26,F569)&gt;0,3,0))))</f>
        <v/>
      </c>
      <c r="I569">
        <f>IF(AND(ISNUMBER(A569),ISNUMBER(B569)),A569*1000+B569,"")</f>
        <v/>
      </c>
      <c r="J569">
        <f>IF(I569="","",IF(COUNTIF(I$2:I569,I569)=1,MAX(J$1:J568)+1,""))</f>
        <v/>
      </c>
    </row>
    <row r="570">
      <c r="A570">
        <f>IFERROR(--SUBSTITUTE(SUBSTITUTE(TRIM(INDEX(INDIRECT("'Выгрузка'!A570:Z570"),Настройки!$B$7)),",","."),".",MID(1/2,2,1)),"")</f>
        <v/>
      </c>
      <c r="B570">
        <f>IFERROR(--SUBSTITUTE(SUBSTITUTE(TRIM(INDEX(INDIRECT("'Выгрузка'!A570:Z570"),Настройки!$B$9)),",","."),".",MID(1/2,2,1)),"")</f>
        <v/>
      </c>
      <c r="C570">
        <f>TRIM(INDEX(INDIRECT("'Выгрузка'!A570:Z570"),Настройки!$B$8)&amp;"")</f>
        <v/>
      </c>
      <c r="D570">
        <f>IFERROR(--SUBSTITUTE(SUBSTITUTE(TRIM(INDEX(INDIRECT("'Выгрузка'!A570:Z570"),Настройки!$B$10)),",","."),".",MID(1/2,2,1)),"")</f>
        <v/>
      </c>
      <c r="E570">
        <f>IFERROR(--SUBSTITUTE(SUBSTITUTE(TRIM(INDEX(INDIRECT("'Выгрузка'!A570:Z570"),Настройки!$B$11)),",","."),".",MID(1/2,2,1)),"")</f>
        <v/>
      </c>
      <c r="F570">
        <f>TRIM(INDEX(INDIRECT("'Выгрузка'!A570:Z570"),Настройки!$B$12)&amp;"")</f>
        <v/>
      </c>
      <c r="G570">
        <f>IF(F570="",0,IF(TRIM(INDEX(INDIRECT("'Выгрузка'!A570:Z570"),Настройки!$B$13)&amp;"")="",1,IFERROR(--SUBSTITUTE(SUBSTITUTE(TRIM(INDEX(INDIRECT("'Выгрузка'!A570:Z570"),Настройки!$B$13)),",","."),".",MID(1/2,2,1)),"")))</f>
        <v/>
      </c>
      <c r="H570">
        <f>IF(F570="",0,IF(COUNTIF(Настройки!$B$17:$B$26,F570)&gt;0,1,IF(COUNTIF(Настройки!$C$17:$C$26,F570)&gt;0,2,IF(COUNTIF(Настройки!$D$17:$D$26,F570)&gt;0,3,0))))</f>
        <v/>
      </c>
      <c r="I570">
        <f>IF(AND(ISNUMBER(A570),ISNUMBER(B570)),A570*1000+B570,"")</f>
        <v/>
      </c>
      <c r="J570">
        <f>IF(I570="","",IF(COUNTIF(I$2:I570,I570)=1,MAX(J$1:J569)+1,""))</f>
        <v/>
      </c>
    </row>
    <row r="571">
      <c r="A571">
        <f>IFERROR(--SUBSTITUTE(SUBSTITUTE(TRIM(INDEX(INDIRECT("'Выгрузка'!A571:Z571"),Настройки!$B$7)),",","."),".",MID(1/2,2,1)),"")</f>
        <v/>
      </c>
      <c r="B571">
        <f>IFERROR(--SUBSTITUTE(SUBSTITUTE(TRIM(INDEX(INDIRECT("'Выгрузка'!A571:Z571"),Настройки!$B$9)),",","."),".",MID(1/2,2,1)),"")</f>
        <v/>
      </c>
      <c r="C571">
        <f>TRIM(INDEX(INDIRECT("'Выгрузка'!A571:Z571"),Настройки!$B$8)&amp;"")</f>
        <v/>
      </c>
      <c r="D571">
        <f>IFERROR(--SUBSTITUTE(SUBSTITUTE(TRIM(INDEX(INDIRECT("'Выгрузка'!A571:Z571"),Настройки!$B$10)),",","."),".",MID(1/2,2,1)),"")</f>
        <v/>
      </c>
      <c r="E571">
        <f>IFERROR(--SUBSTITUTE(SUBSTITUTE(TRIM(INDEX(INDIRECT("'Выгрузка'!A571:Z571"),Настройки!$B$11)),",","."),".",MID(1/2,2,1)),"")</f>
        <v/>
      </c>
      <c r="F571">
        <f>TRIM(INDEX(INDIRECT("'Выгрузка'!A571:Z571"),Настройки!$B$12)&amp;"")</f>
        <v/>
      </c>
      <c r="G571">
        <f>IF(F571="",0,IF(TRIM(INDEX(INDIRECT("'Выгрузка'!A571:Z571"),Настройки!$B$13)&amp;"")="",1,IFERROR(--SUBSTITUTE(SUBSTITUTE(TRIM(INDEX(INDIRECT("'Выгрузка'!A571:Z571"),Настройки!$B$13)),",","."),".",MID(1/2,2,1)),"")))</f>
        <v/>
      </c>
      <c r="H571">
        <f>IF(F571="",0,IF(COUNTIF(Настройки!$B$17:$B$26,F571)&gt;0,1,IF(COUNTIF(Настройки!$C$17:$C$26,F571)&gt;0,2,IF(COUNTIF(Настройки!$D$17:$D$26,F571)&gt;0,3,0))))</f>
        <v/>
      </c>
      <c r="I571">
        <f>IF(AND(ISNUMBER(A571),ISNUMBER(B571)),A571*1000+B571,"")</f>
        <v/>
      </c>
      <c r="J571">
        <f>IF(I571="","",IF(COUNTIF(I$2:I571,I571)=1,MAX(J$1:J570)+1,""))</f>
        <v/>
      </c>
    </row>
    <row r="572">
      <c r="A572">
        <f>IFERROR(--SUBSTITUTE(SUBSTITUTE(TRIM(INDEX(INDIRECT("'Выгрузка'!A572:Z572"),Настройки!$B$7)),",","."),".",MID(1/2,2,1)),"")</f>
        <v/>
      </c>
      <c r="B572">
        <f>IFERROR(--SUBSTITUTE(SUBSTITUTE(TRIM(INDEX(INDIRECT("'Выгрузка'!A572:Z572"),Настройки!$B$9)),",","."),".",MID(1/2,2,1)),"")</f>
        <v/>
      </c>
      <c r="C572">
        <f>TRIM(INDEX(INDIRECT("'Выгрузка'!A572:Z572"),Настройки!$B$8)&amp;"")</f>
        <v/>
      </c>
      <c r="D572">
        <f>IFERROR(--SUBSTITUTE(SUBSTITUTE(TRIM(INDEX(INDIRECT("'Выгрузка'!A572:Z572"),Настройки!$B$10)),",","."),".",MID(1/2,2,1)),"")</f>
        <v/>
      </c>
      <c r="E572">
        <f>IFERROR(--SUBSTITUTE(SUBSTITUTE(TRIM(INDEX(INDIRECT("'Выгрузка'!A572:Z572"),Настройки!$B$11)),",","."),".",MID(1/2,2,1)),"")</f>
        <v/>
      </c>
      <c r="F572">
        <f>TRIM(INDEX(INDIRECT("'Выгрузка'!A572:Z572"),Настройки!$B$12)&amp;"")</f>
        <v/>
      </c>
      <c r="G572">
        <f>IF(F572="",0,IF(TRIM(INDEX(INDIRECT("'Выгрузка'!A572:Z572"),Настройки!$B$13)&amp;"")="",1,IFERROR(--SUBSTITUTE(SUBSTITUTE(TRIM(INDEX(INDIRECT("'Выгрузка'!A572:Z572"),Настройки!$B$13)),",","."),".",MID(1/2,2,1)),"")))</f>
        <v/>
      </c>
      <c r="H572">
        <f>IF(F572="",0,IF(COUNTIF(Настройки!$B$17:$B$26,F572)&gt;0,1,IF(COUNTIF(Настройки!$C$17:$C$26,F572)&gt;0,2,IF(COUNTIF(Настройки!$D$17:$D$26,F572)&gt;0,3,0))))</f>
        <v/>
      </c>
      <c r="I572">
        <f>IF(AND(ISNUMBER(A572),ISNUMBER(B572)),A572*1000+B572,"")</f>
        <v/>
      </c>
      <c r="J572">
        <f>IF(I572="","",IF(COUNTIF(I$2:I572,I572)=1,MAX(J$1:J571)+1,""))</f>
        <v/>
      </c>
    </row>
    <row r="573">
      <c r="A573">
        <f>IFERROR(--SUBSTITUTE(SUBSTITUTE(TRIM(INDEX(INDIRECT("'Выгрузка'!A573:Z573"),Настройки!$B$7)),",","."),".",MID(1/2,2,1)),"")</f>
        <v/>
      </c>
      <c r="B573">
        <f>IFERROR(--SUBSTITUTE(SUBSTITUTE(TRIM(INDEX(INDIRECT("'Выгрузка'!A573:Z573"),Настройки!$B$9)),",","."),".",MID(1/2,2,1)),"")</f>
        <v/>
      </c>
      <c r="C573">
        <f>TRIM(INDEX(INDIRECT("'Выгрузка'!A573:Z573"),Настройки!$B$8)&amp;"")</f>
        <v/>
      </c>
      <c r="D573">
        <f>IFERROR(--SUBSTITUTE(SUBSTITUTE(TRIM(INDEX(INDIRECT("'Выгрузка'!A573:Z573"),Настройки!$B$10)),",","."),".",MID(1/2,2,1)),"")</f>
        <v/>
      </c>
      <c r="E573">
        <f>IFERROR(--SUBSTITUTE(SUBSTITUTE(TRIM(INDEX(INDIRECT("'Выгрузка'!A573:Z573"),Настройки!$B$11)),",","."),".",MID(1/2,2,1)),"")</f>
        <v/>
      </c>
      <c r="F573">
        <f>TRIM(INDEX(INDIRECT("'Выгрузка'!A573:Z573"),Настройки!$B$12)&amp;"")</f>
        <v/>
      </c>
      <c r="G573">
        <f>IF(F573="",0,IF(TRIM(INDEX(INDIRECT("'Выгрузка'!A573:Z573"),Настройки!$B$13)&amp;"")="",1,IFERROR(--SUBSTITUTE(SUBSTITUTE(TRIM(INDEX(INDIRECT("'Выгрузка'!A573:Z573"),Настройки!$B$13)),",","."),".",MID(1/2,2,1)),"")))</f>
        <v/>
      </c>
      <c r="H573">
        <f>IF(F573="",0,IF(COUNTIF(Настройки!$B$17:$B$26,F573)&gt;0,1,IF(COUNTIF(Настройки!$C$17:$C$26,F573)&gt;0,2,IF(COUNTIF(Настройки!$D$17:$D$26,F573)&gt;0,3,0))))</f>
        <v/>
      </c>
      <c r="I573">
        <f>IF(AND(ISNUMBER(A573),ISNUMBER(B573)),A573*1000+B573,"")</f>
        <v/>
      </c>
      <c r="J573">
        <f>IF(I573="","",IF(COUNTIF(I$2:I573,I573)=1,MAX(J$1:J572)+1,""))</f>
        <v/>
      </c>
    </row>
    <row r="574">
      <c r="A574">
        <f>IFERROR(--SUBSTITUTE(SUBSTITUTE(TRIM(INDEX(INDIRECT("'Выгрузка'!A574:Z574"),Настройки!$B$7)),",","."),".",MID(1/2,2,1)),"")</f>
        <v/>
      </c>
      <c r="B574">
        <f>IFERROR(--SUBSTITUTE(SUBSTITUTE(TRIM(INDEX(INDIRECT("'Выгрузка'!A574:Z574"),Настройки!$B$9)),",","."),".",MID(1/2,2,1)),"")</f>
        <v/>
      </c>
      <c r="C574">
        <f>TRIM(INDEX(INDIRECT("'Выгрузка'!A574:Z574"),Настройки!$B$8)&amp;"")</f>
        <v/>
      </c>
      <c r="D574">
        <f>IFERROR(--SUBSTITUTE(SUBSTITUTE(TRIM(INDEX(INDIRECT("'Выгрузка'!A574:Z574"),Настройки!$B$10)),",","."),".",MID(1/2,2,1)),"")</f>
        <v/>
      </c>
      <c r="E574">
        <f>IFERROR(--SUBSTITUTE(SUBSTITUTE(TRIM(INDEX(INDIRECT("'Выгрузка'!A574:Z574"),Настройки!$B$11)),",","."),".",MID(1/2,2,1)),"")</f>
        <v/>
      </c>
      <c r="F574">
        <f>TRIM(INDEX(INDIRECT("'Выгрузка'!A574:Z574"),Настройки!$B$12)&amp;"")</f>
        <v/>
      </c>
      <c r="G574">
        <f>IF(F574="",0,IF(TRIM(INDEX(INDIRECT("'Выгрузка'!A574:Z574"),Настройки!$B$13)&amp;"")="",1,IFERROR(--SUBSTITUTE(SUBSTITUTE(TRIM(INDEX(INDIRECT("'Выгрузка'!A574:Z574"),Настройки!$B$13)),",","."),".",MID(1/2,2,1)),"")))</f>
        <v/>
      </c>
      <c r="H574">
        <f>IF(F574="",0,IF(COUNTIF(Настройки!$B$17:$B$26,F574)&gt;0,1,IF(COUNTIF(Настройки!$C$17:$C$26,F574)&gt;0,2,IF(COUNTIF(Настройки!$D$17:$D$26,F574)&gt;0,3,0))))</f>
        <v/>
      </c>
      <c r="I574">
        <f>IF(AND(ISNUMBER(A574),ISNUMBER(B574)),A574*1000+B574,"")</f>
        <v/>
      </c>
      <c r="J574">
        <f>IF(I574="","",IF(COUNTIF(I$2:I574,I574)=1,MAX(J$1:J573)+1,""))</f>
        <v/>
      </c>
    </row>
    <row r="575">
      <c r="A575">
        <f>IFERROR(--SUBSTITUTE(SUBSTITUTE(TRIM(INDEX(INDIRECT("'Выгрузка'!A575:Z575"),Настройки!$B$7)),",","."),".",MID(1/2,2,1)),"")</f>
        <v/>
      </c>
      <c r="B575">
        <f>IFERROR(--SUBSTITUTE(SUBSTITUTE(TRIM(INDEX(INDIRECT("'Выгрузка'!A575:Z575"),Настройки!$B$9)),",","."),".",MID(1/2,2,1)),"")</f>
        <v/>
      </c>
      <c r="C575">
        <f>TRIM(INDEX(INDIRECT("'Выгрузка'!A575:Z575"),Настройки!$B$8)&amp;"")</f>
        <v/>
      </c>
      <c r="D575">
        <f>IFERROR(--SUBSTITUTE(SUBSTITUTE(TRIM(INDEX(INDIRECT("'Выгрузка'!A575:Z575"),Настройки!$B$10)),",","."),".",MID(1/2,2,1)),"")</f>
        <v/>
      </c>
      <c r="E575">
        <f>IFERROR(--SUBSTITUTE(SUBSTITUTE(TRIM(INDEX(INDIRECT("'Выгрузка'!A575:Z575"),Настройки!$B$11)),",","."),".",MID(1/2,2,1)),"")</f>
        <v/>
      </c>
      <c r="F575">
        <f>TRIM(INDEX(INDIRECT("'Выгрузка'!A575:Z575"),Настройки!$B$12)&amp;"")</f>
        <v/>
      </c>
      <c r="G575">
        <f>IF(F575="",0,IF(TRIM(INDEX(INDIRECT("'Выгрузка'!A575:Z575"),Настройки!$B$13)&amp;"")="",1,IFERROR(--SUBSTITUTE(SUBSTITUTE(TRIM(INDEX(INDIRECT("'Выгрузка'!A575:Z575"),Настройки!$B$13)),",","."),".",MID(1/2,2,1)),"")))</f>
        <v/>
      </c>
      <c r="H575">
        <f>IF(F575="",0,IF(COUNTIF(Настройки!$B$17:$B$26,F575)&gt;0,1,IF(COUNTIF(Настройки!$C$17:$C$26,F575)&gt;0,2,IF(COUNTIF(Настройки!$D$17:$D$26,F575)&gt;0,3,0))))</f>
        <v/>
      </c>
      <c r="I575">
        <f>IF(AND(ISNUMBER(A575),ISNUMBER(B575)),A575*1000+B575,"")</f>
        <v/>
      </c>
      <c r="J575">
        <f>IF(I575="","",IF(COUNTIF(I$2:I575,I575)=1,MAX(J$1:J574)+1,""))</f>
        <v/>
      </c>
    </row>
    <row r="576">
      <c r="A576">
        <f>IFERROR(--SUBSTITUTE(SUBSTITUTE(TRIM(INDEX(INDIRECT("'Выгрузка'!A576:Z576"),Настройки!$B$7)),",","."),".",MID(1/2,2,1)),"")</f>
        <v/>
      </c>
      <c r="B576">
        <f>IFERROR(--SUBSTITUTE(SUBSTITUTE(TRIM(INDEX(INDIRECT("'Выгрузка'!A576:Z576"),Настройки!$B$9)),",","."),".",MID(1/2,2,1)),"")</f>
        <v/>
      </c>
      <c r="C576">
        <f>TRIM(INDEX(INDIRECT("'Выгрузка'!A576:Z576"),Настройки!$B$8)&amp;"")</f>
        <v/>
      </c>
      <c r="D576">
        <f>IFERROR(--SUBSTITUTE(SUBSTITUTE(TRIM(INDEX(INDIRECT("'Выгрузка'!A576:Z576"),Настройки!$B$10)),",","."),".",MID(1/2,2,1)),"")</f>
        <v/>
      </c>
      <c r="E576">
        <f>IFERROR(--SUBSTITUTE(SUBSTITUTE(TRIM(INDEX(INDIRECT("'Выгрузка'!A576:Z576"),Настройки!$B$11)),",","."),".",MID(1/2,2,1)),"")</f>
        <v/>
      </c>
      <c r="F576">
        <f>TRIM(INDEX(INDIRECT("'Выгрузка'!A576:Z576"),Настройки!$B$12)&amp;"")</f>
        <v/>
      </c>
      <c r="G576">
        <f>IF(F576="",0,IF(TRIM(INDEX(INDIRECT("'Выгрузка'!A576:Z576"),Настройки!$B$13)&amp;"")="",1,IFERROR(--SUBSTITUTE(SUBSTITUTE(TRIM(INDEX(INDIRECT("'Выгрузка'!A576:Z576"),Настройки!$B$13)),",","."),".",MID(1/2,2,1)),"")))</f>
        <v/>
      </c>
      <c r="H576">
        <f>IF(F576="",0,IF(COUNTIF(Настройки!$B$17:$B$26,F576)&gt;0,1,IF(COUNTIF(Настройки!$C$17:$C$26,F576)&gt;0,2,IF(COUNTIF(Настройки!$D$17:$D$26,F576)&gt;0,3,0))))</f>
        <v/>
      </c>
      <c r="I576">
        <f>IF(AND(ISNUMBER(A576),ISNUMBER(B576)),A576*1000+B576,"")</f>
        <v/>
      </c>
      <c r="J576">
        <f>IF(I576="","",IF(COUNTIF(I$2:I576,I576)=1,MAX(J$1:J575)+1,""))</f>
        <v/>
      </c>
    </row>
    <row r="577">
      <c r="A577">
        <f>IFERROR(--SUBSTITUTE(SUBSTITUTE(TRIM(INDEX(INDIRECT("'Выгрузка'!A577:Z577"),Настройки!$B$7)),",","."),".",MID(1/2,2,1)),"")</f>
        <v/>
      </c>
      <c r="B577">
        <f>IFERROR(--SUBSTITUTE(SUBSTITUTE(TRIM(INDEX(INDIRECT("'Выгрузка'!A577:Z577"),Настройки!$B$9)),",","."),".",MID(1/2,2,1)),"")</f>
        <v/>
      </c>
      <c r="C577">
        <f>TRIM(INDEX(INDIRECT("'Выгрузка'!A577:Z577"),Настройки!$B$8)&amp;"")</f>
        <v/>
      </c>
      <c r="D577">
        <f>IFERROR(--SUBSTITUTE(SUBSTITUTE(TRIM(INDEX(INDIRECT("'Выгрузка'!A577:Z577"),Настройки!$B$10)),",","."),".",MID(1/2,2,1)),"")</f>
        <v/>
      </c>
      <c r="E577">
        <f>IFERROR(--SUBSTITUTE(SUBSTITUTE(TRIM(INDEX(INDIRECT("'Выгрузка'!A577:Z577"),Настройки!$B$11)),",","."),".",MID(1/2,2,1)),"")</f>
        <v/>
      </c>
      <c r="F577">
        <f>TRIM(INDEX(INDIRECT("'Выгрузка'!A577:Z577"),Настройки!$B$12)&amp;"")</f>
        <v/>
      </c>
      <c r="G577">
        <f>IF(F577="",0,IF(TRIM(INDEX(INDIRECT("'Выгрузка'!A577:Z577"),Настройки!$B$13)&amp;"")="",1,IFERROR(--SUBSTITUTE(SUBSTITUTE(TRIM(INDEX(INDIRECT("'Выгрузка'!A577:Z577"),Настройки!$B$13)),",","."),".",MID(1/2,2,1)),"")))</f>
        <v/>
      </c>
      <c r="H577">
        <f>IF(F577="",0,IF(COUNTIF(Настройки!$B$17:$B$26,F577)&gt;0,1,IF(COUNTIF(Настройки!$C$17:$C$26,F577)&gt;0,2,IF(COUNTIF(Настройки!$D$17:$D$26,F577)&gt;0,3,0))))</f>
        <v/>
      </c>
      <c r="I577">
        <f>IF(AND(ISNUMBER(A577),ISNUMBER(B577)),A577*1000+B577,"")</f>
        <v/>
      </c>
      <c r="J577">
        <f>IF(I577="","",IF(COUNTIF(I$2:I577,I577)=1,MAX(J$1:J576)+1,""))</f>
        <v/>
      </c>
    </row>
    <row r="578">
      <c r="A578">
        <f>IFERROR(--SUBSTITUTE(SUBSTITUTE(TRIM(INDEX(INDIRECT("'Выгрузка'!A578:Z578"),Настройки!$B$7)),",","."),".",MID(1/2,2,1)),"")</f>
        <v/>
      </c>
      <c r="B578">
        <f>IFERROR(--SUBSTITUTE(SUBSTITUTE(TRIM(INDEX(INDIRECT("'Выгрузка'!A578:Z578"),Настройки!$B$9)),",","."),".",MID(1/2,2,1)),"")</f>
        <v/>
      </c>
      <c r="C578">
        <f>TRIM(INDEX(INDIRECT("'Выгрузка'!A578:Z578"),Настройки!$B$8)&amp;"")</f>
        <v/>
      </c>
      <c r="D578">
        <f>IFERROR(--SUBSTITUTE(SUBSTITUTE(TRIM(INDEX(INDIRECT("'Выгрузка'!A578:Z578"),Настройки!$B$10)),",","."),".",MID(1/2,2,1)),"")</f>
        <v/>
      </c>
      <c r="E578">
        <f>IFERROR(--SUBSTITUTE(SUBSTITUTE(TRIM(INDEX(INDIRECT("'Выгрузка'!A578:Z578"),Настройки!$B$11)),",","."),".",MID(1/2,2,1)),"")</f>
        <v/>
      </c>
      <c r="F578">
        <f>TRIM(INDEX(INDIRECT("'Выгрузка'!A578:Z578"),Настройки!$B$12)&amp;"")</f>
        <v/>
      </c>
      <c r="G578">
        <f>IF(F578="",0,IF(TRIM(INDEX(INDIRECT("'Выгрузка'!A578:Z578"),Настройки!$B$13)&amp;"")="",1,IFERROR(--SUBSTITUTE(SUBSTITUTE(TRIM(INDEX(INDIRECT("'Выгрузка'!A578:Z578"),Настройки!$B$13)),",","."),".",MID(1/2,2,1)),"")))</f>
        <v/>
      </c>
      <c r="H578">
        <f>IF(F578="",0,IF(COUNTIF(Настройки!$B$17:$B$26,F578)&gt;0,1,IF(COUNTIF(Настройки!$C$17:$C$26,F578)&gt;0,2,IF(COUNTIF(Настройки!$D$17:$D$26,F578)&gt;0,3,0))))</f>
        <v/>
      </c>
      <c r="I578">
        <f>IF(AND(ISNUMBER(A578),ISNUMBER(B578)),A578*1000+B578,"")</f>
        <v/>
      </c>
      <c r="J578">
        <f>IF(I578="","",IF(COUNTIF(I$2:I578,I578)=1,MAX(J$1:J577)+1,""))</f>
        <v/>
      </c>
    </row>
    <row r="579">
      <c r="A579">
        <f>IFERROR(--SUBSTITUTE(SUBSTITUTE(TRIM(INDEX(INDIRECT("'Выгрузка'!A579:Z579"),Настройки!$B$7)),",","."),".",MID(1/2,2,1)),"")</f>
        <v/>
      </c>
      <c r="B579">
        <f>IFERROR(--SUBSTITUTE(SUBSTITUTE(TRIM(INDEX(INDIRECT("'Выгрузка'!A579:Z579"),Настройки!$B$9)),",","."),".",MID(1/2,2,1)),"")</f>
        <v/>
      </c>
      <c r="C579">
        <f>TRIM(INDEX(INDIRECT("'Выгрузка'!A579:Z579"),Настройки!$B$8)&amp;"")</f>
        <v/>
      </c>
      <c r="D579">
        <f>IFERROR(--SUBSTITUTE(SUBSTITUTE(TRIM(INDEX(INDIRECT("'Выгрузка'!A579:Z579"),Настройки!$B$10)),",","."),".",MID(1/2,2,1)),"")</f>
        <v/>
      </c>
      <c r="E579">
        <f>IFERROR(--SUBSTITUTE(SUBSTITUTE(TRIM(INDEX(INDIRECT("'Выгрузка'!A579:Z579"),Настройки!$B$11)),",","."),".",MID(1/2,2,1)),"")</f>
        <v/>
      </c>
      <c r="F579">
        <f>TRIM(INDEX(INDIRECT("'Выгрузка'!A579:Z579"),Настройки!$B$12)&amp;"")</f>
        <v/>
      </c>
      <c r="G579">
        <f>IF(F579="",0,IF(TRIM(INDEX(INDIRECT("'Выгрузка'!A579:Z579"),Настройки!$B$13)&amp;"")="",1,IFERROR(--SUBSTITUTE(SUBSTITUTE(TRIM(INDEX(INDIRECT("'Выгрузка'!A579:Z579"),Настройки!$B$13)),",","."),".",MID(1/2,2,1)),"")))</f>
        <v/>
      </c>
      <c r="H579">
        <f>IF(F579="",0,IF(COUNTIF(Настройки!$B$17:$B$26,F579)&gt;0,1,IF(COUNTIF(Настройки!$C$17:$C$26,F579)&gt;0,2,IF(COUNTIF(Настройки!$D$17:$D$26,F579)&gt;0,3,0))))</f>
        <v/>
      </c>
      <c r="I579">
        <f>IF(AND(ISNUMBER(A579),ISNUMBER(B579)),A579*1000+B579,"")</f>
        <v/>
      </c>
      <c r="J579">
        <f>IF(I579="","",IF(COUNTIF(I$2:I579,I579)=1,MAX(J$1:J578)+1,""))</f>
        <v/>
      </c>
    </row>
    <row r="580">
      <c r="A580">
        <f>IFERROR(--SUBSTITUTE(SUBSTITUTE(TRIM(INDEX(INDIRECT("'Выгрузка'!A580:Z580"),Настройки!$B$7)),",","."),".",MID(1/2,2,1)),"")</f>
        <v/>
      </c>
      <c r="B580">
        <f>IFERROR(--SUBSTITUTE(SUBSTITUTE(TRIM(INDEX(INDIRECT("'Выгрузка'!A580:Z580"),Настройки!$B$9)),",","."),".",MID(1/2,2,1)),"")</f>
        <v/>
      </c>
      <c r="C580">
        <f>TRIM(INDEX(INDIRECT("'Выгрузка'!A580:Z580"),Настройки!$B$8)&amp;"")</f>
        <v/>
      </c>
      <c r="D580">
        <f>IFERROR(--SUBSTITUTE(SUBSTITUTE(TRIM(INDEX(INDIRECT("'Выгрузка'!A580:Z580"),Настройки!$B$10)),",","."),".",MID(1/2,2,1)),"")</f>
        <v/>
      </c>
      <c r="E580">
        <f>IFERROR(--SUBSTITUTE(SUBSTITUTE(TRIM(INDEX(INDIRECT("'Выгрузка'!A580:Z580"),Настройки!$B$11)),",","."),".",MID(1/2,2,1)),"")</f>
        <v/>
      </c>
      <c r="F580">
        <f>TRIM(INDEX(INDIRECT("'Выгрузка'!A580:Z580"),Настройки!$B$12)&amp;"")</f>
        <v/>
      </c>
      <c r="G580">
        <f>IF(F580="",0,IF(TRIM(INDEX(INDIRECT("'Выгрузка'!A580:Z580"),Настройки!$B$13)&amp;"")="",1,IFERROR(--SUBSTITUTE(SUBSTITUTE(TRIM(INDEX(INDIRECT("'Выгрузка'!A580:Z580"),Настройки!$B$13)),",","."),".",MID(1/2,2,1)),"")))</f>
        <v/>
      </c>
      <c r="H580">
        <f>IF(F580="",0,IF(COUNTIF(Настройки!$B$17:$B$26,F580)&gt;0,1,IF(COUNTIF(Настройки!$C$17:$C$26,F580)&gt;0,2,IF(COUNTIF(Настройки!$D$17:$D$26,F580)&gt;0,3,0))))</f>
        <v/>
      </c>
      <c r="I580">
        <f>IF(AND(ISNUMBER(A580),ISNUMBER(B580)),A580*1000+B580,"")</f>
        <v/>
      </c>
      <c r="J580">
        <f>IF(I580="","",IF(COUNTIF(I$2:I580,I580)=1,MAX(J$1:J579)+1,""))</f>
        <v/>
      </c>
    </row>
    <row r="581">
      <c r="A581">
        <f>IFERROR(--SUBSTITUTE(SUBSTITUTE(TRIM(INDEX(INDIRECT("'Выгрузка'!A581:Z581"),Настройки!$B$7)),",","."),".",MID(1/2,2,1)),"")</f>
        <v/>
      </c>
      <c r="B581">
        <f>IFERROR(--SUBSTITUTE(SUBSTITUTE(TRIM(INDEX(INDIRECT("'Выгрузка'!A581:Z581"),Настройки!$B$9)),",","."),".",MID(1/2,2,1)),"")</f>
        <v/>
      </c>
      <c r="C581">
        <f>TRIM(INDEX(INDIRECT("'Выгрузка'!A581:Z581"),Настройки!$B$8)&amp;"")</f>
        <v/>
      </c>
      <c r="D581">
        <f>IFERROR(--SUBSTITUTE(SUBSTITUTE(TRIM(INDEX(INDIRECT("'Выгрузка'!A581:Z581"),Настройки!$B$10)),",","."),".",MID(1/2,2,1)),"")</f>
        <v/>
      </c>
      <c r="E581">
        <f>IFERROR(--SUBSTITUTE(SUBSTITUTE(TRIM(INDEX(INDIRECT("'Выгрузка'!A581:Z581"),Настройки!$B$11)),",","."),".",MID(1/2,2,1)),"")</f>
        <v/>
      </c>
      <c r="F581">
        <f>TRIM(INDEX(INDIRECT("'Выгрузка'!A581:Z581"),Настройки!$B$12)&amp;"")</f>
        <v/>
      </c>
      <c r="G581">
        <f>IF(F581="",0,IF(TRIM(INDEX(INDIRECT("'Выгрузка'!A581:Z581"),Настройки!$B$13)&amp;"")="",1,IFERROR(--SUBSTITUTE(SUBSTITUTE(TRIM(INDEX(INDIRECT("'Выгрузка'!A581:Z581"),Настройки!$B$13)),",","."),".",MID(1/2,2,1)),"")))</f>
        <v/>
      </c>
      <c r="H581">
        <f>IF(F581="",0,IF(COUNTIF(Настройки!$B$17:$B$26,F581)&gt;0,1,IF(COUNTIF(Настройки!$C$17:$C$26,F581)&gt;0,2,IF(COUNTIF(Настройки!$D$17:$D$26,F581)&gt;0,3,0))))</f>
        <v/>
      </c>
      <c r="I581">
        <f>IF(AND(ISNUMBER(A581),ISNUMBER(B581)),A581*1000+B581,"")</f>
        <v/>
      </c>
      <c r="J581">
        <f>IF(I581="","",IF(COUNTIF(I$2:I581,I581)=1,MAX(J$1:J580)+1,""))</f>
        <v/>
      </c>
    </row>
    <row r="582">
      <c r="A582">
        <f>IFERROR(--SUBSTITUTE(SUBSTITUTE(TRIM(INDEX(INDIRECT("'Выгрузка'!A582:Z582"),Настройки!$B$7)),",","."),".",MID(1/2,2,1)),"")</f>
        <v/>
      </c>
      <c r="B582">
        <f>IFERROR(--SUBSTITUTE(SUBSTITUTE(TRIM(INDEX(INDIRECT("'Выгрузка'!A582:Z582"),Настройки!$B$9)),",","."),".",MID(1/2,2,1)),"")</f>
        <v/>
      </c>
      <c r="C582">
        <f>TRIM(INDEX(INDIRECT("'Выгрузка'!A582:Z582"),Настройки!$B$8)&amp;"")</f>
        <v/>
      </c>
      <c r="D582">
        <f>IFERROR(--SUBSTITUTE(SUBSTITUTE(TRIM(INDEX(INDIRECT("'Выгрузка'!A582:Z582"),Настройки!$B$10)),",","."),".",MID(1/2,2,1)),"")</f>
        <v/>
      </c>
      <c r="E582">
        <f>IFERROR(--SUBSTITUTE(SUBSTITUTE(TRIM(INDEX(INDIRECT("'Выгрузка'!A582:Z582"),Настройки!$B$11)),",","."),".",MID(1/2,2,1)),"")</f>
        <v/>
      </c>
      <c r="F582">
        <f>TRIM(INDEX(INDIRECT("'Выгрузка'!A582:Z582"),Настройки!$B$12)&amp;"")</f>
        <v/>
      </c>
      <c r="G582">
        <f>IF(F582="",0,IF(TRIM(INDEX(INDIRECT("'Выгрузка'!A582:Z582"),Настройки!$B$13)&amp;"")="",1,IFERROR(--SUBSTITUTE(SUBSTITUTE(TRIM(INDEX(INDIRECT("'Выгрузка'!A582:Z582"),Настройки!$B$13)),",","."),".",MID(1/2,2,1)),"")))</f>
        <v/>
      </c>
      <c r="H582">
        <f>IF(F582="",0,IF(COUNTIF(Настройки!$B$17:$B$26,F582)&gt;0,1,IF(COUNTIF(Настройки!$C$17:$C$26,F582)&gt;0,2,IF(COUNTIF(Настройки!$D$17:$D$26,F582)&gt;0,3,0))))</f>
        <v/>
      </c>
      <c r="I582">
        <f>IF(AND(ISNUMBER(A582),ISNUMBER(B582)),A582*1000+B582,"")</f>
        <v/>
      </c>
      <c r="J582">
        <f>IF(I582="","",IF(COUNTIF(I$2:I582,I582)=1,MAX(J$1:J581)+1,""))</f>
        <v/>
      </c>
    </row>
    <row r="583">
      <c r="A583">
        <f>IFERROR(--SUBSTITUTE(SUBSTITUTE(TRIM(INDEX(INDIRECT("'Выгрузка'!A583:Z583"),Настройки!$B$7)),",","."),".",MID(1/2,2,1)),"")</f>
        <v/>
      </c>
      <c r="B583">
        <f>IFERROR(--SUBSTITUTE(SUBSTITUTE(TRIM(INDEX(INDIRECT("'Выгрузка'!A583:Z583"),Настройки!$B$9)),",","."),".",MID(1/2,2,1)),"")</f>
        <v/>
      </c>
      <c r="C583">
        <f>TRIM(INDEX(INDIRECT("'Выгрузка'!A583:Z583"),Настройки!$B$8)&amp;"")</f>
        <v/>
      </c>
      <c r="D583">
        <f>IFERROR(--SUBSTITUTE(SUBSTITUTE(TRIM(INDEX(INDIRECT("'Выгрузка'!A583:Z583"),Настройки!$B$10)),",","."),".",MID(1/2,2,1)),"")</f>
        <v/>
      </c>
      <c r="E583">
        <f>IFERROR(--SUBSTITUTE(SUBSTITUTE(TRIM(INDEX(INDIRECT("'Выгрузка'!A583:Z583"),Настройки!$B$11)),",","."),".",MID(1/2,2,1)),"")</f>
        <v/>
      </c>
      <c r="F583">
        <f>TRIM(INDEX(INDIRECT("'Выгрузка'!A583:Z583"),Настройки!$B$12)&amp;"")</f>
        <v/>
      </c>
      <c r="G583">
        <f>IF(F583="",0,IF(TRIM(INDEX(INDIRECT("'Выгрузка'!A583:Z583"),Настройки!$B$13)&amp;"")="",1,IFERROR(--SUBSTITUTE(SUBSTITUTE(TRIM(INDEX(INDIRECT("'Выгрузка'!A583:Z583"),Настройки!$B$13)),",","."),".",MID(1/2,2,1)),"")))</f>
        <v/>
      </c>
      <c r="H583">
        <f>IF(F583="",0,IF(COUNTIF(Настройки!$B$17:$B$26,F583)&gt;0,1,IF(COUNTIF(Настройки!$C$17:$C$26,F583)&gt;0,2,IF(COUNTIF(Настройки!$D$17:$D$26,F583)&gt;0,3,0))))</f>
        <v/>
      </c>
      <c r="I583">
        <f>IF(AND(ISNUMBER(A583),ISNUMBER(B583)),A583*1000+B583,"")</f>
        <v/>
      </c>
      <c r="J583">
        <f>IF(I583="","",IF(COUNTIF(I$2:I583,I583)=1,MAX(J$1:J582)+1,""))</f>
        <v/>
      </c>
    </row>
    <row r="584">
      <c r="A584">
        <f>IFERROR(--SUBSTITUTE(SUBSTITUTE(TRIM(INDEX(INDIRECT("'Выгрузка'!A584:Z584"),Настройки!$B$7)),",","."),".",MID(1/2,2,1)),"")</f>
        <v/>
      </c>
      <c r="B584">
        <f>IFERROR(--SUBSTITUTE(SUBSTITUTE(TRIM(INDEX(INDIRECT("'Выгрузка'!A584:Z584"),Настройки!$B$9)),",","."),".",MID(1/2,2,1)),"")</f>
        <v/>
      </c>
      <c r="C584">
        <f>TRIM(INDEX(INDIRECT("'Выгрузка'!A584:Z584"),Настройки!$B$8)&amp;"")</f>
        <v/>
      </c>
      <c r="D584">
        <f>IFERROR(--SUBSTITUTE(SUBSTITUTE(TRIM(INDEX(INDIRECT("'Выгрузка'!A584:Z584"),Настройки!$B$10)),",","."),".",MID(1/2,2,1)),"")</f>
        <v/>
      </c>
      <c r="E584">
        <f>IFERROR(--SUBSTITUTE(SUBSTITUTE(TRIM(INDEX(INDIRECT("'Выгрузка'!A584:Z584"),Настройки!$B$11)),",","."),".",MID(1/2,2,1)),"")</f>
        <v/>
      </c>
      <c r="F584">
        <f>TRIM(INDEX(INDIRECT("'Выгрузка'!A584:Z584"),Настройки!$B$12)&amp;"")</f>
        <v/>
      </c>
      <c r="G584">
        <f>IF(F584="",0,IF(TRIM(INDEX(INDIRECT("'Выгрузка'!A584:Z584"),Настройки!$B$13)&amp;"")="",1,IFERROR(--SUBSTITUTE(SUBSTITUTE(TRIM(INDEX(INDIRECT("'Выгрузка'!A584:Z584"),Настройки!$B$13)),",","."),".",MID(1/2,2,1)),"")))</f>
        <v/>
      </c>
      <c r="H584">
        <f>IF(F584="",0,IF(COUNTIF(Настройки!$B$17:$B$26,F584)&gt;0,1,IF(COUNTIF(Настройки!$C$17:$C$26,F584)&gt;0,2,IF(COUNTIF(Настройки!$D$17:$D$26,F584)&gt;0,3,0))))</f>
        <v/>
      </c>
      <c r="I584">
        <f>IF(AND(ISNUMBER(A584),ISNUMBER(B584)),A584*1000+B584,"")</f>
        <v/>
      </c>
      <c r="J584">
        <f>IF(I584="","",IF(COUNTIF(I$2:I584,I584)=1,MAX(J$1:J583)+1,""))</f>
        <v/>
      </c>
    </row>
    <row r="585">
      <c r="A585">
        <f>IFERROR(--SUBSTITUTE(SUBSTITUTE(TRIM(INDEX(INDIRECT("'Выгрузка'!A585:Z585"),Настройки!$B$7)),",","."),".",MID(1/2,2,1)),"")</f>
        <v/>
      </c>
      <c r="B585">
        <f>IFERROR(--SUBSTITUTE(SUBSTITUTE(TRIM(INDEX(INDIRECT("'Выгрузка'!A585:Z585"),Настройки!$B$9)),",","."),".",MID(1/2,2,1)),"")</f>
        <v/>
      </c>
      <c r="C585">
        <f>TRIM(INDEX(INDIRECT("'Выгрузка'!A585:Z585"),Настройки!$B$8)&amp;"")</f>
        <v/>
      </c>
      <c r="D585">
        <f>IFERROR(--SUBSTITUTE(SUBSTITUTE(TRIM(INDEX(INDIRECT("'Выгрузка'!A585:Z585"),Настройки!$B$10)),",","."),".",MID(1/2,2,1)),"")</f>
        <v/>
      </c>
      <c r="E585">
        <f>IFERROR(--SUBSTITUTE(SUBSTITUTE(TRIM(INDEX(INDIRECT("'Выгрузка'!A585:Z585"),Настройки!$B$11)),",","."),".",MID(1/2,2,1)),"")</f>
        <v/>
      </c>
      <c r="F585">
        <f>TRIM(INDEX(INDIRECT("'Выгрузка'!A585:Z585"),Настройки!$B$12)&amp;"")</f>
        <v/>
      </c>
      <c r="G585">
        <f>IF(F585="",0,IF(TRIM(INDEX(INDIRECT("'Выгрузка'!A585:Z585"),Настройки!$B$13)&amp;"")="",1,IFERROR(--SUBSTITUTE(SUBSTITUTE(TRIM(INDEX(INDIRECT("'Выгрузка'!A585:Z585"),Настройки!$B$13)),",","."),".",MID(1/2,2,1)),"")))</f>
        <v/>
      </c>
      <c r="H585">
        <f>IF(F585="",0,IF(COUNTIF(Настройки!$B$17:$B$26,F585)&gt;0,1,IF(COUNTIF(Настройки!$C$17:$C$26,F585)&gt;0,2,IF(COUNTIF(Настройки!$D$17:$D$26,F585)&gt;0,3,0))))</f>
        <v/>
      </c>
      <c r="I585">
        <f>IF(AND(ISNUMBER(A585),ISNUMBER(B585)),A585*1000+B585,"")</f>
        <v/>
      </c>
      <c r="J585">
        <f>IF(I585="","",IF(COUNTIF(I$2:I585,I585)=1,MAX(J$1:J584)+1,""))</f>
        <v/>
      </c>
    </row>
    <row r="586">
      <c r="A586">
        <f>IFERROR(--SUBSTITUTE(SUBSTITUTE(TRIM(INDEX(INDIRECT("'Выгрузка'!A586:Z586"),Настройки!$B$7)),",","."),".",MID(1/2,2,1)),"")</f>
        <v/>
      </c>
      <c r="B586">
        <f>IFERROR(--SUBSTITUTE(SUBSTITUTE(TRIM(INDEX(INDIRECT("'Выгрузка'!A586:Z586"),Настройки!$B$9)),",","."),".",MID(1/2,2,1)),"")</f>
        <v/>
      </c>
      <c r="C586">
        <f>TRIM(INDEX(INDIRECT("'Выгрузка'!A586:Z586"),Настройки!$B$8)&amp;"")</f>
        <v/>
      </c>
      <c r="D586">
        <f>IFERROR(--SUBSTITUTE(SUBSTITUTE(TRIM(INDEX(INDIRECT("'Выгрузка'!A586:Z586"),Настройки!$B$10)),",","."),".",MID(1/2,2,1)),"")</f>
        <v/>
      </c>
      <c r="E586">
        <f>IFERROR(--SUBSTITUTE(SUBSTITUTE(TRIM(INDEX(INDIRECT("'Выгрузка'!A586:Z586"),Настройки!$B$11)),",","."),".",MID(1/2,2,1)),"")</f>
        <v/>
      </c>
      <c r="F586">
        <f>TRIM(INDEX(INDIRECT("'Выгрузка'!A586:Z586"),Настройки!$B$12)&amp;"")</f>
        <v/>
      </c>
      <c r="G586">
        <f>IF(F586="",0,IF(TRIM(INDEX(INDIRECT("'Выгрузка'!A586:Z586"),Настройки!$B$13)&amp;"")="",1,IFERROR(--SUBSTITUTE(SUBSTITUTE(TRIM(INDEX(INDIRECT("'Выгрузка'!A586:Z586"),Настройки!$B$13)),",","."),".",MID(1/2,2,1)),"")))</f>
        <v/>
      </c>
      <c r="H586">
        <f>IF(F586="",0,IF(COUNTIF(Настройки!$B$17:$B$26,F586)&gt;0,1,IF(COUNTIF(Настройки!$C$17:$C$26,F586)&gt;0,2,IF(COUNTIF(Настройки!$D$17:$D$26,F586)&gt;0,3,0))))</f>
        <v/>
      </c>
      <c r="I586">
        <f>IF(AND(ISNUMBER(A586),ISNUMBER(B586)),A586*1000+B586,"")</f>
        <v/>
      </c>
      <c r="J586">
        <f>IF(I586="","",IF(COUNTIF(I$2:I586,I586)=1,MAX(J$1:J585)+1,""))</f>
        <v/>
      </c>
    </row>
    <row r="587">
      <c r="A587">
        <f>IFERROR(--SUBSTITUTE(SUBSTITUTE(TRIM(INDEX(INDIRECT("'Выгрузка'!A587:Z587"),Настройки!$B$7)),",","."),".",MID(1/2,2,1)),"")</f>
        <v/>
      </c>
      <c r="B587">
        <f>IFERROR(--SUBSTITUTE(SUBSTITUTE(TRIM(INDEX(INDIRECT("'Выгрузка'!A587:Z587"),Настройки!$B$9)),",","."),".",MID(1/2,2,1)),"")</f>
        <v/>
      </c>
      <c r="C587">
        <f>TRIM(INDEX(INDIRECT("'Выгрузка'!A587:Z587"),Настройки!$B$8)&amp;"")</f>
        <v/>
      </c>
      <c r="D587">
        <f>IFERROR(--SUBSTITUTE(SUBSTITUTE(TRIM(INDEX(INDIRECT("'Выгрузка'!A587:Z587"),Настройки!$B$10)),",","."),".",MID(1/2,2,1)),"")</f>
        <v/>
      </c>
      <c r="E587">
        <f>IFERROR(--SUBSTITUTE(SUBSTITUTE(TRIM(INDEX(INDIRECT("'Выгрузка'!A587:Z587"),Настройки!$B$11)),",","."),".",MID(1/2,2,1)),"")</f>
        <v/>
      </c>
      <c r="F587">
        <f>TRIM(INDEX(INDIRECT("'Выгрузка'!A587:Z587"),Настройки!$B$12)&amp;"")</f>
        <v/>
      </c>
      <c r="G587">
        <f>IF(F587="",0,IF(TRIM(INDEX(INDIRECT("'Выгрузка'!A587:Z587"),Настройки!$B$13)&amp;"")="",1,IFERROR(--SUBSTITUTE(SUBSTITUTE(TRIM(INDEX(INDIRECT("'Выгрузка'!A587:Z587"),Настройки!$B$13)),",","."),".",MID(1/2,2,1)),"")))</f>
        <v/>
      </c>
      <c r="H587">
        <f>IF(F587="",0,IF(COUNTIF(Настройки!$B$17:$B$26,F587)&gt;0,1,IF(COUNTIF(Настройки!$C$17:$C$26,F587)&gt;0,2,IF(COUNTIF(Настройки!$D$17:$D$26,F587)&gt;0,3,0))))</f>
        <v/>
      </c>
      <c r="I587">
        <f>IF(AND(ISNUMBER(A587),ISNUMBER(B587)),A587*1000+B587,"")</f>
        <v/>
      </c>
      <c r="J587">
        <f>IF(I587="","",IF(COUNTIF(I$2:I587,I587)=1,MAX(J$1:J586)+1,""))</f>
        <v/>
      </c>
    </row>
    <row r="588">
      <c r="A588">
        <f>IFERROR(--SUBSTITUTE(SUBSTITUTE(TRIM(INDEX(INDIRECT("'Выгрузка'!A588:Z588"),Настройки!$B$7)),",","."),".",MID(1/2,2,1)),"")</f>
        <v/>
      </c>
      <c r="B588">
        <f>IFERROR(--SUBSTITUTE(SUBSTITUTE(TRIM(INDEX(INDIRECT("'Выгрузка'!A588:Z588"),Настройки!$B$9)),",","."),".",MID(1/2,2,1)),"")</f>
        <v/>
      </c>
      <c r="C588">
        <f>TRIM(INDEX(INDIRECT("'Выгрузка'!A588:Z588"),Настройки!$B$8)&amp;"")</f>
        <v/>
      </c>
      <c r="D588">
        <f>IFERROR(--SUBSTITUTE(SUBSTITUTE(TRIM(INDEX(INDIRECT("'Выгрузка'!A588:Z588"),Настройки!$B$10)),",","."),".",MID(1/2,2,1)),"")</f>
        <v/>
      </c>
      <c r="E588">
        <f>IFERROR(--SUBSTITUTE(SUBSTITUTE(TRIM(INDEX(INDIRECT("'Выгрузка'!A588:Z588"),Настройки!$B$11)),",","."),".",MID(1/2,2,1)),"")</f>
        <v/>
      </c>
      <c r="F588">
        <f>TRIM(INDEX(INDIRECT("'Выгрузка'!A588:Z588"),Настройки!$B$12)&amp;"")</f>
        <v/>
      </c>
      <c r="G588">
        <f>IF(F588="",0,IF(TRIM(INDEX(INDIRECT("'Выгрузка'!A588:Z588"),Настройки!$B$13)&amp;"")="",1,IFERROR(--SUBSTITUTE(SUBSTITUTE(TRIM(INDEX(INDIRECT("'Выгрузка'!A588:Z588"),Настройки!$B$13)),",","."),".",MID(1/2,2,1)),"")))</f>
        <v/>
      </c>
      <c r="H588">
        <f>IF(F588="",0,IF(COUNTIF(Настройки!$B$17:$B$26,F588)&gt;0,1,IF(COUNTIF(Настройки!$C$17:$C$26,F588)&gt;0,2,IF(COUNTIF(Настройки!$D$17:$D$26,F588)&gt;0,3,0))))</f>
        <v/>
      </c>
      <c r="I588">
        <f>IF(AND(ISNUMBER(A588),ISNUMBER(B588)),A588*1000+B588,"")</f>
        <v/>
      </c>
      <c r="J588">
        <f>IF(I588="","",IF(COUNTIF(I$2:I588,I588)=1,MAX(J$1:J587)+1,""))</f>
        <v/>
      </c>
    </row>
    <row r="589">
      <c r="A589">
        <f>IFERROR(--SUBSTITUTE(SUBSTITUTE(TRIM(INDEX(INDIRECT("'Выгрузка'!A589:Z589"),Настройки!$B$7)),",","."),".",MID(1/2,2,1)),"")</f>
        <v/>
      </c>
      <c r="B589">
        <f>IFERROR(--SUBSTITUTE(SUBSTITUTE(TRIM(INDEX(INDIRECT("'Выгрузка'!A589:Z589"),Настройки!$B$9)),",","."),".",MID(1/2,2,1)),"")</f>
        <v/>
      </c>
      <c r="C589">
        <f>TRIM(INDEX(INDIRECT("'Выгрузка'!A589:Z589"),Настройки!$B$8)&amp;"")</f>
        <v/>
      </c>
      <c r="D589">
        <f>IFERROR(--SUBSTITUTE(SUBSTITUTE(TRIM(INDEX(INDIRECT("'Выгрузка'!A589:Z589"),Настройки!$B$10)),",","."),".",MID(1/2,2,1)),"")</f>
        <v/>
      </c>
      <c r="E589">
        <f>IFERROR(--SUBSTITUTE(SUBSTITUTE(TRIM(INDEX(INDIRECT("'Выгрузка'!A589:Z589"),Настройки!$B$11)),",","."),".",MID(1/2,2,1)),"")</f>
        <v/>
      </c>
      <c r="F589">
        <f>TRIM(INDEX(INDIRECT("'Выгрузка'!A589:Z589"),Настройки!$B$12)&amp;"")</f>
        <v/>
      </c>
      <c r="G589">
        <f>IF(F589="",0,IF(TRIM(INDEX(INDIRECT("'Выгрузка'!A589:Z589"),Настройки!$B$13)&amp;"")="",1,IFERROR(--SUBSTITUTE(SUBSTITUTE(TRIM(INDEX(INDIRECT("'Выгрузка'!A589:Z589"),Настройки!$B$13)),",","."),".",MID(1/2,2,1)),"")))</f>
        <v/>
      </c>
      <c r="H589">
        <f>IF(F589="",0,IF(COUNTIF(Настройки!$B$17:$B$26,F589)&gt;0,1,IF(COUNTIF(Настройки!$C$17:$C$26,F589)&gt;0,2,IF(COUNTIF(Настройки!$D$17:$D$26,F589)&gt;0,3,0))))</f>
        <v/>
      </c>
      <c r="I589">
        <f>IF(AND(ISNUMBER(A589),ISNUMBER(B589)),A589*1000+B589,"")</f>
        <v/>
      </c>
      <c r="J589">
        <f>IF(I589="","",IF(COUNTIF(I$2:I589,I589)=1,MAX(J$1:J588)+1,""))</f>
        <v/>
      </c>
    </row>
    <row r="590">
      <c r="A590">
        <f>IFERROR(--SUBSTITUTE(SUBSTITUTE(TRIM(INDEX(INDIRECT("'Выгрузка'!A590:Z590"),Настройки!$B$7)),",","."),".",MID(1/2,2,1)),"")</f>
        <v/>
      </c>
      <c r="B590">
        <f>IFERROR(--SUBSTITUTE(SUBSTITUTE(TRIM(INDEX(INDIRECT("'Выгрузка'!A590:Z590"),Настройки!$B$9)),",","."),".",MID(1/2,2,1)),"")</f>
        <v/>
      </c>
      <c r="C590">
        <f>TRIM(INDEX(INDIRECT("'Выгрузка'!A590:Z590"),Настройки!$B$8)&amp;"")</f>
        <v/>
      </c>
      <c r="D590">
        <f>IFERROR(--SUBSTITUTE(SUBSTITUTE(TRIM(INDEX(INDIRECT("'Выгрузка'!A590:Z590"),Настройки!$B$10)),",","."),".",MID(1/2,2,1)),"")</f>
        <v/>
      </c>
      <c r="E590">
        <f>IFERROR(--SUBSTITUTE(SUBSTITUTE(TRIM(INDEX(INDIRECT("'Выгрузка'!A590:Z590"),Настройки!$B$11)),",","."),".",MID(1/2,2,1)),"")</f>
        <v/>
      </c>
      <c r="F590">
        <f>TRIM(INDEX(INDIRECT("'Выгрузка'!A590:Z590"),Настройки!$B$12)&amp;"")</f>
        <v/>
      </c>
      <c r="G590">
        <f>IF(F590="",0,IF(TRIM(INDEX(INDIRECT("'Выгрузка'!A590:Z590"),Настройки!$B$13)&amp;"")="",1,IFERROR(--SUBSTITUTE(SUBSTITUTE(TRIM(INDEX(INDIRECT("'Выгрузка'!A590:Z590"),Настройки!$B$13)),",","."),".",MID(1/2,2,1)),"")))</f>
        <v/>
      </c>
      <c r="H590">
        <f>IF(F590="",0,IF(COUNTIF(Настройки!$B$17:$B$26,F590)&gt;0,1,IF(COUNTIF(Настройки!$C$17:$C$26,F590)&gt;0,2,IF(COUNTIF(Настройки!$D$17:$D$26,F590)&gt;0,3,0))))</f>
        <v/>
      </c>
      <c r="I590">
        <f>IF(AND(ISNUMBER(A590),ISNUMBER(B590)),A590*1000+B590,"")</f>
        <v/>
      </c>
      <c r="J590">
        <f>IF(I590="","",IF(COUNTIF(I$2:I590,I590)=1,MAX(J$1:J589)+1,""))</f>
        <v/>
      </c>
    </row>
    <row r="591">
      <c r="A591">
        <f>IFERROR(--SUBSTITUTE(SUBSTITUTE(TRIM(INDEX(INDIRECT("'Выгрузка'!A591:Z591"),Настройки!$B$7)),",","."),".",MID(1/2,2,1)),"")</f>
        <v/>
      </c>
      <c r="B591">
        <f>IFERROR(--SUBSTITUTE(SUBSTITUTE(TRIM(INDEX(INDIRECT("'Выгрузка'!A591:Z591"),Настройки!$B$9)),",","."),".",MID(1/2,2,1)),"")</f>
        <v/>
      </c>
      <c r="C591">
        <f>TRIM(INDEX(INDIRECT("'Выгрузка'!A591:Z591"),Настройки!$B$8)&amp;"")</f>
        <v/>
      </c>
      <c r="D591">
        <f>IFERROR(--SUBSTITUTE(SUBSTITUTE(TRIM(INDEX(INDIRECT("'Выгрузка'!A591:Z591"),Настройки!$B$10)),",","."),".",MID(1/2,2,1)),"")</f>
        <v/>
      </c>
      <c r="E591">
        <f>IFERROR(--SUBSTITUTE(SUBSTITUTE(TRIM(INDEX(INDIRECT("'Выгрузка'!A591:Z591"),Настройки!$B$11)),",","."),".",MID(1/2,2,1)),"")</f>
        <v/>
      </c>
      <c r="F591">
        <f>TRIM(INDEX(INDIRECT("'Выгрузка'!A591:Z591"),Настройки!$B$12)&amp;"")</f>
        <v/>
      </c>
      <c r="G591">
        <f>IF(F591="",0,IF(TRIM(INDEX(INDIRECT("'Выгрузка'!A591:Z591"),Настройки!$B$13)&amp;"")="",1,IFERROR(--SUBSTITUTE(SUBSTITUTE(TRIM(INDEX(INDIRECT("'Выгрузка'!A591:Z591"),Настройки!$B$13)),",","."),".",MID(1/2,2,1)),"")))</f>
        <v/>
      </c>
      <c r="H591">
        <f>IF(F591="",0,IF(COUNTIF(Настройки!$B$17:$B$26,F591)&gt;0,1,IF(COUNTIF(Настройки!$C$17:$C$26,F591)&gt;0,2,IF(COUNTIF(Настройки!$D$17:$D$26,F591)&gt;0,3,0))))</f>
        <v/>
      </c>
      <c r="I591">
        <f>IF(AND(ISNUMBER(A591),ISNUMBER(B591)),A591*1000+B591,"")</f>
        <v/>
      </c>
      <c r="J591">
        <f>IF(I591="","",IF(COUNTIF(I$2:I591,I591)=1,MAX(J$1:J590)+1,""))</f>
        <v/>
      </c>
    </row>
    <row r="592">
      <c r="A592">
        <f>IFERROR(--SUBSTITUTE(SUBSTITUTE(TRIM(INDEX(INDIRECT("'Выгрузка'!A592:Z592"),Настройки!$B$7)),",","."),".",MID(1/2,2,1)),"")</f>
        <v/>
      </c>
      <c r="B592">
        <f>IFERROR(--SUBSTITUTE(SUBSTITUTE(TRIM(INDEX(INDIRECT("'Выгрузка'!A592:Z592"),Настройки!$B$9)),",","."),".",MID(1/2,2,1)),"")</f>
        <v/>
      </c>
      <c r="C592">
        <f>TRIM(INDEX(INDIRECT("'Выгрузка'!A592:Z592"),Настройки!$B$8)&amp;"")</f>
        <v/>
      </c>
      <c r="D592">
        <f>IFERROR(--SUBSTITUTE(SUBSTITUTE(TRIM(INDEX(INDIRECT("'Выгрузка'!A592:Z592"),Настройки!$B$10)),",","."),".",MID(1/2,2,1)),"")</f>
        <v/>
      </c>
      <c r="E592">
        <f>IFERROR(--SUBSTITUTE(SUBSTITUTE(TRIM(INDEX(INDIRECT("'Выгрузка'!A592:Z592"),Настройки!$B$11)),",","."),".",MID(1/2,2,1)),"")</f>
        <v/>
      </c>
      <c r="F592">
        <f>TRIM(INDEX(INDIRECT("'Выгрузка'!A592:Z592"),Настройки!$B$12)&amp;"")</f>
        <v/>
      </c>
      <c r="G592">
        <f>IF(F592="",0,IF(TRIM(INDEX(INDIRECT("'Выгрузка'!A592:Z592"),Настройки!$B$13)&amp;"")="",1,IFERROR(--SUBSTITUTE(SUBSTITUTE(TRIM(INDEX(INDIRECT("'Выгрузка'!A592:Z592"),Настройки!$B$13)),",","."),".",MID(1/2,2,1)),"")))</f>
        <v/>
      </c>
      <c r="H592">
        <f>IF(F592="",0,IF(COUNTIF(Настройки!$B$17:$B$26,F592)&gt;0,1,IF(COUNTIF(Настройки!$C$17:$C$26,F592)&gt;0,2,IF(COUNTIF(Настройки!$D$17:$D$26,F592)&gt;0,3,0))))</f>
        <v/>
      </c>
      <c r="I592">
        <f>IF(AND(ISNUMBER(A592),ISNUMBER(B592)),A592*1000+B592,"")</f>
        <v/>
      </c>
      <c r="J592">
        <f>IF(I592="","",IF(COUNTIF(I$2:I592,I592)=1,MAX(J$1:J591)+1,""))</f>
        <v/>
      </c>
    </row>
    <row r="593">
      <c r="A593">
        <f>IFERROR(--SUBSTITUTE(SUBSTITUTE(TRIM(INDEX(INDIRECT("'Выгрузка'!A593:Z593"),Настройки!$B$7)),",","."),".",MID(1/2,2,1)),"")</f>
        <v/>
      </c>
      <c r="B593">
        <f>IFERROR(--SUBSTITUTE(SUBSTITUTE(TRIM(INDEX(INDIRECT("'Выгрузка'!A593:Z593"),Настройки!$B$9)),",","."),".",MID(1/2,2,1)),"")</f>
        <v/>
      </c>
      <c r="C593">
        <f>TRIM(INDEX(INDIRECT("'Выгрузка'!A593:Z593"),Настройки!$B$8)&amp;"")</f>
        <v/>
      </c>
      <c r="D593">
        <f>IFERROR(--SUBSTITUTE(SUBSTITUTE(TRIM(INDEX(INDIRECT("'Выгрузка'!A593:Z593"),Настройки!$B$10)),",","."),".",MID(1/2,2,1)),"")</f>
        <v/>
      </c>
      <c r="E593">
        <f>IFERROR(--SUBSTITUTE(SUBSTITUTE(TRIM(INDEX(INDIRECT("'Выгрузка'!A593:Z593"),Настройки!$B$11)),",","."),".",MID(1/2,2,1)),"")</f>
        <v/>
      </c>
      <c r="F593">
        <f>TRIM(INDEX(INDIRECT("'Выгрузка'!A593:Z593"),Настройки!$B$12)&amp;"")</f>
        <v/>
      </c>
      <c r="G593">
        <f>IF(F593="",0,IF(TRIM(INDEX(INDIRECT("'Выгрузка'!A593:Z593"),Настройки!$B$13)&amp;"")="",1,IFERROR(--SUBSTITUTE(SUBSTITUTE(TRIM(INDEX(INDIRECT("'Выгрузка'!A593:Z593"),Настройки!$B$13)),",","."),".",MID(1/2,2,1)),"")))</f>
        <v/>
      </c>
      <c r="H593">
        <f>IF(F593="",0,IF(COUNTIF(Настройки!$B$17:$B$26,F593)&gt;0,1,IF(COUNTIF(Настройки!$C$17:$C$26,F593)&gt;0,2,IF(COUNTIF(Настройки!$D$17:$D$26,F593)&gt;0,3,0))))</f>
        <v/>
      </c>
      <c r="I593">
        <f>IF(AND(ISNUMBER(A593),ISNUMBER(B593)),A593*1000+B593,"")</f>
        <v/>
      </c>
      <c r="J593">
        <f>IF(I593="","",IF(COUNTIF(I$2:I593,I593)=1,MAX(J$1:J592)+1,""))</f>
        <v/>
      </c>
    </row>
    <row r="594">
      <c r="A594">
        <f>IFERROR(--SUBSTITUTE(SUBSTITUTE(TRIM(INDEX(INDIRECT("'Выгрузка'!A594:Z594"),Настройки!$B$7)),",","."),".",MID(1/2,2,1)),"")</f>
        <v/>
      </c>
      <c r="B594">
        <f>IFERROR(--SUBSTITUTE(SUBSTITUTE(TRIM(INDEX(INDIRECT("'Выгрузка'!A594:Z594"),Настройки!$B$9)),",","."),".",MID(1/2,2,1)),"")</f>
        <v/>
      </c>
      <c r="C594">
        <f>TRIM(INDEX(INDIRECT("'Выгрузка'!A594:Z594"),Настройки!$B$8)&amp;"")</f>
        <v/>
      </c>
      <c r="D594">
        <f>IFERROR(--SUBSTITUTE(SUBSTITUTE(TRIM(INDEX(INDIRECT("'Выгрузка'!A594:Z594"),Настройки!$B$10)),",","."),".",MID(1/2,2,1)),"")</f>
        <v/>
      </c>
      <c r="E594">
        <f>IFERROR(--SUBSTITUTE(SUBSTITUTE(TRIM(INDEX(INDIRECT("'Выгрузка'!A594:Z594"),Настройки!$B$11)),",","."),".",MID(1/2,2,1)),"")</f>
        <v/>
      </c>
      <c r="F594">
        <f>TRIM(INDEX(INDIRECT("'Выгрузка'!A594:Z594"),Настройки!$B$12)&amp;"")</f>
        <v/>
      </c>
      <c r="G594">
        <f>IF(F594="",0,IF(TRIM(INDEX(INDIRECT("'Выгрузка'!A594:Z594"),Настройки!$B$13)&amp;"")="",1,IFERROR(--SUBSTITUTE(SUBSTITUTE(TRIM(INDEX(INDIRECT("'Выгрузка'!A594:Z594"),Настройки!$B$13)),",","."),".",MID(1/2,2,1)),"")))</f>
        <v/>
      </c>
      <c r="H594">
        <f>IF(F594="",0,IF(COUNTIF(Настройки!$B$17:$B$26,F594)&gt;0,1,IF(COUNTIF(Настройки!$C$17:$C$26,F594)&gt;0,2,IF(COUNTIF(Настройки!$D$17:$D$26,F594)&gt;0,3,0))))</f>
        <v/>
      </c>
      <c r="I594">
        <f>IF(AND(ISNUMBER(A594),ISNUMBER(B594)),A594*1000+B594,"")</f>
        <v/>
      </c>
      <c r="J594">
        <f>IF(I594="","",IF(COUNTIF(I$2:I594,I594)=1,MAX(J$1:J593)+1,""))</f>
        <v/>
      </c>
    </row>
    <row r="595">
      <c r="A595">
        <f>IFERROR(--SUBSTITUTE(SUBSTITUTE(TRIM(INDEX(INDIRECT("'Выгрузка'!A595:Z595"),Настройки!$B$7)),",","."),".",MID(1/2,2,1)),"")</f>
        <v/>
      </c>
      <c r="B595">
        <f>IFERROR(--SUBSTITUTE(SUBSTITUTE(TRIM(INDEX(INDIRECT("'Выгрузка'!A595:Z595"),Настройки!$B$9)),",","."),".",MID(1/2,2,1)),"")</f>
        <v/>
      </c>
      <c r="C595">
        <f>TRIM(INDEX(INDIRECT("'Выгрузка'!A595:Z595"),Настройки!$B$8)&amp;"")</f>
        <v/>
      </c>
      <c r="D595">
        <f>IFERROR(--SUBSTITUTE(SUBSTITUTE(TRIM(INDEX(INDIRECT("'Выгрузка'!A595:Z595"),Настройки!$B$10)),",","."),".",MID(1/2,2,1)),"")</f>
        <v/>
      </c>
      <c r="E595">
        <f>IFERROR(--SUBSTITUTE(SUBSTITUTE(TRIM(INDEX(INDIRECT("'Выгрузка'!A595:Z595"),Настройки!$B$11)),",","."),".",MID(1/2,2,1)),"")</f>
        <v/>
      </c>
      <c r="F595">
        <f>TRIM(INDEX(INDIRECT("'Выгрузка'!A595:Z595"),Настройки!$B$12)&amp;"")</f>
        <v/>
      </c>
      <c r="G595">
        <f>IF(F595="",0,IF(TRIM(INDEX(INDIRECT("'Выгрузка'!A595:Z595"),Настройки!$B$13)&amp;"")="",1,IFERROR(--SUBSTITUTE(SUBSTITUTE(TRIM(INDEX(INDIRECT("'Выгрузка'!A595:Z595"),Настройки!$B$13)),",","."),".",MID(1/2,2,1)),"")))</f>
        <v/>
      </c>
      <c r="H595">
        <f>IF(F595="",0,IF(COUNTIF(Настройки!$B$17:$B$26,F595)&gt;0,1,IF(COUNTIF(Настройки!$C$17:$C$26,F595)&gt;0,2,IF(COUNTIF(Настройки!$D$17:$D$26,F595)&gt;0,3,0))))</f>
        <v/>
      </c>
      <c r="I595">
        <f>IF(AND(ISNUMBER(A595),ISNUMBER(B595)),A595*1000+B595,"")</f>
        <v/>
      </c>
      <c r="J595">
        <f>IF(I595="","",IF(COUNTIF(I$2:I595,I595)=1,MAX(J$1:J594)+1,""))</f>
        <v/>
      </c>
    </row>
    <row r="596">
      <c r="A596">
        <f>IFERROR(--SUBSTITUTE(SUBSTITUTE(TRIM(INDEX(INDIRECT("'Выгрузка'!A596:Z596"),Настройки!$B$7)),",","."),".",MID(1/2,2,1)),"")</f>
        <v/>
      </c>
      <c r="B596">
        <f>IFERROR(--SUBSTITUTE(SUBSTITUTE(TRIM(INDEX(INDIRECT("'Выгрузка'!A596:Z596"),Настройки!$B$9)),",","."),".",MID(1/2,2,1)),"")</f>
        <v/>
      </c>
      <c r="C596">
        <f>TRIM(INDEX(INDIRECT("'Выгрузка'!A596:Z596"),Настройки!$B$8)&amp;"")</f>
        <v/>
      </c>
      <c r="D596">
        <f>IFERROR(--SUBSTITUTE(SUBSTITUTE(TRIM(INDEX(INDIRECT("'Выгрузка'!A596:Z596"),Настройки!$B$10)),",","."),".",MID(1/2,2,1)),"")</f>
        <v/>
      </c>
      <c r="E596">
        <f>IFERROR(--SUBSTITUTE(SUBSTITUTE(TRIM(INDEX(INDIRECT("'Выгрузка'!A596:Z596"),Настройки!$B$11)),",","."),".",MID(1/2,2,1)),"")</f>
        <v/>
      </c>
      <c r="F596">
        <f>TRIM(INDEX(INDIRECT("'Выгрузка'!A596:Z596"),Настройки!$B$12)&amp;"")</f>
        <v/>
      </c>
      <c r="G596">
        <f>IF(F596="",0,IF(TRIM(INDEX(INDIRECT("'Выгрузка'!A596:Z596"),Настройки!$B$13)&amp;"")="",1,IFERROR(--SUBSTITUTE(SUBSTITUTE(TRIM(INDEX(INDIRECT("'Выгрузка'!A596:Z596"),Настройки!$B$13)),",","."),".",MID(1/2,2,1)),"")))</f>
        <v/>
      </c>
      <c r="H596">
        <f>IF(F596="",0,IF(COUNTIF(Настройки!$B$17:$B$26,F596)&gt;0,1,IF(COUNTIF(Настройки!$C$17:$C$26,F596)&gt;0,2,IF(COUNTIF(Настройки!$D$17:$D$26,F596)&gt;0,3,0))))</f>
        <v/>
      </c>
      <c r="I596">
        <f>IF(AND(ISNUMBER(A596),ISNUMBER(B596)),A596*1000+B596,"")</f>
        <v/>
      </c>
      <c r="J596">
        <f>IF(I596="","",IF(COUNTIF(I$2:I596,I596)=1,MAX(J$1:J595)+1,""))</f>
        <v/>
      </c>
    </row>
    <row r="597">
      <c r="A597">
        <f>IFERROR(--SUBSTITUTE(SUBSTITUTE(TRIM(INDEX(INDIRECT("'Выгрузка'!A597:Z597"),Настройки!$B$7)),",","."),".",MID(1/2,2,1)),"")</f>
        <v/>
      </c>
      <c r="B597">
        <f>IFERROR(--SUBSTITUTE(SUBSTITUTE(TRIM(INDEX(INDIRECT("'Выгрузка'!A597:Z597"),Настройки!$B$9)),",","."),".",MID(1/2,2,1)),"")</f>
        <v/>
      </c>
      <c r="C597">
        <f>TRIM(INDEX(INDIRECT("'Выгрузка'!A597:Z597"),Настройки!$B$8)&amp;"")</f>
        <v/>
      </c>
      <c r="D597">
        <f>IFERROR(--SUBSTITUTE(SUBSTITUTE(TRIM(INDEX(INDIRECT("'Выгрузка'!A597:Z597"),Настройки!$B$10)),",","."),".",MID(1/2,2,1)),"")</f>
        <v/>
      </c>
      <c r="E597">
        <f>IFERROR(--SUBSTITUTE(SUBSTITUTE(TRIM(INDEX(INDIRECT("'Выгрузка'!A597:Z597"),Настройки!$B$11)),",","."),".",MID(1/2,2,1)),"")</f>
        <v/>
      </c>
      <c r="F597">
        <f>TRIM(INDEX(INDIRECT("'Выгрузка'!A597:Z597"),Настройки!$B$12)&amp;"")</f>
        <v/>
      </c>
      <c r="G597">
        <f>IF(F597="",0,IF(TRIM(INDEX(INDIRECT("'Выгрузка'!A597:Z597"),Настройки!$B$13)&amp;"")="",1,IFERROR(--SUBSTITUTE(SUBSTITUTE(TRIM(INDEX(INDIRECT("'Выгрузка'!A597:Z597"),Настройки!$B$13)),",","."),".",MID(1/2,2,1)),"")))</f>
        <v/>
      </c>
      <c r="H597">
        <f>IF(F597="",0,IF(COUNTIF(Настройки!$B$17:$B$26,F597)&gt;0,1,IF(COUNTIF(Настройки!$C$17:$C$26,F597)&gt;0,2,IF(COUNTIF(Настройки!$D$17:$D$26,F597)&gt;0,3,0))))</f>
        <v/>
      </c>
      <c r="I597">
        <f>IF(AND(ISNUMBER(A597),ISNUMBER(B597)),A597*1000+B597,"")</f>
        <v/>
      </c>
      <c r="J597">
        <f>IF(I597="","",IF(COUNTIF(I$2:I597,I597)=1,MAX(J$1:J596)+1,""))</f>
        <v/>
      </c>
    </row>
    <row r="598">
      <c r="A598">
        <f>IFERROR(--SUBSTITUTE(SUBSTITUTE(TRIM(INDEX(INDIRECT("'Выгрузка'!A598:Z598"),Настройки!$B$7)),",","."),".",MID(1/2,2,1)),"")</f>
        <v/>
      </c>
      <c r="B598">
        <f>IFERROR(--SUBSTITUTE(SUBSTITUTE(TRIM(INDEX(INDIRECT("'Выгрузка'!A598:Z598"),Настройки!$B$9)),",","."),".",MID(1/2,2,1)),"")</f>
        <v/>
      </c>
      <c r="C598">
        <f>TRIM(INDEX(INDIRECT("'Выгрузка'!A598:Z598"),Настройки!$B$8)&amp;"")</f>
        <v/>
      </c>
      <c r="D598">
        <f>IFERROR(--SUBSTITUTE(SUBSTITUTE(TRIM(INDEX(INDIRECT("'Выгрузка'!A598:Z598"),Настройки!$B$10)),",","."),".",MID(1/2,2,1)),"")</f>
        <v/>
      </c>
      <c r="E598">
        <f>IFERROR(--SUBSTITUTE(SUBSTITUTE(TRIM(INDEX(INDIRECT("'Выгрузка'!A598:Z598"),Настройки!$B$11)),",","."),".",MID(1/2,2,1)),"")</f>
        <v/>
      </c>
      <c r="F598">
        <f>TRIM(INDEX(INDIRECT("'Выгрузка'!A598:Z598"),Настройки!$B$12)&amp;"")</f>
        <v/>
      </c>
      <c r="G598">
        <f>IF(F598="",0,IF(TRIM(INDEX(INDIRECT("'Выгрузка'!A598:Z598"),Настройки!$B$13)&amp;"")="",1,IFERROR(--SUBSTITUTE(SUBSTITUTE(TRIM(INDEX(INDIRECT("'Выгрузка'!A598:Z598"),Настройки!$B$13)),",","."),".",MID(1/2,2,1)),"")))</f>
        <v/>
      </c>
      <c r="H598">
        <f>IF(F598="",0,IF(COUNTIF(Настройки!$B$17:$B$26,F598)&gt;0,1,IF(COUNTIF(Настройки!$C$17:$C$26,F598)&gt;0,2,IF(COUNTIF(Настройки!$D$17:$D$26,F598)&gt;0,3,0))))</f>
        <v/>
      </c>
      <c r="I598">
        <f>IF(AND(ISNUMBER(A598),ISNUMBER(B598)),A598*1000+B598,"")</f>
        <v/>
      </c>
      <c r="J598">
        <f>IF(I598="","",IF(COUNTIF(I$2:I598,I598)=1,MAX(J$1:J597)+1,""))</f>
        <v/>
      </c>
    </row>
    <row r="599">
      <c r="A599">
        <f>IFERROR(--SUBSTITUTE(SUBSTITUTE(TRIM(INDEX(INDIRECT("'Выгрузка'!A599:Z599"),Настройки!$B$7)),",","."),".",MID(1/2,2,1)),"")</f>
        <v/>
      </c>
      <c r="B599">
        <f>IFERROR(--SUBSTITUTE(SUBSTITUTE(TRIM(INDEX(INDIRECT("'Выгрузка'!A599:Z599"),Настройки!$B$9)),",","."),".",MID(1/2,2,1)),"")</f>
        <v/>
      </c>
      <c r="C599">
        <f>TRIM(INDEX(INDIRECT("'Выгрузка'!A599:Z599"),Настройки!$B$8)&amp;"")</f>
        <v/>
      </c>
      <c r="D599">
        <f>IFERROR(--SUBSTITUTE(SUBSTITUTE(TRIM(INDEX(INDIRECT("'Выгрузка'!A599:Z599"),Настройки!$B$10)),",","."),".",MID(1/2,2,1)),"")</f>
        <v/>
      </c>
      <c r="E599">
        <f>IFERROR(--SUBSTITUTE(SUBSTITUTE(TRIM(INDEX(INDIRECT("'Выгрузка'!A599:Z599"),Настройки!$B$11)),",","."),".",MID(1/2,2,1)),"")</f>
        <v/>
      </c>
      <c r="F599">
        <f>TRIM(INDEX(INDIRECT("'Выгрузка'!A599:Z599"),Настройки!$B$12)&amp;"")</f>
        <v/>
      </c>
      <c r="G599">
        <f>IF(F599="",0,IF(TRIM(INDEX(INDIRECT("'Выгрузка'!A599:Z599"),Настройки!$B$13)&amp;"")="",1,IFERROR(--SUBSTITUTE(SUBSTITUTE(TRIM(INDEX(INDIRECT("'Выгрузка'!A599:Z599"),Настройки!$B$13)),",","."),".",MID(1/2,2,1)),"")))</f>
        <v/>
      </c>
      <c r="H599">
        <f>IF(F599="",0,IF(COUNTIF(Настройки!$B$17:$B$26,F599)&gt;0,1,IF(COUNTIF(Настройки!$C$17:$C$26,F599)&gt;0,2,IF(COUNTIF(Настройки!$D$17:$D$26,F599)&gt;0,3,0))))</f>
        <v/>
      </c>
      <c r="I599">
        <f>IF(AND(ISNUMBER(A599),ISNUMBER(B599)),A599*1000+B599,"")</f>
        <v/>
      </c>
      <c r="J599">
        <f>IF(I599="","",IF(COUNTIF(I$2:I599,I599)=1,MAX(J$1:J598)+1,""))</f>
        <v/>
      </c>
    </row>
    <row r="600">
      <c r="A600">
        <f>IFERROR(--SUBSTITUTE(SUBSTITUTE(TRIM(INDEX(INDIRECT("'Выгрузка'!A600:Z600"),Настройки!$B$7)),",","."),".",MID(1/2,2,1)),"")</f>
        <v/>
      </c>
      <c r="B600">
        <f>IFERROR(--SUBSTITUTE(SUBSTITUTE(TRIM(INDEX(INDIRECT("'Выгрузка'!A600:Z600"),Настройки!$B$9)),",","."),".",MID(1/2,2,1)),"")</f>
        <v/>
      </c>
      <c r="C600">
        <f>TRIM(INDEX(INDIRECT("'Выгрузка'!A600:Z600"),Настройки!$B$8)&amp;"")</f>
        <v/>
      </c>
      <c r="D600">
        <f>IFERROR(--SUBSTITUTE(SUBSTITUTE(TRIM(INDEX(INDIRECT("'Выгрузка'!A600:Z600"),Настройки!$B$10)),",","."),".",MID(1/2,2,1)),"")</f>
        <v/>
      </c>
      <c r="E600">
        <f>IFERROR(--SUBSTITUTE(SUBSTITUTE(TRIM(INDEX(INDIRECT("'Выгрузка'!A600:Z600"),Настройки!$B$11)),",","."),".",MID(1/2,2,1)),"")</f>
        <v/>
      </c>
      <c r="F600">
        <f>TRIM(INDEX(INDIRECT("'Выгрузка'!A600:Z600"),Настройки!$B$12)&amp;"")</f>
        <v/>
      </c>
      <c r="G600">
        <f>IF(F600="",0,IF(TRIM(INDEX(INDIRECT("'Выгрузка'!A600:Z600"),Настройки!$B$13)&amp;"")="",1,IFERROR(--SUBSTITUTE(SUBSTITUTE(TRIM(INDEX(INDIRECT("'Выгрузка'!A600:Z600"),Настройки!$B$13)),",","."),".",MID(1/2,2,1)),"")))</f>
        <v/>
      </c>
      <c r="H600">
        <f>IF(F600="",0,IF(COUNTIF(Настройки!$B$17:$B$26,F600)&gt;0,1,IF(COUNTIF(Настройки!$C$17:$C$26,F600)&gt;0,2,IF(COUNTIF(Настройки!$D$17:$D$26,F600)&gt;0,3,0))))</f>
        <v/>
      </c>
      <c r="I600">
        <f>IF(AND(ISNUMBER(A600),ISNUMBER(B600)),A600*1000+B600,"")</f>
        <v/>
      </c>
      <c r="J600">
        <f>IF(I600="","",IF(COUNTIF(I$2:I600,I600)=1,MAX(J$1:J599)+1,""))</f>
        <v/>
      </c>
    </row>
    <row r="601">
      <c r="A601">
        <f>IFERROR(--SUBSTITUTE(SUBSTITUTE(TRIM(INDEX(INDIRECT("'Выгрузка'!A601:Z601"),Настройки!$B$7)),",","."),".",MID(1/2,2,1)),"")</f>
        <v/>
      </c>
      <c r="B601">
        <f>IFERROR(--SUBSTITUTE(SUBSTITUTE(TRIM(INDEX(INDIRECT("'Выгрузка'!A601:Z601"),Настройки!$B$9)),",","."),".",MID(1/2,2,1)),"")</f>
        <v/>
      </c>
      <c r="C601">
        <f>TRIM(INDEX(INDIRECT("'Выгрузка'!A601:Z601"),Настройки!$B$8)&amp;"")</f>
        <v/>
      </c>
      <c r="D601">
        <f>IFERROR(--SUBSTITUTE(SUBSTITUTE(TRIM(INDEX(INDIRECT("'Выгрузка'!A601:Z601"),Настройки!$B$10)),",","."),".",MID(1/2,2,1)),"")</f>
        <v/>
      </c>
      <c r="E601">
        <f>IFERROR(--SUBSTITUTE(SUBSTITUTE(TRIM(INDEX(INDIRECT("'Выгрузка'!A601:Z601"),Настройки!$B$11)),",","."),".",MID(1/2,2,1)),"")</f>
        <v/>
      </c>
      <c r="F601">
        <f>TRIM(INDEX(INDIRECT("'Выгрузка'!A601:Z601"),Настройки!$B$12)&amp;"")</f>
        <v/>
      </c>
      <c r="G601">
        <f>IF(F601="",0,IF(TRIM(INDEX(INDIRECT("'Выгрузка'!A601:Z601"),Настройки!$B$13)&amp;"")="",1,IFERROR(--SUBSTITUTE(SUBSTITUTE(TRIM(INDEX(INDIRECT("'Выгрузка'!A601:Z601"),Настройки!$B$13)),",","."),".",MID(1/2,2,1)),"")))</f>
        <v/>
      </c>
      <c r="H601">
        <f>IF(F601="",0,IF(COUNTIF(Настройки!$B$17:$B$26,F601)&gt;0,1,IF(COUNTIF(Настройки!$C$17:$C$26,F601)&gt;0,2,IF(COUNTIF(Настройки!$D$17:$D$26,F601)&gt;0,3,0))))</f>
        <v/>
      </c>
      <c r="I601">
        <f>IF(AND(ISNUMBER(A601),ISNUMBER(B601)),A601*1000+B601,"")</f>
        <v/>
      </c>
      <c r="J601">
        <f>IF(I601="","",IF(COUNTIF(I$2:I601,I601)=1,MAX(J$1:J600)+1,""))</f>
        <v/>
      </c>
    </row>
    <row r="602">
      <c r="A602">
        <f>IFERROR(--SUBSTITUTE(SUBSTITUTE(TRIM(INDEX(INDIRECT("'Выгрузка'!A602:Z602"),Настройки!$B$7)),",","."),".",MID(1/2,2,1)),"")</f>
        <v/>
      </c>
      <c r="B602">
        <f>IFERROR(--SUBSTITUTE(SUBSTITUTE(TRIM(INDEX(INDIRECT("'Выгрузка'!A602:Z602"),Настройки!$B$9)),",","."),".",MID(1/2,2,1)),"")</f>
        <v/>
      </c>
      <c r="C602">
        <f>TRIM(INDEX(INDIRECT("'Выгрузка'!A602:Z602"),Настройки!$B$8)&amp;"")</f>
        <v/>
      </c>
      <c r="D602">
        <f>IFERROR(--SUBSTITUTE(SUBSTITUTE(TRIM(INDEX(INDIRECT("'Выгрузка'!A602:Z602"),Настройки!$B$10)),",","."),".",MID(1/2,2,1)),"")</f>
        <v/>
      </c>
      <c r="E602">
        <f>IFERROR(--SUBSTITUTE(SUBSTITUTE(TRIM(INDEX(INDIRECT("'Выгрузка'!A602:Z602"),Настройки!$B$11)),",","."),".",MID(1/2,2,1)),"")</f>
        <v/>
      </c>
      <c r="F602">
        <f>TRIM(INDEX(INDIRECT("'Выгрузка'!A602:Z602"),Настройки!$B$12)&amp;"")</f>
        <v/>
      </c>
      <c r="G602">
        <f>IF(F602="",0,IF(TRIM(INDEX(INDIRECT("'Выгрузка'!A602:Z602"),Настройки!$B$13)&amp;"")="",1,IFERROR(--SUBSTITUTE(SUBSTITUTE(TRIM(INDEX(INDIRECT("'Выгрузка'!A602:Z602"),Настройки!$B$13)),",","."),".",MID(1/2,2,1)),"")))</f>
        <v/>
      </c>
      <c r="H602">
        <f>IF(F602="",0,IF(COUNTIF(Настройки!$B$17:$B$26,F602)&gt;0,1,IF(COUNTIF(Настройки!$C$17:$C$26,F602)&gt;0,2,IF(COUNTIF(Настройки!$D$17:$D$26,F602)&gt;0,3,0))))</f>
        <v/>
      </c>
      <c r="I602">
        <f>IF(AND(ISNUMBER(A602),ISNUMBER(B602)),A602*1000+B602,"")</f>
        <v/>
      </c>
      <c r="J602">
        <f>IF(I602="","",IF(COUNTIF(I$2:I602,I602)=1,MAX(J$1:J601)+1,""))</f>
        <v/>
      </c>
    </row>
    <row r="603">
      <c r="A603">
        <f>IFERROR(--SUBSTITUTE(SUBSTITUTE(TRIM(INDEX(INDIRECT("'Выгрузка'!A603:Z603"),Настройки!$B$7)),",","."),".",MID(1/2,2,1)),"")</f>
        <v/>
      </c>
      <c r="B603">
        <f>IFERROR(--SUBSTITUTE(SUBSTITUTE(TRIM(INDEX(INDIRECT("'Выгрузка'!A603:Z603"),Настройки!$B$9)),",","."),".",MID(1/2,2,1)),"")</f>
        <v/>
      </c>
      <c r="C603">
        <f>TRIM(INDEX(INDIRECT("'Выгрузка'!A603:Z603"),Настройки!$B$8)&amp;"")</f>
        <v/>
      </c>
      <c r="D603">
        <f>IFERROR(--SUBSTITUTE(SUBSTITUTE(TRIM(INDEX(INDIRECT("'Выгрузка'!A603:Z603"),Настройки!$B$10)),",","."),".",MID(1/2,2,1)),"")</f>
        <v/>
      </c>
      <c r="E603">
        <f>IFERROR(--SUBSTITUTE(SUBSTITUTE(TRIM(INDEX(INDIRECT("'Выгрузка'!A603:Z603"),Настройки!$B$11)),",","."),".",MID(1/2,2,1)),"")</f>
        <v/>
      </c>
      <c r="F603">
        <f>TRIM(INDEX(INDIRECT("'Выгрузка'!A603:Z603"),Настройки!$B$12)&amp;"")</f>
        <v/>
      </c>
      <c r="G603">
        <f>IF(F603="",0,IF(TRIM(INDEX(INDIRECT("'Выгрузка'!A603:Z603"),Настройки!$B$13)&amp;"")="",1,IFERROR(--SUBSTITUTE(SUBSTITUTE(TRIM(INDEX(INDIRECT("'Выгрузка'!A603:Z603"),Настройки!$B$13)),",","."),".",MID(1/2,2,1)),"")))</f>
        <v/>
      </c>
      <c r="H603">
        <f>IF(F603="",0,IF(COUNTIF(Настройки!$B$17:$B$26,F603)&gt;0,1,IF(COUNTIF(Настройки!$C$17:$C$26,F603)&gt;0,2,IF(COUNTIF(Настройки!$D$17:$D$26,F603)&gt;0,3,0))))</f>
        <v/>
      </c>
      <c r="I603">
        <f>IF(AND(ISNUMBER(A603),ISNUMBER(B603)),A603*1000+B603,"")</f>
        <v/>
      </c>
      <c r="J603">
        <f>IF(I603="","",IF(COUNTIF(I$2:I603,I603)=1,MAX(J$1:J602)+1,""))</f>
        <v/>
      </c>
    </row>
    <row r="604">
      <c r="A604">
        <f>IFERROR(--SUBSTITUTE(SUBSTITUTE(TRIM(INDEX(INDIRECT("'Выгрузка'!A604:Z604"),Настройки!$B$7)),",","."),".",MID(1/2,2,1)),"")</f>
        <v/>
      </c>
      <c r="B604">
        <f>IFERROR(--SUBSTITUTE(SUBSTITUTE(TRIM(INDEX(INDIRECT("'Выгрузка'!A604:Z604"),Настройки!$B$9)),",","."),".",MID(1/2,2,1)),"")</f>
        <v/>
      </c>
      <c r="C604">
        <f>TRIM(INDEX(INDIRECT("'Выгрузка'!A604:Z604"),Настройки!$B$8)&amp;"")</f>
        <v/>
      </c>
      <c r="D604">
        <f>IFERROR(--SUBSTITUTE(SUBSTITUTE(TRIM(INDEX(INDIRECT("'Выгрузка'!A604:Z604"),Настройки!$B$10)),",","."),".",MID(1/2,2,1)),"")</f>
        <v/>
      </c>
      <c r="E604">
        <f>IFERROR(--SUBSTITUTE(SUBSTITUTE(TRIM(INDEX(INDIRECT("'Выгрузка'!A604:Z604"),Настройки!$B$11)),",","."),".",MID(1/2,2,1)),"")</f>
        <v/>
      </c>
      <c r="F604">
        <f>TRIM(INDEX(INDIRECT("'Выгрузка'!A604:Z604"),Настройки!$B$12)&amp;"")</f>
        <v/>
      </c>
      <c r="G604">
        <f>IF(F604="",0,IF(TRIM(INDEX(INDIRECT("'Выгрузка'!A604:Z604"),Настройки!$B$13)&amp;"")="",1,IFERROR(--SUBSTITUTE(SUBSTITUTE(TRIM(INDEX(INDIRECT("'Выгрузка'!A604:Z604"),Настройки!$B$13)),",","."),".",MID(1/2,2,1)),"")))</f>
        <v/>
      </c>
      <c r="H604">
        <f>IF(F604="",0,IF(COUNTIF(Настройки!$B$17:$B$26,F604)&gt;0,1,IF(COUNTIF(Настройки!$C$17:$C$26,F604)&gt;0,2,IF(COUNTIF(Настройки!$D$17:$D$26,F604)&gt;0,3,0))))</f>
        <v/>
      </c>
      <c r="I604">
        <f>IF(AND(ISNUMBER(A604),ISNUMBER(B604)),A604*1000+B604,"")</f>
        <v/>
      </c>
      <c r="J604">
        <f>IF(I604="","",IF(COUNTIF(I$2:I604,I604)=1,MAX(J$1:J603)+1,""))</f>
        <v/>
      </c>
    </row>
    <row r="605">
      <c r="A605">
        <f>IFERROR(--SUBSTITUTE(SUBSTITUTE(TRIM(INDEX(INDIRECT("'Выгрузка'!A605:Z605"),Настройки!$B$7)),",","."),".",MID(1/2,2,1)),"")</f>
        <v/>
      </c>
      <c r="B605">
        <f>IFERROR(--SUBSTITUTE(SUBSTITUTE(TRIM(INDEX(INDIRECT("'Выгрузка'!A605:Z605"),Настройки!$B$9)),",","."),".",MID(1/2,2,1)),"")</f>
        <v/>
      </c>
      <c r="C605">
        <f>TRIM(INDEX(INDIRECT("'Выгрузка'!A605:Z605"),Настройки!$B$8)&amp;"")</f>
        <v/>
      </c>
      <c r="D605">
        <f>IFERROR(--SUBSTITUTE(SUBSTITUTE(TRIM(INDEX(INDIRECT("'Выгрузка'!A605:Z605"),Настройки!$B$10)),",","."),".",MID(1/2,2,1)),"")</f>
        <v/>
      </c>
      <c r="E605">
        <f>IFERROR(--SUBSTITUTE(SUBSTITUTE(TRIM(INDEX(INDIRECT("'Выгрузка'!A605:Z605"),Настройки!$B$11)),",","."),".",MID(1/2,2,1)),"")</f>
        <v/>
      </c>
      <c r="F605">
        <f>TRIM(INDEX(INDIRECT("'Выгрузка'!A605:Z605"),Настройки!$B$12)&amp;"")</f>
        <v/>
      </c>
      <c r="G605">
        <f>IF(F605="",0,IF(TRIM(INDEX(INDIRECT("'Выгрузка'!A605:Z605"),Настройки!$B$13)&amp;"")="",1,IFERROR(--SUBSTITUTE(SUBSTITUTE(TRIM(INDEX(INDIRECT("'Выгрузка'!A605:Z605"),Настройки!$B$13)),",","."),".",MID(1/2,2,1)),"")))</f>
        <v/>
      </c>
      <c r="H605">
        <f>IF(F605="",0,IF(COUNTIF(Настройки!$B$17:$B$26,F605)&gt;0,1,IF(COUNTIF(Настройки!$C$17:$C$26,F605)&gt;0,2,IF(COUNTIF(Настройки!$D$17:$D$26,F605)&gt;0,3,0))))</f>
        <v/>
      </c>
      <c r="I605">
        <f>IF(AND(ISNUMBER(A605),ISNUMBER(B605)),A605*1000+B605,"")</f>
        <v/>
      </c>
      <c r="J605">
        <f>IF(I605="","",IF(COUNTIF(I$2:I605,I605)=1,MAX(J$1:J604)+1,""))</f>
        <v/>
      </c>
    </row>
    <row r="606">
      <c r="A606">
        <f>IFERROR(--SUBSTITUTE(SUBSTITUTE(TRIM(INDEX(INDIRECT("'Выгрузка'!A606:Z606"),Настройки!$B$7)),",","."),".",MID(1/2,2,1)),"")</f>
        <v/>
      </c>
      <c r="B606">
        <f>IFERROR(--SUBSTITUTE(SUBSTITUTE(TRIM(INDEX(INDIRECT("'Выгрузка'!A606:Z606"),Настройки!$B$9)),",","."),".",MID(1/2,2,1)),"")</f>
        <v/>
      </c>
      <c r="C606">
        <f>TRIM(INDEX(INDIRECT("'Выгрузка'!A606:Z606"),Настройки!$B$8)&amp;"")</f>
        <v/>
      </c>
      <c r="D606">
        <f>IFERROR(--SUBSTITUTE(SUBSTITUTE(TRIM(INDEX(INDIRECT("'Выгрузка'!A606:Z606"),Настройки!$B$10)),",","."),".",MID(1/2,2,1)),"")</f>
        <v/>
      </c>
      <c r="E606">
        <f>IFERROR(--SUBSTITUTE(SUBSTITUTE(TRIM(INDEX(INDIRECT("'Выгрузка'!A606:Z606"),Настройки!$B$11)),",","."),".",MID(1/2,2,1)),"")</f>
        <v/>
      </c>
      <c r="F606">
        <f>TRIM(INDEX(INDIRECT("'Выгрузка'!A606:Z606"),Настройки!$B$12)&amp;"")</f>
        <v/>
      </c>
      <c r="G606">
        <f>IF(F606="",0,IF(TRIM(INDEX(INDIRECT("'Выгрузка'!A606:Z606"),Настройки!$B$13)&amp;"")="",1,IFERROR(--SUBSTITUTE(SUBSTITUTE(TRIM(INDEX(INDIRECT("'Выгрузка'!A606:Z606"),Настройки!$B$13)),",","."),".",MID(1/2,2,1)),"")))</f>
        <v/>
      </c>
      <c r="H606">
        <f>IF(F606="",0,IF(COUNTIF(Настройки!$B$17:$B$26,F606)&gt;0,1,IF(COUNTIF(Настройки!$C$17:$C$26,F606)&gt;0,2,IF(COUNTIF(Настройки!$D$17:$D$26,F606)&gt;0,3,0))))</f>
        <v/>
      </c>
      <c r="I606">
        <f>IF(AND(ISNUMBER(A606),ISNUMBER(B606)),A606*1000+B606,"")</f>
        <v/>
      </c>
      <c r="J606">
        <f>IF(I606="","",IF(COUNTIF(I$2:I606,I606)=1,MAX(J$1:J605)+1,""))</f>
        <v/>
      </c>
    </row>
    <row r="607">
      <c r="A607">
        <f>IFERROR(--SUBSTITUTE(SUBSTITUTE(TRIM(INDEX(INDIRECT("'Выгрузка'!A607:Z607"),Настройки!$B$7)),",","."),".",MID(1/2,2,1)),"")</f>
        <v/>
      </c>
      <c r="B607">
        <f>IFERROR(--SUBSTITUTE(SUBSTITUTE(TRIM(INDEX(INDIRECT("'Выгрузка'!A607:Z607"),Настройки!$B$9)),",","."),".",MID(1/2,2,1)),"")</f>
        <v/>
      </c>
      <c r="C607">
        <f>TRIM(INDEX(INDIRECT("'Выгрузка'!A607:Z607"),Настройки!$B$8)&amp;"")</f>
        <v/>
      </c>
      <c r="D607">
        <f>IFERROR(--SUBSTITUTE(SUBSTITUTE(TRIM(INDEX(INDIRECT("'Выгрузка'!A607:Z607"),Настройки!$B$10)),",","."),".",MID(1/2,2,1)),"")</f>
        <v/>
      </c>
      <c r="E607">
        <f>IFERROR(--SUBSTITUTE(SUBSTITUTE(TRIM(INDEX(INDIRECT("'Выгрузка'!A607:Z607"),Настройки!$B$11)),",","."),".",MID(1/2,2,1)),"")</f>
        <v/>
      </c>
      <c r="F607">
        <f>TRIM(INDEX(INDIRECT("'Выгрузка'!A607:Z607"),Настройки!$B$12)&amp;"")</f>
        <v/>
      </c>
      <c r="G607">
        <f>IF(F607="",0,IF(TRIM(INDEX(INDIRECT("'Выгрузка'!A607:Z607"),Настройки!$B$13)&amp;"")="",1,IFERROR(--SUBSTITUTE(SUBSTITUTE(TRIM(INDEX(INDIRECT("'Выгрузка'!A607:Z607"),Настройки!$B$13)),",","."),".",MID(1/2,2,1)),"")))</f>
        <v/>
      </c>
      <c r="H607">
        <f>IF(F607="",0,IF(COUNTIF(Настройки!$B$17:$B$26,F607)&gt;0,1,IF(COUNTIF(Настройки!$C$17:$C$26,F607)&gt;0,2,IF(COUNTIF(Настройки!$D$17:$D$26,F607)&gt;0,3,0))))</f>
        <v/>
      </c>
      <c r="I607">
        <f>IF(AND(ISNUMBER(A607),ISNUMBER(B607)),A607*1000+B607,"")</f>
        <v/>
      </c>
      <c r="J607">
        <f>IF(I607="","",IF(COUNTIF(I$2:I607,I607)=1,MAX(J$1:J606)+1,""))</f>
        <v/>
      </c>
    </row>
    <row r="608">
      <c r="A608">
        <f>IFERROR(--SUBSTITUTE(SUBSTITUTE(TRIM(INDEX(INDIRECT("'Выгрузка'!A608:Z608"),Настройки!$B$7)),",","."),".",MID(1/2,2,1)),"")</f>
        <v/>
      </c>
      <c r="B608">
        <f>IFERROR(--SUBSTITUTE(SUBSTITUTE(TRIM(INDEX(INDIRECT("'Выгрузка'!A608:Z608"),Настройки!$B$9)),",","."),".",MID(1/2,2,1)),"")</f>
        <v/>
      </c>
      <c r="C608">
        <f>TRIM(INDEX(INDIRECT("'Выгрузка'!A608:Z608"),Настройки!$B$8)&amp;"")</f>
        <v/>
      </c>
      <c r="D608">
        <f>IFERROR(--SUBSTITUTE(SUBSTITUTE(TRIM(INDEX(INDIRECT("'Выгрузка'!A608:Z608"),Настройки!$B$10)),",","."),".",MID(1/2,2,1)),"")</f>
        <v/>
      </c>
      <c r="E608">
        <f>IFERROR(--SUBSTITUTE(SUBSTITUTE(TRIM(INDEX(INDIRECT("'Выгрузка'!A608:Z608"),Настройки!$B$11)),",","."),".",MID(1/2,2,1)),"")</f>
        <v/>
      </c>
      <c r="F608">
        <f>TRIM(INDEX(INDIRECT("'Выгрузка'!A608:Z608"),Настройки!$B$12)&amp;"")</f>
        <v/>
      </c>
      <c r="G608">
        <f>IF(F608="",0,IF(TRIM(INDEX(INDIRECT("'Выгрузка'!A608:Z608"),Настройки!$B$13)&amp;"")="",1,IFERROR(--SUBSTITUTE(SUBSTITUTE(TRIM(INDEX(INDIRECT("'Выгрузка'!A608:Z608"),Настройки!$B$13)),",","."),".",MID(1/2,2,1)),"")))</f>
        <v/>
      </c>
      <c r="H608">
        <f>IF(F608="",0,IF(COUNTIF(Настройки!$B$17:$B$26,F608)&gt;0,1,IF(COUNTIF(Настройки!$C$17:$C$26,F608)&gt;0,2,IF(COUNTIF(Настройки!$D$17:$D$26,F608)&gt;0,3,0))))</f>
        <v/>
      </c>
      <c r="I608">
        <f>IF(AND(ISNUMBER(A608),ISNUMBER(B608)),A608*1000+B608,"")</f>
        <v/>
      </c>
      <c r="J608">
        <f>IF(I608="","",IF(COUNTIF(I$2:I608,I608)=1,MAX(J$1:J607)+1,""))</f>
        <v/>
      </c>
    </row>
    <row r="609">
      <c r="A609">
        <f>IFERROR(--SUBSTITUTE(SUBSTITUTE(TRIM(INDEX(INDIRECT("'Выгрузка'!A609:Z609"),Настройки!$B$7)),",","."),".",MID(1/2,2,1)),"")</f>
        <v/>
      </c>
      <c r="B609">
        <f>IFERROR(--SUBSTITUTE(SUBSTITUTE(TRIM(INDEX(INDIRECT("'Выгрузка'!A609:Z609"),Настройки!$B$9)),",","."),".",MID(1/2,2,1)),"")</f>
        <v/>
      </c>
      <c r="C609">
        <f>TRIM(INDEX(INDIRECT("'Выгрузка'!A609:Z609"),Настройки!$B$8)&amp;"")</f>
        <v/>
      </c>
      <c r="D609">
        <f>IFERROR(--SUBSTITUTE(SUBSTITUTE(TRIM(INDEX(INDIRECT("'Выгрузка'!A609:Z609"),Настройки!$B$10)),",","."),".",MID(1/2,2,1)),"")</f>
        <v/>
      </c>
      <c r="E609">
        <f>IFERROR(--SUBSTITUTE(SUBSTITUTE(TRIM(INDEX(INDIRECT("'Выгрузка'!A609:Z609"),Настройки!$B$11)),",","."),".",MID(1/2,2,1)),"")</f>
        <v/>
      </c>
      <c r="F609">
        <f>TRIM(INDEX(INDIRECT("'Выгрузка'!A609:Z609"),Настройки!$B$12)&amp;"")</f>
        <v/>
      </c>
      <c r="G609">
        <f>IF(F609="",0,IF(TRIM(INDEX(INDIRECT("'Выгрузка'!A609:Z609"),Настройки!$B$13)&amp;"")="",1,IFERROR(--SUBSTITUTE(SUBSTITUTE(TRIM(INDEX(INDIRECT("'Выгрузка'!A609:Z609"),Настройки!$B$13)),",","."),".",MID(1/2,2,1)),"")))</f>
        <v/>
      </c>
      <c r="H609">
        <f>IF(F609="",0,IF(COUNTIF(Настройки!$B$17:$B$26,F609)&gt;0,1,IF(COUNTIF(Настройки!$C$17:$C$26,F609)&gt;0,2,IF(COUNTIF(Настройки!$D$17:$D$26,F609)&gt;0,3,0))))</f>
        <v/>
      </c>
      <c r="I609">
        <f>IF(AND(ISNUMBER(A609),ISNUMBER(B609)),A609*1000+B609,"")</f>
        <v/>
      </c>
      <c r="J609">
        <f>IF(I609="","",IF(COUNTIF(I$2:I609,I609)=1,MAX(J$1:J608)+1,""))</f>
        <v/>
      </c>
    </row>
    <row r="610">
      <c r="A610">
        <f>IFERROR(--SUBSTITUTE(SUBSTITUTE(TRIM(INDEX(INDIRECT("'Выгрузка'!A610:Z610"),Настройки!$B$7)),",","."),".",MID(1/2,2,1)),"")</f>
        <v/>
      </c>
      <c r="B610">
        <f>IFERROR(--SUBSTITUTE(SUBSTITUTE(TRIM(INDEX(INDIRECT("'Выгрузка'!A610:Z610"),Настройки!$B$9)),",","."),".",MID(1/2,2,1)),"")</f>
        <v/>
      </c>
      <c r="C610">
        <f>TRIM(INDEX(INDIRECT("'Выгрузка'!A610:Z610"),Настройки!$B$8)&amp;"")</f>
        <v/>
      </c>
      <c r="D610">
        <f>IFERROR(--SUBSTITUTE(SUBSTITUTE(TRIM(INDEX(INDIRECT("'Выгрузка'!A610:Z610"),Настройки!$B$10)),",","."),".",MID(1/2,2,1)),"")</f>
        <v/>
      </c>
      <c r="E610">
        <f>IFERROR(--SUBSTITUTE(SUBSTITUTE(TRIM(INDEX(INDIRECT("'Выгрузка'!A610:Z610"),Настройки!$B$11)),",","."),".",MID(1/2,2,1)),"")</f>
        <v/>
      </c>
      <c r="F610">
        <f>TRIM(INDEX(INDIRECT("'Выгрузка'!A610:Z610"),Настройки!$B$12)&amp;"")</f>
        <v/>
      </c>
      <c r="G610">
        <f>IF(F610="",0,IF(TRIM(INDEX(INDIRECT("'Выгрузка'!A610:Z610"),Настройки!$B$13)&amp;"")="",1,IFERROR(--SUBSTITUTE(SUBSTITUTE(TRIM(INDEX(INDIRECT("'Выгрузка'!A610:Z610"),Настройки!$B$13)),",","."),".",MID(1/2,2,1)),"")))</f>
        <v/>
      </c>
      <c r="H610">
        <f>IF(F610="",0,IF(COUNTIF(Настройки!$B$17:$B$26,F610)&gt;0,1,IF(COUNTIF(Настройки!$C$17:$C$26,F610)&gt;0,2,IF(COUNTIF(Настройки!$D$17:$D$26,F610)&gt;0,3,0))))</f>
        <v/>
      </c>
      <c r="I610">
        <f>IF(AND(ISNUMBER(A610),ISNUMBER(B610)),A610*1000+B610,"")</f>
        <v/>
      </c>
      <c r="J610">
        <f>IF(I610="","",IF(COUNTIF(I$2:I610,I610)=1,MAX(J$1:J609)+1,""))</f>
        <v/>
      </c>
    </row>
    <row r="611">
      <c r="A611">
        <f>IFERROR(--SUBSTITUTE(SUBSTITUTE(TRIM(INDEX(INDIRECT("'Выгрузка'!A611:Z611"),Настройки!$B$7)),",","."),".",MID(1/2,2,1)),"")</f>
        <v/>
      </c>
      <c r="B611">
        <f>IFERROR(--SUBSTITUTE(SUBSTITUTE(TRIM(INDEX(INDIRECT("'Выгрузка'!A611:Z611"),Настройки!$B$9)),",","."),".",MID(1/2,2,1)),"")</f>
        <v/>
      </c>
      <c r="C611">
        <f>TRIM(INDEX(INDIRECT("'Выгрузка'!A611:Z611"),Настройки!$B$8)&amp;"")</f>
        <v/>
      </c>
      <c r="D611">
        <f>IFERROR(--SUBSTITUTE(SUBSTITUTE(TRIM(INDEX(INDIRECT("'Выгрузка'!A611:Z611"),Настройки!$B$10)),",","."),".",MID(1/2,2,1)),"")</f>
        <v/>
      </c>
      <c r="E611">
        <f>IFERROR(--SUBSTITUTE(SUBSTITUTE(TRIM(INDEX(INDIRECT("'Выгрузка'!A611:Z611"),Настройки!$B$11)),",","."),".",MID(1/2,2,1)),"")</f>
        <v/>
      </c>
      <c r="F611">
        <f>TRIM(INDEX(INDIRECT("'Выгрузка'!A611:Z611"),Настройки!$B$12)&amp;"")</f>
        <v/>
      </c>
      <c r="G611">
        <f>IF(F611="",0,IF(TRIM(INDEX(INDIRECT("'Выгрузка'!A611:Z611"),Настройки!$B$13)&amp;"")="",1,IFERROR(--SUBSTITUTE(SUBSTITUTE(TRIM(INDEX(INDIRECT("'Выгрузка'!A611:Z611"),Настройки!$B$13)),",","."),".",MID(1/2,2,1)),"")))</f>
        <v/>
      </c>
      <c r="H611">
        <f>IF(F611="",0,IF(COUNTIF(Настройки!$B$17:$B$26,F611)&gt;0,1,IF(COUNTIF(Настройки!$C$17:$C$26,F611)&gt;0,2,IF(COUNTIF(Настройки!$D$17:$D$26,F611)&gt;0,3,0))))</f>
        <v/>
      </c>
      <c r="I611">
        <f>IF(AND(ISNUMBER(A611),ISNUMBER(B611)),A611*1000+B611,"")</f>
        <v/>
      </c>
      <c r="J611">
        <f>IF(I611="","",IF(COUNTIF(I$2:I611,I611)=1,MAX(J$1:J610)+1,""))</f>
        <v/>
      </c>
    </row>
    <row r="612">
      <c r="A612">
        <f>IFERROR(--SUBSTITUTE(SUBSTITUTE(TRIM(INDEX(INDIRECT("'Выгрузка'!A612:Z612"),Настройки!$B$7)),",","."),".",MID(1/2,2,1)),"")</f>
        <v/>
      </c>
      <c r="B612">
        <f>IFERROR(--SUBSTITUTE(SUBSTITUTE(TRIM(INDEX(INDIRECT("'Выгрузка'!A612:Z612"),Настройки!$B$9)),",","."),".",MID(1/2,2,1)),"")</f>
        <v/>
      </c>
      <c r="C612">
        <f>TRIM(INDEX(INDIRECT("'Выгрузка'!A612:Z612"),Настройки!$B$8)&amp;"")</f>
        <v/>
      </c>
      <c r="D612">
        <f>IFERROR(--SUBSTITUTE(SUBSTITUTE(TRIM(INDEX(INDIRECT("'Выгрузка'!A612:Z612"),Настройки!$B$10)),",","."),".",MID(1/2,2,1)),"")</f>
        <v/>
      </c>
      <c r="E612">
        <f>IFERROR(--SUBSTITUTE(SUBSTITUTE(TRIM(INDEX(INDIRECT("'Выгрузка'!A612:Z612"),Настройки!$B$11)),",","."),".",MID(1/2,2,1)),"")</f>
        <v/>
      </c>
      <c r="F612">
        <f>TRIM(INDEX(INDIRECT("'Выгрузка'!A612:Z612"),Настройки!$B$12)&amp;"")</f>
        <v/>
      </c>
      <c r="G612">
        <f>IF(F612="",0,IF(TRIM(INDEX(INDIRECT("'Выгрузка'!A612:Z612"),Настройки!$B$13)&amp;"")="",1,IFERROR(--SUBSTITUTE(SUBSTITUTE(TRIM(INDEX(INDIRECT("'Выгрузка'!A612:Z612"),Настройки!$B$13)),",","."),".",MID(1/2,2,1)),"")))</f>
        <v/>
      </c>
      <c r="H612">
        <f>IF(F612="",0,IF(COUNTIF(Настройки!$B$17:$B$26,F612)&gt;0,1,IF(COUNTIF(Настройки!$C$17:$C$26,F612)&gt;0,2,IF(COUNTIF(Настройки!$D$17:$D$26,F612)&gt;0,3,0))))</f>
        <v/>
      </c>
      <c r="I612">
        <f>IF(AND(ISNUMBER(A612),ISNUMBER(B612)),A612*1000+B612,"")</f>
        <v/>
      </c>
      <c r="J612">
        <f>IF(I612="","",IF(COUNTIF(I$2:I612,I612)=1,MAX(J$1:J611)+1,""))</f>
        <v/>
      </c>
    </row>
    <row r="613">
      <c r="A613">
        <f>IFERROR(--SUBSTITUTE(SUBSTITUTE(TRIM(INDEX(INDIRECT("'Выгрузка'!A613:Z613"),Настройки!$B$7)),",","."),".",MID(1/2,2,1)),"")</f>
        <v/>
      </c>
      <c r="B613">
        <f>IFERROR(--SUBSTITUTE(SUBSTITUTE(TRIM(INDEX(INDIRECT("'Выгрузка'!A613:Z613"),Настройки!$B$9)),",","."),".",MID(1/2,2,1)),"")</f>
        <v/>
      </c>
      <c r="C613">
        <f>TRIM(INDEX(INDIRECT("'Выгрузка'!A613:Z613"),Настройки!$B$8)&amp;"")</f>
        <v/>
      </c>
      <c r="D613">
        <f>IFERROR(--SUBSTITUTE(SUBSTITUTE(TRIM(INDEX(INDIRECT("'Выгрузка'!A613:Z613"),Настройки!$B$10)),",","."),".",MID(1/2,2,1)),"")</f>
        <v/>
      </c>
      <c r="E613">
        <f>IFERROR(--SUBSTITUTE(SUBSTITUTE(TRIM(INDEX(INDIRECT("'Выгрузка'!A613:Z613"),Настройки!$B$11)),",","."),".",MID(1/2,2,1)),"")</f>
        <v/>
      </c>
      <c r="F613">
        <f>TRIM(INDEX(INDIRECT("'Выгрузка'!A613:Z613"),Настройки!$B$12)&amp;"")</f>
        <v/>
      </c>
      <c r="G613">
        <f>IF(F613="",0,IF(TRIM(INDEX(INDIRECT("'Выгрузка'!A613:Z613"),Настройки!$B$13)&amp;"")="",1,IFERROR(--SUBSTITUTE(SUBSTITUTE(TRIM(INDEX(INDIRECT("'Выгрузка'!A613:Z613"),Настройки!$B$13)),",","."),".",MID(1/2,2,1)),"")))</f>
        <v/>
      </c>
      <c r="H613">
        <f>IF(F613="",0,IF(COUNTIF(Настройки!$B$17:$B$26,F613)&gt;0,1,IF(COUNTIF(Настройки!$C$17:$C$26,F613)&gt;0,2,IF(COUNTIF(Настройки!$D$17:$D$26,F613)&gt;0,3,0))))</f>
        <v/>
      </c>
      <c r="I613">
        <f>IF(AND(ISNUMBER(A613),ISNUMBER(B613)),A613*1000+B613,"")</f>
        <v/>
      </c>
      <c r="J613">
        <f>IF(I613="","",IF(COUNTIF(I$2:I613,I613)=1,MAX(J$1:J612)+1,""))</f>
        <v/>
      </c>
    </row>
    <row r="614">
      <c r="A614">
        <f>IFERROR(--SUBSTITUTE(SUBSTITUTE(TRIM(INDEX(INDIRECT("'Выгрузка'!A614:Z614"),Настройки!$B$7)),",","."),".",MID(1/2,2,1)),"")</f>
        <v/>
      </c>
      <c r="B614">
        <f>IFERROR(--SUBSTITUTE(SUBSTITUTE(TRIM(INDEX(INDIRECT("'Выгрузка'!A614:Z614"),Настройки!$B$9)),",","."),".",MID(1/2,2,1)),"")</f>
        <v/>
      </c>
      <c r="C614">
        <f>TRIM(INDEX(INDIRECT("'Выгрузка'!A614:Z614"),Настройки!$B$8)&amp;"")</f>
        <v/>
      </c>
      <c r="D614">
        <f>IFERROR(--SUBSTITUTE(SUBSTITUTE(TRIM(INDEX(INDIRECT("'Выгрузка'!A614:Z614"),Настройки!$B$10)),",","."),".",MID(1/2,2,1)),"")</f>
        <v/>
      </c>
      <c r="E614">
        <f>IFERROR(--SUBSTITUTE(SUBSTITUTE(TRIM(INDEX(INDIRECT("'Выгрузка'!A614:Z614"),Настройки!$B$11)),",","."),".",MID(1/2,2,1)),"")</f>
        <v/>
      </c>
      <c r="F614">
        <f>TRIM(INDEX(INDIRECT("'Выгрузка'!A614:Z614"),Настройки!$B$12)&amp;"")</f>
        <v/>
      </c>
      <c r="G614">
        <f>IF(F614="",0,IF(TRIM(INDEX(INDIRECT("'Выгрузка'!A614:Z614"),Настройки!$B$13)&amp;"")="",1,IFERROR(--SUBSTITUTE(SUBSTITUTE(TRIM(INDEX(INDIRECT("'Выгрузка'!A614:Z614"),Настройки!$B$13)),",","."),".",MID(1/2,2,1)),"")))</f>
        <v/>
      </c>
      <c r="H614">
        <f>IF(F614="",0,IF(COUNTIF(Настройки!$B$17:$B$26,F614)&gt;0,1,IF(COUNTIF(Настройки!$C$17:$C$26,F614)&gt;0,2,IF(COUNTIF(Настройки!$D$17:$D$26,F614)&gt;0,3,0))))</f>
        <v/>
      </c>
      <c r="I614">
        <f>IF(AND(ISNUMBER(A614),ISNUMBER(B614)),A614*1000+B614,"")</f>
        <v/>
      </c>
      <c r="J614">
        <f>IF(I614="","",IF(COUNTIF(I$2:I614,I614)=1,MAX(J$1:J613)+1,""))</f>
        <v/>
      </c>
    </row>
    <row r="615">
      <c r="A615">
        <f>IFERROR(--SUBSTITUTE(SUBSTITUTE(TRIM(INDEX(INDIRECT("'Выгрузка'!A615:Z615"),Настройки!$B$7)),",","."),".",MID(1/2,2,1)),"")</f>
        <v/>
      </c>
      <c r="B615">
        <f>IFERROR(--SUBSTITUTE(SUBSTITUTE(TRIM(INDEX(INDIRECT("'Выгрузка'!A615:Z615"),Настройки!$B$9)),",","."),".",MID(1/2,2,1)),"")</f>
        <v/>
      </c>
      <c r="C615">
        <f>TRIM(INDEX(INDIRECT("'Выгрузка'!A615:Z615"),Настройки!$B$8)&amp;"")</f>
        <v/>
      </c>
      <c r="D615">
        <f>IFERROR(--SUBSTITUTE(SUBSTITUTE(TRIM(INDEX(INDIRECT("'Выгрузка'!A615:Z615"),Настройки!$B$10)),",","."),".",MID(1/2,2,1)),"")</f>
        <v/>
      </c>
      <c r="E615">
        <f>IFERROR(--SUBSTITUTE(SUBSTITUTE(TRIM(INDEX(INDIRECT("'Выгрузка'!A615:Z615"),Настройки!$B$11)),",","."),".",MID(1/2,2,1)),"")</f>
        <v/>
      </c>
      <c r="F615">
        <f>TRIM(INDEX(INDIRECT("'Выгрузка'!A615:Z615"),Настройки!$B$12)&amp;"")</f>
        <v/>
      </c>
      <c r="G615">
        <f>IF(F615="",0,IF(TRIM(INDEX(INDIRECT("'Выгрузка'!A615:Z615"),Настройки!$B$13)&amp;"")="",1,IFERROR(--SUBSTITUTE(SUBSTITUTE(TRIM(INDEX(INDIRECT("'Выгрузка'!A615:Z615"),Настройки!$B$13)),",","."),".",MID(1/2,2,1)),"")))</f>
        <v/>
      </c>
      <c r="H615">
        <f>IF(F615="",0,IF(COUNTIF(Настройки!$B$17:$B$26,F615)&gt;0,1,IF(COUNTIF(Настройки!$C$17:$C$26,F615)&gt;0,2,IF(COUNTIF(Настройки!$D$17:$D$26,F615)&gt;0,3,0))))</f>
        <v/>
      </c>
      <c r="I615">
        <f>IF(AND(ISNUMBER(A615),ISNUMBER(B615)),A615*1000+B615,"")</f>
        <v/>
      </c>
      <c r="J615">
        <f>IF(I615="","",IF(COUNTIF(I$2:I615,I615)=1,MAX(J$1:J614)+1,""))</f>
        <v/>
      </c>
    </row>
    <row r="616">
      <c r="A616">
        <f>IFERROR(--SUBSTITUTE(SUBSTITUTE(TRIM(INDEX(INDIRECT("'Выгрузка'!A616:Z616"),Настройки!$B$7)),",","."),".",MID(1/2,2,1)),"")</f>
        <v/>
      </c>
      <c r="B616">
        <f>IFERROR(--SUBSTITUTE(SUBSTITUTE(TRIM(INDEX(INDIRECT("'Выгрузка'!A616:Z616"),Настройки!$B$9)),",","."),".",MID(1/2,2,1)),"")</f>
        <v/>
      </c>
      <c r="C616">
        <f>TRIM(INDEX(INDIRECT("'Выгрузка'!A616:Z616"),Настройки!$B$8)&amp;"")</f>
        <v/>
      </c>
      <c r="D616">
        <f>IFERROR(--SUBSTITUTE(SUBSTITUTE(TRIM(INDEX(INDIRECT("'Выгрузка'!A616:Z616"),Настройки!$B$10)),",","."),".",MID(1/2,2,1)),"")</f>
        <v/>
      </c>
      <c r="E616">
        <f>IFERROR(--SUBSTITUTE(SUBSTITUTE(TRIM(INDEX(INDIRECT("'Выгрузка'!A616:Z616"),Настройки!$B$11)),",","."),".",MID(1/2,2,1)),"")</f>
        <v/>
      </c>
      <c r="F616">
        <f>TRIM(INDEX(INDIRECT("'Выгрузка'!A616:Z616"),Настройки!$B$12)&amp;"")</f>
        <v/>
      </c>
      <c r="G616">
        <f>IF(F616="",0,IF(TRIM(INDEX(INDIRECT("'Выгрузка'!A616:Z616"),Настройки!$B$13)&amp;"")="",1,IFERROR(--SUBSTITUTE(SUBSTITUTE(TRIM(INDEX(INDIRECT("'Выгрузка'!A616:Z616"),Настройки!$B$13)),",","."),".",MID(1/2,2,1)),"")))</f>
        <v/>
      </c>
      <c r="H616">
        <f>IF(F616="",0,IF(COUNTIF(Настройки!$B$17:$B$26,F616)&gt;0,1,IF(COUNTIF(Настройки!$C$17:$C$26,F616)&gt;0,2,IF(COUNTIF(Настройки!$D$17:$D$26,F616)&gt;0,3,0))))</f>
        <v/>
      </c>
      <c r="I616">
        <f>IF(AND(ISNUMBER(A616),ISNUMBER(B616)),A616*1000+B616,"")</f>
        <v/>
      </c>
      <c r="J616">
        <f>IF(I616="","",IF(COUNTIF(I$2:I616,I616)=1,MAX(J$1:J615)+1,""))</f>
        <v/>
      </c>
    </row>
    <row r="617">
      <c r="A617">
        <f>IFERROR(--SUBSTITUTE(SUBSTITUTE(TRIM(INDEX(INDIRECT("'Выгрузка'!A617:Z617"),Настройки!$B$7)),",","."),".",MID(1/2,2,1)),"")</f>
        <v/>
      </c>
      <c r="B617">
        <f>IFERROR(--SUBSTITUTE(SUBSTITUTE(TRIM(INDEX(INDIRECT("'Выгрузка'!A617:Z617"),Настройки!$B$9)),",","."),".",MID(1/2,2,1)),"")</f>
        <v/>
      </c>
      <c r="C617">
        <f>TRIM(INDEX(INDIRECT("'Выгрузка'!A617:Z617"),Настройки!$B$8)&amp;"")</f>
        <v/>
      </c>
      <c r="D617">
        <f>IFERROR(--SUBSTITUTE(SUBSTITUTE(TRIM(INDEX(INDIRECT("'Выгрузка'!A617:Z617"),Настройки!$B$10)),",","."),".",MID(1/2,2,1)),"")</f>
        <v/>
      </c>
      <c r="E617">
        <f>IFERROR(--SUBSTITUTE(SUBSTITUTE(TRIM(INDEX(INDIRECT("'Выгрузка'!A617:Z617"),Настройки!$B$11)),",","."),".",MID(1/2,2,1)),"")</f>
        <v/>
      </c>
      <c r="F617">
        <f>TRIM(INDEX(INDIRECT("'Выгрузка'!A617:Z617"),Настройки!$B$12)&amp;"")</f>
        <v/>
      </c>
      <c r="G617">
        <f>IF(F617="",0,IF(TRIM(INDEX(INDIRECT("'Выгрузка'!A617:Z617"),Настройки!$B$13)&amp;"")="",1,IFERROR(--SUBSTITUTE(SUBSTITUTE(TRIM(INDEX(INDIRECT("'Выгрузка'!A617:Z617"),Настройки!$B$13)),",","."),".",MID(1/2,2,1)),"")))</f>
        <v/>
      </c>
      <c r="H617">
        <f>IF(F617="",0,IF(COUNTIF(Настройки!$B$17:$B$26,F617)&gt;0,1,IF(COUNTIF(Настройки!$C$17:$C$26,F617)&gt;0,2,IF(COUNTIF(Настройки!$D$17:$D$26,F617)&gt;0,3,0))))</f>
        <v/>
      </c>
      <c r="I617">
        <f>IF(AND(ISNUMBER(A617),ISNUMBER(B617)),A617*1000+B617,"")</f>
        <v/>
      </c>
      <c r="J617">
        <f>IF(I617="","",IF(COUNTIF(I$2:I617,I617)=1,MAX(J$1:J616)+1,""))</f>
        <v/>
      </c>
    </row>
    <row r="618">
      <c r="A618">
        <f>IFERROR(--SUBSTITUTE(SUBSTITUTE(TRIM(INDEX(INDIRECT("'Выгрузка'!A618:Z618"),Настройки!$B$7)),",","."),".",MID(1/2,2,1)),"")</f>
        <v/>
      </c>
      <c r="B618">
        <f>IFERROR(--SUBSTITUTE(SUBSTITUTE(TRIM(INDEX(INDIRECT("'Выгрузка'!A618:Z618"),Настройки!$B$9)),",","."),".",MID(1/2,2,1)),"")</f>
        <v/>
      </c>
      <c r="C618">
        <f>TRIM(INDEX(INDIRECT("'Выгрузка'!A618:Z618"),Настройки!$B$8)&amp;"")</f>
        <v/>
      </c>
      <c r="D618">
        <f>IFERROR(--SUBSTITUTE(SUBSTITUTE(TRIM(INDEX(INDIRECT("'Выгрузка'!A618:Z618"),Настройки!$B$10)),",","."),".",MID(1/2,2,1)),"")</f>
        <v/>
      </c>
      <c r="E618">
        <f>IFERROR(--SUBSTITUTE(SUBSTITUTE(TRIM(INDEX(INDIRECT("'Выгрузка'!A618:Z618"),Настройки!$B$11)),",","."),".",MID(1/2,2,1)),"")</f>
        <v/>
      </c>
      <c r="F618">
        <f>TRIM(INDEX(INDIRECT("'Выгрузка'!A618:Z618"),Настройки!$B$12)&amp;"")</f>
        <v/>
      </c>
      <c r="G618">
        <f>IF(F618="",0,IF(TRIM(INDEX(INDIRECT("'Выгрузка'!A618:Z618"),Настройки!$B$13)&amp;"")="",1,IFERROR(--SUBSTITUTE(SUBSTITUTE(TRIM(INDEX(INDIRECT("'Выгрузка'!A618:Z618"),Настройки!$B$13)),",","."),".",MID(1/2,2,1)),"")))</f>
        <v/>
      </c>
      <c r="H618">
        <f>IF(F618="",0,IF(COUNTIF(Настройки!$B$17:$B$26,F618)&gt;0,1,IF(COUNTIF(Настройки!$C$17:$C$26,F618)&gt;0,2,IF(COUNTIF(Настройки!$D$17:$D$26,F618)&gt;0,3,0))))</f>
        <v/>
      </c>
      <c r="I618">
        <f>IF(AND(ISNUMBER(A618),ISNUMBER(B618)),A618*1000+B618,"")</f>
        <v/>
      </c>
      <c r="J618">
        <f>IF(I618="","",IF(COUNTIF(I$2:I618,I618)=1,MAX(J$1:J617)+1,""))</f>
        <v/>
      </c>
    </row>
    <row r="619">
      <c r="A619">
        <f>IFERROR(--SUBSTITUTE(SUBSTITUTE(TRIM(INDEX(INDIRECT("'Выгрузка'!A619:Z619"),Настройки!$B$7)),",","."),".",MID(1/2,2,1)),"")</f>
        <v/>
      </c>
      <c r="B619">
        <f>IFERROR(--SUBSTITUTE(SUBSTITUTE(TRIM(INDEX(INDIRECT("'Выгрузка'!A619:Z619"),Настройки!$B$9)),",","."),".",MID(1/2,2,1)),"")</f>
        <v/>
      </c>
      <c r="C619">
        <f>TRIM(INDEX(INDIRECT("'Выгрузка'!A619:Z619"),Настройки!$B$8)&amp;"")</f>
        <v/>
      </c>
      <c r="D619">
        <f>IFERROR(--SUBSTITUTE(SUBSTITUTE(TRIM(INDEX(INDIRECT("'Выгрузка'!A619:Z619"),Настройки!$B$10)),",","."),".",MID(1/2,2,1)),"")</f>
        <v/>
      </c>
      <c r="E619">
        <f>IFERROR(--SUBSTITUTE(SUBSTITUTE(TRIM(INDEX(INDIRECT("'Выгрузка'!A619:Z619"),Настройки!$B$11)),",","."),".",MID(1/2,2,1)),"")</f>
        <v/>
      </c>
      <c r="F619">
        <f>TRIM(INDEX(INDIRECT("'Выгрузка'!A619:Z619"),Настройки!$B$12)&amp;"")</f>
        <v/>
      </c>
      <c r="G619">
        <f>IF(F619="",0,IF(TRIM(INDEX(INDIRECT("'Выгрузка'!A619:Z619"),Настройки!$B$13)&amp;"")="",1,IFERROR(--SUBSTITUTE(SUBSTITUTE(TRIM(INDEX(INDIRECT("'Выгрузка'!A619:Z619"),Настройки!$B$13)),",","."),".",MID(1/2,2,1)),"")))</f>
        <v/>
      </c>
      <c r="H619">
        <f>IF(F619="",0,IF(COUNTIF(Настройки!$B$17:$B$26,F619)&gt;0,1,IF(COUNTIF(Настройки!$C$17:$C$26,F619)&gt;0,2,IF(COUNTIF(Настройки!$D$17:$D$26,F619)&gt;0,3,0))))</f>
        <v/>
      </c>
      <c r="I619">
        <f>IF(AND(ISNUMBER(A619),ISNUMBER(B619)),A619*1000+B619,"")</f>
        <v/>
      </c>
      <c r="J619">
        <f>IF(I619="","",IF(COUNTIF(I$2:I619,I619)=1,MAX(J$1:J618)+1,""))</f>
        <v/>
      </c>
    </row>
    <row r="620">
      <c r="A620">
        <f>IFERROR(--SUBSTITUTE(SUBSTITUTE(TRIM(INDEX(INDIRECT("'Выгрузка'!A620:Z620"),Настройки!$B$7)),",","."),".",MID(1/2,2,1)),"")</f>
        <v/>
      </c>
      <c r="B620">
        <f>IFERROR(--SUBSTITUTE(SUBSTITUTE(TRIM(INDEX(INDIRECT("'Выгрузка'!A620:Z620"),Настройки!$B$9)),",","."),".",MID(1/2,2,1)),"")</f>
        <v/>
      </c>
      <c r="C620">
        <f>TRIM(INDEX(INDIRECT("'Выгрузка'!A620:Z620"),Настройки!$B$8)&amp;"")</f>
        <v/>
      </c>
      <c r="D620">
        <f>IFERROR(--SUBSTITUTE(SUBSTITUTE(TRIM(INDEX(INDIRECT("'Выгрузка'!A620:Z620"),Настройки!$B$10)),",","."),".",MID(1/2,2,1)),"")</f>
        <v/>
      </c>
      <c r="E620">
        <f>IFERROR(--SUBSTITUTE(SUBSTITUTE(TRIM(INDEX(INDIRECT("'Выгрузка'!A620:Z620"),Настройки!$B$11)),",","."),".",MID(1/2,2,1)),"")</f>
        <v/>
      </c>
      <c r="F620">
        <f>TRIM(INDEX(INDIRECT("'Выгрузка'!A620:Z620"),Настройки!$B$12)&amp;"")</f>
        <v/>
      </c>
      <c r="G620">
        <f>IF(F620="",0,IF(TRIM(INDEX(INDIRECT("'Выгрузка'!A620:Z620"),Настройки!$B$13)&amp;"")="",1,IFERROR(--SUBSTITUTE(SUBSTITUTE(TRIM(INDEX(INDIRECT("'Выгрузка'!A620:Z620"),Настройки!$B$13)),",","."),".",MID(1/2,2,1)),"")))</f>
        <v/>
      </c>
      <c r="H620">
        <f>IF(F620="",0,IF(COUNTIF(Настройки!$B$17:$B$26,F620)&gt;0,1,IF(COUNTIF(Настройки!$C$17:$C$26,F620)&gt;0,2,IF(COUNTIF(Настройки!$D$17:$D$26,F620)&gt;0,3,0))))</f>
        <v/>
      </c>
      <c r="I620">
        <f>IF(AND(ISNUMBER(A620),ISNUMBER(B620)),A620*1000+B620,"")</f>
        <v/>
      </c>
      <c r="J620">
        <f>IF(I620="","",IF(COUNTIF(I$2:I620,I620)=1,MAX(J$1:J619)+1,""))</f>
        <v/>
      </c>
    </row>
    <row r="621">
      <c r="A621">
        <f>IFERROR(--SUBSTITUTE(SUBSTITUTE(TRIM(INDEX(INDIRECT("'Выгрузка'!A621:Z621"),Настройки!$B$7)),",","."),".",MID(1/2,2,1)),"")</f>
        <v/>
      </c>
      <c r="B621">
        <f>IFERROR(--SUBSTITUTE(SUBSTITUTE(TRIM(INDEX(INDIRECT("'Выгрузка'!A621:Z621"),Настройки!$B$9)),",","."),".",MID(1/2,2,1)),"")</f>
        <v/>
      </c>
      <c r="C621">
        <f>TRIM(INDEX(INDIRECT("'Выгрузка'!A621:Z621"),Настройки!$B$8)&amp;"")</f>
        <v/>
      </c>
      <c r="D621">
        <f>IFERROR(--SUBSTITUTE(SUBSTITUTE(TRIM(INDEX(INDIRECT("'Выгрузка'!A621:Z621"),Настройки!$B$10)),",","."),".",MID(1/2,2,1)),"")</f>
        <v/>
      </c>
      <c r="E621">
        <f>IFERROR(--SUBSTITUTE(SUBSTITUTE(TRIM(INDEX(INDIRECT("'Выгрузка'!A621:Z621"),Настройки!$B$11)),",","."),".",MID(1/2,2,1)),"")</f>
        <v/>
      </c>
      <c r="F621">
        <f>TRIM(INDEX(INDIRECT("'Выгрузка'!A621:Z621"),Настройки!$B$12)&amp;"")</f>
        <v/>
      </c>
      <c r="G621">
        <f>IF(F621="",0,IF(TRIM(INDEX(INDIRECT("'Выгрузка'!A621:Z621"),Настройки!$B$13)&amp;"")="",1,IFERROR(--SUBSTITUTE(SUBSTITUTE(TRIM(INDEX(INDIRECT("'Выгрузка'!A621:Z621"),Настройки!$B$13)),",","."),".",MID(1/2,2,1)),"")))</f>
        <v/>
      </c>
      <c r="H621">
        <f>IF(F621="",0,IF(COUNTIF(Настройки!$B$17:$B$26,F621)&gt;0,1,IF(COUNTIF(Настройки!$C$17:$C$26,F621)&gt;0,2,IF(COUNTIF(Настройки!$D$17:$D$26,F621)&gt;0,3,0))))</f>
        <v/>
      </c>
      <c r="I621">
        <f>IF(AND(ISNUMBER(A621),ISNUMBER(B621)),A621*1000+B621,"")</f>
        <v/>
      </c>
      <c r="J621">
        <f>IF(I621="","",IF(COUNTIF(I$2:I621,I621)=1,MAX(J$1:J620)+1,""))</f>
        <v/>
      </c>
    </row>
    <row r="622">
      <c r="A622">
        <f>IFERROR(--SUBSTITUTE(SUBSTITUTE(TRIM(INDEX(INDIRECT("'Выгрузка'!A622:Z622"),Настройки!$B$7)),",","."),".",MID(1/2,2,1)),"")</f>
        <v/>
      </c>
      <c r="B622">
        <f>IFERROR(--SUBSTITUTE(SUBSTITUTE(TRIM(INDEX(INDIRECT("'Выгрузка'!A622:Z622"),Настройки!$B$9)),",","."),".",MID(1/2,2,1)),"")</f>
        <v/>
      </c>
      <c r="C622">
        <f>TRIM(INDEX(INDIRECT("'Выгрузка'!A622:Z622"),Настройки!$B$8)&amp;"")</f>
        <v/>
      </c>
      <c r="D622">
        <f>IFERROR(--SUBSTITUTE(SUBSTITUTE(TRIM(INDEX(INDIRECT("'Выгрузка'!A622:Z622"),Настройки!$B$10)),",","."),".",MID(1/2,2,1)),"")</f>
        <v/>
      </c>
      <c r="E622">
        <f>IFERROR(--SUBSTITUTE(SUBSTITUTE(TRIM(INDEX(INDIRECT("'Выгрузка'!A622:Z622"),Настройки!$B$11)),",","."),".",MID(1/2,2,1)),"")</f>
        <v/>
      </c>
      <c r="F622">
        <f>TRIM(INDEX(INDIRECT("'Выгрузка'!A622:Z622"),Настройки!$B$12)&amp;"")</f>
        <v/>
      </c>
      <c r="G622">
        <f>IF(F622="",0,IF(TRIM(INDEX(INDIRECT("'Выгрузка'!A622:Z622"),Настройки!$B$13)&amp;"")="",1,IFERROR(--SUBSTITUTE(SUBSTITUTE(TRIM(INDEX(INDIRECT("'Выгрузка'!A622:Z622"),Настройки!$B$13)),",","."),".",MID(1/2,2,1)),"")))</f>
        <v/>
      </c>
      <c r="H622">
        <f>IF(F622="",0,IF(COUNTIF(Настройки!$B$17:$B$26,F622)&gt;0,1,IF(COUNTIF(Настройки!$C$17:$C$26,F622)&gt;0,2,IF(COUNTIF(Настройки!$D$17:$D$26,F622)&gt;0,3,0))))</f>
        <v/>
      </c>
      <c r="I622">
        <f>IF(AND(ISNUMBER(A622),ISNUMBER(B622)),A622*1000+B622,"")</f>
        <v/>
      </c>
      <c r="J622">
        <f>IF(I622="","",IF(COUNTIF(I$2:I622,I622)=1,MAX(J$1:J621)+1,""))</f>
        <v/>
      </c>
    </row>
    <row r="623">
      <c r="A623">
        <f>IFERROR(--SUBSTITUTE(SUBSTITUTE(TRIM(INDEX(INDIRECT("'Выгрузка'!A623:Z623"),Настройки!$B$7)),",","."),".",MID(1/2,2,1)),"")</f>
        <v/>
      </c>
      <c r="B623">
        <f>IFERROR(--SUBSTITUTE(SUBSTITUTE(TRIM(INDEX(INDIRECT("'Выгрузка'!A623:Z623"),Настройки!$B$9)),",","."),".",MID(1/2,2,1)),"")</f>
        <v/>
      </c>
      <c r="C623">
        <f>TRIM(INDEX(INDIRECT("'Выгрузка'!A623:Z623"),Настройки!$B$8)&amp;"")</f>
        <v/>
      </c>
      <c r="D623">
        <f>IFERROR(--SUBSTITUTE(SUBSTITUTE(TRIM(INDEX(INDIRECT("'Выгрузка'!A623:Z623"),Настройки!$B$10)),",","."),".",MID(1/2,2,1)),"")</f>
        <v/>
      </c>
      <c r="E623">
        <f>IFERROR(--SUBSTITUTE(SUBSTITUTE(TRIM(INDEX(INDIRECT("'Выгрузка'!A623:Z623"),Настройки!$B$11)),",","."),".",MID(1/2,2,1)),"")</f>
        <v/>
      </c>
      <c r="F623">
        <f>TRIM(INDEX(INDIRECT("'Выгрузка'!A623:Z623"),Настройки!$B$12)&amp;"")</f>
        <v/>
      </c>
      <c r="G623">
        <f>IF(F623="",0,IF(TRIM(INDEX(INDIRECT("'Выгрузка'!A623:Z623"),Настройки!$B$13)&amp;"")="",1,IFERROR(--SUBSTITUTE(SUBSTITUTE(TRIM(INDEX(INDIRECT("'Выгрузка'!A623:Z623"),Настройки!$B$13)),",","."),".",MID(1/2,2,1)),"")))</f>
        <v/>
      </c>
      <c r="H623">
        <f>IF(F623="",0,IF(COUNTIF(Настройки!$B$17:$B$26,F623)&gt;0,1,IF(COUNTIF(Настройки!$C$17:$C$26,F623)&gt;0,2,IF(COUNTIF(Настройки!$D$17:$D$26,F623)&gt;0,3,0))))</f>
        <v/>
      </c>
      <c r="I623">
        <f>IF(AND(ISNUMBER(A623),ISNUMBER(B623)),A623*1000+B623,"")</f>
        <v/>
      </c>
      <c r="J623">
        <f>IF(I623="","",IF(COUNTIF(I$2:I623,I623)=1,MAX(J$1:J622)+1,""))</f>
        <v/>
      </c>
    </row>
    <row r="624">
      <c r="A624">
        <f>IFERROR(--SUBSTITUTE(SUBSTITUTE(TRIM(INDEX(INDIRECT("'Выгрузка'!A624:Z624"),Настройки!$B$7)),",","."),".",MID(1/2,2,1)),"")</f>
        <v/>
      </c>
      <c r="B624">
        <f>IFERROR(--SUBSTITUTE(SUBSTITUTE(TRIM(INDEX(INDIRECT("'Выгрузка'!A624:Z624"),Настройки!$B$9)),",","."),".",MID(1/2,2,1)),"")</f>
        <v/>
      </c>
      <c r="C624">
        <f>TRIM(INDEX(INDIRECT("'Выгрузка'!A624:Z624"),Настройки!$B$8)&amp;"")</f>
        <v/>
      </c>
      <c r="D624">
        <f>IFERROR(--SUBSTITUTE(SUBSTITUTE(TRIM(INDEX(INDIRECT("'Выгрузка'!A624:Z624"),Настройки!$B$10)),",","."),".",MID(1/2,2,1)),"")</f>
        <v/>
      </c>
      <c r="E624">
        <f>IFERROR(--SUBSTITUTE(SUBSTITUTE(TRIM(INDEX(INDIRECT("'Выгрузка'!A624:Z624"),Настройки!$B$11)),",","."),".",MID(1/2,2,1)),"")</f>
        <v/>
      </c>
      <c r="F624">
        <f>TRIM(INDEX(INDIRECT("'Выгрузка'!A624:Z624"),Настройки!$B$12)&amp;"")</f>
        <v/>
      </c>
      <c r="G624">
        <f>IF(F624="",0,IF(TRIM(INDEX(INDIRECT("'Выгрузка'!A624:Z624"),Настройки!$B$13)&amp;"")="",1,IFERROR(--SUBSTITUTE(SUBSTITUTE(TRIM(INDEX(INDIRECT("'Выгрузка'!A624:Z624"),Настройки!$B$13)),",","."),".",MID(1/2,2,1)),"")))</f>
        <v/>
      </c>
      <c r="H624">
        <f>IF(F624="",0,IF(COUNTIF(Настройки!$B$17:$B$26,F624)&gt;0,1,IF(COUNTIF(Настройки!$C$17:$C$26,F624)&gt;0,2,IF(COUNTIF(Настройки!$D$17:$D$26,F624)&gt;0,3,0))))</f>
        <v/>
      </c>
      <c r="I624">
        <f>IF(AND(ISNUMBER(A624),ISNUMBER(B624)),A624*1000+B624,"")</f>
        <v/>
      </c>
      <c r="J624">
        <f>IF(I624="","",IF(COUNTIF(I$2:I624,I624)=1,MAX(J$1:J623)+1,""))</f>
        <v/>
      </c>
    </row>
    <row r="625">
      <c r="A625">
        <f>IFERROR(--SUBSTITUTE(SUBSTITUTE(TRIM(INDEX(INDIRECT("'Выгрузка'!A625:Z625"),Настройки!$B$7)),",","."),".",MID(1/2,2,1)),"")</f>
        <v/>
      </c>
      <c r="B625">
        <f>IFERROR(--SUBSTITUTE(SUBSTITUTE(TRIM(INDEX(INDIRECT("'Выгрузка'!A625:Z625"),Настройки!$B$9)),",","."),".",MID(1/2,2,1)),"")</f>
        <v/>
      </c>
      <c r="C625">
        <f>TRIM(INDEX(INDIRECT("'Выгрузка'!A625:Z625"),Настройки!$B$8)&amp;"")</f>
        <v/>
      </c>
      <c r="D625">
        <f>IFERROR(--SUBSTITUTE(SUBSTITUTE(TRIM(INDEX(INDIRECT("'Выгрузка'!A625:Z625"),Настройки!$B$10)),",","."),".",MID(1/2,2,1)),"")</f>
        <v/>
      </c>
      <c r="E625">
        <f>IFERROR(--SUBSTITUTE(SUBSTITUTE(TRIM(INDEX(INDIRECT("'Выгрузка'!A625:Z625"),Настройки!$B$11)),",","."),".",MID(1/2,2,1)),"")</f>
        <v/>
      </c>
      <c r="F625">
        <f>TRIM(INDEX(INDIRECT("'Выгрузка'!A625:Z625"),Настройки!$B$12)&amp;"")</f>
        <v/>
      </c>
      <c r="G625">
        <f>IF(F625="",0,IF(TRIM(INDEX(INDIRECT("'Выгрузка'!A625:Z625"),Настройки!$B$13)&amp;"")="",1,IFERROR(--SUBSTITUTE(SUBSTITUTE(TRIM(INDEX(INDIRECT("'Выгрузка'!A625:Z625"),Настройки!$B$13)),",","."),".",MID(1/2,2,1)),"")))</f>
        <v/>
      </c>
      <c r="H625">
        <f>IF(F625="",0,IF(COUNTIF(Настройки!$B$17:$B$26,F625)&gt;0,1,IF(COUNTIF(Настройки!$C$17:$C$26,F625)&gt;0,2,IF(COUNTIF(Настройки!$D$17:$D$26,F625)&gt;0,3,0))))</f>
        <v/>
      </c>
      <c r="I625">
        <f>IF(AND(ISNUMBER(A625),ISNUMBER(B625)),A625*1000+B625,"")</f>
        <v/>
      </c>
      <c r="J625">
        <f>IF(I625="","",IF(COUNTIF(I$2:I625,I625)=1,MAX(J$1:J624)+1,""))</f>
        <v/>
      </c>
    </row>
    <row r="626">
      <c r="A626">
        <f>IFERROR(--SUBSTITUTE(SUBSTITUTE(TRIM(INDEX(INDIRECT("'Выгрузка'!A626:Z626"),Настройки!$B$7)),",","."),".",MID(1/2,2,1)),"")</f>
        <v/>
      </c>
      <c r="B626">
        <f>IFERROR(--SUBSTITUTE(SUBSTITUTE(TRIM(INDEX(INDIRECT("'Выгрузка'!A626:Z626"),Настройки!$B$9)),",","."),".",MID(1/2,2,1)),"")</f>
        <v/>
      </c>
      <c r="C626">
        <f>TRIM(INDEX(INDIRECT("'Выгрузка'!A626:Z626"),Настройки!$B$8)&amp;"")</f>
        <v/>
      </c>
      <c r="D626">
        <f>IFERROR(--SUBSTITUTE(SUBSTITUTE(TRIM(INDEX(INDIRECT("'Выгрузка'!A626:Z626"),Настройки!$B$10)),",","."),".",MID(1/2,2,1)),"")</f>
        <v/>
      </c>
      <c r="E626">
        <f>IFERROR(--SUBSTITUTE(SUBSTITUTE(TRIM(INDEX(INDIRECT("'Выгрузка'!A626:Z626"),Настройки!$B$11)),",","."),".",MID(1/2,2,1)),"")</f>
        <v/>
      </c>
      <c r="F626">
        <f>TRIM(INDEX(INDIRECT("'Выгрузка'!A626:Z626"),Настройки!$B$12)&amp;"")</f>
        <v/>
      </c>
      <c r="G626">
        <f>IF(F626="",0,IF(TRIM(INDEX(INDIRECT("'Выгрузка'!A626:Z626"),Настройки!$B$13)&amp;"")="",1,IFERROR(--SUBSTITUTE(SUBSTITUTE(TRIM(INDEX(INDIRECT("'Выгрузка'!A626:Z626"),Настройки!$B$13)),",","."),".",MID(1/2,2,1)),"")))</f>
        <v/>
      </c>
      <c r="H626">
        <f>IF(F626="",0,IF(COUNTIF(Настройки!$B$17:$B$26,F626)&gt;0,1,IF(COUNTIF(Настройки!$C$17:$C$26,F626)&gt;0,2,IF(COUNTIF(Настройки!$D$17:$D$26,F626)&gt;0,3,0))))</f>
        <v/>
      </c>
      <c r="I626">
        <f>IF(AND(ISNUMBER(A626),ISNUMBER(B626)),A626*1000+B626,"")</f>
        <v/>
      </c>
      <c r="J626">
        <f>IF(I626="","",IF(COUNTIF(I$2:I626,I626)=1,MAX(J$1:J625)+1,""))</f>
        <v/>
      </c>
    </row>
    <row r="627">
      <c r="A627">
        <f>IFERROR(--SUBSTITUTE(SUBSTITUTE(TRIM(INDEX(INDIRECT("'Выгрузка'!A627:Z627"),Настройки!$B$7)),",","."),".",MID(1/2,2,1)),"")</f>
        <v/>
      </c>
      <c r="B627">
        <f>IFERROR(--SUBSTITUTE(SUBSTITUTE(TRIM(INDEX(INDIRECT("'Выгрузка'!A627:Z627"),Настройки!$B$9)),",","."),".",MID(1/2,2,1)),"")</f>
        <v/>
      </c>
      <c r="C627">
        <f>TRIM(INDEX(INDIRECT("'Выгрузка'!A627:Z627"),Настройки!$B$8)&amp;"")</f>
        <v/>
      </c>
      <c r="D627">
        <f>IFERROR(--SUBSTITUTE(SUBSTITUTE(TRIM(INDEX(INDIRECT("'Выгрузка'!A627:Z627"),Настройки!$B$10)),",","."),".",MID(1/2,2,1)),"")</f>
        <v/>
      </c>
      <c r="E627">
        <f>IFERROR(--SUBSTITUTE(SUBSTITUTE(TRIM(INDEX(INDIRECT("'Выгрузка'!A627:Z627"),Настройки!$B$11)),",","."),".",MID(1/2,2,1)),"")</f>
        <v/>
      </c>
      <c r="F627">
        <f>TRIM(INDEX(INDIRECT("'Выгрузка'!A627:Z627"),Настройки!$B$12)&amp;"")</f>
        <v/>
      </c>
      <c r="G627">
        <f>IF(F627="",0,IF(TRIM(INDEX(INDIRECT("'Выгрузка'!A627:Z627"),Настройки!$B$13)&amp;"")="",1,IFERROR(--SUBSTITUTE(SUBSTITUTE(TRIM(INDEX(INDIRECT("'Выгрузка'!A627:Z627"),Настройки!$B$13)),",","."),".",MID(1/2,2,1)),"")))</f>
        <v/>
      </c>
      <c r="H627">
        <f>IF(F627="",0,IF(COUNTIF(Настройки!$B$17:$B$26,F627)&gt;0,1,IF(COUNTIF(Настройки!$C$17:$C$26,F627)&gt;0,2,IF(COUNTIF(Настройки!$D$17:$D$26,F627)&gt;0,3,0))))</f>
        <v/>
      </c>
      <c r="I627">
        <f>IF(AND(ISNUMBER(A627),ISNUMBER(B627)),A627*1000+B627,"")</f>
        <v/>
      </c>
      <c r="J627">
        <f>IF(I627="","",IF(COUNTIF(I$2:I627,I627)=1,MAX(J$1:J626)+1,""))</f>
        <v/>
      </c>
    </row>
    <row r="628">
      <c r="A628">
        <f>IFERROR(--SUBSTITUTE(SUBSTITUTE(TRIM(INDEX(INDIRECT("'Выгрузка'!A628:Z628"),Настройки!$B$7)),",","."),".",MID(1/2,2,1)),"")</f>
        <v/>
      </c>
      <c r="B628">
        <f>IFERROR(--SUBSTITUTE(SUBSTITUTE(TRIM(INDEX(INDIRECT("'Выгрузка'!A628:Z628"),Настройки!$B$9)),",","."),".",MID(1/2,2,1)),"")</f>
        <v/>
      </c>
      <c r="C628">
        <f>TRIM(INDEX(INDIRECT("'Выгрузка'!A628:Z628"),Настройки!$B$8)&amp;"")</f>
        <v/>
      </c>
      <c r="D628">
        <f>IFERROR(--SUBSTITUTE(SUBSTITUTE(TRIM(INDEX(INDIRECT("'Выгрузка'!A628:Z628"),Настройки!$B$10)),",","."),".",MID(1/2,2,1)),"")</f>
        <v/>
      </c>
      <c r="E628">
        <f>IFERROR(--SUBSTITUTE(SUBSTITUTE(TRIM(INDEX(INDIRECT("'Выгрузка'!A628:Z628"),Настройки!$B$11)),",","."),".",MID(1/2,2,1)),"")</f>
        <v/>
      </c>
      <c r="F628">
        <f>TRIM(INDEX(INDIRECT("'Выгрузка'!A628:Z628"),Настройки!$B$12)&amp;"")</f>
        <v/>
      </c>
      <c r="G628">
        <f>IF(F628="",0,IF(TRIM(INDEX(INDIRECT("'Выгрузка'!A628:Z628"),Настройки!$B$13)&amp;"")="",1,IFERROR(--SUBSTITUTE(SUBSTITUTE(TRIM(INDEX(INDIRECT("'Выгрузка'!A628:Z628"),Настройки!$B$13)),",","."),".",MID(1/2,2,1)),"")))</f>
        <v/>
      </c>
      <c r="H628">
        <f>IF(F628="",0,IF(COUNTIF(Настройки!$B$17:$B$26,F628)&gt;0,1,IF(COUNTIF(Настройки!$C$17:$C$26,F628)&gt;0,2,IF(COUNTIF(Настройки!$D$17:$D$26,F628)&gt;0,3,0))))</f>
        <v/>
      </c>
      <c r="I628">
        <f>IF(AND(ISNUMBER(A628),ISNUMBER(B628)),A628*1000+B628,"")</f>
        <v/>
      </c>
      <c r="J628">
        <f>IF(I628="","",IF(COUNTIF(I$2:I628,I628)=1,MAX(J$1:J627)+1,""))</f>
        <v/>
      </c>
    </row>
    <row r="629">
      <c r="A629">
        <f>IFERROR(--SUBSTITUTE(SUBSTITUTE(TRIM(INDEX(INDIRECT("'Выгрузка'!A629:Z629"),Настройки!$B$7)),",","."),".",MID(1/2,2,1)),"")</f>
        <v/>
      </c>
      <c r="B629">
        <f>IFERROR(--SUBSTITUTE(SUBSTITUTE(TRIM(INDEX(INDIRECT("'Выгрузка'!A629:Z629"),Настройки!$B$9)),",","."),".",MID(1/2,2,1)),"")</f>
        <v/>
      </c>
      <c r="C629">
        <f>TRIM(INDEX(INDIRECT("'Выгрузка'!A629:Z629"),Настройки!$B$8)&amp;"")</f>
        <v/>
      </c>
      <c r="D629">
        <f>IFERROR(--SUBSTITUTE(SUBSTITUTE(TRIM(INDEX(INDIRECT("'Выгрузка'!A629:Z629"),Настройки!$B$10)),",","."),".",MID(1/2,2,1)),"")</f>
        <v/>
      </c>
      <c r="E629">
        <f>IFERROR(--SUBSTITUTE(SUBSTITUTE(TRIM(INDEX(INDIRECT("'Выгрузка'!A629:Z629"),Настройки!$B$11)),",","."),".",MID(1/2,2,1)),"")</f>
        <v/>
      </c>
      <c r="F629">
        <f>TRIM(INDEX(INDIRECT("'Выгрузка'!A629:Z629"),Настройки!$B$12)&amp;"")</f>
        <v/>
      </c>
      <c r="G629">
        <f>IF(F629="",0,IF(TRIM(INDEX(INDIRECT("'Выгрузка'!A629:Z629"),Настройки!$B$13)&amp;"")="",1,IFERROR(--SUBSTITUTE(SUBSTITUTE(TRIM(INDEX(INDIRECT("'Выгрузка'!A629:Z629"),Настройки!$B$13)),",","."),".",MID(1/2,2,1)),"")))</f>
        <v/>
      </c>
      <c r="H629">
        <f>IF(F629="",0,IF(COUNTIF(Настройки!$B$17:$B$26,F629)&gt;0,1,IF(COUNTIF(Настройки!$C$17:$C$26,F629)&gt;0,2,IF(COUNTIF(Настройки!$D$17:$D$26,F629)&gt;0,3,0))))</f>
        <v/>
      </c>
      <c r="I629">
        <f>IF(AND(ISNUMBER(A629),ISNUMBER(B629)),A629*1000+B629,"")</f>
        <v/>
      </c>
      <c r="J629">
        <f>IF(I629="","",IF(COUNTIF(I$2:I629,I629)=1,MAX(J$1:J628)+1,""))</f>
        <v/>
      </c>
    </row>
    <row r="630">
      <c r="A630">
        <f>IFERROR(--SUBSTITUTE(SUBSTITUTE(TRIM(INDEX(INDIRECT("'Выгрузка'!A630:Z630"),Настройки!$B$7)),",","."),".",MID(1/2,2,1)),"")</f>
        <v/>
      </c>
      <c r="B630">
        <f>IFERROR(--SUBSTITUTE(SUBSTITUTE(TRIM(INDEX(INDIRECT("'Выгрузка'!A630:Z630"),Настройки!$B$9)),",","."),".",MID(1/2,2,1)),"")</f>
        <v/>
      </c>
      <c r="C630">
        <f>TRIM(INDEX(INDIRECT("'Выгрузка'!A630:Z630"),Настройки!$B$8)&amp;"")</f>
        <v/>
      </c>
      <c r="D630">
        <f>IFERROR(--SUBSTITUTE(SUBSTITUTE(TRIM(INDEX(INDIRECT("'Выгрузка'!A630:Z630"),Настройки!$B$10)),",","."),".",MID(1/2,2,1)),"")</f>
        <v/>
      </c>
      <c r="E630">
        <f>IFERROR(--SUBSTITUTE(SUBSTITUTE(TRIM(INDEX(INDIRECT("'Выгрузка'!A630:Z630"),Настройки!$B$11)),",","."),".",MID(1/2,2,1)),"")</f>
        <v/>
      </c>
      <c r="F630">
        <f>TRIM(INDEX(INDIRECT("'Выгрузка'!A630:Z630"),Настройки!$B$12)&amp;"")</f>
        <v/>
      </c>
      <c r="G630">
        <f>IF(F630="",0,IF(TRIM(INDEX(INDIRECT("'Выгрузка'!A630:Z630"),Настройки!$B$13)&amp;"")="",1,IFERROR(--SUBSTITUTE(SUBSTITUTE(TRIM(INDEX(INDIRECT("'Выгрузка'!A630:Z630"),Настройки!$B$13)),",","."),".",MID(1/2,2,1)),"")))</f>
        <v/>
      </c>
      <c r="H630">
        <f>IF(F630="",0,IF(COUNTIF(Настройки!$B$17:$B$26,F630)&gt;0,1,IF(COUNTIF(Настройки!$C$17:$C$26,F630)&gt;0,2,IF(COUNTIF(Настройки!$D$17:$D$26,F630)&gt;0,3,0))))</f>
        <v/>
      </c>
      <c r="I630">
        <f>IF(AND(ISNUMBER(A630),ISNUMBER(B630)),A630*1000+B630,"")</f>
        <v/>
      </c>
      <c r="J630">
        <f>IF(I630="","",IF(COUNTIF(I$2:I630,I630)=1,MAX(J$1:J629)+1,""))</f>
        <v/>
      </c>
    </row>
    <row r="631">
      <c r="A631">
        <f>IFERROR(--SUBSTITUTE(SUBSTITUTE(TRIM(INDEX(INDIRECT("'Выгрузка'!A631:Z631"),Настройки!$B$7)),",","."),".",MID(1/2,2,1)),"")</f>
        <v/>
      </c>
      <c r="B631">
        <f>IFERROR(--SUBSTITUTE(SUBSTITUTE(TRIM(INDEX(INDIRECT("'Выгрузка'!A631:Z631"),Настройки!$B$9)),",","."),".",MID(1/2,2,1)),"")</f>
        <v/>
      </c>
      <c r="C631">
        <f>TRIM(INDEX(INDIRECT("'Выгрузка'!A631:Z631"),Настройки!$B$8)&amp;"")</f>
        <v/>
      </c>
      <c r="D631">
        <f>IFERROR(--SUBSTITUTE(SUBSTITUTE(TRIM(INDEX(INDIRECT("'Выгрузка'!A631:Z631"),Настройки!$B$10)),",","."),".",MID(1/2,2,1)),"")</f>
        <v/>
      </c>
      <c r="E631">
        <f>IFERROR(--SUBSTITUTE(SUBSTITUTE(TRIM(INDEX(INDIRECT("'Выгрузка'!A631:Z631"),Настройки!$B$11)),",","."),".",MID(1/2,2,1)),"")</f>
        <v/>
      </c>
      <c r="F631">
        <f>TRIM(INDEX(INDIRECT("'Выгрузка'!A631:Z631"),Настройки!$B$12)&amp;"")</f>
        <v/>
      </c>
      <c r="G631">
        <f>IF(F631="",0,IF(TRIM(INDEX(INDIRECT("'Выгрузка'!A631:Z631"),Настройки!$B$13)&amp;"")="",1,IFERROR(--SUBSTITUTE(SUBSTITUTE(TRIM(INDEX(INDIRECT("'Выгрузка'!A631:Z631"),Настройки!$B$13)),",","."),".",MID(1/2,2,1)),"")))</f>
        <v/>
      </c>
      <c r="H631">
        <f>IF(F631="",0,IF(COUNTIF(Настройки!$B$17:$B$26,F631)&gt;0,1,IF(COUNTIF(Настройки!$C$17:$C$26,F631)&gt;0,2,IF(COUNTIF(Настройки!$D$17:$D$26,F631)&gt;0,3,0))))</f>
        <v/>
      </c>
      <c r="I631">
        <f>IF(AND(ISNUMBER(A631),ISNUMBER(B631)),A631*1000+B631,"")</f>
        <v/>
      </c>
      <c r="J631">
        <f>IF(I631="","",IF(COUNTIF(I$2:I631,I631)=1,MAX(J$1:J630)+1,""))</f>
        <v/>
      </c>
    </row>
    <row r="632">
      <c r="A632">
        <f>IFERROR(--SUBSTITUTE(SUBSTITUTE(TRIM(INDEX(INDIRECT("'Выгрузка'!A632:Z632"),Настройки!$B$7)),",","."),".",MID(1/2,2,1)),"")</f>
        <v/>
      </c>
      <c r="B632">
        <f>IFERROR(--SUBSTITUTE(SUBSTITUTE(TRIM(INDEX(INDIRECT("'Выгрузка'!A632:Z632"),Настройки!$B$9)),",","."),".",MID(1/2,2,1)),"")</f>
        <v/>
      </c>
      <c r="C632">
        <f>TRIM(INDEX(INDIRECT("'Выгрузка'!A632:Z632"),Настройки!$B$8)&amp;"")</f>
        <v/>
      </c>
      <c r="D632">
        <f>IFERROR(--SUBSTITUTE(SUBSTITUTE(TRIM(INDEX(INDIRECT("'Выгрузка'!A632:Z632"),Настройки!$B$10)),",","."),".",MID(1/2,2,1)),"")</f>
        <v/>
      </c>
      <c r="E632">
        <f>IFERROR(--SUBSTITUTE(SUBSTITUTE(TRIM(INDEX(INDIRECT("'Выгрузка'!A632:Z632"),Настройки!$B$11)),",","."),".",MID(1/2,2,1)),"")</f>
        <v/>
      </c>
      <c r="F632">
        <f>TRIM(INDEX(INDIRECT("'Выгрузка'!A632:Z632"),Настройки!$B$12)&amp;"")</f>
        <v/>
      </c>
      <c r="G632">
        <f>IF(F632="",0,IF(TRIM(INDEX(INDIRECT("'Выгрузка'!A632:Z632"),Настройки!$B$13)&amp;"")="",1,IFERROR(--SUBSTITUTE(SUBSTITUTE(TRIM(INDEX(INDIRECT("'Выгрузка'!A632:Z632"),Настройки!$B$13)),",","."),".",MID(1/2,2,1)),"")))</f>
        <v/>
      </c>
      <c r="H632">
        <f>IF(F632="",0,IF(COUNTIF(Настройки!$B$17:$B$26,F632)&gt;0,1,IF(COUNTIF(Настройки!$C$17:$C$26,F632)&gt;0,2,IF(COUNTIF(Настройки!$D$17:$D$26,F632)&gt;0,3,0))))</f>
        <v/>
      </c>
      <c r="I632">
        <f>IF(AND(ISNUMBER(A632),ISNUMBER(B632)),A632*1000+B632,"")</f>
        <v/>
      </c>
      <c r="J632">
        <f>IF(I632="","",IF(COUNTIF(I$2:I632,I632)=1,MAX(J$1:J631)+1,""))</f>
        <v/>
      </c>
    </row>
    <row r="633">
      <c r="A633">
        <f>IFERROR(--SUBSTITUTE(SUBSTITUTE(TRIM(INDEX(INDIRECT("'Выгрузка'!A633:Z633"),Настройки!$B$7)),",","."),".",MID(1/2,2,1)),"")</f>
        <v/>
      </c>
      <c r="B633">
        <f>IFERROR(--SUBSTITUTE(SUBSTITUTE(TRIM(INDEX(INDIRECT("'Выгрузка'!A633:Z633"),Настройки!$B$9)),",","."),".",MID(1/2,2,1)),"")</f>
        <v/>
      </c>
      <c r="C633">
        <f>TRIM(INDEX(INDIRECT("'Выгрузка'!A633:Z633"),Настройки!$B$8)&amp;"")</f>
        <v/>
      </c>
      <c r="D633">
        <f>IFERROR(--SUBSTITUTE(SUBSTITUTE(TRIM(INDEX(INDIRECT("'Выгрузка'!A633:Z633"),Настройки!$B$10)),",","."),".",MID(1/2,2,1)),"")</f>
        <v/>
      </c>
      <c r="E633">
        <f>IFERROR(--SUBSTITUTE(SUBSTITUTE(TRIM(INDEX(INDIRECT("'Выгрузка'!A633:Z633"),Настройки!$B$11)),",","."),".",MID(1/2,2,1)),"")</f>
        <v/>
      </c>
      <c r="F633">
        <f>TRIM(INDEX(INDIRECT("'Выгрузка'!A633:Z633"),Настройки!$B$12)&amp;"")</f>
        <v/>
      </c>
      <c r="G633">
        <f>IF(F633="",0,IF(TRIM(INDEX(INDIRECT("'Выгрузка'!A633:Z633"),Настройки!$B$13)&amp;"")="",1,IFERROR(--SUBSTITUTE(SUBSTITUTE(TRIM(INDEX(INDIRECT("'Выгрузка'!A633:Z633"),Настройки!$B$13)),",","."),".",MID(1/2,2,1)),"")))</f>
        <v/>
      </c>
      <c r="H633">
        <f>IF(F633="",0,IF(COUNTIF(Настройки!$B$17:$B$26,F633)&gt;0,1,IF(COUNTIF(Настройки!$C$17:$C$26,F633)&gt;0,2,IF(COUNTIF(Настройки!$D$17:$D$26,F633)&gt;0,3,0))))</f>
        <v/>
      </c>
      <c r="I633">
        <f>IF(AND(ISNUMBER(A633),ISNUMBER(B633)),A633*1000+B633,"")</f>
        <v/>
      </c>
      <c r="J633">
        <f>IF(I633="","",IF(COUNTIF(I$2:I633,I633)=1,MAX(J$1:J632)+1,""))</f>
        <v/>
      </c>
    </row>
    <row r="634">
      <c r="A634">
        <f>IFERROR(--SUBSTITUTE(SUBSTITUTE(TRIM(INDEX(INDIRECT("'Выгрузка'!A634:Z634"),Настройки!$B$7)),",","."),".",MID(1/2,2,1)),"")</f>
        <v/>
      </c>
      <c r="B634">
        <f>IFERROR(--SUBSTITUTE(SUBSTITUTE(TRIM(INDEX(INDIRECT("'Выгрузка'!A634:Z634"),Настройки!$B$9)),",","."),".",MID(1/2,2,1)),"")</f>
        <v/>
      </c>
      <c r="C634">
        <f>TRIM(INDEX(INDIRECT("'Выгрузка'!A634:Z634"),Настройки!$B$8)&amp;"")</f>
        <v/>
      </c>
      <c r="D634">
        <f>IFERROR(--SUBSTITUTE(SUBSTITUTE(TRIM(INDEX(INDIRECT("'Выгрузка'!A634:Z634"),Настройки!$B$10)),",","."),".",MID(1/2,2,1)),"")</f>
        <v/>
      </c>
      <c r="E634">
        <f>IFERROR(--SUBSTITUTE(SUBSTITUTE(TRIM(INDEX(INDIRECT("'Выгрузка'!A634:Z634"),Настройки!$B$11)),",","."),".",MID(1/2,2,1)),"")</f>
        <v/>
      </c>
      <c r="F634">
        <f>TRIM(INDEX(INDIRECT("'Выгрузка'!A634:Z634"),Настройки!$B$12)&amp;"")</f>
        <v/>
      </c>
      <c r="G634">
        <f>IF(F634="",0,IF(TRIM(INDEX(INDIRECT("'Выгрузка'!A634:Z634"),Настройки!$B$13)&amp;"")="",1,IFERROR(--SUBSTITUTE(SUBSTITUTE(TRIM(INDEX(INDIRECT("'Выгрузка'!A634:Z634"),Настройки!$B$13)),",","."),".",MID(1/2,2,1)),"")))</f>
        <v/>
      </c>
      <c r="H634">
        <f>IF(F634="",0,IF(COUNTIF(Настройки!$B$17:$B$26,F634)&gt;0,1,IF(COUNTIF(Настройки!$C$17:$C$26,F634)&gt;0,2,IF(COUNTIF(Настройки!$D$17:$D$26,F634)&gt;0,3,0))))</f>
        <v/>
      </c>
      <c r="I634">
        <f>IF(AND(ISNUMBER(A634),ISNUMBER(B634)),A634*1000+B634,"")</f>
        <v/>
      </c>
      <c r="J634">
        <f>IF(I634="","",IF(COUNTIF(I$2:I634,I634)=1,MAX(J$1:J633)+1,""))</f>
        <v/>
      </c>
    </row>
    <row r="635">
      <c r="A635">
        <f>IFERROR(--SUBSTITUTE(SUBSTITUTE(TRIM(INDEX(INDIRECT("'Выгрузка'!A635:Z635"),Настройки!$B$7)),",","."),".",MID(1/2,2,1)),"")</f>
        <v/>
      </c>
      <c r="B635">
        <f>IFERROR(--SUBSTITUTE(SUBSTITUTE(TRIM(INDEX(INDIRECT("'Выгрузка'!A635:Z635"),Настройки!$B$9)),",","."),".",MID(1/2,2,1)),"")</f>
        <v/>
      </c>
      <c r="C635">
        <f>TRIM(INDEX(INDIRECT("'Выгрузка'!A635:Z635"),Настройки!$B$8)&amp;"")</f>
        <v/>
      </c>
      <c r="D635">
        <f>IFERROR(--SUBSTITUTE(SUBSTITUTE(TRIM(INDEX(INDIRECT("'Выгрузка'!A635:Z635"),Настройки!$B$10)),",","."),".",MID(1/2,2,1)),"")</f>
        <v/>
      </c>
      <c r="E635">
        <f>IFERROR(--SUBSTITUTE(SUBSTITUTE(TRIM(INDEX(INDIRECT("'Выгрузка'!A635:Z635"),Настройки!$B$11)),",","."),".",MID(1/2,2,1)),"")</f>
        <v/>
      </c>
      <c r="F635">
        <f>TRIM(INDEX(INDIRECT("'Выгрузка'!A635:Z635"),Настройки!$B$12)&amp;"")</f>
        <v/>
      </c>
      <c r="G635">
        <f>IF(F635="",0,IF(TRIM(INDEX(INDIRECT("'Выгрузка'!A635:Z635"),Настройки!$B$13)&amp;"")="",1,IFERROR(--SUBSTITUTE(SUBSTITUTE(TRIM(INDEX(INDIRECT("'Выгрузка'!A635:Z635"),Настройки!$B$13)),",","."),".",MID(1/2,2,1)),"")))</f>
        <v/>
      </c>
      <c r="H635">
        <f>IF(F635="",0,IF(COUNTIF(Настройки!$B$17:$B$26,F635)&gt;0,1,IF(COUNTIF(Настройки!$C$17:$C$26,F635)&gt;0,2,IF(COUNTIF(Настройки!$D$17:$D$26,F635)&gt;0,3,0))))</f>
        <v/>
      </c>
      <c r="I635">
        <f>IF(AND(ISNUMBER(A635),ISNUMBER(B635)),A635*1000+B635,"")</f>
        <v/>
      </c>
      <c r="J635">
        <f>IF(I635="","",IF(COUNTIF(I$2:I635,I635)=1,MAX(J$1:J634)+1,""))</f>
        <v/>
      </c>
    </row>
    <row r="636">
      <c r="A636">
        <f>IFERROR(--SUBSTITUTE(SUBSTITUTE(TRIM(INDEX(INDIRECT("'Выгрузка'!A636:Z636"),Настройки!$B$7)),",","."),".",MID(1/2,2,1)),"")</f>
        <v/>
      </c>
      <c r="B636">
        <f>IFERROR(--SUBSTITUTE(SUBSTITUTE(TRIM(INDEX(INDIRECT("'Выгрузка'!A636:Z636"),Настройки!$B$9)),",","."),".",MID(1/2,2,1)),"")</f>
        <v/>
      </c>
      <c r="C636">
        <f>TRIM(INDEX(INDIRECT("'Выгрузка'!A636:Z636"),Настройки!$B$8)&amp;"")</f>
        <v/>
      </c>
      <c r="D636">
        <f>IFERROR(--SUBSTITUTE(SUBSTITUTE(TRIM(INDEX(INDIRECT("'Выгрузка'!A636:Z636"),Настройки!$B$10)),",","."),".",MID(1/2,2,1)),"")</f>
        <v/>
      </c>
      <c r="E636">
        <f>IFERROR(--SUBSTITUTE(SUBSTITUTE(TRIM(INDEX(INDIRECT("'Выгрузка'!A636:Z636"),Настройки!$B$11)),",","."),".",MID(1/2,2,1)),"")</f>
        <v/>
      </c>
      <c r="F636">
        <f>TRIM(INDEX(INDIRECT("'Выгрузка'!A636:Z636"),Настройки!$B$12)&amp;"")</f>
        <v/>
      </c>
      <c r="G636">
        <f>IF(F636="",0,IF(TRIM(INDEX(INDIRECT("'Выгрузка'!A636:Z636"),Настройки!$B$13)&amp;"")="",1,IFERROR(--SUBSTITUTE(SUBSTITUTE(TRIM(INDEX(INDIRECT("'Выгрузка'!A636:Z636"),Настройки!$B$13)),",","."),".",MID(1/2,2,1)),"")))</f>
        <v/>
      </c>
      <c r="H636">
        <f>IF(F636="",0,IF(COUNTIF(Настройки!$B$17:$B$26,F636)&gt;0,1,IF(COUNTIF(Настройки!$C$17:$C$26,F636)&gt;0,2,IF(COUNTIF(Настройки!$D$17:$D$26,F636)&gt;0,3,0))))</f>
        <v/>
      </c>
      <c r="I636">
        <f>IF(AND(ISNUMBER(A636),ISNUMBER(B636)),A636*1000+B636,"")</f>
        <v/>
      </c>
      <c r="J636">
        <f>IF(I636="","",IF(COUNTIF(I$2:I636,I636)=1,MAX(J$1:J635)+1,""))</f>
        <v/>
      </c>
    </row>
    <row r="637">
      <c r="A637">
        <f>IFERROR(--SUBSTITUTE(SUBSTITUTE(TRIM(INDEX(INDIRECT("'Выгрузка'!A637:Z637"),Настройки!$B$7)),",","."),".",MID(1/2,2,1)),"")</f>
        <v/>
      </c>
      <c r="B637">
        <f>IFERROR(--SUBSTITUTE(SUBSTITUTE(TRIM(INDEX(INDIRECT("'Выгрузка'!A637:Z637"),Настройки!$B$9)),",","."),".",MID(1/2,2,1)),"")</f>
        <v/>
      </c>
      <c r="C637">
        <f>TRIM(INDEX(INDIRECT("'Выгрузка'!A637:Z637"),Настройки!$B$8)&amp;"")</f>
        <v/>
      </c>
      <c r="D637">
        <f>IFERROR(--SUBSTITUTE(SUBSTITUTE(TRIM(INDEX(INDIRECT("'Выгрузка'!A637:Z637"),Настройки!$B$10)),",","."),".",MID(1/2,2,1)),"")</f>
        <v/>
      </c>
      <c r="E637">
        <f>IFERROR(--SUBSTITUTE(SUBSTITUTE(TRIM(INDEX(INDIRECT("'Выгрузка'!A637:Z637"),Настройки!$B$11)),",","."),".",MID(1/2,2,1)),"")</f>
        <v/>
      </c>
      <c r="F637">
        <f>TRIM(INDEX(INDIRECT("'Выгрузка'!A637:Z637"),Настройки!$B$12)&amp;"")</f>
        <v/>
      </c>
      <c r="G637">
        <f>IF(F637="",0,IF(TRIM(INDEX(INDIRECT("'Выгрузка'!A637:Z637"),Настройки!$B$13)&amp;"")="",1,IFERROR(--SUBSTITUTE(SUBSTITUTE(TRIM(INDEX(INDIRECT("'Выгрузка'!A637:Z637"),Настройки!$B$13)),",","."),".",MID(1/2,2,1)),"")))</f>
        <v/>
      </c>
      <c r="H637">
        <f>IF(F637="",0,IF(COUNTIF(Настройки!$B$17:$B$26,F637)&gt;0,1,IF(COUNTIF(Настройки!$C$17:$C$26,F637)&gt;0,2,IF(COUNTIF(Настройки!$D$17:$D$26,F637)&gt;0,3,0))))</f>
        <v/>
      </c>
      <c r="I637">
        <f>IF(AND(ISNUMBER(A637),ISNUMBER(B637)),A637*1000+B637,"")</f>
        <v/>
      </c>
      <c r="J637">
        <f>IF(I637="","",IF(COUNTIF(I$2:I637,I637)=1,MAX(J$1:J636)+1,""))</f>
        <v/>
      </c>
    </row>
    <row r="638">
      <c r="A638">
        <f>IFERROR(--SUBSTITUTE(SUBSTITUTE(TRIM(INDEX(INDIRECT("'Выгрузка'!A638:Z638"),Настройки!$B$7)),",","."),".",MID(1/2,2,1)),"")</f>
        <v/>
      </c>
      <c r="B638">
        <f>IFERROR(--SUBSTITUTE(SUBSTITUTE(TRIM(INDEX(INDIRECT("'Выгрузка'!A638:Z638"),Настройки!$B$9)),",","."),".",MID(1/2,2,1)),"")</f>
        <v/>
      </c>
      <c r="C638">
        <f>TRIM(INDEX(INDIRECT("'Выгрузка'!A638:Z638"),Настройки!$B$8)&amp;"")</f>
        <v/>
      </c>
      <c r="D638">
        <f>IFERROR(--SUBSTITUTE(SUBSTITUTE(TRIM(INDEX(INDIRECT("'Выгрузка'!A638:Z638"),Настройки!$B$10)),",","."),".",MID(1/2,2,1)),"")</f>
        <v/>
      </c>
      <c r="E638">
        <f>IFERROR(--SUBSTITUTE(SUBSTITUTE(TRIM(INDEX(INDIRECT("'Выгрузка'!A638:Z638"),Настройки!$B$11)),",","."),".",MID(1/2,2,1)),"")</f>
        <v/>
      </c>
      <c r="F638">
        <f>TRIM(INDEX(INDIRECT("'Выгрузка'!A638:Z638"),Настройки!$B$12)&amp;"")</f>
        <v/>
      </c>
      <c r="G638">
        <f>IF(F638="",0,IF(TRIM(INDEX(INDIRECT("'Выгрузка'!A638:Z638"),Настройки!$B$13)&amp;"")="",1,IFERROR(--SUBSTITUTE(SUBSTITUTE(TRIM(INDEX(INDIRECT("'Выгрузка'!A638:Z638"),Настройки!$B$13)),",","."),".",MID(1/2,2,1)),"")))</f>
        <v/>
      </c>
      <c r="H638">
        <f>IF(F638="",0,IF(COUNTIF(Настройки!$B$17:$B$26,F638)&gt;0,1,IF(COUNTIF(Настройки!$C$17:$C$26,F638)&gt;0,2,IF(COUNTIF(Настройки!$D$17:$D$26,F638)&gt;0,3,0))))</f>
        <v/>
      </c>
      <c r="I638">
        <f>IF(AND(ISNUMBER(A638),ISNUMBER(B638)),A638*1000+B638,"")</f>
        <v/>
      </c>
      <c r="J638">
        <f>IF(I638="","",IF(COUNTIF(I$2:I638,I638)=1,MAX(J$1:J637)+1,""))</f>
        <v/>
      </c>
    </row>
    <row r="639">
      <c r="A639">
        <f>IFERROR(--SUBSTITUTE(SUBSTITUTE(TRIM(INDEX(INDIRECT("'Выгрузка'!A639:Z639"),Настройки!$B$7)),",","."),".",MID(1/2,2,1)),"")</f>
        <v/>
      </c>
      <c r="B639">
        <f>IFERROR(--SUBSTITUTE(SUBSTITUTE(TRIM(INDEX(INDIRECT("'Выгрузка'!A639:Z639"),Настройки!$B$9)),",","."),".",MID(1/2,2,1)),"")</f>
        <v/>
      </c>
      <c r="C639">
        <f>TRIM(INDEX(INDIRECT("'Выгрузка'!A639:Z639"),Настройки!$B$8)&amp;"")</f>
        <v/>
      </c>
      <c r="D639">
        <f>IFERROR(--SUBSTITUTE(SUBSTITUTE(TRIM(INDEX(INDIRECT("'Выгрузка'!A639:Z639"),Настройки!$B$10)),",","."),".",MID(1/2,2,1)),"")</f>
        <v/>
      </c>
      <c r="E639">
        <f>IFERROR(--SUBSTITUTE(SUBSTITUTE(TRIM(INDEX(INDIRECT("'Выгрузка'!A639:Z639"),Настройки!$B$11)),",","."),".",MID(1/2,2,1)),"")</f>
        <v/>
      </c>
      <c r="F639">
        <f>TRIM(INDEX(INDIRECT("'Выгрузка'!A639:Z639"),Настройки!$B$12)&amp;"")</f>
        <v/>
      </c>
      <c r="G639">
        <f>IF(F639="",0,IF(TRIM(INDEX(INDIRECT("'Выгрузка'!A639:Z639"),Настройки!$B$13)&amp;"")="",1,IFERROR(--SUBSTITUTE(SUBSTITUTE(TRIM(INDEX(INDIRECT("'Выгрузка'!A639:Z639"),Настройки!$B$13)),",","."),".",MID(1/2,2,1)),"")))</f>
        <v/>
      </c>
      <c r="H639">
        <f>IF(F639="",0,IF(COUNTIF(Настройки!$B$17:$B$26,F639)&gt;0,1,IF(COUNTIF(Настройки!$C$17:$C$26,F639)&gt;0,2,IF(COUNTIF(Настройки!$D$17:$D$26,F639)&gt;0,3,0))))</f>
        <v/>
      </c>
      <c r="I639">
        <f>IF(AND(ISNUMBER(A639),ISNUMBER(B639)),A639*1000+B639,"")</f>
        <v/>
      </c>
      <c r="J639">
        <f>IF(I639="","",IF(COUNTIF(I$2:I639,I639)=1,MAX(J$1:J638)+1,""))</f>
        <v/>
      </c>
    </row>
    <row r="640">
      <c r="A640">
        <f>IFERROR(--SUBSTITUTE(SUBSTITUTE(TRIM(INDEX(INDIRECT("'Выгрузка'!A640:Z640"),Настройки!$B$7)),",","."),".",MID(1/2,2,1)),"")</f>
        <v/>
      </c>
      <c r="B640">
        <f>IFERROR(--SUBSTITUTE(SUBSTITUTE(TRIM(INDEX(INDIRECT("'Выгрузка'!A640:Z640"),Настройки!$B$9)),",","."),".",MID(1/2,2,1)),"")</f>
        <v/>
      </c>
      <c r="C640">
        <f>TRIM(INDEX(INDIRECT("'Выгрузка'!A640:Z640"),Настройки!$B$8)&amp;"")</f>
        <v/>
      </c>
      <c r="D640">
        <f>IFERROR(--SUBSTITUTE(SUBSTITUTE(TRIM(INDEX(INDIRECT("'Выгрузка'!A640:Z640"),Настройки!$B$10)),",","."),".",MID(1/2,2,1)),"")</f>
        <v/>
      </c>
      <c r="E640">
        <f>IFERROR(--SUBSTITUTE(SUBSTITUTE(TRIM(INDEX(INDIRECT("'Выгрузка'!A640:Z640"),Настройки!$B$11)),",","."),".",MID(1/2,2,1)),"")</f>
        <v/>
      </c>
      <c r="F640">
        <f>TRIM(INDEX(INDIRECT("'Выгрузка'!A640:Z640"),Настройки!$B$12)&amp;"")</f>
        <v/>
      </c>
      <c r="G640">
        <f>IF(F640="",0,IF(TRIM(INDEX(INDIRECT("'Выгрузка'!A640:Z640"),Настройки!$B$13)&amp;"")="",1,IFERROR(--SUBSTITUTE(SUBSTITUTE(TRIM(INDEX(INDIRECT("'Выгрузка'!A640:Z640"),Настройки!$B$13)),",","."),".",MID(1/2,2,1)),"")))</f>
        <v/>
      </c>
      <c r="H640">
        <f>IF(F640="",0,IF(COUNTIF(Настройки!$B$17:$B$26,F640)&gt;0,1,IF(COUNTIF(Настройки!$C$17:$C$26,F640)&gt;0,2,IF(COUNTIF(Настройки!$D$17:$D$26,F640)&gt;0,3,0))))</f>
        <v/>
      </c>
      <c r="I640">
        <f>IF(AND(ISNUMBER(A640),ISNUMBER(B640)),A640*1000+B640,"")</f>
        <v/>
      </c>
      <c r="J640">
        <f>IF(I640="","",IF(COUNTIF(I$2:I640,I640)=1,MAX(J$1:J639)+1,""))</f>
        <v/>
      </c>
    </row>
    <row r="641">
      <c r="A641">
        <f>IFERROR(--SUBSTITUTE(SUBSTITUTE(TRIM(INDEX(INDIRECT("'Выгрузка'!A641:Z641"),Настройки!$B$7)),",","."),".",MID(1/2,2,1)),"")</f>
        <v/>
      </c>
      <c r="B641">
        <f>IFERROR(--SUBSTITUTE(SUBSTITUTE(TRIM(INDEX(INDIRECT("'Выгрузка'!A641:Z641"),Настройки!$B$9)),",","."),".",MID(1/2,2,1)),"")</f>
        <v/>
      </c>
      <c r="C641">
        <f>TRIM(INDEX(INDIRECT("'Выгрузка'!A641:Z641"),Настройки!$B$8)&amp;"")</f>
        <v/>
      </c>
      <c r="D641">
        <f>IFERROR(--SUBSTITUTE(SUBSTITUTE(TRIM(INDEX(INDIRECT("'Выгрузка'!A641:Z641"),Настройки!$B$10)),",","."),".",MID(1/2,2,1)),"")</f>
        <v/>
      </c>
      <c r="E641">
        <f>IFERROR(--SUBSTITUTE(SUBSTITUTE(TRIM(INDEX(INDIRECT("'Выгрузка'!A641:Z641"),Настройки!$B$11)),",","."),".",MID(1/2,2,1)),"")</f>
        <v/>
      </c>
      <c r="F641">
        <f>TRIM(INDEX(INDIRECT("'Выгрузка'!A641:Z641"),Настройки!$B$12)&amp;"")</f>
        <v/>
      </c>
      <c r="G641">
        <f>IF(F641="",0,IF(TRIM(INDEX(INDIRECT("'Выгрузка'!A641:Z641"),Настройки!$B$13)&amp;"")="",1,IFERROR(--SUBSTITUTE(SUBSTITUTE(TRIM(INDEX(INDIRECT("'Выгрузка'!A641:Z641"),Настройки!$B$13)),",","."),".",MID(1/2,2,1)),"")))</f>
        <v/>
      </c>
      <c r="H641">
        <f>IF(F641="",0,IF(COUNTIF(Настройки!$B$17:$B$26,F641)&gt;0,1,IF(COUNTIF(Настройки!$C$17:$C$26,F641)&gt;0,2,IF(COUNTIF(Настройки!$D$17:$D$26,F641)&gt;0,3,0))))</f>
        <v/>
      </c>
      <c r="I641">
        <f>IF(AND(ISNUMBER(A641),ISNUMBER(B641)),A641*1000+B641,"")</f>
        <v/>
      </c>
      <c r="J641">
        <f>IF(I641="","",IF(COUNTIF(I$2:I641,I641)=1,MAX(J$1:J640)+1,""))</f>
        <v/>
      </c>
    </row>
    <row r="642">
      <c r="A642">
        <f>IFERROR(--SUBSTITUTE(SUBSTITUTE(TRIM(INDEX(INDIRECT("'Выгрузка'!A642:Z642"),Настройки!$B$7)),",","."),".",MID(1/2,2,1)),"")</f>
        <v/>
      </c>
      <c r="B642">
        <f>IFERROR(--SUBSTITUTE(SUBSTITUTE(TRIM(INDEX(INDIRECT("'Выгрузка'!A642:Z642"),Настройки!$B$9)),",","."),".",MID(1/2,2,1)),"")</f>
        <v/>
      </c>
      <c r="C642">
        <f>TRIM(INDEX(INDIRECT("'Выгрузка'!A642:Z642"),Настройки!$B$8)&amp;"")</f>
        <v/>
      </c>
      <c r="D642">
        <f>IFERROR(--SUBSTITUTE(SUBSTITUTE(TRIM(INDEX(INDIRECT("'Выгрузка'!A642:Z642"),Настройки!$B$10)),",","."),".",MID(1/2,2,1)),"")</f>
        <v/>
      </c>
      <c r="E642">
        <f>IFERROR(--SUBSTITUTE(SUBSTITUTE(TRIM(INDEX(INDIRECT("'Выгрузка'!A642:Z642"),Настройки!$B$11)),",","."),".",MID(1/2,2,1)),"")</f>
        <v/>
      </c>
      <c r="F642">
        <f>TRIM(INDEX(INDIRECT("'Выгрузка'!A642:Z642"),Настройки!$B$12)&amp;"")</f>
        <v/>
      </c>
      <c r="G642">
        <f>IF(F642="",0,IF(TRIM(INDEX(INDIRECT("'Выгрузка'!A642:Z642"),Настройки!$B$13)&amp;"")="",1,IFERROR(--SUBSTITUTE(SUBSTITUTE(TRIM(INDEX(INDIRECT("'Выгрузка'!A642:Z642"),Настройки!$B$13)),",","."),".",MID(1/2,2,1)),"")))</f>
        <v/>
      </c>
      <c r="H642">
        <f>IF(F642="",0,IF(COUNTIF(Настройки!$B$17:$B$26,F642)&gt;0,1,IF(COUNTIF(Настройки!$C$17:$C$26,F642)&gt;0,2,IF(COUNTIF(Настройки!$D$17:$D$26,F642)&gt;0,3,0))))</f>
        <v/>
      </c>
      <c r="I642">
        <f>IF(AND(ISNUMBER(A642),ISNUMBER(B642)),A642*1000+B642,"")</f>
        <v/>
      </c>
      <c r="J642">
        <f>IF(I642="","",IF(COUNTIF(I$2:I642,I642)=1,MAX(J$1:J641)+1,""))</f>
        <v/>
      </c>
    </row>
    <row r="643">
      <c r="A643">
        <f>IFERROR(--SUBSTITUTE(SUBSTITUTE(TRIM(INDEX(INDIRECT("'Выгрузка'!A643:Z643"),Настройки!$B$7)),",","."),".",MID(1/2,2,1)),"")</f>
        <v/>
      </c>
      <c r="B643">
        <f>IFERROR(--SUBSTITUTE(SUBSTITUTE(TRIM(INDEX(INDIRECT("'Выгрузка'!A643:Z643"),Настройки!$B$9)),",","."),".",MID(1/2,2,1)),"")</f>
        <v/>
      </c>
      <c r="C643">
        <f>TRIM(INDEX(INDIRECT("'Выгрузка'!A643:Z643"),Настройки!$B$8)&amp;"")</f>
        <v/>
      </c>
      <c r="D643">
        <f>IFERROR(--SUBSTITUTE(SUBSTITUTE(TRIM(INDEX(INDIRECT("'Выгрузка'!A643:Z643"),Настройки!$B$10)),",","."),".",MID(1/2,2,1)),"")</f>
        <v/>
      </c>
      <c r="E643">
        <f>IFERROR(--SUBSTITUTE(SUBSTITUTE(TRIM(INDEX(INDIRECT("'Выгрузка'!A643:Z643"),Настройки!$B$11)),",","."),".",MID(1/2,2,1)),"")</f>
        <v/>
      </c>
      <c r="F643">
        <f>TRIM(INDEX(INDIRECT("'Выгрузка'!A643:Z643"),Настройки!$B$12)&amp;"")</f>
        <v/>
      </c>
      <c r="G643">
        <f>IF(F643="",0,IF(TRIM(INDEX(INDIRECT("'Выгрузка'!A643:Z643"),Настройки!$B$13)&amp;"")="",1,IFERROR(--SUBSTITUTE(SUBSTITUTE(TRIM(INDEX(INDIRECT("'Выгрузка'!A643:Z643"),Настройки!$B$13)),",","."),".",MID(1/2,2,1)),"")))</f>
        <v/>
      </c>
      <c r="H643">
        <f>IF(F643="",0,IF(COUNTIF(Настройки!$B$17:$B$26,F643)&gt;0,1,IF(COUNTIF(Настройки!$C$17:$C$26,F643)&gt;0,2,IF(COUNTIF(Настройки!$D$17:$D$26,F643)&gt;0,3,0))))</f>
        <v/>
      </c>
      <c r="I643">
        <f>IF(AND(ISNUMBER(A643),ISNUMBER(B643)),A643*1000+B643,"")</f>
        <v/>
      </c>
      <c r="J643">
        <f>IF(I643="","",IF(COUNTIF(I$2:I643,I643)=1,MAX(J$1:J642)+1,""))</f>
        <v/>
      </c>
    </row>
    <row r="644">
      <c r="A644">
        <f>IFERROR(--SUBSTITUTE(SUBSTITUTE(TRIM(INDEX(INDIRECT("'Выгрузка'!A644:Z644"),Настройки!$B$7)),",","."),".",MID(1/2,2,1)),"")</f>
        <v/>
      </c>
      <c r="B644">
        <f>IFERROR(--SUBSTITUTE(SUBSTITUTE(TRIM(INDEX(INDIRECT("'Выгрузка'!A644:Z644"),Настройки!$B$9)),",","."),".",MID(1/2,2,1)),"")</f>
        <v/>
      </c>
      <c r="C644">
        <f>TRIM(INDEX(INDIRECT("'Выгрузка'!A644:Z644"),Настройки!$B$8)&amp;"")</f>
        <v/>
      </c>
      <c r="D644">
        <f>IFERROR(--SUBSTITUTE(SUBSTITUTE(TRIM(INDEX(INDIRECT("'Выгрузка'!A644:Z644"),Настройки!$B$10)),",","."),".",MID(1/2,2,1)),"")</f>
        <v/>
      </c>
      <c r="E644">
        <f>IFERROR(--SUBSTITUTE(SUBSTITUTE(TRIM(INDEX(INDIRECT("'Выгрузка'!A644:Z644"),Настройки!$B$11)),",","."),".",MID(1/2,2,1)),"")</f>
        <v/>
      </c>
      <c r="F644">
        <f>TRIM(INDEX(INDIRECT("'Выгрузка'!A644:Z644"),Настройки!$B$12)&amp;"")</f>
        <v/>
      </c>
      <c r="G644">
        <f>IF(F644="",0,IF(TRIM(INDEX(INDIRECT("'Выгрузка'!A644:Z644"),Настройки!$B$13)&amp;"")="",1,IFERROR(--SUBSTITUTE(SUBSTITUTE(TRIM(INDEX(INDIRECT("'Выгрузка'!A644:Z644"),Настройки!$B$13)),",","."),".",MID(1/2,2,1)),"")))</f>
        <v/>
      </c>
      <c r="H644">
        <f>IF(F644="",0,IF(COUNTIF(Настройки!$B$17:$B$26,F644)&gt;0,1,IF(COUNTIF(Настройки!$C$17:$C$26,F644)&gt;0,2,IF(COUNTIF(Настройки!$D$17:$D$26,F644)&gt;0,3,0))))</f>
        <v/>
      </c>
      <c r="I644">
        <f>IF(AND(ISNUMBER(A644),ISNUMBER(B644)),A644*1000+B644,"")</f>
        <v/>
      </c>
      <c r="J644">
        <f>IF(I644="","",IF(COUNTIF(I$2:I644,I644)=1,MAX(J$1:J643)+1,""))</f>
        <v/>
      </c>
    </row>
    <row r="645">
      <c r="A645">
        <f>IFERROR(--SUBSTITUTE(SUBSTITUTE(TRIM(INDEX(INDIRECT("'Выгрузка'!A645:Z645"),Настройки!$B$7)),",","."),".",MID(1/2,2,1)),"")</f>
        <v/>
      </c>
      <c r="B645">
        <f>IFERROR(--SUBSTITUTE(SUBSTITUTE(TRIM(INDEX(INDIRECT("'Выгрузка'!A645:Z645"),Настройки!$B$9)),",","."),".",MID(1/2,2,1)),"")</f>
        <v/>
      </c>
      <c r="C645">
        <f>TRIM(INDEX(INDIRECT("'Выгрузка'!A645:Z645"),Настройки!$B$8)&amp;"")</f>
        <v/>
      </c>
      <c r="D645">
        <f>IFERROR(--SUBSTITUTE(SUBSTITUTE(TRIM(INDEX(INDIRECT("'Выгрузка'!A645:Z645"),Настройки!$B$10)),",","."),".",MID(1/2,2,1)),"")</f>
        <v/>
      </c>
      <c r="E645">
        <f>IFERROR(--SUBSTITUTE(SUBSTITUTE(TRIM(INDEX(INDIRECT("'Выгрузка'!A645:Z645"),Настройки!$B$11)),",","."),".",MID(1/2,2,1)),"")</f>
        <v/>
      </c>
      <c r="F645">
        <f>TRIM(INDEX(INDIRECT("'Выгрузка'!A645:Z645"),Настройки!$B$12)&amp;"")</f>
        <v/>
      </c>
      <c r="G645">
        <f>IF(F645="",0,IF(TRIM(INDEX(INDIRECT("'Выгрузка'!A645:Z645"),Настройки!$B$13)&amp;"")="",1,IFERROR(--SUBSTITUTE(SUBSTITUTE(TRIM(INDEX(INDIRECT("'Выгрузка'!A645:Z645"),Настройки!$B$13)),",","."),".",MID(1/2,2,1)),"")))</f>
        <v/>
      </c>
      <c r="H645">
        <f>IF(F645="",0,IF(COUNTIF(Настройки!$B$17:$B$26,F645)&gt;0,1,IF(COUNTIF(Настройки!$C$17:$C$26,F645)&gt;0,2,IF(COUNTIF(Настройки!$D$17:$D$26,F645)&gt;0,3,0))))</f>
        <v/>
      </c>
      <c r="I645">
        <f>IF(AND(ISNUMBER(A645),ISNUMBER(B645)),A645*1000+B645,"")</f>
        <v/>
      </c>
      <c r="J645">
        <f>IF(I645="","",IF(COUNTIF(I$2:I645,I645)=1,MAX(J$1:J644)+1,""))</f>
        <v/>
      </c>
    </row>
    <row r="646">
      <c r="A646">
        <f>IFERROR(--SUBSTITUTE(SUBSTITUTE(TRIM(INDEX(INDIRECT("'Выгрузка'!A646:Z646"),Настройки!$B$7)),",","."),".",MID(1/2,2,1)),"")</f>
        <v/>
      </c>
      <c r="B646">
        <f>IFERROR(--SUBSTITUTE(SUBSTITUTE(TRIM(INDEX(INDIRECT("'Выгрузка'!A646:Z646"),Настройки!$B$9)),",","."),".",MID(1/2,2,1)),"")</f>
        <v/>
      </c>
      <c r="C646">
        <f>TRIM(INDEX(INDIRECT("'Выгрузка'!A646:Z646"),Настройки!$B$8)&amp;"")</f>
        <v/>
      </c>
      <c r="D646">
        <f>IFERROR(--SUBSTITUTE(SUBSTITUTE(TRIM(INDEX(INDIRECT("'Выгрузка'!A646:Z646"),Настройки!$B$10)),",","."),".",MID(1/2,2,1)),"")</f>
        <v/>
      </c>
      <c r="E646">
        <f>IFERROR(--SUBSTITUTE(SUBSTITUTE(TRIM(INDEX(INDIRECT("'Выгрузка'!A646:Z646"),Настройки!$B$11)),",","."),".",MID(1/2,2,1)),"")</f>
        <v/>
      </c>
      <c r="F646">
        <f>TRIM(INDEX(INDIRECT("'Выгрузка'!A646:Z646"),Настройки!$B$12)&amp;"")</f>
        <v/>
      </c>
      <c r="G646">
        <f>IF(F646="",0,IF(TRIM(INDEX(INDIRECT("'Выгрузка'!A646:Z646"),Настройки!$B$13)&amp;"")="",1,IFERROR(--SUBSTITUTE(SUBSTITUTE(TRIM(INDEX(INDIRECT("'Выгрузка'!A646:Z646"),Настройки!$B$13)),",","."),".",MID(1/2,2,1)),"")))</f>
        <v/>
      </c>
      <c r="H646">
        <f>IF(F646="",0,IF(COUNTIF(Настройки!$B$17:$B$26,F646)&gt;0,1,IF(COUNTIF(Настройки!$C$17:$C$26,F646)&gt;0,2,IF(COUNTIF(Настройки!$D$17:$D$26,F646)&gt;0,3,0))))</f>
        <v/>
      </c>
      <c r="I646">
        <f>IF(AND(ISNUMBER(A646),ISNUMBER(B646)),A646*1000+B646,"")</f>
        <v/>
      </c>
      <c r="J646">
        <f>IF(I646="","",IF(COUNTIF(I$2:I646,I646)=1,MAX(J$1:J645)+1,""))</f>
        <v/>
      </c>
    </row>
    <row r="647">
      <c r="A647">
        <f>IFERROR(--SUBSTITUTE(SUBSTITUTE(TRIM(INDEX(INDIRECT("'Выгрузка'!A647:Z647"),Настройки!$B$7)),",","."),".",MID(1/2,2,1)),"")</f>
        <v/>
      </c>
      <c r="B647">
        <f>IFERROR(--SUBSTITUTE(SUBSTITUTE(TRIM(INDEX(INDIRECT("'Выгрузка'!A647:Z647"),Настройки!$B$9)),",","."),".",MID(1/2,2,1)),"")</f>
        <v/>
      </c>
      <c r="C647">
        <f>TRIM(INDEX(INDIRECT("'Выгрузка'!A647:Z647"),Настройки!$B$8)&amp;"")</f>
        <v/>
      </c>
      <c r="D647">
        <f>IFERROR(--SUBSTITUTE(SUBSTITUTE(TRIM(INDEX(INDIRECT("'Выгрузка'!A647:Z647"),Настройки!$B$10)),",","."),".",MID(1/2,2,1)),"")</f>
        <v/>
      </c>
      <c r="E647">
        <f>IFERROR(--SUBSTITUTE(SUBSTITUTE(TRIM(INDEX(INDIRECT("'Выгрузка'!A647:Z647"),Настройки!$B$11)),",","."),".",MID(1/2,2,1)),"")</f>
        <v/>
      </c>
      <c r="F647">
        <f>TRIM(INDEX(INDIRECT("'Выгрузка'!A647:Z647"),Настройки!$B$12)&amp;"")</f>
        <v/>
      </c>
      <c r="G647">
        <f>IF(F647="",0,IF(TRIM(INDEX(INDIRECT("'Выгрузка'!A647:Z647"),Настройки!$B$13)&amp;"")="",1,IFERROR(--SUBSTITUTE(SUBSTITUTE(TRIM(INDEX(INDIRECT("'Выгрузка'!A647:Z647"),Настройки!$B$13)),",","."),".",MID(1/2,2,1)),"")))</f>
        <v/>
      </c>
      <c r="H647">
        <f>IF(F647="",0,IF(COUNTIF(Настройки!$B$17:$B$26,F647)&gt;0,1,IF(COUNTIF(Настройки!$C$17:$C$26,F647)&gt;0,2,IF(COUNTIF(Настройки!$D$17:$D$26,F647)&gt;0,3,0))))</f>
        <v/>
      </c>
      <c r="I647">
        <f>IF(AND(ISNUMBER(A647),ISNUMBER(B647)),A647*1000+B647,"")</f>
        <v/>
      </c>
      <c r="J647">
        <f>IF(I647="","",IF(COUNTIF(I$2:I647,I647)=1,MAX(J$1:J646)+1,""))</f>
        <v/>
      </c>
    </row>
    <row r="648">
      <c r="A648">
        <f>IFERROR(--SUBSTITUTE(SUBSTITUTE(TRIM(INDEX(INDIRECT("'Выгрузка'!A648:Z648"),Настройки!$B$7)),",","."),".",MID(1/2,2,1)),"")</f>
        <v/>
      </c>
      <c r="B648">
        <f>IFERROR(--SUBSTITUTE(SUBSTITUTE(TRIM(INDEX(INDIRECT("'Выгрузка'!A648:Z648"),Настройки!$B$9)),",","."),".",MID(1/2,2,1)),"")</f>
        <v/>
      </c>
      <c r="C648">
        <f>TRIM(INDEX(INDIRECT("'Выгрузка'!A648:Z648"),Настройки!$B$8)&amp;"")</f>
        <v/>
      </c>
      <c r="D648">
        <f>IFERROR(--SUBSTITUTE(SUBSTITUTE(TRIM(INDEX(INDIRECT("'Выгрузка'!A648:Z648"),Настройки!$B$10)),",","."),".",MID(1/2,2,1)),"")</f>
        <v/>
      </c>
      <c r="E648">
        <f>IFERROR(--SUBSTITUTE(SUBSTITUTE(TRIM(INDEX(INDIRECT("'Выгрузка'!A648:Z648"),Настройки!$B$11)),",","."),".",MID(1/2,2,1)),"")</f>
        <v/>
      </c>
      <c r="F648">
        <f>TRIM(INDEX(INDIRECT("'Выгрузка'!A648:Z648"),Настройки!$B$12)&amp;"")</f>
        <v/>
      </c>
      <c r="G648">
        <f>IF(F648="",0,IF(TRIM(INDEX(INDIRECT("'Выгрузка'!A648:Z648"),Настройки!$B$13)&amp;"")="",1,IFERROR(--SUBSTITUTE(SUBSTITUTE(TRIM(INDEX(INDIRECT("'Выгрузка'!A648:Z648"),Настройки!$B$13)),",","."),".",MID(1/2,2,1)),"")))</f>
        <v/>
      </c>
      <c r="H648">
        <f>IF(F648="",0,IF(COUNTIF(Настройки!$B$17:$B$26,F648)&gt;0,1,IF(COUNTIF(Настройки!$C$17:$C$26,F648)&gt;0,2,IF(COUNTIF(Настройки!$D$17:$D$26,F648)&gt;0,3,0))))</f>
        <v/>
      </c>
      <c r="I648">
        <f>IF(AND(ISNUMBER(A648),ISNUMBER(B648)),A648*1000+B648,"")</f>
        <v/>
      </c>
      <c r="J648">
        <f>IF(I648="","",IF(COUNTIF(I$2:I648,I648)=1,MAX(J$1:J647)+1,""))</f>
        <v/>
      </c>
    </row>
    <row r="649">
      <c r="A649">
        <f>IFERROR(--SUBSTITUTE(SUBSTITUTE(TRIM(INDEX(INDIRECT("'Выгрузка'!A649:Z649"),Настройки!$B$7)),",","."),".",MID(1/2,2,1)),"")</f>
        <v/>
      </c>
      <c r="B649">
        <f>IFERROR(--SUBSTITUTE(SUBSTITUTE(TRIM(INDEX(INDIRECT("'Выгрузка'!A649:Z649"),Настройки!$B$9)),",","."),".",MID(1/2,2,1)),"")</f>
        <v/>
      </c>
      <c r="C649">
        <f>TRIM(INDEX(INDIRECT("'Выгрузка'!A649:Z649"),Настройки!$B$8)&amp;"")</f>
        <v/>
      </c>
      <c r="D649">
        <f>IFERROR(--SUBSTITUTE(SUBSTITUTE(TRIM(INDEX(INDIRECT("'Выгрузка'!A649:Z649"),Настройки!$B$10)),",","."),".",MID(1/2,2,1)),"")</f>
        <v/>
      </c>
      <c r="E649">
        <f>IFERROR(--SUBSTITUTE(SUBSTITUTE(TRIM(INDEX(INDIRECT("'Выгрузка'!A649:Z649"),Настройки!$B$11)),",","."),".",MID(1/2,2,1)),"")</f>
        <v/>
      </c>
      <c r="F649">
        <f>TRIM(INDEX(INDIRECT("'Выгрузка'!A649:Z649"),Настройки!$B$12)&amp;"")</f>
        <v/>
      </c>
      <c r="G649">
        <f>IF(F649="",0,IF(TRIM(INDEX(INDIRECT("'Выгрузка'!A649:Z649"),Настройки!$B$13)&amp;"")="",1,IFERROR(--SUBSTITUTE(SUBSTITUTE(TRIM(INDEX(INDIRECT("'Выгрузка'!A649:Z649"),Настройки!$B$13)),",","."),".",MID(1/2,2,1)),"")))</f>
        <v/>
      </c>
      <c r="H649">
        <f>IF(F649="",0,IF(COUNTIF(Настройки!$B$17:$B$26,F649)&gt;0,1,IF(COUNTIF(Настройки!$C$17:$C$26,F649)&gt;0,2,IF(COUNTIF(Настройки!$D$17:$D$26,F649)&gt;0,3,0))))</f>
        <v/>
      </c>
      <c r="I649">
        <f>IF(AND(ISNUMBER(A649),ISNUMBER(B649)),A649*1000+B649,"")</f>
        <v/>
      </c>
      <c r="J649">
        <f>IF(I649="","",IF(COUNTIF(I$2:I649,I649)=1,MAX(J$1:J648)+1,""))</f>
        <v/>
      </c>
    </row>
    <row r="650">
      <c r="A650">
        <f>IFERROR(--SUBSTITUTE(SUBSTITUTE(TRIM(INDEX(INDIRECT("'Выгрузка'!A650:Z650"),Настройки!$B$7)),",","."),".",MID(1/2,2,1)),"")</f>
        <v/>
      </c>
      <c r="B650">
        <f>IFERROR(--SUBSTITUTE(SUBSTITUTE(TRIM(INDEX(INDIRECT("'Выгрузка'!A650:Z650"),Настройки!$B$9)),",","."),".",MID(1/2,2,1)),"")</f>
        <v/>
      </c>
      <c r="C650">
        <f>TRIM(INDEX(INDIRECT("'Выгрузка'!A650:Z650"),Настройки!$B$8)&amp;"")</f>
        <v/>
      </c>
      <c r="D650">
        <f>IFERROR(--SUBSTITUTE(SUBSTITUTE(TRIM(INDEX(INDIRECT("'Выгрузка'!A650:Z650"),Настройки!$B$10)),",","."),".",MID(1/2,2,1)),"")</f>
        <v/>
      </c>
      <c r="E650">
        <f>IFERROR(--SUBSTITUTE(SUBSTITUTE(TRIM(INDEX(INDIRECT("'Выгрузка'!A650:Z650"),Настройки!$B$11)),",","."),".",MID(1/2,2,1)),"")</f>
        <v/>
      </c>
      <c r="F650">
        <f>TRIM(INDEX(INDIRECT("'Выгрузка'!A650:Z650"),Настройки!$B$12)&amp;"")</f>
        <v/>
      </c>
      <c r="G650">
        <f>IF(F650="",0,IF(TRIM(INDEX(INDIRECT("'Выгрузка'!A650:Z650"),Настройки!$B$13)&amp;"")="",1,IFERROR(--SUBSTITUTE(SUBSTITUTE(TRIM(INDEX(INDIRECT("'Выгрузка'!A650:Z650"),Настройки!$B$13)),",","."),".",MID(1/2,2,1)),"")))</f>
        <v/>
      </c>
      <c r="H650">
        <f>IF(F650="",0,IF(COUNTIF(Настройки!$B$17:$B$26,F650)&gt;0,1,IF(COUNTIF(Настройки!$C$17:$C$26,F650)&gt;0,2,IF(COUNTIF(Настройки!$D$17:$D$26,F650)&gt;0,3,0))))</f>
        <v/>
      </c>
      <c r="I650">
        <f>IF(AND(ISNUMBER(A650),ISNUMBER(B650)),A650*1000+B650,"")</f>
        <v/>
      </c>
      <c r="J650">
        <f>IF(I650="","",IF(COUNTIF(I$2:I650,I650)=1,MAX(J$1:J649)+1,""))</f>
        <v/>
      </c>
    </row>
    <row r="651">
      <c r="A651">
        <f>IFERROR(--SUBSTITUTE(SUBSTITUTE(TRIM(INDEX(INDIRECT("'Выгрузка'!A651:Z651"),Настройки!$B$7)),",","."),".",MID(1/2,2,1)),"")</f>
        <v/>
      </c>
      <c r="B651">
        <f>IFERROR(--SUBSTITUTE(SUBSTITUTE(TRIM(INDEX(INDIRECT("'Выгрузка'!A651:Z651"),Настройки!$B$9)),",","."),".",MID(1/2,2,1)),"")</f>
        <v/>
      </c>
      <c r="C651">
        <f>TRIM(INDEX(INDIRECT("'Выгрузка'!A651:Z651"),Настройки!$B$8)&amp;"")</f>
        <v/>
      </c>
      <c r="D651">
        <f>IFERROR(--SUBSTITUTE(SUBSTITUTE(TRIM(INDEX(INDIRECT("'Выгрузка'!A651:Z651"),Настройки!$B$10)),",","."),".",MID(1/2,2,1)),"")</f>
        <v/>
      </c>
      <c r="E651">
        <f>IFERROR(--SUBSTITUTE(SUBSTITUTE(TRIM(INDEX(INDIRECT("'Выгрузка'!A651:Z651"),Настройки!$B$11)),",","."),".",MID(1/2,2,1)),"")</f>
        <v/>
      </c>
      <c r="F651">
        <f>TRIM(INDEX(INDIRECT("'Выгрузка'!A651:Z651"),Настройки!$B$12)&amp;"")</f>
        <v/>
      </c>
      <c r="G651">
        <f>IF(F651="",0,IF(TRIM(INDEX(INDIRECT("'Выгрузка'!A651:Z651"),Настройки!$B$13)&amp;"")="",1,IFERROR(--SUBSTITUTE(SUBSTITUTE(TRIM(INDEX(INDIRECT("'Выгрузка'!A651:Z651"),Настройки!$B$13)),",","."),".",MID(1/2,2,1)),"")))</f>
        <v/>
      </c>
      <c r="H651">
        <f>IF(F651="",0,IF(COUNTIF(Настройки!$B$17:$B$26,F651)&gt;0,1,IF(COUNTIF(Настройки!$C$17:$C$26,F651)&gt;0,2,IF(COUNTIF(Настройки!$D$17:$D$26,F651)&gt;0,3,0))))</f>
        <v/>
      </c>
      <c r="I651">
        <f>IF(AND(ISNUMBER(A651),ISNUMBER(B651)),A651*1000+B651,"")</f>
        <v/>
      </c>
      <c r="J651">
        <f>IF(I651="","",IF(COUNTIF(I$2:I651,I651)=1,MAX(J$1:J650)+1,""))</f>
        <v/>
      </c>
    </row>
    <row r="652">
      <c r="A652">
        <f>IFERROR(--SUBSTITUTE(SUBSTITUTE(TRIM(INDEX(INDIRECT("'Выгрузка'!A652:Z652"),Настройки!$B$7)),",","."),".",MID(1/2,2,1)),"")</f>
        <v/>
      </c>
      <c r="B652">
        <f>IFERROR(--SUBSTITUTE(SUBSTITUTE(TRIM(INDEX(INDIRECT("'Выгрузка'!A652:Z652"),Настройки!$B$9)),",","."),".",MID(1/2,2,1)),"")</f>
        <v/>
      </c>
      <c r="C652">
        <f>TRIM(INDEX(INDIRECT("'Выгрузка'!A652:Z652"),Настройки!$B$8)&amp;"")</f>
        <v/>
      </c>
      <c r="D652">
        <f>IFERROR(--SUBSTITUTE(SUBSTITUTE(TRIM(INDEX(INDIRECT("'Выгрузка'!A652:Z652"),Настройки!$B$10)),",","."),".",MID(1/2,2,1)),"")</f>
        <v/>
      </c>
      <c r="E652">
        <f>IFERROR(--SUBSTITUTE(SUBSTITUTE(TRIM(INDEX(INDIRECT("'Выгрузка'!A652:Z652"),Настройки!$B$11)),",","."),".",MID(1/2,2,1)),"")</f>
        <v/>
      </c>
      <c r="F652">
        <f>TRIM(INDEX(INDIRECT("'Выгрузка'!A652:Z652"),Настройки!$B$12)&amp;"")</f>
        <v/>
      </c>
      <c r="G652">
        <f>IF(F652="",0,IF(TRIM(INDEX(INDIRECT("'Выгрузка'!A652:Z652"),Настройки!$B$13)&amp;"")="",1,IFERROR(--SUBSTITUTE(SUBSTITUTE(TRIM(INDEX(INDIRECT("'Выгрузка'!A652:Z652"),Настройки!$B$13)),",","."),".",MID(1/2,2,1)),"")))</f>
        <v/>
      </c>
      <c r="H652">
        <f>IF(F652="",0,IF(COUNTIF(Настройки!$B$17:$B$26,F652)&gt;0,1,IF(COUNTIF(Настройки!$C$17:$C$26,F652)&gt;0,2,IF(COUNTIF(Настройки!$D$17:$D$26,F652)&gt;0,3,0))))</f>
        <v/>
      </c>
      <c r="I652">
        <f>IF(AND(ISNUMBER(A652),ISNUMBER(B652)),A652*1000+B652,"")</f>
        <v/>
      </c>
      <c r="J652">
        <f>IF(I652="","",IF(COUNTIF(I$2:I652,I652)=1,MAX(J$1:J651)+1,""))</f>
        <v/>
      </c>
    </row>
    <row r="653">
      <c r="A653">
        <f>IFERROR(--SUBSTITUTE(SUBSTITUTE(TRIM(INDEX(INDIRECT("'Выгрузка'!A653:Z653"),Настройки!$B$7)),",","."),".",MID(1/2,2,1)),"")</f>
        <v/>
      </c>
      <c r="B653">
        <f>IFERROR(--SUBSTITUTE(SUBSTITUTE(TRIM(INDEX(INDIRECT("'Выгрузка'!A653:Z653"),Настройки!$B$9)),",","."),".",MID(1/2,2,1)),"")</f>
        <v/>
      </c>
      <c r="C653">
        <f>TRIM(INDEX(INDIRECT("'Выгрузка'!A653:Z653"),Настройки!$B$8)&amp;"")</f>
        <v/>
      </c>
      <c r="D653">
        <f>IFERROR(--SUBSTITUTE(SUBSTITUTE(TRIM(INDEX(INDIRECT("'Выгрузка'!A653:Z653"),Настройки!$B$10)),",","."),".",MID(1/2,2,1)),"")</f>
        <v/>
      </c>
      <c r="E653">
        <f>IFERROR(--SUBSTITUTE(SUBSTITUTE(TRIM(INDEX(INDIRECT("'Выгрузка'!A653:Z653"),Настройки!$B$11)),",","."),".",MID(1/2,2,1)),"")</f>
        <v/>
      </c>
      <c r="F653">
        <f>TRIM(INDEX(INDIRECT("'Выгрузка'!A653:Z653"),Настройки!$B$12)&amp;"")</f>
        <v/>
      </c>
      <c r="G653">
        <f>IF(F653="",0,IF(TRIM(INDEX(INDIRECT("'Выгрузка'!A653:Z653"),Настройки!$B$13)&amp;"")="",1,IFERROR(--SUBSTITUTE(SUBSTITUTE(TRIM(INDEX(INDIRECT("'Выгрузка'!A653:Z653"),Настройки!$B$13)),",","."),".",MID(1/2,2,1)),"")))</f>
        <v/>
      </c>
      <c r="H653">
        <f>IF(F653="",0,IF(COUNTIF(Настройки!$B$17:$B$26,F653)&gt;0,1,IF(COUNTIF(Настройки!$C$17:$C$26,F653)&gt;0,2,IF(COUNTIF(Настройки!$D$17:$D$26,F653)&gt;0,3,0))))</f>
        <v/>
      </c>
      <c r="I653">
        <f>IF(AND(ISNUMBER(A653),ISNUMBER(B653)),A653*1000+B653,"")</f>
        <v/>
      </c>
      <c r="J653">
        <f>IF(I653="","",IF(COUNTIF(I$2:I653,I653)=1,MAX(J$1:J652)+1,""))</f>
        <v/>
      </c>
    </row>
    <row r="654">
      <c r="A654">
        <f>IFERROR(--SUBSTITUTE(SUBSTITUTE(TRIM(INDEX(INDIRECT("'Выгрузка'!A654:Z654"),Настройки!$B$7)),",","."),".",MID(1/2,2,1)),"")</f>
        <v/>
      </c>
      <c r="B654">
        <f>IFERROR(--SUBSTITUTE(SUBSTITUTE(TRIM(INDEX(INDIRECT("'Выгрузка'!A654:Z654"),Настройки!$B$9)),",","."),".",MID(1/2,2,1)),"")</f>
        <v/>
      </c>
      <c r="C654">
        <f>TRIM(INDEX(INDIRECT("'Выгрузка'!A654:Z654"),Настройки!$B$8)&amp;"")</f>
        <v/>
      </c>
      <c r="D654">
        <f>IFERROR(--SUBSTITUTE(SUBSTITUTE(TRIM(INDEX(INDIRECT("'Выгрузка'!A654:Z654"),Настройки!$B$10)),",","."),".",MID(1/2,2,1)),"")</f>
        <v/>
      </c>
      <c r="E654">
        <f>IFERROR(--SUBSTITUTE(SUBSTITUTE(TRIM(INDEX(INDIRECT("'Выгрузка'!A654:Z654"),Настройки!$B$11)),",","."),".",MID(1/2,2,1)),"")</f>
        <v/>
      </c>
      <c r="F654">
        <f>TRIM(INDEX(INDIRECT("'Выгрузка'!A654:Z654"),Настройки!$B$12)&amp;"")</f>
        <v/>
      </c>
      <c r="G654">
        <f>IF(F654="",0,IF(TRIM(INDEX(INDIRECT("'Выгрузка'!A654:Z654"),Настройки!$B$13)&amp;"")="",1,IFERROR(--SUBSTITUTE(SUBSTITUTE(TRIM(INDEX(INDIRECT("'Выгрузка'!A654:Z654"),Настройки!$B$13)),",","."),".",MID(1/2,2,1)),"")))</f>
        <v/>
      </c>
      <c r="H654">
        <f>IF(F654="",0,IF(COUNTIF(Настройки!$B$17:$B$26,F654)&gt;0,1,IF(COUNTIF(Настройки!$C$17:$C$26,F654)&gt;0,2,IF(COUNTIF(Настройки!$D$17:$D$26,F654)&gt;0,3,0))))</f>
        <v/>
      </c>
      <c r="I654">
        <f>IF(AND(ISNUMBER(A654),ISNUMBER(B654)),A654*1000+B654,"")</f>
        <v/>
      </c>
      <c r="J654">
        <f>IF(I654="","",IF(COUNTIF(I$2:I654,I654)=1,MAX(J$1:J653)+1,""))</f>
        <v/>
      </c>
    </row>
    <row r="655">
      <c r="A655">
        <f>IFERROR(--SUBSTITUTE(SUBSTITUTE(TRIM(INDEX(INDIRECT("'Выгрузка'!A655:Z655"),Настройки!$B$7)),",","."),".",MID(1/2,2,1)),"")</f>
        <v/>
      </c>
      <c r="B655">
        <f>IFERROR(--SUBSTITUTE(SUBSTITUTE(TRIM(INDEX(INDIRECT("'Выгрузка'!A655:Z655"),Настройки!$B$9)),",","."),".",MID(1/2,2,1)),"")</f>
        <v/>
      </c>
      <c r="C655">
        <f>TRIM(INDEX(INDIRECT("'Выгрузка'!A655:Z655"),Настройки!$B$8)&amp;"")</f>
        <v/>
      </c>
      <c r="D655">
        <f>IFERROR(--SUBSTITUTE(SUBSTITUTE(TRIM(INDEX(INDIRECT("'Выгрузка'!A655:Z655"),Настройки!$B$10)),",","."),".",MID(1/2,2,1)),"")</f>
        <v/>
      </c>
      <c r="E655">
        <f>IFERROR(--SUBSTITUTE(SUBSTITUTE(TRIM(INDEX(INDIRECT("'Выгрузка'!A655:Z655"),Настройки!$B$11)),",","."),".",MID(1/2,2,1)),"")</f>
        <v/>
      </c>
      <c r="F655">
        <f>TRIM(INDEX(INDIRECT("'Выгрузка'!A655:Z655"),Настройки!$B$12)&amp;"")</f>
        <v/>
      </c>
      <c r="G655">
        <f>IF(F655="",0,IF(TRIM(INDEX(INDIRECT("'Выгрузка'!A655:Z655"),Настройки!$B$13)&amp;"")="",1,IFERROR(--SUBSTITUTE(SUBSTITUTE(TRIM(INDEX(INDIRECT("'Выгрузка'!A655:Z655"),Настройки!$B$13)),",","."),".",MID(1/2,2,1)),"")))</f>
        <v/>
      </c>
      <c r="H655">
        <f>IF(F655="",0,IF(COUNTIF(Настройки!$B$17:$B$26,F655)&gt;0,1,IF(COUNTIF(Настройки!$C$17:$C$26,F655)&gt;0,2,IF(COUNTIF(Настройки!$D$17:$D$26,F655)&gt;0,3,0))))</f>
        <v/>
      </c>
      <c r="I655">
        <f>IF(AND(ISNUMBER(A655),ISNUMBER(B655)),A655*1000+B655,"")</f>
        <v/>
      </c>
      <c r="J655">
        <f>IF(I655="","",IF(COUNTIF(I$2:I655,I655)=1,MAX(J$1:J654)+1,""))</f>
        <v/>
      </c>
    </row>
    <row r="656">
      <c r="A656">
        <f>IFERROR(--SUBSTITUTE(SUBSTITUTE(TRIM(INDEX(INDIRECT("'Выгрузка'!A656:Z656"),Настройки!$B$7)),",","."),".",MID(1/2,2,1)),"")</f>
        <v/>
      </c>
      <c r="B656">
        <f>IFERROR(--SUBSTITUTE(SUBSTITUTE(TRIM(INDEX(INDIRECT("'Выгрузка'!A656:Z656"),Настройки!$B$9)),",","."),".",MID(1/2,2,1)),"")</f>
        <v/>
      </c>
      <c r="C656">
        <f>TRIM(INDEX(INDIRECT("'Выгрузка'!A656:Z656"),Настройки!$B$8)&amp;"")</f>
        <v/>
      </c>
      <c r="D656">
        <f>IFERROR(--SUBSTITUTE(SUBSTITUTE(TRIM(INDEX(INDIRECT("'Выгрузка'!A656:Z656"),Настройки!$B$10)),",","."),".",MID(1/2,2,1)),"")</f>
        <v/>
      </c>
      <c r="E656">
        <f>IFERROR(--SUBSTITUTE(SUBSTITUTE(TRIM(INDEX(INDIRECT("'Выгрузка'!A656:Z656"),Настройки!$B$11)),",","."),".",MID(1/2,2,1)),"")</f>
        <v/>
      </c>
      <c r="F656">
        <f>TRIM(INDEX(INDIRECT("'Выгрузка'!A656:Z656"),Настройки!$B$12)&amp;"")</f>
        <v/>
      </c>
      <c r="G656">
        <f>IF(F656="",0,IF(TRIM(INDEX(INDIRECT("'Выгрузка'!A656:Z656"),Настройки!$B$13)&amp;"")="",1,IFERROR(--SUBSTITUTE(SUBSTITUTE(TRIM(INDEX(INDIRECT("'Выгрузка'!A656:Z656"),Настройки!$B$13)),",","."),".",MID(1/2,2,1)),"")))</f>
        <v/>
      </c>
      <c r="H656">
        <f>IF(F656="",0,IF(COUNTIF(Настройки!$B$17:$B$26,F656)&gt;0,1,IF(COUNTIF(Настройки!$C$17:$C$26,F656)&gt;0,2,IF(COUNTIF(Настройки!$D$17:$D$26,F656)&gt;0,3,0))))</f>
        <v/>
      </c>
      <c r="I656">
        <f>IF(AND(ISNUMBER(A656),ISNUMBER(B656)),A656*1000+B656,"")</f>
        <v/>
      </c>
      <c r="J656">
        <f>IF(I656="","",IF(COUNTIF(I$2:I656,I656)=1,MAX(J$1:J655)+1,""))</f>
        <v/>
      </c>
    </row>
    <row r="657">
      <c r="A657">
        <f>IFERROR(--SUBSTITUTE(SUBSTITUTE(TRIM(INDEX(INDIRECT("'Выгрузка'!A657:Z657"),Настройки!$B$7)),",","."),".",MID(1/2,2,1)),"")</f>
        <v/>
      </c>
      <c r="B657">
        <f>IFERROR(--SUBSTITUTE(SUBSTITUTE(TRIM(INDEX(INDIRECT("'Выгрузка'!A657:Z657"),Настройки!$B$9)),",","."),".",MID(1/2,2,1)),"")</f>
        <v/>
      </c>
      <c r="C657">
        <f>TRIM(INDEX(INDIRECT("'Выгрузка'!A657:Z657"),Настройки!$B$8)&amp;"")</f>
        <v/>
      </c>
      <c r="D657">
        <f>IFERROR(--SUBSTITUTE(SUBSTITUTE(TRIM(INDEX(INDIRECT("'Выгрузка'!A657:Z657"),Настройки!$B$10)),",","."),".",MID(1/2,2,1)),"")</f>
        <v/>
      </c>
      <c r="E657">
        <f>IFERROR(--SUBSTITUTE(SUBSTITUTE(TRIM(INDEX(INDIRECT("'Выгрузка'!A657:Z657"),Настройки!$B$11)),",","."),".",MID(1/2,2,1)),"")</f>
        <v/>
      </c>
      <c r="F657">
        <f>TRIM(INDEX(INDIRECT("'Выгрузка'!A657:Z657"),Настройки!$B$12)&amp;"")</f>
        <v/>
      </c>
      <c r="G657">
        <f>IF(F657="",0,IF(TRIM(INDEX(INDIRECT("'Выгрузка'!A657:Z657"),Настройки!$B$13)&amp;"")="",1,IFERROR(--SUBSTITUTE(SUBSTITUTE(TRIM(INDEX(INDIRECT("'Выгрузка'!A657:Z657"),Настройки!$B$13)),",","."),".",MID(1/2,2,1)),"")))</f>
        <v/>
      </c>
      <c r="H657">
        <f>IF(F657="",0,IF(COUNTIF(Настройки!$B$17:$B$26,F657)&gt;0,1,IF(COUNTIF(Настройки!$C$17:$C$26,F657)&gt;0,2,IF(COUNTIF(Настройки!$D$17:$D$26,F657)&gt;0,3,0))))</f>
        <v/>
      </c>
      <c r="I657">
        <f>IF(AND(ISNUMBER(A657),ISNUMBER(B657)),A657*1000+B657,"")</f>
        <v/>
      </c>
      <c r="J657">
        <f>IF(I657="","",IF(COUNTIF(I$2:I657,I657)=1,MAX(J$1:J656)+1,""))</f>
        <v/>
      </c>
    </row>
    <row r="658">
      <c r="A658">
        <f>IFERROR(--SUBSTITUTE(SUBSTITUTE(TRIM(INDEX(INDIRECT("'Выгрузка'!A658:Z658"),Настройки!$B$7)),",","."),".",MID(1/2,2,1)),"")</f>
        <v/>
      </c>
      <c r="B658">
        <f>IFERROR(--SUBSTITUTE(SUBSTITUTE(TRIM(INDEX(INDIRECT("'Выгрузка'!A658:Z658"),Настройки!$B$9)),",","."),".",MID(1/2,2,1)),"")</f>
        <v/>
      </c>
      <c r="C658">
        <f>TRIM(INDEX(INDIRECT("'Выгрузка'!A658:Z658"),Настройки!$B$8)&amp;"")</f>
        <v/>
      </c>
      <c r="D658">
        <f>IFERROR(--SUBSTITUTE(SUBSTITUTE(TRIM(INDEX(INDIRECT("'Выгрузка'!A658:Z658"),Настройки!$B$10)),",","."),".",MID(1/2,2,1)),"")</f>
        <v/>
      </c>
      <c r="E658">
        <f>IFERROR(--SUBSTITUTE(SUBSTITUTE(TRIM(INDEX(INDIRECT("'Выгрузка'!A658:Z658"),Настройки!$B$11)),",","."),".",MID(1/2,2,1)),"")</f>
        <v/>
      </c>
      <c r="F658">
        <f>TRIM(INDEX(INDIRECT("'Выгрузка'!A658:Z658"),Настройки!$B$12)&amp;"")</f>
        <v/>
      </c>
      <c r="G658">
        <f>IF(F658="",0,IF(TRIM(INDEX(INDIRECT("'Выгрузка'!A658:Z658"),Настройки!$B$13)&amp;"")="",1,IFERROR(--SUBSTITUTE(SUBSTITUTE(TRIM(INDEX(INDIRECT("'Выгрузка'!A658:Z658"),Настройки!$B$13)),",","."),".",MID(1/2,2,1)),"")))</f>
        <v/>
      </c>
      <c r="H658">
        <f>IF(F658="",0,IF(COUNTIF(Настройки!$B$17:$B$26,F658)&gt;0,1,IF(COUNTIF(Настройки!$C$17:$C$26,F658)&gt;0,2,IF(COUNTIF(Настройки!$D$17:$D$26,F658)&gt;0,3,0))))</f>
        <v/>
      </c>
      <c r="I658">
        <f>IF(AND(ISNUMBER(A658),ISNUMBER(B658)),A658*1000+B658,"")</f>
        <v/>
      </c>
      <c r="J658">
        <f>IF(I658="","",IF(COUNTIF(I$2:I658,I658)=1,MAX(J$1:J657)+1,""))</f>
        <v/>
      </c>
    </row>
    <row r="659">
      <c r="A659">
        <f>IFERROR(--SUBSTITUTE(SUBSTITUTE(TRIM(INDEX(INDIRECT("'Выгрузка'!A659:Z659"),Настройки!$B$7)),",","."),".",MID(1/2,2,1)),"")</f>
        <v/>
      </c>
      <c r="B659">
        <f>IFERROR(--SUBSTITUTE(SUBSTITUTE(TRIM(INDEX(INDIRECT("'Выгрузка'!A659:Z659"),Настройки!$B$9)),",","."),".",MID(1/2,2,1)),"")</f>
        <v/>
      </c>
      <c r="C659">
        <f>TRIM(INDEX(INDIRECT("'Выгрузка'!A659:Z659"),Настройки!$B$8)&amp;"")</f>
        <v/>
      </c>
      <c r="D659">
        <f>IFERROR(--SUBSTITUTE(SUBSTITUTE(TRIM(INDEX(INDIRECT("'Выгрузка'!A659:Z659"),Настройки!$B$10)),",","."),".",MID(1/2,2,1)),"")</f>
        <v/>
      </c>
      <c r="E659">
        <f>IFERROR(--SUBSTITUTE(SUBSTITUTE(TRIM(INDEX(INDIRECT("'Выгрузка'!A659:Z659"),Настройки!$B$11)),",","."),".",MID(1/2,2,1)),"")</f>
        <v/>
      </c>
      <c r="F659">
        <f>TRIM(INDEX(INDIRECT("'Выгрузка'!A659:Z659"),Настройки!$B$12)&amp;"")</f>
        <v/>
      </c>
      <c r="G659">
        <f>IF(F659="",0,IF(TRIM(INDEX(INDIRECT("'Выгрузка'!A659:Z659"),Настройки!$B$13)&amp;"")="",1,IFERROR(--SUBSTITUTE(SUBSTITUTE(TRIM(INDEX(INDIRECT("'Выгрузка'!A659:Z659"),Настройки!$B$13)),",","."),".",MID(1/2,2,1)),"")))</f>
        <v/>
      </c>
      <c r="H659">
        <f>IF(F659="",0,IF(COUNTIF(Настройки!$B$17:$B$26,F659)&gt;0,1,IF(COUNTIF(Настройки!$C$17:$C$26,F659)&gt;0,2,IF(COUNTIF(Настройки!$D$17:$D$26,F659)&gt;0,3,0))))</f>
        <v/>
      </c>
      <c r="I659">
        <f>IF(AND(ISNUMBER(A659),ISNUMBER(B659)),A659*1000+B659,"")</f>
        <v/>
      </c>
      <c r="J659">
        <f>IF(I659="","",IF(COUNTIF(I$2:I659,I659)=1,MAX(J$1:J658)+1,""))</f>
        <v/>
      </c>
    </row>
    <row r="660">
      <c r="A660">
        <f>IFERROR(--SUBSTITUTE(SUBSTITUTE(TRIM(INDEX(INDIRECT("'Выгрузка'!A660:Z660"),Настройки!$B$7)),",","."),".",MID(1/2,2,1)),"")</f>
        <v/>
      </c>
      <c r="B660">
        <f>IFERROR(--SUBSTITUTE(SUBSTITUTE(TRIM(INDEX(INDIRECT("'Выгрузка'!A660:Z660"),Настройки!$B$9)),",","."),".",MID(1/2,2,1)),"")</f>
        <v/>
      </c>
      <c r="C660">
        <f>TRIM(INDEX(INDIRECT("'Выгрузка'!A660:Z660"),Настройки!$B$8)&amp;"")</f>
        <v/>
      </c>
      <c r="D660">
        <f>IFERROR(--SUBSTITUTE(SUBSTITUTE(TRIM(INDEX(INDIRECT("'Выгрузка'!A660:Z660"),Настройки!$B$10)),",","."),".",MID(1/2,2,1)),"")</f>
        <v/>
      </c>
      <c r="E660">
        <f>IFERROR(--SUBSTITUTE(SUBSTITUTE(TRIM(INDEX(INDIRECT("'Выгрузка'!A660:Z660"),Настройки!$B$11)),",","."),".",MID(1/2,2,1)),"")</f>
        <v/>
      </c>
      <c r="F660">
        <f>TRIM(INDEX(INDIRECT("'Выгрузка'!A660:Z660"),Настройки!$B$12)&amp;"")</f>
        <v/>
      </c>
      <c r="G660">
        <f>IF(F660="",0,IF(TRIM(INDEX(INDIRECT("'Выгрузка'!A660:Z660"),Настройки!$B$13)&amp;"")="",1,IFERROR(--SUBSTITUTE(SUBSTITUTE(TRIM(INDEX(INDIRECT("'Выгрузка'!A660:Z660"),Настройки!$B$13)),",","."),".",MID(1/2,2,1)),"")))</f>
        <v/>
      </c>
      <c r="H660">
        <f>IF(F660="",0,IF(COUNTIF(Настройки!$B$17:$B$26,F660)&gt;0,1,IF(COUNTIF(Настройки!$C$17:$C$26,F660)&gt;0,2,IF(COUNTIF(Настройки!$D$17:$D$26,F660)&gt;0,3,0))))</f>
        <v/>
      </c>
      <c r="I660">
        <f>IF(AND(ISNUMBER(A660),ISNUMBER(B660)),A660*1000+B660,"")</f>
        <v/>
      </c>
      <c r="J660">
        <f>IF(I660="","",IF(COUNTIF(I$2:I660,I660)=1,MAX(J$1:J659)+1,""))</f>
        <v/>
      </c>
    </row>
    <row r="661">
      <c r="A661">
        <f>IFERROR(--SUBSTITUTE(SUBSTITUTE(TRIM(INDEX(INDIRECT("'Выгрузка'!A661:Z661"),Настройки!$B$7)),",","."),".",MID(1/2,2,1)),"")</f>
        <v/>
      </c>
      <c r="B661">
        <f>IFERROR(--SUBSTITUTE(SUBSTITUTE(TRIM(INDEX(INDIRECT("'Выгрузка'!A661:Z661"),Настройки!$B$9)),",","."),".",MID(1/2,2,1)),"")</f>
        <v/>
      </c>
      <c r="C661">
        <f>TRIM(INDEX(INDIRECT("'Выгрузка'!A661:Z661"),Настройки!$B$8)&amp;"")</f>
        <v/>
      </c>
      <c r="D661">
        <f>IFERROR(--SUBSTITUTE(SUBSTITUTE(TRIM(INDEX(INDIRECT("'Выгрузка'!A661:Z661"),Настройки!$B$10)),",","."),".",MID(1/2,2,1)),"")</f>
        <v/>
      </c>
      <c r="E661">
        <f>IFERROR(--SUBSTITUTE(SUBSTITUTE(TRIM(INDEX(INDIRECT("'Выгрузка'!A661:Z661"),Настройки!$B$11)),",","."),".",MID(1/2,2,1)),"")</f>
        <v/>
      </c>
      <c r="F661">
        <f>TRIM(INDEX(INDIRECT("'Выгрузка'!A661:Z661"),Настройки!$B$12)&amp;"")</f>
        <v/>
      </c>
      <c r="G661">
        <f>IF(F661="",0,IF(TRIM(INDEX(INDIRECT("'Выгрузка'!A661:Z661"),Настройки!$B$13)&amp;"")="",1,IFERROR(--SUBSTITUTE(SUBSTITUTE(TRIM(INDEX(INDIRECT("'Выгрузка'!A661:Z661"),Настройки!$B$13)),",","."),".",MID(1/2,2,1)),"")))</f>
        <v/>
      </c>
      <c r="H661">
        <f>IF(F661="",0,IF(COUNTIF(Настройки!$B$17:$B$26,F661)&gt;0,1,IF(COUNTIF(Настройки!$C$17:$C$26,F661)&gt;0,2,IF(COUNTIF(Настройки!$D$17:$D$26,F661)&gt;0,3,0))))</f>
        <v/>
      </c>
      <c r="I661">
        <f>IF(AND(ISNUMBER(A661),ISNUMBER(B661)),A661*1000+B661,"")</f>
        <v/>
      </c>
      <c r="J661">
        <f>IF(I661="","",IF(COUNTIF(I$2:I661,I661)=1,MAX(J$1:J660)+1,""))</f>
        <v/>
      </c>
    </row>
    <row r="662">
      <c r="A662">
        <f>IFERROR(--SUBSTITUTE(SUBSTITUTE(TRIM(INDEX(INDIRECT("'Выгрузка'!A662:Z662"),Настройки!$B$7)),",","."),".",MID(1/2,2,1)),"")</f>
        <v/>
      </c>
      <c r="B662">
        <f>IFERROR(--SUBSTITUTE(SUBSTITUTE(TRIM(INDEX(INDIRECT("'Выгрузка'!A662:Z662"),Настройки!$B$9)),",","."),".",MID(1/2,2,1)),"")</f>
        <v/>
      </c>
      <c r="C662">
        <f>TRIM(INDEX(INDIRECT("'Выгрузка'!A662:Z662"),Настройки!$B$8)&amp;"")</f>
        <v/>
      </c>
      <c r="D662">
        <f>IFERROR(--SUBSTITUTE(SUBSTITUTE(TRIM(INDEX(INDIRECT("'Выгрузка'!A662:Z662"),Настройки!$B$10)),",","."),".",MID(1/2,2,1)),"")</f>
        <v/>
      </c>
      <c r="E662">
        <f>IFERROR(--SUBSTITUTE(SUBSTITUTE(TRIM(INDEX(INDIRECT("'Выгрузка'!A662:Z662"),Настройки!$B$11)),",","."),".",MID(1/2,2,1)),"")</f>
        <v/>
      </c>
      <c r="F662">
        <f>TRIM(INDEX(INDIRECT("'Выгрузка'!A662:Z662"),Настройки!$B$12)&amp;"")</f>
        <v/>
      </c>
      <c r="G662">
        <f>IF(F662="",0,IF(TRIM(INDEX(INDIRECT("'Выгрузка'!A662:Z662"),Настройки!$B$13)&amp;"")="",1,IFERROR(--SUBSTITUTE(SUBSTITUTE(TRIM(INDEX(INDIRECT("'Выгрузка'!A662:Z662"),Настройки!$B$13)),",","."),".",MID(1/2,2,1)),"")))</f>
        <v/>
      </c>
      <c r="H662">
        <f>IF(F662="",0,IF(COUNTIF(Настройки!$B$17:$B$26,F662)&gt;0,1,IF(COUNTIF(Настройки!$C$17:$C$26,F662)&gt;0,2,IF(COUNTIF(Настройки!$D$17:$D$26,F662)&gt;0,3,0))))</f>
        <v/>
      </c>
      <c r="I662">
        <f>IF(AND(ISNUMBER(A662),ISNUMBER(B662)),A662*1000+B662,"")</f>
        <v/>
      </c>
      <c r="J662">
        <f>IF(I662="","",IF(COUNTIF(I$2:I662,I662)=1,MAX(J$1:J661)+1,""))</f>
        <v/>
      </c>
    </row>
    <row r="663">
      <c r="A663">
        <f>IFERROR(--SUBSTITUTE(SUBSTITUTE(TRIM(INDEX(INDIRECT("'Выгрузка'!A663:Z663"),Настройки!$B$7)),",","."),".",MID(1/2,2,1)),"")</f>
        <v/>
      </c>
      <c r="B663">
        <f>IFERROR(--SUBSTITUTE(SUBSTITUTE(TRIM(INDEX(INDIRECT("'Выгрузка'!A663:Z663"),Настройки!$B$9)),",","."),".",MID(1/2,2,1)),"")</f>
        <v/>
      </c>
      <c r="C663">
        <f>TRIM(INDEX(INDIRECT("'Выгрузка'!A663:Z663"),Настройки!$B$8)&amp;"")</f>
        <v/>
      </c>
      <c r="D663">
        <f>IFERROR(--SUBSTITUTE(SUBSTITUTE(TRIM(INDEX(INDIRECT("'Выгрузка'!A663:Z663"),Настройки!$B$10)),",","."),".",MID(1/2,2,1)),"")</f>
        <v/>
      </c>
      <c r="E663">
        <f>IFERROR(--SUBSTITUTE(SUBSTITUTE(TRIM(INDEX(INDIRECT("'Выгрузка'!A663:Z663"),Настройки!$B$11)),",","."),".",MID(1/2,2,1)),"")</f>
        <v/>
      </c>
      <c r="F663">
        <f>TRIM(INDEX(INDIRECT("'Выгрузка'!A663:Z663"),Настройки!$B$12)&amp;"")</f>
        <v/>
      </c>
      <c r="G663">
        <f>IF(F663="",0,IF(TRIM(INDEX(INDIRECT("'Выгрузка'!A663:Z663"),Настройки!$B$13)&amp;"")="",1,IFERROR(--SUBSTITUTE(SUBSTITUTE(TRIM(INDEX(INDIRECT("'Выгрузка'!A663:Z663"),Настройки!$B$13)),",","."),".",MID(1/2,2,1)),"")))</f>
        <v/>
      </c>
      <c r="H663">
        <f>IF(F663="",0,IF(COUNTIF(Настройки!$B$17:$B$26,F663)&gt;0,1,IF(COUNTIF(Настройки!$C$17:$C$26,F663)&gt;0,2,IF(COUNTIF(Настройки!$D$17:$D$26,F663)&gt;0,3,0))))</f>
        <v/>
      </c>
      <c r="I663">
        <f>IF(AND(ISNUMBER(A663),ISNUMBER(B663)),A663*1000+B663,"")</f>
        <v/>
      </c>
      <c r="J663">
        <f>IF(I663="","",IF(COUNTIF(I$2:I663,I663)=1,MAX(J$1:J662)+1,""))</f>
        <v/>
      </c>
    </row>
    <row r="664">
      <c r="A664">
        <f>IFERROR(--SUBSTITUTE(SUBSTITUTE(TRIM(INDEX(INDIRECT("'Выгрузка'!A664:Z664"),Настройки!$B$7)),",","."),".",MID(1/2,2,1)),"")</f>
        <v/>
      </c>
      <c r="B664">
        <f>IFERROR(--SUBSTITUTE(SUBSTITUTE(TRIM(INDEX(INDIRECT("'Выгрузка'!A664:Z664"),Настройки!$B$9)),",","."),".",MID(1/2,2,1)),"")</f>
        <v/>
      </c>
      <c r="C664">
        <f>TRIM(INDEX(INDIRECT("'Выгрузка'!A664:Z664"),Настройки!$B$8)&amp;"")</f>
        <v/>
      </c>
      <c r="D664">
        <f>IFERROR(--SUBSTITUTE(SUBSTITUTE(TRIM(INDEX(INDIRECT("'Выгрузка'!A664:Z664"),Настройки!$B$10)),",","."),".",MID(1/2,2,1)),"")</f>
        <v/>
      </c>
      <c r="E664">
        <f>IFERROR(--SUBSTITUTE(SUBSTITUTE(TRIM(INDEX(INDIRECT("'Выгрузка'!A664:Z664"),Настройки!$B$11)),",","."),".",MID(1/2,2,1)),"")</f>
        <v/>
      </c>
      <c r="F664">
        <f>TRIM(INDEX(INDIRECT("'Выгрузка'!A664:Z664"),Настройки!$B$12)&amp;"")</f>
        <v/>
      </c>
      <c r="G664">
        <f>IF(F664="",0,IF(TRIM(INDEX(INDIRECT("'Выгрузка'!A664:Z664"),Настройки!$B$13)&amp;"")="",1,IFERROR(--SUBSTITUTE(SUBSTITUTE(TRIM(INDEX(INDIRECT("'Выгрузка'!A664:Z664"),Настройки!$B$13)),",","."),".",MID(1/2,2,1)),"")))</f>
        <v/>
      </c>
      <c r="H664">
        <f>IF(F664="",0,IF(COUNTIF(Настройки!$B$17:$B$26,F664)&gt;0,1,IF(COUNTIF(Настройки!$C$17:$C$26,F664)&gt;0,2,IF(COUNTIF(Настройки!$D$17:$D$26,F664)&gt;0,3,0))))</f>
        <v/>
      </c>
      <c r="I664">
        <f>IF(AND(ISNUMBER(A664),ISNUMBER(B664)),A664*1000+B664,"")</f>
        <v/>
      </c>
      <c r="J664">
        <f>IF(I664="","",IF(COUNTIF(I$2:I664,I664)=1,MAX(J$1:J663)+1,""))</f>
        <v/>
      </c>
    </row>
    <row r="665">
      <c r="A665">
        <f>IFERROR(--SUBSTITUTE(SUBSTITUTE(TRIM(INDEX(INDIRECT("'Выгрузка'!A665:Z665"),Настройки!$B$7)),",","."),".",MID(1/2,2,1)),"")</f>
        <v/>
      </c>
      <c r="B665">
        <f>IFERROR(--SUBSTITUTE(SUBSTITUTE(TRIM(INDEX(INDIRECT("'Выгрузка'!A665:Z665"),Настройки!$B$9)),",","."),".",MID(1/2,2,1)),"")</f>
        <v/>
      </c>
      <c r="C665">
        <f>TRIM(INDEX(INDIRECT("'Выгрузка'!A665:Z665"),Настройки!$B$8)&amp;"")</f>
        <v/>
      </c>
      <c r="D665">
        <f>IFERROR(--SUBSTITUTE(SUBSTITUTE(TRIM(INDEX(INDIRECT("'Выгрузка'!A665:Z665"),Настройки!$B$10)),",","."),".",MID(1/2,2,1)),"")</f>
        <v/>
      </c>
      <c r="E665">
        <f>IFERROR(--SUBSTITUTE(SUBSTITUTE(TRIM(INDEX(INDIRECT("'Выгрузка'!A665:Z665"),Настройки!$B$11)),",","."),".",MID(1/2,2,1)),"")</f>
        <v/>
      </c>
      <c r="F665">
        <f>TRIM(INDEX(INDIRECT("'Выгрузка'!A665:Z665"),Настройки!$B$12)&amp;"")</f>
        <v/>
      </c>
      <c r="G665">
        <f>IF(F665="",0,IF(TRIM(INDEX(INDIRECT("'Выгрузка'!A665:Z665"),Настройки!$B$13)&amp;"")="",1,IFERROR(--SUBSTITUTE(SUBSTITUTE(TRIM(INDEX(INDIRECT("'Выгрузка'!A665:Z665"),Настройки!$B$13)),",","."),".",MID(1/2,2,1)),"")))</f>
        <v/>
      </c>
      <c r="H665">
        <f>IF(F665="",0,IF(COUNTIF(Настройки!$B$17:$B$26,F665)&gt;0,1,IF(COUNTIF(Настройки!$C$17:$C$26,F665)&gt;0,2,IF(COUNTIF(Настройки!$D$17:$D$26,F665)&gt;0,3,0))))</f>
        <v/>
      </c>
      <c r="I665">
        <f>IF(AND(ISNUMBER(A665),ISNUMBER(B665)),A665*1000+B665,"")</f>
        <v/>
      </c>
      <c r="J665">
        <f>IF(I665="","",IF(COUNTIF(I$2:I665,I665)=1,MAX(J$1:J664)+1,""))</f>
        <v/>
      </c>
    </row>
    <row r="666">
      <c r="A666">
        <f>IFERROR(--SUBSTITUTE(SUBSTITUTE(TRIM(INDEX(INDIRECT("'Выгрузка'!A666:Z666"),Настройки!$B$7)),",","."),".",MID(1/2,2,1)),"")</f>
        <v/>
      </c>
      <c r="B666">
        <f>IFERROR(--SUBSTITUTE(SUBSTITUTE(TRIM(INDEX(INDIRECT("'Выгрузка'!A666:Z666"),Настройки!$B$9)),",","."),".",MID(1/2,2,1)),"")</f>
        <v/>
      </c>
      <c r="C666">
        <f>TRIM(INDEX(INDIRECT("'Выгрузка'!A666:Z666"),Настройки!$B$8)&amp;"")</f>
        <v/>
      </c>
      <c r="D666">
        <f>IFERROR(--SUBSTITUTE(SUBSTITUTE(TRIM(INDEX(INDIRECT("'Выгрузка'!A666:Z666"),Настройки!$B$10)),",","."),".",MID(1/2,2,1)),"")</f>
        <v/>
      </c>
      <c r="E666">
        <f>IFERROR(--SUBSTITUTE(SUBSTITUTE(TRIM(INDEX(INDIRECT("'Выгрузка'!A666:Z666"),Настройки!$B$11)),",","."),".",MID(1/2,2,1)),"")</f>
        <v/>
      </c>
      <c r="F666">
        <f>TRIM(INDEX(INDIRECT("'Выгрузка'!A666:Z666"),Настройки!$B$12)&amp;"")</f>
        <v/>
      </c>
      <c r="G666">
        <f>IF(F666="",0,IF(TRIM(INDEX(INDIRECT("'Выгрузка'!A666:Z666"),Настройки!$B$13)&amp;"")="",1,IFERROR(--SUBSTITUTE(SUBSTITUTE(TRIM(INDEX(INDIRECT("'Выгрузка'!A666:Z666"),Настройки!$B$13)),",","."),".",MID(1/2,2,1)),"")))</f>
        <v/>
      </c>
      <c r="H666">
        <f>IF(F666="",0,IF(COUNTIF(Настройки!$B$17:$B$26,F666)&gt;0,1,IF(COUNTIF(Настройки!$C$17:$C$26,F666)&gt;0,2,IF(COUNTIF(Настройки!$D$17:$D$26,F666)&gt;0,3,0))))</f>
        <v/>
      </c>
      <c r="I666">
        <f>IF(AND(ISNUMBER(A666),ISNUMBER(B666)),A666*1000+B666,"")</f>
        <v/>
      </c>
      <c r="J666">
        <f>IF(I666="","",IF(COUNTIF(I$2:I666,I666)=1,MAX(J$1:J665)+1,""))</f>
        <v/>
      </c>
    </row>
    <row r="667">
      <c r="A667">
        <f>IFERROR(--SUBSTITUTE(SUBSTITUTE(TRIM(INDEX(INDIRECT("'Выгрузка'!A667:Z667"),Настройки!$B$7)),",","."),".",MID(1/2,2,1)),"")</f>
        <v/>
      </c>
      <c r="B667">
        <f>IFERROR(--SUBSTITUTE(SUBSTITUTE(TRIM(INDEX(INDIRECT("'Выгрузка'!A667:Z667"),Настройки!$B$9)),",","."),".",MID(1/2,2,1)),"")</f>
        <v/>
      </c>
      <c r="C667">
        <f>TRIM(INDEX(INDIRECT("'Выгрузка'!A667:Z667"),Настройки!$B$8)&amp;"")</f>
        <v/>
      </c>
      <c r="D667">
        <f>IFERROR(--SUBSTITUTE(SUBSTITUTE(TRIM(INDEX(INDIRECT("'Выгрузка'!A667:Z667"),Настройки!$B$10)),",","."),".",MID(1/2,2,1)),"")</f>
        <v/>
      </c>
      <c r="E667">
        <f>IFERROR(--SUBSTITUTE(SUBSTITUTE(TRIM(INDEX(INDIRECT("'Выгрузка'!A667:Z667"),Настройки!$B$11)),",","."),".",MID(1/2,2,1)),"")</f>
        <v/>
      </c>
      <c r="F667">
        <f>TRIM(INDEX(INDIRECT("'Выгрузка'!A667:Z667"),Настройки!$B$12)&amp;"")</f>
        <v/>
      </c>
      <c r="G667">
        <f>IF(F667="",0,IF(TRIM(INDEX(INDIRECT("'Выгрузка'!A667:Z667"),Настройки!$B$13)&amp;"")="",1,IFERROR(--SUBSTITUTE(SUBSTITUTE(TRIM(INDEX(INDIRECT("'Выгрузка'!A667:Z667"),Настройки!$B$13)),",","."),".",MID(1/2,2,1)),"")))</f>
        <v/>
      </c>
      <c r="H667">
        <f>IF(F667="",0,IF(COUNTIF(Настройки!$B$17:$B$26,F667)&gt;0,1,IF(COUNTIF(Настройки!$C$17:$C$26,F667)&gt;0,2,IF(COUNTIF(Настройки!$D$17:$D$26,F667)&gt;0,3,0))))</f>
        <v/>
      </c>
      <c r="I667">
        <f>IF(AND(ISNUMBER(A667),ISNUMBER(B667)),A667*1000+B667,"")</f>
        <v/>
      </c>
      <c r="J667">
        <f>IF(I667="","",IF(COUNTIF(I$2:I667,I667)=1,MAX(J$1:J666)+1,""))</f>
        <v/>
      </c>
    </row>
    <row r="668">
      <c r="A668">
        <f>IFERROR(--SUBSTITUTE(SUBSTITUTE(TRIM(INDEX(INDIRECT("'Выгрузка'!A668:Z668"),Настройки!$B$7)),",","."),".",MID(1/2,2,1)),"")</f>
        <v/>
      </c>
      <c r="B668">
        <f>IFERROR(--SUBSTITUTE(SUBSTITUTE(TRIM(INDEX(INDIRECT("'Выгрузка'!A668:Z668"),Настройки!$B$9)),",","."),".",MID(1/2,2,1)),"")</f>
        <v/>
      </c>
      <c r="C668">
        <f>TRIM(INDEX(INDIRECT("'Выгрузка'!A668:Z668"),Настройки!$B$8)&amp;"")</f>
        <v/>
      </c>
      <c r="D668">
        <f>IFERROR(--SUBSTITUTE(SUBSTITUTE(TRIM(INDEX(INDIRECT("'Выгрузка'!A668:Z668"),Настройки!$B$10)),",","."),".",MID(1/2,2,1)),"")</f>
        <v/>
      </c>
      <c r="E668">
        <f>IFERROR(--SUBSTITUTE(SUBSTITUTE(TRIM(INDEX(INDIRECT("'Выгрузка'!A668:Z668"),Настройки!$B$11)),",","."),".",MID(1/2,2,1)),"")</f>
        <v/>
      </c>
      <c r="F668">
        <f>TRIM(INDEX(INDIRECT("'Выгрузка'!A668:Z668"),Настройки!$B$12)&amp;"")</f>
        <v/>
      </c>
      <c r="G668">
        <f>IF(F668="",0,IF(TRIM(INDEX(INDIRECT("'Выгрузка'!A668:Z668"),Настройки!$B$13)&amp;"")="",1,IFERROR(--SUBSTITUTE(SUBSTITUTE(TRIM(INDEX(INDIRECT("'Выгрузка'!A668:Z668"),Настройки!$B$13)),",","."),".",MID(1/2,2,1)),"")))</f>
        <v/>
      </c>
      <c r="H668">
        <f>IF(F668="",0,IF(COUNTIF(Настройки!$B$17:$B$26,F668)&gt;0,1,IF(COUNTIF(Настройки!$C$17:$C$26,F668)&gt;0,2,IF(COUNTIF(Настройки!$D$17:$D$26,F668)&gt;0,3,0))))</f>
        <v/>
      </c>
      <c r="I668">
        <f>IF(AND(ISNUMBER(A668),ISNUMBER(B668)),A668*1000+B668,"")</f>
        <v/>
      </c>
      <c r="J668">
        <f>IF(I668="","",IF(COUNTIF(I$2:I668,I668)=1,MAX(J$1:J667)+1,""))</f>
        <v/>
      </c>
    </row>
    <row r="669">
      <c r="A669">
        <f>IFERROR(--SUBSTITUTE(SUBSTITUTE(TRIM(INDEX(INDIRECT("'Выгрузка'!A669:Z669"),Настройки!$B$7)),",","."),".",MID(1/2,2,1)),"")</f>
        <v/>
      </c>
      <c r="B669">
        <f>IFERROR(--SUBSTITUTE(SUBSTITUTE(TRIM(INDEX(INDIRECT("'Выгрузка'!A669:Z669"),Настройки!$B$9)),",","."),".",MID(1/2,2,1)),"")</f>
        <v/>
      </c>
      <c r="C669">
        <f>TRIM(INDEX(INDIRECT("'Выгрузка'!A669:Z669"),Настройки!$B$8)&amp;"")</f>
        <v/>
      </c>
      <c r="D669">
        <f>IFERROR(--SUBSTITUTE(SUBSTITUTE(TRIM(INDEX(INDIRECT("'Выгрузка'!A669:Z669"),Настройки!$B$10)),",","."),".",MID(1/2,2,1)),"")</f>
        <v/>
      </c>
      <c r="E669">
        <f>IFERROR(--SUBSTITUTE(SUBSTITUTE(TRIM(INDEX(INDIRECT("'Выгрузка'!A669:Z669"),Настройки!$B$11)),",","."),".",MID(1/2,2,1)),"")</f>
        <v/>
      </c>
      <c r="F669">
        <f>TRIM(INDEX(INDIRECT("'Выгрузка'!A669:Z669"),Настройки!$B$12)&amp;"")</f>
        <v/>
      </c>
      <c r="G669">
        <f>IF(F669="",0,IF(TRIM(INDEX(INDIRECT("'Выгрузка'!A669:Z669"),Настройки!$B$13)&amp;"")="",1,IFERROR(--SUBSTITUTE(SUBSTITUTE(TRIM(INDEX(INDIRECT("'Выгрузка'!A669:Z669"),Настройки!$B$13)),",","."),".",MID(1/2,2,1)),"")))</f>
        <v/>
      </c>
      <c r="H669">
        <f>IF(F669="",0,IF(COUNTIF(Настройки!$B$17:$B$26,F669)&gt;0,1,IF(COUNTIF(Настройки!$C$17:$C$26,F669)&gt;0,2,IF(COUNTIF(Настройки!$D$17:$D$26,F669)&gt;0,3,0))))</f>
        <v/>
      </c>
      <c r="I669">
        <f>IF(AND(ISNUMBER(A669),ISNUMBER(B669)),A669*1000+B669,"")</f>
        <v/>
      </c>
      <c r="J669">
        <f>IF(I669="","",IF(COUNTIF(I$2:I669,I669)=1,MAX(J$1:J668)+1,""))</f>
        <v/>
      </c>
    </row>
    <row r="670">
      <c r="A670">
        <f>IFERROR(--SUBSTITUTE(SUBSTITUTE(TRIM(INDEX(INDIRECT("'Выгрузка'!A670:Z670"),Настройки!$B$7)),",","."),".",MID(1/2,2,1)),"")</f>
        <v/>
      </c>
      <c r="B670">
        <f>IFERROR(--SUBSTITUTE(SUBSTITUTE(TRIM(INDEX(INDIRECT("'Выгрузка'!A670:Z670"),Настройки!$B$9)),",","."),".",MID(1/2,2,1)),"")</f>
        <v/>
      </c>
      <c r="C670">
        <f>TRIM(INDEX(INDIRECT("'Выгрузка'!A670:Z670"),Настройки!$B$8)&amp;"")</f>
        <v/>
      </c>
      <c r="D670">
        <f>IFERROR(--SUBSTITUTE(SUBSTITUTE(TRIM(INDEX(INDIRECT("'Выгрузка'!A670:Z670"),Настройки!$B$10)),",","."),".",MID(1/2,2,1)),"")</f>
        <v/>
      </c>
      <c r="E670">
        <f>IFERROR(--SUBSTITUTE(SUBSTITUTE(TRIM(INDEX(INDIRECT("'Выгрузка'!A670:Z670"),Настройки!$B$11)),",","."),".",MID(1/2,2,1)),"")</f>
        <v/>
      </c>
      <c r="F670">
        <f>TRIM(INDEX(INDIRECT("'Выгрузка'!A670:Z670"),Настройки!$B$12)&amp;"")</f>
        <v/>
      </c>
      <c r="G670">
        <f>IF(F670="",0,IF(TRIM(INDEX(INDIRECT("'Выгрузка'!A670:Z670"),Настройки!$B$13)&amp;"")="",1,IFERROR(--SUBSTITUTE(SUBSTITUTE(TRIM(INDEX(INDIRECT("'Выгрузка'!A670:Z670"),Настройки!$B$13)),",","."),".",MID(1/2,2,1)),"")))</f>
        <v/>
      </c>
      <c r="H670">
        <f>IF(F670="",0,IF(COUNTIF(Настройки!$B$17:$B$26,F670)&gt;0,1,IF(COUNTIF(Настройки!$C$17:$C$26,F670)&gt;0,2,IF(COUNTIF(Настройки!$D$17:$D$26,F670)&gt;0,3,0))))</f>
        <v/>
      </c>
      <c r="I670">
        <f>IF(AND(ISNUMBER(A670),ISNUMBER(B670)),A670*1000+B670,"")</f>
        <v/>
      </c>
      <c r="J670">
        <f>IF(I670="","",IF(COUNTIF(I$2:I670,I670)=1,MAX(J$1:J669)+1,""))</f>
        <v/>
      </c>
    </row>
    <row r="671">
      <c r="A671">
        <f>IFERROR(--SUBSTITUTE(SUBSTITUTE(TRIM(INDEX(INDIRECT("'Выгрузка'!A671:Z671"),Настройки!$B$7)),",","."),".",MID(1/2,2,1)),"")</f>
        <v/>
      </c>
      <c r="B671">
        <f>IFERROR(--SUBSTITUTE(SUBSTITUTE(TRIM(INDEX(INDIRECT("'Выгрузка'!A671:Z671"),Настройки!$B$9)),",","."),".",MID(1/2,2,1)),"")</f>
        <v/>
      </c>
      <c r="C671">
        <f>TRIM(INDEX(INDIRECT("'Выгрузка'!A671:Z671"),Настройки!$B$8)&amp;"")</f>
        <v/>
      </c>
      <c r="D671">
        <f>IFERROR(--SUBSTITUTE(SUBSTITUTE(TRIM(INDEX(INDIRECT("'Выгрузка'!A671:Z671"),Настройки!$B$10)),",","."),".",MID(1/2,2,1)),"")</f>
        <v/>
      </c>
      <c r="E671">
        <f>IFERROR(--SUBSTITUTE(SUBSTITUTE(TRIM(INDEX(INDIRECT("'Выгрузка'!A671:Z671"),Настройки!$B$11)),",","."),".",MID(1/2,2,1)),"")</f>
        <v/>
      </c>
      <c r="F671">
        <f>TRIM(INDEX(INDIRECT("'Выгрузка'!A671:Z671"),Настройки!$B$12)&amp;"")</f>
        <v/>
      </c>
      <c r="G671">
        <f>IF(F671="",0,IF(TRIM(INDEX(INDIRECT("'Выгрузка'!A671:Z671"),Настройки!$B$13)&amp;"")="",1,IFERROR(--SUBSTITUTE(SUBSTITUTE(TRIM(INDEX(INDIRECT("'Выгрузка'!A671:Z671"),Настройки!$B$13)),",","."),".",MID(1/2,2,1)),"")))</f>
        <v/>
      </c>
      <c r="H671">
        <f>IF(F671="",0,IF(COUNTIF(Настройки!$B$17:$B$26,F671)&gt;0,1,IF(COUNTIF(Настройки!$C$17:$C$26,F671)&gt;0,2,IF(COUNTIF(Настройки!$D$17:$D$26,F671)&gt;0,3,0))))</f>
        <v/>
      </c>
      <c r="I671">
        <f>IF(AND(ISNUMBER(A671),ISNUMBER(B671)),A671*1000+B671,"")</f>
        <v/>
      </c>
      <c r="J671">
        <f>IF(I671="","",IF(COUNTIF(I$2:I671,I671)=1,MAX(J$1:J670)+1,""))</f>
        <v/>
      </c>
    </row>
    <row r="672">
      <c r="A672">
        <f>IFERROR(--SUBSTITUTE(SUBSTITUTE(TRIM(INDEX(INDIRECT("'Выгрузка'!A672:Z672"),Настройки!$B$7)),",","."),".",MID(1/2,2,1)),"")</f>
        <v/>
      </c>
      <c r="B672">
        <f>IFERROR(--SUBSTITUTE(SUBSTITUTE(TRIM(INDEX(INDIRECT("'Выгрузка'!A672:Z672"),Настройки!$B$9)),",","."),".",MID(1/2,2,1)),"")</f>
        <v/>
      </c>
      <c r="C672">
        <f>TRIM(INDEX(INDIRECT("'Выгрузка'!A672:Z672"),Настройки!$B$8)&amp;"")</f>
        <v/>
      </c>
      <c r="D672">
        <f>IFERROR(--SUBSTITUTE(SUBSTITUTE(TRIM(INDEX(INDIRECT("'Выгрузка'!A672:Z672"),Настройки!$B$10)),",","."),".",MID(1/2,2,1)),"")</f>
        <v/>
      </c>
      <c r="E672">
        <f>IFERROR(--SUBSTITUTE(SUBSTITUTE(TRIM(INDEX(INDIRECT("'Выгрузка'!A672:Z672"),Настройки!$B$11)),",","."),".",MID(1/2,2,1)),"")</f>
        <v/>
      </c>
      <c r="F672">
        <f>TRIM(INDEX(INDIRECT("'Выгрузка'!A672:Z672"),Настройки!$B$12)&amp;"")</f>
        <v/>
      </c>
      <c r="G672">
        <f>IF(F672="",0,IF(TRIM(INDEX(INDIRECT("'Выгрузка'!A672:Z672"),Настройки!$B$13)&amp;"")="",1,IFERROR(--SUBSTITUTE(SUBSTITUTE(TRIM(INDEX(INDIRECT("'Выгрузка'!A672:Z672"),Настройки!$B$13)),",","."),".",MID(1/2,2,1)),"")))</f>
        <v/>
      </c>
      <c r="H672">
        <f>IF(F672="",0,IF(COUNTIF(Настройки!$B$17:$B$26,F672)&gt;0,1,IF(COUNTIF(Настройки!$C$17:$C$26,F672)&gt;0,2,IF(COUNTIF(Настройки!$D$17:$D$26,F672)&gt;0,3,0))))</f>
        <v/>
      </c>
      <c r="I672">
        <f>IF(AND(ISNUMBER(A672),ISNUMBER(B672)),A672*1000+B672,"")</f>
        <v/>
      </c>
      <c r="J672">
        <f>IF(I672="","",IF(COUNTIF(I$2:I672,I672)=1,MAX(J$1:J671)+1,""))</f>
        <v/>
      </c>
    </row>
    <row r="673">
      <c r="A673">
        <f>IFERROR(--SUBSTITUTE(SUBSTITUTE(TRIM(INDEX(INDIRECT("'Выгрузка'!A673:Z673"),Настройки!$B$7)),",","."),".",MID(1/2,2,1)),"")</f>
        <v/>
      </c>
      <c r="B673">
        <f>IFERROR(--SUBSTITUTE(SUBSTITUTE(TRIM(INDEX(INDIRECT("'Выгрузка'!A673:Z673"),Настройки!$B$9)),",","."),".",MID(1/2,2,1)),"")</f>
        <v/>
      </c>
      <c r="C673">
        <f>TRIM(INDEX(INDIRECT("'Выгрузка'!A673:Z673"),Настройки!$B$8)&amp;"")</f>
        <v/>
      </c>
      <c r="D673">
        <f>IFERROR(--SUBSTITUTE(SUBSTITUTE(TRIM(INDEX(INDIRECT("'Выгрузка'!A673:Z673"),Настройки!$B$10)),",","."),".",MID(1/2,2,1)),"")</f>
        <v/>
      </c>
      <c r="E673">
        <f>IFERROR(--SUBSTITUTE(SUBSTITUTE(TRIM(INDEX(INDIRECT("'Выгрузка'!A673:Z673"),Настройки!$B$11)),",","."),".",MID(1/2,2,1)),"")</f>
        <v/>
      </c>
      <c r="F673">
        <f>TRIM(INDEX(INDIRECT("'Выгрузка'!A673:Z673"),Настройки!$B$12)&amp;"")</f>
        <v/>
      </c>
      <c r="G673">
        <f>IF(F673="",0,IF(TRIM(INDEX(INDIRECT("'Выгрузка'!A673:Z673"),Настройки!$B$13)&amp;"")="",1,IFERROR(--SUBSTITUTE(SUBSTITUTE(TRIM(INDEX(INDIRECT("'Выгрузка'!A673:Z673"),Настройки!$B$13)),",","."),".",MID(1/2,2,1)),"")))</f>
        <v/>
      </c>
      <c r="H673">
        <f>IF(F673="",0,IF(COUNTIF(Настройки!$B$17:$B$26,F673)&gt;0,1,IF(COUNTIF(Настройки!$C$17:$C$26,F673)&gt;0,2,IF(COUNTIF(Настройки!$D$17:$D$26,F673)&gt;0,3,0))))</f>
        <v/>
      </c>
      <c r="I673">
        <f>IF(AND(ISNUMBER(A673),ISNUMBER(B673)),A673*1000+B673,"")</f>
        <v/>
      </c>
      <c r="J673">
        <f>IF(I673="","",IF(COUNTIF(I$2:I673,I673)=1,MAX(J$1:J672)+1,""))</f>
        <v/>
      </c>
    </row>
    <row r="674">
      <c r="A674">
        <f>IFERROR(--SUBSTITUTE(SUBSTITUTE(TRIM(INDEX(INDIRECT("'Выгрузка'!A674:Z674"),Настройки!$B$7)),",","."),".",MID(1/2,2,1)),"")</f>
        <v/>
      </c>
      <c r="B674">
        <f>IFERROR(--SUBSTITUTE(SUBSTITUTE(TRIM(INDEX(INDIRECT("'Выгрузка'!A674:Z674"),Настройки!$B$9)),",","."),".",MID(1/2,2,1)),"")</f>
        <v/>
      </c>
      <c r="C674">
        <f>TRIM(INDEX(INDIRECT("'Выгрузка'!A674:Z674"),Настройки!$B$8)&amp;"")</f>
        <v/>
      </c>
      <c r="D674">
        <f>IFERROR(--SUBSTITUTE(SUBSTITUTE(TRIM(INDEX(INDIRECT("'Выгрузка'!A674:Z674"),Настройки!$B$10)),",","."),".",MID(1/2,2,1)),"")</f>
        <v/>
      </c>
      <c r="E674">
        <f>IFERROR(--SUBSTITUTE(SUBSTITUTE(TRIM(INDEX(INDIRECT("'Выгрузка'!A674:Z674"),Настройки!$B$11)),",","."),".",MID(1/2,2,1)),"")</f>
        <v/>
      </c>
      <c r="F674">
        <f>TRIM(INDEX(INDIRECT("'Выгрузка'!A674:Z674"),Настройки!$B$12)&amp;"")</f>
        <v/>
      </c>
      <c r="G674">
        <f>IF(F674="",0,IF(TRIM(INDEX(INDIRECT("'Выгрузка'!A674:Z674"),Настройки!$B$13)&amp;"")="",1,IFERROR(--SUBSTITUTE(SUBSTITUTE(TRIM(INDEX(INDIRECT("'Выгрузка'!A674:Z674"),Настройки!$B$13)),",","."),".",MID(1/2,2,1)),"")))</f>
        <v/>
      </c>
      <c r="H674">
        <f>IF(F674="",0,IF(COUNTIF(Настройки!$B$17:$B$26,F674)&gt;0,1,IF(COUNTIF(Настройки!$C$17:$C$26,F674)&gt;0,2,IF(COUNTIF(Настройки!$D$17:$D$26,F674)&gt;0,3,0))))</f>
        <v/>
      </c>
      <c r="I674">
        <f>IF(AND(ISNUMBER(A674),ISNUMBER(B674)),A674*1000+B674,"")</f>
        <v/>
      </c>
      <c r="J674">
        <f>IF(I674="","",IF(COUNTIF(I$2:I674,I674)=1,MAX(J$1:J673)+1,""))</f>
        <v/>
      </c>
    </row>
    <row r="675">
      <c r="A675">
        <f>IFERROR(--SUBSTITUTE(SUBSTITUTE(TRIM(INDEX(INDIRECT("'Выгрузка'!A675:Z675"),Настройки!$B$7)),",","."),".",MID(1/2,2,1)),"")</f>
        <v/>
      </c>
      <c r="B675">
        <f>IFERROR(--SUBSTITUTE(SUBSTITUTE(TRIM(INDEX(INDIRECT("'Выгрузка'!A675:Z675"),Настройки!$B$9)),",","."),".",MID(1/2,2,1)),"")</f>
        <v/>
      </c>
      <c r="C675">
        <f>TRIM(INDEX(INDIRECT("'Выгрузка'!A675:Z675"),Настройки!$B$8)&amp;"")</f>
        <v/>
      </c>
      <c r="D675">
        <f>IFERROR(--SUBSTITUTE(SUBSTITUTE(TRIM(INDEX(INDIRECT("'Выгрузка'!A675:Z675"),Настройки!$B$10)),",","."),".",MID(1/2,2,1)),"")</f>
        <v/>
      </c>
      <c r="E675">
        <f>IFERROR(--SUBSTITUTE(SUBSTITUTE(TRIM(INDEX(INDIRECT("'Выгрузка'!A675:Z675"),Настройки!$B$11)),",","."),".",MID(1/2,2,1)),"")</f>
        <v/>
      </c>
      <c r="F675">
        <f>TRIM(INDEX(INDIRECT("'Выгрузка'!A675:Z675"),Настройки!$B$12)&amp;"")</f>
        <v/>
      </c>
      <c r="G675">
        <f>IF(F675="",0,IF(TRIM(INDEX(INDIRECT("'Выгрузка'!A675:Z675"),Настройки!$B$13)&amp;"")="",1,IFERROR(--SUBSTITUTE(SUBSTITUTE(TRIM(INDEX(INDIRECT("'Выгрузка'!A675:Z675"),Настройки!$B$13)),",","."),".",MID(1/2,2,1)),"")))</f>
        <v/>
      </c>
      <c r="H675">
        <f>IF(F675="",0,IF(COUNTIF(Настройки!$B$17:$B$26,F675)&gt;0,1,IF(COUNTIF(Настройки!$C$17:$C$26,F675)&gt;0,2,IF(COUNTIF(Настройки!$D$17:$D$26,F675)&gt;0,3,0))))</f>
        <v/>
      </c>
      <c r="I675">
        <f>IF(AND(ISNUMBER(A675),ISNUMBER(B675)),A675*1000+B675,"")</f>
        <v/>
      </c>
      <c r="J675">
        <f>IF(I675="","",IF(COUNTIF(I$2:I675,I675)=1,MAX(J$1:J674)+1,""))</f>
        <v/>
      </c>
    </row>
    <row r="676">
      <c r="A676">
        <f>IFERROR(--SUBSTITUTE(SUBSTITUTE(TRIM(INDEX(INDIRECT("'Выгрузка'!A676:Z676"),Настройки!$B$7)),",","."),".",MID(1/2,2,1)),"")</f>
        <v/>
      </c>
      <c r="B676">
        <f>IFERROR(--SUBSTITUTE(SUBSTITUTE(TRIM(INDEX(INDIRECT("'Выгрузка'!A676:Z676"),Настройки!$B$9)),",","."),".",MID(1/2,2,1)),"")</f>
        <v/>
      </c>
      <c r="C676">
        <f>TRIM(INDEX(INDIRECT("'Выгрузка'!A676:Z676"),Настройки!$B$8)&amp;"")</f>
        <v/>
      </c>
      <c r="D676">
        <f>IFERROR(--SUBSTITUTE(SUBSTITUTE(TRIM(INDEX(INDIRECT("'Выгрузка'!A676:Z676"),Настройки!$B$10)),",","."),".",MID(1/2,2,1)),"")</f>
        <v/>
      </c>
      <c r="E676">
        <f>IFERROR(--SUBSTITUTE(SUBSTITUTE(TRIM(INDEX(INDIRECT("'Выгрузка'!A676:Z676"),Настройки!$B$11)),",","."),".",MID(1/2,2,1)),"")</f>
        <v/>
      </c>
      <c r="F676">
        <f>TRIM(INDEX(INDIRECT("'Выгрузка'!A676:Z676"),Настройки!$B$12)&amp;"")</f>
        <v/>
      </c>
      <c r="G676">
        <f>IF(F676="",0,IF(TRIM(INDEX(INDIRECT("'Выгрузка'!A676:Z676"),Настройки!$B$13)&amp;"")="",1,IFERROR(--SUBSTITUTE(SUBSTITUTE(TRIM(INDEX(INDIRECT("'Выгрузка'!A676:Z676"),Настройки!$B$13)),",","."),".",MID(1/2,2,1)),"")))</f>
        <v/>
      </c>
      <c r="H676">
        <f>IF(F676="",0,IF(COUNTIF(Настройки!$B$17:$B$26,F676)&gt;0,1,IF(COUNTIF(Настройки!$C$17:$C$26,F676)&gt;0,2,IF(COUNTIF(Настройки!$D$17:$D$26,F676)&gt;0,3,0))))</f>
        <v/>
      </c>
      <c r="I676">
        <f>IF(AND(ISNUMBER(A676),ISNUMBER(B676)),A676*1000+B676,"")</f>
        <v/>
      </c>
      <c r="J676">
        <f>IF(I676="","",IF(COUNTIF(I$2:I676,I676)=1,MAX(J$1:J675)+1,""))</f>
        <v/>
      </c>
    </row>
    <row r="677">
      <c r="A677">
        <f>IFERROR(--SUBSTITUTE(SUBSTITUTE(TRIM(INDEX(INDIRECT("'Выгрузка'!A677:Z677"),Настройки!$B$7)),",","."),".",MID(1/2,2,1)),"")</f>
        <v/>
      </c>
      <c r="B677">
        <f>IFERROR(--SUBSTITUTE(SUBSTITUTE(TRIM(INDEX(INDIRECT("'Выгрузка'!A677:Z677"),Настройки!$B$9)),",","."),".",MID(1/2,2,1)),"")</f>
        <v/>
      </c>
      <c r="C677">
        <f>TRIM(INDEX(INDIRECT("'Выгрузка'!A677:Z677"),Настройки!$B$8)&amp;"")</f>
        <v/>
      </c>
      <c r="D677">
        <f>IFERROR(--SUBSTITUTE(SUBSTITUTE(TRIM(INDEX(INDIRECT("'Выгрузка'!A677:Z677"),Настройки!$B$10)),",","."),".",MID(1/2,2,1)),"")</f>
        <v/>
      </c>
      <c r="E677">
        <f>IFERROR(--SUBSTITUTE(SUBSTITUTE(TRIM(INDEX(INDIRECT("'Выгрузка'!A677:Z677"),Настройки!$B$11)),",","."),".",MID(1/2,2,1)),"")</f>
        <v/>
      </c>
      <c r="F677">
        <f>TRIM(INDEX(INDIRECT("'Выгрузка'!A677:Z677"),Настройки!$B$12)&amp;"")</f>
        <v/>
      </c>
      <c r="G677">
        <f>IF(F677="",0,IF(TRIM(INDEX(INDIRECT("'Выгрузка'!A677:Z677"),Настройки!$B$13)&amp;"")="",1,IFERROR(--SUBSTITUTE(SUBSTITUTE(TRIM(INDEX(INDIRECT("'Выгрузка'!A677:Z677"),Настройки!$B$13)),",","."),".",MID(1/2,2,1)),"")))</f>
        <v/>
      </c>
      <c r="H677">
        <f>IF(F677="",0,IF(COUNTIF(Настройки!$B$17:$B$26,F677)&gt;0,1,IF(COUNTIF(Настройки!$C$17:$C$26,F677)&gt;0,2,IF(COUNTIF(Настройки!$D$17:$D$26,F677)&gt;0,3,0))))</f>
        <v/>
      </c>
      <c r="I677">
        <f>IF(AND(ISNUMBER(A677),ISNUMBER(B677)),A677*1000+B677,"")</f>
        <v/>
      </c>
      <c r="J677">
        <f>IF(I677="","",IF(COUNTIF(I$2:I677,I677)=1,MAX(J$1:J676)+1,""))</f>
        <v/>
      </c>
    </row>
    <row r="678">
      <c r="A678">
        <f>IFERROR(--SUBSTITUTE(SUBSTITUTE(TRIM(INDEX(INDIRECT("'Выгрузка'!A678:Z678"),Настройки!$B$7)),",","."),".",MID(1/2,2,1)),"")</f>
        <v/>
      </c>
      <c r="B678">
        <f>IFERROR(--SUBSTITUTE(SUBSTITUTE(TRIM(INDEX(INDIRECT("'Выгрузка'!A678:Z678"),Настройки!$B$9)),",","."),".",MID(1/2,2,1)),"")</f>
        <v/>
      </c>
      <c r="C678">
        <f>TRIM(INDEX(INDIRECT("'Выгрузка'!A678:Z678"),Настройки!$B$8)&amp;"")</f>
        <v/>
      </c>
      <c r="D678">
        <f>IFERROR(--SUBSTITUTE(SUBSTITUTE(TRIM(INDEX(INDIRECT("'Выгрузка'!A678:Z678"),Настройки!$B$10)),",","."),".",MID(1/2,2,1)),"")</f>
        <v/>
      </c>
      <c r="E678">
        <f>IFERROR(--SUBSTITUTE(SUBSTITUTE(TRIM(INDEX(INDIRECT("'Выгрузка'!A678:Z678"),Настройки!$B$11)),",","."),".",MID(1/2,2,1)),"")</f>
        <v/>
      </c>
      <c r="F678">
        <f>TRIM(INDEX(INDIRECT("'Выгрузка'!A678:Z678"),Настройки!$B$12)&amp;"")</f>
        <v/>
      </c>
      <c r="G678">
        <f>IF(F678="",0,IF(TRIM(INDEX(INDIRECT("'Выгрузка'!A678:Z678"),Настройки!$B$13)&amp;"")="",1,IFERROR(--SUBSTITUTE(SUBSTITUTE(TRIM(INDEX(INDIRECT("'Выгрузка'!A678:Z678"),Настройки!$B$13)),",","."),".",MID(1/2,2,1)),"")))</f>
        <v/>
      </c>
      <c r="H678">
        <f>IF(F678="",0,IF(COUNTIF(Настройки!$B$17:$B$26,F678)&gt;0,1,IF(COUNTIF(Настройки!$C$17:$C$26,F678)&gt;0,2,IF(COUNTIF(Настройки!$D$17:$D$26,F678)&gt;0,3,0))))</f>
        <v/>
      </c>
      <c r="I678">
        <f>IF(AND(ISNUMBER(A678),ISNUMBER(B678)),A678*1000+B678,"")</f>
        <v/>
      </c>
      <c r="J678">
        <f>IF(I678="","",IF(COUNTIF(I$2:I678,I678)=1,MAX(J$1:J677)+1,""))</f>
        <v/>
      </c>
    </row>
    <row r="679">
      <c r="A679">
        <f>IFERROR(--SUBSTITUTE(SUBSTITUTE(TRIM(INDEX(INDIRECT("'Выгрузка'!A679:Z679"),Настройки!$B$7)),",","."),".",MID(1/2,2,1)),"")</f>
        <v/>
      </c>
      <c r="B679">
        <f>IFERROR(--SUBSTITUTE(SUBSTITUTE(TRIM(INDEX(INDIRECT("'Выгрузка'!A679:Z679"),Настройки!$B$9)),",","."),".",MID(1/2,2,1)),"")</f>
        <v/>
      </c>
      <c r="C679">
        <f>TRIM(INDEX(INDIRECT("'Выгрузка'!A679:Z679"),Настройки!$B$8)&amp;"")</f>
        <v/>
      </c>
      <c r="D679">
        <f>IFERROR(--SUBSTITUTE(SUBSTITUTE(TRIM(INDEX(INDIRECT("'Выгрузка'!A679:Z679"),Настройки!$B$10)),",","."),".",MID(1/2,2,1)),"")</f>
        <v/>
      </c>
      <c r="E679">
        <f>IFERROR(--SUBSTITUTE(SUBSTITUTE(TRIM(INDEX(INDIRECT("'Выгрузка'!A679:Z679"),Настройки!$B$11)),",","."),".",MID(1/2,2,1)),"")</f>
        <v/>
      </c>
      <c r="F679">
        <f>TRIM(INDEX(INDIRECT("'Выгрузка'!A679:Z679"),Настройки!$B$12)&amp;"")</f>
        <v/>
      </c>
      <c r="G679">
        <f>IF(F679="",0,IF(TRIM(INDEX(INDIRECT("'Выгрузка'!A679:Z679"),Настройки!$B$13)&amp;"")="",1,IFERROR(--SUBSTITUTE(SUBSTITUTE(TRIM(INDEX(INDIRECT("'Выгрузка'!A679:Z679"),Настройки!$B$13)),",","."),".",MID(1/2,2,1)),"")))</f>
        <v/>
      </c>
      <c r="H679">
        <f>IF(F679="",0,IF(COUNTIF(Настройки!$B$17:$B$26,F679)&gt;0,1,IF(COUNTIF(Настройки!$C$17:$C$26,F679)&gt;0,2,IF(COUNTIF(Настройки!$D$17:$D$26,F679)&gt;0,3,0))))</f>
        <v/>
      </c>
      <c r="I679">
        <f>IF(AND(ISNUMBER(A679),ISNUMBER(B679)),A679*1000+B679,"")</f>
        <v/>
      </c>
      <c r="J679">
        <f>IF(I679="","",IF(COUNTIF(I$2:I679,I679)=1,MAX(J$1:J678)+1,""))</f>
        <v/>
      </c>
    </row>
    <row r="680">
      <c r="A680">
        <f>IFERROR(--SUBSTITUTE(SUBSTITUTE(TRIM(INDEX(INDIRECT("'Выгрузка'!A680:Z680"),Настройки!$B$7)),",","."),".",MID(1/2,2,1)),"")</f>
        <v/>
      </c>
      <c r="B680">
        <f>IFERROR(--SUBSTITUTE(SUBSTITUTE(TRIM(INDEX(INDIRECT("'Выгрузка'!A680:Z680"),Настройки!$B$9)),",","."),".",MID(1/2,2,1)),"")</f>
        <v/>
      </c>
      <c r="C680">
        <f>TRIM(INDEX(INDIRECT("'Выгрузка'!A680:Z680"),Настройки!$B$8)&amp;"")</f>
        <v/>
      </c>
      <c r="D680">
        <f>IFERROR(--SUBSTITUTE(SUBSTITUTE(TRIM(INDEX(INDIRECT("'Выгрузка'!A680:Z680"),Настройки!$B$10)),",","."),".",MID(1/2,2,1)),"")</f>
        <v/>
      </c>
      <c r="E680">
        <f>IFERROR(--SUBSTITUTE(SUBSTITUTE(TRIM(INDEX(INDIRECT("'Выгрузка'!A680:Z680"),Настройки!$B$11)),",","."),".",MID(1/2,2,1)),"")</f>
        <v/>
      </c>
      <c r="F680">
        <f>TRIM(INDEX(INDIRECT("'Выгрузка'!A680:Z680"),Настройки!$B$12)&amp;"")</f>
        <v/>
      </c>
      <c r="G680">
        <f>IF(F680="",0,IF(TRIM(INDEX(INDIRECT("'Выгрузка'!A680:Z680"),Настройки!$B$13)&amp;"")="",1,IFERROR(--SUBSTITUTE(SUBSTITUTE(TRIM(INDEX(INDIRECT("'Выгрузка'!A680:Z680"),Настройки!$B$13)),",","."),".",MID(1/2,2,1)),"")))</f>
        <v/>
      </c>
      <c r="H680">
        <f>IF(F680="",0,IF(COUNTIF(Настройки!$B$17:$B$26,F680)&gt;0,1,IF(COUNTIF(Настройки!$C$17:$C$26,F680)&gt;0,2,IF(COUNTIF(Настройки!$D$17:$D$26,F680)&gt;0,3,0))))</f>
        <v/>
      </c>
      <c r="I680">
        <f>IF(AND(ISNUMBER(A680),ISNUMBER(B680)),A680*1000+B680,"")</f>
        <v/>
      </c>
      <c r="J680">
        <f>IF(I680="","",IF(COUNTIF(I$2:I680,I680)=1,MAX(J$1:J679)+1,""))</f>
        <v/>
      </c>
    </row>
    <row r="681">
      <c r="A681">
        <f>IFERROR(--SUBSTITUTE(SUBSTITUTE(TRIM(INDEX(INDIRECT("'Выгрузка'!A681:Z681"),Настройки!$B$7)),",","."),".",MID(1/2,2,1)),"")</f>
        <v/>
      </c>
      <c r="B681">
        <f>IFERROR(--SUBSTITUTE(SUBSTITUTE(TRIM(INDEX(INDIRECT("'Выгрузка'!A681:Z681"),Настройки!$B$9)),",","."),".",MID(1/2,2,1)),"")</f>
        <v/>
      </c>
      <c r="C681">
        <f>TRIM(INDEX(INDIRECT("'Выгрузка'!A681:Z681"),Настройки!$B$8)&amp;"")</f>
        <v/>
      </c>
      <c r="D681">
        <f>IFERROR(--SUBSTITUTE(SUBSTITUTE(TRIM(INDEX(INDIRECT("'Выгрузка'!A681:Z681"),Настройки!$B$10)),",","."),".",MID(1/2,2,1)),"")</f>
        <v/>
      </c>
      <c r="E681">
        <f>IFERROR(--SUBSTITUTE(SUBSTITUTE(TRIM(INDEX(INDIRECT("'Выгрузка'!A681:Z681"),Настройки!$B$11)),",","."),".",MID(1/2,2,1)),"")</f>
        <v/>
      </c>
      <c r="F681">
        <f>TRIM(INDEX(INDIRECT("'Выгрузка'!A681:Z681"),Настройки!$B$12)&amp;"")</f>
        <v/>
      </c>
      <c r="G681">
        <f>IF(F681="",0,IF(TRIM(INDEX(INDIRECT("'Выгрузка'!A681:Z681"),Настройки!$B$13)&amp;"")="",1,IFERROR(--SUBSTITUTE(SUBSTITUTE(TRIM(INDEX(INDIRECT("'Выгрузка'!A681:Z681"),Настройки!$B$13)),",","."),".",MID(1/2,2,1)),"")))</f>
        <v/>
      </c>
      <c r="H681">
        <f>IF(F681="",0,IF(COUNTIF(Настройки!$B$17:$B$26,F681)&gt;0,1,IF(COUNTIF(Настройки!$C$17:$C$26,F681)&gt;0,2,IF(COUNTIF(Настройки!$D$17:$D$26,F681)&gt;0,3,0))))</f>
        <v/>
      </c>
      <c r="I681">
        <f>IF(AND(ISNUMBER(A681),ISNUMBER(B681)),A681*1000+B681,"")</f>
        <v/>
      </c>
      <c r="J681">
        <f>IF(I681="","",IF(COUNTIF(I$2:I681,I681)=1,MAX(J$1:J680)+1,""))</f>
        <v/>
      </c>
    </row>
    <row r="682">
      <c r="A682">
        <f>IFERROR(--SUBSTITUTE(SUBSTITUTE(TRIM(INDEX(INDIRECT("'Выгрузка'!A682:Z682"),Настройки!$B$7)),",","."),".",MID(1/2,2,1)),"")</f>
        <v/>
      </c>
      <c r="B682">
        <f>IFERROR(--SUBSTITUTE(SUBSTITUTE(TRIM(INDEX(INDIRECT("'Выгрузка'!A682:Z682"),Настройки!$B$9)),",","."),".",MID(1/2,2,1)),"")</f>
        <v/>
      </c>
      <c r="C682">
        <f>TRIM(INDEX(INDIRECT("'Выгрузка'!A682:Z682"),Настройки!$B$8)&amp;"")</f>
        <v/>
      </c>
      <c r="D682">
        <f>IFERROR(--SUBSTITUTE(SUBSTITUTE(TRIM(INDEX(INDIRECT("'Выгрузка'!A682:Z682"),Настройки!$B$10)),",","."),".",MID(1/2,2,1)),"")</f>
        <v/>
      </c>
      <c r="E682">
        <f>IFERROR(--SUBSTITUTE(SUBSTITUTE(TRIM(INDEX(INDIRECT("'Выгрузка'!A682:Z682"),Настройки!$B$11)),",","."),".",MID(1/2,2,1)),"")</f>
        <v/>
      </c>
      <c r="F682">
        <f>TRIM(INDEX(INDIRECT("'Выгрузка'!A682:Z682"),Настройки!$B$12)&amp;"")</f>
        <v/>
      </c>
      <c r="G682">
        <f>IF(F682="",0,IF(TRIM(INDEX(INDIRECT("'Выгрузка'!A682:Z682"),Настройки!$B$13)&amp;"")="",1,IFERROR(--SUBSTITUTE(SUBSTITUTE(TRIM(INDEX(INDIRECT("'Выгрузка'!A682:Z682"),Настройки!$B$13)),",","."),".",MID(1/2,2,1)),"")))</f>
        <v/>
      </c>
      <c r="H682">
        <f>IF(F682="",0,IF(COUNTIF(Настройки!$B$17:$B$26,F682)&gt;0,1,IF(COUNTIF(Настройки!$C$17:$C$26,F682)&gt;0,2,IF(COUNTIF(Настройки!$D$17:$D$26,F682)&gt;0,3,0))))</f>
        <v/>
      </c>
      <c r="I682">
        <f>IF(AND(ISNUMBER(A682),ISNUMBER(B682)),A682*1000+B682,"")</f>
        <v/>
      </c>
      <c r="J682">
        <f>IF(I682="","",IF(COUNTIF(I$2:I682,I682)=1,MAX(J$1:J681)+1,""))</f>
        <v/>
      </c>
    </row>
    <row r="683">
      <c r="A683">
        <f>IFERROR(--SUBSTITUTE(SUBSTITUTE(TRIM(INDEX(INDIRECT("'Выгрузка'!A683:Z683"),Настройки!$B$7)),",","."),".",MID(1/2,2,1)),"")</f>
        <v/>
      </c>
      <c r="B683">
        <f>IFERROR(--SUBSTITUTE(SUBSTITUTE(TRIM(INDEX(INDIRECT("'Выгрузка'!A683:Z683"),Настройки!$B$9)),",","."),".",MID(1/2,2,1)),"")</f>
        <v/>
      </c>
      <c r="C683">
        <f>TRIM(INDEX(INDIRECT("'Выгрузка'!A683:Z683"),Настройки!$B$8)&amp;"")</f>
        <v/>
      </c>
      <c r="D683">
        <f>IFERROR(--SUBSTITUTE(SUBSTITUTE(TRIM(INDEX(INDIRECT("'Выгрузка'!A683:Z683"),Настройки!$B$10)),",","."),".",MID(1/2,2,1)),"")</f>
        <v/>
      </c>
      <c r="E683">
        <f>IFERROR(--SUBSTITUTE(SUBSTITUTE(TRIM(INDEX(INDIRECT("'Выгрузка'!A683:Z683"),Настройки!$B$11)),",","."),".",MID(1/2,2,1)),"")</f>
        <v/>
      </c>
      <c r="F683">
        <f>TRIM(INDEX(INDIRECT("'Выгрузка'!A683:Z683"),Настройки!$B$12)&amp;"")</f>
        <v/>
      </c>
      <c r="G683">
        <f>IF(F683="",0,IF(TRIM(INDEX(INDIRECT("'Выгрузка'!A683:Z683"),Настройки!$B$13)&amp;"")="",1,IFERROR(--SUBSTITUTE(SUBSTITUTE(TRIM(INDEX(INDIRECT("'Выгрузка'!A683:Z683"),Настройки!$B$13)),",","."),".",MID(1/2,2,1)),"")))</f>
        <v/>
      </c>
      <c r="H683">
        <f>IF(F683="",0,IF(COUNTIF(Настройки!$B$17:$B$26,F683)&gt;0,1,IF(COUNTIF(Настройки!$C$17:$C$26,F683)&gt;0,2,IF(COUNTIF(Настройки!$D$17:$D$26,F683)&gt;0,3,0))))</f>
        <v/>
      </c>
      <c r="I683">
        <f>IF(AND(ISNUMBER(A683),ISNUMBER(B683)),A683*1000+B683,"")</f>
        <v/>
      </c>
      <c r="J683">
        <f>IF(I683="","",IF(COUNTIF(I$2:I683,I683)=1,MAX(J$1:J682)+1,""))</f>
        <v/>
      </c>
    </row>
    <row r="684">
      <c r="A684">
        <f>IFERROR(--SUBSTITUTE(SUBSTITUTE(TRIM(INDEX(INDIRECT("'Выгрузка'!A684:Z684"),Настройки!$B$7)),",","."),".",MID(1/2,2,1)),"")</f>
        <v/>
      </c>
      <c r="B684">
        <f>IFERROR(--SUBSTITUTE(SUBSTITUTE(TRIM(INDEX(INDIRECT("'Выгрузка'!A684:Z684"),Настройки!$B$9)),",","."),".",MID(1/2,2,1)),"")</f>
        <v/>
      </c>
      <c r="C684">
        <f>TRIM(INDEX(INDIRECT("'Выгрузка'!A684:Z684"),Настройки!$B$8)&amp;"")</f>
        <v/>
      </c>
      <c r="D684">
        <f>IFERROR(--SUBSTITUTE(SUBSTITUTE(TRIM(INDEX(INDIRECT("'Выгрузка'!A684:Z684"),Настройки!$B$10)),",","."),".",MID(1/2,2,1)),"")</f>
        <v/>
      </c>
      <c r="E684">
        <f>IFERROR(--SUBSTITUTE(SUBSTITUTE(TRIM(INDEX(INDIRECT("'Выгрузка'!A684:Z684"),Настройки!$B$11)),",","."),".",MID(1/2,2,1)),"")</f>
        <v/>
      </c>
      <c r="F684">
        <f>TRIM(INDEX(INDIRECT("'Выгрузка'!A684:Z684"),Настройки!$B$12)&amp;"")</f>
        <v/>
      </c>
      <c r="G684">
        <f>IF(F684="",0,IF(TRIM(INDEX(INDIRECT("'Выгрузка'!A684:Z684"),Настройки!$B$13)&amp;"")="",1,IFERROR(--SUBSTITUTE(SUBSTITUTE(TRIM(INDEX(INDIRECT("'Выгрузка'!A684:Z684"),Настройки!$B$13)),",","."),".",MID(1/2,2,1)),"")))</f>
        <v/>
      </c>
      <c r="H684">
        <f>IF(F684="",0,IF(COUNTIF(Настройки!$B$17:$B$26,F684)&gt;0,1,IF(COUNTIF(Настройки!$C$17:$C$26,F684)&gt;0,2,IF(COUNTIF(Настройки!$D$17:$D$26,F684)&gt;0,3,0))))</f>
        <v/>
      </c>
      <c r="I684">
        <f>IF(AND(ISNUMBER(A684),ISNUMBER(B684)),A684*1000+B684,"")</f>
        <v/>
      </c>
      <c r="J684">
        <f>IF(I684="","",IF(COUNTIF(I$2:I684,I684)=1,MAX(J$1:J683)+1,""))</f>
        <v/>
      </c>
    </row>
    <row r="685">
      <c r="A685">
        <f>IFERROR(--SUBSTITUTE(SUBSTITUTE(TRIM(INDEX(INDIRECT("'Выгрузка'!A685:Z685"),Настройки!$B$7)),",","."),".",MID(1/2,2,1)),"")</f>
        <v/>
      </c>
      <c r="B685">
        <f>IFERROR(--SUBSTITUTE(SUBSTITUTE(TRIM(INDEX(INDIRECT("'Выгрузка'!A685:Z685"),Настройки!$B$9)),",","."),".",MID(1/2,2,1)),"")</f>
        <v/>
      </c>
      <c r="C685">
        <f>TRIM(INDEX(INDIRECT("'Выгрузка'!A685:Z685"),Настройки!$B$8)&amp;"")</f>
        <v/>
      </c>
      <c r="D685">
        <f>IFERROR(--SUBSTITUTE(SUBSTITUTE(TRIM(INDEX(INDIRECT("'Выгрузка'!A685:Z685"),Настройки!$B$10)),",","."),".",MID(1/2,2,1)),"")</f>
        <v/>
      </c>
      <c r="E685">
        <f>IFERROR(--SUBSTITUTE(SUBSTITUTE(TRIM(INDEX(INDIRECT("'Выгрузка'!A685:Z685"),Настройки!$B$11)),",","."),".",MID(1/2,2,1)),"")</f>
        <v/>
      </c>
      <c r="F685">
        <f>TRIM(INDEX(INDIRECT("'Выгрузка'!A685:Z685"),Настройки!$B$12)&amp;"")</f>
        <v/>
      </c>
      <c r="G685">
        <f>IF(F685="",0,IF(TRIM(INDEX(INDIRECT("'Выгрузка'!A685:Z685"),Настройки!$B$13)&amp;"")="",1,IFERROR(--SUBSTITUTE(SUBSTITUTE(TRIM(INDEX(INDIRECT("'Выгрузка'!A685:Z685"),Настройки!$B$13)),",","."),".",MID(1/2,2,1)),"")))</f>
        <v/>
      </c>
      <c r="H685">
        <f>IF(F685="",0,IF(COUNTIF(Настройки!$B$17:$B$26,F685)&gt;0,1,IF(COUNTIF(Настройки!$C$17:$C$26,F685)&gt;0,2,IF(COUNTIF(Настройки!$D$17:$D$26,F685)&gt;0,3,0))))</f>
        <v/>
      </c>
      <c r="I685">
        <f>IF(AND(ISNUMBER(A685),ISNUMBER(B685)),A685*1000+B685,"")</f>
        <v/>
      </c>
      <c r="J685">
        <f>IF(I685="","",IF(COUNTIF(I$2:I685,I685)=1,MAX(J$1:J684)+1,""))</f>
        <v/>
      </c>
    </row>
    <row r="686">
      <c r="A686">
        <f>IFERROR(--SUBSTITUTE(SUBSTITUTE(TRIM(INDEX(INDIRECT("'Выгрузка'!A686:Z686"),Настройки!$B$7)),",","."),".",MID(1/2,2,1)),"")</f>
        <v/>
      </c>
      <c r="B686">
        <f>IFERROR(--SUBSTITUTE(SUBSTITUTE(TRIM(INDEX(INDIRECT("'Выгрузка'!A686:Z686"),Настройки!$B$9)),",","."),".",MID(1/2,2,1)),"")</f>
        <v/>
      </c>
      <c r="C686">
        <f>TRIM(INDEX(INDIRECT("'Выгрузка'!A686:Z686"),Настройки!$B$8)&amp;"")</f>
        <v/>
      </c>
      <c r="D686">
        <f>IFERROR(--SUBSTITUTE(SUBSTITUTE(TRIM(INDEX(INDIRECT("'Выгрузка'!A686:Z686"),Настройки!$B$10)),",","."),".",MID(1/2,2,1)),"")</f>
        <v/>
      </c>
      <c r="E686">
        <f>IFERROR(--SUBSTITUTE(SUBSTITUTE(TRIM(INDEX(INDIRECT("'Выгрузка'!A686:Z686"),Настройки!$B$11)),",","."),".",MID(1/2,2,1)),"")</f>
        <v/>
      </c>
      <c r="F686">
        <f>TRIM(INDEX(INDIRECT("'Выгрузка'!A686:Z686"),Настройки!$B$12)&amp;"")</f>
        <v/>
      </c>
      <c r="G686">
        <f>IF(F686="",0,IF(TRIM(INDEX(INDIRECT("'Выгрузка'!A686:Z686"),Настройки!$B$13)&amp;"")="",1,IFERROR(--SUBSTITUTE(SUBSTITUTE(TRIM(INDEX(INDIRECT("'Выгрузка'!A686:Z686"),Настройки!$B$13)),",","."),".",MID(1/2,2,1)),"")))</f>
        <v/>
      </c>
      <c r="H686">
        <f>IF(F686="",0,IF(COUNTIF(Настройки!$B$17:$B$26,F686)&gt;0,1,IF(COUNTIF(Настройки!$C$17:$C$26,F686)&gt;0,2,IF(COUNTIF(Настройки!$D$17:$D$26,F686)&gt;0,3,0))))</f>
        <v/>
      </c>
      <c r="I686">
        <f>IF(AND(ISNUMBER(A686),ISNUMBER(B686)),A686*1000+B686,"")</f>
        <v/>
      </c>
      <c r="J686">
        <f>IF(I686="","",IF(COUNTIF(I$2:I686,I686)=1,MAX(J$1:J685)+1,""))</f>
        <v/>
      </c>
    </row>
    <row r="687">
      <c r="A687">
        <f>IFERROR(--SUBSTITUTE(SUBSTITUTE(TRIM(INDEX(INDIRECT("'Выгрузка'!A687:Z687"),Настройки!$B$7)),",","."),".",MID(1/2,2,1)),"")</f>
        <v/>
      </c>
      <c r="B687">
        <f>IFERROR(--SUBSTITUTE(SUBSTITUTE(TRIM(INDEX(INDIRECT("'Выгрузка'!A687:Z687"),Настройки!$B$9)),",","."),".",MID(1/2,2,1)),"")</f>
        <v/>
      </c>
      <c r="C687">
        <f>TRIM(INDEX(INDIRECT("'Выгрузка'!A687:Z687"),Настройки!$B$8)&amp;"")</f>
        <v/>
      </c>
      <c r="D687">
        <f>IFERROR(--SUBSTITUTE(SUBSTITUTE(TRIM(INDEX(INDIRECT("'Выгрузка'!A687:Z687"),Настройки!$B$10)),",","."),".",MID(1/2,2,1)),"")</f>
        <v/>
      </c>
      <c r="E687">
        <f>IFERROR(--SUBSTITUTE(SUBSTITUTE(TRIM(INDEX(INDIRECT("'Выгрузка'!A687:Z687"),Настройки!$B$11)),",","."),".",MID(1/2,2,1)),"")</f>
        <v/>
      </c>
      <c r="F687">
        <f>TRIM(INDEX(INDIRECT("'Выгрузка'!A687:Z687"),Настройки!$B$12)&amp;"")</f>
        <v/>
      </c>
      <c r="G687">
        <f>IF(F687="",0,IF(TRIM(INDEX(INDIRECT("'Выгрузка'!A687:Z687"),Настройки!$B$13)&amp;"")="",1,IFERROR(--SUBSTITUTE(SUBSTITUTE(TRIM(INDEX(INDIRECT("'Выгрузка'!A687:Z687"),Настройки!$B$13)),",","."),".",MID(1/2,2,1)),"")))</f>
        <v/>
      </c>
      <c r="H687">
        <f>IF(F687="",0,IF(COUNTIF(Настройки!$B$17:$B$26,F687)&gt;0,1,IF(COUNTIF(Настройки!$C$17:$C$26,F687)&gt;0,2,IF(COUNTIF(Настройки!$D$17:$D$26,F687)&gt;0,3,0))))</f>
        <v/>
      </c>
      <c r="I687">
        <f>IF(AND(ISNUMBER(A687),ISNUMBER(B687)),A687*1000+B687,"")</f>
        <v/>
      </c>
      <c r="J687">
        <f>IF(I687="","",IF(COUNTIF(I$2:I687,I687)=1,MAX(J$1:J686)+1,""))</f>
        <v/>
      </c>
    </row>
    <row r="688">
      <c r="A688">
        <f>IFERROR(--SUBSTITUTE(SUBSTITUTE(TRIM(INDEX(INDIRECT("'Выгрузка'!A688:Z688"),Настройки!$B$7)),",","."),".",MID(1/2,2,1)),"")</f>
        <v/>
      </c>
      <c r="B688">
        <f>IFERROR(--SUBSTITUTE(SUBSTITUTE(TRIM(INDEX(INDIRECT("'Выгрузка'!A688:Z688"),Настройки!$B$9)),",","."),".",MID(1/2,2,1)),"")</f>
        <v/>
      </c>
      <c r="C688">
        <f>TRIM(INDEX(INDIRECT("'Выгрузка'!A688:Z688"),Настройки!$B$8)&amp;"")</f>
        <v/>
      </c>
      <c r="D688">
        <f>IFERROR(--SUBSTITUTE(SUBSTITUTE(TRIM(INDEX(INDIRECT("'Выгрузка'!A688:Z688"),Настройки!$B$10)),",","."),".",MID(1/2,2,1)),"")</f>
        <v/>
      </c>
      <c r="E688">
        <f>IFERROR(--SUBSTITUTE(SUBSTITUTE(TRIM(INDEX(INDIRECT("'Выгрузка'!A688:Z688"),Настройки!$B$11)),",","."),".",MID(1/2,2,1)),"")</f>
        <v/>
      </c>
      <c r="F688">
        <f>TRIM(INDEX(INDIRECT("'Выгрузка'!A688:Z688"),Настройки!$B$12)&amp;"")</f>
        <v/>
      </c>
      <c r="G688">
        <f>IF(F688="",0,IF(TRIM(INDEX(INDIRECT("'Выгрузка'!A688:Z688"),Настройки!$B$13)&amp;"")="",1,IFERROR(--SUBSTITUTE(SUBSTITUTE(TRIM(INDEX(INDIRECT("'Выгрузка'!A688:Z688"),Настройки!$B$13)),",","."),".",MID(1/2,2,1)),"")))</f>
        <v/>
      </c>
      <c r="H688">
        <f>IF(F688="",0,IF(COUNTIF(Настройки!$B$17:$B$26,F688)&gt;0,1,IF(COUNTIF(Настройки!$C$17:$C$26,F688)&gt;0,2,IF(COUNTIF(Настройки!$D$17:$D$26,F688)&gt;0,3,0))))</f>
        <v/>
      </c>
      <c r="I688">
        <f>IF(AND(ISNUMBER(A688),ISNUMBER(B688)),A688*1000+B688,"")</f>
        <v/>
      </c>
      <c r="J688">
        <f>IF(I688="","",IF(COUNTIF(I$2:I688,I688)=1,MAX(J$1:J687)+1,""))</f>
        <v/>
      </c>
    </row>
    <row r="689">
      <c r="A689">
        <f>IFERROR(--SUBSTITUTE(SUBSTITUTE(TRIM(INDEX(INDIRECT("'Выгрузка'!A689:Z689"),Настройки!$B$7)),",","."),".",MID(1/2,2,1)),"")</f>
        <v/>
      </c>
      <c r="B689">
        <f>IFERROR(--SUBSTITUTE(SUBSTITUTE(TRIM(INDEX(INDIRECT("'Выгрузка'!A689:Z689"),Настройки!$B$9)),",","."),".",MID(1/2,2,1)),"")</f>
        <v/>
      </c>
      <c r="C689">
        <f>TRIM(INDEX(INDIRECT("'Выгрузка'!A689:Z689"),Настройки!$B$8)&amp;"")</f>
        <v/>
      </c>
      <c r="D689">
        <f>IFERROR(--SUBSTITUTE(SUBSTITUTE(TRIM(INDEX(INDIRECT("'Выгрузка'!A689:Z689"),Настройки!$B$10)),",","."),".",MID(1/2,2,1)),"")</f>
        <v/>
      </c>
      <c r="E689">
        <f>IFERROR(--SUBSTITUTE(SUBSTITUTE(TRIM(INDEX(INDIRECT("'Выгрузка'!A689:Z689"),Настройки!$B$11)),",","."),".",MID(1/2,2,1)),"")</f>
        <v/>
      </c>
      <c r="F689">
        <f>TRIM(INDEX(INDIRECT("'Выгрузка'!A689:Z689"),Настройки!$B$12)&amp;"")</f>
        <v/>
      </c>
      <c r="G689">
        <f>IF(F689="",0,IF(TRIM(INDEX(INDIRECT("'Выгрузка'!A689:Z689"),Настройки!$B$13)&amp;"")="",1,IFERROR(--SUBSTITUTE(SUBSTITUTE(TRIM(INDEX(INDIRECT("'Выгрузка'!A689:Z689"),Настройки!$B$13)),",","."),".",MID(1/2,2,1)),"")))</f>
        <v/>
      </c>
      <c r="H689">
        <f>IF(F689="",0,IF(COUNTIF(Настройки!$B$17:$B$26,F689)&gt;0,1,IF(COUNTIF(Настройки!$C$17:$C$26,F689)&gt;0,2,IF(COUNTIF(Настройки!$D$17:$D$26,F689)&gt;0,3,0))))</f>
        <v/>
      </c>
      <c r="I689">
        <f>IF(AND(ISNUMBER(A689),ISNUMBER(B689)),A689*1000+B689,"")</f>
        <v/>
      </c>
      <c r="J689">
        <f>IF(I689="","",IF(COUNTIF(I$2:I689,I689)=1,MAX(J$1:J688)+1,""))</f>
        <v/>
      </c>
    </row>
    <row r="690">
      <c r="A690">
        <f>IFERROR(--SUBSTITUTE(SUBSTITUTE(TRIM(INDEX(INDIRECT("'Выгрузка'!A690:Z690"),Настройки!$B$7)),",","."),".",MID(1/2,2,1)),"")</f>
        <v/>
      </c>
      <c r="B690">
        <f>IFERROR(--SUBSTITUTE(SUBSTITUTE(TRIM(INDEX(INDIRECT("'Выгрузка'!A690:Z690"),Настройки!$B$9)),",","."),".",MID(1/2,2,1)),"")</f>
        <v/>
      </c>
      <c r="C690">
        <f>TRIM(INDEX(INDIRECT("'Выгрузка'!A690:Z690"),Настройки!$B$8)&amp;"")</f>
        <v/>
      </c>
      <c r="D690">
        <f>IFERROR(--SUBSTITUTE(SUBSTITUTE(TRIM(INDEX(INDIRECT("'Выгрузка'!A690:Z690"),Настройки!$B$10)),",","."),".",MID(1/2,2,1)),"")</f>
        <v/>
      </c>
      <c r="E690">
        <f>IFERROR(--SUBSTITUTE(SUBSTITUTE(TRIM(INDEX(INDIRECT("'Выгрузка'!A690:Z690"),Настройки!$B$11)),",","."),".",MID(1/2,2,1)),"")</f>
        <v/>
      </c>
      <c r="F690">
        <f>TRIM(INDEX(INDIRECT("'Выгрузка'!A690:Z690"),Настройки!$B$12)&amp;"")</f>
        <v/>
      </c>
      <c r="G690">
        <f>IF(F690="",0,IF(TRIM(INDEX(INDIRECT("'Выгрузка'!A690:Z690"),Настройки!$B$13)&amp;"")="",1,IFERROR(--SUBSTITUTE(SUBSTITUTE(TRIM(INDEX(INDIRECT("'Выгрузка'!A690:Z690"),Настройки!$B$13)),",","."),".",MID(1/2,2,1)),"")))</f>
        <v/>
      </c>
      <c r="H690">
        <f>IF(F690="",0,IF(COUNTIF(Настройки!$B$17:$B$26,F690)&gt;0,1,IF(COUNTIF(Настройки!$C$17:$C$26,F690)&gt;0,2,IF(COUNTIF(Настройки!$D$17:$D$26,F690)&gt;0,3,0))))</f>
        <v/>
      </c>
      <c r="I690">
        <f>IF(AND(ISNUMBER(A690),ISNUMBER(B690)),A690*1000+B690,"")</f>
        <v/>
      </c>
      <c r="J690">
        <f>IF(I690="","",IF(COUNTIF(I$2:I690,I690)=1,MAX(J$1:J689)+1,""))</f>
        <v/>
      </c>
    </row>
    <row r="691">
      <c r="A691">
        <f>IFERROR(--SUBSTITUTE(SUBSTITUTE(TRIM(INDEX(INDIRECT("'Выгрузка'!A691:Z691"),Настройки!$B$7)),",","."),".",MID(1/2,2,1)),"")</f>
        <v/>
      </c>
      <c r="B691">
        <f>IFERROR(--SUBSTITUTE(SUBSTITUTE(TRIM(INDEX(INDIRECT("'Выгрузка'!A691:Z691"),Настройки!$B$9)),",","."),".",MID(1/2,2,1)),"")</f>
        <v/>
      </c>
      <c r="C691">
        <f>TRIM(INDEX(INDIRECT("'Выгрузка'!A691:Z691"),Настройки!$B$8)&amp;"")</f>
        <v/>
      </c>
      <c r="D691">
        <f>IFERROR(--SUBSTITUTE(SUBSTITUTE(TRIM(INDEX(INDIRECT("'Выгрузка'!A691:Z691"),Настройки!$B$10)),",","."),".",MID(1/2,2,1)),"")</f>
        <v/>
      </c>
      <c r="E691">
        <f>IFERROR(--SUBSTITUTE(SUBSTITUTE(TRIM(INDEX(INDIRECT("'Выгрузка'!A691:Z691"),Настройки!$B$11)),",","."),".",MID(1/2,2,1)),"")</f>
        <v/>
      </c>
      <c r="F691">
        <f>TRIM(INDEX(INDIRECT("'Выгрузка'!A691:Z691"),Настройки!$B$12)&amp;"")</f>
        <v/>
      </c>
      <c r="G691">
        <f>IF(F691="",0,IF(TRIM(INDEX(INDIRECT("'Выгрузка'!A691:Z691"),Настройки!$B$13)&amp;"")="",1,IFERROR(--SUBSTITUTE(SUBSTITUTE(TRIM(INDEX(INDIRECT("'Выгрузка'!A691:Z691"),Настройки!$B$13)),",","."),".",MID(1/2,2,1)),"")))</f>
        <v/>
      </c>
      <c r="H691">
        <f>IF(F691="",0,IF(COUNTIF(Настройки!$B$17:$B$26,F691)&gt;0,1,IF(COUNTIF(Настройки!$C$17:$C$26,F691)&gt;0,2,IF(COUNTIF(Настройки!$D$17:$D$26,F691)&gt;0,3,0))))</f>
        <v/>
      </c>
      <c r="I691">
        <f>IF(AND(ISNUMBER(A691),ISNUMBER(B691)),A691*1000+B691,"")</f>
        <v/>
      </c>
      <c r="J691">
        <f>IF(I691="","",IF(COUNTIF(I$2:I691,I691)=1,MAX(J$1:J690)+1,""))</f>
        <v/>
      </c>
    </row>
    <row r="692">
      <c r="A692">
        <f>IFERROR(--SUBSTITUTE(SUBSTITUTE(TRIM(INDEX(INDIRECT("'Выгрузка'!A692:Z692"),Настройки!$B$7)),",","."),".",MID(1/2,2,1)),"")</f>
        <v/>
      </c>
      <c r="B692">
        <f>IFERROR(--SUBSTITUTE(SUBSTITUTE(TRIM(INDEX(INDIRECT("'Выгрузка'!A692:Z692"),Настройки!$B$9)),",","."),".",MID(1/2,2,1)),"")</f>
        <v/>
      </c>
      <c r="C692">
        <f>TRIM(INDEX(INDIRECT("'Выгрузка'!A692:Z692"),Настройки!$B$8)&amp;"")</f>
        <v/>
      </c>
      <c r="D692">
        <f>IFERROR(--SUBSTITUTE(SUBSTITUTE(TRIM(INDEX(INDIRECT("'Выгрузка'!A692:Z692"),Настройки!$B$10)),",","."),".",MID(1/2,2,1)),"")</f>
        <v/>
      </c>
      <c r="E692">
        <f>IFERROR(--SUBSTITUTE(SUBSTITUTE(TRIM(INDEX(INDIRECT("'Выгрузка'!A692:Z692"),Настройки!$B$11)),",","."),".",MID(1/2,2,1)),"")</f>
        <v/>
      </c>
      <c r="F692">
        <f>TRIM(INDEX(INDIRECT("'Выгрузка'!A692:Z692"),Настройки!$B$12)&amp;"")</f>
        <v/>
      </c>
      <c r="G692">
        <f>IF(F692="",0,IF(TRIM(INDEX(INDIRECT("'Выгрузка'!A692:Z692"),Настройки!$B$13)&amp;"")="",1,IFERROR(--SUBSTITUTE(SUBSTITUTE(TRIM(INDEX(INDIRECT("'Выгрузка'!A692:Z692"),Настройки!$B$13)),",","."),".",MID(1/2,2,1)),"")))</f>
        <v/>
      </c>
      <c r="H692">
        <f>IF(F692="",0,IF(COUNTIF(Настройки!$B$17:$B$26,F692)&gt;0,1,IF(COUNTIF(Настройки!$C$17:$C$26,F692)&gt;0,2,IF(COUNTIF(Настройки!$D$17:$D$26,F692)&gt;0,3,0))))</f>
        <v/>
      </c>
      <c r="I692">
        <f>IF(AND(ISNUMBER(A692),ISNUMBER(B692)),A692*1000+B692,"")</f>
        <v/>
      </c>
      <c r="J692">
        <f>IF(I692="","",IF(COUNTIF(I$2:I692,I692)=1,MAX(J$1:J691)+1,""))</f>
        <v/>
      </c>
    </row>
    <row r="693">
      <c r="A693">
        <f>IFERROR(--SUBSTITUTE(SUBSTITUTE(TRIM(INDEX(INDIRECT("'Выгрузка'!A693:Z693"),Настройки!$B$7)),",","."),".",MID(1/2,2,1)),"")</f>
        <v/>
      </c>
      <c r="B693">
        <f>IFERROR(--SUBSTITUTE(SUBSTITUTE(TRIM(INDEX(INDIRECT("'Выгрузка'!A693:Z693"),Настройки!$B$9)),",","."),".",MID(1/2,2,1)),"")</f>
        <v/>
      </c>
      <c r="C693">
        <f>TRIM(INDEX(INDIRECT("'Выгрузка'!A693:Z693"),Настройки!$B$8)&amp;"")</f>
        <v/>
      </c>
      <c r="D693">
        <f>IFERROR(--SUBSTITUTE(SUBSTITUTE(TRIM(INDEX(INDIRECT("'Выгрузка'!A693:Z693"),Настройки!$B$10)),",","."),".",MID(1/2,2,1)),"")</f>
        <v/>
      </c>
      <c r="E693">
        <f>IFERROR(--SUBSTITUTE(SUBSTITUTE(TRIM(INDEX(INDIRECT("'Выгрузка'!A693:Z693"),Настройки!$B$11)),",","."),".",MID(1/2,2,1)),"")</f>
        <v/>
      </c>
      <c r="F693">
        <f>TRIM(INDEX(INDIRECT("'Выгрузка'!A693:Z693"),Настройки!$B$12)&amp;"")</f>
        <v/>
      </c>
      <c r="G693">
        <f>IF(F693="",0,IF(TRIM(INDEX(INDIRECT("'Выгрузка'!A693:Z693"),Настройки!$B$13)&amp;"")="",1,IFERROR(--SUBSTITUTE(SUBSTITUTE(TRIM(INDEX(INDIRECT("'Выгрузка'!A693:Z693"),Настройки!$B$13)),",","."),".",MID(1/2,2,1)),"")))</f>
        <v/>
      </c>
      <c r="H693">
        <f>IF(F693="",0,IF(COUNTIF(Настройки!$B$17:$B$26,F693)&gt;0,1,IF(COUNTIF(Настройки!$C$17:$C$26,F693)&gt;0,2,IF(COUNTIF(Настройки!$D$17:$D$26,F693)&gt;0,3,0))))</f>
        <v/>
      </c>
      <c r="I693">
        <f>IF(AND(ISNUMBER(A693),ISNUMBER(B693)),A693*1000+B693,"")</f>
        <v/>
      </c>
      <c r="J693">
        <f>IF(I693="","",IF(COUNTIF(I$2:I693,I693)=1,MAX(J$1:J692)+1,""))</f>
        <v/>
      </c>
    </row>
    <row r="694">
      <c r="A694">
        <f>IFERROR(--SUBSTITUTE(SUBSTITUTE(TRIM(INDEX(INDIRECT("'Выгрузка'!A694:Z694"),Настройки!$B$7)),",","."),".",MID(1/2,2,1)),"")</f>
        <v/>
      </c>
      <c r="B694">
        <f>IFERROR(--SUBSTITUTE(SUBSTITUTE(TRIM(INDEX(INDIRECT("'Выгрузка'!A694:Z694"),Настройки!$B$9)),",","."),".",MID(1/2,2,1)),"")</f>
        <v/>
      </c>
      <c r="C694">
        <f>TRIM(INDEX(INDIRECT("'Выгрузка'!A694:Z694"),Настройки!$B$8)&amp;"")</f>
        <v/>
      </c>
      <c r="D694">
        <f>IFERROR(--SUBSTITUTE(SUBSTITUTE(TRIM(INDEX(INDIRECT("'Выгрузка'!A694:Z694"),Настройки!$B$10)),",","."),".",MID(1/2,2,1)),"")</f>
        <v/>
      </c>
      <c r="E694">
        <f>IFERROR(--SUBSTITUTE(SUBSTITUTE(TRIM(INDEX(INDIRECT("'Выгрузка'!A694:Z694"),Настройки!$B$11)),",","."),".",MID(1/2,2,1)),"")</f>
        <v/>
      </c>
      <c r="F694">
        <f>TRIM(INDEX(INDIRECT("'Выгрузка'!A694:Z694"),Настройки!$B$12)&amp;"")</f>
        <v/>
      </c>
      <c r="G694">
        <f>IF(F694="",0,IF(TRIM(INDEX(INDIRECT("'Выгрузка'!A694:Z694"),Настройки!$B$13)&amp;"")="",1,IFERROR(--SUBSTITUTE(SUBSTITUTE(TRIM(INDEX(INDIRECT("'Выгрузка'!A694:Z694"),Настройки!$B$13)),",","."),".",MID(1/2,2,1)),"")))</f>
        <v/>
      </c>
      <c r="H694">
        <f>IF(F694="",0,IF(COUNTIF(Настройки!$B$17:$B$26,F694)&gt;0,1,IF(COUNTIF(Настройки!$C$17:$C$26,F694)&gt;0,2,IF(COUNTIF(Настройки!$D$17:$D$26,F694)&gt;0,3,0))))</f>
        <v/>
      </c>
      <c r="I694">
        <f>IF(AND(ISNUMBER(A694),ISNUMBER(B694)),A694*1000+B694,"")</f>
        <v/>
      </c>
      <c r="J694">
        <f>IF(I694="","",IF(COUNTIF(I$2:I694,I694)=1,MAX(J$1:J693)+1,""))</f>
        <v/>
      </c>
    </row>
    <row r="695">
      <c r="A695">
        <f>IFERROR(--SUBSTITUTE(SUBSTITUTE(TRIM(INDEX(INDIRECT("'Выгрузка'!A695:Z695"),Настройки!$B$7)),",","."),".",MID(1/2,2,1)),"")</f>
        <v/>
      </c>
      <c r="B695">
        <f>IFERROR(--SUBSTITUTE(SUBSTITUTE(TRIM(INDEX(INDIRECT("'Выгрузка'!A695:Z695"),Настройки!$B$9)),",","."),".",MID(1/2,2,1)),"")</f>
        <v/>
      </c>
      <c r="C695">
        <f>TRIM(INDEX(INDIRECT("'Выгрузка'!A695:Z695"),Настройки!$B$8)&amp;"")</f>
        <v/>
      </c>
      <c r="D695">
        <f>IFERROR(--SUBSTITUTE(SUBSTITUTE(TRIM(INDEX(INDIRECT("'Выгрузка'!A695:Z695"),Настройки!$B$10)),",","."),".",MID(1/2,2,1)),"")</f>
        <v/>
      </c>
      <c r="E695">
        <f>IFERROR(--SUBSTITUTE(SUBSTITUTE(TRIM(INDEX(INDIRECT("'Выгрузка'!A695:Z695"),Настройки!$B$11)),",","."),".",MID(1/2,2,1)),"")</f>
        <v/>
      </c>
      <c r="F695">
        <f>TRIM(INDEX(INDIRECT("'Выгрузка'!A695:Z695"),Настройки!$B$12)&amp;"")</f>
        <v/>
      </c>
      <c r="G695">
        <f>IF(F695="",0,IF(TRIM(INDEX(INDIRECT("'Выгрузка'!A695:Z695"),Настройки!$B$13)&amp;"")="",1,IFERROR(--SUBSTITUTE(SUBSTITUTE(TRIM(INDEX(INDIRECT("'Выгрузка'!A695:Z695"),Настройки!$B$13)),",","."),".",MID(1/2,2,1)),"")))</f>
        <v/>
      </c>
      <c r="H695">
        <f>IF(F695="",0,IF(COUNTIF(Настройки!$B$17:$B$26,F695)&gt;0,1,IF(COUNTIF(Настройки!$C$17:$C$26,F695)&gt;0,2,IF(COUNTIF(Настройки!$D$17:$D$26,F695)&gt;0,3,0))))</f>
        <v/>
      </c>
      <c r="I695">
        <f>IF(AND(ISNUMBER(A695),ISNUMBER(B695)),A695*1000+B695,"")</f>
        <v/>
      </c>
      <c r="J695">
        <f>IF(I695="","",IF(COUNTIF(I$2:I695,I695)=1,MAX(J$1:J694)+1,""))</f>
        <v/>
      </c>
    </row>
    <row r="696">
      <c r="A696">
        <f>IFERROR(--SUBSTITUTE(SUBSTITUTE(TRIM(INDEX(INDIRECT("'Выгрузка'!A696:Z696"),Настройки!$B$7)),",","."),".",MID(1/2,2,1)),"")</f>
        <v/>
      </c>
      <c r="B696">
        <f>IFERROR(--SUBSTITUTE(SUBSTITUTE(TRIM(INDEX(INDIRECT("'Выгрузка'!A696:Z696"),Настройки!$B$9)),",","."),".",MID(1/2,2,1)),"")</f>
        <v/>
      </c>
      <c r="C696">
        <f>TRIM(INDEX(INDIRECT("'Выгрузка'!A696:Z696"),Настройки!$B$8)&amp;"")</f>
        <v/>
      </c>
      <c r="D696">
        <f>IFERROR(--SUBSTITUTE(SUBSTITUTE(TRIM(INDEX(INDIRECT("'Выгрузка'!A696:Z696"),Настройки!$B$10)),",","."),".",MID(1/2,2,1)),"")</f>
        <v/>
      </c>
      <c r="E696">
        <f>IFERROR(--SUBSTITUTE(SUBSTITUTE(TRIM(INDEX(INDIRECT("'Выгрузка'!A696:Z696"),Настройки!$B$11)),",","."),".",MID(1/2,2,1)),"")</f>
        <v/>
      </c>
      <c r="F696">
        <f>TRIM(INDEX(INDIRECT("'Выгрузка'!A696:Z696"),Настройки!$B$12)&amp;"")</f>
        <v/>
      </c>
      <c r="G696">
        <f>IF(F696="",0,IF(TRIM(INDEX(INDIRECT("'Выгрузка'!A696:Z696"),Настройки!$B$13)&amp;"")="",1,IFERROR(--SUBSTITUTE(SUBSTITUTE(TRIM(INDEX(INDIRECT("'Выгрузка'!A696:Z696"),Настройки!$B$13)),",","."),".",MID(1/2,2,1)),"")))</f>
        <v/>
      </c>
      <c r="H696">
        <f>IF(F696="",0,IF(COUNTIF(Настройки!$B$17:$B$26,F696)&gt;0,1,IF(COUNTIF(Настройки!$C$17:$C$26,F696)&gt;0,2,IF(COUNTIF(Настройки!$D$17:$D$26,F696)&gt;0,3,0))))</f>
        <v/>
      </c>
      <c r="I696">
        <f>IF(AND(ISNUMBER(A696),ISNUMBER(B696)),A696*1000+B696,"")</f>
        <v/>
      </c>
      <c r="J696">
        <f>IF(I696="","",IF(COUNTIF(I$2:I696,I696)=1,MAX(J$1:J695)+1,""))</f>
        <v/>
      </c>
    </row>
    <row r="697">
      <c r="A697">
        <f>IFERROR(--SUBSTITUTE(SUBSTITUTE(TRIM(INDEX(INDIRECT("'Выгрузка'!A697:Z697"),Настройки!$B$7)),",","."),".",MID(1/2,2,1)),"")</f>
        <v/>
      </c>
      <c r="B697">
        <f>IFERROR(--SUBSTITUTE(SUBSTITUTE(TRIM(INDEX(INDIRECT("'Выгрузка'!A697:Z697"),Настройки!$B$9)),",","."),".",MID(1/2,2,1)),"")</f>
        <v/>
      </c>
      <c r="C697">
        <f>TRIM(INDEX(INDIRECT("'Выгрузка'!A697:Z697"),Настройки!$B$8)&amp;"")</f>
        <v/>
      </c>
      <c r="D697">
        <f>IFERROR(--SUBSTITUTE(SUBSTITUTE(TRIM(INDEX(INDIRECT("'Выгрузка'!A697:Z697"),Настройки!$B$10)),",","."),".",MID(1/2,2,1)),"")</f>
        <v/>
      </c>
      <c r="E697">
        <f>IFERROR(--SUBSTITUTE(SUBSTITUTE(TRIM(INDEX(INDIRECT("'Выгрузка'!A697:Z697"),Настройки!$B$11)),",","."),".",MID(1/2,2,1)),"")</f>
        <v/>
      </c>
      <c r="F697">
        <f>TRIM(INDEX(INDIRECT("'Выгрузка'!A697:Z697"),Настройки!$B$12)&amp;"")</f>
        <v/>
      </c>
      <c r="G697">
        <f>IF(F697="",0,IF(TRIM(INDEX(INDIRECT("'Выгрузка'!A697:Z697"),Настройки!$B$13)&amp;"")="",1,IFERROR(--SUBSTITUTE(SUBSTITUTE(TRIM(INDEX(INDIRECT("'Выгрузка'!A697:Z697"),Настройки!$B$13)),",","."),".",MID(1/2,2,1)),"")))</f>
        <v/>
      </c>
      <c r="H697">
        <f>IF(F697="",0,IF(COUNTIF(Настройки!$B$17:$B$26,F697)&gt;0,1,IF(COUNTIF(Настройки!$C$17:$C$26,F697)&gt;0,2,IF(COUNTIF(Настройки!$D$17:$D$26,F697)&gt;0,3,0))))</f>
        <v/>
      </c>
      <c r="I697">
        <f>IF(AND(ISNUMBER(A697),ISNUMBER(B697)),A697*1000+B697,"")</f>
        <v/>
      </c>
      <c r="J697">
        <f>IF(I697="","",IF(COUNTIF(I$2:I697,I697)=1,MAX(J$1:J696)+1,""))</f>
        <v/>
      </c>
    </row>
    <row r="698">
      <c r="A698">
        <f>IFERROR(--SUBSTITUTE(SUBSTITUTE(TRIM(INDEX(INDIRECT("'Выгрузка'!A698:Z698"),Настройки!$B$7)),",","."),".",MID(1/2,2,1)),"")</f>
        <v/>
      </c>
      <c r="B698">
        <f>IFERROR(--SUBSTITUTE(SUBSTITUTE(TRIM(INDEX(INDIRECT("'Выгрузка'!A698:Z698"),Настройки!$B$9)),",","."),".",MID(1/2,2,1)),"")</f>
        <v/>
      </c>
      <c r="C698">
        <f>TRIM(INDEX(INDIRECT("'Выгрузка'!A698:Z698"),Настройки!$B$8)&amp;"")</f>
        <v/>
      </c>
      <c r="D698">
        <f>IFERROR(--SUBSTITUTE(SUBSTITUTE(TRIM(INDEX(INDIRECT("'Выгрузка'!A698:Z698"),Настройки!$B$10)),",","."),".",MID(1/2,2,1)),"")</f>
        <v/>
      </c>
      <c r="E698">
        <f>IFERROR(--SUBSTITUTE(SUBSTITUTE(TRIM(INDEX(INDIRECT("'Выгрузка'!A698:Z698"),Настройки!$B$11)),",","."),".",MID(1/2,2,1)),"")</f>
        <v/>
      </c>
      <c r="F698">
        <f>TRIM(INDEX(INDIRECT("'Выгрузка'!A698:Z698"),Настройки!$B$12)&amp;"")</f>
        <v/>
      </c>
      <c r="G698">
        <f>IF(F698="",0,IF(TRIM(INDEX(INDIRECT("'Выгрузка'!A698:Z698"),Настройки!$B$13)&amp;"")="",1,IFERROR(--SUBSTITUTE(SUBSTITUTE(TRIM(INDEX(INDIRECT("'Выгрузка'!A698:Z698"),Настройки!$B$13)),",","."),".",MID(1/2,2,1)),"")))</f>
        <v/>
      </c>
      <c r="H698">
        <f>IF(F698="",0,IF(COUNTIF(Настройки!$B$17:$B$26,F698)&gt;0,1,IF(COUNTIF(Настройки!$C$17:$C$26,F698)&gt;0,2,IF(COUNTIF(Настройки!$D$17:$D$26,F698)&gt;0,3,0))))</f>
        <v/>
      </c>
      <c r="I698">
        <f>IF(AND(ISNUMBER(A698),ISNUMBER(B698)),A698*1000+B698,"")</f>
        <v/>
      </c>
      <c r="J698">
        <f>IF(I698="","",IF(COUNTIF(I$2:I698,I698)=1,MAX(J$1:J697)+1,""))</f>
        <v/>
      </c>
    </row>
    <row r="699">
      <c r="A699">
        <f>IFERROR(--SUBSTITUTE(SUBSTITUTE(TRIM(INDEX(INDIRECT("'Выгрузка'!A699:Z699"),Настройки!$B$7)),",","."),".",MID(1/2,2,1)),"")</f>
        <v/>
      </c>
      <c r="B699">
        <f>IFERROR(--SUBSTITUTE(SUBSTITUTE(TRIM(INDEX(INDIRECT("'Выгрузка'!A699:Z699"),Настройки!$B$9)),",","."),".",MID(1/2,2,1)),"")</f>
        <v/>
      </c>
      <c r="C699">
        <f>TRIM(INDEX(INDIRECT("'Выгрузка'!A699:Z699"),Настройки!$B$8)&amp;"")</f>
        <v/>
      </c>
      <c r="D699">
        <f>IFERROR(--SUBSTITUTE(SUBSTITUTE(TRIM(INDEX(INDIRECT("'Выгрузка'!A699:Z699"),Настройки!$B$10)),",","."),".",MID(1/2,2,1)),"")</f>
        <v/>
      </c>
      <c r="E699">
        <f>IFERROR(--SUBSTITUTE(SUBSTITUTE(TRIM(INDEX(INDIRECT("'Выгрузка'!A699:Z699"),Настройки!$B$11)),",","."),".",MID(1/2,2,1)),"")</f>
        <v/>
      </c>
      <c r="F699">
        <f>TRIM(INDEX(INDIRECT("'Выгрузка'!A699:Z699"),Настройки!$B$12)&amp;"")</f>
        <v/>
      </c>
      <c r="G699">
        <f>IF(F699="",0,IF(TRIM(INDEX(INDIRECT("'Выгрузка'!A699:Z699"),Настройки!$B$13)&amp;"")="",1,IFERROR(--SUBSTITUTE(SUBSTITUTE(TRIM(INDEX(INDIRECT("'Выгрузка'!A699:Z699"),Настройки!$B$13)),",","."),".",MID(1/2,2,1)),"")))</f>
        <v/>
      </c>
      <c r="H699">
        <f>IF(F699="",0,IF(COUNTIF(Настройки!$B$17:$B$26,F699)&gt;0,1,IF(COUNTIF(Настройки!$C$17:$C$26,F699)&gt;0,2,IF(COUNTIF(Настройки!$D$17:$D$26,F699)&gt;0,3,0))))</f>
        <v/>
      </c>
      <c r="I699">
        <f>IF(AND(ISNUMBER(A699),ISNUMBER(B699)),A699*1000+B699,"")</f>
        <v/>
      </c>
      <c r="J699">
        <f>IF(I699="","",IF(COUNTIF(I$2:I699,I699)=1,MAX(J$1:J698)+1,""))</f>
        <v/>
      </c>
    </row>
    <row r="700">
      <c r="A700">
        <f>IFERROR(--SUBSTITUTE(SUBSTITUTE(TRIM(INDEX(INDIRECT("'Выгрузка'!A700:Z700"),Настройки!$B$7)),",","."),".",MID(1/2,2,1)),"")</f>
        <v/>
      </c>
      <c r="B700">
        <f>IFERROR(--SUBSTITUTE(SUBSTITUTE(TRIM(INDEX(INDIRECT("'Выгрузка'!A700:Z700"),Настройки!$B$9)),",","."),".",MID(1/2,2,1)),"")</f>
        <v/>
      </c>
      <c r="C700">
        <f>TRIM(INDEX(INDIRECT("'Выгрузка'!A700:Z700"),Настройки!$B$8)&amp;"")</f>
        <v/>
      </c>
      <c r="D700">
        <f>IFERROR(--SUBSTITUTE(SUBSTITUTE(TRIM(INDEX(INDIRECT("'Выгрузка'!A700:Z700"),Настройки!$B$10)),",","."),".",MID(1/2,2,1)),"")</f>
        <v/>
      </c>
      <c r="E700">
        <f>IFERROR(--SUBSTITUTE(SUBSTITUTE(TRIM(INDEX(INDIRECT("'Выгрузка'!A700:Z700"),Настройки!$B$11)),",","."),".",MID(1/2,2,1)),"")</f>
        <v/>
      </c>
      <c r="F700">
        <f>TRIM(INDEX(INDIRECT("'Выгрузка'!A700:Z700"),Настройки!$B$12)&amp;"")</f>
        <v/>
      </c>
      <c r="G700">
        <f>IF(F700="",0,IF(TRIM(INDEX(INDIRECT("'Выгрузка'!A700:Z700"),Настройки!$B$13)&amp;"")="",1,IFERROR(--SUBSTITUTE(SUBSTITUTE(TRIM(INDEX(INDIRECT("'Выгрузка'!A700:Z700"),Настройки!$B$13)),",","."),".",MID(1/2,2,1)),"")))</f>
        <v/>
      </c>
      <c r="H700">
        <f>IF(F700="",0,IF(COUNTIF(Настройки!$B$17:$B$26,F700)&gt;0,1,IF(COUNTIF(Настройки!$C$17:$C$26,F700)&gt;0,2,IF(COUNTIF(Настройки!$D$17:$D$26,F700)&gt;0,3,0))))</f>
        <v/>
      </c>
      <c r="I700">
        <f>IF(AND(ISNUMBER(A700),ISNUMBER(B700)),A700*1000+B700,"")</f>
        <v/>
      </c>
      <c r="J700">
        <f>IF(I700="","",IF(COUNTIF(I$2:I700,I700)=1,MAX(J$1:J699)+1,""))</f>
        <v/>
      </c>
    </row>
    <row r="701">
      <c r="A701">
        <f>IFERROR(--SUBSTITUTE(SUBSTITUTE(TRIM(INDEX(INDIRECT("'Выгрузка'!A701:Z701"),Настройки!$B$7)),",","."),".",MID(1/2,2,1)),"")</f>
        <v/>
      </c>
      <c r="B701">
        <f>IFERROR(--SUBSTITUTE(SUBSTITUTE(TRIM(INDEX(INDIRECT("'Выгрузка'!A701:Z701"),Настройки!$B$9)),",","."),".",MID(1/2,2,1)),"")</f>
        <v/>
      </c>
      <c r="C701">
        <f>TRIM(INDEX(INDIRECT("'Выгрузка'!A701:Z701"),Настройки!$B$8)&amp;"")</f>
        <v/>
      </c>
      <c r="D701">
        <f>IFERROR(--SUBSTITUTE(SUBSTITUTE(TRIM(INDEX(INDIRECT("'Выгрузка'!A701:Z701"),Настройки!$B$10)),",","."),".",MID(1/2,2,1)),"")</f>
        <v/>
      </c>
      <c r="E701">
        <f>IFERROR(--SUBSTITUTE(SUBSTITUTE(TRIM(INDEX(INDIRECT("'Выгрузка'!A701:Z701"),Настройки!$B$11)),",","."),".",MID(1/2,2,1)),"")</f>
        <v/>
      </c>
      <c r="F701">
        <f>TRIM(INDEX(INDIRECT("'Выгрузка'!A701:Z701"),Настройки!$B$12)&amp;"")</f>
        <v/>
      </c>
      <c r="G701">
        <f>IF(F701="",0,IF(TRIM(INDEX(INDIRECT("'Выгрузка'!A701:Z701"),Настройки!$B$13)&amp;"")="",1,IFERROR(--SUBSTITUTE(SUBSTITUTE(TRIM(INDEX(INDIRECT("'Выгрузка'!A701:Z701"),Настройки!$B$13)),",","."),".",MID(1/2,2,1)),"")))</f>
        <v/>
      </c>
      <c r="H701">
        <f>IF(F701="",0,IF(COUNTIF(Настройки!$B$17:$B$26,F701)&gt;0,1,IF(COUNTIF(Настройки!$C$17:$C$26,F701)&gt;0,2,IF(COUNTIF(Настройки!$D$17:$D$26,F701)&gt;0,3,0))))</f>
        <v/>
      </c>
      <c r="I701">
        <f>IF(AND(ISNUMBER(A701),ISNUMBER(B701)),A701*1000+B701,"")</f>
        <v/>
      </c>
      <c r="J701">
        <f>IF(I701="","",IF(COUNTIF(I$2:I701,I701)=1,MAX(J$1:J700)+1,""))</f>
        <v/>
      </c>
    </row>
    <row r="702">
      <c r="A702">
        <f>IFERROR(--SUBSTITUTE(SUBSTITUTE(TRIM(INDEX(INDIRECT("'Выгрузка'!A702:Z702"),Настройки!$B$7)),",","."),".",MID(1/2,2,1)),"")</f>
        <v/>
      </c>
      <c r="B702">
        <f>IFERROR(--SUBSTITUTE(SUBSTITUTE(TRIM(INDEX(INDIRECT("'Выгрузка'!A702:Z702"),Настройки!$B$9)),",","."),".",MID(1/2,2,1)),"")</f>
        <v/>
      </c>
      <c r="C702">
        <f>TRIM(INDEX(INDIRECT("'Выгрузка'!A702:Z702"),Настройки!$B$8)&amp;"")</f>
        <v/>
      </c>
      <c r="D702">
        <f>IFERROR(--SUBSTITUTE(SUBSTITUTE(TRIM(INDEX(INDIRECT("'Выгрузка'!A702:Z702"),Настройки!$B$10)),",","."),".",MID(1/2,2,1)),"")</f>
        <v/>
      </c>
      <c r="E702">
        <f>IFERROR(--SUBSTITUTE(SUBSTITUTE(TRIM(INDEX(INDIRECT("'Выгрузка'!A702:Z702"),Настройки!$B$11)),",","."),".",MID(1/2,2,1)),"")</f>
        <v/>
      </c>
      <c r="F702">
        <f>TRIM(INDEX(INDIRECT("'Выгрузка'!A702:Z702"),Настройки!$B$12)&amp;"")</f>
        <v/>
      </c>
      <c r="G702">
        <f>IF(F702="",0,IF(TRIM(INDEX(INDIRECT("'Выгрузка'!A702:Z702"),Настройки!$B$13)&amp;"")="",1,IFERROR(--SUBSTITUTE(SUBSTITUTE(TRIM(INDEX(INDIRECT("'Выгрузка'!A702:Z702"),Настройки!$B$13)),",","."),".",MID(1/2,2,1)),"")))</f>
        <v/>
      </c>
      <c r="H702">
        <f>IF(F702="",0,IF(COUNTIF(Настройки!$B$17:$B$26,F702)&gt;0,1,IF(COUNTIF(Настройки!$C$17:$C$26,F702)&gt;0,2,IF(COUNTIF(Настройки!$D$17:$D$26,F702)&gt;0,3,0))))</f>
        <v/>
      </c>
      <c r="I702">
        <f>IF(AND(ISNUMBER(A702),ISNUMBER(B702)),A702*1000+B702,"")</f>
        <v/>
      </c>
      <c r="J702">
        <f>IF(I702="","",IF(COUNTIF(I$2:I702,I702)=1,MAX(J$1:J701)+1,""))</f>
        <v/>
      </c>
    </row>
    <row r="703">
      <c r="A703">
        <f>IFERROR(--SUBSTITUTE(SUBSTITUTE(TRIM(INDEX(INDIRECT("'Выгрузка'!A703:Z703"),Настройки!$B$7)),",","."),".",MID(1/2,2,1)),"")</f>
        <v/>
      </c>
      <c r="B703">
        <f>IFERROR(--SUBSTITUTE(SUBSTITUTE(TRIM(INDEX(INDIRECT("'Выгрузка'!A703:Z703"),Настройки!$B$9)),",","."),".",MID(1/2,2,1)),"")</f>
        <v/>
      </c>
      <c r="C703">
        <f>TRIM(INDEX(INDIRECT("'Выгрузка'!A703:Z703"),Настройки!$B$8)&amp;"")</f>
        <v/>
      </c>
      <c r="D703">
        <f>IFERROR(--SUBSTITUTE(SUBSTITUTE(TRIM(INDEX(INDIRECT("'Выгрузка'!A703:Z703"),Настройки!$B$10)),",","."),".",MID(1/2,2,1)),"")</f>
        <v/>
      </c>
      <c r="E703">
        <f>IFERROR(--SUBSTITUTE(SUBSTITUTE(TRIM(INDEX(INDIRECT("'Выгрузка'!A703:Z703"),Настройки!$B$11)),",","."),".",MID(1/2,2,1)),"")</f>
        <v/>
      </c>
      <c r="F703">
        <f>TRIM(INDEX(INDIRECT("'Выгрузка'!A703:Z703"),Настройки!$B$12)&amp;"")</f>
        <v/>
      </c>
      <c r="G703">
        <f>IF(F703="",0,IF(TRIM(INDEX(INDIRECT("'Выгрузка'!A703:Z703"),Настройки!$B$13)&amp;"")="",1,IFERROR(--SUBSTITUTE(SUBSTITUTE(TRIM(INDEX(INDIRECT("'Выгрузка'!A703:Z703"),Настройки!$B$13)),",","."),".",MID(1/2,2,1)),"")))</f>
        <v/>
      </c>
      <c r="H703">
        <f>IF(F703="",0,IF(COUNTIF(Настройки!$B$17:$B$26,F703)&gt;0,1,IF(COUNTIF(Настройки!$C$17:$C$26,F703)&gt;0,2,IF(COUNTIF(Настройки!$D$17:$D$26,F703)&gt;0,3,0))))</f>
        <v/>
      </c>
      <c r="I703">
        <f>IF(AND(ISNUMBER(A703),ISNUMBER(B703)),A703*1000+B703,"")</f>
        <v/>
      </c>
      <c r="J703">
        <f>IF(I703="","",IF(COUNTIF(I$2:I703,I703)=1,MAX(J$1:J702)+1,""))</f>
        <v/>
      </c>
    </row>
    <row r="704">
      <c r="A704">
        <f>IFERROR(--SUBSTITUTE(SUBSTITUTE(TRIM(INDEX(INDIRECT("'Выгрузка'!A704:Z704"),Настройки!$B$7)),",","."),".",MID(1/2,2,1)),"")</f>
        <v/>
      </c>
      <c r="B704">
        <f>IFERROR(--SUBSTITUTE(SUBSTITUTE(TRIM(INDEX(INDIRECT("'Выгрузка'!A704:Z704"),Настройки!$B$9)),",","."),".",MID(1/2,2,1)),"")</f>
        <v/>
      </c>
      <c r="C704">
        <f>TRIM(INDEX(INDIRECT("'Выгрузка'!A704:Z704"),Настройки!$B$8)&amp;"")</f>
        <v/>
      </c>
      <c r="D704">
        <f>IFERROR(--SUBSTITUTE(SUBSTITUTE(TRIM(INDEX(INDIRECT("'Выгрузка'!A704:Z704"),Настройки!$B$10)),",","."),".",MID(1/2,2,1)),"")</f>
        <v/>
      </c>
      <c r="E704">
        <f>IFERROR(--SUBSTITUTE(SUBSTITUTE(TRIM(INDEX(INDIRECT("'Выгрузка'!A704:Z704"),Настройки!$B$11)),",","."),".",MID(1/2,2,1)),"")</f>
        <v/>
      </c>
      <c r="F704">
        <f>TRIM(INDEX(INDIRECT("'Выгрузка'!A704:Z704"),Настройки!$B$12)&amp;"")</f>
        <v/>
      </c>
      <c r="G704">
        <f>IF(F704="",0,IF(TRIM(INDEX(INDIRECT("'Выгрузка'!A704:Z704"),Настройки!$B$13)&amp;"")="",1,IFERROR(--SUBSTITUTE(SUBSTITUTE(TRIM(INDEX(INDIRECT("'Выгрузка'!A704:Z704"),Настройки!$B$13)),",","."),".",MID(1/2,2,1)),"")))</f>
        <v/>
      </c>
      <c r="H704">
        <f>IF(F704="",0,IF(COUNTIF(Настройки!$B$17:$B$26,F704)&gt;0,1,IF(COUNTIF(Настройки!$C$17:$C$26,F704)&gt;0,2,IF(COUNTIF(Настройки!$D$17:$D$26,F704)&gt;0,3,0))))</f>
        <v/>
      </c>
      <c r="I704">
        <f>IF(AND(ISNUMBER(A704),ISNUMBER(B704)),A704*1000+B704,"")</f>
        <v/>
      </c>
      <c r="J704">
        <f>IF(I704="","",IF(COUNTIF(I$2:I704,I704)=1,MAX(J$1:J703)+1,""))</f>
        <v/>
      </c>
    </row>
    <row r="705">
      <c r="A705">
        <f>IFERROR(--SUBSTITUTE(SUBSTITUTE(TRIM(INDEX(INDIRECT("'Выгрузка'!A705:Z705"),Настройки!$B$7)),",","."),".",MID(1/2,2,1)),"")</f>
        <v/>
      </c>
      <c r="B705">
        <f>IFERROR(--SUBSTITUTE(SUBSTITUTE(TRIM(INDEX(INDIRECT("'Выгрузка'!A705:Z705"),Настройки!$B$9)),",","."),".",MID(1/2,2,1)),"")</f>
        <v/>
      </c>
      <c r="C705">
        <f>TRIM(INDEX(INDIRECT("'Выгрузка'!A705:Z705"),Настройки!$B$8)&amp;"")</f>
        <v/>
      </c>
      <c r="D705">
        <f>IFERROR(--SUBSTITUTE(SUBSTITUTE(TRIM(INDEX(INDIRECT("'Выгрузка'!A705:Z705"),Настройки!$B$10)),",","."),".",MID(1/2,2,1)),"")</f>
        <v/>
      </c>
      <c r="E705">
        <f>IFERROR(--SUBSTITUTE(SUBSTITUTE(TRIM(INDEX(INDIRECT("'Выгрузка'!A705:Z705"),Настройки!$B$11)),",","."),".",MID(1/2,2,1)),"")</f>
        <v/>
      </c>
      <c r="F705">
        <f>TRIM(INDEX(INDIRECT("'Выгрузка'!A705:Z705"),Настройки!$B$12)&amp;"")</f>
        <v/>
      </c>
      <c r="G705">
        <f>IF(F705="",0,IF(TRIM(INDEX(INDIRECT("'Выгрузка'!A705:Z705"),Настройки!$B$13)&amp;"")="",1,IFERROR(--SUBSTITUTE(SUBSTITUTE(TRIM(INDEX(INDIRECT("'Выгрузка'!A705:Z705"),Настройки!$B$13)),",","."),".",MID(1/2,2,1)),"")))</f>
        <v/>
      </c>
      <c r="H705">
        <f>IF(F705="",0,IF(COUNTIF(Настройки!$B$17:$B$26,F705)&gt;0,1,IF(COUNTIF(Настройки!$C$17:$C$26,F705)&gt;0,2,IF(COUNTIF(Настройки!$D$17:$D$26,F705)&gt;0,3,0))))</f>
        <v/>
      </c>
      <c r="I705">
        <f>IF(AND(ISNUMBER(A705),ISNUMBER(B705)),A705*1000+B705,"")</f>
        <v/>
      </c>
      <c r="J705">
        <f>IF(I705="","",IF(COUNTIF(I$2:I705,I705)=1,MAX(J$1:J704)+1,""))</f>
        <v/>
      </c>
    </row>
    <row r="706">
      <c r="A706">
        <f>IFERROR(--SUBSTITUTE(SUBSTITUTE(TRIM(INDEX(INDIRECT("'Выгрузка'!A706:Z706"),Настройки!$B$7)),",","."),".",MID(1/2,2,1)),"")</f>
        <v/>
      </c>
      <c r="B706">
        <f>IFERROR(--SUBSTITUTE(SUBSTITUTE(TRIM(INDEX(INDIRECT("'Выгрузка'!A706:Z706"),Настройки!$B$9)),",","."),".",MID(1/2,2,1)),"")</f>
        <v/>
      </c>
      <c r="C706">
        <f>TRIM(INDEX(INDIRECT("'Выгрузка'!A706:Z706"),Настройки!$B$8)&amp;"")</f>
        <v/>
      </c>
      <c r="D706">
        <f>IFERROR(--SUBSTITUTE(SUBSTITUTE(TRIM(INDEX(INDIRECT("'Выгрузка'!A706:Z706"),Настройки!$B$10)),",","."),".",MID(1/2,2,1)),"")</f>
        <v/>
      </c>
      <c r="E706">
        <f>IFERROR(--SUBSTITUTE(SUBSTITUTE(TRIM(INDEX(INDIRECT("'Выгрузка'!A706:Z706"),Настройки!$B$11)),",","."),".",MID(1/2,2,1)),"")</f>
        <v/>
      </c>
      <c r="F706">
        <f>TRIM(INDEX(INDIRECT("'Выгрузка'!A706:Z706"),Настройки!$B$12)&amp;"")</f>
        <v/>
      </c>
      <c r="G706">
        <f>IF(F706="",0,IF(TRIM(INDEX(INDIRECT("'Выгрузка'!A706:Z706"),Настройки!$B$13)&amp;"")="",1,IFERROR(--SUBSTITUTE(SUBSTITUTE(TRIM(INDEX(INDIRECT("'Выгрузка'!A706:Z706"),Настройки!$B$13)),",","."),".",MID(1/2,2,1)),"")))</f>
        <v/>
      </c>
      <c r="H706">
        <f>IF(F706="",0,IF(COUNTIF(Настройки!$B$17:$B$26,F706)&gt;0,1,IF(COUNTIF(Настройки!$C$17:$C$26,F706)&gt;0,2,IF(COUNTIF(Настройки!$D$17:$D$26,F706)&gt;0,3,0))))</f>
        <v/>
      </c>
      <c r="I706">
        <f>IF(AND(ISNUMBER(A706),ISNUMBER(B706)),A706*1000+B706,"")</f>
        <v/>
      </c>
      <c r="J706">
        <f>IF(I706="","",IF(COUNTIF(I$2:I706,I706)=1,MAX(J$1:J705)+1,""))</f>
        <v/>
      </c>
    </row>
    <row r="707">
      <c r="A707">
        <f>IFERROR(--SUBSTITUTE(SUBSTITUTE(TRIM(INDEX(INDIRECT("'Выгрузка'!A707:Z707"),Настройки!$B$7)),",","."),".",MID(1/2,2,1)),"")</f>
        <v/>
      </c>
      <c r="B707">
        <f>IFERROR(--SUBSTITUTE(SUBSTITUTE(TRIM(INDEX(INDIRECT("'Выгрузка'!A707:Z707"),Настройки!$B$9)),",","."),".",MID(1/2,2,1)),"")</f>
        <v/>
      </c>
      <c r="C707">
        <f>TRIM(INDEX(INDIRECT("'Выгрузка'!A707:Z707"),Настройки!$B$8)&amp;"")</f>
        <v/>
      </c>
      <c r="D707">
        <f>IFERROR(--SUBSTITUTE(SUBSTITUTE(TRIM(INDEX(INDIRECT("'Выгрузка'!A707:Z707"),Настройки!$B$10)),",","."),".",MID(1/2,2,1)),"")</f>
        <v/>
      </c>
      <c r="E707">
        <f>IFERROR(--SUBSTITUTE(SUBSTITUTE(TRIM(INDEX(INDIRECT("'Выгрузка'!A707:Z707"),Настройки!$B$11)),",","."),".",MID(1/2,2,1)),"")</f>
        <v/>
      </c>
      <c r="F707">
        <f>TRIM(INDEX(INDIRECT("'Выгрузка'!A707:Z707"),Настройки!$B$12)&amp;"")</f>
        <v/>
      </c>
      <c r="G707">
        <f>IF(F707="",0,IF(TRIM(INDEX(INDIRECT("'Выгрузка'!A707:Z707"),Настройки!$B$13)&amp;"")="",1,IFERROR(--SUBSTITUTE(SUBSTITUTE(TRIM(INDEX(INDIRECT("'Выгрузка'!A707:Z707"),Настройки!$B$13)),",","."),".",MID(1/2,2,1)),"")))</f>
        <v/>
      </c>
      <c r="H707">
        <f>IF(F707="",0,IF(COUNTIF(Настройки!$B$17:$B$26,F707)&gt;0,1,IF(COUNTIF(Настройки!$C$17:$C$26,F707)&gt;0,2,IF(COUNTIF(Настройки!$D$17:$D$26,F707)&gt;0,3,0))))</f>
        <v/>
      </c>
      <c r="I707">
        <f>IF(AND(ISNUMBER(A707),ISNUMBER(B707)),A707*1000+B707,"")</f>
        <v/>
      </c>
      <c r="J707">
        <f>IF(I707="","",IF(COUNTIF(I$2:I707,I707)=1,MAX(J$1:J706)+1,""))</f>
        <v/>
      </c>
    </row>
    <row r="708">
      <c r="A708">
        <f>IFERROR(--SUBSTITUTE(SUBSTITUTE(TRIM(INDEX(INDIRECT("'Выгрузка'!A708:Z708"),Настройки!$B$7)),",","."),".",MID(1/2,2,1)),"")</f>
        <v/>
      </c>
      <c r="B708">
        <f>IFERROR(--SUBSTITUTE(SUBSTITUTE(TRIM(INDEX(INDIRECT("'Выгрузка'!A708:Z708"),Настройки!$B$9)),",","."),".",MID(1/2,2,1)),"")</f>
        <v/>
      </c>
      <c r="C708">
        <f>TRIM(INDEX(INDIRECT("'Выгрузка'!A708:Z708"),Настройки!$B$8)&amp;"")</f>
        <v/>
      </c>
      <c r="D708">
        <f>IFERROR(--SUBSTITUTE(SUBSTITUTE(TRIM(INDEX(INDIRECT("'Выгрузка'!A708:Z708"),Настройки!$B$10)),",","."),".",MID(1/2,2,1)),"")</f>
        <v/>
      </c>
      <c r="E708">
        <f>IFERROR(--SUBSTITUTE(SUBSTITUTE(TRIM(INDEX(INDIRECT("'Выгрузка'!A708:Z708"),Настройки!$B$11)),",","."),".",MID(1/2,2,1)),"")</f>
        <v/>
      </c>
      <c r="F708">
        <f>TRIM(INDEX(INDIRECT("'Выгрузка'!A708:Z708"),Настройки!$B$12)&amp;"")</f>
        <v/>
      </c>
      <c r="G708">
        <f>IF(F708="",0,IF(TRIM(INDEX(INDIRECT("'Выгрузка'!A708:Z708"),Настройки!$B$13)&amp;"")="",1,IFERROR(--SUBSTITUTE(SUBSTITUTE(TRIM(INDEX(INDIRECT("'Выгрузка'!A708:Z708"),Настройки!$B$13)),",","."),".",MID(1/2,2,1)),"")))</f>
        <v/>
      </c>
      <c r="H708">
        <f>IF(F708="",0,IF(COUNTIF(Настройки!$B$17:$B$26,F708)&gt;0,1,IF(COUNTIF(Настройки!$C$17:$C$26,F708)&gt;0,2,IF(COUNTIF(Настройки!$D$17:$D$26,F708)&gt;0,3,0))))</f>
        <v/>
      </c>
      <c r="I708">
        <f>IF(AND(ISNUMBER(A708),ISNUMBER(B708)),A708*1000+B708,"")</f>
        <v/>
      </c>
      <c r="J708">
        <f>IF(I708="","",IF(COUNTIF(I$2:I708,I708)=1,MAX(J$1:J707)+1,""))</f>
        <v/>
      </c>
    </row>
    <row r="709">
      <c r="A709">
        <f>IFERROR(--SUBSTITUTE(SUBSTITUTE(TRIM(INDEX(INDIRECT("'Выгрузка'!A709:Z709"),Настройки!$B$7)),",","."),".",MID(1/2,2,1)),"")</f>
        <v/>
      </c>
      <c r="B709">
        <f>IFERROR(--SUBSTITUTE(SUBSTITUTE(TRIM(INDEX(INDIRECT("'Выгрузка'!A709:Z709"),Настройки!$B$9)),",","."),".",MID(1/2,2,1)),"")</f>
        <v/>
      </c>
      <c r="C709">
        <f>TRIM(INDEX(INDIRECT("'Выгрузка'!A709:Z709"),Настройки!$B$8)&amp;"")</f>
        <v/>
      </c>
      <c r="D709">
        <f>IFERROR(--SUBSTITUTE(SUBSTITUTE(TRIM(INDEX(INDIRECT("'Выгрузка'!A709:Z709"),Настройки!$B$10)),",","."),".",MID(1/2,2,1)),"")</f>
        <v/>
      </c>
      <c r="E709">
        <f>IFERROR(--SUBSTITUTE(SUBSTITUTE(TRIM(INDEX(INDIRECT("'Выгрузка'!A709:Z709"),Настройки!$B$11)),",","."),".",MID(1/2,2,1)),"")</f>
        <v/>
      </c>
      <c r="F709">
        <f>TRIM(INDEX(INDIRECT("'Выгрузка'!A709:Z709"),Настройки!$B$12)&amp;"")</f>
        <v/>
      </c>
      <c r="G709">
        <f>IF(F709="",0,IF(TRIM(INDEX(INDIRECT("'Выгрузка'!A709:Z709"),Настройки!$B$13)&amp;"")="",1,IFERROR(--SUBSTITUTE(SUBSTITUTE(TRIM(INDEX(INDIRECT("'Выгрузка'!A709:Z709"),Настройки!$B$13)),",","."),".",MID(1/2,2,1)),"")))</f>
        <v/>
      </c>
      <c r="H709">
        <f>IF(F709="",0,IF(COUNTIF(Настройки!$B$17:$B$26,F709)&gt;0,1,IF(COUNTIF(Настройки!$C$17:$C$26,F709)&gt;0,2,IF(COUNTIF(Настройки!$D$17:$D$26,F709)&gt;0,3,0))))</f>
        <v/>
      </c>
      <c r="I709">
        <f>IF(AND(ISNUMBER(A709),ISNUMBER(B709)),A709*1000+B709,"")</f>
        <v/>
      </c>
      <c r="J709">
        <f>IF(I709="","",IF(COUNTIF(I$2:I709,I709)=1,MAX(J$1:J708)+1,""))</f>
        <v/>
      </c>
    </row>
    <row r="710">
      <c r="A710">
        <f>IFERROR(--SUBSTITUTE(SUBSTITUTE(TRIM(INDEX(INDIRECT("'Выгрузка'!A710:Z710"),Настройки!$B$7)),",","."),".",MID(1/2,2,1)),"")</f>
        <v/>
      </c>
      <c r="B710">
        <f>IFERROR(--SUBSTITUTE(SUBSTITUTE(TRIM(INDEX(INDIRECT("'Выгрузка'!A710:Z710"),Настройки!$B$9)),",","."),".",MID(1/2,2,1)),"")</f>
        <v/>
      </c>
      <c r="C710">
        <f>TRIM(INDEX(INDIRECT("'Выгрузка'!A710:Z710"),Настройки!$B$8)&amp;"")</f>
        <v/>
      </c>
      <c r="D710">
        <f>IFERROR(--SUBSTITUTE(SUBSTITUTE(TRIM(INDEX(INDIRECT("'Выгрузка'!A710:Z710"),Настройки!$B$10)),",","."),".",MID(1/2,2,1)),"")</f>
        <v/>
      </c>
      <c r="E710">
        <f>IFERROR(--SUBSTITUTE(SUBSTITUTE(TRIM(INDEX(INDIRECT("'Выгрузка'!A710:Z710"),Настройки!$B$11)),",","."),".",MID(1/2,2,1)),"")</f>
        <v/>
      </c>
      <c r="F710">
        <f>TRIM(INDEX(INDIRECT("'Выгрузка'!A710:Z710"),Настройки!$B$12)&amp;"")</f>
        <v/>
      </c>
      <c r="G710">
        <f>IF(F710="",0,IF(TRIM(INDEX(INDIRECT("'Выгрузка'!A710:Z710"),Настройки!$B$13)&amp;"")="",1,IFERROR(--SUBSTITUTE(SUBSTITUTE(TRIM(INDEX(INDIRECT("'Выгрузка'!A710:Z710"),Настройки!$B$13)),",","."),".",MID(1/2,2,1)),"")))</f>
        <v/>
      </c>
      <c r="H710">
        <f>IF(F710="",0,IF(COUNTIF(Настройки!$B$17:$B$26,F710)&gt;0,1,IF(COUNTIF(Настройки!$C$17:$C$26,F710)&gt;0,2,IF(COUNTIF(Настройки!$D$17:$D$26,F710)&gt;0,3,0))))</f>
        <v/>
      </c>
      <c r="I710">
        <f>IF(AND(ISNUMBER(A710),ISNUMBER(B710)),A710*1000+B710,"")</f>
        <v/>
      </c>
      <c r="J710">
        <f>IF(I710="","",IF(COUNTIF(I$2:I710,I710)=1,MAX(J$1:J709)+1,""))</f>
        <v/>
      </c>
    </row>
    <row r="711">
      <c r="A711">
        <f>IFERROR(--SUBSTITUTE(SUBSTITUTE(TRIM(INDEX(INDIRECT("'Выгрузка'!A711:Z711"),Настройки!$B$7)),",","."),".",MID(1/2,2,1)),"")</f>
        <v/>
      </c>
      <c r="B711">
        <f>IFERROR(--SUBSTITUTE(SUBSTITUTE(TRIM(INDEX(INDIRECT("'Выгрузка'!A711:Z711"),Настройки!$B$9)),",","."),".",MID(1/2,2,1)),"")</f>
        <v/>
      </c>
      <c r="C711">
        <f>TRIM(INDEX(INDIRECT("'Выгрузка'!A711:Z711"),Настройки!$B$8)&amp;"")</f>
        <v/>
      </c>
      <c r="D711">
        <f>IFERROR(--SUBSTITUTE(SUBSTITUTE(TRIM(INDEX(INDIRECT("'Выгрузка'!A711:Z711"),Настройки!$B$10)),",","."),".",MID(1/2,2,1)),"")</f>
        <v/>
      </c>
      <c r="E711">
        <f>IFERROR(--SUBSTITUTE(SUBSTITUTE(TRIM(INDEX(INDIRECT("'Выгрузка'!A711:Z711"),Настройки!$B$11)),",","."),".",MID(1/2,2,1)),"")</f>
        <v/>
      </c>
      <c r="F711">
        <f>TRIM(INDEX(INDIRECT("'Выгрузка'!A711:Z711"),Настройки!$B$12)&amp;"")</f>
        <v/>
      </c>
      <c r="G711">
        <f>IF(F711="",0,IF(TRIM(INDEX(INDIRECT("'Выгрузка'!A711:Z711"),Настройки!$B$13)&amp;"")="",1,IFERROR(--SUBSTITUTE(SUBSTITUTE(TRIM(INDEX(INDIRECT("'Выгрузка'!A711:Z711"),Настройки!$B$13)),",","."),".",MID(1/2,2,1)),"")))</f>
        <v/>
      </c>
      <c r="H711">
        <f>IF(F711="",0,IF(COUNTIF(Настройки!$B$17:$B$26,F711)&gt;0,1,IF(COUNTIF(Настройки!$C$17:$C$26,F711)&gt;0,2,IF(COUNTIF(Настройки!$D$17:$D$26,F711)&gt;0,3,0))))</f>
        <v/>
      </c>
      <c r="I711">
        <f>IF(AND(ISNUMBER(A711),ISNUMBER(B711)),A711*1000+B711,"")</f>
        <v/>
      </c>
      <c r="J711">
        <f>IF(I711="","",IF(COUNTIF(I$2:I711,I711)=1,MAX(J$1:J710)+1,""))</f>
        <v/>
      </c>
    </row>
    <row r="712">
      <c r="A712">
        <f>IFERROR(--SUBSTITUTE(SUBSTITUTE(TRIM(INDEX(INDIRECT("'Выгрузка'!A712:Z712"),Настройки!$B$7)),",","."),".",MID(1/2,2,1)),"")</f>
        <v/>
      </c>
      <c r="B712">
        <f>IFERROR(--SUBSTITUTE(SUBSTITUTE(TRIM(INDEX(INDIRECT("'Выгрузка'!A712:Z712"),Настройки!$B$9)),",","."),".",MID(1/2,2,1)),"")</f>
        <v/>
      </c>
      <c r="C712">
        <f>TRIM(INDEX(INDIRECT("'Выгрузка'!A712:Z712"),Настройки!$B$8)&amp;"")</f>
        <v/>
      </c>
      <c r="D712">
        <f>IFERROR(--SUBSTITUTE(SUBSTITUTE(TRIM(INDEX(INDIRECT("'Выгрузка'!A712:Z712"),Настройки!$B$10)),",","."),".",MID(1/2,2,1)),"")</f>
        <v/>
      </c>
      <c r="E712">
        <f>IFERROR(--SUBSTITUTE(SUBSTITUTE(TRIM(INDEX(INDIRECT("'Выгрузка'!A712:Z712"),Настройки!$B$11)),",","."),".",MID(1/2,2,1)),"")</f>
        <v/>
      </c>
      <c r="F712">
        <f>TRIM(INDEX(INDIRECT("'Выгрузка'!A712:Z712"),Настройки!$B$12)&amp;"")</f>
        <v/>
      </c>
      <c r="G712">
        <f>IF(F712="",0,IF(TRIM(INDEX(INDIRECT("'Выгрузка'!A712:Z712"),Настройки!$B$13)&amp;"")="",1,IFERROR(--SUBSTITUTE(SUBSTITUTE(TRIM(INDEX(INDIRECT("'Выгрузка'!A712:Z712"),Настройки!$B$13)),",","."),".",MID(1/2,2,1)),"")))</f>
        <v/>
      </c>
      <c r="H712">
        <f>IF(F712="",0,IF(COUNTIF(Настройки!$B$17:$B$26,F712)&gt;0,1,IF(COUNTIF(Настройки!$C$17:$C$26,F712)&gt;0,2,IF(COUNTIF(Настройки!$D$17:$D$26,F712)&gt;0,3,0))))</f>
        <v/>
      </c>
      <c r="I712">
        <f>IF(AND(ISNUMBER(A712),ISNUMBER(B712)),A712*1000+B712,"")</f>
        <v/>
      </c>
      <c r="J712">
        <f>IF(I712="","",IF(COUNTIF(I$2:I712,I712)=1,MAX(J$1:J711)+1,""))</f>
        <v/>
      </c>
    </row>
    <row r="713">
      <c r="A713">
        <f>IFERROR(--SUBSTITUTE(SUBSTITUTE(TRIM(INDEX(INDIRECT("'Выгрузка'!A713:Z713"),Настройки!$B$7)),",","."),".",MID(1/2,2,1)),"")</f>
        <v/>
      </c>
      <c r="B713">
        <f>IFERROR(--SUBSTITUTE(SUBSTITUTE(TRIM(INDEX(INDIRECT("'Выгрузка'!A713:Z713"),Настройки!$B$9)),",","."),".",MID(1/2,2,1)),"")</f>
        <v/>
      </c>
      <c r="C713">
        <f>TRIM(INDEX(INDIRECT("'Выгрузка'!A713:Z713"),Настройки!$B$8)&amp;"")</f>
        <v/>
      </c>
      <c r="D713">
        <f>IFERROR(--SUBSTITUTE(SUBSTITUTE(TRIM(INDEX(INDIRECT("'Выгрузка'!A713:Z713"),Настройки!$B$10)),",","."),".",MID(1/2,2,1)),"")</f>
        <v/>
      </c>
      <c r="E713">
        <f>IFERROR(--SUBSTITUTE(SUBSTITUTE(TRIM(INDEX(INDIRECT("'Выгрузка'!A713:Z713"),Настройки!$B$11)),",","."),".",MID(1/2,2,1)),"")</f>
        <v/>
      </c>
      <c r="F713">
        <f>TRIM(INDEX(INDIRECT("'Выгрузка'!A713:Z713"),Настройки!$B$12)&amp;"")</f>
        <v/>
      </c>
      <c r="G713">
        <f>IF(F713="",0,IF(TRIM(INDEX(INDIRECT("'Выгрузка'!A713:Z713"),Настройки!$B$13)&amp;"")="",1,IFERROR(--SUBSTITUTE(SUBSTITUTE(TRIM(INDEX(INDIRECT("'Выгрузка'!A713:Z713"),Настройки!$B$13)),",","."),".",MID(1/2,2,1)),"")))</f>
        <v/>
      </c>
      <c r="H713">
        <f>IF(F713="",0,IF(COUNTIF(Настройки!$B$17:$B$26,F713)&gt;0,1,IF(COUNTIF(Настройки!$C$17:$C$26,F713)&gt;0,2,IF(COUNTIF(Настройки!$D$17:$D$26,F713)&gt;0,3,0))))</f>
        <v/>
      </c>
      <c r="I713">
        <f>IF(AND(ISNUMBER(A713),ISNUMBER(B713)),A713*1000+B713,"")</f>
        <v/>
      </c>
      <c r="J713">
        <f>IF(I713="","",IF(COUNTIF(I$2:I713,I713)=1,MAX(J$1:J712)+1,""))</f>
        <v/>
      </c>
    </row>
    <row r="714">
      <c r="A714">
        <f>IFERROR(--SUBSTITUTE(SUBSTITUTE(TRIM(INDEX(INDIRECT("'Выгрузка'!A714:Z714"),Настройки!$B$7)),",","."),".",MID(1/2,2,1)),"")</f>
        <v/>
      </c>
      <c r="B714">
        <f>IFERROR(--SUBSTITUTE(SUBSTITUTE(TRIM(INDEX(INDIRECT("'Выгрузка'!A714:Z714"),Настройки!$B$9)),",","."),".",MID(1/2,2,1)),"")</f>
        <v/>
      </c>
      <c r="C714">
        <f>TRIM(INDEX(INDIRECT("'Выгрузка'!A714:Z714"),Настройки!$B$8)&amp;"")</f>
        <v/>
      </c>
      <c r="D714">
        <f>IFERROR(--SUBSTITUTE(SUBSTITUTE(TRIM(INDEX(INDIRECT("'Выгрузка'!A714:Z714"),Настройки!$B$10)),",","."),".",MID(1/2,2,1)),"")</f>
        <v/>
      </c>
      <c r="E714">
        <f>IFERROR(--SUBSTITUTE(SUBSTITUTE(TRIM(INDEX(INDIRECT("'Выгрузка'!A714:Z714"),Настройки!$B$11)),",","."),".",MID(1/2,2,1)),"")</f>
        <v/>
      </c>
      <c r="F714">
        <f>TRIM(INDEX(INDIRECT("'Выгрузка'!A714:Z714"),Настройки!$B$12)&amp;"")</f>
        <v/>
      </c>
      <c r="G714">
        <f>IF(F714="",0,IF(TRIM(INDEX(INDIRECT("'Выгрузка'!A714:Z714"),Настройки!$B$13)&amp;"")="",1,IFERROR(--SUBSTITUTE(SUBSTITUTE(TRIM(INDEX(INDIRECT("'Выгрузка'!A714:Z714"),Настройки!$B$13)),",","."),".",MID(1/2,2,1)),"")))</f>
        <v/>
      </c>
      <c r="H714">
        <f>IF(F714="",0,IF(COUNTIF(Настройки!$B$17:$B$26,F714)&gt;0,1,IF(COUNTIF(Настройки!$C$17:$C$26,F714)&gt;0,2,IF(COUNTIF(Настройки!$D$17:$D$26,F714)&gt;0,3,0))))</f>
        <v/>
      </c>
      <c r="I714">
        <f>IF(AND(ISNUMBER(A714),ISNUMBER(B714)),A714*1000+B714,"")</f>
        <v/>
      </c>
      <c r="J714">
        <f>IF(I714="","",IF(COUNTIF(I$2:I714,I714)=1,MAX(J$1:J713)+1,""))</f>
        <v/>
      </c>
    </row>
    <row r="715">
      <c r="A715">
        <f>IFERROR(--SUBSTITUTE(SUBSTITUTE(TRIM(INDEX(INDIRECT("'Выгрузка'!A715:Z715"),Настройки!$B$7)),",","."),".",MID(1/2,2,1)),"")</f>
        <v/>
      </c>
      <c r="B715">
        <f>IFERROR(--SUBSTITUTE(SUBSTITUTE(TRIM(INDEX(INDIRECT("'Выгрузка'!A715:Z715"),Настройки!$B$9)),",","."),".",MID(1/2,2,1)),"")</f>
        <v/>
      </c>
      <c r="C715">
        <f>TRIM(INDEX(INDIRECT("'Выгрузка'!A715:Z715"),Настройки!$B$8)&amp;"")</f>
        <v/>
      </c>
      <c r="D715">
        <f>IFERROR(--SUBSTITUTE(SUBSTITUTE(TRIM(INDEX(INDIRECT("'Выгрузка'!A715:Z715"),Настройки!$B$10)),",","."),".",MID(1/2,2,1)),"")</f>
        <v/>
      </c>
      <c r="E715">
        <f>IFERROR(--SUBSTITUTE(SUBSTITUTE(TRIM(INDEX(INDIRECT("'Выгрузка'!A715:Z715"),Настройки!$B$11)),",","."),".",MID(1/2,2,1)),"")</f>
        <v/>
      </c>
      <c r="F715">
        <f>TRIM(INDEX(INDIRECT("'Выгрузка'!A715:Z715"),Настройки!$B$12)&amp;"")</f>
        <v/>
      </c>
      <c r="G715">
        <f>IF(F715="",0,IF(TRIM(INDEX(INDIRECT("'Выгрузка'!A715:Z715"),Настройки!$B$13)&amp;"")="",1,IFERROR(--SUBSTITUTE(SUBSTITUTE(TRIM(INDEX(INDIRECT("'Выгрузка'!A715:Z715"),Настройки!$B$13)),",","."),".",MID(1/2,2,1)),"")))</f>
        <v/>
      </c>
      <c r="H715">
        <f>IF(F715="",0,IF(COUNTIF(Настройки!$B$17:$B$26,F715)&gt;0,1,IF(COUNTIF(Настройки!$C$17:$C$26,F715)&gt;0,2,IF(COUNTIF(Настройки!$D$17:$D$26,F715)&gt;0,3,0))))</f>
        <v/>
      </c>
      <c r="I715">
        <f>IF(AND(ISNUMBER(A715),ISNUMBER(B715)),A715*1000+B715,"")</f>
        <v/>
      </c>
      <c r="J715">
        <f>IF(I715="","",IF(COUNTIF(I$2:I715,I715)=1,MAX(J$1:J714)+1,""))</f>
        <v/>
      </c>
    </row>
    <row r="716">
      <c r="A716">
        <f>IFERROR(--SUBSTITUTE(SUBSTITUTE(TRIM(INDEX(INDIRECT("'Выгрузка'!A716:Z716"),Настройки!$B$7)),",","."),".",MID(1/2,2,1)),"")</f>
        <v/>
      </c>
      <c r="B716">
        <f>IFERROR(--SUBSTITUTE(SUBSTITUTE(TRIM(INDEX(INDIRECT("'Выгрузка'!A716:Z716"),Настройки!$B$9)),",","."),".",MID(1/2,2,1)),"")</f>
        <v/>
      </c>
      <c r="C716">
        <f>TRIM(INDEX(INDIRECT("'Выгрузка'!A716:Z716"),Настройки!$B$8)&amp;"")</f>
        <v/>
      </c>
      <c r="D716">
        <f>IFERROR(--SUBSTITUTE(SUBSTITUTE(TRIM(INDEX(INDIRECT("'Выгрузка'!A716:Z716"),Настройки!$B$10)),",","."),".",MID(1/2,2,1)),"")</f>
        <v/>
      </c>
      <c r="E716">
        <f>IFERROR(--SUBSTITUTE(SUBSTITUTE(TRIM(INDEX(INDIRECT("'Выгрузка'!A716:Z716"),Настройки!$B$11)),",","."),".",MID(1/2,2,1)),"")</f>
        <v/>
      </c>
      <c r="F716">
        <f>TRIM(INDEX(INDIRECT("'Выгрузка'!A716:Z716"),Настройки!$B$12)&amp;"")</f>
        <v/>
      </c>
      <c r="G716">
        <f>IF(F716="",0,IF(TRIM(INDEX(INDIRECT("'Выгрузка'!A716:Z716"),Настройки!$B$13)&amp;"")="",1,IFERROR(--SUBSTITUTE(SUBSTITUTE(TRIM(INDEX(INDIRECT("'Выгрузка'!A716:Z716"),Настройки!$B$13)),",","."),".",MID(1/2,2,1)),"")))</f>
        <v/>
      </c>
      <c r="H716">
        <f>IF(F716="",0,IF(COUNTIF(Настройки!$B$17:$B$26,F716)&gt;0,1,IF(COUNTIF(Настройки!$C$17:$C$26,F716)&gt;0,2,IF(COUNTIF(Настройки!$D$17:$D$26,F716)&gt;0,3,0))))</f>
        <v/>
      </c>
      <c r="I716">
        <f>IF(AND(ISNUMBER(A716),ISNUMBER(B716)),A716*1000+B716,"")</f>
        <v/>
      </c>
      <c r="J716">
        <f>IF(I716="","",IF(COUNTIF(I$2:I716,I716)=1,MAX(J$1:J715)+1,""))</f>
        <v/>
      </c>
    </row>
    <row r="717">
      <c r="A717">
        <f>IFERROR(--SUBSTITUTE(SUBSTITUTE(TRIM(INDEX(INDIRECT("'Выгрузка'!A717:Z717"),Настройки!$B$7)),",","."),".",MID(1/2,2,1)),"")</f>
        <v/>
      </c>
      <c r="B717">
        <f>IFERROR(--SUBSTITUTE(SUBSTITUTE(TRIM(INDEX(INDIRECT("'Выгрузка'!A717:Z717"),Настройки!$B$9)),",","."),".",MID(1/2,2,1)),"")</f>
        <v/>
      </c>
      <c r="C717">
        <f>TRIM(INDEX(INDIRECT("'Выгрузка'!A717:Z717"),Настройки!$B$8)&amp;"")</f>
        <v/>
      </c>
      <c r="D717">
        <f>IFERROR(--SUBSTITUTE(SUBSTITUTE(TRIM(INDEX(INDIRECT("'Выгрузка'!A717:Z717"),Настройки!$B$10)),",","."),".",MID(1/2,2,1)),"")</f>
        <v/>
      </c>
      <c r="E717">
        <f>IFERROR(--SUBSTITUTE(SUBSTITUTE(TRIM(INDEX(INDIRECT("'Выгрузка'!A717:Z717"),Настройки!$B$11)),",","."),".",MID(1/2,2,1)),"")</f>
        <v/>
      </c>
      <c r="F717">
        <f>TRIM(INDEX(INDIRECT("'Выгрузка'!A717:Z717"),Настройки!$B$12)&amp;"")</f>
        <v/>
      </c>
      <c r="G717">
        <f>IF(F717="",0,IF(TRIM(INDEX(INDIRECT("'Выгрузка'!A717:Z717"),Настройки!$B$13)&amp;"")="",1,IFERROR(--SUBSTITUTE(SUBSTITUTE(TRIM(INDEX(INDIRECT("'Выгрузка'!A717:Z717"),Настройки!$B$13)),",","."),".",MID(1/2,2,1)),"")))</f>
        <v/>
      </c>
      <c r="H717">
        <f>IF(F717="",0,IF(COUNTIF(Настройки!$B$17:$B$26,F717)&gt;0,1,IF(COUNTIF(Настройки!$C$17:$C$26,F717)&gt;0,2,IF(COUNTIF(Настройки!$D$17:$D$26,F717)&gt;0,3,0))))</f>
        <v/>
      </c>
      <c r="I717">
        <f>IF(AND(ISNUMBER(A717),ISNUMBER(B717)),A717*1000+B717,"")</f>
        <v/>
      </c>
      <c r="J717">
        <f>IF(I717="","",IF(COUNTIF(I$2:I717,I717)=1,MAX(J$1:J716)+1,""))</f>
        <v/>
      </c>
    </row>
    <row r="718">
      <c r="A718">
        <f>IFERROR(--SUBSTITUTE(SUBSTITUTE(TRIM(INDEX(INDIRECT("'Выгрузка'!A718:Z718"),Настройки!$B$7)),",","."),".",MID(1/2,2,1)),"")</f>
        <v/>
      </c>
      <c r="B718">
        <f>IFERROR(--SUBSTITUTE(SUBSTITUTE(TRIM(INDEX(INDIRECT("'Выгрузка'!A718:Z718"),Настройки!$B$9)),",","."),".",MID(1/2,2,1)),"")</f>
        <v/>
      </c>
      <c r="C718">
        <f>TRIM(INDEX(INDIRECT("'Выгрузка'!A718:Z718"),Настройки!$B$8)&amp;"")</f>
        <v/>
      </c>
      <c r="D718">
        <f>IFERROR(--SUBSTITUTE(SUBSTITUTE(TRIM(INDEX(INDIRECT("'Выгрузка'!A718:Z718"),Настройки!$B$10)),",","."),".",MID(1/2,2,1)),"")</f>
        <v/>
      </c>
      <c r="E718">
        <f>IFERROR(--SUBSTITUTE(SUBSTITUTE(TRIM(INDEX(INDIRECT("'Выгрузка'!A718:Z718"),Настройки!$B$11)),",","."),".",MID(1/2,2,1)),"")</f>
        <v/>
      </c>
      <c r="F718">
        <f>TRIM(INDEX(INDIRECT("'Выгрузка'!A718:Z718"),Настройки!$B$12)&amp;"")</f>
        <v/>
      </c>
      <c r="G718">
        <f>IF(F718="",0,IF(TRIM(INDEX(INDIRECT("'Выгрузка'!A718:Z718"),Настройки!$B$13)&amp;"")="",1,IFERROR(--SUBSTITUTE(SUBSTITUTE(TRIM(INDEX(INDIRECT("'Выгрузка'!A718:Z718"),Настройки!$B$13)),",","."),".",MID(1/2,2,1)),"")))</f>
        <v/>
      </c>
      <c r="H718">
        <f>IF(F718="",0,IF(COUNTIF(Настройки!$B$17:$B$26,F718)&gt;0,1,IF(COUNTIF(Настройки!$C$17:$C$26,F718)&gt;0,2,IF(COUNTIF(Настройки!$D$17:$D$26,F718)&gt;0,3,0))))</f>
        <v/>
      </c>
      <c r="I718">
        <f>IF(AND(ISNUMBER(A718),ISNUMBER(B718)),A718*1000+B718,"")</f>
        <v/>
      </c>
      <c r="J718">
        <f>IF(I718="","",IF(COUNTIF(I$2:I718,I718)=1,MAX(J$1:J717)+1,""))</f>
        <v/>
      </c>
    </row>
    <row r="719">
      <c r="A719">
        <f>IFERROR(--SUBSTITUTE(SUBSTITUTE(TRIM(INDEX(INDIRECT("'Выгрузка'!A719:Z719"),Настройки!$B$7)),",","."),".",MID(1/2,2,1)),"")</f>
        <v/>
      </c>
      <c r="B719">
        <f>IFERROR(--SUBSTITUTE(SUBSTITUTE(TRIM(INDEX(INDIRECT("'Выгрузка'!A719:Z719"),Настройки!$B$9)),",","."),".",MID(1/2,2,1)),"")</f>
        <v/>
      </c>
      <c r="C719">
        <f>TRIM(INDEX(INDIRECT("'Выгрузка'!A719:Z719"),Настройки!$B$8)&amp;"")</f>
        <v/>
      </c>
      <c r="D719">
        <f>IFERROR(--SUBSTITUTE(SUBSTITUTE(TRIM(INDEX(INDIRECT("'Выгрузка'!A719:Z719"),Настройки!$B$10)),",","."),".",MID(1/2,2,1)),"")</f>
        <v/>
      </c>
      <c r="E719">
        <f>IFERROR(--SUBSTITUTE(SUBSTITUTE(TRIM(INDEX(INDIRECT("'Выгрузка'!A719:Z719"),Настройки!$B$11)),",","."),".",MID(1/2,2,1)),"")</f>
        <v/>
      </c>
      <c r="F719">
        <f>TRIM(INDEX(INDIRECT("'Выгрузка'!A719:Z719"),Настройки!$B$12)&amp;"")</f>
        <v/>
      </c>
      <c r="G719">
        <f>IF(F719="",0,IF(TRIM(INDEX(INDIRECT("'Выгрузка'!A719:Z719"),Настройки!$B$13)&amp;"")="",1,IFERROR(--SUBSTITUTE(SUBSTITUTE(TRIM(INDEX(INDIRECT("'Выгрузка'!A719:Z719"),Настройки!$B$13)),",","."),".",MID(1/2,2,1)),"")))</f>
        <v/>
      </c>
      <c r="H719">
        <f>IF(F719="",0,IF(COUNTIF(Настройки!$B$17:$B$26,F719)&gt;0,1,IF(COUNTIF(Настройки!$C$17:$C$26,F719)&gt;0,2,IF(COUNTIF(Настройки!$D$17:$D$26,F719)&gt;0,3,0))))</f>
        <v/>
      </c>
      <c r="I719">
        <f>IF(AND(ISNUMBER(A719),ISNUMBER(B719)),A719*1000+B719,"")</f>
        <v/>
      </c>
      <c r="J719">
        <f>IF(I719="","",IF(COUNTIF(I$2:I719,I719)=1,MAX(J$1:J718)+1,""))</f>
        <v/>
      </c>
    </row>
    <row r="720">
      <c r="A720">
        <f>IFERROR(--SUBSTITUTE(SUBSTITUTE(TRIM(INDEX(INDIRECT("'Выгрузка'!A720:Z720"),Настройки!$B$7)),",","."),".",MID(1/2,2,1)),"")</f>
        <v/>
      </c>
      <c r="B720">
        <f>IFERROR(--SUBSTITUTE(SUBSTITUTE(TRIM(INDEX(INDIRECT("'Выгрузка'!A720:Z720"),Настройки!$B$9)),",","."),".",MID(1/2,2,1)),"")</f>
        <v/>
      </c>
      <c r="C720">
        <f>TRIM(INDEX(INDIRECT("'Выгрузка'!A720:Z720"),Настройки!$B$8)&amp;"")</f>
        <v/>
      </c>
      <c r="D720">
        <f>IFERROR(--SUBSTITUTE(SUBSTITUTE(TRIM(INDEX(INDIRECT("'Выгрузка'!A720:Z720"),Настройки!$B$10)),",","."),".",MID(1/2,2,1)),"")</f>
        <v/>
      </c>
      <c r="E720">
        <f>IFERROR(--SUBSTITUTE(SUBSTITUTE(TRIM(INDEX(INDIRECT("'Выгрузка'!A720:Z720"),Настройки!$B$11)),",","."),".",MID(1/2,2,1)),"")</f>
        <v/>
      </c>
      <c r="F720">
        <f>TRIM(INDEX(INDIRECT("'Выгрузка'!A720:Z720"),Настройки!$B$12)&amp;"")</f>
        <v/>
      </c>
      <c r="G720">
        <f>IF(F720="",0,IF(TRIM(INDEX(INDIRECT("'Выгрузка'!A720:Z720"),Настройки!$B$13)&amp;"")="",1,IFERROR(--SUBSTITUTE(SUBSTITUTE(TRIM(INDEX(INDIRECT("'Выгрузка'!A720:Z720"),Настройки!$B$13)),",","."),".",MID(1/2,2,1)),"")))</f>
        <v/>
      </c>
      <c r="H720">
        <f>IF(F720="",0,IF(COUNTIF(Настройки!$B$17:$B$26,F720)&gt;0,1,IF(COUNTIF(Настройки!$C$17:$C$26,F720)&gt;0,2,IF(COUNTIF(Настройки!$D$17:$D$26,F720)&gt;0,3,0))))</f>
        <v/>
      </c>
      <c r="I720">
        <f>IF(AND(ISNUMBER(A720),ISNUMBER(B720)),A720*1000+B720,"")</f>
        <v/>
      </c>
      <c r="J720">
        <f>IF(I720="","",IF(COUNTIF(I$2:I720,I720)=1,MAX(J$1:J719)+1,""))</f>
        <v/>
      </c>
    </row>
    <row r="721">
      <c r="A721">
        <f>IFERROR(--SUBSTITUTE(SUBSTITUTE(TRIM(INDEX(INDIRECT("'Выгрузка'!A721:Z721"),Настройки!$B$7)),",","."),".",MID(1/2,2,1)),"")</f>
        <v/>
      </c>
      <c r="B721">
        <f>IFERROR(--SUBSTITUTE(SUBSTITUTE(TRIM(INDEX(INDIRECT("'Выгрузка'!A721:Z721"),Настройки!$B$9)),",","."),".",MID(1/2,2,1)),"")</f>
        <v/>
      </c>
      <c r="C721">
        <f>TRIM(INDEX(INDIRECT("'Выгрузка'!A721:Z721"),Настройки!$B$8)&amp;"")</f>
        <v/>
      </c>
      <c r="D721">
        <f>IFERROR(--SUBSTITUTE(SUBSTITUTE(TRIM(INDEX(INDIRECT("'Выгрузка'!A721:Z721"),Настройки!$B$10)),",","."),".",MID(1/2,2,1)),"")</f>
        <v/>
      </c>
      <c r="E721">
        <f>IFERROR(--SUBSTITUTE(SUBSTITUTE(TRIM(INDEX(INDIRECT("'Выгрузка'!A721:Z721"),Настройки!$B$11)),",","."),".",MID(1/2,2,1)),"")</f>
        <v/>
      </c>
      <c r="F721">
        <f>TRIM(INDEX(INDIRECT("'Выгрузка'!A721:Z721"),Настройки!$B$12)&amp;"")</f>
        <v/>
      </c>
      <c r="G721">
        <f>IF(F721="",0,IF(TRIM(INDEX(INDIRECT("'Выгрузка'!A721:Z721"),Настройки!$B$13)&amp;"")="",1,IFERROR(--SUBSTITUTE(SUBSTITUTE(TRIM(INDEX(INDIRECT("'Выгрузка'!A721:Z721"),Настройки!$B$13)),",","."),".",MID(1/2,2,1)),"")))</f>
        <v/>
      </c>
      <c r="H721">
        <f>IF(F721="",0,IF(COUNTIF(Настройки!$B$17:$B$26,F721)&gt;0,1,IF(COUNTIF(Настройки!$C$17:$C$26,F721)&gt;0,2,IF(COUNTIF(Настройки!$D$17:$D$26,F721)&gt;0,3,0))))</f>
        <v/>
      </c>
      <c r="I721">
        <f>IF(AND(ISNUMBER(A721),ISNUMBER(B721)),A721*1000+B721,"")</f>
        <v/>
      </c>
      <c r="J721">
        <f>IF(I721="","",IF(COUNTIF(I$2:I721,I721)=1,MAX(J$1:J720)+1,""))</f>
        <v/>
      </c>
    </row>
    <row r="722">
      <c r="A722">
        <f>IFERROR(--SUBSTITUTE(SUBSTITUTE(TRIM(INDEX(INDIRECT("'Выгрузка'!A722:Z722"),Настройки!$B$7)),",","."),".",MID(1/2,2,1)),"")</f>
        <v/>
      </c>
      <c r="B722">
        <f>IFERROR(--SUBSTITUTE(SUBSTITUTE(TRIM(INDEX(INDIRECT("'Выгрузка'!A722:Z722"),Настройки!$B$9)),",","."),".",MID(1/2,2,1)),"")</f>
        <v/>
      </c>
      <c r="C722">
        <f>TRIM(INDEX(INDIRECT("'Выгрузка'!A722:Z722"),Настройки!$B$8)&amp;"")</f>
        <v/>
      </c>
      <c r="D722">
        <f>IFERROR(--SUBSTITUTE(SUBSTITUTE(TRIM(INDEX(INDIRECT("'Выгрузка'!A722:Z722"),Настройки!$B$10)),",","."),".",MID(1/2,2,1)),"")</f>
        <v/>
      </c>
      <c r="E722">
        <f>IFERROR(--SUBSTITUTE(SUBSTITUTE(TRIM(INDEX(INDIRECT("'Выгрузка'!A722:Z722"),Настройки!$B$11)),",","."),".",MID(1/2,2,1)),"")</f>
        <v/>
      </c>
      <c r="F722">
        <f>TRIM(INDEX(INDIRECT("'Выгрузка'!A722:Z722"),Настройки!$B$12)&amp;"")</f>
        <v/>
      </c>
      <c r="G722">
        <f>IF(F722="",0,IF(TRIM(INDEX(INDIRECT("'Выгрузка'!A722:Z722"),Настройки!$B$13)&amp;"")="",1,IFERROR(--SUBSTITUTE(SUBSTITUTE(TRIM(INDEX(INDIRECT("'Выгрузка'!A722:Z722"),Настройки!$B$13)),",","."),".",MID(1/2,2,1)),"")))</f>
        <v/>
      </c>
      <c r="H722">
        <f>IF(F722="",0,IF(COUNTIF(Настройки!$B$17:$B$26,F722)&gt;0,1,IF(COUNTIF(Настройки!$C$17:$C$26,F722)&gt;0,2,IF(COUNTIF(Настройки!$D$17:$D$26,F722)&gt;0,3,0))))</f>
        <v/>
      </c>
      <c r="I722">
        <f>IF(AND(ISNUMBER(A722),ISNUMBER(B722)),A722*1000+B722,"")</f>
        <v/>
      </c>
      <c r="J722">
        <f>IF(I722="","",IF(COUNTIF(I$2:I722,I722)=1,MAX(J$1:J721)+1,""))</f>
        <v/>
      </c>
    </row>
    <row r="723">
      <c r="A723">
        <f>IFERROR(--SUBSTITUTE(SUBSTITUTE(TRIM(INDEX(INDIRECT("'Выгрузка'!A723:Z723"),Настройки!$B$7)),",","."),".",MID(1/2,2,1)),"")</f>
        <v/>
      </c>
      <c r="B723">
        <f>IFERROR(--SUBSTITUTE(SUBSTITUTE(TRIM(INDEX(INDIRECT("'Выгрузка'!A723:Z723"),Настройки!$B$9)),",","."),".",MID(1/2,2,1)),"")</f>
        <v/>
      </c>
      <c r="C723">
        <f>TRIM(INDEX(INDIRECT("'Выгрузка'!A723:Z723"),Настройки!$B$8)&amp;"")</f>
        <v/>
      </c>
      <c r="D723">
        <f>IFERROR(--SUBSTITUTE(SUBSTITUTE(TRIM(INDEX(INDIRECT("'Выгрузка'!A723:Z723"),Настройки!$B$10)),",","."),".",MID(1/2,2,1)),"")</f>
        <v/>
      </c>
      <c r="E723">
        <f>IFERROR(--SUBSTITUTE(SUBSTITUTE(TRIM(INDEX(INDIRECT("'Выгрузка'!A723:Z723"),Настройки!$B$11)),",","."),".",MID(1/2,2,1)),"")</f>
        <v/>
      </c>
      <c r="F723">
        <f>TRIM(INDEX(INDIRECT("'Выгрузка'!A723:Z723"),Настройки!$B$12)&amp;"")</f>
        <v/>
      </c>
      <c r="G723">
        <f>IF(F723="",0,IF(TRIM(INDEX(INDIRECT("'Выгрузка'!A723:Z723"),Настройки!$B$13)&amp;"")="",1,IFERROR(--SUBSTITUTE(SUBSTITUTE(TRIM(INDEX(INDIRECT("'Выгрузка'!A723:Z723"),Настройки!$B$13)),",","."),".",MID(1/2,2,1)),"")))</f>
        <v/>
      </c>
      <c r="H723">
        <f>IF(F723="",0,IF(COUNTIF(Настройки!$B$17:$B$26,F723)&gt;0,1,IF(COUNTIF(Настройки!$C$17:$C$26,F723)&gt;0,2,IF(COUNTIF(Настройки!$D$17:$D$26,F723)&gt;0,3,0))))</f>
        <v/>
      </c>
      <c r="I723">
        <f>IF(AND(ISNUMBER(A723),ISNUMBER(B723)),A723*1000+B723,"")</f>
        <v/>
      </c>
      <c r="J723">
        <f>IF(I723="","",IF(COUNTIF(I$2:I723,I723)=1,MAX(J$1:J722)+1,""))</f>
        <v/>
      </c>
    </row>
    <row r="724">
      <c r="A724">
        <f>IFERROR(--SUBSTITUTE(SUBSTITUTE(TRIM(INDEX(INDIRECT("'Выгрузка'!A724:Z724"),Настройки!$B$7)),",","."),".",MID(1/2,2,1)),"")</f>
        <v/>
      </c>
      <c r="B724">
        <f>IFERROR(--SUBSTITUTE(SUBSTITUTE(TRIM(INDEX(INDIRECT("'Выгрузка'!A724:Z724"),Настройки!$B$9)),",","."),".",MID(1/2,2,1)),"")</f>
        <v/>
      </c>
      <c r="C724">
        <f>TRIM(INDEX(INDIRECT("'Выгрузка'!A724:Z724"),Настройки!$B$8)&amp;"")</f>
        <v/>
      </c>
      <c r="D724">
        <f>IFERROR(--SUBSTITUTE(SUBSTITUTE(TRIM(INDEX(INDIRECT("'Выгрузка'!A724:Z724"),Настройки!$B$10)),",","."),".",MID(1/2,2,1)),"")</f>
        <v/>
      </c>
      <c r="E724">
        <f>IFERROR(--SUBSTITUTE(SUBSTITUTE(TRIM(INDEX(INDIRECT("'Выгрузка'!A724:Z724"),Настройки!$B$11)),",","."),".",MID(1/2,2,1)),"")</f>
        <v/>
      </c>
      <c r="F724">
        <f>TRIM(INDEX(INDIRECT("'Выгрузка'!A724:Z724"),Настройки!$B$12)&amp;"")</f>
        <v/>
      </c>
      <c r="G724">
        <f>IF(F724="",0,IF(TRIM(INDEX(INDIRECT("'Выгрузка'!A724:Z724"),Настройки!$B$13)&amp;"")="",1,IFERROR(--SUBSTITUTE(SUBSTITUTE(TRIM(INDEX(INDIRECT("'Выгрузка'!A724:Z724"),Настройки!$B$13)),",","."),".",MID(1/2,2,1)),"")))</f>
        <v/>
      </c>
      <c r="H724">
        <f>IF(F724="",0,IF(COUNTIF(Настройки!$B$17:$B$26,F724)&gt;0,1,IF(COUNTIF(Настройки!$C$17:$C$26,F724)&gt;0,2,IF(COUNTIF(Настройки!$D$17:$D$26,F724)&gt;0,3,0))))</f>
        <v/>
      </c>
      <c r="I724">
        <f>IF(AND(ISNUMBER(A724),ISNUMBER(B724)),A724*1000+B724,"")</f>
        <v/>
      </c>
      <c r="J724">
        <f>IF(I724="","",IF(COUNTIF(I$2:I724,I724)=1,MAX(J$1:J723)+1,""))</f>
        <v/>
      </c>
    </row>
    <row r="725">
      <c r="A725">
        <f>IFERROR(--SUBSTITUTE(SUBSTITUTE(TRIM(INDEX(INDIRECT("'Выгрузка'!A725:Z725"),Настройки!$B$7)),",","."),".",MID(1/2,2,1)),"")</f>
        <v/>
      </c>
      <c r="B725">
        <f>IFERROR(--SUBSTITUTE(SUBSTITUTE(TRIM(INDEX(INDIRECT("'Выгрузка'!A725:Z725"),Настройки!$B$9)),",","."),".",MID(1/2,2,1)),"")</f>
        <v/>
      </c>
      <c r="C725">
        <f>TRIM(INDEX(INDIRECT("'Выгрузка'!A725:Z725"),Настройки!$B$8)&amp;"")</f>
        <v/>
      </c>
      <c r="D725">
        <f>IFERROR(--SUBSTITUTE(SUBSTITUTE(TRIM(INDEX(INDIRECT("'Выгрузка'!A725:Z725"),Настройки!$B$10)),",","."),".",MID(1/2,2,1)),"")</f>
        <v/>
      </c>
      <c r="E725">
        <f>IFERROR(--SUBSTITUTE(SUBSTITUTE(TRIM(INDEX(INDIRECT("'Выгрузка'!A725:Z725"),Настройки!$B$11)),",","."),".",MID(1/2,2,1)),"")</f>
        <v/>
      </c>
      <c r="F725">
        <f>TRIM(INDEX(INDIRECT("'Выгрузка'!A725:Z725"),Настройки!$B$12)&amp;"")</f>
        <v/>
      </c>
      <c r="G725">
        <f>IF(F725="",0,IF(TRIM(INDEX(INDIRECT("'Выгрузка'!A725:Z725"),Настройки!$B$13)&amp;"")="",1,IFERROR(--SUBSTITUTE(SUBSTITUTE(TRIM(INDEX(INDIRECT("'Выгрузка'!A725:Z725"),Настройки!$B$13)),",","."),".",MID(1/2,2,1)),"")))</f>
        <v/>
      </c>
      <c r="H725">
        <f>IF(F725="",0,IF(COUNTIF(Настройки!$B$17:$B$26,F725)&gt;0,1,IF(COUNTIF(Настройки!$C$17:$C$26,F725)&gt;0,2,IF(COUNTIF(Настройки!$D$17:$D$26,F725)&gt;0,3,0))))</f>
        <v/>
      </c>
      <c r="I725">
        <f>IF(AND(ISNUMBER(A725),ISNUMBER(B725)),A725*1000+B725,"")</f>
        <v/>
      </c>
      <c r="J725">
        <f>IF(I725="","",IF(COUNTIF(I$2:I725,I725)=1,MAX(J$1:J724)+1,""))</f>
        <v/>
      </c>
    </row>
    <row r="726">
      <c r="A726">
        <f>IFERROR(--SUBSTITUTE(SUBSTITUTE(TRIM(INDEX(INDIRECT("'Выгрузка'!A726:Z726"),Настройки!$B$7)),",","."),".",MID(1/2,2,1)),"")</f>
        <v/>
      </c>
      <c r="B726">
        <f>IFERROR(--SUBSTITUTE(SUBSTITUTE(TRIM(INDEX(INDIRECT("'Выгрузка'!A726:Z726"),Настройки!$B$9)),",","."),".",MID(1/2,2,1)),"")</f>
        <v/>
      </c>
      <c r="C726">
        <f>TRIM(INDEX(INDIRECT("'Выгрузка'!A726:Z726"),Настройки!$B$8)&amp;"")</f>
        <v/>
      </c>
      <c r="D726">
        <f>IFERROR(--SUBSTITUTE(SUBSTITUTE(TRIM(INDEX(INDIRECT("'Выгрузка'!A726:Z726"),Настройки!$B$10)),",","."),".",MID(1/2,2,1)),"")</f>
        <v/>
      </c>
      <c r="E726">
        <f>IFERROR(--SUBSTITUTE(SUBSTITUTE(TRIM(INDEX(INDIRECT("'Выгрузка'!A726:Z726"),Настройки!$B$11)),",","."),".",MID(1/2,2,1)),"")</f>
        <v/>
      </c>
      <c r="F726">
        <f>TRIM(INDEX(INDIRECT("'Выгрузка'!A726:Z726"),Настройки!$B$12)&amp;"")</f>
        <v/>
      </c>
      <c r="G726">
        <f>IF(F726="",0,IF(TRIM(INDEX(INDIRECT("'Выгрузка'!A726:Z726"),Настройки!$B$13)&amp;"")="",1,IFERROR(--SUBSTITUTE(SUBSTITUTE(TRIM(INDEX(INDIRECT("'Выгрузка'!A726:Z726"),Настройки!$B$13)),",","."),".",MID(1/2,2,1)),"")))</f>
        <v/>
      </c>
      <c r="H726">
        <f>IF(F726="",0,IF(COUNTIF(Настройки!$B$17:$B$26,F726)&gt;0,1,IF(COUNTIF(Настройки!$C$17:$C$26,F726)&gt;0,2,IF(COUNTIF(Настройки!$D$17:$D$26,F726)&gt;0,3,0))))</f>
        <v/>
      </c>
      <c r="I726">
        <f>IF(AND(ISNUMBER(A726),ISNUMBER(B726)),A726*1000+B726,"")</f>
        <v/>
      </c>
      <c r="J726">
        <f>IF(I726="","",IF(COUNTIF(I$2:I726,I726)=1,MAX(J$1:J725)+1,""))</f>
        <v/>
      </c>
    </row>
    <row r="727">
      <c r="A727">
        <f>IFERROR(--SUBSTITUTE(SUBSTITUTE(TRIM(INDEX(INDIRECT("'Выгрузка'!A727:Z727"),Настройки!$B$7)),",","."),".",MID(1/2,2,1)),"")</f>
        <v/>
      </c>
      <c r="B727">
        <f>IFERROR(--SUBSTITUTE(SUBSTITUTE(TRIM(INDEX(INDIRECT("'Выгрузка'!A727:Z727"),Настройки!$B$9)),",","."),".",MID(1/2,2,1)),"")</f>
        <v/>
      </c>
      <c r="C727">
        <f>TRIM(INDEX(INDIRECT("'Выгрузка'!A727:Z727"),Настройки!$B$8)&amp;"")</f>
        <v/>
      </c>
      <c r="D727">
        <f>IFERROR(--SUBSTITUTE(SUBSTITUTE(TRIM(INDEX(INDIRECT("'Выгрузка'!A727:Z727"),Настройки!$B$10)),",","."),".",MID(1/2,2,1)),"")</f>
        <v/>
      </c>
      <c r="E727">
        <f>IFERROR(--SUBSTITUTE(SUBSTITUTE(TRIM(INDEX(INDIRECT("'Выгрузка'!A727:Z727"),Настройки!$B$11)),",","."),".",MID(1/2,2,1)),"")</f>
        <v/>
      </c>
      <c r="F727">
        <f>TRIM(INDEX(INDIRECT("'Выгрузка'!A727:Z727"),Настройки!$B$12)&amp;"")</f>
        <v/>
      </c>
      <c r="G727">
        <f>IF(F727="",0,IF(TRIM(INDEX(INDIRECT("'Выгрузка'!A727:Z727"),Настройки!$B$13)&amp;"")="",1,IFERROR(--SUBSTITUTE(SUBSTITUTE(TRIM(INDEX(INDIRECT("'Выгрузка'!A727:Z727"),Настройки!$B$13)),",","."),".",MID(1/2,2,1)),"")))</f>
        <v/>
      </c>
      <c r="H727">
        <f>IF(F727="",0,IF(COUNTIF(Настройки!$B$17:$B$26,F727)&gt;0,1,IF(COUNTIF(Настройки!$C$17:$C$26,F727)&gt;0,2,IF(COUNTIF(Настройки!$D$17:$D$26,F727)&gt;0,3,0))))</f>
        <v/>
      </c>
      <c r="I727">
        <f>IF(AND(ISNUMBER(A727),ISNUMBER(B727)),A727*1000+B727,"")</f>
        <v/>
      </c>
      <c r="J727">
        <f>IF(I727="","",IF(COUNTIF(I$2:I727,I727)=1,MAX(J$1:J726)+1,""))</f>
        <v/>
      </c>
    </row>
    <row r="728">
      <c r="A728">
        <f>IFERROR(--SUBSTITUTE(SUBSTITUTE(TRIM(INDEX(INDIRECT("'Выгрузка'!A728:Z728"),Настройки!$B$7)),",","."),".",MID(1/2,2,1)),"")</f>
        <v/>
      </c>
      <c r="B728">
        <f>IFERROR(--SUBSTITUTE(SUBSTITUTE(TRIM(INDEX(INDIRECT("'Выгрузка'!A728:Z728"),Настройки!$B$9)),",","."),".",MID(1/2,2,1)),"")</f>
        <v/>
      </c>
      <c r="C728">
        <f>TRIM(INDEX(INDIRECT("'Выгрузка'!A728:Z728"),Настройки!$B$8)&amp;"")</f>
        <v/>
      </c>
      <c r="D728">
        <f>IFERROR(--SUBSTITUTE(SUBSTITUTE(TRIM(INDEX(INDIRECT("'Выгрузка'!A728:Z728"),Настройки!$B$10)),",","."),".",MID(1/2,2,1)),"")</f>
        <v/>
      </c>
      <c r="E728">
        <f>IFERROR(--SUBSTITUTE(SUBSTITUTE(TRIM(INDEX(INDIRECT("'Выгрузка'!A728:Z728"),Настройки!$B$11)),",","."),".",MID(1/2,2,1)),"")</f>
        <v/>
      </c>
      <c r="F728">
        <f>TRIM(INDEX(INDIRECT("'Выгрузка'!A728:Z728"),Настройки!$B$12)&amp;"")</f>
        <v/>
      </c>
      <c r="G728">
        <f>IF(F728="",0,IF(TRIM(INDEX(INDIRECT("'Выгрузка'!A728:Z728"),Настройки!$B$13)&amp;"")="",1,IFERROR(--SUBSTITUTE(SUBSTITUTE(TRIM(INDEX(INDIRECT("'Выгрузка'!A728:Z728"),Настройки!$B$13)),",","."),".",MID(1/2,2,1)),"")))</f>
        <v/>
      </c>
      <c r="H728">
        <f>IF(F728="",0,IF(COUNTIF(Настройки!$B$17:$B$26,F728)&gt;0,1,IF(COUNTIF(Настройки!$C$17:$C$26,F728)&gt;0,2,IF(COUNTIF(Настройки!$D$17:$D$26,F728)&gt;0,3,0))))</f>
        <v/>
      </c>
      <c r="I728">
        <f>IF(AND(ISNUMBER(A728),ISNUMBER(B728)),A728*1000+B728,"")</f>
        <v/>
      </c>
      <c r="J728">
        <f>IF(I728="","",IF(COUNTIF(I$2:I728,I728)=1,MAX(J$1:J727)+1,""))</f>
        <v/>
      </c>
    </row>
    <row r="729">
      <c r="A729">
        <f>IFERROR(--SUBSTITUTE(SUBSTITUTE(TRIM(INDEX(INDIRECT("'Выгрузка'!A729:Z729"),Настройки!$B$7)),",","."),".",MID(1/2,2,1)),"")</f>
        <v/>
      </c>
      <c r="B729">
        <f>IFERROR(--SUBSTITUTE(SUBSTITUTE(TRIM(INDEX(INDIRECT("'Выгрузка'!A729:Z729"),Настройки!$B$9)),",","."),".",MID(1/2,2,1)),"")</f>
        <v/>
      </c>
      <c r="C729">
        <f>TRIM(INDEX(INDIRECT("'Выгрузка'!A729:Z729"),Настройки!$B$8)&amp;"")</f>
        <v/>
      </c>
      <c r="D729">
        <f>IFERROR(--SUBSTITUTE(SUBSTITUTE(TRIM(INDEX(INDIRECT("'Выгрузка'!A729:Z729"),Настройки!$B$10)),",","."),".",MID(1/2,2,1)),"")</f>
        <v/>
      </c>
      <c r="E729">
        <f>IFERROR(--SUBSTITUTE(SUBSTITUTE(TRIM(INDEX(INDIRECT("'Выгрузка'!A729:Z729"),Настройки!$B$11)),",","."),".",MID(1/2,2,1)),"")</f>
        <v/>
      </c>
      <c r="F729">
        <f>TRIM(INDEX(INDIRECT("'Выгрузка'!A729:Z729"),Настройки!$B$12)&amp;"")</f>
        <v/>
      </c>
      <c r="G729">
        <f>IF(F729="",0,IF(TRIM(INDEX(INDIRECT("'Выгрузка'!A729:Z729"),Настройки!$B$13)&amp;"")="",1,IFERROR(--SUBSTITUTE(SUBSTITUTE(TRIM(INDEX(INDIRECT("'Выгрузка'!A729:Z729"),Настройки!$B$13)),",","."),".",MID(1/2,2,1)),"")))</f>
        <v/>
      </c>
      <c r="H729">
        <f>IF(F729="",0,IF(COUNTIF(Настройки!$B$17:$B$26,F729)&gt;0,1,IF(COUNTIF(Настройки!$C$17:$C$26,F729)&gt;0,2,IF(COUNTIF(Настройки!$D$17:$D$26,F729)&gt;0,3,0))))</f>
        <v/>
      </c>
      <c r="I729">
        <f>IF(AND(ISNUMBER(A729),ISNUMBER(B729)),A729*1000+B729,"")</f>
        <v/>
      </c>
      <c r="J729">
        <f>IF(I729="","",IF(COUNTIF(I$2:I729,I729)=1,MAX(J$1:J728)+1,""))</f>
        <v/>
      </c>
    </row>
    <row r="730">
      <c r="A730">
        <f>IFERROR(--SUBSTITUTE(SUBSTITUTE(TRIM(INDEX(INDIRECT("'Выгрузка'!A730:Z730"),Настройки!$B$7)),",","."),".",MID(1/2,2,1)),"")</f>
        <v/>
      </c>
      <c r="B730">
        <f>IFERROR(--SUBSTITUTE(SUBSTITUTE(TRIM(INDEX(INDIRECT("'Выгрузка'!A730:Z730"),Настройки!$B$9)),",","."),".",MID(1/2,2,1)),"")</f>
        <v/>
      </c>
      <c r="C730">
        <f>TRIM(INDEX(INDIRECT("'Выгрузка'!A730:Z730"),Настройки!$B$8)&amp;"")</f>
        <v/>
      </c>
      <c r="D730">
        <f>IFERROR(--SUBSTITUTE(SUBSTITUTE(TRIM(INDEX(INDIRECT("'Выгрузка'!A730:Z730"),Настройки!$B$10)),",","."),".",MID(1/2,2,1)),"")</f>
        <v/>
      </c>
      <c r="E730">
        <f>IFERROR(--SUBSTITUTE(SUBSTITUTE(TRIM(INDEX(INDIRECT("'Выгрузка'!A730:Z730"),Настройки!$B$11)),",","."),".",MID(1/2,2,1)),"")</f>
        <v/>
      </c>
      <c r="F730">
        <f>TRIM(INDEX(INDIRECT("'Выгрузка'!A730:Z730"),Настройки!$B$12)&amp;"")</f>
        <v/>
      </c>
      <c r="G730">
        <f>IF(F730="",0,IF(TRIM(INDEX(INDIRECT("'Выгрузка'!A730:Z730"),Настройки!$B$13)&amp;"")="",1,IFERROR(--SUBSTITUTE(SUBSTITUTE(TRIM(INDEX(INDIRECT("'Выгрузка'!A730:Z730"),Настройки!$B$13)),",","."),".",MID(1/2,2,1)),"")))</f>
        <v/>
      </c>
      <c r="H730">
        <f>IF(F730="",0,IF(COUNTIF(Настройки!$B$17:$B$26,F730)&gt;0,1,IF(COUNTIF(Настройки!$C$17:$C$26,F730)&gt;0,2,IF(COUNTIF(Настройки!$D$17:$D$26,F730)&gt;0,3,0))))</f>
        <v/>
      </c>
      <c r="I730">
        <f>IF(AND(ISNUMBER(A730),ISNUMBER(B730)),A730*1000+B730,"")</f>
        <v/>
      </c>
      <c r="J730">
        <f>IF(I730="","",IF(COUNTIF(I$2:I730,I730)=1,MAX(J$1:J729)+1,""))</f>
        <v/>
      </c>
    </row>
    <row r="731">
      <c r="A731">
        <f>IFERROR(--SUBSTITUTE(SUBSTITUTE(TRIM(INDEX(INDIRECT("'Выгрузка'!A731:Z731"),Настройки!$B$7)),",","."),".",MID(1/2,2,1)),"")</f>
        <v/>
      </c>
      <c r="B731">
        <f>IFERROR(--SUBSTITUTE(SUBSTITUTE(TRIM(INDEX(INDIRECT("'Выгрузка'!A731:Z731"),Настройки!$B$9)),",","."),".",MID(1/2,2,1)),"")</f>
        <v/>
      </c>
      <c r="C731">
        <f>TRIM(INDEX(INDIRECT("'Выгрузка'!A731:Z731"),Настройки!$B$8)&amp;"")</f>
        <v/>
      </c>
      <c r="D731">
        <f>IFERROR(--SUBSTITUTE(SUBSTITUTE(TRIM(INDEX(INDIRECT("'Выгрузка'!A731:Z731"),Настройки!$B$10)),",","."),".",MID(1/2,2,1)),"")</f>
        <v/>
      </c>
      <c r="E731">
        <f>IFERROR(--SUBSTITUTE(SUBSTITUTE(TRIM(INDEX(INDIRECT("'Выгрузка'!A731:Z731"),Настройки!$B$11)),",","."),".",MID(1/2,2,1)),"")</f>
        <v/>
      </c>
      <c r="F731">
        <f>TRIM(INDEX(INDIRECT("'Выгрузка'!A731:Z731"),Настройки!$B$12)&amp;"")</f>
        <v/>
      </c>
      <c r="G731">
        <f>IF(F731="",0,IF(TRIM(INDEX(INDIRECT("'Выгрузка'!A731:Z731"),Настройки!$B$13)&amp;"")="",1,IFERROR(--SUBSTITUTE(SUBSTITUTE(TRIM(INDEX(INDIRECT("'Выгрузка'!A731:Z731"),Настройки!$B$13)),",","."),".",MID(1/2,2,1)),"")))</f>
        <v/>
      </c>
      <c r="H731">
        <f>IF(F731="",0,IF(COUNTIF(Настройки!$B$17:$B$26,F731)&gt;0,1,IF(COUNTIF(Настройки!$C$17:$C$26,F731)&gt;0,2,IF(COUNTIF(Настройки!$D$17:$D$26,F731)&gt;0,3,0))))</f>
        <v/>
      </c>
      <c r="I731">
        <f>IF(AND(ISNUMBER(A731),ISNUMBER(B731)),A731*1000+B731,"")</f>
        <v/>
      </c>
      <c r="J731">
        <f>IF(I731="","",IF(COUNTIF(I$2:I731,I731)=1,MAX(J$1:J730)+1,""))</f>
        <v/>
      </c>
    </row>
    <row r="732">
      <c r="A732">
        <f>IFERROR(--SUBSTITUTE(SUBSTITUTE(TRIM(INDEX(INDIRECT("'Выгрузка'!A732:Z732"),Настройки!$B$7)),",","."),".",MID(1/2,2,1)),"")</f>
        <v/>
      </c>
      <c r="B732">
        <f>IFERROR(--SUBSTITUTE(SUBSTITUTE(TRIM(INDEX(INDIRECT("'Выгрузка'!A732:Z732"),Настройки!$B$9)),",","."),".",MID(1/2,2,1)),"")</f>
        <v/>
      </c>
      <c r="C732">
        <f>TRIM(INDEX(INDIRECT("'Выгрузка'!A732:Z732"),Настройки!$B$8)&amp;"")</f>
        <v/>
      </c>
      <c r="D732">
        <f>IFERROR(--SUBSTITUTE(SUBSTITUTE(TRIM(INDEX(INDIRECT("'Выгрузка'!A732:Z732"),Настройки!$B$10)),",","."),".",MID(1/2,2,1)),"")</f>
        <v/>
      </c>
      <c r="E732">
        <f>IFERROR(--SUBSTITUTE(SUBSTITUTE(TRIM(INDEX(INDIRECT("'Выгрузка'!A732:Z732"),Настройки!$B$11)),",","."),".",MID(1/2,2,1)),"")</f>
        <v/>
      </c>
      <c r="F732">
        <f>TRIM(INDEX(INDIRECT("'Выгрузка'!A732:Z732"),Настройки!$B$12)&amp;"")</f>
        <v/>
      </c>
      <c r="G732">
        <f>IF(F732="",0,IF(TRIM(INDEX(INDIRECT("'Выгрузка'!A732:Z732"),Настройки!$B$13)&amp;"")="",1,IFERROR(--SUBSTITUTE(SUBSTITUTE(TRIM(INDEX(INDIRECT("'Выгрузка'!A732:Z732"),Настройки!$B$13)),",","."),".",MID(1/2,2,1)),"")))</f>
        <v/>
      </c>
      <c r="H732">
        <f>IF(F732="",0,IF(COUNTIF(Настройки!$B$17:$B$26,F732)&gt;0,1,IF(COUNTIF(Настройки!$C$17:$C$26,F732)&gt;0,2,IF(COUNTIF(Настройки!$D$17:$D$26,F732)&gt;0,3,0))))</f>
        <v/>
      </c>
      <c r="I732">
        <f>IF(AND(ISNUMBER(A732),ISNUMBER(B732)),A732*1000+B732,"")</f>
        <v/>
      </c>
      <c r="J732">
        <f>IF(I732="","",IF(COUNTIF(I$2:I732,I732)=1,MAX(J$1:J731)+1,""))</f>
        <v/>
      </c>
    </row>
    <row r="733">
      <c r="A733">
        <f>IFERROR(--SUBSTITUTE(SUBSTITUTE(TRIM(INDEX(INDIRECT("'Выгрузка'!A733:Z733"),Настройки!$B$7)),",","."),".",MID(1/2,2,1)),"")</f>
        <v/>
      </c>
      <c r="B733">
        <f>IFERROR(--SUBSTITUTE(SUBSTITUTE(TRIM(INDEX(INDIRECT("'Выгрузка'!A733:Z733"),Настройки!$B$9)),",","."),".",MID(1/2,2,1)),"")</f>
        <v/>
      </c>
      <c r="C733">
        <f>TRIM(INDEX(INDIRECT("'Выгрузка'!A733:Z733"),Настройки!$B$8)&amp;"")</f>
        <v/>
      </c>
      <c r="D733">
        <f>IFERROR(--SUBSTITUTE(SUBSTITUTE(TRIM(INDEX(INDIRECT("'Выгрузка'!A733:Z733"),Настройки!$B$10)),",","."),".",MID(1/2,2,1)),"")</f>
        <v/>
      </c>
      <c r="E733">
        <f>IFERROR(--SUBSTITUTE(SUBSTITUTE(TRIM(INDEX(INDIRECT("'Выгрузка'!A733:Z733"),Настройки!$B$11)),",","."),".",MID(1/2,2,1)),"")</f>
        <v/>
      </c>
      <c r="F733">
        <f>TRIM(INDEX(INDIRECT("'Выгрузка'!A733:Z733"),Настройки!$B$12)&amp;"")</f>
        <v/>
      </c>
      <c r="G733">
        <f>IF(F733="",0,IF(TRIM(INDEX(INDIRECT("'Выгрузка'!A733:Z733"),Настройки!$B$13)&amp;"")="",1,IFERROR(--SUBSTITUTE(SUBSTITUTE(TRIM(INDEX(INDIRECT("'Выгрузка'!A733:Z733"),Настройки!$B$13)),",","."),".",MID(1/2,2,1)),"")))</f>
        <v/>
      </c>
      <c r="H733">
        <f>IF(F733="",0,IF(COUNTIF(Настройки!$B$17:$B$26,F733)&gt;0,1,IF(COUNTIF(Настройки!$C$17:$C$26,F733)&gt;0,2,IF(COUNTIF(Настройки!$D$17:$D$26,F733)&gt;0,3,0))))</f>
        <v/>
      </c>
      <c r="I733">
        <f>IF(AND(ISNUMBER(A733),ISNUMBER(B733)),A733*1000+B733,"")</f>
        <v/>
      </c>
      <c r="J733">
        <f>IF(I733="","",IF(COUNTIF(I$2:I733,I733)=1,MAX(J$1:J732)+1,""))</f>
        <v/>
      </c>
    </row>
    <row r="734">
      <c r="A734">
        <f>IFERROR(--SUBSTITUTE(SUBSTITUTE(TRIM(INDEX(INDIRECT("'Выгрузка'!A734:Z734"),Настройки!$B$7)),",","."),".",MID(1/2,2,1)),"")</f>
        <v/>
      </c>
      <c r="B734">
        <f>IFERROR(--SUBSTITUTE(SUBSTITUTE(TRIM(INDEX(INDIRECT("'Выгрузка'!A734:Z734"),Настройки!$B$9)),",","."),".",MID(1/2,2,1)),"")</f>
        <v/>
      </c>
      <c r="C734">
        <f>TRIM(INDEX(INDIRECT("'Выгрузка'!A734:Z734"),Настройки!$B$8)&amp;"")</f>
        <v/>
      </c>
      <c r="D734">
        <f>IFERROR(--SUBSTITUTE(SUBSTITUTE(TRIM(INDEX(INDIRECT("'Выгрузка'!A734:Z734"),Настройки!$B$10)),",","."),".",MID(1/2,2,1)),"")</f>
        <v/>
      </c>
      <c r="E734">
        <f>IFERROR(--SUBSTITUTE(SUBSTITUTE(TRIM(INDEX(INDIRECT("'Выгрузка'!A734:Z734"),Настройки!$B$11)),",","."),".",MID(1/2,2,1)),"")</f>
        <v/>
      </c>
      <c r="F734">
        <f>TRIM(INDEX(INDIRECT("'Выгрузка'!A734:Z734"),Настройки!$B$12)&amp;"")</f>
        <v/>
      </c>
      <c r="G734">
        <f>IF(F734="",0,IF(TRIM(INDEX(INDIRECT("'Выгрузка'!A734:Z734"),Настройки!$B$13)&amp;"")="",1,IFERROR(--SUBSTITUTE(SUBSTITUTE(TRIM(INDEX(INDIRECT("'Выгрузка'!A734:Z734"),Настройки!$B$13)),",","."),".",MID(1/2,2,1)),"")))</f>
        <v/>
      </c>
      <c r="H734">
        <f>IF(F734="",0,IF(COUNTIF(Настройки!$B$17:$B$26,F734)&gt;0,1,IF(COUNTIF(Настройки!$C$17:$C$26,F734)&gt;0,2,IF(COUNTIF(Настройки!$D$17:$D$26,F734)&gt;0,3,0))))</f>
        <v/>
      </c>
      <c r="I734">
        <f>IF(AND(ISNUMBER(A734),ISNUMBER(B734)),A734*1000+B734,"")</f>
        <v/>
      </c>
      <c r="J734">
        <f>IF(I734="","",IF(COUNTIF(I$2:I734,I734)=1,MAX(J$1:J733)+1,""))</f>
        <v/>
      </c>
    </row>
    <row r="735">
      <c r="A735">
        <f>IFERROR(--SUBSTITUTE(SUBSTITUTE(TRIM(INDEX(INDIRECT("'Выгрузка'!A735:Z735"),Настройки!$B$7)),",","."),".",MID(1/2,2,1)),"")</f>
        <v/>
      </c>
      <c r="B735">
        <f>IFERROR(--SUBSTITUTE(SUBSTITUTE(TRIM(INDEX(INDIRECT("'Выгрузка'!A735:Z735"),Настройки!$B$9)),",","."),".",MID(1/2,2,1)),"")</f>
        <v/>
      </c>
      <c r="C735">
        <f>TRIM(INDEX(INDIRECT("'Выгрузка'!A735:Z735"),Настройки!$B$8)&amp;"")</f>
        <v/>
      </c>
      <c r="D735">
        <f>IFERROR(--SUBSTITUTE(SUBSTITUTE(TRIM(INDEX(INDIRECT("'Выгрузка'!A735:Z735"),Настройки!$B$10)),",","."),".",MID(1/2,2,1)),"")</f>
        <v/>
      </c>
      <c r="E735">
        <f>IFERROR(--SUBSTITUTE(SUBSTITUTE(TRIM(INDEX(INDIRECT("'Выгрузка'!A735:Z735"),Настройки!$B$11)),",","."),".",MID(1/2,2,1)),"")</f>
        <v/>
      </c>
      <c r="F735">
        <f>TRIM(INDEX(INDIRECT("'Выгрузка'!A735:Z735"),Настройки!$B$12)&amp;"")</f>
        <v/>
      </c>
      <c r="G735">
        <f>IF(F735="",0,IF(TRIM(INDEX(INDIRECT("'Выгрузка'!A735:Z735"),Настройки!$B$13)&amp;"")="",1,IFERROR(--SUBSTITUTE(SUBSTITUTE(TRIM(INDEX(INDIRECT("'Выгрузка'!A735:Z735"),Настройки!$B$13)),",","."),".",MID(1/2,2,1)),"")))</f>
        <v/>
      </c>
      <c r="H735">
        <f>IF(F735="",0,IF(COUNTIF(Настройки!$B$17:$B$26,F735)&gt;0,1,IF(COUNTIF(Настройки!$C$17:$C$26,F735)&gt;0,2,IF(COUNTIF(Настройки!$D$17:$D$26,F735)&gt;0,3,0))))</f>
        <v/>
      </c>
      <c r="I735">
        <f>IF(AND(ISNUMBER(A735),ISNUMBER(B735)),A735*1000+B735,"")</f>
        <v/>
      </c>
      <c r="J735">
        <f>IF(I735="","",IF(COUNTIF(I$2:I735,I735)=1,MAX(J$1:J734)+1,""))</f>
        <v/>
      </c>
    </row>
    <row r="736">
      <c r="A736">
        <f>IFERROR(--SUBSTITUTE(SUBSTITUTE(TRIM(INDEX(INDIRECT("'Выгрузка'!A736:Z736"),Настройки!$B$7)),",","."),".",MID(1/2,2,1)),"")</f>
        <v/>
      </c>
      <c r="B736">
        <f>IFERROR(--SUBSTITUTE(SUBSTITUTE(TRIM(INDEX(INDIRECT("'Выгрузка'!A736:Z736"),Настройки!$B$9)),",","."),".",MID(1/2,2,1)),"")</f>
        <v/>
      </c>
      <c r="C736">
        <f>TRIM(INDEX(INDIRECT("'Выгрузка'!A736:Z736"),Настройки!$B$8)&amp;"")</f>
        <v/>
      </c>
      <c r="D736">
        <f>IFERROR(--SUBSTITUTE(SUBSTITUTE(TRIM(INDEX(INDIRECT("'Выгрузка'!A736:Z736"),Настройки!$B$10)),",","."),".",MID(1/2,2,1)),"")</f>
        <v/>
      </c>
      <c r="E736">
        <f>IFERROR(--SUBSTITUTE(SUBSTITUTE(TRIM(INDEX(INDIRECT("'Выгрузка'!A736:Z736"),Настройки!$B$11)),",","."),".",MID(1/2,2,1)),"")</f>
        <v/>
      </c>
      <c r="F736">
        <f>TRIM(INDEX(INDIRECT("'Выгрузка'!A736:Z736"),Настройки!$B$12)&amp;"")</f>
        <v/>
      </c>
      <c r="G736">
        <f>IF(F736="",0,IF(TRIM(INDEX(INDIRECT("'Выгрузка'!A736:Z736"),Настройки!$B$13)&amp;"")="",1,IFERROR(--SUBSTITUTE(SUBSTITUTE(TRIM(INDEX(INDIRECT("'Выгрузка'!A736:Z736"),Настройки!$B$13)),",","."),".",MID(1/2,2,1)),"")))</f>
        <v/>
      </c>
      <c r="H736">
        <f>IF(F736="",0,IF(COUNTIF(Настройки!$B$17:$B$26,F736)&gt;0,1,IF(COUNTIF(Настройки!$C$17:$C$26,F736)&gt;0,2,IF(COUNTIF(Настройки!$D$17:$D$26,F736)&gt;0,3,0))))</f>
        <v/>
      </c>
      <c r="I736">
        <f>IF(AND(ISNUMBER(A736),ISNUMBER(B736)),A736*1000+B736,"")</f>
        <v/>
      </c>
      <c r="J736">
        <f>IF(I736="","",IF(COUNTIF(I$2:I736,I736)=1,MAX(J$1:J735)+1,""))</f>
        <v/>
      </c>
    </row>
    <row r="737">
      <c r="A737">
        <f>IFERROR(--SUBSTITUTE(SUBSTITUTE(TRIM(INDEX(INDIRECT("'Выгрузка'!A737:Z737"),Настройки!$B$7)),",","."),".",MID(1/2,2,1)),"")</f>
        <v/>
      </c>
      <c r="B737">
        <f>IFERROR(--SUBSTITUTE(SUBSTITUTE(TRIM(INDEX(INDIRECT("'Выгрузка'!A737:Z737"),Настройки!$B$9)),",","."),".",MID(1/2,2,1)),"")</f>
        <v/>
      </c>
      <c r="C737">
        <f>TRIM(INDEX(INDIRECT("'Выгрузка'!A737:Z737"),Настройки!$B$8)&amp;"")</f>
        <v/>
      </c>
      <c r="D737">
        <f>IFERROR(--SUBSTITUTE(SUBSTITUTE(TRIM(INDEX(INDIRECT("'Выгрузка'!A737:Z737"),Настройки!$B$10)),",","."),".",MID(1/2,2,1)),"")</f>
        <v/>
      </c>
      <c r="E737">
        <f>IFERROR(--SUBSTITUTE(SUBSTITUTE(TRIM(INDEX(INDIRECT("'Выгрузка'!A737:Z737"),Настройки!$B$11)),",","."),".",MID(1/2,2,1)),"")</f>
        <v/>
      </c>
      <c r="F737">
        <f>TRIM(INDEX(INDIRECT("'Выгрузка'!A737:Z737"),Настройки!$B$12)&amp;"")</f>
        <v/>
      </c>
      <c r="G737">
        <f>IF(F737="",0,IF(TRIM(INDEX(INDIRECT("'Выгрузка'!A737:Z737"),Настройки!$B$13)&amp;"")="",1,IFERROR(--SUBSTITUTE(SUBSTITUTE(TRIM(INDEX(INDIRECT("'Выгрузка'!A737:Z737"),Настройки!$B$13)),",","."),".",MID(1/2,2,1)),"")))</f>
        <v/>
      </c>
      <c r="H737">
        <f>IF(F737="",0,IF(COUNTIF(Настройки!$B$17:$B$26,F737)&gt;0,1,IF(COUNTIF(Настройки!$C$17:$C$26,F737)&gt;0,2,IF(COUNTIF(Настройки!$D$17:$D$26,F737)&gt;0,3,0))))</f>
        <v/>
      </c>
      <c r="I737">
        <f>IF(AND(ISNUMBER(A737),ISNUMBER(B737)),A737*1000+B737,"")</f>
        <v/>
      </c>
      <c r="J737">
        <f>IF(I737="","",IF(COUNTIF(I$2:I737,I737)=1,MAX(J$1:J736)+1,""))</f>
        <v/>
      </c>
    </row>
    <row r="738">
      <c r="A738">
        <f>IFERROR(--SUBSTITUTE(SUBSTITUTE(TRIM(INDEX(INDIRECT("'Выгрузка'!A738:Z738"),Настройки!$B$7)),",","."),".",MID(1/2,2,1)),"")</f>
        <v/>
      </c>
      <c r="B738">
        <f>IFERROR(--SUBSTITUTE(SUBSTITUTE(TRIM(INDEX(INDIRECT("'Выгрузка'!A738:Z738"),Настройки!$B$9)),",","."),".",MID(1/2,2,1)),"")</f>
        <v/>
      </c>
      <c r="C738">
        <f>TRIM(INDEX(INDIRECT("'Выгрузка'!A738:Z738"),Настройки!$B$8)&amp;"")</f>
        <v/>
      </c>
      <c r="D738">
        <f>IFERROR(--SUBSTITUTE(SUBSTITUTE(TRIM(INDEX(INDIRECT("'Выгрузка'!A738:Z738"),Настройки!$B$10)),",","."),".",MID(1/2,2,1)),"")</f>
        <v/>
      </c>
      <c r="E738">
        <f>IFERROR(--SUBSTITUTE(SUBSTITUTE(TRIM(INDEX(INDIRECT("'Выгрузка'!A738:Z738"),Настройки!$B$11)),",","."),".",MID(1/2,2,1)),"")</f>
        <v/>
      </c>
      <c r="F738">
        <f>TRIM(INDEX(INDIRECT("'Выгрузка'!A738:Z738"),Настройки!$B$12)&amp;"")</f>
        <v/>
      </c>
      <c r="G738">
        <f>IF(F738="",0,IF(TRIM(INDEX(INDIRECT("'Выгрузка'!A738:Z738"),Настройки!$B$13)&amp;"")="",1,IFERROR(--SUBSTITUTE(SUBSTITUTE(TRIM(INDEX(INDIRECT("'Выгрузка'!A738:Z738"),Настройки!$B$13)),",","."),".",MID(1/2,2,1)),"")))</f>
        <v/>
      </c>
      <c r="H738">
        <f>IF(F738="",0,IF(COUNTIF(Настройки!$B$17:$B$26,F738)&gt;0,1,IF(COUNTIF(Настройки!$C$17:$C$26,F738)&gt;0,2,IF(COUNTIF(Настройки!$D$17:$D$26,F738)&gt;0,3,0))))</f>
        <v/>
      </c>
      <c r="I738">
        <f>IF(AND(ISNUMBER(A738),ISNUMBER(B738)),A738*1000+B738,"")</f>
        <v/>
      </c>
      <c r="J738">
        <f>IF(I738="","",IF(COUNTIF(I$2:I738,I738)=1,MAX(J$1:J737)+1,""))</f>
        <v/>
      </c>
    </row>
    <row r="739">
      <c r="A739">
        <f>IFERROR(--SUBSTITUTE(SUBSTITUTE(TRIM(INDEX(INDIRECT("'Выгрузка'!A739:Z739"),Настройки!$B$7)),",","."),".",MID(1/2,2,1)),"")</f>
        <v/>
      </c>
      <c r="B739">
        <f>IFERROR(--SUBSTITUTE(SUBSTITUTE(TRIM(INDEX(INDIRECT("'Выгрузка'!A739:Z739"),Настройки!$B$9)),",","."),".",MID(1/2,2,1)),"")</f>
        <v/>
      </c>
      <c r="C739">
        <f>TRIM(INDEX(INDIRECT("'Выгрузка'!A739:Z739"),Настройки!$B$8)&amp;"")</f>
        <v/>
      </c>
      <c r="D739">
        <f>IFERROR(--SUBSTITUTE(SUBSTITUTE(TRIM(INDEX(INDIRECT("'Выгрузка'!A739:Z739"),Настройки!$B$10)),",","."),".",MID(1/2,2,1)),"")</f>
        <v/>
      </c>
      <c r="E739">
        <f>IFERROR(--SUBSTITUTE(SUBSTITUTE(TRIM(INDEX(INDIRECT("'Выгрузка'!A739:Z739"),Настройки!$B$11)),",","."),".",MID(1/2,2,1)),"")</f>
        <v/>
      </c>
      <c r="F739">
        <f>TRIM(INDEX(INDIRECT("'Выгрузка'!A739:Z739"),Настройки!$B$12)&amp;"")</f>
        <v/>
      </c>
      <c r="G739">
        <f>IF(F739="",0,IF(TRIM(INDEX(INDIRECT("'Выгрузка'!A739:Z739"),Настройки!$B$13)&amp;"")="",1,IFERROR(--SUBSTITUTE(SUBSTITUTE(TRIM(INDEX(INDIRECT("'Выгрузка'!A739:Z739"),Настройки!$B$13)),",","."),".",MID(1/2,2,1)),"")))</f>
        <v/>
      </c>
      <c r="H739">
        <f>IF(F739="",0,IF(COUNTIF(Настройки!$B$17:$B$26,F739)&gt;0,1,IF(COUNTIF(Настройки!$C$17:$C$26,F739)&gt;0,2,IF(COUNTIF(Настройки!$D$17:$D$26,F739)&gt;0,3,0))))</f>
        <v/>
      </c>
      <c r="I739">
        <f>IF(AND(ISNUMBER(A739),ISNUMBER(B739)),A739*1000+B739,"")</f>
        <v/>
      </c>
      <c r="J739">
        <f>IF(I739="","",IF(COUNTIF(I$2:I739,I739)=1,MAX(J$1:J738)+1,""))</f>
        <v/>
      </c>
    </row>
    <row r="740">
      <c r="A740">
        <f>IFERROR(--SUBSTITUTE(SUBSTITUTE(TRIM(INDEX(INDIRECT("'Выгрузка'!A740:Z740"),Настройки!$B$7)),",","."),".",MID(1/2,2,1)),"")</f>
        <v/>
      </c>
      <c r="B740">
        <f>IFERROR(--SUBSTITUTE(SUBSTITUTE(TRIM(INDEX(INDIRECT("'Выгрузка'!A740:Z740"),Настройки!$B$9)),",","."),".",MID(1/2,2,1)),"")</f>
        <v/>
      </c>
      <c r="C740">
        <f>TRIM(INDEX(INDIRECT("'Выгрузка'!A740:Z740"),Настройки!$B$8)&amp;"")</f>
        <v/>
      </c>
      <c r="D740">
        <f>IFERROR(--SUBSTITUTE(SUBSTITUTE(TRIM(INDEX(INDIRECT("'Выгрузка'!A740:Z740"),Настройки!$B$10)),",","."),".",MID(1/2,2,1)),"")</f>
        <v/>
      </c>
      <c r="E740">
        <f>IFERROR(--SUBSTITUTE(SUBSTITUTE(TRIM(INDEX(INDIRECT("'Выгрузка'!A740:Z740"),Настройки!$B$11)),",","."),".",MID(1/2,2,1)),"")</f>
        <v/>
      </c>
      <c r="F740">
        <f>TRIM(INDEX(INDIRECT("'Выгрузка'!A740:Z740"),Настройки!$B$12)&amp;"")</f>
        <v/>
      </c>
      <c r="G740">
        <f>IF(F740="",0,IF(TRIM(INDEX(INDIRECT("'Выгрузка'!A740:Z740"),Настройки!$B$13)&amp;"")="",1,IFERROR(--SUBSTITUTE(SUBSTITUTE(TRIM(INDEX(INDIRECT("'Выгрузка'!A740:Z740"),Настройки!$B$13)),",","."),".",MID(1/2,2,1)),"")))</f>
        <v/>
      </c>
      <c r="H740">
        <f>IF(F740="",0,IF(COUNTIF(Настройки!$B$17:$B$26,F740)&gt;0,1,IF(COUNTIF(Настройки!$C$17:$C$26,F740)&gt;0,2,IF(COUNTIF(Настройки!$D$17:$D$26,F740)&gt;0,3,0))))</f>
        <v/>
      </c>
      <c r="I740">
        <f>IF(AND(ISNUMBER(A740),ISNUMBER(B740)),A740*1000+B740,"")</f>
        <v/>
      </c>
      <c r="J740">
        <f>IF(I740="","",IF(COUNTIF(I$2:I740,I740)=1,MAX(J$1:J739)+1,""))</f>
        <v/>
      </c>
    </row>
    <row r="741">
      <c r="A741">
        <f>IFERROR(--SUBSTITUTE(SUBSTITUTE(TRIM(INDEX(INDIRECT("'Выгрузка'!A741:Z741"),Настройки!$B$7)),",","."),".",MID(1/2,2,1)),"")</f>
        <v/>
      </c>
      <c r="B741">
        <f>IFERROR(--SUBSTITUTE(SUBSTITUTE(TRIM(INDEX(INDIRECT("'Выгрузка'!A741:Z741"),Настройки!$B$9)),",","."),".",MID(1/2,2,1)),"")</f>
        <v/>
      </c>
      <c r="C741">
        <f>TRIM(INDEX(INDIRECT("'Выгрузка'!A741:Z741"),Настройки!$B$8)&amp;"")</f>
        <v/>
      </c>
      <c r="D741">
        <f>IFERROR(--SUBSTITUTE(SUBSTITUTE(TRIM(INDEX(INDIRECT("'Выгрузка'!A741:Z741"),Настройки!$B$10)),",","."),".",MID(1/2,2,1)),"")</f>
        <v/>
      </c>
      <c r="E741">
        <f>IFERROR(--SUBSTITUTE(SUBSTITUTE(TRIM(INDEX(INDIRECT("'Выгрузка'!A741:Z741"),Настройки!$B$11)),",","."),".",MID(1/2,2,1)),"")</f>
        <v/>
      </c>
      <c r="F741">
        <f>TRIM(INDEX(INDIRECT("'Выгрузка'!A741:Z741"),Настройки!$B$12)&amp;"")</f>
        <v/>
      </c>
      <c r="G741">
        <f>IF(F741="",0,IF(TRIM(INDEX(INDIRECT("'Выгрузка'!A741:Z741"),Настройки!$B$13)&amp;"")="",1,IFERROR(--SUBSTITUTE(SUBSTITUTE(TRIM(INDEX(INDIRECT("'Выгрузка'!A741:Z741"),Настройки!$B$13)),",","."),".",MID(1/2,2,1)),"")))</f>
        <v/>
      </c>
      <c r="H741">
        <f>IF(F741="",0,IF(COUNTIF(Настройки!$B$17:$B$26,F741)&gt;0,1,IF(COUNTIF(Настройки!$C$17:$C$26,F741)&gt;0,2,IF(COUNTIF(Настройки!$D$17:$D$26,F741)&gt;0,3,0))))</f>
        <v/>
      </c>
      <c r="I741">
        <f>IF(AND(ISNUMBER(A741),ISNUMBER(B741)),A741*1000+B741,"")</f>
        <v/>
      </c>
      <c r="J741">
        <f>IF(I741="","",IF(COUNTIF(I$2:I741,I741)=1,MAX(J$1:J740)+1,""))</f>
        <v/>
      </c>
    </row>
    <row r="742">
      <c r="A742">
        <f>IFERROR(--SUBSTITUTE(SUBSTITUTE(TRIM(INDEX(INDIRECT("'Выгрузка'!A742:Z742"),Настройки!$B$7)),",","."),".",MID(1/2,2,1)),"")</f>
        <v/>
      </c>
      <c r="B742">
        <f>IFERROR(--SUBSTITUTE(SUBSTITUTE(TRIM(INDEX(INDIRECT("'Выгрузка'!A742:Z742"),Настройки!$B$9)),",","."),".",MID(1/2,2,1)),"")</f>
        <v/>
      </c>
      <c r="C742">
        <f>TRIM(INDEX(INDIRECT("'Выгрузка'!A742:Z742"),Настройки!$B$8)&amp;"")</f>
        <v/>
      </c>
      <c r="D742">
        <f>IFERROR(--SUBSTITUTE(SUBSTITUTE(TRIM(INDEX(INDIRECT("'Выгрузка'!A742:Z742"),Настройки!$B$10)),",","."),".",MID(1/2,2,1)),"")</f>
        <v/>
      </c>
      <c r="E742">
        <f>IFERROR(--SUBSTITUTE(SUBSTITUTE(TRIM(INDEX(INDIRECT("'Выгрузка'!A742:Z742"),Настройки!$B$11)),",","."),".",MID(1/2,2,1)),"")</f>
        <v/>
      </c>
      <c r="F742">
        <f>TRIM(INDEX(INDIRECT("'Выгрузка'!A742:Z742"),Настройки!$B$12)&amp;"")</f>
        <v/>
      </c>
      <c r="G742">
        <f>IF(F742="",0,IF(TRIM(INDEX(INDIRECT("'Выгрузка'!A742:Z742"),Настройки!$B$13)&amp;"")="",1,IFERROR(--SUBSTITUTE(SUBSTITUTE(TRIM(INDEX(INDIRECT("'Выгрузка'!A742:Z742"),Настройки!$B$13)),",","."),".",MID(1/2,2,1)),"")))</f>
        <v/>
      </c>
      <c r="H742">
        <f>IF(F742="",0,IF(COUNTIF(Настройки!$B$17:$B$26,F742)&gt;0,1,IF(COUNTIF(Настройки!$C$17:$C$26,F742)&gt;0,2,IF(COUNTIF(Настройки!$D$17:$D$26,F742)&gt;0,3,0))))</f>
        <v/>
      </c>
      <c r="I742">
        <f>IF(AND(ISNUMBER(A742),ISNUMBER(B742)),A742*1000+B742,"")</f>
        <v/>
      </c>
      <c r="J742">
        <f>IF(I742="","",IF(COUNTIF(I$2:I742,I742)=1,MAX(J$1:J741)+1,""))</f>
        <v/>
      </c>
    </row>
    <row r="743">
      <c r="A743">
        <f>IFERROR(--SUBSTITUTE(SUBSTITUTE(TRIM(INDEX(INDIRECT("'Выгрузка'!A743:Z743"),Настройки!$B$7)),",","."),".",MID(1/2,2,1)),"")</f>
        <v/>
      </c>
      <c r="B743">
        <f>IFERROR(--SUBSTITUTE(SUBSTITUTE(TRIM(INDEX(INDIRECT("'Выгрузка'!A743:Z743"),Настройки!$B$9)),",","."),".",MID(1/2,2,1)),"")</f>
        <v/>
      </c>
      <c r="C743">
        <f>TRIM(INDEX(INDIRECT("'Выгрузка'!A743:Z743"),Настройки!$B$8)&amp;"")</f>
        <v/>
      </c>
      <c r="D743">
        <f>IFERROR(--SUBSTITUTE(SUBSTITUTE(TRIM(INDEX(INDIRECT("'Выгрузка'!A743:Z743"),Настройки!$B$10)),",","."),".",MID(1/2,2,1)),"")</f>
        <v/>
      </c>
      <c r="E743">
        <f>IFERROR(--SUBSTITUTE(SUBSTITUTE(TRIM(INDEX(INDIRECT("'Выгрузка'!A743:Z743"),Настройки!$B$11)),",","."),".",MID(1/2,2,1)),"")</f>
        <v/>
      </c>
      <c r="F743">
        <f>TRIM(INDEX(INDIRECT("'Выгрузка'!A743:Z743"),Настройки!$B$12)&amp;"")</f>
        <v/>
      </c>
      <c r="G743">
        <f>IF(F743="",0,IF(TRIM(INDEX(INDIRECT("'Выгрузка'!A743:Z743"),Настройки!$B$13)&amp;"")="",1,IFERROR(--SUBSTITUTE(SUBSTITUTE(TRIM(INDEX(INDIRECT("'Выгрузка'!A743:Z743"),Настройки!$B$13)),",","."),".",MID(1/2,2,1)),"")))</f>
        <v/>
      </c>
      <c r="H743">
        <f>IF(F743="",0,IF(COUNTIF(Настройки!$B$17:$B$26,F743)&gt;0,1,IF(COUNTIF(Настройки!$C$17:$C$26,F743)&gt;0,2,IF(COUNTIF(Настройки!$D$17:$D$26,F743)&gt;0,3,0))))</f>
        <v/>
      </c>
      <c r="I743">
        <f>IF(AND(ISNUMBER(A743),ISNUMBER(B743)),A743*1000+B743,"")</f>
        <v/>
      </c>
      <c r="J743">
        <f>IF(I743="","",IF(COUNTIF(I$2:I743,I743)=1,MAX(J$1:J742)+1,""))</f>
        <v/>
      </c>
    </row>
    <row r="744">
      <c r="A744">
        <f>IFERROR(--SUBSTITUTE(SUBSTITUTE(TRIM(INDEX(INDIRECT("'Выгрузка'!A744:Z744"),Настройки!$B$7)),",","."),".",MID(1/2,2,1)),"")</f>
        <v/>
      </c>
      <c r="B744">
        <f>IFERROR(--SUBSTITUTE(SUBSTITUTE(TRIM(INDEX(INDIRECT("'Выгрузка'!A744:Z744"),Настройки!$B$9)),",","."),".",MID(1/2,2,1)),"")</f>
        <v/>
      </c>
      <c r="C744">
        <f>TRIM(INDEX(INDIRECT("'Выгрузка'!A744:Z744"),Настройки!$B$8)&amp;"")</f>
        <v/>
      </c>
      <c r="D744">
        <f>IFERROR(--SUBSTITUTE(SUBSTITUTE(TRIM(INDEX(INDIRECT("'Выгрузка'!A744:Z744"),Настройки!$B$10)),",","."),".",MID(1/2,2,1)),"")</f>
        <v/>
      </c>
      <c r="E744">
        <f>IFERROR(--SUBSTITUTE(SUBSTITUTE(TRIM(INDEX(INDIRECT("'Выгрузка'!A744:Z744"),Настройки!$B$11)),",","."),".",MID(1/2,2,1)),"")</f>
        <v/>
      </c>
      <c r="F744">
        <f>TRIM(INDEX(INDIRECT("'Выгрузка'!A744:Z744"),Настройки!$B$12)&amp;"")</f>
        <v/>
      </c>
      <c r="G744">
        <f>IF(F744="",0,IF(TRIM(INDEX(INDIRECT("'Выгрузка'!A744:Z744"),Настройки!$B$13)&amp;"")="",1,IFERROR(--SUBSTITUTE(SUBSTITUTE(TRIM(INDEX(INDIRECT("'Выгрузка'!A744:Z744"),Настройки!$B$13)),",","."),".",MID(1/2,2,1)),"")))</f>
        <v/>
      </c>
      <c r="H744">
        <f>IF(F744="",0,IF(COUNTIF(Настройки!$B$17:$B$26,F744)&gt;0,1,IF(COUNTIF(Настройки!$C$17:$C$26,F744)&gt;0,2,IF(COUNTIF(Настройки!$D$17:$D$26,F744)&gt;0,3,0))))</f>
        <v/>
      </c>
      <c r="I744">
        <f>IF(AND(ISNUMBER(A744),ISNUMBER(B744)),A744*1000+B744,"")</f>
        <v/>
      </c>
      <c r="J744">
        <f>IF(I744="","",IF(COUNTIF(I$2:I744,I744)=1,MAX(J$1:J743)+1,""))</f>
        <v/>
      </c>
    </row>
    <row r="745">
      <c r="A745">
        <f>IFERROR(--SUBSTITUTE(SUBSTITUTE(TRIM(INDEX(INDIRECT("'Выгрузка'!A745:Z745"),Настройки!$B$7)),",","."),".",MID(1/2,2,1)),"")</f>
        <v/>
      </c>
      <c r="B745">
        <f>IFERROR(--SUBSTITUTE(SUBSTITUTE(TRIM(INDEX(INDIRECT("'Выгрузка'!A745:Z745"),Настройки!$B$9)),",","."),".",MID(1/2,2,1)),"")</f>
        <v/>
      </c>
      <c r="C745">
        <f>TRIM(INDEX(INDIRECT("'Выгрузка'!A745:Z745"),Настройки!$B$8)&amp;"")</f>
        <v/>
      </c>
      <c r="D745">
        <f>IFERROR(--SUBSTITUTE(SUBSTITUTE(TRIM(INDEX(INDIRECT("'Выгрузка'!A745:Z745"),Настройки!$B$10)),",","."),".",MID(1/2,2,1)),"")</f>
        <v/>
      </c>
      <c r="E745">
        <f>IFERROR(--SUBSTITUTE(SUBSTITUTE(TRIM(INDEX(INDIRECT("'Выгрузка'!A745:Z745"),Настройки!$B$11)),",","."),".",MID(1/2,2,1)),"")</f>
        <v/>
      </c>
      <c r="F745">
        <f>TRIM(INDEX(INDIRECT("'Выгрузка'!A745:Z745"),Настройки!$B$12)&amp;"")</f>
        <v/>
      </c>
      <c r="G745">
        <f>IF(F745="",0,IF(TRIM(INDEX(INDIRECT("'Выгрузка'!A745:Z745"),Настройки!$B$13)&amp;"")="",1,IFERROR(--SUBSTITUTE(SUBSTITUTE(TRIM(INDEX(INDIRECT("'Выгрузка'!A745:Z745"),Настройки!$B$13)),",","."),".",MID(1/2,2,1)),"")))</f>
        <v/>
      </c>
      <c r="H745">
        <f>IF(F745="",0,IF(COUNTIF(Настройки!$B$17:$B$26,F745)&gt;0,1,IF(COUNTIF(Настройки!$C$17:$C$26,F745)&gt;0,2,IF(COUNTIF(Настройки!$D$17:$D$26,F745)&gt;0,3,0))))</f>
        <v/>
      </c>
      <c r="I745">
        <f>IF(AND(ISNUMBER(A745),ISNUMBER(B745)),A745*1000+B745,"")</f>
        <v/>
      </c>
      <c r="J745">
        <f>IF(I745="","",IF(COUNTIF(I$2:I745,I745)=1,MAX(J$1:J744)+1,""))</f>
        <v/>
      </c>
    </row>
    <row r="746">
      <c r="A746">
        <f>IFERROR(--SUBSTITUTE(SUBSTITUTE(TRIM(INDEX(INDIRECT("'Выгрузка'!A746:Z746"),Настройки!$B$7)),",","."),".",MID(1/2,2,1)),"")</f>
        <v/>
      </c>
      <c r="B746">
        <f>IFERROR(--SUBSTITUTE(SUBSTITUTE(TRIM(INDEX(INDIRECT("'Выгрузка'!A746:Z746"),Настройки!$B$9)),",","."),".",MID(1/2,2,1)),"")</f>
        <v/>
      </c>
      <c r="C746">
        <f>TRIM(INDEX(INDIRECT("'Выгрузка'!A746:Z746"),Настройки!$B$8)&amp;"")</f>
        <v/>
      </c>
      <c r="D746">
        <f>IFERROR(--SUBSTITUTE(SUBSTITUTE(TRIM(INDEX(INDIRECT("'Выгрузка'!A746:Z746"),Настройки!$B$10)),",","."),".",MID(1/2,2,1)),"")</f>
        <v/>
      </c>
      <c r="E746">
        <f>IFERROR(--SUBSTITUTE(SUBSTITUTE(TRIM(INDEX(INDIRECT("'Выгрузка'!A746:Z746"),Настройки!$B$11)),",","."),".",MID(1/2,2,1)),"")</f>
        <v/>
      </c>
      <c r="F746">
        <f>TRIM(INDEX(INDIRECT("'Выгрузка'!A746:Z746"),Настройки!$B$12)&amp;"")</f>
        <v/>
      </c>
      <c r="G746">
        <f>IF(F746="",0,IF(TRIM(INDEX(INDIRECT("'Выгрузка'!A746:Z746"),Настройки!$B$13)&amp;"")="",1,IFERROR(--SUBSTITUTE(SUBSTITUTE(TRIM(INDEX(INDIRECT("'Выгрузка'!A746:Z746"),Настройки!$B$13)),",","."),".",MID(1/2,2,1)),"")))</f>
        <v/>
      </c>
      <c r="H746">
        <f>IF(F746="",0,IF(COUNTIF(Настройки!$B$17:$B$26,F746)&gt;0,1,IF(COUNTIF(Настройки!$C$17:$C$26,F746)&gt;0,2,IF(COUNTIF(Настройки!$D$17:$D$26,F746)&gt;0,3,0))))</f>
        <v/>
      </c>
      <c r="I746">
        <f>IF(AND(ISNUMBER(A746),ISNUMBER(B746)),A746*1000+B746,"")</f>
        <v/>
      </c>
      <c r="J746">
        <f>IF(I746="","",IF(COUNTIF(I$2:I746,I746)=1,MAX(J$1:J745)+1,""))</f>
        <v/>
      </c>
    </row>
    <row r="747">
      <c r="A747">
        <f>IFERROR(--SUBSTITUTE(SUBSTITUTE(TRIM(INDEX(INDIRECT("'Выгрузка'!A747:Z747"),Настройки!$B$7)),",","."),".",MID(1/2,2,1)),"")</f>
        <v/>
      </c>
      <c r="B747">
        <f>IFERROR(--SUBSTITUTE(SUBSTITUTE(TRIM(INDEX(INDIRECT("'Выгрузка'!A747:Z747"),Настройки!$B$9)),",","."),".",MID(1/2,2,1)),"")</f>
        <v/>
      </c>
      <c r="C747">
        <f>TRIM(INDEX(INDIRECT("'Выгрузка'!A747:Z747"),Настройки!$B$8)&amp;"")</f>
        <v/>
      </c>
      <c r="D747">
        <f>IFERROR(--SUBSTITUTE(SUBSTITUTE(TRIM(INDEX(INDIRECT("'Выгрузка'!A747:Z747"),Настройки!$B$10)),",","."),".",MID(1/2,2,1)),"")</f>
        <v/>
      </c>
      <c r="E747">
        <f>IFERROR(--SUBSTITUTE(SUBSTITUTE(TRIM(INDEX(INDIRECT("'Выгрузка'!A747:Z747"),Настройки!$B$11)),",","."),".",MID(1/2,2,1)),"")</f>
        <v/>
      </c>
      <c r="F747">
        <f>TRIM(INDEX(INDIRECT("'Выгрузка'!A747:Z747"),Настройки!$B$12)&amp;"")</f>
        <v/>
      </c>
      <c r="G747">
        <f>IF(F747="",0,IF(TRIM(INDEX(INDIRECT("'Выгрузка'!A747:Z747"),Настройки!$B$13)&amp;"")="",1,IFERROR(--SUBSTITUTE(SUBSTITUTE(TRIM(INDEX(INDIRECT("'Выгрузка'!A747:Z747"),Настройки!$B$13)),",","."),".",MID(1/2,2,1)),"")))</f>
        <v/>
      </c>
      <c r="H747">
        <f>IF(F747="",0,IF(COUNTIF(Настройки!$B$17:$B$26,F747)&gt;0,1,IF(COUNTIF(Настройки!$C$17:$C$26,F747)&gt;0,2,IF(COUNTIF(Настройки!$D$17:$D$26,F747)&gt;0,3,0))))</f>
        <v/>
      </c>
      <c r="I747">
        <f>IF(AND(ISNUMBER(A747),ISNUMBER(B747)),A747*1000+B747,"")</f>
        <v/>
      </c>
      <c r="J747">
        <f>IF(I747="","",IF(COUNTIF(I$2:I747,I747)=1,MAX(J$1:J746)+1,""))</f>
        <v/>
      </c>
    </row>
    <row r="748">
      <c r="A748">
        <f>IFERROR(--SUBSTITUTE(SUBSTITUTE(TRIM(INDEX(INDIRECT("'Выгрузка'!A748:Z748"),Настройки!$B$7)),",","."),".",MID(1/2,2,1)),"")</f>
        <v/>
      </c>
      <c r="B748">
        <f>IFERROR(--SUBSTITUTE(SUBSTITUTE(TRIM(INDEX(INDIRECT("'Выгрузка'!A748:Z748"),Настройки!$B$9)),",","."),".",MID(1/2,2,1)),"")</f>
        <v/>
      </c>
      <c r="C748">
        <f>TRIM(INDEX(INDIRECT("'Выгрузка'!A748:Z748"),Настройки!$B$8)&amp;"")</f>
        <v/>
      </c>
      <c r="D748">
        <f>IFERROR(--SUBSTITUTE(SUBSTITUTE(TRIM(INDEX(INDIRECT("'Выгрузка'!A748:Z748"),Настройки!$B$10)),",","."),".",MID(1/2,2,1)),"")</f>
        <v/>
      </c>
      <c r="E748">
        <f>IFERROR(--SUBSTITUTE(SUBSTITUTE(TRIM(INDEX(INDIRECT("'Выгрузка'!A748:Z748"),Настройки!$B$11)),",","."),".",MID(1/2,2,1)),"")</f>
        <v/>
      </c>
      <c r="F748">
        <f>TRIM(INDEX(INDIRECT("'Выгрузка'!A748:Z748"),Настройки!$B$12)&amp;"")</f>
        <v/>
      </c>
      <c r="G748">
        <f>IF(F748="",0,IF(TRIM(INDEX(INDIRECT("'Выгрузка'!A748:Z748"),Настройки!$B$13)&amp;"")="",1,IFERROR(--SUBSTITUTE(SUBSTITUTE(TRIM(INDEX(INDIRECT("'Выгрузка'!A748:Z748"),Настройки!$B$13)),",","."),".",MID(1/2,2,1)),"")))</f>
        <v/>
      </c>
      <c r="H748">
        <f>IF(F748="",0,IF(COUNTIF(Настройки!$B$17:$B$26,F748)&gt;0,1,IF(COUNTIF(Настройки!$C$17:$C$26,F748)&gt;0,2,IF(COUNTIF(Настройки!$D$17:$D$26,F748)&gt;0,3,0))))</f>
        <v/>
      </c>
      <c r="I748">
        <f>IF(AND(ISNUMBER(A748),ISNUMBER(B748)),A748*1000+B748,"")</f>
        <v/>
      </c>
      <c r="J748">
        <f>IF(I748="","",IF(COUNTIF(I$2:I748,I748)=1,MAX(J$1:J747)+1,""))</f>
        <v/>
      </c>
    </row>
    <row r="749">
      <c r="A749">
        <f>IFERROR(--SUBSTITUTE(SUBSTITUTE(TRIM(INDEX(INDIRECT("'Выгрузка'!A749:Z749"),Настройки!$B$7)),",","."),".",MID(1/2,2,1)),"")</f>
        <v/>
      </c>
      <c r="B749">
        <f>IFERROR(--SUBSTITUTE(SUBSTITUTE(TRIM(INDEX(INDIRECT("'Выгрузка'!A749:Z749"),Настройки!$B$9)),",","."),".",MID(1/2,2,1)),"")</f>
        <v/>
      </c>
      <c r="C749">
        <f>TRIM(INDEX(INDIRECT("'Выгрузка'!A749:Z749"),Настройки!$B$8)&amp;"")</f>
        <v/>
      </c>
      <c r="D749">
        <f>IFERROR(--SUBSTITUTE(SUBSTITUTE(TRIM(INDEX(INDIRECT("'Выгрузка'!A749:Z749"),Настройки!$B$10)),",","."),".",MID(1/2,2,1)),"")</f>
        <v/>
      </c>
      <c r="E749">
        <f>IFERROR(--SUBSTITUTE(SUBSTITUTE(TRIM(INDEX(INDIRECT("'Выгрузка'!A749:Z749"),Настройки!$B$11)),",","."),".",MID(1/2,2,1)),"")</f>
        <v/>
      </c>
      <c r="F749">
        <f>TRIM(INDEX(INDIRECT("'Выгрузка'!A749:Z749"),Настройки!$B$12)&amp;"")</f>
        <v/>
      </c>
      <c r="G749">
        <f>IF(F749="",0,IF(TRIM(INDEX(INDIRECT("'Выгрузка'!A749:Z749"),Настройки!$B$13)&amp;"")="",1,IFERROR(--SUBSTITUTE(SUBSTITUTE(TRIM(INDEX(INDIRECT("'Выгрузка'!A749:Z749"),Настройки!$B$13)),",","."),".",MID(1/2,2,1)),"")))</f>
        <v/>
      </c>
      <c r="H749">
        <f>IF(F749="",0,IF(COUNTIF(Настройки!$B$17:$B$26,F749)&gt;0,1,IF(COUNTIF(Настройки!$C$17:$C$26,F749)&gt;0,2,IF(COUNTIF(Настройки!$D$17:$D$26,F749)&gt;0,3,0))))</f>
        <v/>
      </c>
      <c r="I749">
        <f>IF(AND(ISNUMBER(A749),ISNUMBER(B749)),A749*1000+B749,"")</f>
        <v/>
      </c>
      <c r="J749">
        <f>IF(I749="","",IF(COUNTIF(I$2:I749,I749)=1,MAX(J$1:J748)+1,""))</f>
        <v/>
      </c>
    </row>
    <row r="750">
      <c r="A750">
        <f>IFERROR(--SUBSTITUTE(SUBSTITUTE(TRIM(INDEX(INDIRECT("'Выгрузка'!A750:Z750"),Настройки!$B$7)),",","."),".",MID(1/2,2,1)),"")</f>
        <v/>
      </c>
      <c r="B750">
        <f>IFERROR(--SUBSTITUTE(SUBSTITUTE(TRIM(INDEX(INDIRECT("'Выгрузка'!A750:Z750"),Настройки!$B$9)),",","."),".",MID(1/2,2,1)),"")</f>
        <v/>
      </c>
      <c r="C750">
        <f>TRIM(INDEX(INDIRECT("'Выгрузка'!A750:Z750"),Настройки!$B$8)&amp;"")</f>
        <v/>
      </c>
      <c r="D750">
        <f>IFERROR(--SUBSTITUTE(SUBSTITUTE(TRIM(INDEX(INDIRECT("'Выгрузка'!A750:Z750"),Настройки!$B$10)),",","."),".",MID(1/2,2,1)),"")</f>
        <v/>
      </c>
      <c r="E750">
        <f>IFERROR(--SUBSTITUTE(SUBSTITUTE(TRIM(INDEX(INDIRECT("'Выгрузка'!A750:Z750"),Настройки!$B$11)),",","."),".",MID(1/2,2,1)),"")</f>
        <v/>
      </c>
      <c r="F750">
        <f>TRIM(INDEX(INDIRECT("'Выгрузка'!A750:Z750"),Настройки!$B$12)&amp;"")</f>
        <v/>
      </c>
      <c r="G750">
        <f>IF(F750="",0,IF(TRIM(INDEX(INDIRECT("'Выгрузка'!A750:Z750"),Настройки!$B$13)&amp;"")="",1,IFERROR(--SUBSTITUTE(SUBSTITUTE(TRIM(INDEX(INDIRECT("'Выгрузка'!A750:Z750"),Настройки!$B$13)),",","."),".",MID(1/2,2,1)),"")))</f>
        <v/>
      </c>
      <c r="H750">
        <f>IF(F750="",0,IF(COUNTIF(Настройки!$B$17:$B$26,F750)&gt;0,1,IF(COUNTIF(Настройки!$C$17:$C$26,F750)&gt;0,2,IF(COUNTIF(Настройки!$D$17:$D$26,F750)&gt;0,3,0))))</f>
        <v/>
      </c>
      <c r="I750">
        <f>IF(AND(ISNUMBER(A750),ISNUMBER(B750)),A750*1000+B750,"")</f>
        <v/>
      </c>
      <c r="J750">
        <f>IF(I750="","",IF(COUNTIF(I$2:I750,I750)=1,MAX(J$1:J749)+1,""))</f>
        <v/>
      </c>
    </row>
    <row r="751">
      <c r="A751">
        <f>IFERROR(--SUBSTITUTE(SUBSTITUTE(TRIM(INDEX(INDIRECT("'Выгрузка'!A751:Z751"),Настройки!$B$7)),",","."),".",MID(1/2,2,1)),"")</f>
        <v/>
      </c>
      <c r="B751">
        <f>IFERROR(--SUBSTITUTE(SUBSTITUTE(TRIM(INDEX(INDIRECT("'Выгрузка'!A751:Z751"),Настройки!$B$9)),",","."),".",MID(1/2,2,1)),"")</f>
        <v/>
      </c>
      <c r="C751">
        <f>TRIM(INDEX(INDIRECT("'Выгрузка'!A751:Z751"),Настройки!$B$8)&amp;"")</f>
        <v/>
      </c>
      <c r="D751">
        <f>IFERROR(--SUBSTITUTE(SUBSTITUTE(TRIM(INDEX(INDIRECT("'Выгрузка'!A751:Z751"),Настройки!$B$10)),",","."),".",MID(1/2,2,1)),"")</f>
        <v/>
      </c>
      <c r="E751">
        <f>IFERROR(--SUBSTITUTE(SUBSTITUTE(TRIM(INDEX(INDIRECT("'Выгрузка'!A751:Z751"),Настройки!$B$11)),",","."),".",MID(1/2,2,1)),"")</f>
        <v/>
      </c>
      <c r="F751">
        <f>TRIM(INDEX(INDIRECT("'Выгрузка'!A751:Z751"),Настройки!$B$12)&amp;"")</f>
        <v/>
      </c>
      <c r="G751">
        <f>IF(F751="",0,IF(TRIM(INDEX(INDIRECT("'Выгрузка'!A751:Z751"),Настройки!$B$13)&amp;"")="",1,IFERROR(--SUBSTITUTE(SUBSTITUTE(TRIM(INDEX(INDIRECT("'Выгрузка'!A751:Z751"),Настройки!$B$13)),",","."),".",MID(1/2,2,1)),"")))</f>
        <v/>
      </c>
      <c r="H751">
        <f>IF(F751="",0,IF(COUNTIF(Настройки!$B$17:$B$26,F751)&gt;0,1,IF(COUNTIF(Настройки!$C$17:$C$26,F751)&gt;0,2,IF(COUNTIF(Настройки!$D$17:$D$26,F751)&gt;0,3,0))))</f>
        <v/>
      </c>
      <c r="I751">
        <f>IF(AND(ISNUMBER(A751),ISNUMBER(B751)),A751*1000+B751,"")</f>
        <v/>
      </c>
      <c r="J751">
        <f>IF(I751="","",IF(COUNTIF(I$2:I751,I751)=1,MAX(J$1:J750)+1,""))</f>
        <v/>
      </c>
    </row>
    <row r="752">
      <c r="A752">
        <f>IFERROR(--SUBSTITUTE(SUBSTITUTE(TRIM(INDEX(INDIRECT("'Выгрузка'!A752:Z752"),Настройки!$B$7)),",","."),".",MID(1/2,2,1)),"")</f>
        <v/>
      </c>
      <c r="B752">
        <f>IFERROR(--SUBSTITUTE(SUBSTITUTE(TRIM(INDEX(INDIRECT("'Выгрузка'!A752:Z752"),Настройки!$B$9)),",","."),".",MID(1/2,2,1)),"")</f>
        <v/>
      </c>
      <c r="C752">
        <f>TRIM(INDEX(INDIRECT("'Выгрузка'!A752:Z752"),Настройки!$B$8)&amp;"")</f>
        <v/>
      </c>
      <c r="D752">
        <f>IFERROR(--SUBSTITUTE(SUBSTITUTE(TRIM(INDEX(INDIRECT("'Выгрузка'!A752:Z752"),Настройки!$B$10)),",","."),".",MID(1/2,2,1)),"")</f>
        <v/>
      </c>
      <c r="E752">
        <f>IFERROR(--SUBSTITUTE(SUBSTITUTE(TRIM(INDEX(INDIRECT("'Выгрузка'!A752:Z752"),Настройки!$B$11)),",","."),".",MID(1/2,2,1)),"")</f>
        <v/>
      </c>
      <c r="F752">
        <f>TRIM(INDEX(INDIRECT("'Выгрузка'!A752:Z752"),Настройки!$B$12)&amp;"")</f>
        <v/>
      </c>
      <c r="G752">
        <f>IF(F752="",0,IF(TRIM(INDEX(INDIRECT("'Выгрузка'!A752:Z752"),Настройки!$B$13)&amp;"")="",1,IFERROR(--SUBSTITUTE(SUBSTITUTE(TRIM(INDEX(INDIRECT("'Выгрузка'!A752:Z752"),Настройки!$B$13)),",","."),".",MID(1/2,2,1)),"")))</f>
        <v/>
      </c>
      <c r="H752">
        <f>IF(F752="",0,IF(COUNTIF(Настройки!$B$17:$B$26,F752)&gt;0,1,IF(COUNTIF(Настройки!$C$17:$C$26,F752)&gt;0,2,IF(COUNTIF(Настройки!$D$17:$D$26,F752)&gt;0,3,0))))</f>
        <v/>
      </c>
      <c r="I752">
        <f>IF(AND(ISNUMBER(A752),ISNUMBER(B752)),A752*1000+B752,"")</f>
        <v/>
      </c>
      <c r="J752">
        <f>IF(I752="","",IF(COUNTIF(I$2:I752,I752)=1,MAX(J$1:J751)+1,""))</f>
        <v/>
      </c>
    </row>
    <row r="753">
      <c r="A753">
        <f>IFERROR(--SUBSTITUTE(SUBSTITUTE(TRIM(INDEX(INDIRECT("'Выгрузка'!A753:Z753"),Настройки!$B$7)),",","."),".",MID(1/2,2,1)),"")</f>
        <v/>
      </c>
      <c r="B753">
        <f>IFERROR(--SUBSTITUTE(SUBSTITUTE(TRIM(INDEX(INDIRECT("'Выгрузка'!A753:Z753"),Настройки!$B$9)),",","."),".",MID(1/2,2,1)),"")</f>
        <v/>
      </c>
      <c r="C753">
        <f>TRIM(INDEX(INDIRECT("'Выгрузка'!A753:Z753"),Настройки!$B$8)&amp;"")</f>
        <v/>
      </c>
      <c r="D753">
        <f>IFERROR(--SUBSTITUTE(SUBSTITUTE(TRIM(INDEX(INDIRECT("'Выгрузка'!A753:Z753"),Настройки!$B$10)),",","."),".",MID(1/2,2,1)),"")</f>
        <v/>
      </c>
      <c r="E753">
        <f>IFERROR(--SUBSTITUTE(SUBSTITUTE(TRIM(INDEX(INDIRECT("'Выгрузка'!A753:Z753"),Настройки!$B$11)),",","."),".",MID(1/2,2,1)),"")</f>
        <v/>
      </c>
      <c r="F753">
        <f>TRIM(INDEX(INDIRECT("'Выгрузка'!A753:Z753"),Настройки!$B$12)&amp;"")</f>
        <v/>
      </c>
      <c r="G753">
        <f>IF(F753="",0,IF(TRIM(INDEX(INDIRECT("'Выгрузка'!A753:Z753"),Настройки!$B$13)&amp;"")="",1,IFERROR(--SUBSTITUTE(SUBSTITUTE(TRIM(INDEX(INDIRECT("'Выгрузка'!A753:Z753"),Настройки!$B$13)),",","."),".",MID(1/2,2,1)),"")))</f>
        <v/>
      </c>
      <c r="H753">
        <f>IF(F753="",0,IF(COUNTIF(Настройки!$B$17:$B$26,F753)&gt;0,1,IF(COUNTIF(Настройки!$C$17:$C$26,F753)&gt;0,2,IF(COUNTIF(Настройки!$D$17:$D$26,F753)&gt;0,3,0))))</f>
        <v/>
      </c>
      <c r="I753">
        <f>IF(AND(ISNUMBER(A753),ISNUMBER(B753)),A753*1000+B753,"")</f>
        <v/>
      </c>
      <c r="J753">
        <f>IF(I753="","",IF(COUNTIF(I$2:I753,I753)=1,MAX(J$1:J752)+1,""))</f>
        <v/>
      </c>
    </row>
    <row r="754">
      <c r="A754">
        <f>IFERROR(--SUBSTITUTE(SUBSTITUTE(TRIM(INDEX(INDIRECT("'Выгрузка'!A754:Z754"),Настройки!$B$7)),",","."),".",MID(1/2,2,1)),"")</f>
        <v/>
      </c>
      <c r="B754">
        <f>IFERROR(--SUBSTITUTE(SUBSTITUTE(TRIM(INDEX(INDIRECT("'Выгрузка'!A754:Z754"),Настройки!$B$9)),",","."),".",MID(1/2,2,1)),"")</f>
        <v/>
      </c>
      <c r="C754">
        <f>TRIM(INDEX(INDIRECT("'Выгрузка'!A754:Z754"),Настройки!$B$8)&amp;"")</f>
        <v/>
      </c>
      <c r="D754">
        <f>IFERROR(--SUBSTITUTE(SUBSTITUTE(TRIM(INDEX(INDIRECT("'Выгрузка'!A754:Z754"),Настройки!$B$10)),",","."),".",MID(1/2,2,1)),"")</f>
        <v/>
      </c>
      <c r="E754">
        <f>IFERROR(--SUBSTITUTE(SUBSTITUTE(TRIM(INDEX(INDIRECT("'Выгрузка'!A754:Z754"),Настройки!$B$11)),",","."),".",MID(1/2,2,1)),"")</f>
        <v/>
      </c>
      <c r="F754">
        <f>TRIM(INDEX(INDIRECT("'Выгрузка'!A754:Z754"),Настройки!$B$12)&amp;"")</f>
        <v/>
      </c>
      <c r="G754">
        <f>IF(F754="",0,IF(TRIM(INDEX(INDIRECT("'Выгрузка'!A754:Z754"),Настройки!$B$13)&amp;"")="",1,IFERROR(--SUBSTITUTE(SUBSTITUTE(TRIM(INDEX(INDIRECT("'Выгрузка'!A754:Z754"),Настройки!$B$13)),",","."),".",MID(1/2,2,1)),"")))</f>
        <v/>
      </c>
      <c r="H754">
        <f>IF(F754="",0,IF(COUNTIF(Настройки!$B$17:$B$26,F754)&gt;0,1,IF(COUNTIF(Настройки!$C$17:$C$26,F754)&gt;0,2,IF(COUNTIF(Настройки!$D$17:$D$26,F754)&gt;0,3,0))))</f>
        <v/>
      </c>
      <c r="I754">
        <f>IF(AND(ISNUMBER(A754),ISNUMBER(B754)),A754*1000+B754,"")</f>
        <v/>
      </c>
      <c r="J754">
        <f>IF(I754="","",IF(COUNTIF(I$2:I754,I754)=1,MAX(J$1:J753)+1,""))</f>
        <v/>
      </c>
    </row>
    <row r="755">
      <c r="A755">
        <f>IFERROR(--SUBSTITUTE(SUBSTITUTE(TRIM(INDEX(INDIRECT("'Выгрузка'!A755:Z755"),Настройки!$B$7)),",","."),".",MID(1/2,2,1)),"")</f>
        <v/>
      </c>
      <c r="B755">
        <f>IFERROR(--SUBSTITUTE(SUBSTITUTE(TRIM(INDEX(INDIRECT("'Выгрузка'!A755:Z755"),Настройки!$B$9)),",","."),".",MID(1/2,2,1)),"")</f>
        <v/>
      </c>
      <c r="C755">
        <f>TRIM(INDEX(INDIRECT("'Выгрузка'!A755:Z755"),Настройки!$B$8)&amp;"")</f>
        <v/>
      </c>
      <c r="D755">
        <f>IFERROR(--SUBSTITUTE(SUBSTITUTE(TRIM(INDEX(INDIRECT("'Выгрузка'!A755:Z755"),Настройки!$B$10)),",","."),".",MID(1/2,2,1)),"")</f>
        <v/>
      </c>
      <c r="E755">
        <f>IFERROR(--SUBSTITUTE(SUBSTITUTE(TRIM(INDEX(INDIRECT("'Выгрузка'!A755:Z755"),Настройки!$B$11)),",","."),".",MID(1/2,2,1)),"")</f>
        <v/>
      </c>
      <c r="F755">
        <f>TRIM(INDEX(INDIRECT("'Выгрузка'!A755:Z755"),Настройки!$B$12)&amp;"")</f>
        <v/>
      </c>
      <c r="G755">
        <f>IF(F755="",0,IF(TRIM(INDEX(INDIRECT("'Выгрузка'!A755:Z755"),Настройки!$B$13)&amp;"")="",1,IFERROR(--SUBSTITUTE(SUBSTITUTE(TRIM(INDEX(INDIRECT("'Выгрузка'!A755:Z755"),Настройки!$B$13)),",","."),".",MID(1/2,2,1)),"")))</f>
        <v/>
      </c>
      <c r="H755">
        <f>IF(F755="",0,IF(COUNTIF(Настройки!$B$17:$B$26,F755)&gt;0,1,IF(COUNTIF(Настройки!$C$17:$C$26,F755)&gt;0,2,IF(COUNTIF(Настройки!$D$17:$D$26,F755)&gt;0,3,0))))</f>
        <v/>
      </c>
      <c r="I755">
        <f>IF(AND(ISNUMBER(A755),ISNUMBER(B755)),A755*1000+B755,"")</f>
        <v/>
      </c>
      <c r="J755">
        <f>IF(I755="","",IF(COUNTIF(I$2:I755,I755)=1,MAX(J$1:J754)+1,""))</f>
        <v/>
      </c>
    </row>
    <row r="756">
      <c r="A756">
        <f>IFERROR(--SUBSTITUTE(SUBSTITUTE(TRIM(INDEX(INDIRECT("'Выгрузка'!A756:Z756"),Настройки!$B$7)),",","."),".",MID(1/2,2,1)),"")</f>
        <v/>
      </c>
      <c r="B756">
        <f>IFERROR(--SUBSTITUTE(SUBSTITUTE(TRIM(INDEX(INDIRECT("'Выгрузка'!A756:Z756"),Настройки!$B$9)),",","."),".",MID(1/2,2,1)),"")</f>
        <v/>
      </c>
      <c r="C756">
        <f>TRIM(INDEX(INDIRECT("'Выгрузка'!A756:Z756"),Настройки!$B$8)&amp;"")</f>
        <v/>
      </c>
      <c r="D756">
        <f>IFERROR(--SUBSTITUTE(SUBSTITUTE(TRIM(INDEX(INDIRECT("'Выгрузка'!A756:Z756"),Настройки!$B$10)),",","."),".",MID(1/2,2,1)),"")</f>
        <v/>
      </c>
      <c r="E756">
        <f>IFERROR(--SUBSTITUTE(SUBSTITUTE(TRIM(INDEX(INDIRECT("'Выгрузка'!A756:Z756"),Настройки!$B$11)),",","."),".",MID(1/2,2,1)),"")</f>
        <v/>
      </c>
      <c r="F756">
        <f>TRIM(INDEX(INDIRECT("'Выгрузка'!A756:Z756"),Настройки!$B$12)&amp;"")</f>
        <v/>
      </c>
      <c r="G756">
        <f>IF(F756="",0,IF(TRIM(INDEX(INDIRECT("'Выгрузка'!A756:Z756"),Настройки!$B$13)&amp;"")="",1,IFERROR(--SUBSTITUTE(SUBSTITUTE(TRIM(INDEX(INDIRECT("'Выгрузка'!A756:Z756"),Настройки!$B$13)),",","."),".",MID(1/2,2,1)),"")))</f>
        <v/>
      </c>
      <c r="H756">
        <f>IF(F756="",0,IF(COUNTIF(Настройки!$B$17:$B$26,F756)&gt;0,1,IF(COUNTIF(Настройки!$C$17:$C$26,F756)&gt;0,2,IF(COUNTIF(Настройки!$D$17:$D$26,F756)&gt;0,3,0))))</f>
        <v/>
      </c>
      <c r="I756">
        <f>IF(AND(ISNUMBER(A756),ISNUMBER(B756)),A756*1000+B756,"")</f>
        <v/>
      </c>
      <c r="J756">
        <f>IF(I756="","",IF(COUNTIF(I$2:I756,I756)=1,MAX(J$1:J755)+1,""))</f>
        <v/>
      </c>
    </row>
    <row r="757">
      <c r="A757">
        <f>IFERROR(--SUBSTITUTE(SUBSTITUTE(TRIM(INDEX(INDIRECT("'Выгрузка'!A757:Z757"),Настройки!$B$7)),",","."),".",MID(1/2,2,1)),"")</f>
        <v/>
      </c>
      <c r="B757">
        <f>IFERROR(--SUBSTITUTE(SUBSTITUTE(TRIM(INDEX(INDIRECT("'Выгрузка'!A757:Z757"),Настройки!$B$9)),",","."),".",MID(1/2,2,1)),"")</f>
        <v/>
      </c>
      <c r="C757">
        <f>TRIM(INDEX(INDIRECT("'Выгрузка'!A757:Z757"),Настройки!$B$8)&amp;"")</f>
        <v/>
      </c>
      <c r="D757">
        <f>IFERROR(--SUBSTITUTE(SUBSTITUTE(TRIM(INDEX(INDIRECT("'Выгрузка'!A757:Z757"),Настройки!$B$10)),",","."),".",MID(1/2,2,1)),"")</f>
        <v/>
      </c>
      <c r="E757">
        <f>IFERROR(--SUBSTITUTE(SUBSTITUTE(TRIM(INDEX(INDIRECT("'Выгрузка'!A757:Z757"),Настройки!$B$11)),",","."),".",MID(1/2,2,1)),"")</f>
        <v/>
      </c>
      <c r="F757">
        <f>TRIM(INDEX(INDIRECT("'Выгрузка'!A757:Z757"),Настройки!$B$12)&amp;"")</f>
        <v/>
      </c>
      <c r="G757">
        <f>IF(F757="",0,IF(TRIM(INDEX(INDIRECT("'Выгрузка'!A757:Z757"),Настройки!$B$13)&amp;"")="",1,IFERROR(--SUBSTITUTE(SUBSTITUTE(TRIM(INDEX(INDIRECT("'Выгрузка'!A757:Z757"),Настройки!$B$13)),",","."),".",MID(1/2,2,1)),"")))</f>
        <v/>
      </c>
      <c r="H757">
        <f>IF(F757="",0,IF(COUNTIF(Настройки!$B$17:$B$26,F757)&gt;0,1,IF(COUNTIF(Настройки!$C$17:$C$26,F757)&gt;0,2,IF(COUNTIF(Настройки!$D$17:$D$26,F757)&gt;0,3,0))))</f>
        <v/>
      </c>
      <c r="I757">
        <f>IF(AND(ISNUMBER(A757),ISNUMBER(B757)),A757*1000+B757,"")</f>
        <v/>
      </c>
      <c r="J757">
        <f>IF(I757="","",IF(COUNTIF(I$2:I757,I757)=1,MAX(J$1:J756)+1,""))</f>
        <v/>
      </c>
    </row>
    <row r="758">
      <c r="A758">
        <f>IFERROR(--SUBSTITUTE(SUBSTITUTE(TRIM(INDEX(INDIRECT("'Выгрузка'!A758:Z758"),Настройки!$B$7)),",","."),".",MID(1/2,2,1)),"")</f>
        <v/>
      </c>
      <c r="B758">
        <f>IFERROR(--SUBSTITUTE(SUBSTITUTE(TRIM(INDEX(INDIRECT("'Выгрузка'!A758:Z758"),Настройки!$B$9)),",","."),".",MID(1/2,2,1)),"")</f>
        <v/>
      </c>
      <c r="C758">
        <f>TRIM(INDEX(INDIRECT("'Выгрузка'!A758:Z758"),Настройки!$B$8)&amp;"")</f>
        <v/>
      </c>
      <c r="D758">
        <f>IFERROR(--SUBSTITUTE(SUBSTITUTE(TRIM(INDEX(INDIRECT("'Выгрузка'!A758:Z758"),Настройки!$B$10)),",","."),".",MID(1/2,2,1)),"")</f>
        <v/>
      </c>
      <c r="E758">
        <f>IFERROR(--SUBSTITUTE(SUBSTITUTE(TRIM(INDEX(INDIRECT("'Выгрузка'!A758:Z758"),Настройки!$B$11)),",","."),".",MID(1/2,2,1)),"")</f>
        <v/>
      </c>
      <c r="F758">
        <f>TRIM(INDEX(INDIRECT("'Выгрузка'!A758:Z758"),Настройки!$B$12)&amp;"")</f>
        <v/>
      </c>
      <c r="G758">
        <f>IF(F758="",0,IF(TRIM(INDEX(INDIRECT("'Выгрузка'!A758:Z758"),Настройки!$B$13)&amp;"")="",1,IFERROR(--SUBSTITUTE(SUBSTITUTE(TRIM(INDEX(INDIRECT("'Выгрузка'!A758:Z758"),Настройки!$B$13)),",","."),".",MID(1/2,2,1)),"")))</f>
        <v/>
      </c>
      <c r="H758">
        <f>IF(F758="",0,IF(COUNTIF(Настройки!$B$17:$B$26,F758)&gt;0,1,IF(COUNTIF(Настройки!$C$17:$C$26,F758)&gt;0,2,IF(COUNTIF(Настройки!$D$17:$D$26,F758)&gt;0,3,0))))</f>
        <v/>
      </c>
      <c r="I758">
        <f>IF(AND(ISNUMBER(A758),ISNUMBER(B758)),A758*1000+B758,"")</f>
        <v/>
      </c>
      <c r="J758">
        <f>IF(I758="","",IF(COUNTIF(I$2:I758,I758)=1,MAX(J$1:J757)+1,""))</f>
        <v/>
      </c>
    </row>
    <row r="759">
      <c r="A759">
        <f>IFERROR(--SUBSTITUTE(SUBSTITUTE(TRIM(INDEX(INDIRECT("'Выгрузка'!A759:Z759"),Настройки!$B$7)),",","."),".",MID(1/2,2,1)),"")</f>
        <v/>
      </c>
      <c r="B759">
        <f>IFERROR(--SUBSTITUTE(SUBSTITUTE(TRIM(INDEX(INDIRECT("'Выгрузка'!A759:Z759"),Настройки!$B$9)),",","."),".",MID(1/2,2,1)),"")</f>
        <v/>
      </c>
      <c r="C759">
        <f>TRIM(INDEX(INDIRECT("'Выгрузка'!A759:Z759"),Настройки!$B$8)&amp;"")</f>
        <v/>
      </c>
      <c r="D759">
        <f>IFERROR(--SUBSTITUTE(SUBSTITUTE(TRIM(INDEX(INDIRECT("'Выгрузка'!A759:Z759"),Настройки!$B$10)),",","."),".",MID(1/2,2,1)),"")</f>
        <v/>
      </c>
      <c r="E759">
        <f>IFERROR(--SUBSTITUTE(SUBSTITUTE(TRIM(INDEX(INDIRECT("'Выгрузка'!A759:Z759"),Настройки!$B$11)),",","."),".",MID(1/2,2,1)),"")</f>
        <v/>
      </c>
      <c r="F759">
        <f>TRIM(INDEX(INDIRECT("'Выгрузка'!A759:Z759"),Настройки!$B$12)&amp;"")</f>
        <v/>
      </c>
      <c r="G759">
        <f>IF(F759="",0,IF(TRIM(INDEX(INDIRECT("'Выгрузка'!A759:Z759"),Настройки!$B$13)&amp;"")="",1,IFERROR(--SUBSTITUTE(SUBSTITUTE(TRIM(INDEX(INDIRECT("'Выгрузка'!A759:Z759"),Настройки!$B$13)),",","."),".",MID(1/2,2,1)),"")))</f>
        <v/>
      </c>
      <c r="H759">
        <f>IF(F759="",0,IF(COUNTIF(Настройки!$B$17:$B$26,F759)&gt;0,1,IF(COUNTIF(Настройки!$C$17:$C$26,F759)&gt;0,2,IF(COUNTIF(Настройки!$D$17:$D$26,F759)&gt;0,3,0))))</f>
        <v/>
      </c>
      <c r="I759">
        <f>IF(AND(ISNUMBER(A759),ISNUMBER(B759)),A759*1000+B759,"")</f>
        <v/>
      </c>
      <c r="J759">
        <f>IF(I759="","",IF(COUNTIF(I$2:I759,I759)=1,MAX(J$1:J758)+1,""))</f>
        <v/>
      </c>
    </row>
    <row r="760">
      <c r="A760">
        <f>IFERROR(--SUBSTITUTE(SUBSTITUTE(TRIM(INDEX(INDIRECT("'Выгрузка'!A760:Z760"),Настройки!$B$7)),",","."),".",MID(1/2,2,1)),"")</f>
        <v/>
      </c>
      <c r="B760">
        <f>IFERROR(--SUBSTITUTE(SUBSTITUTE(TRIM(INDEX(INDIRECT("'Выгрузка'!A760:Z760"),Настройки!$B$9)),",","."),".",MID(1/2,2,1)),"")</f>
        <v/>
      </c>
      <c r="C760">
        <f>TRIM(INDEX(INDIRECT("'Выгрузка'!A760:Z760"),Настройки!$B$8)&amp;"")</f>
        <v/>
      </c>
      <c r="D760">
        <f>IFERROR(--SUBSTITUTE(SUBSTITUTE(TRIM(INDEX(INDIRECT("'Выгрузка'!A760:Z760"),Настройки!$B$10)),",","."),".",MID(1/2,2,1)),"")</f>
        <v/>
      </c>
      <c r="E760">
        <f>IFERROR(--SUBSTITUTE(SUBSTITUTE(TRIM(INDEX(INDIRECT("'Выгрузка'!A760:Z760"),Настройки!$B$11)),",","."),".",MID(1/2,2,1)),"")</f>
        <v/>
      </c>
      <c r="F760">
        <f>TRIM(INDEX(INDIRECT("'Выгрузка'!A760:Z760"),Настройки!$B$12)&amp;"")</f>
        <v/>
      </c>
      <c r="G760">
        <f>IF(F760="",0,IF(TRIM(INDEX(INDIRECT("'Выгрузка'!A760:Z760"),Настройки!$B$13)&amp;"")="",1,IFERROR(--SUBSTITUTE(SUBSTITUTE(TRIM(INDEX(INDIRECT("'Выгрузка'!A760:Z760"),Настройки!$B$13)),",","."),".",MID(1/2,2,1)),"")))</f>
        <v/>
      </c>
      <c r="H760">
        <f>IF(F760="",0,IF(COUNTIF(Настройки!$B$17:$B$26,F760)&gt;0,1,IF(COUNTIF(Настройки!$C$17:$C$26,F760)&gt;0,2,IF(COUNTIF(Настройки!$D$17:$D$26,F760)&gt;0,3,0))))</f>
        <v/>
      </c>
      <c r="I760">
        <f>IF(AND(ISNUMBER(A760),ISNUMBER(B760)),A760*1000+B760,"")</f>
        <v/>
      </c>
      <c r="J760">
        <f>IF(I760="","",IF(COUNTIF(I$2:I760,I760)=1,MAX(J$1:J759)+1,""))</f>
        <v/>
      </c>
    </row>
    <row r="761">
      <c r="A761">
        <f>IFERROR(--SUBSTITUTE(SUBSTITUTE(TRIM(INDEX(INDIRECT("'Выгрузка'!A761:Z761"),Настройки!$B$7)),",","."),".",MID(1/2,2,1)),"")</f>
        <v/>
      </c>
      <c r="B761">
        <f>IFERROR(--SUBSTITUTE(SUBSTITUTE(TRIM(INDEX(INDIRECT("'Выгрузка'!A761:Z761"),Настройки!$B$9)),",","."),".",MID(1/2,2,1)),"")</f>
        <v/>
      </c>
      <c r="C761">
        <f>TRIM(INDEX(INDIRECT("'Выгрузка'!A761:Z761"),Настройки!$B$8)&amp;"")</f>
        <v/>
      </c>
      <c r="D761">
        <f>IFERROR(--SUBSTITUTE(SUBSTITUTE(TRIM(INDEX(INDIRECT("'Выгрузка'!A761:Z761"),Настройки!$B$10)),",","."),".",MID(1/2,2,1)),"")</f>
        <v/>
      </c>
      <c r="E761">
        <f>IFERROR(--SUBSTITUTE(SUBSTITUTE(TRIM(INDEX(INDIRECT("'Выгрузка'!A761:Z761"),Настройки!$B$11)),",","."),".",MID(1/2,2,1)),"")</f>
        <v/>
      </c>
      <c r="F761">
        <f>TRIM(INDEX(INDIRECT("'Выгрузка'!A761:Z761"),Настройки!$B$12)&amp;"")</f>
        <v/>
      </c>
      <c r="G761">
        <f>IF(F761="",0,IF(TRIM(INDEX(INDIRECT("'Выгрузка'!A761:Z761"),Настройки!$B$13)&amp;"")="",1,IFERROR(--SUBSTITUTE(SUBSTITUTE(TRIM(INDEX(INDIRECT("'Выгрузка'!A761:Z761"),Настройки!$B$13)),",","."),".",MID(1/2,2,1)),"")))</f>
        <v/>
      </c>
      <c r="H761">
        <f>IF(F761="",0,IF(COUNTIF(Настройки!$B$17:$B$26,F761)&gt;0,1,IF(COUNTIF(Настройки!$C$17:$C$26,F761)&gt;0,2,IF(COUNTIF(Настройки!$D$17:$D$26,F761)&gt;0,3,0))))</f>
        <v/>
      </c>
      <c r="I761">
        <f>IF(AND(ISNUMBER(A761),ISNUMBER(B761)),A761*1000+B761,"")</f>
        <v/>
      </c>
      <c r="J761">
        <f>IF(I761="","",IF(COUNTIF(I$2:I761,I761)=1,MAX(J$1:J760)+1,""))</f>
        <v/>
      </c>
    </row>
    <row r="762">
      <c r="A762">
        <f>IFERROR(--SUBSTITUTE(SUBSTITUTE(TRIM(INDEX(INDIRECT("'Выгрузка'!A762:Z762"),Настройки!$B$7)),",","."),".",MID(1/2,2,1)),"")</f>
        <v/>
      </c>
      <c r="B762">
        <f>IFERROR(--SUBSTITUTE(SUBSTITUTE(TRIM(INDEX(INDIRECT("'Выгрузка'!A762:Z762"),Настройки!$B$9)),",","."),".",MID(1/2,2,1)),"")</f>
        <v/>
      </c>
      <c r="C762">
        <f>TRIM(INDEX(INDIRECT("'Выгрузка'!A762:Z762"),Настройки!$B$8)&amp;"")</f>
        <v/>
      </c>
      <c r="D762">
        <f>IFERROR(--SUBSTITUTE(SUBSTITUTE(TRIM(INDEX(INDIRECT("'Выгрузка'!A762:Z762"),Настройки!$B$10)),",","."),".",MID(1/2,2,1)),"")</f>
        <v/>
      </c>
      <c r="E762">
        <f>IFERROR(--SUBSTITUTE(SUBSTITUTE(TRIM(INDEX(INDIRECT("'Выгрузка'!A762:Z762"),Настройки!$B$11)),",","."),".",MID(1/2,2,1)),"")</f>
        <v/>
      </c>
      <c r="F762">
        <f>TRIM(INDEX(INDIRECT("'Выгрузка'!A762:Z762"),Настройки!$B$12)&amp;"")</f>
        <v/>
      </c>
      <c r="G762">
        <f>IF(F762="",0,IF(TRIM(INDEX(INDIRECT("'Выгрузка'!A762:Z762"),Настройки!$B$13)&amp;"")="",1,IFERROR(--SUBSTITUTE(SUBSTITUTE(TRIM(INDEX(INDIRECT("'Выгрузка'!A762:Z762"),Настройки!$B$13)),",","."),".",MID(1/2,2,1)),"")))</f>
        <v/>
      </c>
      <c r="H762">
        <f>IF(F762="",0,IF(COUNTIF(Настройки!$B$17:$B$26,F762)&gt;0,1,IF(COUNTIF(Настройки!$C$17:$C$26,F762)&gt;0,2,IF(COUNTIF(Настройки!$D$17:$D$26,F762)&gt;0,3,0))))</f>
        <v/>
      </c>
      <c r="I762">
        <f>IF(AND(ISNUMBER(A762),ISNUMBER(B762)),A762*1000+B762,"")</f>
        <v/>
      </c>
      <c r="J762">
        <f>IF(I762="","",IF(COUNTIF(I$2:I762,I762)=1,MAX(J$1:J761)+1,""))</f>
        <v/>
      </c>
    </row>
    <row r="763">
      <c r="A763">
        <f>IFERROR(--SUBSTITUTE(SUBSTITUTE(TRIM(INDEX(INDIRECT("'Выгрузка'!A763:Z763"),Настройки!$B$7)),",","."),".",MID(1/2,2,1)),"")</f>
        <v/>
      </c>
      <c r="B763">
        <f>IFERROR(--SUBSTITUTE(SUBSTITUTE(TRIM(INDEX(INDIRECT("'Выгрузка'!A763:Z763"),Настройки!$B$9)),",","."),".",MID(1/2,2,1)),"")</f>
        <v/>
      </c>
      <c r="C763">
        <f>TRIM(INDEX(INDIRECT("'Выгрузка'!A763:Z763"),Настройки!$B$8)&amp;"")</f>
        <v/>
      </c>
      <c r="D763">
        <f>IFERROR(--SUBSTITUTE(SUBSTITUTE(TRIM(INDEX(INDIRECT("'Выгрузка'!A763:Z763"),Настройки!$B$10)),",","."),".",MID(1/2,2,1)),"")</f>
        <v/>
      </c>
      <c r="E763">
        <f>IFERROR(--SUBSTITUTE(SUBSTITUTE(TRIM(INDEX(INDIRECT("'Выгрузка'!A763:Z763"),Настройки!$B$11)),",","."),".",MID(1/2,2,1)),"")</f>
        <v/>
      </c>
      <c r="F763">
        <f>TRIM(INDEX(INDIRECT("'Выгрузка'!A763:Z763"),Настройки!$B$12)&amp;"")</f>
        <v/>
      </c>
      <c r="G763">
        <f>IF(F763="",0,IF(TRIM(INDEX(INDIRECT("'Выгрузка'!A763:Z763"),Настройки!$B$13)&amp;"")="",1,IFERROR(--SUBSTITUTE(SUBSTITUTE(TRIM(INDEX(INDIRECT("'Выгрузка'!A763:Z763"),Настройки!$B$13)),",","."),".",MID(1/2,2,1)),"")))</f>
        <v/>
      </c>
      <c r="H763">
        <f>IF(F763="",0,IF(COUNTIF(Настройки!$B$17:$B$26,F763)&gt;0,1,IF(COUNTIF(Настройки!$C$17:$C$26,F763)&gt;0,2,IF(COUNTIF(Настройки!$D$17:$D$26,F763)&gt;0,3,0))))</f>
        <v/>
      </c>
      <c r="I763">
        <f>IF(AND(ISNUMBER(A763),ISNUMBER(B763)),A763*1000+B763,"")</f>
        <v/>
      </c>
      <c r="J763">
        <f>IF(I763="","",IF(COUNTIF(I$2:I763,I763)=1,MAX(J$1:J762)+1,""))</f>
        <v/>
      </c>
    </row>
    <row r="764">
      <c r="A764">
        <f>IFERROR(--SUBSTITUTE(SUBSTITUTE(TRIM(INDEX(INDIRECT("'Выгрузка'!A764:Z764"),Настройки!$B$7)),",","."),".",MID(1/2,2,1)),"")</f>
        <v/>
      </c>
      <c r="B764">
        <f>IFERROR(--SUBSTITUTE(SUBSTITUTE(TRIM(INDEX(INDIRECT("'Выгрузка'!A764:Z764"),Настройки!$B$9)),",","."),".",MID(1/2,2,1)),"")</f>
        <v/>
      </c>
      <c r="C764">
        <f>TRIM(INDEX(INDIRECT("'Выгрузка'!A764:Z764"),Настройки!$B$8)&amp;"")</f>
        <v/>
      </c>
      <c r="D764">
        <f>IFERROR(--SUBSTITUTE(SUBSTITUTE(TRIM(INDEX(INDIRECT("'Выгрузка'!A764:Z764"),Настройки!$B$10)),",","."),".",MID(1/2,2,1)),"")</f>
        <v/>
      </c>
      <c r="E764">
        <f>IFERROR(--SUBSTITUTE(SUBSTITUTE(TRIM(INDEX(INDIRECT("'Выгрузка'!A764:Z764"),Настройки!$B$11)),",","."),".",MID(1/2,2,1)),"")</f>
        <v/>
      </c>
      <c r="F764">
        <f>TRIM(INDEX(INDIRECT("'Выгрузка'!A764:Z764"),Настройки!$B$12)&amp;"")</f>
        <v/>
      </c>
      <c r="G764">
        <f>IF(F764="",0,IF(TRIM(INDEX(INDIRECT("'Выгрузка'!A764:Z764"),Настройки!$B$13)&amp;"")="",1,IFERROR(--SUBSTITUTE(SUBSTITUTE(TRIM(INDEX(INDIRECT("'Выгрузка'!A764:Z764"),Настройки!$B$13)),",","."),".",MID(1/2,2,1)),"")))</f>
        <v/>
      </c>
      <c r="H764">
        <f>IF(F764="",0,IF(COUNTIF(Настройки!$B$17:$B$26,F764)&gt;0,1,IF(COUNTIF(Настройки!$C$17:$C$26,F764)&gt;0,2,IF(COUNTIF(Настройки!$D$17:$D$26,F764)&gt;0,3,0))))</f>
        <v/>
      </c>
      <c r="I764">
        <f>IF(AND(ISNUMBER(A764),ISNUMBER(B764)),A764*1000+B764,"")</f>
        <v/>
      </c>
      <c r="J764">
        <f>IF(I764="","",IF(COUNTIF(I$2:I764,I764)=1,MAX(J$1:J763)+1,""))</f>
        <v/>
      </c>
    </row>
    <row r="765">
      <c r="A765">
        <f>IFERROR(--SUBSTITUTE(SUBSTITUTE(TRIM(INDEX(INDIRECT("'Выгрузка'!A765:Z765"),Настройки!$B$7)),",","."),".",MID(1/2,2,1)),"")</f>
        <v/>
      </c>
      <c r="B765">
        <f>IFERROR(--SUBSTITUTE(SUBSTITUTE(TRIM(INDEX(INDIRECT("'Выгрузка'!A765:Z765"),Настройки!$B$9)),",","."),".",MID(1/2,2,1)),"")</f>
        <v/>
      </c>
      <c r="C765">
        <f>TRIM(INDEX(INDIRECT("'Выгрузка'!A765:Z765"),Настройки!$B$8)&amp;"")</f>
        <v/>
      </c>
      <c r="D765">
        <f>IFERROR(--SUBSTITUTE(SUBSTITUTE(TRIM(INDEX(INDIRECT("'Выгрузка'!A765:Z765"),Настройки!$B$10)),",","."),".",MID(1/2,2,1)),"")</f>
        <v/>
      </c>
      <c r="E765">
        <f>IFERROR(--SUBSTITUTE(SUBSTITUTE(TRIM(INDEX(INDIRECT("'Выгрузка'!A765:Z765"),Настройки!$B$11)),",","."),".",MID(1/2,2,1)),"")</f>
        <v/>
      </c>
      <c r="F765">
        <f>TRIM(INDEX(INDIRECT("'Выгрузка'!A765:Z765"),Настройки!$B$12)&amp;"")</f>
        <v/>
      </c>
      <c r="G765">
        <f>IF(F765="",0,IF(TRIM(INDEX(INDIRECT("'Выгрузка'!A765:Z765"),Настройки!$B$13)&amp;"")="",1,IFERROR(--SUBSTITUTE(SUBSTITUTE(TRIM(INDEX(INDIRECT("'Выгрузка'!A765:Z765"),Настройки!$B$13)),",","."),".",MID(1/2,2,1)),"")))</f>
        <v/>
      </c>
      <c r="H765">
        <f>IF(F765="",0,IF(COUNTIF(Настройки!$B$17:$B$26,F765)&gt;0,1,IF(COUNTIF(Настройки!$C$17:$C$26,F765)&gt;0,2,IF(COUNTIF(Настройки!$D$17:$D$26,F765)&gt;0,3,0))))</f>
        <v/>
      </c>
      <c r="I765">
        <f>IF(AND(ISNUMBER(A765),ISNUMBER(B765)),A765*1000+B765,"")</f>
        <v/>
      </c>
      <c r="J765">
        <f>IF(I765="","",IF(COUNTIF(I$2:I765,I765)=1,MAX(J$1:J764)+1,""))</f>
        <v/>
      </c>
    </row>
    <row r="766">
      <c r="A766">
        <f>IFERROR(--SUBSTITUTE(SUBSTITUTE(TRIM(INDEX(INDIRECT("'Выгрузка'!A766:Z766"),Настройки!$B$7)),",","."),".",MID(1/2,2,1)),"")</f>
        <v/>
      </c>
      <c r="B766">
        <f>IFERROR(--SUBSTITUTE(SUBSTITUTE(TRIM(INDEX(INDIRECT("'Выгрузка'!A766:Z766"),Настройки!$B$9)),",","."),".",MID(1/2,2,1)),"")</f>
        <v/>
      </c>
      <c r="C766">
        <f>TRIM(INDEX(INDIRECT("'Выгрузка'!A766:Z766"),Настройки!$B$8)&amp;"")</f>
        <v/>
      </c>
      <c r="D766">
        <f>IFERROR(--SUBSTITUTE(SUBSTITUTE(TRIM(INDEX(INDIRECT("'Выгрузка'!A766:Z766"),Настройки!$B$10)),",","."),".",MID(1/2,2,1)),"")</f>
        <v/>
      </c>
      <c r="E766">
        <f>IFERROR(--SUBSTITUTE(SUBSTITUTE(TRIM(INDEX(INDIRECT("'Выгрузка'!A766:Z766"),Настройки!$B$11)),",","."),".",MID(1/2,2,1)),"")</f>
        <v/>
      </c>
      <c r="F766">
        <f>TRIM(INDEX(INDIRECT("'Выгрузка'!A766:Z766"),Настройки!$B$12)&amp;"")</f>
        <v/>
      </c>
      <c r="G766">
        <f>IF(F766="",0,IF(TRIM(INDEX(INDIRECT("'Выгрузка'!A766:Z766"),Настройки!$B$13)&amp;"")="",1,IFERROR(--SUBSTITUTE(SUBSTITUTE(TRIM(INDEX(INDIRECT("'Выгрузка'!A766:Z766"),Настройки!$B$13)),",","."),".",MID(1/2,2,1)),"")))</f>
        <v/>
      </c>
      <c r="H766">
        <f>IF(F766="",0,IF(COUNTIF(Настройки!$B$17:$B$26,F766)&gt;0,1,IF(COUNTIF(Настройки!$C$17:$C$26,F766)&gt;0,2,IF(COUNTIF(Настройки!$D$17:$D$26,F766)&gt;0,3,0))))</f>
        <v/>
      </c>
      <c r="I766">
        <f>IF(AND(ISNUMBER(A766),ISNUMBER(B766)),A766*1000+B766,"")</f>
        <v/>
      </c>
      <c r="J766">
        <f>IF(I766="","",IF(COUNTIF(I$2:I766,I766)=1,MAX(J$1:J765)+1,""))</f>
        <v/>
      </c>
    </row>
    <row r="767">
      <c r="A767">
        <f>IFERROR(--SUBSTITUTE(SUBSTITUTE(TRIM(INDEX(INDIRECT("'Выгрузка'!A767:Z767"),Настройки!$B$7)),",","."),".",MID(1/2,2,1)),"")</f>
        <v/>
      </c>
      <c r="B767">
        <f>IFERROR(--SUBSTITUTE(SUBSTITUTE(TRIM(INDEX(INDIRECT("'Выгрузка'!A767:Z767"),Настройки!$B$9)),",","."),".",MID(1/2,2,1)),"")</f>
        <v/>
      </c>
      <c r="C767">
        <f>TRIM(INDEX(INDIRECT("'Выгрузка'!A767:Z767"),Настройки!$B$8)&amp;"")</f>
        <v/>
      </c>
      <c r="D767">
        <f>IFERROR(--SUBSTITUTE(SUBSTITUTE(TRIM(INDEX(INDIRECT("'Выгрузка'!A767:Z767"),Настройки!$B$10)),",","."),".",MID(1/2,2,1)),"")</f>
        <v/>
      </c>
      <c r="E767">
        <f>IFERROR(--SUBSTITUTE(SUBSTITUTE(TRIM(INDEX(INDIRECT("'Выгрузка'!A767:Z767"),Настройки!$B$11)),",","."),".",MID(1/2,2,1)),"")</f>
        <v/>
      </c>
      <c r="F767">
        <f>TRIM(INDEX(INDIRECT("'Выгрузка'!A767:Z767"),Настройки!$B$12)&amp;"")</f>
        <v/>
      </c>
      <c r="G767">
        <f>IF(F767="",0,IF(TRIM(INDEX(INDIRECT("'Выгрузка'!A767:Z767"),Настройки!$B$13)&amp;"")="",1,IFERROR(--SUBSTITUTE(SUBSTITUTE(TRIM(INDEX(INDIRECT("'Выгрузка'!A767:Z767"),Настройки!$B$13)),",","."),".",MID(1/2,2,1)),"")))</f>
        <v/>
      </c>
      <c r="H767">
        <f>IF(F767="",0,IF(COUNTIF(Настройки!$B$17:$B$26,F767)&gt;0,1,IF(COUNTIF(Настройки!$C$17:$C$26,F767)&gt;0,2,IF(COUNTIF(Настройки!$D$17:$D$26,F767)&gt;0,3,0))))</f>
        <v/>
      </c>
      <c r="I767">
        <f>IF(AND(ISNUMBER(A767),ISNUMBER(B767)),A767*1000+B767,"")</f>
        <v/>
      </c>
      <c r="J767">
        <f>IF(I767="","",IF(COUNTIF(I$2:I767,I767)=1,MAX(J$1:J766)+1,""))</f>
        <v/>
      </c>
    </row>
    <row r="768">
      <c r="A768">
        <f>IFERROR(--SUBSTITUTE(SUBSTITUTE(TRIM(INDEX(INDIRECT("'Выгрузка'!A768:Z768"),Настройки!$B$7)),",","."),".",MID(1/2,2,1)),"")</f>
        <v/>
      </c>
      <c r="B768">
        <f>IFERROR(--SUBSTITUTE(SUBSTITUTE(TRIM(INDEX(INDIRECT("'Выгрузка'!A768:Z768"),Настройки!$B$9)),",","."),".",MID(1/2,2,1)),"")</f>
        <v/>
      </c>
      <c r="C768">
        <f>TRIM(INDEX(INDIRECT("'Выгрузка'!A768:Z768"),Настройки!$B$8)&amp;"")</f>
        <v/>
      </c>
      <c r="D768">
        <f>IFERROR(--SUBSTITUTE(SUBSTITUTE(TRIM(INDEX(INDIRECT("'Выгрузка'!A768:Z768"),Настройки!$B$10)),",","."),".",MID(1/2,2,1)),"")</f>
        <v/>
      </c>
      <c r="E768">
        <f>IFERROR(--SUBSTITUTE(SUBSTITUTE(TRIM(INDEX(INDIRECT("'Выгрузка'!A768:Z768"),Настройки!$B$11)),",","."),".",MID(1/2,2,1)),"")</f>
        <v/>
      </c>
      <c r="F768">
        <f>TRIM(INDEX(INDIRECT("'Выгрузка'!A768:Z768"),Настройки!$B$12)&amp;"")</f>
        <v/>
      </c>
      <c r="G768">
        <f>IF(F768="",0,IF(TRIM(INDEX(INDIRECT("'Выгрузка'!A768:Z768"),Настройки!$B$13)&amp;"")="",1,IFERROR(--SUBSTITUTE(SUBSTITUTE(TRIM(INDEX(INDIRECT("'Выгрузка'!A768:Z768"),Настройки!$B$13)),",","."),".",MID(1/2,2,1)),"")))</f>
        <v/>
      </c>
      <c r="H768">
        <f>IF(F768="",0,IF(COUNTIF(Настройки!$B$17:$B$26,F768)&gt;0,1,IF(COUNTIF(Настройки!$C$17:$C$26,F768)&gt;0,2,IF(COUNTIF(Настройки!$D$17:$D$26,F768)&gt;0,3,0))))</f>
        <v/>
      </c>
      <c r="I768">
        <f>IF(AND(ISNUMBER(A768),ISNUMBER(B768)),A768*1000+B768,"")</f>
        <v/>
      </c>
      <c r="J768">
        <f>IF(I768="","",IF(COUNTIF(I$2:I768,I768)=1,MAX(J$1:J767)+1,""))</f>
        <v/>
      </c>
    </row>
    <row r="769">
      <c r="A769">
        <f>IFERROR(--SUBSTITUTE(SUBSTITUTE(TRIM(INDEX(INDIRECT("'Выгрузка'!A769:Z769"),Настройки!$B$7)),",","."),".",MID(1/2,2,1)),"")</f>
        <v/>
      </c>
      <c r="B769">
        <f>IFERROR(--SUBSTITUTE(SUBSTITUTE(TRIM(INDEX(INDIRECT("'Выгрузка'!A769:Z769"),Настройки!$B$9)),",","."),".",MID(1/2,2,1)),"")</f>
        <v/>
      </c>
      <c r="C769">
        <f>TRIM(INDEX(INDIRECT("'Выгрузка'!A769:Z769"),Настройки!$B$8)&amp;"")</f>
        <v/>
      </c>
      <c r="D769">
        <f>IFERROR(--SUBSTITUTE(SUBSTITUTE(TRIM(INDEX(INDIRECT("'Выгрузка'!A769:Z769"),Настройки!$B$10)),",","."),".",MID(1/2,2,1)),"")</f>
        <v/>
      </c>
      <c r="E769">
        <f>IFERROR(--SUBSTITUTE(SUBSTITUTE(TRIM(INDEX(INDIRECT("'Выгрузка'!A769:Z769"),Настройки!$B$11)),",","."),".",MID(1/2,2,1)),"")</f>
        <v/>
      </c>
      <c r="F769">
        <f>TRIM(INDEX(INDIRECT("'Выгрузка'!A769:Z769"),Настройки!$B$12)&amp;"")</f>
        <v/>
      </c>
      <c r="G769">
        <f>IF(F769="",0,IF(TRIM(INDEX(INDIRECT("'Выгрузка'!A769:Z769"),Настройки!$B$13)&amp;"")="",1,IFERROR(--SUBSTITUTE(SUBSTITUTE(TRIM(INDEX(INDIRECT("'Выгрузка'!A769:Z769"),Настройки!$B$13)),",","."),".",MID(1/2,2,1)),"")))</f>
        <v/>
      </c>
      <c r="H769">
        <f>IF(F769="",0,IF(COUNTIF(Настройки!$B$17:$B$26,F769)&gt;0,1,IF(COUNTIF(Настройки!$C$17:$C$26,F769)&gt;0,2,IF(COUNTIF(Настройки!$D$17:$D$26,F769)&gt;0,3,0))))</f>
        <v/>
      </c>
      <c r="I769">
        <f>IF(AND(ISNUMBER(A769),ISNUMBER(B769)),A769*1000+B769,"")</f>
        <v/>
      </c>
      <c r="J769">
        <f>IF(I769="","",IF(COUNTIF(I$2:I769,I769)=1,MAX(J$1:J768)+1,""))</f>
        <v/>
      </c>
    </row>
    <row r="770">
      <c r="A770">
        <f>IFERROR(--SUBSTITUTE(SUBSTITUTE(TRIM(INDEX(INDIRECT("'Выгрузка'!A770:Z770"),Настройки!$B$7)),",","."),".",MID(1/2,2,1)),"")</f>
        <v/>
      </c>
      <c r="B770">
        <f>IFERROR(--SUBSTITUTE(SUBSTITUTE(TRIM(INDEX(INDIRECT("'Выгрузка'!A770:Z770"),Настройки!$B$9)),",","."),".",MID(1/2,2,1)),"")</f>
        <v/>
      </c>
      <c r="C770">
        <f>TRIM(INDEX(INDIRECT("'Выгрузка'!A770:Z770"),Настройки!$B$8)&amp;"")</f>
        <v/>
      </c>
      <c r="D770">
        <f>IFERROR(--SUBSTITUTE(SUBSTITUTE(TRIM(INDEX(INDIRECT("'Выгрузка'!A770:Z770"),Настройки!$B$10)),",","."),".",MID(1/2,2,1)),"")</f>
        <v/>
      </c>
      <c r="E770">
        <f>IFERROR(--SUBSTITUTE(SUBSTITUTE(TRIM(INDEX(INDIRECT("'Выгрузка'!A770:Z770"),Настройки!$B$11)),",","."),".",MID(1/2,2,1)),"")</f>
        <v/>
      </c>
      <c r="F770">
        <f>TRIM(INDEX(INDIRECT("'Выгрузка'!A770:Z770"),Настройки!$B$12)&amp;"")</f>
        <v/>
      </c>
      <c r="G770">
        <f>IF(F770="",0,IF(TRIM(INDEX(INDIRECT("'Выгрузка'!A770:Z770"),Настройки!$B$13)&amp;"")="",1,IFERROR(--SUBSTITUTE(SUBSTITUTE(TRIM(INDEX(INDIRECT("'Выгрузка'!A770:Z770"),Настройки!$B$13)),",","."),".",MID(1/2,2,1)),"")))</f>
        <v/>
      </c>
      <c r="H770">
        <f>IF(F770="",0,IF(COUNTIF(Настройки!$B$17:$B$26,F770)&gt;0,1,IF(COUNTIF(Настройки!$C$17:$C$26,F770)&gt;0,2,IF(COUNTIF(Настройки!$D$17:$D$26,F770)&gt;0,3,0))))</f>
        <v/>
      </c>
      <c r="I770">
        <f>IF(AND(ISNUMBER(A770),ISNUMBER(B770)),A770*1000+B770,"")</f>
        <v/>
      </c>
      <c r="J770">
        <f>IF(I770="","",IF(COUNTIF(I$2:I770,I770)=1,MAX(J$1:J769)+1,""))</f>
        <v/>
      </c>
    </row>
    <row r="771">
      <c r="A771">
        <f>IFERROR(--SUBSTITUTE(SUBSTITUTE(TRIM(INDEX(INDIRECT("'Выгрузка'!A771:Z771"),Настройки!$B$7)),",","."),".",MID(1/2,2,1)),"")</f>
        <v/>
      </c>
      <c r="B771">
        <f>IFERROR(--SUBSTITUTE(SUBSTITUTE(TRIM(INDEX(INDIRECT("'Выгрузка'!A771:Z771"),Настройки!$B$9)),",","."),".",MID(1/2,2,1)),"")</f>
        <v/>
      </c>
      <c r="C771">
        <f>TRIM(INDEX(INDIRECT("'Выгрузка'!A771:Z771"),Настройки!$B$8)&amp;"")</f>
        <v/>
      </c>
      <c r="D771">
        <f>IFERROR(--SUBSTITUTE(SUBSTITUTE(TRIM(INDEX(INDIRECT("'Выгрузка'!A771:Z771"),Настройки!$B$10)),",","."),".",MID(1/2,2,1)),"")</f>
        <v/>
      </c>
      <c r="E771">
        <f>IFERROR(--SUBSTITUTE(SUBSTITUTE(TRIM(INDEX(INDIRECT("'Выгрузка'!A771:Z771"),Настройки!$B$11)),",","."),".",MID(1/2,2,1)),"")</f>
        <v/>
      </c>
      <c r="F771">
        <f>TRIM(INDEX(INDIRECT("'Выгрузка'!A771:Z771"),Настройки!$B$12)&amp;"")</f>
        <v/>
      </c>
      <c r="G771">
        <f>IF(F771="",0,IF(TRIM(INDEX(INDIRECT("'Выгрузка'!A771:Z771"),Настройки!$B$13)&amp;"")="",1,IFERROR(--SUBSTITUTE(SUBSTITUTE(TRIM(INDEX(INDIRECT("'Выгрузка'!A771:Z771"),Настройки!$B$13)),",","."),".",MID(1/2,2,1)),"")))</f>
        <v/>
      </c>
      <c r="H771">
        <f>IF(F771="",0,IF(COUNTIF(Настройки!$B$17:$B$26,F771)&gt;0,1,IF(COUNTIF(Настройки!$C$17:$C$26,F771)&gt;0,2,IF(COUNTIF(Настройки!$D$17:$D$26,F771)&gt;0,3,0))))</f>
        <v/>
      </c>
      <c r="I771">
        <f>IF(AND(ISNUMBER(A771),ISNUMBER(B771)),A771*1000+B771,"")</f>
        <v/>
      </c>
      <c r="J771">
        <f>IF(I771="","",IF(COUNTIF(I$2:I771,I771)=1,MAX(J$1:J770)+1,""))</f>
        <v/>
      </c>
    </row>
    <row r="772">
      <c r="A772">
        <f>IFERROR(--SUBSTITUTE(SUBSTITUTE(TRIM(INDEX(INDIRECT("'Выгрузка'!A772:Z772"),Настройки!$B$7)),",","."),".",MID(1/2,2,1)),"")</f>
        <v/>
      </c>
      <c r="B772">
        <f>IFERROR(--SUBSTITUTE(SUBSTITUTE(TRIM(INDEX(INDIRECT("'Выгрузка'!A772:Z772"),Настройки!$B$9)),",","."),".",MID(1/2,2,1)),"")</f>
        <v/>
      </c>
      <c r="C772">
        <f>TRIM(INDEX(INDIRECT("'Выгрузка'!A772:Z772"),Настройки!$B$8)&amp;"")</f>
        <v/>
      </c>
      <c r="D772">
        <f>IFERROR(--SUBSTITUTE(SUBSTITUTE(TRIM(INDEX(INDIRECT("'Выгрузка'!A772:Z772"),Настройки!$B$10)),",","."),".",MID(1/2,2,1)),"")</f>
        <v/>
      </c>
      <c r="E772">
        <f>IFERROR(--SUBSTITUTE(SUBSTITUTE(TRIM(INDEX(INDIRECT("'Выгрузка'!A772:Z772"),Настройки!$B$11)),",","."),".",MID(1/2,2,1)),"")</f>
        <v/>
      </c>
      <c r="F772">
        <f>TRIM(INDEX(INDIRECT("'Выгрузка'!A772:Z772"),Настройки!$B$12)&amp;"")</f>
        <v/>
      </c>
      <c r="G772">
        <f>IF(F772="",0,IF(TRIM(INDEX(INDIRECT("'Выгрузка'!A772:Z772"),Настройки!$B$13)&amp;"")="",1,IFERROR(--SUBSTITUTE(SUBSTITUTE(TRIM(INDEX(INDIRECT("'Выгрузка'!A772:Z772"),Настройки!$B$13)),",","."),".",MID(1/2,2,1)),"")))</f>
        <v/>
      </c>
      <c r="H772">
        <f>IF(F772="",0,IF(COUNTIF(Настройки!$B$17:$B$26,F772)&gt;0,1,IF(COUNTIF(Настройки!$C$17:$C$26,F772)&gt;0,2,IF(COUNTIF(Настройки!$D$17:$D$26,F772)&gt;0,3,0))))</f>
        <v/>
      </c>
      <c r="I772">
        <f>IF(AND(ISNUMBER(A772),ISNUMBER(B772)),A772*1000+B772,"")</f>
        <v/>
      </c>
      <c r="J772">
        <f>IF(I772="","",IF(COUNTIF(I$2:I772,I772)=1,MAX(J$1:J771)+1,""))</f>
        <v/>
      </c>
    </row>
    <row r="773">
      <c r="A773">
        <f>IFERROR(--SUBSTITUTE(SUBSTITUTE(TRIM(INDEX(INDIRECT("'Выгрузка'!A773:Z773"),Настройки!$B$7)),",","."),".",MID(1/2,2,1)),"")</f>
        <v/>
      </c>
      <c r="B773">
        <f>IFERROR(--SUBSTITUTE(SUBSTITUTE(TRIM(INDEX(INDIRECT("'Выгрузка'!A773:Z773"),Настройки!$B$9)),",","."),".",MID(1/2,2,1)),"")</f>
        <v/>
      </c>
      <c r="C773">
        <f>TRIM(INDEX(INDIRECT("'Выгрузка'!A773:Z773"),Настройки!$B$8)&amp;"")</f>
        <v/>
      </c>
      <c r="D773">
        <f>IFERROR(--SUBSTITUTE(SUBSTITUTE(TRIM(INDEX(INDIRECT("'Выгрузка'!A773:Z773"),Настройки!$B$10)),",","."),".",MID(1/2,2,1)),"")</f>
        <v/>
      </c>
      <c r="E773">
        <f>IFERROR(--SUBSTITUTE(SUBSTITUTE(TRIM(INDEX(INDIRECT("'Выгрузка'!A773:Z773"),Настройки!$B$11)),",","."),".",MID(1/2,2,1)),"")</f>
        <v/>
      </c>
      <c r="F773">
        <f>TRIM(INDEX(INDIRECT("'Выгрузка'!A773:Z773"),Настройки!$B$12)&amp;"")</f>
        <v/>
      </c>
      <c r="G773">
        <f>IF(F773="",0,IF(TRIM(INDEX(INDIRECT("'Выгрузка'!A773:Z773"),Настройки!$B$13)&amp;"")="",1,IFERROR(--SUBSTITUTE(SUBSTITUTE(TRIM(INDEX(INDIRECT("'Выгрузка'!A773:Z773"),Настройки!$B$13)),",","."),".",MID(1/2,2,1)),"")))</f>
        <v/>
      </c>
      <c r="H773">
        <f>IF(F773="",0,IF(COUNTIF(Настройки!$B$17:$B$26,F773)&gt;0,1,IF(COUNTIF(Настройки!$C$17:$C$26,F773)&gt;0,2,IF(COUNTIF(Настройки!$D$17:$D$26,F773)&gt;0,3,0))))</f>
        <v/>
      </c>
      <c r="I773">
        <f>IF(AND(ISNUMBER(A773),ISNUMBER(B773)),A773*1000+B773,"")</f>
        <v/>
      </c>
      <c r="J773">
        <f>IF(I773="","",IF(COUNTIF(I$2:I773,I773)=1,MAX(J$1:J772)+1,""))</f>
        <v/>
      </c>
    </row>
    <row r="774">
      <c r="A774">
        <f>IFERROR(--SUBSTITUTE(SUBSTITUTE(TRIM(INDEX(INDIRECT("'Выгрузка'!A774:Z774"),Настройки!$B$7)),",","."),".",MID(1/2,2,1)),"")</f>
        <v/>
      </c>
      <c r="B774">
        <f>IFERROR(--SUBSTITUTE(SUBSTITUTE(TRIM(INDEX(INDIRECT("'Выгрузка'!A774:Z774"),Настройки!$B$9)),",","."),".",MID(1/2,2,1)),"")</f>
        <v/>
      </c>
      <c r="C774">
        <f>TRIM(INDEX(INDIRECT("'Выгрузка'!A774:Z774"),Настройки!$B$8)&amp;"")</f>
        <v/>
      </c>
      <c r="D774">
        <f>IFERROR(--SUBSTITUTE(SUBSTITUTE(TRIM(INDEX(INDIRECT("'Выгрузка'!A774:Z774"),Настройки!$B$10)),",","."),".",MID(1/2,2,1)),"")</f>
        <v/>
      </c>
      <c r="E774">
        <f>IFERROR(--SUBSTITUTE(SUBSTITUTE(TRIM(INDEX(INDIRECT("'Выгрузка'!A774:Z774"),Настройки!$B$11)),",","."),".",MID(1/2,2,1)),"")</f>
        <v/>
      </c>
      <c r="F774">
        <f>TRIM(INDEX(INDIRECT("'Выгрузка'!A774:Z774"),Настройки!$B$12)&amp;"")</f>
        <v/>
      </c>
      <c r="G774">
        <f>IF(F774="",0,IF(TRIM(INDEX(INDIRECT("'Выгрузка'!A774:Z774"),Настройки!$B$13)&amp;"")="",1,IFERROR(--SUBSTITUTE(SUBSTITUTE(TRIM(INDEX(INDIRECT("'Выгрузка'!A774:Z774"),Настройки!$B$13)),",","."),".",MID(1/2,2,1)),"")))</f>
        <v/>
      </c>
      <c r="H774">
        <f>IF(F774="",0,IF(COUNTIF(Настройки!$B$17:$B$26,F774)&gt;0,1,IF(COUNTIF(Настройки!$C$17:$C$26,F774)&gt;0,2,IF(COUNTIF(Настройки!$D$17:$D$26,F774)&gt;0,3,0))))</f>
        <v/>
      </c>
      <c r="I774">
        <f>IF(AND(ISNUMBER(A774),ISNUMBER(B774)),A774*1000+B774,"")</f>
        <v/>
      </c>
      <c r="J774">
        <f>IF(I774="","",IF(COUNTIF(I$2:I774,I774)=1,MAX(J$1:J773)+1,""))</f>
        <v/>
      </c>
    </row>
    <row r="775">
      <c r="A775">
        <f>IFERROR(--SUBSTITUTE(SUBSTITUTE(TRIM(INDEX(INDIRECT("'Выгрузка'!A775:Z775"),Настройки!$B$7)),",","."),".",MID(1/2,2,1)),"")</f>
        <v/>
      </c>
      <c r="B775">
        <f>IFERROR(--SUBSTITUTE(SUBSTITUTE(TRIM(INDEX(INDIRECT("'Выгрузка'!A775:Z775"),Настройки!$B$9)),",","."),".",MID(1/2,2,1)),"")</f>
        <v/>
      </c>
      <c r="C775">
        <f>TRIM(INDEX(INDIRECT("'Выгрузка'!A775:Z775"),Настройки!$B$8)&amp;"")</f>
        <v/>
      </c>
      <c r="D775">
        <f>IFERROR(--SUBSTITUTE(SUBSTITUTE(TRIM(INDEX(INDIRECT("'Выгрузка'!A775:Z775"),Настройки!$B$10)),",","."),".",MID(1/2,2,1)),"")</f>
        <v/>
      </c>
      <c r="E775">
        <f>IFERROR(--SUBSTITUTE(SUBSTITUTE(TRIM(INDEX(INDIRECT("'Выгрузка'!A775:Z775"),Настройки!$B$11)),",","."),".",MID(1/2,2,1)),"")</f>
        <v/>
      </c>
      <c r="F775">
        <f>TRIM(INDEX(INDIRECT("'Выгрузка'!A775:Z775"),Настройки!$B$12)&amp;"")</f>
        <v/>
      </c>
      <c r="G775">
        <f>IF(F775="",0,IF(TRIM(INDEX(INDIRECT("'Выгрузка'!A775:Z775"),Настройки!$B$13)&amp;"")="",1,IFERROR(--SUBSTITUTE(SUBSTITUTE(TRIM(INDEX(INDIRECT("'Выгрузка'!A775:Z775"),Настройки!$B$13)),",","."),".",MID(1/2,2,1)),"")))</f>
        <v/>
      </c>
      <c r="H775">
        <f>IF(F775="",0,IF(COUNTIF(Настройки!$B$17:$B$26,F775)&gt;0,1,IF(COUNTIF(Настройки!$C$17:$C$26,F775)&gt;0,2,IF(COUNTIF(Настройки!$D$17:$D$26,F775)&gt;0,3,0))))</f>
        <v/>
      </c>
      <c r="I775">
        <f>IF(AND(ISNUMBER(A775),ISNUMBER(B775)),A775*1000+B775,"")</f>
        <v/>
      </c>
      <c r="J775">
        <f>IF(I775="","",IF(COUNTIF(I$2:I775,I775)=1,MAX(J$1:J774)+1,""))</f>
        <v/>
      </c>
    </row>
    <row r="776">
      <c r="A776">
        <f>IFERROR(--SUBSTITUTE(SUBSTITUTE(TRIM(INDEX(INDIRECT("'Выгрузка'!A776:Z776"),Настройки!$B$7)),",","."),".",MID(1/2,2,1)),"")</f>
        <v/>
      </c>
      <c r="B776">
        <f>IFERROR(--SUBSTITUTE(SUBSTITUTE(TRIM(INDEX(INDIRECT("'Выгрузка'!A776:Z776"),Настройки!$B$9)),",","."),".",MID(1/2,2,1)),"")</f>
        <v/>
      </c>
      <c r="C776">
        <f>TRIM(INDEX(INDIRECT("'Выгрузка'!A776:Z776"),Настройки!$B$8)&amp;"")</f>
        <v/>
      </c>
      <c r="D776">
        <f>IFERROR(--SUBSTITUTE(SUBSTITUTE(TRIM(INDEX(INDIRECT("'Выгрузка'!A776:Z776"),Настройки!$B$10)),",","."),".",MID(1/2,2,1)),"")</f>
        <v/>
      </c>
      <c r="E776">
        <f>IFERROR(--SUBSTITUTE(SUBSTITUTE(TRIM(INDEX(INDIRECT("'Выгрузка'!A776:Z776"),Настройки!$B$11)),",","."),".",MID(1/2,2,1)),"")</f>
        <v/>
      </c>
      <c r="F776">
        <f>TRIM(INDEX(INDIRECT("'Выгрузка'!A776:Z776"),Настройки!$B$12)&amp;"")</f>
        <v/>
      </c>
      <c r="G776">
        <f>IF(F776="",0,IF(TRIM(INDEX(INDIRECT("'Выгрузка'!A776:Z776"),Настройки!$B$13)&amp;"")="",1,IFERROR(--SUBSTITUTE(SUBSTITUTE(TRIM(INDEX(INDIRECT("'Выгрузка'!A776:Z776"),Настройки!$B$13)),",","."),".",MID(1/2,2,1)),"")))</f>
        <v/>
      </c>
      <c r="H776">
        <f>IF(F776="",0,IF(COUNTIF(Настройки!$B$17:$B$26,F776)&gt;0,1,IF(COUNTIF(Настройки!$C$17:$C$26,F776)&gt;0,2,IF(COUNTIF(Настройки!$D$17:$D$26,F776)&gt;0,3,0))))</f>
        <v/>
      </c>
      <c r="I776">
        <f>IF(AND(ISNUMBER(A776),ISNUMBER(B776)),A776*1000+B776,"")</f>
        <v/>
      </c>
      <c r="J776">
        <f>IF(I776="","",IF(COUNTIF(I$2:I776,I776)=1,MAX(J$1:J775)+1,""))</f>
        <v/>
      </c>
    </row>
    <row r="777">
      <c r="A777">
        <f>IFERROR(--SUBSTITUTE(SUBSTITUTE(TRIM(INDEX(INDIRECT("'Выгрузка'!A777:Z777"),Настройки!$B$7)),",","."),".",MID(1/2,2,1)),"")</f>
        <v/>
      </c>
      <c r="B777">
        <f>IFERROR(--SUBSTITUTE(SUBSTITUTE(TRIM(INDEX(INDIRECT("'Выгрузка'!A777:Z777"),Настройки!$B$9)),",","."),".",MID(1/2,2,1)),"")</f>
        <v/>
      </c>
      <c r="C777">
        <f>TRIM(INDEX(INDIRECT("'Выгрузка'!A777:Z777"),Настройки!$B$8)&amp;"")</f>
        <v/>
      </c>
      <c r="D777">
        <f>IFERROR(--SUBSTITUTE(SUBSTITUTE(TRIM(INDEX(INDIRECT("'Выгрузка'!A777:Z777"),Настройки!$B$10)),",","."),".",MID(1/2,2,1)),"")</f>
        <v/>
      </c>
      <c r="E777">
        <f>IFERROR(--SUBSTITUTE(SUBSTITUTE(TRIM(INDEX(INDIRECT("'Выгрузка'!A777:Z777"),Настройки!$B$11)),",","."),".",MID(1/2,2,1)),"")</f>
        <v/>
      </c>
      <c r="F777">
        <f>TRIM(INDEX(INDIRECT("'Выгрузка'!A777:Z777"),Настройки!$B$12)&amp;"")</f>
        <v/>
      </c>
      <c r="G777">
        <f>IF(F777="",0,IF(TRIM(INDEX(INDIRECT("'Выгрузка'!A777:Z777"),Настройки!$B$13)&amp;"")="",1,IFERROR(--SUBSTITUTE(SUBSTITUTE(TRIM(INDEX(INDIRECT("'Выгрузка'!A777:Z777"),Настройки!$B$13)),",","."),".",MID(1/2,2,1)),"")))</f>
        <v/>
      </c>
      <c r="H777">
        <f>IF(F777="",0,IF(COUNTIF(Настройки!$B$17:$B$26,F777)&gt;0,1,IF(COUNTIF(Настройки!$C$17:$C$26,F777)&gt;0,2,IF(COUNTIF(Настройки!$D$17:$D$26,F777)&gt;0,3,0))))</f>
        <v/>
      </c>
      <c r="I777">
        <f>IF(AND(ISNUMBER(A777),ISNUMBER(B777)),A777*1000+B777,"")</f>
        <v/>
      </c>
      <c r="J777">
        <f>IF(I777="","",IF(COUNTIF(I$2:I777,I777)=1,MAX(J$1:J776)+1,""))</f>
        <v/>
      </c>
    </row>
    <row r="778">
      <c r="A778">
        <f>IFERROR(--SUBSTITUTE(SUBSTITUTE(TRIM(INDEX(INDIRECT("'Выгрузка'!A778:Z778"),Настройки!$B$7)),",","."),".",MID(1/2,2,1)),"")</f>
        <v/>
      </c>
      <c r="B778">
        <f>IFERROR(--SUBSTITUTE(SUBSTITUTE(TRIM(INDEX(INDIRECT("'Выгрузка'!A778:Z778"),Настройки!$B$9)),",","."),".",MID(1/2,2,1)),"")</f>
        <v/>
      </c>
      <c r="C778">
        <f>TRIM(INDEX(INDIRECT("'Выгрузка'!A778:Z778"),Настройки!$B$8)&amp;"")</f>
        <v/>
      </c>
      <c r="D778">
        <f>IFERROR(--SUBSTITUTE(SUBSTITUTE(TRIM(INDEX(INDIRECT("'Выгрузка'!A778:Z778"),Настройки!$B$10)),",","."),".",MID(1/2,2,1)),"")</f>
        <v/>
      </c>
      <c r="E778">
        <f>IFERROR(--SUBSTITUTE(SUBSTITUTE(TRIM(INDEX(INDIRECT("'Выгрузка'!A778:Z778"),Настройки!$B$11)),",","."),".",MID(1/2,2,1)),"")</f>
        <v/>
      </c>
      <c r="F778">
        <f>TRIM(INDEX(INDIRECT("'Выгрузка'!A778:Z778"),Настройки!$B$12)&amp;"")</f>
        <v/>
      </c>
      <c r="G778">
        <f>IF(F778="",0,IF(TRIM(INDEX(INDIRECT("'Выгрузка'!A778:Z778"),Настройки!$B$13)&amp;"")="",1,IFERROR(--SUBSTITUTE(SUBSTITUTE(TRIM(INDEX(INDIRECT("'Выгрузка'!A778:Z778"),Настройки!$B$13)),",","."),".",MID(1/2,2,1)),"")))</f>
        <v/>
      </c>
      <c r="H778">
        <f>IF(F778="",0,IF(COUNTIF(Настройки!$B$17:$B$26,F778)&gt;0,1,IF(COUNTIF(Настройки!$C$17:$C$26,F778)&gt;0,2,IF(COUNTIF(Настройки!$D$17:$D$26,F778)&gt;0,3,0))))</f>
        <v/>
      </c>
      <c r="I778">
        <f>IF(AND(ISNUMBER(A778),ISNUMBER(B778)),A778*1000+B778,"")</f>
        <v/>
      </c>
      <c r="J778">
        <f>IF(I778="","",IF(COUNTIF(I$2:I778,I778)=1,MAX(J$1:J777)+1,""))</f>
        <v/>
      </c>
    </row>
    <row r="779">
      <c r="A779">
        <f>IFERROR(--SUBSTITUTE(SUBSTITUTE(TRIM(INDEX(INDIRECT("'Выгрузка'!A779:Z779"),Настройки!$B$7)),",","."),".",MID(1/2,2,1)),"")</f>
        <v/>
      </c>
      <c r="B779">
        <f>IFERROR(--SUBSTITUTE(SUBSTITUTE(TRIM(INDEX(INDIRECT("'Выгрузка'!A779:Z779"),Настройки!$B$9)),",","."),".",MID(1/2,2,1)),"")</f>
        <v/>
      </c>
      <c r="C779">
        <f>TRIM(INDEX(INDIRECT("'Выгрузка'!A779:Z779"),Настройки!$B$8)&amp;"")</f>
        <v/>
      </c>
      <c r="D779">
        <f>IFERROR(--SUBSTITUTE(SUBSTITUTE(TRIM(INDEX(INDIRECT("'Выгрузка'!A779:Z779"),Настройки!$B$10)),",","."),".",MID(1/2,2,1)),"")</f>
        <v/>
      </c>
      <c r="E779">
        <f>IFERROR(--SUBSTITUTE(SUBSTITUTE(TRIM(INDEX(INDIRECT("'Выгрузка'!A779:Z779"),Настройки!$B$11)),",","."),".",MID(1/2,2,1)),"")</f>
        <v/>
      </c>
      <c r="F779">
        <f>TRIM(INDEX(INDIRECT("'Выгрузка'!A779:Z779"),Настройки!$B$12)&amp;"")</f>
        <v/>
      </c>
      <c r="G779">
        <f>IF(F779="",0,IF(TRIM(INDEX(INDIRECT("'Выгрузка'!A779:Z779"),Настройки!$B$13)&amp;"")="",1,IFERROR(--SUBSTITUTE(SUBSTITUTE(TRIM(INDEX(INDIRECT("'Выгрузка'!A779:Z779"),Настройки!$B$13)),",","."),".",MID(1/2,2,1)),"")))</f>
        <v/>
      </c>
      <c r="H779">
        <f>IF(F779="",0,IF(COUNTIF(Настройки!$B$17:$B$26,F779)&gt;0,1,IF(COUNTIF(Настройки!$C$17:$C$26,F779)&gt;0,2,IF(COUNTIF(Настройки!$D$17:$D$26,F779)&gt;0,3,0))))</f>
        <v/>
      </c>
      <c r="I779">
        <f>IF(AND(ISNUMBER(A779),ISNUMBER(B779)),A779*1000+B779,"")</f>
        <v/>
      </c>
      <c r="J779">
        <f>IF(I779="","",IF(COUNTIF(I$2:I779,I779)=1,MAX(J$1:J778)+1,""))</f>
        <v/>
      </c>
    </row>
    <row r="780">
      <c r="A780">
        <f>IFERROR(--SUBSTITUTE(SUBSTITUTE(TRIM(INDEX(INDIRECT("'Выгрузка'!A780:Z780"),Настройки!$B$7)),",","."),".",MID(1/2,2,1)),"")</f>
        <v/>
      </c>
      <c r="B780">
        <f>IFERROR(--SUBSTITUTE(SUBSTITUTE(TRIM(INDEX(INDIRECT("'Выгрузка'!A780:Z780"),Настройки!$B$9)),",","."),".",MID(1/2,2,1)),"")</f>
        <v/>
      </c>
      <c r="C780">
        <f>TRIM(INDEX(INDIRECT("'Выгрузка'!A780:Z780"),Настройки!$B$8)&amp;"")</f>
        <v/>
      </c>
      <c r="D780">
        <f>IFERROR(--SUBSTITUTE(SUBSTITUTE(TRIM(INDEX(INDIRECT("'Выгрузка'!A780:Z780"),Настройки!$B$10)),",","."),".",MID(1/2,2,1)),"")</f>
        <v/>
      </c>
      <c r="E780">
        <f>IFERROR(--SUBSTITUTE(SUBSTITUTE(TRIM(INDEX(INDIRECT("'Выгрузка'!A780:Z780"),Настройки!$B$11)),",","."),".",MID(1/2,2,1)),"")</f>
        <v/>
      </c>
      <c r="F780">
        <f>TRIM(INDEX(INDIRECT("'Выгрузка'!A780:Z780"),Настройки!$B$12)&amp;"")</f>
        <v/>
      </c>
      <c r="G780">
        <f>IF(F780="",0,IF(TRIM(INDEX(INDIRECT("'Выгрузка'!A780:Z780"),Настройки!$B$13)&amp;"")="",1,IFERROR(--SUBSTITUTE(SUBSTITUTE(TRIM(INDEX(INDIRECT("'Выгрузка'!A780:Z780"),Настройки!$B$13)),",","."),".",MID(1/2,2,1)),"")))</f>
        <v/>
      </c>
      <c r="H780">
        <f>IF(F780="",0,IF(COUNTIF(Настройки!$B$17:$B$26,F780)&gt;0,1,IF(COUNTIF(Настройки!$C$17:$C$26,F780)&gt;0,2,IF(COUNTIF(Настройки!$D$17:$D$26,F780)&gt;0,3,0))))</f>
        <v/>
      </c>
      <c r="I780">
        <f>IF(AND(ISNUMBER(A780),ISNUMBER(B780)),A780*1000+B780,"")</f>
        <v/>
      </c>
      <c r="J780">
        <f>IF(I780="","",IF(COUNTIF(I$2:I780,I780)=1,MAX(J$1:J779)+1,""))</f>
        <v/>
      </c>
    </row>
    <row r="781">
      <c r="A781">
        <f>IFERROR(--SUBSTITUTE(SUBSTITUTE(TRIM(INDEX(INDIRECT("'Выгрузка'!A781:Z781"),Настройки!$B$7)),",","."),".",MID(1/2,2,1)),"")</f>
        <v/>
      </c>
      <c r="B781">
        <f>IFERROR(--SUBSTITUTE(SUBSTITUTE(TRIM(INDEX(INDIRECT("'Выгрузка'!A781:Z781"),Настройки!$B$9)),",","."),".",MID(1/2,2,1)),"")</f>
        <v/>
      </c>
      <c r="C781">
        <f>TRIM(INDEX(INDIRECT("'Выгрузка'!A781:Z781"),Настройки!$B$8)&amp;"")</f>
        <v/>
      </c>
      <c r="D781">
        <f>IFERROR(--SUBSTITUTE(SUBSTITUTE(TRIM(INDEX(INDIRECT("'Выгрузка'!A781:Z781"),Настройки!$B$10)),",","."),".",MID(1/2,2,1)),"")</f>
        <v/>
      </c>
      <c r="E781">
        <f>IFERROR(--SUBSTITUTE(SUBSTITUTE(TRIM(INDEX(INDIRECT("'Выгрузка'!A781:Z781"),Настройки!$B$11)),",","."),".",MID(1/2,2,1)),"")</f>
        <v/>
      </c>
      <c r="F781">
        <f>TRIM(INDEX(INDIRECT("'Выгрузка'!A781:Z781"),Настройки!$B$12)&amp;"")</f>
        <v/>
      </c>
      <c r="G781">
        <f>IF(F781="",0,IF(TRIM(INDEX(INDIRECT("'Выгрузка'!A781:Z781"),Настройки!$B$13)&amp;"")="",1,IFERROR(--SUBSTITUTE(SUBSTITUTE(TRIM(INDEX(INDIRECT("'Выгрузка'!A781:Z781"),Настройки!$B$13)),",","."),".",MID(1/2,2,1)),"")))</f>
        <v/>
      </c>
      <c r="H781">
        <f>IF(F781="",0,IF(COUNTIF(Настройки!$B$17:$B$26,F781)&gt;0,1,IF(COUNTIF(Настройки!$C$17:$C$26,F781)&gt;0,2,IF(COUNTIF(Настройки!$D$17:$D$26,F781)&gt;0,3,0))))</f>
        <v/>
      </c>
      <c r="I781">
        <f>IF(AND(ISNUMBER(A781),ISNUMBER(B781)),A781*1000+B781,"")</f>
        <v/>
      </c>
      <c r="J781">
        <f>IF(I781="","",IF(COUNTIF(I$2:I781,I781)=1,MAX(J$1:J780)+1,""))</f>
        <v/>
      </c>
    </row>
    <row r="782">
      <c r="A782">
        <f>IFERROR(--SUBSTITUTE(SUBSTITUTE(TRIM(INDEX(INDIRECT("'Выгрузка'!A782:Z782"),Настройки!$B$7)),",","."),".",MID(1/2,2,1)),"")</f>
        <v/>
      </c>
      <c r="B782">
        <f>IFERROR(--SUBSTITUTE(SUBSTITUTE(TRIM(INDEX(INDIRECT("'Выгрузка'!A782:Z782"),Настройки!$B$9)),",","."),".",MID(1/2,2,1)),"")</f>
        <v/>
      </c>
      <c r="C782">
        <f>TRIM(INDEX(INDIRECT("'Выгрузка'!A782:Z782"),Настройки!$B$8)&amp;"")</f>
        <v/>
      </c>
      <c r="D782">
        <f>IFERROR(--SUBSTITUTE(SUBSTITUTE(TRIM(INDEX(INDIRECT("'Выгрузка'!A782:Z782"),Настройки!$B$10)),",","."),".",MID(1/2,2,1)),"")</f>
        <v/>
      </c>
      <c r="E782">
        <f>IFERROR(--SUBSTITUTE(SUBSTITUTE(TRIM(INDEX(INDIRECT("'Выгрузка'!A782:Z782"),Настройки!$B$11)),",","."),".",MID(1/2,2,1)),"")</f>
        <v/>
      </c>
      <c r="F782">
        <f>TRIM(INDEX(INDIRECT("'Выгрузка'!A782:Z782"),Настройки!$B$12)&amp;"")</f>
        <v/>
      </c>
      <c r="G782">
        <f>IF(F782="",0,IF(TRIM(INDEX(INDIRECT("'Выгрузка'!A782:Z782"),Настройки!$B$13)&amp;"")="",1,IFERROR(--SUBSTITUTE(SUBSTITUTE(TRIM(INDEX(INDIRECT("'Выгрузка'!A782:Z782"),Настройки!$B$13)),",","."),".",MID(1/2,2,1)),"")))</f>
        <v/>
      </c>
      <c r="H782">
        <f>IF(F782="",0,IF(COUNTIF(Настройки!$B$17:$B$26,F782)&gt;0,1,IF(COUNTIF(Настройки!$C$17:$C$26,F782)&gt;0,2,IF(COUNTIF(Настройки!$D$17:$D$26,F782)&gt;0,3,0))))</f>
        <v/>
      </c>
      <c r="I782">
        <f>IF(AND(ISNUMBER(A782),ISNUMBER(B782)),A782*1000+B782,"")</f>
        <v/>
      </c>
      <c r="J782">
        <f>IF(I782="","",IF(COUNTIF(I$2:I782,I782)=1,MAX(J$1:J781)+1,""))</f>
        <v/>
      </c>
    </row>
    <row r="783">
      <c r="A783">
        <f>IFERROR(--SUBSTITUTE(SUBSTITUTE(TRIM(INDEX(INDIRECT("'Выгрузка'!A783:Z783"),Настройки!$B$7)),",","."),".",MID(1/2,2,1)),"")</f>
        <v/>
      </c>
      <c r="B783">
        <f>IFERROR(--SUBSTITUTE(SUBSTITUTE(TRIM(INDEX(INDIRECT("'Выгрузка'!A783:Z783"),Настройки!$B$9)),",","."),".",MID(1/2,2,1)),"")</f>
        <v/>
      </c>
      <c r="C783">
        <f>TRIM(INDEX(INDIRECT("'Выгрузка'!A783:Z783"),Настройки!$B$8)&amp;"")</f>
        <v/>
      </c>
      <c r="D783">
        <f>IFERROR(--SUBSTITUTE(SUBSTITUTE(TRIM(INDEX(INDIRECT("'Выгрузка'!A783:Z783"),Настройки!$B$10)),",","."),".",MID(1/2,2,1)),"")</f>
        <v/>
      </c>
      <c r="E783">
        <f>IFERROR(--SUBSTITUTE(SUBSTITUTE(TRIM(INDEX(INDIRECT("'Выгрузка'!A783:Z783"),Настройки!$B$11)),",","."),".",MID(1/2,2,1)),"")</f>
        <v/>
      </c>
      <c r="F783">
        <f>TRIM(INDEX(INDIRECT("'Выгрузка'!A783:Z783"),Настройки!$B$12)&amp;"")</f>
        <v/>
      </c>
      <c r="G783">
        <f>IF(F783="",0,IF(TRIM(INDEX(INDIRECT("'Выгрузка'!A783:Z783"),Настройки!$B$13)&amp;"")="",1,IFERROR(--SUBSTITUTE(SUBSTITUTE(TRIM(INDEX(INDIRECT("'Выгрузка'!A783:Z783"),Настройки!$B$13)),",","."),".",MID(1/2,2,1)),"")))</f>
        <v/>
      </c>
      <c r="H783">
        <f>IF(F783="",0,IF(COUNTIF(Настройки!$B$17:$B$26,F783)&gt;0,1,IF(COUNTIF(Настройки!$C$17:$C$26,F783)&gt;0,2,IF(COUNTIF(Настройки!$D$17:$D$26,F783)&gt;0,3,0))))</f>
        <v/>
      </c>
      <c r="I783">
        <f>IF(AND(ISNUMBER(A783),ISNUMBER(B783)),A783*1000+B783,"")</f>
        <v/>
      </c>
      <c r="J783">
        <f>IF(I783="","",IF(COUNTIF(I$2:I783,I783)=1,MAX(J$1:J782)+1,""))</f>
        <v/>
      </c>
    </row>
    <row r="784">
      <c r="A784">
        <f>IFERROR(--SUBSTITUTE(SUBSTITUTE(TRIM(INDEX(INDIRECT("'Выгрузка'!A784:Z784"),Настройки!$B$7)),",","."),".",MID(1/2,2,1)),"")</f>
        <v/>
      </c>
      <c r="B784">
        <f>IFERROR(--SUBSTITUTE(SUBSTITUTE(TRIM(INDEX(INDIRECT("'Выгрузка'!A784:Z784"),Настройки!$B$9)),",","."),".",MID(1/2,2,1)),"")</f>
        <v/>
      </c>
      <c r="C784">
        <f>TRIM(INDEX(INDIRECT("'Выгрузка'!A784:Z784"),Настройки!$B$8)&amp;"")</f>
        <v/>
      </c>
      <c r="D784">
        <f>IFERROR(--SUBSTITUTE(SUBSTITUTE(TRIM(INDEX(INDIRECT("'Выгрузка'!A784:Z784"),Настройки!$B$10)),",","."),".",MID(1/2,2,1)),"")</f>
        <v/>
      </c>
      <c r="E784">
        <f>IFERROR(--SUBSTITUTE(SUBSTITUTE(TRIM(INDEX(INDIRECT("'Выгрузка'!A784:Z784"),Настройки!$B$11)),",","."),".",MID(1/2,2,1)),"")</f>
        <v/>
      </c>
      <c r="F784">
        <f>TRIM(INDEX(INDIRECT("'Выгрузка'!A784:Z784"),Настройки!$B$12)&amp;"")</f>
        <v/>
      </c>
      <c r="G784">
        <f>IF(F784="",0,IF(TRIM(INDEX(INDIRECT("'Выгрузка'!A784:Z784"),Настройки!$B$13)&amp;"")="",1,IFERROR(--SUBSTITUTE(SUBSTITUTE(TRIM(INDEX(INDIRECT("'Выгрузка'!A784:Z784"),Настройки!$B$13)),",","."),".",MID(1/2,2,1)),"")))</f>
        <v/>
      </c>
      <c r="H784">
        <f>IF(F784="",0,IF(COUNTIF(Настройки!$B$17:$B$26,F784)&gt;0,1,IF(COUNTIF(Настройки!$C$17:$C$26,F784)&gt;0,2,IF(COUNTIF(Настройки!$D$17:$D$26,F784)&gt;0,3,0))))</f>
        <v/>
      </c>
      <c r="I784">
        <f>IF(AND(ISNUMBER(A784),ISNUMBER(B784)),A784*1000+B784,"")</f>
        <v/>
      </c>
      <c r="J784">
        <f>IF(I784="","",IF(COUNTIF(I$2:I784,I784)=1,MAX(J$1:J783)+1,""))</f>
        <v/>
      </c>
    </row>
    <row r="785">
      <c r="A785">
        <f>IFERROR(--SUBSTITUTE(SUBSTITUTE(TRIM(INDEX(INDIRECT("'Выгрузка'!A785:Z785"),Настройки!$B$7)),",","."),".",MID(1/2,2,1)),"")</f>
        <v/>
      </c>
      <c r="B785">
        <f>IFERROR(--SUBSTITUTE(SUBSTITUTE(TRIM(INDEX(INDIRECT("'Выгрузка'!A785:Z785"),Настройки!$B$9)),",","."),".",MID(1/2,2,1)),"")</f>
        <v/>
      </c>
      <c r="C785">
        <f>TRIM(INDEX(INDIRECT("'Выгрузка'!A785:Z785"),Настройки!$B$8)&amp;"")</f>
        <v/>
      </c>
      <c r="D785">
        <f>IFERROR(--SUBSTITUTE(SUBSTITUTE(TRIM(INDEX(INDIRECT("'Выгрузка'!A785:Z785"),Настройки!$B$10)),",","."),".",MID(1/2,2,1)),"")</f>
        <v/>
      </c>
      <c r="E785">
        <f>IFERROR(--SUBSTITUTE(SUBSTITUTE(TRIM(INDEX(INDIRECT("'Выгрузка'!A785:Z785"),Настройки!$B$11)),",","."),".",MID(1/2,2,1)),"")</f>
        <v/>
      </c>
      <c r="F785">
        <f>TRIM(INDEX(INDIRECT("'Выгрузка'!A785:Z785"),Настройки!$B$12)&amp;"")</f>
        <v/>
      </c>
      <c r="G785">
        <f>IF(F785="",0,IF(TRIM(INDEX(INDIRECT("'Выгрузка'!A785:Z785"),Настройки!$B$13)&amp;"")="",1,IFERROR(--SUBSTITUTE(SUBSTITUTE(TRIM(INDEX(INDIRECT("'Выгрузка'!A785:Z785"),Настройки!$B$13)),",","."),".",MID(1/2,2,1)),"")))</f>
        <v/>
      </c>
      <c r="H785">
        <f>IF(F785="",0,IF(COUNTIF(Настройки!$B$17:$B$26,F785)&gt;0,1,IF(COUNTIF(Настройки!$C$17:$C$26,F785)&gt;0,2,IF(COUNTIF(Настройки!$D$17:$D$26,F785)&gt;0,3,0))))</f>
        <v/>
      </c>
      <c r="I785">
        <f>IF(AND(ISNUMBER(A785),ISNUMBER(B785)),A785*1000+B785,"")</f>
        <v/>
      </c>
      <c r="J785">
        <f>IF(I785="","",IF(COUNTIF(I$2:I785,I785)=1,MAX(J$1:J784)+1,""))</f>
        <v/>
      </c>
    </row>
    <row r="786">
      <c r="A786">
        <f>IFERROR(--SUBSTITUTE(SUBSTITUTE(TRIM(INDEX(INDIRECT("'Выгрузка'!A786:Z786"),Настройки!$B$7)),",","."),".",MID(1/2,2,1)),"")</f>
        <v/>
      </c>
      <c r="B786">
        <f>IFERROR(--SUBSTITUTE(SUBSTITUTE(TRIM(INDEX(INDIRECT("'Выгрузка'!A786:Z786"),Настройки!$B$9)),",","."),".",MID(1/2,2,1)),"")</f>
        <v/>
      </c>
      <c r="C786">
        <f>TRIM(INDEX(INDIRECT("'Выгрузка'!A786:Z786"),Настройки!$B$8)&amp;"")</f>
        <v/>
      </c>
      <c r="D786">
        <f>IFERROR(--SUBSTITUTE(SUBSTITUTE(TRIM(INDEX(INDIRECT("'Выгрузка'!A786:Z786"),Настройки!$B$10)),",","."),".",MID(1/2,2,1)),"")</f>
        <v/>
      </c>
      <c r="E786">
        <f>IFERROR(--SUBSTITUTE(SUBSTITUTE(TRIM(INDEX(INDIRECT("'Выгрузка'!A786:Z786"),Настройки!$B$11)),",","."),".",MID(1/2,2,1)),"")</f>
        <v/>
      </c>
      <c r="F786">
        <f>TRIM(INDEX(INDIRECT("'Выгрузка'!A786:Z786"),Настройки!$B$12)&amp;"")</f>
        <v/>
      </c>
      <c r="G786">
        <f>IF(F786="",0,IF(TRIM(INDEX(INDIRECT("'Выгрузка'!A786:Z786"),Настройки!$B$13)&amp;"")="",1,IFERROR(--SUBSTITUTE(SUBSTITUTE(TRIM(INDEX(INDIRECT("'Выгрузка'!A786:Z786"),Настройки!$B$13)),",","."),".",MID(1/2,2,1)),"")))</f>
        <v/>
      </c>
      <c r="H786">
        <f>IF(F786="",0,IF(COUNTIF(Настройки!$B$17:$B$26,F786)&gt;0,1,IF(COUNTIF(Настройки!$C$17:$C$26,F786)&gt;0,2,IF(COUNTIF(Настройки!$D$17:$D$26,F786)&gt;0,3,0))))</f>
        <v/>
      </c>
      <c r="I786">
        <f>IF(AND(ISNUMBER(A786),ISNUMBER(B786)),A786*1000+B786,"")</f>
        <v/>
      </c>
      <c r="J786">
        <f>IF(I786="","",IF(COUNTIF(I$2:I786,I786)=1,MAX(J$1:J785)+1,""))</f>
        <v/>
      </c>
    </row>
    <row r="787">
      <c r="A787">
        <f>IFERROR(--SUBSTITUTE(SUBSTITUTE(TRIM(INDEX(INDIRECT("'Выгрузка'!A787:Z787"),Настройки!$B$7)),",","."),".",MID(1/2,2,1)),"")</f>
        <v/>
      </c>
      <c r="B787">
        <f>IFERROR(--SUBSTITUTE(SUBSTITUTE(TRIM(INDEX(INDIRECT("'Выгрузка'!A787:Z787"),Настройки!$B$9)),",","."),".",MID(1/2,2,1)),"")</f>
        <v/>
      </c>
      <c r="C787">
        <f>TRIM(INDEX(INDIRECT("'Выгрузка'!A787:Z787"),Настройки!$B$8)&amp;"")</f>
        <v/>
      </c>
      <c r="D787">
        <f>IFERROR(--SUBSTITUTE(SUBSTITUTE(TRIM(INDEX(INDIRECT("'Выгрузка'!A787:Z787"),Настройки!$B$10)),",","."),".",MID(1/2,2,1)),"")</f>
        <v/>
      </c>
      <c r="E787">
        <f>IFERROR(--SUBSTITUTE(SUBSTITUTE(TRIM(INDEX(INDIRECT("'Выгрузка'!A787:Z787"),Настройки!$B$11)),",","."),".",MID(1/2,2,1)),"")</f>
        <v/>
      </c>
      <c r="F787">
        <f>TRIM(INDEX(INDIRECT("'Выгрузка'!A787:Z787"),Настройки!$B$12)&amp;"")</f>
        <v/>
      </c>
      <c r="G787">
        <f>IF(F787="",0,IF(TRIM(INDEX(INDIRECT("'Выгрузка'!A787:Z787"),Настройки!$B$13)&amp;"")="",1,IFERROR(--SUBSTITUTE(SUBSTITUTE(TRIM(INDEX(INDIRECT("'Выгрузка'!A787:Z787"),Настройки!$B$13)),",","."),".",MID(1/2,2,1)),"")))</f>
        <v/>
      </c>
      <c r="H787">
        <f>IF(F787="",0,IF(COUNTIF(Настройки!$B$17:$B$26,F787)&gt;0,1,IF(COUNTIF(Настройки!$C$17:$C$26,F787)&gt;0,2,IF(COUNTIF(Настройки!$D$17:$D$26,F787)&gt;0,3,0))))</f>
        <v/>
      </c>
      <c r="I787">
        <f>IF(AND(ISNUMBER(A787),ISNUMBER(B787)),A787*1000+B787,"")</f>
        <v/>
      </c>
      <c r="J787">
        <f>IF(I787="","",IF(COUNTIF(I$2:I787,I787)=1,MAX(J$1:J786)+1,""))</f>
        <v/>
      </c>
    </row>
    <row r="788">
      <c r="A788">
        <f>IFERROR(--SUBSTITUTE(SUBSTITUTE(TRIM(INDEX(INDIRECT("'Выгрузка'!A788:Z788"),Настройки!$B$7)),",","."),".",MID(1/2,2,1)),"")</f>
        <v/>
      </c>
      <c r="B788">
        <f>IFERROR(--SUBSTITUTE(SUBSTITUTE(TRIM(INDEX(INDIRECT("'Выгрузка'!A788:Z788"),Настройки!$B$9)),",","."),".",MID(1/2,2,1)),"")</f>
        <v/>
      </c>
      <c r="C788">
        <f>TRIM(INDEX(INDIRECT("'Выгрузка'!A788:Z788"),Настройки!$B$8)&amp;"")</f>
        <v/>
      </c>
      <c r="D788">
        <f>IFERROR(--SUBSTITUTE(SUBSTITUTE(TRIM(INDEX(INDIRECT("'Выгрузка'!A788:Z788"),Настройки!$B$10)),",","."),".",MID(1/2,2,1)),"")</f>
        <v/>
      </c>
      <c r="E788">
        <f>IFERROR(--SUBSTITUTE(SUBSTITUTE(TRIM(INDEX(INDIRECT("'Выгрузка'!A788:Z788"),Настройки!$B$11)),",","."),".",MID(1/2,2,1)),"")</f>
        <v/>
      </c>
      <c r="F788">
        <f>TRIM(INDEX(INDIRECT("'Выгрузка'!A788:Z788"),Настройки!$B$12)&amp;"")</f>
        <v/>
      </c>
      <c r="G788">
        <f>IF(F788="",0,IF(TRIM(INDEX(INDIRECT("'Выгрузка'!A788:Z788"),Настройки!$B$13)&amp;"")="",1,IFERROR(--SUBSTITUTE(SUBSTITUTE(TRIM(INDEX(INDIRECT("'Выгрузка'!A788:Z788"),Настройки!$B$13)),",","."),".",MID(1/2,2,1)),"")))</f>
        <v/>
      </c>
      <c r="H788">
        <f>IF(F788="",0,IF(COUNTIF(Настройки!$B$17:$B$26,F788)&gt;0,1,IF(COUNTIF(Настройки!$C$17:$C$26,F788)&gt;0,2,IF(COUNTIF(Настройки!$D$17:$D$26,F788)&gt;0,3,0))))</f>
        <v/>
      </c>
      <c r="I788">
        <f>IF(AND(ISNUMBER(A788),ISNUMBER(B788)),A788*1000+B788,"")</f>
        <v/>
      </c>
      <c r="J788">
        <f>IF(I788="","",IF(COUNTIF(I$2:I788,I788)=1,MAX(J$1:J787)+1,""))</f>
        <v/>
      </c>
    </row>
    <row r="789">
      <c r="A789">
        <f>IFERROR(--SUBSTITUTE(SUBSTITUTE(TRIM(INDEX(INDIRECT("'Выгрузка'!A789:Z789"),Настройки!$B$7)),",","."),".",MID(1/2,2,1)),"")</f>
        <v/>
      </c>
      <c r="B789">
        <f>IFERROR(--SUBSTITUTE(SUBSTITUTE(TRIM(INDEX(INDIRECT("'Выгрузка'!A789:Z789"),Настройки!$B$9)),",","."),".",MID(1/2,2,1)),"")</f>
        <v/>
      </c>
      <c r="C789">
        <f>TRIM(INDEX(INDIRECT("'Выгрузка'!A789:Z789"),Настройки!$B$8)&amp;"")</f>
        <v/>
      </c>
      <c r="D789">
        <f>IFERROR(--SUBSTITUTE(SUBSTITUTE(TRIM(INDEX(INDIRECT("'Выгрузка'!A789:Z789"),Настройки!$B$10)),",","."),".",MID(1/2,2,1)),"")</f>
        <v/>
      </c>
      <c r="E789">
        <f>IFERROR(--SUBSTITUTE(SUBSTITUTE(TRIM(INDEX(INDIRECT("'Выгрузка'!A789:Z789"),Настройки!$B$11)),",","."),".",MID(1/2,2,1)),"")</f>
        <v/>
      </c>
      <c r="F789">
        <f>TRIM(INDEX(INDIRECT("'Выгрузка'!A789:Z789"),Настройки!$B$12)&amp;"")</f>
        <v/>
      </c>
      <c r="G789">
        <f>IF(F789="",0,IF(TRIM(INDEX(INDIRECT("'Выгрузка'!A789:Z789"),Настройки!$B$13)&amp;"")="",1,IFERROR(--SUBSTITUTE(SUBSTITUTE(TRIM(INDEX(INDIRECT("'Выгрузка'!A789:Z789"),Настройки!$B$13)),",","."),".",MID(1/2,2,1)),"")))</f>
        <v/>
      </c>
      <c r="H789">
        <f>IF(F789="",0,IF(COUNTIF(Настройки!$B$17:$B$26,F789)&gt;0,1,IF(COUNTIF(Настройки!$C$17:$C$26,F789)&gt;0,2,IF(COUNTIF(Настройки!$D$17:$D$26,F789)&gt;0,3,0))))</f>
        <v/>
      </c>
      <c r="I789">
        <f>IF(AND(ISNUMBER(A789),ISNUMBER(B789)),A789*1000+B789,"")</f>
        <v/>
      </c>
      <c r="J789">
        <f>IF(I789="","",IF(COUNTIF(I$2:I789,I789)=1,MAX(J$1:J788)+1,""))</f>
        <v/>
      </c>
    </row>
    <row r="790">
      <c r="A790">
        <f>IFERROR(--SUBSTITUTE(SUBSTITUTE(TRIM(INDEX(INDIRECT("'Выгрузка'!A790:Z790"),Настройки!$B$7)),",","."),".",MID(1/2,2,1)),"")</f>
        <v/>
      </c>
      <c r="B790">
        <f>IFERROR(--SUBSTITUTE(SUBSTITUTE(TRIM(INDEX(INDIRECT("'Выгрузка'!A790:Z790"),Настройки!$B$9)),",","."),".",MID(1/2,2,1)),"")</f>
        <v/>
      </c>
      <c r="C790">
        <f>TRIM(INDEX(INDIRECT("'Выгрузка'!A790:Z790"),Настройки!$B$8)&amp;"")</f>
        <v/>
      </c>
      <c r="D790">
        <f>IFERROR(--SUBSTITUTE(SUBSTITUTE(TRIM(INDEX(INDIRECT("'Выгрузка'!A790:Z790"),Настройки!$B$10)),",","."),".",MID(1/2,2,1)),"")</f>
        <v/>
      </c>
      <c r="E790">
        <f>IFERROR(--SUBSTITUTE(SUBSTITUTE(TRIM(INDEX(INDIRECT("'Выгрузка'!A790:Z790"),Настройки!$B$11)),",","."),".",MID(1/2,2,1)),"")</f>
        <v/>
      </c>
      <c r="F790">
        <f>TRIM(INDEX(INDIRECT("'Выгрузка'!A790:Z790"),Настройки!$B$12)&amp;"")</f>
        <v/>
      </c>
      <c r="G790">
        <f>IF(F790="",0,IF(TRIM(INDEX(INDIRECT("'Выгрузка'!A790:Z790"),Настройки!$B$13)&amp;"")="",1,IFERROR(--SUBSTITUTE(SUBSTITUTE(TRIM(INDEX(INDIRECT("'Выгрузка'!A790:Z790"),Настройки!$B$13)),",","."),".",MID(1/2,2,1)),"")))</f>
        <v/>
      </c>
      <c r="H790">
        <f>IF(F790="",0,IF(COUNTIF(Настройки!$B$17:$B$26,F790)&gt;0,1,IF(COUNTIF(Настройки!$C$17:$C$26,F790)&gt;0,2,IF(COUNTIF(Настройки!$D$17:$D$26,F790)&gt;0,3,0))))</f>
        <v/>
      </c>
      <c r="I790">
        <f>IF(AND(ISNUMBER(A790),ISNUMBER(B790)),A790*1000+B790,"")</f>
        <v/>
      </c>
      <c r="J790">
        <f>IF(I790="","",IF(COUNTIF(I$2:I790,I790)=1,MAX(J$1:J789)+1,""))</f>
        <v/>
      </c>
    </row>
    <row r="791">
      <c r="A791">
        <f>IFERROR(--SUBSTITUTE(SUBSTITUTE(TRIM(INDEX(INDIRECT("'Выгрузка'!A791:Z791"),Настройки!$B$7)),",","."),".",MID(1/2,2,1)),"")</f>
        <v/>
      </c>
      <c r="B791">
        <f>IFERROR(--SUBSTITUTE(SUBSTITUTE(TRIM(INDEX(INDIRECT("'Выгрузка'!A791:Z791"),Настройки!$B$9)),",","."),".",MID(1/2,2,1)),"")</f>
        <v/>
      </c>
      <c r="C791">
        <f>TRIM(INDEX(INDIRECT("'Выгрузка'!A791:Z791"),Настройки!$B$8)&amp;"")</f>
        <v/>
      </c>
      <c r="D791">
        <f>IFERROR(--SUBSTITUTE(SUBSTITUTE(TRIM(INDEX(INDIRECT("'Выгрузка'!A791:Z791"),Настройки!$B$10)),",","."),".",MID(1/2,2,1)),"")</f>
        <v/>
      </c>
      <c r="E791">
        <f>IFERROR(--SUBSTITUTE(SUBSTITUTE(TRIM(INDEX(INDIRECT("'Выгрузка'!A791:Z791"),Настройки!$B$11)),",","."),".",MID(1/2,2,1)),"")</f>
        <v/>
      </c>
      <c r="F791">
        <f>TRIM(INDEX(INDIRECT("'Выгрузка'!A791:Z791"),Настройки!$B$12)&amp;"")</f>
        <v/>
      </c>
      <c r="G791">
        <f>IF(F791="",0,IF(TRIM(INDEX(INDIRECT("'Выгрузка'!A791:Z791"),Настройки!$B$13)&amp;"")="",1,IFERROR(--SUBSTITUTE(SUBSTITUTE(TRIM(INDEX(INDIRECT("'Выгрузка'!A791:Z791"),Настройки!$B$13)),",","."),".",MID(1/2,2,1)),"")))</f>
        <v/>
      </c>
      <c r="H791">
        <f>IF(F791="",0,IF(COUNTIF(Настройки!$B$17:$B$26,F791)&gt;0,1,IF(COUNTIF(Настройки!$C$17:$C$26,F791)&gt;0,2,IF(COUNTIF(Настройки!$D$17:$D$26,F791)&gt;0,3,0))))</f>
        <v/>
      </c>
      <c r="I791">
        <f>IF(AND(ISNUMBER(A791),ISNUMBER(B791)),A791*1000+B791,"")</f>
        <v/>
      </c>
      <c r="J791">
        <f>IF(I791="","",IF(COUNTIF(I$2:I791,I791)=1,MAX(J$1:J790)+1,""))</f>
        <v/>
      </c>
    </row>
    <row r="792">
      <c r="A792">
        <f>IFERROR(--SUBSTITUTE(SUBSTITUTE(TRIM(INDEX(INDIRECT("'Выгрузка'!A792:Z792"),Настройки!$B$7)),",","."),".",MID(1/2,2,1)),"")</f>
        <v/>
      </c>
      <c r="B792">
        <f>IFERROR(--SUBSTITUTE(SUBSTITUTE(TRIM(INDEX(INDIRECT("'Выгрузка'!A792:Z792"),Настройки!$B$9)),",","."),".",MID(1/2,2,1)),"")</f>
        <v/>
      </c>
      <c r="C792">
        <f>TRIM(INDEX(INDIRECT("'Выгрузка'!A792:Z792"),Настройки!$B$8)&amp;"")</f>
        <v/>
      </c>
      <c r="D792">
        <f>IFERROR(--SUBSTITUTE(SUBSTITUTE(TRIM(INDEX(INDIRECT("'Выгрузка'!A792:Z792"),Настройки!$B$10)),",","."),".",MID(1/2,2,1)),"")</f>
        <v/>
      </c>
      <c r="E792">
        <f>IFERROR(--SUBSTITUTE(SUBSTITUTE(TRIM(INDEX(INDIRECT("'Выгрузка'!A792:Z792"),Настройки!$B$11)),",","."),".",MID(1/2,2,1)),"")</f>
        <v/>
      </c>
      <c r="F792">
        <f>TRIM(INDEX(INDIRECT("'Выгрузка'!A792:Z792"),Настройки!$B$12)&amp;"")</f>
        <v/>
      </c>
      <c r="G792">
        <f>IF(F792="",0,IF(TRIM(INDEX(INDIRECT("'Выгрузка'!A792:Z792"),Настройки!$B$13)&amp;"")="",1,IFERROR(--SUBSTITUTE(SUBSTITUTE(TRIM(INDEX(INDIRECT("'Выгрузка'!A792:Z792"),Настройки!$B$13)),",","."),".",MID(1/2,2,1)),"")))</f>
        <v/>
      </c>
      <c r="H792">
        <f>IF(F792="",0,IF(COUNTIF(Настройки!$B$17:$B$26,F792)&gt;0,1,IF(COUNTIF(Настройки!$C$17:$C$26,F792)&gt;0,2,IF(COUNTIF(Настройки!$D$17:$D$26,F792)&gt;0,3,0))))</f>
        <v/>
      </c>
      <c r="I792">
        <f>IF(AND(ISNUMBER(A792),ISNUMBER(B792)),A792*1000+B792,"")</f>
        <v/>
      </c>
      <c r="J792">
        <f>IF(I792="","",IF(COUNTIF(I$2:I792,I792)=1,MAX(J$1:J791)+1,""))</f>
        <v/>
      </c>
    </row>
    <row r="793">
      <c r="A793">
        <f>IFERROR(--SUBSTITUTE(SUBSTITUTE(TRIM(INDEX(INDIRECT("'Выгрузка'!A793:Z793"),Настройки!$B$7)),",","."),".",MID(1/2,2,1)),"")</f>
        <v/>
      </c>
      <c r="B793">
        <f>IFERROR(--SUBSTITUTE(SUBSTITUTE(TRIM(INDEX(INDIRECT("'Выгрузка'!A793:Z793"),Настройки!$B$9)),",","."),".",MID(1/2,2,1)),"")</f>
        <v/>
      </c>
      <c r="C793">
        <f>TRIM(INDEX(INDIRECT("'Выгрузка'!A793:Z793"),Настройки!$B$8)&amp;"")</f>
        <v/>
      </c>
      <c r="D793">
        <f>IFERROR(--SUBSTITUTE(SUBSTITUTE(TRIM(INDEX(INDIRECT("'Выгрузка'!A793:Z793"),Настройки!$B$10)),",","."),".",MID(1/2,2,1)),"")</f>
        <v/>
      </c>
      <c r="E793">
        <f>IFERROR(--SUBSTITUTE(SUBSTITUTE(TRIM(INDEX(INDIRECT("'Выгрузка'!A793:Z793"),Настройки!$B$11)),",","."),".",MID(1/2,2,1)),"")</f>
        <v/>
      </c>
      <c r="F793">
        <f>TRIM(INDEX(INDIRECT("'Выгрузка'!A793:Z793"),Настройки!$B$12)&amp;"")</f>
        <v/>
      </c>
      <c r="G793">
        <f>IF(F793="",0,IF(TRIM(INDEX(INDIRECT("'Выгрузка'!A793:Z793"),Настройки!$B$13)&amp;"")="",1,IFERROR(--SUBSTITUTE(SUBSTITUTE(TRIM(INDEX(INDIRECT("'Выгрузка'!A793:Z793"),Настройки!$B$13)),",","."),".",MID(1/2,2,1)),"")))</f>
        <v/>
      </c>
      <c r="H793">
        <f>IF(F793="",0,IF(COUNTIF(Настройки!$B$17:$B$26,F793)&gt;0,1,IF(COUNTIF(Настройки!$C$17:$C$26,F793)&gt;0,2,IF(COUNTIF(Настройки!$D$17:$D$26,F793)&gt;0,3,0))))</f>
        <v/>
      </c>
      <c r="I793">
        <f>IF(AND(ISNUMBER(A793),ISNUMBER(B793)),A793*1000+B793,"")</f>
        <v/>
      </c>
      <c r="J793">
        <f>IF(I793="","",IF(COUNTIF(I$2:I793,I793)=1,MAX(J$1:J792)+1,""))</f>
        <v/>
      </c>
    </row>
    <row r="794">
      <c r="A794">
        <f>IFERROR(--SUBSTITUTE(SUBSTITUTE(TRIM(INDEX(INDIRECT("'Выгрузка'!A794:Z794"),Настройки!$B$7)),",","."),".",MID(1/2,2,1)),"")</f>
        <v/>
      </c>
      <c r="B794">
        <f>IFERROR(--SUBSTITUTE(SUBSTITUTE(TRIM(INDEX(INDIRECT("'Выгрузка'!A794:Z794"),Настройки!$B$9)),",","."),".",MID(1/2,2,1)),"")</f>
        <v/>
      </c>
      <c r="C794">
        <f>TRIM(INDEX(INDIRECT("'Выгрузка'!A794:Z794"),Настройки!$B$8)&amp;"")</f>
        <v/>
      </c>
      <c r="D794">
        <f>IFERROR(--SUBSTITUTE(SUBSTITUTE(TRIM(INDEX(INDIRECT("'Выгрузка'!A794:Z794"),Настройки!$B$10)),",","."),".",MID(1/2,2,1)),"")</f>
        <v/>
      </c>
      <c r="E794">
        <f>IFERROR(--SUBSTITUTE(SUBSTITUTE(TRIM(INDEX(INDIRECT("'Выгрузка'!A794:Z794"),Настройки!$B$11)),",","."),".",MID(1/2,2,1)),"")</f>
        <v/>
      </c>
      <c r="F794">
        <f>TRIM(INDEX(INDIRECT("'Выгрузка'!A794:Z794"),Настройки!$B$12)&amp;"")</f>
        <v/>
      </c>
      <c r="G794">
        <f>IF(F794="",0,IF(TRIM(INDEX(INDIRECT("'Выгрузка'!A794:Z794"),Настройки!$B$13)&amp;"")="",1,IFERROR(--SUBSTITUTE(SUBSTITUTE(TRIM(INDEX(INDIRECT("'Выгрузка'!A794:Z794"),Настройки!$B$13)),",","."),".",MID(1/2,2,1)),"")))</f>
        <v/>
      </c>
      <c r="H794">
        <f>IF(F794="",0,IF(COUNTIF(Настройки!$B$17:$B$26,F794)&gt;0,1,IF(COUNTIF(Настройки!$C$17:$C$26,F794)&gt;0,2,IF(COUNTIF(Настройки!$D$17:$D$26,F794)&gt;0,3,0))))</f>
        <v/>
      </c>
      <c r="I794">
        <f>IF(AND(ISNUMBER(A794),ISNUMBER(B794)),A794*1000+B794,"")</f>
        <v/>
      </c>
      <c r="J794">
        <f>IF(I794="","",IF(COUNTIF(I$2:I794,I794)=1,MAX(J$1:J793)+1,""))</f>
        <v/>
      </c>
    </row>
    <row r="795">
      <c r="A795">
        <f>IFERROR(--SUBSTITUTE(SUBSTITUTE(TRIM(INDEX(INDIRECT("'Выгрузка'!A795:Z795"),Настройки!$B$7)),",","."),".",MID(1/2,2,1)),"")</f>
        <v/>
      </c>
      <c r="B795">
        <f>IFERROR(--SUBSTITUTE(SUBSTITUTE(TRIM(INDEX(INDIRECT("'Выгрузка'!A795:Z795"),Настройки!$B$9)),",","."),".",MID(1/2,2,1)),"")</f>
        <v/>
      </c>
      <c r="C795">
        <f>TRIM(INDEX(INDIRECT("'Выгрузка'!A795:Z795"),Настройки!$B$8)&amp;"")</f>
        <v/>
      </c>
      <c r="D795">
        <f>IFERROR(--SUBSTITUTE(SUBSTITUTE(TRIM(INDEX(INDIRECT("'Выгрузка'!A795:Z795"),Настройки!$B$10)),",","."),".",MID(1/2,2,1)),"")</f>
        <v/>
      </c>
      <c r="E795">
        <f>IFERROR(--SUBSTITUTE(SUBSTITUTE(TRIM(INDEX(INDIRECT("'Выгрузка'!A795:Z795"),Настройки!$B$11)),",","."),".",MID(1/2,2,1)),"")</f>
        <v/>
      </c>
      <c r="F795">
        <f>TRIM(INDEX(INDIRECT("'Выгрузка'!A795:Z795"),Настройки!$B$12)&amp;"")</f>
        <v/>
      </c>
      <c r="G795">
        <f>IF(F795="",0,IF(TRIM(INDEX(INDIRECT("'Выгрузка'!A795:Z795"),Настройки!$B$13)&amp;"")="",1,IFERROR(--SUBSTITUTE(SUBSTITUTE(TRIM(INDEX(INDIRECT("'Выгрузка'!A795:Z795"),Настройки!$B$13)),",","."),".",MID(1/2,2,1)),"")))</f>
        <v/>
      </c>
      <c r="H795">
        <f>IF(F795="",0,IF(COUNTIF(Настройки!$B$17:$B$26,F795)&gt;0,1,IF(COUNTIF(Настройки!$C$17:$C$26,F795)&gt;0,2,IF(COUNTIF(Настройки!$D$17:$D$26,F795)&gt;0,3,0))))</f>
        <v/>
      </c>
      <c r="I795">
        <f>IF(AND(ISNUMBER(A795),ISNUMBER(B795)),A795*1000+B795,"")</f>
        <v/>
      </c>
      <c r="J795">
        <f>IF(I795="","",IF(COUNTIF(I$2:I795,I795)=1,MAX(J$1:J794)+1,""))</f>
        <v/>
      </c>
    </row>
    <row r="796">
      <c r="A796">
        <f>IFERROR(--SUBSTITUTE(SUBSTITUTE(TRIM(INDEX(INDIRECT("'Выгрузка'!A796:Z796"),Настройки!$B$7)),",","."),".",MID(1/2,2,1)),"")</f>
        <v/>
      </c>
      <c r="B796">
        <f>IFERROR(--SUBSTITUTE(SUBSTITUTE(TRIM(INDEX(INDIRECT("'Выгрузка'!A796:Z796"),Настройки!$B$9)),",","."),".",MID(1/2,2,1)),"")</f>
        <v/>
      </c>
      <c r="C796">
        <f>TRIM(INDEX(INDIRECT("'Выгрузка'!A796:Z796"),Настройки!$B$8)&amp;"")</f>
        <v/>
      </c>
      <c r="D796">
        <f>IFERROR(--SUBSTITUTE(SUBSTITUTE(TRIM(INDEX(INDIRECT("'Выгрузка'!A796:Z796"),Настройки!$B$10)),",","."),".",MID(1/2,2,1)),"")</f>
        <v/>
      </c>
      <c r="E796">
        <f>IFERROR(--SUBSTITUTE(SUBSTITUTE(TRIM(INDEX(INDIRECT("'Выгрузка'!A796:Z796"),Настройки!$B$11)),",","."),".",MID(1/2,2,1)),"")</f>
        <v/>
      </c>
      <c r="F796">
        <f>TRIM(INDEX(INDIRECT("'Выгрузка'!A796:Z796"),Настройки!$B$12)&amp;"")</f>
        <v/>
      </c>
      <c r="G796">
        <f>IF(F796="",0,IF(TRIM(INDEX(INDIRECT("'Выгрузка'!A796:Z796"),Настройки!$B$13)&amp;"")="",1,IFERROR(--SUBSTITUTE(SUBSTITUTE(TRIM(INDEX(INDIRECT("'Выгрузка'!A796:Z796"),Настройки!$B$13)),",","."),".",MID(1/2,2,1)),"")))</f>
        <v/>
      </c>
      <c r="H796">
        <f>IF(F796="",0,IF(COUNTIF(Настройки!$B$17:$B$26,F796)&gt;0,1,IF(COUNTIF(Настройки!$C$17:$C$26,F796)&gt;0,2,IF(COUNTIF(Настройки!$D$17:$D$26,F796)&gt;0,3,0))))</f>
        <v/>
      </c>
      <c r="I796">
        <f>IF(AND(ISNUMBER(A796),ISNUMBER(B796)),A796*1000+B796,"")</f>
        <v/>
      </c>
      <c r="J796">
        <f>IF(I796="","",IF(COUNTIF(I$2:I796,I796)=1,MAX(J$1:J795)+1,""))</f>
        <v/>
      </c>
    </row>
    <row r="797">
      <c r="A797">
        <f>IFERROR(--SUBSTITUTE(SUBSTITUTE(TRIM(INDEX(INDIRECT("'Выгрузка'!A797:Z797"),Настройки!$B$7)),",","."),".",MID(1/2,2,1)),"")</f>
        <v/>
      </c>
      <c r="B797">
        <f>IFERROR(--SUBSTITUTE(SUBSTITUTE(TRIM(INDEX(INDIRECT("'Выгрузка'!A797:Z797"),Настройки!$B$9)),",","."),".",MID(1/2,2,1)),"")</f>
        <v/>
      </c>
      <c r="C797">
        <f>TRIM(INDEX(INDIRECT("'Выгрузка'!A797:Z797"),Настройки!$B$8)&amp;"")</f>
        <v/>
      </c>
      <c r="D797">
        <f>IFERROR(--SUBSTITUTE(SUBSTITUTE(TRIM(INDEX(INDIRECT("'Выгрузка'!A797:Z797"),Настройки!$B$10)),",","."),".",MID(1/2,2,1)),"")</f>
        <v/>
      </c>
      <c r="E797">
        <f>IFERROR(--SUBSTITUTE(SUBSTITUTE(TRIM(INDEX(INDIRECT("'Выгрузка'!A797:Z797"),Настройки!$B$11)),",","."),".",MID(1/2,2,1)),"")</f>
        <v/>
      </c>
      <c r="F797">
        <f>TRIM(INDEX(INDIRECT("'Выгрузка'!A797:Z797"),Настройки!$B$12)&amp;"")</f>
        <v/>
      </c>
      <c r="G797">
        <f>IF(F797="",0,IF(TRIM(INDEX(INDIRECT("'Выгрузка'!A797:Z797"),Настройки!$B$13)&amp;"")="",1,IFERROR(--SUBSTITUTE(SUBSTITUTE(TRIM(INDEX(INDIRECT("'Выгрузка'!A797:Z797"),Настройки!$B$13)),",","."),".",MID(1/2,2,1)),"")))</f>
        <v/>
      </c>
      <c r="H797">
        <f>IF(F797="",0,IF(COUNTIF(Настройки!$B$17:$B$26,F797)&gt;0,1,IF(COUNTIF(Настройки!$C$17:$C$26,F797)&gt;0,2,IF(COUNTIF(Настройки!$D$17:$D$26,F797)&gt;0,3,0))))</f>
        <v/>
      </c>
      <c r="I797">
        <f>IF(AND(ISNUMBER(A797),ISNUMBER(B797)),A797*1000+B797,"")</f>
        <v/>
      </c>
      <c r="J797">
        <f>IF(I797="","",IF(COUNTIF(I$2:I797,I797)=1,MAX(J$1:J796)+1,""))</f>
        <v/>
      </c>
    </row>
    <row r="798">
      <c r="A798">
        <f>IFERROR(--SUBSTITUTE(SUBSTITUTE(TRIM(INDEX(INDIRECT("'Выгрузка'!A798:Z798"),Настройки!$B$7)),",","."),".",MID(1/2,2,1)),"")</f>
        <v/>
      </c>
      <c r="B798">
        <f>IFERROR(--SUBSTITUTE(SUBSTITUTE(TRIM(INDEX(INDIRECT("'Выгрузка'!A798:Z798"),Настройки!$B$9)),",","."),".",MID(1/2,2,1)),"")</f>
        <v/>
      </c>
      <c r="C798">
        <f>TRIM(INDEX(INDIRECT("'Выгрузка'!A798:Z798"),Настройки!$B$8)&amp;"")</f>
        <v/>
      </c>
      <c r="D798">
        <f>IFERROR(--SUBSTITUTE(SUBSTITUTE(TRIM(INDEX(INDIRECT("'Выгрузка'!A798:Z798"),Настройки!$B$10)),",","."),".",MID(1/2,2,1)),"")</f>
        <v/>
      </c>
      <c r="E798">
        <f>IFERROR(--SUBSTITUTE(SUBSTITUTE(TRIM(INDEX(INDIRECT("'Выгрузка'!A798:Z798"),Настройки!$B$11)),",","."),".",MID(1/2,2,1)),"")</f>
        <v/>
      </c>
      <c r="F798">
        <f>TRIM(INDEX(INDIRECT("'Выгрузка'!A798:Z798"),Настройки!$B$12)&amp;"")</f>
        <v/>
      </c>
      <c r="G798">
        <f>IF(F798="",0,IF(TRIM(INDEX(INDIRECT("'Выгрузка'!A798:Z798"),Настройки!$B$13)&amp;"")="",1,IFERROR(--SUBSTITUTE(SUBSTITUTE(TRIM(INDEX(INDIRECT("'Выгрузка'!A798:Z798"),Настройки!$B$13)),",","."),".",MID(1/2,2,1)),"")))</f>
        <v/>
      </c>
      <c r="H798">
        <f>IF(F798="",0,IF(COUNTIF(Настройки!$B$17:$B$26,F798)&gt;0,1,IF(COUNTIF(Настройки!$C$17:$C$26,F798)&gt;0,2,IF(COUNTIF(Настройки!$D$17:$D$26,F798)&gt;0,3,0))))</f>
        <v/>
      </c>
      <c r="I798">
        <f>IF(AND(ISNUMBER(A798),ISNUMBER(B798)),A798*1000+B798,"")</f>
        <v/>
      </c>
      <c r="J798">
        <f>IF(I798="","",IF(COUNTIF(I$2:I798,I798)=1,MAX(J$1:J797)+1,""))</f>
        <v/>
      </c>
    </row>
    <row r="799">
      <c r="A799">
        <f>IFERROR(--SUBSTITUTE(SUBSTITUTE(TRIM(INDEX(INDIRECT("'Выгрузка'!A799:Z799"),Настройки!$B$7)),",","."),".",MID(1/2,2,1)),"")</f>
        <v/>
      </c>
      <c r="B799">
        <f>IFERROR(--SUBSTITUTE(SUBSTITUTE(TRIM(INDEX(INDIRECT("'Выгрузка'!A799:Z799"),Настройки!$B$9)),",","."),".",MID(1/2,2,1)),"")</f>
        <v/>
      </c>
      <c r="C799">
        <f>TRIM(INDEX(INDIRECT("'Выгрузка'!A799:Z799"),Настройки!$B$8)&amp;"")</f>
        <v/>
      </c>
      <c r="D799">
        <f>IFERROR(--SUBSTITUTE(SUBSTITUTE(TRIM(INDEX(INDIRECT("'Выгрузка'!A799:Z799"),Настройки!$B$10)),",","."),".",MID(1/2,2,1)),"")</f>
        <v/>
      </c>
      <c r="E799">
        <f>IFERROR(--SUBSTITUTE(SUBSTITUTE(TRIM(INDEX(INDIRECT("'Выгрузка'!A799:Z799"),Настройки!$B$11)),",","."),".",MID(1/2,2,1)),"")</f>
        <v/>
      </c>
      <c r="F799">
        <f>TRIM(INDEX(INDIRECT("'Выгрузка'!A799:Z799"),Настройки!$B$12)&amp;"")</f>
        <v/>
      </c>
      <c r="G799">
        <f>IF(F799="",0,IF(TRIM(INDEX(INDIRECT("'Выгрузка'!A799:Z799"),Настройки!$B$13)&amp;"")="",1,IFERROR(--SUBSTITUTE(SUBSTITUTE(TRIM(INDEX(INDIRECT("'Выгрузка'!A799:Z799"),Настройки!$B$13)),",","."),".",MID(1/2,2,1)),"")))</f>
        <v/>
      </c>
      <c r="H799">
        <f>IF(F799="",0,IF(COUNTIF(Настройки!$B$17:$B$26,F799)&gt;0,1,IF(COUNTIF(Настройки!$C$17:$C$26,F799)&gt;0,2,IF(COUNTIF(Настройки!$D$17:$D$26,F799)&gt;0,3,0))))</f>
        <v/>
      </c>
      <c r="I799">
        <f>IF(AND(ISNUMBER(A799),ISNUMBER(B799)),A799*1000+B799,"")</f>
        <v/>
      </c>
      <c r="J799">
        <f>IF(I799="","",IF(COUNTIF(I$2:I799,I799)=1,MAX(J$1:J798)+1,""))</f>
        <v/>
      </c>
    </row>
    <row r="800">
      <c r="A800">
        <f>IFERROR(--SUBSTITUTE(SUBSTITUTE(TRIM(INDEX(INDIRECT("'Выгрузка'!A800:Z800"),Настройки!$B$7)),",","."),".",MID(1/2,2,1)),"")</f>
        <v/>
      </c>
      <c r="B800">
        <f>IFERROR(--SUBSTITUTE(SUBSTITUTE(TRIM(INDEX(INDIRECT("'Выгрузка'!A800:Z800"),Настройки!$B$9)),",","."),".",MID(1/2,2,1)),"")</f>
        <v/>
      </c>
      <c r="C800">
        <f>TRIM(INDEX(INDIRECT("'Выгрузка'!A800:Z800"),Настройки!$B$8)&amp;"")</f>
        <v/>
      </c>
      <c r="D800">
        <f>IFERROR(--SUBSTITUTE(SUBSTITUTE(TRIM(INDEX(INDIRECT("'Выгрузка'!A800:Z800"),Настройки!$B$10)),",","."),".",MID(1/2,2,1)),"")</f>
        <v/>
      </c>
      <c r="E800">
        <f>IFERROR(--SUBSTITUTE(SUBSTITUTE(TRIM(INDEX(INDIRECT("'Выгрузка'!A800:Z800"),Настройки!$B$11)),",","."),".",MID(1/2,2,1)),"")</f>
        <v/>
      </c>
      <c r="F800">
        <f>TRIM(INDEX(INDIRECT("'Выгрузка'!A800:Z800"),Настройки!$B$12)&amp;"")</f>
        <v/>
      </c>
      <c r="G800">
        <f>IF(F800="",0,IF(TRIM(INDEX(INDIRECT("'Выгрузка'!A800:Z800"),Настройки!$B$13)&amp;"")="",1,IFERROR(--SUBSTITUTE(SUBSTITUTE(TRIM(INDEX(INDIRECT("'Выгрузка'!A800:Z800"),Настройки!$B$13)),",","."),".",MID(1/2,2,1)),"")))</f>
        <v/>
      </c>
      <c r="H800">
        <f>IF(F800="",0,IF(COUNTIF(Настройки!$B$17:$B$26,F800)&gt;0,1,IF(COUNTIF(Настройки!$C$17:$C$26,F800)&gt;0,2,IF(COUNTIF(Настройки!$D$17:$D$26,F800)&gt;0,3,0))))</f>
        <v/>
      </c>
      <c r="I800">
        <f>IF(AND(ISNUMBER(A800),ISNUMBER(B800)),A800*1000+B800,"")</f>
        <v/>
      </c>
      <c r="J800">
        <f>IF(I800="","",IF(COUNTIF(I$2:I800,I800)=1,MAX(J$1:J799)+1,""))</f>
        <v/>
      </c>
    </row>
    <row r="801">
      <c r="A801">
        <f>IFERROR(--SUBSTITUTE(SUBSTITUTE(TRIM(INDEX(INDIRECT("'Выгрузка'!A801:Z801"),Настройки!$B$7)),",","."),".",MID(1/2,2,1)),"")</f>
        <v/>
      </c>
      <c r="B801">
        <f>IFERROR(--SUBSTITUTE(SUBSTITUTE(TRIM(INDEX(INDIRECT("'Выгрузка'!A801:Z801"),Настройки!$B$9)),",","."),".",MID(1/2,2,1)),"")</f>
        <v/>
      </c>
      <c r="C801">
        <f>TRIM(INDEX(INDIRECT("'Выгрузка'!A801:Z801"),Настройки!$B$8)&amp;"")</f>
        <v/>
      </c>
      <c r="D801">
        <f>IFERROR(--SUBSTITUTE(SUBSTITUTE(TRIM(INDEX(INDIRECT("'Выгрузка'!A801:Z801"),Настройки!$B$10)),",","."),".",MID(1/2,2,1)),"")</f>
        <v/>
      </c>
      <c r="E801">
        <f>IFERROR(--SUBSTITUTE(SUBSTITUTE(TRIM(INDEX(INDIRECT("'Выгрузка'!A801:Z801"),Настройки!$B$11)),",","."),".",MID(1/2,2,1)),"")</f>
        <v/>
      </c>
      <c r="F801">
        <f>TRIM(INDEX(INDIRECT("'Выгрузка'!A801:Z801"),Настройки!$B$12)&amp;"")</f>
        <v/>
      </c>
      <c r="G801">
        <f>IF(F801="",0,IF(TRIM(INDEX(INDIRECT("'Выгрузка'!A801:Z801"),Настройки!$B$13)&amp;"")="",1,IFERROR(--SUBSTITUTE(SUBSTITUTE(TRIM(INDEX(INDIRECT("'Выгрузка'!A801:Z801"),Настройки!$B$13)),",","."),".",MID(1/2,2,1)),"")))</f>
        <v/>
      </c>
      <c r="H801">
        <f>IF(F801="",0,IF(COUNTIF(Настройки!$B$17:$B$26,F801)&gt;0,1,IF(COUNTIF(Настройки!$C$17:$C$26,F801)&gt;0,2,IF(COUNTIF(Настройки!$D$17:$D$26,F801)&gt;0,3,0))))</f>
        <v/>
      </c>
      <c r="I801">
        <f>IF(AND(ISNUMBER(A801),ISNUMBER(B801)),A801*1000+B801,"")</f>
        <v/>
      </c>
      <c r="J801">
        <f>IF(I801="","",IF(COUNTIF(I$2:I801,I801)=1,MAX(J$1:J800)+1,""))</f>
        <v/>
      </c>
    </row>
    <row r="802">
      <c r="A802">
        <f>IFERROR(--SUBSTITUTE(SUBSTITUTE(TRIM(INDEX(INDIRECT("'Выгрузка'!A802:Z802"),Настройки!$B$7)),",","."),".",MID(1/2,2,1)),"")</f>
        <v/>
      </c>
      <c r="B802">
        <f>IFERROR(--SUBSTITUTE(SUBSTITUTE(TRIM(INDEX(INDIRECT("'Выгрузка'!A802:Z802"),Настройки!$B$9)),",","."),".",MID(1/2,2,1)),"")</f>
        <v/>
      </c>
      <c r="C802">
        <f>TRIM(INDEX(INDIRECT("'Выгрузка'!A802:Z802"),Настройки!$B$8)&amp;"")</f>
        <v/>
      </c>
      <c r="D802">
        <f>IFERROR(--SUBSTITUTE(SUBSTITUTE(TRIM(INDEX(INDIRECT("'Выгрузка'!A802:Z802"),Настройки!$B$10)),",","."),".",MID(1/2,2,1)),"")</f>
        <v/>
      </c>
      <c r="E802">
        <f>IFERROR(--SUBSTITUTE(SUBSTITUTE(TRIM(INDEX(INDIRECT("'Выгрузка'!A802:Z802"),Настройки!$B$11)),",","."),".",MID(1/2,2,1)),"")</f>
        <v/>
      </c>
      <c r="F802">
        <f>TRIM(INDEX(INDIRECT("'Выгрузка'!A802:Z802"),Настройки!$B$12)&amp;"")</f>
        <v/>
      </c>
      <c r="G802">
        <f>IF(F802="",0,IF(TRIM(INDEX(INDIRECT("'Выгрузка'!A802:Z802"),Настройки!$B$13)&amp;"")="",1,IFERROR(--SUBSTITUTE(SUBSTITUTE(TRIM(INDEX(INDIRECT("'Выгрузка'!A802:Z802"),Настройки!$B$13)),",","."),".",MID(1/2,2,1)),"")))</f>
        <v/>
      </c>
      <c r="H802">
        <f>IF(F802="",0,IF(COUNTIF(Настройки!$B$17:$B$26,F802)&gt;0,1,IF(COUNTIF(Настройки!$C$17:$C$26,F802)&gt;0,2,IF(COUNTIF(Настройки!$D$17:$D$26,F802)&gt;0,3,0))))</f>
        <v/>
      </c>
      <c r="I802">
        <f>IF(AND(ISNUMBER(A802),ISNUMBER(B802)),A802*1000+B802,"")</f>
        <v/>
      </c>
      <c r="J802">
        <f>IF(I802="","",IF(COUNTIF(I$2:I802,I802)=1,MAX(J$1:J801)+1,""))</f>
        <v/>
      </c>
    </row>
    <row r="803">
      <c r="A803">
        <f>IFERROR(--SUBSTITUTE(SUBSTITUTE(TRIM(INDEX(INDIRECT("'Выгрузка'!A803:Z803"),Настройки!$B$7)),",","."),".",MID(1/2,2,1)),"")</f>
        <v/>
      </c>
      <c r="B803">
        <f>IFERROR(--SUBSTITUTE(SUBSTITUTE(TRIM(INDEX(INDIRECT("'Выгрузка'!A803:Z803"),Настройки!$B$9)),",","."),".",MID(1/2,2,1)),"")</f>
        <v/>
      </c>
      <c r="C803">
        <f>TRIM(INDEX(INDIRECT("'Выгрузка'!A803:Z803"),Настройки!$B$8)&amp;"")</f>
        <v/>
      </c>
      <c r="D803">
        <f>IFERROR(--SUBSTITUTE(SUBSTITUTE(TRIM(INDEX(INDIRECT("'Выгрузка'!A803:Z803"),Настройки!$B$10)),",","."),".",MID(1/2,2,1)),"")</f>
        <v/>
      </c>
      <c r="E803">
        <f>IFERROR(--SUBSTITUTE(SUBSTITUTE(TRIM(INDEX(INDIRECT("'Выгрузка'!A803:Z803"),Настройки!$B$11)),",","."),".",MID(1/2,2,1)),"")</f>
        <v/>
      </c>
      <c r="F803">
        <f>TRIM(INDEX(INDIRECT("'Выгрузка'!A803:Z803"),Настройки!$B$12)&amp;"")</f>
        <v/>
      </c>
      <c r="G803">
        <f>IF(F803="",0,IF(TRIM(INDEX(INDIRECT("'Выгрузка'!A803:Z803"),Настройки!$B$13)&amp;"")="",1,IFERROR(--SUBSTITUTE(SUBSTITUTE(TRIM(INDEX(INDIRECT("'Выгрузка'!A803:Z803"),Настройки!$B$13)),",","."),".",MID(1/2,2,1)),"")))</f>
        <v/>
      </c>
      <c r="H803">
        <f>IF(F803="",0,IF(COUNTIF(Настройки!$B$17:$B$26,F803)&gt;0,1,IF(COUNTIF(Настройки!$C$17:$C$26,F803)&gt;0,2,IF(COUNTIF(Настройки!$D$17:$D$26,F803)&gt;0,3,0))))</f>
        <v/>
      </c>
      <c r="I803">
        <f>IF(AND(ISNUMBER(A803),ISNUMBER(B803)),A803*1000+B803,"")</f>
        <v/>
      </c>
      <c r="J803">
        <f>IF(I803="","",IF(COUNTIF(I$2:I803,I803)=1,MAX(J$1:J802)+1,""))</f>
        <v/>
      </c>
    </row>
    <row r="804">
      <c r="A804">
        <f>IFERROR(--SUBSTITUTE(SUBSTITUTE(TRIM(INDEX(INDIRECT("'Выгрузка'!A804:Z804"),Настройки!$B$7)),",","."),".",MID(1/2,2,1)),"")</f>
        <v/>
      </c>
      <c r="B804">
        <f>IFERROR(--SUBSTITUTE(SUBSTITUTE(TRIM(INDEX(INDIRECT("'Выгрузка'!A804:Z804"),Настройки!$B$9)),",","."),".",MID(1/2,2,1)),"")</f>
        <v/>
      </c>
      <c r="C804">
        <f>TRIM(INDEX(INDIRECT("'Выгрузка'!A804:Z804"),Настройки!$B$8)&amp;"")</f>
        <v/>
      </c>
      <c r="D804">
        <f>IFERROR(--SUBSTITUTE(SUBSTITUTE(TRIM(INDEX(INDIRECT("'Выгрузка'!A804:Z804"),Настройки!$B$10)),",","."),".",MID(1/2,2,1)),"")</f>
        <v/>
      </c>
      <c r="E804">
        <f>IFERROR(--SUBSTITUTE(SUBSTITUTE(TRIM(INDEX(INDIRECT("'Выгрузка'!A804:Z804"),Настройки!$B$11)),",","."),".",MID(1/2,2,1)),"")</f>
        <v/>
      </c>
      <c r="F804">
        <f>TRIM(INDEX(INDIRECT("'Выгрузка'!A804:Z804"),Настройки!$B$12)&amp;"")</f>
        <v/>
      </c>
      <c r="G804">
        <f>IF(F804="",0,IF(TRIM(INDEX(INDIRECT("'Выгрузка'!A804:Z804"),Настройки!$B$13)&amp;"")="",1,IFERROR(--SUBSTITUTE(SUBSTITUTE(TRIM(INDEX(INDIRECT("'Выгрузка'!A804:Z804"),Настройки!$B$13)),",","."),".",MID(1/2,2,1)),"")))</f>
        <v/>
      </c>
      <c r="H804">
        <f>IF(F804="",0,IF(COUNTIF(Настройки!$B$17:$B$26,F804)&gt;0,1,IF(COUNTIF(Настройки!$C$17:$C$26,F804)&gt;0,2,IF(COUNTIF(Настройки!$D$17:$D$26,F804)&gt;0,3,0))))</f>
        <v/>
      </c>
      <c r="I804">
        <f>IF(AND(ISNUMBER(A804),ISNUMBER(B804)),A804*1000+B804,"")</f>
        <v/>
      </c>
      <c r="J804">
        <f>IF(I804="","",IF(COUNTIF(I$2:I804,I804)=1,MAX(J$1:J803)+1,""))</f>
        <v/>
      </c>
    </row>
    <row r="805">
      <c r="A805">
        <f>IFERROR(--SUBSTITUTE(SUBSTITUTE(TRIM(INDEX(INDIRECT("'Выгрузка'!A805:Z805"),Настройки!$B$7)),",","."),".",MID(1/2,2,1)),"")</f>
        <v/>
      </c>
      <c r="B805">
        <f>IFERROR(--SUBSTITUTE(SUBSTITUTE(TRIM(INDEX(INDIRECT("'Выгрузка'!A805:Z805"),Настройки!$B$9)),",","."),".",MID(1/2,2,1)),"")</f>
        <v/>
      </c>
      <c r="C805">
        <f>TRIM(INDEX(INDIRECT("'Выгрузка'!A805:Z805"),Настройки!$B$8)&amp;"")</f>
        <v/>
      </c>
      <c r="D805">
        <f>IFERROR(--SUBSTITUTE(SUBSTITUTE(TRIM(INDEX(INDIRECT("'Выгрузка'!A805:Z805"),Настройки!$B$10)),",","."),".",MID(1/2,2,1)),"")</f>
        <v/>
      </c>
      <c r="E805">
        <f>IFERROR(--SUBSTITUTE(SUBSTITUTE(TRIM(INDEX(INDIRECT("'Выгрузка'!A805:Z805"),Настройки!$B$11)),",","."),".",MID(1/2,2,1)),"")</f>
        <v/>
      </c>
      <c r="F805">
        <f>TRIM(INDEX(INDIRECT("'Выгрузка'!A805:Z805"),Настройки!$B$12)&amp;"")</f>
        <v/>
      </c>
      <c r="G805">
        <f>IF(F805="",0,IF(TRIM(INDEX(INDIRECT("'Выгрузка'!A805:Z805"),Настройки!$B$13)&amp;"")="",1,IFERROR(--SUBSTITUTE(SUBSTITUTE(TRIM(INDEX(INDIRECT("'Выгрузка'!A805:Z805"),Настройки!$B$13)),",","."),".",MID(1/2,2,1)),"")))</f>
        <v/>
      </c>
      <c r="H805">
        <f>IF(F805="",0,IF(COUNTIF(Настройки!$B$17:$B$26,F805)&gt;0,1,IF(COUNTIF(Настройки!$C$17:$C$26,F805)&gt;0,2,IF(COUNTIF(Настройки!$D$17:$D$26,F805)&gt;0,3,0))))</f>
        <v/>
      </c>
      <c r="I805">
        <f>IF(AND(ISNUMBER(A805),ISNUMBER(B805)),A805*1000+B805,"")</f>
        <v/>
      </c>
      <c r="J805">
        <f>IF(I805="","",IF(COUNTIF(I$2:I805,I805)=1,MAX(J$1:J804)+1,""))</f>
        <v/>
      </c>
    </row>
    <row r="806">
      <c r="A806">
        <f>IFERROR(--SUBSTITUTE(SUBSTITUTE(TRIM(INDEX(INDIRECT("'Выгрузка'!A806:Z806"),Настройки!$B$7)),",","."),".",MID(1/2,2,1)),"")</f>
        <v/>
      </c>
      <c r="B806">
        <f>IFERROR(--SUBSTITUTE(SUBSTITUTE(TRIM(INDEX(INDIRECT("'Выгрузка'!A806:Z806"),Настройки!$B$9)),",","."),".",MID(1/2,2,1)),"")</f>
        <v/>
      </c>
      <c r="C806">
        <f>TRIM(INDEX(INDIRECT("'Выгрузка'!A806:Z806"),Настройки!$B$8)&amp;"")</f>
        <v/>
      </c>
      <c r="D806">
        <f>IFERROR(--SUBSTITUTE(SUBSTITUTE(TRIM(INDEX(INDIRECT("'Выгрузка'!A806:Z806"),Настройки!$B$10)),",","."),".",MID(1/2,2,1)),"")</f>
        <v/>
      </c>
      <c r="E806">
        <f>IFERROR(--SUBSTITUTE(SUBSTITUTE(TRIM(INDEX(INDIRECT("'Выгрузка'!A806:Z806"),Настройки!$B$11)),",","."),".",MID(1/2,2,1)),"")</f>
        <v/>
      </c>
      <c r="F806">
        <f>TRIM(INDEX(INDIRECT("'Выгрузка'!A806:Z806"),Настройки!$B$12)&amp;"")</f>
        <v/>
      </c>
      <c r="G806">
        <f>IF(F806="",0,IF(TRIM(INDEX(INDIRECT("'Выгрузка'!A806:Z806"),Настройки!$B$13)&amp;"")="",1,IFERROR(--SUBSTITUTE(SUBSTITUTE(TRIM(INDEX(INDIRECT("'Выгрузка'!A806:Z806"),Настройки!$B$13)),",","."),".",MID(1/2,2,1)),"")))</f>
        <v/>
      </c>
      <c r="H806">
        <f>IF(F806="",0,IF(COUNTIF(Настройки!$B$17:$B$26,F806)&gt;0,1,IF(COUNTIF(Настройки!$C$17:$C$26,F806)&gt;0,2,IF(COUNTIF(Настройки!$D$17:$D$26,F806)&gt;0,3,0))))</f>
        <v/>
      </c>
      <c r="I806">
        <f>IF(AND(ISNUMBER(A806),ISNUMBER(B806)),A806*1000+B806,"")</f>
        <v/>
      </c>
      <c r="J806">
        <f>IF(I806="","",IF(COUNTIF(I$2:I806,I806)=1,MAX(J$1:J805)+1,""))</f>
        <v/>
      </c>
    </row>
    <row r="807">
      <c r="A807">
        <f>IFERROR(--SUBSTITUTE(SUBSTITUTE(TRIM(INDEX(INDIRECT("'Выгрузка'!A807:Z807"),Настройки!$B$7)),",","."),".",MID(1/2,2,1)),"")</f>
        <v/>
      </c>
      <c r="B807">
        <f>IFERROR(--SUBSTITUTE(SUBSTITUTE(TRIM(INDEX(INDIRECT("'Выгрузка'!A807:Z807"),Настройки!$B$9)),",","."),".",MID(1/2,2,1)),"")</f>
        <v/>
      </c>
      <c r="C807">
        <f>TRIM(INDEX(INDIRECT("'Выгрузка'!A807:Z807"),Настройки!$B$8)&amp;"")</f>
        <v/>
      </c>
      <c r="D807">
        <f>IFERROR(--SUBSTITUTE(SUBSTITUTE(TRIM(INDEX(INDIRECT("'Выгрузка'!A807:Z807"),Настройки!$B$10)),",","."),".",MID(1/2,2,1)),"")</f>
        <v/>
      </c>
      <c r="E807">
        <f>IFERROR(--SUBSTITUTE(SUBSTITUTE(TRIM(INDEX(INDIRECT("'Выгрузка'!A807:Z807"),Настройки!$B$11)),",","."),".",MID(1/2,2,1)),"")</f>
        <v/>
      </c>
      <c r="F807">
        <f>TRIM(INDEX(INDIRECT("'Выгрузка'!A807:Z807"),Настройки!$B$12)&amp;"")</f>
        <v/>
      </c>
      <c r="G807">
        <f>IF(F807="",0,IF(TRIM(INDEX(INDIRECT("'Выгрузка'!A807:Z807"),Настройки!$B$13)&amp;"")="",1,IFERROR(--SUBSTITUTE(SUBSTITUTE(TRIM(INDEX(INDIRECT("'Выгрузка'!A807:Z807"),Настройки!$B$13)),",","."),".",MID(1/2,2,1)),"")))</f>
        <v/>
      </c>
      <c r="H807">
        <f>IF(F807="",0,IF(COUNTIF(Настройки!$B$17:$B$26,F807)&gt;0,1,IF(COUNTIF(Настройки!$C$17:$C$26,F807)&gt;0,2,IF(COUNTIF(Настройки!$D$17:$D$26,F807)&gt;0,3,0))))</f>
        <v/>
      </c>
      <c r="I807">
        <f>IF(AND(ISNUMBER(A807),ISNUMBER(B807)),A807*1000+B807,"")</f>
        <v/>
      </c>
      <c r="J807">
        <f>IF(I807="","",IF(COUNTIF(I$2:I807,I807)=1,MAX(J$1:J806)+1,""))</f>
        <v/>
      </c>
    </row>
    <row r="808">
      <c r="A808">
        <f>IFERROR(--SUBSTITUTE(SUBSTITUTE(TRIM(INDEX(INDIRECT("'Выгрузка'!A808:Z808"),Настройки!$B$7)),",","."),".",MID(1/2,2,1)),"")</f>
        <v/>
      </c>
      <c r="B808">
        <f>IFERROR(--SUBSTITUTE(SUBSTITUTE(TRIM(INDEX(INDIRECT("'Выгрузка'!A808:Z808"),Настройки!$B$9)),",","."),".",MID(1/2,2,1)),"")</f>
        <v/>
      </c>
      <c r="C808">
        <f>TRIM(INDEX(INDIRECT("'Выгрузка'!A808:Z808"),Настройки!$B$8)&amp;"")</f>
        <v/>
      </c>
      <c r="D808">
        <f>IFERROR(--SUBSTITUTE(SUBSTITUTE(TRIM(INDEX(INDIRECT("'Выгрузка'!A808:Z808"),Настройки!$B$10)),",","."),".",MID(1/2,2,1)),"")</f>
        <v/>
      </c>
      <c r="E808">
        <f>IFERROR(--SUBSTITUTE(SUBSTITUTE(TRIM(INDEX(INDIRECT("'Выгрузка'!A808:Z808"),Настройки!$B$11)),",","."),".",MID(1/2,2,1)),"")</f>
        <v/>
      </c>
      <c r="F808">
        <f>TRIM(INDEX(INDIRECT("'Выгрузка'!A808:Z808"),Настройки!$B$12)&amp;"")</f>
        <v/>
      </c>
      <c r="G808">
        <f>IF(F808="",0,IF(TRIM(INDEX(INDIRECT("'Выгрузка'!A808:Z808"),Настройки!$B$13)&amp;"")="",1,IFERROR(--SUBSTITUTE(SUBSTITUTE(TRIM(INDEX(INDIRECT("'Выгрузка'!A808:Z808"),Настройки!$B$13)),",","."),".",MID(1/2,2,1)),"")))</f>
        <v/>
      </c>
      <c r="H808">
        <f>IF(F808="",0,IF(COUNTIF(Настройки!$B$17:$B$26,F808)&gt;0,1,IF(COUNTIF(Настройки!$C$17:$C$26,F808)&gt;0,2,IF(COUNTIF(Настройки!$D$17:$D$26,F808)&gt;0,3,0))))</f>
        <v/>
      </c>
      <c r="I808">
        <f>IF(AND(ISNUMBER(A808),ISNUMBER(B808)),A808*1000+B808,"")</f>
        <v/>
      </c>
      <c r="J808">
        <f>IF(I808="","",IF(COUNTIF(I$2:I808,I808)=1,MAX(J$1:J807)+1,""))</f>
        <v/>
      </c>
    </row>
    <row r="809">
      <c r="A809">
        <f>IFERROR(--SUBSTITUTE(SUBSTITUTE(TRIM(INDEX(INDIRECT("'Выгрузка'!A809:Z809"),Настройки!$B$7)),",","."),".",MID(1/2,2,1)),"")</f>
        <v/>
      </c>
      <c r="B809">
        <f>IFERROR(--SUBSTITUTE(SUBSTITUTE(TRIM(INDEX(INDIRECT("'Выгрузка'!A809:Z809"),Настройки!$B$9)),",","."),".",MID(1/2,2,1)),"")</f>
        <v/>
      </c>
      <c r="C809">
        <f>TRIM(INDEX(INDIRECT("'Выгрузка'!A809:Z809"),Настройки!$B$8)&amp;"")</f>
        <v/>
      </c>
      <c r="D809">
        <f>IFERROR(--SUBSTITUTE(SUBSTITUTE(TRIM(INDEX(INDIRECT("'Выгрузка'!A809:Z809"),Настройки!$B$10)),",","."),".",MID(1/2,2,1)),"")</f>
        <v/>
      </c>
      <c r="E809">
        <f>IFERROR(--SUBSTITUTE(SUBSTITUTE(TRIM(INDEX(INDIRECT("'Выгрузка'!A809:Z809"),Настройки!$B$11)),",","."),".",MID(1/2,2,1)),"")</f>
        <v/>
      </c>
      <c r="F809">
        <f>TRIM(INDEX(INDIRECT("'Выгрузка'!A809:Z809"),Настройки!$B$12)&amp;"")</f>
        <v/>
      </c>
      <c r="G809">
        <f>IF(F809="",0,IF(TRIM(INDEX(INDIRECT("'Выгрузка'!A809:Z809"),Настройки!$B$13)&amp;"")="",1,IFERROR(--SUBSTITUTE(SUBSTITUTE(TRIM(INDEX(INDIRECT("'Выгрузка'!A809:Z809"),Настройки!$B$13)),",","."),".",MID(1/2,2,1)),"")))</f>
        <v/>
      </c>
      <c r="H809">
        <f>IF(F809="",0,IF(COUNTIF(Настройки!$B$17:$B$26,F809)&gt;0,1,IF(COUNTIF(Настройки!$C$17:$C$26,F809)&gt;0,2,IF(COUNTIF(Настройки!$D$17:$D$26,F809)&gt;0,3,0))))</f>
        <v/>
      </c>
      <c r="I809">
        <f>IF(AND(ISNUMBER(A809),ISNUMBER(B809)),A809*1000+B809,"")</f>
        <v/>
      </c>
      <c r="J809">
        <f>IF(I809="","",IF(COUNTIF(I$2:I809,I809)=1,MAX(J$1:J808)+1,""))</f>
        <v/>
      </c>
    </row>
    <row r="810">
      <c r="A810">
        <f>IFERROR(--SUBSTITUTE(SUBSTITUTE(TRIM(INDEX(INDIRECT("'Выгрузка'!A810:Z810"),Настройки!$B$7)),",","."),".",MID(1/2,2,1)),"")</f>
        <v/>
      </c>
      <c r="B810">
        <f>IFERROR(--SUBSTITUTE(SUBSTITUTE(TRIM(INDEX(INDIRECT("'Выгрузка'!A810:Z810"),Настройки!$B$9)),",","."),".",MID(1/2,2,1)),"")</f>
        <v/>
      </c>
      <c r="C810">
        <f>TRIM(INDEX(INDIRECT("'Выгрузка'!A810:Z810"),Настройки!$B$8)&amp;"")</f>
        <v/>
      </c>
      <c r="D810">
        <f>IFERROR(--SUBSTITUTE(SUBSTITUTE(TRIM(INDEX(INDIRECT("'Выгрузка'!A810:Z810"),Настройки!$B$10)),",","."),".",MID(1/2,2,1)),"")</f>
        <v/>
      </c>
      <c r="E810">
        <f>IFERROR(--SUBSTITUTE(SUBSTITUTE(TRIM(INDEX(INDIRECT("'Выгрузка'!A810:Z810"),Настройки!$B$11)),",","."),".",MID(1/2,2,1)),"")</f>
        <v/>
      </c>
      <c r="F810">
        <f>TRIM(INDEX(INDIRECT("'Выгрузка'!A810:Z810"),Настройки!$B$12)&amp;"")</f>
        <v/>
      </c>
      <c r="G810">
        <f>IF(F810="",0,IF(TRIM(INDEX(INDIRECT("'Выгрузка'!A810:Z810"),Настройки!$B$13)&amp;"")="",1,IFERROR(--SUBSTITUTE(SUBSTITUTE(TRIM(INDEX(INDIRECT("'Выгрузка'!A810:Z810"),Настройки!$B$13)),",","."),".",MID(1/2,2,1)),"")))</f>
        <v/>
      </c>
      <c r="H810">
        <f>IF(F810="",0,IF(COUNTIF(Настройки!$B$17:$B$26,F810)&gt;0,1,IF(COUNTIF(Настройки!$C$17:$C$26,F810)&gt;0,2,IF(COUNTIF(Настройки!$D$17:$D$26,F810)&gt;0,3,0))))</f>
        <v/>
      </c>
      <c r="I810">
        <f>IF(AND(ISNUMBER(A810),ISNUMBER(B810)),A810*1000+B810,"")</f>
        <v/>
      </c>
      <c r="J810">
        <f>IF(I810="","",IF(COUNTIF(I$2:I810,I810)=1,MAX(J$1:J809)+1,""))</f>
        <v/>
      </c>
    </row>
    <row r="811">
      <c r="A811">
        <f>IFERROR(--SUBSTITUTE(SUBSTITUTE(TRIM(INDEX(INDIRECT("'Выгрузка'!A811:Z811"),Настройки!$B$7)),",","."),".",MID(1/2,2,1)),"")</f>
        <v/>
      </c>
      <c r="B811">
        <f>IFERROR(--SUBSTITUTE(SUBSTITUTE(TRIM(INDEX(INDIRECT("'Выгрузка'!A811:Z811"),Настройки!$B$9)),",","."),".",MID(1/2,2,1)),"")</f>
        <v/>
      </c>
      <c r="C811">
        <f>TRIM(INDEX(INDIRECT("'Выгрузка'!A811:Z811"),Настройки!$B$8)&amp;"")</f>
        <v/>
      </c>
      <c r="D811">
        <f>IFERROR(--SUBSTITUTE(SUBSTITUTE(TRIM(INDEX(INDIRECT("'Выгрузка'!A811:Z811"),Настройки!$B$10)),",","."),".",MID(1/2,2,1)),"")</f>
        <v/>
      </c>
      <c r="E811">
        <f>IFERROR(--SUBSTITUTE(SUBSTITUTE(TRIM(INDEX(INDIRECT("'Выгрузка'!A811:Z811"),Настройки!$B$11)),",","."),".",MID(1/2,2,1)),"")</f>
        <v/>
      </c>
      <c r="F811">
        <f>TRIM(INDEX(INDIRECT("'Выгрузка'!A811:Z811"),Настройки!$B$12)&amp;"")</f>
        <v/>
      </c>
      <c r="G811">
        <f>IF(F811="",0,IF(TRIM(INDEX(INDIRECT("'Выгрузка'!A811:Z811"),Настройки!$B$13)&amp;"")="",1,IFERROR(--SUBSTITUTE(SUBSTITUTE(TRIM(INDEX(INDIRECT("'Выгрузка'!A811:Z811"),Настройки!$B$13)),",","."),".",MID(1/2,2,1)),"")))</f>
        <v/>
      </c>
      <c r="H811">
        <f>IF(F811="",0,IF(COUNTIF(Настройки!$B$17:$B$26,F811)&gt;0,1,IF(COUNTIF(Настройки!$C$17:$C$26,F811)&gt;0,2,IF(COUNTIF(Настройки!$D$17:$D$26,F811)&gt;0,3,0))))</f>
        <v/>
      </c>
      <c r="I811">
        <f>IF(AND(ISNUMBER(A811),ISNUMBER(B811)),A811*1000+B811,"")</f>
        <v/>
      </c>
      <c r="J811">
        <f>IF(I811="","",IF(COUNTIF(I$2:I811,I811)=1,MAX(J$1:J810)+1,""))</f>
        <v/>
      </c>
    </row>
    <row r="812">
      <c r="A812">
        <f>IFERROR(--SUBSTITUTE(SUBSTITUTE(TRIM(INDEX(INDIRECT("'Выгрузка'!A812:Z812"),Настройки!$B$7)),",","."),".",MID(1/2,2,1)),"")</f>
        <v/>
      </c>
      <c r="B812">
        <f>IFERROR(--SUBSTITUTE(SUBSTITUTE(TRIM(INDEX(INDIRECT("'Выгрузка'!A812:Z812"),Настройки!$B$9)),",","."),".",MID(1/2,2,1)),"")</f>
        <v/>
      </c>
      <c r="C812">
        <f>TRIM(INDEX(INDIRECT("'Выгрузка'!A812:Z812"),Настройки!$B$8)&amp;"")</f>
        <v/>
      </c>
      <c r="D812">
        <f>IFERROR(--SUBSTITUTE(SUBSTITUTE(TRIM(INDEX(INDIRECT("'Выгрузка'!A812:Z812"),Настройки!$B$10)),",","."),".",MID(1/2,2,1)),"")</f>
        <v/>
      </c>
      <c r="E812">
        <f>IFERROR(--SUBSTITUTE(SUBSTITUTE(TRIM(INDEX(INDIRECT("'Выгрузка'!A812:Z812"),Настройки!$B$11)),",","."),".",MID(1/2,2,1)),"")</f>
        <v/>
      </c>
      <c r="F812">
        <f>TRIM(INDEX(INDIRECT("'Выгрузка'!A812:Z812"),Настройки!$B$12)&amp;"")</f>
        <v/>
      </c>
      <c r="G812">
        <f>IF(F812="",0,IF(TRIM(INDEX(INDIRECT("'Выгрузка'!A812:Z812"),Настройки!$B$13)&amp;"")="",1,IFERROR(--SUBSTITUTE(SUBSTITUTE(TRIM(INDEX(INDIRECT("'Выгрузка'!A812:Z812"),Настройки!$B$13)),",","."),".",MID(1/2,2,1)),"")))</f>
        <v/>
      </c>
      <c r="H812">
        <f>IF(F812="",0,IF(COUNTIF(Настройки!$B$17:$B$26,F812)&gt;0,1,IF(COUNTIF(Настройки!$C$17:$C$26,F812)&gt;0,2,IF(COUNTIF(Настройки!$D$17:$D$26,F812)&gt;0,3,0))))</f>
        <v/>
      </c>
      <c r="I812">
        <f>IF(AND(ISNUMBER(A812),ISNUMBER(B812)),A812*1000+B812,"")</f>
        <v/>
      </c>
      <c r="J812">
        <f>IF(I812="","",IF(COUNTIF(I$2:I812,I812)=1,MAX(J$1:J811)+1,""))</f>
        <v/>
      </c>
    </row>
    <row r="813">
      <c r="A813">
        <f>IFERROR(--SUBSTITUTE(SUBSTITUTE(TRIM(INDEX(INDIRECT("'Выгрузка'!A813:Z813"),Настройки!$B$7)),",","."),".",MID(1/2,2,1)),"")</f>
        <v/>
      </c>
      <c r="B813">
        <f>IFERROR(--SUBSTITUTE(SUBSTITUTE(TRIM(INDEX(INDIRECT("'Выгрузка'!A813:Z813"),Настройки!$B$9)),",","."),".",MID(1/2,2,1)),"")</f>
        <v/>
      </c>
      <c r="C813">
        <f>TRIM(INDEX(INDIRECT("'Выгрузка'!A813:Z813"),Настройки!$B$8)&amp;"")</f>
        <v/>
      </c>
      <c r="D813">
        <f>IFERROR(--SUBSTITUTE(SUBSTITUTE(TRIM(INDEX(INDIRECT("'Выгрузка'!A813:Z813"),Настройки!$B$10)),",","."),".",MID(1/2,2,1)),"")</f>
        <v/>
      </c>
      <c r="E813">
        <f>IFERROR(--SUBSTITUTE(SUBSTITUTE(TRIM(INDEX(INDIRECT("'Выгрузка'!A813:Z813"),Настройки!$B$11)),",","."),".",MID(1/2,2,1)),"")</f>
        <v/>
      </c>
      <c r="F813">
        <f>TRIM(INDEX(INDIRECT("'Выгрузка'!A813:Z813"),Настройки!$B$12)&amp;"")</f>
        <v/>
      </c>
      <c r="G813">
        <f>IF(F813="",0,IF(TRIM(INDEX(INDIRECT("'Выгрузка'!A813:Z813"),Настройки!$B$13)&amp;"")="",1,IFERROR(--SUBSTITUTE(SUBSTITUTE(TRIM(INDEX(INDIRECT("'Выгрузка'!A813:Z813"),Настройки!$B$13)),",","."),".",MID(1/2,2,1)),"")))</f>
        <v/>
      </c>
      <c r="H813">
        <f>IF(F813="",0,IF(COUNTIF(Настройки!$B$17:$B$26,F813)&gt;0,1,IF(COUNTIF(Настройки!$C$17:$C$26,F813)&gt;0,2,IF(COUNTIF(Настройки!$D$17:$D$26,F813)&gt;0,3,0))))</f>
        <v/>
      </c>
      <c r="I813">
        <f>IF(AND(ISNUMBER(A813),ISNUMBER(B813)),A813*1000+B813,"")</f>
        <v/>
      </c>
      <c r="J813">
        <f>IF(I813="","",IF(COUNTIF(I$2:I813,I813)=1,MAX(J$1:J812)+1,""))</f>
        <v/>
      </c>
    </row>
    <row r="814">
      <c r="A814">
        <f>IFERROR(--SUBSTITUTE(SUBSTITUTE(TRIM(INDEX(INDIRECT("'Выгрузка'!A814:Z814"),Настройки!$B$7)),",","."),".",MID(1/2,2,1)),"")</f>
        <v/>
      </c>
      <c r="B814">
        <f>IFERROR(--SUBSTITUTE(SUBSTITUTE(TRIM(INDEX(INDIRECT("'Выгрузка'!A814:Z814"),Настройки!$B$9)),",","."),".",MID(1/2,2,1)),"")</f>
        <v/>
      </c>
      <c r="C814">
        <f>TRIM(INDEX(INDIRECT("'Выгрузка'!A814:Z814"),Настройки!$B$8)&amp;"")</f>
        <v/>
      </c>
      <c r="D814">
        <f>IFERROR(--SUBSTITUTE(SUBSTITUTE(TRIM(INDEX(INDIRECT("'Выгрузка'!A814:Z814"),Настройки!$B$10)),",","."),".",MID(1/2,2,1)),"")</f>
        <v/>
      </c>
      <c r="E814">
        <f>IFERROR(--SUBSTITUTE(SUBSTITUTE(TRIM(INDEX(INDIRECT("'Выгрузка'!A814:Z814"),Настройки!$B$11)),",","."),".",MID(1/2,2,1)),"")</f>
        <v/>
      </c>
      <c r="F814">
        <f>TRIM(INDEX(INDIRECT("'Выгрузка'!A814:Z814"),Настройки!$B$12)&amp;"")</f>
        <v/>
      </c>
      <c r="G814">
        <f>IF(F814="",0,IF(TRIM(INDEX(INDIRECT("'Выгрузка'!A814:Z814"),Настройки!$B$13)&amp;"")="",1,IFERROR(--SUBSTITUTE(SUBSTITUTE(TRIM(INDEX(INDIRECT("'Выгрузка'!A814:Z814"),Настройки!$B$13)),",","."),".",MID(1/2,2,1)),"")))</f>
        <v/>
      </c>
      <c r="H814">
        <f>IF(F814="",0,IF(COUNTIF(Настройки!$B$17:$B$26,F814)&gt;0,1,IF(COUNTIF(Настройки!$C$17:$C$26,F814)&gt;0,2,IF(COUNTIF(Настройки!$D$17:$D$26,F814)&gt;0,3,0))))</f>
        <v/>
      </c>
      <c r="I814">
        <f>IF(AND(ISNUMBER(A814),ISNUMBER(B814)),A814*1000+B814,"")</f>
        <v/>
      </c>
      <c r="J814">
        <f>IF(I814="","",IF(COUNTIF(I$2:I814,I814)=1,MAX(J$1:J813)+1,""))</f>
        <v/>
      </c>
    </row>
    <row r="815">
      <c r="A815">
        <f>IFERROR(--SUBSTITUTE(SUBSTITUTE(TRIM(INDEX(INDIRECT("'Выгрузка'!A815:Z815"),Настройки!$B$7)),",","."),".",MID(1/2,2,1)),"")</f>
        <v/>
      </c>
      <c r="B815">
        <f>IFERROR(--SUBSTITUTE(SUBSTITUTE(TRIM(INDEX(INDIRECT("'Выгрузка'!A815:Z815"),Настройки!$B$9)),",","."),".",MID(1/2,2,1)),"")</f>
        <v/>
      </c>
      <c r="C815">
        <f>TRIM(INDEX(INDIRECT("'Выгрузка'!A815:Z815"),Настройки!$B$8)&amp;"")</f>
        <v/>
      </c>
      <c r="D815">
        <f>IFERROR(--SUBSTITUTE(SUBSTITUTE(TRIM(INDEX(INDIRECT("'Выгрузка'!A815:Z815"),Настройки!$B$10)),",","."),".",MID(1/2,2,1)),"")</f>
        <v/>
      </c>
      <c r="E815">
        <f>IFERROR(--SUBSTITUTE(SUBSTITUTE(TRIM(INDEX(INDIRECT("'Выгрузка'!A815:Z815"),Настройки!$B$11)),",","."),".",MID(1/2,2,1)),"")</f>
        <v/>
      </c>
      <c r="F815">
        <f>TRIM(INDEX(INDIRECT("'Выгрузка'!A815:Z815"),Настройки!$B$12)&amp;"")</f>
        <v/>
      </c>
      <c r="G815">
        <f>IF(F815="",0,IF(TRIM(INDEX(INDIRECT("'Выгрузка'!A815:Z815"),Настройки!$B$13)&amp;"")="",1,IFERROR(--SUBSTITUTE(SUBSTITUTE(TRIM(INDEX(INDIRECT("'Выгрузка'!A815:Z815"),Настройки!$B$13)),",","."),".",MID(1/2,2,1)),"")))</f>
        <v/>
      </c>
      <c r="H815">
        <f>IF(F815="",0,IF(COUNTIF(Настройки!$B$17:$B$26,F815)&gt;0,1,IF(COUNTIF(Настройки!$C$17:$C$26,F815)&gt;0,2,IF(COUNTIF(Настройки!$D$17:$D$26,F815)&gt;0,3,0))))</f>
        <v/>
      </c>
      <c r="I815">
        <f>IF(AND(ISNUMBER(A815),ISNUMBER(B815)),A815*1000+B815,"")</f>
        <v/>
      </c>
      <c r="J815">
        <f>IF(I815="","",IF(COUNTIF(I$2:I815,I815)=1,MAX(J$1:J814)+1,""))</f>
        <v/>
      </c>
    </row>
    <row r="816">
      <c r="A816">
        <f>IFERROR(--SUBSTITUTE(SUBSTITUTE(TRIM(INDEX(INDIRECT("'Выгрузка'!A816:Z816"),Настройки!$B$7)),",","."),".",MID(1/2,2,1)),"")</f>
        <v/>
      </c>
      <c r="B816">
        <f>IFERROR(--SUBSTITUTE(SUBSTITUTE(TRIM(INDEX(INDIRECT("'Выгрузка'!A816:Z816"),Настройки!$B$9)),",","."),".",MID(1/2,2,1)),"")</f>
        <v/>
      </c>
      <c r="C816">
        <f>TRIM(INDEX(INDIRECT("'Выгрузка'!A816:Z816"),Настройки!$B$8)&amp;"")</f>
        <v/>
      </c>
      <c r="D816">
        <f>IFERROR(--SUBSTITUTE(SUBSTITUTE(TRIM(INDEX(INDIRECT("'Выгрузка'!A816:Z816"),Настройки!$B$10)),",","."),".",MID(1/2,2,1)),"")</f>
        <v/>
      </c>
      <c r="E816">
        <f>IFERROR(--SUBSTITUTE(SUBSTITUTE(TRIM(INDEX(INDIRECT("'Выгрузка'!A816:Z816"),Настройки!$B$11)),",","."),".",MID(1/2,2,1)),"")</f>
        <v/>
      </c>
      <c r="F816">
        <f>TRIM(INDEX(INDIRECT("'Выгрузка'!A816:Z816"),Настройки!$B$12)&amp;"")</f>
        <v/>
      </c>
      <c r="G816">
        <f>IF(F816="",0,IF(TRIM(INDEX(INDIRECT("'Выгрузка'!A816:Z816"),Настройки!$B$13)&amp;"")="",1,IFERROR(--SUBSTITUTE(SUBSTITUTE(TRIM(INDEX(INDIRECT("'Выгрузка'!A816:Z816"),Настройки!$B$13)),",","."),".",MID(1/2,2,1)),"")))</f>
        <v/>
      </c>
      <c r="H816">
        <f>IF(F816="",0,IF(COUNTIF(Настройки!$B$17:$B$26,F816)&gt;0,1,IF(COUNTIF(Настройки!$C$17:$C$26,F816)&gt;0,2,IF(COUNTIF(Настройки!$D$17:$D$26,F816)&gt;0,3,0))))</f>
        <v/>
      </c>
      <c r="I816">
        <f>IF(AND(ISNUMBER(A816),ISNUMBER(B816)),A816*1000+B816,"")</f>
        <v/>
      </c>
      <c r="J816">
        <f>IF(I816="","",IF(COUNTIF(I$2:I816,I816)=1,MAX(J$1:J815)+1,""))</f>
        <v/>
      </c>
    </row>
    <row r="817">
      <c r="A817">
        <f>IFERROR(--SUBSTITUTE(SUBSTITUTE(TRIM(INDEX(INDIRECT("'Выгрузка'!A817:Z817"),Настройки!$B$7)),",","."),".",MID(1/2,2,1)),"")</f>
        <v/>
      </c>
      <c r="B817">
        <f>IFERROR(--SUBSTITUTE(SUBSTITUTE(TRIM(INDEX(INDIRECT("'Выгрузка'!A817:Z817"),Настройки!$B$9)),",","."),".",MID(1/2,2,1)),"")</f>
        <v/>
      </c>
      <c r="C817">
        <f>TRIM(INDEX(INDIRECT("'Выгрузка'!A817:Z817"),Настройки!$B$8)&amp;"")</f>
        <v/>
      </c>
      <c r="D817">
        <f>IFERROR(--SUBSTITUTE(SUBSTITUTE(TRIM(INDEX(INDIRECT("'Выгрузка'!A817:Z817"),Настройки!$B$10)),",","."),".",MID(1/2,2,1)),"")</f>
        <v/>
      </c>
      <c r="E817">
        <f>IFERROR(--SUBSTITUTE(SUBSTITUTE(TRIM(INDEX(INDIRECT("'Выгрузка'!A817:Z817"),Настройки!$B$11)),",","."),".",MID(1/2,2,1)),"")</f>
        <v/>
      </c>
      <c r="F817">
        <f>TRIM(INDEX(INDIRECT("'Выгрузка'!A817:Z817"),Настройки!$B$12)&amp;"")</f>
        <v/>
      </c>
      <c r="G817">
        <f>IF(F817="",0,IF(TRIM(INDEX(INDIRECT("'Выгрузка'!A817:Z817"),Настройки!$B$13)&amp;"")="",1,IFERROR(--SUBSTITUTE(SUBSTITUTE(TRIM(INDEX(INDIRECT("'Выгрузка'!A817:Z817"),Настройки!$B$13)),",","."),".",MID(1/2,2,1)),"")))</f>
        <v/>
      </c>
      <c r="H817">
        <f>IF(F817="",0,IF(COUNTIF(Настройки!$B$17:$B$26,F817)&gt;0,1,IF(COUNTIF(Настройки!$C$17:$C$26,F817)&gt;0,2,IF(COUNTIF(Настройки!$D$17:$D$26,F817)&gt;0,3,0))))</f>
        <v/>
      </c>
      <c r="I817">
        <f>IF(AND(ISNUMBER(A817),ISNUMBER(B817)),A817*1000+B817,"")</f>
        <v/>
      </c>
      <c r="J817">
        <f>IF(I817="","",IF(COUNTIF(I$2:I817,I817)=1,MAX(J$1:J816)+1,""))</f>
        <v/>
      </c>
    </row>
    <row r="818">
      <c r="A818">
        <f>IFERROR(--SUBSTITUTE(SUBSTITUTE(TRIM(INDEX(INDIRECT("'Выгрузка'!A818:Z818"),Настройки!$B$7)),",","."),".",MID(1/2,2,1)),"")</f>
        <v/>
      </c>
      <c r="B818">
        <f>IFERROR(--SUBSTITUTE(SUBSTITUTE(TRIM(INDEX(INDIRECT("'Выгрузка'!A818:Z818"),Настройки!$B$9)),",","."),".",MID(1/2,2,1)),"")</f>
        <v/>
      </c>
      <c r="C818">
        <f>TRIM(INDEX(INDIRECT("'Выгрузка'!A818:Z818"),Настройки!$B$8)&amp;"")</f>
        <v/>
      </c>
      <c r="D818">
        <f>IFERROR(--SUBSTITUTE(SUBSTITUTE(TRIM(INDEX(INDIRECT("'Выгрузка'!A818:Z818"),Настройки!$B$10)),",","."),".",MID(1/2,2,1)),"")</f>
        <v/>
      </c>
      <c r="E818">
        <f>IFERROR(--SUBSTITUTE(SUBSTITUTE(TRIM(INDEX(INDIRECT("'Выгрузка'!A818:Z818"),Настройки!$B$11)),",","."),".",MID(1/2,2,1)),"")</f>
        <v/>
      </c>
      <c r="F818">
        <f>TRIM(INDEX(INDIRECT("'Выгрузка'!A818:Z818"),Настройки!$B$12)&amp;"")</f>
        <v/>
      </c>
      <c r="G818">
        <f>IF(F818="",0,IF(TRIM(INDEX(INDIRECT("'Выгрузка'!A818:Z818"),Настройки!$B$13)&amp;"")="",1,IFERROR(--SUBSTITUTE(SUBSTITUTE(TRIM(INDEX(INDIRECT("'Выгрузка'!A818:Z818"),Настройки!$B$13)),",","."),".",MID(1/2,2,1)),"")))</f>
        <v/>
      </c>
      <c r="H818">
        <f>IF(F818="",0,IF(COUNTIF(Настройки!$B$17:$B$26,F818)&gt;0,1,IF(COUNTIF(Настройки!$C$17:$C$26,F818)&gt;0,2,IF(COUNTIF(Настройки!$D$17:$D$26,F818)&gt;0,3,0))))</f>
        <v/>
      </c>
      <c r="I818">
        <f>IF(AND(ISNUMBER(A818),ISNUMBER(B818)),A818*1000+B818,"")</f>
        <v/>
      </c>
      <c r="J818">
        <f>IF(I818="","",IF(COUNTIF(I$2:I818,I818)=1,MAX(J$1:J817)+1,""))</f>
        <v/>
      </c>
    </row>
    <row r="819">
      <c r="A819">
        <f>IFERROR(--SUBSTITUTE(SUBSTITUTE(TRIM(INDEX(INDIRECT("'Выгрузка'!A819:Z819"),Настройки!$B$7)),",","."),".",MID(1/2,2,1)),"")</f>
        <v/>
      </c>
      <c r="B819">
        <f>IFERROR(--SUBSTITUTE(SUBSTITUTE(TRIM(INDEX(INDIRECT("'Выгрузка'!A819:Z819"),Настройки!$B$9)),",","."),".",MID(1/2,2,1)),"")</f>
        <v/>
      </c>
      <c r="C819">
        <f>TRIM(INDEX(INDIRECT("'Выгрузка'!A819:Z819"),Настройки!$B$8)&amp;"")</f>
        <v/>
      </c>
      <c r="D819">
        <f>IFERROR(--SUBSTITUTE(SUBSTITUTE(TRIM(INDEX(INDIRECT("'Выгрузка'!A819:Z819"),Настройки!$B$10)),",","."),".",MID(1/2,2,1)),"")</f>
        <v/>
      </c>
      <c r="E819">
        <f>IFERROR(--SUBSTITUTE(SUBSTITUTE(TRIM(INDEX(INDIRECT("'Выгрузка'!A819:Z819"),Настройки!$B$11)),",","."),".",MID(1/2,2,1)),"")</f>
        <v/>
      </c>
      <c r="F819">
        <f>TRIM(INDEX(INDIRECT("'Выгрузка'!A819:Z819"),Настройки!$B$12)&amp;"")</f>
        <v/>
      </c>
      <c r="G819">
        <f>IF(F819="",0,IF(TRIM(INDEX(INDIRECT("'Выгрузка'!A819:Z819"),Настройки!$B$13)&amp;"")="",1,IFERROR(--SUBSTITUTE(SUBSTITUTE(TRIM(INDEX(INDIRECT("'Выгрузка'!A819:Z819"),Настройки!$B$13)),",","."),".",MID(1/2,2,1)),"")))</f>
        <v/>
      </c>
      <c r="H819">
        <f>IF(F819="",0,IF(COUNTIF(Настройки!$B$17:$B$26,F819)&gt;0,1,IF(COUNTIF(Настройки!$C$17:$C$26,F819)&gt;0,2,IF(COUNTIF(Настройки!$D$17:$D$26,F819)&gt;0,3,0))))</f>
        <v/>
      </c>
      <c r="I819">
        <f>IF(AND(ISNUMBER(A819),ISNUMBER(B819)),A819*1000+B819,"")</f>
        <v/>
      </c>
      <c r="J819">
        <f>IF(I819="","",IF(COUNTIF(I$2:I819,I819)=1,MAX(J$1:J818)+1,""))</f>
        <v/>
      </c>
    </row>
    <row r="820">
      <c r="A820">
        <f>IFERROR(--SUBSTITUTE(SUBSTITUTE(TRIM(INDEX(INDIRECT("'Выгрузка'!A820:Z820"),Настройки!$B$7)),",","."),".",MID(1/2,2,1)),"")</f>
        <v/>
      </c>
      <c r="B820">
        <f>IFERROR(--SUBSTITUTE(SUBSTITUTE(TRIM(INDEX(INDIRECT("'Выгрузка'!A820:Z820"),Настройки!$B$9)),",","."),".",MID(1/2,2,1)),"")</f>
        <v/>
      </c>
      <c r="C820">
        <f>TRIM(INDEX(INDIRECT("'Выгрузка'!A820:Z820"),Настройки!$B$8)&amp;"")</f>
        <v/>
      </c>
      <c r="D820">
        <f>IFERROR(--SUBSTITUTE(SUBSTITUTE(TRIM(INDEX(INDIRECT("'Выгрузка'!A820:Z820"),Настройки!$B$10)),",","."),".",MID(1/2,2,1)),"")</f>
        <v/>
      </c>
      <c r="E820">
        <f>IFERROR(--SUBSTITUTE(SUBSTITUTE(TRIM(INDEX(INDIRECT("'Выгрузка'!A820:Z820"),Настройки!$B$11)),",","."),".",MID(1/2,2,1)),"")</f>
        <v/>
      </c>
      <c r="F820">
        <f>TRIM(INDEX(INDIRECT("'Выгрузка'!A820:Z820"),Настройки!$B$12)&amp;"")</f>
        <v/>
      </c>
      <c r="G820">
        <f>IF(F820="",0,IF(TRIM(INDEX(INDIRECT("'Выгрузка'!A820:Z820"),Настройки!$B$13)&amp;"")="",1,IFERROR(--SUBSTITUTE(SUBSTITUTE(TRIM(INDEX(INDIRECT("'Выгрузка'!A820:Z820"),Настройки!$B$13)),",","."),".",MID(1/2,2,1)),"")))</f>
        <v/>
      </c>
      <c r="H820">
        <f>IF(F820="",0,IF(COUNTIF(Настройки!$B$17:$B$26,F820)&gt;0,1,IF(COUNTIF(Настройки!$C$17:$C$26,F820)&gt;0,2,IF(COUNTIF(Настройки!$D$17:$D$26,F820)&gt;0,3,0))))</f>
        <v/>
      </c>
      <c r="I820">
        <f>IF(AND(ISNUMBER(A820),ISNUMBER(B820)),A820*1000+B820,"")</f>
        <v/>
      </c>
      <c r="J820">
        <f>IF(I820="","",IF(COUNTIF(I$2:I820,I820)=1,MAX(J$1:J819)+1,""))</f>
        <v/>
      </c>
    </row>
    <row r="821">
      <c r="A821">
        <f>IFERROR(--SUBSTITUTE(SUBSTITUTE(TRIM(INDEX(INDIRECT("'Выгрузка'!A821:Z821"),Настройки!$B$7)),",","."),".",MID(1/2,2,1)),"")</f>
        <v/>
      </c>
      <c r="B821">
        <f>IFERROR(--SUBSTITUTE(SUBSTITUTE(TRIM(INDEX(INDIRECT("'Выгрузка'!A821:Z821"),Настройки!$B$9)),",","."),".",MID(1/2,2,1)),"")</f>
        <v/>
      </c>
      <c r="C821">
        <f>TRIM(INDEX(INDIRECT("'Выгрузка'!A821:Z821"),Настройки!$B$8)&amp;"")</f>
        <v/>
      </c>
      <c r="D821">
        <f>IFERROR(--SUBSTITUTE(SUBSTITUTE(TRIM(INDEX(INDIRECT("'Выгрузка'!A821:Z821"),Настройки!$B$10)),",","."),".",MID(1/2,2,1)),"")</f>
        <v/>
      </c>
      <c r="E821">
        <f>IFERROR(--SUBSTITUTE(SUBSTITUTE(TRIM(INDEX(INDIRECT("'Выгрузка'!A821:Z821"),Настройки!$B$11)),",","."),".",MID(1/2,2,1)),"")</f>
        <v/>
      </c>
      <c r="F821">
        <f>TRIM(INDEX(INDIRECT("'Выгрузка'!A821:Z821"),Настройки!$B$12)&amp;"")</f>
        <v/>
      </c>
      <c r="G821">
        <f>IF(F821="",0,IF(TRIM(INDEX(INDIRECT("'Выгрузка'!A821:Z821"),Настройки!$B$13)&amp;"")="",1,IFERROR(--SUBSTITUTE(SUBSTITUTE(TRIM(INDEX(INDIRECT("'Выгрузка'!A821:Z821"),Настройки!$B$13)),",","."),".",MID(1/2,2,1)),"")))</f>
        <v/>
      </c>
      <c r="H821">
        <f>IF(F821="",0,IF(COUNTIF(Настройки!$B$17:$B$26,F821)&gt;0,1,IF(COUNTIF(Настройки!$C$17:$C$26,F821)&gt;0,2,IF(COUNTIF(Настройки!$D$17:$D$26,F821)&gt;0,3,0))))</f>
        <v/>
      </c>
      <c r="I821">
        <f>IF(AND(ISNUMBER(A821),ISNUMBER(B821)),A821*1000+B821,"")</f>
        <v/>
      </c>
      <c r="J821">
        <f>IF(I821="","",IF(COUNTIF(I$2:I821,I821)=1,MAX(J$1:J820)+1,""))</f>
        <v/>
      </c>
    </row>
    <row r="822">
      <c r="A822">
        <f>IFERROR(--SUBSTITUTE(SUBSTITUTE(TRIM(INDEX(INDIRECT("'Выгрузка'!A822:Z822"),Настройки!$B$7)),",","."),".",MID(1/2,2,1)),"")</f>
        <v/>
      </c>
      <c r="B822">
        <f>IFERROR(--SUBSTITUTE(SUBSTITUTE(TRIM(INDEX(INDIRECT("'Выгрузка'!A822:Z822"),Настройки!$B$9)),",","."),".",MID(1/2,2,1)),"")</f>
        <v/>
      </c>
      <c r="C822">
        <f>TRIM(INDEX(INDIRECT("'Выгрузка'!A822:Z822"),Настройки!$B$8)&amp;"")</f>
        <v/>
      </c>
      <c r="D822">
        <f>IFERROR(--SUBSTITUTE(SUBSTITUTE(TRIM(INDEX(INDIRECT("'Выгрузка'!A822:Z822"),Настройки!$B$10)),",","."),".",MID(1/2,2,1)),"")</f>
        <v/>
      </c>
      <c r="E822">
        <f>IFERROR(--SUBSTITUTE(SUBSTITUTE(TRIM(INDEX(INDIRECT("'Выгрузка'!A822:Z822"),Настройки!$B$11)),",","."),".",MID(1/2,2,1)),"")</f>
        <v/>
      </c>
      <c r="F822">
        <f>TRIM(INDEX(INDIRECT("'Выгрузка'!A822:Z822"),Настройки!$B$12)&amp;"")</f>
        <v/>
      </c>
      <c r="G822">
        <f>IF(F822="",0,IF(TRIM(INDEX(INDIRECT("'Выгрузка'!A822:Z822"),Настройки!$B$13)&amp;"")="",1,IFERROR(--SUBSTITUTE(SUBSTITUTE(TRIM(INDEX(INDIRECT("'Выгрузка'!A822:Z822"),Настройки!$B$13)),",","."),".",MID(1/2,2,1)),"")))</f>
        <v/>
      </c>
      <c r="H822">
        <f>IF(F822="",0,IF(COUNTIF(Настройки!$B$17:$B$26,F822)&gt;0,1,IF(COUNTIF(Настройки!$C$17:$C$26,F822)&gt;0,2,IF(COUNTIF(Настройки!$D$17:$D$26,F822)&gt;0,3,0))))</f>
        <v/>
      </c>
      <c r="I822">
        <f>IF(AND(ISNUMBER(A822),ISNUMBER(B822)),A822*1000+B822,"")</f>
        <v/>
      </c>
      <c r="J822">
        <f>IF(I822="","",IF(COUNTIF(I$2:I822,I822)=1,MAX(J$1:J821)+1,""))</f>
        <v/>
      </c>
    </row>
    <row r="823">
      <c r="A823">
        <f>IFERROR(--SUBSTITUTE(SUBSTITUTE(TRIM(INDEX(INDIRECT("'Выгрузка'!A823:Z823"),Настройки!$B$7)),",","."),".",MID(1/2,2,1)),"")</f>
        <v/>
      </c>
      <c r="B823">
        <f>IFERROR(--SUBSTITUTE(SUBSTITUTE(TRIM(INDEX(INDIRECT("'Выгрузка'!A823:Z823"),Настройки!$B$9)),",","."),".",MID(1/2,2,1)),"")</f>
        <v/>
      </c>
      <c r="C823">
        <f>TRIM(INDEX(INDIRECT("'Выгрузка'!A823:Z823"),Настройки!$B$8)&amp;"")</f>
        <v/>
      </c>
      <c r="D823">
        <f>IFERROR(--SUBSTITUTE(SUBSTITUTE(TRIM(INDEX(INDIRECT("'Выгрузка'!A823:Z823"),Настройки!$B$10)),",","."),".",MID(1/2,2,1)),"")</f>
        <v/>
      </c>
      <c r="E823">
        <f>IFERROR(--SUBSTITUTE(SUBSTITUTE(TRIM(INDEX(INDIRECT("'Выгрузка'!A823:Z823"),Настройки!$B$11)),",","."),".",MID(1/2,2,1)),"")</f>
        <v/>
      </c>
      <c r="F823">
        <f>TRIM(INDEX(INDIRECT("'Выгрузка'!A823:Z823"),Настройки!$B$12)&amp;"")</f>
        <v/>
      </c>
      <c r="G823">
        <f>IF(F823="",0,IF(TRIM(INDEX(INDIRECT("'Выгрузка'!A823:Z823"),Настройки!$B$13)&amp;"")="",1,IFERROR(--SUBSTITUTE(SUBSTITUTE(TRIM(INDEX(INDIRECT("'Выгрузка'!A823:Z823"),Настройки!$B$13)),",","."),".",MID(1/2,2,1)),"")))</f>
        <v/>
      </c>
      <c r="H823">
        <f>IF(F823="",0,IF(COUNTIF(Настройки!$B$17:$B$26,F823)&gt;0,1,IF(COUNTIF(Настройки!$C$17:$C$26,F823)&gt;0,2,IF(COUNTIF(Настройки!$D$17:$D$26,F823)&gt;0,3,0))))</f>
        <v/>
      </c>
      <c r="I823">
        <f>IF(AND(ISNUMBER(A823),ISNUMBER(B823)),A823*1000+B823,"")</f>
        <v/>
      </c>
      <c r="J823">
        <f>IF(I823="","",IF(COUNTIF(I$2:I823,I823)=1,MAX(J$1:J822)+1,""))</f>
        <v/>
      </c>
    </row>
    <row r="824">
      <c r="A824">
        <f>IFERROR(--SUBSTITUTE(SUBSTITUTE(TRIM(INDEX(INDIRECT("'Выгрузка'!A824:Z824"),Настройки!$B$7)),",","."),".",MID(1/2,2,1)),"")</f>
        <v/>
      </c>
      <c r="B824">
        <f>IFERROR(--SUBSTITUTE(SUBSTITUTE(TRIM(INDEX(INDIRECT("'Выгрузка'!A824:Z824"),Настройки!$B$9)),",","."),".",MID(1/2,2,1)),"")</f>
        <v/>
      </c>
      <c r="C824">
        <f>TRIM(INDEX(INDIRECT("'Выгрузка'!A824:Z824"),Настройки!$B$8)&amp;"")</f>
        <v/>
      </c>
      <c r="D824">
        <f>IFERROR(--SUBSTITUTE(SUBSTITUTE(TRIM(INDEX(INDIRECT("'Выгрузка'!A824:Z824"),Настройки!$B$10)),",","."),".",MID(1/2,2,1)),"")</f>
        <v/>
      </c>
      <c r="E824">
        <f>IFERROR(--SUBSTITUTE(SUBSTITUTE(TRIM(INDEX(INDIRECT("'Выгрузка'!A824:Z824"),Настройки!$B$11)),",","."),".",MID(1/2,2,1)),"")</f>
        <v/>
      </c>
      <c r="F824">
        <f>TRIM(INDEX(INDIRECT("'Выгрузка'!A824:Z824"),Настройки!$B$12)&amp;"")</f>
        <v/>
      </c>
      <c r="G824">
        <f>IF(F824="",0,IF(TRIM(INDEX(INDIRECT("'Выгрузка'!A824:Z824"),Настройки!$B$13)&amp;"")="",1,IFERROR(--SUBSTITUTE(SUBSTITUTE(TRIM(INDEX(INDIRECT("'Выгрузка'!A824:Z824"),Настройки!$B$13)),",","."),".",MID(1/2,2,1)),"")))</f>
        <v/>
      </c>
      <c r="H824">
        <f>IF(F824="",0,IF(COUNTIF(Настройки!$B$17:$B$26,F824)&gt;0,1,IF(COUNTIF(Настройки!$C$17:$C$26,F824)&gt;0,2,IF(COUNTIF(Настройки!$D$17:$D$26,F824)&gt;0,3,0))))</f>
        <v/>
      </c>
      <c r="I824">
        <f>IF(AND(ISNUMBER(A824),ISNUMBER(B824)),A824*1000+B824,"")</f>
        <v/>
      </c>
      <c r="J824">
        <f>IF(I824="","",IF(COUNTIF(I$2:I824,I824)=1,MAX(J$1:J823)+1,""))</f>
        <v/>
      </c>
    </row>
    <row r="825">
      <c r="A825">
        <f>IFERROR(--SUBSTITUTE(SUBSTITUTE(TRIM(INDEX(INDIRECT("'Выгрузка'!A825:Z825"),Настройки!$B$7)),",","."),".",MID(1/2,2,1)),"")</f>
        <v/>
      </c>
      <c r="B825">
        <f>IFERROR(--SUBSTITUTE(SUBSTITUTE(TRIM(INDEX(INDIRECT("'Выгрузка'!A825:Z825"),Настройки!$B$9)),",","."),".",MID(1/2,2,1)),"")</f>
        <v/>
      </c>
      <c r="C825">
        <f>TRIM(INDEX(INDIRECT("'Выгрузка'!A825:Z825"),Настройки!$B$8)&amp;"")</f>
        <v/>
      </c>
      <c r="D825">
        <f>IFERROR(--SUBSTITUTE(SUBSTITUTE(TRIM(INDEX(INDIRECT("'Выгрузка'!A825:Z825"),Настройки!$B$10)),",","."),".",MID(1/2,2,1)),"")</f>
        <v/>
      </c>
      <c r="E825">
        <f>IFERROR(--SUBSTITUTE(SUBSTITUTE(TRIM(INDEX(INDIRECT("'Выгрузка'!A825:Z825"),Настройки!$B$11)),",","."),".",MID(1/2,2,1)),"")</f>
        <v/>
      </c>
      <c r="F825">
        <f>TRIM(INDEX(INDIRECT("'Выгрузка'!A825:Z825"),Настройки!$B$12)&amp;"")</f>
        <v/>
      </c>
      <c r="G825">
        <f>IF(F825="",0,IF(TRIM(INDEX(INDIRECT("'Выгрузка'!A825:Z825"),Настройки!$B$13)&amp;"")="",1,IFERROR(--SUBSTITUTE(SUBSTITUTE(TRIM(INDEX(INDIRECT("'Выгрузка'!A825:Z825"),Настройки!$B$13)),",","."),".",MID(1/2,2,1)),"")))</f>
        <v/>
      </c>
      <c r="H825">
        <f>IF(F825="",0,IF(COUNTIF(Настройки!$B$17:$B$26,F825)&gt;0,1,IF(COUNTIF(Настройки!$C$17:$C$26,F825)&gt;0,2,IF(COUNTIF(Настройки!$D$17:$D$26,F825)&gt;0,3,0))))</f>
        <v/>
      </c>
      <c r="I825">
        <f>IF(AND(ISNUMBER(A825),ISNUMBER(B825)),A825*1000+B825,"")</f>
        <v/>
      </c>
      <c r="J825">
        <f>IF(I825="","",IF(COUNTIF(I$2:I825,I825)=1,MAX(J$1:J824)+1,""))</f>
        <v/>
      </c>
    </row>
    <row r="826">
      <c r="A826">
        <f>IFERROR(--SUBSTITUTE(SUBSTITUTE(TRIM(INDEX(INDIRECT("'Выгрузка'!A826:Z826"),Настройки!$B$7)),",","."),".",MID(1/2,2,1)),"")</f>
        <v/>
      </c>
      <c r="B826">
        <f>IFERROR(--SUBSTITUTE(SUBSTITUTE(TRIM(INDEX(INDIRECT("'Выгрузка'!A826:Z826"),Настройки!$B$9)),",","."),".",MID(1/2,2,1)),"")</f>
        <v/>
      </c>
      <c r="C826">
        <f>TRIM(INDEX(INDIRECT("'Выгрузка'!A826:Z826"),Настройки!$B$8)&amp;"")</f>
        <v/>
      </c>
      <c r="D826">
        <f>IFERROR(--SUBSTITUTE(SUBSTITUTE(TRIM(INDEX(INDIRECT("'Выгрузка'!A826:Z826"),Настройки!$B$10)),",","."),".",MID(1/2,2,1)),"")</f>
        <v/>
      </c>
      <c r="E826">
        <f>IFERROR(--SUBSTITUTE(SUBSTITUTE(TRIM(INDEX(INDIRECT("'Выгрузка'!A826:Z826"),Настройки!$B$11)),",","."),".",MID(1/2,2,1)),"")</f>
        <v/>
      </c>
      <c r="F826">
        <f>TRIM(INDEX(INDIRECT("'Выгрузка'!A826:Z826"),Настройки!$B$12)&amp;"")</f>
        <v/>
      </c>
      <c r="G826">
        <f>IF(F826="",0,IF(TRIM(INDEX(INDIRECT("'Выгрузка'!A826:Z826"),Настройки!$B$13)&amp;"")="",1,IFERROR(--SUBSTITUTE(SUBSTITUTE(TRIM(INDEX(INDIRECT("'Выгрузка'!A826:Z826"),Настройки!$B$13)),",","."),".",MID(1/2,2,1)),"")))</f>
        <v/>
      </c>
      <c r="H826">
        <f>IF(F826="",0,IF(COUNTIF(Настройки!$B$17:$B$26,F826)&gt;0,1,IF(COUNTIF(Настройки!$C$17:$C$26,F826)&gt;0,2,IF(COUNTIF(Настройки!$D$17:$D$26,F826)&gt;0,3,0))))</f>
        <v/>
      </c>
      <c r="I826">
        <f>IF(AND(ISNUMBER(A826),ISNUMBER(B826)),A826*1000+B826,"")</f>
        <v/>
      </c>
      <c r="J826">
        <f>IF(I826="","",IF(COUNTIF(I$2:I826,I826)=1,MAX(J$1:J825)+1,""))</f>
        <v/>
      </c>
    </row>
    <row r="827">
      <c r="A827">
        <f>IFERROR(--SUBSTITUTE(SUBSTITUTE(TRIM(INDEX(INDIRECT("'Выгрузка'!A827:Z827"),Настройки!$B$7)),",","."),".",MID(1/2,2,1)),"")</f>
        <v/>
      </c>
      <c r="B827">
        <f>IFERROR(--SUBSTITUTE(SUBSTITUTE(TRIM(INDEX(INDIRECT("'Выгрузка'!A827:Z827"),Настройки!$B$9)),",","."),".",MID(1/2,2,1)),"")</f>
        <v/>
      </c>
      <c r="C827">
        <f>TRIM(INDEX(INDIRECT("'Выгрузка'!A827:Z827"),Настройки!$B$8)&amp;"")</f>
        <v/>
      </c>
      <c r="D827">
        <f>IFERROR(--SUBSTITUTE(SUBSTITUTE(TRIM(INDEX(INDIRECT("'Выгрузка'!A827:Z827"),Настройки!$B$10)),",","."),".",MID(1/2,2,1)),"")</f>
        <v/>
      </c>
      <c r="E827">
        <f>IFERROR(--SUBSTITUTE(SUBSTITUTE(TRIM(INDEX(INDIRECT("'Выгрузка'!A827:Z827"),Настройки!$B$11)),",","."),".",MID(1/2,2,1)),"")</f>
        <v/>
      </c>
      <c r="F827">
        <f>TRIM(INDEX(INDIRECT("'Выгрузка'!A827:Z827"),Настройки!$B$12)&amp;"")</f>
        <v/>
      </c>
      <c r="G827">
        <f>IF(F827="",0,IF(TRIM(INDEX(INDIRECT("'Выгрузка'!A827:Z827"),Настройки!$B$13)&amp;"")="",1,IFERROR(--SUBSTITUTE(SUBSTITUTE(TRIM(INDEX(INDIRECT("'Выгрузка'!A827:Z827"),Настройки!$B$13)),",","."),".",MID(1/2,2,1)),"")))</f>
        <v/>
      </c>
      <c r="H827">
        <f>IF(F827="",0,IF(COUNTIF(Настройки!$B$17:$B$26,F827)&gt;0,1,IF(COUNTIF(Настройки!$C$17:$C$26,F827)&gt;0,2,IF(COUNTIF(Настройки!$D$17:$D$26,F827)&gt;0,3,0))))</f>
        <v/>
      </c>
      <c r="I827">
        <f>IF(AND(ISNUMBER(A827),ISNUMBER(B827)),A827*1000+B827,"")</f>
        <v/>
      </c>
      <c r="J827">
        <f>IF(I827="","",IF(COUNTIF(I$2:I827,I827)=1,MAX(J$1:J826)+1,""))</f>
        <v/>
      </c>
    </row>
    <row r="828">
      <c r="A828">
        <f>IFERROR(--SUBSTITUTE(SUBSTITUTE(TRIM(INDEX(INDIRECT("'Выгрузка'!A828:Z828"),Настройки!$B$7)),",","."),".",MID(1/2,2,1)),"")</f>
        <v/>
      </c>
      <c r="B828">
        <f>IFERROR(--SUBSTITUTE(SUBSTITUTE(TRIM(INDEX(INDIRECT("'Выгрузка'!A828:Z828"),Настройки!$B$9)),",","."),".",MID(1/2,2,1)),"")</f>
        <v/>
      </c>
      <c r="C828">
        <f>TRIM(INDEX(INDIRECT("'Выгрузка'!A828:Z828"),Настройки!$B$8)&amp;"")</f>
        <v/>
      </c>
      <c r="D828">
        <f>IFERROR(--SUBSTITUTE(SUBSTITUTE(TRIM(INDEX(INDIRECT("'Выгрузка'!A828:Z828"),Настройки!$B$10)),",","."),".",MID(1/2,2,1)),"")</f>
        <v/>
      </c>
      <c r="E828">
        <f>IFERROR(--SUBSTITUTE(SUBSTITUTE(TRIM(INDEX(INDIRECT("'Выгрузка'!A828:Z828"),Настройки!$B$11)),",","."),".",MID(1/2,2,1)),"")</f>
        <v/>
      </c>
      <c r="F828">
        <f>TRIM(INDEX(INDIRECT("'Выгрузка'!A828:Z828"),Настройки!$B$12)&amp;"")</f>
        <v/>
      </c>
      <c r="G828">
        <f>IF(F828="",0,IF(TRIM(INDEX(INDIRECT("'Выгрузка'!A828:Z828"),Настройки!$B$13)&amp;"")="",1,IFERROR(--SUBSTITUTE(SUBSTITUTE(TRIM(INDEX(INDIRECT("'Выгрузка'!A828:Z828"),Настройки!$B$13)),",","."),".",MID(1/2,2,1)),"")))</f>
        <v/>
      </c>
      <c r="H828">
        <f>IF(F828="",0,IF(COUNTIF(Настройки!$B$17:$B$26,F828)&gt;0,1,IF(COUNTIF(Настройки!$C$17:$C$26,F828)&gt;0,2,IF(COUNTIF(Настройки!$D$17:$D$26,F828)&gt;0,3,0))))</f>
        <v/>
      </c>
      <c r="I828">
        <f>IF(AND(ISNUMBER(A828),ISNUMBER(B828)),A828*1000+B828,"")</f>
        <v/>
      </c>
      <c r="J828">
        <f>IF(I828="","",IF(COUNTIF(I$2:I828,I828)=1,MAX(J$1:J827)+1,""))</f>
        <v/>
      </c>
    </row>
    <row r="829">
      <c r="A829">
        <f>IFERROR(--SUBSTITUTE(SUBSTITUTE(TRIM(INDEX(INDIRECT("'Выгрузка'!A829:Z829"),Настройки!$B$7)),",","."),".",MID(1/2,2,1)),"")</f>
        <v/>
      </c>
      <c r="B829">
        <f>IFERROR(--SUBSTITUTE(SUBSTITUTE(TRIM(INDEX(INDIRECT("'Выгрузка'!A829:Z829"),Настройки!$B$9)),",","."),".",MID(1/2,2,1)),"")</f>
        <v/>
      </c>
      <c r="C829">
        <f>TRIM(INDEX(INDIRECT("'Выгрузка'!A829:Z829"),Настройки!$B$8)&amp;"")</f>
        <v/>
      </c>
      <c r="D829">
        <f>IFERROR(--SUBSTITUTE(SUBSTITUTE(TRIM(INDEX(INDIRECT("'Выгрузка'!A829:Z829"),Настройки!$B$10)),",","."),".",MID(1/2,2,1)),"")</f>
        <v/>
      </c>
      <c r="E829">
        <f>IFERROR(--SUBSTITUTE(SUBSTITUTE(TRIM(INDEX(INDIRECT("'Выгрузка'!A829:Z829"),Настройки!$B$11)),",","."),".",MID(1/2,2,1)),"")</f>
        <v/>
      </c>
      <c r="F829">
        <f>TRIM(INDEX(INDIRECT("'Выгрузка'!A829:Z829"),Настройки!$B$12)&amp;"")</f>
        <v/>
      </c>
      <c r="G829">
        <f>IF(F829="",0,IF(TRIM(INDEX(INDIRECT("'Выгрузка'!A829:Z829"),Настройки!$B$13)&amp;"")="",1,IFERROR(--SUBSTITUTE(SUBSTITUTE(TRIM(INDEX(INDIRECT("'Выгрузка'!A829:Z829"),Настройки!$B$13)),",","."),".",MID(1/2,2,1)),"")))</f>
        <v/>
      </c>
      <c r="H829">
        <f>IF(F829="",0,IF(COUNTIF(Настройки!$B$17:$B$26,F829)&gt;0,1,IF(COUNTIF(Настройки!$C$17:$C$26,F829)&gt;0,2,IF(COUNTIF(Настройки!$D$17:$D$26,F829)&gt;0,3,0))))</f>
        <v/>
      </c>
      <c r="I829">
        <f>IF(AND(ISNUMBER(A829),ISNUMBER(B829)),A829*1000+B829,"")</f>
        <v/>
      </c>
      <c r="J829">
        <f>IF(I829="","",IF(COUNTIF(I$2:I829,I829)=1,MAX(J$1:J828)+1,""))</f>
        <v/>
      </c>
    </row>
    <row r="830">
      <c r="A830">
        <f>IFERROR(--SUBSTITUTE(SUBSTITUTE(TRIM(INDEX(INDIRECT("'Выгрузка'!A830:Z830"),Настройки!$B$7)),",","."),".",MID(1/2,2,1)),"")</f>
        <v/>
      </c>
      <c r="B830">
        <f>IFERROR(--SUBSTITUTE(SUBSTITUTE(TRIM(INDEX(INDIRECT("'Выгрузка'!A830:Z830"),Настройки!$B$9)),",","."),".",MID(1/2,2,1)),"")</f>
        <v/>
      </c>
      <c r="C830">
        <f>TRIM(INDEX(INDIRECT("'Выгрузка'!A830:Z830"),Настройки!$B$8)&amp;"")</f>
        <v/>
      </c>
      <c r="D830">
        <f>IFERROR(--SUBSTITUTE(SUBSTITUTE(TRIM(INDEX(INDIRECT("'Выгрузка'!A830:Z830"),Настройки!$B$10)),",","."),".",MID(1/2,2,1)),"")</f>
        <v/>
      </c>
      <c r="E830">
        <f>IFERROR(--SUBSTITUTE(SUBSTITUTE(TRIM(INDEX(INDIRECT("'Выгрузка'!A830:Z830"),Настройки!$B$11)),",","."),".",MID(1/2,2,1)),"")</f>
        <v/>
      </c>
      <c r="F830">
        <f>TRIM(INDEX(INDIRECT("'Выгрузка'!A830:Z830"),Настройки!$B$12)&amp;"")</f>
        <v/>
      </c>
      <c r="G830">
        <f>IF(F830="",0,IF(TRIM(INDEX(INDIRECT("'Выгрузка'!A830:Z830"),Настройки!$B$13)&amp;"")="",1,IFERROR(--SUBSTITUTE(SUBSTITUTE(TRIM(INDEX(INDIRECT("'Выгрузка'!A830:Z830"),Настройки!$B$13)),",","."),".",MID(1/2,2,1)),"")))</f>
        <v/>
      </c>
      <c r="H830">
        <f>IF(F830="",0,IF(COUNTIF(Настройки!$B$17:$B$26,F830)&gt;0,1,IF(COUNTIF(Настройки!$C$17:$C$26,F830)&gt;0,2,IF(COUNTIF(Настройки!$D$17:$D$26,F830)&gt;0,3,0))))</f>
        <v/>
      </c>
      <c r="I830">
        <f>IF(AND(ISNUMBER(A830),ISNUMBER(B830)),A830*1000+B830,"")</f>
        <v/>
      </c>
      <c r="J830">
        <f>IF(I830="","",IF(COUNTIF(I$2:I830,I830)=1,MAX(J$1:J829)+1,""))</f>
        <v/>
      </c>
    </row>
    <row r="831">
      <c r="A831">
        <f>IFERROR(--SUBSTITUTE(SUBSTITUTE(TRIM(INDEX(INDIRECT("'Выгрузка'!A831:Z831"),Настройки!$B$7)),",","."),".",MID(1/2,2,1)),"")</f>
        <v/>
      </c>
      <c r="B831">
        <f>IFERROR(--SUBSTITUTE(SUBSTITUTE(TRIM(INDEX(INDIRECT("'Выгрузка'!A831:Z831"),Настройки!$B$9)),",","."),".",MID(1/2,2,1)),"")</f>
        <v/>
      </c>
      <c r="C831">
        <f>TRIM(INDEX(INDIRECT("'Выгрузка'!A831:Z831"),Настройки!$B$8)&amp;"")</f>
        <v/>
      </c>
      <c r="D831">
        <f>IFERROR(--SUBSTITUTE(SUBSTITUTE(TRIM(INDEX(INDIRECT("'Выгрузка'!A831:Z831"),Настройки!$B$10)),",","."),".",MID(1/2,2,1)),"")</f>
        <v/>
      </c>
      <c r="E831">
        <f>IFERROR(--SUBSTITUTE(SUBSTITUTE(TRIM(INDEX(INDIRECT("'Выгрузка'!A831:Z831"),Настройки!$B$11)),",","."),".",MID(1/2,2,1)),"")</f>
        <v/>
      </c>
      <c r="F831">
        <f>TRIM(INDEX(INDIRECT("'Выгрузка'!A831:Z831"),Настройки!$B$12)&amp;"")</f>
        <v/>
      </c>
      <c r="G831">
        <f>IF(F831="",0,IF(TRIM(INDEX(INDIRECT("'Выгрузка'!A831:Z831"),Настройки!$B$13)&amp;"")="",1,IFERROR(--SUBSTITUTE(SUBSTITUTE(TRIM(INDEX(INDIRECT("'Выгрузка'!A831:Z831"),Настройки!$B$13)),",","."),".",MID(1/2,2,1)),"")))</f>
        <v/>
      </c>
      <c r="H831">
        <f>IF(F831="",0,IF(COUNTIF(Настройки!$B$17:$B$26,F831)&gt;0,1,IF(COUNTIF(Настройки!$C$17:$C$26,F831)&gt;0,2,IF(COUNTIF(Настройки!$D$17:$D$26,F831)&gt;0,3,0))))</f>
        <v/>
      </c>
      <c r="I831">
        <f>IF(AND(ISNUMBER(A831),ISNUMBER(B831)),A831*1000+B831,"")</f>
        <v/>
      </c>
      <c r="J831">
        <f>IF(I831="","",IF(COUNTIF(I$2:I831,I831)=1,MAX(J$1:J830)+1,""))</f>
        <v/>
      </c>
    </row>
    <row r="832">
      <c r="A832">
        <f>IFERROR(--SUBSTITUTE(SUBSTITUTE(TRIM(INDEX(INDIRECT("'Выгрузка'!A832:Z832"),Настройки!$B$7)),",","."),".",MID(1/2,2,1)),"")</f>
        <v/>
      </c>
      <c r="B832">
        <f>IFERROR(--SUBSTITUTE(SUBSTITUTE(TRIM(INDEX(INDIRECT("'Выгрузка'!A832:Z832"),Настройки!$B$9)),",","."),".",MID(1/2,2,1)),"")</f>
        <v/>
      </c>
      <c r="C832">
        <f>TRIM(INDEX(INDIRECT("'Выгрузка'!A832:Z832"),Настройки!$B$8)&amp;"")</f>
        <v/>
      </c>
      <c r="D832">
        <f>IFERROR(--SUBSTITUTE(SUBSTITUTE(TRIM(INDEX(INDIRECT("'Выгрузка'!A832:Z832"),Настройки!$B$10)),",","."),".",MID(1/2,2,1)),"")</f>
        <v/>
      </c>
      <c r="E832">
        <f>IFERROR(--SUBSTITUTE(SUBSTITUTE(TRIM(INDEX(INDIRECT("'Выгрузка'!A832:Z832"),Настройки!$B$11)),",","."),".",MID(1/2,2,1)),"")</f>
        <v/>
      </c>
      <c r="F832">
        <f>TRIM(INDEX(INDIRECT("'Выгрузка'!A832:Z832"),Настройки!$B$12)&amp;"")</f>
        <v/>
      </c>
      <c r="G832">
        <f>IF(F832="",0,IF(TRIM(INDEX(INDIRECT("'Выгрузка'!A832:Z832"),Настройки!$B$13)&amp;"")="",1,IFERROR(--SUBSTITUTE(SUBSTITUTE(TRIM(INDEX(INDIRECT("'Выгрузка'!A832:Z832"),Настройки!$B$13)),",","."),".",MID(1/2,2,1)),"")))</f>
        <v/>
      </c>
      <c r="H832">
        <f>IF(F832="",0,IF(COUNTIF(Настройки!$B$17:$B$26,F832)&gt;0,1,IF(COUNTIF(Настройки!$C$17:$C$26,F832)&gt;0,2,IF(COUNTIF(Настройки!$D$17:$D$26,F832)&gt;0,3,0))))</f>
        <v/>
      </c>
      <c r="I832">
        <f>IF(AND(ISNUMBER(A832),ISNUMBER(B832)),A832*1000+B832,"")</f>
        <v/>
      </c>
      <c r="J832">
        <f>IF(I832="","",IF(COUNTIF(I$2:I832,I832)=1,MAX(J$1:J831)+1,""))</f>
        <v/>
      </c>
    </row>
    <row r="833">
      <c r="A833">
        <f>IFERROR(--SUBSTITUTE(SUBSTITUTE(TRIM(INDEX(INDIRECT("'Выгрузка'!A833:Z833"),Настройки!$B$7)),",","."),".",MID(1/2,2,1)),"")</f>
        <v/>
      </c>
      <c r="B833">
        <f>IFERROR(--SUBSTITUTE(SUBSTITUTE(TRIM(INDEX(INDIRECT("'Выгрузка'!A833:Z833"),Настройки!$B$9)),",","."),".",MID(1/2,2,1)),"")</f>
        <v/>
      </c>
      <c r="C833">
        <f>TRIM(INDEX(INDIRECT("'Выгрузка'!A833:Z833"),Настройки!$B$8)&amp;"")</f>
        <v/>
      </c>
      <c r="D833">
        <f>IFERROR(--SUBSTITUTE(SUBSTITUTE(TRIM(INDEX(INDIRECT("'Выгрузка'!A833:Z833"),Настройки!$B$10)),",","."),".",MID(1/2,2,1)),"")</f>
        <v/>
      </c>
      <c r="E833">
        <f>IFERROR(--SUBSTITUTE(SUBSTITUTE(TRIM(INDEX(INDIRECT("'Выгрузка'!A833:Z833"),Настройки!$B$11)),",","."),".",MID(1/2,2,1)),"")</f>
        <v/>
      </c>
      <c r="F833">
        <f>TRIM(INDEX(INDIRECT("'Выгрузка'!A833:Z833"),Настройки!$B$12)&amp;"")</f>
        <v/>
      </c>
      <c r="G833">
        <f>IF(F833="",0,IF(TRIM(INDEX(INDIRECT("'Выгрузка'!A833:Z833"),Настройки!$B$13)&amp;"")="",1,IFERROR(--SUBSTITUTE(SUBSTITUTE(TRIM(INDEX(INDIRECT("'Выгрузка'!A833:Z833"),Настройки!$B$13)),",","."),".",MID(1/2,2,1)),"")))</f>
        <v/>
      </c>
      <c r="H833">
        <f>IF(F833="",0,IF(COUNTIF(Настройки!$B$17:$B$26,F833)&gt;0,1,IF(COUNTIF(Настройки!$C$17:$C$26,F833)&gt;0,2,IF(COUNTIF(Настройки!$D$17:$D$26,F833)&gt;0,3,0))))</f>
        <v/>
      </c>
      <c r="I833">
        <f>IF(AND(ISNUMBER(A833),ISNUMBER(B833)),A833*1000+B833,"")</f>
        <v/>
      </c>
      <c r="J833">
        <f>IF(I833="","",IF(COUNTIF(I$2:I833,I833)=1,MAX(J$1:J832)+1,""))</f>
        <v/>
      </c>
    </row>
    <row r="834">
      <c r="A834">
        <f>IFERROR(--SUBSTITUTE(SUBSTITUTE(TRIM(INDEX(INDIRECT("'Выгрузка'!A834:Z834"),Настройки!$B$7)),",","."),".",MID(1/2,2,1)),"")</f>
        <v/>
      </c>
      <c r="B834">
        <f>IFERROR(--SUBSTITUTE(SUBSTITUTE(TRIM(INDEX(INDIRECT("'Выгрузка'!A834:Z834"),Настройки!$B$9)),",","."),".",MID(1/2,2,1)),"")</f>
        <v/>
      </c>
      <c r="C834">
        <f>TRIM(INDEX(INDIRECT("'Выгрузка'!A834:Z834"),Настройки!$B$8)&amp;"")</f>
        <v/>
      </c>
      <c r="D834">
        <f>IFERROR(--SUBSTITUTE(SUBSTITUTE(TRIM(INDEX(INDIRECT("'Выгрузка'!A834:Z834"),Настройки!$B$10)),",","."),".",MID(1/2,2,1)),"")</f>
        <v/>
      </c>
      <c r="E834">
        <f>IFERROR(--SUBSTITUTE(SUBSTITUTE(TRIM(INDEX(INDIRECT("'Выгрузка'!A834:Z834"),Настройки!$B$11)),",","."),".",MID(1/2,2,1)),"")</f>
        <v/>
      </c>
      <c r="F834">
        <f>TRIM(INDEX(INDIRECT("'Выгрузка'!A834:Z834"),Настройки!$B$12)&amp;"")</f>
        <v/>
      </c>
      <c r="G834">
        <f>IF(F834="",0,IF(TRIM(INDEX(INDIRECT("'Выгрузка'!A834:Z834"),Настройки!$B$13)&amp;"")="",1,IFERROR(--SUBSTITUTE(SUBSTITUTE(TRIM(INDEX(INDIRECT("'Выгрузка'!A834:Z834"),Настройки!$B$13)),",","."),".",MID(1/2,2,1)),"")))</f>
        <v/>
      </c>
      <c r="H834">
        <f>IF(F834="",0,IF(COUNTIF(Настройки!$B$17:$B$26,F834)&gt;0,1,IF(COUNTIF(Настройки!$C$17:$C$26,F834)&gt;0,2,IF(COUNTIF(Настройки!$D$17:$D$26,F834)&gt;0,3,0))))</f>
        <v/>
      </c>
      <c r="I834">
        <f>IF(AND(ISNUMBER(A834),ISNUMBER(B834)),A834*1000+B834,"")</f>
        <v/>
      </c>
      <c r="J834">
        <f>IF(I834="","",IF(COUNTIF(I$2:I834,I834)=1,MAX(J$1:J833)+1,""))</f>
        <v/>
      </c>
    </row>
    <row r="835">
      <c r="A835">
        <f>IFERROR(--SUBSTITUTE(SUBSTITUTE(TRIM(INDEX(INDIRECT("'Выгрузка'!A835:Z835"),Настройки!$B$7)),",","."),".",MID(1/2,2,1)),"")</f>
        <v/>
      </c>
      <c r="B835">
        <f>IFERROR(--SUBSTITUTE(SUBSTITUTE(TRIM(INDEX(INDIRECT("'Выгрузка'!A835:Z835"),Настройки!$B$9)),",","."),".",MID(1/2,2,1)),"")</f>
        <v/>
      </c>
      <c r="C835">
        <f>TRIM(INDEX(INDIRECT("'Выгрузка'!A835:Z835"),Настройки!$B$8)&amp;"")</f>
        <v/>
      </c>
      <c r="D835">
        <f>IFERROR(--SUBSTITUTE(SUBSTITUTE(TRIM(INDEX(INDIRECT("'Выгрузка'!A835:Z835"),Настройки!$B$10)),",","."),".",MID(1/2,2,1)),"")</f>
        <v/>
      </c>
      <c r="E835">
        <f>IFERROR(--SUBSTITUTE(SUBSTITUTE(TRIM(INDEX(INDIRECT("'Выгрузка'!A835:Z835"),Настройки!$B$11)),",","."),".",MID(1/2,2,1)),"")</f>
        <v/>
      </c>
      <c r="F835">
        <f>TRIM(INDEX(INDIRECT("'Выгрузка'!A835:Z835"),Настройки!$B$12)&amp;"")</f>
        <v/>
      </c>
      <c r="G835">
        <f>IF(F835="",0,IF(TRIM(INDEX(INDIRECT("'Выгрузка'!A835:Z835"),Настройки!$B$13)&amp;"")="",1,IFERROR(--SUBSTITUTE(SUBSTITUTE(TRIM(INDEX(INDIRECT("'Выгрузка'!A835:Z835"),Настройки!$B$13)),",","."),".",MID(1/2,2,1)),"")))</f>
        <v/>
      </c>
      <c r="H835">
        <f>IF(F835="",0,IF(COUNTIF(Настройки!$B$17:$B$26,F835)&gt;0,1,IF(COUNTIF(Настройки!$C$17:$C$26,F835)&gt;0,2,IF(COUNTIF(Настройки!$D$17:$D$26,F835)&gt;0,3,0))))</f>
        <v/>
      </c>
      <c r="I835">
        <f>IF(AND(ISNUMBER(A835),ISNUMBER(B835)),A835*1000+B835,"")</f>
        <v/>
      </c>
      <c r="J835">
        <f>IF(I835="","",IF(COUNTIF(I$2:I835,I835)=1,MAX(J$1:J834)+1,""))</f>
        <v/>
      </c>
    </row>
    <row r="836">
      <c r="A836">
        <f>IFERROR(--SUBSTITUTE(SUBSTITUTE(TRIM(INDEX(INDIRECT("'Выгрузка'!A836:Z836"),Настройки!$B$7)),",","."),".",MID(1/2,2,1)),"")</f>
        <v/>
      </c>
      <c r="B836">
        <f>IFERROR(--SUBSTITUTE(SUBSTITUTE(TRIM(INDEX(INDIRECT("'Выгрузка'!A836:Z836"),Настройки!$B$9)),",","."),".",MID(1/2,2,1)),"")</f>
        <v/>
      </c>
      <c r="C836">
        <f>TRIM(INDEX(INDIRECT("'Выгрузка'!A836:Z836"),Настройки!$B$8)&amp;"")</f>
        <v/>
      </c>
      <c r="D836">
        <f>IFERROR(--SUBSTITUTE(SUBSTITUTE(TRIM(INDEX(INDIRECT("'Выгрузка'!A836:Z836"),Настройки!$B$10)),",","."),".",MID(1/2,2,1)),"")</f>
        <v/>
      </c>
      <c r="E836">
        <f>IFERROR(--SUBSTITUTE(SUBSTITUTE(TRIM(INDEX(INDIRECT("'Выгрузка'!A836:Z836"),Настройки!$B$11)),",","."),".",MID(1/2,2,1)),"")</f>
        <v/>
      </c>
      <c r="F836">
        <f>TRIM(INDEX(INDIRECT("'Выгрузка'!A836:Z836"),Настройки!$B$12)&amp;"")</f>
        <v/>
      </c>
      <c r="G836">
        <f>IF(F836="",0,IF(TRIM(INDEX(INDIRECT("'Выгрузка'!A836:Z836"),Настройки!$B$13)&amp;"")="",1,IFERROR(--SUBSTITUTE(SUBSTITUTE(TRIM(INDEX(INDIRECT("'Выгрузка'!A836:Z836"),Настройки!$B$13)),",","."),".",MID(1/2,2,1)),"")))</f>
        <v/>
      </c>
      <c r="H836">
        <f>IF(F836="",0,IF(COUNTIF(Настройки!$B$17:$B$26,F836)&gt;0,1,IF(COUNTIF(Настройки!$C$17:$C$26,F836)&gt;0,2,IF(COUNTIF(Настройки!$D$17:$D$26,F836)&gt;0,3,0))))</f>
        <v/>
      </c>
      <c r="I836">
        <f>IF(AND(ISNUMBER(A836),ISNUMBER(B836)),A836*1000+B836,"")</f>
        <v/>
      </c>
      <c r="J836">
        <f>IF(I836="","",IF(COUNTIF(I$2:I836,I836)=1,MAX(J$1:J835)+1,""))</f>
        <v/>
      </c>
    </row>
    <row r="837">
      <c r="A837">
        <f>IFERROR(--SUBSTITUTE(SUBSTITUTE(TRIM(INDEX(INDIRECT("'Выгрузка'!A837:Z837"),Настройки!$B$7)),",","."),".",MID(1/2,2,1)),"")</f>
        <v/>
      </c>
      <c r="B837">
        <f>IFERROR(--SUBSTITUTE(SUBSTITUTE(TRIM(INDEX(INDIRECT("'Выгрузка'!A837:Z837"),Настройки!$B$9)),",","."),".",MID(1/2,2,1)),"")</f>
        <v/>
      </c>
      <c r="C837">
        <f>TRIM(INDEX(INDIRECT("'Выгрузка'!A837:Z837"),Настройки!$B$8)&amp;"")</f>
        <v/>
      </c>
      <c r="D837">
        <f>IFERROR(--SUBSTITUTE(SUBSTITUTE(TRIM(INDEX(INDIRECT("'Выгрузка'!A837:Z837"),Настройки!$B$10)),",","."),".",MID(1/2,2,1)),"")</f>
        <v/>
      </c>
      <c r="E837">
        <f>IFERROR(--SUBSTITUTE(SUBSTITUTE(TRIM(INDEX(INDIRECT("'Выгрузка'!A837:Z837"),Настройки!$B$11)),",","."),".",MID(1/2,2,1)),"")</f>
        <v/>
      </c>
      <c r="F837">
        <f>TRIM(INDEX(INDIRECT("'Выгрузка'!A837:Z837"),Настройки!$B$12)&amp;"")</f>
        <v/>
      </c>
      <c r="G837">
        <f>IF(F837="",0,IF(TRIM(INDEX(INDIRECT("'Выгрузка'!A837:Z837"),Настройки!$B$13)&amp;"")="",1,IFERROR(--SUBSTITUTE(SUBSTITUTE(TRIM(INDEX(INDIRECT("'Выгрузка'!A837:Z837"),Настройки!$B$13)),",","."),".",MID(1/2,2,1)),"")))</f>
        <v/>
      </c>
      <c r="H837">
        <f>IF(F837="",0,IF(COUNTIF(Настройки!$B$17:$B$26,F837)&gt;0,1,IF(COUNTIF(Настройки!$C$17:$C$26,F837)&gt;0,2,IF(COUNTIF(Настройки!$D$17:$D$26,F837)&gt;0,3,0))))</f>
        <v/>
      </c>
      <c r="I837">
        <f>IF(AND(ISNUMBER(A837),ISNUMBER(B837)),A837*1000+B837,"")</f>
        <v/>
      </c>
      <c r="J837">
        <f>IF(I837="","",IF(COUNTIF(I$2:I837,I837)=1,MAX(J$1:J836)+1,""))</f>
        <v/>
      </c>
    </row>
    <row r="838">
      <c r="A838">
        <f>IFERROR(--SUBSTITUTE(SUBSTITUTE(TRIM(INDEX(INDIRECT("'Выгрузка'!A838:Z838"),Настройки!$B$7)),",","."),".",MID(1/2,2,1)),"")</f>
        <v/>
      </c>
      <c r="B838">
        <f>IFERROR(--SUBSTITUTE(SUBSTITUTE(TRIM(INDEX(INDIRECT("'Выгрузка'!A838:Z838"),Настройки!$B$9)),",","."),".",MID(1/2,2,1)),"")</f>
        <v/>
      </c>
      <c r="C838">
        <f>TRIM(INDEX(INDIRECT("'Выгрузка'!A838:Z838"),Настройки!$B$8)&amp;"")</f>
        <v/>
      </c>
      <c r="D838">
        <f>IFERROR(--SUBSTITUTE(SUBSTITUTE(TRIM(INDEX(INDIRECT("'Выгрузка'!A838:Z838"),Настройки!$B$10)),",","."),".",MID(1/2,2,1)),"")</f>
        <v/>
      </c>
      <c r="E838">
        <f>IFERROR(--SUBSTITUTE(SUBSTITUTE(TRIM(INDEX(INDIRECT("'Выгрузка'!A838:Z838"),Настройки!$B$11)),",","."),".",MID(1/2,2,1)),"")</f>
        <v/>
      </c>
      <c r="F838">
        <f>TRIM(INDEX(INDIRECT("'Выгрузка'!A838:Z838"),Настройки!$B$12)&amp;"")</f>
        <v/>
      </c>
      <c r="G838">
        <f>IF(F838="",0,IF(TRIM(INDEX(INDIRECT("'Выгрузка'!A838:Z838"),Настройки!$B$13)&amp;"")="",1,IFERROR(--SUBSTITUTE(SUBSTITUTE(TRIM(INDEX(INDIRECT("'Выгрузка'!A838:Z838"),Настройки!$B$13)),",","."),".",MID(1/2,2,1)),"")))</f>
        <v/>
      </c>
      <c r="H838">
        <f>IF(F838="",0,IF(COUNTIF(Настройки!$B$17:$B$26,F838)&gt;0,1,IF(COUNTIF(Настройки!$C$17:$C$26,F838)&gt;0,2,IF(COUNTIF(Настройки!$D$17:$D$26,F838)&gt;0,3,0))))</f>
        <v/>
      </c>
      <c r="I838">
        <f>IF(AND(ISNUMBER(A838),ISNUMBER(B838)),A838*1000+B838,"")</f>
        <v/>
      </c>
      <c r="J838">
        <f>IF(I838="","",IF(COUNTIF(I$2:I838,I838)=1,MAX(J$1:J837)+1,""))</f>
        <v/>
      </c>
    </row>
    <row r="839">
      <c r="A839">
        <f>IFERROR(--SUBSTITUTE(SUBSTITUTE(TRIM(INDEX(INDIRECT("'Выгрузка'!A839:Z839"),Настройки!$B$7)),",","."),".",MID(1/2,2,1)),"")</f>
        <v/>
      </c>
      <c r="B839">
        <f>IFERROR(--SUBSTITUTE(SUBSTITUTE(TRIM(INDEX(INDIRECT("'Выгрузка'!A839:Z839"),Настройки!$B$9)),",","."),".",MID(1/2,2,1)),"")</f>
        <v/>
      </c>
      <c r="C839">
        <f>TRIM(INDEX(INDIRECT("'Выгрузка'!A839:Z839"),Настройки!$B$8)&amp;"")</f>
        <v/>
      </c>
      <c r="D839">
        <f>IFERROR(--SUBSTITUTE(SUBSTITUTE(TRIM(INDEX(INDIRECT("'Выгрузка'!A839:Z839"),Настройки!$B$10)),",","."),".",MID(1/2,2,1)),"")</f>
        <v/>
      </c>
      <c r="E839">
        <f>IFERROR(--SUBSTITUTE(SUBSTITUTE(TRIM(INDEX(INDIRECT("'Выгрузка'!A839:Z839"),Настройки!$B$11)),",","."),".",MID(1/2,2,1)),"")</f>
        <v/>
      </c>
      <c r="F839">
        <f>TRIM(INDEX(INDIRECT("'Выгрузка'!A839:Z839"),Настройки!$B$12)&amp;"")</f>
        <v/>
      </c>
      <c r="G839">
        <f>IF(F839="",0,IF(TRIM(INDEX(INDIRECT("'Выгрузка'!A839:Z839"),Настройки!$B$13)&amp;"")="",1,IFERROR(--SUBSTITUTE(SUBSTITUTE(TRIM(INDEX(INDIRECT("'Выгрузка'!A839:Z839"),Настройки!$B$13)),",","."),".",MID(1/2,2,1)),"")))</f>
        <v/>
      </c>
      <c r="H839">
        <f>IF(F839="",0,IF(COUNTIF(Настройки!$B$17:$B$26,F839)&gt;0,1,IF(COUNTIF(Настройки!$C$17:$C$26,F839)&gt;0,2,IF(COUNTIF(Настройки!$D$17:$D$26,F839)&gt;0,3,0))))</f>
        <v/>
      </c>
      <c r="I839">
        <f>IF(AND(ISNUMBER(A839),ISNUMBER(B839)),A839*1000+B839,"")</f>
        <v/>
      </c>
      <c r="J839">
        <f>IF(I839="","",IF(COUNTIF(I$2:I839,I839)=1,MAX(J$1:J838)+1,""))</f>
        <v/>
      </c>
    </row>
    <row r="840">
      <c r="A840">
        <f>IFERROR(--SUBSTITUTE(SUBSTITUTE(TRIM(INDEX(INDIRECT("'Выгрузка'!A840:Z840"),Настройки!$B$7)),",","."),".",MID(1/2,2,1)),"")</f>
        <v/>
      </c>
      <c r="B840">
        <f>IFERROR(--SUBSTITUTE(SUBSTITUTE(TRIM(INDEX(INDIRECT("'Выгрузка'!A840:Z840"),Настройки!$B$9)),",","."),".",MID(1/2,2,1)),"")</f>
        <v/>
      </c>
      <c r="C840">
        <f>TRIM(INDEX(INDIRECT("'Выгрузка'!A840:Z840"),Настройки!$B$8)&amp;"")</f>
        <v/>
      </c>
      <c r="D840">
        <f>IFERROR(--SUBSTITUTE(SUBSTITUTE(TRIM(INDEX(INDIRECT("'Выгрузка'!A840:Z840"),Настройки!$B$10)),",","."),".",MID(1/2,2,1)),"")</f>
        <v/>
      </c>
      <c r="E840">
        <f>IFERROR(--SUBSTITUTE(SUBSTITUTE(TRIM(INDEX(INDIRECT("'Выгрузка'!A840:Z840"),Настройки!$B$11)),",","."),".",MID(1/2,2,1)),"")</f>
        <v/>
      </c>
      <c r="F840">
        <f>TRIM(INDEX(INDIRECT("'Выгрузка'!A840:Z840"),Настройки!$B$12)&amp;"")</f>
        <v/>
      </c>
      <c r="G840">
        <f>IF(F840="",0,IF(TRIM(INDEX(INDIRECT("'Выгрузка'!A840:Z840"),Настройки!$B$13)&amp;"")="",1,IFERROR(--SUBSTITUTE(SUBSTITUTE(TRIM(INDEX(INDIRECT("'Выгрузка'!A840:Z840"),Настройки!$B$13)),",","."),".",MID(1/2,2,1)),"")))</f>
        <v/>
      </c>
      <c r="H840">
        <f>IF(F840="",0,IF(COUNTIF(Настройки!$B$17:$B$26,F840)&gt;0,1,IF(COUNTIF(Настройки!$C$17:$C$26,F840)&gt;0,2,IF(COUNTIF(Настройки!$D$17:$D$26,F840)&gt;0,3,0))))</f>
        <v/>
      </c>
      <c r="I840">
        <f>IF(AND(ISNUMBER(A840),ISNUMBER(B840)),A840*1000+B840,"")</f>
        <v/>
      </c>
      <c r="J840">
        <f>IF(I840="","",IF(COUNTIF(I$2:I840,I840)=1,MAX(J$1:J839)+1,""))</f>
        <v/>
      </c>
    </row>
    <row r="841">
      <c r="A841">
        <f>IFERROR(--SUBSTITUTE(SUBSTITUTE(TRIM(INDEX(INDIRECT("'Выгрузка'!A841:Z841"),Настройки!$B$7)),",","."),".",MID(1/2,2,1)),"")</f>
        <v/>
      </c>
      <c r="B841">
        <f>IFERROR(--SUBSTITUTE(SUBSTITUTE(TRIM(INDEX(INDIRECT("'Выгрузка'!A841:Z841"),Настройки!$B$9)),",","."),".",MID(1/2,2,1)),"")</f>
        <v/>
      </c>
      <c r="C841">
        <f>TRIM(INDEX(INDIRECT("'Выгрузка'!A841:Z841"),Настройки!$B$8)&amp;"")</f>
        <v/>
      </c>
      <c r="D841">
        <f>IFERROR(--SUBSTITUTE(SUBSTITUTE(TRIM(INDEX(INDIRECT("'Выгрузка'!A841:Z841"),Настройки!$B$10)),",","."),".",MID(1/2,2,1)),"")</f>
        <v/>
      </c>
      <c r="E841">
        <f>IFERROR(--SUBSTITUTE(SUBSTITUTE(TRIM(INDEX(INDIRECT("'Выгрузка'!A841:Z841"),Настройки!$B$11)),",","."),".",MID(1/2,2,1)),"")</f>
        <v/>
      </c>
      <c r="F841">
        <f>TRIM(INDEX(INDIRECT("'Выгрузка'!A841:Z841"),Настройки!$B$12)&amp;"")</f>
        <v/>
      </c>
      <c r="G841">
        <f>IF(F841="",0,IF(TRIM(INDEX(INDIRECT("'Выгрузка'!A841:Z841"),Настройки!$B$13)&amp;"")="",1,IFERROR(--SUBSTITUTE(SUBSTITUTE(TRIM(INDEX(INDIRECT("'Выгрузка'!A841:Z841"),Настройки!$B$13)),",","."),".",MID(1/2,2,1)),"")))</f>
        <v/>
      </c>
      <c r="H841">
        <f>IF(F841="",0,IF(COUNTIF(Настройки!$B$17:$B$26,F841)&gt;0,1,IF(COUNTIF(Настройки!$C$17:$C$26,F841)&gt;0,2,IF(COUNTIF(Настройки!$D$17:$D$26,F841)&gt;0,3,0))))</f>
        <v/>
      </c>
      <c r="I841">
        <f>IF(AND(ISNUMBER(A841),ISNUMBER(B841)),A841*1000+B841,"")</f>
        <v/>
      </c>
      <c r="J841">
        <f>IF(I841="","",IF(COUNTIF(I$2:I841,I841)=1,MAX(J$1:J840)+1,""))</f>
        <v/>
      </c>
    </row>
    <row r="842">
      <c r="A842">
        <f>IFERROR(--SUBSTITUTE(SUBSTITUTE(TRIM(INDEX(INDIRECT("'Выгрузка'!A842:Z842"),Настройки!$B$7)),",","."),".",MID(1/2,2,1)),"")</f>
        <v/>
      </c>
      <c r="B842">
        <f>IFERROR(--SUBSTITUTE(SUBSTITUTE(TRIM(INDEX(INDIRECT("'Выгрузка'!A842:Z842"),Настройки!$B$9)),",","."),".",MID(1/2,2,1)),"")</f>
        <v/>
      </c>
      <c r="C842">
        <f>TRIM(INDEX(INDIRECT("'Выгрузка'!A842:Z842"),Настройки!$B$8)&amp;"")</f>
        <v/>
      </c>
      <c r="D842">
        <f>IFERROR(--SUBSTITUTE(SUBSTITUTE(TRIM(INDEX(INDIRECT("'Выгрузка'!A842:Z842"),Настройки!$B$10)),",","."),".",MID(1/2,2,1)),"")</f>
        <v/>
      </c>
      <c r="E842">
        <f>IFERROR(--SUBSTITUTE(SUBSTITUTE(TRIM(INDEX(INDIRECT("'Выгрузка'!A842:Z842"),Настройки!$B$11)),",","."),".",MID(1/2,2,1)),"")</f>
        <v/>
      </c>
      <c r="F842">
        <f>TRIM(INDEX(INDIRECT("'Выгрузка'!A842:Z842"),Настройки!$B$12)&amp;"")</f>
        <v/>
      </c>
      <c r="G842">
        <f>IF(F842="",0,IF(TRIM(INDEX(INDIRECT("'Выгрузка'!A842:Z842"),Настройки!$B$13)&amp;"")="",1,IFERROR(--SUBSTITUTE(SUBSTITUTE(TRIM(INDEX(INDIRECT("'Выгрузка'!A842:Z842"),Настройки!$B$13)),",","."),".",MID(1/2,2,1)),"")))</f>
        <v/>
      </c>
      <c r="H842">
        <f>IF(F842="",0,IF(COUNTIF(Настройки!$B$17:$B$26,F842)&gt;0,1,IF(COUNTIF(Настройки!$C$17:$C$26,F842)&gt;0,2,IF(COUNTIF(Настройки!$D$17:$D$26,F842)&gt;0,3,0))))</f>
        <v/>
      </c>
      <c r="I842">
        <f>IF(AND(ISNUMBER(A842),ISNUMBER(B842)),A842*1000+B842,"")</f>
        <v/>
      </c>
      <c r="J842">
        <f>IF(I842="","",IF(COUNTIF(I$2:I842,I842)=1,MAX(J$1:J841)+1,""))</f>
        <v/>
      </c>
    </row>
    <row r="843">
      <c r="A843">
        <f>IFERROR(--SUBSTITUTE(SUBSTITUTE(TRIM(INDEX(INDIRECT("'Выгрузка'!A843:Z843"),Настройки!$B$7)),",","."),".",MID(1/2,2,1)),"")</f>
        <v/>
      </c>
      <c r="B843">
        <f>IFERROR(--SUBSTITUTE(SUBSTITUTE(TRIM(INDEX(INDIRECT("'Выгрузка'!A843:Z843"),Настройки!$B$9)),",","."),".",MID(1/2,2,1)),"")</f>
        <v/>
      </c>
      <c r="C843">
        <f>TRIM(INDEX(INDIRECT("'Выгрузка'!A843:Z843"),Настройки!$B$8)&amp;"")</f>
        <v/>
      </c>
      <c r="D843">
        <f>IFERROR(--SUBSTITUTE(SUBSTITUTE(TRIM(INDEX(INDIRECT("'Выгрузка'!A843:Z843"),Настройки!$B$10)),",","."),".",MID(1/2,2,1)),"")</f>
        <v/>
      </c>
      <c r="E843">
        <f>IFERROR(--SUBSTITUTE(SUBSTITUTE(TRIM(INDEX(INDIRECT("'Выгрузка'!A843:Z843"),Настройки!$B$11)),",","."),".",MID(1/2,2,1)),"")</f>
        <v/>
      </c>
      <c r="F843">
        <f>TRIM(INDEX(INDIRECT("'Выгрузка'!A843:Z843"),Настройки!$B$12)&amp;"")</f>
        <v/>
      </c>
      <c r="G843">
        <f>IF(F843="",0,IF(TRIM(INDEX(INDIRECT("'Выгрузка'!A843:Z843"),Настройки!$B$13)&amp;"")="",1,IFERROR(--SUBSTITUTE(SUBSTITUTE(TRIM(INDEX(INDIRECT("'Выгрузка'!A843:Z843"),Настройки!$B$13)),",","."),".",MID(1/2,2,1)),"")))</f>
        <v/>
      </c>
      <c r="H843">
        <f>IF(F843="",0,IF(COUNTIF(Настройки!$B$17:$B$26,F843)&gt;0,1,IF(COUNTIF(Настройки!$C$17:$C$26,F843)&gt;0,2,IF(COUNTIF(Настройки!$D$17:$D$26,F843)&gt;0,3,0))))</f>
        <v/>
      </c>
      <c r="I843">
        <f>IF(AND(ISNUMBER(A843),ISNUMBER(B843)),A843*1000+B843,"")</f>
        <v/>
      </c>
      <c r="J843">
        <f>IF(I843="","",IF(COUNTIF(I$2:I843,I843)=1,MAX(J$1:J842)+1,""))</f>
        <v/>
      </c>
    </row>
    <row r="844">
      <c r="A844">
        <f>IFERROR(--SUBSTITUTE(SUBSTITUTE(TRIM(INDEX(INDIRECT("'Выгрузка'!A844:Z844"),Настройки!$B$7)),",","."),".",MID(1/2,2,1)),"")</f>
        <v/>
      </c>
      <c r="B844">
        <f>IFERROR(--SUBSTITUTE(SUBSTITUTE(TRIM(INDEX(INDIRECT("'Выгрузка'!A844:Z844"),Настройки!$B$9)),",","."),".",MID(1/2,2,1)),"")</f>
        <v/>
      </c>
      <c r="C844">
        <f>TRIM(INDEX(INDIRECT("'Выгрузка'!A844:Z844"),Настройки!$B$8)&amp;"")</f>
        <v/>
      </c>
      <c r="D844">
        <f>IFERROR(--SUBSTITUTE(SUBSTITUTE(TRIM(INDEX(INDIRECT("'Выгрузка'!A844:Z844"),Настройки!$B$10)),",","."),".",MID(1/2,2,1)),"")</f>
        <v/>
      </c>
      <c r="E844">
        <f>IFERROR(--SUBSTITUTE(SUBSTITUTE(TRIM(INDEX(INDIRECT("'Выгрузка'!A844:Z844"),Настройки!$B$11)),",","."),".",MID(1/2,2,1)),"")</f>
        <v/>
      </c>
      <c r="F844">
        <f>TRIM(INDEX(INDIRECT("'Выгрузка'!A844:Z844"),Настройки!$B$12)&amp;"")</f>
        <v/>
      </c>
      <c r="G844">
        <f>IF(F844="",0,IF(TRIM(INDEX(INDIRECT("'Выгрузка'!A844:Z844"),Настройки!$B$13)&amp;"")="",1,IFERROR(--SUBSTITUTE(SUBSTITUTE(TRIM(INDEX(INDIRECT("'Выгрузка'!A844:Z844"),Настройки!$B$13)),",","."),".",MID(1/2,2,1)),"")))</f>
        <v/>
      </c>
      <c r="H844">
        <f>IF(F844="",0,IF(COUNTIF(Настройки!$B$17:$B$26,F844)&gt;0,1,IF(COUNTIF(Настройки!$C$17:$C$26,F844)&gt;0,2,IF(COUNTIF(Настройки!$D$17:$D$26,F844)&gt;0,3,0))))</f>
        <v/>
      </c>
      <c r="I844">
        <f>IF(AND(ISNUMBER(A844),ISNUMBER(B844)),A844*1000+B844,"")</f>
        <v/>
      </c>
      <c r="J844">
        <f>IF(I844="","",IF(COUNTIF(I$2:I844,I844)=1,MAX(J$1:J843)+1,""))</f>
        <v/>
      </c>
    </row>
    <row r="845">
      <c r="A845">
        <f>IFERROR(--SUBSTITUTE(SUBSTITUTE(TRIM(INDEX(INDIRECT("'Выгрузка'!A845:Z845"),Настройки!$B$7)),",","."),".",MID(1/2,2,1)),"")</f>
        <v/>
      </c>
      <c r="B845">
        <f>IFERROR(--SUBSTITUTE(SUBSTITUTE(TRIM(INDEX(INDIRECT("'Выгрузка'!A845:Z845"),Настройки!$B$9)),",","."),".",MID(1/2,2,1)),"")</f>
        <v/>
      </c>
      <c r="C845">
        <f>TRIM(INDEX(INDIRECT("'Выгрузка'!A845:Z845"),Настройки!$B$8)&amp;"")</f>
        <v/>
      </c>
      <c r="D845">
        <f>IFERROR(--SUBSTITUTE(SUBSTITUTE(TRIM(INDEX(INDIRECT("'Выгрузка'!A845:Z845"),Настройки!$B$10)),",","."),".",MID(1/2,2,1)),"")</f>
        <v/>
      </c>
      <c r="E845">
        <f>IFERROR(--SUBSTITUTE(SUBSTITUTE(TRIM(INDEX(INDIRECT("'Выгрузка'!A845:Z845"),Настройки!$B$11)),",","."),".",MID(1/2,2,1)),"")</f>
        <v/>
      </c>
      <c r="F845">
        <f>TRIM(INDEX(INDIRECT("'Выгрузка'!A845:Z845"),Настройки!$B$12)&amp;"")</f>
        <v/>
      </c>
      <c r="G845">
        <f>IF(F845="",0,IF(TRIM(INDEX(INDIRECT("'Выгрузка'!A845:Z845"),Настройки!$B$13)&amp;"")="",1,IFERROR(--SUBSTITUTE(SUBSTITUTE(TRIM(INDEX(INDIRECT("'Выгрузка'!A845:Z845"),Настройки!$B$13)),",","."),".",MID(1/2,2,1)),"")))</f>
        <v/>
      </c>
      <c r="H845">
        <f>IF(F845="",0,IF(COUNTIF(Настройки!$B$17:$B$26,F845)&gt;0,1,IF(COUNTIF(Настройки!$C$17:$C$26,F845)&gt;0,2,IF(COUNTIF(Настройки!$D$17:$D$26,F845)&gt;0,3,0))))</f>
        <v/>
      </c>
      <c r="I845">
        <f>IF(AND(ISNUMBER(A845),ISNUMBER(B845)),A845*1000+B845,"")</f>
        <v/>
      </c>
      <c r="J845">
        <f>IF(I845="","",IF(COUNTIF(I$2:I845,I845)=1,MAX(J$1:J844)+1,""))</f>
        <v/>
      </c>
    </row>
    <row r="846">
      <c r="A846">
        <f>IFERROR(--SUBSTITUTE(SUBSTITUTE(TRIM(INDEX(INDIRECT("'Выгрузка'!A846:Z846"),Настройки!$B$7)),",","."),".",MID(1/2,2,1)),"")</f>
        <v/>
      </c>
      <c r="B846">
        <f>IFERROR(--SUBSTITUTE(SUBSTITUTE(TRIM(INDEX(INDIRECT("'Выгрузка'!A846:Z846"),Настройки!$B$9)),",","."),".",MID(1/2,2,1)),"")</f>
        <v/>
      </c>
      <c r="C846">
        <f>TRIM(INDEX(INDIRECT("'Выгрузка'!A846:Z846"),Настройки!$B$8)&amp;"")</f>
        <v/>
      </c>
      <c r="D846">
        <f>IFERROR(--SUBSTITUTE(SUBSTITUTE(TRIM(INDEX(INDIRECT("'Выгрузка'!A846:Z846"),Настройки!$B$10)),",","."),".",MID(1/2,2,1)),"")</f>
        <v/>
      </c>
      <c r="E846">
        <f>IFERROR(--SUBSTITUTE(SUBSTITUTE(TRIM(INDEX(INDIRECT("'Выгрузка'!A846:Z846"),Настройки!$B$11)),",","."),".",MID(1/2,2,1)),"")</f>
        <v/>
      </c>
      <c r="F846">
        <f>TRIM(INDEX(INDIRECT("'Выгрузка'!A846:Z846"),Настройки!$B$12)&amp;"")</f>
        <v/>
      </c>
      <c r="G846">
        <f>IF(F846="",0,IF(TRIM(INDEX(INDIRECT("'Выгрузка'!A846:Z846"),Настройки!$B$13)&amp;"")="",1,IFERROR(--SUBSTITUTE(SUBSTITUTE(TRIM(INDEX(INDIRECT("'Выгрузка'!A846:Z846"),Настройки!$B$13)),",","."),".",MID(1/2,2,1)),"")))</f>
        <v/>
      </c>
      <c r="H846">
        <f>IF(F846="",0,IF(COUNTIF(Настройки!$B$17:$B$26,F846)&gt;0,1,IF(COUNTIF(Настройки!$C$17:$C$26,F846)&gt;0,2,IF(COUNTIF(Настройки!$D$17:$D$26,F846)&gt;0,3,0))))</f>
        <v/>
      </c>
      <c r="I846">
        <f>IF(AND(ISNUMBER(A846),ISNUMBER(B846)),A846*1000+B846,"")</f>
        <v/>
      </c>
      <c r="J846">
        <f>IF(I846="","",IF(COUNTIF(I$2:I846,I846)=1,MAX(J$1:J845)+1,""))</f>
        <v/>
      </c>
    </row>
    <row r="847">
      <c r="A847">
        <f>IFERROR(--SUBSTITUTE(SUBSTITUTE(TRIM(INDEX(INDIRECT("'Выгрузка'!A847:Z847"),Настройки!$B$7)),",","."),".",MID(1/2,2,1)),"")</f>
        <v/>
      </c>
      <c r="B847">
        <f>IFERROR(--SUBSTITUTE(SUBSTITUTE(TRIM(INDEX(INDIRECT("'Выгрузка'!A847:Z847"),Настройки!$B$9)),",","."),".",MID(1/2,2,1)),"")</f>
        <v/>
      </c>
      <c r="C847">
        <f>TRIM(INDEX(INDIRECT("'Выгрузка'!A847:Z847"),Настройки!$B$8)&amp;"")</f>
        <v/>
      </c>
      <c r="D847">
        <f>IFERROR(--SUBSTITUTE(SUBSTITUTE(TRIM(INDEX(INDIRECT("'Выгрузка'!A847:Z847"),Настройки!$B$10)),",","."),".",MID(1/2,2,1)),"")</f>
        <v/>
      </c>
      <c r="E847">
        <f>IFERROR(--SUBSTITUTE(SUBSTITUTE(TRIM(INDEX(INDIRECT("'Выгрузка'!A847:Z847"),Настройки!$B$11)),",","."),".",MID(1/2,2,1)),"")</f>
        <v/>
      </c>
      <c r="F847">
        <f>TRIM(INDEX(INDIRECT("'Выгрузка'!A847:Z847"),Настройки!$B$12)&amp;"")</f>
        <v/>
      </c>
      <c r="G847">
        <f>IF(F847="",0,IF(TRIM(INDEX(INDIRECT("'Выгрузка'!A847:Z847"),Настройки!$B$13)&amp;"")="",1,IFERROR(--SUBSTITUTE(SUBSTITUTE(TRIM(INDEX(INDIRECT("'Выгрузка'!A847:Z847"),Настройки!$B$13)),",","."),".",MID(1/2,2,1)),"")))</f>
        <v/>
      </c>
      <c r="H847">
        <f>IF(F847="",0,IF(COUNTIF(Настройки!$B$17:$B$26,F847)&gt;0,1,IF(COUNTIF(Настройки!$C$17:$C$26,F847)&gt;0,2,IF(COUNTIF(Настройки!$D$17:$D$26,F847)&gt;0,3,0))))</f>
        <v/>
      </c>
      <c r="I847">
        <f>IF(AND(ISNUMBER(A847),ISNUMBER(B847)),A847*1000+B847,"")</f>
        <v/>
      </c>
      <c r="J847">
        <f>IF(I847="","",IF(COUNTIF(I$2:I847,I847)=1,MAX(J$1:J846)+1,""))</f>
        <v/>
      </c>
    </row>
    <row r="848">
      <c r="A848">
        <f>IFERROR(--SUBSTITUTE(SUBSTITUTE(TRIM(INDEX(INDIRECT("'Выгрузка'!A848:Z848"),Настройки!$B$7)),",","."),".",MID(1/2,2,1)),"")</f>
        <v/>
      </c>
      <c r="B848">
        <f>IFERROR(--SUBSTITUTE(SUBSTITUTE(TRIM(INDEX(INDIRECT("'Выгрузка'!A848:Z848"),Настройки!$B$9)),",","."),".",MID(1/2,2,1)),"")</f>
        <v/>
      </c>
      <c r="C848">
        <f>TRIM(INDEX(INDIRECT("'Выгрузка'!A848:Z848"),Настройки!$B$8)&amp;"")</f>
        <v/>
      </c>
      <c r="D848">
        <f>IFERROR(--SUBSTITUTE(SUBSTITUTE(TRIM(INDEX(INDIRECT("'Выгрузка'!A848:Z848"),Настройки!$B$10)),",","."),".",MID(1/2,2,1)),"")</f>
        <v/>
      </c>
      <c r="E848">
        <f>IFERROR(--SUBSTITUTE(SUBSTITUTE(TRIM(INDEX(INDIRECT("'Выгрузка'!A848:Z848"),Настройки!$B$11)),",","."),".",MID(1/2,2,1)),"")</f>
        <v/>
      </c>
      <c r="F848">
        <f>TRIM(INDEX(INDIRECT("'Выгрузка'!A848:Z848"),Настройки!$B$12)&amp;"")</f>
        <v/>
      </c>
      <c r="G848">
        <f>IF(F848="",0,IF(TRIM(INDEX(INDIRECT("'Выгрузка'!A848:Z848"),Настройки!$B$13)&amp;"")="",1,IFERROR(--SUBSTITUTE(SUBSTITUTE(TRIM(INDEX(INDIRECT("'Выгрузка'!A848:Z848"),Настройки!$B$13)),",","."),".",MID(1/2,2,1)),"")))</f>
        <v/>
      </c>
      <c r="H848">
        <f>IF(F848="",0,IF(COUNTIF(Настройки!$B$17:$B$26,F848)&gt;0,1,IF(COUNTIF(Настройки!$C$17:$C$26,F848)&gt;0,2,IF(COUNTIF(Настройки!$D$17:$D$26,F848)&gt;0,3,0))))</f>
        <v/>
      </c>
      <c r="I848">
        <f>IF(AND(ISNUMBER(A848),ISNUMBER(B848)),A848*1000+B848,"")</f>
        <v/>
      </c>
      <c r="J848">
        <f>IF(I848="","",IF(COUNTIF(I$2:I848,I848)=1,MAX(J$1:J847)+1,""))</f>
        <v/>
      </c>
    </row>
    <row r="849">
      <c r="A849">
        <f>IFERROR(--SUBSTITUTE(SUBSTITUTE(TRIM(INDEX(INDIRECT("'Выгрузка'!A849:Z849"),Настройки!$B$7)),",","."),".",MID(1/2,2,1)),"")</f>
        <v/>
      </c>
      <c r="B849">
        <f>IFERROR(--SUBSTITUTE(SUBSTITUTE(TRIM(INDEX(INDIRECT("'Выгрузка'!A849:Z849"),Настройки!$B$9)),",","."),".",MID(1/2,2,1)),"")</f>
        <v/>
      </c>
      <c r="C849">
        <f>TRIM(INDEX(INDIRECT("'Выгрузка'!A849:Z849"),Настройки!$B$8)&amp;"")</f>
        <v/>
      </c>
      <c r="D849">
        <f>IFERROR(--SUBSTITUTE(SUBSTITUTE(TRIM(INDEX(INDIRECT("'Выгрузка'!A849:Z849"),Настройки!$B$10)),",","."),".",MID(1/2,2,1)),"")</f>
        <v/>
      </c>
      <c r="E849">
        <f>IFERROR(--SUBSTITUTE(SUBSTITUTE(TRIM(INDEX(INDIRECT("'Выгрузка'!A849:Z849"),Настройки!$B$11)),",","."),".",MID(1/2,2,1)),"")</f>
        <v/>
      </c>
      <c r="F849">
        <f>TRIM(INDEX(INDIRECT("'Выгрузка'!A849:Z849"),Настройки!$B$12)&amp;"")</f>
        <v/>
      </c>
      <c r="G849">
        <f>IF(F849="",0,IF(TRIM(INDEX(INDIRECT("'Выгрузка'!A849:Z849"),Настройки!$B$13)&amp;"")="",1,IFERROR(--SUBSTITUTE(SUBSTITUTE(TRIM(INDEX(INDIRECT("'Выгрузка'!A849:Z849"),Настройки!$B$13)),",","."),".",MID(1/2,2,1)),"")))</f>
        <v/>
      </c>
      <c r="H849">
        <f>IF(F849="",0,IF(COUNTIF(Настройки!$B$17:$B$26,F849)&gt;0,1,IF(COUNTIF(Настройки!$C$17:$C$26,F849)&gt;0,2,IF(COUNTIF(Настройки!$D$17:$D$26,F849)&gt;0,3,0))))</f>
        <v/>
      </c>
      <c r="I849">
        <f>IF(AND(ISNUMBER(A849),ISNUMBER(B849)),A849*1000+B849,"")</f>
        <v/>
      </c>
      <c r="J849">
        <f>IF(I849="","",IF(COUNTIF(I$2:I849,I849)=1,MAX(J$1:J848)+1,""))</f>
        <v/>
      </c>
    </row>
    <row r="850">
      <c r="A850">
        <f>IFERROR(--SUBSTITUTE(SUBSTITUTE(TRIM(INDEX(INDIRECT("'Выгрузка'!A850:Z850"),Настройки!$B$7)),",","."),".",MID(1/2,2,1)),"")</f>
        <v/>
      </c>
      <c r="B850">
        <f>IFERROR(--SUBSTITUTE(SUBSTITUTE(TRIM(INDEX(INDIRECT("'Выгрузка'!A850:Z850"),Настройки!$B$9)),",","."),".",MID(1/2,2,1)),"")</f>
        <v/>
      </c>
      <c r="C850">
        <f>TRIM(INDEX(INDIRECT("'Выгрузка'!A850:Z850"),Настройки!$B$8)&amp;"")</f>
        <v/>
      </c>
      <c r="D850">
        <f>IFERROR(--SUBSTITUTE(SUBSTITUTE(TRIM(INDEX(INDIRECT("'Выгрузка'!A850:Z850"),Настройки!$B$10)),",","."),".",MID(1/2,2,1)),"")</f>
        <v/>
      </c>
      <c r="E850">
        <f>IFERROR(--SUBSTITUTE(SUBSTITUTE(TRIM(INDEX(INDIRECT("'Выгрузка'!A850:Z850"),Настройки!$B$11)),",","."),".",MID(1/2,2,1)),"")</f>
        <v/>
      </c>
      <c r="F850">
        <f>TRIM(INDEX(INDIRECT("'Выгрузка'!A850:Z850"),Настройки!$B$12)&amp;"")</f>
        <v/>
      </c>
      <c r="G850">
        <f>IF(F850="",0,IF(TRIM(INDEX(INDIRECT("'Выгрузка'!A850:Z850"),Настройки!$B$13)&amp;"")="",1,IFERROR(--SUBSTITUTE(SUBSTITUTE(TRIM(INDEX(INDIRECT("'Выгрузка'!A850:Z850"),Настройки!$B$13)),",","."),".",MID(1/2,2,1)),"")))</f>
        <v/>
      </c>
      <c r="H850">
        <f>IF(F850="",0,IF(COUNTIF(Настройки!$B$17:$B$26,F850)&gt;0,1,IF(COUNTIF(Настройки!$C$17:$C$26,F850)&gt;0,2,IF(COUNTIF(Настройки!$D$17:$D$26,F850)&gt;0,3,0))))</f>
        <v/>
      </c>
      <c r="I850">
        <f>IF(AND(ISNUMBER(A850),ISNUMBER(B850)),A850*1000+B850,"")</f>
        <v/>
      </c>
      <c r="J850">
        <f>IF(I850="","",IF(COUNTIF(I$2:I850,I850)=1,MAX(J$1:J849)+1,""))</f>
        <v/>
      </c>
    </row>
    <row r="851">
      <c r="A851">
        <f>IFERROR(--SUBSTITUTE(SUBSTITUTE(TRIM(INDEX(INDIRECT("'Выгрузка'!A851:Z851"),Настройки!$B$7)),",","."),".",MID(1/2,2,1)),"")</f>
        <v/>
      </c>
      <c r="B851">
        <f>IFERROR(--SUBSTITUTE(SUBSTITUTE(TRIM(INDEX(INDIRECT("'Выгрузка'!A851:Z851"),Настройки!$B$9)),",","."),".",MID(1/2,2,1)),"")</f>
        <v/>
      </c>
      <c r="C851">
        <f>TRIM(INDEX(INDIRECT("'Выгрузка'!A851:Z851"),Настройки!$B$8)&amp;"")</f>
        <v/>
      </c>
      <c r="D851">
        <f>IFERROR(--SUBSTITUTE(SUBSTITUTE(TRIM(INDEX(INDIRECT("'Выгрузка'!A851:Z851"),Настройки!$B$10)),",","."),".",MID(1/2,2,1)),"")</f>
        <v/>
      </c>
      <c r="E851">
        <f>IFERROR(--SUBSTITUTE(SUBSTITUTE(TRIM(INDEX(INDIRECT("'Выгрузка'!A851:Z851"),Настройки!$B$11)),",","."),".",MID(1/2,2,1)),"")</f>
        <v/>
      </c>
      <c r="F851">
        <f>TRIM(INDEX(INDIRECT("'Выгрузка'!A851:Z851"),Настройки!$B$12)&amp;"")</f>
        <v/>
      </c>
      <c r="G851">
        <f>IF(F851="",0,IF(TRIM(INDEX(INDIRECT("'Выгрузка'!A851:Z851"),Настройки!$B$13)&amp;"")="",1,IFERROR(--SUBSTITUTE(SUBSTITUTE(TRIM(INDEX(INDIRECT("'Выгрузка'!A851:Z851"),Настройки!$B$13)),",","."),".",MID(1/2,2,1)),"")))</f>
        <v/>
      </c>
      <c r="H851">
        <f>IF(F851="",0,IF(COUNTIF(Настройки!$B$17:$B$26,F851)&gt;0,1,IF(COUNTIF(Настройки!$C$17:$C$26,F851)&gt;0,2,IF(COUNTIF(Настройки!$D$17:$D$26,F851)&gt;0,3,0))))</f>
        <v/>
      </c>
      <c r="I851">
        <f>IF(AND(ISNUMBER(A851),ISNUMBER(B851)),A851*1000+B851,"")</f>
        <v/>
      </c>
      <c r="J851">
        <f>IF(I851="","",IF(COUNTIF(I$2:I851,I851)=1,MAX(J$1:J850)+1,""))</f>
        <v/>
      </c>
    </row>
    <row r="852">
      <c r="A852">
        <f>IFERROR(--SUBSTITUTE(SUBSTITUTE(TRIM(INDEX(INDIRECT("'Выгрузка'!A852:Z852"),Настройки!$B$7)),",","."),".",MID(1/2,2,1)),"")</f>
        <v/>
      </c>
      <c r="B852">
        <f>IFERROR(--SUBSTITUTE(SUBSTITUTE(TRIM(INDEX(INDIRECT("'Выгрузка'!A852:Z852"),Настройки!$B$9)),",","."),".",MID(1/2,2,1)),"")</f>
        <v/>
      </c>
      <c r="C852">
        <f>TRIM(INDEX(INDIRECT("'Выгрузка'!A852:Z852"),Настройки!$B$8)&amp;"")</f>
        <v/>
      </c>
      <c r="D852">
        <f>IFERROR(--SUBSTITUTE(SUBSTITUTE(TRIM(INDEX(INDIRECT("'Выгрузка'!A852:Z852"),Настройки!$B$10)),",","."),".",MID(1/2,2,1)),"")</f>
        <v/>
      </c>
      <c r="E852">
        <f>IFERROR(--SUBSTITUTE(SUBSTITUTE(TRIM(INDEX(INDIRECT("'Выгрузка'!A852:Z852"),Настройки!$B$11)),",","."),".",MID(1/2,2,1)),"")</f>
        <v/>
      </c>
      <c r="F852">
        <f>TRIM(INDEX(INDIRECT("'Выгрузка'!A852:Z852"),Настройки!$B$12)&amp;"")</f>
        <v/>
      </c>
      <c r="G852">
        <f>IF(F852="",0,IF(TRIM(INDEX(INDIRECT("'Выгрузка'!A852:Z852"),Настройки!$B$13)&amp;"")="",1,IFERROR(--SUBSTITUTE(SUBSTITUTE(TRIM(INDEX(INDIRECT("'Выгрузка'!A852:Z852"),Настройки!$B$13)),",","."),".",MID(1/2,2,1)),"")))</f>
        <v/>
      </c>
      <c r="H852">
        <f>IF(F852="",0,IF(COUNTIF(Настройки!$B$17:$B$26,F852)&gt;0,1,IF(COUNTIF(Настройки!$C$17:$C$26,F852)&gt;0,2,IF(COUNTIF(Настройки!$D$17:$D$26,F852)&gt;0,3,0))))</f>
        <v/>
      </c>
      <c r="I852">
        <f>IF(AND(ISNUMBER(A852),ISNUMBER(B852)),A852*1000+B852,"")</f>
        <v/>
      </c>
      <c r="J852">
        <f>IF(I852="","",IF(COUNTIF(I$2:I852,I852)=1,MAX(J$1:J851)+1,""))</f>
        <v/>
      </c>
    </row>
    <row r="853">
      <c r="A853">
        <f>IFERROR(--SUBSTITUTE(SUBSTITUTE(TRIM(INDEX(INDIRECT("'Выгрузка'!A853:Z853"),Настройки!$B$7)),",","."),".",MID(1/2,2,1)),"")</f>
        <v/>
      </c>
      <c r="B853">
        <f>IFERROR(--SUBSTITUTE(SUBSTITUTE(TRIM(INDEX(INDIRECT("'Выгрузка'!A853:Z853"),Настройки!$B$9)),",","."),".",MID(1/2,2,1)),"")</f>
        <v/>
      </c>
      <c r="C853">
        <f>TRIM(INDEX(INDIRECT("'Выгрузка'!A853:Z853"),Настройки!$B$8)&amp;"")</f>
        <v/>
      </c>
      <c r="D853">
        <f>IFERROR(--SUBSTITUTE(SUBSTITUTE(TRIM(INDEX(INDIRECT("'Выгрузка'!A853:Z853"),Настройки!$B$10)),",","."),".",MID(1/2,2,1)),"")</f>
        <v/>
      </c>
      <c r="E853">
        <f>IFERROR(--SUBSTITUTE(SUBSTITUTE(TRIM(INDEX(INDIRECT("'Выгрузка'!A853:Z853"),Настройки!$B$11)),",","."),".",MID(1/2,2,1)),"")</f>
        <v/>
      </c>
      <c r="F853">
        <f>TRIM(INDEX(INDIRECT("'Выгрузка'!A853:Z853"),Настройки!$B$12)&amp;"")</f>
        <v/>
      </c>
      <c r="G853">
        <f>IF(F853="",0,IF(TRIM(INDEX(INDIRECT("'Выгрузка'!A853:Z853"),Настройки!$B$13)&amp;"")="",1,IFERROR(--SUBSTITUTE(SUBSTITUTE(TRIM(INDEX(INDIRECT("'Выгрузка'!A853:Z853"),Настройки!$B$13)),",","."),".",MID(1/2,2,1)),"")))</f>
        <v/>
      </c>
      <c r="H853">
        <f>IF(F853="",0,IF(COUNTIF(Настройки!$B$17:$B$26,F853)&gt;0,1,IF(COUNTIF(Настройки!$C$17:$C$26,F853)&gt;0,2,IF(COUNTIF(Настройки!$D$17:$D$26,F853)&gt;0,3,0))))</f>
        <v/>
      </c>
      <c r="I853">
        <f>IF(AND(ISNUMBER(A853),ISNUMBER(B853)),A853*1000+B853,"")</f>
        <v/>
      </c>
      <c r="J853">
        <f>IF(I853="","",IF(COUNTIF(I$2:I853,I853)=1,MAX(J$1:J852)+1,""))</f>
        <v/>
      </c>
    </row>
    <row r="854">
      <c r="A854">
        <f>IFERROR(--SUBSTITUTE(SUBSTITUTE(TRIM(INDEX(INDIRECT("'Выгрузка'!A854:Z854"),Настройки!$B$7)),",","."),".",MID(1/2,2,1)),"")</f>
        <v/>
      </c>
      <c r="B854">
        <f>IFERROR(--SUBSTITUTE(SUBSTITUTE(TRIM(INDEX(INDIRECT("'Выгрузка'!A854:Z854"),Настройки!$B$9)),",","."),".",MID(1/2,2,1)),"")</f>
        <v/>
      </c>
      <c r="C854">
        <f>TRIM(INDEX(INDIRECT("'Выгрузка'!A854:Z854"),Настройки!$B$8)&amp;"")</f>
        <v/>
      </c>
      <c r="D854">
        <f>IFERROR(--SUBSTITUTE(SUBSTITUTE(TRIM(INDEX(INDIRECT("'Выгрузка'!A854:Z854"),Настройки!$B$10)),",","."),".",MID(1/2,2,1)),"")</f>
        <v/>
      </c>
      <c r="E854">
        <f>IFERROR(--SUBSTITUTE(SUBSTITUTE(TRIM(INDEX(INDIRECT("'Выгрузка'!A854:Z854"),Настройки!$B$11)),",","."),".",MID(1/2,2,1)),"")</f>
        <v/>
      </c>
      <c r="F854">
        <f>TRIM(INDEX(INDIRECT("'Выгрузка'!A854:Z854"),Настройки!$B$12)&amp;"")</f>
        <v/>
      </c>
      <c r="G854">
        <f>IF(F854="",0,IF(TRIM(INDEX(INDIRECT("'Выгрузка'!A854:Z854"),Настройки!$B$13)&amp;"")="",1,IFERROR(--SUBSTITUTE(SUBSTITUTE(TRIM(INDEX(INDIRECT("'Выгрузка'!A854:Z854"),Настройки!$B$13)),",","."),".",MID(1/2,2,1)),"")))</f>
        <v/>
      </c>
      <c r="H854">
        <f>IF(F854="",0,IF(COUNTIF(Настройки!$B$17:$B$26,F854)&gt;0,1,IF(COUNTIF(Настройки!$C$17:$C$26,F854)&gt;0,2,IF(COUNTIF(Настройки!$D$17:$D$26,F854)&gt;0,3,0))))</f>
        <v/>
      </c>
      <c r="I854">
        <f>IF(AND(ISNUMBER(A854),ISNUMBER(B854)),A854*1000+B854,"")</f>
        <v/>
      </c>
      <c r="J854">
        <f>IF(I854="","",IF(COUNTIF(I$2:I854,I854)=1,MAX(J$1:J853)+1,""))</f>
        <v/>
      </c>
    </row>
    <row r="855">
      <c r="A855">
        <f>IFERROR(--SUBSTITUTE(SUBSTITUTE(TRIM(INDEX(INDIRECT("'Выгрузка'!A855:Z855"),Настройки!$B$7)),",","."),".",MID(1/2,2,1)),"")</f>
        <v/>
      </c>
      <c r="B855">
        <f>IFERROR(--SUBSTITUTE(SUBSTITUTE(TRIM(INDEX(INDIRECT("'Выгрузка'!A855:Z855"),Настройки!$B$9)),",","."),".",MID(1/2,2,1)),"")</f>
        <v/>
      </c>
      <c r="C855">
        <f>TRIM(INDEX(INDIRECT("'Выгрузка'!A855:Z855"),Настройки!$B$8)&amp;"")</f>
        <v/>
      </c>
      <c r="D855">
        <f>IFERROR(--SUBSTITUTE(SUBSTITUTE(TRIM(INDEX(INDIRECT("'Выгрузка'!A855:Z855"),Настройки!$B$10)),",","."),".",MID(1/2,2,1)),"")</f>
        <v/>
      </c>
      <c r="E855">
        <f>IFERROR(--SUBSTITUTE(SUBSTITUTE(TRIM(INDEX(INDIRECT("'Выгрузка'!A855:Z855"),Настройки!$B$11)),",","."),".",MID(1/2,2,1)),"")</f>
        <v/>
      </c>
      <c r="F855">
        <f>TRIM(INDEX(INDIRECT("'Выгрузка'!A855:Z855"),Настройки!$B$12)&amp;"")</f>
        <v/>
      </c>
      <c r="G855">
        <f>IF(F855="",0,IF(TRIM(INDEX(INDIRECT("'Выгрузка'!A855:Z855"),Настройки!$B$13)&amp;"")="",1,IFERROR(--SUBSTITUTE(SUBSTITUTE(TRIM(INDEX(INDIRECT("'Выгрузка'!A855:Z855"),Настройки!$B$13)),",","."),".",MID(1/2,2,1)),"")))</f>
        <v/>
      </c>
      <c r="H855">
        <f>IF(F855="",0,IF(COUNTIF(Настройки!$B$17:$B$26,F855)&gt;0,1,IF(COUNTIF(Настройки!$C$17:$C$26,F855)&gt;0,2,IF(COUNTIF(Настройки!$D$17:$D$26,F855)&gt;0,3,0))))</f>
        <v/>
      </c>
      <c r="I855">
        <f>IF(AND(ISNUMBER(A855),ISNUMBER(B855)),A855*1000+B855,"")</f>
        <v/>
      </c>
      <c r="J855">
        <f>IF(I855="","",IF(COUNTIF(I$2:I855,I855)=1,MAX(J$1:J854)+1,""))</f>
        <v/>
      </c>
    </row>
    <row r="856">
      <c r="A856">
        <f>IFERROR(--SUBSTITUTE(SUBSTITUTE(TRIM(INDEX(INDIRECT("'Выгрузка'!A856:Z856"),Настройки!$B$7)),",","."),".",MID(1/2,2,1)),"")</f>
        <v/>
      </c>
      <c r="B856">
        <f>IFERROR(--SUBSTITUTE(SUBSTITUTE(TRIM(INDEX(INDIRECT("'Выгрузка'!A856:Z856"),Настройки!$B$9)),",","."),".",MID(1/2,2,1)),"")</f>
        <v/>
      </c>
      <c r="C856">
        <f>TRIM(INDEX(INDIRECT("'Выгрузка'!A856:Z856"),Настройки!$B$8)&amp;"")</f>
        <v/>
      </c>
      <c r="D856">
        <f>IFERROR(--SUBSTITUTE(SUBSTITUTE(TRIM(INDEX(INDIRECT("'Выгрузка'!A856:Z856"),Настройки!$B$10)),",","."),".",MID(1/2,2,1)),"")</f>
        <v/>
      </c>
      <c r="E856">
        <f>IFERROR(--SUBSTITUTE(SUBSTITUTE(TRIM(INDEX(INDIRECT("'Выгрузка'!A856:Z856"),Настройки!$B$11)),",","."),".",MID(1/2,2,1)),"")</f>
        <v/>
      </c>
      <c r="F856">
        <f>TRIM(INDEX(INDIRECT("'Выгрузка'!A856:Z856"),Настройки!$B$12)&amp;"")</f>
        <v/>
      </c>
      <c r="G856">
        <f>IF(F856="",0,IF(TRIM(INDEX(INDIRECT("'Выгрузка'!A856:Z856"),Настройки!$B$13)&amp;"")="",1,IFERROR(--SUBSTITUTE(SUBSTITUTE(TRIM(INDEX(INDIRECT("'Выгрузка'!A856:Z856"),Настройки!$B$13)),",","."),".",MID(1/2,2,1)),"")))</f>
        <v/>
      </c>
      <c r="H856">
        <f>IF(F856="",0,IF(COUNTIF(Настройки!$B$17:$B$26,F856)&gt;0,1,IF(COUNTIF(Настройки!$C$17:$C$26,F856)&gt;0,2,IF(COUNTIF(Настройки!$D$17:$D$26,F856)&gt;0,3,0))))</f>
        <v/>
      </c>
      <c r="I856">
        <f>IF(AND(ISNUMBER(A856),ISNUMBER(B856)),A856*1000+B856,"")</f>
        <v/>
      </c>
      <c r="J856">
        <f>IF(I856="","",IF(COUNTIF(I$2:I856,I856)=1,MAX(J$1:J855)+1,""))</f>
        <v/>
      </c>
    </row>
    <row r="857">
      <c r="A857">
        <f>IFERROR(--SUBSTITUTE(SUBSTITUTE(TRIM(INDEX(INDIRECT("'Выгрузка'!A857:Z857"),Настройки!$B$7)),",","."),".",MID(1/2,2,1)),"")</f>
        <v/>
      </c>
      <c r="B857">
        <f>IFERROR(--SUBSTITUTE(SUBSTITUTE(TRIM(INDEX(INDIRECT("'Выгрузка'!A857:Z857"),Настройки!$B$9)),",","."),".",MID(1/2,2,1)),"")</f>
        <v/>
      </c>
      <c r="C857">
        <f>TRIM(INDEX(INDIRECT("'Выгрузка'!A857:Z857"),Настройки!$B$8)&amp;"")</f>
        <v/>
      </c>
      <c r="D857">
        <f>IFERROR(--SUBSTITUTE(SUBSTITUTE(TRIM(INDEX(INDIRECT("'Выгрузка'!A857:Z857"),Настройки!$B$10)),",","."),".",MID(1/2,2,1)),"")</f>
        <v/>
      </c>
      <c r="E857">
        <f>IFERROR(--SUBSTITUTE(SUBSTITUTE(TRIM(INDEX(INDIRECT("'Выгрузка'!A857:Z857"),Настройки!$B$11)),",","."),".",MID(1/2,2,1)),"")</f>
        <v/>
      </c>
      <c r="F857">
        <f>TRIM(INDEX(INDIRECT("'Выгрузка'!A857:Z857"),Настройки!$B$12)&amp;"")</f>
        <v/>
      </c>
      <c r="G857">
        <f>IF(F857="",0,IF(TRIM(INDEX(INDIRECT("'Выгрузка'!A857:Z857"),Настройки!$B$13)&amp;"")="",1,IFERROR(--SUBSTITUTE(SUBSTITUTE(TRIM(INDEX(INDIRECT("'Выгрузка'!A857:Z857"),Настройки!$B$13)),",","."),".",MID(1/2,2,1)),"")))</f>
        <v/>
      </c>
      <c r="H857">
        <f>IF(F857="",0,IF(COUNTIF(Настройки!$B$17:$B$26,F857)&gt;0,1,IF(COUNTIF(Настройки!$C$17:$C$26,F857)&gt;0,2,IF(COUNTIF(Настройки!$D$17:$D$26,F857)&gt;0,3,0))))</f>
        <v/>
      </c>
      <c r="I857">
        <f>IF(AND(ISNUMBER(A857),ISNUMBER(B857)),A857*1000+B857,"")</f>
        <v/>
      </c>
      <c r="J857">
        <f>IF(I857="","",IF(COUNTIF(I$2:I857,I857)=1,MAX(J$1:J856)+1,""))</f>
        <v/>
      </c>
    </row>
    <row r="858">
      <c r="A858">
        <f>IFERROR(--SUBSTITUTE(SUBSTITUTE(TRIM(INDEX(INDIRECT("'Выгрузка'!A858:Z858"),Настройки!$B$7)),",","."),".",MID(1/2,2,1)),"")</f>
        <v/>
      </c>
      <c r="B858">
        <f>IFERROR(--SUBSTITUTE(SUBSTITUTE(TRIM(INDEX(INDIRECT("'Выгрузка'!A858:Z858"),Настройки!$B$9)),",","."),".",MID(1/2,2,1)),"")</f>
        <v/>
      </c>
      <c r="C858">
        <f>TRIM(INDEX(INDIRECT("'Выгрузка'!A858:Z858"),Настройки!$B$8)&amp;"")</f>
        <v/>
      </c>
      <c r="D858">
        <f>IFERROR(--SUBSTITUTE(SUBSTITUTE(TRIM(INDEX(INDIRECT("'Выгрузка'!A858:Z858"),Настройки!$B$10)),",","."),".",MID(1/2,2,1)),"")</f>
        <v/>
      </c>
      <c r="E858">
        <f>IFERROR(--SUBSTITUTE(SUBSTITUTE(TRIM(INDEX(INDIRECT("'Выгрузка'!A858:Z858"),Настройки!$B$11)),",","."),".",MID(1/2,2,1)),"")</f>
        <v/>
      </c>
      <c r="F858">
        <f>TRIM(INDEX(INDIRECT("'Выгрузка'!A858:Z858"),Настройки!$B$12)&amp;"")</f>
        <v/>
      </c>
      <c r="G858">
        <f>IF(F858="",0,IF(TRIM(INDEX(INDIRECT("'Выгрузка'!A858:Z858"),Настройки!$B$13)&amp;"")="",1,IFERROR(--SUBSTITUTE(SUBSTITUTE(TRIM(INDEX(INDIRECT("'Выгрузка'!A858:Z858"),Настройки!$B$13)),",","."),".",MID(1/2,2,1)),"")))</f>
        <v/>
      </c>
      <c r="H858">
        <f>IF(F858="",0,IF(COUNTIF(Настройки!$B$17:$B$26,F858)&gt;0,1,IF(COUNTIF(Настройки!$C$17:$C$26,F858)&gt;0,2,IF(COUNTIF(Настройки!$D$17:$D$26,F858)&gt;0,3,0))))</f>
        <v/>
      </c>
      <c r="I858">
        <f>IF(AND(ISNUMBER(A858),ISNUMBER(B858)),A858*1000+B858,"")</f>
        <v/>
      </c>
      <c r="J858">
        <f>IF(I858="","",IF(COUNTIF(I$2:I858,I858)=1,MAX(J$1:J857)+1,""))</f>
        <v/>
      </c>
    </row>
    <row r="859">
      <c r="A859">
        <f>IFERROR(--SUBSTITUTE(SUBSTITUTE(TRIM(INDEX(INDIRECT("'Выгрузка'!A859:Z859"),Настройки!$B$7)),",","."),".",MID(1/2,2,1)),"")</f>
        <v/>
      </c>
      <c r="B859">
        <f>IFERROR(--SUBSTITUTE(SUBSTITUTE(TRIM(INDEX(INDIRECT("'Выгрузка'!A859:Z859"),Настройки!$B$9)),",","."),".",MID(1/2,2,1)),"")</f>
        <v/>
      </c>
      <c r="C859">
        <f>TRIM(INDEX(INDIRECT("'Выгрузка'!A859:Z859"),Настройки!$B$8)&amp;"")</f>
        <v/>
      </c>
      <c r="D859">
        <f>IFERROR(--SUBSTITUTE(SUBSTITUTE(TRIM(INDEX(INDIRECT("'Выгрузка'!A859:Z859"),Настройки!$B$10)),",","."),".",MID(1/2,2,1)),"")</f>
        <v/>
      </c>
      <c r="E859">
        <f>IFERROR(--SUBSTITUTE(SUBSTITUTE(TRIM(INDEX(INDIRECT("'Выгрузка'!A859:Z859"),Настройки!$B$11)),",","."),".",MID(1/2,2,1)),"")</f>
        <v/>
      </c>
      <c r="F859">
        <f>TRIM(INDEX(INDIRECT("'Выгрузка'!A859:Z859"),Настройки!$B$12)&amp;"")</f>
        <v/>
      </c>
      <c r="G859">
        <f>IF(F859="",0,IF(TRIM(INDEX(INDIRECT("'Выгрузка'!A859:Z859"),Настройки!$B$13)&amp;"")="",1,IFERROR(--SUBSTITUTE(SUBSTITUTE(TRIM(INDEX(INDIRECT("'Выгрузка'!A859:Z859"),Настройки!$B$13)),",","."),".",MID(1/2,2,1)),"")))</f>
        <v/>
      </c>
      <c r="H859">
        <f>IF(F859="",0,IF(COUNTIF(Настройки!$B$17:$B$26,F859)&gt;0,1,IF(COUNTIF(Настройки!$C$17:$C$26,F859)&gt;0,2,IF(COUNTIF(Настройки!$D$17:$D$26,F859)&gt;0,3,0))))</f>
        <v/>
      </c>
      <c r="I859">
        <f>IF(AND(ISNUMBER(A859),ISNUMBER(B859)),A859*1000+B859,"")</f>
        <v/>
      </c>
      <c r="J859">
        <f>IF(I859="","",IF(COUNTIF(I$2:I859,I859)=1,MAX(J$1:J858)+1,""))</f>
        <v/>
      </c>
    </row>
    <row r="860">
      <c r="A860">
        <f>IFERROR(--SUBSTITUTE(SUBSTITUTE(TRIM(INDEX(INDIRECT("'Выгрузка'!A860:Z860"),Настройки!$B$7)),",","."),".",MID(1/2,2,1)),"")</f>
        <v/>
      </c>
      <c r="B860">
        <f>IFERROR(--SUBSTITUTE(SUBSTITUTE(TRIM(INDEX(INDIRECT("'Выгрузка'!A860:Z860"),Настройки!$B$9)),",","."),".",MID(1/2,2,1)),"")</f>
        <v/>
      </c>
      <c r="C860">
        <f>TRIM(INDEX(INDIRECT("'Выгрузка'!A860:Z860"),Настройки!$B$8)&amp;"")</f>
        <v/>
      </c>
      <c r="D860">
        <f>IFERROR(--SUBSTITUTE(SUBSTITUTE(TRIM(INDEX(INDIRECT("'Выгрузка'!A860:Z860"),Настройки!$B$10)),",","."),".",MID(1/2,2,1)),"")</f>
        <v/>
      </c>
      <c r="E860">
        <f>IFERROR(--SUBSTITUTE(SUBSTITUTE(TRIM(INDEX(INDIRECT("'Выгрузка'!A860:Z860"),Настройки!$B$11)),",","."),".",MID(1/2,2,1)),"")</f>
        <v/>
      </c>
      <c r="F860">
        <f>TRIM(INDEX(INDIRECT("'Выгрузка'!A860:Z860"),Настройки!$B$12)&amp;"")</f>
        <v/>
      </c>
      <c r="G860">
        <f>IF(F860="",0,IF(TRIM(INDEX(INDIRECT("'Выгрузка'!A860:Z860"),Настройки!$B$13)&amp;"")="",1,IFERROR(--SUBSTITUTE(SUBSTITUTE(TRIM(INDEX(INDIRECT("'Выгрузка'!A860:Z860"),Настройки!$B$13)),",","."),".",MID(1/2,2,1)),"")))</f>
        <v/>
      </c>
      <c r="H860">
        <f>IF(F860="",0,IF(COUNTIF(Настройки!$B$17:$B$26,F860)&gt;0,1,IF(COUNTIF(Настройки!$C$17:$C$26,F860)&gt;0,2,IF(COUNTIF(Настройки!$D$17:$D$26,F860)&gt;0,3,0))))</f>
        <v/>
      </c>
      <c r="I860">
        <f>IF(AND(ISNUMBER(A860),ISNUMBER(B860)),A860*1000+B860,"")</f>
        <v/>
      </c>
      <c r="J860">
        <f>IF(I860="","",IF(COUNTIF(I$2:I860,I860)=1,MAX(J$1:J859)+1,""))</f>
        <v/>
      </c>
    </row>
    <row r="861">
      <c r="A861">
        <f>IFERROR(--SUBSTITUTE(SUBSTITUTE(TRIM(INDEX(INDIRECT("'Выгрузка'!A861:Z861"),Настройки!$B$7)),",","."),".",MID(1/2,2,1)),"")</f>
        <v/>
      </c>
      <c r="B861">
        <f>IFERROR(--SUBSTITUTE(SUBSTITUTE(TRIM(INDEX(INDIRECT("'Выгрузка'!A861:Z861"),Настройки!$B$9)),",","."),".",MID(1/2,2,1)),"")</f>
        <v/>
      </c>
      <c r="C861">
        <f>TRIM(INDEX(INDIRECT("'Выгрузка'!A861:Z861"),Настройки!$B$8)&amp;"")</f>
        <v/>
      </c>
      <c r="D861">
        <f>IFERROR(--SUBSTITUTE(SUBSTITUTE(TRIM(INDEX(INDIRECT("'Выгрузка'!A861:Z861"),Настройки!$B$10)),",","."),".",MID(1/2,2,1)),"")</f>
        <v/>
      </c>
      <c r="E861">
        <f>IFERROR(--SUBSTITUTE(SUBSTITUTE(TRIM(INDEX(INDIRECT("'Выгрузка'!A861:Z861"),Настройки!$B$11)),",","."),".",MID(1/2,2,1)),"")</f>
        <v/>
      </c>
      <c r="F861">
        <f>TRIM(INDEX(INDIRECT("'Выгрузка'!A861:Z861"),Настройки!$B$12)&amp;"")</f>
        <v/>
      </c>
      <c r="G861">
        <f>IF(F861="",0,IF(TRIM(INDEX(INDIRECT("'Выгрузка'!A861:Z861"),Настройки!$B$13)&amp;"")="",1,IFERROR(--SUBSTITUTE(SUBSTITUTE(TRIM(INDEX(INDIRECT("'Выгрузка'!A861:Z861"),Настройки!$B$13)),",","."),".",MID(1/2,2,1)),"")))</f>
        <v/>
      </c>
      <c r="H861">
        <f>IF(F861="",0,IF(COUNTIF(Настройки!$B$17:$B$26,F861)&gt;0,1,IF(COUNTIF(Настройки!$C$17:$C$26,F861)&gt;0,2,IF(COUNTIF(Настройки!$D$17:$D$26,F861)&gt;0,3,0))))</f>
        <v/>
      </c>
      <c r="I861">
        <f>IF(AND(ISNUMBER(A861),ISNUMBER(B861)),A861*1000+B861,"")</f>
        <v/>
      </c>
      <c r="J861">
        <f>IF(I861="","",IF(COUNTIF(I$2:I861,I861)=1,MAX(J$1:J860)+1,""))</f>
        <v/>
      </c>
    </row>
    <row r="862">
      <c r="A862">
        <f>IFERROR(--SUBSTITUTE(SUBSTITUTE(TRIM(INDEX(INDIRECT("'Выгрузка'!A862:Z862"),Настройки!$B$7)),",","."),".",MID(1/2,2,1)),"")</f>
        <v/>
      </c>
      <c r="B862">
        <f>IFERROR(--SUBSTITUTE(SUBSTITUTE(TRIM(INDEX(INDIRECT("'Выгрузка'!A862:Z862"),Настройки!$B$9)),",","."),".",MID(1/2,2,1)),"")</f>
        <v/>
      </c>
      <c r="C862">
        <f>TRIM(INDEX(INDIRECT("'Выгрузка'!A862:Z862"),Настройки!$B$8)&amp;"")</f>
        <v/>
      </c>
      <c r="D862">
        <f>IFERROR(--SUBSTITUTE(SUBSTITUTE(TRIM(INDEX(INDIRECT("'Выгрузка'!A862:Z862"),Настройки!$B$10)),",","."),".",MID(1/2,2,1)),"")</f>
        <v/>
      </c>
      <c r="E862">
        <f>IFERROR(--SUBSTITUTE(SUBSTITUTE(TRIM(INDEX(INDIRECT("'Выгрузка'!A862:Z862"),Настройки!$B$11)),",","."),".",MID(1/2,2,1)),"")</f>
        <v/>
      </c>
      <c r="F862">
        <f>TRIM(INDEX(INDIRECT("'Выгрузка'!A862:Z862"),Настройки!$B$12)&amp;"")</f>
        <v/>
      </c>
      <c r="G862">
        <f>IF(F862="",0,IF(TRIM(INDEX(INDIRECT("'Выгрузка'!A862:Z862"),Настройки!$B$13)&amp;"")="",1,IFERROR(--SUBSTITUTE(SUBSTITUTE(TRIM(INDEX(INDIRECT("'Выгрузка'!A862:Z862"),Настройки!$B$13)),",","."),".",MID(1/2,2,1)),"")))</f>
        <v/>
      </c>
      <c r="H862">
        <f>IF(F862="",0,IF(COUNTIF(Настройки!$B$17:$B$26,F862)&gt;0,1,IF(COUNTIF(Настройки!$C$17:$C$26,F862)&gt;0,2,IF(COUNTIF(Настройки!$D$17:$D$26,F862)&gt;0,3,0))))</f>
        <v/>
      </c>
      <c r="I862">
        <f>IF(AND(ISNUMBER(A862),ISNUMBER(B862)),A862*1000+B862,"")</f>
        <v/>
      </c>
      <c r="J862">
        <f>IF(I862="","",IF(COUNTIF(I$2:I862,I862)=1,MAX(J$1:J861)+1,""))</f>
        <v/>
      </c>
    </row>
    <row r="863">
      <c r="A863">
        <f>IFERROR(--SUBSTITUTE(SUBSTITUTE(TRIM(INDEX(INDIRECT("'Выгрузка'!A863:Z863"),Настройки!$B$7)),",","."),".",MID(1/2,2,1)),"")</f>
        <v/>
      </c>
      <c r="B863">
        <f>IFERROR(--SUBSTITUTE(SUBSTITUTE(TRIM(INDEX(INDIRECT("'Выгрузка'!A863:Z863"),Настройки!$B$9)),",","."),".",MID(1/2,2,1)),"")</f>
        <v/>
      </c>
      <c r="C863">
        <f>TRIM(INDEX(INDIRECT("'Выгрузка'!A863:Z863"),Настройки!$B$8)&amp;"")</f>
        <v/>
      </c>
      <c r="D863">
        <f>IFERROR(--SUBSTITUTE(SUBSTITUTE(TRIM(INDEX(INDIRECT("'Выгрузка'!A863:Z863"),Настройки!$B$10)),",","."),".",MID(1/2,2,1)),"")</f>
        <v/>
      </c>
      <c r="E863">
        <f>IFERROR(--SUBSTITUTE(SUBSTITUTE(TRIM(INDEX(INDIRECT("'Выгрузка'!A863:Z863"),Настройки!$B$11)),",","."),".",MID(1/2,2,1)),"")</f>
        <v/>
      </c>
      <c r="F863">
        <f>TRIM(INDEX(INDIRECT("'Выгрузка'!A863:Z863"),Настройки!$B$12)&amp;"")</f>
        <v/>
      </c>
      <c r="G863">
        <f>IF(F863="",0,IF(TRIM(INDEX(INDIRECT("'Выгрузка'!A863:Z863"),Настройки!$B$13)&amp;"")="",1,IFERROR(--SUBSTITUTE(SUBSTITUTE(TRIM(INDEX(INDIRECT("'Выгрузка'!A863:Z863"),Настройки!$B$13)),",","."),".",MID(1/2,2,1)),"")))</f>
        <v/>
      </c>
      <c r="H863">
        <f>IF(F863="",0,IF(COUNTIF(Настройки!$B$17:$B$26,F863)&gt;0,1,IF(COUNTIF(Настройки!$C$17:$C$26,F863)&gt;0,2,IF(COUNTIF(Настройки!$D$17:$D$26,F863)&gt;0,3,0))))</f>
        <v/>
      </c>
      <c r="I863">
        <f>IF(AND(ISNUMBER(A863),ISNUMBER(B863)),A863*1000+B863,"")</f>
        <v/>
      </c>
      <c r="J863">
        <f>IF(I863="","",IF(COUNTIF(I$2:I863,I863)=1,MAX(J$1:J862)+1,""))</f>
        <v/>
      </c>
    </row>
    <row r="864">
      <c r="A864">
        <f>IFERROR(--SUBSTITUTE(SUBSTITUTE(TRIM(INDEX(INDIRECT("'Выгрузка'!A864:Z864"),Настройки!$B$7)),",","."),".",MID(1/2,2,1)),"")</f>
        <v/>
      </c>
      <c r="B864">
        <f>IFERROR(--SUBSTITUTE(SUBSTITUTE(TRIM(INDEX(INDIRECT("'Выгрузка'!A864:Z864"),Настройки!$B$9)),",","."),".",MID(1/2,2,1)),"")</f>
        <v/>
      </c>
      <c r="C864">
        <f>TRIM(INDEX(INDIRECT("'Выгрузка'!A864:Z864"),Настройки!$B$8)&amp;"")</f>
        <v/>
      </c>
      <c r="D864">
        <f>IFERROR(--SUBSTITUTE(SUBSTITUTE(TRIM(INDEX(INDIRECT("'Выгрузка'!A864:Z864"),Настройки!$B$10)),",","."),".",MID(1/2,2,1)),"")</f>
        <v/>
      </c>
      <c r="E864">
        <f>IFERROR(--SUBSTITUTE(SUBSTITUTE(TRIM(INDEX(INDIRECT("'Выгрузка'!A864:Z864"),Настройки!$B$11)),",","."),".",MID(1/2,2,1)),"")</f>
        <v/>
      </c>
      <c r="F864">
        <f>TRIM(INDEX(INDIRECT("'Выгрузка'!A864:Z864"),Настройки!$B$12)&amp;"")</f>
        <v/>
      </c>
      <c r="G864">
        <f>IF(F864="",0,IF(TRIM(INDEX(INDIRECT("'Выгрузка'!A864:Z864"),Настройки!$B$13)&amp;"")="",1,IFERROR(--SUBSTITUTE(SUBSTITUTE(TRIM(INDEX(INDIRECT("'Выгрузка'!A864:Z864"),Настройки!$B$13)),",","."),".",MID(1/2,2,1)),"")))</f>
        <v/>
      </c>
      <c r="H864">
        <f>IF(F864="",0,IF(COUNTIF(Настройки!$B$17:$B$26,F864)&gt;0,1,IF(COUNTIF(Настройки!$C$17:$C$26,F864)&gt;0,2,IF(COUNTIF(Настройки!$D$17:$D$26,F864)&gt;0,3,0))))</f>
        <v/>
      </c>
      <c r="I864">
        <f>IF(AND(ISNUMBER(A864),ISNUMBER(B864)),A864*1000+B864,"")</f>
        <v/>
      </c>
      <c r="J864">
        <f>IF(I864="","",IF(COUNTIF(I$2:I864,I864)=1,MAX(J$1:J863)+1,""))</f>
        <v/>
      </c>
    </row>
    <row r="865">
      <c r="A865">
        <f>IFERROR(--SUBSTITUTE(SUBSTITUTE(TRIM(INDEX(INDIRECT("'Выгрузка'!A865:Z865"),Настройки!$B$7)),",","."),".",MID(1/2,2,1)),"")</f>
        <v/>
      </c>
      <c r="B865">
        <f>IFERROR(--SUBSTITUTE(SUBSTITUTE(TRIM(INDEX(INDIRECT("'Выгрузка'!A865:Z865"),Настройки!$B$9)),",","."),".",MID(1/2,2,1)),"")</f>
        <v/>
      </c>
      <c r="C865">
        <f>TRIM(INDEX(INDIRECT("'Выгрузка'!A865:Z865"),Настройки!$B$8)&amp;"")</f>
        <v/>
      </c>
      <c r="D865">
        <f>IFERROR(--SUBSTITUTE(SUBSTITUTE(TRIM(INDEX(INDIRECT("'Выгрузка'!A865:Z865"),Настройки!$B$10)),",","."),".",MID(1/2,2,1)),"")</f>
        <v/>
      </c>
      <c r="E865">
        <f>IFERROR(--SUBSTITUTE(SUBSTITUTE(TRIM(INDEX(INDIRECT("'Выгрузка'!A865:Z865"),Настройки!$B$11)),",","."),".",MID(1/2,2,1)),"")</f>
        <v/>
      </c>
      <c r="F865">
        <f>TRIM(INDEX(INDIRECT("'Выгрузка'!A865:Z865"),Настройки!$B$12)&amp;"")</f>
        <v/>
      </c>
      <c r="G865">
        <f>IF(F865="",0,IF(TRIM(INDEX(INDIRECT("'Выгрузка'!A865:Z865"),Настройки!$B$13)&amp;"")="",1,IFERROR(--SUBSTITUTE(SUBSTITUTE(TRIM(INDEX(INDIRECT("'Выгрузка'!A865:Z865"),Настройки!$B$13)),",","."),".",MID(1/2,2,1)),"")))</f>
        <v/>
      </c>
      <c r="H865">
        <f>IF(F865="",0,IF(COUNTIF(Настройки!$B$17:$B$26,F865)&gt;0,1,IF(COUNTIF(Настройки!$C$17:$C$26,F865)&gt;0,2,IF(COUNTIF(Настройки!$D$17:$D$26,F865)&gt;0,3,0))))</f>
        <v/>
      </c>
      <c r="I865">
        <f>IF(AND(ISNUMBER(A865),ISNUMBER(B865)),A865*1000+B865,"")</f>
        <v/>
      </c>
      <c r="J865">
        <f>IF(I865="","",IF(COUNTIF(I$2:I865,I865)=1,MAX(J$1:J864)+1,""))</f>
        <v/>
      </c>
    </row>
    <row r="866">
      <c r="A866">
        <f>IFERROR(--SUBSTITUTE(SUBSTITUTE(TRIM(INDEX(INDIRECT("'Выгрузка'!A866:Z866"),Настройки!$B$7)),",","."),".",MID(1/2,2,1)),"")</f>
        <v/>
      </c>
      <c r="B866">
        <f>IFERROR(--SUBSTITUTE(SUBSTITUTE(TRIM(INDEX(INDIRECT("'Выгрузка'!A866:Z866"),Настройки!$B$9)),",","."),".",MID(1/2,2,1)),"")</f>
        <v/>
      </c>
      <c r="C866">
        <f>TRIM(INDEX(INDIRECT("'Выгрузка'!A866:Z866"),Настройки!$B$8)&amp;"")</f>
        <v/>
      </c>
      <c r="D866">
        <f>IFERROR(--SUBSTITUTE(SUBSTITUTE(TRIM(INDEX(INDIRECT("'Выгрузка'!A866:Z866"),Настройки!$B$10)),",","."),".",MID(1/2,2,1)),"")</f>
        <v/>
      </c>
      <c r="E866">
        <f>IFERROR(--SUBSTITUTE(SUBSTITUTE(TRIM(INDEX(INDIRECT("'Выгрузка'!A866:Z866"),Настройки!$B$11)),",","."),".",MID(1/2,2,1)),"")</f>
        <v/>
      </c>
      <c r="F866">
        <f>TRIM(INDEX(INDIRECT("'Выгрузка'!A866:Z866"),Настройки!$B$12)&amp;"")</f>
        <v/>
      </c>
      <c r="G866">
        <f>IF(F866="",0,IF(TRIM(INDEX(INDIRECT("'Выгрузка'!A866:Z866"),Настройки!$B$13)&amp;"")="",1,IFERROR(--SUBSTITUTE(SUBSTITUTE(TRIM(INDEX(INDIRECT("'Выгрузка'!A866:Z866"),Настройки!$B$13)),",","."),".",MID(1/2,2,1)),"")))</f>
        <v/>
      </c>
      <c r="H866">
        <f>IF(F866="",0,IF(COUNTIF(Настройки!$B$17:$B$26,F866)&gt;0,1,IF(COUNTIF(Настройки!$C$17:$C$26,F866)&gt;0,2,IF(COUNTIF(Настройки!$D$17:$D$26,F866)&gt;0,3,0))))</f>
        <v/>
      </c>
      <c r="I866">
        <f>IF(AND(ISNUMBER(A866),ISNUMBER(B866)),A866*1000+B866,"")</f>
        <v/>
      </c>
      <c r="J866">
        <f>IF(I866="","",IF(COUNTIF(I$2:I866,I866)=1,MAX(J$1:J865)+1,""))</f>
        <v/>
      </c>
    </row>
    <row r="867">
      <c r="A867">
        <f>IFERROR(--SUBSTITUTE(SUBSTITUTE(TRIM(INDEX(INDIRECT("'Выгрузка'!A867:Z867"),Настройки!$B$7)),",","."),".",MID(1/2,2,1)),"")</f>
        <v/>
      </c>
      <c r="B867">
        <f>IFERROR(--SUBSTITUTE(SUBSTITUTE(TRIM(INDEX(INDIRECT("'Выгрузка'!A867:Z867"),Настройки!$B$9)),",","."),".",MID(1/2,2,1)),"")</f>
        <v/>
      </c>
      <c r="C867">
        <f>TRIM(INDEX(INDIRECT("'Выгрузка'!A867:Z867"),Настройки!$B$8)&amp;"")</f>
        <v/>
      </c>
      <c r="D867">
        <f>IFERROR(--SUBSTITUTE(SUBSTITUTE(TRIM(INDEX(INDIRECT("'Выгрузка'!A867:Z867"),Настройки!$B$10)),",","."),".",MID(1/2,2,1)),"")</f>
        <v/>
      </c>
      <c r="E867">
        <f>IFERROR(--SUBSTITUTE(SUBSTITUTE(TRIM(INDEX(INDIRECT("'Выгрузка'!A867:Z867"),Настройки!$B$11)),",","."),".",MID(1/2,2,1)),"")</f>
        <v/>
      </c>
      <c r="F867">
        <f>TRIM(INDEX(INDIRECT("'Выгрузка'!A867:Z867"),Настройки!$B$12)&amp;"")</f>
        <v/>
      </c>
      <c r="G867">
        <f>IF(F867="",0,IF(TRIM(INDEX(INDIRECT("'Выгрузка'!A867:Z867"),Настройки!$B$13)&amp;"")="",1,IFERROR(--SUBSTITUTE(SUBSTITUTE(TRIM(INDEX(INDIRECT("'Выгрузка'!A867:Z867"),Настройки!$B$13)),",","."),".",MID(1/2,2,1)),"")))</f>
        <v/>
      </c>
      <c r="H867">
        <f>IF(F867="",0,IF(COUNTIF(Настройки!$B$17:$B$26,F867)&gt;0,1,IF(COUNTIF(Настройки!$C$17:$C$26,F867)&gt;0,2,IF(COUNTIF(Настройки!$D$17:$D$26,F867)&gt;0,3,0))))</f>
        <v/>
      </c>
      <c r="I867">
        <f>IF(AND(ISNUMBER(A867),ISNUMBER(B867)),A867*1000+B867,"")</f>
        <v/>
      </c>
      <c r="J867">
        <f>IF(I867="","",IF(COUNTIF(I$2:I867,I867)=1,MAX(J$1:J866)+1,""))</f>
        <v/>
      </c>
    </row>
    <row r="868">
      <c r="A868">
        <f>IFERROR(--SUBSTITUTE(SUBSTITUTE(TRIM(INDEX(INDIRECT("'Выгрузка'!A868:Z868"),Настройки!$B$7)),",","."),".",MID(1/2,2,1)),"")</f>
        <v/>
      </c>
      <c r="B868">
        <f>IFERROR(--SUBSTITUTE(SUBSTITUTE(TRIM(INDEX(INDIRECT("'Выгрузка'!A868:Z868"),Настройки!$B$9)),",","."),".",MID(1/2,2,1)),"")</f>
        <v/>
      </c>
      <c r="C868">
        <f>TRIM(INDEX(INDIRECT("'Выгрузка'!A868:Z868"),Настройки!$B$8)&amp;"")</f>
        <v/>
      </c>
      <c r="D868">
        <f>IFERROR(--SUBSTITUTE(SUBSTITUTE(TRIM(INDEX(INDIRECT("'Выгрузка'!A868:Z868"),Настройки!$B$10)),",","."),".",MID(1/2,2,1)),"")</f>
        <v/>
      </c>
      <c r="E868">
        <f>IFERROR(--SUBSTITUTE(SUBSTITUTE(TRIM(INDEX(INDIRECT("'Выгрузка'!A868:Z868"),Настройки!$B$11)),",","."),".",MID(1/2,2,1)),"")</f>
        <v/>
      </c>
      <c r="F868">
        <f>TRIM(INDEX(INDIRECT("'Выгрузка'!A868:Z868"),Настройки!$B$12)&amp;"")</f>
        <v/>
      </c>
      <c r="G868">
        <f>IF(F868="",0,IF(TRIM(INDEX(INDIRECT("'Выгрузка'!A868:Z868"),Настройки!$B$13)&amp;"")="",1,IFERROR(--SUBSTITUTE(SUBSTITUTE(TRIM(INDEX(INDIRECT("'Выгрузка'!A868:Z868"),Настройки!$B$13)),",","."),".",MID(1/2,2,1)),"")))</f>
        <v/>
      </c>
      <c r="H868">
        <f>IF(F868="",0,IF(COUNTIF(Настройки!$B$17:$B$26,F868)&gt;0,1,IF(COUNTIF(Настройки!$C$17:$C$26,F868)&gt;0,2,IF(COUNTIF(Настройки!$D$17:$D$26,F868)&gt;0,3,0))))</f>
        <v/>
      </c>
      <c r="I868">
        <f>IF(AND(ISNUMBER(A868),ISNUMBER(B868)),A868*1000+B868,"")</f>
        <v/>
      </c>
      <c r="J868">
        <f>IF(I868="","",IF(COUNTIF(I$2:I868,I868)=1,MAX(J$1:J867)+1,""))</f>
        <v/>
      </c>
    </row>
    <row r="869">
      <c r="A869">
        <f>IFERROR(--SUBSTITUTE(SUBSTITUTE(TRIM(INDEX(INDIRECT("'Выгрузка'!A869:Z869"),Настройки!$B$7)),",","."),".",MID(1/2,2,1)),"")</f>
        <v/>
      </c>
      <c r="B869">
        <f>IFERROR(--SUBSTITUTE(SUBSTITUTE(TRIM(INDEX(INDIRECT("'Выгрузка'!A869:Z869"),Настройки!$B$9)),",","."),".",MID(1/2,2,1)),"")</f>
        <v/>
      </c>
      <c r="C869">
        <f>TRIM(INDEX(INDIRECT("'Выгрузка'!A869:Z869"),Настройки!$B$8)&amp;"")</f>
        <v/>
      </c>
      <c r="D869">
        <f>IFERROR(--SUBSTITUTE(SUBSTITUTE(TRIM(INDEX(INDIRECT("'Выгрузка'!A869:Z869"),Настройки!$B$10)),",","."),".",MID(1/2,2,1)),"")</f>
        <v/>
      </c>
      <c r="E869">
        <f>IFERROR(--SUBSTITUTE(SUBSTITUTE(TRIM(INDEX(INDIRECT("'Выгрузка'!A869:Z869"),Настройки!$B$11)),",","."),".",MID(1/2,2,1)),"")</f>
        <v/>
      </c>
      <c r="F869">
        <f>TRIM(INDEX(INDIRECT("'Выгрузка'!A869:Z869"),Настройки!$B$12)&amp;"")</f>
        <v/>
      </c>
      <c r="G869">
        <f>IF(F869="",0,IF(TRIM(INDEX(INDIRECT("'Выгрузка'!A869:Z869"),Настройки!$B$13)&amp;"")="",1,IFERROR(--SUBSTITUTE(SUBSTITUTE(TRIM(INDEX(INDIRECT("'Выгрузка'!A869:Z869"),Настройки!$B$13)),",","."),".",MID(1/2,2,1)),"")))</f>
        <v/>
      </c>
      <c r="H869">
        <f>IF(F869="",0,IF(COUNTIF(Настройки!$B$17:$B$26,F869)&gt;0,1,IF(COUNTIF(Настройки!$C$17:$C$26,F869)&gt;0,2,IF(COUNTIF(Настройки!$D$17:$D$26,F869)&gt;0,3,0))))</f>
        <v/>
      </c>
      <c r="I869">
        <f>IF(AND(ISNUMBER(A869),ISNUMBER(B869)),A869*1000+B869,"")</f>
        <v/>
      </c>
      <c r="J869">
        <f>IF(I869="","",IF(COUNTIF(I$2:I869,I869)=1,MAX(J$1:J868)+1,""))</f>
        <v/>
      </c>
    </row>
    <row r="870">
      <c r="A870">
        <f>IFERROR(--SUBSTITUTE(SUBSTITUTE(TRIM(INDEX(INDIRECT("'Выгрузка'!A870:Z870"),Настройки!$B$7)),",","."),".",MID(1/2,2,1)),"")</f>
        <v/>
      </c>
      <c r="B870">
        <f>IFERROR(--SUBSTITUTE(SUBSTITUTE(TRIM(INDEX(INDIRECT("'Выгрузка'!A870:Z870"),Настройки!$B$9)),",","."),".",MID(1/2,2,1)),"")</f>
        <v/>
      </c>
      <c r="C870">
        <f>TRIM(INDEX(INDIRECT("'Выгрузка'!A870:Z870"),Настройки!$B$8)&amp;"")</f>
        <v/>
      </c>
      <c r="D870">
        <f>IFERROR(--SUBSTITUTE(SUBSTITUTE(TRIM(INDEX(INDIRECT("'Выгрузка'!A870:Z870"),Настройки!$B$10)),",","."),".",MID(1/2,2,1)),"")</f>
        <v/>
      </c>
      <c r="E870">
        <f>IFERROR(--SUBSTITUTE(SUBSTITUTE(TRIM(INDEX(INDIRECT("'Выгрузка'!A870:Z870"),Настройки!$B$11)),",","."),".",MID(1/2,2,1)),"")</f>
        <v/>
      </c>
      <c r="F870">
        <f>TRIM(INDEX(INDIRECT("'Выгрузка'!A870:Z870"),Настройки!$B$12)&amp;"")</f>
        <v/>
      </c>
      <c r="G870">
        <f>IF(F870="",0,IF(TRIM(INDEX(INDIRECT("'Выгрузка'!A870:Z870"),Настройки!$B$13)&amp;"")="",1,IFERROR(--SUBSTITUTE(SUBSTITUTE(TRIM(INDEX(INDIRECT("'Выгрузка'!A870:Z870"),Настройки!$B$13)),",","."),".",MID(1/2,2,1)),"")))</f>
        <v/>
      </c>
      <c r="H870">
        <f>IF(F870="",0,IF(COUNTIF(Настройки!$B$17:$B$26,F870)&gt;0,1,IF(COUNTIF(Настройки!$C$17:$C$26,F870)&gt;0,2,IF(COUNTIF(Настройки!$D$17:$D$26,F870)&gt;0,3,0))))</f>
        <v/>
      </c>
      <c r="I870">
        <f>IF(AND(ISNUMBER(A870),ISNUMBER(B870)),A870*1000+B870,"")</f>
        <v/>
      </c>
      <c r="J870">
        <f>IF(I870="","",IF(COUNTIF(I$2:I870,I870)=1,MAX(J$1:J869)+1,""))</f>
        <v/>
      </c>
    </row>
    <row r="871">
      <c r="A871">
        <f>IFERROR(--SUBSTITUTE(SUBSTITUTE(TRIM(INDEX(INDIRECT("'Выгрузка'!A871:Z871"),Настройки!$B$7)),",","."),".",MID(1/2,2,1)),"")</f>
        <v/>
      </c>
      <c r="B871">
        <f>IFERROR(--SUBSTITUTE(SUBSTITUTE(TRIM(INDEX(INDIRECT("'Выгрузка'!A871:Z871"),Настройки!$B$9)),",","."),".",MID(1/2,2,1)),"")</f>
        <v/>
      </c>
      <c r="C871">
        <f>TRIM(INDEX(INDIRECT("'Выгрузка'!A871:Z871"),Настройки!$B$8)&amp;"")</f>
        <v/>
      </c>
      <c r="D871">
        <f>IFERROR(--SUBSTITUTE(SUBSTITUTE(TRIM(INDEX(INDIRECT("'Выгрузка'!A871:Z871"),Настройки!$B$10)),",","."),".",MID(1/2,2,1)),"")</f>
        <v/>
      </c>
      <c r="E871">
        <f>IFERROR(--SUBSTITUTE(SUBSTITUTE(TRIM(INDEX(INDIRECT("'Выгрузка'!A871:Z871"),Настройки!$B$11)),",","."),".",MID(1/2,2,1)),"")</f>
        <v/>
      </c>
      <c r="F871">
        <f>TRIM(INDEX(INDIRECT("'Выгрузка'!A871:Z871"),Настройки!$B$12)&amp;"")</f>
        <v/>
      </c>
      <c r="G871">
        <f>IF(F871="",0,IF(TRIM(INDEX(INDIRECT("'Выгрузка'!A871:Z871"),Настройки!$B$13)&amp;"")="",1,IFERROR(--SUBSTITUTE(SUBSTITUTE(TRIM(INDEX(INDIRECT("'Выгрузка'!A871:Z871"),Настройки!$B$13)),",","."),".",MID(1/2,2,1)),"")))</f>
        <v/>
      </c>
      <c r="H871">
        <f>IF(F871="",0,IF(COUNTIF(Настройки!$B$17:$B$26,F871)&gt;0,1,IF(COUNTIF(Настройки!$C$17:$C$26,F871)&gt;0,2,IF(COUNTIF(Настройки!$D$17:$D$26,F871)&gt;0,3,0))))</f>
        <v/>
      </c>
      <c r="I871">
        <f>IF(AND(ISNUMBER(A871),ISNUMBER(B871)),A871*1000+B871,"")</f>
        <v/>
      </c>
      <c r="J871">
        <f>IF(I871="","",IF(COUNTIF(I$2:I871,I871)=1,MAX(J$1:J870)+1,""))</f>
        <v/>
      </c>
    </row>
    <row r="872">
      <c r="A872">
        <f>IFERROR(--SUBSTITUTE(SUBSTITUTE(TRIM(INDEX(INDIRECT("'Выгрузка'!A872:Z872"),Настройки!$B$7)),",","."),".",MID(1/2,2,1)),"")</f>
        <v/>
      </c>
      <c r="B872">
        <f>IFERROR(--SUBSTITUTE(SUBSTITUTE(TRIM(INDEX(INDIRECT("'Выгрузка'!A872:Z872"),Настройки!$B$9)),",","."),".",MID(1/2,2,1)),"")</f>
        <v/>
      </c>
      <c r="C872">
        <f>TRIM(INDEX(INDIRECT("'Выгрузка'!A872:Z872"),Настройки!$B$8)&amp;"")</f>
        <v/>
      </c>
      <c r="D872">
        <f>IFERROR(--SUBSTITUTE(SUBSTITUTE(TRIM(INDEX(INDIRECT("'Выгрузка'!A872:Z872"),Настройки!$B$10)),",","."),".",MID(1/2,2,1)),"")</f>
        <v/>
      </c>
      <c r="E872">
        <f>IFERROR(--SUBSTITUTE(SUBSTITUTE(TRIM(INDEX(INDIRECT("'Выгрузка'!A872:Z872"),Настройки!$B$11)),",","."),".",MID(1/2,2,1)),"")</f>
        <v/>
      </c>
      <c r="F872">
        <f>TRIM(INDEX(INDIRECT("'Выгрузка'!A872:Z872"),Настройки!$B$12)&amp;"")</f>
        <v/>
      </c>
      <c r="G872">
        <f>IF(F872="",0,IF(TRIM(INDEX(INDIRECT("'Выгрузка'!A872:Z872"),Настройки!$B$13)&amp;"")="",1,IFERROR(--SUBSTITUTE(SUBSTITUTE(TRIM(INDEX(INDIRECT("'Выгрузка'!A872:Z872"),Настройки!$B$13)),",","."),".",MID(1/2,2,1)),"")))</f>
        <v/>
      </c>
      <c r="H872">
        <f>IF(F872="",0,IF(COUNTIF(Настройки!$B$17:$B$26,F872)&gt;0,1,IF(COUNTIF(Настройки!$C$17:$C$26,F872)&gt;0,2,IF(COUNTIF(Настройки!$D$17:$D$26,F872)&gt;0,3,0))))</f>
        <v/>
      </c>
      <c r="I872">
        <f>IF(AND(ISNUMBER(A872),ISNUMBER(B872)),A872*1000+B872,"")</f>
        <v/>
      </c>
      <c r="J872">
        <f>IF(I872="","",IF(COUNTIF(I$2:I872,I872)=1,MAX(J$1:J871)+1,""))</f>
        <v/>
      </c>
    </row>
    <row r="873">
      <c r="A873">
        <f>IFERROR(--SUBSTITUTE(SUBSTITUTE(TRIM(INDEX(INDIRECT("'Выгрузка'!A873:Z873"),Настройки!$B$7)),",","."),".",MID(1/2,2,1)),"")</f>
        <v/>
      </c>
      <c r="B873">
        <f>IFERROR(--SUBSTITUTE(SUBSTITUTE(TRIM(INDEX(INDIRECT("'Выгрузка'!A873:Z873"),Настройки!$B$9)),",","."),".",MID(1/2,2,1)),"")</f>
        <v/>
      </c>
      <c r="C873">
        <f>TRIM(INDEX(INDIRECT("'Выгрузка'!A873:Z873"),Настройки!$B$8)&amp;"")</f>
        <v/>
      </c>
      <c r="D873">
        <f>IFERROR(--SUBSTITUTE(SUBSTITUTE(TRIM(INDEX(INDIRECT("'Выгрузка'!A873:Z873"),Настройки!$B$10)),",","."),".",MID(1/2,2,1)),"")</f>
        <v/>
      </c>
      <c r="E873">
        <f>IFERROR(--SUBSTITUTE(SUBSTITUTE(TRIM(INDEX(INDIRECT("'Выгрузка'!A873:Z873"),Настройки!$B$11)),",","."),".",MID(1/2,2,1)),"")</f>
        <v/>
      </c>
      <c r="F873">
        <f>TRIM(INDEX(INDIRECT("'Выгрузка'!A873:Z873"),Настройки!$B$12)&amp;"")</f>
        <v/>
      </c>
      <c r="G873">
        <f>IF(F873="",0,IF(TRIM(INDEX(INDIRECT("'Выгрузка'!A873:Z873"),Настройки!$B$13)&amp;"")="",1,IFERROR(--SUBSTITUTE(SUBSTITUTE(TRIM(INDEX(INDIRECT("'Выгрузка'!A873:Z873"),Настройки!$B$13)),",","."),".",MID(1/2,2,1)),"")))</f>
        <v/>
      </c>
      <c r="H873">
        <f>IF(F873="",0,IF(COUNTIF(Настройки!$B$17:$B$26,F873)&gt;0,1,IF(COUNTIF(Настройки!$C$17:$C$26,F873)&gt;0,2,IF(COUNTIF(Настройки!$D$17:$D$26,F873)&gt;0,3,0))))</f>
        <v/>
      </c>
      <c r="I873">
        <f>IF(AND(ISNUMBER(A873),ISNUMBER(B873)),A873*1000+B873,"")</f>
        <v/>
      </c>
      <c r="J873">
        <f>IF(I873="","",IF(COUNTIF(I$2:I873,I873)=1,MAX(J$1:J872)+1,""))</f>
        <v/>
      </c>
    </row>
    <row r="874">
      <c r="A874">
        <f>IFERROR(--SUBSTITUTE(SUBSTITUTE(TRIM(INDEX(INDIRECT("'Выгрузка'!A874:Z874"),Настройки!$B$7)),",","."),".",MID(1/2,2,1)),"")</f>
        <v/>
      </c>
      <c r="B874">
        <f>IFERROR(--SUBSTITUTE(SUBSTITUTE(TRIM(INDEX(INDIRECT("'Выгрузка'!A874:Z874"),Настройки!$B$9)),",","."),".",MID(1/2,2,1)),"")</f>
        <v/>
      </c>
      <c r="C874">
        <f>TRIM(INDEX(INDIRECT("'Выгрузка'!A874:Z874"),Настройки!$B$8)&amp;"")</f>
        <v/>
      </c>
      <c r="D874">
        <f>IFERROR(--SUBSTITUTE(SUBSTITUTE(TRIM(INDEX(INDIRECT("'Выгрузка'!A874:Z874"),Настройки!$B$10)),",","."),".",MID(1/2,2,1)),"")</f>
        <v/>
      </c>
      <c r="E874">
        <f>IFERROR(--SUBSTITUTE(SUBSTITUTE(TRIM(INDEX(INDIRECT("'Выгрузка'!A874:Z874"),Настройки!$B$11)),",","."),".",MID(1/2,2,1)),"")</f>
        <v/>
      </c>
      <c r="F874">
        <f>TRIM(INDEX(INDIRECT("'Выгрузка'!A874:Z874"),Настройки!$B$12)&amp;"")</f>
        <v/>
      </c>
      <c r="G874">
        <f>IF(F874="",0,IF(TRIM(INDEX(INDIRECT("'Выгрузка'!A874:Z874"),Настройки!$B$13)&amp;"")="",1,IFERROR(--SUBSTITUTE(SUBSTITUTE(TRIM(INDEX(INDIRECT("'Выгрузка'!A874:Z874"),Настройки!$B$13)),",","."),".",MID(1/2,2,1)),"")))</f>
        <v/>
      </c>
      <c r="H874">
        <f>IF(F874="",0,IF(COUNTIF(Настройки!$B$17:$B$26,F874)&gt;0,1,IF(COUNTIF(Настройки!$C$17:$C$26,F874)&gt;0,2,IF(COUNTIF(Настройки!$D$17:$D$26,F874)&gt;0,3,0))))</f>
        <v/>
      </c>
      <c r="I874">
        <f>IF(AND(ISNUMBER(A874),ISNUMBER(B874)),A874*1000+B874,"")</f>
        <v/>
      </c>
      <c r="J874">
        <f>IF(I874="","",IF(COUNTIF(I$2:I874,I874)=1,MAX(J$1:J873)+1,""))</f>
        <v/>
      </c>
    </row>
    <row r="875">
      <c r="A875">
        <f>IFERROR(--SUBSTITUTE(SUBSTITUTE(TRIM(INDEX(INDIRECT("'Выгрузка'!A875:Z875"),Настройки!$B$7)),",","."),".",MID(1/2,2,1)),"")</f>
        <v/>
      </c>
      <c r="B875">
        <f>IFERROR(--SUBSTITUTE(SUBSTITUTE(TRIM(INDEX(INDIRECT("'Выгрузка'!A875:Z875"),Настройки!$B$9)),",","."),".",MID(1/2,2,1)),"")</f>
        <v/>
      </c>
      <c r="C875">
        <f>TRIM(INDEX(INDIRECT("'Выгрузка'!A875:Z875"),Настройки!$B$8)&amp;"")</f>
        <v/>
      </c>
      <c r="D875">
        <f>IFERROR(--SUBSTITUTE(SUBSTITUTE(TRIM(INDEX(INDIRECT("'Выгрузка'!A875:Z875"),Настройки!$B$10)),",","."),".",MID(1/2,2,1)),"")</f>
        <v/>
      </c>
      <c r="E875">
        <f>IFERROR(--SUBSTITUTE(SUBSTITUTE(TRIM(INDEX(INDIRECT("'Выгрузка'!A875:Z875"),Настройки!$B$11)),",","."),".",MID(1/2,2,1)),"")</f>
        <v/>
      </c>
      <c r="F875">
        <f>TRIM(INDEX(INDIRECT("'Выгрузка'!A875:Z875"),Настройки!$B$12)&amp;"")</f>
        <v/>
      </c>
      <c r="G875">
        <f>IF(F875="",0,IF(TRIM(INDEX(INDIRECT("'Выгрузка'!A875:Z875"),Настройки!$B$13)&amp;"")="",1,IFERROR(--SUBSTITUTE(SUBSTITUTE(TRIM(INDEX(INDIRECT("'Выгрузка'!A875:Z875"),Настройки!$B$13)),",","."),".",MID(1/2,2,1)),"")))</f>
        <v/>
      </c>
      <c r="H875">
        <f>IF(F875="",0,IF(COUNTIF(Настройки!$B$17:$B$26,F875)&gt;0,1,IF(COUNTIF(Настройки!$C$17:$C$26,F875)&gt;0,2,IF(COUNTIF(Настройки!$D$17:$D$26,F875)&gt;0,3,0))))</f>
        <v/>
      </c>
      <c r="I875">
        <f>IF(AND(ISNUMBER(A875),ISNUMBER(B875)),A875*1000+B875,"")</f>
        <v/>
      </c>
      <c r="J875">
        <f>IF(I875="","",IF(COUNTIF(I$2:I875,I875)=1,MAX(J$1:J874)+1,""))</f>
        <v/>
      </c>
    </row>
    <row r="876">
      <c r="A876">
        <f>IFERROR(--SUBSTITUTE(SUBSTITUTE(TRIM(INDEX(INDIRECT("'Выгрузка'!A876:Z876"),Настройки!$B$7)),",","."),".",MID(1/2,2,1)),"")</f>
        <v/>
      </c>
      <c r="B876">
        <f>IFERROR(--SUBSTITUTE(SUBSTITUTE(TRIM(INDEX(INDIRECT("'Выгрузка'!A876:Z876"),Настройки!$B$9)),",","."),".",MID(1/2,2,1)),"")</f>
        <v/>
      </c>
      <c r="C876">
        <f>TRIM(INDEX(INDIRECT("'Выгрузка'!A876:Z876"),Настройки!$B$8)&amp;"")</f>
        <v/>
      </c>
      <c r="D876">
        <f>IFERROR(--SUBSTITUTE(SUBSTITUTE(TRIM(INDEX(INDIRECT("'Выгрузка'!A876:Z876"),Настройки!$B$10)),",","."),".",MID(1/2,2,1)),"")</f>
        <v/>
      </c>
      <c r="E876">
        <f>IFERROR(--SUBSTITUTE(SUBSTITUTE(TRIM(INDEX(INDIRECT("'Выгрузка'!A876:Z876"),Настройки!$B$11)),",","."),".",MID(1/2,2,1)),"")</f>
        <v/>
      </c>
      <c r="F876">
        <f>TRIM(INDEX(INDIRECT("'Выгрузка'!A876:Z876"),Настройки!$B$12)&amp;"")</f>
        <v/>
      </c>
      <c r="G876">
        <f>IF(F876="",0,IF(TRIM(INDEX(INDIRECT("'Выгрузка'!A876:Z876"),Настройки!$B$13)&amp;"")="",1,IFERROR(--SUBSTITUTE(SUBSTITUTE(TRIM(INDEX(INDIRECT("'Выгрузка'!A876:Z876"),Настройки!$B$13)),",","."),".",MID(1/2,2,1)),"")))</f>
        <v/>
      </c>
      <c r="H876">
        <f>IF(F876="",0,IF(COUNTIF(Настройки!$B$17:$B$26,F876)&gt;0,1,IF(COUNTIF(Настройки!$C$17:$C$26,F876)&gt;0,2,IF(COUNTIF(Настройки!$D$17:$D$26,F876)&gt;0,3,0))))</f>
        <v/>
      </c>
      <c r="I876">
        <f>IF(AND(ISNUMBER(A876),ISNUMBER(B876)),A876*1000+B876,"")</f>
        <v/>
      </c>
      <c r="J876">
        <f>IF(I876="","",IF(COUNTIF(I$2:I876,I876)=1,MAX(J$1:J875)+1,""))</f>
        <v/>
      </c>
    </row>
    <row r="877">
      <c r="A877">
        <f>IFERROR(--SUBSTITUTE(SUBSTITUTE(TRIM(INDEX(INDIRECT("'Выгрузка'!A877:Z877"),Настройки!$B$7)),",","."),".",MID(1/2,2,1)),"")</f>
        <v/>
      </c>
      <c r="B877">
        <f>IFERROR(--SUBSTITUTE(SUBSTITUTE(TRIM(INDEX(INDIRECT("'Выгрузка'!A877:Z877"),Настройки!$B$9)),",","."),".",MID(1/2,2,1)),"")</f>
        <v/>
      </c>
      <c r="C877">
        <f>TRIM(INDEX(INDIRECT("'Выгрузка'!A877:Z877"),Настройки!$B$8)&amp;"")</f>
        <v/>
      </c>
      <c r="D877">
        <f>IFERROR(--SUBSTITUTE(SUBSTITUTE(TRIM(INDEX(INDIRECT("'Выгрузка'!A877:Z877"),Настройки!$B$10)),",","."),".",MID(1/2,2,1)),"")</f>
        <v/>
      </c>
      <c r="E877">
        <f>IFERROR(--SUBSTITUTE(SUBSTITUTE(TRIM(INDEX(INDIRECT("'Выгрузка'!A877:Z877"),Настройки!$B$11)),",","."),".",MID(1/2,2,1)),"")</f>
        <v/>
      </c>
      <c r="F877">
        <f>TRIM(INDEX(INDIRECT("'Выгрузка'!A877:Z877"),Настройки!$B$12)&amp;"")</f>
        <v/>
      </c>
      <c r="G877">
        <f>IF(F877="",0,IF(TRIM(INDEX(INDIRECT("'Выгрузка'!A877:Z877"),Настройки!$B$13)&amp;"")="",1,IFERROR(--SUBSTITUTE(SUBSTITUTE(TRIM(INDEX(INDIRECT("'Выгрузка'!A877:Z877"),Настройки!$B$13)),",","."),".",MID(1/2,2,1)),"")))</f>
        <v/>
      </c>
      <c r="H877">
        <f>IF(F877="",0,IF(COUNTIF(Настройки!$B$17:$B$26,F877)&gt;0,1,IF(COUNTIF(Настройки!$C$17:$C$26,F877)&gt;0,2,IF(COUNTIF(Настройки!$D$17:$D$26,F877)&gt;0,3,0))))</f>
        <v/>
      </c>
      <c r="I877">
        <f>IF(AND(ISNUMBER(A877),ISNUMBER(B877)),A877*1000+B877,"")</f>
        <v/>
      </c>
      <c r="J877">
        <f>IF(I877="","",IF(COUNTIF(I$2:I877,I877)=1,MAX(J$1:J876)+1,""))</f>
        <v/>
      </c>
    </row>
    <row r="878">
      <c r="A878">
        <f>IFERROR(--SUBSTITUTE(SUBSTITUTE(TRIM(INDEX(INDIRECT("'Выгрузка'!A878:Z878"),Настройки!$B$7)),",","."),".",MID(1/2,2,1)),"")</f>
        <v/>
      </c>
      <c r="B878">
        <f>IFERROR(--SUBSTITUTE(SUBSTITUTE(TRIM(INDEX(INDIRECT("'Выгрузка'!A878:Z878"),Настройки!$B$9)),",","."),".",MID(1/2,2,1)),"")</f>
        <v/>
      </c>
      <c r="C878">
        <f>TRIM(INDEX(INDIRECT("'Выгрузка'!A878:Z878"),Настройки!$B$8)&amp;"")</f>
        <v/>
      </c>
      <c r="D878">
        <f>IFERROR(--SUBSTITUTE(SUBSTITUTE(TRIM(INDEX(INDIRECT("'Выгрузка'!A878:Z878"),Настройки!$B$10)),",","."),".",MID(1/2,2,1)),"")</f>
        <v/>
      </c>
      <c r="E878">
        <f>IFERROR(--SUBSTITUTE(SUBSTITUTE(TRIM(INDEX(INDIRECT("'Выгрузка'!A878:Z878"),Настройки!$B$11)),",","."),".",MID(1/2,2,1)),"")</f>
        <v/>
      </c>
      <c r="F878">
        <f>TRIM(INDEX(INDIRECT("'Выгрузка'!A878:Z878"),Настройки!$B$12)&amp;"")</f>
        <v/>
      </c>
      <c r="G878">
        <f>IF(F878="",0,IF(TRIM(INDEX(INDIRECT("'Выгрузка'!A878:Z878"),Настройки!$B$13)&amp;"")="",1,IFERROR(--SUBSTITUTE(SUBSTITUTE(TRIM(INDEX(INDIRECT("'Выгрузка'!A878:Z878"),Настройки!$B$13)),",","."),".",MID(1/2,2,1)),"")))</f>
        <v/>
      </c>
      <c r="H878">
        <f>IF(F878="",0,IF(COUNTIF(Настройки!$B$17:$B$26,F878)&gt;0,1,IF(COUNTIF(Настройки!$C$17:$C$26,F878)&gt;0,2,IF(COUNTIF(Настройки!$D$17:$D$26,F878)&gt;0,3,0))))</f>
        <v/>
      </c>
      <c r="I878">
        <f>IF(AND(ISNUMBER(A878),ISNUMBER(B878)),A878*1000+B878,"")</f>
        <v/>
      </c>
      <c r="J878">
        <f>IF(I878="","",IF(COUNTIF(I$2:I878,I878)=1,MAX(J$1:J877)+1,""))</f>
        <v/>
      </c>
    </row>
    <row r="879">
      <c r="A879">
        <f>IFERROR(--SUBSTITUTE(SUBSTITUTE(TRIM(INDEX(INDIRECT("'Выгрузка'!A879:Z879"),Настройки!$B$7)),",","."),".",MID(1/2,2,1)),"")</f>
        <v/>
      </c>
      <c r="B879">
        <f>IFERROR(--SUBSTITUTE(SUBSTITUTE(TRIM(INDEX(INDIRECT("'Выгрузка'!A879:Z879"),Настройки!$B$9)),",","."),".",MID(1/2,2,1)),"")</f>
        <v/>
      </c>
      <c r="C879">
        <f>TRIM(INDEX(INDIRECT("'Выгрузка'!A879:Z879"),Настройки!$B$8)&amp;"")</f>
        <v/>
      </c>
      <c r="D879">
        <f>IFERROR(--SUBSTITUTE(SUBSTITUTE(TRIM(INDEX(INDIRECT("'Выгрузка'!A879:Z879"),Настройки!$B$10)),",","."),".",MID(1/2,2,1)),"")</f>
        <v/>
      </c>
      <c r="E879">
        <f>IFERROR(--SUBSTITUTE(SUBSTITUTE(TRIM(INDEX(INDIRECT("'Выгрузка'!A879:Z879"),Настройки!$B$11)),",","."),".",MID(1/2,2,1)),"")</f>
        <v/>
      </c>
      <c r="F879">
        <f>TRIM(INDEX(INDIRECT("'Выгрузка'!A879:Z879"),Настройки!$B$12)&amp;"")</f>
        <v/>
      </c>
      <c r="G879">
        <f>IF(F879="",0,IF(TRIM(INDEX(INDIRECT("'Выгрузка'!A879:Z879"),Настройки!$B$13)&amp;"")="",1,IFERROR(--SUBSTITUTE(SUBSTITUTE(TRIM(INDEX(INDIRECT("'Выгрузка'!A879:Z879"),Настройки!$B$13)),",","."),".",MID(1/2,2,1)),"")))</f>
        <v/>
      </c>
      <c r="H879">
        <f>IF(F879="",0,IF(COUNTIF(Настройки!$B$17:$B$26,F879)&gt;0,1,IF(COUNTIF(Настройки!$C$17:$C$26,F879)&gt;0,2,IF(COUNTIF(Настройки!$D$17:$D$26,F879)&gt;0,3,0))))</f>
        <v/>
      </c>
      <c r="I879">
        <f>IF(AND(ISNUMBER(A879),ISNUMBER(B879)),A879*1000+B879,"")</f>
        <v/>
      </c>
      <c r="J879">
        <f>IF(I879="","",IF(COUNTIF(I$2:I879,I879)=1,MAX(J$1:J878)+1,""))</f>
        <v/>
      </c>
    </row>
    <row r="880">
      <c r="A880">
        <f>IFERROR(--SUBSTITUTE(SUBSTITUTE(TRIM(INDEX(INDIRECT("'Выгрузка'!A880:Z880"),Настройки!$B$7)),",","."),".",MID(1/2,2,1)),"")</f>
        <v/>
      </c>
      <c r="B880">
        <f>IFERROR(--SUBSTITUTE(SUBSTITUTE(TRIM(INDEX(INDIRECT("'Выгрузка'!A880:Z880"),Настройки!$B$9)),",","."),".",MID(1/2,2,1)),"")</f>
        <v/>
      </c>
      <c r="C880">
        <f>TRIM(INDEX(INDIRECT("'Выгрузка'!A880:Z880"),Настройки!$B$8)&amp;"")</f>
        <v/>
      </c>
      <c r="D880">
        <f>IFERROR(--SUBSTITUTE(SUBSTITUTE(TRIM(INDEX(INDIRECT("'Выгрузка'!A880:Z880"),Настройки!$B$10)),",","."),".",MID(1/2,2,1)),"")</f>
        <v/>
      </c>
      <c r="E880">
        <f>IFERROR(--SUBSTITUTE(SUBSTITUTE(TRIM(INDEX(INDIRECT("'Выгрузка'!A880:Z880"),Настройки!$B$11)),",","."),".",MID(1/2,2,1)),"")</f>
        <v/>
      </c>
      <c r="F880">
        <f>TRIM(INDEX(INDIRECT("'Выгрузка'!A880:Z880"),Настройки!$B$12)&amp;"")</f>
        <v/>
      </c>
      <c r="G880">
        <f>IF(F880="",0,IF(TRIM(INDEX(INDIRECT("'Выгрузка'!A880:Z880"),Настройки!$B$13)&amp;"")="",1,IFERROR(--SUBSTITUTE(SUBSTITUTE(TRIM(INDEX(INDIRECT("'Выгрузка'!A880:Z880"),Настройки!$B$13)),",","."),".",MID(1/2,2,1)),"")))</f>
        <v/>
      </c>
      <c r="H880">
        <f>IF(F880="",0,IF(COUNTIF(Настройки!$B$17:$B$26,F880)&gt;0,1,IF(COUNTIF(Настройки!$C$17:$C$26,F880)&gt;0,2,IF(COUNTIF(Настройки!$D$17:$D$26,F880)&gt;0,3,0))))</f>
        <v/>
      </c>
      <c r="I880">
        <f>IF(AND(ISNUMBER(A880),ISNUMBER(B880)),A880*1000+B880,"")</f>
        <v/>
      </c>
      <c r="J880">
        <f>IF(I880="","",IF(COUNTIF(I$2:I880,I880)=1,MAX(J$1:J879)+1,""))</f>
        <v/>
      </c>
    </row>
    <row r="881">
      <c r="A881">
        <f>IFERROR(--SUBSTITUTE(SUBSTITUTE(TRIM(INDEX(INDIRECT("'Выгрузка'!A881:Z881"),Настройки!$B$7)),",","."),".",MID(1/2,2,1)),"")</f>
        <v/>
      </c>
      <c r="B881">
        <f>IFERROR(--SUBSTITUTE(SUBSTITUTE(TRIM(INDEX(INDIRECT("'Выгрузка'!A881:Z881"),Настройки!$B$9)),",","."),".",MID(1/2,2,1)),"")</f>
        <v/>
      </c>
      <c r="C881">
        <f>TRIM(INDEX(INDIRECT("'Выгрузка'!A881:Z881"),Настройки!$B$8)&amp;"")</f>
        <v/>
      </c>
      <c r="D881">
        <f>IFERROR(--SUBSTITUTE(SUBSTITUTE(TRIM(INDEX(INDIRECT("'Выгрузка'!A881:Z881"),Настройки!$B$10)),",","."),".",MID(1/2,2,1)),"")</f>
        <v/>
      </c>
      <c r="E881">
        <f>IFERROR(--SUBSTITUTE(SUBSTITUTE(TRIM(INDEX(INDIRECT("'Выгрузка'!A881:Z881"),Настройки!$B$11)),",","."),".",MID(1/2,2,1)),"")</f>
        <v/>
      </c>
      <c r="F881">
        <f>TRIM(INDEX(INDIRECT("'Выгрузка'!A881:Z881"),Настройки!$B$12)&amp;"")</f>
        <v/>
      </c>
      <c r="G881">
        <f>IF(F881="",0,IF(TRIM(INDEX(INDIRECT("'Выгрузка'!A881:Z881"),Настройки!$B$13)&amp;"")="",1,IFERROR(--SUBSTITUTE(SUBSTITUTE(TRIM(INDEX(INDIRECT("'Выгрузка'!A881:Z881"),Настройки!$B$13)),",","."),".",MID(1/2,2,1)),"")))</f>
        <v/>
      </c>
      <c r="H881">
        <f>IF(F881="",0,IF(COUNTIF(Настройки!$B$17:$B$26,F881)&gt;0,1,IF(COUNTIF(Настройки!$C$17:$C$26,F881)&gt;0,2,IF(COUNTIF(Настройки!$D$17:$D$26,F881)&gt;0,3,0))))</f>
        <v/>
      </c>
      <c r="I881">
        <f>IF(AND(ISNUMBER(A881),ISNUMBER(B881)),A881*1000+B881,"")</f>
        <v/>
      </c>
      <c r="J881">
        <f>IF(I881="","",IF(COUNTIF(I$2:I881,I881)=1,MAX(J$1:J880)+1,""))</f>
        <v/>
      </c>
    </row>
    <row r="882">
      <c r="A882">
        <f>IFERROR(--SUBSTITUTE(SUBSTITUTE(TRIM(INDEX(INDIRECT("'Выгрузка'!A882:Z882"),Настройки!$B$7)),",","."),".",MID(1/2,2,1)),"")</f>
        <v/>
      </c>
      <c r="B882">
        <f>IFERROR(--SUBSTITUTE(SUBSTITUTE(TRIM(INDEX(INDIRECT("'Выгрузка'!A882:Z882"),Настройки!$B$9)),",","."),".",MID(1/2,2,1)),"")</f>
        <v/>
      </c>
      <c r="C882">
        <f>TRIM(INDEX(INDIRECT("'Выгрузка'!A882:Z882"),Настройки!$B$8)&amp;"")</f>
        <v/>
      </c>
      <c r="D882">
        <f>IFERROR(--SUBSTITUTE(SUBSTITUTE(TRIM(INDEX(INDIRECT("'Выгрузка'!A882:Z882"),Настройки!$B$10)),",","."),".",MID(1/2,2,1)),"")</f>
        <v/>
      </c>
      <c r="E882">
        <f>IFERROR(--SUBSTITUTE(SUBSTITUTE(TRIM(INDEX(INDIRECT("'Выгрузка'!A882:Z882"),Настройки!$B$11)),",","."),".",MID(1/2,2,1)),"")</f>
        <v/>
      </c>
      <c r="F882">
        <f>TRIM(INDEX(INDIRECT("'Выгрузка'!A882:Z882"),Настройки!$B$12)&amp;"")</f>
        <v/>
      </c>
      <c r="G882">
        <f>IF(F882="",0,IF(TRIM(INDEX(INDIRECT("'Выгрузка'!A882:Z882"),Настройки!$B$13)&amp;"")="",1,IFERROR(--SUBSTITUTE(SUBSTITUTE(TRIM(INDEX(INDIRECT("'Выгрузка'!A882:Z882"),Настройки!$B$13)),",","."),".",MID(1/2,2,1)),"")))</f>
        <v/>
      </c>
      <c r="H882">
        <f>IF(F882="",0,IF(COUNTIF(Настройки!$B$17:$B$26,F882)&gt;0,1,IF(COUNTIF(Настройки!$C$17:$C$26,F882)&gt;0,2,IF(COUNTIF(Настройки!$D$17:$D$26,F882)&gt;0,3,0))))</f>
        <v/>
      </c>
      <c r="I882">
        <f>IF(AND(ISNUMBER(A882),ISNUMBER(B882)),A882*1000+B882,"")</f>
        <v/>
      </c>
      <c r="J882">
        <f>IF(I882="","",IF(COUNTIF(I$2:I882,I882)=1,MAX(J$1:J881)+1,""))</f>
        <v/>
      </c>
    </row>
    <row r="883">
      <c r="A883">
        <f>IFERROR(--SUBSTITUTE(SUBSTITUTE(TRIM(INDEX(INDIRECT("'Выгрузка'!A883:Z883"),Настройки!$B$7)),",","."),".",MID(1/2,2,1)),"")</f>
        <v/>
      </c>
      <c r="B883">
        <f>IFERROR(--SUBSTITUTE(SUBSTITUTE(TRIM(INDEX(INDIRECT("'Выгрузка'!A883:Z883"),Настройки!$B$9)),",","."),".",MID(1/2,2,1)),"")</f>
        <v/>
      </c>
      <c r="C883">
        <f>TRIM(INDEX(INDIRECT("'Выгрузка'!A883:Z883"),Настройки!$B$8)&amp;"")</f>
        <v/>
      </c>
      <c r="D883">
        <f>IFERROR(--SUBSTITUTE(SUBSTITUTE(TRIM(INDEX(INDIRECT("'Выгрузка'!A883:Z883"),Настройки!$B$10)),",","."),".",MID(1/2,2,1)),"")</f>
        <v/>
      </c>
      <c r="E883">
        <f>IFERROR(--SUBSTITUTE(SUBSTITUTE(TRIM(INDEX(INDIRECT("'Выгрузка'!A883:Z883"),Настройки!$B$11)),",","."),".",MID(1/2,2,1)),"")</f>
        <v/>
      </c>
      <c r="F883">
        <f>TRIM(INDEX(INDIRECT("'Выгрузка'!A883:Z883"),Настройки!$B$12)&amp;"")</f>
        <v/>
      </c>
      <c r="G883">
        <f>IF(F883="",0,IF(TRIM(INDEX(INDIRECT("'Выгрузка'!A883:Z883"),Настройки!$B$13)&amp;"")="",1,IFERROR(--SUBSTITUTE(SUBSTITUTE(TRIM(INDEX(INDIRECT("'Выгрузка'!A883:Z883"),Настройки!$B$13)),",","."),".",MID(1/2,2,1)),"")))</f>
        <v/>
      </c>
      <c r="H883">
        <f>IF(F883="",0,IF(COUNTIF(Настройки!$B$17:$B$26,F883)&gt;0,1,IF(COUNTIF(Настройки!$C$17:$C$26,F883)&gt;0,2,IF(COUNTIF(Настройки!$D$17:$D$26,F883)&gt;0,3,0))))</f>
        <v/>
      </c>
      <c r="I883">
        <f>IF(AND(ISNUMBER(A883),ISNUMBER(B883)),A883*1000+B883,"")</f>
        <v/>
      </c>
      <c r="J883">
        <f>IF(I883="","",IF(COUNTIF(I$2:I883,I883)=1,MAX(J$1:J882)+1,""))</f>
        <v/>
      </c>
    </row>
    <row r="884">
      <c r="A884">
        <f>IFERROR(--SUBSTITUTE(SUBSTITUTE(TRIM(INDEX(INDIRECT("'Выгрузка'!A884:Z884"),Настройки!$B$7)),",","."),".",MID(1/2,2,1)),"")</f>
        <v/>
      </c>
      <c r="B884">
        <f>IFERROR(--SUBSTITUTE(SUBSTITUTE(TRIM(INDEX(INDIRECT("'Выгрузка'!A884:Z884"),Настройки!$B$9)),",","."),".",MID(1/2,2,1)),"")</f>
        <v/>
      </c>
      <c r="C884">
        <f>TRIM(INDEX(INDIRECT("'Выгрузка'!A884:Z884"),Настройки!$B$8)&amp;"")</f>
        <v/>
      </c>
      <c r="D884">
        <f>IFERROR(--SUBSTITUTE(SUBSTITUTE(TRIM(INDEX(INDIRECT("'Выгрузка'!A884:Z884"),Настройки!$B$10)),",","."),".",MID(1/2,2,1)),"")</f>
        <v/>
      </c>
      <c r="E884">
        <f>IFERROR(--SUBSTITUTE(SUBSTITUTE(TRIM(INDEX(INDIRECT("'Выгрузка'!A884:Z884"),Настройки!$B$11)),",","."),".",MID(1/2,2,1)),"")</f>
        <v/>
      </c>
      <c r="F884">
        <f>TRIM(INDEX(INDIRECT("'Выгрузка'!A884:Z884"),Настройки!$B$12)&amp;"")</f>
        <v/>
      </c>
      <c r="G884">
        <f>IF(F884="",0,IF(TRIM(INDEX(INDIRECT("'Выгрузка'!A884:Z884"),Настройки!$B$13)&amp;"")="",1,IFERROR(--SUBSTITUTE(SUBSTITUTE(TRIM(INDEX(INDIRECT("'Выгрузка'!A884:Z884"),Настройки!$B$13)),",","."),".",MID(1/2,2,1)),"")))</f>
        <v/>
      </c>
      <c r="H884">
        <f>IF(F884="",0,IF(COUNTIF(Настройки!$B$17:$B$26,F884)&gt;0,1,IF(COUNTIF(Настройки!$C$17:$C$26,F884)&gt;0,2,IF(COUNTIF(Настройки!$D$17:$D$26,F884)&gt;0,3,0))))</f>
        <v/>
      </c>
      <c r="I884">
        <f>IF(AND(ISNUMBER(A884),ISNUMBER(B884)),A884*1000+B884,"")</f>
        <v/>
      </c>
      <c r="J884">
        <f>IF(I884="","",IF(COUNTIF(I$2:I884,I884)=1,MAX(J$1:J883)+1,""))</f>
        <v/>
      </c>
    </row>
    <row r="885">
      <c r="A885">
        <f>IFERROR(--SUBSTITUTE(SUBSTITUTE(TRIM(INDEX(INDIRECT("'Выгрузка'!A885:Z885"),Настройки!$B$7)),",","."),".",MID(1/2,2,1)),"")</f>
        <v/>
      </c>
      <c r="B885">
        <f>IFERROR(--SUBSTITUTE(SUBSTITUTE(TRIM(INDEX(INDIRECT("'Выгрузка'!A885:Z885"),Настройки!$B$9)),",","."),".",MID(1/2,2,1)),"")</f>
        <v/>
      </c>
      <c r="C885">
        <f>TRIM(INDEX(INDIRECT("'Выгрузка'!A885:Z885"),Настройки!$B$8)&amp;"")</f>
        <v/>
      </c>
      <c r="D885">
        <f>IFERROR(--SUBSTITUTE(SUBSTITUTE(TRIM(INDEX(INDIRECT("'Выгрузка'!A885:Z885"),Настройки!$B$10)),",","."),".",MID(1/2,2,1)),"")</f>
        <v/>
      </c>
      <c r="E885">
        <f>IFERROR(--SUBSTITUTE(SUBSTITUTE(TRIM(INDEX(INDIRECT("'Выгрузка'!A885:Z885"),Настройки!$B$11)),",","."),".",MID(1/2,2,1)),"")</f>
        <v/>
      </c>
      <c r="F885">
        <f>TRIM(INDEX(INDIRECT("'Выгрузка'!A885:Z885"),Настройки!$B$12)&amp;"")</f>
        <v/>
      </c>
      <c r="G885">
        <f>IF(F885="",0,IF(TRIM(INDEX(INDIRECT("'Выгрузка'!A885:Z885"),Настройки!$B$13)&amp;"")="",1,IFERROR(--SUBSTITUTE(SUBSTITUTE(TRIM(INDEX(INDIRECT("'Выгрузка'!A885:Z885"),Настройки!$B$13)),",","."),".",MID(1/2,2,1)),"")))</f>
        <v/>
      </c>
      <c r="H885">
        <f>IF(F885="",0,IF(COUNTIF(Настройки!$B$17:$B$26,F885)&gt;0,1,IF(COUNTIF(Настройки!$C$17:$C$26,F885)&gt;0,2,IF(COUNTIF(Настройки!$D$17:$D$26,F885)&gt;0,3,0))))</f>
        <v/>
      </c>
      <c r="I885">
        <f>IF(AND(ISNUMBER(A885),ISNUMBER(B885)),A885*1000+B885,"")</f>
        <v/>
      </c>
      <c r="J885">
        <f>IF(I885="","",IF(COUNTIF(I$2:I885,I885)=1,MAX(J$1:J884)+1,""))</f>
        <v/>
      </c>
    </row>
    <row r="886">
      <c r="A886">
        <f>IFERROR(--SUBSTITUTE(SUBSTITUTE(TRIM(INDEX(INDIRECT("'Выгрузка'!A886:Z886"),Настройки!$B$7)),",","."),".",MID(1/2,2,1)),"")</f>
        <v/>
      </c>
      <c r="B886">
        <f>IFERROR(--SUBSTITUTE(SUBSTITUTE(TRIM(INDEX(INDIRECT("'Выгрузка'!A886:Z886"),Настройки!$B$9)),",","."),".",MID(1/2,2,1)),"")</f>
        <v/>
      </c>
      <c r="C886">
        <f>TRIM(INDEX(INDIRECT("'Выгрузка'!A886:Z886"),Настройки!$B$8)&amp;"")</f>
        <v/>
      </c>
      <c r="D886">
        <f>IFERROR(--SUBSTITUTE(SUBSTITUTE(TRIM(INDEX(INDIRECT("'Выгрузка'!A886:Z886"),Настройки!$B$10)),",","."),".",MID(1/2,2,1)),"")</f>
        <v/>
      </c>
      <c r="E886">
        <f>IFERROR(--SUBSTITUTE(SUBSTITUTE(TRIM(INDEX(INDIRECT("'Выгрузка'!A886:Z886"),Настройки!$B$11)),",","."),".",MID(1/2,2,1)),"")</f>
        <v/>
      </c>
      <c r="F886">
        <f>TRIM(INDEX(INDIRECT("'Выгрузка'!A886:Z886"),Настройки!$B$12)&amp;"")</f>
        <v/>
      </c>
      <c r="G886">
        <f>IF(F886="",0,IF(TRIM(INDEX(INDIRECT("'Выгрузка'!A886:Z886"),Настройки!$B$13)&amp;"")="",1,IFERROR(--SUBSTITUTE(SUBSTITUTE(TRIM(INDEX(INDIRECT("'Выгрузка'!A886:Z886"),Настройки!$B$13)),",","."),".",MID(1/2,2,1)),"")))</f>
        <v/>
      </c>
      <c r="H886">
        <f>IF(F886="",0,IF(COUNTIF(Настройки!$B$17:$B$26,F886)&gt;0,1,IF(COUNTIF(Настройки!$C$17:$C$26,F886)&gt;0,2,IF(COUNTIF(Настройки!$D$17:$D$26,F886)&gt;0,3,0))))</f>
        <v/>
      </c>
      <c r="I886">
        <f>IF(AND(ISNUMBER(A886),ISNUMBER(B886)),A886*1000+B886,"")</f>
        <v/>
      </c>
      <c r="J886">
        <f>IF(I886="","",IF(COUNTIF(I$2:I886,I886)=1,MAX(J$1:J885)+1,""))</f>
        <v/>
      </c>
    </row>
    <row r="887">
      <c r="A887">
        <f>IFERROR(--SUBSTITUTE(SUBSTITUTE(TRIM(INDEX(INDIRECT("'Выгрузка'!A887:Z887"),Настройки!$B$7)),",","."),".",MID(1/2,2,1)),"")</f>
        <v/>
      </c>
      <c r="B887">
        <f>IFERROR(--SUBSTITUTE(SUBSTITUTE(TRIM(INDEX(INDIRECT("'Выгрузка'!A887:Z887"),Настройки!$B$9)),",","."),".",MID(1/2,2,1)),"")</f>
        <v/>
      </c>
      <c r="C887">
        <f>TRIM(INDEX(INDIRECT("'Выгрузка'!A887:Z887"),Настройки!$B$8)&amp;"")</f>
        <v/>
      </c>
      <c r="D887">
        <f>IFERROR(--SUBSTITUTE(SUBSTITUTE(TRIM(INDEX(INDIRECT("'Выгрузка'!A887:Z887"),Настройки!$B$10)),",","."),".",MID(1/2,2,1)),"")</f>
        <v/>
      </c>
      <c r="E887">
        <f>IFERROR(--SUBSTITUTE(SUBSTITUTE(TRIM(INDEX(INDIRECT("'Выгрузка'!A887:Z887"),Настройки!$B$11)),",","."),".",MID(1/2,2,1)),"")</f>
        <v/>
      </c>
      <c r="F887">
        <f>TRIM(INDEX(INDIRECT("'Выгрузка'!A887:Z887"),Настройки!$B$12)&amp;"")</f>
        <v/>
      </c>
      <c r="G887">
        <f>IF(F887="",0,IF(TRIM(INDEX(INDIRECT("'Выгрузка'!A887:Z887"),Настройки!$B$13)&amp;"")="",1,IFERROR(--SUBSTITUTE(SUBSTITUTE(TRIM(INDEX(INDIRECT("'Выгрузка'!A887:Z887"),Настройки!$B$13)),",","."),".",MID(1/2,2,1)),"")))</f>
        <v/>
      </c>
      <c r="H887">
        <f>IF(F887="",0,IF(COUNTIF(Настройки!$B$17:$B$26,F887)&gt;0,1,IF(COUNTIF(Настройки!$C$17:$C$26,F887)&gt;0,2,IF(COUNTIF(Настройки!$D$17:$D$26,F887)&gt;0,3,0))))</f>
        <v/>
      </c>
      <c r="I887">
        <f>IF(AND(ISNUMBER(A887),ISNUMBER(B887)),A887*1000+B887,"")</f>
        <v/>
      </c>
      <c r="J887">
        <f>IF(I887="","",IF(COUNTIF(I$2:I887,I887)=1,MAX(J$1:J886)+1,""))</f>
        <v/>
      </c>
    </row>
    <row r="888">
      <c r="A888">
        <f>IFERROR(--SUBSTITUTE(SUBSTITUTE(TRIM(INDEX(INDIRECT("'Выгрузка'!A888:Z888"),Настройки!$B$7)),",","."),".",MID(1/2,2,1)),"")</f>
        <v/>
      </c>
      <c r="B888">
        <f>IFERROR(--SUBSTITUTE(SUBSTITUTE(TRIM(INDEX(INDIRECT("'Выгрузка'!A888:Z888"),Настройки!$B$9)),",","."),".",MID(1/2,2,1)),"")</f>
        <v/>
      </c>
      <c r="C888">
        <f>TRIM(INDEX(INDIRECT("'Выгрузка'!A888:Z888"),Настройки!$B$8)&amp;"")</f>
        <v/>
      </c>
      <c r="D888">
        <f>IFERROR(--SUBSTITUTE(SUBSTITUTE(TRIM(INDEX(INDIRECT("'Выгрузка'!A888:Z888"),Настройки!$B$10)),",","."),".",MID(1/2,2,1)),"")</f>
        <v/>
      </c>
      <c r="E888">
        <f>IFERROR(--SUBSTITUTE(SUBSTITUTE(TRIM(INDEX(INDIRECT("'Выгрузка'!A888:Z888"),Настройки!$B$11)),",","."),".",MID(1/2,2,1)),"")</f>
        <v/>
      </c>
      <c r="F888">
        <f>TRIM(INDEX(INDIRECT("'Выгрузка'!A888:Z888"),Настройки!$B$12)&amp;"")</f>
        <v/>
      </c>
      <c r="G888">
        <f>IF(F888="",0,IF(TRIM(INDEX(INDIRECT("'Выгрузка'!A888:Z888"),Настройки!$B$13)&amp;"")="",1,IFERROR(--SUBSTITUTE(SUBSTITUTE(TRIM(INDEX(INDIRECT("'Выгрузка'!A888:Z888"),Настройки!$B$13)),",","."),".",MID(1/2,2,1)),"")))</f>
        <v/>
      </c>
      <c r="H888">
        <f>IF(F888="",0,IF(COUNTIF(Настройки!$B$17:$B$26,F888)&gt;0,1,IF(COUNTIF(Настройки!$C$17:$C$26,F888)&gt;0,2,IF(COUNTIF(Настройки!$D$17:$D$26,F888)&gt;0,3,0))))</f>
        <v/>
      </c>
      <c r="I888">
        <f>IF(AND(ISNUMBER(A888),ISNUMBER(B888)),A888*1000+B888,"")</f>
        <v/>
      </c>
      <c r="J888">
        <f>IF(I888="","",IF(COUNTIF(I$2:I888,I888)=1,MAX(J$1:J887)+1,""))</f>
        <v/>
      </c>
    </row>
    <row r="889">
      <c r="A889">
        <f>IFERROR(--SUBSTITUTE(SUBSTITUTE(TRIM(INDEX(INDIRECT("'Выгрузка'!A889:Z889"),Настройки!$B$7)),",","."),".",MID(1/2,2,1)),"")</f>
        <v/>
      </c>
      <c r="B889">
        <f>IFERROR(--SUBSTITUTE(SUBSTITUTE(TRIM(INDEX(INDIRECT("'Выгрузка'!A889:Z889"),Настройки!$B$9)),",","."),".",MID(1/2,2,1)),"")</f>
        <v/>
      </c>
      <c r="C889">
        <f>TRIM(INDEX(INDIRECT("'Выгрузка'!A889:Z889"),Настройки!$B$8)&amp;"")</f>
        <v/>
      </c>
      <c r="D889">
        <f>IFERROR(--SUBSTITUTE(SUBSTITUTE(TRIM(INDEX(INDIRECT("'Выгрузка'!A889:Z889"),Настройки!$B$10)),",","."),".",MID(1/2,2,1)),"")</f>
        <v/>
      </c>
      <c r="E889">
        <f>IFERROR(--SUBSTITUTE(SUBSTITUTE(TRIM(INDEX(INDIRECT("'Выгрузка'!A889:Z889"),Настройки!$B$11)),",","."),".",MID(1/2,2,1)),"")</f>
        <v/>
      </c>
      <c r="F889">
        <f>TRIM(INDEX(INDIRECT("'Выгрузка'!A889:Z889"),Настройки!$B$12)&amp;"")</f>
        <v/>
      </c>
      <c r="G889">
        <f>IF(F889="",0,IF(TRIM(INDEX(INDIRECT("'Выгрузка'!A889:Z889"),Настройки!$B$13)&amp;"")="",1,IFERROR(--SUBSTITUTE(SUBSTITUTE(TRIM(INDEX(INDIRECT("'Выгрузка'!A889:Z889"),Настройки!$B$13)),",","."),".",MID(1/2,2,1)),"")))</f>
        <v/>
      </c>
      <c r="H889">
        <f>IF(F889="",0,IF(COUNTIF(Настройки!$B$17:$B$26,F889)&gt;0,1,IF(COUNTIF(Настройки!$C$17:$C$26,F889)&gt;0,2,IF(COUNTIF(Настройки!$D$17:$D$26,F889)&gt;0,3,0))))</f>
        <v/>
      </c>
      <c r="I889">
        <f>IF(AND(ISNUMBER(A889),ISNUMBER(B889)),A889*1000+B889,"")</f>
        <v/>
      </c>
      <c r="J889">
        <f>IF(I889="","",IF(COUNTIF(I$2:I889,I889)=1,MAX(J$1:J888)+1,""))</f>
        <v/>
      </c>
    </row>
    <row r="890">
      <c r="A890">
        <f>IFERROR(--SUBSTITUTE(SUBSTITUTE(TRIM(INDEX(INDIRECT("'Выгрузка'!A890:Z890"),Настройки!$B$7)),",","."),".",MID(1/2,2,1)),"")</f>
        <v/>
      </c>
      <c r="B890">
        <f>IFERROR(--SUBSTITUTE(SUBSTITUTE(TRIM(INDEX(INDIRECT("'Выгрузка'!A890:Z890"),Настройки!$B$9)),",","."),".",MID(1/2,2,1)),"")</f>
        <v/>
      </c>
      <c r="C890">
        <f>TRIM(INDEX(INDIRECT("'Выгрузка'!A890:Z890"),Настройки!$B$8)&amp;"")</f>
        <v/>
      </c>
      <c r="D890">
        <f>IFERROR(--SUBSTITUTE(SUBSTITUTE(TRIM(INDEX(INDIRECT("'Выгрузка'!A890:Z890"),Настройки!$B$10)),",","."),".",MID(1/2,2,1)),"")</f>
        <v/>
      </c>
      <c r="E890">
        <f>IFERROR(--SUBSTITUTE(SUBSTITUTE(TRIM(INDEX(INDIRECT("'Выгрузка'!A890:Z890"),Настройки!$B$11)),",","."),".",MID(1/2,2,1)),"")</f>
        <v/>
      </c>
      <c r="F890">
        <f>TRIM(INDEX(INDIRECT("'Выгрузка'!A890:Z890"),Настройки!$B$12)&amp;"")</f>
        <v/>
      </c>
      <c r="G890">
        <f>IF(F890="",0,IF(TRIM(INDEX(INDIRECT("'Выгрузка'!A890:Z890"),Настройки!$B$13)&amp;"")="",1,IFERROR(--SUBSTITUTE(SUBSTITUTE(TRIM(INDEX(INDIRECT("'Выгрузка'!A890:Z890"),Настройки!$B$13)),",","."),".",MID(1/2,2,1)),"")))</f>
        <v/>
      </c>
      <c r="H890">
        <f>IF(F890="",0,IF(COUNTIF(Настройки!$B$17:$B$26,F890)&gt;0,1,IF(COUNTIF(Настройки!$C$17:$C$26,F890)&gt;0,2,IF(COUNTIF(Настройки!$D$17:$D$26,F890)&gt;0,3,0))))</f>
        <v/>
      </c>
      <c r="I890">
        <f>IF(AND(ISNUMBER(A890),ISNUMBER(B890)),A890*1000+B890,"")</f>
        <v/>
      </c>
      <c r="J890">
        <f>IF(I890="","",IF(COUNTIF(I$2:I890,I890)=1,MAX(J$1:J889)+1,""))</f>
        <v/>
      </c>
    </row>
    <row r="891">
      <c r="A891">
        <f>IFERROR(--SUBSTITUTE(SUBSTITUTE(TRIM(INDEX(INDIRECT("'Выгрузка'!A891:Z891"),Настройки!$B$7)),",","."),".",MID(1/2,2,1)),"")</f>
        <v/>
      </c>
      <c r="B891">
        <f>IFERROR(--SUBSTITUTE(SUBSTITUTE(TRIM(INDEX(INDIRECT("'Выгрузка'!A891:Z891"),Настройки!$B$9)),",","."),".",MID(1/2,2,1)),"")</f>
        <v/>
      </c>
      <c r="C891">
        <f>TRIM(INDEX(INDIRECT("'Выгрузка'!A891:Z891"),Настройки!$B$8)&amp;"")</f>
        <v/>
      </c>
      <c r="D891">
        <f>IFERROR(--SUBSTITUTE(SUBSTITUTE(TRIM(INDEX(INDIRECT("'Выгрузка'!A891:Z891"),Настройки!$B$10)),",","."),".",MID(1/2,2,1)),"")</f>
        <v/>
      </c>
      <c r="E891">
        <f>IFERROR(--SUBSTITUTE(SUBSTITUTE(TRIM(INDEX(INDIRECT("'Выгрузка'!A891:Z891"),Настройки!$B$11)),",","."),".",MID(1/2,2,1)),"")</f>
        <v/>
      </c>
      <c r="F891">
        <f>TRIM(INDEX(INDIRECT("'Выгрузка'!A891:Z891"),Настройки!$B$12)&amp;"")</f>
        <v/>
      </c>
      <c r="G891">
        <f>IF(F891="",0,IF(TRIM(INDEX(INDIRECT("'Выгрузка'!A891:Z891"),Настройки!$B$13)&amp;"")="",1,IFERROR(--SUBSTITUTE(SUBSTITUTE(TRIM(INDEX(INDIRECT("'Выгрузка'!A891:Z891"),Настройки!$B$13)),",","."),".",MID(1/2,2,1)),"")))</f>
        <v/>
      </c>
      <c r="H891">
        <f>IF(F891="",0,IF(COUNTIF(Настройки!$B$17:$B$26,F891)&gt;0,1,IF(COUNTIF(Настройки!$C$17:$C$26,F891)&gt;0,2,IF(COUNTIF(Настройки!$D$17:$D$26,F891)&gt;0,3,0))))</f>
        <v/>
      </c>
      <c r="I891">
        <f>IF(AND(ISNUMBER(A891),ISNUMBER(B891)),A891*1000+B891,"")</f>
        <v/>
      </c>
      <c r="J891">
        <f>IF(I891="","",IF(COUNTIF(I$2:I891,I891)=1,MAX(J$1:J890)+1,""))</f>
        <v/>
      </c>
    </row>
    <row r="892">
      <c r="A892">
        <f>IFERROR(--SUBSTITUTE(SUBSTITUTE(TRIM(INDEX(INDIRECT("'Выгрузка'!A892:Z892"),Настройки!$B$7)),",","."),".",MID(1/2,2,1)),"")</f>
        <v/>
      </c>
      <c r="B892">
        <f>IFERROR(--SUBSTITUTE(SUBSTITUTE(TRIM(INDEX(INDIRECT("'Выгрузка'!A892:Z892"),Настройки!$B$9)),",","."),".",MID(1/2,2,1)),"")</f>
        <v/>
      </c>
      <c r="C892">
        <f>TRIM(INDEX(INDIRECT("'Выгрузка'!A892:Z892"),Настройки!$B$8)&amp;"")</f>
        <v/>
      </c>
      <c r="D892">
        <f>IFERROR(--SUBSTITUTE(SUBSTITUTE(TRIM(INDEX(INDIRECT("'Выгрузка'!A892:Z892"),Настройки!$B$10)),",","."),".",MID(1/2,2,1)),"")</f>
        <v/>
      </c>
      <c r="E892">
        <f>IFERROR(--SUBSTITUTE(SUBSTITUTE(TRIM(INDEX(INDIRECT("'Выгрузка'!A892:Z892"),Настройки!$B$11)),",","."),".",MID(1/2,2,1)),"")</f>
        <v/>
      </c>
      <c r="F892">
        <f>TRIM(INDEX(INDIRECT("'Выгрузка'!A892:Z892"),Настройки!$B$12)&amp;"")</f>
        <v/>
      </c>
      <c r="G892">
        <f>IF(F892="",0,IF(TRIM(INDEX(INDIRECT("'Выгрузка'!A892:Z892"),Настройки!$B$13)&amp;"")="",1,IFERROR(--SUBSTITUTE(SUBSTITUTE(TRIM(INDEX(INDIRECT("'Выгрузка'!A892:Z892"),Настройки!$B$13)),",","."),".",MID(1/2,2,1)),"")))</f>
        <v/>
      </c>
      <c r="H892">
        <f>IF(F892="",0,IF(COUNTIF(Настройки!$B$17:$B$26,F892)&gt;0,1,IF(COUNTIF(Настройки!$C$17:$C$26,F892)&gt;0,2,IF(COUNTIF(Настройки!$D$17:$D$26,F892)&gt;0,3,0))))</f>
        <v/>
      </c>
      <c r="I892">
        <f>IF(AND(ISNUMBER(A892),ISNUMBER(B892)),A892*1000+B892,"")</f>
        <v/>
      </c>
      <c r="J892">
        <f>IF(I892="","",IF(COUNTIF(I$2:I892,I892)=1,MAX(J$1:J891)+1,""))</f>
        <v/>
      </c>
    </row>
    <row r="893">
      <c r="A893">
        <f>IFERROR(--SUBSTITUTE(SUBSTITUTE(TRIM(INDEX(INDIRECT("'Выгрузка'!A893:Z893"),Настройки!$B$7)),",","."),".",MID(1/2,2,1)),"")</f>
        <v/>
      </c>
      <c r="B893">
        <f>IFERROR(--SUBSTITUTE(SUBSTITUTE(TRIM(INDEX(INDIRECT("'Выгрузка'!A893:Z893"),Настройки!$B$9)),",","."),".",MID(1/2,2,1)),"")</f>
        <v/>
      </c>
      <c r="C893">
        <f>TRIM(INDEX(INDIRECT("'Выгрузка'!A893:Z893"),Настройки!$B$8)&amp;"")</f>
        <v/>
      </c>
      <c r="D893">
        <f>IFERROR(--SUBSTITUTE(SUBSTITUTE(TRIM(INDEX(INDIRECT("'Выгрузка'!A893:Z893"),Настройки!$B$10)),",","."),".",MID(1/2,2,1)),"")</f>
        <v/>
      </c>
      <c r="E893">
        <f>IFERROR(--SUBSTITUTE(SUBSTITUTE(TRIM(INDEX(INDIRECT("'Выгрузка'!A893:Z893"),Настройки!$B$11)),",","."),".",MID(1/2,2,1)),"")</f>
        <v/>
      </c>
      <c r="F893">
        <f>TRIM(INDEX(INDIRECT("'Выгрузка'!A893:Z893"),Настройки!$B$12)&amp;"")</f>
        <v/>
      </c>
      <c r="G893">
        <f>IF(F893="",0,IF(TRIM(INDEX(INDIRECT("'Выгрузка'!A893:Z893"),Настройки!$B$13)&amp;"")="",1,IFERROR(--SUBSTITUTE(SUBSTITUTE(TRIM(INDEX(INDIRECT("'Выгрузка'!A893:Z893"),Настройки!$B$13)),",","."),".",MID(1/2,2,1)),"")))</f>
        <v/>
      </c>
      <c r="H893">
        <f>IF(F893="",0,IF(COUNTIF(Настройки!$B$17:$B$26,F893)&gt;0,1,IF(COUNTIF(Настройки!$C$17:$C$26,F893)&gt;0,2,IF(COUNTIF(Настройки!$D$17:$D$26,F893)&gt;0,3,0))))</f>
        <v/>
      </c>
      <c r="I893">
        <f>IF(AND(ISNUMBER(A893),ISNUMBER(B893)),A893*1000+B893,"")</f>
        <v/>
      </c>
      <c r="J893">
        <f>IF(I893="","",IF(COUNTIF(I$2:I893,I893)=1,MAX(J$1:J892)+1,""))</f>
        <v/>
      </c>
    </row>
    <row r="894">
      <c r="A894">
        <f>IFERROR(--SUBSTITUTE(SUBSTITUTE(TRIM(INDEX(INDIRECT("'Выгрузка'!A894:Z894"),Настройки!$B$7)),",","."),".",MID(1/2,2,1)),"")</f>
        <v/>
      </c>
      <c r="B894">
        <f>IFERROR(--SUBSTITUTE(SUBSTITUTE(TRIM(INDEX(INDIRECT("'Выгрузка'!A894:Z894"),Настройки!$B$9)),",","."),".",MID(1/2,2,1)),"")</f>
        <v/>
      </c>
      <c r="C894">
        <f>TRIM(INDEX(INDIRECT("'Выгрузка'!A894:Z894"),Настройки!$B$8)&amp;"")</f>
        <v/>
      </c>
      <c r="D894">
        <f>IFERROR(--SUBSTITUTE(SUBSTITUTE(TRIM(INDEX(INDIRECT("'Выгрузка'!A894:Z894"),Настройки!$B$10)),",","."),".",MID(1/2,2,1)),"")</f>
        <v/>
      </c>
      <c r="E894">
        <f>IFERROR(--SUBSTITUTE(SUBSTITUTE(TRIM(INDEX(INDIRECT("'Выгрузка'!A894:Z894"),Настройки!$B$11)),",","."),".",MID(1/2,2,1)),"")</f>
        <v/>
      </c>
      <c r="F894">
        <f>TRIM(INDEX(INDIRECT("'Выгрузка'!A894:Z894"),Настройки!$B$12)&amp;"")</f>
        <v/>
      </c>
      <c r="G894">
        <f>IF(F894="",0,IF(TRIM(INDEX(INDIRECT("'Выгрузка'!A894:Z894"),Настройки!$B$13)&amp;"")="",1,IFERROR(--SUBSTITUTE(SUBSTITUTE(TRIM(INDEX(INDIRECT("'Выгрузка'!A894:Z894"),Настройки!$B$13)),",","."),".",MID(1/2,2,1)),"")))</f>
        <v/>
      </c>
      <c r="H894">
        <f>IF(F894="",0,IF(COUNTIF(Настройки!$B$17:$B$26,F894)&gt;0,1,IF(COUNTIF(Настройки!$C$17:$C$26,F894)&gt;0,2,IF(COUNTIF(Настройки!$D$17:$D$26,F894)&gt;0,3,0))))</f>
        <v/>
      </c>
      <c r="I894">
        <f>IF(AND(ISNUMBER(A894),ISNUMBER(B894)),A894*1000+B894,"")</f>
        <v/>
      </c>
      <c r="J894">
        <f>IF(I894="","",IF(COUNTIF(I$2:I894,I894)=1,MAX(J$1:J893)+1,""))</f>
        <v/>
      </c>
    </row>
    <row r="895">
      <c r="A895">
        <f>IFERROR(--SUBSTITUTE(SUBSTITUTE(TRIM(INDEX(INDIRECT("'Выгрузка'!A895:Z895"),Настройки!$B$7)),",","."),".",MID(1/2,2,1)),"")</f>
        <v/>
      </c>
      <c r="B895">
        <f>IFERROR(--SUBSTITUTE(SUBSTITUTE(TRIM(INDEX(INDIRECT("'Выгрузка'!A895:Z895"),Настройки!$B$9)),",","."),".",MID(1/2,2,1)),"")</f>
        <v/>
      </c>
      <c r="C895">
        <f>TRIM(INDEX(INDIRECT("'Выгрузка'!A895:Z895"),Настройки!$B$8)&amp;"")</f>
        <v/>
      </c>
      <c r="D895">
        <f>IFERROR(--SUBSTITUTE(SUBSTITUTE(TRIM(INDEX(INDIRECT("'Выгрузка'!A895:Z895"),Настройки!$B$10)),",","."),".",MID(1/2,2,1)),"")</f>
        <v/>
      </c>
      <c r="E895">
        <f>IFERROR(--SUBSTITUTE(SUBSTITUTE(TRIM(INDEX(INDIRECT("'Выгрузка'!A895:Z895"),Настройки!$B$11)),",","."),".",MID(1/2,2,1)),"")</f>
        <v/>
      </c>
      <c r="F895">
        <f>TRIM(INDEX(INDIRECT("'Выгрузка'!A895:Z895"),Настройки!$B$12)&amp;"")</f>
        <v/>
      </c>
      <c r="G895">
        <f>IF(F895="",0,IF(TRIM(INDEX(INDIRECT("'Выгрузка'!A895:Z895"),Настройки!$B$13)&amp;"")="",1,IFERROR(--SUBSTITUTE(SUBSTITUTE(TRIM(INDEX(INDIRECT("'Выгрузка'!A895:Z895"),Настройки!$B$13)),",","."),".",MID(1/2,2,1)),"")))</f>
        <v/>
      </c>
      <c r="H895">
        <f>IF(F895="",0,IF(COUNTIF(Настройки!$B$17:$B$26,F895)&gt;0,1,IF(COUNTIF(Настройки!$C$17:$C$26,F895)&gt;0,2,IF(COUNTIF(Настройки!$D$17:$D$26,F895)&gt;0,3,0))))</f>
        <v/>
      </c>
      <c r="I895">
        <f>IF(AND(ISNUMBER(A895),ISNUMBER(B895)),A895*1000+B895,"")</f>
        <v/>
      </c>
      <c r="J895">
        <f>IF(I895="","",IF(COUNTIF(I$2:I895,I895)=1,MAX(J$1:J894)+1,""))</f>
        <v/>
      </c>
    </row>
    <row r="896">
      <c r="A896">
        <f>IFERROR(--SUBSTITUTE(SUBSTITUTE(TRIM(INDEX(INDIRECT("'Выгрузка'!A896:Z896"),Настройки!$B$7)),",","."),".",MID(1/2,2,1)),"")</f>
        <v/>
      </c>
      <c r="B896">
        <f>IFERROR(--SUBSTITUTE(SUBSTITUTE(TRIM(INDEX(INDIRECT("'Выгрузка'!A896:Z896"),Настройки!$B$9)),",","."),".",MID(1/2,2,1)),"")</f>
        <v/>
      </c>
      <c r="C896">
        <f>TRIM(INDEX(INDIRECT("'Выгрузка'!A896:Z896"),Настройки!$B$8)&amp;"")</f>
        <v/>
      </c>
      <c r="D896">
        <f>IFERROR(--SUBSTITUTE(SUBSTITUTE(TRIM(INDEX(INDIRECT("'Выгрузка'!A896:Z896"),Настройки!$B$10)),",","."),".",MID(1/2,2,1)),"")</f>
        <v/>
      </c>
      <c r="E896">
        <f>IFERROR(--SUBSTITUTE(SUBSTITUTE(TRIM(INDEX(INDIRECT("'Выгрузка'!A896:Z896"),Настройки!$B$11)),",","."),".",MID(1/2,2,1)),"")</f>
        <v/>
      </c>
      <c r="F896">
        <f>TRIM(INDEX(INDIRECT("'Выгрузка'!A896:Z896"),Настройки!$B$12)&amp;"")</f>
        <v/>
      </c>
      <c r="G896">
        <f>IF(F896="",0,IF(TRIM(INDEX(INDIRECT("'Выгрузка'!A896:Z896"),Настройки!$B$13)&amp;"")="",1,IFERROR(--SUBSTITUTE(SUBSTITUTE(TRIM(INDEX(INDIRECT("'Выгрузка'!A896:Z896"),Настройки!$B$13)),",","."),".",MID(1/2,2,1)),"")))</f>
        <v/>
      </c>
      <c r="H896">
        <f>IF(F896="",0,IF(COUNTIF(Настройки!$B$17:$B$26,F896)&gt;0,1,IF(COUNTIF(Настройки!$C$17:$C$26,F896)&gt;0,2,IF(COUNTIF(Настройки!$D$17:$D$26,F896)&gt;0,3,0))))</f>
        <v/>
      </c>
      <c r="I896">
        <f>IF(AND(ISNUMBER(A896),ISNUMBER(B896)),A896*1000+B896,"")</f>
        <v/>
      </c>
      <c r="J896">
        <f>IF(I896="","",IF(COUNTIF(I$2:I896,I896)=1,MAX(J$1:J895)+1,""))</f>
        <v/>
      </c>
    </row>
    <row r="897">
      <c r="A897">
        <f>IFERROR(--SUBSTITUTE(SUBSTITUTE(TRIM(INDEX(INDIRECT("'Выгрузка'!A897:Z897"),Настройки!$B$7)),",","."),".",MID(1/2,2,1)),"")</f>
        <v/>
      </c>
      <c r="B897">
        <f>IFERROR(--SUBSTITUTE(SUBSTITUTE(TRIM(INDEX(INDIRECT("'Выгрузка'!A897:Z897"),Настройки!$B$9)),",","."),".",MID(1/2,2,1)),"")</f>
        <v/>
      </c>
      <c r="C897">
        <f>TRIM(INDEX(INDIRECT("'Выгрузка'!A897:Z897"),Настройки!$B$8)&amp;"")</f>
        <v/>
      </c>
      <c r="D897">
        <f>IFERROR(--SUBSTITUTE(SUBSTITUTE(TRIM(INDEX(INDIRECT("'Выгрузка'!A897:Z897"),Настройки!$B$10)),",","."),".",MID(1/2,2,1)),"")</f>
        <v/>
      </c>
      <c r="E897">
        <f>IFERROR(--SUBSTITUTE(SUBSTITUTE(TRIM(INDEX(INDIRECT("'Выгрузка'!A897:Z897"),Настройки!$B$11)),",","."),".",MID(1/2,2,1)),"")</f>
        <v/>
      </c>
      <c r="F897">
        <f>TRIM(INDEX(INDIRECT("'Выгрузка'!A897:Z897"),Настройки!$B$12)&amp;"")</f>
        <v/>
      </c>
      <c r="G897">
        <f>IF(F897="",0,IF(TRIM(INDEX(INDIRECT("'Выгрузка'!A897:Z897"),Настройки!$B$13)&amp;"")="",1,IFERROR(--SUBSTITUTE(SUBSTITUTE(TRIM(INDEX(INDIRECT("'Выгрузка'!A897:Z897"),Настройки!$B$13)),",","."),".",MID(1/2,2,1)),"")))</f>
        <v/>
      </c>
      <c r="H897">
        <f>IF(F897="",0,IF(COUNTIF(Настройки!$B$17:$B$26,F897)&gt;0,1,IF(COUNTIF(Настройки!$C$17:$C$26,F897)&gt;0,2,IF(COUNTIF(Настройки!$D$17:$D$26,F897)&gt;0,3,0))))</f>
        <v/>
      </c>
      <c r="I897">
        <f>IF(AND(ISNUMBER(A897),ISNUMBER(B897)),A897*1000+B897,"")</f>
        <v/>
      </c>
      <c r="J897">
        <f>IF(I897="","",IF(COUNTIF(I$2:I897,I897)=1,MAX(J$1:J896)+1,""))</f>
        <v/>
      </c>
    </row>
    <row r="898">
      <c r="A898">
        <f>IFERROR(--SUBSTITUTE(SUBSTITUTE(TRIM(INDEX(INDIRECT("'Выгрузка'!A898:Z898"),Настройки!$B$7)),",","."),".",MID(1/2,2,1)),"")</f>
        <v/>
      </c>
      <c r="B898">
        <f>IFERROR(--SUBSTITUTE(SUBSTITUTE(TRIM(INDEX(INDIRECT("'Выгрузка'!A898:Z898"),Настройки!$B$9)),",","."),".",MID(1/2,2,1)),"")</f>
        <v/>
      </c>
      <c r="C898">
        <f>TRIM(INDEX(INDIRECT("'Выгрузка'!A898:Z898"),Настройки!$B$8)&amp;"")</f>
        <v/>
      </c>
      <c r="D898">
        <f>IFERROR(--SUBSTITUTE(SUBSTITUTE(TRIM(INDEX(INDIRECT("'Выгрузка'!A898:Z898"),Настройки!$B$10)),",","."),".",MID(1/2,2,1)),"")</f>
        <v/>
      </c>
      <c r="E898">
        <f>IFERROR(--SUBSTITUTE(SUBSTITUTE(TRIM(INDEX(INDIRECT("'Выгрузка'!A898:Z898"),Настройки!$B$11)),",","."),".",MID(1/2,2,1)),"")</f>
        <v/>
      </c>
      <c r="F898">
        <f>TRIM(INDEX(INDIRECT("'Выгрузка'!A898:Z898"),Настройки!$B$12)&amp;"")</f>
        <v/>
      </c>
      <c r="G898">
        <f>IF(F898="",0,IF(TRIM(INDEX(INDIRECT("'Выгрузка'!A898:Z898"),Настройки!$B$13)&amp;"")="",1,IFERROR(--SUBSTITUTE(SUBSTITUTE(TRIM(INDEX(INDIRECT("'Выгрузка'!A898:Z898"),Настройки!$B$13)),",","."),".",MID(1/2,2,1)),"")))</f>
        <v/>
      </c>
      <c r="H898">
        <f>IF(F898="",0,IF(COUNTIF(Настройки!$B$17:$B$26,F898)&gt;0,1,IF(COUNTIF(Настройки!$C$17:$C$26,F898)&gt;0,2,IF(COUNTIF(Настройки!$D$17:$D$26,F898)&gt;0,3,0))))</f>
        <v/>
      </c>
      <c r="I898">
        <f>IF(AND(ISNUMBER(A898),ISNUMBER(B898)),A898*1000+B898,"")</f>
        <v/>
      </c>
      <c r="J898">
        <f>IF(I898="","",IF(COUNTIF(I$2:I898,I898)=1,MAX(J$1:J897)+1,""))</f>
        <v/>
      </c>
    </row>
    <row r="899">
      <c r="A899">
        <f>IFERROR(--SUBSTITUTE(SUBSTITUTE(TRIM(INDEX(INDIRECT("'Выгрузка'!A899:Z899"),Настройки!$B$7)),",","."),".",MID(1/2,2,1)),"")</f>
        <v/>
      </c>
      <c r="B899">
        <f>IFERROR(--SUBSTITUTE(SUBSTITUTE(TRIM(INDEX(INDIRECT("'Выгрузка'!A899:Z899"),Настройки!$B$9)),",","."),".",MID(1/2,2,1)),"")</f>
        <v/>
      </c>
      <c r="C899">
        <f>TRIM(INDEX(INDIRECT("'Выгрузка'!A899:Z899"),Настройки!$B$8)&amp;"")</f>
        <v/>
      </c>
      <c r="D899">
        <f>IFERROR(--SUBSTITUTE(SUBSTITUTE(TRIM(INDEX(INDIRECT("'Выгрузка'!A899:Z899"),Настройки!$B$10)),",","."),".",MID(1/2,2,1)),"")</f>
        <v/>
      </c>
      <c r="E899">
        <f>IFERROR(--SUBSTITUTE(SUBSTITUTE(TRIM(INDEX(INDIRECT("'Выгрузка'!A899:Z899"),Настройки!$B$11)),",","."),".",MID(1/2,2,1)),"")</f>
        <v/>
      </c>
      <c r="F899">
        <f>TRIM(INDEX(INDIRECT("'Выгрузка'!A899:Z899"),Настройки!$B$12)&amp;"")</f>
        <v/>
      </c>
      <c r="G899">
        <f>IF(F899="",0,IF(TRIM(INDEX(INDIRECT("'Выгрузка'!A899:Z899"),Настройки!$B$13)&amp;"")="",1,IFERROR(--SUBSTITUTE(SUBSTITUTE(TRIM(INDEX(INDIRECT("'Выгрузка'!A899:Z899"),Настройки!$B$13)),",","."),".",MID(1/2,2,1)),"")))</f>
        <v/>
      </c>
      <c r="H899">
        <f>IF(F899="",0,IF(COUNTIF(Настройки!$B$17:$B$26,F899)&gt;0,1,IF(COUNTIF(Настройки!$C$17:$C$26,F899)&gt;0,2,IF(COUNTIF(Настройки!$D$17:$D$26,F899)&gt;0,3,0))))</f>
        <v/>
      </c>
      <c r="I899">
        <f>IF(AND(ISNUMBER(A899),ISNUMBER(B899)),A899*1000+B899,"")</f>
        <v/>
      </c>
      <c r="J899">
        <f>IF(I899="","",IF(COUNTIF(I$2:I899,I899)=1,MAX(J$1:J898)+1,""))</f>
        <v/>
      </c>
    </row>
    <row r="900">
      <c r="A900">
        <f>IFERROR(--SUBSTITUTE(SUBSTITUTE(TRIM(INDEX(INDIRECT("'Выгрузка'!A900:Z900"),Настройки!$B$7)),",","."),".",MID(1/2,2,1)),"")</f>
        <v/>
      </c>
      <c r="B900">
        <f>IFERROR(--SUBSTITUTE(SUBSTITUTE(TRIM(INDEX(INDIRECT("'Выгрузка'!A900:Z900"),Настройки!$B$9)),",","."),".",MID(1/2,2,1)),"")</f>
        <v/>
      </c>
      <c r="C900">
        <f>TRIM(INDEX(INDIRECT("'Выгрузка'!A900:Z900"),Настройки!$B$8)&amp;"")</f>
        <v/>
      </c>
      <c r="D900">
        <f>IFERROR(--SUBSTITUTE(SUBSTITUTE(TRIM(INDEX(INDIRECT("'Выгрузка'!A900:Z900"),Настройки!$B$10)),",","."),".",MID(1/2,2,1)),"")</f>
        <v/>
      </c>
      <c r="E900">
        <f>IFERROR(--SUBSTITUTE(SUBSTITUTE(TRIM(INDEX(INDIRECT("'Выгрузка'!A900:Z900"),Настройки!$B$11)),",","."),".",MID(1/2,2,1)),"")</f>
        <v/>
      </c>
      <c r="F900">
        <f>TRIM(INDEX(INDIRECT("'Выгрузка'!A900:Z900"),Настройки!$B$12)&amp;"")</f>
        <v/>
      </c>
      <c r="G900">
        <f>IF(F900="",0,IF(TRIM(INDEX(INDIRECT("'Выгрузка'!A900:Z900"),Настройки!$B$13)&amp;"")="",1,IFERROR(--SUBSTITUTE(SUBSTITUTE(TRIM(INDEX(INDIRECT("'Выгрузка'!A900:Z900"),Настройки!$B$13)),",","."),".",MID(1/2,2,1)),"")))</f>
        <v/>
      </c>
      <c r="H900">
        <f>IF(F900="",0,IF(COUNTIF(Настройки!$B$17:$B$26,F900)&gt;0,1,IF(COUNTIF(Настройки!$C$17:$C$26,F900)&gt;0,2,IF(COUNTIF(Настройки!$D$17:$D$26,F900)&gt;0,3,0))))</f>
        <v/>
      </c>
      <c r="I900">
        <f>IF(AND(ISNUMBER(A900),ISNUMBER(B900)),A900*1000+B900,"")</f>
        <v/>
      </c>
      <c r="J900">
        <f>IF(I900="","",IF(COUNTIF(I$2:I900,I900)=1,MAX(J$1:J899)+1,""))</f>
        <v/>
      </c>
    </row>
    <row r="901">
      <c r="A901">
        <f>IFERROR(--SUBSTITUTE(SUBSTITUTE(TRIM(INDEX(INDIRECT("'Выгрузка'!A901:Z901"),Настройки!$B$7)),",","."),".",MID(1/2,2,1)),"")</f>
        <v/>
      </c>
      <c r="B901">
        <f>IFERROR(--SUBSTITUTE(SUBSTITUTE(TRIM(INDEX(INDIRECT("'Выгрузка'!A901:Z901"),Настройки!$B$9)),",","."),".",MID(1/2,2,1)),"")</f>
        <v/>
      </c>
      <c r="C901">
        <f>TRIM(INDEX(INDIRECT("'Выгрузка'!A901:Z901"),Настройки!$B$8)&amp;"")</f>
        <v/>
      </c>
      <c r="D901">
        <f>IFERROR(--SUBSTITUTE(SUBSTITUTE(TRIM(INDEX(INDIRECT("'Выгрузка'!A901:Z901"),Настройки!$B$10)),",","."),".",MID(1/2,2,1)),"")</f>
        <v/>
      </c>
      <c r="E901">
        <f>IFERROR(--SUBSTITUTE(SUBSTITUTE(TRIM(INDEX(INDIRECT("'Выгрузка'!A901:Z901"),Настройки!$B$11)),",","."),".",MID(1/2,2,1)),"")</f>
        <v/>
      </c>
      <c r="F901">
        <f>TRIM(INDEX(INDIRECT("'Выгрузка'!A901:Z901"),Настройки!$B$12)&amp;"")</f>
        <v/>
      </c>
      <c r="G901">
        <f>IF(F901="",0,IF(TRIM(INDEX(INDIRECT("'Выгрузка'!A901:Z901"),Настройки!$B$13)&amp;"")="",1,IFERROR(--SUBSTITUTE(SUBSTITUTE(TRIM(INDEX(INDIRECT("'Выгрузка'!A901:Z901"),Настройки!$B$13)),",","."),".",MID(1/2,2,1)),"")))</f>
        <v/>
      </c>
      <c r="H901">
        <f>IF(F901="",0,IF(COUNTIF(Настройки!$B$17:$B$26,F901)&gt;0,1,IF(COUNTIF(Настройки!$C$17:$C$26,F901)&gt;0,2,IF(COUNTIF(Настройки!$D$17:$D$26,F901)&gt;0,3,0))))</f>
        <v/>
      </c>
      <c r="I901">
        <f>IF(AND(ISNUMBER(A901),ISNUMBER(B901)),A901*1000+B901,"")</f>
        <v/>
      </c>
      <c r="J901">
        <f>IF(I901="","",IF(COUNTIF(I$2:I901,I901)=1,MAX(J$1:J900)+1,""))</f>
        <v/>
      </c>
    </row>
    <row r="902">
      <c r="A902">
        <f>IFERROR(--SUBSTITUTE(SUBSTITUTE(TRIM(INDEX(INDIRECT("'Выгрузка'!A902:Z902"),Настройки!$B$7)),",","."),".",MID(1/2,2,1)),"")</f>
        <v/>
      </c>
      <c r="B902">
        <f>IFERROR(--SUBSTITUTE(SUBSTITUTE(TRIM(INDEX(INDIRECT("'Выгрузка'!A902:Z902"),Настройки!$B$9)),",","."),".",MID(1/2,2,1)),"")</f>
        <v/>
      </c>
      <c r="C902">
        <f>TRIM(INDEX(INDIRECT("'Выгрузка'!A902:Z902"),Настройки!$B$8)&amp;"")</f>
        <v/>
      </c>
      <c r="D902">
        <f>IFERROR(--SUBSTITUTE(SUBSTITUTE(TRIM(INDEX(INDIRECT("'Выгрузка'!A902:Z902"),Настройки!$B$10)),",","."),".",MID(1/2,2,1)),"")</f>
        <v/>
      </c>
      <c r="E902">
        <f>IFERROR(--SUBSTITUTE(SUBSTITUTE(TRIM(INDEX(INDIRECT("'Выгрузка'!A902:Z902"),Настройки!$B$11)),",","."),".",MID(1/2,2,1)),"")</f>
        <v/>
      </c>
      <c r="F902">
        <f>TRIM(INDEX(INDIRECT("'Выгрузка'!A902:Z902"),Настройки!$B$12)&amp;"")</f>
        <v/>
      </c>
      <c r="G902">
        <f>IF(F902="",0,IF(TRIM(INDEX(INDIRECT("'Выгрузка'!A902:Z902"),Настройки!$B$13)&amp;"")="",1,IFERROR(--SUBSTITUTE(SUBSTITUTE(TRIM(INDEX(INDIRECT("'Выгрузка'!A902:Z902"),Настройки!$B$13)),",","."),".",MID(1/2,2,1)),"")))</f>
        <v/>
      </c>
      <c r="H902">
        <f>IF(F902="",0,IF(COUNTIF(Настройки!$B$17:$B$26,F902)&gt;0,1,IF(COUNTIF(Настройки!$C$17:$C$26,F902)&gt;0,2,IF(COUNTIF(Настройки!$D$17:$D$26,F902)&gt;0,3,0))))</f>
        <v/>
      </c>
      <c r="I902">
        <f>IF(AND(ISNUMBER(A902),ISNUMBER(B902)),A902*1000+B902,"")</f>
        <v/>
      </c>
      <c r="J902">
        <f>IF(I902="","",IF(COUNTIF(I$2:I902,I902)=1,MAX(J$1:J901)+1,""))</f>
        <v/>
      </c>
    </row>
    <row r="903">
      <c r="A903">
        <f>IFERROR(--SUBSTITUTE(SUBSTITUTE(TRIM(INDEX(INDIRECT("'Выгрузка'!A903:Z903"),Настройки!$B$7)),",","."),".",MID(1/2,2,1)),"")</f>
        <v/>
      </c>
      <c r="B903">
        <f>IFERROR(--SUBSTITUTE(SUBSTITUTE(TRIM(INDEX(INDIRECT("'Выгрузка'!A903:Z903"),Настройки!$B$9)),",","."),".",MID(1/2,2,1)),"")</f>
        <v/>
      </c>
      <c r="C903">
        <f>TRIM(INDEX(INDIRECT("'Выгрузка'!A903:Z903"),Настройки!$B$8)&amp;"")</f>
        <v/>
      </c>
      <c r="D903">
        <f>IFERROR(--SUBSTITUTE(SUBSTITUTE(TRIM(INDEX(INDIRECT("'Выгрузка'!A903:Z903"),Настройки!$B$10)),",","."),".",MID(1/2,2,1)),"")</f>
        <v/>
      </c>
      <c r="E903">
        <f>IFERROR(--SUBSTITUTE(SUBSTITUTE(TRIM(INDEX(INDIRECT("'Выгрузка'!A903:Z903"),Настройки!$B$11)),",","."),".",MID(1/2,2,1)),"")</f>
        <v/>
      </c>
      <c r="F903">
        <f>TRIM(INDEX(INDIRECT("'Выгрузка'!A903:Z903"),Настройки!$B$12)&amp;"")</f>
        <v/>
      </c>
      <c r="G903">
        <f>IF(F903="",0,IF(TRIM(INDEX(INDIRECT("'Выгрузка'!A903:Z903"),Настройки!$B$13)&amp;"")="",1,IFERROR(--SUBSTITUTE(SUBSTITUTE(TRIM(INDEX(INDIRECT("'Выгрузка'!A903:Z903"),Настройки!$B$13)),",","."),".",MID(1/2,2,1)),"")))</f>
        <v/>
      </c>
      <c r="H903">
        <f>IF(F903="",0,IF(COUNTIF(Настройки!$B$17:$B$26,F903)&gt;0,1,IF(COUNTIF(Настройки!$C$17:$C$26,F903)&gt;0,2,IF(COUNTIF(Настройки!$D$17:$D$26,F903)&gt;0,3,0))))</f>
        <v/>
      </c>
      <c r="I903">
        <f>IF(AND(ISNUMBER(A903),ISNUMBER(B903)),A903*1000+B903,"")</f>
        <v/>
      </c>
      <c r="J903">
        <f>IF(I903="","",IF(COUNTIF(I$2:I903,I903)=1,MAX(J$1:J902)+1,""))</f>
        <v/>
      </c>
    </row>
    <row r="904">
      <c r="A904">
        <f>IFERROR(--SUBSTITUTE(SUBSTITUTE(TRIM(INDEX(INDIRECT("'Выгрузка'!A904:Z904"),Настройки!$B$7)),",","."),".",MID(1/2,2,1)),"")</f>
        <v/>
      </c>
      <c r="B904">
        <f>IFERROR(--SUBSTITUTE(SUBSTITUTE(TRIM(INDEX(INDIRECT("'Выгрузка'!A904:Z904"),Настройки!$B$9)),",","."),".",MID(1/2,2,1)),"")</f>
        <v/>
      </c>
      <c r="C904">
        <f>TRIM(INDEX(INDIRECT("'Выгрузка'!A904:Z904"),Настройки!$B$8)&amp;"")</f>
        <v/>
      </c>
      <c r="D904">
        <f>IFERROR(--SUBSTITUTE(SUBSTITUTE(TRIM(INDEX(INDIRECT("'Выгрузка'!A904:Z904"),Настройки!$B$10)),",","."),".",MID(1/2,2,1)),"")</f>
        <v/>
      </c>
      <c r="E904">
        <f>IFERROR(--SUBSTITUTE(SUBSTITUTE(TRIM(INDEX(INDIRECT("'Выгрузка'!A904:Z904"),Настройки!$B$11)),",","."),".",MID(1/2,2,1)),"")</f>
        <v/>
      </c>
      <c r="F904">
        <f>TRIM(INDEX(INDIRECT("'Выгрузка'!A904:Z904"),Настройки!$B$12)&amp;"")</f>
        <v/>
      </c>
      <c r="G904">
        <f>IF(F904="",0,IF(TRIM(INDEX(INDIRECT("'Выгрузка'!A904:Z904"),Настройки!$B$13)&amp;"")="",1,IFERROR(--SUBSTITUTE(SUBSTITUTE(TRIM(INDEX(INDIRECT("'Выгрузка'!A904:Z904"),Настройки!$B$13)),",","."),".",MID(1/2,2,1)),"")))</f>
        <v/>
      </c>
      <c r="H904">
        <f>IF(F904="",0,IF(COUNTIF(Настройки!$B$17:$B$26,F904)&gt;0,1,IF(COUNTIF(Настройки!$C$17:$C$26,F904)&gt;0,2,IF(COUNTIF(Настройки!$D$17:$D$26,F904)&gt;0,3,0))))</f>
        <v/>
      </c>
      <c r="I904">
        <f>IF(AND(ISNUMBER(A904),ISNUMBER(B904)),A904*1000+B904,"")</f>
        <v/>
      </c>
      <c r="J904">
        <f>IF(I904="","",IF(COUNTIF(I$2:I904,I904)=1,MAX(J$1:J903)+1,""))</f>
        <v/>
      </c>
    </row>
    <row r="905">
      <c r="A905">
        <f>IFERROR(--SUBSTITUTE(SUBSTITUTE(TRIM(INDEX(INDIRECT("'Выгрузка'!A905:Z905"),Настройки!$B$7)),",","."),".",MID(1/2,2,1)),"")</f>
        <v/>
      </c>
      <c r="B905">
        <f>IFERROR(--SUBSTITUTE(SUBSTITUTE(TRIM(INDEX(INDIRECT("'Выгрузка'!A905:Z905"),Настройки!$B$9)),",","."),".",MID(1/2,2,1)),"")</f>
        <v/>
      </c>
      <c r="C905">
        <f>TRIM(INDEX(INDIRECT("'Выгрузка'!A905:Z905"),Настройки!$B$8)&amp;"")</f>
        <v/>
      </c>
      <c r="D905">
        <f>IFERROR(--SUBSTITUTE(SUBSTITUTE(TRIM(INDEX(INDIRECT("'Выгрузка'!A905:Z905"),Настройки!$B$10)),",","."),".",MID(1/2,2,1)),"")</f>
        <v/>
      </c>
      <c r="E905">
        <f>IFERROR(--SUBSTITUTE(SUBSTITUTE(TRIM(INDEX(INDIRECT("'Выгрузка'!A905:Z905"),Настройки!$B$11)),",","."),".",MID(1/2,2,1)),"")</f>
        <v/>
      </c>
      <c r="F905">
        <f>TRIM(INDEX(INDIRECT("'Выгрузка'!A905:Z905"),Настройки!$B$12)&amp;"")</f>
        <v/>
      </c>
      <c r="G905">
        <f>IF(F905="",0,IF(TRIM(INDEX(INDIRECT("'Выгрузка'!A905:Z905"),Настройки!$B$13)&amp;"")="",1,IFERROR(--SUBSTITUTE(SUBSTITUTE(TRIM(INDEX(INDIRECT("'Выгрузка'!A905:Z905"),Настройки!$B$13)),",","."),".",MID(1/2,2,1)),"")))</f>
        <v/>
      </c>
      <c r="H905">
        <f>IF(F905="",0,IF(COUNTIF(Настройки!$B$17:$B$26,F905)&gt;0,1,IF(COUNTIF(Настройки!$C$17:$C$26,F905)&gt;0,2,IF(COUNTIF(Настройки!$D$17:$D$26,F905)&gt;0,3,0))))</f>
        <v/>
      </c>
      <c r="I905">
        <f>IF(AND(ISNUMBER(A905),ISNUMBER(B905)),A905*1000+B905,"")</f>
        <v/>
      </c>
      <c r="J905">
        <f>IF(I905="","",IF(COUNTIF(I$2:I905,I905)=1,MAX(J$1:J904)+1,""))</f>
        <v/>
      </c>
    </row>
    <row r="906">
      <c r="A906">
        <f>IFERROR(--SUBSTITUTE(SUBSTITUTE(TRIM(INDEX(INDIRECT("'Выгрузка'!A906:Z906"),Настройки!$B$7)),",","."),".",MID(1/2,2,1)),"")</f>
        <v/>
      </c>
      <c r="B906">
        <f>IFERROR(--SUBSTITUTE(SUBSTITUTE(TRIM(INDEX(INDIRECT("'Выгрузка'!A906:Z906"),Настройки!$B$9)),",","."),".",MID(1/2,2,1)),"")</f>
        <v/>
      </c>
      <c r="C906">
        <f>TRIM(INDEX(INDIRECT("'Выгрузка'!A906:Z906"),Настройки!$B$8)&amp;"")</f>
        <v/>
      </c>
      <c r="D906">
        <f>IFERROR(--SUBSTITUTE(SUBSTITUTE(TRIM(INDEX(INDIRECT("'Выгрузка'!A906:Z906"),Настройки!$B$10)),",","."),".",MID(1/2,2,1)),"")</f>
        <v/>
      </c>
      <c r="E906">
        <f>IFERROR(--SUBSTITUTE(SUBSTITUTE(TRIM(INDEX(INDIRECT("'Выгрузка'!A906:Z906"),Настройки!$B$11)),",","."),".",MID(1/2,2,1)),"")</f>
        <v/>
      </c>
      <c r="F906">
        <f>TRIM(INDEX(INDIRECT("'Выгрузка'!A906:Z906"),Настройки!$B$12)&amp;"")</f>
        <v/>
      </c>
      <c r="G906">
        <f>IF(F906="",0,IF(TRIM(INDEX(INDIRECT("'Выгрузка'!A906:Z906"),Настройки!$B$13)&amp;"")="",1,IFERROR(--SUBSTITUTE(SUBSTITUTE(TRIM(INDEX(INDIRECT("'Выгрузка'!A906:Z906"),Настройки!$B$13)),",","."),".",MID(1/2,2,1)),"")))</f>
        <v/>
      </c>
      <c r="H906">
        <f>IF(F906="",0,IF(COUNTIF(Настройки!$B$17:$B$26,F906)&gt;0,1,IF(COUNTIF(Настройки!$C$17:$C$26,F906)&gt;0,2,IF(COUNTIF(Настройки!$D$17:$D$26,F906)&gt;0,3,0))))</f>
        <v/>
      </c>
      <c r="I906">
        <f>IF(AND(ISNUMBER(A906),ISNUMBER(B906)),A906*1000+B906,"")</f>
        <v/>
      </c>
      <c r="J906">
        <f>IF(I906="","",IF(COUNTIF(I$2:I906,I906)=1,MAX(J$1:J905)+1,""))</f>
        <v/>
      </c>
    </row>
    <row r="907">
      <c r="A907">
        <f>IFERROR(--SUBSTITUTE(SUBSTITUTE(TRIM(INDEX(INDIRECT("'Выгрузка'!A907:Z907"),Настройки!$B$7)),",","."),".",MID(1/2,2,1)),"")</f>
        <v/>
      </c>
      <c r="B907">
        <f>IFERROR(--SUBSTITUTE(SUBSTITUTE(TRIM(INDEX(INDIRECT("'Выгрузка'!A907:Z907"),Настройки!$B$9)),",","."),".",MID(1/2,2,1)),"")</f>
        <v/>
      </c>
      <c r="C907">
        <f>TRIM(INDEX(INDIRECT("'Выгрузка'!A907:Z907"),Настройки!$B$8)&amp;"")</f>
        <v/>
      </c>
      <c r="D907">
        <f>IFERROR(--SUBSTITUTE(SUBSTITUTE(TRIM(INDEX(INDIRECT("'Выгрузка'!A907:Z907"),Настройки!$B$10)),",","."),".",MID(1/2,2,1)),"")</f>
        <v/>
      </c>
      <c r="E907">
        <f>IFERROR(--SUBSTITUTE(SUBSTITUTE(TRIM(INDEX(INDIRECT("'Выгрузка'!A907:Z907"),Настройки!$B$11)),",","."),".",MID(1/2,2,1)),"")</f>
        <v/>
      </c>
      <c r="F907">
        <f>TRIM(INDEX(INDIRECT("'Выгрузка'!A907:Z907"),Настройки!$B$12)&amp;"")</f>
        <v/>
      </c>
      <c r="G907">
        <f>IF(F907="",0,IF(TRIM(INDEX(INDIRECT("'Выгрузка'!A907:Z907"),Настройки!$B$13)&amp;"")="",1,IFERROR(--SUBSTITUTE(SUBSTITUTE(TRIM(INDEX(INDIRECT("'Выгрузка'!A907:Z907"),Настройки!$B$13)),",","."),".",MID(1/2,2,1)),"")))</f>
        <v/>
      </c>
      <c r="H907">
        <f>IF(F907="",0,IF(COUNTIF(Настройки!$B$17:$B$26,F907)&gt;0,1,IF(COUNTIF(Настройки!$C$17:$C$26,F907)&gt;0,2,IF(COUNTIF(Настройки!$D$17:$D$26,F907)&gt;0,3,0))))</f>
        <v/>
      </c>
      <c r="I907">
        <f>IF(AND(ISNUMBER(A907),ISNUMBER(B907)),A907*1000+B907,"")</f>
        <v/>
      </c>
      <c r="J907">
        <f>IF(I907="","",IF(COUNTIF(I$2:I907,I907)=1,MAX(J$1:J906)+1,""))</f>
        <v/>
      </c>
    </row>
    <row r="908">
      <c r="A908">
        <f>IFERROR(--SUBSTITUTE(SUBSTITUTE(TRIM(INDEX(INDIRECT("'Выгрузка'!A908:Z908"),Настройки!$B$7)),",","."),".",MID(1/2,2,1)),"")</f>
        <v/>
      </c>
      <c r="B908">
        <f>IFERROR(--SUBSTITUTE(SUBSTITUTE(TRIM(INDEX(INDIRECT("'Выгрузка'!A908:Z908"),Настройки!$B$9)),",","."),".",MID(1/2,2,1)),"")</f>
        <v/>
      </c>
      <c r="C908">
        <f>TRIM(INDEX(INDIRECT("'Выгрузка'!A908:Z908"),Настройки!$B$8)&amp;"")</f>
        <v/>
      </c>
      <c r="D908">
        <f>IFERROR(--SUBSTITUTE(SUBSTITUTE(TRIM(INDEX(INDIRECT("'Выгрузка'!A908:Z908"),Настройки!$B$10)),",","."),".",MID(1/2,2,1)),"")</f>
        <v/>
      </c>
      <c r="E908">
        <f>IFERROR(--SUBSTITUTE(SUBSTITUTE(TRIM(INDEX(INDIRECT("'Выгрузка'!A908:Z908"),Настройки!$B$11)),",","."),".",MID(1/2,2,1)),"")</f>
        <v/>
      </c>
      <c r="F908">
        <f>TRIM(INDEX(INDIRECT("'Выгрузка'!A908:Z908"),Настройки!$B$12)&amp;"")</f>
        <v/>
      </c>
      <c r="G908">
        <f>IF(F908="",0,IF(TRIM(INDEX(INDIRECT("'Выгрузка'!A908:Z908"),Настройки!$B$13)&amp;"")="",1,IFERROR(--SUBSTITUTE(SUBSTITUTE(TRIM(INDEX(INDIRECT("'Выгрузка'!A908:Z908"),Настройки!$B$13)),",","."),".",MID(1/2,2,1)),"")))</f>
        <v/>
      </c>
      <c r="H908">
        <f>IF(F908="",0,IF(COUNTIF(Настройки!$B$17:$B$26,F908)&gt;0,1,IF(COUNTIF(Настройки!$C$17:$C$26,F908)&gt;0,2,IF(COUNTIF(Настройки!$D$17:$D$26,F908)&gt;0,3,0))))</f>
        <v/>
      </c>
      <c r="I908">
        <f>IF(AND(ISNUMBER(A908),ISNUMBER(B908)),A908*1000+B908,"")</f>
        <v/>
      </c>
      <c r="J908">
        <f>IF(I908="","",IF(COUNTIF(I$2:I908,I908)=1,MAX(J$1:J907)+1,""))</f>
        <v/>
      </c>
    </row>
    <row r="909">
      <c r="A909">
        <f>IFERROR(--SUBSTITUTE(SUBSTITUTE(TRIM(INDEX(INDIRECT("'Выгрузка'!A909:Z909"),Настройки!$B$7)),",","."),".",MID(1/2,2,1)),"")</f>
        <v/>
      </c>
      <c r="B909">
        <f>IFERROR(--SUBSTITUTE(SUBSTITUTE(TRIM(INDEX(INDIRECT("'Выгрузка'!A909:Z909"),Настройки!$B$9)),",","."),".",MID(1/2,2,1)),"")</f>
        <v/>
      </c>
      <c r="C909">
        <f>TRIM(INDEX(INDIRECT("'Выгрузка'!A909:Z909"),Настройки!$B$8)&amp;"")</f>
        <v/>
      </c>
      <c r="D909">
        <f>IFERROR(--SUBSTITUTE(SUBSTITUTE(TRIM(INDEX(INDIRECT("'Выгрузка'!A909:Z909"),Настройки!$B$10)),",","."),".",MID(1/2,2,1)),"")</f>
        <v/>
      </c>
      <c r="E909">
        <f>IFERROR(--SUBSTITUTE(SUBSTITUTE(TRIM(INDEX(INDIRECT("'Выгрузка'!A909:Z909"),Настройки!$B$11)),",","."),".",MID(1/2,2,1)),"")</f>
        <v/>
      </c>
      <c r="F909">
        <f>TRIM(INDEX(INDIRECT("'Выгрузка'!A909:Z909"),Настройки!$B$12)&amp;"")</f>
        <v/>
      </c>
      <c r="G909">
        <f>IF(F909="",0,IF(TRIM(INDEX(INDIRECT("'Выгрузка'!A909:Z909"),Настройки!$B$13)&amp;"")="",1,IFERROR(--SUBSTITUTE(SUBSTITUTE(TRIM(INDEX(INDIRECT("'Выгрузка'!A909:Z909"),Настройки!$B$13)),",","."),".",MID(1/2,2,1)),"")))</f>
        <v/>
      </c>
      <c r="H909">
        <f>IF(F909="",0,IF(COUNTIF(Настройки!$B$17:$B$26,F909)&gt;0,1,IF(COUNTIF(Настройки!$C$17:$C$26,F909)&gt;0,2,IF(COUNTIF(Настройки!$D$17:$D$26,F909)&gt;0,3,0))))</f>
        <v/>
      </c>
      <c r="I909">
        <f>IF(AND(ISNUMBER(A909),ISNUMBER(B909)),A909*1000+B909,"")</f>
        <v/>
      </c>
      <c r="J909">
        <f>IF(I909="","",IF(COUNTIF(I$2:I909,I909)=1,MAX(J$1:J908)+1,""))</f>
        <v/>
      </c>
    </row>
    <row r="910">
      <c r="A910">
        <f>IFERROR(--SUBSTITUTE(SUBSTITUTE(TRIM(INDEX(INDIRECT("'Выгрузка'!A910:Z910"),Настройки!$B$7)),",","."),".",MID(1/2,2,1)),"")</f>
        <v/>
      </c>
      <c r="B910">
        <f>IFERROR(--SUBSTITUTE(SUBSTITUTE(TRIM(INDEX(INDIRECT("'Выгрузка'!A910:Z910"),Настройки!$B$9)),",","."),".",MID(1/2,2,1)),"")</f>
        <v/>
      </c>
      <c r="C910">
        <f>TRIM(INDEX(INDIRECT("'Выгрузка'!A910:Z910"),Настройки!$B$8)&amp;"")</f>
        <v/>
      </c>
      <c r="D910">
        <f>IFERROR(--SUBSTITUTE(SUBSTITUTE(TRIM(INDEX(INDIRECT("'Выгрузка'!A910:Z910"),Настройки!$B$10)),",","."),".",MID(1/2,2,1)),"")</f>
        <v/>
      </c>
      <c r="E910">
        <f>IFERROR(--SUBSTITUTE(SUBSTITUTE(TRIM(INDEX(INDIRECT("'Выгрузка'!A910:Z910"),Настройки!$B$11)),",","."),".",MID(1/2,2,1)),"")</f>
        <v/>
      </c>
      <c r="F910">
        <f>TRIM(INDEX(INDIRECT("'Выгрузка'!A910:Z910"),Настройки!$B$12)&amp;"")</f>
        <v/>
      </c>
      <c r="G910">
        <f>IF(F910="",0,IF(TRIM(INDEX(INDIRECT("'Выгрузка'!A910:Z910"),Настройки!$B$13)&amp;"")="",1,IFERROR(--SUBSTITUTE(SUBSTITUTE(TRIM(INDEX(INDIRECT("'Выгрузка'!A910:Z910"),Настройки!$B$13)),",","."),".",MID(1/2,2,1)),"")))</f>
        <v/>
      </c>
      <c r="H910">
        <f>IF(F910="",0,IF(COUNTIF(Настройки!$B$17:$B$26,F910)&gt;0,1,IF(COUNTIF(Настройки!$C$17:$C$26,F910)&gt;0,2,IF(COUNTIF(Настройки!$D$17:$D$26,F910)&gt;0,3,0))))</f>
        <v/>
      </c>
      <c r="I910">
        <f>IF(AND(ISNUMBER(A910),ISNUMBER(B910)),A910*1000+B910,"")</f>
        <v/>
      </c>
      <c r="J910">
        <f>IF(I910="","",IF(COUNTIF(I$2:I910,I910)=1,MAX(J$1:J909)+1,""))</f>
        <v/>
      </c>
    </row>
    <row r="911">
      <c r="A911">
        <f>IFERROR(--SUBSTITUTE(SUBSTITUTE(TRIM(INDEX(INDIRECT("'Выгрузка'!A911:Z911"),Настройки!$B$7)),",","."),".",MID(1/2,2,1)),"")</f>
        <v/>
      </c>
      <c r="B911">
        <f>IFERROR(--SUBSTITUTE(SUBSTITUTE(TRIM(INDEX(INDIRECT("'Выгрузка'!A911:Z911"),Настройки!$B$9)),",","."),".",MID(1/2,2,1)),"")</f>
        <v/>
      </c>
      <c r="C911">
        <f>TRIM(INDEX(INDIRECT("'Выгрузка'!A911:Z911"),Настройки!$B$8)&amp;"")</f>
        <v/>
      </c>
      <c r="D911">
        <f>IFERROR(--SUBSTITUTE(SUBSTITUTE(TRIM(INDEX(INDIRECT("'Выгрузка'!A911:Z911"),Настройки!$B$10)),",","."),".",MID(1/2,2,1)),"")</f>
        <v/>
      </c>
      <c r="E911">
        <f>IFERROR(--SUBSTITUTE(SUBSTITUTE(TRIM(INDEX(INDIRECT("'Выгрузка'!A911:Z911"),Настройки!$B$11)),",","."),".",MID(1/2,2,1)),"")</f>
        <v/>
      </c>
      <c r="F911">
        <f>TRIM(INDEX(INDIRECT("'Выгрузка'!A911:Z911"),Настройки!$B$12)&amp;"")</f>
        <v/>
      </c>
      <c r="G911">
        <f>IF(F911="",0,IF(TRIM(INDEX(INDIRECT("'Выгрузка'!A911:Z911"),Настройки!$B$13)&amp;"")="",1,IFERROR(--SUBSTITUTE(SUBSTITUTE(TRIM(INDEX(INDIRECT("'Выгрузка'!A911:Z911"),Настройки!$B$13)),",","."),".",MID(1/2,2,1)),"")))</f>
        <v/>
      </c>
      <c r="H911">
        <f>IF(F911="",0,IF(COUNTIF(Настройки!$B$17:$B$26,F911)&gt;0,1,IF(COUNTIF(Настройки!$C$17:$C$26,F911)&gt;0,2,IF(COUNTIF(Настройки!$D$17:$D$26,F911)&gt;0,3,0))))</f>
        <v/>
      </c>
      <c r="I911">
        <f>IF(AND(ISNUMBER(A911),ISNUMBER(B911)),A911*1000+B911,"")</f>
        <v/>
      </c>
      <c r="J911">
        <f>IF(I911="","",IF(COUNTIF(I$2:I911,I911)=1,MAX(J$1:J910)+1,""))</f>
        <v/>
      </c>
    </row>
    <row r="912">
      <c r="A912">
        <f>IFERROR(--SUBSTITUTE(SUBSTITUTE(TRIM(INDEX(INDIRECT("'Выгрузка'!A912:Z912"),Настройки!$B$7)),",","."),".",MID(1/2,2,1)),"")</f>
        <v/>
      </c>
      <c r="B912">
        <f>IFERROR(--SUBSTITUTE(SUBSTITUTE(TRIM(INDEX(INDIRECT("'Выгрузка'!A912:Z912"),Настройки!$B$9)),",","."),".",MID(1/2,2,1)),"")</f>
        <v/>
      </c>
      <c r="C912">
        <f>TRIM(INDEX(INDIRECT("'Выгрузка'!A912:Z912"),Настройки!$B$8)&amp;"")</f>
        <v/>
      </c>
      <c r="D912">
        <f>IFERROR(--SUBSTITUTE(SUBSTITUTE(TRIM(INDEX(INDIRECT("'Выгрузка'!A912:Z912"),Настройки!$B$10)),",","."),".",MID(1/2,2,1)),"")</f>
        <v/>
      </c>
      <c r="E912">
        <f>IFERROR(--SUBSTITUTE(SUBSTITUTE(TRIM(INDEX(INDIRECT("'Выгрузка'!A912:Z912"),Настройки!$B$11)),",","."),".",MID(1/2,2,1)),"")</f>
        <v/>
      </c>
      <c r="F912">
        <f>TRIM(INDEX(INDIRECT("'Выгрузка'!A912:Z912"),Настройки!$B$12)&amp;"")</f>
        <v/>
      </c>
      <c r="G912">
        <f>IF(F912="",0,IF(TRIM(INDEX(INDIRECT("'Выгрузка'!A912:Z912"),Настройки!$B$13)&amp;"")="",1,IFERROR(--SUBSTITUTE(SUBSTITUTE(TRIM(INDEX(INDIRECT("'Выгрузка'!A912:Z912"),Настройки!$B$13)),",","."),".",MID(1/2,2,1)),"")))</f>
        <v/>
      </c>
      <c r="H912">
        <f>IF(F912="",0,IF(COUNTIF(Настройки!$B$17:$B$26,F912)&gt;0,1,IF(COUNTIF(Настройки!$C$17:$C$26,F912)&gt;0,2,IF(COUNTIF(Настройки!$D$17:$D$26,F912)&gt;0,3,0))))</f>
        <v/>
      </c>
      <c r="I912">
        <f>IF(AND(ISNUMBER(A912),ISNUMBER(B912)),A912*1000+B912,"")</f>
        <v/>
      </c>
      <c r="J912">
        <f>IF(I912="","",IF(COUNTIF(I$2:I912,I912)=1,MAX(J$1:J911)+1,""))</f>
        <v/>
      </c>
    </row>
    <row r="913">
      <c r="A913">
        <f>IFERROR(--SUBSTITUTE(SUBSTITUTE(TRIM(INDEX(INDIRECT("'Выгрузка'!A913:Z913"),Настройки!$B$7)),",","."),".",MID(1/2,2,1)),"")</f>
        <v/>
      </c>
      <c r="B913">
        <f>IFERROR(--SUBSTITUTE(SUBSTITUTE(TRIM(INDEX(INDIRECT("'Выгрузка'!A913:Z913"),Настройки!$B$9)),",","."),".",MID(1/2,2,1)),"")</f>
        <v/>
      </c>
      <c r="C913">
        <f>TRIM(INDEX(INDIRECT("'Выгрузка'!A913:Z913"),Настройки!$B$8)&amp;"")</f>
        <v/>
      </c>
      <c r="D913">
        <f>IFERROR(--SUBSTITUTE(SUBSTITUTE(TRIM(INDEX(INDIRECT("'Выгрузка'!A913:Z913"),Настройки!$B$10)),",","."),".",MID(1/2,2,1)),"")</f>
        <v/>
      </c>
      <c r="E913">
        <f>IFERROR(--SUBSTITUTE(SUBSTITUTE(TRIM(INDEX(INDIRECT("'Выгрузка'!A913:Z913"),Настройки!$B$11)),",","."),".",MID(1/2,2,1)),"")</f>
        <v/>
      </c>
      <c r="F913">
        <f>TRIM(INDEX(INDIRECT("'Выгрузка'!A913:Z913"),Настройки!$B$12)&amp;"")</f>
        <v/>
      </c>
      <c r="G913">
        <f>IF(F913="",0,IF(TRIM(INDEX(INDIRECT("'Выгрузка'!A913:Z913"),Настройки!$B$13)&amp;"")="",1,IFERROR(--SUBSTITUTE(SUBSTITUTE(TRIM(INDEX(INDIRECT("'Выгрузка'!A913:Z913"),Настройки!$B$13)),",","."),".",MID(1/2,2,1)),"")))</f>
        <v/>
      </c>
      <c r="H913">
        <f>IF(F913="",0,IF(COUNTIF(Настройки!$B$17:$B$26,F913)&gt;0,1,IF(COUNTIF(Настройки!$C$17:$C$26,F913)&gt;0,2,IF(COUNTIF(Настройки!$D$17:$D$26,F913)&gt;0,3,0))))</f>
        <v/>
      </c>
      <c r="I913">
        <f>IF(AND(ISNUMBER(A913),ISNUMBER(B913)),A913*1000+B913,"")</f>
        <v/>
      </c>
      <c r="J913">
        <f>IF(I913="","",IF(COUNTIF(I$2:I913,I913)=1,MAX(J$1:J912)+1,""))</f>
        <v/>
      </c>
    </row>
    <row r="914">
      <c r="A914">
        <f>IFERROR(--SUBSTITUTE(SUBSTITUTE(TRIM(INDEX(INDIRECT("'Выгрузка'!A914:Z914"),Настройки!$B$7)),",","."),".",MID(1/2,2,1)),"")</f>
        <v/>
      </c>
      <c r="B914">
        <f>IFERROR(--SUBSTITUTE(SUBSTITUTE(TRIM(INDEX(INDIRECT("'Выгрузка'!A914:Z914"),Настройки!$B$9)),",","."),".",MID(1/2,2,1)),"")</f>
        <v/>
      </c>
      <c r="C914">
        <f>TRIM(INDEX(INDIRECT("'Выгрузка'!A914:Z914"),Настройки!$B$8)&amp;"")</f>
        <v/>
      </c>
      <c r="D914">
        <f>IFERROR(--SUBSTITUTE(SUBSTITUTE(TRIM(INDEX(INDIRECT("'Выгрузка'!A914:Z914"),Настройки!$B$10)),",","."),".",MID(1/2,2,1)),"")</f>
        <v/>
      </c>
      <c r="E914">
        <f>IFERROR(--SUBSTITUTE(SUBSTITUTE(TRIM(INDEX(INDIRECT("'Выгрузка'!A914:Z914"),Настройки!$B$11)),",","."),".",MID(1/2,2,1)),"")</f>
        <v/>
      </c>
      <c r="F914">
        <f>TRIM(INDEX(INDIRECT("'Выгрузка'!A914:Z914"),Настройки!$B$12)&amp;"")</f>
        <v/>
      </c>
      <c r="G914">
        <f>IF(F914="",0,IF(TRIM(INDEX(INDIRECT("'Выгрузка'!A914:Z914"),Настройки!$B$13)&amp;"")="",1,IFERROR(--SUBSTITUTE(SUBSTITUTE(TRIM(INDEX(INDIRECT("'Выгрузка'!A914:Z914"),Настройки!$B$13)),",","."),".",MID(1/2,2,1)),"")))</f>
        <v/>
      </c>
      <c r="H914">
        <f>IF(F914="",0,IF(COUNTIF(Настройки!$B$17:$B$26,F914)&gt;0,1,IF(COUNTIF(Настройки!$C$17:$C$26,F914)&gt;0,2,IF(COUNTIF(Настройки!$D$17:$D$26,F914)&gt;0,3,0))))</f>
        <v/>
      </c>
      <c r="I914">
        <f>IF(AND(ISNUMBER(A914),ISNUMBER(B914)),A914*1000+B914,"")</f>
        <v/>
      </c>
      <c r="J914">
        <f>IF(I914="","",IF(COUNTIF(I$2:I914,I914)=1,MAX(J$1:J913)+1,""))</f>
        <v/>
      </c>
    </row>
    <row r="915">
      <c r="A915">
        <f>IFERROR(--SUBSTITUTE(SUBSTITUTE(TRIM(INDEX(INDIRECT("'Выгрузка'!A915:Z915"),Настройки!$B$7)),",","."),".",MID(1/2,2,1)),"")</f>
        <v/>
      </c>
      <c r="B915">
        <f>IFERROR(--SUBSTITUTE(SUBSTITUTE(TRIM(INDEX(INDIRECT("'Выгрузка'!A915:Z915"),Настройки!$B$9)),",","."),".",MID(1/2,2,1)),"")</f>
        <v/>
      </c>
      <c r="C915">
        <f>TRIM(INDEX(INDIRECT("'Выгрузка'!A915:Z915"),Настройки!$B$8)&amp;"")</f>
        <v/>
      </c>
      <c r="D915">
        <f>IFERROR(--SUBSTITUTE(SUBSTITUTE(TRIM(INDEX(INDIRECT("'Выгрузка'!A915:Z915"),Настройки!$B$10)),",","."),".",MID(1/2,2,1)),"")</f>
        <v/>
      </c>
      <c r="E915">
        <f>IFERROR(--SUBSTITUTE(SUBSTITUTE(TRIM(INDEX(INDIRECT("'Выгрузка'!A915:Z915"),Настройки!$B$11)),",","."),".",MID(1/2,2,1)),"")</f>
        <v/>
      </c>
      <c r="F915">
        <f>TRIM(INDEX(INDIRECT("'Выгрузка'!A915:Z915"),Настройки!$B$12)&amp;"")</f>
        <v/>
      </c>
      <c r="G915">
        <f>IF(F915="",0,IF(TRIM(INDEX(INDIRECT("'Выгрузка'!A915:Z915"),Настройки!$B$13)&amp;"")="",1,IFERROR(--SUBSTITUTE(SUBSTITUTE(TRIM(INDEX(INDIRECT("'Выгрузка'!A915:Z915"),Настройки!$B$13)),",","."),".",MID(1/2,2,1)),"")))</f>
        <v/>
      </c>
      <c r="H915">
        <f>IF(F915="",0,IF(COUNTIF(Настройки!$B$17:$B$26,F915)&gt;0,1,IF(COUNTIF(Настройки!$C$17:$C$26,F915)&gt;0,2,IF(COUNTIF(Настройки!$D$17:$D$26,F915)&gt;0,3,0))))</f>
        <v/>
      </c>
      <c r="I915">
        <f>IF(AND(ISNUMBER(A915),ISNUMBER(B915)),A915*1000+B915,"")</f>
        <v/>
      </c>
      <c r="J915">
        <f>IF(I915="","",IF(COUNTIF(I$2:I915,I915)=1,MAX(J$1:J914)+1,""))</f>
        <v/>
      </c>
    </row>
    <row r="916">
      <c r="A916">
        <f>IFERROR(--SUBSTITUTE(SUBSTITUTE(TRIM(INDEX(INDIRECT("'Выгрузка'!A916:Z916"),Настройки!$B$7)),",","."),".",MID(1/2,2,1)),"")</f>
        <v/>
      </c>
      <c r="B916">
        <f>IFERROR(--SUBSTITUTE(SUBSTITUTE(TRIM(INDEX(INDIRECT("'Выгрузка'!A916:Z916"),Настройки!$B$9)),",","."),".",MID(1/2,2,1)),"")</f>
        <v/>
      </c>
      <c r="C916">
        <f>TRIM(INDEX(INDIRECT("'Выгрузка'!A916:Z916"),Настройки!$B$8)&amp;"")</f>
        <v/>
      </c>
      <c r="D916">
        <f>IFERROR(--SUBSTITUTE(SUBSTITUTE(TRIM(INDEX(INDIRECT("'Выгрузка'!A916:Z916"),Настройки!$B$10)),",","."),".",MID(1/2,2,1)),"")</f>
        <v/>
      </c>
      <c r="E916">
        <f>IFERROR(--SUBSTITUTE(SUBSTITUTE(TRIM(INDEX(INDIRECT("'Выгрузка'!A916:Z916"),Настройки!$B$11)),",","."),".",MID(1/2,2,1)),"")</f>
        <v/>
      </c>
      <c r="F916">
        <f>TRIM(INDEX(INDIRECT("'Выгрузка'!A916:Z916"),Настройки!$B$12)&amp;"")</f>
        <v/>
      </c>
      <c r="G916">
        <f>IF(F916="",0,IF(TRIM(INDEX(INDIRECT("'Выгрузка'!A916:Z916"),Настройки!$B$13)&amp;"")="",1,IFERROR(--SUBSTITUTE(SUBSTITUTE(TRIM(INDEX(INDIRECT("'Выгрузка'!A916:Z916"),Настройки!$B$13)),",","."),".",MID(1/2,2,1)),"")))</f>
        <v/>
      </c>
      <c r="H916">
        <f>IF(F916="",0,IF(COUNTIF(Настройки!$B$17:$B$26,F916)&gt;0,1,IF(COUNTIF(Настройки!$C$17:$C$26,F916)&gt;0,2,IF(COUNTIF(Настройки!$D$17:$D$26,F916)&gt;0,3,0))))</f>
        <v/>
      </c>
      <c r="I916">
        <f>IF(AND(ISNUMBER(A916),ISNUMBER(B916)),A916*1000+B916,"")</f>
        <v/>
      </c>
      <c r="J916">
        <f>IF(I916="","",IF(COUNTIF(I$2:I916,I916)=1,MAX(J$1:J915)+1,""))</f>
        <v/>
      </c>
    </row>
    <row r="917">
      <c r="A917">
        <f>IFERROR(--SUBSTITUTE(SUBSTITUTE(TRIM(INDEX(INDIRECT("'Выгрузка'!A917:Z917"),Настройки!$B$7)),",","."),".",MID(1/2,2,1)),"")</f>
        <v/>
      </c>
      <c r="B917">
        <f>IFERROR(--SUBSTITUTE(SUBSTITUTE(TRIM(INDEX(INDIRECT("'Выгрузка'!A917:Z917"),Настройки!$B$9)),",","."),".",MID(1/2,2,1)),"")</f>
        <v/>
      </c>
      <c r="C917">
        <f>TRIM(INDEX(INDIRECT("'Выгрузка'!A917:Z917"),Настройки!$B$8)&amp;"")</f>
        <v/>
      </c>
      <c r="D917">
        <f>IFERROR(--SUBSTITUTE(SUBSTITUTE(TRIM(INDEX(INDIRECT("'Выгрузка'!A917:Z917"),Настройки!$B$10)),",","."),".",MID(1/2,2,1)),"")</f>
        <v/>
      </c>
      <c r="E917">
        <f>IFERROR(--SUBSTITUTE(SUBSTITUTE(TRIM(INDEX(INDIRECT("'Выгрузка'!A917:Z917"),Настройки!$B$11)),",","."),".",MID(1/2,2,1)),"")</f>
        <v/>
      </c>
      <c r="F917">
        <f>TRIM(INDEX(INDIRECT("'Выгрузка'!A917:Z917"),Настройки!$B$12)&amp;"")</f>
        <v/>
      </c>
      <c r="G917">
        <f>IF(F917="",0,IF(TRIM(INDEX(INDIRECT("'Выгрузка'!A917:Z917"),Настройки!$B$13)&amp;"")="",1,IFERROR(--SUBSTITUTE(SUBSTITUTE(TRIM(INDEX(INDIRECT("'Выгрузка'!A917:Z917"),Настройки!$B$13)),",","."),".",MID(1/2,2,1)),"")))</f>
        <v/>
      </c>
      <c r="H917">
        <f>IF(F917="",0,IF(COUNTIF(Настройки!$B$17:$B$26,F917)&gt;0,1,IF(COUNTIF(Настройки!$C$17:$C$26,F917)&gt;0,2,IF(COUNTIF(Настройки!$D$17:$D$26,F917)&gt;0,3,0))))</f>
        <v/>
      </c>
      <c r="I917">
        <f>IF(AND(ISNUMBER(A917),ISNUMBER(B917)),A917*1000+B917,"")</f>
        <v/>
      </c>
      <c r="J917">
        <f>IF(I917="","",IF(COUNTIF(I$2:I917,I917)=1,MAX(J$1:J916)+1,""))</f>
        <v/>
      </c>
    </row>
    <row r="918">
      <c r="A918">
        <f>IFERROR(--SUBSTITUTE(SUBSTITUTE(TRIM(INDEX(INDIRECT("'Выгрузка'!A918:Z918"),Настройки!$B$7)),",","."),".",MID(1/2,2,1)),"")</f>
        <v/>
      </c>
      <c r="B918">
        <f>IFERROR(--SUBSTITUTE(SUBSTITUTE(TRIM(INDEX(INDIRECT("'Выгрузка'!A918:Z918"),Настройки!$B$9)),",","."),".",MID(1/2,2,1)),"")</f>
        <v/>
      </c>
      <c r="C918">
        <f>TRIM(INDEX(INDIRECT("'Выгрузка'!A918:Z918"),Настройки!$B$8)&amp;"")</f>
        <v/>
      </c>
      <c r="D918">
        <f>IFERROR(--SUBSTITUTE(SUBSTITUTE(TRIM(INDEX(INDIRECT("'Выгрузка'!A918:Z918"),Настройки!$B$10)),",","."),".",MID(1/2,2,1)),"")</f>
        <v/>
      </c>
      <c r="E918">
        <f>IFERROR(--SUBSTITUTE(SUBSTITUTE(TRIM(INDEX(INDIRECT("'Выгрузка'!A918:Z918"),Настройки!$B$11)),",","."),".",MID(1/2,2,1)),"")</f>
        <v/>
      </c>
      <c r="F918">
        <f>TRIM(INDEX(INDIRECT("'Выгрузка'!A918:Z918"),Настройки!$B$12)&amp;"")</f>
        <v/>
      </c>
      <c r="G918">
        <f>IF(F918="",0,IF(TRIM(INDEX(INDIRECT("'Выгрузка'!A918:Z918"),Настройки!$B$13)&amp;"")="",1,IFERROR(--SUBSTITUTE(SUBSTITUTE(TRIM(INDEX(INDIRECT("'Выгрузка'!A918:Z918"),Настройки!$B$13)),",","."),".",MID(1/2,2,1)),"")))</f>
        <v/>
      </c>
      <c r="H918">
        <f>IF(F918="",0,IF(COUNTIF(Настройки!$B$17:$B$26,F918)&gt;0,1,IF(COUNTIF(Настройки!$C$17:$C$26,F918)&gt;0,2,IF(COUNTIF(Настройки!$D$17:$D$26,F918)&gt;0,3,0))))</f>
        <v/>
      </c>
      <c r="I918">
        <f>IF(AND(ISNUMBER(A918),ISNUMBER(B918)),A918*1000+B918,"")</f>
        <v/>
      </c>
      <c r="J918">
        <f>IF(I918="","",IF(COUNTIF(I$2:I918,I918)=1,MAX(J$1:J917)+1,""))</f>
        <v/>
      </c>
    </row>
    <row r="919">
      <c r="A919">
        <f>IFERROR(--SUBSTITUTE(SUBSTITUTE(TRIM(INDEX(INDIRECT("'Выгрузка'!A919:Z919"),Настройки!$B$7)),",","."),".",MID(1/2,2,1)),"")</f>
        <v/>
      </c>
      <c r="B919">
        <f>IFERROR(--SUBSTITUTE(SUBSTITUTE(TRIM(INDEX(INDIRECT("'Выгрузка'!A919:Z919"),Настройки!$B$9)),",","."),".",MID(1/2,2,1)),"")</f>
        <v/>
      </c>
      <c r="C919">
        <f>TRIM(INDEX(INDIRECT("'Выгрузка'!A919:Z919"),Настройки!$B$8)&amp;"")</f>
        <v/>
      </c>
      <c r="D919">
        <f>IFERROR(--SUBSTITUTE(SUBSTITUTE(TRIM(INDEX(INDIRECT("'Выгрузка'!A919:Z919"),Настройки!$B$10)),",","."),".",MID(1/2,2,1)),"")</f>
        <v/>
      </c>
      <c r="E919">
        <f>IFERROR(--SUBSTITUTE(SUBSTITUTE(TRIM(INDEX(INDIRECT("'Выгрузка'!A919:Z919"),Настройки!$B$11)),",","."),".",MID(1/2,2,1)),"")</f>
        <v/>
      </c>
      <c r="F919">
        <f>TRIM(INDEX(INDIRECT("'Выгрузка'!A919:Z919"),Настройки!$B$12)&amp;"")</f>
        <v/>
      </c>
      <c r="G919">
        <f>IF(F919="",0,IF(TRIM(INDEX(INDIRECT("'Выгрузка'!A919:Z919"),Настройки!$B$13)&amp;"")="",1,IFERROR(--SUBSTITUTE(SUBSTITUTE(TRIM(INDEX(INDIRECT("'Выгрузка'!A919:Z919"),Настройки!$B$13)),",","."),".",MID(1/2,2,1)),"")))</f>
        <v/>
      </c>
      <c r="H919">
        <f>IF(F919="",0,IF(COUNTIF(Настройки!$B$17:$B$26,F919)&gt;0,1,IF(COUNTIF(Настройки!$C$17:$C$26,F919)&gt;0,2,IF(COUNTIF(Настройки!$D$17:$D$26,F919)&gt;0,3,0))))</f>
        <v/>
      </c>
      <c r="I919">
        <f>IF(AND(ISNUMBER(A919),ISNUMBER(B919)),A919*1000+B919,"")</f>
        <v/>
      </c>
      <c r="J919">
        <f>IF(I919="","",IF(COUNTIF(I$2:I919,I919)=1,MAX(J$1:J918)+1,""))</f>
        <v/>
      </c>
    </row>
    <row r="920">
      <c r="A920">
        <f>IFERROR(--SUBSTITUTE(SUBSTITUTE(TRIM(INDEX(INDIRECT("'Выгрузка'!A920:Z920"),Настройки!$B$7)),",","."),".",MID(1/2,2,1)),"")</f>
        <v/>
      </c>
      <c r="B920">
        <f>IFERROR(--SUBSTITUTE(SUBSTITUTE(TRIM(INDEX(INDIRECT("'Выгрузка'!A920:Z920"),Настройки!$B$9)),",","."),".",MID(1/2,2,1)),"")</f>
        <v/>
      </c>
      <c r="C920">
        <f>TRIM(INDEX(INDIRECT("'Выгрузка'!A920:Z920"),Настройки!$B$8)&amp;"")</f>
        <v/>
      </c>
      <c r="D920">
        <f>IFERROR(--SUBSTITUTE(SUBSTITUTE(TRIM(INDEX(INDIRECT("'Выгрузка'!A920:Z920"),Настройки!$B$10)),",","."),".",MID(1/2,2,1)),"")</f>
        <v/>
      </c>
      <c r="E920">
        <f>IFERROR(--SUBSTITUTE(SUBSTITUTE(TRIM(INDEX(INDIRECT("'Выгрузка'!A920:Z920"),Настройки!$B$11)),",","."),".",MID(1/2,2,1)),"")</f>
        <v/>
      </c>
      <c r="F920">
        <f>TRIM(INDEX(INDIRECT("'Выгрузка'!A920:Z920"),Настройки!$B$12)&amp;"")</f>
        <v/>
      </c>
      <c r="G920">
        <f>IF(F920="",0,IF(TRIM(INDEX(INDIRECT("'Выгрузка'!A920:Z920"),Настройки!$B$13)&amp;"")="",1,IFERROR(--SUBSTITUTE(SUBSTITUTE(TRIM(INDEX(INDIRECT("'Выгрузка'!A920:Z920"),Настройки!$B$13)),",","."),".",MID(1/2,2,1)),"")))</f>
        <v/>
      </c>
      <c r="H920">
        <f>IF(F920="",0,IF(COUNTIF(Настройки!$B$17:$B$26,F920)&gt;0,1,IF(COUNTIF(Настройки!$C$17:$C$26,F920)&gt;0,2,IF(COUNTIF(Настройки!$D$17:$D$26,F920)&gt;0,3,0))))</f>
        <v/>
      </c>
      <c r="I920">
        <f>IF(AND(ISNUMBER(A920),ISNUMBER(B920)),A920*1000+B920,"")</f>
        <v/>
      </c>
      <c r="J920">
        <f>IF(I920="","",IF(COUNTIF(I$2:I920,I920)=1,MAX(J$1:J919)+1,""))</f>
        <v/>
      </c>
    </row>
    <row r="921">
      <c r="A921">
        <f>IFERROR(--SUBSTITUTE(SUBSTITUTE(TRIM(INDEX(INDIRECT("'Выгрузка'!A921:Z921"),Настройки!$B$7)),",","."),".",MID(1/2,2,1)),"")</f>
        <v/>
      </c>
      <c r="B921">
        <f>IFERROR(--SUBSTITUTE(SUBSTITUTE(TRIM(INDEX(INDIRECT("'Выгрузка'!A921:Z921"),Настройки!$B$9)),",","."),".",MID(1/2,2,1)),"")</f>
        <v/>
      </c>
      <c r="C921">
        <f>TRIM(INDEX(INDIRECT("'Выгрузка'!A921:Z921"),Настройки!$B$8)&amp;"")</f>
        <v/>
      </c>
      <c r="D921">
        <f>IFERROR(--SUBSTITUTE(SUBSTITUTE(TRIM(INDEX(INDIRECT("'Выгрузка'!A921:Z921"),Настройки!$B$10)),",","."),".",MID(1/2,2,1)),"")</f>
        <v/>
      </c>
      <c r="E921">
        <f>IFERROR(--SUBSTITUTE(SUBSTITUTE(TRIM(INDEX(INDIRECT("'Выгрузка'!A921:Z921"),Настройки!$B$11)),",","."),".",MID(1/2,2,1)),"")</f>
        <v/>
      </c>
      <c r="F921">
        <f>TRIM(INDEX(INDIRECT("'Выгрузка'!A921:Z921"),Настройки!$B$12)&amp;"")</f>
        <v/>
      </c>
      <c r="G921">
        <f>IF(F921="",0,IF(TRIM(INDEX(INDIRECT("'Выгрузка'!A921:Z921"),Настройки!$B$13)&amp;"")="",1,IFERROR(--SUBSTITUTE(SUBSTITUTE(TRIM(INDEX(INDIRECT("'Выгрузка'!A921:Z921"),Настройки!$B$13)),",","."),".",MID(1/2,2,1)),"")))</f>
        <v/>
      </c>
      <c r="H921">
        <f>IF(F921="",0,IF(COUNTIF(Настройки!$B$17:$B$26,F921)&gt;0,1,IF(COUNTIF(Настройки!$C$17:$C$26,F921)&gt;0,2,IF(COUNTIF(Настройки!$D$17:$D$26,F921)&gt;0,3,0))))</f>
        <v/>
      </c>
      <c r="I921">
        <f>IF(AND(ISNUMBER(A921),ISNUMBER(B921)),A921*1000+B921,"")</f>
        <v/>
      </c>
      <c r="J921">
        <f>IF(I921="","",IF(COUNTIF(I$2:I921,I921)=1,MAX(J$1:J920)+1,""))</f>
        <v/>
      </c>
    </row>
    <row r="922">
      <c r="A922">
        <f>IFERROR(--SUBSTITUTE(SUBSTITUTE(TRIM(INDEX(INDIRECT("'Выгрузка'!A922:Z922"),Настройки!$B$7)),",","."),".",MID(1/2,2,1)),"")</f>
        <v/>
      </c>
      <c r="B922">
        <f>IFERROR(--SUBSTITUTE(SUBSTITUTE(TRIM(INDEX(INDIRECT("'Выгрузка'!A922:Z922"),Настройки!$B$9)),",","."),".",MID(1/2,2,1)),"")</f>
        <v/>
      </c>
      <c r="C922">
        <f>TRIM(INDEX(INDIRECT("'Выгрузка'!A922:Z922"),Настройки!$B$8)&amp;"")</f>
        <v/>
      </c>
      <c r="D922">
        <f>IFERROR(--SUBSTITUTE(SUBSTITUTE(TRIM(INDEX(INDIRECT("'Выгрузка'!A922:Z922"),Настройки!$B$10)),",","."),".",MID(1/2,2,1)),"")</f>
        <v/>
      </c>
      <c r="E922">
        <f>IFERROR(--SUBSTITUTE(SUBSTITUTE(TRIM(INDEX(INDIRECT("'Выгрузка'!A922:Z922"),Настройки!$B$11)),",","."),".",MID(1/2,2,1)),"")</f>
        <v/>
      </c>
      <c r="F922">
        <f>TRIM(INDEX(INDIRECT("'Выгрузка'!A922:Z922"),Настройки!$B$12)&amp;"")</f>
        <v/>
      </c>
      <c r="G922">
        <f>IF(F922="",0,IF(TRIM(INDEX(INDIRECT("'Выгрузка'!A922:Z922"),Настройки!$B$13)&amp;"")="",1,IFERROR(--SUBSTITUTE(SUBSTITUTE(TRIM(INDEX(INDIRECT("'Выгрузка'!A922:Z922"),Настройки!$B$13)),",","."),".",MID(1/2,2,1)),"")))</f>
        <v/>
      </c>
      <c r="H922">
        <f>IF(F922="",0,IF(COUNTIF(Настройки!$B$17:$B$26,F922)&gt;0,1,IF(COUNTIF(Настройки!$C$17:$C$26,F922)&gt;0,2,IF(COUNTIF(Настройки!$D$17:$D$26,F922)&gt;0,3,0))))</f>
        <v/>
      </c>
      <c r="I922">
        <f>IF(AND(ISNUMBER(A922),ISNUMBER(B922)),A922*1000+B922,"")</f>
        <v/>
      </c>
      <c r="J922">
        <f>IF(I922="","",IF(COUNTIF(I$2:I922,I922)=1,MAX(J$1:J921)+1,""))</f>
        <v/>
      </c>
    </row>
    <row r="923">
      <c r="A923">
        <f>IFERROR(--SUBSTITUTE(SUBSTITUTE(TRIM(INDEX(INDIRECT("'Выгрузка'!A923:Z923"),Настройки!$B$7)),",","."),".",MID(1/2,2,1)),"")</f>
        <v/>
      </c>
      <c r="B923">
        <f>IFERROR(--SUBSTITUTE(SUBSTITUTE(TRIM(INDEX(INDIRECT("'Выгрузка'!A923:Z923"),Настройки!$B$9)),",","."),".",MID(1/2,2,1)),"")</f>
        <v/>
      </c>
      <c r="C923">
        <f>TRIM(INDEX(INDIRECT("'Выгрузка'!A923:Z923"),Настройки!$B$8)&amp;"")</f>
        <v/>
      </c>
      <c r="D923">
        <f>IFERROR(--SUBSTITUTE(SUBSTITUTE(TRIM(INDEX(INDIRECT("'Выгрузка'!A923:Z923"),Настройки!$B$10)),",","."),".",MID(1/2,2,1)),"")</f>
        <v/>
      </c>
      <c r="E923">
        <f>IFERROR(--SUBSTITUTE(SUBSTITUTE(TRIM(INDEX(INDIRECT("'Выгрузка'!A923:Z923"),Настройки!$B$11)),",","."),".",MID(1/2,2,1)),"")</f>
        <v/>
      </c>
      <c r="F923">
        <f>TRIM(INDEX(INDIRECT("'Выгрузка'!A923:Z923"),Настройки!$B$12)&amp;"")</f>
        <v/>
      </c>
      <c r="G923">
        <f>IF(F923="",0,IF(TRIM(INDEX(INDIRECT("'Выгрузка'!A923:Z923"),Настройки!$B$13)&amp;"")="",1,IFERROR(--SUBSTITUTE(SUBSTITUTE(TRIM(INDEX(INDIRECT("'Выгрузка'!A923:Z923"),Настройки!$B$13)),",","."),".",MID(1/2,2,1)),"")))</f>
        <v/>
      </c>
      <c r="H923">
        <f>IF(F923="",0,IF(COUNTIF(Настройки!$B$17:$B$26,F923)&gt;0,1,IF(COUNTIF(Настройки!$C$17:$C$26,F923)&gt;0,2,IF(COUNTIF(Настройки!$D$17:$D$26,F923)&gt;0,3,0))))</f>
        <v/>
      </c>
      <c r="I923">
        <f>IF(AND(ISNUMBER(A923),ISNUMBER(B923)),A923*1000+B923,"")</f>
        <v/>
      </c>
      <c r="J923">
        <f>IF(I923="","",IF(COUNTIF(I$2:I923,I923)=1,MAX(J$1:J922)+1,""))</f>
        <v/>
      </c>
    </row>
    <row r="924">
      <c r="A924">
        <f>IFERROR(--SUBSTITUTE(SUBSTITUTE(TRIM(INDEX(INDIRECT("'Выгрузка'!A924:Z924"),Настройки!$B$7)),",","."),".",MID(1/2,2,1)),"")</f>
        <v/>
      </c>
      <c r="B924">
        <f>IFERROR(--SUBSTITUTE(SUBSTITUTE(TRIM(INDEX(INDIRECT("'Выгрузка'!A924:Z924"),Настройки!$B$9)),",","."),".",MID(1/2,2,1)),"")</f>
        <v/>
      </c>
      <c r="C924">
        <f>TRIM(INDEX(INDIRECT("'Выгрузка'!A924:Z924"),Настройки!$B$8)&amp;"")</f>
        <v/>
      </c>
      <c r="D924">
        <f>IFERROR(--SUBSTITUTE(SUBSTITUTE(TRIM(INDEX(INDIRECT("'Выгрузка'!A924:Z924"),Настройки!$B$10)),",","."),".",MID(1/2,2,1)),"")</f>
        <v/>
      </c>
      <c r="E924">
        <f>IFERROR(--SUBSTITUTE(SUBSTITUTE(TRIM(INDEX(INDIRECT("'Выгрузка'!A924:Z924"),Настройки!$B$11)),",","."),".",MID(1/2,2,1)),"")</f>
        <v/>
      </c>
      <c r="F924">
        <f>TRIM(INDEX(INDIRECT("'Выгрузка'!A924:Z924"),Настройки!$B$12)&amp;"")</f>
        <v/>
      </c>
      <c r="G924">
        <f>IF(F924="",0,IF(TRIM(INDEX(INDIRECT("'Выгрузка'!A924:Z924"),Настройки!$B$13)&amp;"")="",1,IFERROR(--SUBSTITUTE(SUBSTITUTE(TRIM(INDEX(INDIRECT("'Выгрузка'!A924:Z924"),Настройки!$B$13)),",","."),".",MID(1/2,2,1)),"")))</f>
        <v/>
      </c>
      <c r="H924">
        <f>IF(F924="",0,IF(COUNTIF(Настройки!$B$17:$B$26,F924)&gt;0,1,IF(COUNTIF(Настройки!$C$17:$C$26,F924)&gt;0,2,IF(COUNTIF(Настройки!$D$17:$D$26,F924)&gt;0,3,0))))</f>
        <v/>
      </c>
      <c r="I924">
        <f>IF(AND(ISNUMBER(A924),ISNUMBER(B924)),A924*1000+B924,"")</f>
        <v/>
      </c>
      <c r="J924">
        <f>IF(I924="","",IF(COUNTIF(I$2:I924,I924)=1,MAX(J$1:J923)+1,""))</f>
        <v/>
      </c>
    </row>
    <row r="925">
      <c r="A925">
        <f>IFERROR(--SUBSTITUTE(SUBSTITUTE(TRIM(INDEX(INDIRECT("'Выгрузка'!A925:Z925"),Настройки!$B$7)),",","."),".",MID(1/2,2,1)),"")</f>
        <v/>
      </c>
      <c r="B925">
        <f>IFERROR(--SUBSTITUTE(SUBSTITUTE(TRIM(INDEX(INDIRECT("'Выгрузка'!A925:Z925"),Настройки!$B$9)),",","."),".",MID(1/2,2,1)),"")</f>
        <v/>
      </c>
      <c r="C925">
        <f>TRIM(INDEX(INDIRECT("'Выгрузка'!A925:Z925"),Настройки!$B$8)&amp;"")</f>
        <v/>
      </c>
      <c r="D925">
        <f>IFERROR(--SUBSTITUTE(SUBSTITUTE(TRIM(INDEX(INDIRECT("'Выгрузка'!A925:Z925"),Настройки!$B$10)),",","."),".",MID(1/2,2,1)),"")</f>
        <v/>
      </c>
      <c r="E925">
        <f>IFERROR(--SUBSTITUTE(SUBSTITUTE(TRIM(INDEX(INDIRECT("'Выгрузка'!A925:Z925"),Настройки!$B$11)),",","."),".",MID(1/2,2,1)),"")</f>
        <v/>
      </c>
      <c r="F925">
        <f>TRIM(INDEX(INDIRECT("'Выгрузка'!A925:Z925"),Настройки!$B$12)&amp;"")</f>
        <v/>
      </c>
      <c r="G925">
        <f>IF(F925="",0,IF(TRIM(INDEX(INDIRECT("'Выгрузка'!A925:Z925"),Настройки!$B$13)&amp;"")="",1,IFERROR(--SUBSTITUTE(SUBSTITUTE(TRIM(INDEX(INDIRECT("'Выгрузка'!A925:Z925"),Настройки!$B$13)),",","."),".",MID(1/2,2,1)),"")))</f>
        <v/>
      </c>
      <c r="H925">
        <f>IF(F925="",0,IF(COUNTIF(Настройки!$B$17:$B$26,F925)&gt;0,1,IF(COUNTIF(Настройки!$C$17:$C$26,F925)&gt;0,2,IF(COUNTIF(Настройки!$D$17:$D$26,F925)&gt;0,3,0))))</f>
        <v/>
      </c>
      <c r="I925">
        <f>IF(AND(ISNUMBER(A925),ISNUMBER(B925)),A925*1000+B925,"")</f>
        <v/>
      </c>
      <c r="J925">
        <f>IF(I925="","",IF(COUNTIF(I$2:I925,I925)=1,MAX(J$1:J924)+1,""))</f>
        <v/>
      </c>
    </row>
    <row r="926">
      <c r="A926">
        <f>IFERROR(--SUBSTITUTE(SUBSTITUTE(TRIM(INDEX(INDIRECT("'Выгрузка'!A926:Z926"),Настройки!$B$7)),",","."),".",MID(1/2,2,1)),"")</f>
        <v/>
      </c>
      <c r="B926">
        <f>IFERROR(--SUBSTITUTE(SUBSTITUTE(TRIM(INDEX(INDIRECT("'Выгрузка'!A926:Z926"),Настройки!$B$9)),",","."),".",MID(1/2,2,1)),"")</f>
        <v/>
      </c>
      <c r="C926">
        <f>TRIM(INDEX(INDIRECT("'Выгрузка'!A926:Z926"),Настройки!$B$8)&amp;"")</f>
        <v/>
      </c>
      <c r="D926">
        <f>IFERROR(--SUBSTITUTE(SUBSTITUTE(TRIM(INDEX(INDIRECT("'Выгрузка'!A926:Z926"),Настройки!$B$10)),",","."),".",MID(1/2,2,1)),"")</f>
        <v/>
      </c>
      <c r="E926">
        <f>IFERROR(--SUBSTITUTE(SUBSTITUTE(TRIM(INDEX(INDIRECT("'Выгрузка'!A926:Z926"),Настройки!$B$11)),",","."),".",MID(1/2,2,1)),"")</f>
        <v/>
      </c>
      <c r="F926">
        <f>TRIM(INDEX(INDIRECT("'Выгрузка'!A926:Z926"),Настройки!$B$12)&amp;"")</f>
        <v/>
      </c>
      <c r="G926">
        <f>IF(F926="",0,IF(TRIM(INDEX(INDIRECT("'Выгрузка'!A926:Z926"),Настройки!$B$13)&amp;"")="",1,IFERROR(--SUBSTITUTE(SUBSTITUTE(TRIM(INDEX(INDIRECT("'Выгрузка'!A926:Z926"),Настройки!$B$13)),",","."),".",MID(1/2,2,1)),"")))</f>
        <v/>
      </c>
      <c r="H926">
        <f>IF(F926="",0,IF(COUNTIF(Настройки!$B$17:$B$26,F926)&gt;0,1,IF(COUNTIF(Настройки!$C$17:$C$26,F926)&gt;0,2,IF(COUNTIF(Настройки!$D$17:$D$26,F926)&gt;0,3,0))))</f>
        <v/>
      </c>
      <c r="I926">
        <f>IF(AND(ISNUMBER(A926),ISNUMBER(B926)),A926*1000+B926,"")</f>
        <v/>
      </c>
      <c r="J926">
        <f>IF(I926="","",IF(COUNTIF(I$2:I926,I926)=1,MAX(J$1:J925)+1,""))</f>
        <v/>
      </c>
    </row>
    <row r="927">
      <c r="A927">
        <f>IFERROR(--SUBSTITUTE(SUBSTITUTE(TRIM(INDEX(INDIRECT("'Выгрузка'!A927:Z927"),Настройки!$B$7)),",","."),".",MID(1/2,2,1)),"")</f>
        <v/>
      </c>
      <c r="B927">
        <f>IFERROR(--SUBSTITUTE(SUBSTITUTE(TRIM(INDEX(INDIRECT("'Выгрузка'!A927:Z927"),Настройки!$B$9)),",","."),".",MID(1/2,2,1)),"")</f>
        <v/>
      </c>
      <c r="C927">
        <f>TRIM(INDEX(INDIRECT("'Выгрузка'!A927:Z927"),Настройки!$B$8)&amp;"")</f>
        <v/>
      </c>
      <c r="D927">
        <f>IFERROR(--SUBSTITUTE(SUBSTITUTE(TRIM(INDEX(INDIRECT("'Выгрузка'!A927:Z927"),Настройки!$B$10)),",","."),".",MID(1/2,2,1)),"")</f>
        <v/>
      </c>
      <c r="E927">
        <f>IFERROR(--SUBSTITUTE(SUBSTITUTE(TRIM(INDEX(INDIRECT("'Выгрузка'!A927:Z927"),Настройки!$B$11)),",","."),".",MID(1/2,2,1)),"")</f>
        <v/>
      </c>
      <c r="F927">
        <f>TRIM(INDEX(INDIRECT("'Выгрузка'!A927:Z927"),Настройки!$B$12)&amp;"")</f>
        <v/>
      </c>
      <c r="G927">
        <f>IF(F927="",0,IF(TRIM(INDEX(INDIRECT("'Выгрузка'!A927:Z927"),Настройки!$B$13)&amp;"")="",1,IFERROR(--SUBSTITUTE(SUBSTITUTE(TRIM(INDEX(INDIRECT("'Выгрузка'!A927:Z927"),Настройки!$B$13)),",","."),".",MID(1/2,2,1)),"")))</f>
        <v/>
      </c>
      <c r="H927">
        <f>IF(F927="",0,IF(COUNTIF(Настройки!$B$17:$B$26,F927)&gt;0,1,IF(COUNTIF(Настройки!$C$17:$C$26,F927)&gt;0,2,IF(COUNTIF(Настройки!$D$17:$D$26,F927)&gt;0,3,0))))</f>
        <v/>
      </c>
      <c r="I927">
        <f>IF(AND(ISNUMBER(A927),ISNUMBER(B927)),A927*1000+B927,"")</f>
        <v/>
      </c>
      <c r="J927">
        <f>IF(I927="","",IF(COUNTIF(I$2:I927,I927)=1,MAX(J$1:J926)+1,""))</f>
        <v/>
      </c>
    </row>
    <row r="928">
      <c r="A928">
        <f>IFERROR(--SUBSTITUTE(SUBSTITUTE(TRIM(INDEX(INDIRECT("'Выгрузка'!A928:Z928"),Настройки!$B$7)),",","."),".",MID(1/2,2,1)),"")</f>
        <v/>
      </c>
      <c r="B928">
        <f>IFERROR(--SUBSTITUTE(SUBSTITUTE(TRIM(INDEX(INDIRECT("'Выгрузка'!A928:Z928"),Настройки!$B$9)),",","."),".",MID(1/2,2,1)),"")</f>
        <v/>
      </c>
      <c r="C928">
        <f>TRIM(INDEX(INDIRECT("'Выгрузка'!A928:Z928"),Настройки!$B$8)&amp;"")</f>
        <v/>
      </c>
      <c r="D928">
        <f>IFERROR(--SUBSTITUTE(SUBSTITUTE(TRIM(INDEX(INDIRECT("'Выгрузка'!A928:Z928"),Настройки!$B$10)),",","."),".",MID(1/2,2,1)),"")</f>
        <v/>
      </c>
      <c r="E928">
        <f>IFERROR(--SUBSTITUTE(SUBSTITUTE(TRIM(INDEX(INDIRECT("'Выгрузка'!A928:Z928"),Настройки!$B$11)),",","."),".",MID(1/2,2,1)),"")</f>
        <v/>
      </c>
      <c r="F928">
        <f>TRIM(INDEX(INDIRECT("'Выгрузка'!A928:Z928"),Настройки!$B$12)&amp;"")</f>
        <v/>
      </c>
      <c r="G928">
        <f>IF(F928="",0,IF(TRIM(INDEX(INDIRECT("'Выгрузка'!A928:Z928"),Настройки!$B$13)&amp;"")="",1,IFERROR(--SUBSTITUTE(SUBSTITUTE(TRIM(INDEX(INDIRECT("'Выгрузка'!A928:Z928"),Настройки!$B$13)),",","."),".",MID(1/2,2,1)),"")))</f>
        <v/>
      </c>
      <c r="H928">
        <f>IF(F928="",0,IF(COUNTIF(Настройки!$B$17:$B$26,F928)&gt;0,1,IF(COUNTIF(Настройки!$C$17:$C$26,F928)&gt;0,2,IF(COUNTIF(Настройки!$D$17:$D$26,F928)&gt;0,3,0))))</f>
        <v/>
      </c>
      <c r="I928">
        <f>IF(AND(ISNUMBER(A928),ISNUMBER(B928)),A928*1000+B928,"")</f>
        <v/>
      </c>
      <c r="J928">
        <f>IF(I928="","",IF(COUNTIF(I$2:I928,I928)=1,MAX(J$1:J927)+1,""))</f>
        <v/>
      </c>
    </row>
    <row r="929">
      <c r="A929">
        <f>IFERROR(--SUBSTITUTE(SUBSTITUTE(TRIM(INDEX(INDIRECT("'Выгрузка'!A929:Z929"),Настройки!$B$7)),",","."),".",MID(1/2,2,1)),"")</f>
        <v/>
      </c>
      <c r="B929">
        <f>IFERROR(--SUBSTITUTE(SUBSTITUTE(TRIM(INDEX(INDIRECT("'Выгрузка'!A929:Z929"),Настройки!$B$9)),",","."),".",MID(1/2,2,1)),"")</f>
        <v/>
      </c>
      <c r="C929">
        <f>TRIM(INDEX(INDIRECT("'Выгрузка'!A929:Z929"),Настройки!$B$8)&amp;"")</f>
        <v/>
      </c>
      <c r="D929">
        <f>IFERROR(--SUBSTITUTE(SUBSTITUTE(TRIM(INDEX(INDIRECT("'Выгрузка'!A929:Z929"),Настройки!$B$10)),",","."),".",MID(1/2,2,1)),"")</f>
        <v/>
      </c>
      <c r="E929">
        <f>IFERROR(--SUBSTITUTE(SUBSTITUTE(TRIM(INDEX(INDIRECT("'Выгрузка'!A929:Z929"),Настройки!$B$11)),",","."),".",MID(1/2,2,1)),"")</f>
        <v/>
      </c>
      <c r="F929">
        <f>TRIM(INDEX(INDIRECT("'Выгрузка'!A929:Z929"),Настройки!$B$12)&amp;"")</f>
        <v/>
      </c>
      <c r="G929">
        <f>IF(F929="",0,IF(TRIM(INDEX(INDIRECT("'Выгрузка'!A929:Z929"),Настройки!$B$13)&amp;"")="",1,IFERROR(--SUBSTITUTE(SUBSTITUTE(TRIM(INDEX(INDIRECT("'Выгрузка'!A929:Z929"),Настройки!$B$13)),",","."),".",MID(1/2,2,1)),"")))</f>
        <v/>
      </c>
      <c r="H929">
        <f>IF(F929="",0,IF(COUNTIF(Настройки!$B$17:$B$26,F929)&gt;0,1,IF(COUNTIF(Настройки!$C$17:$C$26,F929)&gt;0,2,IF(COUNTIF(Настройки!$D$17:$D$26,F929)&gt;0,3,0))))</f>
        <v/>
      </c>
      <c r="I929">
        <f>IF(AND(ISNUMBER(A929),ISNUMBER(B929)),A929*1000+B929,"")</f>
        <v/>
      </c>
      <c r="J929">
        <f>IF(I929="","",IF(COUNTIF(I$2:I929,I929)=1,MAX(J$1:J928)+1,""))</f>
        <v/>
      </c>
    </row>
    <row r="930">
      <c r="A930">
        <f>IFERROR(--SUBSTITUTE(SUBSTITUTE(TRIM(INDEX(INDIRECT("'Выгрузка'!A930:Z930"),Настройки!$B$7)),",","."),".",MID(1/2,2,1)),"")</f>
        <v/>
      </c>
      <c r="B930">
        <f>IFERROR(--SUBSTITUTE(SUBSTITUTE(TRIM(INDEX(INDIRECT("'Выгрузка'!A930:Z930"),Настройки!$B$9)),",","."),".",MID(1/2,2,1)),"")</f>
        <v/>
      </c>
      <c r="C930">
        <f>TRIM(INDEX(INDIRECT("'Выгрузка'!A930:Z930"),Настройки!$B$8)&amp;"")</f>
        <v/>
      </c>
      <c r="D930">
        <f>IFERROR(--SUBSTITUTE(SUBSTITUTE(TRIM(INDEX(INDIRECT("'Выгрузка'!A930:Z930"),Настройки!$B$10)),",","."),".",MID(1/2,2,1)),"")</f>
        <v/>
      </c>
      <c r="E930">
        <f>IFERROR(--SUBSTITUTE(SUBSTITUTE(TRIM(INDEX(INDIRECT("'Выгрузка'!A930:Z930"),Настройки!$B$11)),",","."),".",MID(1/2,2,1)),"")</f>
        <v/>
      </c>
      <c r="F930">
        <f>TRIM(INDEX(INDIRECT("'Выгрузка'!A930:Z930"),Настройки!$B$12)&amp;"")</f>
        <v/>
      </c>
      <c r="G930">
        <f>IF(F930="",0,IF(TRIM(INDEX(INDIRECT("'Выгрузка'!A930:Z930"),Настройки!$B$13)&amp;"")="",1,IFERROR(--SUBSTITUTE(SUBSTITUTE(TRIM(INDEX(INDIRECT("'Выгрузка'!A930:Z930"),Настройки!$B$13)),",","."),".",MID(1/2,2,1)),"")))</f>
        <v/>
      </c>
      <c r="H930">
        <f>IF(F930="",0,IF(COUNTIF(Настройки!$B$17:$B$26,F930)&gt;0,1,IF(COUNTIF(Настройки!$C$17:$C$26,F930)&gt;0,2,IF(COUNTIF(Настройки!$D$17:$D$26,F930)&gt;0,3,0))))</f>
        <v/>
      </c>
      <c r="I930">
        <f>IF(AND(ISNUMBER(A930),ISNUMBER(B930)),A930*1000+B930,"")</f>
        <v/>
      </c>
      <c r="J930">
        <f>IF(I930="","",IF(COUNTIF(I$2:I930,I930)=1,MAX(J$1:J929)+1,""))</f>
        <v/>
      </c>
    </row>
    <row r="931">
      <c r="A931">
        <f>IFERROR(--SUBSTITUTE(SUBSTITUTE(TRIM(INDEX(INDIRECT("'Выгрузка'!A931:Z931"),Настройки!$B$7)),",","."),".",MID(1/2,2,1)),"")</f>
        <v/>
      </c>
      <c r="B931">
        <f>IFERROR(--SUBSTITUTE(SUBSTITUTE(TRIM(INDEX(INDIRECT("'Выгрузка'!A931:Z931"),Настройки!$B$9)),",","."),".",MID(1/2,2,1)),"")</f>
        <v/>
      </c>
      <c r="C931">
        <f>TRIM(INDEX(INDIRECT("'Выгрузка'!A931:Z931"),Настройки!$B$8)&amp;"")</f>
        <v/>
      </c>
      <c r="D931">
        <f>IFERROR(--SUBSTITUTE(SUBSTITUTE(TRIM(INDEX(INDIRECT("'Выгрузка'!A931:Z931"),Настройки!$B$10)),",","."),".",MID(1/2,2,1)),"")</f>
        <v/>
      </c>
      <c r="E931">
        <f>IFERROR(--SUBSTITUTE(SUBSTITUTE(TRIM(INDEX(INDIRECT("'Выгрузка'!A931:Z931"),Настройки!$B$11)),",","."),".",MID(1/2,2,1)),"")</f>
        <v/>
      </c>
      <c r="F931">
        <f>TRIM(INDEX(INDIRECT("'Выгрузка'!A931:Z931"),Настройки!$B$12)&amp;"")</f>
        <v/>
      </c>
      <c r="G931">
        <f>IF(F931="",0,IF(TRIM(INDEX(INDIRECT("'Выгрузка'!A931:Z931"),Настройки!$B$13)&amp;"")="",1,IFERROR(--SUBSTITUTE(SUBSTITUTE(TRIM(INDEX(INDIRECT("'Выгрузка'!A931:Z931"),Настройки!$B$13)),",","."),".",MID(1/2,2,1)),"")))</f>
        <v/>
      </c>
      <c r="H931">
        <f>IF(F931="",0,IF(COUNTIF(Настройки!$B$17:$B$26,F931)&gt;0,1,IF(COUNTIF(Настройки!$C$17:$C$26,F931)&gt;0,2,IF(COUNTIF(Настройки!$D$17:$D$26,F931)&gt;0,3,0))))</f>
        <v/>
      </c>
      <c r="I931">
        <f>IF(AND(ISNUMBER(A931),ISNUMBER(B931)),A931*1000+B931,"")</f>
        <v/>
      </c>
      <c r="J931">
        <f>IF(I931="","",IF(COUNTIF(I$2:I931,I931)=1,MAX(J$1:J930)+1,""))</f>
        <v/>
      </c>
    </row>
    <row r="932">
      <c r="A932">
        <f>IFERROR(--SUBSTITUTE(SUBSTITUTE(TRIM(INDEX(INDIRECT("'Выгрузка'!A932:Z932"),Настройки!$B$7)),",","."),".",MID(1/2,2,1)),"")</f>
        <v/>
      </c>
      <c r="B932">
        <f>IFERROR(--SUBSTITUTE(SUBSTITUTE(TRIM(INDEX(INDIRECT("'Выгрузка'!A932:Z932"),Настройки!$B$9)),",","."),".",MID(1/2,2,1)),"")</f>
        <v/>
      </c>
      <c r="C932">
        <f>TRIM(INDEX(INDIRECT("'Выгрузка'!A932:Z932"),Настройки!$B$8)&amp;"")</f>
        <v/>
      </c>
      <c r="D932">
        <f>IFERROR(--SUBSTITUTE(SUBSTITUTE(TRIM(INDEX(INDIRECT("'Выгрузка'!A932:Z932"),Настройки!$B$10)),",","."),".",MID(1/2,2,1)),"")</f>
        <v/>
      </c>
      <c r="E932">
        <f>IFERROR(--SUBSTITUTE(SUBSTITUTE(TRIM(INDEX(INDIRECT("'Выгрузка'!A932:Z932"),Настройки!$B$11)),",","."),".",MID(1/2,2,1)),"")</f>
        <v/>
      </c>
      <c r="F932">
        <f>TRIM(INDEX(INDIRECT("'Выгрузка'!A932:Z932"),Настройки!$B$12)&amp;"")</f>
        <v/>
      </c>
      <c r="G932">
        <f>IF(F932="",0,IF(TRIM(INDEX(INDIRECT("'Выгрузка'!A932:Z932"),Настройки!$B$13)&amp;"")="",1,IFERROR(--SUBSTITUTE(SUBSTITUTE(TRIM(INDEX(INDIRECT("'Выгрузка'!A932:Z932"),Настройки!$B$13)),",","."),".",MID(1/2,2,1)),"")))</f>
        <v/>
      </c>
      <c r="H932">
        <f>IF(F932="",0,IF(COUNTIF(Настройки!$B$17:$B$26,F932)&gt;0,1,IF(COUNTIF(Настройки!$C$17:$C$26,F932)&gt;0,2,IF(COUNTIF(Настройки!$D$17:$D$26,F932)&gt;0,3,0))))</f>
        <v/>
      </c>
      <c r="I932">
        <f>IF(AND(ISNUMBER(A932),ISNUMBER(B932)),A932*1000+B932,"")</f>
        <v/>
      </c>
      <c r="J932">
        <f>IF(I932="","",IF(COUNTIF(I$2:I932,I932)=1,MAX(J$1:J931)+1,""))</f>
        <v/>
      </c>
    </row>
    <row r="933">
      <c r="A933">
        <f>IFERROR(--SUBSTITUTE(SUBSTITUTE(TRIM(INDEX(INDIRECT("'Выгрузка'!A933:Z933"),Настройки!$B$7)),",","."),".",MID(1/2,2,1)),"")</f>
        <v/>
      </c>
      <c r="B933">
        <f>IFERROR(--SUBSTITUTE(SUBSTITUTE(TRIM(INDEX(INDIRECT("'Выгрузка'!A933:Z933"),Настройки!$B$9)),",","."),".",MID(1/2,2,1)),"")</f>
        <v/>
      </c>
      <c r="C933">
        <f>TRIM(INDEX(INDIRECT("'Выгрузка'!A933:Z933"),Настройки!$B$8)&amp;"")</f>
        <v/>
      </c>
      <c r="D933">
        <f>IFERROR(--SUBSTITUTE(SUBSTITUTE(TRIM(INDEX(INDIRECT("'Выгрузка'!A933:Z933"),Настройки!$B$10)),",","."),".",MID(1/2,2,1)),"")</f>
        <v/>
      </c>
      <c r="E933">
        <f>IFERROR(--SUBSTITUTE(SUBSTITUTE(TRIM(INDEX(INDIRECT("'Выгрузка'!A933:Z933"),Настройки!$B$11)),",","."),".",MID(1/2,2,1)),"")</f>
        <v/>
      </c>
      <c r="F933">
        <f>TRIM(INDEX(INDIRECT("'Выгрузка'!A933:Z933"),Настройки!$B$12)&amp;"")</f>
        <v/>
      </c>
      <c r="G933">
        <f>IF(F933="",0,IF(TRIM(INDEX(INDIRECT("'Выгрузка'!A933:Z933"),Настройки!$B$13)&amp;"")="",1,IFERROR(--SUBSTITUTE(SUBSTITUTE(TRIM(INDEX(INDIRECT("'Выгрузка'!A933:Z933"),Настройки!$B$13)),",","."),".",MID(1/2,2,1)),"")))</f>
        <v/>
      </c>
      <c r="H933">
        <f>IF(F933="",0,IF(COUNTIF(Настройки!$B$17:$B$26,F933)&gt;0,1,IF(COUNTIF(Настройки!$C$17:$C$26,F933)&gt;0,2,IF(COUNTIF(Настройки!$D$17:$D$26,F933)&gt;0,3,0))))</f>
        <v/>
      </c>
      <c r="I933">
        <f>IF(AND(ISNUMBER(A933),ISNUMBER(B933)),A933*1000+B933,"")</f>
        <v/>
      </c>
      <c r="J933">
        <f>IF(I933="","",IF(COUNTIF(I$2:I933,I933)=1,MAX(J$1:J932)+1,""))</f>
        <v/>
      </c>
    </row>
    <row r="934">
      <c r="A934">
        <f>IFERROR(--SUBSTITUTE(SUBSTITUTE(TRIM(INDEX(INDIRECT("'Выгрузка'!A934:Z934"),Настройки!$B$7)),",","."),".",MID(1/2,2,1)),"")</f>
        <v/>
      </c>
      <c r="B934">
        <f>IFERROR(--SUBSTITUTE(SUBSTITUTE(TRIM(INDEX(INDIRECT("'Выгрузка'!A934:Z934"),Настройки!$B$9)),",","."),".",MID(1/2,2,1)),"")</f>
        <v/>
      </c>
      <c r="C934">
        <f>TRIM(INDEX(INDIRECT("'Выгрузка'!A934:Z934"),Настройки!$B$8)&amp;"")</f>
        <v/>
      </c>
      <c r="D934">
        <f>IFERROR(--SUBSTITUTE(SUBSTITUTE(TRIM(INDEX(INDIRECT("'Выгрузка'!A934:Z934"),Настройки!$B$10)),",","."),".",MID(1/2,2,1)),"")</f>
        <v/>
      </c>
      <c r="E934">
        <f>IFERROR(--SUBSTITUTE(SUBSTITUTE(TRIM(INDEX(INDIRECT("'Выгрузка'!A934:Z934"),Настройки!$B$11)),",","."),".",MID(1/2,2,1)),"")</f>
        <v/>
      </c>
      <c r="F934">
        <f>TRIM(INDEX(INDIRECT("'Выгрузка'!A934:Z934"),Настройки!$B$12)&amp;"")</f>
        <v/>
      </c>
      <c r="G934">
        <f>IF(F934="",0,IF(TRIM(INDEX(INDIRECT("'Выгрузка'!A934:Z934"),Настройки!$B$13)&amp;"")="",1,IFERROR(--SUBSTITUTE(SUBSTITUTE(TRIM(INDEX(INDIRECT("'Выгрузка'!A934:Z934"),Настройки!$B$13)),",","."),".",MID(1/2,2,1)),"")))</f>
        <v/>
      </c>
      <c r="H934">
        <f>IF(F934="",0,IF(COUNTIF(Настройки!$B$17:$B$26,F934)&gt;0,1,IF(COUNTIF(Настройки!$C$17:$C$26,F934)&gt;0,2,IF(COUNTIF(Настройки!$D$17:$D$26,F934)&gt;0,3,0))))</f>
        <v/>
      </c>
      <c r="I934">
        <f>IF(AND(ISNUMBER(A934),ISNUMBER(B934)),A934*1000+B934,"")</f>
        <v/>
      </c>
      <c r="J934">
        <f>IF(I934="","",IF(COUNTIF(I$2:I934,I934)=1,MAX(J$1:J933)+1,""))</f>
        <v/>
      </c>
    </row>
    <row r="935">
      <c r="A935">
        <f>IFERROR(--SUBSTITUTE(SUBSTITUTE(TRIM(INDEX(INDIRECT("'Выгрузка'!A935:Z935"),Настройки!$B$7)),",","."),".",MID(1/2,2,1)),"")</f>
        <v/>
      </c>
      <c r="B935">
        <f>IFERROR(--SUBSTITUTE(SUBSTITUTE(TRIM(INDEX(INDIRECT("'Выгрузка'!A935:Z935"),Настройки!$B$9)),",","."),".",MID(1/2,2,1)),"")</f>
        <v/>
      </c>
      <c r="C935">
        <f>TRIM(INDEX(INDIRECT("'Выгрузка'!A935:Z935"),Настройки!$B$8)&amp;"")</f>
        <v/>
      </c>
      <c r="D935">
        <f>IFERROR(--SUBSTITUTE(SUBSTITUTE(TRIM(INDEX(INDIRECT("'Выгрузка'!A935:Z935"),Настройки!$B$10)),",","."),".",MID(1/2,2,1)),"")</f>
        <v/>
      </c>
      <c r="E935">
        <f>IFERROR(--SUBSTITUTE(SUBSTITUTE(TRIM(INDEX(INDIRECT("'Выгрузка'!A935:Z935"),Настройки!$B$11)),",","."),".",MID(1/2,2,1)),"")</f>
        <v/>
      </c>
      <c r="F935">
        <f>TRIM(INDEX(INDIRECT("'Выгрузка'!A935:Z935"),Настройки!$B$12)&amp;"")</f>
        <v/>
      </c>
      <c r="G935">
        <f>IF(F935="",0,IF(TRIM(INDEX(INDIRECT("'Выгрузка'!A935:Z935"),Настройки!$B$13)&amp;"")="",1,IFERROR(--SUBSTITUTE(SUBSTITUTE(TRIM(INDEX(INDIRECT("'Выгрузка'!A935:Z935"),Настройки!$B$13)),",","."),".",MID(1/2,2,1)),"")))</f>
        <v/>
      </c>
      <c r="H935">
        <f>IF(F935="",0,IF(COUNTIF(Настройки!$B$17:$B$26,F935)&gt;0,1,IF(COUNTIF(Настройки!$C$17:$C$26,F935)&gt;0,2,IF(COUNTIF(Настройки!$D$17:$D$26,F935)&gt;0,3,0))))</f>
        <v/>
      </c>
      <c r="I935">
        <f>IF(AND(ISNUMBER(A935),ISNUMBER(B935)),A935*1000+B935,"")</f>
        <v/>
      </c>
      <c r="J935">
        <f>IF(I935="","",IF(COUNTIF(I$2:I935,I935)=1,MAX(J$1:J934)+1,""))</f>
        <v/>
      </c>
    </row>
    <row r="936">
      <c r="A936">
        <f>IFERROR(--SUBSTITUTE(SUBSTITUTE(TRIM(INDEX(INDIRECT("'Выгрузка'!A936:Z936"),Настройки!$B$7)),",","."),".",MID(1/2,2,1)),"")</f>
        <v/>
      </c>
      <c r="B936">
        <f>IFERROR(--SUBSTITUTE(SUBSTITUTE(TRIM(INDEX(INDIRECT("'Выгрузка'!A936:Z936"),Настройки!$B$9)),",","."),".",MID(1/2,2,1)),"")</f>
        <v/>
      </c>
      <c r="C936">
        <f>TRIM(INDEX(INDIRECT("'Выгрузка'!A936:Z936"),Настройки!$B$8)&amp;"")</f>
        <v/>
      </c>
      <c r="D936">
        <f>IFERROR(--SUBSTITUTE(SUBSTITUTE(TRIM(INDEX(INDIRECT("'Выгрузка'!A936:Z936"),Настройки!$B$10)),",","."),".",MID(1/2,2,1)),"")</f>
        <v/>
      </c>
      <c r="E936">
        <f>IFERROR(--SUBSTITUTE(SUBSTITUTE(TRIM(INDEX(INDIRECT("'Выгрузка'!A936:Z936"),Настройки!$B$11)),",","."),".",MID(1/2,2,1)),"")</f>
        <v/>
      </c>
      <c r="F936">
        <f>TRIM(INDEX(INDIRECT("'Выгрузка'!A936:Z936"),Настройки!$B$12)&amp;"")</f>
        <v/>
      </c>
      <c r="G936">
        <f>IF(F936="",0,IF(TRIM(INDEX(INDIRECT("'Выгрузка'!A936:Z936"),Настройки!$B$13)&amp;"")="",1,IFERROR(--SUBSTITUTE(SUBSTITUTE(TRIM(INDEX(INDIRECT("'Выгрузка'!A936:Z936"),Настройки!$B$13)),",","."),".",MID(1/2,2,1)),"")))</f>
        <v/>
      </c>
      <c r="H936">
        <f>IF(F936="",0,IF(COUNTIF(Настройки!$B$17:$B$26,F936)&gt;0,1,IF(COUNTIF(Настройки!$C$17:$C$26,F936)&gt;0,2,IF(COUNTIF(Настройки!$D$17:$D$26,F936)&gt;0,3,0))))</f>
        <v/>
      </c>
      <c r="I936">
        <f>IF(AND(ISNUMBER(A936),ISNUMBER(B936)),A936*1000+B936,"")</f>
        <v/>
      </c>
      <c r="J936">
        <f>IF(I936="","",IF(COUNTIF(I$2:I936,I936)=1,MAX(J$1:J935)+1,""))</f>
        <v/>
      </c>
    </row>
    <row r="937">
      <c r="A937">
        <f>IFERROR(--SUBSTITUTE(SUBSTITUTE(TRIM(INDEX(INDIRECT("'Выгрузка'!A937:Z937"),Настройки!$B$7)),",","."),".",MID(1/2,2,1)),"")</f>
        <v/>
      </c>
      <c r="B937">
        <f>IFERROR(--SUBSTITUTE(SUBSTITUTE(TRIM(INDEX(INDIRECT("'Выгрузка'!A937:Z937"),Настройки!$B$9)),",","."),".",MID(1/2,2,1)),"")</f>
        <v/>
      </c>
      <c r="C937">
        <f>TRIM(INDEX(INDIRECT("'Выгрузка'!A937:Z937"),Настройки!$B$8)&amp;"")</f>
        <v/>
      </c>
      <c r="D937">
        <f>IFERROR(--SUBSTITUTE(SUBSTITUTE(TRIM(INDEX(INDIRECT("'Выгрузка'!A937:Z937"),Настройки!$B$10)),",","."),".",MID(1/2,2,1)),"")</f>
        <v/>
      </c>
      <c r="E937">
        <f>IFERROR(--SUBSTITUTE(SUBSTITUTE(TRIM(INDEX(INDIRECT("'Выгрузка'!A937:Z937"),Настройки!$B$11)),",","."),".",MID(1/2,2,1)),"")</f>
        <v/>
      </c>
      <c r="F937">
        <f>TRIM(INDEX(INDIRECT("'Выгрузка'!A937:Z937"),Настройки!$B$12)&amp;"")</f>
        <v/>
      </c>
      <c r="G937">
        <f>IF(F937="",0,IF(TRIM(INDEX(INDIRECT("'Выгрузка'!A937:Z937"),Настройки!$B$13)&amp;"")="",1,IFERROR(--SUBSTITUTE(SUBSTITUTE(TRIM(INDEX(INDIRECT("'Выгрузка'!A937:Z937"),Настройки!$B$13)),",","."),".",MID(1/2,2,1)),"")))</f>
        <v/>
      </c>
      <c r="H937">
        <f>IF(F937="",0,IF(COUNTIF(Настройки!$B$17:$B$26,F937)&gt;0,1,IF(COUNTIF(Настройки!$C$17:$C$26,F937)&gt;0,2,IF(COUNTIF(Настройки!$D$17:$D$26,F937)&gt;0,3,0))))</f>
        <v/>
      </c>
      <c r="I937">
        <f>IF(AND(ISNUMBER(A937),ISNUMBER(B937)),A937*1000+B937,"")</f>
        <v/>
      </c>
      <c r="J937">
        <f>IF(I937="","",IF(COUNTIF(I$2:I937,I937)=1,MAX(J$1:J936)+1,""))</f>
        <v/>
      </c>
    </row>
    <row r="938">
      <c r="A938">
        <f>IFERROR(--SUBSTITUTE(SUBSTITUTE(TRIM(INDEX(INDIRECT("'Выгрузка'!A938:Z938"),Настройки!$B$7)),",","."),".",MID(1/2,2,1)),"")</f>
        <v/>
      </c>
      <c r="B938">
        <f>IFERROR(--SUBSTITUTE(SUBSTITUTE(TRIM(INDEX(INDIRECT("'Выгрузка'!A938:Z938"),Настройки!$B$9)),",","."),".",MID(1/2,2,1)),"")</f>
        <v/>
      </c>
      <c r="C938">
        <f>TRIM(INDEX(INDIRECT("'Выгрузка'!A938:Z938"),Настройки!$B$8)&amp;"")</f>
        <v/>
      </c>
      <c r="D938">
        <f>IFERROR(--SUBSTITUTE(SUBSTITUTE(TRIM(INDEX(INDIRECT("'Выгрузка'!A938:Z938"),Настройки!$B$10)),",","."),".",MID(1/2,2,1)),"")</f>
        <v/>
      </c>
      <c r="E938">
        <f>IFERROR(--SUBSTITUTE(SUBSTITUTE(TRIM(INDEX(INDIRECT("'Выгрузка'!A938:Z938"),Настройки!$B$11)),",","."),".",MID(1/2,2,1)),"")</f>
        <v/>
      </c>
      <c r="F938">
        <f>TRIM(INDEX(INDIRECT("'Выгрузка'!A938:Z938"),Настройки!$B$12)&amp;"")</f>
        <v/>
      </c>
      <c r="G938">
        <f>IF(F938="",0,IF(TRIM(INDEX(INDIRECT("'Выгрузка'!A938:Z938"),Настройки!$B$13)&amp;"")="",1,IFERROR(--SUBSTITUTE(SUBSTITUTE(TRIM(INDEX(INDIRECT("'Выгрузка'!A938:Z938"),Настройки!$B$13)),",","."),".",MID(1/2,2,1)),"")))</f>
        <v/>
      </c>
      <c r="H938">
        <f>IF(F938="",0,IF(COUNTIF(Настройки!$B$17:$B$26,F938)&gt;0,1,IF(COUNTIF(Настройки!$C$17:$C$26,F938)&gt;0,2,IF(COUNTIF(Настройки!$D$17:$D$26,F938)&gt;0,3,0))))</f>
        <v/>
      </c>
      <c r="I938">
        <f>IF(AND(ISNUMBER(A938),ISNUMBER(B938)),A938*1000+B938,"")</f>
        <v/>
      </c>
      <c r="J938">
        <f>IF(I938="","",IF(COUNTIF(I$2:I938,I938)=1,MAX(J$1:J937)+1,""))</f>
        <v/>
      </c>
    </row>
    <row r="939">
      <c r="A939">
        <f>IFERROR(--SUBSTITUTE(SUBSTITUTE(TRIM(INDEX(INDIRECT("'Выгрузка'!A939:Z939"),Настройки!$B$7)),",","."),".",MID(1/2,2,1)),"")</f>
        <v/>
      </c>
      <c r="B939">
        <f>IFERROR(--SUBSTITUTE(SUBSTITUTE(TRIM(INDEX(INDIRECT("'Выгрузка'!A939:Z939"),Настройки!$B$9)),",","."),".",MID(1/2,2,1)),"")</f>
        <v/>
      </c>
      <c r="C939">
        <f>TRIM(INDEX(INDIRECT("'Выгрузка'!A939:Z939"),Настройки!$B$8)&amp;"")</f>
        <v/>
      </c>
      <c r="D939">
        <f>IFERROR(--SUBSTITUTE(SUBSTITUTE(TRIM(INDEX(INDIRECT("'Выгрузка'!A939:Z939"),Настройки!$B$10)),",","."),".",MID(1/2,2,1)),"")</f>
        <v/>
      </c>
      <c r="E939">
        <f>IFERROR(--SUBSTITUTE(SUBSTITUTE(TRIM(INDEX(INDIRECT("'Выгрузка'!A939:Z939"),Настройки!$B$11)),",","."),".",MID(1/2,2,1)),"")</f>
        <v/>
      </c>
      <c r="F939">
        <f>TRIM(INDEX(INDIRECT("'Выгрузка'!A939:Z939"),Настройки!$B$12)&amp;"")</f>
        <v/>
      </c>
      <c r="G939">
        <f>IF(F939="",0,IF(TRIM(INDEX(INDIRECT("'Выгрузка'!A939:Z939"),Настройки!$B$13)&amp;"")="",1,IFERROR(--SUBSTITUTE(SUBSTITUTE(TRIM(INDEX(INDIRECT("'Выгрузка'!A939:Z939"),Настройки!$B$13)),",","."),".",MID(1/2,2,1)),"")))</f>
        <v/>
      </c>
      <c r="H939">
        <f>IF(F939="",0,IF(COUNTIF(Настройки!$B$17:$B$26,F939)&gt;0,1,IF(COUNTIF(Настройки!$C$17:$C$26,F939)&gt;0,2,IF(COUNTIF(Настройки!$D$17:$D$26,F939)&gt;0,3,0))))</f>
        <v/>
      </c>
      <c r="I939">
        <f>IF(AND(ISNUMBER(A939),ISNUMBER(B939)),A939*1000+B939,"")</f>
        <v/>
      </c>
      <c r="J939">
        <f>IF(I939="","",IF(COUNTIF(I$2:I939,I939)=1,MAX(J$1:J938)+1,""))</f>
        <v/>
      </c>
    </row>
    <row r="940">
      <c r="A940">
        <f>IFERROR(--SUBSTITUTE(SUBSTITUTE(TRIM(INDEX(INDIRECT("'Выгрузка'!A940:Z940"),Настройки!$B$7)),",","."),".",MID(1/2,2,1)),"")</f>
        <v/>
      </c>
      <c r="B940">
        <f>IFERROR(--SUBSTITUTE(SUBSTITUTE(TRIM(INDEX(INDIRECT("'Выгрузка'!A940:Z940"),Настройки!$B$9)),",","."),".",MID(1/2,2,1)),"")</f>
        <v/>
      </c>
      <c r="C940">
        <f>TRIM(INDEX(INDIRECT("'Выгрузка'!A940:Z940"),Настройки!$B$8)&amp;"")</f>
        <v/>
      </c>
      <c r="D940">
        <f>IFERROR(--SUBSTITUTE(SUBSTITUTE(TRIM(INDEX(INDIRECT("'Выгрузка'!A940:Z940"),Настройки!$B$10)),",","."),".",MID(1/2,2,1)),"")</f>
        <v/>
      </c>
      <c r="E940">
        <f>IFERROR(--SUBSTITUTE(SUBSTITUTE(TRIM(INDEX(INDIRECT("'Выгрузка'!A940:Z940"),Настройки!$B$11)),",","."),".",MID(1/2,2,1)),"")</f>
        <v/>
      </c>
      <c r="F940">
        <f>TRIM(INDEX(INDIRECT("'Выгрузка'!A940:Z940"),Настройки!$B$12)&amp;"")</f>
        <v/>
      </c>
      <c r="G940">
        <f>IF(F940="",0,IF(TRIM(INDEX(INDIRECT("'Выгрузка'!A940:Z940"),Настройки!$B$13)&amp;"")="",1,IFERROR(--SUBSTITUTE(SUBSTITUTE(TRIM(INDEX(INDIRECT("'Выгрузка'!A940:Z940"),Настройки!$B$13)),",","."),".",MID(1/2,2,1)),"")))</f>
        <v/>
      </c>
      <c r="H940">
        <f>IF(F940="",0,IF(COUNTIF(Настройки!$B$17:$B$26,F940)&gt;0,1,IF(COUNTIF(Настройки!$C$17:$C$26,F940)&gt;0,2,IF(COUNTIF(Настройки!$D$17:$D$26,F940)&gt;0,3,0))))</f>
        <v/>
      </c>
      <c r="I940">
        <f>IF(AND(ISNUMBER(A940),ISNUMBER(B940)),A940*1000+B940,"")</f>
        <v/>
      </c>
      <c r="J940">
        <f>IF(I940="","",IF(COUNTIF(I$2:I940,I940)=1,MAX(J$1:J939)+1,""))</f>
        <v/>
      </c>
    </row>
    <row r="941">
      <c r="A941">
        <f>IFERROR(--SUBSTITUTE(SUBSTITUTE(TRIM(INDEX(INDIRECT("'Выгрузка'!A941:Z941"),Настройки!$B$7)),",","."),".",MID(1/2,2,1)),"")</f>
        <v/>
      </c>
      <c r="B941">
        <f>IFERROR(--SUBSTITUTE(SUBSTITUTE(TRIM(INDEX(INDIRECT("'Выгрузка'!A941:Z941"),Настройки!$B$9)),",","."),".",MID(1/2,2,1)),"")</f>
        <v/>
      </c>
      <c r="C941">
        <f>TRIM(INDEX(INDIRECT("'Выгрузка'!A941:Z941"),Настройки!$B$8)&amp;"")</f>
        <v/>
      </c>
      <c r="D941">
        <f>IFERROR(--SUBSTITUTE(SUBSTITUTE(TRIM(INDEX(INDIRECT("'Выгрузка'!A941:Z941"),Настройки!$B$10)),",","."),".",MID(1/2,2,1)),"")</f>
        <v/>
      </c>
      <c r="E941">
        <f>IFERROR(--SUBSTITUTE(SUBSTITUTE(TRIM(INDEX(INDIRECT("'Выгрузка'!A941:Z941"),Настройки!$B$11)),",","."),".",MID(1/2,2,1)),"")</f>
        <v/>
      </c>
      <c r="F941">
        <f>TRIM(INDEX(INDIRECT("'Выгрузка'!A941:Z941"),Настройки!$B$12)&amp;"")</f>
        <v/>
      </c>
      <c r="G941">
        <f>IF(F941="",0,IF(TRIM(INDEX(INDIRECT("'Выгрузка'!A941:Z941"),Настройки!$B$13)&amp;"")="",1,IFERROR(--SUBSTITUTE(SUBSTITUTE(TRIM(INDEX(INDIRECT("'Выгрузка'!A941:Z941"),Настройки!$B$13)),",","."),".",MID(1/2,2,1)),"")))</f>
        <v/>
      </c>
      <c r="H941">
        <f>IF(F941="",0,IF(COUNTIF(Настройки!$B$17:$B$26,F941)&gt;0,1,IF(COUNTIF(Настройки!$C$17:$C$26,F941)&gt;0,2,IF(COUNTIF(Настройки!$D$17:$D$26,F941)&gt;0,3,0))))</f>
        <v/>
      </c>
      <c r="I941">
        <f>IF(AND(ISNUMBER(A941),ISNUMBER(B941)),A941*1000+B941,"")</f>
        <v/>
      </c>
      <c r="J941">
        <f>IF(I941="","",IF(COUNTIF(I$2:I941,I941)=1,MAX(J$1:J940)+1,""))</f>
        <v/>
      </c>
    </row>
    <row r="942">
      <c r="A942">
        <f>IFERROR(--SUBSTITUTE(SUBSTITUTE(TRIM(INDEX(INDIRECT("'Выгрузка'!A942:Z942"),Настройки!$B$7)),",","."),".",MID(1/2,2,1)),"")</f>
        <v/>
      </c>
      <c r="B942">
        <f>IFERROR(--SUBSTITUTE(SUBSTITUTE(TRIM(INDEX(INDIRECT("'Выгрузка'!A942:Z942"),Настройки!$B$9)),",","."),".",MID(1/2,2,1)),"")</f>
        <v/>
      </c>
      <c r="C942">
        <f>TRIM(INDEX(INDIRECT("'Выгрузка'!A942:Z942"),Настройки!$B$8)&amp;"")</f>
        <v/>
      </c>
      <c r="D942">
        <f>IFERROR(--SUBSTITUTE(SUBSTITUTE(TRIM(INDEX(INDIRECT("'Выгрузка'!A942:Z942"),Настройки!$B$10)),",","."),".",MID(1/2,2,1)),"")</f>
        <v/>
      </c>
      <c r="E942">
        <f>IFERROR(--SUBSTITUTE(SUBSTITUTE(TRIM(INDEX(INDIRECT("'Выгрузка'!A942:Z942"),Настройки!$B$11)),",","."),".",MID(1/2,2,1)),"")</f>
        <v/>
      </c>
      <c r="F942">
        <f>TRIM(INDEX(INDIRECT("'Выгрузка'!A942:Z942"),Настройки!$B$12)&amp;"")</f>
        <v/>
      </c>
      <c r="G942">
        <f>IF(F942="",0,IF(TRIM(INDEX(INDIRECT("'Выгрузка'!A942:Z942"),Настройки!$B$13)&amp;"")="",1,IFERROR(--SUBSTITUTE(SUBSTITUTE(TRIM(INDEX(INDIRECT("'Выгрузка'!A942:Z942"),Настройки!$B$13)),",","."),".",MID(1/2,2,1)),"")))</f>
        <v/>
      </c>
      <c r="H942">
        <f>IF(F942="",0,IF(COUNTIF(Настройки!$B$17:$B$26,F942)&gt;0,1,IF(COUNTIF(Настройки!$C$17:$C$26,F942)&gt;0,2,IF(COUNTIF(Настройки!$D$17:$D$26,F942)&gt;0,3,0))))</f>
        <v/>
      </c>
      <c r="I942">
        <f>IF(AND(ISNUMBER(A942),ISNUMBER(B942)),A942*1000+B942,"")</f>
        <v/>
      </c>
      <c r="J942">
        <f>IF(I942="","",IF(COUNTIF(I$2:I942,I942)=1,MAX(J$1:J941)+1,""))</f>
        <v/>
      </c>
    </row>
    <row r="943">
      <c r="A943">
        <f>IFERROR(--SUBSTITUTE(SUBSTITUTE(TRIM(INDEX(INDIRECT("'Выгрузка'!A943:Z943"),Настройки!$B$7)),",","."),".",MID(1/2,2,1)),"")</f>
        <v/>
      </c>
      <c r="B943">
        <f>IFERROR(--SUBSTITUTE(SUBSTITUTE(TRIM(INDEX(INDIRECT("'Выгрузка'!A943:Z943"),Настройки!$B$9)),",","."),".",MID(1/2,2,1)),"")</f>
        <v/>
      </c>
      <c r="C943">
        <f>TRIM(INDEX(INDIRECT("'Выгрузка'!A943:Z943"),Настройки!$B$8)&amp;"")</f>
        <v/>
      </c>
      <c r="D943">
        <f>IFERROR(--SUBSTITUTE(SUBSTITUTE(TRIM(INDEX(INDIRECT("'Выгрузка'!A943:Z943"),Настройки!$B$10)),",","."),".",MID(1/2,2,1)),"")</f>
        <v/>
      </c>
      <c r="E943">
        <f>IFERROR(--SUBSTITUTE(SUBSTITUTE(TRIM(INDEX(INDIRECT("'Выгрузка'!A943:Z943"),Настройки!$B$11)),",","."),".",MID(1/2,2,1)),"")</f>
        <v/>
      </c>
      <c r="F943">
        <f>TRIM(INDEX(INDIRECT("'Выгрузка'!A943:Z943"),Настройки!$B$12)&amp;"")</f>
        <v/>
      </c>
      <c r="G943">
        <f>IF(F943="",0,IF(TRIM(INDEX(INDIRECT("'Выгрузка'!A943:Z943"),Настройки!$B$13)&amp;"")="",1,IFERROR(--SUBSTITUTE(SUBSTITUTE(TRIM(INDEX(INDIRECT("'Выгрузка'!A943:Z943"),Настройки!$B$13)),",","."),".",MID(1/2,2,1)),"")))</f>
        <v/>
      </c>
      <c r="H943">
        <f>IF(F943="",0,IF(COUNTIF(Настройки!$B$17:$B$26,F943)&gt;0,1,IF(COUNTIF(Настройки!$C$17:$C$26,F943)&gt;0,2,IF(COUNTIF(Настройки!$D$17:$D$26,F943)&gt;0,3,0))))</f>
        <v/>
      </c>
      <c r="I943">
        <f>IF(AND(ISNUMBER(A943),ISNUMBER(B943)),A943*1000+B943,"")</f>
        <v/>
      </c>
      <c r="J943">
        <f>IF(I943="","",IF(COUNTIF(I$2:I943,I943)=1,MAX(J$1:J942)+1,""))</f>
        <v/>
      </c>
    </row>
    <row r="944">
      <c r="A944">
        <f>IFERROR(--SUBSTITUTE(SUBSTITUTE(TRIM(INDEX(INDIRECT("'Выгрузка'!A944:Z944"),Настройки!$B$7)),",","."),".",MID(1/2,2,1)),"")</f>
        <v/>
      </c>
      <c r="B944">
        <f>IFERROR(--SUBSTITUTE(SUBSTITUTE(TRIM(INDEX(INDIRECT("'Выгрузка'!A944:Z944"),Настройки!$B$9)),",","."),".",MID(1/2,2,1)),"")</f>
        <v/>
      </c>
      <c r="C944">
        <f>TRIM(INDEX(INDIRECT("'Выгрузка'!A944:Z944"),Настройки!$B$8)&amp;"")</f>
        <v/>
      </c>
      <c r="D944">
        <f>IFERROR(--SUBSTITUTE(SUBSTITUTE(TRIM(INDEX(INDIRECT("'Выгрузка'!A944:Z944"),Настройки!$B$10)),",","."),".",MID(1/2,2,1)),"")</f>
        <v/>
      </c>
      <c r="E944">
        <f>IFERROR(--SUBSTITUTE(SUBSTITUTE(TRIM(INDEX(INDIRECT("'Выгрузка'!A944:Z944"),Настройки!$B$11)),",","."),".",MID(1/2,2,1)),"")</f>
        <v/>
      </c>
      <c r="F944">
        <f>TRIM(INDEX(INDIRECT("'Выгрузка'!A944:Z944"),Настройки!$B$12)&amp;"")</f>
        <v/>
      </c>
      <c r="G944">
        <f>IF(F944="",0,IF(TRIM(INDEX(INDIRECT("'Выгрузка'!A944:Z944"),Настройки!$B$13)&amp;"")="",1,IFERROR(--SUBSTITUTE(SUBSTITUTE(TRIM(INDEX(INDIRECT("'Выгрузка'!A944:Z944"),Настройки!$B$13)),",","."),".",MID(1/2,2,1)),"")))</f>
        <v/>
      </c>
      <c r="H944">
        <f>IF(F944="",0,IF(COUNTIF(Настройки!$B$17:$B$26,F944)&gt;0,1,IF(COUNTIF(Настройки!$C$17:$C$26,F944)&gt;0,2,IF(COUNTIF(Настройки!$D$17:$D$26,F944)&gt;0,3,0))))</f>
        <v/>
      </c>
      <c r="I944">
        <f>IF(AND(ISNUMBER(A944),ISNUMBER(B944)),A944*1000+B944,"")</f>
        <v/>
      </c>
      <c r="J944">
        <f>IF(I944="","",IF(COUNTIF(I$2:I944,I944)=1,MAX(J$1:J943)+1,""))</f>
        <v/>
      </c>
    </row>
    <row r="945">
      <c r="A945">
        <f>IFERROR(--SUBSTITUTE(SUBSTITUTE(TRIM(INDEX(INDIRECT("'Выгрузка'!A945:Z945"),Настройки!$B$7)),",","."),".",MID(1/2,2,1)),"")</f>
        <v/>
      </c>
      <c r="B945">
        <f>IFERROR(--SUBSTITUTE(SUBSTITUTE(TRIM(INDEX(INDIRECT("'Выгрузка'!A945:Z945"),Настройки!$B$9)),",","."),".",MID(1/2,2,1)),"")</f>
        <v/>
      </c>
      <c r="C945">
        <f>TRIM(INDEX(INDIRECT("'Выгрузка'!A945:Z945"),Настройки!$B$8)&amp;"")</f>
        <v/>
      </c>
      <c r="D945">
        <f>IFERROR(--SUBSTITUTE(SUBSTITUTE(TRIM(INDEX(INDIRECT("'Выгрузка'!A945:Z945"),Настройки!$B$10)),",","."),".",MID(1/2,2,1)),"")</f>
        <v/>
      </c>
      <c r="E945">
        <f>IFERROR(--SUBSTITUTE(SUBSTITUTE(TRIM(INDEX(INDIRECT("'Выгрузка'!A945:Z945"),Настройки!$B$11)),",","."),".",MID(1/2,2,1)),"")</f>
        <v/>
      </c>
      <c r="F945">
        <f>TRIM(INDEX(INDIRECT("'Выгрузка'!A945:Z945"),Настройки!$B$12)&amp;"")</f>
        <v/>
      </c>
      <c r="G945">
        <f>IF(F945="",0,IF(TRIM(INDEX(INDIRECT("'Выгрузка'!A945:Z945"),Настройки!$B$13)&amp;"")="",1,IFERROR(--SUBSTITUTE(SUBSTITUTE(TRIM(INDEX(INDIRECT("'Выгрузка'!A945:Z945"),Настройки!$B$13)),",","."),".",MID(1/2,2,1)),"")))</f>
        <v/>
      </c>
      <c r="H945">
        <f>IF(F945="",0,IF(COUNTIF(Настройки!$B$17:$B$26,F945)&gt;0,1,IF(COUNTIF(Настройки!$C$17:$C$26,F945)&gt;0,2,IF(COUNTIF(Настройки!$D$17:$D$26,F945)&gt;0,3,0))))</f>
        <v/>
      </c>
      <c r="I945">
        <f>IF(AND(ISNUMBER(A945),ISNUMBER(B945)),A945*1000+B945,"")</f>
        <v/>
      </c>
      <c r="J945">
        <f>IF(I945="","",IF(COUNTIF(I$2:I945,I945)=1,MAX(J$1:J944)+1,""))</f>
        <v/>
      </c>
    </row>
    <row r="946">
      <c r="A946">
        <f>IFERROR(--SUBSTITUTE(SUBSTITUTE(TRIM(INDEX(INDIRECT("'Выгрузка'!A946:Z946"),Настройки!$B$7)),",","."),".",MID(1/2,2,1)),"")</f>
        <v/>
      </c>
      <c r="B946">
        <f>IFERROR(--SUBSTITUTE(SUBSTITUTE(TRIM(INDEX(INDIRECT("'Выгрузка'!A946:Z946"),Настройки!$B$9)),",","."),".",MID(1/2,2,1)),"")</f>
        <v/>
      </c>
      <c r="C946">
        <f>TRIM(INDEX(INDIRECT("'Выгрузка'!A946:Z946"),Настройки!$B$8)&amp;"")</f>
        <v/>
      </c>
      <c r="D946">
        <f>IFERROR(--SUBSTITUTE(SUBSTITUTE(TRIM(INDEX(INDIRECT("'Выгрузка'!A946:Z946"),Настройки!$B$10)),",","."),".",MID(1/2,2,1)),"")</f>
        <v/>
      </c>
      <c r="E946">
        <f>IFERROR(--SUBSTITUTE(SUBSTITUTE(TRIM(INDEX(INDIRECT("'Выгрузка'!A946:Z946"),Настройки!$B$11)),",","."),".",MID(1/2,2,1)),"")</f>
        <v/>
      </c>
      <c r="F946">
        <f>TRIM(INDEX(INDIRECT("'Выгрузка'!A946:Z946"),Настройки!$B$12)&amp;"")</f>
        <v/>
      </c>
      <c r="G946">
        <f>IF(F946="",0,IF(TRIM(INDEX(INDIRECT("'Выгрузка'!A946:Z946"),Настройки!$B$13)&amp;"")="",1,IFERROR(--SUBSTITUTE(SUBSTITUTE(TRIM(INDEX(INDIRECT("'Выгрузка'!A946:Z946"),Настройки!$B$13)),",","."),".",MID(1/2,2,1)),"")))</f>
        <v/>
      </c>
      <c r="H946">
        <f>IF(F946="",0,IF(COUNTIF(Настройки!$B$17:$B$26,F946)&gt;0,1,IF(COUNTIF(Настройки!$C$17:$C$26,F946)&gt;0,2,IF(COUNTIF(Настройки!$D$17:$D$26,F946)&gt;0,3,0))))</f>
        <v/>
      </c>
      <c r="I946">
        <f>IF(AND(ISNUMBER(A946),ISNUMBER(B946)),A946*1000+B946,"")</f>
        <v/>
      </c>
      <c r="J946">
        <f>IF(I946="","",IF(COUNTIF(I$2:I946,I946)=1,MAX(J$1:J945)+1,""))</f>
        <v/>
      </c>
    </row>
    <row r="947">
      <c r="A947">
        <f>IFERROR(--SUBSTITUTE(SUBSTITUTE(TRIM(INDEX(INDIRECT("'Выгрузка'!A947:Z947"),Настройки!$B$7)),",","."),".",MID(1/2,2,1)),"")</f>
        <v/>
      </c>
      <c r="B947">
        <f>IFERROR(--SUBSTITUTE(SUBSTITUTE(TRIM(INDEX(INDIRECT("'Выгрузка'!A947:Z947"),Настройки!$B$9)),",","."),".",MID(1/2,2,1)),"")</f>
        <v/>
      </c>
      <c r="C947">
        <f>TRIM(INDEX(INDIRECT("'Выгрузка'!A947:Z947"),Настройки!$B$8)&amp;"")</f>
        <v/>
      </c>
      <c r="D947">
        <f>IFERROR(--SUBSTITUTE(SUBSTITUTE(TRIM(INDEX(INDIRECT("'Выгрузка'!A947:Z947"),Настройки!$B$10)),",","."),".",MID(1/2,2,1)),"")</f>
        <v/>
      </c>
      <c r="E947">
        <f>IFERROR(--SUBSTITUTE(SUBSTITUTE(TRIM(INDEX(INDIRECT("'Выгрузка'!A947:Z947"),Настройки!$B$11)),",","."),".",MID(1/2,2,1)),"")</f>
        <v/>
      </c>
      <c r="F947">
        <f>TRIM(INDEX(INDIRECT("'Выгрузка'!A947:Z947"),Настройки!$B$12)&amp;"")</f>
        <v/>
      </c>
      <c r="G947">
        <f>IF(F947="",0,IF(TRIM(INDEX(INDIRECT("'Выгрузка'!A947:Z947"),Настройки!$B$13)&amp;"")="",1,IFERROR(--SUBSTITUTE(SUBSTITUTE(TRIM(INDEX(INDIRECT("'Выгрузка'!A947:Z947"),Настройки!$B$13)),",","."),".",MID(1/2,2,1)),"")))</f>
        <v/>
      </c>
      <c r="H947">
        <f>IF(F947="",0,IF(COUNTIF(Настройки!$B$17:$B$26,F947)&gt;0,1,IF(COUNTIF(Настройки!$C$17:$C$26,F947)&gt;0,2,IF(COUNTIF(Настройки!$D$17:$D$26,F947)&gt;0,3,0))))</f>
        <v/>
      </c>
      <c r="I947">
        <f>IF(AND(ISNUMBER(A947),ISNUMBER(B947)),A947*1000+B947,"")</f>
        <v/>
      </c>
      <c r="J947">
        <f>IF(I947="","",IF(COUNTIF(I$2:I947,I947)=1,MAX(J$1:J946)+1,""))</f>
        <v/>
      </c>
    </row>
    <row r="948">
      <c r="A948">
        <f>IFERROR(--SUBSTITUTE(SUBSTITUTE(TRIM(INDEX(INDIRECT("'Выгрузка'!A948:Z948"),Настройки!$B$7)),",","."),".",MID(1/2,2,1)),"")</f>
        <v/>
      </c>
      <c r="B948">
        <f>IFERROR(--SUBSTITUTE(SUBSTITUTE(TRIM(INDEX(INDIRECT("'Выгрузка'!A948:Z948"),Настройки!$B$9)),",","."),".",MID(1/2,2,1)),"")</f>
        <v/>
      </c>
      <c r="C948">
        <f>TRIM(INDEX(INDIRECT("'Выгрузка'!A948:Z948"),Настройки!$B$8)&amp;"")</f>
        <v/>
      </c>
      <c r="D948">
        <f>IFERROR(--SUBSTITUTE(SUBSTITUTE(TRIM(INDEX(INDIRECT("'Выгрузка'!A948:Z948"),Настройки!$B$10)),",","."),".",MID(1/2,2,1)),"")</f>
        <v/>
      </c>
      <c r="E948">
        <f>IFERROR(--SUBSTITUTE(SUBSTITUTE(TRIM(INDEX(INDIRECT("'Выгрузка'!A948:Z948"),Настройки!$B$11)),",","."),".",MID(1/2,2,1)),"")</f>
        <v/>
      </c>
      <c r="F948">
        <f>TRIM(INDEX(INDIRECT("'Выгрузка'!A948:Z948"),Настройки!$B$12)&amp;"")</f>
        <v/>
      </c>
      <c r="G948">
        <f>IF(F948="",0,IF(TRIM(INDEX(INDIRECT("'Выгрузка'!A948:Z948"),Настройки!$B$13)&amp;"")="",1,IFERROR(--SUBSTITUTE(SUBSTITUTE(TRIM(INDEX(INDIRECT("'Выгрузка'!A948:Z948"),Настройки!$B$13)),",","."),".",MID(1/2,2,1)),"")))</f>
        <v/>
      </c>
      <c r="H948">
        <f>IF(F948="",0,IF(COUNTIF(Настройки!$B$17:$B$26,F948)&gt;0,1,IF(COUNTIF(Настройки!$C$17:$C$26,F948)&gt;0,2,IF(COUNTIF(Настройки!$D$17:$D$26,F948)&gt;0,3,0))))</f>
        <v/>
      </c>
      <c r="I948">
        <f>IF(AND(ISNUMBER(A948),ISNUMBER(B948)),A948*1000+B948,"")</f>
        <v/>
      </c>
      <c r="J948">
        <f>IF(I948="","",IF(COUNTIF(I$2:I948,I948)=1,MAX(J$1:J947)+1,""))</f>
        <v/>
      </c>
    </row>
    <row r="949">
      <c r="A949">
        <f>IFERROR(--SUBSTITUTE(SUBSTITUTE(TRIM(INDEX(INDIRECT("'Выгрузка'!A949:Z949"),Настройки!$B$7)),",","."),".",MID(1/2,2,1)),"")</f>
        <v/>
      </c>
      <c r="B949">
        <f>IFERROR(--SUBSTITUTE(SUBSTITUTE(TRIM(INDEX(INDIRECT("'Выгрузка'!A949:Z949"),Настройки!$B$9)),",","."),".",MID(1/2,2,1)),"")</f>
        <v/>
      </c>
      <c r="C949">
        <f>TRIM(INDEX(INDIRECT("'Выгрузка'!A949:Z949"),Настройки!$B$8)&amp;"")</f>
        <v/>
      </c>
      <c r="D949">
        <f>IFERROR(--SUBSTITUTE(SUBSTITUTE(TRIM(INDEX(INDIRECT("'Выгрузка'!A949:Z949"),Настройки!$B$10)),",","."),".",MID(1/2,2,1)),"")</f>
        <v/>
      </c>
      <c r="E949">
        <f>IFERROR(--SUBSTITUTE(SUBSTITUTE(TRIM(INDEX(INDIRECT("'Выгрузка'!A949:Z949"),Настройки!$B$11)),",","."),".",MID(1/2,2,1)),"")</f>
        <v/>
      </c>
      <c r="F949">
        <f>TRIM(INDEX(INDIRECT("'Выгрузка'!A949:Z949"),Настройки!$B$12)&amp;"")</f>
        <v/>
      </c>
      <c r="G949">
        <f>IF(F949="",0,IF(TRIM(INDEX(INDIRECT("'Выгрузка'!A949:Z949"),Настройки!$B$13)&amp;"")="",1,IFERROR(--SUBSTITUTE(SUBSTITUTE(TRIM(INDEX(INDIRECT("'Выгрузка'!A949:Z949"),Настройки!$B$13)),",","."),".",MID(1/2,2,1)),"")))</f>
        <v/>
      </c>
      <c r="H949">
        <f>IF(F949="",0,IF(COUNTIF(Настройки!$B$17:$B$26,F949)&gt;0,1,IF(COUNTIF(Настройки!$C$17:$C$26,F949)&gt;0,2,IF(COUNTIF(Настройки!$D$17:$D$26,F949)&gt;0,3,0))))</f>
        <v/>
      </c>
      <c r="I949">
        <f>IF(AND(ISNUMBER(A949),ISNUMBER(B949)),A949*1000+B949,"")</f>
        <v/>
      </c>
      <c r="J949">
        <f>IF(I949="","",IF(COUNTIF(I$2:I949,I949)=1,MAX(J$1:J948)+1,""))</f>
        <v/>
      </c>
    </row>
    <row r="950">
      <c r="A950">
        <f>IFERROR(--SUBSTITUTE(SUBSTITUTE(TRIM(INDEX(INDIRECT("'Выгрузка'!A950:Z950"),Настройки!$B$7)),",","."),".",MID(1/2,2,1)),"")</f>
        <v/>
      </c>
      <c r="B950">
        <f>IFERROR(--SUBSTITUTE(SUBSTITUTE(TRIM(INDEX(INDIRECT("'Выгрузка'!A950:Z950"),Настройки!$B$9)),",","."),".",MID(1/2,2,1)),"")</f>
        <v/>
      </c>
      <c r="C950">
        <f>TRIM(INDEX(INDIRECT("'Выгрузка'!A950:Z950"),Настройки!$B$8)&amp;"")</f>
        <v/>
      </c>
      <c r="D950">
        <f>IFERROR(--SUBSTITUTE(SUBSTITUTE(TRIM(INDEX(INDIRECT("'Выгрузка'!A950:Z950"),Настройки!$B$10)),",","."),".",MID(1/2,2,1)),"")</f>
        <v/>
      </c>
      <c r="E950">
        <f>IFERROR(--SUBSTITUTE(SUBSTITUTE(TRIM(INDEX(INDIRECT("'Выгрузка'!A950:Z950"),Настройки!$B$11)),",","."),".",MID(1/2,2,1)),"")</f>
        <v/>
      </c>
      <c r="F950">
        <f>TRIM(INDEX(INDIRECT("'Выгрузка'!A950:Z950"),Настройки!$B$12)&amp;"")</f>
        <v/>
      </c>
      <c r="G950">
        <f>IF(F950="",0,IF(TRIM(INDEX(INDIRECT("'Выгрузка'!A950:Z950"),Настройки!$B$13)&amp;"")="",1,IFERROR(--SUBSTITUTE(SUBSTITUTE(TRIM(INDEX(INDIRECT("'Выгрузка'!A950:Z950"),Настройки!$B$13)),",","."),".",MID(1/2,2,1)),"")))</f>
        <v/>
      </c>
      <c r="H950">
        <f>IF(F950="",0,IF(COUNTIF(Настройки!$B$17:$B$26,F950)&gt;0,1,IF(COUNTIF(Настройки!$C$17:$C$26,F950)&gt;0,2,IF(COUNTIF(Настройки!$D$17:$D$26,F950)&gt;0,3,0))))</f>
        <v/>
      </c>
      <c r="I950">
        <f>IF(AND(ISNUMBER(A950),ISNUMBER(B950)),A950*1000+B950,"")</f>
        <v/>
      </c>
      <c r="J950">
        <f>IF(I950="","",IF(COUNTIF(I$2:I950,I950)=1,MAX(J$1:J949)+1,""))</f>
        <v/>
      </c>
    </row>
    <row r="951">
      <c r="A951">
        <f>IFERROR(--SUBSTITUTE(SUBSTITUTE(TRIM(INDEX(INDIRECT("'Выгрузка'!A951:Z951"),Настройки!$B$7)),",","."),".",MID(1/2,2,1)),"")</f>
        <v/>
      </c>
      <c r="B951">
        <f>IFERROR(--SUBSTITUTE(SUBSTITUTE(TRIM(INDEX(INDIRECT("'Выгрузка'!A951:Z951"),Настройки!$B$9)),",","."),".",MID(1/2,2,1)),"")</f>
        <v/>
      </c>
      <c r="C951">
        <f>TRIM(INDEX(INDIRECT("'Выгрузка'!A951:Z951"),Настройки!$B$8)&amp;"")</f>
        <v/>
      </c>
      <c r="D951">
        <f>IFERROR(--SUBSTITUTE(SUBSTITUTE(TRIM(INDEX(INDIRECT("'Выгрузка'!A951:Z951"),Настройки!$B$10)),",","."),".",MID(1/2,2,1)),"")</f>
        <v/>
      </c>
      <c r="E951">
        <f>IFERROR(--SUBSTITUTE(SUBSTITUTE(TRIM(INDEX(INDIRECT("'Выгрузка'!A951:Z951"),Настройки!$B$11)),",","."),".",MID(1/2,2,1)),"")</f>
        <v/>
      </c>
      <c r="F951">
        <f>TRIM(INDEX(INDIRECT("'Выгрузка'!A951:Z951"),Настройки!$B$12)&amp;"")</f>
        <v/>
      </c>
      <c r="G951">
        <f>IF(F951="",0,IF(TRIM(INDEX(INDIRECT("'Выгрузка'!A951:Z951"),Настройки!$B$13)&amp;"")="",1,IFERROR(--SUBSTITUTE(SUBSTITUTE(TRIM(INDEX(INDIRECT("'Выгрузка'!A951:Z951"),Настройки!$B$13)),",","."),".",MID(1/2,2,1)),"")))</f>
        <v/>
      </c>
      <c r="H951">
        <f>IF(F951="",0,IF(COUNTIF(Настройки!$B$17:$B$26,F951)&gt;0,1,IF(COUNTIF(Настройки!$C$17:$C$26,F951)&gt;0,2,IF(COUNTIF(Настройки!$D$17:$D$26,F951)&gt;0,3,0))))</f>
        <v/>
      </c>
      <c r="I951">
        <f>IF(AND(ISNUMBER(A951),ISNUMBER(B951)),A951*1000+B951,"")</f>
        <v/>
      </c>
      <c r="J951">
        <f>IF(I951="","",IF(COUNTIF(I$2:I951,I951)=1,MAX(J$1:J950)+1,""))</f>
        <v/>
      </c>
    </row>
    <row r="952">
      <c r="A952">
        <f>IFERROR(--SUBSTITUTE(SUBSTITUTE(TRIM(INDEX(INDIRECT("'Выгрузка'!A952:Z952"),Настройки!$B$7)),",","."),".",MID(1/2,2,1)),"")</f>
        <v/>
      </c>
      <c r="B952">
        <f>IFERROR(--SUBSTITUTE(SUBSTITUTE(TRIM(INDEX(INDIRECT("'Выгрузка'!A952:Z952"),Настройки!$B$9)),",","."),".",MID(1/2,2,1)),"")</f>
        <v/>
      </c>
      <c r="C952">
        <f>TRIM(INDEX(INDIRECT("'Выгрузка'!A952:Z952"),Настройки!$B$8)&amp;"")</f>
        <v/>
      </c>
      <c r="D952">
        <f>IFERROR(--SUBSTITUTE(SUBSTITUTE(TRIM(INDEX(INDIRECT("'Выгрузка'!A952:Z952"),Настройки!$B$10)),",","."),".",MID(1/2,2,1)),"")</f>
        <v/>
      </c>
      <c r="E952">
        <f>IFERROR(--SUBSTITUTE(SUBSTITUTE(TRIM(INDEX(INDIRECT("'Выгрузка'!A952:Z952"),Настройки!$B$11)),",","."),".",MID(1/2,2,1)),"")</f>
        <v/>
      </c>
      <c r="F952">
        <f>TRIM(INDEX(INDIRECT("'Выгрузка'!A952:Z952"),Настройки!$B$12)&amp;"")</f>
        <v/>
      </c>
      <c r="G952">
        <f>IF(F952="",0,IF(TRIM(INDEX(INDIRECT("'Выгрузка'!A952:Z952"),Настройки!$B$13)&amp;"")="",1,IFERROR(--SUBSTITUTE(SUBSTITUTE(TRIM(INDEX(INDIRECT("'Выгрузка'!A952:Z952"),Настройки!$B$13)),",","."),".",MID(1/2,2,1)),"")))</f>
        <v/>
      </c>
      <c r="H952">
        <f>IF(F952="",0,IF(COUNTIF(Настройки!$B$17:$B$26,F952)&gt;0,1,IF(COUNTIF(Настройки!$C$17:$C$26,F952)&gt;0,2,IF(COUNTIF(Настройки!$D$17:$D$26,F952)&gt;0,3,0))))</f>
        <v/>
      </c>
      <c r="I952">
        <f>IF(AND(ISNUMBER(A952),ISNUMBER(B952)),A952*1000+B952,"")</f>
        <v/>
      </c>
      <c r="J952">
        <f>IF(I952="","",IF(COUNTIF(I$2:I952,I952)=1,MAX(J$1:J951)+1,""))</f>
        <v/>
      </c>
    </row>
    <row r="953">
      <c r="A953">
        <f>IFERROR(--SUBSTITUTE(SUBSTITUTE(TRIM(INDEX(INDIRECT("'Выгрузка'!A953:Z953"),Настройки!$B$7)),",","."),".",MID(1/2,2,1)),"")</f>
        <v/>
      </c>
      <c r="B953">
        <f>IFERROR(--SUBSTITUTE(SUBSTITUTE(TRIM(INDEX(INDIRECT("'Выгрузка'!A953:Z953"),Настройки!$B$9)),",","."),".",MID(1/2,2,1)),"")</f>
        <v/>
      </c>
      <c r="C953">
        <f>TRIM(INDEX(INDIRECT("'Выгрузка'!A953:Z953"),Настройки!$B$8)&amp;"")</f>
        <v/>
      </c>
      <c r="D953">
        <f>IFERROR(--SUBSTITUTE(SUBSTITUTE(TRIM(INDEX(INDIRECT("'Выгрузка'!A953:Z953"),Настройки!$B$10)),",","."),".",MID(1/2,2,1)),"")</f>
        <v/>
      </c>
      <c r="E953">
        <f>IFERROR(--SUBSTITUTE(SUBSTITUTE(TRIM(INDEX(INDIRECT("'Выгрузка'!A953:Z953"),Настройки!$B$11)),",","."),".",MID(1/2,2,1)),"")</f>
        <v/>
      </c>
      <c r="F953">
        <f>TRIM(INDEX(INDIRECT("'Выгрузка'!A953:Z953"),Настройки!$B$12)&amp;"")</f>
        <v/>
      </c>
      <c r="G953">
        <f>IF(F953="",0,IF(TRIM(INDEX(INDIRECT("'Выгрузка'!A953:Z953"),Настройки!$B$13)&amp;"")="",1,IFERROR(--SUBSTITUTE(SUBSTITUTE(TRIM(INDEX(INDIRECT("'Выгрузка'!A953:Z953"),Настройки!$B$13)),",","."),".",MID(1/2,2,1)),"")))</f>
        <v/>
      </c>
      <c r="H953">
        <f>IF(F953="",0,IF(COUNTIF(Настройки!$B$17:$B$26,F953)&gt;0,1,IF(COUNTIF(Настройки!$C$17:$C$26,F953)&gt;0,2,IF(COUNTIF(Настройки!$D$17:$D$26,F953)&gt;0,3,0))))</f>
        <v/>
      </c>
      <c r="I953">
        <f>IF(AND(ISNUMBER(A953),ISNUMBER(B953)),A953*1000+B953,"")</f>
        <v/>
      </c>
      <c r="J953">
        <f>IF(I953="","",IF(COUNTIF(I$2:I953,I953)=1,MAX(J$1:J952)+1,""))</f>
        <v/>
      </c>
    </row>
    <row r="954">
      <c r="A954">
        <f>IFERROR(--SUBSTITUTE(SUBSTITUTE(TRIM(INDEX(INDIRECT("'Выгрузка'!A954:Z954"),Настройки!$B$7)),",","."),".",MID(1/2,2,1)),"")</f>
        <v/>
      </c>
      <c r="B954">
        <f>IFERROR(--SUBSTITUTE(SUBSTITUTE(TRIM(INDEX(INDIRECT("'Выгрузка'!A954:Z954"),Настройки!$B$9)),",","."),".",MID(1/2,2,1)),"")</f>
        <v/>
      </c>
      <c r="C954">
        <f>TRIM(INDEX(INDIRECT("'Выгрузка'!A954:Z954"),Настройки!$B$8)&amp;"")</f>
        <v/>
      </c>
      <c r="D954">
        <f>IFERROR(--SUBSTITUTE(SUBSTITUTE(TRIM(INDEX(INDIRECT("'Выгрузка'!A954:Z954"),Настройки!$B$10)),",","."),".",MID(1/2,2,1)),"")</f>
        <v/>
      </c>
      <c r="E954">
        <f>IFERROR(--SUBSTITUTE(SUBSTITUTE(TRIM(INDEX(INDIRECT("'Выгрузка'!A954:Z954"),Настройки!$B$11)),",","."),".",MID(1/2,2,1)),"")</f>
        <v/>
      </c>
      <c r="F954">
        <f>TRIM(INDEX(INDIRECT("'Выгрузка'!A954:Z954"),Настройки!$B$12)&amp;"")</f>
        <v/>
      </c>
      <c r="G954">
        <f>IF(F954="",0,IF(TRIM(INDEX(INDIRECT("'Выгрузка'!A954:Z954"),Настройки!$B$13)&amp;"")="",1,IFERROR(--SUBSTITUTE(SUBSTITUTE(TRIM(INDEX(INDIRECT("'Выгрузка'!A954:Z954"),Настройки!$B$13)),",","."),".",MID(1/2,2,1)),"")))</f>
        <v/>
      </c>
      <c r="H954">
        <f>IF(F954="",0,IF(COUNTIF(Настройки!$B$17:$B$26,F954)&gt;0,1,IF(COUNTIF(Настройки!$C$17:$C$26,F954)&gt;0,2,IF(COUNTIF(Настройки!$D$17:$D$26,F954)&gt;0,3,0))))</f>
        <v/>
      </c>
      <c r="I954">
        <f>IF(AND(ISNUMBER(A954),ISNUMBER(B954)),A954*1000+B954,"")</f>
        <v/>
      </c>
      <c r="J954">
        <f>IF(I954="","",IF(COUNTIF(I$2:I954,I954)=1,MAX(J$1:J953)+1,""))</f>
        <v/>
      </c>
    </row>
    <row r="955">
      <c r="A955">
        <f>IFERROR(--SUBSTITUTE(SUBSTITUTE(TRIM(INDEX(INDIRECT("'Выгрузка'!A955:Z955"),Настройки!$B$7)),",","."),".",MID(1/2,2,1)),"")</f>
        <v/>
      </c>
      <c r="B955">
        <f>IFERROR(--SUBSTITUTE(SUBSTITUTE(TRIM(INDEX(INDIRECT("'Выгрузка'!A955:Z955"),Настройки!$B$9)),",","."),".",MID(1/2,2,1)),"")</f>
        <v/>
      </c>
      <c r="C955">
        <f>TRIM(INDEX(INDIRECT("'Выгрузка'!A955:Z955"),Настройки!$B$8)&amp;"")</f>
        <v/>
      </c>
      <c r="D955">
        <f>IFERROR(--SUBSTITUTE(SUBSTITUTE(TRIM(INDEX(INDIRECT("'Выгрузка'!A955:Z955"),Настройки!$B$10)),",","."),".",MID(1/2,2,1)),"")</f>
        <v/>
      </c>
      <c r="E955">
        <f>IFERROR(--SUBSTITUTE(SUBSTITUTE(TRIM(INDEX(INDIRECT("'Выгрузка'!A955:Z955"),Настройки!$B$11)),",","."),".",MID(1/2,2,1)),"")</f>
        <v/>
      </c>
      <c r="F955">
        <f>TRIM(INDEX(INDIRECT("'Выгрузка'!A955:Z955"),Настройки!$B$12)&amp;"")</f>
        <v/>
      </c>
      <c r="G955">
        <f>IF(F955="",0,IF(TRIM(INDEX(INDIRECT("'Выгрузка'!A955:Z955"),Настройки!$B$13)&amp;"")="",1,IFERROR(--SUBSTITUTE(SUBSTITUTE(TRIM(INDEX(INDIRECT("'Выгрузка'!A955:Z955"),Настройки!$B$13)),",","."),".",MID(1/2,2,1)),"")))</f>
        <v/>
      </c>
      <c r="H955">
        <f>IF(F955="",0,IF(COUNTIF(Настройки!$B$17:$B$26,F955)&gt;0,1,IF(COUNTIF(Настройки!$C$17:$C$26,F955)&gt;0,2,IF(COUNTIF(Настройки!$D$17:$D$26,F955)&gt;0,3,0))))</f>
        <v/>
      </c>
      <c r="I955">
        <f>IF(AND(ISNUMBER(A955),ISNUMBER(B955)),A955*1000+B955,"")</f>
        <v/>
      </c>
      <c r="J955">
        <f>IF(I955="","",IF(COUNTIF(I$2:I955,I955)=1,MAX(J$1:J954)+1,""))</f>
        <v/>
      </c>
    </row>
    <row r="956">
      <c r="A956">
        <f>IFERROR(--SUBSTITUTE(SUBSTITUTE(TRIM(INDEX(INDIRECT("'Выгрузка'!A956:Z956"),Настройки!$B$7)),",","."),".",MID(1/2,2,1)),"")</f>
        <v/>
      </c>
      <c r="B956">
        <f>IFERROR(--SUBSTITUTE(SUBSTITUTE(TRIM(INDEX(INDIRECT("'Выгрузка'!A956:Z956"),Настройки!$B$9)),",","."),".",MID(1/2,2,1)),"")</f>
        <v/>
      </c>
      <c r="C956">
        <f>TRIM(INDEX(INDIRECT("'Выгрузка'!A956:Z956"),Настройки!$B$8)&amp;"")</f>
        <v/>
      </c>
      <c r="D956">
        <f>IFERROR(--SUBSTITUTE(SUBSTITUTE(TRIM(INDEX(INDIRECT("'Выгрузка'!A956:Z956"),Настройки!$B$10)),",","."),".",MID(1/2,2,1)),"")</f>
        <v/>
      </c>
      <c r="E956">
        <f>IFERROR(--SUBSTITUTE(SUBSTITUTE(TRIM(INDEX(INDIRECT("'Выгрузка'!A956:Z956"),Настройки!$B$11)),",","."),".",MID(1/2,2,1)),"")</f>
        <v/>
      </c>
      <c r="F956">
        <f>TRIM(INDEX(INDIRECT("'Выгрузка'!A956:Z956"),Настройки!$B$12)&amp;"")</f>
        <v/>
      </c>
      <c r="G956">
        <f>IF(F956="",0,IF(TRIM(INDEX(INDIRECT("'Выгрузка'!A956:Z956"),Настройки!$B$13)&amp;"")="",1,IFERROR(--SUBSTITUTE(SUBSTITUTE(TRIM(INDEX(INDIRECT("'Выгрузка'!A956:Z956"),Настройки!$B$13)),",","."),".",MID(1/2,2,1)),"")))</f>
        <v/>
      </c>
      <c r="H956">
        <f>IF(F956="",0,IF(COUNTIF(Настройки!$B$17:$B$26,F956)&gt;0,1,IF(COUNTIF(Настройки!$C$17:$C$26,F956)&gt;0,2,IF(COUNTIF(Настройки!$D$17:$D$26,F956)&gt;0,3,0))))</f>
        <v/>
      </c>
      <c r="I956">
        <f>IF(AND(ISNUMBER(A956),ISNUMBER(B956)),A956*1000+B956,"")</f>
        <v/>
      </c>
      <c r="J956">
        <f>IF(I956="","",IF(COUNTIF(I$2:I956,I956)=1,MAX(J$1:J955)+1,""))</f>
        <v/>
      </c>
    </row>
    <row r="957">
      <c r="A957">
        <f>IFERROR(--SUBSTITUTE(SUBSTITUTE(TRIM(INDEX(INDIRECT("'Выгрузка'!A957:Z957"),Настройки!$B$7)),",","."),".",MID(1/2,2,1)),"")</f>
        <v/>
      </c>
      <c r="B957">
        <f>IFERROR(--SUBSTITUTE(SUBSTITUTE(TRIM(INDEX(INDIRECT("'Выгрузка'!A957:Z957"),Настройки!$B$9)),",","."),".",MID(1/2,2,1)),"")</f>
        <v/>
      </c>
      <c r="C957">
        <f>TRIM(INDEX(INDIRECT("'Выгрузка'!A957:Z957"),Настройки!$B$8)&amp;"")</f>
        <v/>
      </c>
      <c r="D957">
        <f>IFERROR(--SUBSTITUTE(SUBSTITUTE(TRIM(INDEX(INDIRECT("'Выгрузка'!A957:Z957"),Настройки!$B$10)),",","."),".",MID(1/2,2,1)),"")</f>
        <v/>
      </c>
      <c r="E957">
        <f>IFERROR(--SUBSTITUTE(SUBSTITUTE(TRIM(INDEX(INDIRECT("'Выгрузка'!A957:Z957"),Настройки!$B$11)),",","."),".",MID(1/2,2,1)),"")</f>
        <v/>
      </c>
      <c r="F957">
        <f>TRIM(INDEX(INDIRECT("'Выгрузка'!A957:Z957"),Настройки!$B$12)&amp;"")</f>
        <v/>
      </c>
      <c r="G957">
        <f>IF(F957="",0,IF(TRIM(INDEX(INDIRECT("'Выгрузка'!A957:Z957"),Настройки!$B$13)&amp;"")="",1,IFERROR(--SUBSTITUTE(SUBSTITUTE(TRIM(INDEX(INDIRECT("'Выгрузка'!A957:Z957"),Настройки!$B$13)),",","."),".",MID(1/2,2,1)),"")))</f>
        <v/>
      </c>
      <c r="H957">
        <f>IF(F957="",0,IF(COUNTIF(Настройки!$B$17:$B$26,F957)&gt;0,1,IF(COUNTIF(Настройки!$C$17:$C$26,F957)&gt;0,2,IF(COUNTIF(Настройки!$D$17:$D$26,F957)&gt;0,3,0))))</f>
        <v/>
      </c>
      <c r="I957">
        <f>IF(AND(ISNUMBER(A957),ISNUMBER(B957)),A957*1000+B957,"")</f>
        <v/>
      </c>
      <c r="J957">
        <f>IF(I957="","",IF(COUNTIF(I$2:I957,I957)=1,MAX(J$1:J956)+1,""))</f>
        <v/>
      </c>
    </row>
    <row r="958">
      <c r="A958">
        <f>IFERROR(--SUBSTITUTE(SUBSTITUTE(TRIM(INDEX(INDIRECT("'Выгрузка'!A958:Z958"),Настройки!$B$7)),",","."),".",MID(1/2,2,1)),"")</f>
        <v/>
      </c>
      <c r="B958">
        <f>IFERROR(--SUBSTITUTE(SUBSTITUTE(TRIM(INDEX(INDIRECT("'Выгрузка'!A958:Z958"),Настройки!$B$9)),",","."),".",MID(1/2,2,1)),"")</f>
        <v/>
      </c>
      <c r="C958">
        <f>TRIM(INDEX(INDIRECT("'Выгрузка'!A958:Z958"),Настройки!$B$8)&amp;"")</f>
        <v/>
      </c>
      <c r="D958">
        <f>IFERROR(--SUBSTITUTE(SUBSTITUTE(TRIM(INDEX(INDIRECT("'Выгрузка'!A958:Z958"),Настройки!$B$10)),",","."),".",MID(1/2,2,1)),"")</f>
        <v/>
      </c>
      <c r="E958">
        <f>IFERROR(--SUBSTITUTE(SUBSTITUTE(TRIM(INDEX(INDIRECT("'Выгрузка'!A958:Z958"),Настройки!$B$11)),",","."),".",MID(1/2,2,1)),"")</f>
        <v/>
      </c>
      <c r="F958">
        <f>TRIM(INDEX(INDIRECT("'Выгрузка'!A958:Z958"),Настройки!$B$12)&amp;"")</f>
        <v/>
      </c>
      <c r="G958">
        <f>IF(F958="",0,IF(TRIM(INDEX(INDIRECT("'Выгрузка'!A958:Z958"),Настройки!$B$13)&amp;"")="",1,IFERROR(--SUBSTITUTE(SUBSTITUTE(TRIM(INDEX(INDIRECT("'Выгрузка'!A958:Z958"),Настройки!$B$13)),",","."),".",MID(1/2,2,1)),"")))</f>
        <v/>
      </c>
      <c r="H958">
        <f>IF(F958="",0,IF(COUNTIF(Настройки!$B$17:$B$26,F958)&gt;0,1,IF(COUNTIF(Настройки!$C$17:$C$26,F958)&gt;0,2,IF(COUNTIF(Настройки!$D$17:$D$26,F958)&gt;0,3,0))))</f>
        <v/>
      </c>
      <c r="I958">
        <f>IF(AND(ISNUMBER(A958),ISNUMBER(B958)),A958*1000+B958,"")</f>
        <v/>
      </c>
      <c r="J958">
        <f>IF(I958="","",IF(COUNTIF(I$2:I958,I958)=1,MAX(J$1:J957)+1,""))</f>
        <v/>
      </c>
    </row>
    <row r="959">
      <c r="A959">
        <f>IFERROR(--SUBSTITUTE(SUBSTITUTE(TRIM(INDEX(INDIRECT("'Выгрузка'!A959:Z959"),Настройки!$B$7)),",","."),".",MID(1/2,2,1)),"")</f>
        <v/>
      </c>
      <c r="B959">
        <f>IFERROR(--SUBSTITUTE(SUBSTITUTE(TRIM(INDEX(INDIRECT("'Выгрузка'!A959:Z959"),Настройки!$B$9)),",","."),".",MID(1/2,2,1)),"")</f>
        <v/>
      </c>
      <c r="C959">
        <f>TRIM(INDEX(INDIRECT("'Выгрузка'!A959:Z959"),Настройки!$B$8)&amp;"")</f>
        <v/>
      </c>
      <c r="D959">
        <f>IFERROR(--SUBSTITUTE(SUBSTITUTE(TRIM(INDEX(INDIRECT("'Выгрузка'!A959:Z959"),Настройки!$B$10)),",","."),".",MID(1/2,2,1)),"")</f>
        <v/>
      </c>
      <c r="E959">
        <f>IFERROR(--SUBSTITUTE(SUBSTITUTE(TRIM(INDEX(INDIRECT("'Выгрузка'!A959:Z959"),Настройки!$B$11)),",","."),".",MID(1/2,2,1)),"")</f>
        <v/>
      </c>
      <c r="F959">
        <f>TRIM(INDEX(INDIRECT("'Выгрузка'!A959:Z959"),Настройки!$B$12)&amp;"")</f>
        <v/>
      </c>
      <c r="G959">
        <f>IF(F959="",0,IF(TRIM(INDEX(INDIRECT("'Выгрузка'!A959:Z959"),Настройки!$B$13)&amp;"")="",1,IFERROR(--SUBSTITUTE(SUBSTITUTE(TRIM(INDEX(INDIRECT("'Выгрузка'!A959:Z959"),Настройки!$B$13)),",","."),".",MID(1/2,2,1)),"")))</f>
        <v/>
      </c>
      <c r="H959">
        <f>IF(F959="",0,IF(COUNTIF(Настройки!$B$17:$B$26,F959)&gt;0,1,IF(COUNTIF(Настройки!$C$17:$C$26,F959)&gt;0,2,IF(COUNTIF(Настройки!$D$17:$D$26,F959)&gt;0,3,0))))</f>
        <v/>
      </c>
      <c r="I959">
        <f>IF(AND(ISNUMBER(A959),ISNUMBER(B959)),A959*1000+B959,"")</f>
        <v/>
      </c>
      <c r="J959">
        <f>IF(I959="","",IF(COUNTIF(I$2:I959,I959)=1,MAX(J$1:J958)+1,""))</f>
        <v/>
      </c>
    </row>
    <row r="960">
      <c r="A960">
        <f>IFERROR(--SUBSTITUTE(SUBSTITUTE(TRIM(INDEX(INDIRECT("'Выгрузка'!A960:Z960"),Настройки!$B$7)),",","."),".",MID(1/2,2,1)),"")</f>
        <v/>
      </c>
      <c r="B960">
        <f>IFERROR(--SUBSTITUTE(SUBSTITUTE(TRIM(INDEX(INDIRECT("'Выгрузка'!A960:Z960"),Настройки!$B$9)),",","."),".",MID(1/2,2,1)),"")</f>
        <v/>
      </c>
      <c r="C960">
        <f>TRIM(INDEX(INDIRECT("'Выгрузка'!A960:Z960"),Настройки!$B$8)&amp;"")</f>
        <v/>
      </c>
      <c r="D960">
        <f>IFERROR(--SUBSTITUTE(SUBSTITUTE(TRIM(INDEX(INDIRECT("'Выгрузка'!A960:Z960"),Настройки!$B$10)),",","."),".",MID(1/2,2,1)),"")</f>
        <v/>
      </c>
      <c r="E960">
        <f>IFERROR(--SUBSTITUTE(SUBSTITUTE(TRIM(INDEX(INDIRECT("'Выгрузка'!A960:Z960"),Настройки!$B$11)),",","."),".",MID(1/2,2,1)),"")</f>
        <v/>
      </c>
      <c r="F960">
        <f>TRIM(INDEX(INDIRECT("'Выгрузка'!A960:Z960"),Настройки!$B$12)&amp;"")</f>
        <v/>
      </c>
      <c r="G960">
        <f>IF(F960="",0,IF(TRIM(INDEX(INDIRECT("'Выгрузка'!A960:Z960"),Настройки!$B$13)&amp;"")="",1,IFERROR(--SUBSTITUTE(SUBSTITUTE(TRIM(INDEX(INDIRECT("'Выгрузка'!A960:Z960"),Настройки!$B$13)),",","."),".",MID(1/2,2,1)),"")))</f>
        <v/>
      </c>
      <c r="H960">
        <f>IF(F960="",0,IF(COUNTIF(Настройки!$B$17:$B$26,F960)&gt;0,1,IF(COUNTIF(Настройки!$C$17:$C$26,F960)&gt;0,2,IF(COUNTIF(Настройки!$D$17:$D$26,F960)&gt;0,3,0))))</f>
        <v/>
      </c>
      <c r="I960">
        <f>IF(AND(ISNUMBER(A960),ISNUMBER(B960)),A960*1000+B960,"")</f>
        <v/>
      </c>
      <c r="J960">
        <f>IF(I960="","",IF(COUNTIF(I$2:I960,I960)=1,MAX(J$1:J959)+1,""))</f>
        <v/>
      </c>
    </row>
    <row r="961">
      <c r="A961">
        <f>IFERROR(--SUBSTITUTE(SUBSTITUTE(TRIM(INDEX(INDIRECT("'Выгрузка'!A961:Z961"),Настройки!$B$7)),",","."),".",MID(1/2,2,1)),"")</f>
        <v/>
      </c>
      <c r="B961">
        <f>IFERROR(--SUBSTITUTE(SUBSTITUTE(TRIM(INDEX(INDIRECT("'Выгрузка'!A961:Z961"),Настройки!$B$9)),",","."),".",MID(1/2,2,1)),"")</f>
        <v/>
      </c>
      <c r="C961">
        <f>TRIM(INDEX(INDIRECT("'Выгрузка'!A961:Z961"),Настройки!$B$8)&amp;"")</f>
        <v/>
      </c>
      <c r="D961">
        <f>IFERROR(--SUBSTITUTE(SUBSTITUTE(TRIM(INDEX(INDIRECT("'Выгрузка'!A961:Z961"),Настройки!$B$10)),",","."),".",MID(1/2,2,1)),"")</f>
        <v/>
      </c>
      <c r="E961">
        <f>IFERROR(--SUBSTITUTE(SUBSTITUTE(TRIM(INDEX(INDIRECT("'Выгрузка'!A961:Z961"),Настройки!$B$11)),",","."),".",MID(1/2,2,1)),"")</f>
        <v/>
      </c>
      <c r="F961">
        <f>TRIM(INDEX(INDIRECT("'Выгрузка'!A961:Z961"),Настройки!$B$12)&amp;"")</f>
        <v/>
      </c>
      <c r="G961">
        <f>IF(F961="",0,IF(TRIM(INDEX(INDIRECT("'Выгрузка'!A961:Z961"),Настройки!$B$13)&amp;"")="",1,IFERROR(--SUBSTITUTE(SUBSTITUTE(TRIM(INDEX(INDIRECT("'Выгрузка'!A961:Z961"),Настройки!$B$13)),",","."),".",MID(1/2,2,1)),"")))</f>
        <v/>
      </c>
      <c r="H961">
        <f>IF(F961="",0,IF(COUNTIF(Настройки!$B$17:$B$26,F961)&gt;0,1,IF(COUNTIF(Настройки!$C$17:$C$26,F961)&gt;0,2,IF(COUNTIF(Настройки!$D$17:$D$26,F961)&gt;0,3,0))))</f>
        <v/>
      </c>
      <c r="I961">
        <f>IF(AND(ISNUMBER(A961),ISNUMBER(B961)),A961*1000+B961,"")</f>
        <v/>
      </c>
      <c r="J961">
        <f>IF(I961="","",IF(COUNTIF(I$2:I961,I961)=1,MAX(J$1:J960)+1,""))</f>
        <v/>
      </c>
    </row>
    <row r="962">
      <c r="A962">
        <f>IFERROR(--SUBSTITUTE(SUBSTITUTE(TRIM(INDEX(INDIRECT("'Выгрузка'!A962:Z962"),Настройки!$B$7)),",","."),".",MID(1/2,2,1)),"")</f>
        <v/>
      </c>
      <c r="B962">
        <f>IFERROR(--SUBSTITUTE(SUBSTITUTE(TRIM(INDEX(INDIRECT("'Выгрузка'!A962:Z962"),Настройки!$B$9)),",","."),".",MID(1/2,2,1)),"")</f>
        <v/>
      </c>
      <c r="C962">
        <f>TRIM(INDEX(INDIRECT("'Выгрузка'!A962:Z962"),Настройки!$B$8)&amp;"")</f>
        <v/>
      </c>
      <c r="D962">
        <f>IFERROR(--SUBSTITUTE(SUBSTITUTE(TRIM(INDEX(INDIRECT("'Выгрузка'!A962:Z962"),Настройки!$B$10)),",","."),".",MID(1/2,2,1)),"")</f>
        <v/>
      </c>
      <c r="E962">
        <f>IFERROR(--SUBSTITUTE(SUBSTITUTE(TRIM(INDEX(INDIRECT("'Выгрузка'!A962:Z962"),Настройки!$B$11)),",","."),".",MID(1/2,2,1)),"")</f>
        <v/>
      </c>
      <c r="F962">
        <f>TRIM(INDEX(INDIRECT("'Выгрузка'!A962:Z962"),Настройки!$B$12)&amp;"")</f>
        <v/>
      </c>
      <c r="G962">
        <f>IF(F962="",0,IF(TRIM(INDEX(INDIRECT("'Выгрузка'!A962:Z962"),Настройки!$B$13)&amp;"")="",1,IFERROR(--SUBSTITUTE(SUBSTITUTE(TRIM(INDEX(INDIRECT("'Выгрузка'!A962:Z962"),Настройки!$B$13)),",","."),".",MID(1/2,2,1)),"")))</f>
        <v/>
      </c>
      <c r="H962">
        <f>IF(F962="",0,IF(COUNTIF(Настройки!$B$17:$B$26,F962)&gt;0,1,IF(COUNTIF(Настройки!$C$17:$C$26,F962)&gt;0,2,IF(COUNTIF(Настройки!$D$17:$D$26,F962)&gt;0,3,0))))</f>
        <v/>
      </c>
      <c r="I962">
        <f>IF(AND(ISNUMBER(A962),ISNUMBER(B962)),A962*1000+B962,"")</f>
        <v/>
      </c>
      <c r="J962">
        <f>IF(I962="","",IF(COUNTIF(I$2:I962,I962)=1,MAX(J$1:J961)+1,""))</f>
        <v/>
      </c>
    </row>
    <row r="963">
      <c r="A963">
        <f>IFERROR(--SUBSTITUTE(SUBSTITUTE(TRIM(INDEX(INDIRECT("'Выгрузка'!A963:Z963"),Настройки!$B$7)),",","."),".",MID(1/2,2,1)),"")</f>
        <v/>
      </c>
      <c r="B963">
        <f>IFERROR(--SUBSTITUTE(SUBSTITUTE(TRIM(INDEX(INDIRECT("'Выгрузка'!A963:Z963"),Настройки!$B$9)),",","."),".",MID(1/2,2,1)),"")</f>
        <v/>
      </c>
      <c r="C963">
        <f>TRIM(INDEX(INDIRECT("'Выгрузка'!A963:Z963"),Настройки!$B$8)&amp;"")</f>
        <v/>
      </c>
      <c r="D963">
        <f>IFERROR(--SUBSTITUTE(SUBSTITUTE(TRIM(INDEX(INDIRECT("'Выгрузка'!A963:Z963"),Настройки!$B$10)),",","."),".",MID(1/2,2,1)),"")</f>
        <v/>
      </c>
      <c r="E963">
        <f>IFERROR(--SUBSTITUTE(SUBSTITUTE(TRIM(INDEX(INDIRECT("'Выгрузка'!A963:Z963"),Настройки!$B$11)),",","."),".",MID(1/2,2,1)),"")</f>
        <v/>
      </c>
      <c r="F963">
        <f>TRIM(INDEX(INDIRECT("'Выгрузка'!A963:Z963"),Настройки!$B$12)&amp;"")</f>
        <v/>
      </c>
      <c r="G963">
        <f>IF(F963="",0,IF(TRIM(INDEX(INDIRECT("'Выгрузка'!A963:Z963"),Настройки!$B$13)&amp;"")="",1,IFERROR(--SUBSTITUTE(SUBSTITUTE(TRIM(INDEX(INDIRECT("'Выгрузка'!A963:Z963"),Настройки!$B$13)),",","."),".",MID(1/2,2,1)),"")))</f>
        <v/>
      </c>
      <c r="H963">
        <f>IF(F963="",0,IF(COUNTIF(Настройки!$B$17:$B$26,F963)&gt;0,1,IF(COUNTIF(Настройки!$C$17:$C$26,F963)&gt;0,2,IF(COUNTIF(Настройки!$D$17:$D$26,F963)&gt;0,3,0))))</f>
        <v/>
      </c>
      <c r="I963">
        <f>IF(AND(ISNUMBER(A963),ISNUMBER(B963)),A963*1000+B963,"")</f>
        <v/>
      </c>
      <c r="J963">
        <f>IF(I963="","",IF(COUNTIF(I$2:I963,I963)=1,MAX(J$1:J962)+1,""))</f>
        <v/>
      </c>
    </row>
    <row r="964">
      <c r="A964">
        <f>IFERROR(--SUBSTITUTE(SUBSTITUTE(TRIM(INDEX(INDIRECT("'Выгрузка'!A964:Z964"),Настройки!$B$7)),",","."),".",MID(1/2,2,1)),"")</f>
        <v/>
      </c>
      <c r="B964">
        <f>IFERROR(--SUBSTITUTE(SUBSTITUTE(TRIM(INDEX(INDIRECT("'Выгрузка'!A964:Z964"),Настройки!$B$9)),",","."),".",MID(1/2,2,1)),"")</f>
        <v/>
      </c>
      <c r="C964">
        <f>TRIM(INDEX(INDIRECT("'Выгрузка'!A964:Z964"),Настройки!$B$8)&amp;"")</f>
        <v/>
      </c>
      <c r="D964">
        <f>IFERROR(--SUBSTITUTE(SUBSTITUTE(TRIM(INDEX(INDIRECT("'Выгрузка'!A964:Z964"),Настройки!$B$10)),",","."),".",MID(1/2,2,1)),"")</f>
        <v/>
      </c>
      <c r="E964">
        <f>IFERROR(--SUBSTITUTE(SUBSTITUTE(TRIM(INDEX(INDIRECT("'Выгрузка'!A964:Z964"),Настройки!$B$11)),",","."),".",MID(1/2,2,1)),"")</f>
        <v/>
      </c>
      <c r="F964">
        <f>TRIM(INDEX(INDIRECT("'Выгрузка'!A964:Z964"),Настройки!$B$12)&amp;"")</f>
        <v/>
      </c>
      <c r="G964">
        <f>IF(F964="",0,IF(TRIM(INDEX(INDIRECT("'Выгрузка'!A964:Z964"),Настройки!$B$13)&amp;"")="",1,IFERROR(--SUBSTITUTE(SUBSTITUTE(TRIM(INDEX(INDIRECT("'Выгрузка'!A964:Z964"),Настройки!$B$13)),",","."),".",MID(1/2,2,1)),"")))</f>
        <v/>
      </c>
      <c r="H964">
        <f>IF(F964="",0,IF(COUNTIF(Настройки!$B$17:$B$26,F964)&gt;0,1,IF(COUNTIF(Настройки!$C$17:$C$26,F964)&gt;0,2,IF(COUNTIF(Настройки!$D$17:$D$26,F964)&gt;0,3,0))))</f>
        <v/>
      </c>
      <c r="I964">
        <f>IF(AND(ISNUMBER(A964),ISNUMBER(B964)),A964*1000+B964,"")</f>
        <v/>
      </c>
      <c r="J964">
        <f>IF(I964="","",IF(COUNTIF(I$2:I964,I964)=1,MAX(J$1:J963)+1,""))</f>
        <v/>
      </c>
    </row>
    <row r="965">
      <c r="A965">
        <f>IFERROR(--SUBSTITUTE(SUBSTITUTE(TRIM(INDEX(INDIRECT("'Выгрузка'!A965:Z965"),Настройки!$B$7)),",","."),".",MID(1/2,2,1)),"")</f>
        <v/>
      </c>
      <c r="B965">
        <f>IFERROR(--SUBSTITUTE(SUBSTITUTE(TRIM(INDEX(INDIRECT("'Выгрузка'!A965:Z965"),Настройки!$B$9)),",","."),".",MID(1/2,2,1)),"")</f>
        <v/>
      </c>
      <c r="C965">
        <f>TRIM(INDEX(INDIRECT("'Выгрузка'!A965:Z965"),Настройки!$B$8)&amp;"")</f>
        <v/>
      </c>
      <c r="D965">
        <f>IFERROR(--SUBSTITUTE(SUBSTITUTE(TRIM(INDEX(INDIRECT("'Выгрузка'!A965:Z965"),Настройки!$B$10)),",","."),".",MID(1/2,2,1)),"")</f>
        <v/>
      </c>
      <c r="E965">
        <f>IFERROR(--SUBSTITUTE(SUBSTITUTE(TRIM(INDEX(INDIRECT("'Выгрузка'!A965:Z965"),Настройки!$B$11)),",","."),".",MID(1/2,2,1)),"")</f>
        <v/>
      </c>
      <c r="F965">
        <f>TRIM(INDEX(INDIRECT("'Выгрузка'!A965:Z965"),Настройки!$B$12)&amp;"")</f>
        <v/>
      </c>
      <c r="G965">
        <f>IF(F965="",0,IF(TRIM(INDEX(INDIRECT("'Выгрузка'!A965:Z965"),Настройки!$B$13)&amp;"")="",1,IFERROR(--SUBSTITUTE(SUBSTITUTE(TRIM(INDEX(INDIRECT("'Выгрузка'!A965:Z965"),Настройки!$B$13)),",","."),".",MID(1/2,2,1)),"")))</f>
        <v/>
      </c>
      <c r="H965">
        <f>IF(F965="",0,IF(COUNTIF(Настройки!$B$17:$B$26,F965)&gt;0,1,IF(COUNTIF(Настройки!$C$17:$C$26,F965)&gt;0,2,IF(COUNTIF(Настройки!$D$17:$D$26,F965)&gt;0,3,0))))</f>
        <v/>
      </c>
      <c r="I965">
        <f>IF(AND(ISNUMBER(A965),ISNUMBER(B965)),A965*1000+B965,"")</f>
        <v/>
      </c>
      <c r="J965">
        <f>IF(I965="","",IF(COUNTIF(I$2:I965,I965)=1,MAX(J$1:J964)+1,""))</f>
        <v/>
      </c>
    </row>
    <row r="966">
      <c r="A966">
        <f>IFERROR(--SUBSTITUTE(SUBSTITUTE(TRIM(INDEX(INDIRECT("'Выгрузка'!A966:Z966"),Настройки!$B$7)),",","."),".",MID(1/2,2,1)),"")</f>
        <v/>
      </c>
      <c r="B966">
        <f>IFERROR(--SUBSTITUTE(SUBSTITUTE(TRIM(INDEX(INDIRECT("'Выгрузка'!A966:Z966"),Настройки!$B$9)),",","."),".",MID(1/2,2,1)),"")</f>
        <v/>
      </c>
      <c r="C966">
        <f>TRIM(INDEX(INDIRECT("'Выгрузка'!A966:Z966"),Настройки!$B$8)&amp;"")</f>
        <v/>
      </c>
      <c r="D966">
        <f>IFERROR(--SUBSTITUTE(SUBSTITUTE(TRIM(INDEX(INDIRECT("'Выгрузка'!A966:Z966"),Настройки!$B$10)),",","."),".",MID(1/2,2,1)),"")</f>
        <v/>
      </c>
      <c r="E966">
        <f>IFERROR(--SUBSTITUTE(SUBSTITUTE(TRIM(INDEX(INDIRECT("'Выгрузка'!A966:Z966"),Настройки!$B$11)),",","."),".",MID(1/2,2,1)),"")</f>
        <v/>
      </c>
      <c r="F966">
        <f>TRIM(INDEX(INDIRECT("'Выгрузка'!A966:Z966"),Настройки!$B$12)&amp;"")</f>
        <v/>
      </c>
      <c r="G966">
        <f>IF(F966="",0,IF(TRIM(INDEX(INDIRECT("'Выгрузка'!A966:Z966"),Настройки!$B$13)&amp;"")="",1,IFERROR(--SUBSTITUTE(SUBSTITUTE(TRIM(INDEX(INDIRECT("'Выгрузка'!A966:Z966"),Настройки!$B$13)),",","."),".",MID(1/2,2,1)),"")))</f>
        <v/>
      </c>
      <c r="H966">
        <f>IF(F966="",0,IF(COUNTIF(Настройки!$B$17:$B$26,F966)&gt;0,1,IF(COUNTIF(Настройки!$C$17:$C$26,F966)&gt;0,2,IF(COUNTIF(Настройки!$D$17:$D$26,F966)&gt;0,3,0))))</f>
        <v/>
      </c>
      <c r="I966">
        <f>IF(AND(ISNUMBER(A966),ISNUMBER(B966)),A966*1000+B966,"")</f>
        <v/>
      </c>
      <c r="J966">
        <f>IF(I966="","",IF(COUNTIF(I$2:I966,I966)=1,MAX(J$1:J965)+1,""))</f>
        <v/>
      </c>
    </row>
    <row r="967">
      <c r="A967">
        <f>IFERROR(--SUBSTITUTE(SUBSTITUTE(TRIM(INDEX(INDIRECT("'Выгрузка'!A967:Z967"),Настройки!$B$7)),",","."),".",MID(1/2,2,1)),"")</f>
        <v/>
      </c>
      <c r="B967">
        <f>IFERROR(--SUBSTITUTE(SUBSTITUTE(TRIM(INDEX(INDIRECT("'Выгрузка'!A967:Z967"),Настройки!$B$9)),",","."),".",MID(1/2,2,1)),"")</f>
        <v/>
      </c>
      <c r="C967">
        <f>TRIM(INDEX(INDIRECT("'Выгрузка'!A967:Z967"),Настройки!$B$8)&amp;"")</f>
        <v/>
      </c>
      <c r="D967">
        <f>IFERROR(--SUBSTITUTE(SUBSTITUTE(TRIM(INDEX(INDIRECT("'Выгрузка'!A967:Z967"),Настройки!$B$10)),",","."),".",MID(1/2,2,1)),"")</f>
        <v/>
      </c>
      <c r="E967">
        <f>IFERROR(--SUBSTITUTE(SUBSTITUTE(TRIM(INDEX(INDIRECT("'Выгрузка'!A967:Z967"),Настройки!$B$11)),",","."),".",MID(1/2,2,1)),"")</f>
        <v/>
      </c>
      <c r="F967">
        <f>TRIM(INDEX(INDIRECT("'Выгрузка'!A967:Z967"),Настройки!$B$12)&amp;"")</f>
        <v/>
      </c>
      <c r="G967">
        <f>IF(F967="",0,IF(TRIM(INDEX(INDIRECT("'Выгрузка'!A967:Z967"),Настройки!$B$13)&amp;"")="",1,IFERROR(--SUBSTITUTE(SUBSTITUTE(TRIM(INDEX(INDIRECT("'Выгрузка'!A967:Z967"),Настройки!$B$13)),",","."),".",MID(1/2,2,1)),"")))</f>
        <v/>
      </c>
      <c r="H967">
        <f>IF(F967="",0,IF(COUNTIF(Настройки!$B$17:$B$26,F967)&gt;0,1,IF(COUNTIF(Настройки!$C$17:$C$26,F967)&gt;0,2,IF(COUNTIF(Настройки!$D$17:$D$26,F967)&gt;0,3,0))))</f>
        <v/>
      </c>
      <c r="I967">
        <f>IF(AND(ISNUMBER(A967),ISNUMBER(B967)),A967*1000+B967,"")</f>
        <v/>
      </c>
      <c r="J967">
        <f>IF(I967="","",IF(COUNTIF(I$2:I967,I967)=1,MAX(J$1:J966)+1,""))</f>
        <v/>
      </c>
    </row>
    <row r="968">
      <c r="A968">
        <f>IFERROR(--SUBSTITUTE(SUBSTITUTE(TRIM(INDEX(INDIRECT("'Выгрузка'!A968:Z968"),Настройки!$B$7)),",","."),".",MID(1/2,2,1)),"")</f>
        <v/>
      </c>
      <c r="B968">
        <f>IFERROR(--SUBSTITUTE(SUBSTITUTE(TRIM(INDEX(INDIRECT("'Выгрузка'!A968:Z968"),Настройки!$B$9)),",","."),".",MID(1/2,2,1)),"")</f>
        <v/>
      </c>
      <c r="C968">
        <f>TRIM(INDEX(INDIRECT("'Выгрузка'!A968:Z968"),Настройки!$B$8)&amp;"")</f>
        <v/>
      </c>
      <c r="D968">
        <f>IFERROR(--SUBSTITUTE(SUBSTITUTE(TRIM(INDEX(INDIRECT("'Выгрузка'!A968:Z968"),Настройки!$B$10)),",","."),".",MID(1/2,2,1)),"")</f>
        <v/>
      </c>
      <c r="E968">
        <f>IFERROR(--SUBSTITUTE(SUBSTITUTE(TRIM(INDEX(INDIRECT("'Выгрузка'!A968:Z968"),Настройки!$B$11)),",","."),".",MID(1/2,2,1)),"")</f>
        <v/>
      </c>
      <c r="F968">
        <f>TRIM(INDEX(INDIRECT("'Выгрузка'!A968:Z968"),Настройки!$B$12)&amp;"")</f>
        <v/>
      </c>
      <c r="G968">
        <f>IF(F968="",0,IF(TRIM(INDEX(INDIRECT("'Выгрузка'!A968:Z968"),Настройки!$B$13)&amp;"")="",1,IFERROR(--SUBSTITUTE(SUBSTITUTE(TRIM(INDEX(INDIRECT("'Выгрузка'!A968:Z968"),Настройки!$B$13)),",","."),".",MID(1/2,2,1)),"")))</f>
        <v/>
      </c>
      <c r="H968">
        <f>IF(F968="",0,IF(COUNTIF(Настройки!$B$17:$B$26,F968)&gt;0,1,IF(COUNTIF(Настройки!$C$17:$C$26,F968)&gt;0,2,IF(COUNTIF(Настройки!$D$17:$D$26,F968)&gt;0,3,0))))</f>
        <v/>
      </c>
      <c r="I968">
        <f>IF(AND(ISNUMBER(A968),ISNUMBER(B968)),A968*1000+B968,"")</f>
        <v/>
      </c>
      <c r="J968">
        <f>IF(I968="","",IF(COUNTIF(I$2:I968,I968)=1,MAX(J$1:J967)+1,""))</f>
        <v/>
      </c>
    </row>
    <row r="969">
      <c r="A969">
        <f>IFERROR(--SUBSTITUTE(SUBSTITUTE(TRIM(INDEX(INDIRECT("'Выгрузка'!A969:Z969"),Настройки!$B$7)),",","."),".",MID(1/2,2,1)),"")</f>
        <v/>
      </c>
      <c r="B969">
        <f>IFERROR(--SUBSTITUTE(SUBSTITUTE(TRIM(INDEX(INDIRECT("'Выгрузка'!A969:Z969"),Настройки!$B$9)),",","."),".",MID(1/2,2,1)),"")</f>
        <v/>
      </c>
      <c r="C969">
        <f>TRIM(INDEX(INDIRECT("'Выгрузка'!A969:Z969"),Настройки!$B$8)&amp;"")</f>
        <v/>
      </c>
      <c r="D969">
        <f>IFERROR(--SUBSTITUTE(SUBSTITUTE(TRIM(INDEX(INDIRECT("'Выгрузка'!A969:Z969"),Настройки!$B$10)),",","."),".",MID(1/2,2,1)),"")</f>
        <v/>
      </c>
      <c r="E969">
        <f>IFERROR(--SUBSTITUTE(SUBSTITUTE(TRIM(INDEX(INDIRECT("'Выгрузка'!A969:Z969"),Настройки!$B$11)),",","."),".",MID(1/2,2,1)),"")</f>
        <v/>
      </c>
      <c r="F969">
        <f>TRIM(INDEX(INDIRECT("'Выгрузка'!A969:Z969"),Настройки!$B$12)&amp;"")</f>
        <v/>
      </c>
      <c r="G969">
        <f>IF(F969="",0,IF(TRIM(INDEX(INDIRECT("'Выгрузка'!A969:Z969"),Настройки!$B$13)&amp;"")="",1,IFERROR(--SUBSTITUTE(SUBSTITUTE(TRIM(INDEX(INDIRECT("'Выгрузка'!A969:Z969"),Настройки!$B$13)),",","."),".",MID(1/2,2,1)),"")))</f>
        <v/>
      </c>
      <c r="H969">
        <f>IF(F969="",0,IF(COUNTIF(Настройки!$B$17:$B$26,F969)&gt;0,1,IF(COUNTIF(Настройки!$C$17:$C$26,F969)&gt;0,2,IF(COUNTIF(Настройки!$D$17:$D$26,F969)&gt;0,3,0))))</f>
        <v/>
      </c>
      <c r="I969">
        <f>IF(AND(ISNUMBER(A969),ISNUMBER(B969)),A969*1000+B969,"")</f>
        <v/>
      </c>
      <c r="J969">
        <f>IF(I969="","",IF(COUNTIF(I$2:I969,I969)=1,MAX(J$1:J968)+1,""))</f>
        <v/>
      </c>
    </row>
    <row r="970">
      <c r="A970">
        <f>IFERROR(--SUBSTITUTE(SUBSTITUTE(TRIM(INDEX(INDIRECT("'Выгрузка'!A970:Z970"),Настройки!$B$7)),",","."),".",MID(1/2,2,1)),"")</f>
        <v/>
      </c>
      <c r="B970">
        <f>IFERROR(--SUBSTITUTE(SUBSTITUTE(TRIM(INDEX(INDIRECT("'Выгрузка'!A970:Z970"),Настройки!$B$9)),",","."),".",MID(1/2,2,1)),"")</f>
        <v/>
      </c>
      <c r="C970">
        <f>TRIM(INDEX(INDIRECT("'Выгрузка'!A970:Z970"),Настройки!$B$8)&amp;"")</f>
        <v/>
      </c>
      <c r="D970">
        <f>IFERROR(--SUBSTITUTE(SUBSTITUTE(TRIM(INDEX(INDIRECT("'Выгрузка'!A970:Z970"),Настройки!$B$10)),",","."),".",MID(1/2,2,1)),"")</f>
        <v/>
      </c>
      <c r="E970">
        <f>IFERROR(--SUBSTITUTE(SUBSTITUTE(TRIM(INDEX(INDIRECT("'Выгрузка'!A970:Z970"),Настройки!$B$11)),",","."),".",MID(1/2,2,1)),"")</f>
        <v/>
      </c>
      <c r="F970">
        <f>TRIM(INDEX(INDIRECT("'Выгрузка'!A970:Z970"),Настройки!$B$12)&amp;"")</f>
        <v/>
      </c>
      <c r="G970">
        <f>IF(F970="",0,IF(TRIM(INDEX(INDIRECT("'Выгрузка'!A970:Z970"),Настройки!$B$13)&amp;"")="",1,IFERROR(--SUBSTITUTE(SUBSTITUTE(TRIM(INDEX(INDIRECT("'Выгрузка'!A970:Z970"),Настройки!$B$13)),",","."),".",MID(1/2,2,1)),"")))</f>
        <v/>
      </c>
      <c r="H970">
        <f>IF(F970="",0,IF(COUNTIF(Настройки!$B$17:$B$26,F970)&gt;0,1,IF(COUNTIF(Настройки!$C$17:$C$26,F970)&gt;0,2,IF(COUNTIF(Настройки!$D$17:$D$26,F970)&gt;0,3,0))))</f>
        <v/>
      </c>
      <c r="I970">
        <f>IF(AND(ISNUMBER(A970),ISNUMBER(B970)),A970*1000+B970,"")</f>
        <v/>
      </c>
      <c r="J970">
        <f>IF(I970="","",IF(COUNTIF(I$2:I970,I970)=1,MAX(J$1:J969)+1,""))</f>
        <v/>
      </c>
    </row>
    <row r="971">
      <c r="A971">
        <f>IFERROR(--SUBSTITUTE(SUBSTITUTE(TRIM(INDEX(INDIRECT("'Выгрузка'!A971:Z971"),Настройки!$B$7)),",","."),".",MID(1/2,2,1)),"")</f>
        <v/>
      </c>
      <c r="B971">
        <f>IFERROR(--SUBSTITUTE(SUBSTITUTE(TRIM(INDEX(INDIRECT("'Выгрузка'!A971:Z971"),Настройки!$B$9)),",","."),".",MID(1/2,2,1)),"")</f>
        <v/>
      </c>
      <c r="C971">
        <f>TRIM(INDEX(INDIRECT("'Выгрузка'!A971:Z971"),Настройки!$B$8)&amp;"")</f>
        <v/>
      </c>
      <c r="D971">
        <f>IFERROR(--SUBSTITUTE(SUBSTITUTE(TRIM(INDEX(INDIRECT("'Выгрузка'!A971:Z971"),Настройки!$B$10)),",","."),".",MID(1/2,2,1)),"")</f>
        <v/>
      </c>
      <c r="E971">
        <f>IFERROR(--SUBSTITUTE(SUBSTITUTE(TRIM(INDEX(INDIRECT("'Выгрузка'!A971:Z971"),Настройки!$B$11)),",","."),".",MID(1/2,2,1)),"")</f>
        <v/>
      </c>
      <c r="F971">
        <f>TRIM(INDEX(INDIRECT("'Выгрузка'!A971:Z971"),Настройки!$B$12)&amp;"")</f>
        <v/>
      </c>
      <c r="G971">
        <f>IF(F971="",0,IF(TRIM(INDEX(INDIRECT("'Выгрузка'!A971:Z971"),Настройки!$B$13)&amp;"")="",1,IFERROR(--SUBSTITUTE(SUBSTITUTE(TRIM(INDEX(INDIRECT("'Выгрузка'!A971:Z971"),Настройки!$B$13)),",","."),".",MID(1/2,2,1)),"")))</f>
        <v/>
      </c>
      <c r="H971">
        <f>IF(F971="",0,IF(COUNTIF(Настройки!$B$17:$B$26,F971)&gt;0,1,IF(COUNTIF(Настройки!$C$17:$C$26,F971)&gt;0,2,IF(COUNTIF(Настройки!$D$17:$D$26,F971)&gt;0,3,0))))</f>
        <v/>
      </c>
      <c r="I971">
        <f>IF(AND(ISNUMBER(A971),ISNUMBER(B971)),A971*1000+B971,"")</f>
        <v/>
      </c>
      <c r="J971">
        <f>IF(I971="","",IF(COUNTIF(I$2:I971,I971)=1,MAX(J$1:J970)+1,""))</f>
        <v/>
      </c>
    </row>
    <row r="972">
      <c r="A972">
        <f>IFERROR(--SUBSTITUTE(SUBSTITUTE(TRIM(INDEX(INDIRECT("'Выгрузка'!A972:Z972"),Настройки!$B$7)),",","."),".",MID(1/2,2,1)),"")</f>
        <v/>
      </c>
      <c r="B972">
        <f>IFERROR(--SUBSTITUTE(SUBSTITUTE(TRIM(INDEX(INDIRECT("'Выгрузка'!A972:Z972"),Настройки!$B$9)),",","."),".",MID(1/2,2,1)),"")</f>
        <v/>
      </c>
      <c r="C972">
        <f>TRIM(INDEX(INDIRECT("'Выгрузка'!A972:Z972"),Настройки!$B$8)&amp;"")</f>
        <v/>
      </c>
      <c r="D972">
        <f>IFERROR(--SUBSTITUTE(SUBSTITUTE(TRIM(INDEX(INDIRECT("'Выгрузка'!A972:Z972"),Настройки!$B$10)),",","."),".",MID(1/2,2,1)),"")</f>
        <v/>
      </c>
      <c r="E972">
        <f>IFERROR(--SUBSTITUTE(SUBSTITUTE(TRIM(INDEX(INDIRECT("'Выгрузка'!A972:Z972"),Настройки!$B$11)),",","."),".",MID(1/2,2,1)),"")</f>
        <v/>
      </c>
      <c r="F972">
        <f>TRIM(INDEX(INDIRECT("'Выгрузка'!A972:Z972"),Настройки!$B$12)&amp;"")</f>
        <v/>
      </c>
      <c r="G972">
        <f>IF(F972="",0,IF(TRIM(INDEX(INDIRECT("'Выгрузка'!A972:Z972"),Настройки!$B$13)&amp;"")="",1,IFERROR(--SUBSTITUTE(SUBSTITUTE(TRIM(INDEX(INDIRECT("'Выгрузка'!A972:Z972"),Настройки!$B$13)),",","."),".",MID(1/2,2,1)),"")))</f>
        <v/>
      </c>
      <c r="H972">
        <f>IF(F972="",0,IF(COUNTIF(Настройки!$B$17:$B$26,F972)&gt;0,1,IF(COUNTIF(Настройки!$C$17:$C$26,F972)&gt;0,2,IF(COUNTIF(Настройки!$D$17:$D$26,F972)&gt;0,3,0))))</f>
        <v/>
      </c>
      <c r="I972">
        <f>IF(AND(ISNUMBER(A972),ISNUMBER(B972)),A972*1000+B972,"")</f>
        <v/>
      </c>
      <c r="J972">
        <f>IF(I972="","",IF(COUNTIF(I$2:I972,I972)=1,MAX(J$1:J971)+1,""))</f>
        <v/>
      </c>
    </row>
    <row r="973">
      <c r="A973">
        <f>IFERROR(--SUBSTITUTE(SUBSTITUTE(TRIM(INDEX(INDIRECT("'Выгрузка'!A973:Z973"),Настройки!$B$7)),",","."),".",MID(1/2,2,1)),"")</f>
        <v/>
      </c>
      <c r="B973">
        <f>IFERROR(--SUBSTITUTE(SUBSTITUTE(TRIM(INDEX(INDIRECT("'Выгрузка'!A973:Z973"),Настройки!$B$9)),",","."),".",MID(1/2,2,1)),"")</f>
        <v/>
      </c>
      <c r="C973">
        <f>TRIM(INDEX(INDIRECT("'Выгрузка'!A973:Z973"),Настройки!$B$8)&amp;"")</f>
        <v/>
      </c>
      <c r="D973">
        <f>IFERROR(--SUBSTITUTE(SUBSTITUTE(TRIM(INDEX(INDIRECT("'Выгрузка'!A973:Z973"),Настройки!$B$10)),",","."),".",MID(1/2,2,1)),"")</f>
        <v/>
      </c>
      <c r="E973">
        <f>IFERROR(--SUBSTITUTE(SUBSTITUTE(TRIM(INDEX(INDIRECT("'Выгрузка'!A973:Z973"),Настройки!$B$11)),",","."),".",MID(1/2,2,1)),"")</f>
        <v/>
      </c>
      <c r="F973">
        <f>TRIM(INDEX(INDIRECT("'Выгрузка'!A973:Z973"),Настройки!$B$12)&amp;"")</f>
        <v/>
      </c>
      <c r="G973">
        <f>IF(F973="",0,IF(TRIM(INDEX(INDIRECT("'Выгрузка'!A973:Z973"),Настройки!$B$13)&amp;"")="",1,IFERROR(--SUBSTITUTE(SUBSTITUTE(TRIM(INDEX(INDIRECT("'Выгрузка'!A973:Z973"),Настройки!$B$13)),",","."),".",MID(1/2,2,1)),"")))</f>
        <v/>
      </c>
      <c r="H973">
        <f>IF(F973="",0,IF(COUNTIF(Настройки!$B$17:$B$26,F973)&gt;0,1,IF(COUNTIF(Настройки!$C$17:$C$26,F973)&gt;0,2,IF(COUNTIF(Настройки!$D$17:$D$26,F973)&gt;0,3,0))))</f>
        <v/>
      </c>
      <c r="I973">
        <f>IF(AND(ISNUMBER(A973),ISNUMBER(B973)),A973*1000+B973,"")</f>
        <v/>
      </c>
      <c r="J973">
        <f>IF(I973="","",IF(COUNTIF(I$2:I973,I973)=1,MAX(J$1:J972)+1,""))</f>
        <v/>
      </c>
    </row>
    <row r="974">
      <c r="A974">
        <f>IFERROR(--SUBSTITUTE(SUBSTITUTE(TRIM(INDEX(INDIRECT("'Выгрузка'!A974:Z974"),Настройки!$B$7)),",","."),".",MID(1/2,2,1)),"")</f>
        <v/>
      </c>
      <c r="B974">
        <f>IFERROR(--SUBSTITUTE(SUBSTITUTE(TRIM(INDEX(INDIRECT("'Выгрузка'!A974:Z974"),Настройки!$B$9)),",","."),".",MID(1/2,2,1)),"")</f>
        <v/>
      </c>
      <c r="C974">
        <f>TRIM(INDEX(INDIRECT("'Выгрузка'!A974:Z974"),Настройки!$B$8)&amp;"")</f>
        <v/>
      </c>
      <c r="D974">
        <f>IFERROR(--SUBSTITUTE(SUBSTITUTE(TRIM(INDEX(INDIRECT("'Выгрузка'!A974:Z974"),Настройки!$B$10)),",","."),".",MID(1/2,2,1)),"")</f>
        <v/>
      </c>
      <c r="E974">
        <f>IFERROR(--SUBSTITUTE(SUBSTITUTE(TRIM(INDEX(INDIRECT("'Выгрузка'!A974:Z974"),Настройки!$B$11)),",","."),".",MID(1/2,2,1)),"")</f>
        <v/>
      </c>
      <c r="F974">
        <f>TRIM(INDEX(INDIRECT("'Выгрузка'!A974:Z974"),Настройки!$B$12)&amp;"")</f>
        <v/>
      </c>
      <c r="G974">
        <f>IF(F974="",0,IF(TRIM(INDEX(INDIRECT("'Выгрузка'!A974:Z974"),Настройки!$B$13)&amp;"")="",1,IFERROR(--SUBSTITUTE(SUBSTITUTE(TRIM(INDEX(INDIRECT("'Выгрузка'!A974:Z974"),Настройки!$B$13)),",","."),".",MID(1/2,2,1)),"")))</f>
        <v/>
      </c>
      <c r="H974">
        <f>IF(F974="",0,IF(COUNTIF(Настройки!$B$17:$B$26,F974)&gt;0,1,IF(COUNTIF(Настройки!$C$17:$C$26,F974)&gt;0,2,IF(COUNTIF(Настройки!$D$17:$D$26,F974)&gt;0,3,0))))</f>
        <v/>
      </c>
      <c r="I974">
        <f>IF(AND(ISNUMBER(A974),ISNUMBER(B974)),A974*1000+B974,"")</f>
        <v/>
      </c>
      <c r="J974">
        <f>IF(I974="","",IF(COUNTIF(I$2:I974,I974)=1,MAX(J$1:J973)+1,""))</f>
        <v/>
      </c>
    </row>
    <row r="975">
      <c r="A975">
        <f>IFERROR(--SUBSTITUTE(SUBSTITUTE(TRIM(INDEX(INDIRECT("'Выгрузка'!A975:Z975"),Настройки!$B$7)),",","."),".",MID(1/2,2,1)),"")</f>
        <v/>
      </c>
      <c r="B975">
        <f>IFERROR(--SUBSTITUTE(SUBSTITUTE(TRIM(INDEX(INDIRECT("'Выгрузка'!A975:Z975"),Настройки!$B$9)),",","."),".",MID(1/2,2,1)),"")</f>
        <v/>
      </c>
      <c r="C975">
        <f>TRIM(INDEX(INDIRECT("'Выгрузка'!A975:Z975"),Настройки!$B$8)&amp;"")</f>
        <v/>
      </c>
      <c r="D975">
        <f>IFERROR(--SUBSTITUTE(SUBSTITUTE(TRIM(INDEX(INDIRECT("'Выгрузка'!A975:Z975"),Настройки!$B$10)),",","."),".",MID(1/2,2,1)),"")</f>
        <v/>
      </c>
      <c r="E975">
        <f>IFERROR(--SUBSTITUTE(SUBSTITUTE(TRIM(INDEX(INDIRECT("'Выгрузка'!A975:Z975"),Настройки!$B$11)),",","."),".",MID(1/2,2,1)),"")</f>
        <v/>
      </c>
      <c r="F975">
        <f>TRIM(INDEX(INDIRECT("'Выгрузка'!A975:Z975"),Настройки!$B$12)&amp;"")</f>
        <v/>
      </c>
      <c r="G975">
        <f>IF(F975="",0,IF(TRIM(INDEX(INDIRECT("'Выгрузка'!A975:Z975"),Настройки!$B$13)&amp;"")="",1,IFERROR(--SUBSTITUTE(SUBSTITUTE(TRIM(INDEX(INDIRECT("'Выгрузка'!A975:Z975"),Настройки!$B$13)),",","."),".",MID(1/2,2,1)),"")))</f>
        <v/>
      </c>
      <c r="H975">
        <f>IF(F975="",0,IF(COUNTIF(Настройки!$B$17:$B$26,F975)&gt;0,1,IF(COUNTIF(Настройки!$C$17:$C$26,F975)&gt;0,2,IF(COUNTIF(Настройки!$D$17:$D$26,F975)&gt;0,3,0))))</f>
        <v/>
      </c>
      <c r="I975">
        <f>IF(AND(ISNUMBER(A975),ISNUMBER(B975)),A975*1000+B975,"")</f>
        <v/>
      </c>
      <c r="J975">
        <f>IF(I975="","",IF(COUNTIF(I$2:I975,I975)=1,MAX(J$1:J974)+1,""))</f>
        <v/>
      </c>
    </row>
    <row r="976">
      <c r="A976">
        <f>IFERROR(--SUBSTITUTE(SUBSTITUTE(TRIM(INDEX(INDIRECT("'Выгрузка'!A976:Z976"),Настройки!$B$7)),",","."),".",MID(1/2,2,1)),"")</f>
        <v/>
      </c>
      <c r="B976">
        <f>IFERROR(--SUBSTITUTE(SUBSTITUTE(TRIM(INDEX(INDIRECT("'Выгрузка'!A976:Z976"),Настройки!$B$9)),",","."),".",MID(1/2,2,1)),"")</f>
        <v/>
      </c>
      <c r="C976">
        <f>TRIM(INDEX(INDIRECT("'Выгрузка'!A976:Z976"),Настройки!$B$8)&amp;"")</f>
        <v/>
      </c>
      <c r="D976">
        <f>IFERROR(--SUBSTITUTE(SUBSTITUTE(TRIM(INDEX(INDIRECT("'Выгрузка'!A976:Z976"),Настройки!$B$10)),",","."),".",MID(1/2,2,1)),"")</f>
        <v/>
      </c>
      <c r="E976">
        <f>IFERROR(--SUBSTITUTE(SUBSTITUTE(TRIM(INDEX(INDIRECT("'Выгрузка'!A976:Z976"),Настройки!$B$11)),",","."),".",MID(1/2,2,1)),"")</f>
        <v/>
      </c>
      <c r="F976">
        <f>TRIM(INDEX(INDIRECT("'Выгрузка'!A976:Z976"),Настройки!$B$12)&amp;"")</f>
        <v/>
      </c>
      <c r="G976">
        <f>IF(F976="",0,IF(TRIM(INDEX(INDIRECT("'Выгрузка'!A976:Z976"),Настройки!$B$13)&amp;"")="",1,IFERROR(--SUBSTITUTE(SUBSTITUTE(TRIM(INDEX(INDIRECT("'Выгрузка'!A976:Z976"),Настройки!$B$13)),",","."),".",MID(1/2,2,1)),"")))</f>
        <v/>
      </c>
      <c r="H976">
        <f>IF(F976="",0,IF(COUNTIF(Настройки!$B$17:$B$26,F976)&gt;0,1,IF(COUNTIF(Настройки!$C$17:$C$26,F976)&gt;0,2,IF(COUNTIF(Настройки!$D$17:$D$26,F976)&gt;0,3,0))))</f>
        <v/>
      </c>
      <c r="I976">
        <f>IF(AND(ISNUMBER(A976),ISNUMBER(B976)),A976*1000+B976,"")</f>
        <v/>
      </c>
      <c r="J976">
        <f>IF(I976="","",IF(COUNTIF(I$2:I976,I976)=1,MAX(J$1:J975)+1,""))</f>
        <v/>
      </c>
    </row>
    <row r="977">
      <c r="A977">
        <f>IFERROR(--SUBSTITUTE(SUBSTITUTE(TRIM(INDEX(INDIRECT("'Выгрузка'!A977:Z977"),Настройки!$B$7)),",","."),".",MID(1/2,2,1)),"")</f>
        <v/>
      </c>
      <c r="B977">
        <f>IFERROR(--SUBSTITUTE(SUBSTITUTE(TRIM(INDEX(INDIRECT("'Выгрузка'!A977:Z977"),Настройки!$B$9)),",","."),".",MID(1/2,2,1)),"")</f>
        <v/>
      </c>
      <c r="C977">
        <f>TRIM(INDEX(INDIRECT("'Выгрузка'!A977:Z977"),Настройки!$B$8)&amp;"")</f>
        <v/>
      </c>
      <c r="D977">
        <f>IFERROR(--SUBSTITUTE(SUBSTITUTE(TRIM(INDEX(INDIRECT("'Выгрузка'!A977:Z977"),Настройки!$B$10)),",","."),".",MID(1/2,2,1)),"")</f>
        <v/>
      </c>
      <c r="E977">
        <f>IFERROR(--SUBSTITUTE(SUBSTITUTE(TRIM(INDEX(INDIRECT("'Выгрузка'!A977:Z977"),Настройки!$B$11)),",","."),".",MID(1/2,2,1)),"")</f>
        <v/>
      </c>
      <c r="F977">
        <f>TRIM(INDEX(INDIRECT("'Выгрузка'!A977:Z977"),Настройки!$B$12)&amp;"")</f>
        <v/>
      </c>
      <c r="G977">
        <f>IF(F977="",0,IF(TRIM(INDEX(INDIRECT("'Выгрузка'!A977:Z977"),Настройки!$B$13)&amp;"")="",1,IFERROR(--SUBSTITUTE(SUBSTITUTE(TRIM(INDEX(INDIRECT("'Выгрузка'!A977:Z977"),Настройки!$B$13)),",","."),".",MID(1/2,2,1)),"")))</f>
        <v/>
      </c>
      <c r="H977">
        <f>IF(F977="",0,IF(COUNTIF(Настройки!$B$17:$B$26,F977)&gt;0,1,IF(COUNTIF(Настройки!$C$17:$C$26,F977)&gt;0,2,IF(COUNTIF(Настройки!$D$17:$D$26,F977)&gt;0,3,0))))</f>
        <v/>
      </c>
      <c r="I977">
        <f>IF(AND(ISNUMBER(A977),ISNUMBER(B977)),A977*1000+B977,"")</f>
        <v/>
      </c>
      <c r="J977">
        <f>IF(I977="","",IF(COUNTIF(I$2:I977,I977)=1,MAX(J$1:J976)+1,""))</f>
        <v/>
      </c>
    </row>
    <row r="978">
      <c r="A978">
        <f>IFERROR(--SUBSTITUTE(SUBSTITUTE(TRIM(INDEX(INDIRECT("'Выгрузка'!A978:Z978"),Настройки!$B$7)),",","."),".",MID(1/2,2,1)),"")</f>
        <v/>
      </c>
      <c r="B978">
        <f>IFERROR(--SUBSTITUTE(SUBSTITUTE(TRIM(INDEX(INDIRECT("'Выгрузка'!A978:Z978"),Настройки!$B$9)),",","."),".",MID(1/2,2,1)),"")</f>
        <v/>
      </c>
      <c r="C978">
        <f>TRIM(INDEX(INDIRECT("'Выгрузка'!A978:Z978"),Настройки!$B$8)&amp;"")</f>
        <v/>
      </c>
      <c r="D978">
        <f>IFERROR(--SUBSTITUTE(SUBSTITUTE(TRIM(INDEX(INDIRECT("'Выгрузка'!A978:Z978"),Настройки!$B$10)),",","."),".",MID(1/2,2,1)),"")</f>
        <v/>
      </c>
      <c r="E978">
        <f>IFERROR(--SUBSTITUTE(SUBSTITUTE(TRIM(INDEX(INDIRECT("'Выгрузка'!A978:Z978"),Настройки!$B$11)),",","."),".",MID(1/2,2,1)),"")</f>
        <v/>
      </c>
      <c r="F978">
        <f>TRIM(INDEX(INDIRECT("'Выгрузка'!A978:Z978"),Настройки!$B$12)&amp;"")</f>
        <v/>
      </c>
      <c r="G978">
        <f>IF(F978="",0,IF(TRIM(INDEX(INDIRECT("'Выгрузка'!A978:Z978"),Настройки!$B$13)&amp;"")="",1,IFERROR(--SUBSTITUTE(SUBSTITUTE(TRIM(INDEX(INDIRECT("'Выгрузка'!A978:Z978"),Настройки!$B$13)),",","."),".",MID(1/2,2,1)),"")))</f>
        <v/>
      </c>
      <c r="H978">
        <f>IF(F978="",0,IF(COUNTIF(Настройки!$B$17:$B$26,F978)&gt;0,1,IF(COUNTIF(Настройки!$C$17:$C$26,F978)&gt;0,2,IF(COUNTIF(Настройки!$D$17:$D$26,F978)&gt;0,3,0))))</f>
        <v/>
      </c>
      <c r="I978">
        <f>IF(AND(ISNUMBER(A978),ISNUMBER(B978)),A978*1000+B978,"")</f>
        <v/>
      </c>
      <c r="J978">
        <f>IF(I978="","",IF(COUNTIF(I$2:I978,I978)=1,MAX(J$1:J977)+1,""))</f>
        <v/>
      </c>
    </row>
    <row r="979">
      <c r="A979">
        <f>IFERROR(--SUBSTITUTE(SUBSTITUTE(TRIM(INDEX(INDIRECT("'Выгрузка'!A979:Z979"),Настройки!$B$7)),",","."),".",MID(1/2,2,1)),"")</f>
        <v/>
      </c>
      <c r="B979">
        <f>IFERROR(--SUBSTITUTE(SUBSTITUTE(TRIM(INDEX(INDIRECT("'Выгрузка'!A979:Z979"),Настройки!$B$9)),",","."),".",MID(1/2,2,1)),"")</f>
        <v/>
      </c>
      <c r="C979">
        <f>TRIM(INDEX(INDIRECT("'Выгрузка'!A979:Z979"),Настройки!$B$8)&amp;"")</f>
        <v/>
      </c>
      <c r="D979">
        <f>IFERROR(--SUBSTITUTE(SUBSTITUTE(TRIM(INDEX(INDIRECT("'Выгрузка'!A979:Z979"),Настройки!$B$10)),",","."),".",MID(1/2,2,1)),"")</f>
        <v/>
      </c>
      <c r="E979">
        <f>IFERROR(--SUBSTITUTE(SUBSTITUTE(TRIM(INDEX(INDIRECT("'Выгрузка'!A979:Z979"),Настройки!$B$11)),",","."),".",MID(1/2,2,1)),"")</f>
        <v/>
      </c>
      <c r="F979">
        <f>TRIM(INDEX(INDIRECT("'Выгрузка'!A979:Z979"),Настройки!$B$12)&amp;"")</f>
        <v/>
      </c>
      <c r="G979">
        <f>IF(F979="",0,IF(TRIM(INDEX(INDIRECT("'Выгрузка'!A979:Z979"),Настройки!$B$13)&amp;"")="",1,IFERROR(--SUBSTITUTE(SUBSTITUTE(TRIM(INDEX(INDIRECT("'Выгрузка'!A979:Z979"),Настройки!$B$13)),",","."),".",MID(1/2,2,1)),"")))</f>
        <v/>
      </c>
      <c r="H979">
        <f>IF(F979="",0,IF(COUNTIF(Настройки!$B$17:$B$26,F979)&gt;0,1,IF(COUNTIF(Настройки!$C$17:$C$26,F979)&gt;0,2,IF(COUNTIF(Настройки!$D$17:$D$26,F979)&gt;0,3,0))))</f>
        <v/>
      </c>
      <c r="I979">
        <f>IF(AND(ISNUMBER(A979),ISNUMBER(B979)),A979*1000+B979,"")</f>
        <v/>
      </c>
      <c r="J979">
        <f>IF(I979="","",IF(COUNTIF(I$2:I979,I979)=1,MAX(J$1:J978)+1,""))</f>
        <v/>
      </c>
    </row>
    <row r="980">
      <c r="A980">
        <f>IFERROR(--SUBSTITUTE(SUBSTITUTE(TRIM(INDEX(INDIRECT("'Выгрузка'!A980:Z980"),Настройки!$B$7)),",","."),".",MID(1/2,2,1)),"")</f>
        <v/>
      </c>
      <c r="B980">
        <f>IFERROR(--SUBSTITUTE(SUBSTITUTE(TRIM(INDEX(INDIRECT("'Выгрузка'!A980:Z980"),Настройки!$B$9)),",","."),".",MID(1/2,2,1)),"")</f>
        <v/>
      </c>
      <c r="C980">
        <f>TRIM(INDEX(INDIRECT("'Выгрузка'!A980:Z980"),Настройки!$B$8)&amp;"")</f>
        <v/>
      </c>
      <c r="D980">
        <f>IFERROR(--SUBSTITUTE(SUBSTITUTE(TRIM(INDEX(INDIRECT("'Выгрузка'!A980:Z980"),Настройки!$B$10)),",","."),".",MID(1/2,2,1)),"")</f>
        <v/>
      </c>
      <c r="E980">
        <f>IFERROR(--SUBSTITUTE(SUBSTITUTE(TRIM(INDEX(INDIRECT("'Выгрузка'!A980:Z980"),Настройки!$B$11)),",","."),".",MID(1/2,2,1)),"")</f>
        <v/>
      </c>
      <c r="F980">
        <f>TRIM(INDEX(INDIRECT("'Выгрузка'!A980:Z980"),Настройки!$B$12)&amp;"")</f>
        <v/>
      </c>
      <c r="G980">
        <f>IF(F980="",0,IF(TRIM(INDEX(INDIRECT("'Выгрузка'!A980:Z980"),Настройки!$B$13)&amp;"")="",1,IFERROR(--SUBSTITUTE(SUBSTITUTE(TRIM(INDEX(INDIRECT("'Выгрузка'!A980:Z980"),Настройки!$B$13)),",","."),".",MID(1/2,2,1)),"")))</f>
        <v/>
      </c>
      <c r="H980">
        <f>IF(F980="",0,IF(COUNTIF(Настройки!$B$17:$B$26,F980)&gt;0,1,IF(COUNTIF(Настройки!$C$17:$C$26,F980)&gt;0,2,IF(COUNTIF(Настройки!$D$17:$D$26,F980)&gt;0,3,0))))</f>
        <v/>
      </c>
      <c r="I980">
        <f>IF(AND(ISNUMBER(A980),ISNUMBER(B980)),A980*1000+B980,"")</f>
        <v/>
      </c>
      <c r="J980">
        <f>IF(I980="","",IF(COUNTIF(I$2:I980,I980)=1,MAX(J$1:J979)+1,""))</f>
        <v/>
      </c>
    </row>
    <row r="981">
      <c r="A981">
        <f>IFERROR(--SUBSTITUTE(SUBSTITUTE(TRIM(INDEX(INDIRECT("'Выгрузка'!A981:Z981"),Настройки!$B$7)),",","."),".",MID(1/2,2,1)),"")</f>
        <v/>
      </c>
      <c r="B981">
        <f>IFERROR(--SUBSTITUTE(SUBSTITUTE(TRIM(INDEX(INDIRECT("'Выгрузка'!A981:Z981"),Настройки!$B$9)),",","."),".",MID(1/2,2,1)),"")</f>
        <v/>
      </c>
      <c r="C981">
        <f>TRIM(INDEX(INDIRECT("'Выгрузка'!A981:Z981"),Настройки!$B$8)&amp;"")</f>
        <v/>
      </c>
      <c r="D981">
        <f>IFERROR(--SUBSTITUTE(SUBSTITUTE(TRIM(INDEX(INDIRECT("'Выгрузка'!A981:Z981"),Настройки!$B$10)),",","."),".",MID(1/2,2,1)),"")</f>
        <v/>
      </c>
      <c r="E981">
        <f>IFERROR(--SUBSTITUTE(SUBSTITUTE(TRIM(INDEX(INDIRECT("'Выгрузка'!A981:Z981"),Настройки!$B$11)),",","."),".",MID(1/2,2,1)),"")</f>
        <v/>
      </c>
      <c r="F981">
        <f>TRIM(INDEX(INDIRECT("'Выгрузка'!A981:Z981"),Настройки!$B$12)&amp;"")</f>
        <v/>
      </c>
      <c r="G981">
        <f>IF(F981="",0,IF(TRIM(INDEX(INDIRECT("'Выгрузка'!A981:Z981"),Настройки!$B$13)&amp;"")="",1,IFERROR(--SUBSTITUTE(SUBSTITUTE(TRIM(INDEX(INDIRECT("'Выгрузка'!A981:Z981"),Настройки!$B$13)),",","."),".",MID(1/2,2,1)),"")))</f>
        <v/>
      </c>
      <c r="H981">
        <f>IF(F981="",0,IF(COUNTIF(Настройки!$B$17:$B$26,F981)&gt;0,1,IF(COUNTIF(Настройки!$C$17:$C$26,F981)&gt;0,2,IF(COUNTIF(Настройки!$D$17:$D$26,F981)&gt;0,3,0))))</f>
        <v/>
      </c>
      <c r="I981">
        <f>IF(AND(ISNUMBER(A981),ISNUMBER(B981)),A981*1000+B981,"")</f>
        <v/>
      </c>
      <c r="J981">
        <f>IF(I981="","",IF(COUNTIF(I$2:I981,I981)=1,MAX(J$1:J980)+1,""))</f>
        <v/>
      </c>
    </row>
    <row r="982">
      <c r="A982">
        <f>IFERROR(--SUBSTITUTE(SUBSTITUTE(TRIM(INDEX(INDIRECT("'Выгрузка'!A982:Z982"),Настройки!$B$7)),",","."),".",MID(1/2,2,1)),"")</f>
        <v/>
      </c>
      <c r="B982">
        <f>IFERROR(--SUBSTITUTE(SUBSTITUTE(TRIM(INDEX(INDIRECT("'Выгрузка'!A982:Z982"),Настройки!$B$9)),",","."),".",MID(1/2,2,1)),"")</f>
        <v/>
      </c>
      <c r="C982">
        <f>TRIM(INDEX(INDIRECT("'Выгрузка'!A982:Z982"),Настройки!$B$8)&amp;"")</f>
        <v/>
      </c>
      <c r="D982">
        <f>IFERROR(--SUBSTITUTE(SUBSTITUTE(TRIM(INDEX(INDIRECT("'Выгрузка'!A982:Z982"),Настройки!$B$10)),",","."),".",MID(1/2,2,1)),"")</f>
        <v/>
      </c>
      <c r="E982">
        <f>IFERROR(--SUBSTITUTE(SUBSTITUTE(TRIM(INDEX(INDIRECT("'Выгрузка'!A982:Z982"),Настройки!$B$11)),",","."),".",MID(1/2,2,1)),"")</f>
        <v/>
      </c>
      <c r="F982">
        <f>TRIM(INDEX(INDIRECT("'Выгрузка'!A982:Z982"),Настройки!$B$12)&amp;"")</f>
        <v/>
      </c>
      <c r="G982">
        <f>IF(F982="",0,IF(TRIM(INDEX(INDIRECT("'Выгрузка'!A982:Z982"),Настройки!$B$13)&amp;"")="",1,IFERROR(--SUBSTITUTE(SUBSTITUTE(TRIM(INDEX(INDIRECT("'Выгрузка'!A982:Z982"),Настройки!$B$13)),",","."),".",MID(1/2,2,1)),"")))</f>
        <v/>
      </c>
      <c r="H982">
        <f>IF(F982="",0,IF(COUNTIF(Настройки!$B$17:$B$26,F982)&gt;0,1,IF(COUNTIF(Настройки!$C$17:$C$26,F982)&gt;0,2,IF(COUNTIF(Настройки!$D$17:$D$26,F982)&gt;0,3,0))))</f>
        <v/>
      </c>
      <c r="I982">
        <f>IF(AND(ISNUMBER(A982),ISNUMBER(B982)),A982*1000+B982,"")</f>
        <v/>
      </c>
      <c r="J982">
        <f>IF(I982="","",IF(COUNTIF(I$2:I982,I982)=1,MAX(J$1:J981)+1,""))</f>
        <v/>
      </c>
    </row>
    <row r="983">
      <c r="A983">
        <f>IFERROR(--SUBSTITUTE(SUBSTITUTE(TRIM(INDEX(INDIRECT("'Выгрузка'!A983:Z983"),Настройки!$B$7)),",","."),".",MID(1/2,2,1)),"")</f>
        <v/>
      </c>
      <c r="B983">
        <f>IFERROR(--SUBSTITUTE(SUBSTITUTE(TRIM(INDEX(INDIRECT("'Выгрузка'!A983:Z983"),Настройки!$B$9)),",","."),".",MID(1/2,2,1)),"")</f>
        <v/>
      </c>
      <c r="C983">
        <f>TRIM(INDEX(INDIRECT("'Выгрузка'!A983:Z983"),Настройки!$B$8)&amp;"")</f>
        <v/>
      </c>
      <c r="D983">
        <f>IFERROR(--SUBSTITUTE(SUBSTITUTE(TRIM(INDEX(INDIRECT("'Выгрузка'!A983:Z983"),Настройки!$B$10)),",","."),".",MID(1/2,2,1)),"")</f>
        <v/>
      </c>
      <c r="E983">
        <f>IFERROR(--SUBSTITUTE(SUBSTITUTE(TRIM(INDEX(INDIRECT("'Выгрузка'!A983:Z983"),Настройки!$B$11)),",","."),".",MID(1/2,2,1)),"")</f>
        <v/>
      </c>
      <c r="F983">
        <f>TRIM(INDEX(INDIRECT("'Выгрузка'!A983:Z983"),Настройки!$B$12)&amp;"")</f>
        <v/>
      </c>
      <c r="G983">
        <f>IF(F983="",0,IF(TRIM(INDEX(INDIRECT("'Выгрузка'!A983:Z983"),Настройки!$B$13)&amp;"")="",1,IFERROR(--SUBSTITUTE(SUBSTITUTE(TRIM(INDEX(INDIRECT("'Выгрузка'!A983:Z983"),Настройки!$B$13)),",","."),".",MID(1/2,2,1)),"")))</f>
        <v/>
      </c>
      <c r="H983">
        <f>IF(F983="",0,IF(COUNTIF(Настройки!$B$17:$B$26,F983)&gt;0,1,IF(COUNTIF(Настройки!$C$17:$C$26,F983)&gt;0,2,IF(COUNTIF(Настройки!$D$17:$D$26,F983)&gt;0,3,0))))</f>
        <v/>
      </c>
      <c r="I983">
        <f>IF(AND(ISNUMBER(A983),ISNUMBER(B983)),A983*1000+B983,"")</f>
        <v/>
      </c>
      <c r="J983">
        <f>IF(I983="","",IF(COUNTIF(I$2:I983,I983)=1,MAX(J$1:J982)+1,""))</f>
        <v/>
      </c>
    </row>
    <row r="984">
      <c r="A984">
        <f>IFERROR(--SUBSTITUTE(SUBSTITUTE(TRIM(INDEX(INDIRECT("'Выгрузка'!A984:Z984"),Настройки!$B$7)),",","."),".",MID(1/2,2,1)),"")</f>
        <v/>
      </c>
      <c r="B984">
        <f>IFERROR(--SUBSTITUTE(SUBSTITUTE(TRIM(INDEX(INDIRECT("'Выгрузка'!A984:Z984"),Настройки!$B$9)),",","."),".",MID(1/2,2,1)),"")</f>
        <v/>
      </c>
      <c r="C984">
        <f>TRIM(INDEX(INDIRECT("'Выгрузка'!A984:Z984"),Настройки!$B$8)&amp;"")</f>
        <v/>
      </c>
      <c r="D984">
        <f>IFERROR(--SUBSTITUTE(SUBSTITUTE(TRIM(INDEX(INDIRECT("'Выгрузка'!A984:Z984"),Настройки!$B$10)),",","."),".",MID(1/2,2,1)),"")</f>
        <v/>
      </c>
      <c r="E984">
        <f>IFERROR(--SUBSTITUTE(SUBSTITUTE(TRIM(INDEX(INDIRECT("'Выгрузка'!A984:Z984"),Настройки!$B$11)),",","."),".",MID(1/2,2,1)),"")</f>
        <v/>
      </c>
      <c r="F984">
        <f>TRIM(INDEX(INDIRECT("'Выгрузка'!A984:Z984"),Настройки!$B$12)&amp;"")</f>
        <v/>
      </c>
      <c r="G984">
        <f>IF(F984="",0,IF(TRIM(INDEX(INDIRECT("'Выгрузка'!A984:Z984"),Настройки!$B$13)&amp;"")="",1,IFERROR(--SUBSTITUTE(SUBSTITUTE(TRIM(INDEX(INDIRECT("'Выгрузка'!A984:Z984"),Настройки!$B$13)),",","."),".",MID(1/2,2,1)),"")))</f>
        <v/>
      </c>
      <c r="H984">
        <f>IF(F984="",0,IF(COUNTIF(Настройки!$B$17:$B$26,F984)&gt;0,1,IF(COUNTIF(Настройки!$C$17:$C$26,F984)&gt;0,2,IF(COUNTIF(Настройки!$D$17:$D$26,F984)&gt;0,3,0))))</f>
        <v/>
      </c>
      <c r="I984">
        <f>IF(AND(ISNUMBER(A984),ISNUMBER(B984)),A984*1000+B984,"")</f>
        <v/>
      </c>
      <c r="J984">
        <f>IF(I984="","",IF(COUNTIF(I$2:I984,I984)=1,MAX(J$1:J983)+1,""))</f>
        <v/>
      </c>
    </row>
    <row r="985">
      <c r="A985">
        <f>IFERROR(--SUBSTITUTE(SUBSTITUTE(TRIM(INDEX(INDIRECT("'Выгрузка'!A985:Z985"),Настройки!$B$7)),",","."),".",MID(1/2,2,1)),"")</f>
        <v/>
      </c>
      <c r="B985">
        <f>IFERROR(--SUBSTITUTE(SUBSTITUTE(TRIM(INDEX(INDIRECT("'Выгрузка'!A985:Z985"),Настройки!$B$9)),",","."),".",MID(1/2,2,1)),"")</f>
        <v/>
      </c>
      <c r="C985">
        <f>TRIM(INDEX(INDIRECT("'Выгрузка'!A985:Z985"),Настройки!$B$8)&amp;"")</f>
        <v/>
      </c>
      <c r="D985">
        <f>IFERROR(--SUBSTITUTE(SUBSTITUTE(TRIM(INDEX(INDIRECT("'Выгрузка'!A985:Z985"),Настройки!$B$10)),",","."),".",MID(1/2,2,1)),"")</f>
        <v/>
      </c>
      <c r="E985">
        <f>IFERROR(--SUBSTITUTE(SUBSTITUTE(TRIM(INDEX(INDIRECT("'Выгрузка'!A985:Z985"),Настройки!$B$11)),",","."),".",MID(1/2,2,1)),"")</f>
        <v/>
      </c>
      <c r="F985">
        <f>TRIM(INDEX(INDIRECT("'Выгрузка'!A985:Z985"),Настройки!$B$12)&amp;"")</f>
        <v/>
      </c>
      <c r="G985">
        <f>IF(F985="",0,IF(TRIM(INDEX(INDIRECT("'Выгрузка'!A985:Z985"),Настройки!$B$13)&amp;"")="",1,IFERROR(--SUBSTITUTE(SUBSTITUTE(TRIM(INDEX(INDIRECT("'Выгрузка'!A985:Z985"),Настройки!$B$13)),",","."),".",MID(1/2,2,1)),"")))</f>
        <v/>
      </c>
      <c r="H985">
        <f>IF(F985="",0,IF(COUNTIF(Настройки!$B$17:$B$26,F985)&gt;0,1,IF(COUNTIF(Настройки!$C$17:$C$26,F985)&gt;0,2,IF(COUNTIF(Настройки!$D$17:$D$26,F985)&gt;0,3,0))))</f>
        <v/>
      </c>
      <c r="I985">
        <f>IF(AND(ISNUMBER(A985),ISNUMBER(B985)),A985*1000+B985,"")</f>
        <v/>
      </c>
      <c r="J985">
        <f>IF(I985="","",IF(COUNTIF(I$2:I985,I985)=1,MAX(J$1:J984)+1,""))</f>
        <v/>
      </c>
    </row>
    <row r="986">
      <c r="A986">
        <f>IFERROR(--SUBSTITUTE(SUBSTITUTE(TRIM(INDEX(INDIRECT("'Выгрузка'!A986:Z986"),Настройки!$B$7)),",","."),".",MID(1/2,2,1)),"")</f>
        <v/>
      </c>
      <c r="B986">
        <f>IFERROR(--SUBSTITUTE(SUBSTITUTE(TRIM(INDEX(INDIRECT("'Выгрузка'!A986:Z986"),Настройки!$B$9)),",","."),".",MID(1/2,2,1)),"")</f>
        <v/>
      </c>
      <c r="C986">
        <f>TRIM(INDEX(INDIRECT("'Выгрузка'!A986:Z986"),Настройки!$B$8)&amp;"")</f>
        <v/>
      </c>
      <c r="D986">
        <f>IFERROR(--SUBSTITUTE(SUBSTITUTE(TRIM(INDEX(INDIRECT("'Выгрузка'!A986:Z986"),Настройки!$B$10)),",","."),".",MID(1/2,2,1)),"")</f>
        <v/>
      </c>
      <c r="E986">
        <f>IFERROR(--SUBSTITUTE(SUBSTITUTE(TRIM(INDEX(INDIRECT("'Выгрузка'!A986:Z986"),Настройки!$B$11)),",","."),".",MID(1/2,2,1)),"")</f>
        <v/>
      </c>
      <c r="F986">
        <f>TRIM(INDEX(INDIRECT("'Выгрузка'!A986:Z986"),Настройки!$B$12)&amp;"")</f>
        <v/>
      </c>
      <c r="G986">
        <f>IF(F986="",0,IF(TRIM(INDEX(INDIRECT("'Выгрузка'!A986:Z986"),Настройки!$B$13)&amp;"")="",1,IFERROR(--SUBSTITUTE(SUBSTITUTE(TRIM(INDEX(INDIRECT("'Выгрузка'!A986:Z986"),Настройки!$B$13)),",","."),".",MID(1/2,2,1)),"")))</f>
        <v/>
      </c>
      <c r="H986">
        <f>IF(F986="",0,IF(COUNTIF(Настройки!$B$17:$B$26,F986)&gt;0,1,IF(COUNTIF(Настройки!$C$17:$C$26,F986)&gt;0,2,IF(COUNTIF(Настройки!$D$17:$D$26,F986)&gt;0,3,0))))</f>
        <v/>
      </c>
      <c r="I986">
        <f>IF(AND(ISNUMBER(A986),ISNUMBER(B986)),A986*1000+B986,"")</f>
        <v/>
      </c>
      <c r="J986">
        <f>IF(I986="","",IF(COUNTIF(I$2:I986,I986)=1,MAX(J$1:J985)+1,""))</f>
        <v/>
      </c>
    </row>
    <row r="987">
      <c r="A987">
        <f>IFERROR(--SUBSTITUTE(SUBSTITUTE(TRIM(INDEX(INDIRECT("'Выгрузка'!A987:Z987"),Настройки!$B$7)),",","."),".",MID(1/2,2,1)),"")</f>
        <v/>
      </c>
      <c r="B987">
        <f>IFERROR(--SUBSTITUTE(SUBSTITUTE(TRIM(INDEX(INDIRECT("'Выгрузка'!A987:Z987"),Настройки!$B$9)),",","."),".",MID(1/2,2,1)),"")</f>
        <v/>
      </c>
      <c r="C987">
        <f>TRIM(INDEX(INDIRECT("'Выгрузка'!A987:Z987"),Настройки!$B$8)&amp;"")</f>
        <v/>
      </c>
      <c r="D987">
        <f>IFERROR(--SUBSTITUTE(SUBSTITUTE(TRIM(INDEX(INDIRECT("'Выгрузка'!A987:Z987"),Настройки!$B$10)),",","."),".",MID(1/2,2,1)),"")</f>
        <v/>
      </c>
      <c r="E987">
        <f>IFERROR(--SUBSTITUTE(SUBSTITUTE(TRIM(INDEX(INDIRECT("'Выгрузка'!A987:Z987"),Настройки!$B$11)),",","."),".",MID(1/2,2,1)),"")</f>
        <v/>
      </c>
      <c r="F987">
        <f>TRIM(INDEX(INDIRECT("'Выгрузка'!A987:Z987"),Настройки!$B$12)&amp;"")</f>
        <v/>
      </c>
      <c r="G987">
        <f>IF(F987="",0,IF(TRIM(INDEX(INDIRECT("'Выгрузка'!A987:Z987"),Настройки!$B$13)&amp;"")="",1,IFERROR(--SUBSTITUTE(SUBSTITUTE(TRIM(INDEX(INDIRECT("'Выгрузка'!A987:Z987"),Настройки!$B$13)),",","."),".",MID(1/2,2,1)),"")))</f>
        <v/>
      </c>
      <c r="H987">
        <f>IF(F987="",0,IF(COUNTIF(Настройки!$B$17:$B$26,F987)&gt;0,1,IF(COUNTIF(Настройки!$C$17:$C$26,F987)&gt;0,2,IF(COUNTIF(Настройки!$D$17:$D$26,F987)&gt;0,3,0))))</f>
        <v/>
      </c>
      <c r="I987">
        <f>IF(AND(ISNUMBER(A987),ISNUMBER(B987)),A987*1000+B987,"")</f>
        <v/>
      </c>
      <c r="J987">
        <f>IF(I987="","",IF(COUNTIF(I$2:I987,I987)=1,MAX(J$1:J986)+1,""))</f>
        <v/>
      </c>
    </row>
    <row r="988">
      <c r="A988">
        <f>IFERROR(--SUBSTITUTE(SUBSTITUTE(TRIM(INDEX(INDIRECT("'Выгрузка'!A988:Z988"),Настройки!$B$7)),",","."),".",MID(1/2,2,1)),"")</f>
        <v/>
      </c>
      <c r="B988">
        <f>IFERROR(--SUBSTITUTE(SUBSTITUTE(TRIM(INDEX(INDIRECT("'Выгрузка'!A988:Z988"),Настройки!$B$9)),",","."),".",MID(1/2,2,1)),"")</f>
        <v/>
      </c>
      <c r="C988">
        <f>TRIM(INDEX(INDIRECT("'Выгрузка'!A988:Z988"),Настройки!$B$8)&amp;"")</f>
        <v/>
      </c>
      <c r="D988">
        <f>IFERROR(--SUBSTITUTE(SUBSTITUTE(TRIM(INDEX(INDIRECT("'Выгрузка'!A988:Z988"),Настройки!$B$10)),",","."),".",MID(1/2,2,1)),"")</f>
        <v/>
      </c>
      <c r="E988">
        <f>IFERROR(--SUBSTITUTE(SUBSTITUTE(TRIM(INDEX(INDIRECT("'Выгрузка'!A988:Z988"),Настройки!$B$11)),",","."),".",MID(1/2,2,1)),"")</f>
        <v/>
      </c>
      <c r="F988">
        <f>TRIM(INDEX(INDIRECT("'Выгрузка'!A988:Z988"),Настройки!$B$12)&amp;"")</f>
        <v/>
      </c>
      <c r="G988">
        <f>IF(F988="",0,IF(TRIM(INDEX(INDIRECT("'Выгрузка'!A988:Z988"),Настройки!$B$13)&amp;"")="",1,IFERROR(--SUBSTITUTE(SUBSTITUTE(TRIM(INDEX(INDIRECT("'Выгрузка'!A988:Z988"),Настройки!$B$13)),",","."),".",MID(1/2,2,1)),"")))</f>
        <v/>
      </c>
      <c r="H988">
        <f>IF(F988="",0,IF(COUNTIF(Настройки!$B$17:$B$26,F988)&gt;0,1,IF(COUNTIF(Настройки!$C$17:$C$26,F988)&gt;0,2,IF(COUNTIF(Настройки!$D$17:$D$26,F988)&gt;0,3,0))))</f>
        <v/>
      </c>
      <c r="I988">
        <f>IF(AND(ISNUMBER(A988),ISNUMBER(B988)),A988*1000+B988,"")</f>
        <v/>
      </c>
      <c r="J988">
        <f>IF(I988="","",IF(COUNTIF(I$2:I988,I988)=1,MAX(J$1:J987)+1,""))</f>
        <v/>
      </c>
    </row>
    <row r="989">
      <c r="A989">
        <f>IFERROR(--SUBSTITUTE(SUBSTITUTE(TRIM(INDEX(INDIRECT("'Выгрузка'!A989:Z989"),Настройки!$B$7)),",","."),".",MID(1/2,2,1)),"")</f>
        <v/>
      </c>
      <c r="B989">
        <f>IFERROR(--SUBSTITUTE(SUBSTITUTE(TRIM(INDEX(INDIRECT("'Выгрузка'!A989:Z989"),Настройки!$B$9)),",","."),".",MID(1/2,2,1)),"")</f>
        <v/>
      </c>
      <c r="C989">
        <f>TRIM(INDEX(INDIRECT("'Выгрузка'!A989:Z989"),Настройки!$B$8)&amp;"")</f>
        <v/>
      </c>
      <c r="D989">
        <f>IFERROR(--SUBSTITUTE(SUBSTITUTE(TRIM(INDEX(INDIRECT("'Выгрузка'!A989:Z989"),Настройки!$B$10)),",","."),".",MID(1/2,2,1)),"")</f>
        <v/>
      </c>
      <c r="E989">
        <f>IFERROR(--SUBSTITUTE(SUBSTITUTE(TRIM(INDEX(INDIRECT("'Выгрузка'!A989:Z989"),Настройки!$B$11)),",","."),".",MID(1/2,2,1)),"")</f>
        <v/>
      </c>
      <c r="F989">
        <f>TRIM(INDEX(INDIRECT("'Выгрузка'!A989:Z989"),Настройки!$B$12)&amp;"")</f>
        <v/>
      </c>
      <c r="G989">
        <f>IF(F989="",0,IF(TRIM(INDEX(INDIRECT("'Выгрузка'!A989:Z989"),Настройки!$B$13)&amp;"")="",1,IFERROR(--SUBSTITUTE(SUBSTITUTE(TRIM(INDEX(INDIRECT("'Выгрузка'!A989:Z989"),Настройки!$B$13)),",","."),".",MID(1/2,2,1)),"")))</f>
        <v/>
      </c>
      <c r="H989">
        <f>IF(F989="",0,IF(COUNTIF(Настройки!$B$17:$B$26,F989)&gt;0,1,IF(COUNTIF(Настройки!$C$17:$C$26,F989)&gt;0,2,IF(COUNTIF(Настройки!$D$17:$D$26,F989)&gt;0,3,0))))</f>
        <v/>
      </c>
      <c r="I989">
        <f>IF(AND(ISNUMBER(A989),ISNUMBER(B989)),A989*1000+B989,"")</f>
        <v/>
      </c>
      <c r="J989">
        <f>IF(I989="","",IF(COUNTIF(I$2:I989,I989)=1,MAX(J$1:J988)+1,""))</f>
        <v/>
      </c>
    </row>
    <row r="990">
      <c r="A990">
        <f>IFERROR(--SUBSTITUTE(SUBSTITUTE(TRIM(INDEX(INDIRECT("'Выгрузка'!A990:Z990"),Настройки!$B$7)),",","."),".",MID(1/2,2,1)),"")</f>
        <v/>
      </c>
      <c r="B990">
        <f>IFERROR(--SUBSTITUTE(SUBSTITUTE(TRIM(INDEX(INDIRECT("'Выгрузка'!A990:Z990"),Настройки!$B$9)),",","."),".",MID(1/2,2,1)),"")</f>
        <v/>
      </c>
      <c r="C990">
        <f>TRIM(INDEX(INDIRECT("'Выгрузка'!A990:Z990"),Настройки!$B$8)&amp;"")</f>
        <v/>
      </c>
      <c r="D990">
        <f>IFERROR(--SUBSTITUTE(SUBSTITUTE(TRIM(INDEX(INDIRECT("'Выгрузка'!A990:Z990"),Настройки!$B$10)),",","."),".",MID(1/2,2,1)),"")</f>
        <v/>
      </c>
      <c r="E990">
        <f>IFERROR(--SUBSTITUTE(SUBSTITUTE(TRIM(INDEX(INDIRECT("'Выгрузка'!A990:Z990"),Настройки!$B$11)),",","."),".",MID(1/2,2,1)),"")</f>
        <v/>
      </c>
      <c r="F990">
        <f>TRIM(INDEX(INDIRECT("'Выгрузка'!A990:Z990"),Настройки!$B$12)&amp;"")</f>
        <v/>
      </c>
      <c r="G990">
        <f>IF(F990="",0,IF(TRIM(INDEX(INDIRECT("'Выгрузка'!A990:Z990"),Настройки!$B$13)&amp;"")="",1,IFERROR(--SUBSTITUTE(SUBSTITUTE(TRIM(INDEX(INDIRECT("'Выгрузка'!A990:Z990"),Настройки!$B$13)),",","."),".",MID(1/2,2,1)),"")))</f>
        <v/>
      </c>
      <c r="H990">
        <f>IF(F990="",0,IF(COUNTIF(Настройки!$B$17:$B$26,F990)&gt;0,1,IF(COUNTIF(Настройки!$C$17:$C$26,F990)&gt;0,2,IF(COUNTIF(Настройки!$D$17:$D$26,F990)&gt;0,3,0))))</f>
        <v/>
      </c>
      <c r="I990">
        <f>IF(AND(ISNUMBER(A990),ISNUMBER(B990)),A990*1000+B990,"")</f>
        <v/>
      </c>
      <c r="J990">
        <f>IF(I990="","",IF(COUNTIF(I$2:I990,I990)=1,MAX(J$1:J989)+1,""))</f>
        <v/>
      </c>
    </row>
    <row r="991">
      <c r="A991">
        <f>IFERROR(--SUBSTITUTE(SUBSTITUTE(TRIM(INDEX(INDIRECT("'Выгрузка'!A991:Z991"),Настройки!$B$7)),",","."),".",MID(1/2,2,1)),"")</f>
        <v/>
      </c>
      <c r="B991">
        <f>IFERROR(--SUBSTITUTE(SUBSTITUTE(TRIM(INDEX(INDIRECT("'Выгрузка'!A991:Z991"),Настройки!$B$9)),",","."),".",MID(1/2,2,1)),"")</f>
        <v/>
      </c>
      <c r="C991">
        <f>TRIM(INDEX(INDIRECT("'Выгрузка'!A991:Z991"),Настройки!$B$8)&amp;"")</f>
        <v/>
      </c>
      <c r="D991">
        <f>IFERROR(--SUBSTITUTE(SUBSTITUTE(TRIM(INDEX(INDIRECT("'Выгрузка'!A991:Z991"),Настройки!$B$10)),",","."),".",MID(1/2,2,1)),"")</f>
        <v/>
      </c>
      <c r="E991">
        <f>IFERROR(--SUBSTITUTE(SUBSTITUTE(TRIM(INDEX(INDIRECT("'Выгрузка'!A991:Z991"),Настройки!$B$11)),",","."),".",MID(1/2,2,1)),"")</f>
        <v/>
      </c>
      <c r="F991">
        <f>TRIM(INDEX(INDIRECT("'Выгрузка'!A991:Z991"),Настройки!$B$12)&amp;"")</f>
        <v/>
      </c>
      <c r="G991">
        <f>IF(F991="",0,IF(TRIM(INDEX(INDIRECT("'Выгрузка'!A991:Z991"),Настройки!$B$13)&amp;"")="",1,IFERROR(--SUBSTITUTE(SUBSTITUTE(TRIM(INDEX(INDIRECT("'Выгрузка'!A991:Z991"),Настройки!$B$13)),",","."),".",MID(1/2,2,1)),"")))</f>
        <v/>
      </c>
      <c r="H991">
        <f>IF(F991="",0,IF(COUNTIF(Настройки!$B$17:$B$26,F991)&gt;0,1,IF(COUNTIF(Настройки!$C$17:$C$26,F991)&gt;0,2,IF(COUNTIF(Настройки!$D$17:$D$26,F991)&gt;0,3,0))))</f>
        <v/>
      </c>
      <c r="I991">
        <f>IF(AND(ISNUMBER(A991),ISNUMBER(B991)),A991*1000+B991,"")</f>
        <v/>
      </c>
      <c r="J991">
        <f>IF(I991="","",IF(COUNTIF(I$2:I991,I991)=1,MAX(J$1:J990)+1,""))</f>
        <v/>
      </c>
    </row>
    <row r="992">
      <c r="A992">
        <f>IFERROR(--SUBSTITUTE(SUBSTITUTE(TRIM(INDEX(INDIRECT("'Выгрузка'!A992:Z992"),Настройки!$B$7)),",","."),".",MID(1/2,2,1)),"")</f>
        <v/>
      </c>
      <c r="B992">
        <f>IFERROR(--SUBSTITUTE(SUBSTITUTE(TRIM(INDEX(INDIRECT("'Выгрузка'!A992:Z992"),Настройки!$B$9)),",","."),".",MID(1/2,2,1)),"")</f>
        <v/>
      </c>
      <c r="C992">
        <f>TRIM(INDEX(INDIRECT("'Выгрузка'!A992:Z992"),Настройки!$B$8)&amp;"")</f>
        <v/>
      </c>
      <c r="D992">
        <f>IFERROR(--SUBSTITUTE(SUBSTITUTE(TRIM(INDEX(INDIRECT("'Выгрузка'!A992:Z992"),Настройки!$B$10)),",","."),".",MID(1/2,2,1)),"")</f>
        <v/>
      </c>
      <c r="E992">
        <f>IFERROR(--SUBSTITUTE(SUBSTITUTE(TRIM(INDEX(INDIRECT("'Выгрузка'!A992:Z992"),Настройки!$B$11)),",","."),".",MID(1/2,2,1)),"")</f>
        <v/>
      </c>
      <c r="F992">
        <f>TRIM(INDEX(INDIRECT("'Выгрузка'!A992:Z992"),Настройки!$B$12)&amp;"")</f>
        <v/>
      </c>
      <c r="G992">
        <f>IF(F992="",0,IF(TRIM(INDEX(INDIRECT("'Выгрузка'!A992:Z992"),Настройки!$B$13)&amp;"")="",1,IFERROR(--SUBSTITUTE(SUBSTITUTE(TRIM(INDEX(INDIRECT("'Выгрузка'!A992:Z992"),Настройки!$B$13)),",","."),".",MID(1/2,2,1)),"")))</f>
        <v/>
      </c>
      <c r="H992">
        <f>IF(F992="",0,IF(COUNTIF(Настройки!$B$17:$B$26,F992)&gt;0,1,IF(COUNTIF(Настройки!$C$17:$C$26,F992)&gt;0,2,IF(COUNTIF(Настройки!$D$17:$D$26,F992)&gt;0,3,0))))</f>
        <v/>
      </c>
      <c r="I992">
        <f>IF(AND(ISNUMBER(A992),ISNUMBER(B992)),A992*1000+B992,"")</f>
        <v/>
      </c>
      <c r="J992">
        <f>IF(I992="","",IF(COUNTIF(I$2:I992,I992)=1,MAX(J$1:J991)+1,""))</f>
        <v/>
      </c>
    </row>
    <row r="993">
      <c r="A993">
        <f>IFERROR(--SUBSTITUTE(SUBSTITUTE(TRIM(INDEX(INDIRECT("'Выгрузка'!A993:Z993"),Настройки!$B$7)),",","."),".",MID(1/2,2,1)),"")</f>
        <v/>
      </c>
      <c r="B993">
        <f>IFERROR(--SUBSTITUTE(SUBSTITUTE(TRIM(INDEX(INDIRECT("'Выгрузка'!A993:Z993"),Настройки!$B$9)),",","."),".",MID(1/2,2,1)),"")</f>
        <v/>
      </c>
      <c r="C993">
        <f>TRIM(INDEX(INDIRECT("'Выгрузка'!A993:Z993"),Настройки!$B$8)&amp;"")</f>
        <v/>
      </c>
      <c r="D993">
        <f>IFERROR(--SUBSTITUTE(SUBSTITUTE(TRIM(INDEX(INDIRECT("'Выгрузка'!A993:Z993"),Настройки!$B$10)),",","."),".",MID(1/2,2,1)),"")</f>
        <v/>
      </c>
      <c r="E993">
        <f>IFERROR(--SUBSTITUTE(SUBSTITUTE(TRIM(INDEX(INDIRECT("'Выгрузка'!A993:Z993"),Настройки!$B$11)),",","."),".",MID(1/2,2,1)),"")</f>
        <v/>
      </c>
      <c r="F993">
        <f>TRIM(INDEX(INDIRECT("'Выгрузка'!A993:Z993"),Настройки!$B$12)&amp;"")</f>
        <v/>
      </c>
      <c r="G993">
        <f>IF(F993="",0,IF(TRIM(INDEX(INDIRECT("'Выгрузка'!A993:Z993"),Настройки!$B$13)&amp;"")="",1,IFERROR(--SUBSTITUTE(SUBSTITUTE(TRIM(INDEX(INDIRECT("'Выгрузка'!A993:Z993"),Настройки!$B$13)),",","."),".",MID(1/2,2,1)),"")))</f>
        <v/>
      </c>
      <c r="H993">
        <f>IF(F993="",0,IF(COUNTIF(Настройки!$B$17:$B$26,F993)&gt;0,1,IF(COUNTIF(Настройки!$C$17:$C$26,F993)&gt;0,2,IF(COUNTIF(Настройки!$D$17:$D$26,F993)&gt;0,3,0))))</f>
        <v/>
      </c>
      <c r="I993">
        <f>IF(AND(ISNUMBER(A993),ISNUMBER(B993)),A993*1000+B993,"")</f>
        <v/>
      </c>
      <c r="J993">
        <f>IF(I993="","",IF(COUNTIF(I$2:I993,I993)=1,MAX(J$1:J992)+1,""))</f>
        <v/>
      </c>
    </row>
    <row r="994">
      <c r="A994">
        <f>IFERROR(--SUBSTITUTE(SUBSTITUTE(TRIM(INDEX(INDIRECT("'Выгрузка'!A994:Z994"),Настройки!$B$7)),",","."),".",MID(1/2,2,1)),"")</f>
        <v/>
      </c>
      <c r="B994">
        <f>IFERROR(--SUBSTITUTE(SUBSTITUTE(TRIM(INDEX(INDIRECT("'Выгрузка'!A994:Z994"),Настройки!$B$9)),",","."),".",MID(1/2,2,1)),"")</f>
        <v/>
      </c>
      <c r="C994">
        <f>TRIM(INDEX(INDIRECT("'Выгрузка'!A994:Z994"),Настройки!$B$8)&amp;"")</f>
        <v/>
      </c>
      <c r="D994">
        <f>IFERROR(--SUBSTITUTE(SUBSTITUTE(TRIM(INDEX(INDIRECT("'Выгрузка'!A994:Z994"),Настройки!$B$10)),",","."),".",MID(1/2,2,1)),"")</f>
        <v/>
      </c>
      <c r="E994">
        <f>IFERROR(--SUBSTITUTE(SUBSTITUTE(TRIM(INDEX(INDIRECT("'Выгрузка'!A994:Z994"),Настройки!$B$11)),",","."),".",MID(1/2,2,1)),"")</f>
        <v/>
      </c>
      <c r="F994">
        <f>TRIM(INDEX(INDIRECT("'Выгрузка'!A994:Z994"),Настройки!$B$12)&amp;"")</f>
        <v/>
      </c>
      <c r="G994">
        <f>IF(F994="",0,IF(TRIM(INDEX(INDIRECT("'Выгрузка'!A994:Z994"),Настройки!$B$13)&amp;"")="",1,IFERROR(--SUBSTITUTE(SUBSTITUTE(TRIM(INDEX(INDIRECT("'Выгрузка'!A994:Z994"),Настройки!$B$13)),",","."),".",MID(1/2,2,1)),"")))</f>
        <v/>
      </c>
      <c r="H994">
        <f>IF(F994="",0,IF(COUNTIF(Настройки!$B$17:$B$26,F994)&gt;0,1,IF(COUNTIF(Настройки!$C$17:$C$26,F994)&gt;0,2,IF(COUNTIF(Настройки!$D$17:$D$26,F994)&gt;0,3,0))))</f>
        <v/>
      </c>
      <c r="I994">
        <f>IF(AND(ISNUMBER(A994),ISNUMBER(B994)),A994*1000+B994,"")</f>
        <v/>
      </c>
      <c r="J994">
        <f>IF(I994="","",IF(COUNTIF(I$2:I994,I994)=1,MAX(J$1:J993)+1,""))</f>
        <v/>
      </c>
    </row>
    <row r="995">
      <c r="A995">
        <f>IFERROR(--SUBSTITUTE(SUBSTITUTE(TRIM(INDEX(INDIRECT("'Выгрузка'!A995:Z995"),Настройки!$B$7)),",","."),".",MID(1/2,2,1)),"")</f>
        <v/>
      </c>
      <c r="B995">
        <f>IFERROR(--SUBSTITUTE(SUBSTITUTE(TRIM(INDEX(INDIRECT("'Выгрузка'!A995:Z995"),Настройки!$B$9)),",","."),".",MID(1/2,2,1)),"")</f>
        <v/>
      </c>
      <c r="C995">
        <f>TRIM(INDEX(INDIRECT("'Выгрузка'!A995:Z995"),Настройки!$B$8)&amp;"")</f>
        <v/>
      </c>
      <c r="D995">
        <f>IFERROR(--SUBSTITUTE(SUBSTITUTE(TRIM(INDEX(INDIRECT("'Выгрузка'!A995:Z995"),Настройки!$B$10)),",","."),".",MID(1/2,2,1)),"")</f>
        <v/>
      </c>
      <c r="E995">
        <f>IFERROR(--SUBSTITUTE(SUBSTITUTE(TRIM(INDEX(INDIRECT("'Выгрузка'!A995:Z995"),Настройки!$B$11)),",","."),".",MID(1/2,2,1)),"")</f>
        <v/>
      </c>
      <c r="F995">
        <f>TRIM(INDEX(INDIRECT("'Выгрузка'!A995:Z995"),Настройки!$B$12)&amp;"")</f>
        <v/>
      </c>
      <c r="G995">
        <f>IF(F995="",0,IF(TRIM(INDEX(INDIRECT("'Выгрузка'!A995:Z995"),Настройки!$B$13)&amp;"")="",1,IFERROR(--SUBSTITUTE(SUBSTITUTE(TRIM(INDEX(INDIRECT("'Выгрузка'!A995:Z995"),Настройки!$B$13)),",","."),".",MID(1/2,2,1)),"")))</f>
        <v/>
      </c>
      <c r="H995">
        <f>IF(F995="",0,IF(COUNTIF(Настройки!$B$17:$B$26,F995)&gt;0,1,IF(COUNTIF(Настройки!$C$17:$C$26,F995)&gt;0,2,IF(COUNTIF(Настройки!$D$17:$D$26,F995)&gt;0,3,0))))</f>
        <v/>
      </c>
      <c r="I995">
        <f>IF(AND(ISNUMBER(A995),ISNUMBER(B995)),A995*1000+B995,"")</f>
        <v/>
      </c>
      <c r="J995">
        <f>IF(I995="","",IF(COUNTIF(I$2:I995,I995)=1,MAX(J$1:J994)+1,""))</f>
        <v/>
      </c>
    </row>
    <row r="996">
      <c r="A996">
        <f>IFERROR(--SUBSTITUTE(SUBSTITUTE(TRIM(INDEX(INDIRECT("'Выгрузка'!A996:Z996"),Настройки!$B$7)),",","."),".",MID(1/2,2,1)),"")</f>
        <v/>
      </c>
      <c r="B996">
        <f>IFERROR(--SUBSTITUTE(SUBSTITUTE(TRIM(INDEX(INDIRECT("'Выгрузка'!A996:Z996"),Настройки!$B$9)),",","."),".",MID(1/2,2,1)),"")</f>
        <v/>
      </c>
      <c r="C996">
        <f>TRIM(INDEX(INDIRECT("'Выгрузка'!A996:Z996"),Настройки!$B$8)&amp;"")</f>
        <v/>
      </c>
      <c r="D996">
        <f>IFERROR(--SUBSTITUTE(SUBSTITUTE(TRIM(INDEX(INDIRECT("'Выгрузка'!A996:Z996"),Настройки!$B$10)),",","."),".",MID(1/2,2,1)),"")</f>
        <v/>
      </c>
      <c r="E996">
        <f>IFERROR(--SUBSTITUTE(SUBSTITUTE(TRIM(INDEX(INDIRECT("'Выгрузка'!A996:Z996"),Настройки!$B$11)),",","."),".",MID(1/2,2,1)),"")</f>
        <v/>
      </c>
      <c r="F996">
        <f>TRIM(INDEX(INDIRECT("'Выгрузка'!A996:Z996"),Настройки!$B$12)&amp;"")</f>
        <v/>
      </c>
      <c r="G996">
        <f>IF(F996="",0,IF(TRIM(INDEX(INDIRECT("'Выгрузка'!A996:Z996"),Настройки!$B$13)&amp;"")="",1,IFERROR(--SUBSTITUTE(SUBSTITUTE(TRIM(INDEX(INDIRECT("'Выгрузка'!A996:Z996"),Настройки!$B$13)),",","."),".",MID(1/2,2,1)),"")))</f>
        <v/>
      </c>
      <c r="H996">
        <f>IF(F996="",0,IF(COUNTIF(Настройки!$B$17:$B$26,F996)&gt;0,1,IF(COUNTIF(Настройки!$C$17:$C$26,F996)&gt;0,2,IF(COUNTIF(Настройки!$D$17:$D$26,F996)&gt;0,3,0))))</f>
        <v/>
      </c>
      <c r="I996">
        <f>IF(AND(ISNUMBER(A996),ISNUMBER(B996)),A996*1000+B996,"")</f>
        <v/>
      </c>
      <c r="J996">
        <f>IF(I996="","",IF(COUNTIF(I$2:I996,I996)=1,MAX(J$1:J995)+1,""))</f>
        <v/>
      </c>
    </row>
    <row r="997">
      <c r="A997">
        <f>IFERROR(--SUBSTITUTE(SUBSTITUTE(TRIM(INDEX(INDIRECT("'Выгрузка'!A997:Z997"),Настройки!$B$7)),",","."),".",MID(1/2,2,1)),"")</f>
        <v/>
      </c>
      <c r="B997">
        <f>IFERROR(--SUBSTITUTE(SUBSTITUTE(TRIM(INDEX(INDIRECT("'Выгрузка'!A997:Z997"),Настройки!$B$9)),",","."),".",MID(1/2,2,1)),"")</f>
        <v/>
      </c>
      <c r="C997">
        <f>TRIM(INDEX(INDIRECT("'Выгрузка'!A997:Z997"),Настройки!$B$8)&amp;"")</f>
        <v/>
      </c>
      <c r="D997">
        <f>IFERROR(--SUBSTITUTE(SUBSTITUTE(TRIM(INDEX(INDIRECT("'Выгрузка'!A997:Z997"),Настройки!$B$10)),",","."),".",MID(1/2,2,1)),"")</f>
        <v/>
      </c>
      <c r="E997">
        <f>IFERROR(--SUBSTITUTE(SUBSTITUTE(TRIM(INDEX(INDIRECT("'Выгрузка'!A997:Z997"),Настройки!$B$11)),",","."),".",MID(1/2,2,1)),"")</f>
        <v/>
      </c>
      <c r="F997">
        <f>TRIM(INDEX(INDIRECT("'Выгрузка'!A997:Z997"),Настройки!$B$12)&amp;"")</f>
        <v/>
      </c>
      <c r="G997">
        <f>IF(F997="",0,IF(TRIM(INDEX(INDIRECT("'Выгрузка'!A997:Z997"),Настройки!$B$13)&amp;"")="",1,IFERROR(--SUBSTITUTE(SUBSTITUTE(TRIM(INDEX(INDIRECT("'Выгрузка'!A997:Z997"),Настройки!$B$13)),",","."),".",MID(1/2,2,1)),"")))</f>
        <v/>
      </c>
      <c r="H997">
        <f>IF(F997="",0,IF(COUNTIF(Настройки!$B$17:$B$26,F997)&gt;0,1,IF(COUNTIF(Настройки!$C$17:$C$26,F997)&gt;0,2,IF(COUNTIF(Настройки!$D$17:$D$26,F997)&gt;0,3,0))))</f>
        <v/>
      </c>
      <c r="I997">
        <f>IF(AND(ISNUMBER(A997),ISNUMBER(B997)),A997*1000+B997,"")</f>
        <v/>
      </c>
      <c r="J997">
        <f>IF(I997="","",IF(COUNTIF(I$2:I997,I997)=1,MAX(J$1:J996)+1,""))</f>
        <v/>
      </c>
    </row>
    <row r="998">
      <c r="A998">
        <f>IFERROR(--SUBSTITUTE(SUBSTITUTE(TRIM(INDEX(INDIRECT("'Выгрузка'!A998:Z998"),Настройки!$B$7)),",","."),".",MID(1/2,2,1)),"")</f>
        <v/>
      </c>
      <c r="B998">
        <f>IFERROR(--SUBSTITUTE(SUBSTITUTE(TRIM(INDEX(INDIRECT("'Выгрузка'!A998:Z998"),Настройки!$B$9)),",","."),".",MID(1/2,2,1)),"")</f>
        <v/>
      </c>
      <c r="C998">
        <f>TRIM(INDEX(INDIRECT("'Выгрузка'!A998:Z998"),Настройки!$B$8)&amp;"")</f>
        <v/>
      </c>
      <c r="D998">
        <f>IFERROR(--SUBSTITUTE(SUBSTITUTE(TRIM(INDEX(INDIRECT("'Выгрузка'!A998:Z998"),Настройки!$B$10)),",","."),".",MID(1/2,2,1)),"")</f>
        <v/>
      </c>
      <c r="E998">
        <f>IFERROR(--SUBSTITUTE(SUBSTITUTE(TRIM(INDEX(INDIRECT("'Выгрузка'!A998:Z998"),Настройки!$B$11)),",","."),".",MID(1/2,2,1)),"")</f>
        <v/>
      </c>
      <c r="F998">
        <f>TRIM(INDEX(INDIRECT("'Выгрузка'!A998:Z998"),Настройки!$B$12)&amp;"")</f>
        <v/>
      </c>
      <c r="G998">
        <f>IF(F998="",0,IF(TRIM(INDEX(INDIRECT("'Выгрузка'!A998:Z998"),Настройки!$B$13)&amp;"")="",1,IFERROR(--SUBSTITUTE(SUBSTITUTE(TRIM(INDEX(INDIRECT("'Выгрузка'!A998:Z998"),Настройки!$B$13)),",","."),".",MID(1/2,2,1)),"")))</f>
        <v/>
      </c>
      <c r="H998">
        <f>IF(F998="",0,IF(COUNTIF(Настройки!$B$17:$B$26,F998)&gt;0,1,IF(COUNTIF(Настройки!$C$17:$C$26,F998)&gt;0,2,IF(COUNTIF(Настройки!$D$17:$D$26,F998)&gt;0,3,0))))</f>
        <v/>
      </c>
      <c r="I998">
        <f>IF(AND(ISNUMBER(A998),ISNUMBER(B998)),A998*1000+B998,"")</f>
        <v/>
      </c>
      <c r="J998">
        <f>IF(I998="","",IF(COUNTIF(I$2:I998,I998)=1,MAX(J$1:J997)+1,""))</f>
        <v/>
      </c>
    </row>
    <row r="999">
      <c r="A999">
        <f>IFERROR(--SUBSTITUTE(SUBSTITUTE(TRIM(INDEX(INDIRECT("'Выгрузка'!A999:Z999"),Настройки!$B$7)),",","."),".",MID(1/2,2,1)),"")</f>
        <v/>
      </c>
      <c r="B999">
        <f>IFERROR(--SUBSTITUTE(SUBSTITUTE(TRIM(INDEX(INDIRECT("'Выгрузка'!A999:Z999"),Настройки!$B$9)),",","."),".",MID(1/2,2,1)),"")</f>
        <v/>
      </c>
      <c r="C999">
        <f>TRIM(INDEX(INDIRECT("'Выгрузка'!A999:Z999"),Настройки!$B$8)&amp;"")</f>
        <v/>
      </c>
      <c r="D999">
        <f>IFERROR(--SUBSTITUTE(SUBSTITUTE(TRIM(INDEX(INDIRECT("'Выгрузка'!A999:Z999"),Настройки!$B$10)),",","."),".",MID(1/2,2,1)),"")</f>
        <v/>
      </c>
      <c r="E999">
        <f>IFERROR(--SUBSTITUTE(SUBSTITUTE(TRIM(INDEX(INDIRECT("'Выгрузка'!A999:Z999"),Настройки!$B$11)),",","."),".",MID(1/2,2,1)),"")</f>
        <v/>
      </c>
      <c r="F999">
        <f>TRIM(INDEX(INDIRECT("'Выгрузка'!A999:Z999"),Настройки!$B$12)&amp;"")</f>
        <v/>
      </c>
      <c r="G999">
        <f>IF(F999="",0,IF(TRIM(INDEX(INDIRECT("'Выгрузка'!A999:Z999"),Настройки!$B$13)&amp;"")="",1,IFERROR(--SUBSTITUTE(SUBSTITUTE(TRIM(INDEX(INDIRECT("'Выгрузка'!A999:Z999"),Настройки!$B$13)),",","."),".",MID(1/2,2,1)),"")))</f>
        <v/>
      </c>
      <c r="H999">
        <f>IF(F999="",0,IF(COUNTIF(Настройки!$B$17:$B$26,F999)&gt;0,1,IF(COUNTIF(Настройки!$C$17:$C$26,F999)&gt;0,2,IF(COUNTIF(Настройки!$D$17:$D$26,F999)&gt;0,3,0))))</f>
        <v/>
      </c>
      <c r="I999">
        <f>IF(AND(ISNUMBER(A999),ISNUMBER(B999)),A999*1000+B999,"")</f>
        <v/>
      </c>
      <c r="J999">
        <f>IF(I999="","",IF(COUNTIF(I$2:I999,I999)=1,MAX(J$1:J998)+1,""))</f>
        <v/>
      </c>
    </row>
    <row r="1000">
      <c r="A1000">
        <f>IFERROR(--SUBSTITUTE(SUBSTITUTE(TRIM(INDEX(INDIRECT("'Выгрузка'!A1000:Z1000"),Настройки!$B$7)),",","."),".",MID(1/2,2,1)),"")</f>
        <v/>
      </c>
      <c r="B1000">
        <f>IFERROR(--SUBSTITUTE(SUBSTITUTE(TRIM(INDEX(INDIRECT("'Выгрузка'!A1000:Z1000"),Настройки!$B$9)),",","."),".",MID(1/2,2,1)),"")</f>
        <v/>
      </c>
      <c r="C1000">
        <f>TRIM(INDEX(INDIRECT("'Выгрузка'!A1000:Z1000"),Настройки!$B$8)&amp;"")</f>
        <v/>
      </c>
      <c r="D1000">
        <f>IFERROR(--SUBSTITUTE(SUBSTITUTE(TRIM(INDEX(INDIRECT("'Выгрузка'!A1000:Z1000"),Настройки!$B$10)),",","."),".",MID(1/2,2,1)),"")</f>
        <v/>
      </c>
      <c r="E1000">
        <f>IFERROR(--SUBSTITUTE(SUBSTITUTE(TRIM(INDEX(INDIRECT("'Выгрузка'!A1000:Z1000"),Настройки!$B$11)),",","."),".",MID(1/2,2,1)),"")</f>
        <v/>
      </c>
      <c r="F1000">
        <f>TRIM(INDEX(INDIRECT("'Выгрузка'!A1000:Z1000"),Настройки!$B$12)&amp;"")</f>
        <v/>
      </c>
      <c r="G1000">
        <f>IF(F1000="",0,IF(TRIM(INDEX(INDIRECT("'Выгрузка'!A1000:Z1000"),Настройки!$B$13)&amp;"")="",1,IFERROR(--SUBSTITUTE(SUBSTITUTE(TRIM(INDEX(INDIRECT("'Выгрузка'!A1000:Z1000"),Настройки!$B$13)),",","."),".",MID(1/2,2,1)),"")))</f>
        <v/>
      </c>
      <c r="H1000">
        <f>IF(F1000="",0,IF(COUNTIF(Настройки!$B$17:$B$26,F1000)&gt;0,1,IF(COUNTIF(Настройки!$C$17:$C$26,F1000)&gt;0,2,IF(COUNTIF(Настройки!$D$17:$D$26,F1000)&gt;0,3,0))))</f>
        <v/>
      </c>
      <c r="I1000">
        <f>IF(AND(ISNUMBER(A1000),ISNUMBER(B1000)),A1000*1000+B1000,"")</f>
        <v/>
      </c>
      <c r="J1000">
        <f>IF(I1000="","",IF(COUNTIF(I$2:I1000,I1000)=1,MAX(J$1:J999)+1,""))</f>
        <v/>
      </c>
    </row>
    <row r="1001">
      <c r="A1001">
        <f>IFERROR(--SUBSTITUTE(SUBSTITUTE(TRIM(INDEX(INDIRECT("'Выгрузка'!A1001:Z1001"),Настройки!$B$7)),",","."),".",MID(1/2,2,1)),"")</f>
        <v/>
      </c>
      <c r="B1001">
        <f>IFERROR(--SUBSTITUTE(SUBSTITUTE(TRIM(INDEX(INDIRECT("'Выгрузка'!A1001:Z1001"),Настройки!$B$9)),",","."),".",MID(1/2,2,1)),"")</f>
        <v/>
      </c>
      <c r="C1001">
        <f>TRIM(INDEX(INDIRECT("'Выгрузка'!A1001:Z1001"),Настройки!$B$8)&amp;"")</f>
        <v/>
      </c>
      <c r="D1001">
        <f>IFERROR(--SUBSTITUTE(SUBSTITUTE(TRIM(INDEX(INDIRECT("'Выгрузка'!A1001:Z1001"),Настройки!$B$10)),",","."),".",MID(1/2,2,1)),"")</f>
        <v/>
      </c>
      <c r="E1001">
        <f>IFERROR(--SUBSTITUTE(SUBSTITUTE(TRIM(INDEX(INDIRECT("'Выгрузка'!A1001:Z1001"),Настройки!$B$11)),",","."),".",MID(1/2,2,1)),"")</f>
        <v/>
      </c>
      <c r="F1001">
        <f>TRIM(INDEX(INDIRECT("'Выгрузка'!A1001:Z1001"),Настройки!$B$12)&amp;"")</f>
        <v/>
      </c>
      <c r="G1001">
        <f>IF(F1001="",0,IF(TRIM(INDEX(INDIRECT("'Выгрузка'!A1001:Z1001"),Настройки!$B$13)&amp;"")="",1,IFERROR(--SUBSTITUTE(SUBSTITUTE(TRIM(INDEX(INDIRECT("'Выгрузка'!A1001:Z1001"),Настройки!$B$13)),",","."),".",MID(1/2,2,1)),"")))</f>
        <v/>
      </c>
      <c r="H1001">
        <f>IF(F1001="",0,IF(COUNTIF(Настройки!$B$17:$B$26,F1001)&gt;0,1,IF(COUNTIF(Настройки!$C$17:$C$26,F1001)&gt;0,2,IF(COUNTIF(Настройки!$D$17:$D$26,F1001)&gt;0,3,0))))</f>
        <v/>
      </c>
      <c r="I1001">
        <f>IF(AND(ISNUMBER(A1001),ISNUMBER(B1001)),A1001*1000+B1001,"")</f>
        <v/>
      </c>
      <c r="J1001">
        <f>IF(I1001="","",IF(COUNTIF(I$2:I1001,I1001)=1,MAX(J$1:J1000)+1,""))</f>
        <v/>
      </c>
    </row>
    <row r="1002">
      <c r="A1002">
        <f>IFERROR(--SUBSTITUTE(SUBSTITUTE(TRIM(INDEX(INDIRECT("'Выгрузка'!A1002:Z1002"),Настройки!$B$7)),",","."),".",MID(1/2,2,1)),"")</f>
        <v/>
      </c>
      <c r="B1002">
        <f>IFERROR(--SUBSTITUTE(SUBSTITUTE(TRIM(INDEX(INDIRECT("'Выгрузка'!A1002:Z1002"),Настройки!$B$9)),",","."),".",MID(1/2,2,1)),"")</f>
        <v/>
      </c>
      <c r="C1002">
        <f>TRIM(INDEX(INDIRECT("'Выгрузка'!A1002:Z1002"),Настройки!$B$8)&amp;"")</f>
        <v/>
      </c>
      <c r="D1002">
        <f>IFERROR(--SUBSTITUTE(SUBSTITUTE(TRIM(INDEX(INDIRECT("'Выгрузка'!A1002:Z1002"),Настройки!$B$10)),",","."),".",MID(1/2,2,1)),"")</f>
        <v/>
      </c>
      <c r="E1002">
        <f>IFERROR(--SUBSTITUTE(SUBSTITUTE(TRIM(INDEX(INDIRECT("'Выгрузка'!A1002:Z1002"),Настройки!$B$11)),",","."),".",MID(1/2,2,1)),"")</f>
        <v/>
      </c>
      <c r="F1002">
        <f>TRIM(INDEX(INDIRECT("'Выгрузка'!A1002:Z1002"),Настройки!$B$12)&amp;"")</f>
        <v/>
      </c>
      <c r="G1002">
        <f>IF(F1002="",0,IF(TRIM(INDEX(INDIRECT("'Выгрузка'!A1002:Z1002"),Настройки!$B$13)&amp;"")="",1,IFERROR(--SUBSTITUTE(SUBSTITUTE(TRIM(INDEX(INDIRECT("'Выгрузка'!A1002:Z1002"),Настройки!$B$13)),",","."),".",MID(1/2,2,1)),"")))</f>
        <v/>
      </c>
      <c r="H1002">
        <f>IF(F1002="",0,IF(COUNTIF(Настройки!$B$17:$B$26,F1002)&gt;0,1,IF(COUNTIF(Настройки!$C$17:$C$26,F1002)&gt;0,2,IF(COUNTIF(Настройки!$D$17:$D$26,F1002)&gt;0,3,0))))</f>
        <v/>
      </c>
      <c r="I1002">
        <f>IF(AND(ISNUMBER(A1002),ISNUMBER(B1002)),A1002*1000+B1002,"")</f>
        <v/>
      </c>
      <c r="J1002">
        <f>IF(I1002="","",IF(COUNTIF(I$2:I1002,I1002)=1,MAX(J$1:J1001)+1,""))</f>
        <v/>
      </c>
    </row>
    <row r="1003">
      <c r="A1003">
        <f>IFERROR(--SUBSTITUTE(SUBSTITUTE(TRIM(INDEX(INDIRECT("'Выгрузка'!A1003:Z1003"),Настройки!$B$7)),",","."),".",MID(1/2,2,1)),"")</f>
        <v/>
      </c>
      <c r="B1003">
        <f>IFERROR(--SUBSTITUTE(SUBSTITUTE(TRIM(INDEX(INDIRECT("'Выгрузка'!A1003:Z1003"),Настройки!$B$9)),",","."),".",MID(1/2,2,1)),"")</f>
        <v/>
      </c>
      <c r="C1003">
        <f>TRIM(INDEX(INDIRECT("'Выгрузка'!A1003:Z1003"),Настройки!$B$8)&amp;"")</f>
        <v/>
      </c>
      <c r="D1003">
        <f>IFERROR(--SUBSTITUTE(SUBSTITUTE(TRIM(INDEX(INDIRECT("'Выгрузка'!A1003:Z1003"),Настройки!$B$10)),",","."),".",MID(1/2,2,1)),"")</f>
        <v/>
      </c>
      <c r="E1003">
        <f>IFERROR(--SUBSTITUTE(SUBSTITUTE(TRIM(INDEX(INDIRECT("'Выгрузка'!A1003:Z1003"),Настройки!$B$11)),",","."),".",MID(1/2,2,1)),"")</f>
        <v/>
      </c>
      <c r="F1003">
        <f>TRIM(INDEX(INDIRECT("'Выгрузка'!A1003:Z1003"),Настройки!$B$12)&amp;"")</f>
        <v/>
      </c>
      <c r="G1003">
        <f>IF(F1003="",0,IF(TRIM(INDEX(INDIRECT("'Выгрузка'!A1003:Z1003"),Настройки!$B$13)&amp;"")="",1,IFERROR(--SUBSTITUTE(SUBSTITUTE(TRIM(INDEX(INDIRECT("'Выгрузка'!A1003:Z1003"),Настройки!$B$13)),",","."),".",MID(1/2,2,1)),"")))</f>
        <v/>
      </c>
      <c r="H1003">
        <f>IF(F1003="",0,IF(COUNTIF(Настройки!$B$17:$B$26,F1003)&gt;0,1,IF(COUNTIF(Настройки!$C$17:$C$26,F1003)&gt;0,2,IF(COUNTIF(Настройки!$D$17:$D$26,F1003)&gt;0,3,0))))</f>
        <v/>
      </c>
      <c r="I1003">
        <f>IF(AND(ISNUMBER(A1003),ISNUMBER(B1003)),A1003*1000+B1003,"")</f>
        <v/>
      </c>
      <c r="J1003">
        <f>IF(I1003="","",IF(COUNTIF(I$2:I1003,I1003)=1,MAX(J$1:J1002)+1,""))</f>
        <v/>
      </c>
    </row>
    <row r="1004">
      <c r="A1004">
        <f>IFERROR(--SUBSTITUTE(SUBSTITUTE(TRIM(INDEX(INDIRECT("'Выгрузка'!A1004:Z1004"),Настройки!$B$7)),",","."),".",MID(1/2,2,1)),"")</f>
        <v/>
      </c>
      <c r="B1004">
        <f>IFERROR(--SUBSTITUTE(SUBSTITUTE(TRIM(INDEX(INDIRECT("'Выгрузка'!A1004:Z1004"),Настройки!$B$9)),",","."),".",MID(1/2,2,1)),"")</f>
        <v/>
      </c>
      <c r="C1004">
        <f>TRIM(INDEX(INDIRECT("'Выгрузка'!A1004:Z1004"),Настройки!$B$8)&amp;"")</f>
        <v/>
      </c>
      <c r="D1004">
        <f>IFERROR(--SUBSTITUTE(SUBSTITUTE(TRIM(INDEX(INDIRECT("'Выгрузка'!A1004:Z1004"),Настройки!$B$10)),",","."),".",MID(1/2,2,1)),"")</f>
        <v/>
      </c>
      <c r="E1004">
        <f>IFERROR(--SUBSTITUTE(SUBSTITUTE(TRIM(INDEX(INDIRECT("'Выгрузка'!A1004:Z1004"),Настройки!$B$11)),",","."),".",MID(1/2,2,1)),"")</f>
        <v/>
      </c>
      <c r="F1004">
        <f>TRIM(INDEX(INDIRECT("'Выгрузка'!A1004:Z1004"),Настройки!$B$12)&amp;"")</f>
        <v/>
      </c>
      <c r="G1004">
        <f>IF(F1004="",0,IF(TRIM(INDEX(INDIRECT("'Выгрузка'!A1004:Z1004"),Настройки!$B$13)&amp;"")="",1,IFERROR(--SUBSTITUTE(SUBSTITUTE(TRIM(INDEX(INDIRECT("'Выгрузка'!A1004:Z1004"),Настройки!$B$13)),",","."),".",MID(1/2,2,1)),"")))</f>
        <v/>
      </c>
      <c r="H1004">
        <f>IF(F1004="",0,IF(COUNTIF(Настройки!$B$17:$B$26,F1004)&gt;0,1,IF(COUNTIF(Настройки!$C$17:$C$26,F1004)&gt;0,2,IF(COUNTIF(Настройки!$D$17:$D$26,F1004)&gt;0,3,0))))</f>
        <v/>
      </c>
      <c r="I1004">
        <f>IF(AND(ISNUMBER(A1004),ISNUMBER(B1004)),A1004*1000+B1004,"")</f>
        <v/>
      </c>
      <c r="J1004">
        <f>IF(I1004="","",IF(COUNTIF(I$2:I1004,I1004)=1,MAX(J$1:J1003)+1,""))</f>
        <v/>
      </c>
    </row>
    <row r="1005">
      <c r="A1005">
        <f>IFERROR(--SUBSTITUTE(SUBSTITUTE(TRIM(INDEX(INDIRECT("'Выгрузка'!A1005:Z1005"),Настройки!$B$7)),",","."),".",MID(1/2,2,1)),"")</f>
        <v/>
      </c>
      <c r="B1005">
        <f>IFERROR(--SUBSTITUTE(SUBSTITUTE(TRIM(INDEX(INDIRECT("'Выгрузка'!A1005:Z1005"),Настройки!$B$9)),",","."),".",MID(1/2,2,1)),"")</f>
        <v/>
      </c>
      <c r="C1005">
        <f>TRIM(INDEX(INDIRECT("'Выгрузка'!A1005:Z1005"),Настройки!$B$8)&amp;"")</f>
        <v/>
      </c>
      <c r="D1005">
        <f>IFERROR(--SUBSTITUTE(SUBSTITUTE(TRIM(INDEX(INDIRECT("'Выгрузка'!A1005:Z1005"),Настройки!$B$10)),",","."),".",MID(1/2,2,1)),"")</f>
        <v/>
      </c>
      <c r="E1005">
        <f>IFERROR(--SUBSTITUTE(SUBSTITUTE(TRIM(INDEX(INDIRECT("'Выгрузка'!A1005:Z1005"),Настройки!$B$11)),",","."),".",MID(1/2,2,1)),"")</f>
        <v/>
      </c>
      <c r="F1005">
        <f>TRIM(INDEX(INDIRECT("'Выгрузка'!A1005:Z1005"),Настройки!$B$12)&amp;"")</f>
        <v/>
      </c>
      <c r="G1005">
        <f>IF(F1005="",0,IF(TRIM(INDEX(INDIRECT("'Выгрузка'!A1005:Z1005"),Настройки!$B$13)&amp;"")="",1,IFERROR(--SUBSTITUTE(SUBSTITUTE(TRIM(INDEX(INDIRECT("'Выгрузка'!A1005:Z1005"),Настройки!$B$13)),",","."),".",MID(1/2,2,1)),"")))</f>
        <v/>
      </c>
      <c r="H1005">
        <f>IF(F1005="",0,IF(COUNTIF(Настройки!$B$17:$B$26,F1005)&gt;0,1,IF(COUNTIF(Настройки!$C$17:$C$26,F1005)&gt;0,2,IF(COUNTIF(Настройки!$D$17:$D$26,F1005)&gt;0,3,0))))</f>
        <v/>
      </c>
      <c r="I1005">
        <f>IF(AND(ISNUMBER(A1005),ISNUMBER(B1005)),A1005*1000+B1005,"")</f>
        <v/>
      </c>
      <c r="J1005">
        <f>IF(I1005="","",IF(COUNTIF(I$2:I1005,I1005)=1,MAX(J$1:J1004)+1,""))</f>
        <v/>
      </c>
    </row>
    <row r="1006">
      <c r="A1006">
        <f>IFERROR(--SUBSTITUTE(SUBSTITUTE(TRIM(INDEX(INDIRECT("'Выгрузка'!A1006:Z1006"),Настройки!$B$7)),",","."),".",MID(1/2,2,1)),"")</f>
        <v/>
      </c>
      <c r="B1006">
        <f>IFERROR(--SUBSTITUTE(SUBSTITUTE(TRIM(INDEX(INDIRECT("'Выгрузка'!A1006:Z1006"),Настройки!$B$9)),",","."),".",MID(1/2,2,1)),"")</f>
        <v/>
      </c>
      <c r="C1006">
        <f>TRIM(INDEX(INDIRECT("'Выгрузка'!A1006:Z1006"),Настройки!$B$8)&amp;"")</f>
        <v/>
      </c>
      <c r="D1006">
        <f>IFERROR(--SUBSTITUTE(SUBSTITUTE(TRIM(INDEX(INDIRECT("'Выгрузка'!A1006:Z1006"),Настройки!$B$10)),",","."),".",MID(1/2,2,1)),"")</f>
        <v/>
      </c>
      <c r="E1006">
        <f>IFERROR(--SUBSTITUTE(SUBSTITUTE(TRIM(INDEX(INDIRECT("'Выгрузка'!A1006:Z1006"),Настройки!$B$11)),",","."),".",MID(1/2,2,1)),"")</f>
        <v/>
      </c>
      <c r="F1006">
        <f>TRIM(INDEX(INDIRECT("'Выгрузка'!A1006:Z1006"),Настройки!$B$12)&amp;"")</f>
        <v/>
      </c>
      <c r="G1006">
        <f>IF(F1006="",0,IF(TRIM(INDEX(INDIRECT("'Выгрузка'!A1006:Z1006"),Настройки!$B$13)&amp;"")="",1,IFERROR(--SUBSTITUTE(SUBSTITUTE(TRIM(INDEX(INDIRECT("'Выгрузка'!A1006:Z1006"),Настройки!$B$13)),",","."),".",MID(1/2,2,1)),"")))</f>
        <v/>
      </c>
      <c r="H1006">
        <f>IF(F1006="",0,IF(COUNTIF(Настройки!$B$17:$B$26,F1006)&gt;0,1,IF(COUNTIF(Настройки!$C$17:$C$26,F1006)&gt;0,2,IF(COUNTIF(Настройки!$D$17:$D$26,F1006)&gt;0,3,0))))</f>
        <v/>
      </c>
      <c r="I1006">
        <f>IF(AND(ISNUMBER(A1006),ISNUMBER(B1006)),A1006*1000+B1006,"")</f>
        <v/>
      </c>
      <c r="J1006">
        <f>IF(I1006="","",IF(COUNTIF(I$2:I1006,I1006)=1,MAX(J$1:J1005)+1,""))</f>
        <v/>
      </c>
    </row>
    <row r="1007">
      <c r="A1007">
        <f>IFERROR(--SUBSTITUTE(SUBSTITUTE(TRIM(INDEX(INDIRECT("'Выгрузка'!A1007:Z1007"),Настройки!$B$7)),",","."),".",MID(1/2,2,1)),"")</f>
        <v/>
      </c>
      <c r="B1007">
        <f>IFERROR(--SUBSTITUTE(SUBSTITUTE(TRIM(INDEX(INDIRECT("'Выгрузка'!A1007:Z1007"),Настройки!$B$9)),",","."),".",MID(1/2,2,1)),"")</f>
        <v/>
      </c>
      <c r="C1007">
        <f>TRIM(INDEX(INDIRECT("'Выгрузка'!A1007:Z1007"),Настройки!$B$8)&amp;"")</f>
        <v/>
      </c>
      <c r="D1007">
        <f>IFERROR(--SUBSTITUTE(SUBSTITUTE(TRIM(INDEX(INDIRECT("'Выгрузка'!A1007:Z1007"),Настройки!$B$10)),",","."),".",MID(1/2,2,1)),"")</f>
        <v/>
      </c>
      <c r="E1007">
        <f>IFERROR(--SUBSTITUTE(SUBSTITUTE(TRIM(INDEX(INDIRECT("'Выгрузка'!A1007:Z1007"),Настройки!$B$11)),",","."),".",MID(1/2,2,1)),"")</f>
        <v/>
      </c>
      <c r="F1007">
        <f>TRIM(INDEX(INDIRECT("'Выгрузка'!A1007:Z1007"),Настройки!$B$12)&amp;"")</f>
        <v/>
      </c>
      <c r="G1007">
        <f>IF(F1007="",0,IF(TRIM(INDEX(INDIRECT("'Выгрузка'!A1007:Z1007"),Настройки!$B$13)&amp;"")="",1,IFERROR(--SUBSTITUTE(SUBSTITUTE(TRIM(INDEX(INDIRECT("'Выгрузка'!A1007:Z1007"),Настройки!$B$13)),",","."),".",MID(1/2,2,1)),"")))</f>
        <v/>
      </c>
      <c r="H1007">
        <f>IF(F1007="",0,IF(COUNTIF(Настройки!$B$17:$B$26,F1007)&gt;0,1,IF(COUNTIF(Настройки!$C$17:$C$26,F1007)&gt;0,2,IF(COUNTIF(Настройки!$D$17:$D$26,F1007)&gt;0,3,0))))</f>
        <v/>
      </c>
      <c r="I1007">
        <f>IF(AND(ISNUMBER(A1007),ISNUMBER(B1007)),A1007*1000+B1007,"")</f>
        <v/>
      </c>
      <c r="J1007">
        <f>IF(I1007="","",IF(COUNTIF(I$2:I1007,I1007)=1,MAX(J$1:J1006)+1,""))</f>
        <v/>
      </c>
    </row>
    <row r="1008">
      <c r="A1008">
        <f>IFERROR(--SUBSTITUTE(SUBSTITUTE(TRIM(INDEX(INDIRECT("'Выгрузка'!A1008:Z1008"),Настройки!$B$7)),",","."),".",MID(1/2,2,1)),"")</f>
        <v/>
      </c>
      <c r="B1008">
        <f>IFERROR(--SUBSTITUTE(SUBSTITUTE(TRIM(INDEX(INDIRECT("'Выгрузка'!A1008:Z1008"),Настройки!$B$9)),",","."),".",MID(1/2,2,1)),"")</f>
        <v/>
      </c>
      <c r="C1008">
        <f>TRIM(INDEX(INDIRECT("'Выгрузка'!A1008:Z1008"),Настройки!$B$8)&amp;"")</f>
        <v/>
      </c>
      <c r="D1008">
        <f>IFERROR(--SUBSTITUTE(SUBSTITUTE(TRIM(INDEX(INDIRECT("'Выгрузка'!A1008:Z1008"),Настройки!$B$10)),",","."),".",MID(1/2,2,1)),"")</f>
        <v/>
      </c>
      <c r="E1008">
        <f>IFERROR(--SUBSTITUTE(SUBSTITUTE(TRIM(INDEX(INDIRECT("'Выгрузка'!A1008:Z1008"),Настройки!$B$11)),",","."),".",MID(1/2,2,1)),"")</f>
        <v/>
      </c>
      <c r="F1008">
        <f>TRIM(INDEX(INDIRECT("'Выгрузка'!A1008:Z1008"),Настройки!$B$12)&amp;"")</f>
        <v/>
      </c>
      <c r="G1008">
        <f>IF(F1008="",0,IF(TRIM(INDEX(INDIRECT("'Выгрузка'!A1008:Z1008"),Настройки!$B$13)&amp;"")="",1,IFERROR(--SUBSTITUTE(SUBSTITUTE(TRIM(INDEX(INDIRECT("'Выгрузка'!A1008:Z1008"),Настройки!$B$13)),",","."),".",MID(1/2,2,1)),"")))</f>
        <v/>
      </c>
      <c r="H1008">
        <f>IF(F1008="",0,IF(COUNTIF(Настройки!$B$17:$B$26,F1008)&gt;0,1,IF(COUNTIF(Настройки!$C$17:$C$26,F1008)&gt;0,2,IF(COUNTIF(Настройки!$D$17:$D$26,F1008)&gt;0,3,0))))</f>
        <v/>
      </c>
      <c r="I1008">
        <f>IF(AND(ISNUMBER(A1008),ISNUMBER(B1008)),A1008*1000+B1008,"")</f>
        <v/>
      </c>
      <c r="J1008">
        <f>IF(I1008="","",IF(COUNTIF(I$2:I1008,I1008)=1,MAX(J$1:J1007)+1,""))</f>
        <v/>
      </c>
    </row>
    <row r="1009">
      <c r="A1009">
        <f>IFERROR(--SUBSTITUTE(SUBSTITUTE(TRIM(INDEX(INDIRECT("'Выгрузка'!A1009:Z1009"),Настройки!$B$7)),",","."),".",MID(1/2,2,1)),"")</f>
        <v/>
      </c>
      <c r="B1009">
        <f>IFERROR(--SUBSTITUTE(SUBSTITUTE(TRIM(INDEX(INDIRECT("'Выгрузка'!A1009:Z1009"),Настройки!$B$9)),",","."),".",MID(1/2,2,1)),"")</f>
        <v/>
      </c>
      <c r="C1009">
        <f>TRIM(INDEX(INDIRECT("'Выгрузка'!A1009:Z1009"),Настройки!$B$8)&amp;"")</f>
        <v/>
      </c>
      <c r="D1009">
        <f>IFERROR(--SUBSTITUTE(SUBSTITUTE(TRIM(INDEX(INDIRECT("'Выгрузка'!A1009:Z1009"),Настройки!$B$10)),",","."),".",MID(1/2,2,1)),"")</f>
        <v/>
      </c>
      <c r="E1009">
        <f>IFERROR(--SUBSTITUTE(SUBSTITUTE(TRIM(INDEX(INDIRECT("'Выгрузка'!A1009:Z1009"),Настройки!$B$11)),",","."),".",MID(1/2,2,1)),"")</f>
        <v/>
      </c>
      <c r="F1009">
        <f>TRIM(INDEX(INDIRECT("'Выгрузка'!A1009:Z1009"),Настройки!$B$12)&amp;"")</f>
        <v/>
      </c>
      <c r="G1009">
        <f>IF(F1009="",0,IF(TRIM(INDEX(INDIRECT("'Выгрузка'!A1009:Z1009"),Настройки!$B$13)&amp;"")="",1,IFERROR(--SUBSTITUTE(SUBSTITUTE(TRIM(INDEX(INDIRECT("'Выгрузка'!A1009:Z1009"),Настройки!$B$13)),",","."),".",MID(1/2,2,1)),"")))</f>
        <v/>
      </c>
      <c r="H1009">
        <f>IF(F1009="",0,IF(COUNTIF(Настройки!$B$17:$B$26,F1009)&gt;0,1,IF(COUNTIF(Настройки!$C$17:$C$26,F1009)&gt;0,2,IF(COUNTIF(Настройки!$D$17:$D$26,F1009)&gt;0,3,0))))</f>
        <v/>
      </c>
      <c r="I1009">
        <f>IF(AND(ISNUMBER(A1009),ISNUMBER(B1009)),A1009*1000+B1009,"")</f>
        <v/>
      </c>
      <c r="J1009">
        <f>IF(I1009="","",IF(COUNTIF(I$2:I1009,I1009)=1,MAX(J$1:J1008)+1,""))</f>
        <v/>
      </c>
    </row>
    <row r="1010">
      <c r="A1010">
        <f>IFERROR(--SUBSTITUTE(SUBSTITUTE(TRIM(INDEX(INDIRECT("'Выгрузка'!A1010:Z1010"),Настройки!$B$7)),",","."),".",MID(1/2,2,1)),"")</f>
        <v/>
      </c>
      <c r="B1010">
        <f>IFERROR(--SUBSTITUTE(SUBSTITUTE(TRIM(INDEX(INDIRECT("'Выгрузка'!A1010:Z1010"),Настройки!$B$9)),",","."),".",MID(1/2,2,1)),"")</f>
        <v/>
      </c>
      <c r="C1010">
        <f>TRIM(INDEX(INDIRECT("'Выгрузка'!A1010:Z1010"),Настройки!$B$8)&amp;"")</f>
        <v/>
      </c>
      <c r="D1010">
        <f>IFERROR(--SUBSTITUTE(SUBSTITUTE(TRIM(INDEX(INDIRECT("'Выгрузка'!A1010:Z1010"),Настройки!$B$10)),",","."),".",MID(1/2,2,1)),"")</f>
        <v/>
      </c>
      <c r="E1010">
        <f>IFERROR(--SUBSTITUTE(SUBSTITUTE(TRIM(INDEX(INDIRECT("'Выгрузка'!A1010:Z1010"),Настройки!$B$11)),",","."),".",MID(1/2,2,1)),"")</f>
        <v/>
      </c>
      <c r="F1010">
        <f>TRIM(INDEX(INDIRECT("'Выгрузка'!A1010:Z1010"),Настройки!$B$12)&amp;"")</f>
        <v/>
      </c>
      <c r="G1010">
        <f>IF(F1010="",0,IF(TRIM(INDEX(INDIRECT("'Выгрузка'!A1010:Z1010"),Настройки!$B$13)&amp;"")="",1,IFERROR(--SUBSTITUTE(SUBSTITUTE(TRIM(INDEX(INDIRECT("'Выгрузка'!A1010:Z1010"),Настройки!$B$13)),",","."),".",MID(1/2,2,1)),"")))</f>
        <v/>
      </c>
      <c r="H1010">
        <f>IF(F1010="",0,IF(COUNTIF(Настройки!$B$17:$B$26,F1010)&gt;0,1,IF(COUNTIF(Настройки!$C$17:$C$26,F1010)&gt;0,2,IF(COUNTIF(Настройки!$D$17:$D$26,F1010)&gt;0,3,0))))</f>
        <v/>
      </c>
      <c r="I1010">
        <f>IF(AND(ISNUMBER(A1010),ISNUMBER(B1010)),A1010*1000+B1010,"")</f>
        <v/>
      </c>
      <c r="J1010">
        <f>IF(I1010="","",IF(COUNTIF(I$2:I1010,I1010)=1,MAX(J$1:J1009)+1,""))</f>
        <v/>
      </c>
    </row>
    <row r="1011">
      <c r="A1011">
        <f>IFERROR(--SUBSTITUTE(SUBSTITUTE(TRIM(INDEX(INDIRECT("'Выгрузка'!A1011:Z1011"),Настройки!$B$7)),",","."),".",MID(1/2,2,1)),"")</f>
        <v/>
      </c>
      <c r="B1011">
        <f>IFERROR(--SUBSTITUTE(SUBSTITUTE(TRIM(INDEX(INDIRECT("'Выгрузка'!A1011:Z1011"),Настройки!$B$9)),",","."),".",MID(1/2,2,1)),"")</f>
        <v/>
      </c>
      <c r="C1011">
        <f>TRIM(INDEX(INDIRECT("'Выгрузка'!A1011:Z1011"),Настройки!$B$8)&amp;"")</f>
        <v/>
      </c>
      <c r="D1011">
        <f>IFERROR(--SUBSTITUTE(SUBSTITUTE(TRIM(INDEX(INDIRECT("'Выгрузка'!A1011:Z1011"),Настройки!$B$10)),",","."),".",MID(1/2,2,1)),"")</f>
        <v/>
      </c>
      <c r="E1011">
        <f>IFERROR(--SUBSTITUTE(SUBSTITUTE(TRIM(INDEX(INDIRECT("'Выгрузка'!A1011:Z1011"),Настройки!$B$11)),",","."),".",MID(1/2,2,1)),"")</f>
        <v/>
      </c>
      <c r="F1011">
        <f>TRIM(INDEX(INDIRECT("'Выгрузка'!A1011:Z1011"),Настройки!$B$12)&amp;"")</f>
        <v/>
      </c>
      <c r="G1011">
        <f>IF(F1011="",0,IF(TRIM(INDEX(INDIRECT("'Выгрузка'!A1011:Z1011"),Настройки!$B$13)&amp;"")="",1,IFERROR(--SUBSTITUTE(SUBSTITUTE(TRIM(INDEX(INDIRECT("'Выгрузка'!A1011:Z1011"),Настройки!$B$13)),",","."),".",MID(1/2,2,1)),"")))</f>
        <v/>
      </c>
      <c r="H1011">
        <f>IF(F1011="",0,IF(COUNTIF(Настройки!$B$17:$B$26,F1011)&gt;0,1,IF(COUNTIF(Настройки!$C$17:$C$26,F1011)&gt;0,2,IF(COUNTIF(Настройки!$D$17:$D$26,F1011)&gt;0,3,0))))</f>
        <v/>
      </c>
      <c r="I1011">
        <f>IF(AND(ISNUMBER(A1011),ISNUMBER(B1011)),A1011*1000+B1011,"")</f>
        <v/>
      </c>
      <c r="J1011">
        <f>IF(I1011="","",IF(COUNTIF(I$2:I1011,I1011)=1,MAX(J$1:J1010)+1,""))</f>
        <v/>
      </c>
    </row>
    <row r="1012">
      <c r="A1012">
        <f>IFERROR(--SUBSTITUTE(SUBSTITUTE(TRIM(INDEX(INDIRECT("'Выгрузка'!A1012:Z1012"),Настройки!$B$7)),",","."),".",MID(1/2,2,1)),"")</f>
        <v/>
      </c>
      <c r="B1012">
        <f>IFERROR(--SUBSTITUTE(SUBSTITUTE(TRIM(INDEX(INDIRECT("'Выгрузка'!A1012:Z1012"),Настройки!$B$9)),",","."),".",MID(1/2,2,1)),"")</f>
        <v/>
      </c>
      <c r="C1012">
        <f>TRIM(INDEX(INDIRECT("'Выгрузка'!A1012:Z1012"),Настройки!$B$8)&amp;"")</f>
        <v/>
      </c>
      <c r="D1012">
        <f>IFERROR(--SUBSTITUTE(SUBSTITUTE(TRIM(INDEX(INDIRECT("'Выгрузка'!A1012:Z1012"),Настройки!$B$10)),",","."),".",MID(1/2,2,1)),"")</f>
        <v/>
      </c>
      <c r="E1012">
        <f>IFERROR(--SUBSTITUTE(SUBSTITUTE(TRIM(INDEX(INDIRECT("'Выгрузка'!A1012:Z1012"),Настройки!$B$11)),",","."),".",MID(1/2,2,1)),"")</f>
        <v/>
      </c>
      <c r="F1012">
        <f>TRIM(INDEX(INDIRECT("'Выгрузка'!A1012:Z1012"),Настройки!$B$12)&amp;"")</f>
        <v/>
      </c>
      <c r="G1012">
        <f>IF(F1012="",0,IF(TRIM(INDEX(INDIRECT("'Выгрузка'!A1012:Z1012"),Настройки!$B$13)&amp;"")="",1,IFERROR(--SUBSTITUTE(SUBSTITUTE(TRIM(INDEX(INDIRECT("'Выгрузка'!A1012:Z1012"),Настройки!$B$13)),",","."),".",MID(1/2,2,1)),"")))</f>
        <v/>
      </c>
      <c r="H1012">
        <f>IF(F1012="",0,IF(COUNTIF(Настройки!$B$17:$B$26,F1012)&gt;0,1,IF(COUNTIF(Настройки!$C$17:$C$26,F1012)&gt;0,2,IF(COUNTIF(Настройки!$D$17:$D$26,F1012)&gt;0,3,0))))</f>
        <v/>
      </c>
      <c r="I1012">
        <f>IF(AND(ISNUMBER(A1012),ISNUMBER(B1012)),A1012*1000+B1012,"")</f>
        <v/>
      </c>
      <c r="J1012">
        <f>IF(I1012="","",IF(COUNTIF(I$2:I1012,I1012)=1,MAX(J$1:J1011)+1,""))</f>
        <v/>
      </c>
    </row>
    <row r="1013">
      <c r="A1013">
        <f>IFERROR(--SUBSTITUTE(SUBSTITUTE(TRIM(INDEX(INDIRECT("'Выгрузка'!A1013:Z1013"),Настройки!$B$7)),",","."),".",MID(1/2,2,1)),"")</f>
        <v/>
      </c>
      <c r="B1013">
        <f>IFERROR(--SUBSTITUTE(SUBSTITUTE(TRIM(INDEX(INDIRECT("'Выгрузка'!A1013:Z1013"),Настройки!$B$9)),",","."),".",MID(1/2,2,1)),"")</f>
        <v/>
      </c>
      <c r="C1013">
        <f>TRIM(INDEX(INDIRECT("'Выгрузка'!A1013:Z1013"),Настройки!$B$8)&amp;"")</f>
        <v/>
      </c>
      <c r="D1013">
        <f>IFERROR(--SUBSTITUTE(SUBSTITUTE(TRIM(INDEX(INDIRECT("'Выгрузка'!A1013:Z1013"),Настройки!$B$10)),",","."),".",MID(1/2,2,1)),"")</f>
        <v/>
      </c>
      <c r="E1013">
        <f>IFERROR(--SUBSTITUTE(SUBSTITUTE(TRIM(INDEX(INDIRECT("'Выгрузка'!A1013:Z1013"),Настройки!$B$11)),",","."),".",MID(1/2,2,1)),"")</f>
        <v/>
      </c>
      <c r="F1013">
        <f>TRIM(INDEX(INDIRECT("'Выгрузка'!A1013:Z1013"),Настройки!$B$12)&amp;"")</f>
        <v/>
      </c>
      <c r="G1013">
        <f>IF(F1013="",0,IF(TRIM(INDEX(INDIRECT("'Выгрузка'!A1013:Z1013"),Настройки!$B$13)&amp;"")="",1,IFERROR(--SUBSTITUTE(SUBSTITUTE(TRIM(INDEX(INDIRECT("'Выгрузка'!A1013:Z1013"),Настройки!$B$13)),",","."),".",MID(1/2,2,1)),"")))</f>
        <v/>
      </c>
      <c r="H1013">
        <f>IF(F1013="",0,IF(COUNTIF(Настройки!$B$17:$B$26,F1013)&gt;0,1,IF(COUNTIF(Настройки!$C$17:$C$26,F1013)&gt;0,2,IF(COUNTIF(Настройки!$D$17:$D$26,F1013)&gt;0,3,0))))</f>
        <v/>
      </c>
      <c r="I1013">
        <f>IF(AND(ISNUMBER(A1013),ISNUMBER(B1013)),A1013*1000+B1013,"")</f>
        <v/>
      </c>
      <c r="J1013">
        <f>IF(I1013="","",IF(COUNTIF(I$2:I1013,I1013)=1,MAX(J$1:J1012)+1,""))</f>
        <v/>
      </c>
    </row>
    <row r="1014">
      <c r="A1014">
        <f>IFERROR(--SUBSTITUTE(SUBSTITUTE(TRIM(INDEX(INDIRECT("'Выгрузка'!A1014:Z1014"),Настройки!$B$7)),",","."),".",MID(1/2,2,1)),"")</f>
        <v/>
      </c>
      <c r="B1014">
        <f>IFERROR(--SUBSTITUTE(SUBSTITUTE(TRIM(INDEX(INDIRECT("'Выгрузка'!A1014:Z1014"),Настройки!$B$9)),",","."),".",MID(1/2,2,1)),"")</f>
        <v/>
      </c>
      <c r="C1014">
        <f>TRIM(INDEX(INDIRECT("'Выгрузка'!A1014:Z1014"),Настройки!$B$8)&amp;"")</f>
        <v/>
      </c>
      <c r="D1014">
        <f>IFERROR(--SUBSTITUTE(SUBSTITUTE(TRIM(INDEX(INDIRECT("'Выгрузка'!A1014:Z1014"),Настройки!$B$10)),",","."),".",MID(1/2,2,1)),"")</f>
        <v/>
      </c>
      <c r="E1014">
        <f>IFERROR(--SUBSTITUTE(SUBSTITUTE(TRIM(INDEX(INDIRECT("'Выгрузка'!A1014:Z1014"),Настройки!$B$11)),",","."),".",MID(1/2,2,1)),"")</f>
        <v/>
      </c>
      <c r="F1014">
        <f>TRIM(INDEX(INDIRECT("'Выгрузка'!A1014:Z1014"),Настройки!$B$12)&amp;"")</f>
        <v/>
      </c>
      <c r="G1014">
        <f>IF(F1014="",0,IF(TRIM(INDEX(INDIRECT("'Выгрузка'!A1014:Z1014"),Настройки!$B$13)&amp;"")="",1,IFERROR(--SUBSTITUTE(SUBSTITUTE(TRIM(INDEX(INDIRECT("'Выгрузка'!A1014:Z1014"),Настройки!$B$13)),",","."),".",MID(1/2,2,1)),"")))</f>
        <v/>
      </c>
      <c r="H1014">
        <f>IF(F1014="",0,IF(COUNTIF(Настройки!$B$17:$B$26,F1014)&gt;0,1,IF(COUNTIF(Настройки!$C$17:$C$26,F1014)&gt;0,2,IF(COUNTIF(Настройки!$D$17:$D$26,F1014)&gt;0,3,0))))</f>
        <v/>
      </c>
      <c r="I1014">
        <f>IF(AND(ISNUMBER(A1014),ISNUMBER(B1014)),A1014*1000+B1014,"")</f>
        <v/>
      </c>
      <c r="J1014">
        <f>IF(I1014="","",IF(COUNTIF(I$2:I1014,I1014)=1,MAX(J$1:J1013)+1,""))</f>
        <v/>
      </c>
    </row>
    <row r="1015">
      <c r="A1015">
        <f>IFERROR(--SUBSTITUTE(SUBSTITUTE(TRIM(INDEX(INDIRECT("'Выгрузка'!A1015:Z1015"),Настройки!$B$7)),",","."),".",MID(1/2,2,1)),"")</f>
        <v/>
      </c>
      <c r="B1015">
        <f>IFERROR(--SUBSTITUTE(SUBSTITUTE(TRIM(INDEX(INDIRECT("'Выгрузка'!A1015:Z1015"),Настройки!$B$9)),",","."),".",MID(1/2,2,1)),"")</f>
        <v/>
      </c>
      <c r="C1015">
        <f>TRIM(INDEX(INDIRECT("'Выгрузка'!A1015:Z1015"),Настройки!$B$8)&amp;"")</f>
        <v/>
      </c>
      <c r="D1015">
        <f>IFERROR(--SUBSTITUTE(SUBSTITUTE(TRIM(INDEX(INDIRECT("'Выгрузка'!A1015:Z1015"),Настройки!$B$10)),",","."),".",MID(1/2,2,1)),"")</f>
        <v/>
      </c>
      <c r="E1015">
        <f>IFERROR(--SUBSTITUTE(SUBSTITUTE(TRIM(INDEX(INDIRECT("'Выгрузка'!A1015:Z1015"),Настройки!$B$11)),",","."),".",MID(1/2,2,1)),"")</f>
        <v/>
      </c>
      <c r="F1015">
        <f>TRIM(INDEX(INDIRECT("'Выгрузка'!A1015:Z1015"),Настройки!$B$12)&amp;"")</f>
        <v/>
      </c>
      <c r="G1015">
        <f>IF(F1015="",0,IF(TRIM(INDEX(INDIRECT("'Выгрузка'!A1015:Z1015"),Настройки!$B$13)&amp;"")="",1,IFERROR(--SUBSTITUTE(SUBSTITUTE(TRIM(INDEX(INDIRECT("'Выгрузка'!A1015:Z1015"),Настройки!$B$13)),",","."),".",MID(1/2,2,1)),"")))</f>
        <v/>
      </c>
      <c r="H1015">
        <f>IF(F1015="",0,IF(COUNTIF(Настройки!$B$17:$B$26,F1015)&gt;0,1,IF(COUNTIF(Настройки!$C$17:$C$26,F1015)&gt;0,2,IF(COUNTIF(Настройки!$D$17:$D$26,F1015)&gt;0,3,0))))</f>
        <v/>
      </c>
      <c r="I1015">
        <f>IF(AND(ISNUMBER(A1015),ISNUMBER(B1015)),A1015*1000+B1015,"")</f>
        <v/>
      </c>
      <c r="J1015">
        <f>IF(I1015="","",IF(COUNTIF(I$2:I1015,I1015)=1,MAX(J$1:J1014)+1,""))</f>
        <v/>
      </c>
    </row>
    <row r="1016">
      <c r="A1016">
        <f>IFERROR(--SUBSTITUTE(SUBSTITUTE(TRIM(INDEX(INDIRECT("'Выгрузка'!A1016:Z1016"),Настройки!$B$7)),",","."),".",MID(1/2,2,1)),"")</f>
        <v/>
      </c>
      <c r="B1016">
        <f>IFERROR(--SUBSTITUTE(SUBSTITUTE(TRIM(INDEX(INDIRECT("'Выгрузка'!A1016:Z1016"),Настройки!$B$9)),",","."),".",MID(1/2,2,1)),"")</f>
        <v/>
      </c>
      <c r="C1016">
        <f>TRIM(INDEX(INDIRECT("'Выгрузка'!A1016:Z1016"),Настройки!$B$8)&amp;"")</f>
        <v/>
      </c>
      <c r="D1016">
        <f>IFERROR(--SUBSTITUTE(SUBSTITUTE(TRIM(INDEX(INDIRECT("'Выгрузка'!A1016:Z1016"),Настройки!$B$10)),",","."),".",MID(1/2,2,1)),"")</f>
        <v/>
      </c>
      <c r="E1016">
        <f>IFERROR(--SUBSTITUTE(SUBSTITUTE(TRIM(INDEX(INDIRECT("'Выгрузка'!A1016:Z1016"),Настройки!$B$11)),",","."),".",MID(1/2,2,1)),"")</f>
        <v/>
      </c>
      <c r="F1016">
        <f>TRIM(INDEX(INDIRECT("'Выгрузка'!A1016:Z1016"),Настройки!$B$12)&amp;"")</f>
        <v/>
      </c>
      <c r="G1016">
        <f>IF(F1016="",0,IF(TRIM(INDEX(INDIRECT("'Выгрузка'!A1016:Z1016"),Настройки!$B$13)&amp;"")="",1,IFERROR(--SUBSTITUTE(SUBSTITUTE(TRIM(INDEX(INDIRECT("'Выгрузка'!A1016:Z1016"),Настройки!$B$13)),",","."),".",MID(1/2,2,1)),"")))</f>
        <v/>
      </c>
      <c r="H1016">
        <f>IF(F1016="",0,IF(COUNTIF(Настройки!$B$17:$B$26,F1016)&gt;0,1,IF(COUNTIF(Настройки!$C$17:$C$26,F1016)&gt;0,2,IF(COUNTIF(Настройки!$D$17:$D$26,F1016)&gt;0,3,0))))</f>
        <v/>
      </c>
      <c r="I1016">
        <f>IF(AND(ISNUMBER(A1016),ISNUMBER(B1016)),A1016*1000+B1016,"")</f>
        <v/>
      </c>
      <c r="J1016">
        <f>IF(I1016="","",IF(COUNTIF(I$2:I1016,I1016)=1,MAX(J$1:J1015)+1,""))</f>
        <v/>
      </c>
    </row>
    <row r="1017">
      <c r="A1017">
        <f>IFERROR(--SUBSTITUTE(SUBSTITUTE(TRIM(INDEX(INDIRECT("'Выгрузка'!A1017:Z1017"),Настройки!$B$7)),",","."),".",MID(1/2,2,1)),"")</f>
        <v/>
      </c>
      <c r="B1017">
        <f>IFERROR(--SUBSTITUTE(SUBSTITUTE(TRIM(INDEX(INDIRECT("'Выгрузка'!A1017:Z1017"),Настройки!$B$9)),",","."),".",MID(1/2,2,1)),"")</f>
        <v/>
      </c>
      <c r="C1017">
        <f>TRIM(INDEX(INDIRECT("'Выгрузка'!A1017:Z1017"),Настройки!$B$8)&amp;"")</f>
        <v/>
      </c>
      <c r="D1017">
        <f>IFERROR(--SUBSTITUTE(SUBSTITUTE(TRIM(INDEX(INDIRECT("'Выгрузка'!A1017:Z1017"),Настройки!$B$10)),",","."),".",MID(1/2,2,1)),"")</f>
        <v/>
      </c>
      <c r="E1017">
        <f>IFERROR(--SUBSTITUTE(SUBSTITUTE(TRIM(INDEX(INDIRECT("'Выгрузка'!A1017:Z1017"),Настройки!$B$11)),",","."),".",MID(1/2,2,1)),"")</f>
        <v/>
      </c>
      <c r="F1017">
        <f>TRIM(INDEX(INDIRECT("'Выгрузка'!A1017:Z1017"),Настройки!$B$12)&amp;"")</f>
        <v/>
      </c>
      <c r="G1017">
        <f>IF(F1017="",0,IF(TRIM(INDEX(INDIRECT("'Выгрузка'!A1017:Z1017"),Настройки!$B$13)&amp;"")="",1,IFERROR(--SUBSTITUTE(SUBSTITUTE(TRIM(INDEX(INDIRECT("'Выгрузка'!A1017:Z1017"),Настройки!$B$13)),",","."),".",MID(1/2,2,1)),"")))</f>
        <v/>
      </c>
      <c r="H1017">
        <f>IF(F1017="",0,IF(COUNTIF(Настройки!$B$17:$B$26,F1017)&gt;0,1,IF(COUNTIF(Настройки!$C$17:$C$26,F1017)&gt;0,2,IF(COUNTIF(Настройки!$D$17:$D$26,F1017)&gt;0,3,0))))</f>
        <v/>
      </c>
      <c r="I1017">
        <f>IF(AND(ISNUMBER(A1017),ISNUMBER(B1017)),A1017*1000+B1017,"")</f>
        <v/>
      </c>
      <c r="J1017">
        <f>IF(I1017="","",IF(COUNTIF(I$2:I1017,I1017)=1,MAX(J$1:J1016)+1,""))</f>
        <v/>
      </c>
    </row>
    <row r="1018">
      <c r="A1018">
        <f>IFERROR(--SUBSTITUTE(SUBSTITUTE(TRIM(INDEX(INDIRECT("'Выгрузка'!A1018:Z1018"),Настройки!$B$7)),",","."),".",MID(1/2,2,1)),"")</f>
        <v/>
      </c>
      <c r="B1018">
        <f>IFERROR(--SUBSTITUTE(SUBSTITUTE(TRIM(INDEX(INDIRECT("'Выгрузка'!A1018:Z1018"),Настройки!$B$9)),",","."),".",MID(1/2,2,1)),"")</f>
        <v/>
      </c>
      <c r="C1018">
        <f>TRIM(INDEX(INDIRECT("'Выгрузка'!A1018:Z1018"),Настройки!$B$8)&amp;"")</f>
        <v/>
      </c>
      <c r="D1018">
        <f>IFERROR(--SUBSTITUTE(SUBSTITUTE(TRIM(INDEX(INDIRECT("'Выгрузка'!A1018:Z1018"),Настройки!$B$10)),",","."),".",MID(1/2,2,1)),"")</f>
        <v/>
      </c>
      <c r="E1018">
        <f>IFERROR(--SUBSTITUTE(SUBSTITUTE(TRIM(INDEX(INDIRECT("'Выгрузка'!A1018:Z1018"),Настройки!$B$11)),",","."),".",MID(1/2,2,1)),"")</f>
        <v/>
      </c>
      <c r="F1018">
        <f>TRIM(INDEX(INDIRECT("'Выгрузка'!A1018:Z1018"),Настройки!$B$12)&amp;"")</f>
        <v/>
      </c>
      <c r="G1018">
        <f>IF(F1018="",0,IF(TRIM(INDEX(INDIRECT("'Выгрузка'!A1018:Z1018"),Настройки!$B$13)&amp;"")="",1,IFERROR(--SUBSTITUTE(SUBSTITUTE(TRIM(INDEX(INDIRECT("'Выгрузка'!A1018:Z1018"),Настройки!$B$13)),",","."),".",MID(1/2,2,1)),"")))</f>
        <v/>
      </c>
      <c r="H1018">
        <f>IF(F1018="",0,IF(COUNTIF(Настройки!$B$17:$B$26,F1018)&gt;0,1,IF(COUNTIF(Настройки!$C$17:$C$26,F1018)&gt;0,2,IF(COUNTIF(Настройки!$D$17:$D$26,F1018)&gt;0,3,0))))</f>
        <v/>
      </c>
      <c r="I1018">
        <f>IF(AND(ISNUMBER(A1018),ISNUMBER(B1018)),A1018*1000+B1018,"")</f>
        <v/>
      </c>
      <c r="J1018">
        <f>IF(I1018="","",IF(COUNTIF(I$2:I1018,I1018)=1,MAX(J$1:J1017)+1,""))</f>
        <v/>
      </c>
    </row>
    <row r="1019">
      <c r="A1019">
        <f>IFERROR(--SUBSTITUTE(SUBSTITUTE(TRIM(INDEX(INDIRECT("'Выгрузка'!A1019:Z1019"),Настройки!$B$7)),",","."),".",MID(1/2,2,1)),"")</f>
        <v/>
      </c>
      <c r="B1019">
        <f>IFERROR(--SUBSTITUTE(SUBSTITUTE(TRIM(INDEX(INDIRECT("'Выгрузка'!A1019:Z1019"),Настройки!$B$9)),",","."),".",MID(1/2,2,1)),"")</f>
        <v/>
      </c>
      <c r="C1019">
        <f>TRIM(INDEX(INDIRECT("'Выгрузка'!A1019:Z1019"),Настройки!$B$8)&amp;"")</f>
        <v/>
      </c>
      <c r="D1019">
        <f>IFERROR(--SUBSTITUTE(SUBSTITUTE(TRIM(INDEX(INDIRECT("'Выгрузка'!A1019:Z1019"),Настройки!$B$10)),",","."),".",MID(1/2,2,1)),"")</f>
        <v/>
      </c>
      <c r="E1019">
        <f>IFERROR(--SUBSTITUTE(SUBSTITUTE(TRIM(INDEX(INDIRECT("'Выгрузка'!A1019:Z1019"),Настройки!$B$11)),",","."),".",MID(1/2,2,1)),"")</f>
        <v/>
      </c>
      <c r="F1019">
        <f>TRIM(INDEX(INDIRECT("'Выгрузка'!A1019:Z1019"),Настройки!$B$12)&amp;"")</f>
        <v/>
      </c>
      <c r="G1019">
        <f>IF(F1019="",0,IF(TRIM(INDEX(INDIRECT("'Выгрузка'!A1019:Z1019"),Настройки!$B$13)&amp;"")="",1,IFERROR(--SUBSTITUTE(SUBSTITUTE(TRIM(INDEX(INDIRECT("'Выгрузка'!A1019:Z1019"),Настройки!$B$13)),",","."),".",MID(1/2,2,1)),"")))</f>
        <v/>
      </c>
      <c r="H1019">
        <f>IF(F1019="",0,IF(COUNTIF(Настройки!$B$17:$B$26,F1019)&gt;0,1,IF(COUNTIF(Настройки!$C$17:$C$26,F1019)&gt;0,2,IF(COUNTIF(Настройки!$D$17:$D$26,F1019)&gt;0,3,0))))</f>
        <v/>
      </c>
      <c r="I1019">
        <f>IF(AND(ISNUMBER(A1019),ISNUMBER(B1019)),A1019*1000+B1019,"")</f>
        <v/>
      </c>
      <c r="J1019">
        <f>IF(I1019="","",IF(COUNTIF(I$2:I1019,I1019)=1,MAX(J$1:J1018)+1,""))</f>
        <v/>
      </c>
    </row>
    <row r="1020">
      <c r="A1020">
        <f>IFERROR(--SUBSTITUTE(SUBSTITUTE(TRIM(INDEX(INDIRECT("'Выгрузка'!A1020:Z1020"),Настройки!$B$7)),",","."),".",MID(1/2,2,1)),"")</f>
        <v/>
      </c>
      <c r="B1020">
        <f>IFERROR(--SUBSTITUTE(SUBSTITUTE(TRIM(INDEX(INDIRECT("'Выгрузка'!A1020:Z1020"),Настройки!$B$9)),",","."),".",MID(1/2,2,1)),"")</f>
        <v/>
      </c>
      <c r="C1020">
        <f>TRIM(INDEX(INDIRECT("'Выгрузка'!A1020:Z1020"),Настройки!$B$8)&amp;"")</f>
        <v/>
      </c>
      <c r="D1020">
        <f>IFERROR(--SUBSTITUTE(SUBSTITUTE(TRIM(INDEX(INDIRECT("'Выгрузка'!A1020:Z1020"),Настройки!$B$10)),",","."),".",MID(1/2,2,1)),"")</f>
        <v/>
      </c>
      <c r="E1020">
        <f>IFERROR(--SUBSTITUTE(SUBSTITUTE(TRIM(INDEX(INDIRECT("'Выгрузка'!A1020:Z1020"),Настройки!$B$11)),",","."),".",MID(1/2,2,1)),"")</f>
        <v/>
      </c>
      <c r="F1020">
        <f>TRIM(INDEX(INDIRECT("'Выгрузка'!A1020:Z1020"),Настройки!$B$12)&amp;"")</f>
        <v/>
      </c>
      <c r="G1020">
        <f>IF(F1020="",0,IF(TRIM(INDEX(INDIRECT("'Выгрузка'!A1020:Z1020"),Настройки!$B$13)&amp;"")="",1,IFERROR(--SUBSTITUTE(SUBSTITUTE(TRIM(INDEX(INDIRECT("'Выгрузка'!A1020:Z1020"),Настройки!$B$13)),",","."),".",MID(1/2,2,1)),"")))</f>
        <v/>
      </c>
      <c r="H1020">
        <f>IF(F1020="",0,IF(COUNTIF(Настройки!$B$17:$B$26,F1020)&gt;0,1,IF(COUNTIF(Настройки!$C$17:$C$26,F1020)&gt;0,2,IF(COUNTIF(Настройки!$D$17:$D$26,F1020)&gt;0,3,0))))</f>
        <v/>
      </c>
      <c r="I1020">
        <f>IF(AND(ISNUMBER(A1020),ISNUMBER(B1020)),A1020*1000+B1020,"")</f>
        <v/>
      </c>
      <c r="J1020">
        <f>IF(I1020="","",IF(COUNTIF(I$2:I1020,I1020)=1,MAX(J$1:J1019)+1,""))</f>
        <v/>
      </c>
    </row>
    <row r="1021">
      <c r="A1021">
        <f>IFERROR(--SUBSTITUTE(SUBSTITUTE(TRIM(INDEX(INDIRECT("'Выгрузка'!A1021:Z1021"),Настройки!$B$7)),",","."),".",MID(1/2,2,1)),"")</f>
        <v/>
      </c>
      <c r="B1021">
        <f>IFERROR(--SUBSTITUTE(SUBSTITUTE(TRIM(INDEX(INDIRECT("'Выгрузка'!A1021:Z1021"),Настройки!$B$9)),",","."),".",MID(1/2,2,1)),"")</f>
        <v/>
      </c>
      <c r="C1021">
        <f>TRIM(INDEX(INDIRECT("'Выгрузка'!A1021:Z1021"),Настройки!$B$8)&amp;"")</f>
        <v/>
      </c>
      <c r="D1021">
        <f>IFERROR(--SUBSTITUTE(SUBSTITUTE(TRIM(INDEX(INDIRECT("'Выгрузка'!A1021:Z1021"),Настройки!$B$10)),",","."),".",MID(1/2,2,1)),"")</f>
        <v/>
      </c>
      <c r="E1021">
        <f>IFERROR(--SUBSTITUTE(SUBSTITUTE(TRIM(INDEX(INDIRECT("'Выгрузка'!A1021:Z1021"),Настройки!$B$11)),",","."),".",MID(1/2,2,1)),"")</f>
        <v/>
      </c>
      <c r="F1021">
        <f>TRIM(INDEX(INDIRECT("'Выгрузка'!A1021:Z1021"),Настройки!$B$12)&amp;"")</f>
        <v/>
      </c>
      <c r="G1021">
        <f>IF(F1021="",0,IF(TRIM(INDEX(INDIRECT("'Выгрузка'!A1021:Z1021"),Настройки!$B$13)&amp;"")="",1,IFERROR(--SUBSTITUTE(SUBSTITUTE(TRIM(INDEX(INDIRECT("'Выгрузка'!A1021:Z1021"),Настройки!$B$13)),",","."),".",MID(1/2,2,1)),"")))</f>
        <v/>
      </c>
      <c r="H1021">
        <f>IF(F1021="",0,IF(COUNTIF(Настройки!$B$17:$B$26,F1021)&gt;0,1,IF(COUNTIF(Настройки!$C$17:$C$26,F1021)&gt;0,2,IF(COUNTIF(Настройки!$D$17:$D$26,F1021)&gt;0,3,0))))</f>
        <v/>
      </c>
      <c r="I1021">
        <f>IF(AND(ISNUMBER(A1021),ISNUMBER(B1021)),A1021*1000+B1021,"")</f>
        <v/>
      </c>
      <c r="J1021">
        <f>IF(I1021="","",IF(COUNTIF(I$2:I1021,I1021)=1,MAX(J$1:J1020)+1,""))</f>
        <v/>
      </c>
    </row>
    <row r="1022">
      <c r="A1022">
        <f>IFERROR(--SUBSTITUTE(SUBSTITUTE(TRIM(INDEX(INDIRECT("'Выгрузка'!A1022:Z1022"),Настройки!$B$7)),",","."),".",MID(1/2,2,1)),"")</f>
        <v/>
      </c>
      <c r="B1022">
        <f>IFERROR(--SUBSTITUTE(SUBSTITUTE(TRIM(INDEX(INDIRECT("'Выгрузка'!A1022:Z1022"),Настройки!$B$9)),",","."),".",MID(1/2,2,1)),"")</f>
        <v/>
      </c>
      <c r="C1022">
        <f>TRIM(INDEX(INDIRECT("'Выгрузка'!A1022:Z1022"),Настройки!$B$8)&amp;"")</f>
        <v/>
      </c>
      <c r="D1022">
        <f>IFERROR(--SUBSTITUTE(SUBSTITUTE(TRIM(INDEX(INDIRECT("'Выгрузка'!A1022:Z1022"),Настройки!$B$10)),",","."),".",MID(1/2,2,1)),"")</f>
        <v/>
      </c>
      <c r="E1022">
        <f>IFERROR(--SUBSTITUTE(SUBSTITUTE(TRIM(INDEX(INDIRECT("'Выгрузка'!A1022:Z1022"),Настройки!$B$11)),",","."),".",MID(1/2,2,1)),"")</f>
        <v/>
      </c>
      <c r="F1022">
        <f>TRIM(INDEX(INDIRECT("'Выгрузка'!A1022:Z1022"),Настройки!$B$12)&amp;"")</f>
        <v/>
      </c>
      <c r="G1022">
        <f>IF(F1022="",0,IF(TRIM(INDEX(INDIRECT("'Выгрузка'!A1022:Z1022"),Настройки!$B$13)&amp;"")="",1,IFERROR(--SUBSTITUTE(SUBSTITUTE(TRIM(INDEX(INDIRECT("'Выгрузка'!A1022:Z1022"),Настройки!$B$13)),",","."),".",MID(1/2,2,1)),"")))</f>
        <v/>
      </c>
      <c r="H1022">
        <f>IF(F1022="",0,IF(COUNTIF(Настройки!$B$17:$B$26,F1022)&gt;0,1,IF(COUNTIF(Настройки!$C$17:$C$26,F1022)&gt;0,2,IF(COUNTIF(Настройки!$D$17:$D$26,F1022)&gt;0,3,0))))</f>
        <v/>
      </c>
      <c r="I1022">
        <f>IF(AND(ISNUMBER(A1022),ISNUMBER(B1022)),A1022*1000+B1022,"")</f>
        <v/>
      </c>
      <c r="J1022">
        <f>IF(I1022="","",IF(COUNTIF(I$2:I1022,I1022)=1,MAX(J$1:J1021)+1,""))</f>
        <v/>
      </c>
    </row>
    <row r="1023">
      <c r="A1023">
        <f>IFERROR(--SUBSTITUTE(SUBSTITUTE(TRIM(INDEX(INDIRECT("'Выгрузка'!A1023:Z1023"),Настройки!$B$7)),",","."),".",MID(1/2,2,1)),"")</f>
        <v/>
      </c>
      <c r="B1023">
        <f>IFERROR(--SUBSTITUTE(SUBSTITUTE(TRIM(INDEX(INDIRECT("'Выгрузка'!A1023:Z1023"),Настройки!$B$9)),",","."),".",MID(1/2,2,1)),"")</f>
        <v/>
      </c>
      <c r="C1023">
        <f>TRIM(INDEX(INDIRECT("'Выгрузка'!A1023:Z1023"),Настройки!$B$8)&amp;"")</f>
        <v/>
      </c>
      <c r="D1023">
        <f>IFERROR(--SUBSTITUTE(SUBSTITUTE(TRIM(INDEX(INDIRECT("'Выгрузка'!A1023:Z1023"),Настройки!$B$10)),",","."),".",MID(1/2,2,1)),"")</f>
        <v/>
      </c>
      <c r="E1023">
        <f>IFERROR(--SUBSTITUTE(SUBSTITUTE(TRIM(INDEX(INDIRECT("'Выгрузка'!A1023:Z1023"),Настройки!$B$11)),",","."),".",MID(1/2,2,1)),"")</f>
        <v/>
      </c>
      <c r="F1023">
        <f>TRIM(INDEX(INDIRECT("'Выгрузка'!A1023:Z1023"),Настройки!$B$12)&amp;"")</f>
        <v/>
      </c>
      <c r="G1023">
        <f>IF(F1023="",0,IF(TRIM(INDEX(INDIRECT("'Выгрузка'!A1023:Z1023"),Настройки!$B$13)&amp;"")="",1,IFERROR(--SUBSTITUTE(SUBSTITUTE(TRIM(INDEX(INDIRECT("'Выгрузка'!A1023:Z1023"),Настройки!$B$13)),",","."),".",MID(1/2,2,1)),"")))</f>
        <v/>
      </c>
      <c r="H1023">
        <f>IF(F1023="",0,IF(COUNTIF(Настройки!$B$17:$B$26,F1023)&gt;0,1,IF(COUNTIF(Настройки!$C$17:$C$26,F1023)&gt;0,2,IF(COUNTIF(Настройки!$D$17:$D$26,F1023)&gt;0,3,0))))</f>
        <v/>
      </c>
      <c r="I1023">
        <f>IF(AND(ISNUMBER(A1023),ISNUMBER(B1023)),A1023*1000+B1023,"")</f>
        <v/>
      </c>
      <c r="J1023">
        <f>IF(I1023="","",IF(COUNTIF(I$2:I1023,I1023)=1,MAX(J$1:J1022)+1,""))</f>
        <v/>
      </c>
    </row>
    <row r="1024">
      <c r="A1024">
        <f>IFERROR(--SUBSTITUTE(SUBSTITUTE(TRIM(INDEX(INDIRECT("'Выгрузка'!A1024:Z1024"),Настройки!$B$7)),",","."),".",MID(1/2,2,1)),"")</f>
        <v/>
      </c>
      <c r="B1024">
        <f>IFERROR(--SUBSTITUTE(SUBSTITUTE(TRIM(INDEX(INDIRECT("'Выгрузка'!A1024:Z1024"),Настройки!$B$9)),",","."),".",MID(1/2,2,1)),"")</f>
        <v/>
      </c>
      <c r="C1024">
        <f>TRIM(INDEX(INDIRECT("'Выгрузка'!A1024:Z1024"),Настройки!$B$8)&amp;"")</f>
        <v/>
      </c>
      <c r="D1024">
        <f>IFERROR(--SUBSTITUTE(SUBSTITUTE(TRIM(INDEX(INDIRECT("'Выгрузка'!A1024:Z1024"),Настройки!$B$10)),",","."),".",MID(1/2,2,1)),"")</f>
        <v/>
      </c>
      <c r="E1024">
        <f>IFERROR(--SUBSTITUTE(SUBSTITUTE(TRIM(INDEX(INDIRECT("'Выгрузка'!A1024:Z1024"),Настройки!$B$11)),",","."),".",MID(1/2,2,1)),"")</f>
        <v/>
      </c>
      <c r="F1024">
        <f>TRIM(INDEX(INDIRECT("'Выгрузка'!A1024:Z1024"),Настройки!$B$12)&amp;"")</f>
        <v/>
      </c>
      <c r="G1024">
        <f>IF(F1024="",0,IF(TRIM(INDEX(INDIRECT("'Выгрузка'!A1024:Z1024"),Настройки!$B$13)&amp;"")="",1,IFERROR(--SUBSTITUTE(SUBSTITUTE(TRIM(INDEX(INDIRECT("'Выгрузка'!A1024:Z1024"),Настройки!$B$13)),",","."),".",MID(1/2,2,1)),"")))</f>
        <v/>
      </c>
      <c r="H1024">
        <f>IF(F1024="",0,IF(COUNTIF(Настройки!$B$17:$B$26,F1024)&gt;0,1,IF(COUNTIF(Настройки!$C$17:$C$26,F1024)&gt;0,2,IF(COUNTIF(Настройки!$D$17:$D$26,F1024)&gt;0,3,0))))</f>
        <v/>
      </c>
      <c r="I1024">
        <f>IF(AND(ISNUMBER(A1024),ISNUMBER(B1024)),A1024*1000+B1024,"")</f>
        <v/>
      </c>
      <c r="J1024">
        <f>IF(I1024="","",IF(COUNTIF(I$2:I1024,I1024)=1,MAX(J$1:J1023)+1,""))</f>
        <v/>
      </c>
    </row>
    <row r="1025">
      <c r="A1025">
        <f>IFERROR(--SUBSTITUTE(SUBSTITUTE(TRIM(INDEX(INDIRECT("'Выгрузка'!A1025:Z1025"),Настройки!$B$7)),",","."),".",MID(1/2,2,1)),"")</f>
        <v/>
      </c>
      <c r="B1025">
        <f>IFERROR(--SUBSTITUTE(SUBSTITUTE(TRIM(INDEX(INDIRECT("'Выгрузка'!A1025:Z1025"),Настройки!$B$9)),",","."),".",MID(1/2,2,1)),"")</f>
        <v/>
      </c>
      <c r="C1025">
        <f>TRIM(INDEX(INDIRECT("'Выгрузка'!A1025:Z1025"),Настройки!$B$8)&amp;"")</f>
        <v/>
      </c>
      <c r="D1025">
        <f>IFERROR(--SUBSTITUTE(SUBSTITUTE(TRIM(INDEX(INDIRECT("'Выгрузка'!A1025:Z1025"),Настройки!$B$10)),",","."),".",MID(1/2,2,1)),"")</f>
        <v/>
      </c>
      <c r="E1025">
        <f>IFERROR(--SUBSTITUTE(SUBSTITUTE(TRIM(INDEX(INDIRECT("'Выгрузка'!A1025:Z1025"),Настройки!$B$11)),",","."),".",MID(1/2,2,1)),"")</f>
        <v/>
      </c>
      <c r="F1025">
        <f>TRIM(INDEX(INDIRECT("'Выгрузка'!A1025:Z1025"),Настройки!$B$12)&amp;"")</f>
        <v/>
      </c>
      <c r="G1025">
        <f>IF(F1025="",0,IF(TRIM(INDEX(INDIRECT("'Выгрузка'!A1025:Z1025"),Настройки!$B$13)&amp;"")="",1,IFERROR(--SUBSTITUTE(SUBSTITUTE(TRIM(INDEX(INDIRECT("'Выгрузка'!A1025:Z1025"),Настройки!$B$13)),",","."),".",MID(1/2,2,1)),"")))</f>
        <v/>
      </c>
      <c r="H1025">
        <f>IF(F1025="",0,IF(COUNTIF(Настройки!$B$17:$B$26,F1025)&gt;0,1,IF(COUNTIF(Настройки!$C$17:$C$26,F1025)&gt;0,2,IF(COUNTIF(Настройки!$D$17:$D$26,F1025)&gt;0,3,0))))</f>
        <v/>
      </c>
      <c r="I1025">
        <f>IF(AND(ISNUMBER(A1025),ISNUMBER(B1025)),A1025*1000+B1025,"")</f>
        <v/>
      </c>
      <c r="J1025">
        <f>IF(I1025="","",IF(COUNTIF(I$2:I1025,I1025)=1,MAX(J$1:J1024)+1,""))</f>
        <v/>
      </c>
    </row>
    <row r="1026">
      <c r="A1026">
        <f>IFERROR(--SUBSTITUTE(SUBSTITUTE(TRIM(INDEX(INDIRECT("'Выгрузка'!A1026:Z1026"),Настройки!$B$7)),",","."),".",MID(1/2,2,1)),"")</f>
        <v/>
      </c>
      <c r="B1026">
        <f>IFERROR(--SUBSTITUTE(SUBSTITUTE(TRIM(INDEX(INDIRECT("'Выгрузка'!A1026:Z1026"),Настройки!$B$9)),",","."),".",MID(1/2,2,1)),"")</f>
        <v/>
      </c>
      <c r="C1026">
        <f>TRIM(INDEX(INDIRECT("'Выгрузка'!A1026:Z1026"),Настройки!$B$8)&amp;"")</f>
        <v/>
      </c>
      <c r="D1026">
        <f>IFERROR(--SUBSTITUTE(SUBSTITUTE(TRIM(INDEX(INDIRECT("'Выгрузка'!A1026:Z1026"),Настройки!$B$10)),",","."),".",MID(1/2,2,1)),"")</f>
        <v/>
      </c>
      <c r="E1026">
        <f>IFERROR(--SUBSTITUTE(SUBSTITUTE(TRIM(INDEX(INDIRECT("'Выгрузка'!A1026:Z1026"),Настройки!$B$11)),",","."),".",MID(1/2,2,1)),"")</f>
        <v/>
      </c>
      <c r="F1026">
        <f>TRIM(INDEX(INDIRECT("'Выгрузка'!A1026:Z1026"),Настройки!$B$12)&amp;"")</f>
        <v/>
      </c>
      <c r="G1026">
        <f>IF(F1026="",0,IF(TRIM(INDEX(INDIRECT("'Выгрузка'!A1026:Z1026"),Настройки!$B$13)&amp;"")="",1,IFERROR(--SUBSTITUTE(SUBSTITUTE(TRIM(INDEX(INDIRECT("'Выгрузка'!A1026:Z1026"),Настройки!$B$13)),",","."),".",MID(1/2,2,1)),"")))</f>
        <v/>
      </c>
      <c r="H1026">
        <f>IF(F1026="",0,IF(COUNTIF(Настройки!$B$17:$B$26,F1026)&gt;0,1,IF(COUNTIF(Настройки!$C$17:$C$26,F1026)&gt;0,2,IF(COUNTIF(Настройки!$D$17:$D$26,F1026)&gt;0,3,0))))</f>
        <v/>
      </c>
      <c r="I1026">
        <f>IF(AND(ISNUMBER(A1026),ISNUMBER(B1026)),A1026*1000+B1026,"")</f>
        <v/>
      </c>
      <c r="J1026">
        <f>IF(I1026="","",IF(COUNTIF(I$2:I1026,I1026)=1,MAX(J$1:J1025)+1,""))</f>
        <v/>
      </c>
    </row>
    <row r="1027">
      <c r="A1027">
        <f>IFERROR(--SUBSTITUTE(SUBSTITUTE(TRIM(INDEX(INDIRECT("'Выгрузка'!A1027:Z1027"),Настройки!$B$7)),",","."),".",MID(1/2,2,1)),"")</f>
        <v/>
      </c>
      <c r="B1027">
        <f>IFERROR(--SUBSTITUTE(SUBSTITUTE(TRIM(INDEX(INDIRECT("'Выгрузка'!A1027:Z1027"),Настройки!$B$9)),",","."),".",MID(1/2,2,1)),"")</f>
        <v/>
      </c>
      <c r="C1027">
        <f>TRIM(INDEX(INDIRECT("'Выгрузка'!A1027:Z1027"),Настройки!$B$8)&amp;"")</f>
        <v/>
      </c>
      <c r="D1027">
        <f>IFERROR(--SUBSTITUTE(SUBSTITUTE(TRIM(INDEX(INDIRECT("'Выгрузка'!A1027:Z1027"),Настройки!$B$10)),",","."),".",MID(1/2,2,1)),"")</f>
        <v/>
      </c>
      <c r="E1027">
        <f>IFERROR(--SUBSTITUTE(SUBSTITUTE(TRIM(INDEX(INDIRECT("'Выгрузка'!A1027:Z1027"),Настройки!$B$11)),",","."),".",MID(1/2,2,1)),"")</f>
        <v/>
      </c>
      <c r="F1027">
        <f>TRIM(INDEX(INDIRECT("'Выгрузка'!A1027:Z1027"),Настройки!$B$12)&amp;"")</f>
        <v/>
      </c>
      <c r="G1027">
        <f>IF(F1027="",0,IF(TRIM(INDEX(INDIRECT("'Выгрузка'!A1027:Z1027"),Настройки!$B$13)&amp;"")="",1,IFERROR(--SUBSTITUTE(SUBSTITUTE(TRIM(INDEX(INDIRECT("'Выгрузка'!A1027:Z1027"),Настройки!$B$13)),",","."),".",MID(1/2,2,1)),"")))</f>
        <v/>
      </c>
      <c r="H1027">
        <f>IF(F1027="",0,IF(COUNTIF(Настройки!$B$17:$B$26,F1027)&gt;0,1,IF(COUNTIF(Настройки!$C$17:$C$26,F1027)&gt;0,2,IF(COUNTIF(Настройки!$D$17:$D$26,F1027)&gt;0,3,0))))</f>
        <v/>
      </c>
      <c r="I1027">
        <f>IF(AND(ISNUMBER(A1027),ISNUMBER(B1027)),A1027*1000+B1027,"")</f>
        <v/>
      </c>
      <c r="J1027">
        <f>IF(I1027="","",IF(COUNTIF(I$2:I1027,I1027)=1,MAX(J$1:J1026)+1,""))</f>
        <v/>
      </c>
    </row>
    <row r="1028">
      <c r="A1028">
        <f>IFERROR(--SUBSTITUTE(SUBSTITUTE(TRIM(INDEX(INDIRECT("'Выгрузка'!A1028:Z1028"),Настройки!$B$7)),",","."),".",MID(1/2,2,1)),"")</f>
        <v/>
      </c>
      <c r="B1028">
        <f>IFERROR(--SUBSTITUTE(SUBSTITUTE(TRIM(INDEX(INDIRECT("'Выгрузка'!A1028:Z1028"),Настройки!$B$9)),",","."),".",MID(1/2,2,1)),"")</f>
        <v/>
      </c>
      <c r="C1028">
        <f>TRIM(INDEX(INDIRECT("'Выгрузка'!A1028:Z1028"),Настройки!$B$8)&amp;"")</f>
        <v/>
      </c>
      <c r="D1028">
        <f>IFERROR(--SUBSTITUTE(SUBSTITUTE(TRIM(INDEX(INDIRECT("'Выгрузка'!A1028:Z1028"),Настройки!$B$10)),",","."),".",MID(1/2,2,1)),"")</f>
        <v/>
      </c>
      <c r="E1028">
        <f>IFERROR(--SUBSTITUTE(SUBSTITUTE(TRIM(INDEX(INDIRECT("'Выгрузка'!A1028:Z1028"),Настройки!$B$11)),",","."),".",MID(1/2,2,1)),"")</f>
        <v/>
      </c>
      <c r="F1028">
        <f>TRIM(INDEX(INDIRECT("'Выгрузка'!A1028:Z1028"),Настройки!$B$12)&amp;"")</f>
        <v/>
      </c>
      <c r="G1028">
        <f>IF(F1028="",0,IF(TRIM(INDEX(INDIRECT("'Выгрузка'!A1028:Z1028"),Настройки!$B$13)&amp;"")="",1,IFERROR(--SUBSTITUTE(SUBSTITUTE(TRIM(INDEX(INDIRECT("'Выгрузка'!A1028:Z1028"),Настройки!$B$13)),",","."),".",MID(1/2,2,1)),"")))</f>
        <v/>
      </c>
      <c r="H1028">
        <f>IF(F1028="",0,IF(COUNTIF(Настройки!$B$17:$B$26,F1028)&gt;0,1,IF(COUNTIF(Настройки!$C$17:$C$26,F1028)&gt;0,2,IF(COUNTIF(Настройки!$D$17:$D$26,F1028)&gt;0,3,0))))</f>
        <v/>
      </c>
      <c r="I1028">
        <f>IF(AND(ISNUMBER(A1028),ISNUMBER(B1028)),A1028*1000+B1028,"")</f>
        <v/>
      </c>
      <c r="J1028">
        <f>IF(I1028="","",IF(COUNTIF(I$2:I1028,I1028)=1,MAX(J$1:J1027)+1,""))</f>
        <v/>
      </c>
    </row>
    <row r="1029">
      <c r="A1029">
        <f>IFERROR(--SUBSTITUTE(SUBSTITUTE(TRIM(INDEX(INDIRECT("'Выгрузка'!A1029:Z1029"),Настройки!$B$7)),",","."),".",MID(1/2,2,1)),"")</f>
        <v/>
      </c>
      <c r="B1029">
        <f>IFERROR(--SUBSTITUTE(SUBSTITUTE(TRIM(INDEX(INDIRECT("'Выгрузка'!A1029:Z1029"),Настройки!$B$9)),",","."),".",MID(1/2,2,1)),"")</f>
        <v/>
      </c>
      <c r="C1029">
        <f>TRIM(INDEX(INDIRECT("'Выгрузка'!A1029:Z1029"),Настройки!$B$8)&amp;"")</f>
        <v/>
      </c>
      <c r="D1029">
        <f>IFERROR(--SUBSTITUTE(SUBSTITUTE(TRIM(INDEX(INDIRECT("'Выгрузка'!A1029:Z1029"),Настройки!$B$10)),",","."),".",MID(1/2,2,1)),"")</f>
        <v/>
      </c>
      <c r="E1029">
        <f>IFERROR(--SUBSTITUTE(SUBSTITUTE(TRIM(INDEX(INDIRECT("'Выгрузка'!A1029:Z1029"),Настройки!$B$11)),",","."),".",MID(1/2,2,1)),"")</f>
        <v/>
      </c>
      <c r="F1029">
        <f>TRIM(INDEX(INDIRECT("'Выгрузка'!A1029:Z1029"),Настройки!$B$12)&amp;"")</f>
        <v/>
      </c>
      <c r="G1029">
        <f>IF(F1029="",0,IF(TRIM(INDEX(INDIRECT("'Выгрузка'!A1029:Z1029"),Настройки!$B$13)&amp;"")="",1,IFERROR(--SUBSTITUTE(SUBSTITUTE(TRIM(INDEX(INDIRECT("'Выгрузка'!A1029:Z1029"),Настройки!$B$13)),",","."),".",MID(1/2,2,1)),"")))</f>
        <v/>
      </c>
      <c r="H1029">
        <f>IF(F1029="",0,IF(COUNTIF(Настройки!$B$17:$B$26,F1029)&gt;0,1,IF(COUNTIF(Настройки!$C$17:$C$26,F1029)&gt;0,2,IF(COUNTIF(Настройки!$D$17:$D$26,F1029)&gt;0,3,0))))</f>
        <v/>
      </c>
      <c r="I1029">
        <f>IF(AND(ISNUMBER(A1029),ISNUMBER(B1029)),A1029*1000+B1029,"")</f>
        <v/>
      </c>
      <c r="J1029">
        <f>IF(I1029="","",IF(COUNTIF(I$2:I1029,I1029)=1,MAX(J$1:J1028)+1,""))</f>
        <v/>
      </c>
    </row>
    <row r="1030">
      <c r="A1030">
        <f>IFERROR(--SUBSTITUTE(SUBSTITUTE(TRIM(INDEX(INDIRECT("'Выгрузка'!A1030:Z1030"),Настройки!$B$7)),",","."),".",MID(1/2,2,1)),"")</f>
        <v/>
      </c>
      <c r="B1030">
        <f>IFERROR(--SUBSTITUTE(SUBSTITUTE(TRIM(INDEX(INDIRECT("'Выгрузка'!A1030:Z1030"),Настройки!$B$9)),",","."),".",MID(1/2,2,1)),"")</f>
        <v/>
      </c>
      <c r="C1030">
        <f>TRIM(INDEX(INDIRECT("'Выгрузка'!A1030:Z1030"),Настройки!$B$8)&amp;"")</f>
        <v/>
      </c>
      <c r="D1030">
        <f>IFERROR(--SUBSTITUTE(SUBSTITUTE(TRIM(INDEX(INDIRECT("'Выгрузка'!A1030:Z1030"),Настройки!$B$10)),",","."),".",MID(1/2,2,1)),"")</f>
        <v/>
      </c>
      <c r="E1030">
        <f>IFERROR(--SUBSTITUTE(SUBSTITUTE(TRIM(INDEX(INDIRECT("'Выгрузка'!A1030:Z1030"),Настройки!$B$11)),",","."),".",MID(1/2,2,1)),"")</f>
        <v/>
      </c>
      <c r="F1030">
        <f>TRIM(INDEX(INDIRECT("'Выгрузка'!A1030:Z1030"),Настройки!$B$12)&amp;"")</f>
        <v/>
      </c>
      <c r="G1030">
        <f>IF(F1030="",0,IF(TRIM(INDEX(INDIRECT("'Выгрузка'!A1030:Z1030"),Настройки!$B$13)&amp;"")="",1,IFERROR(--SUBSTITUTE(SUBSTITUTE(TRIM(INDEX(INDIRECT("'Выгрузка'!A1030:Z1030"),Настройки!$B$13)),",","."),".",MID(1/2,2,1)),"")))</f>
        <v/>
      </c>
      <c r="H1030">
        <f>IF(F1030="",0,IF(COUNTIF(Настройки!$B$17:$B$26,F1030)&gt;0,1,IF(COUNTIF(Настройки!$C$17:$C$26,F1030)&gt;0,2,IF(COUNTIF(Настройки!$D$17:$D$26,F1030)&gt;0,3,0))))</f>
        <v/>
      </c>
      <c r="I1030">
        <f>IF(AND(ISNUMBER(A1030),ISNUMBER(B1030)),A1030*1000+B1030,"")</f>
        <v/>
      </c>
      <c r="J1030">
        <f>IF(I1030="","",IF(COUNTIF(I$2:I1030,I1030)=1,MAX(J$1:J1029)+1,""))</f>
        <v/>
      </c>
    </row>
    <row r="1031">
      <c r="A1031">
        <f>IFERROR(--SUBSTITUTE(SUBSTITUTE(TRIM(INDEX(INDIRECT("'Выгрузка'!A1031:Z1031"),Настройки!$B$7)),",","."),".",MID(1/2,2,1)),"")</f>
        <v/>
      </c>
      <c r="B1031">
        <f>IFERROR(--SUBSTITUTE(SUBSTITUTE(TRIM(INDEX(INDIRECT("'Выгрузка'!A1031:Z1031"),Настройки!$B$9)),",","."),".",MID(1/2,2,1)),"")</f>
        <v/>
      </c>
      <c r="C1031">
        <f>TRIM(INDEX(INDIRECT("'Выгрузка'!A1031:Z1031"),Настройки!$B$8)&amp;"")</f>
        <v/>
      </c>
      <c r="D1031">
        <f>IFERROR(--SUBSTITUTE(SUBSTITUTE(TRIM(INDEX(INDIRECT("'Выгрузка'!A1031:Z1031"),Настройки!$B$10)),",","."),".",MID(1/2,2,1)),"")</f>
        <v/>
      </c>
      <c r="E1031">
        <f>IFERROR(--SUBSTITUTE(SUBSTITUTE(TRIM(INDEX(INDIRECT("'Выгрузка'!A1031:Z1031"),Настройки!$B$11)),",","."),".",MID(1/2,2,1)),"")</f>
        <v/>
      </c>
      <c r="F1031">
        <f>TRIM(INDEX(INDIRECT("'Выгрузка'!A1031:Z1031"),Настройки!$B$12)&amp;"")</f>
        <v/>
      </c>
      <c r="G1031">
        <f>IF(F1031="",0,IF(TRIM(INDEX(INDIRECT("'Выгрузка'!A1031:Z1031"),Настройки!$B$13)&amp;"")="",1,IFERROR(--SUBSTITUTE(SUBSTITUTE(TRIM(INDEX(INDIRECT("'Выгрузка'!A1031:Z1031"),Настройки!$B$13)),",","."),".",MID(1/2,2,1)),"")))</f>
        <v/>
      </c>
      <c r="H1031">
        <f>IF(F1031="",0,IF(COUNTIF(Настройки!$B$17:$B$26,F1031)&gt;0,1,IF(COUNTIF(Настройки!$C$17:$C$26,F1031)&gt;0,2,IF(COUNTIF(Настройки!$D$17:$D$26,F1031)&gt;0,3,0))))</f>
        <v/>
      </c>
      <c r="I1031">
        <f>IF(AND(ISNUMBER(A1031),ISNUMBER(B1031)),A1031*1000+B1031,"")</f>
        <v/>
      </c>
      <c r="J1031">
        <f>IF(I1031="","",IF(COUNTIF(I$2:I1031,I1031)=1,MAX(J$1:J1030)+1,""))</f>
        <v/>
      </c>
    </row>
    <row r="1032">
      <c r="A1032">
        <f>IFERROR(--SUBSTITUTE(SUBSTITUTE(TRIM(INDEX(INDIRECT("'Выгрузка'!A1032:Z1032"),Настройки!$B$7)),",","."),".",MID(1/2,2,1)),"")</f>
        <v/>
      </c>
      <c r="B1032">
        <f>IFERROR(--SUBSTITUTE(SUBSTITUTE(TRIM(INDEX(INDIRECT("'Выгрузка'!A1032:Z1032"),Настройки!$B$9)),",","."),".",MID(1/2,2,1)),"")</f>
        <v/>
      </c>
      <c r="C1032">
        <f>TRIM(INDEX(INDIRECT("'Выгрузка'!A1032:Z1032"),Настройки!$B$8)&amp;"")</f>
        <v/>
      </c>
      <c r="D1032">
        <f>IFERROR(--SUBSTITUTE(SUBSTITUTE(TRIM(INDEX(INDIRECT("'Выгрузка'!A1032:Z1032"),Настройки!$B$10)),",","."),".",MID(1/2,2,1)),"")</f>
        <v/>
      </c>
      <c r="E1032">
        <f>IFERROR(--SUBSTITUTE(SUBSTITUTE(TRIM(INDEX(INDIRECT("'Выгрузка'!A1032:Z1032"),Настройки!$B$11)),",","."),".",MID(1/2,2,1)),"")</f>
        <v/>
      </c>
      <c r="F1032">
        <f>TRIM(INDEX(INDIRECT("'Выгрузка'!A1032:Z1032"),Настройки!$B$12)&amp;"")</f>
        <v/>
      </c>
      <c r="G1032">
        <f>IF(F1032="",0,IF(TRIM(INDEX(INDIRECT("'Выгрузка'!A1032:Z1032"),Настройки!$B$13)&amp;"")="",1,IFERROR(--SUBSTITUTE(SUBSTITUTE(TRIM(INDEX(INDIRECT("'Выгрузка'!A1032:Z1032"),Настройки!$B$13)),",","."),".",MID(1/2,2,1)),"")))</f>
        <v/>
      </c>
      <c r="H1032">
        <f>IF(F1032="",0,IF(COUNTIF(Настройки!$B$17:$B$26,F1032)&gt;0,1,IF(COUNTIF(Настройки!$C$17:$C$26,F1032)&gt;0,2,IF(COUNTIF(Настройки!$D$17:$D$26,F1032)&gt;0,3,0))))</f>
        <v/>
      </c>
      <c r="I1032">
        <f>IF(AND(ISNUMBER(A1032),ISNUMBER(B1032)),A1032*1000+B1032,"")</f>
        <v/>
      </c>
      <c r="J1032">
        <f>IF(I1032="","",IF(COUNTIF(I$2:I1032,I1032)=1,MAX(J$1:J1031)+1,""))</f>
        <v/>
      </c>
    </row>
    <row r="1033">
      <c r="A1033">
        <f>IFERROR(--SUBSTITUTE(SUBSTITUTE(TRIM(INDEX(INDIRECT("'Выгрузка'!A1033:Z1033"),Настройки!$B$7)),",","."),".",MID(1/2,2,1)),"")</f>
        <v/>
      </c>
      <c r="B1033">
        <f>IFERROR(--SUBSTITUTE(SUBSTITUTE(TRIM(INDEX(INDIRECT("'Выгрузка'!A1033:Z1033"),Настройки!$B$9)),",","."),".",MID(1/2,2,1)),"")</f>
        <v/>
      </c>
      <c r="C1033">
        <f>TRIM(INDEX(INDIRECT("'Выгрузка'!A1033:Z1033"),Настройки!$B$8)&amp;"")</f>
        <v/>
      </c>
      <c r="D1033">
        <f>IFERROR(--SUBSTITUTE(SUBSTITUTE(TRIM(INDEX(INDIRECT("'Выгрузка'!A1033:Z1033"),Настройки!$B$10)),",","."),".",MID(1/2,2,1)),"")</f>
        <v/>
      </c>
      <c r="E1033">
        <f>IFERROR(--SUBSTITUTE(SUBSTITUTE(TRIM(INDEX(INDIRECT("'Выгрузка'!A1033:Z1033"),Настройки!$B$11)),",","."),".",MID(1/2,2,1)),"")</f>
        <v/>
      </c>
      <c r="F1033">
        <f>TRIM(INDEX(INDIRECT("'Выгрузка'!A1033:Z1033"),Настройки!$B$12)&amp;"")</f>
        <v/>
      </c>
      <c r="G1033">
        <f>IF(F1033="",0,IF(TRIM(INDEX(INDIRECT("'Выгрузка'!A1033:Z1033"),Настройки!$B$13)&amp;"")="",1,IFERROR(--SUBSTITUTE(SUBSTITUTE(TRIM(INDEX(INDIRECT("'Выгрузка'!A1033:Z1033"),Настройки!$B$13)),",","."),".",MID(1/2,2,1)),"")))</f>
        <v/>
      </c>
      <c r="H1033">
        <f>IF(F1033="",0,IF(COUNTIF(Настройки!$B$17:$B$26,F1033)&gt;0,1,IF(COUNTIF(Настройки!$C$17:$C$26,F1033)&gt;0,2,IF(COUNTIF(Настройки!$D$17:$D$26,F1033)&gt;0,3,0))))</f>
        <v/>
      </c>
      <c r="I1033">
        <f>IF(AND(ISNUMBER(A1033),ISNUMBER(B1033)),A1033*1000+B1033,"")</f>
        <v/>
      </c>
      <c r="J1033">
        <f>IF(I1033="","",IF(COUNTIF(I$2:I1033,I1033)=1,MAX(J$1:J1032)+1,""))</f>
        <v/>
      </c>
    </row>
    <row r="1034">
      <c r="A1034">
        <f>IFERROR(--SUBSTITUTE(SUBSTITUTE(TRIM(INDEX(INDIRECT("'Выгрузка'!A1034:Z1034"),Настройки!$B$7)),",","."),".",MID(1/2,2,1)),"")</f>
        <v/>
      </c>
      <c r="B1034">
        <f>IFERROR(--SUBSTITUTE(SUBSTITUTE(TRIM(INDEX(INDIRECT("'Выгрузка'!A1034:Z1034"),Настройки!$B$9)),",","."),".",MID(1/2,2,1)),"")</f>
        <v/>
      </c>
      <c r="C1034">
        <f>TRIM(INDEX(INDIRECT("'Выгрузка'!A1034:Z1034"),Настройки!$B$8)&amp;"")</f>
        <v/>
      </c>
      <c r="D1034">
        <f>IFERROR(--SUBSTITUTE(SUBSTITUTE(TRIM(INDEX(INDIRECT("'Выгрузка'!A1034:Z1034"),Настройки!$B$10)),",","."),".",MID(1/2,2,1)),"")</f>
        <v/>
      </c>
      <c r="E1034">
        <f>IFERROR(--SUBSTITUTE(SUBSTITUTE(TRIM(INDEX(INDIRECT("'Выгрузка'!A1034:Z1034"),Настройки!$B$11)),",","."),".",MID(1/2,2,1)),"")</f>
        <v/>
      </c>
      <c r="F1034">
        <f>TRIM(INDEX(INDIRECT("'Выгрузка'!A1034:Z1034"),Настройки!$B$12)&amp;"")</f>
        <v/>
      </c>
      <c r="G1034">
        <f>IF(F1034="",0,IF(TRIM(INDEX(INDIRECT("'Выгрузка'!A1034:Z1034"),Настройки!$B$13)&amp;"")="",1,IFERROR(--SUBSTITUTE(SUBSTITUTE(TRIM(INDEX(INDIRECT("'Выгрузка'!A1034:Z1034"),Настройки!$B$13)),",","."),".",MID(1/2,2,1)),"")))</f>
        <v/>
      </c>
      <c r="H1034">
        <f>IF(F1034="",0,IF(COUNTIF(Настройки!$B$17:$B$26,F1034)&gt;0,1,IF(COUNTIF(Настройки!$C$17:$C$26,F1034)&gt;0,2,IF(COUNTIF(Настройки!$D$17:$D$26,F1034)&gt;0,3,0))))</f>
        <v/>
      </c>
      <c r="I1034">
        <f>IF(AND(ISNUMBER(A1034),ISNUMBER(B1034)),A1034*1000+B1034,"")</f>
        <v/>
      </c>
      <c r="J1034">
        <f>IF(I1034="","",IF(COUNTIF(I$2:I1034,I1034)=1,MAX(J$1:J1033)+1,""))</f>
        <v/>
      </c>
    </row>
    <row r="1035">
      <c r="A1035">
        <f>IFERROR(--SUBSTITUTE(SUBSTITUTE(TRIM(INDEX(INDIRECT("'Выгрузка'!A1035:Z1035"),Настройки!$B$7)),",","."),".",MID(1/2,2,1)),"")</f>
        <v/>
      </c>
      <c r="B1035">
        <f>IFERROR(--SUBSTITUTE(SUBSTITUTE(TRIM(INDEX(INDIRECT("'Выгрузка'!A1035:Z1035"),Настройки!$B$9)),",","."),".",MID(1/2,2,1)),"")</f>
        <v/>
      </c>
      <c r="C1035">
        <f>TRIM(INDEX(INDIRECT("'Выгрузка'!A1035:Z1035"),Настройки!$B$8)&amp;"")</f>
        <v/>
      </c>
      <c r="D1035">
        <f>IFERROR(--SUBSTITUTE(SUBSTITUTE(TRIM(INDEX(INDIRECT("'Выгрузка'!A1035:Z1035"),Настройки!$B$10)),",","."),".",MID(1/2,2,1)),"")</f>
        <v/>
      </c>
      <c r="E1035">
        <f>IFERROR(--SUBSTITUTE(SUBSTITUTE(TRIM(INDEX(INDIRECT("'Выгрузка'!A1035:Z1035"),Настройки!$B$11)),",","."),".",MID(1/2,2,1)),"")</f>
        <v/>
      </c>
      <c r="F1035">
        <f>TRIM(INDEX(INDIRECT("'Выгрузка'!A1035:Z1035"),Настройки!$B$12)&amp;"")</f>
        <v/>
      </c>
      <c r="G1035">
        <f>IF(F1035="",0,IF(TRIM(INDEX(INDIRECT("'Выгрузка'!A1035:Z1035"),Настройки!$B$13)&amp;"")="",1,IFERROR(--SUBSTITUTE(SUBSTITUTE(TRIM(INDEX(INDIRECT("'Выгрузка'!A1035:Z1035"),Настройки!$B$13)),",","."),".",MID(1/2,2,1)),"")))</f>
        <v/>
      </c>
      <c r="H1035">
        <f>IF(F1035="",0,IF(COUNTIF(Настройки!$B$17:$B$26,F1035)&gt;0,1,IF(COUNTIF(Настройки!$C$17:$C$26,F1035)&gt;0,2,IF(COUNTIF(Настройки!$D$17:$D$26,F1035)&gt;0,3,0))))</f>
        <v/>
      </c>
      <c r="I1035">
        <f>IF(AND(ISNUMBER(A1035),ISNUMBER(B1035)),A1035*1000+B1035,"")</f>
        <v/>
      </c>
      <c r="J1035">
        <f>IF(I1035="","",IF(COUNTIF(I$2:I1035,I1035)=1,MAX(J$1:J1034)+1,""))</f>
        <v/>
      </c>
    </row>
    <row r="1036">
      <c r="A1036">
        <f>IFERROR(--SUBSTITUTE(SUBSTITUTE(TRIM(INDEX(INDIRECT("'Выгрузка'!A1036:Z1036"),Настройки!$B$7)),",","."),".",MID(1/2,2,1)),"")</f>
        <v/>
      </c>
      <c r="B1036">
        <f>IFERROR(--SUBSTITUTE(SUBSTITUTE(TRIM(INDEX(INDIRECT("'Выгрузка'!A1036:Z1036"),Настройки!$B$9)),",","."),".",MID(1/2,2,1)),"")</f>
        <v/>
      </c>
      <c r="C1036">
        <f>TRIM(INDEX(INDIRECT("'Выгрузка'!A1036:Z1036"),Настройки!$B$8)&amp;"")</f>
        <v/>
      </c>
      <c r="D1036">
        <f>IFERROR(--SUBSTITUTE(SUBSTITUTE(TRIM(INDEX(INDIRECT("'Выгрузка'!A1036:Z1036"),Настройки!$B$10)),",","."),".",MID(1/2,2,1)),"")</f>
        <v/>
      </c>
      <c r="E1036">
        <f>IFERROR(--SUBSTITUTE(SUBSTITUTE(TRIM(INDEX(INDIRECT("'Выгрузка'!A1036:Z1036"),Настройки!$B$11)),",","."),".",MID(1/2,2,1)),"")</f>
        <v/>
      </c>
      <c r="F1036">
        <f>TRIM(INDEX(INDIRECT("'Выгрузка'!A1036:Z1036"),Настройки!$B$12)&amp;"")</f>
        <v/>
      </c>
      <c r="G1036">
        <f>IF(F1036="",0,IF(TRIM(INDEX(INDIRECT("'Выгрузка'!A1036:Z1036"),Настройки!$B$13)&amp;"")="",1,IFERROR(--SUBSTITUTE(SUBSTITUTE(TRIM(INDEX(INDIRECT("'Выгрузка'!A1036:Z1036"),Настройки!$B$13)),",","."),".",MID(1/2,2,1)),"")))</f>
        <v/>
      </c>
      <c r="H1036">
        <f>IF(F1036="",0,IF(COUNTIF(Настройки!$B$17:$B$26,F1036)&gt;0,1,IF(COUNTIF(Настройки!$C$17:$C$26,F1036)&gt;0,2,IF(COUNTIF(Настройки!$D$17:$D$26,F1036)&gt;0,3,0))))</f>
        <v/>
      </c>
      <c r="I1036">
        <f>IF(AND(ISNUMBER(A1036),ISNUMBER(B1036)),A1036*1000+B1036,"")</f>
        <v/>
      </c>
      <c r="J1036">
        <f>IF(I1036="","",IF(COUNTIF(I$2:I1036,I1036)=1,MAX(J$1:J1035)+1,""))</f>
        <v/>
      </c>
    </row>
    <row r="1037">
      <c r="A1037">
        <f>IFERROR(--SUBSTITUTE(SUBSTITUTE(TRIM(INDEX(INDIRECT("'Выгрузка'!A1037:Z1037"),Настройки!$B$7)),",","."),".",MID(1/2,2,1)),"")</f>
        <v/>
      </c>
      <c r="B1037">
        <f>IFERROR(--SUBSTITUTE(SUBSTITUTE(TRIM(INDEX(INDIRECT("'Выгрузка'!A1037:Z1037"),Настройки!$B$9)),",","."),".",MID(1/2,2,1)),"")</f>
        <v/>
      </c>
      <c r="C1037">
        <f>TRIM(INDEX(INDIRECT("'Выгрузка'!A1037:Z1037"),Настройки!$B$8)&amp;"")</f>
        <v/>
      </c>
      <c r="D1037">
        <f>IFERROR(--SUBSTITUTE(SUBSTITUTE(TRIM(INDEX(INDIRECT("'Выгрузка'!A1037:Z1037"),Настройки!$B$10)),",","."),".",MID(1/2,2,1)),"")</f>
        <v/>
      </c>
      <c r="E1037">
        <f>IFERROR(--SUBSTITUTE(SUBSTITUTE(TRIM(INDEX(INDIRECT("'Выгрузка'!A1037:Z1037"),Настройки!$B$11)),",","."),".",MID(1/2,2,1)),"")</f>
        <v/>
      </c>
      <c r="F1037">
        <f>TRIM(INDEX(INDIRECT("'Выгрузка'!A1037:Z1037"),Настройки!$B$12)&amp;"")</f>
        <v/>
      </c>
      <c r="G1037">
        <f>IF(F1037="",0,IF(TRIM(INDEX(INDIRECT("'Выгрузка'!A1037:Z1037"),Настройки!$B$13)&amp;"")="",1,IFERROR(--SUBSTITUTE(SUBSTITUTE(TRIM(INDEX(INDIRECT("'Выгрузка'!A1037:Z1037"),Настройки!$B$13)),",","."),".",MID(1/2,2,1)),"")))</f>
        <v/>
      </c>
      <c r="H1037">
        <f>IF(F1037="",0,IF(COUNTIF(Настройки!$B$17:$B$26,F1037)&gt;0,1,IF(COUNTIF(Настройки!$C$17:$C$26,F1037)&gt;0,2,IF(COUNTIF(Настройки!$D$17:$D$26,F1037)&gt;0,3,0))))</f>
        <v/>
      </c>
      <c r="I1037">
        <f>IF(AND(ISNUMBER(A1037),ISNUMBER(B1037)),A1037*1000+B1037,"")</f>
        <v/>
      </c>
      <c r="J1037">
        <f>IF(I1037="","",IF(COUNTIF(I$2:I1037,I1037)=1,MAX(J$1:J1036)+1,""))</f>
        <v/>
      </c>
    </row>
    <row r="1038">
      <c r="A1038">
        <f>IFERROR(--SUBSTITUTE(SUBSTITUTE(TRIM(INDEX(INDIRECT("'Выгрузка'!A1038:Z1038"),Настройки!$B$7)),",","."),".",MID(1/2,2,1)),"")</f>
        <v/>
      </c>
      <c r="B1038">
        <f>IFERROR(--SUBSTITUTE(SUBSTITUTE(TRIM(INDEX(INDIRECT("'Выгрузка'!A1038:Z1038"),Настройки!$B$9)),",","."),".",MID(1/2,2,1)),"")</f>
        <v/>
      </c>
      <c r="C1038">
        <f>TRIM(INDEX(INDIRECT("'Выгрузка'!A1038:Z1038"),Настройки!$B$8)&amp;"")</f>
        <v/>
      </c>
      <c r="D1038">
        <f>IFERROR(--SUBSTITUTE(SUBSTITUTE(TRIM(INDEX(INDIRECT("'Выгрузка'!A1038:Z1038"),Настройки!$B$10)),",","."),".",MID(1/2,2,1)),"")</f>
        <v/>
      </c>
      <c r="E1038">
        <f>IFERROR(--SUBSTITUTE(SUBSTITUTE(TRIM(INDEX(INDIRECT("'Выгрузка'!A1038:Z1038"),Настройки!$B$11)),",","."),".",MID(1/2,2,1)),"")</f>
        <v/>
      </c>
      <c r="F1038">
        <f>TRIM(INDEX(INDIRECT("'Выгрузка'!A1038:Z1038"),Настройки!$B$12)&amp;"")</f>
        <v/>
      </c>
      <c r="G1038">
        <f>IF(F1038="",0,IF(TRIM(INDEX(INDIRECT("'Выгрузка'!A1038:Z1038"),Настройки!$B$13)&amp;"")="",1,IFERROR(--SUBSTITUTE(SUBSTITUTE(TRIM(INDEX(INDIRECT("'Выгрузка'!A1038:Z1038"),Настройки!$B$13)),",","."),".",MID(1/2,2,1)),"")))</f>
        <v/>
      </c>
      <c r="H1038">
        <f>IF(F1038="",0,IF(COUNTIF(Настройки!$B$17:$B$26,F1038)&gt;0,1,IF(COUNTIF(Настройки!$C$17:$C$26,F1038)&gt;0,2,IF(COUNTIF(Настройки!$D$17:$D$26,F1038)&gt;0,3,0))))</f>
        <v/>
      </c>
      <c r="I1038">
        <f>IF(AND(ISNUMBER(A1038),ISNUMBER(B1038)),A1038*1000+B1038,"")</f>
        <v/>
      </c>
      <c r="J1038">
        <f>IF(I1038="","",IF(COUNTIF(I$2:I1038,I1038)=1,MAX(J$1:J1037)+1,""))</f>
        <v/>
      </c>
    </row>
    <row r="1039">
      <c r="A1039">
        <f>IFERROR(--SUBSTITUTE(SUBSTITUTE(TRIM(INDEX(INDIRECT("'Выгрузка'!A1039:Z1039"),Настройки!$B$7)),",","."),".",MID(1/2,2,1)),"")</f>
        <v/>
      </c>
      <c r="B1039">
        <f>IFERROR(--SUBSTITUTE(SUBSTITUTE(TRIM(INDEX(INDIRECT("'Выгрузка'!A1039:Z1039"),Настройки!$B$9)),",","."),".",MID(1/2,2,1)),"")</f>
        <v/>
      </c>
      <c r="C1039">
        <f>TRIM(INDEX(INDIRECT("'Выгрузка'!A1039:Z1039"),Настройки!$B$8)&amp;"")</f>
        <v/>
      </c>
      <c r="D1039">
        <f>IFERROR(--SUBSTITUTE(SUBSTITUTE(TRIM(INDEX(INDIRECT("'Выгрузка'!A1039:Z1039"),Настройки!$B$10)),",","."),".",MID(1/2,2,1)),"")</f>
        <v/>
      </c>
      <c r="E1039">
        <f>IFERROR(--SUBSTITUTE(SUBSTITUTE(TRIM(INDEX(INDIRECT("'Выгрузка'!A1039:Z1039"),Настройки!$B$11)),",","."),".",MID(1/2,2,1)),"")</f>
        <v/>
      </c>
      <c r="F1039">
        <f>TRIM(INDEX(INDIRECT("'Выгрузка'!A1039:Z1039"),Настройки!$B$12)&amp;"")</f>
        <v/>
      </c>
      <c r="G1039">
        <f>IF(F1039="",0,IF(TRIM(INDEX(INDIRECT("'Выгрузка'!A1039:Z1039"),Настройки!$B$13)&amp;"")="",1,IFERROR(--SUBSTITUTE(SUBSTITUTE(TRIM(INDEX(INDIRECT("'Выгрузка'!A1039:Z1039"),Настройки!$B$13)),",","."),".",MID(1/2,2,1)),"")))</f>
        <v/>
      </c>
      <c r="H1039">
        <f>IF(F1039="",0,IF(COUNTIF(Настройки!$B$17:$B$26,F1039)&gt;0,1,IF(COUNTIF(Настройки!$C$17:$C$26,F1039)&gt;0,2,IF(COUNTIF(Настройки!$D$17:$D$26,F1039)&gt;0,3,0))))</f>
        <v/>
      </c>
      <c r="I1039">
        <f>IF(AND(ISNUMBER(A1039),ISNUMBER(B1039)),A1039*1000+B1039,"")</f>
        <v/>
      </c>
      <c r="J1039">
        <f>IF(I1039="","",IF(COUNTIF(I$2:I1039,I1039)=1,MAX(J$1:J1038)+1,""))</f>
        <v/>
      </c>
    </row>
    <row r="1040">
      <c r="A1040">
        <f>IFERROR(--SUBSTITUTE(SUBSTITUTE(TRIM(INDEX(INDIRECT("'Выгрузка'!A1040:Z1040"),Настройки!$B$7)),",","."),".",MID(1/2,2,1)),"")</f>
        <v/>
      </c>
      <c r="B1040">
        <f>IFERROR(--SUBSTITUTE(SUBSTITUTE(TRIM(INDEX(INDIRECT("'Выгрузка'!A1040:Z1040"),Настройки!$B$9)),",","."),".",MID(1/2,2,1)),"")</f>
        <v/>
      </c>
      <c r="C1040">
        <f>TRIM(INDEX(INDIRECT("'Выгрузка'!A1040:Z1040"),Настройки!$B$8)&amp;"")</f>
        <v/>
      </c>
      <c r="D1040">
        <f>IFERROR(--SUBSTITUTE(SUBSTITUTE(TRIM(INDEX(INDIRECT("'Выгрузка'!A1040:Z1040"),Настройки!$B$10)),",","."),".",MID(1/2,2,1)),"")</f>
        <v/>
      </c>
      <c r="E1040">
        <f>IFERROR(--SUBSTITUTE(SUBSTITUTE(TRIM(INDEX(INDIRECT("'Выгрузка'!A1040:Z1040"),Настройки!$B$11)),",","."),".",MID(1/2,2,1)),"")</f>
        <v/>
      </c>
      <c r="F1040">
        <f>TRIM(INDEX(INDIRECT("'Выгрузка'!A1040:Z1040"),Настройки!$B$12)&amp;"")</f>
        <v/>
      </c>
      <c r="G1040">
        <f>IF(F1040="",0,IF(TRIM(INDEX(INDIRECT("'Выгрузка'!A1040:Z1040"),Настройки!$B$13)&amp;"")="",1,IFERROR(--SUBSTITUTE(SUBSTITUTE(TRIM(INDEX(INDIRECT("'Выгрузка'!A1040:Z1040"),Настройки!$B$13)),",","."),".",MID(1/2,2,1)),"")))</f>
        <v/>
      </c>
      <c r="H1040">
        <f>IF(F1040="",0,IF(COUNTIF(Настройки!$B$17:$B$26,F1040)&gt;0,1,IF(COUNTIF(Настройки!$C$17:$C$26,F1040)&gt;0,2,IF(COUNTIF(Настройки!$D$17:$D$26,F1040)&gt;0,3,0))))</f>
        <v/>
      </c>
      <c r="I1040">
        <f>IF(AND(ISNUMBER(A1040),ISNUMBER(B1040)),A1040*1000+B1040,"")</f>
        <v/>
      </c>
      <c r="J1040">
        <f>IF(I1040="","",IF(COUNTIF(I$2:I1040,I1040)=1,MAX(J$1:J1039)+1,""))</f>
        <v/>
      </c>
    </row>
    <row r="1041">
      <c r="A1041">
        <f>IFERROR(--SUBSTITUTE(SUBSTITUTE(TRIM(INDEX(INDIRECT("'Выгрузка'!A1041:Z1041"),Настройки!$B$7)),",","."),".",MID(1/2,2,1)),"")</f>
        <v/>
      </c>
      <c r="B1041">
        <f>IFERROR(--SUBSTITUTE(SUBSTITUTE(TRIM(INDEX(INDIRECT("'Выгрузка'!A1041:Z1041"),Настройки!$B$9)),",","."),".",MID(1/2,2,1)),"")</f>
        <v/>
      </c>
      <c r="C1041">
        <f>TRIM(INDEX(INDIRECT("'Выгрузка'!A1041:Z1041"),Настройки!$B$8)&amp;"")</f>
        <v/>
      </c>
      <c r="D1041">
        <f>IFERROR(--SUBSTITUTE(SUBSTITUTE(TRIM(INDEX(INDIRECT("'Выгрузка'!A1041:Z1041"),Настройки!$B$10)),",","."),".",MID(1/2,2,1)),"")</f>
        <v/>
      </c>
      <c r="E1041">
        <f>IFERROR(--SUBSTITUTE(SUBSTITUTE(TRIM(INDEX(INDIRECT("'Выгрузка'!A1041:Z1041"),Настройки!$B$11)),",","."),".",MID(1/2,2,1)),"")</f>
        <v/>
      </c>
      <c r="F1041">
        <f>TRIM(INDEX(INDIRECT("'Выгрузка'!A1041:Z1041"),Настройки!$B$12)&amp;"")</f>
        <v/>
      </c>
      <c r="G1041">
        <f>IF(F1041="",0,IF(TRIM(INDEX(INDIRECT("'Выгрузка'!A1041:Z1041"),Настройки!$B$13)&amp;"")="",1,IFERROR(--SUBSTITUTE(SUBSTITUTE(TRIM(INDEX(INDIRECT("'Выгрузка'!A1041:Z1041"),Настройки!$B$13)),",","."),".",MID(1/2,2,1)),"")))</f>
        <v/>
      </c>
      <c r="H1041">
        <f>IF(F1041="",0,IF(COUNTIF(Настройки!$B$17:$B$26,F1041)&gt;0,1,IF(COUNTIF(Настройки!$C$17:$C$26,F1041)&gt;0,2,IF(COUNTIF(Настройки!$D$17:$D$26,F1041)&gt;0,3,0))))</f>
        <v/>
      </c>
      <c r="I1041">
        <f>IF(AND(ISNUMBER(A1041),ISNUMBER(B1041)),A1041*1000+B1041,"")</f>
        <v/>
      </c>
      <c r="J1041">
        <f>IF(I1041="","",IF(COUNTIF(I$2:I1041,I1041)=1,MAX(J$1:J1040)+1,""))</f>
        <v/>
      </c>
    </row>
    <row r="1042">
      <c r="A1042">
        <f>IFERROR(--SUBSTITUTE(SUBSTITUTE(TRIM(INDEX(INDIRECT("'Выгрузка'!A1042:Z1042"),Настройки!$B$7)),",","."),".",MID(1/2,2,1)),"")</f>
        <v/>
      </c>
      <c r="B1042">
        <f>IFERROR(--SUBSTITUTE(SUBSTITUTE(TRIM(INDEX(INDIRECT("'Выгрузка'!A1042:Z1042"),Настройки!$B$9)),",","."),".",MID(1/2,2,1)),"")</f>
        <v/>
      </c>
      <c r="C1042">
        <f>TRIM(INDEX(INDIRECT("'Выгрузка'!A1042:Z1042"),Настройки!$B$8)&amp;"")</f>
        <v/>
      </c>
      <c r="D1042">
        <f>IFERROR(--SUBSTITUTE(SUBSTITUTE(TRIM(INDEX(INDIRECT("'Выгрузка'!A1042:Z1042"),Настройки!$B$10)),",","."),".",MID(1/2,2,1)),"")</f>
        <v/>
      </c>
      <c r="E1042">
        <f>IFERROR(--SUBSTITUTE(SUBSTITUTE(TRIM(INDEX(INDIRECT("'Выгрузка'!A1042:Z1042"),Настройки!$B$11)),",","."),".",MID(1/2,2,1)),"")</f>
        <v/>
      </c>
      <c r="F1042">
        <f>TRIM(INDEX(INDIRECT("'Выгрузка'!A1042:Z1042"),Настройки!$B$12)&amp;"")</f>
        <v/>
      </c>
      <c r="G1042">
        <f>IF(F1042="",0,IF(TRIM(INDEX(INDIRECT("'Выгрузка'!A1042:Z1042"),Настройки!$B$13)&amp;"")="",1,IFERROR(--SUBSTITUTE(SUBSTITUTE(TRIM(INDEX(INDIRECT("'Выгрузка'!A1042:Z1042"),Настройки!$B$13)),",","."),".",MID(1/2,2,1)),"")))</f>
        <v/>
      </c>
      <c r="H1042">
        <f>IF(F1042="",0,IF(COUNTIF(Настройки!$B$17:$B$26,F1042)&gt;0,1,IF(COUNTIF(Настройки!$C$17:$C$26,F1042)&gt;0,2,IF(COUNTIF(Настройки!$D$17:$D$26,F1042)&gt;0,3,0))))</f>
        <v/>
      </c>
      <c r="I1042">
        <f>IF(AND(ISNUMBER(A1042),ISNUMBER(B1042)),A1042*1000+B1042,"")</f>
        <v/>
      </c>
      <c r="J1042">
        <f>IF(I1042="","",IF(COUNTIF(I$2:I1042,I1042)=1,MAX(J$1:J1041)+1,""))</f>
        <v/>
      </c>
    </row>
    <row r="1043">
      <c r="A1043">
        <f>IFERROR(--SUBSTITUTE(SUBSTITUTE(TRIM(INDEX(INDIRECT("'Выгрузка'!A1043:Z1043"),Настройки!$B$7)),",","."),".",MID(1/2,2,1)),"")</f>
        <v/>
      </c>
      <c r="B1043">
        <f>IFERROR(--SUBSTITUTE(SUBSTITUTE(TRIM(INDEX(INDIRECT("'Выгрузка'!A1043:Z1043"),Настройки!$B$9)),",","."),".",MID(1/2,2,1)),"")</f>
        <v/>
      </c>
      <c r="C1043">
        <f>TRIM(INDEX(INDIRECT("'Выгрузка'!A1043:Z1043"),Настройки!$B$8)&amp;"")</f>
        <v/>
      </c>
      <c r="D1043">
        <f>IFERROR(--SUBSTITUTE(SUBSTITUTE(TRIM(INDEX(INDIRECT("'Выгрузка'!A1043:Z1043"),Настройки!$B$10)),",","."),".",MID(1/2,2,1)),"")</f>
        <v/>
      </c>
      <c r="E1043">
        <f>IFERROR(--SUBSTITUTE(SUBSTITUTE(TRIM(INDEX(INDIRECT("'Выгрузка'!A1043:Z1043"),Настройки!$B$11)),",","."),".",MID(1/2,2,1)),"")</f>
        <v/>
      </c>
      <c r="F1043">
        <f>TRIM(INDEX(INDIRECT("'Выгрузка'!A1043:Z1043"),Настройки!$B$12)&amp;"")</f>
        <v/>
      </c>
      <c r="G1043">
        <f>IF(F1043="",0,IF(TRIM(INDEX(INDIRECT("'Выгрузка'!A1043:Z1043"),Настройки!$B$13)&amp;"")="",1,IFERROR(--SUBSTITUTE(SUBSTITUTE(TRIM(INDEX(INDIRECT("'Выгрузка'!A1043:Z1043"),Настройки!$B$13)),",","."),".",MID(1/2,2,1)),"")))</f>
        <v/>
      </c>
      <c r="H1043">
        <f>IF(F1043="",0,IF(COUNTIF(Настройки!$B$17:$B$26,F1043)&gt;0,1,IF(COUNTIF(Настройки!$C$17:$C$26,F1043)&gt;0,2,IF(COUNTIF(Настройки!$D$17:$D$26,F1043)&gt;0,3,0))))</f>
        <v/>
      </c>
      <c r="I1043">
        <f>IF(AND(ISNUMBER(A1043),ISNUMBER(B1043)),A1043*1000+B1043,"")</f>
        <v/>
      </c>
      <c r="J1043">
        <f>IF(I1043="","",IF(COUNTIF(I$2:I1043,I1043)=1,MAX(J$1:J1042)+1,""))</f>
        <v/>
      </c>
    </row>
    <row r="1044">
      <c r="A1044">
        <f>IFERROR(--SUBSTITUTE(SUBSTITUTE(TRIM(INDEX(INDIRECT("'Выгрузка'!A1044:Z1044"),Настройки!$B$7)),",","."),".",MID(1/2,2,1)),"")</f>
        <v/>
      </c>
      <c r="B1044">
        <f>IFERROR(--SUBSTITUTE(SUBSTITUTE(TRIM(INDEX(INDIRECT("'Выгрузка'!A1044:Z1044"),Настройки!$B$9)),",","."),".",MID(1/2,2,1)),"")</f>
        <v/>
      </c>
      <c r="C1044">
        <f>TRIM(INDEX(INDIRECT("'Выгрузка'!A1044:Z1044"),Настройки!$B$8)&amp;"")</f>
        <v/>
      </c>
      <c r="D1044">
        <f>IFERROR(--SUBSTITUTE(SUBSTITUTE(TRIM(INDEX(INDIRECT("'Выгрузка'!A1044:Z1044"),Настройки!$B$10)),",","."),".",MID(1/2,2,1)),"")</f>
        <v/>
      </c>
      <c r="E1044">
        <f>IFERROR(--SUBSTITUTE(SUBSTITUTE(TRIM(INDEX(INDIRECT("'Выгрузка'!A1044:Z1044"),Настройки!$B$11)),",","."),".",MID(1/2,2,1)),"")</f>
        <v/>
      </c>
      <c r="F1044">
        <f>TRIM(INDEX(INDIRECT("'Выгрузка'!A1044:Z1044"),Настройки!$B$12)&amp;"")</f>
        <v/>
      </c>
      <c r="G1044">
        <f>IF(F1044="",0,IF(TRIM(INDEX(INDIRECT("'Выгрузка'!A1044:Z1044"),Настройки!$B$13)&amp;"")="",1,IFERROR(--SUBSTITUTE(SUBSTITUTE(TRIM(INDEX(INDIRECT("'Выгрузка'!A1044:Z1044"),Настройки!$B$13)),",","."),".",MID(1/2,2,1)),"")))</f>
        <v/>
      </c>
      <c r="H1044">
        <f>IF(F1044="",0,IF(COUNTIF(Настройки!$B$17:$B$26,F1044)&gt;0,1,IF(COUNTIF(Настройки!$C$17:$C$26,F1044)&gt;0,2,IF(COUNTIF(Настройки!$D$17:$D$26,F1044)&gt;0,3,0))))</f>
        <v/>
      </c>
      <c r="I1044">
        <f>IF(AND(ISNUMBER(A1044),ISNUMBER(B1044)),A1044*1000+B1044,"")</f>
        <v/>
      </c>
      <c r="J1044">
        <f>IF(I1044="","",IF(COUNTIF(I$2:I1044,I1044)=1,MAX(J$1:J1043)+1,""))</f>
        <v/>
      </c>
    </row>
    <row r="1045">
      <c r="A1045">
        <f>IFERROR(--SUBSTITUTE(SUBSTITUTE(TRIM(INDEX(INDIRECT("'Выгрузка'!A1045:Z1045"),Настройки!$B$7)),",","."),".",MID(1/2,2,1)),"")</f>
        <v/>
      </c>
      <c r="B1045">
        <f>IFERROR(--SUBSTITUTE(SUBSTITUTE(TRIM(INDEX(INDIRECT("'Выгрузка'!A1045:Z1045"),Настройки!$B$9)),",","."),".",MID(1/2,2,1)),"")</f>
        <v/>
      </c>
      <c r="C1045">
        <f>TRIM(INDEX(INDIRECT("'Выгрузка'!A1045:Z1045"),Настройки!$B$8)&amp;"")</f>
        <v/>
      </c>
      <c r="D1045">
        <f>IFERROR(--SUBSTITUTE(SUBSTITUTE(TRIM(INDEX(INDIRECT("'Выгрузка'!A1045:Z1045"),Настройки!$B$10)),",","."),".",MID(1/2,2,1)),"")</f>
        <v/>
      </c>
      <c r="E1045">
        <f>IFERROR(--SUBSTITUTE(SUBSTITUTE(TRIM(INDEX(INDIRECT("'Выгрузка'!A1045:Z1045"),Настройки!$B$11)),",","."),".",MID(1/2,2,1)),"")</f>
        <v/>
      </c>
      <c r="F1045">
        <f>TRIM(INDEX(INDIRECT("'Выгрузка'!A1045:Z1045"),Настройки!$B$12)&amp;"")</f>
        <v/>
      </c>
      <c r="G1045">
        <f>IF(F1045="",0,IF(TRIM(INDEX(INDIRECT("'Выгрузка'!A1045:Z1045"),Настройки!$B$13)&amp;"")="",1,IFERROR(--SUBSTITUTE(SUBSTITUTE(TRIM(INDEX(INDIRECT("'Выгрузка'!A1045:Z1045"),Настройки!$B$13)),",","."),".",MID(1/2,2,1)),"")))</f>
        <v/>
      </c>
      <c r="H1045">
        <f>IF(F1045="",0,IF(COUNTIF(Настройки!$B$17:$B$26,F1045)&gt;0,1,IF(COUNTIF(Настройки!$C$17:$C$26,F1045)&gt;0,2,IF(COUNTIF(Настройки!$D$17:$D$26,F1045)&gt;0,3,0))))</f>
        <v/>
      </c>
      <c r="I1045">
        <f>IF(AND(ISNUMBER(A1045),ISNUMBER(B1045)),A1045*1000+B1045,"")</f>
        <v/>
      </c>
      <c r="J1045">
        <f>IF(I1045="","",IF(COUNTIF(I$2:I1045,I1045)=1,MAX(J$1:J1044)+1,""))</f>
        <v/>
      </c>
    </row>
    <row r="1046">
      <c r="A1046">
        <f>IFERROR(--SUBSTITUTE(SUBSTITUTE(TRIM(INDEX(INDIRECT("'Выгрузка'!A1046:Z1046"),Настройки!$B$7)),",","."),".",MID(1/2,2,1)),"")</f>
        <v/>
      </c>
      <c r="B1046">
        <f>IFERROR(--SUBSTITUTE(SUBSTITUTE(TRIM(INDEX(INDIRECT("'Выгрузка'!A1046:Z1046"),Настройки!$B$9)),",","."),".",MID(1/2,2,1)),"")</f>
        <v/>
      </c>
      <c r="C1046">
        <f>TRIM(INDEX(INDIRECT("'Выгрузка'!A1046:Z1046"),Настройки!$B$8)&amp;"")</f>
        <v/>
      </c>
      <c r="D1046">
        <f>IFERROR(--SUBSTITUTE(SUBSTITUTE(TRIM(INDEX(INDIRECT("'Выгрузка'!A1046:Z1046"),Настройки!$B$10)),",","."),".",MID(1/2,2,1)),"")</f>
        <v/>
      </c>
      <c r="E1046">
        <f>IFERROR(--SUBSTITUTE(SUBSTITUTE(TRIM(INDEX(INDIRECT("'Выгрузка'!A1046:Z1046"),Настройки!$B$11)),",","."),".",MID(1/2,2,1)),"")</f>
        <v/>
      </c>
      <c r="F1046">
        <f>TRIM(INDEX(INDIRECT("'Выгрузка'!A1046:Z1046"),Настройки!$B$12)&amp;"")</f>
        <v/>
      </c>
      <c r="G1046">
        <f>IF(F1046="",0,IF(TRIM(INDEX(INDIRECT("'Выгрузка'!A1046:Z1046"),Настройки!$B$13)&amp;"")="",1,IFERROR(--SUBSTITUTE(SUBSTITUTE(TRIM(INDEX(INDIRECT("'Выгрузка'!A1046:Z1046"),Настройки!$B$13)),",","."),".",MID(1/2,2,1)),"")))</f>
        <v/>
      </c>
      <c r="H1046">
        <f>IF(F1046="",0,IF(COUNTIF(Настройки!$B$17:$B$26,F1046)&gt;0,1,IF(COUNTIF(Настройки!$C$17:$C$26,F1046)&gt;0,2,IF(COUNTIF(Настройки!$D$17:$D$26,F1046)&gt;0,3,0))))</f>
        <v/>
      </c>
      <c r="I1046">
        <f>IF(AND(ISNUMBER(A1046),ISNUMBER(B1046)),A1046*1000+B1046,"")</f>
        <v/>
      </c>
      <c r="J1046">
        <f>IF(I1046="","",IF(COUNTIF(I$2:I1046,I1046)=1,MAX(J$1:J1045)+1,""))</f>
        <v/>
      </c>
    </row>
    <row r="1047">
      <c r="A1047">
        <f>IFERROR(--SUBSTITUTE(SUBSTITUTE(TRIM(INDEX(INDIRECT("'Выгрузка'!A1047:Z1047"),Настройки!$B$7)),",","."),".",MID(1/2,2,1)),"")</f>
        <v/>
      </c>
      <c r="B1047">
        <f>IFERROR(--SUBSTITUTE(SUBSTITUTE(TRIM(INDEX(INDIRECT("'Выгрузка'!A1047:Z1047"),Настройки!$B$9)),",","."),".",MID(1/2,2,1)),"")</f>
        <v/>
      </c>
      <c r="C1047">
        <f>TRIM(INDEX(INDIRECT("'Выгрузка'!A1047:Z1047"),Настройки!$B$8)&amp;"")</f>
        <v/>
      </c>
      <c r="D1047">
        <f>IFERROR(--SUBSTITUTE(SUBSTITUTE(TRIM(INDEX(INDIRECT("'Выгрузка'!A1047:Z1047"),Настройки!$B$10)),",","."),".",MID(1/2,2,1)),"")</f>
        <v/>
      </c>
      <c r="E1047">
        <f>IFERROR(--SUBSTITUTE(SUBSTITUTE(TRIM(INDEX(INDIRECT("'Выгрузка'!A1047:Z1047"),Настройки!$B$11)),",","."),".",MID(1/2,2,1)),"")</f>
        <v/>
      </c>
      <c r="F1047">
        <f>TRIM(INDEX(INDIRECT("'Выгрузка'!A1047:Z1047"),Настройки!$B$12)&amp;"")</f>
        <v/>
      </c>
      <c r="G1047">
        <f>IF(F1047="",0,IF(TRIM(INDEX(INDIRECT("'Выгрузка'!A1047:Z1047"),Настройки!$B$13)&amp;"")="",1,IFERROR(--SUBSTITUTE(SUBSTITUTE(TRIM(INDEX(INDIRECT("'Выгрузка'!A1047:Z1047"),Настройки!$B$13)),",","."),".",MID(1/2,2,1)),"")))</f>
        <v/>
      </c>
      <c r="H1047">
        <f>IF(F1047="",0,IF(COUNTIF(Настройки!$B$17:$B$26,F1047)&gt;0,1,IF(COUNTIF(Настройки!$C$17:$C$26,F1047)&gt;0,2,IF(COUNTIF(Настройки!$D$17:$D$26,F1047)&gt;0,3,0))))</f>
        <v/>
      </c>
      <c r="I1047">
        <f>IF(AND(ISNUMBER(A1047),ISNUMBER(B1047)),A1047*1000+B1047,"")</f>
        <v/>
      </c>
      <c r="J1047">
        <f>IF(I1047="","",IF(COUNTIF(I$2:I1047,I1047)=1,MAX(J$1:J1046)+1,""))</f>
        <v/>
      </c>
    </row>
    <row r="1048">
      <c r="A1048">
        <f>IFERROR(--SUBSTITUTE(SUBSTITUTE(TRIM(INDEX(INDIRECT("'Выгрузка'!A1048:Z1048"),Настройки!$B$7)),",","."),".",MID(1/2,2,1)),"")</f>
        <v/>
      </c>
      <c r="B1048">
        <f>IFERROR(--SUBSTITUTE(SUBSTITUTE(TRIM(INDEX(INDIRECT("'Выгрузка'!A1048:Z1048"),Настройки!$B$9)),",","."),".",MID(1/2,2,1)),"")</f>
        <v/>
      </c>
      <c r="C1048">
        <f>TRIM(INDEX(INDIRECT("'Выгрузка'!A1048:Z1048"),Настройки!$B$8)&amp;"")</f>
        <v/>
      </c>
      <c r="D1048">
        <f>IFERROR(--SUBSTITUTE(SUBSTITUTE(TRIM(INDEX(INDIRECT("'Выгрузка'!A1048:Z1048"),Настройки!$B$10)),",","."),".",MID(1/2,2,1)),"")</f>
        <v/>
      </c>
      <c r="E1048">
        <f>IFERROR(--SUBSTITUTE(SUBSTITUTE(TRIM(INDEX(INDIRECT("'Выгрузка'!A1048:Z1048"),Настройки!$B$11)),",","."),".",MID(1/2,2,1)),"")</f>
        <v/>
      </c>
      <c r="F1048">
        <f>TRIM(INDEX(INDIRECT("'Выгрузка'!A1048:Z1048"),Настройки!$B$12)&amp;"")</f>
        <v/>
      </c>
      <c r="G1048">
        <f>IF(F1048="",0,IF(TRIM(INDEX(INDIRECT("'Выгрузка'!A1048:Z1048"),Настройки!$B$13)&amp;"")="",1,IFERROR(--SUBSTITUTE(SUBSTITUTE(TRIM(INDEX(INDIRECT("'Выгрузка'!A1048:Z1048"),Настройки!$B$13)),",","."),".",MID(1/2,2,1)),"")))</f>
        <v/>
      </c>
      <c r="H1048">
        <f>IF(F1048="",0,IF(COUNTIF(Настройки!$B$17:$B$26,F1048)&gt;0,1,IF(COUNTIF(Настройки!$C$17:$C$26,F1048)&gt;0,2,IF(COUNTIF(Настройки!$D$17:$D$26,F1048)&gt;0,3,0))))</f>
        <v/>
      </c>
      <c r="I1048">
        <f>IF(AND(ISNUMBER(A1048),ISNUMBER(B1048)),A1048*1000+B1048,"")</f>
        <v/>
      </c>
      <c r="J1048">
        <f>IF(I1048="","",IF(COUNTIF(I$2:I1048,I1048)=1,MAX(J$1:J1047)+1,""))</f>
        <v/>
      </c>
    </row>
    <row r="1049">
      <c r="A1049">
        <f>IFERROR(--SUBSTITUTE(SUBSTITUTE(TRIM(INDEX(INDIRECT("'Выгрузка'!A1049:Z1049"),Настройки!$B$7)),",","."),".",MID(1/2,2,1)),"")</f>
        <v/>
      </c>
      <c r="B1049">
        <f>IFERROR(--SUBSTITUTE(SUBSTITUTE(TRIM(INDEX(INDIRECT("'Выгрузка'!A1049:Z1049"),Настройки!$B$9)),",","."),".",MID(1/2,2,1)),"")</f>
        <v/>
      </c>
      <c r="C1049">
        <f>TRIM(INDEX(INDIRECT("'Выгрузка'!A1049:Z1049"),Настройки!$B$8)&amp;"")</f>
        <v/>
      </c>
      <c r="D1049">
        <f>IFERROR(--SUBSTITUTE(SUBSTITUTE(TRIM(INDEX(INDIRECT("'Выгрузка'!A1049:Z1049"),Настройки!$B$10)),",","."),".",MID(1/2,2,1)),"")</f>
        <v/>
      </c>
      <c r="E1049">
        <f>IFERROR(--SUBSTITUTE(SUBSTITUTE(TRIM(INDEX(INDIRECT("'Выгрузка'!A1049:Z1049"),Настройки!$B$11)),",","."),".",MID(1/2,2,1)),"")</f>
        <v/>
      </c>
      <c r="F1049">
        <f>TRIM(INDEX(INDIRECT("'Выгрузка'!A1049:Z1049"),Настройки!$B$12)&amp;"")</f>
        <v/>
      </c>
      <c r="G1049">
        <f>IF(F1049="",0,IF(TRIM(INDEX(INDIRECT("'Выгрузка'!A1049:Z1049"),Настройки!$B$13)&amp;"")="",1,IFERROR(--SUBSTITUTE(SUBSTITUTE(TRIM(INDEX(INDIRECT("'Выгрузка'!A1049:Z1049"),Настройки!$B$13)),",","."),".",MID(1/2,2,1)),"")))</f>
        <v/>
      </c>
      <c r="H1049">
        <f>IF(F1049="",0,IF(COUNTIF(Настройки!$B$17:$B$26,F1049)&gt;0,1,IF(COUNTIF(Настройки!$C$17:$C$26,F1049)&gt;0,2,IF(COUNTIF(Настройки!$D$17:$D$26,F1049)&gt;0,3,0))))</f>
        <v/>
      </c>
      <c r="I1049">
        <f>IF(AND(ISNUMBER(A1049),ISNUMBER(B1049)),A1049*1000+B1049,"")</f>
        <v/>
      </c>
      <c r="J1049">
        <f>IF(I1049="","",IF(COUNTIF(I$2:I1049,I1049)=1,MAX(J$1:J1048)+1,""))</f>
        <v/>
      </c>
    </row>
    <row r="1050">
      <c r="A1050">
        <f>IFERROR(--SUBSTITUTE(SUBSTITUTE(TRIM(INDEX(INDIRECT("'Выгрузка'!A1050:Z1050"),Настройки!$B$7)),",","."),".",MID(1/2,2,1)),"")</f>
        <v/>
      </c>
      <c r="B1050">
        <f>IFERROR(--SUBSTITUTE(SUBSTITUTE(TRIM(INDEX(INDIRECT("'Выгрузка'!A1050:Z1050"),Настройки!$B$9)),",","."),".",MID(1/2,2,1)),"")</f>
        <v/>
      </c>
      <c r="C1050">
        <f>TRIM(INDEX(INDIRECT("'Выгрузка'!A1050:Z1050"),Настройки!$B$8)&amp;"")</f>
        <v/>
      </c>
      <c r="D1050">
        <f>IFERROR(--SUBSTITUTE(SUBSTITUTE(TRIM(INDEX(INDIRECT("'Выгрузка'!A1050:Z1050"),Настройки!$B$10)),",","."),".",MID(1/2,2,1)),"")</f>
        <v/>
      </c>
      <c r="E1050">
        <f>IFERROR(--SUBSTITUTE(SUBSTITUTE(TRIM(INDEX(INDIRECT("'Выгрузка'!A1050:Z1050"),Настройки!$B$11)),",","."),".",MID(1/2,2,1)),"")</f>
        <v/>
      </c>
      <c r="F1050">
        <f>TRIM(INDEX(INDIRECT("'Выгрузка'!A1050:Z1050"),Настройки!$B$12)&amp;"")</f>
        <v/>
      </c>
      <c r="G1050">
        <f>IF(F1050="",0,IF(TRIM(INDEX(INDIRECT("'Выгрузка'!A1050:Z1050"),Настройки!$B$13)&amp;"")="",1,IFERROR(--SUBSTITUTE(SUBSTITUTE(TRIM(INDEX(INDIRECT("'Выгрузка'!A1050:Z1050"),Настройки!$B$13)),",","."),".",MID(1/2,2,1)),"")))</f>
        <v/>
      </c>
      <c r="H1050">
        <f>IF(F1050="",0,IF(COUNTIF(Настройки!$B$17:$B$26,F1050)&gt;0,1,IF(COUNTIF(Настройки!$C$17:$C$26,F1050)&gt;0,2,IF(COUNTIF(Настройки!$D$17:$D$26,F1050)&gt;0,3,0))))</f>
        <v/>
      </c>
      <c r="I1050">
        <f>IF(AND(ISNUMBER(A1050),ISNUMBER(B1050)),A1050*1000+B1050,"")</f>
        <v/>
      </c>
      <c r="J1050">
        <f>IF(I1050="","",IF(COUNTIF(I$2:I1050,I1050)=1,MAX(J$1:J1049)+1,""))</f>
        <v/>
      </c>
    </row>
    <row r="1051">
      <c r="A1051">
        <f>IFERROR(--SUBSTITUTE(SUBSTITUTE(TRIM(INDEX(INDIRECT("'Выгрузка'!A1051:Z1051"),Настройки!$B$7)),",","."),".",MID(1/2,2,1)),"")</f>
        <v/>
      </c>
      <c r="B1051">
        <f>IFERROR(--SUBSTITUTE(SUBSTITUTE(TRIM(INDEX(INDIRECT("'Выгрузка'!A1051:Z1051"),Настройки!$B$9)),",","."),".",MID(1/2,2,1)),"")</f>
        <v/>
      </c>
      <c r="C1051">
        <f>TRIM(INDEX(INDIRECT("'Выгрузка'!A1051:Z1051"),Настройки!$B$8)&amp;"")</f>
        <v/>
      </c>
      <c r="D1051">
        <f>IFERROR(--SUBSTITUTE(SUBSTITUTE(TRIM(INDEX(INDIRECT("'Выгрузка'!A1051:Z1051"),Настройки!$B$10)),",","."),".",MID(1/2,2,1)),"")</f>
        <v/>
      </c>
      <c r="E1051">
        <f>IFERROR(--SUBSTITUTE(SUBSTITUTE(TRIM(INDEX(INDIRECT("'Выгрузка'!A1051:Z1051"),Настройки!$B$11)),",","."),".",MID(1/2,2,1)),"")</f>
        <v/>
      </c>
      <c r="F1051">
        <f>TRIM(INDEX(INDIRECT("'Выгрузка'!A1051:Z1051"),Настройки!$B$12)&amp;"")</f>
        <v/>
      </c>
      <c r="G1051">
        <f>IF(F1051="",0,IF(TRIM(INDEX(INDIRECT("'Выгрузка'!A1051:Z1051"),Настройки!$B$13)&amp;"")="",1,IFERROR(--SUBSTITUTE(SUBSTITUTE(TRIM(INDEX(INDIRECT("'Выгрузка'!A1051:Z1051"),Настройки!$B$13)),",","."),".",MID(1/2,2,1)),"")))</f>
        <v/>
      </c>
      <c r="H1051">
        <f>IF(F1051="",0,IF(COUNTIF(Настройки!$B$17:$B$26,F1051)&gt;0,1,IF(COUNTIF(Настройки!$C$17:$C$26,F1051)&gt;0,2,IF(COUNTIF(Настройки!$D$17:$D$26,F1051)&gt;0,3,0))))</f>
        <v/>
      </c>
      <c r="I1051">
        <f>IF(AND(ISNUMBER(A1051),ISNUMBER(B1051)),A1051*1000+B1051,"")</f>
        <v/>
      </c>
      <c r="J1051">
        <f>IF(I1051="","",IF(COUNTIF(I$2:I1051,I1051)=1,MAX(J$1:J1050)+1,""))</f>
        <v/>
      </c>
    </row>
    <row r="1052">
      <c r="A1052">
        <f>IFERROR(--SUBSTITUTE(SUBSTITUTE(TRIM(INDEX(INDIRECT("'Выгрузка'!A1052:Z1052"),Настройки!$B$7)),",","."),".",MID(1/2,2,1)),"")</f>
        <v/>
      </c>
      <c r="B1052">
        <f>IFERROR(--SUBSTITUTE(SUBSTITUTE(TRIM(INDEX(INDIRECT("'Выгрузка'!A1052:Z1052"),Настройки!$B$9)),",","."),".",MID(1/2,2,1)),"")</f>
        <v/>
      </c>
      <c r="C1052">
        <f>TRIM(INDEX(INDIRECT("'Выгрузка'!A1052:Z1052"),Настройки!$B$8)&amp;"")</f>
        <v/>
      </c>
      <c r="D1052">
        <f>IFERROR(--SUBSTITUTE(SUBSTITUTE(TRIM(INDEX(INDIRECT("'Выгрузка'!A1052:Z1052"),Настройки!$B$10)),",","."),".",MID(1/2,2,1)),"")</f>
        <v/>
      </c>
      <c r="E1052">
        <f>IFERROR(--SUBSTITUTE(SUBSTITUTE(TRIM(INDEX(INDIRECT("'Выгрузка'!A1052:Z1052"),Настройки!$B$11)),",","."),".",MID(1/2,2,1)),"")</f>
        <v/>
      </c>
      <c r="F1052">
        <f>TRIM(INDEX(INDIRECT("'Выгрузка'!A1052:Z1052"),Настройки!$B$12)&amp;"")</f>
        <v/>
      </c>
      <c r="G1052">
        <f>IF(F1052="",0,IF(TRIM(INDEX(INDIRECT("'Выгрузка'!A1052:Z1052"),Настройки!$B$13)&amp;"")="",1,IFERROR(--SUBSTITUTE(SUBSTITUTE(TRIM(INDEX(INDIRECT("'Выгрузка'!A1052:Z1052"),Настройки!$B$13)),",","."),".",MID(1/2,2,1)),"")))</f>
        <v/>
      </c>
      <c r="H1052">
        <f>IF(F1052="",0,IF(COUNTIF(Настройки!$B$17:$B$26,F1052)&gt;0,1,IF(COUNTIF(Настройки!$C$17:$C$26,F1052)&gt;0,2,IF(COUNTIF(Настройки!$D$17:$D$26,F1052)&gt;0,3,0))))</f>
        <v/>
      </c>
      <c r="I1052">
        <f>IF(AND(ISNUMBER(A1052),ISNUMBER(B1052)),A1052*1000+B1052,"")</f>
        <v/>
      </c>
      <c r="J1052">
        <f>IF(I1052="","",IF(COUNTIF(I$2:I1052,I1052)=1,MAX(J$1:J1051)+1,""))</f>
        <v/>
      </c>
    </row>
    <row r="1053">
      <c r="A1053">
        <f>IFERROR(--SUBSTITUTE(SUBSTITUTE(TRIM(INDEX(INDIRECT("'Выгрузка'!A1053:Z1053"),Настройки!$B$7)),",","."),".",MID(1/2,2,1)),"")</f>
        <v/>
      </c>
      <c r="B1053">
        <f>IFERROR(--SUBSTITUTE(SUBSTITUTE(TRIM(INDEX(INDIRECT("'Выгрузка'!A1053:Z1053"),Настройки!$B$9)),",","."),".",MID(1/2,2,1)),"")</f>
        <v/>
      </c>
      <c r="C1053">
        <f>TRIM(INDEX(INDIRECT("'Выгрузка'!A1053:Z1053"),Настройки!$B$8)&amp;"")</f>
        <v/>
      </c>
      <c r="D1053">
        <f>IFERROR(--SUBSTITUTE(SUBSTITUTE(TRIM(INDEX(INDIRECT("'Выгрузка'!A1053:Z1053"),Настройки!$B$10)),",","."),".",MID(1/2,2,1)),"")</f>
        <v/>
      </c>
      <c r="E1053">
        <f>IFERROR(--SUBSTITUTE(SUBSTITUTE(TRIM(INDEX(INDIRECT("'Выгрузка'!A1053:Z1053"),Настройки!$B$11)),",","."),".",MID(1/2,2,1)),"")</f>
        <v/>
      </c>
      <c r="F1053">
        <f>TRIM(INDEX(INDIRECT("'Выгрузка'!A1053:Z1053"),Настройки!$B$12)&amp;"")</f>
        <v/>
      </c>
      <c r="G1053">
        <f>IF(F1053="",0,IF(TRIM(INDEX(INDIRECT("'Выгрузка'!A1053:Z1053"),Настройки!$B$13)&amp;"")="",1,IFERROR(--SUBSTITUTE(SUBSTITUTE(TRIM(INDEX(INDIRECT("'Выгрузка'!A1053:Z1053"),Настройки!$B$13)),",","."),".",MID(1/2,2,1)),"")))</f>
        <v/>
      </c>
      <c r="H1053">
        <f>IF(F1053="",0,IF(COUNTIF(Настройки!$B$17:$B$26,F1053)&gt;0,1,IF(COUNTIF(Настройки!$C$17:$C$26,F1053)&gt;0,2,IF(COUNTIF(Настройки!$D$17:$D$26,F1053)&gt;0,3,0))))</f>
        <v/>
      </c>
      <c r="I1053">
        <f>IF(AND(ISNUMBER(A1053),ISNUMBER(B1053)),A1053*1000+B1053,"")</f>
        <v/>
      </c>
      <c r="J1053">
        <f>IF(I1053="","",IF(COUNTIF(I$2:I1053,I1053)=1,MAX(J$1:J1052)+1,""))</f>
        <v/>
      </c>
    </row>
    <row r="1054">
      <c r="A1054">
        <f>IFERROR(--SUBSTITUTE(SUBSTITUTE(TRIM(INDEX(INDIRECT("'Выгрузка'!A1054:Z1054"),Настройки!$B$7)),",","."),".",MID(1/2,2,1)),"")</f>
        <v/>
      </c>
      <c r="B1054">
        <f>IFERROR(--SUBSTITUTE(SUBSTITUTE(TRIM(INDEX(INDIRECT("'Выгрузка'!A1054:Z1054"),Настройки!$B$9)),",","."),".",MID(1/2,2,1)),"")</f>
        <v/>
      </c>
      <c r="C1054">
        <f>TRIM(INDEX(INDIRECT("'Выгрузка'!A1054:Z1054"),Настройки!$B$8)&amp;"")</f>
        <v/>
      </c>
      <c r="D1054">
        <f>IFERROR(--SUBSTITUTE(SUBSTITUTE(TRIM(INDEX(INDIRECT("'Выгрузка'!A1054:Z1054"),Настройки!$B$10)),",","."),".",MID(1/2,2,1)),"")</f>
        <v/>
      </c>
      <c r="E1054">
        <f>IFERROR(--SUBSTITUTE(SUBSTITUTE(TRIM(INDEX(INDIRECT("'Выгрузка'!A1054:Z1054"),Настройки!$B$11)),",","."),".",MID(1/2,2,1)),"")</f>
        <v/>
      </c>
      <c r="F1054">
        <f>TRIM(INDEX(INDIRECT("'Выгрузка'!A1054:Z1054"),Настройки!$B$12)&amp;"")</f>
        <v/>
      </c>
      <c r="G1054">
        <f>IF(F1054="",0,IF(TRIM(INDEX(INDIRECT("'Выгрузка'!A1054:Z1054"),Настройки!$B$13)&amp;"")="",1,IFERROR(--SUBSTITUTE(SUBSTITUTE(TRIM(INDEX(INDIRECT("'Выгрузка'!A1054:Z1054"),Настройки!$B$13)),",","."),".",MID(1/2,2,1)),"")))</f>
        <v/>
      </c>
      <c r="H1054">
        <f>IF(F1054="",0,IF(COUNTIF(Настройки!$B$17:$B$26,F1054)&gt;0,1,IF(COUNTIF(Настройки!$C$17:$C$26,F1054)&gt;0,2,IF(COUNTIF(Настройки!$D$17:$D$26,F1054)&gt;0,3,0))))</f>
        <v/>
      </c>
      <c r="I1054">
        <f>IF(AND(ISNUMBER(A1054),ISNUMBER(B1054)),A1054*1000+B1054,"")</f>
        <v/>
      </c>
      <c r="J1054">
        <f>IF(I1054="","",IF(COUNTIF(I$2:I1054,I1054)=1,MAX(J$1:J1053)+1,""))</f>
        <v/>
      </c>
    </row>
    <row r="1055">
      <c r="A1055">
        <f>IFERROR(--SUBSTITUTE(SUBSTITUTE(TRIM(INDEX(INDIRECT("'Выгрузка'!A1055:Z1055"),Настройки!$B$7)),",","."),".",MID(1/2,2,1)),"")</f>
        <v/>
      </c>
      <c r="B1055">
        <f>IFERROR(--SUBSTITUTE(SUBSTITUTE(TRIM(INDEX(INDIRECT("'Выгрузка'!A1055:Z1055"),Настройки!$B$9)),",","."),".",MID(1/2,2,1)),"")</f>
        <v/>
      </c>
      <c r="C1055">
        <f>TRIM(INDEX(INDIRECT("'Выгрузка'!A1055:Z1055"),Настройки!$B$8)&amp;"")</f>
        <v/>
      </c>
      <c r="D1055">
        <f>IFERROR(--SUBSTITUTE(SUBSTITUTE(TRIM(INDEX(INDIRECT("'Выгрузка'!A1055:Z1055"),Настройки!$B$10)),",","."),".",MID(1/2,2,1)),"")</f>
        <v/>
      </c>
      <c r="E1055">
        <f>IFERROR(--SUBSTITUTE(SUBSTITUTE(TRIM(INDEX(INDIRECT("'Выгрузка'!A1055:Z1055"),Настройки!$B$11)),",","."),".",MID(1/2,2,1)),"")</f>
        <v/>
      </c>
      <c r="F1055">
        <f>TRIM(INDEX(INDIRECT("'Выгрузка'!A1055:Z1055"),Настройки!$B$12)&amp;"")</f>
        <v/>
      </c>
      <c r="G1055">
        <f>IF(F1055="",0,IF(TRIM(INDEX(INDIRECT("'Выгрузка'!A1055:Z1055"),Настройки!$B$13)&amp;"")="",1,IFERROR(--SUBSTITUTE(SUBSTITUTE(TRIM(INDEX(INDIRECT("'Выгрузка'!A1055:Z1055"),Настройки!$B$13)),",","."),".",MID(1/2,2,1)),"")))</f>
        <v/>
      </c>
      <c r="H1055">
        <f>IF(F1055="",0,IF(COUNTIF(Настройки!$B$17:$B$26,F1055)&gt;0,1,IF(COUNTIF(Настройки!$C$17:$C$26,F1055)&gt;0,2,IF(COUNTIF(Настройки!$D$17:$D$26,F1055)&gt;0,3,0))))</f>
        <v/>
      </c>
      <c r="I1055">
        <f>IF(AND(ISNUMBER(A1055),ISNUMBER(B1055)),A1055*1000+B1055,"")</f>
        <v/>
      </c>
      <c r="J1055">
        <f>IF(I1055="","",IF(COUNTIF(I$2:I1055,I1055)=1,MAX(J$1:J1054)+1,""))</f>
        <v/>
      </c>
    </row>
    <row r="1056">
      <c r="A1056">
        <f>IFERROR(--SUBSTITUTE(SUBSTITUTE(TRIM(INDEX(INDIRECT("'Выгрузка'!A1056:Z1056"),Настройки!$B$7)),",","."),".",MID(1/2,2,1)),"")</f>
        <v/>
      </c>
      <c r="B1056">
        <f>IFERROR(--SUBSTITUTE(SUBSTITUTE(TRIM(INDEX(INDIRECT("'Выгрузка'!A1056:Z1056"),Настройки!$B$9)),",","."),".",MID(1/2,2,1)),"")</f>
        <v/>
      </c>
      <c r="C1056">
        <f>TRIM(INDEX(INDIRECT("'Выгрузка'!A1056:Z1056"),Настройки!$B$8)&amp;"")</f>
        <v/>
      </c>
      <c r="D1056">
        <f>IFERROR(--SUBSTITUTE(SUBSTITUTE(TRIM(INDEX(INDIRECT("'Выгрузка'!A1056:Z1056"),Настройки!$B$10)),",","."),".",MID(1/2,2,1)),"")</f>
        <v/>
      </c>
      <c r="E1056">
        <f>IFERROR(--SUBSTITUTE(SUBSTITUTE(TRIM(INDEX(INDIRECT("'Выгрузка'!A1056:Z1056"),Настройки!$B$11)),",","."),".",MID(1/2,2,1)),"")</f>
        <v/>
      </c>
      <c r="F1056">
        <f>TRIM(INDEX(INDIRECT("'Выгрузка'!A1056:Z1056"),Настройки!$B$12)&amp;"")</f>
        <v/>
      </c>
      <c r="G1056">
        <f>IF(F1056="",0,IF(TRIM(INDEX(INDIRECT("'Выгрузка'!A1056:Z1056"),Настройки!$B$13)&amp;"")="",1,IFERROR(--SUBSTITUTE(SUBSTITUTE(TRIM(INDEX(INDIRECT("'Выгрузка'!A1056:Z1056"),Настройки!$B$13)),",","."),".",MID(1/2,2,1)),"")))</f>
        <v/>
      </c>
      <c r="H1056">
        <f>IF(F1056="",0,IF(COUNTIF(Настройки!$B$17:$B$26,F1056)&gt;0,1,IF(COUNTIF(Настройки!$C$17:$C$26,F1056)&gt;0,2,IF(COUNTIF(Настройки!$D$17:$D$26,F1056)&gt;0,3,0))))</f>
        <v/>
      </c>
      <c r="I1056">
        <f>IF(AND(ISNUMBER(A1056),ISNUMBER(B1056)),A1056*1000+B1056,"")</f>
        <v/>
      </c>
      <c r="J1056">
        <f>IF(I1056="","",IF(COUNTIF(I$2:I1056,I1056)=1,MAX(J$1:J1055)+1,""))</f>
        <v/>
      </c>
    </row>
    <row r="1057">
      <c r="A1057">
        <f>IFERROR(--SUBSTITUTE(SUBSTITUTE(TRIM(INDEX(INDIRECT("'Выгрузка'!A1057:Z1057"),Настройки!$B$7)),",","."),".",MID(1/2,2,1)),"")</f>
        <v/>
      </c>
      <c r="B1057">
        <f>IFERROR(--SUBSTITUTE(SUBSTITUTE(TRIM(INDEX(INDIRECT("'Выгрузка'!A1057:Z1057"),Настройки!$B$9)),",","."),".",MID(1/2,2,1)),"")</f>
        <v/>
      </c>
      <c r="C1057">
        <f>TRIM(INDEX(INDIRECT("'Выгрузка'!A1057:Z1057"),Настройки!$B$8)&amp;"")</f>
        <v/>
      </c>
      <c r="D1057">
        <f>IFERROR(--SUBSTITUTE(SUBSTITUTE(TRIM(INDEX(INDIRECT("'Выгрузка'!A1057:Z1057"),Настройки!$B$10)),",","."),".",MID(1/2,2,1)),"")</f>
        <v/>
      </c>
      <c r="E1057">
        <f>IFERROR(--SUBSTITUTE(SUBSTITUTE(TRIM(INDEX(INDIRECT("'Выгрузка'!A1057:Z1057"),Настройки!$B$11)),",","."),".",MID(1/2,2,1)),"")</f>
        <v/>
      </c>
      <c r="F1057">
        <f>TRIM(INDEX(INDIRECT("'Выгрузка'!A1057:Z1057"),Настройки!$B$12)&amp;"")</f>
        <v/>
      </c>
      <c r="G1057">
        <f>IF(F1057="",0,IF(TRIM(INDEX(INDIRECT("'Выгрузка'!A1057:Z1057"),Настройки!$B$13)&amp;"")="",1,IFERROR(--SUBSTITUTE(SUBSTITUTE(TRIM(INDEX(INDIRECT("'Выгрузка'!A1057:Z1057"),Настройки!$B$13)),",","."),".",MID(1/2,2,1)),"")))</f>
        <v/>
      </c>
      <c r="H1057">
        <f>IF(F1057="",0,IF(COUNTIF(Настройки!$B$17:$B$26,F1057)&gt;0,1,IF(COUNTIF(Настройки!$C$17:$C$26,F1057)&gt;0,2,IF(COUNTIF(Настройки!$D$17:$D$26,F1057)&gt;0,3,0))))</f>
        <v/>
      </c>
      <c r="I1057">
        <f>IF(AND(ISNUMBER(A1057),ISNUMBER(B1057)),A1057*1000+B1057,"")</f>
        <v/>
      </c>
      <c r="J1057">
        <f>IF(I1057="","",IF(COUNTIF(I$2:I1057,I1057)=1,MAX(J$1:J1056)+1,""))</f>
        <v/>
      </c>
    </row>
    <row r="1058">
      <c r="A1058">
        <f>IFERROR(--SUBSTITUTE(SUBSTITUTE(TRIM(INDEX(INDIRECT("'Выгрузка'!A1058:Z1058"),Настройки!$B$7)),",","."),".",MID(1/2,2,1)),"")</f>
        <v/>
      </c>
      <c r="B1058">
        <f>IFERROR(--SUBSTITUTE(SUBSTITUTE(TRIM(INDEX(INDIRECT("'Выгрузка'!A1058:Z1058"),Настройки!$B$9)),",","."),".",MID(1/2,2,1)),"")</f>
        <v/>
      </c>
      <c r="C1058">
        <f>TRIM(INDEX(INDIRECT("'Выгрузка'!A1058:Z1058"),Настройки!$B$8)&amp;"")</f>
        <v/>
      </c>
      <c r="D1058">
        <f>IFERROR(--SUBSTITUTE(SUBSTITUTE(TRIM(INDEX(INDIRECT("'Выгрузка'!A1058:Z1058"),Настройки!$B$10)),",","."),".",MID(1/2,2,1)),"")</f>
        <v/>
      </c>
      <c r="E1058">
        <f>IFERROR(--SUBSTITUTE(SUBSTITUTE(TRIM(INDEX(INDIRECT("'Выгрузка'!A1058:Z1058"),Настройки!$B$11)),",","."),".",MID(1/2,2,1)),"")</f>
        <v/>
      </c>
      <c r="F1058">
        <f>TRIM(INDEX(INDIRECT("'Выгрузка'!A1058:Z1058"),Настройки!$B$12)&amp;"")</f>
        <v/>
      </c>
      <c r="G1058">
        <f>IF(F1058="",0,IF(TRIM(INDEX(INDIRECT("'Выгрузка'!A1058:Z1058"),Настройки!$B$13)&amp;"")="",1,IFERROR(--SUBSTITUTE(SUBSTITUTE(TRIM(INDEX(INDIRECT("'Выгрузка'!A1058:Z1058"),Настройки!$B$13)),",","."),".",MID(1/2,2,1)),"")))</f>
        <v/>
      </c>
      <c r="H1058">
        <f>IF(F1058="",0,IF(COUNTIF(Настройки!$B$17:$B$26,F1058)&gt;0,1,IF(COUNTIF(Настройки!$C$17:$C$26,F1058)&gt;0,2,IF(COUNTIF(Настройки!$D$17:$D$26,F1058)&gt;0,3,0))))</f>
        <v/>
      </c>
      <c r="I1058">
        <f>IF(AND(ISNUMBER(A1058),ISNUMBER(B1058)),A1058*1000+B1058,"")</f>
        <v/>
      </c>
      <c r="J1058">
        <f>IF(I1058="","",IF(COUNTIF(I$2:I1058,I1058)=1,MAX(J$1:J1057)+1,""))</f>
        <v/>
      </c>
    </row>
    <row r="1059">
      <c r="A1059">
        <f>IFERROR(--SUBSTITUTE(SUBSTITUTE(TRIM(INDEX(INDIRECT("'Выгрузка'!A1059:Z1059"),Настройки!$B$7)),",","."),".",MID(1/2,2,1)),"")</f>
        <v/>
      </c>
      <c r="B1059">
        <f>IFERROR(--SUBSTITUTE(SUBSTITUTE(TRIM(INDEX(INDIRECT("'Выгрузка'!A1059:Z1059"),Настройки!$B$9)),",","."),".",MID(1/2,2,1)),"")</f>
        <v/>
      </c>
      <c r="C1059">
        <f>TRIM(INDEX(INDIRECT("'Выгрузка'!A1059:Z1059"),Настройки!$B$8)&amp;"")</f>
        <v/>
      </c>
      <c r="D1059">
        <f>IFERROR(--SUBSTITUTE(SUBSTITUTE(TRIM(INDEX(INDIRECT("'Выгрузка'!A1059:Z1059"),Настройки!$B$10)),",","."),".",MID(1/2,2,1)),"")</f>
        <v/>
      </c>
      <c r="E1059">
        <f>IFERROR(--SUBSTITUTE(SUBSTITUTE(TRIM(INDEX(INDIRECT("'Выгрузка'!A1059:Z1059"),Настройки!$B$11)),",","."),".",MID(1/2,2,1)),"")</f>
        <v/>
      </c>
      <c r="F1059">
        <f>TRIM(INDEX(INDIRECT("'Выгрузка'!A1059:Z1059"),Настройки!$B$12)&amp;"")</f>
        <v/>
      </c>
      <c r="G1059">
        <f>IF(F1059="",0,IF(TRIM(INDEX(INDIRECT("'Выгрузка'!A1059:Z1059"),Настройки!$B$13)&amp;"")="",1,IFERROR(--SUBSTITUTE(SUBSTITUTE(TRIM(INDEX(INDIRECT("'Выгрузка'!A1059:Z1059"),Настройки!$B$13)),",","."),".",MID(1/2,2,1)),"")))</f>
        <v/>
      </c>
      <c r="H1059">
        <f>IF(F1059="",0,IF(COUNTIF(Настройки!$B$17:$B$26,F1059)&gt;0,1,IF(COUNTIF(Настройки!$C$17:$C$26,F1059)&gt;0,2,IF(COUNTIF(Настройки!$D$17:$D$26,F1059)&gt;0,3,0))))</f>
        <v/>
      </c>
      <c r="I1059">
        <f>IF(AND(ISNUMBER(A1059),ISNUMBER(B1059)),A1059*1000+B1059,"")</f>
        <v/>
      </c>
      <c r="J1059">
        <f>IF(I1059="","",IF(COUNTIF(I$2:I1059,I1059)=1,MAX(J$1:J1058)+1,""))</f>
        <v/>
      </c>
    </row>
    <row r="1060">
      <c r="A1060">
        <f>IFERROR(--SUBSTITUTE(SUBSTITUTE(TRIM(INDEX(INDIRECT("'Выгрузка'!A1060:Z1060"),Настройки!$B$7)),",","."),".",MID(1/2,2,1)),"")</f>
        <v/>
      </c>
      <c r="B1060">
        <f>IFERROR(--SUBSTITUTE(SUBSTITUTE(TRIM(INDEX(INDIRECT("'Выгрузка'!A1060:Z1060"),Настройки!$B$9)),",","."),".",MID(1/2,2,1)),"")</f>
        <v/>
      </c>
      <c r="C1060">
        <f>TRIM(INDEX(INDIRECT("'Выгрузка'!A1060:Z1060"),Настройки!$B$8)&amp;"")</f>
        <v/>
      </c>
      <c r="D1060">
        <f>IFERROR(--SUBSTITUTE(SUBSTITUTE(TRIM(INDEX(INDIRECT("'Выгрузка'!A1060:Z1060"),Настройки!$B$10)),",","."),".",MID(1/2,2,1)),"")</f>
        <v/>
      </c>
      <c r="E1060">
        <f>IFERROR(--SUBSTITUTE(SUBSTITUTE(TRIM(INDEX(INDIRECT("'Выгрузка'!A1060:Z1060"),Настройки!$B$11)),",","."),".",MID(1/2,2,1)),"")</f>
        <v/>
      </c>
      <c r="F1060">
        <f>TRIM(INDEX(INDIRECT("'Выгрузка'!A1060:Z1060"),Настройки!$B$12)&amp;"")</f>
        <v/>
      </c>
      <c r="G1060">
        <f>IF(F1060="",0,IF(TRIM(INDEX(INDIRECT("'Выгрузка'!A1060:Z1060"),Настройки!$B$13)&amp;"")="",1,IFERROR(--SUBSTITUTE(SUBSTITUTE(TRIM(INDEX(INDIRECT("'Выгрузка'!A1060:Z1060"),Настройки!$B$13)),",","."),".",MID(1/2,2,1)),"")))</f>
        <v/>
      </c>
      <c r="H1060">
        <f>IF(F1060="",0,IF(COUNTIF(Настройки!$B$17:$B$26,F1060)&gt;0,1,IF(COUNTIF(Настройки!$C$17:$C$26,F1060)&gt;0,2,IF(COUNTIF(Настройки!$D$17:$D$26,F1060)&gt;0,3,0))))</f>
        <v/>
      </c>
      <c r="I1060">
        <f>IF(AND(ISNUMBER(A1060),ISNUMBER(B1060)),A1060*1000+B1060,"")</f>
        <v/>
      </c>
      <c r="J1060">
        <f>IF(I1060="","",IF(COUNTIF(I$2:I1060,I1060)=1,MAX(J$1:J1059)+1,""))</f>
        <v/>
      </c>
    </row>
    <row r="1061">
      <c r="A1061">
        <f>IFERROR(--SUBSTITUTE(SUBSTITUTE(TRIM(INDEX(INDIRECT("'Выгрузка'!A1061:Z1061"),Настройки!$B$7)),",","."),".",MID(1/2,2,1)),"")</f>
        <v/>
      </c>
      <c r="B1061">
        <f>IFERROR(--SUBSTITUTE(SUBSTITUTE(TRIM(INDEX(INDIRECT("'Выгрузка'!A1061:Z1061"),Настройки!$B$9)),",","."),".",MID(1/2,2,1)),"")</f>
        <v/>
      </c>
      <c r="C1061">
        <f>TRIM(INDEX(INDIRECT("'Выгрузка'!A1061:Z1061"),Настройки!$B$8)&amp;"")</f>
        <v/>
      </c>
      <c r="D1061">
        <f>IFERROR(--SUBSTITUTE(SUBSTITUTE(TRIM(INDEX(INDIRECT("'Выгрузка'!A1061:Z1061"),Настройки!$B$10)),",","."),".",MID(1/2,2,1)),"")</f>
        <v/>
      </c>
      <c r="E1061">
        <f>IFERROR(--SUBSTITUTE(SUBSTITUTE(TRIM(INDEX(INDIRECT("'Выгрузка'!A1061:Z1061"),Настройки!$B$11)),",","."),".",MID(1/2,2,1)),"")</f>
        <v/>
      </c>
      <c r="F1061">
        <f>TRIM(INDEX(INDIRECT("'Выгрузка'!A1061:Z1061"),Настройки!$B$12)&amp;"")</f>
        <v/>
      </c>
      <c r="G1061">
        <f>IF(F1061="",0,IF(TRIM(INDEX(INDIRECT("'Выгрузка'!A1061:Z1061"),Настройки!$B$13)&amp;"")="",1,IFERROR(--SUBSTITUTE(SUBSTITUTE(TRIM(INDEX(INDIRECT("'Выгрузка'!A1061:Z1061"),Настройки!$B$13)),",","."),".",MID(1/2,2,1)),"")))</f>
        <v/>
      </c>
      <c r="H1061">
        <f>IF(F1061="",0,IF(COUNTIF(Настройки!$B$17:$B$26,F1061)&gt;0,1,IF(COUNTIF(Настройки!$C$17:$C$26,F1061)&gt;0,2,IF(COUNTIF(Настройки!$D$17:$D$26,F1061)&gt;0,3,0))))</f>
        <v/>
      </c>
      <c r="I1061">
        <f>IF(AND(ISNUMBER(A1061),ISNUMBER(B1061)),A1061*1000+B1061,"")</f>
        <v/>
      </c>
      <c r="J1061">
        <f>IF(I1061="","",IF(COUNTIF(I$2:I1061,I1061)=1,MAX(J$1:J1060)+1,""))</f>
        <v/>
      </c>
    </row>
    <row r="1062">
      <c r="A1062">
        <f>IFERROR(--SUBSTITUTE(SUBSTITUTE(TRIM(INDEX(INDIRECT("'Выгрузка'!A1062:Z1062"),Настройки!$B$7)),",","."),".",MID(1/2,2,1)),"")</f>
        <v/>
      </c>
      <c r="B1062">
        <f>IFERROR(--SUBSTITUTE(SUBSTITUTE(TRIM(INDEX(INDIRECT("'Выгрузка'!A1062:Z1062"),Настройки!$B$9)),",","."),".",MID(1/2,2,1)),"")</f>
        <v/>
      </c>
      <c r="C1062">
        <f>TRIM(INDEX(INDIRECT("'Выгрузка'!A1062:Z1062"),Настройки!$B$8)&amp;"")</f>
        <v/>
      </c>
      <c r="D1062">
        <f>IFERROR(--SUBSTITUTE(SUBSTITUTE(TRIM(INDEX(INDIRECT("'Выгрузка'!A1062:Z1062"),Настройки!$B$10)),",","."),".",MID(1/2,2,1)),"")</f>
        <v/>
      </c>
      <c r="E1062">
        <f>IFERROR(--SUBSTITUTE(SUBSTITUTE(TRIM(INDEX(INDIRECT("'Выгрузка'!A1062:Z1062"),Настройки!$B$11)),",","."),".",MID(1/2,2,1)),"")</f>
        <v/>
      </c>
      <c r="F1062">
        <f>TRIM(INDEX(INDIRECT("'Выгрузка'!A1062:Z1062"),Настройки!$B$12)&amp;"")</f>
        <v/>
      </c>
      <c r="G1062">
        <f>IF(F1062="",0,IF(TRIM(INDEX(INDIRECT("'Выгрузка'!A1062:Z1062"),Настройки!$B$13)&amp;"")="",1,IFERROR(--SUBSTITUTE(SUBSTITUTE(TRIM(INDEX(INDIRECT("'Выгрузка'!A1062:Z1062"),Настройки!$B$13)),",","."),".",MID(1/2,2,1)),"")))</f>
        <v/>
      </c>
      <c r="H1062">
        <f>IF(F1062="",0,IF(COUNTIF(Настройки!$B$17:$B$26,F1062)&gt;0,1,IF(COUNTIF(Настройки!$C$17:$C$26,F1062)&gt;0,2,IF(COUNTIF(Настройки!$D$17:$D$26,F1062)&gt;0,3,0))))</f>
        <v/>
      </c>
      <c r="I1062">
        <f>IF(AND(ISNUMBER(A1062),ISNUMBER(B1062)),A1062*1000+B1062,"")</f>
        <v/>
      </c>
      <c r="J1062">
        <f>IF(I1062="","",IF(COUNTIF(I$2:I1062,I1062)=1,MAX(J$1:J1061)+1,""))</f>
        <v/>
      </c>
    </row>
    <row r="1063">
      <c r="A1063">
        <f>IFERROR(--SUBSTITUTE(SUBSTITUTE(TRIM(INDEX(INDIRECT("'Выгрузка'!A1063:Z1063"),Настройки!$B$7)),",","."),".",MID(1/2,2,1)),"")</f>
        <v/>
      </c>
      <c r="B1063">
        <f>IFERROR(--SUBSTITUTE(SUBSTITUTE(TRIM(INDEX(INDIRECT("'Выгрузка'!A1063:Z1063"),Настройки!$B$9)),",","."),".",MID(1/2,2,1)),"")</f>
        <v/>
      </c>
      <c r="C1063">
        <f>TRIM(INDEX(INDIRECT("'Выгрузка'!A1063:Z1063"),Настройки!$B$8)&amp;"")</f>
        <v/>
      </c>
      <c r="D1063">
        <f>IFERROR(--SUBSTITUTE(SUBSTITUTE(TRIM(INDEX(INDIRECT("'Выгрузка'!A1063:Z1063"),Настройки!$B$10)),",","."),".",MID(1/2,2,1)),"")</f>
        <v/>
      </c>
      <c r="E1063">
        <f>IFERROR(--SUBSTITUTE(SUBSTITUTE(TRIM(INDEX(INDIRECT("'Выгрузка'!A1063:Z1063"),Настройки!$B$11)),",","."),".",MID(1/2,2,1)),"")</f>
        <v/>
      </c>
      <c r="F1063">
        <f>TRIM(INDEX(INDIRECT("'Выгрузка'!A1063:Z1063"),Настройки!$B$12)&amp;"")</f>
        <v/>
      </c>
      <c r="G1063">
        <f>IF(F1063="",0,IF(TRIM(INDEX(INDIRECT("'Выгрузка'!A1063:Z1063"),Настройки!$B$13)&amp;"")="",1,IFERROR(--SUBSTITUTE(SUBSTITUTE(TRIM(INDEX(INDIRECT("'Выгрузка'!A1063:Z1063"),Настройки!$B$13)),",","."),".",MID(1/2,2,1)),"")))</f>
        <v/>
      </c>
      <c r="H1063">
        <f>IF(F1063="",0,IF(COUNTIF(Настройки!$B$17:$B$26,F1063)&gt;0,1,IF(COUNTIF(Настройки!$C$17:$C$26,F1063)&gt;0,2,IF(COUNTIF(Настройки!$D$17:$D$26,F1063)&gt;0,3,0))))</f>
        <v/>
      </c>
      <c r="I1063">
        <f>IF(AND(ISNUMBER(A1063),ISNUMBER(B1063)),A1063*1000+B1063,"")</f>
        <v/>
      </c>
      <c r="J1063">
        <f>IF(I1063="","",IF(COUNTIF(I$2:I1063,I1063)=1,MAX(J$1:J1062)+1,""))</f>
        <v/>
      </c>
    </row>
    <row r="1064">
      <c r="A1064">
        <f>IFERROR(--SUBSTITUTE(SUBSTITUTE(TRIM(INDEX(INDIRECT("'Выгрузка'!A1064:Z1064"),Настройки!$B$7)),",","."),".",MID(1/2,2,1)),"")</f>
        <v/>
      </c>
      <c r="B1064">
        <f>IFERROR(--SUBSTITUTE(SUBSTITUTE(TRIM(INDEX(INDIRECT("'Выгрузка'!A1064:Z1064"),Настройки!$B$9)),",","."),".",MID(1/2,2,1)),"")</f>
        <v/>
      </c>
      <c r="C1064">
        <f>TRIM(INDEX(INDIRECT("'Выгрузка'!A1064:Z1064"),Настройки!$B$8)&amp;"")</f>
        <v/>
      </c>
      <c r="D1064">
        <f>IFERROR(--SUBSTITUTE(SUBSTITUTE(TRIM(INDEX(INDIRECT("'Выгрузка'!A1064:Z1064"),Настройки!$B$10)),",","."),".",MID(1/2,2,1)),"")</f>
        <v/>
      </c>
      <c r="E1064">
        <f>IFERROR(--SUBSTITUTE(SUBSTITUTE(TRIM(INDEX(INDIRECT("'Выгрузка'!A1064:Z1064"),Настройки!$B$11)),",","."),".",MID(1/2,2,1)),"")</f>
        <v/>
      </c>
      <c r="F1064">
        <f>TRIM(INDEX(INDIRECT("'Выгрузка'!A1064:Z1064"),Настройки!$B$12)&amp;"")</f>
        <v/>
      </c>
      <c r="G1064">
        <f>IF(F1064="",0,IF(TRIM(INDEX(INDIRECT("'Выгрузка'!A1064:Z1064"),Настройки!$B$13)&amp;"")="",1,IFERROR(--SUBSTITUTE(SUBSTITUTE(TRIM(INDEX(INDIRECT("'Выгрузка'!A1064:Z1064"),Настройки!$B$13)),",","."),".",MID(1/2,2,1)),"")))</f>
        <v/>
      </c>
      <c r="H1064">
        <f>IF(F1064="",0,IF(COUNTIF(Настройки!$B$17:$B$26,F1064)&gt;0,1,IF(COUNTIF(Настройки!$C$17:$C$26,F1064)&gt;0,2,IF(COUNTIF(Настройки!$D$17:$D$26,F1064)&gt;0,3,0))))</f>
        <v/>
      </c>
      <c r="I1064">
        <f>IF(AND(ISNUMBER(A1064),ISNUMBER(B1064)),A1064*1000+B1064,"")</f>
        <v/>
      </c>
      <c r="J1064">
        <f>IF(I1064="","",IF(COUNTIF(I$2:I1064,I1064)=1,MAX(J$1:J1063)+1,""))</f>
        <v/>
      </c>
    </row>
    <row r="1065">
      <c r="A1065">
        <f>IFERROR(--SUBSTITUTE(SUBSTITUTE(TRIM(INDEX(INDIRECT("'Выгрузка'!A1065:Z1065"),Настройки!$B$7)),",","."),".",MID(1/2,2,1)),"")</f>
        <v/>
      </c>
      <c r="B1065">
        <f>IFERROR(--SUBSTITUTE(SUBSTITUTE(TRIM(INDEX(INDIRECT("'Выгрузка'!A1065:Z1065"),Настройки!$B$9)),",","."),".",MID(1/2,2,1)),"")</f>
        <v/>
      </c>
      <c r="C1065">
        <f>TRIM(INDEX(INDIRECT("'Выгрузка'!A1065:Z1065"),Настройки!$B$8)&amp;"")</f>
        <v/>
      </c>
      <c r="D1065">
        <f>IFERROR(--SUBSTITUTE(SUBSTITUTE(TRIM(INDEX(INDIRECT("'Выгрузка'!A1065:Z1065"),Настройки!$B$10)),",","."),".",MID(1/2,2,1)),"")</f>
        <v/>
      </c>
      <c r="E1065">
        <f>IFERROR(--SUBSTITUTE(SUBSTITUTE(TRIM(INDEX(INDIRECT("'Выгрузка'!A1065:Z1065"),Настройки!$B$11)),",","."),".",MID(1/2,2,1)),"")</f>
        <v/>
      </c>
      <c r="F1065">
        <f>TRIM(INDEX(INDIRECT("'Выгрузка'!A1065:Z1065"),Настройки!$B$12)&amp;"")</f>
        <v/>
      </c>
      <c r="G1065">
        <f>IF(F1065="",0,IF(TRIM(INDEX(INDIRECT("'Выгрузка'!A1065:Z1065"),Настройки!$B$13)&amp;"")="",1,IFERROR(--SUBSTITUTE(SUBSTITUTE(TRIM(INDEX(INDIRECT("'Выгрузка'!A1065:Z1065"),Настройки!$B$13)),",","."),".",MID(1/2,2,1)),"")))</f>
        <v/>
      </c>
      <c r="H1065">
        <f>IF(F1065="",0,IF(COUNTIF(Настройки!$B$17:$B$26,F1065)&gt;0,1,IF(COUNTIF(Настройки!$C$17:$C$26,F1065)&gt;0,2,IF(COUNTIF(Настройки!$D$17:$D$26,F1065)&gt;0,3,0))))</f>
        <v/>
      </c>
      <c r="I1065">
        <f>IF(AND(ISNUMBER(A1065),ISNUMBER(B1065)),A1065*1000+B1065,"")</f>
        <v/>
      </c>
      <c r="J1065">
        <f>IF(I1065="","",IF(COUNTIF(I$2:I1065,I1065)=1,MAX(J$1:J1064)+1,""))</f>
        <v/>
      </c>
    </row>
    <row r="1066">
      <c r="A1066">
        <f>IFERROR(--SUBSTITUTE(SUBSTITUTE(TRIM(INDEX(INDIRECT("'Выгрузка'!A1066:Z1066"),Настройки!$B$7)),",","."),".",MID(1/2,2,1)),"")</f>
        <v/>
      </c>
      <c r="B1066">
        <f>IFERROR(--SUBSTITUTE(SUBSTITUTE(TRIM(INDEX(INDIRECT("'Выгрузка'!A1066:Z1066"),Настройки!$B$9)),",","."),".",MID(1/2,2,1)),"")</f>
        <v/>
      </c>
      <c r="C1066">
        <f>TRIM(INDEX(INDIRECT("'Выгрузка'!A1066:Z1066"),Настройки!$B$8)&amp;"")</f>
        <v/>
      </c>
      <c r="D1066">
        <f>IFERROR(--SUBSTITUTE(SUBSTITUTE(TRIM(INDEX(INDIRECT("'Выгрузка'!A1066:Z1066"),Настройки!$B$10)),",","."),".",MID(1/2,2,1)),"")</f>
        <v/>
      </c>
      <c r="E1066">
        <f>IFERROR(--SUBSTITUTE(SUBSTITUTE(TRIM(INDEX(INDIRECT("'Выгрузка'!A1066:Z1066"),Настройки!$B$11)),",","."),".",MID(1/2,2,1)),"")</f>
        <v/>
      </c>
      <c r="F1066">
        <f>TRIM(INDEX(INDIRECT("'Выгрузка'!A1066:Z1066"),Настройки!$B$12)&amp;"")</f>
        <v/>
      </c>
      <c r="G1066">
        <f>IF(F1066="",0,IF(TRIM(INDEX(INDIRECT("'Выгрузка'!A1066:Z1066"),Настройки!$B$13)&amp;"")="",1,IFERROR(--SUBSTITUTE(SUBSTITUTE(TRIM(INDEX(INDIRECT("'Выгрузка'!A1066:Z1066"),Настройки!$B$13)),",","."),".",MID(1/2,2,1)),"")))</f>
        <v/>
      </c>
      <c r="H1066">
        <f>IF(F1066="",0,IF(COUNTIF(Настройки!$B$17:$B$26,F1066)&gt;0,1,IF(COUNTIF(Настройки!$C$17:$C$26,F1066)&gt;0,2,IF(COUNTIF(Настройки!$D$17:$D$26,F1066)&gt;0,3,0))))</f>
        <v/>
      </c>
      <c r="I1066">
        <f>IF(AND(ISNUMBER(A1066),ISNUMBER(B1066)),A1066*1000+B1066,"")</f>
        <v/>
      </c>
      <c r="J1066">
        <f>IF(I1066="","",IF(COUNTIF(I$2:I1066,I1066)=1,MAX(J$1:J1065)+1,""))</f>
        <v/>
      </c>
    </row>
    <row r="1067">
      <c r="A1067">
        <f>IFERROR(--SUBSTITUTE(SUBSTITUTE(TRIM(INDEX(INDIRECT("'Выгрузка'!A1067:Z1067"),Настройки!$B$7)),",","."),".",MID(1/2,2,1)),"")</f>
        <v/>
      </c>
      <c r="B1067">
        <f>IFERROR(--SUBSTITUTE(SUBSTITUTE(TRIM(INDEX(INDIRECT("'Выгрузка'!A1067:Z1067"),Настройки!$B$9)),",","."),".",MID(1/2,2,1)),"")</f>
        <v/>
      </c>
      <c r="C1067">
        <f>TRIM(INDEX(INDIRECT("'Выгрузка'!A1067:Z1067"),Настройки!$B$8)&amp;"")</f>
        <v/>
      </c>
      <c r="D1067">
        <f>IFERROR(--SUBSTITUTE(SUBSTITUTE(TRIM(INDEX(INDIRECT("'Выгрузка'!A1067:Z1067"),Настройки!$B$10)),",","."),".",MID(1/2,2,1)),"")</f>
        <v/>
      </c>
      <c r="E1067">
        <f>IFERROR(--SUBSTITUTE(SUBSTITUTE(TRIM(INDEX(INDIRECT("'Выгрузка'!A1067:Z1067"),Настройки!$B$11)),",","."),".",MID(1/2,2,1)),"")</f>
        <v/>
      </c>
      <c r="F1067">
        <f>TRIM(INDEX(INDIRECT("'Выгрузка'!A1067:Z1067"),Настройки!$B$12)&amp;"")</f>
        <v/>
      </c>
      <c r="G1067">
        <f>IF(F1067="",0,IF(TRIM(INDEX(INDIRECT("'Выгрузка'!A1067:Z1067"),Настройки!$B$13)&amp;"")="",1,IFERROR(--SUBSTITUTE(SUBSTITUTE(TRIM(INDEX(INDIRECT("'Выгрузка'!A1067:Z1067"),Настройки!$B$13)),",","."),".",MID(1/2,2,1)),"")))</f>
        <v/>
      </c>
      <c r="H1067">
        <f>IF(F1067="",0,IF(COUNTIF(Настройки!$B$17:$B$26,F1067)&gt;0,1,IF(COUNTIF(Настройки!$C$17:$C$26,F1067)&gt;0,2,IF(COUNTIF(Настройки!$D$17:$D$26,F1067)&gt;0,3,0))))</f>
        <v/>
      </c>
      <c r="I1067">
        <f>IF(AND(ISNUMBER(A1067),ISNUMBER(B1067)),A1067*1000+B1067,"")</f>
        <v/>
      </c>
      <c r="J1067">
        <f>IF(I1067="","",IF(COUNTIF(I$2:I1067,I1067)=1,MAX(J$1:J1066)+1,""))</f>
        <v/>
      </c>
    </row>
    <row r="1068">
      <c r="A1068">
        <f>IFERROR(--SUBSTITUTE(SUBSTITUTE(TRIM(INDEX(INDIRECT("'Выгрузка'!A1068:Z1068"),Настройки!$B$7)),",","."),".",MID(1/2,2,1)),"")</f>
        <v/>
      </c>
      <c r="B1068">
        <f>IFERROR(--SUBSTITUTE(SUBSTITUTE(TRIM(INDEX(INDIRECT("'Выгрузка'!A1068:Z1068"),Настройки!$B$9)),",","."),".",MID(1/2,2,1)),"")</f>
        <v/>
      </c>
      <c r="C1068">
        <f>TRIM(INDEX(INDIRECT("'Выгрузка'!A1068:Z1068"),Настройки!$B$8)&amp;"")</f>
        <v/>
      </c>
      <c r="D1068">
        <f>IFERROR(--SUBSTITUTE(SUBSTITUTE(TRIM(INDEX(INDIRECT("'Выгрузка'!A1068:Z1068"),Настройки!$B$10)),",","."),".",MID(1/2,2,1)),"")</f>
        <v/>
      </c>
      <c r="E1068">
        <f>IFERROR(--SUBSTITUTE(SUBSTITUTE(TRIM(INDEX(INDIRECT("'Выгрузка'!A1068:Z1068"),Настройки!$B$11)),",","."),".",MID(1/2,2,1)),"")</f>
        <v/>
      </c>
      <c r="F1068">
        <f>TRIM(INDEX(INDIRECT("'Выгрузка'!A1068:Z1068"),Настройки!$B$12)&amp;"")</f>
        <v/>
      </c>
      <c r="G1068">
        <f>IF(F1068="",0,IF(TRIM(INDEX(INDIRECT("'Выгрузка'!A1068:Z1068"),Настройки!$B$13)&amp;"")="",1,IFERROR(--SUBSTITUTE(SUBSTITUTE(TRIM(INDEX(INDIRECT("'Выгрузка'!A1068:Z1068"),Настройки!$B$13)),",","."),".",MID(1/2,2,1)),"")))</f>
        <v/>
      </c>
      <c r="H1068">
        <f>IF(F1068="",0,IF(COUNTIF(Настройки!$B$17:$B$26,F1068)&gt;0,1,IF(COUNTIF(Настройки!$C$17:$C$26,F1068)&gt;0,2,IF(COUNTIF(Настройки!$D$17:$D$26,F1068)&gt;0,3,0))))</f>
        <v/>
      </c>
      <c r="I1068">
        <f>IF(AND(ISNUMBER(A1068),ISNUMBER(B1068)),A1068*1000+B1068,"")</f>
        <v/>
      </c>
      <c r="J1068">
        <f>IF(I1068="","",IF(COUNTIF(I$2:I1068,I1068)=1,MAX(J$1:J1067)+1,""))</f>
        <v/>
      </c>
    </row>
    <row r="1069">
      <c r="A1069">
        <f>IFERROR(--SUBSTITUTE(SUBSTITUTE(TRIM(INDEX(INDIRECT("'Выгрузка'!A1069:Z1069"),Настройки!$B$7)),",","."),".",MID(1/2,2,1)),"")</f>
        <v/>
      </c>
      <c r="B1069">
        <f>IFERROR(--SUBSTITUTE(SUBSTITUTE(TRIM(INDEX(INDIRECT("'Выгрузка'!A1069:Z1069"),Настройки!$B$9)),",","."),".",MID(1/2,2,1)),"")</f>
        <v/>
      </c>
      <c r="C1069">
        <f>TRIM(INDEX(INDIRECT("'Выгрузка'!A1069:Z1069"),Настройки!$B$8)&amp;"")</f>
        <v/>
      </c>
      <c r="D1069">
        <f>IFERROR(--SUBSTITUTE(SUBSTITUTE(TRIM(INDEX(INDIRECT("'Выгрузка'!A1069:Z1069"),Настройки!$B$10)),",","."),".",MID(1/2,2,1)),"")</f>
        <v/>
      </c>
      <c r="E1069">
        <f>IFERROR(--SUBSTITUTE(SUBSTITUTE(TRIM(INDEX(INDIRECT("'Выгрузка'!A1069:Z1069"),Настройки!$B$11)),",","."),".",MID(1/2,2,1)),"")</f>
        <v/>
      </c>
      <c r="F1069">
        <f>TRIM(INDEX(INDIRECT("'Выгрузка'!A1069:Z1069"),Настройки!$B$12)&amp;"")</f>
        <v/>
      </c>
      <c r="G1069">
        <f>IF(F1069="",0,IF(TRIM(INDEX(INDIRECT("'Выгрузка'!A1069:Z1069"),Настройки!$B$13)&amp;"")="",1,IFERROR(--SUBSTITUTE(SUBSTITUTE(TRIM(INDEX(INDIRECT("'Выгрузка'!A1069:Z1069"),Настройки!$B$13)),",","."),".",MID(1/2,2,1)),"")))</f>
        <v/>
      </c>
      <c r="H1069">
        <f>IF(F1069="",0,IF(COUNTIF(Настройки!$B$17:$B$26,F1069)&gt;0,1,IF(COUNTIF(Настройки!$C$17:$C$26,F1069)&gt;0,2,IF(COUNTIF(Настройки!$D$17:$D$26,F1069)&gt;0,3,0))))</f>
        <v/>
      </c>
      <c r="I1069">
        <f>IF(AND(ISNUMBER(A1069),ISNUMBER(B1069)),A1069*1000+B1069,"")</f>
        <v/>
      </c>
      <c r="J1069">
        <f>IF(I1069="","",IF(COUNTIF(I$2:I1069,I1069)=1,MAX(J$1:J1068)+1,""))</f>
        <v/>
      </c>
    </row>
    <row r="1070">
      <c r="A1070">
        <f>IFERROR(--SUBSTITUTE(SUBSTITUTE(TRIM(INDEX(INDIRECT("'Выгрузка'!A1070:Z1070"),Настройки!$B$7)),",","."),".",MID(1/2,2,1)),"")</f>
        <v/>
      </c>
      <c r="B1070">
        <f>IFERROR(--SUBSTITUTE(SUBSTITUTE(TRIM(INDEX(INDIRECT("'Выгрузка'!A1070:Z1070"),Настройки!$B$9)),",","."),".",MID(1/2,2,1)),"")</f>
        <v/>
      </c>
      <c r="C1070">
        <f>TRIM(INDEX(INDIRECT("'Выгрузка'!A1070:Z1070"),Настройки!$B$8)&amp;"")</f>
        <v/>
      </c>
      <c r="D1070">
        <f>IFERROR(--SUBSTITUTE(SUBSTITUTE(TRIM(INDEX(INDIRECT("'Выгрузка'!A1070:Z1070"),Настройки!$B$10)),",","."),".",MID(1/2,2,1)),"")</f>
        <v/>
      </c>
      <c r="E1070">
        <f>IFERROR(--SUBSTITUTE(SUBSTITUTE(TRIM(INDEX(INDIRECT("'Выгрузка'!A1070:Z1070"),Настройки!$B$11)),",","."),".",MID(1/2,2,1)),"")</f>
        <v/>
      </c>
      <c r="F1070">
        <f>TRIM(INDEX(INDIRECT("'Выгрузка'!A1070:Z1070"),Настройки!$B$12)&amp;"")</f>
        <v/>
      </c>
      <c r="G1070">
        <f>IF(F1070="",0,IF(TRIM(INDEX(INDIRECT("'Выгрузка'!A1070:Z1070"),Настройки!$B$13)&amp;"")="",1,IFERROR(--SUBSTITUTE(SUBSTITUTE(TRIM(INDEX(INDIRECT("'Выгрузка'!A1070:Z1070"),Настройки!$B$13)),",","."),".",MID(1/2,2,1)),"")))</f>
        <v/>
      </c>
      <c r="H1070">
        <f>IF(F1070="",0,IF(COUNTIF(Настройки!$B$17:$B$26,F1070)&gt;0,1,IF(COUNTIF(Настройки!$C$17:$C$26,F1070)&gt;0,2,IF(COUNTIF(Настройки!$D$17:$D$26,F1070)&gt;0,3,0))))</f>
        <v/>
      </c>
      <c r="I1070">
        <f>IF(AND(ISNUMBER(A1070),ISNUMBER(B1070)),A1070*1000+B1070,"")</f>
        <v/>
      </c>
      <c r="J1070">
        <f>IF(I1070="","",IF(COUNTIF(I$2:I1070,I1070)=1,MAX(J$1:J1069)+1,""))</f>
        <v/>
      </c>
    </row>
    <row r="1071">
      <c r="A1071">
        <f>IFERROR(--SUBSTITUTE(SUBSTITUTE(TRIM(INDEX(INDIRECT("'Выгрузка'!A1071:Z1071"),Настройки!$B$7)),",","."),".",MID(1/2,2,1)),"")</f>
        <v/>
      </c>
      <c r="B1071">
        <f>IFERROR(--SUBSTITUTE(SUBSTITUTE(TRIM(INDEX(INDIRECT("'Выгрузка'!A1071:Z1071"),Настройки!$B$9)),",","."),".",MID(1/2,2,1)),"")</f>
        <v/>
      </c>
      <c r="C1071">
        <f>TRIM(INDEX(INDIRECT("'Выгрузка'!A1071:Z1071"),Настройки!$B$8)&amp;"")</f>
        <v/>
      </c>
      <c r="D1071">
        <f>IFERROR(--SUBSTITUTE(SUBSTITUTE(TRIM(INDEX(INDIRECT("'Выгрузка'!A1071:Z1071"),Настройки!$B$10)),",","."),".",MID(1/2,2,1)),"")</f>
        <v/>
      </c>
      <c r="E1071">
        <f>IFERROR(--SUBSTITUTE(SUBSTITUTE(TRIM(INDEX(INDIRECT("'Выгрузка'!A1071:Z1071"),Настройки!$B$11)),",","."),".",MID(1/2,2,1)),"")</f>
        <v/>
      </c>
      <c r="F1071">
        <f>TRIM(INDEX(INDIRECT("'Выгрузка'!A1071:Z1071"),Настройки!$B$12)&amp;"")</f>
        <v/>
      </c>
      <c r="G1071">
        <f>IF(F1071="",0,IF(TRIM(INDEX(INDIRECT("'Выгрузка'!A1071:Z1071"),Настройки!$B$13)&amp;"")="",1,IFERROR(--SUBSTITUTE(SUBSTITUTE(TRIM(INDEX(INDIRECT("'Выгрузка'!A1071:Z1071"),Настройки!$B$13)),",","."),".",MID(1/2,2,1)),"")))</f>
        <v/>
      </c>
      <c r="H1071">
        <f>IF(F1071="",0,IF(COUNTIF(Настройки!$B$17:$B$26,F1071)&gt;0,1,IF(COUNTIF(Настройки!$C$17:$C$26,F1071)&gt;0,2,IF(COUNTIF(Настройки!$D$17:$D$26,F1071)&gt;0,3,0))))</f>
        <v/>
      </c>
      <c r="I1071">
        <f>IF(AND(ISNUMBER(A1071),ISNUMBER(B1071)),A1071*1000+B1071,"")</f>
        <v/>
      </c>
      <c r="J1071">
        <f>IF(I1071="","",IF(COUNTIF(I$2:I1071,I1071)=1,MAX(J$1:J1070)+1,""))</f>
        <v/>
      </c>
    </row>
    <row r="1072">
      <c r="A1072">
        <f>IFERROR(--SUBSTITUTE(SUBSTITUTE(TRIM(INDEX(INDIRECT("'Выгрузка'!A1072:Z1072"),Настройки!$B$7)),",","."),".",MID(1/2,2,1)),"")</f>
        <v/>
      </c>
      <c r="B1072">
        <f>IFERROR(--SUBSTITUTE(SUBSTITUTE(TRIM(INDEX(INDIRECT("'Выгрузка'!A1072:Z1072"),Настройки!$B$9)),",","."),".",MID(1/2,2,1)),"")</f>
        <v/>
      </c>
      <c r="C1072">
        <f>TRIM(INDEX(INDIRECT("'Выгрузка'!A1072:Z1072"),Настройки!$B$8)&amp;"")</f>
        <v/>
      </c>
      <c r="D1072">
        <f>IFERROR(--SUBSTITUTE(SUBSTITUTE(TRIM(INDEX(INDIRECT("'Выгрузка'!A1072:Z1072"),Настройки!$B$10)),",","."),".",MID(1/2,2,1)),"")</f>
        <v/>
      </c>
      <c r="E1072">
        <f>IFERROR(--SUBSTITUTE(SUBSTITUTE(TRIM(INDEX(INDIRECT("'Выгрузка'!A1072:Z1072"),Настройки!$B$11)),",","."),".",MID(1/2,2,1)),"")</f>
        <v/>
      </c>
      <c r="F1072">
        <f>TRIM(INDEX(INDIRECT("'Выгрузка'!A1072:Z1072"),Настройки!$B$12)&amp;"")</f>
        <v/>
      </c>
      <c r="G1072">
        <f>IF(F1072="",0,IF(TRIM(INDEX(INDIRECT("'Выгрузка'!A1072:Z1072"),Настройки!$B$13)&amp;"")="",1,IFERROR(--SUBSTITUTE(SUBSTITUTE(TRIM(INDEX(INDIRECT("'Выгрузка'!A1072:Z1072"),Настройки!$B$13)),",","."),".",MID(1/2,2,1)),"")))</f>
        <v/>
      </c>
      <c r="H1072">
        <f>IF(F1072="",0,IF(COUNTIF(Настройки!$B$17:$B$26,F1072)&gt;0,1,IF(COUNTIF(Настройки!$C$17:$C$26,F1072)&gt;0,2,IF(COUNTIF(Настройки!$D$17:$D$26,F1072)&gt;0,3,0))))</f>
        <v/>
      </c>
      <c r="I1072">
        <f>IF(AND(ISNUMBER(A1072),ISNUMBER(B1072)),A1072*1000+B1072,"")</f>
        <v/>
      </c>
      <c r="J1072">
        <f>IF(I1072="","",IF(COUNTIF(I$2:I1072,I1072)=1,MAX(J$1:J1071)+1,""))</f>
        <v/>
      </c>
    </row>
    <row r="1073">
      <c r="A1073">
        <f>IFERROR(--SUBSTITUTE(SUBSTITUTE(TRIM(INDEX(INDIRECT("'Выгрузка'!A1073:Z1073"),Настройки!$B$7)),",","."),".",MID(1/2,2,1)),"")</f>
        <v/>
      </c>
      <c r="B1073">
        <f>IFERROR(--SUBSTITUTE(SUBSTITUTE(TRIM(INDEX(INDIRECT("'Выгрузка'!A1073:Z1073"),Настройки!$B$9)),",","."),".",MID(1/2,2,1)),"")</f>
        <v/>
      </c>
      <c r="C1073">
        <f>TRIM(INDEX(INDIRECT("'Выгрузка'!A1073:Z1073"),Настройки!$B$8)&amp;"")</f>
        <v/>
      </c>
      <c r="D1073">
        <f>IFERROR(--SUBSTITUTE(SUBSTITUTE(TRIM(INDEX(INDIRECT("'Выгрузка'!A1073:Z1073"),Настройки!$B$10)),",","."),".",MID(1/2,2,1)),"")</f>
        <v/>
      </c>
      <c r="E1073">
        <f>IFERROR(--SUBSTITUTE(SUBSTITUTE(TRIM(INDEX(INDIRECT("'Выгрузка'!A1073:Z1073"),Настройки!$B$11)),",","."),".",MID(1/2,2,1)),"")</f>
        <v/>
      </c>
      <c r="F1073">
        <f>TRIM(INDEX(INDIRECT("'Выгрузка'!A1073:Z1073"),Настройки!$B$12)&amp;"")</f>
        <v/>
      </c>
      <c r="G1073">
        <f>IF(F1073="",0,IF(TRIM(INDEX(INDIRECT("'Выгрузка'!A1073:Z1073"),Настройки!$B$13)&amp;"")="",1,IFERROR(--SUBSTITUTE(SUBSTITUTE(TRIM(INDEX(INDIRECT("'Выгрузка'!A1073:Z1073"),Настройки!$B$13)),",","."),".",MID(1/2,2,1)),"")))</f>
        <v/>
      </c>
      <c r="H1073">
        <f>IF(F1073="",0,IF(COUNTIF(Настройки!$B$17:$B$26,F1073)&gt;0,1,IF(COUNTIF(Настройки!$C$17:$C$26,F1073)&gt;0,2,IF(COUNTIF(Настройки!$D$17:$D$26,F1073)&gt;0,3,0))))</f>
        <v/>
      </c>
      <c r="I1073">
        <f>IF(AND(ISNUMBER(A1073),ISNUMBER(B1073)),A1073*1000+B1073,"")</f>
        <v/>
      </c>
      <c r="J1073">
        <f>IF(I1073="","",IF(COUNTIF(I$2:I1073,I1073)=1,MAX(J$1:J1072)+1,""))</f>
        <v/>
      </c>
    </row>
    <row r="1074">
      <c r="A1074">
        <f>IFERROR(--SUBSTITUTE(SUBSTITUTE(TRIM(INDEX(INDIRECT("'Выгрузка'!A1074:Z1074"),Настройки!$B$7)),",","."),".",MID(1/2,2,1)),"")</f>
        <v/>
      </c>
      <c r="B1074">
        <f>IFERROR(--SUBSTITUTE(SUBSTITUTE(TRIM(INDEX(INDIRECT("'Выгрузка'!A1074:Z1074"),Настройки!$B$9)),",","."),".",MID(1/2,2,1)),"")</f>
        <v/>
      </c>
      <c r="C1074">
        <f>TRIM(INDEX(INDIRECT("'Выгрузка'!A1074:Z1074"),Настройки!$B$8)&amp;"")</f>
        <v/>
      </c>
      <c r="D1074">
        <f>IFERROR(--SUBSTITUTE(SUBSTITUTE(TRIM(INDEX(INDIRECT("'Выгрузка'!A1074:Z1074"),Настройки!$B$10)),",","."),".",MID(1/2,2,1)),"")</f>
        <v/>
      </c>
      <c r="E1074">
        <f>IFERROR(--SUBSTITUTE(SUBSTITUTE(TRIM(INDEX(INDIRECT("'Выгрузка'!A1074:Z1074"),Настройки!$B$11)),",","."),".",MID(1/2,2,1)),"")</f>
        <v/>
      </c>
      <c r="F1074">
        <f>TRIM(INDEX(INDIRECT("'Выгрузка'!A1074:Z1074"),Настройки!$B$12)&amp;"")</f>
        <v/>
      </c>
      <c r="G1074">
        <f>IF(F1074="",0,IF(TRIM(INDEX(INDIRECT("'Выгрузка'!A1074:Z1074"),Настройки!$B$13)&amp;"")="",1,IFERROR(--SUBSTITUTE(SUBSTITUTE(TRIM(INDEX(INDIRECT("'Выгрузка'!A1074:Z1074"),Настройки!$B$13)),",","."),".",MID(1/2,2,1)),"")))</f>
        <v/>
      </c>
      <c r="H1074">
        <f>IF(F1074="",0,IF(COUNTIF(Настройки!$B$17:$B$26,F1074)&gt;0,1,IF(COUNTIF(Настройки!$C$17:$C$26,F1074)&gt;0,2,IF(COUNTIF(Настройки!$D$17:$D$26,F1074)&gt;0,3,0))))</f>
        <v/>
      </c>
      <c r="I1074">
        <f>IF(AND(ISNUMBER(A1074),ISNUMBER(B1074)),A1074*1000+B1074,"")</f>
        <v/>
      </c>
      <c r="J1074">
        <f>IF(I1074="","",IF(COUNTIF(I$2:I1074,I1074)=1,MAX(J$1:J1073)+1,""))</f>
        <v/>
      </c>
    </row>
    <row r="1075">
      <c r="A1075">
        <f>IFERROR(--SUBSTITUTE(SUBSTITUTE(TRIM(INDEX(INDIRECT("'Выгрузка'!A1075:Z1075"),Настройки!$B$7)),",","."),".",MID(1/2,2,1)),"")</f>
        <v/>
      </c>
      <c r="B1075">
        <f>IFERROR(--SUBSTITUTE(SUBSTITUTE(TRIM(INDEX(INDIRECT("'Выгрузка'!A1075:Z1075"),Настройки!$B$9)),",","."),".",MID(1/2,2,1)),"")</f>
        <v/>
      </c>
      <c r="C1075">
        <f>TRIM(INDEX(INDIRECT("'Выгрузка'!A1075:Z1075"),Настройки!$B$8)&amp;"")</f>
        <v/>
      </c>
      <c r="D1075">
        <f>IFERROR(--SUBSTITUTE(SUBSTITUTE(TRIM(INDEX(INDIRECT("'Выгрузка'!A1075:Z1075"),Настройки!$B$10)),",","."),".",MID(1/2,2,1)),"")</f>
        <v/>
      </c>
      <c r="E1075">
        <f>IFERROR(--SUBSTITUTE(SUBSTITUTE(TRIM(INDEX(INDIRECT("'Выгрузка'!A1075:Z1075"),Настройки!$B$11)),",","."),".",MID(1/2,2,1)),"")</f>
        <v/>
      </c>
      <c r="F1075">
        <f>TRIM(INDEX(INDIRECT("'Выгрузка'!A1075:Z1075"),Настройки!$B$12)&amp;"")</f>
        <v/>
      </c>
      <c r="G1075">
        <f>IF(F1075="",0,IF(TRIM(INDEX(INDIRECT("'Выгрузка'!A1075:Z1075"),Настройки!$B$13)&amp;"")="",1,IFERROR(--SUBSTITUTE(SUBSTITUTE(TRIM(INDEX(INDIRECT("'Выгрузка'!A1075:Z1075"),Настройки!$B$13)),",","."),".",MID(1/2,2,1)),"")))</f>
        <v/>
      </c>
      <c r="H1075">
        <f>IF(F1075="",0,IF(COUNTIF(Настройки!$B$17:$B$26,F1075)&gt;0,1,IF(COUNTIF(Настройки!$C$17:$C$26,F1075)&gt;0,2,IF(COUNTIF(Настройки!$D$17:$D$26,F1075)&gt;0,3,0))))</f>
        <v/>
      </c>
      <c r="I1075">
        <f>IF(AND(ISNUMBER(A1075),ISNUMBER(B1075)),A1075*1000+B1075,"")</f>
        <v/>
      </c>
      <c r="J1075">
        <f>IF(I1075="","",IF(COUNTIF(I$2:I1075,I1075)=1,MAX(J$1:J1074)+1,""))</f>
        <v/>
      </c>
    </row>
    <row r="1076">
      <c r="A1076">
        <f>IFERROR(--SUBSTITUTE(SUBSTITUTE(TRIM(INDEX(INDIRECT("'Выгрузка'!A1076:Z1076"),Настройки!$B$7)),",","."),".",MID(1/2,2,1)),"")</f>
        <v/>
      </c>
      <c r="B1076">
        <f>IFERROR(--SUBSTITUTE(SUBSTITUTE(TRIM(INDEX(INDIRECT("'Выгрузка'!A1076:Z1076"),Настройки!$B$9)),",","."),".",MID(1/2,2,1)),"")</f>
        <v/>
      </c>
      <c r="C1076">
        <f>TRIM(INDEX(INDIRECT("'Выгрузка'!A1076:Z1076"),Настройки!$B$8)&amp;"")</f>
        <v/>
      </c>
      <c r="D1076">
        <f>IFERROR(--SUBSTITUTE(SUBSTITUTE(TRIM(INDEX(INDIRECT("'Выгрузка'!A1076:Z1076"),Настройки!$B$10)),",","."),".",MID(1/2,2,1)),"")</f>
        <v/>
      </c>
      <c r="E1076">
        <f>IFERROR(--SUBSTITUTE(SUBSTITUTE(TRIM(INDEX(INDIRECT("'Выгрузка'!A1076:Z1076"),Настройки!$B$11)),",","."),".",MID(1/2,2,1)),"")</f>
        <v/>
      </c>
      <c r="F1076">
        <f>TRIM(INDEX(INDIRECT("'Выгрузка'!A1076:Z1076"),Настройки!$B$12)&amp;"")</f>
        <v/>
      </c>
      <c r="G1076">
        <f>IF(F1076="",0,IF(TRIM(INDEX(INDIRECT("'Выгрузка'!A1076:Z1076"),Настройки!$B$13)&amp;"")="",1,IFERROR(--SUBSTITUTE(SUBSTITUTE(TRIM(INDEX(INDIRECT("'Выгрузка'!A1076:Z1076"),Настройки!$B$13)),",","."),".",MID(1/2,2,1)),"")))</f>
        <v/>
      </c>
      <c r="H1076">
        <f>IF(F1076="",0,IF(COUNTIF(Настройки!$B$17:$B$26,F1076)&gt;0,1,IF(COUNTIF(Настройки!$C$17:$C$26,F1076)&gt;0,2,IF(COUNTIF(Настройки!$D$17:$D$26,F1076)&gt;0,3,0))))</f>
        <v/>
      </c>
      <c r="I1076">
        <f>IF(AND(ISNUMBER(A1076),ISNUMBER(B1076)),A1076*1000+B1076,"")</f>
        <v/>
      </c>
      <c r="J1076">
        <f>IF(I1076="","",IF(COUNTIF(I$2:I1076,I1076)=1,MAX(J$1:J1075)+1,""))</f>
        <v/>
      </c>
    </row>
    <row r="1077">
      <c r="A1077">
        <f>IFERROR(--SUBSTITUTE(SUBSTITUTE(TRIM(INDEX(INDIRECT("'Выгрузка'!A1077:Z1077"),Настройки!$B$7)),",","."),".",MID(1/2,2,1)),"")</f>
        <v/>
      </c>
      <c r="B1077">
        <f>IFERROR(--SUBSTITUTE(SUBSTITUTE(TRIM(INDEX(INDIRECT("'Выгрузка'!A1077:Z1077"),Настройки!$B$9)),",","."),".",MID(1/2,2,1)),"")</f>
        <v/>
      </c>
      <c r="C1077">
        <f>TRIM(INDEX(INDIRECT("'Выгрузка'!A1077:Z1077"),Настройки!$B$8)&amp;"")</f>
        <v/>
      </c>
      <c r="D1077">
        <f>IFERROR(--SUBSTITUTE(SUBSTITUTE(TRIM(INDEX(INDIRECT("'Выгрузка'!A1077:Z1077"),Настройки!$B$10)),",","."),".",MID(1/2,2,1)),"")</f>
        <v/>
      </c>
      <c r="E1077">
        <f>IFERROR(--SUBSTITUTE(SUBSTITUTE(TRIM(INDEX(INDIRECT("'Выгрузка'!A1077:Z1077"),Настройки!$B$11)),",","."),".",MID(1/2,2,1)),"")</f>
        <v/>
      </c>
      <c r="F1077">
        <f>TRIM(INDEX(INDIRECT("'Выгрузка'!A1077:Z1077"),Настройки!$B$12)&amp;"")</f>
        <v/>
      </c>
      <c r="G1077">
        <f>IF(F1077="",0,IF(TRIM(INDEX(INDIRECT("'Выгрузка'!A1077:Z1077"),Настройки!$B$13)&amp;"")="",1,IFERROR(--SUBSTITUTE(SUBSTITUTE(TRIM(INDEX(INDIRECT("'Выгрузка'!A1077:Z1077"),Настройки!$B$13)),",","."),".",MID(1/2,2,1)),"")))</f>
        <v/>
      </c>
      <c r="H1077">
        <f>IF(F1077="",0,IF(COUNTIF(Настройки!$B$17:$B$26,F1077)&gt;0,1,IF(COUNTIF(Настройки!$C$17:$C$26,F1077)&gt;0,2,IF(COUNTIF(Настройки!$D$17:$D$26,F1077)&gt;0,3,0))))</f>
        <v/>
      </c>
      <c r="I1077">
        <f>IF(AND(ISNUMBER(A1077),ISNUMBER(B1077)),A1077*1000+B1077,"")</f>
        <v/>
      </c>
      <c r="J1077">
        <f>IF(I1077="","",IF(COUNTIF(I$2:I1077,I1077)=1,MAX(J$1:J1076)+1,""))</f>
        <v/>
      </c>
    </row>
    <row r="1078">
      <c r="A1078">
        <f>IFERROR(--SUBSTITUTE(SUBSTITUTE(TRIM(INDEX(INDIRECT("'Выгрузка'!A1078:Z1078"),Настройки!$B$7)),",","."),".",MID(1/2,2,1)),"")</f>
        <v/>
      </c>
      <c r="B1078">
        <f>IFERROR(--SUBSTITUTE(SUBSTITUTE(TRIM(INDEX(INDIRECT("'Выгрузка'!A1078:Z1078"),Настройки!$B$9)),",","."),".",MID(1/2,2,1)),"")</f>
        <v/>
      </c>
      <c r="C1078">
        <f>TRIM(INDEX(INDIRECT("'Выгрузка'!A1078:Z1078"),Настройки!$B$8)&amp;"")</f>
        <v/>
      </c>
      <c r="D1078">
        <f>IFERROR(--SUBSTITUTE(SUBSTITUTE(TRIM(INDEX(INDIRECT("'Выгрузка'!A1078:Z1078"),Настройки!$B$10)),",","."),".",MID(1/2,2,1)),"")</f>
        <v/>
      </c>
      <c r="E1078">
        <f>IFERROR(--SUBSTITUTE(SUBSTITUTE(TRIM(INDEX(INDIRECT("'Выгрузка'!A1078:Z1078"),Настройки!$B$11)),",","."),".",MID(1/2,2,1)),"")</f>
        <v/>
      </c>
      <c r="F1078">
        <f>TRIM(INDEX(INDIRECT("'Выгрузка'!A1078:Z1078"),Настройки!$B$12)&amp;"")</f>
        <v/>
      </c>
      <c r="G1078">
        <f>IF(F1078="",0,IF(TRIM(INDEX(INDIRECT("'Выгрузка'!A1078:Z1078"),Настройки!$B$13)&amp;"")="",1,IFERROR(--SUBSTITUTE(SUBSTITUTE(TRIM(INDEX(INDIRECT("'Выгрузка'!A1078:Z1078"),Настройки!$B$13)),",","."),".",MID(1/2,2,1)),"")))</f>
        <v/>
      </c>
      <c r="H1078">
        <f>IF(F1078="",0,IF(COUNTIF(Настройки!$B$17:$B$26,F1078)&gt;0,1,IF(COUNTIF(Настройки!$C$17:$C$26,F1078)&gt;0,2,IF(COUNTIF(Настройки!$D$17:$D$26,F1078)&gt;0,3,0))))</f>
        <v/>
      </c>
      <c r="I1078">
        <f>IF(AND(ISNUMBER(A1078),ISNUMBER(B1078)),A1078*1000+B1078,"")</f>
        <v/>
      </c>
      <c r="J1078">
        <f>IF(I1078="","",IF(COUNTIF(I$2:I1078,I1078)=1,MAX(J$1:J1077)+1,""))</f>
        <v/>
      </c>
    </row>
    <row r="1079">
      <c r="A1079">
        <f>IFERROR(--SUBSTITUTE(SUBSTITUTE(TRIM(INDEX(INDIRECT("'Выгрузка'!A1079:Z1079"),Настройки!$B$7)),",","."),".",MID(1/2,2,1)),"")</f>
        <v/>
      </c>
      <c r="B1079">
        <f>IFERROR(--SUBSTITUTE(SUBSTITUTE(TRIM(INDEX(INDIRECT("'Выгрузка'!A1079:Z1079"),Настройки!$B$9)),",","."),".",MID(1/2,2,1)),"")</f>
        <v/>
      </c>
      <c r="C1079">
        <f>TRIM(INDEX(INDIRECT("'Выгрузка'!A1079:Z1079"),Настройки!$B$8)&amp;"")</f>
        <v/>
      </c>
      <c r="D1079">
        <f>IFERROR(--SUBSTITUTE(SUBSTITUTE(TRIM(INDEX(INDIRECT("'Выгрузка'!A1079:Z1079"),Настройки!$B$10)),",","."),".",MID(1/2,2,1)),"")</f>
        <v/>
      </c>
      <c r="E1079">
        <f>IFERROR(--SUBSTITUTE(SUBSTITUTE(TRIM(INDEX(INDIRECT("'Выгрузка'!A1079:Z1079"),Настройки!$B$11)),",","."),".",MID(1/2,2,1)),"")</f>
        <v/>
      </c>
      <c r="F1079">
        <f>TRIM(INDEX(INDIRECT("'Выгрузка'!A1079:Z1079"),Настройки!$B$12)&amp;"")</f>
        <v/>
      </c>
      <c r="G1079">
        <f>IF(F1079="",0,IF(TRIM(INDEX(INDIRECT("'Выгрузка'!A1079:Z1079"),Настройки!$B$13)&amp;"")="",1,IFERROR(--SUBSTITUTE(SUBSTITUTE(TRIM(INDEX(INDIRECT("'Выгрузка'!A1079:Z1079"),Настройки!$B$13)),",","."),".",MID(1/2,2,1)),"")))</f>
        <v/>
      </c>
      <c r="H1079">
        <f>IF(F1079="",0,IF(COUNTIF(Настройки!$B$17:$B$26,F1079)&gt;0,1,IF(COUNTIF(Настройки!$C$17:$C$26,F1079)&gt;0,2,IF(COUNTIF(Настройки!$D$17:$D$26,F1079)&gt;0,3,0))))</f>
        <v/>
      </c>
      <c r="I1079">
        <f>IF(AND(ISNUMBER(A1079),ISNUMBER(B1079)),A1079*1000+B1079,"")</f>
        <v/>
      </c>
      <c r="J1079">
        <f>IF(I1079="","",IF(COUNTIF(I$2:I1079,I1079)=1,MAX(J$1:J1078)+1,""))</f>
        <v/>
      </c>
    </row>
    <row r="1080">
      <c r="A1080">
        <f>IFERROR(--SUBSTITUTE(SUBSTITUTE(TRIM(INDEX(INDIRECT("'Выгрузка'!A1080:Z1080"),Настройки!$B$7)),",","."),".",MID(1/2,2,1)),"")</f>
        <v/>
      </c>
      <c r="B1080">
        <f>IFERROR(--SUBSTITUTE(SUBSTITUTE(TRIM(INDEX(INDIRECT("'Выгрузка'!A1080:Z1080"),Настройки!$B$9)),",","."),".",MID(1/2,2,1)),"")</f>
        <v/>
      </c>
      <c r="C1080">
        <f>TRIM(INDEX(INDIRECT("'Выгрузка'!A1080:Z1080"),Настройки!$B$8)&amp;"")</f>
        <v/>
      </c>
      <c r="D1080">
        <f>IFERROR(--SUBSTITUTE(SUBSTITUTE(TRIM(INDEX(INDIRECT("'Выгрузка'!A1080:Z1080"),Настройки!$B$10)),",","."),".",MID(1/2,2,1)),"")</f>
        <v/>
      </c>
      <c r="E1080">
        <f>IFERROR(--SUBSTITUTE(SUBSTITUTE(TRIM(INDEX(INDIRECT("'Выгрузка'!A1080:Z1080"),Настройки!$B$11)),",","."),".",MID(1/2,2,1)),"")</f>
        <v/>
      </c>
      <c r="F1080">
        <f>TRIM(INDEX(INDIRECT("'Выгрузка'!A1080:Z1080"),Настройки!$B$12)&amp;"")</f>
        <v/>
      </c>
      <c r="G1080">
        <f>IF(F1080="",0,IF(TRIM(INDEX(INDIRECT("'Выгрузка'!A1080:Z1080"),Настройки!$B$13)&amp;"")="",1,IFERROR(--SUBSTITUTE(SUBSTITUTE(TRIM(INDEX(INDIRECT("'Выгрузка'!A1080:Z1080"),Настройки!$B$13)),",","."),".",MID(1/2,2,1)),"")))</f>
        <v/>
      </c>
      <c r="H1080">
        <f>IF(F1080="",0,IF(COUNTIF(Настройки!$B$17:$B$26,F1080)&gt;0,1,IF(COUNTIF(Настройки!$C$17:$C$26,F1080)&gt;0,2,IF(COUNTIF(Настройки!$D$17:$D$26,F1080)&gt;0,3,0))))</f>
        <v/>
      </c>
      <c r="I1080">
        <f>IF(AND(ISNUMBER(A1080),ISNUMBER(B1080)),A1080*1000+B1080,"")</f>
        <v/>
      </c>
      <c r="J1080">
        <f>IF(I1080="","",IF(COUNTIF(I$2:I1080,I1080)=1,MAX(J$1:J1079)+1,""))</f>
        <v/>
      </c>
    </row>
    <row r="1081">
      <c r="A1081">
        <f>IFERROR(--SUBSTITUTE(SUBSTITUTE(TRIM(INDEX(INDIRECT("'Выгрузка'!A1081:Z1081"),Настройки!$B$7)),",","."),".",MID(1/2,2,1)),"")</f>
        <v/>
      </c>
      <c r="B1081">
        <f>IFERROR(--SUBSTITUTE(SUBSTITUTE(TRIM(INDEX(INDIRECT("'Выгрузка'!A1081:Z1081"),Настройки!$B$9)),",","."),".",MID(1/2,2,1)),"")</f>
        <v/>
      </c>
      <c r="C1081">
        <f>TRIM(INDEX(INDIRECT("'Выгрузка'!A1081:Z1081"),Настройки!$B$8)&amp;"")</f>
        <v/>
      </c>
      <c r="D1081">
        <f>IFERROR(--SUBSTITUTE(SUBSTITUTE(TRIM(INDEX(INDIRECT("'Выгрузка'!A1081:Z1081"),Настройки!$B$10)),",","."),".",MID(1/2,2,1)),"")</f>
        <v/>
      </c>
      <c r="E1081">
        <f>IFERROR(--SUBSTITUTE(SUBSTITUTE(TRIM(INDEX(INDIRECT("'Выгрузка'!A1081:Z1081"),Настройки!$B$11)),",","."),".",MID(1/2,2,1)),"")</f>
        <v/>
      </c>
      <c r="F1081">
        <f>TRIM(INDEX(INDIRECT("'Выгрузка'!A1081:Z1081"),Настройки!$B$12)&amp;"")</f>
        <v/>
      </c>
      <c r="G1081">
        <f>IF(F1081="",0,IF(TRIM(INDEX(INDIRECT("'Выгрузка'!A1081:Z1081"),Настройки!$B$13)&amp;"")="",1,IFERROR(--SUBSTITUTE(SUBSTITUTE(TRIM(INDEX(INDIRECT("'Выгрузка'!A1081:Z1081"),Настройки!$B$13)),",","."),".",MID(1/2,2,1)),"")))</f>
        <v/>
      </c>
      <c r="H1081">
        <f>IF(F1081="",0,IF(COUNTIF(Настройки!$B$17:$B$26,F1081)&gt;0,1,IF(COUNTIF(Настройки!$C$17:$C$26,F1081)&gt;0,2,IF(COUNTIF(Настройки!$D$17:$D$26,F1081)&gt;0,3,0))))</f>
        <v/>
      </c>
      <c r="I1081">
        <f>IF(AND(ISNUMBER(A1081),ISNUMBER(B1081)),A1081*1000+B1081,"")</f>
        <v/>
      </c>
      <c r="J1081">
        <f>IF(I1081="","",IF(COUNTIF(I$2:I1081,I1081)=1,MAX(J$1:J1080)+1,""))</f>
        <v/>
      </c>
    </row>
    <row r="1082">
      <c r="A1082">
        <f>IFERROR(--SUBSTITUTE(SUBSTITUTE(TRIM(INDEX(INDIRECT("'Выгрузка'!A1082:Z1082"),Настройки!$B$7)),",","."),".",MID(1/2,2,1)),"")</f>
        <v/>
      </c>
      <c r="B1082">
        <f>IFERROR(--SUBSTITUTE(SUBSTITUTE(TRIM(INDEX(INDIRECT("'Выгрузка'!A1082:Z1082"),Настройки!$B$9)),",","."),".",MID(1/2,2,1)),"")</f>
        <v/>
      </c>
      <c r="C1082">
        <f>TRIM(INDEX(INDIRECT("'Выгрузка'!A1082:Z1082"),Настройки!$B$8)&amp;"")</f>
        <v/>
      </c>
      <c r="D1082">
        <f>IFERROR(--SUBSTITUTE(SUBSTITUTE(TRIM(INDEX(INDIRECT("'Выгрузка'!A1082:Z1082"),Настройки!$B$10)),",","."),".",MID(1/2,2,1)),"")</f>
        <v/>
      </c>
      <c r="E1082">
        <f>IFERROR(--SUBSTITUTE(SUBSTITUTE(TRIM(INDEX(INDIRECT("'Выгрузка'!A1082:Z1082"),Настройки!$B$11)),",","."),".",MID(1/2,2,1)),"")</f>
        <v/>
      </c>
      <c r="F1082">
        <f>TRIM(INDEX(INDIRECT("'Выгрузка'!A1082:Z1082"),Настройки!$B$12)&amp;"")</f>
        <v/>
      </c>
      <c r="G1082">
        <f>IF(F1082="",0,IF(TRIM(INDEX(INDIRECT("'Выгрузка'!A1082:Z1082"),Настройки!$B$13)&amp;"")="",1,IFERROR(--SUBSTITUTE(SUBSTITUTE(TRIM(INDEX(INDIRECT("'Выгрузка'!A1082:Z1082"),Настройки!$B$13)),",","."),".",MID(1/2,2,1)),"")))</f>
        <v/>
      </c>
      <c r="H1082">
        <f>IF(F1082="",0,IF(COUNTIF(Настройки!$B$17:$B$26,F1082)&gt;0,1,IF(COUNTIF(Настройки!$C$17:$C$26,F1082)&gt;0,2,IF(COUNTIF(Настройки!$D$17:$D$26,F1082)&gt;0,3,0))))</f>
        <v/>
      </c>
      <c r="I1082">
        <f>IF(AND(ISNUMBER(A1082),ISNUMBER(B1082)),A1082*1000+B1082,"")</f>
        <v/>
      </c>
      <c r="J1082">
        <f>IF(I1082="","",IF(COUNTIF(I$2:I1082,I1082)=1,MAX(J$1:J1081)+1,""))</f>
        <v/>
      </c>
    </row>
    <row r="1083">
      <c r="A1083">
        <f>IFERROR(--SUBSTITUTE(SUBSTITUTE(TRIM(INDEX(INDIRECT("'Выгрузка'!A1083:Z1083"),Настройки!$B$7)),",","."),".",MID(1/2,2,1)),"")</f>
        <v/>
      </c>
      <c r="B1083">
        <f>IFERROR(--SUBSTITUTE(SUBSTITUTE(TRIM(INDEX(INDIRECT("'Выгрузка'!A1083:Z1083"),Настройки!$B$9)),",","."),".",MID(1/2,2,1)),"")</f>
        <v/>
      </c>
      <c r="C1083">
        <f>TRIM(INDEX(INDIRECT("'Выгрузка'!A1083:Z1083"),Настройки!$B$8)&amp;"")</f>
        <v/>
      </c>
      <c r="D1083">
        <f>IFERROR(--SUBSTITUTE(SUBSTITUTE(TRIM(INDEX(INDIRECT("'Выгрузка'!A1083:Z1083"),Настройки!$B$10)),",","."),".",MID(1/2,2,1)),"")</f>
        <v/>
      </c>
      <c r="E1083">
        <f>IFERROR(--SUBSTITUTE(SUBSTITUTE(TRIM(INDEX(INDIRECT("'Выгрузка'!A1083:Z1083"),Настройки!$B$11)),",","."),".",MID(1/2,2,1)),"")</f>
        <v/>
      </c>
      <c r="F1083">
        <f>TRIM(INDEX(INDIRECT("'Выгрузка'!A1083:Z1083"),Настройки!$B$12)&amp;"")</f>
        <v/>
      </c>
      <c r="G1083">
        <f>IF(F1083="",0,IF(TRIM(INDEX(INDIRECT("'Выгрузка'!A1083:Z1083"),Настройки!$B$13)&amp;"")="",1,IFERROR(--SUBSTITUTE(SUBSTITUTE(TRIM(INDEX(INDIRECT("'Выгрузка'!A1083:Z1083"),Настройки!$B$13)),",","."),".",MID(1/2,2,1)),"")))</f>
        <v/>
      </c>
      <c r="H1083">
        <f>IF(F1083="",0,IF(COUNTIF(Настройки!$B$17:$B$26,F1083)&gt;0,1,IF(COUNTIF(Настройки!$C$17:$C$26,F1083)&gt;0,2,IF(COUNTIF(Настройки!$D$17:$D$26,F1083)&gt;0,3,0))))</f>
        <v/>
      </c>
      <c r="I1083">
        <f>IF(AND(ISNUMBER(A1083),ISNUMBER(B1083)),A1083*1000+B1083,"")</f>
        <v/>
      </c>
      <c r="J1083">
        <f>IF(I1083="","",IF(COUNTIF(I$2:I1083,I1083)=1,MAX(J$1:J1082)+1,""))</f>
        <v/>
      </c>
    </row>
    <row r="1084">
      <c r="A1084">
        <f>IFERROR(--SUBSTITUTE(SUBSTITUTE(TRIM(INDEX(INDIRECT("'Выгрузка'!A1084:Z1084"),Настройки!$B$7)),",","."),".",MID(1/2,2,1)),"")</f>
        <v/>
      </c>
      <c r="B1084">
        <f>IFERROR(--SUBSTITUTE(SUBSTITUTE(TRIM(INDEX(INDIRECT("'Выгрузка'!A1084:Z1084"),Настройки!$B$9)),",","."),".",MID(1/2,2,1)),"")</f>
        <v/>
      </c>
      <c r="C1084">
        <f>TRIM(INDEX(INDIRECT("'Выгрузка'!A1084:Z1084"),Настройки!$B$8)&amp;"")</f>
        <v/>
      </c>
      <c r="D1084">
        <f>IFERROR(--SUBSTITUTE(SUBSTITUTE(TRIM(INDEX(INDIRECT("'Выгрузка'!A1084:Z1084"),Настройки!$B$10)),",","."),".",MID(1/2,2,1)),"")</f>
        <v/>
      </c>
      <c r="E1084">
        <f>IFERROR(--SUBSTITUTE(SUBSTITUTE(TRIM(INDEX(INDIRECT("'Выгрузка'!A1084:Z1084"),Настройки!$B$11)),",","."),".",MID(1/2,2,1)),"")</f>
        <v/>
      </c>
      <c r="F1084">
        <f>TRIM(INDEX(INDIRECT("'Выгрузка'!A1084:Z1084"),Настройки!$B$12)&amp;"")</f>
        <v/>
      </c>
      <c r="G1084">
        <f>IF(F1084="",0,IF(TRIM(INDEX(INDIRECT("'Выгрузка'!A1084:Z1084"),Настройки!$B$13)&amp;"")="",1,IFERROR(--SUBSTITUTE(SUBSTITUTE(TRIM(INDEX(INDIRECT("'Выгрузка'!A1084:Z1084"),Настройки!$B$13)),",","."),".",MID(1/2,2,1)),"")))</f>
        <v/>
      </c>
      <c r="H1084">
        <f>IF(F1084="",0,IF(COUNTIF(Настройки!$B$17:$B$26,F1084)&gt;0,1,IF(COUNTIF(Настройки!$C$17:$C$26,F1084)&gt;0,2,IF(COUNTIF(Настройки!$D$17:$D$26,F1084)&gt;0,3,0))))</f>
        <v/>
      </c>
      <c r="I1084">
        <f>IF(AND(ISNUMBER(A1084),ISNUMBER(B1084)),A1084*1000+B1084,"")</f>
        <v/>
      </c>
      <c r="J1084">
        <f>IF(I1084="","",IF(COUNTIF(I$2:I1084,I1084)=1,MAX(J$1:J1083)+1,""))</f>
        <v/>
      </c>
    </row>
    <row r="1085">
      <c r="A1085">
        <f>IFERROR(--SUBSTITUTE(SUBSTITUTE(TRIM(INDEX(INDIRECT("'Выгрузка'!A1085:Z1085"),Настройки!$B$7)),",","."),".",MID(1/2,2,1)),"")</f>
        <v/>
      </c>
      <c r="B1085">
        <f>IFERROR(--SUBSTITUTE(SUBSTITUTE(TRIM(INDEX(INDIRECT("'Выгрузка'!A1085:Z1085"),Настройки!$B$9)),",","."),".",MID(1/2,2,1)),"")</f>
        <v/>
      </c>
      <c r="C1085">
        <f>TRIM(INDEX(INDIRECT("'Выгрузка'!A1085:Z1085"),Настройки!$B$8)&amp;"")</f>
        <v/>
      </c>
      <c r="D1085">
        <f>IFERROR(--SUBSTITUTE(SUBSTITUTE(TRIM(INDEX(INDIRECT("'Выгрузка'!A1085:Z1085"),Настройки!$B$10)),",","."),".",MID(1/2,2,1)),"")</f>
        <v/>
      </c>
      <c r="E1085">
        <f>IFERROR(--SUBSTITUTE(SUBSTITUTE(TRIM(INDEX(INDIRECT("'Выгрузка'!A1085:Z1085"),Настройки!$B$11)),",","."),".",MID(1/2,2,1)),"")</f>
        <v/>
      </c>
      <c r="F1085">
        <f>TRIM(INDEX(INDIRECT("'Выгрузка'!A1085:Z1085"),Настройки!$B$12)&amp;"")</f>
        <v/>
      </c>
      <c r="G1085">
        <f>IF(F1085="",0,IF(TRIM(INDEX(INDIRECT("'Выгрузка'!A1085:Z1085"),Настройки!$B$13)&amp;"")="",1,IFERROR(--SUBSTITUTE(SUBSTITUTE(TRIM(INDEX(INDIRECT("'Выгрузка'!A1085:Z1085"),Настройки!$B$13)),",","."),".",MID(1/2,2,1)),"")))</f>
        <v/>
      </c>
      <c r="H1085">
        <f>IF(F1085="",0,IF(COUNTIF(Настройки!$B$17:$B$26,F1085)&gt;0,1,IF(COUNTIF(Настройки!$C$17:$C$26,F1085)&gt;0,2,IF(COUNTIF(Настройки!$D$17:$D$26,F1085)&gt;0,3,0))))</f>
        <v/>
      </c>
      <c r="I1085">
        <f>IF(AND(ISNUMBER(A1085),ISNUMBER(B1085)),A1085*1000+B1085,"")</f>
        <v/>
      </c>
      <c r="J1085">
        <f>IF(I1085="","",IF(COUNTIF(I$2:I1085,I1085)=1,MAX(J$1:J1084)+1,""))</f>
        <v/>
      </c>
    </row>
    <row r="1086">
      <c r="A1086">
        <f>IFERROR(--SUBSTITUTE(SUBSTITUTE(TRIM(INDEX(INDIRECT("'Выгрузка'!A1086:Z1086"),Настройки!$B$7)),",","."),".",MID(1/2,2,1)),"")</f>
        <v/>
      </c>
      <c r="B1086">
        <f>IFERROR(--SUBSTITUTE(SUBSTITUTE(TRIM(INDEX(INDIRECT("'Выгрузка'!A1086:Z1086"),Настройки!$B$9)),",","."),".",MID(1/2,2,1)),"")</f>
        <v/>
      </c>
      <c r="C1086">
        <f>TRIM(INDEX(INDIRECT("'Выгрузка'!A1086:Z1086"),Настройки!$B$8)&amp;"")</f>
        <v/>
      </c>
      <c r="D1086">
        <f>IFERROR(--SUBSTITUTE(SUBSTITUTE(TRIM(INDEX(INDIRECT("'Выгрузка'!A1086:Z1086"),Настройки!$B$10)),",","."),".",MID(1/2,2,1)),"")</f>
        <v/>
      </c>
      <c r="E1086">
        <f>IFERROR(--SUBSTITUTE(SUBSTITUTE(TRIM(INDEX(INDIRECT("'Выгрузка'!A1086:Z1086"),Настройки!$B$11)),",","."),".",MID(1/2,2,1)),"")</f>
        <v/>
      </c>
      <c r="F1086">
        <f>TRIM(INDEX(INDIRECT("'Выгрузка'!A1086:Z1086"),Настройки!$B$12)&amp;"")</f>
        <v/>
      </c>
      <c r="G1086">
        <f>IF(F1086="",0,IF(TRIM(INDEX(INDIRECT("'Выгрузка'!A1086:Z1086"),Настройки!$B$13)&amp;"")="",1,IFERROR(--SUBSTITUTE(SUBSTITUTE(TRIM(INDEX(INDIRECT("'Выгрузка'!A1086:Z1086"),Настройки!$B$13)),",","."),".",MID(1/2,2,1)),"")))</f>
        <v/>
      </c>
      <c r="H1086">
        <f>IF(F1086="",0,IF(COUNTIF(Настройки!$B$17:$B$26,F1086)&gt;0,1,IF(COUNTIF(Настройки!$C$17:$C$26,F1086)&gt;0,2,IF(COUNTIF(Настройки!$D$17:$D$26,F1086)&gt;0,3,0))))</f>
        <v/>
      </c>
      <c r="I1086">
        <f>IF(AND(ISNUMBER(A1086),ISNUMBER(B1086)),A1086*1000+B1086,"")</f>
        <v/>
      </c>
      <c r="J1086">
        <f>IF(I1086="","",IF(COUNTIF(I$2:I1086,I1086)=1,MAX(J$1:J1085)+1,""))</f>
        <v/>
      </c>
    </row>
    <row r="1087">
      <c r="A1087">
        <f>IFERROR(--SUBSTITUTE(SUBSTITUTE(TRIM(INDEX(INDIRECT("'Выгрузка'!A1087:Z1087"),Настройки!$B$7)),",","."),".",MID(1/2,2,1)),"")</f>
        <v/>
      </c>
      <c r="B1087">
        <f>IFERROR(--SUBSTITUTE(SUBSTITUTE(TRIM(INDEX(INDIRECT("'Выгрузка'!A1087:Z1087"),Настройки!$B$9)),",","."),".",MID(1/2,2,1)),"")</f>
        <v/>
      </c>
      <c r="C1087">
        <f>TRIM(INDEX(INDIRECT("'Выгрузка'!A1087:Z1087"),Настройки!$B$8)&amp;"")</f>
        <v/>
      </c>
      <c r="D1087">
        <f>IFERROR(--SUBSTITUTE(SUBSTITUTE(TRIM(INDEX(INDIRECT("'Выгрузка'!A1087:Z1087"),Настройки!$B$10)),",","."),".",MID(1/2,2,1)),"")</f>
        <v/>
      </c>
      <c r="E1087">
        <f>IFERROR(--SUBSTITUTE(SUBSTITUTE(TRIM(INDEX(INDIRECT("'Выгрузка'!A1087:Z1087"),Настройки!$B$11)),",","."),".",MID(1/2,2,1)),"")</f>
        <v/>
      </c>
      <c r="F1087">
        <f>TRIM(INDEX(INDIRECT("'Выгрузка'!A1087:Z1087"),Настройки!$B$12)&amp;"")</f>
        <v/>
      </c>
      <c r="G1087">
        <f>IF(F1087="",0,IF(TRIM(INDEX(INDIRECT("'Выгрузка'!A1087:Z1087"),Настройки!$B$13)&amp;"")="",1,IFERROR(--SUBSTITUTE(SUBSTITUTE(TRIM(INDEX(INDIRECT("'Выгрузка'!A1087:Z1087"),Настройки!$B$13)),",","."),".",MID(1/2,2,1)),"")))</f>
        <v/>
      </c>
      <c r="H1087">
        <f>IF(F1087="",0,IF(COUNTIF(Настройки!$B$17:$B$26,F1087)&gt;0,1,IF(COUNTIF(Настройки!$C$17:$C$26,F1087)&gt;0,2,IF(COUNTIF(Настройки!$D$17:$D$26,F1087)&gt;0,3,0))))</f>
        <v/>
      </c>
      <c r="I1087">
        <f>IF(AND(ISNUMBER(A1087),ISNUMBER(B1087)),A1087*1000+B1087,"")</f>
        <v/>
      </c>
      <c r="J1087">
        <f>IF(I1087="","",IF(COUNTIF(I$2:I1087,I1087)=1,MAX(J$1:J1086)+1,""))</f>
        <v/>
      </c>
    </row>
    <row r="1088">
      <c r="A1088">
        <f>IFERROR(--SUBSTITUTE(SUBSTITUTE(TRIM(INDEX(INDIRECT("'Выгрузка'!A1088:Z1088"),Настройки!$B$7)),",","."),".",MID(1/2,2,1)),"")</f>
        <v/>
      </c>
      <c r="B1088">
        <f>IFERROR(--SUBSTITUTE(SUBSTITUTE(TRIM(INDEX(INDIRECT("'Выгрузка'!A1088:Z1088"),Настройки!$B$9)),",","."),".",MID(1/2,2,1)),"")</f>
        <v/>
      </c>
      <c r="C1088">
        <f>TRIM(INDEX(INDIRECT("'Выгрузка'!A1088:Z1088"),Настройки!$B$8)&amp;"")</f>
        <v/>
      </c>
      <c r="D1088">
        <f>IFERROR(--SUBSTITUTE(SUBSTITUTE(TRIM(INDEX(INDIRECT("'Выгрузка'!A1088:Z1088"),Настройки!$B$10)),",","."),".",MID(1/2,2,1)),"")</f>
        <v/>
      </c>
      <c r="E1088">
        <f>IFERROR(--SUBSTITUTE(SUBSTITUTE(TRIM(INDEX(INDIRECT("'Выгрузка'!A1088:Z1088"),Настройки!$B$11)),",","."),".",MID(1/2,2,1)),"")</f>
        <v/>
      </c>
      <c r="F1088">
        <f>TRIM(INDEX(INDIRECT("'Выгрузка'!A1088:Z1088"),Настройки!$B$12)&amp;"")</f>
        <v/>
      </c>
      <c r="G1088">
        <f>IF(F1088="",0,IF(TRIM(INDEX(INDIRECT("'Выгрузка'!A1088:Z1088"),Настройки!$B$13)&amp;"")="",1,IFERROR(--SUBSTITUTE(SUBSTITUTE(TRIM(INDEX(INDIRECT("'Выгрузка'!A1088:Z1088"),Настройки!$B$13)),",","."),".",MID(1/2,2,1)),"")))</f>
        <v/>
      </c>
      <c r="H1088">
        <f>IF(F1088="",0,IF(COUNTIF(Настройки!$B$17:$B$26,F1088)&gt;0,1,IF(COUNTIF(Настройки!$C$17:$C$26,F1088)&gt;0,2,IF(COUNTIF(Настройки!$D$17:$D$26,F1088)&gt;0,3,0))))</f>
        <v/>
      </c>
      <c r="I1088">
        <f>IF(AND(ISNUMBER(A1088),ISNUMBER(B1088)),A1088*1000+B1088,"")</f>
        <v/>
      </c>
      <c r="J1088">
        <f>IF(I1088="","",IF(COUNTIF(I$2:I1088,I1088)=1,MAX(J$1:J1087)+1,""))</f>
        <v/>
      </c>
    </row>
    <row r="1089">
      <c r="A1089">
        <f>IFERROR(--SUBSTITUTE(SUBSTITUTE(TRIM(INDEX(INDIRECT("'Выгрузка'!A1089:Z1089"),Настройки!$B$7)),",","."),".",MID(1/2,2,1)),"")</f>
        <v/>
      </c>
      <c r="B1089">
        <f>IFERROR(--SUBSTITUTE(SUBSTITUTE(TRIM(INDEX(INDIRECT("'Выгрузка'!A1089:Z1089"),Настройки!$B$9)),",","."),".",MID(1/2,2,1)),"")</f>
        <v/>
      </c>
      <c r="C1089">
        <f>TRIM(INDEX(INDIRECT("'Выгрузка'!A1089:Z1089"),Настройки!$B$8)&amp;"")</f>
        <v/>
      </c>
      <c r="D1089">
        <f>IFERROR(--SUBSTITUTE(SUBSTITUTE(TRIM(INDEX(INDIRECT("'Выгрузка'!A1089:Z1089"),Настройки!$B$10)),",","."),".",MID(1/2,2,1)),"")</f>
        <v/>
      </c>
      <c r="E1089">
        <f>IFERROR(--SUBSTITUTE(SUBSTITUTE(TRIM(INDEX(INDIRECT("'Выгрузка'!A1089:Z1089"),Настройки!$B$11)),",","."),".",MID(1/2,2,1)),"")</f>
        <v/>
      </c>
      <c r="F1089">
        <f>TRIM(INDEX(INDIRECT("'Выгрузка'!A1089:Z1089"),Настройки!$B$12)&amp;"")</f>
        <v/>
      </c>
      <c r="G1089">
        <f>IF(F1089="",0,IF(TRIM(INDEX(INDIRECT("'Выгрузка'!A1089:Z1089"),Настройки!$B$13)&amp;"")="",1,IFERROR(--SUBSTITUTE(SUBSTITUTE(TRIM(INDEX(INDIRECT("'Выгрузка'!A1089:Z1089"),Настройки!$B$13)),",","."),".",MID(1/2,2,1)),"")))</f>
        <v/>
      </c>
      <c r="H1089">
        <f>IF(F1089="",0,IF(COUNTIF(Настройки!$B$17:$B$26,F1089)&gt;0,1,IF(COUNTIF(Настройки!$C$17:$C$26,F1089)&gt;0,2,IF(COUNTIF(Настройки!$D$17:$D$26,F1089)&gt;0,3,0))))</f>
        <v/>
      </c>
      <c r="I1089">
        <f>IF(AND(ISNUMBER(A1089),ISNUMBER(B1089)),A1089*1000+B1089,"")</f>
        <v/>
      </c>
      <c r="J1089">
        <f>IF(I1089="","",IF(COUNTIF(I$2:I1089,I1089)=1,MAX(J$1:J1088)+1,""))</f>
        <v/>
      </c>
    </row>
    <row r="1090">
      <c r="A1090">
        <f>IFERROR(--SUBSTITUTE(SUBSTITUTE(TRIM(INDEX(INDIRECT("'Выгрузка'!A1090:Z1090"),Настройки!$B$7)),",","."),".",MID(1/2,2,1)),"")</f>
        <v/>
      </c>
      <c r="B1090">
        <f>IFERROR(--SUBSTITUTE(SUBSTITUTE(TRIM(INDEX(INDIRECT("'Выгрузка'!A1090:Z1090"),Настройки!$B$9)),",","."),".",MID(1/2,2,1)),"")</f>
        <v/>
      </c>
      <c r="C1090">
        <f>TRIM(INDEX(INDIRECT("'Выгрузка'!A1090:Z1090"),Настройки!$B$8)&amp;"")</f>
        <v/>
      </c>
      <c r="D1090">
        <f>IFERROR(--SUBSTITUTE(SUBSTITUTE(TRIM(INDEX(INDIRECT("'Выгрузка'!A1090:Z1090"),Настройки!$B$10)),",","."),".",MID(1/2,2,1)),"")</f>
        <v/>
      </c>
      <c r="E1090">
        <f>IFERROR(--SUBSTITUTE(SUBSTITUTE(TRIM(INDEX(INDIRECT("'Выгрузка'!A1090:Z1090"),Настройки!$B$11)),",","."),".",MID(1/2,2,1)),"")</f>
        <v/>
      </c>
      <c r="F1090">
        <f>TRIM(INDEX(INDIRECT("'Выгрузка'!A1090:Z1090"),Настройки!$B$12)&amp;"")</f>
        <v/>
      </c>
      <c r="G1090">
        <f>IF(F1090="",0,IF(TRIM(INDEX(INDIRECT("'Выгрузка'!A1090:Z1090"),Настройки!$B$13)&amp;"")="",1,IFERROR(--SUBSTITUTE(SUBSTITUTE(TRIM(INDEX(INDIRECT("'Выгрузка'!A1090:Z1090"),Настройки!$B$13)),",","."),".",MID(1/2,2,1)),"")))</f>
        <v/>
      </c>
      <c r="H1090">
        <f>IF(F1090="",0,IF(COUNTIF(Настройки!$B$17:$B$26,F1090)&gt;0,1,IF(COUNTIF(Настройки!$C$17:$C$26,F1090)&gt;0,2,IF(COUNTIF(Настройки!$D$17:$D$26,F1090)&gt;0,3,0))))</f>
        <v/>
      </c>
      <c r="I1090">
        <f>IF(AND(ISNUMBER(A1090),ISNUMBER(B1090)),A1090*1000+B1090,"")</f>
        <v/>
      </c>
      <c r="J1090">
        <f>IF(I1090="","",IF(COUNTIF(I$2:I1090,I1090)=1,MAX(J$1:J1089)+1,""))</f>
        <v/>
      </c>
    </row>
    <row r="1091">
      <c r="A1091">
        <f>IFERROR(--SUBSTITUTE(SUBSTITUTE(TRIM(INDEX(INDIRECT("'Выгрузка'!A1091:Z1091"),Настройки!$B$7)),",","."),".",MID(1/2,2,1)),"")</f>
        <v/>
      </c>
      <c r="B1091">
        <f>IFERROR(--SUBSTITUTE(SUBSTITUTE(TRIM(INDEX(INDIRECT("'Выгрузка'!A1091:Z1091"),Настройки!$B$9)),",","."),".",MID(1/2,2,1)),"")</f>
        <v/>
      </c>
      <c r="C1091">
        <f>TRIM(INDEX(INDIRECT("'Выгрузка'!A1091:Z1091"),Настройки!$B$8)&amp;"")</f>
        <v/>
      </c>
      <c r="D1091">
        <f>IFERROR(--SUBSTITUTE(SUBSTITUTE(TRIM(INDEX(INDIRECT("'Выгрузка'!A1091:Z1091"),Настройки!$B$10)),",","."),".",MID(1/2,2,1)),"")</f>
        <v/>
      </c>
      <c r="E1091">
        <f>IFERROR(--SUBSTITUTE(SUBSTITUTE(TRIM(INDEX(INDIRECT("'Выгрузка'!A1091:Z1091"),Настройки!$B$11)),",","."),".",MID(1/2,2,1)),"")</f>
        <v/>
      </c>
      <c r="F1091">
        <f>TRIM(INDEX(INDIRECT("'Выгрузка'!A1091:Z1091"),Настройки!$B$12)&amp;"")</f>
        <v/>
      </c>
      <c r="G1091">
        <f>IF(F1091="",0,IF(TRIM(INDEX(INDIRECT("'Выгрузка'!A1091:Z1091"),Настройки!$B$13)&amp;"")="",1,IFERROR(--SUBSTITUTE(SUBSTITUTE(TRIM(INDEX(INDIRECT("'Выгрузка'!A1091:Z1091"),Настройки!$B$13)),",","."),".",MID(1/2,2,1)),"")))</f>
        <v/>
      </c>
      <c r="H1091">
        <f>IF(F1091="",0,IF(COUNTIF(Настройки!$B$17:$B$26,F1091)&gt;0,1,IF(COUNTIF(Настройки!$C$17:$C$26,F1091)&gt;0,2,IF(COUNTIF(Настройки!$D$17:$D$26,F1091)&gt;0,3,0))))</f>
        <v/>
      </c>
      <c r="I1091">
        <f>IF(AND(ISNUMBER(A1091),ISNUMBER(B1091)),A1091*1000+B1091,"")</f>
        <v/>
      </c>
      <c r="J1091">
        <f>IF(I1091="","",IF(COUNTIF(I$2:I1091,I1091)=1,MAX(J$1:J1090)+1,""))</f>
        <v/>
      </c>
    </row>
    <row r="1092">
      <c r="A1092">
        <f>IFERROR(--SUBSTITUTE(SUBSTITUTE(TRIM(INDEX(INDIRECT("'Выгрузка'!A1092:Z1092"),Настройки!$B$7)),",","."),".",MID(1/2,2,1)),"")</f>
        <v/>
      </c>
      <c r="B1092">
        <f>IFERROR(--SUBSTITUTE(SUBSTITUTE(TRIM(INDEX(INDIRECT("'Выгрузка'!A1092:Z1092"),Настройки!$B$9)),",","."),".",MID(1/2,2,1)),"")</f>
        <v/>
      </c>
      <c r="C1092">
        <f>TRIM(INDEX(INDIRECT("'Выгрузка'!A1092:Z1092"),Настройки!$B$8)&amp;"")</f>
        <v/>
      </c>
      <c r="D1092">
        <f>IFERROR(--SUBSTITUTE(SUBSTITUTE(TRIM(INDEX(INDIRECT("'Выгрузка'!A1092:Z1092"),Настройки!$B$10)),",","."),".",MID(1/2,2,1)),"")</f>
        <v/>
      </c>
      <c r="E1092">
        <f>IFERROR(--SUBSTITUTE(SUBSTITUTE(TRIM(INDEX(INDIRECT("'Выгрузка'!A1092:Z1092"),Настройки!$B$11)),",","."),".",MID(1/2,2,1)),"")</f>
        <v/>
      </c>
      <c r="F1092">
        <f>TRIM(INDEX(INDIRECT("'Выгрузка'!A1092:Z1092"),Настройки!$B$12)&amp;"")</f>
        <v/>
      </c>
      <c r="G1092">
        <f>IF(F1092="",0,IF(TRIM(INDEX(INDIRECT("'Выгрузка'!A1092:Z1092"),Настройки!$B$13)&amp;"")="",1,IFERROR(--SUBSTITUTE(SUBSTITUTE(TRIM(INDEX(INDIRECT("'Выгрузка'!A1092:Z1092"),Настройки!$B$13)),",","."),".",MID(1/2,2,1)),"")))</f>
        <v/>
      </c>
      <c r="H1092">
        <f>IF(F1092="",0,IF(COUNTIF(Настройки!$B$17:$B$26,F1092)&gt;0,1,IF(COUNTIF(Настройки!$C$17:$C$26,F1092)&gt;0,2,IF(COUNTIF(Настройки!$D$17:$D$26,F1092)&gt;0,3,0))))</f>
        <v/>
      </c>
      <c r="I1092">
        <f>IF(AND(ISNUMBER(A1092),ISNUMBER(B1092)),A1092*1000+B1092,"")</f>
        <v/>
      </c>
      <c r="J1092">
        <f>IF(I1092="","",IF(COUNTIF(I$2:I1092,I1092)=1,MAX(J$1:J1091)+1,""))</f>
        <v/>
      </c>
    </row>
    <row r="1093">
      <c r="A1093">
        <f>IFERROR(--SUBSTITUTE(SUBSTITUTE(TRIM(INDEX(INDIRECT("'Выгрузка'!A1093:Z1093"),Настройки!$B$7)),",","."),".",MID(1/2,2,1)),"")</f>
        <v/>
      </c>
      <c r="B1093">
        <f>IFERROR(--SUBSTITUTE(SUBSTITUTE(TRIM(INDEX(INDIRECT("'Выгрузка'!A1093:Z1093"),Настройки!$B$9)),",","."),".",MID(1/2,2,1)),"")</f>
        <v/>
      </c>
      <c r="C1093">
        <f>TRIM(INDEX(INDIRECT("'Выгрузка'!A1093:Z1093"),Настройки!$B$8)&amp;"")</f>
        <v/>
      </c>
      <c r="D1093">
        <f>IFERROR(--SUBSTITUTE(SUBSTITUTE(TRIM(INDEX(INDIRECT("'Выгрузка'!A1093:Z1093"),Настройки!$B$10)),",","."),".",MID(1/2,2,1)),"")</f>
        <v/>
      </c>
      <c r="E1093">
        <f>IFERROR(--SUBSTITUTE(SUBSTITUTE(TRIM(INDEX(INDIRECT("'Выгрузка'!A1093:Z1093"),Настройки!$B$11)),",","."),".",MID(1/2,2,1)),"")</f>
        <v/>
      </c>
      <c r="F1093">
        <f>TRIM(INDEX(INDIRECT("'Выгрузка'!A1093:Z1093"),Настройки!$B$12)&amp;"")</f>
        <v/>
      </c>
      <c r="G1093">
        <f>IF(F1093="",0,IF(TRIM(INDEX(INDIRECT("'Выгрузка'!A1093:Z1093"),Настройки!$B$13)&amp;"")="",1,IFERROR(--SUBSTITUTE(SUBSTITUTE(TRIM(INDEX(INDIRECT("'Выгрузка'!A1093:Z1093"),Настройки!$B$13)),",","."),".",MID(1/2,2,1)),"")))</f>
        <v/>
      </c>
      <c r="H1093">
        <f>IF(F1093="",0,IF(COUNTIF(Настройки!$B$17:$B$26,F1093)&gt;0,1,IF(COUNTIF(Настройки!$C$17:$C$26,F1093)&gt;0,2,IF(COUNTIF(Настройки!$D$17:$D$26,F1093)&gt;0,3,0))))</f>
        <v/>
      </c>
      <c r="I1093">
        <f>IF(AND(ISNUMBER(A1093),ISNUMBER(B1093)),A1093*1000+B1093,"")</f>
        <v/>
      </c>
      <c r="J1093">
        <f>IF(I1093="","",IF(COUNTIF(I$2:I1093,I1093)=1,MAX(J$1:J1092)+1,""))</f>
        <v/>
      </c>
    </row>
    <row r="1094">
      <c r="A1094">
        <f>IFERROR(--SUBSTITUTE(SUBSTITUTE(TRIM(INDEX(INDIRECT("'Выгрузка'!A1094:Z1094"),Настройки!$B$7)),",","."),".",MID(1/2,2,1)),"")</f>
        <v/>
      </c>
      <c r="B1094">
        <f>IFERROR(--SUBSTITUTE(SUBSTITUTE(TRIM(INDEX(INDIRECT("'Выгрузка'!A1094:Z1094"),Настройки!$B$9)),",","."),".",MID(1/2,2,1)),"")</f>
        <v/>
      </c>
      <c r="C1094">
        <f>TRIM(INDEX(INDIRECT("'Выгрузка'!A1094:Z1094"),Настройки!$B$8)&amp;"")</f>
        <v/>
      </c>
      <c r="D1094">
        <f>IFERROR(--SUBSTITUTE(SUBSTITUTE(TRIM(INDEX(INDIRECT("'Выгрузка'!A1094:Z1094"),Настройки!$B$10)),",","."),".",MID(1/2,2,1)),"")</f>
        <v/>
      </c>
      <c r="E1094">
        <f>IFERROR(--SUBSTITUTE(SUBSTITUTE(TRIM(INDEX(INDIRECT("'Выгрузка'!A1094:Z1094"),Настройки!$B$11)),",","."),".",MID(1/2,2,1)),"")</f>
        <v/>
      </c>
      <c r="F1094">
        <f>TRIM(INDEX(INDIRECT("'Выгрузка'!A1094:Z1094"),Настройки!$B$12)&amp;"")</f>
        <v/>
      </c>
      <c r="G1094">
        <f>IF(F1094="",0,IF(TRIM(INDEX(INDIRECT("'Выгрузка'!A1094:Z1094"),Настройки!$B$13)&amp;"")="",1,IFERROR(--SUBSTITUTE(SUBSTITUTE(TRIM(INDEX(INDIRECT("'Выгрузка'!A1094:Z1094"),Настройки!$B$13)),",","."),".",MID(1/2,2,1)),"")))</f>
        <v/>
      </c>
      <c r="H1094">
        <f>IF(F1094="",0,IF(COUNTIF(Настройки!$B$17:$B$26,F1094)&gt;0,1,IF(COUNTIF(Настройки!$C$17:$C$26,F1094)&gt;0,2,IF(COUNTIF(Настройки!$D$17:$D$26,F1094)&gt;0,3,0))))</f>
        <v/>
      </c>
      <c r="I1094">
        <f>IF(AND(ISNUMBER(A1094),ISNUMBER(B1094)),A1094*1000+B1094,"")</f>
        <v/>
      </c>
      <c r="J1094">
        <f>IF(I1094="","",IF(COUNTIF(I$2:I1094,I1094)=1,MAX(J$1:J1093)+1,""))</f>
        <v/>
      </c>
    </row>
    <row r="1095">
      <c r="A1095">
        <f>IFERROR(--SUBSTITUTE(SUBSTITUTE(TRIM(INDEX(INDIRECT("'Выгрузка'!A1095:Z1095"),Настройки!$B$7)),",","."),".",MID(1/2,2,1)),"")</f>
        <v/>
      </c>
      <c r="B1095">
        <f>IFERROR(--SUBSTITUTE(SUBSTITUTE(TRIM(INDEX(INDIRECT("'Выгрузка'!A1095:Z1095"),Настройки!$B$9)),",","."),".",MID(1/2,2,1)),"")</f>
        <v/>
      </c>
      <c r="C1095">
        <f>TRIM(INDEX(INDIRECT("'Выгрузка'!A1095:Z1095"),Настройки!$B$8)&amp;"")</f>
        <v/>
      </c>
      <c r="D1095">
        <f>IFERROR(--SUBSTITUTE(SUBSTITUTE(TRIM(INDEX(INDIRECT("'Выгрузка'!A1095:Z1095"),Настройки!$B$10)),",","."),".",MID(1/2,2,1)),"")</f>
        <v/>
      </c>
      <c r="E1095">
        <f>IFERROR(--SUBSTITUTE(SUBSTITUTE(TRIM(INDEX(INDIRECT("'Выгрузка'!A1095:Z1095"),Настройки!$B$11)),",","."),".",MID(1/2,2,1)),"")</f>
        <v/>
      </c>
      <c r="F1095">
        <f>TRIM(INDEX(INDIRECT("'Выгрузка'!A1095:Z1095"),Настройки!$B$12)&amp;"")</f>
        <v/>
      </c>
      <c r="G1095">
        <f>IF(F1095="",0,IF(TRIM(INDEX(INDIRECT("'Выгрузка'!A1095:Z1095"),Настройки!$B$13)&amp;"")="",1,IFERROR(--SUBSTITUTE(SUBSTITUTE(TRIM(INDEX(INDIRECT("'Выгрузка'!A1095:Z1095"),Настройки!$B$13)),",","."),".",MID(1/2,2,1)),"")))</f>
        <v/>
      </c>
      <c r="H1095">
        <f>IF(F1095="",0,IF(COUNTIF(Настройки!$B$17:$B$26,F1095)&gt;0,1,IF(COUNTIF(Настройки!$C$17:$C$26,F1095)&gt;0,2,IF(COUNTIF(Настройки!$D$17:$D$26,F1095)&gt;0,3,0))))</f>
        <v/>
      </c>
      <c r="I1095">
        <f>IF(AND(ISNUMBER(A1095),ISNUMBER(B1095)),A1095*1000+B1095,"")</f>
        <v/>
      </c>
      <c r="J1095">
        <f>IF(I1095="","",IF(COUNTIF(I$2:I1095,I1095)=1,MAX(J$1:J1094)+1,""))</f>
        <v/>
      </c>
    </row>
    <row r="1096">
      <c r="A1096">
        <f>IFERROR(--SUBSTITUTE(SUBSTITUTE(TRIM(INDEX(INDIRECT("'Выгрузка'!A1096:Z1096"),Настройки!$B$7)),",","."),".",MID(1/2,2,1)),"")</f>
        <v/>
      </c>
      <c r="B1096">
        <f>IFERROR(--SUBSTITUTE(SUBSTITUTE(TRIM(INDEX(INDIRECT("'Выгрузка'!A1096:Z1096"),Настройки!$B$9)),",","."),".",MID(1/2,2,1)),"")</f>
        <v/>
      </c>
      <c r="C1096">
        <f>TRIM(INDEX(INDIRECT("'Выгрузка'!A1096:Z1096"),Настройки!$B$8)&amp;"")</f>
        <v/>
      </c>
      <c r="D1096">
        <f>IFERROR(--SUBSTITUTE(SUBSTITUTE(TRIM(INDEX(INDIRECT("'Выгрузка'!A1096:Z1096"),Настройки!$B$10)),",","."),".",MID(1/2,2,1)),"")</f>
        <v/>
      </c>
      <c r="E1096">
        <f>IFERROR(--SUBSTITUTE(SUBSTITUTE(TRIM(INDEX(INDIRECT("'Выгрузка'!A1096:Z1096"),Настройки!$B$11)),",","."),".",MID(1/2,2,1)),"")</f>
        <v/>
      </c>
      <c r="F1096">
        <f>TRIM(INDEX(INDIRECT("'Выгрузка'!A1096:Z1096"),Настройки!$B$12)&amp;"")</f>
        <v/>
      </c>
      <c r="G1096">
        <f>IF(F1096="",0,IF(TRIM(INDEX(INDIRECT("'Выгрузка'!A1096:Z1096"),Настройки!$B$13)&amp;"")="",1,IFERROR(--SUBSTITUTE(SUBSTITUTE(TRIM(INDEX(INDIRECT("'Выгрузка'!A1096:Z1096"),Настройки!$B$13)),",","."),".",MID(1/2,2,1)),"")))</f>
        <v/>
      </c>
      <c r="H1096">
        <f>IF(F1096="",0,IF(COUNTIF(Настройки!$B$17:$B$26,F1096)&gt;0,1,IF(COUNTIF(Настройки!$C$17:$C$26,F1096)&gt;0,2,IF(COUNTIF(Настройки!$D$17:$D$26,F1096)&gt;0,3,0))))</f>
        <v/>
      </c>
      <c r="I1096">
        <f>IF(AND(ISNUMBER(A1096),ISNUMBER(B1096)),A1096*1000+B1096,"")</f>
        <v/>
      </c>
      <c r="J1096">
        <f>IF(I1096="","",IF(COUNTIF(I$2:I1096,I1096)=1,MAX(J$1:J1095)+1,""))</f>
        <v/>
      </c>
    </row>
    <row r="1097">
      <c r="A1097">
        <f>IFERROR(--SUBSTITUTE(SUBSTITUTE(TRIM(INDEX(INDIRECT("'Выгрузка'!A1097:Z1097"),Настройки!$B$7)),",","."),".",MID(1/2,2,1)),"")</f>
        <v/>
      </c>
      <c r="B1097">
        <f>IFERROR(--SUBSTITUTE(SUBSTITUTE(TRIM(INDEX(INDIRECT("'Выгрузка'!A1097:Z1097"),Настройки!$B$9)),",","."),".",MID(1/2,2,1)),"")</f>
        <v/>
      </c>
      <c r="C1097">
        <f>TRIM(INDEX(INDIRECT("'Выгрузка'!A1097:Z1097"),Настройки!$B$8)&amp;"")</f>
        <v/>
      </c>
      <c r="D1097">
        <f>IFERROR(--SUBSTITUTE(SUBSTITUTE(TRIM(INDEX(INDIRECT("'Выгрузка'!A1097:Z1097"),Настройки!$B$10)),",","."),".",MID(1/2,2,1)),"")</f>
        <v/>
      </c>
      <c r="E1097">
        <f>IFERROR(--SUBSTITUTE(SUBSTITUTE(TRIM(INDEX(INDIRECT("'Выгрузка'!A1097:Z1097"),Настройки!$B$11)),",","."),".",MID(1/2,2,1)),"")</f>
        <v/>
      </c>
      <c r="F1097">
        <f>TRIM(INDEX(INDIRECT("'Выгрузка'!A1097:Z1097"),Настройки!$B$12)&amp;"")</f>
        <v/>
      </c>
      <c r="G1097">
        <f>IF(F1097="",0,IF(TRIM(INDEX(INDIRECT("'Выгрузка'!A1097:Z1097"),Настройки!$B$13)&amp;"")="",1,IFERROR(--SUBSTITUTE(SUBSTITUTE(TRIM(INDEX(INDIRECT("'Выгрузка'!A1097:Z1097"),Настройки!$B$13)),",","."),".",MID(1/2,2,1)),"")))</f>
        <v/>
      </c>
      <c r="H1097">
        <f>IF(F1097="",0,IF(COUNTIF(Настройки!$B$17:$B$26,F1097)&gt;0,1,IF(COUNTIF(Настройки!$C$17:$C$26,F1097)&gt;0,2,IF(COUNTIF(Настройки!$D$17:$D$26,F1097)&gt;0,3,0))))</f>
        <v/>
      </c>
      <c r="I1097">
        <f>IF(AND(ISNUMBER(A1097),ISNUMBER(B1097)),A1097*1000+B1097,"")</f>
        <v/>
      </c>
      <c r="J1097">
        <f>IF(I1097="","",IF(COUNTIF(I$2:I1097,I1097)=1,MAX(J$1:J1096)+1,""))</f>
        <v/>
      </c>
    </row>
    <row r="1098">
      <c r="A1098">
        <f>IFERROR(--SUBSTITUTE(SUBSTITUTE(TRIM(INDEX(INDIRECT("'Выгрузка'!A1098:Z1098"),Настройки!$B$7)),",","."),".",MID(1/2,2,1)),"")</f>
        <v/>
      </c>
      <c r="B1098">
        <f>IFERROR(--SUBSTITUTE(SUBSTITUTE(TRIM(INDEX(INDIRECT("'Выгрузка'!A1098:Z1098"),Настройки!$B$9)),",","."),".",MID(1/2,2,1)),"")</f>
        <v/>
      </c>
      <c r="C1098">
        <f>TRIM(INDEX(INDIRECT("'Выгрузка'!A1098:Z1098"),Настройки!$B$8)&amp;"")</f>
        <v/>
      </c>
      <c r="D1098">
        <f>IFERROR(--SUBSTITUTE(SUBSTITUTE(TRIM(INDEX(INDIRECT("'Выгрузка'!A1098:Z1098"),Настройки!$B$10)),",","."),".",MID(1/2,2,1)),"")</f>
        <v/>
      </c>
      <c r="E1098">
        <f>IFERROR(--SUBSTITUTE(SUBSTITUTE(TRIM(INDEX(INDIRECT("'Выгрузка'!A1098:Z1098"),Настройки!$B$11)),",","."),".",MID(1/2,2,1)),"")</f>
        <v/>
      </c>
      <c r="F1098">
        <f>TRIM(INDEX(INDIRECT("'Выгрузка'!A1098:Z1098"),Настройки!$B$12)&amp;"")</f>
        <v/>
      </c>
      <c r="G1098">
        <f>IF(F1098="",0,IF(TRIM(INDEX(INDIRECT("'Выгрузка'!A1098:Z1098"),Настройки!$B$13)&amp;"")="",1,IFERROR(--SUBSTITUTE(SUBSTITUTE(TRIM(INDEX(INDIRECT("'Выгрузка'!A1098:Z1098"),Настройки!$B$13)),",","."),".",MID(1/2,2,1)),"")))</f>
        <v/>
      </c>
      <c r="H1098">
        <f>IF(F1098="",0,IF(COUNTIF(Настройки!$B$17:$B$26,F1098)&gt;0,1,IF(COUNTIF(Настройки!$C$17:$C$26,F1098)&gt;0,2,IF(COUNTIF(Настройки!$D$17:$D$26,F1098)&gt;0,3,0))))</f>
        <v/>
      </c>
      <c r="I1098">
        <f>IF(AND(ISNUMBER(A1098),ISNUMBER(B1098)),A1098*1000+B1098,"")</f>
        <v/>
      </c>
      <c r="J1098">
        <f>IF(I1098="","",IF(COUNTIF(I$2:I1098,I1098)=1,MAX(J$1:J1097)+1,""))</f>
        <v/>
      </c>
    </row>
    <row r="1099">
      <c r="A1099">
        <f>IFERROR(--SUBSTITUTE(SUBSTITUTE(TRIM(INDEX(INDIRECT("'Выгрузка'!A1099:Z1099"),Настройки!$B$7)),",","."),".",MID(1/2,2,1)),"")</f>
        <v/>
      </c>
      <c r="B1099">
        <f>IFERROR(--SUBSTITUTE(SUBSTITUTE(TRIM(INDEX(INDIRECT("'Выгрузка'!A1099:Z1099"),Настройки!$B$9)),",","."),".",MID(1/2,2,1)),"")</f>
        <v/>
      </c>
      <c r="C1099">
        <f>TRIM(INDEX(INDIRECT("'Выгрузка'!A1099:Z1099"),Настройки!$B$8)&amp;"")</f>
        <v/>
      </c>
      <c r="D1099">
        <f>IFERROR(--SUBSTITUTE(SUBSTITUTE(TRIM(INDEX(INDIRECT("'Выгрузка'!A1099:Z1099"),Настройки!$B$10)),",","."),".",MID(1/2,2,1)),"")</f>
        <v/>
      </c>
      <c r="E1099">
        <f>IFERROR(--SUBSTITUTE(SUBSTITUTE(TRIM(INDEX(INDIRECT("'Выгрузка'!A1099:Z1099"),Настройки!$B$11)),",","."),".",MID(1/2,2,1)),"")</f>
        <v/>
      </c>
      <c r="F1099">
        <f>TRIM(INDEX(INDIRECT("'Выгрузка'!A1099:Z1099"),Настройки!$B$12)&amp;"")</f>
        <v/>
      </c>
      <c r="G1099">
        <f>IF(F1099="",0,IF(TRIM(INDEX(INDIRECT("'Выгрузка'!A1099:Z1099"),Настройки!$B$13)&amp;"")="",1,IFERROR(--SUBSTITUTE(SUBSTITUTE(TRIM(INDEX(INDIRECT("'Выгрузка'!A1099:Z1099"),Настройки!$B$13)),",","."),".",MID(1/2,2,1)),"")))</f>
        <v/>
      </c>
      <c r="H1099">
        <f>IF(F1099="",0,IF(COUNTIF(Настройки!$B$17:$B$26,F1099)&gt;0,1,IF(COUNTIF(Настройки!$C$17:$C$26,F1099)&gt;0,2,IF(COUNTIF(Настройки!$D$17:$D$26,F1099)&gt;0,3,0))))</f>
        <v/>
      </c>
      <c r="I1099">
        <f>IF(AND(ISNUMBER(A1099),ISNUMBER(B1099)),A1099*1000+B1099,"")</f>
        <v/>
      </c>
      <c r="J1099">
        <f>IF(I1099="","",IF(COUNTIF(I$2:I1099,I1099)=1,MAX(J$1:J1098)+1,""))</f>
        <v/>
      </c>
    </row>
    <row r="1100">
      <c r="A1100">
        <f>IFERROR(--SUBSTITUTE(SUBSTITUTE(TRIM(INDEX(INDIRECT("'Выгрузка'!A1100:Z1100"),Настройки!$B$7)),",","."),".",MID(1/2,2,1)),"")</f>
        <v/>
      </c>
      <c r="B1100">
        <f>IFERROR(--SUBSTITUTE(SUBSTITUTE(TRIM(INDEX(INDIRECT("'Выгрузка'!A1100:Z1100"),Настройки!$B$9)),",","."),".",MID(1/2,2,1)),"")</f>
        <v/>
      </c>
      <c r="C1100">
        <f>TRIM(INDEX(INDIRECT("'Выгрузка'!A1100:Z1100"),Настройки!$B$8)&amp;"")</f>
        <v/>
      </c>
      <c r="D1100">
        <f>IFERROR(--SUBSTITUTE(SUBSTITUTE(TRIM(INDEX(INDIRECT("'Выгрузка'!A1100:Z1100"),Настройки!$B$10)),",","."),".",MID(1/2,2,1)),"")</f>
        <v/>
      </c>
      <c r="E1100">
        <f>IFERROR(--SUBSTITUTE(SUBSTITUTE(TRIM(INDEX(INDIRECT("'Выгрузка'!A1100:Z1100"),Настройки!$B$11)),",","."),".",MID(1/2,2,1)),"")</f>
        <v/>
      </c>
      <c r="F1100">
        <f>TRIM(INDEX(INDIRECT("'Выгрузка'!A1100:Z1100"),Настройки!$B$12)&amp;"")</f>
        <v/>
      </c>
      <c r="G1100">
        <f>IF(F1100="",0,IF(TRIM(INDEX(INDIRECT("'Выгрузка'!A1100:Z1100"),Настройки!$B$13)&amp;"")="",1,IFERROR(--SUBSTITUTE(SUBSTITUTE(TRIM(INDEX(INDIRECT("'Выгрузка'!A1100:Z1100"),Настройки!$B$13)),",","."),".",MID(1/2,2,1)),"")))</f>
        <v/>
      </c>
      <c r="H1100">
        <f>IF(F1100="",0,IF(COUNTIF(Настройки!$B$17:$B$26,F1100)&gt;0,1,IF(COUNTIF(Настройки!$C$17:$C$26,F1100)&gt;0,2,IF(COUNTIF(Настройки!$D$17:$D$26,F1100)&gt;0,3,0))))</f>
        <v/>
      </c>
      <c r="I1100">
        <f>IF(AND(ISNUMBER(A1100),ISNUMBER(B1100)),A1100*1000+B1100,"")</f>
        <v/>
      </c>
      <c r="J1100">
        <f>IF(I1100="","",IF(COUNTIF(I$2:I1100,I1100)=1,MAX(J$1:J1099)+1,""))</f>
        <v/>
      </c>
    </row>
    <row r="1101">
      <c r="A1101">
        <f>IFERROR(--SUBSTITUTE(SUBSTITUTE(TRIM(INDEX(INDIRECT("'Выгрузка'!A1101:Z1101"),Настройки!$B$7)),",","."),".",MID(1/2,2,1)),"")</f>
        <v/>
      </c>
      <c r="B1101">
        <f>IFERROR(--SUBSTITUTE(SUBSTITUTE(TRIM(INDEX(INDIRECT("'Выгрузка'!A1101:Z1101"),Настройки!$B$9)),",","."),".",MID(1/2,2,1)),"")</f>
        <v/>
      </c>
      <c r="C1101">
        <f>TRIM(INDEX(INDIRECT("'Выгрузка'!A1101:Z1101"),Настройки!$B$8)&amp;"")</f>
        <v/>
      </c>
      <c r="D1101">
        <f>IFERROR(--SUBSTITUTE(SUBSTITUTE(TRIM(INDEX(INDIRECT("'Выгрузка'!A1101:Z1101"),Настройки!$B$10)),",","."),".",MID(1/2,2,1)),"")</f>
        <v/>
      </c>
      <c r="E1101">
        <f>IFERROR(--SUBSTITUTE(SUBSTITUTE(TRIM(INDEX(INDIRECT("'Выгрузка'!A1101:Z1101"),Настройки!$B$11)),",","."),".",MID(1/2,2,1)),"")</f>
        <v/>
      </c>
      <c r="F1101">
        <f>TRIM(INDEX(INDIRECT("'Выгрузка'!A1101:Z1101"),Настройки!$B$12)&amp;"")</f>
        <v/>
      </c>
      <c r="G1101">
        <f>IF(F1101="",0,IF(TRIM(INDEX(INDIRECT("'Выгрузка'!A1101:Z1101"),Настройки!$B$13)&amp;"")="",1,IFERROR(--SUBSTITUTE(SUBSTITUTE(TRIM(INDEX(INDIRECT("'Выгрузка'!A1101:Z1101"),Настройки!$B$13)),",","."),".",MID(1/2,2,1)),"")))</f>
        <v/>
      </c>
      <c r="H1101">
        <f>IF(F1101="",0,IF(COUNTIF(Настройки!$B$17:$B$26,F1101)&gt;0,1,IF(COUNTIF(Настройки!$C$17:$C$26,F1101)&gt;0,2,IF(COUNTIF(Настройки!$D$17:$D$26,F1101)&gt;0,3,0))))</f>
        <v/>
      </c>
      <c r="I1101">
        <f>IF(AND(ISNUMBER(A1101),ISNUMBER(B1101)),A1101*1000+B1101,"")</f>
        <v/>
      </c>
      <c r="J1101">
        <f>IF(I1101="","",IF(COUNTIF(I$2:I1101,I1101)=1,MAX(J$1:J1100)+1,""))</f>
        <v/>
      </c>
    </row>
    <row r="1102">
      <c r="A1102">
        <f>IFERROR(--SUBSTITUTE(SUBSTITUTE(TRIM(INDEX(INDIRECT("'Выгрузка'!A1102:Z1102"),Настройки!$B$7)),",","."),".",MID(1/2,2,1)),"")</f>
        <v/>
      </c>
      <c r="B1102">
        <f>IFERROR(--SUBSTITUTE(SUBSTITUTE(TRIM(INDEX(INDIRECT("'Выгрузка'!A1102:Z1102"),Настройки!$B$9)),",","."),".",MID(1/2,2,1)),"")</f>
        <v/>
      </c>
      <c r="C1102">
        <f>TRIM(INDEX(INDIRECT("'Выгрузка'!A1102:Z1102"),Настройки!$B$8)&amp;"")</f>
        <v/>
      </c>
      <c r="D1102">
        <f>IFERROR(--SUBSTITUTE(SUBSTITUTE(TRIM(INDEX(INDIRECT("'Выгрузка'!A1102:Z1102"),Настройки!$B$10)),",","."),".",MID(1/2,2,1)),"")</f>
        <v/>
      </c>
      <c r="E1102">
        <f>IFERROR(--SUBSTITUTE(SUBSTITUTE(TRIM(INDEX(INDIRECT("'Выгрузка'!A1102:Z1102"),Настройки!$B$11)),",","."),".",MID(1/2,2,1)),"")</f>
        <v/>
      </c>
      <c r="F1102">
        <f>TRIM(INDEX(INDIRECT("'Выгрузка'!A1102:Z1102"),Настройки!$B$12)&amp;"")</f>
        <v/>
      </c>
      <c r="G1102">
        <f>IF(F1102="",0,IF(TRIM(INDEX(INDIRECT("'Выгрузка'!A1102:Z1102"),Настройки!$B$13)&amp;"")="",1,IFERROR(--SUBSTITUTE(SUBSTITUTE(TRIM(INDEX(INDIRECT("'Выгрузка'!A1102:Z1102"),Настройки!$B$13)),",","."),".",MID(1/2,2,1)),"")))</f>
        <v/>
      </c>
      <c r="H1102">
        <f>IF(F1102="",0,IF(COUNTIF(Настройки!$B$17:$B$26,F1102)&gt;0,1,IF(COUNTIF(Настройки!$C$17:$C$26,F1102)&gt;0,2,IF(COUNTIF(Настройки!$D$17:$D$26,F1102)&gt;0,3,0))))</f>
        <v/>
      </c>
      <c r="I1102">
        <f>IF(AND(ISNUMBER(A1102),ISNUMBER(B1102)),A1102*1000+B1102,"")</f>
        <v/>
      </c>
      <c r="J1102">
        <f>IF(I1102="","",IF(COUNTIF(I$2:I1102,I1102)=1,MAX(J$1:J1101)+1,""))</f>
        <v/>
      </c>
    </row>
    <row r="1103">
      <c r="A1103">
        <f>IFERROR(--SUBSTITUTE(SUBSTITUTE(TRIM(INDEX(INDIRECT("'Выгрузка'!A1103:Z1103"),Настройки!$B$7)),",","."),".",MID(1/2,2,1)),"")</f>
        <v/>
      </c>
      <c r="B1103">
        <f>IFERROR(--SUBSTITUTE(SUBSTITUTE(TRIM(INDEX(INDIRECT("'Выгрузка'!A1103:Z1103"),Настройки!$B$9)),",","."),".",MID(1/2,2,1)),"")</f>
        <v/>
      </c>
      <c r="C1103">
        <f>TRIM(INDEX(INDIRECT("'Выгрузка'!A1103:Z1103"),Настройки!$B$8)&amp;"")</f>
        <v/>
      </c>
      <c r="D1103">
        <f>IFERROR(--SUBSTITUTE(SUBSTITUTE(TRIM(INDEX(INDIRECT("'Выгрузка'!A1103:Z1103"),Настройки!$B$10)),",","."),".",MID(1/2,2,1)),"")</f>
        <v/>
      </c>
      <c r="E1103">
        <f>IFERROR(--SUBSTITUTE(SUBSTITUTE(TRIM(INDEX(INDIRECT("'Выгрузка'!A1103:Z1103"),Настройки!$B$11)),",","."),".",MID(1/2,2,1)),"")</f>
        <v/>
      </c>
      <c r="F1103">
        <f>TRIM(INDEX(INDIRECT("'Выгрузка'!A1103:Z1103"),Настройки!$B$12)&amp;"")</f>
        <v/>
      </c>
      <c r="G1103">
        <f>IF(F1103="",0,IF(TRIM(INDEX(INDIRECT("'Выгрузка'!A1103:Z1103"),Настройки!$B$13)&amp;"")="",1,IFERROR(--SUBSTITUTE(SUBSTITUTE(TRIM(INDEX(INDIRECT("'Выгрузка'!A1103:Z1103"),Настройки!$B$13)),",","."),".",MID(1/2,2,1)),"")))</f>
        <v/>
      </c>
      <c r="H1103">
        <f>IF(F1103="",0,IF(COUNTIF(Настройки!$B$17:$B$26,F1103)&gt;0,1,IF(COUNTIF(Настройки!$C$17:$C$26,F1103)&gt;0,2,IF(COUNTIF(Настройки!$D$17:$D$26,F1103)&gt;0,3,0))))</f>
        <v/>
      </c>
      <c r="I1103">
        <f>IF(AND(ISNUMBER(A1103),ISNUMBER(B1103)),A1103*1000+B1103,"")</f>
        <v/>
      </c>
      <c r="J1103">
        <f>IF(I1103="","",IF(COUNTIF(I$2:I1103,I1103)=1,MAX(J$1:J1102)+1,""))</f>
        <v/>
      </c>
    </row>
    <row r="1104">
      <c r="A1104">
        <f>IFERROR(--SUBSTITUTE(SUBSTITUTE(TRIM(INDEX(INDIRECT("'Выгрузка'!A1104:Z1104"),Настройки!$B$7)),",","."),".",MID(1/2,2,1)),"")</f>
        <v/>
      </c>
      <c r="B1104">
        <f>IFERROR(--SUBSTITUTE(SUBSTITUTE(TRIM(INDEX(INDIRECT("'Выгрузка'!A1104:Z1104"),Настройки!$B$9)),",","."),".",MID(1/2,2,1)),"")</f>
        <v/>
      </c>
      <c r="C1104">
        <f>TRIM(INDEX(INDIRECT("'Выгрузка'!A1104:Z1104"),Настройки!$B$8)&amp;"")</f>
        <v/>
      </c>
      <c r="D1104">
        <f>IFERROR(--SUBSTITUTE(SUBSTITUTE(TRIM(INDEX(INDIRECT("'Выгрузка'!A1104:Z1104"),Настройки!$B$10)),",","."),".",MID(1/2,2,1)),"")</f>
        <v/>
      </c>
      <c r="E1104">
        <f>IFERROR(--SUBSTITUTE(SUBSTITUTE(TRIM(INDEX(INDIRECT("'Выгрузка'!A1104:Z1104"),Настройки!$B$11)),",","."),".",MID(1/2,2,1)),"")</f>
        <v/>
      </c>
      <c r="F1104">
        <f>TRIM(INDEX(INDIRECT("'Выгрузка'!A1104:Z1104"),Настройки!$B$12)&amp;"")</f>
        <v/>
      </c>
      <c r="G1104">
        <f>IF(F1104="",0,IF(TRIM(INDEX(INDIRECT("'Выгрузка'!A1104:Z1104"),Настройки!$B$13)&amp;"")="",1,IFERROR(--SUBSTITUTE(SUBSTITUTE(TRIM(INDEX(INDIRECT("'Выгрузка'!A1104:Z1104"),Настройки!$B$13)),",","."),".",MID(1/2,2,1)),"")))</f>
        <v/>
      </c>
      <c r="H1104">
        <f>IF(F1104="",0,IF(COUNTIF(Настройки!$B$17:$B$26,F1104)&gt;0,1,IF(COUNTIF(Настройки!$C$17:$C$26,F1104)&gt;0,2,IF(COUNTIF(Настройки!$D$17:$D$26,F1104)&gt;0,3,0))))</f>
        <v/>
      </c>
      <c r="I1104">
        <f>IF(AND(ISNUMBER(A1104),ISNUMBER(B1104)),A1104*1000+B1104,"")</f>
        <v/>
      </c>
      <c r="J1104">
        <f>IF(I1104="","",IF(COUNTIF(I$2:I1104,I1104)=1,MAX(J$1:J1103)+1,""))</f>
        <v/>
      </c>
    </row>
    <row r="1105">
      <c r="A1105">
        <f>IFERROR(--SUBSTITUTE(SUBSTITUTE(TRIM(INDEX(INDIRECT("'Выгрузка'!A1105:Z1105"),Настройки!$B$7)),",","."),".",MID(1/2,2,1)),"")</f>
        <v/>
      </c>
      <c r="B1105">
        <f>IFERROR(--SUBSTITUTE(SUBSTITUTE(TRIM(INDEX(INDIRECT("'Выгрузка'!A1105:Z1105"),Настройки!$B$9)),",","."),".",MID(1/2,2,1)),"")</f>
        <v/>
      </c>
      <c r="C1105">
        <f>TRIM(INDEX(INDIRECT("'Выгрузка'!A1105:Z1105"),Настройки!$B$8)&amp;"")</f>
        <v/>
      </c>
      <c r="D1105">
        <f>IFERROR(--SUBSTITUTE(SUBSTITUTE(TRIM(INDEX(INDIRECT("'Выгрузка'!A1105:Z1105"),Настройки!$B$10)),",","."),".",MID(1/2,2,1)),"")</f>
        <v/>
      </c>
      <c r="E1105">
        <f>IFERROR(--SUBSTITUTE(SUBSTITUTE(TRIM(INDEX(INDIRECT("'Выгрузка'!A1105:Z1105"),Настройки!$B$11)),",","."),".",MID(1/2,2,1)),"")</f>
        <v/>
      </c>
      <c r="F1105">
        <f>TRIM(INDEX(INDIRECT("'Выгрузка'!A1105:Z1105"),Настройки!$B$12)&amp;"")</f>
        <v/>
      </c>
      <c r="G1105">
        <f>IF(F1105="",0,IF(TRIM(INDEX(INDIRECT("'Выгрузка'!A1105:Z1105"),Настройки!$B$13)&amp;"")="",1,IFERROR(--SUBSTITUTE(SUBSTITUTE(TRIM(INDEX(INDIRECT("'Выгрузка'!A1105:Z1105"),Настройки!$B$13)),",","."),".",MID(1/2,2,1)),"")))</f>
        <v/>
      </c>
      <c r="H1105">
        <f>IF(F1105="",0,IF(COUNTIF(Настройки!$B$17:$B$26,F1105)&gt;0,1,IF(COUNTIF(Настройки!$C$17:$C$26,F1105)&gt;0,2,IF(COUNTIF(Настройки!$D$17:$D$26,F1105)&gt;0,3,0))))</f>
        <v/>
      </c>
      <c r="I1105">
        <f>IF(AND(ISNUMBER(A1105),ISNUMBER(B1105)),A1105*1000+B1105,"")</f>
        <v/>
      </c>
      <c r="J1105">
        <f>IF(I1105="","",IF(COUNTIF(I$2:I1105,I1105)=1,MAX(J$1:J1104)+1,""))</f>
        <v/>
      </c>
    </row>
    <row r="1106">
      <c r="A1106">
        <f>IFERROR(--SUBSTITUTE(SUBSTITUTE(TRIM(INDEX(INDIRECT("'Выгрузка'!A1106:Z1106"),Настройки!$B$7)),",","."),".",MID(1/2,2,1)),"")</f>
        <v/>
      </c>
      <c r="B1106">
        <f>IFERROR(--SUBSTITUTE(SUBSTITUTE(TRIM(INDEX(INDIRECT("'Выгрузка'!A1106:Z1106"),Настройки!$B$9)),",","."),".",MID(1/2,2,1)),"")</f>
        <v/>
      </c>
      <c r="C1106">
        <f>TRIM(INDEX(INDIRECT("'Выгрузка'!A1106:Z1106"),Настройки!$B$8)&amp;"")</f>
        <v/>
      </c>
      <c r="D1106">
        <f>IFERROR(--SUBSTITUTE(SUBSTITUTE(TRIM(INDEX(INDIRECT("'Выгрузка'!A1106:Z1106"),Настройки!$B$10)),",","."),".",MID(1/2,2,1)),"")</f>
        <v/>
      </c>
      <c r="E1106">
        <f>IFERROR(--SUBSTITUTE(SUBSTITUTE(TRIM(INDEX(INDIRECT("'Выгрузка'!A1106:Z1106"),Настройки!$B$11)),",","."),".",MID(1/2,2,1)),"")</f>
        <v/>
      </c>
      <c r="F1106">
        <f>TRIM(INDEX(INDIRECT("'Выгрузка'!A1106:Z1106"),Настройки!$B$12)&amp;"")</f>
        <v/>
      </c>
      <c r="G1106">
        <f>IF(F1106="",0,IF(TRIM(INDEX(INDIRECT("'Выгрузка'!A1106:Z1106"),Настройки!$B$13)&amp;"")="",1,IFERROR(--SUBSTITUTE(SUBSTITUTE(TRIM(INDEX(INDIRECT("'Выгрузка'!A1106:Z1106"),Настройки!$B$13)),",","."),".",MID(1/2,2,1)),"")))</f>
        <v/>
      </c>
      <c r="H1106">
        <f>IF(F1106="",0,IF(COUNTIF(Настройки!$B$17:$B$26,F1106)&gt;0,1,IF(COUNTIF(Настройки!$C$17:$C$26,F1106)&gt;0,2,IF(COUNTIF(Настройки!$D$17:$D$26,F1106)&gt;0,3,0))))</f>
        <v/>
      </c>
      <c r="I1106">
        <f>IF(AND(ISNUMBER(A1106),ISNUMBER(B1106)),A1106*1000+B1106,"")</f>
        <v/>
      </c>
      <c r="J1106">
        <f>IF(I1106="","",IF(COUNTIF(I$2:I1106,I1106)=1,MAX(J$1:J1105)+1,""))</f>
        <v/>
      </c>
    </row>
    <row r="1107">
      <c r="A1107">
        <f>IFERROR(--SUBSTITUTE(SUBSTITUTE(TRIM(INDEX(INDIRECT("'Выгрузка'!A1107:Z1107"),Настройки!$B$7)),",","."),".",MID(1/2,2,1)),"")</f>
        <v/>
      </c>
      <c r="B1107">
        <f>IFERROR(--SUBSTITUTE(SUBSTITUTE(TRIM(INDEX(INDIRECT("'Выгрузка'!A1107:Z1107"),Настройки!$B$9)),",","."),".",MID(1/2,2,1)),"")</f>
        <v/>
      </c>
      <c r="C1107">
        <f>TRIM(INDEX(INDIRECT("'Выгрузка'!A1107:Z1107"),Настройки!$B$8)&amp;"")</f>
        <v/>
      </c>
      <c r="D1107">
        <f>IFERROR(--SUBSTITUTE(SUBSTITUTE(TRIM(INDEX(INDIRECT("'Выгрузка'!A1107:Z1107"),Настройки!$B$10)),",","."),".",MID(1/2,2,1)),"")</f>
        <v/>
      </c>
      <c r="E1107">
        <f>IFERROR(--SUBSTITUTE(SUBSTITUTE(TRIM(INDEX(INDIRECT("'Выгрузка'!A1107:Z1107"),Настройки!$B$11)),",","."),".",MID(1/2,2,1)),"")</f>
        <v/>
      </c>
      <c r="F1107">
        <f>TRIM(INDEX(INDIRECT("'Выгрузка'!A1107:Z1107"),Настройки!$B$12)&amp;"")</f>
        <v/>
      </c>
      <c r="G1107">
        <f>IF(F1107="",0,IF(TRIM(INDEX(INDIRECT("'Выгрузка'!A1107:Z1107"),Настройки!$B$13)&amp;"")="",1,IFERROR(--SUBSTITUTE(SUBSTITUTE(TRIM(INDEX(INDIRECT("'Выгрузка'!A1107:Z1107"),Настройки!$B$13)),",","."),".",MID(1/2,2,1)),"")))</f>
        <v/>
      </c>
      <c r="H1107">
        <f>IF(F1107="",0,IF(COUNTIF(Настройки!$B$17:$B$26,F1107)&gt;0,1,IF(COUNTIF(Настройки!$C$17:$C$26,F1107)&gt;0,2,IF(COUNTIF(Настройки!$D$17:$D$26,F1107)&gt;0,3,0))))</f>
        <v/>
      </c>
      <c r="I1107">
        <f>IF(AND(ISNUMBER(A1107),ISNUMBER(B1107)),A1107*1000+B1107,"")</f>
        <v/>
      </c>
      <c r="J1107">
        <f>IF(I1107="","",IF(COUNTIF(I$2:I1107,I1107)=1,MAX(J$1:J1106)+1,""))</f>
        <v/>
      </c>
    </row>
    <row r="1108">
      <c r="A1108">
        <f>IFERROR(--SUBSTITUTE(SUBSTITUTE(TRIM(INDEX(INDIRECT("'Выгрузка'!A1108:Z1108"),Настройки!$B$7)),",","."),".",MID(1/2,2,1)),"")</f>
        <v/>
      </c>
      <c r="B1108">
        <f>IFERROR(--SUBSTITUTE(SUBSTITUTE(TRIM(INDEX(INDIRECT("'Выгрузка'!A1108:Z1108"),Настройки!$B$9)),",","."),".",MID(1/2,2,1)),"")</f>
        <v/>
      </c>
      <c r="C1108">
        <f>TRIM(INDEX(INDIRECT("'Выгрузка'!A1108:Z1108"),Настройки!$B$8)&amp;"")</f>
        <v/>
      </c>
      <c r="D1108">
        <f>IFERROR(--SUBSTITUTE(SUBSTITUTE(TRIM(INDEX(INDIRECT("'Выгрузка'!A1108:Z1108"),Настройки!$B$10)),",","."),".",MID(1/2,2,1)),"")</f>
        <v/>
      </c>
      <c r="E1108">
        <f>IFERROR(--SUBSTITUTE(SUBSTITUTE(TRIM(INDEX(INDIRECT("'Выгрузка'!A1108:Z1108"),Настройки!$B$11)),",","."),".",MID(1/2,2,1)),"")</f>
        <v/>
      </c>
      <c r="F1108">
        <f>TRIM(INDEX(INDIRECT("'Выгрузка'!A1108:Z1108"),Настройки!$B$12)&amp;"")</f>
        <v/>
      </c>
      <c r="G1108">
        <f>IF(F1108="",0,IF(TRIM(INDEX(INDIRECT("'Выгрузка'!A1108:Z1108"),Настройки!$B$13)&amp;"")="",1,IFERROR(--SUBSTITUTE(SUBSTITUTE(TRIM(INDEX(INDIRECT("'Выгрузка'!A1108:Z1108"),Настройки!$B$13)),",","."),".",MID(1/2,2,1)),"")))</f>
        <v/>
      </c>
      <c r="H1108">
        <f>IF(F1108="",0,IF(COUNTIF(Настройки!$B$17:$B$26,F1108)&gt;0,1,IF(COUNTIF(Настройки!$C$17:$C$26,F1108)&gt;0,2,IF(COUNTIF(Настройки!$D$17:$D$26,F1108)&gt;0,3,0))))</f>
        <v/>
      </c>
      <c r="I1108">
        <f>IF(AND(ISNUMBER(A1108),ISNUMBER(B1108)),A1108*1000+B1108,"")</f>
        <v/>
      </c>
      <c r="J1108">
        <f>IF(I1108="","",IF(COUNTIF(I$2:I1108,I1108)=1,MAX(J$1:J1107)+1,""))</f>
        <v/>
      </c>
    </row>
    <row r="1109">
      <c r="A1109">
        <f>IFERROR(--SUBSTITUTE(SUBSTITUTE(TRIM(INDEX(INDIRECT("'Выгрузка'!A1109:Z1109"),Настройки!$B$7)),",","."),".",MID(1/2,2,1)),"")</f>
        <v/>
      </c>
      <c r="B1109">
        <f>IFERROR(--SUBSTITUTE(SUBSTITUTE(TRIM(INDEX(INDIRECT("'Выгрузка'!A1109:Z1109"),Настройки!$B$9)),",","."),".",MID(1/2,2,1)),"")</f>
        <v/>
      </c>
      <c r="C1109">
        <f>TRIM(INDEX(INDIRECT("'Выгрузка'!A1109:Z1109"),Настройки!$B$8)&amp;"")</f>
        <v/>
      </c>
      <c r="D1109">
        <f>IFERROR(--SUBSTITUTE(SUBSTITUTE(TRIM(INDEX(INDIRECT("'Выгрузка'!A1109:Z1109"),Настройки!$B$10)),",","."),".",MID(1/2,2,1)),"")</f>
        <v/>
      </c>
      <c r="E1109">
        <f>IFERROR(--SUBSTITUTE(SUBSTITUTE(TRIM(INDEX(INDIRECT("'Выгрузка'!A1109:Z1109"),Настройки!$B$11)),",","."),".",MID(1/2,2,1)),"")</f>
        <v/>
      </c>
      <c r="F1109">
        <f>TRIM(INDEX(INDIRECT("'Выгрузка'!A1109:Z1109"),Настройки!$B$12)&amp;"")</f>
        <v/>
      </c>
      <c r="G1109">
        <f>IF(F1109="",0,IF(TRIM(INDEX(INDIRECT("'Выгрузка'!A1109:Z1109"),Настройки!$B$13)&amp;"")="",1,IFERROR(--SUBSTITUTE(SUBSTITUTE(TRIM(INDEX(INDIRECT("'Выгрузка'!A1109:Z1109"),Настройки!$B$13)),",","."),".",MID(1/2,2,1)),"")))</f>
        <v/>
      </c>
      <c r="H1109">
        <f>IF(F1109="",0,IF(COUNTIF(Настройки!$B$17:$B$26,F1109)&gt;0,1,IF(COUNTIF(Настройки!$C$17:$C$26,F1109)&gt;0,2,IF(COUNTIF(Настройки!$D$17:$D$26,F1109)&gt;0,3,0))))</f>
        <v/>
      </c>
      <c r="I1109">
        <f>IF(AND(ISNUMBER(A1109),ISNUMBER(B1109)),A1109*1000+B1109,"")</f>
        <v/>
      </c>
      <c r="J1109">
        <f>IF(I1109="","",IF(COUNTIF(I$2:I1109,I1109)=1,MAX(J$1:J1108)+1,""))</f>
        <v/>
      </c>
    </row>
    <row r="1110">
      <c r="A1110">
        <f>IFERROR(--SUBSTITUTE(SUBSTITUTE(TRIM(INDEX(INDIRECT("'Выгрузка'!A1110:Z1110"),Настройки!$B$7)),",","."),".",MID(1/2,2,1)),"")</f>
        <v/>
      </c>
      <c r="B1110">
        <f>IFERROR(--SUBSTITUTE(SUBSTITUTE(TRIM(INDEX(INDIRECT("'Выгрузка'!A1110:Z1110"),Настройки!$B$9)),",","."),".",MID(1/2,2,1)),"")</f>
        <v/>
      </c>
      <c r="C1110">
        <f>TRIM(INDEX(INDIRECT("'Выгрузка'!A1110:Z1110"),Настройки!$B$8)&amp;"")</f>
        <v/>
      </c>
      <c r="D1110">
        <f>IFERROR(--SUBSTITUTE(SUBSTITUTE(TRIM(INDEX(INDIRECT("'Выгрузка'!A1110:Z1110"),Настройки!$B$10)),",","."),".",MID(1/2,2,1)),"")</f>
        <v/>
      </c>
      <c r="E1110">
        <f>IFERROR(--SUBSTITUTE(SUBSTITUTE(TRIM(INDEX(INDIRECT("'Выгрузка'!A1110:Z1110"),Настройки!$B$11)),",","."),".",MID(1/2,2,1)),"")</f>
        <v/>
      </c>
      <c r="F1110">
        <f>TRIM(INDEX(INDIRECT("'Выгрузка'!A1110:Z1110"),Настройки!$B$12)&amp;"")</f>
        <v/>
      </c>
      <c r="G1110">
        <f>IF(F1110="",0,IF(TRIM(INDEX(INDIRECT("'Выгрузка'!A1110:Z1110"),Настройки!$B$13)&amp;"")="",1,IFERROR(--SUBSTITUTE(SUBSTITUTE(TRIM(INDEX(INDIRECT("'Выгрузка'!A1110:Z1110"),Настройки!$B$13)),",","."),".",MID(1/2,2,1)),"")))</f>
        <v/>
      </c>
      <c r="H1110">
        <f>IF(F1110="",0,IF(COUNTIF(Настройки!$B$17:$B$26,F1110)&gt;0,1,IF(COUNTIF(Настройки!$C$17:$C$26,F1110)&gt;0,2,IF(COUNTIF(Настройки!$D$17:$D$26,F1110)&gt;0,3,0))))</f>
        <v/>
      </c>
      <c r="I1110">
        <f>IF(AND(ISNUMBER(A1110),ISNUMBER(B1110)),A1110*1000+B1110,"")</f>
        <v/>
      </c>
      <c r="J1110">
        <f>IF(I1110="","",IF(COUNTIF(I$2:I1110,I1110)=1,MAX(J$1:J1109)+1,""))</f>
        <v/>
      </c>
    </row>
    <row r="1111">
      <c r="A1111">
        <f>IFERROR(--SUBSTITUTE(SUBSTITUTE(TRIM(INDEX(INDIRECT("'Выгрузка'!A1111:Z1111"),Настройки!$B$7)),",","."),".",MID(1/2,2,1)),"")</f>
        <v/>
      </c>
      <c r="B1111">
        <f>IFERROR(--SUBSTITUTE(SUBSTITUTE(TRIM(INDEX(INDIRECT("'Выгрузка'!A1111:Z1111"),Настройки!$B$9)),",","."),".",MID(1/2,2,1)),"")</f>
        <v/>
      </c>
      <c r="C1111">
        <f>TRIM(INDEX(INDIRECT("'Выгрузка'!A1111:Z1111"),Настройки!$B$8)&amp;"")</f>
        <v/>
      </c>
      <c r="D1111">
        <f>IFERROR(--SUBSTITUTE(SUBSTITUTE(TRIM(INDEX(INDIRECT("'Выгрузка'!A1111:Z1111"),Настройки!$B$10)),",","."),".",MID(1/2,2,1)),"")</f>
        <v/>
      </c>
      <c r="E1111">
        <f>IFERROR(--SUBSTITUTE(SUBSTITUTE(TRIM(INDEX(INDIRECT("'Выгрузка'!A1111:Z1111"),Настройки!$B$11)),",","."),".",MID(1/2,2,1)),"")</f>
        <v/>
      </c>
      <c r="F1111">
        <f>TRIM(INDEX(INDIRECT("'Выгрузка'!A1111:Z1111"),Настройки!$B$12)&amp;"")</f>
        <v/>
      </c>
      <c r="G1111">
        <f>IF(F1111="",0,IF(TRIM(INDEX(INDIRECT("'Выгрузка'!A1111:Z1111"),Настройки!$B$13)&amp;"")="",1,IFERROR(--SUBSTITUTE(SUBSTITUTE(TRIM(INDEX(INDIRECT("'Выгрузка'!A1111:Z1111"),Настройки!$B$13)),",","."),".",MID(1/2,2,1)),"")))</f>
        <v/>
      </c>
      <c r="H1111">
        <f>IF(F1111="",0,IF(COUNTIF(Настройки!$B$17:$B$26,F1111)&gt;0,1,IF(COUNTIF(Настройки!$C$17:$C$26,F1111)&gt;0,2,IF(COUNTIF(Настройки!$D$17:$D$26,F1111)&gt;0,3,0))))</f>
        <v/>
      </c>
      <c r="I1111">
        <f>IF(AND(ISNUMBER(A1111),ISNUMBER(B1111)),A1111*1000+B1111,"")</f>
        <v/>
      </c>
      <c r="J1111">
        <f>IF(I1111="","",IF(COUNTIF(I$2:I1111,I1111)=1,MAX(J$1:J1110)+1,""))</f>
        <v/>
      </c>
    </row>
    <row r="1112">
      <c r="A1112">
        <f>IFERROR(--SUBSTITUTE(SUBSTITUTE(TRIM(INDEX(INDIRECT("'Выгрузка'!A1112:Z1112"),Настройки!$B$7)),",","."),".",MID(1/2,2,1)),"")</f>
        <v/>
      </c>
      <c r="B1112">
        <f>IFERROR(--SUBSTITUTE(SUBSTITUTE(TRIM(INDEX(INDIRECT("'Выгрузка'!A1112:Z1112"),Настройки!$B$9)),",","."),".",MID(1/2,2,1)),"")</f>
        <v/>
      </c>
      <c r="C1112">
        <f>TRIM(INDEX(INDIRECT("'Выгрузка'!A1112:Z1112"),Настройки!$B$8)&amp;"")</f>
        <v/>
      </c>
      <c r="D1112">
        <f>IFERROR(--SUBSTITUTE(SUBSTITUTE(TRIM(INDEX(INDIRECT("'Выгрузка'!A1112:Z1112"),Настройки!$B$10)),",","."),".",MID(1/2,2,1)),"")</f>
        <v/>
      </c>
      <c r="E1112">
        <f>IFERROR(--SUBSTITUTE(SUBSTITUTE(TRIM(INDEX(INDIRECT("'Выгрузка'!A1112:Z1112"),Настройки!$B$11)),",","."),".",MID(1/2,2,1)),"")</f>
        <v/>
      </c>
      <c r="F1112">
        <f>TRIM(INDEX(INDIRECT("'Выгрузка'!A1112:Z1112"),Настройки!$B$12)&amp;"")</f>
        <v/>
      </c>
      <c r="G1112">
        <f>IF(F1112="",0,IF(TRIM(INDEX(INDIRECT("'Выгрузка'!A1112:Z1112"),Настройки!$B$13)&amp;"")="",1,IFERROR(--SUBSTITUTE(SUBSTITUTE(TRIM(INDEX(INDIRECT("'Выгрузка'!A1112:Z1112"),Настройки!$B$13)),",","."),".",MID(1/2,2,1)),"")))</f>
        <v/>
      </c>
      <c r="H1112">
        <f>IF(F1112="",0,IF(COUNTIF(Настройки!$B$17:$B$26,F1112)&gt;0,1,IF(COUNTIF(Настройки!$C$17:$C$26,F1112)&gt;0,2,IF(COUNTIF(Настройки!$D$17:$D$26,F1112)&gt;0,3,0))))</f>
        <v/>
      </c>
      <c r="I1112">
        <f>IF(AND(ISNUMBER(A1112),ISNUMBER(B1112)),A1112*1000+B1112,"")</f>
        <v/>
      </c>
      <c r="J1112">
        <f>IF(I1112="","",IF(COUNTIF(I$2:I1112,I1112)=1,MAX(J$1:J1111)+1,""))</f>
        <v/>
      </c>
    </row>
    <row r="1113">
      <c r="A1113">
        <f>IFERROR(--SUBSTITUTE(SUBSTITUTE(TRIM(INDEX(INDIRECT("'Выгрузка'!A1113:Z1113"),Настройки!$B$7)),",","."),".",MID(1/2,2,1)),"")</f>
        <v/>
      </c>
      <c r="B1113">
        <f>IFERROR(--SUBSTITUTE(SUBSTITUTE(TRIM(INDEX(INDIRECT("'Выгрузка'!A1113:Z1113"),Настройки!$B$9)),",","."),".",MID(1/2,2,1)),"")</f>
        <v/>
      </c>
      <c r="C1113">
        <f>TRIM(INDEX(INDIRECT("'Выгрузка'!A1113:Z1113"),Настройки!$B$8)&amp;"")</f>
        <v/>
      </c>
      <c r="D1113">
        <f>IFERROR(--SUBSTITUTE(SUBSTITUTE(TRIM(INDEX(INDIRECT("'Выгрузка'!A1113:Z1113"),Настройки!$B$10)),",","."),".",MID(1/2,2,1)),"")</f>
        <v/>
      </c>
      <c r="E1113">
        <f>IFERROR(--SUBSTITUTE(SUBSTITUTE(TRIM(INDEX(INDIRECT("'Выгрузка'!A1113:Z1113"),Настройки!$B$11)),",","."),".",MID(1/2,2,1)),"")</f>
        <v/>
      </c>
      <c r="F1113">
        <f>TRIM(INDEX(INDIRECT("'Выгрузка'!A1113:Z1113"),Настройки!$B$12)&amp;"")</f>
        <v/>
      </c>
      <c r="G1113">
        <f>IF(F1113="",0,IF(TRIM(INDEX(INDIRECT("'Выгрузка'!A1113:Z1113"),Настройки!$B$13)&amp;"")="",1,IFERROR(--SUBSTITUTE(SUBSTITUTE(TRIM(INDEX(INDIRECT("'Выгрузка'!A1113:Z1113"),Настройки!$B$13)),",","."),".",MID(1/2,2,1)),"")))</f>
        <v/>
      </c>
      <c r="H1113">
        <f>IF(F1113="",0,IF(COUNTIF(Настройки!$B$17:$B$26,F1113)&gt;0,1,IF(COUNTIF(Настройки!$C$17:$C$26,F1113)&gt;0,2,IF(COUNTIF(Настройки!$D$17:$D$26,F1113)&gt;0,3,0))))</f>
        <v/>
      </c>
      <c r="I1113">
        <f>IF(AND(ISNUMBER(A1113),ISNUMBER(B1113)),A1113*1000+B1113,"")</f>
        <v/>
      </c>
      <c r="J1113">
        <f>IF(I1113="","",IF(COUNTIF(I$2:I1113,I1113)=1,MAX(J$1:J1112)+1,""))</f>
        <v/>
      </c>
    </row>
    <row r="1114">
      <c r="A1114">
        <f>IFERROR(--SUBSTITUTE(SUBSTITUTE(TRIM(INDEX(INDIRECT("'Выгрузка'!A1114:Z1114"),Настройки!$B$7)),",","."),".",MID(1/2,2,1)),"")</f>
        <v/>
      </c>
      <c r="B1114">
        <f>IFERROR(--SUBSTITUTE(SUBSTITUTE(TRIM(INDEX(INDIRECT("'Выгрузка'!A1114:Z1114"),Настройки!$B$9)),",","."),".",MID(1/2,2,1)),"")</f>
        <v/>
      </c>
      <c r="C1114">
        <f>TRIM(INDEX(INDIRECT("'Выгрузка'!A1114:Z1114"),Настройки!$B$8)&amp;"")</f>
        <v/>
      </c>
      <c r="D1114">
        <f>IFERROR(--SUBSTITUTE(SUBSTITUTE(TRIM(INDEX(INDIRECT("'Выгрузка'!A1114:Z1114"),Настройки!$B$10)),",","."),".",MID(1/2,2,1)),"")</f>
        <v/>
      </c>
      <c r="E1114">
        <f>IFERROR(--SUBSTITUTE(SUBSTITUTE(TRIM(INDEX(INDIRECT("'Выгрузка'!A1114:Z1114"),Настройки!$B$11)),",","."),".",MID(1/2,2,1)),"")</f>
        <v/>
      </c>
      <c r="F1114">
        <f>TRIM(INDEX(INDIRECT("'Выгрузка'!A1114:Z1114"),Настройки!$B$12)&amp;"")</f>
        <v/>
      </c>
      <c r="G1114">
        <f>IF(F1114="",0,IF(TRIM(INDEX(INDIRECT("'Выгрузка'!A1114:Z1114"),Настройки!$B$13)&amp;"")="",1,IFERROR(--SUBSTITUTE(SUBSTITUTE(TRIM(INDEX(INDIRECT("'Выгрузка'!A1114:Z1114"),Настройки!$B$13)),",","."),".",MID(1/2,2,1)),"")))</f>
        <v/>
      </c>
      <c r="H1114">
        <f>IF(F1114="",0,IF(COUNTIF(Настройки!$B$17:$B$26,F1114)&gt;0,1,IF(COUNTIF(Настройки!$C$17:$C$26,F1114)&gt;0,2,IF(COUNTIF(Настройки!$D$17:$D$26,F1114)&gt;0,3,0))))</f>
        <v/>
      </c>
      <c r="I1114">
        <f>IF(AND(ISNUMBER(A1114),ISNUMBER(B1114)),A1114*1000+B1114,"")</f>
        <v/>
      </c>
      <c r="J1114">
        <f>IF(I1114="","",IF(COUNTIF(I$2:I1114,I1114)=1,MAX(J$1:J1113)+1,""))</f>
        <v/>
      </c>
    </row>
    <row r="1115">
      <c r="A1115">
        <f>IFERROR(--SUBSTITUTE(SUBSTITUTE(TRIM(INDEX(INDIRECT("'Выгрузка'!A1115:Z1115"),Настройки!$B$7)),",","."),".",MID(1/2,2,1)),"")</f>
        <v/>
      </c>
      <c r="B1115">
        <f>IFERROR(--SUBSTITUTE(SUBSTITUTE(TRIM(INDEX(INDIRECT("'Выгрузка'!A1115:Z1115"),Настройки!$B$9)),",","."),".",MID(1/2,2,1)),"")</f>
        <v/>
      </c>
      <c r="C1115">
        <f>TRIM(INDEX(INDIRECT("'Выгрузка'!A1115:Z1115"),Настройки!$B$8)&amp;"")</f>
        <v/>
      </c>
      <c r="D1115">
        <f>IFERROR(--SUBSTITUTE(SUBSTITUTE(TRIM(INDEX(INDIRECT("'Выгрузка'!A1115:Z1115"),Настройки!$B$10)),",","."),".",MID(1/2,2,1)),"")</f>
        <v/>
      </c>
      <c r="E1115">
        <f>IFERROR(--SUBSTITUTE(SUBSTITUTE(TRIM(INDEX(INDIRECT("'Выгрузка'!A1115:Z1115"),Настройки!$B$11)),",","."),".",MID(1/2,2,1)),"")</f>
        <v/>
      </c>
      <c r="F1115">
        <f>TRIM(INDEX(INDIRECT("'Выгрузка'!A1115:Z1115"),Настройки!$B$12)&amp;"")</f>
        <v/>
      </c>
      <c r="G1115">
        <f>IF(F1115="",0,IF(TRIM(INDEX(INDIRECT("'Выгрузка'!A1115:Z1115"),Настройки!$B$13)&amp;"")="",1,IFERROR(--SUBSTITUTE(SUBSTITUTE(TRIM(INDEX(INDIRECT("'Выгрузка'!A1115:Z1115"),Настройки!$B$13)),",","."),".",MID(1/2,2,1)),"")))</f>
        <v/>
      </c>
      <c r="H1115">
        <f>IF(F1115="",0,IF(COUNTIF(Настройки!$B$17:$B$26,F1115)&gt;0,1,IF(COUNTIF(Настройки!$C$17:$C$26,F1115)&gt;0,2,IF(COUNTIF(Настройки!$D$17:$D$26,F1115)&gt;0,3,0))))</f>
        <v/>
      </c>
      <c r="I1115">
        <f>IF(AND(ISNUMBER(A1115),ISNUMBER(B1115)),A1115*1000+B1115,"")</f>
        <v/>
      </c>
      <c r="J1115">
        <f>IF(I1115="","",IF(COUNTIF(I$2:I1115,I1115)=1,MAX(J$1:J1114)+1,""))</f>
        <v/>
      </c>
    </row>
    <row r="1116">
      <c r="A1116">
        <f>IFERROR(--SUBSTITUTE(SUBSTITUTE(TRIM(INDEX(INDIRECT("'Выгрузка'!A1116:Z1116"),Настройки!$B$7)),",","."),".",MID(1/2,2,1)),"")</f>
        <v/>
      </c>
      <c r="B1116">
        <f>IFERROR(--SUBSTITUTE(SUBSTITUTE(TRIM(INDEX(INDIRECT("'Выгрузка'!A1116:Z1116"),Настройки!$B$9)),",","."),".",MID(1/2,2,1)),"")</f>
        <v/>
      </c>
      <c r="C1116">
        <f>TRIM(INDEX(INDIRECT("'Выгрузка'!A1116:Z1116"),Настройки!$B$8)&amp;"")</f>
        <v/>
      </c>
      <c r="D1116">
        <f>IFERROR(--SUBSTITUTE(SUBSTITUTE(TRIM(INDEX(INDIRECT("'Выгрузка'!A1116:Z1116"),Настройки!$B$10)),",","."),".",MID(1/2,2,1)),"")</f>
        <v/>
      </c>
      <c r="E1116">
        <f>IFERROR(--SUBSTITUTE(SUBSTITUTE(TRIM(INDEX(INDIRECT("'Выгрузка'!A1116:Z1116"),Настройки!$B$11)),",","."),".",MID(1/2,2,1)),"")</f>
        <v/>
      </c>
      <c r="F1116">
        <f>TRIM(INDEX(INDIRECT("'Выгрузка'!A1116:Z1116"),Настройки!$B$12)&amp;"")</f>
        <v/>
      </c>
      <c r="G1116">
        <f>IF(F1116="",0,IF(TRIM(INDEX(INDIRECT("'Выгрузка'!A1116:Z1116"),Настройки!$B$13)&amp;"")="",1,IFERROR(--SUBSTITUTE(SUBSTITUTE(TRIM(INDEX(INDIRECT("'Выгрузка'!A1116:Z1116"),Настройки!$B$13)),",","."),".",MID(1/2,2,1)),"")))</f>
        <v/>
      </c>
      <c r="H1116">
        <f>IF(F1116="",0,IF(COUNTIF(Настройки!$B$17:$B$26,F1116)&gt;0,1,IF(COUNTIF(Настройки!$C$17:$C$26,F1116)&gt;0,2,IF(COUNTIF(Настройки!$D$17:$D$26,F1116)&gt;0,3,0))))</f>
        <v/>
      </c>
      <c r="I1116">
        <f>IF(AND(ISNUMBER(A1116),ISNUMBER(B1116)),A1116*1000+B1116,"")</f>
        <v/>
      </c>
      <c r="J1116">
        <f>IF(I1116="","",IF(COUNTIF(I$2:I1116,I1116)=1,MAX(J$1:J1115)+1,""))</f>
        <v/>
      </c>
    </row>
    <row r="1117">
      <c r="A1117">
        <f>IFERROR(--SUBSTITUTE(SUBSTITUTE(TRIM(INDEX(INDIRECT("'Выгрузка'!A1117:Z1117"),Настройки!$B$7)),",","."),".",MID(1/2,2,1)),"")</f>
        <v/>
      </c>
      <c r="B1117">
        <f>IFERROR(--SUBSTITUTE(SUBSTITUTE(TRIM(INDEX(INDIRECT("'Выгрузка'!A1117:Z1117"),Настройки!$B$9)),",","."),".",MID(1/2,2,1)),"")</f>
        <v/>
      </c>
      <c r="C1117">
        <f>TRIM(INDEX(INDIRECT("'Выгрузка'!A1117:Z1117"),Настройки!$B$8)&amp;"")</f>
        <v/>
      </c>
      <c r="D1117">
        <f>IFERROR(--SUBSTITUTE(SUBSTITUTE(TRIM(INDEX(INDIRECT("'Выгрузка'!A1117:Z1117"),Настройки!$B$10)),",","."),".",MID(1/2,2,1)),"")</f>
        <v/>
      </c>
      <c r="E1117">
        <f>IFERROR(--SUBSTITUTE(SUBSTITUTE(TRIM(INDEX(INDIRECT("'Выгрузка'!A1117:Z1117"),Настройки!$B$11)),",","."),".",MID(1/2,2,1)),"")</f>
        <v/>
      </c>
      <c r="F1117">
        <f>TRIM(INDEX(INDIRECT("'Выгрузка'!A1117:Z1117"),Настройки!$B$12)&amp;"")</f>
        <v/>
      </c>
      <c r="G1117">
        <f>IF(F1117="",0,IF(TRIM(INDEX(INDIRECT("'Выгрузка'!A1117:Z1117"),Настройки!$B$13)&amp;"")="",1,IFERROR(--SUBSTITUTE(SUBSTITUTE(TRIM(INDEX(INDIRECT("'Выгрузка'!A1117:Z1117"),Настройки!$B$13)),",","."),".",MID(1/2,2,1)),"")))</f>
        <v/>
      </c>
      <c r="H1117">
        <f>IF(F1117="",0,IF(COUNTIF(Настройки!$B$17:$B$26,F1117)&gt;0,1,IF(COUNTIF(Настройки!$C$17:$C$26,F1117)&gt;0,2,IF(COUNTIF(Настройки!$D$17:$D$26,F1117)&gt;0,3,0))))</f>
        <v/>
      </c>
      <c r="I1117">
        <f>IF(AND(ISNUMBER(A1117),ISNUMBER(B1117)),A1117*1000+B1117,"")</f>
        <v/>
      </c>
      <c r="J1117">
        <f>IF(I1117="","",IF(COUNTIF(I$2:I1117,I1117)=1,MAX(J$1:J1116)+1,""))</f>
        <v/>
      </c>
    </row>
    <row r="1118">
      <c r="A1118">
        <f>IFERROR(--SUBSTITUTE(SUBSTITUTE(TRIM(INDEX(INDIRECT("'Выгрузка'!A1118:Z1118"),Настройки!$B$7)),",","."),".",MID(1/2,2,1)),"")</f>
        <v/>
      </c>
      <c r="B1118">
        <f>IFERROR(--SUBSTITUTE(SUBSTITUTE(TRIM(INDEX(INDIRECT("'Выгрузка'!A1118:Z1118"),Настройки!$B$9)),",","."),".",MID(1/2,2,1)),"")</f>
        <v/>
      </c>
      <c r="C1118">
        <f>TRIM(INDEX(INDIRECT("'Выгрузка'!A1118:Z1118"),Настройки!$B$8)&amp;"")</f>
        <v/>
      </c>
      <c r="D1118">
        <f>IFERROR(--SUBSTITUTE(SUBSTITUTE(TRIM(INDEX(INDIRECT("'Выгрузка'!A1118:Z1118"),Настройки!$B$10)),",","."),".",MID(1/2,2,1)),"")</f>
        <v/>
      </c>
      <c r="E1118">
        <f>IFERROR(--SUBSTITUTE(SUBSTITUTE(TRIM(INDEX(INDIRECT("'Выгрузка'!A1118:Z1118"),Настройки!$B$11)),",","."),".",MID(1/2,2,1)),"")</f>
        <v/>
      </c>
      <c r="F1118">
        <f>TRIM(INDEX(INDIRECT("'Выгрузка'!A1118:Z1118"),Настройки!$B$12)&amp;"")</f>
        <v/>
      </c>
      <c r="G1118">
        <f>IF(F1118="",0,IF(TRIM(INDEX(INDIRECT("'Выгрузка'!A1118:Z1118"),Настройки!$B$13)&amp;"")="",1,IFERROR(--SUBSTITUTE(SUBSTITUTE(TRIM(INDEX(INDIRECT("'Выгрузка'!A1118:Z1118"),Настройки!$B$13)),",","."),".",MID(1/2,2,1)),"")))</f>
        <v/>
      </c>
      <c r="H1118">
        <f>IF(F1118="",0,IF(COUNTIF(Настройки!$B$17:$B$26,F1118)&gt;0,1,IF(COUNTIF(Настройки!$C$17:$C$26,F1118)&gt;0,2,IF(COUNTIF(Настройки!$D$17:$D$26,F1118)&gt;0,3,0))))</f>
        <v/>
      </c>
      <c r="I1118">
        <f>IF(AND(ISNUMBER(A1118),ISNUMBER(B1118)),A1118*1000+B1118,"")</f>
        <v/>
      </c>
      <c r="J1118">
        <f>IF(I1118="","",IF(COUNTIF(I$2:I1118,I1118)=1,MAX(J$1:J1117)+1,""))</f>
        <v/>
      </c>
    </row>
    <row r="1119">
      <c r="A1119">
        <f>IFERROR(--SUBSTITUTE(SUBSTITUTE(TRIM(INDEX(INDIRECT("'Выгрузка'!A1119:Z1119"),Настройки!$B$7)),",","."),".",MID(1/2,2,1)),"")</f>
        <v/>
      </c>
      <c r="B1119">
        <f>IFERROR(--SUBSTITUTE(SUBSTITUTE(TRIM(INDEX(INDIRECT("'Выгрузка'!A1119:Z1119"),Настройки!$B$9)),",","."),".",MID(1/2,2,1)),"")</f>
        <v/>
      </c>
      <c r="C1119">
        <f>TRIM(INDEX(INDIRECT("'Выгрузка'!A1119:Z1119"),Настройки!$B$8)&amp;"")</f>
        <v/>
      </c>
      <c r="D1119">
        <f>IFERROR(--SUBSTITUTE(SUBSTITUTE(TRIM(INDEX(INDIRECT("'Выгрузка'!A1119:Z1119"),Настройки!$B$10)),",","."),".",MID(1/2,2,1)),"")</f>
        <v/>
      </c>
      <c r="E1119">
        <f>IFERROR(--SUBSTITUTE(SUBSTITUTE(TRIM(INDEX(INDIRECT("'Выгрузка'!A1119:Z1119"),Настройки!$B$11)),",","."),".",MID(1/2,2,1)),"")</f>
        <v/>
      </c>
      <c r="F1119">
        <f>TRIM(INDEX(INDIRECT("'Выгрузка'!A1119:Z1119"),Настройки!$B$12)&amp;"")</f>
        <v/>
      </c>
      <c r="G1119">
        <f>IF(F1119="",0,IF(TRIM(INDEX(INDIRECT("'Выгрузка'!A1119:Z1119"),Настройки!$B$13)&amp;"")="",1,IFERROR(--SUBSTITUTE(SUBSTITUTE(TRIM(INDEX(INDIRECT("'Выгрузка'!A1119:Z1119"),Настройки!$B$13)),",","."),".",MID(1/2,2,1)),"")))</f>
        <v/>
      </c>
      <c r="H1119">
        <f>IF(F1119="",0,IF(COUNTIF(Настройки!$B$17:$B$26,F1119)&gt;0,1,IF(COUNTIF(Настройки!$C$17:$C$26,F1119)&gt;0,2,IF(COUNTIF(Настройки!$D$17:$D$26,F1119)&gt;0,3,0))))</f>
        <v/>
      </c>
      <c r="I1119">
        <f>IF(AND(ISNUMBER(A1119),ISNUMBER(B1119)),A1119*1000+B1119,"")</f>
        <v/>
      </c>
      <c r="J1119">
        <f>IF(I1119="","",IF(COUNTIF(I$2:I1119,I1119)=1,MAX(J$1:J1118)+1,""))</f>
        <v/>
      </c>
    </row>
    <row r="1120">
      <c r="A1120">
        <f>IFERROR(--SUBSTITUTE(SUBSTITUTE(TRIM(INDEX(INDIRECT("'Выгрузка'!A1120:Z1120"),Настройки!$B$7)),",","."),".",MID(1/2,2,1)),"")</f>
        <v/>
      </c>
      <c r="B1120">
        <f>IFERROR(--SUBSTITUTE(SUBSTITUTE(TRIM(INDEX(INDIRECT("'Выгрузка'!A1120:Z1120"),Настройки!$B$9)),",","."),".",MID(1/2,2,1)),"")</f>
        <v/>
      </c>
      <c r="C1120">
        <f>TRIM(INDEX(INDIRECT("'Выгрузка'!A1120:Z1120"),Настройки!$B$8)&amp;"")</f>
        <v/>
      </c>
      <c r="D1120">
        <f>IFERROR(--SUBSTITUTE(SUBSTITUTE(TRIM(INDEX(INDIRECT("'Выгрузка'!A1120:Z1120"),Настройки!$B$10)),",","."),".",MID(1/2,2,1)),"")</f>
        <v/>
      </c>
      <c r="E1120">
        <f>IFERROR(--SUBSTITUTE(SUBSTITUTE(TRIM(INDEX(INDIRECT("'Выгрузка'!A1120:Z1120"),Настройки!$B$11)),",","."),".",MID(1/2,2,1)),"")</f>
        <v/>
      </c>
      <c r="F1120">
        <f>TRIM(INDEX(INDIRECT("'Выгрузка'!A1120:Z1120"),Настройки!$B$12)&amp;"")</f>
        <v/>
      </c>
      <c r="G1120">
        <f>IF(F1120="",0,IF(TRIM(INDEX(INDIRECT("'Выгрузка'!A1120:Z1120"),Настройки!$B$13)&amp;"")="",1,IFERROR(--SUBSTITUTE(SUBSTITUTE(TRIM(INDEX(INDIRECT("'Выгрузка'!A1120:Z1120"),Настройки!$B$13)),",","."),".",MID(1/2,2,1)),"")))</f>
        <v/>
      </c>
      <c r="H1120">
        <f>IF(F1120="",0,IF(COUNTIF(Настройки!$B$17:$B$26,F1120)&gt;0,1,IF(COUNTIF(Настройки!$C$17:$C$26,F1120)&gt;0,2,IF(COUNTIF(Настройки!$D$17:$D$26,F1120)&gt;0,3,0))))</f>
        <v/>
      </c>
      <c r="I1120">
        <f>IF(AND(ISNUMBER(A1120),ISNUMBER(B1120)),A1120*1000+B1120,"")</f>
        <v/>
      </c>
      <c r="J1120">
        <f>IF(I1120="","",IF(COUNTIF(I$2:I1120,I1120)=1,MAX(J$1:J1119)+1,""))</f>
        <v/>
      </c>
    </row>
    <row r="1121">
      <c r="A1121">
        <f>IFERROR(--SUBSTITUTE(SUBSTITUTE(TRIM(INDEX(INDIRECT("'Выгрузка'!A1121:Z1121"),Настройки!$B$7)),",","."),".",MID(1/2,2,1)),"")</f>
        <v/>
      </c>
      <c r="B1121">
        <f>IFERROR(--SUBSTITUTE(SUBSTITUTE(TRIM(INDEX(INDIRECT("'Выгрузка'!A1121:Z1121"),Настройки!$B$9)),",","."),".",MID(1/2,2,1)),"")</f>
        <v/>
      </c>
      <c r="C1121">
        <f>TRIM(INDEX(INDIRECT("'Выгрузка'!A1121:Z1121"),Настройки!$B$8)&amp;"")</f>
        <v/>
      </c>
      <c r="D1121">
        <f>IFERROR(--SUBSTITUTE(SUBSTITUTE(TRIM(INDEX(INDIRECT("'Выгрузка'!A1121:Z1121"),Настройки!$B$10)),",","."),".",MID(1/2,2,1)),"")</f>
        <v/>
      </c>
      <c r="E1121">
        <f>IFERROR(--SUBSTITUTE(SUBSTITUTE(TRIM(INDEX(INDIRECT("'Выгрузка'!A1121:Z1121"),Настройки!$B$11)),",","."),".",MID(1/2,2,1)),"")</f>
        <v/>
      </c>
      <c r="F1121">
        <f>TRIM(INDEX(INDIRECT("'Выгрузка'!A1121:Z1121"),Настройки!$B$12)&amp;"")</f>
        <v/>
      </c>
      <c r="G1121">
        <f>IF(F1121="",0,IF(TRIM(INDEX(INDIRECT("'Выгрузка'!A1121:Z1121"),Настройки!$B$13)&amp;"")="",1,IFERROR(--SUBSTITUTE(SUBSTITUTE(TRIM(INDEX(INDIRECT("'Выгрузка'!A1121:Z1121"),Настройки!$B$13)),",","."),".",MID(1/2,2,1)),"")))</f>
        <v/>
      </c>
      <c r="H1121">
        <f>IF(F1121="",0,IF(COUNTIF(Настройки!$B$17:$B$26,F1121)&gt;0,1,IF(COUNTIF(Настройки!$C$17:$C$26,F1121)&gt;0,2,IF(COUNTIF(Настройки!$D$17:$D$26,F1121)&gt;0,3,0))))</f>
        <v/>
      </c>
      <c r="I1121">
        <f>IF(AND(ISNUMBER(A1121),ISNUMBER(B1121)),A1121*1000+B1121,"")</f>
        <v/>
      </c>
      <c r="J1121">
        <f>IF(I1121="","",IF(COUNTIF(I$2:I1121,I1121)=1,MAX(J$1:J1120)+1,""))</f>
        <v/>
      </c>
    </row>
    <row r="1122">
      <c r="A1122">
        <f>IFERROR(--SUBSTITUTE(SUBSTITUTE(TRIM(INDEX(INDIRECT("'Выгрузка'!A1122:Z1122"),Настройки!$B$7)),",","."),".",MID(1/2,2,1)),"")</f>
        <v/>
      </c>
      <c r="B1122">
        <f>IFERROR(--SUBSTITUTE(SUBSTITUTE(TRIM(INDEX(INDIRECT("'Выгрузка'!A1122:Z1122"),Настройки!$B$9)),",","."),".",MID(1/2,2,1)),"")</f>
        <v/>
      </c>
      <c r="C1122">
        <f>TRIM(INDEX(INDIRECT("'Выгрузка'!A1122:Z1122"),Настройки!$B$8)&amp;"")</f>
        <v/>
      </c>
      <c r="D1122">
        <f>IFERROR(--SUBSTITUTE(SUBSTITUTE(TRIM(INDEX(INDIRECT("'Выгрузка'!A1122:Z1122"),Настройки!$B$10)),",","."),".",MID(1/2,2,1)),"")</f>
        <v/>
      </c>
      <c r="E1122">
        <f>IFERROR(--SUBSTITUTE(SUBSTITUTE(TRIM(INDEX(INDIRECT("'Выгрузка'!A1122:Z1122"),Настройки!$B$11)),",","."),".",MID(1/2,2,1)),"")</f>
        <v/>
      </c>
      <c r="F1122">
        <f>TRIM(INDEX(INDIRECT("'Выгрузка'!A1122:Z1122"),Настройки!$B$12)&amp;"")</f>
        <v/>
      </c>
      <c r="G1122">
        <f>IF(F1122="",0,IF(TRIM(INDEX(INDIRECT("'Выгрузка'!A1122:Z1122"),Настройки!$B$13)&amp;"")="",1,IFERROR(--SUBSTITUTE(SUBSTITUTE(TRIM(INDEX(INDIRECT("'Выгрузка'!A1122:Z1122"),Настройки!$B$13)),",","."),".",MID(1/2,2,1)),"")))</f>
        <v/>
      </c>
      <c r="H1122">
        <f>IF(F1122="",0,IF(COUNTIF(Настройки!$B$17:$B$26,F1122)&gt;0,1,IF(COUNTIF(Настройки!$C$17:$C$26,F1122)&gt;0,2,IF(COUNTIF(Настройки!$D$17:$D$26,F1122)&gt;0,3,0))))</f>
        <v/>
      </c>
      <c r="I1122">
        <f>IF(AND(ISNUMBER(A1122),ISNUMBER(B1122)),A1122*1000+B1122,"")</f>
        <v/>
      </c>
      <c r="J1122">
        <f>IF(I1122="","",IF(COUNTIF(I$2:I1122,I1122)=1,MAX(J$1:J1121)+1,""))</f>
        <v/>
      </c>
    </row>
    <row r="1123">
      <c r="A1123">
        <f>IFERROR(--SUBSTITUTE(SUBSTITUTE(TRIM(INDEX(INDIRECT("'Выгрузка'!A1123:Z1123"),Настройки!$B$7)),",","."),".",MID(1/2,2,1)),"")</f>
        <v/>
      </c>
      <c r="B1123">
        <f>IFERROR(--SUBSTITUTE(SUBSTITUTE(TRIM(INDEX(INDIRECT("'Выгрузка'!A1123:Z1123"),Настройки!$B$9)),",","."),".",MID(1/2,2,1)),"")</f>
        <v/>
      </c>
      <c r="C1123">
        <f>TRIM(INDEX(INDIRECT("'Выгрузка'!A1123:Z1123"),Настройки!$B$8)&amp;"")</f>
        <v/>
      </c>
      <c r="D1123">
        <f>IFERROR(--SUBSTITUTE(SUBSTITUTE(TRIM(INDEX(INDIRECT("'Выгрузка'!A1123:Z1123"),Настройки!$B$10)),",","."),".",MID(1/2,2,1)),"")</f>
        <v/>
      </c>
      <c r="E1123">
        <f>IFERROR(--SUBSTITUTE(SUBSTITUTE(TRIM(INDEX(INDIRECT("'Выгрузка'!A1123:Z1123"),Настройки!$B$11)),",","."),".",MID(1/2,2,1)),"")</f>
        <v/>
      </c>
      <c r="F1123">
        <f>TRIM(INDEX(INDIRECT("'Выгрузка'!A1123:Z1123"),Настройки!$B$12)&amp;"")</f>
        <v/>
      </c>
      <c r="G1123">
        <f>IF(F1123="",0,IF(TRIM(INDEX(INDIRECT("'Выгрузка'!A1123:Z1123"),Настройки!$B$13)&amp;"")="",1,IFERROR(--SUBSTITUTE(SUBSTITUTE(TRIM(INDEX(INDIRECT("'Выгрузка'!A1123:Z1123"),Настройки!$B$13)),",","."),".",MID(1/2,2,1)),"")))</f>
        <v/>
      </c>
      <c r="H1123">
        <f>IF(F1123="",0,IF(COUNTIF(Настройки!$B$17:$B$26,F1123)&gt;0,1,IF(COUNTIF(Настройки!$C$17:$C$26,F1123)&gt;0,2,IF(COUNTIF(Настройки!$D$17:$D$26,F1123)&gt;0,3,0))))</f>
        <v/>
      </c>
      <c r="I1123">
        <f>IF(AND(ISNUMBER(A1123),ISNUMBER(B1123)),A1123*1000+B1123,"")</f>
        <v/>
      </c>
      <c r="J1123">
        <f>IF(I1123="","",IF(COUNTIF(I$2:I1123,I1123)=1,MAX(J$1:J1122)+1,""))</f>
        <v/>
      </c>
    </row>
    <row r="1124">
      <c r="A1124">
        <f>IFERROR(--SUBSTITUTE(SUBSTITUTE(TRIM(INDEX(INDIRECT("'Выгрузка'!A1124:Z1124"),Настройки!$B$7)),",","."),".",MID(1/2,2,1)),"")</f>
        <v/>
      </c>
      <c r="B1124">
        <f>IFERROR(--SUBSTITUTE(SUBSTITUTE(TRIM(INDEX(INDIRECT("'Выгрузка'!A1124:Z1124"),Настройки!$B$9)),",","."),".",MID(1/2,2,1)),"")</f>
        <v/>
      </c>
      <c r="C1124">
        <f>TRIM(INDEX(INDIRECT("'Выгрузка'!A1124:Z1124"),Настройки!$B$8)&amp;"")</f>
        <v/>
      </c>
      <c r="D1124">
        <f>IFERROR(--SUBSTITUTE(SUBSTITUTE(TRIM(INDEX(INDIRECT("'Выгрузка'!A1124:Z1124"),Настройки!$B$10)),",","."),".",MID(1/2,2,1)),"")</f>
        <v/>
      </c>
      <c r="E1124">
        <f>IFERROR(--SUBSTITUTE(SUBSTITUTE(TRIM(INDEX(INDIRECT("'Выгрузка'!A1124:Z1124"),Настройки!$B$11)),",","."),".",MID(1/2,2,1)),"")</f>
        <v/>
      </c>
      <c r="F1124">
        <f>TRIM(INDEX(INDIRECT("'Выгрузка'!A1124:Z1124"),Настройки!$B$12)&amp;"")</f>
        <v/>
      </c>
      <c r="G1124">
        <f>IF(F1124="",0,IF(TRIM(INDEX(INDIRECT("'Выгрузка'!A1124:Z1124"),Настройки!$B$13)&amp;"")="",1,IFERROR(--SUBSTITUTE(SUBSTITUTE(TRIM(INDEX(INDIRECT("'Выгрузка'!A1124:Z1124"),Настройки!$B$13)),",","."),".",MID(1/2,2,1)),"")))</f>
        <v/>
      </c>
      <c r="H1124">
        <f>IF(F1124="",0,IF(COUNTIF(Настройки!$B$17:$B$26,F1124)&gt;0,1,IF(COUNTIF(Настройки!$C$17:$C$26,F1124)&gt;0,2,IF(COUNTIF(Настройки!$D$17:$D$26,F1124)&gt;0,3,0))))</f>
        <v/>
      </c>
      <c r="I1124">
        <f>IF(AND(ISNUMBER(A1124),ISNUMBER(B1124)),A1124*1000+B1124,"")</f>
        <v/>
      </c>
      <c r="J1124">
        <f>IF(I1124="","",IF(COUNTIF(I$2:I1124,I1124)=1,MAX(J$1:J1123)+1,""))</f>
        <v/>
      </c>
    </row>
    <row r="1125">
      <c r="A1125">
        <f>IFERROR(--SUBSTITUTE(SUBSTITUTE(TRIM(INDEX(INDIRECT("'Выгрузка'!A1125:Z1125"),Настройки!$B$7)),",","."),".",MID(1/2,2,1)),"")</f>
        <v/>
      </c>
      <c r="B1125">
        <f>IFERROR(--SUBSTITUTE(SUBSTITUTE(TRIM(INDEX(INDIRECT("'Выгрузка'!A1125:Z1125"),Настройки!$B$9)),",","."),".",MID(1/2,2,1)),"")</f>
        <v/>
      </c>
      <c r="C1125">
        <f>TRIM(INDEX(INDIRECT("'Выгрузка'!A1125:Z1125"),Настройки!$B$8)&amp;"")</f>
        <v/>
      </c>
      <c r="D1125">
        <f>IFERROR(--SUBSTITUTE(SUBSTITUTE(TRIM(INDEX(INDIRECT("'Выгрузка'!A1125:Z1125"),Настройки!$B$10)),",","."),".",MID(1/2,2,1)),"")</f>
        <v/>
      </c>
      <c r="E1125">
        <f>IFERROR(--SUBSTITUTE(SUBSTITUTE(TRIM(INDEX(INDIRECT("'Выгрузка'!A1125:Z1125"),Настройки!$B$11)),",","."),".",MID(1/2,2,1)),"")</f>
        <v/>
      </c>
      <c r="F1125">
        <f>TRIM(INDEX(INDIRECT("'Выгрузка'!A1125:Z1125"),Настройки!$B$12)&amp;"")</f>
        <v/>
      </c>
      <c r="G1125">
        <f>IF(F1125="",0,IF(TRIM(INDEX(INDIRECT("'Выгрузка'!A1125:Z1125"),Настройки!$B$13)&amp;"")="",1,IFERROR(--SUBSTITUTE(SUBSTITUTE(TRIM(INDEX(INDIRECT("'Выгрузка'!A1125:Z1125"),Настройки!$B$13)),",","."),".",MID(1/2,2,1)),"")))</f>
        <v/>
      </c>
      <c r="H1125">
        <f>IF(F1125="",0,IF(COUNTIF(Настройки!$B$17:$B$26,F1125)&gt;0,1,IF(COUNTIF(Настройки!$C$17:$C$26,F1125)&gt;0,2,IF(COUNTIF(Настройки!$D$17:$D$26,F1125)&gt;0,3,0))))</f>
        <v/>
      </c>
      <c r="I1125">
        <f>IF(AND(ISNUMBER(A1125),ISNUMBER(B1125)),A1125*1000+B1125,"")</f>
        <v/>
      </c>
      <c r="J1125">
        <f>IF(I1125="","",IF(COUNTIF(I$2:I1125,I1125)=1,MAX(J$1:J1124)+1,""))</f>
        <v/>
      </c>
    </row>
    <row r="1126">
      <c r="A1126">
        <f>IFERROR(--SUBSTITUTE(SUBSTITUTE(TRIM(INDEX(INDIRECT("'Выгрузка'!A1126:Z1126"),Настройки!$B$7)),",","."),".",MID(1/2,2,1)),"")</f>
        <v/>
      </c>
      <c r="B1126">
        <f>IFERROR(--SUBSTITUTE(SUBSTITUTE(TRIM(INDEX(INDIRECT("'Выгрузка'!A1126:Z1126"),Настройки!$B$9)),",","."),".",MID(1/2,2,1)),"")</f>
        <v/>
      </c>
      <c r="C1126">
        <f>TRIM(INDEX(INDIRECT("'Выгрузка'!A1126:Z1126"),Настройки!$B$8)&amp;"")</f>
        <v/>
      </c>
      <c r="D1126">
        <f>IFERROR(--SUBSTITUTE(SUBSTITUTE(TRIM(INDEX(INDIRECT("'Выгрузка'!A1126:Z1126"),Настройки!$B$10)),",","."),".",MID(1/2,2,1)),"")</f>
        <v/>
      </c>
      <c r="E1126">
        <f>IFERROR(--SUBSTITUTE(SUBSTITUTE(TRIM(INDEX(INDIRECT("'Выгрузка'!A1126:Z1126"),Настройки!$B$11)),",","."),".",MID(1/2,2,1)),"")</f>
        <v/>
      </c>
      <c r="F1126">
        <f>TRIM(INDEX(INDIRECT("'Выгрузка'!A1126:Z1126"),Настройки!$B$12)&amp;"")</f>
        <v/>
      </c>
      <c r="G1126">
        <f>IF(F1126="",0,IF(TRIM(INDEX(INDIRECT("'Выгрузка'!A1126:Z1126"),Настройки!$B$13)&amp;"")="",1,IFERROR(--SUBSTITUTE(SUBSTITUTE(TRIM(INDEX(INDIRECT("'Выгрузка'!A1126:Z1126"),Настройки!$B$13)),",","."),".",MID(1/2,2,1)),"")))</f>
        <v/>
      </c>
      <c r="H1126">
        <f>IF(F1126="",0,IF(COUNTIF(Настройки!$B$17:$B$26,F1126)&gt;0,1,IF(COUNTIF(Настройки!$C$17:$C$26,F1126)&gt;0,2,IF(COUNTIF(Настройки!$D$17:$D$26,F1126)&gt;0,3,0))))</f>
        <v/>
      </c>
      <c r="I1126">
        <f>IF(AND(ISNUMBER(A1126),ISNUMBER(B1126)),A1126*1000+B1126,"")</f>
        <v/>
      </c>
      <c r="J1126">
        <f>IF(I1126="","",IF(COUNTIF(I$2:I1126,I1126)=1,MAX(J$1:J1125)+1,""))</f>
        <v/>
      </c>
    </row>
    <row r="1127">
      <c r="A1127">
        <f>IFERROR(--SUBSTITUTE(SUBSTITUTE(TRIM(INDEX(INDIRECT("'Выгрузка'!A1127:Z1127"),Настройки!$B$7)),",","."),".",MID(1/2,2,1)),"")</f>
        <v/>
      </c>
      <c r="B1127">
        <f>IFERROR(--SUBSTITUTE(SUBSTITUTE(TRIM(INDEX(INDIRECT("'Выгрузка'!A1127:Z1127"),Настройки!$B$9)),",","."),".",MID(1/2,2,1)),"")</f>
        <v/>
      </c>
      <c r="C1127">
        <f>TRIM(INDEX(INDIRECT("'Выгрузка'!A1127:Z1127"),Настройки!$B$8)&amp;"")</f>
        <v/>
      </c>
      <c r="D1127">
        <f>IFERROR(--SUBSTITUTE(SUBSTITUTE(TRIM(INDEX(INDIRECT("'Выгрузка'!A1127:Z1127"),Настройки!$B$10)),",","."),".",MID(1/2,2,1)),"")</f>
        <v/>
      </c>
      <c r="E1127">
        <f>IFERROR(--SUBSTITUTE(SUBSTITUTE(TRIM(INDEX(INDIRECT("'Выгрузка'!A1127:Z1127"),Настройки!$B$11)),",","."),".",MID(1/2,2,1)),"")</f>
        <v/>
      </c>
      <c r="F1127">
        <f>TRIM(INDEX(INDIRECT("'Выгрузка'!A1127:Z1127"),Настройки!$B$12)&amp;"")</f>
        <v/>
      </c>
      <c r="G1127">
        <f>IF(F1127="",0,IF(TRIM(INDEX(INDIRECT("'Выгрузка'!A1127:Z1127"),Настройки!$B$13)&amp;"")="",1,IFERROR(--SUBSTITUTE(SUBSTITUTE(TRIM(INDEX(INDIRECT("'Выгрузка'!A1127:Z1127"),Настройки!$B$13)),",","."),".",MID(1/2,2,1)),"")))</f>
        <v/>
      </c>
      <c r="H1127">
        <f>IF(F1127="",0,IF(COUNTIF(Настройки!$B$17:$B$26,F1127)&gt;0,1,IF(COUNTIF(Настройки!$C$17:$C$26,F1127)&gt;0,2,IF(COUNTIF(Настройки!$D$17:$D$26,F1127)&gt;0,3,0))))</f>
        <v/>
      </c>
      <c r="I1127">
        <f>IF(AND(ISNUMBER(A1127),ISNUMBER(B1127)),A1127*1000+B1127,"")</f>
        <v/>
      </c>
      <c r="J1127">
        <f>IF(I1127="","",IF(COUNTIF(I$2:I1127,I1127)=1,MAX(J$1:J1126)+1,""))</f>
        <v/>
      </c>
    </row>
    <row r="1128">
      <c r="A1128">
        <f>IFERROR(--SUBSTITUTE(SUBSTITUTE(TRIM(INDEX(INDIRECT("'Выгрузка'!A1128:Z1128"),Настройки!$B$7)),",","."),".",MID(1/2,2,1)),"")</f>
        <v/>
      </c>
      <c r="B1128">
        <f>IFERROR(--SUBSTITUTE(SUBSTITUTE(TRIM(INDEX(INDIRECT("'Выгрузка'!A1128:Z1128"),Настройки!$B$9)),",","."),".",MID(1/2,2,1)),"")</f>
        <v/>
      </c>
      <c r="C1128">
        <f>TRIM(INDEX(INDIRECT("'Выгрузка'!A1128:Z1128"),Настройки!$B$8)&amp;"")</f>
        <v/>
      </c>
      <c r="D1128">
        <f>IFERROR(--SUBSTITUTE(SUBSTITUTE(TRIM(INDEX(INDIRECT("'Выгрузка'!A1128:Z1128"),Настройки!$B$10)),",","."),".",MID(1/2,2,1)),"")</f>
        <v/>
      </c>
      <c r="E1128">
        <f>IFERROR(--SUBSTITUTE(SUBSTITUTE(TRIM(INDEX(INDIRECT("'Выгрузка'!A1128:Z1128"),Настройки!$B$11)),",","."),".",MID(1/2,2,1)),"")</f>
        <v/>
      </c>
      <c r="F1128">
        <f>TRIM(INDEX(INDIRECT("'Выгрузка'!A1128:Z1128"),Настройки!$B$12)&amp;"")</f>
        <v/>
      </c>
      <c r="G1128">
        <f>IF(F1128="",0,IF(TRIM(INDEX(INDIRECT("'Выгрузка'!A1128:Z1128"),Настройки!$B$13)&amp;"")="",1,IFERROR(--SUBSTITUTE(SUBSTITUTE(TRIM(INDEX(INDIRECT("'Выгрузка'!A1128:Z1128"),Настройки!$B$13)),",","."),".",MID(1/2,2,1)),"")))</f>
        <v/>
      </c>
      <c r="H1128">
        <f>IF(F1128="",0,IF(COUNTIF(Настройки!$B$17:$B$26,F1128)&gt;0,1,IF(COUNTIF(Настройки!$C$17:$C$26,F1128)&gt;0,2,IF(COUNTIF(Настройки!$D$17:$D$26,F1128)&gt;0,3,0))))</f>
        <v/>
      </c>
      <c r="I1128">
        <f>IF(AND(ISNUMBER(A1128),ISNUMBER(B1128)),A1128*1000+B1128,"")</f>
        <v/>
      </c>
      <c r="J1128">
        <f>IF(I1128="","",IF(COUNTIF(I$2:I1128,I1128)=1,MAX(J$1:J1127)+1,""))</f>
        <v/>
      </c>
    </row>
    <row r="1129">
      <c r="A1129">
        <f>IFERROR(--SUBSTITUTE(SUBSTITUTE(TRIM(INDEX(INDIRECT("'Выгрузка'!A1129:Z1129"),Настройки!$B$7)),",","."),".",MID(1/2,2,1)),"")</f>
        <v/>
      </c>
      <c r="B1129">
        <f>IFERROR(--SUBSTITUTE(SUBSTITUTE(TRIM(INDEX(INDIRECT("'Выгрузка'!A1129:Z1129"),Настройки!$B$9)),",","."),".",MID(1/2,2,1)),"")</f>
        <v/>
      </c>
      <c r="C1129">
        <f>TRIM(INDEX(INDIRECT("'Выгрузка'!A1129:Z1129"),Настройки!$B$8)&amp;"")</f>
        <v/>
      </c>
      <c r="D1129">
        <f>IFERROR(--SUBSTITUTE(SUBSTITUTE(TRIM(INDEX(INDIRECT("'Выгрузка'!A1129:Z1129"),Настройки!$B$10)),",","."),".",MID(1/2,2,1)),"")</f>
        <v/>
      </c>
      <c r="E1129">
        <f>IFERROR(--SUBSTITUTE(SUBSTITUTE(TRIM(INDEX(INDIRECT("'Выгрузка'!A1129:Z1129"),Настройки!$B$11)),",","."),".",MID(1/2,2,1)),"")</f>
        <v/>
      </c>
      <c r="F1129">
        <f>TRIM(INDEX(INDIRECT("'Выгрузка'!A1129:Z1129"),Настройки!$B$12)&amp;"")</f>
        <v/>
      </c>
      <c r="G1129">
        <f>IF(F1129="",0,IF(TRIM(INDEX(INDIRECT("'Выгрузка'!A1129:Z1129"),Настройки!$B$13)&amp;"")="",1,IFERROR(--SUBSTITUTE(SUBSTITUTE(TRIM(INDEX(INDIRECT("'Выгрузка'!A1129:Z1129"),Настройки!$B$13)),",","."),".",MID(1/2,2,1)),"")))</f>
        <v/>
      </c>
      <c r="H1129">
        <f>IF(F1129="",0,IF(COUNTIF(Настройки!$B$17:$B$26,F1129)&gt;0,1,IF(COUNTIF(Настройки!$C$17:$C$26,F1129)&gt;0,2,IF(COUNTIF(Настройки!$D$17:$D$26,F1129)&gt;0,3,0))))</f>
        <v/>
      </c>
      <c r="I1129">
        <f>IF(AND(ISNUMBER(A1129),ISNUMBER(B1129)),A1129*1000+B1129,"")</f>
        <v/>
      </c>
      <c r="J1129">
        <f>IF(I1129="","",IF(COUNTIF(I$2:I1129,I1129)=1,MAX(J$1:J1128)+1,""))</f>
        <v/>
      </c>
    </row>
    <row r="1130">
      <c r="A1130">
        <f>IFERROR(--SUBSTITUTE(SUBSTITUTE(TRIM(INDEX(INDIRECT("'Выгрузка'!A1130:Z1130"),Настройки!$B$7)),",","."),".",MID(1/2,2,1)),"")</f>
        <v/>
      </c>
      <c r="B1130">
        <f>IFERROR(--SUBSTITUTE(SUBSTITUTE(TRIM(INDEX(INDIRECT("'Выгрузка'!A1130:Z1130"),Настройки!$B$9)),",","."),".",MID(1/2,2,1)),"")</f>
        <v/>
      </c>
      <c r="C1130">
        <f>TRIM(INDEX(INDIRECT("'Выгрузка'!A1130:Z1130"),Настройки!$B$8)&amp;"")</f>
        <v/>
      </c>
      <c r="D1130">
        <f>IFERROR(--SUBSTITUTE(SUBSTITUTE(TRIM(INDEX(INDIRECT("'Выгрузка'!A1130:Z1130"),Настройки!$B$10)),",","."),".",MID(1/2,2,1)),"")</f>
        <v/>
      </c>
      <c r="E1130">
        <f>IFERROR(--SUBSTITUTE(SUBSTITUTE(TRIM(INDEX(INDIRECT("'Выгрузка'!A1130:Z1130"),Настройки!$B$11)),",","."),".",MID(1/2,2,1)),"")</f>
        <v/>
      </c>
      <c r="F1130">
        <f>TRIM(INDEX(INDIRECT("'Выгрузка'!A1130:Z1130"),Настройки!$B$12)&amp;"")</f>
        <v/>
      </c>
      <c r="G1130">
        <f>IF(F1130="",0,IF(TRIM(INDEX(INDIRECT("'Выгрузка'!A1130:Z1130"),Настройки!$B$13)&amp;"")="",1,IFERROR(--SUBSTITUTE(SUBSTITUTE(TRIM(INDEX(INDIRECT("'Выгрузка'!A1130:Z1130"),Настройки!$B$13)),",","."),".",MID(1/2,2,1)),"")))</f>
        <v/>
      </c>
      <c r="H1130">
        <f>IF(F1130="",0,IF(COUNTIF(Настройки!$B$17:$B$26,F1130)&gt;0,1,IF(COUNTIF(Настройки!$C$17:$C$26,F1130)&gt;0,2,IF(COUNTIF(Настройки!$D$17:$D$26,F1130)&gt;0,3,0))))</f>
        <v/>
      </c>
      <c r="I1130">
        <f>IF(AND(ISNUMBER(A1130),ISNUMBER(B1130)),A1130*1000+B1130,"")</f>
        <v/>
      </c>
      <c r="J1130">
        <f>IF(I1130="","",IF(COUNTIF(I$2:I1130,I1130)=1,MAX(J$1:J1129)+1,""))</f>
        <v/>
      </c>
    </row>
    <row r="1131">
      <c r="A1131">
        <f>IFERROR(--SUBSTITUTE(SUBSTITUTE(TRIM(INDEX(INDIRECT("'Выгрузка'!A1131:Z1131"),Настройки!$B$7)),",","."),".",MID(1/2,2,1)),"")</f>
        <v/>
      </c>
      <c r="B1131">
        <f>IFERROR(--SUBSTITUTE(SUBSTITUTE(TRIM(INDEX(INDIRECT("'Выгрузка'!A1131:Z1131"),Настройки!$B$9)),",","."),".",MID(1/2,2,1)),"")</f>
        <v/>
      </c>
      <c r="C1131">
        <f>TRIM(INDEX(INDIRECT("'Выгрузка'!A1131:Z1131"),Настройки!$B$8)&amp;"")</f>
        <v/>
      </c>
      <c r="D1131">
        <f>IFERROR(--SUBSTITUTE(SUBSTITUTE(TRIM(INDEX(INDIRECT("'Выгрузка'!A1131:Z1131"),Настройки!$B$10)),",","."),".",MID(1/2,2,1)),"")</f>
        <v/>
      </c>
      <c r="E1131">
        <f>IFERROR(--SUBSTITUTE(SUBSTITUTE(TRIM(INDEX(INDIRECT("'Выгрузка'!A1131:Z1131"),Настройки!$B$11)),",","."),".",MID(1/2,2,1)),"")</f>
        <v/>
      </c>
      <c r="F1131">
        <f>TRIM(INDEX(INDIRECT("'Выгрузка'!A1131:Z1131"),Настройки!$B$12)&amp;"")</f>
        <v/>
      </c>
      <c r="G1131">
        <f>IF(F1131="",0,IF(TRIM(INDEX(INDIRECT("'Выгрузка'!A1131:Z1131"),Настройки!$B$13)&amp;"")="",1,IFERROR(--SUBSTITUTE(SUBSTITUTE(TRIM(INDEX(INDIRECT("'Выгрузка'!A1131:Z1131"),Настройки!$B$13)),",","."),".",MID(1/2,2,1)),"")))</f>
        <v/>
      </c>
      <c r="H1131">
        <f>IF(F1131="",0,IF(COUNTIF(Настройки!$B$17:$B$26,F1131)&gt;0,1,IF(COUNTIF(Настройки!$C$17:$C$26,F1131)&gt;0,2,IF(COUNTIF(Настройки!$D$17:$D$26,F1131)&gt;0,3,0))))</f>
        <v/>
      </c>
      <c r="I1131">
        <f>IF(AND(ISNUMBER(A1131),ISNUMBER(B1131)),A1131*1000+B1131,"")</f>
        <v/>
      </c>
      <c r="J1131">
        <f>IF(I1131="","",IF(COUNTIF(I$2:I1131,I1131)=1,MAX(J$1:J1130)+1,""))</f>
        <v/>
      </c>
    </row>
    <row r="1132">
      <c r="A1132">
        <f>IFERROR(--SUBSTITUTE(SUBSTITUTE(TRIM(INDEX(INDIRECT("'Выгрузка'!A1132:Z1132"),Настройки!$B$7)),",","."),".",MID(1/2,2,1)),"")</f>
        <v/>
      </c>
      <c r="B1132">
        <f>IFERROR(--SUBSTITUTE(SUBSTITUTE(TRIM(INDEX(INDIRECT("'Выгрузка'!A1132:Z1132"),Настройки!$B$9)),",","."),".",MID(1/2,2,1)),"")</f>
        <v/>
      </c>
      <c r="C1132">
        <f>TRIM(INDEX(INDIRECT("'Выгрузка'!A1132:Z1132"),Настройки!$B$8)&amp;"")</f>
        <v/>
      </c>
      <c r="D1132">
        <f>IFERROR(--SUBSTITUTE(SUBSTITUTE(TRIM(INDEX(INDIRECT("'Выгрузка'!A1132:Z1132"),Настройки!$B$10)),",","."),".",MID(1/2,2,1)),"")</f>
        <v/>
      </c>
      <c r="E1132">
        <f>IFERROR(--SUBSTITUTE(SUBSTITUTE(TRIM(INDEX(INDIRECT("'Выгрузка'!A1132:Z1132"),Настройки!$B$11)),",","."),".",MID(1/2,2,1)),"")</f>
        <v/>
      </c>
      <c r="F1132">
        <f>TRIM(INDEX(INDIRECT("'Выгрузка'!A1132:Z1132"),Настройки!$B$12)&amp;"")</f>
        <v/>
      </c>
      <c r="G1132">
        <f>IF(F1132="",0,IF(TRIM(INDEX(INDIRECT("'Выгрузка'!A1132:Z1132"),Настройки!$B$13)&amp;"")="",1,IFERROR(--SUBSTITUTE(SUBSTITUTE(TRIM(INDEX(INDIRECT("'Выгрузка'!A1132:Z1132"),Настройки!$B$13)),",","."),".",MID(1/2,2,1)),"")))</f>
        <v/>
      </c>
      <c r="H1132">
        <f>IF(F1132="",0,IF(COUNTIF(Настройки!$B$17:$B$26,F1132)&gt;0,1,IF(COUNTIF(Настройки!$C$17:$C$26,F1132)&gt;0,2,IF(COUNTIF(Настройки!$D$17:$D$26,F1132)&gt;0,3,0))))</f>
        <v/>
      </c>
      <c r="I1132">
        <f>IF(AND(ISNUMBER(A1132),ISNUMBER(B1132)),A1132*1000+B1132,"")</f>
        <v/>
      </c>
      <c r="J1132">
        <f>IF(I1132="","",IF(COUNTIF(I$2:I1132,I1132)=1,MAX(J$1:J1131)+1,""))</f>
        <v/>
      </c>
    </row>
    <row r="1133">
      <c r="A1133">
        <f>IFERROR(--SUBSTITUTE(SUBSTITUTE(TRIM(INDEX(INDIRECT("'Выгрузка'!A1133:Z1133"),Настройки!$B$7)),",","."),".",MID(1/2,2,1)),"")</f>
        <v/>
      </c>
      <c r="B1133">
        <f>IFERROR(--SUBSTITUTE(SUBSTITUTE(TRIM(INDEX(INDIRECT("'Выгрузка'!A1133:Z1133"),Настройки!$B$9)),",","."),".",MID(1/2,2,1)),"")</f>
        <v/>
      </c>
      <c r="C1133">
        <f>TRIM(INDEX(INDIRECT("'Выгрузка'!A1133:Z1133"),Настройки!$B$8)&amp;"")</f>
        <v/>
      </c>
      <c r="D1133">
        <f>IFERROR(--SUBSTITUTE(SUBSTITUTE(TRIM(INDEX(INDIRECT("'Выгрузка'!A1133:Z1133"),Настройки!$B$10)),",","."),".",MID(1/2,2,1)),"")</f>
        <v/>
      </c>
      <c r="E1133">
        <f>IFERROR(--SUBSTITUTE(SUBSTITUTE(TRIM(INDEX(INDIRECT("'Выгрузка'!A1133:Z1133"),Настройки!$B$11)),",","."),".",MID(1/2,2,1)),"")</f>
        <v/>
      </c>
      <c r="F1133">
        <f>TRIM(INDEX(INDIRECT("'Выгрузка'!A1133:Z1133"),Настройки!$B$12)&amp;"")</f>
        <v/>
      </c>
      <c r="G1133">
        <f>IF(F1133="",0,IF(TRIM(INDEX(INDIRECT("'Выгрузка'!A1133:Z1133"),Настройки!$B$13)&amp;"")="",1,IFERROR(--SUBSTITUTE(SUBSTITUTE(TRIM(INDEX(INDIRECT("'Выгрузка'!A1133:Z1133"),Настройки!$B$13)),",","."),".",MID(1/2,2,1)),"")))</f>
        <v/>
      </c>
      <c r="H1133">
        <f>IF(F1133="",0,IF(COUNTIF(Настройки!$B$17:$B$26,F1133)&gt;0,1,IF(COUNTIF(Настройки!$C$17:$C$26,F1133)&gt;0,2,IF(COUNTIF(Настройки!$D$17:$D$26,F1133)&gt;0,3,0))))</f>
        <v/>
      </c>
      <c r="I1133">
        <f>IF(AND(ISNUMBER(A1133),ISNUMBER(B1133)),A1133*1000+B1133,"")</f>
        <v/>
      </c>
      <c r="J1133">
        <f>IF(I1133="","",IF(COUNTIF(I$2:I1133,I1133)=1,MAX(J$1:J1132)+1,""))</f>
        <v/>
      </c>
    </row>
    <row r="1134">
      <c r="A1134">
        <f>IFERROR(--SUBSTITUTE(SUBSTITUTE(TRIM(INDEX(INDIRECT("'Выгрузка'!A1134:Z1134"),Настройки!$B$7)),",","."),".",MID(1/2,2,1)),"")</f>
        <v/>
      </c>
      <c r="B1134">
        <f>IFERROR(--SUBSTITUTE(SUBSTITUTE(TRIM(INDEX(INDIRECT("'Выгрузка'!A1134:Z1134"),Настройки!$B$9)),",","."),".",MID(1/2,2,1)),"")</f>
        <v/>
      </c>
      <c r="C1134">
        <f>TRIM(INDEX(INDIRECT("'Выгрузка'!A1134:Z1134"),Настройки!$B$8)&amp;"")</f>
        <v/>
      </c>
      <c r="D1134">
        <f>IFERROR(--SUBSTITUTE(SUBSTITUTE(TRIM(INDEX(INDIRECT("'Выгрузка'!A1134:Z1134"),Настройки!$B$10)),",","."),".",MID(1/2,2,1)),"")</f>
        <v/>
      </c>
      <c r="E1134">
        <f>IFERROR(--SUBSTITUTE(SUBSTITUTE(TRIM(INDEX(INDIRECT("'Выгрузка'!A1134:Z1134"),Настройки!$B$11)),",","."),".",MID(1/2,2,1)),"")</f>
        <v/>
      </c>
      <c r="F1134">
        <f>TRIM(INDEX(INDIRECT("'Выгрузка'!A1134:Z1134"),Настройки!$B$12)&amp;"")</f>
        <v/>
      </c>
      <c r="G1134">
        <f>IF(F1134="",0,IF(TRIM(INDEX(INDIRECT("'Выгрузка'!A1134:Z1134"),Настройки!$B$13)&amp;"")="",1,IFERROR(--SUBSTITUTE(SUBSTITUTE(TRIM(INDEX(INDIRECT("'Выгрузка'!A1134:Z1134"),Настройки!$B$13)),",","."),".",MID(1/2,2,1)),"")))</f>
        <v/>
      </c>
      <c r="H1134">
        <f>IF(F1134="",0,IF(COUNTIF(Настройки!$B$17:$B$26,F1134)&gt;0,1,IF(COUNTIF(Настройки!$C$17:$C$26,F1134)&gt;0,2,IF(COUNTIF(Настройки!$D$17:$D$26,F1134)&gt;0,3,0))))</f>
        <v/>
      </c>
      <c r="I1134">
        <f>IF(AND(ISNUMBER(A1134),ISNUMBER(B1134)),A1134*1000+B1134,"")</f>
        <v/>
      </c>
      <c r="J1134">
        <f>IF(I1134="","",IF(COUNTIF(I$2:I1134,I1134)=1,MAX(J$1:J1133)+1,""))</f>
        <v/>
      </c>
    </row>
    <row r="1135">
      <c r="A1135">
        <f>IFERROR(--SUBSTITUTE(SUBSTITUTE(TRIM(INDEX(INDIRECT("'Выгрузка'!A1135:Z1135"),Настройки!$B$7)),",","."),".",MID(1/2,2,1)),"")</f>
        <v/>
      </c>
      <c r="B1135">
        <f>IFERROR(--SUBSTITUTE(SUBSTITUTE(TRIM(INDEX(INDIRECT("'Выгрузка'!A1135:Z1135"),Настройки!$B$9)),",","."),".",MID(1/2,2,1)),"")</f>
        <v/>
      </c>
      <c r="C1135">
        <f>TRIM(INDEX(INDIRECT("'Выгрузка'!A1135:Z1135"),Настройки!$B$8)&amp;"")</f>
        <v/>
      </c>
      <c r="D1135">
        <f>IFERROR(--SUBSTITUTE(SUBSTITUTE(TRIM(INDEX(INDIRECT("'Выгрузка'!A1135:Z1135"),Настройки!$B$10)),",","."),".",MID(1/2,2,1)),"")</f>
        <v/>
      </c>
      <c r="E1135">
        <f>IFERROR(--SUBSTITUTE(SUBSTITUTE(TRIM(INDEX(INDIRECT("'Выгрузка'!A1135:Z1135"),Настройки!$B$11)),",","."),".",MID(1/2,2,1)),"")</f>
        <v/>
      </c>
      <c r="F1135">
        <f>TRIM(INDEX(INDIRECT("'Выгрузка'!A1135:Z1135"),Настройки!$B$12)&amp;"")</f>
        <v/>
      </c>
      <c r="G1135">
        <f>IF(F1135="",0,IF(TRIM(INDEX(INDIRECT("'Выгрузка'!A1135:Z1135"),Настройки!$B$13)&amp;"")="",1,IFERROR(--SUBSTITUTE(SUBSTITUTE(TRIM(INDEX(INDIRECT("'Выгрузка'!A1135:Z1135"),Настройки!$B$13)),",","."),".",MID(1/2,2,1)),"")))</f>
        <v/>
      </c>
      <c r="H1135">
        <f>IF(F1135="",0,IF(COUNTIF(Настройки!$B$17:$B$26,F1135)&gt;0,1,IF(COUNTIF(Настройки!$C$17:$C$26,F1135)&gt;0,2,IF(COUNTIF(Настройки!$D$17:$D$26,F1135)&gt;0,3,0))))</f>
        <v/>
      </c>
      <c r="I1135">
        <f>IF(AND(ISNUMBER(A1135),ISNUMBER(B1135)),A1135*1000+B1135,"")</f>
        <v/>
      </c>
      <c r="J1135">
        <f>IF(I1135="","",IF(COUNTIF(I$2:I1135,I1135)=1,MAX(J$1:J1134)+1,""))</f>
        <v/>
      </c>
    </row>
    <row r="1136">
      <c r="A1136">
        <f>IFERROR(--SUBSTITUTE(SUBSTITUTE(TRIM(INDEX(INDIRECT("'Выгрузка'!A1136:Z1136"),Настройки!$B$7)),",","."),".",MID(1/2,2,1)),"")</f>
        <v/>
      </c>
      <c r="B1136">
        <f>IFERROR(--SUBSTITUTE(SUBSTITUTE(TRIM(INDEX(INDIRECT("'Выгрузка'!A1136:Z1136"),Настройки!$B$9)),",","."),".",MID(1/2,2,1)),"")</f>
        <v/>
      </c>
      <c r="C1136">
        <f>TRIM(INDEX(INDIRECT("'Выгрузка'!A1136:Z1136"),Настройки!$B$8)&amp;"")</f>
        <v/>
      </c>
      <c r="D1136">
        <f>IFERROR(--SUBSTITUTE(SUBSTITUTE(TRIM(INDEX(INDIRECT("'Выгрузка'!A1136:Z1136"),Настройки!$B$10)),",","."),".",MID(1/2,2,1)),"")</f>
        <v/>
      </c>
      <c r="E1136">
        <f>IFERROR(--SUBSTITUTE(SUBSTITUTE(TRIM(INDEX(INDIRECT("'Выгрузка'!A1136:Z1136"),Настройки!$B$11)),",","."),".",MID(1/2,2,1)),"")</f>
        <v/>
      </c>
      <c r="F1136">
        <f>TRIM(INDEX(INDIRECT("'Выгрузка'!A1136:Z1136"),Настройки!$B$12)&amp;"")</f>
        <v/>
      </c>
      <c r="G1136">
        <f>IF(F1136="",0,IF(TRIM(INDEX(INDIRECT("'Выгрузка'!A1136:Z1136"),Настройки!$B$13)&amp;"")="",1,IFERROR(--SUBSTITUTE(SUBSTITUTE(TRIM(INDEX(INDIRECT("'Выгрузка'!A1136:Z1136"),Настройки!$B$13)),",","."),".",MID(1/2,2,1)),"")))</f>
        <v/>
      </c>
      <c r="H1136">
        <f>IF(F1136="",0,IF(COUNTIF(Настройки!$B$17:$B$26,F1136)&gt;0,1,IF(COUNTIF(Настройки!$C$17:$C$26,F1136)&gt;0,2,IF(COUNTIF(Настройки!$D$17:$D$26,F1136)&gt;0,3,0))))</f>
        <v/>
      </c>
      <c r="I1136">
        <f>IF(AND(ISNUMBER(A1136),ISNUMBER(B1136)),A1136*1000+B1136,"")</f>
        <v/>
      </c>
      <c r="J1136">
        <f>IF(I1136="","",IF(COUNTIF(I$2:I1136,I1136)=1,MAX(J$1:J1135)+1,""))</f>
        <v/>
      </c>
    </row>
    <row r="1137">
      <c r="A1137">
        <f>IFERROR(--SUBSTITUTE(SUBSTITUTE(TRIM(INDEX(INDIRECT("'Выгрузка'!A1137:Z1137"),Настройки!$B$7)),",","."),".",MID(1/2,2,1)),"")</f>
        <v/>
      </c>
      <c r="B1137">
        <f>IFERROR(--SUBSTITUTE(SUBSTITUTE(TRIM(INDEX(INDIRECT("'Выгрузка'!A1137:Z1137"),Настройки!$B$9)),",","."),".",MID(1/2,2,1)),"")</f>
        <v/>
      </c>
      <c r="C1137">
        <f>TRIM(INDEX(INDIRECT("'Выгрузка'!A1137:Z1137"),Настройки!$B$8)&amp;"")</f>
        <v/>
      </c>
      <c r="D1137">
        <f>IFERROR(--SUBSTITUTE(SUBSTITUTE(TRIM(INDEX(INDIRECT("'Выгрузка'!A1137:Z1137"),Настройки!$B$10)),",","."),".",MID(1/2,2,1)),"")</f>
        <v/>
      </c>
      <c r="E1137">
        <f>IFERROR(--SUBSTITUTE(SUBSTITUTE(TRIM(INDEX(INDIRECT("'Выгрузка'!A1137:Z1137"),Настройки!$B$11)),",","."),".",MID(1/2,2,1)),"")</f>
        <v/>
      </c>
      <c r="F1137">
        <f>TRIM(INDEX(INDIRECT("'Выгрузка'!A1137:Z1137"),Настройки!$B$12)&amp;"")</f>
        <v/>
      </c>
      <c r="G1137">
        <f>IF(F1137="",0,IF(TRIM(INDEX(INDIRECT("'Выгрузка'!A1137:Z1137"),Настройки!$B$13)&amp;"")="",1,IFERROR(--SUBSTITUTE(SUBSTITUTE(TRIM(INDEX(INDIRECT("'Выгрузка'!A1137:Z1137"),Настройки!$B$13)),",","."),".",MID(1/2,2,1)),"")))</f>
        <v/>
      </c>
      <c r="H1137">
        <f>IF(F1137="",0,IF(COUNTIF(Настройки!$B$17:$B$26,F1137)&gt;0,1,IF(COUNTIF(Настройки!$C$17:$C$26,F1137)&gt;0,2,IF(COUNTIF(Настройки!$D$17:$D$26,F1137)&gt;0,3,0))))</f>
        <v/>
      </c>
      <c r="I1137">
        <f>IF(AND(ISNUMBER(A1137),ISNUMBER(B1137)),A1137*1000+B1137,"")</f>
        <v/>
      </c>
      <c r="J1137">
        <f>IF(I1137="","",IF(COUNTIF(I$2:I1137,I1137)=1,MAX(J$1:J1136)+1,""))</f>
        <v/>
      </c>
    </row>
    <row r="1138">
      <c r="A1138">
        <f>IFERROR(--SUBSTITUTE(SUBSTITUTE(TRIM(INDEX(INDIRECT("'Выгрузка'!A1138:Z1138"),Настройки!$B$7)),",","."),".",MID(1/2,2,1)),"")</f>
        <v/>
      </c>
      <c r="B1138">
        <f>IFERROR(--SUBSTITUTE(SUBSTITUTE(TRIM(INDEX(INDIRECT("'Выгрузка'!A1138:Z1138"),Настройки!$B$9)),",","."),".",MID(1/2,2,1)),"")</f>
        <v/>
      </c>
      <c r="C1138">
        <f>TRIM(INDEX(INDIRECT("'Выгрузка'!A1138:Z1138"),Настройки!$B$8)&amp;"")</f>
        <v/>
      </c>
      <c r="D1138">
        <f>IFERROR(--SUBSTITUTE(SUBSTITUTE(TRIM(INDEX(INDIRECT("'Выгрузка'!A1138:Z1138"),Настройки!$B$10)),",","."),".",MID(1/2,2,1)),"")</f>
        <v/>
      </c>
      <c r="E1138">
        <f>IFERROR(--SUBSTITUTE(SUBSTITUTE(TRIM(INDEX(INDIRECT("'Выгрузка'!A1138:Z1138"),Настройки!$B$11)),",","."),".",MID(1/2,2,1)),"")</f>
        <v/>
      </c>
      <c r="F1138">
        <f>TRIM(INDEX(INDIRECT("'Выгрузка'!A1138:Z1138"),Настройки!$B$12)&amp;"")</f>
        <v/>
      </c>
      <c r="G1138">
        <f>IF(F1138="",0,IF(TRIM(INDEX(INDIRECT("'Выгрузка'!A1138:Z1138"),Настройки!$B$13)&amp;"")="",1,IFERROR(--SUBSTITUTE(SUBSTITUTE(TRIM(INDEX(INDIRECT("'Выгрузка'!A1138:Z1138"),Настройки!$B$13)),",","."),".",MID(1/2,2,1)),"")))</f>
        <v/>
      </c>
      <c r="H1138">
        <f>IF(F1138="",0,IF(COUNTIF(Настройки!$B$17:$B$26,F1138)&gt;0,1,IF(COUNTIF(Настройки!$C$17:$C$26,F1138)&gt;0,2,IF(COUNTIF(Настройки!$D$17:$D$26,F1138)&gt;0,3,0))))</f>
        <v/>
      </c>
      <c r="I1138">
        <f>IF(AND(ISNUMBER(A1138),ISNUMBER(B1138)),A1138*1000+B1138,"")</f>
        <v/>
      </c>
      <c r="J1138">
        <f>IF(I1138="","",IF(COUNTIF(I$2:I1138,I1138)=1,MAX(J$1:J1137)+1,""))</f>
        <v/>
      </c>
    </row>
    <row r="1139">
      <c r="A1139">
        <f>IFERROR(--SUBSTITUTE(SUBSTITUTE(TRIM(INDEX(INDIRECT("'Выгрузка'!A1139:Z1139"),Настройки!$B$7)),",","."),".",MID(1/2,2,1)),"")</f>
        <v/>
      </c>
      <c r="B1139">
        <f>IFERROR(--SUBSTITUTE(SUBSTITUTE(TRIM(INDEX(INDIRECT("'Выгрузка'!A1139:Z1139"),Настройки!$B$9)),",","."),".",MID(1/2,2,1)),"")</f>
        <v/>
      </c>
      <c r="C1139">
        <f>TRIM(INDEX(INDIRECT("'Выгрузка'!A1139:Z1139"),Настройки!$B$8)&amp;"")</f>
        <v/>
      </c>
      <c r="D1139">
        <f>IFERROR(--SUBSTITUTE(SUBSTITUTE(TRIM(INDEX(INDIRECT("'Выгрузка'!A1139:Z1139"),Настройки!$B$10)),",","."),".",MID(1/2,2,1)),"")</f>
        <v/>
      </c>
      <c r="E1139">
        <f>IFERROR(--SUBSTITUTE(SUBSTITUTE(TRIM(INDEX(INDIRECT("'Выгрузка'!A1139:Z1139"),Настройки!$B$11)),",","."),".",MID(1/2,2,1)),"")</f>
        <v/>
      </c>
      <c r="F1139">
        <f>TRIM(INDEX(INDIRECT("'Выгрузка'!A1139:Z1139"),Настройки!$B$12)&amp;"")</f>
        <v/>
      </c>
      <c r="G1139">
        <f>IF(F1139="",0,IF(TRIM(INDEX(INDIRECT("'Выгрузка'!A1139:Z1139"),Настройки!$B$13)&amp;"")="",1,IFERROR(--SUBSTITUTE(SUBSTITUTE(TRIM(INDEX(INDIRECT("'Выгрузка'!A1139:Z1139"),Настройки!$B$13)),",","."),".",MID(1/2,2,1)),"")))</f>
        <v/>
      </c>
      <c r="H1139">
        <f>IF(F1139="",0,IF(COUNTIF(Настройки!$B$17:$B$26,F1139)&gt;0,1,IF(COUNTIF(Настройки!$C$17:$C$26,F1139)&gt;0,2,IF(COUNTIF(Настройки!$D$17:$D$26,F1139)&gt;0,3,0))))</f>
        <v/>
      </c>
      <c r="I1139">
        <f>IF(AND(ISNUMBER(A1139),ISNUMBER(B1139)),A1139*1000+B1139,"")</f>
        <v/>
      </c>
      <c r="J1139">
        <f>IF(I1139="","",IF(COUNTIF(I$2:I1139,I1139)=1,MAX(J$1:J1138)+1,""))</f>
        <v/>
      </c>
    </row>
    <row r="1140">
      <c r="A1140">
        <f>IFERROR(--SUBSTITUTE(SUBSTITUTE(TRIM(INDEX(INDIRECT("'Выгрузка'!A1140:Z1140"),Настройки!$B$7)),",","."),".",MID(1/2,2,1)),"")</f>
        <v/>
      </c>
      <c r="B1140">
        <f>IFERROR(--SUBSTITUTE(SUBSTITUTE(TRIM(INDEX(INDIRECT("'Выгрузка'!A1140:Z1140"),Настройки!$B$9)),",","."),".",MID(1/2,2,1)),"")</f>
        <v/>
      </c>
      <c r="C1140">
        <f>TRIM(INDEX(INDIRECT("'Выгрузка'!A1140:Z1140"),Настройки!$B$8)&amp;"")</f>
        <v/>
      </c>
      <c r="D1140">
        <f>IFERROR(--SUBSTITUTE(SUBSTITUTE(TRIM(INDEX(INDIRECT("'Выгрузка'!A1140:Z1140"),Настройки!$B$10)),",","."),".",MID(1/2,2,1)),"")</f>
        <v/>
      </c>
      <c r="E1140">
        <f>IFERROR(--SUBSTITUTE(SUBSTITUTE(TRIM(INDEX(INDIRECT("'Выгрузка'!A1140:Z1140"),Настройки!$B$11)),",","."),".",MID(1/2,2,1)),"")</f>
        <v/>
      </c>
      <c r="F1140">
        <f>TRIM(INDEX(INDIRECT("'Выгрузка'!A1140:Z1140"),Настройки!$B$12)&amp;"")</f>
        <v/>
      </c>
      <c r="G1140">
        <f>IF(F1140="",0,IF(TRIM(INDEX(INDIRECT("'Выгрузка'!A1140:Z1140"),Настройки!$B$13)&amp;"")="",1,IFERROR(--SUBSTITUTE(SUBSTITUTE(TRIM(INDEX(INDIRECT("'Выгрузка'!A1140:Z1140"),Настройки!$B$13)),",","."),".",MID(1/2,2,1)),"")))</f>
        <v/>
      </c>
      <c r="H1140">
        <f>IF(F1140="",0,IF(COUNTIF(Настройки!$B$17:$B$26,F1140)&gt;0,1,IF(COUNTIF(Настройки!$C$17:$C$26,F1140)&gt;0,2,IF(COUNTIF(Настройки!$D$17:$D$26,F1140)&gt;0,3,0))))</f>
        <v/>
      </c>
      <c r="I1140">
        <f>IF(AND(ISNUMBER(A1140),ISNUMBER(B1140)),A1140*1000+B1140,"")</f>
        <v/>
      </c>
      <c r="J1140">
        <f>IF(I1140="","",IF(COUNTIF(I$2:I1140,I1140)=1,MAX(J$1:J1139)+1,""))</f>
        <v/>
      </c>
    </row>
    <row r="1141">
      <c r="A1141">
        <f>IFERROR(--SUBSTITUTE(SUBSTITUTE(TRIM(INDEX(INDIRECT("'Выгрузка'!A1141:Z1141"),Настройки!$B$7)),",","."),".",MID(1/2,2,1)),"")</f>
        <v/>
      </c>
      <c r="B1141">
        <f>IFERROR(--SUBSTITUTE(SUBSTITUTE(TRIM(INDEX(INDIRECT("'Выгрузка'!A1141:Z1141"),Настройки!$B$9)),",","."),".",MID(1/2,2,1)),"")</f>
        <v/>
      </c>
      <c r="C1141">
        <f>TRIM(INDEX(INDIRECT("'Выгрузка'!A1141:Z1141"),Настройки!$B$8)&amp;"")</f>
        <v/>
      </c>
      <c r="D1141">
        <f>IFERROR(--SUBSTITUTE(SUBSTITUTE(TRIM(INDEX(INDIRECT("'Выгрузка'!A1141:Z1141"),Настройки!$B$10)),",","."),".",MID(1/2,2,1)),"")</f>
        <v/>
      </c>
      <c r="E1141">
        <f>IFERROR(--SUBSTITUTE(SUBSTITUTE(TRIM(INDEX(INDIRECT("'Выгрузка'!A1141:Z1141"),Настройки!$B$11)),",","."),".",MID(1/2,2,1)),"")</f>
        <v/>
      </c>
      <c r="F1141">
        <f>TRIM(INDEX(INDIRECT("'Выгрузка'!A1141:Z1141"),Настройки!$B$12)&amp;"")</f>
        <v/>
      </c>
      <c r="G1141">
        <f>IF(F1141="",0,IF(TRIM(INDEX(INDIRECT("'Выгрузка'!A1141:Z1141"),Настройки!$B$13)&amp;"")="",1,IFERROR(--SUBSTITUTE(SUBSTITUTE(TRIM(INDEX(INDIRECT("'Выгрузка'!A1141:Z1141"),Настройки!$B$13)),",","."),".",MID(1/2,2,1)),"")))</f>
        <v/>
      </c>
      <c r="H1141">
        <f>IF(F1141="",0,IF(COUNTIF(Настройки!$B$17:$B$26,F1141)&gt;0,1,IF(COUNTIF(Настройки!$C$17:$C$26,F1141)&gt;0,2,IF(COUNTIF(Настройки!$D$17:$D$26,F1141)&gt;0,3,0))))</f>
        <v/>
      </c>
      <c r="I1141">
        <f>IF(AND(ISNUMBER(A1141),ISNUMBER(B1141)),A1141*1000+B1141,"")</f>
        <v/>
      </c>
      <c r="J1141">
        <f>IF(I1141="","",IF(COUNTIF(I$2:I1141,I1141)=1,MAX(J$1:J1140)+1,""))</f>
        <v/>
      </c>
    </row>
    <row r="1142">
      <c r="A1142">
        <f>IFERROR(--SUBSTITUTE(SUBSTITUTE(TRIM(INDEX(INDIRECT("'Выгрузка'!A1142:Z1142"),Настройки!$B$7)),",","."),".",MID(1/2,2,1)),"")</f>
        <v/>
      </c>
      <c r="B1142">
        <f>IFERROR(--SUBSTITUTE(SUBSTITUTE(TRIM(INDEX(INDIRECT("'Выгрузка'!A1142:Z1142"),Настройки!$B$9)),",","."),".",MID(1/2,2,1)),"")</f>
        <v/>
      </c>
      <c r="C1142">
        <f>TRIM(INDEX(INDIRECT("'Выгрузка'!A1142:Z1142"),Настройки!$B$8)&amp;"")</f>
        <v/>
      </c>
      <c r="D1142">
        <f>IFERROR(--SUBSTITUTE(SUBSTITUTE(TRIM(INDEX(INDIRECT("'Выгрузка'!A1142:Z1142"),Настройки!$B$10)),",","."),".",MID(1/2,2,1)),"")</f>
        <v/>
      </c>
      <c r="E1142">
        <f>IFERROR(--SUBSTITUTE(SUBSTITUTE(TRIM(INDEX(INDIRECT("'Выгрузка'!A1142:Z1142"),Настройки!$B$11)),",","."),".",MID(1/2,2,1)),"")</f>
        <v/>
      </c>
      <c r="F1142">
        <f>TRIM(INDEX(INDIRECT("'Выгрузка'!A1142:Z1142"),Настройки!$B$12)&amp;"")</f>
        <v/>
      </c>
      <c r="G1142">
        <f>IF(F1142="",0,IF(TRIM(INDEX(INDIRECT("'Выгрузка'!A1142:Z1142"),Настройки!$B$13)&amp;"")="",1,IFERROR(--SUBSTITUTE(SUBSTITUTE(TRIM(INDEX(INDIRECT("'Выгрузка'!A1142:Z1142"),Настройки!$B$13)),",","."),".",MID(1/2,2,1)),"")))</f>
        <v/>
      </c>
      <c r="H1142">
        <f>IF(F1142="",0,IF(COUNTIF(Настройки!$B$17:$B$26,F1142)&gt;0,1,IF(COUNTIF(Настройки!$C$17:$C$26,F1142)&gt;0,2,IF(COUNTIF(Настройки!$D$17:$D$26,F1142)&gt;0,3,0))))</f>
        <v/>
      </c>
      <c r="I1142">
        <f>IF(AND(ISNUMBER(A1142),ISNUMBER(B1142)),A1142*1000+B1142,"")</f>
        <v/>
      </c>
      <c r="J1142">
        <f>IF(I1142="","",IF(COUNTIF(I$2:I1142,I1142)=1,MAX(J$1:J1141)+1,""))</f>
        <v/>
      </c>
    </row>
    <row r="1143">
      <c r="A1143">
        <f>IFERROR(--SUBSTITUTE(SUBSTITUTE(TRIM(INDEX(INDIRECT("'Выгрузка'!A1143:Z1143"),Настройки!$B$7)),",","."),".",MID(1/2,2,1)),"")</f>
        <v/>
      </c>
      <c r="B1143">
        <f>IFERROR(--SUBSTITUTE(SUBSTITUTE(TRIM(INDEX(INDIRECT("'Выгрузка'!A1143:Z1143"),Настройки!$B$9)),",","."),".",MID(1/2,2,1)),"")</f>
        <v/>
      </c>
      <c r="C1143">
        <f>TRIM(INDEX(INDIRECT("'Выгрузка'!A1143:Z1143"),Настройки!$B$8)&amp;"")</f>
        <v/>
      </c>
      <c r="D1143">
        <f>IFERROR(--SUBSTITUTE(SUBSTITUTE(TRIM(INDEX(INDIRECT("'Выгрузка'!A1143:Z1143"),Настройки!$B$10)),",","."),".",MID(1/2,2,1)),"")</f>
        <v/>
      </c>
      <c r="E1143">
        <f>IFERROR(--SUBSTITUTE(SUBSTITUTE(TRIM(INDEX(INDIRECT("'Выгрузка'!A1143:Z1143"),Настройки!$B$11)),",","."),".",MID(1/2,2,1)),"")</f>
        <v/>
      </c>
      <c r="F1143">
        <f>TRIM(INDEX(INDIRECT("'Выгрузка'!A1143:Z1143"),Настройки!$B$12)&amp;"")</f>
        <v/>
      </c>
      <c r="G1143">
        <f>IF(F1143="",0,IF(TRIM(INDEX(INDIRECT("'Выгрузка'!A1143:Z1143"),Настройки!$B$13)&amp;"")="",1,IFERROR(--SUBSTITUTE(SUBSTITUTE(TRIM(INDEX(INDIRECT("'Выгрузка'!A1143:Z1143"),Настройки!$B$13)),",","."),".",MID(1/2,2,1)),"")))</f>
        <v/>
      </c>
      <c r="H1143">
        <f>IF(F1143="",0,IF(COUNTIF(Настройки!$B$17:$B$26,F1143)&gt;0,1,IF(COUNTIF(Настройки!$C$17:$C$26,F1143)&gt;0,2,IF(COUNTIF(Настройки!$D$17:$D$26,F1143)&gt;0,3,0))))</f>
        <v/>
      </c>
      <c r="I1143">
        <f>IF(AND(ISNUMBER(A1143),ISNUMBER(B1143)),A1143*1000+B1143,"")</f>
        <v/>
      </c>
      <c r="J1143">
        <f>IF(I1143="","",IF(COUNTIF(I$2:I1143,I1143)=1,MAX(J$1:J1142)+1,""))</f>
        <v/>
      </c>
    </row>
    <row r="1144">
      <c r="A1144">
        <f>IFERROR(--SUBSTITUTE(SUBSTITUTE(TRIM(INDEX(INDIRECT("'Выгрузка'!A1144:Z1144"),Настройки!$B$7)),",","."),".",MID(1/2,2,1)),"")</f>
        <v/>
      </c>
      <c r="B1144">
        <f>IFERROR(--SUBSTITUTE(SUBSTITUTE(TRIM(INDEX(INDIRECT("'Выгрузка'!A1144:Z1144"),Настройки!$B$9)),",","."),".",MID(1/2,2,1)),"")</f>
        <v/>
      </c>
      <c r="C1144">
        <f>TRIM(INDEX(INDIRECT("'Выгрузка'!A1144:Z1144"),Настройки!$B$8)&amp;"")</f>
        <v/>
      </c>
      <c r="D1144">
        <f>IFERROR(--SUBSTITUTE(SUBSTITUTE(TRIM(INDEX(INDIRECT("'Выгрузка'!A1144:Z1144"),Настройки!$B$10)),",","."),".",MID(1/2,2,1)),"")</f>
        <v/>
      </c>
      <c r="E1144">
        <f>IFERROR(--SUBSTITUTE(SUBSTITUTE(TRIM(INDEX(INDIRECT("'Выгрузка'!A1144:Z1144"),Настройки!$B$11)),",","."),".",MID(1/2,2,1)),"")</f>
        <v/>
      </c>
      <c r="F1144">
        <f>TRIM(INDEX(INDIRECT("'Выгрузка'!A1144:Z1144"),Настройки!$B$12)&amp;"")</f>
        <v/>
      </c>
      <c r="G1144">
        <f>IF(F1144="",0,IF(TRIM(INDEX(INDIRECT("'Выгрузка'!A1144:Z1144"),Настройки!$B$13)&amp;"")="",1,IFERROR(--SUBSTITUTE(SUBSTITUTE(TRIM(INDEX(INDIRECT("'Выгрузка'!A1144:Z1144"),Настройки!$B$13)),",","."),".",MID(1/2,2,1)),"")))</f>
        <v/>
      </c>
      <c r="H1144">
        <f>IF(F1144="",0,IF(COUNTIF(Настройки!$B$17:$B$26,F1144)&gt;0,1,IF(COUNTIF(Настройки!$C$17:$C$26,F1144)&gt;0,2,IF(COUNTIF(Настройки!$D$17:$D$26,F1144)&gt;0,3,0))))</f>
        <v/>
      </c>
      <c r="I1144">
        <f>IF(AND(ISNUMBER(A1144),ISNUMBER(B1144)),A1144*1000+B1144,"")</f>
        <v/>
      </c>
      <c r="J1144">
        <f>IF(I1144="","",IF(COUNTIF(I$2:I1144,I1144)=1,MAX(J$1:J1143)+1,""))</f>
        <v/>
      </c>
    </row>
    <row r="1145">
      <c r="A1145">
        <f>IFERROR(--SUBSTITUTE(SUBSTITUTE(TRIM(INDEX(INDIRECT("'Выгрузка'!A1145:Z1145"),Настройки!$B$7)),",","."),".",MID(1/2,2,1)),"")</f>
        <v/>
      </c>
      <c r="B1145">
        <f>IFERROR(--SUBSTITUTE(SUBSTITUTE(TRIM(INDEX(INDIRECT("'Выгрузка'!A1145:Z1145"),Настройки!$B$9)),",","."),".",MID(1/2,2,1)),"")</f>
        <v/>
      </c>
      <c r="C1145">
        <f>TRIM(INDEX(INDIRECT("'Выгрузка'!A1145:Z1145"),Настройки!$B$8)&amp;"")</f>
        <v/>
      </c>
      <c r="D1145">
        <f>IFERROR(--SUBSTITUTE(SUBSTITUTE(TRIM(INDEX(INDIRECT("'Выгрузка'!A1145:Z1145"),Настройки!$B$10)),",","."),".",MID(1/2,2,1)),"")</f>
        <v/>
      </c>
      <c r="E1145">
        <f>IFERROR(--SUBSTITUTE(SUBSTITUTE(TRIM(INDEX(INDIRECT("'Выгрузка'!A1145:Z1145"),Настройки!$B$11)),",","."),".",MID(1/2,2,1)),"")</f>
        <v/>
      </c>
      <c r="F1145">
        <f>TRIM(INDEX(INDIRECT("'Выгрузка'!A1145:Z1145"),Настройки!$B$12)&amp;"")</f>
        <v/>
      </c>
      <c r="G1145">
        <f>IF(F1145="",0,IF(TRIM(INDEX(INDIRECT("'Выгрузка'!A1145:Z1145"),Настройки!$B$13)&amp;"")="",1,IFERROR(--SUBSTITUTE(SUBSTITUTE(TRIM(INDEX(INDIRECT("'Выгрузка'!A1145:Z1145"),Настройки!$B$13)),",","."),".",MID(1/2,2,1)),"")))</f>
        <v/>
      </c>
      <c r="H1145">
        <f>IF(F1145="",0,IF(COUNTIF(Настройки!$B$17:$B$26,F1145)&gt;0,1,IF(COUNTIF(Настройки!$C$17:$C$26,F1145)&gt;0,2,IF(COUNTIF(Настройки!$D$17:$D$26,F1145)&gt;0,3,0))))</f>
        <v/>
      </c>
      <c r="I1145">
        <f>IF(AND(ISNUMBER(A1145),ISNUMBER(B1145)),A1145*1000+B1145,"")</f>
        <v/>
      </c>
      <c r="J1145">
        <f>IF(I1145="","",IF(COUNTIF(I$2:I1145,I1145)=1,MAX(J$1:J1144)+1,""))</f>
        <v/>
      </c>
    </row>
    <row r="1146">
      <c r="A1146">
        <f>IFERROR(--SUBSTITUTE(SUBSTITUTE(TRIM(INDEX(INDIRECT("'Выгрузка'!A1146:Z1146"),Настройки!$B$7)),",","."),".",MID(1/2,2,1)),"")</f>
        <v/>
      </c>
      <c r="B1146">
        <f>IFERROR(--SUBSTITUTE(SUBSTITUTE(TRIM(INDEX(INDIRECT("'Выгрузка'!A1146:Z1146"),Настройки!$B$9)),",","."),".",MID(1/2,2,1)),"")</f>
        <v/>
      </c>
      <c r="C1146">
        <f>TRIM(INDEX(INDIRECT("'Выгрузка'!A1146:Z1146"),Настройки!$B$8)&amp;"")</f>
        <v/>
      </c>
      <c r="D1146">
        <f>IFERROR(--SUBSTITUTE(SUBSTITUTE(TRIM(INDEX(INDIRECT("'Выгрузка'!A1146:Z1146"),Настройки!$B$10)),",","."),".",MID(1/2,2,1)),"")</f>
        <v/>
      </c>
      <c r="E1146">
        <f>IFERROR(--SUBSTITUTE(SUBSTITUTE(TRIM(INDEX(INDIRECT("'Выгрузка'!A1146:Z1146"),Настройки!$B$11)),",","."),".",MID(1/2,2,1)),"")</f>
        <v/>
      </c>
      <c r="F1146">
        <f>TRIM(INDEX(INDIRECT("'Выгрузка'!A1146:Z1146"),Настройки!$B$12)&amp;"")</f>
        <v/>
      </c>
      <c r="G1146">
        <f>IF(F1146="",0,IF(TRIM(INDEX(INDIRECT("'Выгрузка'!A1146:Z1146"),Настройки!$B$13)&amp;"")="",1,IFERROR(--SUBSTITUTE(SUBSTITUTE(TRIM(INDEX(INDIRECT("'Выгрузка'!A1146:Z1146"),Настройки!$B$13)),",","."),".",MID(1/2,2,1)),"")))</f>
        <v/>
      </c>
      <c r="H1146">
        <f>IF(F1146="",0,IF(COUNTIF(Настройки!$B$17:$B$26,F1146)&gt;0,1,IF(COUNTIF(Настройки!$C$17:$C$26,F1146)&gt;0,2,IF(COUNTIF(Настройки!$D$17:$D$26,F1146)&gt;0,3,0))))</f>
        <v/>
      </c>
      <c r="I1146">
        <f>IF(AND(ISNUMBER(A1146),ISNUMBER(B1146)),A1146*1000+B1146,"")</f>
        <v/>
      </c>
      <c r="J1146">
        <f>IF(I1146="","",IF(COUNTIF(I$2:I1146,I1146)=1,MAX(J$1:J1145)+1,""))</f>
        <v/>
      </c>
    </row>
    <row r="1147">
      <c r="A1147">
        <f>IFERROR(--SUBSTITUTE(SUBSTITUTE(TRIM(INDEX(INDIRECT("'Выгрузка'!A1147:Z1147"),Настройки!$B$7)),",","."),".",MID(1/2,2,1)),"")</f>
        <v/>
      </c>
      <c r="B1147">
        <f>IFERROR(--SUBSTITUTE(SUBSTITUTE(TRIM(INDEX(INDIRECT("'Выгрузка'!A1147:Z1147"),Настройки!$B$9)),",","."),".",MID(1/2,2,1)),"")</f>
        <v/>
      </c>
      <c r="C1147">
        <f>TRIM(INDEX(INDIRECT("'Выгрузка'!A1147:Z1147"),Настройки!$B$8)&amp;"")</f>
        <v/>
      </c>
      <c r="D1147">
        <f>IFERROR(--SUBSTITUTE(SUBSTITUTE(TRIM(INDEX(INDIRECT("'Выгрузка'!A1147:Z1147"),Настройки!$B$10)),",","."),".",MID(1/2,2,1)),"")</f>
        <v/>
      </c>
      <c r="E1147">
        <f>IFERROR(--SUBSTITUTE(SUBSTITUTE(TRIM(INDEX(INDIRECT("'Выгрузка'!A1147:Z1147"),Настройки!$B$11)),",","."),".",MID(1/2,2,1)),"")</f>
        <v/>
      </c>
      <c r="F1147">
        <f>TRIM(INDEX(INDIRECT("'Выгрузка'!A1147:Z1147"),Настройки!$B$12)&amp;"")</f>
        <v/>
      </c>
      <c r="G1147">
        <f>IF(F1147="",0,IF(TRIM(INDEX(INDIRECT("'Выгрузка'!A1147:Z1147"),Настройки!$B$13)&amp;"")="",1,IFERROR(--SUBSTITUTE(SUBSTITUTE(TRIM(INDEX(INDIRECT("'Выгрузка'!A1147:Z1147"),Настройки!$B$13)),",","."),".",MID(1/2,2,1)),"")))</f>
        <v/>
      </c>
      <c r="H1147">
        <f>IF(F1147="",0,IF(COUNTIF(Настройки!$B$17:$B$26,F1147)&gt;0,1,IF(COUNTIF(Настройки!$C$17:$C$26,F1147)&gt;0,2,IF(COUNTIF(Настройки!$D$17:$D$26,F1147)&gt;0,3,0))))</f>
        <v/>
      </c>
      <c r="I1147">
        <f>IF(AND(ISNUMBER(A1147),ISNUMBER(B1147)),A1147*1000+B1147,"")</f>
        <v/>
      </c>
      <c r="J1147">
        <f>IF(I1147="","",IF(COUNTIF(I$2:I1147,I1147)=1,MAX(J$1:J1146)+1,""))</f>
        <v/>
      </c>
    </row>
    <row r="1148">
      <c r="A1148">
        <f>IFERROR(--SUBSTITUTE(SUBSTITUTE(TRIM(INDEX(INDIRECT("'Выгрузка'!A1148:Z1148"),Настройки!$B$7)),",","."),".",MID(1/2,2,1)),"")</f>
        <v/>
      </c>
      <c r="B1148">
        <f>IFERROR(--SUBSTITUTE(SUBSTITUTE(TRIM(INDEX(INDIRECT("'Выгрузка'!A1148:Z1148"),Настройки!$B$9)),",","."),".",MID(1/2,2,1)),"")</f>
        <v/>
      </c>
      <c r="C1148">
        <f>TRIM(INDEX(INDIRECT("'Выгрузка'!A1148:Z1148"),Настройки!$B$8)&amp;"")</f>
        <v/>
      </c>
      <c r="D1148">
        <f>IFERROR(--SUBSTITUTE(SUBSTITUTE(TRIM(INDEX(INDIRECT("'Выгрузка'!A1148:Z1148"),Настройки!$B$10)),",","."),".",MID(1/2,2,1)),"")</f>
        <v/>
      </c>
      <c r="E1148">
        <f>IFERROR(--SUBSTITUTE(SUBSTITUTE(TRIM(INDEX(INDIRECT("'Выгрузка'!A1148:Z1148"),Настройки!$B$11)),",","."),".",MID(1/2,2,1)),"")</f>
        <v/>
      </c>
      <c r="F1148">
        <f>TRIM(INDEX(INDIRECT("'Выгрузка'!A1148:Z1148"),Настройки!$B$12)&amp;"")</f>
        <v/>
      </c>
      <c r="G1148">
        <f>IF(F1148="",0,IF(TRIM(INDEX(INDIRECT("'Выгрузка'!A1148:Z1148"),Настройки!$B$13)&amp;"")="",1,IFERROR(--SUBSTITUTE(SUBSTITUTE(TRIM(INDEX(INDIRECT("'Выгрузка'!A1148:Z1148"),Настройки!$B$13)),",","."),".",MID(1/2,2,1)),"")))</f>
        <v/>
      </c>
      <c r="H1148">
        <f>IF(F1148="",0,IF(COUNTIF(Настройки!$B$17:$B$26,F1148)&gt;0,1,IF(COUNTIF(Настройки!$C$17:$C$26,F1148)&gt;0,2,IF(COUNTIF(Настройки!$D$17:$D$26,F1148)&gt;0,3,0))))</f>
        <v/>
      </c>
      <c r="I1148">
        <f>IF(AND(ISNUMBER(A1148),ISNUMBER(B1148)),A1148*1000+B1148,"")</f>
        <v/>
      </c>
      <c r="J1148">
        <f>IF(I1148="","",IF(COUNTIF(I$2:I1148,I1148)=1,MAX(J$1:J1147)+1,""))</f>
        <v/>
      </c>
    </row>
    <row r="1149">
      <c r="A1149">
        <f>IFERROR(--SUBSTITUTE(SUBSTITUTE(TRIM(INDEX(INDIRECT("'Выгрузка'!A1149:Z1149"),Настройки!$B$7)),",","."),".",MID(1/2,2,1)),"")</f>
        <v/>
      </c>
      <c r="B1149">
        <f>IFERROR(--SUBSTITUTE(SUBSTITUTE(TRIM(INDEX(INDIRECT("'Выгрузка'!A1149:Z1149"),Настройки!$B$9)),",","."),".",MID(1/2,2,1)),"")</f>
        <v/>
      </c>
      <c r="C1149">
        <f>TRIM(INDEX(INDIRECT("'Выгрузка'!A1149:Z1149"),Настройки!$B$8)&amp;"")</f>
        <v/>
      </c>
      <c r="D1149">
        <f>IFERROR(--SUBSTITUTE(SUBSTITUTE(TRIM(INDEX(INDIRECT("'Выгрузка'!A1149:Z1149"),Настройки!$B$10)),",","."),".",MID(1/2,2,1)),"")</f>
        <v/>
      </c>
      <c r="E1149">
        <f>IFERROR(--SUBSTITUTE(SUBSTITUTE(TRIM(INDEX(INDIRECT("'Выгрузка'!A1149:Z1149"),Настройки!$B$11)),",","."),".",MID(1/2,2,1)),"")</f>
        <v/>
      </c>
      <c r="F1149">
        <f>TRIM(INDEX(INDIRECT("'Выгрузка'!A1149:Z1149"),Настройки!$B$12)&amp;"")</f>
        <v/>
      </c>
      <c r="G1149">
        <f>IF(F1149="",0,IF(TRIM(INDEX(INDIRECT("'Выгрузка'!A1149:Z1149"),Настройки!$B$13)&amp;"")="",1,IFERROR(--SUBSTITUTE(SUBSTITUTE(TRIM(INDEX(INDIRECT("'Выгрузка'!A1149:Z1149"),Настройки!$B$13)),",","."),".",MID(1/2,2,1)),"")))</f>
        <v/>
      </c>
      <c r="H1149">
        <f>IF(F1149="",0,IF(COUNTIF(Настройки!$B$17:$B$26,F1149)&gt;0,1,IF(COUNTIF(Настройки!$C$17:$C$26,F1149)&gt;0,2,IF(COUNTIF(Настройки!$D$17:$D$26,F1149)&gt;0,3,0))))</f>
        <v/>
      </c>
      <c r="I1149">
        <f>IF(AND(ISNUMBER(A1149),ISNUMBER(B1149)),A1149*1000+B1149,"")</f>
        <v/>
      </c>
      <c r="J1149">
        <f>IF(I1149="","",IF(COUNTIF(I$2:I1149,I1149)=1,MAX(J$1:J1148)+1,""))</f>
        <v/>
      </c>
    </row>
    <row r="1150">
      <c r="A1150">
        <f>IFERROR(--SUBSTITUTE(SUBSTITUTE(TRIM(INDEX(INDIRECT("'Выгрузка'!A1150:Z1150"),Настройки!$B$7)),",","."),".",MID(1/2,2,1)),"")</f>
        <v/>
      </c>
      <c r="B1150">
        <f>IFERROR(--SUBSTITUTE(SUBSTITUTE(TRIM(INDEX(INDIRECT("'Выгрузка'!A1150:Z1150"),Настройки!$B$9)),",","."),".",MID(1/2,2,1)),"")</f>
        <v/>
      </c>
      <c r="C1150">
        <f>TRIM(INDEX(INDIRECT("'Выгрузка'!A1150:Z1150"),Настройки!$B$8)&amp;"")</f>
        <v/>
      </c>
      <c r="D1150">
        <f>IFERROR(--SUBSTITUTE(SUBSTITUTE(TRIM(INDEX(INDIRECT("'Выгрузка'!A1150:Z1150"),Настройки!$B$10)),",","."),".",MID(1/2,2,1)),"")</f>
        <v/>
      </c>
      <c r="E1150">
        <f>IFERROR(--SUBSTITUTE(SUBSTITUTE(TRIM(INDEX(INDIRECT("'Выгрузка'!A1150:Z1150"),Настройки!$B$11)),",","."),".",MID(1/2,2,1)),"")</f>
        <v/>
      </c>
      <c r="F1150">
        <f>TRIM(INDEX(INDIRECT("'Выгрузка'!A1150:Z1150"),Настройки!$B$12)&amp;"")</f>
        <v/>
      </c>
      <c r="G1150">
        <f>IF(F1150="",0,IF(TRIM(INDEX(INDIRECT("'Выгрузка'!A1150:Z1150"),Настройки!$B$13)&amp;"")="",1,IFERROR(--SUBSTITUTE(SUBSTITUTE(TRIM(INDEX(INDIRECT("'Выгрузка'!A1150:Z1150"),Настройки!$B$13)),",","."),".",MID(1/2,2,1)),"")))</f>
        <v/>
      </c>
      <c r="H1150">
        <f>IF(F1150="",0,IF(COUNTIF(Настройки!$B$17:$B$26,F1150)&gt;0,1,IF(COUNTIF(Настройки!$C$17:$C$26,F1150)&gt;0,2,IF(COUNTIF(Настройки!$D$17:$D$26,F1150)&gt;0,3,0))))</f>
        <v/>
      </c>
      <c r="I1150">
        <f>IF(AND(ISNUMBER(A1150),ISNUMBER(B1150)),A1150*1000+B1150,"")</f>
        <v/>
      </c>
      <c r="J1150">
        <f>IF(I1150="","",IF(COUNTIF(I$2:I1150,I1150)=1,MAX(J$1:J1149)+1,""))</f>
        <v/>
      </c>
    </row>
    <row r="1151">
      <c r="A1151">
        <f>IFERROR(--SUBSTITUTE(SUBSTITUTE(TRIM(INDEX(INDIRECT("'Выгрузка'!A1151:Z1151"),Настройки!$B$7)),",","."),".",MID(1/2,2,1)),"")</f>
        <v/>
      </c>
      <c r="B1151">
        <f>IFERROR(--SUBSTITUTE(SUBSTITUTE(TRIM(INDEX(INDIRECT("'Выгрузка'!A1151:Z1151"),Настройки!$B$9)),",","."),".",MID(1/2,2,1)),"")</f>
        <v/>
      </c>
      <c r="C1151">
        <f>TRIM(INDEX(INDIRECT("'Выгрузка'!A1151:Z1151"),Настройки!$B$8)&amp;"")</f>
        <v/>
      </c>
      <c r="D1151">
        <f>IFERROR(--SUBSTITUTE(SUBSTITUTE(TRIM(INDEX(INDIRECT("'Выгрузка'!A1151:Z1151"),Настройки!$B$10)),",","."),".",MID(1/2,2,1)),"")</f>
        <v/>
      </c>
      <c r="E1151">
        <f>IFERROR(--SUBSTITUTE(SUBSTITUTE(TRIM(INDEX(INDIRECT("'Выгрузка'!A1151:Z1151"),Настройки!$B$11)),",","."),".",MID(1/2,2,1)),"")</f>
        <v/>
      </c>
      <c r="F1151">
        <f>TRIM(INDEX(INDIRECT("'Выгрузка'!A1151:Z1151"),Настройки!$B$12)&amp;"")</f>
        <v/>
      </c>
      <c r="G1151">
        <f>IF(F1151="",0,IF(TRIM(INDEX(INDIRECT("'Выгрузка'!A1151:Z1151"),Настройки!$B$13)&amp;"")="",1,IFERROR(--SUBSTITUTE(SUBSTITUTE(TRIM(INDEX(INDIRECT("'Выгрузка'!A1151:Z1151"),Настройки!$B$13)),",","."),".",MID(1/2,2,1)),"")))</f>
        <v/>
      </c>
      <c r="H1151">
        <f>IF(F1151="",0,IF(COUNTIF(Настройки!$B$17:$B$26,F1151)&gt;0,1,IF(COUNTIF(Настройки!$C$17:$C$26,F1151)&gt;0,2,IF(COUNTIF(Настройки!$D$17:$D$26,F1151)&gt;0,3,0))))</f>
        <v/>
      </c>
      <c r="I1151">
        <f>IF(AND(ISNUMBER(A1151),ISNUMBER(B1151)),A1151*1000+B1151,"")</f>
        <v/>
      </c>
      <c r="J1151">
        <f>IF(I1151="","",IF(COUNTIF(I$2:I1151,I1151)=1,MAX(J$1:J1150)+1,""))</f>
        <v/>
      </c>
    </row>
    <row r="1152">
      <c r="A1152">
        <f>IFERROR(--SUBSTITUTE(SUBSTITUTE(TRIM(INDEX(INDIRECT("'Выгрузка'!A1152:Z1152"),Настройки!$B$7)),",","."),".",MID(1/2,2,1)),"")</f>
        <v/>
      </c>
      <c r="B1152">
        <f>IFERROR(--SUBSTITUTE(SUBSTITUTE(TRIM(INDEX(INDIRECT("'Выгрузка'!A1152:Z1152"),Настройки!$B$9)),",","."),".",MID(1/2,2,1)),"")</f>
        <v/>
      </c>
      <c r="C1152">
        <f>TRIM(INDEX(INDIRECT("'Выгрузка'!A1152:Z1152"),Настройки!$B$8)&amp;"")</f>
        <v/>
      </c>
      <c r="D1152">
        <f>IFERROR(--SUBSTITUTE(SUBSTITUTE(TRIM(INDEX(INDIRECT("'Выгрузка'!A1152:Z1152"),Настройки!$B$10)),",","."),".",MID(1/2,2,1)),"")</f>
        <v/>
      </c>
      <c r="E1152">
        <f>IFERROR(--SUBSTITUTE(SUBSTITUTE(TRIM(INDEX(INDIRECT("'Выгрузка'!A1152:Z1152"),Настройки!$B$11)),",","."),".",MID(1/2,2,1)),"")</f>
        <v/>
      </c>
      <c r="F1152">
        <f>TRIM(INDEX(INDIRECT("'Выгрузка'!A1152:Z1152"),Настройки!$B$12)&amp;"")</f>
        <v/>
      </c>
      <c r="G1152">
        <f>IF(F1152="",0,IF(TRIM(INDEX(INDIRECT("'Выгрузка'!A1152:Z1152"),Настройки!$B$13)&amp;"")="",1,IFERROR(--SUBSTITUTE(SUBSTITUTE(TRIM(INDEX(INDIRECT("'Выгрузка'!A1152:Z1152"),Настройки!$B$13)),",","."),".",MID(1/2,2,1)),"")))</f>
        <v/>
      </c>
      <c r="H1152">
        <f>IF(F1152="",0,IF(COUNTIF(Настройки!$B$17:$B$26,F1152)&gt;0,1,IF(COUNTIF(Настройки!$C$17:$C$26,F1152)&gt;0,2,IF(COUNTIF(Настройки!$D$17:$D$26,F1152)&gt;0,3,0))))</f>
        <v/>
      </c>
      <c r="I1152">
        <f>IF(AND(ISNUMBER(A1152),ISNUMBER(B1152)),A1152*1000+B1152,"")</f>
        <v/>
      </c>
      <c r="J1152">
        <f>IF(I1152="","",IF(COUNTIF(I$2:I1152,I1152)=1,MAX(J$1:J1151)+1,""))</f>
        <v/>
      </c>
    </row>
    <row r="1153">
      <c r="A1153">
        <f>IFERROR(--SUBSTITUTE(SUBSTITUTE(TRIM(INDEX(INDIRECT("'Выгрузка'!A1153:Z1153"),Настройки!$B$7)),",","."),".",MID(1/2,2,1)),"")</f>
        <v/>
      </c>
      <c r="B1153">
        <f>IFERROR(--SUBSTITUTE(SUBSTITUTE(TRIM(INDEX(INDIRECT("'Выгрузка'!A1153:Z1153"),Настройки!$B$9)),",","."),".",MID(1/2,2,1)),"")</f>
        <v/>
      </c>
      <c r="C1153">
        <f>TRIM(INDEX(INDIRECT("'Выгрузка'!A1153:Z1153"),Настройки!$B$8)&amp;"")</f>
        <v/>
      </c>
      <c r="D1153">
        <f>IFERROR(--SUBSTITUTE(SUBSTITUTE(TRIM(INDEX(INDIRECT("'Выгрузка'!A1153:Z1153"),Настройки!$B$10)),",","."),".",MID(1/2,2,1)),"")</f>
        <v/>
      </c>
      <c r="E1153">
        <f>IFERROR(--SUBSTITUTE(SUBSTITUTE(TRIM(INDEX(INDIRECT("'Выгрузка'!A1153:Z1153"),Настройки!$B$11)),",","."),".",MID(1/2,2,1)),"")</f>
        <v/>
      </c>
      <c r="F1153">
        <f>TRIM(INDEX(INDIRECT("'Выгрузка'!A1153:Z1153"),Настройки!$B$12)&amp;"")</f>
        <v/>
      </c>
      <c r="G1153">
        <f>IF(F1153="",0,IF(TRIM(INDEX(INDIRECT("'Выгрузка'!A1153:Z1153"),Настройки!$B$13)&amp;"")="",1,IFERROR(--SUBSTITUTE(SUBSTITUTE(TRIM(INDEX(INDIRECT("'Выгрузка'!A1153:Z1153"),Настройки!$B$13)),",","."),".",MID(1/2,2,1)),"")))</f>
        <v/>
      </c>
      <c r="H1153">
        <f>IF(F1153="",0,IF(COUNTIF(Настройки!$B$17:$B$26,F1153)&gt;0,1,IF(COUNTIF(Настройки!$C$17:$C$26,F1153)&gt;0,2,IF(COUNTIF(Настройки!$D$17:$D$26,F1153)&gt;0,3,0))))</f>
        <v/>
      </c>
      <c r="I1153">
        <f>IF(AND(ISNUMBER(A1153),ISNUMBER(B1153)),A1153*1000+B1153,"")</f>
        <v/>
      </c>
      <c r="J1153">
        <f>IF(I1153="","",IF(COUNTIF(I$2:I1153,I1153)=1,MAX(J$1:J1152)+1,""))</f>
        <v/>
      </c>
    </row>
    <row r="1154">
      <c r="A1154">
        <f>IFERROR(--SUBSTITUTE(SUBSTITUTE(TRIM(INDEX(INDIRECT("'Выгрузка'!A1154:Z1154"),Настройки!$B$7)),",","."),".",MID(1/2,2,1)),"")</f>
        <v/>
      </c>
      <c r="B1154">
        <f>IFERROR(--SUBSTITUTE(SUBSTITUTE(TRIM(INDEX(INDIRECT("'Выгрузка'!A1154:Z1154"),Настройки!$B$9)),",","."),".",MID(1/2,2,1)),"")</f>
        <v/>
      </c>
      <c r="C1154">
        <f>TRIM(INDEX(INDIRECT("'Выгрузка'!A1154:Z1154"),Настройки!$B$8)&amp;"")</f>
        <v/>
      </c>
      <c r="D1154">
        <f>IFERROR(--SUBSTITUTE(SUBSTITUTE(TRIM(INDEX(INDIRECT("'Выгрузка'!A1154:Z1154"),Настройки!$B$10)),",","."),".",MID(1/2,2,1)),"")</f>
        <v/>
      </c>
      <c r="E1154">
        <f>IFERROR(--SUBSTITUTE(SUBSTITUTE(TRIM(INDEX(INDIRECT("'Выгрузка'!A1154:Z1154"),Настройки!$B$11)),",","."),".",MID(1/2,2,1)),"")</f>
        <v/>
      </c>
      <c r="F1154">
        <f>TRIM(INDEX(INDIRECT("'Выгрузка'!A1154:Z1154"),Настройки!$B$12)&amp;"")</f>
        <v/>
      </c>
      <c r="G1154">
        <f>IF(F1154="",0,IF(TRIM(INDEX(INDIRECT("'Выгрузка'!A1154:Z1154"),Настройки!$B$13)&amp;"")="",1,IFERROR(--SUBSTITUTE(SUBSTITUTE(TRIM(INDEX(INDIRECT("'Выгрузка'!A1154:Z1154"),Настройки!$B$13)),",","."),".",MID(1/2,2,1)),"")))</f>
        <v/>
      </c>
      <c r="H1154">
        <f>IF(F1154="",0,IF(COUNTIF(Настройки!$B$17:$B$26,F1154)&gt;0,1,IF(COUNTIF(Настройки!$C$17:$C$26,F1154)&gt;0,2,IF(COUNTIF(Настройки!$D$17:$D$26,F1154)&gt;0,3,0))))</f>
        <v/>
      </c>
      <c r="I1154">
        <f>IF(AND(ISNUMBER(A1154),ISNUMBER(B1154)),A1154*1000+B1154,"")</f>
        <v/>
      </c>
      <c r="J1154">
        <f>IF(I1154="","",IF(COUNTIF(I$2:I1154,I1154)=1,MAX(J$1:J1153)+1,""))</f>
        <v/>
      </c>
    </row>
    <row r="1155">
      <c r="A1155">
        <f>IFERROR(--SUBSTITUTE(SUBSTITUTE(TRIM(INDEX(INDIRECT("'Выгрузка'!A1155:Z1155"),Настройки!$B$7)),",","."),".",MID(1/2,2,1)),"")</f>
        <v/>
      </c>
      <c r="B1155">
        <f>IFERROR(--SUBSTITUTE(SUBSTITUTE(TRIM(INDEX(INDIRECT("'Выгрузка'!A1155:Z1155"),Настройки!$B$9)),",","."),".",MID(1/2,2,1)),"")</f>
        <v/>
      </c>
      <c r="C1155">
        <f>TRIM(INDEX(INDIRECT("'Выгрузка'!A1155:Z1155"),Настройки!$B$8)&amp;"")</f>
        <v/>
      </c>
      <c r="D1155">
        <f>IFERROR(--SUBSTITUTE(SUBSTITUTE(TRIM(INDEX(INDIRECT("'Выгрузка'!A1155:Z1155"),Настройки!$B$10)),",","."),".",MID(1/2,2,1)),"")</f>
        <v/>
      </c>
      <c r="E1155">
        <f>IFERROR(--SUBSTITUTE(SUBSTITUTE(TRIM(INDEX(INDIRECT("'Выгрузка'!A1155:Z1155"),Настройки!$B$11)),",","."),".",MID(1/2,2,1)),"")</f>
        <v/>
      </c>
      <c r="F1155">
        <f>TRIM(INDEX(INDIRECT("'Выгрузка'!A1155:Z1155"),Настройки!$B$12)&amp;"")</f>
        <v/>
      </c>
      <c r="G1155">
        <f>IF(F1155="",0,IF(TRIM(INDEX(INDIRECT("'Выгрузка'!A1155:Z1155"),Настройки!$B$13)&amp;"")="",1,IFERROR(--SUBSTITUTE(SUBSTITUTE(TRIM(INDEX(INDIRECT("'Выгрузка'!A1155:Z1155"),Настройки!$B$13)),",","."),".",MID(1/2,2,1)),"")))</f>
        <v/>
      </c>
      <c r="H1155">
        <f>IF(F1155="",0,IF(COUNTIF(Настройки!$B$17:$B$26,F1155)&gt;0,1,IF(COUNTIF(Настройки!$C$17:$C$26,F1155)&gt;0,2,IF(COUNTIF(Настройки!$D$17:$D$26,F1155)&gt;0,3,0))))</f>
        <v/>
      </c>
      <c r="I1155">
        <f>IF(AND(ISNUMBER(A1155),ISNUMBER(B1155)),A1155*1000+B1155,"")</f>
        <v/>
      </c>
      <c r="J1155">
        <f>IF(I1155="","",IF(COUNTIF(I$2:I1155,I1155)=1,MAX(J$1:J1154)+1,""))</f>
        <v/>
      </c>
    </row>
    <row r="1156">
      <c r="A1156">
        <f>IFERROR(--SUBSTITUTE(SUBSTITUTE(TRIM(INDEX(INDIRECT("'Выгрузка'!A1156:Z1156"),Настройки!$B$7)),",","."),".",MID(1/2,2,1)),"")</f>
        <v/>
      </c>
      <c r="B1156">
        <f>IFERROR(--SUBSTITUTE(SUBSTITUTE(TRIM(INDEX(INDIRECT("'Выгрузка'!A1156:Z1156"),Настройки!$B$9)),",","."),".",MID(1/2,2,1)),"")</f>
        <v/>
      </c>
      <c r="C1156">
        <f>TRIM(INDEX(INDIRECT("'Выгрузка'!A1156:Z1156"),Настройки!$B$8)&amp;"")</f>
        <v/>
      </c>
      <c r="D1156">
        <f>IFERROR(--SUBSTITUTE(SUBSTITUTE(TRIM(INDEX(INDIRECT("'Выгрузка'!A1156:Z1156"),Настройки!$B$10)),",","."),".",MID(1/2,2,1)),"")</f>
        <v/>
      </c>
      <c r="E1156">
        <f>IFERROR(--SUBSTITUTE(SUBSTITUTE(TRIM(INDEX(INDIRECT("'Выгрузка'!A1156:Z1156"),Настройки!$B$11)),",","."),".",MID(1/2,2,1)),"")</f>
        <v/>
      </c>
      <c r="F1156">
        <f>TRIM(INDEX(INDIRECT("'Выгрузка'!A1156:Z1156"),Настройки!$B$12)&amp;"")</f>
        <v/>
      </c>
      <c r="G1156">
        <f>IF(F1156="",0,IF(TRIM(INDEX(INDIRECT("'Выгрузка'!A1156:Z1156"),Настройки!$B$13)&amp;"")="",1,IFERROR(--SUBSTITUTE(SUBSTITUTE(TRIM(INDEX(INDIRECT("'Выгрузка'!A1156:Z1156"),Настройки!$B$13)),",","."),".",MID(1/2,2,1)),"")))</f>
        <v/>
      </c>
      <c r="H1156">
        <f>IF(F1156="",0,IF(COUNTIF(Настройки!$B$17:$B$26,F1156)&gt;0,1,IF(COUNTIF(Настройки!$C$17:$C$26,F1156)&gt;0,2,IF(COUNTIF(Настройки!$D$17:$D$26,F1156)&gt;0,3,0))))</f>
        <v/>
      </c>
      <c r="I1156">
        <f>IF(AND(ISNUMBER(A1156),ISNUMBER(B1156)),A1156*1000+B1156,"")</f>
        <v/>
      </c>
      <c r="J1156">
        <f>IF(I1156="","",IF(COUNTIF(I$2:I1156,I1156)=1,MAX(J$1:J1155)+1,""))</f>
        <v/>
      </c>
    </row>
    <row r="1157">
      <c r="A1157">
        <f>IFERROR(--SUBSTITUTE(SUBSTITUTE(TRIM(INDEX(INDIRECT("'Выгрузка'!A1157:Z1157"),Настройки!$B$7)),",","."),".",MID(1/2,2,1)),"")</f>
        <v/>
      </c>
      <c r="B1157">
        <f>IFERROR(--SUBSTITUTE(SUBSTITUTE(TRIM(INDEX(INDIRECT("'Выгрузка'!A1157:Z1157"),Настройки!$B$9)),",","."),".",MID(1/2,2,1)),"")</f>
        <v/>
      </c>
      <c r="C1157">
        <f>TRIM(INDEX(INDIRECT("'Выгрузка'!A1157:Z1157"),Настройки!$B$8)&amp;"")</f>
        <v/>
      </c>
      <c r="D1157">
        <f>IFERROR(--SUBSTITUTE(SUBSTITUTE(TRIM(INDEX(INDIRECT("'Выгрузка'!A1157:Z1157"),Настройки!$B$10)),",","."),".",MID(1/2,2,1)),"")</f>
        <v/>
      </c>
      <c r="E1157">
        <f>IFERROR(--SUBSTITUTE(SUBSTITUTE(TRIM(INDEX(INDIRECT("'Выгрузка'!A1157:Z1157"),Настройки!$B$11)),",","."),".",MID(1/2,2,1)),"")</f>
        <v/>
      </c>
      <c r="F1157">
        <f>TRIM(INDEX(INDIRECT("'Выгрузка'!A1157:Z1157"),Настройки!$B$12)&amp;"")</f>
        <v/>
      </c>
      <c r="G1157">
        <f>IF(F1157="",0,IF(TRIM(INDEX(INDIRECT("'Выгрузка'!A1157:Z1157"),Настройки!$B$13)&amp;"")="",1,IFERROR(--SUBSTITUTE(SUBSTITUTE(TRIM(INDEX(INDIRECT("'Выгрузка'!A1157:Z1157"),Настройки!$B$13)),",","."),".",MID(1/2,2,1)),"")))</f>
        <v/>
      </c>
      <c r="H1157">
        <f>IF(F1157="",0,IF(COUNTIF(Настройки!$B$17:$B$26,F1157)&gt;0,1,IF(COUNTIF(Настройки!$C$17:$C$26,F1157)&gt;0,2,IF(COUNTIF(Настройки!$D$17:$D$26,F1157)&gt;0,3,0))))</f>
        <v/>
      </c>
      <c r="I1157">
        <f>IF(AND(ISNUMBER(A1157),ISNUMBER(B1157)),A1157*1000+B1157,"")</f>
        <v/>
      </c>
      <c r="J1157">
        <f>IF(I1157="","",IF(COUNTIF(I$2:I1157,I1157)=1,MAX(J$1:J1156)+1,""))</f>
        <v/>
      </c>
    </row>
    <row r="1158">
      <c r="A1158">
        <f>IFERROR(--SUBSTITUTE(SUBSTITUTE(TRIM(INDEX(INDIRECT("'Выгрузка'!A1158:Z1158"),Настройки!$B$7)),",","."),".",MID(1/2,2,1)),"")</f>
        <v/>
      </c>
      <c r="B1158">
        <f>IFERROR(--SUBSTITUTE(SUBSTITUTE(TRIM(INDEX(INDIRECT("'Выгрузка'!A1158:Z1158"),Настройки!$B$9)),",","."),".",MID(1/2,2,1)),"")</f>
        <v/>
      </c>
      <c r="C1158">
        <f>TRIM(INDEX(INDIRECT("'Выгрузка'!A1158:Z1158"),Настройки!$B$8)&amp;"")</f>
        <v/>
      </c>
      <c r="D1158">
        <f>IFERROR(--SUBSTITUTE(SUBSTITUTE(TRIM(INDEX(INDIRECT("'Выгрузка'!A1158:Z1158"),Настройки!$B$10)),",","."),".",MID(1/2,2,1)),"")</f>
        <v/>
      </c>
      <c r="E1158">
        <f>IFERROR(--SUBSTITUTE(SUBSTITUTE(TRIM(INDEX(INDIRECT("'Выгрузка'!A1158:Z1158"),Настройки!$B$11)),",","."),".",MID(1/2,2,1)),"")</f>
        <v/>
      </c>
      <c r="F1158">
        <f>TRIM(INDEX(INDIRECT("'Выгрузка'!A1158:Z1158"),Настройки!$B$12)&amp;"")</f>
        <v/>
      </c>
      <c r="G1158">
        <f>IF(F1158="",0,IF(TRIM(INDEX(INDIRECT("'Выгрузка'!A1158:Z1158"),Настройки!$B$13)&amp;"")="",1,IFERROR(--SUBSTITUTE(SUBSTITUTE(TRIM(INDEX(INDIRECT("'Выгрузка'!A1158:Z1158"),Настройки!$B$13)),",","."),".",MID(1/2,2,1)),"")))</f>
        <v/>
      </c>
      <c r="H1158">
        <f>IF(F1158="",0,IF(COUNTIF(Настройки!$B$17:$B$26,F1158)&gt;0,1,IF(COUNTIF(Настройки!$C$17:$C$26,F1158)&gt;0,2,IF(COUNTIF(Настройки!$D$17:$D$26,F1158)&gt;0,3,0))))</f>
        <v/>
      </c>
      <c r="I1158">
        <f>IF(AND(ISNUMBER(A1158),ISNUMBER(B1158)),A1158*1000+B1158,"")</f>
        <v/>
      </c>
      <c r="J1158">
        <f>IF(I1158="","",IF(COUNTIF(I$2:I1158,I1158)=1,MAX(J$1:J1157)+1,""))</f>
        <v/>
      </c>
    </row>
    <row r="1159">
      <c r="A1159">
        <f>IFERROR(--SUBSTITUTE(SUBSTITUTE(TRIM(INDEX(INDIRECT("'Выгрузка'!A1159:Z1159"),Настройки!$B$7)),",","."),".",MID(1/2,2,1)),"")</f>
        <v/>
      </c>
      <c r="B1159">
        <f>IFERROR(--SUBSTITUTE(SUBSTITUTE(TRIM(INDEX(INDIRECT("'Выгрузка'!A1159:Z1159"),Настройки!$B$9)),",","."),".",MID(1/2,2,1)),"")</f>
        <v/>
      </c>
      <c r="C1159">
        <f>TRIM(INDEX(INDIRECT("'Выгрузка'!A1159:Z1159"),Настройки!$B$8)&amp;"")</f>
        <v/>
      </c>
      <c r="D1159">
        <f>IFERROR(--SUBSTITUTE(SUBSTITUTE(TRIM(INDEX(INDIRECT("'Выгрузка'!A1159:Z1159"),Настройки!$B$10)),",","."),".",MID(1/2,2,1)),"")</f>
        <v/>
      </c>
      <c r="E1159">
        <f>IFERROR(--SUBSTITUTE(SUBSTITUTE(TRIM(INDEX(INDIRECT("'Выгрузка'!A1159:Z1159"),Настройки!$B$11)),",","."),".",MID(1/2,2,1)),"")</f>
        <v/>
      </c>
      <c r="F1159">
        <f>TRIM(INDEX(INDIRECT("'Выгрузка'!A1159:Z1159"),Настройки!$B$12)&amp;"")</f>
        <v/>
      </c>
      <c r="G1159">
        <f>IF(F1159="",0,IF(TRIM(INDEX(INDIRECT("'Выгрузка'!A1159:Z1159"),Настройки!$B$13)&amp;"")="",1,IFERROR(--SUBSTITUTE(SUBSTITUTE(TRIM(INDEX(INDIRECT("'Выгрузка'!A1159:Z1159"),Настройки!$B$13)),",","."),".",MID(1/2,2,1)),"")))</f>
        <v/>
      </c>
      <c r="H1159">
        <f>IF(F1159="",0,IF(COUNTIF(Настройки!$B$17:$B$26,F1159)&gt;0,1,IF(COUNTIF(Настройки!$C$17:$C$26,F1159)&gt;0,2,IF(COUNTIF(Настройки!$D$17:$D$26,F1159)&gt;0,3,0))))</f>
        <v/>
      </c>
      <c r="I1159">
        <f>IF(AND(ISNUMBER(A1159),ISNUMBER(B1159)),A1159*1000+B1159,"")</f>
        <v/>
      </c>
      <c r="J1159">
        <f>IF(I1159="","",IF(COUNTIF(I$2:I1159,I1159)=1,MAX(J$1:J1158)+1,""))</f>
        <v/>
      </c>
    </row>
    <row r="1160">
      <c r="A1160">
        <f>IFERROR(--SUBSTITUTE(SUBSTITUTE(TRIM(INDEX(INDIRECT("'Выгрузка'!A1160:Z1160"),Настройки!$B$7)),",","."),".",MID(1/2,2,1)),"")</f>
        <v/>
      </c>
      <c r="B1160">
        <f>IFERROR(--SUBSTITUTE(SUBSTITUTE(TRIM(INDEX(INDIRECT("'Выгрузка'!A1160:Z1160"),Настройки!$B$9)),",","."),".",MID(1/2,2,1)),"")</f>
        <v/>
      </c>
      <c r="C1160">
        <f>TRIM(INDEX(INDIRECT("'Выгрузка'!A1160:Z1160"),Настройки!$B$8)&amp;"")</f>
        <v/>
      </c>
      <c r="D1160">
        <f>IFERROR(--SUBSTITUTE(SUBSTITUTE(TRIM(INDEX(INDIRECT("'Выгрузка'!A1160:Z1160"),Настройки!$B$10)),",","."),".",MID(1/2,2,1)),"")</f>
        <v/>
      </c>
      <c r="E1160">
        <f>IFERROR(--SUBSTITUTE(SUBSTITUTE(TRIM(INDEX(INDIRECT("'Выгрузка'!A1160:Z1160"),Настройки!$B$11)),",","."),".",MID(1/2,2,1)),"")</f>
        <v/>
      </c>
      <c r="F1160">
        <f>TRIM(INDEX(INDIRECT("'Выгрузка'!A1160:Z1160"),Настройки!$B$12)&amp;"")</f>
        <v/>
      </c>
      <c r="G1160">
        <f>IF(F1160="",0,IF(TRIM(INDEX(INDIRECT("'Выгрузка'!A1160:Z1160"),Настройки!$B$13)&amp;"")="",1,IFERROR(--SUBSTITUTE(SUBSTITUTE(TRIM(INDEX(INDIRECT("'Выгрузка'!A1160:Z1160"),Настройки!$B$13)),",","."),".",MID(1/2,2,1)),"")))</f>
        <v/>
      </c>
      <c r="H1160">
        <f>IF(F1160="",0,IF(COUNTIF(Настройки!$B$17:$B$26,F1160)&gt;0,1,IF(COUNTIF(Настройки!$C$17:$C$26,F1160)&gt;0,2,IF(COUNTIF(Настройки!$D$17:$D$26,F1160)&gt;0,3,0))))</f>
        <v/>
      </c>
      <c r="I1160">
        <f>IF(AND(ISNUMBER(A1160),ISNUMBER(B1160)),A1160*1000+B1160,"")</f>
        <v/>
      </c>
      <c r="J1160">
        <f>IF(I1160="","",IF(COUNTIF(I$2:I1160,I1160)=1,MAX(J$1:J1159)+1,""))</f>
        <v/>
      </c>
    </row>
    <row r="1161">
      <c r="A1161">
        <f>IFERROR(--SUBSTITUTE(SUBSTITUTE(TRIM(INDEX(INDIRECT("'Выгрузка'!A1161:Z1161"),Настройки!$B$7)),",","."),".",MID(1/2,2,1)),"")</f>
        <v/>
      </c>
      <c r="B1161">
        <f>IFERROR(--SUBSTITUTE(SUBSTITUTE(TRIM(INDEX(INDIRECT("'Выгрузка'!A1161:Z1161"),Настройки!$B$9)),",","."),".",MID(1/2,2,1)),"")</f>
        <v/>
      </c>
      <c r="C1161">
        <f>TRIM(INDEX(INDIRECT("'Выгрузка'!A1161:Z1161"),Настройки!$B$8)&amp;"")</f>
        <v/>
      </c>
      <c r="D1161">
        <f>IFERROR(--SUBSTITUTE(SUBSTITUTE(TRIM(INDEX(INDIRECT("'Выгрузка'!A1161:Z1161"),Настройки!$B$10)),",","."),".",MID(1/2,2,1)),"")</f>
        <v/>
      </c>
      <c r="E1161">
        <f>IFERROR(--SUBSTITUTE(SUBSTITUTE(TRIM(INDEX(INDIRECT("'Выгрузка'!A1161:Z1161"),Настройки!$B$11)),",","."),".",MID(1/2,2,1)),"")</f>
        <v/>
      </c>
      <c r="F1161">
        <f>TRIM(INDEX(INDIRECT("'Выгрузка'!A1161:Z1161"),Настройки!$B$12)&amp;"")</f>
        <v/>
      </c>
      <c r="G1161">
        <f>IF(F1161="",0,IF(TRIM(INDEX(INDIRECT("'Выгрузка'!A1161:Z1161"),Настройки!$B$13)&amp;"")="",1,IFERROR(--SUBSTITUTE(SUBSTITUTE(TRIM(INDEX(INDIRECT("'Выгрузка'!A1161:Z1161"),Настройки!$B$13)),",","."),".",MID(1/2,2,1)),"")))</f>
        <v/>
      </c>
      <c r="H1161">
        <f>IF(F1161="",0,IF(COUNTIF(Настройки!$B$17:$B$26,F1161)&gt;0,1,IF(COUNTIF(Настройки!$C$17:$C$26,F1161)&gt;0,2,IF(COUNTIF(Настройки!$D$17:$D$26,F1161)&gt;0,3,0))))</f>
        <v/>
      </c>
      <c r="I1161">
        <f>IF(AND(ISNUMBER(A1161),ISNUMBER(B1161)),A1161*1000+B1161,"")</f>
        <v/>
      </c>
      <c r="J1161">
        <f>IF(I1161="","",IF(COUNTIF(I$2:I1161,I1161)=1,MAX(J$1:J1160)+1,""))</f>
        <v/>
      </c>
    </row>
    <row r="1162">
      <c r="A1162">
        <f>IFERROR(--SUBSTITUTE(SUBSTITUTE(TRIM(INDEX(INDIRECT("'Выгрузка'!A1162:Z1162"),Настройки!$B$7)),",","."),".",MID(1/2,2,1)),"")</f>
        <v/>
      </c>
      <c r="B1162">
        <f>IFERROR(--SUBSTITUTE(SUBSTITUTE(TRIM(INDEX(INDIRECT("'Выгрузка'!A1162:Z1162"),Настройки!$B$9)),",","."),".",MID(1/2,2,1)),"")</f>
        <v/>
      </c>
      <c r="C1162">
        <f>TRIM(INDEX(INDIRECT("'Выгрузка'!A1162:Z1162"),Настройки!$B$8)&amp;"")</f>
        <v/>
      </c>
      <c r="D1162">
        <f>IFERROR(--SUBSTITUTE(SUBSTITUTE(TRIM(INDEX(INDIRECT("'Выгрузка'!A1162:Z1162"),Настройки!$B$10)),",","."),".",MID(1/2,2,1)),"")</f>
        <v/>
      </c>
      <c r="E1162">
        <f>IFERROR(--SUBSTITUTE(SUBSTITUTE(TRIM(INDEX(INDIRECT("'Выгрузка'!A1162:Z1162"),Настройки!$B$11)),",","."),".",MID(1/2,2,1)),"")</f>
        <v/>
      </c>
      <c r="F1162">
        <f>TRIM(INDEX(INDIRECT("'Выгрузка'!A1162:Z1162"),Настройки!$B$12)&amp;"")</f>
        <v/>
      </c>
      <c r="G1162">
        <f>IF(F1162="",0,IF(TRIM(INDEX(INDIRECT("'Выгрузка'!A1162:Z1162"),Настройки!$B$13)&amp;"")="",1,IFERROR(--SUBSTITUTE(SUBSTITUTE(TRIM(INDEX(INDIRECT("'Выгрузка'!A1162:Z1162"),Настройки!$B$13)),",","."),".",MID(1/2,2,1)),"")))</f>
        <v/>
      </c>
      <c r="H1162">
        <f>IF(F1162="",0,IF(COUNTIF(Настройки!$B$17:$B$26,F1162)&gt;0,1,IF(COUNTIF(Настройки!$C$17:$C$26,F1162)&gt;0,2,IF(COUNTIF(Настройки!$D$17:$D$26,F1162)&gt;0,3,0))))</f>
        <v/>
      </c>
      <c r="I1162">
        <f>IF(AND(ISNUMBER(A1162),ISNUMBER(B1162)),A1162*1000+B1162,"")</f>
        <v/>
      </c>
      <c r="J1162">
        <f>IF(I1162="","",IF(COUNTIF(I$2:I1162,I1162)=1,MAX(J$1:J1161)+1,""))</f>
        <v/>
      </c>
    </row>
    <row r="1163">
      <c r="A1163">
        <f>IFERROR(--SUBSTITUTE(SUBSTITUTE(TRIM(INDEX(INDIRECT("'Выгрузка'!A1163:Z1163"),Настройки!$B$7)),",","."),".",MID(1/2,2,1)),"")</f>
        <v/>
      </c>
      <c r="B1163">
        <f>IFERROR(--SUBSTITUTE(SUBSTITUTE(TRIM(INDEX(INDIRECT("'Выгрузка'!A1163:Z1163"),Настройки!$B$9)),",","."),".",MID(1/2,2,1)),"")</f>
        <v/>
      </c>
      <c r="C1163">
        <f>TRIM(INDEX(INDIRECT("'Выгрузка'!A1163:Z1163"),Настройки!$B$8)&amp;"")</f>
        <v/>
      </c>
      <c r="D1163">
        <f>IFERROR(--SUBSTITUTE(SUBSTITUTE(TRIM(INDEX(INDIRECT("'Выгрузка'!A1163:Z1163"),Настройки!$B$10)),",","."),".",MID(1/2,2,1)),"")</f>
        <v/>
      </c>
      <c r="E1163">
        <f>IFERROR(--SUBSTITUTE(SUBSTITUTE(TRIM(INDEX(INDIRECT("'Выгрузка'!A1163:Z1163"),Настройки!$B$11)),",","."),".",MID(1/2,2,1)),"")</f>
        <v/>
      </c>
      <c r="F1163">
        <f>TRIM(INDEX(INDIRECT("'Выгрузка'!A1163:Z1163"),Настройки!$B$12)&amp;"")</f>
        <v/>
      </c>
      <c r="G1163">
        <f>IF(F1163="",0,IF(TRIM(INDEX(INDIRECT("'Выгрузка'!A1163:Z1163"),Настройки!$B$13)&amp;"")="",1,IFERROR(--SUBSTITUTE(SUBSTITUTE(TRIM(INDEX(INDIRECT("'Выгрузка'!A1163:Z1163"),Настройки!$B$13)),",","."),".",MID(1/2,2,1)),"")))</f>
        <v/>
      </c>
      <c r="H1163">
        <f>IF(F1163="",0,IF(COUNTIF(Настройки!$B$17:$B$26,F1163)&gt;0,1,IF(COUNTIF(Настройки!$C$17:$C$26,F1163)&gt;0,2,IF(COUNTIF(Настройки!$D$17:$D$26,F1163)&gt;0,3,0))))</f>
        <v/>
      </c>
      <c r="I1163">
        <f>IF(AND(ISNUMBER(A1163),ISNUMBER(B1163)),A1163*1000+B1163,"")</f>
        <v/>
      </c>
      <c r="J1163">
        <f>IF(I1163="","",IF(COUNTIF(I$2:I1163,I1163)=1,MAX(J$1:J1162)+1,""))</f>
        <v/>
      </c>
    </row>
    <row r="1164">
      <c r="A1164">
        <f>IFERROR(--SUBSTITUTE(SUBSTITUTE(TRIM(INDEX(INDIRECT("'Выгрузка'!A1164:Z1164"),Настройки!$B$7)),",","."),".",MID(1/2,2,1)),"")</f>
        <v/>
      </c>
      <c r="B1164">
        <f>IFERROR(--SUBSTITUTE(SUBSTITUTE(TRIM(INDEX(INDIRECT("'Выгрузка'!A1164:Z1164"),Настройки!$B$9)),",","."),".",MID(1/2,2,1)),"")</f>
        <v/>
      </c>
      <c r="C1164">
        <f>TRIM(INDEX(INDIRECT("'Выгрузка'!A1164:Z1164"),Настройки!$B$8)&amp;"")</f>
        <v/>
      </c>
      <c r="D1164">
        <f>IFERROR(--SUBSTITUTE(SUBSTITUTE(TRIM(INDEX(INDIRECT("'Выгрузка'!A1164:Z1164"),Настройки!$B$10)),",","."),".",MID(1/2,2,1)),"")</f>
        <v/>
      </c>
      <c r="E1164">
        <f>IFERROR(--SUBSTITUTE(SUBSTITUTE(TRIM(INDEX(INDIRECT("'Выгрузка'!A1164:Z1164"),Настройки!$B$11)),",","."),".",MID(1/2,2,1)),"")</f>
        <v/>
      </c>
      <c r="F1164">
        <f>TRIM(INDEX(INDIRECT("'Выгрузка'!A1164:Z1164"),Настройки!$B$12)&amp;"")</f>
        <v/>
      </c>
      <c r="G1164">
        <f>IF(F1164="",0,IF(TRIM(INDEX(INDIRECT("'Выгрузка'!A1164:Z1164"),Настройки!$B$13)&amp;"")="",1,IFERROR(--SUBSTITUTE(SUBSTITUTE(TRIM(INDEX(INDIRECT("'Выгрузка'!A1164:Z1164"),Настройки!$B$13)),",","."),".",MID(1/2,2,1)),"")))</f>
        <v/>
      </c>
      <c r="H1164">
        <f>IF(F1164="",0,IF(COUNTIF(Настройки!$B$17:$B$26,F1164)&gt;0,1,IF(COUNTIF(Настройки!$C$17:$C$26,F1164)&gt;0,2,IF(COUNTIF(Настройки!$D$17:$D$26,F1164)&gt;0,3,0))))</f>
        <v/>
      </c>
      <c r="I1164">
        <f>IF(AND(ISNUMBER(A1164),ISNUMBER(B1164)),A1164*1000+B1164,"")</f>
        <v/>
      </c>
      <c r="J1164">
        <f>IF(I1164="","",IF(COUNTIF(I$2:I1164,I1164)=1,MAX(J$1:J1163)+1,""))</f>
        <v/>
      </c>
    </row>
    <row r="1165">
      <c r="A1165">
        <f>IFERROR(--SUBSTITUTE(SUBSTITUTE(TRIM(INDEX(INDIRECT("'Выгрузка'!A1165:Z1165"),Настройки!$B$7)),",","."),".",MID(1/2,2,1)),"")</f>
        <v/>
      </c>
      <c r="B1165">
        <f>IFERROR(--SUBSTITUTE(SUBSTITUTE(TRIM(INDEX(INDIRECT("'Выгрузка'!A1165:Z1165"),Настройки!$B$9)),",","."),".",MID(1/2,2,1)),"")</f>
        <v/>
      </c>
      <c r="C1165">
        <f>TRIM(INDEX(INDIRECT("'Выгрузка'!A1165:Z1165"),Настройки!$B$8)&amp;"")</f>
        <v/>
      </c>
      <c r="D1165">
        <f>IFERROR(--SUBSTITUTE(SUBSTITUTE(TRIM(INDEX(INDIRECT("'Выгрузка'!A1165:Z1165"),Настройки!$B$10)),",","."),".",MID(1/2,2,1)),"")</f>
        <v/>
      </c>
      <c r="E1165">
        <f>IFERROR(--SUBSTITUTE(SUBSTITUTE(TRIM(INDEX(INDIRECT("'Выгрузка'!A1165:Z1165"),Настройки!$B$11)),",","."),".",MID(1/2,2,1)),"")</f>
        <v/>
      </c>
      <c r="F1165">
        <f>TRIM(INDEX(INDIRECT("'Выгрузка'!A1165:Z1165"),Настройки!$B$12)&amp;"")</f>
        <v/>
      </c>
      <c r="G1165">
        <f>IF(F1165="",0,IF(TRIM(INDEX(INDIRECT("'Выгрузка'!A1165:Z1165"),Настройки!$B$13)&amp;"")="",1,IFERROR(--SUBSTITUTE(SUBSTITUTE(TRIM(INDEX(INDIRECT("'Выгрузка'!A1165:Z1165"),Настройки!$B$13)),",","."),".",MID(1/2,2,1)),"")))</f>
        <v/>
      </c>
      <c r="H1165">
        <f>IF(F1165="",0,IF(COUNTIF(Настройки!$B$17:$B$26,F1165)&gt;0,1,IF(COUNTIF(Настройки!$C$17:$C$26,F1165)&gt;0,2,IF(COUNTIF(Настройки!$D$17:$D$26,F1165)&gt;0,3,0))))</f>
        <v/>
      </c>
      <c r="I1165">
        <f>IF(AND(ISNUMBER(A1165),ISNUMBER(B1165)),A1165*1000+B1165,"")</f>
        <v/>
      </c>
      <c r="J1165">
        <f>IF(I1165="","",IF(COUNTIF(I$2:I1165,I1165)=1,MAX(J$1:J1164)+1,""))</f>
        <v/>
      </c>
    </row>
    <row r="1166">
      <c r="A1166">
        <f>IFERROR(--SUBSTITUTE(SUBSTITUTE(TRIM(INDEX(INDIRECT("'Выгрузка'!A1166:Z1166"),Настройки!$B$7)),",","."),".",MID(1/2,2,1)),"")</f>
        <v/>
      </c>
      <c r="B1166">
        <f>IFERROR(--SUBSTITUTE(SUBSTITUTE(TRIM(INDEX(INDIRECT("'Выгрузка'!A1166:Z1166"),Настройки!$B$9)),",","."),".",MID(1/2,2,1)),"")</f>
        <v/>
      </c>
      <c r="C1166">
        <f>TRIM(INDEX(INDIRECT("'Выгрузка'!A1166:Z1166"),Настройки!$B$8)&amp;"")</f>
        <v/>
      </c>
      <c r="D1166">
        <f>IFERROR(--SUBSTITUTE(SUBSTITUTE(TRIM(INDEX(INDIRECT("'Выгрузка'!A1166:Z1166"),Настройки!$B$10)),",","."),".",MID(1/2,2,1)),"")</f>
        <v/>
      </c>
      <c r="E1166">
        <f>IFERROR(--SUBSTITUTE(SUBSTITUTE(TRIM(INDEX(INDIRECT("'Выгрузка'!A1166:Z1166"),Настройки!$B$11)),",","."),".",MID(1/2,2,1)),"")</f>
        <v/>
      </c>
      <c r="F1166">
        <f>TRIM(INDEX(INDIRECT("'Выгрузка'!A1166:Z1166"),Настройки!$B$12)&amp;"")</f>
        <v/>
      </c>
      <c r="G1166">
        <f>IF(F1166="",0,IF(TRIM(INDEX(INDIRECT("'Выгрузка'!A1166:Z1166"),Настройки!$B$13)&amp;"")="",1,IFERROR(--SUBSTITUTE(SUBSTITUTE(TRIM(INDEX(INDIRECT("'Выгрузка'!A1166:Z1166"),Настройки!$B$13)),",","."),".",MID(1/2,2,1)),"")))</f>
        <v/>
      </c>
      <c r="H1166">
        <f>IF(F1166="",0,IF(COUNTIF(Настройки!$B$17:$B$26,F1166)&gt;0,1,IF(COUNTIF(Настройки!$C$17:$C$26,F1166)&gt;0,2,IF(COUNTIF(Настройки!$D$17:$D$26,F1166)&gt;0,3,0))))</f>
        <v/>
      </c>
      <c r="I1166">
        <f>IF(AND(ISNUMBER(A1166),ISNUMBER(B1166)),A1166*1000+B1166,"")</f>
        <v/>
      </c>
      <c r="J1166">
        <f>IF(I1166="","",IF(COUNTIF(I$2:I1166,I1166)=1,MAX(J$1:J1165)+1,""))</f>
        <v/>
      </c>
    </row>
    <row r="1167">
      <c r="A1167">
        <f>IFERROR(--SUBSTITUTE(SUBSTITUTE(TRIM(INDEX(INDIRECT("'Выгрузка'!A1167:Z1167"),Настройки!$B$7)),",","."),".",MID(1/2,2,1)),"")</f>
        <v/>
      </c>
      <c r="B1167">
        <f>IFERROR(--SUBSTITUTE(SUBSTITUTE(TRIM(INDEX(INDIRECT("'Выгрузка'!A1167:Z1167"),Настройки!$B$9)),",","."),".",MID(1/2,2,1)),"")</f>
        <v/>
      </c>
      <c r="C1167">
        <f>TRIM(INDEX(INDIRECT("'Выгрузка'!A1167:Z1167"),Настройки!$B$8)&amp;"")</f>
        <v/>
      </c>
      <c r="D1167">
        <f>IFERROR(--SUBSTITUTE(SUBSTITUTE(TRIM(INDEX(INDIRECT("'Выгрузка'!A1167:Z1167"),Настройки!$B$10)),",","."),".",MID(1/2,2,1)),"")</f>
        <v/>
      </c>
      <c r="E1167">
        <f>IFERROR(--SUBSTITUTE(SUBSTITUTE(TRIM(INDEX(INDIRECT("'Выгрузка'!A1167:Z1167"),Настройки!$B$11)),",","."),".",MID(1/2,2,1)),"")</f>
        <v/>
      </c>
      <c r="F1167">
        <f>TRIM(INDEX(INDIRECT("'Выгрузка'!A1167:Z1167"),Настройки!$B$12)&amp;"")</f>
        <v/>
      </c>
      <c r="G1167">
        <f>IF(F1167="",0,IF(TRIM(INDEX(INDIRECT("'Выгрузка'!A1167:Z1167"),Настройки!$B$13)&amp;"")="",1,IFERROR(--SUBSTITUTE(SUBSTITUTE(TRIM(INDEX(INDIRECT("'Выгрузка'!A1167:Z1167"),Настройки!$B$13)),",","."),".",MID(1/2,2,1)),"")))</f>
        <v/>
      </c>
      <c r="H1167">
        <f>IF(F1167="",0,IF(COUNTIF(Настройки!$B$17:$B$26,F1167)&gt;0,1,IF(COUNTIF(Настройки!$C$17:$C$26,F1167)&gt;0,2,IF(COUNTIF(Настройки!$D$17:$D$26,F1167)&gt;0,3,0))))</f>
        <v/>
      </c>
      <c r="I1167">
        <f>IF(AND(ISNUMBER(A1167),ISNUMBER(B1167)),A1167*1000+B1167,"")</f>
        <v/>
      </c>
      <c r="J1167">
        <f>IF(I1167="","",IF(COUNTIF(I$2:I1167,I1167)=1,MAX(J$1:J1166)+1,""))</f>
        <v/>
      </c>
    </row>
    <row r="1168">
      <c r="A1168">
        <f>IFERROR(--SUBSTITUTE(SUBSTITUTE(TRIM(INDEX(INDIRECT("'Выгрузка'!A1168:Z1168"),Настройки!$B$7)),",","."),".",MID(1/2,2,1)),"")</f>
        <v/>
      </c>
      <c r="B1168">
        <f>IFERROR(--SUBSTITUTE(SUBSTITUTE(TRIM(INDEX(INDIRECT("'Выгрузка'!A1168:Z1168"),Настройки!$B$9)),",","."),".",MID(1/2,2,1)),"")</f>
        <v/>
      </c>
      <c r="C1168">
        <f>TRIM(INDEX(INDIRECT("'Выгрузка'!A1168:Z1168"),Настройки!$B$8)&amp;"")</f>
        <v/>
      </c>
      <c r="D1168">
        <f>IFERROR(--SUBSTITUTE(SUBSTITUTE(TRIM(INDEX(INDIRECT("'Выгрузка'!A1168:Z1168"),Настройки!$B$10)),",","."),".",MID(1/2,2,1)),"")</f>
        <v/>
      </c>
      <c r="E1168">
        <f>IFERROR(--SUBSTITUTE(SUBSTITUTE(TRIM(INDEX(INDIRECT("'Выгрузка'!A1168:Z1168"),Настройки!$B$11)),",","."),".",MID(1/2,2,1)),"")</f>
        <v/>
      </c>
      <c r="F1168">
        <f>TRIM(INDEX(INDIRECT("'Выгрузка'!A1168:Z1168"),Настройки!$B$12)&amp;"")</f>
        <v/>
      </c>
      <c r="G1168">
        <f>IF(F1168="",0,IF(TRIM(INDEX(INDIRECT("'Выгрузка'!A1168:Z1168"),Настройки!$B$13)&amp;"")="",1,IFERROR(--SUBSTITUTE(SUBSTITUTE(TRIM(INDEX(INDIRECT("'Выгрузка'!A1168:Z1168"),Настройки!$B$13)),",","."),".",MID(1/2,2,1)),"")))</f>
        <v/>
      </c>
      <c r="H1168">
        <f>IF(F1168="",0,IF(COUNTIF(Настройки!$B$17:$B$26,F1168)&gt;0,1,IF(COUNTIF(Настройки!$C$17:$C$26,F1168)&gt;0,2,IF(COUNTIF(Настройки!$D$17:$D$26,F1168)&gt;0,3,0))))</f>
        <v/>
      </c>
      <c r="I1168">
        <f>IF(AND(ISNUMBER(A1168),ISNUMBER(B1168)),A1168*1000+B1168,"")</f>
        <v/>
      </c>
      <c r="J1168">
        <f>IF(I1168="","",IF(COUNTIF(I$2:I1168,I1168)=1,MAX(J$1:J1167)+1,""))</f>
        <v/>
      </c>
    </row>
    <row r="1169">
      <c r="A1169">
        <f>IFERROR(--SUBSTITUTE(SUBSTITUTE(TRIM(INDEX(INDIRECT("'Выгрузка'!A1169:Z1169"),Настройки!$B$7)),",","."),".",MID(1/2,2,1)),"")</f>
        <v/>
      </c>
      <c r="B1169">
        <f>IFERROR(--SUBSTITUTE(SUBSTITUTE(TRIM(INDEX(INDIRECT("'Выгрузка'!A1169:Z1169"),Настройки!$B$9)),",","."),".",MID(1/2,2,1)),"")</f>
        <v/>
      </c>
      <c r="C1169">
        <f>TRIM(INDEX(INDIRECT("'Выгрузка'!A1169:Z1169"),Настройки!$B$8)&amp;"")</f>
        <v/>
      </c>
      <c r="D1169">
        <f>IFERROR(--SUBSTITUTE(SUBSTITUTE(TRIM(INDEX(INDIRECT("'Выгрузка'!A1169:Z1169"),Настройки!$B$10)),",","."),".",MID(1/2,2,1)),"")</f>
        <v/>
      </c>
      <c r="E1169">
        <f>IFERROR(--SUBSTITUTE(SUBSTITUTE(TRIM(INDEX(INDIRECT("'Выгрузка'!A1169:Z1169"),Настройки!$B$11)),",","."),".",MID(1/2,2,1)),"")</f>
        <v/>
      </c>
      <c r="F1169">
        <f>TRIM(INDEX(INDIRECT("'Выгрузка'!A1169:Z1169"),Настройки!$B$12)&amp;"")</f>
        <v/>
      </c>
      <c r="G1169">
        <f>IF(F1169="",0,IF(TRIM(INDEX(INDIRECT("'Выгрузка'!A1169:Z1169"),Настройки!$B$13)&amp;"")="",1,IFERROR(--SUBSTITUTE(SUBSTITUTE(TRIM(INDEX(INDIRECT("'Выгрузка'!A1169:Z1169"),Настройки!$B$13)),",","."),".",MID(1/2,2,1)),"")))</f>
        <v/>
      </c>
      <c r="H1169">
        <f>IF(F1169="",0,IF(COUNTIF(Настройки!$B$17:$B$26,F1169)&gt;0,1,IF(COUNTIF(Настройки!$C$17:$C$26,F1169)&gt;0,2,IF(COUNTIF(Настройки!$D$17:$D$26,F1169)&gt;0,3,0))))</f>
        <v/>
      </c>
      <c r="I1169">
        <f>IF(AND(ISNUMBER(A1169),ISNUMBER(B1169)),A1169*1000+B1169,"")</f>
        <v/>
      </c>
      <c r="J1169">
        <f>IF(I1169="","",IF(COUNTIF(I$2:I1169,I1169)=1,MAX(J$1:J1168)+1,""))</f>
        <v/>
      </c>
    </row>
    <row r="1170">
      <c r="A1170">
        <f>IFERROR(--SUBSTITUTE(SUBSTITUTE(TRIM(INDEX(INDIRECT("'Выгрузка'!A1170:Z1170"),Настройки!$B$7)),",","."),".",MID(1/2,2,1)),"")</f>
        <v/>
      </c>
      <c r="B1170">
        <f>IFERROR(--SUBSTITUTE(SUBSTITUTE(TRIM(INDEX(INDIRECT("'Выгрузка'!A1170:Z1170"),Настройки!$B$9)),",","."),".",MID(1/2,2,1)),"")</f>
        <v/>
      </c>
      <c r="C1170">
        <f>TRIM(INDEX(INDIRECT("'Выгрузка'!A1170:Z1170"),Настройки!$B$8)&amp;"")</f>
        <v/>
      </c>
      <c r="D1170">
        <f>IFERROR(--SUBSTITUTE(SUBSTITUTE(TRIM(INDEX(INDIRECT("'Выгрузка'!A1170:Z1170"),Настройки!$B$10)),",","."),".",MID(1/2,2,1)),"")</f>
        <v/>
      </c>
      <c r="E1170">
        <f>IFERROR(--SUBSTITUTE(SUBSTITUTE(TRIM(INDEX(INDIRECT("'Выгрузка'!A1170:Z1170"),Настройки!$B$11)),",","."),".",MID(1/2,2,1)),"")</f>
        <v/>
      </c>
      <c r="F1170">
        <f>TRIM(INDEX(INDIRECT("'Выгрузка'!A1170:Z1170"),Настройки!$B$12)&amp;"")</f>
        <v/>
      </c>
      <c r="G1170">
        <f>IF(F1170="",0,IF(TRIM(INDEX(INDIRECT("'Выгрузка'!A1170:Z1170"),Настройки!$B$13)&amp;"")="",1,IFERROR(--SUBSTITUTE(SUBSTITUTE(TRIM(INDEX(INDIRECT("'Выгрузка'!A1170:Z1170"),Настройки!$B$13)),",","."),".",MID(1/2,2,1)),"")))</f>
        <v/>
      </c>
      <c r="H1170">
        <f>IF(F1170="",0,IF(COUNTIF(Настройки!$B$17:$B$26,F1170)&gt;0,1,IF(COUNTIF(Настройки!$C$17:$C$26,F1170)&gt;0,2,IF(COUNTIF(Настройки!$D$17:$D$26,F1170)&gt;0,3,0))))</f>
        <v/>
      </c>
      <c r="I1170">
        <f>IF(AND(ISNUMBER(A1170),ISNUMBER(B1170)),A1170*1000+B1170,"")</f>
        <v/>
      </c>
      <c r="J1170">
        <f>IF(I1170="","",IF(COUNTIF(I$2:I1170,I1170)=1,MAX(J$1:J1169)+1,""))</f>
        <v/>
      </c>
    </row>
    <row r="1171">
      <c r="A1171">
        <f>IFERROR(--SUBSTITUTE(SUBSTITUTE(TRIM(INDEX(INDIRECT("'Выгрузка'!A1171:Z1171"),Настройки!$B$7)),",","."),".",MID(1/2,2,1)),"")</f>
        <v/>
      </c>
      <c r="B1171">
        <f>IFERROR(--SUBSTITUTE(SUBSTITUTE(TRIM(INDEX(INDIRECT("'Выгрузка'!A1171:Z1171"),Настройки!$B$9)),",","."),".",MID(1/2,2,1)),"")</f>
        <v/>
      </c>
      <c r="C1171">
        <f>TRIM(INDEX(INDIRECT("'Выгрузка'!A1171:Z1171"),Настройки!$B$8)&amp;"")</f>
        <v/>
      </c>
      <c r="D1171">
        <f>IFERROR(--SUBSTITUTE(SUBSTITUTE(TRIM(INDEX(INDIRECT("'Выгрузка'!A1171:Z1171"),Настройки!$B$10)),",","."),".",MID(1/2,2,1)),"")</f>
        <v/>
      </c>
      <c r="E1171">
        <f>IFERROR(--SUBSTITUTE(SUBSTITUTE(TRIM(INDEX(INDIRECT("'Выгрузка'!A1171:Z1171"),Настройки!$B$11)),",","."),".",MID(1/2,2,1)),"")</f>
        <v/>
      </c>
      <c r="F1171">
        <f>TRIM(INDEX(INDIRECT("'Выгрузка'!A1171:Z1171"),Настройки!$B$12)&amp;"")</f>
        <v/>
      </c>
      <c r="G1171">
        <f>IF(F1171="",0,IF(TRIM(INDEX(INDIRECT("'Выгрузка'!A1171:Z1171"),Настройки!$B$13)&amp;"")="",1,IFERROR(--SUBSTITUTE(SUBSTITUTE(TRIM(INDEX(INDIRECT("'Выгрузка'!A1171:Z1171"),Настройки!$B$13)),",","."),".",MID(1/2,2,1)),"")))</f>
        <v/>
      </c>
      <c r="H1171">
        <f>IF(F1171="",0,IF(COUNTIF(Настройки!$B$17:$B$26,F1171)&gt;0,1,IF(COUNTIF(Настройки!$C$17:$C$26,F1171)&gt;0,2,IF(COUNTIF(Настройки!$D$17:$D$26,F1171)&gt;0,3,0))))</f>
        <v/>
      </c>
      <c r="I1171">
        <f>IF(AND(ISNUMBER(A1171),ISNUMBER(B1171)),A1171*1000+B1171,"")</f>
        <v/>
      </c>
      <c r="J1171">
        <f>IF(I1171="","",IF(COUNTIF(I$2:I1171,I1171)=1,MAX(J$1:J1170)+1,""))</f>
        <v/>
      </c>
    </row>
    <row r="1172">
      <c r="A1172">
        <f>IFERROR(--SUBSTITUTE(SUBSTITUTE(TRIM(INDEX(INDIRECT("'Выгрузка'!A1172:Z1172"),Настройки!$B$7)),",","."),".",MID(1/2,2,1)),"")</f>
        <v/>
      </c>
      <c r="B1172">
        <f>IFERROR(--SUBSTITUTE(SUBSTITUTE(TRIM(INDEX(INDIRECT("'Выгрузка'!A1172:Z1172"),Настройки!$B$9)),",","."),".",MID(1/2,2,1)),"")</f>
        <v/>
      </c>
      <c r="C1172">
        <f>TRIM(INDEX(INDIRECT("'Выгрузка'!A1172:Z1172"),Настройки!$B$8)&amp;"")</f>
        <v/>
      </c>
      <c r="D1172">
        <f>IFERROR(--SUBSTITUTE(SUBSTITUTE(TRIM(INDEX(INDIRECT("'Выгрузка'!A1172:Z1172"),Настройки!$B$10)),",","."),".",MID(1/2,2,1)),"")</f>
        <v/>
      </c>
      <c r="E1172">
        <f>IFERROR(--SUBSTITUTE(SUBSTITUTE(TRIM(INDEX(INDIRECT("'Выгрузка'!A1172:Z1172"),Настройки!$B$11)),",","."),".",MID(1/2,2,1)),"")</f>
        <v/>
      </c>
      <c r="F1172">
        <f>TRIM(INDEX(INDIRECT("'Выгрузка'!A1172:Z1172"),Настройки!$B$12)&amp;"")</f>
        <v/>
      </c>
      <c r="G1172">
        <f>IF(F1172="",0,IF(TRIM(INDEX(INDIRECT("'Выгрузка'!A1172:Z1172"),Настройки!$B$13)&amp;"")="",1,IFERROR(--SUBSTITUTE(SUBSTITUTE(TRIM(INDEX(INDIRECT("'Выгрузка'!A1172:Z1172"),Настройки!$B$13)),",","."),".",MID(1/2,2,1)),"")))</f>
        <v/>
      </c>
      <c r="H1172">
        <f>IF(F1172="",0,IF(COUNTIF(Настройки!$B$17:$B$26,F1172)&gt;0,1,IF(COUNTIF(Настройки!$C$17:$C$26,F1172)&gt;0,2,IF(COUNTIF(Настройки!$D$17:$D$26,F1172)&gt;0,3,0))))</f>
        <v/>
      </c>
      <c r="I1172">
        <f>IF(AND(ISNUMBER(A1172),ISNUMBER(B1172)),A1172*1000+B1172,"")</f>
        <v/>
      </c>
      <c r="J1172">
        <f>IF(I1172="","",IF(COUNTIF(I$2:I1172,I1172)=1,MAX(J$1:J1171)+1,""))</f>
        <v/>
      </c>
    </row>
    <row r="1173">
      <c r="A1173">
        <f>IFERROR(--SUBSTITUTE(SUBSTITUTE(TRIM(INDEX(INDIRECT("'Выгрузка'!A1173:Z1173"),Настройки!$B$7)),",","."),".",MID(1/2,2,1)),"")</f>
        <v/>
      </c>
      <c r="B1173">
        <f>IFERROR(--SUBSTITUTE(SUBSTITUTE(TRIM(INDEX(INDIRECT("'Выгрузка'!A1173:Z1173"),Настройки!$B$9)),",","."),".",MID(1/2,2,1)),"")</f>
        <v/>
      </c>
      <c r="C1173">
        <f>TRIM(INDEX(INDIRECT("'Выгрузка'!A1173:Z1173"),Настройки!$B$8)&amp;"")</f>
        <v/>
      </c>
      <c r="D1173">
        <f>IFERROR(--SUBSTITUTE(SUBSTITUTE(TRIM(INDEX(INDIRECT("'Выгрузка'!A1173:Z1173"),Настройки!$B$10)),",","."),".",MID(1/2,2,1)),"")</f>
        <v/>
      </c>
      <c r="E1173">
        <f>IFERROR(--SUBSTITUTE(SUBSTITUTE(TRIM(INDEX(INDIRECT("'Выгрузка'!A1173:Z1173"),Настройки!$B$11)),",","."),".",MID(1/2,2,1)),"")</f>
        <v/>
      </c>
      <c r="F1173">
        <f>TRIM(INDEX(INDIRECT("'Выгрузка'!A1173:Z1173"),Настройки!$B$12)&amp;"")</f>
        <v/>
      </c>
      <c r="G1173">
        <f>IF(F1173="",0,IF(TRIM(INDEX(INDIRECT("'Выгрузка'!A1173:Z1173"),Настройки!$B$13)&amp;"")="",1,IFERROR(--SUBSTITUTE(SUBSTITUTE(TRIM(INDEX(INDIRECT("'Выгрузка'!A1173:Z1173"),Настройки!$B$13)),",","."),".",MID(1/2,2,1)),"")))</f>
        <v/>
      </c>
      <c r="H1173">
        <f>IF(F1173="",0,IF(COUNTIF(Настройки!$B$17:$B$26,F1173)&gt;0,1,IF(COUNTIF(Настройки!$C$17:$C$26,F1173)&gt;0,2,IF(COUNTIF(Настройки!$D$17:$D$26,F1173)&gt;0,3,0))))</f>
        <v/>
      </c>
      <c r="I1173">
        <f>IF(AND(ISNUMBER(A1173),ISNUMBER(B1173)),A1173*1000+B1173,"")</f>
        <v/>
      </c>
      <c r="J1173">
        <f>IF(I1173="","",IF(COUNTIF(I$2:I1173,I1173)=1,MAX(J$1:J1172)+1,""))</f>
        <v/>
      </c>
    </row>
    <row r="1174">
      <c r="A1174">
        <f>IFERROR(--SUBSTITUTE(SUBSTITUTE(TRIM(INDEX(INDIRECT("'Выгрузка'!A1174:Z1174"),Настройки!$B$7)),",","."),".",MID(1/2,2,1)),"")</f>
        <v/>
      </c>
      <c r="B1174">
        <f>IFERROR(--SUBSTITUTE(SUBSTITUTE(TRIM(INDEX(INDIRECT("'Выгрузка'!A1174:Z1174"),Настройки!$B$9)),",","."),".",MID(1/2,2,1)),"")</f>
        <v/>
      </c>
      <c r="C1174">
        <f>TRIM(INDEX(INDIRECT("'Выгрузка'!A1174:Z1174"),Настройки!$B$8)&amp;"")</f>
        <v/>
      </c>
      <c r="D1174">
        <f>IFERROR(--SUBSTITUTE(SUBSTITUTE(TRIM(INDEX(INDIRECT("'Выгрузка'!A1174:Z1174"),Настройки!$B$10)),",","."),".",MID(1/2,2,1)),"")</f>
        <v/>
      </c>
      <c r="E1174">
        <f>IFERROR(--SUBSTITUTE(SUBSTITUTE(TRIM(INDEX(INDIRECT("'Выгрузка'!A1174:Z1174"),Настройки!$B$11)),",","."),".",MID(1/2,2,1)),"")</f>
        <v/>
      </c>
      <c r="F1174">
        <f>TRIM(INDEX(INDIRECT("'Выгрузка'!A1174:Z1174"),Настройки!$B$12)&amp;"")</f>
        <v/>
      </c>
      <c r="G1174">
        <f>IF(F1174="",0,IF(TRIM(INDEX(INDIRECT("'Выгрузка'!A1174:Z1174"),Настройки!$B$13)&amp;"")="",1,IFERROR(--SUBSTITUTE(SUBSTITUTE(TRIM(INDEX(INDIRECT("'Выгрузка'!A1174:Z1174"),Настройки!$B$13)),",","."),".",MID(1/2,2,1)),"")))</f>
        <v/>
      </c>
      <c r="H1174">
        <f>IF(F1174="",0,IF(COUNTIF(Настройки!$B$17:$B$26,F1174)&gt;0,1,IF(COUNTIF(Настройки!$C$17:$C$26,F1174)&gt;0,2,IF(COUNTIF(Настройки!$D$17:$D$26,F1174)&gt;0,3,0))))</f>
        <v/>
      </c>
      <c r="I1174">
        <f>IF(AND(ISNUMBER(A1174),ISNUMBER(B1174)),A1174*1000+B1174,"")</f>
        <v/>
      </c>
      <c r="J1174">
        <f>IF(I1174="","",IF(COUNTIF(I$2:I1174,I1174)=1,MAX(J$1:J1173)+1,""))</f>
        <v/>
      </c>
    </row>
    <row r="1175">
      <c r="A1175">
        <f>IFERROR(--SUBSTITUTE(SUBSTITUTE(TRIM(INDEX(INDIRECT("'Выгрузка'!A1175:Z1175"),Настройки!$B$7)),",","."),".",MID(1/2,2,1)),"")</f>
        <v/>
      </c>
      <c r="B1175">
        <f>IFERROR(--SUBSTITUTE(SUBSTITUTE(TRIM(INDEX(INDIRECT("'Выгрузка'!A1175:Z1175"),Настройки!$B$9)),",","."),".",MID(1/2,2,1)),"")</f>
        <v/>
      </c>
      <c r="C1175">
        <f>TRIM(INDEX(INDIRECT("'Выгрузка'!A1175:Z1175"),Настройки!$B$8)&amp;"")</f>
        <v/>
      </c>
      <c r="D1175">
        <f>IFERROR(--SUBSTITUTE(SUBSTITUTE(TRIM(INDEX(INDIRECT("'Выгрузка'!A1175:Z1175"),Настройки!$B$10)),",","."),".",MID(1/2,2,1)),"")</f>
        <v/>
      </c>
      <c r="E1175">
        <f>IFERROR(--SUBSTITUTE(SUBSTITUTE(TRIM(INDEX(INDIRECT("'Выгрузка'!A1175:Z1175"),Настройки!$B$11)),",","."),".",MID(1/2,2,1)),"")</f>
        <v/>
      </c>
      <c r="F1175">
        <f>TRIM(INDEX(INDIRECT("'Выгрузка'!A1175:Z1175"),Настройки!$B$12)&amp;"")</f>
        <v/>
      </c>
      <c r="G1175">
        <f>IF(F1175="",0,IF(TRIM(INDEX(INDIRECT("'Выгрузка'!A1175:Z1175"),Настройки!$B$13)&amp;"")="",1,IFERROR(--SUBSTITUTE(SUBSTITUTE(TRIM(INDEX(INDIRECT("'Выгрузка'!A1175:Z1175"),Настройки!$B$13)),",","."),".",MID(1/2,2,1)),"")))</f>
        <v/>
      </c>
      <c r="H1175">
        <f>IF(F1175="",0,IF(COUNTIF(Настройки!$B$17:$B$26,F1175)&gt;0,1,IF(COUNTIF(Настройки!$C$17:$C$26,F1175)&gt;0,2,IF(COUNTIF(Настройки!$D$17:$D$26,F1175)&gt;0,3,0))))</f>
        <v/>
      </c>
      <c r="I1175">
        <f>IF(AND(ISNUMBER(A1175),ISNUMBER(B1175)),A1175*1000+B1175,"")</f>
        <v/>
      </c>
      <c r="J1175">
        <f>IF(I1175="","",IF(COUNTIF(I$2:I1175,I1175)=1,MAX(J$1:J1174)+1,""))</f>
        <v/>
      </c>
    </row>
    <row r="1176">
      <c r="A1176">
        <f>IFERROR(--SUBSTITUTE(SUBSTITUTE(TRIM(INDEX(INDIRECT("'Выгрузка'!A1176:Z1176"),Настройки!$B$7)),",","."),".",MID(1/2,2,1)),"")</f>
        <v/>
      </c>
      <c r="B1176">
        <f>IFERROR(--SUBSTITUTE(SUBSTITUTE(TRIM(INDEX(INDIRECT("'Выгрузка'!A1176:Z1176"),Настройки!$B$9)),",","."),".",MID(1/2,2,1)),"")</f>
        <v/>
      </c>
      <c r="C1176">
        <f>TRIM(INDEX(INDIRECT("'Выгрузка'!A1176:Z1176"),Настройки!$B$8)&amp;"")</f>
        <v/>
      </c>
      <c r="D1176">
        <f>IFERROR(--SUBSTITUTE(SUBSTITUTE(TRIM(INDEX(INDIRECT("'Выгрузка'!A1176:Z1176"),Настройки!$B$10)),",","."),".",MID(1/2,2,1)),"")</f>
        <v/>
      </c>
      <c r="E1176">
        <f>IFERROR(--SUBSTITUTE(SUBSTITUTE(TRIM(INDEX(INDIRECT("'Выгрузка'!A1176:Z1176"),Настройки!$B$11)),",","."),".",MID(1/2,2,1)),"")</f>
        <v/>
      </c>
      <c r="F1176">
        <f>TRIM(INDEX(INDIRECT("'Выгрузка'!A1176:Z1176"),Настройки!$B$12)&amp;"")</f>
        <v/>
      </c>
      <c r="G1176">
        <f>IF(F1176="",0,IF(TRIM(INDEX(INDIRECT("'Выгрузка'!A1176:Z1176"),Настройки!$B$13)&amp;"")="",1,IFERROR(--SUBSTITUTE(SUBSTITUTE(TRIM(INDEX(INDIRECT("'Выгрузка'!A1176:Z1176"),Настройки!$B$13)),",","."),".",MID(1/2,2,1)),"")))</f>
        <v/>
      </c>
      <c r="H1176">
        <f>IF(F1176="",0,IF(COUNTIF(Настройки!$B$17:$B$26,F1176)&gt;0,1,IF(COUNTIF(Настройки!$C$17:$C$26,F1176)&gt;0,2,IF(COUNTIF(Настройки!$D$17:$D$26,F1176)&gt;0,3,0))))</f>
        <v/>
      </c>
      <c r="I1176">
        <f>IF(AND(ISNUMBER(A1176),ISNUMBER(B1176)),A1176*1000+B1176,"")</f>
        <v/>
      </c>
      <c r="J1176">
        <f>IF(I1176="","",IF(COUNTIF(I$2:I1176,I1176)=1,MAX(J$1:J1175)+1,""))</f>
        <v/>
      </c>
    </row>
    <row r="1177">
      <c r="A1177">
        <f>IFERROR(--SUBSTITUTE(SUBSTITUTE(TRIM(INDEX(INDIRECT("'Выгрузка'!A1177:Z1177"),Настройки!$B$7)),",","."),".",MID(1/2,2,1)),"")</f>
        <v/>
      </c>
      <c r="B1177">
        <f>IFERROR(--SUBSTITUTE(SUBSTITUTE(TRIM(INDEX(INDIRECT("'Выгрузка'!A1177:Z1177"),Настройки!$B$9)),",","."),".",MID(1/2,2,1)),"")</f>
        <v/>
      </c>
      <c r="C1177">
        <f>TRIM(INDEX(INDIRECT("'Выгрузка'!A1177:Z1177"),Настройки!$B$8)&amp;"")</f>
        <v/>
      </c>
      <c r="D1177">
        <f>IFERROR(--SUBSTITUTE(SUBSTITUTE(TRIM(INDEX(INDIRECT("'Выгрузка'!A1177:Z1177"),Настройки!$B$10)),",","."),".",MID(1/2,2,1)),"")</f>
        <v/>
      </c>
      <c r="E1177">
        <f>IFERROR(--SUBSTITUTE(SUBSTITUTE(TRIM(INDEX(INDIRECT("'Выгрузка'!A1177:Z1177"),Настройки!$B$11)),",","."),".",MID(1/2,2,1)),"")</f>
        <v/>
      </c>
      <c r="F1177">
        <f>TRIM(INDEX(INDIRECT("'Выгрузка'!A1177:Z1177"),Настройки!$B$12)&amp;"")</f>
        <v/>
      </c>
      <c r="G1177">
        <f>IF(F1177="",0,IF(TRIM(INDEX(INDIRECT("'Выгрузка'!A1177:Z1177"),Настройки!$B$13)&amp;"")="",1,IFERROR(--SUBSTITUTE(SUBSTITUTE(TRIM(INDEX(INDIRECT("'Выгрузка'!A1177:Z1177"),Настройки!$B$13)),",","."),".",MID(1/2,2,1)),"")))</f>
        <v/>
      </c>
      <c r="H1177">
        <f>IF(F1177="",0,IF(COUNTIF(Настройки!$B$17:$B$26,F1177)&gt;0,1,IF(COUNTIF(Настройки!$C$17:$C$26,F1177)&gt;0,2,IF(COUNTIF(Настройки!$D$17:$D$26,F1177)&gt;0,3,0))))</f>
        <v/>
      </c>
      <c r="I1177">
        <f>IF(AND(ISNUMBER(A1177),ISNUMBER(B1177)),A1177*1000+B1177,"")</f>
        <v/>
      </c>
      <c r="J1177">
        <f>IF(I1177="","",IF(COUNTIF(I$2:I1177,I1177)=1,MAX(J$1:J1176)+1,""))</f>
        <v/>
      </c>
    </row>
    <row r="1178">
      <c r="A1178">
        <f>IFERROR(--SUBSTITUTE(SUBSTITUTE(TRIM(INDEX(INDIRECT("'Выгрузка'!A1178:Z1178"),Настройки!$B$7)),",","."),".",MID(1/2,2,1)),"")</f>
        <v/>
      </c>
      <c r="B1178">
        <f>IFERROR(--SUBSTITUTE(SUBSTITUTE(TRIM(INDEX(INDIRECT("'Выгрузка'!A1178:Z1178"),Настройки!$B$9)),",","."),".",MID(1/2,2,1)),"")</f>
        <v/>
      </c>
      <c r="C1178">
        <f>TRIM(INDEX(INDIRECT("'Выгрузка'!A1178:Z1178"),Настройки!$B$8)&amp;"")</f>
        <v/>
      </c>
      <c r="D1178">
        <f>IFERROR(--SUBSTITUTE(SUBSTITUTE(TRIM(INDEX(INDIRECT("'Выгрузка'!A1178:Z1178"),Настройки!$B$10)),",","."),".",MID(1/2,2,1)),"")</f>
        <v/>
      </c>
      <c r="E1178">
        <f>IFERROR(--SUBSTITUTE(SUBSTITUTE(TRIM(INDEX(INDIRECT("'Выгрузка'!A1178:Z1178"),Настройки!$B$11)),",","."),".",MID(1/2,2,1)),"")</f>
        <v/>
      </c>
      <c r="F1178">
        <f>TRIM(INDEX(INDIRECT("'Выгрузка'!A1178:Z1178"),Настройки!$B$12)&amp;"")</f>
        <v/>
      </c>
      <c r="G1178">
        <f>IF(F1178="",0,IF(TRIM(INDEX(INDIRECT("'Выгрузка'!A1178:Z1178"),Настройки!$B$13)&amp;"")="",1,IFERROR(--SUBSTITUTE(SUBSTITUTE(TRIM(INDEX(INDIRECT("'Выгрузка'!A1178:Z1178"),Настройки!$B$13)),",","."),".",MID(1/2,2,1)),"")))</f>
        <v/>
      </c>
      <c r="H1178">
        <f>IF(F1178="",0,IF(COUNTIF(Настройки!$B$17:$B$26,F1178)&gt;0,1,IF(COUNTIF(Настройки!$C$17:$C$26,F1178)&gt;0,2,IF(COUNTIF(Настройки!$D$17:$D$26,F1178)&gt;0,3,0))))</f>
        <v/>
      </c>
      <c r="I1178">
        <f>IF(AND(ISNUMBER(A1178),ISNUMBER(B1178)),A1178*1000+B1178,"")</f>
        <v/>
      </c>
      <c r="J1178">
        <f>IF(I1178="","",IF(COUNTIF(I$2:I1178,I1178)=1,MAX(J$1:J1177)+1,""))</f>
        <v/>
      </c>
    </row>
    <row r="1179">
      <c r="A1179">
        <f>IFERROR(--SUBSTITUTE(SUBSTITUTE(TRIM(INDEX(INDIRECT("'Выгрузка'!A1179:Z1179"),Настройки!$B$7)),",","."),".",MID(1/2,2,1)),"")</f>
        <v/>
      </c>
      <c r="B1179">
        <f>IFERROR(--SUBSTITUTE(SUBSTITUTE(TRIM(INDEX(INDIRECT("'Выгрузка'!A1179:Z1179"),Настройки!$B$9)),",","."),".",MID(1/2,2,1)),"")</f>
        <v/>
      </c>
      <c r="C1179">
        <f>TRIM(INDEX(INDIRECT("'Выгрузка'!A1179:Z1179"),Настройки!$B$8)&amp;"")</f>
        <v/>
      </c>
      <c r="D1179">
        <f>IFERROR(--SUBSTITUTE(SUBSTITUTE(TRIM(INDEX(INDIRECT("'Выгрузка'!A1179:Z1179"),Настройки!$B$10)),",","."),".",MID(1/2,2,1)),"")</f>
        <v/>
      </c>
      <c r="E1179">
        <f>IFERROR(--SUBSTITUTE(SUBSTITUTE(TRIM(INDEX(INDIRECT("'Выгрузка'!A1179:Z1179"),Настройки!$B$11)),",","."),".",MID(1/2,2,1)),"")</f>
        <v/>
      </c>
      <c r="F1179">
        <f>TRIM(INDEX(INDIRECT("'Выгрузка'!A1179:Z1179"),Настройки!$B$12)&amp;"")</f>
        <v/>
      </c>
      <c r="G1179">
        <f>IF(F1179="",0,IF(TRIM(INDEX(INDIRECT("'Выгрузка'!A1179:Z1179"),Настройки!$B$13)&amp;"")="",1,IFERROR(--SUBSTITUTE(SUBSTITUTE(TRIM(INDEX(INDIRECT("'Выгрузка'!A1179:Z1179"),Настройки!$B$13)),",","."),".",MID(1/2,2,1)),"")))</f>
        <v/>
      </c>
      <c r="H1179">
        <f>IF(F1179="",0,IF(COUNTIF(Настройки!$B$17:$B$26,F1179)&gt;0,1,IF(COUNTIF(Настройки!$C$17:$C$26,F1179)&gt;0,2,IF(COUNTIF(Настройки!$D$17:$D$26,F1179)&gt;0,3,0))))</f>
        <v/>
      </c>
      <c r="I1179">
        <f>IF(AND(ISNUMBER(A1179),ISNUMBER(B1179)),A1179*1000+B1179,"")</f>
        <v/>
      </c>
      <c r="J1179">
        <f>IF(I1179="","",IF(COUNTIF(I$2:I1179,I1179)=1,MAX(J$1:J1178)+1,""))</f>
        <v/>
      </c>
    </row>
    <row r="1180">
      <c r="A1180">
        <f>IFERROR(--SUBSTITUTE(SUBSTITUTE(TRIM(INDEX(INDIRECT("'Выгрузка'!A1180:Z1180"),Настройки!$B$7)),",","."),".",MID(1/2,2,1)),"")</f>
        <v/>
      </c>
      <c r="B1180">
        <f>IFERROR(--SUBSTITUTE(SUBSTITUTE(TRIM(INDEX(INDIRECT("'Выгрузка'!A1180:Z1180"),Настройки!$B$9)),",","."),".",MID(1/2,2,1)),"")</f>
        <v/>
      </c>
      <c r="C1180">
        <f>TRIM(INDEX(INDIRECT("'Выгрузка'!A1180:Z1180"),Настройки!$B$8)&amp;"")</f>
        <v/>
      </c>
      <c r="D1180">
        <f>IFERROR(--SUBSTITUTE(SUBSTITUTE(TRIM(INDEX(INDIRECT("'Выгрузка'!A1180:Z1180"),Настройки!$B$10)),",","."),".",MID(1/2,2,1)),"")</f>
        <v/>
      </c>
      <c r="E1180">
        <f>IFERROR(--SUBSTITUTE(SUBSTITUTE(TRIM(INDEX(INDIRECT("'Выгрузка'!A1180:Z1180"),Настройки!$B$11)),",","."),".",MID(1/2,2,1)),"")</f>
        <v/>
      </c>
      <c r="F1180">
        <f>TRIM(INDEX(INDIRECT("'Выгрузка'!A1180:Z1180"),Настройки!$B$12)&amp;"")</f>
        <v/>
      </c>
      <c r="G1180">
        <f>IF(F1180="",0,IF(TRIM(INDEX(INDIRECT("'Выгрузка'!A1180:Z1180"),Настройки!$B$13)&amp;"")="",1,IFERROR(--SUBSTITUTE(SUBSTITUTE(TRIM(INDEX(INDIRECT("'Выгрузка'!A1180:Z1180"),Настройки!$B$13)),",","."),".",MID(1/2,2,1)),"")))</f>
        <v/>
      </c>
      <c r="H1180">
        <f>IF(F1180="",0,IF(COUNTIF(Настройки!$B$17:$B$26,F1180)&gt;0,1,IF(COUNTIF(Настройки!$C$17:$C$26,F1180)&gt;0,2,IF(COUNTIF(Настройки!$D$17:$D$26,F1180)&gt;0,3,0))))</f>
        <v/>
      </c>
      <c r="I1180">
        <f>IF(AND(ISNUMBER(A1180),ISNUMBER(B1180)),A1180*1000+B1180,"")</f>
        <v/>
      </c>
      <c r="J1180">
        <f>IF(I1180="","",IF(COUNTIF(I$2:I1180,I1180)=1,MAX(J$1:J1179)+1,""))</f>
        <v/>
      </c>
    </row>
    <row r="1181">
      <c r="A1181">
        <f>IFERROR(--SUBSTITUTE(SUBSTITUTE(TRIM(INDEX(INDIRECT("'Выгрузка'!A1181:Z1181"),Настройки!$B$7)),",","."),".",MID(1/2,2,1)),"")</f>
        <v/>
      </c>
      <c r="B1181">
        <f>IFERROR(--SUBSTITUTE(SUBSTITUTE(TRIM(INDEX(INDIRECT("'Выгрузка'!A1181:Z1181"),Настройки!$B$9)),",","."),".",MID(1/2,2,1)),"")</f>
        <v/>
      </c>
      <c r="C1181">
        <f>TRIM(INDEX(INDIRECT("'Выгрузка'!A1181:Z1181"),Настройки!$B$8)&amp;"")</f>
        <v/>
      </c>
      <c r="D1181">
        <f>IFERROR(--SUBSTITUTE(SUBSTITUTE(TRIM(INDEX(INDIRECT("'Выгрузка'!A1181:Z1181"),Настройки!$B$10)),",","."),".",MID(1/2,2,1)),"")</f>
        <v/>
      </c>
      <c r="E1181">
        <f>IFERROR(--SUBSTITUTE(SUBSTITUTE(TRIM(INDEX(INDIRECT("'Выгрузка'!A1181:Z1181"),Настройки!$B$11)),",","."),".",MID(1/2,2,1)),"")</f>
        <v/>
      </c>
      <c r="F1181">
        <f>TRIM(INDEX(INDIRECT("'Выгрузка'!A1181:Z1181"),Настройки!$B$12)&amp;"")</f>
        <v/>
      </c>
      <c r="G1181">
        <f>IF(F1181="",0,IF(TRIM(INDEX(INDIRECT("'Выгрузка'!A1181:Z1181"),Настройки!$B$13)&amp;"")="",1,IFERROR(--SUBSTITUTE(SUBSTITUTE(TRIM(INDEX(INDIRECT("'Выгрузка'!A1181:Z1181"),Настройки!$B$13)),",","."),".",MID(1/2,2,1)),"")))</f>
        <v/>
      </c>
      <c r="H1181">
        <f>IF(F1181="",0,IF(COUNTIF(Настройки!$B$17:$B$26,F1181)&gt;0,1,IF(COUNTIF(Настройки!$C$17:$C$26,F1181)&gt;0,2,IF(COUNTIF(Настройки!$D$17:$D$26,F1181)&gt;0,3,0))))</f>
        <v/>
      </c>
      <c r="I1181">
        <f>IF(AND(ISNUMBER(A1181),ISNUMBER(B1181)),A1181*1000+B1181,"")</f>
        <v/>
      </c>
      <c r="J1181">
        <f>IF(I1181="","",IF(COUNTIF(I$2:I1181,I1181)=1,MAX(J$1:J1180)+1,""))</f>
        <v/>
      </c>
    </row>
    <row r="1182">
      <c r="A1182">
        <f>IFERROR(--SUBSTITUTE(SUBSTITUTE(TRIM(INDEX(INDIRECT("'Выгрузка'!A1182:Z1182"),Настройки!$B$7)),",","."),".",MID(1/2,2,1)),"")</f>
        <v/>
      </c>
      <c r="B1182">
        <f>IFERROR(--SUBSTITUTE(SUBSTITUTE(TRIM(INDEX(INDIRECT("'Выгрузка'!A1182:Z1182"),Настройки!$B$9)),",","."),".",MID(1/2,2,1)),"")</f>
        <v/>
      </c>
      <c r="C1182">
        <f>TRIM(INDEX(INDIRECT("'Выгрузка'!A1182:Z1182"),Настройки!$B$8)&amp;"")</f>
        <v/>
      </c>
      <c r="D1182">
        <f>IFERROR(--SUBSTITUTE(SUBSTITUTE(TRIM(INDEX(INDIRECT("'Выгрузка'!A1182:Z1182"),Настройки!$B$10)),",","."),".",MID(1/2,2,1)),"")</f>
        <v/>
      </c>
      <c r="E1182">
        <f>IFERROR(--SUBSTITUTE(SUBSTITUTE(TRIM(INDEX(INDIRECT("'Выгрузка'!A1182:Z1182"),Настройки!$B$11)),",","."),".",MID(1/2,2,1)),"")</f>
        <v/>
      </c>
      <c r="F1182">
        <f>TRIM(INDEX(INDIRECT("'Выгрузка'!A1182:Z1182"),Настройки!$B$12)&amp;"")</f>
        <v/>
      </c>
      <c r="G1182">
        <f>IF(F1182="",0,IF(TRIM(INDEX(INDIRECT("'Выгрузка'!A1182:Z1182"),Настройки!$B$13)&amp;"")="",1,IFERROR(--SUBSTITUTE(SUBSTITUTE(TRIM(INDEX(INDIRECT("'Выгрузка'!A1182:Z1182"),Настройки!$B$13)),",","."),".",MID(1/2,2,1)),"")))</f>
        <v/>
      </c>
      <c r="H1182">
        <f>IF(F1182="",0,IF(COUNTIF(Настройки!$B$17:$B$26,F1182)&gt;0,1,IF(COUNTIF(Настройки!$C$17:$C$26,F1182)&gt;0,2,IF(COUNTIF(Настройки!$D$17:$D$26,F1182)&gt;0,3,0))))</f>
        <v/>
      </c>
      <c r="I1182">
        <f>IF(AND(ISNUMBER(A1182),ISNUMBER(B1182)),A1182*1000+B1182,"")</f>
        <v/>
      </c>
      <c r="J1182">
        <f>IF(I1182="","",IF(COUNTIF(I$2:I1182,I1182)=1,MAX(J$1:J1181)+1,""))</f>
        <v/>
      </c>
    </row>
    <row r="1183">
      <c r="A1183">
        <f>IFERROR(--SUBSTITUTE(SUBSTITUTE(TRIM(INDEX(INDIRECT("'Выгрузка'!A1183:Z1183"),Настройки!$B$7)),",","."),".",MID(1/2,2,1)),"")</f>
        <v/>
      </c>
      <c r="B1183">
        <f>IFERROR(--SUBSTITUTE(SUBSTITUTE(TRIM(INDEX(INDIRECT("'Выгрузка'!A1183:Z1183"),Настройки!$B$9)),",","."),".",MID(1/2,2,1)),"")</f>
        <v/>
      </c>
      <c r="C1183">
        <f>TRIM(INDEX(INDIRECT("'Выгрузка'!A1183:Z1183"),Настройки!$B$8)&amp;"")</f>
        <v/>
      </c>
      <c r="D1183">
        <f>IFERROR(--SUBSTITUTE(SUBSTITUTE(TRIM(INDEX(INDIRECT("'Выгрузка'!A1183:Z1183"),Настройки!$B$10)),",","."),".",MID(1/2,2,1)),"")</f>
        <v/>
      </c>
      <c r="E1183">
        <f>IFERROR(--SUBSTITUTE(SUBSTITUTE(TRIM(INDEX(INDIRECT("'Выгрузка'!A1183:Z1183"),Настройки!$B$11)),",","."),".",MID(1/2,2,1)),"")</f>
        <v/>
      </c>
      <c r="F1183">
        <f>TRIM(INDEX(INDIRECT("'Выгрузка'!A1183:Z1183"),Настройки!$B$12)&amp;"")</f>
        <v/>
      </c>
      <c r="G1183">
        <f>IF(F1183="",0,IF(TRIM(INDEX(INDIRECT("'Выгрузка'!A1183:Z1183"),Настройки!$B$13)&amp;"")="",1,IFERROR(--SUBSTITUTE(SUBSTITUTE(TRIM(INDEX(INDIRECT("'Выгрузка'!A1183:Z1183"),Настройки!$B$13)),",","."),".",MID(1/2,2,1)),"")))</f>
        <v/>
      </c>
      <c r="H1183">
        <f>IF(F1183="",0,IF(COUNTIF(Настройки!$B$17:$B$26,F1183)&gt;0,1,IF(COUNTIF(Настройки!$C$17:$C$26,F1183)&gt;0,2,IF(COUNTIF(Настройки!$D$17:$D$26,F1183)&gt;0,3,0))))</f>
        <v/>
      </c>
      <c r="I1183">
        <f>IF(AND(ISNUMBER(A1183),ISNUMBER(B1183)),A1183*1000+B1183,"")</f>
        <v/>
      </c>
      <c r="J1183">
        <f>IF(I1183="","",IF(COUNTIF(I$2:I1183,I1183)=1,MAX(J$1:J1182)+1,""))</f>
        <v/>
      </c>
    </row>
    <row r="1184">
      <c r="A1184">
        <f>IFERROR(--SUBSTITUTE(SUBSTITUTE(TRIM(INDEX(INDIRECT("'Выгрузка'!A1184:Z1184"),Настройки!$B$7)),",","."),".",MID(1/2,2,1)),"")</f>
        <v/>
      </c>
      <c r="B1184">
        <f>IFERROR(--SUBSTITUTE(SUBSTITUTE(TRIM(INDEX(INDIRECT("'Выгрузка'!A1184:Z1184"),Настройки!$B$9)),",","."),".",MID(1/2,2,1)),"")</f>
        <v/>
      </c>
      <c r="C1184">
        <f>TRIM(INDEX(INDIRECT("'Выгрузка'!A1184:Z1184"),Настройки!$B$8)&amp;"")</f>
        <v/>
      </c>
      <c r="D1184">
        <f>IFERROR(--SUBSTITUTE(SUBSTITUTE(TRIM(INDEX(INDIRECT("'Выгрузка'!A1184:Z1184"),Настройки!$B$10)),",","."),".",MID(1/2,2,1)),"")</f>
        <v/>
      </c>
      <c r="E1184">
        <f>IFERROR(--SUBSTITUTE(SUBSTITUTE(TRIM(INDEX(INDIRECT("'Выгрузка'!A1184:Z1184"),Настройки!$B$11)),",","."),".",MID(1/2,2,1)),"")</f>
        <v/>
      </c>
      <c r="F1184">
        <f>TRIM(INDEX(INDIRECT("'Выгрузка'!A1184:Z1184"),Настройки!$B$12)&amp;"")</f>
        <v/>
      </c>
      <c r="G1184">
        <f>IF(F1184="",0,IF(TRIM(INDEX(INDIRECT("'Выгрузка'!A1184:Z1184"),Настройки!$B$13)&amp;"")="",1,IFERROR(--SUBSTITUTE(SUBSTITUTE(TRIM(INDEX(INDIRECT("'Выгрузка'!A1184:Z1184"),Настройки!$B$13)),",","."),".",MID(1/2,2,1)),"")))</f>
        <v/>
      </c>
      <c r="H1184">
        <f>IF(F1184="",0,IF(COUNTIF(Настройки!$B$17:$B$26,F1184)&gt;0,1,IF(COUNTIF(Настройки!$C$17:$C$26,F1184)&gt;0,2,IF(COUNTIF(Настройки!$D$17:$D$26,F1184)&gt;0,3,0))))</f>
        <v/>
      </c>
      <c r="I1184">
        <f>IF(AND(ISNUMBER(A1184),ISNUMBER(B1184)),A1184*1000+B1184,"")</f>
        <v/>
      </c>
      <c r="J1184">
        <f>IF(I1184="","",IF(COUNTIF(I$2:I1184,I1184)=1,MAX(J$1:J1183)+1,""))</f>
        <v/>
      </c>
    </row>
    <row r="1185">
      <c r="A1185">
        <f>IFERROR(--SUBSTITUTE(SUBSTITUTE(TRIM(INDEX(INDIRECT("'Выгрузка'!A1185:Z1185"),Настройки!$B$7)),",","."),".",MID(1/2,2,1)),"")</f>
        <v/>
      </c>
      <c r="B1185">
        <f>IFERROR(--SUBSTITUTE(SUBSTITUTE(TRIM(INDEX(INDIRECT("'Выгрузка'!A1185:Z1185"),Настройки!$B$9)),",","."),".",MID(1/2,2,1)),"")</f>
        <v/>
      </c>
      <c r="C1185">
        <f>TRIM(INDEX(INDIRECT("'Выгрузка'!A1185:Z1185"),Настройки!$B$8)&amp;"")</f>
        <v/>
      </c>
      <c r="D1185">
        <f>IFERROR(--SUBSTITUTE(SUBSTITUTE(TRIM(INDEX(INDIRECT("'Выгрузка'!A1185:Z1185"),Настройки!$B$10)),",","."),".",MID(1/2,2,1)),"")</f>
        <v/>
      </c>
      <c r="E1185">
        <f>IFERROR(--SUBSTITUTE(SUBSTITUTE(TRIM(INDEX(INDIRECT("'Выгрузка'!A1185:Z1185"),Настройки!$B$11)),",","."),".",MID(1/2,2,1)),"")</f>
        <v/>
      </c>
      <c r="F1185">
        <f>TRIM(INDEX(INDIRECT("'Выгрузка'!A1185:Z1185"),Настройки!$B$12)&amp;"")</f>
        <v/>
      </c>
      <c r="G1185">
        <f>IF(F1185="",0,IF(TRIM(INDEX(INDIRECT("'Выгрузка'!A1185:Z1185"),Настройки!$B$13)&amp;"")="",1,IFERROR(--SUBSTITUTE(SUBSTITUTE(TRIM(INDEX(INDIRECT("'Выгрузка'!A1185:Z1185"),Настройки!$B$13)),",","."),".",MID(1/2,2,1)),"")))</f>
        <v/>
      </c>
      <c r="H1185">
        <f>IF(F1185="",0,IF(COUNTIF(Настройки!$B$17:$B$26,F1185)&gt;0,1,IF(COUNTIF(Настройки!$C$17:$C$26,F1185)&gt;0,2,IF(COUNTIF(Настройки!$D$17:$D$26,F1185)&gt;0,3,0))))</f>
        <v/>
      </c>
      <c r="I1185">
        <f>IF(AND(ISNUMBER(A1185),ISNUMBER(B1185)),A1185*1000+B1185,"")</f>
        <v/>
      </c>
      <c r="J1185">
        <f>IF(I1185="","",IF(COUNTIF(I$2:I1185,I1185)=1,MAX(J$1:J1184)+1,""))</f>
        <v/>
      </c>
    </row>
    <row r="1186">
      <c r="A1186">
        <f>IFERROR(--SUBSTITUTE(SUBSTITUTE(TRIM(INDEX(INDIRECT("'Выгрузка'!A1186:Z1186"),Настройки!$B$7)),",","."),".",MID(1/2,2,1)),"")</f>
        <v/>
      </c>
      <c r="B1186">
        <f>IFERROR(--SUBSTITUTE(SUBSTITUTE(TRIM(INDEX(INDIRECT("'Выгрузка'!A1186:Z1186"),Настройки!$B$9)),",","."),".",MID(1/2,2,1)),"")</f>
        <v/>
      </c>
      <c r="C1186">
        <f>TRIM(INDEX(INDIRECT("'Выгрузка'!A1186:Z1186"),Настройки!$B$8)&amp;"")</f>
        <v/>
      </c>
      <c r="D1186">
        <f>IFERROR(--SUBSTITUTE(SUBSTITUTE(TRIM(INDEX(INDIRECT("'Выгрузка'!A1186:Z1186"),Настройки!$B$10)),",","."),".",MID(1/2,2,1)),"")</f>
        <v/>
      </c>
      <c r="E1186">
        <f>IFERROR(--SUBSTITUTE(SUBSTITUTE(TRIM(INDEX(INDIRECT("'Выгрузка'!A1186:Z1186"),Настройки!$B$11)),",","."),".",MID(1/2,2,1)),"")</f>
        <v/>
      </c>
      <c r="F1186">
        <f>TRIM(INDEX(INDIRECT("'Выгрузка'!A1186:Z1186"),Настройки!$B$12)&amp;"")</f>
        <v/>
      </c>
      <c r="G1186">
        <f>IF(F1186="",0,IF(TRIM(INDEX(INDIRECT("'Выгрузка'!A1186:Z1186"),Настройки!$B$13)&amp;"")="",1,IFERROR(--SUBSTITUTE(SUBSTITUTE(TRIM(INDEX(INDIRECT("'Выгрузка'!A1186:Z1186"),Настройки!$B$13)),",","."),".",MID(1/2,2,1)),"")))</f>
        <v/>
      </c>
      <c r="H1186">
        <f>IF(F1186="",0,IF(COUNTIF(Настройки!$B$17:$B$26,F1186)&gt;0,1,IF(COUNTIF(Настройки!$C$17:$C$26,F1186)&gt;0,2,IF(COUNTIF(Настройки!$D$17:$D$26,F1186)&gt;0,3,0))))</f>
        <v/>
      </c>
      <c r="I1186">
        <f>IF(AND(ISNUMBER(A1186),ISNUMBER(B1186)),A1186*1000+B1186,"")</f>
        <v/>
      </c>
      <c r="J1186">
        <f>IF(I1186="","",IF(COUNTIF(I$2:I1186,I1186)=1,MAX(J$1:J1185)+1,""))</f>
        <v/>
      </c>
    </row>
    <row r="1187">
      <c r="A1187">
        <f>IFERROR(--SUBSTITUTE(SUBSTITUTE(TRIM(INDEX(INDIRECT("'Выгрузка'!A1187:Z1187"),Настройки!$B$7)),",","."),".",MID(1/2,2,1)),"")</f>
        <v/>
      </c>
      <c r="B1187">
        <f>IFERROR(--SUBSTITUTE(SUBSTITUTE(TRIM(INDEX(INDIRECT("'Выгрузка'!A1187:Z1187"),Настройки!$B$9)),",","."),".",MID(1/2,2,1)),"")</f>
        <v/>
      </c>
      <c r="C1187">
        <f>TRIM(INDEX(INDIRECT("'Выгрузка'!A1187:Z1187"),Настройки!$B$8)&amp;"")</f>
        <v/>
      </c>
      <c r="D1187">
        <f>IFERROR(--SUBSTITUTE(SUBSTITUTE(TRIM(INDEX(INDIRECT("'Выгрузка'!A1187:Z1187"),Настройки!$B$10)),",","."),".",MID(1/2,2,1)),"")</f>
        <v/>
      </c>
      <c r="E1187">
        <f>IFERROR(--SUBSTITUTE(SUBSTITUTE(TRIM(INDEX(INDIRECT("'Выгрузка'!A1187:Z1187"),Настройки!$B$11)),",","."),".",MID(1/2,2,1)),"")</f>
        <v/>
      </c>
      <c r="F1187">
        <f>TRIM(INDEX(INDIRECT("'Выгрузка'!A1187:Z1187"),Настройки!$B$12)&amp;"")</f>
        <v/>
      </c>
      <c r="G1187">
        <f>IF(F1187="",0,IF(TRIM(INDEX(INDIRECT("'Выгрузка'!A1187:Z1187"),Настройки!$B$13)&amp;"")="",1,IFERROR(--SUBSTITUTE(SUBSTITUTE(TRIM(INDEX(INDIRECT("'Выгрузка'!A1187:Z1187"),Настройки!$B$13)),",","."),".",MID(1/2,2,1)),"")))</f>
        <v/>
      </c>
      <c r="H1187">
        <f>IF(F1187="",0,IF(COUNTIF(Настройки!$B$17:$B$26,F1187)&gt;0,1,IF(COUNTIF(Настройки!$C$17:$C$26,F1187)&gt;0,2,IF(COUNTIF(Настройки!$D$17:$D$26,F1187)&gt;0,3,0))))</f>
        <v/>
      </c>
      <c r="I1187">
        <f>IF(AND(ISNUMBER(A1187),ISNUMBER(B1187)),A1187*1000+B1187,"")</f>
        <v/>
      </c>
      <c r="J1187">
        <f>IF(I1187="","",IF(COUNTIF(I$2:I1187,I1187)=1,MAX(J$1:J1186)+1,""))</f>
        <v/>
      </c>
    </row>
    <row r="1188">
      <c r="A1188">
        <f>IFERROR(--SUBSTITUTE(SUBSTITUTE(TRIM(INDEX(INDIRECT("'Выгрузка'!A1188:Z1188"),Настройки!$B$7)),",","."),".",MID(1/2,2,1)),"")</f>
        <v/>
      </c>
      <c r="B1188">
        <f>IFERROR(--SUBSTITUTE(SUBSTITUTE(TRIM(INDEX(INDIRECT("'Выгрузка'!A1188:Z1188"),Настройки!$B$9)),",","."),".",MID(1/2,2,1)),"")</f>
        <v/>
      </c>
      <c r="C1188">
        <f>TRIM(INDEX(INDIRECT("'Выгрузка'!A1188:Z1188"),Настройки!$B$8)&amp;"")</f>
        <v/>
      </c>
      <c r="D1188">
        <f>IFERROR(--SUBSTITUTE(SUBSTITUTE(TRIM(INDEX(INDIRECT("'Выгрузка'!A1188:Z1188"),Настройки!$B$10)),",","."),".",MID(1/2,2,1)),"")</f>
        <v/>
      </c>
      <c r="E1188">
        <f>IFERROR(--SUBSTITUTE(SUBSTITUTE(TRIM(INDEX(INDIRECT("'Выгрузка'!A1188:Z1188"),Настройки!$B$11)),",","."),".",MID(1/2,2,1)),"")</f>
        <v/>
      </c>
      <c r="F1188">
        <f>TRIM(INDEX(INDIRECT("'Выгрузка'!A1188:Z1188"),Настройки!$B$12)&amp;"")</f>
        <v/>
      </c>
      <c r="G1188">
        <f>IF(F1188="",0,IF(TRIM(INDEX(INDIRECT("'Выгрузка'!A1188:Z1188"),Настройки!$B$13)&amp;"")="",1,IFERROR(--SUBSTITUTE(SUBSTITUTE(TRIM(INDEX(INDIRECT("'Выгрузка'!A1188:Z1188"),Настройки!$B$13)),",","."),".",MID(1/2,2,1)),"")))</f>
        <v/>
      </c>
      <c r="H1188">
        <f>IF(F1188="",0,IF(COUNTIF(Настройки!$B$17:$B$26,F1188)&gt;0,1,IF(COUNTIF(Настройки!$C$17:$C$26,F1188)&gt;0,2,IF(COUNTIF(Настройки!$D$17:$D$26,F1188)&gt;0,3,0))))</f>
        <v/>
      </c>
      <c r="I1188">
        <f>IF(AND(ISNUMBER(A1188),ISNUMBER(B1188)),A1188*1000+B1188,"")</f>
        <v/>
      </c>
      <c r="J1188">
        <f>IF(I1188="","",IF(COUNTIF(I$2:I1188,I1188)=1,MAX(J$1:J1187)+1,""))</f>
        <v/>
      </c>
    </row>
    <row r="1189">
      <c r="A1189">
        <f>IFERROR(--SUBSTITUTE(SUBSTITUTE(TRIM(INDEX(INDIRECT("'Выгрузка'!A1189:Z1189"),Настройки!$B$7)),",","."),".",MID(1/2,2,1)),"")</f>
        <v/>
      </c>
      <c r="B1189">
        <f>IFERROR(--SUBSTITUTE(SUBSTITUTE(TRIM(INDEX(INDIRECT("'Выгрузка'!A1189:Z1189"),Настройки!$B$9)),",","."),".",MID(1/2,2,1)),"")</f>
        <v/>
      </c>
      <c r="C1189">
        <f>TRIM(INDEX(INDIRECT("'Выгрузка'!A1189:Z1189"),Настройки!$B$8)&amp;"")</f>
        <v/>
      </c>
      <c r="D1189">
        <f>IFERROR(--SUBSTITUTE(SUBSTITUTE(TRIM(INDEX(INDIRECT("'Выгрузка'!A1189:Z1189"),Настройки!$B$10)),",","."),".",MID(1/2,2,1)),"")</f>
        <v/>
      </c>
      <c r="E1189">
        <f>IFERROR(--SUBSTITUTE(SUBSTITUTE(TRIM(INDEX(INDIRECT("'Выгрузка'!A1189:Z1189"),Настройки!$B$11)),",","."),".",MID(1/2,2,1)),"")</f>
        <v/>
      </c>
      <c r="F1189">
        <f>TRIM(INDEX(INDIRECT("'Выгрузка'!A1189:Z1189"),Настройки!$B$12)&amp;"")</f>
        <v/>
      </c>
      <c r="G1189">
        <f>IF(F1189="",0,IF(TRIM(INDEX(INDIRECT("'Выгрузка'!A1189:Z1189"),Настройки!$B$13)&amp;"")="",1,IFERROR(--SUBSTITUTE(SUBSTITUTE(TRIM(INDEX(INDIRECT("'Выгрузка'!A1189:Z1189"),Настройки!$B$13)),",","."),".",MID(1/2,2,1)),"")))</f>
        <v/>
      </c>
      <c r="H1189">
        <f>IF(F1189="",0,IF(COUNTIF(Настройки!$B$17:$B$26,F1189)&gt;0,1,IF(COUNTIF(Настройки!$C$17:$C$26,F1189)&gt;0,2,IF(COUNTIF(Настройки!$D$17:$D$26,F1189)&gt;0,3,0))))</f>
        <v/>
      </c>
      <c r="I1189">
        <f>IF(AND(ISNUMBER(A1189),ISNUMBER(B1189)),A1189*1000+B1189,"")</f>
        <v/>
      </c>
      <c r="J1189">
        <f>IF(I1189="","",IF(COUNTIF(I$2:I1189,I1189)=1,MAX(J$1:J1188)+1,""))</f>
        <v/>
      </c>
    </row>
    <row r="1190">
      <c r="A1190">
        <f>IFERROR(--SUBSTITUTE(SUBSTITUTE(TRIM(INDEX(INDIRECT("'Выгрузка'!A1190:Z1190"),Настройки!$B$7)),",","."),".",MID(1/2,2,1)),"")</f>
        <v/>
      </c>
      <c r="B1190">
        <f>IFERROR(--SUBSTITUTE(SUBSTITUTE(TRIM(INDEX(INDIRECT("'Выгрузка'!A1190:Z1190"),Настройки!$B$9)),",","."),".",MID(1/2,2,1)),"")</f>
        <v/>
      </c>
      <c r="C1190">
        <f>TRIM(INDEX(INDIRECT("'Выгрузка'!A1190:Z1190"),Настройки!$B$8)&amp;"")</f>
        <v/>
      </c>
      <c r="D1190">
        <f>IFERROR(--SUBSTITUTE(SUBSTITUTE(TRIM(INDEX(INDIRECT("'Выгрузка'!A1190:Z1190"),Настройки!$B$10)),",","."),".",MID(1/2,2,1)),"")</f>
        <v/>
      </c>
      <c r="E1190">
        <f>IFERROR(--SUBSTITUTE(SUBSTITUTE(TRIM(INDEX(INDIRECT("'Выгрузка'!A1190:Z1190"),Настройки!$B$11)),",","."),".",MID(1/2,2,1)),"")</f>
        <v/>
      </c>
      <c r="F1190">
        <f>TRIM(INDEX(INDIRECT("'Выгрузка'!A1190:Z1190"),Настройки!$B$12)&amp;"")</f>
        <v/>
      </c>
      <c r="G1190">
        <f>IF(F1190="",0,IF(TRIM(INDEX(INDIRECT("'Выгрузка'!A1190:Z1190"),Настройки!$B$13)&amp;"")="",1,IFERROR(--SUBSTITUTE(SUBSTITUTE(TRIM(INDEX(INDIRECT("'Выгрузка'!A1190:Z1190"),Настройки!$B$13)),",","."),".",MID(1/2,2,1)),"")))</f>
        <v/>
      </c>
      <c r="H1190">
        <f>IF(F1190="",0,IF(COUNTIF(Настройки!$B$17:$B$26,F1190)&gt;0,1,IF(COUNTIF(Настройки!$C$17:$C$26,F1190)&gt;0,2,IF(COUNTIF(Настройки!$D$17:$D$26,F1190)&gt;0,3,0))))</f>
        <v/>
      </c>
      <c r="I1190">
        <f>IF(AND(ISNUMBER(A1190),ISNUMBER(B1190)),A1190*1000+B1190,"")</f>
        <v/>
      </c>
      <c r="J1190">
        <f>IF(I1190="","",IF(COUNTIF(I$2:I1190,I1190)=1,MAX(J$1:J1189)+1,""))</f>
        <v/>
      </c>
    </row>
    <row r="1191">
      <c r="A1191">
        <f>IFERROR(--SUBSTITUTE(SUBSTITUTE(TRIM(INDEX(INDIRECT("'Выгрузка'!A1191:Z1191"),Настройки!$B$7)),",","."),".",MID(1/2,2,1)),"")</f>
        <v/>
      </c>
      <c r="B1191">
        <f>IFERROR(--SUBSTITUTE(SUBSTITUTE(TRIM(INDEX(INDIRECT("'Выгрузка'!A1191:Z1191"),Настройки!$B$9)),",","."),".",MID(1/2,2,1)),"")</f>
        <v/>
      </c>
      <c r="C1191">
        <f>TRIM(INDEX(INDIRECT("'Выгрузка'!A1191:Z1191"),Настройки!$B$8)&amp;"")</f>
        <v/>
      </c>
      <c r="D1191">
        <f>IFERROR(--SUBSTITUTE(SUBSTITUTE(TRIM(INDEX(INDIRECT("'Выгрузка'!A1191:Z1191"),Настройки!$B$10)),",","."),".",MID(1/2,2,1)),"")</f>
        <v/>
      </c>
      <c r="E1191">
        <f>IFERROR(--SUBSTITUTE(SUBSTITUTE(TRIM(INDEX(INDIRECT("'Выгрузка'!A1191:Z1191"),Настройки!$B$11)),",","."),".",MID(1/2,2,1)),"")</f>
        <v/>
      </c>
      <c r="F1191">
        <f>TRIM(INDEX(INDIRECT("'Выгрузка'!A1191:Z1191"),Настройки!$B$12)&amp;"")</f>
        <v/>
      </c>
      <c r="G1191">
        <f>IF(F1191="",0,IF(TRIM(INDEX(INDIRECT("'Выгрузка'!A1191:Z1191"),Настройки!$B$13)&amp;"")="",1,IFERROR(--SUBSTITUTE(SUBSTITUTE(TRIM(INDEX(INDIRECT("'Выгрузка'!A1191:Z1191"),Настройки!$B$13)),",","."),".",MID(1/2,2,1)),"")))</f>
        <v/>
      </c>
      <c r="H1191">
        <f>IF(F1191="",0,IF(COUNTIF(Настройки!$B$17:$B$26,F1191)&gt;0,1,IF(COUNTIF(Настройки!$C$17:$C$26,F1191)&gt;0,2,IF(COUNTIF(Настройки!$D$17:$D$26,F1191)&gt;0,3,0))))</f>
        <v/>
      </c>
      <c r="I1191">
        <f>IF(AND(ISNUMBER(A1191),ISNUMBER(B1191)),A1191*1000+B1191,"")</f>
        <v/>
      </c>
      <c r="J1191">
        <f>IF(I1191="","",IF(COUNTIF(I$2:I1191,I1191)=1,MAX(J$1:J1190)+1,""))</f>
        <v/>
      </c>
    </row>
    <row r="1192">
      <c r="A1192">
        <f>IFERROR(--SUBSTITUTE(SUBSTITUTE(TRIM(INDEX(INDIRECT("'Выгрузка'!A1192:Z1192"),Настройки!$B$7)),",","."),".",MID(1/2,2,1)),"")</f>
        <v/>
      </c>
      <c r="B1192">
        <f>IFERROR(--SUBSTITUTE(SUBSTITUTE(TRIM(INDEX(INDIRECT("'Выгрузка'!A1192:Z1192"),Настройки!$B$9)),",","."),".",MID(1/2,2,1)),"")</f>
        <v/>
      </c>
      <c r="C1192">
        <f>TRIM(INDEX(INDIRECT("'Выгрузка'!A1192:Z1192"),Настройки!$B$8)&amp;"")</f>
        <v/>
      </c>
      <c r="D1192">
        <f>IFERROR(--SUBSTITUTE(SUBSTITUTE(TRIM(INDEX(INDIRECT("'Выгрузка'!A1192:Z1192"),Настройки!$B$10)),",","."),".",MID(1/2,2,1)),"")</f>
        <v/>
      </c>
      <c r="E1192">
        <f>IFERROR(--SUBSTITUTE(SUBSTITUTE(TRIM(INDEX(INDIRECT("'Выгрузка'!A1192:Z1192"),Настройки!$B$11)),",","."),".",MID(1/2,2,1)),"")</f>
        <v/>
      </c>
      <c r="F1192">
        <f>TRIM(INDEX(INDIRECT("'Выгрузка'!A1192:Z1192"),Настройки!$B$12)&amp;"")</f>
        <v/>
      </c>
      <c r="G1192">
        <f>IF(F1192="",0,IF(TRIM(INDEX(INDIRECT("'Выгрузка'!A1192:Z1192"),Настройки!$B$13)&amp;"")="",1,IFERROR(--SUBSTITUTE(SUBSTITUTE(TRIM(INDEX(INDIRECT("'Выгрузка'!A1192:Z1192"),Настройки!$B$13)),",","."),".",MID(1/2,2,1)),"")))</f>
        <v/>
      </c>
      <c r="H1192">
        <f>IF(F1192="",0,IF(COUNTIF(Настройки!$B$17:$B$26,F1192)&gt;0,1,IF(COUNTIF(Настройки!$C$17:$C$26,F1192)&gt;0,2,IF(COUNTIF(Настройки!$D$17:$D$26,F1192)&gt;0,3,0))))</f>
        <v/>
      </c>
      <c r="I1192">
        <f>IF(AND(ISNUMBER(A1192),ISNUMBER(B1192)),A1192*1000+B1192,"")</f>
        <v/>
      </c>
      <c r="J1192">
        <f>IF(I1192="","",IF(COUNTIF(I$2:I1192,I1192)=1,MAX(J$1:J1191)+1,""))</f>
        <v/>
      </c>
    </row>
    <row r="1193">
      <c r="A1193">
        <f>IFERROR(--SUBSTITUTE(SUBSTITUTE(TRIM(INDEX(INDIRECT("'Выгрузка'!A1193:Z1193"),Настройки!$B$7)),",","."),".",MID(1/2,2,1)),"")</f>
        <v/>
      </c>
      <c r="B1193">
        <f>IFERROR(--SUBSTITUTE(SUBSTITUTE(TRIM(INDEX(INDIRECT("'Выгрузка'!A1193:Z1193"),Настройки!$B$9)),",","."),".",MID(1/2,2,1)),"")</f>
        <v/>
      </c>
      <c r="C1193">
        <f>TRIM(INDEX(INDIRECT("'Выгрузка'!A1193:Z1193"),Настройки!$B$8)&amp;"")</f>
        <v/>
      </c>
      <c r="D1193">
        <f>IFERROR(--SUBSTITUTE(SUBSTITUTE(TRIM(INDEX(INDIRECT("'Выгрузка'!A1193:Z1193"),Настройки!$B$10)),",","."),".",MID(1/2,2,1)),"")</f>
        <v/>
      </c>
      <c r="E1193">
        <f>IFERROR(--SUBSTITUTE(SUBSTITUTE(TRIM(INDEX(INDIRECT("'Выгрузка'!A1193:Z1193"),Настройки!$B$11)),",","."),".",MID(1/2,2,1)),"")</f>
        <v/>
      </c>
      <c r="F1193">
        <f>TRIM(INDEX(INDIRECT("'Выгрузка'!A1193:Z1193"),Настройки!$B$12)&amp;"")</f>
        <v/>
      </c>
      <c r="G1193">
        <f>IF(F1193="",0,IF(TRIM(INDEX(INDIRECT("'Выгрузка'!A1193:Z1193"),Настройки!$B$13)&amp;"")="",1,IFERROR(--SUBSTITUTE(SUBSTITUTE(TRIM(INDEX(INDIRECT("'Выгрузка'!A1193:Z1193"),Настройки!$B$13)),",","."),".",MID(1/2,2,1)),"")))</f>
        <v/>
      </c>
      <c r="H1193">
        <f>IF(F1193="",0,IF(COUNTIF(Настройки!$B$17:$B$26,F1193)&gt;0,1,IF(COUNTIF(Настройки!$C$17:$C$26,F1193)&gt;0,2,IF(COUNTIF(Настройки!$D$17:$D$26,F1193)&gt;0,3,0))))</f>
        <v/>
      </c>
      <c r="I1193">
        <f>IF(AND(ISNUMBER(A1193),ISNUMBER(B1193)),A1193*1000+B1193,"")</f>
        <v/>
      </c>
      <c r="J1193">
        <f>IF(I1193="","",IF(COUNTIF(I$2:I1193,I1193)=1,MAX(J$1:J1192)+1,""))</f>
        <v/>
      </c>
    </row>
    <row r="1194">
      <c r="A1194">
        <f>IFERROR(--SUBSTITUTE(SUBSTITUTE(TRIM(INDEX(INDIRECT("'Выгрузка'!A1194:Z1194"),Настройки!$B$7)),",","."),".",MID(1/2,2,1)),"")</f>
        <v/>
      </c>
      <c r="B1194">
        <f>IFERROR(--SUBSTITUTE(SUBSTITUTE(TRIM(INDEX(INDIRECT("'Выгрузка'!A1194:Z1194"),Настройки!$B$9)),",","."),".",MID(1/2,2,1)),"")</f>
        <v/>
      </c>
      <c r="C1194">
        <f>TRIM(INDEX(INDIRECT("'Выгрузка'!A1194:Z1194"),Настройки!$B$8)&amp;"")</f>
        <v/>
      </c>
      <c r="D1194">
        <f>IFERROR(--SUBSTITUTE(SUBSTITUTE(TRIM(INDEX(INDIRECT("'Выгрузка'!A1194:Z1194"),Настройки!$B$10)),",","."),".",MID(1/2,2,1)),"")</f>
        <v/>
      </c>
      <c r="E1194">
        <f>IFERROR(--SUBSTITUTE(SUBSTITUTE(TRIM(INDEX(INDIRECT("'Выгрузка'!A1194:Z1194"),Настройки!$B$11)),",","."),".",MID(1/2,2,1)),"")</f>
        <v/>
      </c>
      <c r="F1194">
        <f>TRIM(INDEX(INDIRECT("'Выгрузка'!A1194:Z1194"),Настройки!$B$12)&amp;"")</f>
        <v/>
      </c>
      <c r="G1194">
        <f>IF(F1194="",0,IF(TRIM(INDEX(INDIRECT("'Выгрузка'!A1194:Z1194"),Настройки!$B$13)&amp;"")="",1,IFERROR(--SUBSTITUTE(SUBSTITUTE(TRIM(INDEX(INDIRECT("'Выгрузка'!A1194:Z1194"),Настройки!$B$13)),",","."),".",MID(1/2,2,1)),"")))</f>
        <v/>
      </c>
      <c r="H1194">
        <f>IF(F1194="",0,IF(COUNTIF(Настройки!$B$17:$B$26,F1194)&gt;0,1,IF(COUNTIF(Настройки!$C$17:$C$26,F1194)&gt;0,2,IF(COUNTIF(Настройки!$D$17:$D$26,F1194)&gt;0,3,0))))</f>
        <v/>
      </c>
      <c r="I1194">
        <f>IF(AND(ISNUMBER(A1194),ISNUMBER(B1194)),A1194*1000+B1194,"")</f>
        <v/>
      </c>
      <c r="J1194">
        <f>IF(I1194="","",IF(COUNTIF(I$2:I1194,I1194)=1,MAX(J$1:J1193)+1,""))</f>
        <v/>
      </c>
    </row>
    <row r="1195">
      <c r="A1195">
        <f>IFERROR(--SUBSTITUTE(SUBSTITUTE(TRIM(INDEX(INDIRECT("'Выгрузка'!A1195:Z1195"),Настройки!$B$7)),",","."),".",MID(1/2,2,1)),"")</f>
        <v/>
      </c>
      <c r="B1195">
        <f>IFERROR(--SUBSTITUTE(SUBSTITUTE(TRIM(INDEX(INDIRECT("'Выгрузка'!A1195:Z1195"),Настройки!$B$9)),",","."),".",MID(1/2,2,1)),"")</f>
        <v/>
      </c>
      <c r="C1195">
        <f>TRIM(INDEX(INDIRECT("'Выгрузка'!A1195:Z1195"),Настройки!$B$8)&amp;"")</f>
        <v/>
      </c>
      <c r="D1195">
        <f>IFERROR(--SUBSTITUTE(SUBSTITUTE(TRIM(INDEX(INDIRECT("'Выгрузка'!A1195:Z1195"),Настройки!$B$10)),",","."),".",MID(1/2,2,1)),"")</f>
        <v/>
      </c>
      <c r="E1195">
        <f>IFERROR(--SUBSTITUTE(SUBSTITUTE(TRIM(INDEX(INDIRECT("'Выгрузка'!A1195:Z1195"),Настройки!$B$11)),",","."),".",MID(1/2,2,1)),"")</f>
        <v/>
      </c>
      <c r="F1195">
        <f>TRIM(INDEX(INDIRECT("'Выгрузка'!A1195:Z1195"),Настройки!$B$12)&amp;"")</f>
        <v/>
      </c>
      <c r="G1195">
        <f>IF(F1195="",0,IF(TRIM(INDEX(INDIRECT("'Выгрузка'!A1195:Z1195"),Настройки!$B$13)&amp;"")="",1,IFERROR(--SUBSTITUTE(SUBSTITUTE(TRIM(INDEX(INDIRECT("'Выгрузка'!A1195:Z1195"),Настройки!$B$13)),",","."),".",MID(1/2,2,1)),"")))</f>
        <v/>
      </c>
      <c r="H1195">
        <f>IF(F1195="",0,IF(COUNTIF(Настройки!$B$17:$B$26,F1195)&gt;0,1,IF(COUNTIF(Настройки!$C$17:$C$26,F1195)&gt;0,2,IF(COUNTIF(Настройки!$D$17:$D$26,F1195)&gt;0,3,0))))</f>
        <v/>
      </c>
      <c r="I1195">
        <f>IF(AND(ISNUMBER(A1195),ISNUMBER(B1195)),A1195*1000+B1195,"")</f>
        <v/>
      </c>
      <c r="J1195">
        <f>IF(I1195="","",IF(COUNTIF(I$2:I1195,I1195)=1,MAX(J$1:J1194)+1,""))</f>
        <v/>
      </c>
    </row>
    <row r="1196">
      <c r="A1196">
        <f>IFERROR(--SUBSTITUTE(SUBSTITUTE(TRIM(INDEX(INDIRECT("'Выгрузка'!A1196:Z1196"),Настройки!$B$7)),",","."),".",MID(1/2,2,1)),"")</f>
        <v/>
      </c>
      <c r="B1196">
        <f>IFERROR(--SUBSTITUTE(SUBSTITUTE(TRIM(INDEX(INDIRECT("'Выгрузка'!A1196:Z1196"),Настройки!$B$9)),",","."),".",MID(1/2,2,1)),"")</f>
        <v/>
      </c>
      <c r="C1196">
        <f>TRIM(INDEX(INDIRECT("'Выгрузка'!A1196:Z1196"),Настройки!$B$8)&amp;"")</f>
        <v/>
      </c>
      <c r="D1196">
        <f>IFERROR(--SUBSTITUTE(SUBSTITUTE(TRIM(INDEX(INDIRECT("'Выгрузка'!A1196:Z1196"),Настройки!$B$10)),",","."),".",MID(1/2,2,1)),"")</f>
        <v/>
      </c>
      <c r="E1196">
        <f>IFERROR(--SUBSTITUTE(SUBSTITUTE(TRIM(INDEX(INDIRECT("'Выгрузка'!A1196:Z1196"),Настройки!$B$11)),",","."),".",MID(1/2,2,1)),"")</f>
        <v/>
      </c>
      <c r="F1196">
        <f>TRIM(INDEX(INDIRECT("'Выгрузка'!A1196:Z1196"),Настройки!$B$12)&amp;"")</f>
        <v/>
      </c>
      <c r="G1196">
        <f>IF(F1196="",0,IF(TRIM(INDEX(INDIRECT("'Выгрузка'!A1196:Z1196"),Настройки!$B$13)&amp;"")="",1,IFERROR(--SUBSTITUTE(SUBSTITUTE(TRIM(INDEX(INDIRECT("'Выгрузка'!A1196:Z1196"),Настройки!$B$13)),",","."),".",MID(1/2,2,1)),"")))</f>
        <v/>
      </c>
      <c r="H1196">
        <f>IF(F1196="",0,IF(COUNTIF(Настройки!$B$17:$B$26,F1196)&gt;0,1,IF(COUNTIF(Настройки!$C$17:$C$26,F1196)&gt;0,2,IF(COUNTIF(Настройки!$D$17:$D$26,F1196)&gt;0,3,0))))</f>
        <v/>
      </c>
      <c r="I1196">
        <f>IF(AND(ISNUMBER(A1196),ISNUMBER(B1196)),A1196*1000+B1196,"")</f>
        <v/>
      </c>
      <c r="J1196">
        <f>IF(I1196="","",IF(COUNTIF(I$2:I1196,I1196)=1,MAX(J$1:J1195)+1,""))</f>
        <v/>
      </c>
    </row>
    <row r="1197">
      <c r="A1197">
        <f>IFERROR(--SUBSTITUTE(SUBSTITUTE(TRIM(INDEX(INDIRECT("'Выгрузка'!A1197:Z1197"),Настройки!$B$7)),",","."),".",MID(1/2,2,1)),"")</f>
        <v/>
      </c>
      <c r="B1197">
        <f>IFERROR(--SUBSTITUTE(SUBSTITUTE(TRIM(INDEX(INDIRECT("'Выгрузка'!A1197:Z1197"),Настройки!$B$9)),",","."),".",MID(1/2,2,1)),"")</f>
        <v/>
      </c>
      <c r="C1197">
        <f>TRIM(INDEX(INDIRECT("'Выгрузка'!A1197:Z1197"),Настройки!$B$8)&amp;"")</f>
        <v/>
      </c>
      <c r="D1197">
        <f>IFERROR(--SUBSTITUTE(SUBSTITUTE(TRIM(INDEX(INDIRECT("'Выгрузка'!A1197:Z1197"),Настройки!$B$10)),",","."),".",MID(1/2,2,1)),"")</f>
        <v/>
      </c>
      <c r="E1197">
        <f>IFERROR(--SUBSTITUTE(SUBSTITUTE(TRIM(INDEX(INDIRECT("'Выгрузка'!A1197:Z1197"),Настройки!$B$11)),",","."),".",MID(1/2,2,1)),"")</f>
        <v/>
      </c>
      <c r="F1197">
        <f>TRIM(INDEX(INDIRECT("'Выгрузка'!A1197:Z1197"),Настройки!$B$12)&amp;"")</f>
        <v/>
      </c>
      <c r="G1197">
        <f>IF(F1197="",0,IF(TRIM(INDEX(INDIRECT("'Выгрузка'!A1197:Z1197"),Настройки!$B$13)&amp;"")="",1,IFERROR(--SUBSTITUTE(SUBSTITUTE(TRIM(INDEX(INDIRECT("'Выгрузка'!A1197:Z1197"),Настройки!$B$13)),",","."),".",MID(1/2,2,1)),"")))</f>
        <v/>
      </c>
      <c r="H1197">
        <f>IF(F1197="",0,IF(COUNTIF(Настройки!$B$17:$B$26,F1197)&gt;0,1,IF(COUNTIF(Настройки!$C$17:$C$26,F1197)&gt;0,2,IF(COUNTIF(Настройки!$D$17:$D$26,F1197)&gt;0,3,0))))</f>
        <v/>
      </c>
      <c r="I1197">
        <f>IF(AND(ISNUMBER(A1197),ISNUMBER(B1197)),A1197*1000+B1197,"")</f>
        <v/>
      </c>
      <c r="J1197">
        <f>IF(I1197="","",IF(COUNTIF(I$2:I1197,I1197)=1,MAX(J$1:J1196)+1,""))</f>
        <v/>
      </c>
    </row>
    <row r="1198">
      <c r="A1198">
        <f>IFERROR(--SUBSTITUTE(SUBSTITUTE(TRIM(INDEX(INDIRECT("'Выгрузка'!A1198:Z1198"),Настройки!$B$7)),",","."),".",MID(1/2,2,1)),"")</f>
        <v/>
      </c>
      <c r="B1198">
        <f>IFERROR(--SUBSTITUTE(SUBSTITUTE(TRIM(INDEX(INDIRECT("'Выгрузка'!A1198:Z1198"),Настройки!$B$9)),",","."),".",MID(1/2,2,1)),"")</f>
        <v/>
      </c>
      <c r="C1198">
        <f>TRIM(INDEX(INDIRECT("'Выгрузка'!A1198:Z1198"),Настройки!$B$8)&amp;"")</f>
        <v/>
      </c>
      <c r="D1198">
        <f>IFERROR(--SUBSTITUTE(SUBSTITUTE(TRIM(INDEX(INDIRECT("'Выгрузка'!A1198:Z1198"),Настройки!$B$10)),",","."),".",MID(1/2,2,1)),"")</f>
        <v/>
      </c>
      <c r="E1198">
        <f>IFERROR(--SUBSTITUTE(SUBSTITUTE(TRIM(INDEX(INDIRECT("'Выгрузка'!A1198:Z1198"),Настройки!$B$11)),",","."),".",MID(1/2,2,1)),"")</f>
        <v/>
      </c>
      <c r="F1198">
        <f>TRIM(INDEX(INDIRECT("'Выгрузка'!A1198:Z1198"),Настройки!$B$12)&amp;"")</f>
        <v/>
      </c>
      <c r="G1198">
        <f>IF(F1198="",0,IF(TRIM(INDEX(INDIRECT("'Выгрузка'!A1198:Z1198"),Настройки!$B$13)&amp;"")="",1,IFERROR(--SUBSTITUTE(SUBSTITUTE(TRIM(INDEX(INDIRECT("'Выгрузка'!A1198:Z1198"),Настройки!$B$13)),",","."),".",MID(1/2,2,1)),"")))</f>
        <v/>
      </c>
      <c r="H1198">
        <f>IF(F1198="",0,IF(COUNTIF(Настройки!$B$17:$B$26,F1198)&gt;0,1,IF(COUNTIF(Настройки!$C$17:$C$26,F1198)&gt;0,2,IF(COUNTIF(Настройки!$D$17:$D$26,F1198)&gt;0,3,0))))</f>
        <v/>
      </c>
      <c r="I1198">
        <f>IF(AND(ISNUMBER(A1198),ISNUMBER(B1198)),A1198*1000+B1198,"")</f>
        <v/>
      </c>
      <c r="J1198">
        <f>IF(I1198="","",IF(COUNTIF(I$2:I1198,I1198)=1,MAX(J$1:J1197)+1,""))</f>
        <v/>
      </c>
    </row>
    <row r="1199">
      <c r="A1199">
        <f>IFERROR(--SUBSTITUTE(SUBSTITUTE(TRIM(INDEX(INDIRECT("'Выгрузка'!A1199:Z1199"),Настройки!$B$7)),",","."),".",MID(1/2,2,1)),"")</f>
        <v/>
      </c>
      <c r="B1199">
        <f>IFERROR(--SUBSTITUTE(SUBSTITUTE(TRIM(INDEX(INDIRECT("'Выгрузка'!A1199:Z1199"),Настройки!$B$9)),",","."),".",MID(1/2,2,1)),"")</f>
        <v/>
      </c>
      <c r="C1199">
        <f>TRIM(INDEX(INDIRECT("'Выгрузка'!A1199:Z1199"),Настройки!$B$8)&amp;"")</f>
        <v/>
      </c>
      <c r="D1199">
        <f>IFERROR(--SUBSTITUTE(SUBSTITUTE(TRIM(INDEX(INDIRECT("'Выгрузка'!A1199:Z1199"),Настройки!$B$10)),",","."),".",MID(1/2,2,1)),"")</f>
        <v/>
      </c>
      <c r="E1199">
        <f>IFERROR(--SUBSTITUTE(SUBSTITUTE(TRIM(INDEX(INDIRECT("'Выгрузка'!A1199:Z1199"),Настройки!$B$11)),",","."),".",MID(1/2,2,1)),"")</f>
        <v/>
      </c>
      <c r="F1199">
        <f>TRIM(INDEX(INDIRECT("'Выгрузка'!A1199:Z1199"),Настройки!$B$12)&amp;"")</f>
        <v/>
      </c>
      <c r="G1199">
        <f>IF(F1199="",0,IF(TRIM(INDEX(INDIRECT("'Выгрузка'!A1199:Z1199"),Настройки!$B$13)&amp;"")="",1,IFERROR(--SUBSTITUTE(SUBSTITUTE(TRIM(INDEX(INDIRECT("'Выгрузка'!A1199:Z1199"),Настройки!$B$13)),",","."),".",MID(1/2,2,1)),"")))</f>
        <v/>
      </c>
      <c r="H1199">
        <f>IF(F1199="",0,IF(COUNTIF(Настройки!$B$17:$B$26,F1199)&gt;0,1,IF(COUNTIF(Настройки!$C$17:$C$26,F1199)&gt;0,2,IF(COUNTIF(Настройки!$D$17:$D$26,F1199)&gt;0,3,0))))</f>
        <v/>
      </c>
      <c r="I1199">
        <f>IF(AND(ISNUMBER(A1199),ISNUMBER(B1199)),A1199*1000+B1199,"")</f>
        <v/>
      </c>
      <c r="J1199">
        <f>IF(I1199="","",IF(COUNTIF(I$2:I1199,I1199)=1,MAX(J$1:J1198)+1,""))</f>
        <v/>
      </c>
    </row>
    <row r="1200">
      <c r="A1200">
        <f>IFERROR(--SUBSTITUTE(SUBSTITUTE(TRIM(INDEX(INDIRECT("'Выгрузка'!A1200:Z1200"),Настройки!$B$7)),",","."),".",MID(1/2,2,1)),"")</f>
        <v/>
      </c>
      <c r="B1200">
        <f>IFERROR(--SUBSTITUTE(SUBSTITUTE(TRIM(INDEX(INDIRECT("'Выгрузка'!A1200:Z1200"),Настройки!$B$9)),",","."),".",MID(1/2,2,1)),"")</f>
        <v/>
      </c>
      <c r="C1200">
        <f>TRIM(INDEX(INDIRECT("'Выгрузка'!A1200:Z1200"),Настройки!$B$8)&amp;"")</f>
        <v/>
      </c>
      <c r="D1200">
        <f>IFERROR(--SUBSTITUTE(SUBSTITUTE(TRIM(INDEX(INDIRECT("'Выгрузка'!A1200:Z1200"),Настройки!$B$10)),",","."),".",MID(1/2,2,1)),"")</f>
        <v/>
      </c>
      <c r="E1200">
        <f>IFERROR(--SUBSTITUTE(SUBSTITUTE(TRIM(INDEX(INDIRECT("'Выгрузка'!A1200:Z1200"),Настройки!$B$11)),",","."),".",MID(1/2,2,1)),"")</f>
        <v/>
      </c>
      <c r="F1200">
        <f>TRIM(INDEX(INDIRECT("'Выгрузка'!A1200:Z1200"),Настройки!$B$12)&amp;"")</f>
        <v/>
      </c>
      <c r="G1200">
        <f>IF(F1200="",0,IF(TRIM(INDEX(INDIRECT("'Выгрузка'!A1200:Z1200"),Настройки!$B$13)&amp;"")="",1,IFERROR(--SUBSTITUTE(SUBSTITUTE(TRIM(INDEX(INDIRECT("'Выгрузка'!A1200:Z1200"),Настройки!$B$13)),",","."),".",MID(1/2,2,1)),"")))</f>
        <v/>
      </c>
      <c r="H1200">
        <f>IF(F1200="",0,IF(COUNTIF(Настройки!$B$17:$B$26,F1200)&gt;0,1,IF(COUNTIF(Настройки!$C$17:$C$26,F1200)&gt;0,2,IF(COUNTIF(Настройки!$D$17:$D$26,F1200)&gt;0,3,0))))</f>
        <v/>
      </c>
      <c r="I1200">
        <f>IF(AND(ISNUMBER(A1200),ISNUMBER(B1200)),A1200*1000+B1200,"")</f>
        <v/>
      </c>
      <c r="J1200">
        <f>IF(I1200="","",IF(COUNTIF(I$2:I1200,I1200)=1,MAX(J$1:J1199)+1,""))</f>
        <v/>
      </c>
    </row>
    <row r="1201">
      <c r="A1201">
        <f>IFERROR(--SUBSTITUTE(SUBSTITUTE(TRIM(INDEX(INDIRECT("'Выгрузка'!A1201:Z1201"),Настройки!$B$7)),",","."),".",MID(1/2,2,1)),"")</f>
        <v/>
      </c>
      <c r="B1201">
        <f>IFERROR(--SUBSTITUTE(SUBSTITUTE(TRIM(INDEX(INDIRECT("'Выгрузка'!A1201:Z1201"),Настройки!$B$9)),",","."),".",MID(1/2,2,1)),"")</f>
        <v/>
      </c>
      <c r="C1201">
        <f>TRIM(INDEX(INDIRECT("'Выгрузка'!A1201:Z1201"),Настройки!$B$8)&amp;"")</f>
        <v/>
      </c>
      <c r="D1201">
        <f>IFERROR(--SUBSTITUTE(SUBSTITUTE(TRIM(INDEX(INDIRECT("'Выгрузка'!A1201:Z1201"),Настройки!$B$10)),",","."),".",MID(1/2,2,1)),"")</f>
        <v/>
      </c>
      <c r="E1201">
        <f>IFERROR(--SUBSTITUTE(SUBSTITUTE(TRIM(INDEX(INDIRECT("'Выгрузка'!A1201:Z1201"),Настройки!$B$11)),",","."),".",MID(1/2,2,1)),"")</f>
        <v/>
      </c>
      <c r="F1201">
        <f>TRIM(INDEX(INDIRECT("'Выгрузка'!A1201:Z1201"),Настройки!$B$12)&amp;"")</f>
        <v/>
      </c>
      <c r="G1201">
        <f>IF(F1201="",0,IF(TRIM(INDEX(INDIRECT("'Выгрузка'!A1201:Z1201"),Настройки!$B$13)&amp;"")="",1,IFERROR(--SUBSTITUTE(SUBSTITUTE(TRIM(INDEX(INDIRECT("'Выгрузка'!A1201:Z1201"),Настройки!$B$13)),",","."),".",MID(1/2,2,1)),"")))</f>
        <v/>
      </c>
      <c r="H1201">
        <f>IF(F1201="",0,IF(COUNTIF(Настройки!$B$17:$B$26,F1201)&gt;0,1,IF(COUNTIF(Настройки!$C$17:$C$26,F1201)&gt;0,2,IF(COUNTIF(Настройки!$D$17:$D$26,F1201)&gt;0,3,0))))</f>
        <v/>
      </c>
      <c r="I1201">
        <f>IF(AND(ISNUMBER(A1201),ISNUMBER(B1201)),A1201*1000+B1201,"")</f>
        <v/>
      </c>
      <c r="J1201">
        <f>IF(I1201="","",IF(COUNTIF(I$2:I1201,I1201)=1,MAX(J$1:J1200)+1,""))</f>
        <v/>
      </c>
    </row>
    <row r="1202">
      <c r="A1202">
        <f>IFERROR(--SUBSTITUTE(SUBSTITUTE(TRIM(INDEX(INDIRECT("'Выгрузка'!A1202:Z1202"),Настройки!$B$7)),",","."),".",MID(1/2,2,1)),"")</f>
        <v/>
      </c>
      <c r="B1202">
        <f>IFERROR(--SUBSTITUTE(SUBSTITUTE(TRIM(INDEX(INDIRECT("'Выгрузка'!A1202:Z1202"),Настройки!$B$9)),",","."),".",MID(1/2,2,1)),"")</f>
        <v/>
      </c>
      <c r="C1202">
        <f>TRIM(INDEX(INDIRECT("'Выгрузка'!A1202:Z1202"),Настройки!$B$8)&amp;"")</f>
        <v/>
      </c>
      <c r="D1202">
        <f>IFERROR(--SUBSTITUTE(SUBSTITUTE(TRIM(INDEX(INDIRECT("'Выгрузка'!A1202:Z1202"),Настройки!$B$10)),",","."),".",MID(1/2,2,1)),"")</f>
        <v/>
      </c>
      <c r="E1202">
        <f>IFERROR(--SUBSTITUTE(SUBSTITUTE(TRIM(INDEX(INDIRECT("'Выгрузка'!A1202:Z1202"),Настройки!$B$11)),",","."),".",MID(1/2,2,1)),"")</f>
        <v/>
      </c>
      <c r="F1202">
        <f>TRIM(INDEX(INDIRECT("'Выгрузка'!A1202:Z1202"),Настройки!$B$12)&amp;"")</f>
        <v/>
      </c>
      <c r="G1202">
        <f>IF(F1202="",0,IF(TRIM(INDEX(INDIRECT("'Выгрузка'!A1202:Z1202"),Настройки!$B$13)&amp;"")="",1,IFERROR(--SUBSTITUTE(SUBSTITUTE(TRIM(INDEX(INDIRECT("'Выгрузка'!A1202:Z1202"),Настройки!$B$13)),",","."),".",MID(1/2,2,1)),"")))</f>
        <v/>
      </c>
      <c r="H1202">
        <f>IF(F1202="",0,IF(COUNTIF(Настройки!$B$17:$B$26,F1202)&gt;0,1,IF(COUNTIF(Настройки!$C$17:$C$26,F1202)&gt;0,2,IF(COUNTIF(Настройки!$D$17:$D$26,F1202)&gt;0,3,0))))</f>
        <v/>
      </c>
      <c r="I1202">
        <f>IF(AND(ISNUMBER(A1202),ISNUMBER(B1202)),A1202*1000+B1202,"")</f>
        <v/>
      </c>
      <c r="J1202">
        <f>IF(I1202="","",IF(COUNTIF(I$2:I1202,I1202)=1,MAX(J$1:J1201)+1,""))</f>
        <v/>
      </c>
    </row>
    <row r="1203">
      <c r="A1203">
        <f>IFERROR(--SUBSTITUTE(SUBSTITUTE(TRIM(INDEX(INDIRECT("'Выгрузка'!A1203:Z1203"),Настройки!$B$7)),",","."),".",MID(1/2,2,1)),"")</f>
        <v/>
      </c>
      <c r="B1203">
        <f>IFERROR(--SUBSTITUTE(SUBSTITUTE(TRIM(INDEX(INDIRECT("'Выгрузка'!A1203:Z1203"),Настройки!$B$9)),",","."),".",MID(1/2,2,1)),"")</f>
        <v/>
      </c>
      <c r="C1203">
        <f>TRIM(INDEX(INDIRECT("'Выгрузка'!A1203:Z1203"),Настройки!$B$8)&amp;"")</f>
        <v/>
      </c>
      <c r="D1203">
        <f>IFERROR(--SUBSTITUTE(SUBSTITUTE(TRIM(INDEX(INDIRECT("'Выгрузка'!A1203:Z1203"),Настройки!$B$10)),",","."),".",MID(1/2,2,1)),"")</f>
        <v/>
      </c>
      <c r="E1203">
        <f>IFERROR(--SUBSTITUTE(SUBSTITUTE(TRIM(INDEX(INDIRECT("'Выгрузка'!A1203:Z1203"),Настройки!$B$11)),",","."),".",MID(1/2,2,1)),"")</f>
        <v/>
      </c>
      <c r="F1203">
        <f>TRIM(INDEX(INDIRECT("'Выгрузка'!A1203:Z1203"),Настройки!$B$12)&amp;"")</f>
        <v/>
      </c>
      <c r="G1203">
        <f>IF(F1203="",0,IF(TRIM(INDEX(INDIRECT("'Выгрузка'!A1203:Z1203"),Настройки!$B$13)&amp;"")="",1,IFERROR(--SUBSTITUTE(SUBSTITUTE(TRIM(INDEX(INDIRECT("'Выгрузка'!A1203:Z1203"),Настройки!$B$13)),",","."),".",MID(1/2,2,1)),"")))</f>
        <v/>
      </c>
      <c r="H1203">
        <f>IF(F1203="",0,IF(COUNTIF(Настройки!$B$17:$B$26,F1203)&gt;0,1,IF(COUNTIF(Настройки!$C$17:$C$26,F1203)&gt;0,2,IF(COUNTIF(Настройки!$D$17:$D$26,F1203)&gt;0,3,0))))</f>
        <v/>
      </c>
      <c r="I1203">
        <f>IF(AND(ISNUMBER(A1203),ISNUMBER(B1203)),A1203*1000+B1203,"")</f>
        <v/>
      </c>
      <c r="J1203">
        <f>IF(I1203="","",IF(COUNTIF(I$2:I1203,I1203)=1,MAX(J$1:J1202)+1,""))</f>
        <v/>
      </c>
    </row>
    <row r="1204">
      <c r="A1204">
        <f>IFERROR(--SUBSTITUTE(SUBSTITUTE(TRIM(INDEX(INDIRECT("'Выгрузка'!A1204:Z1204"),Настройки!$B$7)),",","."),".",MID(1/2,2,1)),"")</f>
        <v/>
      </c>
      <c r="B1204">
        <f>IFERROR(--SUBSTITUTE(SUBSTITUTE(TRIM(INDEX(INDIRECT("'Выгрузка'!A1204:Z1204"),Настройки!$B$9)),",","."),".",MID(1/2,2,1)),"")</f>
        <v/>
      </c>
      <c r="C1204">
        <f>TRIM(INDEX(INDIRECT("'Выгрузка'!A1204:Z1204"),Настройки!$B$8)&amp;"")</f>
        <v/>
      </c>
      <c r="D1204">
        <f>IFERROR(--SUBSTITUTE(SUBSTITUTE(TRIM(INDEX(INDIRECT("'Выгрузка'!A1204:Z1204"),Настройки!$B$10)),",","."),".",MID(1/2,2,1)),"")</f>
        <v/>
      </c>
      <c r="E1204">
        <f>IFERROR(--SUBSTITUTE(SUBSTITUTE(TRIM(INDEX(INDIRECT("'Выгрузка'!A1204:Z1204"),Настройки!$B$11)),",","."),".",MID(1/2,2,1)),"")</f>
        <v/>
      </c>
      <c r="F1204">
        <f>TRIM(INDEX(INDIRECT("'Выгрузка'!A1204:Z1204"),Настройки!$B$12)&amp;"")</f>
        <v/>
      </c>
      <c r="G1204">
        <f>IF(F1204="",0,IF(TRIM(INDEX(INDIRECT("'Выгрузка'!A1204:Z1204"),Настройки!$B$13)&amp;"")="",1,IFERROR(--SUBSTITUTE(SUBSTITUTE(TRIM(INDEX(INDIRECT("'Выгрузка'!A1204:Z1204"),Настройки!$B$13)),",","."),".",MID(1/2,2,1)),"")))</f>
        <v/>
      </c>
      <c r="H1204">
        <f>IF(F1204="",0,IF(COUNTIF(Настройки!$B$17:$B$26,F1204)&gt;0,1,IF(COUNTIF(Настройки!$C$17:$C$26,F1204)&gt;0,2,IF(COUNTIF(Настройки!$D$17:$D$26,F1204)&gt;0,3,0))))</f>
        <v/>
      </c>
      <c r="I1204">
        <f>IF(AND(ISNUMBER(A1204),ISNUMBER(B1204)),A1204*1000+B1204,"")</f>
        <v/>
      </c>
      <c r="J1204">
        <f>IF(I1204="","",IF(COUNTIF(I$2:I1204,I1204)=1,MAX(J$1:J1203)+1,""))</f>
        <v/>
      </c>
    </row>
    <row r="1205">
      <c r="A1205">
        <f>IFERROR(--SUBSTITUTE(SUBSTITUTE(TRIM(INDEX(INDIRECT("'Выгрузка'!A1205:Z1205"),Настройки!$B$7)),",","."),".",MID(1/2,2,1)),"")</f>
        <v/>
      </c>
      <c r="B1205">
        <f>IFERROR(--SUBSTITUTE(SUBSTITUTE(TRIM(INDEX(INDIRECT("'Выгрузка'!A1205:Z1205"),Настройки!$B$9)),",","."),".",MID(1/2,2,1)),"")</f>
        <v/>
      </c>
      <c r="C1205">
        <f>TRIM(INDEX(INDIRECT("'Выгрузка'!A1205:Z1205"),Настройки!$B$8)&amp;"")</f>
        <v/>
      </c>
      <c r="D1205">
        <f>IFERROR(--SUBSTITUTE(SUBSTITUTE(TRIM(INDEX(INDIRECT("'Выгрузка'!A1205:Z1205"),Настройки!$B$10)),",","."),".",MID(1/2,2,1)),"")</f>
        <v/>
      </c>
      <c r="E1205">
        <f>IFERROR(--SUBSTITUTE(SUBSTITUTE(TRIM(INDEX(INDIRECT("'Выгрузка'!A1205:Z1205"),Настройки!$B$11)),",","."),".",MID(1/2,2,1)),"")</f>
        <v/>
      </c>
      <c r="F1205">
        <f>TRIM(INDEX(INDIRECT("'Выгрузка'!A1205:Z1205"),Настройки!$B$12)&amp;"")</f>
        <v/>
      </c>
      <c r="G1205">
        <f>IF(F1205="",0,IF(TRIM(INDEX(INDIRECT("'Выгрузка'!A1205:Z1205"),Настройки!$B$13)&amp;"")="",1,IFERROR(--SUBSTITUTE(SUBSTITUTE(TRIM(INDEX(INDIRECT("'Выгрузка'!A1205:Z1205"),Настройки!$B$13)),",","."),".",MID(1/2,2,1)),"")))</f>
        <v/>
      </c>
      <c r="H1205">
        <f>IF(F1205="",0,IF(COUNTIF(Настройки!$B$17:$B$26,F1205)&gt;0,1,IF(COUNTIF(Настройки!$C$17:$C$26,F1205)&gt;0,2,IF(COUNTIF(Настройки!$D$17:$D$26,F1205)&gt;0,3,0))))</f>
        <v/>
      </c>
      <c r="I1205">
        <f>IF(AND(ISNUMBER(A1205),ISNUMBER(B1205)),A1205*1000+B1205,"")</f>
        <v/>
      </c>
      <c r="J1205">
        <f>IF(I1205="","",IF(COUNTIF(I$2:I1205,I1205)=1,MAX(J$1:J1204)+1,""))</f>
        <v/>
      </c>
    </row>
    <row r="1206">
      <c r="A1206">
        <f>IFERROR(--SUBSTITUTE(SUBSTITUTE(TRIM(INDEX(INDIRECT("'Выгрузка'!A1206:Z1206"),Настройки!$B$7)),",","."),".",MID(1/2,2,1)),"")</f>
        <v/>
      </c>
      <c r="B1206">
        <f>IFERROR(--SUBSTITUTE(SUBSTITUTE(TRIM(INDEX(INDIRECT("'Выгрузка'!A1206:Z1206"),Настройки!$B$9)),",","."),".",MID(1/2,2,1)),"")</f>
        <v/>
      </c>
      <c r="C1206">
        <f>TRIM(INDEX(INDIRECT("'Выгрузка'!A1206:Z1206"),Настройки!$B$8)&amp;"")</f>
        <v/>
      </c>
      <c r="D1206">
        <f>IFERROR(--SUBSTITUTE(SUBSTITUTE(TRIM(INDEX(INDIRECT("'Выгрузка'!A1206:Z1206"),Настройки!$B$10)),",","."),".",MID(1/2,2,1)),"")</f>
        <v/>
      </c>
      <c r="E1206">
        <f>IFERROR(--SUBSTITUTE(SUBSTITUTE(TRIM(INDEX(INDIRECT("'Выгрузка'!A1206:Z1206"),Настройки!$B$11)),",","."),".",MID(1/2,2,1)),"")</f>
        <v/>
      </c>
      <c r="F1206">
        <f>TRIM(INDEX(INDIRECT("'Выгрузка'!A1206:Z1206"),Настройки!$B$12)&amp;"")</f>
        <v/>
      </c>
      <c r="G1206">
        <f>IF(F1206="",0,IF(TRIM(INDEX(INDIRECT("'Выгрузка'!A1206:Z1206"),Настройки!$B$13)&amp;"")="",1,IFERROR(--SUBSTITUTE(SUBSTITUTE(TRIM(INDEX(INDIRECT("'Выгрузка'!A1206:Z1206"),Настройки!$B$13)),",","."),".",MID(1/2,2,1)),"")))</f>
        <v/>
      </c>
      <c r="H1206">
        <f>IF(F1206="",0,IF(COUNTIF(Настройки!$B$17:$B$26,F1206)&gt;0,1,IF(COUNTIF(Настройки!$C$17:$C$26,F1206)&gt;0,2,IF(COUNTIF(Настройки!$D$17:$D$26,F1206)&gt;0,3,0))))</f>
        <v/>
      </c>
      <c r="I1206">
        <f>IF(AND(ISNUMBER(A1206),ISNUMBER(B1206)),A1206*1000+B1206,"")</f>
        <v/>
      </c>
      <c r="J1206">
        <f>IF(I1206="","",IF(COUNTIF(I$2:I1206,I1206)=1,MAX(J$1:J1205)+1,""))</f>
        <v/>
      </c>
    </row>
    <row r="1207">
      <c r="A1207">
        <f>IFERROR(--SUBSTITUTE(SUBSTITUTE(TRIM(INDEX(INDIRECT("'Выгрузка'!A1207:Z1207"),Настройки!$B$7)),",","."),".",MID(1/2,2,1)),"")</f>
        <v/>
      </c>
      <c r="B1207">
        <f>IFERROR(--SUBSTITUTE(SUBSTITUTE(TRIM(INDEX(INDIRECT("'Выгрузка'!A1207:Z1207"),Настройки!$B$9)),",","."),".",MID(1/2,2,1)),"")</f>
        <v/>
      </c>
      <c r="C1207">
        <f>TRIM(INDEX(INDIRECT("'Выгрузка'!A1207:Z1207"),Настройки!$B$8)&amp;"")</f>
        <v/>
      </c>
      <c r="D1207">
        <f>IFERROR(--SUBSTITUTE(SUBSTITUTE(TRIM(INDEX(INDIRECT("'Выгрузка'!A1207:Z1207"),Настройки!$B$10)),",","."),".",MID(1/2,2,1)),"")</f>
        <v/>
      </c>
      <c r="E1207">
        <f>IFERROR(--SUBSTITUTE(SUBSTITUTE(TRIM(INDEX(INDIRECT("'Выгрузка'!A1207:Z1207"),Настройки!$B$11)),",","."),".",MID(1/2,2,1)),"")</f>
        <v/>
      </c>
      <c r="F1207">
        <f>TRIM(INDEX(INDIRECT("'Выгрузка'!A1207:Z1207"),Настройки!$B$12)&amp;"")</f>
        <v/>
      </c>
      <c r="G1207">
        <f>IF(F1207="",0,IF(TRIM(INDEX(INDIRECT("'Выгрузка'!A1207:Z1207"),Настройки!$B$13)&amp;"")="",1,IFERROR(--SUBSTITUTE(SUBSTITUTE(TRIM(INDEX(INDIRECT("'Выгрузка'!A1207:Z1207"),Настройки!$B$13)),",","."),".",MID(1/2,2,1)),"")))</f>
        <v/>
      </c>
      <c r="H1207">
        <f>IF(F1207="",0,IF(COUNTIF(Настройки!$B$17:$B$26,F1207)&gt;0,1,IF(COUNTIF(Настройки!$C$17:$C$26,F1207)&gt;0,2,IF(COUNTIF(Настройки!$D$17:$D$26,F1207)&gt;0,3,0))))</f>
        <v/>
      </c>
      <c r="I1207">
        <f>IF(AND(ISNUMBER(A1207),ISNUMBER(B1207)),A1207*1000+B1207,"")</f>
        <v/>
      </c>
      <c r="J1207">
        <f>IF(I1207="","",IF(COUNTIF(I$2:I1207,I1207)=1,MAX(J$1:J1206)+1,""))</f>
        <v/>
      </c>
    </row>
    <row r="1208">
      <c r="A1208">
        <f>IFERROR(--SUBSTITUTE(SUBSTITUTE(TRIM(INDEX(INDIRECT("'Выгрузка'!A1208:Z1208"),Настройки!$B$7)),",","."),".",MID(1/2,2,1)),"")</f>
        <v/>
      </c>
      <c r="B1208">
        <f>IFERROR(--SUBSTITUTE(SUBSTITUTE(TRIM(INDEX(INDIRECT("'Выгрузка'!A1208:Z1208"),Настройки!$B$9)),",","."),".",MID(1/2,2,1)),"")</f>
        <v/>
      </c>
      <c r="C1208">
        <f>TRIM(INDEX(INDIRECT("'Выгрузка'!A1208:Z1208"),Настройки!$B$8)&amp;"")</f>
        <v/>
      </c>
      <c r="D1208">
        <f>IFERROR(--SUBSTITUTE(SUBSTITUTE(TRIM(INDEX(INDIRECT("'Выгрузка'!A1208:Z1208"),Настройки!$B$10)),",","."),".",MID(1/2,2,1)),"")</f>
        <v/>
      </c>
      <c r="E1208">
        <f>IFERROR(--SUBSTITUTE(SUBSTITUTE(TRIM(INDEX(INDIRECT("'Выгрузка'!A1208:Z1208"),Настройки!$B$11)),",","."),".",MID(1/2,2,1)),"")</f>
        <v/>
      </c>
      <c r="F1208">
        <f>TRIM(INDEX(INDIRECT("'Выгрузка'!A1208:Z1208"),Настройки!$B$12)&amp;"")</f>
        <v/>
      </c>
      <c r="G1208">
        <f>IF(F1208="",0,IF(TRIM(INDEX(INDIRECT("'Выгрузка'!A1208:Z1208"),Настройки!$B$13)&amp;"")="",1,IFERROR(--SUBSTITUTE(SUBSTITUTE(TRIM(INDEX(INDIRECT("'Выгрузка'!A1208:Z1208"),Настройки!$B$13)),",","."),".",MID(1/2,2,1)),"")))</f>
        <v/>
      </c>
      <c r="H1208">
        <f>IF(F1208="",0,IF(COUNTIF(Настройки!$B$17:$B$26,F1208)&gt;0,1,IF(COUNTIF(Настройки!$C$17:$C$26,F1208)&gt;0,2,IF(COUNTIF(Настройки!$D$17:$D$26,F1208)&gt;0,3,0))))</f>
        <v/>
      </c>
      <c r="I1208">
        <f>IF(AND(ISNUMBER(A1208),ISNUMBER(B1208)),A1208*1000+B1208,"")</f>
        <v/>
      </c>
      <c r="J1208">
        <f>IF(I1208="","",IF(COUNTIF(I$2:I1208,I1208)=1,MAX(J$1:J1207)+1,""))</f>
        <v/>
      </c>
    </row>
    <row r="1209">
      <c r="A1209">
        <f>IFERROR(--SUBSTITUTE(SUBSTITUTE(TRIM(INDEX(INDIRECT("'Выгрузка'!A1209:Z1209"),Настройки!$B$7)),",","."),".",MID(1/2,2,1)),"")</f>
        <v/>
      </c>
      <c r="B1209">
        <f>IFERROR(--SUBSTITUTE(SUBSTITUTE(TRIM(INDEX(INDIRECT("'Выгрузка'!A1209:Z1209"),Настройки!$B$9)),",","."),".",MID(1/2,2,1)),"")</f>
        <v/>
      </c>
      <c r="C1209">
        <f>TRIM(INDEX(INDIRECT("'Выгрузка'!A1209:Z1209"),Настройки!$B$8)&amp;"")</f>
        <v/>
      </c>
      <c r="D1209">
        <f>IFERROR(--SUBSTITUTE(SUBSTITUTE(TRIM(INDEX(INDIRECT("'Выгрузка'!A1209:Z1209"),Настройки!$B$10)),",","."),".",MID(1/2,2,1)),"")</f>
        <v/>
      </c>
      <c r="E1209">
        <f>IFERROR(--SUBSTITUTE(SUBSTITUTE(TRIM(INDEX(INDIRECT("'Выгрузка'!A1209:Z1209"),Настройки!$B$11)),",","."),".",MID(1/2,2,1)),"")</f>
        <v/>
      </c>
      <c r="F1209">
        <f>TRIM(INDEX(INDIRECT("'Выгрузка'!A1209:Z1209"),Настройки!$B$12)&amp;"")</f>
        <v/>
      </c>
      <c r="G1209">
        <f>IF(F1209="",0,IF(TRIM(INDEX(INDIRECT("'Выгрузка'!A1209:Z1209"),Настройки!$B$13)&amp;"")="",1,IFERROR(--SUBSTITUTE(SUBSTITUTE(TRIM(INDEX(INDIRECT("'Выгрузка'!A1209:Z1209"),Настройки!$B$13)),",","."),".",MID(1/2,2,1)),"")))</f>
        <v/>
      </c>
      <c r="H1209">
        <f>IF(F1209="",0,IF(COUNTIF(Настройки!$B$17:$B$26,F1209)&gt;0,1,IF(COUNTIF(Настройки!$C$17:$C$26,F1209)&gt;0,2,IF(COUNTIF(Настройки!$D$17:$D$26,F1209)&gt;0,3,0))))</f>
        <v/>
      </c>
      <c r="I1209">
        <f>IF(AND(ISNUMBER(A1209),ISNUMBER(B1209)),A1209*1000+B1209,"")</f>
        <v/>
      </c>
      <c r="J1209">
        <f>IF(I1209="","",IF(COUNTIF(I$2:I1209,I1209)=1,MAX(J$1:J1208)+1,""))</f>
        <v/>
      </c>
    </row>
    <row r="1210">
      <c r="A1210">
        <f>IFERROR(--SUBSTITUTE(SUBSTITUTE(TRIM(INDEX(INDIRECT("'Выгрузка'!A1210:Z1210"),Настройки!$B$7)),",","."),".",MID(1/2,2,1)),"")</f>
        <v/>
      </c>
      <c r="B1210">
        <f>IFERROR(--SUBSTITUTE(SUBSTITUTE(TRIM(INDEX(INDIRECT("'Выгрузка'!A1210:Z1210"),Настройки!$B$9)),",","."),".",MID(1/2,2,1)),"")</f>
        <v/>
      </c>
      <c r="C1210">
        <f>TRIM(INDEX(INDIRECT("'Выгрузка'!A1210:Z1210"),Настройки!$B$8)&amp;"")</f>
        <v/>
      </c>
      <c r="D1210">
        <f>IFERROR(--SUBSTITUTE(SUBSTITUTE(TRIM(INDEX(INDIRECT("'Выгрузка'!A1210:Z1210"),Настройки!$B$10)),",","."),".",MID(1/2,2,1)),"")</f>
        <v/>
      </c>
      <c r="E1210">
        <f>IFERROR(--SUBSTITUTE(SUBSTITUTE(TRIM(INDEX(INDIRECT("'Выгрузка'!A1210:Z1210"),Настройки!$B$11)),",","."),".",MID(1/2,2,1)),"")</f>
        <v/>
      </c>
      <c r="F1210">
        <f>TRIM(INDEX(INDIRECT("'Выгрузка'!A1210:Z1210"),Настройки!$B$12)&amp;"")</f>
        <v/>
      </c>
      <c r="G1210">
        <f>IF(F1210="",0,IF(TRIM(INDEX(INDIRECT("'Выгрузка'!A1210:Z1210"),Настройки!$B$13)&amp;"")="",1,IFERROR(--SUBSTITUTE(SUBSTITUTE(TRIM(INDEX(INDIRECT("'Выгрузка'!A1210:Z1210"),Настройки!$B$13)),",","."),".",MID(1/2,2,1)),"")))</f>
        <v/>
      </c>
      <c r="H1210">
        <f>IF(F1210="",0,IF(COUNTIF(Настройки!$B$17:$B$26,F1210)&gt;0,1,IF(COUNTIF(Настройки!$C$17:$C$26,F1210)&gt;0,2,IF(COUNTIF(Настройки!$D$17:$D$26,F1210)&gt;0,3,0))))</f>
        <v/>
      </c>
      <c r="I1210">
        <f>IF(AND(ISNUMBER(A1210),ISNUMBER(B1210)),A1210*1000+B1210,"")</f>
        <v/>
      </c>
      <c r="J1210">
        <f>IF(I1210="","",IF(COUNTIF(I$2:I1210,I1210)=1,MAX(J$1:J1209)+1,""))</f>
        <v/>
      </c>
    </row>
    <row r="1211">
      <c r="A1211">
        <f>IFERROR(--SUBSTITUTE(SUBSTITUTE(TRIM(INDEX(INDIRECT("'Выгрузка'!A1211:Z1211"),Настройки!$B$7)),",","."),".",MID(1/2,2,1)),"")</f>
        <v/>
      </c>
      <c r="B1211">
        <f>IFERROR(--SUBSTITUTE(SUBSTITUTE(TRIM(INDEX(INDIRECT("'Выгрузка'!A1211:Z1211"),Настройки!$B$9)),",","."),".",MID(1/2,2,1)),"")</f>
        <v/>
      </c>
      <c r="C1211">
        <f>TRIM(INDEX(INDIRECT("'Выгрузка'!A1211:Z1211"),Настройки!$B$8)&amp;"")</f>
        <v/>
      </c>
      <c r="D1211">
        <f>IFERROR(--SUBSTITUTE(SUBSTITUTE(TRIM(INDEX(INDIRECT("'Выгрузка'!A1211:Z1211"),Настройки!$B$10)),",","."),".",MID(1/2,2,1)),"")</f>
        <v/>
      </c>
      <c r="E1211">
        <f>IFERROR(--SUBSTITUTE(SUBSTITUTE(TRIM(INDEX(INDIRECT("'Выгрузка'!A1211:Z1211"),Настройки!$B$11)),",","."),".",MID(1/2,2,1)),"")</f>
        <v/>
      </c>
      <c r="F1211">
        <f>TRIM(INDEX(INDIRECT("'Выгрузка'!A1211:Z1211"),Настройки!$B$12)&amp;"")</f>
        <v/>
      </c>
      <c r="G1211">
        <f>IF(F1211="",0,IF(TRIM(INDEX(INDIRECT("'Выгрузка'!A1211:Z1211"),Настройки!$B$13)&amp;"")="",1,IFERROR(--SUBSTITUTE(SUBSTITUTE(TRIM(INDEX(INDIRECT("'Выгрузка'!A1211:Z1211"),Настройки!$B$13)),",","."),".",MID(1/2,2,1)),"")))</f>
        <v/>
      </c>
      <c r="H1211">
        <f>IF(F1211="",0,IF(COUNTIF(Настройки!$B$17:$B$26,F1211)&gt;0,1,IF(COUNTIF(Настройки!$C$17:$C$26,F1211)&gt;0,2,IF(COUNTIF(Настройки!$D$17:$D$26,F1211)&gt;0,3,0))))</f>
        <v/>
      </c>
      <c r="I1211">
        <f>IF(AND(ISNUMBER(A1211),ISNUMBER(B1211)),A1211*1000+B1211,"")</f>
        <v/>
      </c>
      <c r="J1211">
        <f>IF(I1211="","",IF(COUNTIF(I$2:I1211,I1211)=1,MAX(J$1:J1210)+1,""))</f>
        <v/>
      </c>
    </row>
    <row r="1212">
      <c r="A1212">
        <f>IFERROR(--SUBSTITUTE(SUBSTITUTE(TRIM(INDEX(INDIRECT("'Выгрузка'!A1212:Z1212"),Настройки!$B$7)),",","."),".",MID(1/2,2,1)),"")</f>
        <v/>
      </c>
      <c r="B1212">
        <f>IFERROR(--SUBSTITUTE(SUBSTITUTE(TRIM(INDEX(INDIRECT("'Выгрузка'!A1212:Z1212"),Настройки!$B$9)),",","."),".",MID(1/2,2,1)),"")</f>
        <v/>
      </c>
      <c r="C1212">
        <f>TRIM(INDEX(INDIRECT("'Выгрузка'!A1212:Z1212"),Настройки!$B$8)&amp;"")</f>
        <v/>
      </c>
      <c r="D1212">
        <f>IFERROR(--SUBSTITUTE(SUBSTITUTE(TRIM(INDEX(INDIRECT("'Выгрузка'!A1212:Z1212"),Настройки!$B$10)),",","."),".",MID(1/2,2,1)),"")</f>
        <v/>
      </c>
      <c r="E1212">
        <f>IFERROR(--SUBSTITUTE(SUBSTITUTE(TRIM(INDEX(INDIRECT("'Выгрузка'!A1212:Z1212"),Настройки!$B$11)),",","."),".",MID(1/2,2,1)),"")</f>
        <v/>
      </c>
      <c r="F1212">
        <f>TRIM(INDEX(INDIRECT("'Выгрузка'!A1212:Z1212"),Настройки!$B$12)&amp;"")</f>
        <v/>
      </c>
      <c r="G1212">
        <f>IF(F1212="",0,IF(TRIM(INDEX(INDIRECT("'Выгрузка'!A1212:Z1212"),Настройки!$B$13)&amp;"")="",1,IFERROR(--SUBSTITUTE(SUBSTITUTE(TRIM(INDEX(INDIRECT("'Выгрузка'!A1212:Z1212"),Настройки!$B$13)),",","."),".",MID(1/2,2,1)),"")))</f>
        <v/>
      </c>
      <c r="H1212">
        <f>IF(F1212="",0,IF(COUNTIF(Настройки!$B$17:$B$26,F1212)&gt;0,1,IF(COUNTIF(Настройки!$C$17:$C$26,F1212)&gt;0,2,IF(COUNTIF(Настройки!$D$17:$D$26,F1212)&gt;0,3,0))))</f>
        <v/>
      </c>
      <c r="I1212">
        <f>IF(AND(ISNUMBER(A1212),ISNUMBER(B1212)),A1212*1000+B1212,"")</f>
        <v/>
      </c>
      <c r="J1212">
        <f>IF(I1212="","",IF(COUNTIF(I$2:I1212,I1212)=1,MAX(J$1:J1211)+1,""))</f>
        <v/>
      </c>
    </row>
    <row r="1213">
      <c r="A1213">
        <f>IFERROR(--SUBSTITUTE(SUBSTITUTE(TRIM(INDEX(INDIRECT("'Выгрузка'!A1213:Z1213"),Настройки!$B$7)),",","."),".",MID(1/2,2,1)),"")</f>
        <v/>
      </c>
      <c r="B1213">
        <f>IFERROR(--SUBSTITUTE(SUBSTITUTE(TRIM(INDEX(INDIRECT("'Выгрузка'!A1213:Z1213"),Настройки!$B$9)),",","."),".",MID(1/2,2,1)),"")</f>
        <v/>
      </c>
      <c r="C1213">
        <f>TRIM(INDEX(INDIRECT("'Выгрузка'!A1213:Z1213"),Настройки!$B$8)&amp;"")</f>
        <v/>
      </c>
      <c r="D1213">
        <f>IFERROR(--SUBSTITUTE(SUBSTITUTE(TRIM(INDEX(INDIRECT("'Выгрузка'!A1213:Z1213"),Настройки!$B$10)),",","."),".",MID(1/2,2,1)),"")</f>
        <v/>
      </c>
      <c r="E1213">
        <f>IFERROR(--SUBSTITUTE(SUBSTITUTE(TRIM(INDEX(INDIRECT("'Выгрузка'!A1213:Z1213"),Настройки!$B$11)),",","."),".",MID(1/2,2,1)),"")</f>
        <v/>
      </c>
      <c r="F1213">
        <f>TRIM(INDEX(INDIRECT("'Выгрузка'!A1213:Z1213"),Настройки!$B$12)&amp;"")</f>
        <v/>
      </c>
      <c r="G1213">
        <f>IF(F1213="",0,IF(TRIM(INDEX(INDIRECT("'Выгрузка'!A1213:Z1213"),Настройки!$B$13)&amp;"")="",1,IFERROR(--SUBSTITUTE(SUBSTITUTE(TRIM(INDEX(INDIRECT("'Выгрузка'!A1213:Z1213"),Настройки!$B$13)),",","."),".",MID(1/2,2,1)),"")))</f>
        <v/>
      </c>
      <c r="H1213">
        <f>IF(F1213="",0,IF(COUNTIF(Настройки!$B$17:$B$26,F1213)&gt;0,1,IF(COUNTIF(Настройки!$C$17:$C$26,F1213)&gt;0,2,IF(COUNTIF(Настройки!$D$17:$D$26,F1213)&gt;0,3,0))))</f>
        <v/>
      </c>
      <c r="I1213">
        <f>IF(AND(ISNUMBER(A1213),ISNUMBER(B1213)),A1213*1000+B1213,"")</f>
        <v/>
      </c>
      <c r="J1213">
        <f>IF(I1213="","",IF(COUNTIF(I$2:I1213,I1213)=1,MAX(J$1:J1212)+1,""))</f>
        <v/>
      </c>
    </row>
    <row r="1214">
      <c r="A1214">
        <f>IFERROR(--SUBSTITUTE(SUBSTITUTE(TRIM(INDEX(INDIRECT("'Выгрузка'!A1214:Z1214"),Настройки!$B$7)),",","."),".",MID(1/2,2,1)),"")</f>
        <v/>
      </c>
      <c r="B1214">
        <f>IFERROR(--SUBSTITUTE(SUBSTITUTE(TRIM(INDEX(INDIRECT("'Выгрузка'!A1214:Z1214"),Настройки!$B$9)),",","."),".",MID(1/2,2,1)),"")</f>
        <v/>
      </c>
      <c r="C1214">
        <f>TRIM(INDEX(INDIRECT("'Выгрузка'!A1214:Z1214"),Настройки!$B$8)&amp;"")</f>
        <v/>
      </c>
      <c r="D1214">
        <f>IFERROR(--SUBSTITUTE(SUBSTITUTE(TRIM(INDEX(INDIRECT("'Выгрузка'!A1214:Z1214"),Настройки!$B$10)),",","."),".",MID(1/2,2,1)),"")</f>
        <v/>
      </c>
      <c r="E1214">
        <f>IFERROR(--SUBSTITUTE(SUBSTITUTE(TRIM(INDEX(INDIRECT("'Выгрузка'!A1214:Z1214"),Настройки!$B$11)),",","."),".",MID(1/2,2,1)),"")</f>
        <v/>
      </c>
      <c r="F1214">
        <f>TRIM(INDEX(INDIRECT("'Выгрузка'!A1214:Z1214"),Настройки!$B$12)&amp;"")</f>
        <v/>
      </c>
      <c r="G1214">
        <f>IF(F1214="",0,IF(TRIM(INDEX(INDIRECT("'Выгрузка'!A1214:Z1214"),Настройки!$B$13)&amp;"")="",1,IFERROR(--SUBSTITUTE(SUBSTITUTE(TRIM(INDEX(INDIRECT("'Выгрузка'!A1214:Z1214"),Настройки!$B$13)),",","."),".",MID(1/2,2,1)),"")))</f>
        <v/>
      </c>
      <c r="H1214">
        <f>IF(F1214="",0,IF(COUNTIF(Настройки!$B$17:$B$26,F1214)&gt;0,1,IF(COUNTIF(Настройки!$C$17:$C$26,F1214)&gt;0,2,IF(COUNTIF(Настройки!$D$17:$D$26,F1214)&gt;0,3,0))))</f>
        <v/>
      </c>
      <c r="I1214">
        <f>IF(AND(ISNUMBER(A1214),ISNUMBER(B1214)),A1214*1000+B1214,"")</f>
        <v/>
      </c>
      <c r="J1214">
        <f>IF(I1214="","",IF(COUNTIF(I$2:I1214,I1214)=1,MAX(J$1:J1213)+1,""))</f>
        <v/>
      </c>
    </row>
    <row r="1215">
      <c r="A1215">
        <f>IFERROR(--SUBSTITUTE(SUBSTITUTE(TRIM(INDEX(INDIRECT("'Выгрузка'!A1215:Z1215"),Настройки!$B$7)),",","."),".",MID(1/2,2,1)),"")</f>
        <v/>
      </c>
      <c r="B1215">
        <f>IFERROR(--SUBSTITUTE(SUBSTITUTE(TRIM(INDEX(INDIRECT("'Выгрузка'!A1215:Z1215"),Настройки!$B$9)),",","."),".",MID(1/2,2,1)),"")</f>
        <v/>
      </c>
      <c r="C1215">
        <f>TRIM(INDEX(INDIRECT("'Выгрузка'!A1215:Z1215"),Настройки!$B$8)&amp;"")</f>
        <v/>
      </c>
      <c r="D1215">
        <f>IFERROR(--SUBSTITUTE(SUBSTITUTE(TRIM(INDEX(INDIRECT("'Выгрузка'!A1215:Z1215"),Настройки!$B$10)),",","."),".",MID(1/2,2,1)),"")</f>
        <v/>
      </c>
      <c r="E1215">
        <f>IFERROR(--SUBSTITUTE(SUBSTITUTE(TRIM(INDEX(INDIRECT("'Выгрузка'!A1215:Z1215"),Настройки!$B$11)),",","."),".",MID(1/2,2,1)),"")</f>
        <v/>
      </c>
      <c r="F1215">
        <f>TRIM(INDEX(INDIRECT("'Выгрузка'!A1215:Z1215"),Настройки!$B$12)&amp;"")</f>
        <v/>
      </c>
      <c r="G1215">
        <f>IF(F1215="",0,IF(TRIM(INDEX(INDIRECT("'Выгрузка'!A1215:Z1215"),Настройки!$B$13)&amp;"")="",1,IFERROR(--SUBSTITUTE(SUBSTITUTE(TRIM(INDEX(INDIRECT("'Выгрузка'!A1215:Z1215"),Настройки!$B$13)),",","."),".",MID(1/2,2,1)),"")))</f>
        <v/>
      </c>
      <c r="H1215">
        <f>IF(F1215="",0,IF(COUNTIF(Настройки!$B$17:$B$26,F1215)&gt;0,1,IF(COUNTIF(Настройки!$C$17:$C$26,F1215)&gt;0,2,IF(COUNTIF(Настройки!$D$17:$D$26,F1215)&gt;0,3,0))))</f>
        <v/>
      </c>
      <c r="I1215">
        <f>IF(AND(ISNUMBER(A1215),ISNUMBER(B1215)),A1215*1000+B1215,"")</f>
        <v/>
      </c>
      <c r="J1215">
        <f>IF(I1215="","",IF(COUNTIF(I$2:I1215,I1215)=1,MAX(J$1:J1214)+1,""))</f>
        <v/>
      </c>
    </row>
    <row r="1216">
      <c r="A1216">
        <f>IFERROR(--SUBSTITUTE(SUBSTITUTE(TRIM(INDEX(INDIRECT("'Выгрузка'!A1216:Z1216"),Настройки!$B$7)),",","."),".",MID(1/2,2,1)),"")</f>
        <v/>
      </c>
      <c r="B1216">
        <f>IFERROR(--SUBSTITUTE(SUBSTITUTE(TRIM(INDEX(INDIRECT("'Выгрузка'!A1216:Z1216"),Настройки!$B$9)),",","."),".",MID(1/2,2,1)),"")</f>
        <v/>
      </c>
      <c r="C1216">
        <f>TRIM(INDEX(INDIRECT("'Выгрузка'!A1216:Z1216"),Настройки!$B$8)&amp;"")</f>
        <v/>
      </c>
      <c r="D1216">
        <f>IFERROR(--SUBSTITUTE(SUBSTITUTE(TRIM(INDEX(INDIRECT("'Выгрузка'!A1216:Z1216"),Настройки!$B$10)),",","."),".",MID(1/2,2,1)),"")</f>
        <v/>
      </c>
      <c r="E1216">
        <f>IFERROR(--SUBSTITUTE(SUBSTITUTE(TRIM(INDEX(INDIRECT("'Выгрузка'!A1216:Z1216"),Настройки!$B$11)),",","."),".",MID(1/2,2,1)),"")</f>
        <v/>
      </c>
      <c r="F1216">
        <f>TRIM(INDEX(INDIRECT("'Выгрузка'!A1216:Z1216"),Настройки!$B$12)&amp;"")</f>
        <v/>
      </c>
      <c r="G1216">
        <f>IF(F1216="",0,IF(TRIM(INDEX(INDIRECT("'Выгрузка'!A1216:Z1216"),Настройки!$B$13)&amp;"")="",1,IFERROR(--SUBSTITUTE(SUBSTITUTE(TRIM(INDEX(INDIRECT("'Выгрузка'!A1216:Z1216"),Настройки!$B$13)),",","."),".",MID(1/2,2,1)),"")))</f>
        <v/>
      </c>
      <c r="H1216">
        <f>IF(F1216="",0,IF(COUNTIF(Настройки!$B$17:$B$26,F1216)&gt;0,1,IF(COUNTIF(Настройки!$C$17:$C$26,F1216)&gt;0,2,IF(COUNTIF(Настройки!$D$17:$D$26,F1216)&gt;0,3,0))))</f>
        <v/>
      </c>
      <c r="I1216">
        <f>IF(AND(ISNUMBER(A1216),ISNUMBER(B1216)),A1216*1000+B1216,"")</f>
        <v/>
      </c>
      <c r="J1216">
        <f>IF(I1216="","",IF(COUNTIF(I$2:I1216,I1216)=1,MAX(J$1:J1215)+1,""))</f>
        <v/>
      </c>
    </row>
    <row r="1217">
      <c r="A1217">
        <f>IFERROR(--SUBSTITUTE(SUBSTITUTE(TRIM(INDEX(INDIRECT("'Выгрузка'!A1217:Z1217"),Настройки!$B$7)),",","."),".",MID(1/2,2,1)),"")</f>
        <v/>
      </c>
      <c r="B1217">
        <f>IFERROR(--SUBSTITUTE(SUBSTITUTE(TRIM(INDEX(INDIRECT("'Выгрузка'!A1217:Z1217"),Настройки!$B$9)),",","."),".",MID(1/2,2,1)),"")</f>
        <v/>
      </c>
      <c r="C1217">
        <f>TRIM(INDEX(INDIRECT("'Выгрузка'!A1217:Z1217"),Настройки!$B$8)&amp;"")</f>
        <v/>
      </c>
      <c r="D1217">
        <f>IFERROR(--SUBSTITUTE(SUBSTITUTE(TRIM(INDEX(INDIRECT("'Выгрузка'!A1217:Z1217"),Настройки!$B$10)),",","."),".",MID(1/2,2,1)),"")</f>
        <v/>
      </c>
      <c r="E1217">
        <f>IFERROR(--SUBSTITUTE(SUBSTITUTE(TRIM(INDEX(INDIRECT("'Выгрузка'!A1217:Z1217"),Настройки!$B$11)),",","."),".",MID(1/2,2,1)),"")</f>
        <v/>
      </c>
      <c r="F1217">
        <f>TRIM(INDEX(INDIRECT("'Выгрузка'!A1217:Z1217"),Настройки!$B$12)&amp;"")</f>
        <v/>
      </c>
      <c r="G1217">
        <f>IF(F1217="",0,IF(TRIM(INDEX(INDIRECT("'Выгрузка'!A1217:Z1217"),Настройки!$B$13)&amp;"")="",1,IFERROR(--SUBSTITUTE(SUBSTITUTE(TRIM(INDEX(INDIRECT("'Выгрузка'!A1217:Z1217"),Настройки!$B$13)),",","."),".",MID(1/2,2,1)),"")))</f>
        <v/>
      </c>
      <c r="H1217">
        <f>IF(F1217="",0,IF(COUNTIF(Настройки!$B$17:$B$26,F1217)&gt;0,1,IF(COUNTIF(Настройки!$C$17:$C$26,F1217)&gt;0,2,IF(COUNTIF(Настройки!$D$17:$D$26,F1217)&gt;0,3,0))))</f>
        <v/>
      </c>
      <c r="I1217">
        <f>IF(AND(ISNUMBER(A1217),ISNUMBER(B1217)),A1217*1000+B1217,"")</f>
        <v/>
      </c>
      <c r="J1217">
        <f>IF(I1217="","",IF(COUNTIF(I$2:I1217,I1217)=1,MAX(J$1:J1216)+1,""))</f>
        <v/>
      </c>
    </row>
    <row r="1218">
      <c r="A1218">
        <f>IFERROR(--SUBSTITUTE(SUBSTITUTE(TRIM(INDEX(INDIRECT("'Выгрузка'!A1218:Z1218"),Настройки!$B$7)),",","."),".",MID(1/2,2,1)),"")</f>
        <v/>
      </c>
      <c r="B1218">
        <f>IFERROR(--SUBSTITUTE(SUBSTITUTE(TRIM(INDEX(INDIRECT("'Выгрузка'!A1218:Z1218"),Настройки!$B$9)),",","."),".",MID(1/2,2,1)),"")</f>
        <v/>
      </c>
      <c r="C1218">
        <f>TRIM(INDEX(INDIRECT("'Выгрузка'!A1218:Z1218"),Настройки!$B$8)&amp;"")</f>
        <v/>
      </c>
      <c r="D1218">
        <f>IFERROR(--SUBSTITUTE(SUBSTITUTE(TRIM(INDEX(INDIRECT("'Выгрузка'!A1218:Z1218"),Настройки!$B$10)),",","."),".",MID(1/2,2,1)),"")</f>
        <v/>
      </c>
      <c r="E1218">
        <f>IFERROR(--SUBSTITUTE(SUBSTITUTE(TRIM(INDEX(INDIRECT("'Выгрузка'!A1218:Z1218"),Настройки!$B$11)),",","."),".",MID(1/2,2,1)),"")</f>
        <v/>
      </c>
      <c r="F1218">
        <f>TRIM(INDEX(INDIRECT("'Выгрузка'!A1218:Z1218"),Настройки!$B$12)&amp;"")</f>
        <v/>
      </c>
      <c r="G1218">
        <f>IF(F1218="",0,IF(TRIM(INDEX(INDIRECT("'Выгрузка'!A1218:Z1218"),Настройки!$B$13)&amp;"")="",1,IFERROR(--SUBSTITUTE(SUBSTITUTE(TRIM(INDEX(INDIRECT("'Выгрузка'!A1218:Z1218"),Настройки!$B$13)),",","."),".",MID(1/2,2,1)),"")))</f>
        <v/>
      </c>
      <c r="H1218">
        <f>IF(F1218="",0,IF(COUNTIF(Настройки!$B$17:$B$26,F1218)&gt;0,1,IF(COUNTIF(Настройки!$C$17:$C$26,F1218)&gt;0,2,IF(COUNTIF(Настройки!$D$17:$D$26,F1218)&gt;0,3,0))))</f>
        <v/>
      </c>
      <c r="I1218">
        <f>IF(AND(ISNUMBER(A1218),ISNUMBER(B1218)),A1218*1000+B1218,"")</f>
        <v/>
      </c>
      <c r="J1218">
        <f>IF(I1218="","",IF(COUNTIF(I$2:I1218,I1218)=1,MAX(J$1:J1217)+1,""))</f>
        <v/>
      </c>
    </row>
    <row r="1219">
      <c r="A1219">
        <f>IFERROR(--SUBSTITUTE(SUBSTITUTE(TRIM(INDEX(INDIRECT("'Выгрузка'!A1219:Z1219"),Настройки!$B$7)),",","."),".",MID(1/2,2,1)),"")</f>
        <v/>
      </c>
      <c r="B1219">
        <f>IFERROR(--SUBSTITUTE(SUBSTITUTE(TRIM(INDEX(INDIRECT("'Выгрузка'!A1219:Z1219"),Настройки!$B$9)),",","."),".",MID(1/2,2,1)),"")</f>
        <v/>
      </c>
      <c r="C1219">
        <f>TRIM(INDEX(INDIRECT("'Выгрузка'!A1219:Z1219"),Настройки!$B$8)&amp;"")</f>
        <v/>
      </c>
      <c r="D1219">
        <f>IFERROR(--SUBSTITUTE(SUBSTITUTE(TRIM(INDEX(INDIRECT("'Выгрузка'!A1219:Z1219"),Настройки!$B$10)),",","."),".",MID(1/2,2,1)),"")</f>
        <v/>
      </c>
      <c r="E1219">
        <f>IFERROR(--SUBSTITUTE(SUBSTITUTE(TRIM(INDEX(INDIRECT("'Выгрузка'!A1219:Z1219"),Настройки!$B$11)),",","."),".",MID(1/2,2,1)),"")</f>
        <v/>
      </c>
      <c r="F1219">
        <f>TRIM(INDEX(INDIRECT("'Выгрузка'!A1219:Z1219"),Настройки!$B$12)&amp;"")</f>
        <v/>
      </c>
      <c r="G1219">
        <f>IF(F1219="",0,IF(TRIM(INDEX(INDIRECT("'Выгрузка'!A1219:Z1219"),Настройки!$B$13)&amp;"")="",1,IFERROR(--SUBSTITUTE(SUBSTITUTE(TRIM(INDEX(INDIRECT("'Выгрузка'!A1219:Z1219"),Настройки!$B$13)),",","."),".",MID(1/2,2,1)),"")))</f>
        <v/>
      </c>
      <c r="H1219">
        <f>IF(F1219="",0,IF(COUNTIF(Настройки!$B$17:$B$26,F1219)&gt;0,1,IF(COUNTIF(Настройки!$C$17:$C$26,F1219)&gt;0,2,IF(COUNTIF(Настройки!$D$17:$D$26,F1219)&gt;0,3,0))))</f>
        <v/>
      </c>
      <c r="I1219">
        <f>IF(AND(ISNUMBER(A1219),ISNUMBER(B1219)),A1219*1000+B1219,"")</f>
        <v/>
      </c>
      <c r="J1219">
        <f>IF(I1219="","",IF(COUNTIF(I$2:I1219,I1219)=1,MAX(J$1:J1218)+1,""))</f>
        <v/>
      </c>
    </row>
    <row r="1220">
      <c r="A1220">
        <f>IFERROR(--SUBSTITUTE(SUBSTITUTE(TRIM(INDEX(INDIRECT("'Выгрузка'!A1220:Z1220"),Настройки!$B$7)),",","."),".",MID(1/2,2,1)),"")</f>
        <v/>
      </c>
      <c r="B1220">
        <f>IFERROR(--SUBSTITUTE(SUBSTITUTE(TRIM(INDEX(INDIRECT("'Выгрузка'!A1220:Z1220"),Настройки!$B$9)),",","."),".",MID(1/2,2,1)),"")</f>
        <v/>
      </c>
      <c r="C1220">
        <f>TRIM(INDEX(INDIRECT("'Выгрузка'!A1220:Z1220"),Настройки!$B$8)&amp;"")</f>
        <v/>
      </c>
      <c r="D1220">
        <f>IFERROR(--SUBSTITUTE(SUBSTITUTE(TRIM(INDEX(INDIRECT("'Выгрузка'!A1220:Z1220"),Настройки!$B$10)),",","."),".",MID(1/2,2,1)),"")</f>
        <v/>
      </c>
      <c r="E1220">
        <f>IFERROR(--SUBSTITUTE(SUBSTITUTE(TRIM(INDEX(INDIRECT("'Выгрузка'!A1220:Z1220"),Настройки!$B$11)),",","."),".",MID(1/2,2,1)),"")</f>
        <v/>
      </c>
      <c r="F1220">
        <f>TRIM(INDEX(INDIRECT("'Выгрузка'!A1220:Z1220"),Настройки!$B$12)&amp;"")</f>
        <v/>
      </c>
      <c r="G1220">
        <f>IF(F1220="",0,IF(TRIM(INDEX(INDIRECT("'Выгрузка'!A1220:Z1220"),Настройки!$B$13)&amp;"")="",1,IFERROR(--SUBSTITUTE(SUBSTITUTE(TRIM(INDEX(INDIRECT("'Выгрузка'!A1220:Z1220"),Настройки!$B$13)),",","."),".",MID(1/2,2,1)),"")))</f>
        <v/>
      </c>
      <c r="H1220">
        <f>IF(F1220="",0,IF(COUNTIF(Настройки!$B$17:$B$26,F1220)&gt;0,1,IF(COUNTIF(Настройки!$C$17:$C$26,F1220)&gt;0,2,IF(COUNTIF(Настройки!$D$17:$D$26,F1220)&gt;0,3,0))))</f>
        <v/>
      </c>
      <c r="I1220">
        <f>IF(AND(ISNUMBER(A1220),ISNUMBER(B1220)),A1220*1000+B1220,"")</f>
        <v/>
      </c>
      <c r="J1220">
        <f>IF(I1220="","",IF(COUNTIF(I$2:I1220,I1220)=1,MAX(J$1:J1219)+1,""))</f>
        <v/>
      </c>
    </row>
    <row r="1221">
      <c r="A1221">
        <f>IFERROR(--SUBSTITUTE(SUBSTITUTE(TRIM(INDEX(INDIRECT("'Выгрузка'!A1221:Z1221"),Настройки!$B$7)),",","."),".",MID(1/2,2,1)),"")</f>
        <v/>
      </c>
      <c r="B1221">
        <f>IFERROR(--SUBSTITUTE(SUBSTITUTE(TRIM(INDEX(INDIRECT("'Выгрузка'!A1221:Z1221"),Настройки!$B$9)),",","."),".",MID(1/2,2,1)),"")</f>
        <v/>
      </c>
      <c r="C1221">
        <f>TRIM(INDEX(INDIRECT("'Выгрузка'!A1221:Z1221"),Настройки!$B$8)&amp;"")</f>
        <v/>
      </c>
      <c r="D1221">
        <f>IFERROR(--SUBSTITUTE(SUBSTITUTE(TRIM(INDEX(INDIRECT("'Выгрузка'!A1221:Z1221"),Настройки!$B$10)),",","."),".",MID(1/2,2,1)),"")</f>
        <v/>
      </c>
      <c r="E1221">
        <f>IFERROR(--SUBSTITUTE(SUBSTITUTE(TRIM(INDEX(INDIRECT("'Выгрузка'!A1221:Z1221"),Настройки!$B$11)),",","."),".",MID(1/2,2,1)),"")</f>
        <v/>
      </c>
      <c r="F1221">
        <f>TRIM(INDEX(INDIRECT("'Выгрузка'!A1221:Z1221"),Настройки!$B$12)&amp;"")</f>
        <v/>
      </c>
      <c r="G1221">
        <f>IF(F1221="",0,IF(TRIM(INDEX(INDIRECT("'Выгрузка'!A1221:Z1221"),Настройки!$B$13)&amp;"")="",1,IFERROR(--SUBSTITUTE(SUBSTITUTE(TRIM(INDEX(INDIRECT("'Выгрузка'!A1221:Z1221"),Настройки!$B$13)),",","."),".",MID(1/2,2,1)),"")))</f>
        <v/>
      </c>
      <c r="H1221">
        <f>IF(F1221="",0,IF(COUNTIF(Настройки!$B$17:$B$26,F1221)&gt;0,1,IF(COUNTIF(Настройки!$C$17:$C$26,F1221)&gt;0,2,IF(COUNTIF(Настройки!$D$17:$D$26,F1221)&gt;0,3,0))))</f>
        <v/>
      </c>
      <c r="I1221">
        <f>IF(AND(ISNUMBER(A1221),ISNUMBER(B1221)),A1221*1000+B1221,"")</f>
        <v/>
      </c>
      <c r="J1221">
        <f>IF(I1221="","",IF(COUNTIF(I$2:I1221,I1221)=1,MAX(J$1:J1220)+1,""))</f>
        <v/>
      </c>
    </row>
    <row r="1222">
      <c r="A1222">
        <f>IFERROR(--SUBSTITUTE(SUBSTITUTE(TRIM(INDEX(INDIRECT("'Выгрузка'!A1222:Z1222"),Настройки!$B$7)),",","."),".",MID(1/2,2,1)),"")</f>
        <v/>
      </c>
      <c r="B1222">
        <f>IFERROR(--SUBSTITUTE(SUBSTITUTE(TRIM(INDEX(INDIRECT("'Выгрузка'!A1222:Z1222"),Настройки!$B$9)),",","."),".",MID(1/2,2,1)),"")</f>
        <v/>
      </c>
      <c r="C1222">
        <f>TRIM(INDEX(INDIRECT("'Выгрузка'!A1222:Z1222"),Настройки!$B$8)&amp;"")</f>
        <v/>
      </c>
      <c r="D1222">
        <f>IFERROR(--SUBSTITUTE(SUBSTITUTE(TRIM(INDEX(INDIRECT("'Выгрузка'!A1222:Z1222"),Настройки!$B$10)),",","."),".",MID(1/2,2,1)),"")</f>
        <v/>
      </c>
      <c r="E1222">
        <f>IFERROR(--SUBSTITUTE(SUBSTITUTE(TRIM(INDEX(INDIRECT("'Выгрузка'!A1222:Z1222"),Настройки!$B$11)),",","."),".",MID(1/2,2,1)),"")</f>
        <v/>
      </c>
      <c r="F1222">
        <f>TRIM(INDEX(INDIRECT("'Выгрузка'!A1222:Z1222"),Настройки!$B$12)&amp;"")</f>
        <v/>
      </c>
      <c r="G1222">
        <f>IF(F1222="",0,IF(TRIM(INDEX(INDIRECT("'Выгрузка'!A1222:Z1222"),Настройки!$B$13)&amp;"")="",1,IFERROR(--SUBSTITUTE(SUBSTITUTE(TRIM(INDEX(INDIRECT("'Выгрузка'!A1222:Z1222"),Настройки!$B$13)),",","."),".",MID(1/2,2,1)),"")))</f>
        <v/>
      </c>
      <c r="H1222">
        <f>IF(F1222="",0,IF(COUNTIF(Настройки!$B$17:$B$26,F1222)&gt;0,1,IF(COUNTIF(Настройки!$C$17:$C$26,F1222)&gt;0,2,IF(COUNTIF(Настройки!$D$17:$D$26,F1222)&gt;0,3,0))))</f>
        <v/>
      </c>
      <c r="I1222">
        <f>IF(AND(ISNUMBER(A1222),ISNUMBER(B1222)),A1222*1000+B1222,"")</f>
        <v/>
      </c>
      <c r="J1222">
        <f>IF(I1222="","",IF(COUNTIF(I$2:I1222,I1222)=1,MAX(J$1:J1221)+1,""))</f>
        <v/>
      </c>
    </row>
    <row r="1223">
      <c r="A1223">
        <f>IFERROR(--SUBSTITUTE(SUBSTITUTE(TRIM(INDEX(INDIRECT("'Выгрузка'!A1223:Z1223"),Настройки!$B$7)),",","."),".",MID(1/2,2,1)),"")</f>
        <v/>
      </c>
      <c r="B1223">
        <f>IFERROR(--SUBSTITUTE(SUBSTITUTE(TRIM(INDEX(INDIRECT("'Выгрузка'!A1223:Z1223"),Настройки!$B$9)),",","."),".",MID(1/2,2,1)),"")</f>
        <v/>
      </c>
      <c r="C1223">
        <f>TRIM(INDEX(INDIRECT("'Выгрузка'!A1223:Z1223"),Настройки!$B$8)&amp;"")</f>
        <v/>
      </c>
      <c r="D1223">
        <f>IFERROR(--SUBSTITUTE(SUBSTITUTE(TRIM(INDEX(INDIRECT("'Выгрузка'!A1223:Z1223"),Настройки!$B$10)),",","."),".",MID(1/2,2,1)),"")</f>
        <v/>
      </c>
      <c r="E1223">
        <f>IFERROR(--SUBSTITUTE(SUBSTITUTE(TRIM(INDEX(INDIRECT("'Выгрузка'!A1223:Z1223"),Настройки!$B$11)),",","."),".",MID(1/2,2,1)),"")</f>
        <v/>
      </c>
      <c r="F1223">
        <f>TRIM(INDEX(INDIRECT("'Выгрузка'!A1223:Z1223"),Настройки!$B$12)&amp;"")</f>
        <v/>
      </c>
      <c r="G1223">
        <f>IF(F1223="",0,IF(TRIM(INDEX(INDIRECT("'Выгрузка'!A1223:Z1223"),Настройки!$B$13)&amp;"")="",1,IFERROR(--SUBSTITUTE(SUBSTITUTE(TRIM(INDEX(INDIRECT("'Выгрузка'!A1223:Z1223"),Настройки!$B$13)),",","."),".",MID(1/2,2,1)),"")))</f>
        <v/>
      </c>
      <c r="H1223">
        <f>IF(F1223="",0,IF(COUNTIF(Настройки!$B$17:$B$26,F1223)&gt;0,1,IF(COUNTIF(Настройки!$C$17:$C$26,F1223)&gt;0,2,IF(COUNTIF(Настройки!$D$17:$D$26,F1223)&gt;0,3,0))))</f>
        <v/>
      </c>
      <c r="I1223">
        <f>IF(AND(ISNUMBER(A1223),ISNUMBER(B1223)),A1223*1000+B1223,"")</f>
        <v/>
      </c>
      <c r="J1223">
        <f>IF(I1223="","",IF(COUNTIF(I$2:I1223,I1223)=1,MAX(J$1:J1222)+1,""))</f>
        <v/>
      </c>
    </row>
    <row r="1224">
      <c r="A1224">
        <f>IFERROR(--SUBSTITUTE(SUBSTITUTE(TRIM(INDEX(INDIRECT("'Выгрузка'!A1224:Z1224"),Настройки!$B$7)),",","."),".",MID(1/2,2,1)),"")</f>
        <v/>
      </c>
      <c r="B1224">
        <f>IFERROR(--SUBSTITUTE(SUBSTITUTE(TRIM(INDEX(INDIRECT("'Выгрузка'!A1224:Z1224"),Настройки!$B$9)),",","."),".",MID(1/2,2,1)),"")</f>
        <v/>
      </c>
      <c r="C1224">
        <f>TRIM(INDEX(INDIRECT("'Выгрузка'!A1224:Z1224"),Настройки!$B$8)&amp;"")</f>
        <v/>
      </c>
      <c r="D1224">
        <f>IFERROR(--SUBSTITUTE(SUBSTITUTE(TRIM(INDEX(INDIRECT("'Выгрузка'!A1224:Z1224"),Настройки!$B$10)),",","."),".",MID(1/2,2,1)),"")</f>
        <v/>
      </c>
      <c r="E1224">
        <f>IFERROR(--SUBSTITUTE(SUBSTITUTE(TRIM(INDEX(INDIRECT("'Выгрузка'!A1224:Z1224"),Настройки!$B$11)),",","."),".",MID(1/2,2,1)),"")</f>
        <v/>
      </c>
      <c r="F1224">
        <f>TRIM(INDEX(INDIRECT("'Выгрузка'!A1224:Z1224"),Настройки!$B$12)&amp;"")</f>
        <v/>
      </c>
      <c r="G1224">
        <f>IF(F1224="",0,IF(TRIM(INDEX(INDIRECT("'Выгрузка'!A1224:Z1224"),Настройки!$B$13)&amp;"")="",1,IFERROR(--SUBSTITUTE(SUBSTITUTE(TRIM(INDEX(INDIRECT("'Выгрузка'!A1224:Z1224"),Настройки!$B$13)),",","."),".",MID(1/2,2,1)),"")))</f>
        <v/>
      </c>
      <c r="H1224">
        <f>IF(F1224="",0,IF(COUNTIF(Настройки!$B$17:$B$26,F1224)&gt;0,1,IF(COUNTIF(Настройки!$C$17:$C$26,F1224)&gt;0,2,IF(COUNTIF(Настройки!$D$17:$D$26,F1224)&gt;0,3,0))))</f>
        <v/>
      </c>
      <c r="I1224">
        <f>IF(AND(ISNUMBER(A1224),ISNUMBER(B1224)),A1224*1000+B1224,"")</f>
        <v/>
      </c>
      <c r="J1224">
        <f>IF(I1224="","",IF(COUNTIF(I$2:I1224,I1224)=1,MAX(J$1:J1223)+1,""))</f>
        <v/>
      </c>
    </row>
    <row r="1225">
      <c r="A1225">
        <f>IFERROR(--SUBSTITUTE(SUBSTITUTE(TRIM(INDEX(INDIRECT("'Выгрузка'!A1225:Z1225"),Настройки!$B$7)),",","."),".",MID(1/2,2,1)),"")</f>
        <v/>
      </c>
      <c r="B1225">
        <f>IFERROR(--SUBSTITUTE(SUBSTITUTE(TRIM(INDEX(INDIRECT("'Выгрузка'!A1225:Z1225"),Настройки!$B$9)),",","."),".",MID(1/2,2,1)),"")</f>
        <v/>
      </c>
      <c r="C1225">
        <f>TRIM(INDEX(INDIRECT("'Выгрузка'!A1225:Z1225"),Настройки!$B$8)&amp;"")</f>
        <v/>
      </c>
      <c r="D1225">
        <f>IFERROR(--SUBSTITUTE(SUBSTITUTE(TRIM(INDEX(INDIRECT("'Выгрузка'!A1225:Z1225"),Настройки!$B$10)),",","."),".",MID(1/2,2,1)),"")</f>
        <v/>
      </c>
      <c r="E1225">
        <f>IFERROR(--SUBSTITUTE(SUBSTITUTE(TRIM(INDEX(INDIRECT("'Выгрузка'!A1225:Z1225"),Настройки!$B$11)),",","."),".",MID(1/2,2,1)),"")</f>
        <v/>
      </c>
      <c r="F1225">
        <f>TRIM(INDEX(INDIRECT("'Выгрузка'!A1225:Z1225"),Настройки!$B$12)&amp;"")</f>
        <v/>
      </c>
      <c r="G1225">
        <f>IF(F1225="",0,IF(TRIM(INDEX(INDIRECT("'Выгрузка'!A1225:Z1225"),Настройки!$B$13)&amp;"")="",1,IFERROR(--SUBSTITUTE(SUBSTITUTE(TRIM(INDEX(INDIRECT("'Выгрузка'!A1225:Z1225"),Настройки!$B$13)),",","."),".",MID(1/2,2,1)),"")))</f>
        <v/>
      </c>
      <c r="H1225">
        <f>IF(F1225="",0,IF(COUNTIF(Настройки!$B$17:$B$26,F1225)&gt;0,1,IF(COUNTIF(Настройки!$C$17:$C$26,F1225)&gt;0,2,IF(COUNTIF(Настройки!$D$17:$D$26,F1225)&gt;0,3,0))))</f>
        <v/>
      </c>
      <c r="I1225">
        <f>IF(AND(ISNUMBER(A1225),ISNUMBER(B1225)),A1225*1000+B1225,"")</f>
        <v/>
      </c>
      <c r="J1225">
        <f>IF(I1225="","",IF(COUNTIF(I$2:I1225,I1225)=1,MAX(J$1:J1224)+1,""))</f>
        <v/>
      </c>
    </row>
    <row r="1226">
      <c r="A1226">
        <f>IFERROR(--SUBSTITUTE(SUBSTITUTE(TRIM(INDEX(INDIRECT("'Выгрузка'!A1226:Z1226"),Настройки!$B$7)),",","."),".",MID(1/2,2,1)),"")</f>
        <v/>
      </c>
      <c r="B1226">
        <f>IFERROR(--SUBSTITUTE(SUBSTITUTE(TRIM(INDEX(INDIRECT("'Выгрузка'!A1226:Z1226"),Настройки!$B$9)),",","."),".",MID(1/2,2,1)),"")</f>
        <v/>
      </c>
      <c r="C1226">
        <f>TRIM(INDEX(INDIRECT("'Выгрузка'!A1226:Z1226"),Настройки!$B$8)&amp;"")</f>
        <v/>
      </c>
      <c r="D1226">
        <f>IFERROR(--SUBSTITUTE(SUBSTITUTE(TRIM(INDEX(INDIRECT("'Выгрузка'!A1226:Z1226"),Настройки!$B$10)),",","."),".",MID(1/2,2,1)),"")</f>
        <v/>
      </c>
      <c r="E1226">
        <f>IFERROR(--SUBSTITUTE(SUBSTITUTE(TRIM(INDEX(INDIRECT("'Выгрузка'!A1226:Z1226"),Настройки!$B$11)),",","."),".",MID(1/2,2,1)),"")</f>
        <v/>
      </c>
      <c r="F1226">
        <f>TRIM(INDEX(INDIRECT("'Выгрузка'!A1226:Z1226"),Настройки!$B$12)&amp;"")</f>
        <v/>
      </c>
      <c r="G1226">
        <f>IF(F1226="",0,IF(TRIM(INDEX(INDIRECT("'Выгрузка'!A1226:Z1226"),Настройки!$B$13)&amp;"")="",1,IFERROR(--SUBSTITUTE(SUBSTITUTE(TRIM(INDEX(INDIRECT("'Выгрузка'!A1226:Z1226"),Настройки!$B$13)),",","."),".",MID(1/2,2,1)),"")))</f>
        <v/>
      </c>
      <c r="H1226">
        <f>IF(F1226="",0,IF(COUNTIF(Настройки!$B$17:$B$26,F1226)&gt;0,1,IF(COUNTIF(Настройки!$C$17:$C$26,F1226)&gt;0,2,IF(COUNTIF(Настройки!$D$17:$D$26,F1226)&gt;0,3,0))))</f>
        <v/>
      </c>
      <c r="I1226">
        <f>IF(AND(ISNUMBER(A1226),ISNUMBER(B1226)),A1226*1000+B1226,"")</f>
        <v/>
      </c>
      <c r="J1226">
        <f>IF(I1226="","",IF(COUNTIF(I$2:I1226,I1226)=1,MAX(J$1:J1225)+1,""))</f>
        <v/>
      </c>
    </row>
    <row r="1227">
      <c r="A1227">
        <f>IFERROR(--SUBSTITUTE(SUBSTITUTE(TRIM(INDEX(INDIRECT("'Выгрузка'!A1227:Z1227"),Настройки!$B$7)),",","."),".",MID(1/2,2,1)),"")</f>
        <v/>
      </c>
      <c r="B1227">
        <f>IFERROR(--SUBSTITUTE(SUBSTITUTE(TRIM(INDEX(INDIRECT("'Выгрузка'!A1227:Z1227"),Настройки!$B$9)),",","."),".",MID(1/2,2,1)),"")</f>
        <v/>
      </c>
      <c r="C1227">
        <f>TRIM(INDEX(INDIRECT("'Выгрузка'!A1227:Z1227"),Настройки!$B$8)&amp;"")</f>
        <v/>
      </c>
      <c r="D1227">
        <f>IFERROR(--SUBSTITUTE(SUBSTITUTE(TRIM(INDEX(INDIRECT("'Выгрузка'!A1227:Z1227"),Настройки!$B$10)),",","."),".",MID(1/2,2,1)),"")</f>
        <v/>
      </c>
      <c r="E1227">
        <f>IFERROR(--SUBSTITUTE(SUBSTITUTE(TRIM(INDEX(INDIRECT("'Выгрузка'!A1227:Z1227"),Настройки!$B$11)),",","."),".",MID(1/2,2,1)),"")</f>
        <v/>
      </c>
      <c r="F1227">
        <f>TRIM(INDEX(INDIRECT("'Выгрузка'!A1227:Z1227"),Настройки!$B$12)&amp;"")</f>
        <v/>
      </c>
      <c r="G1227">
        <f>IF(F1227="",0,IF(TRIM(INDEX(INDIRECT("'Выгрузка'!A1227:Z1227"),Настройки!$B$13)&amp;"")="",1,IFERROR(--SUBSTITUTE(SUBSTITUTE(TRIM(INDEX(INDIRECT("'Выгрузка'!A1227:Z1227"),Настройки!$B$13)),",","."),".",MID(1/2,2,1)),"")))</f>
        <v/>
      </c>
      <c r="H1227">
        <f>IF(F1227="",0,IF(COUNTIF(Настройки!$B$17:$B$26,F1227)&gt;0,1,IF(COUNTIF(Настройки!$C$17:$C$26,F1227)&gt;0,2,IF(COUNTIF(Настройки!$D$17:$D$26,F1227)&gt;0,3,0))))</f>
        <v/>
      </c>
      <c r="I1227">
        <f>IF(AND(ISNUMBER(A1227),ISNUMBER(B1227)),A1227*1000+B1227,"")</f>
        <v/>
      </c>
      <c r="J1227">
        <f>IF(I1227="","",IF(COUNTIF(I$2:I1227,I1227)=1,MAX(J$1:J1226)+1,""))</f>
        <v/>
      </c>
    </row>
    <row r="1228">
      <c r="A1228">
        <f>IFERROR(--SUBSTITUTE(SUBSTITUTE(TRIM(INDEX(INDIRECT("'Выгрузка'!A1228:Z1228"),Настройки!$B$7)),",","."),".",MID(1/2,2,1)),"")</f>
        <v/>
      </c>
      <c r="B1228">
        <f>IFERROR(--SUBSTITUTE(SUBSTITUTE(TRIM(INDEX(INDIRECT("'Выгрузка'!A1228:Z1228"),Настройки!$B$9)),",","."),".",MID(1/2,2,1)),"")</f>
        <v/>
      </c>
      <c r="C1228">
        <f>TRIM(INDEX(INDIRECT("'Выгрузка'!A1228:Z1228"),Настройки!$B$8)&amp;"")</f>
        <v/>
      </c>
      <c r="D1228">
        <f>IFERROR(--SUBSTITUTE(SUBSTITUTE(TRIM(INDEX(INDIRECT("'Выгрузка'!A1228:Z1228"),Настройки!$B$10)),",","."),".",MID(1/2,2,1)),"")</f>
        <v/>
      </c>
      <c r="E1228">
        <f>IFERROR(--SUBSTITUTE(SUBSTITUTE(TRIM(INDEX(INDIRECT("'Выгрузка'!A1228:Z1228"),Настройки!$B$11)),",","."),".",MID(1/2,2,1)),"")</f>
        <v/>
      </c>
      <c r="F1228">
        <f>TRIM(INDEX(INDIRECT("'Выгрузка'!A1228:Z1228"),Настройки!$B$12)&amp;"")</f>
        <v/>
      </c>
      <c r="G1228">
        <f>IF(F1228="",0,IF(TRIM(INDEX(INDIRECT("'Выгрузка'!A1228:Z1228"),Настройки!$B$13)&amp;"")="",1,IFERROR(--SUBSTITUTE(SUBSTITUTE(TRIM(INDEX(INDIRECT("'Выгрузка'!A1228:Z1228"),Настройки!$B$13)),",","."),".",MID(1/2,2,1)),"")))</f>
        <v/>
      </c>
      <c r="H1228">
        <f>IF(F1228="",0,IF(COUNTIF(Настройки!$B$17:$B$26,F1228)&gt;0,1,IF(COUNTIF(Настройки!$C$17:$C$26,F1228)&gt;0,2,IF(COUNTIF(Настройки!$D$17:$D$26,F1228)&gt;0,3,0))))</f>
        <v/>
      </c>
      <c r="I1228">
        <f>IF(AND(ISNUMBER(A1228),ISNUMBER(B1228)),A1228*1000+B1228,"")</f>
        <v/>
      </c>
      <c r="J1228">
        <f>IF(I1228="","",IF(COUNTIF(I$2:I1228,I1228)=1,MAX(J$1:J1227)+1,""))</f>
        <v/>
      </c>
    </row>
    <row r="1229">
      <c r="A1229">
        <f>IFERROR(--SUBSTITUTE(SUBSTITUTE(TRIM(INDEX(INDIRECT("'Выгрузка'!A1229:Z1229"),Настройки!$B$7)),",","."),".",MID(1/2,2,1)),"")</f>
        <v/>
      </c>
      <c r="B1229">
        <f>IFERROR(--SUBSTITUTE(SUBSTITUTE(TRIM(INDEX(INDIRECT("'Выгрузка'!A1229:Z1229"),Настройки!$B$9)),",","."),".",MID(1/2,2,1)),"")</f>
        <v/>
      </c>
      <c r="C1229">
        <f>TRIM(INDEX(INDIRECT("'Выгрузка'!A1229:Z1229"),Настройки!$B$8)&amp;"")</f>
        <v/>
      </c>
      <c r="D1229">
        <f>IFERROR(--SUBSTITUTE(SUBSTITUTE(TRIM(INDEX(INDIRECT("'Выгрузка'!A1229:Z1229"),Настройки!$B$10)),",","."),".",MID(1/2,2,1)),"")</f>
        <v/>
      </c>
      <c r="E1229">
        <f>IFERROR(--SUBSTITUTE(SUBSTITUTE(TRIM(INDEX(INDIRECT("'Выгрузка'!A1229:Z1229"),Настройки!$B$11)),",","."),".",MID(1/2,2,1)),"")</f>
        <v/>
      </c>
      <c r="F1229">
        <f>TRIM(INDEX(INDIRECT("'Выгрузка'!A1229:Z1229"),Настройки!$B$12)&amp;"")</f>
        <v/>
      </c>
      <c r="G1229">
        <f>IF(F1229="",0,IF(TRIM(INDEX(INDIRECT("'Выгрузка'!A1229:Z1229"),Настройки!$B$13)&amp;"")="",1,IFERROR(--SUBSTITUTE(SUBSTITUTE(TRIM(INDEX(INDIRECT("'Выгрузка'!A1229:Z1229"),Настройки!$B$13)),",","."),".",MID(1/2,2,1)),"")))</f>
        <v/>
      </c>
      <c r="H1229">
        <f>IF(F1229="",0,IF(COUNTIF(Настройки!$B$17:$B$26,F1229)&gt;0,1,IF(COUNTIF(Настройки!$C$17:$C$26,F1229)&gt;0,2,IF(COUNTIF(Настройки!$D$17:$D$26,F1229)&gt;0,3,0))))</f>
        <v/>
      </c>
      <c r="I1229">
        <f>IF(AND(ISNUMBER(A1229),ISNUMBER(B1229)),A1229*1000+B1229,"")</f>
        <v/>
      </c>
      <c r="J1229">
        <f>IF(I1229="","",IF(COUNTIF(I$2:I1229,I1229)=1,MAX(J$1:J1228)+1,""))</f>
        <v/>
      </c>
    </row>
    <row r="1230">
      <c r="A1230">
        <f>IFERROR(--SUBSTITUTE(SUBSTITUTE(TRIM(INDEX(INDIRECT("'Выгрузка'!A1230:Z1230"),Настройки!$B$7)),",","."),".",MID(1/2,2,1)),"")</f>
        <v/>
      </c>
      <c r="B1230">
        <f>IFERROR(--SUBSTITUTE(SUBSTITUTE(TRIM(INDEX(INDIRECT("'Выгрузка'!A1230:Z1230"),Настройки!$B$9)),",","."),".",MID(1/2,2,1)),"")</f>
        <v/>
      </c>
      <c r="C1230">
        <f>TRIM(INDEX(INDIRECT("'Выгрузка'!A1230:Z1230"),Настройки!$B$8)&amp;"")</f>
        <v/>
      </c>
      <c r="D1230">
        <f>IFERROR(--SUBSTITUTE(SUBSTITUTE(TRIM(INDEX(INDIRECT("'Выгрузка'!A1230:Z1230"),Настройки!$B$10)),",","."),".",MID(1/2,2,1)),"")</f>
        <v/>
      </c>
      <c r="E1230">
        <f>IFERROR(--SUBSTITUTE(SUBSTITUTE(TRIM(INDEX(INDIRECT("'Выгрузка'!A1230:Z1230"),Настройки!$B$11)),",","."),".",MID(1/2,2,1)),"")</f>
        <v/>
      </c>
      <c r="F1230">
        <f>TRIM(INDEX(INDIRECT("'Выгрузка'!A1230:Z1230"),Настройки!$B$12)&amp;"")</f>
        <v/>
      </c>
      <c r="G1230">
        <f>IF(F1230="",0,IF(TRIM(INDEX(INDIRECT("'Выгрузка'!A1230:Z1230"),Настройки!$B$13)&amp;"")="",1,IFERROR(--SUBSTITUTE(SUBSTITUTE(TRIM(INDEX(INDIRECT("'Выгрузка'!A1230:Z1230"),Настройки!$B$13)),",","."),".",MID(1/2,2,1)),"")))</f>
        <v/>
      </c>
      <c r="H1230">
        <f>IF(F1230="",0,IF(COUNTIF(Настройки!$B$17:$B$26,F1230)&gt;0,1,IF(COUNTIF(Настройки!$C$17:$C$26,F1230)&gt;0,2,IF(COUNTIF(Настройки!$D$17:$D$26,F1230)&gt;0,3,0))))</f>
        <v/>
      </c>
      <c r="I1230">
        <f>IF(AND(ISNUMBER(A1230),ISNUMBER(B1230)),A1230*1000+B1230,"")</f>
        <v/>
      </c>
      <c r="J1230">
        <f>IF(I1230="","",IF(COUNTIF(I$2:I1230,I1230)=1,MAX(J$1:J1229)+1,""))</f>
        <v/>
      </c>
    </row>
    <row r="1231">
      <c r="A1231">
        <f>IFERROR(--SUBSTITUTE(SUBSTITUTE(TRIM(INDEX(INDIRECT("'Выгрузка'!A1231:Z1231"),Настройки!$B$7)),",","."),".",MID(1/2,2,1)),"")</f>
        <v/>
      </c>
      <c r="B1231">
        <f>IFERROR(--SUBSTITUTE(SUBSTITUTE(TRIM(INDEX(INDIRECT("'Выгрузка'!A1231:Z1231"),Настройки!$B$9)),",","."),".",MID(1/2,2,1)),"")</f>
        <v/>
      </c>
      <c r="C1231">
        <f>TRIM(INDEX(INDIRECT("'Выгрузка'!A1231:Z1231"),Настройки!$B$8)&amp;"")</f>
        <v/>
      </c>
      <c r="D1231">
        <f>IFERROR(--SUBSTITUTE(SUBSTITUTE(TRIM(INDEX(INDIRECT("'Выгрузка'!A1231:Z1231"),Настройки!$B$10)),",","."),".",MID(1/2,2,1)),"")</f>
        <v/>
      </c>
      <c r="E1231">
        <f>IFERROR(--SUBSTITUTE(SUBSTITUTE(TRIM(INDEX(INDIRECT("'Выгрузка'!A1231:Z1231"),Настройки!$B$11)),",","."),".",MID(1/2,2,1)),"")</f>
        <v/>
      </c>
      <c r="F1231">
        <f>TRIM(INDEX(INDIRECT("'Выгрузка'!A1231:Z1231"),Настройки!$B$12)&amp;"")</f>
        <v/>
      </c>
      <c r="G1231">
        <f>IF(F1231="",0,IF(TRIM(INDEX(INDIRECT("'Выгрузка'!A1231:Z1231"),Настройки!$B$13)&amp;"")="",1,IFERROR(--SUBSTITUTE(SUBSTITUTE(TRIM(INDEX(INDIRECT("'Выгрузка'!A1231:Z1231"),Настройки!$B$13)),",","."),".",MID(1/2,2,1)),"")))</f>
        <v/>
      </c>
      <c r="H1231">
        <f>IF(F1231="",0,IF(COUNTIF(Настройки!$B$17:$B$26,F1231)&gt;0,1,IF(COUNTIF(Настройки!$C$17:$C$26,F1231)&gt;0,2,IF(COUNTIF(Настройки!$D$17:$D$26,F1231)&gt;0,3,0))))</f>
        <v/>
      </c>
      <c r="I1231">
        <f>IF(AND(ISNUMBER(A1231),ISNUMBER(B1231)),A1231*1000+B1231,"")</f>
        <v/>
      </c>
      <c r="J1231">
        <f>IF(I1231="","",IF(COUNTIF(I$2:I1231,I1231)=1,MAX(J$1:J1230)+1,""))</f>
        <v/>
      </c>
    </row>
    <row r="1232">
      <c r="A1232">
        <f>IFERROR(--SUBSTITUTE(SUBSTITUTE(TRIM(INDEX(INDIRECT("'Выгрузка'!A1232:Z1232"),Настройки!$B$7)),",","."),".",MID(1/2,2,1)),"")</f>
        <v/>
      </c>
      <c r="B1232">
        <f>IFERROR(--SUBSTITUTE(SUBSTITUTE(TRIM(INDEX(INDIRECT("'Выгрузка'!A1232:Z1232"),Настройки!$B$9)),",","."),".",MID(1/2,2,1)),"")</f>
        <v/>
      </c>
      <c r="C1232">
        <f>TRIM(INDEX(INDIRECT("'Выгрузка'!A1232:Z1232"),Настройки!$B$8)&amp;"")</f>
        <v/>
      </c>
      <c r="D1232">
        <f>IFERROR(--SUBSTITUTE(SUBSTITUTE(TRIM(INDEX(INDIRECT("'Выгрузка'!A1232:Z1232"),Настройки!$B$10)),",","."),".",MID(1/2,2,1)),"")</f>
        <v/>
      </c>
      <c r="E1232">
        <f>IFERROR(--SUBSTITUTE(SUBSTITUTE(TRIM(INDEX(INDIRECT("'Выгрузка'!A1232:Z1232"),Настройки!$B$11)),",","."),".",MID(1/2,2,1)),"")</f>
        <v/>
      </c>
      <c r="F1232">
        <f>TRIM(INDEX(INDIRECT("'Выгрузка'!A1232:Z1232"),Настройки!$B$12)&amp;"")</f>
        <v/>
      </c>
      <c r="G1232">
        <f>IF(F1232="",0,IF(TRIM(INDEX(INDIRECT("'Выгрузка'!A1232:Z1232"),Настройки!$B$13)&amp;"")="",1,IFERROR(--SUBSTITUTE(SUBSTITUTE(TRIM(INDEX(INDIRECT("'Выгрузка'!A1232:Z1232"),Настройки!$B$13)),",","."),".",MID(1/2,2,1)),"")))</f>
        <v/>
      </c>
      <c r="H1232">
        <f>IF(F1232="",0,IF(COUNTIF(Настройки!$B$17:$B$26,F1232)&gt;0,1,IF(COUNTIF(Настройки!$C$17:$C$26,F1232)&gt;0,2,IF(COUNTIF(Настройки!$D$17:$D$26,F1232)&gt;0,3,0))))</f>
        <v/>
      </c>
      <c r="I1232">
        <f>IF(AND(ISNUMBER(A1232),ISNUMBER(B1232)),A1232*1000+B1232,"")</f>
        <v/>
      </c>
      <c r="J1232">
        <f>IF(I1232="","",IF(COUNTIF(I$2:I1232,I1232)=1,MAX(J$1:J1231)+1,""))</f>
        <v/>
      </c>
    </row>
    <row r="1233">
      <c r="A1233">
        <f>IFERROR(--SUBSTITUTE(SUBSTITUTE(TRIM(INDEX(INDIRECT("'Выгрузка'!A1233:Z1233"),Настройки!$B$7)),",","."),".",MID(1/2,2,1)),"")</f>
        <v/>
      </c>
      <c r="B1233">
        <f>IFERROR(--SUBSTITUTE(SUBSTITUTE(TRIM(INDEX(INDIRECT("'Выгрузка'!A1233:Z1233"),Настройки!$B$9)),",","."),".",MID(1/2,2,1)),"")</f>
        <v/>
      </c>
      <c r="C1233">
        <f>TRIM(INDEX(INDIRECT("'Выгрузка'!A1233:Z1233"),Настройки!$B$8)&amp;"")</f>
        <v/>
      </c>
      <c r="D1233">
        <f>IFERROR(--SUBSTITUTE(SUBSTITUTE(TRIM(INDEX(INDIRECT("'Выгрузка'!A1233:Z1233"),Настройки!$B$10)),",","."),".",MID(1/2,2,1)),"")</f>
        <v/>
      </c>
      <c r="E1233">
        <f>IFERROR(--SUBSTITUTE(SUBSTITUTE(TRIM(INDEX(INDIRECT("'Выгрузка'!A1233:Z1233"),Настройки!$B$11)),",","."),".",MID(1/2,2,1)),"")</f>
        <v/>
      </c>
      <c r="F1233">
        <f>TRIM(INDEX(INDIRECT("'Выгрузка'!A1233:Z1233"),Настройки!$B$12)&amp;"")</f>
        <v/>
      </c>
      <c r="G1233">
        <f>IF(F1233="",0,IF(TRIM(INDEX(INDIRECT("'Выгрузка'!A1233:Z1233"),Настройки!$B$13)&amp;"")="",1,IFERROR(--SUBSTITUTE(SUBSTITUTE(TRIM(INDEX(INDIRECT("'Выгрузка'!A1233:Z1233"),Настройки!$B$13)),",","."),".",MID(1/2,2,1)),"")))</f>
        <v/>
      </c>
      <c r="H1233">
        <f>IF(F1233="",0,IF(COUNTIF(Настройки!$B$17:$B$26,F1233)&gt;0,1,IF(COUNTIF(Настройки!$C$17:$C$26,F1233)&gt;0,2,IF(COUNTIF(Настройки!$D$17:$D$26,F1233)&gt;0,3,0))))</f>
        <v/>
      </c>
      <c r="I1233">
        <f>IF(AND(ISNUMBER(A1233),ISNUMBER(B1233)),A1233*1000+B1233,"")</f>
        <v/>
      </c>
      <c r="J1233">
        <f>IF(I1233="","",IF(COUNTIF(I$2:I1233,I1233)=1,MAX(J$1:J1232)+1,""))</f>
        <v/>
      </c>
    </row>
    <row r="1234">
      <c r="A1234">
        <f>IFERROR(--SUBSTITUTE(SUBSTITUTE(TRIM(INDEX(INDIRECT("'Выгрузка'!A1234:Z1234"),Настройки!$B$7)),",","."),".",MID(1/2,2,1)),"")</f>
        <v/>
      </c>
      <c r="B1234">
        <f>IFERROR(--SUBSTITUTE(SUBSTITUTE(TRIM(INDEX(INDIRECT("'Выгрузка'!A1234:Z1234"),Настройки!$B$9)),",","."),".",MID(1/2,2,1)),"")</f>
        <v/>
      </c>
      <c r="C1234">
        <f>TRIM(INDEX(INDIRECT("'Выгрузка'!A1234:Z1234"),Настройки!$B$8)&amp;"")</f>
        <v/>
      </c>
      <c r="D1234">
        <f>IFERROR(--SUBSTITUTE(SUBSTITUTE(TRIM(INDEX(INDIRECT("'Выгрузка'!A1234:Z1234"),Настройки!$B$10)),",","."),".",MID(1/2,2,1)),"")</f>
        <v/>
      </c>
      <c r="E1234">
        <f>IFERROR(--SUBSTITUTE(SUBSTITUTE(TRIM(INDEX(INDIRECT("'Выгрузка'!A1234:Z1234"),Настройки!$B$11)),",","."),".",MID(1/2,2,1)),"")</f>
        <v/>
      </c>
      <c r="F1234">
        <f>TRIM(INDEX(INDIRECT("'Выгрузка'!A1234:Z1234"),Настройки!$B$12)&amp;"")</f>
        <v/>
      </c>
      <c r="G1234">
        <f>IF(F1234="",0,IF(TRIM(INDEX(INDIRECT("'Выгрузка'!A1234:Z1234"),Настройки!$B$13)&amp;"")="",1,IFERROR(--SUBSTITUTE(SUBSTITUTE(TRIM(INDEX(INDIRECT("'Выгрузка'!A1234:Z1234"),Настройки!$B$13)),",","."),".",MID(1/2,2,1)),"")))</f>
        <v/>
      </c>
      <c r="H1234">
        <f>IF(F1234="",0,IF(COUNTIF(Настройки!$B$17:$B$26,F1234)&gt;0,1,IF(COUNTIF(Настройки!$C$17:$C$26,F1234)&gt;0,2,IF(COUNTIF(Настройки!$D$17:$D$26,F1234)&gt;0,3,0))))</f>
        <v/>
      </c>
      <c r="I1234">
        <f>IF(AND(ISNUMBER(A1234),ISNUMBER(B1234)),A1234*1000+B1234,"")</f>
        <v/>
      </c>
      <c r="J1234">
        <f>IF(I1234="","",IF(COUNTIF(I$2:I1234,I1234)=1,MAX(J$1:J1233)+1,""))</f>
        <v/>
      </c>
    </row>
    <row r="1235">
      <c r="A1235">
        <f>IFERROR(--SUBSTITUTE(SUBSTITUTE(TRIM(INDEX(INDIRECT("'Выгрузка'!A1235:Z1235"),Настройки!$B$7)),",","."),".",MID(1/2,2,1)),"")</f>
        <v/>
      </c>
      <c r="B1235">
        <f>IFERROR(--SUBSTITUTE(SUBSTITUTE(TRIM(INDEX(INDIRECT("'Выгрузка'!A1235:Z1235"),Настройки!$B$9)),",","."),".",MID(1/2,2,1)),"")</f>
        <v/>
      </c>
      <c r="C1235">
        <f>TRIM(INDEX(INDIRECT("'Выгрузка'!A1235:Z1235"),Настройки!$B$8)&amp;"")</f>
        <v/>
      </c>
      <c r="D1235">
        <f>IFERROR(--SUBSTITUTE(SUBSTITUTE(TRIM(INDEX(INDIRECT("'Выгрузка'!A1235:Z1235"),Настройки!$B$10)),",","."),".",MID(1/2,2,1)),"")</f>
        <v/>
      </c>
      <c r="E1235">
        <f>IFERROR(--SUBSTITUTE(SUBSTITUTE(TRIM(INDEX(INDIRECT("'Выгрузка'!A1235:Z1235"),Настройки!$B$11)),",","."),".",MID(1/2,2,1)),"")</f>
        <v/>
      </c>
      <c r="F1235">
        <f>TRIM(INDEX(INDIRECT("'Выгрузка'!A1235:Z1235"),Настройки!$B$12)&amp;"")</f>
        <v/>
      </c>
      <c r="G1235">
        <f>IF(F1235="",0,IF(TRIM(INDEX(INDIRECT("'Выгрузка'!A1235:Z1235"),Настройки!$B$13)&amp;"")="",1,IFERROR(--SUBSTITUTE(SUBSTITUTE(TRIM(INDEX(INDIRECT("'Выгрузка'!A1235:Z1235"),Настройки!$B$13)),",","."),".",MID(1/2,2,1)),"")))</f>
        <v/>
      </c>
      <c r="H1235">
        <f>IF(F1235="",0,IF(COUNTIF(Настройки!$B$17:$B$26,F1235)&gt;0,1,IF(COUNTIF(Настройки!$C$17:$C$26,F1235)&gt;0,2,IF(COUNTIF(Настройки!$D$17:$D$26,F1235)&gt;0,3,0))))</f>
        <v/>
      </c>
      <c r="I1235">
        <f>IF(AND(ISNUMBER(A1235),ISNUMBER(B1235)),A1235*1000+B1235,"")</f>
        <v/>
      </c>
      <c r="J1235">
        <f>IF(I1235="","",IF(COUNTIF(I$2:I1235,I1235)=1,MAX(J$1:J1234)+1,""))</f>
        <v/>
      </c>
    </row>
    <row r="1236">
      <c r="A1236">
        <f>IFERROR(--SUBSTITUTE(SUBSTITUTE(TRIM(INDEX(INDIRECT("'Выгрузка'!A1236:Z1236"),Настройки!$B$7)),",","."),".",MID(1/2,2,1)),"")</f>
        <v/>
      </c>
      <c r="B1236">
        <f>IFERROR(--SUBSTITUTE(SUBSTITUTE(TRIM(INDEX(INDIRECT("'Выгрузка'!A1236:Z1236"),Настройки!$B$9)),",","."),".",MID(1/2,2,1)),"")</f>
        <v/>
      </c>
      <c r="C1236">
        <f>TRIM(INDEX(INDIRECT("'Выгрузка'!A1236:Z1236"),Настройки!$B$8)&amp;"")</f>
        <v/>
      </c>
      <c r="D1236">
        <f>IFERROR(--SUBSTITUTE(SUBSTITUTE(TRIM(INDEX(INDIRECT("'Выгрузка'!A1236:Z1236"),Настройки!$B$10)),",","."),".",MID(1/2,2,1)),"")</f>
        <v/>
      </c>
      <c r="E1236">
        <f>IFERROR(--SUBSTITUTE(SUBSTITUTE(TRIM(INDEX(INDIRECT("'Выгрузка'!A1236:Z1236"),Настройки!$B$11)),",","."),".",MID(1/2,2,1)),"")</f>
        <v/>
      </c>
      <c r="F1236">
        <f>TRIM(INDEX(INDIRECT("'Выгрузка'!A1236:Z1236"),Настройки!$B$12)&amp;"")</f>
        <v/>
      </c>
      <c r="G1236">
        <f>IF(F1236="",0,IF(TRIM(INDEX(INDIRECT("'Выгрузка'!A1236:Z1236"),Настройки!$B$13)&amp;"")="",1,IFERROR(--SUBSTITUTE(SUBSTITUTE(TRIM(INDEX(INDIRECT("'Выгрузка'!A1236:Z1236"),Настройки!$B$13)),",","."),".",MID(1/2,2,1)),"")))</f>
        <v/>
      </c>
      <c r="H1236">
        <f>IF(F1236="",0,IF(COUNTIF(Настройки!$B$17:$B$26,F1236)&gt;0,1,IF(COUNTIF(Настройки!$C$17:$C$26,F1236)&gt;0,2,IF(COUNTIF(Настройки!$D$17:$D$26,F1236)&gt;0,3,0))))</f>
        <v/>
      </c>
      <c r="I1236">
        <f>IF(AND(ISNUMBER(A1236),ISNUMBER(B1236)),A1236*1000+B1236,"")</f>
        <v/>
      </c>
      <c r="J1236">
        <f>IF(I1236="","",IF(COUNTIF(I$2:I1236,I1236)=1,MAX(J$1:J1235)+1,""))</f>
        <v/>
      </c>
    </row>
    <row r="1237">
      <c r="A1237">
        <f>IFERROR(--SUBSTITUTE(SUBSTITUTE(TRIM(INDEX(INDIRECT("'Выгрузка'!A1237:Z1237"),Настройки!$B$7)),",","."),".",MID(1/2,2,1)),"")</f>
        <v/>
      </c>
      <c r="B1237">
        <f>IFERROR(--SUBSTITUTE(SUBSTITUTE(TRIM(INDEX(INDIRECT("'Выгрузка'!A1237:Z1237"),Настройки!$B$9)),",","."),".",MID(1/2,2,1)),"")</f>
        <v/>
      </c>
      <c r="C1237">
        <f>TRIM(INDEX(INDIRECT("'Выгрузка'!A1237:Z1237"),Настройки!$B$8)&amp;"")</f>
        <v/>
      </c>
      <c r="D1237">
        <f>IFERROR(--SUBSTITUTE(SUBSTITUTE(TRIM(INDEX(INDIRECT("'Выгрузка'!A1237:Z1237"),Настройки!$B$10)),",","."),".",MID(1/2,2,1)),"")</f>
        <v/>
      </c>
      <c r="E1237">
        <f>IFERROR(--SUBSTITUTE(SUBSTITUTE(TRIM(INDEX(INDIRECT("'Выгрузка'!A1237:Z1237"),Настройки!$B$11)),",","."),".",MID(1/2,2,1)),"")</f>
        <v/>
      </c>
      <c r="F1237">
        <f>TRIM(INDEX(INDIRECT("'Выгрузка'!A1237:Z1237"),Настройки!$B$12)&amp;"")</f>
        <v/>
      </c>
      <c r="G1237">
        <f>IF(F1237="",0,IF(TRIM(INDEX(INDIRECT("'Выгрузка'!A1237:Z1237"),Настройки!$B$13)&amp;"")="",1,IFERROR(--SUBSTITUTE(SUBSTITUTE(TRIM(INDEX(INDIRECT("'Выгрузка'!A1237:Z1237"),Настройки!$B$13)),",","."),".",MID(1/2,2,1)),"")))</f>
        <v/>
      </c>
      <c r="H1237">
        <f>IF(F1237="",0,IF(COUNTIF(Настройки!$B$17:$B$26,F1237)&gt;0,1,IF(COUNTIF(Настройки!$C$17:$C$26,F1237)&gt;0,2,IF(COUNTIF(Настройки!$D$17:$D$26,F1237)&gt;0,3,0))))</f>
        <v/>
      </c>
      <c r="I1237">
        <f>IF(AND(ISNUMBER(A1237),ISNUMBER(B1237)),A1237*1000+B1237,"")</f>
        <v/>
      </c>
      <c r="J1237">
        <f>IF(I1237="","",IF(COUNTIF(I$2:I1237,I1237)=1,MAX(J$1:J1236)+1,""))</f>
        <v/>
      </c>
    </row>
    <row r="1238">
      <c r="A1238">
        <f>IFERROR(--SUBSTITUTE(SUBSTITUTE(TRIM(INDEX(INDIRECT("'Выгрузка'!A1238:Z1238"),Настройки!$B$7)),",","."),".",MID(1/2,2,1)),"")</f>
        <v/>
      </c>
      <c r="B1238">
        <f>IFERROR(--SUBSTITUTE(SUBSTITUTE(TRIM(INDEX(INDIRECT("'Выгрузка'!A1238:Z1238"),Настройки!$B$9)),",","."),".",MID(1/2,2,1)),"")</f>
        <v/>
      </c>
      <c r="C1238">
        <f>TRIM(INDEX(INDIRECT("'Выгрузка'!A1238:Z1238"),Настройки!$B$8)&amp;"")</f>
        <v/>
      </c>
      <c r="D1238">
        <f>IFERROR(--SUBSTITUTE(SUBSTITUTE(TRIM(INDEX(INDIRECT("'Выгрузка'!A1238:Z1238"),Настройки!$B$10)),",","."),".",MID(1/2,2,1)),"")</f>
        <v/>
      </c>
      <c r="E1238">
        <f>IFERROR(--SUBSTITUTE(SUBSTITUTE(TRIM(INDEX(INDIRECT("'Выгрузка'!A1238:Z1238"),Настройки!$B$11)),",","."),".",MID(1/2,2,1)),"")</f>
        <v/>
      </c>
      <c r="F1238">
        <f>TRIM(INDEX(INDIRECT("'Выгрузка'!A1238:Z1238"),Настройки!$B$12)&amp;"")</f>
        <v/>
      </c>
      <c r="G1238">
        <f>IF(F1238="",0,IF(TRIM(INDEX(INDIRECT("'Выгрузка'!A1238:Z1238"),Настройки!$B$13)&amp;"")="",1,IFERROR(--SUBSTITUTE(SUBSTITUTE(TRIM(INDEX(INDIRECT("'Выгрузка'!A1238:Z1238"),Настройки!$B$13)),",","."),".",MID(1/2,2,1)),"")))</f>
        <v/>
      </c>
      <c r="H1238">
        <f>IF(F1238="",0,IF(COUNTIF(Настройки!$B$17:$B$26,F1238)&gt;0,1,IF(COUNTIF(Настройки!$C$17:$C$26,F1238)&gt;0,2,IF(COUNTIF(Настройки!$D$17:$D$26,F1238)&gt;0,3,0))))</f>
        <v/>
      </c>
      <c r="I1238">
        <f>IF(AND(ISNUMBER(A1238),ISNUMBER(B1238)),A1238*1000+B1238,"")</f>
        <v/>
      </c>
      <c r="J1238">
        <f>IF(I1238="","",IF(COUNTIF(I$2:I1238,I1238)=1,MAX(J$1:J1237)+1,""))</f>
        <v/>
      </c>
    </row>
    <row r="1239">
      <c r="A1239">
        <f>IFERROR(--SUBSTITUTE(SUBSTITUTE(TRIM(INDEX(INDIRECT("'Выгрузка'!A1239:Z1239"),Настройки!$B$7)),",","."),".",MID(1/2,2,1)),"")</f>
        <v/>
      </c>
      <c r="B1239">
        <f>IFERROR(--SUBSTITUTE(SUBSTITUTE(TRIM(INDEX(INDIRECT("'Выгрузка'!A1239:Z1239"),Настройки!$B$9)),",","."),".",MID(1/2,2,1)),"")</f>
        <v/>
      </c>
      <c r="C1239">
        <f>TRIM(INDEX(INDIRECT("'Выгрузка'!A1239:Z1239"),Настройки!$B$8)&amp;"")</f>
        <v/>
      </c>
      <c r="D1239">
        <f>IFERROR(--SUBSTITUTE(SUBSTITUTE(TRIM(INDEX(INDIRECT("'Выгрузка'!A1239:Z1239"),Настройки!$B$10)),",","."),".",MID(1/2,2,1)),"")</f>
        <v/>
      </c>
      <c r="E1239">
        <f>IFERROR(--SUBSTITUTE(SUBSTITUTE(TRIM(INDEX(INDIRECT("'Выгрузка'!A1239:Z1239"),Настройки!$B$11)),",","."),".",MID(1/2,2,1)),"")</f>
        <v/>
      </c>
      <c r="F1239">
        <f>TRIM(INDEX(INDIRECT("'Выгрузка'!A1239:Z1239"),Настройки!$B$12)&amp;"")</f>
        <v/>
      </c>
      <c r="G1239">
        <f>IF(F1239="",0,IF(TRIM(INDEX(INDIRECT("'Выгрузка'!A1239:Z1239"),Настройки!$B$13)&amp;"")="",1,IFERROR(--SUBSTITUTE(SUBSTITUTE(TRIM(INDEX(INDIRECT("'Выгрузка'!A1239:Z1239"),Настройки!$B$13)),",","."),".",MID(1/2,2,1)),"")))</f>
        <v/>
      </c>
      <c r="H1239">
        <f>IF(F1239="",0,IF(COUNTIF(Настройки!$B$17:$B$26,F1239)&gt;0,1,IF(COUNTIF(Настройки!$C$17:$C$26,F1239)&gt;0,2,IF(COUNTIF(Настройки!$D$17:$D$26,F1239)&gt;0,3,0))))</f>
        <v/>
      </c>
      <c r="I1239">
        <f>IF(AND(ISNUMBER(A1239),ISNUMBER(B1239)),A1239*1000+B1239,"")</f>
        <v/>
      </c>
      <c r="J1239">
        <f>IF(I1239="","",IF(COUNTIF(I$2:I1239,I1239)=1,MAX(J$1:J1238)+1,""))</f>
        <v/>
      </c>
    </row>
    <row r="1240">
      <c r="A1240">
        <f>IFERROR(--SUBSTITUTE(SUBSTITUTE(TRIM(INDEX(INDIRECT("'Выгрузка'!A1240:Z1240"),Настройки!$B$7)),",","."),".",MID(1/2,2,1)),"")</f>
        <v/>
      </c>
      <c r="B1240">
        <f>IFERROR(--SUBSTITUTE(SUBSTITUTE(TRIM(INDEX(INDIRECT("'Выгрузка'!A1240:Z1240"),Настройки!$B$9)),",","."),".",MID(1/2,2,1)),"")</f>
        <v/>
      </c>
      <c r="C1240">
        <f>TRIM(INDEX(INDIRECT("'Выгрузка'!A1240:Z1240"),Настройки!$B$8)&amp;"")</f>
        <v/>
      </c>
      <c r="D1240">
        <f>IFERROR(--SUBSTITUTE(SUBSTITUTE(TRIM(INDEX(INDIRECT("'Выгрузка'!A1240:Z1240"),Настройки!$B$10)),",","."),".",MID(1/2,2,1)),"")</f>
        <v/>
      </c>
      <c r="E1240">
        <f>IFERROR(--SUBSTITUTE(SUBSTITUTE(TRIM(INDEX(INDIRECT("'Выгрузка'!A1240:Z1240"),Настройки!$B$11)),",","."),".",MID(1/2,2,1)),"")</f>
        <v/>
      </c>
      <c r="F1240">
        <f>TRIM(INDEX(INDIRECT("'Выгрузка'!A1240:Z1240"),Настройки!$B$12)&amp;"")</f>
        <v/>
      </c>
      <c r="G1240">
        <f>IF(F1240="",0,IF(TRIM(INDEX(INDIRECT("'Выгрузка'!A1240:Z1240"),Настройки!$B$13)&amp;"")="",1,IFERROR(--SUBSTITUTE(SUBSTITUTE(TRIM(INDEX(INDIRECT("'Выгрузка'!A1240:Z1240"),Настройки!$B$13)),",","."),".",MID(1/2,2,1)),"")))</f>
        <v/>
      </c>
      <c r="H1240">
        <f>IF(F1240="",0,IF(COUNTIF(Настройки!$B$17:$B$26,F1240)&gt;0,1,IF(COUNTIF(Настройки!$C$17:$C$26,F1240)&gt;0,2,IF(COUNTIF(Настройки!$D$17:$D$26,F1240)&gt;0,3,0))))</f>
        <v/>
      </c>
      <c r="I1240">
        <f>IF(AND(ISNUMBER(A1240),ISNUMBER(B1240)),A1240*1000+B1240,"")</f>
        <v/>
      </c>
      <c r="J1240">
        <f>IF(I1240="","",IF(COUNTIF(I$2:I1240,I1240)=1,MAX(J$1:J1239)+1,""))</f>
        <v/>
      </c>
    </row>
    <row r="1241">
      <c r="A1241">
        <f>IFERROR(--SUBSTITUTE(SUBSTITUTE(TRIM(INDEX(INDIRECT("'Выгрузка'!A1241:Z1241"),Настройки!$B$7)),",","."),".",MID(1/2,2,1)),"")</f>
        <v/>
      </c>
      <c r="B1241">
        <f>IFERROR(--SUBSTITUTE(SUBSTITUTE(TRIM(INDEX(INDIRECT("'Выгрузка'!A1241:Z1241"),Настройки!$B$9)),",","."),".",MID(1/2,2,1)),"")</f>
        <v/>
      </c>
      <c r="C1241">
        <f>TRIM(INDEX(INDIRECT("'Выгрузка'!A1241:Z1241"),Настройки!$B$8)&amp;"")</f>
        <v/>
      </c>
      <c r="D1241">
        <f>IFERROR(--SUBSTITUTE(SUBSTITUTE(TRIM(INDEX(INDIRECT("'Выгрузка'!A1241:Z1241"),Настройки!$B$10)),",","."),".",MID(1/2,2,1)),"")</f>
        <v/>
      </c>
      <c r="E1241">
        <f>IFERROR(--SUBSTITUTE(SUBSTITUTE(TRIM(INDEX(INDIRECT("'Выгрузка'!A1241:Z1241"),Настройки!$B$11)),",","."),".",MID(1/2,2,1)),"")</f>
        <v/>
      </c>
      <c r="F1241">
        <f>TRIM(INDEX(INDIRECT("'Выгрузка'!A1241:Z1241"),Настройки!$B$12)&amp;"")</f>
        <v/>
      </c>
      <c r="G1241">
        <f>IF(F1241="",0,IF(TRIM(INDEX(INDIRECT("'Выгрузка'!A1241:Z1241"),Настройки!$B$13)&amp;"")="",1,IFERROR(--SUBSTITUTE(SUBSTITUTE(TRIM(INDEX(INDIRECT("'Выгрузка'!A1241:Z1241"),Настройки!$B$13)),",","."),".",MID(1/2,2,1)),"")))</f>
        <v/>
      </c>
      <c r="H1241">
        <f>IF(F1241="",0,IF(COUNTIF(Настройки!$B$17:$B$26,F1241)&gt;0,1,IF(COUNTIF(Настройки!$C$17:$C$26,F1241)&gt;0,2,IF(COUNTIF(Настройки!$D$17:$D$26,F1241)&gt;0,3,0))))</f>
        <v/>
      </c>
      <c r="I1241">
        <f>IF(AND(ISNUMBER(A1241),ISNUMBER(B1241)),A1241*1000+B1241,"")</f>
        <v/>
      </c>
      <c r="J1241">
        <f>IF(I1241="","",IF(COUNTIF(I$2:I1241,I1241)=1,MAX(J$1:J1240)+1,""))</f>
        <v/>
      </c>
    </row>
    <row r="1242">
      <c r="A1242">
        <f>IFERROR(--SUBSTITUTE(SUBSTITUTE(TRIM(INDEX(INDIRECT("'Выгрузка'!A1242:Z1242"),Настройки!$B$7)),",","."),".",MID(1/2,2,1)),"")</f>
        <v/>
      </c>
      <c r="B1242">
        <f>IFERROR(--SUBSTITUTE(SUBSTITUTE(TRIM(INDEX(INDIRECT("'Выгрузка'!A1242:Z1242"),Настройки!$B$9)),",","."),".",MID(1/2,2,1)),"")</f>
        <v/>
      </c>
      <c r="C1242">
        <f>TRIM(INDEX(INDIRECT("'Выгрузка'!A1242:Z1242"),Настройки!$B$8)&amp;"")</f>
        <v/>
      </c>
      <c r="D1242">
        <f>IFERROR(--SUBSTITUTE(SUBSTITUTE(TRIM(INDEX(INDIRECT("'Выгрузка'!A1242:Z1242"),Настройки!$B$10)),",","."),".",MID(1/2,2,1)),"")</f>
        <v/>
      </c>
      <c r="E1242">
        <f>IFERROR(--SUBSTITUTE(SUBSTITUTE(TRIM(INDEX(INDIRECT("'Выгрузка'!A1242:Z1242"),Настройки!$B$11)),",","."),".",MID(1/2,2,1)),"")</f>
        <v/>
      </c>
      <c r="F1242">
        <f>TRIM(INDEX(INDIRECT("'Выгрузка'!A1242:Z1242"),Настройки!$B$12)&amp;"")</f>
        <v/>
      </c>
      <c r="G1242">
        <f>IF(F1242="",0,IF(TRIM(INDEX(INDIRECT("'Выгрузка'!A1242:Z1242"),Настройки!$B$13)&amp;"")="",1,IFERROR(--SUBSTITUTE(SUBSTITUTE(TRIM(INDEX(INDIRECT("'Выгрузка'!A1242:Z1242"),Настройки!$B$13)),",","."),".",MID(1/2,2,1)),"")))</f>
        <v/>
      </c>
      <c r="H1242">
        <f>IF(F1242="",0,IF(COUNTIF(Настройки!$B$17:$B$26,F1242)&gt;0,1,IF(COUNTIF(Настройки!$C$17:$C$26,F1242)&gt;0,2,IF(COUNTIF(Настройки!$D$17:$D$26,F1242)&gt;0,3,0))))</f>
        <v/>
      </c>
      <c r="I1242">
        <f>IF(AND(ISNUMBER(A1242),ISNUMBER(B1242)),A1242*1000+B1242,"")</f>
        <v/>
      </c>
      <c r="J1242">
        <f>IF(I1242="","",IF(COUNTIF(I$2:I1242,I1242)=1,MAX(J$1:J1241)+1,""))</f>
        <v/>
      </c>
    </row>
    <row r="1243">
      <c r="A1243">
        <f>IFERROR(--SUBSTITUTE(SUBSTITUTE(TRIM(INDEX(INDIRECT("'Выгрузка'!A1243:Z1243"),Настройки!$B$7)),",","."),".",MID(1/2,2,1)),"")</f>
        <v/>
      </c>
      <c r="B1243">
        <f>IFERROR(--SUBSTITUTE(SUBSTITUTE(TRIM(INDEX(INDIRECT("'Выгрузка'!A1243:Z1243"),Настройки!$B$9)),",","."),".",MID(1/2,2,1)),"")</f>
        <v/>
      </c>
      <c r="C1243">
        <f>TRIM(INDEX(INDIRECT("'Выгрузка'!A1243:Z1243"),Настройки!$B$8)&amp;"")</f>
        <v/>
      </c>
      <c r="D1243">
        <f>IFERROR(--SUBSTITUTE(SUBSTITUTE(TRIM(INDEX(INDIRECT("'Выгрузка'!A1243:Z1243"),Настройки!$B$10)),",","."),".",MID(1/2,2,1)),"")</f>
        <v/>
      </c>
      <c r="E1243">
        <f>IFERROR(--SUBSTITUTE(SUBSTITUTE(TRIM(INDEX(INDIRECT("'Выгрузка'!A1243:Z1243"),Настройки!$B$11)),",","."),".",MID(1/2,2,1)),"")</f>
        <v/>
      </c>
      <c r="F1243">
        <f>TRIM(INDEX(INDIRECT("'Выгрузка'!A1243:Z1243"),Настройки!$B$12)&amp;"")</f>
        <v/>
      </c>
      <c r="G1243">
        <f>IF(F1243="",0,IF(TRIM(INDEX(INDIRECT("'Выгрузка'!A1243:Z1243"),Настройки!$B$13)&amp;"")="",1,IFERROR(--SUBSTITUTE(SUBSTITUTE(TRIM(INDEX(INDIRECT("'Выгрузка'!A1243:Z1243"),Настройки!$B$13)),",","."),".",MID(1/2,2,1)),"")))</f>
        <v/>
      </c>
      <c r="H1243">
        <f>IF(F1243="",0,IF(COUNTIF(Настройки!$B$17:$B$26,F1243)&gt;0,1,IF(COUNTIF(Настройки!$C$17:$C$26,F1243)&gt;0,2,IF(COUNTIF(Настройки!$D$17:$D$26,F1243)&gt;0,3,0))))</f>
        <v/>
      </c>
      <c r="I1243">
        <f>IF(AND(ISNUMBER(A1243),ISNUMBER(B1243)),A1243*1000+B1243,"")</f>
        <v/>
      </c>
      <c r="J1243">
        <f>IF(I1243="","",IF(COUNTIF(I$2:I1243,I1243)=1,MAX(J$1:J1242)+1,""))</f>
        <v/>
      </c>
    </row>
    <row r="1244">
      <c r="A1244">
        <f>IFERROR(--SUBSTITUTE(SUBSTITUTE(TRIM(INDEX(INDIRECT("'Выгрузка'!A1244:Z1244"),Настройки!$B$7)),",","."),".",MID(1/2,2,1)),"")</f>
        <v/>
      </c>
      <c r="B1244">
        <f>IFERROR(--SUBSTITUTE(SUBSTITUTE(TRIM(INDEX(INDIRECT("'Выгрузка'!A1244:Z1244"),Настройки!$B$9)),",","."),".",MID(1/2,2,1)),"")</f>
        <v/>
      </c>
      <c r="C1244">
        <f>TRIM(INDEX(INDIRECT("'Выгрузка'!A1244:Z1244"),Настройки!$B$8)&amp;"")</f>
        <v/>
      </c>
      <c r="D1244">
        <f>IFERROR(--SUBSTITUTE(SUBSTITUTE(TRIM(INDEX(INDIRECT("'Выгрузка'!A1244:Z1244"),Настройки!$B$10)),",","."),".",MID(1/2,2,1)),"")</f>
        <v/>
      </c>
      <c r="E1244">
        <f>IFERROR(--SUBSTITUTE(SUBSTITUTE(TRIM(INDEX(INDIRECT("'Выгрузка'!A1244:Z1244"),Настройки!$B$11)),",","."),".",MID(1/2,2,1)),"")</f>
        <v/>
      </c>
      <c r="F1244">
        <f>TRIM(INDEX(INDIRECT("'Выгрузка'!A1244:Z1244"),Настройки!$B$12)&amp;"")</f>
        <v/>
      </c>
      <c r="G1244">
        <f>IF(F1244="",0,IF(TRIM(INDEX(INDIRECT("'Выгрузка'!A1244:Z1244"),Настройки!$B$13)&amp;"")="",1,IFERROR(--SUBSTITUTE(SUBSTITUTE(TRIM(INDEX(INDIRECT("'Выгрузка'!A1244:Z1244"),Настройки!$B$13)),",","."),".",MID(1/2,2,1)),"")))</f>
        <v/>
      </c>
      <c r="H1244">
        <f>IF(F1244="",0,IF(COUNTIF(Настройки!$B$17:$B$26,F1244)&gt;0,1,IF(COUNTIF(Настройки!$C$17:$C$26,F1244)&gt;0,2,IF(COUNTIF(Настройки!$D$17:$D$26,F1244)&gt;0,3,0))))</f>
        <v/>
      </c>
      <c r="I1244">
        <f>IF(AND(ISNUMBER(A1244),ISNUMBER(B1244)),A1244*1000+B1244,"")</f>
        <v/>
      </c>
      <c r="J1244">
        <f>IF(I1244="","",IF(COUNTIF(I$2:I1244,I1244)=1,MAX(J$1:J1243)+1,""))</f>
        <v/>
      </c>
    </row>
    <row r="1245">
      <c r="A1245">
        <f>IFERROR(--SUBSTITUTE(SUBSTITUTE(TRIM(INDEX(INDIRECT("'Выгрузка'!A1245:Z1245"),Настройки!$B$7)),",","."),".",MID(1/2,2,1)),"")</f>
        <v/>
      </c>
      <c r="B1245">
        <f>IFERROR(--SUBSTITUTE(SUBSTITUTE(TRIM(INDEX(INDIRECT("'Выгрузка'!A1245:Z1245"),Настройки!$B$9)),",","."),".",MID(1/2,2,1)),"")</f>
        <v/>
      </c>
      <c r="C1245">
        <f>TRIM(INDEX(INDIRECT("'Выгрузка'!A1245:Z1245"),Настройки!$B$8)&amp;"")</f>
        <v/>
      </c>
      <c r="D1245">
        <f>IFERROR(--SUBSTITUTE(SUBSTITUTE(TRIM(INDEX(INDIRECT("'Выгрузка'!A1245:Z1245"),Настройки!$B$10)),",","."),".",MID(1/2,2,1)),"")</f>
        <v/>
      </c>
      <c r="E1245">
        <f>IFERROR(--SUBSTITUTE(SUBSTITUTE(TRIM(INDEX(INDIRECT("'Выгрузка'!A1245:Z1245"),Настройки!$B$11)),",","."),".",MID(1/2,2,1)),"")</f>
        <v/>
      </c>
      <c r="F1245">
        <f>TRIM(INDEX(INDIRECT("'Выгрузка'!A1245:Z1245"),Настройки!$B$12)&amp;"")</f>
        <v/>
      </c>
      <c r="G1245">
        <f>IF(F1245="",0,IF(TRIM(INDEX(INDIRECT("'Выгрузка'!A1245:Z1245"),Настройки!$B$13)&amp;"")="",1,IFERROR(--SUBSTITUTE(SUBSTITUTE(TRIM(INDEX(INDIRECT("'Выгрузка'!A1245:Z1245"),Настройки!$B$13)),",","."),".",MID(1/2,2,1)),"")))</f>
        <v/>
      </c>
      <c r="H1245">
        <f>IF(F1245="",0,IF(COUNTIF(Настройки!$B$17:$B$26,F1245)&gt;0,1,IF(COUNTIF(Настройки!$C$17:$C$26,F1245)&gt;0,2,IF(COUNTIF(Настройки!$D$17:$D$26,F1245)&gt;0,3,0))))</f>
        <v/>
      </c>
      <c r="I1245">
        <f>IF(AND(ISNUMBER(A1245),ISNUMBER(B1245)),A1245*1000+B1245,"")</f>
        <v/>
      </c>
      <c r="J1245">
        <f>IF(I1245="","",IF(COUNTIF(I$2:I1245,I1245)=1,MAX(J$1:J1244)+1,""))</f>
        <v/>
      </c>
    </row>
    <row r="1246">
      <c r="A1246">
        <f>IFERROR(--SUBSTITUTE(SUBSTITUTE(TRIM(INDEX(INDIRECT("'Выгрузка'!A1246:Z1246"),Настройки!$B$7)),",","."),".",MID(1/2,2,1)),"")</f>
        <v/>
      </c>
      <c r="B1246">
        <f>IFERROR(--SUBSTITUTE(SUBSTITUTE(TRIM(INDEX(INDIRECT("'Выгрузка'!A1246:Z1246"),Настройки!$B$9)),",","."),".",MID(1/2,2,1)),"")</f>
        <v/>
      </c>
      <c r="C1246">
        <f>TRIM(INDEX(INDIRECT("'Выгрузка'!A1246:Z1246"),Настройки!$B$8)&amp;"")</f>
        <v/>
      </c>
      <c r="D1246">
        <f>IFERROR(--SUBSTITUTE(SUBSTITUTE(TRIM(INDEX(INDIRECT("'Выгрузка'!A1246:Z1246"),Настройки!$B$10)),",","."),".",MID(1/2,2,1)),"")</f>
        <v/>
      </c>
      <c r="E1246">
        <f>IFERROR(--SUBSTITUTE(SUBSTITUTE(TRIM(INDEX(INDIRECT("'Выгрузка'!A1246:Z1246"),Настройки!$B$11)),",","."),".",MID(1/2,2,1)),"")</f>
        <v/>
      </c>
      <c r="F1246">
        <f>TRIM(INDEX(INDIRECT("'Выгрузка'!A1246:Z1246"),Настройки!$B$12)&amp;"")</f>
        <v/>
      </c>
      <c r="G1246">
        <f>IF(F1246="",0,IF(TRIM(INDEX(INDIRECT("'Выгрузка'!A1246:Z1246"),Настройки!$B$13)&amp;"")="",1,IFERROR(--SUBSTITUTE(SUBSTITUTE(TRIM(INDEX(INDIRECT("'Выгрузка'!A1246:Z1246"),Настройки!$B$13)),",","."),".",MID(1/2,2,1)),"")))</f>
        <v/>
      </c>
      <c r="H1246">
        <f>IF(F1246="",0,IF(COUNTIF(Настройки!$B$17:$B$26,F1246)&gt;0,1,IF(COUNTIF(Настройки!$C$17:$C$26,F1246)&gt;0,2,IF(COUNTIF(Настройки!$D$17:$D$26,F1246)&gt;0,3,0))))</f>
        <v/>
      </c>
      <c r="I1246">
        <f>IF(AND(ISNUMBER(A1246),ISNUMBER(B1246)),A1246*1000+B1246,"")</f>
        <v/>
      </c>
      <c r="J1246">
        <f>IF(I1246="","",IF(COUNTIF(I$2:I1246,I1246)=1,MAX(J$1:J1245)+1,""))</f>
        <v/>
      </c>
    </row>
    <row r="1247">
      <c r="A1247">
        <f>IFERROR(--SUBSTITUTE(SUBSTITUTE(TRIM(INDEX(INDIRECT("'Выгрузка'!A1247:Z1247"),Настройки!$B$7)),",","."),".",MID(1/2,2,1)),"")</f>
        <v/>
      </c>
      <c r="B1247">
        <f>IFERROR(--SUBSTITUTE(SUBSTITUTE(TRIM(INDEX(INDIRECT("'Выгрузка'!A1247:Z1247"),Настройки!$B$9)),",","."),".",MID(1/2,2,1)),"")</f>
        <v/>
      </c>
      <c r="C1247">
        <f>TRIM(INDEX(INDIRECT("'Выгрузка'!A1247:Z1247"),Настройки!$B$8)&amp;"")</f>
        <v/>
      </c>
      <c r="D1247">
        <f>IFERROR(--SUBSTITUTE(SUBSTITUTE(TRIM(INDEX(INDIRECT("'Выгрузка'!A1247:Z1247"),Настройки!$B$10)),",","."),".",MID(1/2,2,1)),"")</f>
        <v/>
      </c>
      <c r="E1247">
        <f>IFERROR(--SUBSTITUTE(SUBSTITUTE(TRIM(INDEX(INDIRECT("'Выгрузка'!A1247:Z1247"),Настройки!$B$11)),",","."),".",MID(1/2,2,1)),"")</f>
        <v/>
      </c>
      <c r="F1247">
        <f>TRIM(INDEX(INDIRECT("'Выгрузка'!A1247:Z1247"),Настройки!$B$12)&amp;"")</f>
        <v/>
      </c>
      <c r="G1247">
        <f>IF(F1247="",0,IF(TRIM(INDEX(INDIRECT("'Выгрузка'!A1247:Z1247"),Настройки!$B$13)&amp;"")="",1,IFERROR(--SUBSTITUTE(SUBSTITUTE(TRIM(INDEX(INDIRECT("'Выгрузка'!A1247:Z1247"),Настройки!$B$13)),",","."),".",MID(1/2,2,1)),"")))</f>
        <v/>
      </c>
      <c r="H1247">
        <f>IF(F1247="",0,IF(COUNTIF(Настройки!$B$17:$B$26,F1247)&gt;0,1,IF(COUNTIF(Настройки!$C$17:$C$26,F1247)&gt;0,2,IF(COUNTIF(Настройки!$D$17:$D$26,F1247)&gt;0,3,0))))</f>
        <v/>
      </c>
      <c r="I1247">
        <f>IF(AND(ISNUMBER(A1247),ISNUMBER(B1247)),A1247*1000+B1247,"")</f>
        <v/>
      </c>
      <c r="J1247">
        <f>IF(I1247="","",IF(COUNTIF(I$2:I1247,I1247)=1,MAX(J$1:J1246)+1,""))</f>
        <v/>
      </c>
    </row>
    <row r="1248">
      <c r="A1248">
        <f>IFERROR(--SUBSTITUTE(SUBSTITUTE(TRIM(INDEX(INDIRECT("'Выгрузка'!A1248:Z1248"),Настройки!$B$7)),",","."),".",MID(1/2,2,1)),"")</f>
        <v/>
      </c>
      <c r="B1248">
        <f>IFERROR(--SUBSTITUTE(SUBSTITUTE(TRIM(INDEX(INDIRECT("'Выгрузка'!A1248:Z1248"),Настройки!$B$9)),",","."),".",MID(1/2,2,1)),"")</f>
        <v/>
      </c>
      <c r="C1248">
        <f>TRIM(INDEX(INDIRECT("'Выгрузка'!A1248:Z1248"),Настройки!$B$8)&amp;"")</f>
        <v/>
      </c>
      <c r="D1248">
        <f>IFERROR(--SUBSTITUTE(SUBSTITUTE(TRIM(INDEX(INDIRECT("'Выгрузка'!A1248:Z1248"),Настройки!$B$10)),",","."),".",MID(1/2,2,1)),"")</f>
        <v/>
      </c>
      <c r="E1248">
        <f>IFERROR(--SUBSTITUTE(SUBSTITUTE(TRIM(INDEX(INDIRECT("'Выгрузка'!A1248:Z1248"),Настройки!$B$11)),",","."),".",MID(1/2,2,1)),"")</f>
        <v/>
      </c>
      <c r="F1248">
        <f>TRIM(INDEX(INDIRECT("'Выгрузка'!A1248:Z1248"),Настройки!$B$12)&amp;"")</f>
        <v/>
      </c>
      <c r="G1248">
        <f>IF(F1248="",0,IF(TRIM(INDEX(INDIRECT("'Выгрузка'!A1248:Z1248"),Настройки!$B$13)&amp;"")="",1,IFERROR(--SUBSTITUTE(SUBSTITUTE(TRIM(INDEX(INDIRECT("'Выгрузка'!A1248:Z1248"),Настройки!$B$13)),",","."),".",MID(1/2,2,1)),"")))</f>
        <v/>
      </c>
      <c r="H1248">
        <f>IF(F1248="",0,IF(COUNTIF(Настройки!$B$17:$B$26,F1248)&gt;0,1,IF(COUNTIF(Настройки!$C$17:$C$26,F1248)&gt;0,2,IF(COUNTIF(Настройки!$D$17:$D$26,F1248)&gt;0,3,0))))</f>
        <v/>
      </c>
      <c r="I1248">
        <f>IF(AND(ISNUMBER(A1248),ISNUMBER(B1248)),A1248*1000+B1248,"")</f>
        <v/>
      </c>
      <c r="J1248">
        <f>IF(I1248="","",IF(COUNTIF(I$2:I1248,I1248)=1,MAX(J$1:J1247)+1,""))</f>
        <v/>
      </c>
    </row>
    <row r="1249">
      <c r="A1249">
        <f>IFERROR(--SUBSTITUTE(SUBSTITUTE(TRIM(INDEX(INDIRECT("'Выгрузка'!A1249:Z1249"),Настройки!$B$7)),",","."),".",MID(1/2,2,1)),"")</f>
        <v/>
      </c>
      <c r="B1249">
        <f>IFERROR(--SUBSTITUTE(SUBSTITUTE(TRIM(INDEX(INDIRECT("'Выгрузка'!A1249:Z1249"),Настройки!$B$9)),",","."),".",MID(1/2,2,1)),"")</f>
        <v/>
      </c>
      <c r="C1249">
        <f>TRIM(INDEX(INDIRECT("'Выгрузка'!A1249:Z1249"),Настройки!$B$8)&amp;"")</f>
        <v/>
      </c>
      <c r="D1249">
        <f>IFERROR(--SUBSTITUTE(SUBSTITUTE(TRIM(INDEX(INDIRECT("'Выгрузка'!A1249:Z1249"),Настройки!$B$10)),",","."),".",MID(1/2,2,1)),"")</f>
        <v/>
      </c>
      <c r="E1249">
        <f>IFERROR(--SUBSTITUTE(SUBSTITUTE(TRIM(INDEX(INDIRECT("'Выгрузка'!A1249:Z1249"),Настройки!$B$11)),",","."),".",MID(1/2,2,1)),"")</f>
        <v/>
      </c>
      <c r="F1249">
        <f>TRIM(INDEX(INDIRECT("'Выгрузка'!A1249:Z1249"),Настройки!$B$12)&amp;"")</f>
        <v/>
      </c>
      <c r="G1249">
        <f>IF(F1249="",0,IF(TRIM(INDEX(INDIRECT("'Выгрузка'!A1249:Z1249"),Настройки!$B$13)&amp;"")="",1,IFERROR(--SUBSTITUTE(SUBSTITUTE(TRIM(INDEX(INDIRECT("'Выгрузка'!A1249:Z1249"),Настройки!$B$13)),",","."),".",MID(1/2,2,1)),"")))</f>
        <v/>
      </c>
      <c r="H1249">
        <f>IF(F1249="",0,IF(COUNTIF(Настройки!$B$17:$B$26,F1249)&gt;0,1,IF(COUNTIF(Настройки!$C$17:$C$26,F1249)&gt;0,2,IF(COUNTIF(Настройки!$D$17:$D$26,F1249)&gt;0,3,0))))</f>
        <v/>
      </c>
      <c r="I1249">
        <f>IF(AND(ISNUMBER(A1249),ISNUMBER(B1249)),A1249*1000+B1249,"")</f>
        <v/>
      </c>
      <c r="J1249">
        <f>IF(I1249="","",IF(COUNTIF(I$2:I1249,I1249)=1,MAX(J$1:J1248)+1,""))</f>
        <v/>
      </c>
    </row>
    <row r="1250">
      <c r="A1250">
        <f>IFERROR(--SUBSTITUTE(SUBSTITUTE(TRIM(INDEX(INDIRECT("'Выгрузка'!A1250:Z1250"),Настройки!$B$7)),",","."),".",MID(1/2,2,1)),"")</f>
        <v/>
      </c>
      <c r="B1250">
        <f>IFERROR(--SUBSTITUTE(SUBSTITUTE(TRIM(INDEX(INDIRECT("'Выгрузка'!A1250:Z1250"),Настройки!$B$9)),",","."),".",MID(1/2,2,1)),"")</f>
        <v/>
      </c>
      <c r="C1250">
        <f>TRIM(INDEX(INDIRECT("'Выгрузка'!A1250:Z1250"),Настройки!$B$8)&amp;"")</f>
        <v/>
      </c>
      <c r="D1250">
        <f>IFERROR(--SUBSTITUTE(SUBSTITUTE(TRIM(INDEX(INDIRECT("'Выгрузка'!A1250:Z1250"),Настройки!$B$10)),",","."),".",MID(1/2,2,1)),"")</f>
        <v/>
      </c>
      <c r="E1250">
        <f>IFERROR(--SUBSTITUTE(SUBSTITUTE(TRIM(INDEX(INDIRECT("'Выгрузка'!A1250:Z1250"),Настройки!$B$11)),",","."),".",MID(1/2,2,1)),"")</f>
        <v/>
      </c>
      <c r="F1250">
        <f>TRIM(INDEX(INDIRECT("'Выгрузка'!A1250:Z1250"),Настройки!$B$12)&amp;"")</f>
        <v/>
      </c>
      <c r="G1250">
        <f>IF(F1250="",0,IF(TRIM(INDEX(INDIRECT("'Выгрузка'!A1250:Z1250"),Настройки!$B$13)&amp;"")="",1,IFERROR(--SUBSTITUTE(SUBSTITUTE(TRIM(INDEX(INDIRECT("'Выгрузка'!A1250:Z1250"),Настройки!$B$13)),",","."),".",MID(1/2,2,1)),"")))</f>
        <v/>
      </c>
      <c r="H1250">
        <f>IF(F1250="",0,IF(COUNTIF(Настройки!$B$17:$B$26,F1250)&gt;0,1,IF(COUNTIF(Настройки!$C$17:$C$26,F1250)&gt;0,2,IF(COUNTIF(Настройки!$D$17:$D$26,F1250)&gt;0,3,0))))</f>
        <v/>
      </c>
      <c r="I1250">
        <f>IF(AND(ISNUMBER(A1250),ISNUMBER(B1250)),A1250*1000+B1250,"")</f>
        <v/>
      </c>
      <c r="J1250">
        <f>IF(I1250="","",IF(COUNTIF(I$2:I1250,I1250)=1,MAX(J$1:J1249)+1,""))</f>
        <v/>
      </c>
    </row>
    <row r="1251">
      <c r="A1251">
        <f>IFERROR(--SUBSTITUTE(SUBSTITUTE(TRIM(INDEX(INDIRECT("'Выгрузка'!A1251:Z1251"),Настройки!$B$7)),",","."),".",MID(1/2,2,1)),"")</f>
        <v/>
      </c>
      <c r="B1251">
        <f>IFERROR(--SUBSTITUTE(SUBSTITUTE(TRIM(INDEX(INDIRECT("'Выгрузка'!A1251:Z1251"),Настройки!$B$9)),",","."),".",MID(1/2,2,1)),"")</f>
        <v/>
      </c>
      <c r="C1251">
        <f>TRIM(INDEX(INDIRECT("'Выгрузка'!A1251:Z1251"),Настройки!$B$8)&amp;"")</f>
        <v/>
      </c>
      <c r="D1251">
        <f>IFERROR(--SUBSTITUTE(SUBSTITUTE(TRIM(INDEX(INDIRECT("'Выгрузка'!A1251:Z1251"),Настройки!$B$10)),",","."),".",MID(1/2,2,1)),"")</f>
        <v/>
      </c>
      <c r="E1251">
        <f>IFERROR(--SUBSTITUTE(SUBSTITUTE(TRIM(INDEX(INDIRECT("'Выгрузка'!A1251:Z1251"),Настройки!$B$11)),",","."),".",MID(1/2,2,1)),"")</f>
        <v/>
      </c>
      <c r="F1251">
        <f>TRIM(INDEX(INDIRECT("'Выгрузка'!A1251:Z1251"),Настройки!$B$12)&amp;"")</f>
        <v/>
      </c>
      <c r="G1251">
        <f>IF(F1251="",0,IF(TRIM(INDEX(INDIRECT("'Выгрузка'!A1251:Z1251"),Настройки!$B$13)&amp;"")="",1,IFERROR(--SUBSTITUTE(SUBSTITUTE(TRIM(INDEX(INDIRECT("'Выгрузка'!A1251:Z1251"),Настройки!$B$13)),",","."),".",MID(1/2,2,1)),"")))</f>
        <v/>
      </c>
      <c r="H1251">
        <f>IF(F1251="",0,IF(COUNTIF(Настройки!$B$17:$B$26,F1251)&gt;0,1,IF(COUNTIF(Настройки!$C$17:$C$26,F1251)&gt;0,2,IF(COUNTIF(Настройки!$D$17:$D$26,F1251)&gt;0,3,0))))</f>
        <v/>
      </c>
      <c r="I1251">
        <f>IF(AND(ISNUMBER(A1251),ISNUMBER(B1251)),A1251*1000+B1251,"")</f>
        <v/>
      </c>
      <c r="J1251">
        <f>IF(I1251="","",IF(COUNTIF(I$2:I1251,I1251)=1,MAX(J$1:J1250)+1,""))</f>
        <v/>
      </c>
    </row>
    <row r="1252">
      <c r="A1252">
        <f>IFERROR(--SUBSTITUTE(SUBSTITUTE(TRIM(INDEX(INDIRECT("'Выгрузка'!A1252:Z1252"),Настройки!$B$7)),",","."),".",MID(1/2,2,1)),"")</f>
        <v/>
      </c>
      <c r="B1252">
        <f>IFERROR(--SUBSTITUTE(SUBSTITUTE(TRIM(INDEX(INDIRECT("'Выгрузка'!A1252:Z1252"),Настройки!$B$9)),",","."),".",MID(1/2,2,1)),"")</f>
        <v/>
      </c>
      <c r="C1252">
        <f>TRIM(INDEX(INDIRECT("'Выгрузка'!A1252:Z1252"),Настройки!$B$8)&amp;"")</f>
        <v/>
      </c>
      <c r="D1252">
        <f>IFERROR(--SUBSTITUTE(SUBSTITUTE(TRIM(INDEX(INDIRECT("'Выгрузка'!A1252:Z1252"),Настройки!$B$10)),",","."),".",MID(1/2,2,1)),"")</f>
        <v/>
      </c>
      <c r="E1252">
        <f>IFERROR(--SUBSTITUTE(SUBSTITUTE(TRIM(INDEX(INDIRECT("'Выгрузка'!A1252:Z1252"),Настройки!$B$11)),",","."),".",MID(1/2,2,1)),"")</f>
        <v/>
      </c>
      <c r="F1252">
        <f>TRIM(INDEX(INDIRECT("'Выгрузка'!A1252:Z1252"),Настройки!$B$12)&amp;"")</f>
        <v/>
      </c>
      <c r="G1252">
        <f>IF(F1252="",0,IF(TRIM(INDEX(INDIRECT("'Выгрузка'!A1252:Z1252"),Настройки!$B$13)&amp;"")="",1,IFERROR(--SUBSTITUTE(SUBSTITUTE(TRIM(INDEX(INDIRECT("'Выгрузка'!A1252:Z1252"),Настройки!$B$13)),",","."),".",MID(1/2,2,1)),"")))</f>
        <v/>
      </c>
      <c r="H1252">
        <f>IF(F1252="",0,IF(COUNTIF(Настройки!$B$17:$B$26,F1252)&gt;0,1,IF(COUNTIF(Настройки!$C$17:$C$26,F1252)&gt;0,2,IF(COUNTIF(Настройки!$D$17:$D$26,F1252)&gt;0,3,0))))</f>
        <v/>
      </c>
      <c r="I1252">
        <f>IF(AND(ISNUMBER(A1252),ISNUMBER(B1252)),A1252*1000+B1252,"")</f>
        <v/>
      </c>
      <c r="J1252">
        <f>IF(I1252="","",IF(COUNTIF(I$2:I1252,I1252)=1,MAX(J$1:J1251)+1,""))</f>
        <v/>
      </c>
    </row>
    <row r="1253">
      <c r="A1253">
        <f>IFERROR(--SUBSTITUTE(SUBSTITUTE(TRIM(INDEX(INDIRECT("'Выгрузка'!A1253:Z1253"),Настройки!$B$7)),",","."),".",MID(1/2,2,1)),"")</f>
        <v/>
      </c>
      <c r="B1253">
        <f>IFERROR(--SUBSTITUTE(SUBSTITUTE(TRIM(INDEX(INDIRECT("'Выгрузка'!A1253:Z1253"),Настройки!$B$9)),",","."),".",MID(1/2,2,1)),"")</f>
        <v/>
      </c>
      <c r="C1253">
        <f>TRIM(INDEX(INDIRECT("'Выгрузка'!A1253:Z1253"),Настройки!$B$8)&amp;"")</f>
        <v/>
      </c>
      <c r="D1253">
        <f>IFERROR(--SUBSTITUTE(SUBSTITUTE(TRIM(INDEX(INDIRECT("'Выгрузка'!A1253:Z1253"),Настройки!$B$10)),",","."),".",MID(1/2,2,1)),"")</f>
        <v/>
      </c>
      <c r="E1253">
        <f>IFERROR(--SUBSTITUTE(SUBSTITUTE(TRIM(INDEX(INDIRECT("'Выгрузка'!A1253:Z1253"),Настройки!$B$11)),",","."),".",MID(1/2,2,1)),"")</f>
        <v/>
      </c>
      <c r="F1253">
        <f>TRIM(INDEX(INDIRECT("'Выгрузка'!A1253:Z1253"),Настройки!$B$12)&amp;"")</f>
        <v/>
      </c>
      <c r="G1253">
        <f>IF(F1253="",0,IF(TRIM(INDEX(INDIRECT("'Выгрузка'!A1253:Z1253"),Настройки!$B$13)&amp;"")="",1,IFERROR(--SUBSTITUTE(SUBSTITUTE(TRIM(INDEX(INDIRECT("'Выгрузка'!A1253:Z1253"),Настройки!$B$13)),",","."),".",MID(1/2,2,1)),"")))</f>
        <v/>
      </c>
      <c r="H1253">
        <f>IF(F1253="",0,IF(COUNTIF(Настройки!$B$17:$B$26,F1253)&gt;0,1,IF(COUNTIF(Настройки!$C$17:$C$26,F1253)&gt;0,2,IF(COUNTIF(Настройки!$D$17:$D$26,F1253)&gt;0,3,0))))</f>
        <v/>
      </c>
      <c r="I1253">
        <f>IF(AND(ISNUMBER(A1253),ISNUMBER(B1253)),A1253*1000+B1253,"")</f>
        <v/>
      </c>
      <c r="J1253">
        <f>IF(I1253="","",IF(COUNTIF(I$2:I1253,I1253)=1,MAX(J$1:J1252)+1,""))</f>
        <v/>
      </c>
    </row>
    <row r="1254">
      <c r="A1254">
        <f>IFERROR(--SUBSTITUTE(SUBSTITUTE(TRIM(INDEX(INDIRECT("'Выгрузка'!A1254:Z1254"),Настройки!$B$7)),",","."),".",MID(1/2,2,1)),"")</f>
        <v/>
      </c>
      <c r="B1254">
        <f>IFERROR(--SUBSTITUTE(SUBSTITUTE(TRIM(INDEX(INDIRECT("'Выгрузка'!A1254:Z1254"),Настройки!$B$9)),",","."),".",MID(1/2,2,1)),"")</f>
        <v/>
      </c>
      <c r="C1254">
        <f>TRIM(INDEX(INDIRECT("'Выгрузка'!A1254:Z1254"),Настройки!$B$8)&amp;"")</f>
        <v/>
      </c>
      <c r="D1254">
        <f>IFERROR(--SUBSTITUTE(SUBSTITUTE(TRIM(INDEX(INDIRECT("'Выгрузка'!A1254:Z1254"),Настройки!$B$10)),",","."),".",MID(1/2,2,1)),"")</f>
        <v/>
      </c>
      <c r="E1254">
        <f>IFERROR(--SUBSTITUTE(SUBSTITUTE(TRIM(INDEX(INDIRECT("'Выгрузка'!A1254:Z1254"),Настройки!$B$11)),",","."),".",MID(1/2,2,1)),"")</f>
        <v/>
      </c>
      <c r="F1254">
        <f>TRIM(INDEX(INDIRECT("'Выгрузка'!A1254:Z1254"),Настройки!$B$12)&amp;"")</f>
        <v/>
      </c>
      <c r="G1254">
        <f>IF(F1254="",0,IF(TRIM(INDEX(INDIRECT("'Выгрузка'!A1254:Z1254"),Настройки!$B$13)&amp;"")="",1,IFERROR(--SUBSTITUTE(SUBSTITUTE(TRIM(INDEX(INDIRECT("'Выгрузка'!A1254:Z1254"),Настройки!$B$13)),",","."),".",MID(1/2,2,1)),"")))</f>
        <v/>
      </c>
      <c r="H1254">
        <f>IF(F1254="",0,IF(COUNTIF(Настройки!$B$17:$B$26,F1254)&gt;0,1,IF(COUNTIF(Настройки!$C$17:$C$26,F1254)&gt;0,2,IF(COUNTIF(Настройки!$D$17:$D$26,F1254)&gt;0,3,0))))</f>
        <v/>
      </c>
      <c r="I1254">
        <f>IF(AND(ISNUMBER(A1254),ISNUMBER(B1254)),A1254*1000+B1254,"")</f>
        <v/>
      </c>
      <c r="J1254">
        <f>IF(I1254="","",IF(COUNTIF(I$2:I1254,I1254)=1,MAX(J$1:J1253)+1,""))</f>
        <v/>
      </c>
    </row>
    <row r="1255">
      <c r="A1255">
        <f>IFERROR(--SUBSTITUTE(SUBSTITUTE(TRIM(INDEX(INDIRECT("'Выгрузка'!A1255:Z1255"),Настройки!$B$7)),",","."),".",MID(1/2,2,1)),"")</f>
        <v/>
      </c>
      <c r="B1255">
        <f>IFERROR(--SUBSTITUTE(SUBSTITUTE(TRIM(INDEX(INDIRECT("'Выгрузка'!A1255:Z1255"),Настройки!$B$9)),",","."),".",MID(1/2,2,1)),"")</f>
        <v/>
      </c>
      <c r="C1255">
        <f>TRIM(INDEX(INDIRECT("'Выгрузка'!A1255:Z1255"),Настройки!$B$8)&amp;"")</f>
        <v/>
      </c>
      <c r="D1255">
        <f>IFERROR(--SUBSTITUTE(SUBSTITUTE(TRIM(INDEX(INDIRECT("'Выгрузка'!A1255:Z1255"),Настройки!$B$10)),",","."),".",MID(1/2,2,1)),"")</f>
        <v/>
      </c>
      <c r="E1255">
        <f>IFERROR(--SUBSTITUTE(SUBSTITUTE(TRIM(INDEX(INDIRECT("'Выгрузка'!A1255:Z1255"),Настройки!$B$11)),",","."),".",MID(1/2,2,1)),"")</f>
        <v/>
      </c>
      <c r="F1255">
        <f>TRIM(INDEX(INDIRECT("'Выгрузка'!A1255:Z1255"),Настройки!$B$12)&amp;"")</f>
        <v/>
      </c>
      <c r="G1255">
        <f>IF(F1255="",0,IF(TRIM(INDEX(INDIRECT("'Выгрузка'!A1255:Z1255"),Настройки!$B$13)&amp;"")="",1,IFERROR(--SUBSTITUTE(SUBSTITUTE(TRIM(INDEX(INDIRECT("'Выгрузка'!A1255:Z1255"),Настройки!$B$13)),",","."),".",MID(1/2,2,1)),"")))</f>
        <v/>
      </c>
      <c r="H1255">
        <f>IF(F1255="",0,IF(COUNTIF(Настройки!$B$17:$B$26,F1255)&gt;0,1,IF(COUNTIF(Настройки!$C$17:$C$26,F1255)&gt;0,2,IF(COUNTIF(Настройки!$D$17:$D$26,F1255)&gt;0,3,0))))</f>
        <v/>
      </c>
      <c r="I1255">
        <f>IF(AND(ISNUMBER(A1255),ISNUMBER(B1255)),A1255*1000+B1255,"")</f>
        <v/>
      </c>
      <c r="J1255">
        <f>IF(I1255="","",IF(COUNTIF(I$2:I1255,I1255)=1,MAX(J$1:J1254)+1,""))</f>
        <v/>
      </c>
    </row>
    <row r="1256">
      <c r="A1256">
        <f>IFERROR(--SUBSTITUTE(SUBSTITUTE(TRIM(INDEX(INDIRECT("'Выгрузка'!A1256:Z1256"),Настройки!$B$7)),",","."),".",MID(1/2,2,1)),"")</f>
        <v/>
      </c>
      <c r="B1256">
        <f>IFERROR(--SUBSTITUTE(SUBSTITUTE(TRIM(INDEX(INDIRECT("'Выгрузка'!A1256:Z1256"),Настройки!$B$9)),",","."),".",MID(1/2,2,1)),"")</f>
        <v/>
      </c>
      <c r="C1256">
        <f>TRIM(INDEX(INDIRECT("'Выгрузка'!A1256:Z1256"),Настройки!$B$8)&amp;"")</f>
        <v/>
      </c>
      <c r="D1256">
        <f>IFERROR(--SUBSTITUTE(SUBSTITUTE(TRIM(INDEX(INDIRECT("'Выгрузка'!A1256:Z1256"),Настройки!$B$10)),",","."),".",MID(1/2,2,1)),"")</f>
        <v/>
      </c>
      <c r="E1256">
        <f>IFERROR(--SUBSTITUTE(SUBSTITUTE(TRIM(INDEX(INDIRECT("'Выгрузка'!A1256:Z1256"),Настройки!$B$11)),",","."),".",MID(1/2,2,1)),"")</f>
        <v/>
      </c>
      <c r="F1256">
        <f>TRIM(INDEX(INDIRECT("'Выгрузка'!A1256:Z1256"),Настройки!$B$12)&amp;"")</f>
        <v/>
      </c>
      <c r="G1256">
        <f>IF(F1256="",0,IF(TRIM(INDEX(INDIRECT("'Выгрузка'!A1256:Z1256"),Настройки!$B$13)&amp;"")="",1,IFERROR(--SUBSTITUTE(SUBSTITUTE(TRIM(INDEX(INDIRECT("'Выгрузка'!A1256:Z1256"),Настройки!$B$13)),",","."),".",MID(1/2,2,1)),"")))</f>
        <v/>
      </c>
      <c r="H1256">
        <f>IF(F1256="",0,IF(COUNTIF(Настройки!$B$17:$B$26,F1256)&gt;0,1,IF(COUNTIF(Настройки!$C$17:$C$26,F1256)&gt;0,2,IF(COUNTIF(Настройки!$D$17:$D$26,F1256)&gt;0,3,0))))</f>
        <v/>
      </c>
      <c r="I1256">
        <f>IF(AND(ISNUMBER(A1256),ISNUMBER(B1256)),A1256*1000+B1256,"")</f>
        <v/>
      </c>
      <c r="J1256">
        <f>IF(I1256="","",IF(COUNTIF(I$2:I1256,I1256)=1,MAX(J$1:J1255)+1,""))</f>
        <v/>
      </c>
    </row>
    <row r="1257">
      <c r="A1257">
        <f>IFERROR(--SUBSTITUTE(SUBSTITUTE(TRIM(INDEX(INDIRECT("'Выгрузка'!A1257:Z1257"),Настройки!$B$7)),",","."),".",MID(1/2,2,1)),"")</f>
        <v/>
      </c>
      <c r="B1257">
        <f>IFERROR(--SUBSTITUTE(SUBSTITUTE(TRIM(INDEX(INDIRECT("'Выгрузка'!A1257:Z1257"),Настройки!$B$9)),",","."),".",MID(1/2,2,1)),"")</f>
        <v/>
      </c>
      <c r="C1257">
        <f>TRIM(INDEX(INDIRECT("'Выгрузка'!A1257:Z1257"),Настройки!$B$8)&amp;"")</f>
        <v/>
      </c>
      <c r="D1257">
        <f>IFERROR(--SUBSTITUTE(SUBSTITUTE(TRIM(INDEX(INDIRECT("'Выгрузка'!A1257:Z1257"),Настройки!$B$10)),",","."),".",MID(1/2,2,1)),"")</f>
        <v/>
      </c>
      <c r="E1257">
        <f>IFERROR(--SUBSTITUTE(SUBSTITUTE(TRIM(INDEX(INDIRECT("'Выгрузка'!A1257:Z1257"),Настройки!$B$11)),",","."),".",MID(1/2,2,1)),"")</f>
        <v/>
      </c>
      <c r="F1257">
        <f>TRIM(INDEX(INDIRECT("'Выгрузка'!A1257:Z1257"),Настройки!$B$12)&amp;"")</f>
        <v/>
      </c>
      <c r="G1257">
        <f>IF(F1257="",0,IF(TRIM(INDEX(INDIRECT("'Выгрузка'!A1257:Z1257"),Настройки!$B$13)&amp;"")="",1,IFERROR(--SUBSTITUTE(SUBSTITUTE(TRIM(INDEX(INDIRECT("'Выгрузка'!A1257:Z1257"),Настройки!$B$13)),",","."),".",MID(1/2,2,1)),"")))</f>
        <v/>
      </c>
      <c r="H1257">
        <f>IF(F1257="",0,IF(COUNTIF(Настройки!$B$17:$B$26,F1257)&gt;0,1,IF(COUNTIF(Настройки!$C$17:$C$26,F1257)&gt;0,2,IF(COUNTIF(Настройки!$D$17:$D$26,F1257)&gt;0,3,0))))</f>
        <v/>
      </c>
      <c r="I1257">
        <f>IF(AND(ISNUMBER(A1257),ISNUMBER(B1257)),A1257*1000+B1257,"")</f>
        <v/>
      </c>
      <c r="J1257">
        <f>IF(I1257="","",IF(COUNTIF(I$2:I1257,I1257)=1,MAX(J$1:J1256)+1,""))</f>
        <v/>
      </c>
    </row>
    <row r="1258">
      <c r="A1258">
        <f>IFERROR(--SUBSTITUTE(SUBSTITUTE(TRIM(INDEX(INDIRECT("'Выгрузка'!A1258:Z1258"),Настройки!$B$7)),",","."),".",MID(1/2,2,1)),"")</f>
        <v/>
      </c>
      <c r="B1258">
        <f>IFERROR(--SUBSTITUTE(SUBSTITUTE(TRIM(INDEX(INDIRECT("'Выгрузка'!A1258:Z1258"),Настройки!$B$9)),",","."),".",MID(1/2,2,1)),"")</f>
        <v/>
      </c>
      <c r="C1258">
        <f>TRIM(INDEX(INDIRECT("'Выгрузка'!A1258:Z1258"),Настройки!$B$8)&amp;"")</f>
        <v/>
      </c>
      <c r="D1258">
        <f>IFERROR(--SUBSTITUTE(SUBSTITUTE(TRIM(INDEX(INDIRECT("'Выгрузка'!A1258:Z1258"),Настройки!$B$10)),",","."),".",MID(1/2,2,1)),"")</f>
        <v/>
      </c>
      <c r="E1258">
        <f>IFERROR(--SUBSTITUTE(SUBSTITUTE(TRIM(INDEX(INDIRECT("'Выгрузка'!A1258:Z1258"),Настройки!$B$11)),",","."),".",MID(1/2,2,1)),"")</f>
        <v/>
      </c>
      <c r="F1258">
        <f>TRIM(INDEX(INDIRECT("'Выгрузка'!A1258:Z1258"),Настройки!$B$12)&amp;"")</f>
        <v/>
      </c>
      <c r="G1258">
        <f>IF(F1258="",0,IF(TRIM(INDEX(INDIRECT("'Выгрузка'!A1258:Z1258"),Настройки!$B$13)&amp;"")="",1,IFERROR(--SUBSTITUTE(SUBSTITUTE(TRIM(INDEX(INDIRECT("'Выгрузка'!A1258:Z1258"),Настройки!$B$13)),",","."),".",MID(1/2,2,1)),"")))</f>
        <v/>
      </c>
      <c r="H1258">
        <f>IF(F1258="",0,IF(COUNTIF(Настройки!$B$17:$B$26,F1258)&gt;0,1,IF(COUNTIF(Настройки!$C$17:$C$26,F1258)&gt;0,2,IF(COUNTIF(Настройки!$D$17:$D$26,F1258)&gt;0,3,0))))</f>
        <v/>
      </c>
      <c r="I1258">
        <f>IF(AND(ISNUMBER(A1258),ISNUMBER(B1258)),A1258*1000+B1258,"")</f>
        <v/>
      </c>
      <c r="J1258">
        <f>IF(I1258="","",IF(COUNTIF(I$2:I1258,I1258)=1,MAX(J$1:J1257)+1,""))</f>
        <v/>
      </c>
    </row>
    <row r="1259">
      <c r="A1259">
        <f>IFERROR(--SUBSTITUTE(SUBSTITUTE(TRIM(INDEX(INDIRECT("'Выгрузка'!A1259:Z1259"),Настройки!$B$7)),",","."),".",MID(1/2,2,1)),"")</f>
        <v/>
      </c>
      <c r="B1259">
        <f>IFERROR(--SUBSTITUTE(SUBSTITUTE(TRIM(INDEX(INDIRECT("'Выгрузка'!A1259:Z1259"),Настройки!$B$9)),",","."),".",MID(1/2,2,1)),"")</f>
        <v/>
      </c>
      <c r="C1259">
        <f>TRIM(INDEX(INDIRECT("'Выгрузка'!A1259:Z1259"),Настройки!$B$8)&amp;"")</f>
        <v/>
      </c>
      <c r="D1259">
        <f>IFERROR(--SUBSTITUTE(SUBSTITUTE(TRIM(INDEX(INDIRECT("'Выгрузка'!A1259:Z1259"),Настройки!$B$10)),",","."),".",MID(1/2,2,1)),"")</f>
        <v/>
      </c>
      <c r="E1259">
        <f>IFERROR(--SUBSTITUTE(SUBSTITUTE(TRIM(INDEX(INDIRECT("'Выгрузка'!A1259:Z1259"),Настройки!$B$11)),",","."),".",MID(1/2,2,1)),"")</f>
        <v/>
      </c>
      <c r="F1259">
        <f>TRIM(INDEX(INDIRECT("'Выгрузка'!A1259:Z1259"),Настройки!$B$12)&amp;"")</f>
        <v/>
      </c>
      <c r="G1259">
        <f>IF(F1259="",0,IF(TRIM(INDEX(INDIRECT("'Выгрузка'!A1259:Z1259"),Настройки!$B$13)&amp;"")="",1,IFERROR(--SUBSTITUTE(SUBSTITUTE(TRIM(INDEX(INDIRECT("'Выгрузка'!A1259:Z1259"),Настройки!$B$13)),",","."),".",MID(1/2,2,1)),"")))</f>
        <v/>
      </c>
      <c r="H1259">
        <f>IF(F1259="",0,IF(COUNTIF(Настройки!$B$17:$B$26,F1259)&gt;0,1,IF(COUNTIF(Настройки!$C$17:$C$26,F1259)&gt;0,2,IF(COUNTIF(Настройки!$D$17:$D$26,F1259)&gt;0,3,0))))</f>
        <v/>
      </c>
      <c r="I1259">
        <f>IF(AND(ISNUMBER(A1259),ISNUMBER(B1259)),A1259*1000+B1259,"")</f>
        <v/>
      </c>
      <c r="J1259">
        <f>IF(I1259="","",IF(COUNTIF(I$2:I1259,I1259)=1,MAX(J$1:J1258)+1,""))</f>
        <v/>
      </c>
    </row>
    <row r="1260">
      <c r="A1260">
        <f>IFERROR(--SUBSTITUTE(SUBSTITUTE(TRIM(INDEX(INDIRECT("'Выгрузка'!A1260:Z1260"),Настройки!$B$7)),",","."),".",MID(1/2,2,1)),"")</f>
        <v/>
      </c>
      <c r="B1260">
        <f>IFERROR(--SUBSTITUTE(SUBSTITUTE(TRIM(INDEX(INDIRECT("'Выгрузка'!A1260:Z1260"),Настройки!$B$9)),",","."),".",MID(1/2,2,1)),"")</f>
        <v/>
      </c>
      <c r="C1260">
        <f>TRIM(INDEX(INDIRECT("'Выгрузка'!A1260:Z1260"),Настройки!$B$8)&amp;"")</f>
        <v/>
      </c>
      <c r="D1260">
        <f>IFERROR(--SUBSTITUTE(SUBSTITUTE(TRIM(INDEX(INDIRECT("'Выгрузка'!A1260:Z1260"),Настройки!$B$10)),",","."),".",MID(1/2,2,1)),"")</f>
        <v/>
      </c>
      <c r="E1260">
        <f>IFERROR(--SUBSTITUTE(SUBSTITUTE(TRIM(INDEX(INDIRECT("'Выгрузка'!A1260:Z1260"),Настройки!$B$11)),",","."),".",MID(1/2,2,1)),"")</f>
        <v/>
      </c>
      <c r="F1260">
        <f>TRIM(INDEX(INDIRECT("'Выгрузка'!A1260:Z1260"),Настройки!$B$12)&amp;"")</f>
        <v/>
      </c>
      <c r="G1260">
        <f>IF(F1260="",0,IF(TRIM(INDEX(INDIRECT("'Выгрузка'!A1260:Z1260"),Настройки!$B$13)&amp;"")="",1,IFERROR(--SUBSTITUTE(SUBSTITUTE(TRIM(INDEX(INDIRECT("'Выгрузка'!A1260:Z1260"),Настройки!$B$13)),",","."),".",MID(1/2,2,1)),"")))</f>
        <v/>
      </c>
      <c r="H1260">
        <f>IF(F1260="",0,IF(COUNTIF(Настройки!$B$17:$B$26,F1260)&gt;0,1,IF(COUNTIF(Настройки!$C$17:$C$26,F1260)&gt;0,2,IF(COUNTIF(Настройки!$D$17:$D$26,F1260)&gt;0,3,0))))</f>
        <v/>
      </c>
      <c r="I1260">
        <f>IF(AND(ISNUMBER(A1260),ISNUMBER(B1260)),A1260*1000+B1260,"")</f>
        <v/>
      </c>
      <c r="J1260">
        <f>IF(I1260="","",IF(COUNTIF(I$2:I1260,I1260)=1,MAX(J$1:J1259)+1,""))</f>
        <v/>
      </c>
    </row>
    <row r="1261">
      <c r="A1261">
        <f>IFERROR(--SUBSTITUTE(SUBSTITUTE(TRIM(INDEX(INDIRECT("'Выгрузка'!A1261:Z1261"),Настройки!$B$7)),",","."),".",MID(1/2,2,1)),"")</f>
        <v/>
      </c>
      <c r="B1261">
        <f>IFERROR(--SUBSTITUTE(SUBSTITUTE(TRIM(INDEX(INDIRECT("'Выгрузка'!A1261:Z1261"),Настройки!$B$9)),",","."),".",MID(1/2,2,1)),"")</f>
        <v/>
      </c>
      <c r="C1261">
        <f>TRIM(INDEX(INDIRECT("'Выгрузка'!A1261:Z1261"),Настройки!$B$8)&amp;"")</f>
        <v/>
      </c>
      <c r="D1261">
        <f>IFERROR(--SUBSTITUTE(SUBSTITUTE(TRIM(INDEX(INDIRECT("'Выгрузка'!A1261:Z1261"),Настройки!$B$10)),",","."),".",MID(1/2,2,1)),"")</f>
        <v/>
      </c>
      <c r="E1261">
        <f>IFERROR(--SUBSTITUTE(SUBSTITUTE(TRIM(INDEX(INDIRECT("'Выгрузка'!A1261:Z1261"),Настройки!$B$11)),",","."),".",MID(1/2,2,1)),"")</f>
        <v/>
      </c>
      <c r="F1261">
        <f>TRIM(INDEX(INDIRECT("'Выгрузка'!A1261:Z1261"),Настройки!$B$12)&amp;"")</f>
        <v/>
      </c>
      <c r="G1261">
        <f>IF(F1261="",0,IF(TRIM(INDEX(INDIRECT("'Выгрузка'!A1261:Z1261"),Настройки!$B$13)&amp;"")="",1,IFERROR(--SUBSTITUTE(SUBSTITUTE(TRIM(INDEX(INDIRECT("'Выгрузка'!A1261:Z1261"),Настройки!$B$13)),",","."),".",MID(1/2,2,1)),"")))</f>
        <v/>
      </c>
      <c r="H1261">
        <f>IF(F1261="",0,IF(COUNTIF(Настройки!$B$17:$B$26,F1261)&gt;0,1,IF(COUNTIF(Настройки!$C$17:$C$26,F1261)&gt;0,2,IF(COUNTIF(Настройки!$D$17:$D$26,F1261)&gt;0,3,0))))</f>
        <v/>
      </c>
      <c r="I1261">
        <f>IF(AND(ISNUMBER(A1261),ISNUMBER(B1261)),A1261*1000+B1261,"")</f>
        <v/>
      </c>
      <c r="J1261">
        <f>IF(I1261="","",IF(COUNTIF(I$2:I1261,I1261)=1,MAX(J$1:J1260)+1,""))</f>
        <v/>
      </c>
    </row>
    <row r="1262">
      <c r="A1262">
        <f>IFERROR(--SUBSTITUTE(SUBSTITUTE(TRIM(INDEX(INDIRECT("'Выгрузка'!A1262:Z1262"),Настройки!$B$7)),",","."),".",MID(1/2,2,1)),"")</f>
        <v/>
      </c>
      <c r="B1262">
        <f>IFERROR(--SUBSTITUTE(SUBSTITUTE(TRIM(INDEX(INDIRECT("'Выгрузка'!A1262:Z1262"),Настройки!$B$9)),",","."),".",MID(1/2,2,1)),"")</f>
        <v/>
      </c>
      <c r="C1262">
        <f>TRIM(INDEX(INDIRECT("'Выгрузка'!A1262:Z1262"),Настройки!$B$8)&amp;"")</f>
        <v/>
      </c>
      <c r="D1262">
        <f>IFERROR(--SUBSTITUTE(SUBSTITUTE(TRIM(INDEX(INDIRECT("'Выгрузка'!A1262:Z1262"),Настройки!$B$10)),",","."),".",MID(1/2,2,1)),"")</f>
        <v/>
      </c>
      <c r="E1262">
        <f>IFERROR(--SUBSTITUTE(SUBSTITUTE(TRIM(INDEX(INDIRECT("'Выгрузка'!A1262:Z1262"),Настройки!$B$11)),",","."),".",MID(1/2,2,1)),"")</f>
        <v/>
      </c>
      <c r="F1262">
        <f>TRIM(INDEX(INDIRECT("'Выгрузка'!A1262:Z1262"),Настройки!$B$12)&amp;"")</f>
        <v/>
      </c>
      <c r="G1262">
        <f>IF(F1262="",0,IF(TRIM(INDEX(INDIRECT("'Выгрузка'!A1262:Z1262"),Настройки!$B$13)&amp;"")="",1,IFERROR(--SUBSTITUTE(SUBSTITUTE(TRIM(INDEX(INDIRECT("'Выгрузка'!A1262:Z1262"),Настройки!$B$13)),",","."),".",MID(1/2,2,1)),"")))</f>
        <v/>
      </c>
      <c r="H1262">
        <f>IF(F1262="",0,IF(COUNTIF(Настройки!$B$17:$B$26,F1262)&gt;0,1,IF(COUNTIF(Настройки!$C$17:$C$26,F1262)&gt;0,2,IF(COUNTIF(Настройки!$D$17:$D$26,F1262)&gt;0,3,0))))</f>
        <v/>
      </c>
      <c r="I1262">
        <f>IF(AND(ISNUMBER(A1262),ISNUMBER(B1262)),A1262*1000+B1262,"")</f>
        <v/>
      </c>
      <c r="J1262">
        <f>IF(I1262="","",IF(COUNTIF(I$2:I1262,I1262)=1,MAX(J$1:J1261)+1,""))</f>
        <v/>
      </c>
    </row>
    <row r="1263">
      <c r="A1263">
        <f>IFERROR(--SUBSTITUTE(SUBSTITUTE(TRIM(INDEX(INDIRECT("'Выгрузка'!A1263:Z1263"),Настройки!$B$7)),",","."),".",MID(1/2,2,1)),"")</f>
        <v/>
      </c>
      <c r="B1263">
        <f>IFERROR(--SUBSTITUTE(SUBSTITUTE(TRIM(INDEX(INDIRECT("'Выгрузка'!A1263:Z1263"),Настройки!$B$9)),",","."),".",MID(1/2,2,1)),"")</f>
        <v/>
      </c>
      <c r="C1263">
        <f>TRIM(INDEX(INDIRECT("'Выгрузка'!A1263:Z1263"),Настройки!$B$8)&amp;"")</f>
        <v/>
      </c>
      <c r="D1263">
        <f>IFERROR(--SUBSTITUTE(SUBSTITUTE(TRIM(INDEX(INDIRECT("'Выгрузка'!A1263:Z1263"),Настройки!$B$10)),",","."),".",MID(1/2,2,1)),"")</f>
        <v/>
      </c>
      <c r="E1263">
        <f>IFERROR(--SUBSTITUTE(SUBSTITUTE(TRIM(INDEX(INDIRECT("'Выгрузка'!A1263:Z1263"),Настройки!$B$11)),",","."),".",MID(1/2,2,1)),"")</f>
        <v/>
      </c>
      <c r="F1263">
        <f>TRIM(INDEX(INDIRECT("'Выгрузка'!A1263:Z1263"),Настройки!$B$12)&amp;"")</f>
        <v/>
      </c>
      <c r="G1263">
        <f>IF(F1263="",0,IF(TRIM(INDEX(INDIRECT("'Выгрузка'!A1263:Z1263"),Настройки!$B$13)&amp;"")="",1,IFERROR(--SUBSTITUTE(SUBSTITUTE(TRIM(INDEX(INDIRECT("'Выгрузка'!A1263:Z1263"),Настройки!$B$13)),",","."),".",MID(1/2,2,1)),"")))</f>
        <v/>
      </c>
      <c r="H1263">
        <f>IF(F1263="",0,IF(COUNTIF(Настройки!$B$17:$B$26,F1263)&gt;0,1,IF(COUNTIF(Настройки!$C$17:$C$26,F1263)&gt;0,2,IF(COUNTIF(Настройки!$D$17:$D$26,F1263)&gt;0,3,0))))</f>
        <v/>
      </c>
      <c r="I1263">
        <f>IF(AND(ISNUMBER(A1263),ISNUMBER(B1263)),A1263*1000+B1263,"")</f>
        <v/>
      </c>
      <c r="J1263">
        <f>IF(I1263="","",IF(COUNTIF(I$2:I1263,I1263)=1,MAX(J$1:J1262)+1,""))</f>
        <v/>
      </c>
    </row>
    <row r="1264">
      <c r="A1264">
        <f>IFERROR(--SUBSTITUTE(SUBSTITUTE(TRIM(INDEX(INDIRECT("'Выгрузка'!A1264:Z1264"),Настройки!$B$7)),",","."),".",MID(1/2,2,1)),"")</f>
        <v/>
      </c>
      <c r="B1264">
        <f>IFERROR(--SUBSTITUTE(SUBSTITUTE(TRIM(INDEX(INDIRECT("'Выгрузка'!A1264:Z1264"),Настройки!$B$9)),",","."),".",MID(1/2,2,1)),"")</f>
        <v/>
      </c>
      <c r="C1264">
        <f>TRIM(INDEX(INDIRECT("'Выгрузка'!A1264:Z1264"),Настройки!$B$8)&amp;"")</f>
        <v/>
      </c>
      <c r="D1264">
        <f>IFERROR(--SUBSTITUTE(SUBSTITUTE(TRIM(INDEX(INDIRECT("'Выгрузка'!A1264:Z1264"),Настройки!$B$10)),",","."),".",MID(1/2,2,1)),"")</f>
        <v/>
      </c>
      <c r="E1264">
        <f>IFERROR(--SUBSTITUTE(SUBSTITUTE(TRIM(INDEX(INDIRECT("'Выгрузка'!A1264:Z1264"),Настройки!$B$11)),",","."),".",MID(1/2,2,1)),"")</f>
        <v/>
      </c>
      <c r="F1264">
        <f>TRIM(INDEX(INDIRECT("'Выгрузка'!A1264:Z1264"),Настройки!$B$12)&amp;"")</f>
        <v/>
      </c>
      <c r="G1264">
        <f>IF(F1264="",0,IF(TRIM(INDEX(INDIRECT("'Выгрузка'!A1264:Z1264"),Настройки!$B$13)&amp;"")="",1,IFERROR(--SUBSTITUTE(SUBSTITUTE(TRIM(INDEX(INDIRECT("'Выгрузка'!A1264:Z1264"),Настройки!$B$13)),",","."),".",MID(1/2,2,1)),"")))</f>
        <v/>
      </c>
      <c r="H1264">
        <f>IF(F1264="",0,IF(COUNTIF(Настройки!$B$17:$B$26,F1264)&gt;0,1,IF(COUNTIF(Настройки!$C$17:$C$26,F1264)&gt;0,2,IF(COUNTIF(Настройки!$D$17:$D$26,F1264)&gt;0,3,0))))</f>
        <v/>
      </c>
      <c r="I1264">
        <f>IF(AND(ISNUMBER(A1264),ISNUMBER(B1264)),A1264*1000+B1264,"")</f>
        <v/>
      </c>
      <c r="J1264">
        <f>IF(I1264="","",IF(COUNTIF(I$2:I1264,I1264)=1,MAX(J$1:J1263)+1,""))</f>
        <v/>
      </c>
    </row>
    <row r="1265">
      <c r="A1265">
        <f>IFERROR(--SUBSTITUTE(SUBSTITUTE(TRIM(INDEX(INDIRECT("'Выгрузка'!A1265:Z1265"),Настройки!$B$7)),",","."),".",MID(1/2,2,1)),"")</f>
        <v/>
      </c>
      <c r="B1265">
        <f>IFERROR(--SUBSTITUTE(SUBSTITUTE(TRIM(INDEX(INDIRECT("'Выгрузка'!A1265:Z1265"),Настройки!$B$9)),",","."),".",MID(1/2,2,1)),"")</f>
        <v/>
      </c>
      <c r="C1265">
        <f>TRIM(INDEX(INDIRECT("'Выгрузка'!A1265:Z1265"),Настройки!$B$8)&amp;"")</f>
        <v/>
      </c>
      <c r="D1265">
        <f>IFERROR(--SUBSTITUTE(SUBSTITUTE(TRIM(INDEX(INDIRECT("'Выгрузка'!A1265:Z1265"),Настройки!$B$10)),",","."),".",MID(1/2,2,1)),"")</f>
        <v/>
      </c>
      <c r="E1265">
        <f>IFERROR(--SUBSTITUTE(SUBSTITUTE(TRIM(INDEX(INDIRECT("'Выгрузка'!A1265:Z1265"),Настройки!$B$11)),",","."),".",MID(1/2,2,1)),"")</f>
        <v/>
      </c>
      <c r="F1265">
        <f>TRIM(INDEX(INDIRECT("'Выгрузка'!A1265:Z1265"),Настройки!$B$12)&amp;"")</f>
        <v/>
      </c>
      <c r="G1265">
        <f>IF(F1265="",0,IF(TRIM(INDEX(INDIRECT("'Выгрузка'!A1265:Z1265"),Настройки!$B$13)&amp;"")="",1,IFERROR(--SUBSTITUTE(SUBSTITUTE(TRIM(INDEX(INDIRECT("'Выгрузка'!A1265:Z1265"),Настройки!$B$13)),",","."),".",MID(1/2,2,1)),"")))</f>
        <v/>
      </c>
      <c r="H1265">
        <f>IF(F1265="",0,IF(COUNTIF(Настройки!$B$17:$B$26,F1265)&gt;0,1,IF(COUNTIF(Настройки!$C$17:$C$26,F1265)&gt;0,2,IF(COUNTIF(Настройки!$D$17:$D$26,F1265)&gt;0,3,0))))</f>
        <v/>
      </c>
      <c r="I1265">
        <f>IF(AND(ISNUMBER(A1265),ISNUMBER(B1265)),A1265*1000+B1265,"")</f>
        <v/>
      </c>
      <c r="J1265">
        <f>IF(I1265="","",IF(COUNTIF(I$2:I1265,I1265)=1,MAX(J$1:J1264)+1,""))</f>
        <v/>
      </c>
    </row>
    <row r="1266">
      <c r="A1266">
        <f>IFERROR(--SUBSTITUTE(SUBSTITUTE(TRIM(INDEX(INDIRECT("'Выгрузка'!A1266:Z1266"),Настройки!$B$7)),",","."),".",MID(1/2,2,1)),"")</f>
        <v/>
      </c>
      <c r="B1266">
        <f>IFERROR(--SUBSTITUTE(SUBSTITUTE(TRIM(INDEX(INDIRECT("'Выгрузка'!A1266:Z1266"),Настройки!$B$9)),",","."),".",MID(1/2,2,1)),"")</f>
        <v/>
      </c>
      <c r="C1266">
        <f>TRIM(INDEX(INDIRECT("'Выгрузка'!A1266:Z1266"),Настройки!$B$8)&amp;"")</f>
        <v/>
      </c>
      <c r="D1266">
        <f>IFERROR(--SUBSTITUTE(SUBSTITUTE(TRIM(INDEX(INDIRECT("'Выгрузка'!A1266:Z1266"),Настройки!$B$10)),",","."),".",MID(1/2,2,1)),"")</f>
        <v/>
      </c>
      <c r="E1266">
        <f>IFERROR(--SUBSTITUTE(SUBSTITUTE(TRIM(INDEX(INDIRECT("'Выгрузка'!A1266:Z1266"),Настройки!$B$11)),",","."),".",MID(1/2,2,1)),"")</f>
        <v/>
      </c>
      <c r="F1266">
        <f>TRIM(INDEX(INDIRECT("'Выгрузка'!A1266:Z1266"),Настройки!$B$12)&amp;"")</f>
        <v/>
      </c>
      <c r="G1266">
        <f>IF(F1266="",0,IF(TRIM(INDEX(INDIRECT("'Выгрузка'!A1266:Z1266"),Настройки!$B$13)&amp;"")="",1,IFERROR(--SUBSTITUTE(SUBSTITUTE(TRIM(INDEX(INDIRECT("'Выгрузка'!A1266:Z1266"),Настройки!$B$13)),",","."),".",MID(1/2,2,1)),"")))</f>
        <v/>
      </c>
      <c r="H1266">
        <f>IF(F1266="",0,IF(COUNTIF(Настройки!$B$17:$B$26,F1266)&gt;0,1,IF(COUNTIF(Настройки!$C$17:$C$26,F1266)&gt;0,2,IF(COUNTIF(Настройки!$D$17:$D$26,F1266)&gt;0,3,0))))</f>
        <v/>
      </c>
      <c r="I1266">
        <f>IF(AND(ISNUMBER(A1266),ISNUMBER(B1266)),A1266*1000+B1266,"")</f>
        <v/>
      </c>
      <c r="J1266">
        <f>IF(I1266="","",IF(COUNTIF(I$2:I1266,I1266)=1,MAX(J$1:J1265)+1,""))</f>
        <v/>
      </c>
    </row>
    <row r="1267">
      <c r="A1267">
        <f>IFERROR(--SUBSTITUTE(SUBSTITUTE(TRIM(INDEX(INDIRECT("'Выгрузка'!A1267:Z1267"),Настройки!$B$7)),",","."),".",MID(1/2,2,1)),"")</f>
        <v/>
      </c>
      <c r="B1267">
        <f>IFERROR(--SUBSTITUTE(SUBSTITUTE(TRIM(INDEX(INDIRECT("'Выгрузка'!A1267:Z1267"),Настройки!$B$9)),",","."),".",MID(1/2,2,1)),"")</f>
        <v/>
      </c>
      <c r="C1267">
        <f>TRIM(INDEX(INDIRECT("'Выгрузка'!A1267:Z1267"),Настройки!$B$8)&amp;"")</f>
        <v/>
      </c>
      <c r="D1267">
        <f>IFERROR(--SUBSTITUTE(SUBSTITUTE(TRIM(INDEX(INDIRECT("'Выгрузка'!A1267:Z1267"),Настройки!$B$10)),",","."),".",MID(1/2,2,1)),"")</f>
        <v/>
      </c>
      <c r="E1267">
        <f>IFERROR(--SUBSTITUTE(SUBSTITUTE(TRIM(INDEX(INDIRECT("'Выгрузка'!A1267:Z1267"),Настройки!$B$11)),",","."),".",MID(1/2,2,1)),"")</f>
        <v/>
      </c>
      <c r="F1267">
        <f>TRIM(INDEX(INDIRECT("'Выгрузка'!A1267:Z1267"),Настройки!$B$12)&amp;"")</f>
        <v/>
      </c>
      <c r="G1267">
        <f>IF(F1267="",0,IF(TRIM(INDEX(INDIRECT("'Выгрузка'!A1267:Z1267"),Настройки!$B$13)&amp;"")="",1,IFERROR(--SUBSTITUTE(SUBSTITUTE(TRIM(INDEX(INDIRECT("'Выгрузка'!A1267:Z1267"),Настройки!$B$13)),",","."),".",MID(1/2,2,1)),"")))</f>
        <v/>
      </c>
      <c r="H1267">
        <f>IF(F1267="",0,IF(COUNTIF(Настройки!$B$17:$B$26,F1267)&gt;0,1,IF(COUNTIF(Настройки!$C$17:$C$26,F1267)&gt;0,2,IF(COUNTIF(Настройки!$D$17:$D$26,F1267)&gt;0,3,0))))</f>
        <v/>
      </c>
      <c r="I1267">
        <f>IF(AND(ISNUMBER(A1267),ISNUMBER(B1267)),A1267*1000+B1267,"")</f>
        <v/>
      </c>
      <c r="J1267">
        <f>IF(I1267="","",IF(COUNTIF(I$2:I1267,I1267)=1,MAX(J$1:J1266)+1,""))</f>
        <v/>
      </c>
    </row>
    <row r="1268">
      <c r="A1268">
        <f>IFERROR(--SUBSTITUTE(SUBSTITUTE(TRIM(INDEX(INDIRECT("'Выгрузка'!A1268:Z1268"),Настройки!$B$7)),",","."),".",MID(1/2,2,1)),"")</f>
        <v/>
      </c>
      <c r="B1268">
        <f>IFERROR(--SUBSTITUTE(SUBSTITUTE(TRIM(INDEX(INDIRECT("'Выгрузка'!A1268:Z1268"),Настройки!$B$9)),",","."),".",MID(1/2,2,1)),"")</f>
        <v/>
      </c>
      <c r="C1268">
        <f>TRIM(INDEX(INDIRECT("'Выгрузка'!A1268:Z1268"),Настройки!$B$8)&amp;"")</f>
        <v/>
      </c>
      <c r="D1268">
        <f>IFERROR(--SUBSTITUTE(SUBSTITUTE(TRIM(INDEX(INDIRECT("'Выгрузка'!A1268:Z1268"),Настройки!$B$10)),",","."),".",MID(1/2,2,1)),"")</f>
        <v/>
      </c>
      <c r="E1268">
        <f>IFERROR(--SUBSTITUTE(SUBSTITUTE(TRIM(INDEX(INDIRECT("'Выгрузка'!A1268:Z1268"),Настройки!$B$11)),",","."),".",MID(1/2,2,1)),"")</f>
        <v/>
      </c>
      <c r="F1268">
        <f>TRIM(INDEX(INDIRECT("'Выгрузка'!A1268:Z1268"),Настройки!$B$12)&amp;"")</f>
        <v/>
      </c>
      <c r="G1268">
        <f>IF(F1268="",0,IF(TRIM(INDEX(INDIRECT("'Выгрузка'!A1268:Z1268"),Настройки!$B$13)&amp;"")="",1,IFERROR(--SUBSTITUTE(SUBSTITUTE(TRIM(INDEX(INDIRECT("'Выгрузка'!A1268:Z1268"),Настройки!$B$13)),",","."),".",MID(1/2,2,1)),"")))</f>
        <v/>
      </c>
      <c r="H1268">
        <f>IF(F1268="",0,IF(COUNTIF(Настройки!$B$17:$B$26,F1268)&gt;0,1,IF(COUNTIF(Настройки!$C$17:$C$26,F1268)&gt;0,2,IF(COUNTIF(Настройки!$D$17:$D$26,F1268)&gt;0,3,0))))</f>
        <v/>
      </c>
      <c r="I1268">
        <f>IF(AND(ISNUMBER(A1268),ISNUMBER(B1268)),A1268*1000+B1268,"")</f>
        <v/>
      </c>
      <c r="J1268">
        <f>IF(I1268="","",IF(COUNTIF(I$2:I1268,I1268)=1,MAX(J$1:J1267)+1,""))</f>
        <v/>
      </c>
    </row>
    <row r="1269">
      <c r="A1269">
        <f>IFERROR(--SUBSTITUTE(SUBSTITUTE(TRIM(INDEX(INDIRECT("'Выгрузка'!A1269:Z1269"),Настройки!$B$7)),",","."),".",MID(1/2,2,1)),"")</f>
        <v/>
      </c>
      <c r="B1269">
        <f>IFERROR(--SUBSTITUTE(SUBSTITUTE(TRIM(INDEX(INDIRECT("'Выгрузка'!A1269:Z1269"),Настройки!$B$9)),",","."),".",MID(1/2,2,1)),"")</f>
        <v/>
      </c>
      <c r="C1269">
        <f>TRIM(INDEX(INDIRECT("'Выгрузка'!A1269:Z1269"),Настройки!$B$8)&amp;"")</f>
        <v/>
      </c>
      <c r="D1269">
        <f>IFERROR(--SUBSTITUTE(SUBSTITUTE(TRIM(INDEX(INDIRECT("'Выгрузка'!A1269:Z1269"),Настройки!$B$10)),",","."),".",MID(1/2,2,1)),"")</f>
        <v/>
      </c>
      <c r="E1269">
        <f>IFERROR(--SUBSTITUTE(SUBSTITUTE(TRIM(INDEX(INDIRECT("'Выгрузка'!A1269:Z1269"),Настройки!$B$11)),",","."),".",MID(1/2,2,1)),"")</f>
        <v/>
      </c>
      <c r="F1269">
        <f>TRIM(INDEX(INDIRECT("'Выгрузка'!A1269:Z1269"),Настройки!$B$12)&amp;"")</f>
        <v/>
      </c>
      <c r="G1269">
        <f>IF(F1269="",0,IF(TRIM(INDEX(INDIRECT("'Выгрузка'!A1269:Z1269"),Настройки!$B$13)&amp;"")="",1,IFERROR(--SUBSTITUTE(SUBSTITUTE(TRIM(INDEX(INDIRECT("'Выгрузка'!A1269:Z1269"),Настройки!$B$13)),",","."),".",MID(1/2,2,1)),"")))</f>
        <v/>
      </c>
      <c r="H1269">
        <f>IF(F1269="",0,IF(COUNTIF(Настройки!$B$17:$B$26,F1269)&gt;0,1,IF(COUNTIF(Настройки!$C$17:$C$26,F1269)&gt;0,2,IF(COUNTIF(Настройки!$D$17:$D$26,F1269)&gt;0,3,0))))</f>
        <v/>
      </c>
      <c r="I1269">
        <f>IF(AND(ISNUMBER(A1269),ISNUMBER(B1269)),A1269*1000+B1269,"")</f>
        <v/>
      </c>
      <c r="J1269">
        <f>IF(I1269="","",IF(COUNTIF(I$2:I1269,I1269)=1,MAX(J$1:J1268)+1,""))</f>
        <v/>
      </c>
    </row>
    <row r="1270">
      <c r="A1270">
        <f>IFERROR(--SUBSTITUTE(SUBSTITUTE(TRIM(INDEX(INDIRECT("'Выгрузка'!A1270:Z1270"),Настройки!$B$7)),",","."),".",MID(1/2,2,1)),"")</f>
        <v/>
      </c>
      <c r="B1270">
        <f>IFERROR(--SUBSTITUTE(SUBSTITUTE(TRIM(INDEX(INDIRECT("'Выгрузка'!A1270:Z1270"),Настройки!$B$9)),",","."),".",MID(1/2,2,1)),"")</f>
        <v/>
      </c>
      <c r="C1270">
        <f>TRIM(INDEX(INDIRECT("'Выгрузка'!A1270:Z1270"),Настройки!$B$8)&amp;"")</f>
        <v/>
      </c>
      <c r="D1270">
        <f>IFERROR(--SUBSTITUTE(SUBSTITUTE(TRIM(INDEX(INDIRECT("'Выгрузка'!A1270:Z1270"),Настройки!$B$10)),",","."),".",MID(1/2,2,1)),"")</f>
        <v/>
      </c>
      <c r="E1270">
        <f>IFERROR(--SUBSTITUTE(SUBSTITUTE(TRIM(INDEX(INDIRECT("'Выгрузка'!A1270:Z1270"),Настройки!$B$11)),",","."),".",MID(1/2,2,1)),"")</f>
        <v/>
      </c>
      <c r="F1270">
        <f>TRIM(INDEX(INDIRECT("'Выгрузка'!A1270:Z1270"),Настройки!$B$12)&amp;"")</f>
        <v/>
      </c>
      <c r="G1270">
        <f>IF(F1270="",0,IF(TRIM(INDEX(INDIRECT("'Выгрузка'!A1270:Z1270"),Настройки!$B$13)&amp;"")="",1,IFERROR(--SUBSTITUTE(SUBSTITUTE(TRIM(INDEX(INDIRECT("'Выгрузка'!A1270:Z1270"),Настройки!$B$13)),",","."),".",MID(1/2,2,1)),"")))</f>
        <v/>
      </c>
      <c r="H1270">
        <f>IF(F1270="",0,IF(COUNTIF(Настройки!$B$17:$B$26,F1270)&gt;0,1,IF(COUNTIF(Настройки!$C$17:$C$26,F1270)&gt;0,2,IF(COUNTIF(Настройки!$D$17:$D$26,F1270)&gt;0,3,0))))</f>
        <v/>
      </c>
      <c r="I1270">
        <f>IF(AND(ISNUMBER(A1270),ISNUMBER(B1270)),A1270*1000+B1270,"")</f>
        <v/>
      </c>
      <c r="J1270">
        <f>IF(I1270="","",IF(COUNTIF(I$2:I1270,I1270)=1,MAX(J$1:J1269)+1,""))</f>
        <v/>
      </c>
    </row>
    <row r="1271">
      <c r="A1271">
        <f>IFERROR(--SUBSTITUTE(SUBSTITUTE(TRIM(INDEX(INDIRECT("'Выгрузка'!A1271:Z1271"),Настройки!$B$7)),",","."),".",MID(1/2,2,1)),"")</f>
        <v/>
      </c>
      <c r="B1271">
        <f>IFERROR(--SUBSTITUTE(SUBSTITUTE(TRIM(INDEX(INDIRECT("'Выгрузка'!A1271:Z1271"),Настройки!$B$9)),",","."),".",MID(1/2,2,1)),"")</f>
        <v/>
      </c>
      <c r="C1271">
        <f>TRIM(INDEX(INDIRECT("'Выгрузка'!A1271:Z1271"),Настройки!$B$8)&amp;"")</f>
        <v/>
      </c>
      <c r="D1271">
        <f>IFERROR(--SUBSTITUTE(SUBSTITUTE(TRIM(INDEX(INDIRECT("'Выгрузка'!A1271:Z1271"),Настройки!$B$10)),",","."),".",MID(1/2,2,1)),"")</f>
        <v/>
      </c>
      <c r="E1271">
        <f>IFERROR(--SUBSTITUTE(SUBSTITUTE(TRIM(INDEX(INDIRECT("'Выгрузка'!A1271:Z1271"),Настройки!$B$11)),",","."),".",MID(1/2,2,1)),"")</f>
        <v/>
      </c>
      <c r="F1271">
        <f>TRIM(INDEX(INDIRECT("'Выгрузка'!A1271:Z1271"),Настройки!$B$12)&amp;"")</f>
        <v/>
      </c>
      <c r="G1271">
        <f>IF(F1271="",0,IF(TRIM(INDEX(INDIRECT("'Выгрузка'!A1271:Z1271"),Настройки!$B$13)&amp;"")="",1,IFERROR(--SUBSTITUTE(SUBSTITUTE(TRIM(INDEX(INDIRECT("'Выгрузка'!A1271:Z1271"),Настройки!$B$13)),",","."),".",MID(1/2,2,1)),"")))</f>
        <v/>
      </c>
      <c r="H1271">
        <f>IF(F1271="",0,IF(COUNTIF(Настройки!$B$17:$B$26,F1271)&gt;0,1,IF(COUNTIF(Настройки!$C$17:$C$26,F1271)&gt;0,2,IF(COUNTIF(Настройки!$D$17:$D$26,F1271)&gt;0,3,0))))</f>
        <v/>
      </c>
      <c r="I1271">
        <f>IF(AND(ISNUMBER(A1271),ISNUMBER(B1271)),A1271*1000+B1271,"")</f>
        <v/>
      </c>
      <c r="J1271">
        <f>IF(I1271="","",IF(COUNTIF(I$2:I1271,I1271)=1,MAX(J$1:J1270)+1,""))</f>
        <v/>
      </c>
    </row>
    <row r="1272">
      <c r="A1272">
        <f>IFERROR(--SUBSTITUTE(SUBSTITUTE(TRIM(INDEX(INDIRECT("'Выгрузка'!A1272:Z1272"),Настройки!$B$7)),",","."),".",MID(1/2,2,1)),"")</f>
        <v/>
      </c>
      <c r="B1272">
        <f>IFERROR(--SUBSTITUTE(SUBSTITUTE(TRIM(INDEX(INDIRECT("'Выгрузка'!A1272:Z1272"),Настройки!$B$9)),",","."),".",MID(1/2,2,1)),"")</f>
        <v/>
      </c>
      <c r="C1272">
        <f>TRIM(INDEX(INDIRECT("'Выгрузка'!A1272:Z1272"),Настройки!$B$8)&amp;"")</f>
        <v/>
      </c>
      <c r="D1272">
        <f>IFERROR(--SUBSTITUTE(SUBSTITUTE(TRIM(INDEX(INDIRECT("'Выгрузка'!A1272:Z1272"),Настройки!$B$10)),",","."),".",MID(1/2,2,1)),"")</f>
        <v/>
      </c>
      <c r="E1272">
        <f>IFERROR(--SUBSTITUTE(SUBSTITUTE(TRIM(INDEX(INDIRECT("'Выгрузка'!A1272:Z1272"),Настройки!$B$11)),",","."),".",MID(1/2,2,1)),"")</f>
        <v/>
      </c>
      <c r="F1272">
        <f>TRIM(INDEX(INDIRECT("'Выгрузка'!A1272:Z1272"),Настройки!$B$12)&amp;"")</f>
        <v/>
      </c>
      <c r="G1272">
        <f>IF(F1272="",0,IF(TRIM(INDEX(INDIRECT("'Выгрузка'!A1272:Z1272"),Настройки!$B$13)&amp;"")="",1,IFERROR(--SUBSTITUTE(SUBSTITUTE(TRIM(INDEX(INDIRECT("'Выгрузка'!A1272:Z1272"),Настройки!$B$13)),",","."),".",MID(1/2,2,1)),"")))</f>
        <v/>
      </c>
      <c r="H1272">
        <f>IF(F1272="",0,IF(COUNTIF(Настройки!$B$17:$B$26,F1272)&gt;0,1,IF(COUNTIF(Настройки!$C$17:$C$26,F1272)&gt;0,2,IF(COUNTIF(Настройки!$D$17:$D$26,F1272)&gt;0,3,0))))</f>
        <v/>
      </c>
      <c r="I1272">
        <f>IF(AND(ISNUMBER(A1272),ISNUMBER(B1272)),A1272*1000+B1272,"")</f>
        <v/>
      </c>
      <c r="J1272">
        <f>IF(I1272="","",IF(COUNTIF(I$2:I1272,I1272)=1,MAX(J$1:J1271)+1,""))</f>
        <v/>
      </c>
    </row>
    <row r="1273">
      <c r="A1273">
        <f>IFERROR(--SUBSTITUTE(SUBSTITUTE(TRIM(INDEX(INDIRECT("'Выгрузка'!A1273:Z1273"),Настройки!$B$7)),",","."),".",MID(1/2,2,1)),"")</f>
        <v/>
      </c>
      <c r="B1273">
        <f>IFERROR(--SUBSTITUTE(SUBSTITUTE(TRIM(INDEX(INDIRECT("'Выгрузка'!A1273:Z1273"),Настройки!$B$9)),",","."),".",MID(1/2,2,1)),"")</f>
        <v/>
      </c>
      <c r="C1273">
        <f>TRIM(INDEX(INDIRECT("'Выгрузка'!A1273:Z1273"),Настройки!$B$8)&amp;"")</f>
        <v/>
      </c>
      <c r="D1273">
        <f>IFERROR(--SUBSTITUTE(SUBSTITUTE(TRIM(INDEX(INDIRECT("'Выгрузка'!A1273:Z1273"),Настройки!$B$10)),",","."),".",MID(1/2,2,1)),"")</f>
        <v/>
      </c>
      <c r="E1273">
        <f>IFERROR(--SUBSTITUTE(SUBSTITUTE(TRIM(INDEX(INDIRECT("'Выгрузка'!A1273:Z1273"),Настройки!$B$11)),",","."),".",MID(1/2,2,1)),"")</f>
        <v/>
      </c>
      <c r="F1273">
        <f>TRIM(INDEX(INDIRECT("'Выгрузка'!A1273:Z1273"),Настройки!$B$12)&amp;"")</f>
        <v/>
      </c>
      <c r="G1273">
        <f>IF(F1273="",0,IF(TRIM(INDEX(INDIRECT("'Выгрузка'!A1273:Z1273"),Настройки!$B$13)&amp;"")="",1,IFERROR(--SUBSTITUTE(SUBSTITUTE(TRIM(INDEX(INDIRECT("'Выгрузка'!A1273:Z1273"),Настройки!$B$13)),",","."),".",MID(1/2,2,1)),"")))</f>
        <v/>
      </c>
      <c r="H1273">
        <f>IF(F1273="",0,IF(COUNTIF(Настройки!$B$17:$B$26,F1273)&gt;0,1,IF(COUNTIF(Настройки!$C$17:$C$26,F1273)&gt;0,2,IF(COUNTIF(Настройки!$D$17:$D$26,F1273)&gt;0,3,0))))</f>
        <v/>
      </c>
      <c r="I1273">
        <f>IF(AND(ISNUMBER(A1273),ISNUMBER(B1273)),A1273*1000+B1273,"")</f>
        <v/>
      </c>
      <c r="J1273">
        <f>IF(I1273="","",IF(COUNTIF(I$2:I1273,I1273)=1,MAX(J$1:J1272)+1,""))</f>
        <v/>
      </c>
    </row>
    <row r="1274">
      <c r="A1274">
        <f>IFERROR(--SUBSTITUTE(SUBSTITUTE(TRIM(INDEX(INDIRECT("'Выгрузка'!A1274:Z1274"),Настройки!$B$7)),",","."),".",MID(1/2,2,1)),"")</f>
        <v/>
      </c>
      <c r="B1274">
        <f>IFERROR(--SUBSTITUTE(SUBSTITUTE(TRIM(INDEX(INDIRECT("'Выгрузка'!A1274:Z1274"),Настройки!$B$9)),",","."),".",MID(1/2,2,1)),"")</f>
        <v/>
      </c>
      <c r="C1274">
        <f>TRIM(INDEX(INDIRECT("'Выгрузка'!A1274:Z1274"),Настройки!$B$8)&amp;"")</f>
        <v/>
      </c>
      <c r="D1274">
        <f>IFERROR(--SUBSTITUTE(SUBSTITUTE(TRIM(INDEX(INDIRECT("'Выгрузка'!A1274:Z1274"),Настройки!$B$10)),",","."),".",MID(1/2,2,1)),"")</f>
        <v/>
      </c>
      <c r="E1274">
        <f>IFERROR(--SUBSTITUTE(SUBSTITUTE(TRIM(INDEX(INDIRECT("'Выгрузка'!A1274:Z1274"),Настройки!$B$11)),",","."),".",MID(1/2,2,1)),"")</f>
        <v/>
      </c>
      <c r="F1274">
        <f>TRIM(INDEX(INDIRECT("'Выгрузка'!A1274:Z1274"),Настройки!$B$12)&amp;"")</f>
        <v/>
      </c>
      <c r="G1274">
        <f>IF(F1274="",0,IF(TRIM(INDEX(INDIRECT("'Выгрузка'!A1274:Z1274"),Настройки!$B$13)&amp;"")="",1,IFERROR(--SUBSTITUTE(SUBSTITUTE(TRIM(INDEX(INDIRECT("'Выгрузка'!A1274:Z1274"),Настройки!$B$13)),",","."),".",MID(1/2,2,1)),"")))</f>
        <v/>
      </c>
      <c r="H1274">
        <f>IF(F1274="",0,IF(COUNTIF(Настройки!$B$17:$B$26,F1274)&gt;0,1,IF(COUNTIF(Настройки!$C$17:$C$26,F1274)&gt;0,2,IF(COUNTIF(Настройки!$D$17:$D$26,F1274)&gt;0,3,0))))</f>
        <v/>
      </c>
      <c r="I1274">
        <f>IF(AND(ISNUMBER(A1274),ISNUMBER(B1274)),A1274*1000+B1274,"")</f>
        <v/>
      </c>
      <c r="J1274">
        <f>IF(I1274="","",IF(COUNTIF(I$2:I1274,I1274)=1,MAX(J$1:J1273)+1,""))</f>
        <v/>
      </c>
    </row>
    <row r="1275">
      <c r="A1275">
        <f>IFERROR(--SUBSTITUTE(SUBSTITUTE(TRIM(INDEX(INDIRECT("'Выгрузка'!A1275:Z1275"),Настройки!$B$7)),",","."),".",MID(1/2,2,1)),"")</f>
        <v/>
      </c>
      <c r="B1275">
        <f>IFERROR(--SUBSTITUTE(SUBSTITUTE(TRIM(INDEX(INDIRECT("'Выгрузка'!A1275:Z1275"),Настройки!$B$9)),",","."),".",MID(1/2,2,1)),"")</f>
        <v/>
      </c>
      <c r="C1275">
        <f>TRIM(INDEX(INDIRECT("'Выгрузка'!A1275:Z1275"),Настройки!$B$8)&amp;"")</f>
        <v/>
      </c>
      <c r="D1275">
        <f>IFERROR(--SUBSTITUTE(SUBSTITUTE(TRIM(INDEX(INDIRECT("'Выгрузка'!A1275:Z1275"),Настройки!$B$10)),",","."),".",MID(1/2,2,1)),"")</f>
        <v/>
      </c>
      <c r="E1275">
        <f>IFERROR(--SUBSTITUTE(SUBSTITUTE(TRIM(INDEX(INDIRECT("'Выгрузка'!A1275:Z1275"),Настройки!$B$11)),",","."),".",MID(1/2,2,1)),"")</f>
        <v/>
      </c>
      <c r="F1275">
        <f>TRIM(INDEX(INDIRECT("'Выгрузка'!A1275:Z1275"),Настройки!$B$12)&amp;"")</f>
        <v/>
      </c>
      <c r="G1275">
        <f>IF(F1275="",0,IF(TRIM(INDEX(INDIRECT("'Выгрузка'!A1275:Z1275"),Настройки!$B$13)&amp;"")="",1,IFERROR(--SUBSTITUTE(SUBSTITUTE(TRIM(INDEX(INDIRECT("'Выгрузка'!A1275:Z1275"),Настройки!$B$13)),",","."),".",MID(1/2,2,1)),"")))</f>
        <v/>
      </c>
      <c r="H1275">
        <f>IF(F1275="",0,IF(COUNTIF(Настройки!$B$17:$B$26,F1275)&gt;0,1,IF(COUNTIF(Настройки!$C$17:$C$26,F1275)&gt;0,2,IF(COUNTIF(Настройки!$D$17:$D$26,F1275)&gt;0,3,0))))</f>
        <v/>
      </c>
      <c r="I1275">
        <f>IF(AND(ISNUMBER(A1275),ISNUMBER(B1275)),A1275*1000+B1275,"")</f>
        <v/>
      </c>
      <c r="J1275">
        <f>IF(I1275="","",IF(COUNTIF(I$2:I1275,I1275)=1,MAX(J$1:J1274)+1,""))</f>
        <v/>
      </c>
    </row>
    <row r="1276">
      <c r="A1276">
        <f>IFERROR(--SUBSTITUTE(SUBSTITUTE(TRIM(INDEX(INDIRECT("'Выгрузка'!A1276:Z1276"),Настройки!$B$7)),",","."),".",MID(1/2,2,1)),"")</f>
        <v/>
      </c>
      <c r="B1276">
        <f>IFERROR(--SUBSTITUTE(SUBSTITUTE(TRIM(INDEX(INDIRECT("'Выгрузка'!A1276:Z1276"),Настройки!$B$9)),",","."),".",MID(1/2,2,1)),"")</f>
        <v/>
      </c>
      <c r="C1276">
        <f>TRIM(INDEX(INDIRECT("'Выгрузка'!A1276:Z1276"),Настройки!$B$8)&amp;"")</f>
        <v/>
      </c>
      <c r="D1276">
        <f>IFERROR(--SUBSTITUTE(SUBSTITUTE(TRIM(INDEX(INDIRECT("'Выгрузка'!A1276:Z1276"),Настройки!$B$10)),",","."),".",MID(1/2,2,1)),"")</f>
        <v/>
      </c>
      <c r="E1276">
        <f>IFERROR(--SUBSTITUTE(SUBSTITUTE(TRIM(INDEX(INDIRECT("'Выгрузка'!A1276:Z1276"),Настройки!$B$11)),",","."),".",MID(1/2,2,1)),"")</f>
        <v/>
      </c>
      <c r="F1276">
        <f>TRIM(INDEX(INDIRECT("'Выгрузка'!A1276:Z1276"),Настройки!$B$12)&amp;"")</f>
        <v/>
      </c>
      <c r="G1276">
        <f>IF(F1276="",0,IF(TRIM(INDEX(INDIRECT("'Выгрузка'!A1276:Z1276"),Настройки!$B$13)&amp;"")="",1,IFERROR(--SUBSTITUTE(SUBSTITUTE(TRIM(INDEX(INDIRECT("'Выгрузка'!A1276:Z1276"),Настройки!$B$13)),",","."),".",MID(1/2,2,1)),"")))</f>
        <v/>
      </c>
      <c r="H1276">
        <f>IF(F1276="",0,IF(COUNTIF(Настройки!$B$17:$B$26,F1276)&gt;0,1,IF(COUNTIF(Настройки!$C$17:$C$26,F1276)&gt;0,2,IF(COUNTIF(Настройки!$D$17:$D$26,F1276)&gt;0,3,0))))</f>
        <v/>
      </c>
      <c r="I1276">
        <f>IF(AND(ISNUMBER(A1276),ISNUMBER(B1276)),A1276*1000+B1276,"")</f>
        <v/>
      </c>
      <c r="J1276">
        <f>IF(I1276="","",IF(COUNTIF(I$2:I1276,I1276)=1,MAX(J$1:J1275)+1,""))</f>
        <v/>
      </c>
    </row>
    <row r="1277">
      <c r="A1277">
        <f>IFERROR(--SUBSTITUTE(SUBSTITUTE(TRIM(INDEX(INDIRECT("'Выгрузка'!A1277:Z1277"),Настройки!$B$7)),",","."),".",MID(1/2,2,1)),"")</f>
        <v/>
      </c>
      <c r="B1277">
        <f>IFERROR(--SUBSTITUTE(SUBSTITUTE(TRIM(INDEX(INDIRECT("'Выгрузка'!A1277:Z1277"),Настройки!$B$9)),",","."),".",MID(1/2,2,1)),"")</f>
        <v/>
      </c>
      <c r="C1277">
        <f>TRIM(INDEX(INDIRECT("'Выгрузка'!A1277:Z1277"),Настройки!$B$8)&amp;"")</f>
        <v/>
      </c>
      <c r="D1277">
        <f>IFERROR(--SUBSTITUTE(SUBSTITUTE(TRIM(INDEX(INDIRECT("'Выгрузка'!A1277:Z1277"),Настройки!$B$10)),",","."),".",MID(1/2,2,1)),"")</f>
        <v/>
      </c>
      <c r="E1277">
        <f>IFERROR(--SUBSTITUTE(SUBSTITUTE(TRIM(INDEX(INDIRECT("'Выгрузка'!A1277:Z1277"),Настройки!$B$11)),",","."),".",MID(1/2,2,1)),"")</f>
        <v/>
      </c>
      <c r="F1277">
        <f>TRIM(INDEX(INDIRECT("'Выгрузка'!A1277:Z1277"),Настройки!$B$12)&amp;"")</f>
        <v/>
      </c>
      <c r="G1277">
        <f>IF(F1277="",0,IF(TRIM(INDEX(INDIRECT("'Выгрузка'!A1277:Z1277"),Настройки!$B$13)&amp;"")="",1,IFERROR(--SUBSTITUTE(SUBSTITUTE(TRIM(INDEX(INDIRECT("'Выгрузка'!A1277:Z1277"),Настройки!$B$13)),",","."),".",MID(1/2,2,1)),"")))</f>
        <v/>
      </c>
      <c r="H1277">
        <f>IF(F1277="",0,IF(COUNTIF(Настройки!$B$17:$B$26,F1277)&gt;0,1,IF(COUNTIF(Настройки!$C$17:$C$26,F1277)&gt;0,2,IF(COUNTIF(Настройки!$D$17:$D$26,F1277)&gt;0,3,0))))</f>
        <v/>
      </c>
      <c r="I1277">
        <f>IF(AND(ISNUMBER(A1277),ISNUMBER(B1277)),A1277*1000+B1277,"")</f>
        <v/>
      </c>
      <c r="J1277">
        <f>IF(I1277="","",IF(COUNTIF(I$2:I1277,I1277)=1,MAX(J$1:J1276)+1,""))</f>
        <v/>
      </c>
    </row>
    <row r="1278">
      <c r="A1278">
        <f>IFERROR(--SUBSTITUTE(SUBSTITUTE(TRIM(INDEX(INDIRECT("'Выгрузка'!A1278:Z1278"),Настройки!$B$7)),",","."),".",MID(1/2,2,1)),"")</f>
        <v/>
      </c>
      <c r="B1278">
        <f>IFERROR(--SUBSTITUTE(SUBSTITUTE(TRIM(INDEX(INDIRECT("'Выгрузка'!A1278:Z1278"),Настройки!$B$9)),",","."),".",MID(1/2,2,1)),"")</f>
        <v/>
      </c>
      <c r="C1278">
        <f>TRIM(INDEX(INDIRECT("'Выгрузка'!A1278:Z1278"),Настройки!$B$8)&amp;"")</f>
        <v/>
      </c>
      <c r="D1278">
        <f>IFERROR(--SUBSTITUTE(SUBSTITUTE(TRIM(INDEX(INDIRECT("'Выгрузка'!A1278:Z1278"),Настройки!$B$10)),",","."),".",MID(1/2,2,1)),"")</f>
        <v/>
      </c>
      <c r="E1278">
        <f>IFERROR(--SUBSTITUTE(SUBSTITUTE(TRIM(INDEX(INDIRECT("'Выгрузка'!A1278:Z1278"),Настройки!$B$11)),",","."),".",MID(1/2,2,1)),"")</f>
        <v/>
      </c>
      <c r="F1278">
        <f>TRIM(INDEX(INDIRECT("'Выгрузка'!A1278:Z1278"),Настройки!$B$12)&amp;"")</f>
        <v/>
      </c>
      <c r="G1278">
        <f>IF(F1278="",0,IF(TRIM(INDEX(INDIRECT("'Выгрузка'!A1278:Z1278"),Настройки!$B$13)&amp;"")="",1,IFERROR(--SUBSTITUTE(SUBSTITUTE(TRIM(INDEX(INDIRECT("'Выгрузка'!A1278:Z1278"),Настройки!$B$13)),",","."),".",MID(1/2,2,1)),"")))</f>
        <v/>
      </c>
      <c r="H1278">
        <f>IF(F1278="",0,IF(COUNTIF(Настройки!$B$17:$B$26,F1278)&gt;0,1,IF(COUNTIF(Настройки!$C$17:$C$26,F1278)&gt;0,2,IF(COUNTIF(Настройки!$D$17:$D$26,F1278)&gt;0,3,0))))</f>
        <v/>
      </c>
      <c r="I1278">
        <f>IF(AND(ISNUMBER(A1278),ISNUMBER(B1278)),A1278*1000+B1278,"")</f>
        <v/>
      </c>
      <c r="J1278">
        <f>IF(I1278="","",IF(COUNTIF(I$2:I1278,I1278)=1,MAX(J$1:J1277)+1,""))</f>
        <v/>
      </c>
    </row>
    <row r="1279">
      <c r="A1279">
        <f>IFERROR(--SUBSTITUTE(SUBSTITUTE(TRIM(INDEX(INDIRECT("'Выгрузка'!A1279:Z1279"),Настройки!$B$7)),",","."),".",MID(1/2,2,1)),"")</f>
        <v/>
      </c>
      <c r="B1279">
        <f>IFERROR(--SUBSTITUTE(SUBSTITUTE(TRIM(INDEX(INDIRECT("'Выгрузка'!A1279:Z1279"),Настройки!$B$9)),",","."),".",MID(1/2,2,1)),"")</f>
        <v/>
      </c>
      <c r="C1279">
        <f>TRIM(INDEX(INDIRECT("'Выгрузка'!A1279:Z1279"),Настройки!$B$8)&amp;"")</f>
        <v/>
      </c>
      <c r="D1279">
        <f>IFERROR(--SUBSTITUTE(SUBSTITUTE(TRIM(INDEX(INDIRECT("'Выгрузка'!A1279:Z1279"),Настройки!$B$10)),",","."),".",MID(1/2,2,1)),"")</f>
        <v/>
      </c>
      <c r="E1279">
        <f>IFERROR(--SUBSTITUTE(SUBSTITUTE(TRIM(INDEX(INDIRECT("'Выгрузка'!A1279:Z1279"),Настройки!$B$11)),",","."),".",MID(1/2,2,1)),"")</f>
        <v/>
      </c>
      <c r="F1279">
        <f>TRIM(INDEX(INDIRECT("'Выгрузка'!A1279:Z1279"),Настройки!$B$12)&amp;"")</f>
        <v/>
      </c>
      <c r="G1279">
        <f>IF(F1279="",0,IF(TRIM(INDEX(INDIRECT("'Выгрузка'!A1279:Z1279"),Настройки!$B$13)&amp;"")="",1,IFERROR(--SUBSTITUTE(SUBSTITUTE(TRIM(INDEX(INDIRECT("'Выгрузка'!A1279:Z1279"),Настройки!$B$13)),",","."),".",MID(1/2,2,1)),"")))</f>
        <v/>
      </c>
      <c r="H1279">
        <f>IF(F1279="",0,IF(COUNTIF(Настройки!$B$17:$B$26,F1279)&gt;0,1,IF(COUNTIF(Настройки!$C$17:$C$26,F1279)&gt;0,2,IF(COUNTIF(Настройки!$D$17:$D$26,F1279)&gt;0,3,0))))</f>
        <v/>
      </c>
      <c r="I1279">
        <f>IF(AND(ISNUMBER(A1279),ISNUMBER(B1279)),A1279*1000+B1279,"")</f>
        <v/>
      </c>
      <c r="J1279">
        <f>IF(I1279="","",IF(COUNTIF(I$2:I1279,I1279)=1,MAX(J$1:J1278)+1,""))</f>
        <v/>
      </c>
    </row>
    <row r="1280">
      <c r="A1280">
        <f>IFERROR(--SUBSTITUTE(SUBSTITUTE(TRIM(INDEX(INDIRECT("'Выгрузка'!A1280:Z1280"),Настройки!$B$7)),",","."),".",MID(1/2,2,1)),"")</f>
        <v/>
      </c>
      <c r="B1280">
        <f>IFERROR(--SUBSTITUTE(SUBSTITUTE(TRIM(INDEX(INDIRECT("'Выгрузка'!A1280:Z1280"),Настройки!$B$9)),",","."),".",MID(1/2,2,1)),"")</f>
        <v/>
      </c>
      <c r="C1280">
        <f>TRIM(INDEX(INDIRECT("'Выгрузка'!A1280:Z1280"),Настройки!$B$8)&amp;"")</f>
        <v/>
      </c>
      <c r="D1280">
        <f>IFERROR(--SUBSTITUTE(SUBSTITUTE(TRIM(INDEX(INDIRECT("'Выгрузка'!A1280:Z1280"),Настройки!$B$10)),",","."),".",MID(1/2,2,1)),"")</f>
        <v/>
      </c>
      <c r="E1280">
        <f>IFERROR(--SUBSTITUTE(SUBSTITUTE(TRIM(INDEX(INDIRECT("'Выгрузка'!A1280:Z1280"),Настройки!$B$11)),",","."),".",MID(1/2,2,1)),"")</f>
        <v/>
      </c>
      <c r="F1280">
        <f>TRIM(INDEX(INDIRECT("'Выгрузка'!A1280:Z1280"),Настройки!$B$12)&amp;"")</f>
        <v/>
      </c>
      <c r="G1280">
        <f>IF(F1280="",0,IF(TRIM(INDEX(INDIRECT("'Выгрузка'!A1280:Z1280"),Настройки!$B$13)&amp;"")="",1,IFERROR(--SUBSTITUTE(SUBSTITUTE(TRIM(INDEX(INDIRECT("'Выгрузка'!A1280:Z1280"),Настройки!$B$13)),",","."),".",MID(1/2,2,1)),"")))</f>
        <v/>
      </c>
      <c r="H1280">
        <f>IF(F1280="",0,IF(COUNTIF(Настройки!$B$17:$B$26,F1280)&gt;0,1,IF(COUNTIF(Настройки!$C$17:$C$26,F1280)&gt;0,2,IF(COUNTIF(Настройки!$D$17:$D$26,F1280)&gt;0,3,0))))</f>
        <v/>
      </c>
      <c r="I1280">
        <f>IF(AND(ISNUMBER(A1280),ISNUMBER(B1280)),A1280*1000+B1280,"")</f>
        <v/>
      </c>
      <c r="J1280">
        <f>IF(I1280="","",IF(COUNTIF(I$2:I1280,I1280)=1,MAX(J$1:J1279)+1,""))</f>
        <v/>
      </c>
    </row>
    <row r="1281">
      <c r="A1281">
        <f>IFERROR(--SUBSTITUTE(SUBSTITUTE(TRIM(INDEX(INDIRECT("'Выгрузка'!A1281:Z1281"),Настройки!$B$7)),",","."),".",MID(1/2,2,1)),"")</f>
        <v/>
      </c>
      <c r="B1281">
        <f>IFERROR(--SUBSTITUTE(SUBSTITUTE(TRIM(INDEX(INDIRECT("'Выгрузка'!A1281:Z1281"),Настройки!$B$9)),",","."),".",MID(1/2,2,1)),"")</f>
        <v/>
      </c>
      <c r="C1281">
        <f>TRIM(INDEX(INDIRECT("'Выгрузка'!A1281:Z1281"),Настройки!$B$8)&amp;"")</f>
        <v/>
      </c>
      <c r="D1281">
        <f>IFERROR(--SUBSTITUTE(SUBSTITUTE(TRIM(INDEX(INDIRECT("'Выгрузка'!A1281:Z1281"),Настройки!$B$10)),",","."),".",MID(1/2,2,1)),"")</f>
        <v/>
      </c>
      <c r="E1281">
        <f>IFERROR(--SUBSTITUTE(SUBSTITUTE(TRIM(INDEX(INDIRECT("'Выгрузка'!A1281:Z1281"),Настройки!$B$11)),",","."),".",MID(1/2,2,1)),"")</f>
        <v/>
      </c>
      <c r="F1281">
        <f>TRIM(INDEX(INDIRECT("'Выгрузка'!A1281:Z1281"),Настройки!$B$12)&amp;"")</f>
        <v/>
      </c>
      <c r="G1281">
        <f>IF(F1281="",0,IF(TRIM(INDEX(INDIRECT("'Выгрузка'!A1281:Z1281"),Настройки!$B$13)&amp;"")="",1,IFERROR(--SUBSTITUTE(SUBSTITUTE(TRIM(INDEX(INDIRECT("'Выгрузка'!A1281:Z1281"),Настройки!$B$13)),",","."),".",MID(1/2,2,1)),"")))</f>
        <v/>
      </c>
      <c r="H1281">
        <f>IF(F1281="",0,IF(COUNTIF(Настройки!$B$17:$B$26,F1281)&gt;0,1,IF(COUNTIF(Настройки!$C$17:$C$26,F1281)&gt;0,2,IF(COUNTIF(Настройки!$D$17:$D$26,F1281)&gt;0,3,0))))</f>
        <v/>
      </c>
      <c r="I1281">
        <f>IF(AND(ISNUMBER(A1281),ISNUMBER(B1281)),A1281*1000+B1281,"")</f>
        <v/>
      </c>
      <c r="J1281">
        <f>IF(I1281="","",IF(COUNTIF(I$2:I1281,I1281)=1,MAX(J$1:J1280)+1,""))</f>
        <v/>
      </c>
    </row>
    <row r="1282">
      <c r="A1282">
        <f>IFERROR(--SUBSTITUTE(SUBSTITUTE(TRIM(INDEX(INDIRECT("'Выгрузка'!A1282:Z1282"),Настройки!$B$7)),",","."),".",MID(1/2,2,1)),"")</f>
        <v/>
      </c>
      <c r="B1282">
        <f>IFERROR(--SUBSTITUTE(SUBSTITUTE(TRIM(INDEX(INDIRECT("'Выгрузка'!A1282:Z1282"),Настройки!$B$9)),",","."),".",MID(1/2,2,1)),"")</f>
        <v/>
      </c>
      <c r="C1282">
        <f>TRIM(INDEX(INDIRECT("'Выгрузка'!A1282:Z1282"),Настройки!$B$8)&amp;"")</f>
        <v/>
      </c>
      <c r="D1282">
        <f>IFERROR(--SUBSTITUTE(SUBSTITUTE(TRIM(INDEX(INDIRECT("'Выгрузка'!A1282:Z1282"),Настройки!$B$10)),",","."),".",MID(1/2,2,1)),"")</f>
        <v/>
      </c>
      <c r="E1282">
        <f>IFERROR(--SUBSTITUTE(SUBSTITUTE(TRIM(INDEX(INDIRECT("'Выгрузка'!A1282:Z1282"),Настройки!$B$11)),",","."),".",MID(1/2,2,1)),"")</f>
        <v/>
      </c>
      <c r="F1282">
        <f>TRIM(INDEX(INDIRECT("'Выгрузка'!A1282:Z1282"),Настройки!$B$12)&amp;"")</f>
        <v/>
      </c>
      <c r="G1282">
        <f>IF(F1282="",0,IF(TRIM(INDEX(INDIRECT("'Выгрузка'!A1282:Z1282"),Настройки!$B$13)&amp;"")="",1,IFERROR(--SUBSTITUTE(SUBSTITUTE(TRIM(INDEX(INDIRECT("'Выгрузка'!A1282:Z1282"),Настройки!$B$13)),",","."),".",MID(1/2,2,1)),"")))</f>
        <v/>
      </c>
      <c r="H1282">
        <f>IF(F1282="",0,IF(COUNTIF(Настройки!$B$17:$B$26,F1282)&gt;0,1,IF(COUNTIF(Настройки!$C$17:$C$26,F1282)&gt;0,2,IF(COUNTIF(Настройки!$D$17:$D$26,F1282)&gt;0,3,0))))</f>
        <v/>
      </c>
      <c r="I1282">
        <f>IF(AND(ISNUMBER(A1282),ISNUMBER(B1282)),A1282*1000+B1282,"")</f>
        <v/>
      </c>
      <c r="J1282">
        <f>IF(I1282="","",IF(COUNTIF(I$2:I1282,I1282)=1,MAX(J$1:J1281)+1,""))</f>
        <v/>
      </c>
    </row>
    <row r="1283">
      <c r="A1283">
        <f>IFERROR(--SUBSTITUTE(SUBSTITUTE(TRIM(INDEX(INDIRECT("'Выгрузка'!A1283:Z1283"),Настройки!$B$7)),",","."),".",MID(1/2,2,1)),"")</f>
        <v/>
      </c>
      <c r="B1283">
        <f>IFERROR(--SUBSTITUTE(SUBSTITUTE(TRIM(INDEX(INDIRECT("'Выгрузка'!A1283:Z1283"),Настройки!$B$9)),",","."),".",MID(1/2,2,1)),"")</f>
        <v/>
      </c>
      <c r="C1283">
        <f>TRIM(INDEX(INDIRECT("'Выгрузка'!A1283:Z1283"),Настройки!$B$8)&amp;"")</f>
        <v/>
      </c>
      <c r="D1283">
        <f>IFERROR(--SUBSTITUTE(SUBSTITUTE(TRIM(INDEX(INDIRECT("'Выгрузка'!A1283:Z1283"),Настройки!$B$10)),",","."),".",MID(1/2,2,1)),"")</f>
        <v/>
      </c>
      <c r="E1283">
        <f>IFERROR(--SUBSTITUTE(SUBSTITUTE(TRIM(INDEX(INDIRECT("'Выгрузка'!A1283:Z1283"),Настройки!$B$11)),",","."),".",MID(1/2,2,1)),"")</f>
        <v/>
      </c>
      <c r="F1283">
        <f>TRIM(INDEX(INDIRECT("'Выгрузка'!A1283:Z1283"),Настройки!$B$12)&amp;"")</f>
        <v/>
      </c>
      <c r="G1283">
        <f>IF(F1283="",0,IF(TRIM(INDEX(INDIRECT("'Выгрузка'!A1283:Z1283"),Настройки!$B$13)&amp;"")="",1,IFERROR(--SUBSTITUTE(SUBSTITUTE(TRIM(INDEX(INDIRECT("'Выгрузка'!A1283:Z1283"),Настройки!$B$13)),",","."),".",MID(1/2,2,1)),"")))</f>
        <v/>
      </c>
      <c r="H1283">
        <f>IF(F1283="",0,IF(COUNTIF(Настройки!$B$17:$B$26,F1283)&gt;0,1,IF(COUNTIF(Настройки!$C$17:$C$26,F1283)&gt;0,2,IF(COUNTIF(Настройки!$D$17:$D$26,F1283)&gt;0,3,0))))</f>
        <v/>
      </c>
      <c r="I1283">
        <f>IF(AND(ISNUMBER(A1283),ISNUMBER(B1283)),A1283*1000+B1283,"")</f>
        <v/>
      </c>
      <c r="J1283">
        <f>IF(I1283="","",IF(COUNTIF(I$2:I1283,I1283)=1,MAX(J$1:J1282)+1,""))</f>
        <v/>
      </c>
    </row>
    <row r="1284">
      <c r="A1284">
        <f>IFERROR(--SUBSTITUTE(SUBSTITUTE(TRIM(INDEX(INDIRECT("'Выгрузка'!A1284:Z1284"),Настройки!$B$7)),",","."),".",MID(1/2,2,1)),"")</f>
        <v/>
      </c>
      <c r="B1284">
        <f>IFERROR(--SUBSTITUTE(SUBSTITUTE(TRIM(INDEX(INDIRECT("'Выгрузка'!A1284:Z1284"),Настройки!$B$9)),",","."),".",MID(1/2,2,1)),"")</f>
        <v/>
      </c>
      <c r="C1284">
        <f>TRIM(INDEX(INDIRECT("'Выгрузка'!A1284:Z1284"),Настройки!$B$8)&amp;"")</f>
        <v/>
      </c>
      <c r="D1284">
        <f>IFERROR(--SUBSTITUTE(SUBSTITUTE(TRIM(INDEX(INDIRECT("'Выгрузка'!A1284:Z1284"),Настройки!$B$10)),",","."),".",MID(1/2,2,1)),"")</f>
        <v/>
      </c>
      <c r="E1284">
        <f>IFERROR(--SUBSTITUTE(SUBSTITUTE(TRIM(INDEX(INDIRECT("'Выгрузка'!A1284:Z1284"),Настройки!$B$11)),",","."),".",MID(1/2,2,1)),"")</f>
        <v/>
      </c>
      <c r="F1284">
        <f>TRIM(INDEX(INDIRECT("'Выгрузка'!A1284:Z1284"),Настройки!$B$12)&amp;"")</f>
        <v/>
      </c>
      <c r="G1284">
        <f>IF(F1284="",0,IF(TRIM(INDEX(INDIRECT("'Выгрузка'!A1284:Z1284"),Настройки!$B$13)&amp;"")="",1,IFERROR(--SUBSTITUTE(SUBSTITUTE(TRIM(INDEX(INDIRECT("'Выгрузка'!A1284:Z1284"),Настройки!$B$13)),",","."),".",MID(1/2,2,1)),"")))</f>
        <v/>
      </c>
      <c r="H1284">
        <f>IF(F1284="",0,IF(COUNTIF(Настройки!$B$17:$B$26,F1284)&gt;0,1,IF(COUNTIF(Настройки!$C$17:$C$26,F1284)&gt;0,2,IF(COUNTIF(Настройки!$D$17:$D$26,F1284)&gt;0,3,0))))</f>
        <v/>
      </c>
      <c r="I1284">
        <f>IF(AND(ISNUMBER(A1284),ISNUMBER(B1284)),A1284*1000+B1284,"")</f>
        <v/>
      </c>
      <c r="J1284">
        <f>IF(I1284="","",IF(COUNTIF(I$2:I1284,I1284)=1,MAX(J$1:J1283)+1,""))</f>
        <v/>
      </c>
    </row>
    <row r="1285">
      <c r="A1285">
        <f>IFERROR(--SUBSTITUTE(SUBSTITUTE(TRIM(INDEX(INDIRECT("'Выгрузка'!A1285:Z1285"),Настройки!$B$7)),",","."),".",MID(1/2,2,1)),"")</f>
        <v/>
      </c>
      <c r="B1285">
        <f>IFERROR(--SUBSTITUTE(SUBSTITUTE(TRIM(INDEX(INDIRECT("'Выгрузка'!A1285:Z1285"),Настройки!$B$9)),",","."),".",MID(1/2,2,1)),"")</f>
        <v/>
      </c>
      <c r="C1285">
        <f>TRIM(INDEX(INDIRECT("'Выгрузка'!A1285:Z1285"),Настройки!$B$8)&amp;"")</f>
        <v/>
      </c>
      <c r="D1285">
        <f>IFERROR(--SUBSTITUTE(SUBSTITUTE(TRIM(INDEX(INDIRECT("'Выгрузка'!A1285:Z1285"),Настройки!$B$10)),",","."),".",MID(1/2,2,1)),"")</f>
        <v/>
      </c>
      <c r="E1285">
        <f>IFERROR(--SUBSTITUTE(SUBSTITUTE(TRIM(INDEX(INDIRECT("'Выгрузка'!A1285:Z1285"),Настройки!$B$11)),",","."),".",MID(1/2,2,1)),"")</f>
        <v/>
      </c>
      <c r="F1285">
        <f>TRIM(INDEX(INDIRECT("'Выгрузка'!A1285:Z1285"),Настройки!$B$12)&amp;"")</f>
        <v/>
      </c>
      <c r="G1285">
        <f>IF(F1285="",0,IF(TRIM(INDEX(INDIRECT("'Выгрузка'!A1285:Z1285"),Настройки!$B$13)&amp;"")="",1,IFERROR(--SUBSTITUTE(SUBSTITUTE(TRIM(INDEX(INDIRECT("'Выгрузка'!A1285:Z1285"),Настройки!$B$13)),",","."),".",MID(1/2,2,1)),"")))</f>
        <v/>
      </c>
      <c r="H1285">
        <f>IF(F1285="",0,IF(COUNTIF(Настройки!$B$17:$B$26,F1285)&gt;0,1,IF(COUNTIF(Настройки!$C$17:$C$26,F1285)&gt;0,2,IF(COUNTIF(Настройки!$D$17:$D$26,F1285)&gt;0,3,0))))</f>
        <v/>
      </c>
      <c r="I1285">
        <f>IF(AND(ISNUMBER(A1285),ISNUMBER(B1285)),A1285*1000+B1285,"")</f>
        <v/>
      </c>
      <c r="J1285">
        <f>IF(I1285="","",IF(COUNTIF(I$2:I1285,I1285)=1,MAX(J$1:J1284)+1,""))</f>
        <v/>
      </c>
    </row>
    <row r="1286">
      <c r="A1286">
        <f>IFERROR(--SUBSTITUTE(SUBSTITUTE(TRIM(INDEX(INDIRECT("'Выгрузка'!A1286:Z1286"),Настройки!$B$7)),",","."),".",MID(1/2,2,1)),"")</f>
        <v/>
      </c>
      <c r="B1286">
        <f>IFERROR(--SUBSTITUTE(SUBSTITUTE(TRIM(INDEX(INDIRECT("'Выгрузка'!A1286:Z1286"),Настройки!$B$9)),",","."),".",MID(1/2,2,1)),"")</f>
        <v/>
      </c>
      <c r="C1286">
        <f>TRIM(INDEX(INDIRECT("'Выгрузка'!A1286:Z1286"),Настройки!$B$8)&amp;"")</f>
        <v/>
      </c>
      <c r="D1286">
        <f>IFERROR(--SUBSTITUTE(SUBSTITUTE(TRIM(INDEX(INDIRECT("'Выгрузка'!A1286:Z1286"),Настройки!$B$10)),",","."),".",MID(1/2,2,1)),"")</f>
        <v/>
      </c>
      <c r="E1286">
        <f>IFERROR(--SUBSTITUTE(SUBSTITUTE(TRIM(INDEX(INDIRECT("'Выгрузка'!A1286:Z1286"),Настройки!$B$11)),",","."),".",MID(1/2,2,1)),"")</f>
        <v/>
      </c>
      <c r="F1286">
        <f>TRIM(INDEX(INDIRECT("'Выгрузка'!A1286:Z1286"),Настройки!$B$12)&amp;"")</f>
        <v/>
      </c>
      <c r="G1286">
        <f>IF(F1286="",0,IF(TRIM(INDEX(INDIRECT("'Выгрузка'!A1286:Z1286"),Настройки!$B$13)&amp;"")="",1,IFERROR(--SUBSTITUTE(SUBSTITUTE(TRIM(INDEX(INDIRECT("'Выгрузка'!A1286:Z1286"),Настройки!$B$13)),",","."),".",MID(1/2,2,1)),"")))</f>
        <v/>
      </c>
      <c r="H1286">
        <f>IF(F1286="",0,IF(COUNTIF(Настройки!$B$17:$B$26,F1286)&gt;0,1,IF(COUNTIF(Настройки!$C$17:$C$26,F1286)&gt;0,2,IF(COUNTIF(Настройки!$D$17:$D$26,F1286)&gt;0,3,0))))</f>
        <v/>
      </c>
      <c r="I1286">
        <f>IF(AND(ISNUMBER(A1286),ISNUMBER(B1286)),A1286*1000+B1286,"")</f>
        <v/>
      </c>
      <c r="J1286">
        <f>IF(I1286="","",IF(COUNTIF(I$2:I1286,I1286)=1,MAX(J$1:J1285)+1,""))</f>
        <v/>
      </c>
    </row>
    <row r="1287">
      <c r="A1287">
        <f>IFERROR(--SUBSTITUTE(SUBSTITUTE(TRIM(INDEX(INDIRECT("'Выгрузка'!A1287:Z1287"),Настройки!$B$7)),",","."),".",MID(1/2,2,1)),"")</f>
        <v/>
      </c>
      <c r="B1287">
        <f>IFERROR(--SUBSTITUTE(SUBSTITUTE(TRIM(INDEX(INDIRECT("'Выгрузка'!A1287:Z1287"),Настройки!$B$9)),",","."),".",MID(1/2,2,1)),"")</f>
        <v/>
      </c>
      <c r="C1287">
        <f>TRIM(INDEX(INDIRECT("'Выгрузка'!A1287:Z1287"),Настройки!$B$8)&amp;"")</f>
        <v/>
      </c>
      <c r="D1287">
        <f>IFERROR(--SUBSTITUTE(SUBSTITUTE(TRIM(INDEX(INDIRECT("'Выгрузка'!A1287:Z1287"),Настройки!$B$10)),",","."),".",MID(1/2,2,1)),"")</f>
        <v/>
      </c>
      <c r="E1287">
        <f>IFERROR(--SUBSTITUTE(SUBSTITUTE(TRIM(INDEX(INDIRECT("'Выгрузка'!A1287:Z1287"),Настройки!$B$11)),",","."),".",MID(1/2,2,1)),"")</f>
        <v/>
      </c>
      <c r="F1287">
        <f>TRIM(INDEX(INDIRECT("'Выгрузка'!A1287:Z1287"),Настройки!$B$12)&amp;"")</f>
        <v/>
      </c>
      <c r="G1287">
        <f>IF(F1287="",0,IF(TRIM(INDEX(INDIRECT("'Выгрузка'!A1287:Z1287"),Настройки!$B$13)&amp;"")="",1,IFERROR(--SUBSTITUTE(SUBSTITUTE(TRIM(INDEX(INDIRECT("'Выгрузка'!A1287:Z1287"),Настройки!$B$13)),",","."),".",MID(1/2,2,1)),"")))</f>
        <v/>
      </c>
      <c r="H1287">
        <f>IF(F1287="",0,IF(COUNTIF(Настройки!$B$17:$B$26,F1287)&gt;0,1,IF(COUNTIF(Настройки!$C$17:$C$26,F1287)&gt;0,2,IF(COUNTIF(Настройки!$D$17:$D$26,F1287)&gt;0,3,0))))</f>
        <v/>
      </c>
      <c r="I1287">
        <f>IF(AND(ISNUMBER(A1287),ISNUMBER(B1287)),A1287*1000+B1287,"")</f>
        <v/>
      </c>
      <c r="J1287">
        <f>IF(I1287="","",IF(COUNTIF(I$2:I1287,I1287)=1,MAX(J$1:J1286)+1,""))</f>
        <v/>
      </c>
    </row>
    <row r="1288">
      <c r="A1288">
        <f>IFERROR(--SUBSTITUTE(SUBSTITUTE(TRIM(INDEX(INDIRECT("'Выгрузка'!A1288:Z1288"),Настройки!$B$7)),",","."),".",MID(1/2,2,1)),"")</f>
        <v/>
      </c>
      <c r="B1288">
        <f>IFERROR(--SUBSTITUTE(SUBSTITUTE(TRIM(INDEX(INDIRECT("'Выгрузка'!A1288:Z1288"),Настройки!$B$9)),",","."),".",MID(1/2,2,1)),"")</f>
        <v/>
      </c>
      <c r="C1288">
        <f>TRIM(INDEX(INDIRECT("'Выгрузка'!A1288:Z1288"),Настройки!$B$8)&amp;"")</f>
        <v/>
      </c>
      <c r="D1288">
        <f>IFERROR(--SUBSTITUTE(SUBSTITUTE(TRIM(INDEX(INDIRECT("'Выгрузка'!A1288:Z1288"),Настройки!$B$10)),",","."),".",MID(1/2,2,1)),"")</f>
        <v/>
      </c>
      <c r="E1288">
        <f>IFERROR(--SUBSTITUTE(SUBSTITUTE(TRIM(INDEX(INDIRECT("'Выгрузка'!A1288:Z1288"),Настройки!$B$11)),",","."),".",MID(1/2,2,1)),"")</f>
        <v/>
      </c>
      <c r="F1288">
        <f>TRIM(INDEX(INDIRECT("'Выгрузка'!A1288:Z1288"),Настройки!$B$12)&amp;"")</f>
        <v/>
      </c>
      <c r="G1288">
        <f>IF(F1288="",0,IF(TRIM(INDEX(INDIRECT("'Выгрузка'!A1288:Z1288"),Настройки!$B$13)&amp;"")="",1,IFERROR(--SUBSTITUTE(SUBSTITUTE(TRIM(INDEX(INDIRECT("'Выгрузка'!A1288:Z1288"),Настройки!$B$13)),",","."),".",MID(1/2,2,1)),"")))</f>
        <v/>
      </c>
      <c r="H1288">
        <f>IF(F1288="",0,IF(COUNTIF(Настройки!$B$17:$B$26,F1288)&gt;0,1,IF(COUNTIF(Настройки!$C$17:$C$26,F1288)&gt;0,2,IF(COUNTIF(Настройки!$D$17:$D$26,F1288)&gt;0,3,0))))</f>
        <v/>
      </c>
      <c r="I1288">
        <f>IF(AND(ISNUMBER(A1288),ISNUMBER(B1288)),A1288*1000+B1288,"")</f>
        <v/>
      </c>
      <c r="J1288">
        <f>IF(I1288="","",IF(COUNTIF(I$2:I1288,I1288)=1,MAX(J$1:J1287)+1,""))</f>
        <v/>
      </c>
    </row>
    <row r="1289">
      <c r="A1289">
        <f>IFERROR(--SUBSTITUTE(SUBSTITUTE(TRIM(INDEX(INDIRECT("'Выгрузка'!A1289:Z1289"),Настройки!$B$7)),",","."),".",MID(1/2,2,1)),"")</f>
        <v/>
      </c>
      <c r="B1289">
        <f>IFERROR(--SUBSTITUTE(SUBSTITUTE(TRIM(INDEX(INDIRECT("'Выгрузка'!A1289:Z1289"),Настройки!$B$9)),",","."),".",MID(1/2,2,1)),"")</f>
        <v/>
      </c>
      <c r="C1289">
        <f>TRIM(INDEX(INDIRECT("'Выгрузка'!A1289:Z1289"),Настройки!$B$8)&amp;"")</f>
        <v/>
      </c>
      <c r="D1289">
        <f>IFERROR(--SUBSTITUTE(SUBSTITUTE(TRIM(INDEX(INDIRECT("'Выгрузка'!A1289:Z1289"),Настройки!$B$10)),",","."),".",MID(1/2,2,1)),"")</f>
        <v/>
      </c>
      <c r="E1289">
        <f>IFERROR(--SUBSTITUTE(SUBSTITUTE(TRIM(INDEX(INDIRECT("'Выгрузка'!A1289:Z1289"),Настройки!$B$11)),",","."),".",MID(1/2,2,1)),"")</f>
        <v/>
      </c>
      <c r="F1289">
        <f>TRIM(INDEX(INDIRECT("'Выгрузка'!A1289:Z1289"),Настройки!$B$12)&amp;"")</f>
        <v/>
      </c>
      <c r="G1289">
        <f>IF(F1289="",0,IF(TRIM(INDEX(INDIRECT("'Выгрузка'!A1289:Z1289"),Настройки!$B$13)&amp;"")="",1,IFERROR(--SUBSTITUTE(SUBSTITUTE(TRIM(INDEX(INDIRECT("'Выгрузка'!A1289:Z1289"),Настройки!$B$13)),",","."),".",MID(1/2,2,1)),"")))</f>
        <v/>
      </c>
      <c r="H1289">
        <f>IF(F1289="",0,IF(COUNTIF(Настройки!$B$17:$B$26,F1289)&gt;0,1,IF(COUNTIF(Настройки!$C$17:$C$26,F1289)&gt;0,2,IF(COUNTIF(Настройки!$D$17:$D$26,F1289)&gt;0,3,0))))</f>
        <v/>
      </c>
      <c r="I1289">
        <f>IF(AND(ISNUMBER(A1289),ISNUMBER(B1289)),A1289*1000+B1289,"")</f>
        <v/>
      </c>
      <c r="J1289">
        <f>IF(I1289="","",IF(COUNTIF(I$2:I1289,I1289)=1,MAX(J$1:J1288)+1,""))</f>
        <v/>
      </c>
    </row>
    <row r="1290">
      <c r="A1290">
        <f>IFERROR(--SUBSTITUTE(SUBSTITUTE(TRIM(INDEX(INDIRECT("'Выгрузка'!A1290:Z1290"),Настройки!$B$7)),",","."),".",MID(1/2,2,1)),"")</f>
        <v/>
      </c>
      <c r="B1290">
        <f>IFERROR(--SUBSTITUTE(SUBSTITUTE(TRIM(INDEX(INDIRECT("'Выгрузка'!A1290:Z1290"),Настройки!$B$9)),",","."),".",MID(1/2,2,1)),"")</f>
        <v/>
      </c>
      <c r="C1290">
        <f>TRIM(INDEX(INDIRECT("'Выгрузка'!A1290:Z1290"),Настройки!$B$8)&amp;"")</f>
        <v/>
      </c>
      <c r="D1290">
        <f>IFERROR(--SUBSTITUTE(SUBSTITUTE(TRIM(INDEX(INDIRECT("'Выгрузка'!A1290:Z1290"),Настройки!$B$10)),",","."),".",MID(1/2,2,1)),"")</f>
        <v/>
      </c>
      <c r="E1290">
        <f>IFERROR(--SUBSTITUTE(SUBSTITUTE(TRIM(INDEX(INDIRECT("'Выгрузка'!A1290:Z1290"),Настройки!$B$11)),",","."),".",MID(1/2,2,1)),"")</f>
        <v/>
      </c>
      <c r="F1290">
        <f>TRIM(INDEX(INDIRECT("'Выгрузка'!A1290:Z1290"),Настройки!$B$12)&amp;"")</f>
        <v/>
      </c>
      <c r="G1290">
        <f>IF(F1290="",0,IF(TRIM(INDEX(INDIRECT("'Выгрузка'!A1290:Z1290"),Настройки!$B$13)&amp;"")="",1,IFERROR(--SUBSTITUTE(SUBSTITUTE(TRIM(INDEX(INDIRECT("'Выгрузка'!A1290:Z1290"),Настройки!$B$13)),",","."),".",MID(1/2,2,1)),"")))</f>
        <v/>
      </c>
      <c r="H1290">
        <f>IF(F1290="",0,IF(COUNTIF(Настройки!$B$17:$B$26,F1290)&gt;0,1,IF(COUNTIF(Настройки!$C$17:$C$26,F1290)&gt;0,2,IF(COUNTIF(Настройки!$D$17:$D$26,F1290)&gt;0,3,0))))</f>
        <v/>
      </c>
      <c r="I1290">
        <f>IF(AND(ISNUMBER(A1290),ISNUMBER(B1290)),A1290*1000+B1290,"")</f>
        <v/>
      </c>
      <c r="J1290">
        <f>IF(I1290="","",IF(COUNTIF(I$2:I1290,I1290)=1,MAX(J$1:J1289)+1,""))</f>
        <v/>
      </c>
    </row>
    <row r="1291">
      <c r="A1291">
        <f>IFERROR(--SUBSTITUTE(SUBSTITUTE(TRIM(INDEX(INDIRECT("'Выгрузка'!A1291:Z1291"),Настройки!$B$7)),",","."),".",MID(1/2,2,1)),"")</f>
        <v/>
      </c>
      <c r="B1291">
        <f>IFERROR(--SUBSTITUTE(SUBSTITUTE(TRIM(INDEX(INDIRECT("'Выгрузка'!A1291:Z1291"),Настройки!$B$9)),",","."),".",MID(1/2,2,1)),"")</f>
        <v/>
      </c>
      <c r="C1291">
        <f>TRIM(INDEX(INDIRECT("'Выгрузка'!A1291:Z1291"),Настройки!$B$8)&amp;"")</f>
        <v/>
      </c>
      <c r="D1291">
        <f>IFERROR(--SUBSTITUTE(SUBSTITUTE(TRIM(INDEX(INDIRECT("'Выгрузка'!A1291:Z1291"),Настройки!$B$10)),",","."),".",MID(1/2,2,1)),"")</f>
        <v/>
      </c>
      <c r="E1291">
        <f>IFERROR(--SUBSTITUTE(SUBSTITUTE(TRIM(INDEX(INDIRECT("'Выгрузка'!A1291:Z1291"),Настройки!$B$11)),",","."),".",MID(1/2,2,1)),"")</f>
        <v/>
      </c>
      <c r="F1291">
        <f>TRIM(INDEX(INDIRECT("'Выгрузка'!A1291:Z1291"),Настройки!$B$12)&amp;"")</f>
        <v/>
      </c>
      <c r="G1291">
        <f>IF(F1291="",0,IF(TRIM(INDEX(INDIRECT("'Выгрузка'!A1291:Z1291"),Настройки!$B$13)&amp;"")="",1,IFERROR(--SUBSTITUTE(SUBSTITUTE(TRIM(INDEX(INDIRECT("'Выгрузка'!A1291:Z1291"),Настройки!$B$13)),",","."),".",MID(1/2,2,1)),"")))</f>
        <v/>
      </c>
      <c r="H1291">
        <f>IF(F1291="",0,IF(COUNTIF(Настройки!$B$17:$B$26,F1291)&gt;0,1,IF(COUNTIF(Настройки!$C$17:$C$26,F1291)&gt;0,2,IF(COUNTIF(Настройки!$D$17:$D$26,F1291)&gt;0,3,0))))</f>
        <v/>
      </c>
      <c r="I1291">
        <f>IF(AND(ISNUMBER(A1291),ISNUMBER(B1291)),A1291*1000+B1291,"")</f>
        <v/>
      </c>
      <c r="J1291">
        <f>IF(I1291="","",IF(COUNTIF(I$2:I1291,I1291)=1,MAX(J$1:J1290)+1,""))</f>
        <v/>
      </c>
    </row>
    <row r="1292">
      <c r="A1292">
        <f>IFERROR(--SUBSTITUTE(SUBSTITUTE(TRIM(INDEX(INDIRECT("'Выгрузка'!A1292:Z1292"),Настройки!$B$7)),",","."),".",MID(1/2,2,1)),"")</f>
        <v/>
      </c>
      <c r="B1292">
        <f>IFERROR(--SUBSTITUTE(SUBSTITUTE(TRIM(INDEX(INDIRECT("'Выгрузка'!A1292:Z1292"),Настройки!$B$9)),",","."),".",MID(1/2,2,1)),"")</f>
        <v/>
      </c>
      <c r="C1292">
        <f>TRIM(INDEX(INDIRECT("'Выгрузка'!A1292:Z1292"),Настройки!$B$8)&amp;"")</f>
        <v/>
      </c>
      <c r="D1292">
        <f>IFERROR(--SUBSTITUTE(SUBSTITUTE(TRIM(INDEX(INDIRECT("'Выгрузка'!A1292:Z1292"),Настройки!$B$10)),",","."),".",MID(1/2,2,1)),"")</f>
        <v/>
      </c>
      <c r="E1292">
        <f>IFERROR(--SUBSTITUTE(SUBSTITUTE(TRIM(INDEX(INDIRECT("'Выгрузка'!A1292:Z1292"),Настройки!$B$11)),",","."),".",MID(1/2,2,1)),"")</f>
        <v/>
      </c>
      <c r="F1292">
        <f>TRIM(INDEX(INDIRECT("'Выгрузка'!A1292:Z1292"),Настройки!$B$12)&amp;"")</f>
        <v/>
      </c>
      <c r="G1292">
        <f>IF(F1292="",0,IF(TRIM(INDEX(INDIRECT("'Выгрузка'!A1292:Z1292"),Настройки!$B$13)&amp;"")="",1,IFERROR(--SUBSTITUTE(SUBSTITUTE(TRIM(INDEX(INDIRECT("'Выгрузка'!A1292:Z1292"),Настройки!$B$13)),",","."),".",MID(1/2,2,1)),"")))</f>
        <v/>
      </c>
      <c r="H1292">
        <f>IF(F1292="",0,IF(COUNTIF(Настройки!$B$17:$B$26,F1292)&gt;0,1,IF(COUNTIF(Настройки!$C$17:$C$26,F1292)&gt;0,2,IF(COUNTIF(Настройки!$D$17:$D$26,F1292)&gt;0,3,0))))</f>
        <v/>
      </c>
      <c r="I1292">
        <f>IF(AND(ISNUMBER(A1292),ISNUMBER(B1292)),A1292*1000+B1292,"")</f>
        <v/>
      </c>
      <c r="J1292">
        <f>IF(I1292="","",IF(COUNTIF(I$2:I1292,I1292)=1,MAX(J$1:J1291)+1,""))</f>
        <v/>
      </c>
    </row>
    <row r="1293">
      <c r="A1293">
        <f>IFERROR(--SUBSTITUTE(SUBSTITUTE(TRIM(INDEX(INDIRECT("'Выгрузка'!A1293:Z1293"),Настройки!$B$7)),",","."),".",MID(1/2,2,1)),"")</f>
        <v/>
      </c>
      <c r="B1293">
        <f>IFERROR(--SUBSTITUTE(SUBSTITUTE(TRIM(INDEX(INDIRECT("'Выгрузка'!A1293:Z1293"),Настройки!$B$9)),",","."),".",MID(1/2,2,1)),"")</f>
        <v/>
      </c>
      <c r="C1293">
        <f>TRIM(INDEX(INDIRECT("'Выгрузка'!A1293:Z1293"),Настройки!$B$8)&amp;"")</f>
        <v/>
      </c>
      <c r="D1293">
        <f>IFERROR(--SUBSTITUTE(SUBSTITUTE(TRIM(INDEX(INDIRECT("'Выгрузка'!A1293:Z1293"),Настройки!$B$10)),",","."),".",MID(1/2,2,1)),"")</f>
        <v/>
      </c>
      <c r="E1293">
        <f>IFERROR(--SUBSTITUTE(SUBSTITUTE(TRIM(INDEX(INDIRECT("'Выгрузка'!A1293:Z1293"),Настройки!$B$11)),",","."),".",MID(1/2,2,1)),"")</f>
        <v/>
      </c>
      <c r="F1293">
        <f>TRIM(INDEX(INDIRECT("'Выгрузка'!A1293:Z1293"),Настройки!$B$12)&amp;"")</f>
        <v/>
      </c>
      <c r="G1293">
        <f>IF(F1293="",0,IF(TRIM(INDEX(INDIRECT("'Выгрузка'!A1293:Z1293"),Настройки!$B$13)&amp;"")="",1,IFERROR(--SUBSTITUTE(SUBSTITUTE(TRIM(INDEX(INDIRECT("'Выгрузка'!A1293:Z1293"),Настройки!$B$13)),",","."),".",MID(1/2,2,1)),"")))</f>
        <v/>
      </c>
      <c r="H1293">
        <f>IF(F1293="",0,IF(COUNTIF(Настройки!$B$17:$B$26,F1293)&gt;0,1,IF(COUNTIF(Настройки!$C$17:$C$26,F1293)&gt;0,2,IF(COUNTIF(Настройки!$D$17:$D$26,F1293)&gt;0,3,0))))</f>
        <v/>
      </c>
      <c r="I1293">
        <f>IF(AND(ISNUMBER(A1293),ISNUMBER(B1293)),A1293*1000+B1293,"")</f>
        <v/>
      </c>
      <c r="J1293">
        <f>IF(I1293="","",IF(COUNTIF(I$2:I1293,I1293)=1,MAX(J$1:J1292)+1,""))</f>
        <v/>
      </c>
    </row>
    <row r="1294">
      <c r="A1294">
        <f>IFERROR(--SUBSTITUTE(SUBSTITUTE(TRIM(INDEX(INDIRECT("'Выгрузка'!A1294:Z1294"),Настройки!$B$7)),",","."),".",MID(1/2,2,1)),"")</f>
        <v/>
      </c>
      <c r="B1294">
        <f>IFERROR(--SUBSTITUTE(SUBSTITUTE(TRIM(INDEX(INDIRECT("'Выгрузка'!A1294:Z1294"),Настройки!$B$9)),",","."),".",MID(1/2,2,1)),"")</f>
        <v/>
      </c>
      <c r="C1294">
        <f>TRIM(INDEX(INDIRECT("'Выгрузка'!A1294:Z1294"),Настройки!$B$8)&amp;"")</f>
        <v/>
      </c>
      <c r="D1294">
        <f>IFERROR(--SUBSTITUTE(SUBSTITUTE(TRIM(INDEX(INDIRECT("'Выгрузка'!A1294:Z1294"),Настройки!$B$10)),",","."),".",MID(1/2,2,1)),"")</f>
        <v/>
      </c>
      <c r="E1294">
        <f>IFERROR(--SUBSTITUTE(SUBSTITUTE(TRIM(INDEX(INDIRECT("'Выгрузка'!A1294:Z1294"),Настройки!$B$11)),",","."),".",MID(1/2,2,1)),"")</f>
        <v/>
      </c>
      <c r="F1294">
        <f>TRIM(INDEX(INDIRECT("'Выгрузка'!A1294:Z1294"),Настройки!$B$12)&amp;"")</f>
        <v/>
      </c>
      <c r="G1294">
        <f>IF(F1294="",0,IF(TRIM(INDEX(INDIRECT("'Выгрузка'!A1294:Z1294"),Настройки!$B$13)&amp;"")="",1,IFERROR(--SUBSTITUTE(SUBSTITUTE(TRIM(INDEX(INDIRECT("'Выгрузка'!A1294:Z1294"),Настройки!$B$13)),",","."),".",MID(1/2,2,1)),"")))</f>
        <v/>
      </c>
      <c r="H1294">
        <f>IF(F1294="",0,IF(COUNTIF(Настройки!$B$17:$B$26,F1294)&gt;0,1,IF(COUNTIF(Настройки!$C$17:$C$26,F1294)&gt;0,2,IF(COUNTIF(Настройки!$D$17:$D$26,F1294)&gt;0,3,0))))</f>
        <v/>
      </c>
      <c r="I1294">
        <f>IF(AND(ISNUMBER(A1294),ISNUMBER(B1294)),A1294*1000+B1294,"")</f>
        <v/>
      </c>
      <c r="J1294">
        <f>IF(I1294="","",IF(COUNTIF(I$2:I1294,I1294)=1,MAX(J$1:J1293)+1,""))</f>
        <v/>
      </c>
    </row>
    <row r="1295">
      <c r="A1295">
        <f>IFERROR(--SUBSTITUTE(SUBSTITUTE(TRIM(INDEX(INDIRECT("'Выгрузка'!A1295:Z1295"),Настройки!$B$7)),",","."),".",MID(1/2,2,1)),"")</f>
        <v/>
      </c>
      <c r="B1295">
        <f>IFERROR(--SUBSTITUTE(SUBSTITUTE(TRIM(INDEX(INDIRECT("'Выгрузка'!A1295:Z1295"),Настройки!$B$9)),",","."),".",MID(1/2,2,1)),"")</f>
        <v/>
      </c>
      <c r="C1295">
        <f>TRIM(INDEX(INDIRECT("'Выгрузка'!A1295:Z1295"),Настройки!$B$8)&amp;"")</f>
        <v/>
      </c>
      <c r="D1295">
        <f>IFERROR(--SUBSTITUTE(SUBSTITUTE(TRIM(INDEX(INDIRECT("'Выгрузка'!A1295:Z1295"),Настройки!$B$10)),",","."),".",MID(1/2,2,1)),"")</f>
        <v/>
      </c>
      <c r="E1295">
        <f>IFERROR(--SUBSTITUTE(SUBSTITUTE(TRIM(INDEX(INDIRECT("'Выгрузка'!A1295:Z1295"),Настройки!$B$11)),",","."),".",MID(1/2,2,1)),"")</f>
        <v/>
      </c>
      <c r="F1295">
        <f>TRIM(INDEX(INDIRECT("'Выгрузка'!A1295:Z1295"),Настройки!$B$12)&amp;"")</f>
        <v/>
      </c>
      <c r="G1295">
        <f>IF(F1295="",0,IF(TRIM(INDEX(INDIRECT("'Выгрузка'!A1295:Z1295"),Настройки!$B$13)&amp;"")="",1,IFERROR(--SUBSTITUTE(SUBSTITUTE(TRIM(INDEX(INDIRECT("'Выгрузка'!A1295:Z1295"),Настройки!$B$13)),",","."),".",MID(1/2,2,1)),"")))</f>
        <v/>
      </c>
      <c r="H1295">
        <f>IF(F1295="",0,IF(COUNTIF(Настройки!$B$17:$B$26,F1295)&gt;0,1,IF(COUNTIF(Настройки!$C$17:$C$26,F1295)&gt;0,2,IF(COUNTIF(Настройки!$D$17:$D$26,F1295)&gt;0,3,0))))</f>
        <v/>
      </c>
      <c r="I1295">
        <f>IF(AND(ISNUMBER(A1295),ISNUMBER(B1295)),A1295*1000+B1295,"")</f>
        <v/>
      </c>
      <c r="J1295">
        <f>IF(I1295="","",IF(COUNTIF(I$2:I1295,I1295)=1,MAX(J$1:J1294)+1,""))</f>
        <v/>
      </c>
    </row>
    <row r="1296">
      <c r="A1296">
        <f>IFERROR(--SUBSTITUTE(SUBSTITUTE(TRIM(INDEX(INDIRECT("'Выгрузка'!A1296:Z1296"),Настройки!$B$7)),",","."),".",MID(1/2,2,1)),"")</f>
        <v/>
      </c>
      <c r="B1296">
        <f>IFERROR(--SUBSTITUTE(SUBSTITUTE(TRIM(INDEX(INDIRECT("'Выгрузка'!A1296:Z1296"),Настройки!$B$9)),",","."),".",MID(1/2,2,1)),"")</f>
        <v/>
      </c>
      <c r="C1296">
        <f>TRIM(INDEX(INDIRECT("'Выгрузка'!A1296:Z1296"),Настройки!$B$8)&amp;"")</f>
        <v/>
      </c>
      <c r="D1296">
        <f>IFERROR(--SUBSTITUTE(SUBSTITUTE(TRIM(INDEX(INDIRECT("'Выгрузка'!A1296:Z1296"),Настройки!$B$10)),",","."),".",MID(1/2,2,1)),"")</f>
        <v/>
      </c>
      <c r="E1296">
        <f>IFERROR(--SUBSTITUTE(SUBSTITUTE(TRIM(INDEX(INDIRECT("'Выгрузка'!A1296:Z1296"),Настройки!$B$11)),",","."),".",MID(1/2,2,1)),"")</f>
        <v/>
      </c>
      <c r="F1296">
        <f>TRIM(INDEX(INDIRECT("'Выгрузка'!A1296:Z1296"),Настройки!$B$12)&amp;"")</f>
        <v/>
      </c>
      <c r="G1296">
        <f>IF(F1296="",0,IF(TRIM(INDEX(INDIRECT("'Выгрузка'!A1296:Z1296"),Настройки!$B$13)&amp;"")="",1,IFERROR(--SUBSTITUTE(SUBSTITUTE(TRIM(INDEX(INDIRECT("'Выгрузка'!A1296:Z1296"),Настройки!$B$13)),",","."),".",MID(1/2,2,1)),"")))</f>
        <v/>
      </c>
      <c r="H1296">
        <f>IF(F1296="",0,IF(COUNTIF(Настройки!$B$17:$B$26,F1296)&gt;0,1,IF(COUNTIF(Настройки!$C$17:$C$26,F1296)&gt;0,2,IF(COUNTIF(Настройки!$D$17:$D$26,F1296)&gt;0,3,0))))</f>
        <v/>
      </c>
      <c r="I1296">
        <f>IF(AND(ISNUMBER(A1296),ISNUMBER(B1296)),A1296*1000+B1296,"")</f>
        <v/>
      </c>
      <c r="J1296">
        <f>IF(I1296="","",IF(COUNTIF(I$2:I1296,I1296)=1,MAX(J$1:J1295)+1,""))</f>
        <v/>
      </c>
    </row>
    <row r="1297">
      <c r="A1297">
        <f>IFERROR(--SUBSTITUTE(SUBSTITUTE(TRIM(INDEX(INDIRECT("'Выгрузка'!A1297:Z1297"),Настройки!$B$7)),",","."),".",MID(1/2,2,1)),"")</f>
        <v/>
      </c>
      <c r="B1297">
        <f>IFERROR(--SUBSTITUTE(SUBSTITUTE(TRIM(INDEX(INDIRECT("'Выгрузка'!A1297:Z1297"),Настройки!$B$9)),",","."),".",MID(1/2,2,1)),"")</f>
        <v/>
      </c>
      <c r="C1297">
        <f>TRIM(INDEX(INDIRECT("'Выгрузка'!A1297:Z1297"),Настройки!$B$8)&amp;"")</f>
        <v/>
      </c>
      <c r="D1297">
        <f>IFERROR(--SUBSTITUTE(SUBSTITUTE(TRIM(INDEX(INDIRECT("'Выгрузка'!A1297:Z1297"),Настройки!$B$10)),",","."),".",MID(1/2,2,1)),"")</f>
        <v/>
      </c>
      <c r="E1297">
        <f>IFERROR(--SUBSTITUTE(SUBSTITUTE(TRIM(INDEX(INDIRECT("'Выгрузка'!A1297:Z1297"),Настройки!$B$11)),",","."),".",MID(1/2,2,1)),"")</f>
        <v/>
      </c>
      <c r="F1297">
        <f>TRIM(INDEX(INDIRECT("'Выгрузка'!A1297:Z1297"),Настройки!$B$12)&amp;"")</f>
        <v/>
      </c>
      <c r="G1297">
        <f>IF(F1297="",0,IF(TRIM(INDEX(INDIRECT("'Выгрузка'!A1297:Z1297"),Настройки!$B$13)&amp;"")="",1,IFERROR(--SUBSTITUTE(SUBSTITUTE(TRIM(INDEX(INDIRECT("'Выгрузка'!A1297:Z1297"),Настройки!$B$13)),",","."),".",MID(1/2,2,1)),"")))</f>
        <v/>
      </c>
      <c r="H1297">
        <f>IF(F1297="",0,IF(COUNTIF(Настройки!$B$17:$B$26,F1297)&gt;0,1,IF(COUNTIF(Настройки!$C$17:$C$26,F1297)&gt;0,2,IF(COUNTIF(Настройки!$D$17:$D$26,F1297)&gt;0,3,0))))</f>
        <v/>
      </c>
      <c r="I1297">
        <f>IF(AND(ISNUMBER(A1297),ISNUMBER(B1297)),A1297*1000+B1297,"")</f>
        <v/>
      </c>
      <c r="J1297">
        <f>IF(I1297="","",IF(COUNTIF(I$2:I1297,I1297)=1,MAX(J$1:J1296)+1,""))</f>
        <v/>
      </c>
    </row>
    <row r="1298">
      <c r="A1298">
        <f>IFERROR(--SUBSTITUTE(SUBSTITUTE(TRIM(INDEX(INDIRECT("'Выгрузка'!A1298:Z1298"),Настройки!$B$7)),",","."),".",MID(1/2,2,1)),"")</f>
        <v/>
      </c>
      <c r="B1298">
        <f>IFERROR(--SUBSTITUTE(SUBSTITUTE(TRIM(INDEX(INDIRECT("'Выгрузка'!A1298:Z1298"),Настройки!$B$9)),",","."),".",MID(1/2,2,1)),"")</f>
        <v/>
      </c>
      <c r="C1298">
        <f>TRIM(INDEX(INDIRECT("'Выгрузка'!A1298:Z1298"),Настройки!$B$8)&amp;"")</f>
        <v/>
      </c>
      <c r="D1298">
        <f>IFERROR(--SUBSTITUTE(SUBSTITUTE(TRIM(INDEX(INDIRECT("'Выгрузка'!A1298:Z1298"),Настройки!$B$10)),",","."),".",MID(1/2,2,1)),"")</f>
        <v/>
      </c>
      <c r="E1298">
        <f>IFERROR(--SUBSTITUTE(SUBSTITUTE(TRIM(INDEX(INDIRECT("'Выгрузка'!A1298:Z1298"),Настройки!$B$11)),",","."),".",MID(1/2,2,1)),"")</f>
        <v/>
      </c>
      <c r="F1298">
        <f>TRIM(INDEX(INDIRECT("'Выгрузка'!A1298:Z1298"),Настройки!$B$12)&amp;"")</f>
        <v/>
      </c>
      <c r="G1298">
        <f>IF(F1298="",0,IF(TRIM(INDEX(INDIRECT("'Выгрузка'!A1298:Z1298"),Настройки!$B$13)&amp;"")="",1,IFERROR(--SUBSTITUTE(SUBSTITUTE(TRIM(INDEX(INDIRECT("'Выгрузка'!A1298:Z1298"),Настройки!$B$13)),",","."),".",MID(1/2,2,1)),"")))</f>
        <v/>
      </c>
      <c r="H1298">
        <f>IF(F1298="",0,IF(COUNTIF(Настройки!$B$17:$B$26,F1298)&gt;0,1,IF(COUNTIF(Настройки!$C$17:$C$26,F1298)&gt;0,2,IF(COUNTIF(Настройки!$D$17:$D$26,F1298)&gt;0,3,0))))</f>
        <v/>
      </c>
      <c r="I1298">
        <f>IF(AND(ISNUMBER(A1298),ISNUMBER(B1298)),A1298*1000+B1298,"")</f>
        <v/>
      </c>
      <c r="J1298">
        <f>IF(I1298="","",IF(COUNTIF(I$2:I1298,I1298)=1,MAX(J$1:J1297)+1,""))</f>
        <v/>
      </c>
    </row>
    <row r="1299">
      <c r="A1299">
        <f>IFERROR(--SUBSTITUTE(SUBSTITUTE(TRIM(INDEX(INDIRECT("'Выгрузка'!A1299:Z1299"),Настройки!$B$7)),",","."),".",MID(1/2,2,1)),"")</f>
        <v/>
      </c>
      <c r="B1299">
        <f>IFERROR(--SUBSTITUTE(SUBSTITUTE(TRIM(INDEX(INDIRECT("'Выгрузка'!A1299:Z1299"),Настройки!$B$9)),",","."),".",MID(1/2,2,1)),"")</f>
        <v/>
      </c>
      <c r="C1299">
        <f>TRIM(INDEX(INDIRECT("'Выгрузка'!A1299:Z1299"),Настройки!$B$8)&amp;"")</f>
        <v/>
      </c>
      <c r="D1299">
        <f>IFERROR(--SUBSTITUTE(SUBSTITUTE(TRIM(INDEX(INDIRECT("'Выгрузка'!A1299:Z1299"),Настройки!$B$10)),",","."),".",MID(1/2,2,1)),"")</f>
        <v/>
      </c>
      <c r="E1299">
        <f>IFERROR(--SUBSTITUTE(SUBSTITUTE(TRIM(INDEX(INDIRECT("'Выгрузка'!A1299:Z1299"),Настройки!$B$11)),",","."),".",MID(1/2,2,1)),"")</f>
        <v/>
      </c>
      <c r="F1299">
        <f>TRIM(INDEX(INDIRECT("'Выгрузка'!A1299:Z1299"),Настройки!$B$12)&amp;"")</f>
        <v/>
      </c>
      <c r="G1299">
        <f>IF(F1299="",0,IF(TRIM(INDEX(INDIRECT("'Выгрузка'!A1299:Z1299"),Настройки!$B$13)&amp;"")="",1,IFERROR(--SUBSTITUTE(SUBSTITUTE(TRIM(INDEX(INDIRECT("'Выгрузка'!A1299:Z1299"),Настройки!$B$13)),",","."),".",MID(1/2,2,1)),"")))</f>
        <v/>
      </c>
      <c r="H1299">
        <f>IF(F1299="",0,IF(COUNTIF(Настройки!$B$17:$B$26,F1299)&gt;0,1,IF(COUNTIF(Настройки!$C$17:$C$26,F1299)&gt;0,2,IF(COUNTIF(Настройки!$D$17:$D$26,F1299)&gt;0,3,0))))</f>
        <v/>
      </c>
      <c r="I1299">
        <f>IF(AND(ISNUMBER(A1299),ISNUMBER(B1299)),A1299*1000+B1299,"")</f>
        <v/>
      </c>
      <c r="J1299">
        <f>IF(I1299="","",IF(COUNTIF(I$2:I1299,I1299)=1,MAX(J$1:J1298)+1,""))</f>
        <v/>
      </c>
    </row>
    <row r="1300">
      <c r="A1300">
        <f>IFERROR(--SUBSTITUTE(SUBSTITUTE(TRIM(INDEX(INDIRECT("'Выгрузка'!A1300:Z1300"),Настройки!$B$7)),",","."),".",MID(1/2,2,1)),"")</f>
        <v/>
      </c>
      <c r="B1300">
        <f>IFERROR(--SUBSTITUTE(SUBSTITUTE(TRIM(INDEX(INDIRECT("'Выгрузка'!A1300:Z1300"),Настройки!$B$9)),",","."),".",MID(1/2,2,1)),"")</f>
        <v/>
      </c>
      <c r="C1300">
        <f>TRIM(INDEX(INDIRECT("'Выгрузка'!A1300:Z1300"),Настройки!$B$8)&amp;"")</f>
        <v/>
      </c>
      <c r="D1300">
        <f>IFERROR(--SUBSTITUTE(SUBSTITUTE(TRIM(INDEX(INDIRECT("'Выгрузка'!A1300:Z1300"),Настройки!$B$10)),",","."),".",MID(1/2,2,1)),"")</f>
        <v/>
      </c>
      <c r="E1300">
        <f>IFERROR(--SUBSTITUTE(SUBSTITUTE(TRIM(INDEX(INDIRECT("'Выгрузка'!A1300:Z1300"),Настройки!$B$11)),",","."),".",MID(1/2,2,1)),"")</f>
        <v/>
      </c>
      <c r="F1300">
        <f>TRIM(INDEX(INDIRECT("'Выгрузка'!A1300:Z1300"),Настройки!$B$12)&amp;"")</f>
        <v/>
      </c>
      <c r="G1300">
        <f>IF(F1300="",0,IF(TRIM(INDEX(INDIRECT("'Выгрузка'!A1300:Z1300"),Настройки!$B$13)&amp;"")="",1,IFERROR(--SUBSTITUTE(SUBSTITUTE(TRIM(INDEX(INDIRECT("'Выгрузка'!A1300:Z1300"),Настройки!$B$13)),",","."),".",MID(1/2,2,1)),"")))</f>
        <v/>
      </c>
      <c r="H1300">
        <f>IF(F1300="",0,IF(COUNTIF(Настройки!$B$17:$B$26,F1300)&gt;0,1,IF(COUNTIF(Настройки!$C$17:$C$26,F1300)&gt;0,2,IF(COUNTIF(Настройки!$D$17:$D$26,F1300)&gt;0,3,0))))</f>
        <v/>
      </c>
      <c r="I1300">
        <f>IF(AND(ISNUMBER(A1300),ISNUMBER(B1300)),A1300*1000+B1300,"")</f>
        <v/>
      </c>
      <c r="J1300">
        <f>IF(I1300="","",IF(COUNTIF(I$2:I1300,I1300)=1,MAX(J$1:J1299)+1,""))</f>
        <v/>
      </c>
    </row>
    <row r="1301">
      <c r="A1301">
        <f>IFERROR(--SUBSTITUTE(SUBSTITUTE(TRIM(INDEX(INDIRECT("'Выгрузка'!A1301:Z1301"),Настройки!$B$7)),",","."),".",MID(1/2,2,1)),"")</f>
        <v/>
      </c>
      <c r="B1301">
        <f>IFERROR(--SUBSTITUTE(SUBSTITUTE(TRIM(INDEX(INDIRECT("'Выгрузка'!A1301:Z1301"),Настройки!$B$9)),",","."),".",MID(1/2,2,1)),"")</f>
        <v/>
      </c>
      <c r="C1301">
        <f>TRIM(INDEX(INDIRECT("'Выгрузка'!A1301:Z1301"),Настройки!$B$8)&amp;"")</f>
        <v/>
      </c>
      <c r="D1301">
        <f>IFERROR(--SUBSTITUTE(SUBSTITUTE(TRIM(INDEX(INDIRECT("'Выгрузка'!A1301:Z1301"),Настройки!$B$10)),",","."),".",MID(1/2,2,1)),"")</f>
        <v/>
      </c>
      <c r="E1301">
        <f>IFERROR(--SUBSTITUTE(SUBSTITUTE(TRIM(INDEX(INDIRECT("'Выгрузка'!A1301:Z1301"),Настройки!$B$11)),",","."),".",MID(1/2,2,1)),"")</f>
        <v/>
      </c>
      <c r="F1301">
        <f>TRIM(INDEX(INDIRECT("'Выгрузка'!A1301:Z1301"),Настройки!$B$12)&amp;"")</f>
        <v/>
      </c>
      <c r="G1301">
        <f>IF(F1301="",0,IF(TRIM(INDEX(INDIRECT("'Выгрузка'!A1301:Z1301"),Настройки!$B$13)&amp;"")="",1,IFERROR(--SUBSTITUTE(SUBSTITUTE(TRIM(INDEX(INDIRECT("'Выгрузка'!A1301:Z1301"),Настройки!$B$13)),",","."),".",MID(1/2,2,1)),"")))</f>
        <v/>
      </c>
      <c r="H1301">
        <f>IF(F1301="",0,IF(COUNTIF(Настройки!$B$17:$B$26,F1301)&gt;0,1,IF(COUNTIF(Настройки!$C$17:$C$26,F1301)&gt;0,2,IF(COUNTIF(Настройки!$D$17:$D$26,F1301)&gt;0,3,0))))</f>
        <v/>
      </c>
      <c r="I1301">
        <f>IF(AND(ISNUMBER(A1301),ISNUMBER(B1301)),A1301*1000+B1301,"")</f>
        <v/>
      </c>
      <c r="J1301">
        <f>IF(I1301="","",IF(COUNTIF(I$2:I1301,I1301)=1,MAX(J$1:J1300)+1,""))</f>
        <v/>
      </c>
    </row>
    <row r="1302">
      <c r="A1302">
        <f>IFERROR(--SUBSTITUTE(SUBSTITUTE(TRIM(INDEX(INDIRECT("'Выгрузка'!A1302:Z1302"),Настройки!$B$7)),",","."),".",MID(1/2,2,1)),"")</f>
        <v/>
      </c>
      <c r="B1302">
        <f>IFERROR(--SUBSTITUTE(SUBSTITUTE(TRIM(INDEX(INDIRECT("'Выгрузка'!A1302:Z1302"),Настройки!$B$9)),",","."),".",MID(1/2,2,1)),"")</f>
        <v/>
      </c>
      <c r="C1302">
        <f>TRIM(INDEX(INDIRECT("'Выгрузка'!A1302:Z1302"),Настройки!$B$8)&amp;"")</f>
        <v/>
      </c>
      <c r="D1302">
        <f>IFERROR(--SUBSTITUTE(SUBSTITUTE(TRIM(INDEX(INDIRECT("'Выгрузка'!A1302:Z1302"),Настройки!$B$10)),",","."),".",MID(1/2,2,1)),"")</f>
        <v/>
      </c>
      <c r="E1302">
        <f>IFERROR(--SUBSTITUTE(SUBSTITUTE(TRIM(INDEX(INDIRECT("'Выгрузка'!A1302:Z1302"),Настройки!$B$11)),",","."),".",MID(1/2,2,1)),"")</f>
        <v/>
      </c>
      <c r="F1302">
        <f>TRIM(INDEX(INDIRECT("'Выгрузка'!A1302:Z1302"),Настройки!$B$12)&amp;"")</f>
        <v/>
      </c>
      <c r="G1302">
        <f>IF(F1302="",0,IF(TRIM(INDEX(INDIRECT("'Выгрузка'!A1302:Z1302"),Настройки!$B$13)&amp;"")="",1,IFERROR(--SUBSTITUTE(SUBSTITUTE(TRIM(INDEX(INDIRECT("'Выгрузка'!A1302:Z1302"),Настройки!$B$13)),",","."),".",MID(1/2,2,1)),"")))</f>
        <v/>
      </c>
      <c r="H1302">
        <f>IF(F1302="",0,IF(COUNTIF(Настройки!$B$17:$B$26,F1302)&gt;0,1,IF(COUNTIF(Настройки!$C$17:$C$26,F1302)&gt;0,2,IF(COUNTIF(Настройки!$D$17:$D$26,F1302)&gt;0,3,0))))</f>
        <v/>
      </c>
      <c r="I1302">
        <f>IF(AND(ISNUMBER(A1302),ISNUMBER(B1302)),A1302*1000+B1302,"")</f>
        <v/>
      </c>
      <c r="J1302">
        <f>IF(I1302="","",IF(COUNTIF(I$2:I1302,I1302)=1,MAX(J$1:J1301)+1,""))</f>
        <v/>
      </c>
    </row>
    <row r="1303">
      <c r="A1303">
        <f>IFERROR(--SUBSTITUTE(SUBSTITUTE(TRIM(INDEX(INDIRECT("'Выгрузка'!A1303:Z1303"),Настройки!$B$7)),",","."),".",MID(1/2,2,1)),"")</f>
        <v/>
      </c>
      <c r="B1303">
        <f>IFERROR(--SUBSTITUTE(SUBSTITUTE(TRIM(INDEX(INDIRECT("'Выгрузка'!A1303:Z1303"),Настройки!$B$9)),",","."),".",MID(1/2,2,1)),"")</f>
        <v/>
      </c>
      <c r="C1303">
        <f>TRIM(INDEX(INDIRECT("'Выгрузка'!A1303:Z1303"),Настройки!$B$8)&amp;"")</f>
        <v/>
      </c>
      <c r="D1303">
        <f>IFERROR(--SUBSTITUTE(SUBSTITUTE(TRIM(INDEX(INDIRECT("'Выгрузка'!A1303:Z1303"),Настройки!$B$10)),",","."),".",MID(1/2,2,1)),"")</f>
        <v/>
      </c>
      <c r="E1303">
        <f>IFERROR(--SUBSTITUTE(SUBSTITUTE(TRIM(INDEX(INDIRECT("'Выгрузка'!A1303:Z1303"),Настройки!$B$11)),",","."),".",MID(1/2,2,1)),"")</f>
        <v/>
      </c>
      <c r="F1303">
        <f>TRIM(INDEX(INDIRECT("'Выгрузка'!A1303:Z1303"),Настройки!$B$12)&amp;"")</f>
        <v/>
      </c>
      <c r="G1303">
        <f>IF(F1303="",0,IF(TRIM(INDEX(INDIRECT("'Выгрузка'!A1303:Z1303"),Настройки!$B$13)&amp;"")="",1,IFERROR(--SUBSTITUTE(SUBSTITUTE(TRIM(INDEX(INDIRECT("'Выгрузка'!A1303:Z1303"),Настройки!$B$13)),",","."),".",MID(1/2,2,1)),"")))</f>
        <v/>
      </c>
      <c r="H1303">
        <f>IF(F1303="",0,IF(COUNTIF(Настройки!$B$17:$B$26,F1303)&gt;0,1,IF(COUNTIF(Настройки!$C$17:$C$26,F1303)&gt;0,2,IF(COUNTIF(Настройки!$D$17:$D$26,F1303)&gt;0,3,0))))</f>
        <v/>
      </c>
      <c r="I1303">
        <f>IF(AND(ISNUMBER(A1303),ISNUMBER(B1303)),A1303*1000+B1303,"")</f>
        <v/>
      </c>
      <c r="J1303">
        <f>IF(I1303="","",IF(COUNTIF(I$2:I1303,I1303)=1,MAX(J$1:J1302)+1,""))</f>
        <v/>
      </c>
    </row>
    <row r="1304">
      <c r="A1304">
        <f>IFERROR(--SUBSTITUTE(SUBSTITUTE(TRIM(INDEX(INDIRECT("'Выгрузка'!A1304:Z1304"),Настройки!$B$7)),",","."),".",MID(1/2,2,1)),"")</f>
        <v/>
      </c>
      <c r="B1304">
        <f>IFERROR(--SUBSTITUTE(SUBSTITUTE(TRIM(INDEX(INDIRECT("'Выгрузка'!A1304:Z1304"),Настройки!$B$9)),",","."),".",MID(1/2,2,1)),"")</f>
        <v/>
      </c>
      <c r="C1304">
        <f>TRIM(INDEX(INDIRECT("'Выгрузка'!A1304:Z1304"),Настройки!$B$8)&amp;"")</f>
        <v/>
      </c>
      <c r="D1304">
        <f>IFERROR(--SUBSTITUTE(SUBSTITUTE(TRIM(INDEX(INDIRECT("'Выгрузка'!A1304:Z1304"),Настройки!$B$10)),",","."),".",MID(1/2,2,1)),"")</f>
        <v/>
      </c>
      <c r="E1304">
        <f>IFERROR(--SUBSTITUTE(SUBSTITUTE(TRIM(INDEX(INDIRECT("'Выгрузка'!A1304:Z1304"),Настройки!$B$11)),",","."),".",MID(1/2,2,1)),"")</f>
        <v/>
      </c>
      <c r="F1304">
        <f>TRIM(INDEX(INDIRECT("'Выгрузка'!A1304:Z1304"),Настройки!$B$12)&amp;"")</f>
        <v/>
      </c>
      <c r="G1304">
        <f>IF(F1304="",0,IF(TRIM(INDEX(INDIRECT("'Выгрузка'!A1304:Z1304"),Настройки!$B$13)&amp;"")="",1,IFERROR(--SUBSTITUTE(SUBSTITUTE(TRIM(INDEX(INDIRECT("'Выгрузка'!A1304:Z1304"),Настройки!$B$13)),",","."),".",MID(1/2,2,1)),"")))</f>
        <v/>
      </c>
      <c r="H1304">
        <f>IF(F1304="",0,IF(COUNTIF(Настройки!$B$17:$B$26,F1304)&gt;0,1,IF(COUNTIF(Настройки!$C$17:$C$26,F1304)&gt;0,2,IF(COUNTIF(Настройки!$D$17:$D$26,F1304)&gt;0,3,0))))</f>
        <v/>
      </c>
      <c r="I1304">
        <f>IF(AND(ISNUMBER(A1304),ISNUMBER(B1304)),A1304*1000+B1304,"")</f>
        <v/>
      </c>
      <c r="J1304">
        <f>IF(I1304="","",IF(COUNTIF(I$2:I1304,I1304)=1,MAX(J$1:J1303)+1,""))</f>
        <v/>
      </c>
    </row>
    <row r="1305">
      <c r="A1305">
        <f>IFERROR(--SUBSTITUTE(SUBSTITUTE(TRIM(INDEX(INDIRECT("'Выгрузка'!A1305:Z1305"),Настройки!$B$7)),",","."),".",MID(1/2,2,1)),"")</f>
        <v/>
      </c>
      <c r="B1305">
        <f>IFERROR(--SUBSTITUTE(SUBSTITUTE(TRIM(INDEX(INDIRECT("'Выгрузка'!A1305:Z1305"),Настройки!$B$9)),",","."),".",MID(1/2,2,1)),"")</f>
        <v/>
      </c>
      <c r="C1305">
        <f>TRIM(INDEX(INDIRECT("'Выгрузка'!A1305:Z1305"),Настройки!$B$8)&amp;"")</f>
        <v/>
      </c>
      <c r="D1305">
        <f>IFERROR(--SUBSTITUTE(SUBSTITUTE(TRIM(INDEX(INDIRECT("'Выгрузка'!A1305:Z1305"),Настройки!$B$10)),",","."),".",MID(1/2,2,1)),"")</f>
        <v/>
      </c>
      <c r="E1305">
        <f>IFERROR(--SUBSTITUTE(SUBSTITUTE(TRIM(INDEX(INDIRECT("'Выгрузка'!A1305:Z1305"),Настройки!$B$11)),",","."),".",MID(1/2,2,1)),"")</f>
        <v/>
      </c>
      <c r="F1305">
        <f>TRIM(INDEX(INDIRECT("'Выгрузка'!A1305:Z1305"),Настройки!$B$12)&amp;"")</f>
        <v/>
      </c>
      <c r="G1305">
        <f>IF(F1305="",0,IF(TRIM(INDEX(INDIRECT("'Выгрузка'!A1305:Z1305"),Настройки!$B$13)&amp;"")="",1,IFERROR(--SUBSTITUTE(SUBSTITUTE(TRIM(INDEX(INDIRECT("'Выгрузка'!A1305:Z1305"),Настройки!$B$13)),",","."),".",MID(1/2,2,1)),"")))</f>
        <v/>
      </c>
      <c r="H1305">
        <f>IF(F1305="",0,IF(COUNTIF(Настройки!$B$17:$B$26,F1305)&gt;0,1,IF(COUNTIF(Настройки!$C$17:$C$26,F1305)&gt;0,2,IF(COUNTIF(Настройки!$D$17:$D$26,F1305)&gt;0,3,0))))</f>
        <v/>
      </c>
      <c r="I1305">
        <f>IF(AND(ISNUMBER(A1305),ISNUMBER(B1305)),A1305*1000+B1305,"")</f>
        <v/>
      </c>
      <c r="J1305">
        <f>IF(I1305="","",IF(COUNTIF(I$2:I1305,I1305)=1,MAX(J$1:J1304)+1,""))</f>
        <v/>
      </c>
    </row>
    <row r="1306">
      <c r="A1306">
        <f>IFERROR(--SUBSTITUTE(SUBSTITUTE(TRIM(INDEX(INDIRECT("'Выгрузка'!A1306:Z1306"),Настройки!$B$7)),",","."),".",MID(1/2,2,1)),"")</f>
        <v/>
      </c>
      <c r="B1306">
        <f>IFERROR(--SUBSTITUTE(SUBSTITUTE(TRIM(INDEX(INDIRECT("'Выгрузка'!A1306:Z1306"),Настройки!$B$9)),",","."),".",MID(1/2,2,1)),"")</f>
        <v/>
      </c>
      <c r="C1306">
        <f>TRIM(INDEX(INDIRECT("'Выгрузка'!A1306:Z1306"),Настройки!$B$8)&amp;"")</f>
        <v/>
      </c>
      <c r="D1306">
        <f>IFERROR(--SUBSTITUTE(SUBSTITUTE(TRIM(INDEX(INDIRECT("'Выгрузка'!A1306:Z1306"),Настройки!$B$10)),",","."),".",MID(1/2,2,1)),"")</f>
        <v/>
      </c>
      <c r="E1306">
        <f>IFERROR(--SUBSTITUTE(SUBSTITUTE(TRIM(INDEX(INDIRECT("'Выгрузка'!A1306:Z1306"),Настройки!$B$11)),",","."),".",MID(1/2,2,1)),"")</f>
        <v/>
      </c>
      <c r="F1306">
        <f>TRIM(INDEX(INDIRECT("'Выгрузка'!A1306:Z1306"),Настройки!$B$12)&amp;"")</f>
        <v/>
      </c>
      <c r="G1306">
        <f>IF(F1306="",0,IF(TRIM(INDEX(INDIRECT("'Выгрузка'!A1306:Z1306"),Настройки!$B$13)&amp;"")="",1,IFERROR(--SUBSTITUTE(SUBSTITUTE(TRIM(INDEX(INDIRECT("'Выгрузка'!A1306:Z1306"),Настройки!$B$13)),",","."),".",MID(1/2,2,1)),"")))</f>
        <v/>
      </c>
      <c r="H1306">
        <f>IF(F1306="",0,IF(COUNTIF(Настройки!$B$17:$B$26,F1306)&gt;0,1,IF(COUNTIF(Настройки!$C$17:$C$26,F1306)&gt;0,2,IF(COUNTIF(Настройки!$D$17:$D$26,F1306)&gt;0,3,0))))</f>
        <v/>
      </c>
      <c r="I1306">
        <f>IF(AND(ISNUMBER(A1306),ISNUMBER(B1306)),A1306*1000+B1306,"")</f>
        <v/>
      </c>
      <c r="J1306">
        <f>IF(I1306="","",IF(COUNTIF(I$2:I1306,I1306)=1,MAX(J$1:J1305)+1,""))</f>
        <v/>
      </c>
    </row>
    <row r="1307">
      <c r="A1307">
        <f>IFERROR(--SUBSTITUTE(SUBSTITUTE(TRIM(INDEX(INDIRECT("'Выгрузка'!A1307:Z1307"),Настройки!$B$7)),",","."),".",MID(1/2,2,1)),"")</f>
        <v/>
      </c>
      <c r="B1307">
        <f>IFERROR(--SUBSTITUTE(SUBSTITUTE(TRIM(INDEX(INDIRECT("'Выгрузка'!A1307:Z1307"),Настройки!$B$9)),",","."),".",MID(1/2,2,1)),"")</f>
        <v/>
      </c>
      <c r="C1307">
        <f>TRIM(INDEX(INDIRECT("'Выгрузка'!A1307:Z1307"),Настройки!$B$8)&amp;"")</f>
        <v/>
      </c>
      <c r="D1307">
        <f>IFERROR(--SUBSTITUTE(SUBSTITUTE(TRIM(INDEX(INDIRECT("'Выгрузка'!A1307:Z1307"),Настройки!$B$10)),",","."),".",MID(1/2,2,1)),"")</f>
        <v/>
      </c>
      <c r="E1307">
        <f>IFERROR(--SUBSTITUTE(SUBSTITUTE(TRIM(INDEX(INDIRECT("'Выгрузка'!A1307:Z1307"),Настройки!$B$11)),",","."),".",MID(1/2,2,1)),"")</f>
        <v/>
      </c>
      <c r="F1307">
        <f>TRIM(INDEX(INDIRECT("'Выгрузка'!A1307:Z1307"),Настройки!$B$12)&amp;"")</f>
        <v/>
      </c>
      <c r="G1307">
        <f>IF(F1307="",0,IF(TRIM(INDEX(INDIRECT("'Выгрузка'!A1307:Z1307"),Настройки!$B$13)&amp;"")="",1,IFERROR(--SUBSTITUTE(SUBSTITUTE(TRIM(INDEX(INDIRECT("'Выгрузка'!A1307:Z1307"),Настройки!$B$13)),",","."),".",MID(1/2,2,1)),"")))</f>
        <v/>
      </c>
      <c r="H1307">
        <f>IF(F1307="",0,IF(COUNTIF(Настройки!$B$17:$B$26,F1307)&gt;0,1,IF(COUNTIF(Настройки!$C$17:$C$26,F1307)&gt;0,2,IF(COUNTIF(Настройки!$D$17:$D$26,F1307)&gt;0,3,0))))</f>
        <v/>
      </c>
      <c r="I1307">
        <f>IF(AND(ISNUMBER(A1307),ISNUMBER(B1307)),A1307*1000+B1307,"")</f>
        <v/>
      </c>
      <c r="J1307">
        <f>IF(I1307="","",IF(COUNTIF(I$2:I1307,I1307)=1,MAX(J$1:J1306)+1,""))</f>
        <v/>
      </c>
    </row>
    <row r="1308">
      <c r="A1308">
        <f>IFERROR(--SUBSTITUTE(SUBSTITUTE(TRIM(INDEX(INDIRECT("'Выгрузка'!A1308:Z1308"),Настройки!$B$7)),",","."),".",MID(1/2,2,1)),"")</f>
        <v/>
      </c>
      <c r="B1308">
        <f>IFERROR(--SUBSTITUTE(SUBSTITUTE(TRIM(INDEX(INDIRECT("'Выгрузка'!A1308:Z1308"),Настройки!$B$9)),",","."),".",MID(1/2,2,1)),"")</f>
        <v/>
      </c>
      <c r="C1308">
        <f>TRIM(INDEX(INDIRECT("'Выгрузка'!A1308:Z1308"),Настройки!$B$8)&amp;"")</f>
        <v/>
      </c>
      <c r="D1308">
        <f>IFERROR(--SUBSTITUTE(SUBSTITUTE(TRIM(INDEX(INDIRECT("'Выгрузка'!A1308:Z1308"),Настройки!$B$10)),",","."),".",MID(1/2,2,1)),"")</f>
        <v/>
      </c>
      <c r="E1308">
        <f>IFERROR(--SUBSTITUTE(SUBSTITUTE(TRIM(INDEX(INDIRECT("'Выгрузка'!A1308:Z1308"),Настройки!$B$11)),",","."),".",MID(1/2,2,1)),"")</f>
        <v/>
      </c>
      <c r="F1308">
        <f>TRIM(INDEX(INDIRECT("'Выгрузка'!A1308:Z1308"),Настройки!$B$12)&amp;"")</f>
        <v/>
      </c>
      <c r="G1308">
        <f>IF(F1308="",0,IF(TRIM(INDEX(INDIRECT("'Выгрузка'!A1308:Z1308"),Настройки!$B$13)&amp;"")="",1,IFERROR(--SUBSTITUTE(SUBSTITUTE(TRIM(INDEX(INDIRECT("'Выгрузка'!A1308:Z1308"),Настройки!$B$13)),",","."),".",MID(1/2,2,1)),"")))</f>
        <v/>
      </c>
      <c r="H1308">
        <f>IF(F1308="",0,IF(COUNTIF(Настройки!$B$17:$B$26,F1308)&gt;0,1,IF(COUNTIF(Настройки!$C$17:$C$26,F1308)&gt;0,2,IF(COUNTIF(Настройки!$D$17:$D$26,F1308)&gt;0,3,0))))</f>
        <v/>
      </c>
      <c r="I1308">
        <f>IF(AND(ISNUMBER(A1308),ISNUMBER(B1308)),A1308*1000+B1308,"")</f>
        <v/>
      </c>
      <c r="J1308">
        <f>IF(I1308="","",IF(COUNTIF(I$2:I1308,I1308)=1,MAX(J$1:J1307)+1,""))</f>
        <v/>
      </c>
    </row>
    <row r="1309">
      <c r="A1309">
        <f>IFERROR(--SUBSTITUTE(SUBSTITUTE(TRIM(INDEX(INDIRECT("'Выгрузка'!A1309:Z1309"),Настройки!$B$7)),",","."),".",MID(1/2,2,1)),"")</f>
        <v/>
      </c>
      <c r="B1309">
        <f>IFERROR(--SUBSTITUTE(SUBSTITUTE(TRIM(INDEX(INDIRECT("'Выгрузка'!A1309:Z1309"),Настройки!$B$9)),",","."),".",MID(1/2,2,1)),"")</f>
        <v/>
      </c>
      <c r="C1309">
        <f>TRIM(INDEX(INDIRECT("'Выгрузка'!A1309:Z1309"),Настройки!$B$8)&amp;"")</f>
        <v/>
      </c>
      <c r="D1309">
        <f>IFERROR(--SUBSTITUTE(SUBSTITUTE(TRIM(INDEX(INDIRECT("'Выгрузка'!A1309:Z1309"),Настройки!$B$10)),",","."),".",MID(1/2,2,1)),"")</f>
        <v/>
      </c>
      <c r="E1309">
        <f>IFERROR(--SUBSTITUTE(SUBSTITUTE(TRIM(INDEX(INDIRECT("'Выгрузка'!A1309:Z1309"),Настройки!$B$11)),",","."),".",MID(1/2,2,1)),"")</f>
        <v/>
      </c>
      <c r="F1309">
        <f>TRIM(INDEX(INDIRECT("'Выгрузка'!A1309:Z1309"),Настройки!$B$12)&amp;"")</f>
        <v/>
      </c>
      <c r="G1309">
        <f>IF(F1309="",0,IF(TRIM(INDEX(INDIRECT("'Выгрузка'!A1309:Z1309"),Настройки!$B$13)&amp;"")="",1,IFERROR(--SUBSTITUTE(SUBSTITUTE(TRIM(INDEX(INDIRECT("'Выгрузка'!A1309:Z1309"),Настройки!$B$13)),",","."),".",MID(1/2,2,1)),"")))</f>
        <v/>
      </c>
      <c r="H1309">
        <f>IF(F1309="",0,IF(COUNTIF(Настройки!$B$17:$B$26,F1309)&gt;0,1,IF(COUNTIF(Настройки!$C$17:$C$26,F1309)&gt;0,2,IF(COUNTIF(Настройки!$D$17:$D$26,F1309)&gt;0,3,0))))</f>
        <v/>
      </c>
      <c r="I1309">
        <f>IF(AND(ISNUMBER(A1309),ISNUMBER(B1309)),A1309*1000+B1309,"")</f>
        <v/>
      </c>
      <c r="J1309">
        <f>IF(I1309="","",IF(COUNTIF(I$2:I1309,I1309)=1,MAX(J$1:J1308)+1,""))</f>
        <v/>
      </c>
    </row>
    <row r="1310">
      <c r="A1310">
        <f>IFERROR(--SUBSTITUTE(SUBSTITUTE(TRIM(INDEX(INDIRECT("'Выгрузка'!A1310:Z1310"),Настройки!$B$7)),",","."),".",MID(1/2,2,1)),"")</f>
        <v/>
      </c>
      <c r="B1310">
        <f>IFERROR(--SUBSTITUTE(SUBSTITUTE(TRIM(INDEX(INDIRECT("'Выгрузка'!A1310:Z1310"),Настройки!$B$9)),",","."),".",MID(1/2,2,1)),"")</f>
        <v/>
      </c>
      <c r="C1310">
        <f>TRIM(INDEX(INDIRECT("'Выгрузка'!A1310:Z1310"),Настройки!$B$8)&amp;"")</f>
        <v/>
      </c>
      <c r="D1310">
        <f>IFERROR(--SUBSTITUTE(SUBSTITUTE(TRIM(INDEX(INDIRECT("'Выгрузка'!A1310:Z1310"),Настройки!$B$10)),",","."),".",MID(1/2,2,1)),"")</f>
        <v/>
      </c>
      <c r="E1310">
        <f>IFERROR(--SUBSTITUTE(SUBSTITUTE(TRIM(INDEX(INDIRECT("'Выгрузка'!A1310:Z1310"),Настройки!$B$11)),",","."),".",MID(1/2,2,1)),"")</f>
        <v/>
      </c>
      <c r="F1310">
        <f>TRIM(INDEX(INDIRECT("'Выгрузка'!A1310:Z1310"),Настройки!$B$12)&amp;"")</f>
        <v/>
      </c>
      <c r="G1310">
        <f>IF(F1310="",0,IF(TRIM(INDEX(INDIRECT("'Выгрузка'!A1310:Z1310"),Настройки!$B$13)&amp;"")="",1,IFERROR(--SUBSTITUTE(SUBSTITUTE(TRIM(INDEX(INDIRECT("'Выгрузка'!A1310:Z1310"),Настройки!$B$13)),",","."),".",MID(1/2,2,1)),"")))</f>
        <v/>
      </c>
      <c r="H1310">
        <f>IF(F1310="",0,IF(COUNTIF(Настройки!$B$17:$B$26,F1310)&gt;0,1,IF(COUNTIF(Настройки!$C$17:$C$26,F1310)&gt;0,2,IF(COUNTIF(Настройки!$D$17:$D$26,F1310)&gt;0,3,0))))</f>
        <v/>
      </c>
      <c r="I1310">
        <f>IF(AND(ISNUMBER(A1310),ISNUMBER(B1310)),A1310*1000+B1310,"")</f>
        <v/>
      </c>
      <c r="J1310">
        <f>IF(I1310="","",IF(COUNTIF(I$2:I1310,I1310)=1,MAX(J$1:J1309)+1,""))</f>
        <v/>
      </c>
    </row>
    <row r="1311">
      <c r="A1311">
        <f>IFERROR(--SUBSTITUTE(SUBSTITUTE(TRIM(INDEX(INDIRECT("'Выгрузка'!A1311:Z1311"),Настройки!$B$7)),",","."),".",MID(1/2,2,1)),"")</f>
        <v/>
      </c>
      <c r="B1311">
        <f>IFERROR(--SUBSTITUTE(SUBSTITUTE(TRIM(INDEX(INDIRECT("'Выгрузка'!A1311:Z1311"),Настройки!$B$9)),",","."),".",MID(1/2,2,1)),"")</f>
        <v/>
      </c>
      <c r="C1311">
        <f>TRIM(INDEX(INDIRECT("'Выгрузка'!A1311:Z1311"),Настройки!$B$8)&amp;"")</f>
        <v/>
      </c>
      <c r="D1311">
        <f>IFERROR(--SUBSTITUTE(SUBSTITUTE(TRIM(INDEX(INDIRECT("'Выгрузка'!A1311:Z1311"),Настройки!$B$10)),",","."),".",MID(1/2,2,1)),"")</f>
        <v/>
      </c>
      <c r="E1311">
        <f>IFERROR(--SUBSTITUTE(SUBSTITUTE(TRIM(INDEX(INDIRECT("'Выгрузка'!A1311:Z1311"),Настройки!$B$11)),",","."),".",MID(1/2,2,1)),"")</f>
        <v/>
      </c>
      <c r="F1311">
        <f>TRIM(INDEX(INDIRECT("'Выгрузка'!A1311:Z1311"),Настройки!$B$12)&amp;"")</f>
        <v/>
      </c>
      <c r="G1311">
        <f>IF(F1311="",0,IF(TRIM(INDEX(INDIRECT("'Выгрузка'!A1311:Z1311"),Настройки!$B$13)&amp;"")="",1,IFERROR(--SUBSTITUTE(SUBSTITUTE(TRIM(INDEX(INDIRECT("'Выгрузка'!A1311:Z1311"),Настройки!$B$13)),",","."),".",MID(1/2,2,1)),"")))</f>
        <v/>
      </c>
      <c r="H1311">
        <f>IF(F1311="",0,IF(COUNTIF(Настройки!$B$17:$B$26,F1311)&gt;0,1,IF(COUNTIF(Настройки!$C$17:$C$26,F1311)&gt;0,2,IF(COUNTIF(Настройки!$D$17:$D$26,F1311)&gt;0,3,0))))</f>
        <v/>
      </c>
      <c r="I1311">
        <f>IF(AND(ISNUMBER(A1311),ISNUMBER(B1311)),A1311*1000+B1311,"")</f>
        <v/>
      </c>
      <c r="J1311">
        <f>IF(I1311="","",IF(COUNTIF(I$2:I1311,I1311)=1,MAX(J$1:J1310)+1,""))</f>
        <v/>
      </c>
    </row>
    <row r="1312">
      <c r="A1312">
        <f>IFERROR(--SUBSTITUTE(SUBSTITUTE(TRIM(INDEX(INDIRECT("'Выгрузка'!A1312:Z1312"),Настройки!$B$7)),",","."),".",MID(1/2,2,1)),"")</f>
        <v/>
      </c>
      <c r="B1312">
        <f>IFERROR(--SUBSTITUTE(SUBSTITUTE(TRIM(INDEX(INDIRECT("'Выгрузка'!A1312:Z1312"),Настройки!$B$9)),",","."),".",MID(1/2,2,1)),"")</f>
        <v/>
      </c>
      <c r="C1312">
        <f>TRIM(INDEX(INDIRECT("'Выгрузка'!A1312:Z1312"),Настройки!$B$8)&amp;"")</f>
        <v/>
      </c>
      <c r="D1312">
        <f>IFERROR(--SUBSTITUTE(SUBSTITUTE(TRIM(INDEX(INDIRECT("'Выгрузка'!A1312:Z1312"),Настройки!$B$10)),",","."),".",MID(1/2,2,1)),"")</f>
        <v/>
      </c>
      <c r="E1312">
        <f>IFERROR(--SUBSTITUTE(SUBSTITUTE(TRIM(INDEX(INDIRECT("'Выгрузка'!A1312:Z1312"),Настройки!$B$11)),",","."),".",MID(1/2,2,1)),"")</f>
        <v/>
      </c>
      <c r="F1312">
        <f>TRIM(INDEX(INDIRECT("'Выгрузка'!A1312:Z1312"),Настройки!$B$12)&amp;"")</f>
        <v/>
      </c>
      <c r="G1312">
        <f>IF(F1312="",0,IF(TRIM(INDEX(INDIRECT("'Выгрузка'!A1312:Z1312"),Настройки!$B$13)&amp;"")="",1,IFERROR(--SUBSTITUTE(SUBSTITUTE(TRIM(INDEX(INDIRECT("'Выгрузка'!A1312:Z1312"),Настройки!$B$13)),",","."),".",MID(1/2,2,1)),"")))</f>
        <v/>
      </c>
      <c r="H1312">
        <f>IF(F1312="",0,IF(COUNTIF(Настройки!$B$17:$B$26,F1312)&gt;0,1,IF(COUNTIF(Настройки!$C$17:$C$26,F1312)&gt;0,2,IF(COUNTIF(Настройки!$D$17:$D$26,F1312)&gt;0,3,0))))</f>
        <v/>
      </c>
      <c r="I1312">
        <f>IF(AND(ISNUMBER(A1312),ISNUMBER(B1312)),A1312*1000+B1312,"")</f>
        <v/>
      </c>
      <c r="J1312">
        <f>IF(I1312="","",IF(COUNTIF(I$2:I1312,I1312)=1,MAX(J$1:J1311)+1,""))</f>
        <v/>
      </c>
    </row>
    <row r="1313">
      <c r="A1313">
        <f>IFERROR(--SUBSTITUTE(SUBSTITUTE(TRIM(INDEX(INDIRECT("'Выгрузка'!A1313:Z1313"),Настройки!$B$7)),",","."),".",MID(1/2,2,1)),"")</f>
        <v/>
      </c>
      <c r="B1313">
        <f>IFERROR(--SUBSTITUTE(SUBSTITUTE(TRIM(INDEX(INDIRECT("'Выгрузка'!A1313:Z1313"),Настройки!$B$9)),",","."),".",MID(1/2,2,1)),"")</f>
        <v/>
      </c>
      <c r="C1313">
        <f>TRIM(INDEX(INDIRECT("'Выгрузка'!A1313:Z1313"),Настройки!$B$8)&amp;"")</f>
        <v/>
      </c>
      <c r="D1313">
        <f>IFERROR(--SUBSTITUTE(SUBSTITUTE(TRIM(INDEX(INDIRECT("'Выгрузка'!A1313:Z1313"),Настройки!$B$10)),",","."),".",MID(1/2,2,1)),"")</f>
        <v/>
      </c>
      <c r="E1313">
        <f>IFERROR(--SUBSTITUTE(SUBSTITUTE(TRIM(INDEX(INDIRECT("'Выгрузка'!A1313:Z1313"),Настройки!$B$11)),",","."),".",MID(1/2,2,1)),"")</f>
        <v/>
      </c>
      <c r="F1313">
        <f>TRIM(INDEX(INDIRECT("'Выгрузка'!A1313:Z1313"),Настройки!$B$12)&amp;"")</f>
        <v/>
      </c>
      <c r="G1313">
        <f>IF(F1313="",0,IF(TRIM(INDEX(INDIRECT("'Выгрузка'!A1313:Z1313"),Настройки!$B$13)&amp;"")="",1,IFERROR(--SUBSTITUTE(SUBSTITUTE(TRIM(INDEX(INDIRECT("'Выгрузка'!A1313:Z1313"),Настройки!$B$13)),",","."),".",MID(1/2,2,1)),"")))</f>
        <v/>
      </c>
      <c r="H1313">
        <f>IF(F1313="",0,IF(COUNTIF(Настройки!$B$17:$B$26,F1313)&gt;0,1,IF(COUNTIF(Настройки!$C$17:$C$26,F1313)&gt;0,2,IF(COUNTIF(Настройки!$D$17:$D$26,F1313)&gt;0,3,0))))</f>
        <v/>
      </c>
      <c r="I1313">
        <f>IF(AND(ISNUMBER(A1313),ISNUMBER(B1313)),A1313*1000+B1313,"")</f>
        <v/>
      </c>
      <c r="J1313">
        <f>IF(I1313="","",IF(COUNTIF(I$2:I1313,I1313)=1,MAX(J$1:J1312)+1,""))</f>
        <v/>
      </c>
    </row>
    <row r="1314">
      <c r="A1314">
        <f>IFERROR(--SUBSTITUTE(SUBSTITUTE(TRIM(INDEX(INDIRECT("'Выгрузка'!A1314:Z1314"),Настройки!$B$7)),",","."),".",MID(1/2,2,1)),"")</f>
        <v/>
      </c>
      <c r="B1314">
        <f>IFERROR(--SUBSTITUTE(SUBSTITUTE(TRIM(INDEX(INDIRECT("'Выгрузка'!A1314:Z1314"),Настройки!$B$9)),",","."),".",MID(1/2,2,1)),"")</f>
        <v/>
      </c>
      <c r="C1314">
        <f>TRIM(INDEX(INDIRECT("'Выгрузка'!A1314:Z1314"),Настройки!$B$8)&amp;"")</f>
        <v/>
      </c>
      <c r="D1314">
        <f>IFERROR(--SUBSTITUTE(SUBSTITUTE(TRIM(INDEX(INDIRECT("'Выгрузка'!A1314:Z1314"),Настройки!$B$10)),",","."),".",MID(1/2,2,1)),"")</f>
        <v/>
      </c>
      <c r="E1314">
        <f>IFERROR(--SUBSTITUTE(SUBSTITUTE(TRIM(INDEX(INDIRECT("'Выгрузка'!A1314:Z1314"),Настройки!$B$11)),",","."),".",MID(1/2,2,1)),"")</f>
        <v/>
      </c>
      <c r="F1314">
        <f>TRIM(INDEX(INDIRECT("'Выгрузка'!A1314:Z1314"),Настройки!$B$12)&amp;"")</f>
        <v/>
      </c>
      <c r="G1314">
        <f>IF(F1314="",0,IF(TRIM(INDEX(INDIRECT("'Выгрузка'!A1314:Z1314"),Настройки!$B$13)&amp;"")="",1,IFERROR(--SUBSTITUTE(SUBSTITUTE(TRIM(INDEX(INDIRECT("'Выгрузка'!A1314:Z1314"),Настройки!$B$13)),",","."),".",MID(1/2,2,1)),"")))</f>
        <v/>
      </c>
      <c r="H1314">
        <f>IF(F1314="",0,IF(COUNTIF(Настройки!$B$17:$B$26,F1314)&gt;0,1,IF(COUNTIF(Настройки!$C$17:$C$26,F1314)&gt;0,2,IF(COUNTIF(Настройки!$D$17:$D$26,F1314)&gt;0,3,0))))</f>
        <v/>
      </c>
      <c r="I1314">
        <f>IF(AND(ISNUMBER(A1314),ISNUMBER(B1314)),A1314*1000+B1314,"")</f>
        <v/>
      </c>
      <c r="J1314">
        <f>IF(I1314="","",IF(COUNTIF(I$2:I1314,I1314)=1,MAX(J$1:J1313)+1,""))</f>
        <v/>
      </c>
    </row>
    <row r="1315">
      <c r="A1315">
        <f>IFERROR(--SUBSTITUTE(SUBSTITUTE(TRIM(INDEX(INDIRECT("'Выгрузка'!A1315:Z1315"),Настройки!$B$7)),",","."),".",MID(1/2,2,1)),"")</f>
        <v/>
      </c>
      <c r="B1315">
        <f>IFERROR(--SUBSTITUTE(SUBSTITUTE(TRIM(INDEX(INDIRECT("'Выгрузка'!A1315:Z1315"),Настройки!$B$9)),",","."),".",MID(1/2,2,1)),"")</f>
        <v/>
      </c>
      <c r="C1315">
        <f>TRIM(INDEX(INDIRECT("'Выгрузка'!A1315:Z1315"),Настройки!$B$8)&amp;"")</f>
        <v/>
      </c>
      <c r="D1315">
        <f>IFERROR(--SUBSTITUTE(SUBSTITUTE(TRIM(INDEX(INDIRECT("'Выгрузка'!A1315:Z1315"),Настройки!$B$10)),",","."),".",MID(1/2,2,1)),"")</f>
        <v/>
      </c>
      <c r="E1315">
        <f>IFERROR(--SUBSTITUTE(SUBSTITUTE(TRIM(INDEX(INDIRECT("'Выгрузка'!A1315:Z1315"),Настройки!$B$11)),",","."),".",MID(1/2,2,1)),"")</f>
        <v/>
      </c>
      <c r="F1315">
        <f>TRIM(INDEX(INDIRECT("'Выгрузка'!A1315:Z1315"),Настройки!$B$12)&amp;"")</f>
        <v/>
      </c>
      <c r="G1315">
        <f>IF(F1315="",0,IF(TRIM(INDEX(INDIRECT("'Выгрузка'!A1315:Z1315"),Настройки!$B$13)&amp;"")="",1,IFERROR(--SUBSTITUTE(SUBSTITUTE(TRIM(INDEX(INDIRECT("'Выгрузка'!A1315:Z1315"),Настройки!$B$13)),",","."),".",MID(1/2,2,1)),"")))</f>
        <v/>
      </c>
      <c r="H1315">
        <f>IF(F1315="",0,IF(COUNTIF(Настройки!$B$17:$B$26,F1315)&gt;0,1,IF(COUNTIF(Настройки!$C$17:$C$26,F1315)&gt;0,2,IF(COUNTIF(Настройки!$D$17:$D$26,F1315)&gt;0,3,0))))</f>
        <v/>
      </c>
      <c r="I1315">
        <f>IF(AND(ISNUMBER(A1315),ISNUMBER(B1315)),A1315*1000+B1315,"")</f>
        <v/>
      </c>
      <c r="J1315">
        <f>IF(I1315="","",IF(COUNTIF(I$2:I1315,I1315)=1,MAX(J$1:J1314)+1,""))</f>
        <v/>
      </c>
    </row>
    <row r="1316">
      <c r="A1316">
        <f>IFERROR(--SUBSTITUTE(SUBSTITUTE(TRIM(INDEX(INDIRECT("'Выгрузка'!A1316:Z1316"),Настройки!$B$7)),",","."),".",MID(1/2,2,1)),"")</f>
        <v/>
      </c>
      <c r="B1316">
        <f>IFERROR(--SUBSTITUTE(SUBSTITUTE(TRIM(INDEX(INDIRECT("'Выгрузка'!A1316:Z1316"),Настройки!$B$9)),",","."),".",MID(1/2,2,1)),"")</f>
        <v/>
      </c>
      <c r="C1316">
        <f>TRIM(INDEX(INDIRECT("'Выгрузка'!A1316:Z1316"),Настройки!$B$8)&amp;"")</f>
        <v/>
      </c>
      <c r="D1316">
        <f>IFERROR(--SUBSTITUTE(SUBSTITUTE(TRIM(INDEX(INDIRECT("'Выгрузка'!A1316:Z1316"),Настройки!$B$10)),",","."),".",MID(1/2,2,1)),"")</f>
        <v/>
      </c>
      <c r="E1316">
        <f>IFERROR(--SUBSTITUTE(SUBSTITUTE(TRIM(INDEX(INDIRECT("'Выгрузка'!A1316:Z1316"),Настройки!$B$11)),",","."),".",MID(1/2,2,1)),"")</f>
        <v/>
      </c>
      <c r="F1316">
        <f>TRIM(INDEX(INDIRECT("'Выгрузка'!A1316:Z1316"),Настройки!$B$12)&amp;"")</f>
        <v/>
      </c>
      <c r="G1316">
        <f>IF(F1316="",0,IF(TRIM(INDEX(INDIRECT("'Выгрузка'!A1316:Z1316"),Настройки!$B$13)&amp;"")="",1,IFERROR(--SUBSTITUTE(SUBSTITUTE(TRIM(INDEX(INDIRECT("'Выгрузка'!A1316:Z1316"),Настройки!$B$13)),",","."),".",MID(1/2,2,1)),"")))</f>
        <v/>
      </c>
      <c r="H1316">
        <f>IF(F1316="",0,IF(COUNTIF(Настройки!$B$17:$B$26,F1316)&gt;0,1,IF(COUNTIF(Настройки!$C$17:$C$26,F1316)&gt;0,2,IF(COUNTIF(Настройки!$D$17:$D$26,F1316)&gt;0,3,0))))</f>
        <v/>
      </c>
      <c r="I1316">
        <f>IF(AND(ISNUMBER(A1316),ISNUMBER(B1316)),A1316*1000+B1316,"")</f>
        <v/>
      </c>
      <c r="J1316">
        <f>IF(I1316="","",IF(COUNTIF(I$2:I1316,I1316)=1,MAX(J$1:J1315)+1,""))</f>
        <v/>
      </c>
    </row>
    <row r="1317">
      <c r="A1317">
        <f>IFERROR(--SUBSTITUTE(SUBSTITUTE(TRIM(INDEX(INDIRECT("'Выгрузка'!A1317:Z1317"),Настройки!$B$7)),",","."),".",MID(1/2,2,1)),"")</f>
        <v/>
      </c>
      <c r="B1317">
        <f>IFERROR(--SUBSTITUTE(SUBSTITUTE(TRIM(INDEX(INDIRECT("'Выгрузка'!A1317:Z1317"),Настройки!$B$9)),",","."),".",MID(1/2,2,1)),"")</f>
        <v/>
      </c>
      <c r="C1317">
        <f>TRIM(INDEX(INDIRECT("'Выгрузка'!A1317:Z1317"),Настройки!$B$8)&amp;"")</f>
        <v/>
      </c>
      <c r="D1317">
        <f>IFERROR(--SUBSTITUTE(SUBSTITUTE(TRIM(INDEX(INDIRECT("'Выгрузка'!A1317:Z1317"),Настройки!$B$10)),",","."),".",MID(1/2,2,1)),"")</f>
        <v/>
      </c>
      <c r="E1317">
        <f>IFERROR(--SUBSTITUTE(SUBSTITUTE(TRIM(INDEX(INDIRECT("'Выгрузка'!A1317:Z1317"),Настройки!$B$11)),",","."),".",MID(1/2,2,1)),"")</f>
        <v/>
      </c>
      <c r="F1317">
        <f>TRIM(INDEX(INDIRECT("'Выгрузка'!A1317:Z1317"),Настройки!$B$12)&amp;"")</f>
        <v/>
      </c>
      <c r="G1317">
        <f>IF(F1317="",0,IF(TRIM(INDEX(INDIRECT("'Выгрузка'!A1317:Z1317"),Настройки!$B$13)&amp;"")="",1,IFERROR(--SUBSTITUTE(SUBSTITUTE(TRIM(INDEX(INDIRECT("'Выгрузка'!A1317:Z1317"),Настройки!$B$13)),",","."),".",MID(1/2,2,1)),"")))</f>
        <v/>
      </c>
      <c r="H1317">
        <f>IF(F1317="",0,IF(COUNTIF(Настройки!$B$17:$B$26,F1317)&gt;0,1,IF(COUNTIF(Настройки!$C$17:$C$26,F1317)&gt;0,2,IF(COUNTIF(Настройки!$D$17:$D$26,F1317)&gt;0,3,0))))</f>
        <v/>
      </c>
      <c r="I1317">
        <f>IF(AND(ISNUMBER(A1317),ISNUMBER(B1317)),A1317*1000+B1317,"")</f>
        <v/>
      </c>
      <c r="J1317">
        <f>IF(I1317="","",IF(COUNTIF(I$2:I1317,I1317)=1,MAX(J$1:J1316)+1,""))</f>
        <v/>
      </c>
    </row>
    <row r="1318">
      <c r="A1318">
        <f>IFERROR(--SUBSTITUTE(SUBSTITUTE(TRIM(INDEX(INDIRECT("'Выгрузка'!A1318:Z1318"),Настройки!$B$7)),",","."),".",MID(1/2,2,1)),"")</f>
        <v/>
      </c>
      <c r="B1318">
        <f>IFERROR(--SUBSTITUTE(SUBSTITUTE(TRIM(INDEX(INDIRECT("'Выгрузка'!A1318:Z1318"),Настройки!$B$9)),",","."),".",MID(1/2,2,1)),"")</f>
        <v/>
      </c>
      <c r="C1318">
        <f>TRIM(INDEX(INDIRECT("'Выгрузка'!A1318:Z1318"),Настройки!$B$8)&amp;"")</f>
        <v/>
      </c>
      <c r="D1318">
        <f>IFERROR(--SUBSTITUTE(SUBSTITUTE(TRIM(INDEX(INDIRECT("'Выгрузка'!A1318:Z1318"),Настройки!$B$10)),",","."),".",MID(1/2,2,1)),"")</f>
        <v/>
      </c>
      <c r="E1318">
        <f>IFERROR(--SUBSTITUTE(SUBSTITUTE(TRIM(INDEX(INDIRECT("'Выгрузка'!A1318:Z1318"),Настройки!$B$11)),",","."),".",MID(1/2,2,1)),"")</f>
        <v/>
      </c>
      <c r="F1318">
        <f>TRIM(INDEX(INDIRECT("'Выгрузка'!A1318:Z1318"),Настройки!$B$12)&amp;"")</f>
        <v/>
      </c>
      <c r="G1318">
        <f>IF(F1318="",0,IF(TRIM(INDEX(INDIRECT("'Выгрузка'!A1318:Z1318"),Настройки!$B$13)&amp;"")="",1,IFERROR(--SUBSTITUTE(SUBSTITUTE(TRIM(INDEX(INDIRECT("'Выгрузка'!A1318:Z1318"),Настройки!$B$13)),",","."),".",MID(1/2,2,1)),"")))</f>
        <v/>
      </c>
      <c r="H1318">
        <f>IF(F1318="",0,IF(COUNTIF(Настройки!$B$17:$B$26,F1318)&gt;0,1,IF(COUNTIF(Настройки!$C$17:$C$26,F1318)&gt;0,2,IF(COUNTIF(Настройки!$D$17:$D$26,F1318)&gt;0,3,0))))</f>
        <v/>
      </c>
      <c r="I1318">
        <f>IF(AND(ISNUMBER(A1318),ISNUMBER(B1318)),A1318*1000+B1318,"")</f>
        <v/>
      </c>
      <c r="J1318">
        <f>IF(I1318="","",IF(COUNTIF(I$2:I1318,I1318)=1,MAX(J$1:J1317)+1,""))</f>
        <v/>
      </c>
    </row>
    <row r="1319">
      <c r="A1319">
        <f>IFERROR(--SUBSTITUTE(SUBSTITUTE(TRIM(INDEX(INDIRECT("'Выгрузка'!A1319:Z1319"),Настройки!$B$7)),",","."),".",MID(1/2,2,1)),"")</f>
        <v/>
      </c>
      <c r="B1319">
        <f>IFERROR(--SUBSTITUTE(SUBSTITUTE(TRIM(INDEX(INDIRECT("'Выгрузка'!A1319:Z1319"),Настройки!$B$9)),",","."),".",MID(1/2,2,1)),"")</f>
        <v/>
      </c>
      <c r="C1319">
        <f>TRIM(INDEX(INDIRECT("'Выгрузка'!A1319:Z1319"),Настройки!$B$8)&amp;"")</f>
        <v/>
      </c>
      <c r="D1319">
        <f>IFERROR(--SUBSTITUTE(SUBSTITUTE(TRIM(INDEX(INDIRECT("'Выгрузка'!A1319:Z1319"),Настройки!$B$10)),",","."),".",MID(1/2,2,1)),"")</f>
        <v/>
      </c>
      <c r="E1319">
        <f>IFERROR(--SUBSTITUTE(SUBSTITUTE(TRIM(INDEX(INDIRECT("'Выгрузка'!A1319:Z1319"),Настройки!$B$11)),",","."),".",MID(1/2,2,1)),"")</f>
        <v/>
      </c>
      <c r="F1319">
        <f>TRIM(INDEX(INDIRECT("'Выгрузка'!A1319:Z1319"),Настройки!$B$12)&amp;"")</f>
        <v/>
      </c>
      <c r="G1319">
        <f>IF(F1319="",0,IF(TRIM(INDEX(INDIRECT("'Выгрузка'!A1319:Z1319"),Настройки!$B$13)&amp;"")="",1,IFERROR(--SUBSTITUTE(SUBSTITUTE(TRIM(INDEX(INDIRECT("'Выгрузка'!A1319:Z1319"),Настройки!$B$13)),",","."),".",MID(1/2,2,1)),"")))</f>
        <v/>
      </c>
      <c r="H1319">
        <f>IF(F1319="",0,IF(COUNTIF(Настройки!$B$17:$B$26,F1319)&gt;0,1,IF(COUNTIF(Настройки!$C$17:$C$26,F1319)&gt;0,2,IF(COUNTIF(Настройки!$D$17:$D$26,F1319)&gt;0,3,0))))</f>
        <v/>
      </c>
      <c r="I1319">
        <f>IF(AND(ISNUMBER(A1319),ISNUMBER(B1319)),A1319*1000+B1319,"")</f>
        <v/>
      </c>
      <c r="J1319">
        <f>IF(I1319="","",IF(COUNTIF(I$2:I1319,I1319)=1,MAX(J$1:J1318)+1,""))</f>
        <v/>
      </c>
    </row>
    <row r="1320">
      <c r="A1320">
        <f>IFERROR(--SUBSTITUTE(SUBSTITUTE(TRIM(INDEX(INDIRECT("'Выгрузка'!A1320:Z1320"),Настройки!$B$7)),",","."),".",MID(1/2,2,1)),"")</f>
        <v/>
      </c>
      <c r="B1320">
        <f>IFERROR(--SUBSTITUTE(SUBSTITUTE(TRIM(INDEX(INDIRECT("'Выгрузка'!A1320:Z1320"),Настройки!$B$9)),",","."),".",MID(1/2,2,1)),"")</f>
        <v/>
      </c>
      <c r="C1320">
        <f>TRIM(INDEX(INDIRECT("'Выгрузка'!A1320:Z1320"),Настройки!$B$8)&amp;"")</f>
        <v/>
      </c>
      <c r="D1320">
        <f>IFERROR(--SUBSTITUTE(SUBSTITUTE(TRIM(INDEX(INDIRECT("'Выгрузка'!A1320:Z1320"),Настройки!$B$10)),",","."),".",MID(1/2,2,1)),"")</f>
        <v/>
      </c>
      <c r="E1320">
        <f>IFERROR(--SUBSTITUTE(SUBSTITUTE(TRIM(INDEX(INDIRECT("'Выгрузка'!A1320:Z1320"),Настройки!$B$11)),",","."),".",MID(1/2,2,1)),"")</f>
        <v/>
      </c>
      <c r="F1320">
        <f>TRIM(INDEX(INDIRECT("'Выгрузка'!A1320:Z1320"),Настройки!$B$12)&amp;"")</f>
        <v/>
      </c>
      <c r="G1320">
        <f>IF(F1320="",0,IF(TRIM(INDEX(INDIRECT("'Выгрузка'!A1320:Z1320"),Настройки!$B$13)&amp;"")="",1,IFERROR(--SUBSTITUTE(SUBSTITUTE(TRIM(INDEX(INDIRECT("'Выгрузка'!A1320:Z1320"),Настройки!$B$13)),",","."),".",MID(1/2,2,1)),"")))</f>
        <v/>
      </c>
      <c r="H1320">
        <f>IF(F1320="",0,IF(COUNTIF(Настройки!$B$17:$B$26,F1320)&gt;0,1,IF(COUNTIF(Настройки!$C$17:$C$26,F1320)&gt;0,2,IF(COUNTIF(Настройки!$D$17:$D$26,F1320)&gt;0,3,0))))</f>
        <v/>
      </c>
      <c r="I1320">
        <f>IF(AND(ISNUMBER(A1320),ISNUMBER(B1320)),A1320*1000+B1320,"")</f>
        <v/>
      </c>
      <c r="J1320">
        <f>IF(I1320="","",IF(COUNTIF(I$2:I1320,I1320)=1,MAX(J$1:J1319)+1,""))</f>
        <v/>
      </c>
    </row>
    <row r="1321">
      <c r="A1321">
        <f>IFERROR(--SUBSTITUTE(SUBSTITUTE(TRIM(INDEX(INDIRECT("'Выгрузка'!A1321:Z1321"),Настройки!$B$7)),",","."),".",MID(1/2,2,1)),"")</f>
        <v/>
      </c>
      <c r="B1321">
        <f>IFERROR(--SUBSTITUTE(SUBSTITUTE(TRIM(INDEX(INDIRECT("'Выгрузка'!A1321:Z1321"),Настройки!$B$9)),",","."),".",MID(1/2,2,1)),"")</f>
        <v/>
      </c>
      <c r="C1321">
        <f>TRIM(INDEX(INDIRECT("'Выгрузка'!A1321:Z1321"),Настройки!$B$8)&amp;"")</f>
        <v/>
      </c>
      <c r="D1321">
        <f>IFERROR(--SUBSTITUTE(SUBSTITUTE(TRIM(INDEX(INDIRECT("'Выгрузка'!A1321:Z1321"),Настройки!$B$10)),",","."),".",MID(1/2,2,1)),"")</f>
        <v/>
      </c>
      <c r="E1321">
        <f>IFERROR(--SUBSTITUTE(SUBSTITUTE(TRIM(INDEX(INDIRECT("'Выгрузка'!A1321:Z1321"),Настройки!$B$11)),",","."),".",MID(1/2,2,1)),"")</f>
        <v/>
      </c>
      <c r="F1321">
        <f>TRIM(INDEX(INDIRECT("'Выгрузка'!A1321:Z1321"),Настройки!$B$12)&amp;"")</f>
        <v/>
      </c>
      <c r="G1321">
        <f>IF(F1321="",0,IF(TRIM(INDEX(INDIRECT("'Выгрузка'!A1321:Z1321"),Настройки!$B$13)&amp;"")="",1,IFERROR(--SUBSTITUTE(SUBSTITUTE(TRIM(INDEX(INDIRECT("'Выгрузка'!A1321:Z1321"),Настройки!$B$13)),",","."),".",MID(1/2,2,1)),"")))</f>
        <v/>
      </c>
      <c r="H1321">
        <f>IF(F1321="",0,IF(COUNTIF(Настройки!$B$17:$B$26,F1321)&gt;0,1,IF(COUNTIF(Настройки!$C$17:$C$26,F1321)&gt;0,2,IF(COUNTIF(Настройки!$D$17:$D$26,F1321)&gt;0,3,0))))</f>
        <v/>
      </c>
      <c r="I1321">
        <f>IF(AND(ISNUMBER(A1321),ISNUMBER(B1321)),A1321*1000+B1321,"")</f>
        <v/>
      </c>
      <c r="J1321">
        <f>IF(I1321="","",IF(COUNTIF(I$2:I1321,I1321)=1,MAX(J$1:J1320)+1,""))</f>
        <v/>
      </c>
    </row>
    <row r="1322">
      <c r="A1322">
        <f>IFERROR(--SUBSTITUTE(SUBSTITUTE(TRIM(INDEX(INDIRECT("'Выгрузка'!A1322:Z1322"),Настройки!$B$7)),",","."),".",MID(1/2,2,1)),"")</f>
        <v/>
      </c>
      <c r="B1322">
        <f>IFERROR(--SUBSTITUTE(SUBSTITUTE(TRIM(INDEX(INDIRECT("'Выгрузка'!A1322:Z1322"),Настройки!$B$9)),",","."),".",MID(1/2,2,1)),"")</f>
        <v/>
      </c>
      <c r="C1322">
        <f>TRIM(INDEX(INDIRECT("'Выгрузка'!A1322:Z1322"),Настройки!$B$8)&amp;"")</f>
        <v/>
      </c>
      <c r="D1322">
        <f>IFERROR(--SUBSTITUTE(SUBSTITUTE(TRIM(INDEX(INDIRECT("'Выгрузка'!A1322:Z1322"),Настройки!$B$10)),",","."),".",MID(1/2,2,1)),"")</f>
        <v/>
      </c>
      <c r="E1322">
        <f>IFERROR(--SUBSTITUTE(SUBSTITUTE(TRIM(INDEX(INDIRECT("'Выгрузка'!A1322:Z1322"),Настройки!$B$11)),",","."),".",MID(1/2,2,1)),"")</f>
        <v/>
      </c>
      <c r="F1322">
        <f>TRIM(INDEX(INDIRECT("'Выгрузка'!A1322:Z1322"),Настройки!$B$12)&amp;"")</f>
        <v/>
      </c>
      <c r="G1322">
        <f>IF(F1322="",0,IF(TRIM(INDEX(INDIRECT("'Выгрузка'!A1322:Z1322"),Настройки!$B$13)&amp;"")="",1,IFERROR(--SUBSTITUTE(SUBSTITUTE(TRIM(INDEX(INDIRECT("'Выгрузка'!A1322:Z1322"),Настройки!$B$13)),",","."),".",MID(1/2,2,1)),"")))</f>
        <v/>
      </c>
      <c r="H1322">
        <f>IF(F1322="",0,IF(COUNTIF(Настройки!$B$17:$B$26,F1322)&gt;0,1,IF(COUNTIF(Настройки!$C$17:$C$26,F1322)&gt;0,2,IF(COUNTIF(Настройки!$D$17:$D$26,F1322)&gt;0,3,0))))</f>
        <v/>
      </c>
      <c r="I1322">
        <f>IF(AND(ISNUMBER(A1322),ISNUMBER(B1322)),A1322*1000+B1322,"")</f>
        <v/>
      </c>
      <c r="J1322">
        <f>IF(I1322="","",IF(COUNTIF(I$2:I1322,I1322)=1,MAX(J$1:J1321)+1,""))</f>
        <v/>
      </c>
    </row>
    <row r="1323">
      <c r="A1323">
        <f>IFERROR(--SUBSTITUTE(SUBSTITUTE(TRIM(INDEX(INDIRECT("'Выгрузка'!A1323:Z1323"),Настройки!$B$7)),",","."),".",MID(1/2,2,1)),"")</f>
        <v/>
      </c>
      <c r="B1323">
        <f>IFERROR(--SUBSTITUTE(SUBSTITUTE(TRIM(INDEX(INDIRECT("'Выгрузка'!A1323:Z1323"),Настройки!$B$9)),",","."),".",MID(1/2,2,1)),"")</f>
        <v/>
      </c>
      <c r="C1323">
        <f>TRIM(INDEX(INDIRECT("'Выгрузка'!A1323:Z1323"),Настройки!$B$8)&amp;"")</f>
        <v/>
      </c>
      <c r="D1323">
        <f>IFERROR(--SUBSTITUTE(SUBSTITUTE(TRIM(INDEX(INDIRECT("'Выгрузка'!A1323:Z1323"),Настройки!$B$10)),",","."),".",MID(1/2,2,1)),"")</f>
        <v/>
      </c>
      <c r="E1323">
        <f>IFERROR(--SUBSTITUTE(SUBSTITUTE(TRIM(INDEX(INDIRECT("'Выгрузка'!A1323:Z1323"),Настройки!$B$11)),",","."),".",MID(1/2,2,1)),"")</f>
        <v/>
      </c>
      <c r="F1323">
        <f>TRIM(INDEX(INDIRECT("'Выгрузка'!A1323:Z1323"),Настройки!$B$12)&amp;"")</f>
        <v/>
      </c>
      <c r="G1323">
        <f>IF(F1323="",0,IF(TRIM(INDEX(INDIRECT("'Выгрузка'!A1323:Z1323"),Настройки!$B$13)&amp;"")="",1,IFERROR(--SUBSTITUTE(SUBSTITUTE(TRIM(INDEX(INDIRECT("'Выгрузка'!A1323:Z1323"),Настройки!$B$13)),",","."),".",MID(1/2,2,1)),"")))</f>
        <v/>
      </c>
      <c r="H1323">
        <f>IF(F1323="",0,IF(COUNTIF(Настройки!$B$17:$B$26,F1323)&gt;0,1,IF(COUNTIF(Настройки!$C$17:$C$26,F1323)&gt;0,2,IF(COUNTIF(Настройки!$D$17:$D$26,F1323)&gt;0,3,0))))</f>
        <v/>
      </c>
      <c r="I1323">
        <f>IF(AND(ISNUMBER(A1323),ISNUMBER(B1323)),A1323*1000+B1323,"")</f>
        <v/>
      </c>
      <c r="J1323">
        <f>IF(I1323="","",IF(COUNTIF(I$2:I1323,I1323)=1,MAX(J$1:J1322)+1,""))</f>
        <v/>
      </c>
    </row>
    <row r="1324">
      <c r="A1324">
        <f>IFERROR(--SUBSTITUTE(SUBSTITUTE(TRIM(INDEX(INDIRECT("'Выгрузка'!A1324:Z1324"),Настройки!$B$7)),",","."),".",MID(1/2,2,1)),"")</f>
        <v/>
      </c>
      <c r="B1324">
        <f>IFERROR(--SUBSTITUTE(SUBSTITUTE(TRIM(INDEX(INDIRECT("'Выгрузка'!A1324:Z1324"),Настройки!$B$9)),",","."),".",MID(1/2,2,1)),"")</f>
        <v/>
      </c>
      <c r="C1324">
        <f>TRIM(INDEX(INDIRECT("'Выгрузка'!A1324:Z1324"),Настройки!$B$8)&amp;"")</f>
        <v/>
      </c>
      <c r="D1324">
        <f>IFERROR(--SUBSTITUTE(SUBSTITUTE(TRIM(INDEX(INDIRECT("'Выгрузка'!A1324:Z1324"),Настройки!$B$10)),",","."),".",MID(1/2,2,1)),"")</f>
        <v/>
      </c>
      <c r="E1324">
        <f>IFERROR(--SUBSTITUTE(SUBSTITUTE(TRIM(INDEX(INDIRECT("'Выгрузка'!A1324:Z1324"),Настройки!$B$11)),",","."),".",MID(1/2,2,1)),"")</f>
        <v/>
      </c>
      <c r="F1324">
        <f>TRIM(INDEX(INDIRECT("'Выгрузка'!A1324:Z1324"),Настройки!$B$12)&amp;"")</f>
        <v/>
      </c>
      <c r="G1324">
        <f>IF(F1324="",0,IF(TRIM(INDEX(INDIRECT("'Выгрузка'!A1324:Z1324"),Настройки!$B$13)&amp;"")="",1,IFERROR(--SUBSTITUTE(SUBSTITUTE(TRIM(INDEX(INDIRECT("'Выгрузка'!A1324:Z1324"),Настройки!$B$13)),",","."),".",MID(1/2,2,1)),"")))</f>
        <v/>
      </c>
      <c r="H1324">
        <f>IF(F1324="",0,IF(COUNTIF(Настройки!$B$17:$B$26,F1324)&gt;0,1,IF(COUNTIF(Настройки!$C$17:$C$26,F1324)&gt;0,2,IF(COUNTIF(Настройки!$D$17:$D$26,F1324)&gt;0,3,0))))</f>
        <v/>
      </c>
      <c r="I1324">
        <f>IF(AND(ISNUMBER(A1324),ISNUMBER(B1324)),A1324*1000+B1324,"")</f>
        <v/>
      </c>
      <c r="J1324">
        <f>IF(I1324="","",IF(COUNTIF(I$2:I1324,I1324)=1,MAX(J$1:J1323)+1,""))</f>
        <v/>
      </c>
    </row>
    <row r="1325">
      <c r="A1325">
        <f>IFERROR(--SUBSTITUTE(SUBSTITUTE(TRIM(INDEX(INDIRECT("'Выгрузка'!A1325:Z1325"),Настройки!$B$7)),",","."),".",MID(1/2,2,1)),"")</f>
        <v/>
      </c>
      <c r="B1325">
        <f>IFERROR(--SUBSTITUTE(SUBSTITUTE(TRIM(INDEX(INDIRECT("'Выгрузка'!A1325:Z1325"),Настройки!$B$9)),",","."),".",MID(1/2,2,1)),"")</f>
        <v/>
      </c>
      <c r="C1325">
        <f>TRIM(INDEX(INDIRECT("'Выгрузка'!A1325:Z1325"),Настройки!$B$8)&amp;"")</f>
        <v/>
      </c>
      <c r="D1325">
        <f>IFERROR(--SUBSTITUTE(SUBSTITUTE(TRIM(INDEX(INDIRECT("'Выгрузка'!A1325:Z1325"),Настройки!$B$10)),",","."),".",MID(1/2,2,1)),"")</f>
        <v/>
      </c>
      <c r="E1325">
        <f>IFERROR(--SUBSTITUTE(SUBSTITUTE(TRIM(INDEX(INDIRECT("'Выгрузка'!A1325:Z1325"),Настройки!$B$11)),",","."),".",MID(1/2,2,1)),"")</f>
        <v/>
      </c>
      <c r="F1325">
        <f>TRIM(INDEX(INDIRECT("'Выгрузка'!A1325:Z1325"),Настройки!$B$12)&amp;"")</f>
        <v/>
      </c>
      <c r="G1325">
        <f>IF(F1325="",0,IF(TRIM(INDEX(INDIRECT("'Выгрузка'!A1325:Z1325"),Настройки!$B$13)&amp;"")="",1,IFERROR(--SUBSTITUTE(SUBSTITUTE(TRIM(INDEX(INDIRECT("'Выгрузка'!A1325:Z1325"),Настройки!$B$13)),",","."),".",MID(1/2,2,1)),"")))</f>
        <v/>
      </c>
      <c r="H1325">
        <f>IF(F1325="",0,IF(COUNTIF(Настройки!$B$17:$B$26,F1325)&gt;0,1,IF(COUNTIF(Настройки!$C$17:$C$26,F1325)&gt;0,2,IF(COUNTIF(Настройки!$D$17:$D$26,F1325)&gt;0,3,0))))</f>
        <v/>
      </c>
      <c r="I1325">
        <f>IF(AND(ISNUMBER(A1325),ISNUMBER(B1325)),A1325*1000+B1325,"")</f>
        <v/>
      </c>
      <c r="J1325">
        <f>IF(I1325="","",IF(COUNTIF(I$2:I1325,I1325)=1,MAX(J$1:J1324)+1,""))</f>
        <v/>
      </c>
    </row>
    <row r="1326">
      <c r="A1326">
        <f>IFERROR(--SUBSTITUTE(SUBSTITUTE(TRIM(INDEX(INDIRECT("'Выгрузка'!A1326:Z1326"),Настройки!$B$7)),",","."),".",MID(1/2,2,1)),"")</f>
        <v/>
      </c>
      <c r="B1326">
        <f>IFERROR(--SUBSTITUTE(SUBSTITUTE(TRIM(INDEX(INDIRECT("'Выгрузка'!A1326:Z1326"),Настройки!$B$9)),",","."),".",MID(1/2,2,1)),"")</f>
        <v/>
      </c>
      <c r="C1326">
        <f>TRIM(INDEX(INDIRECT("'Выгрузка'!A1326:Z1326"),Настройки!$B$8)&amp;"")</f>
        <v/>
      </c>
      <c r="D1326">
        <f>IFERROR(--SUBSTITUTE(SUBSTITUTE(TRIM(INDEX(INDIRECT("'Выгрузка'!A1326:Z1326"),Настройки!$B$10)),",","."),".",MID(1/2,2,1)),"")</f>
        <v/>
      </c>
      <c r="E1326">
        <f>IFERROR(--SUBSTITUTE(SUBSTITUTE(TRIM(INDEX(INDIRECT("'Выгрузка'!A1326:Z1326"),Настройки!$B$11)),",","."),".",MID(1/2,2,1)),"")</f>
        <v/>
      </c>
      <c r="F1326">
        <f>TRIM(INDEX(INDIRECT("'Выгрузка'!A1326:Z1326"),Настройки!$B$12)&amp;"")</f>
        <v/>
      </c>
      <c r="G1326">
        <f>IF(F1326="",0,IF(TRIM(INDEX(INDIRECT("'Выгрузка'!A1326:Z1326"),Настройки!$B$13)&amp;"")="",1,IFERROR(--SUBSTITUTE(SUBSTITUTE(TRIM(INDEX(INDIRECT("'Выгрузка'!A1326:Z1326"),Настройки!$B$13)),",","."),".",MID(1/2,2,1)),"")))</f>
        <v/>
      </c>
      <c r="H1326">
        <f>IF(F1326="",0,IF(COUNTIF(Настройки!$B$17:$B$26,F1326)&gt;0,1,IF(COUNTIF(Настройки!$C$17:$C$26,F1326)&gt;0,2,IF(COUNTIF(Настройки!$D$17:$D$26,F1326)&gt;0,3,0))))</f>
        <v/>
      </c>
      <c r="I1326">
        <f>IF(AND(ISNUMBER(A1326),ISNUMBER(B1326)),A1326*1000+B1326,"")</f>
        <v/>
      </c>
      <c r="J1326">
        <f>IF(I1326="","",IF(COUNTIF(I$2:I1326,I1326)=1,MAX(J$1:J1325)+1,""))</f>
        <v/>
      </c>
    </row>
    <row r="1327">
      <c r="A1327">
        <f>IFERROR(--SUBSTITUTE(SUBSTITUTE(TRIM(INDEX(INDIRECT("'Выгрузка'!A1327:Z1327"),Настройки!$B$7)),",","."),".",MID(1/2,2,1)),"")</f>
        <v/>
      </c>
      <c r="B1327">
        <f>IFERROR(--SUBSTITUTE(SUBSTITUTE(TRIM(INDEX(INDIRECT("'Выгрузка'!A1327:Z1327"),Настройки!$B$9)),",","."),".",MID(1/2,2,1)),"")</f>
        <v/>
      </c>
      <c r="C1327">
        <f>TRIM(INDEX(INDIRECT("'Выгрузка'!A1327:Z1327"),Настройки!$B$8)&amp;"")</f>
        <v/>
      </c>
      <c r="D1327">
        <f>IFERROR(--SUBSTITUTE(SUBSTITUTE(TRIM(INDEX(INDIRECT("'Выгрузка'!A1327:Z1327"),Настройки!$B$10)),",","."),".",MID(1/2,2,1)),"")</f>
        <v/>
      </c>
      <c r="E1327">
        <f>IFERROR(--SUBSTITUTE(SUBSTITUTE(TRIM(INDEX(INDIRECT("'Выгрузка'!A1327:Z1327"),Настройки!$B$11)),",","."),".",MID(1/2,2,1)),"")</f>
        <v/>
      </c>
      <c r="F1327">
        <f>TRIM(INDEX(INDIRECT("'Выгрузка'!A1327:Z1327"),Настройки!$B$12)&amp;"")</f>
        <v/>
      </c>
      <c r="G1327">
        <f>IF(F1327="",0,IF(TRIM(INDEX(INDIRECT("'Выгрузка'!A1327:Z1327"),Настройки!$B$13)&amp;"")="",1,IFERROR(--SUBSTITUTE(SUBSTITUTE(TRIM(INDEX(INDIRECT("'Выгрузка'!A1327:Z1327"),Настройки!$B$13)),",","."),".",MID(1/2,2,1)),"")))</f>
        <v/>
      </c>
      <c r="H1327">
        <f>IF(F1327="",0,IF(COUNTIF(Настройки!$B$17:$B$26,F1327)&gt;0,1,IF(COUNTIF(Настройки!$C$17:$C$26,F1327)&gt;0,2,IF(COUNTIF(Настройки!$D$17:$D$26,F1327)&gt;0,3,0))))</f>
        <v/>
      </c>
      <c r="I1327">
        <f>IF(AND(ISNUMBER(A1327),ISNUMBER(B1327)),A1327*1000+B1327,"")</f>
        <v/>
      </c>
      <c r="J1327">
        <f>IF(I1327="","",IF(COUNTIF(I$2:I1327,I1327)=1,MAX(J$1:J1326)+1,""))</f>
        <v/>
      </c>
    </row>
    <row r="1328">
      <c r="A1328">
        <f>IFERROR(--SUBSTITUTE(SUBSTITUTE(TRIM(INDEX(INDIRECT("'Выгрузка'!A1328:Z1328"),Настройки!$B$7)),",","."),".",MID(1/2,2,1)),"")</f>
        <v/>
      </c>
      <c r="B1328">
        <f>IFERROR(--SUBSTITUTE(SUBSTITUTE(TRIM(INDEX(INDIRECT("'Выгрузка'!A1328:Z1328"),Настройки!$B$9)),",","."),".",MID(1/2,2,1)),"")</f>
        <v/>
      </c>
      <c r="C1328">
        <f>TRIM(INDEX(INDIRECT("'Выгрузка'!A1328:Z1328"),Настройки!$B$8)&amp;"")</f>
        <v/>
      </c>
      <c r="D1328">
        <f>IFERROR(--SUBSTITUTE(SUBSTITUTE(TRIM(INDEX(INDIRECT("'Выгрузка'!A1328:Z1328"),Настройки!$B$10)),",","."),".",MID(1/2,2,1)),"")</f>
        <v/>
      </c>
      <c r="E1328">
        <f>IFERROR(--SUBSTITUTE(SUBSTITUTE(TRIM(INDEX(INDIRECT("'Выгрузка'!A1328:Z1328"),Настройки!$B$11)),",","."),".",MID(1/2,2,1)),"")</f>
        <v/>
      </c>
      <c r="F1328">
        <f>TRIM(INDEX(INDIRECT("'Выгрузка'!A1328:Z1328"),Настройки!$B$12)&amp;"")</f>
        <v/>
      </c>
      <c r="G1328">
        <f>IF(F1328="",0,IF(TRIM(INDEX(INDIRECT("'Выгрузка'!A1328:Z1328"),Настройки!$B$13)&amp;"")="",1,IFERROR(--SUBSTITUTE(SUBSTITUTE(TRIM(INDEX(INDIRECT("'Выгрузка'!A1328:Z1328"),Настройки!$B$13)),",","."),".",MID(1/2,2,1)),"")))</f>
        <v/>
      </c>
      <c r="H1328">
        <f>IF(F1328="",0,IF(COUNTIF(Настройки!$B$17:$B$26,F1328)&gt;0,1,IF(COUNTIF(Настройки!$C$17:$C$26,F1328)&gt;0,2,IF(COUNTIF(Настройки!$D$17:$D$26,F1328)&gt;0,3,0))))</f>
        <v/>
      </c>
      <c r="I1328">
        <f>IF(AND(ISNUMBER(A1328),ISNUMBER(B1328)),A1328*1000+B1328,"")</f>
        <v/>
      </c>
      <c r="J1328">
        <f>IF(I1328="","",IF(COUNTIF(I$2:I1328,I1328)=1,MAX(J$1:J1327)+1,""))</f>
        <v/>
      </c>
    </row>
    <row r="1329">
      <c r="A1329">
        <f>IFERROR(--SUBSTITUTE(SUBSTITUTE(TRIM(INDEX(INDIRECT("'Выгрузка'!A1329:Z1329"),Настройки!$B$7)),",","."),".",MID(1/2,2,1)),"")</f>
        <v/>
      </c>
      <c r="B1329">
        <f>IFERROR(--SUBSTITUTE(SUBSTITUTE(TRIM(INDEX(INDIRECT("'Выгрузка'!A1329:Z1329"),Настройки!$B$9)),",","."),".",MID(1/2,2,1)),"")</f>
        <v/>
      </c>
      <c r="C1329">
        <f>TRIM(INDEX(INDIRECT("'Выгрузка'!A1329:Z1329"),Настройки!$B$8)&amp;"")</f>
        <v/>
      </c>
      <c r="D1329">
        <f>IFERROR(--SUBSTITUTE(SUBSTITUTE(TRIM(INDEX(INDIRECT("'Выгрузка'!A1329:Z1329"),Настройки!$B$10)),",","."),".",MID(1/2,2,1)),"")</f>
        <v/>
      </c>
      <c r="E1329">
        <f>IFERROR(--SUBSTITUTE(SUBSTITUTE(TRIM(INDEX(INDIRECT("'Выгрузка'!A1329:Z1329"),Настройки!$B$11)),",","."),".",MID(1/2,2,1)),"")</f>
        <v/>
      </c>
      <c r="F1329">
        <f>TRIM(INDEX(INDIRECT("'Выгрузка'!A1329:Z1329"),Настройки!$B$12)&amp;"")</f>
        <v/>
      </c>
      <c r="G1329">
        <f>IF(F1329="",0,IF(TRIM(INDEX(INDIRECT("'Выгрузка'!A1329:Z1329"),Настройки!$B$13)&amp;"")="",1,IFERROR(--SUBSTITUTE(SUBSTITUTE(TRIM(INDEX(INDIRECT("'Выгрузка'!A1329:Z1329"),Настройки!$B$13)),",","."),".",MID(1/2,2,1)),"")))</f>
        <v/>
      </c>
      <c r="H1329">
        <f>IF(F1329="",0,IF(COUNTIF(Настройки!$B$17:$B$26,F1329)&gt;0,1,IF(COUNTIF(Настройки!$C$17:$C$26,F1329)&gt;0,2,IF(COUNTIF(Настройки!$D$17:$D$26,F1329)&gt;0,3,0))))</f>
        <v/>
      </c>
      <c r="I1329">
        <f>IF(AND(ISNUMBER(A1329),ISNUMBER(B1329)),A1329*1000+B1329,"")</f>
        <v/>
      </c>
      <c r="J1329">
        <f>IF(I1329="","",IF(COUNTIF(I$2:I1329,I1329)=1,MAX(J$1:J1328)+1,""))</f>
        <v/>
      </c>
    </row>
    <row r="1330">
      <c r="A1330">
        <f>IFERROR(--SUBSTITUTE(SUBSTITUTE(TRIM(INDEX(INDIRECT("'Выгрузка'!A1330:Z1330"),Настройки!$B$7)),",","."),".",MID(1/2,2,1)),"")</f>
        <v/>
      </c>
      <c r="B1330">
        <f>IFERROR(--SUBSTITUTE(SUBSTITUTE(TRIM(INDEX(INDIRECT("'Выгрузка'!A1330:Z1330"),Настройки!$B$9)),",","."),".",MID(1/2,2,1)),"")</f>
        <v/>
      </c>
      <c r="C1330">
        <f>TRIM(INDEX(INDIRECT("'Выгрузка'!A1330:Z1330"),Настройки!$B$8)&amp;"")</f>
        <v/>
      </c>
      <c r="D1330">
        <f>IFERROR(--SUBSTITUTE(SUBSTITUTE(TRIM(INDEX(INDIRECT("'Выгрузка'!A1330:Z1330"),Настройки!$B$10)),",","."),".",MID(1/2,2,1)),"")</f>
        <v/>
      </c>
      <c r="E1330">
        <f>IFERROR(--SUBSTITUTE(SUBSTITUTE(TRIM(INDEX(INDIRECT("'Выгрузка'!A1330:Z1330"),Настройки!$B$11)),",","."),".",MID(1/2,2,1)),"")</f>
        <v/>
      </c>
      <c r="F1330">
        <f>TRIM(INDEX(INDIRECT("'Выгрузка'!A1330:Z1330"),Настройки!$B$12)&amp;"")</f>
        <v/>
      </c>
      <c r="G1330">
        <f>IF(F1330="",0,IF(TRIM(INDEX(INDIRECT("'Выгрузка'!A1330:Z1330"),Настройки!$B$13)&amp;"")="",1,IFERROR(--SUBSTITUTE(SUBSTITUTE(TRIM(INDEX(INDIRECT("'Выгрузка'!A1330:Z1330"),Настройки!$B$13)),",","."),".",MID(1/2,2,1)),"")))</f>
        <v/>
      </c>
      <c r="H1330">
        <f>IF(F1330="",0,IF(COUNTIF(Настройки!$B$17:$B$26,F1330)&gt;0,1,IF(COUNTIF(Настройки!$C$17:$C$26,F1330)&gt;0,2,IF(COUNTIF(Настройки!$D$17:$D$26,F1330)&gt;0,3,0))))</f>
        <v/>
      </c>
      <c r="I1330">
        <f>IF(AND(ISNUMBER(A1330),ISNUMBER(B1330)),A1330*1000+B1330,"")</f>
        <v/>
      </c>
      <c r="J1330">
        <f>IF(I1330="","",IF(COUNTIF(I$2:I1330,I1330)=1,MAX(J$1:J1329)+1,""))</f>
        <v/>
      </c>
    </row>
    <row r="1331">
      <c r="A1331">
        <f>IFERROR(--SUBSTITUTE(SUBSTITUTE(TRIM(INDEX(INDIRECT("'Выгрузка'!A1331:Z1331"),Настройки!$B$7)),",","."),".",MID(1/2,2,1)),"")</f>
        <v/>
      </c>
      <c r="B1331">
        <f>IFERROR(--SUBSTITUTE(SUBSTITUTE(TRIM(INDEX(INDIRECT("'Выгрузка'!A1331:Z1331"),Настройки!$B$9)),",","."),".",MID(1/2,2,1)),"")</f>
        <v/>
      </c>
      <c r="C1331">
        <f>TRIM(INDEX(INDIRECT("'Выгрузка'!A1331:Z1331"),Настройки!$B$8)&amp;"")</f>
        <v/>
      </c>
      <c r="D1331">
        <f>IFERROR(--SUBSTITUTE(SUBSTITUTE(TRIM(INDEX(INDIRECT("'Выгрузка'!A1331:Z1331"),Настройки!$B$10)),",","."),".",MID(1/2,2,1)),"")</f>
        <v/>
      </c>
      <c r="E1331">
        <f>IFERROR(--SUBSTITUTE(SUBSTITUTE(TRIM(INDEX(INDIRECT("'Выгрузка'!A1331:Z1331"),Настройки!$B$11)),",","."),".",MID(1/2,2,1)),"")</f>
        <v/>
      </c>
      <c r="F1331">
        <f>TRIM(INDEX(INDIRECT("'Выгрузка'!A1331:Z1331"),Настройки!$B$12)&amp;"")</f>
        <v/>
      </c>
      <c r="G1331">
        <f>IF(F1331="",0,IF(TRIM(INDEX(INDIRECT("'Выгрузка'!A1331:Z1331"),Настройки!$B$13)&amp;"")="",1,IFERROR(--SUBSTITUTE(SUBSTITUTE(TRIM(INDEX(INDIRECT("'Выгрузка'!A1331:Z1331"),Настройки!$B$13)),",","."),".",MID(1/2,2,1)),"")))</f>
        <v/>
      </c>
      <c r="H1331">
        <f>IF(F1331="",0,IF(COUNTIF(Настройки!$B$17:$B$26,F1331)&gt;0,1,IF(COUNTIF(Настройки!$C$17:$C$26,F1331)&gt;0,2,IF(COUNTIF(Настройки!$D$17:$D$26,F1331)&gt;0,3,0))))</f>
        <v/>
      </c>
      <c r="I1331">
        <f>IF(AND(ISNUMBER(A1331),ISNUMBER(B1331)),A1331*1000+B1331,"")</f>
        <v/>
      </c>
      <c r="J1331">
        <f>IF(I1331="","",IF(COUNTIF(I$2:I1331,I1331)=1,MAX(J$1:J1330)+1,""))</f>
        <v/>
      </c>
    </row>
    <row r="1332">
      <c r="A1332">
        <f>IFERROR(--SUBSTITUTE(SUBSTITUTE(TRIM(INDEX(INDIRECT("'Выгрузка'!A1332:Z1332"),Настройки!$B$7)),",","."),".",MID(1/2,2,1)),"")</f>
        <v/>
      </c>
      <c r="B1332">
        <f>IFERROR(--SUBSTITUTE(SUBSTITUTE(TRIM(INDEX(INDIRECT("'Выгрузка'!A1332:Z1332"),Настройки!$B$9)),",","."),".",MID(1/2,2,1)),"")</f>
        <v/>
      </c>
      <c r="C1332">
        <f>TRIM(INDEX(INDIRECT("'Выгрузка'!A1332:Z1332"),Настройки!$B$8)&amp;"")</f>
        <v/>
      </c>
      <c r="D1332">
        <f>IFERROR(--SUBSTITUTE(SUBSTITUTE(TRIM(INDEX(INDIRECT("'Выгрузка'!A1332:Z1332"),Настройки!$B$10)),",","."),".",MID(1/2,2,1)),"")</f>
        <v/>
      </c>
      <c r="E1332">
        <f>IFERROR(--SUBSTITUTE(SUBSTITUTE(TRIM(INDEX(INDIRECT("'Выгрузка'!A1332:Z1332"),Настройки!$B$11)),",","."),".",MID(1/2,2,1)),"")</f>
        <v/>
      </c>
      <c r="F1332">
        <f>TRIM(INDEX(INDIRECT("'Выгрузка'!A1332:Z1332"),Настройки!$B$12)&amp;"")</f>
        <v/>
      </c>
      <c r="G1332">
        <f>IF(F1332="",0,IF(TRIM(INDEX(INDIRECT("'Выгрузка'!A1332:Z1332"),Настройки!$B$13)&amp;"")="",1,IFERROR(--SUBSTITUTE(SUBSTITUTE(TRIM(INDEX(INDIRECT("'Выгрузка'!A1332:Z1332"),Настройки!$B$13)),",","."),".",MID(1/2,2,1)),"")))</f>
        <v/>
      </c>
      <c r="H1332">
        <f>IF(F1332="",0,IF(COUNTIF(Настройки!$B$17:$B$26,F1332)&gt;0,1,IF(COUNTIF(Настройки!$C$17:$C$26,F1332)&gt;0,2,IF(COUNTIF(Настройки!$D$17:$D$26,F1332)&gt;0,3,0))))</f>
        <v/>
      </c>
      <c r="I1332">
        <f>IF(AND(ISNUMBER(A1332),ISNUMBER(B1332)),A1332*1000+B1332,"")</f>
        <v/>
      </c>
      <c r="J1332">
        <f>IF(I1332="","",IF(COUNTIF(I$2:I1332,I1332)=1,MAX(J$1:J1331)+1,""))</f>
        <v/>
      </c>
    </row>
    <row r="1333">
      <c r="A1333">
        <f>IFERROR(--SUBSTITUTE(SUBSTITUTE(TRIM(INDEX(INDIRECT("'Выгрузка'!A1333:Z1333"),Настройки!$B$7)),",","."),".",MID(1/2,2,1)),"")</f>
        <v/>
      </c>
      <c r="B1333">
        <f>IFERROR(--SUBSTITUTE(SUBSTITUTE(TRIM(INDEX(INDIRECT("'Выгрузка'!A1333:Z1333"),Настройки!$B$9)),",","."),".",MID(1/2,2,1)),"")</f>
        <v/>
      </c>
      <c r="C1333">
        <f>TRIM(INDEX(INDIRECT("'Выгрузка'!A1333:Z1333"),Настройки!$B$8)&amp;"")</f>
        <v/>
      </c>
      <c r="D1333">
        <f>IFERROR(--SUBSTITUTE(SUBSTITUTE(TRIM(INDEX(INDIRECT("'Выгрузка'!A1333:Z1333"),Настройки!$B$10)),",","."),".",MID(1/2,2,1)),"")</f>
        <v/>
      </c>
      <c r="E1333">
        <f>IFERROR(--SUBSTITUTE(SUBSTITUTE(TRIM(INDEX(INDIRECT("'Выгрузка'!A1333:Z1333"),Настройки!$B$11)),",","."),".",MID(1/2,2,1)),"")</f>
        <v/>
      </c>
      <c r="F1333">
        <f>TRIM(INDEX(INDIRECT("'Выгрузка'!A1333:Z1333"),Настройки!$B$12)&amp;"")</f>
        <v/>
      </c>
      <c r="G1333">
        <f>IF(F1333="",0,IF(TRIM(INDEX(INDIRECT("'Выгрузка'!A1333:Z1333"),Настройки!$B$13)&amp;"")="",1,IFERROR(--SUBSTITUTE(SUBSTITUTE(TRIM(INDEX(INDIRECT("'Выгрузка'!A1333:Z1333"),Настройки!$B$13)),",","."),".",MID(1/2,2,1)),"")))</f>
        <v/>
      </c>
      <c r="H1333">
        <f>IF(F1333="",0,IF(COUNTIF(Настройки!$B$17:$B$26,F1333)&gt;0,1,IF(COUNTIF(Настройки!$C$17:$C$26,F1333)&gt;0,2,IF(COUNTIF(Настройки!$D$17:$D$26,F1333)&gt;0,3,0))))</f>
        <v/>
      </c>
      <c r="I1333">
        <f>IF(AND(ISNUMBER(A1333),ISNUMBER(B1333)),A1333*1000+B1333,"")</f>
        <v/>
      </c>
      <c r="J1333">
        <f>IF(I1333="","",IF(COUNTIF(I$2:I1333,I1333)=1,MAX(J$1:J1332)+1,""))</f>
        <v/>
      </c>
    </row>
    <row r="1334">
      <c r="A1334">
        <f>IFERROR(--SUBSTITUTE(SUBSTITUTE(TRIM(INDEX(INDIRECT("'Выгрузка'!A1334:Z1334"),Настройки!$B$7)),",","."),".",MID(1/2,2,1)),"")</f>
        <v/>
      </c>
      <c r="B1334">
        <f>IFERROR(--SUBSTITUTE(SUBSTITUTE(TRIM(INDEX(INDIRECT("'Выгрузка'!A1334:Z1334"),Настройки!$B$9)),",","."),".",MID(1/2,2,1)),"")</f>
        <v/>
      </c>
      <c r="C1334">
        <f>TRIM(INDEX(INDIRECT("'Выгрузка'!A1334:Z1334"),Настройки!$B$8)&amp;"")</f>
        <v/>
      </c>
      <c r="D1334">
        <f>IFERROR(--SUBSTITUTE(SUBSTITUTE(TRIM(INDEX(INDIRECT("'Выгрузка'!A1334:Z1334"),Настройки!$B$10)),",","."),".",MID(1/2,2,1)),"")</f>
        <v/>
      </c>
      <c r="E1334">
        <f>IFERROR(--SUBSTITUTE(SUBSTITUTE(TRIM(INDEX(INDIRECT("'Выгрузка'!A1334:Z1334"),Настройки!$B$11)),",","."),".",MID(1/2,2,1)),"")</f>
        <v/>
      </c>
      <c r="F1334">
        <f>TRIM(INDEX(INDIRECT("'Выгрузка'!A1334:Z1334"),Настройки!$B$12)&amp;"")</f>
        <v/>
      </c>
      <c r="G1334">
        <f>IF(F1334="",0,IF(TRIM(INDEX(INDIRECT("'Выгрузка'!A1334:Z1334"),Настройки!$B$13)&amp;"")="",1,IFERROR(--SUBSTITUTE(SUBSTITUTE(TRIM(INDEX(INDIRECT("'Выгрузка'!A1334:Z1334"),Настройки!$B$13)),",","."),".",MID(1/2,2,1)),"")))</f>
        <v/>
      </c>
      <c r="H1334">
        <f>IF(F1334="",0,IF(COUNTIF(Настройки!$B$17:$B$26,F1334)&gt;0,1,IF(COUNTIF(Настройки!$C$17:$C$26,F1334)&gt;0,2,IF(COUNTIF(Настройки!$D$17:$D$26,F1334)&gt;0,3,0))))</f>
        <v/>
      </c>
      <c r="I1334">
        <f>IF(AND(ISNUMBER(A1334),ISNUMBER(B1334)),A1334*1000+B1334,"")</f>
        <v/>
      </c>
      <c r="J1334">
        <f>IF(I1334="","",IF(COUNTIF(I$2:I1334,I1334)=1,MAX(J$1:J1333)+1,""))</f>
        <v/>
      </c>
    </row>
    <row r="1335">
      <c r="A1335">
        <f>IFERROR(--SUBSTITUTE(SUBSTITUTE(TRIM(INDEX(INDIRECT("'Выгрузка'!A1335:Z1335"),Настройки!$B$7)),",","."),".",MID(1/2,2,1)),"")</f>
        <v/>
      </c>
      <c r="B1335">
        <f>IFERROR(--SUBSTITUTE(SUBSTITUTE(TRIM(INDEX(INDIRECT("'Выгрузка'!A1335:Z1335"),Настройки!$B$9)),",","."),".",MID(1/2,2,1)),"")</f>
        <v/>
      </c>
      <c r="C1335">
        <f>TRIM(INDEX(INDIRECT("'Выгрузка'!A1335:Z1335"),Настройки!$B$8)&amp;"")</f>
        <v/>
      </c>
      <c r="D1335">
        <f>IFERROR(--SUBSTITUTE(SUBSTITUTE(TRIM(INDEX(INDIRECT("'Выгрузка'!A1335:Z1335"),Настройки!$B$10)),",","."),".",MID(1/2,2,1)),"")</f>
        <v/>
      </c>
      <c r="E1335">
        <f>IFERROR(--SUBSTITUTE(SUBSTITUTE(TRIM(INDEX(INDIRECT("'Выгрузка'!A1335:Z1335"),Настройки!$B$11)),",","."),".",MID(1/2,2,1)),"")</f>
        <v/>
      </c>
      <c r="F1335">
        <f>TRIM(INDEX(INDIRECT("'Выгрузка'!A1335:Z1335"),Настройки!$B$12)&amp;"")</f>
        <v/>
      </c>
      <c r="G1335">
        <f>IF(F1335="",0,IF(TRIM(INDEX(INDIRECT("'Выгрузка'!A1335:Z1335"),Настройки!$B$13)&amp;"")="",1,IFERROR(--SUBSTITUTE(SUBSTITUTE(TRIM(INDEX(INDIRECT("'Выгрузка'!A1335:Z1335"),Настройки!$B$13)),",","."),".",MID(1/2,2,1)),"")))</f>
        <v/>
      </c>
      <c r="H1335">
        <f>IF(F1335="",0,IF(COUNTIF(Настройки!$B$17:$B$26,F1335)&gt;0,1,IF(COUNTIF(Настройки!$C$17:$C$26,F1335)&gt;0,2,IF(COUNTIF(Настройки!$D$17:$D$26,F1335)&gt;0,3,0))))</f>
        <v/>
      </c>
      <c r="I1335">
        <f>IF(AND(ISNUMBER(A1335),ISNUMBER(B1335)),A1335*1000+B1335,"")</f>
        <v/>
      </c>
      <c r="J1335">
        <f>IF(I1335="","",IF(COUNTIF(I$2:I1335,I1335)=1,MAX(J$1:J1334)+1,""))</f>
        <v/>
      </c>
    </row>
    <row r="1336">
      <c r="A1336">
        <f>IFERROR(--SUBSTITUTE(SUBSTITUTE(TRIM(INDEX(INDIRECT("'Выгрузка'!A1336:Z1336"),Настройки!$B$7)),",","."),".",MID(1/2,2,1)),"")</f>
        <v/>
      </c>
      <c r="B1336">
        <f>IFERROR(--SUBSTITUTE(SUBSTITUTE(TRIM(INDEX(INDIRECT("'Выгрузка'!A1336:Z1336"),Настройки!$B$9)),",","."),".",MID(1/2,2,1)),"")</f>
        <v/>
      </c>
      <c r="C1336">
        <f>TRIM(INDEX(INDIRECT("'Выгрузка'!A1336:Z1336"),Настройки!$B$8)&amp;"")</f>
        <v/>
      </c>
      <c r="D1336">
        <f>IFERROR(--SUBSTITUTE(SUBSTITUTE(TRIM(INDEX(INDIRECT("'Выгрузка'!A1336:Z1336"),Настройки!$B$10)),",","."),".",MID(1/2,2,1)),"")</f>
        <v/>
      </c>
      <c r="E1336">
        <f>IFERROR(--SUBSTITUTE(SUBSTITUTE(TRIM(INDEX(INDIRECT("'Выгрузка'!A1336:Z1336"),Настройки!$B$11)),",","."),".",MID(1/2,2,1)),"")</f>
        <v/>
      </c>
      <c r="F1336">
        <f>TRIM(INDEX(INDIRECT("'Выгрузка'!A1336:Z1336"),Настройки!$B$12)&amp;"")</f>
        <v/>
      </c>
      <c r="G1336">
        <f>IF(F1336="",0,IF(TRIM(INDEX(INDIRECT("'Выгрузка'!A1336:Z1336"),Настройки!$B$13)&amp;"")="",1,IFERROR(--SUBSTITUTE(SUBSTITUTE(TRIM(INDEX(INDIRECT("'Выгрузка'!A1336:Z1336"),Настройки!$B$13)),",","."),".",MID(1/2,2,1)),"")))</f>
        <v/>
      </c>
      <c r="H1336">
        <f>IF(F1336="",0,IF(COUNTIF(Настройки!$B$17:$B$26,F1336)&gt;0,1,IF(COUNTIF(Настройки!$C$17:$C$26,F1336)&gt;0,2,IF(COUNTIF(Настройки!$D$17:$D$26,F1336)&gt;0,3,0))))</f>
        <v/>
      </c>
      <c r="I1336">
        <f>IF(AND(ISNUMBER(A1336),ISNUMBER(B1336)),A1336*1000+B1336,"")</f>
        <v/>
      </c>
      <c r="J1336">
        <f>IF(I1336="","",IF(COUNTIF(I$2:I1336,I1336)=1,MAX(J$1:J1335)+1,""))</f>
        <v/>
      </c>
    </row>
    <row r="1337">
      <c r="A1337">
        <f>IFERROR(--SUBSTITUTE(SUBSTITUTE(TRIM(INDEX(INDIRECT("'Выгрузка'!A1337:Z1337"),Настройки!$B$7)),",","."),".",MID(1/2,2,1)),"")</f>
        <v/>
      </c>
      <c r="B1337">
        <f>IFERROR(--SUBSTITUTE(SUBSTITUTE(TRIM(INDEX(INDIRECT("'Выгрузка'!A1337:Z1337"),Настройки!$B$9)),",","."),".",MID(1/2,2,1)),"")</f>
        <v/>
      </c>
      <c r="C1337">
        <f>TRIM(INDEX(INDIRECT("'Выгрузка'!A1337:Z1337"),Настройки!$B$8)&amp;"")</f>
        <v/>
      </c>
      <c r="D1337">
        <f>IFERROR(--SUBSTITUTE(SUBSTITUTE(TRIM(INDEX(INDIRECT("'Выгрузка'!A1337:Z1337"),Настройки!$B$10)),",","."),".",MID(1/2,2,1)),"")</f>
        <v/>
      </c>
      <c r="E1337">
        <f>IFERROR(--SUBSTITUTE(SUBSTITUTE(TRIM(INDEX(INDIRECT("'Выгрузка'!A1337:Z1337"),Настройки!$B$11)),",","."),".",MID(1/2,2,1)),"")</f>
        <v/>
      </c>
      <c r="F1337">
        <f>TRIM(INDEX(INDIRECT("'Выгрузка'!A1337:Z1337"),Настройки!$B$12)&amp;"")</f>
        <v/>
      </c>
      <c r="G1337">
        <f>IF(F1337="",0,IF(TRIM(INDEX(INDIRECT("'Выгрузка'!A1337:Z1337"),Настройки!$B$13)&amp;"")="",1,IFERROR(--SUBSTITUTE(SUBSTITUTE(TRIM(INDEX(INDIRECT("'Выгрузка'!A1337:Z1337"),Настройки!$B$13)),",","."),".",MID(1/2,2,1)),"")))</f>
        <v/>
      </c>
      <c r="H1337">
        <f>IF(F1337="",0,IF(COUNTIF(Настройки!$B$17:$B$26,F1337)&gt;0,1,IF(COUNTIF(Настройки!$C$17:$C$26,F1337)&gt;0,2,IF(COUNTIF(Настройки!$D$17:$D$26,F1337)&gt;0,3,0))))</f>
        <v/>
      </c>
      <c r="I1337">
        <f>IF(AND(ISNUMBER(A1337),ISNUMBER(B1337)),A1337*1000+B1337,"")</f>
        <v/>
      </c>
      <c r="J1337">
        <f>IF(I1337="","",IF(COUNTIF(I$2:I1337,I1337)=1,MAX(J$1:J1336)+1,""))</f>
        <v/>
      </c>
    </row>
    <row r="1338">
      <c r="A1338">
        <f>IFERROR(--SUBSTITUTE(SUBSTITUTE(TRIM(INDEX(INDIRECT("'Выгрузка'!A1338:Z1338"),Настройки!$B$7)),",","."),".",MID(1/2,2,1)),"")</f>
        <v/>
      </c>
      <c r="B1338">
        <f>IFERROR(--SUBSTITUTE(SUBSTITUTE(TRIM(INDEX(INDIRECT("'Выгрузка'!A1338:Z1338"),Настройки!$B$9)),",","."),".",MID(1/2,2,1)),"")</f>
        <v/>
      </c>
      <c r="C1338">
        <f>TRIM(INDEX(INDIRECT("'Выгрузка'!A1338:Z1338"),Настройки!$B$8)&amp;"")</f>
        <v/>
      </c>
      <c r="D1338">
        <f>IFERROR(--SUBSTITUTE(SUBSTITUTE(TRIM(INDEX(INDIRECT("'Выгрузка'!A1338:Z1338"),Настройки!$B$10)),",","."),".",MID(1/2,2,1)),"")</f>
        <v/>
      </c>
      <c r="E1338">
        <f>IFERROR(--SUBSTITUTE(SUBSTITUTE(TRIM(INDEX(INDIRECT("'Выгрузка'!A1338:Z1338"),Настройки!$B$11)),",","."),".",MID(1/2,2,1)),"")</f>
        <v/>
      </c>
      <c r="F1338">
        <f>TRIM(INDEX(INDIRECT("'Выгрузка'!A1338:Z1338"),Настройки!$B$12)&amp;"")</f>
        <v/>
      </c>
      <c r="G1338">
        <f>IF(F1338="",0,IF(TRIM(INDEX(INDIRECT("'Выгрузка'!A1338:Z1338"),Настройки!$B$13)&amp;"")="",1,IFERROR(--SUBSTITUTE(SUBSTITUTE(TRIM(INDEX(INDIRECT("'Выгрузка'!A1338:Z1338"),Настройки!$B$13)),",","."),".",MID(1/2,2,1)),"")))</f>
        <v/>
      </c>
      <c r="H1338">
        <f>IF(F1338="",0,IF(COUNTIF(Настройки!$B$17:$B$26,F1338)&gt;0,1,IF(COUNTIF(Настройки!$C$17:$C$26,F1338)&gt;0,2,IF(COUNTIF(Настройки!$D$17:$D$26,F1338)&gt;0,3,0))))</f>
        <v/>
      </c>
      <c r="I1338">
        <f>IF(AND(ISNUMBER(A1338),ISNUMBER(B1338)),A1338*1000+B1338,"")</f>
        <v/>
      </c>
      <c r="J1338">
        <f>IF(I1338="","",IF(COUNTIF(I$2:I1338,I1338)=1,MAX(J$1:J1337)+1,""))</f>
        <v/>
      </c>
    </row>
    <row r="1339">
      <c r="A1339">
        <f>IFERROR(--SUBSTITUTE(SUBSTITUTE(TRIM(INDEX(INDIRECT("'Выгрузка'!A1339:Z1339"),Настройки!$B$7)),",","."),".",MID(1/2,2,1)),"")</f>
        <v/>
      </c>
      <c r="B1339">
        <f>IFERROR(--SUBSTITUTE(SUBSTITUTE(TRIM(INDEX(INDIRECT("'Выгрузка'!A1339:Z1339"),Настройки!$B$9)),",","."),".",MID(1/2,2,1)),"")</f>
        <v/>
      </c>
      <c r="C1339">
        <f>TRIM(INDEX(INDIRECT("'Выгрузка'!A1339:Z1339"),Настройки!$B$8)&amp;"")</f>
        <v/>
      </c>
      <c r="D1339">
        <f>IFERROR(--SUBSTITUTE(SUBSTITUTE(TRIM(INDEX(INDIRECT("'Выгрузка'!A1339:Z1339"),Настройки!$B$10)),",","."),".",MID(1/2,2,1)),"")</f>
        <v/>
      </c>
      <c r="E1339">
        <f>IFERROR(--SUBSTITUTE(SUBSTITUTE(TRIM(INDEX(INDIRECT("'Выгрузка'!A1339:Z1339"),Настройки!$B$11)),",","."),".",MID(1/2,2,1)),"")</f>
        <v/>
      </c>
      <c r="F1339">
        <f>TRIM(INDEX(INDIRECT("'Выгрузка'!A1339:Z1339"),Настройки!$B$12)&amp;"")</f>
        <v/>
      </c>
      <c r="G1339">
        <f>IF(F1339="",0,IF(TRIM(INDEX(INDIRECT("'Выгрузка'!A1339:Z1339"),Настройки!$B$13)&amp;"")="",1,IFERROR(--SUBSTITUTE(SUBSTITUTE(TRIM(INDEX(INDIRECT("'Выгрузка'!A1339:Z1339"),Настройки!$B$13)),",","."),".",MID(1/2,2,1)),"")))</f>
        <v/>
      </c>
      <c r="H1339">
        <f>IF(F1339="",0,IF(COUNTIF(Настройки!$B$17:$B$26,F1339)&gt;0,1,IF(COUNTIF(Настройки!$C$17:$C$26,F1339)&gt;0,2,IF(COUNTIF(Настройки!$D$17:$D$26,F1339)&gt;0,3,0))))</f>
        <v/>
      </c>
      <c r="I1339">
        <f>IF(AND(ISNUMBER(A1339),ISNUMBER(B1339)),A1339*1000+B1339,"")</f>
        <v/>
      </c>
      <c r="J1339">
        <f>IF(I1339="","",IF(COUNTIF(I$2:I1339,I1339)=1,MAX(J$1:J1338)+1,""))</f>
        <v/>
      </c>
    </row>
    <row r="1340">
      <c r="A1340">
        <f>IFERROR(--SUBSTITUTE(SUBSTITUTE(TRIM(INDEX(INDIRECT("'Выгрузка'!A1340:Z1340"),Настройки!$B$7)),",","."),".",MID(1/2,2,1)),"")</f>
        <v/>
      </c>
      <c r="B1340">
        <f>IFERROR(--SUBSTITUTE(SUBSTITUTE(TRIM(INDEX(INDIRECT("'Выгрузка'!A1340:Z1340"),Настройки!$B$9)),",","."),".",MID(1/2,2,1)),"")</f>
        <v/>
      </c>
      <c r="C1340">
        <f>TRIM(INDEX(INDIRECT("'Выгрузка'!A1340:Z1340"),Настройки!$B$8)&amp;"")</f>
        <v/>
      </c>
      <c r="D1340">
        <f>IFERROR(--SUBSTITUTE(SUBSTITUTE(TRIM(INDEX(INDIRECT("'Выгрузка'!A1340:Z1340"),Настройки!$B$10)),",","."),".",MID(1/2,2,1)),"")</f>
        <v/>
      </c>
      <c r="E1340">
        <f>IFERROR(--SUBSTITUTE(SUBSTITUTE(TRIM(INDEX(INDIRECT("'Выгрузка'!A1340:Z1340"),Настройки!$B$11)),",","."),".",MID(1/2,2,1)),"")</f>
        <v/>
      </c>
      <c r="F1340">
        <f>TRIM(INDEX(INDIRECT("'Выгрузка'!A1340:Z1340"),Настройки!$B$12)&amp;"")</f>
        <v/>
      </c>
      <c r="G1340">
        <f>IF(F1340="",0,IF(TRIM(INDEX(INDIRECT("'Выгрузка'!A1340:Z1340"),Настройки!$B$13)&amp;"")="",1,IFERROR(--SUBSTITUTE(SUBSTITUTE(TRIM(INDEX(INDIRECT("'Выгрузка'!A1340:Z1340"),Настройки!$B$13)),",","."),".",MID(1/2,2,1)),"")))</f>
        <v/>
      </c>
      <c r="H1340">
        <f>IF(F1340="",0,IF(COUNTIF(Настройки!$B$17:$B$26,F1340)&gt;0,1,IF(COUNTIF(Настройки!$C$17:$C$26,F1340)&gt;0,2,IF(COUNTIF(Настройки!$D$17:$D$26,F1340)&gt;0,3,0))))</f>
        <v/>
      </c>
      <c r="I1340">
        <f>IF(AND(ISNUMBER(A1340),ISNUMBER(B1340)),A1340*1000+B1340,"")</f>
        <v/>
      </c>
      <c r="J1340">
        <f>IF(I1340="","",IF(COUNTIF(I$2:I1340,I1340)=1,MAX(J$1:J1339)+1,""))</f>
        <v/>
      </c>
    </row>
    <row r="1341">
      <c r="A1341">
        <f>IFERROR(--SUBSTITUTE(SUBSTITUTE(TRIM(INDEX(INDIRECT("'Выгрузка'!A1341:Z1341"),Настройки!$B$7)),",","."),".",MID(1/2,2,1)),"")</f>
        <v/>
      </c>
      <c r="B1341">
        <f>IFERROR(--SUBSTITUTE(SUBSTITUTE(TRIM(INDEX(INDIRECT("'Выгрузка'!A1341:Z1341"),Настройки!$B$9)),",","."),".",MID(1/2,2,1)),"")</f>
        <v/>
      </c>
      <c r="C1341">
        <f>TRIM(INDEX(INDIRECT("'Выгрузка'!A1341:Z1341"),Настройки!$B$8)&amp;"")</f>
        <v/>
      </c>
      <c r="D1341">
        <f>IFERROR(--SUBSTITUTE(SUBSTITUTE(TRIM(INDEX(INDIRECT("'Выгрузка'!A1341:Z1341"),Настройки!$B$10)),",","."),".",MID(1/2,2,1)),"")</f>
        <v/>
      </c>
      <c r="E1341">
        <f>IFERROR(--SUBSTITUTE(SUBSTITUTE(TRIM(INDEX(INDIRECT("'Выгрузка'!A1341:Z1341"),Настройки!$B$11)),",","."),".",MID(1/2,2,1)),"")</f>
        <v/>
      </c>
      <c r="F1341">
        <f>TRIM(INDEX(INDIRECT("'Выгрузка'!A1341:Z1341"),Настройки!$B$12)&amp;"")</f>
        <v/>
      </c>
      <c r="G1341">
        <f>IF(F1341="",0,IF(TRIM(INDEX(INDIRECT("'Выгрузка'!A1341:Z1341"),Настройки!$B$13)&amp;"")="",1,IFERROR(--SUBSTITUTE(SUBSTITUTE(TRIM(INDEX(INDIRECT("'Выгрузка'!A1341:Z1341"),Настройки!$B$13)),",","."),".",MID(1/2,2,1)),"")))</f>
        <v/>
      </c>
      <c r="H1341">
        <f>IF(F1341="",0,IF(COUNTIF(Настройки!$B$17:$B$26,F1341)&gt;0,1,IF(COUNTIF(Настройки!$C$17:$C$26,F1341)&gt;0,2,IF(COUNTIF(Настройки!$D$17:$D$26,F1341)&gt;0,3,0))))</f>
        <v/>
      </c>
      <c r="I1341">
        <f>IF(AND(ISNUMBER(A1341),ISNUMBER(B1341)),A1341*1000+B1341,"")</f>
        <v/>
      </c>
      <c r="J1341">
        <f>IF(I1341="","",IF(COUNTIF(I$2:I1341,I1341)=1,MAX(J$1:J1340)+1,""))</f>
        <v/>
      </c>
    </row>
    <row r="1342">
      <c r="A1342">
        <f>IFERROR(--SUBSTITUTE(SUBSTITUTE(TRIM(INDEX(INDIRECT("'Выгрузка'!A1342:Z1342"),Настройки!$B$7)),",","."),".",MID(1/2,2,1)),"")</f>
        <v/>
      </c>
      <c r="B1342">
        <f>IFERROR(--SUBSTITUTE(SUBSTITUTE(TRIM(INDEX(INDIRECT("'Выгрузка'!A1342:Z1342"),Настройки!$B$9)),",","."),".",MID(1/2,2,1)),"")</f>
        <v/>
      </c>
      <c r="C1342">
        <f>TRIM(INDEX(INDIRECT("'Выгрузка'!A1342:Z1342"),Настройки!$B$8)&amp;"")</f>
        <v/>
      </c>
      <c r="D1342">
        <f>IFERROR(--SUBSTITUTE(SUBSTITUTE(TRIM(INDEX(INDIRECT("'Выгрузка'!A1342:Z1342"),Настройки!$B$10)),",","."),".",MID(1/2,2,1)),"")</f>
        <v/>
      </c>
      <c r="E1342">
        <f>IFERROR(--SUBSTITUTE(SUBSTITUTE(TRIM(INDEX(INDIRECT("'Выгрузка'!A1342:Z1342"),Настройки!$B$11)),",","."),".",MID(1/2,2,1)),"")</f>
        <v/>
      </c>
      <c r="F1342">
        <f>TRIM(INDEX(INDIRECT("'Выгрузка'!A1342:Z1342"),Настройки!$B$12)&amp;"")</f>
        <v/>
      </c>
      <c r="G1342">
        <f>IF(F1342="",0,IF(TRIM(INDEX(INDIRECT("'Выгрузка'!A1342:Z1342"),Настройки!$B$13)&amp;"")="",1,IFERROR(--SUBSTITUTE(SUBSTITUTE(TRIM(INDEX(INDIRECT("'Выгрузка'!A1342:Z1342"),Настройки!$B$13)),",","."),".",MID(1/2,2,1)),"")))</f>
        <v/>
      </c>
      <c r="H1342">
        <f>IF(F1342="",0,IF(COUNTIF(Настройки!$B$17:$B$26,F1342)&gt;0,1,IF(COUNTIF(Настройки!$C$17:$C$26,F1342)&gt;0,2,IF(COUNTIF(Настройки!$D$17:$D$26,F1342)&gt;0,3,0))))</f>
        <v/>
      </c>
      <c r="I1342">
        <f>IF(AND(ISNUMBER(A1342),ISNUMBER(B1342)),A1342*1000+B1342,"")</f>
        <v/>
      </c>
      <c r="J1342">
        <f>IF(I1342="","",IF(COUNTIF(I$2:I1342,I1342)=1,MAX(J$1:J1341)+1,""))</f>
        <v/>
      </c>
    </row>
    <row r="1343">
      <c r="A1343">
        <f>IFERROR(--SUBSTITUTE(SUBSTITUTE(TRIM(INDEX(INDIRECT("'Выгрузка'!A1343:Z1343"),Настройки!$B$7)),",","."),".",MID(1/2,2,1)),"")</f>
        <v/>
      </c>
      <c r="B1343">
        <f>IFERROR(--SUBSTITUTE(SUBSTITUTE(TRIM(INDEX(INDIRECT("'Выгрузка'!A1343:Z1343"),Настройки!$B$9)),",","."),".",MID(1/2,2,1)),"")</f>
        <v/>
      </c>
      <c r="C1343">
        <f>TRIM(INDEX(INDIRECT("'Выгрузка'!A1343:Z1343"),Настройки!$B$8)&amp;"")</f>
        <v/>
      </c>
      <c r="D1343">
        <f>IFERROR(--SUBSTITUTE(SUBSTITUTE(TRIM(INDEX(INDIRECT("'Выгрузка'!A1343:Z1343"),Настройки!$B$10)),",","."),".",MID(1/2,2,1)),"")</f>
        <v/>
      </c>
      <c r="E1343">
        <f>IFERROR(--SUBSTITUTE(SUBSTITUTE(TRIM(INDEX(INDIRECT("'Выгрузка'!A1343:Z1343"),Настройки!$B$11)),",","."),".",MID(1/2,2,1)),"")</f>
        <v/>
      </c>
      <c r="F1343">
        <f>TRIM(INDEX(INDIRECT("'Выгрузка'!A1343:Z1343"),Настройки!$B$12)&amp;"")</f>
        <v/>
      </c>
      <c r="G1343">
        <f>IF(F1343="",0,IF(TRIM(INDEX(INDIRECT("'Выгрузка'!A1343:Z1343"),Настройки!$B$13)&amp;"")="",1,IFERROR(--SUBSTITUTE(SUBSTITUTE(TRIM(INDEX(INDIRECT("'Выгрузка'!A1343:Z1343"),Настройки!$B$13)),",","."),".",MID(1/2,2,1)),"")))</f>
        <v/>
      </c>
      <c r="H1343">
        <f>IF(F1343="",0,IF(COUNTIF(Настройки!$B$17:$B$26,F1343)&gt;0,1,IF(COUNTIF(Настройки!$C$17:$C$26,F1343)&gt;0,2,IF(COUNTIF(Настройки!$D$17:$D$26,F1343)&gt;0,3,0))))</f>
        <v/>
      </c>
      <c r="I1343">
        <f>IF(AND(ISNUMBER(A1343),ISNUMBER(B1343)),A1343*1000+B1343,"")</f>
        <v/>
      </c>
      <c r="J1343">
        <f>IF(I1343="","",IF(COUNTIF(I$2:I1343,I1343)=1,MAX(J$1:J1342)+1,""))</f>
        <v/>
      </c>
    </row>
    <row r="1344">
      <c r="A1344">
        <f>IFERROR(--SUBSTITUTE(SUBSTITUTE(TRIM(INDEX(INDIRECT("'Выгрузка'!A1344:Z1344"),Настройки!$B$7)),",","."),".",MID(1/2,2,1)),"")</f>
        <v/>
      </c>
      <c r="B1344">
        <f>IFERROR(--SUBSTITUTE(SUBSTITUTE(TRIM(INDEX(INDIRECT("'Выгрузка'!A1344:Z1344"),Настройки!$B$9)),",","."),".",MID(1/2,2,1)),"")</f>
        <v/>
      </c>
      <c r="C1344">
        <f>TRIM(INDEX(INDIRECT("'Выгрузка'!A1344:Z1344"),Настройки!$B$8)&amp;"")</f>
        <v/>
      </c>
      <c r="D1344">
        <f>IFERROR(--SUBSTITUTE(SUBSTITUTE(TRIM(INDEX(INDIRECT("'Выгрузка'!A1344:Z1344"),Настройки!$B$10)),",","."),".",MID(1/2,2,1)),"")</f>
        <v/>
      </c>
      <c r="E1344">
        <f>IFERROR(--SUBSTITUTE(SUBSTITUTE(TRIM(INDEX(INDIRECT("'Выгрузка'!A1344:Z1344"),Настройки!$B$11)),",","."),".",MID(1/2,2,1)),"")</f>
        <v/>
      </c>
      <c r="F1344">
        <f>TRIM(INDEX(INDIRECT("'Выгрузка'!A1344:Z1344"),Настройки!$B$12)&amp;"")</f>
        <v/>
      </c>
      <c r="G1344">
        <f>IF(F1344="",0,IF(TRIM(INDEX(INDIRECT("'Выгрузка'!A1344:Z1344"),Настройки!$B$13)&amp;"")="",1,IFERROR(--SUBSTITUTE(SUBSTITUTE(TRIM(INDEX(INDIRECT("'Выгрузка'!A1344:Z1344"),Настройки!$B$13)),",","."),".",MID(1/2,2,1)),"")))</f>
        <v/>
      </c>
      <c r="H1344">
        <f>IF(F1344="",0,IF(COUNTIF(Настройки!$B$17:$B$26,F1344)&gt;0,1,IF(COUNTIF(Настройки!$C$17:$C$26,F1344)&gt;0,2,IF(COUNTIF(Настройки!$D$17:$D$26,F1344)&gt;0,3,0))))</f>
        <v/>
      </c>
      <c r="I1344">
        <f>IF(AND(ISNUMBER(A1344),ISNUMBER(B1344)),A1344*1000+B1344,"")</f>
        <v/>
      </c>
      <c r="J1344">
        <f>IF(I1344="","",IF(COUNTIF(I$2:I1344,I1344)=1,MAX(J$1:J1343)+1,""))</f>
        <v/>
      </c>
    </row>
    <row r="1345">
      <c r="A1345">
        <f>IFERROR(--SUBSTITUTE(SUBSTITUTE(TRIM(INDEX(INDIRECT("'Выгрузка'!A1345:Z1345"),Настройки!$B$7)),",","."),".",MID(1/2,2,1)),"")</f>
        <v/>
      </c>
      <c r="B1345">
        <f>IFERROR(--SUBSTITUTE(SUBSTITUTE(TRIM(INDEX(INDIRECT("'Выгрузка'!A1345:Z1345"),Настройки!$B$9)),",","."),".",MID(1/2,2,1)),"")</f>
        <v/>
      </c>
      <c r="C1345">
        <f>TRIM(INDEX(INDIRECT("'Выгрузка'!A1345:Z1345"),Настройки!$B$8)&amp;"")</f>
        <v/>
      </c>
      <c r="D1345">
        <f>IFERROR(--SUBSTITUTE(SUBSTITUTE(TRIM(INDEX(INDIRECT("'Выгрузка'!A1345:Z1345"),Настройки!$B$10)),",","."),".",MID(1/2,2,1)),"")</f>
        <v/>
      </c>
      <c r="E1345">
        <f>IFERROR(--SUBSTITUTE(SUBSTITUTE(TRIM(INDEX(INDIRECT("'Выгрузка'!A1345:Z1345"),Настройки!$B$11)),",","."),".",MID(1/2,2,1)),"")</f>
        <v/>
      </c>
      <c r="F1345">
        <f>TRIM(INDEX(INDIRECT("'Выгрузка'!A1345:Z1345"),Настройки!$B$12)&amp;"")</f>
        <v/>
      </c>
      <c r="G1345">
        <f>IF(F1345="",0,IF(TRIM(INDEX(INDIRECT("'Выгрузка'!A1345:Z1345"),Настройки!$B$13)&amp;"")="",1,IFERROR(--SUBSTITUTE(SUBSTITUTE(TRIM(INDEX(INDIRECT("'Выгрузка'!A1345:Z1345"),Настройки!$B$13)),",","."),".",MID(1/2,2,1)),"")))</f>
        <v/>
      </c>
      <c r="H1345">
        <f>IF(F1345="",0,IF(COUNTIF(Настройки!$B$17:$B$26,F1345)&gt;0,1,IF(COUNTIF(Настройки!$C$17:$C$26,F1345)&gt;0,2,IF(COUNTIF(Настройки!$D$17:$D$26,F1345)&gt;0,3,0))))</f>
        <v/>
      </c>
      <c r="I1345">
        <f>IF(AND(ISNUMBER(A1345),ISNUMBER(B1345)),A1345*1000+B1345,"")</f>
        <v/>
      </c>
      <c r="J1345">
        <f>IF(I1345="","",IF(COUNTIF(I$2:I1345,I1345)=1,MAX(J$1:J1344)+1,""))</f>
        <v/>
      </c>
    </row>
    <row r="1346">
      <c r="A1346">
        <f>IFERROR(--SUBSTITUTE(SUBSTITUTE(TRIM(INDEX(INDIRECT("'Выгрузка'!A1346:Z1346"),Настройки!$B$7)),",","."),".",MID(1/2,2,1)),"")</f>
        <v/>
      </c>
      <c r="B1346">
        <f>IFERROR(--SUBSTITUTE(SUBSTITUTE(TRIM(INDEX(INDIRECT("'Выгрузка'!A1346:Z1346"),Настройки!$B$9)),",","."),".",MID(1/2,2,1)),"")</f>
        <v/>
      </c>
      <c r="C1346">
        <f>TRIM(INDEX(INDIRECT("'Выгрузка'!A1346:Z1346"),Настройки!$B$8)&amp;"")</f>
        <v/>
      </c>
      <c r="D1346">
        <f>IFERROR(--SUBSTITUTE(SUBSTITUTE(TRIM(INDEX(INDIRECT("'Выгрузка'!A1346:Z1346"),Настройки!$B$10)),",","."),".",MID(1/2,2,1)),"")</f>
        <v/>
      </c>
      <c r="E1346">
        <f>IFERROR(--SUBSTITUTE(SUBSTITUTE(TRIM(INDEX(INDIRECT("'Выгрузка'!A1346:Z1346"),Настройки!$B$11)),",","."),".",MID(1/2,2,1)),"")</f>
        <v/>
      </c>
      <c r="F1346">
        <f>TRIM(INDEX(INDIRECT("'Выгрузка'!A1346:Z1346"),Настройки!$B$12)&amp;"")</f>
        <v/>
      </c>
      <c r="G1346">
        <f>IF(F1346="",0,IF(TRIM(INDEX(INDIRECT("'Выгрузка'!A1346:Z1346"),Настройки!$B$13)&amp;"")="",1,IFERROR(--SUBSTITUTE(SUBSTITUTE(TRIM(INDEX(INDIRECT("'Выгрузка'!A1346:Z1346"),Настройки!$B$13)),",","."),".",MID(1/2,2,1)),"")))</f>
        <v/>
      </c>
      <c r="H1346">
        <f>IF(F1346="",0,IF(COUNTIF(Настройки!$B$17:$B$26,F1346)&gt;0,1,IF(COUNTIF(Настройки!$C$17:$C$26,F1346)&gt;0,2,IF(COUNTIF(Настройки!$D$17:$D$26,F1346)&gt;0,3,0))))</f>
        <v/>
      </c>
      <c r="I1346">
        <f>IF(AND(ISNUMBER(A1346),ISNUMBER(B1346)),A1346*1000+B1346,"")</f>
        <v/>
      </c>
      <c r="J1346">
        <f>IF(I1346="","",IF(COUNTIF(I$2:I1346,I1346)=1,MAX(J$1:J1345)+1,""))</f>
        <v/>
      </c>
    </row>
    <row r="1347">
      <c r="A1347">
        <f>IFERROR(--SUBSTITUTE(SUBSTITUTE(TRIM(INDEX(INDIRECT("'Выгрузка'!A1347:Z1347"),Настройки!$B$7)),",","."),".",MID(1/2,2,1)),"")</f>
        <v/>
      </c>
      <c r="B1347">
        <f>IFERROR(--SUBSTITUTE(SUBSTITUTE(TRIM(INDEX(INDIRECT("'Выгрузка'!A1347:Z1347"),Настройки!$B$9)),",","."),".",MID(1/2,2,1)),"")</f>
        <v/>
      </c>
      <c r="C1347">
        <f>TRIM(INDEX(INDIRECT("'Выгрузка'!A1347:Z1347"),Настройки!$B$8)&amp;"")</f>
        <v/>
      </c>
      <c r="D1347">
        <f>IFERROR(--SUBSTITUTE(SUBSTITUTE(TRIM(INDEX(INDIRECT("'Выгрузка'!A1347:Z1347"),Настройки!$B$10)),",","."),".",MID(1/2,2,1)),"")</f>
        <v/>
      </c>
      <c r="E1347">
        <f>IFERROR(--SUBSTITUTE(SUBSTITUTE(TRIM(INDEX(INDIRECT("'Выгрузка'!A1347:Z1347"),Настройки!$B$11)),",","."),".",MID(1/2,2,1)),"")</f>
        <v/>
      </c>
      <c r="F1347">
        <f>TRIM(INDEX(INDIRECT("'Выгрузка'!A1347:Z1347"),Настройки!$B$12)&amp;"")</f>
        <v/>
      </c>
      <c r="G1347">
        <f>IF(F1347="",0,IF(TRIM(INDEX(INDIRECT("'Выгрузка'!A1347:Z1347"),Настройки!$B$13)&amp;"")="",1,IFERROR(--SUBSTITUTE(SUBSTITUTE(TRIM(INDEX(INDIRECT("'Выгрузка'!A1347:Z1347"),Настройки!$B$13)),",","."),".",MID(1/2,2,1)),"")))</f>
        <v/>
      </c>
      <c r="H1347">
        <f>IF(F1347="",0,IF(COUNTIF(Настройки!$B$17:$B$26,F1347)&gt;0,1,IF(COUNTIF(Настройки!$C$17:$C$26,F1347)&gt;0,2,IF(COUNTIF(Настройки!$D$17:$D$26,F1347)&gt;0,3,0))))</f>
        <v/>
      </c>
      <c r="I1347">
        <f>IF(AND(ISNUMBER(A1347),ISNUMBER(B1347)),A1347*1000+B1347,"")</f>
        <v/>
      </c>
      <c r="J1347">
        <f>IF(I1347="","",IF(COUNTIF(I$2:I1347,I1347)=1,MAX(J$1:J1346)+1,""))</f>
        <v/>
      </c>
    </row>
    <row r="1348">
      <c r="A1348">
        <f>IFERROR(--SUBSTITUTE(SUBSTITUTE(TRIM(INDEX(INDIRECT("'Выгрузка'!A1348:Z1348"),Настройки!$B$7)),",","."),".",MID(1/2,2,1)),"")</f>
        <v/>
      </c>
      <c r="B1348">
        <f>IFERROR(--SUBSTITUTE(SUBSTITUTE(TRIM(INDEX(INDIRECT("'Выгрузка'!A1348:Z1348"),Настройки!$B$9)),",","."),".",MID(1/2,2,1)),"")</f>
        <v/>
      </c>
      <c r="C1348">
        <f>TRIM(INDEX(INDIRECT("'Выгрузка'!A1348:Z1348"),Настройки!$B$8)&amp;"")</f>
        <v/>
      </c>
      <c r="D1348">
        <f>IFERROR(--SUBSTITUTE(SUBSTITUTE(TRIM(INDEX(INDIRECT("'Выгрузка'!A1348:Z1348"),Настройки!$B$10)),",","."),".",MID(1/2,2,1)),"")</f>
        <v/>
      </c>
      <c r="E1348">
        <f>IFERROR(--SUBSTITUTE(SUBSTITUTE(TRIM(INDEX(INDIRECT("'Выгрузка'!A1348:Z1348"),Настройки!$B$11)),",","."),".",MID(1/2,2,1)),"")</f>
        <v/>
      </c>
      <c r="F1348">
        <f>TRIM(INDEX(INDIRECT("'Выгрузка'!A1348:Z1348"),Настройки!$B$12)&amp;"")</f>
        <v/>
      </c>
      <c r="G1348">
        <f>IF(F1348="",0,IF(TRIM(INDEX(INDIRECT("'Выгрузка'!A1348:Z1348"),Настройки!$B$13)&amp;"")="",1,IFERROR(--SUBSTITUTE(SUBSTITUTE(TRIM(INDEX(INDIRECT("'Выгрузка'!A1348:Z1348"),Настройки!$B$13)),",","."),".",MID(1/2,2,1)),"")))</f>
        <v/>
      </c>
      <c r="H1348">
        <f>IF(F1348="",0,IF(COUNTIF(Настройки!$B$17:$B$26,F1348)&gt;0,1,IF(COUNTIF(Настройки!$C$17:$C$26,F1348)&gt;0,2,IF(COUNTIF(Настройки!$D$17:$D$26,F1348)&gt;0,3,0))))</f>
        <v/>
      </c>
      <c r="I1348">
        <f>IF(AND(ISNUMBER(A1348),ISNUMBER(B1348)),A1348*1000+B1348,"")</f>
        <v/>
      </c>
      <c r="J1348">
        <f>IF(I1348="","",IF(COUNTIF(I$2:I1348,I1348)=1,MAX(J$1:J1347)+1,""))</f>
        <v/>
      </c>
    </row>
    <row r="1349">
      <c r="A1349">
        <f>IFERROR(--SUBSTITUTE(SUBSTITUTE(TRIM(INDEX(INDIRECT("'Выгрузка'!A1349:Z1349"),Настройки!$B$7)),",","."),".",MID(1/2,2,1)),"")</f>
        <v/>
      </c>
      <c r="B1349">
        <f>IFERROR(--SUBSTITUTE(SUBSTITUTE(TRIM(INDEX(INDIRECT("'Выгрузка'!A1349:Z1349"),Настройки!$B$9)),",","."),".",MID(1/2,2,1)),"")</f>
        <v/>
      </c>
      <c r="C1349">
        <f>TRIM(INDEX(INDIRECT("'Выгрузка'!A1349:Z1349"),Настройки!$B$8)&amp;"")</f>
        <v/>
      </c>
      <c r="D1349">
        <f>IFERROR(--SUBSTITUTE(SUBSTITUTE(TRIM(INDEX(INDIRECT("'Выгрузка'!A1349:Z1349"),Настройки!$B$10)),",","."),".",MID(1/2,2,1)),"")</f>
        <v/>
      </c>
      <c r="E1349">
        <f>IFERROR(--SUBSTITUTE(SUBSTITUTE(TRIM(INDEX(INDIRECT("'Выгрузка'!A1349:Z1349"),Настройки!$B$11)),",","."),".",MID(1/2,2,1)),"")</f>
        <v/>
      </c>
      <c r="F1349">
        <f>TRIM(INDEX(INDIRECT("'Выгрузка'!A1349:Z1349"),Настройки!$B$12)&amp;"")</f>
        <v/>
      </c>
      <c r="G1349">
        <f>IF(F1349="",0,IF(TRIM(INDEX(INDIRECT("'Выгрузка'!A1349:Z1349"),Настройки!$B$13)&amp;"")="",1,IFERROR(--SUBSTITUTE(SUBSTITUTE(TRIM(INDEX(INDIRECT("'Выгрузка'!A1349:Z1349"),Настройки!$B$13)),",","."),".",MID(1/2,2,1)),"")))</f>
        <v/>
      </c>
      <c r="H1349">
        <f>IF(F1349="",0,IF(COUNTIF(Настройки!$B$17:$B$26,F1349)&gt;0,1,IF(COUNTIF(Настройки!$C$17:$C$26,F1349)&gt;0,2,IF(COUNTIF(Настройки!$D$17:$D$26,F1349)&gt;0,3,0))))</f>
        <v/>
      </c>
      <c r="I1349">
        <f>IF(AND(ISNUMBER(A1349),ISNUMBER(B1349)),A1349*1000+B1349,"")</f>
        <v/>
      </c>
      <c r="J1349">
        <f>IF(I1349="","",IF(COUNTIF(I$2:I1349,I1349)=1,MAX(J$1:J1348)+1,""))</f>
        <v/>
      </c>
    </row>
    <row r="1350">
      <c r="A1350">
        <f>IFERROR(--SUBSTITUTE(SUBSTITUTE(TRIM(INDEX(INDIRECT("'Выгрузка'!A1350:Z1350"),Настройки!$B$7)),",","."),".",MID(1/2,2,1)),"")</f>
        <v/>
      </c>
      <c r="B1350">
        <f>IFERROR(--SUBSTITUTE(SUBSTITUTE(TRIM(INDEX(INDIRECT("'Выгрузка'!A1350:Z1350"),Настройки!$B$9)),",","."),".",MID(1/2,2,1)),"")</f>
        <v/>
      </c>
      <c r="C1350">
        <f>TRIM(INDEX(INDIRECT("'Выгрузка'!A1350:Z1350"),Настройки!$B$8)&amp;"")</f>
        <v/>
      </c>
      <c r="D1350">
        <f>IFERROR(--SUBSTITUTE(SUBSTITUTE(TRIM(INDEX(INDIRECT("'Выгрузка'!A1350:Z1350"),Настройки!$B$10)),",","."),".",MID(1/2,2,1)),"")</f>
        <v/>
      </c>
      <c r="E1350">
        <f>IFERROR(--SUBSTITUTE(SUBSTITUTE(TRIM(INDEX(INDIRECT("'Выгрузка'!A1350:Z1350"),Настройки!$B$11)),",","."),".",MID(1/2,2,1)),"")</f>
        <v/>
      </c>
      <c r="F1350">
        <f>TRIM(INDEX(INDIRECT("'Выгрузка'!A1350:Z1350"),Настройки!$B$12)&amp;"")</f>
        <v/>
      </c>
      <c r="G1350">
        <f>IF(F1350="",0,IF(TRIM(INDEX(INDIRECT("'Выгрузка'!A1350:Z1350"),Настройки!$B$13)&amp;"")="",1,IFERROR(--SUBSTITUTE(SUBSTITUTE(TRIM(INDEX(INDIRECT("'Выгрузка'!A1350:Z1350"),Настройки!$B$13)),",","."),".",MID(1/2,2,1)),"")))</f>
        <v/>
      </c>
      <c r="H1350">
        <f>IF(F1350="",0,IF(COUNTIF(Настройки!$B$17:$B$26,F1350)&gt;0,1,IF(COUNTIF(Настройки!$C$17:$C$26,F1350)&gt;0,2,IF(COUNTIF(Настройки!$D$17:$D$26,F1350)&gt;0,3,0))))</f>
        <v/>
      </c>
      <c r="I1350">
        <f>IF(AND(ISNUMBER(A1350),ISNUMBER(B1350)),A1350*1000+B1350,"")</f>
        <v/>
      </c>
      <c r="J1350">
        <f>IF(I1350="","",IF(COUNTIF(I$2:I1350,I1350)=1,MAX(J$1:J1349)+1,""))</f>
        <v/>
      </c>
    </row>
    <row r="1351">
      <c r="A1351">
        <f>IFERROR(--SUBSTITUTE(SUBSTITUTE(TRIM(INDEX(INDIRECT("'Выгрузка'!A1351:Z1351"),Настройки!$B$7)),",","."),".",MID(1/2,2,1)),"")</f>
        <v/>
      </c>
      <c r="B1351">
        <f>IFERROR(--SUBSTITUTE(SUBSTITUTE(TRIM(INDEX(INDIRECT("'Выгрузка'!A1351:Z1351"),Настройки!$B$9)),",","."),".",MID(1/2,2,1)),"")</f>
        <v/>
      </c>
      <c r="C1351">
        <f>TRIM(INDEX(INDIRECT("'Выгрузка'!A1351:Z1351"),Настройки!$B$8)&amp;"")</f>
        <v/>
      </c>
      <c r="D1351">
        <f>IFERROR(--SUBSTITUTE(SUBSTITUTE(TRIM(INDEX(INDIRECT("'Выгрузка'!A1351:Z1351"),Настройки!$B$10)),",","."),".",MID(1/2,2,1)),"")</f>
        <v/>
      </c>
      <c r="E1351">
        <f>IFERROR(--SUBSTITUTE(SUBSTITUTE(TRIM(INDEX(INDIRECT("'Выгрузка'!A1351:Z1351"),Настройки!$B$11)),",","."),".",MID(1/2,2,1)),"")</f>
        <v/>
      </c>
      <c r="F1351">
        <f>TRIM(INDEX(INDIRECT("'Выгрузка'!A1351:Z1351"),Настройки!$B$12)&amp;"")</f>
        <v/>
      </c>
      <c r="G1351">
        <f>IF(F1351="",0,IF(TRIM(INDEX(INDIRECT("'Выгрузка'!A1351:Z1351"),Настройки!$B$13)&amp;"")="",1,IFERROR(--SUBSTITUTE(SUBSTITUTE(TRIM(INDEX(INDIRECT("'Выгрузка'!A1351:Z1351"),Настройки!$B$13)),",","."),".",MID(1/2,2,1)),"")))</f>
        <v/>
      </c>
      <c r="H1351">
        <f>IF(F1351="",0,IF(COUNTIF(Настройки!$B$17:$B$26,F1351)&gt;0,1,IF(COUNTIF(Настройки!$C$17:$C$26,F1351)&gt;0,2,IF(COUNTIF(Настройки!$D$17:$D$26,F1351)&gt;0,3,0))))</f>
        <v/>
      </c>
      <c r="I1351">
        <f>IF(AND(ISNUMBER(A1351),ISNUMBER(B1351)),A1351*1000+B1351,"")</f>
        <v/>
      </c>
      <c r="J1351">
        <f>IF(I1351="","",IF(COUNTIF(I$2:I1351,I1351)=1,MAX(J$1:J1350)+1,""))</f>
        <v/>
      </c>
    </row>
    <row r="1352">
      <c r="A1352">
        <f>IFERROR(--SUBSTITUTE(SUBSTITUTE(TRIM(INDEX(INDIRECT("'Выгрузка'!A1352:Z1352"),Настройки!$B$7)),",","."),".",MID(1/2,2,1)),"")</f>
        <v/>
      </c>
      <c r="B1352">
        <f>IFERROR(--SUBSTITUTE(SUBSTITUTE(TRIM(INDEX(INDIRECT("'Выгрузка'!A1352:Z1352"),Настройки!$B$9)),",","."),".",MID(1/2,2,1)),"")</f>
        <v/>
      </c>
      <c r="C1352">
        <f>TRIM(INDEX(INDIRECT("'Выгрузка'!A1352:Z1352"),Настройки!$B$8)&amp;"")</f>
        <v/>
      </c>
      <c r="D1352">
        <f>IFERROR(--SUBSTITUTE(SUBSTITUTE(TRIM(INDEX(INDIRECT("'Выгрузка'!A1352:Z1352"),Настройки!$B$10)),",","."),".",MID(1/2,2,1)),"")</f>
        <v/>
      </c>
      <c r="E1352">
        <f>IFERROR(--SUBSTITUTE(SUBSTITUTE(TRIM(INDEX(INDIRECT("'Выгрузка'!A1352:Z1352"),Настройки!$B$11)),",","."),".",MID(1/2,2,1)),"")</f>
        <v/>
      </c>
      <c r="F1352">
        <f>TRIM(INDEX(INDIRECT("'Выгрузка'!A1352:Z1352"),Настройки!$B$12)&amp;"")</f>
        <v/>
      </c>
      <c r="G1352">
        <f>IF(F1352="",0,IF(TRIM(INDEX(INDIRECT("'Выгрузка'!A1352:Z1352"),Настройки!$B$13)&amp;"")="",1,IFERROR(--SUBSTITUTE(SUBSTITUTE(TRIM(INDEX(INDIRECT("'Выгрузка'!A1352:Z1352"),Настройки!$B$13)),",","."),".",MID(1/2,2,1)),"")))</f>
        <v/>
      </c>
      <c r="H1352">
        <f>IF(F1352="",0,IF(COUNTIF(Настройки!$B$17:$B$26,F1352)&gt;0,1,IF(COUNTIF(Настройки!$C$17:$C$26,F1352)&gt;0,2,IF(COUNTIF(Настройки!$D$17:$D$26,F1352)&gt;0,3,0))))</f>
        <v/>
      </c>
      <c r="I1352">
        <f>IF(AND(ISNUMBER(A1352),ISNUMBER(B1352)),A1352*1000+B1352,"")</f>
        <v/>
      </c>
      <c r="J1352">
        <f>IF(I1352="","",IF(COUNTIF(I$2:I1352,I1352)=1,MAX(J$1:J1351)+1,""))</f>
        <v/>
      </c>
    </row>
    <row r="1353">
      <c r="A1353">
        <f>IFERROR(--SUBSTITUTE(SUBSTITUTE(TRIM(INDEX(INDIRECT("'Выгрузка'!A1353:Z1353"),Настройки!$B$7)),",","."),".",MID(1/2,2,1)),"")</f>
        <v/>
      </c>
      <c r="B1353">
        <f>IFERROR(--SUBSTITUTE(SUBSTITUTE(TRIM(INDEX(INDIRECT("'Выгрузка'!A1353:Z1353"),Настройки!$B$9)),",","."),".",MID(1/2,2,1)),"")</f>
        <v/>
      </c>
      <c r="C1353">
        <f>TRIM(INDEX(INDIRECT("'Выгрузка'!A1353:Z1353"),Настройки!$B$8)&amp;"")</f>
        <v/>
      </c>
      <c r="D1353">
        <f>IFERROR(--SUBSTITUTE(SUBSTITUTE(TRIM(INDEX(INDIRECT("'Выгрузка'!A1353:Z1353"),Настройки!$B$10)),",","."),".",MID(1/2,2,1)),"")</f>
        <v/>
      </c>
      <c r="E1353">
        <f>IFERROR(--SUBSTITUTE(SUBSTITUTE(TRIM(INDEX(INDIRECT("'Выгрузка'!A1353:Z1353"),Настройки!$B$11)),",","."),".",MID(1/2,2,1)),"")</f>
        <v/>
      </c>
      <c r="F1353">
        <f>TRIM(INDEX(INDIRECT("'Выгрузка'!A1353:Z1353"),Настройки!$B$12)&amp;"")</f>
        <v/>
      </c>
      <c r="G1353">
        <f>IF(F1353="",0,IF(TRIM(INDEX(INDIRECT("'Выгрузка'!A1353:Z1353"),Настройки!$B$13)&amp;"")="",1,IFERROR(--SUBSTITUTE(SUBSTITUTE(TRIM(INDEX(INDIRECT("'Выгрузка'!A1353:Z1353"),Настройки!$B$13)),",","."),".",MID(1/2,2,1)),"")))</f>
        <v/>
      </c>
      <c r="H1353">
        <f>IF(F1353="",0,IF(COUNTIF(Настройки!$B$17:$B$26,F1353)&gt;0,1,IF(COUNTIF(Настройки!$C$17:$C$26,F1353)&gt;0,2,IF(COUNTIF(Настройки!$D$17:$D$26,F1353)&gt;0,3,0))))</f>
        <v/>
      </c>
      <c r="I1353">
        <f>IF(AND(ISNUMBER(A1353),ISNUMBER(B1353)),A1353*1000+B1353,"")</f>
        <v/>
      </c>
      <c r="J1353">
        <f>IF(I1353="","",IF(COUNTIF(I$2:I1353,I1353)=1,MAX(J$1:J1352)+1,""))</f>
        <v/>
      </c>
    </row>
    <row r="1354">
      <c r="A1354">
        <f>IFERROR(--SUBSTITUTE(SUBSTITUTE(TRIM(INDEX(INDIRECT("'Выгрузка'!A1354:Z1354"),Настройки!$B$7)),",","."),".",MID(1/2,2,1)),"")</f>
        <v/>
      </c>
      <c r="B1354">
        <f>IFERROR(--SUBSTITUTE(SUBSTITUTE(TRIM(INDEX(INDIRECT("'Выгрузка'!A1354:Z1354"),Настройки!$B$9)),",","."),".",MID(1/2,2,1)),"")</f>
        <v/>
      </c>
      <c r="C1354">
        <f>TRIM(INDEX(INDIRECT("'Выгрузка'!A1354:Z1354"),Настройки!$B$8)&amp;"")</f>
        <v/>
      </c>
      <c r="D1354">
        <f>IFERROR(--SUBSTITUTE(SUBSTITUTE(TRIM(INDEX(INDIRECT("'Выгрузка'!A1354:Z1354"),Настройки!$B$10)),",","."),".",MID(1/2,2,1)),"")</f>
        <v/>
      </c>
      <c r="E1354">
        <f>IFERROR(--SUBSTITUTE(SUBSTITUTE(TRIM(INDEX(INDIRECT("'Выгрузка'!A1354:Z1354"),Настройки!$B$11)),",","."),".",MID(1/2,2,1)),"")</f>
        <v/>
      </c>
      <c r="F1354">
        <f>TRIM(INDEX(INDIRECT("'Выгрузка'!A1354:Z1354"),Настройки!$B$12)&amp;"")</f>
        <v/>
      </c>
      <c r="G1354">
        <f>IF(F1354="",0,IF(TRIM(INDEX(INDIRECT("'Выгрузка'!A1354:Z1354"),Настройки!$B$13)&amp;"")="",1,IFERROR(--SUBSTITUTE(SUBSTITUTE(TRIM(INDEX(INDIRECT("'Выгрузка'!A1354:Z1354"),Настройки!$B$13)),",","."),".",MID(1/2,2,1)),"")))</f>
        <v/>
      </c>
      <c r="H1354">
        <f>IF(F1354="",0,IF(COUNTIF(Настройки!$B$17:$B$26,F1354)&gt;0,1,IF(COUNTIF(Настройки!$C$17:$C$26,F1354)&gt;0,2,IF(COUNTIF(Настройки!$D$17:$D$26,F1354)&gt;0,3,0))))</f>
        <v/>
      </c>
      <c r="I1354">
        <f>IF(AND(ISNUMBER(A1354),ISNUMBER(B1354)),A1354*1000+B1354,"")</f>
        <v/>
      </c>
      <c r="J1354">
        <f>IF(I1354="","",IF(COUNTIF(I$2:I1354,I1354)=1,MAX(J$1:J1353)+1,""))</f>
        <v/>
      </c>
    </row>
    <row r="1355">
      <c r="A1355">
        <f>IFERROR(--SUBSTITUTE(SUBSTITUTE(TRIM(INDEX(INDIRECT("'Выгрузка'!A1355:Z1355"),Настройки!$B$7)),",","."),".",MID(1/2,2,1)),"")</f>
        <v/>
      </c>
      <c r="B1355">
        <f>IFERROR(--SUBSTITUTE(SUBSTITUTE(TRIM(INDEX(INDIRECT("'Выгрузка'!A1355:Z1355"),Настройки!$B$9)),",","."),".",MID(1/2,2,1)),"")</f>
        <v/>
      </c>
      <c r="C1355">
        <f>TRIM(INDEX(INDIRECT("'Выгрузка'!A1355:Z1355"),Настройки!$B$8)&amp;"")</f>
        <v/>
      </c>
      <c r="D1355">
        <f>IFERROR(--SUBSTITUTE(SUBSTITUTE(TRIM(INDEX(INDIRECT("'Выгрузка'!A1355:Z1355"),Настройки!$B$10)),",","."),".",MID(1/2,2,1)),"")</f>
        <v/>
      </c>
      <c r="E1355">
        <f>IFERROR(--SUBSTITUTE(SUBSTITUTE(TRIM(INDEX(INDIRECT("'Выгрузка'!A1355:Z1355"),Настройки!$B$11)),",","."),".",MID(1/2,2,1)),"")</f>
        <v/>
      </c>
      <c r="F1355">
        <f>TRIM(INDEX(INDIRECT("'Выгрузка'!A1355:Z1355"),Настройки!$B$12)&amp;"")</f>
        <v/>
      </c>
      <c r="G1355">
        <f>IF(F1355="",0,IF(TRIM(INDEX(INDIRECT("'Выгрузка'!A1355:Z1355"),Настройки!$B$13)&amp;"")="",1,IFERROR(--SUBSTITUTE(SUBSTITUTE(TRIM(INDEX(INDIRECT("'Выгрузка'!A1355:Z1355"),Настройки!$B$13)),",","."),".",MID(1/2,2,1)),"")))</f>
        <v/>
      </c>
      <c r="H1355">
        <f>IF(F1355="",0,IF(COUNTIF(Настройки!$B$17:$B$26,F1355)&gt;0,1,IF(COUNTIF(Настройки!$C$17:$C$26,F1355)&gt;0,2,IF(COUNTIF(Настройки!$D$17:$D$26,F1355)&gt;0,3,0))))</f>
        <v/>
      </c>
      <c r="I1355">
        <f>IF(AND(ISNUMBER(A1355),ISNUMBER(B1355)),A1355*1000+B1355,"")</f>
        <v/>
      </c>
      <c r="J1355">
        <f>IF(I1355="","",IF(COUNTIF(I$2:I1355,I1355)=1,MAX(J$1:J1354)+1,""))</f>
        <v/>
      </c>
    </row>
    <row r="1356">
      <c r="A1356">
        <f>IFERROR(--SUBSTITUTE(SUBSTITUTE(TRIM(INDEX(INDIRECT("'Выгрузка'!A1356:Z1356"),Настройки!$B$7)),",","."),".",MID(1/2,2,1)),"")</f>
        <v/>
      </c>
      <c r="B1356">
        <f>IFERROR(--SUBSTITUTE(SUBSTITUTE(TRIM(INDEX(INDIRECT("'Выгрузка'!A1356:Z1356"),Настройки!$B$9)),",","."),".",MID(1/2,2,1)),"")</f>
        <v/>
      </c>
      <c r="C1356">
        <f>TRIM(INDEX(INDIRECT("'Выгрузка'!A1356:Z1356"),Настройки!$B$8)&amp;"")</f>
        <v/>
      </c>
      <c r="D1356">
        <f>IFERROR(--SUBSTITUTE(SUBSTITUTE(TRIM(INDEX(INDIRECT("'Выгрузка'!A1356:Z1356"),Настройки!$B$10)),",","."),".",MID(1/2,2,1)),"")</f>
        <v/>
      </c>
      <c r="E1356">
        <f>IFERROR(--SUBSTITUTE(SUBSTITUTE(TRIM(INDEX(INDIRECT("'Выгрузка'!A1356:Z1356"),Настройки!$B$11)),",","."),".",MID(1/2,2,1)),"")</f>
        <v/>
      </c>
      <c r="F1356">
        <f>TRIM(INDEX(INDIRECT("'Выгрузка'!A1356:Z1356"),Настройки!$B$12)&amp;"")</f>
        <v/>
      </c>
      <c r="G1356">
        <f>IF(F1356="",0,IF(TRIM(INDEX(INDIRECT("'Выгрузка'!A1356:Z1356"),Настройки!$B$13)&amp;"")="",1,IFERROR(--SUBSTITUTE(SUBSTITUTE(TRIM(INDEX(INDIRECT("'Выгрузка'!A1356:Z1356"),Настройки!$B$13)),",","."),".",MID(1/2,2,1)),"")))</f>
        <v/>
      </c>
      <c r="H1356">
        <f>IF(F1356="",0,IF(COUNTIF(Настройки!$B$17:$B$26,F1356)&gt;0,1,IF(COUNTIF(Настройки!$C$17:$C$26,F1356)&gt;0,2,IF(COUNTIF(Настройки!$D$17:$D$26,F1356)&gt;0,3,0))))</f>
        <v/>
      </c>
      <c r="I1356">
        <f>IF(AND(ISNUMBER(A1356),ISNUMBER(B1356)),A1356*1000+B1356,"")</f>
        <v/>
      </c>
      <c r="J1356">
        <f>IF(I1356="","",IF(COUNTIF(I$2:I1356,I1356)=1,MAX(J$1:J1355)+1,""))</f>
        <v/>
      </c>
    </row>
    <row r="1357">
      <c r="A1357">
        <f>IFERROR(--SUBSTITUTE(SUBSTITUTE(TRIM(INDEX(INDIRECT("'Выгрузка'!A1357:Z1357"),Настройки!$B$7)),",","."),".",MID(1/2,2,1)),"")</f>
        <v/>
      </c>
      <c r="B1357">
        <f>IFERROR(--SUBSTITUTE(SUBSTITUTE(TRIM(INDEX(INDIRECT("'Выгрузка'!A1357:Z1357"),Настройки!$B$9)),",","."),".",MID(1/2,2,1)),"")</f>
        <v/>
      </c>
      <c r="C1357">
        <f>TRIM(INDEX(INDIRECT("'Выгрузка'!A1357:Z1357"),Настройки!$B$8)&amp;"")</f>
        <v/>
      </c>
      <c r="D1357">
        <f>IFERROR(--SUBSTITUTE(SUBSTITUTE(TRIM(INDEX(INDIRECT("'Выгрузка'!A1357:Z1357"),Настройки!$B$10)),",","."),".",MID(1/2,2,1)),"")</f>
        <v/>
      </c>
      <c r="E1357">
        <f>IFERROR(--SUBSTITUTE(SUBSTITUTE(TRIM(INDEX(INDIRECT("'Выгрузка'!A1357:Z1357"),Настройки!$B$11)),",","."),".",MID(1/2,2,1)),"")</f>
        <v/>
      </c>
      <c r="F1357">
        <f>TRIM(INDEX(INDIRECT("'Выгрузка'!A1357:Z1357"),Настройки!$B$12)&amp;"")</f>
        <v/>
      </c>
      <c r="G1357">
        <f>IF(F1357="",0,IF(TRIM(INDEX(INDIRECT("'Выгрузка'!A1357:Z1357"),Настройки!$B$13)&amp;"")="",1,IFERROR(--SUBSTITUTE(SUBSTITUTE(TRIM(INDEX(INDIRECT("'Выгрузка'!A1357:Z1357"),Настройки!$B$13)),",","."),".",MID(1/2,2,1)),"")))</f>
        <v/>
      </c>
      <c r="H1357">
        <f>IF(F1357="",0,IF(COUNTIF(Настройки!$B$17:$B$26,F1357)&gt;0,1,IF(COUNTIF(Настройки!$C$17:$C$26,F1357)&gt;0,2,IF(COUNTIF(Настройки!$D$17:$D$26,F1357)&gt;0,3,0))))</f>
        <v/>
      </c>
      <c r="I1357">
        <f>IF(AND(ISNUMBER(A1357),ISNUMBER(B1357)),A1357*1000+B1357,"")</f>
        <v/>
      </c>
      <c r="J1357">
        <f>IF(I1357="","",IF(COUNTIF(I$2:I1357,I1357)=1,MAX(J$1:J1356)+1,""))</f>
        <v/>
      </c>
    </row>
    <row r="1358">
      <c r="A1358">
        <f>IFERROR(--SUBSTITUTE(SUBSTITUTE(TRIM(INDEX(INDIRECT("'Выгрузка'!A1358:Z1358"),Настройки!$B$7)),",","."),".",MID(1/2,2,1)),"")</f>
        <v/>
      </c>
      <c r="B1358">
        <f>IFERROR(--SUBSTITUTE(SUBSTITUTE(TRIM(INDEX(INDIRECT("'Выгрузка'!A1358:Z1358"),Настройки!$B$9)),",","."),".",MID(1/2,2,1)),"")</f>
        <v/>
      </c>
      <c r="C1358">
        <f>TRIM(INDEX(INDIRECT("'Выгрузка'!A1358:Z1358"),Настройки!$B$8)&amp;"")</f>
        <v/>
      </c>
      <c r="D1358">
        <f>IFERROR(--SUBSTITUTE(SUBSTITUTE(TRIM(INDEX(INDIRECT("'Выгрузка'!A1358:Z1358"),Настройки!$B$10)),",","."),".",MID(1/2,2,1)),"")</f>
        <v/>
      </c>
      <c r="E1358">
        <f>IFERROR(--SUBSTITUTE(SUBSTITUTE(TRIM(INDEX(INDIRECT("'Выгрузка'!A1358:Z1358"),Настройки!$B$11)),",","."),".",MID(1/2,2,1)),"")</f>
        <v/>
      </c>
      <c r="F1358">
        <f>TRIM(INDEX(INDIRECT("'Выгрузка'!A1358:Z1358"),Настройки!$B$12)&amp;"")</f>
        <v/>
      </c>
      <c r="G1358">
        <f>IF(F1358="",0,IF(TRIM(INDEX(INDIRECT("'Выгрузка'!A1358:Z1358"),Настройки!$B$13)&amp;"")="",1,IFERROR(--SUBSTITUTE(SUBSTITUTE(TRIM(INDEX(INDIRECT("'Выгрузка'!A1358:Z1358"),Настройки!$B$13)),",","."),".",MID(1/2,2,1)),"")))</f>
        <v/>
      </c>
      <c r="H1358">
        <f>IF(F1358="",0,IF(COUNTIF(Настройки!$B$17:$B$26,F1358)&gt;0,1,IF(COUNTIF(Настройки!$C$17:$C$26,F1358)&gt;0,2,IF(COUNTIF(Настройки!$D$17:$D$26,F1358)&gt;0,3,0))))</f>
        <v/>
      </c>
      <c r="I1358">
        <f>IF(AND(ISNUMBER(A1358),ISNUMBER(B1358)),A1358*1000+B1358,"")</f>
        <v/>
      </c>
      <c r="J1358">
        <f>IF(I1358="","",IF(COUNTIF(I$2:I1358,I1358)=1,MAX(J$1:J1357)+1,""))</f>
        <v/>
      </c>
    </row>
    <row r="1359">
      <c r="A1359">
        <f>IFERROR(--SUBSTITUTE(SUBSTITUTE(TRIM(INDEX(INDIRECT("'Выгрузка'!A1359:Z1359"),Настройки!$B$7)),",","."),".",MID(1/2,2,1)),"")</f>
        <v/>
      </c>
      <c r="B1359">
        <f>IFERROR(--SUBSTITUTE(SUBSTITUTE(TRIM(INDEX(INDIRECT("'Выгрузка'!A1359:Z1359"),Настройки!$B$9)),",","."),".",MID(1/2,2,1)),"")</f>
        <v/>
      </c>
      <c r="C1359">
        <f>TRIM(INDEX(INDIRECT("'Выгрузка'!A1359:Z1359"),Настройки!$B$8)&amp;"")</f>
        <v/>
      </c>
      <c r="D1359">
        <f>IFERROR(--SUBSTITUTE(SUBSTITUTE(TRIM(INDEX(INDIRECT("'Выгрузка'!A1359:Z1359"),Настройки!$B$10)),",","."),".",MID(1/2,2,1)),"")</f>
        <v/>
      </c>
      <c r="E1359">
        <f>IFERROR(--SUBSTITUTE(SUBSTITUTE(TRIM(INDEX(INDIRECT("'Выгрузка'!A1359:Z1359"),Настройки!$B$11)),",","."),".",MID(1/2,2,1)),"")</f>
        <v/>
      </c>
      <c r="F1359">
        <f>TRIM(INDEX(INDIRECT("'Выгрузка'!A1359:Z1359"),Настройки!$B$12)&amp;"")</f>
        <v/>
      </c>
      <c r="G1359">
        <f>IF(F1359="",0,IF(TRIM(INDEX(INDIRECT("'Выгрузка'!A1359:Z1359"),Настройки!$B$13)&amp;"")="",1,IFERROR(--SUBSTITUTE(SUBSTITUTE(TRIM(INDEX(INDIRECT("'Выгрузка'!A1359:Z1359"),Настройки!$B$13)),",","."),".",MID(1/2,2,1)),"")))</f>
        <v/>
      </c>
      <c r="H1359">
        <f>IF(F1359="",0,IF(COUNTIF(Настройки!$B$17:$B$26,F1359)&gt;0,1,IF(COUNTIF(Настройки!$C$17:$C$26,F1359)&gt;0,2,IF(COUNTIF(Настройки!$D$17:$D$26,F1359)&gt;0,3,0))))</f>
        <v/>
      </c>
      <c r="I1359">
        <f>IF(AND(ISNUMBER(A1359),ISNUMBER(B1359)),A1359*1000+B1359,"")</f>
        <v/>
      </c>
      <c r="J1359">
        <f>IF(I1359="","",IF(COUNTIF(I$2:I1359,I1359)=1,MAX(J$1:J1358)+1,""))</f>
        <v/>
      </c>
    </row>
    <row r="1360">
      <c r="A1360">
        <f>IFERROR(--SUBSTITUTE(SUBSTITUTE(TRIM(INDEX(INDIRECT("'Выгрузка'!A1360:Z1360"),Настройки!$B$7)),",","."),".",MID(1/2,2,1)),"")</f>
        <v/>
      </c>
      <c r="B1360">
        <f>IFERROR(--SUBSTITUTE(SUBSTITUTE(TRIM(INDEX(INDIRECT("'Выгрузка'!A1360:Z1360"),Настройки!$B$9)),",","."),".",MID(1/2,2,1)),"")</f>
        <v/>
      </c>
      <c r="C1360">
        <f>TRIM(INDEX(INDIRECT("'Выгрузка'!A1360:Z1360"),Настройки!$B$8)&amp;"")</f>
        <v/>
      </c>
      <c r="D1360">
        <f>IFERROR(--SUBSTITUTE(SUBSTITUTE(TRIM(INDEX(INDIRECT("'Выгрузка'!A1360:Z1360"),Настройки!$B$10)),",","."),".",MID(1/2,2,1)),"")</f>
        <v/>
      </c>
      <c r="E1360">
        <f>IFERROR(--SUBSTITUTE(SUBSTITUTE(TRIM(INDEX(INDIRECT("'Выгрузка'!A1360:Z1360"),Настройки!$B$11)),",","."),".",MID(1/2,2,1)),"")</f>
        <v/>
      </c>
      <c r="F1360">
        <f>TRIM(INDEX(INDIRECT("'Выгрузка'!A1360:Z1360"),Настройки!$B$12)&amp;"")</f>
        <v/>
      </c>
      <c r="G1360">
        <f>IF(F1360="",0,IF(TRIM(INDEX(INDIRECT("'Выгрузка'!A1360:Z1360"),Настройки!$B$13)&amp;"")="",1,IFERROR(--SUBSTITUTE(SUBSTITUTE(TRIM(INDEX(INDIRECT("'Выгрузка'!A1360:Z1360"),Настройки!$B$13)),",","."),".",MID(1/2,2,1)),"")))</f>
        <v/>
      </c>
      <c r="H1360">
        <f>IF(F1360="",0,IF(COUNTIF(Настройки!$B$17:$B$26,F1360)&gt;0,1,IF(COUNTIF(Настройки!$C$17:$C$26,F1360)&gt;0,2,IF(COUNTIF(Настройки!$D$17:$D$26,F1360)&gt;0,3,0))))</f>
        <v/>
      </c>
      <c r="I1360">
        <f>IF(AND(ISNUMBER(A1360),ISNUMBER(B1360)),A1360*1000+B1360,"")</f>
        <v/>
      </c>
      <c r="J1360">
        <f>IF(I1360="","",IF(COUNTIF(I$2:I1360,I1360)=1,MAX(J$1:J1359)+1,""))</f>
        <v/>
      </c>
    </row>
    <row r="1361">
      <c r="A1361">
        <f>IFERROR(--SUBSTITUTE(SUBSTITUTE(TRIM(INDEX(INDIRECT("'Выгрузка'!A1361:Z1361"),Настройки!$B$7)),",","."),".",MID(1/2,2,1)),"")</f>
        <v/>
      </c>
      <c r="B1361">
        <f>IFERROR(--SUBSTITUTE(SUBSTITUTE(TRIM(INDEX(INDIRECT("'Выгрузка'!A1361:Z1361"),Настройки!$B$9)),",","."),".",MID(1/2,2,1)),"")</f>
        <v/>
      </c>
      <c r="C1361">
        <f>TRIM(INDEX(INDIRECT("'Выгрузка'!A1361:Z1361"),Настройки!$B$8)&amp;"")</f>
        <v/>
      </c>
      <c r="D1361">
        <f>IFERROR(--SUBSTITUTE(SUBSTITUTE(TRIM(INDEX(INDIRECT("'Выгрузка'!A1361:Z1361"),Настройки!$B$10)),",","."),".",MID(1/2,2,1)),"")</f>
        <v/>
      </c>
      <c r="E1361">
        <f>IFERROR(--SUBSTITUTE(SUBSTITUTE(TRIM(INDEX(INDIRECT("'Выгрузка'!A1361:Z1361"),Настройки!$B$11)),",","."),".",MID(1/2,2,1)),"")</f>
        <v/>
      </c>
      <c r="F1361">
        <f>TRIM(INDEX(INDIRECT("'Выгрузка'!A1361:Z1361"),Настройки!$B$12)&amp;"")</f>
        <v/>
      </c>
      <c r="G1361">
        <f>IF(F1361="",0,IF(TRIM(INDEX(INDIRECT("'Выгрузка'!A1361:Z1361"),Настройки!$B$13)&amp;"")="",1,IFERROR(--SUBSTITUTE(SUBSTITUTE(TRIM(INDEX(INDIRECT("'Выгрузка'!A1361:Z1361"),Настройки!$B$13)),",","."),".",MID(1/2,2,1)),"")))</f>
        <v/>
      </c>
      <c r="H1361">
        <f>IF(F1361="",0,IF(COUNTIF(Настройки!$B$17:$B$26,F1361)&gt;0,1,IF(COUNTIF(Настройки!$C$17:$C$26,F1361)&gt;0,2,IF(COUNTIF(Настройки!$D$17:$D$26,F1361)&gt;0,3,0))))</f>
        <v/>
      </c>
      <c r="I1361">
        <f>IF(AND(ISNUMBER(A1361),ISNUMBER(B1361)),A1361*1000+B1361,"")</f>
        <v/>
      </c>
      <c r="J1361">
        <f>IF(I1361="","",IF(COUNTIF(I$2:I1361,I1361)=1,MAX(J$1:J1360)+1,""))</f>
        <v/>
      </c>
    </row>
    <row r="1362">
      <c r="A1362">
        <f>IFERROR(--SUBSTITUTE(SUBSTITUTE(TRIM(INDEX(INDIRECT("'Выгрузка'!A1362:Z1362"),Настройки!$B$7)),",","."),".",MID(1/2,2,1)),"")</f>
        <v/>
      </c>
      <c r="B1362">
        <f>IFERROR(--SUBSTITUTE(SUBSTITUTE(TRIM(INDEX(INDIRECT("'Выгрузка'!A1362:Z1362"),Настройки!$B$9)),",","."),".",MID(1/2,2,1)),"")</f>
        <v/>
      </c>
      <c r="C1362">
        <f>TRIM(INDEX(INDIRECT("'Выгрузка'!A1362:Z1362"),Настройки!$B$8)&amp;"")</f>
        <v/>
      </c>
      <c r="D1362">
        <f>IFERROR(--SUBSTITUTE(SUBSTITUTE(TRIM(INDEX(INDIRECT("'Выгрузка'!A1362:Z1362"),Настройки!$B$10)),",","."),".",MID(1/2,2,1)),"")</f>
        <v/>
      </c>
      <c r="E1362">
        <f>IFERROR(--SUBSTITUTE(SUBSTITUTE(TRIM(INDEX(INDIRECT("'Выгрузка'!A1362:Z1362"),Настройки!$B$11)),",","."),".",MID(1/2,2,1)),"")</f>
        <v/>
      </c>
      <c r="F1362">
        <f>TRIM(INDEX(INDIRECT("'Выгрузка'!A1362:Z1362"),Настройки!$B$12)&amp;"")</f>
        <v/>
      </c>
      <c r="G1362">
        <f>IF(F1362="",0,IF(TRIM(INDEX(INDIRECT("'Выгрузка'!A1362:Z1362"),Настройки!$B$13)&amp;"")="",1,IFERROR(--SUBSTITUTE(SUBSTITUTE(TRIM(INDEX(INDIRECT("'Выгрузка'!A1362:Z1362"),Настройки!$B$13)),",","."),".",MID(1/2,2,1)),"")))</f>
        <v/>
      </c>
      <c r="H1362">
        <f>IF(F1362="",0,IF(COUNTIF(Настройки!$B$17:$B$26,F1362)&gt;0,1,IF(COUNTIF(Настройки!$C$17:$C$26,F1362)&gt;0,2,IF(COUNTIF(Настройки!$D$17:$D$26,F1362)&gt;0,3,0))))</f>
        <v/>
      </c>
      <c r="I1362">
        <f>IF(AND(ISNUMBER(A1362),ISNUMBER(B1362)),A1362*1000+B1362,"")</f>
        <v/>
      </c>
      <c r="J1362">
        <f>IF(I1362="","",IF(COUNTIF(I$2:I1362,I1362)=1,MAX(J$1:J1361)+1,""))</f>
        <v/>
      </c>
    </row>
    <row r="1363">
      <c r="A1363">
        <f>IFERROR(--SUBSTITUTE(SUBSTITUTE(TRIM(INDEX(INDIRECT("'Выгрузка'!A1363:Z1363"),Настройки!$B$7)),",","."),".",MID(1/2,2,1)),"")</f>
        <v/>
      </c>
      <c r="B1363">
        <f>IFERROR(--SUBSTITUTE(SUBSTITUTE(TRIM(INDEX(INDIRECT("'Выгрузка'!A1363:Z1363"),Настройки!$B$9)),",","."),".",MID(1/2,2,1)),"")</f>
        <v/>
      </c>
      <c r="C1363">
        <f>TRIM(INDEX(INDIRECT("'Выгрузка'!A1363:Z1363"),Настройки!$B$8)&amp;"")</f>
        <v/>
      </c>
      <c r="D1363">
        <f>IFERROR(--SUBSTITUTE(SUBSTITUTE(TRIM(INDEX(INDIRECT("'Выгрузка'!A1363:Z1363"),Настройки!$B$10)),",","."),".",MID(1/2,2,1)),"")</f>
        <v/>
      </c>
      <c r="E1363">
        <f>IFERROR(--SUBSTITUTE(SUBSTITUTE(TRIM(INDEX(INDIRECT("'Выгрузка'!A1363:Z1363"),Настройки!$B$11)),",","."),".",MID(1/2,2,1)),"")</f>
        <v/>
      </c>
      <c r="F1363">
        <f>TRIM(INDEX(INDIRECT("'Выгрузка'!A1363:Z1363"),Настройки!$B$12)&amp;"")</f>
        <v/>
      </c>
      <c r="G1363">
        <f>IF(F1363="",0,IF(TRIM(INDEX(INDIRECT("'Выгрузка'!A1363:Z1363"),Настройки!$B$13)&amp;"")="",1,IFERROR(--SUBSTITUTE(SUBSTITUTE(TRIM(INDEX(INDIRECT("'Выгрузка'!A1363:Z1363"),Настройки!$B$13)),",","."),".",MID(1/2,2,1)),"")))</f>
        <v/>
      </c>
      <c r="H1363">
        <f>IF(F1363="",0,IF(COUNTIF(Настройки!$B$17:$B$26,F1363)&gt;0,1,IF(COUNTIF(Настройки!$C$17:$C$26,F1363)&gt;0,2,IF(COUNTIF(Настройки!$D$17:$D$26,F1363)&gt;0,3,0))))</f>
        <v/>
      </c>
      <c r="I1363">
        <f>IF(AND(ISNUMBER(A1363),ISNUMBER(B1363)),A1363*1000+B1363,"")</f>
        <v/>
      </c>
      <c r="J1363">
        <f>IF(I1363="","",IF(COUNTIF(I$2:I1363,I1363)=1,MAX(J$1:J1362)+1,""))</f>
        <v/>
      </c>
    </row>
    <row r="1364">
      <c r="A1364">
        <f>IFERROR(--SUBSTITUTE(SUBSTITUTE(TRIM(INDEX(INDIRECT("'Выгрузка'!A1364:Z1364"),Настройки!$B$7)),",","."),".",MID(1/2,2,1)),"")</f>
        <v/>
      </c>
      <c r="B1364">
        <f>IFERROR(--SUBSTITUTE(SUBSTITUTE(TRIM(INDEX(INDIRECT("'Выгрузка'!A1364:Z1364"),Настройки!$B$9)),",","."),".",MID(1/2,2,1)),"")</f>
        <v/>
      </c>
      <c r="C1364">
        <f>TRIM(INDEX(INDIRECT("'Выгрузка'!A1364:Z1364"),Настройки!$B$8)&amp;"")</f>
        <v/>
      </c>
      <c r="D1364">
        <f>IFERROR(--SUBSTITUTE(SUBSTITUTE(TRIM(INDEX(INDIRECT("'Выгрузка'!A1364:Z1364"),Настройки!$B$10)),",","."),".",MID(1/2,2,1)),"")</f>
        <v/>
      </c>
      <c r="E1364">
        <f>IFERROR(--SUBSTITUTE(SUBSTITUTE(TRIM(INDEX(INDIRECT("'Выгрузка'!A1364:Z1364"),Настройки!$B$11)),",","."),".",MID(1/2,2,1)),"")</f>
        <v/>
      </c>
      <c r="F1364">
        <f>TRIM(INDEX(INDIRECT("'Выгрузка'!A1364:Z1364"),Настройки!$B$12)&amp;"")</f>
        <v/>
      </c>
      <c r="G1364">
        <f>IF(F1364="",0,IF(TRIM(INDEX(INDIRECT("'Выгрузка'!A1364:Z1364"),Настройки!$B$13)&amp;"")="",1,IFERROR(--SUBSTITUTE(SUBSTITUTE(TRIM(INDEX(INDIRECT("'Выгрузка'!A1364:Z1364"),Настройки!$B$13)),",","."),".",MID(1/2,2,1)),"")))</f>
        <v/>
      </c>
      <c r="H1364">
        <f>IF(F1364="",0,IF(COUNTIF(Настройки!$B$17:$B$26,F1364)&gt;0,1,IF(COUNTIF(Настройки!$C$17:$C$26,F1364)&gt;0,2,IF(COUNTIF(Настройки!$D$17:$D$26,F1364)&gt;0,3,0))))</f>
        <v/>
      </c>
      <c r="I1364">
        <f>IF(AND(ISNUMBER(A1364),ISNUMBER(B1364)),A1364*1000+B1364,"")</f>
        <v/>
      </c>
      <c r="J1364">
        <f>IF(I1364="","",IF(COUNTIF(I$2:I1364,I1364)=1,MAX(J$1:J1363)+1,""))</f>
        <v/>
      </c>
    </row>
    <row r="1365">
      <c r="A1365">
        <f>IFERROR(--SUBSTITUTE(SUBSTITUTE(TRIM(INDEX(INDIRECT("'Выгрузка'!A1365:Z1365"),Настройки!$B$7)),",","."),".",MID(1/2,2,1)),"")</f>
        <v/>
      </c>
      <c r="B1365">
        <f>IFERROR(--SUBSTITUTE(SUBSTITUTE(TRIM(INDEX(INDIRECT("'Выгрузка'!A1365:Z1365"),Настройки!$B$9)),",","."),".",MID(1/2,2,1)),"")</f>
        <v/>
      </c>
      <c r="C1365">
        <f>TRIM(INDEX(INDIRECT("'Выгрузка'!A1365:Z1365"),Настройки!$B$8)&amp;"")</f>
        <v/>
      </c>
      <c r="D1365">
        <f>IFERROR(--SUBSTITUTE(SUBSTITUTE(TRIM(INDEX(INDIRECT("'Выгрузка'!A1365:Z1365"),Настройки!$B$10)),",","."),".",MID(1/2,2,1)),"")</f>
        <v/>
      </c>
      <c r="E1365">
        <f>IFERROR(--SUBSTITUTE(SUBSTITUTE(TRIM(INDEX(INDIRECT("'Выгрузка'!A1365:Z1365"),Настройки!$B$11)),",","."),".",MID(1/2,2,1)),"")</f>
        <v/>
      </c>
      <c r="F1365">
        <f>TRIM(INDEX(INDIRECT("'Выгрузка'!A1365:Z1365"),Настройки!$B$12)&amp;"")</f>
        <v/>
      </c>
      <c r="G1365">
        <f>IF(F1365="",0,IF(TRIM(INDEX(INDIRECT("'Выгрузка'!A1365:Z1365"),Настройки!$B$13)&amp;"")="",1,IFERROR(--SUBSTITUTE(SUBSTITUTE(TRIM(INDEX(INDIRECT("'Выгрузка'!A1365:Z1365"),Настройки!$B$13)),",","."),".",MID(1/2,2,1)),"")))</f>
        <v/>
      </c>
      <c r="H1365">
        <f>IF(F1365="",0,IF(COUNTIF(Настройки!$B$17:$B$26,F1365)&gt;0,1,IF(COUNTIF(Настройки!$C$17:$C$26,F1365)&gt;0,2,IF(COUNTIF(Настройки!$D$17:$D$26,F1365)&gt;0,3,0))))</f>
        <v/>
      </c>
      <c r="I1365">
        <f>IF(AND(ISNUMBER(A1365),ISNUMBER(B1365)),A1365*1000+B1365,"")</f>
        <v/>
      </c>
      <c r="J1365">
        <f>IF(I1365="","",IF(COUNTIF(I$2:I1365,I1365)=1,MAX(J$1:J1364)+1,""))</f>
        <v/>
      </c>
    </row>
    <row r="1366">
      <c r="A1366">
        <f>IFERROR(--SUBSTITUTE(SUBSTITUTE(TRIM(INDEX(INDIRECT("'Выгрузка'!A1366:Z1366"),Настройки!$B$7)),",","."),".",MID(1/2,2,1)),"")</f>
        <v/>
      </c>
      <c r="B1366">
        <f>IFERROR(--SUBSTITUTE(SUBSTITUTE(TRIM(INDEX(INDIRECT("'Выгрузка'!A1366:Z1366"),Настройки!$B$9)),",","."),".",MID(1/2,2,1)),"")</f>
        <v/>
      </c>
      <c r="C1366">
        <f>TRIM(INDEX(INDIRECT("'Выгрузка'!A1366:Z1366"),Настройки!$B$8)&amp;"")</f>
        <v/>
      </c>
      <c r="D1366">
        <f>IFERROR(--SUBSTITUTE(SUBSTITUTE(TRIM(INDEX(INDIRECT("'Выгрузка'!A1366:Z1366"),Настройки!$B$10)),",","."),".",MID(1/2,2,1)),"")</f>
        <v/>
      </c>
      <c r="E1366">
        <f>IFERROR(--SUBSTITUTE(SUBSTITUTE(TRIM(INDEX(INDIRECT("'Выгрузка'!A1366:Z1366"),Настройки!$B$11)),",","."),".",MID(1/2,2,1)),"")</f>
        <v/>
      </c>
      <c r="F1366">
        <f>TRIM(INDEX(INDIRECT("'Выгрузка'!A1366:Z1366"),Настройки!$B$12)&amp;"")</f>
        <v/>
      </c>
      <c r="G1366">
        <f>IF(F1366="",0,IF(TRIM(INDEX(INDIRECT("'Выгрузка'!A1366:Z1366"),Настройки!$B$13)&amp;"")="",1,IFERROR(--SUBSTITUTE(SUBSTITUTE(TRIM(INDEX(INDIRECT("'Выгрузка'!A1366:Z1366"),Настройки!$B$13)),",","."),".",MID(1/2,2,1)),"")))</f>
        <v/>
      </c>
      <c r="H1366">
        <f>IF(F1366="",0,IF(COUNTIF(Настройки!$B$17:$B$26,F1366)&gt;0,1,IF(COUNTIF(Настройки!$C$17:$C$26,F1366)&gt;0,2,IF(COUNTIF(Настройки!$D$17:$D$26,F1366)&gt;0,3,0))))</f>
        <v/>
      </c>
      <c r="I1366">
        <f>IF(AND(ISNUMBER(A1366),ISNUMBER(B1366)),A1366*1000+B1366,"")</f>
        <v/>
      </c>
      <c r="J1366">
        <f>IF(I1366="","",IF(COUNTIF(I$2:I1366,I1366)=1,MAX(J$1:J1365)+1,""))</f>
        <v/>
      </c>
    </row>
    <row r="1367">
      <c r="A1367">
        <f>IFERROR(--SUBSTITUTE(SUBSTITUTE(TRIM(INDEX(INDIRECT("'Выгрузка'!A1367:Z1367"),Настройки!$B$7)),",","."),".",MID(1/2,2,1)),"")</f>
        <v/>
      </c>
      <c r="B1367">
        <f>IFERROR(--SUBSTITUTE(SUBSTITUTE(TRIM(INDEX(INDIRECT("'Выгрузка'!A1367:Z1367"),Настройки!$B$9)),",","."),".",MID(1/2,2,1)),"")</f>
        <v/>
      </c>
      <c r="C1367">
        <f>TRIM(INDEX(INDIRECT("'Выгрузка'!A1367:Z1367"),Настройки!$B$8)&amp;"")</f>
        <v/>
      </c>
      <c r="D1367">
        <f>IFERROR(--SUBSTITUTE(SUBSTITUTE(TRIM(INDEX(INDIRECT("'Выгрузка'!A1367:Z1367"),Настройки!$B$10)),",","."),".",MID(1/2,2,1)),"")</f>
        <v/>
      </c>
      <c r="E1367">
        <f>IFERROR(--SUBSTITUTE(SUBSTITUTE(TRIM(INDEX(INDIRECT("'Выгрузка'!A1367:Z1367"),Настройки!$B$11)),",","."),".",MID(1/2,2,1)),"")</f>
        <v/>
      </c>
      <c r="F1367">
        <f>TRIM(INDEX(INDIRECT("'Выгрузка'!A1367:Z1367"),Настройки!$B$12)&amp;"")</f>
        <v/>
      </c>
      <c r="G1367">
        <f>IF(F1367="",0,IF(TRIM(INDEX(INDIRECT("'Выгрузка'!A1367:Z1367"),Настройки!$B$13)&amp;"")="",1,IFERROR(--SUBSTITUTE(SUBSTITUTE(TRIM(INDEX(INDIRECT("'Выгрузка'!A1367:Z1367"),Настройки!$B$13)),",","."),".",MID(1/2,2,1)),"")))</f>
        <v/>
      </c>
      <c r="H1367">
        <f>IF(F1367="",0,IF(COUNTIF(Настройки!$B$17:$B$26,F1367)&gt;0,1,IF(COUNTIF(Настройки!$C$17:$C$26,F1367)&gt;0,2,IF(COUNTIF(Настройки!$D$17:$D$26,F1367)&gt;0,3,0))))</f>
        <v/>
      </c>
      <c r="I1367">
        <f>IF(AND(ISNUMBER(A1367),ISNUMBER(B1367)),A1367*1000+B1367,"")</f>
        <v/>
      </c>
      <c r="J1367">
        <f>IF(I1367="","",IF(COUNTIF(I$2:I1367,I1367)=1,MAX(J$1:J1366)+1,""))</f>
        <v/>
      </c>
    </row>
    <row r="1368">
      <c r="A1368">
        <f>IFERROR(--SUBSTITUTE(SUBSTITUTE(TRIM(INDEX(INDIRECT("'Выгрузка'!A1368:Z1368"),Настройки!$B$7)),",","."),".",MID(1/2,2,1)),"")</f>
        <v/>
      </c>
      <c r="B1368">
        <f>IFERROR(--SUBSTITUTE(SUBSTITUTE(TRIM(INDEX(INDIRECT("'Выгрузка'!A1368:Z1368"),Настройки!$B$9)),",","."),".",MID(1/2,2,1)),"")</f>
        <v/>
      </c>
      <c r="C1368">
        <f>TRIM(INDEX(INDIRECT("'Выгрузка'!A1368:Z1368"),Настройки!$B$8)&amp;"")</f>
        <v/>
      </c>
      <c r="D1368">
        <f>IFERROR(--SUBSTITUTE(SUBSTITUTE(TRIM(INDEX(INDIRECT("'Выгрузка'!A1368:Z1368"),Настройки!$B$10)),",","."),".",MID(1/2,2,1)),"")</f>
        <v/>
      </c>
      <c r="E1368">
        <f>IFERROR(--SUBSTITUTE(SUBSTITUTE(TRIM(INDEX(INDIRECT("'Выгрузка'!A1368:Z1368"),Настройки!$B$11)),",","."),".",MID(1/2,2,1)),"")</f>
        <v/>
      </c>
      <c r="F1368">
        <f>TRIM(INDEX(INDIRECT("'Выгрузка'!A1368:Z1368"),Настройки!$B$12)&amp;"")</f>
        <v/>
      </c>
      <c r="G1368">
        <f>IF(F1368="",0,IF(TRIM(INDEX(INDIRECT("'Выгрузка'!A1368:Z1368"),Настройки!$B$13)&amp;"")="",1,IFERROR(--SUBSTITUTE(SUBSTITUTE(TRIM(INDEX(INDIRECT("'Выгрузка'!A1368:Z1368"),Настройки!$B$13)),",","."),".",MID(1/2,2,1)),"")))</f>
        <v/>
      </c>
      <c r="H1368">
        <f>IF(F1368="",0,IF(COUNTIF(Настройки!$B$17:$B$26,F1368)&gt;0,1,IF(COUNTIF(Настройки!$C$17:$C$26,F1368)&gt;0,2,IF(COUNTIF(Настройки!$D$17:$D$26,F1368)&gt;0,3,0))))</f>
        <v/>
      </c>
      <c r="I1368">
        <f>IF(AND(ISNUMBER(A1368),ISNUMBER(B1368)),A1368*1000+B1368,"")</f>
        <v/>
      </c>
      <c r="J1368">
        <f>IF(I1368="","",IF(COUNTIF(I$2:I1368,I1368)=1,MAX(J$1:J1367)+1,""))</f>
        <v/>
      </c>
    </row>
    <row r="1369">
      <c r="A1369">
        <f>IFERROR(--SUBSTITUTE(SUBSTITUTE(TRIM(INDEX(INDIRECT("'Выгрузка'!A1369:Z1369"),Настройки!$B$7)),",","."),".",MID(1/2,2,1)),"")</f>
        <v/>
      </c>
      <c r="B1369">
        <f>IFERROR(--SUBSTITUTE(SUBSTITUTE(TRIM(INDEX(INDIRECT("'Выгрузка'!A1369:Z1369"),Настройки!$B$9)),",","."),".",MID(1/2,2,1)),"")</f>
        <v/>
      </c>
      <c r="C1369">
        <f>TRIM(INDEX(INDIRECT("'Выгрузка'!A1369:Z1369"),Настройки!$B$8)&amp;"")</f>
        <v/>
      </c>
      <c r="D1369">
        <f>IFERROR(--SUBSTITUTE(SUBSTITUTE(TRIM(INDEX(INDIRECT("'Выгрузка'!A1369:Z1369"),Настройки!$B$10)),",","."),".",MID(1/2,2,1)),"")</f>
        <v/>
      </c>
      <c r="E1369">
        <f>IFERROR(--SUBSTITUTE(SUBSTITUTE(TRIM(INDEX(INDIRECT("'Выгрузка'!A1369:Z1369"),Настройки!$B$11)),",","."),".",MID(1/2,2,1)),"")</f>
        <v/>
      </c>
      <c r="F1369">
        <f>TRIM(INDEX(INDIRECT("'Выгрузка'!A1369:Z1369"),Настройки!$B$12)&amp;"")</f>
        <v/>
      </c>
      <c r="G1369">
        <f>IF(F1369="",0,IF(TRIM(INDEX(INDIRECT("'Выгрузка'!A1369:Z1369"),Настройки!$B$13)&amp;"")="",1,IFERROR(--SUBSTITUTE(SUBSTITUTE(TRIM(INDEX(INDIRECT("'Выгрузка'!A1369:Z1369"),Настройки!$B$13)),",","."),".",MID(1/2,2,1)),"")))</f>
        <v/>
      </c>
      <c r="H1369">
        <f>IF(F1369="",0,IF(COUNTIF(Настройки!$B$17:$B$26,F1369)&gt;0,1,IF(COUNTIF(Настройки!$C$17:$C$26,F1369)&gt;0,2,IF(COUNTIF(Настройки!$D$17:$D$26,F1369)&gt;0,3,0))))</f>
        <v/>
      </c>
      <c r="I1369">
        <f>IF(AND(ISNUMBER(A1369),ISNUMBER(B1369)),A1369*1000+B1369,"")</f>
        <v/>
      </c>
      <c r="J1369">
        <f>IF(I1369="","",IF(COUNTIF(I$2:I1369,I1369)=1,MAX(J$1:J1368)+1,""))</f>
        <v/>
      </c>
    </row>
    <row r="1370">
      <c r="A1370">
        <f>IFERROR(--SUBSTITUTE(SUBSTITUTE(TRIM(INDEX(INDIRECT("'Выгрузка'!A1370:Z1370"),Настройки!$B$7)),",","."),".",MID(1/2,2,1)),"")</f>
        <v/>
      </c>
      <c r="B1370">
        <f>IFERROR(--SUBSTITUTE(SUBSTITUTE(TRIM(INDEX(INDIRECT("'Выгрузка'!A1370:Z1370"),Настройки!$B$9)),",","."),".",MID(1/2,2,1)),"")</f>
        <v/>
      </c>
      <c r="C1370">
        <f>TRIM(INDEX(INDIRECT("'Выгрузка'!A1370:Z1370"),Настройки!$B$8)&amp;"")</f>
        <v/>
      </c>
      <c r="D1370">
        <f>IFERROR(--SUBSTITUTE(SUBSTITUTE(TRIM(INDEX(INDIRECT("'Выгрузка'!A1370:Z1370"),Настройки!$B$10)),",","."),".",MID(1/2,2,1)),"")</f>
        <v/>
      </c>
      <c r="E1370">
        <f>IFERROR(--SUBSTITUTE(SUBSTITUTE(TRIM(INDEX(INDIRECT("'Выгрузка'!A1370:Z1370"),Настройки!$B$11)),",","."),".",MID(1/2,2,1)),"")</f>
        <v/>
      </c>
      <c r="F1370">
        <f>TRIM(INDEX(INDIRECT("'Выгрузка'!A1370:Z1370"),Настройки!$B$12)&amp;"")</f>
        <v/>
      </c>
      <c r="G1370">
        <f>IF(F1370="",0,IF(TRIM(INDEX(INDIRECT("'Выгрузка'!A1370:Z1370"),Настройки!$B$13)&amp;"")="",1,IFERROR(--SUBSTITUTE(SUBSTITUTE(TRIM(INDEX(INDIRECT("'Выгрузка'!A1370:Z1370"),Настройки!$B$13)),",","."),".",MID(1/2,2,1)),"")))</f>
        <v/>
      </c>
      <c r="H1370">
        <f>IF(F1370="",0,IF(COUNTIF(Настройки!$B$17:$B$26,F1370)&gt;0,1,IF(COUNTIF(Настройки!$C$17:$C$26,F1370)&gt;0,2,IF(COUNTIF(Настройки!$D$17:$D$26,F1370)&gt;0,3,0))))</f>
        <v/>
      </c>
      <c r="I1370">
        <f>IF(AND(ISNUMBER(A1370),ISNUMBER(B1370)),A1370*1000+B1370,"")</f>
        <v/>
      </c>
      <c r="J1370">
        <f>IF(I1370="","",IF(COUNTIF(I$2:I1370,I1370)=1,MAX(J$1:J1369)+1,""))</f>
        <v/>
      </c>
    </row>
    <row r="1371">
      <c r="A1371">
        <f>IFERROR(--SUBSTITUTE(SUBSTITUTE(TRIM(INDEX(INDIRECT("'Выгрузка'!A1371:Z1371"),Настройки!$B$7)),",","."),".",MID(1/2,2,1)),"")</f>
        <v/>
      </c>
      <c r="B1371">
        <f>IFERROR(--SUBSTITUTE(SUBSTITUTE(TRIM(INDEX(INDIRECT("'Выгрузка'!A1371:Z1371"),Настройки!$B$9)),",","."),".",MID(1/2,2,1)),"")</f>
        <v/>
      </c>
      <c r="C1371">
        <f>TRIM(INDEX(INDIRECT("'Выгрузка'!A1371:Z1371"),Настройки!$B$8)&amp;"")</f>
        <v/>
      </c>
      <c r="D1371">
        <f>IFERROR(--SUBSTITUTE(SUBSTITUTE(TRIM(INDEX(INDIRECT("'Выгрузка'!A1371:Z1371"),Настройки!$B$10)),",","."),".",MID(1/2,2,1)),"")</f>
        <v/>
      </c>
      <c r="E1371">
        <f>IFERROR(--SUBSTITUTE(SUBSTITUTE(TRIM(INDEX(INDIRECT("'Выгрузка'!A1371:Z1371"),Настройки!$B$11)),",","."),".",MID(1/2,2,1)),"")</f>
        <v/>
      </c>
      <c r="F1371">
        <f>TRIM(INDEX(INDIRECT("'Выгрузка'!A1371:Z1371"),Настройки!$B$12)&amp;"")</f>
        <v/>
      </c>
      <c r="G1371">
        <f>IF(F1371="",0,IF(TRIM(INDEX(INDIRECT("'Выгрузка'!A1371:Z1371"),Настройки!$B$13)&amp;"")="",1,IFERROR(--SUBSTITUTE(SUBSTITUTE(TRIM(INDEX(INDIRECT("'Выгрузка'!A1371:Z1371"),Настройки!$B$13)),",","."),".",MID(1/2,2,1)),"")))</f>
        <v/>
      </c>
      <c r="H1371">
        <f>IF(F1371="",0,IF(COUNTIF(Настройки!$B$17:$B$26,F1371)&gt;0,1,IF(COUNTIF(Настройки!$C$17:$C$26,F1371)&gt;0,2,IF(COUNTIF(Настройки!$D$17:$D$26,F1371)&gt;0,3,0))))</f>
        <v/>
      </c>
      <c r="I1371">
        <f>IF(AND(ISNUMBER(A1371),ISNUMBER(B1371)),A1371*1000+B1371,"")</f>
        <v/>
      </c>
      <c r="J1371">
        <f>IF(I1371="","",IF(COUNTIF(I$2:I1371,I1371)=1,MAX(J$1:J1370)+1,""))</f>
        <v/>
      </c>
    </row>
    <row r="1372">
      <c r="A1372">
        <f>IFERROR(--SUBSTITUTE(SUBSTITUTE(TRIM(INDEX(INDIRECT("'Выгрузка'!A1372:Z1372"),Настройки!$B$7)),",","."),".",MID(1/2,2,1)),"")</f>
        <v/>
      </c>
      <c r="B1372">
        <f>IFERROR(--SUBSTITUTE(SUBSTITUTE(TRIM(INDEX(INDIRECT("'Выгрузка'!A1372:Z1372"),Настройки!$B$9)),",","."),".",MID(1/2,2,1)),"")</f>
        <v/>
      </c>
      <c r="C1372">
        <f>TRIM(INDEX(INDIRECT("'Выгрузка'!A1372:Z1372"),Настройки!$B$8)&amp;"")</f>
        <v/>
      </c>
      <c r="D1372">
        <f>IFERROR(--SUBSTITUTE(SUBSTITUTE(TRIM(INDEX(INDIRECT("'Выгрузка'!A1372:Z1372"),Настройки!$B$10)),",","."),".",MID(1/2,2,1)),"")</f>
        <v/>
      </c>
      <c r="E1372">
        <f>IFERROR(--SUBSTITUTE(SUBSTITUTE(TRIM(INDEX(INDIRECT("'Выгрузка'!A1372:Z1372"),Настройки!$B$11)),",","."),".",MID(1/2,2,1)),"")</f>
        <v/>
      </c>
      <c r="F1372">
        <f>TRIM(INDEX(INDIRECT("'Выгрузка'!A1372:Z1372"),Настройки!$B$12)&amp;"")</f>
        <v/>
      </c>
      <c r="G1372">
        <f>IF(F1372="",0,IF(TRIM(INDEX(INDIRECT("'Выгрузка'!A1372:Z1372"),Настройки!$B$13)&amp;"")="",1,IFERROR(--SUBSTITUTE(SUBSTITUTE(TRIM(INDEX(INDIRECT("'Выгрузка'!A1372:Z1372"),Настройки!$B$13)),",","."),".",MID(1/2,2,1)),"")))</f>
        <v/>
      </c>
      <c r="H1372">
        <f>IF(F1372="",0,IF(COUNTIF(Настройки!$B$17:$B$26,F1372)&gt;0,1,IF(COUNTIF(Настройки!$C$17:$C$26,F1372)&gt;0,2,IF(COUNTIF(Настройки!$D$17:$D$26,F1372)&gt;0,3,0))))</f>
        <v/>
      </c>
      <c r="I1372">
        <f>IF(AND(ISNUMBER(A1372),ISNUMBER(B1372)),A1372*1000+B1372,"")</f>
        <v/>
      </c>
      <c r="J1372">
        <f>IF(I1372="","",IF(COUNTIF(I$2:I1372,I1372)=1,MAX(J$1:J1371)+1,""))</f>
        <v/>
      </c>
    </row>
    <row r="1373">
      <c r="A1373">
        <f>IFERROR(--SUBSTITUTE(SUBSTITUTE(TRIM(INDEX(INDIRECT("'Выгрузка'!A1373:Z1373"),Настройки!$B$7)),",","."),".",MID(1/2,2,1)),"")</f>
        <v/>
      </c>
      <c r="B1373">
        <f>IFERROR(--SUBSTITUTE(SUBSTITUTE(TRIM(INDEX(INDIRECT("'Выгрузка'!A1373:Z1373"),Настройки!$B$9)),",","."),".",MID(1/2,2,1)),"")</f>
        <v/>
      </c>
      <c r="C1373">
        <f>TRIM(INDEX(INDIRECT("'Выгрузка'!A1373:Z1373"),Настройки!$B$8)&amp;"")</f>
        <v/>
      </c>
      <c r="D1373">
        <f>IFERROR(--SUBSTITUTE(SUBSTITUTE(TRIM(INDEX(INDIRECT("'Выгрузка'!A1373:Z1373"),Настройки!$B$10)),",","."),".",MID(1/2,2,1)),"")</f>
        <v/>
      </c>
      <c r="E1373">
        <f>IFERROR(--SUBSTITUTE(SUBSTITUTE(TRIM(INDEX(INDIRECT("'Выгрузка'!A1373:Z1373"),Настройки!$B$11)),",","."),".",MID(1/2,2,1)),"")</f>
        <v/>
      </c>
      <c r="F1373">
        <f>TRIM(INDEX(INDIRECT("'Выгрузка'!A1373:Z1373"),Настройки!$B$12)&amp;"")</f>
        <v/>
      </c>
      <c r="G1373">
        <f>IF(F1373="",0,IF(TRIM(INDEX(INDIRECT("'Выгрузка'!A1373:Z1373"),Настройки!$B$13)&amp;"")="",1,IFERROR(--SUBSTITUTE(SUBSTITUTE(TRIM(INDEX(INDIRECT("'Выгрузка'!A1373:Z1373"),Настройки!$B$13)),",","."),".",MID(1/2,2,1)),"")))</f>
        <v/>
      </c>
      <c r="H1373">
        <f>IF(F1373="",0,IF(COUNTIF(Настройки!$B$17:$B$26,F1373)&gt;0,1,IF(COUNTIF(Настройки!$C$17:$C$26,F1373)&gt;0,2,IF(COUNTIF(Настройки!$D$17:$D$26,F1373)&gt;0,3,0))))</f>
        <v/>
      </c>
      <c r="I1373">
        <f>IF(AND(ISNUMBER(A1373),ISNUMBER(B1373)),A1373*1000+B1373,"")</f>
        <v/>
      </c>
      <c r="J1373">
        <f>IF(I1373="","",IF(COUNTIF(I$2:I1373,I1373)=1,MAX(J$1:J1372)+1,""))</f>
        <v/>
      </c>
    </row>
    <row r="1374">
      <c r="A1374">
        <f>IFERROR(--SUBSTITUTE(SUBSTITUTE(TRIM(INDEX(INDIRECT("'Выгрузка'!A1374:Z1374"),Настройки!$B$7)),",","."),".",MID(1/2,2,1)),"")</f>
        <v/>
      </c>
      <c r="B1374">
        <f>IFERROR(--SUBSTITUTE(SUBSTITUTE(TRIM(INDEX(INDIRECT("'Выгрузка'!A1374:Z1374"),Настройки!$B$9)),",","."),".",MID(1/2,2,1)),"")</f>
        <v/>
      </c>
      <c r="C1374">
        <f>TRIM(INDEX(INDIRECT("'Выгрузка'!A1374:Z1374"),Настройки!$B$8)&amp;"")</f>
        <v/>
      </c>
      <c r="D1374">
        <f>IFERROR(--SUBSTITUTE(SUBSTITUTE(TRIM(INDEX(INDIRECT("'Выгрузка'!A1374:Z1374"),Настройки!$B$10)),",","."),".",MID(1/2,2,1)),"")</f>
        <v/>
      </c>
      <c r="E1374">
        <f>IFERROR(--SUBSTITUTE(SUBSTITUTE(TRIM(INDEX(INDIRECT("'Выгрузка'!A1374:Z1374"),Настройки!$B$11)),",","."),".",MID(1/2,2,1)),"")</f>
        <v/>
      </c>
      <c r="F1374">
        <f>TRIM(INDEX(INDIRECT("'Выгрузка'!A1374:Z1374"),Настройки!$B$12)&amp;"")</f>
        <v/>
      </c>
      <c r="G1374">
        <f>IF(F1374="",0,IF(TRIM(INDEX(INDIRECT("'Выгрузка'!A1374:Z1374"),Настройки!$B$13)&amp;"")="",1,IFERROR(--SUBSTITUTE(SUBSTITUTE(TRIM(INDEX(INDIRECT("'Выгрузка'!A1374:Z1374"),Настройки!$B$13)),",","."),".",MID(1/2,2,1)),"")))</f>
        <v/>
      </c>
      <c r="H1374">
        <f>IF(F1374="",0,IF(COUNTIF(Настройки!$B$17:$B$26,F1374)&gt;0,1,IF(COUNTIF(Настройки!$C$17:$C$26,F1374)&gt;0,2,IF(COUNTIF(Настройки!$D$17:$D$26,F1374)&gt;0,3,0))))</f>
        <v/>
      </c>
      <c r="I1374">
        <f>IF(AND(ISNUMBER(A1374),ISNUMBER(B1374)),A1374*1000+B1374,"")</f>
        <v/>
      </c>
      <c r="J1374">
        <f>IF(I1374="","",IF(COUNTIF(I$2:I1374,I1374)=1,MAX(J$1:J1373)+1,""))</f>
        <v/>
      </c>
    </row>
    <row r="1375">
      <c r="A1375">
        <f>IFERROR(--SUBSTITUTE(SUBSTITUTE(TRIM(INDEX(INDIRECT("'Выгрузка'!A1375:Z1375"),Настройки!$B$7)),",","."),".",MID(1/2,2,1)),"")</f>
        <v/>
      </c>
      <c r="B1375">
        <f>IFERROR(--SUBSTITUTE(SUBSTITUTE(TRIM(INDEX(INDIRECT("'Выгрузка'!A1375:Z1375"),Настройки!$B$9)),",","."),".",MID(1/2,2,1)),"")</f>
        <v/>
      </c>
      <c r="C1375">
        <f>TRIM(INDEX(INDIRECT("'Выгрузка'!A1375:Z1375"),Настройки!$B$8)&amp;"")</f>
        <v/>
      </c>
      <c r="D1375">
        <f>IFERROR(--SUBSTITUTE(SUBSTITUTE(TRIM(INDEX(INDIRECT("'Выгрузка'!A1375:Z1375"),Настройки!$B$10)),",","."),".",MID(1/2,2,1)),"")</f>
        <v/>
      </c>
      <c r="E1375">
        <f>IFERROR(--SUBSTITUTE(SUBSTITUTE(TRIM(INDEX(INDIRECT("'Выгрузка'!A1375:Z1375"),Настройки!$B$11)),",","."),".",MID(1/2,2,1)),"")</f>
        <v/>
      </c>
      <c r="F1375">
        <f>TRIM(INDEX(INDIRECT("'Выгрузка'!A1375:Z1375"),Настройки!$B$12)&amp;"")</f>
        <v/>
      </c>
      <c r="G1375">
        <f>IF(F1375="",0,IF(TRIM(INDEX(INDIRECT("'Выгрузка'!A1375:Z1375"),Настройки!$B$13)&amp;"")="",1,IFERROR(--SUBSTITUTE(SUBSTITUTE(TRIM(INDEX(INDIRECT("'Выгрузка'!A1375:Z1375"),Настройки!$B$13)),",","."),".",MID(1/2,2,1)),"")))</f>
        <v/>
      </c>
      <c r="H1375">
        <f>IF(F1375="",0,IF(COUNTIF(Настройки!$B$17:$B$26,F1375)&gt;0,1,IF(COUNTIF(Настройки!$C$17:$C$26,F1375)&gt;0,2,IF(COUNTIF(Настройки!$D$17:$D$26,F1375)&gt;0,3,0))))</f>
        <v/>
      </c>
      <c r="I1375">
        <f>IF(AND(ISNUMBER(A1375),ISNUMBER(B1375)),A1375*1000+B1375,"")</f>
        <v/>
      </c>
      <c r="J1375">
        <f>IF(I1375="","",IF(COUNTIF(I$2:I1375,I1375)=1,MAX(J$1:J1374)+1,""))</f>
        <v/>
      </c>
    </row>
    <row r="1376">
      <c r="A1376">
        <f>IFERROR(--SUBSTITUTE(SUBSTITUTE(TRIM(INDEX(INDIRECT("'Выгрузка'!A1376:Z1376"),Настройки!$B$7)),",","."),".",MID(1/2,2,1)),"")</f>
        <v/>
      </c>
      <c r="B1376">
        <f>IFERROR(--SUBSTITUTE(SUBSTITUTE(TRIM(INDEX(INDIRECT("'Выгрузка'!A1376:Z1376"),Настройки!$B$9)),",","."),".",MID(1/2,2,1)),"")</f>
        <v/>
      </c>
      <c r="C1376">
        <f>TRIM(INDEX(INDIRECT("'Выгрузка'!A1376:Z1376"),Настройки!$B$8)&amp;"")</f>
        <v/>
      </c>
      <c r="D1376">
        <f>IFERROR(--SUBSTITUTE(SUBSTITUTE(TRIM(INDEX(INDIRECT("'Выгрузка'!A1376:Z1376"),Настройки!$B$10)),",","."),".",MID(1/2,2,1)),"")</f>
        <v/>
      </c>
      <c r="E1376">
        <f>IFERROR(--SUBSTITUTE(SUBSTITUTE(TRIM(INDEX(INDIRECT("'Выгрузка'!A1376:Z1376"),Настройки!$B$11)),",","."),".",MID(1/2,2,1)),"")</f>
        <v/>
      </c>
      <c r="F1376">
        <f>TRIM(INDEX(INDIRECT("'Выгрузка'!A1376:Z1376"),Настройки!$B$12)&amp;"")</f>
        <v/>
      </c>
      <c r="G1376">
        <f>IF(F1376="",0,IF(TRIM(INDEX(INDIRECT("'Выгрузка'!A1376:Z1376"),Настройки!$B$13)&amp;"")="",1,IFERROR(--SUBSTITUTE(SUBSTITUTE(TRIM(INDEX(INDIRECT("'Выгрузка'!A1376:Z1376"),Настройки!$B$13)),",","."),".",MID(1/2,2,1)),"")))</f>
        <v/>
      </c>
      <c r="H1376">
        <f>IF(F1376="",0,IF(COUNTIF(Настройки!$B$17:$B$26,F1376)&gt;0,1,IF(COUNTIF(Настройки!$C$17:$C$26,F1376)&gt;0,2,IF(COUNTIF(Настройки!$D$17:$D$26,F1376)&gt;0,3,0))))</f>
        <v/>
      </c>
      <c r="I1376">
        <f>IF(AND(ISNUMBER(A1376),ISNUMBER(B1376)),A1376*1000+B1376,"")</f>
        <v/>
      </c>
      <c r="J1376">
        <f>IF(I1376="","",IF(COUNTIF(I$2:I1376,I1376)=1,MAX(J$1:J1375)+1,""))</f>
        <v/>
      </c>
    </row>
    <row r="1377">
      <c r="A1377">
        <f>IFERROR(--SUBSTITUTE(SUBSTITUTE(TRIM(INDEX(INDIRECT("'Выгрузка'!A1377:Z1377"),Настройки!$B$7)),",","."),".",MID(1/2,2,1)),"")</f>
        <v/>
      </c>
      <c r="B1377">
        <f>IFERROR(--SUBSTITUTE(SUBSTITUTE(TRIM(INDEX(INDIRECT("'Выгрузка'!A1377:Z1377"),Настройки!$B$9)),",","."),".",MID(1/2,2,1)),"")</f>
        <v/>
      </c>
      <c r="C1377">
        <f>TRIM(INDEX(INDIRECT("'Выгрузка'!A1377:Z1377"),Настройки!$B$8)&amp;"")</f>
        <v/>
      </c>
      <c r="D1377">
        <f>IFERROR(--SUBSTITUTE(SUBSTITUTE(TRIM(INDEX(INDIRECT("'Выгрузка'!A1377:Z1377"),Настройки!$B$10)),",","."),".",MID(1/2,2,1)),"")</f>
        <v/>
      </c>
      <c r="E1377">
        <f>IFERROR(--SUBSTITUTE(SUBSTITUTE(TRIM(INDEX(INDIRECT("'Выгрузка'!A1377:Z1377"),Настройки!$B$11)),",","."),".",MID(1/2,2,1)),"")</f>
        <v/>
      </c>
      <c r="F1377">
        <f>TRIM(INDEX(INDIRECT("'Выгрузка'!A1377:Z1377"),Настройки!$B$12)&amp;"")</f>
        <v/>
      </c>
      <c r="G1377">
        <f>IF(F1377="",0,IF(TRIM(INDEX(INDIRECT("'Выгрузка'!A1377:Z1377"),Настройки!$B$13)&amp;"")="",1,IFERROR(--SUBSTITUTE(SUBSTITUTE(TRIM(INDEX(INDIRECT("'Выгрузка'!A1377:Z1377"),Настройки!$B$13)),",","."),".",MID(1/2,2,1)),"")))</f>
        <v/>
      </c>
      <c r="H1377">
        <f>IF(F1377="",0,IF(COUNTIF(Настройки!$B$17:$B$26,F1377)&gt;0,1,IF(COUNTIF(Настройки!$C$17:$C$26,F1377)&gt;0,2,IF(COUNTIF(Настройки!$D$17:$D$26,F1377)&gt;0,3,0))))</f>
        <v/>
      </c>
      <c r="I1377">
        <f>IF(AND(ISNUMBER(A1377),ISNUMBER(B1377)),A1377*1000+B1377,"")</f>
        <v/>
      </c>
      <c r="J1377">
        <f>IF(I1377="","",IF(COUNTIF(I$2:I1377,I1377)=1,MAX(J$1:J1376)+1,""))</f>
        <v/>
      </c>
    </row>
    <row r="1378">
      <c r="A1378">
        <f>IFERROR(--SUBSTITUTE(SUBSTITUTE(TRIM(INDEX(INDIRECT("'Выгрузка'!A1378:Z1378"),Настройки!$B$7)),",","."),".",MID(1/2,2,1)),"")</f>
        <v/>
      </c>
      <c r="B1378">
        <f>IFERROR(--SUBSTITUTE(SUBSTITUTE(TRIM(INDEX(INDIRECT("'Выгрузка'!A1378:Z1378"),Настройки!$B$9)),",","."),".",MID(1/2,2,1)),"")</f>
        <v/>
      </c>
      <c r="C1378">
        <f>TRIM(INDEX(INDIRECT("'Выгрузка'!A1378:Z1378"),Настройки!$B$8)&amp;"")</f>
        <v/>
      </c>
      <c r="D1378">
        <f>IFERROR(--SUBSTITUTE(SUBSTITUTE(TRIM(INDEX(INDIRECT("'Выгрузка'!A1378:Z1378"),Настройки!$B$10)),",","."),".",MID(1/2,2,1)),"")</f>
        <v/>
      </c>
      <c r="E1378">
        <f>IFERROR(--SUBSTITUTE(SUBSTITUTE(TRIM(INDEX(INDIRECT("'Выгрузка'!A1378:Z1378"),Настройки!$B$11)),",","."),".",MID(1/2,2,1)),"")</f>
        <v/>
      </c>
      <c r="F1378">
        <f>TRIM(INDEX(INDIRECT("'Выгрузка'!A1378:Z1378"),Настройки!$B$12)&amp;"")</f>
        <v/>
      </c>
      <c r="G1378">
        <f>IF(F1378="",0,IF(TRIM(INDEX(INDIRECT("'Выгрузка'!A1378:Z1378"),Настройки!$B$13)&amp;"")="",1,IFERROR(--SUBSTITUTE(SUBSTITUTE(TRIM(INDEX(INDIRECT("'Выгрузка'!A1378:Z1378"),Настройки!$B$13)),",","."),".",MID(1/2,2,1)),"")))</f>
        <v/>
      </c>
      <c r="H1378">
        <f>IF(F1378="",0,IF(COUNTIF(Настройки!$B$17:$B$26,F1378)&gt;0,1,IF(COUNTIF(Настройки!$C$17:$C$26,F1378)&gt;0,2,IF(COUNTIF(Настройки!$D$17:$D$26,F1378)&gt;0,3,0))))</f>
        <v/>
      </c>
      <c r="I1378">
        <f>IF(AND(ISNUMBER(A1378),ISNUMBER(B1378)),A1378*1000+B1378,"")</f>
        <v/>
      </c>
      <c r="J1378">
        <f>IF(I1378="","",IF(COUNTIF(I$2:I1378,I1378)=1,MAX(J$1:J1377)+1,""))</f>
        <v/>
      </c>
    </row>
    <row r="1379">
      <c r="A1379">
        <f>IFERROR(--SUBSTITUTE(SUBSTITUTE(TRIM(INDEX(INDIRECT("'Выгрузка'!A1379:Z1379"),Настройки!$B$7)),",","."),".",MID(1/2,2,1)),"")</f>
        <v/>
      </c>
      <c r="B1379">
        <f>IFERROR(--SUBSTITUTE(SUBSTITUTE(TRIM(INDEX(INDIRECT("'Выгрузка'!A1379:Z1379"),Настройки!$B$9)),",","."),".",MID(1/2,2,1)),"")</f>
        <v/>
      </c>
      <c r="C1379">
        <f>TRIM(INDEX(INDIRECT("'Выгрузка'!A1379:Z1379"),Настройки!$B$8)&amp;"")</f>
        <v/>
      </c>
      <c r="D1379">
        <f>IFERROR(--SUBSTITUTE(SUBSTITUTE(TRIM(INDEX(INDIRECT("'Выгрузка'!A1379:Z1379"),Настройки!$B$10)),",","."),".",MID(1/2,2,1)),"")</f>
        <v/>
      </c>
      <c r="E1379">
        <f>IFERROR(--SUBSTITUTE(SUBSTITUTE(TRIM(INDEX(INDIRECT("'Выгрузка'!A1379:Z1379"),Настройки!$B$11)),",","."),".",MID(1/2,2,1)),"")</f>
        <v/>
      </c>
      <c r="F1379">
        <f>TRIM(INDEX(INDIRECT("'Выгрузка'!A1379:Z1379"),Настройки!$B$12)&amp;"")</f>
        <v/>
      </c>
      <c r="G1379">
        <f>IF(F1379="",0,IF(TRIM(INDEX(INDIRECT("'Выгрузка'!A1379:Z1379"),Настройки!$B$13)&amp;"")="",1,IFERROR(--SUBSTITUTE(SUBSTITUTE(TRIM(INDEX(INDIRECT("'Выгрузка'!A1379:Z1379"),Настройки!$B$13)),",","."),".",MID(1/2,2,1)),"")))</f>
        <v/>
      </c>
      <c r="H1379">
        <f>IF(F1379="",0,IF(COUNTIF(Настройки!$B$17:$B$26,F1379)&gt;0,1,IF(COUNTIF(Настройки!$C$17:$C$26,F1379)&gt;0,2,IF(COUNTIF(Настройки!$D$17:$D$26,F1379)&gt;0,3,0))))</f>
        <v/>
      </c>
      <c r="I1379">
        <f>IF(AND(ISNUMBER(A1379),ISNUMBER(B1379)),A1379*1000+B1379,"")</f>
        <v/>
      </c>
      <c r="J1379">
        <f>IF(I1379="","",IF(COUNTIF(I$2:I1379,I1379)=1,MAX(J$1:J1378)+1,""))</f>
        <v/>
      </c>
    </row>
    <row r="1380">
      <c r="A1380">
        <f>IFERROR(--SUBSTITUTE(SUBSTITUTE(TRIM(INDEX(INDIRECT("'Выгрузка'!A1380:Z1380"),Настройки!$B$7)),",","."),".",MID(1/2,2,1)),"")</f>
        <v/>
      </c>
      <c r="B1380">
        <f>IFERROR(--SUBSTITUTE(SUBSTITUTE(TRIM(INDEX(INDIRECT("'Выгрузка'!A1380:Z1380"),Настройки!$B$9)),",","."),".",MID(1/2,2,1)),"")</f>
        <v/>
      </c>
      <c r="C1380">
        <f>TRIM(INDEX(INDIRECT("'Выгрузка'!A1380:Z1380"),Настройки!$B$8)&amp;"")</f>
        <v/>
      </c>
      <c r="D1380">
        <f>IFERROR(--SUBSTITUTE(SUBSTITUTE(TRIM(INDEX(INDIRECT("'Выгрузка'!A1380:Z1380"),Настройки!$B$10)),",","."),".",MID(1/2,2,1)),"")</f>
        <v/>
      </c>
      <c r="E1380">
        <f>IFERROR(--SUBSTITUTE(SUBSTITUTE(TRIM(INDEX(INDIRECT("'Выгрузка'!A1380:Z1380"),Настройки!$B$11)),",","."),".",MID(1/2,2,1)),"")</f>
        <v/>
      </c>
      <c r="F1380">
        <f>TRIM(INDEX(INDIRECT("'Выгрузка'!A1380:Z1380"),Настройки!$B$12)&amp;"")</f>
        <v/>
      </c>
      <c r="G1380">
        <f>IF(F1380="",0,IF(TRIM(INDEX(INDIRECT("'Выгрузка'!A1380:Z1380"),Настройки!$B$13)&amp;"")="",1,IFERROR(--SUBSTITUTE(SUBSTITUTE(TRIM(INDEX(INDIRECT("'Выгрузка'!A1380:Z1380"),Настройки!$B$13)),",","."),".",MID(1/2,2,1)),"")))</f>
        <v/>
      </c>
      <c r="H1380">
        <f>IF(F1380="",0,IF(COUNTIF(Настройки!$B$17:$B$26,F1380)&gt;0,1,IF(COUNTIF(Настройки!$C$17:$C$26,F1380)&gt;0,2,IF(COUNTIF(Настройки!$D$17:$D$26,F1380)&gt;0,3,0))))</f>
        <v/>
      </c>
      <c r="I1380">
        <f>IF(AND(ISNUMBER(A1380),ISNUMBER(B1380)),A1380*1000+B1380,"")</f>
        <v/>
      </c>
      <c r="J1380">
        <f>IF(I1380="","",IF(COUNTIF(I$2:I1380,I1380)=1,MAX(J$1:J1379)+1,""))</f>
        <v/>
      </c>
    </row>
    <row r="1381">
      <c r="A1381">
        <f>IFERROR(--SUBSTITUTE(SUBSTITUTE(TRIM(INDEX(INDIRECT("'Выгрузка'!A1381:Z1381"),Настройки!$B$7)),",","."),".",MID(1/2,2,1)),"")</f>
        <v/>
      </c>
      <c r="B1381">
        <f>IFERROR(--SUBSTITUTE(SUBSTITUTE(TRIM(INDEX(INDIRECT("'Выгрузка'!A1381:Z1381"),Настройки!$B$9)),",","."),".",MID(1/2,2,1)),"")</f>
        <v/>
      </c>
      <c r="C1381">
        <f>TRIM(INDEX(INDIRECT("'Выгрузка'!A1381:Z1381"),Настройки!$B$8)&amp;"")</f>
        <v/>
      </c>
      <c r="D1381">
        <f>IFERROR(--SUBSTITUTE(SUBSTITUTE(TRIM(INDEX(INDIRECT("'Выгрузка'!A1381:Z1381"),Настройки!$B$10)),",","."),".",MID(1/2,2,1)),"")</f>
        <v/>
      </c>
      <c r="E1381">
        <f>IFERROR(--SUBSTITUTE(SUBSTITUTE(TRIM(INDEX(INDIRECT("'Выгрузка'!A1381:Z1381"),Настройки!$B$11)),",","."),".",MID(1/2,2,1)),"")</f>
        <v/>
      </c>
      <c r="F1381">
        <f>TRIM(INDEX(INDIRECT("'Выгрузка'!A1381:Z1381"),Настройки!$B$12)&amp;"")</f>
        <v/>
      </c>
      <c r="G1381">
        <f>IF(F1381="",0,IF(TRIM(INDEX(INDIRECT("'Выгрузка'!A1381:Z1381"),Настройки!$B$13)&amp;"")="",1,IFERROR(--SUBSTITUTE(SUBSTITUTE(TRIM(INDEX(INDIRECT("'Выгрузка'!A1381:Z1381"),Настройки!$B$13)),",","."),".",MID(1/2,2,1)),"")))</f>
        <v/>
      </c>
      <c r="H1381">
        <f>IF(F1381="",0,IF(COUNTIF(Настройки!$B$17:$B$26,F1381)&gt;0,1,IF(COUNTIF(Настройки!$C$17:$C$26,F1381)&gt;0,2,IF(COUNTIF(Настройки!$D$17:$D$26,F1381)&gt;0,3,0))))</f>
        <v/>
      </c>
      <c r="I1381">
        <f>IF(AND(ISNUMBER(A1381),ISNUMBER(B1381)),A1381*1000+B1381,"")</f>
        <v/>
      </c>
      <c r="J1381">
        <f>IF(I1381="","",IF(COUNTIF(I$2:I1381,I1381)=1,MAX(J$1:J1380)+1,""))</f>
        <v/>
      </c>
    </row>
    <row r="1382">
      <c r="A1382">
        <f>IFERROR(--SUBSTITUTE(SUBSTITUTE(TRIM(INDEX(INDIRECT("'Выгрузка'!A1382:Z1382"),Настройки!$B$7)),",","."),".",MID(1/2,2,1)),"")</f>
        <v/>
      </c>
      <c r="B1382">
        <f>IFERROR(--SUBSTITUTE(SUBSTITUTE(TRIM(INDEX(INDIRECT("'Выгрузка'!A1382:Z1382"),Настройки!$B$9)),",","."),".",MID(1/2,2,1)),"")</f>
        <v/>
      </c>
      <c r="C1382">
        <f>TRIM(INDEX(INDIRECT("'Выгрузка'!A1382:Z1382"),Настройки!$B$8)&amp;"")</f>
        <v/>
      </c>
      <c r="D1382">
        <f>IFERROR(--SUBSTITUTE(SUBSTITUTE(TRIM(INDEX(INDIRECT("'Выгрузка'!A1382:Z1382"),Настройки!$B$10)),",","."),".",MID(1/2,2,1)),"")</f>
        <v/>
      </c>
      <c r="E1382">
        <f>IFERROR(--SUBSTITUTE(SUBSTITUTE(TRIM(INDEX(INDIRECT("'Выгрузка'!A1382:Z1382"),Настройки!$B$11)),",","."),".",MID(1/2,2,1)),"")</f>
        <v/>
      </c>
      <c r="F1382">
        <f>TRIM(INDEX(INDIRECT("'Выгрузка'!A1382:Z1382"),Настройки!$B$12)&amp;"")</f>
        <v/>
      </c>
      <c r="G1382">
        <f>IF(F1382="",0,IF(TRIM(INDEX(INDIRECT("'Выгрузка'!A1382:Z1382"),Настройки!$B$13)&amp;"")="",1,IFERROR(--SUBSTITUTE(SUBSTITUTE(TRIM(INDEX(INDIRECT("'Выгрузка'!A1382:Z1382"),Настройки!$B$13)),",","."),".",MID(1/2,2,1)),"")))</f>
        <v/>
      </c>
      <c r="H1382">
        <f>IF(F1382="",0,IF(COUNTIF(Настройки!$B$17:$B$26,F1382)&gt;0,1,IF(COUNTIF(Настройки!$C$17:$C$26,F1382)&gt;0,2,IF(COUNTIF(Настройки!$D$17:$D$26,F1382)&gt;0,3,0))))</f>
        <v/>
      </c>
      <c r="I1382">
        <f>IF(AND(ISNUMBER(A1382),ISNUMBER(B1382)),A1382*1000+B1382,"")</f>
        <v/>
      </c>
      <c r="J1382">
        <f>IF(I1382="","",IF(COUNTIF(I$2:I1382,I1382)=1,MAX(J$1:J1381)+1,""))</f>
        <v/>
      </c>
    </row>
    <row r="1383">
      <c r="A1383">
        <f>IFERROR(--SUBSTITUTE(SUBSTITUTE(TRIM(INDEX(INDIRECT("'Выгрузка'!A1383:Z1383"),Настройки!$B$7)),",","."),".",MID(1/2,2,1)),"")</f>
        <v/>
      </c>
      <c r="B1383">
        <f>IFERROR(--SUBSTITUTE(SUBSTITUTE(TRIM(INDEX(INDIRECT("'Выгрузка'!A1383:Z1383"),Настройки!$B$9)),",","."),".",MID(1/2,2,1)),"")</f>
        <v/>
      </c>
      <c r="C1383">
        <f>TRIM(INDEX(INDIRECT("'Выгрузка'!A1383:Z1383"),Настройки!$B$8)&amp;"")</f>
        <v/>
      </c>
      <c r="D1383">
        <f>IFERROR(--SUBSTITUTE(SUBSTITUTE(TRIM(INDEX(INDIRECT("'Выгрузка'!A1383:Z1383"),Настройки!$B$10)),",","."),".",MID(1/2,2,1)),"")</f>
        <v/>
      </c>
      <c r="E1383">
        <f>IFERROR(--SUBSTITUTE(SUBSTITUTE(TRIM(INDEX(INDIRECT("'Выгрузка'!A1383:Z1383"),Настройки!$B$11)),",","."),".",MID(1/2,2,1)),"")</f>
        <v/>
      </c>
      <c r="F1383">
        <f>TRIM(INDEX(INDIRECT("'Выгрузка'!A1383:Z1383"),Настройки!$B$12)&amp;"")</f>
        <v/>
      </c>
      <c r="G1383">
        <f>IF(F1383="",0,IF(TRIM(INDEX(INDIRECT("'Выгрузка'!A1383:Z1383"),Настройки!$B$13)&amp;"")="",1,IFERROR(--SUBSTITUTE(SUBSTITUTE(TRIM(INDEX(INDIRECT("'Выгрузка'!A1383:Z1383"),Настройки!$B$13)),",","."),".",MID(1/2,2,1)),"")))</f>
        <v/>
      </c>
      <c r="H1383">
        <f>IF(F1383="",0,IF(COUNTIF(Настройки!$B$17:$B$26,F1383)&gt;0,1,IF(COUNTIF(Настройки!$C$17:$C$26,F1383)&gt;0,2,IF(COUNTIF(Настройки!$D$17:$D$26,F1383)&gt;0,3,0))))</f>
        <v/>
      </c>
      <c r="I1383">
        <f>IF(AND(ISNUMBER(A1383),ISNUMBER(B1383)),A1383*1000+B1383,"")</f>
        <v/>
      </c>
      <c r="J1383">
        <f>IF(I1383="","",IF(COUNTIF(I$2:I1383,I1383)=1,MAX(J$1:J1382)+1,""))</f>
        <v/>
      </c>
    </row>
    <row r="1384">
      <c r="A1384">
        <f>IFERROR(--SUBSTITUTE(SUBSTITUTE(TRIM(INDEX(INDIRECT("'Выгрузка'!A1384:Z1384"),Настройки!$B$7)),",","."),".",MID(1/2,2,1)),"")</f>
        <v/>
      </c>
      <c r="B1384">
        <f>IFERROR(--SUBSTITUTE(SUBSTITUTE(TRIM(INDEX(INDIRECT("'Выгрузка'!A1384:Z1384"),Настройки!$B$9)),",","."),".",MID(1/2,2,1)),"")</f>
        <v/>
      </c>
      <c r="C1384">
        <f>TRIM(INDEX(INDIRECT("'Выгрузка'!A1384:Z1384"),Настройки!$B$8)&amp;"")</f>
        <v/>
      </c>
      <c r="D1384">
        <f>IFERROR(--SUBSTITUTE(SUBSTITUTE(TRIM(INDEX(INDIRECT("'Выгрузка'!A1384:Z1384"),Настройки!$B$10)),",","."),".",MID(1/2,2,1)),"")</f>
        <v/>
      </c>
      <c r="E1384">
        <f>IFERROR(--SUBSTITUTE(SUBSTITUTE(TRIM(INDEX(INDIRECT("'Выгрузка'!A1384:Z1384"),Настройки!$B$11)),",","."),".",MID(1/2,2,1)),"")</f>
        <v/>
      </c>
      <c r="F1384">
        <f>TRIM(INDEX(INDIRECT("'Выгрузка'!A1384:Z1384"),Настройки!$B$12)&amp;"")</f>
        <v/>
      </c>
      <c r="G1384">
        <f>IF(F1384="",0,IF(TRIM(INDEX(INDIRECT("'Выгрузка'!A1384:Z1384"),Настройки!$B$13)&amp;"")="",1,IFERROR(--SUBSTITUTE(SUBSTITUTE(TRIM(INDEX(INDIRECT("'Выгрузка'!A1384:Z1384"),Настройки!$B$13)),",","."),".",MID(1/2,2,1)),"")))</f>
        <v/>
      </c>
      <c r="H1384">
        <f>IF(F1384="",0,IF(COUNTIF(Настройки!$B$17:$B$26,F1384)&gt;0,1,IF(COUNTIF(Настройки!$C$17:$C$26,F1384)&gt;0,2,IF(COUNTIF(Настройки!$D$17:$D$26,F1384)&gt;0,3,0))))</f>
        <v/>
      </c>
      <c r="I1384">
        <f>IF(AND(ISNUMBER(A1384),ISNUMBER(B1384)),A1384*1000+B1384,"")</f>
        <v/>
      </c>
      <c r="J1384">
        <f>IF(I1384="","",IF(COUNTIF(I$2:I1384,I1384)=1,MAX(J$1:J1383)+1,""))</f>
        <v/>
      </c>
    </row>
    <row r="1385">
      <c r="A1385">
        <f>IFERROR(--SUBSTITUTE(SUBSTITUTE(TRIM(INDEX(INDIRECT("'Выгрузка'!A1385:Z1385"),Настройки!$B$7)),",","."),".",MID(1/2,2,1)),"")</f>
        <v/>
      </c>
      <c r="B1385">
        <f>IFERROR(--SUBSTITUTE(SUBSTITUTE(TRIM(INDEX(INDIRECT("'Выгрузка'!A1385:Z1385"),Настройки!$B$9)),",","."),".",MID(1/2,2,1)),"")</f>
        <v/>
      </c>
      <c r="C1385">
        <f>TRIM(INDEX(INDIRECT("'Выгрузка'!A1385:Z1385"),Настройки!$B$8)&amp;"")</f>
        <v/>
      </c>
      <c r="D1385">
        <f>IFERROR(--SUBSTITUTE(SUBSTITUTE(TRIM(INDEX(INDIRECT("'Выгрузка'!A1385:Z1385"),Настройки!$B$10)),",","."),".",MID(1/2,2,1)),"")</f>
        <v/>
      </c>
      <c r="E1385">
        <f>IFERROR(--SUBSTITUTE(SUBSTITUTE(TRIM(INDEX(INDIRECT("'Выгрузка'!A1385:Z1385"),Настройки!$B$11)),",","."),".",MID(1/2,2,1)),"")</f>
        <v/>
      </c>
      <c r="F1385">
        <f>TRIM(INDEX(INDIRECT("'Выгрузка'!A1385:Z1385"),Настройки!$B$12)&amp;"")</f>
        <v/>
      </c>
      <c r="G1385">
        <f>IF(F1385="",0,IF(TRIM(INDEX(INDIRECT("'Выгрузка'!A1385:Z1385"),Настройки!$B$13)&amp;"")="",1,IFERROR(--SUBSTITUTE(SUBSTITUTE(TRIM(INDEX(INDIRECT("'Выгрузка'!A1385:Z1385"),Настройки!$B$13)),",","."),".",MID(1/2,2,1)),"")))</f>
        <v/>
      </c>
      <c r="H1385">
        <f>IF(F1385="",0,IF(COUNTIF(Настройки!$B$17:$B$26,F1385)&gt;0,1,IF(COUNTIF(Настройки!$C$17:$C$26,F1385)&gt;0,2,IF(COUNTIF(Настройки!$D$17:$D$26,F1385)&gt;0,3,0))))</f>
        <v/>
      </c>
      <c r="I1385">
        <f>IF(AND(ISNUMBER(A1385),ISNUMBER(B1385)),A1385*1000+B1385,"")</f>
        <v/>
      </c>
      <c r="J1385">
        <f>IF(I1385="","",IF(COUNTIF(I$2:I1385,I1385)=1,MAX(J$1:J1384)+1,""))</f>
        <v/>
      </c>
    </row>
    <row r="1386">
      <c r="A1386">
        <f>IFERROR(--SUBSTITUTE(SUBSTITUTE(TRIM(INDEX(INDIRECT("'Выгрузка'!A1386:Z1386"),Настройки!$B$7)),",","."),".",MID(1/2,2,1)),"")</f>
        <v/>
      </c>
      <c r="B1386">
        <f>IFERROR(--SUBSTITUTE(SUBSTITUTE(TRIM(INDEX(INDIRECT("'Выгрузка'!A1386:Z1386"),Настройки!$B$9)),",","."),".",MID(1/2,2,1)),"")</f>
        <v/>
      </c>
      <c r="C1386">
        <f>TRIM(INDEX(INDIRECT("'Выгрузка'!A1386:Z1386"),Настройки!$B$8)&amp;"")</f>
        <v/>
      </c>
      <c r="D1386">
        <f>IFERROR(--SUBSTITUTE(SUBSTITUTE(TRIM(INDEX(INDIRECT("'Выгрузка'!A1386:Z1386"),Настройки!$B$10)),",","."),".",MID(1/2,2,1)),"")</f>
        <v/>
      </c>
      <c r="E1386">
        <f>IFERROR(--SUBSTITUTE(SUBSTITUTE(TRIM(INDEX(INDIRECT("'Выгрузка'!A1386:Z1386"),Настройки!$B$11)),",","."),".",MID(1/2,2,1)),"")</f>
        <v/>
      </c>
      <c r="F1386">
        <f>TRIM(INDEX(INDIRECT("'Выгрузка'!A1386:Z1386"),Настройки!$B$12)&amp;"")</f>
        <v/>
      </c>
      <c r="G1386">
        <f>IF(F1386="",0,IF(TRIM(INDEX(INDIRECT("'Выгрузка'!A1386:Z1386"),Настройки!$B$13)&amp;"")="",1,IFERROR(--SUBSTITUTE(SUBSTITUTE(TRIM(INDEX(INDIRECT("'Выгрузка'!A1386:Z1386"),Настройки!$B$13)),",","."),".",MID(1/2,2,1)),"")))</f>
        <v/>
      </c>
      <c r="H1386">
        <f>IF(F1386="",0,IF(COUNTIF(Настройки!$B$17:$B$26,F1386)&gt;0,1,IF(COUNTIF(Настройки!$C$17:$C$26,F1386)&gt;0,2,IF(COUNTIF(Настройки!$D$17:$D$26,F1386)&gt;0,3,0))))</f>
        <v/>
      </c>
      <c r="I1386">
        <f>IF(AND(ISNUMBER(A1386),ISNUMBER(B1386)),A1386*1000+B1386,"")</f>
        <v/>
      </c>
      <c r="J1386">
        <f>IF(I1386="","",IF(COUNTIF(I$2:I1386,I1386)=1,MAX(J$1:J1385)+1,""))</f>
        <v/>
      </c>
    </row>
    <row r="1387">
      <c r="A1387">
        <f>IFERROR(--SUBSTITUTE(SUBSTITUTE(TRIM(INDEX(INDIRECT("'Выгрузка'!A1387:Z1387"),Настройки!$B$7)),",","."),".",MID(1/2,2,1)),"")</f>
        <v/>
      </c>
      <c r="B1387">
        <f>IFERROR(--SUBSTITUTE(SUBSTITUTE(TRIM(INDEX(INDIRECT("'Выгрузка'!A1387:Z1387"),Настройки!$B$9)),",","."),".",MID(1/2,2,1)),"")</f>
        <v/>
      </c>
      <c r="C1387">
        <f>TRIM(INDEX(INDIRECT("'Выгрузка'!A1387:Z1387"),Настройки!$B$8)&amp;"")</f>
        <v/>
      </c>
      <c r="D1387">
        <f>IFERROR(--SUBSTITUTE(SUBSTITUTE(TRIM(INDEX(INDIRECT("'Выгрузка'!A1387:Z1387"),Настройки!$B$10)),",","."),".",MID(1/2,2,1)),"")</f>
        <v/>
      </c>
      <c r="E1387">
        <f>IFERROR(--SUBSTITUTE(SUBSTITUTE(TRIM(INDEX(INDIRECT("'Выгрузка'!A1387:Z1387"),Настройки!$B$11)),",","."),".",MID(1/2,2,1)),"")</f>
        <v/>
      </c>
      <c r="F1387">
        <f>TRIM(INDEX(INDIRECT("'Выгрузка'!A1387:Z1387"),Настройки!$B$12)&amp;"")</f>
        <v/>
      </c>
      <c r="G1387">
        <f>IF(F1387="",0,IF(TRIM(INDEX(INDIRECT("'Выгрузка'!A1387:Z1387"),Настройки!$B$13)&amp;"")="",1,IFERROR(--SUBSTITUTE(SUBSTITUTE(TRIM(INDEX(INDIRECT("'Выгрузка'!A1387:Z1387"),Настройки!$B$13)),",","."),".",MID(1/2,2,1)),"")))</f>
        <v/>
      </c>
      <c r="H1387">
        <f>IF(F1387="",0,IF(COUNTIF(Настройки!$B$17:$B$26,F1387)&gt;0,1,IF(COUNTIF(Настройки!$C$17:$C$26,F1387)&gt;0,2,IF(COUNTIF(Настройки!$D$17:$D$26,F1387)&gt;0,3,0))))</f>
        <v/>
      </c>
      <c r="I1387">
        <f>IF(AND(ISNUMBER(A1387),ISNUMBER(B1387)),A1387*1000+B1387,"")</f>
        <v/>
      </c>
      <c r="J1387">
        <f>IF(I1387="","",IF(COUNTIF(I$2:I1387,I1387)=1,MAX(J$1:J1386)+1,""))</f>
        <v/>
      </c>
    </row>
    <row r="1388">
      <c r="A1388">
        <f>IFERROR(--SUBSTITUTE(SUBSTITUTE(TRIM(INDEX(INDIRECT("'Выгрузка'!A1388:Z1388"),Настройки!$B$7)),",","."),".",MID(1/2,2,1)),"")</f>
        <v/>
      </c>
      <c r="B1388">
        <f>IFERROR(--SUBSTITUTE(SUBSTITUTE(TRIM(INDEX(INDIRECT("'Выгрузка'!A1388:Z1388"),Настройки!$B$9)),",","."),".",MID(1/2,2,1)),"")</f>
        <v/>
      </c>
      <c r="C1388">
        <f>TRIM(INDEX(INDIRECT("'Выгрузка'!A1388:Z1388"),Настройки!$B$8)&amp;"")</f>
        <v/>
      </c>
      <c r="D1388">
        <f>IFERROR(--SUBSTITUTE(SUBSTITUTE(TRIM(INDEX(INDIRECT("'Выгрузка'!A1388:Z1388"),Настройки!$B$10)),",","."),".",MID(1/2,2,1)),"")</f>
        <v/>
      </c>
      <c r="E1388">
        <f>IFERROR(--SUBSTITUTE(SUBSTITUTE(TRIM(INDEX(INDIRECT("'Выгрузка'!A1388:Z1388"),Настройки!$B$11)),",","."),".",MID(1/2,2,1)),"")</f>
        <v/>
      </c>
      <c r="F1388">
        <f>TRIM(INDEX(INDIRECT("'Выгрузка'!A1388:Z1388"),Настройки!$B$12)&amp;"")</f>
        <v/>
      </c>
      <c r="G1388">
        <f>IF(F1388="",0,IF(TRIM(INDEX(INDIRECT("'Выгрузка'!A1388:Z1388"),Настройки!$B$13)&amp;"")="",1,IFERROR(--SUBSTITUTE(SUBSTITUTE(TRIM(INDEX(INDIRECT("'Выгрузка'!A1388:Z1388"),Настройки!$B$13)),",","."),".",MID(1/2,2,1)),"")))</f>
        <v/>
      </c>
      <c r="H1388">
        <f>IF(F1388="",0,IF(COUNTIF(Настройки!$B$17:$B$26,F1388)&gt;0,1,IF(COUNTIF(Настройки!$C$17:$C$26,F1388)&gt;0,2,IF(COUNTIF(Настройки!$D$17:$D$26,F1388)&gt;0,3,0))))</f>
        <v/>
      </c>
      <c r="I1388">
        <f>IF(AND(ISNUMBER(A1388),ISNUMBER(B1388)),A1388*1000+B1388,"")</f>
        <v/>
      </c>
      <c r="J1388">
        <f>IF(I1388="","",IF(COUNTIF(I$2:I1388,I1388)=1,MAX(J$1:J1387)+1,""))</f>
        <v/>
      </c>
    </row>
    <row r="1389">
      <c r="A1389">
        <f>IFERROR(--SUBSTITUTE(SUBSTITUTE(TRIM(INDEX(INDIRECT("'Выгрузка'!A1389:Z1389"),Настройки!$B$7)),",","."),".",MID(1/2,2,1)),"")</f>
        <v/>
      </c>
      <c r="B1389">
        <f>IFERROR(--SUBSTITUTE(SUBSTITUTE(TRIM(INDEX(INDIRECT("'Выгрузка'!A1389:Z1389"),Настройки!$B$9)),",","."),".",MID(1/2,2,1)),"")</f>
        <v/>
      </c>
      <c r="C1389">
        <f>TRIM(INDEX(INDIRECT("'Выгрузка'!A1389:Z1389"),Настройки!$B$8)&amp;"")</f>
        <v/>
      </c>
      <c r="D1389">
        <f>IFERROR(--SUBSTITUTE(SUBSTITUTE(TRIM(INDEX(INDIRECT("'Выгрузка'!A1389:Z1389"),Настройки!$B$10)),",","."),".",MID(1/2,2,1)),"")</f>
        <v/>
      </c>
      <c r="E1389">
        <f>IFERROR(--SUBSTITUTE(SUBSTITUTE(TRIM(INDEX(INDIRECT("'Выгрузка'!A1389:Z1389"),Настройки!$B$11)),",","."),".",MID(1/2,2,1)),"")</f>
        <v/>
      </c>
      <c r="F1389">
        <f>TRIM(INDEX(INDIRECT("'Выгрузка'!A1389:Z1389"),Настройки!$B$12)&amp;"")</f>
        <v/>
      </c>
      <c r="G1389">
        <f>IF(F1389="",0,IF(TRIM(INDEX(INDIRECT("'Выгрузка'!A1389:Z1389"),Настройки!$B$13)&amp;"")="",1,IFERROR(--SUBSTITUTE(SUBSTITUTE(TRIM(INDEX(INDIRECT("'Выгрузка'!A1389:Z1389"),Настройки!$B$13)),",","."),".",MID(1/2,2,1)),"")))</f>
        <v/>
      </c>
      <c r="H1389">
        <f>IF(F1389="",0,IF(COUNTIF(Настройки!$B$17:$B$26,F1389)&gt;0,1,IF(COUNTIF(Настройки!$C$17:$C$26,F1389)&gt;0,2,IF(COUNTIF(Настройки!$D$17:$D$26,F1389)&gt;0,3,0))))</f>
        <v/>
      </c>
      <c r="I1389">
        <f>IF(AND(ISNUMBER(A1389),ISNUMBER(B1389)),A1389*1000+B1389,"")</f>
        <v/>
      </c>
      <c r="J1389">
        <f>IF(I1389="","",IF(COUNTIF(I$2:I1389,I1389)=1,MAX(J$1:J1388)+1,""))</f>
        <v/>
      </c>
    </row>
    <row r="1390">
      <c r="A1390">
        <f>IFERROR(--SUBSTITUTE(SUBSTITUTE(TRIM(INDEX(INDIRECT("'Выгрузка'!A1390:Z1390"),Настройки!$B$7)),",","."),".",MID(1/2,2,1)),"")</f>
        <v/>
      </c>
      <c r="B1390">
        <f>IFERROR(--SUBSTITUTE(SUBSTITUTE(TRIM(INDEX(INDIRECT("'Выгрузка'!A1390:Z1390"),Настройки!$B$9)),",","."),".",MID(1/2,2,1)),"")</f>
        <v/>
      </c>
      <c r="C1390">
        <f>TRIM(INDEX(INDIRECT("'Выгрузка'!A1390:Z1390"),Настройки!$B$8)&amp;"")</f>
        <v/>
      </c>
      <c r="D1390">
        <f>IFERROR(--SUBSTITUTE(SUBSTITUTE(TRIM(INDEX(INDIRECT("'Выгрузка'!A1390:Z1390"),Настройки!$B$10)),",","."),".",MID(1/2,2,1)),"")</f>
        <v/>
      </c>
      <c r="E1390">
        <f>IFERROR(--SUBSTITUTE(SUBSTITUTE(TRIM(INDEX(INDIRECT("'Выгрузка'!A1390:Z1390"),Настройки!$B$11)),",","."),".",MID(1/2,2,1)),"")</f>
        <v/>
      </c>
      <c r="F1390">
        <f>TRIM(INDEX(INDIRECT("'Выгрузка'!A1390:Z1390"),Настройки!$B$12)&amp;"")</f>
        <v/>
      </c>
      <c r="G1390">
        <f>IF(F1390="",0,IF(TRIM(INDEX(INDIRECT("'Выгрузка'!A1390:Z1390"),Настройки!$B$13)&amp;"")="",1,IFERROR(--SUBSTITUTE(SUBSTITUTE(TRIM(INDEX(INDIRECT("'Выгрузка'!A1390:Z1390"),Настройки!$B$13)),",","."),".",MID(1/2,2,1)),"")))</f>
        <v/>
      </c>
      <c r="H1390">
        <f>IF(F1390="",0,IF(COUNTIF(Настройки!$B$17:$B$26,F1390)&gt;0,1,IF(COUNTIF(Настройки!$C$17:$C$26,F1390)&gt;0,2,IF(COUNTIF(Настройки!$D$17:$D$26,F1390)&gt;0,3,0))))</f>
        <v/>
      </c>
      <c r="I1390">
        <f>IF(AND(ISNUMBER(A1390),ISNUMBER(B1390)),A1390*1000+B1390,"")</f>
        <v/>
      </c>
      <c r="J1390">
        <f>IF(I1390="","",IF(COUNTIF(I$2:I1390,I1390)=1,MAX(J$1:J1389)+1,""))</f>
        <v/>
      </c>
    </row>
    <row r="1391">
      <c r="A1391">
        <f>IFERROR(--SUBSTITUTE(SUBSTITUTE(TRIM(INDEX(INDIRECT("'Выгрузка'!A1391:Z1391"),Настройки!$B$7)),",","."),".",MID(1/2,2,1)),"")</f>
        <v/>
      </c>
      <c r="B1391">
        <f>IFERROR(--SUBSTITUTE(SUBSTITUTE(TRIM(INDEX(INDIRECT("'Выгрузка'!A1391:Z1391"),Настройки!$B$9)),",","."),".",MID(1/2,2,1)),"")</f>
        <v/>
      </c>
      <c r="C1391">
        <f>TRIM(INDEX(INDIRECT("'Выгрузка'!A1391:Z1391"),Настройки!$B$8)&amp;"")</f>
        <v/>
      </c>
      <c r="D1391">
        <f>IFERROR(--SUBSTITUTE(SUBSTITUTE(TRIM(INDEX(INDIRECT("'Выгрузка'!A1391:Z1391"),Настройки!$B$10)),",","."),".",MID(1/2,2,1)),"")</f>
        <v/>
      </c>
      <c r="E1391">
        <f>IFERROR(--SUBSTITUTE(SUBSTITUTE(TRIM(INDEX(INDIRECT("'Выгрузка'!A1391:Z1391"),Настройки!$B$11)),",","."),".",MID(1/2,2,1)),"")</f>
        <v/>
      </c>
      <c r="F1391">
        <f>TRIM(INDEX(INDIRECT("'Выгрузка'!A1391:Z1391"),Настройки!$B$12)&amp;"")</f>
        <v/>
      </c>
      <c r="G1391">
        <f>IF(F1391="",0,IF(TRIM(INDEX(INDIRECT("'Выгрузка'!A1391:Z1391"),Настройки!$B$13)&amp;"")="",1,IFERROR(--SUBSTITUTE(SUBSTITUTE(TRIM(INDEX(INDIRECT("'Выгрузка'!A1391:Z1391"),Настройки!$B$13)),",","."),".",MID(1/2,2,1)),"")))</f>
        <v/>
      </c>
      <c r="H1391">
        <f>IF(F1391="",0,IF(COUNTIF(Настройки!$B$17:$B$26,F1391)&gt;0,1,IF(COUNTIF(Настройки!$C$17:$C$26,F1391)&gt;0,2,IF(COUNTIF(Настройки!$D$17:$D$26,F1391)&gt;0,3,0))))</f>
        <v/>
      </c>
      <c r="I1391">
        <f>IF(AND(ISNUMBER(A1391),ISNUMBER(B1391)),A1391*1000+B1391,"")</f>
        <v/>
      </c>
      <c r="J1391">
        <f>IF(I1391="","",IF(COUNTIF(I$2:I1391,I1391)=1,MAX(J$1:J1390)+1,""))</f>
        <v/>
      </c>
    </row>
    <row r="1392">
      <c r="A1392">
        <f>IFERROR(--SUBSTITUTE(SUBSTITUTE(TRIM(INDEX(INDIRECT("'Выгрузка'!A1392:Z1392"),Настройки!$B$7)),",","."),".",MID(1/2,2,1)),"")</f>
        <v/>
      </c>
      <c r="B1392">
        <f>IFERROR(--SUBSTITUTE(SUBSTITUTE(TRIM(INDEX(INDIRECT("'Выгрузка'!A1392:Z1392"),Настройки!$B$9)),",","."),".",MID(1/2,2,1)),"")</f>
        <v/>
      </c>
      <c r="C1392">
        <f>TRIM(INDEX(INDIRECT("'Выгрузка'!A1392:Z1392"),Настройки!$B$8)&amp;"")</f>
        <v/>
      </c>
      <c r="D1392">
        <f>IFERROR(--SUBSTITUTE(SUBSTITUTE(TRIM(INDEX(INDIRECT("'Выгрузка'!A1392:Z1392"),Настройки!$B$10)),",","."),".",MID(1/2,2,1)),"")</f>
        <v/>
      </c>
      <c r="E1392">
        <f>IFERROR(--SUBSTITUTE(SUBSTITUTE(TRIM(INDEX(INDIRECT("'Выгрузка'!A1392:Z1392"),Настройки!$B$11)),",","."),".",MID(1/2,2,1)),"")</f>
        <v/>
      </c>
      <c r="F1392">
        <f>TRIM(INDEX(INDIRECT("'Выгрузка'!A1392:Z1392"),Настройки!$B$12)&amp;"")</f>
        <v/>
      </c>
      <c r="G1392">
        <f>IF(F1392="",0,IF(TRIM(INDEX(INDIRECT("'Выгрузка'!A1392:Z1392"),Настройки!$B$13)&amp;"")="",1,IFERROR(--SUBSTITUTE(SUBSTITUTE(TRIM(INDEX(INDIRECT("'Выгрузка'!A1392:Z1392"),Настройки!$B$13)),",","."),".",MID(1/2,2,1)),"")))</f>
        <v/>
      </c>
      <c r="H1392">
        <f>IF(F1392="",0,IF(COUNTIF(Настройки!$B$17:$B$26,F1392)&gt;0,1,IF(COUNTIF(Настройки!$C$17:$C$26,F1392)&gt;0,2,IF(COUNTIF(Настройки!$D$17:$D$26,F1392)&gt;0,3,0))))</f>
        <v/>
      </c>
      <c r="I1392">
        <f>IF(AND(ISNUMBER(A1392),ISNUMBER(B1392)),A1392*1000+B1392,"")</f>
        <v/>
      </c>
      <c r="J1392">
        <f>IF(I1392="","",IF(COUNTIF(I$2:I1392,I1392)=1,MAX(J$1:J1391)+1,""))</f>
        <v/>
      </c>
    </row>
    <row r="1393">
      <c r="A1393">
        <f>IFERROR(--SUBSTITUTE(SUBSTITUTE(TRIM(INDEX(INDIRECT("'Выгрузка'!A1393:Z1393"),Настройки!$B$7)),",","."),".",MID(1/2,2,1)),"")</f>
        <v/>
      </c>
      <c r="B1393">
        <f>IFERROR(--SUBSTITUTE(SUBSTITUTE(TRIM(INDEX(INDIRECT("'Выгрузка'!A1393:Z1393"),Настройки!$B$9)),",","."),".",MID(1/2,2,1)),"")</f>
        <v/>
      </c>
      <c r="C1393">
        <f>TRIM(INDEX(INDIRECT("'Выгрузка'!A1393:Z1393"),Настройки!$B$8)&amp;"")</f>
        <v/>
      </c>
      <c r="D1393">
        <f>IFERROR(--SUBSTITUTE(SUBSTITUTE(TRIM(INDEX(INDIRECT("'Выгрузка'!A1393:Z1393"),Настройки!$B$10)),",","."),".",MID(1/2,2,1)),"")</f>
        <v/>
      </c>
      <c r="E1393">
        <f>IFERROR(--SUBSTITUTE(SUBSTITUTE(TRIM(INDEX(INDIRECT("'Выгрузка'!A1393:Z1393"),Настройки!$B$11)),",","."),".",MID(1/2,2,1)),"")</f>
        <v/>
      </c>
      <c r="F1393">
        <f>TRIM(INDEX(INDIRECT("'Выгрузка'!A1393:Z1393"),Настройки!$B$12)&amp;"")</f>
        <v/>
      </c>
      <c r="G1393">
        <f>IF(F1393="",0,IF(TRIM(INDEX(INDIRECT("'Выгрузка'!A1393:Z1393"),Настройки!$B$13)&amp;"")="",1,IFERROR(--SUBSTITUTE(SUBSTITUTE(TRIM(INDEX(INDIRECT("'Выгрузка'!A1393:Z1393"),Настройки!$B$13)),",","."),".",MID(1/2,2,1)),"")))</f>
        <v/>
      </c>
      <c r="H1393">
        <f>IF(F1393="",0,IF(COUNTIF(Настройки!$B$17:$B$26,F1393)&gt;0,1,IF(COUNTIF(Настройки!$C$17:$C$26,F1393)&gt;0,2,IF(COUNTIF(Настройки!$D$17:$D$26,F1393)&gt;0,3,0))))</f>
        <v/>
      </c>
      <c r="I1393">
        <f>IF(AND(ISNUMBER(A1393),ISNUMBER(B1393)),A1393*1000+B1393,"")</f>
        <v/>
      </c>
      <c r="J1393">
        <f>IF(I1393="","",IF(COUNTIF(I$2:I1393,I1393)=1,MAX(J$1:J1392)+1,""))</f>
        <v/>
      </c>
    </row>
    <row r="1394">
      <c r="A1394">
        <f>IFERROR(--SUBSTITUTE(SUBSTITUTE(TRIM(INDEX(INDIRECT("'Выгрузка'!A1394:Z1394"),Настройки!$B$7)),",","."),".",MID(1/2,2,1)),"")</f>
        <v/>
      </c>
      <c r="B1394">
        <f>IFERROR(--SUBSTITUTE(SUBSTITUTE(TRIM(INDEX(INDIRECT("'Выгрузка'!A1394:Z1394"),Настройки!$B$9)),",","."),".",MID(1/2,2,1)),"")</f>
        <v/>
      </c>
      <c r="C1394">
        <f>TRIM(INDEX(INDIRECT("'Выгрузка'!A1394:Z1394"),Настройки!$B$8)&amp;"")</f>
        <v/>
      </c>
      <c r="D1394">
        <f>IFERROR(--SUBSTITUTE(SUBSTITUTE(TRIM(INDEX(INDIRECT("'Выгрузка'!A1394:Z1394"),Настройки!$B$10)),",","."),".",MID(1/2,2,1)),"")</f>
        <v/>
      </c>
      <c r="E1394">
        <f>IFERROR(--SUBSTITUTE(SUBSTITUTE(TRIM(INDEX(INDIRECT("'Выгрузка'!A1394:Z1394"),Настройки!$B$11)),",","."),".",MID(1/2,2,1)),"")</f>
        <v/>
      </c>
      <c r="F1394">
        <f>TRIM(INDEX(INDIRECT("'Выгрузка'!A1394:Z1394"),Настройки!$B$12)&amp;"")</f>
        <v/>
      </c>
      <c r="G1394">
        <f>IF(F1394="",0,IF(TRIM(INDEX(INDIRECT("'Выгрузка'!A1394:Z1394"),Настройки!$B$13)&amp;"")="",1,IFERROR(--SUBSTITUTE(SUBSTITUTE(TRIM(INDEX(INDIRECT("'Выгрузка'!A1394:Z1394"),Настройки!$B$13)),",","."),".",MID(1/2,2,1)),"")))</f>
        <v/>
      </c>
      <c r="H1394">
        <f>IF(F1394="",0,IF(COUNTIF(Настройки!$B$17:$B$26,F1394)&gt;0,1,IF(COUNTIF(Настройки!$C$17:$C$26,F1394)&gt;0,2,IF(COUNTIF(Настройки!$D$17:$D$26,F1394)&gt;0,3,0))))</f>
        <v/>
      </c>
      <c r="I1394">
        <f>IF(AND(ISNUMBER(A1394),ISNUMBER(B1394)),A1394*1000+B1394,"")</f>
        <v/>
      </c>
      <c r="J1394">
        <f>IF(I1394="","",IF(COUNTIF(I$2:I1394,I1394)=1,MAX(J$1:J1393)+1,""))</f>
        <v/>
      </c>
    </row>
    <row r="1395">
      <c r="A1395">
        <f>IFERROR(--SUBSTITUTE(SUBSTITUTE(TRIM(INDEX(INDIRECT("'Выгрузка'!A1395:Z1395"),Настройки!$B$7)),",","."),".",MID(1/2,2,1)),"")</f>
        <v/>
      </c>
      <c r="B1395">
        <f>IFERROR(--SUBSTITUTE(SUBSTITUTE(TRIM(INDEX(INDIRECT("'Выгрузка'!A1395:Z1395"),Настройки!$B$9)),",","."),".",MID(1/2,2,1)),"")</f>
        <v/>
      </c>
      <c r="C1395">
        <f>TRIM(INDEX(INDIRECT("'Выгрузка'!A1395:Z1395"),Настройки!$B$8)&amp;"")</f>
        <v/>
      </c>
      <c r="D1395">
        <f>IFERROR(--SUBSTITUTE(SUBSTITUTE(TRIM(INDEX(INDIRECT("'Выгрузка'!A1395:Z1395"),Настройки!$B$10)),",","."),".",MID(1/2,2,1)),"")</f>
        <v/>
      </c>
      <c r="E1395">
        <f>IFERROR(--SUBSTITUTE(SUBSTITUTE(TRIM(INDEX(INDIRECT("'Выгрузка'!A1395:Z1395"),Настройки!$B$11)),",","."),".",MID(1/2,2,1)),"")</f>
        <v/>
      </c>
      <c r="F1395">
        <f>TRIM(INDEX(INDIRECT("'Выгрузка'!A1395:Z1395"),Настройки!$B$12)&amp;"")</f>
        <v/>
      </c>
      <c r="G1395">
        <f>IF(F1395="",0,IF(TRIM(INDEX(INDIRECT("'Выгрузка'!A1395:Z1395"),Настройки!$B$13)&amp;"")="",1,IFERROR(--SUBSTITUTE(SUBSTITUTE(TRIM(INDEX(INDIRECT("'Выгрузка'!A1395:Z1395"),Настройки!$B$13)),",","."),".",MID(1/2,2,1)),"")))</f>
        <v/>
      </c>
      <c r="H1395">
        <f>IF(F1395="",0,IF(COUNTIF(Настройки!$B$17:$B$26,F1395)&gt;0,1,IF(COUNTIF(Настройки!$C$17:$C$26,F1395)&gt;0,2,IF(COUNTIF(Настройки!$D$17:$D$26,F1395)&gt;0,3,0))))</f>
        <v/>
      </c>
      <c r="I1395">
        <f>IF(AND(ISNUMBER(A1395),ISNUMBER(B1395)),A1395*1000+B1395,"")</f>
        <v/>
      </c>
      <c r="J1395">
        <f>IF(I1395="","",IF(COUNTIF(I$2:I1395,I1395)=1,MAX(J$1:J1394)+1,""))</f>
        <v/>
      </c>
    </row>
    <row r="1396">
      <c r="A1396">
        <f>IFERROR(--SUBSTITUTE(SUBSTITUTE(TRIM(INDEX(INDIRECT("'Выгрузка'!A1396:Z1396"),Настройки!$B$7)),",","."),".",MID(1/2,2,1)),"")</f>
        <v/>
      </c>
      <c r="B1396">
        <f>IFERROR(--SUBSTITUTE(SUBSTITUTE(TRIM(INDEX(INDIRECT("'Выгрузка'!A1396:Z1396"),Настройки!$B$9)),",","."),".",MID(1/2,2,1)),"")</f>
        <v/>
      </c>
      <c r="C1396">
        <f>TRIM(INDEX(INDIRECT("'Выгрузка'!A1396:Z1396"),Настройки!$B$8)&amp;"")</f>
        <v/>
      </c>
      <c r="D1396">
        <f>IFERROR(--SUBSTITUTE(SUBSTITUTE(TRIM(INDEX(INDIRECT("'Выгрузка'!A1396:Z1396"),Настройки!$B$10)),",","."),".",MID(1/2,2,1)),"")</f>
        <v/>
      </c>
      <c r="E1396">
        <f>IFERROR(--SUBSTITUTE(SUBSTITUTE(TRIM(INDEX(INDIRECT("'Выгрузка'!A1396:Z1396"),Настройки!$B$11)),",","."),".",MID(1/2,2,1)),"")</f>
        <v/>
      </c>
      <c r="F1396">
        <f>TRIM(INDEX(INDIRECT("'Выгрузка'!A1396:Z1396"),Настройки!$B$12)&amp;"")</f>
        <v/>
      </c>
      <c r="G1396">
        <f>IF(F1396="",0,IF(TRIM(INDEX(INDIRECT("'Выгрузка'!A1396:Z1396"),Настройки!$B$13)&amp;"")="",1,IFERROR(--SUBSTITUTE(SUBSTITUTE(TRIM(INDEX(INDIRECT("'Выгрузка'!A1396:Z1396"),Настройки!$B$13)),",","."),".",MID(1/2,2,1)),"")))</f>
        <v/>
      </c>
      <c r="H1396">
        <f>IF(F1396="",0,IF(COUNTIF(Настройки!$B$17:$B$26,F1396)&gt;0,1,IF(COUNTIF(Настройки!$C$17:$C$26,F1396)&gt;0,2,IF(COUNTIF(Настройки!$D$17:$D$26,F1396)&gt;0,3,0))))</f>
        <v/>
      </c>
      <c r="I1396">
        <f>IF(AND(ISNUMBER(A1396),ISNUMBER(B1396)),A1396*1000+B1396,"")</f>
        <v/>
      </c>
      <c r="J1396">
        <f>IF(I1396="","",IF(COUNTIF(I$2:I1396,I1396)=1,MAX(J$1:J1395)+1,""))</f>
        <v/>
      </c>
    </row>
    <row r="1397">
      <c r="A1397">
        <f>IFERROR(--SUBSTITUTE(SUBSTITUTE(TRIM(INDEX(INDIRECT("'Выгрузка'!A1397:Z1397"),Настройки!$B$7)),",","."),".",MID(1/2,2,1)),"")</f>
        <v/>
      </c>
      <c r="B1397">
        <f>IFERROR(--SUBSTITUTE(SUBSTITUTE(TRIM(INDEX(INDIRECT("'Выгрузка'!A1397:Z1397"),Настройки!$B$9)),",","."),".",MID(1/2,2,1)),"")</f>
        <v/>
      </c>
      <c r="C1397">
        <f>TRIM(INDEX(INDIRECT("'Выгрузка'!A1397:Z1397"),Настройки!$B$8)&amp;"")</f>
        <v/>
      </c>
      <c r="D1397">
        <f>IFERROR(--SUBSTITUTE(SUBSTITUTE(TRIM(INDEX(INDIRECT("'Выгрузка'!A1397:Z1397"),Настройки!$B$10)),",","."),".",MID(1/2,2,1)),"")</f>
        <v/>
      </c>
      <c r="E1397">
        <f>IFERROR(--SUBSTITUTE(SUBSTITUTE(TRIM(INDEX(INDIRECT("'Выгрузка'!A1397:Z1397"),Настройки!$B$11)),",","."),".",MID(1/2,2,1)),"")</f>
        <v/>
      </c>
      <c r="F1397">
        <f>TRIM(INDEX(INDIRECT("'Выгрузка'!A1397:Z1397"),Настройки!$B$12)&amp;"")</f>
        <v/>
      </c>
      <c r="G1397">
        <f>IF(F1397="",0,IF(TRIM(INDEX(INDIRECT("'Выгрузка'!A1397:Z1397"),Настройки!$B$13)&amp;"")="",1,IFERROR(--SUBSTITUTE(SUBSTITUTE(TRIM(INDEX(INDIRECT("'Выгрузка'!A1397:Z1397"),Настройки!$B$13)),",","."),".",MID(1/2,2,1)),"")))</f>
        <v/>
      </c>
      <c r="H1397">
        <f>IF(F1397="",0,IF(COUNTIF(Настройки!$B$17:$B$26,F1397)&gt;0,1,IF(COUNTIF(Настройки!$C$17:$C$26,F1397)&gt;0,2,IF(COUNTIF(Настройки!$D$17:$D$26,F1397)&gt;0,3,0))))</f>
        <v/>
      </c>
      <c r="I1397">
        <f>IF(AND(ISNUMBER(A1397),ISNUMBER(B1397)),A1397*1000+B1397,"")</f>
        <v/>
      </c>
      <c r="J1397">
        <f>IF(I1397="","",IF(COUNTIF(I$2:I1397,I1397)=1,MAX(J$1:J1396)+1,""))</f>
        <v/>
      </c>
    </row>
    <row r="1398">
      <c r="A1398">
        <f>IFERROR(--SUBSTITUTE(SUBSTITUTE(TRIM(INDEX(INDIRECT("'Выгрузка'!A1398:Z1398"),Настройки!$B$7)),",","."),".",MID(1/2,2,1)),"")</f>
        <v/>
      </c>
      <c r="B1398">
        <f>IFERROR(--SUBSTITUTE(SUBSTITUTE(TRIM(INDEX(INDIRECT("'Выгрузка'!A1398:Z1398"),Настройки!$B$9)),",","."),".",MID(1/2,2,1)),"")</f>
        <v/>
      </c>
      <c r="C1398">
        <f>TRIM(INDEX(INDIRECT("'Выгрузка'!A1398:Z1398"),Настройки!$B$8)&amp;"")</f>
        <v/>
      </c>
      <c r="D1398">
        <f>IFERROR(--SUBSTITUTE(SUBSTITUTE(TRIM(INDEX(INDIRECT("'Выгрузка'!A1398:Z1398"),Настройки!$B$10)),",","."),".",MID(1/2,2,1)),"")</f>
        <v/>
      </c>
      <c r="E1398">
        <f>IFERROR(--SUBSTITUTE(SUBSTITUTE(TRIM(INDEX(INDIRECT("'Выгрузка'!A1398:Z1398"),Настройки!$B$11)),",","."),".",MID(1/2,2,1)),"")</f>
        <v/>
      </c>
      <c r="F1398">
        <f>TRIM(INDEX(INDIRECT("'Выгрузка'!A1398:Z1398"),Настройки!$B$12)&amp;"")</f>
        <v/>
      </c>
      <c r="G1398">
        <f>IF(F1398="",0,IF(TRIM(INDEX(INDIRECT("'Выгрузка'!A1398:Z1398"),Настройки!$B$13)&amp;"")="",1,IFERROR(--SUBSTITUTE(SUBSTITUTE(TRIM(INDEX(INDIRECT("'Выгрузка'!A1398:Z1398"),Настройки!$B$13)),",","."),".",MID(1/2,2,1)),"")))</f>
        <v/>
      </c>
      <c r="H1398">
        <f>IF(F1398="",0,IF(COUNTIF(Настройки!$B$17:$B$26,F1398)&gt;0,1,IF(COUNTIF(Настройки!$C$17:$C$26,F1398)&gt;0,2,IF(COUNTIF(Настройки!$D$17:$D$26,F1398)&gt;0,3,0))))</f>
        <v/>
      </c>
      <c r="I1398">
        <f>IF(AND(ISNUMBER(A1398),ISNUMBER(B1398)),A1398*1000+B1398,"")</f>
        <v/>
      </c>
      <c r="J1398">
        <f>IF(I1398="","",IF(COUNTIF(I$2:I1398,I1398)=1,MAX(J$1:J1397)+1,""))</f>
        <v/>
      </c>
    </row>
    <row r="1399">
      <c r="A1399">
        <f>IFERROR(--SUBSTITUTE(SUBSTITUTE(TRIM(INDEX(INDIRECT("'Выгрузка'!A1399:Z1399"),Настройки!$B$7)),",","."),".",MID(1/2,2,1)),"")</f>
        <v/>
      </c>
      <c r="B1399">
        <f>IFERROR(--SUBSTITUTE(SUBSTITUTE(TRIM(INDEX(INDIRECT("'Выгрузка'!A1399:Z1399"),Настройки!$B$9)),",","."),".",MID(1/2,2,1)),"")</f>
        <v/>
      </c>
      <c r="C1399">
        <f>TRIM(INDEX(INDIRECT("'Выгрузка'!A1399:Z1399"),Настройки!$B$8)&amp;"")</f>
        <v/>
      </c>
      <c r="D1399">
        <f>IFERROR(--SUBSTITUTE(SUBSTITUTE(TRIM(INDEX(INDIRECT("'Выгрузка'!A1399:Z1399"),Настройки!$B$10)),",","."),".",MID(1/2,2,1)),"")</f>
        <v/>
      </c>
      <c r="E1399">
        <f>IFERROR(--SUBSTITUTE(SUBSTITUTE(TRIM(INDEX(INDIRECT("'Выгрузка'!A1399:Z1399"),Настройки!$B$11)),",","."),".",MID(1/2,2,1)),"")</f>
        <v/>
      </c>
      <c r="F1399">
        <f>TRIM(INDEX(INDIRECT("'Выгрузка'!A1399:Z1399"),Настройки!$B$12)&amp;"")</f>
        <v/>
      </c>
      <c r="G1399">
        <f>IF(F1399="",0,IF(TRIM(INDEX(INDIRECT("'Выгрузка'!A1399:Z1399"),Настройки!$B$13)&amp;"")="",1,IFERROR(--SUBSTITUTE(SUBSTITUTE(TRIM(INDEX(INDIRECT("'Выгрузка'!A1399:Z1399"),Настройки!$B$13)),",","."),".",MID(1/2,2,1)),"")))</f>
        <v/>
      </c>
      <c r="H1399">
        <f>IF(F1399="",0,IF(COUNTIF(Настройки!$B$17:$B$26,F1399)&gt;0,1,IF(COUNTIF(Настройки!$C$17:$C$26,F1399)&gt;0,2,IF(COUNTIF(Настройки!$D$17:$D$26,F1399)&gt;0,3,0))))</f>
        <v/>
      </c>
      <c r="I1399">
        <f>IF(AND(ISNUMBER(A1399),ISNUMBER(B1399)),A1399*1000+B1399,"")</f>
        <v/>
      </c>
      <c r="J1399">
        <f>IF(I1399="","",IF(COUNTIF(I$2:I1399,I1399)=1,MAX(J$1:J1398)+1,""))</f>
        <v/>
      </c>
    </row>
    <row r="1400">
      <c r="A1400">
        <f>IFERROR(--SUBSTITUTE(SUBSTITUTE(TRIM(INDEX(INDIRECT("'Выгрузка'!A1400:Z1400"),Настройки!$B$7)),",","."),".",MID(1/2,2,1)),"")</f>
        <v/>
      </c>
      <c r="B1400">
        <f>IFERROR(--SUBSTITUTE(SUBSTITUTE(TRIM(INDEX(INDIRECT("'Выгрузка'!A1400:Z1400"),Настройки!$B$9)),",","."),".",MID(1/2,2,1)),"")</f>
        <v/>
      </c>
      <c r="C1400">
        <f>TRIM(INDEX(INDIRECT("'Выгрузка'!A1400:Z1400"),Настройки!$B$8)&amp;"")</f>
        <v/>
      </c>
      <c r="D1400">
        <f>IFERROR(--SUBSTITUTE(SUBSTITUTE(TRIM(INDEX(INDIRECT("'Выгрузка'!A1400:Z1400"),Настройки!$B$10)),",","."),".",MID(1/2,2,1)),"")</f>
        <v/>
      </c>
      <c r="E1400">
        <f>IFERROR(--SUBSTITUTE(SUBSTITUTE(TRIM(INDEX(INDIRECT("'Выгрузка'!A1400:Z1400"),Настройки!$B$11)),",","."),".",MID(1/2,2,1)),"")</f>
        <v/>
      </c>
      <c r="F1400">
        <f>TRIM(INDEX(INDIRECT("'Выгрузка'!A1400:Z1400"),Настройки!$B$12)&amp;"")</f>
        <v/>
      </c>
      <c r="G1400">
        <f>IF(F1400="",0,IF(TRIM(INDEX(INDIRECT("'Выгрузка'!A1400:Z1400"),Настройки!$B$13)&amp;"")="",1,IFERROR(--SUBSTITUTE(SUBSTITUTE(TRIM(INDEX(INDIRECT("'Выгрузка'!A1400:Z1400"),Настройки!$B$13)),",","."),".",MID(1/2,2,1)),"")))</f>
        <v/>
      </c>
      <c r="H1400">
        <f>IF(F1400="",0,IF(COUNTIF(Настройки!$B$17:$B$26,F1400)&gt;0,1,IF(COUNTIF(Настройки!$C$17:$C$26,F1400)&gt;0,2,IF(COUNTIF(Настройки!$D$17:$D$26,F1400)&gt;0,3,0))))</f>
        <v/>
      </c>
      <c r="I1400">
        <f>IF(AND(ISNUMBER(A1400),ISNUMBER(B1400)),A1400*1000+B1400,"")</f>
        <v/>
      </c>
      <c r="J1400">
        <f>IF(I1400="","",IF(COUNTIF(I$2:I1400,I1400)=1,MAX(J$1:J1399)+1,""))</f>
        <v/>
      </c>
    </row>
    <row r="1401">
      <c r="A1401">
        <f>IFERROR(--SUBSTITUTE(SUBSTITUTE(TRIM(INDEX(INDIRECT("'Выгрузка'!A1401:Z1401"),Настройки!$B$7)),",","."),".",MID(1/2,2,1)),"")</f>
        <v/>
      </c>
      <c r="B1401">
        <f>IFERROR(--SUBSTITUTE(SUBSTITUTE(TRIM(INDEX(INDIRECT("'Выгрузка'!A1401:Z1401"),Настройки!$B$9)),",","."),".",MID(1/2,2,1)),"")</f>
        <v/>
      </c>
      <c r="C1401">
        <f>TRIM(INDEX(INDIRECT("'Выгрузка'!A1401:Z1401"),Настройки!$B$8)&amp;"")</f>
        <v/>
      </c>
      <c r="D1401">
        <f>IFERROR(--SUBSTITUTE(SUBSTITUTE(TRIM(INDEX(INDIRECT("'Выгрузка'!A1401:Z1401"),Настройки!$B$10)),",","."),".",MID(1/2,2,1)),"")</f>
        <v/>
      </c>
      <c r="E1401">
        <f>IFERROR(--SUBSTITUTE(SUBSTITUTE(TRIM(INDEX(INDIRECT("'Выгрузка'!A1401:Z1401"),Настройки!$B$11)),",","."),".",MID(1/2,2,1)),"")</f>
        <v/>
      </c>
      <c r="F1401">
        <f>TRIM(INDEX(INDIRECT("'Выгрузка'!A1401:Z1401"),Настройки!$B$12)&amp;"")</f>
        <v/>
      </c>
      <c r="G1401">
        <f>IF(F1401="",0,IF(TRIM(INDEX(INDIRECT("'Выгрузка'!A1401:Z1401"),Настройки!$B$13)&amp;"")="",1,IFERROR(--SUBSTITUTE(SUBSTITUTE(TRIM(INDEX(INDIRECT("'Выгрузка'!A1401:Z1401"),Настройки!$B$13)),",","."),".",MID(1/2,2,1)),"")))</f>
        <v/>
      </c>
      <c r="H1401">
        <f>IF(F1401="",0,IF(COUNTIF(Настройки!$B$17:$B$26,F1401)&gt;0,1,IF(COUNTIF(Настройки!$C$17:$C$26,F1401)&gt;0,2,IF(COUNTIF(Настройки!$D$17:$D$26,F1401)&gt;0,3,0))))</f>
        <v/>
      </c>
      <c r="I1401">
        <f>IF(AND(ISNUMBER(A1401),ISNUMBER(B1401)),A1401*1000+B1401,"")</f>
        <v/>
      </c>
      <c r="J1401">
        <f>IF(I1401="","",IF(COUNTIF(I$2:I1401,I1401)=1,MAX(J$1:J1400)+1,""))</f>
        <v/>
      </c>
    </row>
    <row r="1402">
      <c r="A1402">
        <f>IFERROR(--SUBSTITUTE(SUBSTITUTE(TRIM(INDEX(INDIRECT("'Выгрузка'!A1402:Z1402"),Настройки!$B$7)),",","."),".",MID(1/2,2,1)),"")</f>
        <v/>
      </c>
      <c r="B1402">
        <f>IFERROR(--SUBSTITUTE(SUBSTITUTE(TRIM(INDEX(INDIRECT("'Выгрузка'!A1402:Z1402"),Настройки!$B$9)),",","."),".",MID(1/2,2,1)),"")</f>
        <v/>
      </c>
      <c r="C1402">
        <f>TRIM(INDEX(INDIRECT("'Выгрузка'!A1402:Z1402"),Настройки!$B$8)&amp;"")</f>
        <v/>
      </c>
      <c r="D1402">
        <f>IFERROR(--SUBSTITUTE(SUBSTITUTE(TRIM(INDEX(INDIRECT("'Выгрузка'!A1402:Z1402"),Настройки!$B$10)),",","."),".",MID(1/2,2,1)),"")</f>
        <v/>
      </c>
      <c r="E1402">
        <f>IFERROR(--SUBSTITUTE(SUBSTITUTE(TRIM(INDEX(INDIRECT("'Выгрузка'!A1402:Z1402"),Настройки!$B$11)),",","."),".",MID(1/2,2,1)),"")</f>
        <v/>
      </c>
      <c r="F1402">
        <f>TRIM(INDEX(INDIRECT("'Выгрузка'!A1402:Z1402"),Настройки!$B$12)&amp;"")</f>
        <v/>
      </c>
      <c r="G1402">
        <f>IF(F1402="",0,IF(TRIM(INDEX(INDIRECT("'Выгрузка'!A1402:Z1402"),Настройки!$B$13)&amp;"")="",1,IFERROR(--SUBSTITUTE(SUBSTITUTE(TRIM(INDEX(INDIRECT("'Выгрузка'!A1402:Z1402"),Настройки!$B$13)),",","."),".",MID(1/2,2,1)),"")))</f>
        <v/>
      </c>
      <c r="H1402">
        <f>IF(F1402="",0,IF(COUNTIF(Настройки!$B$17:$B$26,F1402)&gt;0,1,IF(COUNTIF(Настройки!$C$17:$C$26,F1402)&gt;0,2,IF(COUNTIF(Настройки!$D$17:$D$26,F1402)&gt;0,3,0))))</f>
        <v/>
      </c>
      <c r="I1402">
        <f>IF(AND(ISNUMBER(A1402),ISNUMBER(B1402)),A1402*1000+B1402,"")</f>
        <v/>
      </c>
      <c r="J1402">
        <f>IF(I1402="","",IF(COUNTIF(I$2:I1402,I1402)=1,MAX(J$1:J1401)+1,""))</f>
        <v/>
      </c>
    </row>
    <row r="1403">
      <c r="A1403">
        <f>IFERROR(--SUBSTITUTE(SUBSTITUTE(TRIM(INDEX(INDIRECT("'Выгрузка'!A1403:Z1403"),Настройки!$B$7)),",","."),".",MID(1/2,2,1)),"")</f>
        <v/>
      </c>
      <c r="B1403">
        <f>IFERROR(--SUBSTITUTE(SUBSTITUTE(TRIM(INDEX(INDIRECT("'Выгрузка'!A1403:Z1403"),Настройки!$B$9)),",","."),".",MID(1/2,2,1)),"")</f>
        <v/>
      </c>
      <c r="C1403">
        <f>TRIM(INDEX(INDIRECT("'Выгрузка'!A1403:Z1403"),Настройки!$B$8)&amp;"")</f>
        <v/>
      </c>
      <c r="D1403">
        <f>IFERROR(--SUBSTITUTE(SUBSTITUTE(TRIM(INDEX(INDIRECT("'Выгрузка'!A1403:Z1403"),Настройки!$B$10)),",","."),".",MID(1/2,2,1)),"")</f>
        <v/>
      </c>
      <c r="E1403">
        <f>IFERROR(--SUBSTITUTE(SUBSTITUTE(TRIM(INDEX(INDIRECT("'Выгрузка'!A1403:Z1403"),Настройки!$B$11)),",","."),".",MID(1/2,2,1)),"")</f>
        <v/>
      </c>
      <c r="F1403">
        <f>TRIM(INDEX(INDIRECT("'Выгрузка'!A1403:Z1403"),Настройки!$B$12)&amp;"")</f>
        <v/>
      </c>
      <c r="G1403">
        <f>IF(F1403="",0,IF(TRIM(INDEX(INDIRECT("'Выгрузка'!A1403:Z1403"),Настройки!$B$13)&amp;"")="",1,IFERROR(--SUBSTITUTE(SUBSTITUTE(TRIM(INDEX(INDIRECT("'Выгрузка'!A1403:Z1403"),Настройки!$B$13)),",","."),".",MID(1/2,2,1)),"")))</f>
        <v/>
      </c>
      <c r="H1403">
        <f>IF(F1403="",0,IF(COUNTIF(Настройки!$B$17:$B$26,F1403)&gt;0,1,IF(COUNTIF(Настройки!$C$17:$C$26,F1403)&gt;0,2,IF(COUNTIF(Настройки!$D$17:$D$26,F1403)&gt;0,3,0))))</f>
        <v/>
      </c>
      <c r="I1403">
        <f>IF(AND(ISNUMBER(A1403),ISNUMBER(B1403)),A1403*1000+B1403,"")</f>
        <v/>
      </c>
      <c r="J1403">
        <f>IF(I1403="","",IF(COUNTIF(I$2:I1403,I1403)=1,MAX(J$1:J1402)+1,""))</f>
        <v/>
      </c>
    </row>
    <row r="1404">
      <c r="A1404">
        <f>IFERROR(--SUBSTITUTE(SUBSTITUTE(TRIM(INDEX(INDIRECT("'Выгрузка'!A1404:Z1404"),Настройки!$B$7)),",","."),".",MID(1/2,2,1)),"")</f>
        <v/>
      </c>
      <c r="B1404">
        <f>IFERROR(--SUBSTITUTE(SUBSTITUTE(TRIM(INDEX(INDIRECT("'Выгрузка'!A1404:Z1404"),Настройки!$B$9)),",","."),".",MID(1/2,2,1)),"")</f>
        <v/>
      </c>
      <c r="C1404">
        <f>TRIM(INDEX(INDIRECT("'Выгрузка'!A1404:Z1404"),Настройки!$B$8)&amp;"")</f>
        <v/>
      </c>
      <c r="D1404">
        <f>IFERROR(--SUBSTITUTE(SUBSTITUTE(TRIM(INDEX(INDIRECT("'Выгрузка'!A1404:Z1404"),Настройки!$B$10)),",","."),".",MID(1/2,2,1)),"")</f>
        <v/>
      </c>
      <c r="E1404">
        <f>IFERROR(--SUBSTITUTE(SUBSTITUTE(TRIM(INDEX(INDIRECT("'Выгрузка'!A1404:Z1404"),Настройки!$B$11)),",","."),".",MID(1/2,2,1)),"")</f>
        <v/>
      </c>
      <c r="F1404">
        <f>TRIM(INDEX(INDIRECT("'Выгрузка'!A1404:Z1404"),Настройки!$B$12)&amp;"")</f>
        <v/>
      </c>
      <c r="G1404">
        <f>IF(F1404="",0,IF(TRIM(INDEX(INDIRECT("'Выгрузка'!A1404:Z1404"),Настройки!$B$13)&amp;"")="",1,IFERROR(--SUBSTITUTE(SUBSTITUTE(TRIM(INDEX(INDIRECT("'Выгрузка'!A1404:Z1404"),Настройки!$B$13)),",","."),".",MID(1/2,2,1)),"")))</f>
        <v/>
      </c>
      <c r="H1404">
        <f>IF(F1404="",0,IF(COUNTIF(Настройки!$B$17:$B$26,F1404)&gt;0,1,IF(COUNTIF(Настройки!$C$17:$C$26,F1404)&gt;0,2,IF(COUNTIF(Настройки!$D$17:$D$26,F1404)&gt;0,3,0))))</f>
        <v/>
      </c>
      <c r="I1404">
        <f>IF(AND(ISNUMBER(A1404),ISNUMBER(B1404)),A1404*1000+B1404,"")</f>
        <v/>
      </c>
      <c r="J1404">
        <f>IF(I1404="","",IF(COUNTIF(I$2:I1404,I1404)=1,MAX(J$1:J1403)+1,""))</f>
        <v/>
      </c>
    </row>
    <row r="1405">
      <c r="A1405">
        <f>IFERROR(--SUBSTITUTE(SUBSTITUTE(TRIM(INDEX(INDIRECT("'Выгрузка'!A1405:Z1405"),Настройки!$B$7)),",","."),".",MID(1/2,2,1)),"")</f>
        <v/>
      </c>
      <c r="B1405">
        <f>IFERROR(--SUBSTITUTE(SUBSTITUTE(TRIM(INDEX(INDIRECT("'Выгрузка'!A1405:Z1405"),Настройки!$B$9)),",","."),".",MID(1/2,2,1)),"")</f>
        <v/>
      </c>
      <c r="C1405">
        <f>TRIM(INDEX(INDIRECT("'Выгрузка'!A1405:Z1405"),Настройки!$B$8)&amp;"")</f>
        <v/>
      </c>
      <c r="D1405">
        <f>IFERROR(--SUBSTITUTE(SUBSTITUTE(TRIM(INDEX(INDIRECT("'Выгрузка'!A1405:Z1405"),Настройки!$B$10)),",","."),".",MID(1/2,2,1)),"")</f>
        <v/>
      </c>
      <c r="E1405">
        <f>IFERROR(--SUBSTITUTE(SUBSTITUTE(TRIM(INDEX(INDIRECT("'Выгрузка'!A1405:Z1405"),Настройки!$B$11)),",","."),".",MID(1/2,2,1)),"")</f>
        <v/>
      </c>
      <c r="F1405">
        <f>TRIM(INDEX(INDIRECT("'Выгрузка'!A1405:Z1405"),Настройки!$B$12)&amp;"")</f>
        <v/>
      </c>
      <c r="G1405">
        <f>IF(F1405="",0,IF(TRIM(INDEX(INDIRECT("'Выгрузка'!A1405:Z1405"),Настройки!$B$13)&amp;"")="",1,IFERROR(--SUBSTITUTE(SUBSTITUTE(TRIM(INDEX(INDIRECT("'Выгрузка'!A1405:Z1405"),Настройки!$B$13)),",","."),".",MID(1/2,2,1)),"")))</f>
        <v/>
      </c>
      <c r="H1405">
        <f>IF(F1405="",0,IF(COUNTIF(Настройки!$B$17:$B$26,F1405)&gt;0,1,IF(COUNTIF(Настройки!$C$17:$C$26,F1405)&gt;0,2,IF(COUNTIF(Настройки!$D$17:$D$26,F1405)&gt;0,3,0))))</f>
        <v/>
      </c>
      <c r="I1405">
        <f>IF(AND(ISNUMBER(A1405),ISNUMBER(B1405)),A1405*1000+B1405,"")</f>
        <v/>
      </c>
      <c r="J1405">
        <f>IF(I1405="","",IF(COUNTIF(I$2:I1405,I1405)=1,MAX(J$1:J1404)+1,""))</f>
        <v/>
      </c>
    </row>
    <row r="1406">
      <c r="A1406">
        <f>IFERROR(--SUBSTITUTE(SUBSTITUTE(TRIM(INDEX(INDIRECT("'Выгрузка'!A1406:Z1406"),Настройки!$B$7)),",","."),".",MID(1/2,2,1)),"")</f>
        <v/>
      </c>
      <c r="B1406">
        <f>IFERROR(--SUBSTITUTE(SUBSTITUTE(TRIM(INDEX(INDIRECT("'Выгрузка'!A1406:Z1406"),Настройки!$B$9)),",","."),".",MID(1/2,2,1)),"")</f>
        <v/>
      </c>
      <c r="C1406">
        <f>TRIM(INDEX(INDIRECT("'Выгрузка'!A1406:Z1406"),Настройки!$B$8)&amp;"")</f>
        <v/>
      </c>
      <c r="D1406">
        <f>IFERROR(--SUBSTITUTE(SUBSTITUTE(TRIM(INDEX(INDIRECT("'Выгрузка'!A1406:Z1406"),Настройки!$B$10)),",","."),".",MID(1/2,2,1)),"")</f>
        <v/>
      </c>
      <c r="E1406">
        <f>IFERROR(--SUBSTITUTE(SUBSTITUTE(TRIM(INDEX(INDIRECT("'Выгрузка'!A1406:Z1406"),Настройки!$B$11)),",","."),".",MID(1/2,2,1)),"")</f>
        <v/>
      </c>
      <c r="F1406">
        <f>TRIM(INDEX(INDIRECT("'Выгрузка'!A1406:Z1406"),Настройки!$B$12)&amp;"")</f>
        <v/>
      </c>
      <c r="G1406">
        <f>IF(F1406="",0,IF(TRIM(INDEX(INDIRECT("'Выгрузка'!A1406:Z1406"),Настройки!$B$13)&amp;"")="",1,IFERROR(--SUBSTITUTE(SUBSTITUTE(TRIM(INDEX(INDIRECT("'Выгрузка'!A1406:Z1406"),Настройки!$B$13)),",","."),".",MID(1/2,2,1)),"")))</f>
        <v/>
      </c>
      <c r="H1406">
        <f>IF(F1406="",0,IF(COUNTIF(Настройки!$B$17:$B$26,F1406)&gt;0,1,IF(COUNTIF(Настройки!$C$17:$C$26,F1406)&gt;0,2,IF(COUNTIF(Настройки!$D$17:$D$26,F1406)&gt;0,3,0))))</f>
        <v/>
      </c>
      <c r="I1406">
        <f>IF(AND(ISNUMBER(A1406),ISNUMBER(B1406)),A1406*1000+B1406,"")</f>
        <v/>
      </c>
      <c r="J1406">
        <f>IF(I1406="","",IF(COUNTIF(I$2:I1406,I1406)=1,MAX(J$1:J1405)+1,""))</f>
        <v/>
      </c>
    </row>
    <row r="1407">
      <c r="A1407">
        <f>IFERROR(--SUBSTITUTE(SUBSTITUTE(TRIM(INDEX(INDIRECT("'Выгрузка'!A1407:Z1407"),Настройки!$B$7)),",","."),".",MID(1/2,2,1)),"")</f>
        <v/>
      </c>
      <c r="B1407">
        <f>IFERROR(--SUBSTITUTE(SUBSTITUTE(TRIM(INDEX(INDIRECT("'Выгрузка'!A1407:Z1407"),Настройки!$B$9)),",","."),".",MID(1/2,2,1)),"")</f>
        <v/>
      </c>
      <c r="C1407">
        <f>TRIM(INDEX(INDIRECT("'Выгрузка'!A1407:Z1407"),Настройки!$B$8)&amp;"")</f>
        <v/>
      </c>
      <c r="D1407">
        <f>IFERROR(--SUBSTITUTE(SUBSTITUTE(TRIM(INDEX(INDIRECT("'Выгрузка'!A1407:Z1407"),Настройки!$B$10)),",","."),".",MID(1/2,2,1)),"")</f>
        <v/>
      </c>
      <c r="E1407">
        <f>IFERROR(--SUBSTITUTE(SUBSTITUTE(TRIM(INDEX(INDIRECT("'Выгрузка'!A1407:Z1407"),Настройки!$B$11)),",","."),".",MID(1/2,2,1)),"")</f>
        <v/>
      </c>
      <c r="F1407">
        <f>TRIM(INDEX(INDIRECT("'Выгрузка'!A1407:Z1407"),Настройки!$B$12)&amp;"")</f>
        <v/>
      </c>
      <c r="G1407">
        <f>IF(F1407="",0,IF(TRIM(INDEX(INDIRECT("'Выгрузка'!A1407:Z1407"),Настройки!$B$13)&amp;"")="",1,IFERROR(--SUBSTITUTE(SUBSTITUTE(TRIM(INDEX(INDIRECT("'Выгрузка'!A1407:Z1407"),Настройки!$B$13)),",","."),".",MID(1/2,2,1)),"")))</f>
        <v/>
      </c>
      <c r="H1407">
        <f>IF(F1407="",0,IF(COUNTIF(Настройки!$B$17:$B$26,F1407)&gt;0,1,IF(COUNTIF(Настройки!$C$17:$C$26,F1407)&gt;0,2,IF(COUNTIF(Настройки!$D$17:$D$26,F1407)&gt;0,3,0))))</f>
        <v/>
      </c>
      <c r="I1407">
        <f>IF(AND(ISNUMBER(A1407),ISNUMBER(B1407)),A1407*1000+B1407,"")</f>
        <v/>
      </c>
      <c r="J1407">
        <f>IF(I1407="","",IF(COUNTIF(I$2:I1407,I1407)=1,MAX(J$1:J1406)+1,""))</f>
        <v/>
      </c>
    </row>
    <row r="1408">
      <c r="A1408">
        <f>IFERROR(--SUBSTITUTE(SUBSTITUTE(TRIM(INDEX(INDIRECT("'Выгрузка'!A1408:Z1408"),Настройки!$B$7)),",","."),".",MID(1/2,2,1)),"")</f>
        <v/>
      </c>
      <c r="B1408">
        <f>IFERROR(--SUBSTITUTE(SUBSTITUTE(TRIM(INDEX(INDIRECT("'Выгрузка'!A1408:Z1408"),Настройки!$B$9)),",","."),".",MID(1/2,2,1)),"")</f>
        <v/>
      </c>
      <c r="C1408">
        <f>TRIM(INDEX(INDIRECT("'Выгрузка'!A1408:Z1408"),Настройки!$B$8)&amp;"")</f>
        <v/>
      </c>
      <c r="D1408">
        <f>IFERROR(--SUBSTITUTE(SUBSTITUTE(TRIM(INDEX(INDIRECT("'Выгрузка'!A1408:Z1408"),Настройки!$B$10)),",","."),".",MID(1/2,2,1)),"")</f>
        <v/>
      </c>
      <c r="E1408">
        <f>IFERROR(--SUBSTITUTE(SUBSTITUTE(TRIM(INDEX(INDIRECT("'Выгрузка'!A1408:Z1408"),Настройки!$B$11)),",","."),".",MID(1/2,2,1)),"")</f>
        <v/>
      </c>
      <c r="F1408">
        <f>TRIM(INDEX(INDIRECT("'Выгрузка'!A1408:Z1408"),Настройки!$B$12)&amp;"")</f>
        <v/>
      </c>
      <c r="G1408">
        <f>IF(F1408="",0,IF(TRIM(INDEX(INDIRECT("'Выгрузка'!A1408:Z1408"),Настройки!$B$13)&amp;"")="",1,IFERROR(--SUBSTITUTE(SUBSTITUTE(TRIM(INDEX(INDIRECT("'Выгрузка'!A1408:Z1408"),Настройки!$B$13)),",","."),".",MID(1/2,2,1)),"")))</f>
        <v/>
      </c>
      <c r="H1408">
        <f>IF(F1408="",0,IF(COUNTIF(Настройки!$B$17:$B$26,F1408)&gt;0,1,IF(COUNTIF(Настройки!$C$17:$C$26,F1408)&gt;0,2,IF(COUNTIF(Настройки!$D$17:$D$26,F1408)&gt;0,3,0))))</f>
        <v/>
      </c>
      <c r="I1408">
        <f>IF(AND(ISNUMBER(A1408),ISNUMBER(B1408)),A1408*1000+B1408,"")</f>
        <v/>
      </c>
      <c r="J1408">
        <f>IF(I1408="","",IF(COUNTIF(I$2:I1408,I1408)=1,MAX(J$1:J1407)+1,""))</f>
        <v/>
      </c>
    </row>
    <row r="1409">
      <c r="A1409">
        <f>IFERROR(--SUBSTITUTE(SUBSTITUTE(TRIM(INDEX(INDIRECT("'Выгрузка'!A1409:Z1409"),Настройки!$B$7)),",","."),".",MID(1/2,2,1)),"")</f>
        <v/>
      </c>
      <c r="B1409">
        <f>IFERROR(--SUBSTITUTE(SUBSTITUTE(TRIM(INDEX(INDIRECT("'Выгрузка'!A1409:Z1409"),Настройки!$B$9)),",","."),".",MID(1/2,2,1)),"")</f>
        <v/>
      </c>
      <c r="C1409">
        <f>TRIM(INDEX(INDIRECT("'Выгрузка'!A1409:Z1409"),Настройки!$B$8)&amp;"")</f>
        <v/>
      </c>
      <c r="D1409">
        <f>IFERROR(--SUBSTITUTE(SUBSTITUTE(TRIM(INDEX(INDIRECT("'Выгрузка'!A1409:Z1409"),Настройки!$B$10)),",","."),".",MID(1/2,2,1)),"")</f>
        <v/>
      </c>
      <c r="E1409">
        <f>IFERROR(--SUBSTITUTE(SUBSTITUTE(TRIM(INDEX(INDIRECT("'Выгрузка'!A1409:Z1409"),Настройки!$B$11)),",","."),".",MID(1/2,2,1)),"")</f>
        <v/>
      </c>
      <c r="F1409">
        <f>TRIM(INDEX(INDIRECT("'Выгрузка'!A1409:Z1409"),Настройки!$B$12)&amp;"")</f>
        <v/>
      </c>
      <c r="G1409">
        <f>IF(F1409="",0,IF(TRIM(INDEX(INDIRECT("'Выгрузка'!A1409:Z1409"),Настройки!$B$13)&amp;"")="",1,IFERROR(--SUBSTITUTE(SUBSTITUTE(TRIM(INDEX(INDIRECT("'Выгрузка'!A1409:Z1409"),Настройки!$B$13)),",","."),".",MID(1/2,2,1)),"")))</f>
        <v/>
      </c>
      <c r="H1409">
        <f>IF(F1409="",0,IF(COUNTIF(Настройки!$B$17:$B$26,F1409)&gt;0,1,IF(COUNTIF(Настройки!$C$17:$C$26,F1409)&gt;0,2,IF(COUNTIF(Настройки!$D$17:$D$26,F1409)&gt;0,3,0))))</f>
        <v/>
      </c>
      <c r="I1409">
        <f>IF(AND(ISNUMBER(A1409),ISNUMBER(B1409)),A1409*1000+B1409,"")</f>
        <v/>
      </c>
      <c r="J1409">
        <f>IF(I1409="","",IF(COUNTIF(I$2:I1409,I1409)=1,MAX(J$1:J1408)+1,""))</f>
        <v/>
      </c>
    </row>
    <row r="1410">
      <c r="A1410">
        <f>IFERROR(--SUBSTITUTE(SUBSTITUTE(TRIM(INDEX(INDIRECT("'Выгрузка'!A1410:Z1410"),Настройки!$B$7)),",","."),".",MID(1/2,2,1)),"")</f>
        <v/>
      </c>
      <c r="B1410">
        <f>IFERROR(--SUBSTITUTE(SUBSTITUTE(TRIM(INDEX(INDIRECT("'Выгрузка'!A1410:Z1410"),Настройки!$B$9)),",","."),".",MID(1/2,2,1)),"")</f>
        <v/>
      </c>
      <c r="C1410">
        <f>TRIM(INDEX(INDIRECT("'Выгрузка'!A1410:Z1410"),Настройки!$B$8)&amp;"")</f>
        <v/>
      </c>
      <c r="D1410">
        <f>IFERROR(--SUBSTITUTE(SUBSTITUTE(TRIM(INDEX(INDIRECT("'Выгрузка'!A1410:Z1410"),Настройки!$B$10)),",","."),".",MID(1/2,2,1)),"")</f>
        <v/>
      </c>
      <c r="E1410">
        <f>IFERROR(--SUBSTITUTE(SUBSTITUTE(TRIM(INDEX(INDIRECT("'Выгрузка'!A1410:Z1410"),Настройки!$B$11)),",","."),".",MID(1/2,2,1)),"")</f>
        <v/>
      </c>
      <c r="F1410">
        <f>TRIM(INDEX(INDIRECT("'Выгрузка'!A1410:Z1410"),Настройки!$B$12)&amp;"")</f>
        <v/>
      </c>
      <c r="G1410">
        <f>IF(F1410="",0,IF(TRIM(INDEX(INDIRECT("'Выгрузка'!A1410:Z1410"),Настройки!$B$13)&amp;"")="",1,IFERROR(--SUBSTITUTE(SUBSTITUTE(TRIM(INDEX(INDIRECT("'Выгрузка'!A1410:Z1410"),Настройки!$B$13)),",","."),".",MID(1/2,2,1)),"")))</f>
        <v/>
      </c>
      <c r="H1410">
        <f>IF(F1410="",0,IF(COUNTIF(Настройки!$B$17:$B$26,F1410)&gt;0,1,IF(COUNTIF(Настройки!$C$17:$C$26,F1410)&gt;0,2,IF(COUNTIF(Настройки!$D$17:$D$26,F1410)&gt;0,3,0))))</f>
        <v/>
      </c>
      <c r="I1410">
        <f>IF(AND(ISNUMBER(A1410),ISNUMBER(B1410)),A1410*1000+B1410,"")</f>
        <v/>
      </c>
      <c r="J1410">
        <f>IF(I1410="","",IF(COUNTIF(I$2:I1410,I1410)=1,MAX(J$1:J1409)+1,""))</f>
        <v/>
      </c>
    </row>
    <row r="1411">
      <c r="A1411">
        <f>IFERROR(--SUBSTITUTE(SUBSTITUTE(TRIM(INDEX(INDIRECT("'Выгрузка'!A1411:Z1411"),Настройки!$B$7)),",","."),".",MID(1/2,2,1)),"")</f>
        <v/>
      </c>
      <c r="B1411">
        <f>IFERROR(--SUBSTITUTE(SUBSTITUTE(TRIM(INDEX(INDIRECT("'Выгрузка'!A1411:Z1411"),Настройки!$B$9)),",","."),".",MID(1/2,2,1)),"")</f>
        <v/>
      </c>
      <c r="C1411">
        <f>TRIM(INDEX(INDIRECT("'Выгрузка'!A1411:Z1411"),Настройки!$B$8)&amp;"")</f>
        <v/>
      </c>
      <c r="D1411">
        <f>IFERROR(--SUBSTITUTE(SUBSTITUTE(TRIM(INDEX(INDIRECT("'Выгрузка'!A1411:Z1411"),Настройки!$B$10)),",","."),".",MID(1/2,2,1)),"")</f>
        <v/>
      </c>
      <c r="E1411">
        <f>IFERROR(--SUBSTITUTE(SUBSTITUTE(TRIM(INDEX(INDIRECT("'Выгрузка'!A1411:Z1411"),Настройки!$B$11)),",","."),".",MID(1/2,2,1)),"")</f>
        <v/>
      </c>
      <c r="F1411">
        <f>TRIM(INDEX(INDIRECT("'Выгрузка'!A1411:Z1411"),Настройки!$B$12)&amp;"")</f>
        <v/>
      </c>
      <c r="G1411">
        <f>IF(F1411="",0,IF(TRIM(INDEX(INDIRECT("'Выгрузка'!A1411:Z1411"),Настройки!$B$13)&amp;"")="",1,IFERROR(--SUBSTITUTE(SUBSTITUTE(TRIM(INDEX(INDIRECT("'Выгрузка'!A1411:Z1411"),Настройки!$B$13)),",","."),".",MID(1/2,2,1)),"")))</f>
        <v/>
      </c>
      <c r="H1411">
        <f>IF(F1411="",0,IF(COUNTIF(Настройки!$B$17:$B$26,F1411)&gt;0,1,IF(COUNTIF(Настройки!$C$17:$C$26,F1411)&gt;0,2,IF(COUNTIF(Настройки!$D$17:$D$26,F1411)&gt;0,3,0))))</f>
        <v/>
      </c>
      <c r="I1411">
        <f>IF(AND(ISNUMBER(A1411),ISNUMBER(B1411)),A1411*1000+B1411,"")</f>
        <v/>
      </c>
      <c r="J1411">
        <f>IF(I1411="","",IF(COUNTIF(I$2:I1411,I1411)=1,MAX(J$1:J1410)+1,""))</f>
        <v/>
      </c>
    </row>
    <row r="1412">
      <c r="A1412">
        <f>IFERROR(--SUBSTITUTE(SUBSTITUTE(TRIM(INDEX(INDIRECT("'Выгрузка'!A1412:Z1412"),Настройки!$B$7)),",","."),".",MID(1/2,2,1)),"")</f>
        <v/>
      </c>
      <c r="B1412">
        <f>IFERROR(--SUBSTITUTE(SUBSTITUTE(TRIM(INDEX(INDIRECT("'Выгрузка'!A1412:Z1412"),Настройки!$B$9)),",","."),".",MID(1/2,2,1)),"")</f>
        <v/>
      </c>
      <c r="C1412">
        <f>TRIM(INDEX(INDIRECT("'Выгрузка'!A1412:Z1412"),Настройки!$B$8)&amp;"")</f>
        <v/>
      </c>
      <c r="D1412">
        <f>IFERROR(--SUBSTITUTE(SUBSTITUTE(TRIM(INDEX(INDIRECT("'Выгрузка'!A1412:Z1412"),Настройки!$B$10)),",","."),".",MID(1/2,2,1)),"")</f>
        <v/>
      </c>
      <c r="E1412">
        <f>IFERROR(--SUBSTITUTE(SUBSTITUTE(TRIM(INDEX(INDIRECT("'Выгрузка'!A1412:Z1412"),Настройки!$B$11)),",","."),".",MID(1/2,2,1)),"")</f>
        <v/>
      </c>
      <c r="F1412">
        <f>TRIM(INDEX(INDIRECT("'Выгрузка'!A1412:Z1412"),Настройки!$B$12)&amp;"")</f>
        <v/>
      </c>
      <c r="G1412">
        <f>IF(F1412="",0,IF(TRIM(INDEX(INDIRECT("'Выгрузка'!A1412:Z1412"),Настройки!$B$13)&amp;"")="",1,IFERROR(--SUBSTITUTE(SUBSTITUTE(TRIM(INDEX(INDIRECT("'Выгрузка'!A1412:Z1412"),Настройки!$B$13)),",","."),".",MID(1/2,2,1)),"")))</f>
        <v/>
      </c>
      <c r="H1412">
        <f>IF(F1412="",0,IF(COUNTIF(Настройки!$B$17:$B$26,F1412)&gt;0,1,IF(COUNTIF(Настройки!$C$17:$C$26,F1412)&gt;0,2,IF(COUNTIF(Настройки!$D$17:$D$26,F1412)&gt;0,3,0))))</f>
        <v/>
      </c>
      <c r="I1412">
        <f>IF(AND(ISNUMBER(A1412),ISNUMBER(B1412)),A1412*1000+B1412,"")</f>
        <v/>
      </c>
      <c r="J1412">
        <f>IF(I1412="","",IF(COUNTIF(I$2:I1412,I1412)=1,MAX(J$1:J1411)+1,""))</f>
        <v/>
      </c>
    </row>
    <row r="1413">
      <c r="A1413">
        <f>IFERROR(--SUBSTITUTE(SUBSTITUTE(TRIM(INDEX(INDIRECT("'Выгрузка'!A1413:Z1413"),Настройки!$B$7)),",","."),".",MID(1/2,2,1)),"")</f>
        <v/>
      </c>
      <c r="B1413">
        <f>IFERROR(--SUBSTITUTE(SUBSTITUTE(TRIM(INDEX(INDIRECT("'Выгрузка'!A1413:Z1413"),Настройки!$B$9)),",","."),".",MID(1/2,2,1)),"")</f>
        <v/>
      </c>
      <c r="C1413">
        <f>TRIM(INDEX(INDIRECT("'Выгрузка'!A1413:Z1413"),Настройки!$B$8)&amp;"")</f>
        <v/>
      </c>
      <c r="D1413">
        <f>IFERROR(--SUBSTITUTE(SUBSTITUTE(TRIM(INDEX(INDIRECT("'Выгрузка'!A1413:Z1413"),Настройки!$B$10)),",","."),".",MID(1/2,2,1)),"")</f>
        <v/>
      </c>
      <c r="E1413">
        <f>IFERROR(--SUBSTITUTE(SUBSTITUTE(TRIM(INDEX(INDIRECT("'Выгрузка'!A1413:Z1413"),Настройки!$B$11)),",","."),".",MID(1/2,2,1)),"")</f>
        <v/>
      </c>
      <c r="F1413">
        <f>TRIM(INDEX(INDIRECT("'Выгрузка'!A1413:Z1413"),Настройки!$B$12)&amp;"")</f>
        <v/>
      </c>
      <c r="G1413">
        <f>IF(F1413="",0,IF(TRIM(INDEX(INDIRECT("'Выгрузка'!A1413:Z1413"),Настройки!$B$13)&amp;"")="",1,IFERROR(--SUBSTITUTE(SUBSTITUTE(TRIM(INDEX(INDIRECT("'Выгрузка'!A1413:Z1413"),Настройки!$B$13)),",","."),".",MID(1/2,2,1)),"")))</f>
        <v/>
      </c>
      <c r="H1413">
        <f>IF(F1413="",0,IF(COUNTIF(Настройки!$B$17:$B$26,F1413)&gt;0,1,IF(COUNTIF(Настройки!$C$17:$C$26,F1413)&gt;0,2,IF(COUNTIF(Настройки!$D$17:$D$26,F1413)&gt;0,3,0))))</f>
        <v/>
      </c>
      <c r="I1413">
        <f>IF(AND(ISNUMBER(A1413),ISNUMBER(B1413)),A1413*1000+B1413,"")</f>
        <v/>
      </c>
      <c r="J1413">
        <f>IF(I1413="","",IF(COUNTIF(I$2:I1413,I1413)=1,MAX(J$1:J1412)+1,""))</f>
        <v/>
      </c>
    </row>
    <row r="1414">
      <c r="A1414">
        <f>IFERROR(--SUBSTITUTE(SUBSTITUTE(TRIM(INDEX(INDIRECT("'Выгрузка'!A1414:Z1414"),Настройки!$B$7)),",","."),".",MID(1/2,2,1)),"")</f>
        <v/>
      </c>
      <c r="B1414">
        <f>IFERROR(--SUBSTITUTE(SUBSTITUTE(TRIM(INDEX(INDIRECT("'Выгрузка'!A1414:Z1414"),Настройки!$B$9)),",","."),".",MID(1/2,2,1)),"")</f>
        <v/>
      </c>
      <c r="C1414">
        <f>TRIM(INDEX(INDIRECT("'Выгрузка'!A1414:Z1414"),Настройки!$B$8)&amp;"")</f>
        <v/>
      </c>
      <c r="D1414">
        <f>IFERROR(--SUBSTITUTE(SUBSTITUTE(TRIM(INDEX(INDIRECT("'Выгрузка'!A1414:Z1414"),Настройки!$B$10)),",","."),".",MID(1/2,2,1)),"")</f>
        <v/>
      </c>
      <c r="E1414">
        <f>IFERROR(--SUBSTITUTE(SUBSTITUTE(TRIM(INDEX(INDIRECT("'Выгрузка'!A1414:Z1414"),Настройки!$B$11)),",","."),".",MID(1/2,2,1)),"")</f>
        <v/>
      </c>
      <c r="F1414">
        <f>TRIM(INDEX(INDIRECT("'Выгрузка'!A1414:Z1414"),Настройки!$B$12)&amp;"")</f>
        <v/>
      </c>
      <c r="G1414">
        <f>IF(F1414="",0,IF(TRIM(INDEX(INDIRECT("'Выгрузка'!A1414:Z1414"),Настройки!$B$13)&amp;"")="",1,IFERROR(--SUBSTITUTE(SUBSTITUTE(TRIM(INDEX(INDIRECT("'Выгрузка'!A1414:Z1414"),Настройки!$B$13)),",","."),".",MID(1/2,2,1)),"")))</f>
        <v/>
      </c>
      <c r="H1414">
        <f>IF(F1414="",0,IF(COUNTIF(Настройки!$B$17:$B$26,F1414)&gt;0,1,IF(COUNTIF(Настройки!$C$17:$C$26,F1414)&gt;0,2,IF(COUNTIF(Настройки!$D$17:$D$26,F1414)&gt;0,3,0))))</f>
        <v/>
      </c>
      <c r="I1414">
        <f>IF(AND(ISNUMBER(A1414),ISNUMBER(B1414)),A1414*1000+B1414,"")</f>
        <v/>
      </c>
      <c r="J1414">
        <f>IF(I1414="","",IF(COUNTIF(I$2:I1414,I1414)=1,MAX(J$1:J1413)+1,""))</f>
        <v/>
      </c>
    </row>
    <row r="1415">
      <c r="A1415">
        <f>IFERROR(--SUBSTITUTE(SUBSTITUTE(TRIM(INDEX(INDIRECT("'Выгрузка'!A1415:Z1415"),Настройки!$B$7)),",","."),".",MID(1/2,2,1)),"")</f>
        <v/>
      </c>
      <c r="B1415">
        <f>IFERROR(--SUBSTITUTE(SUBSTITUTE(TRIM(INDEX(INDIRECT("'Выгрузка'!A1415:Z1415"),Настройки!$B$9)),",","."),".",MID(1/2,2,1)),"")</f>
        <v/>
      </c>
      <c r="C1415">
        <f>TRIM(INDEX(INDIRECT("'Выгрузка'!A1415:Z1415"),Настройки!$B$8)&amp;"")</f>
        <v/>
      </c>
      <c r="D1415">
        <f>IFERROR(--SUBSTITUTE(SUBSTITUTE(TRIM(INDEX(INDIRECT("'Выгрузка'!A1415:Z1415"),Настройки!$B$10)),",","."),".",MID(1/2,2,1)),"")</f>
        <v/>
      </c>
      <c r="E1415">
        <f>IFERROR(--SUBSTITUTE(SUBSTITUTE(TRIM(INDEX(INDIRECT("'Выгрузка'!A1415:Z1415"),Настройки!$B$11)),",","."),".",MID(1/2,2,1)),"")</f>
        <v/>
      </c>
      <c r="F1415">
        <f>TRIM(INDEX(INDIRECT("'Выгрузка'!A1415:Z1415"),Настройки!$B$12)&amp;"")</f>
        <v/>
      </c>
      <c r="G1415">
        <f>IF(F1415="",0,IF(TRIM(INDEX(INDIRECT("'Выгрузка'!A1415:Z1415"),Настройки!$B$13)&amp;"")="",1,IFERROR(--SUBSTITUTE(SUBSTITUTE(TRIM(INDEX(INDIRECT("'Выгрузка'!A1415:Z1415"),Настройки!$B$13)),",","."),".",MID(1/2,2,1)),"")))</f>
        <v/>
      </c>
      <c r="H1415">
        <f>IF(F1415="",0,IF(COUNTIF(Настройки!$B$17:$B$26,F1415)&gt;0,1,IF(COUNTIF(Настройки!$C$17:$C$26,F1415)&gt;0,2,IF(COUNTIF(Настройки!$D$17:$D$26,F1415)&gt;0,3,0))))</f>
        <v/>
      </c>
      <c r="I1415">
        <f>IF(AND(ISNUMBER(A1415),ISNUMBER(B1415)),A1415*1000+B1415,"")</f>
        <v/>
      </c>
      <c r="J1415">
        <f>IF(I1415="","",IF(COUNTIF(I$2:I1415,I1415)=1,MAX(J$1:J1414)+1,""))</f>
        <v/>
      </c>
    </row>
    <row r="1416">
      <c r="A1416">
        <f>IFERROR(--SUBSTITUTE(SUBSTITUTE(TRIM(INDEX(INDIRECT("'Выгрузка'!A1416:Z1416"),Настройки!$B$7)),",","."),".",MID(1/2,2,1)),"")</f>
        <v/>
      </c>
      <c r="B1416">
        <f>IFERROR(--SUBSTITUTE(SUBSTITUTE(TRIM(INDEX(INDIRECT("'Выгрузка'!A1416:Z1416"),Настройки!$B$9)),",","."),".",MID(1/2,2,1)),"")</f>
        <v/>
      </c>
      <c r="C1416">
        <f>TRIM(INDEX(INDIRECT("'Выгрузка'!A1416:Z1416"),Настройки!$B$8)&amp;"")</f>
        <v/>
      </c>
      <c r="D1416">
        <f>IFERROR(--SUBSTITUTE(SUBSTITUTE(TRIM(INDEX(INDIRECT("'Выгрузка'!A1416:Z1416"),Настройки!$B$10)),",","."),".",MID(1/2,2,1)),"")</f>
        <v/>
      </c>
      <c r="E1416">
        <f>IFERROR(--SUBSTITUTE(SUBSTITUTE(TRIM(INDEX(INDIRECT("'Выгрузка'!A1416:Z1416"),Настройки!$B$11)),",","."),".",MID(1/2,2,1)),"")</f>
        <v/>
      </c>
      <c r="F1416">
        <f>TRIM(INDEX(INDIRECT("'Выгрузка'!A1416:Z1416"),Настройки!$B$12)&amp;"")</f>
        <v/>
      </c>
      <c r="G1416">
        <f>IF(F1416="",0,IF(TRIM(INDEX(INDIRECT("'Выгрузка'!A1416:Z1416"),Настройки!$B$13)&amp;"")="",1,IFERROR(--SUBSTITUTE(SUBSTITUTE(TRIM(INDEX(INDIRECT("'Выгрузка'!A1416:Z1416"),Настройки!$B$13)),",","."),".",MID(1/2,2,1)),"")))</f>
        <v/>
      </c>
      <c r="H1416">
        <f>IF(F1416="",0,IF(COUNTIF(Настройки!$B$17:$B$26,F1416)&gt;0,1,IF(COUNTIF(Настройки!$C$17:$C$26,F1416)&gt;0,2,IF(COUNTIF(Настройки!$D$17:$D$26,F1416)&gt;0,3,0))))</f>
        <v/>
      </c>
      <c r="I1416">
        <f>IF(AND(ISNUMBER(A1416),ISNUMBER(B1416)),A1416*1000+B1416,"")</f>
        <v/>
      </c>
      <c r="J1416">
        <f>IF(I1416="","",IF(COUNTIF(I$2:I1416,I1416)=1,MAX(J$1:J1415)+1,""))</f>
        <v/>
      </c>
    </row>
    <row r="1417">
      <c r="A1417">
        <f>IFERROR(--SUBSTITUTE(SUBSTITUTE(TRIM(INDEX(INDIRECT("'Выгрузка'!A1417:Z1417"),Настройки!$B$7)),",","."),".",MID(1/2,2,1)),"")</f>
        <v/>
      </c>
      <c r="B1417">
        <f>IFERROR(--SUBSTITUTE(SUBSTITUTE(TRIM(INDEX(INDIRECT("'Выгрузка'!A1417:Z1417"),Настройки!$B$9)),",","."),".",MID(1/2,2,1)),"")</f>
        <v/>
      </c>
      <c r="C1417">
        <f>TRIM(INDEX(INDIRECT("'Выгрузка'!A1417:Z1417"),Настройки!$B$8)&amp;"")</f>
        <v/>
      </c>
      <c r="D1417">
        <f>IFERROR(--SUBSTITUTE(SUBSTITUTE(TRIM(INDEX(INDIRECT("'Выгрузка'!A1417:Z1417"),Настройки!$B$10)),",","."),".",MID(1/2,2,1)),"")</f>
        <v/>
      </c>
      <c r="E1417">
        <f>IFERROR(--SUBSTITUTE(SUBSTITUTE(TRIM(INDEX(INDIRECT("'Выгрузка'!A1417:Z1417"),Настройки!$B$11)),",","."),".",MID(1/2,2,1)),"")</f>
        <v/>
      </c>
      <c r="F1417">
        <f>TRIM(INDEX(INDIRECT("'Выгрузка'!A1417:Z1417"),Настройки!$B$12)&amp;"")</f>
        <v/>
      </c>
      <c r="G1417">
        <f>IF(F1417="",0,IF(TRIM(INDEX(INDIRECT("'Выгрузка'!A1417:Z1417"),Настройки!$B$13)&amp;"")="",1,IFERROR(--SUBSTITUTE(SUBSTITUTE(TRIM(INDEX(INDIRECT("'Выгрузка'!A1417:Z1417"),Настройки!$B$13)),",","."),".",MID(1/2,2,1)),"")))</f>
        <v/>
      </c>
      <c r="H1417">
        <f>IF(F1417="",0,IF(COUNTIF(Настройки!$B$17:$B$26,F1417)&gt;0,1,IF(COUNTIF(Настройки!$C$17:$C$26,F1417)&gt;0,2,IF(COUNTIF(Настройки!$D$17:$D$26,F1417)&gt;0,3,0))))</f>
        <v/>
      </c>
      <c r="I1417">
        <f>IF(AND(ISNUMBER(A1417),ISNUMBER(B1417)),A1417*1000+B1417,"")</f>
        <v/>
      </c>
      <c r="J1417">
        <f>IF(I1417="","",IF(COUNTIF(I$2:I1417,I1417)=1,MAX(J$1:J1416)+1,""))</f>
        <v/>
      </c>
    </row>
    <row r="1418">
      <c r="A1418">
        <f>IFERROR(--SUBSTITUTE(SUBSTITUTE(TRIM(INDEX(INDIRECT("'Выгрузка'!A1418:Z1418"),Настройки!$B$7)),",","."),".",MID(1/2,2,1)),"")</f>
        <v/>
      </c>
      <c r="B1418">
        <f>IFERROR(--SUBSTITUTE(SUBSTITUTE(TRIM(INDEX(INDIRECT("'Выгрузка'!A1418:Z1418"),Настройки!$B$9)),",","."),".",MID(1/2,2,1)),"")</f>
        <v/>
      </c>
      <c r="C1418">
        <f>TRIM(INDEX(INDIRECT("'Выгрузка'!A1418:Z1418"),Настройки!$B$8)&amp;"")</f>
        <v/>
      </c>
      <c r="D1418">
        <f>IFERROR(--SUBSTITUTE(SUBSTITUTE(TRIM(INDEX(INDIRECT("'Выгрузка'!A1418:Z1418"),Настройки!$B$10)),",","."),".",MID(1/2,2,1)),"")</f>
        <v/>
      </c>
      <c r="E1418">
        <f>IFERROR(--SUBSTITUTE(SUBSTITUTE(TRIM(INDEX(INDIRECT("'Выгрузка'!A1418:Z1418"),Настройки!$B$11)),",","."),".",MID(1/2,2,1)),"")</f>
        <v/>
      </c>
      <c r="F1418">
        <f>TRIM(INDEX(INDIRECT("'Выгрузка'!A1418:Z1418"),Настройки!$B$12)&amp;"")</f>
        <v/>
      </c>
      <c r="G1418">
        <f>IF(F1418="",0,IF(TRIM(INDEX(INDIRECT("'Выгрузка'!A1418:Z1418"),Настройки!$B$13)&amp;"")="",1,IFERROR(--SUBSTITUTE(SUBSTITUTE(TRIM(INDEX(INDIRECT("'Выгрузка'!A1418:Z1418"),Настройки!$B$13)),",","."),".",MID(1/2,2,1)),"")))</f>
        <v/>
      </c>
      <c r="H1418">
        <f>IF(F1418="",0,IF(COUNTIF(Настройки!$B$17:$B$26,F1418)&gt;0,1,IF(COUNTIF(Настройки!$C$17:$C$26,F1418)&gt;0,2,IF(COUNTIF(Настройки!$D$17:$D$26,F1418)&gt;0,3,0))))</f>
        <v/>
      </c>
      <c r="I1418">
        <f>IF(AND(ISNUMBER(A1418),ISNUMBER(B1418)),A1418*1000+B1418,"")</f>
        <v/>
      </c>
      <c r="J1418">
        <f>IF(I1418="","",IF(COUNTIF(I$2:I1418,I1418)=1,MAX(J$1:J1417)+1,""))</f>
        <v/>
      </c>
    </row>
    <row r="1419">
      <c r="A1419">
        <f>IFERROR(--SUBSTITUTE(SUBSTITUTE(TRIM(INDEX(INDIRECT("'Выгрузка'!A1419:Z1419"),Настройки!$B$7)),",","."),".",MID(1/2,2,1)),"")</f>
        <v/>
      </c>
      <c r="B1419">
        <f>IFERROR(--SUBSTITUTE(SUBSTITUTE(TRIM(INDEX(INDIRECT("'Выгрузка'!A1419:Z1419"),Настройки!$B$9)),",","."),".",MID(1/2,2,1)),"")</f>
        <v/>
      </c>
      <c r="C1419">
        <f>TRIM(INDEX(INDIRECT("'Выгрузка'!A1419:Z1419"),Настройки!$B$8)&amp;"")</f>
        <v/>
      </c>
      <c r="D1419">
        <f>IFERROR(--SUBSTITUTE(SUBSTITUTE(TRIM(INDEX(INDIRECT("'Выгрузка'!A1419:Z1419"),Настройки!$B$10)),",","."),".",MID(1/2,2,1)),"")</f>
        <v/>
      </c>
      <c r="E1419">
        <f>IFERROR(--SUBSTITUTE(SUBSTITUTE(TRIM(INDEX(INDIRECT("'Выгрузка'!A1419:Z1419"),Настройки!$B$11)),",","."),".",MID(1/2,2,1)),"")</f>
        <v/>
      </c>
      <c r="F1419">
        <f>TRIM(INDEX(INDIRECT("'Выгрузка'!A1419:Z1419"),Настройки!$B$12)&amp;"")</f>
        <v/>
      </c>
      <c r="G1419">
        <f>IF(F1419="",0,IF(TRIM(INDEX(INDIRECT("'Выгрузка'!A1419:Z1419"),Настройки!$B$13)&amp;"")="",1,IFERROR(--SUBSTITUTE(SUBSTITUTE(TRIM(INDEX(INDIRECT("'Выгрузка'!A1419:Z1419"),Настройки!$B$13)),",","."),".",MID(1/2,2,1)),"")))</f>
        <v/>
      </c>
      <c r="H1419">
        <f>IF(F1419="",0,IF(COUNTIF(Настройки!$B$17:$B$26,F1419)&gt;0,1,IF(COUNTIF(Настройки!$C$17:$C$26,F1419)&gt;0,2,IF(COUNTIF(Настройки!$D$17:$D$26,F1419)&gt;0,3,0))))</f>
        <v/>
      </c>
      <c r="I1419">
        <f>IF(AND(ISNUMBER(A1419),ISNUMBER(B1419)),A1419*1000+B1419,"")</f>
        <v/>
      </c>
      <c r="J1419">
        <f>IF(I1419="","",IF(COUNTIF(I$2:I1419,I1419)=1,MAX(J$1:J1418)+1,""))</f>
        <v/>
      </c>
    </row>
    <row r="1420">
      <c r="A1420">
        <f>IFERROR(--SUBSTITUTE(SUBSTITUTE(TRIM(INDEX(INDIRECT("'Выгрузка'!A1420:Z1420"),Настройки!$B$7)),",","."),".",MID(1/2,2,1)),"")</f>
        <v/>
      </c>
      <c r="B1420">
        <f>IFERROR(--SUBSTITUTE(SUBSTITUTE(TRIM(INDEX(INDIRECT("'Выгрузка'!A1420:Z1420"),Настройки!$B$9)),",","."),".",MID(1/2,2,1)),"")</f>
        <v/>
      </c>
      <c r="C1420">
        <f>TRIM(INDEX(INDIRECT("'Выгрузка'!A1420:Z1420"),Настройки!$B$8)&amp;"")</f>
        <v/>
      </c>
      <c r="D1420">
        <f>IFERROR(--SUBSTITUTE(SUBSTITUTE(TRIM(INDEX(INDIRECT("'Выгрузка'!A1420:Z1420"),Настройки!$B$10)),",","."),".",MID(1/2,2,1)),"")</f>
        <v/>
      </c>
      <c r="E1420">
        <f>IFERROR(--SUBSTITUTE(SUBSTITUTE(TRIM(INDEX(INDIRECT("'Выгрузка'!A1420:Z1420"),Настройки!$B$11)),",","."),".",MID(1/2,2,1)),"")</f>
        <v/>
      </c>
      <c r="F1420">
        <f>TRIM(INDEX(INDIRECT("'Выгрузка'!A1420:Z1420"),Настройки!$B$12)&amp;"")</f>
        <v/>
      </c>
      <c r="G1420">
        <f>IF(F1420="",0,IF(TRIM(INDEX(INDIRECT("'Выгрузка'!A1420:Z1420"),Настройки!$B$13)&amp;"")="",1,IFERROR(--SUBSTITUTE(SUBSTITUTE(TRIM(INDEX(INDIRECT("'Выгрузка'!A1420:Z1420"),Настройки!$B$13)),",","."),".",MID(1/2,2,1)),"")))</f>
        <v/>
      </c>
      <c r="H1420">
        <f>IF(F1420="",0,IF(COUNTIF(Настройки!$B$17:$B$26,F1420)&gt;0,1,IF(COUNTIF(Настройки!$C$17:$C$26,F1420)&gt;0,2,IF(COUNTIF(Настройки!$D$17:$D$26,F1420)&gt;0,3,0))))</f>
        <v/>
      </c>
      <c r="I1420">
        <f>IF(AND(ISNUMBER(A1420),ISNUMBER(B1420)),A1420*1000+B1420,"")</f>
        <v/>
      </c>
      <c r="J1420">
        <f>IF(I1420="","",IF(COUNTIF(I$2:I1420,I1420)=1,MAX(J$1:J1419)+1,""))</f>
        <v/>
      </c>
    </row>
    <row r="1421">
      <c r="A1421">
        <f>IFERROR(--SUBSTITUTE(SUBSTITUTE(TRIM(INDEX(INDIRECT("'Выгрузка'!A1421:Z1421"),Настройки!$B$7)),",","."),".",MID(1/2,2,1)),"")</f>
        <v/>
      </c>
      <c r="B1421">
        <f>IFERROR(--SUBSTITUTE(SUBSTITUTE(TRIM(INDEX(INDIRECT("'Выгрузка'!A1421:Z1421"),Настройки!$B$9)),",","."),".",MID(1/2,2,1)),"")</f>
        <v/>
      </c>
      <c r="C1421">
        <f>TRIM(INDEX(INDIRECT("'Выгрузка'!A1421:Z1421"),Настройки!$B$8)&amp;"")</f>
        <v/>
      </c>
      <c r="D1421">
        <f>IFERROR(--SUBSTITUTE(SUBSTITUTE(TRIM(INDEX(INDIRECT("'Выгрузка'!A1421:Z1421"),Настройки!$B$10)),",","."),".",MID(1/2,2,1)),"")</f>
        <v/>
      </c>
      <c r="E1421">
        <f>IFERROR(--SUBSTITUTE(SUBSTITUTE(TRIM(INDEX(INDIRECT("'Выгрузка'!A1421:Z1421"),Настройки!$B$11)),",","."),".",MID(1/2,2,1)),"")</f>
        <v/>
      </c>
      <c r="F1421">
        <f>TRIM(INDEX(INDIRECT("'Выгрузка'!A1421:Z1421"),Настройки!$B$12)&amp;"")</f>
        <v/>
      </c>
      <c r="G1421">
        <f>IF(F1421="",0,IF(TRIM(INDEX(INDIRECT("'Выгрузка'!A1421:Z1421"),Настройки!$B$13)&amp;"")="",1,IFERROR(--SUBSTITUTE(SUBSTITUTE(TRIM(INDEX(INDIRECT("'Выгрузка'!A1421:Z1421"),Настройки!$B$13)),",","."),".",MID(1/2,2,1)),"")))</f>
        <v/>
      </c>
      <c r="H1421">
        <f>IF(F1421="",0,IF(COUNTIF(Настройки!$B$17:$B$26,F1421)&gt;0,1,IF(COUNTIF(Настройки!$C$17:$C$26,F1421)&gt;0,2,IF(COUNTIF(Настройки!$D$17:$D$26,F1421)&gt;0,3,0))))</f>
        <v/>
      </c>
      <c r="I1421">
        <f>IF(AND(ISNUMBER(A1421),ISNUMBER(B1421)),A1421*1000+B1421,"")</f>
        <v/>
      </c>
      <c r="J1421">
        <f>IF(I1421="","",IF(COUNTIF(I$2:I1421,I1421)=1,MAX(J$1:J1420)+1,""))</f>
        <v/>
      </c>
    </row>
    <row r="1422">
      <c r="A1422">
        <f>IFERROR(--SUBSTITUTE(SUBSTITUTE(TRIM(INDEX(INDIRECT("'Выгрузка'!A1422:Z1422"),Настройки!$B$7)),",","."),".",MID(1/2,2,1)),"")</f>
        <v/>
      </c>
      <c r="B1422">
        <f>IFERROR(--SUBSTITUTE(SUBSTITUTE(TRIM(INDEX(INDIRECT("'Выгрузка'!A1422:Z1422"),Настройки!$B$9)),",","."),".",MID(1/2,2,1)),"")</f>
        <v/>
      </c>
      <c r="C1422">
        <f>TRIM(INDEX(INDIRECT("'Выгрузка'!A1422:Z1422"),Настройки!$B$8)&amp;"")</f>
        <v/>
      </c>
      <c r="D1422">
        <f>IFERROR(--SUBSTITUTE(SUBSTITUTE(TRIM(INDEX(INDIRECT("'Выгрузка'!A1422:Z1422"),Настройки!$B$10)),",","."),".",MID(1/2,2,1)),"")</f>
        <v/>
      </c>
      <c r="E1422">
        <f>IFERROR(--SUBSTITUTE(SUBSTITUTE(TRIM(INDEX(INDIRECT("'Выгрузка'!A1422:Z1422"),Настройки!$B$11)),",","."),".",MID(1/2,2,1)),"")</f>
        <v/>
      </c>
      <c r="F1422">
        <f>TRIM(INDEX(INDIRECT("'Выгрузка'!A1422:Z1422"),Настройки!$B$12)&amp;"")</f>
        <v/>
      </c>
      <c r="G1422">
        <f>IF(F1422="",0,IF(TRIM(INDEX(INDIRECT("'Выгрузка'!A1422:Z1422"),Настройки!$B$13)&amp;"")="",1,IFERROR(--SUBSTITUTE(SUBSTITUTE(TRIM(INDEX(INDIRECT("'Выгрузка'!A1422:Z1422"),Настройки!$B$13)),",","."),".",MID(1/2,2,1)),"")))</f>
        <v/>
      </c>
      <c r="H1422">
        <f>IF(F1422="",0,IF(COUNTIF(Настройки!$B$17:$B$26,F1422)&gt;0,1,IF(COUNTIF(Настройки!$C$17:$C$26,F1422)&gt;0,2,IF(COUNTIF(Настройки!$D$17:$D$26,F1422)&gt;0,3,0))))</f>
        <v/>
      </c>
      <c r="I1422">
        <f>IF(AND(ISNUMBER(A1422),ISNUMBER(B1422)),A1422*1000+B1422,"")</f>
        <v/>
      </c>
      <c r="J1422">
        <f>IF(I1422="","",IF(COUNTIF(I$2:I1422,I1422)=1,MAX(J$1:J1421)+1,""))</f>
        <v/>
      </c>
    </row>
    <row r="1423">
      <c r="A1423">
        <f>IFERROR(--SUBSTITUTE(SUBSTITUTE(TRIM(INDEX(INDIRECT("'Выгрузка'!A1423:Z1423"),Настройки!$B$7)),",","."),".",MID(1/2,2,1)),"")</f>
        <v/>
      </c>
      <c r="B1423">
        <f>IFERROR(--SUBSTITUTE(SUBSTITUTE(TRIM(INDEX(INDIRECT("'Выгрузка'!A1423:Z1423"),Настройки!$B$9)),",","."),".",MID(1/2,2,1)),"")</f>
        <v/>
      </c>
      <c r="C1423">
        <f>TRIM(INDEX(INDIRECT("'Выгрузка'!A1423:Z1423"),Настройки!$B$8)&amp;"")</f>
        <v/>
      </c>
      <c r="D1423">
        <f>IFERROR(--SUBSTITUTE(SUBSTITUTE(TRIM(INDEX(INDIRECT("'Выгрузка'!A1423:Z1423"),Настройки!$B$10)),",","."),".",MID(1/2,2,1)),"")</f>
        <v/>
      </c>
      <c r="E1423">
        <f>IFERROR(--SUBSTITUTE(SUBSTITUTE(TRIM(INDEX(INDIRECT("'Выгрузка'!A1423:Z1423"),Настройки!$B$11)),",","."),".",MID(1/2,2,1)),"")</f>
        <v/>
      </c>
      <c r="F1423">
        <f>TRIM(INDEX(INDIRECT("'Выгрузка'!A1423:Z1423"),Настройки!$B$12)&amp;"")</f>
        <v/>
      </c>
      <c r="G1423">
        <f>IF(F1423="",0,IF(TRIM(INDEX(INDIRECT("'Выгрузка'!A1423:Z1423"),Настройки!$B$13)&amp;"")="",1,IFERROR(--SUBSTITUTE(SUBSTITUTE(TRIM(INDEX(INDIRECT("'Выгрузка'!A1423:Z1423"),Настройки!$B$13)),",","."),".",MID(1/2,2,1)),"")))</f>
        <v/>
      </c>
      <c r="H1423">
        <f>IF(F1423="",0,IF(COUNTIF(Настройки!$B$17:$B$26,F1423)&gt;0,1,IF(COUNTIF(Настройки!$C$17:$C$26,F1423)&gt;0,2,IF(COUNTIF(Настройки!$D$17:$D$26,F1423)&gt;0,3,0))))</f>
        <v/>
      </c>
      <c r="I1423">
        <f>IF(AND(ISNUMBER(A1423),ISNUMBER(B1423)),A1423*1000+B1423,"")</f>
        <v/>
      </c>
      <c r="J1423">
        <f>IF(I1423="","",IF(COUNTIF(I$2:I1423,I1423)=1,MAX(J$1:J1422)+1,""))</f>
        <v/>
      </c>
    </row>
    <row r="1424">
      <c r="A1424">
        <f>IFERROR(--SUBSTITUTE(SUBSTITUTE(TRIM(INDEX(INDIRECT("'Выгрузка'!A1424:Z1424"),Настройки!$B$7)),",","."),".",MID(1/2,2,1)),"")</f>
        <v/>
      </c>
      <c r="B1424">
        <f>IFERROR(--SUBSTITUTE(SUBSTITUTE(TRIM(INDEX(INDIRECT("'Выгрузка'!A1424:Z1424"),Настройки!$B$9)),",","."),".",MID(1/2,2,1)),"")</f>
        <v/>
      </c>
      <c r="C1424">
        <f>TRIM(INDEX(INDIRECT("'Выгрузка'!A1424:Z1424"),Настройки!$B$8)&amp;"")</f>
        <v/>
      </c>
      <c r="D1424">
        <f>IFERROR(--SUBSTITUTE(SUBSTITUTE(TRIM(INDEX(INDIRECT("'Выгрузка'!A1424:Z1424"),Настройки!$B$10)),",","."),".",MID(1/2,2,1)),"")</f>
        <v/>
      </c>
      <c r="E1424">
        <f>IFERROR(--SUBSTITUTE(SUBSTITUTE(TRIM(INDEX(INDIRECT("'Выгрузка'!A1424:Z1424"),Настройки!$B$11)),",","."),".",MID(1/2,2,1)),"")</f>
        <v/>
      </c>
      <c r="F1424">
        <f>TRIM(INDEX(INDIRECT("'Выгрузка'!A1424:Z1424"),Настройки!$B$12)&amp;"")</f>
        <v/>
      </c>
      <c r="G1424">
        <f>IF(F1424="",0,IF(TRIM(INDEX(INDIRECT("'Выгрузка'!A1424:Z1424"),Настройки!$B$13)&amp;"")="",1,IFERROR(--SUBSTITUTE(SUBSTITUTE(TRIM(INDEX(INDIRECT("'Выгрузка'!A1424:Z1424"),Настройки!$B$13)),",","."),".",MID(1/2,2,1)),"")))</f>
        <v/>
      </c>
      <c r="H1424">
        <f>IF(F1424="",0,IF(COUNTIF(Настройки!$B$17:$B$26,F1424)&gt;0,1,IF(COUNTIF(Настройки!$C$17:$C$26,F1424)&gt;0,2,IF(COUNTIF(Настройки!$D$17:$D$26,F1424)&gt;0,3,0))))</f>
        <v/>
      </c>
      <c r="I1424">
        <f>IF(AND(ISNUMBER(A1424),ISNUMBER(B1424)),A1424*1000+B1424,"")</f>
        <v/>
      </c>
      <c r="J1424">
        <f>IF(I1424="","",IF(COUNTIF(I$2:I1424,I1424)=1,MAX(J$1:J1423)+1,""))</f>
        <v/>
      </c>
    </row>
    <row r="1425">
      <c r="A1425">
        <f>IFERROR(--SUBSTITUTE(SUBSTITUTE(TRIM(INDEX(INDIRECT("'Выгрузка'!A1425:Z1425"),Настройки!$B$7)),",","."),".",MID(1/2,2,1)),"")</f>
        <v/>
      </c>
      <c r="B1425">
        <f>IFERROR(--SUBSTITUTE(SUBSTITUTE(TRIM(INDEX(INDIRECT("'Выгрузка'!A1425:Z1425"),Настройки!$B$9)),",","."),".",MID(1/2,2,1)),"")</f>
        <v/>
      </c>
      <c r="C1425">
        <f>TRIM(INDEX(INDIRECT("'Выгрузка'!A1425:Z1425"),Настройки!$B$8)&amp;"")</f>
        <v/>
      </c>
      <c r="D1425">
        <f>IFERROR(--SUBSTITUTE(SUBSTITUTE(TRIM(INDEX(INDIRECT("'Выгрузка'!A1425:Z1425"),Настройки!$B$10)),",","."),".",MID(1/2,2,1)),"")</f>
        <v/>
      </c>
      <c r="E1425">
        <f>IFERROR(--SUBSTITUTE(SUBSTITUTE(TRIM(INDEX(INDIRECT("'Выгрузка'!A1425:Z1425"),Настройки!$B$11)),",","."),".",MID(1/2,2,1)),"")</f>
        <v/>
      </c>
      <c r="F1425">
        <f>TRIM(INDEX(INDIRECT("'Выгрузка'!A1425:Z1425"),Настройки!$B$12)&amp;"")</f>
        <v/>
      </c>
      <c r="G1425">
        <f>IF(F1425="",0,IF(TRIM(INDEX(INDIRECT("'Выгрузка'!A1425:Z1425"),Настройки!$B$13)&amp;"")="",1,IFERROR(--SUBSTITUTE(SUBSTITUTE(TRIM(INDEX(INDIRECT("'Выгрузка'!A1425:Z1425"),Настройки!$B$13)),",","."),".",MID(1/2,2,1)),"")))</f>
        <v/>
      </c>
      <c r="H1425">
        <f>IF(F1425="",0,IF(COUNTIF(Настройки!$B$17:$B$26,F1425)&gt;0,1,IF(COUNTIF(Настройки!$C$17:$C$26,F1425)&gt;0,2,IF(COUNTIF(Настройки!$D$17:$D$26,F1425)&gt;0,3,0))))</f>
        <v/>
      </c>
      <c r="I1425">
        <f>IF(AND(ISNUMBER(A1425),ISNUMBER(B1425)),A1425*1000+B1425,"")</f>
        <v/>
      </c>
      <c r="J1425">
        <f>IF(I1425="","",IF(COUNTIF(I$2:I1425,I1425)=1,MAX(J$1:J1424)+1,""))</f>
        <v/>
      </c>
    </row>
    <row r="1426">
      <c r="A1426">
        <f>IFERROR(--SUBSTITUTE(SUBSTITUTE(TRIM(INDEX(INDIRECT("'Выгрузка'!A1426:Z1426"),Настройки!$B$7)),",","."),".",MID(1/2,2,1)),"")</f>
        <v/>
      </c>
      <c r="B1426">
        <f>IFERROR(--SUBSTITUTE(SUBSTITUTE(TRIM(INDEX(INDIRECT("'Выгрузка'!A1426:Z1426"),Настройки!$B$9)),",","."),".",MID(1/2,2,1)),"")</f>
        <v/>
      </c>
      <c r="C1426">
        <f>TRIM(INDEX(INDIRECT("'Выгрузка'!A1426:Z1426"),Настройки!$B$8)&amp;"")</f>
        <v/>
      </c>
      <c r="D1426">
        <f>IFERROR(--SUBSTITUTE(SUBSTITUTE(TRIM(INDEX(INDIRECT("'Выгрузка'!A1426:Z1426"),Настройки!$B$10)),",","."),".",MID(1/2,2,1)),"")</f>
        <v/>
      </c>
      <c r="E1426">
        <f>IFERROR(--SUBSTITUTE(SUBSTITUTE(TRIM(INDEX(INDIRECT("'Выгрузка'!A1426:Z1426"),Настройки!$B$11)),",","."),".",MID(1/2,2,1)),"")</f>
        <v/>
      </c>
      <c r="F1426">
        <f>TRIM(INDEX(INDIRECT("'Выгрузка'!A1426:Z1426"),Настройки!$B$12)&amp;"")</f>
        <v/>
      </c>
      <c r="G1426">
        <f>IF(F1426="",0,IF(TRIM(INDEX(INDIRECT("'Выгрузка'!A1426:Z1426"),Настройки!$B$13)&amp;"")="",1,IFERROR(--SUBSTITUTE(SUBSTITUTE(TRIM(INDEX(INDIRECT("'Выгрузка'!A1426:Z1426"),Настройки!$B$13)),",","."),".",MID(1/2,2,1)),"")))</f>
        <v/>
      </c>
      <c r="H1426">
        <f>IF(F1426="",0,IF(COUNTIF(Настройки!$B$17:$B$26,F1426)&gt;0,1,IF(COUNTIF(Настройки!$C$17:$C$26,F1426)&gt;0,2,IF(COUNTIF(Настройки!$D$17:$D$26,F1426)&gt;0,3,0))))</f>
        <v/>
      </c>
      <c r="I1426">
        <f>IF(AND(ISNUMBER(A1426),ISNUMBER(B1426)),A1426*1000+B1426,"")</f>
        <v/>
      </c>
      <c r="J1426">
        <f>IF(I1426="","",IF(COUNTIF(I$2:I1426,I1426)=1,MAX(J$1:J1425)+1,""))</f>
        <v/>
      </c>
    </row>
    <row r="1427">
      <c r="A1427">
        <f>IFERROR(--SUBSTITUTE(SUBSTITUTE(TRIM(INDEX(INDIRECT("'Выгрузка'!A1427:Z1427"),Настройки!$B$7)),",","."),".",MID(1/2,2,1)),"")</f>
        <v/>
      </c>
      <c r="B1427">
        <f>IFERROR(--SUBSTITUTE(SUBSTITUTE(TRIM(INDEX(INDIRECT("'Выгрузка'!A1427:Z1427"),Настройки!$B$9)),",","."),".",MID(1/2,2,1)),"")</f>
        <v/>
      </c>
      <c r="C1427">
        <f>TRIM(INDEX(INDIRECT("'Выгрузка'!A1427:Z1427"),Настройки!$B$8)&amp;"")</f>
        <v/>
      </c>
      <c r="D1427">
        <f>IFERROR(--SUBSTITUTE(SUBSTITUTE(TRIM(INDEX(INDIRECT("'Выгрузка'!A1427:Z1427"),Настройки!$B$10)),",","."),".",MID(1/2,2,1)),"")</f>
        <v/>
      </c>
      <c r="E1427">
        <f>IFERROR(--SUBSTITUTE(SUBSTITUTE(TRIM(INDEX(INDIRECT("'Выгрузка'!A1427:Z1427"),Настройки!$B$11)),",","."),".",MID(1/2,2,1)),"")</f>
        <v/>
      </c>
      <c r="F1427">
        <f>TRIM(INDEX(INDIRECT("'Выгрузка'!A1427:Z1427"),Настройки!$B$12)&amp;"")</f>
        <v/>
      </c>
      <c r="G1427">
        <f>IF(F1427="",0,IF(TRIM(INDEX(INDIRECT("'Выгрузка'!A1427:Z1427"),Настройки!$B$13)&amp;"")="",1,IFERROR(--SUBSTITUTE(SUBSTITUTE(TRIM(INDEX(INDIRECT("'Выгрузка'!A1427:Z1427"),Настройки!$B$13)),",","."),".",MID(1/2,2,1)),"")))</f>
        <v/>
      </c>
      <c r="H1427">
        <f>IF(F1427="",0,IF(COUNTIF(Настройки!$B$17:$B$26,F1427)&gt;0,1,IF(COUNTIF(Настройки!$C$17:$C$26,F1427)&gt;0,2,IF(COUNTIF(Настройки!$D$17:$D$26,F1427)&gt;0,3,0))))</f>
        <v/>
      </c>
      <c r="I1427">
        <f>IF(AND(ISNUMBER(A1427),ISNUMBER(B1427)),A1427*1000+B1427,"")</f>
        <v/>
      </c>
      <c r="J1427">
        <f>IF(I1427="","",IF(COUNTIF(I$2:I1427,I1427)=1,MAX(J$1:J1426)+1,""))</f>
        <v/>
      </c>
    </row>
    <row r="1428">
      <c r="A1428">
        <f>IFERROR(--SUBSTITUTE(SUBSTITUTE(TRIM(INDEX(INDIRECT("'Выгрузка'!A1428:Z1428"),Настройки!$B$7)),",","."),".",MID(1/2,2,1)),"")</f>
        <v/>
      </c>
      <c r="B1428">
        <f>IFERROR(--SUBSTITUTE(SUBSTITUTE(TRIM(INDEX(INDIRECT("'Выгрузка'!A1428:Z1428"),Настройки!$B$9)),",","."),".",MID(1/2,2,1)),"")</f>
        <v/>
      </c>
      <c r="C1428">
        <f>TRIM(INDEX(INDIRECT("'Выгрузка'!A1428:Z1428"),Настройки!$B$8)&amp;"")</f>
        <v/>
      </c>
      <c r="D1428">
        <f>IFERROR(--SUBSTITUTE(SUBSTITUTE(TRIM(INDEX(INDIRECT("'Выгрузка'!A1428:Z1428"),Настройки!$B$10)),",","."),".",MID(1/2,2,1)),"")</f>
        <v/>
      </c>
      <c r="E1428">
        <f>IFERROR(--SUBSTITUTE(SUBSTITUTE(TRIM(INDEX(INDIRECT("'Выгрузка'!A1428:Z1428"),Настройки!$B$11)),",","."),".",MID(1/2,2,1)),"")</f>
        <v/>
      </c>
      <c r="F1428">
        <f>TRIM(INDEX(INDIRECT("'Выгрузка'!A1428:Z1428"),Настройки!$B$12)&amp;"")</f>
        <v/>
      </c>
      <c r="G1428">
        <f>IF(F1428="",0,IF(TRIM(INDEX(INDIRECT("'Выгрузка'!A1428:Z1428"),Настройки!$B$13)&amp;"")="",1,IFERROR(--SUBSTITUTE(SUBSTITUTE(TRIM(INDEX(INDIRECT("'Выгрузка'!A1428:Z1428"),Настройки!$B$13)),",","."),".",MID(1/2,2,1)),"")))</f>
        <v/>
      </c>
      <c r="H1428">
        <f>IF(F1428="",0,IF(COUNTIF(Настройки!$B$17:$B$26,F1428)&gt;0,1,IF(COUNTIF(Настройки!$C$17:$C$26,F1428)&gt;0,2,IF(COUNTIF(Настройки!$D$17:$D$26,F1428)&gt;0,3,0))))</f>
        <v/>
      </c>
      <c r="I1428">
        <f>IF(AND(ISNUMBER(A1428),ISNUMBER(B1428)),A1428*1000+B1428,"")</f>
        <v/>
      </c>
      <c r="J1428">
        <f>IF(I1428="","",IF(COUNTIF(I$2:I1428,I1428)=1,MAX(J$1:J1427)+1,""))</f>
        <v/>
      </c>
    </row>
    <row r="1429">
      <c r="A1429">
        <f>IFERROR(--SUBSTITUTE(SUBSTITUTE(TRIM(INDEX(INDIRECT("'Выгрузка'!A1429:Z1429"),Настройки!$B$7)),",","."),".",MID(1/2,2,1)),"")</f>
        <v/>
      </c>
      <c r="B1429">
        <f>IFERROR(--SUBSTITUTE(SUBSTITUTE(TRIM(INDEX(INDIRECT("'Выгрузка'!A1429:Z1429"),Настройки!$B$9)),",","."),".",MID(1/2,2,1)),"")</f>
        <v/>
      </c>
      <c r="C1429">
        <f>TRIM(INDEX(INDIRECT("'Выгрузка'!A1429:Z1429"),Настройки!$B$8)&amp;"")</f>
        <v/>
      </c>
      <c r="D1429">
        <f>IFERROR(--SUBSTITUTE(SUBSTITUTE(TRIM(INDEX(INDIRECT("'Выгрузка'!A1429:Z1429"),Настройки!$B$10)),",","."),".",MID(1/2,2,1)),"")</f>
        <v/>
      </c>
      <c r="E1429">
        <f>IFERROR(--SUBSTITUTE(SUBSTITUTE(TRIM(INDEX(INDIRECT("'Выгрузка'!A1429:Z1429"),Настройки!$B$11)),",","."),".",MID(1/2,2,1)),"")</f>
        <v/>
      </c>
      <c r="F1429">
        <f>TRIM(INDEX(INDIRECT("'Выгрузка'!A1429:Z1429"),Настройки!$B$12)&amp;"")</f>
        <v/>
      </c>
      <c r="G1429">
        <f>IF(F1429="",0,IF(TRIM(INDEX(INDIRECT("'Выгрузка'!A1429:Z1429"),Настройки!$B$13)&amp;"")="",1,IFERROR(--SUBSTITUTE(SUBSTITUTE(TRIM(INDEX(INDIRECT("'Выгрузка'!A1429:Z1429"),Настройки!$B$13)),",","."),".",MID(1/2,2,1)),"")))</f>
        <v/>
      </c>
      <c r="H1429">
        <f>IF(F1429="",0,IF(COUNTIF(Настройки!$B$17:$B$26,F1429)&gt;0,1,IF(COUNTIF(Настройки!$C$17:$C$26,F1429)&gt;0,2,IF(COUNTIF(Настройки!$D$17:$D$26,F1429)&gt;0,3,0))))</f>
        <v/>
      </c>
      <c r="I1429">
        <f>IF(AND(ISNUMBER(A1429),ISNUMBER(B1429)),A1429*1000+B1429,"")</f>
        <v/>
      </c>
      <c r="J1429">
        <f>IF(I1429="","",IF(COUNTIF(I$2:I1429,I1429)=1,MAX(J$1:J1428)+1,""))</f>
        <v/>
      </c>
    </row>
    <row r="1430">
      <c r="A1430">
        <f>IFERROR(--SUBSTITUTE(SUBSTITUTE(TRIM(INDEX(INDIRECT("'Выгрузка'!A1430:Z1430"),Настройки!$B$7)),",","."),".",MID(1/2,2,1)),"")</f>
        <v/>
      </c>
      <c r="B1430">
        <f>IFERROR(--SUBSTITUTE(SUBSTITUTE(TRIM(INDEX(INDIRECT("'Выгрузка'!A1430:Z1430"),Настройки!$B$9)),",","."),".",MID(1/2,2,1)),"")</f>
        <v/>
      </c>
      <c r="C1430">
        <f>TRIM(INDEX(INDIRECT("'Выгрузка'!A1430:Z1430"),Настройки!$B$8)&amp;"")</f>
        <v/>
      </c>
      <c r="D1430">
        <f>IFERROR(--SUBSTITUTE(SUBSTITUTE(TRIM(INDEX(INDIRECT("'Выгрузка'!A1430:Z1430"),Настройки!$B$10)),",","."),".",MID(1/2,2,1)),"")</f>
        <v/>
      </c>
      <c r="E1430">
        <f>IFERROR(--SUBSTITUTE(SUBSTITUTE(TRIM(INDEX(INDIRECT("'Выгрузка'!A1430:Z1430"),Настройки!$B$11)),",","."),".",MID(1/2,2,1)),"")</f>
        <v/>
      </c>
      <c r="F1430">
        <f>TRIM(INDEX(INDIRECT("'Выгрузка'!A1430:Z1430"),Настройки!$B$12)&amp;"")</f>
        <v/>
      </c>
      <c r="G1430">
        <f>IF(F1430="",0,IF(TRIM(INDEX(INDIRECT("'Выгрузка'!A1430:Z1430"),Настройки!$B$13)&amp;"")="",1,IFERROR(--SUBSTITUTE(SUBSTITUTE(TRIM(INDEX(INDIRECT("'Выгрузка'!A1430:Z1430"),Настройки!$B$13)),",","."),".",MID(1/2,2,1)),"")))</f>
        <v/>
      </c>
      <c r="H1430">
        <f>IF(F1430="",0,IF(COUNTIF(Настройки!$B$17:$B$26,F1430)&gt;0,1,IF(COUNTIF(Настройки!$C$17:$C$26,F1430)&gt;0,2,IF(COUNTIF(Настройки!$D$17:$D$26,F1430)&gt;0,3,0))))</f>
        <v/>
      </c>
      <c r="I1430">
        <f>IF(AND(ISNUMBER(A1430),ISNUMBER(B1430)),A1430*1000+B1430,"")</f>
        <v/>
      </c>
      <c r="J1430">
        <f>IF(I1430="","",IF(COUNTIF(I$2:I1430,I1430)=1,MAX(J$1:J1429)+1,""))</f>
        <v/>
      </c>
    </row>
    <row r="1431">
      <c r="A1431">
        <f>IFERROR(--SUBSTITUTE(SUBSTITUTE(TRIM(INDEX(INDIRECT("'Выгрузка'!A1431:Z1431"),Настройки!$B$7)),",","."),".",MID(1/2,2,1)),"")</f>
        <v/>
      </c>
      <c r="B1431">
        <f>IFERROR(--SUBSTITUTE(SUBSTITUTE(TRIM(INDEX(INDIRECT("'Выгрузка'!A1431:Z1431"),Настройки!$B$9)),",","."),".",MID(1/2,2,1)),"")</f>
        <v/>
      </c>
      <c r="C1431">
        <f>TRIM(INDEX(INDIRECT("'Выгрузка'!A1431:Z1431"),Настройки!$B$8)&amp;"")</f>
        <v/>
      </c>
      <c r="D1431">
        <f>IFERROR(--SUBSTITUTE(SUBSTITUTE(TRIM(INDEX(INDIRECT("'Выгрузка'!A1431:Z1431"),Настройки!$B$10)),",","."),".",MID(1/2,2,1)),"")</f>
        <v/>
      </c>
      <c r="E1431">
        <f>IFERROR(--SUBSTITUTE(SUBSTITUTE(TRIM(INDEX(INDIRECT("'Выгрузка'!A1431:Z1431"),Настройки!$B$11)),",","."),".",MID(1/2,2,1)),"")</f>
        <v/>
      </c>
      <c r="F1431">
        <f>TRIM(INDEX(INDIRECT("'Выгрузка'!A1431:Z1431"),Настройки!$B$12)&amp;"")</f>
        <v/>
      </c>
      <c r="G1431">
        <f>IF(F1431="",0,IF(TRIM(INDEX(INDIRECT("'Выгрузка'!A1431:Z1431"),Настройки!$B$13)&amp;"")="",1,IFERROR(--SUBSTITUTE(SUBSTITUTE(TRIM(INDEX(INDIRECT("'Выгрузка'!A1431:Z1431"),Настройки!$B$13)),",","."),".",MID(1/2,2,1)),"")))</f>
        <v/>
      </c>
      <c r="H1431">
        <f>IF(F1431="",0,IF(COUNTIF(Настройки!$B$17:$B$26,F1431)&gt;0,1,IF(COUNTIF(Настройки!$C$17:$C$26,F1431)&gt;0,2,IF(COUNTIF(Настройки!$D$17:$D$26,F1431)&gt;0,3,0))))</f>
        <v/>
      </c>
      <c r="I1431">
        <f>IF(AND(ISNUMBER(A1431),ISNUMBER(B1431)),A1431*1000+B1431,"")</f>
        <v/>
      </c>
      <c r="J1431">
        <f>IF(I1431="","",IF(COUNTIF(I$2:I1431,I1431)=1,MAX(J$1:J1430)+1,""))</f>
        <v/>
      </c>
    </row>
    <row r="1432">
      <c r="A1432">
        <f>IFERROR(--SUBSTITUTE(SUBSTITUTE(TRIM(INDEX(INDIRECT("'Выгрузка'!A1432:Z1432"),Настройки!$B$7)),",","."),".",MID(1/2,2,1)),"")</f>
        <v/>
      </c>
      <c r="B1432">
        <f>IFERROR(--SUBSTITUTE(SUBSTITUTE(TRIM(INDEX(INDIRECT("'Выгрузка'!A1432:Z1432"),Настройки!$B$9)),",","."),".",MID(1/2,2,1)),"")</f>
        <v/>
      </c>
      <c r="C1432">
        <f>TRIM(INDEX(INDIRECT("'Выгрузка'!A1432:Z1432"),Настройки!$B$8)&amp;"")</f>
        <v/>
      </c>
      <c r="D1432">
        <f>IFERROR(--SUBSTITUTE(SUBSTITUTE(TRIM(INDEX(INDIRECT("'Выгрузка'!A1432:Z1432"),Настройки!$B$10)),",","."),".",MID(1/2,2,1)),"")</f>
        <v/>
      </c>
      <c r="E1432">
        <f>IFERROR(--SUBSTITUTE(SUBSTITUTE(TRIM(INDEX(INDIRECT("'Выгрузка'!A1432:Z1432"),Настройки!$B$11)),",","."),".",MID(1/2,2,1)),"")</f>
        <v/>
      </c>
      <c r="F1432">
        <f>TRIM(INDEX(INDIRECT("'Выгрузка'!A1432:Z1432"),Настройки!$B$12)&amp;"")</f>
        <v/>
      </c>
      <c r="G1432">
        <f>IF(F1432="",0,IF(TRIM(INDEX(INDIRECT("'Выгрузка'!A1432:Z1432"),Настройки!$B$13)&amp;"")="",1,IFERROR(--SUBSTITUTE(SUBSTITUTE(TRIM(INDEX(INDIRECT("'Выгрузка'!A1432:Z1432"),Настройки!$B$13)),",","."),".",MID(1/2,2,1)),"")))</f>
        <v/>
      </c>
      <c r="H1432">
        <f>IF(F1432="",0,IF(COUNTIF(Настройки!$B$17:$B$26,F1432)&gt;0,1,IF(COUNTIF(Настройки!$C$17:$C$26,F1432)&gt;0,2,IF(COUNTIF(Настройки!$D$17:$D$26,F1432)&gt;0,3,0))))</f>
        <v/>
      </c>
      <c r="I1432">
        <f>IF(AND(ISNUMBER(A1432),ISNUMBER(B1432)),A1432*1000+B1432,"")</f>
        <v/>
      </c>
      <c r="J1432">
        <f>IF(I1432="","",IF(COUNTIF(I$2:I1432,I1432)=1,MAX(J$1:J1431)+1,""))</f>
        <v/>
      </c>
    </row>
    <row r="1433">
      <c r="A1433">
        <f>IFERROR(--SUBSTITUTE(SUBSTITUTE(TRIM(INDEX(INDIRECT("'Выгрузка'!A1433:Z1433"),Настройки!$B$7)),",","."),".",MID(1/2,2,1)),"")</f>
        <v/>
      </c>
      <c r="B1433">
        <f>IFERROR(--SUBSTITUTE(SUBSTITUTE(TRIM(INDEX(INDIRECT("'Выгрузка'!A1433:Z1433"),Настройки!$B$9)),",","."),".",MID(1/2,2,1)),"")</f>
        <v/>
      </c>
      <c r="C1433">
        <f>TRIM(INDEX(INDIRECT("'Выгрузка'!A1433:Z1433"),Настройки!$B$8)&amp;"")</f>
        <v/>
      </c>
      <c r="D1433">
        <f>IFERROR(--SUBSTITUTE(SUBSTITUTE(TRIM(INDEX(INDIRECT("'Выгрузка'!A1433:Z1433"),Настройки!$B$10)),",","."),".",MID(1/2,2,1)),"")</f>
        <v/>
      </c>
      <c r="E1433">
        <f>IFERROR(--SUBSTITUTE(SUBSTITUTE(TRIM(INDEX(INDIRECT("'Выгрузка'!A1433:Z1433"),Настройки!$B$11)),",","."),".",MID(1/2,2,1)),"")</f>
        <v/>
      </c>
      <c r="F1433">
        <f>TRIM(INDEX(INDIRECT("'Выгрузка'!A1433:Z1433"),Настройки!$B$12)&amp;"")</f>
        <v/>
      </c>
      <c r="G1433">
        <f>IF(F1433="",0,IF(TRIM(INDEX(INDIRECT("'Выгрузка'!A1433:Z1433"),Настройки!$B$13)&amp;"")="",1,IFERROR(--SUBSTITUTE(SUBSTITUTE(TRIM(INDEX(INDIRECT("'Выгрузка'!A1433:Z1433"),Настройки!$B$13)),",","."),".",MID(1/2,2,1)),"")))</f>
        <v/>
      </c>
      <c r="H1433">
        <f>IF(F1433="",0,IF(COUNTIF(Настройки!$B$17:$B$26,F1433)&gt;0,1,IF(COUNTIF(Настройки!$C$17:$C$26,F1433)&gt;0,2,IF(COUNTIF(Настройки!$D$17:$D$26,F1433)&gt;0,3,0))))</f>
        <v/>
      </c>
      <c r="I1433">
        <f>IF(AND(ISNUMBER(A1433),ISNUMBER(B1433)),A1433*1000+B1433,"")</f>
        <v/>
      </c>
      <c r="J1433">
        <f>IF(I1433="","",IF(COUNTIF(I$2:I1433,I1433)=1,MAX(J$1:J1432)+1,""))</f>
        <v/>
      </c>
    </row>
    <row r="1434">
      <c r="A1434">
        <f>IFERROR(--SUBSTITUTE(SUBSTITUTE(TRIM(INDEX(INDIRECT("'Выгрузка'!A1434:Z1434"),Настройки!$B$7)),",","."),".",MID(1/2,2,1)),"")</f>
        <v/>
      </c>
      <c r="B1434">
        <f>IFERROR(--SUBSTITUTE(SUBSTITUTE(TRIM(INDEX(INDIRECT("'Выгрузка'!A1434:Z1434"),Настройки!$B$9)),",","."),".",MID(1/2,2,1)),"")</f>
        <v/>
      </c>
      <c r="C1434">
        <f>TRIM(INDEX(INDIRECT("'Выгрузка'!A1434:Z1434"),Настройки!$B$8)&amp;"")</f>
        <v/>
      </c>
      <c r="D1434">
        <f>IFERROR(--SUBSTITUTE(SUBSTITUTE(TRIM(INDEX(INDIRECT("'Выгрузка'!A1434:Z1434"),Настройки!$B$10)),",","."),".",MID(1/2,2,1)),"")</f>
        <v/>
      </c>
      <c r="E1434">
        <f>IFERROR(--SUBSTITUTE(SUBSTITUTE(TRIM(INDEX(INDIRECT("'Выгрузка'!A1434:Z1434"),Настройки!$B$11)),",","."),".",MID(1/2,2,1)),"")</f>
        <v/>
      </c>
      <c r="F1434">
        <f>TRIM(INDEX(INDIRECT("'Выгрузка'!A1434:Z1434"),Настройки!$B$12)&amp;"")</f>
        <v/>
      </c>
      <c r="G1434">
        <f>IF(F1434="",0,IF(TRIM(INDEX(INDIRECT("'Выгрузка'!A1434:Z1434"),Настройки!$B$13)&amp;"")="",1,IFERROR(--SUBSTITUTE(SUBSTITUTE(TRIM(INDEX(INDIRECT("'Выгрузка'!A1434:Z1434"),Настройки!$B$13)),",","."),".",MID(1/2,2,1)),"")))</f>
        <v/>
      </c>
      <c r="H1434">
        <f>IF(F1434="",0,IF(COUNTIF(Настройки!$B$17:$B$26,F1434)&gt;0,1,IF(COUNTIF(Настройки!$C$17:$C$26,F1434)&gt;0,2,IF(COUNTIF(Настройки!$D$17:$D$26,F1434)&gt;0,3,0))))</f>
        <v/>
      </c>
      <c r="I1434">
        <f>IF(AND(ISNUMBER(A1434),ISNUMBER(B1434)),A1434*1000+B1434,"")</f>
        <v/>
      </c>
      <c r="J1434">
        <f>IF(I1434="","",IF(COUNTIF(I$2:I1434,I1434)=1,MAX(J$1:J1433)+1,""))</f>
        <v/>
      </c>
    </row>
    <row r="1435">
      <c r="A1435">
        <f>IFERROR(--SUBSTITUTE(SUBSTITUTE(TRIM(INDEX(INDIRECT("'Выгрузка'!A1435:Z1435"),Настройки!$B$7)),",","."),".",MID(1/2,2,1)),"")</f>
        <v/>
      </c>
      <c r="B1435">
        <f>IFERROR(--SUBSTITUTE(SUBSTITUTE(TRIM(INDEX(INDIRECT("'Выгрузка'!A1435:Z1435"),Настройки!$B$9)),",","."),".",MID(1/2,2,1)),"")</f>
        <v/>
      </c>
      <c r="C1435">
        <f>TRIM(INDEX(INDIRECT("'Выгрузка'!A1435:Z1435"),Настройки!$B$8)&amp;"")</f>
        <v/>
      </c>
      <c r="D1435">
        <f>IFERROR(--SUBSTITUTE(SUBSTITUTE(TRIM(INDEX(INDIRECT("'Выгрузка'!A1435:Z1435"),Настройки!$B$10)),",","."),".",MID(1/2,2,1)),"")</f>
        <v/>
      </c>
      <c r="E1435">
        <f>IFERROR(--SUBSTITUTE(SUBSTITUTE(TRIM(INDEX(INDIRECT("'Выгрузка'!A1435:Z1435"),Настройки!$B$11)),",","."),".",MID(1/2,2,1)),"")</f>
        <v/>
      </c>
      <c r="F1435">
        <f>TRIM(INDEX(INDIRECT("'Выгрузка'!A1435:Z1435"),Настройки!$B$12)&amp;"")</f>
        <v/>
      </c>
      <c r="G1435">
        <f>IF(F1435="",0,IF(TRIM(INDEX(INDIRECT("'Выгрузка'!A1435:Z1435"),Настройки!$B$13)&amp;"")="",1,IFERROR(--SUBSTITUTE(SUBSTITUTE(TRIM(INDEX(INDIRECT("'Выгрузка'!A1435:Z1435"),Настройки!$B$13)),",","."),".",MID(1/2,2,1)),"")))</f>
        <v/>
      </c>
      <c r="H1435">
        <f>IF(F1435="",0,IF(COUNTIF(Настройки!$B$17:$B$26,F1435)&gt;0,1,IF(COUNTIF(Настройки!$C$17:$C$26,F1435)&gt;0,2,IF(COUNTIF(Настройки!$D$17:$D$26,F1435)&gt;0,3,0))))</f>
        <v/>
      </c>
      <c r="I1435">
        <f>IF(AND(ISNUMBER(A1435),ISNUMBER(B1435)),A1435*1000+B1435,"")</f>
        <v/>
      </c>
      <c r="J1435">
        <f>IF(I1435="","",IF(COUNTIF(I$2:I1435,I1435)=1,MAX(J$1:J1434)+1,""))</f>
        <v/>
      </c>
    </row>
    <row r="1436">
      <c r="A1436">
        <f>IFERROR(--SUBSTITUTE(SUBSTITUTE(TRIM(INDEX(INDIRECT("'Выгрузка'!A1436:Z1436"),Настройки!$B$7)),",","."),".",MID(1/2,2,1)),"")</f>
        <v/>
      </c>
      <c r="B1436">
        <f>IFERROR(--SUBSTITUTE(SUBSTITUTE(TRIM(INDEX(INDIRECT("'Выгрузка'!A1436:Z1436"),Настройки!$B$9)),",","."),".",MID(1/2,2,1)),"")</f>
        <v/>
      </c>
      <c r="C1436">
        <f>TRIM(INDEX(INDIRECT("'Выгрузка'!A1436:Z1436"),Настройки!$B$8)&amp;"")</f>
        <v/>
      </c>
      <c r="D1436">
        <f>IFERROR(--SUBSTITUTE(SUBSTITUTE(TRIM(INDEX(INDIRECT("'Выгрузка'!A1436:Z1436"),Настройки!$B$10)),",","."),".",MID(1/2,2,1)),"")</f>
        <v/>
      </c>
      <c r="E1436">
        <f>IFERROR(--SUBSTITUTE(SUBSTITUTE(TRIM(INDEX(INDIRECT("'Выгрузка'!A1436:Z1436"),Настройки!$B$11)),",","."),".",MID(1/2,2,1)),"")</f>
        <v/>
      </c>
      <c r="F1436">
        <f>TRIM(INDEX(INDIRECT("'Выгрузка'!A1436:Z1436"),Настройки!$B$12)&amp;"")</f>
        <v/>
      </c>
      <c r="G1436">
        <f>IF(F1436="",0,IF(TRIM(INDEX(INDIRECT("'Выгрузка'!A1436:Z1436"),Настройки!$B$13)&amp;"")="",1,IFERROR(--SUBSTITUTE(SUBSTITUTE(TRIM(INDEX(INDIRECT("'Выгрузка'!A1436:Z1436"),Настройки!$B$13)),",","."),".",MID(1/2,2,1)),"")))</f>
        <v/>
      </c>
      <c r="H1436">
        <f>IF(F1436="",0,IF(COUNTIF(Настройки!$B$17:$B$26,F1436)&gt;0,1,IF(COUNTIF(Настройки!$C$17:$C$26,F1436)&gt;0,2,IF(COUNTIF(Настройки!$D$17:$D$26,F1436)&gt;0,3,0))))</f>
        <v/>
      </c>
      <c r="I1436">
        <f>IF(AND(ISNUMBER(A1436),ISNUMBER(B1436)),A1436*1000+B1436,"")</f>
        <v/>
      </c>
      <c r="J1436">
        <f>IF(I1436="","",IF(COUNTIF(I$2:I1436,I1436)=1,MAX(J$1:J1435)+1,""))</f>
        <v/>
      </c>
    </row>
    <row r="1437">
      <c r="A1437">
        <f>IFERROR(--SUBSTITUTE(SUBSTITUTE(TRIM(INDEX(INDIRECT("'Выгрузка'!A1437:Z1437"),Настройки!$B$7)),",","."),".",MID(1/2,2,1)),"")</f>
        <v/>
      </c>
      <c r="B1437">
        <f>IFERROR(--SUBSTITUTE(SUBSTITUTE(TRIM(INDEX(INDIRECT("'Выгрузка'!A1437:Z1437"),Настройки!$B$9)),",","."),".",MID(1/2,2,1)),"")</f>
        <v/>
      </c>
      <c r="C1437">
        <f>TRIM(INDEX(INDIRECT("'Выгрузка'!A1437:Z1437"),Настройки!$B$8)&amp;"")</f>
        <v/>
      </c>
      <c r="D1437">
        <f>IFERROR(--SUBSTITUTE(SUBSTITUTE(TRIM(INDEX(INDIRECT("'Выгрузка'!A1437:Z1437"),Настройки!$B$10)),",","."),".",MID(1/2,2,1)),"")</f>
        <v/>
      </c>
      <c r="E1437">
        <f>IFERROR(--SUBSTITUTE(SUBSTITUTE(TRIM(INDEX(INDIRECT("'Выгрузка'!A1437:Z1437"),Настройки!$B$11)),",","."),".",MID(1/2,2,1)),"")</f>
        <v/>
      </c>
      <c r="F1437">
        <f>TRIM(INDEX(INDIRECT("'Выгрузка'!A1437:Z1437"),Настройки!$B$12)&amp;"")</f>
        <v/>
      </c>
      <c r="G1437">
        <f>IF(F1437="",0,IF(TRIM(INDEX(INDIRECT("'Выгрузка'!A1437:Z1437"),Настройки!$B$13)&amp;"")="",1,IFERROR(--SUBSTITUTE(SUBSTITUTE(TRIM(INDEX(INDIRECT("'Выгрузка'!A1437:Z1437"),Настройки!$B$13)),",","."),".",MID(1/2,2,1)),"")))</f>
        <v/>
      </c>
      <c r="H1437">
        <f>IF(F1437="",0,IF(COUNTIF(Настройки!$B$17:$B$26,F1437)&gt;0,1,IF(COUNTIF(Настройки!$C$17:$C$26,F1437)&gt;0,2,IF(COUNTIF(Настройки!$D$17:$D$26,F1437)&gt;0,3,0))))</f>
        <v/>
      </c>
      <c r="I1437">
        <f>IF(AND(ISNUMBER(A1437),ISNUMBER(B1437)),A1437*1000+B1437,"")</f>
        <v/>
      </c>
      <c r="J1437">
        <f>IF(I1437="","",IF(COUNTIF(I$2:I1437,I1437)=1,MAX(J$1:J1436)+1,""))</f>
        <v/>
      </c>
    </row>
    <row r="1438">
      <c r="A1438">
        <f>IFERROR(--SUBSTITUTE(SUBSTITUTE(TRIM(INDEX(INDIRECT("'Выгрузка'!A1438:Z1438"),Настройки!$B$7)),",","."),".",MID(1/2,2,1)),"")</f>
        <v/>
      </c>
      <c r="B1438">
        <f>IFERROR(--SUBSTITUTE(SUBSTITUTE(TRIM(INDEX(INDIRECT("'Выгрузка'!A1438:Z1438"),Настройки!$B$9)),",","."),".",MID(1/2,2,1)),"")</f>
        <v/>
      </c>
      <c r="C1438">
        <f>TRIM(INDEX(INDIRECT("'Выгрузка'!A1438:Z1438"),Настройки!$B$8)&amp;"")</f>
        <v/>
      </c>
      <c r="D1438">
        <f>IFERROR(--SUBSTITUTE(SUBSTITUTE(TRIM(INDEX(INDIRECT("'Выгрузка'!A1438:Z1438"),Настройки!$B$10)),",","."),".",MID(1/2,2,1)),"")</f>
        <v/>
      </c>
      <c r="E1438">
        <f>IFERROR(--SUBSTITUTE(SUBSTITUTE(TRIM(INDEX(INDIRECT("'Выгрузка'!A1438:Z1438"),Настройки!$B$11)),",","."),".",MID(1/2,2,1)),"")</f>
        <v/>
      </c>
      <c r="F1438">
        <f>TRIM(INDEX(INDIRECT("'Выгрузка'!A1438:Z1438"),Настройки!$B$12)&amp;"")</f>
        <v/>
      </c>
      <c r="G1438">
        <f>IF(F1438="",0,IF(TRIM(INDEX(INDIRECT("'Выгрузка'!A1438:Z1438"),Настройки!$B$13)&amp;"")="",1,IFERROR(--SUBSTITUTE(SUBSTITUTE(TRIM(INDEX(INDIRECT("'Выгрузка'!A1438:Z1438"),Настройки!$B$13)),",","."),".",MID(1/2,2,1)),"")))</f>
        <v/>
      </c>
      <c r="H1438">
        <f>IF(F1438="",0,IF(COUNTIF(Настройки!$B$17:$B$26,F1438)&gt;0,1,IF(COUNTIF(Настройки!$C$17:$C$26,F1438)&gt;0,2,IF(COUNTIF(Настройки!$D$17:$D$26,F1438)&gt;0,3,0))))</f>
        <v/>
      </c>
      <c r="I1438">
        <f>IF(AND(ISNUMBER(A1438),ISNUMBER(B1438)),A1438*1000+B1438,"")</f>
        <v/>
      </c>
      <c r="J1438">
        <f>IF(I1438="","",IF(COUNTIF(I$2:I1438,I1438)=1,MAX(J$1:J1437)+1,""))</f>
        <v/>
      </c>
    </row>
    <row r="1439">
      <c r="A1439">
        <f>IFERROR(--SUBSTITUTE(SUBSTITUTE(TRIM(INDEX(INDIRECT("'Выгрузка'!A1439:Z1439"),Настройки!$B$7)),",","."),".",MID(1/2,2,1)),"")</f>
        <v/>
      </c>
      <c r="B1439">
        <f>IFERROR(--SUBSTITUTE(SUBSTITUTE(TRIM(INDEX(INDIRECT("'Выгрузка'!A1439:Z1439"),Настройки!$B$9)),",","."),".",MID(1/2,2,1)),"")</f>
        <v/>
      </c>
      <c r="C1439">
        <f>TRIM(INDEX(INDIRECT("'Выгрузка'!A1439:Z1439"),Настройки!$B$8)&amp;"")</f>
        <v/>
      </c>
      <c r="D1439">
        <f>IFERROR(--SUBSTITUTE(SUBSTITUTE(TRIM(INDEX(INDIRECT("'Выгрузка'!A1439:Z1439"),Настройки!$B$10)),",","."),".",MID(1/2,2,1)),"")</f>
        <v/>
      </c>
      <c r="E1439">
        <f>IFERROR(--SUBSTITUTE(SUBSTITUTE(TRIM(INDEX(INDIRECT("'Выгрузка'!A1439:Z1439"),Настройки!$B$11)),",","."),".",MID(1/2,2,1)),"")</f>
        <v/>
      </c>
      <c r="F1439">
        <f>TRIM(INDEX(INDIRECT("'Выгрузка'!A1439:Z1439"),Настройки!$B$12)&amp;"")</f>
        <v/>
      </c>
      <c r="G1439">
        <f>IF(F1439="",0,IF(TRIM(INDEX(INDIRECT("'Выгрузка'!A1439:Z1439"),Настройки!$B$13)&amp;"")="",1,IFERROR(--SUBSTITUTE(SUBSTITUTE(TRIM(INDEX(INDIRECT("'Выгрузка'!A1439:Z1439"),Настройки!$B$13)),",","."),".",MID(1/2,2,1)),"")))</f>
        <v/>
      </c>
      <c r="H1439">
        <f>IF(F1439="",0,IF(COUNTIF(Настройки!$B$17:$B$26,F1439)&gt;0,1,IF(COUNTIF(Настройки!$C$17:$C$26,F1439)&gt;0,2,IF(COUNTIF(Настройки!$D$17:$D$26,F1439)&gt;0,3,0))))</f>
        <v/>
      </c>
      <c r="I1439">
        <f>IF(AND(ISNUMBER(A1439),ISNUMBER(B1439)),A1439*1000+B1439,"")</f>
        <v/>
      </c>
      <c r="J1439">
        <f>IF(I1439="","",IF(COUNTIF(I$2:I1439,I1439)=1,MAX(J$1:J1438)+1,""))</f>
        <v/>
      </c>
    </row>
    <row r="1440">
      <c r="A1440">
        <f>IFERROR(--SUBSTITUTE(SUBSTITUTE(TRIM(INDEX(INDIRECT("'Выгрузка'!A1440:Z1440"),Настройки!$B$7)),",","."),".",MID(1/2,2,1)),"")</f>
        <v/>
      </c>
      <c r="B1440">
        <f>IFERROR(--SUBSTITUTE(SUBSTITUTE(TRIM(INDEX(INDIRECT("'Выгрузка'!A1440:Z1440"),Настройки!$B$9)),",","."),".",MID(1/2,2,1)),"")</f>
        <v/>
      </c>
      <c r="C1440">
        <f>TRIM(INDEX(INDIRECT("'Выгрузка'!A1440:Z1440"),Настройки!$B$8)&amp;"")</f>
        <v/>
      </c>
      <c r="D1440">
        <f>IFERROR(--SUBSTITUTE(SUBSTITUTE(TRIM(INDEX(INDIRECT("'Выгрузка'!A1440:Z1440"),Настройки!$B$10)),",","."),".",MID(1/2,2,1)),"")</f>
        <v/>
      </c>
      <c r="E1440">
        <f>IFERROR(--SUBSTITUTE(SUBSTITUTE(TRIM(INDEX(INDIRECT("'Выгрузка'!A1440:Z1440"),Настройки!$B$11)),",","."),".",MID(1/2,2,1)),"")</f>
        <v/>
      </c>
      <c r="F1440">
        <f>TRIM(INDEX(INDIRECT("'Выгрузка'!A1440:Z1440"),Настройки!$B$12)&amp;"")</f>
        <v/>
      </c>
      <c r="G1440">
        <f>IF(F1440="",0,IF(TRIM(INDEX(INDIRECT("'Выгрузка'!A1440:Z1440"),Настройки!$B$13)&amp;"")="",1,IFERROR(--SUBSTITUTE(SUBSTITUTE(TRIM(INDEX(INDIRECT("'Выгрузка'!A1440:Z1440"),Настройки!$B$13)),",","."),".",MID(1/2,2,1)),"")))</f>
        <v/>
      </c>
      <c r="H1440">
        <f>IF(F1440="",0,IF(COUNTIF(Настройки!$B$17:$B$26,F1440)&gt;0,1,IF(COUNTIF(Настройки!$C$17:$C$26,F1440)&gt;0,2,IF(COUNTIF(Настройки!$D$17:$D$26,F1440)&gt;0,3,0))))</f>
        <v/>
      </c>
      <c r="I1440">
        <f>IF(AND(ISNUMBER(A1440),ISNUMBER(B1440)),A1440*1000+B1440,"")</f>
        <v/>
      </c>
      <c r="J1440">
        <f>IF(I1440="","",IF(COUNTIF(I$2:I1440,I1440)=1,MAX(J$1:J1439)+1,""))</f>
        <v/>
      </c>
    </row>
    <row r="1441">
      <c r="A1441">
        <f>IFERROR(--SUBSTITUTE(SUBSTITUTE(TRIM(INDEX(INDIRECT("'Выгрузка'!A1441:Z1441"),Настройки!$B$7)),",","."),".",MID(1/2,2,1)),"")</f>
        <v/>
      </c>
      <c r="B1441">
        <f>IFERROR(--SUBSTITUTE(SUBSTITUTE(TRIM(INDEX(INDIRECT("'Выгрузка'!A1441:Z1441"),Настройки!$B$9)),",","."),".",MID(1/2,2,1)),"")</f>
        <v/>
      </c>
      <c r="C1441">
        <f>TRIM(INDEX(INDIRECT("'Выгрузка'!A1441:Z1441"),Настройки!$B$8)&amp;"")</f>
        <v/>
      </c>
      <c r="D1441">
        <f>IFERROR(--SUBSTITUTE(SUBSTITUTE(TRIM(INDEX(INDIRECT("'Выгрузка'!A1441:Z1441"),Настройки!$B$10)),",","."),".",MID(1/2,2,1)),"")</f>
        <v/>
      </c>
      <c r="E1441">
        <f>IFERROR(--SUBSTITUTE(SUBSTITUTE(TRIM(INDEX(INDIRECT("'Выгрузка'!A1441:Z1441"),Настройки!$B$11)),",","."),".",MID(1/2,2,1)),"")</f>
        <v/>
      </c>
      <c r="F1441">
        <f>TRIM(INDEX(INDIRECT("'Выгрузка'!A1441:Z1441"),Настройки!$B$12)&amp;"")</f>
        <v/>
      </c>
      <c r="G1441">
        <f>IF(F1441="",0,IF(TRIM(INDEX(INDIRECT("'Выгрузка'!A1441:Z1441"),Настройки!$B$13)&amp;"")="",1,IFERROR(--SUBSTITUTE(SUBSTITUTE(TRIM(INDEX(INDIRECT("'Выгрузка'!A1441:Z1441"),Настройки!$B$13)),",","."),".",MID(1/2,2,1)),"")))</f>
        <v/>
      </c>
      <c r="H1441">
        <f>IF(F1441="",0,IF(COUNTIF(Настройки!$B$17:$B$26,F1441)&gt;0,1,IF(COUNTIF(Настройки!$C$17:$C$26,F1441)&gt;0,2,IF(COUNTIF(Настройки!$D$17:$D$26,F1441)&gt;0,3,0))))</f>
        <v/>
      </c>
      <c r="I1441">
        <f>IF(AND(ISNUMBER(A1441),ISNUMBER(B1441)),A1441*1000+B1441,"")</f>
        <v/>
      </c>
      <c r="J1441">
        <f>IF(I1441="","",IF(COUNTIF(I$2:I1441,I1441)=1,MAX(J$1:J1440)+1,""))</f>
        <v/>
      </c>
    </row>
    <row r="1442">
      <c r="A1442">
        <f>IFERROR(--SUBSTITUTE(SUBSTITUTE(TRIM(INDEX(INDIRECT("'Выгрузка'!A1442:Z1442"),Настройки!$B$7)),",","."),".",MID(1/2,2,1)),"")</f>
        <v/>
      </c>
      <c r="B1442">
        <f>IFERROR(--SUBSTITUTE(SUBSTITUTE(TRIM(INDEX(INDIRECT("'Выгрузка'!A1442:Z1442"),Настройки!$B$9)),",","."),".",MID(1/2,2,1)),"")</f>
        <v/>
      </c>
      <c r="C1442">
        <f>TRIM(INDEX(INDIRECT("'Выгрузка'!A1442:Z1442"),Настройки!$B$8)&amp;"")</f>
        <v/>
      </c>
      <c r="D1442">
        <f>IFERROR(--SUBSTITUTE(SUBSTITUTE(TRIM(INDEX(INDIRECT("'Выгрузка'!A1442:Z1442"),Настройки!$B$10)),",","."),".",MID(1/2,2,1)),"")</f>
        <v/>
      </c>
      <c r="E1442">
        <f>IFERROR(--SUBSTITUTE(SUBSTITUTE(TRIM(INDEX(INDIRECT("'Выгрузка'!A1442:Z1442"),Настройки!$B$11)),",","."),".",MID(1/2,2,1)),"")</f>
        <v/>
      </c>
      <c r="F1442">
        <f>TRIM(INDEX(INDIRECT("'Выгрузка'!A1442:Z1442"),Настройки!$B$12)&amp;"")</f>
        <v/>
      </c>
      <c r="G1442">
        <f>IF(F1442="",0,IF(TRIM(INDEX(INDIRECT("'Выгрузка'!A1442:Z1442"),Настройки!$B$13)&amp;"")="",1,IFERROR(--SUBSTITUTE(SUBSTITUTE(TRIM(INDEX(INDIRECT("'Выгрузка'!A1442:Z1442"),Настройки!$B$13)),",","."),".",MID(1/2,2,1)),"")))</f>
        <v/>
      </c>
      <c r="H1442">
        <f>IF(F1442="",0,IF(COUNTIF(Настройки!$B$17:$B$26,F1442)&gt;0,1,IF(COUNTIF(Настройки!$C$17:$C$26,F1442)&gt;0,2,IF(COUNTIF(Настройки!$D$17:$D$26,F1442)&gt;0,3,0))))</f>
        <v/>
      </c>
      <c r="I1442">
        <f>IF(AND(ISNUMBER(A1442),ISNUMBER(B1442)),A1442*1000+B1442,"")</f>
        <v/>
      </c>
      <c r="J1442">
        <f>IF(I1442="","",IF(COUNTIF(I$2:I1442,I1442)=1,MAX(J$1:J1441)+1,""))</f>
        <v/>
      </c>
    </row>
    <row r="1443">
      <c r="A1443">
        <f>IFERROR(--SUBSTITUTE(SUBSTITUTE(TRIM(INDEX(INDIRECT("'Выгрузка'!A1443:Z1443"),Настройки!$B$7)),",","."),".",MID(1/2,2,1)),"")</f>
        <v/>
      </c>
      <c r="B1443">
        <f>IFERROR(--SUBSTITUTE(SUBSTITUTE(TRIM(INDEX(INDIRECT("'Выгрузка'!A1443:Z1443"),Настройки!$B$9)),",","."),".",MID(1/2,2,1)),"")</f>
        <v/>
      </c>
      <c r="C1443">
        <f>TRIM(INDEX(INDIRECT("'Выгрузка'!A1443:Z1443"),Настройки!$B$8)&amp;"")</f>
        <v/>
      </c>
      <c r="D1443">
        <f>IFERROR(--SUBSTITUTE(SUBSTITUTE(TRIM(INDEX(INDIRECT("'Выгрузка'!A1443:Z1443"),Настройки!$B$10)),",","."),".",MID(1/2,2,1)),"")</f>
        <v/>
      </c>
      <c r="E1443">
        <f>IFERROR(--SUBSTITUTE(SUBSTITUTE(TRIM(INDEX(INDIRECT("'Выгрузка'!A1443:Z1443"),Настройки!$B$11)),",","."),".",MID(1/2,2,1)),"")</f>
        <v/>
      </c>
      <c r="F1443">
        <f>TRIM(INDEX(INDIRECT("'Выгрузка'!A1443:Z1443"),Настройки!$B$12)&amp;"")</f>
        <v/>
      </c>
      <c r="G1443">
        <f>IF(F1443="",0,IF(TRIM(INDEX(INDIRECT("'Выгрузка'!A1443:Z1443"),Настройки!$B$13)&amp;"")="",1,IFERROR(--SUBSTITUTE(SUBSTITUTE(TRIM(INDEX(INDIRECT("'Выгрузка'!A1443:Z1443"),Настройки!$B$13)),",","."),".",MID(1/2,2,1)),"")))</f>
        <v/>
      </c>
      <c r="H1443">
        <f>IF(F1443="",0,IF(COUNTIF(Настройки!$B$17:$B$26,F1443)&gt;0,1,IF(COUNTIF(Настройки!$C$17:$C$26,F1443)&gt;0,2,IF(COUNTIF(Настройки!$D$17:$D$26,F1443)&gt;0,3,0))))</f>
        <v/>
      </c>
      <c r="I1443">
        <f>IF(AND(ISNUMBER(A1443),ISNUMBER(B1443)),A1443*1000+B1443,"")</f>
        <v/>
      </c>
      <c r="J1443">
        <f>IF(I1443="","",IF(COUNTIF(I$2:I1443,I1443)=1,MAX(J$1:J1442)+1,""))</f>
        <v/>
      </c>
    </row>
    <row r="1444">
      <c r="A1444">
        <f>IFERROR(--SUBSTITUTE(SUBSTITUTE(TRIM(INDEX(INDIRECT("'Выгрузка'!A1444:Z1444"),Настройки!$B$7)),",","."),".",MID(1/2,2,1)),"")</f>
        <v/>
      </c>
      <c r="B1444">
        <f>IFERROR(--SUBSTITUTE(SUBSTITUTE(TRIM(INDEX(INDIRECT("'Выгрузка'!A1444:Z1444"),Настройки!$B$9)),",","."),".",MID(1/2,2,1)),"")</f>
        <v/>
      </c>
      <c r="C1444">
        <f>TRIM(INDEX(INDIRECT("'Выгрузка'!A1444:Z1444"),Настройки!$B$8)&amp;"")</f>
        <v/>
      </c>
      <c r="D1444">
        <f>IFERROR(--SUBSTITUTE(SUBSTITUTE(TRIM(INDEX(INDIRECT("'Выгрузка'!A1444:Z1444"),Настройки!$B$10)),",","."),".",MID(1/2,2,1)),"")</f>
        <v/>
      </c>
      <c r="E1444">
        <f>IFERROR(--SUBSTITUTE(SUBSTITUTE(TRIM(INDEX(INDIRECT("'Выгрузка'!A1444:Z1444"),Настройки!$B$11)),",","."),".",MID(1/2,2,1)),"")</f>
        <v/>
      </c>
      <c r="F1444">
        <f>TRIM(INDEX(INDIRECT("'Выгрузка'!A1444:Z1444"),Настройки!$B$12)&amp;"")</f>
        <v/>
      </c>
      <c r="G1444">
        <f>IF(F1444="",0,IF(TRIM(INDEX(INDIRECT("'Выгрузка'!A1444:Z1444"),Настройки!$B$13)&amp;"")="",1,IFERROR(--SUBSTITUTE(SUBSTITUTE(TRIM(INDEX(INDIRECT("'Выгрузка'!A1444:Z1444"),Настройки!$B$13)),",","."),".",MID(1/2,2,1)),"")))</f>
        <v/>
      </c>
      <c r="H1444">
        <f>IF(F1444="",0,IF(COUNTIF(Настройки!$B$17:$B$26,F1444)&gt;0,1,IF(COUNTIF(Настройки!$C$17:$C$26,F1444)&gt;0,2,IF(COUNTIF(Настройки!$D$17:$D$26,F1444)&gt;0,3,0))))</f>
        <v/>
      </c>
      <c r="I1444">
        <f>IF(AND(ISNUMBER(A1444),ISNUMBER(B1444)),A1444*1000+B1444,"")</f>
        <v/>
      </c>
      <c r="J1444">
        <f>IF(I1444="","",IF(COUNTIF(I$2:I1444,I1444)=1,MAX(J$1:J1443)+1,""))</f>
        <v/>
      </c>
    </row>
    <row r="1445">
      <c r="A1445">
        <f>IFERROR(--SUBSTITUTE(SUBSTITUTE(TRIM(INDEX(INDIRECT("'Выгрузка'!A1445:Z1445"),Настройки!$B$7)),",","."),".",MID(1/2,2,1)),"")</f>
        <v/>
      </c>
      <c r="B1445">
        <f>IFERROR(--SUBSTITUTE(SUBSTITUTE(TRIM(INDEX(INDIRECT("'Выгрузка'!A1445:Z1445"),Настройки!$B$9)),",","."),".",MID(1/2,2,1)),"")</f>
        <v/>
      </c>
      <c r="C1445">
        <f>TRIM(INDEX(INDIRECT("'Выгрузка'!A1445:Z1445"),Настройки!$B$8)&amp;"")</f>
        <v/>
      </c>
      <c r="D1445">
        <f>IFERROR(--SUBSTITUTE(SUBSTITUTE(TRIM(INDEX(INDIRECT("'Выгрузка'!A1445:Z1445"),Настройки!$B$10)),",","."),".",MID(1/2,2,1)),"")</f>
        <v/>
      </c>
      <c r="E1445">
        <f>IFERROR(--SUBSTITUTE(SUBSTITUTE(TRIM(INDEX(INDIRECT("'Выгрузка'!A1445:Z1445"),Настройки!$B$11)),",","."),".",MID(1/2,2,1)),"")</f>
        <v/>
      </c>
      <c r="F1445">
        <f>TRIM(INDEX(INDIRECT("'Выгрузка'!A1445:Z1445"),Настройки!$B$12)&amp;"")</f>
        <v/>
      </c>
      <c r="G1445">
        <f>IF(F1445="",0,IF(TRIM(INDEX(INDIRECT("'Выгрузка'!A1445:Z1445"),Настройки!$B$13)&amp;"")="",1,IFERROR(--SUBSTITUTE(SUBSTITUTE(TRIM(INDEX(INDIRECT("'Выгрузка'!A1445:Z1445"),Настройки!$B$13)),",","."),".",MID(1/2,2,1)),"")))</f>
        <v/>
      </c>
      <c r="H1445">
        <f>IF(F1445="",0,IF(COUNTIF(Настройки!$B$17:$B$26,F1445)&gt;0,1,IF(COUNTIF(Настройки!$C$17:$C$26,F1445)&gt;0,2,IF(COUNTIF(Настройки!$D$17:$D$26,F1445)&gt;0,3,0))))</f>
        <v/>
      </c>
      <c r="I1445">
        <f>IF(AND(ISNUMBER(A1445),ISNUMBER(B1445)),A1445*1000+B1445,"")</f>
        <v/>
      </c>
      <c r="J1445">
        <f>IF(I1445="","",IF(COUNTIF(I$2:I1445,I1445)=1,MAX(J$1:J1444)+1,""))</f>
        <v/>
      </c>
    </row>
    <row r="1446">
      <c r="A1446">
        <f>IFERROR(--SUBSTITUTE(SUBSTITUTE(TRIM(INDEX(INDIRECT("'Выгрузка'!A1446:Z1446"),Настройки!$B$7)),",","."),".",MID(1/2,2,1)),"")</f>
        <v/>
      </c>
      <c r="B1446">
        <f>IFERROR(--SUBSTITUTE(SUBSTITUTE(TRIM(INDEX(INDIRECT("'Выгрузка'!A1446:Z1446"),Настройки!$B$9)),",","."),".",MID(1/2,2,1)),"")</f>
        <v/>
      </c>
      <c r="C1446">
        <f>TRIM(INDEX(INDIRECT("'Выгрузка'!A1446:Z1446"),Настройки!$B$8)&amp;"")</f>
        <v/>
      </c>
      <c r="D1446">
        <f>IFERROR(--SUBSTITUTE(SUBSTITUTE(TRIM(INDEX(INDIRECT("'Выгрузка'!A1446:Z1446"),Настройки!$B$10)),",","."),".",MID(1/2,2,1)),"")</f>
        <v/>
      </c>
      <c r="E1446">
        <f>IFERROR(--SUBSTITUTE(SUBSTITUTE(TRIM(INDEX(INDIRECT("'Выгрузка'!A1446:Z1446"),Настройки!$B$11)),",","."),".",MID(1/2,2,1)),"")</f>
        <v/>
      </c>
      <c r="F1446">
        <f>TRIM(INDEX(INDIRECT("'Выгрузка'!A1446:Z1446"),Настройки!$B$12)&amp;"")</f>
        <v/>
      </c>
      <c r="G1446">
        <f>IF(F1446="",0,IF(TRIM(INDEX(INDIRECT("'Выгрузка'!A1446:Z1446"),Настройки!$B$13)&amp;"")="",1,IFERROR(--SUBSTITUTE(SUBSTITUTE(TRIM(INDEX(INDIRECT("'Выгрузка'!A1446:Z1446"),Настройки!$B$13)),",","."),".",MID(1/2,2,1)),"")))</f>
        <v/>
      </c>
      <c r="H1446">
        <f>IF(F1446="",0,IF(COUNTIF(Настройки!$B$17:$B$26,F1446)&gt;0,1,IF(COUNTIF(Настройки!$C$17:$C$26,F1446)&gt;0,2,IF(COUNTIF(Настройки!$D$17:$D$26,F1446)&gt;0,3,0))))</f>
        <v/>
      </c>
      <c r="I1446">
        <f>IF(AND(ISNUMBER(A1446),ISNUMBER(B1446)),A1446*1000+B1446,"")</f>
        <v/>
      </c>
      <c r="J1446">
        <f>IF(I1446="","",IF(COUNTIF(I$2:I1446,I1446)=1,MAX(J$1:J1445)+1,""))</f>
        <v/>
      </c>
    </row>
    <row r="1447">
      <c r="A1447">
        <f>IFERROR(--SUBSTITUTE(SUBSTITUTE(TRIM(INDEX(INDIRECT("'Выгрузка'!A1447:Z1447"),Настройки!$B$7)),",","."),".",MID(1/2,2,1)),"")</f>
        <v/>
      </c>
      <c r="B1447">
        <f>IFERROR(--SUBSTITUTE(SUBSTITUTE(TRIM(INDEX(INDIRECT("'Выгрузка'!A1447:Z1447"),Настройки!$B$9)),",","."),".",MID(1/2,2,1)),"")</f>
        <v/>
      </c>
      <c r="C1447">
        <f>TRIM(INDEX(INDIRECT("'Выгрузка'!A1447:Z1447"),Настройки!$B$8)&amp;"")</f>
        <v/>
      </c>
      <c r="D1447">
        <f>IFERROR(--SUBSTITUTE(SUBSTITUTE(TRIM(INDEX(INDIRECT("'Выгрузка'!A1447:Z1447"),Настройки!$B$10)),",","."),".",MID(1/2,2,1)),"")</f>
        <v/>
      </c>
      <c r="E1447">
        <f>IFERROR(--SUBSTITUTE(SUBSTITUTE(TRIM(INDEX(INDIRECT("'Выгрузка'!A1447:Z1447"),Настройки!$B$11)),",","."),".",MID(1/2,2,1)),"")</f>
        <v/>
      </c>
      <c r="F1447">
        <f>TRIM(INDEX(INDIRECT("'Выгрузка'!A1447:Z1447"),Настройки!$B$12)&amp;"")</f>
        <v/>
      </c>
      <c r="G1447">
        <f>IF(F1447="",0,IF(TRIM(INDEX(INDIRECT("'Выгрузка'!A1447:Z1447"),Настройки!$B$13)&amp;"")="",1,IFERROR(--SUBSTITUTE(SUBSTITUTE(TRIM(INDEX(INDIRECT("'Выгрузка'!A1447:Z1447"),Настройки!$B$13)),",","."),".",MID(1/2,2,1)),"")))</f>
        <v/>
      </c>
      <c r="H1447">
        <f>IF(F1447="",0,IF(COUNTIF(Настройки!$B$17:$B$26,F1447)&gt;0,1,IF(COUNTIF(Настройки!$C$17:$C$26,F1447)&gt;0,2,IF(COUNTIF(Настройки!$D$17:$D$26,F1447)&gt;0,3,0))))</f>
        <v/>
      </c>
      <c r="I1447">
        <f>IF(AND(ISNUMBER(A1447),ISNUMBER(B1447)),A1447*1000+B1447,"")</f>
        <v/>
      </c>
      <c r="J1447">
        <f>IF(I1447="","",IF(COUNTIF(I$2:I1447,I1447)=1,MAX(J$1:J1446)+1,""))</f>
        <v/>
      </c>
    </row>
    <row r="1448">
      <c r="A1448">
        <f>IFERROR(--SUBSTITUTE(SUBSTITUTE(TRIM(INDEX(INDIRECT("'Выгрузка'!A1448:Z1448"),Настройки!$B$7)),",","."),".",MID(1/2,2,1)),"")</f>
        <v/>
      </c>
      <c r="B1448">
        <f>IFERROR(--SUBSTITUTE(SUBSTITUTE(TRIM(INDEX(INDIRECT("'Выгрузка'!A1448:Z1448"),Настройки!$B$9)),",","."),".",MID(1/2,2,1)),"")</f>
        <v/>
      </c>
      <c r="C1448">
        <f>TRIM(INDEX(INDIRECT("'Выгрузка'!A1448:Z1448"),Настройки!$B$8)&amp;"")</f>
        <v/>
      </c>
      <c r="D1448">
        <f>IFERROR(--SUBSTITUTE(SUBSTITUTE(TRIM(INDEX(INDIRECT("'Выгрузка'!A1448:Z1448"),Настройки!$B$10)),",","."),".",MID(1/2,2,1)),"")</f>
        <v/>
      </c>
      <c r="E1448">
        <f>IFERROR(--SUBSTITUTE(SUBSTITUTE(TRIM(INDEX(INDIRECT("'Выгрузка'!A1448:Z1448"),Настройки!$B$11)),",","."),".",MID(1/2,2,1)),"")</f>
        <v/>
      </c>
      <c r="F1448">
        <f>TRIM(INDEX(INDIRECT("'Выгрузка'!A1448:Z1448"),Настройки!$B$12)&amp;"")</f>
        <v/>
      </c>
      <c r="G1448">
        <f>IF(F1448="",0,IF(TRIM(INDEX(INDIRECT("'Выгрузка'!A1448:Z1448"),Настройки!$B$13)&amp;"")="",1,IFERROR(--SUBSTITUTE(SUBSTITUTE(TRIM(INDEX(INDIRECT("'Выгрузка'!A1448:Z1448"),Настройки!$B$13)),",","."),".",MID(1/2,2,1)),"")))</f>
        <v/>
      </c>
      <c r="H1448">
        <f>IF(F1448="",0,IF(COUNTIF(Настройки!$B$17:$B$26,F1448)&gt;0,1,IF(COUNTIF(Настройки!$C$17:$C$26,F1448)&gt;0,2,IF(COUNTIF(Настройки!$D$17:$D$26,F1448)&gt;0,3,0))))</f>
        <v/>
      </c>
      <c r="I1448">
        <f>IF(AND(ISNUMBER(A1448),ISNUMBER(B1448)),A1448*1000+B1448,"")</f>
        <v/>
      </c>
      <c r="J1448">
        <f>IF(I1448="","",IF(COUNTIF(I$2:I1448,I1448)=1,MAX(J$1:J1447)+1,""))</f>
        <v/>
      </c>
    </row>
    <row r="1449">
      <c r="A1449">
        <f>IFERROR(--SUBSTITUTE(SUBSTITUTE(TRIM(INDEX(INDIRECT("'Выгрузка'!A1449:Z1449"),Настройки!$B$7)),",","."),".",MID(1/2,2,1)),"")</f>
        <v/>
      </c>
      <c r="B1449">
        <f>IFERROR(--SUBSTITUTE(SUBSTITUTE(TRIM(INDEX(INDIRECT("'Выгрузка'!A1449:Z1449"),Настройки!$B$9)),",","."),".",MID(1/2,2,1)),"")</f>
        <v/>
      </c>
      <c r="C1449">
        <f>TRIM(INDEX(INDIRECT("'Выгрузка'!A1449:Z1449"),Настройки!$B$8)&amp;"")</f>
        <v/>
      </c>
      <c r="D1449">
        <f>IFERROR(--SUBSTITUTE(SUBSTITUTE(TRIM(INDEX(INDIRECT("'Выгрузка'!A1449:Z1449"),Настройки!$B$10)),",","."),".",MID(1/2,2,1)),"")</f>
        <v/>
      </c>
      <c r="E1449">
        <f>IFERROR(--SUBSTITUTE(SUBSTITUTE(TRIM(INDEX(INDIRECT("'Выгрузка'!A1449:Z1449"),Настройки!$B$11)),",","."),".",MID(1/2,2,1)),"")</f>
        <v/>
      </c>
      <c r="F1449">
        <f>TRIM(INDEX(INDIRECT("'Выгрузка'!A1449:Z1449"),Настройки!$B$12)&amp;"")</f>
        <v/>
      </c>
      <c r="G1449">
        <f>IF(F1449="",0,IF(TRIM(INDEX(INDIRECT("'Выгрузка'!A1449:Z1449"),Настройки!$B$13)&amp;"")="",1,IFERROR(--SUBSTITUTE(SUBSTITUTE(TRIM(INDEX(INDIRECT("'Выгрузка'!A1449:Z1449"),Настройки!$B$13)),",","."),".",MID(1/2,2,1)),"")))</f>
        <v/>
      </c>
      <c r="H1449">
        <f>IF(F1449="",0,IF(COUNTIF(Настройки!$B$17:$B$26,F1449)&gt;0,1,IF(COUNTIF(Настройки!$C$17:$C$26,F1449)&gt;0,2,IF(COUNTIF(Настройки!$D$17:$D$26,F1449)&gt;0,3,0))))</f>
        <v/>
      </c>
      <c r="I1449">
        <f>IF(AND(ISNUMBER(A1449),ISNUMBER(B1449)),A1449*1000+B1449,"")</f>
        <v/>
      </c>
      <c r="J1449">
        <f>IF(I1449="","",IF(COUNTIF(I$2:I1449,I1449)=1,MAX(J$1:J1448)+1,""))</f>
        <v/>
      </c>
    </row>
    <row r="1450">
      <c r="A1450">
        <f>IFERROR(--SUBSTITUTE(SUBSTITUTE(TRIM(INDEX(INDIRECT("'Выгрузка'!A1450:Z1450"),Настройки!$B$7)),",","."),".",MID(1/2,2,1)),"")</f>
        <v/>
      </c>
      <c r="B1450">
        <f>IFERROR(--SUBSTITUTE(SUBSTITUTE(TRIM(INDEX(INDIRECT("'Выгрузка'!A1450:Z1450"),Настройки!$B$9)),",","."),".",MID(1/2,2,1)),"")</f>
        <v/>
      </c>
      <c r="C1450">
        <f>TRIM(INDEX(INDIRECT("'Выгрузка'!A1450:Z1450"),Настройки!$B$8)&amp;"")</f>
        <v/>
      </c>
      <c r="D1450">
        <f>IFERROR(--SUBSTITUTE(SUBSTITUTE(TRIM(INDEX(INDIRECT("'Выгрузка'!A1450:Z1450"),Настройки!$B$10)),",","."),".",MID(1/2,2,1)),"")</f>
        <v/>
      </c>
      <c r="E1450">
        <f>IFERROR(--SUBSTITUTE(SUBSTITUTE(TRIM(INDEX(INDIRECT("'Выгрузка'!A1450:Z1450"),Настройки!$B$11)),",","."),".",MID(1/2,2,1)),"")</f>
        <v/>
      </c>
      <c r="F1450">
        <f>TRIM(INDEX(INDIRECT("'Выгрузка'!A1450:Z1450"),Настройки!$B$12)&amp;"")</f>
        <v/>
      </c>
      <c r="G1450">
        <f>IF(F1450="",0,IF(TRIM(INDEX(INDIRECT("'Выгрузка'!A1450:Z1450"),Настройки!$B$13)&amp;"")="",1,IFERROR(--SUBSTITUTE(SUBSTITUTE(TRIM(INDEX(INDIRECT("'Выгрузка'!A1450:Z1450"),Настройки!$B$13)),",","."),".",MID(1/2,2,1)),"")))</f>
        <v/>
      </c>
      <c r="H1450">
        <f>IF(F1450="",0,IF(COUNTIF(Настройки!$B$17:$B$26,F1450)&gt;0,1,IF(COUNTIF(Настройки!$C$17:$C$26,F1450)&gt;0,2,IF(COUNTIF(Настройки!$D$17:$D$26,F1450)&gt;0,3,0))))</f>
        <v/>
      </c>
      <c r="I1450">
        <f>IF(AND(ISNUMBER(A1450),ISNUMBER(B1450)),A1450*1000+B1450,"")</f>
        <v/>
      </c>
      <c r="J1450">
        <f>IF(I1450="","",IF(COUNTIF(I$2:I1450,I1450)=1,MAX(J$1:J1449)+1,""))</f>
        <v/>
      </c>
    </row>
    <row r="1451">
      <c r="A1451">
        <f>IFERROR(--SUBSTITUTE(SUBSTITUTE(TRIM(INDEX(INDIRECT("'Выгрузка'!A1451:Z1451"),Настройки!$B$7)),",","."),".",MID(1/2,2,1)),"")</f>
        <v/>
      </c>
      <c r="B1451">
        <f>IFERROR(--SUBSTITUTE(SUBSTITUTE(TRIM(INDEX(INDIRECT("'Выгрузка'!A1451:Z1451"),Настройки!$B$9)),",","."),".",MID(1/2,2,1)),"")</f>
        <v/>
      </c>
      <c r="C1451">
        <f>TRIM(INDEX(INDIRECT("'Выгрузка'!A1451:Z1451"),Настройки!$B$8)&amp;"")</f>
        <v/>
      </c>
      <c r="D1451">
        <f>IFERROR(--SUBSTITUTE(SUBSTITUTE(TRIM(INDEX(INDIRECT("'Выгрузка'!A1451:Z1451"),Настройки!$B$10)),",","."),".",MID(1/2,2,1)),"")</f>
        <v/>
      </c>
      <c r="E1451">
        <f>IFERROR(--SUBSTITUTE(SUBSTITUTE(TRIM(INDEX(INDIRECT("'Выгрузка'!A1451:Z1451"),Настройки!$B$11)),",","."),".",MID(1/2,2,1)),"")</f>
        <v/>
      </c>
      <c r="F1451">
        <f>TRIM(INDEX(INDIRECT("'Выгрузка'!A1451:Z1451"),Настройки!$B$12)&amp;"")</f>
        <v/>
      </c>
      <c r="G1451">
        <f>IF(F1451="",0,IF(TRIM(INDEX(INDIRECT("'Выгрузка'!A1451:Z1451"),Настройки!$B$13)&amp;"")="",1,IFERROR(--SUBSTITUTE(SUBSTITUTE(TRIM(INDEX(INDIRECT("'Выгрузка'!A1451:Z1451"),Настройки!$B$13)),",","."),".",MID(1/2,2,1)),"")))</f>
        <v/>
      </c>
      <c r="H1451">
        <f>IF(F1451="",0,IF(COUNTIF(Настройки!$B$17:$B$26,F1451)&gt;0,1,IF(COUNTIF(Настройки!$C$17:$C$26,F1451)&gt;0,2,IF(COUNTIF(Настройки!$D$17:$D$26,F1451)&gt;0,3,0))))</f>
        <v/>
      </c>
      <c r="I1451">
        <f>IF(AND(ISNUMBER(A1451),ISNUMBER(B1451)),A1451*1000+B1451,"")</f>
        <v/>
      </c>
      <c r="J1451">
        <f>IF(I1451="","",IF(COUNTIF(I$2:I1451,I1451)=1,MAX(J$1:J1450)+1,""))</f>
        <v/>
      </c>
    </row>
    <row r="1452">
      <c r="A1452">
        <f>IFERROR(--SUBSTITUTE(SUBSTITUTE(TRIM(INDEX(INDIRECT("'Выгрузка'!A1452:Z1452"),Настройки!$B$7)),",","."),".",MID(1/2,2,1)),"")</f>
        <v/>
      </c>
      <c r="B1452">
        <f>IFERROR(--SUBSTITUTE(SUBSTITUTE(TRIM(INDEX(INDIRECT("'Выгрузка'!A1452:Z1452"),Настройки!$B$9)),",","."),".",MID(1/2,2,1)),"")</f>
        <v/>
      </c>
      <c r="C1452">
        <f>TRIM(INDEX(INDIRECT("'Выгрузка'!A1452:Z1452"),Настройки!$B$8)&amp;"")</f>
        <v/>
      </c>
      <c r="D1452">
        <f>IFERROR(--SUBSTITUTE(SUBSTITUTE(TRIM(INDEX(INDIRECT("'Выгрузка'!A1452:Z1452"),Настройки!$B$10)),",","."),".",MID(1/2,2,1)),"")</f>
        <v/>
      </c>
      <c r="E1452">
        <f>IFERROR(--SUBSTITUTE(SUBSTITUTE(TRIM(INDEX(INDIRECT("'Выгрузка'!A1452:Z1452"),Настройки!$B$11)),",","."),".",MID(1/2,2,1)),"")</f>
        <v/>
      </c>
      <c r="F1452">
        <f>TRIM(INDEX(INDIRECT("'Выгрузка'!A1452:Z1452"),Настройки!$B$12)&amp;"")</f>
        <v/>
      </c>
      <c r="G1452">
        <f>IF(F1452="",0,IF(TRIM(INDEX(INDIRECT("'Выгрузка'!A1452:Z1452"),Настройки!$B$13)&amp;"")="",1,IFERROR(--SUBSTITUTE(SUBSTITUTE(TRIM(INDEX(INDIRECT("'Выгрузка'!A1452:Z1452"),Настройки!$B$13)),",","."),".",MID(1/2,2,1)),"")))</f>
        <v/>
      </c>
      <c r="H1452">
        <f>IF(F1452="",0,IF(COUNTIF(Настройки!$B$17:$B$26,F1452)&gt;0,1,IF(COUNTIF(Настройки!$C$17:$C$26,F1452)&gt;0,2,IF(COUNTIF(Настройки!$D$17:$D$26,F1452)&gt;0,3,0))))</f>
        <v/>
      </c>
      <c r="I1452">
        <f>IF(AND(ISNUMBER(A1452),ISNUMBER(B1452)),A1452*1000+B1452,"")</f>
        <v/>
      </c>
      <c r="J1452">
        <f>IF(I1452="","",IF(COUNTIF(I$2:I1452,I1452)=1,MAX(J$1:J1451)+1,""))</f>
        <v/>
      </c>
    </row>
    <row r="1453">
      <c r="A1453">
        <f>IFERROR(--SUBSTITUTE(SUBSTITUTE(TRIM(INDEX(INDIRECT("'Выгрузка'!A1453:Z1453"),Настройки!$B$7)),",","."),".",MID(1/2,2,1)),"")</f>
        <v/>
      </c>
      <c r="B1453">
        <f>IFERROR(--SUBSTITUTE(SUBSTITUTE(TRIM(INDEX(INDIRECT("'Выгрузка'!A1453:Z1453"),Настройки!$B$9)),",","."),".",MID(1/2,2,1)),"")</f>
        <v/>
      </c>
      <c r="C1453">
        <f>TRIM(INDEX(INDIRECT("'Выгрузка'!A1453:Z1453"),Настройки!$B$8)&amp;"")</f>
        <v/>
      </c>
      <c r="D1453">
        <f>IFERROR(--SUBSTITUTE(SUBSTITUTE(TRIM(INDEX(INDIRECT("'Выгрузка'!A1453:Z1453"),Настройки!$B$10)),",","."),".",MID(1/2,2,1)),"")</f>
        <v/>
      </c>
      <c r="E1453">
        <f>IFERROR(--SUBSTITUTE(SUBSTITUTE(TRIM(INDEX(INDIRECT("'Выгрузка'!A1453:Z1453"),Настройки!$B$11)),",","."),".",MID(1/2,2,1)),"")</f>
        <v/>
      </c>
      <c r="F1453">
        <f>TRIM(INDEX(INDIRECT("'Выгрузка'!A1453:Z1453"),Настройки!$B$12)&amp;"")</f>
        <v/>
      </c>
      <c r="G1453">
        <f>IF(F1453="",0,IF(TRIM(INDEX(INDIRECT("'Выгрузка'!A1453:Z1453"),Настройки!$B$13)&amp;"")="",1,IFERROR(--SUBSTITUTE(SUBSTITUTE(TRIM(INDEX(INDIRECT("'Выгрузка'!A1453:Z1453"),Настройки!$B$13)),",","."),".",MID(1/2,2,1)),"")))</f>
        <v/>
      </c>
      <c r="H1453">
        <f>IF(F1453="",0,IF(COUNTIF(Настройки!$B$17:$B$26,F1453)&gt;0,1,IF(COUNTIF(Настройки!$C$17:$C$26,F1453)&gt;0,2,IF(COUNTIF(Настройки!$D$17:$D$26,F1453)&gt;0,3,0))))</f>
        <v/>
      </c>
      <c r="I1453">
        <f>IF(AND(ISNUMBER(A1453),ISNUMBER(B1453)),A1453*1000+B1453,"")</f>
        <v/>
      </c>
      <c r="J1453">
        <f>IF(I1453="","",IF(COUNTIF(I$2:I1453,I1453)=1,MAX(J$1:J1452)+1,""))</f>
        <v/>
      </c>
    </row>
    <row r="1454">
      <c r="A1454">
        <f>IFERROR(--SUBSTITUTE(SUBSTITUTE(TRIM(INDEX(INDIRECT("'Выгрузка'!A1454:Z1454"),Настройки!$B$7)),",","."),".",MID(1/2,2,1)),"")</f>
        <v/>
      </c>
      <c r="B1454">
        <f>IFERROR(--SUBSTITUTE(SUBSTITUTE(TRIM(INDEX(INDIRECT("'Выгрузка'!A1454:Z1454"),Настройки!$B$9)),",","."),".",MID(1/2,2,1)),"")</f>
        <v/>
      </c>
      <c r="C1454">
        <f>TRIM(INDEX(INDIRECT("'Выгрузка'!A1454:Z1454"),Настройки!$B$8)&amp;"")</f>
        <v/>
      </c>
      <c r="D1454">
        <f>IFERROR(--SUBSTITUTE(SUBSTITUTE(TRIM(INDEX(INDIRECT("'Выгрузка'!A1454:Z1454"),Настройки!$B$10)),",","."),".",MID(1/2,2,1)),"")</f>
        <v/>
      </c>
      <c r="E1454">
        <f>IFERROR(--SUBSTITUTE(SUBSTITUTE(TRIM(INDEX(INDIRECT("'Выгрузка'!A1454:Z1454"),Настройки!$B$11)),",","."),".",MID(1/2,2,1)),"")</f>
        <v/>
      </c>
      <c r="F1454">
        <f>TRIM(INDEX(INDIRECT("'Выгрузка'!A1454:Z1454"),Настройки!$B$12)&amp;"")</f>
        <v/>
      </c>
      <c r="G1454">
        <f>IF(F1454="",0,IF(TRIM(INDEX(INDIRECT("'Выгрузка'!A1454:Z1454"),Настройки!$B$13)&amp;"")="",1,IFERROR(--SUBSTITUTE(SUBSTITUTE(TRIM(INDEX(INDIRECT("'Выгрузка'!A1454:Z1454"),Настройки!$B$13)),",","."),".",MID(1/2,2,1)),"")))</f>
        <v/>
      </c>
      <c r="H1454">
        <f>IF(F1454="",0,IF(COUNTIF(Настройки!$B$17:$B$26,F1454)&gt;0,1,IF(COUNTIF(Настройки!$C$17:$C$26,F1454)&gt;0,2,IF(COUNTIF(Настройки!$D$17:$D$26,F1454)&gt;0,3,0))))</f>
        <v/>
      </c>
      <c r="I1454">
        <f>IF(AND(ISNUMBER(A1454),ISNUMBER(B1454)),A1454*1000+B1454,"")</f>
        <v/>
      </c>
      <c r="J1454">
        <f>IF(I1454="","",IF(COUNTIF(I$2:I1454,I1454)=1,MAX(J$1:J1453)+1,""))</f>
        <v/>
      </c>
    </row>
    <row r="1455">
      <c r="A1455">
        <f>IFERROR(--SUBSTITUTE(SUBSTITUTE(TRIM(INDEX(INDIRECT("'Выгрузка'!A1455:Z1455"),Настройки!$B$7)),",","."),".",MID(1/2,2,1)),"")</f>
        <v/>
      </c>
      <c r="B1455">
        <f>IFERROR(--SUBSTITUTE(SUBSTITUTE(TRIM(INDEX(INDIRECT("'Выгрузка'!A1455:Z1455"),Настройки!$B$9)),",","."),".",MID(1/2,2,1)),"")</f>
        <v/>
      </c>
      <c r="C1455">
        <f>TRIM(INDEX(INDIRECT("'Выгрузка'!A1455:Z1455"),Настройки!$B$8)&amp;"")</f>
        <v/>
      </c>
      <c r="D1455">
        <f>IFERROR(--SUBSTITUTE(SUBSTITUTE(TRIM(INDEX(INDIRECT("'Выгрузка'!A1455:Z1455"),Настройки!$B$10)),",","."),".",MID(1/2,2,1)),"")</f>
        <v/>
      </c>
      <c r="E1455">
        <f>IFERROR(--SUBSTITUTE(SUBSTITUTE(TRIM(INDEX(INDIRECT("'Выгрузка'!A1455:Z1455"),Настройки!$B$11)),",","."),".",MID(1/2,2,1)),"")</f>
        <v/>
      </c>
      <c r="F1455">
        <f>TRIM(INDEX(INDIRECT("'Выгрузка'!A1455:Z1455"),Настройки!$B$12)&amp;"")</f>
        <v/>
      </c>
      <c r="G1455">
        <f>IF(F1455="",0,IF(TRIM(INDEX(INDIRECT("'Выгрузка'!A1455:Z1455"),Настройки!$B$13)&amp;"")="",1,IFERROR(--SUBSTITUTE(SUBSTITUTE(TRIM(INDEX(INDIRECT("'Выгрузка'!A1455:Z1455"),Настройки!$B$13)),",","."),".",MID(1/2,2,1)),"")))</f>
        <v/>
      </c>
      <c r="H1455">
        <f>IF(F1455="",0,IF(COUNTIF(Настройки!$B$17:$B$26,F1455)&gt;0,1,IF(COUNTIF(Настройки!$C$17:$C$26,F1455)&gt;0,2,IF(COUNTIF(Настройки!$D$17:$D$26,F1455)&gt;0,3,0))))</f>
        <v/>
      </c>
      <c r="I1455">
        <f>IF(AND(ISNUMBER(A1455),ISNUMBER(B1455)),A1455*1000+B1455,"")</f>
        <v/>
      </c>
      <c r="J1455">
        <f>IF(I1455="","",IF(COUNTIF(I$2:I1455,I1455)=1,MAX(J$1:J1454)+1,""))</f>
        <v/>
      </c>
    </row>
    <row r="1456">
      <c r="A1456">
        <f>IFERROR(--SUBSTITUTE(SUBSTITUTE(TRIM(INDEX(INDIRECT("'Выгрузка'!A1456:Z1456"),Настройки!$B$7)),",","."),".",MID(1/2,2,1)),"")</f>
        <v/>
      </c>
      <c r="B1456">
        <f>IFERROR(--SUBSTITUTE(SUBSTITUTE(TRIM(INDEX(INDIRECT("'Выгрузка'!A1456:Z1456"),Настройки!$B$9)),",","."),".",MID(1/2,2,1)),"")</f>
        <v/>
      </c>
      <c r="C1456">
        <f>TRIM(INDEX(INDIRECT("'Выгрузка'!A1456:Z1456"),Настройки!$B$8)&amp;"")</f>
        <v/>
      </c>
      <c r="D1456">
        <f>IFERROR(--SUBSTITUTE(SUBSTITUTE(TRIM(INDEX(INDIRECT("'Выгрузка'!A1456:Z1456"),Настройки!$B$10)),",","."),".",MID(1/2,2,1)),"")</f>
        <v/>
      </c>
      <c r="E1456">
        <f>IFERROR(--SUBSTITUTE(SUBSTITUTE(TRIM(INDEX(INDIRECT("'Выгрузка'!A1456:Z1456"),Настройки!$B$11)),",","."),".",MID(1/2,2,1)),"")</f>
        <v/>
      </c>
      <c r="F1456">
        <f>TRIM(INDEX(INDIRECT("'Выгрузка'!A1456:Z1456"),Настройки!$B$12)&amp;"")</f>
        <v/>
      </c>
      <c r="G1456">
        <f>IF(F1456="",0,IF(TRIM(INDEX(INDIRECT("'Выгрузка'!A1456:Z1456"),Настройки!$B$13)&amp;"")="",1,IFERROR(--SUBSTITUTE(SUBSTITUTE(TRIM(INDEX(INDIRECT("'Выгрузка'!A1456:Z1456"),Настройки!$B$13)),",","."),".",MID(1/2,2,1)),"")))</f>
        <v/>
      </c>
      <c r="H1456">
        <f>IF(F1456="",0,IF(COUNTIF(Настройки!$B$17:$B$26,F1456)&gt;0,1,IF(COUNTIF(Настройки!$C$17:$C$26,F1456)&gt;0,2,IF(COUNTIF(Настройки!$D$17:$D$26,F1456)&gt;0,3,0))))</f>
        <v/>
      </c>
      <c r="I1456">
        <f>IF(AND(ISNUMBER(A1456),ISNUMBER(B1456)),A1456*1000+B1456,"")</f>
        <v/>
      </c>
      <c r="J1456">
        <f>IF(I1456="","",IF(COUNTIF(I$2:I1456,I1456)=1,MAX(J$1:J1455)+1,""))</f>
        <v/>
      </c>
    </row>
    <row r="1457">
      <c r="A1457">
        <f>IFERROR(--SUBSTITUTE(SUBSTITUTE(TRIM(INDEX(INDIRECT("'Выгрузка'!A1457:Z1457"),Настройки!$B$7)),",","."),".",MID(1/2,2,1)),"")</f>
        <v/>
      </c>
      <c r="B1457">
        <f>IFERROR(--SUBSTITUTE(SUBSTITUTE(TRIM(INDEX(INDIRECT("'Выгрузка'!A1457:Z1457"),Настройки!$B$9)),",","."),".",MID(1/2,2,1)),"")</f>
        <v/>
      </c>
      <c r="C1457">
        <f>TRIM(INDEX(INDIRECT("'Выгрузка'!A1457:Z1457"),Настройки!$B$8)&amp;"")</f>
        <v/>
      </c>
      <c r="D1457">
        <f>IFERROR(--SUBSTITUTE(SUBSTITUTE(TRIM(INDEX(INDIRECT("'Выгрузка'!A1457:Z1457"),Настройки!$B$10)),",","."),".",MID(1/2,2,1)),"")</f>
        <v/>
      </c>
      <c r="E1457">
        <f>IFERROR(--SUBSTITUTE(SUBSTITUTE(TRIM(INDEX(INDIRECT("'Выгрузка'!A1457:Z1457"),Настройки!$B$11)),",","."),".",MID(1/2,2,1)),"")</f>
        <v/>
      </c>
      <c r="F1457">
        <f>TRIM(INDEX(INDIRECT("'Выгрузка'!A1457:Z1457"),Настройки!$B$12)&amp;"")</f>
        <v/>
      </c>
      <c r="G1457">
        <f>IF(F1457="",0,IF(TRIM(INDEX(INDIRECT("'Выгрузка'!A1457:Z1457"),Настройки!$B$13)&amp;"")="",1,IFERROR(--SUBSTITUTE(SUBSTITUTE(TRIM(INDEX(INDIRECT("'Выгрузка'!A1457:Z1457"),Настройки!$B$13)),",","."),".",MID(1/2,2,1)),"")))</f>
        <v/>
      </c>
      <c r="H1457">
        <f>IF(F1457="",0,IF(COUNTIF(Настройки!$B$17:$B$26,F1457)&gt;0,1,IF(COUNTIF(Настройки!$C$17:$C$26,F1457)&gt;0,2,IF(COUNTIF(Настройки!$D$17:$D$26,F1457)&gt;0,3,0))))</f>
        <v/>
      </c>
      <c r="I1457">
        <f>IF(AND(ISNUMBER(A1457),ISNUMBER(B1457)),A1457*1000+B1457,"")</f>
        <v/>
      </c>
      <c r="J1457">
        <f>IF(I1457="","",IF(COUNTIF(I$2:I1457,I1457)=1,MAX(J$1:J1456)+1,""))</f>
        <v/>
      </c>
    </row>
    <row r="1458">
      <c r="A1458">
        <f>IFERROR(--SUBSTITUTE(SUBSTITUTE(TRIM(INDEX(INDIRECT("'Выгрузка'!A1458:Z1458"),Настройки!$B$7)),",","."),".",MID(1/2,2,1)),"")</f>
        <v/>
      </c>
      <c r="B1458">
        <f>IFERROR(--SUBSTITUTE(SUBSTITUTE(TRIM(INDEX(INDIRECT("'Выгрузка'!A1458:Z1458"),Настройки!$B$9)),",","."),".",MID(1/2,2,1)),"")</f>
        <v/>
      </c>
      <c r="C1458">
        <f>TRIM(INDEX(INDIRECT("'Выгрузка'!A1458:Z1458"),Настройки!$B$8)&amp;"")</f>
        <v/>
      </c>
      <c r="D1458">
        <f>IFERROR(--SUBSTITUTE(SUBSTITUTE(TRIM(INDEX(INDIRECT("'Выгрузка'!A1458:Z1458"),Настройки!$B$10)),",","."),".",MID(1/2,2,1)),"")</f>
        <v/>
      </c>
      <c r="E1458">
        <f>IFERROR(--SUBSTITUTE(SUBSTITUTE(TRIM(INDEX(INDIRECT("'Выгрузка'!A1458:Z1458"),Настройки!$B$11)),",","."),".",MID(1/2,2,1)),"")</f>
        <v/>
      </c>
      <c r="F1458">
        <f>TRIM(INDEX(INDIRECT("'Выгрузка'!A1458:Z1458"),Настройки!$B$12)&amp;"")</f>
        <v/>
      </c>
      <c r="G1458">
        <f>IF(F1458="",0,IF(TRIM(INDEX(INDIRECT("'Выгрузка'!A1458:Z1458"),Настройки!$B$13)&amp;"")="",1,IFERROR(--SUBSTITUTE(SUBSTITUTE(TRIM(INDEX(INDIRECT("'Выгрузка'!A1458:Z1458"),Настройки!$B$13)),",","."),".",MID(1/2,2,1)),"")))</f>
        <v/>
      </c>
      <c r="H1458">
        <f>IF(F1458="",0,IF(COUNTIF(Настройки!$B$17:$B$26,F1458)&gt;0,1,IF(COUNTIF(Настройки!$C$17:$C$26,F1458)&gt;0,2,IF(COUNTIF(Настройки!$D$17:$D$26,F1458)&gt;0,3,0))))</f>
        <v/>
      </c>
      <c r="I1458">
        <f>IF(AND(ISNUMBER(A1458),ISNUMBER(B1458)),A1458*1000+B1458,"")</f>
        <v/>
      </c>
      <c r="J1458">
        <f>IF(I1458="","",IF(COUNTIF(I$2:I1458,I1458)=1,MAX(J$1:J1457)+1,""))</f>
        <v/>
      </c>
    </row>
    <row r="1459">
      <c r="A1459">
        <f>IFERROR(--SUBSTITUTE(SUBSTITUTE(TRIM(INDEX(INDIRECT("'Выгрузка'!A1459:Z1459"),Настройки!$B$7)),",","."),".",MID(1/2,2,1)),"")</f>
        <v/>
      </c>
      <c r="B1459">
        <f>IFERROR(--SUBSTITUTE(SUBSTITUTE(TRIM(INDEX(INDIRECT("'Выгрузка'!A1459:Z1459"),Настройки!$B$9)),",","."),".",MID(1/2,2,1)),"")</f>
        <v/>
      </c>
      <c r="C1459">
        <f>TRIM(INDEX(INDIRECT("'Выгрузка'!A1459:Z1459"),Настройки!$B$8)&amp;"")</f>
        <v/>
      </c>
      <c r="D1459">
        <f>IFERROR(--SUBSTITUTE(SUBSTITUTE(TRIM(INDEX(INDIRECT("'Выгрузка'!A1459:Z1459"),Настройки!$B$10)),",","."),".",MID(1/2,2,1)),"")</f>
        <v/>
      </c>
      <c r="E1459">
        <f>IFERROR(--SUBSTITUTE(SUBSTITUTE(TRIM(INDEX(INDIRECT("'Выгрузка'!A1459:Z1459"),Настройки!$B$11)),",","."),".",MID(1/2,2,1)),"")</f>
        <v/>
      </c>
      <c r="F1459">
        <f>TRIM(INDEX(INDIRECT("'Выгрузка'!A1459:Z1459"),Настройки!$B$12)&amp;"")</f>
        <v/>
      </c>
      <c r="G1459">
        <f>IF(F1459="",0,IF(TRIM(INDEX(INDIRECT("'Выгрузка'!A1459:Z1459"),Настройки!$B$13)&amp;"")="",1,IFERROR(--SUBSTITUTE(SUBSTITUTE(TRIM(INDEX(INDIRECT("'Выгрузка'!A1459:Z1459"),Настройки!$B$13)),",","."),".",MID(1/2,2,1)),"")))</f>
        <v/>
      </c>
      <c r="H1459">
        <f>IF(F1459="",0,IF(COUNTIF(Настройки!$B$17:$B$26,F1459)&gt;0,1,IF(COUNTIF(Настройки!$C$17:$C$26,F1459)&gt;0,2,IF(COUNTIF(Настройки!$D$17:$D$26,F1459)&gt;0,3,0))))</f>
        <v/>
      </c>
      <c r="I1459">
        <f>IF(AND(ISNUMBER(A1459),ISNUMBER(B1459)),A1459*1000+B1459,"")</f>
        <v/>
      </c>
      <c r="J1459">
        <f>IF(I1459="","",IF(COUNTIF(I$2:I1459,I1459)=1,MAX(J$1:J1458)+1,""))</f>
        <v/>
      </c>
    </row>
    <row r="1460">
      <c r="A1460">
        <f>IFERROR(--SUBSTITUTE(SUBSTITUTE(TRIM(INDEX(INDIRECT("'Выгрузка'!A1460:Z1460"),Настройки!$B$7)),",","."),".",MID(1/2,2,1)),"")</f>
        <v/>
      </c>
      <c r="B1460">
        <f>IFERROR(--SUBSTITUTE(SUBSTITUTE(TRIM(INDEX(INDIRECT("'Выгрузка'!A1460:Z1460"),Настройки!$B$9)),",","."),".",MID(1/2,2,1)),"")</f>
        <v/>
      </c>
      <c r="C1460">
        <f>TRIM(INDEX(INDIRECT("'Выгрузка'!A1460:Z1460"),Настройки!$B$8)&amp;"")</f>
        <v/>
      </c>
      <c r="D1460">
        <f>IFERROR(--SUBSTITUTE(SUBSTITUTE(TRIM(INDEX(INDIRECT("'Выгрузка'!A1460:Z1460"),Настройки!$B$10)),",","."),".",MID(1/2,2,1)),"")</f>
        <v/>
      </c>
      <c r="E1460">
        <f>IFERROR(--SUBSTITUTE(SUBSTITUTE(TRIM(INDEX(INDIRECT("'Выгрузка'!A1460:Z1460"),Настройки!$B$11)),",","."),".",MID(1/2,2,1)),"")</f>
        <v/>
      </c>
      <c r="F1460">
        <f>TRIM(INDEX(INDIRECT("'Выгрузка'!A1460:Z1460"),Настройки!$B$12)&amp;"")</f>
        <v/>
      </c>
      <c r="G1460">
        <f>IF(F1460="",0,IF(TRIM(INDEX(INDIRECT("'Выгрузка'!A1460:Z1460"),Настройки!$B$13)&amp;"")="",1,IFERROR(--SUBSTITUTE(SUBSTITUTE(TRIM(INDEX(INDIRECT("'Выгрузка'!A1460:Z1460"),Настройки!$B$13)),",","."),".",MID(1/2,2,1)),"")))</f>
        <v/>
      </c>
      <c r="H1460">
        <f>IF(F1460="",0,IF(COUNTIF(Настройки!$B$17:$B$26,F1460)&gt;0,1,IF(COUNTIF(Настройки!$C$17:$C$26,F1460)&gt;0,2,IF(COUNTIF(Настройки!$D$17:$D$26,F1460)&gt;0,3,0))))</f>
        <v/>
      </c>
      <c r="I1460">
        <f>IF(AND(ISNUMBER(A1460),ISNUMBER(B1460)),A1460*1000+B1460,"")</f>
        <v/>
      </c>
      <c r="J1460">
        <f>IF(I1460="","",IF(COUNTIF(I$2:I1460,I1460)=1,MAX(J$1:J1459)+1,""))</f>
        <v/>
      </c>
    </row>
    <row r="1461">
      <c r="A1461">
        <f>IFERROR(--SUBSTITUTE(SUBSTITUTE(TRIM(INDEX(INDIRECT("'Выгрузка'!A1461:Z1461"),Настройки!$B$7)),",","."),".",MID(1/2,2,1)),"")</f>
        <v/>
      </c>
      <c r="B1461">
        <f>IFERROR(--SUBSTITUTE(SUBSTITUTE(TRIM(INDEX(INDIRECT("'Выгрузка'!A1461:Z1461"),Настройки!$B$9)),",","."),".",MID(1/2,2,1)),"")</f>
        <v/>
      </c>
      <c r="C1461">
        <f>TRIM(INDEX(INDIRECT("'Выгрузка'!A1461:Z1461"),Настройки!$B$8)&amp;"")</f>
        <v/>
      </c>
      <c r="D1461">
        <f>IFERROR(--SUBSTITUTE(SUBSTITUTE(TRIM(INDEX(INDIRECT("'Выгрузка'!A1461:Z1461"),Настройки!$B$10)),",","."),".",MID(1/2,2,1)),"")</f>
        <v/>
      </c>
      <c r="E1461">
        <f>IFERROR(--SUBSTITUTE(SUBSTITUTE(TRIM(INDEX(INDIRECT("'Выгрузка'!A1461:Z1461"),Настройки!$B$11)),",","."),".",MID(1/2,2,1)),"")</f>
        <v/>
      </c>
      <c r="F1461">
        <f>TRIM(INDEX(INDIRECT("'Выгрузка'!A1461:Z1461"),Настройки!$B$12)&amp;"")</f>
        <v/>
      </c>
      <c r="G1461">
        <f>IF(F1461="",0,IF(TRIM(INDEX(INDIRECT("'Выгрузка'!A1461:Z1461"),Настройки!$B$13)&amp;"")="",1,IFERROR(--SUBSTITUTE(SUBSTITUTE(TRIM(INDEX(INDIRECT("'Выгрузка'!A1461:Z1461"),Настройки!$B$13)),",","."),".",MID(1/2,2,1)),"")))</f>
        <v/>
      </c>
      <c r="H1461">
        <f>IF(F1461="",0,IF(COUNTIF(Настройки!$B$17:$B$26,F1461)&gt;0,1,IF(COUNTIF(Настройки!$C$17:$C$26,F1461)&gt;0,2,IF(COUNTIF(Настройки!$D$17:$D$26,F1461)&gt;0,3,0))))</f>
        <v/>
      </c>
      <c r="I1461">
        <f>IF(AND(ISNUMBER(A1461),ISNUMBER(B1461)),A1461*1000+B1461,"")</f>
        <v/>
      </c>
      <c r="J1461">
        <f>IF(I1461="","",IF(COUNTIF(I$2:I1461,I1461)=1,MAX(J$1:J1460)+1,""))</f>
        <v/>
      </c>
    </row>
    <row r="1462">
      <c r="A1462">
        <f>IFERROR(--SUBSTITUTE(SUBSTITUTE(TRIM(INDEX(INDIRECT("'Выгрузка'!A1462:Z1462"),Настройки!$B$7)),",","."),".",MID(1/2,2,1)),"")</f>
        <v/>
      </c>
      <c r="B1462">
        <f>IFERROR(--SUBSTITUTE(SUBSTITUTE(TRIM(INDEX(INDIRECT("'Выгрузка'!A1462:Z1462"),Настройки!$B$9)),",","."),".",MID(1/2,2,1)),"")</f>
        <v/>
      </c>
      <c r="C1462">
        <f>TRIM(INDEX(INDIRECT("'Выгрузка'!A1462:Z1462"),Настройки!$B$8)&amp;"")</f>
        <v/>
      </c>
      <c r="D1462">
        <f>IFERROR(--SUBSTITUTE(SUBSTITUTE(TRIM(INDEX(INDIRECT("'Выгрузка'!A1462:Z1462"),Настройки!$B$10)),",","."),".",MID(1/2,2,1)),"")</f>
        <v/>
      </c>
      <c r="E1462">
        <f>IFERROR(--SUBSTITUTE(SUBSTITUTE(TRIM(INDEX(INDIRECT("'Выгрузка'!A1462:Z1462"),Настройки!$B$11)),",","."),".",MID(1/2,2,1)),"")</f>
        <v/>
      </c>
      <c r="F1462">
        <f>TRIM(INDEX(INDIRECT("'Выгрузка'!A1462:Z1462"),Настройки!$B$12)&amp;"")</f>
        <v/>
      </c>
      <c r="G1462">
        <f>IF(F1462="",0,IF(TRIM(INDEX(INDIRECT("'Выгрузка'!A1462:Z1462"),Настройки!$B$13)&amp;"")="",1,IFERROR(--SUBSTITUTE(SUBSTITUTE(TRIM(INDEX(INDIRECT("'Выгрузка'!A1462:Z1462"),Настройки!$B$13)),",","."),".",MID(1/2,2,1)),"")))</f>
        <v/>
      </c>
      <c r="H1462">
        <f>IF(F1462="",0,IF(COUNTIF(Настройки!$B$17:$B$26,F1462)&gt;0,1,IF(COUNTIF(Настройки!$C$17:$C$26,F1462)&gt;0,2,IF(COUNTIF(Настройки!$D$17:$D$26,F1462)&gt;0,3,0))))</f>
        <v/>
      </c>
      <c r="I1462">
        <f>IF(AND(ISNUMBER(A1462),ISNUMBER(B1462)),A1462*1000+B1462,"")</f>
        <v/>
      </c>
      <c r="J1462">
        <f>IF(I1462="","",IF(COUNTIF(I$2:I1462,I1462)=1,MAX(J$1:J1461)+1,""))</f>
        <v/>
      </c>
    </row>
    <row r="1463">
      <c r="A1463">
        <f>IFERROR(--SUBSTITUTE(SUBSTITUTE(TRIM(INDEX(INDIRECT("'Выгрузка'!A1463:Z1463"),Настройки!$B$7)),",","."),".",MID(1/2,2,1)),"")</f>
        <v/>
      </c>
      <c r="B1463">
        <f>IFERROR(--SUBSTITUTE(SUBSTITUTE(TRIM(INDEX(INDIRECT("'Выгрузка'!A1463:Z1463"),Настройки!$B$9)),",","."),".",MID(1/2,2,1)),"")</f>
        <v/>
      </c>
      <c r="C1463">
        <f>TRIM(INDEX(INDIRECT("'Выгрузка'!A1463:Z1463"),Настройки!$B$8)&amp;"")</f>
        <v/>
      </c>
      <c r="D1463">
        <f>IFERROR(--SUBSTITUTE(SUBSTITUTE(TRIM(INDEX(INDIRECT("'Выгрузка'!A1463:Z1463"),Настройки!$B$10)),",","."),".",MID(1/2,2,1)),"")</f>
        <v/>
      </c>
      <c r="E1463">
        <f>IFERROR(--SUBSTITUTE(SUBSTITUTE(TRIM(INDEX(INDIRECT("'Выгрузка'!A1463:Z1463"),Настройки!$B$11)),",","."),".",MID(1/2,2,1)),"")</f>
        <v/>
      </c>
      <c r="F1463">
        <f>TRIM(INDEX(INDIRECT("'Выгрузка'!A1463:Z1463"),Настройки!$B$12)&amp;"")</f>
        <v/>
      </c>
      <c r="G1463">
        <f>IF(F1463="",0,IF(TRIM(INDEX(INDIRECT("'Выгрузка'!A1463:Z1463"),Настройки!$B$13)&amp;"")="",1,IFERROR(--SUBSTITUTE(SUBSTITUTE(TRIM(INDEX(INDIRECT("'Выгрузка'!A1463:Z1463"),Настройки!$B$13)),",","."),".",MID(1/2,2,1)),"")))</f>
        <v/>
      </c>
      <c r="H1463">
        <f>IF(F1463="",0,IF(COUNTIF(Настройки!$B$17:$B$26,F1463)&gt;0,1,IF(COUNTIF(Настройки!$C$17:$C$26,F1463)&gt;0,2,IF(COUNTIF(Настройки!$D$17:$D$26,F1463)&gt;0,3,0))))</f>
        <v/>
      </c>
      <c r="I1463">
        <f>IF(AND(ISNUMBER(A1463),ISNUMBER(B1463)),A1463*1000+B1463,"")</f>
        <v/>
      </c>
      <c r="J1463">
        <f>IF(I1463="","",IF(COUNTIF(I$2:I1463,I1463)=1,MAX(J$1:J1462)+1,""))</f>
        <v/>
      </c>
    </row>
    <row r="1464">
      <c r="A1464">
        <f>IFERROR(--SUBSTITUTE(SUBSTITUTE(TRIM(INDEX(INDIRECT("'Выгрузка'!A1464:Z1464"),Настройки!$B$7)),",","."),".",MID(1/2,2,1)),"")</f>
        <v/>
      </c>
      <c r="B1464">
        <f>IFERROR(--SUBSTITUTE(SUBSTITUTE(TRIM(INDEX(INDIRECT("'Выгрузка'!A1464:Z1464"),Настройки!$B$9)),",","."),".",MID(1/2,2,1)),"")</f>
        <v/>
      </c>
      <c r="C1464">
        <f>TRIM(INDEX(INDIRECT("'Выгрузка'!A1464:Z1464"),Настройки!$B$8)&amp;"")</f>
        <v/>
      </c>
      <c r="D1464">
        <f>IFERROR(--SUBSTITUTE(SUBSTITUTE(TRIM(INDEX(INDIRECT("'Выгрузка'!A1464:Z1464"),Настройки!$B$10)),",","."),".",MID(1/2,2,1)),"")</f>
        <v/>
      </c>
      <c r="E1464">
        <f>IFERROR(--SUBSTITUTE(SUBSTITUTE(TRIM(INDEX(INDIRECT("'Выгрузка'!A1464:Z1464"),Настройки!$B$11)),",","."),".",MID(1/2,2,1)),"")</f>
        <v/>
      </c>
      <c r="F1464">
        <f>TRIM(INDEX(INDIRECT("'Выгрузка'!A1464:Z1464"),Настройки!$B$12)&amp;"")</f>
        <v/>
      </c>
      <c r="G1464">
        <f>IF(F1464="",0,IF(TRIM(INDEX(INDIRECT("'Выгрузка'!A1464:Z1464"),Настройки!$B$13)&amp;"")="",1,IFERROR(--SUBSTITUTE(SUBSTITUTE(TRIM(INDEX(INDIRECT("'Выгрузка'!A1464:Z1464"),Настройки!$B$13)),",","."),".",MID(1/2,2,1)),"")))</f>
        <v/>
      </c>
      <c r="H1464">
        <f>IF(F1464="",0,IF(COUNTIF(Настройки!$B$17:$B$26,F1464)&gt;0,1,IF(COUNTIF(Настройки!$C$17:$C$26,F1464)&gt;0,2,IF(COUNTIF(Настройки!$D$17:$D$26,F1464)&gt;0,3,0))))</f>
        <v/>
      </c>
      <c r="I1464">
        <f>IF(AND(ISNUMBER(A1464),ISNUMBER(B1464)),A1464*1000+B1464,"")</f>
        <v/>
      </c>
      <c r="J1464">
        <f>IF(I1464="","",IF(COUNTIF(I$2:I1464,I1464)=1,MAX(J$1:J1463)+1,""))</f>
        <v/>
      </c>
    </row>
    <row r="1465">
      <c r="A1465">
        <f>IFERROR(--SUBSTITUTE(SUBSTITUTE(TRIM(INDEX(INDIRECT("'Выгрузка'!A1465:Z1465"),Настройки!$B$7)),",","."),".",MID(1/2,2,1)),"")</f>
        <v/>
      </c>
      <c r="B1465">
        <f>IFERROR(--SUBSTITUTE(SUBSTITUTE(TRIM(INDEX(INDIRECT("'Выгрузка'!A1465:Z1465"),Настройки!$B$9)),",","."),".",MID(1/2,2,1)),"")</f>
        <v/>
      </c>
      <c r="C1465">
        <f>TRIM(INDEX(INDIRECT("'Выгрузка'!A1465:Z1465"),Настройки!$B$8)&amp;"")</f>
        <v/>
      </c>
      <c r="D1465">
        <f>IFERROR(--SUBSTITUTE(SUBSTITUTE(TRIM(INDEX(INDIRECT("'Выгрузка'!A1465:Z1465"),Настройки!$B$10)),",","."),".",MID(1/2,2,1)),"")</f>
        <v/>
      </c>
      <c r="E1465">
        <f>IFERROR(--SUBSTITUTE(SUBSTITUTE(TRIM(INDEX(INDIRECT("'Выгрузка'!A1465:Z1465"),Настройки!$B$11)),",","."),".",MID(1/2,2,1)),"")</f>
        <v/>
      </c>
      <c r="F1465">
        <f>TRIM(INDEX(INDIRECT("'Выгрузка'!A1465:Z1465"),Настройки!$B$12)&amp;"")</f>
        <v/>
      </c>
      <c r="G1465">
        <f>IF(F1465="",0,IF(TRIM(INDEX(INDIRECT("'Выгрузка'!A1465:Z1465"),Настройки!$B$13)&amp;"")="",1,IFERROR(--SUBSTITUTE(SUBSTITUTE(TRIM(INDEX(INDIRECT("'Выгрузка'!A1465:Z1465"),Настройки!$B$13)),",","."),".",MID(1/2,2,1)),"")))</f>
        <v/>
      </c>
      <c r="H1465">
        <f>IF(F1465="",0,IF(COUNTIF(Настройки!$B$17:$B$26,F1465)&gt;0,1,IF(COUNTIF(Настройки!$C$17:$C$26,F1465)&gt;0,2,IF(COUNTIF(Настройки!$D$17:$D$26,F1465)&gt;0,3,0))))</f>
        <v/>
      </c>
      <c r="I1465">
        <f>IF(AND(ISNUMBER(A1465),ISNUMBER(B1465)),A1465*1000+B1465,"")</f>
        <v/>
      </c>
      <c r="J1465">
        <f>IF(I1465="","",IF(COUNTIF(I$2:I1465,I1465)=1,MAX(J$1:J1464)+1,""))</f>
        <v/>
      </c>
    </row>
    <row r="1466">
      <c r="A1466">
        <f>IFERROR(--SUBSTITUTE(SUBSTITUTE(TRIM(INDEX(INDIRECT("'Выгрузка'!A1466:Z1466"),Настройки!$B$7)),",","."),".",MID(1/2,2,1)),"")</f>
        <v/>
      </c>
      <c r="B1466">
        <f>IFERROR(--SUBSTITUTE(SUBSTITUTE(TRIM(INDEX(INDIRECT("'Выгрузка'!A1466:Z1466"),Настройки!$B$9)),",","."),".",MID(1/2,2,1)),"")</f>
        <v/>
      </c>
      <c r="C1466">
        <f>TRIM(INDEX(INDIRECT("'Выгрузка'!A1466:Z1466"),Настройки!$B$8)&amp;"")</f>
        <v/>
      </c>
      <c r="D1466">
        <f>IFERROR(--SUBSTITUTE(SUBSTITUTE(TRIM(INDEX(INDIRECT("'Выгрузка'!A1466:Z1466"),Настройки!$B$10)),",","."),".",MID(1/2,2,1)),"")</f>
        <v/>
      </c>
      <c r="E1466">
        <f>IFERROR(--SUBSTITUTE(SUBSTITUTE(TRIM(INDEX(INDIRECT("'Выгрузка'!A1466:Z1466"),Настройки!$B$11)),",","."),".",MID(1/2,2,1)),"")</f>
        <v/>
      </c>
      <c r="F1466">
        <f>TRIM(INDEX(INDIRECT("'Выгрузка'!A1466:Z1466"),Настройки!$B$12)&amp;"")</f>
        <v/>
      </c>
      <c r="G1466">
        <f>IF(F1466="",0,IF(TRIM(INDEX(INDIRECT("'Выгрузка'!A1466:Z1466"),Настройки!$B$13)&amp;"")="",1,IFERROR(--SUBSTITUTE(SUBSTITUTE(TRIM(INDEX(INDIRECT("'Выгрузка'!A1466:Z1466"),Настройки!$B$13)),",","."),".",MID(1/2,2,1)),"")))</f>
        <v/>
      </c>
      <c r="H1466">
        <f>IF(F1466="",0,IF(COUNTIF(Настройки!$B$17:$B$26,F1466)&gt;0,1,IF(COUNTIF(Настройки!$C$17:$C$26,F1466)&gt;0,2,IF(COUNTIF(Настройки!$D$17:$D$26,F1466)&gt;0,3,0))))</f>
        <v/>
      </c>
      <c r="I1466">
        <f>IF(AND(ISNUMBER(A1466),ISNUMBER(B1466)),A1466*1000+B1466,"")</f>
        <v/>
      </c>
      <c r="J1466">
        <f>IF(I1466="","",IF(COUNTIF(I$2:I1466,I1466)=1,MAX(J$1:J1465)+1,""))</f>
        <v/>
      </c>
    </row>
    <row r="1467">
      <c r="A1467">
        <f>IFERROR(--SUBSTITUTE(SUBSTITUTE(TRIM(INDEX(INDIRECT("'Выгрузка'!A1467:Z1467"),Настройки!$B$7)),",","."),".",MID(1/2,2,1)),"")</f>
        <v/>
      </c>
      <c r="B1467">
        <f>IFERROR(--SUBSTITUTE(SUBSTITUTE(TRIM(INDEX(INDIRECT("'Выгрузка'!A1467:Z1467"),Настройки!$B$9)),",","."),".",MID(1/2,2,1)),"")</f>
        <v/>
      </c>
      <c r="C1467">
        <f>TRIM(INDEX(INDIRECT("'Выгрузка'!A1467:Z1467"),Настройки!$B$8)&amp;"")</f>
        <v/>
      </c>
      <c r="D1467">
        <f>IFERROR(--SUBSTITUTE(SUBSTITUTE(TRIM(INDEX(INDIRECT("'Выгрузка'!A1467:Z1467"),Настройки!$B$10)),",","."),".",MID(1/2,2,1)),"")</f>
        <v/>
      </c>
      <c r="E1467">
        <f>IFERROR(--SUBSTITUTE(SUBSTITUTE(TRIM(INDEX(INDIRECT("'Выгрузка'!A1467:Z1467"),Настройки!$B$11)),",","."),".",MID(1/2,2,1)),"")</f>
        <v/>
      </c>
      <c r="F1467">
        <f>TRIM(INDEX(INDIRECT("'Выгрузка'!A1467:Z1467"),Настройки!$B$12)&amp;"")</f>
        <v/>
      </c>
      <c r="G1467">
        <f>IF(F1467="",0,IF(TRIM(INDEX(INDIRECT("'Выгрузка'!A1467:Z1467"),Настройки!$B$13)&amp;"")="",1,IFERROR(--SUBSTITUTE(SUBSTITUTE(TRIM(INDEX(INDIRECT("'Выгрузка'!A1467:Z1467"),Настройки!$B$13)),",","."),".",MID(1/2,2,1)),"")))</f>
        <v/>
      </c>
      <c r="H1467">
        <f>IF(F1467="",0,IF(COUNTIF(Настройки!$B$17:$B$26,F1467)&gt;0,1,IF(COUNTIF(Настройки!$C$17:$C$26,F1467)&gt;0,2,IF(COUNTIF(Настройки!$D$17:$D$26,F1467)&gt;0,3,0))))</f>
        <v/>
      </c>
      <c r="I1467">
        <f>IF(AND(ISNUMBER(A1467),ISNUMBER(B1467)),A1467*1000+B1467,"")</f>
        <v/>
      </c>
      <c r="J1467">
        <f>IF(I1467="","",IF(COUNTIF(I$2:I1467,I1467)=1,MAX(J$1:J1466)+1,""))</f>
        <v/>
      </c>
    </row>
    <row r="1468">
      <c r="A1468">
        <f>IFERROR(--SUBSTITUTE(SUBSTITUTE(TRIM(INDEX(INDIRECT("'Выгрузка'!A1468:Z1468"),Настройки!$B$7)),",","."),".",MID(1/2,2,1)),"")</f>
        <v/>
      </c>
      <c r="B1468">
        <f>IFERROR(--SUBSTITUTE(SUBSTITUTE(TRIM(INDEX(INDIRECT("'Выгрузка'!A1468:Z1468"),Настройки!$B$9)),",","."),".",MID(1/2,2,1)),"")</f>
        <v/>
      </c>
      <c r="C1468">
        <f>TRIM(INDEX(INDIRECT("'Выгрузка'!A1468:Z1468"),Настройки!$B$8)&amp;"")</f>
        <v/>
      </c>
      <c r="D1468">
        <f>IFERROR(--SUBSTITUTE(SUBSTITUTE(TRIM(INDEX(INDIRECT("'Выгрузка'!A1468:Z1468"),Настройки!$B$10)),",","."),".",MID(1/2,2,1)),"")</f>
        <v/>
      </c>
      <c r="E1468">
        <f>IFERROR(--SUBSTITUTE(SUBSTITUTE(TRIM(INDEX(INDIRECT("'Выгрузка'!A1468:Z1468"),Настройки!$B$11)),",","."),".",MID(1/2,2,1)),"")</f>
        <v/>
      </c>
      <c r="F1468">
        <f>TRIM(INDEX(INDIRECT("'Выгрузка'!A1468:Z1468"),Настройки!$B$12)&amp;"")</f>
        <v/>
      </c>
      <c r="G1468">
        <f>IF(F1468="",0,IF(TRIM(INDEX(INDIRECT("'Выгрузка'!A1468:Z1468"),Настройки!$B$13)&amp;"")="",1,IFERROR(--SUBSTITUTE(SUBSTITUTE(TRIM(INDEX(INDIRECT("'Выгрузка'!A1468:Z1468"),Настройки!$B$13)),",","."),".",MID(1/2,2,1)),"")))</f>
        <v/>
      </c>
      <c r="H1468">
        <f>IF(F1468="",0,IF(COUNTIF(Настройки!$B$17:$B$26,F1468)&gt;0,1,IF(COUNTIF(Настройки!$C$17:$C$26,F1468)&gt;0,2,IF(COUNTIF(Настройки!$D$17:$D$26,F1468)&gt;0,3,0))))</f>
        <v/>
      </c>
      <c r="I1468">
        <f>IF(AND(ISNUMBER(A1468),ISNUMBER(B1468)),A1468*1000+B1468,"")</f>
        <v/>
      </c>
      <c r="J1468">
        <f>IF(I1468="","",IF(COUNTIF(I$2:I1468,I1468)=1,MAX(J$1:J1467)+1,""))</f>
        <v/>
      </c>
    </row>
    <row r="1469">
      <c r="A1469">
        <f>IFERROR(--SUBSTITUTE(SUBSTITUTE(TRIM(INDEX(INDIRECT("'Выгрузка'!A1469:Z1469"),Настройки!$B$7)),",","."),".",MID(1/2,2,1)),"")</f>
        <v/>
      </c>
      <c r="B1469">
        <f>IFERROR(--SUBSTITUTE(SUBSTITUTE(TRIM(INDEX(INDIRECT("'Выгрузка'!A1469:Z1469"),Настройки!$B$9)),",","."),".",MID(1/2,2,1)),"")</f>
        <v/>
      </c>
      <c r="C1469">
        <f>TRIM(INDEX(INDIRECT("'Выгрузка'!A1469:Z1469"),Настройки!$B$8)&amp;"")</f>
        <v/>
      </c>
      <c r="D1469">
        <f>IFERROR(--SUBSTITUTE(SUBSTITUTE(TRIM(INDEX(INDIRECT("'Выгрузка'!A1469:Z1469"),Настройки!$B$10)),",","."),".",MID(1/2,2,1)),"")</f>
        <v/>
      </c>
      <c r="E1469">
        <f>IFERROR(--SUBSTITUTE(SUBSTITUTE(TRIM(INDEX(INDIRECT("'Выгрузка'!A1469:Z1469"),Настройки!$B$11)),",","."),".",MID(1/2,2,1)),"")</f>
        <v/>
      </c>
      <c r="F1469">
        <f>TRIM(INDEX(INDIRECT("'Выгрузка'!A1469:Z1469"),Настройки!$B$12)&amp;"")</f>
        <v/>
      </c>
      <c r="G1469">
        <f>IF(F1469="",0,IF(TRIM(INDEX(INDIRECT("'Выгрузка'!A1469:Z1469"),Настройки!$B$13)&amp;"")="",1,IFERROR(--SUBSTITUTE(SUBSTITUTE(TRIM(INDEX(INDIRECT("'Выгрузка'!A1469:Z1469"),Настройки!$B$13)),",","."),".",MID(1/2,2,1)),"")))</f>
        <v/>
      </c>
      <c r="H1469">
        <f>IF(F1469="",0,IF(COUNTIF(Настройки!$B$17:$B$26,F1469)&gt;0,1,IF(COUNTIF(Настройки!$C$17:$C$26,F1469)&gt;0,2,IF(COUNTIF(Настройки!$D$17:$D$26,F1469)&gt;0,3,0))))</f>
        <v/>
      </c>
      <c r="I1469">
        <f>IF(AND(ISNUMBER(A1469),ISNUMBER(B1469)),A1469*1000+B1469,"")</f>
        <v/>
      </c>
      <c r="J1469">
        <f>IF(I1469="","",IF(COUNTIF(I$2:I1469,I1469)=1,MAX(J$1:J1468)+1,""))</f>
        <v/>
      </c>
    </row>
    <row r="1470">
      <c r="A1470">
        <f>IFERROR(--SUBSTITUTE(SUBSTITUTE(TRIM(INDEX(INDIRECT("'Выгрузка'!A1470:Z1470"),Настройки!$B$7)),",","."),".",MID(1/2,2,1)),"")</f>
        <v/>
      </c>
      <c r="B1470">
        <f>IFERROR(--SUBSTITUTE(SUBSTITUTE(TRIM(INDEX(INDIRECT("'Выгрузка'!A1470:Z1470"),Настройки!$B$9)),",","."),".",MID(1/2,2,1)),"")</f>
        <v/>
      </c>
      <c r="C1470">
        <f>TRIM(INDEX(INDIRECT("'Выгрузка'!A1470:Z1470"),Настройки!$B$8)&amp;"")</f>
        <v/>
      </c>
      <c r="D1470">
        <f>IFERROR(--SUBSTITUTE(SUBSTITUTE(TRIM(INDEX(INDIRECT("'Выгрузка'!A1470:Z1470"),Настройки!$B$10)),",","."),".",MID(1/2,2,1)),"")</f>
        <v/>
      </c>
      <c r="E1470">
        <f>IFERROR(--SUBSTITUTE(SUBSTITUTE(TRIM(INDEX(INDIRECT("'Выгрузка'!A1470:Z1470"),Настройки!$B$11)),",","."),".",MID(1/2,2,1)),"")</f>
        <v/>
      </c>
      <c r="F1470">
        <f>TRIM(INDEX(INDIRECT("'Выгрузка'!A1470:Z1470"),Настройки!$B$12)&amp;"")</f>
        <v/>
      </c>
      <c r="G1470">
        <f>IF(F1470="",0,IF(TRIM(INDEX(INDIRECT("'Выгрузка'!A1470:Z1470"),Настройки!$B$13)&amp;"")="",1,IFERROR(--SUBSTITUTE(SUBSTITUTE(TRIM(INDEX(INDIRECT("'Выгрузка'!A1470:Z1470"),Настройки!$B$13)),",","."),".",MID(1/2,2,1)),"")))</f>
        <v/>
      </c>
      <c r="H1470">
        <f>IF(F1470="",0,IF(COUNTIF(Настройки!$B$17:$B$26,F1470)&gt;0,1,IF(COUNTIF(Настройки!$C$17:$C$26,F1470)&gt;0,2,IF(COUNTIF(Настройки!$D$17:$D$26,F1470)&gt;0,3,0))))</f>
        <v/>
      </c>
      <c r="I1470">
        <f>IF(AND(ISNUMBER(A1470),ISNUMBER(B1470)),A1470*1000+B1470,"")</f>
        <v/>
      </c>
      <c r="J1470">
        <f>IF(I1470="","",IF(COUNTIF(I$2:I1470,I1470)=1,MAX(J$1:J1469)+1,""))</f>
        <v/>
      </c>
    </row>
    <row r="1471">
      <c r="A1471">
        <f>IFERROR(--SUBSTITUTE(SUBSTITUTE(TRIM(INDEX(INDIRECT("'Выгрузка'!A1471:Z1471"),Настройки!$B$7)),",","."),".",MID(1/2,2,1)),"")</f>
        <v/>
      </c>
      <c r="B1471">
        <f>IFERROR(--SUBSTITUTE(SUBSTITUTE(TRIM(INDEX(INDIRECT("'Выгрузка'!A1471:Z1471"),Настройки!$B$9)),",","."),".",MID(1/2,2,1)),"")</f>
        <v/>
      </c>
      <c r="C1471">
        <f>TRIM(INDEX(INDIRECT("'Выгрузка'!A1471:Z1471"),Настройки!$B$8)&amp;"")</f>
        <v/>
      </c>
      <c r="D1471">
        <f>IFERROR(--SUBSTITUTE(SUBSTITUTE(TRIM(INDEX(INDIRECT("'Выгрузка'!A1471:Z1471"),Настройки!$B$10)),",","."),".",MID(1/2,2,1)),"")</f>
        <v/>
      </c>
      <c r="E1471">
        <f>IFERROR(--SUBSTITUTE(SUBSTITUTE(TRIM(INDEX(INDIRECT("'Выгрузка'!A1471:Z1471"),Настройки!$B$11)),",","."),".",MID(1/2,2,1)),"")</f>
        <v/>
      </c>
      <c r="F1471">
        <f>TRIM(INDEX(INDIRECT("'Выгрузка'!A1471:Z1471"),Настройки!$B$12)&amp;"")</f>
        <v/>
      </c>
      <c r="G1471">
        <f>IF(F1471="",0,IF(TRIM(INDEX(INDIRECT("'Выгрузка'!A1471:Z1471"),Настройки!$B$13)&amp;"")="",1,IFERROR(--SUBSTITUTE(SUBSTITUTE(TRIM(INDEX(INDIRECT("'Выгрузка'!A1471:Z1471"),Настройки!$B$13)),",","."),".",MID(1/2,2,1)),"")))</f>
        <v/>
      </c>
      <c r="H1471">
        <f>IF(F1471="",0,IF(COUNTIF(Настройки!$B$17:$B$26,F1471)&gt;0,1,IF(COUNTIF(Настройки!$C$17:$C$26,F1471)&gt;0,2,IF(COUNTIF(Настройки!$D$17:$D$26,F1471)&gt;0,3,0))))</f>
        <v/>
      </c>
      <c r="I1471">
        <f>IF(AND(ISNUMBER(A1471),ISNUMBER(B1471)),A1471*1000+B1471,"")</f>
        <v/>
      </c>
      <c r="J1471">
        <f>IF(I1471="","",IF(COUNTIF(I$2:I1471,I1471)=1,MAX(J$1:J1470)+1,""))</f>
        <v/>
      </c>
    </row>
    <row r="1472">
      <c r="A1472">
        <f>IFERROR(--SUBSTITUTE(SUBSTITUTE(TRIM(INDEX(INDIRECT("'Выгрузка'!A1472:Z1472"),Настройки!$B$7)),",","."),".",MID(1/2,2,1)),"")</f>
        <v/>
      </c>
      <c r="B1472">
        <f>IFERROR(--SUBSTITUTE(SUBSTITUTE(TRIM(INDEX(INDIRECT("'Выгрузка'!A1472:Z1472"),Настройки!$B$9)),",","."),".",MID(1/2,2,1)),"")</f>
        <v/>
      </c>
      <c r="C1472">
        <f>TRIM(INDEX(INDIRECT("'Выгрузка'!A1472:Z1472"),Настройки!$B$8)&amp;"")</f>
        <v/>
      </c>
      <c r="D1472">
        <f>IFERROR(--SUBSTITUTE(SUBSTITUTE(TRIM(INDEX(INDIRECT("'Выгрузка'!A1472:Z1472"),Настройки!$B$10)),",","."),".",MID(1/2,2,1)),"")</f>
        <v/>
      </c>
      <c r="E1472">
        <f>IFERROR(--SUBSTITUTE(SUBSTITUTE(TRIM(INDEX(INDIRECT("'Выгрузка'!A1472:Z1472"),Настройки!$B$11)),",","."),".",MID(1/2,2,1)),"")</f>
        <v/>
      </c>
      <c r="F1472">
        <f>TRIM(INDEX(INDIRECT("'Выгрузка'!A1472:Z1472"),Настройки!$B$12)&amp;"")</f>
        <v/>
      </c>
      <c r="G1472">
        <f>IF(F1472="",0,IF(TRIM(INDEX(INDIRECT("'Выгрузка'!A1472:Z1472"),Настройки!$B$13)&amp;"")="",1,IFERROR(--SUBSTITUTE(SUBSTITUTE(TRIM(INDEX(INDIRECT("'Выгрузка'!A1472:Z1472"),Настройки!$B$13)),",","."),".",MID(1/2,2,1)),"")))</f>
        <v/>
      </c>
      <c r="H1472">
        <f>IF(F1472="",0,IF(COUNTIF(Настройки!$B$17:$B$26,F1472)&gt;0,1,IF(COUNTIF(Настройки!$C$17:$C$26,F1472)&gt;0,2,IF(COUNTIF(Настройки!$D$17:$D$26,F1472)&gt;0,3,0))))</f>
        <v/>
      </c>
      <c r="I1472">
        <f>IF(AND(ISNUMBER(A1472),ISNUMBER(B1472)),A1472*1000+B1472,"")</f>
        <v/>
      </c>
      <c r="J1472">
        <f>IF(I1472="","",IF(COUNTIF(I$2:I1472,I1472)=1,MAX(J$1:J1471)+1,""))</f>
        <v/>
      </c>
    </row>
    <row r="1473">
      <c r="A1473">
        <f>IFERROR(--SUBSTITUTE(SUBSTITUTE(TRIM(INDEX(INDIRECT("'Выгрузка'!A1473:Z1473"),Настройки!$B$7)),",","."),".",MID(1/2,2,1)),"")</f>
        <v/>
      </c>
      <c r="B1473">
        <f>IFERROR(--SUBSTITUTE(SUBSTITUTE(TRIM(INDEX(INDIRECT("'Выгрузка'!A1473:Z1473"),Настройки!$B$9)),",","."),".",MID(1/2,2,1)),"")</f>
        <v/>
      </c>
      <c r="C1473">
        <f>TRIM(INDEX(INDIRECT("'Выгрузка'!A1473:Z1473"),Настройки!$B$8)&amp;"")</f>
        <v/>
      </c>
      <c r="D1473">
        <f>IFERROR(--SUBSTITUTE(SUBSTITUTE(TRIM(INDEX(INDIRECT("'Выгрузка'!A1473:Z1473"),Настройки!$B$10)),",","."),".",MID(1/2,2,1)),"")</f>
        <v/>
      </c>
      <c r="E1473">
        <f>IFERROR(--SUBSTITUTE(SUBSTITUTE(TRIM(INDEX(INDIRECT("'Выгрузка'!A1473:Z1473"),Настройки!$B$11)),",","."),".",MID(1/2,2,1)),"")</f>
        <v/>
      </c>
      <c r="F1473">
        <f>TRIM(INDEX(INDIRECT("'Выгрузка'!A1473:Z1473"),Настройки!$B$12)&amp;"")</f>
        <v/>
      </c>
      <c r="G1473">
        <f>IF(F1473="",0,IF(TRIM(INDEX(INDIRECT("'Выгрузка'!A1473:Z1473"),Настройки!$B$13)&amp;"")="",1,IFERROR(--SUBSTITUTE(SUBSTITUTE(TRIM(INDEX(INDIRECT("'Выгрузка'!A1473:Z1473"),Настройки!$B$13)),",","."),".",MID(1/2,2,1)),"")))</f>
        <v/>
      </c>
      <c r="H1473">
        <f>IF(F1473="",0,IF(COUNTIF(Настройки!$B$17:$B$26,F1473)&gt;0,1,IF(COUNTIF(Настройки!$C$17:$C$26,F1473)&gt;0,2,IF(COUNTIF(Настройки!$D$17:$D$26,F1473)&gt;0,3,0))))</f>
        <v/>
      </c>
      <c r="I1473">
        <f>IF(AND(ISNUMBER(A1473),ISNUMBER(B1473)),A1473*1000+B1473,"")</f>
        <v/>
      </c>
      <c r="J1473">
        <f>IF(I1473="","",IF(COUNTIF(I$2:I1473,I1473)=1,MAX(J$1:J1472)+1,""))</f>
        <v/>
      </c>
    </row>
    <row r="1474">
      <c r="A1474">
        <f>IFERROR(--SUBSTITUTE(SUBSTITUTE(TRIM(INDEX(INDIRECT("'Выгрузка'!A1474:Z1474"),Настройки!$B$7)),",","."),".",MID(1/2,2,1)),"")</f>
        <v/>
      </c>
      <c r="B1474">
        <f>IFERROR(--SUBSTITUTE(SUBSTITUTE(TRIM(INDEX(INDIRECT("'Выгрузка'!A1474:Z1474"),Настройки!$B$9)),",","."),".",MID(1/2,2,1)),"")</f>
        <v/>
      </c>
      <c r="C1474">
        <f>TRIM(INDEX(INDIRECT("'Выгрузка'!A1474:Z1474"),Настройки!$B$8)&amp;"")</f>
        <v/>
      </c>
      <c r="D1474">
        <f>IFERROR(--SUBSTITUTE(SUBSTITUTE(TRIM(INDEX(INDIRECT("'Выгрузка'!A1474:Z1474"),Настройки!$B$10)),",","."),".",MID(1/2,2,1)),"")</f>
        <v/>
      </c>
      <c r="E1474">
        <f>IFERROR(--SUBSTITUTE(SUBSTITUTE(TRIM(INDEX(INDIRECT("'Выгрузка'!A1474:Z1474"),Настройки!$B$11)),",","."),".",MID(1/2,2,1)),"")</f>
        <v/>
      </c>
      <c r="F1474">
        <f>TRIM(INDEX(INDIRECT("'Выгрузка'!A1474:Z1474"),Настройки!$B$12)&amp;"")</f>
        <v/>
      </c>
      <c r="G1474">
        <f>IF(F1474="",0,IF(TRIM(INDEX(INDIRECT("'Выгрузка'!A1474:Z1474"),Настройки!$B$13)&amp;"")="",1,IFERROR(--SUBSTITUTE(SUBSTITUTE(TRIM(INDEX(INDIRECT("'Выгрузка'!A1474:Z1474"),Настройки!$B$13)),",","."),".",MID(1/2,2,1)),"")))</f>
        <v/>
      </c>
      <c r="H1474">
        <f>IF(F1474="",0,IF(COUNTIF(Настройки!$B$17:$B$26,F1474)&gt;0,1,IF(COUNTIF(Настройки!$C$17:$C$26,F1474)&gt;0,2,IF(COUNTIF(Настройки!$D$17:$D$26,F1474)&gt;0,3,0))))</f>
        <v/>
      </c>
      <c r="I1474">
        <f>IF(AND(ISNUMBER(A1474),ISNUMBER(B1474)),A1474*1000+B1474,"")</f>
        <v/>
      </c>
      <c r="J1474">
        <f>IF(I1474="","",IF(COUNTIF(I$2:I1474,I1474)=1,MAX(J$1:J1473)+1,""))</f>
        <v/>
      </c>
    </row>
    <row r="1475">
      <c r="A1475">
        <f>IFERROR(--SUBSTITUTE(SUBSTITUTE(TRIM(INDEX(INDIRECT("'Выгрузка'!A1475:Z1475"),Настройки!$B$7)),",","."),".",MID(1/2,2,1)),"")</f>
        <v/>
      </c>
      <c r="B1475">
        <f>IFERROR(--SUBSTITUTE(SUBSTITUTE(TRIM(INDEX(INDIRECT("'Выгрузка'!A1475:Z1475"),Настройки!$B$9)),",","."),".",MID(1/2,2,1)),"")</f>
        <v/>
      </c>
      <c r="C1475">
        <f>TRIM(INDEX(INDIRECT("'Выгрузка'!A1475:Z1475"),Настройки!$B$8)&amp;"")</f>
        <v/>
      </c>
      <c r="D1475">
        <f>IFERROR(--SUBSTITUTE(SUBSTITUTE(TRIM(INDEX(INDIRECT("'Выгрузка'!A1475:Z1475"),Настройки!$B$10)),",","."),".",MID(1/2,2,1)),"")</f>
        <v/>
      </c>
      <c r="E1475">
        <f>IFERROR(--SUBSTITUTE(SUBSTITUTE(TRIM(INDEX(INDIRECT("'Выгрузка'!A1475:Z1475"),Настройки!$B$11)),",","."),".",MID(1/2,2,1)),"")</f>
        <v/>
      </c>
      <c r="F1475">
        <f>TRIM(INDEX(INDIRECT("'Выгрузка'!A1475:Z1475"),Настройки!$B$12)&amp;"")</f>
        <v/>
      </c>
      <c r="G1475">
        <f>IF(F1475="",0,IF(TRIM(INDEX(INDIRECT("'Выгрузка'!A1475:Z1475"),Настройки!$B$13)&amp;"")="",1,IFERROR(--SUBSTITUTE(SUBSTITUTE(TRIM(INDEX(INDIRECT("'Выгрузка'!A1475:Z1475"),Настройки!$B$13)),",","."),".",MID(1/2,2,1)),"")))</f>
        <v/>
      </c>
      <c r="H1475">
        <f>IF(F1475="",0,IF(COUNTIF(Настройки!$B$17:$B$26,F1475)&gt;0,1,IF(COUNTIF(Настройки!$C$17:$C$26,F1475)&gt;0,2,IF(COUNTIF(Настройки!$D$17:$D$26,F1475)&gt;0,3,0))))</f>
        <v/>
      </c>
      <c r="I1475">
        <f>IF(AND(ISNUMBER(A1475),ISNUMBER(B1475)),A1475*1000+B1475,"")</f>
        <v/>
      </c>
      <c r="J1475">
        <f>IF(I1475="","",IF(COUNTIF(I$2:I1475,I1475)=1,MAX(J$1:J1474)+1,""))</f>
        <v/>
      </c>
    </row>
    <row r="1476">
      <c r="A1476">
        <f>IFERROR(--SUBSTITUTE(SUBSTITUTE(TRIM(INDEX(INDIRECT("'Выгрузка'!A1476:Z1476"),Настройки!$B$7)),",","."),".",MID(1/2,2,1)),"")</f>
        <v/>
      </c>
      <c r="B1476">
        <f>IFERROR(--SUBSTITUTE(SUBSTITUTE(TRIM(INDEX(INDIRECT("'Выгрузка'!A1476:Z1476"),Настройки!$B$9)),",","."),".",MID(1/2,2,1)),"")</f>
        <v/>
      </c>
      <c r="C1476">
        <f>TRIM(INDEX(INDIRECT("'Выгрузка'!A1476:Z1476"),Настройки!$B$8)&amp;"")</f>
        <v/>
      </c>
      <c r="D1476">
        <f>IFERROR(--SUBSTITUTE(SUBSTITUTE(TRIM(INDEX(INDIRECT("'Выгрузка'!A1476:Z1476"),Настройки!$B$10)),",","."),".",MID(1/2,2,1)),"")</f>
        <v/>
      </c>
      <c r="E1476">
        <f>IFERROR(--SUBSTITUTE(SUBSTITUTE(TRIM(INDEX(INDIRECT("'Выгрузка'!A1476:Z1476"),Настройки!$B$11)),",","."),".",MID(1/2,2,1)),"")</f>
        <v/>
      </c>
      <c r="F1476">
        <f>TRIM(INDEX(INDIRECT("'Выгрузка'!A1476:Z1476"),Настройки!$B$12)&amp;"")</f>
        <v/>
      </c>
      <c r="G1476">
        <f>IF(F1476="",0,IF(TRIM(INDEX(INDIRECT("'Выгрузка'!A1476:Z1476"),Настройки!$B$13)&amp;"")="",1,IFERROR(--SUBSTITUTE(SUBSTITUTE(TRIM(INDEX(INDIRECT("'Выгрузка'!A1476:Z1476"),Настройки!$B$13)),",","."),".",MID(1/2,2,1)),"")))</f>
        <v/>
      </c>
      <c r="H1476">
        <f>IF(F1476="",0,IF(COUNTIF(Настройки!$B$17:$B$26,F1476)&gt;0,1,IF(COUNTIF(Настройки!$C$17:$C$26,F1476)&gt;0,2,IF(COUNTIF(Настройки!$D$17:$D$26,F1476)&gt;0,3,0))))</f>
        <v/>
      </c>
      <c r="I1476">
        <f>IF(AND(ISNUMBER(A1476),ISNUMBER(B1476)),A1476*1000+B1476,"")</f>
        <v/>
      </c>
      <c r="J1476">
        <f>IF(I1476="","",IF(COUNTIF(I$2:I1476,I1476)=1,MAX(J$1:J1475)+1,""))</f>
        <v/>
      </c>
    </row>
    <row r="1477">
      <c r="A1477">
        <f>IFERROR(--SUBSTITUTE(SUBSTITUTE(TRIM(INDEX(INDIRECT("'Выгрузка'!A1477:Z1477"),Настройки!$B$7)),",","."),".",MID(1/2,2,1)),"")</f>
        <v/>
      </c>
      <c r="B1477">
        <f>IFERROR(--SUBSTITUTE(SUBSTITUTE(TRIM(INDEX(INDIRECT("'Выгрузка'!A1477:Z1477"),Настройки!$B$9)),",","."),".",MID(1/2,2,1)),"")</f>
        <v/>
      </c>
      <c r="C1477">
        <f>TRIM(INDEX(INDIRECT("'Выгрузка'!A1477:Z1477"),Настройки!$B$8)&amp;"")</f>
        <v/>
      </c>
      <c r="D1477">
        <f>IFERROR(--SUBSTITUTE(SUBSTITUTE(TRIM(INDEX(INDIRECT("'Выгрузка'!A1477:Z1477"),Настройки!$B$10)),",","."),".",MID(1/2,2,1)),"")</f>
        <v/>
      </c>
      <c r="E1477">
        <f>IFERROR(--SUBSTITUTE(SUBSTITUTE(TRIM(INDEX(INDIRECT("'Выгрузка'!A1477:Z1477"),Настройки!$B$11)),",","."),".",MID(1/2,2,1)),"")</f>
        <v/>
      </c>
      <c r="F1477">
        <f>TRIM(INDEX(INDIRECT("'Выгрузка'!A1477:Z1477"),Настройки!$B$12)&amp;"")</f>
        <v/>
      </c>
      <c r="G1477">
        <f>IF(F1477="",0,IF(TRIM(INDEX(INDIRECT("'Выгрузка'!A1477:Z1477"),Настройки!$B$13)&amp;"")="",1,IFERROR(--SUBSTITUTE(SUBSTITUTE(TRIM(INDEX(INDIRECT("'Выгрузка'!A1477:Z1477"),Настройки!$B$13)),",","."),".",MID(1/2,2,1)),"")))</f>
        <v/>
      </c>
      <c r="H1477">
        <f>IF(F1477="",0,IF(COUNTIF(Настройки!$B$17:$B$26,F1477)&gt;0,1,IF(COUNTIF(Настройки!$C$17:$C$26,F1477)&gt;0,2,IF(COUNTIF(Настройки!$D$17:$D$26,F1477)&gt;0,3,0))))</f>
        <v/>
      </c>
      <c r="I1477">
        <f>IF(AND(ISNUMBER(A1477),ISNUMBER(B1477)),A1477*1000+B1477,"")</f>
        <v/>
      </c>
      <c r="J1477">
        <f>IF(I1477="","",IF(COUNTIF(I$2:I1477,I1477)=1,MAX(J$1:J1476)+1,""))</f>
        <v/>
      </c>
    </row>
    <row r="1478">
      <c r="A1478">
        <f>IFERROR(--SUBSTITUTE(SUBSTITUTE(TRIM(INDEX(INDIRECT("'Выгрузка'!A1478:Z1478"),Настройки!$B$7)),",","."),".",MID(1/2,2,1)),"")</f>
        <v/>
      </c>
      <c r="B1478">
        <f>IFERROR(--SUBSTITUTE(SUBSTITUTE(TRIM(INDEX(INDIRECT("'Выгрузка'!A1478:Z1478"),Настройки!$B$9)),",","."),".",MID(1/2,2,1)),"")</f>
        <v/>
      </c>
      <c r="C1478">
        <f>TRIM(INDEX(INDIRECT("'Выгрузка'!A1478:Z1478"),Настройки!$B$8)&amp;"")</f>
        <v/>
      </c>
      <c r="D1478">
        <f>IFERROR(--SUBSTITUTE(SUBSTITUTE(TRIM(INDEX(INDIRECT("'Выгрузка'!A1478:Z1478"),Настройки!$B$10)),",","."),".",MID(1/2,2,1)),"")</f>
        <v/>
      </c>
      <c r="E1478">
        <f>IFERROR(--SUBSTITUTE(SUBSTITUTE(TRIM(INDEX(INDIRECT("'Выгрузка'!A1478:Z1478"),Настройки!$B$11)),",","."),".",MID(1/2,2,1)),"")</f>
        <v/>
      </c>
      <c r="F1478">
        <f>TRIM(INDEX(INDIRECT("'Выгрузка'!A1478:Z1478"),Настройки!$B$12)&amp;"")</f>
        <v/>
      </c>
      <c r="G1478">
        <f>IF(F1478="",0,IF(TRIM(INDEX(INDIRECT("'Выгрузка'!A1478:Z1478"),Настройки!$B$13)&amp;"")="",1,IFERROR(--SUBSTITUTE(SUBSTITUTE(TRIM(INDEX(INDIRECT("'Выгрузка'!A1478:Z1478"),Настройки!$B$13)),",","."),".",MID(1/2,2,1)),"")))</f>
        <v/>
      </c>
      <c r="H1478">
        <f>IF(F1478="",0,IF(COUNTIF(Настройки!$B$17:$B$26,F1478)&gt;0,1,IF(COUNTIF(Настройки!$C$17:$C$26,F1478)&gt;0,2,IF(COUNTIF(Настройки!$D$17:$D$26,F1478)&gt;0,3,0))))</f>
        <v/>
      </c>
      <c r="I1478">
        <f>IF(AND(ISNUMBER(A1478),ISNUMBER(B1478)),A1478*1000+B1478,"")</f>
        <v/>
      </c>
      <c r="J1478">
        <f>IF(I1478="","",IF(COUNTIF(I$2:I1478,I1478)=1,MAX(J$1:J1477)+1,""))</f>
        <v/>
      </c>
    </row>
    <row r="1479">
      <c r="A1479">
        <f>IFERROR(--SUBSTITUTE(SUBSTITUTE(TRIM(INDEX(INDIRECT("'Выгрузка'!A1479:Z1479"),Настройки!$B$7)),",","."),".",MID(1/2,2,1)),"")</f>
        <v/>
      </c>
      <c r="B1479">
        <f>IFERROR(--SUBSTITUTE(SUBSTITUTE(TRIM(INDEX(INDIRECT("'Выгрузка'!A1479:Z1479"),Настройки!$B$9)),",","."),".",MID(1/2,2,1)),"")</f>
        <v/>
      </c>
      <c r="C1479">
        <f>TRIM(INDEX(INDIRECT("'Выгрузка'!A1479:Z1479"),Настройки!$B$8)&amp;"")</f>
        <v/>
      </c>
      <c r="D1479">
        <f>IFERROR(--SUBSTITUTE(SUBSTITUTE(TRIM(INDEX(INDIRECT("'Выгрузка'!A1479:Z1479"),Настройки!$B$10)),",","."),".",MID(1/2,2,1)),"")</f>
        <v/>
      </c>
      <c r="E1479">
        <f>IFERROR(--SUBSTITUTE(SUBSTITUTE(TRIM(INDEX(INDIRECT("'Выгрузка'!A1479:Z1479"),Настройки!$B$11)),",","."),".",MID(1/2,2,1)),"")</f>
        <v/>
      </c>
      <c r="F1479">
        <f>TRIM(INDEX(INDIRECT("'Выгрузка'!A1479:Z1479"),Настройки!$B$12)&amp;"")</f>
        <v/>
      </c>
      <c r="G1479">
        <f>IF(F1479="",0,IF(TRIM(INDEX(INDIRECT("'Выгрузка'!A1479:Z1479"),Настройки!$B$13)&amp;"")="",1,IFERROR(--SUBSTITUTE(SUBSTITUTE(TRIM(INDEX(INDIRECT("'Выгрузка'!A1479:Z1479"),Настройки!$B$13)),",","."),".",MID(1/2,2,1)),"")))</f>
        <v/>
      </c>
      <c r="H1479">
        <f>IF(F1479="",0,IF(COUNTIF(Настройки!$B$17:$B$26,F1479)&gt;0,1,IF(COUNTIF(Настройки!$C$17:$C$26,F1479)&gt;0,2,IF(COUNTIF(Настройки!$D$17:$D$26,F1479)&gt;0,3,0))))</f>
        <v/>
      </c>
      <c r="I1479">
        <f>IF(AND(ISNUMBER(A1479),ISNUMBER(B1479)),A1479*1000+B1479,"")</f>
        <v/>
      </c>
      <c r="J1479">
        <f>IF(I1479="","",IF(COUNTIF(I$2:I1479,I1479)=1,MAX(J$1:J1478)+1,""))</f>
        <v/>
      </c>
    </row>
    <row r="1480">
      <c r="A1480">
        <f>IFERROR(--SUBSTITUTE(SUBSTITUTE(TRIM(INDEX(INDIRECT("'Выгрузка'!A1480:Z1480"),Настройки!$B$7)),",","."),".",MID(1/2,2,1)),"")</f>
        <v/>
      </c>
      <c r="B1480">
        <f>IFERROR(--SUBSTITUTE(SUBSTITUTE(TRIM(INDEX(INDIRECT("'Выгрузка'!A1480:Z1480"),Настройки!$B$9)),",","."),".",MID(1/2,2,1)),"")</f>
        <v/>
      </c>
      <c r="C1480">
        <f>TRIM(INDEX(INDIRECT("'Выгрузка'!A1480:Z1480"),Настройки!$B$8)&amp;"")</f>
        <v/>
      </c>
      <c r="D1480">
        <f>IFERROR(--SUBSTITUTE(SUBSTITUTE(TRIM(INDEX(INDIRECT("'Выгрузка'!A1480:Z1480"),Настройки!$B$10)),",","."),".",MID(1/2,2,1)),"")</f>
        <v/>
      </c>
      <c r="E1480">
        <f>IFERROR(--SUBSTITUTE(SUBSTITUTE(TRIM(INDEX(INDIRECT("'Выгрузка'!A1480:Z1480"),Настройки!$B$11)),",","."),".",MID(1/2,2,1)),"")</f>
        <v/>
      </c>
      <c r="F1480">
        <f>TRIM(INDEX(INDIRECT("'Выгрузка'!A1480:Z1480"),Настройки!$B$12)&amp;"")</f>
        <v/>
      </c>
      <c r="G1480">
        <f>IF(F1480="",0,IF(TRIM(INDEX(INDIRECT("'Выгрузка'!A1480:Z1480"),Настройки!$B$13)&amp;"")="",1,IFERROR(--SUBSTITUTE(SUBSTITUTE(TRIM(INDEX(INDIRECT("'Выгрузка'!A1480:Z1480"),Настройки!$B$13)),",","."),".",MID(1/2,2,1)),"")))</f>
        <v/>
      </c>
      <c r="H1480">
        <f>IF(F1480="",0,IF(COUNTIF(Настройки!$B$17:$B$26,F1480)&gt;0,1,IF(COUNTIF(Настройки!$C$17:$C$26,F1480)&gt;0,2,IF(COUNTIF(Настройки!$D$17:$D$26,F1480)&gt;0,3,0))))</f>
        <v/>
      </c>
      <c r="I1480">
        <f>IF(AND(ISNUMBER(A1480),ISNUMBER(B1480)),A1480*1000+B1480,"")</f>
        <v/>
      </c>
      <c r="J1480">
        <f>IF(I1480="","",IF(COUNTIF(I$2:I1480,I1480)=1,MAX(J$1:J1479)+1,""))</f>
        <v/>
      </c>
    </row>
    <row r="1481">
      <c r="A1481">
        <f>IFERROR(--SUBSTITUTE(SUBSTITUTE(TRIM(INDEX(INDIRECT("'Выгрузка'!A1481:Z1481"),Настройки!$B$7)),",","."),".",MID(1/2,2,1)),"")</f>
        <v/>
      </c>
      <c r="B1481">
        <f>IFERROR(--SUBSTITUTE(SUBSTITUTE(TRIM(INDEX(INDIRECT("'Выгрузка'!A1481:Z1481"),Настройки!$B$9)),",","."),".",MID(1/2,2,1)),"")</f>
        <v/>
      </c>
      <c r="C1481">
        <f>TRIM(INDEX(INDIRECT("'Выгрузка'!A1481:Z1481"),Настройки!$B$8)&amp;"")</f>
        <v/>
      </c>
      <c r="D1481">
        <f>IFERROR(--SUBSTITUTE(SUBSTITUTE(TRIM(INDEX(INDIRECT("'Выгрузка'!A1481:Z1481"),Настройки!$B$10)),",","."),".",MID(1/2,2,1)),"")</f>
        <v/>
      </c>
      <c r="E1481">
        <f>IFERROR(--SUBSTITUTE(SUBSTITUTE(TRIM(INDEX(INDIRECT("'Выгрузка'!A1481:Z1481"),Настройки!$B$11)),",","."),".",MID(1/2,2,1)),"")</f>
        <v/>
      </c>
      <c r="F1481">
        <f>TRIM(INDEX(INDIRECT("'Выгрузка'!A1481:Z1481"),Настройки!$B$12)&amp;"")</f>
        <v/>
      </c>
      <c r="G1481">
        <f>IF(F1481="",0,IF(TRIM(INDEX(INDIRECT("'Выгрузка'!A1481:Z1481"),Настройки!$B$13)&amp;"")="",1,IFERROR(--SUBSTITUTE(SUBSTITUTE(TRIM(INDEX(INDIRECT("'Выгрузка'!A1481:Z1481"),Настройки!$B$13)),",","."),".",MID(1/2,2,1)),"")))</f>
        <v/>
      </c>
      <c r="H1481">
        <f>IF(F1481="",0,IF(COUNTIF(Настройки!$B$17:$B$26,F1481)&gt;0,1,IF(COUNTIF(Настройки!$C$17:$C$26,F1481)&gt;0,2,IF(COUNTIF(Настройки!$D$17:$D$26,F1481)&gt;0,3,0))))</f>
        <v/>
      </c>
      <c r="I1481">
        <f>IF(AND(ISNUMBER(A1481),ISNUMBER(B1481)),A1481*1000+B1481,"")</f>
        <v/>
      </c>
      <c r="J1481">
        <f>IF(I1481="","",IF(COUNTIF(I$2:I1481,I1481)=1,MAX(J$1:J1480)+1,""))</f>
        <v/>
      </c>
    </row>
    <row r="1482">
      <c r="A1482">
        <f>IFERROR(--SUBSTITUTE(SUBSTITUTE(TRIM(INDEX(INDIRECT("'Выгрузка'!A1482:Z1482"),Настройки!$B$7)),",","."),".",MID(1/2,2,1)),"")</f>
        <v/>
      </c>
      <c r="B1482">
        <f>IFERROR(--SUBSTITUTE(SUBSTITUTE(TRIM(INDEX(INDIRECT("'Выгрузка'!A1482:Z1482"),Настройки!$B$9)),",","."),".",MID(1/2,2,1)),"")</f>
        <v/>
      </c>
      <c r="C1482">
        <f>TRIM(INDEX(INDIRECT("'Выгрузка'!A1482:Z1482"),Настройки!$B$8)&amp;"")</f>
        <v/>
      </c>
      <c r="D1482">
        <f>IFERROR(--SUBSTITUTE(SUBSTITUTE(TRIM(INDEX(INDIRECT("'Выгрузка'!A1482:Z1482"),Настройки!$B$10)),",","."),".",MID(1/2,2,1)),"")</f>
        <v/>
      </c>
      <c r="E1482">
        <f>IFERROR(--SUBSTITUTE(SUBSTITUTE(TRIM(INDEX(INDIRECT("'Выгрузка'!A1482:Z1482"),Настройки!$B$11)),",","."),".",MID(1/2,2,1)),"")</f>
        <v/>
      </c>
      <c r="F1482">
        <f>TRIM(INDEX(INDIRECT("'Выгрузка'!A1482:Z1482"),Настройки!$B$12)&amp;"")</f>
        <v/>
      </c>
      <c r="G1482">
        <f>IF(F1482="",0,IF(TRIM(INDEX(INDIRECT("'Выгрузка'!A1482:Z1482"),Настройки!$B$13)&amp;"")="",1,IFERROR(--SUBSTITUTE(SUBSTITUTE(TRIM(INDEX(INDIRECT("'Выгрузка'!A1482:Z1482"),Настройки!$B$13)),",","."),".",MID(1/2,2,1)),"")))</f>
        <v/>
      </c>
      <c r="H1482">
        <f>IF(F1482="",0,IF(COUNTIF(Настройки!$B$17:$B$26,F1482)&gt;0,1,IF(COUNTIF(Настройки!$C$17:$C$26,F1482)&gt;0,2,IF(COUNTIF(Настройки!$D$17:$D$26,F1482)&gt;0,3,0))))</f>
        <v/>
      </c>
      <c r="I1482">
        <f>IF(AND(ISNUMBER(A1482),ISNUMBER(B1482)),A1482*1000+B1482,"")</f>
        <v/>
      </c>
      <c r="J1482">
        <f>IF(I1482="","",IF(COUNTIF(I$2:I1482,I1482)=1,MAX(J$1:J1481)+1,""))</f>
        <v/>
      </c>
    </row>
    <row r="1483">
      <c r="A1483">
        <f>IFERROR(--SUBSTITUTE(SUBSTITUTE(TRIM(INDEX(INDIRECT("'Выгрузка'!A1483:Z1483"),Настройки!$B$7)),",","."),".",MID(1/2,2,1)),"")</f>
        <v/>
      </c>
      <c r="B1483">
        <f>IFERROR(--SUBSTITUTE(SUBSTITUTE(TRIM(INDEX(INDIRECT("'Выгрузка'!A1483:Z1483"),Настройки!$B$9)),",","."),".",MID(1/2,2,1)),"")</f>
        <v/>
      </c>
      <c r="C1483">
        <f>TRIM(INDEX(INDIRECT("'Выгрузка'!A1483:Z1483"),Настройки!$B$8)&amp;"")</f>
        <v/>
      </c>
      <c r="D1483">
        <f>IFERROR(--SUBSTITUTE(SUBSTITUTE(TRIM(INDEX(INDIRECT("'Выгрузка'!A1483:Z1483"),Настройки!$B$10)),",","."),".",MID(1/2,2,1)),"")</f>
        <v/>
      </c>
      <c r="E1483">
        <f>IFERROR(--SUBSTITUTE(SUBSTITUTE(TRIM(INDEX(INDIRECT("'Выгрузка'!A1483:Z1483"),Настройки!$B$11)),",","."),".",MID(1/2,2,1)),"")</f>
        <v/>
      </c>
      <c r="F1483">
        <f>TRIM(INDEX(INDIRECT("'Выгрузка'!A1483:Z1483"),Настройки!$B$12)&amp;"")</f>
        <v/>
      </c>
      <c r="G1483">
        <f>IF(F1483="",0,IF(TRIM(INDEX(INDIRECT("'Выгрузка'!A1483:Z1483"),Настройки!$B$13)&amp;"")="",1,IFERROR(--SUBSTITUTE(SUBSTITUTE(TRIM(INDEX(INDIRECT("'Выгрузка'!A1483:Z1483"),Настройки!$B$13)),",","."),".",MID(1/2,2,1)),"")))</f>
        <v/>
      </c>
      <c r="H1483">
        <f>IF(F1483="",0,IF(COUNTIF(Настройки!$B$17:$B$26,F1483)&gt;0,1,IF(COUNTIF(Настройки!$C$17:$C$26,F1483)&gt;0,2,IF(COUNTIF(Настройки!$D$17:$D$26,F1483)&gt;0,3,0))))</f>
        <v/>
      </c>
      <c r="I1483">
        <f>IF(AND(ISNUMBER(A1483),ISNUMBER(B1483)),A1483*1000+B1483,"")</f>
        <v/>
      </c>
      <c r="J1483">
        <f>IF(I1483="","",IF(COUNTIF(I$2:I1483,I1483)=1,MAX(J$1:J1482)+1,""))</f>
        <v/>
      </c>
    </row>
    <row r="1484">
      <c r="A1484">
        <f>IFERROR(--SUBSTITUTE(SUBSTITUTE(TRIM(INDEX(INDIRECT("'Выгрузка'!A1484:Z1484"),Настройки!$B$7)),",","."),".",MID(1/2,2,1)),"")</f>
        <v/>
      </c>
      <c r="B1484">
        <f>IFERROR(--SUBSTITUTE(SUBSTITUTE(TRIM(INDEX(INDIRECT("'Выгрузка'!A1484:Z1484"),Настройки!$B$9)),",","."),".",MID(1/2,2,1)),"")</f>
        <v/>
      </c>
      <c r="C1484">
        <f>TRIM(INDEX(INDIRECT("'Выгрузка'!A1484:Z1484"),Настройки!$B$8)&amp;"")</f>
        <v/>
      </c>
      <c r="D1484">
        <f>IFERROR(--SUBSTITUTE(SUBSTITUTE(TRIM(INDEX(INDIRECT("'Выгрузка'!A1484:Z1484"),Настройки!$B$10)),",","."),".",MID(1/2,2,1)),"")</f>
        <v/>
      </c>
      <c r="E1484">
        <f>IFERROR(--SUBSTITUTE(SUBSTITUTE(TRIM(INDEX(INDIRECT("'Выгрузка'!A1484:Z1484"),Настройки!$B$11)),",","."),".",MID(1/2,2,1)),"")</f>
        <v/>
      </c>
      <c r="F1484">
        <f>TRIM(INDEX(INDIRECT("'Выгрузка'!A1484:Z1484"),Настройки!$B$12)&amp;"")</f>
        <v/>
      </c>
      <c r="G1484">
        <f>IF(F1484="",0,IF(TRIM(INDEX(INDIRECT("'Выгрузка'!A1484:Z1484"),Настройки!$B$13)&amp;"")="",1,IFERROR(--SUBSTITUTE(SUBSTITUTE(TRIM(INDEX(INDIRECT("'Выгрузка'!A1484:Z1484"),Настройки!$B$13)),",","."),".",MID(1/2,2,1)),"")))</f>
        <v/>
      </c>
      <c r="H1484">
        <f>IF(F1484="",0,IF(COUNTIF(Настройки!$B$17:$B$26,F1484)&gt;0,1,IF(COUNTIF(Настройки!$C$17:$C$26,F1484)&gt;0,2,IF(COUNTIF(Настройки!$D$17:$D$26,F1484)&gt;0,3,0))))</f>
        <v/>
      </c>
      <c r="I1484">
        <f>IF(AND(ISNUMBER(A1484),ISNUMBER(B1484)),A1484*1000+B1484,"")</f>
        <v/>
      </c>
      <c r="J1484">
        <f>IF(I1484="","",IF(COUNTIF(I$2:I1484,I1484)=1,MAX(J$1:J1483)+1,""))</f>
        <v/>
      </c>
    </row>
    <row r="1485">
      <c r="A1485">
        <f>IFERROR(--SUBSTITUTE(SUBSTITUTE(TRIM(INDEX(INDIRECT("'Выгрузка'!A1485:Z1485"),Настройки!$B$7)),",","."),".",MID(1/2,2,1)),"")</f>
        <v/>
      </c>
      <c r="B1485">
        <f>IFERROR(--SUBSTITUTE(SUBSTITUTE(TRIM(INDEX(INDIRECT("'Выгрузка'!A1485:Z1485"),Настройки!$B$9)),",","."),".",MID(1/2,2,1)),"")</f>
        <v/>
      </c>
      <c r="C1485">
        <f>TRIM(INDEX(INDIRECT("'Выгрузка'!A1485:Z1485"),Настройки!$B$8)&amp;"")</f>
        <v/>
      </c>
      <c r="D1485">
        <f>IFERROR(--SUBSTITUTE(SUBSTITUTE(TRIM(INDEX(INDIRECT("'Выгрузка'!A1485:Z1485"),Настройки!$B$10)),",","."),".",MID(1/2,2,1)),"")</f>
        <v/>
      </c>
      <c r="E1485">
        <f>IFERROR(--SUBSTITUTE(SUBSTITUTE(TRIM(INDEX(INDIRECT("'Выгрузка'!A1485:Z1485"),Настройки!$B$11)),",","."),".",MID(1/2,2,1)),"")</f>
        <v/>
      </c>
      <c r="F1485">
        <f>TRIM(INDEX(INDIRECT("'Выгрузка'!A1485:Z1485"),Настройки!$B$12)&amp;"")</f>
        <v/>
      </c>
      <c r="G1485">
        <f>IF(F1485="",0,IF(TRIM(INDEX(INDIRECT("'Выгрузка'!A1485:Z1485"),Настройки!$B$13)&amp;"")="",1,IFERROR(--SUBSTITUTE(SUBSTITUTE(TRIM(INDEX(INDIRECT("'Выгрузка'!A1485:Z1485"),Настройки!$B$13)),",","."),".",MID(1/2,2,1)),"")))</f>
        <v/>
      </c>
      <c r="H1485">
        <f>IF(F1485="",0,IF(COUNTIF(Настройки!$B$17:$B$26,F1485)&gt;0,1,IF(COUNTIF(Настройки!$C$17:$C$26,F1485)&gt;0,2,IF(COUNTIF(Настройки!$D$17:$D$26,F1485)&gt;0,3,0))))</f>
        <v/>
      </c>
      <c r="I1485">
        <f>IF(AND(ISNUMBER(A1485),ISNUMBER(B1485)),A1485*1000+B1485,"")</f>
        <v/>
      </c>
      <c r="J1485">
        <f>IF(I1485="","",IF(COUNTIF(I$2:I1485,I1485)=1,MAX(J$1:J1484)+1,""))</f>
        <v/>
      </c>
    </row>
    <row r="1486">
      <c r="A1486">
        <f>IFERROR(--SUBSTITUTE(SUBSTITUTE(TRIM(INDEX(INDIRECT("'Выгрузка'!A1486:Z1486"),Настройки!$B$7)),",","."),".",MID(1/2,2,1)),"")</f>
        <v/>
      </c>
      <c r="B1486">
        <f>IFERROR(--SUBSTITUTE(SUBSTITUTE(TRIM(INDEX(INDIRECT("'Выгрузка'!A1486:Z1486"),Настройки!$B$9)),",","."),".",MID(1/2,2,1)),"")</f>
        <v/>
      </c>
      <c r="C1486">
        <f>TRIM(INDEX(INDIRECT("'Выгрузка'!A1486:Z1486"),Настройки!$B$8)&amp;"")</f>
        <v/>
      </c>
      <c r="D1486">
        <f>IFERROR(--SUBSTITUTE(SUBSTITUTE(TRIM(INDEX(INDIRECT("'Выгрузка'!A1486:Z1486"),Настройки!$B$10)),",","."),".",MID(1/2,2,1)),"")</f>
        <v/>
      </c>
      <c r="E1486">
        <f>IFERROR(--SUBSTITUTE(SUBSTITUTE(TRIM(INDEX(INDIRECT("'Выгрузка'!A1486:Z1486"),Настройки!$B$11)),",","."),".",MID(1/2,2,1)),"")</f>
        <v/>
      </c>
      <c r="F1486">
        <f>TRIM(INDEX(INDIRECT("'Выгрузка'!A1486:Z1486"),Настройки!$B$12)&amp;"")</f>
        <v/>
      </c>
      <c r="G1486">
        <f>IF(F1486="",0,IF(TRIM(INDEX(INDIRECT("'Выгрузка'!A1486:Z1486"),Настройки!$B$13)&amp;"")="",1,IFERROR(--SUBSTITUTE(SUBSTITUTE(TRIM(INDEX(INDIRECT("'Выгрузка'!A1486:Z1486"),Настройки!$B$13)),",","."),".",MID(1/2,2,1)),"")))</f>
        <v/>
      </c>
      <c r="H1486">
        <f>IF(F1486="",0,IF(COUNTIF(Настройки!$B$17:$B$26,F1486)&gt;0,1,IF(COUNTIF(Настройки!$C$17:$C$26,F1486)&gt;0,2,IF(COUNTIF(Настройки!$D$17:$D$26,F1486)&gt;0,3,0))))</f>
        <v/>
      </c>
      <c r="I1486">
        <f>IF(AND(ISNUMBER(A1486),ISNUMBER(B1486)),A1486*1000+B1486,"")</f>
        <v/>
      </c>
      <c r="J1486">
        <f>IF(I1486="","",IF(COUNTIF(I$2:I1486,I1486)=1,MAX(J$1:J1485)+1,""))</f>
        <v/>
      </c>
    </row>
    <row r="1487">
      <c r="A1487">
        <f>IFERROR(--SUBSTITUTE(SUBSTITUTE(TRIM(INDEX(INDIRECT("'Выгрузка'!A1487:Z1487"),Настройки!$B$7)),",","."),".",MID(1/2,2,1)),"")</f>
        <v/>
      </c>
      <c r="B1487">
        <f>IFERROR(--SUBSTITUTE(SUBSTITUTE(TRIM(INDEX(INDIRECT("'Выгрузка'!A1487:Z1487"),Настройки!$B$9)),",","."),".",MID(1/2,2,1)),"")</f>
        <v/>
      </c>
      <c r="C1487">
        <f>TRIM(INDEX(INDIRECT("'Выгрузка'!A1487:Z1487"),Настройки!$B$8)&amp;"")</f>
        <v/>
      </c>
      <c r="D1487">
        <f>IFERROR(--SUBSTITUTE(SUBSTITUTE(TRIM(INDEX(INDIRECT("'Выгрузка'!A1487:Z1487"),Настройки!$B$10)),",","."),".",MID(1/2,2,1)),"")</f>
        <v/>
      </c>
      <c r="E1487">
        <f>IFERROR(--SUBSTITUTE(SUBSTITUTE(TRIM(INDEX(INDIRECT("'Выгрузка'!A1487:Z1487"),Настройки!$B$11)),",","."),".",MID(1/2,2,1)),"")</f>
        <v/>
      </c>
      <c r="F1487">
        <f>TRIM(INDEX(INDIRECT("'Выгрузка'!A1487:Z1487"),Настройки!$B$12)&amp;"")</f>
        <v/>
      </c>
      <c r="G1487">
        <f>IF(F1487="",0,IF(TRIM(INDEX(INDIRECT("'Выгрузка'!A1487:Z1487"),Настройки!$B$13)&amp;"")="",1,IFERROR(--SUBSTITUTE(SUBSTITUTE(TRIM(INDEX(INDIRECT("'Выгрузка'!A1487:Z1487"),Настройки!$B$13)),",","."),".",MID(1/2,2,1)),"")))</f>
        <v/>
      </c>
      <c r="H1487">
        <f>IF(F1487="",0,IF(COUNTIF(Настройки!$B$17:$B$26,F1487)&gt;0,1,IF(COUNTIF(Настройки!$C$17:$C$26,F1487)&gt;0,2,IF(COUNTIF(Настройки!$D$17:$D$26,F1487)&gt;0,3,0))))</f>
        <v/>
      </c>
      <c r="I1487">
        <f>IF(AND(ISNUMBER(A1487),ISNUMBER(B1487)),A1487*1000+B1487,"")</f>
        <v/>
      </c>
      <c r="J1487">
        <f>IF(I1487="","",IF(COUNTIF(I$2:I1487,I1487)=1,MAX(J$1:J1486)+1,""))</f>
        <v/>
      </c>
    </row>
    <row r="1488">
      <c r="A1488">
        <f>IFERROR(--SUBSTITUTE(SUBSTITUTE(TRIM(INDEX(INDIRECT("'Выгрузка'!A1488:Z1488"),Настройки!$B$7)),",","."),".",MID(1/2,2,1)),"")</f>
        <v/>
      </c>
      <c r="B1488">
        <f>IFERROR(--SUBSTITUTE(SUBSTITUTE(TRIM(INDEX(INDIRECT("'Выгрузка'!A1488:Z1488"),Настройки!$B$9)),",","."),".",MID(1/2,2,1)),"")</f>
        <v/>
      </c>
      <c r="C1488">
        <f>TRIM(INDEX(INDIRECT("'Выгрузка'!A1488:Z1488"),Настройки!$B$8)&amp;"")</f>
        <v/>
      </c>
      <c r="D1488">
        <f>IFERROR(--SUBSTITUTE(SUBSTITUTE(TRIM(INDEX(INDIRECT("'Выгрузка'!A1488:Z1488"),Настройки!$B$10)),",","."),".",MID(1/2,2,1)),"")</f>
        <v/>
      </c>
      <c r="E1488">
        <f>IFERROR(--SUBSTITUTE(SUBSTITUTE(TRIM(INDEX(INDIRECT("'Выгрузка'!A1488:Z1488"),Настройки!$B$11)),",","."),".",MID(1/2,2,1)),"")</f>
        <v/>
      </c>
      <c r="F1488">
        <f>TRIM(INDEX(INDIRECT("'Выгрузка'!A1488:Z1488"),Настройки!$B$12)&amp;"")</f>
        <v/>
      </c>
      <c r="G1488">
        <f>IF(F1488="",0,IF(TRIM(INDEX(INDIRECT("'Выгрузка'!A1488:Z1488"),Настройки!$B$13)&amp;"")="",1,IFERROR(--SUBSTITUTE(SUBSTITUTE(TRIM(INDEX(INDIRECT("'Выгрузка'!A1488:Z1488"),Настройки!$B$13)),",","."),".",MID(1/2,2,1)),"")))</f>
        <v/>
      </c>
      <c r="H1488">
        <f>IF(F1488="",0,IF(COUNTIF(Настройки!$B$17:$B$26,F1488)&gt;0,1,IF(COUNTIF(Настройки!$C$17:$C$26,F1488)&gt;0,2,IF(COUNTIF(Настройки!$D$17:$D$26,F1488)&gt;0,3,0))))</f>
        <v/>
      </c>
      <c r="I1488">
        <f>IF(AND(ISNUMBER(A1488),ISNUMBER(B1488)),A1488*1000+B1488,"")</f>
        <v/>
      </c>
      <c r="J1488">
        <f>IF(I1488="","",IF(COUNTIF(I$2:I1488,I1488)=1,MAX(J$1:J1487)+1,""))</f>
        <v/>
      </c>
    </row>
    <row r="1489">
      <c r="A1489">
        <f>IFERROR(--SUBSTITUTE(SUBSTITUTE(TRIM(INDEX(INDIRECT("'Выгрузка'!A1489:Z1489"),Настройки!$B$7)),",","."),".",MID(1/2,2,1)),"")</f>
        <v/>
      </c>
      <c r="B1489">
        <f>IFERROR(--SUBSTITUTE(SUBSTITUTE(TRIM(INDEX(INDIRECT("'Выгрузка'!A1489:Z1489"),Настройки!$B$9)),",","."),".",MID(1/2,2,1)),"")</f>
        <v/>
      </c>
      <c r="C1489">
        <f>TRIM(INDEX(INDIRECT("'Выгрузка'!A1489:Z1489"),Настройки!$B$8)&amp;"")</f>
        <v/>
      </c>
      <c r="D1489">
        <f>IFERROR(--SUBSTITUTE(SUBSTITUTE(TRIM(INDEX(INDIRECT("'Выгрузка'!A1489:Z1489"),Настройки!$B$10)),",","."),".",MID(1/2,2,1)),"")</f>
        <v/>
      </c>
      <c r="E1489">
        <f>IFERROR(--SUBSTITUTE(SUBSTITUTE(TRIM(INDEX(INDIRECT("'Выгрузка'!A1489:Z1489"),Настройки!$B$11)),",","."),".",MID(1/2,2,1)),"")</f>
        <v/>
      </c>
      <c r="F1489">
        <f>TRIM(INDEX(INDIRECT("'Выгрузка'!A1489:Z1489"),Настройки!$B$12)&amp;"")</f>
        <v/>
      </c>
      <c r="G1489">
        <f>IF(F1489="",0,IF(TRIM(INDEX(INDIRECT("'Выгрузка'!A1489:Z1489"),Настройки!$B$13)&amp;"")="",1,IFERROR(--SUBSTITUTE(SUBSTITUTE(TRIM(INDEX(INDIRECT("'Выгрузка'!A1489:Z1489"),Настройки!$B$13)),",","."),".",MID(1/2,2,1)),"")))</f>
        <v/>
      </c>
      <c r="H1489">
        <f>IF(F1489="",0,IF(COUNTIF(Настройки!$B$17:$B$26,F1489)&gt;0,1,IF(COUNTIF(Настройки!$C$17:$C$26,F1489)&gt;0,2,IF(COUNTIF(Настройки!$D$17:$D$26,F1489)&gt;0,3,0))))</f>
        <v/>
      </c>
      <c r="I1489">
        <f>IF(AND(ISNUMBER(A1489),ISNUMBER(B1489)),A1489*1000+B1489,"")</f>
        <v/>
      </c>
      <c r="J1489">
        <f>IF(I1489="","",IF(COUNTIF(I$2:I1489,I1489)=1,MAX(J$1:J1488)+1,""))</f>
        <v/>
      </c>
    </row>
    <row r="1490">
      <c r="A1490">
        <f>IFERROR(--SUBSTITUTE(SUBSTITUTE(TRIM(INDEX(INDIRECT("'Выгрузка'!A1490:Z1490"),Настройки!$B$7)),",","."),".",MID(1/2,2,1)),"")</f>
        <v/>
      </c>
      <c r="B1490">
        <f>IFERROR(--SUBSTITUTE(SUBSTITUTE(TRIM(INDEX(INDIRECT("'Выгрузка'!A1490:Z1490"),Настройки!$B$9)),",","."),".",MID(1/2,2,1)),"")</f>
        <v/>
      </c>
      <c r="C1490">
        <f>TRIM(INDEX(INDIRECT("'Выгрузка'!A1490:Z1490"),Настройки!$B$8)&amp;"")</f>
        <v/>
      </c>
      <c r="D1490">
        <f>IFERROR(--SUBSTITUTE(SUBSTITUTE(TRIM(INDEX(INDIRECT("'Выгрузка'!A1490:Z1490"),Настройки!$B$10)),",","."),".",MID(1/2,2,1)),"")</f>
        <v/>
      </c>
      <c r="E1490">
        <f>IFERROR(--SUBSTITUTE(SUBSTITUTE(TRIM(INDEX(INDIRECT("'Выгрузка'!A1490:Z1490"),Настройки!$B$11)),",","."),".",MID(1/2,2,1)),"")</f>
        <v/>
      </c>
      <c r="F1490">
        <f>TRIM(INDEX(INDIRECT("'Выгрузка'!A1490:Z1490"),Настройки!$B$12)&amp;"")</f>
        <v/>
      </c>
      <c r="G1490">
        <f>IF(F1490="",0,IF(TRIM(INDEX(INDIRECT("'Выгрузка'!A1490:Z1490"),Настройки!$B$13)&amp;"")="",1,IFERROR(--SUBSTITUTE(SUBSTITUTE(TRIM(INDEX(INDIRECT("'Выгрузка'!A1490:Z1490"),Настройки!$B$13)),",","."),".",MID(1/2,2,1)),"")))</f>
        <v/>
      </c>
      <c r="H1490">
        <f>IF(F1490="",0,IF(COUNTIF(Настройки!$B$17:$B$26,F1490)&gt;0,1,IF(COUNTIF(Настройки!$C$17:$C$26,F1490)&gt;0,2,IF(COUNTIF(Настройки!$D$17:$D$26,F1490)&gt;0,3,0))))</f>
        <v/>
      </c>
      <c r="I1490">
        <f>IF(AND(ISNUMBER(A1490),ISNUMBER(B1490)),A1490*1000+B1490,"")</f>
        <v/>
      </c>
      <c r="J1490">
        <f>IF(I1490="","",IF(COUNTIF(I$2:I1490,I1490)=1,MAX(J$1:J1489)+1,""))</f>
        <v/>
      </c>
    </row>
    <row r="1491">
      <c r="A1491">
        <f>IFERROR(--SUBSTITUTE(SUBSTITUTE(TRIM(INDEX(INDIRECT("'Выгрузка'!A1491:Z1491"),Настройки!$B$7)),",","."),".",MID(1/2,2,1)),"")</f>
        <v/>
      </c>
      <c r="B1491">
        <f>IFERROR(--SUBSTITUTE(SUBSTITUTE(TRIM(INDEX(INDIRECT("'Выгрузка'!A1491:Z1491"),Настройки!$B$9)),",","."),".",MID(1/2,2,1)),"")</f>
        <v/>
      </c>
      <c r="C1491">
        <f>TRIM(INDEX(INDIRECT("'Выгрузка'!A1491:Z1491"),Настройки!$B$8)&amp;"")</f>
        <v/>
      </c>
      <c r="D1491">
        <f>IFERROR(--SUBSTITUTE(SUBSTITUTE(TRIM(INDEX(INDIRECT("'Выгрузка'!A1491:Z1491"),Настройки!$B$10)),",","."),".",MID(1/2,2,1)),"")</f>
        <v/>
      </c>
      <c r="E1491">
        <f>IFERROR(--SUBSTITUTE(SUBSTITUTE(TRIM(INDEX(INDIRECT("'Выгрузка'!A1491:Z1491"),Настройки!$B$11)),",","."),".",MID(1/2,2,1)),"")</f>
        <v/>
      </c>
      <c r="F1491">
        <f>TRIM(INDEX(INDIRECT("'Выгрузка'!A1491:Z1491"),Настройки!$B$12)&amp;"")</f>
        <v/>
      </c>
      <c r="G1491">
        <f>IF(F1491="",0,IF(TRIM(INDEX(INDIRECT("'Выгрузка'!A1491:Z1491"),Настройки!$B$13)&amp;"")="",1,IFERROR(--SUBSTITUTE(SUBSTITUTE(TRIM(INDEX(INDIRECT("'Выгрузка'!A1491:Z1491"),Настройки!$B$13)),",","."),".",MID(1/2,2,1)),"")))</f>
        <v/>
      </c>
      <c r="H1491">
        <f>IF(F1491="",0,IF(COUNTIF(Настройки!$B$17:$B$26,F1491)&gt;0,1,IF(COUNTIF(Настройки!$C$17:$C$26,F1491)&gt;0,2,IF(COUNTIF(Настройки!$D$17:$D$26,F1491)&gt;0,3,0))))</f>
        <v/>
      </c>
      <c r="I1491">
        <f>IF(AND(ISNUMBER(A1491),ISNUMBER(B1491)),A1491*1000+B1491,"")</f>
        <v/>
      </c>
      <c r="J1491">
        <f>IF(I1491="","",IF(COUNTIF(I$2:I1491,I1491)=1,MAX(J$1:J1490)+1,""))</f>
        <v/>
      </c>
    </row>
    <row r="1492">
      <c r="A1492">
        <f>IFERROR(--SUBSTITUTE(SUBSTITUTE(TRIM(INDEX(INDIRECT("'Выгрузка'!A1492:Z1492"),Настройки!$B$7)),",","."),".",MID(1/2,2,1)),"")</f>
        <v/>
      </c>
      <c r="B1492">
        <f>IFERROR(--SUBSTITUTE(SUBSTITUTE(TRIM(INDEX(INDIRECT("'Выгрузка'!A1492:Z1492"),Настройки!$B$9)),",","."),".",MID(1/2,2,1)),"")</f>
        <v/>
      </c>
      <c r="C1492">
        <f>TRIM(INDEX(INDIRECT("'Выгрузка'!A1492:Z1492"),Настройки!$B$8)&amp;"")</f>
        <v/>
      </c>
      <c r="D1492">
        <f>IFERROR(--SUBSTITUTE(SUBSTITUTE(TRIM(INDEX(INDIRECT("'Выгрузка'!A1492:Z1492"),Настройки!$B$10)),",","."),".",MID(1/2,2,1)),"")</f>
        <v/>
      </c>
      <c r="E1492">
        <f>IFERROR(--SUBSTITUTE(SUBSTITUTE(TRIM(INDEX(INDIRECT("'Выгрузка'!A1492:Z1492"),Настройки!$B$11)),",","."),".",MID(1/2,2,1)),"")</f>
        <v/>
      </c>
      <c r="F1492">
        <f>TRIM(INDEX(INDIRECT("'Выгрузка'!A1492:Z1492"),Настройки!$B$12)&amp;"")</f>
        <v/>
      </c>
      <c r="G1492">
        <f>IF(F1492="",0,IF(TRIM(INDEX(INDIRECT("'Выгрузка'!A1492:Z1492"),Настройки!$B$13)&amp;"")="",1,IFERROR(--SUBSTITUTE(SUBSTITUTE(TRIM(INDEX(INDIRECT("'Выгрузка'!A1492:Z1492"),Настройки!$B$13)),",","."),".",MID(1/2,2,1)),"")))</f>
        <v/>
      </c>
      <c r="H1492">
        <f>IF(F1492="",0,IF(COUNTIF(Настройки!$B$17:$B$26,F1492)&gt;0,1,IF(COUNTIF(Настройки!$C$17:$C$26,F1492)&gt;0,2,IF(COUNTIF(Настройки!$D$17:$D$26,F1492)&gt;0,3,0))))</f>
        <v/>
      </c>
      <c r="I1492">
        <f>IF(AND(ISNUMBER(A1492),ISNUMBER(B1492)),A1492*1000+B1492,"")</f>
        <v/>
      </c>
      <c r="J1492">
        <f>IF(I1492="","",IF(COUNTIF(I$2:I1492,I1492)=1,MAX(J$1:J1491)+1,""))</f>
        <v/>
      </c>
    </row>
    <row r="1493">
      <c r="A1493">
        <f>IFERROR(--SUBSTITUTE(SUBSTITUTE(TRIM(INDEX(INDIRECT("'Выгрузка'!A1493:Z1493"),Настройки!$B$7)),",","."),".",MID(1/2,2,1)),"")</f>
        <v/>
      </c>
      <c r="B1493">
        <f>IFERROR(--SUBSTITUTE(SUBSTITUTE(TRIM(INDEX(INDIRECT("'Выгрузка'!A1493:Z1493"),Настройки!$B$9)),",","."),".",MID(1/2,2,1)),"")</f>
        <v/>
      </c>
      <c r="C1493">
        <f>TRIM(INDEX(INDIRECT("'Выгрузка'!A1493:Z1493"),Настройки!$B$8)&amp;"")</f>
        <v/>
      </c>
      <c r="D1493">
        <f>IFERROR(--SUBSTITUTE(SUBSTITUTE(TRIM(INDEX(INDIRECT("'Выгрузка'!A1493:Z1493"),Настройки!$B$10)),",","."),".",MID(1/2,2,1)),"")</f>
        <v/>
      </c>
      <c r="E1493">
        <f>IFERROR(--SUBSTITUTE(SUBSTITUTE(TRIM(INDEX(INDIRECT("'Выгрузка'!A1493:Z1493"),Настройки!$B$11)),",","."),".",MID(1/2,2,1)),"")</f>
        <v/>
      </c>
      <c r="F1493">
        <f>TRIM(INDEX(INDIRECT("'Выгрузка'!A1493:Z1493"),Настройки!$B$12)&amp;"")</f>
        <v/>
      </c>
      <c r="G1493">
        <f>IF(F1493="",0,IF(TRIM(INDEX(INDIRECT("'Выгрузка'!A1493:Z1493"),Настройки!$B$13)&amp;"")="",1,IFERROR(--SUBSTITUTE(SUBSTITUTE(TRIM(INDEX(INDIRECT("'Выгрузка'!A1493:Z1493"),Настройки!$B$13)),",","."),".",MID(1/2,2,1)),"")))</f>
        <v/>
      </c>
      <c r="H1493">
        <f>IF(F1493="",0,IF(COUNTIF(Настройки!$B$17:$B$26,F1493)&gt;0,1,IF(COUNTIF(Настройки!$C$17:$C$26,F1493)&gt;0,2,IF(COUNTIF(Настройки!$D$17:$D$26,F1493)&gt;0,3,0))))</f>
        <v/>
      </c>
      <c r="I1493">
        <f>IF(AND(ISNUMBER(A1493),ISNUMBER(B1493)),A1493*1000+B1493,"")</f>
        <v/>
      </c>
      <c r="J1493">
        <f>IF(I1493="","",IF(COUNTIF(I$2:I1493,I1493)=1,MAX(J$1:J1492)+1,""))</f>
        <v/>
      </c>
    </row>
    <row r="1494">
      <c r="A1494">
        <f>IFERROR(--SUBSTITUTE(SUBSTITUTE(TRIM(INDEX(INDIRECT("'Выгрузка'!A1494:Z1494"),Настройки!$B$7)),",","."),".",MID(1/2,2,1)),"")</f>
        <v/>
      </c>
      <c r="B1494">
        <f>IFERROR(--SUBSTITUTE(SUBSTITUTE(TRIM(INDEX(INDIRECT("'Выгрузка'!A1494:Z1494"),Настройки!$B$9)),",","."),".",MID(1/2,2,1)),"")</f>
        <v/>
      </c>
      <c r="C1494">
        <f>TRIM(INDEX(INDIRECT("'Выгрузка'!A1494:Z1494"),Настройки!$B$8)&amp;"")</f>
        <v/>
      </c>
      <c r="D1494">
        <f>IFERROR(--SUBSTITUTE(SUBSTITUTE(TRIM(INDEX(INDIRECT("'Выгрузка'!A1494:Z1494"),Настройки!$B$10)),",","."),".",MID(1/2,2,1)),"")</f>
        <v/>
      </c>
      <c r="E1494">
        <f>IFERROR(--SUBSTITUTE(SUBSTITUTE(TRIM(INDEX(INDIRECT("'Выгрузка'!A1494:Z1494"),Настройки!$B$11)),",","."),".",MID(1/2,2,1)),"")</f>
        <v/>
      </c>
      <c r="F1494">
        <f>TRIM(INDEX(INDIRECT("'Выгрузка'!A1494:Z1494"),Настройки!$B$12)&amp;"")</f>
        <v/>
      </c>
      <c r="G1494">
        <f>IF(F1494="",0,IF(TRIM(INDEX(INDIRECT("'Выгрузка'!A1494:Z1494"),Настройки!$B$13)&amp;"")="",1,IFERROR(--SUBSTITUTE(SUBSTITUTE(TRIM(INDEX(INDIRECT("'Выгрузка'!A1494:Z1494"),Настройки!$B$13)),",","."),".",MID(1/2,2,1)),"")))</f>
        <v/>
      </c>
      <c r="H1494">
        <f>IF(F1494="",0,IF(COUNTIF(Настройки!$B$17:$B$26,F1494)&gt;0,1,IF(COUNTIF(Настройки!$C$17:$C$26,F1494)&gt;0,2,IF(COUNTIF(Настройки!$D$17:$D$26,F1494)&gt;0,3,0))))</f>
        <v/>
      </c>
      <c r="I1494">
        <f>IF(AND(ISNUMBER(A1494),ISNUMBER(B1494)),A1494*1000+B1494,"")</f>
        <v/>
      </c>
      <c r="J1494">
        <f>IF(I1494="","",IF(COUNTIF(I$2:I1494,I1494)=1,MAX(J$1:J1493)+1,""))</f>
        <v/>
      </c>
    </row>
    <row r="1495">
      <c r="A1495">
        <f>IFERROR(--SUBSTITUTE(SUBSTITUTE(TRIM(INDEX(INDIRECT("'Выгрузка'!A1495:Z1495"),Настройки!$B$7)),",","."),".",MID(1/2,2,1)),"")</f>
        <v/>
      </c>
      <c r="B1495">
        <f>IFERROR(--SUBSTITUTE(SUBSTITUTE(TRIM(INDEX(INDIRECT("'Выгрузка'!A1495:Z1495"),Настройки!$B$9)),",","."),".",MID(1/2,2,1)),"")</f>
        <v/>
      </c>
      <c r="C1495">
        <f>TRIM(INDEX(INDIRECT("'Выгрузка'!A1495:Z1495"),Настройки!$B$8)&amp;"")</f>
        <v/>
      </c>
      <c r="D1495">
        <f>IFERROR(--SUBSTITUTE(SUBSTITUTE(TRIM(INDEX(INDIRECT("'Выгрузка'!A1495:Z1495"),Настройки!$B$10)),",","."),".",MID(1/2,2,1)),"")</f>
        <v/>
      </c>
      <c r="E1495">
        <f>IFERROR(--SUBSTITUTE(SUBSTITUTE(TRIM(INDEX(INDIRECT("'Выгрузка'!A1495:Z1495"),Настройки!$B$11)),",","."),".",MID(1/2,2,1)),"")</f>
        <v/>
      </c>
      <c r="F1495">
        <f>TRIM(INDEX(INDIRECT("'Выгрузка'!A1495:Z1495"),Настройки!$B$12)&amp;"")</f>
        <v/>
      </c>
      <c r="G1495">
        <f>IF(F1495="",0,IF(TRIM(INDEX(INDIRECT("'Выгрузка'!A1495:Z1495"),Настройки!$B$13)&amp;"")="",1,IFERROR(--SUBSTITUTE(SUBSTITUTE(TRIM(INDEX(INDIRECT("'Выгрузка'!A1495:Z1495"),Настройки!$B$13)),",","."),".",MID(1/2,2,1)),"")))</f>
        <v/>
      </c>
      <c r="H1495">
        <f>IF(F1495="",0,IF(COUNTIF(Настройки!$B$17:$B$26,F1495)&gt;0,1,IF(COUNTIF(Настройки!$C$17:$C$26,F1495)&gt;0,2,IF(COUNTIF(Настройки!$D$17:$D$26,F1495)&gt;0,3,0))))</f>
        <v/>
      </c>
      <c r="I1495">
        <f>IF(AND(ISNUMBER(A1495),ISNUMBER(B1495)),A1495*1000+B1495,"")</f>
        <v/>
      </c>
      <c r="J1495">
        <f>IF(I1495="","",IF(COUNTIF(I$2:I1495,I1495)=1,MAX(J$1:J1494)+1,""))</f>
        <v/>
      </c>
    </row>
    <row r="1496">
      <c r="A1496">
        <f>IFERROR(--SUBSTITUTE(SUBSTITUTE(TRIM(INDEX(INDIRECT("'Выгрузка'!A1496:Z1496"),Настройки!$B$7)),",","."),".",MID(1/2,2,1)),"")</f>
        <v/>
      </c>
      <c r="B1496">
        <f>IFERROR(--SUBSTITUTE(SUBSTITUTE(TRIM(INDEX(INDIRECT("'Выгрузка'!A1496:Z1496"),Настройки!$B$9)),",","."),".",MID(1/2,2,1)),"")</f>
        <v/>
      </c>
      <c r="C1496">
        <f>TRIM(INDEX(INDIRECT("'Выгрузка'!A1496:Z1496"),Настройки!$B$8)&amp;"")</f>
        <v/>
      </c>
      <c r="D1496">
        <f>IFERROR(--SUBSTITUTE(SUBSTITUTE(TRIM(INDEX(INDIRECT("'Выгрузка'!A1496:Z1496"),Настройки!$B$10)),",","."),".",MID(1/2,2,1)),"")</f>
        <v/>
      </c>
      <c r="E1496">
        <f>IFERROR(--SUBSTITUTE(SUBSTITUTE(TRIM(INDEX(INDIRECT("'Выгрузка'!A1496:Z1496"),Настройки!$B$11)),",","."),".",MID(1/2,2,1)),"")</f>
        <v/>
      </c>
      <c r="F1496">
        <f>TRIM(INDEX(INDIRECT("'Выгрузка'!A1496:Z1496"),Настройки!$B$12)&amp;"")</f>
        <v/>
      </c>
      <c r="G1496">
        <f>IF(F1496="",0,IF(TRIM(INDEX(INDIRECT("'Выгрузка'!A1496:Z1496"),Настройки!$B$13)&amp;"")="",1,IFERROR(--SUBSTITUTE(SUBSTITUTE(TRIM(INDEX(INDIRECT("'Выгрузка'!A1496:Z1496"),Настройки!$B$13)),",","."),".",MID(1/2,2,1)),"")))</f>
        <v/>
      </c>
      <c r="H1496">
        <f>IF(F1496="",0,IF(COUNTIF(Настройки!$B$17:$B$26,F1496)&gt;0,1,IF(COUNTIF(Настройки!$C$17:$C$26,F1496)&gt;0,2,IF(COUNTIF(Настройки!$D$17:$D$26,F1496)&gt;0,3,0))))</f>
        <v/>
      </c>
      <c r="I1496">
        <f>IF(AND(ISNUMBER(A1496),ISNUMBER(B1496)),A1496*1000+B1496,"")</f>
        <v/>
      </c>
      <c r="J1496">
        <f>IF(I1496="","",IF(COUNTIF(I$2:I1496,I1496)=1,MAX(J$1:J1495)+1,""))</f>
        <v/>
      </c>
    </row>
    <row r="1497">
      <c r="A1497">
        <f>IFERROR(--SUBSTITUTE(SUBSTITUTE(TRIM(INDEX(INDIRECT("'Выгрузка'!A1497:Z1497"),Настройки!$B$7)),",","."),".",MID(1/2,2,1)),"")</f>
        <v/>
      </c>
      <c r="B1497">
        <f>IFERROR(--SUBSTITUTE(SUBSTITUTE(TRIM(INDEX(INDIRECT("'Выгрузка'!A1497:Z1497"),Настройки!$B$9)),",","."),".",MID(1/2,2,1)),"")</f>
        <v/>
      </c>
      <c r="C1497">
        <f>TRIM(INDEX(INDIRECT("'Выгрузка'!A1497:Z1497"),Настройки!$B$8)&amp;"")</f>
        <v/>
      </c>
      <c r="D1497">
        <f>IFERROR(--SUBSTITUTE(SUBSTITUTE(TRIM(INDEX(INDIRECT("'Выгрузка'!A1497:Z1497"),Настройки!$B$10)),",","."),".",MID(1/2,2,1)),"")</f>
        <v/>
      </c>
      <c r="E1497">
        <f>IFERROR(--SUBSTITUTE(SUBSTITUTE(TRIM(INDEX(INDIRECT("'Выгрузка'!A1497:Z1497"),Настройки!$B$11)),",","."),".",MID(1/2,2,1)),"")</f>
        <v/>
      </c>
      <c r="F1497">
        <f>TRIM(INDEX(INDIRECT("'Выгрузка'!A1497:Z1497"),Настройки!$B$12)&amp;"")</f>
        <v/>
      </c>
      <c r="G1497">
        <f>IF(F1497="",0,IF(TRIM(INDEX(INDIRECT("'Выгрузка'!A1497:Z1497"),Настройки!$B$13)&amp;"")="",1,IFERROR(--SUBSTITUTE(SUBSTITUTE(TRIM(INDEX(INDIRECT("'Выгрузка'!A1497:Z1497"),Настройки!$B$13)),",","."),".",MID(1/2,2,1)),"")))</f>
        <v/>
      </c>
      <c r="H1497">
        <f>IF(F1497="",0,IF(COUNTIF(Настройки!$B$17:$B$26,F1497)&gt;0,1,IF(COUNTIF(Настройки!$C$17:$C$26,F1497)&gt;0,2,IF(COUNTIF(Настройки!$D$17:$D$26,F1497)&gt;0,3,0))))</f>
        <v/>
      </c>
      <c r="I1497">
        <f>IF(AND(ISNUMBER(A1497),ISNUMBER(B1497)),A1497*1000+B1497,"")</f>
        <v/>
      </c>
      <c r="J1497">
        <f>IF(I1497="","",IF(COUNTIF(I$2:I1497,I1497)=1,MAX(J$1:J1496)+1,""))</f>
        <v/>
      </c>
    </row>
    <row r="1498">
      <c r="A1498">
        <f>IFERROR(--SUBSTITUTE(SUBSTITUTE(TRIM(INDEX(INDIRECT("'Выгрузка'!A1498:Z1498"),Настройки!$B$7)),",","."),".",MID(1/2,2,1)),"")</f>
        <v/>
      </c>
      <c r="B1498">
        <f>IFERROR(--SUBSTITUTE(SUBSTITUTE(TRIM(INDEX(INDIRECT("'Выгрузка'!A1498:Z1498"),Настройки!$B$9)),",","."),".",MID(1/2,2,1)),"")</f>
        <v/>
      </c>
      <c r="C1498">
        <f>TRIM(INDEX(INDIRECT("'Выгрузка'!A1498:Z1498"),Настройки!$B$8)&amp;"")</f>
        <v/>
      </c>
      <c r="D1498">
        <f>IFERROR(--SUBSTITUTE(SUBSTITUTE(TRIM(INDEX(INDIRECT("'Выгрузка'!A1498:Z1498"),Настройки!$B$10)),",","."),".",MID(1/2,2,1)),"")</f>
        <v/>
      </c>
      <c r="E1498">
        <f>IFERROR(--SUBSTITUTE(SUBSTITUTE(TRIM(INDEX(INDIRECT("'Выгрузка'!A1498:Z1498"),Настройки!$B$11)),",","."),".",MID(1/2,2,1)),"")</f>
        <v/>
      </c>
      <c r="F1498">
        <f>TRIM(INDEX(INDIRECT("'Выгрузка'!A1498:Z1498"),Настройки!$B$12)&amp;"")</f>
        <v/>
      </c>
      <c r="G1498">
        <f>IF(F1498="",0,IF(TRIM(INDEX(INDIRECT("'Выгрузка'!A1498:Z1498"),Настройки!$B$13)&amp;"")="",1,IFERROR(--SUBSTITUTE(SUBSTITUTE(TRIM(INDEX(INDIRECT("'Выгрузка'!A1498:Z1498"),Настройки!$B$13)),",","."),".",MID(1/2,2,1)),"")))</f>
        <v/>
      </c>
      <c r="H1498">
        <f>IF(F1498="",0,IF(COUNTIF(Настройки!$B$17:$B$26,F1498)&gt;0,1,IF(COUNTIF(Настройки!$C$17:$C$26,F1498)&gt;0,2,IF(COUNTIF(Настройки!$D$17:$D$26,F1498)&gt;0,3,0))))</f>
        <v/>
      </c>
      <c r="I1498">
        <f>IF(AND(ISNUMBER(A1498),ISNUMBER(B1498)),A1498*1000+B1498,"")</f>
        <v/>
      </c>
      <c r="J1498">
        <f>IF(I1498="","",IF(COUNTIF(I$2:I1498,I1498)=1,MAX(J$1:J1497)+1,""))</f>
        <v/>
      </c>
    </row>
    <row r="1499">
      <c r="A1499">
        <f>IFERROR(--SUBSTITUTE(SUBSTITUTE(TRIM(INDEX(INDIRECT("'Выгрузка'!A1499:Z1499"),Настройки!$B$7)),",","."),".",MID(1/2,2,1)),"")</f>
        <v/>
      </c>
      <c r="B1499">
        <f>IFERROR(--SUBSTITUTE(SUBSTITUTE(TRIM(INDEX(INDIRECT("'Выгрузка'!A1499:Z1499"),Настройки!$B$9)),",","."),".",MID(1/2,2,1)),"")</f>
        <v/>
      </c>
      <c r="C1499">
        <f>TRIM(INDEX(INDIRECT("'Выгрузка'!A1499:Z1499"),Настройки!$B$8)&amp;"")</f>
        <v/>
      </c>
      <c r="D1499">
        <f>IFERROR(--SUBSTITUTE(SUBSTITUTE(TRIM(INDEX(INDIRECT("'Выгрузка'!A1499:Z1499"),Настройки!$B$10)),",","."),".",MID(1/2,2,1)),"")</f>
        <v/>
      </c>
      <c r="E1499">
        <f>IFERROR(--SUBSTITUTE(SUBSTITUTE(TRIM(INDEX(INDIRECT("'Выгрузка'!A1499:Z1499"),Настройки!$B$11)),",","."),".",MID(1/2,2,1)),"")</f>
        <v/>
      </c>
      <c r="F1499">
        <f>TRIM(INDEX(INDIRECT("'Выгрузка'!A1499:Z1499"),Настройки!$B$12)&amp;"")</f>
        <v/>
      </c>
      <c r="G1499">
        <f>IF(F1499="",0,IF(TRIM(INDEX(INDIRECT("'Выгрузка'!A1499:Z1499"),Настройки!$B$13)&amp;"")="",1,IFERROR(--SUBSTITUTE(SUBSTITUTE(TRIM(INDEX(INDIRECT("'Выгрузка'!A1499:Z1499"),Настройки!$B$13)),",","."),".",MID(1/2,2,1)),"")))</f>
        <v/>
      </c>
      <c r="H1499">
        <f>IF(F1499="",0,IF(COUNTIF(Настройки!$B$17:$B$26,F1499)&gt;0,1,IF(COUNTIF(Настройки!$C$17:$C$26,F1499)&gt;0,2,IF(COUNTIF(Настройки!$D$17:$D$26,F1499)&gt;0,3,0))))</f>
        <v/>
      </c>
      <c r="I1499">
        <f>IF(AND(ISNUMBER(A1499),ISNUMBER(B1499)),A1499*1000+B1499,"")</f>
        <v/>
      </c>
      <c r="J1499">
        <f>IF(I1499="","",IF(COUNTIF(I$2:I1499,I1499)=1,MAX(J$1:J1498)+1,""))</f>
        <v/>
      </c>
    </row>
    <row r="1500">
      <c r="A1500">
        <f>IFERROR(--SUBSTITUTE(SUBSTITUTE(TRIM(INDEX(INDIRECT("'Выгрузка'!A1500:Z1500"),Настройки!$B$7)),",","."),".",MID(1/2,2,1)),"")</f>
        <v/>
      </c>
      <c r="B1500">
        <f>IFERROR(--SUBSTITUTE(SUBSTITUTE(TRIM(INDEX(INDIRECT("'Выгрузка'!A1500:Z1500"),Настройки!$B$9)),",","."),".",MID(1/2,2,1)),"")</f>
        <v/>
      </c>
      <c r="C1500">
        <f>TRIM(INDEX(INDIRECT("'Выгрузка'!A1500:Z1500"),Настройки!$B$8)&amp;"")</f>
        <v/>
      </c>
      <c r="D1500">
        <f>IFERROR(--SUBSTITUTE(SUBSTITUTE(TRIM(INDEX(INDIRECT("'Выгрузка'!A1500:Z1500"),Настройки!$B$10)),",","."),".",MID(1/2,2,1)),"")</f>
        <v/>
      </c>
      <c r="E1500">
        <f>IFERROR(--SUBSTITUTE(SUBSTITUTE(TRIM(INDEX(INDIRECT("'Выгрузка'!A1500:Z1500"),Настройки!$B$11)),",","."),".",MID(1/2,2,1)),"")</f>
        <v/>
      </c>
      <c r="F1500">
        <f>TRIM(INDEX(INDIRECT("'Выгрузка'!A1500:Z1500"),Настройки!$B$12)&amp;"")</f>
        <v/>
      </c>
      <c r="G1500">
        <f>IF(F1500="",0,IF(TRIM(INDEX(INDIRECT("'Выгрузка'!A1500:Z1500"),Настройки!$B$13)&amp;"")="",1,IFERROR(--SUBSTITUTE(SUBSTITUTE(TRIM(INDEX(INDIRECT("'Выгрузка'!A1500:Z1500"),Настройки!$B$13)),",","."),".",MID(1/2,2,1)),"")))</f>
        <v/>
      </c>
      <c r="H1500">
        <f>IF(F1500="",0,IF(COUNTIF(Настройки!$B$17:$B$26,F1500)&gt;0,1,IF(COUNTIF(Настройки!$C$17:$C$26,F1500)&gt;0,2,IF(COUNTIF(Настройки!$D$17:$D$26,F1500)&gt;0,3,0))))</f>
        <v/>
      </c>
      <c r="I1500">
        <f>IF(AND(ISNUMBER(A1500),ISNUMBER(B1500)),A1500*1000+B1500,"")</f>
        <v/>
      </c>
      <c r="J1500">
        <f>IF(I1500="","",IF(COUNTIF(I$2:I1500,I1500)=1,MAX(J$1:J1499)+1,""))</f>
        <v/>
      </c>
    </row>
    <row r="1501">
      <c r="A1501">
        <f>IFERROR(--SUBSTITUTE(SUBSTITUTE(TRIM(INDEX(INDIRECT("'Выгрузка'!A1501:Z1501"),Настройки!$B$7)),",","."),".",MID(1/2,2,1)),"")</f>
        <v/>
      </c>
      <c r="B1501">
        <f>IFERROR(--SUBSTITUTE(SUBSTITUTE(TRIM(INDEX(INDIRECT("'Выгрузка'!A1501:Z1501"),Настройки!$B$9)),",","."),".",MID(1/2,2,1)),"")</f>
        <v/>
      </c>
      <c r="C1501">
        <f>TRIM(INDEX(INDIRECT("'Выгрузка'!A1501:Z1501"),Настройки!$B$8)&amp;"")</f>
        <v/>
      </c>
      <c r="D1501">
        <f>IFERROR(--SUBSTITUTE(SUBSTITUTE(TRIM(INDEX(INDIRECT("'Выгрузка'!A1501:Z1501"),Настройки!$B$10)),",","."),".",MID(1/2,2,1)),"")</f>
        <v/>
      </c>
      <c r="E1501">
        <f>IFERROR(--SUBSTITUTE(SUBSTITUTE(TRIM(INDEX(INDIRECT("'Выгрузка'!A1501:Z1501"),Настройки!$B$11)),",","."),".",MID(1/2,2,1)),"")</f>
        <v/>
      </c>
      <c r="F1501">
        <f>TRIM(INDEX(INDIRECT("'Выгрузка'!A1501:Z1501"),Настройки!$B$12)&amp;"")</f>
        <v/>
      </c>
      <c r="G1501">
        <f>IF(F1501="",0,IF(TRIM(INDEX(INDIRECT("'Выгрузка'!A1501:Z1501"),Настройки!$B$13)&amp;"")="",1,IFERROR(--SUBSTITUTE(SUBSTITUTE(TRIM(INDEX(INDIRECT("'Выгрузка'!A1501:Z1501"),Настройки!$B$13)),",","."),".",MID(1/2,2,1)),"")))</f>
        <v/>
      </c>
      <c r="H1501">
        <f>IF(F1501="",0,IF(COUNTIF(Настройки!$B$17:$B$26,F1501)&gt;0,1,IF(COUNTIF(Настройки!$C$17:$C$26,F1501)&gt;0,2,IF(COUNTIF(Настройки!$D$17:$D$26,F1501)&gt;0,3,0))))</f>
        <v/>
      </c>
      <c r="I1501">
        <f>IF(AND(ISNUMBER(A1501),ISNUMBER(B1501)),A1501*1000+B1501,"")</f>
        <v/>
      </c>
      <c r="J1501">
        <f>IF(I1501="","",IF(COUNTIF(I$2:I1501,I1501)=1,MAX(J$1:J1500)+1,""))</f>
        <v/>
      </c>
    </row>
    <row r="1502">
      <c r="A1502">
        <f>IFERROR(--SUBSTITUTE(SUBSTITUTE(TRIM(INDEX(INDIRECT("'Выгрузка'!A1502:Z1502"),Настройки!$B$7)),",","."),".",MID(1/2,2,1)),"")</f>
        <v/>
      </c>
      <c r="B1502">
        <f>IFERROR(--SUBSTITUTE(SUBSTITUTE(TRIM(INDEX(INDIRECT("'Выгрузка'!A1502:Z1502"),Настройки!$B$9)),",","."),".",MID(1/2,2,1)),"")</f>
        <v/>
      </c>
      <c r="C1502">
        <f>TRIM(INDEX(INDIRECT("'Выгрузка'!A1502:Z1502"),Настройки!$B$8)&amp;"")</f>
        <v/>
      </c>
      <c r="D1502">
        <f>IFERROR(--SUBSTITUTE(SUBSTITUTE(TRIM(INDEX(INDIRECT("'Выгрузка'!A1502:Z1502"),Настройки!$B$10)),",","."),".",MID(1/2,2,1)),"")</f>
        <v/>
      </c>
      <c r="E1502">
        <f>IFERROR(--SUBSTITUTE(SUBSTITUTE(TRIM(INDEX(INDIRECT("'Выгрузка'!A1502:Z1502"),Настройки!$B$11)),",","."),".",MID(1/2,2,1)),"")</f>
        <v/>
      </c>
      <c r="F1502">
        <f>TRIM(INDEX(INDIRECT("'Выгрузка'!A1502:Z1502"),Настройки!$B$12)&amp;"")</f>
        <v/>
      </c>
      <c r="G1502">
        <f>IF(F1502="",0,IF(TRIM(INDEX(INDIRECT("'Выгрузка'!A1502:Z1502"),Настройки!$B$13)&amp;"")="",1,IFERROR(--SUBSTITUTE(SUBSTITUTE(TRIM(INDEX(INDIRECT("'Выгрузка'!A1502:Z1502"),Настройки!$B$13)),",","."),".",MID(1/2,2,1)),"")))</f>
        <v/>
      </c>
      <c r="H1502">
        <f>IF(F1502="",0,IF(COUNTIF(Настройки!$B$17:$B$26,F1502)&gt;0,1,IF(COUNTIF(Настройки!$C$17:$C$26,F1502)&gt;0,2,IF(COUNTIF(Настройки!$D$17:$D$26,F1502)&gt;0,3,0))))</f>
        <v/>
      </c>
      <c r="I1502">
        <f>IF(AND(ISNUMBER(A1502),ISNUMBER(B1502)),A1502*1000+B1502,"")</f>
        <v/>
      </c>
      <c r="J1502">
        <f>IF(I1502="","",IF(COUNTIF(I$2:I1502,I1502)=1,MAX(J$1:J1501)+1,""))</f>
        <v/>
      </c>
    </row>
    <row r="1503">
      <c r="A1503">
        <f>IFERROR(--SUBSTITUTE(SUBSTITUTE(TRIM(INDEX(INDIRECT("'Выгрузка'!A1503:Z1503"),Настройки!$B$7)),",","."),".",MID(1/2,2,1)),"")</f>
        <v/>
      </c>
      <c r="B1503">
        <f>IFERROR(--SUBSTITUTE(SUBSTITUTE(TRIM(INDEX(INDIRECT("'Выгрузка'!A1503:Z1503"),Настройки!$B$9)),",","."),".",MID(1/2,2,1)),"")</f>
        <v/>
      </c>
      <c r="C1503">
        <f>TRIM(INDEX(INDIRECT("'Выгрузка'!A1503:Z1503"),Настройки!$B$8)&amp;"")</f>
        <v/>
      </c>
      <c r="D1503">
        <f>IFERROR(--SUBSTITUTE(SUBSTITUTE(TRIM(INDEX(INDIRECT("'Выгрузка'!A1503:Z1503"),Настройки!$B$10)),",","."),".",MID(1/2,2,1)),"")</f>
        <v/>
      </c>
      <c r="E1503">
        <f>IFERROR(--SUBSTITUTE(SUBSTITUTE(TRIM(INDEX(INDIRECT("'Выгрузка'!A1503:Z1503"),Настройки!$B$11)),",","."),".",MID(1/2,2,1)),"")</f>
        <v/>
      </c>
      <c r="F1503">
        <f>TRIM(INDEX(INDIRECT("'Выгрузка'!A1503:Z1503"),Настройки!$B$12)&amp;"")</f>
        <v/>
      </c>
      <c r="G1503">
        <f>IF(F1503="",0,IF(TRIM(INDEX(INDIRECT("'Выгрузка'!A1503:Z1503"),Настройки!$B$13)&amp;"")="",1,IFERROR(--SUBSTITUTE(SUBSTITUTE(TRIM(INDEX(INDIRECT("'Выгрузка'!A1503:Z1503"),Настройки!$B$13)),",","."),".",MID(1/2,2,1)),"")))</f>
        <v/>
      </c>
      <c r="H1503">
        <f>IF(F1503="",0,IF(COUNTIF(Настройки!$B$17:$B$26,F1503)&gt;0,1,IF(COUNTIF(Настройки!$C$17:$C$26,F1503)&gt;0,2,IF(COUNTIF(Настройки!$D$17:$D$26,F1503)&gt;0,3,0))))</f>
        <v/>
      </c>
      <c r="I1503">
        <f>IF(AND(ISNUMBER(A1503),ISNUMBER(B1503)),A1503*1000+B1503,"")</f>
        <v/>
      </c>
      <c r="J1503">
        <f>IF(I1503="","",IF(COUNTIF(I$2:I1503,I1503)=1,MAX(J$1:J1502)+1,""))</f>
        <v/>
      </c>
    </row>
    <row r="1504">
      <c r="A1504">
        <f>IFERROR(--SUBSTITUTE(SUBSTITUTE(TRIM(INDEX(INDIRECT("'Выгрузка'!A1504:Z1504"),Настройки!$B$7)),",","."),".",MID(1/2,2,1)),"")</f>
        <v/>
      </c>
      <c r="B1504">
        <f>IFERROR(--SUBSTITUTE(SUBSTITUTE(TRIM(INDEX(INDIRECT("'Выгрузка'!A1504:Z1504"),Настройки!$B$9)),",","."),".",MID(1/2,2,1)),"")</f>
        <v/>
      </c>
      <c r="C1504">
        <f>TRIM(INDEX(INDIRECT("'Выгрузка'!A1504:Z1504"),Настройки!$B$8)&amp;"")</f>
        <v/>
      </c>
      <c r="D1504">
        <f>IFERROR(--SUBSTITUTE(SUBSTITUTE(TRIM(INDEX(INDIRECT("'Выгрузка'!A1504:Z1504"),Настройки!$B$10)),",","."),".",MID(1/2,2,1)),"")</f>
        <v/>
      </c>
      <c r="E1504">
        <f>IFERROR(--SUBSTITUTE(SUBSTITUTE(TRIM(INDEX(INDIRECT("'Выгрузка'!A1504:Z1504"),Настройки!$B$11)),",","."),".",MID(1/2,2,1)),"")</f>
        <v/>
      </c>
      <c r="F1504">
        <f>TRIM(INDEX(INDIRECT("'Выгрузка'!A1504:Z1504"),Настройки!$B$12)&amp;"")</f>
        <v/>
      </c>
      <c r="G1504">
        <f>IF(F1504="",0,IF(TRIM(INDEX(INDIRECT("'Выгрузка'!A1504:Z1504"),Настройки!$B$13)&amp;"")="",1,IFERROR(--SUBSTITUTE(SUBSTITUTE(TRIM(INDEX(INDIRECT("'Выгрузка'!A1504:Z1504"),Настройки!$B$13)),",","."),".",MID(1/2,2,1)),"")))</f>
        <v/>
      </c>
      <c r="H1504">
        <f>IF(F1504="",0,IF(COUNTIF(Настройки!$B$17:$B$26,F1504)&gt;0,1,IF(COUNTIF(Настройки!$C$17:$C$26,F1504)&gt;0,2,IF(COUNTIF(Настройки!$D$17:$D$26,F1504)&gt;0,3,0))))</f>
        <v/>
      </c>
      <c r="I1504">
        <f>IF(AND(ISNUMBER(A1504),ISNUMBER(B1504)),A1504*1000+B1504,"")</f>
        <v/>
      </c>
      <c r="J1504">
        <f>IF(I1504="","",IF(COUNTIF(I$2:I1504,I1504)=1,MAX(J$1:J1503)+1,""))</f>
        <v/>
      </c>
    </row>
    <row r="1505">
      <c r="A1505">
        <f>IFERROR(--SUBSTITUTE(SUBSTITUTE(TRIM(INDEX(INDIRECT("'Выгрузка'!A1505:Z1505"),Настройки!$B$7)),",","."),".",MID(1/2,2,1)),"")</f>
        <v/>
      </c>
      <c r="B1505">
        <f>IFERROR(--SUBSTITUTE(SUBSTITUTE(TRIM(INDEX(INDIRECT("'Выгрузка'!A1505:Z1505"),Настройки!$B$9)),",","."),".",MID(1/2,2,1)),"")</f>
        <v/>
      </c>
      <c r="C1505">
        <f>TRIM(INDEX(INDIRECT("'Выгрузка'!A1505:Z1505"),Настройки!$B$8)&amp;"")</f>
        <v/>
      </c>
      <c r="D1505">
        <f>IFERROR(--SUBSTITUTE(SUBSTITUTE(TRIM(INDEX(INDIRECT("'Выгрузка'!A1505:Z1505"),Настройки!$B$10)),",","."),".",MID(1/2,2,1)),"")</f>
        <v/>
      </c>
      <c r="E1505">
        <f>IFERROR(--SUBSTITUTE(SUBSTITUTE(TRIM(INDEX(INDIRECT("'Выгрузка'!A1505:Z1505"),Настройки!$B$11)),",","."),".",MID(1/2,2,1)),"")</f>
        <v/>
      </c>
      <c r="F1505">
        <f>TRIM(INDEX(INDIRECT("'Выгрузка'!A1505:Z1505"),Настройки!$B$12)&amp;"")</f>
        <v/>
      </c>
      <c r="G1505">
        <f>IF(F1505="",0,IF(TRIM(INDEX(INDIRECT("'Выгрузка'!A1505:Z1505"),Настройки!$B$13)&amp;"")="",1,IFERROR(--SUBSTITUTE(SUBSTITUTE(TRIM(INDEX(INDIRECT("'Выгрузка'!A1505:Z1505"),Настройки!$B$13)),",","."),".",MID(1/2,2,1)),"")))</f>
        <v/>
      </c>
      <c r="H1505">
        <f>IF(F1505="",0,IF(COUNTIF(Настройки!$B$17:$B$26,F1505)&gt;0,1,IF(COUNTIF(Настройки!$C$17:$C$26,F1505)&gt;0,2,IF(COUNTIF(Настройки!$D$17:$D$26,F1505)&gt;0,3,0))))</f>
        <v/>
      </c>
      <c r="I1505">
        <f>IF(AND(ISNUMBER(A1505),ISNUMBER(B1505)),A1505*1000+B1505,"")</f>
        <v/>
      </c>
      <c r="J1505">
        <f>IF(I1505="","",IF(COUNTIF(I$2:I1505,I1505)=1,MAX(J$1:J1504)+1,""))</f>
        <v/>
      </c>
    </row>
    <row r="1506">
      <c r="A1506">
        <f>IFERROR(--SUBSTITUTE(SUBSTITUTE(TRIM(INDEX(INDIRECT("'Выгрузка'!A1506:Z1506"),Настройки!$B$7)),",","."),".",MID(1/2,2,1)),"")</f>
        <v/>
      </c>
      <c r="B1506">
        <f>IFERROR(--SUBSTITUTE(SUBSTITUTE(TRIM(INDEX(INDIRECT("'Выгрузка'!A1506:Z1506"),Настройки!$B$9)),",","."),".",MID(1/2,2,1)),"")</f>
        <v/>
      </c>
      <c r="C1506">
        <f>TRIM(INDEX(INDIRECT("'Выгрузка'!A1506:Z1506"),Настройки!$B$8)&amp;"")</f>
        <v/>
      </c>
      <c r="D1506">
        <f>IFERROR(--SUBSTITUTE(SUBSTITUTE(TRIM(INDEX(INDIRECT("'Выгрузка'!A1506:Z1506"),Настройки!$B$10)),",","."),".",MID(1/2,2,1)),"")</f>
        <v/>
      </c>
      <c r="E1506">
        <f>IFERROR(--SUBSTITUTE(SUBSTITUTE(TRIM(INDEX(INDIRECT("'Выгрузка'!A1506:Z1506"),Настройки!$B$11)),",","."),".",MID(1/2,2,1)),"")</f>
        <v/>
      </c>
      <c r="F1506">
        <f>TRIM(INDEX(INDIRECT("'Выгрузка'!A1506:Z1506"),Настройки!$B$12)&amp;"")</f>
        <v/>
      </c>
      <c r="G1506">
        <f>IF(F1506="",0,IF(TRIM(INDEX(INDIRECT("'Выгрузка'!A1506:Z1506"),Настройки!$B$13)&amp;"")="",1,IFERROR(--SUBSTITUTE(SUBSTITUTE(TRIM(INDEX(INDIRECT("'Выгрузка'!A1506:Z1506"),Настройки!$B$13)),",","."),".",MID(1/2,2,1)),"")))</f>
        <v/>
      </c>
      <c r="H1506">
        <f>IF(F1506="",0,IF(COUNTIF(Настройки!$B$17:$B$26,F1506)&gt;0,1,IF(COUNTIF(Настройки!$C$17:$C$26,F1506)&gt;0,2,IF(COUNTIF(Настройки!$D$17:$D$26,F1506)&gt;0,3,0))))</f>
        <v/>
      </c>
      <c r="I1506">
        <f>IF(AND(ISNUMBER(A1506),ISNUMBER(B1506)),A1506*1000+B1506,"")</f>
        <v/>
      </c>
      <c r="J1506">
        <f>IF(I1506="","",IF(COUNTIF(I$2:I1506,I1506)=1,MAX(J$1:J1505)+1,""))</f>
        <v/>
      </c>
    </row>
    <row r="1507">
      <c r="A1507">
        <f>IFERROR(--SUBSTITUTE(SUBSTITUTE(TRIM(INDEX(INDIRECT("'Выгрузка'!A1507:Z1507"),Настройки!$B$7)),",","."),".",MID(1/2,2,1)),"")</f>
        <v/>
      </c>
      <c r="B1507">
        <f>IFERROR(--SUBSTITUTE(SUBSTITUTE(TRIM(INDEX(INDIRECT("'Выгрузка'!A1507:Z1507"),Настройки!$B$9)),",","."),".",MID(1/2,2,1)),"")</f>
        <v/>
      </c>
      <c r="C1507">
        <f>TRIM(INDEX(INDIRECT("'Выгрузка'!A1507:Z1507"),Настройки!$B$8)&amp;"")</f>
        <v/>
      </c>
      <c r="D1507">
        <f>IFERROR(--SUBSTITUTE(SUBSTITUTE(TRIM(INDEX(INDIRECT("'Выгрузка'!A1507:Z1507"),Настройки!$B$10)),",","."),".",MID(1/2,2,1)),"")</f>
        <v/>
      </c>
      <c r="E1507">
        <f>IFERROR(--SUBSTITUTE(SUBSTITUTE(TRIM(INDEX(INDIRECT("'Выгрузка'!A1507:Z1507"),Настройки!$B$11)),",","."),".",MID(1/2,2,1)),"")</f>
        <v/>
      </c>
      <c r="F1507">
        <f>TRIM(INDEX(INDIRECT("'Выгрузка'!A1507:Z1507"),Настройки!$B$12)&amp;"")</f>
        <v/>
      </c>
      <c r="G1507">
        <f>IF(F1507="",0,IF(TRIM(INDEX(INDIRECT("'Выгрузка'!A1507:Z1507"),Настройки!$B$13)&amp;"")="",1,IFERROR(--SUBSTITUTE(SUBSTITUTE(TRIM(INDEX(INDIRECT("'Выгрузка'!A1507:Z1507"),Настройки!$B$13)),",","."),".",MID(1/2,2,1)),"")))</f>
        <v/>
      </c>
      <c r="H1507">
        <f>IF(F1507="",0,IF(COUNTIF(Настройки!$B$17:$B$26,F1507)&gt;0,1,IF(COUNTIF(Настройки!$C$17:$C$26,F1507)&gt;0,2,IF(COUNTIF(Настройки!$D$17:$D$26,F1507)&gt;0,3,0))))</f>
        <v/>
      </c>
      <c r="I1507">
        <f>IF(AND(ISNUMBER(A1507),ISNUMBER(B1507)),A1507*1000+B1507,"")</f>
        <v/>
      </c>
      <c r="J1507">
        <f>IF(I1507="","",IF(COUNTIF(I$2:I1507,I1507)=1,MAX(J$1:J1506)+1,""))</f>
        <v/>
      </c>
    </row>
    <row r="1508">
      <c r="A1508">
        <f>IFERROR(--SUBSTITUTE(SUBSTITUTE(TRIM(INDEX(INDIRECT("'Выгрузка'!A1508:Z1508"),Настройки!$B$7)),",","."),".",MID(1/2,2,1)),"")</f>
        <v/>
      </c>
      <c r="B1508">
        <f>IFERROR(--SUBSTITUTE(SUBSTITUTE(TRIM(INDEX(INDIRECT("'Выгрузка'!A1508:Z1508"),Настройки!$B$9)),",","."),".",MID(1/2,2,1)),"")</f>
        <v/>
      </c>
      <c r="C1508">
        <f>TRIM(INDEX(INDIRECT("'Выгрузка'!A1508:Z1508"),Настройки!$B$8)&amp;"")</f>
        <v/>
      </c>
      <c r="D1508">
        <f>IFERROR(--SUBSTITUTE(SUBSTITUTE(TRIM(INDEX(INDIRECT("'Выгрузка'!A1508:Z1508"),Настройки!$B$10)),",","."),".",MID(1/2,2,1)),"")</f>
        <v/>
      </c>
      <c r="E1508">
        <f>IFERROR(--SUBSTITUTE(SUBSTITUTE(TRIM(INDEX(INDIRECT("'Выгрузка'!A1508:Z1508"),Настройки!$B$11)),",","."),".",MID(1/2,2,1)),"")</f>
        <v/>
      </c>
      <c r="F1508">
        <f>TRIM(INDEX(INDIRECT("'Выгрузка'!A1508:Z1508"),Настройки!$B$12)&amp;"")</f>
        <v/>
      </c>
      <c r="G1508">
        <f>IF(F1508="",0,IF(TRIM(INDEX(INDIRECT("'Выгрузка'!A1508:Z1508"),Настройки!$B$13)&amp;"")="",1,IFERROR(--SUBSTITUTE(SUBSTITUTE(TRIM(INDEX(INDIRECT("'Выгрузка'!A1508:Z1508"),Настройки!$B$13)),",","."),".",MID(1/2,2,1)),"")))</f>
        <v/>
      </c>
      <c r="H1508">
        <f>IF(F1508="",0,IF(COUNTIF(Настройки!$B$17:$B$26,F1508)&gt;0,1,IF(COUNTIF(Настройки!$C$17:$C$26,F1508)&gt;0,2,IF(COUNTIF(Настройки!$D$17:$D$26,F1508)&gt;0,3,0))))</f>
        <v/>
      </c>
      <c r="I1508">
        <f>IF(AND(ISNUMBER(A1508),ISNUMBER(B1508)),A1508*1000+B1508,"")</f>
        <v/>
      </c>
      <c r="J1508">
        <f>IF(I1508="","",IF(COUNTIF(I$2:I1508,I1508)=1,MAX(J$1:J1507)+1,""))</f>
        <v/>
      </c>
    </row>
    <row r="1509">
      <c r="A1509">
        <f>IFERROR(--SUBSTITUTE(SUBSTITUTE(TRIM(INDEX(INDIRECT("'Выгрузка'!A1509:Z1509"),Настройки!$B$7)),",","."),".",MID(1/2,2,1)),"")</f>
        <v/>
      </c>
      <c r="B1509">
        <f>IFERROR(--SUBSTITUTE(SUBSTITUTE(TRIM(INDEX(INDIRECT("'Выгрузка'!A1509:Z1509"),Настройки!$B$9)),",","."),".",MID(1/2,2,1)),"")</f>
        <v/>
      </c>
      <c r="C1509">
        <f>TRIM(INDEX(INDIRECT("'Выгрузка'!A1509:Z1509"),Настройки!$B$8)&amp;"")</f>
        <v/>
      </c>
      <c r="D1509">
        <f>IFERROR(--SUBSTITUTE(SUBSTITUTE(TRIM(INDEX(INDIRECT("'Выгрузка'!A1509:Z1509"),Настройки!$B$10)),",","."),".",MID(1/2,2,1)),"")</f>
        <v/>
      </c>
      <c r="E1509">
        <f>IFERROR(--SUBSTITUTE(SUBSTITUTE(TRIM(INDEX(INDIRECT("'Выгрузка'!A1509:Z1509"),Настройки!$B$11)),",","."),".",MID(1/2,2,1)),"")</f>
        <v/>
      </c>
      <c r="F1509">
        <f>TRIM(INDEX(INDIRECT("'Выгрузка'!A1509:Z1509"),Настройки!$B$12)&amp;"")</f>
        <v/>
      </c>
      <c r="G1509">
        <f>IF(F1509="",0,IF(TRIM(INDEX(INDIRECT("'Выгрузка'!A1509:Z1509"),Настройки!$B$13)&amp;"")="",1,IFERROR(--SUBSTITUTE(SUBSTITUTE(TRIM(INDEX(INDIRECT("'Выгрузка'!A1509:Z1509"),Настройки!$B$13)),",","."),".",MID(1/2,2,1)),"")))</f>
        <v/>
      </c>
      <c r="H1509">
        <f>IF(F1509="",0,IF(COUNTIF(Настройки!$B$17:$B$26,F1509)&gt;0,1,IF(COUNTIF(Настройки!$C$17:$C$26,F1509)&gt;0,2,IF(COUNTIF(Настройки!$D$17:$D$26,F1509)&gt;0,3,0))))</f>
        <v/>
      </c>
      <c r="I1509">
        <f>IF(AND(ISNUMBER(A1509),ISNUMBER(B1509)),A1509*1000+B1509,"")</f>
        <v/>
      </c>
      <c r="J1509">
        <f>IF(I1509="","",IF(COUNTIF(I$2:I1509,I1509)=1,MAX(J$1:J1508)+1,""))</f>
        <v/>
      </c>
    </row>
    <row r="1510">
      <c r="A1510">
        <f>IFERROR(--SUBSTITUTE(SUBSTITUTE(TRIM(INDEX(INDIRECT("'Выгрузка'!A1510:Z1510"),Настройки!$B$7)),",","."),".",MID(1/2,2,1)),"")</f>
        <v/>
      </c>
      <c r="B1510">
        <f>IFERROR(--SUBSTITUTE(SUBSTITUTE(TRIM(INDEX(INDIRECT("'Выгрузка'!A1510:Z1510"),Настройки!$B$9)),",","."),".",MID(1/2,2,1)),"")</f>
        <v/>
      </c>
      <c r="C1510">
        <f>TRIM(INDEX(INDIRECT("'Выгрузка'!A1510:Z1510"),Настройки!$B$8)&amp;"")</f>
        <v/>
      </c>
      <c r="D1510">
        <f>IFERROR(--SUBSTITUTE(SUBSTITUTE(TRIM(INDEX(INDIRECT("'Выгрузка'!A1510:Z1510"),Настройки!$B$10)),",","."),".",MID(1/2,2,1)),"")</f>
        <v/>
      </c>
      <c r="E1510">
        <f>IFERROR(--SUBSTITUTE(SUBSTITUTE(TRIM(INDEX(INDIRECT("'Выгрузка'!A1510:Z1510"),Настройки!$B$11)),",","."),".",MID(1/2,2,1)),"")</f>
        <v/>
      </c>
      <c r="F1510">
        <f>TRIM(INDEX(INDIRECT("'Выгрузка'!A1510:Z1510"),Настройки!$B$12)&amp;"")</f>
        <v/>
      </c>
      <c r="G1510">
        <f>IF(F1510="",0,IF(TRIM(INDEX(INDIRECT("'Выгрузка'!A1510:Z1510"),Настройки!$B$13)&amp;"")="",1,IFERROR(--SUBSTITUTE(SUBSTITUTE(TRIM(INDEX(INDIRECT("'Выгрузка'!A1510:Z1510"),Настройки!$B$13)),",","."),".",MID(1/2,2,1)),"")))</f>
        <v/>
      </c>
      <c r="H1510">
        <f>IF(F1510="",0,IF(COUNTIF(Настройки!$B$17:$B$26,F1510)&gt;0,1,IF(COUNTIF(Настройки!$C$17:$C$26,F1510)&gt;0,2,IF(COUNTIF(Настройки!$D$17:$D$26,F1510)&gt;0,3,0))))</f>
        <v/>
      </c>
      <c r="I1510">
        <f>IF(AND(ISNUMBER(A1510),ISNUMBER(B1510)),A1510*1000+B1510,"")</f>
        <v/>
      </c>
      <c r="J1510">
        <f>IF(I1510="","",IF(COUNTIF(I$2:I1510,I1510)=1,MAX(J$1:J1509)+1,""))</f>
        <v/>
      </c>
    </row>
    <row r="1511">
      <c r="A1511">
        <f>IFERROR(--SUBSTITUTE(SUBSTITUTE(TRIM(INDEX(INDIRECT("'Выгрузка'!A1511:Z1511"),Настройки!$B$7)),",","."),".",MID(1/2,2,1)),"")</f>
        <v/>
      </c>
      <c r="B1511">
        <f>IFERROR(--SUBSTITUTE(SUBSTITUTE(TRIM(INDEX(INDIRECT("'Выгрузка'!A1511:Z1511"),Настройки!$B$9)),",","."),".",MID(1/2,2,1)),"")</f>
        <v/>
      </c>
      <c r="C1511">
        <f>TRIM(INDEX(INDIRECT("'Выгрузка'!A1511:Z1511"),Настройки!$B$8)&amp;"")</f>
        <v/>
      </c>
      <c r="D1511">
        <f>IFERROR(--SUBSTITUTE(SUBSTITUTE(TRIM(INDEX(INDIRECT("'Выгрузка'!A1511:Z1511"),Настройки!$B$10)),",","."),".",MID(1/2,2,1)),"")</f>
        <v/>
      </c>
      <c r="E1511">
        <f>IFERROR(--SUBSTITUTE(SUBSTITUTE(TRIM(INDEX(INDIRECT("'Выгрузка'!A1511:Z1511"),Настройки!$B$11)),",","."),".",MID(1/2,2,1)),"")</f>
        <v/>
      </c>
      <c r="F1511">
        <f>TRIM(INDEX(INDIRECT("'Выгрузка'!A1511:Z1511"),Настройки!$B$12)&amp;"")</f>
        <v/>
      </c>
      <c r="G1511">
        <f>IF(F1511="",0,IF(TRIM(INDEX(INDIRECT("'Выгрузка'!A1511:Z1511"),Настройки!$B$13)&amp;"")="",1,IFERROR(--SUBSTITUTE(SUBSTITUTE(TRIM(INDEX(INDIRECT("'Выгрузка'!A1511:Z1511"),Настройки!$B$13)),",","."),".",MID(1/2,2,1)),"")))</f>
        <v/>
      </c>
      <c r="H1511">
        <f>IF(F1511="",0,IF(COUNTIF(Настройки!$B$17:$B$26,F1511)&gt;0,1,IF(COUNTIF(Настройки!$C$17:$C$26,F1511)&gt;0,2,IF(COUNTIF(Настройки!$D$17:$D$26,F1511)&gt;0,3,0))))</f>
        <v/>
      </c>
      <c r="I1511">
        <f>IF(AND(ISNUMBER(A1511),ISNUMBER(B1511)),A1511*1000+B1511,"")</f>
        <v/>
      </c>
      <c r="J1511">
        <f>IF(I1511="","",IF(COUNTIF(I$2:I1511,I1511)=1,MAX(J$1:J1510)+1,""))</f>
        <v/>
      </c>
    </row>
    <row r="1512">
      <c r="A1512">
        <f>IFERROR(--SUBSTITUTE(SUBSTITUTE(TRIM(INDEX(INDIRECT("'Выгрузка'!A1512:Z1512"),Настройки!$B$7)),",","."),".",MID(1/2,2,1)),"")</f>
        <v/>
      </c>
      <c r="B1512">
        <f>IFERROR(--SUBSTITUTE(SUBSTITUTE(TRIM(INDEX(INDIRECT("'Выгрузка'!A1512:Z1512"),Настройки!$B$9)),",","."),".",MID(1/2,2,1)),"")</f>
        <v/>
      </c>
      <c r="C1512">
        <f>TRIM(INDEX(INDIRECT("'Выгрузка'!A1512:Z1512"),Настройки!$B$8)&amp;"")</f>
        <v/>
      </c>
      <c r="D1512">
        <f>IFERROR(--SUBSTITUTE(SUBSTITUTE(TRIM(INDEX(INDIRECT("'Выгрузка'!A1512:Z1512"),Настройки!$B$10)),",","."),".",MID(1/2,2,1)),"")</f>
        <v/>
      </c>
      <c r="E1512">
        <f>IFERROR(--SUBSTITUTE(SUBSTITUTE(TRIM(INDEX(INDIRECT("'Выгрузка'!A1512:Z1512"),Настройки!$B$11)),",","."),".",MID(1/2,2,1)),"")</f>
        <v/>
      </c>
      <c r="F1512">
        <f>TRIM(INDEX(INDIRECT("'Выгрузка'!A1512:Z1512"),Настройки!$B$12)&amp;"")</f>
        <v/>
      </c>
      <c r="G1512">
        <f>IF(F1512="",0,IF(TRIM(INDEX(INDIRECT("'Выгрузка'!A1512:Z1512"),Настройки!$B$13)&amp;"")="",1,IFERROR(--SUBSTITUTE(SUBSTITUTE(TRIM(INDEX(INDIRECT("'Выгрузка'!A1512:Z1512"),Настройки!$B$13)),",","."),".",MID(1/2,2,1)),"")))</f>
        <v/>
      </c>
      <c r="H1512">
        <f>IF(F1512="",0,IF(COUNTIF(Настройки!$B$17:$B$26,F1512)&gt;0,1,IF(COUNTIF(Настройки!$C$17:$C$26,F1512)&gt;0,2,IF(COUNTIF(Настройки!$D$17:$D$26,F1512)&gt;0,3,0))))</f>
        <v/>
      </c>
      <c r="I1512">
        <f>IF(AND(ISNUMBER(A1512),ISNUMBER(B1512)),A1512*1000+B1512,"")</f>
        <v/>
      </c>
      <c r="J1512">
        <f>IF(I1512="","",IF(COUNTIF(I$2:I1512,I1512)=1,MAX(J$1:J1511)+1,""))</f>
        <v/>
      </c>
    </row>
    <row r="1513">
      <c r="A1513">
        <f>IFERROR(--SUBSTITUTE(SUBSTITUTE(TRIM(INDEX(INDIRECT("'Выгрузка'!A1513:Z1513"),Настройки!$B$7)),",","."),".",MID(1/2,2,1)),"")</f>
        <v/>
      </c>
      <c r="B1513">
        <f>IFERROR(--SUBSTITUTE(SUBSTITUTE(TRIM(INDEX(INDIRECT("'Выгрузка'!A1513:Z1513"),Настройки!$B$9)),",","."),".",MID(1/2,2,1)),"")</f>
        <v/>
      </c>
      <c r="C1513">
        <f>TRIM(INDEX(INDIRECT("'Выгрузка'!A1513:Z1513"),Настройки!$B$8)&amp;"")</f>
        <v/>
      </c>
      <c r="D1513">
        <f>IFERROR(--SUBSTITUTE(SUBSTITUTE(TRIM(INDEX(INDIRECT("'Выгрузка'!A1513:Z1513"),Настройки!$B$10)),",","."),".",MID(1/2,2,1)),"")</f>
        <v/>
      </c>
      <c r="E1513">
        <f>IFERROR(--SUBSTITUTE(SUBSTITUTE(TRIM(INDEX(INDIRECT("'Выгрузка'!A1513:Z1513"),Настройки!$B$11)),",","."),".",MID(1/2,2,1)),"")</f>
        <v/>
      </c>
      <c r="F1513">
        <f>TRIM(INDEX(INDIRECT("'Выгрузка'!A1513:Z1513"),Настройки!$B$12)&amp;"")</f>
        <v/>
      </c>
      <c r="G1513">
        <f>IF(F1513="",0,IF(TRIM(INDEX(INDIRECT("'Выгрузка'!A1513:Z1513"),Настройки!$B$13)&amp;"")="",1,IFERROR(--SUBSTITUTE(SUBSTITUTE(TRIM(INDEX(INDIRECT("'Выгрузка'!A1513:Z1513"),Настройки!$B$13)),",","."),".",MID(1/2,2,1)),"")))</f>
        <v/>
      </c>
      <c r="H1513">
        <f>IF(F1513="",0,IF(COUNTIF(Настройки!$B$17:$B$26,F1513)&gt;0,1,IF(COUNTIF(Настройки!$C$17:$C$26,F1513)&gt;0,2,IF(COUNTIF(Настройки!$D$17:$D$26,F1513)&gt;0,3,0))))</f>
        <v/>
      </c>
      <c r="I1513">
        <f>IF(AND(ISNUMBER(A1513),ISNUMBER(B1513)),A1513*1000+B1513,"")</f>
        <v/>
      </c>
      <c r="J1513">
        <f>IF(I1513="","",IF(COUNTIF(I$2:I1513,I1513)=1,MAX(J$1:J1512)+1,""))</f>
        <v/>
      </c>
    </row>
    <row r="1514">
      <c r="A1514">
        <f>IFERROR(--SUBSTITUTE(SUBSTITUTE(TRIM(INDEX(INDIRECT("'Выгрузка'!A1514:Z1514"),Настройки!$B$7)),",","."),".",MID(1/2,2,1)),"")</f>
        <v/>
      </c>
      <c r="B1514">
        <f>IFERROR(--SUBSTITUTE(SUBSTITUTE(TRIM(INDEX(INDIRECT("'Выгрузка'!A1514:Z1514"),Настройки!$B$9)),",","."),".",MID(1/2,2,1)),"")</f>
        <v/>
      </c>
      <c r="C1514">
        <f>TRIM(INDEX(INDIRECT("'Выгрузка'!A1514:Z1514"),Настройки!$B$8)&amp;"")</f>
        <v/>
      </c>
      <c r="D1514">
        <f>IFERROR(--SUBSTITUTE(SUBSTITUTE(TRIM(INDEX(INDIRECT("'Выгрузка'!A1514:Z1514"),Настройки!$B$10)),",","."),".",MID(1/2,2,1)),"")</f>
        <v/>
      </c>
      <c r="E1514">
        <f>IFERROR(--SUBSTITUTE(SUBSTITUTE(TRIM(INDEX(INDIRECT("'Выгрузка'!A1514:Z1514"),Настройки!$B$11)),",","."),".",MID(1/2,2,1)),"")</f>
        <v/>
      </c>
      <c r="F1514">
        <f>TRIM(INDEX(INDIRECT("'Выгрузка'!A1514:Z1514"),Настройки!$B$12)&amp;"")</f>
        <v/>
      </c>
      <c r="G1514">
        <f>IF(F1514="",0,IF(TRIM(INDEX(INDIRECT("'Выгрузка'!A1514:Z1514"),Настройки!$B$13)&amp;"")="",1,IFERROR(--SUBSTITUTE(SUBSTITUTE(TRIM(INDEX(INDIRECT("'Выгрузка'!A1514:Z1514"),Настройки!$B$13)),",","."),".",MID(1/2,2,1)),"")))</f>
        <v/>
      </c>
      <c r="H1514">
        <f>IF(F1514="",0,IF(COUNTIF(Настройки!$B$17:$B$26,F1514)&gt;0,1,IF(COUNTIF(Настройки!$C$17:$C$26,F1514)&gt;0,2,IF(COUNTIF(Настройки!$D$17:$D$26,F1514)&gt;0,3,0))))</f>
        <v/>
      </c>
      <c r="I1514">
        <f>IF(AND(ISNUMBER(A1514),ISNUMBER(B1514)),A1514*1000+B1514,"")</f>
        <v/>
      </c>
      <c r="J1514">
        <f>IF(I1514="","",IF(COUNTIF(I$2:I1514,I1514)=1,MAX(J$1:J1513)+1,""))</f>
        <v/>
      </c>
    </row>
    <row r="1515">
      <c r="A1515">
        <f>IFERROR(--SUBSTITUTE(SUBSTITUTE(TRIM(INDEX(INDIRECT("'Выгрузка'!A1515:Z1515"),Настройки!$B$7)),",","."),".",MID(1/2,2,1)),"")</f>
        <v/>
      </c>
      <c r="B1515">
        <f>IFERROR(--SUBSTITUTE(SUBSTITUTE(TRIM(INDEX(INDIRECT("'Выгрузка'!A1515:Z1515"),Настройки!$B$9)),",","."),".",MID(1/2,2,1)),"")</f>
        <v/>
      </c>
      <c r="C1515">
        <f>TRIM(INDEX(INDIRECT("'Выгрузка'!A1515:Z1515"),Настройки!$B$8)&amp;"")</f>
        <v/>
      </c>
      <c r="D1515">
        <f>IFERROR(--SUBSTITUTE(SUBSTITUTE(TRIM(INDEX(INDIRECT("'Выгрузка'!A1515:Z1515"),Настройки!$B$10)),",","."),".",MID(1/2,2,1)),"")</f>
        <v/>
      </c>
      <c r="E1515">
        <f>IFERROR(--SUBSTITUTE(SUBSTITUTE(TRIM(INDEX(INDIRECT("'Выгрузка'!A1515:Z1515"),Настройки!$B$11)),",","."),".",MID(1/2,2,1)),"")</f>
        <v/>
      </c>
      <c r="F1515">
        <f>TRIM(INDEX(INDIRECT("'Выгрузка'!A1515:Z1515"),Настройки!$B$12)&amp;"")</f>
        <v/>
      </c>
      <c r="G1515">
        <f>IF(F1515="",0,IF(TRIM(INDEX(INDIRECT("'Выгрузка'!A1515:Z1515"),Настройки!$B$13)&amp;"")="",1,IFERROR(--SUBSTITUTE(SUBSTITUTE(TRIM(INDEX(INDIRECT("'Выгрузка'!A1515:Z1515"),Настройки!$B$13)),",","."),".",MID(1/2,2,1)),"")))</f>
        <v/>
      </c>
      <c r="H1515">
        <f>IF(F1515="",0,IF(COUNTIF(Настройки!$B$17:$B$26,F1515)&gt;0,1,IF(COUNTIF(Настройки!$C$17:$C$26,F1515)&gt;0,2,IF(COUNTIF(Настройки!$D$17:$D$26,F1515)&gt;0,3,0))))</f>
        <v/>
      </c>
      <c r="I1515">
        <f>IF(AND(ISNUMBER(A1515),ISNUMBER(B1515)),A1515*1000+B1515,"")</f>
        <v/>
      </c>
      <c r="J1515">
        <f>IF(I1515="","",IF(COUNTIF(I$2:I1515,I1515)=1,MAX(J$1:J1514)+1,""))</f>
        <v/>
      </c>
    </row>
    <row r="1516">
      <c r="A1516">
        <f>IFERROR(--SUBSTITUTE(SUBSTITUTE(TRIM(INDEX(INDIRECT("'Выгрузка'!A1516:Z1516"),Настройки!$B$7)),",","."),".",MID(1/2,2,1)),"")</f>
        <v/>
      </c>
      <c r="B1516">
        <f>IFERROR(--SUBSTITUTE(SUBSTITUTE(TRIM(INDEX(INDIRECT("'Выгрузка'!A1516:Z1516"),Настройки!$B$9)),",","."),".",MID(1/2,2,1)),"")</f>
        <v/>
      </c>
      <c r="C1516">
        <f>TRIM(INDEX(INDIRECT("'Выгрузка'!A1516:Z1516"),Настройки!$B$8)&amp;"")</f>
        <v/>
      </c>
      <c r="D1516">
        <f>IFERROR(--SUBSTITUTE(SUBSTITUTE(TRIM(INDEX(INDIRECT("'Выгрузка'!A1516:Z1516"),Настройки!$B$10)),",","."),".",MID(1/2,2,1)),"")</f>
        <v/>
      </c>
      <c r="E1516">
        <f>IFERROR(--SUBSTITUTE(SUBSTITUTE(TRIM(INDEX(INDIRECT("'Выгрузка'!A1516:Z1516"),Настройки!$B$11)),",","."),".",MID(1/2,2,1)),"")</f>
        <v/>
      </c>
      <c r="F1516">
        <f>TRIM(INDEX(INDIRECT("'Выгрузка'!A1516:Z1516"),Настройки!$B$12)&amp;"")</f>
        <v/>
      </c>
      <c r="G1516">
        <f>IF(F1516="",0,IF(TRIM(INDEX(INDIRECT("'Выгрузка'!A1516:Z1516"),Настройки!$B$13)&amp;"")="",1,IFERROR(--SUBSTITUTE(SUBSTITUTE(TRIM(INDEX(INDIRECT("'Выгрузка'!A1516:Z1516"),Настройки!$B$13)),",","."),".",MID(1/2,2,1)),"")))</f>
        <v/>
      </c>
      <c r="H1516">
        <f>IF(F1516="",0,IF(COUNTIF(Настройки!$B$17:$B$26,F1516)&gt;0,1,IF(COUNTIF(Настройки!$C$17:$C$26,F1516)&gt;0,2,IF(COUNTIF(Настройки!$D$17:$D$26,F1516)&gt;0,3,0))))</f>
        <v/>
      </c>
      <c r="I1516">
        <f>IF(AND(ISNUMBER(A1516),ISNUMBER(B1516)),A1516*1000+B1516,"")</f>
        <v/>
      </c>
      <c r="J1516">
        <f>IF(I1516="","",IF(COUNTIF(I$2:I1516,I1516)=1,MAX(J$1:J1515)+1,""))</f>
        <v/>
      </c>
    </row>
    <row r="1517">
      <c r="A1517">
        <f>IFERROR(--SUBSTITUTE(SUBSTITUTE(TRIM(INDEX(INDIRECT("'Выгрузка'!A1517:Z1517"),Настройки!$B$7)),",","."),".",MID(1/2,2,1)),"")</f>
        <v/>
      </c>
      <c r="B1517">
        <f>IFERROR(--SUBSTITUTE(SUBSTITUTE(TRIM(INDEX(INDIRECT("'Выгрузка'!A1517:Z1517"),Настройки!$B$9)),",","."),".",MID(1/2,2,1)),"")</f>
        <v/>
      </c>
      <c r="C1517">
        <f>TRIM(INDEX(INDIRECT("'Выгрузка'!A1517:Z1517"),Настройки!$B$8)&amp;"")</f>
        <v/>
      </c>
      <c r="D1517">
        <f>IFERROR(--SUBSTITUTE(SUBSTITUTE(TRIM(INDEX(INDIRECT("'Выгрузка'!A1517:Z1517"),Настройки!$B$10)),",","."),".",MID(1/2,2,1)),"")</f>
        <v/>
      </c>
      <c r="E1517">
        <f>IFERROR(--SUBSTITUTE(SUBSTITUTE(TRIM(INDEX(INDIRECT("'Выгрузка'!A1517:Z1517"),Настройки!$B$11)),",","."),".",MID(1/2,2,1)),"")</f>
        <v/>
      </c>
      <c r="F1517">
        <f>TRIM(INDEX(INDIRECT("'Выгрузка'!A1517:Z1517"),Настройки!$B$12)&amp;"")</f>
        <v/>
      </c>
      <c r="G1517">
        <f>IF(F1517="",0,IF(TRIM(INDEX(INDIRECT("'Выгрузка'!A1517:Z1517"),Настройки!$B$13)&amp;"")="",1,IFERROR(--SUBSTITUTE(SUBSTITUTE(TRIM(INDEX(INDIRECT("'Выгрузка'!A1517:Z1517"),Настройки!$B$13)),",","."),".",MID(1/2,2,1)),"")))</f>
        <v/>
      </c>
      <c r="H1517">
        <f>IF(F1517="",0,IF(COUNTIF(Настройки!$B$17:$B$26,F1517)&gt;0,1,IF(COUNTIF(Настройки!$C$17:$C$26,F1517)&gt;0,2,IF(COUNTIF(Настройки!$D$17:$D$26,F1517)&gt;0,3,0))))</f>
        <v/>
      </c>
      <c r="I1517">
        <f>IF(AND(ISNUMBER(A1517),ISNUMBER(B1517)),A1517*1000+B1517,"")</f>
        <v/>
      </c>
      <c r="J1517">
        <f>IF(I1517="","",IF(COUNTIF(I$2:I1517,I1517)=1,MAX(J$1:J1516)+1,""))</f>
        <v/>
      </c>
    </row>
    <row r="1518">
      <c r="A1518">
        <f>IFERROR(--SUBSTITUTE(SUBSTITUTE(TRIM(INDEX(INDIRECT("'Выгрузка'!A1518:Z1518"),Настройки!$B$7)),",","."),".",MID(1/2,2,1)),"")</f>
        <v/>
      </c>
      <c r="B1518">
        <f>IFERROR(--SUBSTITUTE(SUBSTITUTE(TRIM(INDEX(INDIRECT("'Выгрузка'!A1518:Z1518"),Настройки!$B$9)),",","."),".",MID(1/2,2,1)),"")</f>
        <v/>
      </c>
      <c r="C1518">
        <f>TRIM(INDEX(INDIRECT("'Выгрузка'!A1518:Z1518"),Настройки!$B$8)&amp;"")</f>
        <v/>
      </c>
      <c r="D1518">
        <f>IFERROR(--SUBSTITUTE(SUBSTITUTE(TRIM(INDEX(INDIRECT("'Выгрузка'!A1518:Z1518"),Настройки!$B$10)),",","."),".",MID(1/2,2,1)),"")</f>
        <v/>
      </c>
      <c r="E1518">
        <f>IFERROR(--SUBSTITUTE(SUBSTITUTE(TRIM(INDEX(INDIRECT("'Выгрузка'!A1518:Z1518"),Настройки!$B$11)),",","."),".",MID(1/2,2,1)),"")</f>
        <v/>
      </c>
      <c r="F1518">
        <f>TRIM(INDEX(INDIRECT("'Выгрузка'!A1518:Z1518"),Настройки!$B$12)&amp;"")</f>
        <v/>
      </c>
      <c r="G1518">
        <f>IF(F1518="",0,IF(TRIM(INDEX(INDIRECT("'Выгрузка'!A1518:Z1518"),Настройки!$B$13)&amp;"")="",1,IFERROR(--SUBSTITUTE(SUBSTITUTE(TRIM(INDEX(INDIRECT("'Выгрузка'!A1518:Z1518"),Настройки!$B$13)),",","."),".",MID(1/2,2,1)),"")))</f>
        <v/>
      </c>
      <c r="H1518">
        <f>IF(F1518="",0,IF(COUNTIF(Настройки!$B$17:$B$26,F1518)&gt;0,1,IF(COUNTIF(Настройки!$C$17:$C$26,F1518)&gt;0,2,IF(COUNTIF(Настройки!$D$17:$D$26,F1518)&gt;0,3,0))))</f>
        <v/>
      </c>
      <c r="I1518">
        <f>IF(AND(ISNUMBER(A1518),ISNUMBER(B1518)),A1518*1000+B1518,"")</f>
        <v/>
      </c>
      <c r="J1518">
        <f>IF(I1518="","",IF(COUNTIF(I$2:I1518,I1518)=1,MAX(J$1:J1517)+1,""))</f>
        <v/>
      </c>
    </row>
    <row r="1519">
      <c r="A1519">
        <f>IFERROR(--SUBSTITUTE(SUBSTITUTE(TRIM(INDEX(INDIRECT("'Выгрузка'!A1519:Z1519"),Настройки!$B$7)),",","."),".",MID(1/2,2,1)),"")</f>
        <v/>
      </c>
      <c r="B1519">
        <f>IFERROR(--SUBSTITUTE(SUBSTITUTE(TRIM(INDEX(INDIRECT("'Выгрузка'!A1519:Z1519"),Настройки!$B$9)),",","."),".",MID(1/2,2,1)),"")</f>
        <v/>
      </c>
      <c r="C1519">
        <f>TRIM(INDEX(INDIRECT("'Выгрузка'!A1519:Z1519"),Настройки!$B$8)&amp;"")</f>
        <v/>
      </c>
      <c r="D1519">
        <f>IFERROR(--SUBSTITUTE(SUBSTITUTE(TRIM(INDEX(INDIRECT("'Выгрузка'!A1519:Z1519"),Настройки!$B$10)),",","."),".",MID(1/2,2,1)),"")</f>
        <v/>
      </c>
      <c r="E1519">
        <f>IFERROR(--SUBSTITUTE(SUBSTITUTE(TRIM(INDEX(INDIRECT("'Выгрузка'!A1519:Z1519"),Настройки!$B$11)),",","."),".",MID(1/2,2,1)),"")</f>
        <v/>
      </c>
      <c r="F1519">
        <f>TRIM(INDEX(INDIRECT("'Выгрузка'!A1519:Z1519"),Настройки!$B$12)&amp;"")</f>
        <v/>
      </c>
      <c r="G1519">
        <f>IF(F1519="",0,IF(TRIM(INDEX(INDIRECT("'Выгрузка'!A1519:Z1519"),Настройки!$B$13)&amp;"")="",1,IFERROR(--SUBSTITUTE(SUBSTITUTE(TRIM(INDEX(INDIRECT("'Выгрузка'!A1519:Z1519"),Настройки!$B$13)),",","."),".",MID(1/2,2,1)),"")))</f>
        <v/>
      </c>
      <c r="H1519">
        <f>IF(F1519="",0,IF(COUNTIF(Настройки!$B$17:$B$26,F1519)&gt;0,1,IF(COUNTIF(Настройки!$C$17:$C$26,F1519)&gt;0,2,IF(COUNTIF(Настройки!$D$17:$D$26,F1519)&gt;0,3,0))))</f>
        <v/>
      </c>
      <c r="I1519">
        <f>IF(AND(ISNUMBER(A1519),ISNUMBER(B1519)),A1519*1000+B1519,"")</f>
        <v/>
      </c>
      <c r="J1519">
        <f>IF(I1519="","",IF(COUNTIF(I$2:I1519,I1519)=1,MAX(J$1:J1518)+1,""))</f>
        <v/>
      </c>
    </row>
    <row r="1520">
      <c r="A1520">
        <f>IFERROR(--SUBSTITUTE(SUBSTITUTE(TRIM(INDEX(INDIRECT("'Выгрузка'!A1520:Z1520"),Настройки!$B$7)),",","."),".",MID(1/2,2,1)),"")</f>
        <v/>
      </c>
      <c r="B1520">
        <f>IFERROR(--SUBSTITUTE(SUBSTITUTE(TRIM(INDEX(INDIRECT("'Выгрузка'!A1520:Z1520"),Настройки!$B$9)),",","."),".",MID(1/2,2,1)),"")</f>
        <v/>
      </c>
      <c r="C1520">
        <f>TRIM(INDEX(INDIRECT("'Выгрузка'!A1520:Z1520"),Настройки!$B$8)&amp;"")</f>
        <v/>
      </c>
      <c r="D1520">
        <f>IFERROR(--SUBSTITUTE(SUBSTITUTE(TRIM(INDEX(INDIRECT("'Выгрузка'!A1520:Z1520"),Настройки!$B$10)),",","."),".",MID(1/2,2,1)),"")</f>
        <v/>
      </c>
      <c r="E1520">
        <f>IFERROR(--SUBSTITUTE(SUBSTITUTE(TRIM(INDEX(INDIRECT("'Выгрузка'!A1520:Z1520"),Настройки!$B$11)),",","."),".",MID(1/2,2,1)),"")</f>
        <v/>
      </c>
      <c r="F1520">
        <f>TRIM(INDEX(INDIRECT("'Выгрузка'!A1520:Z1520"),Настройки!$B$12)&amp;"")</f>
        <v/>
      </c>
      <c r="G1520">
        <f>IF(F1520="",0,IF(TRIM(INDEX(INDIRECT("'Выгрузка'!A1520:Z1520"),Настройки!$B$13)&amp;"")="",1,IFERROR(--SUBSTITUTE(SUBSTITUTE(TRIM(INDEX(INDIRECT("'Выгрузка'!A1520:Z1520"),Настройки!$B$13)),",","."),".",MID(1/2,2,1)),"")))</f>
        <v/>
      </c>
      <c r="H1520">
        <f>IF(F1520="",0,IF(COUNTIF(Настройки!$B$17:$B$26,F1520)&gt;0,1,IF(COUNTIF(Настройки!$C$17:$C$26,F1520)&gt;0,2,IF(COUNTIF(Настройки!$D$17:$D$26,F1520)&gt;0,3,0))))</f>
        <v/>
      </c>
      <c r="I1520">
        <f>IF(AND(ISNUMBER(A1520),ISNUMBER(B1520)),A1520*1000+B1520,"")</f>
        <v/>
      </c>
      <c r="J1520">
        <f>IF(I1520="","",IF(COUNTIF(I$2:I1520,I1520)=1,MAX(J$1:J1519)+1,""))</f>
        <v/>
      </c>
    </row>
    <row r="1521">
      <c r="A1521">
        <f>IFERROR(--SUBSTITUTE(SUBSTITUTE(TRIM(INDEX(INDIRECT("'Выгрузка'!A1521:Z1521"),Настройки!$B$7)),",","."),".",MID(1/2,2,1)),"")</f>
        <v/>
      </c>
      <c r="B1521">
        <f>IFERROR(--SUBSTITUTE(SUBSTITUTE(TRIM(INDEX(INDIRECT("'Выгрузка'!A1521:Z1521"),Настройки!$B$9)),",","."),".",MID(1/2,2,1)),"")</f>
        <v/>
      </c>
      <c r="C1521">
        <f>TRIM(INDEX(INDIRECT("'Выгрузка'!A1521:Z1521"),Настройки!$B$8)&amp;"")</f>
        <v/>
      </c>
      <c r="D1521">
        <f>IFERROR(--SUBSTITUTE(SUBSTITUTE(TRIM(INDEX(INDIRECT("'Выгрузка'!A1521:Z1521"),Настройки!$B$10)),",","."),".",MID(1/2,2,1)),"")</f>
        <v/>
      </c>
      <c r="E1521">
        <f>IFERROR(--SUBSTITUTE(SUBSTITUTE(TRIM(INDEX(INDIRECT("'Выгрузка'!A1521:Z1521"),Настройки!$B$11)),",","."),".",MID(1/2,2,1)),"")</f>
        <v/>
      </c>
      <c r="F1521">
        <f>TRIM(INDEX(INDIRECT("'Выгрузка'!A1521:Z1521"),Настройки!$B$12)&amp;"")</f>
        <v/>
      </c>
      <c r="G1521">
        <f>IF(F1521="",0,IF(TRIM(INDEX(INDIRECT("'Выгрузка'!A1521:Z1521"),Настройки!$B$13)&amp;"")="",1,IFERROR(--SUBSTITUTE(SUBSTITUTE(TRIM(INDEX(INDIRECT("'Выгрузка'!A1521:Z1521"),Настройки!$B$13)),",","."),".",MID(1/2,2,1)),"")))</f>
        <v/>
      </c>
      <c r="H1521">
        <f>IF(F1521="",0,IF(COUNTIF(Настройки!$B$17:$B$26,F1521)&gt;0,1,IF(COUNTIF(Настройки!$C$17:$C$26,F1521)&gt;0,2,IF(COUNTIF(Настройки!$D$17:$D$26,F1521)&gt;0,3,0))))</f>
        <v/>
      </c>
      <c r="I1521">
        <f>IF(AND(ISNUMBER(A1521),ISNUMBER(B1521)),A1521*1000+B1521,"")</f>
        <v/>
      </c>
      <c r="J1521">
        <f>IF(I1521="","",IF(COUNTIF(I$2:I1521,I1521)=1,MAX(J$1:J1520)+1,""))</f>
        <v/>
      </c>
    </row>
    <row r="1522">
      <c r="A1522">
        <f>IFERROR(--SUBSTITUTE(SUBSTITUTE(TRIM(INDEX(INDIRECT("'Выгрузка'!A1522:Z1522"),Настройки!$B$7)),",","."),".",MID(1/2,2,1)),"")</f>
        <v/>
      </c>
      <c r="B1522">
        <f>IFERROR(--SUBSTITUTE(SUBSTITUTE(TRIM(INDEX(INDIRECT("'Выгрузка'!A1522:Z1522"),Настройки!$B$9)),",","."),".",MID(1/2,2,1)),"")</f>
        <v/>
      </c>
      <c r="C1522">
        <f>TRIM(INDEX(INDIRECT("'Выгрузка'!A1522:Z1522"),Настройки!$B$8)&amp;"")</f>
        <v/>
      </c>
      <c r="D1522">
        <f>IFERROR(--SUBSTITUTE(SUBSTITUTE(TRIM(INDEX(INDIRECT("'Выгрузка'!A1522:Z1522"),Настройки!$B$10)),",","."),".",MID(1/2,2,1)),"")</f>
        <v/>
      </c>
      <c r="E1522">
        <f>IFERROR(--SUBSTITUTE(SUBSTITUTE(TRIM(INDEX(INDIRECT("'Выгрузка'!A1522:Z1522"),Настройки!$B$11)),",","."),".",MID(1/2,2,1)),"")</f>
        <v/>
      </c>
      <c r="F1522">
        <f>TRIM(INDEX(INDIRECT("'Выгрузка'!A1522:Z1522"),Настройки!$B$12)&amp;"")</f>
        <v/>
      </c>
      <c r="G1522">
        <f>IF(F1522="",0,IF(TRIM(INDEX(INDIRECT("'Выгрузка'!A1522:Z1522"),Настройки!$B$13)&amp;"")="",1,IFERROR(--SUBSTITUTE(SUBSTITUTE(TRIM(INDEX(INDIRECT("'Выгрузка'!A1522:Z1522"),Настройки!$B$13)),",","."),".",MID(1/2,2,1)),"")))</f>
        <v/>
      </c>
      <c r="H1522">
        <f>IF(F1522="",0,IF(COUNTIF(Настройки!$B$17:$B$26,F1522)&gt;0,1,IF(COUNTIF(Настройки!$C$17:$C$26,F1522)&gt;0,2,IF(COUNTIF(Настройки!$D$17:$D$26,F1522)&gt;0,3,0))))</f>
        <v/>
      </c>
      <c r="I1522">
        <f>IF(AND(ISNUMBER(A1522),ISNUMBER(B1522)),A1522*1000+B1522,"")</f>
        <v/>
      </c>
      <c r="J1522">
        <f>IF(I1522="","",IF(COUNTIF(I$2:I1522,I1522)=1,MAX(J$1:J1521)+1,""))</f>
        <v/>
      </c>
    </row>
    <row r="1523">
      <c r="A1523">
        <f>IFERROR(--SUBSTITUTE(SUBSTITUTE(TRIM(INDEX(INDIRECT("'Выгрузка'!A1523:Z1523"),Настройки!$B$7)),",","."),".",MID(1/2,2,1)),"")</f>
        <v/>
      </c>
      <c r="B1523">
        <f>IFERROR(--SUBSTITUTE(SUBSTITUTE(TRIM(INDEX(INDIRECT("'Выгрузка'!A1523:Z1523"),Настройки!$B$9)),",","."),".",MID(1/2,2,1)),"")</f>
        <v/>
      </c>
      <c r="C1523">
        <f>TRIM(INDEX(INDIRECT("'Выгрузка'!A1523:Z1523"),Настройки!$B$8)&amp;"")</f>
        <v/>
      </c>
      <c r="D1523">
        <f>IFERROR(--SUBSTITUTE(SUBSTITUTE(TRIM(INDEX(INDIRECT("'Выгрузка'!A1523:Z1523"),Настройки!$B$10)),",","."),".",MID(1/2,2,1)),"")</f>
        <v/>
      </c>
      <c r="E1523">
        <f>IFERROR(--SUBSTITUTE(SUBSTITUTE(TRIM(INDEX(INDIRECT("'Выгрузка'!A1523:Z1523"),Настройки!$B$11)),",","."),".",MID(1/2,2,1)),"")</f>
        <v/>
      </c>
      <c r="F1523">
        <f>TRIM(INDEX(INDIRECT("'Выгрузка'!A1523:Z1523"),Настройки!$B$12)&amp;"")</f>
        <v/>
      </c>
      <c r="G1523">
        <f>IF(F1523="",0,IF(TRIM(INDEX(INDIRECT("'Выгрузка'!A1523:Z1523"),Настройки!$B$13)&amp;"")="",1,IFERROR(--SUBSTITUTE(SUBSTITUTE(TRIM(INDEX(INDIRECT("'Выгрузка'!A1523:Z1523"),Настройки!$B$13)),",","."),".",MID(1/2,2,1)),"")))</f>
        <v/>
      </c>
      <c r="H1523">
        <f>IF(F1523="",0,IF(COUNTIF(Настройки!$B$17:$B$26,F1523)&gt;0,1,IF(COUNTIF(Настройки!$C$17:$C$26,F1523)&gt;0,2,IF(COUNTIF(Настройки!$D$17:$D$26,F1523)&gt;0,3,0))))</f>
        <v/>
      </c>
      <c r="I1523">
        <f>IF(AND(ISNUMBER(A1523),ISNUMBER(B1523)),A1523*1000+B1523,"")</f>
        <v/>
      </c>
      <c r="J1523">
        <f>IF(I1523="","",IF(COUNTIF(I$2:I1523,I1523)=1,MAX(J$1:J1522)+1,""))</f>
        <v/>
      </c>
    </row>
    <row r="1524">
      <c r="A1524">
        <f>IFERROR(--SUBSTITUTE(SUBSTITUTE(TRIM(INDEX(INDIRECT("'Выгрузка'!A1524:Z1524"),Настройки!$B$7)),",","."),".",MID(1/2,2,1)),"")</f>
        <v/>
      </c>
      <c r="B1524">
        <f>IFERROR(--SUBSTITUTE(SUBSTITUTE(TRIM(INDEX(INDIRECT("'Выгрузка'!A1524:Z1524"),Настройки!$B$9)),",","."),".",MID(1/2,2,1)),"")</f>
        <v/>
      </c>
      <c r="C1524">
        <f>TRIM(INDEX(INDIRECT("'Выгрузка'!A1524:Z1524"),Настройки!$B$8)&amp;"")</f>
        <v/>
      </c>
      <c r="D1524">
        <f>IFERROR(--SUBSTITUTE(SUBSTITUTE(TRIM(INDEX(INDIRECT("'Выгрузка'!A1524:Z1524"),Настройки!$B$10)),",","."),".",MID(1/2,2,1)),"")</f>
        <v/>
      </c>
      <c r="E1524">
        <f>IFERROR(--SUBSTITUTE(SUBSTITUTE(TRIM(INDEX(INDIRECT("'Выгрузка'!A1524:Z1524"),Настройки!$B$11)),",","."),".",MID(1/2,2,1)),"")</f>
        <v/>
      </c>
      <c r="F1524">
        <f>TRIM(INDEX(INDIRECT("'Выгрузка'!A1524:Z1524"),Настройки!$B$12)&amp;"")</f>
        <v/>
      </c>
      <c r="G1524">
        <f>IF(F1524="",0,IF(TRIM(INDEX(INDIRECT("'Выгрузка'!A1524:Z1524"),Настройки!$B$13)&amp;"")="",1,IFERROR(--SUBSTITUTE(SUBSTITUTE(TRIM(INDEX(INDIRECT("'Выгрузка'!A1524:Z1524"),Настройки!$B$13)),",","."),".",MID(1/2,2,1)),"")))</f>
        <v/>
      </c>
      <c r="H1524">
        <f>IF(F1524="",0,IF(COUNTIF(Настройки!$B$17:$B$26,F1524)&gt;0,1,IF(COUNTIF(Настройки!$C$17:$C$26,F1524)&gt;0,2,IF(COUNTIF(Настройки!$D$17:$D$26,F1524)&gt;0,3,0))))</f>
        <v/>
      </c>
      <c r="I1524">
        <f>IF(AND(ISNUMBER(A1524),ISNUMBER(B1524)),A1524*1000+B1524,"")</f>
        <v/>
      </c>
      <c r="J1524">
        <f>IF(I1524="","",IF(COUNTIF(I$2:I1524,I1524)=1,MAX(J$1:J1523)+1,""))</f>
        <v/>
      </c>
    </row>
    <row r="1525">
      <c r="A1525">
        <f>IFERROR(--SUBSTITUTE(SUBSTITUTE(TRIM(INDEX(INDIRECT("'Выгрузка'!A1525:Z1525"),Настройки!$B$7)),",","."),".",MID(1/2,2,1)),"")</f>
        <v/>
      </c>
      <c r="B1525">
        <f>IFERROR(--SUBSTITUTE(SUBSTITUTE(TRIM(INDEX(INDIRECT("'Выгрузка'!A1525:Z1525"),Настройки!$B$9)),",","."),".",MID(1/2,2,1)),"")</f>
        <v/>
      </c>
      <c r="C1525">
        <f>TRIM(INDEX(INDIRECT("'Выгрузка'!A1525:Z1525"),Настройки!$B$8)&amp;"")</f>
        <v/>
      </c>
      <c r="D1525">
        <f>IFERROR(--SUBSTITUTE(SUBSTITUTE(TRIM(INDEX(INDIRECT("'Выгрузка'!A1525:Z1525"),Настройки!$B$10)),",","."),".",MID(1/2,2,1)),"")</f>
        <v/>
      </c>
      <c r="E1525">
        <f>IFERROR(--SUBSTITUTE(SUBSTITUTE(TRIM(INDEX(INDIRECT("'Выгрузка'!A1525:Z1525"),Настройки!$B$11)),",","."),".",MID(1/2,2,1)),"")</f>
        <v/>
      </c>
      <c r="F1525">
        <f>TRIM(INDEX(INDIRECT("'Выгрузка'!A1525:Z1525"),Настройки!$B$12)&amp;"")</f>
        <v/>
      </c>
      <c r="G1525">
        <f>IF(F1525="",0,IF(TRIM(INDEX(INDIRECT("'Выгрузка'!A1525:Z1525"),Настройки!$B$13)&amp;"")="",1,IFERROR(--SUBSTITUTE(SUBSTITUTE(TRIM(INDEX(INDIRECT("'Выгрузка'!A1525:Z1525"),Настройки!$B$13)),",","."),".",MID(1/2,2,1)),"")))</f>
        <v/>
      </c>
      <c r="H1525">
        <f>IF(F1525="",0,IF(COUNTIF(Настройки!$B$17:$B$26,F1525)&gt;0,1,IF(COUNTIF(Настройки!$C$17:$C$26,F1525)&gt;0,2,IF(COUNTIF(Настройки!$D$17:$D$26,F1525)&gt;0,3,0))))</f>
        <v/>
      </c>
      <c r="I1525">
        <f>IF(AND(ISNUMBER(A1525),ISNUMBER(B1525)),A1525*1000+B1525,"")</f>
        <v/>
      </c>
      <c r="J1525">
        <f>IF(I1525="","",IF(COUNTIF(I$2:I1525,I1525)=1,MAX(J$1:J1524)+1,""))</f>
        <v/>
      </c>
    </row>
    <row r="1526">
      <c r="A1526">
        <f>IFERROR(--SUBSTITUTE(SUBSTITUTE(TRIM(INDEX(INDIRECT("'Выгрузка'!A1526:Z1526"),Настройки!$B$7)),",","."),".",MID(1/2,2,1)),"")</f>
        <v/>
      </c>
      <c r="B1526">
        <f>IFERROR(--SUBSTITUTE(SUBSTITUTE(TRIM(INDEX(INDIRECT("'Выгрузка'!A1526:Z1526"),Настройки!$B$9)),",","."),".",MID(1/2,2,1)),"")</f>
        <v/>
      </c>
      <c r="C1526">
        <f>TRIM(INDEX(INDIRECT("'Выгрузка'!A1526:Z1526"),Настройки!$B$8)&amp;"")</f>
        <v/>
      </c>
      <c r="D1526">
        <f>IFERROR(--SUBSTITUTE(SUBSTITUTE(TRIM(INDEX(INDIRECT("'Выгрузка'!A1526:Z1526"),Настройки!$B$10)),",","."),".",MID(1/2,2,1)),"")</f>
        <v/>
      </c>
      <c r="E1526">
        <f>IFERROR(--SUBSTITUTE(SUBSTITUTE(TRIM(INDEX(INDIRECT("'Выгрузка'!A1526:Z1526"),Настройки!$B$11)),",","."),".",MID(1/2,2,1)),"")</f>
        <v/>
      </c>
      <c r="F1526">
        <f>TRIM(INDEX(INDIRECT("'Выгрузка'!A1526:Z1526"),Настройки!$B$12)&amp;"")</f>
        <v/>
      </c>
      <c r="G1526">
        <f>IF(F1526="",0,IF(TRIM(INDEX(INDIRECT("'Выгрузка'!A1526:Z1526"),Настройки!$B$13)&amp;"")="",1,IFERROR(--SUBSTITUTE(SUBSTITUTE(TRIM(INDEX(INDIRECT("'Выгрузка'!A1526:Z1526"),Настройки!$B$13)),",","."),".",MID(1/2,2,1)),"")))</f>
        <v/>
      </c>
      <c r="H1526">
        <f>IF(F1526="",0,IF(COUNTIF(Настройки!$B$17:$B$26,F1526)&gt;0,1,IF(COUNTIF(Настройки!$C$17:$C$26,F1526)&gt;0,2,IF(COUNTIF(Настройки!$D$17:$D$26,F1526)&gt;0,3,0))))</f>
        <v/>
      </c>
      <c r="I1526">
        <f>IF(AND(ISNUMBER(A1526),ISNUMBER(B1526)),A1526*1000+B1526,"")</f>
        <v/>
      </c>
      <c r="J1526">
        <f>IF(I1526="","",IF(COUNTIF(I$2:I1526,I1526)=1,MAX(J$1:J1525)+1,""))</f>
        <v/>
      </c>
    </row>
    <row r="1527">
      <c r="A1527">
        <f>IFERROR(--SUBSTITUTE(SUBSTITUTE(TRIM(INDEX(INDIRECT("'Выгрузка'!A1527:Z1527"),Настройки!$B$7)),",","."),".",MID(1/2,2,1)),"")</f>
        <v/>
      </c>
      <c r="B1527">
        <f>IFERROR(--SUBSTITUTE(SUBSTITUTE(TRIM(INDEX(INDIRECT("'Выгрузка'!A1527:Z1527"),Настройки!$B$9)),",","."),".",MID(1/2,2,1)),"")</f>
        <v/>
      </c>
      <c r="C1527">
        <f>TRIM(INDEX(INDIRECT("'Выгрузка'!A1527:Z1527"),Настройки!$B$8)&amp;"")</f>
        <v/>
      </c>
      <c r="D1527">
        <f>IFERROR(--SUBSTITUTE(SUBSTITUTE(TRIM(INDEX(INDIRECT("'Выгрузка'!A1527:Z1527"),Настройки!$B$10)),",","."),".",MID(1/2,2,1)),"")</f>
        <v/>
      </c>
      <c r="E1527">
        <f>IFERROR(--SUBSTITUTE(SUBSTITUTE(TRIM(INDEX(INDIRECT("'Выгрузка'!A1527:Z1527"),Настройки!$B$11)),",","."),".",MID(1/2,2,1)),"")</f>
        <v/>
      </c>
      <c r="F1527">
        <f>TRIM(INDEX(INDIRECT("'Выгрузка'!A1527:Z1527"),Настройки!$B$12)&amp;"")</f>
        <v/>
      </c>
      <c r="G1527">
        <f>IF(F1527="",0,IF(TRIM(INDEX(INDIRECT("'Выгрузка'!A1527:Z1527"),Настройки!$B$13)&amp;"")="",1,IFERROR(--SUBSTITUTE(SUBSTITUTE(TRIM(INDEX(INDIRECT("'Выгрузка'!A1527:Z1527"),Настройки!$B$13)),",","."),".",MID(1/2,2,1)),"")))</f>
        <v/>
      </c>
      <c r="H1527">
        <f>IF(F1527="",0,IF(COUNTIF(Настройки!$B$17:$B$26,F1527)&gt;0,1,IF(COUNTIF(Настройки!$C$17:$C$26,F1527)&gt;0,2,IF(COUNTIF(Настройки!$D$17:$D$26,F1527)&gt;0,3,0))))</f>
        <v/>
      </c>
      <c r="I1527">
        <f>IF(AND(ISNUMBER(A1527),ISNUMBER(B1527)),A1527*1000+B1527,"")</f>
        <v/>
      </c>
      <c r="J1527">
        <f>IF(I1527="","",IF(COUNTIF(I$2:I1527,I1527)=1,MAX(J$1:J1526)+1,""))</f>
        <v/>
      </c>
    </row>
    <row r="1528">
      <c r="A1528">
        <f>IFERROR(--SUBSTITUTE(SUBSTITUTE(TRIM(INDEX(INDIRECT("'Выгрузка'!A1528:Z1528"),Настройки!$B$7)),",","."),".",MID(1/2,2,1)),"")</f>
        <v/>
      </c>
      <c r="B1528">
        <f>IFERROR(--SUBSTITUTE(SUBSTITUTE(TRIM(INDEX(INDIRECT("'Выгрузка'!A1528:Z1528"),Настройки!$B$9)),",","."),".",MID(1/2,2,1)),"")</f>
        <v/>
      </c>
      <c r="C1528">
        <f>TRIM(INDEX(INDIRECT("'Выгрузка'!A1528:Z1528"),Настройки!$B$8)&amp;"")</f>
        <v/>
      </c>
      <c r="D1528">
        <f>IFERROR(--SUBSTITUTE(SUBSTITUTE(TRIM(INDEX(INDIRECT("'Выгрузка'!A1528:Z1528"),Настройки!$B$10)),",","."),".",MID(1/2,2,1)),"")</f>
        <v/>
      </c>
      <c r="E1528">
        <f>IFERROR(--SUBSTITUTE(SUBSTITUTE(TRIM(INDEX(INDIRECT("'Выгрузка'!A1528:Z1528"),Настройки!$B$11)),",","."),".",MID(1/2,2,1)),"")</f>
        <v/>
      </c>
      <c r="F1528">
        <f>TRIM(INDEX(INDIRECT("'Выгрузка'!A1528:Z1528"),Настройки!$B$12)&amp;"")</f>
        <v/>
      </c>
      <c r="G1528">
        <f>IF(F1528="",0,IF(TRIM(INDEX(INDIRECT("'Выгрузка'!A1528:Z1528"),Настройки!$B$13)&amp;"")="",1,IFERROR(--SUBSTITUTE(SUBSTITUTE(TRIM(INDEX(INDIRECT("'Выгрузка'!A1528:Z1528"),Настройки!$B$13)),",","."),".",MID(1/2,2,1)),"")))</f>
        <v/>
      </c>
      <c r="H1528">
        <f>IF(F1528="",0,IF(COUNTIF(Настройки!$B$17:$B$26,F1528)&gt;0,1,IF(COUNTIF(Настройки!$C$17:$C$26,F1528)&gt;0,2,IF(COUNTIF(Настройки!$D$17:$D$26,F1528)&gt;0,3,0))))</f>
        <v/>
      </c>
      <c r="I1528">
        <f>IF(AND(ISNUMBER(A1528),ISNUMBER(B1528)),A1528*1000+B1528,"")</f>
        <v/>
      </c>
      <c r="J1528">
        <f>IF(I1528="","",IF(COUNTIF(I$2:I1528,I1528)=1,MAX(J$1:J1527)+1,""))</f>
        <v/>
      </c>
    </row>
    <row r="1529">
      <c r="A1529">
        <f>IFERROR(--SUBSTITUTE(SUBSTITUTE(TRIM(INDEX(INDIRECT("'Выгрузка'!A1529:Z1529"),Настройки!$B$7)),",","."),".",MID(1/2,2,1)),"")</f>
        <v/>
      </c>
      <c r="B1529">
        <f>IFERROR(--SUBSTITUTE(SUBSTITUTE(TRIM(INDEX(INDIRECT("'Выгрузка'!A1529:Z1529"),Настройки!$B$9)),",","."),".",MID(1/2,2,1)),"")</f>
        <v/>
      </c>
      <c r="C1529">
        <f>TRIM(INDEX(INDIRECT("'Выгрузка'!A1529:Z1529"),Настройки!$B$8)&amp;"")</f>
        <v/>
      </c>
      <c r="D1529">
        <f>IFERROR(--SUBSTITUTE(SUBSTITUTE(TRIM(INDEX(INDIRECT("'Выгрузка'!A1529:Z1529"),Настройки!$B$10)),",","."),".",MID(1/2,2,1)),"")</f>
        <v/>
      </c>
      <c r="E1529">
        <f>IFERROR(--SUBSTITUTE(SUBSTITUTE(TRIM(INDEX(INDIRECT("'Выгрузка'!A1529:Z1529"),Настройки!$B$11)),",","."),".",MID(1/2,2,1)),"")</f>
        <v/>
      </c>
      <c r="F1529">
        <f>TRIM(INDEX(INDIRECT("'Выгрузка'!A1529:Z1529"),Настройки!$B$12)&amp;"")</f>
        <v/>
      </c>
      <c r="G1529">
        <f>IF(F1529="",0,IF(TRIM(INDEX(INDIRECT("'Выгрузка'!A1529:Z1529"),Настройки!$B$13)&amp;"")="",1,IFERROR(--SUBSTITUTE(SUBSTITUTE(TRIM(INDEX(INDIRECT("'Выгрузка'!A1529:Z1529"),Настройки!$B$13)),",","."),".",MID(1/2,2,1)),"")))</f>
        <v/>
      </c>
      <c r="H1529">
        <f>IF(F1529="",0,IF(COUNTIF(Настройки!$B$17:$B$26,F1529)&gt;0,1,IF(COUNTIF(Настройки!$C$17:$C$26,F1529)&gt;0,2,IF(COUNTIF(Настройки!$D$17:$D$26,F1529)&gt;0,3,0))))</f>
        <v/>
      </c>
      <c r="I1529">
        <f>IF(AND(ISNUMBER(A1529),ISNUMBER(B1529)),A1529*1000+B1529,"")</f>
        <v/>
      </c>
      <c r="J1529">
        <f>IF(I1529="","",IF(COUNTIF(I$2:I1529,I1529)=1,MAX(J$1:J1528)+1,""))</f>
        <v/>
      </c>
    </row>
    <row r="1530">
      <c r="A1530">
        <f>IFERROR(--SUBSTITUTE(SUBSTITUTE(TRIM(INDEX(INDIRECT("'Выгрузка'!A1530:Z1530"),Настройки!$B$7)),",","."),".",MID(1/2,2,1)),"")</f>
        <v/>
      </c>
      <c r="B1530">
        <f>IFERROR(--SUBSTITUTE(SUBSTITUTE(TRIM(INDEX(INDIRECT("'Выгрузка'!A1530:Z1530"),Настройки!$B$9)),",","."),".",MID(1/2,2,1)),"")</f>
        <v/>
      </c>
      <c r="C1530">
        <f>TRIM(INDEX(INDIRECT("'Выгрузка'!A1530:Z1530"),Настройки!$B$8)&amp;"")</f>
        <v/>
      </c>
      <c r="D1530">
        <f>IFERROR(--SUBSTITUTE(SUBSTITUTE(TRIM(INDEX(INDIRECT("'Выгрузка'!A1530:Z1530"),Настройки!$B$10)),",","."),".",MID(1/2,2,1)),"")</f>
        <v/>
      </c>
      <c r="E1530">
        <f>IFERROR(--SUBSTITUTE(SUBSTITUTE(TRIM(INDEX(INDIRECT("'Выгрузка'!A1530:Z1530"),Настройки!$B$11)),",","."),".",MID(1/2,2,1)),"")</f>
        <v/>
      </c>
      <c r="F1530">
        <f>TRIM(INDEX(INDIRECT("'Выгрузка'!A1530:Z1530"),Настройки!$B$12)&amp;"")</f>
        <v/>
      </c>
      <c r="G1530">
        <f>IF(F1530="",0,IF(TRIM(INDEX(INDIRECT("'Выгрузка'!A1530:Z1530"),Настройки!$B$13)&amp;"")="",1,IFERROR(--SUBSTITUTE(SUBSTITUTE(TRIM(INDEX(INDIRECT("'Выгрузка'!A1530:Z1530"),Настройки!$B$13)),",","."),".",MID(1/2,2,1)),"")))</f>
        <v/>
      </c>
      <c r="H1530">
        <f>IF(F1530="",0,IF(COUNTIF(Настройки!$B$17:$B$26,F1530)&gt;0,1,IF(COUNTIF(Настройки!$C$17:$C$26,F1530)&gt;0,2,IF(COUNTIF(Настройки!$D$17:$D$26,F1530)&gt;0,3,0))))</f>
        <v/>
      </c>
      <c r="I1530">
        <f>IF(AND(ISNUMBER(A1530),ISNUMBER(B1530)),A1530*1000+B1530,"")</f>
        <v/>
      </c>
      <c r="J1530">
        <f>IF(I1530="","",IF(COUNTIF(I$2:I1530,I1530)=1,MAX(J$1:J1529)+1,""))</f>
        <v/>
      </c>
    </row>
    <row r="1531">
      <c r="A1531">
        <f>IFERROR(--SUBSTITUTE(SUBSTITUTE(TRIM(INDEX(INDIRECT("'Выгрузка'!A1531:Z1531"),Настройки!$B$7)),",","."),".",MID(1/2,2,1)),"")</f>
        <v/>
      </c>
      <c r="B1531">
        <f>IFERROR(--SUBSTITUTE(SUBSTITUTE(TRIM(INDEX(INDIRECT("'Выгрузка'!A1531:Z1531"),Настройки!$B$9)),",","."),".",MID(1/2,2,1)),"")</f>
        <v/>
      </c>
      <c r="C1531">
        <f>TRIM(INDEX(INDIRECT("'Выгрузка'!A1531:Z1531"),Настройки!$B$8)&amp;"")</f>
        <v/>
      </c>
      <c r="D1531">
        <f>IFERROR(--SUBSTITUTE(SUBSTITUTE(TRIM(INDEX(INDIRECT("'Выгрузка'!A1531:Z1531"),Настройки!$B$10)),",","."),".",MID(1/2,2,1)),"")</f>
        <v/>
      </c>
      <c r="E1531">
        <f>IFERROR(--SUBSTITUTE(SUBSTITUTE(TRIM(INDEX(INDIRECT("'Выгрузка'!A1531:Z1531"),Настройки!$B$11)),",","."),".",MID(1/2,2,1)),"")</f>
        <v/>
      </c>
      <c r="F1531">
        <f>TRIM(INDEX(INDIRECT("'Выгрузка'!A1531:Z1531"),Настройки!$B$12)&amp;"")</f>
        <v/>
      </c>
      <c r="G1531">
        <f>IF(F1531="",0,IF(TRIM(INDEX(INDIRECT("'Выгрузка'!A1531:Z1531"),Настройки!$B$13)&amp;"")="",1,IFERROR(--SUBSTITUTE(SUBSTITUTE(TRIM(INDEX(INDIRECT("'Выгрузка'!A1531:Z1531"),Настройки!$B$13)),",","."),".",MID(1/2,2,1)),"")))</f>
        <v/>
      </c>
      <c r="H1531">
        <f>IF(F1531="",0,IF(COUNTIF(Настройки!$B$17:$B$26,F1531)&gt;0,1,IF(COUNTIF(Настройки!$C$17:$C$26,F1531)&gt;0,2,IF(COUNTIF(Настройки!$D$17:$D$26,F1531)&gt;0,3,0))))</f>
        <v/>
      </c>
      <c r="I1531">
        <f>IF(AND(ISNUMBER(A1531),ISNUMBER(B1531)),A1531*1000+B1531,"")</f>
        <v/>
      </c>
      <c r="J1531">
        <f>IF(I1531="","",IF(COUNTIF(I$2:I1531,I1531)=1,MAX(J$1:J1530)+1,""))</f>
        <v/>
      </c>
    </row>
    <row r="1532">
      <c r="A1532">
        <f>IFERROR(--SUBSTITUTE(SUBSTITUTE(TRIM(INDEX(INDIRECT("'Выгрузка'!A1532:Z1532"),Настройки!$B$7)),",","."),".",MID(1/2,2,1)),"")</f>
        <v/>
      </c>
      <c r="B1532">
        <f>IFERROR(--SUBSTITUTE(SUBSTITUTE(TRIM(INDEX(INDIRECT("'Выгрузка'!A1532:Z1532"),Настройки!$B$9)),",","."),".",MID(1/2,2,1)),"")</f>
        <v/>
      </c>
      <c r="C1532">
        <f>TRIM(INDEX(INDIRECT("'Выгрузка'!A1532:Z1532"),Настройки!$B$8)&amp;"")</f>
        <v/>
      </c>
      <c r="D1532">
        <f>IFERROR(--SUBSTITUTE(SUBSTITUTE(TRIM(INDEX(INDIRECT("'Выгрузка'!A1532:Z1532"),Настройки!$B$10)),",","."),".",MID(1/2,2,1)),"")</f>
        <v/>
      </c>
      <c r="E1532">
        <f>IFERROR(--SUBSTITUTE(SUBSTITUTE(TRIM(INDEX(INDIRECT("'Выгрузка'!A1532:Z1532"),Настройки!$B$11)),",","."),".",MID(1/2,2,1)),"")</f>
        <v/>
      </c>
      <c r="F1532">
        <f>TRIM(INDEX(INDIRECT("'Выгрузка'!A1532:Z1532"),Настройки!$B$12)&amp;"")</f>
        <v/>
      </c>
      <c r="G1532">
        <f>IF(F1532="",0,IF(TRIM(INDEX(INDIRECT("'Выгрузка'!A1532:Z1532"),Настройки!$B$13)&amp;"")="",1,IFERROR(--SUBSTITUTE(SUBSTITUTE(TRIM(INDEX(INDIRECT("'Выгрузка'!A1532:Z1532"),Настройки!$B$13)),",","."),".",MID(1/2,2,1)),"")))</f>
        <v/>
      </c>
      <c r="H1532">
        <f>IF(F1532="",0,IF(COUNTIF(Настройки!$B$17:$B$26,F1532)&gt;0,1,IF(COUNTIF(Настройки!$C$17:$C$26,F1532)&gt;0,2,IF(COUNTIF(Настройки!$D$17:$D$26,F1532)&gt;0,3,0))))</f>
        <v/>
      </c>
      <c r="I1532">
        <f>IF(AND(ISNUMBER(A1532),ISNUMBER(B1532)),A1532*1000+B1532,"")</f>
        <v/>
      </c>
      <c r="J1532">
        <f>IF(I1532="","",IF(COUNTIF(I$2:I1532,I1532)=1,MAX(J$1:J1531)+1,""))</f>
        <v/>
      </c>
    </row>
    <row r="1533">
      <c r="A1533">
        <f>IFERROR(--SUBSTITUTE(SUBSTITUTE(TRIM(INDEX(INDIRECT("'Выгрузка'!A1533:Z1533"),Настройки!$B$7)),",","."),".",MID(1/2,2,1)),"")</f>
        <v/>
      </c>
      <c r="B1533">
        <f>IFERROR(--SUBSTITUTE(SUBSTITUTE(TRIM(INDEX(INDIRECT("'Выгрузка'!A1533:Z1533"),Настройки!$B$9)),",","."),".",MID(1/2,2,1)),"")</f>
        <v/>
      </c>
      <c r="C1533">
        <f>TRIM(INDEX(INDIRECT("'Выгрузка'!A1533:Z1533"),Настройки!$B$8)&amp;"")</f>
        <v/>
      </c>
      <c r="D1533">
        <f>IFERROR(--SUBSTITUTE(SUBSTITUTE(TRIM(INDEX(INDIRECT("'Выгрузка'!A1533:Z1533"),Настройки!$B$10)),",","."),".",MID(1/2,2,1)),"")</f>
        <v/>
      </c>
      <c r="E1533">
        <f>IFERROR(--SUBSTITUTE(SUBSTITUTE(TRIM(INDEX(INDIRECT("'Выгрузка'!A1533:Z1533"),Настройки!$B$11)),",","."),".",MID(1/2,2,1)),"")</f>
        <v/>
      </c>
      <c r="F1533">
        <f>TRIM(INDEX(INDIRECT("'Выгрузка'!A1533:Z1533"),Настройки!$B$12)&amp;"")</f>
        <v/>
      </c>
      <c r="G1533">
        <f>IF(F1533="",0,IF(TRIM(INDEX(INDIRECT("'Выгрузка'!A1533:Z1533"),Настройки!$B$13)&amp;"")="",1,IFERROR(--SUBSTITUTE(SUBSTITUTE(TRIM(INDEX(INDIRECT("'Выгрузка'!A1533:Z1533"),Настройки!$B$13)),",","."),".",MID(1/2,2,1)),"")))</f>
        <v/>
      </c>
      <c r="H1533">
        <f>IF(F1533="",0,IF(COUNTIF(Настройки!$B$17:$B$26,F1533)&gt;0,1,IF(COUNTIF(Настройки!$C$17:$C$26,F1533)&gt;0,2,IF(COUNTIF(Настройки!$D$17:$D$26,F1533)&gt;0,3,0))))</f>
        <v/>
      </c>
      <c r="I1533">
        <f>IF(AND(ISNUMBER(A1533),ISNUMBER(B1533)),A1533*1000+B1533,"")</f>
        <v/>
      </c>
      <c r="J1533">
        <f>IF(I1533="","",IF(COUNTIF(I$2:I1533,I1533)=1,MAX(J$1:J1532)+1,""))</f>
        <v/>
      </c>
    </row>
    <row r="1534">
      <c r="A1534">
        <f>IFERROR(--SUBSTITUTE(SUBSTITUTE(TRIM(INDEX(INDIRECT("'Выгрузка'!A1534:Z1534"),Настройки!$B$7)),",","."),".",MID(1/2,2,1)),"")</f>
        <v/>
      </c>
      <c r="B1534">
        <f>IFERROR(--SUBSTITUTE(SUBSTITUTE(TRIM(INDEX(INDIRECT("'Выгрузка'!A1534:Z1534"),Настройки!$B$9)),",","."),".",MID(1/2,2,1)),"")</f>
        <v/>
      </c>
      <c r="C1534">
        <f>TRIM(INDEX(INDIRECT("'Выгрузка'!A1534:Z1534"),Настройки!$B$8)&amp;"")</f>
        <v/>
      </c>
      <c r="D1534">
        <f>IFERROR(--SUBSTITUTE(SUBSTITUTE(TRIM(INDEX(INDIRECT("'Выгрузка'!A1534:Z1534"),Настройки!$B$10)),",","."),".",MID(1/2,2,1)),"")</f>
        <v/>
      </c>
      <c r="E1534">
        <f>IFERROR(--SUBSTITUTE(SUBSTITUTE(TRIM(INDEX(INDIRECT("'Выгрузка'!A1534:Z1534"),Настройки!$B$11)),",","."),".",MID(1/2,2,1)),"")</f>
        <v/>
      </c>
      <c r="F1534">
        <f>TRIM(INDEX(INDIRECT("'Выгрузка'!A1534:Z1534"),Настройки!$B$12)&amp;"")</f>
        <v/>
      </c>
      <c r="G1534">
        <f>IF(F1534="",0,IF(TRIM(INDEX(INDIRECT("'Выгрузка'!A1534:Z1534"),Настройки!$B$13)&amp;"")="",1,IFERROR(--SUBSTITUTE(SUBSTITUTE(TRIM(INDEX(INDIRECT("'Выгрузка'!A1534:Z1534"),Настройки!$B$13)),",","."),".",MID(1/2,2,1)),"")))</f>
        <v/>
      </c>
      <c r="H1534">
        <f>IF(F1534="",0,IF(COUNTIF(Настройки!$B$17:$B$26,F1534)&gt;0,1,IF(COUNTIF(Настройки!$C$17:$C$26,F1534)&gt;0,2,IF(COUNTIF(Настройки!$D$17:$D$26,F1534)&gt;0,3,0))))</f>
        <v/>
      </c>
      <c r="I1534">
        <f>IF(AND(ISNUMBER(A1534),ISNUMBER(B1534)),A1534*1000+B1534,"")</f>
        <v/>
      </c>
      <c r="J1534">
        <f>IF(I1534="","",IF(COUNTIF(I$2:I1534,I1534)=1,MAX(J$1:J1533)+1,""))</f>
        <v/>
      </c>
    </row>
    <row r="1535">
      <c r="A1535">
        <f>IFERROR(--SUBSTITUTE(SUBSTITUTE(TRIM(INDEX(INDIRECT("'Выгрузка'!A1535:Z1535"),Настройки!$B$7)),",","."),".",MID(1/2,2,1)),"")</f>
        <v/>
      </c>
      <c r="B1535">
        <f>IFERROR(--SUBSTITUTE(SUBSTITUTE(TRIM(INDEX(INDIRECT("'Выгрузка'!A1535:Z1535"),Настройки!$B$9)),",","."),".",MID(1/2,2,1)),"")</f>
        <v/>
      </c>
      <c r="C1535">
        <f>TRIM(INDEX(INDIRECT("'Выгрузка'!A1535:Z1535"),Настройки!$B$8)&amp;"")</f>
        <v/>
      </c>
      <c r="D1535">
        <f>IFERROR(--SUBSTITUTE(SUBSTITUTE(TRIM(INDEX(INDIRECT("'Выгрузка'!A1535:Z1535"),Настройки!$B$10)),",","."),".",MID(1/2,2,1)),"")</f>
        <v/>
      </c>
      <c r="E1535">
        <f>IFERROR(--SUBSTITUTE(SUBSTITUTE(TRIM(INDEX(INDIRECT("'Выгрузка'!A1535:Z1535"),Настройки!$B$11)),",","."),".",MID(1/2,2,1)),"")</f>
        <v/>
      </c>
      <c r="F1535">
        <f>TRIM(INDEX(INDIRECT("'Выгрузка'!A1535:Z1535"),Настройки!$B$12)&amp;"")</f>
        <v/>
      </c>
      <c r="G1535">
        <f>IF(F1535="",0,IF(TRIM(INDEX(INDIRECT("'Выгрузка'!A1535:Z1535"),Настройки!$B$13)&amp;"")="",1,IFERROR(--SUBSTITUTE(SUBSTITUTE(TRIM(INDEX(INDIRECT("'Выгрузка'!A1535:Z1535"),Настройки!$B$13)),",","."),".",MID(1/2,2,1)),"")))</f>
        <v/>
      </c>
      <c r="H1535">
        <f>IF(F1535="",0,IF(COUNTIF(Настройки!$B$17:$B$26,F1535)&gt;0,1,IF(COUNTIF(Настройки!$C$17:$C$26,F1535)&gt;0,2,IF(COUNTIF(Настройки!$D$17:$D$26,F1535)&gt;0,3,0))))</f>
        <v/>
      </c>
      <c r="I1535">
        <f>IF(AND(ISNUMBER(A1535),ISNUMBER(B1535)),A1535*1000+B1535,"")</f>
        <v/>
      </c>
      <c r="J1535">
        <f>IF(I1535="","",IF(COUNTIF(I$2:I1535,I1535)=1,MAX(J$1:J1534)+1,""))</f>
        <v/>
      </c>
    </row>
    <row r="1536">
      <c r="A1536">
        <f>IFERROR(--SUBSTITUTE(SUBSTITUTE(TRIM(INDEX(INDIRECT("'Выгрузка'!A1536:Z1536"),Настройки!$B$7)),",","."),".",MID(1/2,2,1)),"")</f>
        <v/>
      </c>
      <c r="B1536">
        <f>IFERROR(--SUBSTITUTE(SUBSTITUTE(TRIM(INDEX(INDIRECT("'Выгрузка'!A1536:Z1536"),Настройки!$B$9)),",","."),".",MID(1/2,2,1)),"")</f>
        <v/>
      </c>
      <c r="C1536">
        <f>TRIM(INDEX(INDIRECT("'Выгрузка'!A1536:Z1536"),Настройки!$B$8)&amp;"")</f>
        <v/>
      </c>
      <c r="D1536">
        <f>IFERROR(--SUBSTITUTE(SUBSTITUTE(TRIM(INDEX(INDIRECT("'Выгрузка'!A1536:Z1536"),Настройки!$B$10)),",","."),".",MID(1/2,2,1)),"")</f>
        <v/>
      </c>
      <c r="E1536">
        <f>IFERROR(--SUBSTITUTE(SUBSTITUTE(TRIM(INDEX(INDIRECT("'Выгрузка'!A1536:Z1536"),Настройки!$B$11)),",","."),".",MID(1/2,2,1)),"")</f>
        <v/>
      </c>
      <c r="F1536">
        <f>TRIM(INDEX(INDIRECT("'Выгрузка'!A1536:Z1536"),Настройки!$B$12)&amp;"")</f>
        <v/>
      </c>
      <c r="G1536">
        <f>IF(F1536="",0,IF(TRIM(INDEX(INDIRECT("'Выгрузка'!A1536:Z1536"),Настройки!$B$13)&amp;"")="",1,IFERROR(--SUBSTITUTE(SUBSTITUTE(TRIM(INDEX(INDIRECT("'Выгрузка'!A1536:Z1536"),Настройки!$B$13)),",","."),".",MID(1/2,2,1)),"")))</f>
        <v/>
      </c>
      <c r="H1536">
        <f>IF(F1536="",0,IF(COUNTIF(Настройки!$B$17:$B$26,F1536)&gt;0,1,IF(COUNTIF(Настройки!$C$17:$C$26,F1536)&gt;0,2,IF(COUNTIF(Настройки!$D$17:$D$26,F1536)&gt;0,3,0))))</f>
        <v/>
      </c>
      <c r="I1536">
        <f>IF(AND(ISNUMBER(A1536),ISNUMBER(B1536)),A1536*1000+B1536,"")</f>
        <v/>
      </c>
      <c r="J1536">
        <f>IF(I1536="","",IF(COUNTIF(I$2:I1536,I1536)=1,MAX(J$1:J1535)+1,""))</f>
        <v/>
      </c>
    </row>
    <row r="1537">
      <c r="A1537">
        <f>IFERROR(--SUBSTITUTE(SUBSTITUTE(TRIM(INDEX(INDIRECT("'Выгрузка'!A1537:Z1537"),Настройки!$B$7)),",","."),".",MID(1/2,2,1)),"")</f>
        <v/>
      </c>
      <c r="B1537">
        <f>IFERROR(--SUBSTITUTE(SUBSTITUTE(TRIM(INDEX(INDIRECT("'Выгрузка'!A1537:Z1537"),Настройки!$B$9)),",","."),".",MID(1/2,2,1)),"")</f>
        <v/>
      </c>
      <c r="C1537">
        <f>TRIM(INDEX(INDIRECT("'Выгрузка'!A1537:Z1537"),Настройки!$B$8)&amp;"")</f>
        <v/>
      </c>
      <c r="D1537">
        <f>IFERROR(--SUBSTITUTE(SUBSTITUTE(TRIM(INDEX(INDIRECT("'Выгрузка'!A1537:Z1537"),Настройки!$B$10)),",","."),".",MID(1/2,2,1)),"")</f>
        <v/>
      </c>
      <c r="E1537">
        <f>IFERROR(--SUBSTITUTE(SUBSTITUTE(TRIM(INDEX(INDIRECT("'Выгрузка'!A1537:Z1537"),Настройки!$B$11)),",","."),".",MID(1/2,2,1)),"")</f>
        <v/>
      </c>
      <c r="F1537">
        <f>TRIM(INDEX(INDIRECT("'Выгрузка'!A1537:Z1537"),Настройки!$B$12)&amp;"")</f>
        <v/>
      </c>
      <c r="G1537">
        <f>IF(F1537="",0,IF(TRIM(INDEX(INDIRECT("'Выгрузка'!A1537:Z1537"),Настройки!$B$13)&amp;"")="",1,IFERROR(--SUBSTITUTE(SUBSTITUTE(TRIM(INDEX(INDIRECT("'Выгрузка'!A1537:Z1537"),Настройки!$B$13)),",","."),".",MID(1/2,2,1)),"")))</f>
        <v/>
      </c>
      <c r="H1537">
        <f>IF(F1537="",0,IF(COUNTIF(Настройки!$B$17:$B$26,F1537)&gt;0,1,IF(COUNTIF(Настройки!$C$17:$C$26,F1537)&gt;0,2,IF(COUNTIF(Настройки!$D$17:$D$26,F1537)&gt;0,3,0))))</f>
        <v/>
      </c>
      <c r="I1537">
        <f>IF(AND(ISNUMBER(A1537),ISNUMBER(B1537)),A1537*1000+B1537,"")</f>
        <v/>
      </c>
      <c r="J1537">
        <f>IF(I1537="","",IF(COUNTIF(I$2:I1537,I1537)=1,MAX(J$1:J1536)+1,""))</f>
        <v/>
      </c>
    </row>
    <row r="1538">
      <c r="A1538">
        <f>IFERROR(--SUBSTITUTE(SUBSTITUTE(TRIM(INDEX(INDIRECT("'Выгрузка'!A1538:Z1538"),Настройки!$B$7)),",","."),".",MID(1/2,2,1)),"")</f>
        <v/>
      </c>
      <c r="B1538">
        <f>IFERROR(--SUBSTITUTE(SUBSTITUTE(TRIM(INDEX(INDIRECT("'Выгрузка'!A1538:Z1538"),Настройки!$B$9)),",","."),".",MID(1/2,2,1)),"")</f>
        <v/>
      </c>
      <c r="C1538">
        <f>TRIM(INDEX(INDIRECT("'Выгрузка'!A1538:Z1538"),Настройки!$B$8)&amp;"")</f>
        <v/>
      </c>
      <c r="D1538">
        <f>IFERROR(--SUBSTITUTE(SUBSTITUTE(TRIM(INDEX(INDIRECT("'Выгрузка'!A1538:Z1538"),Настройки!$B$10)),",","."),".",MID(1/2,2,1)),"")</f>
        <v/>
      </c>
      <c r="E1538">
        <f>IFERROR(--SUBSTITUTE(SUBSTITUTE(TRIM(INDEX(INDIRECT("'Выгрузка'!A1538:Z1538"),Настройки!$B$11)),",","."),".",MID(1/2,2,1)),"")</f>
        <v/>
      </c>
      <c r="F1538">
        <f>TRIM(INDEX(INDIRECT("'Выгрузка'!A1538:Z1538"),Настройки!$B$12)&amp;"")</f>
        <v/>
      </c>
      <c r="G1538">
        <f>IF(F1538="",0,IF(TRIM(INDEX(INDIRECT("'Выгрузка'!A1538:Z1538"),Настройки!$B$13)&amp;"")="",1,IFERROR(--SUBSTITUTE(SUBSTITUTE(TRIM(INDEX(INDIRECT("'Выгрузка'!A1538:Z1538"),Настройки!$B$13)),",","."),".",MID(1/2,2,1)),"")))</f>
        <v/>
      </c>
      <c r="H1538">
        <f>IF(F1538="",0,IF(COUNTIF(Настройки!$B$17:$B$26,F1538)&gt;0,1,IF(COUNTIF(Настройки!$C$17:$C$26,F1538)&gt;0,2,IF(COUNTIF(Настройки!$D$17:$D$26,F1538)&gt;0,3,0))))</f>
        <v/>
      </c>
      <c r="I1538">
        <f>IF(AND(ISNUMBER(A1538),ISNUMBER(B1538)),A1538*1000+B1538,"")</f>
        <v/>
      </c>
      <c r="J1538">
        <f>IF(I1538="","",IF(COUNTIF(I$2:I1538,I1538)=1,MAX(J$1:J1537)+1,""))</f>
        <v/>
      </c>
    </row>
    <row r="1539">
      <c r="A1539">
        <f>IFERROR(--SUBSTITUTE(SUBSTITUTE(TRIM(INDEX(INDIRECT("'Выгрузка'!A1539:Z1539"),Настройки!$B$7)),",","."),".",MID(1/2,2,1)),"")</f>
        <v/>
      </c>
      <c r="B1539">
        <f>IFERROR(--SUBSTITUTE(SUBSTITUTE(TRIM(INDEX(INDIRECT("'Выгрузка'!A1539:Z1539"),Настройки!$B$9)),",","."),".",MID(1/2,2,1)),"")</f>
        <v/>
      </c>
      <c r="C1539">
        <f>TRIM(INDEX(INDIRECT("'Выгрузка'!A1539:Z1539"),Настройки!$B$8)&amp;"")</f>
        <v/>
      </c>
      <c r="D1539">
        <f>IFERROR(--SUBSTITUTE(SUBSTITUTE(TRIM(INDEX(INDIRECT("'Выгрузка'!A1539:Z1539"),Настройки!$B$10)),",","."),".",MID(1/2,2,1)),"")</f>
        <v/>
      </c>
      <c r="E1539">
        <f>IFERROR(--SUBSTITUTE(SUBSTITUTE(TRIM(INDEX(INDIRECT("'Выгрузка'!A1539:Z1539"),Настройки!$B$11)),",","."),".",MID(1/2,2,1)),"")</f>
        <v/>
      </c>
      <c r="F1539">
        <f>TRIM(INDEX(INDIRECT("'Выгрузка'!A1539:Z1539"),Настройки!$B$12)&amp;"")</f>
        <v/>
      </c>
      <c r="G1539">
        <f>IF(F1539="",0,IF(TRIM(INDEX(INDIRECT("'Выгрузка'!A1539:Z1539"),Настройки!$B$13)&amp;"")="",1,IFERROR(--SUBSTITUTE(SUBSTITUTE(TRIM(INDEX(INDIRECT("'Выгрузка'!A1539:Z1539"),Настройки!$B$13)),",","."),".",MID(1/2,2,1)),"")))</f>
        <v/>
      </c>
      <c r="H1539">
        <f>IF(F1539="",0,IF(COUNTIF(Настройки!$B$17:$B$26,F1539)&gt;0,1,IF(COUNTIF(Настройки!$C$17:$C$26,F1539)&gt;0,2,IF(COUNTIF(Настройки!$D$17:$D$26,F1539)&gt;0,3,0))))</f>
        <v/>
      </c>
      <c r="I1539">
        <f>IF(AND(ISNUMBER(A1539),ISNUMBER(B1539)),A1539*1000+B1539,"")</f>
        <v/>
      </c>
      <c r="J1539">
        <f>IF(I1539="","",IF(COUNTIF(I$2:I1539,I1539)=1,MAX(J$1:J1538)+1,""))</f>
        <v/>
      </c>
    </row>
    <row r="1540">
      <c r="A1540">
        <f>IFERROR(--SUBSTITUTE(SUBSTITUTE(TRIM(INDEX(INDIRECT("'Выгрузка'!A1540:Z1540"),Настройки!$B$7)),",","."),".",MID(1/2,2,1)),"")</f>
        <v/>
      </c>
      <c r="B1540">
        <f>IFERROR(--SUBSTITUTE(SUBSTITUTE(TRIM(INDEX(INDIRECT("'Выгрузка'!A1540:Z1540"),Настройки!$B$9)),",","."),".",MID(1/2,2,1)),"")</f>
        <v/>
      </c>
      <c r="C1540">
        <f>TRIM(INDEX(INDIRECT("'Выгрузка'!A1540:Z1540"),Настройки!$B$8)&amp;"")</f>
        <v/>
      </c>
      <c r="D1540">
        <f>IFERROR(--SUBSTITUTE(SUBSTITUTE(TRIM(INDEX(INDIRECT("'Выгрузка'!A1540:Z1540"),Настройки!$B$10)),",","."),".",MID(1/2,2,1)),"")</f>
        <v/>
      </c>
      <c r="E1540">
        <f>IFERROR(--SUBSTITUTE(SUBSTITUTE(TRIM(INDEX(INDIRECT("'Выгрузка'!A1540:Z1540"),Настройки!$B$11)),",","."),".",MID(1/2,2,1)),"")</f>
        <v/>
      </c>
      <c r="F1540">
        <f>TRIM(INDEX(INDIRECT("'Выгрузка'!A1540:Z1540"),Настройки!$B$12)&amp;"")</f>
        <v/>
      </c>
      <c r="G1540">
        <f>IF(F1540="",0,IF(TRIM(INDEX(INDIRECT("'Выгрузка'!A1540:Z1540"),Настройки!$B$13)&amp;"")="",1,IFERROR(--SUBSTITUTE(SUBSTITUTE(TRIM(INDEX(INDIRECT("'Выгрузка'!A1540:Z1540"),Настройки!$B$13)),",","."),".",MID(1/2,2,1)),"")))</f>
        <v/>
      </c>
      <c r="H1540">
        <f>IF(F1540="",0,IF(COUNTIF(Настройки!$B$17:$B$26,F1540)&gt;0,1,IF(COUNTIF(Настройки!$C$17:$C$26,F1540)&gt;0,2,IF(COUNTIF(Настройки!$D$17:$D$26,F1540)&gt;0,3,0))))</f>
        <v/>
      </c>
      <c r="I1540">
        <f>IF(AND(ISNUMBER(A1540),ISNUMBER(B1540)),A1540*1000+B1540,"")</f>
        <v/>
      </c>
      <c r="J1540">
        <f>IF(I1540="","",IF(COUNTIF(I$2:I1540,I1540)=1,MAX(J$1:J1539)+1,""))</f>
        <v/>
      </c>
    </row>
    <row r="1541">
      <c r="A1541">
        <f>IFERROR(--SUBSTITUTE(SUBSTITUTE(TRIM(INDEX(INDIRECT("'Выгрузка'!A1541:Z1541"),Настройки!$B$7)),",","."),".",MID(1/2,2,1)),"")</f>
        <v/>
      </c>
      <c r="B1541">
        <f>IFERROR(--SUBSTITUTE(SUBSTITUTE(TRIM(INDEX(INDIRECT("'Выгрузка'!A1541:Z1541"),Настройки!$B$9)),",","."),".",MID(1/2,2,1)),"")</f>
        <v/>
      </c>
      <c r="C1541">
        <f>TRIM(INDEX(INDIRECT("'Выгрузка'!A1541:Z1541"),Настройки!$B$8)&amp;"")</f>
        <v/>
      </c>
      <c r="D1541">
        <f>IFERROR(--SUBSTITUTE(SUBSTITUTE(TRIM(INDEX(INDIRECT("'Выгрузка'!A1541:Z1541"),Настройки!$B$10)),",","."),".",MID(1/2,2,1)),"")</f>
        <v/>
      </c>
      <c r="E1541">
        <f>IFERROR(--SUBSTITUTE(SUBSTITUTE(TRIM(INDEX(INDIRECT("'Выгрузка'!A1541:Z1541"),Настройки!$B$11)),",","."),".",MID(1/2,2,1)),"")</f>
        <v/>
      </c>
      <c r="F1541">
        <f>TRIM(INDEX(INDIRECT("'Выгрузка'!A1541:Z1541"),Настройки!$B$12)&amp;"")</f>
        <v/>
      </c>
      <c r="G1541">
        <f>IF(F1541="",0,IF(TRIM(INDEX(INDIRECT("'Выгрузка'!A1541:Z1541"),Настройки!$B$13)&amp;"")="",1,IFERROR(--SUBSTITUTE(SUBSTITUTE(TRIM(INDEX(INDIRECT("'Выгрузка'!A1541:Z1541"),Настройки!$B$13)),",","."),".",MID(1/2,2,1)),"")))</f>
        <v/>
      </c>
      <c r="H1541">
        <f>IF(F1541="",0,IF(COUNTIF(Настройки!$B$17:$B$26,F1541)&gt;0,1,IF(COUNTIF(Настройки!$C$17:$C$26,F1541)&gt;0,2,IF(COUNTIF(Настройки!$D$17:$D$26,F1541)&gt;0,3,0))))</f>
        <v/>
      </c>
      <c r="I1541">
        <f>IF(AND(ISNUMBER(A1541),ISNUMBER(B1541)),A1541*1000+B1541,"")</f>
        <v/>
      </c>
      <c r="J1541">
        <f>IF(I1541="","",IF(COUNTIF(I$2:I1541,I1541)=1,MAX(J$1:J1540)+1,""))</f>
        <v/>
      </c>
    </row>
    <row r="1542">
      <c r="A1542">
        <f>IFERROR(--SUBSTITUTE(SUBSTITUTE(TRIM(INDEX(INDIRECT("'Выгрузка'!A1542:Z1542"),Настройки!$B$7)),",","."),".",MID(1/2,2,1)),"")</f>
        <v/>
      </c>
      <c r="B1542">
        <f>IFERROR(--SUBSTITUTE(SUBSTITUTE(TRIM(INDEX(INDIRECT("'Выгрузка'!A1542:Z1542"),Настройки!$B$9)),",","."),".",MID(1/2,2,1)),"")</f>
        <v/>
      </c>
      <c r="C1542">
        <f>TRIM(INDEX(INDIRECT("'Выгрузка'!A1542:Z1542"),Настройки!$B$8)&amp;"")</f>
        <v/>
      </c>
      <c r="D1542">
        <f>IFERROR(--SUBSTITUTE(SUBSTITUTE(TRIM(INDEX(INDIRECT("'Выгрузка'!A1542:Z1542"),Настройки!$B$10)),",","."),".",MID(1/2,2,1)),"")</f>
        <v/>
      </c>
      <c r="E1542">
        <f>IFERROR(--SUBSTITUTE(SUBSTITUTE(TRIM(INDEX(INDIRECT("'Выгрузка'!A1542:Z1542"),Настройки!$B$11)),",","."),".",MID(1/2,2,1)),"")</f>
        <v/>
      </c>
      <c r="F1542">
        <f>TRIM(INDEX(INDIRECT("'Выгрузка'!A1542:Z1542"),Настройки!$B$12)&amp;"")</f>
        <v/>
      </c>
      <c r="G1542">
        <f>IF(F1542="",0,IF(TRIM(INDEX(INDIRECT("'Выгрузка'!A1542:Z1542"),Настройки!$B$13)&amp;"")="",1,IFERROR(--SUBSTITUTE(SUBSTITUTE(TRIM(INDEX(INDIRECT("'Выгрузка'!A1542:Z1542"),Настройки!$B$13)),",","."),".",MID(1/2,2,1)),"")))</f>
        <v/>
      </c>
      <c r="H1542">
        <f>IF(F1542="",0,IF(COUNTIF(Настройки!$B$17:$B$26,F1542)&gt;0,1,IF(COUNTIF(Настройки!$C$17:$C$26,F1542)&gt;0,2,IF(COUNTIF(Настройки!$D$17:$D$26,F1542)&gt;0,3,0))))</f>
        <v/>
      </c>
      <c r="I1542">
        <f>IF(AND(ISNUMBER(A1542),ISNUMBER(B1542)),A1542*1000+B1542,"")</f>
        <v/>
      </c>
      <c r="J1542">
        <f>IF(I1542="","",IF(COUNTIF(I$2:I1542,I1542)=1,MAX(J$1:J1541)+1,""))</f>
        <v/>
      </c>
    </row>
    <row r="1543">
      <c r="A1543">
        <f>IFERROR(--SUBSTITUTE(SUBSTITUTE(TRIM(INDEX(INDIRECT("'Выгрузка'!A1543:Z1543"),Настройки!$B$7)),",","."),".",MID(1/2,2,1)),"")</f>
        <v/>
      </c>
      <c r="B1543">
        <f>IFERROR(--SUBSTITUTE(SUBSTITUTE(TRIM(INDEX(INDIRECT("'Выгрузка'!A1543:Z1543"),Настройки!$B$9)),",","."),".",MID(1/2,2,1)),"")</f>
        <v/>
      </c>
      <c r="C1543">
        <f>TRIM(INDEX(INDIRECT("'Выгрузка'!A1543:Z1543"),Настройки!$B$8)&amp;"")</f>
        <v/>
      </c>
      <c r="D1543">
        <f>IFERROR(--SUBSTITUTE(SUBSTITUTE(TRIM(INDEX(INDIRECT("'Выгрузка'!A1543:Z1543"),Настройки!$B$10)),",","."),".",MID(1/2,2,1)),"")</f>
        <v/>
      </c>
      <c r="E1543">
        <f>IFERROR(--SUBSTITUTE(SUBSTITUTE(TRIM(INDEX(INDIRECT("'Выгрузка'!A1543:Z1543"),Настройки!$B$11)),",","."),".",MID(1/2,2,1)),"")</f>
        <v/>
      </c>
      <c r="F1543">
        <f>TRIM(INDEX(INDIRECT("'Выгрузка'!A1543:Z1543"),Настройки!$B$12)&amp;"")</f>
        <v/>
      </c>
      <c r="G1543">
        <f>IF(F1543="",0,IF(TRIM(INDEX(INDIRECT("'Выгрузка'!A1543:Z1543"),Настройки!$B$13)&amp;"")="",1,IFERROR(--SUBSTITUTE(SUBSTITUTE(TRIM(INDEX(INDIRECT("'Выгрузка'!A1543:Z1543"),Настройки!$B$13)),",","."),".",MID(1/2,2,1)),"")))</f>
        <v/>
      </c>
      <c r="H1543">
        <f>IF(F1543="",0,IF(COUNTIF(Настройки!$B$17:$B$26,F1543)&gt;0,1,IF(COUNTIF(Настройки!$C$17:$C$26,F1543)&gt;0,2,IF(COUNTIF(Настройки!$D$17:$D$26,F1543)&gt;0,3,0))))</f>
        <v/>
      </c>
      <c r="I1543">
        <f>IF(AND(ISNUMBER(A1543),ISNUMBER(B1543)),A1543*1000+B1543,"")</f>
        <v/>
      </c>
      <c r="J1543">
        <f>IF(I1543="","",IF(COUNTIF(I$2:I1543,I1543)=1,MAX(J$1:J1542)+1,""))</f>
        <v/>
      </c>
    </row>
    <row r="1544">
      <c r="A1544">
        <f>IFERROR(--SUBSTITUTE(SUBSTITUTE(TRIM(INDEX(INDIRECT("'Выгрузка'!A1544:Z1544"),Настройки!$B$7)),",","."),".",MID(1/2,2,1)),"")</f>
        <v/>
      </c>
      <c r="B1544">
        <f>IFERROR(--SUBSTITUTE(SUBSTITUTE(TRIM(INDEX(INDIRECT("'Выгрузка'!A1544:Z1544"),Настройки!$B$9)),",","."),".",MID(1/2,2,1)),"")</f>
        <v/>
      </c>
      <c r="C1544">
        <f>TRIM(INDEX(INDIRECT("'Выгрузка'!A1544:Z1544"),Настройки!$B$8)&amp;"")</f>
        <v/>
      </c>
      <c r="D1544">
        <f>IFERROR(--SUBSTITUTE(SUBSTITUTE(TRIM(INDEX(INDIRECT("'Выгрузка'!A1544:Z1544"),Настройки!$B$10)),",","."),".",MID(1/2,2,1)),"")</f>
        <v/>
      </c>
      <c r="E1544">
        <f>IFERROR(--SUBSTITUTE(SUBSTITUTE(TRIM(INDEX(INDIRECT("'Выгрузка'!A1544:Z1544"),Настройки!$B$11)),",","."),".",MID(1/2,2,1)),"")</f>
        <v/>
      </c>
      <c r="F1544">
        <f>TRIM(INDEX(INDIRECT("'Выгрузка'!A1544:Z1544"),Настройки!$B$12)&amp;"")</f>
        <v/>
      </c>
      <c r="G1544">
        <f>IF(F1544="",0,IF(TRIM(INDEX(INDIRECT("'Выгрузка'!A1544:Z1544"),Настройки!$B$13)&amp;"")="",1,IFERROR(--SUBSTITUTE(SUBSTITUTE(TRIM(INDEX(INDIRECT("'Выгрузка'!A1544:Z1544"),Настройки!$B$13)),",","."),".",MID(1/2,2,1)),"")))</f>
        <v/>
      </c>
      <c r="H1544">
        <f>IF(F1544="",0,IF(COUNTIF(Настройки!$B$17:$B$26,F1544)&gt;0,1,IF(COUNTIF(Настройки!$C$17:$C$26,F1544)&gt;0,2,IF(COUNTIF(Настройки!$D$17:$D$26,F1544)&gt;0,3,0))))</f>
        <v/>
      </c>
      <c r="I1544">
        <f>IF(AND(ISNUMBER(A1544),ISNUMBER(B1544)),A1544*1000+B1544,"")</f>
        <v/>
      </c>
      <c r="J1544">
        <f>IF(I1544="","",IF(COUNTIF(I$2:I1544,I1544)=1,MAX(J$1:J1543)+1,""))</f>
        <v/>
      </c>
    </row>
    <row r="1545">
      <c r="A1545">
        <f>IFERROR(--SUBSTITUTE(SUBSTITUTE(TRIM(INDEX(INDIRECT("'Выгрузка'!A1545:Z1545"),Настройки!$B$7)),",","."),".",MID(1/2,2,1)),"")</f>
        <v/>
      </c>
      <c r="B1545">
        <f>IFERROR(--SUBSTITUTE(SUBSTITUTE(TRIM(INDEX(INDIRECT("'Выгрузка'!A1545:Z1545"),Настройки!$B$9)),",","."),".",MID(1/2,2,1)),"")</f>
        <v/>
      </c>
      <c r="C1545">
        <f>TRIM(INDEX(INDIRECT("'Выгрузка'!A1545:Z1545"),Настройки!$B$8)&amp;"")</f>
        <v/>
      </c>
      <c r="D1545">
        <f>IFERROR(--SUBSTITUTE(SUBSTITUTE(TRIM(INDEX(INDIRECT("'Выгрузка'!A1545:Z1545"),Настройки!$B$10)),",","."),".",MID(1/2,2,1)),"")</f>
        <v/>
      </c>
      <c r="E1545">
        <f>IFERROR(--SUBSTITUTE(SUBSTITUTE(TRIM(INDEX(INDIRECT("'Выгрузка'!A1545:Z1545"),Настройки!$B$11)),",","."),".",MID(1/2,2,1)),"")</f>
        <v/>
      </c>
      <c r="F1545">
        <f>TRIM(INDEX(INDIRECT("'Выгрузка'!A1545:Z1545"),Настройки!$B$12)&amp;"")</f>
        <v/>
      </c>
      <c r="G1545">
        <f>IF(F1545="",0,IF(TRIM(INDEX(INDIRECT("'Выгрузка'!A1545:Z1545"),Настройки!$B$13)&amp;"")="",1,IFERROR(--SUBSTITUTE(SUBSTITUTE(TRIM(INDEX(INDIRECT("'Выгрузка'!A1545:Z1545"),Настройки!$B$13)),",","."),".",MID(1/2,2,1)),"")))</f>
        <v/>
      </c>
      <c r="H1545">
        <f>IF(F1545="",0,IF(COUNTIF(Настройки!$B$17:$B$26,F1545)&gt;0,1,IF(COUNTIF(Настройки!$C$17:$C$26,F1545)&gt;0,2,IF(COUNTIF(Настройки!$D$17:$D$26,F1545)&gt;0,3,0))))</f>
        <v/>
      </c>
      <c r="I1545">
        <f>IF(AND(ISNUMBER(A1545),ISNUMBER(B1545)),A1545*1000+B1545,"")</f>
        <v/>
      </c>
      <c r="J1545">
        <f>IF(I1545="","",IF(COUNTIF(I$2:I1545,I1545)=1,MAX(J$1:J1544)+1,""))</f>
        <v/>
      </c>
    </row>
    <row r="1546">
      <c r="A1546">
        <f>IFERROR(--SUBSTITUTE(SUBSTITUTE(TRIM(INDEX(INDIRECT("'Выгрузка'!A1546:Z1546"),Настройки!$B$7)),",","."),".",MID(1/2,2,1)),"")</f>
        <v/>
      </c>
      <c r="B1546">
        <f>IFERROR(--SUBSTITUTE(SUBSTITUTE(TRIM(INDEX(INDIRECT("'Выгрузка'!A1546:Z1546"),Настройки!$B$9)),",","."),".",MID(1/2,2,1)),"")</f>
        <v/>
      </c>
      <c r="C1546">
        <f>TRIM(INDEX(INDIRECT("'Выгрузка'!A1546:Z1546"),Настройки!$B$8)&amp;"")</f>
        <v/>
      </c>
      <c r="D1546">
        <f>IFERROR(--SUBSTITUTE(SUBSTITUTE(TRIM(INDEX(INDIRECT("'Выгрузка'!A1546:Z1546"),Настройки!$B$10)),",","."),".",MID(1/2,2,1)),"")</f>
        <v/>
      </c>
      <c r="E1546">
        <f>IFERROR(--SUBSTITUTE(SUBSTITUTE(TRIM(INDEX(INDIRECT("'Выгрузка'!A1546:Z1546"),Настройки!$B$11)),",","."),".",MID(1/2,2,1)),"")</f>
        <v/>
      </c>
      <c r="F1546">
        <f>TRIM(INDEX(INDIRECT("'Выгрузка'!A1546:Z1546"),Настройки!$B$12)&amp;"")</f>
        <v/>
      </c>
      <c r="G1546">
        <f>IF(F1546="",0,IF(TRIM(INDEX(INDIRECT("'Выгрузка'!A1546:Z1546"),Настройки!$B$13)&amp;"")="",1,IFERROR(--SUBSTITUTE(SUBSTITUTE(TRIM(INDEX(INDIRECT("'Выгрузка'!A1546:Z1546"),Настройки!$B$13)),",","."),".",MID(1/2,2,1)),"")))</f>
        <v/>
      </c>
      <c r="H1546">
        <f>IF(F1546="",0,IF(COUNTIF(Настройки!$B$17:$B$26,F1546)&gt;0,1,IF(COUNTIF(Настройки!$C$17:$C$26,F1546)&gt;0,2,IF(COUNTIF(Настройки!$D$17:$D$26,F1546)&gt;0,3,0))))</f>
        <v/>
      </c>
      <c r="I1546">
        <f>IF(AND(ISNUMBER(A1546),ISNUMBER(B1546)),A1546*1000+B1546,"")</f>
        <v/>
      </c>
      <c r="J1546">
        <f>IF(I1546="","",IF(COUNTIF(I$2:I1546,I1546)=1,MAX(J$1:J1545)+1,""))</f>
        <v/>
      </c>
    </row>
    <row r="1547">
      <c r="A1547">
        <f>IFERROR(--SUBSTITUTE(SUBSTITUTE(TRIM(INDEX(INDIRECT("'Выгрузка'!A1547:Z1547"),Настройки!$B$7)),",","."),".",MID(1/2,2,1)),"")</f>
        <v/>
      </c>
      <c r="B1547">
        <f>IFERROR(--SUBSTITUTE(SUBSTITUTE(TRIM(INDEX(INDIRECT("'Выгрузка'!A1547:Z1547"),Настройки!$B$9)),",","."),".",MID(1/2,2,1)),"")</f>
        <v/>
      </c>
      <c r="C1547">
        <f>TRIM(INDEX(INDIRECT("'Выгрузка'!A1547:Z1547"),Настройки!$B$8)&amp;"")</f>
        <v/>
      </c>
      <c r="D1547">
        <f>IFERROR(--SUBSTITUTE(SUBSTITUTE(TRIM(INDEX(INDIRECT("'Выгрузка'!A1547:Z1547"),Настройки!$B$10)),",","."),".",MID(1/2,2,1)),"")</f>
        <v/>
      </c>
      <c r="E1547">
        <f>IFERROR(--SUBSTITUTE(SUBSTITUTE(TRIM(INDEX(INDIRECT("'Выгрузка'!A1547:Z1547"),Настройки!$B$11)),",","."),".",MID(1/2,2,1)),"")</f>
        <v/>
      </c>
      <c r="F1547">
        <f>TRIM(INDEX(INDIRECT("'Выгрузка'!A1547:Z1547"),Настройки!$B$12)&amp;"")</f>
        <v/>
      </c>
      <c r="G1547">
        <f>IF(F1547="",0,IF(TRIM(INDEX(INDIRECT("'Выгрузка'!A1547:Z1547"),Настройки!$B$13)&amp;"")="",1,IFERROR(--SUBSTITUTE(SUBSTITUTE(TRIM(INDEX(INDIRECT("'Выгрузка'!A1547:Z1547"),Настройки!$B$13)),",","."),".",MID(1/2,2,1)),"")))</f>
        <v/>
      </c>
      <c r="H1547">
        <f>IF(F1547="",0,IF(COUNTIF(Настройки!$B$17:$B$26,F1547)&gt;0,1,IF(COUNTIF(Настройки!$C$17:$C$26,F1547)&gt;0,2,IF(COUNTIF(Настройки!$D$17:$D$26,F1547)&gt;0,3,0))))</f>
        <v/>
      </c>
      <c r="I1547">
        <f>IF(AND(ISNUMBER(A1547),ISNUMBER(B1547)),A1547*1000+B1547,"")</f>
        <v/>
      </c>
      <c r="J1547">
        <f>IF(I1547="","",IF(COUNTIF(I$2:I1547,I1547)=1,MAX(J$1:J1546)+1,""))</f>
        <v/>
      </c>
    </row>
    <row r="1548">
      <c r="A1548">
        <f>IFERROR(--SUBSTITUTE(SUBSTITUTE(TRIM(INDEX(INDIRECT("'Выгрузка'!A1548:Z1548"),Настройки!$B$7)),",","."),".",MID(1/2,2,1)),"")</f>
        <v/>
      </c>
      <c r="B1548">
        <f>IFERROR(--SUBSTITUTE(SUBSTITUTE(TRIM(INDEX(INDIRECT("'Выгрузка'!A1548:Z1548"),Настройки!$B$9)),",","."),".",MID(1/2,2,1)),"")</f>
        <v/>
      </c>
      <c r="C1548">
        <f>TRIM(INDEX(INDIRECT("'Выгрузка'!A1548:Z1548"),Настройки!$B$8)&amp;"")</f>
        <v/>
      </c>
      <c r="D1548">
        <f>IFERROR(--SUBSTITUTE(SUBSTITUTE(TRIM(INDEX(INDIRECT("'Выгрузка'!A1548:Z1548"),Настройки!$B$10)),",","."),".",MID(1/2,2,1)),"")</f>
        <v/>
      </c>
      <c r="E1548">
        <f>IFERROR(--SUBSTITUTE(SUBSTITUTE(TRIM(INDEX(INDIRECT("'Выгрузка'!A1548:Z1548"),Настройки!$B$11)),",","."),".",MID(1/2,2,1)),"")</f>
        <v/>
      </c>
      <c r="F1548">
        <f>TRIM(INDEX(INDIRECT("'Выгрузка'!A1548:Z1548"),Настройки!$B$12)&amp;"")</f>
        <v/>
      </c>
      <c r="G1548">
        <f>IF(F1548="",0,IF(TRIM(INDEX(INDIRECT("'Выгрузка'!A1548:Z1548"),Настройки!$B$13)&amp;"")="",1,IFERROR(--SUBSTITUTE(SUBSTITUTE(TRIM(INDEX(INDIRECT("'Выгрузка'!A1548:Z1548"),Настройки!$B$13)),",","."),".",MID(1/2,2,1)),"")))</f>
        <v/>
      </c>
      <c r="H1548">
        <f>IF(F1548="",0,IF(COUNTIF(Настройки!$B$17:$B$26,F1548)&gt;0,1,IF(COUNTIF(Настройки!$C$17:$C$26,F1548)&gt;0,2,IF(COUNTIF(Настройки!$D$17:$D$26,F1548)&gt;0,3,0))))</f>
        <v/>
      </c>
      <c r="I1548">
        <f>IF(AND(ISNUMBER(A1548),ISNUMBER(B1548)),A1548*1000+B1548,"")</f>
        <v/>
      </c>
      <c r="J1548">
        <f>IF(I1548="","",IF(COUNTIF(I$2:I1548,I1548)=1,MAX(J$1:J1547)+1,""))</f>
        <v/>
      </c>
    </row>
    <row r="1549">
      <c r="A1549">
        <f>IFERROR(--SUBSTITUTE(SUBSTITUTE(TRIM(INDEX(INDIRECT("'Выгрузка'!A1549:Z1549"),Настройки!$B$7)),",","."),".",MID(1/2,2,1)),"")</f>
        <v/>
      </c>
      <c r="B1549">
        <f>IFERROR(--SUBSTITUTE(SUBSTITUTE(TRIM(INDEX(INDIRECT("'Выгрузка'!A1549:Z1549"),Настройки!$B$9)),",","."),".",MID(1/2,2,1)),"")</f>
        <v/>
      </c>
      <c r="C1549">
        <f>TRIM(INDEX(INDIRECT("'Выгрузка'!A1549:Z1549"),Настройки!$B$8)&amp;"")</f>
        <v/>
      </c>
      <c r="D1549">
        <f>IFERROR(--SUBSTITUTE(SUBSTITUTE(TRIM(INDEX(INDIRECT("'Выгрузка'!A1549:Z1549"),Настройки!$B$10)),",","."),".",MID(1/2,2,1)),"")</f>
        <v/>
      </c>
      <c r="E1549">
        <f>IFERROR(--SUBSTITUTE(SUBSTITUTE(TRIM(INDEX(INDIRECT("'Выгрузка'!A1549:Z1549"),Настройки!$B$11)),",","."),".",MID(1/2,2,1)),"")</f>
        <v/>
      </c>
      <c r="F1549">
        <f>TRIM(INDEX(INDIRECT("'Выгрузка'!A1549:Z1549"),Настройки!$B$12)&amp;"")</f>
        <v/>
      </c>
      <c r="G1549">
        <f>IF(F1549="",0,IF(TRIM(INDEX(INDIRECT("'Выгрузка'!A1549:Z1549"),Настройки!$B$13)&amp;"")="",1,IFERROR(--SUBSTITUTE(SUBSTITUTE(TRIM(INDEX(INDIRECT("'Выгрузка'!A1549:Z1549"),Настройки!$B$13)),",","."),".",MID(1/2,2,1)),"")))</f>
        <v/>
      </c>
      <c r="H1549">
        <f>IF(F1549="",0,IF(COUNTIF(Настройки!$B$17:$B$26,F1549)&gt;0,1,IF(COUNTIF(Настройки!$C$17:$C$26,F1549)&gt;0,2,IF(COUNTIF(Настройки!$D$17:$D$26,F1549)&gt;0,3,0))))</f>
        <v/>
      </c>
      <c r="I1549">
        <f>IF(AND(ISNUMBER(A1549),ISNUMBER(B1549)),A1549*1000+B1549,"")</f>
        <v/>
      </c>
      <c r="J1549">
        <f>IF(I1549="","",IF(COUNTIF(I$2:I1549,I1549)=1,MAX(J$1:J1548)+1,""))</f>
        <v/>
      </c>
    </row>
    <row r="1550">
      <c r="A1550">
        <f>IFERROR(--SUBSTITUTE(SUBSTITUTE(TRIM(INDEX(INDIRECT("'Выгрузка'!A1550:Z1550"),Настройки!$B$7)),",","."),".",MID(1/2,2,1)),"")</f>
        <v/>
      </c>
      <c r="B1550">
        <f>IFERROR(--SUBSTITUTE(SUBSTITUTE(TRIM(INDEX(INDIRECT("'Выгрузка'!A1550:Z1550"),Настройки!$B$9)),",","."),".",MID(1/2,2,1)),"")</f>
        <v/>
      </c>
      <c r="C1550">
        <f>TRIM(INDEX(INDIRECT("'Выгрузка'!A1550:Z1550"),Настройки!$B$8)&amp;"")</f>
        <v/>
      </c>
      <c r="D1550">
        <f>IFERROR(--SUBSTITUTE(SUBSTITUTE(TRIM(INDEX(INDIRECT("'Выгрузка'!A1550:Z1550"),Настройки!$B$10)),",","."),".",MID(1/2,2,1)),"")</f>
        <v/>
      </c>
      <c r="E1550">
        <f>IFERROR(--SUBSTITUTE(SUBSTITUTE(TRIM(INDEX(INDIRECT("'Выгрузка'!A1550:Z1550"),Настройки!$B$11)),",","."),".",MID(1/2,2,1)),"")</f>
        <v/>
      </c>
      <c r="F1550">
        <f>TRIM(INDEX(INDIRECT("'Выгрузка'!A1550:Z1550"),Настройки!$B$12)&amp;"")</f>
        <v/>
      </c>
      <c r="G1550">
        <f>IF(F1550="",0,IF(TRIM(INDEX(INDIRECT("'Выгрузка'!A1550:Z1550"),Настройки!$B$13)&amp;"")="",1,IFERROR(--SUBSTITUTE(SUBSTITUTE(TRIM(INDEX(INDIRECT("'Выгрузка'!A1550:Z1550"),Настройки!$B$13)),",","."),".",MID(1/2,2,1)),"")))</f>
        <v/>
      </c>
      <c r="H1550">
        <f>IF(F1550="",0,IF(COUNTIF(Настройки!$B$17:$B$26,F1550)&gt;0,1,IF(COUNTIF(Настройки!$C$17:$C$26,F1550)&gt;0,2,IF(COUNTIF(Настройки!$D$17:$D$26,F1550)&gt;0,3,0))))</f>
        <v/>
      </c>
      <c r="I1550">
        <f>IF(AND(ISNUMBER(A1550),ISNUMBER(B1550)),A1550*1000+B1550,"")</f>
        <v/>
      </c>
      <c r="J1550">
        <f>IF(I1550="","",IF(COUNTIF(I$2:I1550,I1550)=1,MAX(J$1:J1549)+1,""))</f>
        <v/>
      </c>
    </row>
    <row r="1551">
      <c r="A1551">
        <f>IFERROR(--SUBSTITUTE(SUBSTITUTE(TRIM(INDEX(INDIRECT("'Выгрузка'!A1551:Z1551"),Настройки!$B$7)),",","."),".",MID(1/2,2,1)),"")</f>
        <v/>
      </c>
      <c r="B1551">
        <f>IFERROR(--SUBSTITUTE(SUBSTITUTE(TRIM(INDEX(INDIRECT("'Выгрузка'!A1551:Z1551"),Настройки!$B$9)),",","."),".",MID(1/2,2,1)),"")</f>
        <v/>
      </c>
      <c r="C1551">
        <f>TRIM(INDEX(INDIRECT("'Выгрузка'!A1551:Z1551"),Настройки!$B$8)&amp;"")</f>
        <v/>
      </c>
      <c r="D1551">
        <f>IFERROR(--SUBSTITUTE(SUBSTITUTE(TRIM(INDEX(INDIRECT("'Выгрузка'!A1551:Z1551"),Настройки!$B$10)),",","."),".",MID(1/2,2,1)),"")</f>
        <v/>
      </c>
      <c r="E1551">
        <f>IFERROR(--SUBSTITUTE(SUBSTITUTE(TRIM(INDEX(INDIRECT("'Выгрузка'!A1551:Z1551"),Настройки!$B$11)),",","."),".",MID(1/2,2,1)),"")</f>
        <v/>
      </c>
      <c r="F1551">
        <f>TRIM(INDEX(INDIRECT("'Выгрузка'!A1551:Z1551"),Настройки!$B$12)&amp;"")</f>
        <v/>
      </c>
      <c r="G1551">
        <f>IF(F1551="",0,IF(TRIM(INDEX(INDIRECT("'Выгрузка'!A1551:Z1551"),Настройки!$B$13)&amp;"")="",1,IFERROR(--SUBSTITUTE(SUBSTITUTE(TRIM(INDEX(INDIRECT("'Выгрузка'!A1551:Z1551"),Настройки!$B$13)),",","."),".",MID(1/2,2,1)),"")))</f>
        <v/>
      </c>
      <c r="H1551">
        <f>IF(F1551="",0,IF(COUNTIF(Настройки!$B$17:$B$26,F1551)&gt;0,1,IF(COUNTIF(Настройки!$C$17:$C$26,F1551)&gt;0,2,IF(COUNTIF(Настройки!$D$17:$D$26,F1551)&gt;0,3,0))))</f>
        <v/>
      </c>
      <c r="I1551">
        <f>IF(AND(ISNUMBER(A1551),ISNUMBER(B1551)),A1551*1000+B1551,"")</f>
        <v/>
      </c>
      <c r="J1551">
        <f>IF(I1551="","",IF(COUNTIF(I$2:I1551,I1551)=1,MAX(J$1:J1550)+1,""))</f>
        <v/>
      </c>
    </row>
    <row r="1552">
      <c r="A1552">
        <f>IFERROR(--SUBSTITUTE(SUBSTITUTE(TRIM(INDEX(INDIRECT("'Выгрузка'!A1552:Z1552"),Настройки!$B$7)),",","."),".",MID(1/2,2,1)),"")</f>
        <v/>
      </c>
      <c r="B1552">
        <f>IFERROR(--SUBSTITUTE(SUBSTITUTE(TRIM(INDEX(INDIRECT("'Выгрузка'!A1552:Z1552"),Настройки!$B$9)),",","."),".",MID(1/2,2,1)),"")</f>
        <v/>
      </c>
      <c r="C1552">
        <f>TRIM(INDEX(INDIRECT("'Выгрузка'!A1552:Z1552"),Настройки!$B$8)&amp;"")</f>
        <v/>
      </c>
      <c r="D1552">
        <f>IFERROR(--SUBSTITUTE(SUBSTITUTE(TRIM(INDEX(INDIRECT("'Выгрузка'!A1552:Z1552"),Настройки!$B$10)),",","."),".",MID(1/2,2,1)),"")</f>
        <v/>
      </c>
      <c r="E1552">
        <f>IFERROR(--SUBSTITUTE(SUBSTITUTE(TRIM(INDEX(INDIRECT("'Выгрузка'!A1552:Z1552"),Настройки!$B$11)),",","."),".",MID(1/2,2,1)),"")</f>
        <v/>
      </c>
      <c r="F1552">
        <f>TRIM(INDEX(INDIRECT("'Выгрузка'!A1552:Z1552"),Настройки!$B$12)&amp;"")</f>
        <v/>
      </c>
      <c r="G1552">
        <f>IF(F1552="",0,IF(TRIM(INDEX(INDIRECT("'Выгрузка'!A1552:Z1552"),Настройки!$B$13)&amp;"")="",1,IFERROR(--SUBSTITUTE(SUBSTITUTE(TRIM(INDEX(INDIRECT("'Выгрузка'!A1552:Z1552"),Настройки!$B$13)),",","."),".",MID(1/2,2,1)),"")))</f>
        <v/>
      </c>
      <c r="H1552">
        <f>IF(F1552="",0,IF(COUNTIF(Настройки!$B$17:$B$26,F1552)&gt;0,1,IF(COUNTIF(Настройки!$C$17:$C$26,F1552)&gt;0,2,IF(COUNTIF(Настройки!$D$17:$D$26,F1552)&gt;0,3,0))))</f>
        <v/>
      </c>
      <c r="I1552">
        <f>IF(AND(ISNUMBER(A1552),ISNUMBER(B1552)),A1552*1000+B1552,"")</f>
        <v/>
      </c>
      <c r="J1552">
        <f>IF(I1552="","",IF(COUNTIF(I$2:I1552,I1552)=1,MAX(J$1:J1551)+1,""))</f>
        <v/>
      </c>
    </row>
    <row r="1553">
      <c r="A1553">
        <f>IFERROR(--SUBSTITUTE(SUBSTITUTE(TRIM(INDEX(INDIRECT("'Выгрузка'!A1553:Z1553"),Настройки!$B$7)),",","."),".",MID(1/2,2,1)),"")</f>
        <v/>
      </c>
      <c r="B1553">
        <f>IFERROR(--SUBSTITUTE(SUBSTITUTE(TRIM(INDEX(INDIRECT("'Выгрузка'!A1553:Z1553"),Настройки!$B$9)),",","."),".",MID(1/2,2,1)),"")</f>
        <v/>
      </c>
      <c r="C1553">
        <f>TRIM(INDEX(INDIRECT("'Выгрузка'!A1553:Z1553"),Настройки!$B$8)&amp;"")</f>
        <v/>
      </c>
      <c r="D1553">
        <f>IFERROR(--SUBSTITUTE(SUBSTITUTE(TRIM(INDEX(INDIRECT("'Выгрузка'!A1553:Z1553"),Настройки!$B$10)),",","."),".",MID(1/2,2,1)),"")</f>
        <v/>
      </c>
      <c r="E1553">
        <f>IFERROR(--SUBSTITUTE(SUBSTITUTE(TRIM(INDEX(INDIRECT("'Выгрузка'!A1553:Z1553"),Настройки!$B$11)),",","."),".",MID(1/2,2,1)),"")</f>
        <v/>
      </c>
      <c r="F1553">
        <f>TRIM(INDEX(INDIRECT("'Выгрузка'!A1553:Z1553"),Настройки!$B$12)&amp;"")</f>
        <v/>
      </c>
      <c r="G1553">
        <f>IF(F1553="",0,IF(TRIM(INDEX(INDIRECT("'Выгрузка'!A1553:Z1553"),Настройки!$B$13)&amp;"")="",1,IFERROR(--SUBSTITUTE(SUBSTITUTE(TRIM(INDEX(INDIRECT("'Выгрузка'!A1553:Z1553"),Настройки!$B$13)),",","."),".",MID(1/2,2,1)),"")))</f>
        <v/>
      </c>
      <c r="H1553">
        <f>IF(F1553="",0,IF(COUNTIF(Настройки!$B$17:$B$26,F1553)&gt;0,1,IF(COUNTIF(Настройки!$C$17:$C$26,F1553)&gt;0,2,IF(COUNTIF(Настройки!$D$17:$D$26,F1553)&gt;0,3,0))))</f>
        <v/>
      </c>
      <c r="I1553">
        <f>IF(AND(ISNUMBER(A1553),ISNUMBER(B1553)),A1553*1000+B1553,"")</f>
        <v/>
      </c>
      <c r="J1553">
        <f>IF(I1553="","",IF(COUNTIF(I$2:I1553,I1553)=1,MAX(J$1:J1552)+1,""))</f>
        <v/>
      </c>
    </row>
    <row r="1554">
      <c r="A1554">
        <f>IFERROR(--SUBSTITUTE(SUBSTITUTE(TRIM(INDEX(INDIRECT("'Выгрузка'!A1554:Z1554"),Настройки!$B$7)),",","."),".",MID(1/2,2,1)),"")</f>
        <v/>
      </c>
      <c r="B1554">
        <f>IFERROR(--SUBSTITUTE(SUBSTITUTE(TRIM(INDEX(INDIRECT("'Выгрузка'!A1554:Z1554"),Настройки!$B$9)),",","."),".",MID(1/2,2,1)),"")</f>
        <v/>
      </c>
      <c r="C1554">
        <f>TRIM(INDEX(INDIRECT("'Выгрузка'!A1554:Z1554"),Настройки!$B$8)&amp;"")</f>
        <v/>
      </c>
      <c r="D1554">
        <f>IFERROR(--SUBSTITUTE(SUBSTITUTE(TRIM(INDEX(INDIRECT("'Выгрузка'!A1554:Z1554"),Настройки!$B$10)),",","."),".",MID(1/2,2,1)),"")</f>
        <v/>
      </c>
      <c r="E1554">
        <f>IFERROR(--SUBSTITUTE(SUBSTITUTE(TRIM(INDEX(INDIRECT("'Выгрузка'!A1554:Z1554"),Настройки!$B$11)),",","."),".",MID(1/2,2,1)),"")</f>
        <v/>
      </c>
      <c r="F1554">
        <f>TRIM(INDEX(INDIRECT("'Выгрузка'!A1554:Z1554"),Настройки!$B$12)&amp;"")</f>
        <v/>
      </c>
      <c r="G1554">
        <f>IF(F1554="",0,IF(TRIM(INDEX(INDIRECT("'Выгрузка'!A1554:Z1554"),Настройки!$B$13)&amp;"")="",1,IFERROR(--SUBSTITUTE(SUBSTITUTE(TRIM(INDEX(INDIRECT("'Выгрузка'!A1554:Z1554"),Настройки!$B$13)),",","."),".",MID(1/2,2,1)),"")))</f>
        <v/>
      </c>
      <c r="H1554">
        <f>IF(F1554="",0,IF(COUNTIF(Настройки!$B$17:$B$26,F1554)&gt;0,1,IF(COUNTIF(Настройки!$C$17:$C$26,F1554)&gt;0,2,IF(COUNTIF(Настройки!$D$17:$D$26,F1554)&gt;0,3,0))))</f>
        <v/>
      </c>
      <c r="I1554">
        <f>IF(AND(ISNUMBER(A1554),ISNUMBER(B1554)),A1554*1000+B1554,"")</f>
        <v/>
      </c>
      <c r="J1554">
        <f>IF(I1554="","",IF(COUNTIF(I$2:I1554,I1554)=1,MAX(J$1:J1553)+1,""))</f>
        <v/>
      </c>
    </row>
    <row r="1555">
      <c r="A1555">
        <f>IFERROR(--SUBSTITUTE(SUBSTITUTE(TRIM(INDEX(INDIRECT("'Выгрузка'!A1555:Z1555"),Настройки!$B$7)),",","."),".",MID(1/2,2,1)),"")</f>
        <v/>
      </c>
      <c r="B1555">
        <f>IFERROR(--SUBSTITUTE(SUBSTITUTE(TRIM(INDEX(INDIRECT("'Выгрузка'!A1555:Z1555"),Настройки!$B$9)),",","."),".",MID(1/2,2,1)),"")</f>
        <v/>
      </c>
      <c r="C1555">
        <f>TRIM(INDEX(INDIRECT("'Выгрузка'!A1555:Z1555"),Настройки!$B$8)&amp;"")</f>
        <v/>
      </c>
      <c r="D1555">
        <f>IFERROR(--SUBSTITUTE(SUBSTITUTE(TRIM(INDEX(INDIRECT("'Выгрузка'!A1555:Z1555"),Настройки!$B$10)),",","."),".",MID(1/2,2,1)),"")</f>
        <v/>
      </c>
      <c r="E1555">
        <f>IFERROR(--SUBSTITUTE(SUBSTITUTE(TRIM(INDEX(INDIRECT("'Выгрузка'!A1555:Z1555"),Настройки!$B$11)),",","."),".",MID(1/2,2,1)),"")</f>
        <v/>
      </c>
      <c r="F1555">
        <f>TRIM(INDEX(INDIRECT("'Выгрузка'!A1555:Z1555"),Настройки!$B$12)&amp;"")</f>
        <v/>
      </c>
      <c r="G1555">
        <f>IF(F1555="",0,IF(TRIM(INDEX(INDIRECT("'Выгрузка'!A1555:Z1555"),Настройки!$B$13)&amp;"")="",1,IFERROR(--SUBSTITUTE(SUBSTITUTE(TRIM(INDEX(INDIRECT("'Выгрузка'!A1555:Z1555"),Настройки!$B$13)),",","."),".",MID(1/2,2,1)),"")))</f>
        <v/>
      </c>
      <c r="H1555">
        <f>IF(F1555="",0,IF(COUNTIF(Настройки!$B$17:$B$26,F1555)&gt;0,1,IF(COUNTIF(Настройки!$C$17:$C$26,F1555)&gt;0,2,IF(COUNTIF(Настройки!$D$17:$D$26,F1555)&gt;0,3,0))))</f>
        <v/>
      </c>
      <c r="I1555">
        <f>IF(AND(ISNUMBER(A1555),ISNUMBER(B1555)),A1555*1000+B1555,"")</f>
        <v/>
      </c>
      <c r="J1555">
        <f>IF(I1555="","",IF(COUNTIF(I$2:I1555,I1555)=1,MAX(J$1:J1554)+1,""))</f>
        <v/>
      </c>
    </row>
    <row r="1556">
      <c r="A1556">
        <f>IFERROR(--SUBSTITUTE(SUBSTITUTE(TRIM(INDEX(INDIRECT("'Выгрузка'!A1556:Z1556"),Настройки!$B$7)),",","."),".",MID(1/2,2,1)),"")</f>
        <v/>
      </c>
      <c r="B1556">
        <f>IFERROR(--SUBSTITUTE(SUBSTITUTE(TRIM(INDEX(INDIRECT("'Выгрузка'!A1556:Z1556"),Настройки!$B$9)),",","."),".",MID(1/2,2,1)),"")</f>
        <v/>
      </c>
      <c r="C1556">
        <f>TRIM(INDEX(INDIRECT("'Выгрузка'!A1556:Z1556"),Настройки!$B$8)&amp;"")</f>
        <v/>
      </c>
      <c r="D1556">
        <f>IFERROR(--SUBSTITUTE(SUBSTITUTE(TRIM(INDEX(INDIRECT("'Выгрузка'!A1556:Z1556"),Настройки!$B$10)),",","."),".",MID(1/2,2,1)),"")</f>
        <v/>
      </c>
      <c r="E1556">
        <f>IFERROR(--SUBSTITUTE(SUBSTITUTE(TRIM(INDEX(INDIRECT("'Выгрузка'!A1556:Z1556"),Настройки!$B$11)),",","."),".",MID(1/2,2,1)),"")</f>
        <v/>
      </c>
      <c r="F1556">
        <f>TRIM(INDEX(INDIRECT("'Выгрузка'!A1556:Z1556"),Настройки!$B$12)&amp;"")</f>
        <v/>
      </c>
      <c r="G1556">
        <f>IF(F1556="",0,IF(TRIM(INDEX(INDIRECT("'Выгрузка'!A1556:Z1556"),Настройки!$B$13)&amp;"")="",1,IFERROR(--SUBSTITUTE(SUBSTITUTE(TRIM(INDEX(INDIRECT("'Выгрузка'!A1556:Z1556"),Настройки!$B$13)),",","."),".",MID(1/2,2,1)),"")))</f>
        <v/>
      </c>
      <c r="H1556">
        <f>IF(F1556="",0,IF(COUNTIF(Настройки!$B$17:$B$26,F1556)&gt;0,1,IF(COUNTIF(Настройки!$C$17:$C$26,F1556)&gt;0,2,IF(COUNTIF(Настройки!$D$17:$D$26,F1556)&gt;0,3,0))))</f>
        <v/>
      </c>
      <c r="I1556">
        <f>IF(AND(ISNUMBER(A1556),ISNUMBER(B1556)),A1556*1000+B1556,"")</f>
        <v/>
      </c>
      <c r="J1556">
        <f>IF(I1556="","",IF(COUNTIF(I$2:I1556,I1556)=1,MAX(J$1:J1555)+1,""))</f>
        <v/>
      </c>
    </row>
    <row r="1557">
      <c r="A1557">
        <f>IFERROR(--SUBSTITUTE(SUBSTITUTE(TRIM(INDEX(INDIRECT("'Выгрузка'!A1557:Z1557"),Настройки!$B$7)),",","."),".",MID(1/2,2,1)),"")</f>
        <v/>
      </c>
      <c r="B1557">
        <f>IFERROR(--SUBSTITUTE(SUBSTITUTE(TRIM(INDEX(INDIRECT("'Выгрузка'!A1557:Z1557"),Настройки!$B$9)),",","."),".",MID(1/2,2,1)),"")</f>
        <v/>
      </c>
      <c r="C1557">
        <f>TRIM(INDEX(INDIRECT("'Выгрузка'!A1557:Z1557"),Настройки!$B$8)&amp;"")</f>
        <v/>
      </c>
      <c r="D1557">
        <f>IFERROR(--SUBSTITUTE(SUBSTITUTE(TRIM(INDEX(INDIRECT("'Выгрузка'!A1557:Z1557"),Настройки!$B$10)),",","."),".",MID(1/2,2,1)),"")</f>
        <v/>
      </c>
      <c r="E1557">
        <f>IFERROR(--SUBSTITUTE(SUBSTITUTE(TRIM(INDEX(INDIRECT("'Выгрузка'!A1557:Z1557"),Настройки!$B$11)),",","."),".",MID(1/2,2,1)),"")</f>
        <v/>
      </c>
      <c r="F1557">
        <f>TRIM(INDEX(INDIRECT("'Выгрузка'!A1557:Z1557"),Настройки!$B$12)&amp;"")</f>
        <v/>
      </c>
      <c r="G1557">
        <f>IF(F1557="",0,IF(TRIM(INDEX(INDIRECT("'Выгрузка'!A1557:Z1557"),Настройки!$B$13)&amp;"")="",1,IFERROR(--SUBSTITUTE(SUBSTITUTE(TRIM(INDEX(INDIRECT("'Выгрузка'!A1557:Z1557"),Настройки!$B$13)),",","."),".",MID(1/2,2,1)),"")))</f>
        <v/>
      </c>
      <c r="H1557">
        <f>IF(F1557="",0,IF(COUNTIF(Настройки!$B$17:$B$26,F1557)&gt;0,1,IF(COUNTIF(Настройки!$C$17:$C$26,F1557)&gt;0,2,IF(COUNTIF(Настройки!$D$17:$D$26,F1557)&gt;0,3,0))))</f>
        <v/>
      </c>
      <c r="I1557">
        <f>IF(AND(ISNUMBER(A1557),ISNUMBER(B1557)),A1557*1000+B1557,"")</f>
        <v/>
      </c>
      <c r="J1557">
        <f>IF(I1557="","",IF(COUNTIF(I$2:I1557,I1557)=1,MAX(J$1:J1556)+1,""))</f>
        <v/>
      </c>
    </row>
    <row r="1558">
      <c r="A1558">
        <f>IFERROR(--SUBSTITUTE(SUBSTITUTE(TRIM(INDEX(INDIRECT("'Выгрузка'!A1558:Z1558"),Настройки!$B$7)),",","."),".",MID(1/2,2,1)),"")</f>
        <v/>
      </c>
      <c r="B1558">
        <f>IFERROR(--SUBSTITUTE(SUBSTITUTE(TRIM(INDEX(INDIRECT("'Выгрузка'!A1558:Z1558"),Настройки!$B$9)),",","."),".",MID(1/2,2,1)),"")</f>
        <v/>
      </c>
      <c r="C1558">
        <f>TRIM(INDEX(INDIRECT("'Выгрузка'!A1558:Z1558"),Настройки!$B$8)&amp;"")</f>
        <v/>
      </c>
      <c r="D1558">
        <f>IFERROR(--SUBSTITUTE(SUBSTITUTE(TRIM(INDEX(INDIRECT("'Выгрузка'!A1558:Z1558"),Настройки!$B$10)),",","."),".",MID(1/2,2,1)),"")</f>
        <v/>
      </c>
      <c r="E1558">
        <f>IFERROR(--SUBSTITUTE(SUBSTITUTE(TRIM(INDEX(INDIRECT("'Выгрузка'!A1558:Z1558"),Настройки!$B$11)),",","."),".",MID(1/2,2,1)),"")</f>
        <v/>
      </c>
      <c r="F1558">
        <f>TRIM(INDEX(INDIRECT("'Выгрузка'!A1558:Z1558"),Настройки!$B$12)&amp;"")</f>
        <v/>
      </c>
      <c r="G1558">
        <f>IF(F1558="",0,IF(TRIM(INDEX(INDIRECT("'Выгрузка'!A1558:Z1558"),Настройки!$B$13)&amp;"")="",1,IFERROR(--SUBSTITUTE(SUBSTITUTE(TRIM(INDEX(INDIRECT("'Выгрузка'!A1558:Z1558"),Настройки!$B$13)),",","."),".",MID(1/2,2,1)),"")))</f>
        <v/>
      </c>
      <c r="H1558">
        <f>IF(F1558="",0,IF(COUNTIF(Настройки!$B$17:$B$26,F1558)&gt;0,1,IF(COUNTIF(Настройки!$C$17:$C$26,F1558)&gt;0,2,IF(COUNTIF(Настройки!$D$17:$D$26,F1558)&gt;0,3,0))))</f>
        <v/>
      </c>
      <c r="I1558">
        <f>IF(AND(ISNUMBER(A1558),ISNUMBER(B1558)),A1558*1000+B1558,"")</f>
        <v/>
      </c>
      <c r="J1558">
        <f>IF(I1558="","",IF(COUNTIF(I$2:I1558,I1558)=1,MAX(J$1:J1557)+1,""))</f>
        <v/>
      </c>
    </row>
    <row r="1559">
      <c r="A1559">
        <f>IFERROR(--SUBSTITUTE(SUBSTITUTE(TRIM(INDEX(INDIRECT("'Выгрузка'!A1559:Z1559"),Настройки!$B$7)),",","."),".",MID(1/2,2,1)),"")</f>
        <v/>
      </c>
      <c r="B1559">
        <f>IFERROR(--SUBSTITUTE(SUBSTITUTE(TRIM(INDEX(INDIRECT("'Выгрузка'!A1559:Z1559"),Настройки!$B$9)),",","."),".",MID(1/2,2,1)),"")</f>
        <v/>
      </c>
      <c r="C1559">
        <f>TRIM(INDEX(INDIRECT("'Выгрузка'!A1559:Z1559"),Настройки!$B$8)&amp;"")</f>
        <v/>
      </c>
      <c r="D1559">
        <f>IFERROR(--SUBSTITUTE(SUBSTITUTE(TRIM(INDEX(INDIRECT("'Выгрузка'!A1559:Z1559"),Настройки!$B$10)),",","."),".",MID(1/2,2,1)),"")</f>
        <v/>
      </c>
      <c r="E1559">
        <f>IFERROR(--SUBSTITUTE(SUBSTITUTE(TRIM(INDEX(INDIRECT("'Выгрузка'!A1559:Z1559"),Настройки!$B$11)),",","."),".",MID(1/2,2,1)),"")</f>
        <v/>
      </c>
      <c r="F1559">
        <f>TRIM(INDEX(INDIRECT("'Выгрузка'!A1559:Z1559"),Настройки!$B$12)&amp;"")</f>
        <v/>
      </c>
      <c r="G1559">
        <f>IF(F1559="",0,IF(TRIM(INDEX(INDIRECT("'Выгрузка'!A1559:Z1559"),Настройки!$B$13)&amp;"")="",1,IFERROR(--SUBSTITUTE(SUBSTITUTE(TRIM(INDEX(INDIRECT("'Выгрузка'!A1559:Z1559"),Настройки!$B$13)),",","."),".",MID(1/2,2,1)),"")))</f>
        <v/>
      </c>
      <c r="H1559">
        <f>IF(F1559="",0,IF(COUNTIF(Настройки!$B$17:$B$26,F1559)&gt;0,1,IF(COUNTIF(Настройки!$C$17:$C$26,F1559)&gt;0,2,IF(COUNTIF(Настройки!$D$17:$D$26,F1559)&gt;0,3,0))))</f>
        <v/>
      </c>
      <c r="I1559">
        <f>IF(AND(ISNUMBER(A1559),ISNUMBER(B1559)),A1559*1000+B1559,"")</f>
        <v/>
      </c>
      <c r="J1559">
        <f>IF(I1559="","",IF(COUNTIF(I$2:I1559,I1559)=1,MAX(J$1:J1558)+1,""))</f>
        <v/>
      </c>
    </row>
    <row r="1560">
      <c r="A1560">
        <f>IFERROR(--SUBSTITUTE(SUBSTITUTE(TRIM(INDEX(INDIRECT("'Выгрузка'!A1560:Z1560"),Настройки!$B$7)),",","."),".",MID(1/2,2,1)),"")</f>
        <v/>
      </c>
      <c r="B1560">
        <f>IFERROR(--SUBSTITUTE(SUBSTITUTE(TRIM(INDEX(INDIRECT("'Выгрузка'!A1560:Z1560"),Настройки!$B$9)),",","."),".",MID(1/2,2,1)),"")</f>
        <v/>
      </c>
      <c r="C1560">
        <f>TRIM(INDEX(INDIRECT("'Выгрузка'!A1560:Z1560"),Настройки!$B$8)&amp;"")</f>
        <v/>
      </c>
      <c r="D1560">
        <f>IFERROR(--SUBSTITUTE(SUBSTITUTE(TRIM(INDEX(INDIRECT("'Выгрузка'!A1560:Z1560"),Настройки!$B$10)),",","."),".",MID(1/2,2,1)),"")</f>
        <v/>
      </c>
      <c r="E1560">
        <f>IFERROR(--SUBSTITUTE(SUBSTITUTE(TRIM(INDEX(INDIRECT("'Выгрузка'!A1560:Z1560"),Настройки!$B$11)),",","."),".",MID(1/2,2,1)),"")</f>
        <v/>
      </c>
      <c r="F1560">
        <f>TRIM(INDEX(INDIRECT("'Выгрузка'!A1560:Z1560"),Настройки!$B$12)&amp;"")</f>
        <v/>
      </c>
      <c r="G1560">
        <f>IF(F1560="",0,IF(TRIM(INDEX(INDIRECT("'Выгрузка'!A1560:Z1560"),Настройки!$B$13)&amp;"")="",1,IFERROR(--SUBSTITUTE(SUBSTITUTE(TRIM(INDEX(INDIRECT("'Выгрузка'!A1560:Z1560"),Настройки!$B$13)),",","."),".",MID(1/2,2,1)),"")))</f>
        <v/>
      </c>
      <c r="H1560">
        <f>IF(F1560="",0,IF(COUNTIF(Настройки!$B$17:$B$26,F1560)&gt;0,1,IF(COUNTIF(Настройки!$C$17:$C$26,F1560)&gt;0,2,IF(COUNTIF(Настройки!$D$17:$D$26,F1560)&gt;0,3,0))))</f>
        <v/>
      </c>
      <c r="I1560">
        <f>IF(AND(ISNUMBER(A1560),ISNUMBER(B1560)),A1560*1000+B1560,"")</f>
        <v/>
      </c>
      <c r="J1560">
        <f>IF(I1560="","",IF(COUNTIF(I$2:I1560,I1560)=1,MAX(J$1:J1559)+1,""))</f>
        <v/>
      </c>
    </row>
    <row r="1561">
      <c r="A1561">
        <f>IFERROR(--SUBSTITUTE(SUBSTITUTE(TRIM(INDEX(INDIRECT("'Выгрузка'!A1561:Z1561"),Настройки!$B$7)),",","."),".",MID(1/2,2,1)),"")</f>
        <v/>
      </c>
      <c r="B1561">
        <f>IFERROR(--SUBSTITUTE(SUBSTITUTE(TRIM(INDEX(INDIRECT("'Выгрузка'!A1561:Z1561"),Настройки!$B$9)),",","."),".",MID(1/2,2,1)),"")</f>
        <v/>
      </c>
      <c r="C1561">
        <f>TRIM(INDEX(INDIRECT("'Выгрузка'!A1561:Z1561"),Настройки!$B$8)&amp;"")</f>
        <v/>
      </c>
      <c r="D1561">
        <f>IFERROR(--SUBSTITUTE(SUBSTITUTE(TRIM(INDEX(INDIRECT("'Выгрузка'!A1561:Z1561"),Настройки!$B$10)),",","."),".",MID(1/2,2,1)),"")</f>
        <v/>
      </c>
      <c r="E1561">
        <f>IFERROR(--SUBSTITUTE(SUBSTITUTE(TRIM(INDEX(INDIRECT("'Выгрузка'!A1561:Z1561"),Настройки!$B$11)),",","."),".",MID(1/2,2,1)),"")</f>
        <v/>
      </c>
      <c r="F1561">
        <f>TRIM(INDEX(INDIRECT("'Выгрузка'!A1561:Z1561"),Настройки!$B$12)&amp;"")</f>
        <v/>
      </c>
      <c r="G1561">
        <f>IF(F1561="",0,IF(TRIM(INDEX(INDIRECT("'Выгрузка'!A1561:Z1561"),Настройки!$B$13)&amp;"")="",1,IFERROR(--SUBSTITUTE(SUBSTITUTE(TRIM(INDEX(INDIRECT("'Выгрузка'!A1561:Z1561"),Настройки!$B$13)),",","."),".",MID(1/2,2,1)),"")))</f>
        <v/>
      </c>
      <c r="H1561">
        <f>IF(F1561="",0,IF(COUNTIF(Настройки!$B$17:$B$26,F1561)&gt;0,1,IF(COUNTIF(Настройки!$C$17:$C$26,F1561)&gt;0,2,IF(COUNTIF(Настройки!$D$17:$D$26,F1561)&gt;0,3,0))))</f>
        <v/>
      </c>
      <c r="I1561">
        <f>IF(AND(ISNUMBER(A1561),ISNUMBER(B1561)),A1561*1000+B1561,"")</f>
        <v/>
      </c>
      <c r="J1561">
        <f>IF(I1561="","",IF(COUNTIF(I$2:I1561,I1561)=1,MAX(J$1:J1560)+1,""))</f>
        <v/>
      </c>
    </row>
    <row r="1562">
      <c r="A1562">
        <f>IFERROR(--SUBSTITUTE(SUBSTITUTE(TRIM(INDEX(INDIRECT("'Выгрузка'!A1562:Z1562"),Настройки!$B$7)),",","."),".",MID(1/2,2,1)),"")</f>
        <v/>
      </c>
      <c r="B1562">
        <f>IFERROR(--SUBSTITUTE(SUBSTITUTE(TRIM(INDEX(INDIRECT("'Выгрузка'!A1562:Z1562"),Настройки!$B$9)),",","."),".",MID(1/2,2,1)),"")</f>
        <v/>
      </c>
      <c r="C1562">
        <f>TRIM(INDEX(INDIRECT("'Выгрузка'!A1562:Z1562"),Настройки!$B$8)&amp;"")</f>
        <v/>
      </c>
      <c r="D1562">
        <f>IFERROR(--SUBSTITUTE(SUBSTITUTE(TRIM(INDEX(INDIRECT("'Выгрузка'!A1562:Z1562"),Настройки!$B$10)),",","."),".",MID(1/2,2,1)),"")</f>
        <v/>
      </c>
      <c r="E1562">
        <f>IFERROR(--SUBSTITUTE(SUBSTITUTE(TRIM(INDEX(INDIRECT("'Выгрузка'!A1562:Z1562"),Настройки!$B$11)),",","."),".",MID(1/2,2,1)),"")</f>
        <v/>
      </c>
      <c r="F1562">
        <f>TRIM(INDEX(INDIRECT("'Выгрузка'!A1562:Z1562"),Настройки!$B$12)&amp;"")</f>
        <v/>
      </c>
      <c r="G1562">
        <f>IF(F1562="",0,IF(TRIM(INDEX(INDIRECT("'Выгрузка'!A1562:Z1562"),Настройки!$B$13)&amp;"")="",1,IFERROR(--SUBSTITUTE(SUBSTITUTE(TRIM(INDEX(INDIRECT("'Выгрузка'!A1562:Z1562"),Настройки!$B$13)),",","."),".",MID(1/2,2,1)),"")))</f>
        <v/>
      </c>
      <c r="H1562">
        <f>IF(F1562="",0,IF(COUNTIF(Настройки!$B$17:$B$26,F1562)&gt;0,1,IF(COUNTIF(Настройки!$C$17:$C$26,F1562)&gt;0,2,IF(COUNTIF(Настройки!$D$17:$D$26,F1562)&gt;0,3,0))))</f>
        <v/>
      </c>
      <c r="I1562">
        <f>IF(AND(ISNUMBER(A1562),ISNUMBER(B1562)),A1562*1000+B1562,"")</f>
        <v/>
      </c>
      <c r="J1562">
        <f>IF(I1562="","",IF(COUNTIF(I$2:I1562,I1562)=1,MAX(J$1:J1561)+1,""))</f>
        <v/>
      </c>
    </row>
    <row r="1563">
      <c r="A1563">
        <f>IFERROR(--SUBSTITUTE(SUBSTITUTE(TRIM(INDEX(INDIRECT("'Выгрузка'!A1563:Z1563"),Настройки!$B$7)),",","."),".",MID(1/2,2,1)),"")</f>
        <v/>
      </c>
      <c r="B1563">
        <f>IFERROR(--SUBSTITUTE(SUBSTITUTE(TRIM(INDEX(INDIRECT("'Выгрузка'!A1563:Z1563"),Настройки!$B$9)),",","."),".",MID(1/2,2,1)),"")</f>
        <v/>
      </c>
      <c r="C1563">
        <f>TRIM(INDEX(INDIRECT("'Выгрузка'!A1563:Z1563"),Настройки!$B$8)&amp;"")</f>
        <v/>
      </c>
      <c r="D1563">
        <f>IFERROR(--SUBSTITUTE(SUBSTITUTE(TRIM(INDEX(INDIRECT("'Выгрузка'!A1563:Z1563"),Настройки!$B$10)),",","."),".",MID(1/2,2,1)),"")</f>
        <v/>
      </c>
      <c r="E1563">
        <f>IFERROR(--SUBSTITUTE(SUBSTITUTE(TRIM(INDEX(INDIRECT("'Выгрузка'!A1563:Z1563"),Настройки!$B$11)),",","."),".",MID(1/2,2,1)),"")</f>
        <v/>
      </c>
      <c r="F1563">
        <f>TRIM(INDEX(INDIRECT("'Выгрузка'!A1563:Z1563"),Настройки!$B$12)&amp;"")</f>
        <v/>
      </c>
      <c r="G1563">
        <f>IF(F1563="",0,IF(TRIM(INDEX(INDIRECT("'Выгрузка'!A1563:Z1563"),Настройки!$B$13)&amp;"")="",1,IFERROR(--SUBSTITUTE(SUBSTITUTE(TRIM(INDEX(INDIRECT("'Выгрузка'!A1563:Z1563"),Настройки!$B$13)),",","."),".",MID(1/2,2,1)),"")))</f>
        <v/>
      </c>
      <c r="H1563">
        <f>IF(F1563="",0,IF(COUNTIF(Настройки!$B$17:$B$26,F1563)&gt;0,1,IF(COUNTIF(Настройки!$C$17:$C$26,F1563)&gt;0,2,IF(COUNTIF(Настройки!$D$17:$D$26,F1563)&gt;0,3,0))))</f>
        <v/>
      </c>
      <c r="I1563">
        <f>IF(AND(ISNUMBER(A1563),ISNUMBER(B1563)),A1563*1000+B1563,"")</f>
        <v/>
      </c>
      <c r="J1563">
        <f>IF(I1563="","",IF(COUNTIF(I$2:I1563,I1563)=1,MAX(J$1:J1562)+1,""))</f>
        <v/>
      </c>
    </row>
    <row r="1564">
      <c r="A1564">
        <f>IFERROR(--SUBSTITUTE(SUBSTITUTE(TRIM(INDEX(INDIRECT("'Выгрузка'!A1564:Z1564"),Настройки!$B$7)),",","."),".",MID(1/2,2,1)),"")</f>
        <v/>
      </c>
      <c r="B1564">
        <f>IFERROR(--SUBSTITUTE(SUBSTITUTE(TRIM(INDEX(INDIRECT("'Выгрузка'!A1564:Z1564"),Настройки!$B$9)),",","."),".",MID(1/2,2,1)),"")</f>
        <v/>
      </c>
      <c r="C1564">
        <f>TRIM(INDEX(INDIRECT("'Выгрузка'!A1564:Z1564"),Настройки!$B$8)&amp;"")</f>
        <v/>
      </c>
      <c r="D1564">
        <f>IFERROR(--SUBSTITUTE(SUBSTITUTE(TRIM(INDEX(INDIRECT("'Выгрузка'!A1564:Z1564"),Настройки!$B$10)),",","."),".",MID(1/2,2,1)),"")</f>
        <v/>
      </c>
      <c r="E1564">
        <f>IFERROR(--SUBSTITUTE(SUBSTITUTE(TRIM(INDEX(INDIRECT("'Выгрузка'!A1564:Z1564"),Настройки!$B$11)),",","."),".",MID(1/2,2,1)),"")</f>
        <v/>
      </c>
      <c r="F1564">
        <f>TRIM(INDEX(INDIRECT("'Выгрузка'!A1564:Z1564"),Настройки!$B$12)&amp;"")</f>
        <v/>
      </c>
      <c r="G1564">
        <f>IF(F1564="",0,IF(TRIM(INDEX(INDIRECT("'Выгрузка'!A1564:Z1564"),Настройки!$B$13)&amp;"")="",1,IFERROR(--SUBSTITUTE(SUBSTITUTE(TRIM(INDEX(INDIRECT("'Выгрузка'!A1564:Z1564"),Настройки!$B$13)),",","."),".",MID(1/2,2,1)),"")))</f>
        <v/>
      </c>
      <c r="H1564">
        <f>IF(F1564="",0,IF(COUNTIF(Настройки!$B$17:$B$26,F1564)&gt;0,1,IF(COUNTIF(Настройки!$C$17:$C$26,F1564)&gt;0,2,IF(COUNTIF(Настройки!$D$17:$D$26,F1564)&gt;0,3,0))))</f>
        <v/>
      </c>
      <c r="I1564">
        <f>IF(AND(ISNUMBER(A1564),ISNUMBER(B1564)),A1564*1000+B1564,"")</f>
        <v/>
      </c>
      <c r="J1564">
        <f>IF(I1564="","",IF(COUNTIF(I$2:I1564,I1564)=1,MAX(J$1:J1563)+1,""))</f>
        <v/>
      </c>
    </row>
    <row r="1565">
      <c r="A1565">
        <f>IFERROR(--SUBSTITUTE(SUBSTITUTE(TRIM(INDEX(INDIRECT("'Выгрузка'!A1565:Z1565"),Настройки!$B$7)),",","."),".",MID(1/2,2,1)),"")</f>
        <v/>
      </c>
      <c r="B1565">
        <f>IFERROR(--SUBSTITUTE(SUBSTITUTE(TRIM(INDEX(INDIRECT("'Выгрузка'!A1565:Z1565"),Настройки!$B$9)),",","."),".",MID(1/2,2,1)),"")</f>
        <v/>
      </c>
      <c r="C1565">
        <f>TRIM(INDEX(INDIRECT("'Выгрузка'!A1565:Z1565"),Настройки!$B$8)&amp;"")</f>
        <v/>
      </c>
      <c r="D1565">
        <f>IFERROR(--SUBSTITUTE(SUBSTITUTE(TRIM(INDEX(INDIRECT("'Выгрузка'!A1565:Z1565"),Настройки!$B$10)),",","."),".",MID(1/2,2,1)),"")</f>
        <v/>
      </c>
      <c r="E1565">
        <f>IFERROR(--SUBSTITUTE(SUBSTITUTE(TRIM(INDEX(INDIRECT("'Выгрузка'!A1565:Z1565"),Настройки!$B$11)),",","."),".",MID(1/2,2,1)),"")</f>
        <v/>
      </c>
      <c r="F1565">
        <f>TRIM(INDEX(INDIRECT("'Выгрузка'!A1565:Z1565"),Настройки!$B$12)&amp;"")</f>
        <v/>
      </c>
      <c r="G1565">
        <f>IF(F1565="",0,IF(TRIM(INDEX(INDIRECT("'Выгрузка'!A1565:Z1565"),Настройки!$B$13)&amp;"")="",1,IFERROR(--SUBSTITUTE(SUBSTITUTE(TRIM(INDEX(INDIRECT("'Выгрузка'!A1565:Z1565"),Настройки!$B$13)),",","."),".",MID(1/2,2,1)),"")))</f>
        <v/>
      </c>
      <c r="H1565">
        <f>IF(F1565="",0,IF(COUNTIF(Настройки!$B$17:$B$26,F1565)&gt;0,1,IF(COUNTIF(Настройки!$C$17:$C$26,F1565)&gt;0,2,IF(COUNTIF(Настройки!$D$17:$D$26,F1565)&gt;0,3,0))))</f>
        <v/>
      </c>
      <c r="I1565">
        <f>IF(AND(ISNUMBER(A1565),ISNUMBER(B1565)),A1565*1000+B1565,"")</f>
        <v/>
      </c>
      <c r="J1565">
        <f>IF(I1565="","",IF(COUNTIF(I$2:I1565,I1565)=1,MAX(J$1:J1564)+1,""))</f>
        <v/>
      </c>
    </row>
    <row r="1566">
      <c r="A1566">
        <f>IFERROR(--SUBSTITUTE(SUBSTITUTE(TRIM(INDEX(INDIRECT("'Выгрузка'!A1566:Z1566"),Настройки!$B$7)),",","."),".",MID(1/2,2,1)),"")</f>
        <v/>
      </c>
      <c r="B1566">
        <f>IFERROR(--SUBSTITUTE(SUBSTITUTE(TRIM(INDEX(INDIRECT("'Выгрузка'!A1566:Z1566"),Настройки!$B$9)),",","."),".",MID(1/2,2,1)),"")</f>
        <v/>
      </c>
      <c r="C1566">
        <f>TRIM(INDEX(INDIRECT("'Выгрузка'!A1566:Z1566"),Настройки!$B$8)&amp;"")</f>
        <v/>
      </c>
      <c r="D1566">
        <f>IFERROR(--SUBSTITUTE(SUBSTITUTE(TRIM(INDEX(INDIRECT("'Выгрузка'!A1566:Z1566"),Настройки!$B$10)),",","."),".",MID(1/2,2,1)),"")</f>
        <v/>
      </c>
      <c r="E1566">
        <f>IFERROR(--SUBSTITUTE(SUBSTITUTE(TRIM(INDEX(INDIRECT("'Выгрузка'!A1566:Z1566"),Настройки!$B$11)),",","."),".",MID(1/2,2,1)),"")</f>
        <v/>
      </c>
      <c r="F1566">
        <f>TRIM(INDEX(INDIRECT("'Выгрузка'!A1566:Z1566"),Настройки!$B$12)&amp;"")</f>
        <v/>
      </c>
      <c r="G1566">
        <f>IF(F1566="",0,IF(TRIM(INDEX(INDIRECT("'Выгрузка'!A1566:Z1566"),Настройки!$B$13)&amp;"")="",1,IFERROR(--SUBSTITUTE(SUBSTITUTE(TRIM(INDEX(INDIRECT("'Выгрузка'!A1566:Z1566"),Настройки!$B$13)),",","."),".",MID(1/2,2,1)),"")))</f>
        <v/>
      </c>
      <c r="H1566">
        <f>IF(F1566="",0,IF(COUNTIF(Настройки!$B$17:$B$26,F1566)&gt;0,1,IF(COUNTIF(Настройки!$C$17:$C$26,F1566)&gt;0,2,IF(COUNTIF(Настройки!$D$17:$D$26,F1566)&gt;0,3,0))))</f>
        <v/>
      </c>
      <c r="I1566">
        <f>IF(AND(ISNUMBER(A1566),ISNUMBER(B1566)),A1566*1000+B1566,"")</f>
        <v/>
      </c>
      <c r="J1566">
        <f>IF(I1566="","",IF(COUNTIF(I$2:I1566,I1566)=1,MAX(J$1:J1565)+1,""))</f>
        <v/>
      </c>
    </row>
    <row r="1567">
      <c r="A1567">
        <f>IFERROR(--SUBSTITUTE(SUBSTITUTE(TRIM(INDEX(INDIRECT("'Выгрузка'!A1567:Z1567"),Настройки!$B$7)),",","."),".",MID(1/2,2,1)),"")</f>
        <v/>
      </c>
      <c r="B1567">
        <f>IFERROR(--SUBSTITUTE(SUBSTITUTE(TRIM(INDEX(INDIRECT("'Выгрузка'!A1567:Z1567"),Настройки!$B$9)),",","."),".",MID(1/2,2,1)),"")</f>
        <v/>
      </c>
      <c r="C1567">
        <f>TRIM(INDEX(INDIRECT("'Выгрузка'!A1567:Z1567"),Настройки!$B$8)&amp;"")</f>
        <v/>
      </c>
      <c r="D1567">
        <f>IFERROR(--SUBSTITUTE(SUBSTITUTE(TRIM(INDEX(INDIRECT("'Выгрузка'!A1567:Z1567"),Настройки!$B$10)),",","."),".",MID(1/2,2,1)),"")</f>
        <v/>
      </c>
      <c r="E1567">
        <f>IFERROR(--SUBSTITUTE(SUBSTITUTE(TRIM(INDEX(INDIRECT("'Выгрузка'!A1567:Z1567"),Настройки!$B$11)),",","."),".",MID(1/2,2,1)),"")</f>
        <v/>
      </c>
      <c r="F1567">
        <f>TRIM(INDEX(INDIRECT("'Выгрузка'!A1567:Z1567"),Настройки!$B$12)&amp;"")</f>
        <v/>
      </c>
      <c r="G1567">
        <f>IF(F1567="",0,IF(TRIM(INDEX(INDIRECT("'Выгрузка'!A1567:Z1567"),Настройки!$B$13)&amp;"")="",1,IFERROR(--SUBSTITUTE(SUBSTITUTE(TRIM(INDEX(INDIRECT("'Выгрузка'!A1567:Z1567"),Настройки!$B$13)),",","."),".",MID(1/2,2,1)),"")))</f>
        <v/>
      </c>
      <c r="H1567">
        <f>IF(F1567="",0,IF(COUNTIF(Настройки!$B$17:$B$26,F1567)&gt;0,1,IF(COUNTIF(Настройки!$C$17:$C$26,F1567)&gt;0,2,IF(COUNTIF(Настройки!$D$17:$D$26,F1567)&gt;0,3,0))))</f>
        <v/>
      </c>
      <c r="I1567">
        <f>IF(AND(ISNUMBER(A1567),ISNUMBER(B1567)),A1567*1000+B1567,"")</f>
        <v/>
      </c>
      <c r="J1567">
        <f>IF(I1567="","",IF(COUNTIF(I$2:I1567,I1567)=1,MAX(J$1:J1566)+1,""))</f>
        <v/>
      </c>
    </row>
    <row r="1568">
      <c r="A1568">
        <f>IFERROR(--SUBSTITUTE(SUBSTITUTE(TRIM(INDEX(INDIRECT("'Выгрузка'!A1568:Z1568"),Настройки!$B$7)),",","."),".",MID(1/2,2,1)),"")</f>
        <v/>
      </c>
      <c r="B1568">
        <f>IFERROR(--SUBSTITUTE(SUBSTITUTE(TRIM(INDEX(INDIRECT("'Выгрузка'!A1568:Z1568"),Настройки!$B$9)),",","."),".",MID(1/2,2,1)),"")</f>
        <v/>
      </c>
      <c r="C1568">
        <f>TRIM(INDEX(INDIRECT("'Выгрузка'!A1568:Z1568"),Настройки!$B$8)&amp;"")</f>
        <v/>
      </c>
      <c r="D1568">
        <f>IFERROR(--SUBSTITUTE(SUBSTITUTE(TRIM(INDEX(INDIRECT("'Выгрузка'!A1568:Z1568"),Настройки!$B$10)),",","."),".",MID(1/2,2,1)),"")</f>
        <v/>
      </c>
      <c r="E1568">
        <f>IFERROR(--SUBSTITUTE(SUBSTITUTE(TRIM(INDEX(INDIRECT("'Выгрузка'!A1568:Z1568"),Настройки!$B$11)),",","."),".",MID(1/2,2,1)),"")</f>
        <v/>
      </c>
      <c r="F1568">
        <f>TRIM(INDEX(INDIRECT("'Выгрузка'!A1568:Z1568"),Настройки!$B$12)&amp;"")</f>
        <v/>
      </c>
      <c r="G1568">
        <f>IF(F1568="",0,IF(TRIM(INDEX(INDIRECT("'Выгрузка'!A1568:Z1568"),Настройки!$B$13)&amp;"")="",1,IFERROR(--SUBSTITUTE(SUBSTITUTE(TRIM(INDEX(INDIRECT("'Выгрузка'!A1568:Z1568"),Настройки!$B$13)),",","."),".",MID(1/2,2,1)),"")))</f>
        <v/>
      </c>
      <c r="H1568">
        <f>IF(F1568="",0,IF(COUNTIF(Настройки!$B$17:$B$26,F1568)&gt;0,1,IF(COUNTIF(Настройки!$C$17:$C$26,F1568)&gt;0,2,IF(COUNTIF(Настройки!$D$17:$D$26,F1568)&gt;0,3,0))))</f>
        <v/>
      </c>
      <c r="I1568">
        <f>IF(AND(ISNUMBER(A1568),ISNUMBER(B1568)),A1568*1000+B1568,"")</f>
        <v/>
      </c>
      <c r="J1568">
        <f>IF(I1568="","",IF(COUNTIF(I$2:I1568,I1568)=1,MAX(J$1:J1567)+1,""))</f>
        <v/>
      </c>
    </row>
    <row r="1569">
      <c r="A1569">
        <f>IFERROR(--SUBSTITUTE(SUBSTITUTE(TRIM(INDEX(INDIRECT("'Выгрузка'!A1569:Z1569"),Настройки!$B$7)),",","."),".",MID(1/2,2,1)),"")</f>
        <v/>
      </c>
      <c r="B1569">
        <f>IFERROR(--SUBSTITUTE(SUBSTITUTE(TRIM(INDEX(INDIRECT("'Выгрузка'!A1569:Z1569"),Настройки!$B$9)),",","."),".",MID(1/2,2,1)),"")</f>
        <v/>
      </c>
      <c r="C1569">
        <f>TRIM(INDEX(INDIRECT("'Выгрузка'!A1569:Z1569"),Настройки!$B$8)&amp;"")</f>
        <v/>
      </c>
      <c r="D1569">
        <f>IFERROR(--SUBSTITUTE(SUBSTITUTE(TRIM(INDEX(INDIRECT("'Выгрузка'!A1569:Z1569"),Настройки!$B$10)),",","."),".",MID(1/2,2,1)),"")</f>
        <v/>
      </c>
      <c r="E1569">
        <f>IFERROR(--SUBSTITUTE(SUBSTITUTE(TRIM(INDEX(INDIRECT("'Выгрузка'!A1569:Z1569"),Настройки!$B$11)),",","."),".",MID(1/2,2,1)),"")</f>
        <v/>
      </c>
      <c r="F1569">
        <f>TRIM(INDEX(INDIRECT("'Выгрузка'!A1569:Z1569"),Настройки!$B$12)&amp;"")</f>
        <v/>
      </c>
      <c r="G1569">
        <f>IF(F1569="",0,IF(TRIM(INDEX(INDIRECT("'Выгрузка'!A1569:Z1569"),Настройки!$B$13)&amp;"")="",1,IFERROR(--SUBSTITUTE(SUBSTITUTE(TRIM(INDEX(INDIRECT("'Выгрузка'!A1569:Z1569"),Настройки!$B$13)),",","."),".",MID(1/2,2,1)),"")))</f>
        <v/>
      </c>
      <c r="H1569">
        <f>IF(F1569="",0,IF(COUNTIF(Настройки!$B$17:$B$26,F1569)&gt;0,1,IF(COUNTIF(Настройки!$C$17:$C$26,F1569)&gt;0,2,IF(COUNTIF(Настройки!$D$17:$D$26,F1569)&gt;0,3,0))))</f>
        <v/>
      </c>
      <c r="I1569">
        <f>IF(AND(ISNUMBER(A1569),ISNUMBER(B1569)),A1569*1000+B1569,"")</f>
        <v/>
      </c>
      <c r="J1569">
        <f>IF(I1569="","",IF(COUNTIF(I$2:I1569,I1569)=1,MAX(J$1:J1568)+1,""))</f>
        <v/>
      </c>
    </row>
    <row r="1570">
      <c r="A1570">
        <f>IFERROR(--SUBSTITUTE(SUBSTITUTE(TRIM(INDEX(INDIRECT("'Выгрузка'!A1570:Z1570"),Настройки!$B$7)),",","."),".",MID(1/2,2,1)),"")</f>
        <v/>
      </c>
      <c r="B1570">
        <f>IFERROR(--SUBSTITUTE(SUBSTITUTE(TRIM(INDEX(INDIRECT("'Выгрузка'!A1570:Z1570"),Настройки!$B$9)),",","."),".",MID(1/2,2,1)),"")</f>
        <v/>
      </c>
      <c r="C1570">
        <f>TRIM(INDEX(INDIRECT("'Выгрузка'!A1570:Z1570"),Настройки!$B$8)&amp;"")</f>
        <v/>
      </c>
      <c r="D1570">
        <f>IFERROR(--SUBSTITUTE(SUBSTITUTE(TRIM(INDEX(INDIRECT("'Выгрузка'!A1570:Z1570"),Настройки!$B$10)),",","."),".",MID(1/2,2,1)),"")</f>
        <v/>
      </c>
      <c r="E1570">
        <f>IFERROR(--SUBSTITUTE(SUBSTITUTE(TRIM(INDEX(INDIRECT("'Выгрузка'!A1570:Z1570"),Настройки!$B$11)),",","."),".",MID(1/2,2,1)),"")</f>
        <v/>
      </c>
      <c r="F1570">
        <f>TRIM(INDEX(INDIRECT("'Выгрузка'!A1570:Z1570"),Настройки!$B$12)&amp;"")</f>
        <v/>
      </c>
      <c r="G1570">
        <f>IF(F1570="",0,IF(TRIM(INDEX(INDIRECT("'Выгрузка'!A1570:Z1570"),Настройки!$B$13)&amp;"")="",1,IFERROR(--SUBSTITUTE(SUBSTITUTE(TRIM(INDEX(INDIRECT("'Выгрузка'!A1570:Z1570"),Настройки!$B$13)),",","."),".",MID(1/2,2,1)),"")))</f>
        <v/>
      </c>
      <c r="H1570">
        <f>IF(F1570="",0,IF(COUNTIF(Настройки!$B$17:$B$26,F1570)&gt;0,1,IF(COUNTIF(Настройки!$C$17:$C$26,F1570)&gt;0,2,IF(COUNTIF(Настройки!$D$17:$D$26,F1570)&gt;0,3,0))))</f>
        <v/>
      </c>
      <c r="I1570">
        <f>IF(AND(ISNUMBER(A1570),ISNUMBER(B1570)),A1570*1000+B1570,"")</f>
        <v/>
      </c>
      <c r="J1570">
        <f>IF(I1570="","",IF(COUNTIF(I$2:I1570,I1570)=1,MAX(J$1:J1569)+1,""))</f>
        <v/>
      </c>
    </row>
    <row r="1571">
      <c r="A1571">
        <f>IFERROR(--SUBSTITUTE(SUBSTITUTE(TRIM(INDEX(INDIRECT("'Выгрузка'!A1571:Z1571"),Настройки!$B$7)),",","."),".",MID(1/2,2,1)),"")</f>
        <v/>
      </c>
      <c r="B1571">
        <f>IFERROR(--SUBSTITUTE(SUBSTITUTE(TRIM(INDEX(INDIRECT("'Выгрузка'!A1571:Z1571"),Настройки!$B$9)),",","."),".",MID(1/2,2,1)),"")</f>
        <v/>
      </c>
      <c r="C1571">
        <f>TRIM(INDEX(INDIRECT("'Выгрузка'!A1571:Z1571"),Настройки!$B$8)&amp;"")</f>
        <v/>
      </c>
      <c r="D1571">
        <f>IFERROR(--SUBSTITUTE(SUBSTITUTE(TRIM(INDEX(INDIRECT("'Выгрузка'!A1571:Z1571"),Настройки!$B$10)),",","."),".",MID(1/2,2,1)),"")</f>
        <v/>
      </c>
      <c r="E1571">
        <f>IFERROR(--SUBSTITUTE(SUBSTITUTE(TRIM(INDEX(INDIRECT("'Выгрузка'!A1571:Z1571"),Настройки!$B$11)),",","."),".",MID(1/2,2,1)),"")</f>
        <v/>
      </c>
      <c r="F1571">
        <f>TRIM(INDEX(INDIRECT("'Выгрузка'!A1571:Z1571"),Настройки!$B$12)&amp;"")</f>
        <v/>
      </c>
      <c r="G1571">
        <f>IF(F1571="",0,IF(TRIM(INDEX(INDIRECT("'Выгрузка'!A1571:Z1571"),Настройки!$B$13)&amp;"")="",1,IFERROR(--SUBSTITUTE(SUBSTITUTE(TRIM(INDEX(INDIRECT("'Выгрузка'!A1571:Z1571"),Настройки!$B$13)),",","."),".",MID(1/2,2,1)),"")))</f>
        <v/>
      </c>
      <c r="H1571">
        <f>IF(F1571="",0,IF(COUNTIF(Настройки!$B$17:$B$26,F1571)&gt;0,1,IF(COUNTIF(Настройки!$C$17:$C$26,F1571)&gt;0,2,IF(COUNTIF(Настройки!$D$17:$D$26,F1571)&gt;0,3,0))))</f>
        <v/>
      </c>
      <c r="I1571">
        <f>IF(AND(ISNUMBER(A1571),ISNUMBER(B1571)),A1571*1000+B1571,"")</f>
        <v/>
      </c>
      <c r="J1571">
        <f>IF(I1571="","",IF(COUNTIF(I$2:I1571,I1571)=1,MAX(J$1:J1570)+1,""))</f>
        <v/>
      </c>
    </row>
    <row r="1572">
      <c r="A1572">
        <f>IFERROR(--SUBSTITUTE(SUBSTITUTE(TRIM(INDEX(INDIRECT("'Выгрузка'!A1572:Z1572"),Настройки!$B$7)),",","."),".",MID(1/2,2,1)),"")</f>
        <v/>
      </c>
      <c r="B1572">
        <f>IFERROR(--SUBSTITUTE(SUBSTITUTE(TRIM(INDEX(INDIRECT("'Выгрузка'!A1572:Z1572"),Настройки!$B$9)),",","."),".",MID(1/2,2,1)),"")</f>
        <v/>
      </c>
      <c r="C1572">
        <f>TRIM(INDEX(INDIRECT("'Выгрузка'!A1572:Z1572"),Настройки!$B$8)&amp;"")</f>
        <v/>
      </c>
      <c r="D1572">
        <f>IFERROR(--SUBSTITUTE(SUBSTITUTE(TRIM(INDEX(INDIRECT("'Выгрузка'!A1572:Z1572"),Настройки!$B$10)),",","."),".",MID(1/2,2,1)),"")</f>
        <v/>
      </c>
      <c r="E1572">
        <f>IFERROR(--SUBSTITUTE(SUBSTITUTE(TRIM(INDEX(INDIRECT("'Выгрузка'!A1572:Z1572"),Настройки!$B$11)),",","."),".",MID(1/2,2,1)),"")</f>
        <v/>
      </c>
      <c r="F1572">
        <f>TRIM(INDEX(INDIRECT("'Выгрузка'!A1572:Z1572"),Настройки!$B$12)&amp;"")</f>
        <v/>
      </c>
      <c r="G1572">
        <f>IF(F1572="",0,IF(TRIM(INDEX(INDIRECT("'Выгрузка'!A1572:Z1572"),Настройки!$B$13)&amp;"")="",1,IFERROR(--SUBSTITUTE(SUBSTITUTE(TRIM(INDEX(INDIRECT("'Выгрузка'!A1572:Z1572"),Настройки!$B$13)),",","."),".",MID(1/2,2,1)),"")))</f>
        <v/>
      </c>
      <c r="H1572">
        <f>IF(F1572="",0,IF(COUNTIF(Настройки!$B$17:$B$26,F1572)&gt;0,1,IF(COUNTIF(Настройки!$C$17:$C$26,F1572)&gt;0,2,IF(COUNTIF(Настройки!$D$17:$D$26,F1572)&gt;0,3,0))))</f>
        <v/>
      </c>
      <c r="I1572">
        <f>IF(AND(ISNUMBER(A1572),ISNUMBER(B1572)),A1572*1000+B1572,"")</f>
        <v/>
      </c>
      <c r="J1572">
        <f>IF(I1572="","",IF(COUNTIF(I$2:I1572,I1572)=1,MAX(J$1:J1571)+1,""))</f>
        <v/>
      </c>
    </row>
    <row r="1573">
      <c r="A1573">
        <f>IFERROR(--SUBSTITUTE(SUBSTITUTE(TRIM(INDEX(INDIRECT("'Выгрузка'!A1573:Z1573"),Настройки!$B$7)),",","."),".",MID(1/2,2,1)),"")</f>
        <v/>
      </c>
      <c r="B1573">
        <f>IFERROR(--SUBSTITUTE(SUBSTITUTE(TRIM(INDEX(INDIRECT("'Выгрузка'!A1573:Z1573"),Настройки!$B$9)),",","."),".",MID(1/2,2,1)),"")</f>
        <v/>
      </c>
      <c r="C1573">
        <f>TRIM(INDEX(INDIRECT("'Выгрузка'!A1573:Z1573"),Настройки!$B$8)&amp;"")</f>
        <v/>
      </c>
      <c r="D1573">
        <f>IFERROR(--SUBSTITUTE(SUBSTITUTE(TRIM(INDEX(INDIRECT("'Выгрузка'!A1573:Z1573"),Настройки!$B$10)),",","."),".",MID(1/2,2,1)),"")</f>
        <v/>
      </c>
      <c r="E1573">
        <f>IFERROR(--SUBSTITUTE(SUBSTITUTE(TRIM(INDEX(INDIRECT("'Выгрузка'!A1573:Z1573"),Настройки!$B$11)),",","."),".",MID(1/2,2,1)),"")</f>
        <v/>
      </c>
      <c r="F1573">
        <f>TRIM(INDEX(INDIRECT("'Выгрузка'!A1573:Z1573"),Настройки!$B$12)&amp;"")</f>
        <v/>
      </c>
      <c r="G1573">
        <f>IF(F1573="",0,IF(TRIM(INDEX(INDIRECT("'Выгрузка'!A1573:Z1573"),Настройки!$B$13)&amp;"")="",1,IFERROR(--SUBSTITUTE(SUBSTITUTE(TRIM(INDEX(INDIRECT("'Выгрузка'!A1573:Z1573"),Настройки!$B$13)),",","."),".",MID(1/2,2,1)),"")))</f>
        <v/>
      </c>
      <c r="H1573">
        <f>IF(F1573="",0,IF(COUNTIF(Настройки!$B$17:$B$26,F1573)&gt;0,1,IF(COUNTIF(Настройки!$C$17:$C$26,F1573)&gt;0,2,IF(COUNTIF(Настройки!$D$17:$D$26,F1573)&gt;0,3,0))))</f>
        <v/>
      </c>
      <c r="I1573">
        <f>IF(AND(ISNUMBER(A1573),ISNUMBER(B1573)),A1573*1000+B1573,"")</f>
        <v/>
      </c>
      <c r="J1573">
        <f>IF(I1573="","",IF(COUNTIF(I$2:I1573,I1573)=1,MAX(J$1:J1572)+1,""))</f>
        <v/>
      </c>
    </row>
    <row r="1574">
      <c r="A1574">
        <f>IFERROR(--SUBSTITUTE(SUBSTITUTE(TRIM(INDEX(INDIRECT("'Выгрузка'!A1574:Z1574"),Настройки!$B$7)),",","."),".",MID(1/2,2,1)),"")</f>
        <v/>
      </c>
      <c r="B1574">
        <f>IFERROR(--SUBSTITUTE(SUBSTITUTE(TRIM(INDEX(INDIRECT("'Выгрузка'!A1574:Z1574"),Настройки!$B$9)),",","."),".",MID(1/2,2,1)),"")</f>
        <v/>
      </c>
      <c r="C1574">
        <f>TRIM(INDEX(INDIRECT("'Выгрузка'!A1574:Z1574"),Настройки!$B$8)&amp;"")</f>
        <v/>
      </c>
      <c r="D1574">
        <f>IFERROR(--SUBSTITUTE(SUBSTITUTE(TRIM(INDEX(INDIRECT("'Выгрузка'!A1574:Z1574"),Настройки!$B$10)),",","."),".",MID(1/2,2,1)),"")</f>
        <v/>
      </c>
      <c r="E1574">
        <f>IFERROR(--SUBSTITUTE(SUBSTITUTE(TRIM(INDEX(INDIRECT("'Выгрузка'!A1574:Z1574"),Настройки!$B$11)),",","."),".",MID(1/2,2,1)),"")</f>
        <v/>
      </c>
      <c r="F1574">
        <f>TRIM(INDEX(INDIRECT("'Выгрузка'!A1574:Z1574"),Настройки!$B$12)&amp;"")</f>
        <v/>
      </c>
      <c r="G1574">
        <f>IF(F1574="",0,IF(TRIM(INDEX(INDIRECT("'Выгрузка'!A1574:Z1574"),Настройки!$B$13)&amp;"")="",1,IFERROR(--SUBSTITUTE(SUBSTITUTE(TRIM(INDEX(INDIRECT("'Выгрузка'!A1574:Z1574"),Настройки!$B$13)),",","."),".",MID(1/2,2,1)),"")))</f>
        <v/>
      </c>
      <c r="H1574">
        <f>IF(F1574="",0,IF(COUNTIF(Настройки!$B$17:$B$26,F1574)&gt;0,1,IF(COUNTIF(Настройки!$C$17:$C$26,F1574)&gt;0,2,IF(COUNTIF(Настройки!$D$17:$D$26,F1574)&gt;0,3,0))))</f>
        <v/>
      </c>
      <c r="I1574">
        <f>IF(AND(ISNUMBER(A1574),ISNUMBER(B1574)),A1574*1000+B1574,"")</f>
        <v/>
      </c>
      <c r="J1574">
        <f>IF(I1574="","",IF(COUNTIF(I$2:I1574,I1574)=1,MAX(J$1:J1573)+1,""))</f>
        <v/>
      </c>
    </row>
    <row r="1575">
      <c r="A1575">
        <f>IFERROR(--SUBSTITUTE(SUBSTITUTE(TRIM(INDEX(INDIRECT("'Выгрузка'!A1575:Z1575"),Настройки!$B$7)),",","."),".",MID(1/2,2,1)),"")</f>
        <v/>
      </c>
      <c r="B1575">
        <f>IFERROR(--SUBSTITUTE(SUBSTITUTE(TRIM(INDEX(INDIRECT("'Выгрузка'!A1575:Z1575"),Настройки!$B$9)),",","."),".",MID(1/2,2,1)),"")</f>
        <v/>
      </c>
      <c r="C1575">
        <f>TRIM(INDEX(INDIRECT("'Выгрузка'!A1575:Z1575"),Настройки!$B$8)&amp;"")</f>
        <v/>
      </c>
      <c r="D1575">
        <f>IFERROR(--SUBSTITUTE(SUBSTITUTE(TRIM(INDEX(INDIRECT("'Выгрузка'!A1575:Z1575"),Настройки!$B$10)),",","."),".",MID(1/2,2,1)),"")</f>
        <v/>
      </c>
      <c r="E1575">
        <f>IFERROR(--SUBSTITUTE(SUBSTITUTE(TRIM(INDEX(INDIRECT("'Выгрузка'!A1575:Z1575"),Настройки!$B$11)),",","."),".",MID(1/2,2,1)),"")</f>
        <v/>
      </c>
      <c r="F1575">
        <f>TRIM(INDEX(INDIRECT("'Выгрузка'!A1575:Z1575"),Настройки!$B$12)&amp;"")</f>
        <v/>
      </c>
      <c r="G1575">
        <f>IF(F1575="",0,IF(TRIM(INDEX(INDIRECT("'Выгрузка'!A1575:Z1575"),Настройки!$B$13)&amp;"")="",1,IFERROR(--SUBSTITUTE(SUBSTITUTE(TRIM(INDEX(INDIRECT("'Выгрузка'!A1575:Z1575"),Настройки!$B$13)),",","."),".",MID(1/2,2,1)),"")))</f>
        <v/>
      </c>
      <c r="H1575">
        <f>IF(F1575="",0,IF(COUNTIF(Настройки!$B$17:$B$26,F1575)&gt;0,1,IF(COUNTIF(Настройки!$C$17:$C$26,F1575)&gt;0,2,IF(COUNTIF(Настройки!$D$17:$D$26,F1575)&gt;0,3,0))))</f>
        <v/>
      </c>
      <c r="I1575">
        <f>IF(AND(ISNUMBER(A1575),ISNUMBER(B1575)),A1575*1000+B1575,"")</f>
        <v/>
      </c>
      <c r="J1575">
        <f>IF(I1575="","",IF(COUNTIF(I$2:I1575,I1575)=1,MAX(J$1:J1574)+1,""))</f>
        <v/>
      </c>
    </row>
    <row r="1576">
      <c r="A1576">
        <f>IFERROR(--SUBSTITUTE(SUBSTITUTE(TRIM(INDEX(INDIRECT("'Выгрузка'!A1576:Z1576"),Настройки!$B$7)),",","."),".",MID(1/2,2,1)),"")</f>
        <v/>
      </c>
      <c r="B1576">
        <f>IFERROR(--SUBSTITUTE(SUBSTITUTE(TRIM(INDEX(INDIRECT("'Выгрузка'!A1576:Z1576"),Настройки!$B$9)),",","."),".",MID(1/2,2,1)),"")</f>
        <v/>
      </c>
      <c r="C1576">
        <f>TRIM(INDEX(INDIRECT("'Выгрузка'!A1576:Z1576"),Настройки!$B$8)&amp;"")</f>
        <v/>
      </c>
      <c r="D1576">
        <f>IFERROR(--SUBSTITUTE(SUBSTITUTE(TRIM(INDEX(INDIRECT("'Выгрузка'!A1576:Z1576"),Настройки!$B$10)),",","."),".",MID(1/2,2,1)),"")</f>
        <v/>
      </c>
      <c r="E1576">
        <f>IFERROR(--SUBSTITUTE(SUBSTITUTE(TRIM(INDEX(INDIRECT("'Выгрузка'!A1576:Z1576"),Настройки!$B$11)),",","."),".",MID(1/2,2,1)),"")</f>
        <v/>
      </c>
      <c r="F1576">
        <f>TRIM(INDEX(INDIRECT("'Выгрузка'!A1576:Z1576"),Настройки!$B$12)&amp;"")</f>
        <v/>
      </c>
      <c r="G1576">
        <f>IF(F1576="",0,IF(TRIM(INDEX(INDIRECT("'Выгрузка'!A1576:Z1576"),Настройки!$B$13)&amp;"")="",1,IFERROR(--SUBSTITUTE(SUBSTITUTE(TRIM(INDEX(INDIRECT("'Выгрузка'!A1576:Z1576"),Настройки!$B$13)),",","."),".",MID(1/2,2,1)),"")))</f>
        <v/>
      </c>
      <c r="H1576">
        <f>IF(F1576="",0,IF(COUNTIF(Настройки!$B$17:$B$26,F1576)&gt;0,1,IF(COUNTIF(Настройки!$C$17:$C$26,F1576)&gt;0,2,IF(COUNTIF(Настройки!$D$17:$D$26,F1576)&gt;0,3,0))))</f>
        <v/>
      </c>
      <c r="I1576">
        <f>IF(AND(ISNUMBER(A1576),ISNUMBER(B1576)),A1576*1000+B1576,"")</f>
        <v/>
      </c>
      <c r="J1576">
        <f>IF(I1576="","",IF(COUNTIF(I$2:I1576,I1576)=1,MAX(J$1:J1575)+1,""))</f>
        <v/>
      </c>
    </row>
    <row r="1577">
      <c r="A1577">
        <f>IFERROR(--SUBSTITUTE(SUBSTITUTE(TRIM(INDEX(INDIRECT("'Выгрузка'!A1577:Z1577"),Настройки!$B$7)),",","."),".",MID(1/2,2,1)),"")</f>
        <v/>
      </c>
      <c r="B1577">
        <f>IFERROR(--SUBSTITUTE(SUBSTITUTE(TRIM(INDEX(INDIRECT("'Выгрузка'!A1577:Z1577"),Настройки!$B$9)),",","."),".",MID(1/2,2,1)),"")</f>
        <v/>
      </c>
      <c r="C1577">
        <f>TRIM(INDEX(INDIRECT("'Выгрузка'!A1577:Z1577"),Настройки!$B$8)&amp;"")</f>
        <v/>
      </c>
      <c r="D1577">
        <f>IFERROR(--SUBSTITUTE(SUBSTITUTE(TRIM(INDEX(INDIRECT("'Выгрузка'!A1577:Z1577"),Настройки!$B$10)),",","."),".",MID(1/2,2,1)),"")</f>
        <v/>
      </c>
      <c r="E1577">
        <f>IFERROR(--SUBSTITUTE(SUBSTITUTE(TRIM(INDEX(INDIRECT("'Выгрузка'!A1577:Z1577"),Настройки!$B$11)),",","."),".",MID(1/2,2,1)),"")</f>
        <v/>
      </c>
      <c r="F1577">
        <f>TRIM(INDEX(INDIRECT("'Выгрузка'!A1577:Z1577"),Настройки!$B$12)&amp;"")</f>
        <v/>
      </c>
      <c r="G1577">
        <f>IF(F1577="",0,IF(TRIM(INDEX(INDIRECT("'Выгрузка'!A1577:Z1577"),Настройки!$B$13)&amp;"")="",1,IFERROR(--SUBSTITUTE(SUBSTITUTE(TRIM(INDEX(INDIRECT("'Выгрузка'!A1577:Z1577"),Настройки!$B$13)),",","."),".",MID(1/2,2,1)),"")))</f>
        <v/>
      </c>
      <c r="H1577">
        <f>IF(F1577="",0,IF(COUNTIF(Настройки!$B$17:$B$26,F1577)&gt;0,1,IF(COUNTIF(Настройки!$C$17:$C$26,F1577)&gt;0,2,IF(COUNTIF(Настройки!$D$17:$D$26,F1577)&gt;0,3,0))))</f>
        <v/>
      </c>
      <c r="I1577">
        <f>IF(AND(ISNUMBER(A1577),ISNUMBER(B1577)),A1577*1000+B1577,"")</f>
        <v/>
      </c>
      <c r="J1577">
        <f>IF(I1577="","",IF(COUNTIF(I$2:I1577,I1577)=1,MAX(J$1:J1576)+1,""))</f>
        <v/>
      </c>
    </row>
    <row r="1578">
      <c r="A1578">
        <f>IFERROR(--SUBSTITUTE(SUBSTITUTE(TRIM(INDEX(INDIRECT("'Выгрузка'!A1578:Z1578"),Настройки!$B$7)),",","."),".",MID(1/2,2,1)),"")</f>
        <v/>
      </c>
      <c r="B1578">
        <f>IFERROR(--SUBSTITUTE(SUBSTITUTE(TRIM(INDEX(INDIRECT("'Выгрузка'!A1578:Z1578"),Настройки!$B$9)),",","."),".",MID(1/2,2,1)),"")</f>
        <v/>
      </c>
      <c r="C1578">
        <f>TRIM(INDEX(INDIRECT("'Выгрузка'!A1578:Z1578"),Настройки!$B$8)&amp;"")</f>
        <v/>
      </c>
      <c r="D1578">
        <f>IFERROR(--SUBSTITUTE(SUBSTITUTE(TRIM(INDEX(INDIRECT("'Выгрузка'!A1578:Z1578"),Настройки!$B$10)),",","."),".",MID(1/2,2,1)),"")</f>
        <v/>
      </c>
      <c r="E1578">
        <f>IFERROR(--SUBSTITUTE(SUBSTITUTE(TRIM(INDEX(INDIRECT("'Выгрузка'!A1578:Z1578"),Настройки!$B$11)),",","."),".",MID(1/2,2,1)),"")</f>
        <v/>
      </c>
      <c r="F1578">
        <f>TRIM(INDEX(INDIRECT("'Выгрузка'!A1578:Z1578"),Настройки!$B$12)&amp;"")</f>
        <v/>
      </c>
      <c r="G1578">
        <f>IF(F1578="",0,IF(TRIM(INDEX(INDIRECT("'Выгрузка'!A1578:Z1578"),Настройки!$B$13)&amp;"")="",1,IFERROR(--SUBSTITUTE(SUBSTITUTE(TRIM(INDEX(INDIRECT("'Выгрузка'!A1578:Z1578"),Настройки!$B$13)),",","."),".",MID(1/2,2,1)),"")))</f>
        <v/>
      </c>
      <c r="H1578">
        <f>IF(F1578="",0,IF(COUNTIF(Настройки!$B$17:$B$26,F1578)&gt;0,1,IF(COUNTIF(Настройки!$C$17:$C$26,F1578)&gt;0,2,IF(COUNTIF(Настройки!$D$17:$D$26,F1578)&gt;0,3,0))))</f>
        <v/>
      </c>
      <c r="I1578">
        <f>IF(AND(ISNUMBER(A1578),ISNUMBER(B1578)),A1578*1000+B1578,"")</f>
        <v/>
      </c>
      <c r="J1578">
        <f>IF(I1578="","",IF(COUNTIF(I$2:I1578,I1578)=1,MAX(J$1:J1577)+1,""))</f>
        <v/>
      </c>
    </row>
    <row r="1579">
      <c r="A1579">
        <f>IFERROR(--SUBSTITUTE(SUBSTITUTE(TRIM(INDEX(INDIRECT("'Выгрузка'!A1579:Z1579"),Настройки!$B$7)),",","."),".",MID(1/2,2,1)),"")</f>
        <v/>
      </c>
      <c r="B1579">
        <f>IFERROR(--SUBSTITUTE(SUBSTITUTE(TRIM(INDEX(INDIRECT("'Выгрузка'!A1579:Z1579"),Настройки!$B$9)),",","."),".",MID(1/2,2,1)),"")</f>
        <v/>
      </c>
      <c r="C1579">
        <f>TRIM(INDEX(INDIRECT("'Выгрузка'!A1579:Z1579"),Настройки!$B$8)&amp;"")</f>
        <v/>
      </c>
      <c r="D1579">
        <f>IFERROR(--SUBSTITUTE(SUBSTITUTE(TRIM(INDEX(INDIRECT("'Выгрузка'!A1579:Z1579"),Настройки!$B$10)),",","."),".",MID(1/2,2,1)),"")</f>
        <v/>
      </c>
      <c r="E1579">
        <f>IFERROR(--SUBSTITUTE(SUBSTITUTE(TRIM(INDEX(INDIRECT("'Выгрузка'!A1579:Z1579"),Настройки!$B$11)),",","."),".",MID(1/2,2,1)),"")</f>
        <v/>
      </c>
      <c r="F1579">
        <f>TRIM(INDEX(INDIRECT("'Выгрузка'!A1579:Z1579"),Настройки!$B$12)&amp;"")</f>
        <v/>
      </c>
      <c r="G1579">
        <f>IF(F1579="",0,IF(TRIM(INDEX(INDIRECT("'Выгрузка'!A1579:Z1579"),Настройки!$B$13)&amp;"")="",1,IFERROR(--SUBSTITUTE(SUBSTITUTE(TRIM(INDEX(INDIRECT("'Выгрузка'!A1579:Z1579"),Настройки!$B$13)),",","."),".",MID(1/2,2,1)),"")))</f>
        <v/>
      </c>
      <c r="H1579">
        <f>IF(F1579="",0,IF(COUNTIF(Настройки!$B$17:$B$26,F1579)&gt;0,1,IF(COUNTIF(Настройки!$C$17:$C$26,F1579)&gt;0,2,IF(COUNTIF(Настройки!$D$17:$D$26,F1579)&gt;0,3,0))))</f>
        <v/>
      </c>
      <c r="I1579">
        <f>IF(AND(ISNUMBER(A1579),ISNUMBER(B1579)),A1579*1000+B1579,"")</f>
        <v/>
      </c>
      <c r="J1579">
        <f>IF(I1579="","",IF(COUNTIF(I$2:I1579,I1579)=1,MAX(J$1:J1578)+1,""))</f>
        <v/>
      </c>
    </row>
    <row r="1580">
      <c r="A1580">
        <f>IFERROR(--SUBSTITUTE(SUBSTITUTE(TRIM(INDEX(INDIRECT("'Выгрузка'!A1580:Z1580"),Настройки!$B$7)),",","."),".",MID(1/2,2,1)),"")</f>
        <v/>
      </c>
      <c r="B1580">
        <f>IFERROR(--SUBSTITUTE(SUBSTITUTE(TRIM(INDEX(INDIRECT("'Выгрузка'!A1580:Z1580"),Настройки!$B$9)),",","."),".",MID(1/2,2,1)),"")</f>
        <v/>
      </c>
      <c r="C1580">
        <f>TRIM(INDEX(INDIRECT("'Выгрузка'!A1580:Z1580"),Настройки!$B$8)&amp;"")</f>
        <v/>
      </c>
      <c r="D1580">
        <f>IFERROR(--SUBSTITUTE(SUBSTITUTE(TRIM(INDEX(INDIRECT("'Выгрузка'!A1580:Z1580"),Настройки!$B$10)),",","."),".",MID(1/2,2,1)),"")</f>
        <v/>
      </c>
      <c r="E1580">
        <f>IFERROR(--SUBSTITUTE(SUBSTITUTE(TRIM(INDEX(INDIRECT("'Выгрузка'!A1580:Z1580"),Настройки!$B$11)),",","."),".",MID(1/2,2,1)),"")</f>
        <v/>
      </c>
      <c r="F1580">
        <f>TRIM(INDEX(INDIRECT("'Выгрузка'!A1580:Z1580"),Настройки!$B$12)&amp;"")</f>
        <v/>
      </c>
      <c r="G1580">
        <f>IF(F1580="",0,IF(TRIM(INDEX(INDIRECT("'Выгрузка'!A1580:Z1580"),Настройки!$B$13)&amp;"")="",1,IFERROR(--SUBSTITUTE(SUBSTITUTE(TRIM(INDEX(INDIRECT("'Выгрузка'!A1580:Z1580"),Настройки!$B$13)),",","."),".",MID(1/2,2,1)),"")))</f>
        <v/>
      </c>
      <c r="H1580">
        <f>IF(F1580="",0,IF(COUNTIF(Настройки!$B$17:$B$26,F1580)&gt;0,1,IF(COUNTIF(Настройки!$C$17:$C$26,F1580)&gt;0,2,IF(COUNTIF(Настройки!$D$17:$D$26,F1580)&gt;0,3,0))))</f>
        <v/>
      </c>
      <c r="I1580">
        <f>IF(AND(ISNUMBER(A1580),ISNUMBER(B1580)),A1580*1000+B1580,"")</f>
        <v/>
      </c>
      <c r="J1580">
        <f>IF(I1580="","",IF(COUNTIF(I$2:I1580,I1580)=1,MAX(J$1:J1579)+1,""))</f>
        <v/>
      </c>
    </row>
    <row r="1581">
      <c r="A1581">
        <f>IFERROR(--SUBSTITUTE(SUBSTITUTE(TRIM(INDEX(INDIRECT("'Выгрузка'!A1581:Z1581"),Настройки!$B$7)),",","."),".",MID(1/2,2,1)),"")</f>
        <v/>
      </c>
      <c r="B1581">
        <f>IFERROR(--SUBSTITUTE(SUBSTITUTE(TRIM(INDEX(INDIRECT("'Выгрузка'!A1581:Z1581"),Настройки!$B$9)),",","."),".",MID(1/2,2,1)),"")</f>
        <v/>
      </c>
      <c r="C1581">
        <f>TRIM(INDEX(INDIRECT("'Выгрузка'!A1581:Z1581"),Настройки!$B$8)&amp;"")</f>
        <v/>
      </c>
      <c r="D1581">
        <f>IFERROR(--SUBSTITUTE(SUBSTITUTE(TRIM(INDEX(INDIRECT("'Выгрузка'!A1581:Z1581"),Настройки!$B$10)),",","."),".",MID(1/2,2,1)),"")</f>
        <v/>
      </c>
      <c r="E1581">
        <f>IFERROR(--SUBSTITUTE(SUBSTITUTE(TRIM(INDEX(INDIRECT("'Выгрузка'!A1581:Z1581"),Настройки!$B$11)),",","."),".",MID(1/2,2,1)),"")</f>
        <v/>
      </c>
      <c r="F1581">
        <f>TRIM(INDEX(INDIRECT("'Выгрузка'!A1581:Z1581"),Настройки!$B$12)&amp;"")</f>
        <v/>
      </c>
      <c r="G1581">
        <f>IF(F1581="",0,IF(TRIM(INDEX(INDIRECT("'Выгрузка'!A1581:Z1581"),Настройки!$B$13)&amp;"")="",1,IFERROR(--SUBSTITUTE(SUBSTITUTE(TRIM(INDEX(INDIRECT("'Выгрузка'!A1581:Z1581"),Настройки!$B$13)),",","."),".",MID(1/2,2,1)),"")))</f>
        <v/>
      </c>
      <c r="H1581">
        <f>IF(F1581="",0,IF(COUNTIF(Настройки!$B$17:$B$26,F1581)&gt;0,1,IF(COUNTIF(Настройки!$C$17:$C$26,F1581)&gt;0,2,IF(COUNTIF(Настройки!$D$17:$D$26,F1581)&gt;0,3,0))))</f>
        <v/>
      </c>
      <c r="I1581">
        <f>IF(AND(ISNUMBER(A1581),ISNUMBER(B1581)),A1581*1000+B1581,"")</f>
        <v/>
      </c>
      <c r="J1581">
        <f>IF(I1581="","",IF(COUNTIF(I$2:I1581,I1581)=1,MAX(J$1:J1580)+1,""))</f>
        <v/>
      </c>
    </row>
    <row r="1582">
      <c r="A1582">
        <f>IFERROR(--SUBSTITUTE(SUBSTITUTE(TRIM(INDEX(INDIRECT("'Выгрузка'!A1582:Z1582"),Настройки!$B$7)),",","."),".",MID(1/2,2,1)),"")</f>
        <v/>
      </c>
      <c r="B1582">
        <f>IFERROR(--SUBSTITUTE(SUBSTITUTE(TRIM(INDEX(INDIRECT("'Выгрузка'!A1582:Z1582"),Настройки!$B$9)),",","."),".",MID(1/2,2,1)),"")</f>
        <v/>
      </c>
      <c r="C1582">
        <f>TRIM(INDEX(INDIRECT("'Выгрузка'!A1582:Z1582"),Настройки!$B$8)&amp;"")</f>
        <v/>
      </c>
      <c r="D1582">
        <f>IFERROR(--SUBSTITUTE(SUBSTITUTE(TRIM(INDEX(INDIRECT("'Выгрузка'!A1582:Z1582"),Настройки!$B$10)),",","."),".",MID(1/2,2,1)),"")</f>
        <v/>
      </c>
      <c r="E1582">
        <f>IFERROR(--SUBSTITUTE(SUBSTITUTE(TRIM(INDEX(INDIRECT("'Выгрузка'!A1582:Z1582"),Настройки!$B$11)),",","."),".",MID(1/2,2,1)),"")</f>
        <v/>
      </c>
      <c r="F1582">
        <f>TRIM(INDEX(INDIRECT("'Выгрузка'!A1582:Z1582"),Настройки!$B$12)&amp;"")</f>
        <v/>
      </c>
      <c r="G1582">
        <f>IF(F1582="",0,IF(TRIM(INDEX(INDIRECT("'Выгрузка'!A1582:Z1582"),Настройки!$B$13)&amp;"")="",1,IFERROR(--SUBSTITUTE(SUBSTITUTE(TRIM(INDEX(INDIRECT("'Выгрузка'!A1582:Z1582"),Настройки!$B$13)),",","."),".",MID(1/2,2,1)),"")))</f>
        <v/>
      </c>
      <c r="H1582">
        <f>IF(F1582="",0,IF(COUNTIF(Настройки!$B$17:$B$26,F1582)&gt;0,1,IF(COUNTIF(Настройки!$C$17:$C$26,F1582)&gt;0,2,IF(COUNTIF(Настройки!$D$17:$D$26,F1582)&gt;0,3,0))))</f>
        <v/>
      </c>
      <c r="I1582">
        <f>IF(AND(ISNUMBER(A1582),ISNUMBER(B1582)),A1582*1000+B1582,"")</f>
        <v/>
      </c>
      <c r="J1582">
        <f>IF(I1582="","",IF(COUNTIF(I$2:I1582,I1582)=1,MAX(J$1:J1581)+1,""))</f>
        <v/>
      </c>
    </row>
    <row r="1583">
      <c r="A1583">
        <f>IFERROR(--SUBSTITUTE(SUBSTITUTE(TRIM(INDEX(INDIRECT("'Выгрузка'!A1583:Z1583"),Настройки!$B$7)),",","."),".",MID(1/2,2,1)),"")</f>
        <v/>
      </c>
      <c r="B1583">
        <f>IFERROR(--SUBSTITUTE(SUBSTITUTE(TRIM(INDEX(INDIRECT("'Выгрузка'!A1583:Z1583"),Настройки!$B$9)),",","."),".",MID(1/2,2,1)),"")</f>
        <v/>
      </c>
      <c r="C1583">
        <f>TRIM(INDEX(INDIRECT("'Выгрузка'!A1583:Z1583"),Настройки!$B$8)&amp;"")</f>
        <v/>
      </c>
      <c r="D1583">
        <f>IFERROR(--SUBSTITUTE(SUBSTITUTE(TRIM(INDEX(INDIRECT("'Выгрузка'!A1583:Z1583"),Настройки!$B$10)),",","."),".",MID(1/2,2,1)),"")</f>
        <v/>
      </c>
      <c r="E1583">
        <f>IFERROR(--SUBSTITUTE(SUBSTITUTE(TRIM(INDEX(INDIRECT("'Выгрузка'!A1583:Z1583"),Настройки!$B$11)),",","."),".",MID(1/2,2,1)),"")</f>
        <v/>
      </c>
      <c r="F1583">
        <f>TRIM(INDEX(INDIRECT("'Выгрузка'!A1583:Z1583"),Настройки!$B$12)&amp;"")</f>
        <v/>
      </c>
      <c r="G1583">
        <f>IF(F1583="",0,IF(TRIM(INDEX(INDIRECT("'Выгрузка'!A1583:Z1583"),Настройки!$B$13)&amp;"")="",1,IFERROR(--SUBSTITUTE(SUBSTITUTE(TRIM(INDEX(INDIRECT("'Выгрузка'!A1583:Z1583"),Настройки!$B$13)),",","."),".",MID(1/2,2,1)),"")))</f>
        <v/>
      </c>
      <c r="H1583">
        <f>IF(F1583="",0,IF(COUNTIF(Настройки!$B$17:$B$26,F1583)&gt;0,1,IF(COUNTIF(Настройки!$C$17:$C$26,F1583)&gt;0,2,IF(COUNTIF(Настройки!$D$17:$D$26,F1583)&gt;0,3,0))))</f>
        <v/>
      </c>
      <c r="I1583">
        <f>IF(AND(ISNUMBER(A1583),ISNUMBER(B1583)),A1583*1000+B1583,"")</f>
        <v/>
      </c>
      <c r="J1583">
        <f>IF(I1583="","",IF(COUNTIF(I$2:I1583,I1583)=1,MAX(J$1:J1582)+1,""))</f>
        <v/>
      </c>
    </row>
    <row r="1584">
      <c r="A1584">
        <f>IFERROR(--SUBSTITUTE(SUBSTITUTE(TRIM(INDEX(INDIRECT("'Выгрузка'!A1584:Z1584"),Настройки!$B$7)),",","."),".",MID(1/2,2,1)),"")</f>
        <v/>
      </c>
      <c r="B1584">
        <f>IFERROR(--SUBSTITUTE(SUBSTITUTE(TRIM(INDEX(INDIRECT("'Выгрузка'!A1584:Z1584"),Настройки!$B$9)),",","."),".",MID(1/2,2,1)),"")</f>
        <v/>
      </c>
      <c r="C1584">
        <f>TRIM(INDEX(INDIRECT("'Выгрузка'!A1584:Z1584"),Настройки!$B$8)&amp;"")</f>
        <v/>
      </c>
      <c r="D1584">
        <f>IFERROR(--SUBSTITUTE(SUBSTITUTE(TRIM(INDEX(INDIRECT("'Выгрузка'!A1584:Z1584"),Настройки!$B$10)),",","."),".",MID(1/2,2,1)),"")</f>
        <v/>
      </c>
      <c r="E1584">
        <f>IFERROR(--SUBSTITUTE(SUBSTITUTE(TRIM(INDEX(INDIRECT("'Выгрузка'!A1584:Z1584"),Настройки!$B$11)),",","."),".",MID(1/2,2,1)),"")</f>
        <v/>
      </c>
      <c r="F1584">
        <f>TRIM(INDEX(INDIRECT("'Выгрузка'!A1584:Z1584"),Настройки!$B$12)&amp;"")</f>
        <v/>
      </c>
      <c r="G1584">
        <f>IF(F1584="",0,IF(TRIM(INDEX(INDIRECT("'Выгрузка'!A1584:Z1584"),Настройки!$B$13)&amp;"")="",1,IFERROR(--SUBSTITUTE(SUBSTITUTE(TRIM(INDEX(INDIRECT("'Выгрузка'!A1584:Z1584"),Настройки!$B$13)),",","."),".",MID(1/2,2,1)),"")))</f>
        <v/>
      </c>
      <c r="H1584">
        <f>IF(F1584="",0,IF(COUNTIF(Настройки!$B$17:$B$26,F1584)&gt;0,1,IF(COUNTIF(Настройки!$C$17:$C$26,F1584)&gt;0,2,IF(COUNTIF(Настройки!$D$17:$D$26,F1584)&gt;0,3,0))))</f>
        <v/>
      </c>
      <c r="I1584">
        <f>IF(AND(ISNUMBER(A1584),ISNUMBER(B1584)),A1584*1000+B1584,"")</f>
        <v/>
      </c>
      <c r="J1584">
        <f>IF(I1584="","",IF(COUNTIF(I$2:I1584,I1584)=1,MAX(J$1:J1583)+1,""))</f>
        <v/>
      </c>
    </row>
    <row r="1585">
      <c r="A1585">
        <f>IFERROR(--SUBSTITUTE(SUBSTITUTE(TRIM(INDEX(INDIRECT("'Выгрузка'!A1585:Z1585"),Настройки!$B$7)),",","."),".",MID(1/2,2,1)),"")</f>
        <v/>
      </c>
      <c r="B1585">
        <f>IFERROR(--SUBSTITUTE(SUBSTITUTE(TRIM(INDEX(INDIRECT("'Выгрузка'!A1585:Z1585"),Настройки!$B$9)),",","."),".",MID(1/2,2,1)),"")</f>
        <v/>
      </c>
      <c r="C1585">
        <f>TRIM(INDEX(INDIRECT("'Выгрузка'!A1585:Z1585"),Настройки!$B$8)&amp;"")</f>
        <v/>
      </c>
      <c r="D1585">
        <f>IFERROR(--SUBSTITUTE(SUBSTITUTE(TRIM(INDEX(INDIRECT("'Выгрузка'!A1585:Z1585"),Настройки!$B$10)),",","."),".",MID(1/2,2,1)),"")</f>
        <v/>
      </c>
      <c r="E1585">
        <f>IFERROR(--SUBSTITUTE(SUBSTITUTE(TRIM(INDEX(INDIRECT("'Выгрузка'!A1585:Z1585"),Настройки!$B$11)),",","."),".",MID(1/2,2,1)),"")</f>
        <v/>
      </c>
      <c r="F1585">
        <f>TRIM(INDEX(INDIRECT("'Выгрузка'!A1585:Z1585"),Настройки!$B$12)&amp;"")</f>
        <v/>
      </c>
      <c r="G1585">
        <f>IF(F1585="",0,IF(TRIM(INDEX(INDIRECT("'Выгрузка'!A1585:Z1585"),Настройки!$B$13)&amp;"")="",1,IFERROR(--SUBSTITUTE(SUBSTITUTE(TRIM(INDEX(INDIRECT("'Выгрузка'!A1585:Z1585"),Настройки!$B$13)),",","."),".",MID(1/2,2,1)),"")))</f>
        <v/>
      </c>
      <c r="H1585">
        <f>IF(F1585="",0,IF(COUNTIF(Настройки!$B$17:$B$26,F1585)&gt;0,1,IF(COUNTIF(Настройки!$C$17:$C$26,F1585)&gt;0,2,IF(COUNTIF(Настройки!$D$17:$D$26,F1585)&gt;0,3,0))))</f>
        <v/>
      </c>
      <c r="I1585">
        <f>IF(AND(ISNUMBER(A1585),ISNUMBER(B1585)),A1585*1000+B1585,"")</f>
        <v/>
      </c>
      <c r="J1585">
        <f>IF(I1585="","",IF(COUNTIF(I$2:I1585,I1585)=1,MAX(J$1:J1584)+1,""))</f>
        <v/>
      </c>
    </row>
    <row r="1586">
      <c r="A1586">
        <f>IFERROR(--SUBSTITUTE(SUBSTITUTE(TRIM(INDEX(INDIRECT("'Выгрузка'!A1586:Z1586"),Настройки!$B$7)),",","."),".",MID(1/2,2,1)),"")</f>
        <v/>
      </c>
      <c r="B1586">
        <f>IFERROR(--SUBSTITUTE(SUBSTITUTE(TRIM(INDEX(INDIRECT("'Выгрузка'!A1586:Z1586"),Настройки!$B$9)),",","."),".",MID(1/2,2,1)),"")</f>
        <v/>
      </c>
      <c r="C1586">
        <f>TRIM(INDEX(INDIRECT("'Выгрузка'!A1586:Z1586"),Настройки!$B$8)&amp;"")</f>
        <v/>
      </c>
      <c r="D1586">
        <f>IFERROR(--SUBSTITUTE(SUBSTITUTE(TRIM(INDEX(INDIRECT("'Выгрузка'!A1586:Z1586"),Настройки!$B$10)),",","."),".",MID(1/2,2,1)),"")</f>
        <v/>
      </c>
      <c r="E1586">
        <f>IFERROR(--SUBSTITUTE(SUBSTITUTE(TRIM(INDEX(INDIRECT("'Выгрузка'!A1586:Z1586"),Настройки!$B$11)),",","."),".",MID(1/2,2,1)),"")</f>
        <v/>
      </c>
      <c r="F1586">
        <f>TRIM(INDEX(INDIRECT("'Выгрузка'!A1586:Z1586"),Настройки!$B$12)&amp;"")</f>
        <v/>
      </c>
      <c r="G1586">
        <f>IF(F1586="",0,IF(TRIM(INDEX(INDIRECT("'Выгрузка'!A1586:Z1586"),Настройки!$B$13)&amp;"")="",1,IFERROR(--SUBSTITUTE(SUBSTITUTE(TRIM(INDEX(INDIRECT("'Выгрузка'!A1586:Z1586"),Настройки!$B$13)),",","."),".",MID(1/2,2,1)),"")))</f>
        <v/>
      </c>
      <c r="H1586">
        <f>IF(F1586="",0,IF(COUNTIF(Настройки!$B$17:$B$26,F1586)&gt;0,1,IF(COUNTIF(Настройки!$C$17:$C$26,F1586)&gt;0,2,IF(COUNTIF(Настройки!$D$17:$D$26,F1586)&gt;0,3,0))))</f>
        <v/>
      </c>
      <c r="I1586">
        <f>IF(AND(ISNUMBER(A1586),ISNUMBER(B1586)),A1586*1000+B1586,"")</f>
        <v/>
      </c>
      <c r="J1586">
        <f>IF(I1586="","",IF(COUNTIF(I$2:I1586,I1586)=1,MAX(J$1:J1585)+1,""))</f>
        <v/>
      </c>
    </row>
    <row r="1587">
      <c r="A1587">
        <f>IFERROR(--SUBSTITUTE(SUBSTITUTE(TRIM(INDEX(INDIRECT("'Выгрузка'!A1587:Z1587"),Настройки!$B$7)),",","."),".",MID(1/2,2,1)),"")</f>
        <v/>
      </c>
      <c r="B1587">
        <f>IFERROR(--SUBSTITUTE(SUBSTITUTE(TRIM(INDEX(INDIRECT("'Выгрузка'!A1587:Z1587"),Настройки!$B$9)),",","."),".",MID(1/2,2,1)),"")</f>
        <v/>
      </c>
      <c r="C1587">
        <f>TRIM(INDEX(INDIRECT("'Выгрузка'!A1587:Z1587"),Настройки!$B$8)&amp;"")</f>
        <v/>
      </c>
      <c r="D1587">
        <f>IFERROR(--SUBSTITUTE(SUBSTITUTE(TRIM(INDEX(INDIRECT("'Выгрузка'!A1587:Z1587"),Настройки!$B$10)),",","."),".",MID(1/2,2,1)),"")</f>
        <v/>
      </c>
      <c r="E1587">
        <f>IFERROR(--SUBSTITUTE(SUBSTITUTE(TRIM(INDEX(INDIRECT("'Выгрузка'!A1587:Z1587"),Настройки!$B$11)),",","."),".",MID(1/2,2,1)),"")</f>
        <v/>
      </c>
      <c r="F1587">
        <f>TRIM(INDEX(INDIRECT("'Выгрузка'!A1587:Z1587"),Настройки!$B$12)&amp;"")</f>
        <v/>
      </c>
      <c r="G1587">
        <f>IF(F1587="",0,IF(TRIM(INDEX(INDIRECT("'Выгрузка'!A1587:Z1587"),Настройки!$B$13)&amp;"")="",1,IFERROR(--SUBSTITUTE(SUBSTITUTE(TRIM(INDEX(INDIRECT("'Выгрузка'!A1587:Z1587"),Настройки!$B$13)),",","."),".",MID(1/2,2,1)),"")))</f>
        <v/>
      </c>
      <c r="H1587">
        <f>IF(F1587="",0,IF(COUNTIF(Настройки!$B$17:$B$26,F1587)&gt;0,1,IF(COUNTIF(Настройки!$C$17:$C$26,F1587)&gt;0,2,IF(COUNTIF(Настройки!$D$17:$D$26,F1587)&gt;0,3,0))))</f>
        <v/>
      </c>
      <c r="I1587">
        <f>IF(AND(ISNUMBER(A1587),ISNUMBER(B1587)),A1587*1000+B1587,"")</f>
        <v/>
      </c>
      <c r="J1587">
        <f>IF(I1587="","",IF(COUNTIF(I$2:I1587,I1587)=1,MAX(J$1:J1586)+1,""))</f>
        <v/>
      </c>
    </row>
    <row r="1588">
      <c r="A1588">
        <f>IFERROR(--SUBSTITUTE(SUBSTITUTE(TRIM(INDEX(INDIRECT("'Выгрузка'!A1588:Z1588"),Настройки!$B$7)),",","."),".",MID(1/2,2,1)),"")</f>
        <v/>
      </c>
      <c r="B1588">
        <f>IFERROR(--SUBSTITUTE(SUBSTITUTE(TRIM(INDEX(INDIRECT("'Выгрузка'!A1588:Z1588"),Настройки!$B$9)),",","."),".",MID(1/2,2,1)),"")</f>
        <v/>
      </c>
      <c r="C1588">
        <f>TRIM(INDEX(INDIRECT("'Выгрузка'!A1588:Z1588"),Настройки!$B$8)&amp;"")</f>
        <v/>
      </c>
      <c r="D1588">
        <f>IFERROR(--SUBSTITUTE(SUBSTITUTE(TRIM(INDEX(INDIRECT("'Выгрузка'!A1588:Z1588"),Настройки!$B$10)),",","."),".",MID(1/2,2,1)),"")</f>
        <v/>
      </c>
      <c r="E1588">
        <f>IFERROR(--SUBSTITUTE(SUBSTITUTE(TRIM(INDEX(INDIRECT("'Выгрузка'!A1588:Z1588"),Настройки!$B$11)),",","."),".",MID(1/2,2,1)),"")</f>
        <v/>
      </c>
      <c r="F1588">
        <f>TRIM(INDEX(INDIRECT("'Выгрузка'!A1588:Z1588"),Настройки!$B$12)&amp;"")</f>
        <v/>
      </c>
      <c r="G1588">
        <f>IF(F1588="",0,IF(TRIM(INDEX(INDIRECT("'Выгрузка'!A1588:Z1588"),Настройки!$B$13)&amp;"")="",1,IFERROR(--SUBSTITUTE(SUBSTITUTE(TRIM(INDEX(INDIRECT("'Выгрузка'!A1588:Z1588"),Настройки!$B$13)),",","."),".",MID(1/2,2,1)),"")))</f>
        <v/>
      </c>
      <c r="H1588">
        <f>IF(F1588="",0,IF(COUNTIF(Настройки!$B$17:$B$26,F1588)&gt;0,1,IF(COUNTIF(Настройки!$C$17:$C$26,F1588)&gt;0,2,IF(COUNTIF(Настройки!$D$17:$D$26,F1588)&gt;0,3,0))))</f>
        <v/>
      </c>
      <c r="I1588">
        <f>IF(AND(ISNUMBER(A1588),ISNUMBER(B1588)),A1588*1000+B1588,"")</f>
        <v/>
      </c>
      <c r="J1588">
        <f>IF(I1588="","",IF(COUNTIF(I$2:I1588,I1588)=1,MAX(J$1:J1587)+1,""))</f>
        <v/>
      </c>
    </row>
    <row r="1589">
      <c r="A1589">
        <f>IFERROR(--SUBSTITUTE(SUBSTITUTE(TRIM(INDEX(INDIRECT("'Выгрузка'!A1589:Z1589"),Настройки!$B$7)),",","."),".",MID(1/2,2,1)),"")</f>
        <v/>
      </c>
      <c r="B1589">
        <f>IFERROR(--SUBSTITUTE(SUBSTITUTE(TRIM(INDEX(INDIRECT("'Выгрузка'!A1589:Z1589"),Настройки!$B$9)),",","."),".",MID(1/2,2,1)),"")</f>
        <v/>
      </c>
      <c r="C1589">
        <f>TRIM(INDEX(INDIRECT("'Выгрузка'!A1589:Z1589"),Настройки!$B$8)&amp;"")</f>
        <v/>
      </c>
      <c r="D1589">
        <f>IFERROR(--SUBSTITUTE(SUBSTITUTE(TRIM(INDEX(INDIRECT("'Выгрузка'!A1589:Z1589"),Настройки!$B$10)),",","."),".",MID(1/2,2,1)),"")</f>
        <v/>
      </c>
      <c r="E1589">
        <f>IFERROR(--SUBSTITUTE(SUBSTITUTE(TRIM(INDEX(INDIRECT("'Выгрузка'!A1589:Z1589"),Настройки!$B$11)),",","."),".",MID(1/2,2,1)),"")</f>
        <v/>
      </c>
      <c r="F1589">
        <f>TRIM(INDEX(INDIRECT("'Выгрузка'!A1589:Z1589"),Настройки!$B$12)&amp;"")</f>
        <v/>
      </c>
      <c r="G1589">
        <f>IF(F1589="",0,IF(TRIM(INDEX(INDIRECT("'Выгрузка'!A1589:Z1589"),Настройки!$B$13)&amp;"")="",1,IFERROR(--SUBSTITUTE(SUBSTITUTE(TRIM(INDEX(INDIRECT("'Выгрузка'!A1589:Z1589"),Настройки!$B$13)),",","."),".",MID(1/2,2,1)),"")))</f>
        <v/>
      </c>
      <c r="H1589">
        <f>IF(F1589="",0,IF(COUNTIF(Настройки!$B$17:$B$26,F1589)&gt;0,1,IF(COUNTIF(Настройки!$C$17:$C$26,F1589)&gt;0,2,IF(COUNTIF(Настройки!$D$17:$D$26,F1589)&gt;0,3,0))))</f>
        <v/>
      </c>
      <c r="I1589">
        <f>IF(AND(ISNUMBER(A1589),ISNUMBER(B1589)),A1589*1000+B1589,"")</f>
        <v/>
      </c>
      <c r="J1589">
        <f>IF(I1589="","",IF(COUNTIF(I$2:I1589,I1589)=1,MAX(J$1:J1588)+1,""))</f>
        <v/>
      </c>
    </row>
    <row r="1590">
      <c r="A1590">
        <f>IFERROR(--SUBSTITUTE(SUBSTITUTE(TRIM(INDEX(INDIRECT("'Выгрузка'!A1590:Z1590"),Настройки!$B$7)),",","."),".",MID(1/2,2,1)),"")</f>
        <v/>
      </c>
      <c r="B1590">
        <f>IFERROR(--SUBSTITUTE(SUBSTITUTE(TRIM(INDEX(INDIRECT("'Выгрузка'!A1590:Z1590"),Настройки!$B$9)),",","."),".",MID(1/2,2,1)),"")</f>
        <v/>
      </c>
      <c r="C1590">
        <f>TRIM(INDEX(INDIRECT("'Выгрузка'!A1590:Z1590"),Настройки!$B$8)&amp;"")</f>
        <v/>
      </c>
      <c r="D1590">
        <f>IFERROR(--SUBSTITUTE(SUBSTITUTE(TRIM(INDEX(INDIRECT("'Выгрузка'!A1590:Z1590"),Настройки!$B$10)),",","."),".",MID(1/2,2,1)),"")</f>
        <v/>
      </c>
      <c r="E1590">
        <f>IFERROR(--SUBSTITUTE(SUBSTITUTE(TRIM(INDEX(INDIRECT("'Выгрузка'!A1590:Z1590"),Настройки!$B$11)),",","."),".",MID(1/2,2,1)),"")</f>
        <v/>
      </c>
      <c r="F1590">
        <f>TRIM(INDEX(INDIRECT("'Выгрузка'!A1590:Z1590"),Настройки!$B$12)&amp;"")</f>
        <v/>
      </c>
      <c r="G1590">
        <f>IF(F1590="",0,IF(TRIM(INDEX(INDIRECT("'Выгрузка'!A1590:Z1590"),Настройки!$B$13)&amp;"")="",1,IFERROR(--SUBSTITUTE(SUBSTITUTE(TRIM(INDEX(INDIRECT("'Выгрузка'!A1590:Z1590"),Настройки!$B$13)),",","."),".",MID(1/2,2,1)),"")))</f>
        <v/>
      </c>
      <c r="H1590">
        <f>IF(F1590="",0,IF(COUNTIF(Настройки!$B$17:$B$26,F1590)&gt;0,1,IF(COUNTIF(Настройки!$C$17:$C$26,F1590)&gt;0,2,IF(COUNTIF(Настройки!$D$17:$D$26,F1590)&gt;0,3,0))))</f>
        <v/>
      </c>
      <c r="I1590">
        <f>IF(AND(ISNUMBER(A1590),ISNUMBER(B1590)),A1590*1000+B1590,"")</f>
        <v/>
      </c>
      <c r="J1590">
        <f>IF(I1590="","",IF(COUNTIF(I$2:I1590,I1590)=1,MAX(J$1:J1589)+1,""))</f>
        <v/>
      </c>
    </row>
    <row r="1591">
      <c r="A1591">
        <f>IFERROR(--SUBSTITUTE(SUBSTITUTE(TRIM(INDEX(INDIRECT("'Выгрузка'!A1591:Z1591"),Настройки!$B$7)),",","."),".",MID(1/2,2,1)),"")</f>
        <v/>
      </c>
      <c r="B1591">
        <f>IFERROR(--SUBSTITUTE(SUBSTITUTE(TRIM(INDEX(INDIRECT("'Выгрузка'!A1591:Z1591"),Настройки!$B$9)),",","."),".",MID(1/2,2,1)),"")</f>
        <v/>
      </c>
      <c r="C1591">
        <f>TRIM(INDEX(INDIRECT("'Выгрузка'!A1591:Z1591"),Настройки!$B$8)&amp;"")</f>
        <v/>
      </c>
      <c r="D1591">
        <f>IFERROR(--SUBSTITUTE(SUBSTITUTE(TRIM(INDEX(INDIRECT("'Выгрузка'!A1591:Z1591"),Настройки!$B$10)),",","."),".",MID(1/2,2,1)),"")</f>
        <v/>
      </c>
      <c r="E1591">
        <f>IFERROR(--SUBSTITUTE(SUBSTITUTE(TRIM(INDEX(INDIRECT("'Выгрузка'!A1591:Z1591"),Настройки!$B$11)),",","."),".",MID(1/2,2,1)),"")</f>
        <v/>
      </c>
      <c r="F1591">
        <f>TRIM(INDEX(INDIRECT("'Выгрузка'!A1591:Z1591"),Настройки!$B$12)&amp;"")</f>
        <v/>
      </c>
      <c r="G1591">
        <f>IF(F1591="",0,IF(TRIM(INDEX(INDIRECT("'Выгрузка'!A1591:Z1591"),Настройки!$B$13)&amp;"")="",1,IFERROR(--SUBSTITUTE(SUBSTITUTE(TRIM(INDEX(INDIRECT("'Выгрузка'!A1591:Z1591"),Настройки!$B$13)),",","."),".",MID(1/2,2,1)),"")))</f>
        <v/>
      </c>
      <c r="H1591">
        <f>IF(F1591="",0,IF(COUNTIF(Настройки!$B$17:$B$26,F1591)&gt;0,1,IF(COUNTIF(Настройки!$C$17:$C$26,F1591)&gt;0,2,IF(COUNTIF(Настройки!$D$17:$D$26,F1591)&gt;0,3,0))))</f>
        <v/>
      </c>
      <c r="I1591">
        <f>IF(AND(ISNUMBER(A1591),ISNUMBER(B1591)),A1591*1000+B1591,"")</f>
        <v/>
      </c>
      <c r="J1591">
        <f>IF(I1591="","",IF(COUNTIF(I$2:I1591,I1591)=1,MAX(J$1:J1590)+1,""))</f>
        <v/>
      </c>
    </row>
    <row r="1592">
      <c r="A1592">
        <f>IFERROR(--SUBSTITUTE(SUBSTITUTE(TRIM(INDEX(INDIRECT("'Выгрузка'!A1592:Z1592"),Настройки!$B$7)),",","."),".",MID(1/2,2,1)),"")</f>
        <v/>
      </c>
      <c r="B1592">
        <f>IFERROR(--SUBSTITUTE(SUBSTITUTE(TRIM(INDEX(INDIRECT("'Выгрузка'!A1592:Z1592"),Настройки!$B$9)),",","."),".",MID(1/2,2,1)),"")</f>
        <v/>
      </c>
      <c r="C1592">
        <f>TRIM(INDEX(INDIRECT("'Выгрузка'!A1592:Z1592"),Настройки!$B$8)&amp;"")</f>
        <v/>
      </c>
      <c r="D1592">
        <f>IFERROR(--SUBSTITUTE(SUBSTITUTE(TRIM(INDEX(INDIRECT("'Выгрузка'!A1592:Z1592"),Настройки!$B$10)),",","."),".",MID(1/2,2,1)),"")</f>
        <v/>
      </c>
      <c r="E1592">
        <f>IFERROR(--SUBSTITUTE(SUBSTITUTE(TRIM(INDEX(INDIRECT("'Выгрузка'!A1592:Z1592"),Настройки!$B$11)),",","."),".",MID(1/2,2,1)),"")</f>
        <v/>
      </c>
      <c r="F1592">
        <f>TRIM(INDEX(INDIRECT("'Выгрузка'!A1592:Z1592"),Настройки!$B$12)&amp;"")</f>
        <v/>
      </c>
      <c r="G1592">
        <f>IF(F1592="",0,IF(TRIM(INDEX(INDIRECT("'Выгрузка'!A1592:Z1592"),Настройки!$B$13)&amp;"")="",1,IFERROR(--SUBSTITUTE(SUBSTITUTE(TRIM(INDEX(INDIRECT("'Выгрузка'!A1592:Z1592"),Настройки!$B$13)),",","."),".",MID(1/2,2,1)),"")))</f>
        <v/>
      </c>
      <c r="H1592">
        <f>IF(F1592="",0,IF(COUNTIF(Настройки!$B$17:$B$26,F1592)&gt;0,1,IF(COUNTIF(Настройки!$C$17:$C$26,F1592)&gt;0,2,IF(COUNTIF(Настройки!$D$17:$D$26,F1592)&gt;0,3,0))))</f>
        <v/>
      </c>
      <c r="I1592">
        <f>IF(AND(ISNUMBER(A1592),ISNUMBER(B1592)),A1592*1000+B1592,"")</f>
        <v/>
      </c>
      <c r="J1592">
        <f>IF(I1592="","",IF(COUNTIF(I$2:I1592,I1592)=1,MAX(J$1:J1591)+1,""))</f>
        <v/>
      </c>
    </row>
    <row r="1593">
      <c r="A1593">
        <f>IFERROR(--SUBSTITUTE(SUBSTITUTE(TRIM(INDEX(INDIRECT("'Выгрузка'!A1593:Z1593"),Настройки!$B$7)),",","."),".",MID(1/2,2,1)),"")</f>
        <v/>
      </c>
      <c r="B1593">
        <f>IFERROR(--SUBSTITUTE(SUBSTITUTE(TRIM(INDEX(INDIRECT("'Выгрузка'!A1593:Z1593"),Настройки!$B$9)),",","."),".",MID(1/2,2,1)),"")</f>
        <v/>
      </c>
      <c r="C1593">
        <f>TRIM(INDEX(INDIRECT("'Выгрузка'!A1593:Z1593"),Настройки!$B$8)&amp;"")</f>
        <v/>
      </c>
      <c r="D1593">
        <f>IFERROR(--SUBSTITUTE(SUBSTITUTE(TRIM(INDEX(INDIRECT("'Выгрузка'!A1593:Z1593"),Настройки!$B$10)),",","."),".",MID(1/2,2,1)),"")</f>
        <v/>
      </c>
      <c r="E1593">
        <f>IFERROR(--SUBSTITUTE(SUBSTITUTE(TRIM(INDEX(INDIRECT("'Выгрузка'!A1593:Z1593"),Настройки!$B$11)),",","."),".",MID(1/2,2,1)),"")</f>
        <v/>
      </c>
      <c r="F1593">
        <f>TRIM(INDEX(INDIRECT("'Выгрузка'!A1593:Z1593"),Настройки!$B$12)&amp;"")</f>
        <v/>
      </c>
      <c r="G1593">
        <f>IF(F1593="",0,IF(TRIM(INDEX(INDIRECT("'Выгрузка'!A1593:Z1593"),Настройки!$B$13)&amp;"")="",1,IFERROR(--SUBSTITUTE(SUBSTITUTE(TRIM(INDEX(INDIRECT("'Выгрузка'!A1593:Z1593"),Настройки!$B$13)),",","."),".",MID(1/2,2,1)),"")))</f>
        <v/>
      </c>
      <c r="H1593">
        <f>IF(F1593="",0,IF(COUNTIF(Настройки!$B$17:$B$26,F1593)&gt;0,1,IF(COUNTIF(Настройки!$C$17:$C$26,F1593)&gt;0,2,IF(COUNTIF(Настройки!$D$17:$D$26,F1593)&gt;0,3,0))))</f>
        <v/>
      </c>
      <c r="I1593">
        <f>IF(AND(ISNUMBER(A1593),ISNUMBER(B1593)),A1593*1000+B1593,"")</f>
        <v/>
      </c>
      <c r="J1593">
        <f>IF(I1593="","",IF(COUNTIF(I$2:I1593,I1593)=1,MAX(J$1:J1592)+1,""))</f>
        <v/>
      </c>
    </row>
    <row r="1594">
      <c r="A1594">
        <f>IFERROR(--SUBSTITUTE(SUBSTITUTE(TRIM(INDEX(INDIRECT("'Выгрузка'!A1594:Z1594"),Настройки!$B$7)),",","."),".",MID(1/2,2,1)),"")</f>
        <v/>
      </c>
      <c r="B1594">
        <f>IFERROR(--SUBSTITUTE(SUBSTITUTE(TRIM(INDEX(INDIRECT("'Выгрузка'!A1594:Z1594"),Настройки!$B$9)),",","."),".",MID(1/2,2,1)),"")</f>
        <v/>
      </c>
      <c r="C1594">
        <f>TRIM(INDEX(INDIRECT("'Выгрузка'!A1594:Z1594"),Настройки!$B$8)&amp;"")</f>
        <v/>
      </c>
      <c r="D1594">
        <f>IFERROR(--SUBSTITUTE(SUBSTITUTE(TRIM(INDEX(INDIRECT("'Выгрузка'!A1594:Z1594"),Настройки!$B$10)),",","."),".",MID(1/2,2,1)),"")</f>
        <v/>
      </c>
      <c r="E1594">
        <f>IFERROR(--SUBSTITUTE(SUBSTITUTE(TRIM(INDEX(INDIRECT("'Выгрузка'!A1594:Z1594"),Настройки!$B$11)),",","."),".",MID(1/2,2,1)),"")</f>
        <v/>
      </c>
      <c r="F1594">
        <f>TRIM(INDEX(INDIRECT("'Выгрузка'!A1594:Z1594"),Настройки!$B$12)&amp;"")</f>
        <v/>
      </c>
      <c r="G1594">
        <f>IF(F1594="",0,IF(TRIM(INDEX(INDIRECT("'Выгрузка'!A1594:Z1594"),Настройки!$B$13)&amp;"")="",1,IFERROR(--SUBSTITUTE(SUBSTITUTE(TRIM(INDEX(INDIRECT("'Выгрузка'!A1594:Z1594"),Настройки!$B$13)),",","."),".",MID(1/2,2,1)),"")))</f>
        <v/>
      </c>
      <c r="H1594">
        <f>IF(F1594="",0,IF(COUNTIF(Настройки!$B$17:$B$26,F1594)&gt;0,1,IF(COUNTIF(Настройки!$C$17:$C$26,F1594)&gt;0,2,IF(COUNTIF(Настройки!$D$17:$D$26,F1594)&gt;0,3,0))))</f>
        <v/>
      </c>
      <c r="I1594">
        <f>IF(AND(ISNUMBER(A1594),ISNUMBER(B1594)),A1594*1000+B1594,"")</f>
        <v/>
      </c>
      <c r="J1594">
        <f>IF(I1594="","",IF(COUNTIF(I$2:I1594,I1594)=1,MAX(J$1:J1593)+1,""))</f>
        <v/>
      </c>
    </row>
    <row r="1595">
      <c r="A1595">
        <f>IFERROR(--SUBSTITUTE(SUBSTITUTE(TRIM(INDEX(INDIRECT("'Выгрузка'!A1595:Z1595"),Настройки!$B$7)),",","."),".",MID(1/2,2,1)),"")</f>
        <v/>
      </c>
      <c r="B1595">
        <f>IFERROR(--SUBSTITUTE(SUBSTITUTE(TRIM(INDEX(INDIRECT("'Выгрузка'!A1595:Z1595"),Настройки!$B$9)),",","."),".",MID(1/2,2,1)),"")</f>
        <v/>
      </c>
      <c r="C1595">
        <f>TRIM(INDEX(INDIRECT("'Выгрузка'!A1595:Z1595"),Настройки!$B$8)&amp;"")</f>
        <v/>
      </c>
      <c r="D1595">
        <f>IFERROR(--SUBSTITUTE(SUBSTITUTE(TRIM(INDEX(INDIRECT("'Выгрузка'!A1595:Z1595"),Настройки!$B$10)),",","."),".",MID(1/2,2,1)),"")</f>
        <v/>
      </c>
      <c r="E1595">
        <f>IFERROR(--SUBSTITUTE(SUBSTITUTE(TRIM(INDEX(INDIRECT("'Выгрузка'!A1595:Z1595"),Настройки!$B$11)),",","."),".",MID(1/2,2,1)),"")</f>
        <v/>
      </c>
      <c r="F1595">
        <f>TRIM(INDEX(INDIRECT("'Выгрузка'!A1595:Z1595"),Настройки!$B$12)&amp;"")</f>
        <v/>
      </c>
      <c r="G1595">
        <f>IF(F1595="",0,IF(TRIM(INDEX(INDIRECT("'Выгрузка'!A1595:Z1595"),Настройки!$B$13)&amp;"")="",1,IFERROR(--SUBSTITUTE(SUBSTITUTE(TRIM(INDEX(INDIRECT("'Выгрузка'!A1595:Z1595"),Настройки!$B$13)),",","."),".",MID(1/2,2,1)),"")))</f>
        <v/>
      </c>
      <c r="H1595">
        <f>IF(F1595="",0,IF(COUNTIF(Настройки!$B$17:$B$26,F1595)&gt;0,1,IF(COUNTIF(Настройки!$C$17:$C$26,F1595)&gt;0,2,IF(COUNTIF(Настройки!$D$17:$D$26,F1595)&gt;0,3,0))))</f>
        <v/>
      </c>
      <c r="I1595">
        <f>IF(AND(ISNUMBER(A1595),ISNUMBER(B1595)),A1595*1000+B1595,"")</f>
        <v/>
      </c>
      <c r="J1595">
        <f>IF(I1595="","",IF(COUNTIF(I$2:I1595,I1595)=1,MAX(J$1:J1594)+1,""))</f>
        <v/>
      </c>
    </row>
    <row r="1596">
      <c r="A1596">
        <f>IFERROR(--SUBSTITUTE(SUBSTITUTE(TRIM(INDEX(INDIRECT("'Выгрузка'!A1596:Z1596"),Настройки!$B$7)),",","."),".",MID(1/2,2,1)),"")</f>
        <v/>
      </c>
      <c r="B1596">
        <f>IFERROR(--SUBSTITUTE(SUBSTITUTE(TRIM(INDEX(INDIRECT("'Выгрузка'!A1596:Z1596"),Настройки!$B$9)),",","."),".",MID(1/2,2,1)),"")</f>
        <v/>
      </c>
      <c r="C1596">
        <f>TRIM(INDEX(INDIRECT("'Выгрузка'!A1596:Z1596"),Настройки!$B$8)&amp;"")</f>
        <v/>
      </c>
      <c r="D1596">
        <f>IFERROR(--SUBSTITUTE(SUBSTITUTE(TRIM(INDEX(INDIRECT("'Выгрузка'!A1596:Z1596"),Настройки!$B$10)),",","."),".",MID(1/2,2,1)),"")</f>
        <v/>
      </c>
      <c r="E1596">
        <f>IFERROR(--SUBSTITUTE(SUBSTITUTE(TRIM(INDEX(INDIRECT("'Выгрузка'!A1596:Z1596"),Настройки!$B$11)),",","."),".",MID(1/2,2,1)),"")</f>
        <v/>
      </c>
      <c r="F1596">
        <f>TRIM(INDEX(INDIRECT("'Выгрузка'!A1596:Z1596"),Настройки!$B$12)&amp;"")</f>
        <v/>
      </c>
      <c r="G1596">
        <f>IF(F1596="",0,IF(TRIM(INDEX(INDIRECT("'Выгрузка'!A1596:Z1596"),Настройки!$B$13)&amp;"")="",1,IFERROR(--SUBSTITUTE(SUBSTITUTE(TRIM(INDEX(INDIRECT("'Выгрузка'!A1596:Z1596"),Настройки!$B$13)),",","."),".",MID(1/2,2,1)),"")))</f>
        <v/>
      </c>
      <c r="H1596">
        <f>IF(F1596="",0,IF(COUNTIF(Настройки!$B$17:$B$26,F1596)&gt;0,1,IF(COUNTIF(Настройки!$C$17:$C$26,F1596)&gt;0,2,IF(COUNTIF(Настройки!$D$17:$D$26,F1596)&gt;0,3,0))))</f>
        <v/>
      </c>
      <c r="I1596">
        <f>IF(AND(ISNUMBER(A1596),ISNUMBER(B1596)),A1596*1000+B1596,"")</f>
        <v/>
      </c>
      <c r="J1596">
        <f>IF(I1596="","",IF(COUNTIF(I$2:I1596,I1596)=1,MAX(J$1:J1595)+1,""))</f>
        <v/>
      </c>
    </row>
    <row r="1597">
      <c r="A1597">
        <f>IFERROR(--SUBSTITUTE(SUBSTITUTE(TRIM(INDEX(INDIRECT("'Выгрузка'!A1597:Z1597"),Настройки!$B$7)),",","."),".",MID(1/2,2,1)),"")</f>
        <v/>
      </c>
      <c r="B1597">
        <f>IFERROR(--SUBSTITUTE(SUBSTITUTE(TRIM(INDEX(INDIRECT("'Выгрузка'!A1597:Z1597"),Настройки!$B$9)),",","."),".",MID(1/2,2,1)),"")</f>
        <v/>
      </c>
      <c r="C1597">
        <f>TRIM(INDEX(INDIRECT("'Выгрузка'!A1597:Z1597"),Настройки!$B$8)&amp;"")</f>
        <v/>
      </c>
      <c r="D1597">
        <f>IFERROR(--SUBSTITUTE(SUBSTITUTE(TRIM(INDEX(INDIRECT("'Выгрузка'!A1597:Z1597"),Настройки!$B$10)),",","."),".",MID(1/2,2,1)),"")</f>
        <v/>
      </c>
      <c r="E1597">
        <f>IFERROR(--SUBSTITUTE(SUBSTITUTE(TRIM(INDEX(INDIRECT("'Выгрузка'!A1597:Z1597"),Настройки!$B$11)),",","."),".",MID(1/2,2,1)),"")</f>
        <v/>
      </c>
      <c r="F1597">
        <f>TRIM(INDEX(INDIRECT("'Выгрузка'!A1597:Z1597"),Настройки!$B$12)&amp;"")</f>
        <v/>
      </c>
      <c r="G1597">
        <f>IF(F1597="",0,IF(TRIM(INDEX(INDIRECT("'Выгрузка'!A1597:Z1597"),Настройки!$B$13)&amp;"")="",1,IFERROR(--SUBSTITUTE(SUBSTITUTE(TRIM(INDEX(INDIRECT("'Выгрузка'!A1597:Z1597"),Настройки!$B$13)),",","."),".",MID(1/2,2,1)),"")))</f>
        <v/>
      </c>
      <c r="H1597">
        <f>IF(F1597="",0,IF(COUNTIF(Настройки!$B$17:$B$26,F1597)&gt;0,1,IF(COUNTIF(Настройки!$C$17:$C$26,F1597)&gt;0,2,IF(COUNTIF(Настройки!$D$17:$D$26,F1597)&gt;0,3,0))))</f>
        <v/>
      </c>
      <c r="I1597">
        <f>IF(AND(ISNUMBER(A1597),ISNUMBER(B1597)),A1597*1000+B1597,"")</f>
        <v/>
      </c>
      <c r="J1597">
        <f>IF(I1597="","",IF(COUNTIF(I$2:I1597,I1597)=1,MAX(J$1:J1596)+1,""))</f>
        <v/>
      </c>
    </row>
    <row r="1598">
      <c r="A1598">
        <f>IFERROR(--SUBSTITUTE(SUBSTITUTE(TRIM(INDEX(INDIRECT("'Выгрузка'!A1598:Z1598"),Настройки!$B$7)),",","."),".",MID(1/2,2,1)),"")</f>
        <v/>
      </c>
      <c r="B1598">
        <f>IFERROR(--SUBSTITUTE(SUBSTITUTE(TRIM(INDEX(INDIRECT("'Выгрузка'!A1598:Z1598"),Настройки!$B$9)),",","."),".",MID(1/2,2,1)),"")</f>
        <v/>
      </c>
      <c r="C1598">
        <f>TRIM(INDEX(INDIRECT("'Выгрузка'!A1598:Z1598"),Настройки!$B$8)&amp;"")</f>
        <v/>
      </c>
      <c r="D1598">
        <f>IFERROR(--SUBSTITUTE(SUBSTITUTE(TRIM(INDEX(INDIRECT("'Выгрузка'!A1598:Z1598"),Настройки!$B$10)),",","."),".",MID(1/2,2,1)),"")</f>
        <v/>
      </c>
      <c r="E1598">
        <f>IFERROR(--SUBSTITUTE(SUBSTITUTE(TRIM(INDEX(INDIRECT("'Выгрузка'!A1598:Z1598"),Настройки!$B$11)),",","."),".",MID(1/2,2,1)),"")</f>
        <v/>
      </c>
      <c r="F1598">
        <f>TRIM(INDEX(INDIRECT("'Выгрузка'!A1598:Z1598"),Настройки!$B$12)&amp;"")</f>
        <v/>
      </c>
      <c r="G1598">
        <f>IF(F1598="",0,IF(TRIM(INDEX(INDIRECT("'Выгрузка'!A1598:Z1598"),Настройки!$B$13)&amp;"")="",1,IFERROR(--SUBSTITUTE(SUBSTITUTE(TRIM(INDEX(INDIRECT("'Выгрузка'!A1598:Z1598"),Настройки!$B$13)),",","."),".",MID(1/2,2,1)),"")))</f>
        <v/>
      </c>
      <c r="H1598">
        <f>IF(F1598="",0,IF(COUNTIF(Настройки!$B$17:$B$26,F1598)&gt;0,1,IF(COUNTIF(Настройки!$C$17:$C$26,F1598)&gt;0,2,IF(COUNTIF(Настройки!$D$17:$D$26,F1598)&gt;0,3,0))))</f>
        <v/>
      </c>
      <c r="I1598">
        <f>IF(AND(ISNUMBER(A1598),ISNUMBER(B1598)),A1598*1000+B1598,"")</f>
        <v/>
      </c>
      <c r="J1598">
        <f>IF(I1598="","",IF(COUNTIF(I$2:I1598,I1598)=1,MAX(J$1:J1597)+1,""))</f>
        <v/>
      </c>
    </row>
    <row r="1599">
      <c r="A1599">
        <f>IFERROR(--SUBSTITUTE(SUBSTITUTE(TRIM(INDEX(INDIRECT("'Выгрузка'!A1599:Z1599"),Настройки!$B$7)),",","."),".",MID(1/2,2,1)),"")</f>
        <v/>
      </c>
      <c r="B1599">
        <f>IFERROR(--SUBSTITUTE(SUBSTITUTE(TRIM(INDEX(INDIRECT("'Выгрузка'!A1599:Z1599"),Настройки!$B$9)),",","."),".",MID(1/2,2,1)),"")</f>
        <v/>
      </c>
      <c r="C1599">
        <f>TRIM(INDEX(INDIRECT("'Выгрузка'!A1599:Z1599"),Настройки!$B$8)&amp;"")</f>
        <v/>
      </c>
      <c r="D1599">
        <f>IFERROR(--SUBSTITUTE(SUBSTITUTE(TRIM(INDEX(INDIRECT("'Выгрузка'!A1599:Z1599"),Настройки!$B$10)),",","."),".",MID(1/2,2,1)),"")</f>
        <v/>
      </c>
      <c r="E1599">
        <f>IFERROR(--SUBSTITUTE(SUBSTITUTE(TRIM(INDEX(INDIRECT("'Выгрузка'!A1599:Z1599"),Настройки!$B$11)),",","."),".",MID(1/2,2,1)),"")</f>
        <v/>
      </c>
      <c r="F1599">
        <f>TRIM(INDEX(INDIRECT("'Выгрузка'!A1599:Z1599"),Настройки!$B$12)&amp;"")</f>
        <v/>
      </c>
      <c r="G1599">
        <f>IF(F1599="",0,IF(TRIM(INDEX(INDIRECT("'Выгрузка'!A1599:Z1599"),Настройки!$B$13)&amp;"")="",1,IFERROR(--SUBSTITUTE(SUBSTITUTE(TRIM(INDEX(INDIRECT("'Выгрузка'!A1599:Z1599"),Настройки!$B$13)),",","."),".",MID(1/2,2,1)),"")))</f>
        <v/>
      </c>
      <c r="H1599">
        <f>IF(F1599="",0,IF(COUNTIF(Настройки!$B$17:$B$26,F1599)&gt;0,1,IF(COUNTIF(Настройки!$C$17:$C$26,F1599)&gt;0,2,IF(COUNTIF(Настройки!$D$17:$D$26,F1599)&gt;0,3,0))))</f>
        <v/>
      </c>
      <c r="I1599">
        <f>IF(AND(ISNUMBER(A1599),ISNUMBER(B1599)),A1599*1000+B1599,"")</f>
        <v/>
      </c>
      <c r="J1599">
        <f>IF(I1599="","",IF(COUNTIF(I$2:I1599,I1599)=1,MAX(J$1:J1598)+1,""))</f>
        <v/>
      </c>
    </row>
    <row r="1600">
      <c r="A1600">
        <f>IFERROR(--SUBSTITUTE(SUBSTITUTE(TRIM(INDEX(INDIRECT("'Выгрузка'!A1600:Z1600"),Настройки!$B$7)),",","."),".",MID(1/2,2,1)),"")</f>
        <v/>
      </c>
      <c r="B1600">
        <f>IFERROR(--SUBSTITUTE(SUBSTITUTE(TRIM(INDEX(INDIRECT("'Выгрузка'!A1600:Z1600"),Настройки!$B$9)),",","."),".",MID(1/2,2,1)),"")</f>
        <v/>
      </c>
      <c r="C1600">
        <f>TRIM(INDEX(INDIRECT("'Выгрузка'!A1600:Z1600"),Настройки!$B$8)&amp;"")</f>
        <v/>
      </c>
      <c r="D1600">
        <f>IFERROR(--SUBSTITUTE(SUBSTITUTE(TRIM(INDEX(INDIRECT("'Выгрузка'!A1600:Z1600"),Настройки!$B$10)),",","."),".",MID(1/2,2,1)),"")</f>
        <v/>
      </c>
      <c r="E1600">
        <f>IFERROR(--SUBSTITUTE(SUBSTITUTE(TRIM(INDEX(INDIRECT("'Выгрузка'!A1600:Z1600"),Настройки!$B$11)),",","."),".",MID(1/2,2,1)),"")</f>
        <v/>
      </c>
      <c r="F1600">
        <f>TRIM(INDEX(INDIRECT("'Выгрузка'!A1600:Z1600"),Настройки!$B$12)&amp;"")</f>
        <v/>
      </c>
      <c r="G1600">
        <f>IF(F1600="",0,IF(TRIM(INDEX(INDIRECT("'Выгрузка'!A1600:Z1600"),Настройки!$B$13)&amp;"")="",1,IFERROR(--SUBSTITUTE(SUBSTITUTE(TRIM(INDEX(INDIRECT("'Выгрузка'!A1600:Z1600"),Настройки!$B$13)),",","."),".",MID(1/2,2,1)),"")))</f>
        <v/>
      </c>
      <c r="H1600">
        <f>IF(F1600="",0,IF(COUNTIF(Настройки!$B$17:$B$26,F1600)&gt;0,1,IF(COUNTIF(Настройки!$C$17:$C$26,F1600)&gt;0,2,IF(COUNTIF(Настройки!$D$17:$D$26,F1600)&gt;0,3,0))))</f>
        <v/>
      </c>
      <c r="I1600">
        <f>IF(AND(ISNUMBER(A1600),ISNUMBER(B1600)),A1600*1000+B1600,"")</f>
        <v/>
      </c>
      <c r="J1600">
        <f>IF(I1600="","",IF(COUNTIF(I$2:I1600,I1600)=1,MAX(J$1:J1599)+1,""))</f>
        <v/>
      </c>
    </row>
    <row r="1601">
      <c r="A1601">
        <f>IFERROR(--SUBSTITUTE(SUBSTITUTE(TRIM(INDEX(INDIRECT("'Выгрузка'!A1601:Z1601"),Настройки!$B$7)),",","."),".",MID(1/2,2,1)),"")</f>
        <v/>
      </c>
      <c r="B1601">
        <f>IFERROR(--SUBSTITUTE(SUBSTITUTE(TRIM(INDEX(INDIRECT("'Выгрузка'!A1601:Z1601"),Настройки!$B$9)),",","."),".",MID(1/2,2,1)),"")</f>
        <v/>
      </c>
      <c r="C1601">
        <f>TRIM(INDEX(INDIRECT("'Выгрузка'!A1601:Z1601"),Настройки!$B$8)&amp;"")</f>
        <v/>
      </c>
      <c r="D1601">
        <f>IFERROR(--SUBSTITUTE(SUBSTITUTE(TRIM(INDEX(INDIRECT("'Выгрузка'!A1601:Z1601"),Настройки!$B$10)),",","."),".",MID(1/2,2,1)),"")</f>
        <v/>
      </c>
      <c r="E1601">
        <f>IFERROR(--SUBSTITUTE(SUBSTITUTE(TRIM(INDEX(INDIRECT("'Выгрузка'!A1601:Z1601"),Настройки!$B$11)),",","."),".",MID(1/2,2,1)),"")</f>
        <v/>
      </c>
      <c r="F1601">
        <f>TRIM(INDEX(INDIRECT("'Выгрузка'!A1601:Z1601"),Настройки!$B$12)&amp;"")</f>
        <v/>
      </c>
      <c r="G1601">
        <f>IF(F1601="",0,IF(TRIM(INDEX(INDIRECT("'Выгрузка'!A1601:Z1601"),Настройки!$B$13)&amp;"")="",1,IFERROR(--SUBSTITUTE(SUBSTITUTE(TRIM(INDEX(INDIRECT("'Выгрузка'!A1601:Z1601"),Настройки!$B$13)),",","."),".",MID(1/2,2,1)),"")))</f>
        <v/>
      </c>
      <c r="H1601">
        <f>IF(F1601="",0,IF(COUNTIF(Настройки!$B$17:$B$26,F1601)&gt;0,1,IF(COUNTIF(Настройки!$C$17:$C$26,F1601)&gt;0,2,IF(COUNTIF(Настройки!$D$17:$D$26,F1601)&gt;0,3,0))))</f>
        <v/>
      </c>
      <c r="I1601">
        <f>IF(AND(ISNUMBER(A1601),ISNUMBER(B1601)),A1601*1000+B1601,"")</f>
        <v/>
      </c>
      <c r="J1601">
        <f>IF(I1601="","",IF(COUNTIF(I$2:I1601,I1601)=1,MAX(J$1:J1600)+1,""))</f>
        <v/>
      </c>
    </row>
    <row r="1602">
      <c r="A1602">
        <f>IFERROR(--SUBSTITUTE(SUBSTITUTE(TRIM(INDEX(INDIRECT("'Выгрузка'!A1602:Z1602"),Настройки!$B$7)),",","."),".",MID(1/2,2,1)),"")</f>
        <v/>
      </c>
      <c r="B1602">
        <f>IFERROR(--SUBSTITUTE(SUBSTITUTE(TRIM(INDEX(INDIRECT("'Выгрузка'!A1602:Z1602"),Настройки!$B$9)),",","."),".",MID(1/2,2,1)),"")</f>
        <v/>
      </c>
      <c r="C1602">
        <f>TRIM(INDEX(INDIRECT("'Выгрузка'!A1602:Z1602"),Настройки!$B$8)&amp;"")</f>
        <v/>
      </c>
      <c r="D1602">
        <f>IFERROR(--SUBSTITUTE(SUBSTITUTE(TRIM(INDEX(INDIRECT("'Выгрузка'!A1602:Z1602"),Настройки!$B$10)),",","."),".",MID(1/2,2,1)),"")</f>
        <v/>
      </c>
      <c r="E1602">
        <f>IFERROR(--SUBSTITUTE(SUBSTITUTE(TRIM(INDEX(INDIRECT("'Выгрузка'!A1602:Z1602"),Настройки!$B$11)),",","."),".",MID(1/2,2,1)),"")</f>
        <v/>
      </c>
      <c r="F1602">
        <f>TRIM(INDEX(INDIRECT("'Выгрузка'!A1602:Z1602"),Настройки!$B$12)&amp;"")</f>
        <v/>
      </c>
      <c r="G1602">
        <f>IF(F1602="",0,IF(TRIM(INDEX(INDIRECT("'Выгрузка'!A1602:Z1602"),Настройки!$B$13)&amp;"")="",1,IFERROR(--SUBSTITUTE(SUBSTITUTE(TRIM(INDEX(INDIRECT("'Выгрузка'!A1602:Z1602"),Настройки!$B$13)),",","."),".",MID(1/2,2,1)),"")))</f>
        <v/>
      </c>
      <c r="H1602">
        <f>IF(F1602="",0,IF(COUNTIF(Настройки!$B$17:$B$26,F1602)&gt;0,1,IF(COUNTIF(Настройки!$C$17:$C$26,F1602)&gt;0,2,IF(COUNTIF(Настройки!$D$17:$D$26,F1602)&gt;0,3,0))))</f>
        <v/>
      </c>
      <c r="I1602">
        <f>IF(AND(ISNUMBER(A1602),ISNUMBER(B1602)),A1602*1000+B1602,"")</f>
        <v/>
      </c>
      <c r="J1602">
        <f>IF(I1602="","",IF(COUNTIF(I$2:I1602,I1602)=1,MAX(J$1:J1601)+1,""))</f>
        <v/>
      </c>
    </row>
    <row r="1603">
      <c r="A1603">
        <f>IFERROR(--SUBSTITUTE(SUBSTITUTE(TRIM(INDEX(INDIRECT("'Выгрузка'!A1603:Z1603"),Настройки!$B$7)),",","."),".",MID(1/2,2,1)),"")</f>
        <v/>
      </c>
      <c r="B1603">
        <f>IFERROR(--SUBSTITUTE(SUBSTITUTE(TRIM(INDEX(INDIRECT("'Выгрузка'!A1603:Z1603"),Настройки!$B$9)),",","."),".",MID(1/2,2,1)),"")</f>
        <v/>
      </c>
      <c r="C1603">
        <f>TRIM(INDEX(INDIRECT("'Выгрузка'!A1603:Z1603"),Настройки!$B$8)&amp;"")</f>
        <v/>
      </c>
      <c r="D1603">
        <f>IFERROR(--SUBSTITUTE(SUBSTITUTE(TRIM(INDEX(INDIRECT("'Выгрузка'!A1603:Z1603"),Настройки!$B$10)),",","."),".",MID(1/2,2,1)),"")</f>
        <v/>
      </c>
      <c r="E1603">
        <f>IFERROR(--SUBSTITUTE(SUBSTITUTE(TRIM(INDEX(INDIRECT("'Выгрузка'!A1603:Z1603"),Настройки!$B$11)),",","."),".",MID(1/2,2,1)),"")</f>
        <v/>
      </c>
      <c r="F1603">
        <f>TRIM(INDEX(INDIRECT("'Выгрузка'!A1603:Z1603"),Настройки!$B$12)&amp;"")</f>
        <v/>
      </c>
      <c r="G1603">
        <f>IF(F1603="",0,IF(TRIM(INDEX(INDIRECT("'Выгрузка'!A1603:Z1603"),Настройки!$B$13)&amp;"")="",1,IFERROR(--SUBSTITUTE(SUBSTITUTE(TRIM(INDEX(INDIRECT("'Выгрузка'!A1603:Z1603"),Настройки!$B$13)),",","."),".",MID(1/2,2,1)),"")))</f>
        <v/>
      </c>
      <c r="H1603">
        <f>IF(F1603="",0,IF(COUNTIF(Настройки!$B$17:$B$26,F1603)&gt;0,1,IF(COUNTIF(Настройки!$C$17:$C$26,F1603)&gt;0,2,IF(COUNTIF(Настройки!$D$17:$D$26,F1603)&gt;0,3,0))))</f>
        <v/>
      </c>
      <c r="I1603">
        <f>IF(AND(ISNUMBER(A1603),ISNUMBER(B1603)),A1603*1000+B1603,"")</f>
        <v/>
      </c>
      <c r="J1603">
        <f>IF(I1603="","",IF(COUNTIF(I$2:I1603,I1603)=1,MAX(J$1:J1602)+1,""))</f>
        <v/>
      </c>
    </row>
    <row r="1604">
      <c r="A1604">
        <f>IFERROR(--SUBSTITUTE(SUBSTITUTE(TRIM(INDEX(INDIRECT("'Выгрузка'!A1604:Z1604"),Настройки!$B$7)),",","."),".",MID(1/2,2,1)),"")</f>
        <v/>
      </c>
      <c r="B1604">
        <f>IFERROR(--SUBSTITUTE(SUBSTITUTE(TRIM(INDEX(INDIRECT("'Выгрузка'!A1604:Z1604"),Настройки!$B$9)),",","."),".",MID(1/2,2,1)),"")</f>
        <v/>
      </c>
      <c r="C1604">
        <f>TRIM(INDEX(INDIRECT("'Выгрузка'!A1604:Z1604"),Настройки!$B$8)&amp;"")</f>
        <v/>
      </c>
      <c r="D1604">
        <f>IFERROR(--SUBSTITUTE(SUBSTITUTE(TRIM(INDEX(INDIRECT("'Выгрузка'!A1604:Z1604"),Настройки!$B$10)),",","."),".",MID(1/2,2,1)),"")</f>
        <v/>
      </c>
      <c r="E1604">
        <f>IFERROR(--SUBSTITUTE(SUBSTITUTE(TRIM(INDEX(INDIRECT("'Выгрузка'!A1604:Z1604"),Настройки!$B$11)),",","."),".",MID(1/2,2,1)),"")</f>
        <v/>
      </c>
      <c r="F1604">
        <f>TRIM(INDEX(INDIRECT("'Выгрузка'!A1604:Z1604"),Настройки!$B$12)&amp;"")</f>
        <v/>
      </c>
      <c r="G1604">
        <f>IF(F1604="",0,IF(TRIM(INDEX(INDIRECT("'Выгрузка'!A1604:Z1604"),Настройки!$B$13)&amp;"")="",1,IFERROR(--SUBSTITUTE(SUBSTITUTE(TRIM(INDEX(INDIRECT("'Выгрузка'!A1604:Z1604"),Настройки!$B$13)),",","."),".",MID(1/2,2,1)),"")))</f>
        <v/>
      </c>
      <c r="H1604">
        <f>IF(F1604="",0,IF(COUNTIF(Настройки!$B$17:$B$26,F1604)&gt;0,1,IF(COUNTIF(Настройки!$C$17:$C$26,F1604)&gt;0,2,IF(COUNTIF(Настройки!$D$17:$D$26,F1604)&gt;0,3,0))))</f>
        <v/>
      </c>
      <c r="I1604">
        <f>IF(AND(ISNUMBER(A1604),ISNUMBER(B1604)),A1604*1000+B1604,"")</f>
        <v/>
      </c>
      <c r="J1604">
        <f>IF(I1604="","",IF(COUNTIF(I$2:I1604,I1604)=1,MAX(J$1:J1603)+1,""))</f>
        <v/>
      </c>
    </row>
    <row r="1605">
      <c r="A1605">
        <f>IFERROR(--SUBSTITUTE(SUBSTITUTE(TRIM(INDEX(INDIRECT("'Выгрузка'!A1605:Z1605"),Настройки!$B$7)),",","."),".",MID(1/2,2,1)),"")</f>
        <v/>
      </c>
      <c r="B1605">
        <f>IFERROR(--SUBSTITUTE(SUBSTITUTE(TRIM(INDEX(INDIRECT("'Выгрузка'!A1605:Z1605"),Настройки!$B$9)),",","."),".",MID(1/2,2,1)),"")</f>
        <v/>
      </c>
      <c r="C1605">
        <f>TRIM(INDEX(INDIRECT("'Выгрузка'!A1605:Z1605"),Настройки!$B$8)&amp;"")</f>
        <v/>
      </c>
      <c r="D1605">
        <f>IFERROR(--SUBSTITUTE(SUBSTITUTE(TRIM(INDEX(INDIRECT("'Выгрузка'!A1605:Z1605"),Настройки!$B$10)),",","."),".",MID(1/2,2,1)),"")</f>
        <v/>
      </c>
      <c r="E1605">
        <f>IFERROR(--SUBSTITUTE(SUBSTITUTE(TRIM(INDEX(INDIRECT("'Выгрузка'!A1605:Z1605"),Настройки!$B$11)),",","."),".",MID(1/2,2,1)),"")</f>
        <v/>
      </c>
      <c r="F1605">
        <f>TRIM(INDEX(INDIRECT("'Выгрузка'!A1605:Z1605"),Настройки!$B$12)&amp;"")</f>
        <v/>
      </c>
      <c r="G1605">
        <f>IF(F1605="",0,IF(TRIM(INDEX(INDIRECT("'Выгрузка'!A1605:Z1605"),Настройки!$B$13)&amp;"")="",1,IFERROR(--SUBSTITUTE(SUBSTITUTE(TRIM(INDEX(INDIRECT("'Выгрузка'!A1605:Z1605"),Настройки!$B$13)),",","."),".",MID(1/2,2,1)),"")))</f>
        <v/>
      </c>
      <c r="H1605">
        <f>IF(F1605="",0,IF(COUNTIF(Настройки!$B$17:$B$26,F1605)&gt;0,1,IF(COUNTIF(Настройки!$C$17:$C$26,F1605)&gt;0,2,IF(COUNTIF(Настройки!$D$17:$D$26,F1605)&gt;0,3,0))))</f>
        <v/>
      </c>
      <c r="I1605">
        <f>IF(AND(ISNUMBER(A1605),ISNUMBER(B1605)),A1605*1000+B1605,"")</f>
        <v/>
      </c>
      <c r="J1605">
        <f>IF(I1605="","",IF(COUNTIF(I$2:I1605,I1605)=1,MAX(J$1:J1604)+1,""))</f>
        <v/>
      </c>
    </row>
    <row r="1606">
      <c r="A1606">
        <f>IFERROR(--SUBSTITUTE(SUBSTITUTE(TRIM(INDEX(INDIRECT("'Выгрузка'!A1606:Z1606"),Настройки!$B$7)),",","."),".",MID(1/2,2,1)),"")</f>
        <v/>
      </c>
      <c r="B1606">
        <f>IFERROR(--SUBSTITUTE(SUBSTITUTE(TRIM(INDEX(INDIRECT("'Выгрузка'!A1606:Z1606"),Настройки!$B$9)),",","."),".",MID(1/2,2,1)),"")</f>
        <v/>
      </c>
      <c r="C1606">
        <f>TRIM(INDEX(INDIRECT("'Выгрузка'!A1606:Z1606"),Настройки!$B$8)&amp;"")</f>
        <v/>
      </c>
      <c r="D1606">
        <f>IFERROR(--SUBSTITUTE(SUBSTITUTE(TRIM(INDEX(INDIRECT("'Выгрузка'!A1606:Z1606"),Настройки!$B$10)),",","."),".",MID(1/2,2,1)),"")</f>
        <v/>
      </c>
      <c r="E1606">
        <f>IFERROR(--SUBSTITUTE(SUBSTITUTE(TRIM(INDEX(INDIRECT("'Выгрузка'!A1606:Z1606"),Настройки!$B$11)),",","."),".",MID(1/2,2,1)),"")</f>
        <v/>
      </c>
      <c r="F1606">
        <f>TRIM(INDEX(INDIRECT("'Выгрузка'!A1606:Z1606"),Настройки!$B$12)&amp;"")</f>
        <v/>
      </c>
      <c r="G1606">
        <f>IF(F1606="",0,IF(TRIM(INDEX(INDIRECT("'Выгрузка'!A1606:Z1606"),Настройки!$B$13)&amp;"")="",1,IFERROR(--SUBSTITUTE(SUBSTITUTE(TRIM(INDEX(INDIRECT("'Выгрузка'!A1606:Z1606"),Настройки!$B$13)),",","."),".",MID(1/2,2,1)),"")))</f>
        <v/>
      </c>
      <c r="H1606">
        <f>IF(F1606="",0,IF(COUNTIF(Настройки!$B$17:$B$26,F1606)&gt;0,1,IF(COUNTIF(Настройки!$C$17:$C$26,F1606)&gt;0,2,IF(COUNTIF(Настройки!$D$17:$D$26,F1606)&gt;0,3,0))))</f>
        <v/>
      </c>
      <c r="I1606">
        <f>IF(AND(ISNUMBER(A1606),ISNUMBER(B1606)),A1606*1000+B1606,"")</f>
        <v/>
      </c>
      <c r="J1606">
        <f>IF(I1606="","",IF(COUNTIF(I$2:I1606,I1606)=1,MAX(J$1:J1605)+1,""))</f>
        <v/>
      </c>
    </row>
    <row r="1607">
      <c r="A1607">
        <f>IFERROR(--SUBSTITUTE(SUBSTITUTE(TRIM(INDEX(INDIRECT("'Выгрузка'!A1607:Z1607"),Настройки!$B$7)),",","."),".",MID(1/2,2,1)),"")</f>
        <v/>
      </c>
      <c r="B1607">
        <f>IFERROR(--SUBSTITUTE(SUBSTITUTE(TRIM(INDEX(INDIRECT("'Выгрузка'!A1607:Z1607"),Настройки!$B$9)),",","."),".",MID(1/2,2,1)),"")</f>
        <v/>
      </c>
      <c r="C1607">
        <f>TRIM(INDEX(INDIRECT("'Выгрузка'!A1607:Z1607"),Настройки!$B$8)&amp;"")</f>
        <v/>
      </c>
      <c r="D1607">
        <f>IFERROR(--SUBSTITUTE(SUBSTITUTE(TRIM(INDEX(INDIRECT("'Выгрузка'!A1607:Z1607"),Настройки!$B$10)),",","."),".",MID(1/2,2,1)),"")</f>
        <v/>
      </c>
      <c r="E1607">
        <f>IFERROR(--SUBSTITUTE(SUBSTITUTE(TRIM(INDEX(INDIRECT("'Выгрузка'!A1607:Z1607"),Настройки!$B$11)),",","."),".",MID(1/2,2,1)),"")</f>
        <v/>
      </c>
      <c r="F1607">
        <f>TRIM(INDEX(INDIRECT("'Выгрузка'!A1607:Z1607"),Настройки!$B$12)&amp;"")</f>
        <v/>
      </c>
      <c r="G1607">
        <f>IF(F1607="",0,IF(TRIM(INDEX(INDIRECT("'Выгрузка'!A1607:Z1607"),Настройки!$B$13)&amp;"")="",1,IFERROR(--SUBSTITUTE(SUBSTITUTE(TRIM(INDEX(INDIRECT("'Выгрузка'!A1607:Z1607"),Настройки!$B$13)),",","."),".",MID(1/2,2,1)),"")))</f>
        <v/>
      </c>
      <c r="H1607">
        <f>IF(F1607="",0,IF(COUNTIF(Настройки!$B$17:$B$26,F1607)&gt;0,1,IF(COUNTIF(Настройки!$C$17:$C$26,F1607)&gt;0,2,IF(COUNTIF(Настройки!$D$17:$D$26,F1607)&gt;0,3,0))))</f>
        <v/>
      </c>
      <c r="I1607">
        <f>IF(AND(ISNUMBER(A1607),ISNUMBER(B1607)),A1607*1000+B1607,"")</f>
        <v/>
      </c>
      <c r="J1607">
        <f>IF(I1607="","",IF(COUNTIF(I$2:I1607,I1607)=1,MAX(J$1:J1606)+1,""))</f>
        <v/>
      </c>
    </row>
    <row r="1608">
      <c r="A1608">
        <f>IFERROR(--SUBSTITUTE(SUBSTITUTE(TRIM(INDEX(INDIRECT("'Выгрузка'!A1608:Z1608"),Настройки!$B$7)),",","."),".",MID(1/2,2,1)),"")</f>
        <v/>
      </c>
      <c r="B1608">
        <f>IFERROR(--SUBSTITUTE(SUBSTITUTE(TRIM(INDEX(INDIRECT("'Выгрузка'!A1608:Z1608"),Настройки!$B$9)),",","."),".",MID(1/2,2,1)),"")</f>
        <v/>
      </c>
      <c r="C1608">
        <f>TRIM(INDEX(INDIRECT("'Выгрузка'!A1608:Z1608"),Настройки!$B$8)&amp;"")</f>
        <v/>
      </c>
      <c r="D1608">
        <f>IFERROR(--SUBSTITUTE(SUBSTITUTE(TRIM(INDEX(INDIRECT("'Выгрузка'!A1608:Z1608"),Настройки!$B$10)),",","."),".",MID(1/2,2,1)),"")</f>
        <v/>
      </c>
      <c r="E1608">
        <f>IFERROR(--SUBSTITUTE(SUBSTITUTE(TRIM(INDEX(INDIRECT("'Выгрузка'!A1608:Z1608"),Настройки!$B$11)),",","."),".",MID(1/2,2,1)),"")</f>
        <v/>
      </c>
      <c r="F1608">
        <f>TRIM(INDEX(INDIRECT("'Выгрузка'!A1608:Z1608"),Настройки!$B$12)&amp;"")</f>
        <v/>
      </c>
      <c r="G1608">
        <f>IF(F1608="",0,IF(TRIM(INDEX(INDIRECT("'Выгрузка'!A1608:Z1608"),Настройки!$B$13)&amp;"")="",1,IFERROR(--SUBSTITUTE(SUBSTITUTE(TRIM(INDEX(INDIRECT("'Выгрузка'!A1608:Z1608"),Настройки!$B$13)),",","."),".",MID(1/2,2,1)),"")))</f>
        <v/>
      </c>
      <c r="H1608">
        <f>IF(F1608="",0,IF(COUNTIF(Настройки!$B$17:$B$26,F1608)&gt;0,1,IF(COUNTIF(Настройки!$C$17:$C$26,F1608)&gt;0,2,IF(COUNTIF(Настройки!$D$17:$D$26,F1608)&gt;0,3,0))))</f>
        <v/>
      </c>
      <c r="I1608">
        <f>IF(AND(ISNUMBER(A1608),ISNUMBER(B1608)),A1608*1000+B1608,"")</f>
        <v/>
      </c>
      <c r="J1608">
        <f>IF(I1608="","",IF(COUNTIF(I$2:I1608,I1608)=1,MAX(J$1:J1607)+1,""))</f>
        <v/>
      </c>
    </row>
    <row r="1609">
      <c r="A1609">
        <f>IFERROR(--SUBSTITUTE(SUBSTITUTE(TRIM(INDEX(INDIRECT("'Выгрузка'!A1609:Z1609"),Настройки!$B$7)),",","."),".",MID(1/2,2,1)),"")</f>
        <v/>
      </c>
      <c r="B1609">
        <f>IFERROR(--SUBSTITUTE(SUBSTITUTE(TRIM(INDEX(INDIRECT("'Выгрузка'!A1609:Z1609"),Настройки!$B$9)),",","."),".",MID(1/2,2,1)),"")</f>
        <v/>
      </c>
      <c r="C1609">
        <f>TRIM(INDEX(INDIRECT("'Выгрузка'!A1609:Z1609"),Настройки!$B$8)&amp;"")</f>
        <v/>
      </c>
      <c r="D1609">
        <f>IFERROR(--SUBSTITUTE(SUBSTITUTE(TRIM(INDEX(INDIRECT("'Выгрузка'!A1609:Z1609"),Настройки!$B$10)),",","."),".",MID(1/2,2,1)),"")</f>
        <v/>
      </c>
      <c r="E1609">
        <f>IFERROR(--SUBSTITUTE(SUBSTITUTE(TRIM(INDEX(INDIRECT("'Выгрузка'!A1609:Z1609"),Настройки!$B$11)),",","."),".",MID(1/2,2,1)),"")</f>
        <v/>
      </c>
      <c r="F1609">
        <f>TRIM(INDEX(INDIRECT("'Выгрузка'!A1609:Z1609"),Настройки!$B$12)&amp;"")</f>
        <v/>
      </c>
      <c r="G1609">
        <f>IF(F1609="",0,IF(TRIM(INDEX(INDIRECT("'Выгрузка'!A1609:Z1609"),Настройки!$B$13)&amp;"")="",1,IFERROR(--SUBSTITUTE(SUBSTITUTE(TRIM(INDEX(INDIRECT("'Выгрузка'!A1609:Z1609"),Настройки!$B$13)),",","."),".",MID(1/2,2,1)),"")))</f>
        <v/>
      </c>
      <c r="H1609">
        <f>IF(F1609="",0,IF(COUNTIF(Настройки!$B$17:$B$26,F1609)&gt;0,1,IF(COUNTIF(Настройки!$C$17:$C$26,F1609)&gt;0,2,IF(COUNTIF(Настройки!$D$17:$D$26,F1609)&gt;0,3,0))))</f>
        <v/>
      </c>
      <c r="I1609">
        <f>IF(AND(ISNUMBER(A1609),ISNUMBER(B1609)),A1609*1000+B1609,"")</f>
        <v/>
      </c>
      <c r="J1609">
        <f>IF(I1609="","",IF(COUNTIF(I$2:I1609,I1609)=1,MAX(J$1:J1608)+1,""))</f>
        <v/>
      </c>
    </row>
    <row r="1610">
      <c r="A1610">
        <f>IFERROR(--SUBSTITUTE(SUBSTITUTE(TRIM(INDEX(INDIRECT("'Выгрузка'!A1610:Z1610"),Настройки!$B$7)),",","."),".",MID(1/2,2,1)),"")</f>
        <v/>
      </c>
      <c r="B1610">
        <f>IFERROR(--SUBSTITUTE(SUBSTITUTE(TRIM(INDEX(INDIRECT("'Выгрузка'!A1610:Z1610"),Настройки!$B$9)),",","."),".",MID(1/2,2,1)),"")</f>
        <v/>
      </c>
      <c r="C1610">
        <f>TRIM(INDEX(INDIRECT("'Выгрузка'!A1610:Z1610"),Настройки!$B$8)&amp;"")</f>
        <v/>
      </c>
      <c r="D1610">
        <f>IFERROR(--SUBSTITUTE(SUBSTITUTE(TRIM(INDEX(INDIRECT("'Выгрузка'!A1610:Z1610"),Настройки!$B$10)),",","."),".",MID(1/2,2,1)),"")</f>
        <v/>
      </c>
      <c r="E1610">
        <f>IFERROR(--SUBSTITUTE(SUBSTITUTE(TRIM(INDEX(INDIRECT("'Выгрузка'!A1610:Z1610"),Настройки!$B$11)),",","."),".",MID(1/2,2,1)),"")</f>
        <v/>
      </c>
      <c r="F1610">
        <f>TRIM(INDEX(INDIRECT("'Выгрузка'!A1610:Z1610"),Настройки!$B$12)&amp;"")</f>
        <v/>
      </c>
      <c r="G1610">
        <f>IF(F1610="",0,IF(TRIM(INDEX(INDIRECT("'Выгрузка'!A1610:Z1610"),Настройки!$B$13)&amp;"")="",1,IFERROR(--SUBSTITUTE(SUBSTITUTE(TRIM(INDEX(INDIRECT("'Выгрузка'!A1610:Z1610"),Настройки!$B$13)),",","."),".",MID(1/2,2,1)),"")))</f>
        <v/>
      </c>
      <c r="H1610">
        <f>IF(F1610="",0,IF(COUNTIF(Настройки!$B$17:$B$26,F1610)&gt;0,1,IF(COUNTIF(Настройки!$C$17:$C$26,F1610)&gt;0,2,IF(COUNTIF(Настройки!$D$17:$D$26,F1610)&gt;0,3,0))))</f>
        <v/>
      </c>
      <c r="I1610">
        <f>IF(AND(ISNUMBER(A1610),ISNUMBER(B1610)),A1610*1000+B1610,"")</f>
        <v/>
      </c>
      <c r="J1610">
        <f>IF(I1610="","",IF(COUNTIF(I$2:I1610,I1610)=1,MAX(J$1:J1609)+1,""))</f>
        <v/>
      </c>
    </row>
    <row r="1611">
      <c r="A1611">
        <f>IFERROR(--SUBSTITUTE(SUBSTITUTE(TRIM(INDEX(INDIRECT("'Выгрузка'!A1611:Z1611"),Настройки!$B$7)),",","."),".",MID(1/2,2,1)),"")</f>
        <v/>
      </c>
      <c r="B1611">
        <f>IFERROR(--SUBSTITUTE(SUBSTITUTE(TRIM(INDEX(INDIRECT("'Выгрузка'!A1611:Z1611"),Настройки!$B$9)),",","."),".",MID(1/2,2,1)),"")</f>
        <v/>
      </c>
      <c r="C1611">
        <f>TRIM(INDEX(INDIRECT("'Выгрузка'!A1611:Z1611"),Настройки!$B$8)&amp;"")</f>
        <v/>
      </c>
      <c r="D1611">
        <f>IFERROR(--SUBSTITUTE(SUBSTITUTE(TRIM(INDEX(INDIRECT("'Выгрузка'!A1611:Z1611"),Настройки!$B$10)),",","."),".",MID(1/2,2,1)),"")</f>
        <v/>
      </c>
      <c r="E1611">
        <f>IFERROR(--SUBSTITUTE(SUBSTITUTE(TRIM(INDEX(INDIRECT("'Выгрузка'!A1611:Z1611"),Настройки!$B$11)),",","."),".",MID(1/2,2,1)),"")</f>
        <v/>
      </c>
      <c r="F1611">
        <f>TRIM(INDEX(INDIRECT("'Выгрузка'!A1611:Z1611"),Настройки!$B$12)&amp;"")</f>
        <v/>
      </c>
      <c r="G1611">
        <f>IF(F1611="",0,IF(TRIM(INDEX(INDIRECT("'Выгрузка'!A1611:Z1611"),Настройки!$B$13)&amp;"")="",1,IFERROR(--SUBSTITUTE(SUBSTITUTE(TRIM(INDEX(INDIRECT("'Выгрузка'!A1611:Z1611"),Настройки!$B$13)),",","."),".",MID(1/2,2,1)),"")))</f>
        <v/>
      </c>
      <c r="H1611">
        <f>IF(F1611="",0,IF(COUNTIF(Настройки!$B$17:$B$26,F1611)&gt;0,1,IF(COUNTIF(Настройки!$C$17:$C$26,F1611)&gt;0,2,IF(COUNTIF(Настройки!$D$17:$D$26,F1611)&gt;0,3,0))))</f>
        <v/>
      </c>
      <c r="I1611">
        <f>IF(AND(ISNUMBER(A1611),ISNUMBER(B1611)),A1611*1000+B1611,"")</f>
        <v/>
      </c>
      <c r="J1611">
        <f>IF(I1611="","",IF(COUNTIF(I$2:I1611,I1611)=1,MAX(J$1:J1610)+1,""))</f>
        <v/>
      </c>
    </row>
    <row r="1612">
      <c r="A1612">
        <f>IFERROR(--SUBSTITUTE(SUBSTITUTE(TRIM(INDEX(INDIRECT("'Выгрузка'!A1612:Z1612"),Настройки!$B$7)),",","."),".",MID(1/2,2,1)),"")</f>
        <v/>
      </c>
      <c r="B1612">
        <f>IFERROR(--SUBSTITUTE(SUBSTITUTE(TRIM(INDEX(INDIRECT("'Выгрузка'!A1612:Z1612"),Настройки!$B$9)),",","."),".",MID(1/2,2,1)),"")</f>
        <v/>
      </c>
      <c r="C1612">
        <f>TRIM(INDEX(INDIRECT("'Выгрузка'!A1612:Z1612"),Настройки!$B$8)&amp;"")</f>
        <v/>
      </c>
      <c r="D1612">
        <f>IFERROR(--SUBSTITUTE(SUBSTITUTE(TRIM(INDEX(INDIRECT("'Выгрузка'!A1612:Z1612"),Настройки!$B$10)),",","."),".",MID(1/2,2,1)),"")</f>
        <v/>
      </c>
      <c r="E1612">
        <f>IFERROR(--SUBSTITUTE(SUBSTITUTE(TRIM(INDEX(INDIRECT("'Выгрузка'!A1612:Z1612"),Настройки!$B$11)),",","."),".",MID(1/2,2,1)),"")</f>
        <v/>
      </c>
      <c r="F1612">
        <f>TRIM(INDEX(INDIRECT("'Выгрузка'!A1612:Z1612"),Настройки!$B$12)&amp;"")</f>
        <v/>
      </c>
      <c r="G1612">
        <f>IF(F1612="",0,IF(TRIM(INDEX(INDIRECT("'Выгрузка'!A1612:Z1612"),Настройки!$B$13)&amp;"")="",1,IFERROR(--SUBSTITUTE(SUBSTITUTE(TRIM(INDEX(INDIRECT("'Выгрузка'!A1612:Z1612"),Настройки!$B$13)),",","."),".",MID(1/2,2,1)),"")))</f>
        <v/>
      </c>
      <c r="H1612">
        <f>IF(F1612="",0,IF(COUNTIF(Настройки!$B$17:$B$26,F1612)&gt;0,1,IF(COUNTIF(Настройки!$C$17:$C$26,F1612)&gt;0,2,IF(COUNTIF(Настройки!$D$17:$D$26,F1612)&gt;0,3,0))))</f>
        <v/>
      </c>
      <c r="I1612">
        <f>IF(AND(ISNUMBER(A1612),ISNUMBER(B1612)),A1612*1000+B1612,"")</f>
        <v/>
      </c>
      <c r="J1612">
        <f>IF(I1612="","",IF(COUNTIF(I$2:I1612,I1612)=1,MAX(J$1:J1611)+1,""))</f>
        <v/>
      </c>
    </row>
    <row r="1613">
      <c r="A1613">
        <f>IFERROR(--SUBSTITUTE(SUBSTITUTE(TRIM(INDEX(INDIRECT("'Выгрузка'!A1613:Z1613"),Настройки!$B$7)),",","."),".",MID(1/2,2,1)),"")</f>
        <v/>
      </c>
      <c r="B1613">
        <f>IFERROR(--SUBSTITUTE(SUBSTITUTE(TRIM(INDEX(INDIRECT("'Выгрузка'!A1613:Z1613"),Настройки!$B$9)),",","."),".",MID(1/2,2,1)),"")</f>
        <v/>
      </c>
      <c r="C1613">
        <f>TRIM(INDEX(INDIRECT("'Выгрузка'!A1613:Z1613"),Настройки!$B$8)&amp;"")</f>
        <v/>
      </c>
      <c r="D1613">
        <f>IFERROR(--SUBSTITUTE(SUBSTITUTE(TRIM(INDEX(INDIRECT("'Выгрузка'!A1613:Z1613"),Настройки!$B$10)),",","."),".",MID(1/2,2,1)),"")</f>
        <v/>
      </c>
      <c r="E1613">
        <f>IFERROR(--SUBSTITUTE(SUBSTITUTE(TRIM(INDEX(INDIRECT("'Выгрузка'!A1613:Z1613"),Настройки!$B$11)),",","."),".",MID(1/2,2,1)),"")</f>
        <v/>
      </c>
      <c r="F1613">
        <f>TRIM(INDEX(INDIRECT("'Выгрузка'!A1613:Z1613"),Настройки!$B$12)&amp;"")</f>
        <v/>
      </c>
      <c r="G1613">
        <f>IF(F1613="",0,IF(TRIM(INDEX(INDIRECT("'Выгрузка'!A1613:Z1613"),Настройки!$B$13)&amp;"")="",1,IFERROR(--SUBSTITUTE(SUBSTITUTE(TRIM(INDEX(INDIRECT("'Выгрузка'!A1613:Z1613"),Настройки!$B$13)),",","."),".",MID(1/2,2,1)),"")))</f>
        <v/>
      </c>
      <c r="H1613">
        <f>IF(F1613="",0,IF(COUNTIF(Настройки!$B$17:$B$26,F1613)&gt;0,1,IF(COUNTIF(Настройки!$C$17:$C$26,F1613)&gt;0,2,IF(COUNTIF(Настройки!$D$17:$D$26,F1613)&gt;0,3,0))))</f>
        <v/>
      </c>
      <c r="I1613">
        <f>IF(AND(ISNUMBER(A1613),ISNUMBER(B1613)),A1613*1000+B1613,"")</f>
        <v/>
      </c>
      <c r="J1613">
        <f>IF(I1613="","",IF(COUNTIF(I$2:I1613,I1613)=1,MAX(J$1:J1612)+1,""))</f>
        <v/>
      </c>
    </row>
    <row r="1614">
      <c r="A1614">
        <f>IFERROR(--SUBSTITUTE(SUBSTITUTE(TRIM(INDEX(INDIRECT("'Выгрузка'!A1614:Z1614"),Настройки!$B$7)),",","."),".",MID(1/2,2,1)),"")</f>
        <v/>
      </c>
      <c r="B1614">
        <f>IFERROR(--SUBSTITUTE(SUBSTITUTE(TRIM(INDEX(INDIRECT("'Выгрузка'!A1614:Z1614"),Настройки!$B$9)),",","."),".",MID(1/2,2,1)),"")</f>
        <v/>
      </c>
      <c r="C1614">
        <f>TRIM(INDEX(INDIRECT("'Выгрузка'!A1614:Z1614"),Настройки!$B$8)&amp;"")</f>
        <v/>
      </c>
      <c r="D1614">
        <f>IFERROR(--SUBSTITUTE(SUBSTITUTE(TRIM(INDEX(INDIRECT("'Выгрузка'!A1614:Z1614"),Настройки!$B$10)),",","."),".",MID(1/2,2,1)),"")</f>
        <v/>
      </c>
      <c r="E1614">
        <f>IFERROR(--SUBSTITUTE(SUBSTITUTE(TRIM(INDEX(INDIRECT("'Выгрузка'!A1614:Z1614"),Настройки!$B$11)),",","."),".",MID(1/2,2,1)),"")</f>
        <v/>
      </c>
      <c r="F1614">
        <f>TRIM(INDEX(INDIRECT("'Выгрузка'!A1614:Z1614"),Настройки!$B$12)&amp;"")</f>
        <v/>
      </c>
      <c r="G1614">
        <f>IF(F1614="",0,IF(TRIM(INDEX(INDIRECT("'Выгрузка'!A1614:Z1614"),Настройки!$B$13)&amp;"")="",1,IFERROR(--SUBSTITUTE(SUBSTITUTE(TRIM(INDEX(INDIRECT("'Выгрузка'!A1614:Z1614"),Настройки!$B$13)),",","."),".",MID(1/2,2,1)),"")))</f>
        <v/>
      </c>
      <c r="H1614">
        <f>IF(F1614="",0,IF(COUNTIF(Настройки!$B$17:$B$26,F1614)&gt;0,1,IF(COUNTIF(Настройки!$C$17:$C$26,F1614)&gt;0,2,IF(COUNTIF(Настройки!$D$17:$D$26,F1614)&gt;0,3,0))))</f>
        <v/>
      </c>
      <c r="I1614">
        <f>IF(AND(ISNUMBER(A1614),ISNUMBER(B1614)),A1614*1000+B1614,"")</f>
        <v/>
      </c>
      <c r="J1614">
        <f>IF(I1614="","",IF(COUNTIF(I$2:I1614,I1614)=1,MAX(J$1:J1613)+1,""))</f>
        <v/>
      </c>
    </row>
    <row r="1615">
      <c r="A1615">
        <f>IFERROR(--SUBSTITUTE(SUBSTITUTE(TRIM(INDEX(INDIRECT("'Выгрузка'!A1615:Z1615"),Настройки!$B$7)),",","."),".",MID(1/2,2,1)),"")</f>
        <v/>
      </c>
      <c r="B1615">
        <f>IFERROR(--SUBSTITUTE(SUBSTITUTE(TRIM(INDEX(INDIRECT("'Выгрузка'!A1615:Z1615"),Настройки!$B$9)),",","."),".",MID(1/2,2,1)),"")</f>
        <v/>
      </c>
      <c r="C1615">
        <f>TRIM(INDEX(INDIRECT("'Выгрузка'!A1615:Z1615"),Настройки!$B$8)&amp;"")</f>
        <v/>
      </c>
      <c r="D1615">
        <f>IFERROR(--SUBSTITUTE(SUBSTITUTE(TRIM(INDEX(INDIRECT("'Выгрузка'!A1615:Z1615"),Настройки!$B$10)),",","."),".",MID(1/2,2,1)),"")</f>
        <v/>
      </c>
      <c r="E1615">
        <f>IFERROR(--SUBSTITUTE(SUBSTITUTE(TRIM(INDEX(INDIRECT("'Выгрузка'!A1615:Z1615"),Настройки!$B$11)),",","."),".",MID(1/2,2,1)),"")</f>
        <v/>
      </c>
      <c r="F1615">
        <f>TRIM(INDEX(INDIRECT("'Выгрузка'!A1615:Z1615"),Настройки!$B$12)&amp;"")</f>
        <v/>
      </c>
      <c r="G1615">
        <f>IF(F1615="",0,IF(TRIM(INDEX(INDIRECT("'Выгрузка'!A1615:Z1615"),Настройки!$B$13)&amp;"")="",1,IFERROR(--SUBSTITUTE(SUBSTITUTE(TRIM(INDEX(INDIRECT("'Выгрузка'!A1615:Z1615"),Настройки!$B$13)),",","."),".",MID(1/2,2,1)),"")))</f>
        <v/>
      </c>
      <c r="H1615">
        <f>IF(F1615="",0,IF(COUNTIF(Настройки!$B$17:$B$26,F1615)&gt;0,1,IF(COUNTIF(Настройки!$C$17:$C$26,F1615)&gt;0,2,IF(COUNTIF(Настройки!$D$17:$D$26,F1615)&gt;0,3,0))))</f>
        <v/>
      </c>
      <c r="I1615">
        <f>IF(AND(ISNUMBER(A1615),ISNUMBER(B1615)),A1615*1000+B1615,"")</f>
        <v/>
      </c>
      <c r="J1615">
        <f>IF(I1615="","",IF(COUNTIF(I$2:I1615,I1615)=1,MAX(J$1:J1614)+1,""))</f>
        <v/>
      </c>
    </row>
    <row r="1616">
      <c r="A1616">
        <f>IFERROR(--SUBSTITUTE(SUBSTITUTE(TRIM(INDEX(INDIRECT("'Выгрузка'!A1616:Z1616"),Настройки!$B$7)),",","."),".",MID(1/2,2,1)),"")</f>
        <v/>
      </c>
      <c r="B1616">
        <f>IFERROR(--SUBSTITUTE(SUBSTITUTE(TRIM(INDEX(INDIRECT("'Выгрузка'!A1616:Z1616"),Настройки!$B$9)),",","."),".",MID(1/2,2,1)),"")</f>
        <v/>
      </c>
      <c r="C1616">
        <f>TRIM(INDEX(INDIRECT("'Выгрузка'!A1616:Z1616"),Настройки!$B$8)&amp;"")</f>
        <v/>
      </c>
      <c r="D1616">
        <f>IFERROR(--SUBSTITUTE(SUBSTITUTE(TRIM(INDEX(INDIRECT("'Выгрузка'!A1616:Z1616"),Настройки!$B$10)),",","."),".",MID(1/2,2,1)),"")</f>
        <v/>
      </c>
      <c r="E1616">
        <f>IFERROR(--SUBSTITUTE(SUBSTITUTE(TRIM(INDEX(INDIRECT("'Выгрузка'!A1616:Z1616"),Настройки!$B$11)),",","."),".",MID(1/2,2,1)),"")</f>
        <v/>
      </c>
      <c r="F1616">
        <f>TRIM(INDEX(INDIRECT("'Выгрузка'!A1616:Z1616"),Настройки!$B$12)&amp;"")</f>
        <v/>
      </c>
      <c r="G1616">
        <f>IF(F1616="",0,IF(TRIM(INDEX(INDIRECT("'Выгрузка'!A1616:Z1616"),Настройки!$B$13)&amp;"")="",1,IFERROR(--SUBSTITUTE(SUBSTITUTE(TRIM(INDEX(INDIRECT("'Выгрузка'!A1616:Z1616"),Настройки!$B$13)),",","."),".",MID(1/2,2,1)),"")))</f>
        <v/>
      </c>
      <c r="H1616">
        <f>IF(F1616="",0,IF(COUNTIF(Настройки!$B$17:$B$26,F1616)&gt;0,1,IF(COUNTIF(Настройки!$C$17:$C$26,F1616)&gt;0,2,IF(COUNTIF(Настройки!$D$17:$D$26,F1616)&gt;0,3,0))))</f>
        <v/>
      </c>
      <c r="I1616">
        <f>IF(AND(ISNUMBER(A1616),ISNUMBER(B1616)),A1616*1000+B1616,"")</f>
        <v/>
      </c>
      <c r="J1616">
        <f>IF(I1616="","",IF(COUNTIF(I$2:I1616,I1616)=1,MAX(J$1:J1615)+1,""))</f>
        <v/>
      </c>
    </row>
    <row r="1617">
      <c r="A1617">
        <f>IFERROR(--SUBSTITUTE(SUBSTITUTE(TRIM(INDEX(INDIRECT("'Выгрузка'!A1617:Z1617"),Настройки!$B$7)),",","."),".",MID(1/2,2,1)),"")</f>
        <v/>
      </c>
      <c r="B1617">
        <f>IFERROR(--SUBSTITUTE(SUBSTITUTE(TRIM(INDEX(INDIRECT("'Выгрузка'!A1617:Z1617"),Настройки!$B$9)),",","."),".",MID(1/2,2,1)),"")</f>
        <v/>
      </c>
      <c r="C1617">
        <f>TRIM(INDEX(INDIRECT("'Выгрузка'!A1617:Z1617"),Настройки!$B$8)&amp;"")</f>
        <v/>
      </c>
      <c r="D1617">
        <f>IFERROR(--SUBSTITUTE(SUBSTITUTE(TRIM(INDEX(INDIRECT("'Выгрузка'!A1617:Z1617"),Настройки!$B$10)),",","."),".",MID(1/2,2,1)),"")</f>
        <v/>
      </c>
      <c r="E1617">
        <f>IFERROR(--SUBSTITUTE(SUBSTITUTE(TRIM(INDEX(INDIRECT("'Выгрузка'!A1617:Z1617"),Настройки!$B$11)),",","."),".",MID(1/2,2,1)),"")</f>
        <v/>
      </c>
      <c r="F1617">
        <f>TRIM(INDEX(INDIRECT("'Выгрузка'!A1617:Z1617"),Настройки!$B$12)&amp;"")</f>
        <v/>
      </c>
      <c r="G1617">
        <f>IF(F1617="",0,IF(TRIM(INDEX(INDIRECT("'Выгрузка'!A1617:Z1617"),Настройки!$B$13)&amp;"")="",1,IFERROR(--SUBSTITUTE(SUBSTITUTE(TRIM(INDEX(INDIRECT("'Выгрузка'!A1617:Z1617"),Настройки!$B$13)),",","."),".",MID(1/2,2,1)),"")))</f>
        <v/>
      </c>
      <c r="H1617">
        <f>IF(F1617="",0,IF(COUNTIF(Настройки!$B$17:$B$26,F1617)&gt;0,1,IF(COUNTIF(Настройки!$C$17:$C$26,F1617)&gt;0,2,IF(COUNTIF(Настройки!$D$17:$D$26,F1617)&gt;0,3,0))))</f>
        <v/>
      </c>
      <c r="I1617">
        <f>IF(AND(ISNUMBER(A1617),ISNUMBER(B1617)),A1617*1000+B1617,"")</f>
        <v/>
      </c>
      <c r="J1617">
        <f>IF(I1617="","",IF(COUNTIF(I$2:I1617,I1617)=1,MAX(J$1:J1616)+1,""))</f>
        <v/>
      </c>
    </row>
    <row r="1618">
      <c r="A1618">
        <f>IFERROR(--SUBSTITUTE(SUBSTITUTE(TRIM(INDEX(INDIRECT("'Выгрузка'!A1618:Z1618"),Настройки!$B$7)),",","."),".",MID(1/2,2,1)),"")</f>
        <v/>
      </c>
      <c r="B1618">
        <f>IFERROR(--SUBSTITUTE(SUBSTITUTE(TRIM(INDEX(INDIRECT("'Выгрузка'!A1618:Z1618"),Настройки!$B$9)),",","."),".",MID(1/2,2,1)),"")</f>
        <v/>
      </c>
      <c r="C1618">
        <f>TRIM(INDEX(INDIRECT("'Выгрузка'!A1618:Z1618"),Настройки!$B$8)&amp;"")</f>
        <v/>
      </c>
      <c r="D1618">
        <f>IFERROR(--SUBSTITUTE(SUBSTITUTE(TRIM(INDEX(INDIRECT("'Выгрузка'!A1618:Z1618"),Настройки!$B$10)),",","."),".",MID(1/2,2,1)),"")</f>
        <v/>
      </c>
      <c r="E1618">
        <f>IFERROR(--SUBSTITUTE(SUBSTITUTE(TRIM(INDEX(INDIRECT("'Выгрузка'!A1618:Z1618"),Настройки!$B$11)),",","."),".",MID(1/2,2,1)),"")</f>
        <v/>
      </c>
      <c r="F1618">
        <f>TRIM(INDEX(INDIRECT("'Выгрузка'!A1618:Z1618"),Настройки!$B$12)&amp;"")</f>
        <v/>
      </c>
      <c r="G1618">
        <f>IF(F1618="",0,IF(TRIM(INDEX(INDIRECT("'Выгрузка'!A1618:Z1618"),Настройки!$B$13)&amp;"")="",1,IFERROR(--SUBSTITUTE(SUBSTITUTE(TRIM(INDEX(INDIRECT("'Выгрузка'!A1618:Z1618"),Настройки!$B$13)),",","."),".",MID(1/2,2,1)),"")))</f>
        <v/>
      </c>
      <c r="H1618">
        <f>IF(F1618="",0,IF(COUNTIF(Настройки!$B$17:$B$26,F1618)&gt;0,1,IF(COUNTIF(Настройки!$C$17:$C$26,F1618)&gt;0,2,IF(COUNTIF(Настройки!$D$17:$D$26,F1618)&gt;0,3,0))))</f>
        <v/>
      </c>
      <c r="I1618">
        <f>IF(AND(ISNUMBER(A1618),ISNUMBER(B1618)),A1618*1000+B1618,"")</f>
        <v/>
      </c>
      <c r="J1618">
        <f>IF(I1618="","",IF(COUNTIF(I$2:I1618,I1618)=1,MAX(J$1:J1617)+1,""))</f>
        <v/>
      </c>
    </row>
    <row r="1619">
      <c r="A1619">
        <f>IFERROR(--SUBSTITUTE(SUBSTITUTE(TRIM(INDEX(INDIRECT("'Выгрузка'!A1619:Z1619"),Настройки!$B$7)),",","."),".",MID(1/2,2,1)),"")</f>
        <v/>
      </c>
      <c r="B1619">
        <f>IFERROR(--SUBSTITUTE(SUBSTITUTE(TRIM(INDEX(INDIRECT("'Выгрузка'!A1619:Z1619"),Настройки!$B$9)),",","."),".",MID(1/2,2,1)),"")</f>
        <v/>
      </c>
      <c r="C1619">
        <f>TRIM(INDEX(INDIRECT("'Выгрузка'!A1619:Z1619"),Настройки!$B$8)&amp;"")</f>
        <v/>
      </c>
      <c r="D1619">
        <f>IFERROR(--SUBSTITUTE(SUBSTITUTE(TRIM(INDEX(INDIRECT("'Выгрузка'!A1619:Z1619"),Настройки!$B$10)),",","."),".",MID(1/2,2,1)),"")</f>
        <v/>
      </c>
      <c r="E1619">
        <f>IFERROR(--SUBSTITUTE(SUBSTITUTE(TRIM(INDEX(INDIRECT("'Выгрузка'!A1619:Z1619"),Настройки!$B$11)),",","."),".",MID(1/2,2,1)),"")</f>
        <v/>
      </c>
      <c r="F1619">
        <f>TRIM(INDEX(INDIRECT("'Выгрузка'!A1619:Z1619"),Настройки!$B$12)&amp;"")</f>
        <v/>
      </c>
      <c r="G1619">
        <f>IF(F1619="",0,IF(TRIM(INDEX(INDIRECT("'Выгрузка'!A1619:Z1619"),Настройки!$B$13)&amp;"")="",1,IFERROR(--SUBSTITUTE(SUBSTITUTE(TRIM(INDEX(INDIRECT("'Выгрузка'!A1619:Z1619"),Настройки!$B$13)),",","."),".",MID(1/2,2,1)),"")))</f>
        <v/>
      </c>
      <c r="H1619">
        <f>IF(F1619="",0,IF(COUNTIF(Настройки!$B$17:$B$26,F1619)&gt;0,1,IF(COUNTIF(Настройки!$C$17:$C$26,F1619)&gt;0,2,IF(COUNTIF(Настройки!$D$17:$D$26,F1619)&gt;0,3,0))))</f>
        <v/>
      </c>
      <c r="I1619">
        <f>IF(AND(ISNUMBER(A1619),ISNUMBER(B1619)),A1619*1000+B1619,"")</f>
        <v/>
      </c>
      <c r="J1619">
        <f>IF(I1619="","",IF(COUNTIF(I$2:I1619,I1619)=1,MAX(J$1:J1618)+1,""))</f>
        <v/>
      </c>
    </row>
    <row r="1620">
      <c r="A1620">
        <f>IFERROR(--SUBSTITUTE(SUBSTITUTE(TRIM(INDEX(INDIRECT("'Выгрузка'!A1620:Z1620"),Настройки!$B$7)),",","."),".",MID(1/2,2,1)),"")</f>
        <v/>
      </c>
      <c r="B1620">
        <f>IFERROR(--SUBSTITUTE(SUBSTITUTE(TRIM(INDEX(INDIRECT("'Выгрузка'!A1620:Z1620"),Настройки!$B$9)),",","."),".",MID(1/2,2,1)),"")</f>
        <v/>
      </c>
      <c r="C1620">
        <f>TRIM(INDEX(INDIRECT("'Выгрузка'!A1620:Z1620"),Настройки!$B$8)&amp;"")</f>
        <v/>
      </c>
      <c r="D1620">
        <f>IFERROR(--SUBSTITUTE(SUBSTITUTE(TRIM(INDEX(INDIRECT("'Выгрузка'!A1620:Z1620"),Настройки!$B$10)),",","."),".",MID(1/2,2,1)),"")</f>
        <v/>
      </c>
      <c r="E1620">
        <f>IFERROR(--SUBSTITUTE(SUBSTITUTE(TRIM(INDEX(INDIRECT("'Выгрузка'!A1620:Z1620"),Настройки!$B$11)),",","."),".",MID(1/2,2,1)),"")</f>
        <v/>
      </c>
      <c r="F1620">
        <f>TRIM(INDEX(INDIRECT("'Выгрузка'!A1620:Z1620"),Настройки!$B$12)&amp;"")</f>
        <v/>
      </c>
      <c r="G1620">
        <f>IF(F1620="",0,IF(TRIM(INDEX(INDIRECT("'Выгрузка'!A1620:Z1620"),Настройки!$B$13)&amp;"")="",1,IFERROR(--SUBSTITUTE(SUBSTITUTE(TRIM(INDEX(INDIRECT("'Выгрузка'!A1620:Z1620"),Настройки!$B$13)),",","."),".",MID(1/2,2,1)),"")))</f>
        <v/>
      </c>
      <c r="H1620">
        <f>IF(F1620="",0,IF(COUNTIF(Настройки!$B$17:$B$26,F1620)&gt;0,1,IF(COUNTIF(Настройки!$C$17:$C$26,F1620)&gt;0,2,IF(COUNTIF(Настройки!$D$17:$D$26,F1620)&gt;0,3,0))))</f>
        <v/>
      </c>
      <c r="I1620">
        <f>IF(AND(ISNUMBER(A1620),ISNUMBER(B1620)),A1620*1000+B1620,"")</f>
        <v/>
      </c>
      <c r="J1620">
        <f>IF(I1620="","",IF(COUNTIF(I$2:I1620,I1620)=1,MAX(J$1:J1619)+1,""))</f>
        <v/>
      </c>
    </row>
    <row r="1621">
      <c r="A1621">
        <f>IFERROR(--SUBSTITUTE(SUBSTITUTE(TRIM(INDEX(INDIRECT("'Выгрузка'!A1621:Z1621"),Настройки!$B$7)),",","."),".",MID(1/2,2,1)),"")</f>
        <v/>
      </c>
      <c r="B1621">
        <f>IFERROR(--SUBSTITUTE(SUBSTITUTE(TRIM(INDEX(INDIRECT("'Выгрузка'!A1621:Z1621"),Настройки!$B$9)),",","."),".",MID(1/2,2,1)),"")</f>
        <v/>
      </c>
      <c r="C1621">
        <f>TRIM(INDEX(INDIRECT("'Выгрузка'!A1621:Z1621"),Настройки!$B$8)&amp;"")</f>
        <v/>
      </c>
      <c r="D1621">
        <f>IFERROR(--SUBSTITUTE(SUBSTITUTE(TRIM(INDEX(INDIRECT("'Выгрузка'!A1621:Z1621"),Настройки!$B$10)),",","."),".",MID(1/2,2,1)),"")</f>
        <v/>
      </c>
      <c r="E1621">
        <f>IFERROR(--SUBSTITUTE(SUBSTITUTE(TRIM(INDEX(INDIRECT("'Выгрузка'!A1621:Z1621"),Настройки!$B$11)),",","."),".",MID(1/2,2,1)),"")</f>
        <v/>
      </c>
      <c r="F1621">
        <f>TRIM(INDEX(INDIRECT("'Выгрузка'!A1621:Z1621"),Настройки!$B$12)&amp;"")</f>
        <v/>
      </c>
      <c r="G1621">
        <f>IF(F1621="",0,IF(TRIM(INDEX(INDIRECT("'Выгрузка'!A1621:Z1621"),Настройки!$B$13)&amp;"")="",1,IFERROR(--SUBSTITUTE(SUBSTITUTE(TRIM(INDEX(INDIRECT("'Выгрузка'!A1621:Z1621"),Настройки!$B$13)),",","."),".",MID(1/2,2,1)),"")))</f>
        <v/>
      </c>
      <c r="H1621">
        <f>IF(F1621="",0,IF(COUNTIF(Настройки!$B$17:$B$26,F1621)&gt;0,1,IF(COUNTIF(Настройки!$C$17:$C$26,F1621)&gt;0,2,IF(COUNTIF(Настройки!$D$17:$D$26,F1621)&gt;0,3,0))))</f>
        <v/>
      </c>
      <c r="I1621">
        <f>IF(AND(ISNUMBER(A1621),ISNUMBER(B1621)),A1621*1000+B1621,"")</f>
        <v/>
      </c>
      <c r="J1621">
        <f>IF(I1621="","",IF(COUNTIF(I$2:I1621,I1621)=1,MAX(J$1:J1620)+1,""))</f>
        <v/>
      </c>
    </row>
    <row r="1622">
      <c r="A1622">
        <f>IFERROR(--SUBSTITUTE(SUBSTITUTE(TRIM(INDEX(INDIRECT("'Выгрузка'!A1622:Z1622"),Настройки!$B$7)),",","."),".",MID(1/2,2,1)),"")</f>
        <v/>
      </c>
      <c r="B1622">
        <f>IFERROR(--SUBSTITUTE(SUBSTITUTE(TRIM(INDEX(INDIRECT("'Выгрузка'!A1622:Z1622"),Настройки!$B$9)),",","."),".",MID(1/2,2,1)),"")</f>
        <v/>
      </c>
      <c r="C1622">
        <f>TRIM(INDEX(INDIRECT("'Выгрузка'!A1622:Z1622"),Настройки!$B$8)&amp;"")</f>
        <v/>
      </c>
      <c r="D1622">
        <f>IFERROR(--SUBSTITUTE(SUBSTITUTE(TRIM(INDEX(INDIRECT("'Выгрузка'!A1622:Z1622"),Настройки!$B$10)),",","."),".",MID(1/2,2,1)),"")</f>
        <v/>
      </c>
      <c r="E1622">
        <f>IFERROR(--SUBSTITUTE(SUBSTITUTE(TRIM(INDEX(INDIRECT("'Выгрузка'!A1622:Z1622"),Настройки!$B$11)),",","."),".",MID(1/2,2,1)),"")</f>
        <v/>
      </c>
      <c r="F1622">
        <f>TRIM(INDEX(INDIRECT("'Выгрузка'!A1622:Z1622"),Настройки!$B$12)&amp;"")</f>
        <v/>
      </c>
      <c r="G1622">
        <f>IF(F1622="",0,IF(TRIM(INDEX(INDIRECT("'Выгрузка'!A1622:Z1622"),Настройки!$B$13)&amp;"")="",1,IFERROR(--SUBSTITUTE(SUBSTITUTE(TRIM(INDEX(INDIRECT("'Выгрузка'!A1622:Z1622"),Настройки!$B$13)),",","."),".",MID(1/2,2,1)),"")))</f>
        <v/>
      </c>
      <c r="H1622">
        <f>IF(F1622="",0,IF(COUNTIF(Настройки!$B$17:$B$26,F1622)&gt;0,1,IF(COUNTIF(Настройки!$C$17:$C$26,F1622)&gt;0,2,IF(COUNTIF(Настройки!$D$17:$D$26,F1622)&gt;0,3,0))))</f>
        <v/>
      </c>
      <c r="I1622">
        <f>IF(AND(ISNUMBER(A1622),ISNUMBER(B1622)),A1622*1000+B1622,"")</f>
        <v/>
      </c>
      <c r="J1622">
        <f>IF(I1622="","",IF(COUNTIF(I$2:I1622,I1622)=1,MAX(J$1:J1621)+1,""))</f>
        <v/>
      </c>
    </row>
    <row r="1623">
      <c r="A1623">
        <f>IFERROR(--SUBSTITUTE(SUBSTITUTE(TRIM(INDEX(INDIRECT("'Выгрузка'!A1623:Z1623"),Настройки!$B$7)),",","."),".",MID(1/2,2,1)),"")</f>
        <v/>
      </c>
      <c r="B1623">
        <f>IFERROR(--SUBSTITUTE(SUBSTITUTE(TRIM(INDEX(INDIRECT("'Выгрузка'!A1623:Z1623"),Настройки!$B$9)),",","."),".",MID(1/2,2,1)),"")</f>
        <v/>
      </c>
      <c r="C1623">
        <f>TRIM(INDEX(INDIRECT("'Выгрузка'!A1623:Z1623"),Настройки!$B$8)&amp;"")</f>
        <v/>
      </c>
      <c r="D1623">
        <f>IFERROR(--SUBSTITUTE(SUBSTITUTE(TRIM(INDEX(INDIRECT("'Выгрузка'!A1623:Z1623"),Настройки!$B$10)),",","."),".",MID(1/2,2,1)),"")</f>
        <v/>
      </c>
      <c r="E1623">
        <f>IFERROR(--SUBSTITUTE(SUBSTITUTE(TRIM(INDEX(INDIRECT("'Выгрузка'!A1623:Z1623"),Настройки!$B$11)),",","."),".",MID(1/2,2,1)),"")</f>
        <v/>
      </c>
      <c r="F1623">
        <f>TRIM(INDEX(INDIRECT("'Выгрузка'!A1623:Z1623"),Настройки!$B$12)&amp;"")</f>
        <v/>
      </c>
      <c r="G1623">
        <f>IF(F1623="",0,IF(TRIM(INDEX(INDIRECT("'Выгрузка'!A1623:Z1623"),Настройки!$B$13)&amp;"")="",1,IFERROR(--SUBSTITUTE(SUBSTITUTE(TRIM(INDEX(INDIRECT("'Выгрузка'!A1623:Z1623"),Настройки!$B$13)),",","."),".",MID(1/2,2,1)),"")))</f>
        <v/>
      </c>
      <c r="H1623">
        <f>IF(F1623="",0,IF(COUNTIF(Настройки!$B$17:$B$26,F1623)&gt;0,1,IF(COUNTIF(Настройки!$C$17:$C$26,F1623)&gt;0,2,IF(COUNTIF(Настройки!$D$17:$D$26,F1623)&gt;0,3,0))))</f>
        <v/>
      </c>
      <c r="I1623">
        <f>IF(AND(ISNUMBER(A1623),ISNUMBER(B1623)),A1623*1000+B1623,"")</f>
        <v/>
      </c>
      <c r="J1623">
        <f>IF(I1623="","",IF(COUNTIF(I$2:I1623,I1623)=1,MAX(J$1:J1622)+1,""))</f>
        <v/>
      </c>
    </row>
    <row r="1624">
      <c r="A1624">
        <f>IFERROR(--SUBSTITUTE(SUBSTITUTE(TRIM(INDEX(INDIRECT("'Выгрузка'!A1624:Z1624"),Настройки!$B$7)),",","."),".",MID(1/2,2,1)),"")</f>
        <v/>
      </c>
      <c r="B1624">
        <f>IFERROR(--SUBSTITUTE(SUBSTITUTE(TRIM(INDEX(INDIRECT("'Выгрузка'!A1624:Z1624"),Настройки!$B$9)),",","."),".",MID(1/2,2,1)),"")</f>
        <v/>
      </c>
      <c r="C1624">
        <f>TRIM(INDEX(INDIRECT("'Выгрузка'!A1624:Z1624"),Настройки!$B$8)&amp;"")</f>
        <v/>
      </c>
      <c r="D1624">
        <f>IFERROR(--SUBSTITUTE(SUBSTITUTE(TRIM(INDEX(INDIRECT("'Выгрузка'!A1624:Z1624"),Настройки!$B$10)),",","."),".",MID(1/2,2,1)),"")</f>
        <v/>
      </c>
      <c r="E1624">
        <f>IFERROR(--SUBSTITUTE(SUBSTITUTE(TRIM(INDEX(INDIRECT("'Выгрузка'!A1624:Z1624"),Настройки!$B$11)),",","."),".",MID(1/2,2,1)),"")</f>
        <v/>
      </c>
      <c r="F1624">
        <f>TRIM(INDEX(INDIRECT("'Выгрузка'!A1624:Z1624"),Настройки!$B$12)&amp;"")</f>
        <v/>
      </c>
      <c r="G1624">
        <f>IF(F1624="",0,IF(TRIM(INDEX(INDIRECT("'Выгрузка'!A1624:Z1624"),Настройки!$B$13)&amp;"")="",1,IFERROR(--SUBSTITUTE(SUBSTITUTE(TRIM(INDEX(INDIRECT("'Выгрузка'!A1624:Z1624"),Настройки!$B$13)),",","."),".",MID(1/2,2,1)),"")))</f>
        <v/>
      </c>
      <c r="H1624">
        <f>IF(F1624="",0,IF(COUNTIF(Настройки!$B$17:$B$26,F1624)&gt;0,1,IF(COUNTIF(Настройки!$C$17:$C$26,F1624)&gt;0,2,IF(COUNTIF(Настройки!$D$17:$D$26,F1624)&gt;0,3,0))))</f>
        <v/>
      </c>
      <c r="I1624">
        <f>IF(AND(ISNUMBER(A1624),ISNUMBER(B1624)),A1624*1000+B1624,"")</f>
        <v/>
      </c>
      <c r="J1624">
        <f>IF(I1624="","",IF(COUNTIF(I$2:I1624,I1624)=1,MAX(J$1:J1623)+1,""))</f>
        <v/>
      </c>
    </row>
    <row r="1625">
      <c r="A1625">
        <f>IFERROR(--SUBSTITUTE(SUBSTITUTE(TRIM(INDEX(INDIRECT("'Выгрузка'!A1625:Z1625"),Настройки!$B$7)),",","."),".",MID(1/2,2,1)),"")</f>
        <v/>
      </c>
      <c r="B1625">
        <f>IFERROR(--SUBSTITUTE(SUBSTITUTE(TRIM(INDEX(INDIRECT("'Выгрузка'!A1625:Z1625"),Настройки!$B$9)),",","."),".",MID(1/2,2,1)),"")</f>
        <v/>
      </c>
      <c r="C1625">
        <f>TRIM(INDEX(INDIRECT("'Выгрузка'!A1625:Z1625"),Настройки!$B$8)&amp;"")</f>
        <v/>
      </c>
      <c r="D1625">
        <f>IFERROR(--SUBSTITUTE(SUBSTITUTE(TRIM(INDEX(INDIRECT("'Выгрузка'!A1625:Z1625"),Настройки!$B$10)),",","."),".",MID(1/2,2,1)),"")</f>
        <v/>
      </c>
      <c r="E1625">
        <f>IFERROR(--SUBSTITUTE(SUBSTITUTE(TRIM(INDEX(INDIRECT("'Выгрузка'!A1625:Z1625"),Настройки!$B$11)),",","."),".",MID(1/2,2,1)),"")</f>
        <v/>
      </c>
      <c r="F1625">
        <f>TRIM(INDEX(INDIRECT("'Выгрузка'!A1625:Z1625"),Настройки!$B$12)&amp;"")</f>
        <v/>
      </c>
      <c r="G1625">
        <f>IF(F1625="",0,IF(TRIM(INDEX(INDIRECT("'Выгрузка'!A1625:Z1625"),Настройки!$B$13)&amp;"")="",1,IFERROR(--SUBSTITUTE(SUBSTITUTE(TRIM(INDEX(INDIRECT("'Выгрузка'!A1625:Z1625"),Настройки!$B$13)),",","."),".",MID(1/2,2,1)),"")))</f>
        <v/>
      </c>
      <c r="H1625">
        <f>IF(F1625="",0,IF(COUNTIF(Настройки!$B$17:$B$26,F1625)&gt;0,1,IF(COUNTIF(Настройки!$C$17:$C$26,F1625)&gt;0,2,IF(COUNTIF(Настройки!$D$17:$D$26,F1625)&gt;0,3,0))))</f>
        <v/>
      </c>
      <c r="I1625">
        <f>IF(AND(ISNUMBER(A1625),ISNUMBER(B1625)),A1625*1000+B1625,"")</f>
        <v/>
      </c>
      <c r="J1625">
        <f>IF(I1625="","",IF(COUNTIF(I$2:I1625,I1625)=1,MAX(J$1:J1624)+1,""))</f>
        <v/>
      </c>
    </row>
    <row r="1626">
      <c r="A1626">
        <f>IFERROR(--SUBSTITUTE(SUBSTITUTE(TRIM(INDEX(INDIRECT("'Выгрузка'!A1626:Z1626"),Настройки!$B$7)),",","."),".",MID(1/2,2,1)),"")</f>
        <v/>
      </c>
      <c r="B1626">
        <f>IFERROR(--SUBSTITUTE(SUBSTITUTE(TRIM(INDEX(INDIRECT("'Выгрузка'!A1626:Z1626"),Настройки!$B$9)),",","."),".",MID(1/2,2,1)),"")</f>
        <v/>
      </c>
      <c r="C1626">
        <f>TRIM(INDEX(INDIRECT("'Выгрузка'!A1626:Z1626"),Настройки!$B$8)&amp;"")</f>
        <v/>
      </c>
      <c r="D1626">
        <f>IFERROR(--SUBSTITUTE(SUBSTITUTE(TRIM(INDEX(INDIRECT("'Выгрузка'!A1626:Z1626"),Настройки!$B$10)),",","."),".",MID(1/2,2,1)),"")</f>
        <v/>
      </c>
      <c r="E1626">
        <f>IFERROR(--SUBSTITUTE(SUBSTITUTE(TRIM(INDEX(INDIRECT("'Выгрузка'!A1626:Z1626"),Настройки!$B$11)),",","."),".",MID(1/2,2,1)),"")</f>
        <v/>
      </c>
      <c r="F1626">
        <f>TRIM(INDEX(INDIRECT("'Выгрузка'!A1626:Z1626"),Настройки!$B$12)&amp;"")</f>
        <v/>
      </c>
      <c r="G1626">
        <f>IF(F1626="",0,IF(TRIM(INDEX(INDIRECT("'Выгрузка'!A1626:Z1626"),Настройки!$B$13)&amp;"")="",1,IFERROR(--SUBSTITUTE(SUBSTITUTE(TRIM(INDEX(INDIRECT("'Выгрузка'!A1626:Z1626"),Настройки!$B$13)),",","."),".",MID(1/2,2,1)),"")))</f>
        <v/>
      </c>
      <c r="H1626">
        <f>IF(F1626="",0,IF(COUNTIF(Настройки!$B$17:$B$26,F1626)&gt;0,1,IF(COUNTIF(Настройки!$C$17:$C$26,F1626)&gt;0,2,IF(COUNTIF(Настройки!$D$17:$D$26,F1626)&gt;0,3,0))))</f>
        <v/>
      </c>
      <c r="I1626">
        <f>IF(AND(ISNUMBER(A1626),ISNUMBER(B1626)),A1626*1000+B1626,"")</f>
        <v/>
      </c>
      <c r="J1626">
        <f>IF(I1626="","",IF(COUNTIF(I$2:I1626,I1626)=1,MAX(J$1:J1625)+1,""))</f>
        <v/>
      </c>
    </row>
    <row r="1627">
      <c r="A1627">
        <f>IFERROR(--SUBSTITUTE(SUBSTITUTE(TRIM(INDEX(INDIRECT("'Выгрузка'!A1627:Z1627"),Настройки!$B$7)),",","."),".",MID(1/2,2,1)),"")</f>
        <v/>
      </c>
      <c r="B1627">
        <f>IFERROR(--SUBSTITUTE(SUBSTITUTE(TRIM(INDEX(INDIRECT("'Выгрузка'!A1627:Z1627"),Настройки!$B$9)),",","."),".",MID(1/2,2,1)),"")</f>
        <v/>
      </c>
      <c r="C1627">
        <f>TRIM(INDEX(INDIRECT("'Выгрузка'!A1627:Z1627"),Настройки!$B$8)&amp;"")</f>
        <v/>
      </c>
      <c r="D1627">
        <f>IFERROR(--SUBSTITUTE(SUBSTITUTE(TRIM(INDEX(INDIRECT("'Выгрузка'!A1627:Z1627"),Настройки!$B$10)),",","."),".",MID(1/2,2,1)),"")</f>
        <v/>
      </c>
      <c r="E1627">
        <f>IFERROR(--SUBSTITUTE(SUBSTITUTE(TRIM(INDEX(INDIRECT("'Выгрузка'!A1627:Z1627"),Настройки!$B$11)),",","."),".",MID(1/2,2,1)),"")</f>
        <v/>
      </c>
      <c r="F1627">
        <f>TRIM(INDEX(INDIRECT("'Выгрузка'!A1627:Z1627"),Настройки!$B$12)&amp;"")</f>
        <v/>
      </c>
      <c r="G1627">
        <f>IF(F1627="",0,IF(TRIM(INDEX(INDIRECT("'Выгрузка'!A1627:Z1627"),Настройки!$B$13)&amp;"")="",1,IFERROR(--SUBSTITUTE(SUBSTITUTE(TRIM(INDEX(INDIRECT("'Выгрузка'!A1627:Z1627"),Настройки!$B$13)),",","."),".",MID(1/2,2,1)),"")))</f>
        <v/>
      </c>
      <c r="H1627">
        <f>IF(F1627="",0,IF(COUNTIF(Настройки!$B$17:$B$26,F1627)&gt;0,1,IF(COUNTIF(Настройки!$C$17:$C$26,F1627)&gt;0,2,IF(COUNTIF(Настройки!$D$17:$D$26,F1627)&gt;0,3,0))))</f>
        <v/>
      </c>
      <c r="I1627">
        <f>IF(AND(ISNUMBER(A1627),ISNUMBER(B1627)),A1627*1000+B1627,"")</f>
        <v/>
      </c>
      <c r="J1627">
        <f>IF(I1627="","",IF(COUNTIF(I$2:I1627,I1627)=1,MAX(J$1:J1626)+1,""))</f>
        <v/>
      </c>
    </row>
    <row r="1628">
      <c r="A1628">
        <f>IFERROR(--SUBSTITUTE(SUBSTITUTE(TRIM(INDEX(INDIRECT("'Выгрузка'!A1628:Z1628"),Настройки!$B$7)),",","."),".",MID(1/2,2,1)),"")</f>
        <v/>
      </c>
      <c r="B1628">
        <f>IFERROR(--SUBSTITUTE(SUBSTITUTE(TRIM(INDEX(INDIRECT("'Выгрузка'!A1628:Z1628"),Настройки!$B$9)),",","."),".",MID(1/2,2,1)),"")</f>
        <v/>
      </c>
      <c r="C1628">
        <f>TRIM(INDEX(INDIRECT("'Выгрузка'!A1628:Z1628"),Настройки!$B$8)&amp;"")</f>
        <v/>
      </c>
      <c r="D1628">
        <f>IFERROR(--SUBSTITUTE(SUBSTITUTE(TRIM(INDEX(INDIRECT("'Выгрузка'!A1628:Z1628"),Настройки!$B$10)),",","."),".",MID(1/2,2,1)),"")</f>
        <v/>
      </c>
      <c r="E1628">
        <f>IFERROR(--SUBSTITUTE(SUBSTITUTE(TRIM(INDEX(INDIRECT("'Выгрузка'!A1628:Z1628"),Настройки!$B$11)),",","."),".",MID(1/2,2,1)),"")</f>
        <v/>
      </c>
      <c r="F1628">
        <f>TRIM(INDEX(INDIRECT("'Выгрузка'!A1628:Z1628"),Настройки!$B$12)&amp;"")</f>
        <v/>
      </c>
      <c r="G1628">
        <f>IF(F1628="",0,IF(TRIM(INDEX(INDIRECT("'Выгрузка'!A1628:Z1628"),Настройки!$B$13)&amp;"")="",1,IFERROR(--SUBSTITUTE(SUBSTITUTE(TRIM(INDEX(INDIRECT("'Выгрузка'!A1628:Z1628"),Настройки!$B$13)),",","."),".",MID(1/2,2,1)),"")))</f>
        <v/>
      </c>
      <c r="H1628">
        <f>IF(F1628="",0,IF(COUNTIF(Настройки!$B$17:$B$26,F1628)&gt;0,1,IF(COUNTIF(Настройки!$C$17:$C$26,F1628)&gt;0,2,IF(COUNTIF(Настройки!$D$17:$D$26,F1628)&gt;0,3,0))))</f>
        <v/>
      </c>
      <c r="I1628">
        <f>IF(AND(ISNUMBER(A1628),ISNUMBER(B1628)),A1628*1000+B1628,"")</f>
        <v/>
      </c>
      <c r="J1628">
        <f>IF(I1628="","",IF(COUNTIF(I$2:I1628,I1628)=1,MAX(J$1:J1627)+1,""))</f>
        <v/>
      </c>
    </row>
    <row r="1629">
      <c r="A1629">
        <f>IFERROR(--SUBSTITUTE(SUBSTITUTE(TRIM(INDEX(INDIRECT("'Выгрузка'!A1629:Z1629"),Настройки!$B$7)),",","."),".",MID(1/2,2,1)),"")</f>
        <v/>
      </c>
      <c r="B1629">
        <f>IFERROR(--SUBSTITUTE(SUBSTITUTE(TRIM(INDEX(INDIRECT("'Выгрузка'!A1629:Z1629"),Настройки!$B$9)),",","."),".",MID(1/2,2,1)),"")</f>
        <v/>
      </c>
      <c r="C1629">
        <f>TRIM(INDEX(INDIRECT("'Выгрузка'!A1629:Z1629"),Настройки!$B$8)&amp;"")</f>
        <v/>
      </c>
      <c r="D1629">
        <f>IFERROR(--SUBSTITUTE(SUBSTITUTE(TRIM(INDEX(INDIRECT("'Выгрузка'!A1629:Z1629"),Настройки!$B$10)),",","."),".",MID(1/2,2,1)),"")</f>
        <v/>
      </c>
      <c r="E1629">
        <f>IFERROR(--SUBSTITUTE(SUBSTITUTE(TRIM(INDEX(INDIRECT("'Выгрузка'!A1629:Z1629"),Настройки!$B$11)),",","."),".",MID(1/2,2,1)),"")</f>
        <v/>
      </c>
      <c r="F1629">
        <f>TRIM(INDEX(INDIRECT("'Выгрузка'!A1629:Z1629"),Настройки!$B$12)&amp;"")</f>
        <v/>
      </c>
      <c r="G1629">
        <f>IF(F1629="",0,IF(TRIM(INDEX(INDIRECT("'Выгрузка'!A1629:Z1629"),Настройки!$B$13)&amp;"")="",1,IFERROR(--SUBSTITUTE(SUBSTITUTE(TRIM(INDEX(INDIRECT("'Выгрузка'!A1629:Z1629"),Настройки!$B$13)),",","."),".",MID(1/2,2,1)),"")))</f>
        <v/>
      </c>
      <c r="H1629">
        <f>IF(F1629="",0,IF(COUNTIF(Настройки!$B$17:$B$26,F1629)&gt;0,1,IF(COUNTIF(Настройки!$C$17:$C$26,F1629)&gt;0,2,IF(COUNTIF(Настройки!$D$17:$D$26,F1629)&gt;0,3,0))))</f>
        <v/>
      </c>
      <c r="I1629">
        <f>IF(AND(ISNUMBER(A1629),ISNUMBER(B1629)),A1629*1000+B1629,"")</f>
        <v/>
      </c>
      <c r="J1629">
        <f>IF(I1629="","",IF(COUNTIF(I$2:I1629,I1629)=1,MAX(J$1:J1628)+1,""))</f>
        <v/>
      </c>
    </row>
    <row r="1630">
      <c r="A1630">
        <f>IFERROR(--SUBSTITUTE(SUBSTITUTE(TRIM(INDEX(INDIRECT("'Выгрузка'!A1630:Z1630"),Настройки!$B$7)),",","."),".",MID(1/2,2,1)),"")</f>
        <v/>
      </c>
      <c r="B1630">
        <f>IFERROR(--SUBSTITUTE(SUBSTITUTE(TRIM(INDEX(INDIRECT("'Выгрузка'!A1630:Z1630"),Настройки!$B$9)),",","."),".",MID(1/2,2,1)),"")</f>
        <v/>
      </c>
      <c r="C1630">
        <f>TRIM(INDEX(INDIRECT("'Выгрузка'!A1630:Z1630"),Настройки!$B$8)&amp;"")</f>
        <v/>
      </c>
      <c r="D1630">
        <f>IFERROR(--SUBSTITUTE(SUBSTITUTE(TRIM(INDEX(INDIRECT("'Выгрузка'!A1630:Z1630"),Настройки!$B$10)),",","."),".",MID(1/2,2,1)),"")</f>
        <v/>
      </c>
      <c r="E1630">
        <f>IFERROR(--SUBSTITUTE(SUBSTITUTE(TRIM(INDEX(INDIRECT("'Выгрузка'!A1630:Z1630"),Настройки!$B$11)),",","."),".",MID(1/2,2,1)),"")</f>
        <v/>
      </c>
      <c r="F1630">
        <f>TRIM(INDEX(INDIRECT("'Выгрузка'!A1630:Z1630"),Настройки!$B$12)&amp;"")</f>
        <v/>
      </c>
      <c r="G1630">
        <f>IF(F1630="",0,IF(TRIM(INDEX(INDIRECT("'Выгрузка'!A1630:Z1630"),Настройки!$B$13)&amp;"")="",1,IFERROR(--SUBSTITUTE(SUBSTITUTE(TRIM(INDEX(INDIRECT("'Выгрузка'!A1630:Z1630"),Настройки!$B$13)),",","."),".",MID(1/2,2,1)),"")))</f>
        <v/>
      </c>
      <c r="H1630">
        <f>IF(F1630="",0,IF(COUNTIF(Настройки!$B$17:$B$26,F1630)&gt;0,1,IF(COUNTIF(Настройки!$C$17:$C$26,F1630)&gt;0,2,IF(COUNTIF(Настройки!$D$17:$D$26,F1630)&gt;0,3,0))))</f>
        <v/>
      </c>
      <c r="I1630">
        <f>IF(AND(ISNUMBER(A1630),ISNUMBER(B1630)),A1630*1000+B1630,"")</f>
        <v/>
      </c>
      <c r="J1630">
        <f>IF(I1630="","",IF(COUNTIF(I$2:I1630,I1630)=1,MAX(J$1:J1629)+1,""))</f>
        <v/>
      </c>
    </row>
    <row r="1631">
      <c r="A1631">
        <f>IFERROR(--SUBSTITUTE(SUBSTITUTE(TRIM(INDEX(INDIRECT("'Выгрузка'!A1631:Z1631"),Настройки!$B$7)),",","."),".",MID(1/2,2,1)),"")</f>
        <v/>
      </c>
      <c r="B1631">
        <f>IFERROR(--SUBSTITUTE(SUBSTITUTE(TRIM(INDEX(INDIRECT("'Выгрузка'!A1631:Z1631"),Настройки!$B$9)),",","."),".",MID(1/2,2,1)),"")</f>
        <v/>
      </c>
      <c r="C1631">
        <f>TRIM(INDEX(INDIRECT("'Выгрузка'!A1631:Z1631"),Настройки!$B$8)&amp;"")</f>
        <v/>
      </c>
      <c r="D1631">
        <f>IFERROR(--SUBSTITUTE(SUBSTITUTE(TRIM(INDEX(INDIRECT("'Выгрузка'!A1631:Z1631"),Настройки!$B$10)),",","."),".",MID(1/2,2,1)),"")</f>
        <v/>
      </c>
      <c r="E1631">
        <f>IFERROR(--SUBSTITUTE(SUBSTITUTE(TRIM(INDEX(INDIRECT("'Выгрузка'!A1631:Z1631"),Настройки!$B$11)),",","."),".",MID(1/2,2,1)),"")</f>
        <v/>
      </c>
      <c r="F1631">
        <f>TRIM(INDEX(INDIRECT("'Выгрузка'!A1631:Z1631"),Настройки!$B$12)&amp;"")</f>
        <v/>
      </c>
      <c r="G1631">
        <f>IF(F1631="",0,IF(TRIM(INDEX(INDIRECT("'Выгрузка'!A1631:Z1631"),Настройки!$B$13)&amp;"")="",1,IFERROR(--SUBSTITUTE(SUBSTITUTE(TRIM(INDEX(INDIRECT("'Выгрузка'!A1631:Z1631"),Настройки!$B$13)),",","."),".",MID(1/2,2,1)),"")))</f>
        <v/>
      </c>
      <c r="H1631">
        <f>IF(F1631="",0,IF(COUNTIF(Настройки!$B$17:$B$26,F1631)&gt;0,1,IF(COUNTIF(Настройки!$C$17:$C$26,F1631)&gt;0,2,IF(COUNTIF(Настройки!$D$17:$D$26,F1631)&gt;0,3,0))))</f>
        <v/>
      </c>
      <c r="I1631">
        <f>IF(AND(ISNUMBER(A1631),ISNUMBER(B1631)),A1631*1000+B1631,"")</f>
        <v/>
      </c>
      <c r="J1631">
        <f>IF(I1631="","",IF(COUNTIF(I$2:I1631,I1631)=1,MAX(J$1:J1630)+1,""))</f>
        <v/>
      </c>
    </row>
    <row r="1632">
      <c r="A1632">
        <f>IFERROR(--SUBSTITUTE(SUBSTITUTE(TRIM(INDEX(INDIRECT("'Выгрузка'!A1632:Z1632"),Настройки!$B$7)),",","."),".",MID(1/2,2,1)),"")</f>
        <v/>
      </c>
      <c r="B1632">
        <f>IFERROR(--SUBSTITUTE(SUBSTITUTE(TRIM(INDEX(INDIRECT("'Выгрузка'!A1632:Z1632"),Настройки!$B$9)),",","."),".",MID(1/2,2,1)),"")</f>
        <v/>
      </c>
      <c r="C1632">
        <f>TRIM(INDEX(INDIRECT("'Выгрузка'!A1632:Z1632"),Настройки!$B$8)&amp;"")</f>
        <v/>
      </c>
      <c r="D1632">
        <f>IFERROR(--SUBSTITUTE(SUBSTITUTE(TRIM(INDEX(INDIRECT("'Выгрузка'!A1632:Z1632"),Настройки!$B$10)),",","."),".",MID(1/2,2,1)),"")</f>
        <v/>
      </c>
      <c r="E1632">
        <f>IFERROR(--SUBSTITUTE(SUBSTITUTE(TRIM(INDEX(INDIRECT("'Выгрузка'!A1632:Z1632"),Настройки!$B$11)),",","."),".",MID(1/2,2,1)),"")</f>
        <v/>
      </c>
      <c r="F1632">
        <f>TRIM(INDEX(INDIRECT("'Выгрузка'!A1632:Z1632"),Настройки!$B$12)&amp;"")</f>
        <v/>
      </c>
      <c r="G1632">
        <f>IF(F1632="",0,IF(TRIM(INDEX(INDIRECT("'Выгрузка'!A1632:Z1632"),Настройки!$B$13)&amp;"")="",1,IFERROR(--SUBSTITUTE(SUBSTITUTE(TRIM(INDEX(INDIRECT("'Выгрузка'!A1632:Z1632"),Настройки!$B$13)),",","."),".",MID(1/2,2,1)),"")))</f>
        <v/>
      </c>
      <c r="H1632">
        <f>IF(F1632="",0,IF(COUNTIF(Настройки!$B$17:$B$26,F1632)&gt;0,1,IF(COUNTIF(Настройки!$C$17:$C$26,F1632)&gt;0,2,IF(COUNTIF(Настройки!$D$17:$D$26,F1632)&gt;0,3,0))))</f>
        <v/>
      </c>
      <c r="I1632">
        <f>IF(AND(ISNUMBER(A1632),ISNUMBER(B1632)),A1632*1000+B1632,"")</f>
        <v/>
      </c>
      <c r="J1632">
        <f>IF(I1632="","",IF(COUNTIF(I$2:I1632,I1632)=1,MAX(J$1:J1631)+1,""))</f>
        <v/>
      </c>
    </row>
    <row r="1633">
      <c r="A1633">
        <f>IFERROR(--SUBSTITUTE(SUBSTITUTE(TRIM(INDEX(INDIRECT("'Выгрузка'!A1633:Z1633"),Настройки!$B$7)),",","."),".",MID(1/2,2,1)),"")</f>
        <v/>
      </c>
      <c r="B1633">
        <f>IFERROR(--SUBSTITUTE(SUBSTITUTE(TRIM(INDEX(INDIRECT("'Выгрузка'!A1633:Z1633"),Настройки!$B$9)),",","."),".",MID(1/2,2,1)),"")</f>
        <v/>
      </c>
      <c r="C1633">
        <f>TRIM(INDEX(INDIRECT("'Выгрузка'!A1633:Z1633"),Настройки!$B$8)&amp;"")</f>
        <v/>
      </c>
      <c r="D1633">
        <f>IFERROR(--SUBSTITUTE(SUBSTITUTE(TRIM(INDEX(INDIRECT("'Выгрузка'!A1633:Z1633"),Настройки!$B$10)),",","."),".",MID(1/2,2,1)),"")</f>
        <v/>
      </c>
      <c r="E1633">
        <f>IFERROR(--SUBSTITUTE(SUBSTITUTE(TRIM(INDEX(INDIRECT("'Выгрузка'!A1633:Z1633"),Настройки!$B$11)),",","."),".",MID(1/2,2,1)),"")</f>
        <v/>
      </c>
      <c r="F1633">
        <f>TRIM(INDEX(INDIRECT("'Выгрузка'!A1633:Z1633"),Настройки!$B$12)&amp;"")</f>
        <v/>
      </c>
      <c r="G1633">
        <f>IF(F1633="",0,IF(TRIM(INDEX(INDIRECT("'Выгрузка'!A1633:Z1633"),Настройки!$B$13)&amp;"")="",1,IFERROR(--SUBSTITUTE(SUBSTITUTE(TRIM(INDEX(INDIRECT("'Выгрузка'!A1633:Z1633"),Настройки!$B$13)),",","."),".",MID(1/2,2,1)),"")))</f>
        <v/>
      </c>
      <c r="H1633">
        <f>IF(F1633="",0,IF(COUNTIF(Настройки!$B$17:$B$26,F1633)&gt;0,1,IF(COUNTIF(Настройки!$C$17:$C$26,F1633)&gt;0,2,IF(COUNTIF(Настройки!$D$17:$D$26,F1633)&gt;0,3,0))))</f>
        <v/>
      </c>
      <c r="I1633">
        <f>IF(AND(ISNUMBER(A1633),ISNUMBER(B1633)),A1633*1000+B1633,"")</f>
        <v/>
      </c>
      <c r="J1633">
        <f>IF(I1633="","",IF(COUNTIF(I$2:I1633,I1633)=1,MAX(J$1:J1632)+1,""))</f>
        <v/>
      </c>
    </row>
    <row r="1634">
      <c r="A1634">
        <f>IFERROR(--SUBSTITUTE(SUBSTITUTE(TRIM(INDEX(INDIRECT("'Выгрузка'!A1634:Z1634"),Настройки!$B$7)),",","."),".",MID(1/2,2,1)),"")</f>
        <v/>
      </c>
      <c r="B1634">
        <f>IFERROR(--SUBSTITUTE(SUBSTITUTE(TRIM(INDEX(INDIRECT("'Выгрузка'!A1634:Z1634"),Настройки!$B$9)),",","."),".",MID(1/2,2,1)),"")</f>
        <v/>
      </c>
      <c r="C1634">
        <f>TRIM(INDEX(INDIRECT("'Выгрузка'!A1634:Z1634"),Настройки!$B$8)&amp;"")</f>
        <v/>
      </c>
      <c r="D1634">
        <f>IFERROR(--SUBSTITUTE(SUBSTITUTE(TRIM(INDEX(INDIRECT("'Выгрузка'!A1634:Z1634"),Настройки!$B$10)),",","."),".",MID(1/2,2,1)),"")</f>
        <v/>
      </c>
      <c r="E1634">
        <f>IFERROR(--SUBSTITUTE(SUBSTITUTE(TRIM(INDEX(INDIRECT("'Выгрузка'!A1634:Z1634"),Настройки!$B$11)),",","."),".",MID(1/2,2,1)),"")</f>
        <v/>
      </c>
      <c r="F1634">
        <f>TRIM(INDEX(INDIRECT("'Выгрузка'!A1634:Z1634"),Настройки!$B$12)&amp;"")</f>
        <v/>
      </c>
      <c r="G1634">
        <f>IF(F1634="",0,IF(TRIM(INDEX(INDIRECT("'Выгрузка'!A1634:Z1634"),Настройки!$B$13)&amp;"")="",1,IFERROR(--SUBSTITUTE(SUBSTITUTE(TRIM(INDEX(INDIRECT("'Выгрузка'!A1634:Z1634"),Настройки!$B$13)),",","."),".",MID(1/2,2,1)),"")))</f>
        <v/>
      </c>
      <c r="H1634">
        <f>IF(F1634="",0,IF(COUNTIF(Настройки!$B$17:$B$26,F1634)&gt;0,1,IF(COUNTIF(Настройки!$C$17:$C$26,F1634)&gt;0,2,IF(COUNTIF(Настройки!$D$17:$D$26,F1634)&gt;0,3,0))))</f>
        <v/>
      </c>
      <c r="I1634">
        <f>IF(AND(ISNUMBER(A1634),ISNUMBER(B1634)),A1634*1000+B1634,"")</f>
        <v/>
      </c>
      <c r="J1634">
        <f>IF(I1634="","",IF(COUNTIF(I$2:I1634,I1634)=1,MAX(J$1:J1633)+1,""))</f>
        <v/>
      </c>
    </row>
    <row r="1635">
      <c r="A1635">
        <f>IFERROR(--SUBSTITUTE(SUBSTITUTE(TRIM(INDEX(INDIRECT("'Выгрузка'!A1635:Z1635"),Настройки!$B$7)),",","."),".",MID(1/2,2,1)),"")</f>
        <v/>
      </c>
      <c r="B1635">
        <f>IFERROR(--SUBSTITUTE(SUBSTITUTE(TRIM(INDEX(INDIRECT("'Выгрузка'!A1635:Z1635"),Настройки!$B$9)),",","."),".",MID(1/2,2,1)),"")</f>
        <v/>
      </c>
      <c r="C1635">
        <f>TRIM(INDEX(INDIRECT("'Выгрузка'!A1635:Z1635"),Настройки!$B$8)&amp;"")</f>
        <v/>
      </c>
      <c r="D1635">
        <f>IFERROR(--SUBSTITUTE(SUBSTITUTE(TRIM(INDEX(INDIRECT("'Выгрузка'!A1635:Z1635"),Настройки!$B$10)),",","."),".",MID(1/2,2,1)),"")</f>
        <v/>
      </c>
      <c r="E1635">
        <f>IFERROR(--SUBSTITUTE(SUBSTITUTE(TRIM(INDEX(INDIRECT("'Выгрузка'!A1635:Z1635"),Настройки!$B$11)),",","."),".",MID(1/2,2,1)),"")</f>
        <v/>
      </c>
      <c r="F1635">
        <f>TRIM(INDEX(INDIRECT("'Выгрузка'!A1635:Z1635"),Настройки!$B$12)&amp;"")</f>
        <v/>
      </c>
      <c r="G1635">
        <f>IF(F1635="",0,IF(TRIM(INDEX(INDIRECT("'Выгрузка'!A1635:Z1635"),Настройки!$B$13)&amp;"")="",1,IFERROR(--SUBSTITUTE(SUBSTITUTE(TRIM(INDEX(INDIRECT("'Выгрузка'!A1635:Z1635"),Настройки!$B$13)),",","."),".",MID(1/2,2,1)),"")))</f>
        <v/>
      </c>
      <c r="H1635">
        <f>IF(F1635="",0,IF(COUNTIF(Настройки!$B$17:$B$26,F1635)&gt;0,1,IF(COUNTIF(Настройки!$C$17:$C$26,F1635)&gt;0,2,IF(COUNTIF(Настройки!$D$17:$D$26,F1635)&gt;0,3,0))))</f>
        <v/>
      </c>
      <c r="I1635">
        <f>IF(AND(ISNUMBER(A1635),ISNUMBER(B1635)),A1635*1000+B1635,"")</f>
        <v/>
      </c>
      <c r="J1635">
        <f>IF(I1635="","",IF(COUNTIF(I$2:I1635,I1635)=1,MAX(J$1:J1634)+1,""))</f>
        <v/>
      </c>
    </row>
    <row r="1636">
      <c r="A1636">
        <f>IFERROR(--SUBSTITUTE(SUBSTITUTE(TRIM(INDEX(INDIRECT("'Выгрузка'!A1636:Z1636"),Настройки!$B$7)),",","."),".",MID(1/2,2,1)),"")</f>
        <v/>
      </c>
      <c r="B1636">
        <f>IFERROR(--SUBSTITUTE(SUBSTITUTE(TRIM(INDEX(INDIRECT("'Выгрузка'!A1636:Z1636"),Настройки!$B$9)),",","."),".",MID(1/2,2,1)),"")</f>
        <v/>
      </c>
      <c r="C1636">
        <f>TRIM(INDEX(INDIRECT("'Выгрузка'!A1636:Z1636"),Настройки!$B$8)&amp;"")</f>
        <v/>
      </c>
      <c r="D1636">
        <f>IFERROR(--SUBSTITUTE(SUBSTITUTE(TRIM(INDEX(INDIRECT("'Выгрузка'!A1636:Z1636"),Настройки!$B$10)),",","."),".",MID(1/2,2,1)),"")</f>
        <v/>
      </c>
      <c r="E1636">
        <f>IFERROR(--SUBSTITUTE(SUBSTITUTE(TRIM(INDEX(INDIRECT("'Выгрузка'!A1636:Z1636"),Настройки!$B$11)),",","."),".",MID(1/2,2,1)),"")</f>
        <v/>
      </c>
      <c r="F1636">
        <f>TRIM(INDEX(INDIRECT("'Выгрузка'!A1636:Z1636"),Настройки!$B$12)&amp;"")</f>
        <v/>
      </c>
      <c r="G1636">
        <f>IF(F1636="",0,IF(TRIM(INDEX(INDIRECT("'Выгрузка'!A1636:Z1636"),Настройки!$B$13)&amp;"")="",1,IFERROR(--SUBSTITUTE(SUBSTITUTE(TRIM(INDEX(INDIRECT("'Выгрузка'!A1636:Z1636"),Настройки!$B$13)),",","."),".",MID(1/2,2,1)),"")))</f>
        <v/>
      </c>
      <c r="H1636">
        <f>IF(F1636="",0,IF(COUNTIF(Настройки!$B$17:$B$26,F1636)&gt;0,1,IF(COUNTIF(Настройки!$C$17:$C$26,F1636)&gt;0,2,IF(COUNTIF(Настройки!$D$17:$D$26,F1636)&gt;0,3,0))))</f>
        <v/>
      </c>
      <c r="I1636">
        <f>IF(AND(ISNUMBER(A1636),ISNUMBER(B1636)),A1636*1000+B1636,"")</f>
        <v/>
      </c>
      <c r="J1636">
        <f>IF(I1636="","",IF(COUNTIF(I$2:I1636,I1636)=1,MAX(J$1:J1635)+1,""))</f>
        <v/>
      </c>
    </row>
    <row r="1637">
      <c r="A1637">
        <f>IFERROR(--SUBSTITUTE(SUBSTITUTE(TRIM(INDEX(INDIRECT("'Выгрузка'!A1637:Z1637"),Настройки!$B$7)),",","."),".",MID(1/2,2,1)),"")</f>
        <v/>
      </c>
      <c r="B1637">
        <f>IFERROR(--SUBSTITUTE(SUBSTITUTE(TRIM(INDEX(INDIRECT("'Выгрузка'!A1637:Z1637"),Настройки!$B$9)),",","."),".",MID(1/2,2,1)),"")</f>
        <v/>
      </c>
      <c r="C1637">
        <f>TRIM(INDEX(INDIRECT("'Выгрузка'!A1637:Z1637"),Настройки!$B$8)&amp;"")</f>
        <v/>
      </c>
      <c r="D1637">
        <f>IFERROR(--SUBSTITUTE(SUBSTITUTE(TRIM(INDEX(INDIRECT("'Выгрузка'!A1637:Z1637"),Настройки!$B$10)),",","."),".",MID(1/2,2,1)),"")</f>
        <v/>
      </c>
      <c r="E1637">
        <f>IFERROR(--SUBSTITUTE(SUBSTITUTE(TRIM(INDEX(INDIRECT("'Выгрузка'!A1637:Z1637"),Настройки!$B$11)),",","."),".",MID(1/2,2,1)),"")</f>
        <v/>
      </c>
      <c r="F1637">
        <f>TRIM(INDEX(INDIRECT("'Выгрузка'!A1637:Z1637"),Настройки!$B$12)&amp;"")</f>
        <v/>
      </c>
      <c r="G1637">
        <f>IF(F1637="",0,IF(TRIM(INDEX(INDIRECT("'Выгрузка'!A1637:Z1637"),Настройки!$B$13)&amp;"")="",1,IFERROR(--SUBSTITUTE(SUBSTITUTE(TRIM(INDEX(INDIRECT("'Выгрузка'!A1637:Z1637"),Настройки!$B$13)),",","."),".",MID(1/2,2,1)),"")))</f>
        <v/>
      </c>
      <c r="H1637">
        <f>IF(F1637="",0,IF(COUNTIF(Настройки!$B$17:$B$26,F1637)&gt;0,1,IF(COUNTIF(Настройки!$C$17:$C$26,F1637)&gt;0,2,IF(COUNTIF(Настройки!$D$17:$D$26,F1637)&gt;0,3,0))))</f>
        <v/>
      </c>
      <c r="I1637">
        <f>IF(AND(ISNUMBER(A1637),ISNUMBER(B1637)),A1637*1000+B1637,"")</f>
        <v/>
      </c>
      <c r="J1637">
        <f>IF(I1637="","",IF(COUNTIF(I$2:I1637,I1637)=1,MAX(J$1:J1636)+1,""))</f>
        <v/>
      </c>
    </row>
    <row r="1638">
      <c r="A1638">
        <f>IFERROR(--SUBSTITUTE(SUBSTITUTE(TRIM(INDEX(INDIRECT("'Выгрузка'!A1638:Z1638"),Настройки!$B$7)),",","."),".",MID(1/2,2,1)),"")</f>
        <v/>
      </c>
      <c r="B1638">
        <f>IFERROR(--SUBSTITUTE(SUBSTITUTE(TRIM(INDEX(INDIRECT("'Выгрузка'!A1638:Z1638"),Настройки!$B$9)),",","."),".",MID(1/2,2,1)),"")</f>
        <v/>
      </c>
      <c r="C1638">
        <f>TRIM(INDEX(INDIRECT("'Выгрузка'!A1638:Z1638"),Настройки!$B$8)&amp;"")</f>
        <v/>
      </c>
      <c r="D1638">
        <f>IFERROR(--SUBSTITUTE(SUBSTITUTE(TRIM(INDEX(INDIRECT("'Выгрузка'!A1638:Z1638"),Настройки!$B$10)),",","."),".",MID(1/2,2,1)),"")</f>
        <v/>
      </c>
      <c r="E1638">
        <f>IFERROR(--SUBSTITUTE(SUBSTITUTE(TRIM(INDEX(INDIRECT("'Выгрузка'!A1638:Z1638"),Настройки!$B$11)),",","."),".",MID(1/2,2,1)),"")</f>
        <v/>
      </c>
      <c r="F1638">
        <f>TRIM(INDEX(INDIRECT("'Выгрузка'!A1638:Z1638"),Настройки!$B$12)&amp;"")</f>
        <v/>
      </c>
      <c r="G1638">
        <f>IF(F1638="",0,IF(TRIM(INDEX(INDIRECT("'Выгрузка'!A1638:Z1638"),Настройки!$B$13)&amp;"")="",1,IFERROR(--SUBSTITUTE(SUBSTITUTE(TRIM(INDEX(INDIRECT("'Выгрузка'!A1638:Z1638"),Настройки!$B$13)),",","."),".",MID(1/2,2,1)),"")))</f>
        <v/>
      </c>
      <c r="H1638">
        <f>IF(F1638="",0,IF(COUNTIF(Настройки!$B$17:$B$26,F1638)&gt;0,1,IF(COUNTIF(Настройки!$C$17:$C$26,F1638)&gt;0,2,IF(COUNTIF(Настройки!$D$17:$D$26,F1638)&gt;0,3,0))))</f>
        <v/>
      </c>
      <c r="I1638">
        <f>IF(AND(ISNUMBER(A1638),ISNUMBER(B1638)),A1638*1000+B1638,"")</f>
        <v/>
      </c>
      <c r="J1638">
        <f>IF(I1638="","",IF(COUNTIF(I$2:I1638,I1638)=1,MAX(J$1:J1637)+1,""))</f>
        <v/>
      </c>
    </row>
    <row r="1639">
      <c r="A1639">
        <f>IFERROR(--SUBSTITUTE(SUBSTITUTE(TRIM(INDEX(INDIRECT("'Выгрузка'!A1639:Z1639"),Настройки!$B$7)),",","."),".",MID(1/2,2,1)),"")</f>
        <v/>
      </c>
      <c r="B1639">
        <f>IFERROR(--SUBSTITUTE(SUBSTITUTE(TRIM(INDEX(INDIRECT("'Выгрузка'!A1639:Z1639"),Настройки!$B$9)),",","."),".",MID(1/2,2,1)),"")</f>
        <v/>
      </c>
      <c r="C1639">
        <f>TRIM(INDEX(INDIRECT("'Выгрузка'!A1639:Z1639"),Настройки!$B$8)&amp;"")</f>
        <v/>
      </c>
      <c r="D1639">
        <f>IFERROR(--SUBSTITUTE(SUBSTITUTE(TRIM(INDEX(INDIRECT("'Выгрузка'!A1639:Z1639"),Настройки!$B$10)),",","."),".",MID(1/2,2,1)),"")</f>
        <v/>
      </c>
      <c r="E1639">
        <f>IFERROR(--SUBSTITUTE(SUBSTITUTE(TRIM(INDEX(INDIRECT("'Выгрузка'!A1639:Z1639"),Настройки!$B$11)),",","."),".",MID(1/2,2,1)),"")</f>
        <v/>
      </c>
      <c r="F1639">
        <f>TRIM(INDEX(INDIRECT("'Выгрузка'!A1639:Z1639"),Настройки!$B$12)&amp;"")</f>
        <v/>
      </c>
      <c r="G1639">
        <f>IF(F1639="",0,IF(TRIM(INDEX(INDIRECT("'Выгрузка'!A1639:Z1639"),Настройки!$B$13)&amp;"")="",1,IFERROR(--SUBSTITUTE(SUBSTITUTE(TRIM(INDEX(INDIRECT("'Выгрузка'!A1639:Z1639"),Настройки!$B$13)),",","."),".",MID(1/2,2,1)),"")))</f>
        <v/>
      </c>
      <c r="H1639">
        <f>IF(F1639="",0,IF(COUNTIF(Настройки!$B$17:$B$26,F1639)&gt;0,1,IF(COUNTIF(Настройки!$C$17:$C$26,F1639)&gt;0,2,IF(COUNTIF(Настройки!$D$17:$D$26,F1639)&gt;0,3,0))))</f>
        <v/>
      </c>
      <c r="I1639">
        <f>IF(AND(ISNUMBER(A1639),ISNUMBER(B1639)),A1639*1000+B1639,"")</f>
        <v/>
      </c>
      <c r="J1639">
        <f>IF(I1639="","",IF(COUNTIF(I$2:I1639,I1639)=1,MAX(J$1:J1638)+1,""))</f>
        <v/>
      </c>
    </row>
    <row r="1640">
      <c r="A1640">
        <f>IFERROR(--SUBSTITUTE(SUBSTITUTE(TRIM(INDEX(INDIRECT("'Выгрузка'!A1640:Z1640"),Настройки!$B$7)),",","."),".",MID(1/2,2,1)),"")</f>
        <v/>
      </c>
      <c r="B1640">
        <f>IFERROR(--SUBSTITUTE(SUBSTITUTE(TRIM(INDEX(INDIRECT("'Выгрузка'!A1640:Z1640"),Настройки!$B$9)),",","."),".",MID(1/2,2,1)),"")</f>
        <v/>
      </c>
      <c r="C1640">
        <f>TRIM(INDEX(INDIRECT("'Выгрузка'!A1640:Z1640"),Настройки!$B$8)&amp;"")</f>
        <v/>
      </c>
      <c r="D1640">
        <f>IFERROR(--SUBSTITUTE(SUBSTITUTE(TRIM(INDEX(INDIRECT("'Выгрузка'!A1640:Z1640"),Настройки!$B$10)),",","."),".",MID(1/2,2,1)),"")</f>
        <v/>
      </c>
      <c r="E1640">
        <f>IFERROR(--SUBSTITUTE(SUBSTITUTE(TRIM(INDEX(INDIRECT("'Выгрузка'!A1640:Z1640"),Настройки!$B$11)),",","."),".",MID(1/2,2,1)),"")</f>
        <v/>
      </c>
      <c r="F1640">
        <f>TRIM(INDEX(INDIRECT("'Выгрузка'!A1640:Z1640"),Настройки!$B$12)&amp;"")</f>
        <v/>
      </c>
      <c r="G1640">
        <f>IF(F1640="",0,IF(TRIM(INDEX(INDIRECT("'Выгрузка'!A1640:Z1640"),Настройки!$B$13)&amp;"")="",1,IFERROR(--SUBSTITUTE(SUBSTITUTE(TRIM(INDEX(INDIRECT("'Выгрузка'!A1640:Z1640"),Настройки!$B$13)),",","."),".",MID(1/2,2,1)),"")))</f>
        <v/>
      </c>
      <c r="H1640">
        <f>IF(F1640="",0,IF(COUNTIF(Настройки!$B$17:$B$26,F1640)&gt;0,1,IF(COUNTIF(Настройки!$C$17:$C$26,F1640)&gt;0,2,IF(COUNTIF(Настройки!$D$17:$D$26,F1640)&gt;0,3,0))))</f>
        <v/>
      </c>
      <c r="I1640">
        <f>IF(AND(ISNUMBER(A1640),ISNUMBER(B1640)),A1640*1000+B1640,"")</f>
        <v/>
      </c>
      <c r="J1640">
        <f>IF(I1640="","",IF(COUNTIF(I$2:I1640,I1640)=1,MAX(J$1:J1639)+1,""))</f>
        <v/>
      </c>
    </row>
    <row r="1641">
      <c r="A1641">
        <f>IFERROR(--SUBSTITUTE(SUBSTITUTE(TRIM(INDEX(INDIRECT("'Выгрузка'!A1641:Z1641"),Настройки!$B$7)),",","."),".",MID(1/2,2,1)),"")</f>
        <v/>
      </c>
      <c r="B1641">
        <f>IFERROR(--SUBSTITUTE(SUBSTITUTE(TRIM(INDEX(INDIRECT("'Выгрузка'!A1641:Z1641"),Настройки!$B$9)),",","."),".",MID(1/2,2,1)),"")</f>
        <v/>
      </c>
      <c r="C1641">
        <f>TRIM(INDEX(INDIRECT("'Выгрузка'!A1641:Z1641"),Настройки!$B$8)&amp;"")</f>
        <v/>
      </c>
      <c r="D1641">
        <f>IFERROR(--SUBSTITUTE(SUBSTITUTE(TRIM(INDEX(INDIRECT("'Выгрузка'!A1641:Z1641"),Настройки!$B$10)),",","."),".",MID(1/2,2,1)),"")</f>
        <v/>
      </c>
      <c r="E1641">
        <f>IFERROR(--SUBSTITUTE(SUBSTITUTE(TRIM(INDEX(INDIRECT("'Выгрузка'!A1641:Z1641"),Настройки!$B$11)),",","."),".",MID(1/2,2,1)),"")</f>
        <v/>
      </c>
      <c r="F1641">
        <f>TRIM(INDEX(INDIRECT("'Выгрузка'!A1641:Z1641"),Настройки!$B$12)&amp;"")</f>
        <v/>
      </c>
      <c r="G1641">
        <f>IF(F1641="",0,IF(TRIM(INDEX(INDIRECT("'Выгрузка'!A1641:Z1641"),Настройки!$B$13)&amp;"")="",1,IFERROR(--SUBSTITUTE(SUBSTITUTE(TRIM(INDEX(INDIRECT("'Выгрузка'!A1641:Z1641"),Настройки!$B$13)),",","."),".",MID(1/2,2,1)),"")))</f>
        <v/>
      </c>
      <c r="H1641">
        <f>IF(F1641="",0,IF(COUNTIF(Настройки!$B$17:$B$26,F1641)&gt;0,1,IF(COUNTIF(Настройки!$C$17:$C$26,F1641)&gt;0,2,IF(COUNTIF(Настройки!$D$17:$D$26,F1641)&gt;0,3,0))))</f>
        <v/>
      </c>
      <c r="I1641">
        <f>IF(AND(ISNUMBER(A1641),ISNUMBER(B1641)),A1641*1000+B1641,"")</f>
        <v/>
      </c>
      <c r="J1641">
        <f>IF(I1641="","",IF(COUNTIF(I$2:I1641,I1641)=1,MAX(J$1:J1640)+1,""))</f>
        <v/>
      </c>
    </row>
    <row r="1642">
      <c r="A1642">
        <f>IFERROR(--SUBSTITUTE(SUBSTITUTE(TRIM(INDEX(INDIRECT("'Выгрузка'!A1642:Z1642"),Настройки!$B$7)),",","."),".",MID(1/2,2,1)),"")</f>
        <v/>
      </c>
      <c r="B1642">
        <f>IFERROR(--SUBSTITUTE(SUBSTITUTE(TRIM(INDEX(INDIRECT("'Выгрузка'!A1642:Z1642"),Настройки!$B$9)),",","."),".",MID(1/2,2,1)),"")</f>
        <v/>
      </c>
      <c r="C1642">
        <f>TRIM(INDEX(INDIRECT("'Выгрузка'!A1642:Z1642"),Настройки!$B$8)&amp;"")</f>
        <v/>
      </c>
      <c r="D1642">
        <f>IFERROR(--SUBSTITUTE(SUBSTITUTE(TRIM(INDEX(INDIRECT("'Выгрузка'!A1642:Z1642"),Настройки!$B$10)),",","."),".",MID(1/2,2,1)),"")</f>
        <v/>
      </c>
      <c r="E1642">
        <f>IFERROR(--SUBSTITUTE(SUBSTITUTE(TRIM(INDEX(INDIRECT("'Выгрузка'!A1642:Z1642"),Настройки!$B$11)),",","."),".",MID(1/2,2,1)),"")</f>
        <v/>
      </c>
      <c r="F1642">
        <f>TRIM(INDEX(INDIRECT("'Выгрузка'!A1642:Z1642"),Настройки!$B$12)&amp;"")</f>
        <v/>
      </c>
      <c r="G1642">
        <f>IF(F1642="",0,IF(TRIM(INDEX(INDIRECT("'Выгрузка'!A1642:Z1642"),Настройки!$B$13)&amp;"")="",1,IFERROR(--SUBSTITUTE(SUBSTITUTE(TRIM(INDEX(INDIRECT("'Выгрузка'!A1642:Z1642"),Настройки!$B$13)),",","."),".",MID(1/2,2,1)),"")))</f>
        <v/>
      </c>
      <c r="H1642">
        <f>IF(F1642="",0,IF(COUNTIF(Настройки!$B$17:$B$26,F1642)&gt;0,1,IF(COUNTIF(Настройки!$C$17:$C$26,F1642)&gt;0,2,IF(COUNTIF(Настройки!$D$17:$D$26,F1642)&gt;0,3,0))))</f>
        <v/>
      </c>
      <c r="I1642">
        <f>IF(AND(ISNUMBER(A1642),ISNUMBER(B1642)),A1642*1000+B1642,"")</f>
        <v/>
      </c>
      <c r="J1642">
        <f>IF(I1642="","",IF(COUNTIF(I$2:I1642,I1642)=1,MAX(J$1:J1641)+1,""))</f>
        <v/>
      </c>
    </row>
    <row r="1643">
      <c r="A1643">
        <f>IFERROR(--SUBSTITUTE(SUBSTITUTE(TRIM(INDEX(INDIRECT("'Выгрузка'!A1643:Z1643"),Настройки!$B$7)),",","."),".",MID(1/2,2,1)),"")</f>
        <v/>
      </c>
      <c r="B1643">
        <f>IFERROR(--SUBSTITUTE(SUBSTITUTE(TRIM(INDEX(INDIRECT("'Выгрузка'!A1643:Z1643"),Настройки!$B$9)),",","."),".",MID(1/2,2,1)),"")</f>
        <v/>
      </c>
      <c r="C1643">
        <f>TRIM(INDEX(INDIRECT("'Выгрузка'!A1643:Z1643"),Настройки!$B$8)&amp;"")</f>
        <v/>
      </c>
      <c r="D1643">
        <f>IFERROR(--SUBSTITUTE(SUBSTITUTE(TRIM(INDEX(INDIRECT("'Выгрузка'!A1643:Z1643"),Настройки!$B$10)),",","."),".",MID(1/2,2,1)),"")</f>
        <v/>
      </c>
      <c r="E1643">
        <f>IFERROR(--SUBSTITUTE(SUBSTITUTE(TRIM(INDEX(INDIRECT("'Выгрузка'!A1643:Z1643"),Настройки!$B$11)),",","."),".",MID(1/2,2,1)),"")</f>
        <v/>
      </c>
      <c r="F1643">
        <f>TRIM(INDEX(INDIRECT("'Выгрузка'!A1643:Z1643"),Настройки!$B$12)&amp;"")</f>
        <v/>
      </c>
      <c r="G1643">
        <f>IF(F1643="",0,IF(TRIM(INDEX(INDIRECT("'Выгрузка'!A1643:Z1643"),Настройки!$B$13)&amp;"")="",1,IFERROR(--SUBSTITUTE(SUBSTITUTE(TRIM(INDEX(INDIRECT("'Выгрузка'!A1643:Z1643"),Настройки!$B$13)),",","."),".",MID(1/2,2,1)),"")))</f>
        <v/>
      </c>
      <c r="H1643">
        <f>IF(F1643="",0,IF(COUNTIF(Настройки!$B$17:$B$26,F1643)&gt;0,1,IF(COUNTIF(Настройки!$C$17:$C$26,F1643)&gt;0,2,IF(COUNTIF(Настройки!$D$17:$D$26,F1643)&gt;0,3,0))))</f>
        <v/>
      </c>
      <c r="I1643">
        <f>IF(AND(ISNUMBER(A1643),ISNUMBER(B1643)),A1643*1000+B1643,"")</f>
        <v/>
      </c>
      <c r="J1643">
        <f>IF(I1643="","",IF(COUNTIF(I$2:I1643,I1643)=1,MAX(J$1:J1642)+1,""))</f>
        <v/>
      </c>
    </row>
    <row r="1644">
      <c r="A1644">
        <f>IFERROR(--SUBSTITUTE(SUBSTITUTE(TRIM(INDEX(INDIRECT("'Выгрузка'!A1644:Z1644"),Настройки!$B$7)),",","."),".",MID(1/2,2,1)),"")</f>
        <v/>
      </c>
      <c r="B1644">
        <f>IFERROR(--SUBSTITUTE(SUBSTITUTE(TRIM(INDEX(INDIRECT("'Выгрузка'!A1644:Z1644"),Настройки!$B$9)),",","."),".",MID(1/2,2,1)),"")</f>
        <v/>
      </c>
      <c r="C1644">
        <f>TRIM(INDEX(INDIRECT("'Выгрузка'!A1644:Z1644"),Настройки!$B$8)&amp;"")</f>
        <v/>
      </c>
      <c r="D1644">
        <f>IFERROR(--SUBSTITUTE(SUBSTITUTE(TRIM(INDEX(INDIRECT("'Выгрузка'!A1644:Z1644"),Настройки!$B$10)),",","."),".",MID(1/2,2,1)),"")</f>
        <v/>
      </c>
      <c r="E1644">
        <f>IFERROR(--SUBSTITUTE(SUBSTITUTE(TRIM(INDEX(INDIRECT("'Выгрузка'!A1644:Z1644"),Настройки!$B$11)),",","."),".",MID(1/2,2,1)),"")</f>
        <v/>
      </c>
      <c r="F1644">
        <f>TRIM(INDEX(INDIRECT("'Выгрузка'!A1644:Z1644"),Настройки!$B$12)&amp;"")</f>
        <v/>
      </c>
      <c r="G1644">
        <f>IF(F1644="",0,IF(TRIM(INDEX(INDIRECT("'Выгрузка'!A1644:Z1644"),Настройки!$B$13)&amp;"")="",1,IFERROR(--SUBSTITUTE(SUBSTITUTE(TRIM(INDEX(INDIRECT("'Выгрузка'!A1644:Z1644"),Настройки!$B$13)),",","."),".",MID(1/2,2,1)),"")))</f>
        <v/>
      </c>
      <c r="H1644">
        <f>IF(F1644="",0,IF(COUNTIF(Настройки!$B$17:$B$26,F1644)&gt;0,1,IF(COUNTIF(Настройки!$C$17:$C$26,F1644)&gt;0,2,IF(COUNTIF(Настройки!$D$17:$D$26,F1644)&gt;0,3,0))))</f>
        <v/>
      </c>
      <c r="I1644">
        <f>IF(AND(ISNUMBER(A1644),ISNUMBER(B1644)),A1644*1000+B1644,"")</f>
        <v/>
      </c>
      <c r="J1644">
        <f>IF(I1644="","",IF(COUNTIF(I$2:I1644,I1644)=1,MAX(J$1:J1643)+1,""))</f>
        <v/>
      </c>
    </row>
    <row r="1645">
      <c r="A1645">
        <f>IFERROR(--SUBSTITUTE(SUBSTITUTE(TRIM(INDEX(INDIRECT("'Выгрузка'!A1645:Z1645"),Настройки!$B$7)),",","."),".",MID(1/2,2,1)),"")</f>
        <v/>
      </c>
      <c r="B1645">
        <f>IFERROR(--SUBSTITUTE(SUBSTITUTE(TRIM(INDEX(INDIRECT("'Выгрузка'!A1645:Z1645"),Настройки!$B$9)),",","."),".",MID(1/2,2,1)),"")</f>
        <v/>
      </c>
      <c r="C1645">
        <f>TRIM(INDEX(INDIRECT("'Выгрузка'!A1645:Z1645"),Настройки!$B$8)&amp;"")</f>
        <v/>
      </c>
      <c r="D1645">
        <f>IFERROR(--SUBSTITUTE(SUBSTITUTE(TRIM(INDEX(INDIRECT("'Выгрузка'!A1645:Z1645"),Настройки!$B$10)),",","."),".",MID(1/2,2,1)),"")</f>
        <v/>
      </c>
      <c r="E1645">
        <f>IFERROR(--SUBSTITUTE(SUBSTITUTE(TRIM(INDEX(INDIRECT("'Выгрузка'!A1645:Z1645"),Настройки!$B$11)),",","."),".",MID(1/2,2,1)),"")</f>
        <v/>
      </c>
      <c r="F1645">
        <f>TRIM(INDEX(INDIRECT("'Выгрузка'!A1645:Z1645"),Настройки!$B$12)&amp;"")</f>
        <v/>
      </c>
      <c r="G1645">
        <f>IF(F1645="",0,IF(TRIM(INDEX(INDIRECT("'Выгрузка'!A1645:Z1645"),Настройки!$B$13)&amp;"")="",1,IFERROR(--SUBSTITUTE(SUBSTITUTE(TRIM(INDEX(INDIRECT("'Выгрузка'!A1645:Z1645"),Настройки!$B$13)),",","."),".",MID(1/2,2,1)),"")))</f>
        <v/>
      </c>
      <c r="H1645">
        <f>IF(F1645="",0,IF(COUNTIF(Настройки!$B$17:$B$26,F1645)&gt;0,1,IF(COUNTIF(Настройки!$C$17:$C$26,F1645)&gt;0,2,IF(COUNTIF(Настройки!$D$17:$D$26,F1645)&gt;0,3,0))))</f>
        <v/>
      </c>
      <c r="I1645">
        <f>IF(AND(ISNUMBER(A1645),ISNUMBER(B1645)),A1645*1000+B1645,"")</f>
        <v/>
      </c>
      <c r="J1645">
        <f>IF(I1645="","",IF(COUNTIF(I$2:I1645,I1645)=1,MAX(J$1:J1644)+1,""))</f>
        <v/>
      </c>
    </row>
    <row r="1646">
      <c r="A1646">
        <f>IFERROR(--SUBSTITUTE(SUBSTITUTE(TRIM(INDEX(INDIRECT("'Выгрузка'!A1646:Z1646"),Настройки!$B$7)),",","."),".",MID(1/2,2,1)),"")</f>
        <v/>
      </c>
      <c r="B1646">
        <f>IFERROR(--SUBSTITUTE(SUBSTITUTE(TRIM(INDEX(INDIRECT("'Выгрузка'!A1646:Z1646"),Настройки!$B$9)),",","."),".",MID(1/2,2,1)),"")</f>
        <v/>
      </c>
      <c r="C1646">
        <f>TRIM(INDEX(INDIRECT("'Выгрузка'!A1646:Z1646"),Настройки!$B$8)&amp;"")</f>
        <v/>
      </c>
      <c r="D1646">
        <f>IFERROR(--SUBSTITUTE(SUBSTITUTE(TRIM(INDEX(INDIRECT("'Выгрузка'!A1646:Z1646"),Настройки!$B$10)),",","."),".",MID(1/2,2,1)),"")</f>
        <v/>
      </c>
      <c r="E1646">
        <f>IFERROR(--SUBSTITUTE(SUBSTITUTE(TRIM(INDEX(INDIRECT("'Выгрузка'!A1646:Z1646"),Настройки!$B$11)),",","."),".",MID(1/2,2,1)),"")</f>
        <v/>
      </c>
      <c r="F1646">
        <f>TRIM(INDEX(INDIRECT("'Выгрузка'!A1646:Z1646"),Настройки!$B$12)&amp;"")</f>
        <v/>
      </c>
      <c r="G1646">
        <f>IF(F1646="",0,IF(TRIM(INDEX(INDIRECT("'Выгрузка'!A1646:Z1646"),Настройки!$B$13)&amp;"")="",1,IFERROR(--SUBSTITUTE(SUBSTITUTE(TRIM(INDEX(INDIRECT("'Выгрузка'!A1646:Z1646"),Настройки!$B$13)),",","."),".",MID(1/2,2,1)),"")))</f>
        <v/>
      </c>
      <c r="H1646">
        <f>IF(F1646="",0,IF(COUNTIF(Настройки!$B$17:$B$26,F1646)&gt;0,1,IF(COUNTIF(Настройки!$C$17:$C$26,F1646)&gt;0,2,IF(COUNTIF(Настройки!$D$17:$D$26,F1646)&gt;0,3,0))))</f>
        <v/>
      </c>
      <c r="I1646">
        <f>IF(AND(ISNUMBER(A1646),ISNUMBER(B1646)),A1646*1000+B1646,"")</f>
        <v/>
      </c>
      <c r="J1646">
        <f>IF(I1646="","",IF(COUNTIF(I$2:I1646,I1646)=1,MAX(J$1:J1645)+1,""))</f>
        <v/>
      </c>
    </row>
    <row r="1647">
      <c r="A1647">
        <f>IFERROR(--SUBSTITUTE(SUBSTITUTE(TRIM(INDEX(INDIRECT("'Выгрузка'!A1647:Z1647"),Настройки!$B$7)),",","."),".",MID(1/2,2,1)),"")</f>
        <v/>
      </c>
      <c r="B1647">
        <f>IFERROR(--SUBSTITUTE(SUBSTITUTE(TRIM(INDEX(INDIRECT("'Выгрузка'!A1647:Z1647"),Настройки!$B$9)),",","."),".",MID(1/2,2,1)),"")</f>
        <v/>
      </c>
      <c r="C1647">
        <f>TRIM(INDEX(INDIRECT("'Выгрузка'!A1647:Z1647"),Настройки!$B$8)&amp;"")</f>
        <v/>
      </c>
      <c r="D1647">
        <f>IFERROR(--SUBSTITUTE(SUBSTITUTE(TRIM(INDEX(INDIRECT("'Выгрузка'!A1647:Z1647"),Настройки!$B$10)),",","."),".",MID(1/2,2,1)),"")</f>
        <v/>
      </c>
      <c r="E1647">
        <f>IFERROR(--SUBSTITUTE(SUBSTITUTE(TRIM(INDEX(INDIRECT("'Выгрузка'!A1647:Z1647"),Настройки!$B$11)),",","."),".",MID(1/2,2,1)),"")</f>
        <v/>
      </c>
      <c r="F1647">
        <f>TRIM(INDEX(INDIRECT("'Выгрузка'!A1647:Z1647"),Настройки!$B$12)&amp;"")</f>
        <v/>
      </c>
      <c r="G1647">
        <f>IF(F1647="",0,IF(TRIM(INDEX(INDIRECT("'Выгрузка'!A1647:Z1647"),Настройки!$B$13)&amp;"")="",1,IFERROR(--SUBSTITUTE(SUBSTITUTE(TRIM(INDEX(INDIRECT("'Выгрузка'!A1647:Z1647"),Настройки!$B$13)),",","."),".",MID(1/2,2,1)),"")))</f>
        <v/>
      </c>
      <c r="H1647">
        <f>IF(F1647="",0,IF(COUNTIF(Настройки!$B$17:$B$26,F1647)&gt;0,1,IF(COUNTIF(Настройки!$C$17:$C$26,F1647)&gt;0,2,IF(COUNTIF(Настройки!$D$17:$D$26,F1647)&gt;0,3,0))))</f>
        <v/>
      </c>
      <c r="I1647">
        <f>IF(AND(ISNUMBER(A1647),ISNUMBER(B1647)),A1647*1000+B1647,"")</f>
        <v/>
      </c>
      <c r="J1647">
        <f>IF(I1647="","",IF(COUNTIF(I$2:I1647,I1647)=1,MAX(J$1:J1646)+1,""))</f>
        <v/>
      </c>
    </row>
    <row r="1648">
      <c r="A1648">
        <f>IFERROR(--SUBSTITUTE(SUBSTITUTE(TRIM(INDEX(INDIRECT("'Выгрузка'!A1648:Z1648"),Настройки!$B$7)),",","."),".",MID(1/2,2,1)),"")</f>
        <v/>
      </c>
      <c r="B1648">
        <f>IFERROR(--SUBSTITUTE(SUBSTITUTE(TRIM(INDEX(INDIRECT("'Выгрузка'!A1648:Z1648"),Настройки!$B$9)),",","."),".",MID(1/2,2,1)),"")</f>
        <v/>
      </c>
      <c r="C1648">
        <f>TRIM(INDEX(INDIRECT("'Выгрузка'!A1648:Z1648"),Настройки!$B$8)&amp;"")</f>
        <v/>
      </c>
      <c r="D1648">
        <f>IFERROR(--SUBSTITUTE(SUBSTITUTE(TRIM(INDEX(INDIRECT("'Выгрузка'!A1648:Z1648"),Настройки!$B$10)),",","."),".",MID(1/2,2,1)),"")</f>
        <v/>
      </c>
      <c r="E1648">
        <f>IFERROR(--SUBSTITUTE(SUBSTITUTE(TRIM(INDEX(INDIRECT("'Выгрузка'!A1648:Z1648"),Настройки!$B$11)),",","."),".",MID(1/2,2,1)),"")</f>
        <v/>
      </c>
      <c r="F1648">
        <f>TRIM(INDEX(INDIRECT("'Выгрузка'!A1648:Z1648"),Настройки!$B$12)&amp;"")</f>
        <v/>
      </c>
      <c r="G1648">
        <f>IF(F1648="",0,IF(TRIM(INDEX(INDIRECT("'Выгрузка'!A1648:Z1648"),Настройки!$B$13)&amp;"")="",1,IFERROR(--SUBSTITUTE(SUBSTITUTE(TRIM(INDEX(INDIRECT("'Выгрузка'!A1648:Z1648"),Настройки!$B$13)),",","."),".",MID(1/2,2,1)),"")))</f>
        <v/>
      </c>
      <c r="H1648">
        <f>IF(F1648="",0,IF(COUNTIF(Настройки!$B$17:$B$26,F1648)&gt;0,1,IF(COUNTIF(Настройки!$C$17:$C$26,F1648)&gt;0,2,IF(COUNTIF(Настройки!$D$17:$D$26,F1648)&gt;0,3,0))))</f>
        <v/>
      </c>
      <c r="I1648">
        <f>IF(AND(ISNUMBER(A1648),ISNUMBER(B1648)),A1648*1000+B1648,"")</f>
        <v/>
      </c>
      <c r="J1648">
        <f>IF(I1648="","",IF(COUNTIF(I$2:I1648,I1648)=1,MAX(J$1:J1647)+1,""))</f>
        <v/>
      </c>
    </row>
    <row r="1649">
      <c r="A1649">
        <f>IFERROR(--SUBSTITUTE(SUBSTITUTE(TRIM(INDEX(INDIRECT("'Выгрузка'!A1649:Z1649"),Настройки!$B$7)),",","."),".",MID(1/2,2,1)),"")</f>
        <v/>
      </c>
      <c r="B1649">
        <f>IFERROR(--SUBSTITUTE(SUBSTITUTE(TRIM(INDEX(INDIRECT("'Выгрузка'!A1649:Z1649"),Настройки!$B$9)),",","."),".",MID(1/2,2,1)),"")</f>
        <v/>
      </c>
      <c r="C1649">
        <f>TRIM(INDEX(INDIRECT("'Выгрузка'!A1649:Z1649"),Настройки!$B$8)&amp;"")</f>
        <v/>
      </c>
      <c r="D1649">
        <f>IFERROR(--SUBSTITUTE(SUBSTITUTE(TRIM(INDEX(INDIRECT("'Выгрузка'!A1649:Z1649"),Настройки!$B$10)),",","."),".",MID(1/2,2,1)),"")</f>
        <v/>
      </c>
      <c r="E1649">
        <f>IFERROR(--SUBSTITUTE(SUBSTITUTE(TRIM(INDEX(INDIRECT("'Выгрузка'!A1649:Z1649"),Настройки!$B$11)),",","."),".",MID(1/2,2,1)),"")</f>
        <v/>
      </c>
      <c r="F1649">
        <f>TRIM(INDEX(INDIRECT("'Выгрузка'!A1649:Z1649"),Настройки!$B$12)&amp;"")</f>
        <v/>
      </c>
      <c r="G1649">
        <f>IF(F1649="",0,IF(TRIM(INDEX(INDIRECT("'Выгрузка'!A1649:Z1649"),Настройки!$B$13)&amp;"")="",1,IFERROR(--SUBSTITUTE(SUBSTITUTE(TRIM(INDEX(INDIRECT("'Выгрузка'!A1649:Z1649"),Настройки!$B$13)),",","."),".",MID(1/2,2,1)),"")))</f>
        <v/>
      </c>
      <c r="H1649">
        <f>IF(F1649="",0,IF(COUNTIF(Настройки!$B$17:$B$26,F1649)&gt;0,1,IF(COUNTIF(Настройки!$C$17:$C$26,F1649)&gt;0,2,IF(COUNTIF(Настройки!$D$17:$D$26,F1649)&gt;0,3,0))))</f>
        <v/>
      </c>
      <c r="I1649">
        <f>IF(AND(ISNUMBER(A1649),ISNUMBER(B1649)),A1649*1000+B1649,"")</f>
        <v/>
      </c>
      <c r="J1649">
        <f>IF(I1649="","",IF(COUNTIF(I$2:I1649,I1649)=1,MAX(J$1:J1648)+1,""))</f>
        <v/>
      </c>
    </row>
    <row r="1650">
      <c r="A1650">
        <f>IFERROR(--SUBSTITUTE(SUBSTITUTE(TRIM(INDEX(INDIRECT("'Выгрузка'!A1650:Z1650"),Настройки!$B$7)),",","."),".",MID(1/2,2,1)),"")</f>
        <v/>
      </c>
      <c r="B1650">
        <f>IFERROR(--SUBSTITUTE(SUBSTITUTE(TRIM(INDEX(INDIRECT("'Выгрузка'!A1650:Z1650"),Настройки!$B$9)),",","."),".",MID(1/2,2,1)),"")</f>
        <v/>
      </c>
      <c r="C1650">
        <f>TRIM(INDEX(INDIRECT("'Выгрузка'!A1650:Z1650"),Настройки!$B$8)&amp;"")</f>
        <v/>
      </c>
      <c r="D1650">
        <f>IFERROR(--SUBSTITUTE(SUBSTITUTE(TRIM(INDEX(INDIRECT("'Выгрузка'!A1650:Z1650"),Настройки!$B$10)),",","."),".",MID(1/2,2,1)),"")</f>
        <v/>
      </c>
      <c r="E1650">
        <f>IFERROR(--SUBSTITUTE(SUBSTITUTE(TRIM(INDEX(INDIRECT("'Выгрузка'!A1650:Z1650"),Настройки!$B$11)),",","."),".",MID(1/2,2,1)),"")</f>
        <v/>
      </c>
      <c r="F1650">
        <f>TRIM(INDEX(INDIRECT("'Выгрузка'!A1650:Z1650"),Настройки!$B$12)&amp;"")</f>
        <v/>
      </c>
      <c r="G1650">
        <f>IF(F1650="",0,IF(TRIM(INDEX(INDIRECT("'Выгрузка'!A1650:Z1650"),Настройки!$B$13)&amp;"")="",1,IFERROR(--SUBSTITUTE(SUBSTITUTE(TRIM(INDEX(INDIRECT("'Выгрузка'!A1650:Z1650"),Настройки!$B$13)),",","."),".",MID(1/2,2,1)),"")))</f>
        <v/>
      </c>
      <c r="H1650">
        <f>IF(F1650="",0,IF(COUNTIF(Настройки!$B$17:$B$26,F1650)&gt;0,1,IF(COUNTIF(Настройки!$C$17:$C$26,F1650)&gt;0,2,IF(COUNTIF(Настройки!$D$17:$D$26,F1650)&gt;0,3,0))))</f>
        <v/>
      </c>
      <c r="I1650">
        <f>IF(AND(ISNUMBER(A1650),ISNUMBER(B1650)),A1650*1000+B1650,"")</f>
        <v/>
      </c>
      <c r="J1650">
        <f>IF(I1650="","",IF(COUNTIF(I$2:I1650,I1650)=1,MAX(J$1:J1649)+1,""))</f>
        <v/>
      </c>
    </row>
    <row r="1651">
      <c r="A1651">
        <f>IFERROR(--SUBSTITUTE(SUBSTITUTE(TRIM(INDEX(INDIRECT("'Выгрузка'!A1651:Z1651"),Настройки!$B$7)),",","."),".",MID(1/2,2,1)),"")</f>
        <v/>
      </c>
      <c r="B1651">
        <f>IFERROR(--SUBSTITUTE(SUBSTITUTE(TRIM(INDEX(INDIRECT("'Выгрузка'!A1651:Z1651"),Настройки!$B$9)),",","."),".",MID(1/2,2,1)),"")</f>
        <v/>
      </c>
      <c r="C1651">
        <f>TRIM(INDEX(INDIRECT("'Выгрузка'!A1651:Z1651"),Настройки!$B$8)&amp;"")</f>
        <v/>
      </c>
      <c r="D1651">
        <f>IFERROR(--SUBSTITUTE(SUBSTITUTE(TRIM(INDEX(INDIRECT("'Выгрузка'!A1651:Z1651"),Настройки!$B$10)),",","."),".",MID(1/2,2,1)),"")</f>
        <v/>
      </c>
      <c r="E1651">
        <f>IFERROR(--SUBSTITUTE(SUBSTITUTE(TRIM(INDEX(INDIRECT("'Выгрузка'!A1651:Z1651"),Настройки!$B$11)),",","."),".",MID(1/2,2,1)),"")</f>
        <v/>
      </c>
      <c r="F1651">
        <f>TRIM(INDEX(INDIRECT("'Выгрузка'!A1651:Z1651"),Настройки!$B$12)&amp;"")</f>
        <v/>
      </c>
      <c r="G1651">
        <f>IF(F1651="",0,IF(TRIM(INDEX(INDIRECT("'Выгрузка'!A1651:Z1651"),Настройки!$B$13)&amp;"")="",1,IFERROR(--SUBSTITUTE(SUBSTITUTE(TRIM(INDEX(INDIRECT("'Выгрузка'!A1651:Z1651"),Настройки!$B$13)),",","."),".",MID(1/2,2,1)),"")))</f>
        <v/>
      </c>
      <c r="H1651">
        <f>IF(F1651="",0,IF(COUNTIF(Настройки!$B$17:$B$26,F1651)&gt;0,1,IF(COUNTIF(Настройки!$C$17:$C$26,F1651)&gt;0,2,IF(COUNTIF(Настройки!$D$17:$D$26,F1651)&gt;0,3,0))))</f>
        <v/>
      </c>
      <c r="I1651">
        <f>IF(AND(ISNUMBER(A1651),ISNUMBER(B1651)),A1651*1000+B1651,"")</f>
        <v/>
      </c>
      <c r="J1651">
        <f>IF(I1651="","",IF(COUNTIF(I$2:I1651,I1651)=1,MAX(J$1:J1650)+1,""))</f>
        <v/>
      </c>
    </row>
    <row r="1652">
      <c r="A1652">
        <f>IFERROR(--SUBSTITUTE(SUBSTITUTE(TRIM(INDEX(INDIRECT("'Выгрузка'!A1652:Z1652"),Настройки!$B$7)),",","."),".",MID(1/2,2,1)),"")</f>
        <v/>
      </c>
      <c r="B1652">
        <f>IFERROR(--SUBSTITUTE(SUBSTITUTE(TRIM(INDEX(INDIRECT("'Выгрузка'!A1652:Z1652"),Настройки!$B$9)),",","."),".",MID(1/2,2,1)),"")</f>
        <v/>
      </c>
      <c r="C1652">
        <f>TRIM(INDEX(INDIRECT("'Выгрузка'!A1652:Z1652"),Настройки!$B$8)&amp;"")</f>
        <v/>
      </c>
      <c r="D1652">
        <f>IFERROR(--SUBSTITUTE(SUBSTITUTE(TRIM(INDEX(INDIRECT("'Выгрузка'!A1652:Z1652"),Настройки!$B$10)),",","."),".",MID(1/2,2,1)),"")</f>
        <v/>
      </c>
      <c r="E1652">
        <f>IFERROR(--SUBSTITUTE(SUBSTITUTE(TRIM(INDEX(INDIRECT("'Выгрузка'!A1652:Z1652"),Настройки!$B$11)),",","."),".",MID(1/2,2,1)),"")</f>
        <v/>
      </c>
      <c r="F1652">
        <f>TRIM(INDEX(INDIRECT("'Выгрузка'!A1652:Z1652"),Настройки!$B$12)&amp;"")</f>
        <v/>
      </c>
      <c r="G1652">
        <f>IF(F1652="",0,IF(TRIM(INDEX(INDIRECT("'Выгрузка'!A1652:Z1652"),Настройки!$B$13)&amp;"")="",1,IFERROR(--SUBSTITUTE(SUBSTITUTE(TRIM(INDEX(INDIRECT("'Выгрузка'!A1652:Z1652"),Настройки!$B$13)),",","."),".",MID(1/2,2,1)),"")))</f>
        <v/>
      </c>
      <c r="H1652">
        <f>IF(F1652="",0,IF(COUNTIF(Настройки!$B$17:$B$26,F1652)&gt;0,1,IF(COUNTIF(Настройки!$C$17:$C$26,F1652)&gt;0,2,IF(COUNTIF(Настройки!$D$17:$D$26,F1652)&gt;0,3,0))))</f>
        <v/>
      </c>
      <c r="I1652">
        <f>IF(AND(ISNUMBER(A1652),ISNUMBER(B1652)),A1652*1000+B1652,"")</f>
        <v/>
      </c>
      <c r="J1652">
        <f>IF(I1652="","",IF(COUNTIF(I$2:I1652,I1652)=1,MAX(J$1:J1651)+1,""))</f>
        <v/>
      </c>
    </row>
    <row r="1653">
      <c r="A1653">
        <f>IFERROR(--SUBSTITUTE(SUBSTITUTE(TRIM(INDEX(INDIRECT("'Выгрузка'!A1653:Z1653"),Настройки!$B$7)),",","."),".",MID(1/2,2,1)),"")</f>
        <v/>
      </c>
      <c r="B1653">
        <f>IFERROR(--SUBSTITUTE(SUBSTITUTE(TRIM(INDEX(INDIRECT("'Выгрузка'!A1653:Z1653"),Настройки!$B$9)),",","."),".",MID(1/2,2,1)),"")</f>
        <v/>
      </c>
      <c r="C1653">
        <f>TRIM(INDEX(INDIRECT("'Выгрузка'!A1653:Z1653"),Настройки!$B$8)&amp;"")</f>
        <v/>
      </c>
      <c r="D1653">
        <f>IFERROR(--SUBSTITUTE(SUBSTITUTE(TRIM(INDEX(INDIRECT("'Выгрузка'!A1653:Z1653"),Настройки!$B$10)),",","."),".",MID(1/2,2,1)),"")</f>
        <v/>
      </c>
      <c r="E1653">
        <f>IFERROR(--SUBSTITUTE(SUBSTITUTE(TRIM(INDEX(INDIRECT("'Выгрузка'!A1653:Z1653"),Настройки!$B$11)),",","."),".",MID(1/2,2,1)),"")</f>
        <v/>
      </c>
      <c r="F1653">
        <f>TRIM(INDEX(INDIRECT("'Выгрузка'!A1653:Z1653"),Настройки!$B$12)&amp;"")</f>
        <v/>
      </c>
      <c r="G1653">
        <f>IF(F1653="",0,IF(TRIM(INDEX(INDIRECT("'Выгрузка'!A1653:Z1653"),Настройки!$B$13)&amp;"")="",1,IFERROR(--SUBSTITUTE(SUBSTITUTE(TRIM(INDEX(INDIRECT("'Выгрузка'!A1653:Z1653"),Настройки!$B$13)),",","."),".",MID(1/2,2,1)),"")))</f>
        <v/>
      </c>
      <c r="H1653">
        <f>IF(F1653="",0,IF(COUNTIF(Настройки!$B$17:$B$26,F1653)&gt;0,1,IF(COUNTIF(Настройки!$C$17:$C$26,F1653)&gt;0,2,IF(COUNTIF(Настройки!$D$17:$D$26,F1653)&gt;0,3,0))))</f>
        <v/>
      </c>
      <c r="I1653">
        <f>IF(AND(ISNUMBER(A1653),ISNUMBER(B1653)),A1653*1000+B1653,"")</f>
        <v/>
      </c>
      <c r="J1653">
        <f>IF(I1653="","",IF(COUNTIF(I$2:I1653,I1653)=1,MAX(J$1:J1652)+1,""))</f>
        <v/>
      </c>
    </row>
    <row r="1654">
      <c r="A1654">
        <f>IFERROR(--SUBSTITUTE(SUBSTITUTE(TRIM(INDEX(INDIRECT("'Выгрузка'!A1654:Z1654"),Настройки!$B$7)),",","."),".",MID(1/2,2,1)),"")</f>
        <v/>
      </c>
      <c r="B1654">
        <f>IFERROR(--SUBSTITUTE(SUBSTITUTE(TRIM(INDEX(INDIRECT("'Выгрузка'!A1654:Z1654"),Настройки!$B$9)),",","."),".",MID(1/2,2,1)),"")</f>
        <v/>
      </c>
      <c r="C1654">
        <f>TRIM(INDEX(INDIRECT("'Выгрузка'!A1654:Z1654"),Настройки!$B$8)&amp;"")</f>
        <v/>
      </c>
      <c r="D1654">
        <f>IFERROR(--SUBSTITUTE(SUBSTITUTE(TRIM(INDEX(INDIRECT("'Выгрузка'!A1654:Z1654"),Настройки!$B$10)),",","."),".",MID(1/2,2,1)),"")</f>
        <v/>
      </c>
      <c r="E1654">
        <f>IFERROR(--SUBSTITUTE(SUBSTITUTE(TRIM(INDEX(INDIRECT("'Выгрузка'!A1654:Z1654"),Настройки!$B$11)),",","."),".",MID(1/2,2,1)),"")</f>
        <v/>
      </c>
      <c r="F1654">
        <f>TRIM(INDEX(INDIRECT("'Выгрузка'!A1654:Z1654"),Настройки!$B$12)&amp;"")</f>
        <v/>
      </c>
      <c r="G1654">
        <f>IF(F1654="",0,IF(TRIM(INDEX(INDIRECT("'Выгрузка'!A1654:Z1654"),Настройки!$B$13)&amp;"")="",1,IFERROR(--SUBSTITUTE(SUBSTITUTE(TRIM(INDEX(INDIRECT("'Выгрузка'!A1654:Z1654"),Настройки!$B$13)),",","."),".",MID(1/2,2,1)),"")))</f>
        <v/>
      </c>
      <c r="H1654">
        <f>IF(F1654="",0,IF(COUNTIF(Настройки!$B$17:$B$26,F1654)&gt;0,1,IF(COUNTIF(Настройки!$C$17:$C$26,F1654)&gt;0,2,IF(COUNTIF(Настройки!$D$17:$D$26,F1654)&gt;0,3,0))))</f>
        <v/>
      </c>
      <c r="I1654">
        <f>IF(AND(ISNUMBER(A1654),ISNUMBER(B1654)),A1654*1000+B1654,"")</f>
        <v/>
      </c>
      <c r="J1654">
        <f>IF(I1654="","",IF(COUNTIF(I$2:I1654,I1654)=1,MAX(J$1:J1653)+1,""))</f>
        <v/>
      </c>
    </row>
    <row r="1655">
      <c r="A1655">
        <f>IFERROR(--SUBSTITUTE(SUBSTITUTE(TRIM(INDEX(INDIRECT("'Выгрузка'!A1655:Z1655"),Настройки!$B$7)),",","."),".",MID(1/2,2,1)),"")</f>
        <v/>
      </c>
      <c r="B1655">
        <f>IFERROR(--SUBSTITUTE(SUBSTITUTE(TRIM(INDEX(INDIRECT("'Выгрузка'!A1655:Z1655"),Настройки!$B$9)),",","."),".",MID(1/2,2,1)),"")</f>
        <v/>
      </c>
      <c r="C1655">
        <f>TRIM(INDEX(INDIRECT("'Выгрузка'!A1655:Z1655"),Настройки!$B$8)&amp;"")</f>
        <v/>
      </c>
      <c r="D1655">
        <f>IFERROR(--SUBSTITUTE(SUBSTITUTE(TRIM(INDEX(INDIRECT("'Выгрузка'!A1655:Z1655"),Настройки!$B$10)),",","."),".",MID(1/2,2,1)),"")</f>
        <v/>
      </c>
      <c r="E1655">
        <f>IFERROR(--SUBSTITUTE(SUBSTITUTE(TRIM(INDEX(INDIRECT("'Выгрузка'!A1655:Z1655"),Настройки!$B$11)),",","."),".",MID(1/2,2,1)),"")</f>
        <v/>
      </c>
      <c r="F1655">
        <f>TRIM(INDEX(INDIRECT("'Выгрузка'!A1655:Z1655"),Настройки!$B$12)&amp;"")</f>
        <v/>
      </c>
      <c r="G1655">
        <f>IF(F1655="",0,IF(TRIM(INDEX(INDIRECT("'Выгрузка'!A1655:Z1655"),Настройки!$B$13)&amp;"")="",1,IFERROR(--SUBSTITUTE(SUBSTITUTE(TRIM(INDEX(INDIRECT("'Выгрузка'!A1655:Z1655"),Настройки!$B$13)),",","."),".",MID(1/2,2,1)),"")))</f>
        <v/>
      </c>
      <c r="H1655">
        <f>IF(F1655="",0,IF(COUNTIF(Настройки!$B$17:$B$26,F1655)&gt;0,1,IF(COUNTIF(Настройки!$C$17:$C$26,F1655)&gt;0,2,IF(COUNTIF(Настройки!$D$17:$D$26,F1655)&gt;0,3,0))))</f>
        <v/>
      </c>
      <c r="I1655">
        <f>IF(AND(ISNUMBER(A1655),ISNUMBER(B1655)),A1655*1000+B1655,"")</f>
        <v/>
      </c>
      <c r="J1655">
        <f>IF(I1655="","",IF(COUNTIF(I$2:I1655,I1655)=1,MAX(J$1:J1654)+1,""))</f>
        <v/>
      </c>
    </row>
    <row r="1656">
      <c r="A1656">
        <f>IFERROR(--SUBSTITUTE(SUBSTITUTE(TRIM(INDEX(INDIRECT("'Выгрузка'!A1656:Z1656"),Настройки!$B$7)),",","."),".",MID(1/2,2,1)),"")</f>
        <v/>
      </c>
      <c r="B1656">
        <f>IFERROR(--SUBSTITUTE(SUBSTITUTE(TRIM(INDEX(INDIRECT("'Выгрузка'!A1656:Z1656"),Настройки!$B$9)),",","."),".",MID(1/2,2,1)),"")</f>
        <v/>
      </c>
      <c r="C1656">
        <f>TRIM(INDEX(INDIRECT("'Выгрузка'!A1656:Z1656"),Настройки!$B$8)&amp;"")</f>
        <v/>
      </c>
      <c r="D1656">
        <f>IFERROR(--SUBSTITUTE(SUBSTITUTE(TRIM(INDEX(INDIRECT("'Выгрузка'!A1656:Z1656"),Настройки!$B$10)),",","."),".",MID(1/2,2,1)),"")</f>
        <v/>
      </c>
      <c r="E1656">
        <f>IFERROR(--SUBSTITUTE(SUBSTITUTE(TRIM(INDEX(INDIRECT("'Выгрузка'!A1656:Z1656"),Настройки!$B$11)),",","."),".",MID(1/2,2,1)),"")</f>
        <v/>
      </c>
      <c r="F1656">
        <f>TRIM(INDEX(INDIRECT("'Выгрузка'!A1656:Z1656"),Настройки!$B$12)&amp;"")</f>
        <v/>
      </c>
      <c r="G1656">
        <f>IF(F1656="",0,IF(TRIM(INDEX(INDIRECT("'Выгрузка'!A1656:Z1656"),Настройки!$B$13)&amp;"")="",1,IFERROR(--SUBSTITUTE(SUBSTITUTE(TRIM(INDEX(INDIRECT("'Выгрузка'!A1656:Z1656"),Настройки!$B$13)),",","."),".",MID(1/2,2,1)),"")))</f>
        <v/>
      </c>
      <c r="H1656">
        <f>IF(F1656="",0,IF(COUNTIF(Настройки!$B$17:$B$26,F1656)&gt;0,1,IF(COUNTIF(Настройки!$C$17:$C$26,F1656)&gt;0,2,IF(COUNTIF(Настройки!$D$17:$D$26,F1656)&gt;0,3,0))))</f>
        <v/>
      </c>
      <c r="I1656">
        <f>IF(AND(ISNUMBER(A1656),ISNUMBER(B1656)),A1656*1000+B1656,"")</f>
        <v/>
      </c>
      <c r="J1656">
        <f>IF(I1656="","",IF(COUNTIF(I$2:I1656,I1656)=1,MAX(J$1:J1655)+1,""))</f>
        <v/>
      </c>
    </row>
    <row r="1657">
      <c r="A1657">
        <f>IFERROR(--SUBSTITUTE(SUBSTITUTE(TRIM(INDEX(INDIRECT("'Выгрузка'!A1657:Z1657"),Настройки!$B$7)),",","."),".",MID(1/2,2,1)),"")</f>
        <v/>
      </c>
      <c r="B1657">
        <f>IFERROR(--SUBSTITUTE(SUBSTITUTE(TRIM(INDEX(INDIRECT("'Выгрузка'!A1657:Z1657"),Настройки!$B$9)),",","."),".",MID(1/2,2,1)),"")</f>
        <v/>
      </c>
      <c r="C1657">
        <f>TRIM(INDEX(INDIRECT("'Выгрузка'!A1657:Z1657"),Настройки!$B$8)&amp;"")</f>
        <v/>
      </c>
      <c r="D1657">
        <f>IFERROR(--SUBSTITUTE(SUBSTITUTE(TRIM(INDEX(INDIRECT("'Выгрузка'!A1657:Z1657"),Настройки!$B$10)),",","."),".",MID(1/2,2,1)),"")</f>
        <v/>
      </c>
      <c r="E1657">
        <f>IFERROR(--SUBSTITUTE(SUBSTITUTE(TRIM(INDEX(INDIRECT("'Выгрузка'!A1657:Z1657"),Настройки!$B$11)),",","."),".",MID(1/2,2,1)),"")</f>
        <v/>
      </c>
      <c r="F1657">
        <f>TRIM(INDEX(INDIRECT("'Выгрузка'!A1657:Z1657"),Настройки!$B$12)&amp;"")</f>
        <v/>
      </c>
      <c r="G1657">
        <f>IF(F1657="",0,IF(TRIM(INDEX(INDIRECT("'Выгрузка'!A1657:Z1657"),Настройки!$B$13)&amp;"")="",1,IFERROR(--SUBSTITUTE(SUBSTITUTE(TRIM(INDEX(INDIRECT("'Выгрузка'!A1657:Z1657"),Настройки!$B$13)),",","."),".",MID(1/2,2,1)),"")))</f>
        <v/>
      </c>
      <c r="H1657">
        <f>IF(F1657="",0,IF(COUNTIF(Настройки!$B$17:$B$26,F1657)&gt;0,1,IF(COUNTIF(Настройки!$C$17:$C$26,F1657)&gt;0,2,IF(COUNTIF(Настройки!$D$17:$D$26,F1657)&gt;0,3,0))))</f>
        <v/>
      </c>
      <c r="I1657">
        <f>IF(AND(ISNUMBER(A1657),ISNUMBER(B1657)),A1657*1000+B1657,"")</f>
        <v/>
      </c>
      <c r="J1657">
        <f>IF(I1657="","",IF(COUNTIF(I$2:I1657,I1657)=1,MAX(J$1:J1656)+1,""))</f>
        <v/>
      </c>
    </row>
    <row r="1658">
      <c r="A1658">
        <f>IFERROR(--SUBSTITUTE(SUBSTITUTE(TRIM(INDEX(INDIRECT("'Выгрузка'!A1658:Z1658"),Настройки!$B$7)),",","."),".",MID(1/2,2,1)),"")</f>
        <v/>
      </c>
      <c r="B1658">
        <f>IFERROR(--SUBSTITUTE(SUBSTITUTE(TRIM(INDEX(INDIRECT("'Выгрузка'!A1658:Z1658"),Настройки!$B$9)),",","."),".",MID(1/2,2,1)),"")</f>
        <v/>
      </c>
      <c r="C1658">
        <f>TRIM(INDEX(INDIRECT("'Выгрузка'!A1658:Z1658"),Настройки!$B$8)&amp;"")</f>
        <v/>
      </c>
      <c r="D1658">
        <f>IFERROR(--SUBSTITUTE(SUBSTITUTE(TRIM(INDEX(INDIRECT("'Выгрузка'!A1658:Z1658"),Настройки!$B$10)),",","."),".",MID(1/2,2,1)),"")</f>
        <v/>
      </c>
      <c r="E1658">
        <f>IFERROR(--SUBSTITUTE(SUBSTITUTE(TRIM(INDEX(INDIRECT("'Выгрузка'!A1658:Z1658"),Настройки!$B$11)),",","."),".",MID(1/2,2,1)),"")</f>
        <v/>
      </c>
      <c r="F1658">
        <f>TRIM(INDEX(INDIRECT("'Выгрузка'!A1658:Z1658"),Настройки!$B$12)&amp;"")</f>
        <v/>
      </c>
      <c r="G1658">
        <f>IF(F1658="",0,IF(TRIM(INDEX(INDIRECT("'Выгрузка'!A1658:Z1658"),Настройки!$B$13)&amp;"")="",1,IFERROR(--SUBSTITUTE(SUBSTITUTE(TRIM(INDEX(INDIRECT("'Выгрузка'!A1658:Z1658"),Настройки!$B$13)),",","."),".",MID(1/2,2,1)),"")))</f>
        <v/>
      </c>
      <c r="H1658">
        <f>IF(F1658="",0,IF(COUNTIF(Настройки!$B$17:$B$26,F1658)&gt;0,1,IF(COUNTIF(Настройки!$C$17:$C$26,F1658)&gt;0,2,IF(COUNTIF(Настройки!$D$17:$D$26,F1658)&gt;0,3,0))))</f>
        <v/>
      </c>
      <c r="I1658">
        <f>IF(AND(ISNUMBER(A1658),ISNUMBER(B1658)),A1658*1000+B1658,"")</f>
        <v/>
      </c>
      <c r="J1658">
        <f>IF(I1658="","",IF(COUNTIF(I$2:I1658,I1658)=1,MAX(J$1:J1657)+1,""))</f>
        <v/>
      </c>
    </row>
    <row r="1659">
      <c r="A1659">
        <f>IFERROR(--SUBSTITUTE(SUBSTITUTE(TRIM(INDEX(INDIRECT("'Выгрузка'!A1659:Z1659"),Настройки!$B$7)),",","."),".",MID(1/2,2,1)),"")</f>
        <v/>
      </c>
      <c r="B1659">
        <f>IFERROR(--SUBSTITUTE(SUBSTITUTE(TRIM(INDEX(INDIRECT("'Выгрузка'!A1659:Z1659"),Настройки!$B$9)),",","."),".",MID(1/2,2,1)),"")</f>
        <v/>
      </c>
      <c r="C1659">
        <f>TRIM(INDEX(INDIRECT("'Выгрузка'!A1659:Z1659"),Настройки!$B$8)&amp;"")</f>
        <v/>
      </c>
      <c r="D1659">
        <f>IFERROR(--SUBSTITUTE(SUBSTITUTE(TRIM(INDEX(INDIRECT("'Выгрузка'!A1659:Z1659"),Настройки!$B$10)),",","."),".",MID(1/2,2,1)),"")</f>
        <v/>
      </c>
      <c r="E1659">
        <f>IFERROR(--SUBSTITUTE(SUBSTITUTE(TRIM(INDEX(INDIRECT("'Выгрузка'!A1659:Z1659"),Настройки!$B$11)),",","."),".",MID(1/2,2,1)),"")</f>
        <v/>
      </c>
      <c r="F1659">
        <f>TRIM(INDEX(INDIRECT("'Выгрузка'!A1659:Z1659"),Настройки!$B$12)&amp;"")</f>
        <v/>
      </c>
      <c r="G1659">
        <f>IF(F1659="",0,IF(TRIM(INDEX(INDIRECT("'Выгрузка'!A1659:Z1659"),Настройки!$B$13)&amp;"")="",1,IFERROR(--SUBSTITUTE(SUBSTITUTE(TRIM(INDEX(INDIRECT("'Выгрузка'!A1659:Z1659"),Настройки!$B$13)),",","."),".",MID(1/2,2,1)),"")))</f>
        <v/>
      </c>
      <c r="H1659">
        <f>IF(F1659="",0,IF(COUNTIF(Настройки!$B$17:$B$26,F1659)&gt;0,1,IF(COUNTIF(Настройки!$C$17:$C$26,F1659)&gt;0,2,IF(COUNTIF(Настройки!$D$17:$D$26,F1659)&gt;0,3,0))))</f>
        <v/>
      </c>
      <c r="I1659">
        <f>IF(AND(ISNUMBER(A1659),ISNUMBER(B1659)),A1659*1000+B1659,"")</f>
        <v/>
      </c>
      <c r="J1659">
        <f>IF(I1659="","",IF(COUNTIF(I$2:I1659,I1659)=1,MAX(J$1:J1658)+1,""))</f>
        <v/>
      </c>
    </row>
    <row r="1660">
      <c r="A1660">
        <f>IFERROR(--SUBSTITUTE(SUBSTITUTE(TRIM(INDEX(INDIRECT("'Выгрузка'!A1660:Z1660"),Настройки!$B$7)),",","."),".",MID(1/2,2,1)),"")</f>
        <v/>
      </c>
      <c r="B1660">
        <f>IFERROR(--SUBSTITUTE(SUBSTITUTE(TRIM(INDEX(INDIRECT("'Выгрузка'!A1660:Z1660"),Настройки!$B$9)),",","."),".",MID(1/2,2,1)),"")</f>
        <v/>
      </c>
      <c r="C1660">
        <f>TRIM(INDEX(INDIRECT("'Выгрузка'!A1660:Z1660"),Настройки!$B$8)&amp;"")</f>
        <v/>
      </c>
      <c r="D1660">
        <f>IFERROR(--SUBSTITUTE(SUBSTITUTE(TRIM(INDEX(INDIRECT("'Выгрузка'!A1660:Z1660"),Настройки!$B$10)),",","."),".",MID(1/2,2,1)),"")</f>
        <v/>
      </c>
      <c r="E1660">
        <f>IFERROR(--SUBSTITUTE(SUBSTITUTE(TRIM(INDEX(INDIRECT("'Выгрузка'!A1660:Z1660"),Настройки!$B$11)),",","."),".",MID(1/2,2,1)),"")</f>
        <v/>
      </c>
      <c r="F1660">
        <f>TRIM(INDEX(INDIRECT("'Выгрузка'!A1660:Z1660"),Настройки!$B$12)&amp;"")</f>
        <v/>
      </c>
      <c r="G1660">
        <f>IF(F1660="",0,IF(TRIM(INDEX(INDIRECT("'Выгрузка'!A1660:Z1660"),Настройки!$B$13)&amp;"")="",1,IFERROR(--SUBSTITUTE(SUBSTITUTE(TRIM(INDEX(INDIRECT("'Выгрузка'!A1660:Z1660"),Настройки!$B$13)),",","."),".",MID(1/2,2,1)),"")))</f>
        <v/>
      </c>
      <c r="H1660">
        <f>IF(F1660="",0,IF(COUNTIF(Настройки!$B$17:$B$26,F1660)&gt;0,1,IF(COUNTIF(Настройки!$C$17:$C$26,F1660)&gt;0,2,IF(COUNTIF(Настройки!$D$17:$D$26,F1660)&gt;0,3,0))))</f>
        <v/>
      </c>
      <c r="I1660">
        <f>IF(AND(ISNUMBER(A1660),ISNUMBER(B1660)),A1660*1000+B1660,"")</f>
        <v/>
      </c>
      <c r="J1660">
        <f>IF(I1660="","",IF(COUNTIF(I$2:I1660,I1660)=1,MAX(J$1:J1659)+1,""))</f>
        <v/>
      </c>
    </row>
    <row r="1661">
      <c r="A1661">
        <f>IFERROR(--SUBSTITUTE(SUBSTITUTE(TRIM(INDEX(INDIRECT("'Выгрузка'!A1661:Z1661"),Настройки!$B$7)),",","."),".",MID(1/2,2,1)),"")</f>
        <v/>
      </c>
      <c r="B1661">
        <f>IFERROR(--SUBSTITUTE(SUBSTITUTE(TRIM(INDEX(INDIRECT("'Выгрузка'!A1661:Z1661"),Настройки!$B$9)),",","."),".",MID(1/2,2,1)),"")</f>
        <v/>
      </c>
      <c r="C1661">
        <f>TRIM(INDEX(INDIRECT("'Выгрузка'!A1661:Z1661"),Настройки!$B$8)&amp;"")</f>
        <v/>
      </c>
      <c r="D1661">
        <f>IFERROR(--SUBSTITUTE(SUBSTITUTE(TRIM(INDEX(INDIRECT("'Выгрузка'!A1661:Z1661"),Настройки!$B$10)),",","."),".",MID(1/2,2,1)),"")</f>
        <v/>
      </c>
      <c r="E1661">
        <f>IFERROR(--SUBSTITUTE(SUBSTITUTE(TRIM(INDEX(INDIRECT("'Выгрузка'!A1661:Z1661"),Настройки!$B$11)),",","."),".",MID(1/2,2,1)),"")</f>
        <v/>
      </c>
      <c r="F1661">
        <f>TRIM(INDEX(INDIRECT("'Выгрузка'!A1661:Z1661"),Настройки!$B$12)&amp;"")</f>
        <v/>
      </c>
      <c r="G1661">
        <f>IF(F1661="",0,IF(TRIM(INDEX(INDIRECT("'Выгрузка'!A1661:Z1661"),Настройки!$B$13)&amp;"")="",1,IFERROR(--SUBSTITUTE(SUBSTITUTE(TRIM(INDEX(INDIRECT("'Выгрузка'!A1661:Z1661"),Настройки!$B$13)),",","."),".",MID(1/2,2,1)),"")))</f>
        <v/>
      </c>
      <c r="H1661">
        <f>IF(F1661="",0,IF(COUNTIF(Настройки!$B$17:$B$26,F1661)&gt;0,1,IF(COUNTIF(Настройки!$C$17:$C$26,F1661)&gt;0,2,IF(COUNTIF(Настройки!$D$17:$D$26,F1661)&gt;0,3,0))))</f>
        <v/>
      </c>
      <c r="I1661">
        <f>IF(AND(ISNUMBER(A1661),ISNUMBER(B1661)),A1661*1000+B1661,"")</f>
        <v/>
      </c>
      <c r="J1661">
        <f>IF(I1661="","",IF(COUNTIF(I$2:I1661,I1661)=1,MAX(J$1:J1660)+1,""))</f>
        <v/>
      </c>
    </row>
    <row r="1662">
      <c r="A1662">
        <f>IFERROR(--SUBSTITUTE(SUBSTITUTE(TRIM(INDEX(INDIRECT("'Выгрузка'!A1662:Z1662"),Настройки!$B$7)),",","."),".",MID(1/2,2,1)),"")</f>
        <v/>
      </c>
      <c r="B1662">
        <f>IFERROR(--SUBSTITUTE(SUBSTITUTE(TRIM(INDEX(INDIRECT("'Выгрузка'!A1662:Z1662"),Настройки!$B$9)),",","."),".",MID(1/2,2,1)),"")</f>
        <v/>
      </c>
      <c r="C1662">
        <f>TRIM(INDEX(INDIRECT("'Выгрузка'!A1662:Z1662"),Настройки!$B$8)&amp;"")</f>
        <v/>
      </c>
      <c r="D1662">
        <f>IFERROR(--SUBSTITUTE(SUBSTITUTE(TRIM(INDEX(INDIRECT("'Выгрузка'!A1662:Z1662"),Настройки!$B$10)),",","."),".",MID(1/2,2,1)),"")</f>
        <v/>
      </c>
      <c r="E1662">
        <f>IFERROR(--SUBSTITUTE(SUBSTITUTE(TRIM(INDEX(INDIRECT("'Выгрузка'!A1662:Z1662"),Настройки!$B$11)),",","."),".",MID(1/2,2,1)),"")</f>
        <v/>
      </c>
      <c r="F1662">
        <f>TRIM(INDEX(INDIRECT("'Выгрузка'!A1662:Z1662"),Настройки!$B$12)&amp;"")</f>
        <v/>
      </c>
      <c r="G1662">
        <f>IF(F1662="",0,IF(TRIM(INDEX(INDIRECT("'Выгрузка'!A1662:Z1662"),Настройки!$B$13)&amp;"")="",1,IFERROR(--SUBSTITUTE(SUBSTITUTE(TRIM(INDEX(INDIRECT("'Выгрузка'!A1662:Z1662"),Настройки!$B$13)),",","."),".",MID(1/2,2,1)),"")))</f>
        <v/>
      </c>
      <c r="H1662">
        <f>IF(F1662="",0,IF(COUNTIF(Настройки!$B$17:$B$26,F1662)&gt;0,1,IF(COUNTIF(Настройки!$C$17:$C$26,F1662)&gt;0,2,IF(COUNTIF(Настройки!$D$17:$D$26,F1662)&gt;0,3,0))))</f>
        <v/>
      </c>
      <c r="I1662">
        <f>IF(AND(ISNUMBER(A1662),ISNUMBER(B1662)),A1662*1000+B1662,"")</f>
        <v/>
      </c>
      <c r="J1662">
        <f>IF(I1662="","",IF(COUNTIF(I$2:I1662,I1662)=1,MAX(J$1:J1661)+1,""))</f>
        <v/>
      </c>
    </row>
    <row r="1663">
      <c r="A1663">
        <f>IFERROR(--SUBSTITUTE(SUBSTITUTE(TRIM(INDEX(INDIRECT("'Выгрузка'!A1663:Z1663"),Настройки!$B$7)),",","."),".",MID(1/2,2,1)),"")</f>
        <v/>
      </c>
      <c r="B1663">
        <f>IFERROR(--SUBSTITUTE(SUBSTITUTE(TRIM(INDEX(INDIRECT("'Выгрузка'!A1663:Z1663"),Настройки!$B$9)),",","."),".",MID(1/2,2,1)),"")</f>
        <v/>
      </c>
      <c r="C1663">
        <f>TRIM(INDEX(INDIRECT("'Выгрузка'!A1663:Z1663"),Настройки!$B$8)&amp;"")</f>
        <v/>
      </c>
      <c r="D1663">
        <f>IFERROR(--SUBSTITUTE(SUBSTITUTE(TRIM(INDEX(INDIRECT("'Выгрузка'!A1663:Z1663"),Настройки!$B$10)),",","."),".",MID(1/2,2,1)),"")</f>
        <v/>
      </c>
      <c r="E1663">
        <f>IFERROR(--SUBSTITUTE(SUBSTITUTE(TRIM(INDEX(INDIRECT("'Выгрузка'!A1663:Z1663"),Настройки!$B$11)),",","."),".",MID(1/2,2,1)),"")</f>
        <v/>
      </c>
      <c r="F1663">
        <f>TRIM(INDEX(INDIRECT("'Выгрузка'!A1663:Z1663"),Настройки!$B$12)&amp;"")</f>
        <v/>
      </c>
      <c r="G1663">
        <f>IF(F1663="",0,IF(TRIM(INDEX(INDIRECT("'Выгрузка'!A1663:Z1663"),Настройки!$B$13)&amp;"")="",1,IFERROR(--SUBSTITUTE(SUBSTITUTE(TRIM(INDEX(INDIRECT("'Выгрузка'!A1663:Z1663"),Настройки!$B$13)),",","."),".",MID(1/2,2,1)),"")))</f>
        <v/>
      </c>
      <c r="H1663">
        <f>IF(F1663="",0,IF(COUNTIF(Настройки!$B$17:$B$26,F1663)&gt;0,1,IF(COUNTIF(Настройки!$C$17:$C$26,F1663)&gt;0,2,IF(COUNTIF(Настройки!$D$17:$D$26,F1663)&gt;0,3,0))))</f>
        <v/>
      </c>
      <c r="I1663">
        <f>IF(AND(ISNUMBER(A1663),ISNUMBER(B1663)),A1663*1000+B1663,"")</f>
        <v/>
      </c>
      <c r="J1663">
        <f>IF(I1663="","",IF(COUNTIF(I$2:I1663,I1663)=1,MAX(J$1:J1662)+1,""))</f>
        <v/>
      </c>
    </row>
    <row r="1664">
      <c r="A1664">
        <f>IFERROR(--SUBSTITUTE(SUBSTITUTE(TRIM(INDEX(INDIRECT("'Выгрузка'!A1664:Z1664"),Настройки!$B$7)),",","."),".",MID(1/2,2,1)),"")</f>
        <v/>
      </c>
      <c r="B1664">
        <f>IFERROR(--SUBSTITUTE(SUBSTITUTE(TRIM(INDEX(INDIRECT("'Выгрузка'!A1664:Z1664"),Настройки!$B$9)),",","."),".",MID(1/2,2,1)),"")</f>
        <v/>
      </c>
      <c r="C1664">
        <f>TRIM(INDEX(INDIRECT("'Выгрузка'!A1664:Z1664"),Настройки!$B$8)&amp;"")</f>
        <v/>
      </c>
      <c r="D1664">
        <f>IFERROR(--SUBSTITUTE(SUBSTITUTE(TRIM(INDEX(INDIRECT("'Выгрузка'!A1664:Z1664"),Настройки!$B$10)),",","."),".",MID(1/2,2,1)),"")</f>
        <v/>
      </c>
      <c r="E1664">
        <f>IFERROR(--SUBSTITUTE(SUBSTITUTE(TRIM(INDEX(INDIRECT("'Выгрузка'!A1664:Z1664"),Настройки!$B$11)),",","."),".",MID(1/2,2,1)),"")</f>
        <v/>
      </c>
      <c r="F1664">
        <f>TRIM(INDEX(INDIRECT("'Выгрузка'!A1664:Z1664"),Настройки!$B$12)&amp;"")</f>
        <v/>
      </c>
      <c r="G1664">
        <f>IF(F1664="",0,IF(TRIM(INDEX(INDIRECT("'Выгрузка'!A1664:Z1664"),Настройки!$B$13)&amp;"")="",1,IFERROR(--SUBSTITUTE(SUBSTITUTE(TRIM(INDEX(INDIRECT("'Выгрузка'!A1664:Z1664"),Настройки!$B$13)),",","."),".",MID(1/2,2,1)),"")))</f>
        <v/>
      </c>
      <c r="H1664">
        <f>IF(F1664="",0,IF(COUNTIF(Настройки!$B$17:$B$26,F1664)&gt;0,1,IF(COUNTIF(Настройки!$C$17:$C$26,F1664)&gt;0,2,IF(COUNTIF(Настройки!$D$17:$D$26,F1664)&gt;0,3,0))))</f>
        <v/>
      </c>
      <c r="I1664">
        <f>IF(AND(ISNUMBER(A1664),ISNUMBER(B1664)),A1664*1000+B1664,"")</f>
        <v/>
      </c>
      <c r="J1664">
        <f>IF(I1664="","",IF(COUNTIF(I$2:I1664,I1664)=1,MAX(J$1:J1663)+1,""))</f>
        <v/>
      </c>
    </row>
    <row r="1665">
      <c r="A1665">
        <f>IFERROR(--SUBSTITUTE(SUBSTITUTE(TRIM(INDEX(INDIRECT("'Выгрузка'!A1665:Z1665"),Настройки!$B$7)),",","."),".",MID(1/2,2,1)),"")</f>
        <v/>
      </c>
      <c r="B1665">
        <f>IFERROR(--SUBSTITUTE(SUBSTITUTE(TRIM(INDEX(INDIRECT("'Выгрузка'!A1665:Z1665"),Настройки!$B$9)),",","."),".",MID(1/2,2,1)),"")</f>
        <v/>
      </c>
      <c r="C1665">
        <f>TRIM(INDEX(INDIRECT("'Выгрузка'!A1665:Z1665"),Настройки!$B$8)&amp;"")</f>
        <v/>
      </c>
      <c r="D1665">
        <f>IFERROR(--SUBSTITUTE(SUBSTITUTE(TRIM(INDEX(INDIRECT("'Выгрузка'!A1665:Z1665"),Настройки!$B$10)),",","."),".",MID(1/2,2,1)),"")</f>
        <v/>
      </c>
      <c r="E1665">
        <f>IFERROR(--SUBSTITUTE(SUBSTITUTE(TRIM(INDEX(INDIRECT("'Выгрузка'!A1665:Z1665"),Настройки!$B$11)),",","."),".",MID(1/2,2,1)),"")</f>
        <v/>
      </c>
      <c r="F1665">
        <f>TRIM(INDEX(INDIRECT("'Выгрузка'!A1665:Z1665"),Настройки!$B$12)&amp;"")</f>
        <v/>
      </c>
      <c r="G1665">
        <f>IF(F1665="",0,IF(TRIM(INDEX(INDIRECT("'Выгрузка'!A1665:Z1665"),Настройки!$B$13)&amp;"")="",1,IFERROR(--SUBSTITUTE(SUBSTITUTE(TRIM(INDEX(INDIRECT("'Выгрузка'!A1665:Z1665"),Настройки!$B$13)),",","."),".",MID(1/2,2,1)),"")))</f>
        <v/>
      </c>
      <c r="H1665">
        <f>IF(F1665="",0,IF(COUNTIF(Настройки!$B$17:$B$26,F1665)&gt;0,1,IF(COUNTIF(Настройки!$C$17:$C$26,F1665)&gt;0,2,IF(COUNTIF(Настройки!$D$17:$D$26,F1665)&gt;0,3,0))))</f>
        <v/>
      </c>
      <c r="I1665">
        <f>IF(AND(ISNUMBER(A1665),ISNUMBER(B1665)),A1665*1000+B1665,"")</f>
        <v/>
      </c>
      <c r="J1665">
        <f>IF(I1665="","",IF(COUNTIF(I$2:I1665,I1665)=1,MAX(J$1:J1664)+1,""))</f>
        <v/>
      </c>
    </row>
    <row r="1666">
      <c r="A1666">
        <f>IFERROR(--SUBSTITUTE(SUBSTITUTE(TRIM(INDEX(INDIRECT("'Выгрузка'!A1666:Z1666"),Настройки!$B$7)),",","."),".",MID(1/2,2,1)),"")</f>
        <v/>
      </c>
      <c r="B1666">
        <f>IFERROR(--SUBSTITUTE(SUBSTITUTE(TRIM(INDEX(INDIRECT("'Выгрузка'!A1666:Z1666"),Настройки!$B$9)),",","."),".",MID(1/2,2,1)),"")</f>
        <v/>
      </c>
      <c r="C1666">
        <f>TRIM(INDEX(INDIRECT("'Выгрузка'!A1666:Z1666"),Настройки!$B$8)&amp;"")</f>
        <v/>
      </c>
      <c r="D1666">
        <f>IFERROR(--SUBSTITUTE(SUBSTITUTE(TRIM(INDEX(INDIRECT("'Выгрузка'!A1666:Z1666"),Настройки!$B$10)),",","."),".",MID(1/2,2,1)),"")</f>
        <v/>
      </c>
      <c r="E1666">
        <f>IFERROR(--SUBSTITUTE(SUBSTITUTE(TRIM(INDEX(INDIRECT("'Выгрузка'!A1666:Z1666"),Настройки!$B$11)),",","."),".",MID(1/2,2,1)),"")</f>
        <v/>
      </c>
      <c r="F1666">
        <f>TRIM(INDEX(INDIRECT("'Выгрузка'!A1666:Z1666"),Настройки!$B$12)&amp;"")</f>
        <v/>
      </c>
      <c r="G1666">
        <f>IF(F1666="",0,IF(TRIM(INDEX(INDIRECT("'Выгрузка'!A1666:Z1666"),Настройки!$B$13)&amp;"")="",1,IFERROR(--SUBSTITUTE(SUBSTITUTE(TRIM(INDEX(INDIRECT("'Выгрузка'!A1666:Z1666"),Настройки!$B$13)),",","."),".",MID(1/2,2,1)),"")))</f>
        <v/>
      </c>
      <c r="H1666">
        <f>IF(F1666="",0,IF(COUNTIF(Настройки!$B$17:$B$26,F1666)&gt;0,1,IF(COUNTIF(Настройки!$C$17:$C$26,F1666)&gt;0,2,IF(COUNTIF(Настройки!$D$17:$D$26,F1666)&gt;0,3,0))))</f>
        <v/>
      </c>
      <c r="I1666">
        <f>IF(AND(ISNUMBER(A1666),ISNUMBER(B1666)),A1666*1000+B1666,"")</f>
        <v/>
      </c>
      <c r="J1666">
        <f>IF(I1666="","",IF(COUNTIF(I$2:I1666,I1666)=1,MAX(J$1:J1665)+1,""))</f>
        <v/>
      </c>
    </row>
    <row r="1667">
      <c r="A1667">
        <f>IFERROR(--SUBSTITUTE(SUBSTITUTE(TRIM(INDEX(INDIRECT("'Выгрузка'!A1667:Z1667"),Настройки!$B$7)),",","."),".",MID(1/2,2,1)),"")</f>
        <v/>
      </c>
      <c r="B1667">
        <f>IFERROR(--SUBSTITUTE(SUBSTITUTE(TRIM(INDEX(INDIRECT("'Выгрузка'!A1667:Z1667"),Настройки!$B$9)),",","."),".",MID(1/2,2,1)),"")</f>
        <v/>
      </c>
      <c r="C1667">
        <f>TRIM(INDEX(INDIRECT("'Выгрузка'!A1667:Z1667"),Настройки!$B$8)&amp;"")</f>
        <v/>
      </c>
      <c r="D1667">
        <f>IFERROR(--SUBSTITUTE(SUBSTITUTE(TRIM(INDEX(INDIRECT("'Выгрузка'!A1667:Z1667"),Настройки!$B$10)),",","."),".",MID(1/2,2,1)),"")</f>
        <v/>
      </c>
      <c r="E1667">
        <f>IFERROR(--SUBSTITUTE(SUBSTITUTE(TRIM(INDEX(INDIRECT("'Выгрузка'!A1667:Z1667"),Настройки!$B$11)),",","."),".",MID(1/2,2,1)),"")</f>
        <v/>
      </c>
      <c r="F1667">
        <f>TRIM(INDEX(INDIRECT("'Выгрузка'!A1667:Z1667"),Настройки!$B$12)&amp;"")</f>
        <v/>
      </c>
      <c r="G1667">
        <f>IF(F1667="",0,IF(TRIM(INDEX(INDIRECT("'Выгрузка'!A1667:Z1667"),Настройки!$B$13)&amp;"")="",1,IFERROR(--SUBSTITUTE(SUBSTITUTE(TRIM(INDEX(INDIRECT("'Выгрузка'!A1667:Z1667"),Настройки!$B$13)),",","."),".",MID(1/2,2,1)),"")))</f>
        <v/>
      </c>
      <c r="H1667">
        <f>IF(F1667="",0,IF(COUNTIF(Настройки!$B$17:$B$26,F1667)&gt;0,1,IF(COUNTIF(Настройки!$C$17:$C$26,F1667)&gt;0,2,IF(COUNTIF(Настройки!$D$17:$D$26,F1667)&gt;0,3,0))))</f>
        <v/>
      </c>
      <c r="I1667">
        <f>IF(AND(ISNUMBER(A1667),ISNUMBER(B1667)),A1667*1000+B1667,"")</f>
        <v/>
      </c>
      <c r="J1667">
        <f>IF(I1667="","",IF(COUNTIF(I$2:I1667,I1667)=1,MAX(J$1:J1666)+1,""))</f>
        <v/>
      </c>
    </row>
    <row r="1668">
      <c r="A1668">
        <f>IFERROR(--SUBSTITUTE(SUBSTITUTE(TRIM(INDEX(INDIRECT("'Выгрузка'!A1668:Z1668"),Настройки!$B$7)),",","."),".",MID(1/2,2,1)),"")</f>
        <v/>
      </c>
      <c r="B1668">
        <f>IFERROR(--SUBSTITUTE(SUBSTITUTE(TRIM(INDEX(INDIRECT("'Выгрузка'!A1668:Z1668"),Настройки!$B$9)),",","."),".",MID(1/2,2,1)),"")</f>
        <v/>
      </c>
      <c r="C1668">
        <f>TRIM(INDEX(INDIRECT("'Выгрузка'!A1668:Z1668"),Настройки!$B$8)&amp;"")</f>
        <v/>
      </c>
      <c r="D1668">
        <f>IFERROR(--SUBSTITUTE(SUBSTITUTE(TRIM(INDEX(INDIRECT("'Выгрузка'!A1668:Z1668"),Настройки!$B$10)),",","."),".",MID(1/2,2,1)),"")</f>
        <v/>
      </c>
      <c r="E1668">
        <f>IFERROR(--SUBSTITUTE(SUBSTITUTE(TRIM(INDEX(INDIRECT("'Выгрузка'!A1668:Z1668"),Настройки!$B$11)),",","."),".",MID(1/2,2,1)),"")</f>
        <v/>
      </c>
      <c r="F1668">
        <f>TRIM(INDEX(INDIRECT("'Выгрузка'!A1668:Z1668"),Настройки!$B$12)&amp;"")</f>
        <v/>
      </c>
      <c r="G1668">
        <f>IF(F1668="",0,IF(TRIM(INDEX(INDIRECT("'Выгрузка'!A1668:Z1668"),Настройки!$B$13)&amp;"")="",1,IFERROR(--SUBSTITUTE(SUBSTITUTE(TRIM(INDEX(INDIRECT("'Выгрузка'!A1668:Z1668"),Настройки!$B$13)),",","."),".",MID(1/2,2,1)),"")))</f>
        <v/>
      </c>
      <c r="H1668">
        <f>IF(F1668="",0,IF(COUNTIF(Настройки!$B$17:$B$26,F1668)&gt;0,1,IF(COUNTIF(Настройки!$C$17:$C$26,F1668)&gt;0,2,IF(COUNTIF(Настройки!$D$17:$D$26,F1668)&gt;0,3,0))))</f>
        <v/>
      </c>
      <c r="I1668">
        <f>IF(AND(ISNUMBER(A1668),ISNUMBER(B1668)),A1668*1000+B1668,"")</f>
        <v/>
      </c>
      <c r="J1668">
        <f>IF(I1668="","",IF(COUNTIF(I$2:I1668,I1668)=1,MAX(J$1:J1667)+1,""))</f>
        <v/>
      </c>
    </row>
    <row r="1669">
      <c r="A1669">
        <f>IFERROR(--SUBSTITUTE(SUBSTITUTE(TRIM(INDEX(INDIRECT("'Выгрузка'!A1669:Z1669"),Настройки!$B$7)),",","."),".",MID(1/2,2,1)),"")</f>
        <v/>
      </c>
      <c r="B1669">
        <f>IFERROR(--SUBSTITUTE(SUBSTITUTE(TRIM(INDEX(INDIRECT("'Выгрузка'!A1669:Z1669"),Настройки!$B$9)),",","."),".",MID(1/2,2,1)),"")</f>
        <v/>
      </c>
      <c r="C1669">
        <f>TRIM(INDEX(INDIRECT("'Выгрузка'!A1669:Z1669"),Настройки!$B$8)&amp;"")</f>
        <v/>
      </c>
      <c r="D1669">
        <f>IFERROR(--SUBSTITUTE(SUBSTITUTE(TRIM(INDEX(INDIRECT("'Выгрузка'!A1669:Z1669"),Настройки!$B$10)),",","."),".",MID(1/2,2,1)),"")</f>
        <v/>
      </c>
      <c r="E1669">
        <f>IFERROR(--SUBSTITUTE(SUBSTITUTE(TRIM(INDEX(INDIRECT("'Выгрузка'!A1669:Z1669"),Настройки!$B$11)),",","."),".",MID(1/2,2,1)),"")</f>
        <v/>
      </c>
      <c r="F1669">
        <f>TRIM(INDEX(INDIRECT("'Выгрузка'!A1669:Z1669"),Настройки!$B$12)&amp;"")</f>
        <v/>
      </c>
      <c r="G1669">
        <f>IF(F1669="",0,IF(TRIM(INDEX(INDIRECT("'Выгрузка'!A1669:Z1669"),Настройки!$B$13)&amp;"")="",1,IFERROR(--SUBSTITUTE(SUBSTITUTE(TRIM(INDEX(INDIRECT("'Выгрузка'!A1669:Z1669"),Настройки!$B$13)),",","."),".",MID(1/2,2,1)),"")))</f>
        <v/>
      </c>
      <c r="H1669">
        <f>IF(F1669="",0,IF(COUNTIF(Настройки!$B$17:$B$26,F1669)&gt;0,1,IF(COUNTIF(Настройки!$C$17:$C$26,F1669)&gt;0,2,IF(COUNTIF(Настройки!$D$17:$D$26,F1669)&gt;0,3,0))))</f>
        <v/>
      </c>
      <c r="I1669">
        <f>IF(AND(ISNUMBER(A1669),ISNUMBER(B1669)),A1669*1000+B1669,"")</f>
        <v/>
      </c>
      <c r="J1669">
        <f>IF(I1669="","",IF(COUNTIF(I$2:I1669,I1669)=1,MAX(J$1:J1668)+1,""))</f>
        <v/>
      </c>
    </row>
    <row r="1670">
      <c r="A1670">
        <f>IFERROR(--SUBSTITUTE(SUBSTITUTE(TRIM(INDEX(INDIRECT("'Выгрузка'!A1670:Z1670"),Настройки!$B$7)),",","."),".",MID(1/2,2,1)),"")</f>
        <v/>
      </c>
      <c r="B1670">
        <f>IFERROR(--SUBSTITUTE(SUBSTITUTE(TRIM(INDEX(INDIRECT("'Выгрузка'!A1670:Z1670"),Настройки!$B$9)),",","."),".",MID(1/2,2,1)),"")</f>
        <v/>
      </c>
      <c r="C1670">
        <f>TRIM(INDEX(INDIRECT("'Выгрузка'!A1670:Z1670"),Настройки!$B$8)&amp;"")</f>
        <v/>
      </c>
      <c r="D1670">
        <f>IFERROR(--SUBSTITUTE(SUBSTITUTE(TRIM(INDEX(INDIRECT("'Выгрузка'!A1670:Z1670"),Настройки!$B$10)),",","."),".",MID(1/2,2,1)),"")</f>
        <v/>
      </c>
      <c r="E1670">
        <f>IFERROR(--SUBSTITUTE(SUBSTITUTE(TRIM(INDEX(INDIRECT("'Выгрузка'!A1670:Z1670"),Настройки!$B$11)),",","."),".",MID(1/2,2,1)),"")</f>
        <v/>
      </c>
      <c r="F1670">
        <f>TRIM(INDEX(INDIRECT("'Выгрузка'!A1670:Z1670"),Настройки!$B$12)&amp;"")</f>
        <v/>
      </c>
      <c r="G1670">
        <f>IF(F1670="",0,IF(TRIM(INDEX(INDIRECT("'Выгрузка'!A1670:Z1670"),Настройки!$B$13)&amp;"")="",1,IFERROR(--SUBSTITUTE(SUBSTITUTE(TRIM(INDEX(INDIRECT("'Выгрузка'!A1670:Z1670"),Настройки!$B$13)),",","."),".",MID(1/2,2,1)),"")))</f>
        <v/>
      </c>
      <c r="H1670">
        <f>IF(F1670="",0,IF(COUNTIF(Настройки!$B$17:$B$26,F1670)&gt;0,1,IF(COUNTIF(Настройки!$C$17:$C$26,F1670)&gt;0,2,IF(COUNTIF(Настройки!$D$17:$D$26,F1670)&gt;0,3,0))))</f>
        <v/>
      </c>
      <c r="I1670">
        <f>IF(AND(ISNUMBER(A1670),ISNUMBER(B1670)),A1670*1000+B1670,"")</f>
        <v/>
      </c>
      <c r="J1670">
        <f>IF(I1670="","",IF(COUNTIF(I$2:I1670,I1670)=1,MAX(J$1:J1669)+1,""))</f>
        <v/>
      </c>
    </row>
    <row r="1671">
      <c r="A1671">
        <f>IFERROR(--SUBSTITUTE(SUBSTITUTE(TRIM(INDEX(INDIRECT("'Выгрузка'!A1671:Z1671"),Настройки!$B$7)),",","."),".",MID(1/2,2,1)),"")</f>
        <v/>
      </c>
      <c r="B1671">
        <f>IFERROR(--SUBSTITUTE(SUBSTITUTE(TRIM(INDEX(INDIRECT("'Выгрузка'!A1671:Z1671"),Настройки!$B$9)),",","."),".",MID(1/2,2,1)),"")</f>
        <v/>
      </c>
      <c r="C1671">
        <f>TRIM(INDEX(INDIRECT("'Выгрузка'!A1671:Z1671"),Настройки!$B$8)&amp;"")</f>
        <v/>
      </c>
      <c r="D1671">
        <f>IFERROR(--SUBSTITUTE(SUBSTITUTE(TRIM(INDEX(INDIRECT("'Выгрузка'!A1671:Z1671"),Настройки!$B$10)),",","."),".",MID(1/2,2,1)),"")</f>
        <v/>
      </c>
      <c r="E1671">
        <f>IFERROR(--SUBSTITUTE(SUBSTITUTE(TRIM(INDEX(INDIRECT("'Выгрузка'!A1671:Z1671"),Настройки!$B$11)),",","."),".",MID(1/2,2,1)),"")</f>
        <v/>
      </c>
      <c r="F1671">
        <f>TRIM(INDEX(INDIRECT("'Выгрузка'!A1671:Z1671"),Настройки!$B$12)&amp;"")</f>
        <v/>
      </c>
      <c r="G1671">
        <f>IF(F1671="",0,IF(TRIM(INDEX(INDIRECT("'Выгрузка'!A1671:Z1671"),Настройки!$B$13)&amp;"")="",1,IFERROR(--SUBSTITUTE(SUBSTITUTE(TRIM(INDEX(INDIRECT("'Выгрузка'!A1671:Z1671"),Настройки!$B$13)),",","."),".",MID(1/2,2,1)),"")))</f>
        <v/>
      </c>
      <c r="H1671">
        <f>IF(F1671="",0,IF(COUNTIF(Настройки!$B$17:$B$26,F1671)&gt;0,1,IF(COUNTIF(Настройки!$C$17:$C$26,F1671)&gt;0,2,IF(COUNTIF(Настройки!$D$17:$D$26,F1671)&gt;0,3,0))))</f>
        <v/>
      </c>
      <c r="I1671">
        <f>IF(AND(ISNUMBER(A1671),ISNUMBER(B1671)),A1671*1000+B1671,"")</f>
        <v/>
      </c>
      <c r="J1671">
        <f>IF(I1671="","",IF(COUNTIF(I$2:I1671,I1671)=1,MAX(J$1:J1670)+1,""))</f>
        <v/>
      </c>
    </row>
    <row r="1672">
      <c r="A1672">
        <f>IFERROR(--SUBSTITUTE(SUBSTITUTE(TRIM(INDEX(INDIRECT("'Выгрузка'!A1672:Z1672"),Настройки!$B$7)),",","."),".",MID(1/2,2,1)),"")</f>
        <v/>
      </c>
      <c r="B1672">
        <f>IFERROR(--SUBSTITUTE(SUBSTITUTE(TRIM(INDEX(INDIRECT("'Выгрузка'!A1672:Z1672"),Настройки!$B$9)),",","."),".",MID(1/2,2,1)),"")</f>
        <v/>
      </c>
      <c r="C1672">
        <f>TRIM(INDEX(INDIRECT("'Выгрузка'!A1672:Z1672"),Настройки!$B$8)&amp;"")</f>
        <v/>
      </c>
      <c r="D1672">
        <f>IFERROR(--SUBSTITUTE(SUBSTITUTE(TRIM(INDEX(INDIRECT("'Выгрузка'!A1672:Z1672"),Настройки!$B$10)),",","."),".",MID(1/2,2,1)),"")</f>
        <v/>
      </c>
      <c r="E1672">
        <f>IFERROR(--SUBSTITUTE(SUBSTITUTE(TRIM(INDEX(INDIRECT("'Выгрузка'!A1672:Z1672"),Настройки!$B$11)),",","."),".",MID(1/2,2,1)),"")</f>
        <v/>
      </c>
      <c r="F1672">
        <f>TRIM(INDEX(INDIRECT("'Выгрузка'!A1672:Z1672"),Настройки!$B$12)&amp;"")</f>
        <v/>
      </c>
      <c r="G1672">
        <f>IF(F1672="",0,IF(TRIM(INDEX(INDIRECT("'Выгрузка'!A1672:Z1672"),Настройки!$B$13)&amp;"")="",1,IFERROR(--SUBSTITUTE(SUBSTITUTE(TRIM(INDEX(INDIRECT("'Выгрузка'!A1672:Z1672"),Настройки!$B$13)),",","."),".",MID(1/2,2,1)),"")))</f>
        <v/>
      </c>
      <c r="H1672">
        <f>IF(F1672="",0,IF(COUNTIF(Настройки!$B$17:$B$26,F1672)&gt;0,1,IF(COUNTIF(Настройки!$C$17:$C$26,F1672)&gt;0,2,IF(COUNTIF(Настройки!$D$17:$D$26,F1672)&gt;0,3,0))))</f>
        <v/>
      </c>
      <c r="I1672">
        <f>IF(AND(ISNUMBER(A1672),ISNUMBER(B1672)),A1672*1000+B1672,"")</f>
        <v/>
      </c>
      <c r="J1672">
        <f>IF(I1672="","",IF(COUNTIF(I$2:I1672,I1672)=1,MAX(J$1:J1671)+1,""))</f>
        <v/>
      </c>
    </row>
    <row r="1673">
      <c r="A1673">
        <f>IFERROR(--SUBSTITUTE(SUBSTITUTE(TRIM(INDEX(INDIRECT("'Выгрузка'!A1673:Z1673"),Настройки!$B$7)),",","."),".",MID(1/2,2,1)),"")</f>
        <v/>
      </c>
      <c r="B1673">
        <f>IFERROR(--SUBSTITUTE(SUBSTITUTE(TRIM(INDEX(INDIRECT("'Выгрузка'!A1673:Z1673"),Настройки!$B$9)),",","."),".",MID(1/2,2,1)),"")</f>
        <v/>
      </c>
      <c r="C1673">
        <f>TRIM(INDEX(INDIRECT("'Выгрузка'!A1673:Z1673"),Настройки!$B$8)&amp;"")</f>
        <v/>
      </c>
      <c r="D1673">
        <f>IFERROR(--SUBSTITUTE(SUBSTITUTE(TRIM(INDEX(INDIRECT("'Выгрузка'!A1673:Z1673"),Настройки!$B$10)),",","."),".",MID(1/2,2,1)),"")</f>
        <v/>
      </c>
      <c r="E1673">
        <f>IFERROR(--SUBSTITUTE(SUBSTITUTE(TRIM(INDEX(INDIRECT("'Выгрузка'!A1673:Z1673"),Настройки!$B$11)),",","."),".",MID(1/2,2,1)),"")</f>
        <v/>
      </c>
      <c r="F1673">
        <f>TRIM(INDEX(INDIRECT("'Выгрузка'!A1673:Z1673"),Настройки!$B$12)&amp;"")</f>
        <v/>
      </c>
      <c r="G1673">
        <f>IF(F1673="",0,IF(TRIM(INDEX(INDIRECT("'Выгрузка'!A1673:Z1673"),Настройки!$B$13)&amp;"")="",1,IFERROR(--SUBSTITUTE(SUBSTITUTE(TRIM(INDEX(INDIRECT("'Выгрузка'!A1673:Z1673"),Настройки!$B$13)),",","."),".",MID(1/2,2,1)),"")))</f>
        <v/>
      </c>
      <c r="H1673">
        <f>IF(F1673="",0,IF(COUNTIF(Настройки!$B$17:$B$26,F1673)&gt;0,1,IF(COUNTIF(Настройки!$C$17:$C$26,F1673)&gt;0,2,IF(COUNTIF(Настройки!$D$17:$D$26,F1673)&gt;0,3,0))))</f>
        <v/>
      </c>
      <c r="I1673">
        <f>IF(AND(ISNUMBER(A1673),ISNUMBER(B1673)),A1673*1000+B1673,"")</f>
        <v/>
      </c>
      <c r="J1673">
        <f>IF(I1673="","",IF(COUNTIF(I$2:I1673,I1673)=1,MAX(J$1:J1672)+1,""))</f>
        <v/>
      </c>
    </row>
    <row r="1674">
      <c r="A1674">
        <f>IFERROR(--SUBSTITUTE(SUBSTITUTE(TRIM(INDEX(INDIRECT("'Выгрузка'!A1674:Z1674"),Настройки!$B$7)),",","."),".",MID(1/2,2,1)),"")</f>
        <v/>
      </c>
      <c r="B1674">
        <f>IFERROR(--SUBSTITUTE(SUBSTITUTE(TRIM(INDEX(INDIRECT("'Выгрузка'!A1674:Z1674"),Настройки!$B$9)),",","."),".",MID(1/2,2,1)),"")</f>
        <v/>
      </c>
      <c r="C1674">
        <f>TRIM(INDEX(INDIRECT("'Выгрузка'!A1674:Z1674"),Настройки!$B$8)&amp;"")</f>
        <v/>
      </c>
      <c r="D1674">
        <f>IFERROR(--SUBSTITUTE(SUBSTITUTE(TRIM(INDEX(INDIRECT("'Выгрузка'!A1674:Z1674"),Настройки!$B$10)),",","."),".",MID(1/2,2,1)),"")</f>
        <v/>
      </c>
      <c r="E1674">
        <f>IFERROR(--SUBSTITUTE(SUBSTITUTE(TRIM(INDEX(INDIRECT("'Выгрузка'!A1674:Z1674"),Настройки!$B$11)),",","."),".",MID(1/2,2,1)),"")</f>
        <v/>
      </c>
      <c r="F1674">
        <f>TRIM(INDEX(INDIRECT("'Выгрузка'!A1674:Z1674"),Настройки!$B$12)&amp;"")</f>
        <v/>
      </c>
      <c r="G1674">
        <f>IF(F1674="",0,IF(TRIM(INDEX(INDIRECT("'Выгрузка'!A1674:Z1674"),Настройки!$B$13)&amp;"")="",1,IFERROR(--SUBSTITUTE(SUBSTITUTE(TRIM(INDEX(INDIRECT("'Выгрузка'!A1674:Z1674"),Настройки!$B$13)),",","."),".",MID(1/2,2,1)),"")))</f>
        <v/>
      </c>
      <c r="H1674">
        <f>IF(F1674="",0,IF(COUNTIF(Настройки!$B$17:$B$26,F1674)&gt;0,1,IF(COUNTIF(Настройки!$C$17:$C$26,F1674)&gt;0,2,IF(COUNTIF(Настройки!$D$17:$D$26,F1674)&gt;0,3,0))))</f>
        <v/>
      </c>
      <c r="I1674">
        <f>IF(AND(ISNUMBER(A1674),ISNUMBER(B1674)),A1674*1000+B1674,"")</f>
        <v/>
      </c>
      <c r="J1674">
        <f>IF(I1674="","",IF(COUNTIF(I$2:I1674,I1674)=1,MAX(J$1:J1673)+1,""))</f>
        <v/>
      </c>
    </row>
    <row r="1675">
      <c r="A1675">
        <f>IFERROR(--SUBSTITUTE(SUBSTITUTE(TRIM(INDEX(INDIRECT("'Выгрузка'!A1675:Z1675"),Настройки!$B$7)),",","."),".",MID(1/2,2,1)),"")</f>
        <v/>
      </c>
      <c r="B1675">
        <f>IFERROR(--SUBSTITUTE(SUBSTITUTE(TRIM(INDEX(INDIRECT("'Выгрузка'!A1675:Z1675"),Настройки!$B$9)),",","."),".",MID(1/2,2,1)),"")</f>
        <v/>
      </c>
      <c r="C1675">
        <f>TRIM(INDEX(INDIRECT("'Выгрузка'!A1675:Z1675"),Настройки!$B$8)&amp;"")</f>
        <v/>
      </c>
      <c r="D1675">
        <f>IFERROR(--SUBSTITUTE(SUBSTITUTE(TRIM(INDEX(INDIRECT("'Выгрузка'!A1675:Z1675"),Настройки!$B$10)),",","."),".",MID(1/2,2,1)),"")</f>
        <v/>
      </c>
      <c r="E1675">
        <f>IFERROR(--SUBSTITUTE(SUBSTITUTE(TRIM(INDEX(INDIRECT("'Выгрузка'!A1675:Z1675"),Настройки!$B$11)),",","."),".",MID(1/2,2,1)),"")</f>
        <v/>
      </c>
      <c r="F1675">
        <f>TRIM(INDEX(INDIRECT("'Выгрузка'!A1675:Z1675"),Настройки!$B$12)&amp;"")</f>
        <v/>
      </c>
      <c r="G1675">
        <f>IF(F1675="",0,IF(TRIM(INDEX(INDIRECT("'Выгрузка'!A1675:Z1675"),Настройки!$B$13)&amp;"")="",1,IFERROR(--SUBSTITUTE(SUBSTITUTE(TRIM(INDEX(INDIRECT("'Выгрузка'!A1675:Z1675"),Настройки!$B$13)),",","."),".",MID(1/2,2,1)),"")))</f>
        <v/>
      </c>
      <c r="H1675">
        <f>IF(F1675="",0,IF(COUNTIF(Настройки!$B$17:$B$26,F1675)&gt;0,1,IF(COUNTIF(Настройки!$C$17:$C$26,F1675)&gt;0,2,IF(COUNTIF(Настройки!$D$17:$D$26,F1675)&gt;0,3,0))))</f>
        <v/>
      </c>
      <c r="I1675">
        <f>IF(AND(ISNUMBER(A1675),ISNUMBER(B1675)),A1675*1000+B1675,"")</f>
        <v/>
      </c>
      <c r="J1675">
        <f>IF(I1675="","",IF(COUNTIF(I$2:I1675,I1675)=1,MAX(J$1:J1674)+1,""))</f>
        <v/>
      </c>
    </row>
    <row r="1676">
      <c r="A1676">
        <f>IFERROR(--SUBSTITUTE(SUBSTITUTE(TRIM(INDEX(INDIRECT("'Выгрузка'!A1676:Z1676"),Настройки!$B$7)),",","."),".",MID(1/2,2,1)),"")</f>
        <v/>
      </c>
      <c r="B1676">
        <f>IFERROR(--SUBSTITUTE(SUBSTITUTE(TRIM(INDEX(INDIRECT("'Выгрузка'!A1676:Z1676"),Настройки!$B$9)),",","."),".",MID(1/2,2,1)),"")</f>
        <v/>
      </c>
      <c r="C1676">
        <f>TRIM(INDEX(INDIRECT("'Выгрузка'!A1676:Z1676"),Настройки!$B$8)&amp;"")</f>
        <v/>
      </c>
      <c r="D1676">
        <f>IFERROR(--SUBSTITUTE(SUBSTITUTE(TRIM(INDEX(INDIRECT("'Выгрузка'!A1676:Z1676"),Настройки!$B$10)),",","."),".",MID(1/2,2,1)),"")</f>
        <v/>
      </c>
      <c r="E1676">
        <f>IFERROR(--SUBSTITUTE(SUBSTITUTE(TRIM(INDEX(INDIRECT("'Выгрузка'!A1676:Z1676"),Настройки!$B$11)),",","."),".",MID(1/2,2,1)),"")</f>
        <v/>
      </c>
      <c r="F1676">
        <f>TRIM(INDEX(INDIRECT("'Выгрузка'!A1676:Z1676"),Настройки!$B$12)&amp;"")</f>
        <v/>
      </c>
      <c r="G1676">
        <f>IF(F1676="",0,IF(TRIM(INDEX(INDIRECT("'Выгрузка'!A1676:Z1676"),Настройки!$B$13)&amp;"")="",1,IFERROR(--SUBSTITUTE(SUBSTITUTE(TRIM(INDEX(INDIRECT("'Выгрузка'!A1676:Z1676"),Настройки!$B$13)),",","."),".",MID(1/2,2,1)),"")))</f>
        <v/>
      </c>
      <c r="H1676">
        <f>IF(F1676="",0,IF(COUNTIF(Настройки!$B$17:$B$26,F1676)&gt;0,1,IF(COUNTIF(Настройки!$C$17:$C$26,F1676)&gt;0,2,IF(COUNTIF(Настройки!$D$17:$D$26,F1676)&gt;0,3,0))))</f>
        <v/>
      </c>
      <c r="I1676">
        <f>IF(AND(ISNUMBER(A1676),ISNUMBER(B1676)),A1676*1000+B1676,"")</f>
        <v/>
      </c>
      <c r="J1676">
        <f>IF(I1676="","",IF(COUNTIF(I$2:I1676,I1676)=1,MAX(J$1:J1675)+1,""))</f>
        <v/>
      </c>
    </row>
    <row r="1677">
      <c r="A1677">
        <f>IFERROR(--SUBSTITUTE(SUBSTITUTE(TRIM(INDEX(INDIRECT("'Выгрузка'!A1677:Z1677"),Настройки!$B$7)),",","."),".",MID(1/2,2,1)),"")</f>
        <v/>
      </c>
      <c r="B1677">
        <f>IFERROR(--SUBSTITUTE(SUBSTITUTE(TRIM(INDEX(INDIRECT("'Выгрузка'!A1677:Z1677"),Настройки!$B$9)),",","."),".",MID(1/2,2,1)),"")</f>
        <v/>
      </c>
      <c r="C1677">
        <f>TRIM(INDEX(INDIRECT("'Выгрузка'!A1677:Z1677"),Настройки!$B$8)&amp;"")</f>
        <v/>
      </c>
      <c r="D1677">
        <f>IFERROR(--SUBSTITUTE(SUBSTITUTE(TRIM(INDEX(INDIRECT("'Выгрузка'!A1677:Z1677"),Настройки!$B$10)),",","."),".",MID(1/2,2,1)),"")</f>
        <v/>
      </c>
      <c r="E1677">
        <f>IFERROR(--SUBSTITUTE(SUBSTITUTE(TRIM(INDEX(INDIRECT("'Выгрузка'!A1677:Z1677"),Настройки!$B$11)),",","."),".",MID(1/2,2,1)),"")</f>
        <v/>
      </c>
      <c r="F1677">
        <f>TRIM(INDEX(INDIRECT("'Выгрузка'!A1677:Z1677"),Настройки!$B$12)&amp;"")</f>
        <v/>
      </c>
      <c r="G1677">
        <f>IF(F1677="",0,IF(TRIM(INDEX(INDIRECT("'Выгрузка'!A1677:Z1677"),Настройки!$B$13)&amp;"")="",1,IFERROR(--SUBSTITUTE(SUBSTITUTE(TRIM(INDEX(INDIRECT("'Выгрузка'!A1677:Z1677"),Настройки!$B$13)),",","."),".",MID(1/2,2,1)),"")))</f>
        <v/>
      </c>
      <c r="H1677">
        <f>IF(F1677="",0,IF(COUNTIF(Настройки!$B$17:$B$26,F1677)&gt;0,1,IF(COUNTIF(Настройки!$C$17:$C$26,F1677)&gt;0,2,IF(COUNTIF(Настройки!$D$17:$D$26,F1677)&gt;0,3,0))))</f>
        <v/>
      </c>
      <c r="I1677">
        <f>IF(AND(ISNUMBER(A1677),ISNUMBER(B1677)),A1677*1000+B1677,"")</f>
        <v/>
      </c>
      <c r="J1677">
        <f>IF(I1677="","",IF(COUNTIF(I$2:I1677,I1677)=1,MAX(J$1:J1676)+1,""))</f>
        <v/>
      </c>
    </row>
    <row r="1678">
      <c r="A1678">
        <f>IFERROR(--SUBSTITUTE(SUBSTITUTE(TRIM(INDEX(INDIRECT("'Выгрузка'!A1678:Z1678"),Настройки!$B$7)),",","."),".",MID(1/2,2,1)),"")</f>
        <v/>
      </c>
      <c r="B1678">
        <f>IFERROR(--SUBSTITUTE(SUBSTITUTE(TRIM(INDEX(INDIRECT("'Выгрузка'!A1678:Z1678"),Настройки!$B$9)),",","."),".",MID(1/2,2,1)),"")</f>
        <v/>
      </c>
      <c r="C1678">
        <f>TRIM(INDEX(INDIRECT("'Выгрузка'!A1678:Z1678"),Настройки!$B$8)&amp;"")</f>
        <v/>
      </c>
      <c r="D1678">
        <f>IFERROR(--SUBSTITUTE(SUBSTITUTE(TRIM(INDEX(INDIRECT("'Выгрузка'!A1678:Z1678"),Настройки!$B$10)),",","."),".",MID(1/2,2,1)),"")</f>
        <v/>
      </c>
      <c r="E1678">
        <f>IFERROR(--SUBSTITUTE(SUBSTITUTE(TRIM(INDEX(INDIRECT("'Выгрузка'!A1678:Z1678"),Настройки!$B$11)),",","."),".",MID(1/2,2,1)),"")</f>
        <v/>
      </c>
      <c r="F1678">
        <f>TRIM(INDEX(INDIRECT("'Выгрузка'!A1678:Z1678"),Настройки!$B$12)&amp;"")</f>
        <v/>
      </c>
      <c r="G1678">
        <f>IF(F1678="",0,IF(TRIM(INDEX(INDIRECT("'Выгрузка'!A1678:Z1678"),Настройки!$B$13)&amp;"")="",1,IFERROR(--SUBSTITUTE(SUBSTITUTE(TRIM(INDEX(INDIRECT("'Выгрузка'!A1678:Z1678"),Настройки!$B$13)),",","."),".",MID(1/2,2,1)),"")))</f>
        <v/>
      </c>
      <c r="H1678">
        <f>IF(F1678="",0,IF(COUNTIF(Настройки!$B$17:$B$26,F1678)&gt;0,1,IF(COUNTIF(Настройки!$C$17:$C$26,F1678)&gt;0,2,IF(COUNTIF(Настройки!$D$17:$D$26,F1678)&gt;0,3,0))))</f>
        <v/>
      </c>
      <c r="I1678">
        <f>IF(AND(ISNUMBER(A1678),ISNUMBER(B1678)),A1678*1000+B1678,"")</f>
        <v/>
      </c>
      <c r="J1678">
        <f>IF(I1678="","",IF(COUNTIF(I$2:I1678,I1678)=1,MAX(J$1:J1677)+1,""))</f>
        <v/>
      </c>
    </row>
    <row r="1679">
      <c r="A1679">
        <f>IFERROR(--SUBSTITUTE(SUBSTITUTE(TRIM(INDEX(INDIRECT("'Выгрузка'!A1679:Z1679"),Настройки!$B$7)),",","."),".",MID(1/2,2,1)),"")</f>
        <v/>
      </c>
      <c r="B1679">
        <f>IFERROR(--SUBSTITUTE(SUBSTITUTE(TRIM(INDEX(INDIRECT("'Выгрузка'!A1679:Z1679"),Настройки!$B$9)),",","."),".",MID(1/2,2,1)),"")</f>
        <v/>
      </c>
      <c r="C1679">
        <f>TRIM(INDEX(INDIRECT("'Выгрузка'!A1679:Z1679"),Настройки!$B$8)&amp;"")</f>
        <v/>
      </c>
      <c r="D1679">
        <f>IFERROR(--SUBSTITUTE(SUBSTITUTE(TRIM(INDEX(INDIRECT("'Выгрузка'!A1679:Z1679"),Настройки!$B$10)),",","."),".",MID(1/2,2,1)),"")</f>
        <v/>
      </c>
      <c r="E1679">
        <f>IFERROR(--SUBSTITUTE(SUBSTITUTE(TRIM(INDEX(INDIRECT("'Выгрузка'!A1679:Z1679"),Настройки!$B$11)),",","."),".",MID(1/2,2,1)),"")</f>
        <v/>
      </c>
      <c r="F1679">
        <f>TRIM(INDEX(INDIRECT("'Выгрузка'!A1679:Z1679"),Настройки!$B$12)&amp;"")</f>
        <v/>
      </c>
      <c r="G1679">
        <f>IF(F1679="",0,IF(TRIM(INDEX(INDIRECT("'Выгрузка'!A1679:Z1679"),Настройки!$B$13)&amp;"")="",1,IFERROR(--SUBSTITUTE(SUBSTITUTE(TRIM(INDEX(INDIRECT("'Выгрузка'!A1679:Z1679"),Настройки!$B$13)),",","."),".",MID(1/2,2,1)),"")))</f>
        <v/>
      </c>
      <c r="H1679">
        <f>IF(F1679="",0,IF(COUNTIF(Настройки!$B$17:$B$26,F1679)&gt;0,1,IF(COUNTIF(Настройки!$C$17:$C$26,F1679)&gt;0,2,IF(COUNTIF(Настройки!$D$17:$D$26,F1679)&gt;0,3,0))))</f>
        <v/>
      </c>
      <c r="I1679">
        <f>IF(AND(ISNUMBER(A1679),ISNUMBER(B1679)),A1679*1000+B1679,"")</f>
        <v/>
      </c>
      <c r="J1679">
        <f>IF(I1679="","",IF(COUNTIF(I$2:I1679,I1679)=1,MAX(J$1:J1678)+1,""))</f>
        <v/>
      </c>
    </row>
    <row r="1680">
      <c r="A1680">
        <f>IFERROR(--SUBSTITUTE(SUBSTITUTE(TRIM(INDEX(INDIRECT("'Выгрузка'!A1680:Z1680"),Настройки!$B$7)),",","."),".",MID(1/2,2,1)),"")</f>
        <v/>
      </c>
      <c r="B1680">
        <f>IFERROR(--SUBSTITUTE(SUBSTITUTE(TRIM(INDEX(INDIRECT("'Выгрузка'!A1680:Z1680"),Настройки!$B$9)),",","."),".",MID(1/2,2,1)),"")</f>
        <v/>
      </c>
      <c r="C1680">
        <f>TRIM(INDEX(INDIRECT("'Выгрузка'!A1680:Z1680"),Настройки!$B$8)&amp;"")</f>
        <v/>
      </c>
      <c r="D1680">
        <f>IFERROR(--SUBSTITUTE(SUBSTITUTE(TRIM(INDEX(INDIRECT("'Выгрузка'!A1680:Z1680"),Настройки!$B$10)),",","."),".",MID(1/2,2,1)),"")</f>
        <v/>
      </c>
      <c r="E1680">
        <f>IFERROR(--SUBSTITUTE(SUBSTITUTE(TRIM(INDEX(INDIRECT("'Выгрузка'!A1680:Z1680"),Настройки!$B$11)),",","."),".",MID(1/2,2,1)),"")</f>
        <v/>
      </c>
      <c r="F1680">
        <f>TRIM(INDEX(INDIRECT("'Выгрузка'!A1680:Z1680"),Настройки!$B$12)&amp;"")</f>
        <v/>
      </c>
      <c r="G1680">
        <f>IF(F1680="",0,IF(TRIM(INDEX(INDIRECT("'Выгрузка'!A1680:Z1680"),Настройки!$B$13)&amp;"")="",1,IFERROR(--SUBSTITUTE(SUBSTITUTE(TRIM(INDEX(INDIRECT("'Выгрузка'!A1680:Z1680"),Настройки!$B$13)),",","."),".",MID(1/2,2,1)),"")))</f>
        <v/>
      </c>
      <c r="H1680">
        <f>IF(F1680="",0,IF(COUNTIF(Настройки!$B$17:$B$26,F1680)&gt;0,1,IF(COUNTIF(Настройки!$C$17:$C$26,F1680)&gt;0,2,IF(COUNTIF(Настройки!$D$17:$D$26,F1680)&gt;0,3,0))))</f>
        <v/>
      </c>
      <c r="I1680">
        <f>IF(AND(ISNUMBER(A1680),ISNUMBER(B1680)),A1680*1000+B1680,"")</f>
        <v/>
      </c>
      <c r="J1680">
        <f>IF(I1680="","",IF(COUNTIF(I$2:I1680,I1680)=1,MAX(J$1:J1679)+1,""))</f>
        <v/>
      </c>
    </row>
    <row r="1681">
      <c r="A1681">
        <f>IFERROR(--SUBSTITUTE(SUBSTITUTE(TRIM(INDEX(INDIRECT("'Выгрузка'!A1681:Z1681"),Настройки!$B$7)),",","."),".",MID(1/2,2,1)),"")</f>
        <v/>
      </c>
      <c r="B1681">
        <f>IFERROR(--SUBSTITUTE(SUBSTITUTE(TRIM(INDEX(INDIRECT("'Выгрузка'!A1681:Z1681"),Настройки!$B$9)),",","."),".",MID(1/2,2,1)),"")</f>
        <v/>
      </c>
      <c r="C1681">
        <f>TRIM(INDEX(INDIRECT("'Выгрузка'!A1681:Z1681"),Настройки!$B$8)&amp;"")</f>
        <v/>
      </c>
      <c r="D1681">
        <f>IFERROR(--SUBSTITUTE(SUBSTITUTE(TRIM(INDEX(INDIRECT("'Выгрузка'!A1681:Z1681"),Настройки!$B$10)),",","."),".",MID(1/2,2,1)),"")</f>
        <v/>
      </c>
      <c r="E1681">
        <f>IFERROR(--SUBSTITUTE(SUBSTITUTE(TRIM(INDEX(INDIRECT("'Выгрузка'!A1681:Z1681"),Настройки!$B$11)),",","."),".",MID(1/2,2,1)),"")</f>
        <v/>
      </c>
      <c r="F1681">
        <f>TRIM(INDEX(INDIRECT("'Выгрузка'!A1681:Z1681"),Настройки!$B$12)&amp;"")</f>
        <v/>
      </c>
      <c r="G1681">
        <f>IF(F1681="",0,IF(TRIM(INDEX(INDIRECT("'Выгрузка'!A1681:Z1681"),Настройки!$B$13)&amp;"")="",1,IFERROR(--SUBSTITUTE(SUBSTITUTE(TRIM(INDEX(INDIRECT("'Выгрузка'!A1681:Z1681"),Настройки!$B$13)),",","."),".",MID(1/2,2,1)),"")))</f>
        <v/>
      </c>
      <c r="H1681">
        <f>IF(F1681="",0,IF(COUNTIF(Настройки!$B$17:$B$26,F1681)&gt;0,1,IF(COUNTIF(Настройки!$C$17:$C$26,F1681)&gt;0,2,IF(COUNTIF(Настройки!$D$17:$D$26,F1681)&gt;0,3,0))))</f>
        <v/>
      </c>
      <c r="I1681">
        <f>IF(AND(ISNUMBER(A1681),ISNUMBER(B1681)),A1681*1000+B1681,"")</f>
        <v/>
      </c>
      <c r="J1681">
        <f>IF(I1681="","",IF(COUNTIF(I$2:I1681,I1681)=1,MAX(J$1:J1680)+1,""))</f>
        <v/>
      </c>
    </row>
    <row r="1682">
      <c r="A1682">
        <f>IFERROR(--SUBSTITUTE(SUBSTITUTE(TRIM(INDEX(INDIRECT("'Выгрузка'!A1682:Z1682"),Настройки!$B$7)),",","."),".",MID(1/2,2,1)),"")</f>
        <v/>
      </c>
      <c r="B1682">
        <f>IFERROR(--SUBSTITUTE(SUBSTITUTE(TRIM(INDEX(INDIRECT("'Выгрузка'!A1682:Z1682"),Настройки!$B$9)),",","."),".",MID(1/2,2,1)),"")</f>
        <v/>
      </c>
      <c r="C1682">
        <f>TRIM(INDEX(INDIRECT("'Выгрузка'!A1682:Z1682"),Настройки!$B$8)&amp;"")</f>
        <v/>
      </c>
      <c r="D1682">
        <f>IFERROR(--SUBSTITUTE(SUBSTITUTE(TRIM(INDEX(INDIRECT("'Выгрузка'!A1682:Z1682"),Настройки!$B$10)),",","."),".",MID(1/2,2,1)),"")</f>
        <v/>
      </c>
      <c r="E1682">
        <f>IFERROR(--SUBSTITUTE(SUBSTITUTE(TRIM(INDEX(INDIRECT("'Выгрузка'!A1682:Z1682"),Настройки!$B$11)),",","."),".",MID(1/2,2,1)),"")</f>
        <v/>
      </c>
      <c r="F1682">
        <f>TRIM(INDEX(INDIRECT("'Выгрузка'!A1682:Z1682"),Настройки!$B$12)&amp;"")</f>
        <v/>
      </c>
      <c r="G1682">
        <f>IF(F1682="",0,IF(TRIM(INDEX(INDIRECT("'Выгрузка'!A1682:Z1682"),Настройки!$B$13)&amp;"")="",1,IFERROR(--SUBSTITUTE(SUBSTITUTE(TRIM(INDEX(INDIRECT("'Выгрузка'!A1682:Z1682"),Настройки!$B$13)),",","."),".",MID(1/2,2,1)),"")))</f>
        <v/>
      </c>
      <c r="H1682">
        <f>IF(F1682="",0,IF(COUNTIF(Настройки!$B$17:$B$26,F1682)&gt;0,1,IF(COUNTIF(Настройки!$C$17:$C$26,F1682)&gt;0,2,IF(COUNTIF(Настройки!$D$17:$D$26,F1682)&gt;0,3,0))))</f>
        <v/>
      </c>
      <c r="I1682">
        <f>IF(AND(ISNUMBER(A1682),ISNUMBER(B1682)),A1682*1000+B1682,"")</f>
        <v/>
      </c>
      <c r="J1682">
        <f>IF(I1682="","",IF(COUNTIF(I$2:I1682,I1682)=1,MAX(J$1:J1681)+1,""))</f>
        <v/>
      </c>
    </row>
    <row r="1683">
      <c r="A1683">
        <f>IFERROR(--SUBSTITUTE(SUBSTITUTE(TRIM(INDEX(INDIRECT("'Выгрузка'!A1683:Z1683"),Настройки!$B$7)),",","."),".",MID(1/2,2,1)),"")</f>
        <v/>
      </c>
      <c r="B1683">
        <f>IFERROR(--SUBSTITUTE(SUBSTITUTE(TRIM(INDEX(INDIRECT("'Выгрузка'!A1683:Z1683"),Настройки!$B$9)),",","."),".",MID(1/2,2,1)),"")</f>
        <v/>
      </c>
      <c r="C1683">
        <f>TRIM(INDEX(INDIRECT("'Выгрузка'!A1683:Z1683"),Настройки!$B$8)&amp;"")</f>
        <v/>
      </c>
      <c r="D1683">
        <f>IFERROR(--SUBSTITUTE(SUBSTITUTE(TRIM(INDEX(INDIRECT("'Выгрузка'!A1683:Z1683"),Настройки!$B$10)),",","."),".",MID(1/2,2,1)),"")</f>
        <v/>
      </c>
      <c r="E1683">
        <f>IFERROR(--SUBSTITUTE(SUBSTITUTE(TRIM(INDEX(INDIRECT("'Выгрузка'!A1683:Z1683"),Настройки!$B$11)),",","."),".",MID(1/2,2,1)),"")</f>
        <v/>
      </c>
      <c r="F1683">
        <f>TRIM(INDEX(INDIRECT("'Выгрузка'!A1683:Z1683"),Настройки!$B$12)&amp;"")</f>
        <v/>
      </c>
      <c r="G1683">
        <f>IF(F1683="",0,IF(TRIM(INDEX(INDIRECT("'Выгрузка'!A1683:Z1683"),Настройки!$B$13)&amp;"")="",1,IFERROR(--SUBSTITUTE(SUBSTITUTE(TRIM(INDEX(INDIRECT("'Выгрузка'!A1683:Z1683"),Настройки!$B$13)),",","."),".",MID(1/2,2,1)),"")))</f>
        <v/>
      </c>
      <c r="H1683">
        <f>IF(F1683="",0,IF(COUNTIF(Настройки!$B$17:$B$26,F1683)&gt;0,1,IF(COUNTIF(Настройки!$C$17:$C$26,F1683)&gt;0,2,IF(COUNTIF(Настройки!$D$17:$D$26,F1683)&gt;0,3,0))))</f>
        <v/>
      </c>
      <c r="I1683">
        <f>IF(AND(ISNUMBER(A1683),ISNUMBER(B1683)),A1683*1000+B1683,"")</f>
        <v/>
      </c>
      <c r="J1683">
        <f>IF(I1683="","",IF(COUNTIF(I$2:I1683,I1683)=1,MAX(J$1:J1682)+1,""))</f>
        <v/>
      </c>
    </row>
    <row r="1684">
      <c r="A1684">
        <f>IFERROR(--SUBSTITUTE(SUBSTITUTE(TRIM(INDEX(INDIRECT("'Выгрузка'!A1684:Z1684"),Настройки!$B$7)),",","."),".",MID(1/2,2,1)),"")</f>
        <v/>
      </c>
      <c r="B1684">
        <f>IFERROR(--SUBSTITUTE(SUBSTITUTE(TRIM(INDEX(INDIRECT("'Выгрузка'!A1684:Z1684"),Настройки!$B$9)),",","."),".",MID(1/2,2,1)),"")</f>
        <v/>
      </c>
      <c r="C1684">
        <f>TRIM(INDEX(INDIRECT("'Выгрузка'!A1684:Z1684"),Настройки!$B$8)&amp;"")</f>
        <v/>
      </c>
      <c r="D1684">
        <f>IFERROR(--SUBSTITUTE(SUBSTITUTE(TRIM(INDEX(INDIRECT("'Выгрузка'!A1684:Z1684"),Настройки!$B$10)),",","."),".",MID(1/2,2,1)),"")</f>
        <v/>
      </c>
      <c r="E1684">
        <f>IFERROR(--SUBSTITUTE(SUBSTITUTE(TRIM(INDEX(INDIRECT("'Выгрузка'!A1684:Z1684"),Настройки!$B$11)),",","."),".",MID(1/2,2,1)),"")</f>
        <v/>
      </c>
      <c r="F1684">
        <f>TRIM(INDEX(INDIRECT("'Выгрузка'!A1684:Z1684"),Настройки!$B$12)&amp;"")</f>
        <v/>
      </c>
      <c r="G1684">
        <f>IF(F1684="",0,IF(TRIM(INDEX(INDIRECT("'Выгрузка'!A1684:Z1684"),Настройки!$B$13)&amp;"")="",1,IFERROR(--SUBSTITUTE(SUBSTITUTE(TRIM(INDEX(INDIRECT("'Выгрузка'!A1684:Z1684"),Настройки!$B$13)),",","."),".",MID(1/2,2,1)),"")))</f>
        <v/>
      </c>
      <c r="H1684">
        <f>IF(F1684="",0,IF(COUNTIF(Настройки!$B$17:$B$26,F1684)&gt;0,1,IF(COUNTIF(Настройки!$C$17:$C$26,F1684)&gt;0,2,IF(COUNTIF(Настройки!$D$17:$D$26,F1684)&gt;0,3,0))))</f>
        <v/>
      </c>
      <c r="I1684">
        <f>IF(AND(ISNUMBER(A1684),ISNUMBER(B1684)),A1684*1000+B1684,"")</f>
        <v/>
      </c>
      <c r="J1684">
        <f>IF(I1684="","",IF(COUNTIF(I$2:I1684,I1684)=1,MAX(J$1:J1683)+1,""))</f>
        <v/>
      </c>
    </row>
    <row r="1685">
      <c r="A1685">
        <f>IFERROR(--SUBSTITUTE(SUBSTITUTE(TRIM(INDEX(INDIRECT("'Выгрузка'!A1685:Z1685"),Настройки!$B$7)),",","."),".",MID(1/2,2,1)),"")</f>
        <v/>
      </c>
      <c r="B1685">
        <f>IFERROR(--SUBSTITUTE(SUBSTITUTE(TRIM(INDEX(INDIRECT("'Выгрузка'!A1685:Z1685"),Настройки!$B$9)),",","."),".",MID(1/2,2,1)),"")</f>
        <v/>
      </c>
      <c r="C1685">
        <f>TRIM(INDEX(INDIRECT("'Выгрузка'!A1685:Z1685"),Настройки!$B$8)&amp;"")</f>
        <v/>
      </c>
      <c r="D1685">
        <f>IFERROR(--SUBSTITUTE(SUBSTITUTE(TRIM(INDEX(INDIRECT("'Выгрузка'!A1685:Z1685"),Настройки!$B$10)),",","."),".",MID(1/2,2,1)),"")</f>
        <v/>
      </c>
      <c r="E1685">
        <f>IFERROR(--SUBSTITUTE(SUBSTITUTE(TRIM(INDEX(INDIRECT("'Выгрузка'!A1685:Z1685"),Настройки!$B$11)),",","."),".",MID(1/2,2,1)),"")</f>
        <v/>
      </c>
      <c r="F1685">
        <f>TRIM(INDEX(INDIRECT("'Выгрузка'!A1685:Z1685"),Настройки!$B$12)&amp;"")</f>
        <v/>
      </c>
      <c r="G1685">
        <f>IF(F1685="",0,IF(TRIM(INDEX(INDIRECT("'Выгрузка'!A1685:Z1685"),Настройки!$B$13)&amp;"")="",1,IFERROR(--SUBSTITUTE(SUBSTITUTE(TRIM(INDEX(INDIRECT("'Выгрузка'!A1685:Z1685"),Настройки!$B$13)),",","."),".",MID(1/2,2,1)),"")))</f>
        <v/>
      </c>
      <c r="H1685">
        <f>IF(F1685="",0,IF(COUNTIF(Настройки!$B$17:$B$26,F1685)&gt;0,1,IF(COUNTIF(Настройки!$C$17:$C$26,F1685)&gt;0,2,IF(COUNTIF(Настройки!$D$17:$D$26,F1685)&gt;0,3,0))))</f>
        <v/>
      </c>
      <c r="I1685">
        <f>IF(AND(ISNUMBER(A1685),ISNUMBER(B1685)),A1685*1000+B1685,"")</f>
        <v/>
      </c>
      <c r="J1685">
        <f>IF(I1685="","",IF(COUNTIF(I$2:I1685,I1685)=1,MAX(J$1:J1684)+1,""))</f>
        <v/>
      </c>
    </row>
    <row r="1686">
      <c r="A1686">
        <f>IFERROR(--SUBSTITUTE(SUBSTITUTE(TRIM(INDEX(INDIRECT("'Выгрузка'!A1686:Z1686"),Настройки!$B$7)),",","."),".",MID(1/2,2,1)),"")</f>
        <v/>
      </c>
      <c r="B1686">
        <f>IFERROR(--SUBSTITUTE(SUBSTITUTE(TRIM(INDEX(INDIRECT("'Выгрузка'!A1686:Z1686"),Настройки!$B$9)),",","."),".",MID(1/2,2,1)),"")</f>
        <v/>
      </c>
      <c r="C1686">
        <f>TRIM(INDEX(INDIRECT("'Выгрузка'!A1686:Z1686"),Настройки!$B$8)&amp;"")</f>
        <v/>
      </c>
      <c r="D1686">
        <f>IFERROR(--SUBSTITUTE(SUBSTITUTE(TRIM(INDEX(INDIRECT("'Выгрузка'!A1686:Z1686"),Настройки!$B$10)),",","."),".",MID(1/2,2,1)),"")</f>
        <v/>
      </c>
      <c r="E1686">
        <f>IFERROR(--SUBSTITUTE(SUBSTITUTE(TRIM(INDEX(INDIRECT("'Выгрузка'!A1686:Z1686"),Настройки!$B$11)),",","."),".",MID(1/2,2,1)),"")</f>
        <v/>
      </c>
      <c r="F1686">
        <f>TRIM(INDEX(INDIRECT("'Выгрузка'!A1686:Z1686"),Настройки!$B$12)&amp;"")</f>
        <v/>
      </c>
      <c r="G1686">
        <f>IF(F1686="",0,IF(TRIM(INDEX(INDIRECT("'Выгрузка'!A1686:Z1686"),Настройки!$B$13)&amp;"")="",1,IFERROR(--SUBSTITUTE(SUBSTITUTE(TRIM(INDEX(INDIRECT("'Выгрузка'!A1686:Z1686"),Настройки!$B$13)),",","."),".",MID(1/2,2,1)),"")))</f>
        <v/>
      </c>
      <c r="H1686">
        <f>IF(F1686="",0,IF(COUNTIF(Настройки!$B$17:$B$26,F1686)&gt;0,1,IF(COUNTIF(Настройки!$C$17:$C$26,F1686)&gt;0,2,IF(COUNTIF(Настройки!$D$17:$D$26,F1686)&gt;0,3,0))))</f>
        <v/>
      </c>
      <c r="I1686">
        <f>IF(AND(ISNUMBER(A1686),ISNUMBER(B1686)),A1686*1000+B1686,"")</f>
        <v/>
      </c>
      <c r="J1686">
        <f>IF(I1686="","",IF(COUNTIF(I$2:I1686,I1686)=1,MAX(J$1:J1685)+1,""))</f>
        <v/>
      </c>
    </row>
    <row r="1687">
      <c r="A1687">
        <f>IFERROR(--SUBSTITUTE(SUBSTITUTE(TRIM(INDEX(INDIRECT("'Выгрузка'!A1687:Z1687"),Настройки!$B$7)),",","."),".",MID(1/2,2,1)),"")</f>
        <v/>
      </c>
      <c r="B1687">
        <f>IFERROR(--SUBSTITUTE(SUBSTITUTE(TRIM(INDEX(INDIRECT("'Выгрузка'!A1687:Z1687"),Настройки!$B$9)),",","."),".",MID(1/2,2,1)),"")</f>
        <v/>
      </c>
      <c r="C1687">
        <f>TRIM(INDEX(INDIRECT("'Выгрузка'!A1687:Z1687"),Настройки!$B$8)&amp;"")</f>
        <v/>
      </c>
      <c r="D1687">
        <f>IFERROR(--SUBSTITUTE(SUBSTITUTE(TRIM(INDEX(INDIRECT("'Выгрузка'!A1687:Z1687"),Настройки!$B$10)),",","."),".",MID(1/2,2,1)),"")</f>
        <v/>
      </c>
      <c r="E1687">
        <f>IFERROR(--SUBSTITUTE(SUBSTITUTE(TRIM(INDEX(INDIRECT("'Выгрузка'!A1687:Z1687"),Настройки!$B$11)),",","."),".",MID(1/2,2,1)),"")</f>
        <v/>
      </c>
      <c r="F1687">
        <f>TRIM(INDEX(INDIRECT("'Выгрузка'!A1687:Z1687"),Настройки!$B$12)&amp;"")</f>
        <v/>
      </c>
      <c r="G1687">
        <f>IF(F1687="",0,IF(TRIM(INDEX(INDIRECT("'Выгрузка'!A1687:Z1687"),Настройки!$B$13)&amp;"")="",1,IFERROR(--SUBSTITUTE(SUBSTITUTE(TRIM(INDEX(INDIRECT("'Выгрузка'!A1687:Z1687"),Настройки!$B$13)),",","."),".",MID(1/2,2,1)),"")))</f>
        <v/>
      </c>
      <c r="H1687">
        <f>IF(F1687="",0,IF(COUNTIF(Настройки!$B$17:$B$26,F1687)&gt;0,1,IF(COUNTIF(Настройки!$C$17:$C$26,F1687)&gt;0,2,IF(COUNTIF(Настройки!$D$17:$D$26,F1687)&gt;0,3,0))))</f>
        <v/>
      </c>
      <c r="I1687">
        <f>IF(AND(ISNUMBER(A1687),ISNUMBER(B1687)),A1687*1000+B1687,"")</f>
        <v/>
      </c>
      <c r="J1687">
        <f>IF(I1687="","",IF(COUNTIF(I$2:I1687,I1687)=1,MAX(J$1:J1686)+1,""))</f>
        <v/>
      </c>
    </row>
    <row r="1688">
      <c r="A1688">
        <f>IFERROR(--SUBSTITUTE(SUBSTITUTE(TRIM(INDEX(INDIRECT("'Выгрузка'!A1688:Z1688"),Настройки!$B$7)),",","."),".",MID(1/2,2,1)),"")</f>
        <v/>
      </c>
      <c r="B1688">
        <f>IFERROR(--SUBSTITUTE(SUBSTITUTE(TRIM(INDEX(INDIRECT("'Выгрузка'!A1688:Z1688"),Настройки!$B$9)),",","."),".",MID(1/2,2,1)),"")</f>
        <v/>
      </c>
      <c r="C1688">
        <f>TRIM(INDEX(INDIRECT("'Выгрузка'!A1688:Z1688"),Настройки!$B$8)&amp;"")</f>
        <v/>
      </c>
      <c r="D1688">
        <f>IFERROR(--SUBSTITUTE(SUBSTITUTE(TRIM(INDEX(INDIRECT("'Выгрузка'!A1688:Z1688"),Настройки!$B$10)),",","."),".",MID(1/2,2,1)),"")</f>
        <v/>
      </c>
      <c r="E1688">
        <f>IFERROR(--SUBSTITUTE(SUBSTITUTE(TRIM(INDEX(INDIRECT("'Выгрузка'!A1688:Z1688"),Настройки!$B$11)),",","."),".",MID(1/2,2,1)),"")</f>
        <v/>
      </c>
      <c r="F1688">
        <f>TRIM(INDEX(INDIRECT("'Выгрузка'!A1688:Z1688"),Настройки!$B$12)&amp;"")</f>
        <v/>
      </c>
      <c r="G1688">
        <f>IF(F1688="",0,IF(TRIM(INDEX(INDIRECT("'Выгрузка'!A1688:Z1688"),Настройки!$B$13)&amp;"")="",1,IFERROR(--SUBSTITUTE(SUBSTITUTE(TRIM(INDEX(INDIRECT("'Выгрузка'!A1688:Z1688"),Настройки!$B$13)),",","."),".",MID(1/2,2,1)),"")))</f>
        <v/>
      </c>
      <c r="H1688">
        <f>IF(F1688="",0,IF(COUNTIF(Настройки!$B$17:$B$26,F1688)&gt;0,1,IF(COUNTIF(Настройки!$C$17:$C$26,F1688)&gt;0,2,IF(COUNTIF(Настройки!$D$17:$D$26,F1688)&gt;0,3,0))))</f>
        <v/>
      </c>
      <c r="I1688">
        <f>IF(AND(ISNUMBER(A1688),ISNUMBER(B1688)),A1688*1000+B1688,"")</f>
        <v/>
      </c>
      <c r="J1688">
        <f>IF(I1688="","",IF(COUNTIF(I$2:I1688,I1688)=1,MAX(J$1:J1687)+1,""))</f>
        <v/>
      </c>
    </row>
    <row r="1689">
      <c r="A1689">
        <f>IFERROR(--SUBSTITUTE(SUBSTITUTE(TRIM(INDEX(INDIRECT("'Выгрузка'!A1689:Z1689"),Настройки!$B$7)),",","."),".",MID(1/2,2,1)),"")</f>
        <v/>
      </c>
      <c r="B1689">
        <f>IFERROR(--SUBSTITUTE(SUBSTITUTE(TRIM(INDEX(INDIRECT("'Выгрузка'!A1689:Z1689"),Настройки!$B$9)),",","."),".",MID(1/2,2,1)),"")</f>
        <v/>
      </c>
      <c r="C1689">
        <f>TRIM(INDEX(INDIRECT("'Выгрузка'!A1689:Z1689"),Настройки!$B$8)&amp;"")</f>
        <v/>
      </c>
      <c r="D1689">
        <f>IFERROR(--SUBSTITUTE(SUBSTITUTE(TRIM(INDEX(INDIRECT("'Выгрузка'!A1689:Z1689"),Настройки!$B$10)),",","."),".",MID(1/2,2,1)),"")</f>
        <v/>
      </c>
      <c r="E1689">
        <f>IFERROR(--SUBSTITUTE(SUBSTITUTE(TRIM(INDEX(INDIRECT("'Выгрузка'!A1689:Z1689"),Настройки!$B$11)),",","."),".",MID(1/2,2,1)),"")</f>
        <v/>
      </c>
      <c r="F1689">
        <f>TRIM(INDEX(INDIRECT("'Выгрузка'!A1689:Z1689"),Настройки!$B$12)&amp;"")</f>
        <v/>
      </c>
      <c r="G1689">
        <f>IF(F1689="",0,IF(TRIM(INDEX(INDIRECT("'Выгрузка'!A1689:Z1689"),Настройки!$B$13)&amp;"")="",1,IFERROR(--SUBSTITUTE(SUBSTITUTE(TRIM(INDEX(INDIRECT("'Выгрузка'!A1689:Z1689"),Настройки!$B$13)),",","."),".",MID(1/2,2,1)),"")))</f>
        <v/>
      </c>
      <c r="H1689">
        <f>IF(F1689="",0,IF(COUNTIF(Настройки!$B$17:$B$26,F1689)&gt;0,1,IF(COUNTIF(Настройки!$C$17:$C$26,F1689)&gt;0,2,IF(COUNTIF(Настройки!$D$17:$D$26,F1689)&gt;0,3,0))))</f>
        <v/>
      </c>
      <c r="I1689">
        <f>IF(AND(ISNUMBER(A1689),ISNUMBER(B1689)),A1689*1000+B1689,"")</f>
        <v/>
      </c>
      <c r="J1689">
        <f>IF(I1689="","",IF(COUNTIF(I$2:I1689,I1689)=1,MAX(J$1:J1688)+1,""))</f>
        <v/>
      </c>
    </row>
    <row r="1690">
      <c r="A1690">
        <f>IFERROR(--SUBSTITUTE(SUBSTITUTE(TRIM(INDEX(INDIRECT("'Выгрузка'!A1690:Z1690"),Настройки!$B$7)),",","."),".",MID(1/2,2,1)),"")</f>
        <v/>
      </c>
      <c r="B1690">
        <f>IFERROR(--SUBSTITUTE(SUBSTITUTE(TRIM(INDEX(INDIRECT("'Выгрузка'!A1690:Z1690"),Настройки!$B$9)),",","."),".",MID(1/2,2,1)),"")</f>
        <v/>
      </c>
      <c r="C1690">
        <f>TRIM(INDEX(INDIRECT("'Выгрузка'!A1690:Z1690"),Настройки!$B$8)&amp;"")</f>
        <v/>
      </c>
      <c r="D1690">
        <f>IFERROR(--SUBSTITUTE(SUBSTITUTE(TRIM(INDEX(INDIRECT("'Выгрузка'!A1690:Z1690"),Настройки!$B$10)),",","."),".",MID(1/2,2,1)),"")</f>
        <v/>
      </c>
      <c r="E1690">
        <f>IFERROR(--SUBSTITUTE(SUBSTITUTE(TRIM(INDEX(INDIRECT("'Выгрузка'!A1690:Z1690"),Настройки!$B$11)),",","."),".",MID(1/2,2,1)),"")</f>
        <v/>
      </c>
      <c r="F1690">
        <f>TRIM(INDEX(INDIRECT("'Выгрузка'!A1690:Z1690"),Настройки!$B$12)&amp;"")</f>
        <v/>
      </c>
      <c r="G1690">
        <f>IF(F1690="",0,IF(TRIM(INDEX(INDIRECT("'Выгрузка'!A1690:Z1690"),Настройки!$B$13)&amp;"")="",1,IFERROR(--SUBSTITUTE(SUBSTITUTE(TRIM(INDEX(INDIRECT("'Выгрузка'!A1690:Z1690"),Настройки!$B$13)),",","."),".",MID(1/2,2,1)),"")))</f>
        <v/>
      </c>
      <c r="H1690">
        <f>IF(F1690="",0,IF(COUNTIF(Настройки!$B$17:$B$26,F1690)&gt;0,1,IF(COUNTIF(Настройки!$C$17:$C$26,F1690)&gt;0,2,IF(COUNTIF(Настройки!$D$17:$D$26,F1690)&gt;0,3,0))))</f>
        <v/>
      </c>
      <c r="I1690">
        <f>IF(AND(ISNUMBER(A1690),ISNUMBER(B1690)),A1690*1000+B1690,"")</f>
        <v/>
      </c>
      <c r="J1690">
        <f>IF(I1690="","",IF(COUNTIF(I$2:I1690,I1690)=1,MAX(J$1:J1689)+1,""))</f>
        <v/>
      </c>
    </row>
    <row r="1691">
      <c r="A1691">
        <f>IFERROR(--SUBSTITUTE(SUBSTITUTE(TRIM(INDEX(INDIRECT("'Выгрузка'!A1691:Z1691"),Настройки!$B$7)),",","."),".",MID(1/2,2,1)),"")</f>
        <v/>
      </c>
      <c r="B1691">
        <f>IFERROR(--SUBSTITUTE(SUBSTITUTE(TRIM(INDEX(INDIRECT("'Выгрузка'!A1691:Z1691"),Настройки!$B$9)),",","."),".",MID(1/2,2,1)),"")</f>
        <v/>
      </c>
      <c r="C1691">
        <f>TRIM(INDEX(INDIRECT("'Выгрузка'!A1691:Z1691"),Настройки!$B$8)&amp;"")</f>
        <v/>
      </c>
      <c r="D1691">
        <f>IFERROR(--SUBSTITUTE(SUBSTITUTE(TRIM(INDEX(INDIRECT("'Выгрузка'!A1691:Z1691"),Настройки!$B$10)),",","."),".",MID(1/2,2,1)),"")</f>
        <v/>
      </c>
      <c r="E1691">
        <f>IFERROR(--SUBSTITUTE(SUBSTITUTE(TRIM(INDEX(INDIRECT("'Выгрузка'!A1691:Z1691"),Настройки!$B$11)),",","."),".",MID(1/2,2,1)),"")</f>
        <v/>
      </c>
      <c r="F1691">
        <f>TRIM(INDEX(INDIRECT("'Выгрузка'!A1691:Z1691"),Настройки!$B$12)&amp;"")</f>
        <v/>
      </c>
      <c r="G1691">
        <f>IF(F1691="",0,IF(TRIM(INDEX(INDIRECT("'Выгрузка'!A1691:Z1691"),Настройки!$B$13)&amp;"")="",1,IFERROR(--SUBSTITUTE(SUBSTITUTE(TRIM(INDEX(INDIRECT("'Выгрузка'!A1691:Z1691"),Настройки!$B$13)),",","."),".",MID(1/2,2,1)),"")))</f>
        <v/>
      </c>
      <c r="H1691">
        <f>IF(F1691="",0,IF(COUNTIF(Настройки!$B$17:$B$26,F1691)&gt;0,1,IF(COUNTIF(Настройки!$C$17:$C$26,F1691)&gt;0,2,IF(COUNTIF(Настройки!$D$17:$D$26,F1691)&gt;0,3,0))))</f>
        <v/>
      </c>
      <c r="I1691">
        <f>IF(AND(ISNUMBER(A1691),ISNUMBER(B1691)),A1691*1000+B1691,"")</f>
        <v/>
      </c>
      <c r="J1691">
        <f>IF(I1691="","",IF(COUNTIF(I$2:I1691,I1691)=1,MAX(J$1:J1690)+1,""))</f>
        <v/>
      </c>
    </row>
    <row r="1692">
      <c r="A1692">
        <f>IFERROR(--SUBSTITUTE(SUBSTITUTE(TRIM(INDEX(INDIRECT("'Выгрузка'!A1692:Z1692"),Настройки!$B$7)),",","."),".",MID(1/2,2,1)),"")</f>
        <v/>
      </c>
      <c r="B1692">
        <f>IFERROR(--SUBSTITUTE(SUBSTITUTE(TRIM(INDEX(INDIRECT("'Выгрузка'!A1692:Z1692"),Настройки!$B$9)),",","."),".",MID(1/2,2,1)),"")</f>
        <v/>
      </c>
      <c r="C1692">
        <f>TRIM(INDEX(INDIRECT("'Выгрузка'!A1692:Z1692"),Настройки!$B$8)&amp;"")</f>
        <v/>
      </c>
      <c r="D1692">
        <f>IFERROR(--SUBSTITUTE(SUBSTITUTE(TRIM(INDEX(INDIRECT("'Выгрузка'!A1692:Z1692"),Настройки!$B$10)),",","."),".",MID(1/2,2,1)),"")</f>
        <v/>
      </c>
      <c r="E1692">
        <f>IFERROR(--SUBSTITUTE(SUBSTITUTE(TRIM(INDEX(INDIRECT("'Выгрузка'!A1692:Z1692"),Настройки!$B$11)),",","."),".",MID(1/2,2,1)),"")</f>
        <v/>
      </c>
      <c r="F1692">
        <f>TRIM(INDEX(INDIRECT("'Выгрузка'!A1692:Z1692"),Настройки!$B$12)&amp;"")</f>
        <v/>
      </c>
      <c r="G1692">
        <f>IF(F1692="",0,IF(TRIM(INDEX(INDIRECT("'Выгрузка'!A1692:Z1692"),Настройки!$B$13)&amp;"")="",1,IFERROR(--SUBSTITUTE(SUBSTITUTE(TRIM(INDEX(INDIRECT("'Выгрузка'!A1692:Z1692"),Настройки!$B$13)),",","."),".",MID(1/2,2,1)),"")))</f>
        <v/>
      </c>
      <c r="H1692">
        <f>IF(F1692="",0,IF(COUNTIF(Настройки!$B$17:$B$26,F1692)&gt;0,1,IF(COUNTIF(Настройки!$C$17:$C$26,F1692)&gt;0,2,IF(COUNTIF(Настройки!$D$17:$D$26,F1692)&gt;0,3,0))))</f>
        <v/>
      </c>
      <c r="I1692">
        <f>IF(AND(ISNUMBER(A1692),ISNUMBER(B1692)),A1692*1000+B1692,"")</f>
        <v/>
      </c>
      <c r="J1692">
        <f>IF(I1692="","",IF(COUNTIF(I$2:I1692,I1692)=1,MAX(J$1:J1691)+1,""))</f>
        <v/>
      </c>
    </row>
    <row r="1693">
      <c r="A1693">
        <f>IFERROR(--SUBSTITUTE(SUBSTITUTE(TRIM(INDEX(INDIRECT("'Выгрузка'!A1693:Z1693"),Настройки!$B$7)),",","."),".",MID(1/2,2,1)),"")</f>
        <v/>
      </c>
      <c r="B1693">
        <f>IFERROR(--SUBSTITUTE(SUBSTITUTE(TRIM(INDEX(INDIRECT("'Выгрузка'!A1693:Z1693"),Настройки!$B$9)),",","."),".",MID(1/2,2,1)),"")</f>
        <v/>
      </c>
      <c r="C1693">
        <f>TRIM(INDEX(INDIRECT("'Выгрузка'!A1693:Z1693"),Настройки!$B$8)&amp;"")</f>
        <v/>
      </c>
      <c r="D1693">
        <f>IFERROR(--SUBSTITUTE(SUBSTITUTE(TRIM(INDEX(INDIRECT("'Выгрузка'!A1693:Z1693"),Настройки!$B$10)),",","."),".",MID(1/2,2,1)),"")</f>
        <v/>
      </c>
      <c r="E1693">
        <f>IFERROR(--SUBSTITUTE(SUBSTITUTE(TRIM(INDEX(INDIRECT("'Выгрузка'!A1693:Z1693"),Настройки!$B$11)),",","."),".",MID(1/2,2,1)),"")</f>
        <v/>
      </c>
      <c r="F1693">
        <f>TRIM(INDEX(INDIRECT("'Выгрузка'!A1693:Z1693"),Настройки!$B$12)&amp;"")</f>
        <v/>
      </c>
      <c r="G1693">
        <f>IF(F1693="",0,IF(TRIM(INDEX(INDIRECT("'Выгрузка'!A1693:Z1693"),Настройки!$B$13)&amp;"")="",1,IFERROR(--SUBSTITUTE(SUBSTITUTE(TRIM(INDEX(INDIRECT("'Выгрузка'!A1693:Z1693"),Настройки!$B$13)),",","."),".",MID(1/2,2,1)),"")))</f>
        <v/>
      </c>
      <c r="H1693">
        <f>IF(F1693="",0,IF(COUNTIF(Настройки!$B$17:$B$26,F1693)&gt;0,1,IF(COUNTIF(Настройки!$C$17:$C$26,F1693)&gt;0,2,IF(COUNTIF(Настройки!$D$17:$D$26,F1693)&gt;0,3,0))))</f>
        <v/>
      </c>
      <c r="I1693">
        <f>IF(AND(ISNUMBER(A1693),ISNUMBER(B1693)),A1693*1000+B1693,"")</f>
        <v/>
      </c>
      <c r="J1693">
        <f>IF(I1693="","",IF(COUNTIF(I$2:I1693,I1693)=1,MAX(J$1:J1692)+1,""))</f>
        <v/>
      </c>
    </row>
    <row r="1694">
      <c r="A1694">
        <f>IFERROR(--SUBSTITUTE(SUBSTITUTE(TRIM(INDEX(INDIRECT("'Выгрузка'!A1694:Z1694"),Настройки!$B$7)),",","."),".",MID(1/2,2,1)),"")</f>
        <v/>
      </c>
      <c r="B1694">
        <f>IFERROR(--SUBSTITUTE(SUBSTITUTE(TRIM(INDEX(INDIRECT("'Выгрузка'!A1694:Z1694"),Настройки!$B$9)),",","."),".",MID(1/2,2,1)),"")</f>
        <v/>
      </c>
      <c r="C1694">
        <f>TRIM(INDEX(INDIRECT("'Выгрузка'!A1694:Z1694"),Настройки!$B$8)&amp;"")</f>
        <v/>
      </c>
      <c r="D1694">
        <f>IFERROR(--SUBSTITUTE(SUBSTITUTE(TRIM(INDEX(INDIRECT("'Выгрузка'!A1694:Z1694"),Настройки!$B$10)),",","."),".",MID(1/2,2,1)),"")</f>
        <v/>
      </c>
      <c r="E1694">
        <f>IFERROR(--SUBSTITUTE(SUBSTITUTE(TRIM(INDEX(INDIRECT("'Выгрузка'!A1694:Z1694"),Настройки!$B$11)),",","."),".",MID(1/2,2,1)),"")</f>
        <v/>
      </c>
      <c r="F1694">
        <f>TRIM(INDEX(INDIRECT("'Выгрузка'!A1694:Z1694"),Настройки!$B$12)&amp;"")</f>
        <v/>
      </c>
      <c r="G1694">
        <f>IF(F1694="",0,IF(TRIM(INDEX(INDIRECT("'Выгрузка'!A1694:Z1694"),Настройки!$B$13)&amp;"")="",1,IFERROR(--SUBSTITUTE(SUBSTITUTE(TRIM(INDEX(INDIRECT("'Выгрузка'!A1694:Z1694"),Настройки!$B$13)),",","."),".",MID(1/2,2,1)),"")))</f>
        <v/>
      </c>
      <c r="H1694">
        <f>IF(F1694="",0,IF(COUNTIF(Настройки!$B$17:$B$26,F1694)&gt;0,1,IF(COUNTIF(Настройки!$C$17:$C$26,F1694)&gt;0,2,IF(COUNTIF(Настройки!$D$17:$D$26,F1694)&gt;0,3,0))))</f>
        <v/>
      </c>
      <c r="I1694">
        <f>IF(AND(ISNUMBER(A1694),ISNUMBER(B1694)),A1694*1000+B1694,"")</f>
        <v/>
      </c>
      <c r="J1694">
        <f>IF(I1694="","",IF(COUNTIF(I$2:I1694,I1694)=1,MAX(J$1:J1693)+1,""))</f>
        <v/>
      </c>
    </row>
    <row r="1695">
      <c r="A1695">
        <f>IFERROR(--SUBSTITUTE(SUBSTITUTE(TRIM(INDEX(INDIRECT("'Выгрузка'!A1695:Z1695"),Настройки!$B$7)),",","."),".",MID(1/2,2,1)),"")</f>
        <v/>
      </c>
      <c r="B1695">
        <f>IFERROR(--SUBSTITUTE(SUBSTITUTE(TRIM(INDEX(INDIRECT("'Выгрузка'!A1695:Z1695"),Настройки!$B$9)),",","."),".",MID(1/2,2,1)),"")</f>
        <v/>
      </c>
      <c r="C1695">
        <f>TRIM(INDEX(INDIRECT("'Выгрузка'!A1695:Z1695"),Настройки!$B$8)&amp;"")</f>
        <v/>
      </c>
      <c r="D1695">
        <f>IFERROR(--SUBSTITUTE(SUBSTITUTE(TRIM(INDEX(INDIRECT("'Выгрузка'!A1695:Z1695"),Настройки!$B$10)),",","."),".",MID(1/2,2,1)),"")</f>
        <v/>
      </c>
      <c r="E1695">
        <f>IFERROR(--SUBSTITUTE(SUBSTITUTE(TRIM(INDEX(INDIRECT("'Выгрузка'!A1695:Z1695"),Настройки!$B$11)),",","."),".",MID(1/2,2,1)),"")</f>
        <v/>
      </c>
      <c r="F1695">
        <f>TRIM(INDEX(INDIRECT("'Выгрузка'!A1695:Z1695"),Настройки!$B$12)&amp;"")</f>
        <v/>
      </c>
      <c r="G1695">
        <f>IF(F1695="",0,IF(TRIM(INDEX(INDIRECT("'Выгрузка'!A1695:Z1695"),Настройки!$B$13)&amp;"")="",1,IFERROR(--SUBSTITUTE(SUBSTITUTE(TRIM(INDEX(INDIRECT("'Выгрузка'!A1695:Z1695"),Настройки!$B$13)),",","."),".",MID(1/2,2,1)),"")))</f>
        <v/>
      </c>
      <c r="H1695">
        <f>IF(F1695="",0,IF(COUNTIF(Настройки!$B$17:$B$26,F1695)&gt;0,1,IF(COUNTIF(Настройки!$C$17:$C$26,F1695)&gt;0,2,IF(COUNTIF(Настройки!$D$17:$D$26,F1695)&gt;0,3,0))))</f>
        <v/>
      </c>
      <c r="I1695">
        <f>IF(AND(ISNUMBER(A1695),ISNUMBER(B1695)),A1695*1000+B1695,"")</f>
        <v/>
      </c>
      <c r="J1695">
        <f>IF(I1695="","",IF(COUNTIF(I$2:I1695,I1695)=1,MAX(J$1:J1694)+1,""))</f>
        <v/>
      </c>
    </row>
    <row r="1696">
      <c r="A1696">
        <f>IFERROR(--SUBSTITUTE(SUBSTITUTE(TRIM(INDEX(INDIRECT("'Выгрузка'!A1696:Z1696"),Настройки!$B$7)),",","."),".",MID(1/2,2,1)),"")</f>
        <v/>
      </c>
      <c r="B1696">
        <f>IFERROR(--SUBSTITUTE(SUBSTITUTE(TRIM(INDEX(INDIRECT("'Выгрузка'!A1696:Z1696"),Настройки!$B$9)),",","."),".",MID(1/2,2,1)),"")</f>
        <v/>
      </c>
      <c r="C1696">
        <f>TRIM(INDEX(INDIRECT("'Выгрузка'!A1696:Z1696"),Настройки!$B$8)&amp;"")</f>
        <v/>
      </c>
      <c r="D1696">
        <f>IFERROR(--SUBSTITUTE(SUBSTITUTE(TRIM(INDEX(INDIRECT("'Выгрузка'!A1696:Z1696"),Настройки!$B$10)),",","."),".",MID(1/2,2,1)),"")</f>
        <v/>
      </c>
      <c r="E1696">
        <f>IFERROR(--SUBSTITUTE(SUBSTITUTE(TRIM(INDEX(INDIRECT("'Выгрузка'!A1696:Z1696"),Настройки!$B$11)),",","."),".",MID(1/2,2,1)),"")</f>
        <v/>
      </c>
      <c r="F1696">
        <f>TRIM(INDEX(INDIRECT("'Выгрузка'!A1696:Z1696"),Настройки!$B$12)&amp;"")</f>
        <v/>
      </c>
      <c r="G1696">
        <f>IF(F1696="",0,IF(TRIM(INDEX(INDIRECT("'Выгрузка'!A1696:Z1696"),Настройки!$B$13)&amp;"")="",1,IFERROR(--SUBSTITUTE(SUBSTITUTE(TRIM(INDEX(INDIRECT("'Выгрузка'!A1696:Z1696"),Настройки!$B$13)),",","."),".",MID(1/2,2,1)),"")))</f>
        <v/>
      </c>
      <c r="H1696">
        <f>IF(F1696="",0,IF(COUNTIF(Настройки!$B$17:$B$26,F1696)&gt;0,1,IF(COUNTIF(Настройки!$C$17:$C$26,F1696)&gt;0,2,IF(COUNTIF(Настройки!$D$17:$D$26,F1696)&gt;0,3,0))))</f>
        <v/>
      </c>
      <c r="I1696">
        <f>IF(AND(ISNUMBER(A1696),ISNUMBER(B1696)),A1696*1000+B1696,"")</f>
        <v/>
      </c>
      <c r="J1696">
        <f>IF(I1696="","",IF(COUNTIF(I$2:I1696,I1696)=1,MAX(J$1:J1695)+1,""))</f>
        <v/>
      </c>
    </row>
    <row r="1697">
      <c r="A1697">
        <f>IFERROR(--SUBSTITUTE(SUBSTITUTE(TRIM(INDEX(INDIRECT("'Выгрузка'!A1697:Z1697"),Настройки!$B$7)),",","."),".",MID(1/2,2,1)),"")</f>
        <v/>
      </c>
      <c r="B1697">
        <f>IFERROR(--SUBSTITUTE(SUBSTITUTE(TRIM(INDEX(INDIRECT("'Выгрузка'!A1697:Z1697"),Настройки!$B$9)),",","."),".",MID(1/2,2,1)),"")</f>
        <v/>
      </c>
      <c r="C1697">
        <f>TRIM(INDEX(INDIRECT("'Выгрузка'!A1697:Z1697"),Настройки!$B$8)&amp;"")</f>
        <v/>
      </c>
      <c r="D1697">
        <f>IFERROR(--SUBSTITUTE(SUBSTITUTE(TRIM(INDEX(INDIRECT("'Выгрузка'!A1697:Z1697"),Настройки!$B$10)),",","."),".",MID(1/2,2,1)),"")</f>
        <v/>
      </c>
      <c r="E1697">
        <f>IFERROR(--SUBSTITUTE(SUBSTITUTE(TRIM(INDEX(INDIRECT("'Выгрузка'!A1697:Z1697"),Настройки!$B$11)),",","."),".",MID(1/2,2,1)),"")</f>
        <v/>
      </c>
      <c r="F1697">
        <f>TRIM(INDEX(INDIRECT("'Выгрузка'!A1697:Z1697"),Настройки!$B$12)&amp;"")</f>
        <v/>
      </c>
      <c r="G1697">
        <f>IF(F1697="",0,IF(TRIM(INDEX(INDIRECT("'Выгрузка'!A1697:Z1697"),Настройки!$B$13)&amp;"")="",1,IFERROR(--SUBSTITUTE(SUBSTITUTE(TRIM(INDEX(INDIRECT("'Выгрузка'!A1697:Z1697"),Настройки!$B$13)),",","."),".",MID(1/2,2,1)),"")))</f>
        <v/>
      </c>
      <c r="H1697">
        <f>IF(F1697="",0,IF(COUNTIF(Настройки!$B$17:$B$26,F1697)&gt;0,1,IF(COUNTIF(Настройки!$C$17:$C$26,F1697)&gt;0,2,IF(COUNTIF(Настройки!$D$17:$D$26,F1697)&gt;0,3,0))))</f>
        <v/>
      </c>
      <c r="I1697">
        <f>IF(AND(ISNUMBER(A1697),ISNUMBER(B1697)),A1697*1000+B1697,"")</f>
        <v/>
      </c>
      <c r="J1697">
        <f>IF(I1697="","",IF(COUNTIF(I$2:I1697,I1697)=1,MAX(J$1:J1696)+1,""))</f>
        <v/>
      </c>
    </row>
    <row r="1698">
      <c r="A1698">
        <f>IFERROR(--SUBSTITUTE(SUBSTITUTE(TRIM(INDEX(INDIRECT("'Выгрузка'!A1698:Z1698"),Настройки!$B$7)),",","."),".",MID(1/2,2,1)),"")</f>
        <v/>
      </c>
      <c r="B1698">
        <f>IFERROR(--SUBSTITUTE(SUBSTITUTE(TRIM(INDEX(INDIRECT("'Выгрузка'!A1698:Z1698"),Настройки!$B$9)),",","."),".",MID(1/2,2,1)),"")</f>
        <v/>
      </c>
      <c r="C1698">
        <f>TRIM(INDEX(INDIRECT("'Выгрузка'!A1698:Z1698"),Настройки!$B$8)&amp;"")</f>
        <v/>
      </c>
      <c r="D1698">
        <f>IFERROR(--SUBSTITUTE(SUBSTITUTE(TRIM(INDEX(INDIRECT("'Выгрузка'!A1698:Z1698"),Настройки!$B$10)),",","."),".",MID(1/2,2,1)),"")</f>
        <v/>
      </c>
      <c r="E1698">
        <f>IFERROR(--SUBSTITUTE(SUBSTITUTE(TRIM(INDEX(INDIRECT("'Выгрузка'!A1698:Z1698"),Настройки!$B$11)),",","."),".",MID(1/2,2,1)),"")</f>
        <v/>
      </c>
      <c r="F1698">
        <f>TRIM(INDEX(INDIRECT("'Выгрузка'!A1698:Z1698"),Настройки!$B$12)&amp;"")</f>
        <v/>
      </c>
      <c r="G1698">
        <f>IF(F1698="",0,IF(TRIM(INDEX(INDIRECT("'Выгрузка'!A1698:Z1698"),Настройки!$B$13)&amp;"")="",1,IFERROR(--SUBSTITUTE(SUBSTITUTE(TRIM(INDEX(INDIRECT("'Выгрузка'!A1698:Z1698"),Настройки!$B$13)),",","."),".",MID(1/2,2,1)),"")))</f>
        <v/>
      </c>
      <c r="H1698">
        <f>IF(F1698="",0,IF(COUNTIF(Настройки!$B$17:$B$26,F1698)&gt;0,1,IF(COUNTIF(Настройки!$C$17:$C$26,F1698)&gt;0,2,IF(COUNTIF(Настройки!$D$17:$D$26,F1698)&gt;0,3,0))))</f>
        <v/>
      </c>
      <c r="I1698">
        <f>IF(AND(ISNUMBER(A1698),ISNUMBER(B1698)),A1698*1000+B1698,"")</f>
        <v/>
      </c>
      <c r="J1698">
        <f>IF(I1698="","",IF(COUNTIF(I$2:I1698,I1698)=1,MAX(J$1:J1697)+1,""))</f>
        <v/>
      </c>
    </row>
    <row r="1699">
      <c r="A1699">
        <f>IFERROR(--SUBSTITUTE(SUBSTITUTE(TRIM(INDEX(INDIRECT("'Выгрузка'!A1699:Z1699"),Настройки!$B$7)),",","."),".",MID(1/2,2,1)),"")</f>
        <v/>
      </c>
      <c r="B1699">
        <f>IFERROR(--SUBSTITUTE(SUBSTITUTE(TRIM(INDEX(INDIRECT("'Выгрузка'!A1699:Z1699"),Настройки!$B$9)),",","."),".",MID(1/2,2,1)),"")</f>
        <v/>
      </c>
      <c r="C1699">
        <f>TRIM(INDEX(INDIRECT("'Выгрузка'!A1699:Z1699"),Настройки!$B$8)&amp;"")</f>
        <v/>
      </c>
      <c r="D1699">
        <f>IFERROR(--SUBSTITUTE(SUBSTITUTE(TRIM(INDEX(INDIRECT("'Выгрузка'!A1699:Z1699"),Настройки!$B$10)),",","."),".",MID(1/2,2,1)),"")</f>
        <v/>
      </c>
      <c r="E1699">
        <f>IFERROR(--SUBSTITUTE(SUBSTITUTE(TRIM(INDEX(INDIRECT("'Выгрузка'!A1699:Z1699"),Настройки!$B$11)),",","."),".",MID(1/2,2,1)),"")</f>
        <v/>
      </c>
      <c r="F1699">
        <f>TRIM(INDEX(INDIRECT("'Выгрузка'!A1699:Z1699"),Настройки!$B$12)&amp;"")</f>
        <v/>
      </c>
      <c r="G1699">
        <f>IF(F1699="",0,IF(TRIM(INDEX(INDIRECT("'Выгрузка'!A1699:Z1699"),Настройки!$B$13)&amp;"")="",1,IFERROR(--SUBSTITUTE(SUBSTITUTE(TRIM(INDEX(INDIRECT("'Выгрузка'!A1699:Z1699"),Настройки!$B$13)),",","."),".",MID(1/2,2,1)),"")))</f>
        <v/>
      </c>
      <c r="H1699">
        <f>IF(F1699="",0,IF(COUNTIF(Настройки!$B$17:$B$26,F1699)&gt;0,1,IF(COUNTIF(Настройки!$C$17:$C$26,F1699)&gt;0,2,IF(COUNTIF(Настройки!$D$17:$D$26,F1699)&gt;0,3,0))))</f>
        <v/>
      </c>
      <c r="I1699">
        <f>IF(AND(ISNUMBER(A1699),ISNUMBER(B1699)),A1699*1000+B1699,"")</f>
        <v/>
      </c>
      <c r="J1699">
        <f>IF(I1699="","",IF(COUNTIF(I$2:I1699,I1699)=1,MAX(J$1:J1698)+1,""))</f>
        <v/>
      </c>
    </row>
    <row r="1700">
      <c r="A1700">
        <f>IFERROR(--SUBSTITUTE(SUBSTITUTE(TRIM(INDEX(INDIRECT("'Выгрузка'!A1700:Z1700"),Настройки!$B$7)),",","."),".",MID(1/2,2,1)),"")</f>
        <v/>
      </c>
      <c r="B1700">
        <f>IFERROR(--SUBSTITUTE(SUBSTITUTE(TRIM(INDEX(INDIRECT("'Выгрузка'!A1700:Z1700"),Настройки!$B$9)),",","."),".",MID(1/2,2,1)),"")</f>
        <v/>
      </c>
      <c r="C1700">
        <f>TRIM(INDEX(INDIRECT("'Выгрузка'!A1700:Z1700"),Настройки!$B$8)&amp;"")</f>
        <v/>
      </c>
      <c r="D1700">
        <f>IFERROR(--SUBSTITUTE(SUBSTITUTE(TRIM(INDEX(INDIRECT("'Выгрузка'!A1700:Z1700"),Настройки!$B$10)),",","."),".",MID(1/2,2,1)),"")</f>
        <v/>
      </c>
      <c r="E1700">
        <f>IFERROR(--SUBSTITUTE(SUBSTITUTE(TRIM(INDEX(INDIRECT("'Выгрузка'!A1700:Z1700"),Настройки!$B$11)),",","."),".",MID(1/2,2,1)),"")</f>
        <v/>
      </c>
      <c r="F1700">
        <f>TRIM(INDEX(INDIRECT("'Выгрузка'!A1700:Z1700"),Настройки!$B$12)&amp;"")</f>
        <v/>
      </c>
      <c r="G1700">
        <f>IF(F1700="",0,IF(TRIM(INDEX(INDIRECT("'Выгрузка'!A1700:Z1700"),Настройки!$B$13)&amp;"")="",1,IFERROR(--SUBSTITUTE(SUBSTITUTE(TRIM(INDEX(INDIRECT("'Выгрузка'!A1700:Z1700"),Настройки!$B$13)),",","."),".",MID(1/2,2,1)),"")))</f>
        <v/>
      </c>
      <c r="H1700">
        <f>IF(F1700="",0,IF(COUNTIF(Настройки!$B$17:$B$26,F1700)&gt;0,1,IF(COUNTIF(Настройки!$C$17:$C$26,F1700)&gt;0,2,IF(COUNTIF(Настройки!$D$17:$D$26,F1700)&gt;0,3,0))))</f>
        <v/>
      </c>
      <c r="I1700">
        <f>IF(AND(ISNUMBER(A1700),ISNUMBER(B1700)),A1700*1000+B1700,"")</f>
        <v/>
      </c>
      <c r="J1700">
        <f>IF(I1700="","",IF(COUNTIF(I$2:I1700,I1700)=1,MAX(J$1:J1699)+1,""))</f>
        <v/>
      </c>
    </row>
    <row r="1701">
      <c r="A1701">
        <f>IFERROR(--SUBSTITUTE(SUBSTITUTE(TRIM(INDEX(INDIRECT("'Выгрузка'!A1701:Z1701"),Настройки!$B$7)),",","."),".",MID(1/2,2,1)),"")</f>
        <v/>
      </c>
      <c r="B1701">
        <f>IFERROR(--SUBSTITUTE(SUBSTITUTE(TRIM(INDEX(INDIRECT("'Выгрузка'!A1701:Z1701"),Настройки!$B$9)),",","."),".",MID(1/2,2,1)),"")</f>
        <v/>
      </c>
      <c r="C1701">
        <f>TRIM(INDEX(INDIRECT("'Выгрузка'!A1701:Z1701"),Настройки!$B$8)&amp;"")</f>
        <v/>
      </c>
      <c r="D1701">
        <f>IFERROR(--SUBSTITUTE(SUBSTITUTE(TRIM(INDEX(INDIRECT("'Выгрузка'!A1701:Z1701"),Настройки!$B$10)),",","."),".",MID(1/2,2,1)),"")</f>
        <v/>
      </c>
      <c r="E1701">
        <f>IFERROR(--SUBSTITUTE(SUBSTITUTE(TRIM(INDEX(INDIRECT("'Выгрузка'!A1701:Z1701"),Настройки!$B$11)),",","."),".",MID(1/2,2,1)),"")</f>
        <v/>
      </c>
      <c r="F1701">
        <f>TRIM(INDEX(INDIRECT("'Выгрузка'!A1701:Z1701"),Настройки!$B$12)&amp;"")</f>
        <v/>
      </c>
      <c r="G1701">
        <f>IF(F1701="",0,IF(TRIM(INDEX(INDIRECT("'Выгрузка'!A1701:Z1701"),Настройки!$B$13)&amp;"")="",1,IFERROR(--SUBSTITUTE(SUBSTITUTE(TRIM(INDEX(INDIRECT("'Выгрузка'!A1701:Z1701"),Настройки!$B$13)),",","."),".",MID(1/2,2,1)),"")))</f>
        <v/>
      </c>
      <c r="H1701">
        <f>IF(F1701="",0,IF(COUNTIF(Настройки!$B$17:$B$26,F1701)&gt;0,1,IF(COUNTIF(Настройки!$C$17:$C$26,F1701)&gt;0,2,IF(COUNTIF(Настройки!$D$17:$D$26,F1701)&gt;0,3,0))))</f>
        <v/>
      </c>
      <c r="I1701">
        <f>IF(AND(ISNUMBER(A1701),ISNUMBER(B1701)),A1701*1000+B1701,"")</f>
        <v/>
      </c>
      <c r="J1701">
        <f>IF(I1701="","",IF(COUNTIF(I$2:I1701,I1701)=1,MAX(J$1:J1700)+1,""))</f>
        <v/>
      </c>
    </row>
    <row r="1702">
      <c r="A1702">
        <f>IFERROR(--SUBSTITUTE(SUBSTITUTE(TRIM(INDEX(INDIRECT("'Выгрузка'!A1702:Z1702"),Настройки!$B$7)),",","."),".",MID(1/2,2,1)),"")</f>
        <v/>
      </c>
      <c r="B1702">
        <f>IFERROR(--SUBSTITUTE(SUBSTITUTE(TRIM(INDEX(INDIRECT("'Выгрузка'!A1702:Z1702"),Настройки!$B$9)),",","."),".",MID(1/2,2,1)),"")</f>
        <v/>
      </c>
      <c r="C1702">
        <f>TRIM(INDEX(INDIRECT("'Выгрузка'!A1702:Z1702"),Настройки!$B$8)&amp;"")</f>
        <v/>
      </c>
      <c r="D1702">
        <f>IFERROR(--SUBSTITUTE(SUBSTITUTE(TRIM(INDEX(INDIRECT("'Выгрузка'!A1702:Z1702"),Настройки!$B$10)),",","."),".",MID(1/2,2,1)),"")</f>
        <v/>
      </c>
      <c r="E1702">
        <f>IFERROR(--SUBSTITUTE(SUBSTITUTE(TRIM(INDEX(INDIRECT("'Выгрузка'!A1702:Z1702"),Настройки!$B$11)),",","."),".",MID(1/2,2,1)),"")</f>
        <v/>
      </c>
      <c r="F1702">
        <f>TRIM(INDEX(INDIRECT("'Выгрузка'!A1702:Z1702"),Настройки!$B$12)&amp;"")</f>
        <v/>
      </c>
      <c r="G1702">
        <f>IF(F1702="",0,IF(TRIM(INDEX(INDIRECT("'Выгрузка'!A1702:Z1702"),Настройки!$B$13)&amp;"")="",1,IFERROR(--SUBSTITUTE(SUBSTITUTE(TRIM(INDEX(INDIRECT("'Выгрузка'!A1702:Z1702"),Настройки!$B$13)),",","."),".",MID(1/2,2,1)),"")))</f>
        <v/>
      </c>
      <c r="H1702">
        <f>IF(F1702="",0,IF(COUNTIF(Настройки!$B$17:$B$26,F1702)&gt;0,1,IF(COUNTIF(Настройки!$C$17:$C$26,F1702)&gt;0,2,IF(COUNTIF(Настройки!$D$17:$D$26,F1702)&gt;0,3,0))))</f>
        <v/>
      </c>
      <c r="I1702">
        <f>IF(AND(ISNUMBER(A1702),ISNUMBER(B1702)),A1702*1000+B1702,"")</f>
        <v/>
      </c>
      <c r="J1702">
        <f>IF(I1702="","",IF(COUNTIF(I$2:I1702,I1702)=1,MAX(J$1:J1701)+1,""))</f>
        <v/>
      </c>
    </row>
    <row r="1703">
      <c r="A1703">
        <f>IFERROR(--SUBSTITUTE(SUBSTITUTE(TRIM(INDEX(INDIRECT("'Выгрузка'!A1703:Z1703"),Настройки!$B$7)),",","."),".",MID(1/2,2,1)),"")</f>
        <v/>
      </c>
      <c r="B1703">
        <f>IFERROR(--SUBSTITUTE(SUBSTITUTE(TRIM(INDEX(INDIRECT("'Выгрузка'!A1703:Z1703"),Настройки!$B$9)),",","."),".",MID(1/2,2,1)),"")</f>
        <v/>
      </c>
      <c r="C1703">
        <f>TRIM(INDEX(INDIRECT("'Выгрузка'!A1703:Z1703"),Настройки!$B$8)&amp;"")</f>
        <v/>
      </c>
      <c r="D1703">
        <f>IFERROR(--SUBSTITUTE(SUBSTITUTE(TRIM(INDEX(INDIRECT("'Выгрузка'!A1703:Z1703"),Настройки!$B$10)),",","."),".",MID(1/2,2,1)),"")</f>
        <v/>
      </c>
      <c r="E1703">
        <f>IFERROR(--SUBSTITUTE(SUBSTITUTE(TRIM(INDEX(INDIRECT("'Выгрузка'!A1703:Z1703"),Настройки!$B$11)),",","."),".",MID(1/2,2,1)),"")</f>
        <v/>
      </c>
      <c r="F1703">
        <f>TRIM(INDEX(INDIRECT("'Выгрузка'!A1703:Z1703"),Настройки!$B$12)&amp;"")</f>
        <v/>
      </c>
      <c r="G1703">
        <f>IF(F1703="",0,IF(TRIM(INDEX(INDIRECT("'Выгрузка'!A1703:Z1703"),Настройки!$B$13)&amp;"")="",1,IFERROR(--SUBSTITUTE(SUBSTITUTE(TRIM(INDEX(INDIRECT("'Выгрузка'!A1703:Z1703"),Настройки!$B$13)),",","."),".",MID(1/2,2,1)),"")))</f>
        <v/>
      </c>
      <c r="H1703">
        <f>IF(F1703="",0,IF(COUNTIF(Настройки!$B$17:$B$26,F1703)&gt;0,1,IF(COUNTIF(Настройки!$C$17:$C$26,F1703)&gt;0,2,IF(COUNTIF(Настройки!$D$17:$D$26,F1703)&gt;0,3,0))))</f>
        <v/>
      </c>
      <c r="I1703">
        <f>IF(AND(ISNUMBER(A1703),ISNUMBER(B1703)),A1703*1000+B1703,"")</f>
        <v/>
      </c>
      <c r="J1703">
        <f>IF(I1703="","",IF(COUNTIF(I$2:I1703,I1703)=1,MAX(J$1:J1702)+1,""))</f>
        <v/>
      </c>
    </row>
    <row r="1704">
      <c r="A1704">
        <f>IFERROR(--SUBSTITUTE(SUBSTITUTE(TRIM(INDEX(INDIRECT("'Выгрузка'!A1704:Z1704"),Настройки!$B$7)),",","."),".",MID(1/2,2,1)),"")</f>
        <v/>
      </c>
      <c r="B1704">
        <f>IFERROR(--SUBSTITUTE(SUBSTITUTE(TRIM(INDEX(INDIRECT("'Выгрузка'!A1704:Z1704"),Настройки!$B$9)),",","."),".",MID(1/2,2,1)),"")</f>
        <v/>
      </c>
      <c r="C1704">
        <f>TRIM(INDEX(INDIRECT("'Выгрузка'!A1704:Z1704"),Настройки!$B$8)&amp;"")</f>
        <v/>
      </c>
      <c r="D1704">
        <f>IFERROR(--SUBSTITUTE(SUBSTITUTE(TRIM(INDEX(INDIRECT("'Выгрузка'!A1704:Z1704"),Настройки!$B$10)),",","."),".",MID(1/2,2,1)),"")</f>
        <v/>
      </c>
      <c r="E1704">
        <f>IFERROR(--SUBSTITUTE(SUBSTITUTE(TRIM(INDEX(INDIRECT("'Выгрузка'!A1704:Z1704"),Настройки!$B$11)),",","."),".",MID(1/2,2,1)),"")</f>
        <v/>
      </c>
      <c r="F1704">
        <f>TRIM(INDEX(INDIRECT("'Выгрузка'!A1704:Z1704"),Настройки!$B$12)&amp;"")</f>
        <v/>
      </c>
      <c r="G1704">
        <f>IF(F1704="",0,IF(TRIM(INDEX(INDIRECT("'Выгрузка'!A1704:Z1704"),Настройки!$B$13)&amp;"")="",1,IFERROR(--SUBSTITUTE(SUBSTITUTE(TRIM(INDEX(INDIRECT("'Выгрузка'!A1704:Z1704"),Настройки!$B$13)),",","."),".",MID(1/2,2,1)),"")))</f>
        <v/>
      </c>
      <c r="H1704">
        <f>IF(F1704="",0,IF(COUNTIF(Настройки!$B$17:$B$26,F1704)&gt;0,1,IF(COUNTIF(Настройки!$C$17:$C$26,F1704)&gt;0,2,IF(COUNTIF(Настройки!$D$17:$D$26,F1704)&gt;0,3,0))))</f>
        <v/>
      </c>
      <c r="I1704">
        <f>IF(AND(ISNUMBER(A1704),ISNUMBER(B1704)),A1704*1000+B1704,"")</f>
        <v/>
      </c>
      <c r="J1704">
        <f>IF(I1704="","",IF(COUNTIF(I$2:I1704,I1704)=1,MAX(J$1:J1703)+1,""))</f>
        <v/>
      </c>
    </row>
    <row r="1705">
      <c r="A1705">
        <f>IFERROR(--SUBSTITUTE(SUBSTITUTE(TRIM(INDEX(INDIRECT("'Выгрузка'!A1705:Z1705"),Настройки!$B$7)),",","."),".",MID(1/2,2,1)),"")</f>
        <v/>
      </c>
      <c r="B1705">
        <f>IFERROR(--SUBSTITUTE(SUBSTITUTE(TRIM(INDEX(INDIRECT("'Выгрузка'!A1705:Z1705"),Настройки!$B$9)),",","."),".",MID(1/2,2,1)),"")</f>
        <v/>
      </c>
      <c r="C1705">
        <f>TRIM(INDEX(INDIRECT("'Выгрузка'!A1705:Z1705"),Настройки!$B$8)&amp;"")</f>
        <v/>
      </c>
      <c r="D1705">
        <f>IFERROR(--SUBSTITUTE(SUBSTITUTE(TRIM(INDEX(INDIRECT("'Выгрузка'!A1705:Z1705"),Настройки!$B$10)),",","."),".",MID(1/2,2,1)),"")</f>
        <v/>
      </c>
      <c r="E1705">
        <f>IFERROR(--SUBSTITUTE(SUBSTITUTE(TRIM(INDEX(INDIRECT("'Выгрузка'!A1705:Z1705"),Настройки!$B$11)),",","."),".",MID(1/2,2,1)),"")</f>
        <v/>
      </c>
      <c r="F1705">
        <f>TRIM(INDEX(INDIRECT("'Выгрузка'!A1705:Z1705"),Настройки!$B$12)&amp;"")</f>
        <v/>
      </c>
      <c r="G1705">
        <f>IF(F1705="",0,IF(TRIM(INDEX(INDIRECT("'Выгрузка'!A1705:Z1705"),Настройки!$B$13)&amp;"")="",1,IFERROR(--SUBSTITUTE(SUBSTITUTE(TRIM(INDEX(INDIRECT("'Выгрузка'!A1705:Z1705"),Настройки!$B$13)),",","."),".",MID(1/2,2,1)),"")))</f>
        <v/>
      </c>
      <c r="H1705">
        <f>IF(F1705="",0,IF(COUNTIF(Настройки!$B$17:$B$26,F1705)&gt;0,1,IF(COUNTIF(Настройки!$C$17:$C$26,F1705)&gt;0,2,IF(COUNTIF(Настройки!$D$17:$D$26,F1705)&gt;0,3,0))))</f>
        <v/>
      </c>
      <c r="I1705">
        <f>IF(AND(ISNUMBER(A1705),ISNUMBER(B1705)),A1705*1000+B1705,"")</f>
        <v/>
      </c>
      <c r="J1705">
        <f>IF(I1705="","",IF(COUNTIF(I$2:I1705,I1705)=1,MAX(J$1:J1704)+1,""))</f>
        <v/>
      </c>
    </row>
    <row r="1706">
      <c r="A1706">
        <f>IFERROR(--SUBSTITUTE(SUBSTITUTE(TRIM(INDEX(INDIRECT("'Выгрузка'!A1706:Z1706"),Настройки!$B$7)),",","."),".",MID(1/2,2,1)),"")</f>
        <v/>
      </c>
      <c r="B1706">
        <f>IFERROR(--SUBSTITUTE(SUBSTITUTE(TRIM(INDEX(INDIRECT("'Выгрузка'!A1706:Z1706"),Настройки!$B$9)),",","."),".",MID(1/2,2,1)),"")</f>
        <v/>
      </c>
      <c r="C1706">
        <f>TRIM(INDEX(INDIRECT("'Выгрузка'!A1706:Z1706"),Настройки!$B$8)&amp;"")</f>
        <v/>
      </c>
      <c r="D1706">
        <f>IFERROR(--SUBSTITUTE(SUBSTITUTE(TRIM(INDEX(INDIRECT("'Выгрузка'!A1706:Z1706"),Настройки!$B$10)),",","."),".",MID(1/2,2,1)),"")</f>
        <v/>
      </c>
      <c r="E1706">
        <f>IFERROR(--SUBSTITUTE(SUBSTITUTE(TRIM(INDEX(INDIRECT("'Выгрузка'!A1706:Z1706"),Настройки!$B$11)),",","."),".",MID(1/2,2,1)),"")</f>
        <v/>
      </c>
      <c r="F1706">
        <f>TRIM(INDEX(INDIRECT("'Выгрузка'!A1706:Z1706"),Настройки!$B$12)&amp;"")</f>
        <v/>
      </c>
      <c r="G1706">
        <f>IF(F1706="",0,IF(TRIM(INDEX(INDIRECT("'Выгрузка'!A1706:Z1706"),Настройки!$B$13)&amp;"")="",1,IFERROR(--SUBSTITUTE(SUBSTITUTE(TRIM(INDEX(INDIRECT("'Выгрузка'!A1706:Z1706"),Настройки!$B$13)),",","."),".",MID(1/2,2,1)),"")))</f>
        <v/>
      </c>
      <c r="H1706">
        <f>IF(F1706="",0,IF(COUNTIF(Настройки!$B$17:$B$26,F1706)&gt;0,1,IF(COUNTIF(Настройки!$C$17:$C$26,F1706)&gt;0,2,IF(COUNTIF(Настройки!$D$17:$D$26,F1706)&gt;0,3,0))))</f>
        <v/>
      </c>
      <c r="I1706">
        <f>IF(AND(ISNUMBER(A1706),ISNUMBER(B1706)),A1706*1000+B1706,"")</f>
        <v/>
      </c>
      <c r="J1706">
        <f>IF(I1706="","",IF(COUNTIF(I$2:I1706,I1706)=1,MAX(J$1:J1705)+1,""))</f>
        <v/>
      </c>
    </row>
    <row r="1707">
      <c r="A1707">
        <f>IFERROR(--SUBSTITUTE(SUBSTITUTE(TRIM(INDEX(INDIRECT("'Выгрузка'!A1707:Z1707"),Настройки!$B$7)),",","."),".",MID(1/2,2,1)),"")</f>
        <v/>
      </c>
      <c r="B1707">
        <f>IFERROR(--SUBSTITUTE(SUBSTITUTE(TRIM(INDEX(INDIRECT("'Выгрузка'!A1707:Z1707"),Настройки!$B$9)),",","."),".",MID(1/2,2,1)),"")</f>
        <v/>
      </c>
      <c r="C1707">
        <f>TRIM(INDEX(INDIRECT("'Выгрузка'!A1707:Z1707"),Настройки!$B$8)&amp;"")</f>
        <v/>
      </c>
      <c r="D1707">
        <f>IFERROR(--SUBSTITUTE(SUBSTITUTE(TRIM(INDEX(INDIRECT("'Выгрузка'!A1707:Z1707"),Настройки!$B$10)),",","."),".",MID(1/2,2,1)),"")</f>
        <v/>
      </c>
      <c r="E1707">
        <f>IFERROR(--SUBSTITUTE(SUBSTITUTE(TRIM(INDEX(INDIRECT("'Выгрузка'!A1707:Z1707"),Настройки!$B$11)),",","."),".",MID(1/2,2,1)),"")</f>
        <v/>
      </c>
      <c r="F1707">
        <f>TRIM(INDEX(INDIRECT("'Выгрузка'!A1707:Z1707"),Настройки!$B$12)&amp;"")</f>
        <v/>
      </c>
      <c r="G1707">
        <f>IF(F1707="",0,IF(TRIM(INDEX(INDIRECT("'Выгрузка'!A1707:Z1707"),Настройки!$B$13)&amp;"")="",1,IFERROR(--SUBSTITUTE(SUBSTITUTE(TRIM(INDEX(INDIRECT("'Выгрузка'!A1707:Z1707"),Настройки!$B$13)),",","."),".",MID(1/2,2,1)),"")))</f>
        <v/>
      </c>
      <c r="H1707">
        <f>IF(F1707="",0,IF(COUNTIF(Настройки!$B$17:$B$26,F1707)&gt;0,1,IF(COUNTIF(Настройки!$C$17:$C$26,F1707)&gt;0,2,IF(COUNTIF(Настройки!$D$17:$D$26,F1707)&gt;0,3,0))))</f>
        <v/>
      </c>
      <c r="I1707">
        <f>IF(AND(ISNUMBER(A1707),ISNUMBER(B1707)),A1707*1000+B1707,"")</f>
        <v/>
      </c>
      <c r="J1707">
        <f>IF(I1707="","",IF(COUNTIF(I$2:I1707,I1707)=1,MAX(J$1:J1706)+1,""))</f>
        <v/>
      </c>
    </row>
    <row r="1708">
      <c r="A1708">
        <f>IFERROR(--SUBSTITUTE(SUBSTITUTE(TRIM(INDEX(INDIRECT("'Выгрузка'!A1708:Z1708"),Настройки!$B$7)),",","."),".",MID(1/2,2,1)),"")</f>
        <v/>
      </c>
      <c r="B1708">
        <f>IFERROR(--SUBSTITUTE(SUBSTITUTE(TRIM(INDEX(INDIRECT("'Выгрузка'!A1708:Z1708"),Настройки!$B$9)),",","."),".",MID(1/2,2,1)),"")</f>
        <v/>
      </c>
      <c r="C1708">
        <f>TRIM(INDEX(INDIRECT("'Выгрузка'!A1708:Z1708"),Настройки!$B$8)&amp;"")</f>
        <v/>
      </c>
      <c r="D1708">
        <f>IFERROR(--SUBSTITUTE(SUBSTITUTE(TRIM(INDEX(INDIRECT("'Выгрузка'!A1708:Z1708"),Настройки!$B$10)),",","."),".",MID(1/2,2,1)),"")</f>
        <v/>
      </c>
      <c r="E1708">
        <f>IFERROR(--SUBSTITUTE(SUBSTITUTE(TRIM(INDEX(INDIRECT("'Выгрузка'!A1708:Z1708"),Настройки!$B$11)),",","."),".",MID(1/2,2,1)),"")</f>
        <v/>
      </c>
      <c r="F1708">
        <f>TRIM(INDEX(INDIRECT("'Выгрузка'!A1708:Z1708"),Настройки!$B$12)&amp;"")</f>
        <v/>
      </c>
      <c r="G1708">
        <f>IF(F1708="",0,IF(TRIM(INDEX(INDIRECT("'Выгрузка'!A1708:Z1708"),Настройки!$B$13)&amp;"")="",1,IFERROR(--SUBSTITUTE(SUBSTITUTE(TRIM(INDEX(INDIRECT("'Выгрузка'!A1708:Z1708"),Настройки!$B$13)),",","."),".",MID(1/2,2,1)),"")))</f>
        <v/>
      </c>
      <c r="H1708">
        <f>IF(F1708="",0,IF(COUNTIF(Настройки!$B$17:$B$26,F1708)&gt;0,1,IF(COUNTIF(Настройки!$C$17:$C$26,F1708)&gt;0,2,IF(COUNTIF(Настройки!$D$17:$D$26,F1708)&gt;0,3,0))))</f>
        <v/>
      </c>
      <c r="I1708">
        <f>IF(AND(ISNUMBER(A1708),ISNUMBER(B1708)),A1708*1000+B1708,"")</f>
        <v/>
      </c>
      <c r="J1708">
        <f>IF(I1708="","",IF(COUNTIF(I$2:I1708,I1708)=1,MAX(J$1:J1707)+1,""))</f>
        <v/>
      </c>
    </row>
    <row r="1709">
      <c r="A1709">
        <f>IFERROR(--SUBSTITUTE(SUBSTITUTE(TRIM(INDEX(INDIRECT("'Выгрузка'!A1709:Z1709"),Настройки!$B$7)),",","."),".",MID(1/2,2,1)),"")</f>
        <v/>
      </c>
      <c r="B1709">
        <f>IFERROR(--SUBSTITUTE(SUBSTITUTE(TRIM(INDEX(INDIRECT("'Выгрузка'!A1709:Z1709"),Настройки!$B$9)),",","."),".",MID(1/2,2,1)),"")</f>
        <v/>
      </c>
      <c r="C1709">
        <f>TRIM(INDEX(INDIRECT("'Выгрузка'!A1709:Z1709"),Настройки!$B$8)&amp;"")</f>
        <v/>
      </c>
      <c r="D1709">
        <f>IFERROR(--SUBSTITUTE(SUBSTITUTE(TRIM(INDEX(INDIRECT("'Выгрузка'!A1709:Z1709"),Настройки!$B$10)),",","."),".",MID(1/2,2,1)),"")</f>
        <v/>
      </c>
      <c r="E1709">
        <f>IFERROR(--SUBSTITUTE(SUBSTITUTE(TRIM(INDEX(INDIRECT("'Выгрузка'!A1709:Z1709"),Настройки!$B$11)),",","."),".",MID(1/2,2,1)),"")</f>
        <v/>
      </c>
      <c r="F1709">
        <f>TRIM(INDEX(INDIRECT("'Выгрузка'!A1709:Z1709"),Настройки!$B$12)&amp;"")</f>
        <v/>
      </c>
      <c r="G1709">
        <f>IF(F1709="",0,IF(TRIM(INDEX(INDIRECT("'Выгрузка'!A1709:Z1709"),Настройки!$B$13)&amp;"")="",1,IFERROR(--SUBSTITUTE(SUBSTITUTE(TRIM(INDEX(INDIRECT("'Выгрузка'!A1709:Z1709"),Настройки!$B$13)),",","."),".",MID(1/2,2,1)),"")))</f>
        <v/>
      </c>
      <c r="H1709">
        <f>IF(F1709="",0,IF(COUNTIF(Настройки!$B$17:$B$26,F1709)&gt;0,1,IF(COUNTIF(Настройки!$C$17:$C$26,F1709)&gt;0,2,IF(COUNTIF(Настройки!$D$17:$D$26,F1709)&gt;0,3,0))))</f>
        <v/>
      </c>
      <c r="I1709">
        <f>IF(AND(ISNUMBER(A1709),ISNUMBER(B1709)),A1709*1000+B1709,"")</f>
        <v/>
      </c>
      <c r="J1709">
        <f>IF(I1709="","",IF(COUNTIF(I$2:I1709,I1709)=1,MAX(J$1:J1708)+1,""))</f>
        <v/>
      </c>
    </row>
    <row r="1710">
      <c r="A1710">
        <f>IFERROR(--SUBSTITUTE(SUBSTITUTE(TRIM(INDEX(INDIRECT("'Выгрузка'!A1710:Z1710"),Настройки!$B$7)),",","."),".",MID(1/2,2,1)),"")</f>
        <v/>
      </c>
      <c r="B1710">
        <f>IFERROR(--SUBSTITUTE(SUBSTITUTE(TRIM(INDEX(INDIRECT("'Выгрузка'!A1710:Z1710"),Настройки!$B$9)),",","."),".",MID(1/2,2,1)),"")</f>
        <v/>
      </c>
      <c r="C1710">
        <f>TRIM(INDEX(INDIRECT("'Выгрузка'!A1710:Z1710"),Настройки!$B$8)&amp;"")</f>
        <v/>
      </c>
      <c r="D1710">
        <f>IFERROR(--SUBSTITUTE(SUBSTITUTE(TRIM(INDEX(INDIRECT("'Выгрузка'!A1710:Z1710"),Настройки!$B$10)),",","."),".",MID(1/2,2,1)),"")</f>
        <v/>
      </c>
      <c r="E1710">
        <f>IFERROR(--SUBSTITUTE(SUBSTITUTE(TRIM(INDEX(INDIRECT("'Выгрузка'!A1710:Z1710"),Настройки!$B$11)),",","."),".",MID(1/2,2,1)),"")</f>
        <v/>
      </c>
      <c r="F1710">
        <f>TRIM(INDEX(INDIRECT("'Выгрузка'!A1710:Z1710"),Настройки!$B$12)&amp;"")</f>
        <v/>
      </c>
      <c r="G1710">
        <f>IF(F1710="",0,IF(TRIM(INDEX(INDIRECT("'Выгрузка'!A1710:Z1710"),Настройки!$B$13)&amp;"")="",1,IFERROR(--SUBSTITUTE(SUBSTITUTE(TRIM(INDEX(INDIRECT("'Выгрузка'!A1710:Z1710"),Настройки!$B$13)),",","."),".",MID(1/2,2,1)),"")))</f>
        <v/>
      </c>
      <c r="H1710">
        <f>IF(F1710="",0,IF(COUNTIF(Настройки!$B$17:$B$26,F1710)&gt;0,1,IF(COUNTIF(Настройки!$C$17:$C$26,F1710)&gt;0,2,IF(COUNTIF(Настройки!$D$17:$D$26,F1710)&gt;0,3,0))))</f>
        <v/>
      </c>
      <c r="I1710">
        <f>IF(AND(ISNUMBER(A1710),ISNUMBER(B1710)),A1710*1000+B1710,"")</f>
        <v/>
      </c>
      <c r="J1710">
        <f>IF(I1710="","",IF(COUNTIF(I$2:I1710,I1710)=1,MAX(J$1:J1709)+1,""))</f>
        <v/>
      </c>
    </row>
    <row r="1711">
      <c r="A1711">
        <f>IFERROR(--SUBSTITUTE(SUBSTITUTE(TRIM(INDEX(INDIRECT("'Выгрузка'!A1711:Z1711"),Настройки!$B$7)),",","."),".",MID(1/2,2,1)),"")</f>
        <v/>
      </c>
      <c r="B1711">
        <f>IFERROR(--SUBSTITUTE(SUBSTITUTE(TRIM(INDEX(INDIRECT("'Выгрузка'!A1711:Z1711"),Настройки!$B$9)),",","."),".",MID(1/2,2,1)),"")</f>
        <v/>
      </c>
      <c r="C1711">
        <f>TRIM(INDEX(INDIRECT("'Выгрузка'!A1711:Z1711"),Настройки!$B$8)&amp;"")</f>
        <v/>
      </c>
      <c r="D1711">
        <f>IFERROR(--SUBSTITUTE(SUBSTITUTE(TRIM(INDEX(INDIRECT("'Выгрузка'!A1711:Z1711"),Настройки!$B$10)),",","."),".",MID(1/2,2,1)),"")</f>
        <v/>
      </c>
      <c r="E1711">
        <f>IFERROR(--SUBSTITUTE(SUBSTITUTE(TRIM(INDEX(INDIRECT("'Выгрузка'!A1711:Z1711"),Настройки!$B$11)),",","."),".",MID(1/2,2,1)),"")</f>
        <v/>
      </c>
      <c r="F1711">
        <f>TRIM(INDEX(INDIRECT("'Выгрузка'!A1711:Z1711"),Настройки!$B$12)&amp;"")</f>
        <v/>
      </c>
      <c r="G1711">
        <f>IF(F1711="",0,IF(TRIM(INDEX(INDIRECT("'Выгрузка'!A1711:Z1711"),Настройки!$B$13)&amp;"")="",1,IFERROR(--SUBSTITUTE(SUBSTITUTE(TRIM(INDEX(INDIRECT("'Выгрузка'!A1711:Z1711"),Настройки!$B$13)),",","."),".",MID(1/2,2,1)),"")))</f>
        <v/>
      </c>
      <c r="H1711">
        <f>IF(F1711="",0,IF(COUNTIF(Настройки!$B$17:$B$26,F1711)&gt;0,1,IF(COUNTIF(Настройки!$C$17:$C$26,F1711)&gt;0,2,IF(COUNTIF(Настройки!$D$17:$D$26,F1711)&gt;0,3,0))))</f>
        <v/>
      </c>
      <c r="I1711">
        <f>IF(AND(ISNUMBER(A1711),ISNUMBER(B1711)),A1711*1000+B1711,"")</f>
        <v/>
      </c>
      <c r="J1711">
        <f>IF(I1711="","",IF(COUNTIF(I$2:I1711,I1711)=1,MAX(J$1:J1710)+1,""))</f>
        <v/>
      </c>
    </row>
    <row r="1712">
      <c r="A1712">
        <f>IFERROR(--SUBSTITUTE(SUBSTITUTE(TRIM(INDEX(INDIRECT("'Выгрузка'!A1712:Z1712"),Настройки!$B$7)),",","."),".",MID(1/2,2,1)),"")</f>
        <v/>
      </c>
      <c r="B1712">
        <f>IFERROR(--SUBSTITUTE(SUBSTITUTE(TRIM(INDEX(INDIRECT("'Выгрузка'!A1712:Z1712"),Настройки!$B$9)),",","."),".",MID(1/2,2,1)),"")</f>
        <v/>
      </c>
      <c r="C1712">
        <f>TRIM(INDEX(INDIRECT("'Выгрузка'!A1712:Z1712"),Настройки!$B$8)&amp;"")</f>
        <v/>
      </c>
      <c r="D1712">
        <f>IFERROR(--SUBSTITUTE(SUBSTITUTE(TRIM(INDEX(INDIRECT("'Выгрузка'!A1712:Z1712"),Настройки!$B$10)),",","."),".",MID(1/2,2,1)),"")</f>
        <v/>
      </c>
      <c r="E1712">
        <f>IFERROR(--SUBSTITUTE(SUBSTITUTE(TRIM(INDEX(INDIRECT("'Выгрузка'!A1712:Z1712"),Настройки!$B$11)),",","."),".",MID(1/2,2,1)),"")</f>
        <v/>
      </c>
      <c r="F1712">
        <f>TRIM(INDEX(INDIRECT("'Выгрузка'!A1712:Z1712"),Настройки!$B$12)&amp;"")</f>
        <v/>
      </c>
      <c r="G1712">
        <f>IF(F1712="",0,IF(TRIM(INDEX(INDIRECT("'Выгрузка'!A1712:Z1712"),Настройки!$B$13)&amp;"")="",1,IFERROR(--SUBSTITUTE(SUBSTITUTE(TRIM(INDEX(INDIRECT("'Выгрузка'!A1712:Z1712"),Настройки!$B$13)),",","."),".",MID(1/2,2,1)),"")))</f>
        <v/>
      </c>
      <c r="H1712">
        <f>IF(F1712="",0,IF(COUNTIF(Настройки!$B$17:$B$26,F1712)&gt;0,1,IF(COUNTIF(Настройки!$C$17:$C$26,F1712)&gt;0,2,IF(COUNTIF(Настройки!$D$17:$D$26,F1712)&gt;0,3,0))))</f>
        <v/>
      </c>
      <c r="I1712">
        <f>IF(AND(ISNUMBER(A1712),ISNUMBER(B1712)),A1712*1000+B1712,"")</f>
        <v/>
      </c>
      <c r="J1712">
        <f>IF(I1712="","",IF(COUNTIF(I$2:I1712,I1712)=1,MAX(J$1:J1711)+1,""))</f>
        <v/>
      </c>
    </row>
    <row r="1713">
      <c r="A1713">
        <f>IFERROR(--SUBSTITUTE(SUBSTITUTE(TRIM(INDEX(INDIRECT("'Выгрузка'!A1713:Z1713"),Настройки!$B$7)),",","."),".",MID(1/2,2,1)),"")</f>
        <v/>
      </c>
      <c r="B1713">
        <f>IFERROR(--SUBSTITUTE(SUBSTITUTE(TRIM(INDEX(INDIRECT("'Выгрузка'!A1713:Z1713"),Настройки!$B$9)),",","."),".",MID(1/2,2,1)),"")</f>
        <v/>
      </c>
      <c r="C1713">
        <f>TRIM(INDEX(INDIRECT("'Выгрузка'!A1713:Z1713"),Настройки!$B$8)&amp;"")</f>
        <v/>
      </c>
      <c r="D1713">
        <f>IFERROR(--SUBSTITUTE(SUBSTITUTE(TRIM(INDEX(INDIRECT("'Выгрузка'!A1713:Z1713"),Настройки!$B$10)),",","."),".",MID(1/2,2,1)),"")</f>
        <v/>
      </c>
      <c r="E1713">
        <f>IFERROR(--SUBSTITUTE(SUBSTITUTE(TRIM(INDEX(INDIRECT("'Выгрузка'!A1713:Z1713"),Настройки!$B$11)),",","."),".",MID(1/2,2,1)),"")</f>
        <v/>
      </c>
      <c r="F1713">
        <f>TRIM(INDEX(INDIRECT("'Выгрузка'!A1713:Z1713"),Настройки!$B$12)&amp;"")</f>
        <v/>
      </c>
      <c r="G1713">
        <f>IF(F1713="",0,IF(TRIM(INDEX(INDIRECT("'Выгрузка'!A1713:Z1713"),Настройки!$B$13)&amp;"")="",1,IFERROR(--SUBSTITUTE(SUBSTITUTE(TRIM(INDEX(INDIRECT("'Выгрузка'!A1713:Z1713"),Настройки!$B$13)),",","."),".",MID(1/2,2,1)),"")))</f>
        <v/>
      </c>
      <c r="H1713">
        <f>IF(F1713="",0,IF(COUNTIF(Настройки!$B$17:$B$26,F1713)&gt;0,1,IF(COUNTIF(Настройки!$C$17:$C$26,F1713)&gt;0,2,IF(COUNTIF(Настройки!$D$17:$D$26,F1713)&gt;0,3,0))))</f>
        <v/>
      </c>
      <c r="I1713">
        <f>IF(AND(ISNUMBER(A1713),ISNUMBER(B1713)),A1713*1000+B1713,"")</f>
        <v/>
      </c>
      <c r="J1713">
        <f>IF(I1713="","",IF(COUNTIF(I$2:I1713,I1713)=1,MAX(J$1:J1712)+1,""))</f>
        <v/>
      </c>
    </row>
    <row r="1714">
      <c r="A1714">
        <f>IFERROR(--SUBSTITUTE(SUBSTITUTE(TRIM(INDEX(INDIRECT("'Выгрузка'!A1714:Z1714"),Настройки!$B$7)),",","."),".",MID(1/2,2,1)),"")</f>
        <v/>
      </c>
      <c r="B1714">
        <f>IFERROR(--SUBSTITUTE(SUBSTITUTE(TRIM(INDEX(INDIRECT("'Выгрузка'!A1714:Z1714"),Настройки!$B$9)),",","."),".",MID(1/2,2,1)),"")</f>
        <v/>
      </c>
      <c r="C1714">
        <f>TRIM(INDEX(INDIRECT("'Выгрузка'!A1714:Z1714"),Настройки!$B$8)&amp;"")</f>
        <v/>
      </c>
      <c r="D1714">
        <f>IFERROR(--SUBSTITUTE(SUBSTITUTE(TRIM(INDEX(INDIRECT("'Выгрузка'!A1714:Z1714"),Настройки!$B$10)),",","."),".",MID(1/2,2,1)),"")</f>
        <v/>
      </c>
      <c r="E1714">
        <f>IFERROR(--SUBSTITUTE(SUBSTITUTE(TRIM(INDEX(INDIRECT("'Выгрузка'!A1714:Z1714"),Настройки!$B$11)),",","."),".",MID(1/2,2,1)),"")</f>
        <v/>
      </c>
      <c r="F1714">
        <f>TRIM(INDEX(INDIRECT("'Выгрузка'!A1714:Z1714"),Настройки!$B$12)&amp;"")</f>
        <v/>
      </c>
      <c r="G1714">
        <f>IF(F1714="",0,IF(TRIM(INDEX(INDIRECT("'Выгрузка'!A1714:Z1714"),Настройки!$B$13)&amp;"")="",1,IFERROR(--SUBSTITUTE(SUBSTITUTE(TRIM(INDEX(INDIRECT("'Выгрузка'!A1714:Z1714"),Настройки!$B$13)),",","."),".",MID(1/2,2,1)),"")))</f>
        <v/>
      </c>
      <c r="H1714">
        <f>IF(F1714="",0,IF(COUNTIF(Настройки!$B$17:$B$26,F1714)&gt;0,1,IF(COUNTIF(Настройки!$C$17:$C$26,F1714)&gt;0,2,IF(COUNTIF(Настройки!$D$17:$D$26,F1714)&gt;0,3,0))))</f>
        <v/>
      </c>
      <c r="I1714">
        <f>IF(AND(ISNUMBER(A1714),ISNUMBER(B1714)),A1714*1000+B1714,"")</f>
        <v/>
      </c>
      <c r="J1714">
        <f>IF(I1714="","",IF(COUNTIF(I$2:I1714,I1714)=1,MAX(J$1:J1713)+1,""))</f>
        <v/>
      </c>
    </row>
    <row r="1715">
      <c r="A1715">
        <f>IFERROR(--SUBSTITUTE(SUBSTITUTE(TRIM(INDEX(INDIRECT("'Выгрузка'!A1715:Z1715"),Настройки!$B$7)),",","."),".",MID(1/2,2,1)),"")</f>
        <v/>
      </c>
      <c r="B1715">
        <f>IFERROR(--SUBSTITUTE(SUBSTITUTE(TRIM(INDEX(INDIRECT("'Выгрузка'!A1715:Z1715"),Настройки!$B$9)),",","."),".",MID(1/2,2,1)),"")</f>
        <v/>
      </c>
      <c r="C1715">
        <f>TRIM(INDEX(INDIRECT("'Выгрузка'!A1715:Z1715"),Настройки!$B$8)&amp;"")</f>
        <v/>
      </c>
      <c r="D1715">
        <f>IFERROR(--SUBSTITUTE(SUBSTITUTE(TRIM(INDEX(INDIRECT("'Выгрузка'!A1715:Z1715"),Настройки!$B$10)),",","."),".",MID(1/2,2,1)),"")</f>
        <v/>
      </c>
      <c r="E1715">
        <f>IFERROR(--SUBSTITUTE(SUBSTITUTE(TRIM(INDEX(INDIRECT("'Выгрузка'!A1715:Z1715"),Настройки!$B$11)),",","."),".",MID(1/2,2,1)),"")</f>
        <v/>
      </c>
      <c r="F1715">
        <f>TRIM(INDEX(INDIRECT("'Выгрузка'!A1715:Z1715"),Настройки!$B$12)&amp;"")</f>
        <v/>
      </c>
      <c r="G1715">
        <f>IF(F1715="",0,IF(TRIM(INDEX(INDIRECT("'Выгрузка'!A1715:Z1715"),Настройки!$B$13)&amp;"")="",1,IFERROR(--SUBSTITUTE(SUBSTITUTE(TRIM(INDEX(INDIRECT("'Выгрузка'!A1715:Z1715"),Настройки!$B$13)),",","."),".",MID(1/2,2,1)),"")))</f>
        <v/>
      </c>
      <c r="H1715">
        <f>IF(F1715="",0,IF(COUNTIF(Настройки!$B$17:$B$26,F1715)&gt;0,1,IF(COUNTIF(Настройки!$C$17:$C$26,F1715)&gt;0,2,IF(COUNTIF(Настройки!$D$17:$D$26,F1715)&gt;0,3,0))))</f>
        <v/>
      </c>
      <c r="I1715">
        <f>IF(AND(ISNUMBER(A1715),ISNUMBER(B1715)),A1715*1000+B1715,"")</f>
        <v/>
      </c>
      <c r="J1715">
        <f>IF(I1715="","",IF(COUNTIF(I$2:I1715,I1715)=1,MAX(J$1:J1714)+1,""))</f>
        <v/>
      </c>
    </row>
    <row r="1716">
      <c r="A1716">
        <f>IFERROR(--SUBSTITUTE(SUBSTITUTE(TRIM(INDEX(INDIRECT("'Выгрузка'!A1716:Z1716"),Настройки!$B$7)),",","."),".",MID(1/2,2,1)),"")</f>
        <v/>
      </c>
      <c r="B1716">
        <f>IFERROR(--SUBSTITUTE(SUBSTITUTE(TRIM(INDEX(INDIRECT("'Выгрузка'!A1716:Z1716"),Настройки!$B$9)),",","."),".",MID(1/2,2,1)),"")</f>
        <v/>
      </c>
      <c r="C1716">
        <f>TRIM(INDEX(INDIRECT("'Выгрузка'!A1716:Z1716"),Настройки!$B$8)&amp;"")</f>
        <v/>
      </c>
      <c r="D1716">
        <f>IFERROR(--SUBSTITUTE(SUBSTITUTE(TRIM(INDEX(INDIRECT("'Выгрузка'!A1716:Z1716"),Настройки!$B$10)),",","."),".",MID(1/2,2,1)),"")</f>
        <v/>
      </c>
      <c r="E1716">
        <f>IFERROR(--SUBSTITUTE(SUBSTITUTE(TRIM(INDEX(INDIRECT("'Выгрузка'!A1716:Z1716"),Настройки!$B$11)),",","."),".",MID(1/2,2,1)),"")</f>
        <v/>
      </c>
      <c r="F1716">
        <f>TRIM(INDEX(INDIRECT("'Выгрузка'!A1716:Z1716"),Настройки!$B$12)&amp;"")</f>
        <v/>
      </c>
      <c r="G1716">
        <f>IF(F1716="",0,IF(TRIM(INDEX(INDIRECT("'Выгрузка'!A1716:Z1716"),Настройки!$B$13)&amp;"")="",1,IFERROR(--SUBSTITUTE(SUBSTITUTE(TRIM(INDEX(INDIRECT("'Выгрузка'!A1716:Z1716"),Настройки!$B$13)),",","."),".",MID(1/2,2,1)),"")))</f>
        <v/>
      </c>
      <c r="H1716">
        <f>IF(F1716="",0,IF(COUNTIF(Настройки!$B$17:$B$26,F1716)&gt;0,1,IF(COUNTIF(Настройки!$C$17:$C$26,F1716)&gt;0,2,IF(COUNTIF(Настройки!$D$17:$D$26,F1716)&gt;0,3,0))))</f>
        <v/>
      </c>
      <c r="I1716">
        <f>IF(AND(ISNUMBER(A1716),ISNUMBER(B1716)),A1716*1000+B1716,"")</f>
        <v/>
      </c>
      <c r="J1716">
        <f>IF(I1716="","",IF(COUNTIF(I$2:I1716,I1716)=1,MAX(J$1:J1715)+1,""))</f>
        <v/>
      </c>
    </row>
    <row r="1717">
      <c r="A1717">
        <f>IFERROR(--SUBSTITUTE(SUBSTITUTE(TRIM(INDEX(INDIRECT("'Выгрузка'!A1717:Z1717"),Настройки!$B$7)),",","."),".",MID(1/2,2,1)),"")</f>
        <v/>
      </c>
      <c r="B1717">
        <f>IFERROR(--SUBSTITUTE(SUBSTITUTE(TRIM(INDEX(INDIRECT("'Выгрузка'!A1717:Z1717"),Настройки!$B$9)),",","."),".",MID(1/2,2,1)),"")</f>
        <v/>
      </c>
      <c r="C1717">
        <f>TRIM(INDEX(INDIRECT("'Выгрузка'!A1717:Z1717"),Настройки!$B$8)&amp;"")</f>
        <v/>
      </c>
      <c r="D1717">
        <f>IFERROR(--SUBSTITUTE(SUBSTITUTE(TRIM(INDEX(INDIRECT("'Выгрузка'!A1717:Z1717"),Настройки!$B$10)),",","."),".",MID(1/2,2,1)),"")</f>
        <v/>
      </c>
      <c r="E1717">
        <f>IFERROR(--SUBSTITUTE(SUBSTITUTE(TRIM(INDEX(INDIRECT("'Выгрузка'!A1717:Z1717"),Настройки!$B$11)),",","."),".",MID(1/2,2,1)),"")</f>
        <v/>
      </c>
      <c r="F1717">
        <f>TRIM(INDEX(INDIRECT("'Выгрузка'!A1717:Z1717"),Настройки!$B$12)&amp;"")</f>
        <v/>
      </c>
      <c r="G1717">
        <f>IF(F1717="",0,IF(TRIM(INDEX(INDIRECT("'Выгрузка'!A1717:Z1717"),Настройки!$B$13)&amp;"")="",1,IFERROR(--SUBSTITUTE(SUBSTITUTE(TRIM(INDEX(INDIRECT("'Выгрузка'!A1717:Z1717"),Настройки!$B$13)),",","."),".",MID(1/2,2,1)),"")))</f>
        <v/>
      </c>
      <c r="H1717">
        <f>IF(F1717="",0,IF(COUNTIF(Настройки!$B$17:$B$26,F1717)&gt;0,1,IF(COUNTIF(Настройки!$C$17:$C$26,F1717)&gt;0,2,IF(COUNTIF(Настройки!$D$17:$D$26,F1717)&gt;0,3,0))))</f>
        <v/>
      </c>
      <c r="I1717">
        <f>IF(AND(ISNUMBER(A1717),ISNUMBER(B1717)),A1717*1000+B1717,"")</f>
        <v/>
      </c>
      <c r="J1717">
        <f>IF(I1717="","",IF(COUNTIF(I$2:I1717,I1717)=1,MAX(J$1:J1716)+1,""))</f>
        <v/>
      </c>
    </row>
    <row r="1718">
      <c r="A1718">
        <f>IFERROR(--SUBSTITUTE(SUBSTITUTE(TRIM(INDEX(INDIRECT("'Выгрузка'!A1718:Z1718"),Настройки!$B$7)),",","."),".",MID(1/2,2,1)),"")</f>
        <v/>
      </c>
      <c r="B1718">
        <f>IFERROR(--SUBSTITUTE(SUBSTITUTE(TRIM(INDEX(INDIRECT("'Выгрузка'!A1718:Z1718"),Настройки!$B$9)),",","."),".",MID(1/2,2,1)),"")</f>
        <v/>
      </c>
      <c r="C1718">
        <f>TRIM(INDEX(INDIRECT("'Выгрузка'!A1718:Z1718"),Настройки!$B$8)&amp;"")</f>
        <v/>
      </c>
      <c r="D1718">
        <f>IFERROR(--SUBSTITUTE(SUBSTITUTE(TRIM(INDEX(INDIRECT("'Выгрузка'!A1718:Z1718"),Настройки!$B$10)),",","."),".",MID(1/2,2,1)),"")</f>
        <v/>
      </c>
      <c r="E1718">
        <f>IFERROR(--SUBSTITUTE(SUBSTITUTE(TRIM(INDEX(INDIRECT("'Выгрузка'!A1718:Z1718"),Настройки!$B$11)),",","."),".",MID(1/2,2,1)),"")</f>
        <v/>
      </c>
      <c r="F1718">
        <f>TRIM(INDEX(INDIRECT("'Выгрузка'!A1718:Z1718"),Настройки!$B$12)&amp;"")</f>
        <v/>
      </c>
      <c r="G1718">
        <f>IF(F1718="",0,IF(TRIM(INDEX(INDIRECT("'Выгрузка'!A1718:Z1718"),Настройки!$B$13)&amp;"")="",1,IFERROR(--SUBSTITUTE(SUBSTITUTE(TRIM(INDEX(INDIRECT("'Выгрузка'!A1718:Z1718"),Настройки!$B$13)),",","."),".",MID(1/2,2,1)),"")))</f>
        <v/>
      </c>
      <c r="H1718">
        <f>IF(F1718="",0,IF(COUNTIF(Настройки!$B$17:$B$26,F1718)&gt;0,1,IF(COUNTIF(Настройки!$C$17:$C$26,F1718)&gt;0,2,IF(COUNTIF(Настройки!$D$17:$D$26,F1718)&gt;0,3,0))))</f>
        <v/>
      </c>
      <c r="I1718">
        <f>IF(AND(ISNUMBER(A1718),ISNUMBER(B1718)),A1718*1000+B1718,"")</f>
        <v/>
      </c>
      <c r="J1718">
        <f>IF(I1718="","",IF(COUNTIF(I$2:I1718,I1718)=1,MAX(J$1:J1717)+1,""))</f>
        <v/>
      </c>
    </row>
    <row r="1719">
      <c r="A1719">
        <f>IFERROR(--SUBSTITUTE(SUBSTITUTE(TRIM(INDEX(INDIRECT("'Выгрузка'!A1719:Z1719"),Настройки!$B$7)),",","."),".",MID(1/2,2,1)),"")</f>
        <v/>
      </c>
      <c r="B1719">
        <f>IFERROR(--SUBSTITUTE(SUBSTITUTE(TRIM(INDEX(INDIRECT("'Выгрузка'!A1719:Z1719"),Настройки!$B$9)),",","."),".",MID(1/2,2,1)),"")</f>
        <v/>
      </c>
      <c r="C1719">
        <f>TRIM(INDEX(INDIRECT("'Выгрузка'!A1719:Z1719"),Настройки!$B$8)&amp;"")</f>
        <v/>
      </c>
      <c r="D1719">
        <f>IFERROR(--SUBSTITUTE(SUBSTITUTE(TRIM(INDEX(INDIRECT("'Выгрузка'!A1719:Z1719"),Настройки!$B$10)),",","."),".",MID(1/2,2,1)),"")</f>
        <v/>
      </c>
      <c r="E1719">
        <f>IFERROR(--SUBSTITUTE(SUBSTITUTE(TRIM(INDEX(INDIRECT("'Выгрузка'!A1719:Z1719"),Настройки!$B$11)),",","."),".",MID(1/2,2,1)),"")</f>
        <v/>
      </c>
      <c r="F1719">
        <f>TRIM(INDEX(INDIRECT("'Выгрузка'!A1719:Z1719"),Настройки!$B$12)&amp;"")</f>
        <v/>
      </c>
      <c r="G1719">
        <f>IF(F1719="",0,IF(TRIM(INDEX(INDIRECT("'Выгрузка'!A1719:Z1719"),Настройки!$B$13)&amp;"")="",1,IFERROR(--SUBSTITUTE(SUBSTITUTE(TRIM(INDEX(INDIRECT("'Выгрузка'!A1719:Z1719"),Настройки!$B$13)),",","."),".",MID(1/2,2,1)),"")))</f>
        <v/>
      </c>
      <c r="H1719">
        <f>IF(F1719="",0,IF(COUNTIF(Настройки!$B$17:$B$26,F1719)&gt;0,1,IF(COUNTIF(Настройки!$C$17:$C$26,F1719)&gt;0,2,IF(COUNTIF(Настройки!$D$17:$D$26,F1719)&gt;0,3,0))))</f>
        <v/>
      </c>
      <c r="I1719">
        <f>IF(AND(ISNUMBER(A1719),ISNUMBER(B1719)),A1719*1000+B1719,"")</f>
        <v/>
      </c>
      <c r="J1719">
        <f>IF(I1719="","",IF(COUNTIF(I$2:I1719,I1719)=1,MAX(J$1:J1718)+1,""))</f>
        <v/>
      </c>
    </row>
    <row r="1720">
      <c r="A1720">
        <f>IFERROR(--SUBSTITUTE(SUBSTITUTE(TRIM(INDEX(INDIRECT("'Выгрузка'!A1720:Z1720"),Настройки!$B$7)),",","."),".",MID(1/2,2,1)),"")</f>
        <v/>
      </c>
      <c r="B1720">
        <f>IFERROR(--SUBSTITUTE(SUBSTITUTE(TRIM(INDEX(INDIRECT("'Выгрузка'!A1720:Z1720"),Настройки!$B$9)),",","."),".",MID(1/2,2,1)),"")</f>
        <v/>
      </c>
      <c r="C1720">
        <f>TRIM(INDEX(INDIRECT("'Выгрузка'!A1720:Z1720"),Настройки!$B$8)&amp;"")</f>
        <v/>
      </c>
      <c r="D1720">
        <f>IFERROR(--SUBSTITUTE(SUBSTITUTE(TRIM(INDEX(INDIRECT("'Выгрузка'!A1720:Z1720"),Настройки!$B$10)),",","."),".",MID(1/2,2,1)),"")</f>
        <v/>
      </c>
      <c r="E1720">
        <f>IFERROR(--SUBSTITUTE(SUBSTITUTE(TRIM(INDEX(INDIRECT("'Выгрузка'!A1720:Z1720"),Настройки!$B$11)),",","."),".",MID(1/2,2,1)),"")</f>
        <v/>
      </c>
      <c r="F1720">
        <f>TRIM(INDEX(INDIRECT("'Выгрузка'!A1720:Z1720"),Настройки!$B$12)&amp;"")</f>
        <v/>
      </c>
      <c r="G1720">
        <f>IF(F1720="",0,IF(TRIM(INDEX(INDIRECT("'Выгрузка'!A1720:Z1720"),Настройки!$B$13)&amp;"")="",1,IFERROR(--SUBSTITUTE(SUBSTITUTE(TRIM(INDEX(INDIRECT("'Выгрузка'!A1720:Z1720"),Настройки!$B$13)),",","."),".",MID(1/2,2,1)),"")))</f>
        <v/>
      </c>
      <c r="H1720">
        <f>IF(F1720="",0,IF(COUNTIF(Настройки!$B$17:$B$26,F1720)&gt;0,1,IF(COUNTIF(Настройки!$C$17:$C$26,F1720)&gt;0,2,IF(COUNTIF(Настройки!$D$17:$D$26,F1720)&gt;0,3,0))))</f>
        <v/>
      </c>
      <c r="I1720">
        <f>IF(AND(ISNUMBER(A1720),ISNUMBER(B1720)),A1720*1000+B1720,"")</f>
        <v/>
      </c>
      <c r="J1720">
        <f>IF(I1720="","",IF(COUNTIF(I$2:I1720,I1720)=1,MAX(J$1:J1719)+1,""))</f>
        <v/>
      </c>
    </row>
    <row r="1721">
      <c r="A1721">
        <f>IFERROR(--SUBSTITUTE(SUBSTITUTE(TRIM(INDEX(INDIRECT("'Выгрузка'!A1721:Z1721"),Настройки!$B$7)),",","."),".",MID(1/2,2,1)),"")</f>
        <v/>
      </c>
      <c r="B1721">
        <f>IFERROR(--SUBSTITUTE(SUBSTITUTE(TRIM(INDEX(INDIRECT("'Выгрузка'!A1721:Z1721"),Настройки!$B$9)),",","."),".",MID(1/2,2,1)),"")</f>
        <v/>
      </c>
      <c r="C1721">
        <f>TRIM(INDEX(INDIRECT("'Выгрузка'!A1721:Z1721"),Настройки!$B$8)&amp;"")</f>
        <v/>
      </c>
      <c r="D1721">
        <f>IFERROR(--SUBSTITUTE(SUBSTITUTE(TRIM(INDEX(INDIRECT("'Выгрузка'!A1721:Z1721"),Настройки!$B$10)),",","."),".",MID(1/2,2,1)),"")</f>
        <v/>
      </c>
      <c r="E1721">
        <f>IFERROR(--SUBSTITUTE(SUBSTITUTE(TRIM(INDEX(INDIRECT("'Выгрузка'!A1721:Z1721"),Настройки!$B$11)),",","."),".",MID(1/2,2,1)),"")</f>
        <v/>
      </c>
      <c r="F1721">
        <f>TRIM(INDEX(INDIRECT("'Выгрузка'!A1721:Z1721"),Настройки!$B$12)&amp;"")</f>
        <v/>
      </c>
      <c r="G1721">
        <f>IF(F1721="",0,IF(TRIM(INDEX(INDIRECT("'Выгрузка'!A1721:Z1721"),Настройки!$B$13)&amp;"")="",1,IFERROR(--SUBSTITUTE(SUBSTITUTE(TRIM(INDEX(INDIRECT("'Выгрузка'!A1721:Z1721"),Настройки!$B$13)),",","."),".",MID(1/2,2,1)),"")))</f>
        <v/>
      </c>
      <c r="H1721">
        <f>IF(F1721="",0,IF(COUNTIF(Настройки!$B$17:$B$26,F1721)&gt;0,1,IF(COUNTIF(Настройки!$C$17:$C$26,F1721)&gt;0,2,IF(COUNTIF(Настройки!$D$17:$D$26,F1721)&gt;0,3,0))))</f>
        <v/>
      </c>
      <c r="I1721">
        <f>IF(AND(ISNUMBER(A1721),ISNUMBER(B1721)),A1721*1000+B1721,"")</f>
        <v/>
      </c>
      <c r="J1721">
        <f>IF(I1721="","",IF(COUNTIF(I$2:I1721,I1721)=1,MAX(J$1:J1720)+1,""))</f>
        <v/>
      </c>
    </row>
    <row r="1722">
      <c r="A1722">
        <f>IFERROR(--SUBSTITUTE(SUBSTITUTE(TRIM(INDEX(INDIRECT("'Выгрузка'!A1722:Z1722"),Настройки!$B$7)),",","."),".",MID(1/2,2,1)),"")</f>
        <v/>
      </c>
      <c r="B1722">
        <f>IFERROR(--SUBSTITUTE(SUBSTITUTE(TRIM(INDEX(INDIRECT("'Выгрузка'!A1722:Z1722"),Настройки!$B$9)),",","."),".",MID(1/2,2,1)),"")</f>
        <v/>
      </c>
      <c r="C1722">
        <f>TRIM(INDEX(INDIRECT("'Выгрузка'!A1722:Z1722"),Настройки!$B$8)&amp;"")</f>
        <v/>
      </c>
      <c r="D1722">
        <f>IFERROR(--SUBSTITUTE(SUBSTITUTE(TRIM(INDEX(INDIRECT("'Выгрузка'!A1722:Z1722"),Настройки!$B$10)),",","."),".",MID(1/2,2,1)),"")</f>
        <v/>
      </c>
      <c r="E1722">
        <f>IFERROR(--SUBSTITUTE(SUBSTITUTE(TRIM(INDEX(INDIRECT("'Выгрузка'!A1722:Z1722"),Настройки!$B$11)),",","."),".",MID(1/2,2,1)),"")</f>
        <v/>
      </c>
      <c r="F1722">
        <f>TRIM(INDEX(INDIRECT("'Выгрузка'!A1722:Z1722"),Настройки!$B$12)&amp;"")</f>
        <v/>
      </c>
      <c r="G1722">
        <f>IF(F1722="",0,IF(TRIM(INDEX(INDIRECT("'Выгрузка'!A1722:Z1722"),Настройки!$B$13)&amp;"")="",1,IFERROR(--SUBSTITUTE(SUBSTITUTE(TRIM(INDEX(INDIRECT("'Выгрузка'!A1722:Z1722"),Настройки!$B$13)),",","."),".",MID(1/2,2,1)),"")))</f>
        <v/>
      </c>
      <c r="H1722">
        <f>IF(F1722="",0,IF(COUNTIF(Настройки!$B$17:$B$26,F1722)&gt;0,1,IF(COUNTIF(Настройки!$C$17:$C$26,F1722)&gt;0,2,IF(COUNTIF(Настройки!$D$17:$D$26,F1722)&gt;0,3,0))))</f>
        <v/>
      </c>
      <c r="I1722">
        <f>IF(AND(ISNUMBER(A1722),ISNUMBER(B1722)),A1722*1000+B1722,"")</f>
        <v/>
      </c>
      <c r="J1722">
        <f>IF(I1722="","",IF(COUNTIF(I$2:I1722,I1722)=1,MAX(J$1:J1721)+1,""))</f>
        <v/>
      </c>
    </row>
    <row r="1723">
      <c r="A1723">
        <f>IFERROR(--SUBSTITUTE(SUBSTITUTE(TRIM(INDEX(INDIRECT("'Выгрузка'!A1723:Z1723"),Настройки!$B$7)),",","."),".",MID(1/2,2,1)),"")</f>
        <v/>
      </c>
      <c r="B1723">
        <f>IFERROR(--SUBSTITUTE(SUBSTITUTE(TRIM(INDEX(INDIRECT("'Выгрузка'!A1723:Z1723"),Настройки!$B$9)),",","."),".",MID(1/2,2,1)),"")</f>
        <v/>
      </c>
      <c r="C1723">
        <f>TRIM(INDEX(INDIRECT("'Выгрузка'!A1723:Z1723"),Настройки!$B$8)&amp;"")</f>
        <v/>
      </c>
      <c r="D1723">
        <f>IFERROR(--SUBSTITUTE(SUBSTITUTE(TRIM(INDEX(INDIRECT("'Выгрузка'!A1723:Z1723"),Настройки!$B$10)),",","."),".",MID(1/2,2,1)),"")</f>
        <v/>
      </c>
      <c r="E1723">
        <f>IFERROR(--SUBSTITUTE(SUBSTITUTE(TRIM(INDEX(INDIRECT("'Выгрузка'!A1723:Z1723"),Настройки!$B$11)),",","."),".",MID(1/2,2,1)),"")</f>
        <v/>
      </c>
      <c r="F1723">
        <f>TRIM(INDEX(INDIRECT("'Выгрузка'!A1723:Z1723"),Настройки!$B$12)&amp;"")</f>
        <v/>
      </c>
      <c r="G1723">
        <f>IF(F1723="",0,IF(TRIM(INDEX(INDIRECT("'Выгрузка'!A1723:Z1723"),Настройки!$B$13)&amp;"")="",1,IFERROR(--SUBSTITUTE(SUBSTITUTE(TRIM(INDEX(INDIRECT("'Выгрузка'!A1723:Z1723"),Настройки!$B$13)),",","."),".",MID(1/2,2,1)),"")))</f>
        <v/>
      </c>
      <c r="H1723">
        <f>IF(F1723="",0,IF(COUNTIF(Настройки!$B$17:$B$26,F1723)&gt;0,1,IF(COUNTIF(Настройки!$C$17:$C$26,F1723)&gt;0,2,IF(COUNTIF(Настройки!$D$17:$D$26,F1723)&gt;0,3,0))))</f>
        <v/>
      </c>
      <c r="I1723">
        <f>IF(AND(ISNUMBER(A1723),ISNUMBER(B1723)),A1723*1000+B1723,"")</f>
        <v/>
      </c>
      <c r="J1723">
        <f>IF(I1723="","",IF(COUNTIF(I$2:I1723,I1723)=1,MAX(J$1:J1722)+1,""))</f>
        <v/>
      </c>
    </row>
    <row r="1724">
      <c r="A1724">
        <f>IFERROR(--SUBSTITUTE(SUBSTITUTE(TRIM(INDEX(INDIRECT("'Выгрузка'!A1724:Z1724"),Настройки!$B$7)),",","."),".",MID(1/2,2,1)),"")</f>
        <v/>
      </c>
      <c r="B1724">
        <f>IFERROR(--SUBSTITUTE(SUBSTITUTE(TRIM(INDEX(INDIRECT("'Выгрузка'!A1724:Z1724"),Настройки!$B$9)),",","."),".",MID(1/2,2,1)),"")</f>
        <v/>
      </c>
      <c r="C1724">
        <f>TRIM(INDEX(INDIRECT("'Выгрузка'!A1724:Z1724"),Настройки!$B$8)&amp;"")</f>
        <v/>
      </c>
      <c r="D1724">
        <f>IFERROR(--SUBSTITUTE(SUBSTITUTE(TRIM(INDEX(INDIRECT("'Выгрузка'!A1724:Z1724"),Настройки!$B$10)),",","."),".",MID(1/2,2,1)),"")</f>
        <v/>
      </c>
      <c r="E1724">
        <f>IFERROR(--SUBSTITUTE(SUBSTITUTE(TRIM(INDEX(INDIRECT("'Выгрузка'!A1724:Z1724"),Настройки!$B$11)),",","."),".",MID(1/2,2,1)),"")</f>
        <v/>
      </c>
      <c r="F1724">
        <f>TRIM(INDEX(INDIRECT("'Выгрузка'!A1724:Z1724"),Настройки!$B$12)&amp;"")</f>
        <v/>
      </c>
      <c r="G1724">
        <f>IF(F1724="",0,IF(TRIM(INDEX(INDIRECT("'Выгрузка'!A1724:Z1724"),Настройки!$B$13)&amp;"")="",1,IFERROR(--SUBSTITUTE(SUBSTITUTE(TRIM(INDEX(INDIRECT("'Выгрузка'!A1724:Z1724"),Настройки!$B$13)),",","."),".",MID(1/2,2,1)),"")))</f>
        <v/>
      </c>
      <c r="H1724">
        <f>IF(F1724="",0,IF(COUNTIF(Настройки!$B$17:$B$26,F1724)&gt;0,1,IF(COUNTIF(Настройки!$C$17:$C$26,F1724)&gt;0,2,IF(COUNTIF(Настройки!$D$17:$D$26,F1724)&gt;0,3,0))))</f>
        <v/>
      </c>
      <c r="I1724">
        <f>IF(AND(ISNUMBER(A1724),ISNUMBER(B1724)),A1724*1000+B1724,"")</f>
        <v/>
      </c>
      <c r="J1724">
        <f>IF(I1724="","",IF(COUNTIF(I$2:I1724,I1724)=1,MAX(J$1:J1723)+1,""))</f>
        <v/>
      </c>
    </row>
    <row r="1725">
      <c r="A1725">
        <f>IFERROR(--SUBSTITUTE(SUBSTITUTE(TRIM(INDEX(INDIRECT("'Выгрузка'!A1725:Z1725"),Настройки!$B$7)),",","."),".",MID(1/2,2,1)),"")</f>
        <v/>
      </c>
      <c r="B1725">
        <f>IFERROR(--SUBSTITUTE(SUBSTITUTE(TRIM(INDEX(INDIRECT("'Выгрузка'!A1725:Z1725"),Настройки!$B$9)),",","."),".",MID(1/2,2,1)),"")</f>
        <v/>
      </c>
      <c r="C1725">
        <f>TRIM(INDEX(INDIRECT("'Выгрузка'!A1725:Z1725"),Настройки!$B$8)&amp;"")</f>
        <v/>
      </c>
      <c r="D1725">
        <f>IFERROR(--SUBSTITUTE(SUBSTITUTE(TRIM(INDEX(INDIRECT("'Выгрузка'!A1725:Z1725"),Настройки!$B$10)),",","."),".",MID(1/2,2,1)),"")</f>
        <v/>
      </c>
      <c r="E1725">
        <f>IFERROR(--SUBSTITUTE(SUBSTITUTE(TRIM(INDEX(INDIRECT("'Выгрузка'!A1725:Z1725"),Настройки!$B$11)),",","."),".",MID(1/2,2,1)),"")</f>
        <v/>
      </c>
      <c r="F1725">
        <f>TRIM(INDEX(INDIRECT("'Выгрузка'!A1725:Z1725"),Настройки!$B$12)&amp;"")</f>
        <v/>
      </c>
      <c r="G1725">
        <f>IF(F1725="",0,IF(TRIM(INDEX(INDIRECT("'Выгрузка'!A1725:Z1725"),Настройки!$B$13)&amp;"")="",1,IFERROR(--SUBSTITUTE(SUBSTITUTE(TRIM(INDEX(INDIRECT("'Выгрузка'!A1725:Z1725"),Настройки!$B$13)),",","."),".",MID(1/2,2,1)),"")))</f>
        <v/>
      </c>
      <c r="H1725">
        <f>IF(F1725="",0,IF(COUNTIF(Настройки!$B$17:$B$26,F1725)&gt;0,1,IF(COUNTIF(Настройки!$C$17:$C$26,F1725)&gt;0,2,IF(COUNTIF(Настройки!$D$17:$D$26,F1725)&gt;0,3,0))))</f>
        <v/>
      </c>
      <c r="I1725">
        <f>IF(AND(ISNUMBER(A1725),ISNUMBER(B1725)),A1725*1000+B1725,"")</f>
        <v/>
      </c>
      <c r="J1725">
        <f>IF(I1725="","",IF(COUNTIF(I$2:I1725,I1725)=1,MAX(J$1:J1724)+1,""))</f>
        <v/>
      </c>
    </row>
    <row r="1726">
      <c r="A1726">
        <f>IFERROR(--SUBSTITUTE(SUBSTITUTE(TRIM(INDEX(INDIRECT("'Выгрузка'!A1726:Z1726"),Настройки!$B$7)),",","."),".",MID(1/2,2,1)),"")</f>
        <v/>
      </c>
      <c r="B1726">
        <f>IFERROR(--SUBSTITUTE(SUBSTITUTE(TRIM(INDEX(INDIRECT("'Выгрузка'!A1726:Z1726"),Настройки!$B$9)),",","."),".",MID(1/2,2,1)),"")</f>
        <v/>
      </c>
      <c r="C1726">
        <f>TRIM(INDEX(INDIRECT("'Выгрузка'!A1726:Z1726"),Настройки!$B$8)&amp;"")</f>
        <v/>
      </c>
      <c r="D1726">
        <f>IFERROR(--SUBSTITUTE(SUBSTITUTE(TRIM(INDEX(INDIRECT("'Выгрузка'!A1726:Z1726"),Настройки!$B$10)),",","."),".",MID(1/2,2,1)),"")</f>
        <v/>
      </c>
      <c r="E1726">
        <f>IFERROR(--SUBSTITUTE(SUBSTITUTE(TRIM(INDEX(INDIRECT("'Выгрузка'!A1726:Z1726"),Настройки!$B$11)),",","."),".",MID(1/2,2,1)),"")</f>
        <v/>
      </c>
      <c r="F1726">
        <f>TRIM(INDEX(INDIRECT("'Выгрузка'!A1726:Z1726"),Настройки!$B$12)&amp;"")</f>
        <v/>
      </c>
      <c r="G1726">
        <f>IF(F1726="",0,IF(TRIM(INDEX(INDIRECT("'Выгрузка'!A1726:Z1726"),Настройки!$B$13)&amp;"")="",1,IFERROR(--SUBSTITUTE(SUBSTITUTE(TRIM(INDEX(INDIRECT("'Выгрузка'!A1726:Z1726"),Настройки!$B$13)),",","."),".",MID(1/2,2,1)),"")))</f>
        <v/>
      </c>
      <c r="H1726">
        <f>IF(F1726="",0,IF(COUNTIF(Настройки!$B$17:$B$26,F1726)&gt;0,1,IF(COUNTIF(Настройки!$C$17:$C$26,F1726)&gt;0,2,IF(COUNTIF(Настройки!$D$17:$D$26,F1726)&gt;0,3,0))))</f>
        <v/>
      </c>
      <c r="I1726">
        <f>IF(AND(ISNUMBER(A1726),ISNUMBER(B1726)),A1726*1000+B1726,"")</f>
        <v/>
      </c>
      <c r="J1726">
        <f>IF(I1726="","",IF(COUNTIF(I$2:I1726,I1726)=1,MAX(J$1:J1725)+1,""))</f>
        <v/>
      </c>
    </row>
    <row r="1727">
      <c r="A1727">
        <f>IFERROR(--SUBSTITUTE(SUBSTITUTE(TRIM(INDEX(INDIRECT("'Выгрузка'!A1727:Z1727"),Настройки!$B$7)),",","."),".",MID(1/2,2,1)),"")</f>
        <v/>
      </c>
      <c r="B1727">
        <f>IFERROR(--SUBSTITUTE(SUBSTITUTE(TRIM(INDEX(INDIRECT("'Выгрузка'!A1727:Z1727"),Настройки!$B$9)),",","."),".",MID(1/2,2,1)),"")</f>
        <v/>
      </c>
      <c r="C1727">
        <f>TRIM(INDEX(INDIRECT("'Выгрузка'!A1727:Z1727"),Настройки!$B$8)&amp;"")</f>
        <v/>
      </c>
      <c r="D1727">
        <f>IFERROR(--SUBSTITUTE(SUBSTITUTE(TRIM(INDEX(INDIRECT("'Выгрузка'!A1727:Z1727"),Настройки!$B$10)),",","."),".",MID(1/2,2,1)),"")</f>
        <v/>
      </c>
      <c r="E1727">
        <f>IFERROR(--SUBSTITUTE(SUBSTITUTE(TRIM(INDEX(INDIRECT("'Выгрузка'!A1727:Z1727"),Настройки!$B$11)),",","."),".",MID(1/2,2,1)),"")</f>
        <v/>
      </c>
      <c r="F1727">
        <f>TRIM(INDEX(INDIRECT("'Выгрузка'!A1727:Z1727"),Настройки!$B$12)&amp;"")</f>
        <v/>
      </c>
      <c r="G1727">
        <f>IF(F1727="",0,IF(TRIM(INDEX(INDIRECT("'Выгрузка'!A1727:Z1727"),Настройки!$B$13)&amp;"")="",1,IFERROR(--SUBSTITUTE(SUBSTITUTE(TRIM(INDEX(INDIRECT("'Выгрузка'!A1727:Z1727"),Настройки!$B$13)),",","."),".",MID(1/2,2,1)),"")))</f>
        <v/>
      </c>
      <c r="H1727">
        <f>IF(F1727="",0,IF(COUNTIF(Настройки!$B$17:$B$26,F1727)&gt;0,1,IF(COUNTIF(Настройки!$C$17:$C$26,F1727)&gt;0,2,IF(COUNTIF(Настройки!$D$17:$D$26,F1727)&gt;0,3,0))))</f>
        <v/>
      </c>
      <c r="I1727">
        <f>IF(AND(ISNUMBER(A1727),ISNUMBER(B1727)),A1727*1000+B1727,"")</f>
        <v/>
      </c>
      <c r="J1727">
        <f>IF(I1727="","",IF(COUNTIF(I$2:I1727,I1727)=1,MAX(J$1:J1726)+1,""))</f>
        <v/>
      </c>
    </row>
    <row r="1728">
      <c r="A1728">
        <f>IFERROR(--SUBSTITUTE(SUBSTITUTE(TRIM(INDEX(INDIRECT("'Выгрузка'!A1728:Z1728"),Настройки!$B$7)),",","."),".",MID(1/2,2,1)),"")</f>
        <v/>
      </c>
      <c r="B1728">
        <f>IFERROR(--SUBSTITUTE(SUBSTITUTE(TRIM(INDEX(INDIRECT("'Выгрузка'!A1728:Z1728"),Настройки!$B$9)),",","."),".",MID(1/2,2,1)),"")</f>
        <v/>
      </c>
      <c r="C1728">
        <f>TRIM(INDEX(INDIRECT("'Выгрузка'!A1728:Z1728"),Настройки!$B$8)&amp;"")</f>
        <v/>
      </c>
      <c r="D1728">
        <f>IFERROR(--SUBSTITUTE(SUBSTITUTE(TRIM(INDEX(INDIRECT("'Выгрузка'!A1728:Z1728"),Настройки!$B$10)),",","."),".",MID(1/2,2,1)),"")</f>
        <v/>
      </c>
      <c r="E1728">
        <f>IFERROR(--SUBSTITUTE(SUBSTITUTE(TRIM(INDEX(INDIRECT("'Выгрузка'!A1728:Z1728"),Настройки!$B$11)),",","."),".",MID(1/2,2,1)),"")</f>
        <v/>
      </c>
      <c r="F1728">
        <f>TRIM(INDEX(INDIRECT("'Выгрузка'!A1728:Z1728"),Настройки!$B$12)&amp;"")</f>
        <v/>
      </c>
      <c r="G1728">
        <f>IF(F1728="",0,IF(TRIM(INDEX(INDIRECT("'Выгрузка'!A1728:Z1728"),Настройки!$B$13)&amp;"")="",1,IFERROR(--SUBSTITUTE(SUBSTITUTE(TRIM(INDEX(INDIRECT("'Выгрузка'!A1728:Z1728"),Настройки!$B$13)),",","."),".",MID(1/2,2,1)),"")))</f>
        <v/>
      </c>
      <c r="H1728">
        <f>IF(F1728="",0,IF(COUNTIF(Настройки!$B$17:$B$26,F1728)&gt;0,1,IF(COUNTIF(Настройки!$C$17:$C$26,F1728)&gt;0,2,IF(COUNTIF(Настройки!$D$17:$D$26,F1728)&gt;0,3,0))))</f>
        <v/>
      </c>
      <c r="I1728">
        <f>IF(AND(ISNUMBER(A1728),ISNUMBER(B1728)),A1728*1000+B1728,"")</f>
        <v/>
      </c>
      <c r="J1728">
        <f>IF(I1728="","",IF(COUNTIF(I$2:I1728,I1728)=1,MAX(J$1:J1727)+1,""))</f>
        <v/>
      </c>
    </row>
    <row r="1729">
      <c r="A1729">
        <f>IFERROR(--SUBSTITUTE(SUBSTITUTE(TRIM(INDEX(INDIRECT("'Выгрузка'!A1729:Z1729"),Настройки!$B$7)),",","."),".",MID(1/2,2,1)),"")</f>
        <v/>
      </c>
      <c r="B1729">
        <f>IFERROR(--SUBSTITUTE(SUBSTITUTE(TRIM(INDEX(INDIRECT("'Выгрузка'!A1729:Z1729"),Настройки!$B$9)),",","."),".",MID(1/2,2,1)),"")</f>
        <v/>
      </c>
      <c r="C1729">
        <f>TRIM(INDEX(INDIRECT("'Выгрузка'!A1729:Z1729"),Настройки!$B$8)&amp;"")</f>
        <v/>
      </c>
      <c r="D1729">
        <f>IFERROR(--SUBSTITUTE(SUBSTITUTE(TRIM(INDEX(INDIRECT("'Выгрузка'!A1729:Z1729"),Настройки!$B$10)),",","."),".",MID(1/2,2,1)),"")</f>
        <v/>
      </c>
      <c r="E1729">
        <f>IFERROR(--SUBSTITUTE(SUBSTITUTE(TRIM(INDEX(INDIRECT("'Выгрузка'!A1729:Z1729"),Настройки!$B$11)),",","."),".",MID(1/2,2,1)),"")</f>
        <v/>
      </c>
      <c r="F1729">
        <f>TRIM(INDEX(INDIRECT("'Выгрузка'!A1729:Z1729"),Настройки!$B$12)&amp;"")</f>
        <v/>
      </c>
      <c r="G1729">
        <f>IF(F1729="",0,IF(TRIM(INDEX(INDIRECT("'Выгрузка'!A1729:Z1729"),Настройки!$B$13)&amp;"")="",1,IFERROR(--SUBSTITUTE(SUBSTITUTE(TRIM(INDEX(INDIRECT("'Выгрузка'!A1729:Z1729"),Настройки!$B$13)),",","."),".",MID(1/2,2,1)),"")))</f>
        <v/>
      </c>
      <c r="H1729">
        <f>IF(F1729="",0,IF(COUNTIF(Настройки!$B$17:$B$26,F1729)&gt;0,1,IF(COUNTIF(Настройки!$C$17:$C$26,F1729)&gt;0,2,IF(COUNTIF(Настройки!$D$17:$D$26,F1729)&gt;0,3,0))))</f>
        <v/>
      </c>
      <c r="I1729">
        <f>IF(AND(ISNUMBER(A1729),ISNUMBER(B1729)),A1729*1000+B1729,"")</f>
        <v/>
      </c>
      <c r="J1729">
        <f>IF(I1729="","",IF(COUNTIF(I$2:I1729,I1729)=1,MAX(J$1:J1728)+1,""))</f>
        <v/>
      </c>
    </row>
    <row r="1730">
      <c r="A1730">
        <f>IFERROR(--SUBSTITUTE(SUBSTITUTE(TRIM(INDEX(INDIRECT("'Выгрузка'!A1730:Z1730"),Настройки!$B$7)),",","."),".",MID(1/2,2,1)),"")</f>
        <v/>
      </c>
      <c r="B1730">
        <f>IFERROR(--SUBSTITUTE(SUBSTITUTE(TRIM(INDEX(INDIRECT("'Выгрузка'!A1730:Z1730"),Настройки!$B$9)),",","."),".",MID(1/2,2,1)),"")</f>
        <v/>
      </c>
      <c r="C1730">
        <f>TRIM(INDEX(INDIRECT("'Выгрузка'!A1730:Z1730"),Настройки!$B$8)&amp;"")</f>
        <v/>
      </c>
      <c r="D1730">
        <f>IFERROR(--SUBSTITUTE(SUBSTITUTE(TRIM(INDEX(INDIRECT("'Выгрузка'!A1730:Z1730"),Настройки!$B$10)),",","."),".",MID(1/2,2,1)),"")</f>
        <v/>
      </c>
      <c r="E1730">
        <f>IFERROR(--SUBSTITUTE(SUBSTITUTE(TRIM(INDEX(INDIRECT("'Выгрузка'!A1730:Z1730"),Настройки!$B$11)),",","."),".",MID(1/2,2,1)),"")</f>
        <v/>
      </c>
      <c r="F1730">
        <f>TRIM(INDEX(INDIRECT("'Выгрузка'!A1730:Z1730"),Настройки!$B$12)&amp;"")</f>
        <v/>
      </c>
      <c r="G1730">
        <f>IF(F1730="",0,IF(TRIM(INDEX(INDIRECT("'Выгрузка'!A1730:Z1730"),Настройки!$B$13)&amp;"")="",1,IFERROR(--SUBSTITUTE(SUBSTITUTE(TRIM(INDEX(INDIRECT("'Выгрузка'!A1730:Z1730"),Настройки!$B$13)),",","."),".",MID(1/2,2,1)),"")))</f>
        <v/>
      </c>
      <c r="H1730">
        <f>IF(F1730="",0,IF(COUNTIF(Настройки!$B$17:$B$26,F1730)&gt;0,1,IF(COUNTIF(Настройки!$C$17:$C$26,F1730)&gt;0,2,IF(COUNTIF(Настройки!$D$17:$D$26,F1730)&gt;0,3,0))))</f>
        <v/>
      </c>
      <c r="I1730">
        <f>IF(AND(ISNUMBER(A1730),ISNUMBER(B1730)),A1730*1000+B1730,"")</f>
        <v/>
      </c>
      <c r="J1730">
        <f>IF(I1730="","",IF(COUNTIF(I$2:I1730,I1730)=1,MAX(J$1:J1729)+1,""))</f>
        <v/>
      </c>
    </row>
    <row r="1731">
      <c r="A1731">
        <f>IFERROR(--SUBSTITUTE(SUBSTITUTE(TRIM(INDEX(INDIRECT("'Выгрузка'!A1731:Z1731"),Настройки!$B$7)),",","."),".",MID(1/2,2,1)),"")</f>
        <v/>
      </c>
      <c r="B1731">
        <f>IFERROR(--SUBSTITUTE(SUBSTITUTE(TRIM(INDEX(INDIRECT("'Выгрузка'!A1731:Z1731"),Настройки!$B$9)),",","."),".",MID(1/2,2,1)),"")</f>
        <v/>
      </c>
      <c r="C1731">
        <f>TRIM(INDEX(INDIRECT("'Выгрузка'!A1731:Z1731"),Настройки!$B$8)&amp;"")</f>
        <v/>
      </c>
      <c r="D1731">
        <f>IFERROR(--SUBSTITUTE(SUBSTITUTE(TRIM(INDEX(INDIRECT("'Выгрузка'!A1731:Z1731"),Настройки!$B$10)),",","."),".",MID(1/2,2,1)),"")</f>
        <v/>
      </c>
      <c r="E1731">
        <f>IFERROR(--SUBSTITUTE(SUBSTITUTE(TRIM(INDEX(INDIRECT("'Выгрузка'!A1731:Z1731"),Настройки!$B$11)),",","."),".",MID(1/2,2,1)),"")</f>
        <v/>
      </c>
      <c r="F1731">
        <f>TRIM(INDEX(INDIRECT("'Выгрузка'!A1731:Z1731"),Настройки!$B$12)&amp;"")</f>
        <v/>
      </c>
      <c r="G1731">
        <f>IF(F1731="",0,IF(TRIM(INDEX(INDIRECT("'Выгрузка'!A1731:Z1731"),Настройки!$B$13)&amp;"")="",1,IFERROR(--SUBSTITUTE(SUBSTITUTE(TRIM(INDEX(INDIRECT("'Выгрузка'!A1731:Z1731"),Настройки!$B$13)),",","."),".",MID(1/2,2,1)),"")))</f>
        <v/>
      </c>
      <c r="H1731">
        <f>IF(F1731="",0,IF(COUNTIF(Настройки!$B$17:$B$26,F1731)&gt;0,1,IF(COUNTIF(Настройки!$C$17:$C$26,F1731)&gt;0,2,IF(COUNTIF(Настройки!$D$17:$D$26,F1731)&gt;0,3,0))))</f>
        <v/>
      </c>
      <c r="I1731">
        <f>IF(AND(ISNUMBER(A1731),ISNUMBER(B1731)),A1731*1000+B1731,"")</f>
        <v/>
      </c>
      <c r="J1731">
        <f>IF(I1731="","",IF(COUNTIF(I$2:I1731,I1731)=1,MAX(J$1:J1730)+1,""))</f>
        <v/>
      </c>
    </row>
    <row r="1732">
      <c r="A1732">
        <f>IFERROR(--SUBSTITUTE(SUBSTITUTE(TRIM(INDEX(INDIRECT("'Выгрузка'!A1732:Z1732"),Настройки!$B$7)),",","."),".",MID(1/2,2,1)),"")</f>
        <v/>
      </c>
      <c r="B1732">
        <f>IFERROR(--SUBSTITUTE(SUBSTITUTE(TRIM(INDEX(INDIRECT("'Выгрузка'!A1732:Z1732"),Настройки!$B$9)),",","."),".",MID(1/2,2,1)),"")</f>
        <v/>
      </c>
      <c r="C1732">
        <f>TRIM(INDEX(INDIRECT("'Выгрузка'!A1732:Z1732"),Настройки!$B$8)&amp;"")</f>
        <v/>
      </c>
      <c r="D1732">
        <f>IFERROR(--SUBSTITUTE(SUBSTITUTE(TRIM(INDEX(INDIRECT("'Выгрузка'!A1732:Z1732"),Настройки!$B$10)),",","."),".",MID(1/2,2,1)),"")</f>
        <v/>
      </c>
      <c r="E1732">
        <f>IFERROR(--SUBSTITUTE(SUBSTITUTE(TRIM(INDEX(INDIRECT("'Выгрузка'!A1732:Z1732"),Настройки!$B$11)),",","."),".",MID(1/2,2,1)),"")</f>
        <v/>
      </c>
      <c r="F1732">
        <f>TRIM(INDEX(INDIRECT("'Выгрузка'!A1732:Z1732"),Настройки!$B$12)&amp;"")</f>
        <v/>
      </c>
      <c r="G1732">
        <f>IF(F1732="",0,IF(TRIM(INDEX(INDIRECT("'Выгрузка'!A1732:Z1732"),Настройки!$B$13)&amp;"")="",1,IFERROR(--SUBSTITUTE(SUBSTITUTE(TRIM(INDEX(INDIRECT("'Выгрузка'!A1732:Z1732"),Настройки!$B$13)),",","."),".",MID(1/2,2,1)),"")))</f>
        <v/>
      </c>
      <c r="H1732">
        <f>IF(F1732="",0,IF(COUNTIF(Настройки!$B$17:$B$26,F1732)&gt;0,1,IF(COUNTIF(Настройки!$C$17:$C$26,F1732)&gt;0,2,IF(COUNTIF(Настройки!$D$17:$D$26,F1732)&gt;0,3,0))))</f>
        <v/>
      </c>
      <c r="I1732">
        <f>IF(AND(ISNUMBER(A1732),ISNUMBER(B1732)),A1732*1000+B1732,"")</f>
        <v/>
      </c>
      <c r="J1732">
        <f>IF(I1732="","",IF(COUNTIF(I$2:I1732,I1732)=1,MAX(J$1:J1731)+1,""))</f>
        <v/>
      </c>
    </row>
    <row r="1733">
      <c r="A1733">
        <f>IFERROR(--SUBSTITUTE(SUBSTITUTE(TRIM(INDEX(INDIRECT("'Выгрузка'!A1733:Z1733"),Настройки!$B$7)),",","."),".",MID(1/2,2,1)),"")</f>
        <v/>
      </c>
      <c r="B1733">
        <f>IFERROR(--SUBSTITUTE(SUBSTITUTE(TRIM(INDEX(INDIRECT("'Выгрузка'!A1733:Z1733"),Настройки!$B$9)),",","."),".",MID(1/2,2,1)),"")</f>
        <v/>
      </c>
      <c r="C1733">
        <f>TRIM(INDEX(INDIRECT("'Выгрузка'!A1733:Z1733"),Настройки!$B$8)&amp;"")</f>
        <v/>
      </c>
      <c r="D1733">
        <f>IFERROR(--SUBSTITUTE(SUBSTITUTE(TRIM(INDEX(INDIRECT("'Выгрузка'!A1733:Z1733"),Настройки!$B$10)),",","."),".",MID(1/2,2,1)),"")</f>
        <v/>
      </c>
      <c r="E1733">
        <f>IFERROR(--SUBSTITUTE(SUBSTITUTE(TRIM(INDEX(INDIRECT("'Выгрузка'!A1733:Z1733"),Настройки!$B$11)),",","."),".",MID(1/2,2,1)),"")</f>
        <v/>
      </c>
      <c r="F1733">
        <f>TRIM(INDEX(INDIRECT("'Выгрузка'!A1733:Z1733"),Настройки!$B$12)&amp;"")</f>
        <v/>
      </c>
      <c r="G1733">
        <f>IF(F1733="",0,IF(TRIM(INDEX(INDIRECT("'Выгрузка'!A1733:Z1733"),Настройки!$B$13)&amp;"")="",1,IFERROR(--SUBSTITUTE(SUBSTITUTE(TRIM(INDEX(INDIRECT("'Выгрузка'!A1733:Z1733"),Настройки!$B$13)),",","."),".",MID(1/2,2,1)),"")))</f>
        <v/>
      </c>
      <c r="H1733">
        <f>IF(F1733="",0,IF(COUNTIF(Настройки!$B$17:$B$26,F1733)&gt;0,1,IF(COUNTIF(Настройки!$C$17:$C$26,F1733)&gt;0,2,IF(COUNTIF(Настройки!$D$17:$D$26,F1733)&gt;0,3,0))))</f>
        <v/>
      </c>
      <c r="I1733">
        <f>IF(AND(ISNUMBER(A1733),ISNUMBER(B1733)),A1733*1000+B1733,"")</f>
        <v/>
      </c>
      <c r="J1733">
        <f>IF(I1733="","",IF(COUNTIF(I$2:I1733,I1733)=1,MAX(J$1:J1732)+1,""))</f>
        <v/>
      </c>
    </row>
    <row r="1734">
      <c r="A1734">
        <f>IFERROR(--SUBSTITUTE(SUBSTITUTE(TRIM(INDEX(INDIRECT("'Выгрузка'!A1734:Z1734"),Настройки!$B$7)),",","."),".",MID(1/2,2,1)),"")</f>
        <v/>
      </c>
      <c r="B1734">
        <f>IFERROR(--SUBSTITUTE(SUBSTITUTE(TRIM(INDEX(INDIRECT("'Выгрузка'!A1734:Z1734"),Настройки!$B$9)),",","."),".",MID(1/2,2,1)),"")</f>
        <v/>
      </c>
      <c r="C1734">
        <f>TRIM(INDEX(INDIRECT("'Выгрузка'!A1734:Z1734"),Настройки!$B$8)&amp;"")</f>
        <v/>
      </c>
      <c r="D1734">
        <f>IFERROR(--SUBSTITUTE(SUBSTITUTE(TRIM(INDEX(INDIRECT("'Выгрузка'!A1734:Z1734"),Настройки!$B$10)),",","."),".",MID(1/2,2,1)),"")</f>
        <v/>
      </c>
      <c r="E1734">
        <f>IFERROR(--SUBSTITUTE(SUBSTITUTE(TRIM(INDEX(INDIRECT("'Выгрузка'!A1734:Z1734"),Настройки!$B$11)),",","."),".",MID(1/2,2,1)),"")</f>
        <v/>
      </c>
      <c r="F1734">
        <f>TRIM(INDEX(INDIRECT("'Выгрузка'!A1734:Z1734"),Настройки!$B$12)&amp;"")</f>
        <v/>
      </c>
      <c r="G1734">
        <f>IF(F1734="",0,IF(TRIM(INDEX(INDIRECT("'Выгрузка'!A1734:Z1734"),Настройки!$B$13)&amp;"")="",1,IFERROR(--SUBSTITUTE(SUBSTITUTE(TRIM(INDEX(INDIRECT("'Выгрузка'!A1734:Z1734"),Настройки!$B$13)),",","."),".",MID(1/2,2,1)),"")))</f>
        <v/>
      </c>
      <c r="H1734">
        <f>IF(F1734="",0,IF(COUNTIF(Настройки!$B$17:$B$26,F1734)&gt;0,1,IF(COUNTIF(Настройки!$C$17:$C$26,F1734)&gt;0,2,IF(COUNTIF(Настройки!$D$17:$D$26,F1734)&gt;0,3,0))))</f>
        <v/>
      </c>
      <c r="I1734">
        <f>IF(AND(ISNUMBER(A1734),ISNUMBER(B1734)),A1734*1000+B1734,"")</f>
        <v/>
      </c>
      <c r="J1734">
        <f>IF(I1734="","",IF(COUNTIF(I$2:I1734,I1734)=1,MAX(J$1:J1733)+1,""))</f>
        <v/>
      </c>
    </row>
    <row r="1735">
      <c r="A1735">
        <f>IFERROR(--SUBSTITUTE(SUBSTITUTE(TRIM(INDEX(INDIRECT("'Выгрузка'!A1735:Z1735"),Настройки!$B$7)),",","."),".",MID(1/2,2,1)),"")</f>
        <v/>
      </c>
      <c r="B1735">
        <f>IFERROR(--SUBSTITUTE(SUBSTITUTE(TRIM(INDEX(INDIRECT("'Выгрузка'!A1735:Z1735"),Настройки!$B$9)),",","."),".",MID(1/2,2,1)),"")</f>
        <v/>
      </c>
      <c r="C1735">
        <f>TRIM(INDEX(INDIRECT("'Выгрузка'!A1735:Z1735"),Настройки!$B$8)&amp;"")</f>
        <v/>
      </c>
      <c r="D1735">
        <f>IFERROR(--SUBSTITUTE(SUBSTITUTE(TRIM(INDEX(INDIRECT("'Выгрузка'!A1735:Z1735"),Настройки!$B$10)),",","."),".",MID(1/2,2,1)),"")</f>
        <v/>
      </c>
      <c r="E1735">
        <f>IFERROR(--SUBSTITUTE(SUBSTITUTE(TRIM(INDEX(INDIRECT("'Выгрузка'!A1735:Z1735"),Настройки!$B$11)),",","."),".",MID(1/2,2,1)),"")</f>
        <v/>
      </c>
      <c r="F1735">
        <f>TRIM(INDEX(INDIRECT("'Выгрузка'!A1735:Z1735"),Настройки!$B$12)&amp;"")</f>
        <v/>
      </c>
      <c r="G1735">
        <f>IF(F1735="",0,IF(TRIM(INDEX(INDIRECT("'Выгрузка'!A1735:Z1735"),Настройки!$B$13)&amp;"")="",1,IFERROR(--SUBSTITUTE(SUBSTITUTE(TRIM(INDEX(INDIRECT("'Выгрузка'!A1735:Z1735"),Настройки!$B$13)),",","."),".",MID(1/2,2,1)),"")))</f>
        <v/>
      </c>
      <c r="H1735">
        <f>IF(F1735="",0,IF(COUNTIF(Настройки!$B$17:$B$26,F1735)&gt;0,1,IF(COUNTIF(Настройки!$C$17:$C$26,F1735)&gt;0,2,IF(COUNTIF(Настройки!$D$17:$D$26,F1735)&gt;0,3,0))))</f>
        <v/>
      </c>
      <c r="I1735">
        <f>IF(AND(ISNUMBER(A1735),ISNUMBER(B1735)),A1735*1000+B1735,"")</f>
        <v/>
      </c>
      <c r="J1735">
        <f>IF(I1735="","",IF(COUNTIF(I$2:I1735,I1735)=1,MAX(J$1:J1734)+1,""))</f>
        <v/>
      </c>
    </row>
    <row r="1736">
      <c r="A1736">
        <f>IFERROR(--SUBSTITUTE(SUBSTITUTE(TRIM(INDEX(INDIRECT("'Выгрузка'!A1736:Z1736"),Настройки!$B$7)),",","."),".",MID(1/2,2,1)),"")</f>
        <v/>
      </c>
      <c r="B1736">
        <f>IFERROR(--SUBSTITUTE(SUBSTITUTE(TRIM(INDEX(INDIRECT("'Выгрузка'!A1736:Z1736"),Настройки!$B$9)),",","."),".",MID(1/2,2,1)),"")</f>
        <v/>
      </c>
      <c r="C1736">
        <f>TRIM(INDEX(INDIRECT("'Выгрузка'!A1736:Z1736"),Настройки!$B$8)&amp;"")</f>
        <v/>
      </c>
      <c r="D1736">
        <f>IFERROR(--SUBSTITUTE(SUBSTITUTE(TRIM(INDEX(INDIRECT("'Выгрузка'!A1736:Z1736"),Настройки!$B$10)),",","."),".",MID(1/2,2,1)),"")</f>
        <v/>
      </c>
      <c r="E1736">
        <f>IFERROR(--SUBSTITUTE(SUBSTITUTE(TRIM(INDEX(INDIRECT("'Выгрузка'!A1736:Z1736"),Настройки!$B$11)),",","."),".",MID(1/2,2,1)),"")</f>
        <v/>
      </c>
      <c r="F1736">
        <f>TRIM(INDEX(INDIRECT("'Выгрузка'!A1736:Z1736"),Настройки!$B$12)&amp;"")</f>
        <v/>
      </c>
      <c r="G1736">
        <f>IF(F1736="",0,IF(TRIM(INDEX(INDIRECT("'Выгрузка'!A1736:Z1736"),Настройки!$B$13)&amp;"")="",1,IFERROR(--SUBSTITUTE(SUBSTITUTE(TRIM(INDEX(INDIRECT("'Выгрузка'!A1736:Z1736"),Настройки!$B$13)),",","."),".",MID(1/2,2,1)),"")))</f>
        <v/>
      </c>
      <c r="H1736">
        <f>IF(F1736="",0,IF(COUNTIF(Настройки!$B$17:$B$26,F1736)&gt;0,1,IF(COUNTIF(Настройки!$C$17:$C$26,F1736)&gt;0,2,IF(COUNTIF(Настройки!$D$17:$D$26,F1736)&gt;0,3,0))))</f>
        <v/>
      </c>
      <c r="I1736">
        <f>IF(AND(ISNUMBER(A1736),ISNUMBER(B1736)),A1736*1000+B1736,"")</f>
        <v/>
      </c>
      <c r="J1736">
        <f>IF(I1736="","",IF(COUNTIF(I$2:I1736,I1736)=1,MAX(J$1:J1735)+1,""))</f>
        <v/>
      </c>
    </row>
    <row r="1737">
      <c r="A1737">
        <f>IFERROR(--SUBSTITUTE(SUBSTITUTE(TRIM(INDEX(INDIRECT("'Выгрузка'!A1737:Z1737"),Настройки!$B$7)),",","."),".",MID(1/2,2,1)),"")</f>
        <v/>
      </c>
      <c r="B1737">
        <f>IFERROR(--SUBSTITUTE(SUBSTITUTE(TRIM(INDEX(INDIRECT("'Выгрузка'!A1737:Z1737"),Настройки!$B$9)),",","."),".",MID(1/2,2,1)),"")</f>
        <v/>
      </c>
      <c r="C1737">
        <f>TRIM(INDEX(INDIRECT("'Выгрузка'!A1737:Z1737"),Настройки!$B$8)&amp;"")</f>
        <v/>
      </c>
      <c r="D1737">
        <f>IFERROR(--SUBSTITUTE(SUBSTITUTE(TRIM(INDEX(INDIRECT("'Выгрузка'!A1737:Z1737"),Настройки!$B$10)),",","."),".",MID(1/2,2,1)),"")</f>
        <v/>
      </c>
      <c r="E1737">
        <f>IFERROR(--SUBSTITUTE(SUBSTITUTE(TRIM(INDEX(INDIRECT("'Выгрузка'!A1737:Z1737"),Настройки!$B$11)),",","."),".",MID(1/2,2,1)),"")</f>
        <v/>
      </c>
      <c r="F1737">
        <f>TRIM(INDEX(INDIRECT("'Выгрузка'!A1737:Z1737"),Настройки!$B$12)&amp;"")</f>
        <v/>
      </c>
      <c r="G1737">
        <f>IF(F1737="",0,IF(TRIM(INDEX(INDIRECT("'Выгрузка'!A1737:Z1737"),Настройки!$B$13)&amp;"")="",1,IFERROR(--SUBSTITUTE(SUBSTITUTE(TRIM(INDEX(INDIRECT("'Выгрузка'!A1737:Z1737"),Настройки!$B$13)),",","."),".",MID(1/2,2,1)),"")))</f>
        <v/>
      </c>
      <c r="H1737">
        <f>IF(F1737="",0,IF(COUNTIF(Настройки!$B$17:$B$26,F1737)&gt;0,1,IF(COUNTIF(Настройки!$C$17:$C$26,F1737)&gt;0,2,IF(COUNTIF(Настройки!$D$17:$D$26,F1737)&gt;0,3,0))))</f>
        <v/>
      </c>
      <c r="I1737">
        <f>IF(AND(ISNUMBER(A1737),ISNUMBER(B1737)),A1737*1000+B1737,"")</f>
        <v/>
      </c>
      <c r="J1737">
        <f>IF(I1737="","",IF(COUNTIF(I$2:I1737,I1737)=1,MAX(J$1:J1736)+1,""))</f>
        <v/>
      </c>
    </row>
    <row r="1738">
      <c r="A1738">
        <f>IFERROR(--SUBSTITUTE(SUBSTITUTE(TRIM(INDEX(INDIRECT("'Выгрузка'!A1738:Z1738"),Настройки!$B$7)),",","."),".",MID(1/2,2,1)),"")</f>
        <v/>
      </c>
      <c r="B1738">
        <f>IFERROR(--SUBSTITUTE(SUBSTITUTE(TRIM(INDEX(INDIRECT("'Выгрузка'!A1738:Z1738"),Настройки!$B$9)),",","."),".",MID(1/2,2,1)),"")</f>
        <v/>
      </c>
      <c r="C1738">
        <f>TRIM(INDEX(INDIRECT("'Выгрузка'!A1738:Z1738"),Настройки!$B$8)&amp;"")</f>
        <v/>
      </c>
      <c r="D1738">
        <f>IFERROR(--SUBSTITUTE(SUBSTITUTE(TRIM(INDEX(INDIRECT("'Выгрузка'!A1738:Z1738"),Настройки!$B$10)),",","."),".",MID(1/2,2,1)),"")</f>
        <v/>
      </c>
      <c r="E1738">
        <f>IFERROR(--SUBSTITUTE(SUBSTITUTE(TRIM(INDEX(INDIRECT("'Выгрузка'!A1738:Z1738"),Настройки!$B$11)),",","."),".",MID(1/2,2,1)),"")</f>
        <v/>
      </c>
      <c r="F1738">
        <f>TRIM(INDEX(INDIRECT("'Выгрузка'!A1738:Z1738"),Настройки!$B$12)&amp;"")</f>
        <v/>
      </c>
      <c r="G1738">
        <f>IF(F1738="",0,IF(TRIM(INDEX(INDIRECT("'Выгрузка'!A1738:Z1738"),Настройки!$B$13)&amp;"")="",1,IFERROR(--SUBSTITUTE(SUBSTITUTE(TRIM(INDEX(INDIRECT("'Выгрузка'!A1738:Z1738"),Настройки!$B$13)),",","."),".",MID(1/2,2,1)),"")))</f>
        <v/>
      </c>
      <c r="H1738">
        <f>IF(F1738="",0,IF(COUNTIF(Настройки!$B$17:$B$26,F1738)&gt;0,1,IF(COUNTIF(Настройки!$C$17:$C$26,F1738)&gt;0,2,IF(COUNTIF(Настройки!$D$17:$D$26,F1738)&gt;0,3,0))))</f>
        <v/>
      </c>
      <c r="I1738">
        <f>IF(AND(ISNUMBER(A1738),ISNUMBER(B1738)),A1738*1000+B1738,"")</f>
        <v/>
      </c>
      <c r="J1738">
        <f>IF(I1738="","",IF(COUNTIF(I$2:I1738,I1738)=1,MAX(J$1:J1737)+1,""))</f>
        <v/>
      </c>
    </row>
    <row r="1739">
      <c r="A1739">
        <f>IFERROR(--SUBSTITUTE(SUBSTITUTE(TRIM(INDEX(INDIRECT("'Выгрузка'!A1739:Z1739"),Настройки!$B$7)),",","."),".",MID(1/2,2,1)),"")</f>
        <v/>
      </c>
      <c r="B1739">
        <f>IFERROR(--SUBSTITUTE(SUBSTITUTE(TRIM(INDEX(INDIRECT("'Выгрузка'!A1739:Z1739"),Настройки!$B$9)),",","."),".",MID(1/2,2,1)),"")</f>
        <v/>
      </c>
      <c r="C1739">
        <f>TRIM(INDEX(INDIRECT("'Выгрузка'!A1739:Z1739"),Настройки!$B$8)&amp;"")</f>
        <v/>
      </c>
      <c r="D1739">
        <f>IFERROR(--SUBSTITUTE(SUBSTITUTE(TRIM(INDEX(INDIRECT("'Выгрузка'!A1739:Z1739"),Настройки!$B$10)),",","."),".",MID(1/2,2,1)),"")</f>
        <v/>
      </c>
      <c r="E1739">
        <f>IFERROR(--SUBSTITUTE(SUBSTITUTE(TRIM(INDEX(INDIRECT("'Выгрузка'!A1739:Z1739"),Настройки!$B$11)),",","."),".",MID(1/2,2,1)),"")</f>
        <v/>
      </c>
      <c r="F1739">
        <f>TRIM(INDEX(INDIRECT("'Выгрузка'!A1739:Z1739"),Настройки!$B$12)&amp;"")</f>
        <v/>
      </c>
      <c r="G1739">
        <f>IF(F1739="",0,IF(TRIM(INDEX(INDIRECT("'Выгрузка'!A1739:Z1739"),Настройки!$B$13)&amp;"")="",1,IFERROR(--SUBSTITUTE(SUBSTITUTE(TRIM(INDEX(INDIRECT("'Выгрузка'!A1739:Z1739"),Настройки!$B$13)),",","."),".",MID(1/2,2,1)),"")))</f>
        <v/>
      </c>
      <c r="H1739">
        <f>IF(F1739="",0,IF(COUNTIF(Настройки!$B$17:$B$26,F1739)&gt;0,1,IF(COUNTIF(Настройки!$C$17:$C$26,F1739)&gt;0,2,IF(COUNTIF(Настройки!$D$17:$D$26,F1739)&gt;0,3,0))))</f>
        <v/>
      </c>
      <c r="I1739">
        <f>IF(AND(ISNUMBER(A1739),ISNUMBER(B1739)),A1739*1000+B1739,"")</f>
        <v/>
      </c>
      <c r="J1739">
        <f>IF(I1739="","",IF(COUNTIF(I$2:I1739,I1739)=1,MAX(J$1:J1738)+1,""))</f>
        <v/>
      </c>
    </row>
    <row r="1740">
      <c r="A1740">
        <f>IFERROR(--SUBSTITUTE(SUBSTITUTE(TRIM(INDEX(INDIRECT("'Выгрузка'!A1740:Z1740"),Настройки!$B$7)),",","."),".",MID(1/2,2,1)),"")</f>
        <v/>
      </c>
      <c r="B1740">
        <f>IFERROR(--SUBSTITUTE(SUBSTITUTE(TRIM(INDEX(INDIRECT("'Выгрузка'!A1740:Z1740"),Настройки!$B$9)),",","."),".",MID(1/2,2,1)),"")</f>
        <v/>
      </c>
      <c r="C1740">
        <f>TRIM(INDEX(INDIRECT("'Выгрузка'!A1740:Z1740"),Настройки!$B$8)&amp;"")</f>
        <v/>
      </c>
      <c r="D1740">
        <f>IFERROR(--SUBSTITUTE(SUBSTITUTE(TRIM(INDEX(INDIRECT("'Выгрузка'!A1740:Z1740"),Настройки!$B$10)),",","."),".",MID(1/2,2,1)),"")</f>
        <v/>
      </c>
      <c r="E1740">
        <f>IFERROR(--SUBSTITUTE(SUBSTITUTE(TRIM(INDEX(INDIRECT("'Выгрузка'!A1740:Z1740"),Настройки!$B$11)),",","."),".",MID(1/2,2,1)),"")</f>
        <v/>
      </c>
      <c r="F1740">
        <f>TRIM(INDEX(INDIRECT("'Выгрузка'!A1740:Z1740"),Настройки!$B$12)&amp;"")</f>
        <v/>
      </c>
      <c r="G1740">
        <f>IF(F1740="",0,IF(TRIM(INDEX(INDIRECT("'Выгрузка'!A1740:Z1740"),Настройки!$B$13)&amp;"")="",1,IFERROR(--SUBSTITUTE(SUBSTITUTE(TRIM(INDEX(INDIRECT("'Выгрузка'!A1740:Z1740"),Настройки!$B$13)),",","."),".",MID(1/2,2,1)),"")))</f>
        <v/>
      </c>
      <c r="H1740">
        <f>IF(F1740="",0,IF(COUNTIF(Настройки!$B$17:$B$26,F1740)&gt;0,1,IF(COUNTIF(Настройки!$C$17:$C$26,F1740)&gt;0,2,IF(COUNTIF(Настройки!$D$17:$D$26,F1740)&gt;0,3,0))))</f>
        <v/>
      </c>
      <c r="I1740">
        <f>IF(AND(ISNUMBER(A1740),ISNUMBER(B1740)),A1740*1000+B1740,"")</f>
        <v/>
      </c>
      <c r="J1740">
        <f>IF(I1740="","",IF(COUNTIF(I$2:I1740,I1740)=1,MAX(J$1:J1739)+1,""))</f>
        <v/>
      </c>
    </row>
    <row r="1741">
      <c r="A1741">
        <f>IFERROR(--SUBSTITUTE(SUBSTITUTE(TRIM(INDEX(INDIRECT("'Выгрузка'!A1741:Z1741"),Настройки!$B$7)),",","."),".",MID(1/2,2,1)),"")</f>
        <v/>
      </c>
      <c r="B1741">
        <f>IFERROR(--SUBSTITUTE(SUBSTITUTE(TRIM(INDEX(INDIRECT("'Выгрузка'!A1741:Z1741"),Настройки!$B$9)),",","."),".",MID(1/2,2,1)),"")</f>
        <v/>
      </c>
      <c r="C1741">
        <f>TRIM(INDEX(INDIRECT("'Выгрузка'!A1741:Z1741"),Настройки!$B$8)&amp;"")</f>
        <v/>
      </c>
      <c r="D1741">
        <f>IFERROR(--SUBSTITUTE(SUBSTITUTE(TRIM(INDEX(INDIRECT("'Выгрузка'!A1741:Z1741"),Настройки!$B$10)),",","."),".",MID(1/2,2,1)),"")</f>
        <v/>
      </c>
      <c r="E1741">
        <f>IFERROR(--SUBSTITUTE(SUBSTITUTE(TRIM(INDEX(INDIRECT("'Выгрузка'!A1741:Z1741"),Настройки!$B$11)),",","."),".",MID(1/2,2,1)),"")</f>
        <v/>
      </c>
      <c r="F1741">
        <f>TRIM(INDEX(INDIRECT("'Выгрузка'!A1741:Z1741"),Настройки!$B$12)&amp;"")</f>
        <v/>
      </c>
      <c r="G1741">
        <f>IF(F1741="",0,IF(TRIM(INDEX(INDIRECT("'Выгрузка'!A1741:Z1741"),Настройки!$B$13)&amp;"")="",1,IFERROR(--SUBSTITUTE(SUBSTITUTE(TRIM(INDEX(INDIRECT("'Выгрузка'!A1741:Z1741"),Настройки!$B$13)),",","."),".",MID(1/2,2,1)),"")))</f>
        <v/>
      </c>
      <c r="H1741">
        <f>IF(F1741="",0,IF(COUNTIF(Настройки!$B$17:$B$26,F1741)&gt;0,1,IF(COUNTIF(Настройки!$C$17:$C$26,F1741)&gt;0,2,IF(COUNTIF(Настройки!$D$17:$D$26,F1741)&gt;0,3,0))))</f>
        <v/>
      </c>
      <c r="I1741">
        <f>IF(AND(ISNUMBER(A1741),ISNUMBER(B1741)),A1741*1000+B1741,"")</f>
        <v/>
      </c>
      <c r="J1741">
        <f>IF(I1741="","",IF(COUNTIF(I$2:I1741,I1741)=1,MAX(J$1:J1740)+1,""))</f>
        <v/>
      </c>
    </row>
    <row r="1742">
      <c r="A1742">
        <f>IFERROR(--SUBSTITUTE(SUBSTITUTE(TRIM(INDEX(INDIRECT("'Выгрузка'!A1742:Z1742"),Настройки!$B$7)),",","."),".",MID(1/2,2,1)),"")</f>
        <v/>
      </c>
      <c r="B1742">
        <f>IFERROR(--SUBSTITUTE(SUBSTITUTE(TRIM(INDEX(INDIRECT("'Выгрузка'!A1742:Z1742"),Настройки!$B$9)),",","."),".",MID(1/2,2,1)),"")</f>
        <v/>
      </c>
      <c r="C1742">
        <f>TRIM(INDEX(INDIRECT("'Выгрузка'!A1742:Z1742"),Настройки!$B$8)&amp;"")</f>
        <v/>
      </c>
      <c r="D1742">
        <f>IFERROR(--SUBSTITUTE(SUBSTITUTE(TRIM(INDEX(INDIRECT("'Выгрузка'!A1742:Z1742"),Настройки!$B$10)),",","."),".",MID(1/2,2,1)),"")</f>
        <v/>
      </c>
      <c r="E1742">
        <f>IFERROR(--SUBSTITUTE(SUBSTITUTE(TRIM(INDEX(INDIRECT("'Выгрузка'!A1742:Z1742"),Настройки!$B$11)),",","."),".",MID(1/2,2,1)),"")</f>
        <v/>
      </c>
      <c r="F1742">
        <f>TRIM(INDEX(INDIRECT("'Выгрузка'!A1742:Z1742"),Настройки!$B$12)&amp;"")</f>
        <v/>
      </c>
      <c r="G1742">
        <f>IF(F1742="",0,IF(TRIM(INDEX(INDIRECT("'Выгрузка'!A1742:Z1742"),Настройки!$B$13)&amp;"")="",1,IFERROR(--SUBSTITUTE(SUBSTITUTE(TRIM(INDEX(INDIRECT("'Выгрузка'!A1742:Z1742"),Настройки!$B$13)),",","."),".",MID(1/2,2,1)),"")))</f>
        <v/>
      </c>
      <c r="H1742">
        <f>IF(F1742="",0,IF(COUNTIF(Настройки!$B$17:$B$26,F1742)&gt;0,1,IF(COUNTIF(Настройки!$C$17:$C$26,F1742)&gt;0,2,IF(COUNTIF(Настройки!$D$17:$D$26,F1742)&gt;0,3,0))))</f>
        <v/>
      </c>
      <c r="I1742">
        <f>IF(AND(ISNUMBER(A1742),ISNUMBER(B1742)),A1742*1000+B1742,"")</f>
        <v/>
      </c>
      <c r="J1742">
        <f>IF(I1742="","",IF(COUNTIF(I$2:I1742,I1742)=1,MAX(J$1:J1741)+1,""))</f>
        <v/>
      </c>
    </row>
    <row r="1743">
      <c r="A1743">
        <f>IFERROR(--SUBSTITUTE(SUBSTITUTE(TRIM(INDEX(INDIRECT("'Выгрузка'!A1743:Z1743"),Настройки!$B$7)),",","."),".",MID(1/2,2,1)),"")</f>
        <v/>
      </c>
      <c r="B1743">
        <f>IFERROR(--SUBSTITUTE(SUBSTITUTE(TRIM(INDEX(INDIRECT("'Выгрузка'!A1743:Z1743"),Настройки!$B$9)),",","."),".",MID(1/2,2,1)),"")</f>
        <v/>
      </c>
      <c r="C1743">
        <f>TRIM(INDEX(INDIRECT("'Выгрузка'!A1743:Z1743"),Настройки!$B$8)&amp;"")</f>
        <v/>
      </c>
      <c r="D1743">
        <f>IFERROR(--SUBSTITUTE(SUBSTITUTE(TRIM(INDEX(INDIRECT("'Выгрузка'!A1743:Z1743"),Настройки!$B$10)),",","."),".",MID(1/2,2,1)),"")</f>
        <v/>
      </c>
      <c r="E1743">
        <f>IFERROR(--SUBSTITUTE(SUBSTITUTE(TRIM(INDEX(INDIRECT("'Выгрузка'!A1743:Z1743"),Настройки!$B$11)),",","."),".",MID(1/2,2,1)),"")</f>
        <v/>
      </c>
      <c r="F1743">
        <f>TRIM(INDEX(INDIRECT("'Выгрузка'!A1743:Z1743"),Настройки!$B$12)&amp;"")</f>
        <v/>
      </c>
      <c r="G1743">
        <f>IF(F1743="",0,IF(TRIM(INDEX(INDIRECT("'Выгрузка'!A1743:Z1743"),Настройки!$B$13)&amp;"")="",1,IFERROR(--SUBSTITUTE(SUBSTITUTE(TRIM(INDEX(INDIRECT("'Выгрузка'!A1743:Z1743"),Настройки!$B$13)),",","."),".",MID(1/2,2,1)),"")))</f>
        <v/>
      </c>
      <c r="H1743">
        <f>IF(F1743="",0,IF(COUNTIF(Настройки!$B$17:$B$26,F1743)&gt;0,1,IF(COUNTIF(Настройки!$C$17:$C$26,F1743)&gt;0,2,IF(COUNTIF(Настройки!$D$17:$D$26,F1743)&gt;0,3,0))))</f>
        <v/>
      </c>
      <c r="I1743">
        <f>IF(AND(ISNUMBER(A1743),ISNUMBER(B1743)),A1743*1000+B1743,"")</f>
        <v/>
      </c>
      <c r="J1743">
        <f>IF(I1743="","",IF(COUNTIF(I$2:I1743,I1743)=1,MAX(J$1:J1742)+1,""))</f>
        <v/>
      </c>
    </row>
    <row r="1744">
      <c r="A1744">
        <f>IFERROR(--SUBSTITUTE(SUBSTITUTE(TRIM(INDEX(INDIRECT("'Выгрузка'!A1744:Z1744"),Настройки!$B$7)),",","."),".",MID(1/2,2,1)),"")</f>
        <v/>
      </c>
      <c r="B1744">
        <f>IFERROR(--SUBSTITUTE(SUBSTITUTE(TRIM(INDEX(INDIRECT("'Выгрузка'!A1744:Z1744"),Настройки!$B$9)),",","."),".",MID(1/2,2,1)),"")</f>
        <v/>
      </c>
      <c r="C1744">
        <f>TRIM(INDEX(INDIRECT("'Выгрузка'!A1744:Z1744"),Настройки!$B$8)&amp;"")</f>
        <v/>
      </c>
      <c r="D1744">
        <f>IFERROR(--SUBSTITUTE(SUBSTITUTE(TRIM(INDEX(INDIRECT("'Выгрузка'!A1744:Z1744"),Настройки!$B$10)),",","."),".",MID(1/2,2,1)),"")</f>
        <v/>
      </c>
      <c r="E1744">
        <f>IFERROR(--SUBSTITUTE(SUBSTITUTE(TRIM(INDEX(INDIRECT("'Выгрузка'!A1744:Z1744"),Настройки!$B$11)),",","."),".",MID(1/2,2,1)),"")</f>
        <v/>
      </c>
      <c r="F1744">
        <f>TRIM(INDEX(INDIRECT("'Выгрузка'!A1744:Z1744"),Настройки!$B$12)&amp;"")</f>
        <v/>
      </c>
      <c r="G1744">
        <f>IF(F1744="",0,IF(TRIM(INDEX(INDIRECT("'Выгрузка'!A1744:Z1744"),Настройки!$B$13)&amp;"")="",1,IFERROR(--SUBSTITUTE(SUBSTITUTE(TRIM(INDEX(INDIRECT("'Выгрузка'!A1744:Z1744"),Настройки!$B$13)),",","."),".",MID(1/2,2,1)),"")))</f>
        <v/>
      </c>
      <c r="H1744">
        <f>IF(F1744="",0,IF(COUNTIF(Настройки!$B$17:$B$26,F1744)&gt;0,1,IF(COUNTIF(Настройки!$C$17:$C$26,F1744)&gt;0,2,IF(COUNTIF(Настройки!$D$17:$D$26,F1744)&gt;0,3,0))))</f>
        <v/>
      </c>
      <c r="I1744">
        <f>IF(AND(ISNUMBER(A1744),ISNUMBER(B1744)),A1744*1000+B1744,"")</f>
        <v/>
      </c>
      <c r="J1744">
        <f>IF(I1744="","",IF(COUNTIF(I$2:I1744,I1744)=1,MAX(J$1:J1743)+1,""))</f>
        <v/>
      </c>
    </row>
    <row r="1745">
      <c r="A1745">
        <f>IFERROR(--SUBSTITUTE(SUBSTITUTE(TRIM(INDEX(INDIRECT("'Выгрузка'!A1745:Z1745"),Настройки!$B$7)),",","."),".",MID(1/2,2,1)),"")</f>
        <v/>
      </c>
      <c r="B1745">
        <f>IFERROR(--SUBSTITUTE(SUBSTITUTE(TRIM(INDEX(INDIRECT("'Выгрузка'!A1745:Z1745"),Настройки!$B$9)),",","."),".",MID(1/2,2,1)),"")</f>
        <v/>
      </c>
      <c r="C1745">
        <f>TRIM(INDEX(INDIRECT("'Выгрузка'!A1745:Z1745"),Настройки!$B$8)&amp;"")</f>
        <v/>
      </c>
      <c r="D1745">
        <f>IFERROR(--SUBSTITUTE(SUBSTITUTE(TRIM(INDEX(INDIRECT("'Выгрузка'!A1745:Z1745"),Настройки!$B$10)),",","."),".",MID(1/2,2,1)),"")</f>
        <v/>
      </c>
      <c r="E1745">
        <f>IFERROR(--SUBSTITUTE(SUBSTITUTE(TRIM(INDEX(INDIRECT("'Выгрузка'!A1745:Z1745"),Настройки!$B$11)),",","."),".",MID(1/2,2,1)),"")</f>
        <v/>
      </c>
      <c r="F1745">
        <f>TRIM(INDEX(INDIRECT("'Выгрузка'!A1745:Z1745"),Настройки!$B$12)&amp;"")</f>
        <v/>
      </c>
      <c r="G1745">
        <f>IF(F1745="",0,IF(TRIM(INDEX(INDIRECT("'Выгрузка'!A1745:Z1745"),Настройки!$B$13)&amp;"")="",1,IFERROR(--SUBSTITUTE(SUBSTITUTE(TRIM(INDEX(INDIRECT("'Выгрузка'!A1745:Z1745"),Настройки!$B$13)),",","."),".",MID(1/2,2,1)),"")))</f>
        <v/>
      </c>
      <c r="H1745">
        <f>IF(F1745="",0,IF(COUNTIF(Настройки!$B$17:$B$26,F1745)&gt;0,1,IF(COUNTIF(Настройки!$C$17:$C$26,F1745)&gt;0,2,IF(COUNTIF(Настройки!$D$17:$D$26,F1745)&gt;0,3,0))))</f>
        <v/>
      </c>
      <c r="I1745">
        <f>IF(AND(ISNUMBER(A1745),ISNUMBER(B1745)),A1745*1000+B1745,"")</f>
        <v/>
      </c>
      <c r="J1745">
        <f>IF(I1745="","",IF(COUNTIF(I$2:I1745,I1745)=1,MAX(J$1:J1744)+1,""))</f>
        <v/>
      </c>
    </row>
    <row r="1746">
      <c r="A1746">
        <f>IFERROR(--SUBSTITUTE(SUBSTITUTE(TRIM(INDEX(INDIRECT("'Выгрузка'!A1746:Z1746"),Настройки!$B$7)),",","."),".",MID(1/2,2,1)),"")</f>
        <v/>
      </c>
      <c r="B1746">
        <f>IFERROR(--SUBSTITUTE(SUBSTITUTE(TRIM(INDEX(INDIRECT("'Выгрузка'!A1746:Z1746"),Настройки!$B$9)),",","."),".",MID(1/2,2,1)),"")</f>
        <v/>
      </c>
      <c r="C1746">
        <f>TRIM(INDEX(INDIRECT("'Выгрузка'!A1746:Z1746"),Настройки!$B$8)&amp;"")</f>
        <v/>
      </c>
      <c r="D1746">
        <f>IFERROR(--SUBSTITUTE(SUBSTITUTE(TRIM(INDEX(INDIRECT("'Выгрузка'!A1746:Z1746"),Настройки!$B$10)),",","."),".",MID(1/2,2,1)),"")</f>
        <v/>
      </c>
      <c r="E1746">
        <f>IFERROR(--SUBSTITUTE(SUBSTITUTE(TRIM(INDEX(INDIRECT("'Выгрузка'!A1746:Z1746"),Настройки!$B$11)),",","."),".",MID(1/2,2,1)),"")</f>
        <v/>
      </c>
      <c r="F1746">
        <f>TRIM(INDEX(INDIRECT("'Выгрузка'!A1746:Z1746"),Настройки!$B$12)&amp;"")</f>
        <v/>
      </c>
      <c r="G1746">
        <f>IF(F1746="",0,IF(TRIM(INDEX(INDIRECT("'Выгрузка'!A1746:Z1746"),Настройки!$B$13)&amp;"")="",1,IFERROR(--SUBSTITUTE(SUBSTITUTE(TRIM(INDEX(INDIRECT("'Выгрузка'!A1746:Z1746"),Настройки!$B$13)),",","."),".",MID(1/2,2,1)),"")))</f>
        <v/>
      </c>
      <c r="H1746">
        <f>IF(F1746="",0,IF(COUNTIF(Настройки!$B$17:$B$26,F1746)&gt;0,1,IF(COUNTIF(Настройки!$C$17:$C$26,F1746)&gt;0,2,IF(COUNTIF(Настройки!$D$17:$D$26,F1746)&gt;0,3,0))))</f>
        <v/>
      </c>
      <c r="I1746">
        <f>IF(AND(ISNUMBER(A1746),ISNUMBER(B1746)),A1746*1000+B1746,"")</f>
        <v/>
      </c>
      <c r="J1746">
        <f>IF(I1746="","",IF(COUNTIF(I$2:I1746,I1746)=1,MAX(J$1:J1745)+1,""))</f>
        <v/>
      </c>
    </row>
    <row r="1747">
      <c r="A1747">
        <f>IFERROR(--SUBSTITUTE(SUBSTITUTE(TRIM(INDEX(INDIRECT("'Выгрузка'!A1747:Z1747"),Настройки!$B$7)),",","."),".",MID(1/2,2,1)),"")</f>
        <v/>
      </c>
      <c r="B1747">
        <f>IFERROR(--SUBSTITUTE(SUBSTITUTE(TRIM(INDEX(INDIRECT("'Выгрузка'!A1747:Z1747"),Настройки!$B$9)),",","."),".",MID(1/2,2,1)),"")</f>
        <v/>
      </c>
      <c r="C1747">
        <f>TRIM(INDEX(INDIRECT("'Выгрузка'!A1747:Z1747"),Настройки!$B$8)&amp;"")</f>
        <v/>
      </c>
      <c r="D1747">
        <f>IFERROR(--SUBSTITUTE(SUBSTITUTE(TRIM(INDEX(INDIRECT("'Выгрузка'!A1747:Z1747"),Настройки!$B$10)),",","."),".",MID(1/2,2,1)),"")</f>
        <v/>
      </c>
      <c r="E1747">
        <f>IFERROR(--SUBSTITUTE(SUBSTITUTE(TRIM(INDEX(INDIRECT("'Выгрузка'!A1747:Z1747"),Настройки!$B$11)),",","."),".",MID(1/2,2,1)),"")</f>
        <v/>
      </c>
      <c r="F1747">
        <f>TRIM(INDEX(INDIRECT("'Выгрузка'!A1747:Z1747"),Настройки!$B$12)&amp;"")</f>
        <v/>
      </c>
      <c r="G1747">
        <f>IF(F1747="",0,IF(TRIM(INDEX(INDIRECT("'Выгрузка'!A1747:Z1747"),Настройки!$B$13)&amp;"")="",1,IFERROR(--SUBSTITUTE(SUBSTITUTE(TRIM(INDEX(INDIRECT("'Выгрузка'!A1747:Z1747"),Настройки!$B$13)),",","."),".",MID(1/2,2,1)),"")))</f>
        <v/>
      </c>
      <c r="H1747">
        <f>IF(F1747="",0,IF(COUNTIF(Настройки!$B$17:$B$26,F1747)&gt;0,1,IF(COUNTIF(Настройки!$C$17:$C$26,F1747)&gt;0,2,IF(COUNTIF(Настройки!$D$17:$D$26,F1747)&gt;0,3,0))))</f>
        <v/>
      </c>
      <c r="I1747">
        <f>IF(AND(ISNUMBER(A1747),ISNUMBER(B1747)),A1747*1000+B1747,"")</f>
        <v/>
      </c>
      <c r="J1747">
        <f>IF(I1747="","",IF(COUNTIF(I$2:I1747,I1747)=1,MAX(J$1:J1746)+1,""))</f>
        <v/>
      </c>
    </row>
    <row r="1748">
      <c r="A1748">
        <f>IFERROR(--SUBSTITUTE(SUBSTITUTE(TRIM(INDEX(INDIRECT("'Выгрузка'!A1748:Z1748"),Настройки!$B$7)),",","."),".",MID(1/2,2,1)),"")</f>
        <v/>
      </c>
      <c r="B1748">
        <f>IFERROR(--SUBSTITUTE(SUBSTITUTE(TRIM(INDEX(INDIRECT("'Выгрузка'!A1748:Z1748"),Настройки!$B$9)),",","."),".",MID(1/2,2,1)),"")</f>
        <v/>
      </c>
      <c r="C1748">
        <f>TRIM(INDEX(INDIRECT("'Выгрузка'!A1748:Z1748"),Настройки!$B$8)&amp;"")</f>
        <v/>
      </c>
      <c r="D1748">
        <f>IFERROR(--SUBSTITUTE(SUBSTITUTE(TRIM(INDEX(INDIRECT("'Выгрузка'!A1748:Z1748"),Настройки!$B$10)),",","."),".",MID(1/2,2,1)),"")</f>
        <v/>
      </c>
      <c r="E1748">
        <f>IFERROR(--SUBSTITUTE(SUBSTITUTE(TRIM(INDEX(INDIRECT("'Выгрузка'!A1748:Z1748"),Настройки!$B$11)),",","."),".",MID(1/2,2,1)),"")</f>
        <v/>
      </c>
      <c r="F1748">
        <f>TRIM(INDEX(INDIRECT("'Выгрузка'!A1748:Z1748"),Настройки!$B$12)&amp;"")</f>
        <v/>
      </c>
      <c r="G1748">
        <f>IF(F1748="",0,IF(TRIM(INDEX(INDIRECT("'Выгрузка'!A1748:Z1748"),Настройки!$B$13)&amp;"")="",1,IFERROR(--SUBSTITUTE(SUBSTITUTE(TRIM(INDEX(INDIRECT("'Выгрузка'!A1748:Z1748"),Настройки!$B$13)),",","."),".",MID(1/2,2,1)),"")))</f>
        <v/>
      </c>
      <c r="H1748">
        <f>IF(F1748="",0,IF(COUNTIF(Настройки!$B$17:$B$26,F1748)&gt;0,1,IF(COUNTIF(Настройки!$C$17:$C$26,F1748)&gt;0,2,IF(COUNTIF(Настройки!$D$17:$D$26,F1748)&gt;0,3,0))))</f>
        <v/>
      </c>
      <c r="I1748">
        <f>IF(AND(ISNUMBER(A1748),ISNUMBER(B1748)),A1748*1000+B1748,"")</f>
        <v/>
      </c>
      <c r="J1748">
        <f>IF(I1748="","",IF(COUNTIF(I$2:I1748,I1748)=1,MAX(J$1:J1747)+1,""))</f>
        <v/>
      </c>
    </row>
    <row r="1749">
      <c r="A1749">
        <f>IFERROR(--SUBSTITUTE(SUBSTITUTE(TRIM(INDEX(INDIRECT("'Выгрузка'!A1749:Z1749"),Настройки!$B$7)),",","."),".",MID(1/2,2,1)),"")</f>
        <v/>
      </c>
      <c r="B1749">
        <f>IFERROR(--SUBSTITUTE(SUBSTITUTE(TRIM(INDEX(INDIRECT("'Выгрузка'!A1749:Z1749"),Настройки!$B$9)),",","."),".",MID(1/2,2,1)),"")</f>
        <v/>
      </c>
      <c r="C1749">
        <f>TRIM(INDEX(INDIRECT("'Выгрузка'!A1749:Z1749"),Настройки!$B$8)&amp;"")</f>
        <v/>
      </c>
      <c r="D1749">
        <f>IFERROR(--SUBSTITUTE(SUBSTITUTE(TRIM(INDEX(INDIRECT("'Выгрузка'!A1749:Z1749"),Настройки!$B$10)),",","."),".",MID(1/2,2,1)),"")</f>
        <v/>
      </c>
      <c r="E1749">
        <f>IFERROR(--SUBSTITUTE(SUBSTITUTE(TRIM(INDEX(INDIRECT("'Выгрузка'!A1749:Z1749"),Настройки!$B$11)),",","."),".",MID(1/2,2,1)),"")</f>
        <v/>
      </c>
      <c r="F1749">
        <f>TRIM(INDEX(INDIRECT("'Выгрузка'!A1749:Z1749"),Настройки!$B$12)&amp;"")</f>
        <v/>
      </c>
      <c r="G1749">
        <f>IF(F1749="",0,IF(TRIM(INDEX(INDIRECT("'Выгрузка'!A1749:Z1749"),Настройки!$B$13)&amp;"")="",1,IFERROR(--SUBSTITUTE(SUBSTITUTE(TRIM(INDEX(INDIRECT("'Выгрузка'!A1749:Z1749"),Настройки!$B$13)),",","."),".",MID(1/2,2,1)),"")))</f>
        <v/>
      </c>
      <c r="H1749">
        <f>IF(F1749="",0,IF(COUNTIF(Настройки!$B$17:$B$26,F1749)&gt;0,1,IF(COUNTIF(Настройки!$C$17:$C$26,F1749)&gt;0,2,IF(COUNTIF(Настройки!$D$17:$D$26,F1749)&gt;0,3,0))))</f>
        <v/>
      </c>
      <c r="I1749">
        <f>IF(AND(ISNUMBER(A1749),ISNUMBER(B1749)),A1749*1000+B1749,"")</f>
        <v/>
      </c>
      <c r="J1749">
        <f>IF(I1749="","",IF(COUNTIF(I$2:I1749,I1749)=1,MAX(J$1:J1748)+1,""))</f>
        <v/>
      </c>
    </row>
    <row r="1750">
      <c r="A1750">
        <f>IFERROR(--SUBSTITUTE(SUBSTITUTE(TRIM(INDEX(INDIRECT("'Выгрузка'!A1750:Z1750"),Настройки!$B$7)),",","."),".",MID(1/2,2,1)),"")</f>
        <v/>
      </c>
      <c r="B1750">
        <f>IFERROR(--SUBSTITUTE(SUBSTITUTE(TRIM(INDEX(INDIRECT("'Выгрузка'!A1750:Z1750"),Настройки!$B$9)),",","."),".",MID(1/2,2,1)),"")</f>
        <v/>
      </c>
      <c r="C1750">
        <f>TRIM(INDEX(INDIRECT("'Выгрузка'!A1750:Z1750"),Настройки!$B$8)&amp;"")</f>
        <v/>
      </c>
      <c r="D1750">
        <f>IFERROR(--SUBSTITUTE(SUBSTITUTE(TRIM(INDEX(INDIRECT("'Выгрузка'!A1750:Z1750"),Настройки!$B$10)),",","."),".",MID(1/2,2,1)),"")</f>
        <v/>
      </c>
      <c r="E1750">
        <f>IFERROR(--SUBSTITUTE(SUBSTITUTE(TRIM(INDEX(INDIRECT("'Выгрузка'!A1750:Z1750"),Настройки!$B$11)),",","."),".",MID(1/2,2,1)),"")</f>
        <v/>
      </c>
      <c r="F1750">
        <f>TRIM(INDEX(INDIRECT("'Выгрузка'!A1750:Z1750"),Настройки!$B$12)&amp;"")</f>
        <v/>
      </c>
      <c r="G1750">
        <f>IF(F1750="",0,IF(TRIM(INDEX(INDIRECT("'Выгрузка'!A1750:Z1750"),Настройки!$B$13)&amp;"")="",1,IFERROR(--SUBSTITUTE(SUBSTITUTE(TRIM(INDEX(INDIRECT("'Выгрузка'!A1750:Z1750"),Настройки!$B$13)),",","."),".",MID(1/2,2,1)),"")))</f>
        <v/>
      </c>
      <c r="H1750">
        <f>IF(F1750="",0,IF(COUNTIF(Настройки!$B$17:$B$26,F1750)&gt;0,1,IF(COUNTIF(Настройки!$C$17:$C$26,F1750)&gt;0,2,IF(COUNTIF(Настройки!$D$17:$D$26,F1750)&gt;0,3,0))))</f>
        <v/>
      </c>
      <c r="I1750">
        <f>IF(AND(ISNUMBER(A1750),ISNUMBER(B1750)),A1750*1000+B1750,"")</f>
        <v/>
      </c>
      <c r="J1750">
        <f>IF(I1750="","",IF(COUNTIF(I$2:I1750,I1750)=1,MAX(J$1:J1749)+1,""))</f>
        <v/>
      </c>
    </row>
    <row r="1751">
      <c r="A1751">
        <f>IFERROR(--SUBSTITUTE(SUBSTITUTE(TRIM(INDEX(INDIRECT("'Выгрузка'!A1751:Z1751"),Настройки!$B$7)),",","."),".",MID(1/2,2,1)),"")</f>
        <v/>
      </c>
      <c r="B1751">
        <f>IFERROR(--SUBSTITUTE(SUBSTITUTE(TRIM(INDEX(INDIRECT("'Выгрузка'!A1751:Z1751"),Настройки!$B$9)),",","."),".",MID(1/2,2,1)),"")</f>
        <v/>
      </c>
      <c r="C1751">
        <f>TRIM(INDEX(INDIRECT("'Выгрузка'!A1751:Z1751"),Настройки!$B$8)&amp;"")</f>
        <v/>
      </c>
      <c r="D1751">
        <f>IFERROR(--SUBSTITUTE(SUBSTITUTE(TRIM(INDEX(INDIRECT("'Выгрузка'!A1751:Z1751"),Настройки!$B$10)),",","."),".",MID(1/2,2,1)),"")</f>
        <v/>
      </c>
      <c r="E1751">
        <f>IFERROR(--SUBSTITUTE(SUBSTITUTE(TRIM(INDEX(INDIRECT("'Выгрузка'!A1751:Z1751"),Настройки!$B$11)),",","."),".",MID(1/2,2,1)),"")</f>
        <v/>
      </c>
      <c r="F1751">
        <f>TRIM(INDEX(INDIRECT("'Выгрузка'!A1751:Z1751"),Настройки!$B$12)&amp;"")</f>
        <v/>
      </c>
      <c r="G1751">
        <f>IF(F1751="",0,IF(TRIM(INDEX(INDIRECT("'Выгрузка'!A1751:Z1751"),Настройки!$B$13)&amp;"")="",1,IFERROR(--SUBSTITUTE(SUBSTITUTE(TRIM(INDEX(INDIRECT("'Выгрузка'!A1751:Z1751"),Настройки!$B$13)),",","."),".",MID(1/2,2,1)),"")))</f>
        <v/>
      </c>
      <c r="H1751">
        <f>IF(F1751="",0,IF(COUNTIF(Настройки!$B$17:$B$26,F1751)&gt;0,1,IF(COUNTIF(Настройки!$C$17:$C$26,F1751)&gt;0,2,IF(COUNTIF(Настройки!$D$17:$D$26,F1751)&gt;0,3,0))))</f>
        <v/>
      </c>
      <c r="I1751">
        <f>IF(AND(ISNUMBER(A1751),ISNUMBER(B1751)),A1751*1000+B1751,"")</f>
        <v/>
      </c>
      <c r="J1751">
        <f>IF(I1751="","",IF(COUNTIF(I$2:I1751,I1751)=1,MAX(J$1:J1750)+1,""))</f>
        <v/>
      </c>
    </row>
    <row r="1752">
      <c r="A1752">
        <f>IFERROR(--SUBSTITUTE(SUBSTITUTE(TRIM(INDEX(INDIRECT("'Выгрузка'!A1752:Z1752"),Настройки!$B$7)),",","."),".",MID(1/2,2,1)),"")</f>
        <v/>
      </c>
      <c r="B1752">
        <f>IFERROR(--SUBSTITUTE(SUBSTITUTE(TRIM(INDEX(INDIRECT("'Выгрузка'!A1752:Z1752"),Настройки!$B$9)),",","."),".",MID(1/2,2,1)),"")</f>
        <v/>
      </c>
      <c r="C1752">
        <f>TRIM(INDEX(INDIRECT("'Выгрузка'!A1752:Z1752"),Настройки!$B$8)&amp;"")</f>
        <v/>
      </c>
      <c r="D1752">
        <f>IFERROR(--SUBSTITUTE(SUBSTITUTE(TRIM(INDEX(INDIRECT("'Выгрузка'!A1752:Z1752"),Настройки!$B$10)),",","."),".",MID(1/2,2,1)),"")</f>
        <v/>
      </c>
      <c r="E1752">
        <f>IFERROR(--SUBSTITUTE(SUBSTITUTE(TRIM(INDEX(INDIRECT("'Выгрузка'!A1752:Z1752"),Настройки!$B$11)),",","."),".",MID(1/2,2,1)),"")</f>
        <v/>
      </c>
      <c r="F1752">
        <f>TRIM(INDEX(INDIRECT("'Выгрузка'!A1752:Z1752"),Настройки!$B$12)&amp;"")</f>
        <v/>
      </c>
      <c r="G1752">
        <f>IF(F1752="",0,IF(TRIM(INDEX(INDIRECT("'Выгрузка'!A1752:Z1752"),Настройки!$B$13)&amp;"")="",1,IFERROR(--SUBSTITUTE(SUBSTITUTE(TRIM(INDEX(INDIRECT("'Выгрузка'!A1752:Z1752"),Настройки!$B$13)),",","."),".",MID(1/2,2,1)),"")))</f>
        <v/>
      </c>
      <c r="H1752">
        <f>IF(F1752="",0,IF(COUNTIF(Настройки!$B$17:$B$26,F1752)&gt;0,1,IF(COUNTIF(Настройки!$C$17:$C$26,F1752)&gt;0,2,IF(COUNTIF(Настройки!$D$17:$D$26,F1752)&gt;0,3,0))))</f>
        <v/>
      </c>
      <c r="I1752">
        <f>IF(AND(ISNUMBER(A1752),ISNUMBER(B1752)),A1752*1000+B1752,"")</f>
        <v/>
      </c>
      <c r="J1752">
        <f>IF(I1752="","",IF(COUNTIF(I$2:I1752,I1752)=1,MAX(J$1:J1751)+1,""))</f>
        <v/>
      </c>
    </row>
    <row r="1753">
      <c r="A1753">
        <f>IFERROR(--SUBSTITUTE(SUBSTITUTE(TRIM(INDEX(INDIRECT("'Выгрузка'!A1753:Z1753"),Настройки!$B$7)),",","."),".",MID(1/2,2,1)),"")</f>
        <v/>
      </c>
      <c r="B1753">
        <f>IFERROR(--SUBSTITUTE(SUBSTITUTE(TRIM(INDEX(INDIRECT("'Выгрузка'!A1753:Z1753"),Настройки!$B$9)),",","."),".",MID(1/2,2,1)),"")</f>
        <v/>
      </c>
      <c r="C1753">
        <f>TRIM(INDEX(INDIRECT("'Выгрузка'!A1753:Z1753"),Настройки!$B$8)&amp;"")</f>
        <v/>
      </c>
      <c r="D1753">
        <f>IFERROR(--SUBSTITUTE(SUBSTITUTE(TRIM(INDEX(INDIRECT("'Выгрузка'!A1753:Z1753"),Настройки!$B$10)),",","."),".",MID(1/2,2,1)),"")</f>
        <v/>
      </c>
      <c r="E1753">
        <f>IFERROR(--SUBSTITUTE(SUBSTITUTE(TRIM(INDEX(INDIRECT("'Выгрузка'!A1753:Z1753"),Настройки!$B$11)),",","."),".",MID(1/2,2,1)),"")</f>
        <v/>
      </c>
      <c r="F1753">
        <f>TRIM(INDEX(INDIRECT("'Выгрузка'!A1753:Z1753"),Настройки!$B$12)&amp;"")</f>
        <v/>
      </c>
      <c r="G1753">
        <f>IF(F1753="",0,IF(TRIM(INDEX(INDIRECT("'Выгрузка'!A1753:Z1753"),Настройки!$B$13)&amp;"")="",1,IFERROR(--SUBSTITUTE(SUBSTITUTE(TRIM(INDEX(INDIRECT("'Выгрузка'!A1753:Z1753"),Настройки!$B$13)),",","."),".",MID(1/2,2,1)),"")))</f>
        <v/>
      </c>
      <c r="H1753">
        <f>IF(F1753="",0,IF(COUNTIF(Настройки!$B$17:$B$26,F1753)&gt;0,1,IF(COUNTIF(Настройки!$C$17:$C$26,F1753)&gt;0,2,IF(COUNTIF(Настройки!$D$17:$D$26,F1753)&gt;0,3,0))))</f>
        <v/>
      </c>
      <c r="I1753">
        <f>IF(AND(ISNUMBER(A1753),ISNUMBER(B1753)),A1753*1000+B1753,"")</f>
        <v/>
      </c>
      <c r="J1753">
        <f>IF(I1753="","",IF(COUNTIF(I$2:I1753,I1753)=1,MAX(J$1:J1752)+1,""))</f>
        <v/>
      </c>
    </row>
    <row r="1754">
      <c r="A1754">
        <f>IFERROR(--SUBSTITUTE(SUBSTITUTE(TRIM(INDEX(INDIRECT("'Выгрузка'!A1754:Z1754"),Настройки!$B$7)),",","."),".",MID(1/2,2,1)),"")</f>
        <v/>
      </c>
      <c r="B1754">
        <f>IFERROR(--SUBSTITUTE(SUBSTITUTE(TRIM(INDEX(INDIRECT("'Выгрузка'!A1754:Z1754"),Настройки!$B$9)),",","."),".",MID(1/2,2,1)),"")</f>
        <v/>
      </c>
      <c r="C1754">
        <f>TRIM(INDEX(INDIRECT("'Выгрузка'!A1754:Z1754"),Настройки!$B$8)&amp;"")</f>
        <v/>
      </c>
      <c r="D1754">
        <f>IFERROR(--SUBSTITUTE(SUBSTITUTE(TRIM(INDEX(INDIRECT("'Выгрузка'!A1754:Z1754"),Настройки!$B$10)),",","."),".",MID(1/2,2,1)),"")</f>
        <v/>
      </c>
      <c r="E1754">
        <f>IFERROR(--SUBSTITUTE(SUBSTITUTE(TRIM(INDEX(INDIRECT("'Выгрузка'!A1754:Z1754"),Настройки!$B$11)),",","."),".",MID(1/2,2,1)),"")</f>
        <v/>
      </c>
      <c r="F1754">
        <f>TRIM(INDEX(INDIRECT("'Выгрузка'!A1754:Z1754"),Настройки!$B$12)&amp;"")</f>
        <v/>
      </c>
      <c r="G1754">
        <f>IF(F1754="",0,IF(TRIM(INDEX(INDIRECT("'Выгрузка'!A1754:Z1754"),Настройки!$B$13)&amp;"")="",1,IFERROR(--SUBSTITUTE(SUBSTITUTE(TRIM(INDEX(INDIRECT("'Выгрузка'!A1754:Z1754"),Настройки!$B$13)),",","."),".",MID(1/2,2,1)),"")))</f>
        <v/>
      </c>
      <c r="H1754">
        <f>IF(F1754="",0,IF(COUNTIF(Настройки!$B$17:$B$26,F1754)&gt;0,1,IF(COUNTIF(Настройки!$C$17:$C$26,F1754)&gt;0,2,IF(COUNTIF(Настройки!$D$17:$D$26,F1754)&gt;0,3,0))))</f>
        <v/>
      </c>
      <c r="I1754">
        <f>IF(AND(ISNUMBER(A1754),ISNUMBER(B1754)),A1754*1000+B1754,"")</f>
        <v/>
      </c>
      <c r="J1754">
        <f>IF(I1754="","",IF(COUNTIF(I$2:I1754,I1754)=1,MAX(J$1:J1753)+1,""))</f>
        <v/>
      </c>
    </row>
    <row r="1755">
      <c r="A1755">
        <f>IFERROR(--SUBSTITUTE(SUBSTITUTE(TRIM(INDEX(INDIRECT("'Выгрузка'!A1755:Z1755"),Настройки!$B$7)),",","."),".",MID(1/2,2,1)),"")</f>
        <v/>
      </c>
      <c r="B1755">
        <f>IFERROR(--SUBSTITUTE(SUBSTITUTE(TRIM(INDEX(INDIRECT("'Выгрузка'!A1755:Z1755"),Настройки!$B$9)),",","."),".",MID(1/2,2,1)),"")</f>
        <v/>
      </c>
      <c r="C1755">
        <f>TRIM(INDEX(INDIRECT("'Выгрузка'!A1755:Z1755"),Настройки!$B$8)&amp;"")</f>
        <v/>
      </c>
      <c r="D1755">
        <f>IFERROR(--SUBSTITUTE(SUBSTITUTE(TRIM(INDEX(INDIRECT("'Выгрузка'!A1755:Z1755"),Настройки!$B$10)),",","."),".",MID(1/2,2,1)),"")</f>
        <v/>
      </c>
      <c r="E1755">
        <f>IFERROR(--SUBSTITUTE(SUBSTITUTE(TRIM(INDEX(INDIRECT("'Выгрузка'!A1755:Z1755"),Настройки!$B$11)),",","."),".",MID(1/2,2,1)),"")</f>
        <v/>
      </c>
      <c r="F1755">
        <f>TRIM(INDEX(INDIRECT("'Выгрузка'!A1755:Z1755"),Настройки!$B$12)&amp;"")</f>
        <v/>
      </c>
      <c r="G1755">
        <f>IF(F1755="",0,IF(TRIM(INDEX(INDIRECT("'Выгрузка'!A1755:Z1755"),Настройки!$B$13)&amp;"")="",1,IFERROR(--SUBSTITUTE(SUBSTITUTE(TRIM(INDEX(INDIRECT("'Выгрузка'!A1755:Z1755"),Настройки!$B$13)),",","."),".",MID(1/2,2,1)),"")))</f>
        <v/>
      </c>
      <c r="H1755">
        <f>IF(F1755="",0,IF(COUNTIF(Настройки!$B$17:$B$26,F1755)&gt;0,1,IF(COUNTIF(Настройки!$C$17:$C$26,F1755)&gt;0,2,IF(COUNTIF(Настройки!$D$17:$D$26,F1755)&gt;0,3,0))))</f>
        <v/>
      </c>
      <c r="I1755">
        <f>IF(AND(ISNUMBER(A1755),ISNUMBER(B1755)),A1755*1000+B1755,"")</f>
        <v/>
      </c>
      <c r="J1755">
        <f>IF(I1755="","",IF(COUNTIF(I$2:I1755,I1755)=1,MAX(J$1:J1754)+1,""))</f>
        <v/>
      </c>
    </row>
    <row r="1756">
      <c r="A1756">
        <f>IFERROR(--SUBSTITUTE(SUBSTITUTE(TRIM(INDEX(INDIRECT("'Выгрузка'!A1756:Z1756"),Настройки!$B$7)),",","."),".",MID(1/2,2,1)),"")</f>
        <v/>
      </c>
      <c r="B1756">
        <f>IFERROR(--SUBSTITUTE(SUBSTITUTE(TRIM(INDEX(INDIRECT("'Выгрузка'!A1756:Z1756"),Настройки!$B$9)),",","."),".",MID(1/2,2,1)),"")</f>
        <v/>
      </c>
      <c r="C1756">
        <f>TRIM(INDEX(INDIRECT("'Выгрузка'!A1756:Z1756"),Настройки!$B$8)&amp;"")</f>
        <v/>
      </c>
      <c r="D1756">
        <f>IFERROR(--SUBSTITUTE(SUBSTITUTE(TRIM(INDEX(INDIRECT("'Выгрузка'!A1756:Z1756"),Настройки!$B$10)),",","."),".",MID(1/2,2,1)),"")</f>
        <v/>
      </c>
      <c r="E1756">
        <f>IFERROR(--SUBSTITUTE(SUBSTITUTE(TRIM(INDEX(INDIRECT("'Выгрузка'!A1756:Z1756"),Настройки!$B$11)),",","."),".",MID(1/2,2,1)),"")</f>
        <v/>
      </c>
      <c r="F1756">
        <f>TRIM(INDEX(INDIRECT("'Выгрузка'!A1756:Z1756"),Настройки!$B$12)&amp;"")</f>
        <v/>
      </c>
      <c r="G1756">
        <f>IF(F1756="",0,IF(TRIM(INDEX(INDIRECT("'Выгрузка'!A1756:Z1756"),Настройки!$B$13)&amp;"")="",1,IFERROR(--SUBSTITUTE(SUBSTITUTE(TRIM(INDEX(INDIRECT("'Выгрузка'!A1756:Z1756"),Настройки!$B$13)),",","."),".",MID(1/2,2,1)),"")))</f>
        <v/>
      </c>
      <c r="H1756">
        <f>IF(F1756="",0,IF(COUNTIF(Настройки!$B$17:$B$26,F1756)&gt;0,1,IF(COUNTIF(Настройки!$C$17:$C$26,F1756)&gt;0,2,IF(COUNTIF(Настройки!$D$17:$D$26,F1756)&gt;0,3,0))))</f>
        <v/>
      </c>
      <c r="I1756">
        <f>IF(AND(ISNUMBER(A1756),ISNUMBER(B1756)),A1756*1000+B1756,"")</f>
        <v/>
      </c>
      <c r="J1756">
        <f>IF(I1756="","",IF(COUNTIF(I$2:I1756,I1756)=1,MAX(J$1:J1755)+1,""))</f>
        <v/>
      </c>
    </row>
    <row r="1757">
      <c r="A1757">
        <f>IFERROR(--SUBSTITUTE(SUBSTITUTE(TRIM(INDEX(INDIRECT("'Выгрузка'!A1757:Z1757"),Настройки!$B$7)),",","."),".",MID(1/2,2,1)),"")</f>
        <v/>
      </c>
      <c r="B1757">
        <f>IFERROR(--SUBSTITUTE(SUBSTITUTE(TRIM(INDEX(INDIRECT("'Выгрузка'!A1757:Z1757"),Настройки!$B$9)),",","."),".",MID(1/2,2,1)),"")</f>
        <v/>
      </c>
      <c r="C1757">
        <f>TRIM(INDEX(INDIRECT("'Выгрузка'!A1757:Z1757"),Настройки!$B$8)&amp;"")</f>
        <v/>
      </c>
      <c r="D1757">
        <f>IFERROR(--SUBSTITUTE(SUBSTITUTE(TRIM(INDEX(INDIRECT("'Выгрузка'!A1757:Z1757"),Настройки!$B$10)),",","."),".",MID(1/2,2,1)),"")</f>
        <v/>
      </c>
      <c r="E1757">
        <f>IFERROR(--SUBSTITUTE(SUBSTITUTE(TRIM(INDEX(INDIRECT("'Выгрузка'!A1757:Z1757"),Настройки!$B$11)),",","."),".",MID(1/2,2,1)),"")</f>
        <v/>
      </c>
      <c r="F1757">
        <f>TRIM(INDEX(INDIRECT("'Выгрузка'!A1757:Z1757"),Настройки!$B$12)&amp;"")</f>
        <v/>
      </c>
      <c r="G1757">
        <f>IF(F1757="",0,IF(TRIM(INDEX(INDIRECT("'Выгрузка'!A1757:Z1757"),Настройки!$B$13)&amp;"")="",1,IFERROR(--SUBSTITUTE(SUBSTITUTE(TRIM(INDEX(INDIRECT("'Выгрузка'!A1757:Z1757"),Настройки!$B$13)),",","."),".",MID(1/2,2,1)),"")))</f>
        <v/>
      </c>
      <c r="H1757">
        <f>IF(F1757="",0,IF(COUNTIF(Настройки!$B$17:$B$26,F1757)&gt;0,1,IF(COUNTIF(Настройки!$C$17:$C$26,F1757)&gt;0,2,IF(COUNTIF(Настройки!$D$17:$D$26,F1757)&gt;0,3,0))))</f>
        <v/>
      </c>
      <c r="I1757">
        <f>IF(AND(ISNUMBER(A1757),ISNUMBER(B1757)),A1757*1000+B1757,"")</f>
        <v/>
      </c>
      <c r="J1757">
        <f>IF(I1757="","",IF(COUNTIF(I$2:I1757,I1757)=1,MAX(J$1:J1756)+1,""))</f>
        <v/>
      </c>
    </row>
    <row r="1758">
      <c r="A1758">
        <f>IFERROR(--SUBSTITUTE(SUBSTITUTE(TRIM(INDEX(INDIRECT("'Выгрузка'!A1758:Z1758"),Настройки!$B$7)),",","."),".",MID(1/2,2,1)),"")</f>
        <v/>
      </c>
      <c r="B1758">
        <f>IFERROR(--SUBSTITUTE(SUBSTITUTE(TRIM(INDEX(INDIRECT("'Выгрузка'!A1758:Z1758"),Настройки!$B$9)),",","."),".",MID(1/2,2,1)),"")</f>
        <v/>
      </c>
      <c r="C1758">
        <f>TRIM(INDEX(INDIRECT("'Выгрузка'!A1758:Z1758"),Настройки!$B$8)&amp;"")</f>
        <v/>
      </c>
      <c r="D1758">
        <f>IFERROR(--SUBSTITUTE(SUBSTITUTE(TRIM(INDEX(INDIRECT("'Выгрузка'!A1758:Z1758"),Настройки!$B$10)),",","."),".",MID(1/2,2,1)),"")</f>
        <v/>
      </c>
      <c r="E1758">
        <f>IFERROR(--SUBSTITUTE(SUBSTITUTE(TRIM(INDEX(INDIRECT("'Выгрузка'!A1758:Z1758"),Настройки!$B$11)),",","."),".",MID(1/2,2,1)),"")</f>
        <v/>
      </c>
      <c r="F1758">
        <f>TRIM(INDEX(INDIRECT("'Выгрузка'!A1758:Z1758"),Настройки!$B$12)&amp;"")</f>
        <v/>
      </c>
      <c r="G1758">
        <f>IF(F1758="",0,IF(TRIM(INDEX(INDIRECT("'Выгрузка'!A1758:Z1758"),Настройки!$B$13)&amp;"")="",1,IFERROR(--SUBSTITUTE(SUBSTITUTE(TRIM(INDEX(INDIRECT("'Выгрузка'!A1758:Z1758"),Настройки!$B$13)),",","."),".",MID(1/2,2,1)),"")))</f>
        <v/>
      </c>
      <c r="H1758">
        <f>IF(F1758="",0,IF(COUNTIF(Настройки!$B$17:$B$26,F1758)&gt;0,1,IF(COUNTIF(Настройки!$C$17:$C$26,F1758)&gt;0,2,IF(COUNTIF(Настройки!$D$17:$D$26,F1758)&gt;0,3,0))))</f>
        <v/>
      </c>
      <c r="I1758">
        <f>IF(AND(ISNUMBER(A1758),ISNUMBER(B1758)),A1758*1000+B1758,"")</f>
        <v/>
      </c>
      <c r="J1758">
        <f>IF(I1758="","",IF(COUNTIF(I$2:I1758,I1758)=1,MAX(J$1:J1757)+1,""))</f>
        <v/>
      </c>
    </row>
    <row r="1759">
      <c r="A1759">
        <f>IFERROR(--SUBSTITUTE(SUBSTITUTE(TRIM(INDEX(INDIRECT("'Выгрузка'!A1759:Z1759"),Настройки!$B$7)),",","."),".",MID(1/2,2,1)),"")</f>
        <v/>
      </c>
      <c r="B1759">
        <f>IFERROR(--SUBSTITUTE(SUBSTITUTE(TRIM(INDEX(INDIRECT("'Выгрузка'!A1759:Z1759"),Настройки!$B$9)),",","."),".",MID(1/2,2,1)),"")</f>
        <v/>
      </c>
      <c r="C1759">
        <f>TRIM(INDEX(INDIRECT("'Выгрузка'!A1759:Z1759"),Настройки!$B$8)&amp;"")</f>
        <v/>
      </c>
      <c r="D1759">
        <f>IFERROR(--SUBSTITUTE(SUBSTITUTE(TRIM(INDEX(INDIRECT("'Выгрузка'!A1759:Z1759"),Настройки!$B$10)),",","."),".",MID(1/2,2,1)),"")</f>
        <v/>
      </c>
      <c r="E1759">
        <f>IFERROR(--SUBSTITUTE(SUBSTITUTE(TRIM(INDEX(INDIRECT("'Выгрузка'!A1759:Z1759"),Настройки!$B$11)),",","."),".",MID(1/2,2,1)),"")</f>
        <v/>
      </c>
      <c r="F1759">
        <f>TRIM(INDEX(INDIRECT("'Выгрузка'!A1759:Z1759"),Настройки!$B$12)&amp;"")</f>
        <v/>
      </c>
      <c r="G1759">
        <f>IF(F1759="",0,IF(TRIM(INDEX(INDIRECT("'Выгрузка'!A1759:Z1759"),Настройки!$B$13)&amp;"")="",1,IFERROR(--SUBSTITUTE(SUBSTITUTE(TRIM(INDEX(INDIRECT("'Выгрузка'!A1759:Z1759"),Настройки!$B$13)),",","."),".",MID(1/2,2,1)),"")))</f>
        <v/>
      </c>
      <c r="H1759">
        <f>IF(F1759="",0,IF(COUNTIF(Настройки!$B$17:$B$26,F1759)&gt;0,1,IF(COUNTIF(Настройки!$C$17:$C$26,F1759)&gt;0,2,IF(COUNTIF(Настройки!$D$17:$D$26,F1759)&gt;0,3,0))))</f>
        <v/>
      </c>
      <c r="I1759">
        <f>IF(AND(ISNUMBER(A1759),ISNUMBER(B1759)),A1759*1000+B1759,"")</f>
        <v/>
      </c>
      <c r="J1759">
        <f>IF(I1759="","",IF(COUNTIF(I$2:I1759,I1759)=1,MAX(J$1:J1758)+1,""))</f>
        <v/>
      </c>
    </row>
    <row r="1760">
      <c r="A1760">
        <f>IFERROR(--SUBSTITUTE(SUBSTITUTE(TRIM(INDEX(INDIRECT("'Выгрузка'!A1760:Z1760"),Настройки!$B$7)),",","."),".",MID(1/2,2,1)),"")</f>
        <v/>
      </c>
      <c r="B1760">
        <f>IFERROR(--SUBSTITUTE(SUBSTITUTE(TRIM(INDEX(INDIRECT("'Выгрузка'!A1760:Z1760"),Настройки!$B$9)),",","."),".",MID(1/2,2,1)),"")</f>
        <v/>
      </c>
      <c r="C1760">
        <f>TRIM(INDEX(INDIRECT("'Выгрузка'!A1760:Z1760"),Настройки!$B$8)&amp;"")</f>
        <v/>
      </c>
      <c r="D1760">
        <f>IFERROR(--SUBSTITUTE(SUBSTITUTE(TRIM(INDEX(INDIRECT("'Выгрузка'!A1760:Z1760"),Настройки!$B$10)),",","."),".",MID(1/2,2,1)),"")</f>
        <v/>
      </c>
      <c r="E1760">
        <f>IFERROR(--SUBSTITUTE(SUBSTITUTE(TRIM(INDEX(INDIRECT("'Выгрузка'!A1760:Z1760"),Настройки!$B$11)),",","."),".",MID(1/2,2,1)),"")</f>
        <v/>
      </c>
      <c r="F1760">
        <f>TRIM(INDEX(INDIRECT("'Выгрузка'!A1760:Z1760"),Настройки!$B$12)&amp;"")</f>
        <v/>
      </c>
      <c r="G1760">
        <f>IF(F1760="",0,IF(TRIM(INDEX(INDIRECT("'Выгрузка'!A1760:Z1760"),Настройки!$B$13)&amp;"")="",1,IFERROR(--SUBSTITUTE(SUBSTITUTE(TRIM(INDEX(INDIRECT("'Выгрузка'!A1760:Z1760"),Настройки!$B$13)),",","."),".",MID(1/2,2,1)),"")))</f>
        <v/>
      </c>
      <c r="H1760">
        <f>IF(F1760="",0,IF(COUNTIF(Настройки!$B$17:$B$26,F1760)&gt;0,1,IF(COUNTIF(Настройки!$C$17:$C$26,F1760)&gt;0,2,IF(COUNTIF(Настройки!$D$17:$D$26,F1760)&gt;0,3,0))))</f>
        <v/>
      </c>
      <c r="I1760">
        <f>IF(AND(ISNUMBER(A1760),ISNUMBER(B1760)),A1760*1000+B1760,"")</f>
        <v/>
      </c>
      <c r="J1760">
        <f>IF(I1760="","",IF(COUNTIF(I$2:I1760,I1760)=1,MAX(J$1:J1759)+1,""))</f>
        <v/>
      </c>
    </row>
    <row r="1761">
      <c r="A1761">
        <f>IFERROR(--SUBSTITUTE(SUBSTITUTE(TRIM(INDEX(INDIRECT("'Выгрузка'!A1761:Z1761"),Настройки!$B$7)),",","."),".",MID(1/2,2,1)),"")</f>
        <v/>
      </c>
      <c r="B1761">
        <f>IFERROR(--SUBSTITUTE(SUBSTITUTE(TRIM(INDEX(INDIRECT("'Выгрузка'!A1761:Z1761"),Настройки!$B$9)),",","."),".",MID(1/2,2,1)),"")</f>
        <v/>
      </c>
      <c r="C1761">
        <f>TRIM(INDEX(INDIRECT("'Выгрузка'!A1761:Z1761"),Настройки!$B$8)&amp;"")</f>
        <v/>
      </c>
      <c r="D1761">
        <f>IFERROR(--SUBSTITUTE(SUBSTITUTE(TRIM(INDEX(INDIRECT("'Выгрузка'!A1761:Z1761"),Настройки!$B$10)),",","."),".",MID(1/2,2,1)),"")</f>
        <v/>
      </c>
      <c r="E1761">
        <f>IFERROR(--SUBSTITUTE(SUBSTITUTE(TRIM(INDEX(INDIRECT("'Выгрузка'!A1761:Z1761"),Настройки!$B$11)),",","."),".",MID(1/2,2,1)),"")</f>
        <v/>
      </c>
      <c r="F1761">
        <f>TRIM(INDEX(INDIRECT("'Выгрузка'!A1761:Z1761"),Настройки!$B$12)&amp;"")</f>
        <v/>
      </c>
      <c r="G1761">
        <f>IF(F1761="",0,IF(TRIM(INDEX(INDIRECT("'Выгрузка'!A1761:Z1761"),Настройки!$B$13)&amp;"")="",1,IFERROR(--SUBSTITUTE(SUBSTITUTE(TRIM(INDEX(INDIRECT("'Выгрузка'!A1761:Z1761"),Настройки!$B$13)),",","."),".",MID(1/2,2,1)),"")))</f>
        <v/>
      </c>
      <c r="H1761">
        <f>IF(F1761="",0,IF(COUNTIF(Настройки!$B$17:$B$26,F1761)&gt;0,1,IF(COUNTIF(Настройки!$C$17:$C$26,F1761)&gt;0,2,IF(COUNTIF(Настройки!$D$17:$D$26,F1761)&gt;0,3,0))))</f>
        <v/>
      </c>
      <c r="I1761">
        <f>IF(AND(ISNUMBER(A1761),ISNUMBER(B1761)),A1761*1000+B1761,"")</f>
        <v/>
      </c>
      <c r="J1761">
        <f>IF(I1761="","",IF(COUNTIF(I$2:I1761,I1761)=1,MAX(J$1:J1760)+1,""))</f>
        <v/>
      </c>
    </row>
    <row r="1762">
      <c r="A1762">
        <f>IFERROR(--SUBSTITUTE(SUBSTITUTE(TRIM(INDEX(INDIRECT("'Выгрузка'!A1762:Z1762"),Настройки!$B$7)),",","."),".",MID(1/2,2,1)),"")</f>
        <v/>
      </c>
      <c r="B1762">
        <f>IFERROR(--SUBSTITUTE(SUBSTITUTE(TRIM(INDEX(INDIRECT("'Выгрузка'!A1762:Z1762"),Настройки!$B$9)),",","."),".",MID(1/2,2,1)),"")</f>
        <v/>
      </c>
      <c r="C1762">
        <f>TRIM(INDEX(INDIRECT("'Выгрузка'!A1762:Z1762"),Настройки!$B$8)&amp;"")</f>
        <v/>
      </c>
      <c r="D1762">
        <f>IFERROR(--SUBSTITUTE(SUBSTITUTE(TRIM(INDEX(INDIRECT("'Выгрузка'!A1762:Z1762"),Настройки!$B$10)),",","."),".",MID(1/2,2,1)),"")</f>
        <v/>
      </c>
      <c r="E1762">
        <f>IFERROR(--SUBSTITUTE(SUBSTITUTE(TRIM(INDEX(INDIRECT("'Выгрузка'!A1762:Z1762"),Настройки!$B$11)),",","."),".",MID(1/2,2,1)),"")</f>
        <v/>
      </c>
      <c r="F1762">
        <f>TRIM(INDEX(INDIRECT("'Выгрузка'!A1762:Z1762"),Настройки!$B$12)&amp;"")</f>
        <v/>
      </c>
      <c r="G1762">
        <f>IF(F1762="",0,IF(TRIM(INDEX(INDIRECT("'Выгрузка'!A1762:Z1762"),Настройки!$B$13)&amp;"")="",1,IFERROR(--SUBSTITUTE(SUBSTITUTE(TRIM(INDEX(INDIRECT("'Выгрузка'!A1762:Z1762"),Настройки!$B$13)),",","."),".",MID(1/2,2,1)),"")))</f>
        <v/>
      </c>
      <c r="H1762">
        <f>IF(F1762="",0,IF(COUNTIF(Настройки!$B$17:$B$26,F1762)&gt;0,1,IF(COUNTIF(Настройки!$C$17:$C$26,F1762)&gt;0,2,IF(COUNTIF(Настройки!$D$17:$D$26,F1762)&gt;0,3,0))))</f>
        <v/>
      </c>
      <c r="I1762">
        <f>IF(AND(ISNUMBER(A1762),ISNUMBER(B1762)),A1762*1000+B1762,"")</f>
        <v/>
      </c>
      <c r="J1762">
        <f>IF(I1762="","",IF(COUNTIF(I$2:I1762,I1762)=1,MAX(J$1:J1761)+1,""))</f>
        <v/>
      </c>
    </row>
    <row r="1763">
      <c r="A1763">
        <f>IFERROR(--SUBSTITUTE(SUBSTITUTE(TRIM(INDEX(INDIRECT("'Выгрузка'!A1763:Z1763"),Настройки!$B$7)),",","."),".",MID(1/2,2,1)),"")</f>
        <v/>
      </c>
      <c r="B1763">
        <f>IFERROR(--SUBSTITUTE(SUBSTITUTE(TRIM(INDEX(INDIRECT("'Выгрузка'!A1763:Z1763"),Настройки!$B$9)),",","."),".",MID(1/2,2,1)),"")</f>
        <v/>
      </c>
      <c r="C1763">
        <f>TRIM(INDEX(INDIRECT("'Выгрузка'!A1763:Z1763"),Настройки!$B$8)&amp;"")</f>
        <v/>
      </c>
      <c r="D1763">
        <f>IFERROR(--SUBSTITUTE(SUBSTITUTE(TRIM(INDEX(INDIRECT("'Выгрузка'!A1763:Z1763"),Настройки!$B$10)),",","."),".",MID(1/2,2,1)),"")</f>
        <v/>
      </c>
      <c r="E1763">
        <f>IFERROR(--SUBSTITUTE(SUBSTITUTE(TRIM(INDEX(INDIRECT("'Выгрузка'!A1763:Z1763"),Настройки!$B$11)),",","."),".",MID(1/2,2,1)),"")</f>
        <v/>
      </c>
      <c r="F1763">
        <f>TRIM(INDEX(INDIRECT("'Выгрузка'!A1763:Z1763"),Настройки!$B$12)&amp;"")</f>
        <v/>
      </c>
      <c r="G1763">
        <f>IF(F1763="",0,IF(TRIM(INDEX(INDIRECT("'Выгрузка'!A1763:Z1763"),Настройки!$B$13)&amp;"")="",1,IFERROR(--SUBSTITUTE(SUBSTITUTE(TRIM(INDEX(INDIRECT("'Выгрузка'!A1763:Z1763"),Настройки!$B$13)),",","."),".",MID(1/2,2,1)),"")))</f>
        <v/>
      </c>
      <c r="H1763">
        <f>IF(F1763="",0,IF(COUNTIF(Настройки!$B$17:$B$26,F1763)&gt;0,1,IF(COUNTIF(Настройки!$C$17:$C$26,F1763)&gt;0,2,IF(COUNTIF(Настройки!$D$17:$D$26,F1763)&gt;0,3,0))))</f>
        <v/>
      </c>
      <c r="I1763">
        <f>IF(AND(ISNUMBER(A1763),ISNUMBER(B1763)),A1763*1000+B1763,"")</f>
        <v/>
      </c>
      <c r="J1763">
        <f>IF(I1763="","",IF(COUNTIF(I$2:I1763,I1763)=1,MAX(J$1:J1762)+1,""))</f>
        <v/>
      </c>
    </row>
    <row r="1764">
      <c r="A1764">
        <f>IFERROR(--SUBSTITUTE(SUBSTITUTE(TRIM(INDEX(INDIRECT("'Выгрузка'!A1764:Z1764"),Настройки!$B$7)),",","."),".",MID(1/2,2,1)),"")</f>
        <v/>
      </c>
      <c r="B1764">
        <f>IFERROR(--SUBSTITUTE(SUBSTITUTE(TRIM(INDEX(INDIRECT("'Выгрузка'!A1764:Z1764"),Настройки!$B$9)),",","."),".",MID(1/2,2,1)),"")</f>
        <v/>
      </c>
      <c r="C1764">
        <f>TRIM(INDEX(INDIRECT("'Выгрузка'!A1764:Z1764"),Настройки!$B$8)&amp;"")</f>
        <v/>
      </c>
      <c r="D1764">
        <f>IFERROR(--SUBSTITUTE(SUBSTITUTE(TRIM(INDEX(INDIRECT("'Выгрузка'!A1764:Z1764"),Настройки!$B$10)),",","."),".",MID(1/2,2,1)),"")</f>
        <v/>
      </c>
      <c r="E1764">
        <f>IFERROR(--SUBSTITUTE(SUBSTITUTE(TRIM(INDEX(INDIRECT("'Выгрузка'!A1764:Z1764"),Настройки!$B$11)),",","."),".",MID(1/2,2,1)),"")</f>
        <v/>
      </c>
      <c r="F1764">
        <f>TRIM(INDEX(INDIRECT("'Выгрузка'!A1764:Z1764"),Настройки!$B$12)&amp;"")</f>
        <v/>
      </c>
      <c r="G1764">
        <f>IF(F1764="",0,IF(TRIM(INDEX(INDIRECT("'Выгрузка'!A1764:Z1764"),Настройки!$B$13)&amp;"")="",1,IFERROR(--SUBSTITUTE(SUBSTITUTE(TRIM(INDEX(INDIRECT("'Выгрузка'!A1764:Z1764"),Настройки!$B$13)),",","."),".",MID(1/2,2,1)),"")))</f>
        <v/>
      </c>
      <c r="H1764">
        <f>IF(F1764="",0,IF(COUNTIF(Настройки!$B$17:$B$26,F1764)&gt;0,1,IF(COUNTIF(Настройки!$C$17:$C$26,F1764)&gt;0,2,IF(COUNTIF(Настройки!$D$17:$D$26,F1764)&gt;0,3,0))))</f>
        <v/>
      </c>
      <c r="I1764">
        <f>IF(AND(ISNUMBER(A1764),ISNUMBER(B1764)),A1764*1000+B1764,"")</f>
        <v/>
      </c>
      <c r="J1764">
        <f>IF(I1764="","",IF(COUNTIF(I$2:I1764,I1764)=1,MAX(J$1:J1763)+1,""))</f>
        <v/>
      </c>
    </row>
    <row r="1765">
      <c r="A1765">
        <f>IFERROR(--SUBSTITUTE(SUBSTITUTE(TRIM(INDEX(INDIRECT("'Выгрузка'!A1765:Z1765"),Настройки!$B$7)),",","."),".",MID(1/2,2,1)),"")</f>
        <v/>
      </c>
      <c r="B1765">
        <f>IFERROR(--SUBSTITUTE(SUBSTITUTE(TRIM(INDEX(INDIRECT("'Выгрузка'!A1765:Z1765"),Настройки!$B$9)),",","."),".",MID(1/2,2,1)),"")</f>
        <v/>
      </c>
      <c r="C1765">
        <f>TRIM(INDEX(INDIRECT("'Выгрузка'!A1765:Z1765"),Настройки!$B$8)&amp;"")</f>
        <v/>
      </c>
      <c r="D1765">
        <f>IFERROR(--SUBSTITUTE(SUBSTITUTE(TRIM(INDEX(INDIRECT("'Выгрузка'!A1765:Z1765"),Настройки!$B$10)),",","."),".",MID(1/2,2,1)),"")</f>
        <v/>
      </c>
      <c r="E1765">
        <f>IFERROR(--SUBSTITUTE(SUBSTITUTE(TRIM(INDEX(INDIRECT("'Выгрузка'!A1765:Z1765"),Настройки!$B$11)),",","."),".",MID(1/2,2,1)),"")</f>
        <v/>
      </c>
      <c r="F1765">
        <f>TRIM(INDEX(INDIRECT("'Выгрузка'!A1765:Z1765"),Настройки!$B$12)&amp;"")</f>
        <v/>
      </c>
      <c r="G1765">
        <f>IF(F1765="",0,IF(TRIM(INDEX(INDIRECT("'Выгрузка'!A1765:Z1765"),Настройки!$B$13)&amp;"")="",1,IFERROR(--SUBSTITUTE(SUBSTITUTE(TRIM(INDEX(INDIRECT("'Выгрузка'!A1765:Z1765"),Настройки!$B$13)),",","."),".",MID(1/2,2,1)),"")))</f>
        <v/>
      </c>
      <c r="H1765">
        <f>IF(F1765="",0,IF(COUNTIF(Настройки!$B$17:$B$26,F1765)&gt;0,1,IF(COUNTIF(Настройки!$C$17:$C$26,F1765)&gt;0,2,IF(COUNTIF(Настройки!$D$17:$D$26,F1765)&gt;0,3,0))))</f>
        <v/>
      </c>
      <c r="I1765">
        <f>IF(AND(ISNUMBER(A1765),ISNUMBER(B1765)),A1765*1000+B1765,"")</f>
        <v/>
      </c>
      <c r="J1765">
        <f>IF(I1765="","",IF(COUNTIF(I$2:I1765,I1765)=1,MAX(J$1:J1764)+1,""))</f>
        <v/>
      </c>
    </row>
    <row r="1766">
      <c r="A1766">
        <f>IFERROR(--SUBSTITUTE(SUBSTITUTE(TRIM(INDEX(INDIRECT("'Выгрузка'!A1766:Z1766"),Настройки!$B$7)),",","."),".",MID(1/2,2,1)),"")</f>
        <v/>
      </c>
      <c r="B1766">
        <f>IFERROR(--SUBSTITUTE(SUBSTITUTE(TRIM(INDEX(INDIRECT("'Выгрузка'!A1766:Z1766"),Настройки!$B$9)),",","."),".",MID(1/2,2,1)),"")</f>
        <v/>
      </c>
      <c r="C1766">
        <f>TRIM(INDEX(INDIRECT("'Выгрузка'!A1766:Z1766"),Настройки!$B$8)&amp;"")</f>
        <v/>
      </c>
      <c r="D1766">
        <f>IFERROR(--SUBSTITUTE(SUBSTITUTE(TRIM(INDEX(INDIRECT("'Выгрузка'!A1766:Z1766"),Настройки!$B$10)),",","."),".",MID(1/2,2,1)),"")</f>
        <v/>
      </c>
      <c r="E1766">
        <f>IFERROR(--SUBSTITUTE(SUBSTITUTE(TRIM(INDEX(INDIRECT("'Выгрузка'!A1766:Z1766"),Настройки!$B$11)),",","."),".",MID(1/2,2,1)),"")</f>
        <v/>
      </c>
      <c r="F1766">
        <f>TRIM(INDEX(INDIRECT("'Выгрузка'!A1766:Z1766"),Настройки!$B$12)&amp;"")</f>
        <v/>
      </c>
      <c r="G1766">
        <f>IF(F1766="",0,IF(TRIM(INDEX(INDIRECT("'Выгрузка'!A1766:Z1766"),Настройки!$B$13)&amp;"")="",1,IFERROR(--SUBSTITUTE(SUBSTITUTE(TRIM(INDEX(INDIRECT("'Выгрузка'!A1766:Z1766"),Настройки!$B$13)),",","."),".",MID(1/2,2,1)),"")))</f>
        <v/>
      </c>
      <c r="H1766">
        <f>IF(F1766="",0,IF(COUNTIF(Настройки!$B$17:$B$26,F1766)&gt;0,1,IF(COUNTIF(Настройки!$C$17:$C$26,F1766)&gt;0,2,IF(COUNTIF(Настройки!$D$17:$D$26,F1766)&gt;0,3,0))))</f>
        <v/>
      </c>
      <c r="I1766">
        <f>IF(AND(ISNUMBER(A1766),ISNUMBER(B1766)),A1766*1000+B1766,"")</f>
        <v/>
      </c>
      <c r="J1766">
        <f>IF(I1766="","",IF(COUNTIF(I$2:I1766,I1766)=1,MAX(J$1:J1765)+1,""))</f>
        <v/>
      </c>
    </row>
    <row r="1767">
      <c r="A1767">
        <f>IFERROR(--SUBSTITUTE(SUBSTITUTE(TRIM(INDEX(INDIRECT("'Выгрузка'!A1767:Z1767"),Настройки!$B$7)),",","."),".",MID(1/2,2,1)),"")</f>
        <v/>
      </c>
      <c r="B1767">
        <f>IFERROR(--SUBSTITUTE(SUBSTITUTE(TRIM(INDEX(INDIRECT("'Выгрузка'!A1767:Z1767"),Настройки!$B$9)),",","."),".",MID(1/2,2,1)),"")</f>
        <v/>
      </c>
      <c r="C1767">
        <f>TRIM(INDEX(INDIRECT("'Выгрузка'!A1767:Z1767"),Настройки!$B$8)&amp;"")</f>
        <v/>
      </c>
      <c r="D1767">
        <f>IFERROR(--SUBSTITUTE(SUBSTITUTE(TRIM(INDEX(INDIRECT("'Выгрузка'!A1767:Z1767"),Настройки!$B$10)),",","."),".",MID(1/2,2,1)),"")</f>
        <v/>
      </c>
      <c r="E1767">
        <f>IFERROR(--SUBSTITUTE(SUBSTITUTE(TRIM(INDEX(INDIRECT("'Выгрузка'!A1767:Z1767"),Настройки!$B$11)),",","."),".",MID(1/2,2,1)),"")</f>
        <v/>
      </c>
      <c r="F1767">
        <f>TRIM(INDEX(INDIRECT("'Выгрузка'!A1767:Z1767"),Настройки!$B$12)&amp;"")</f>
        <v/>
      </c>
      <c r="G1767">
        <f>IF(F1767="",0,IF(TRIM(INDEX(INDIRECT("'Выгрузка'!A1767:Z1767"),Настройки!$B$13)&amp;"")="",1,IFERROR(--SUBSTITUTE(SUBSTITUTE(TRIM(INDEX(INDIRECT("'Выгрузка'!A1767:Z1767"),Настройки!$B$13)),",","."),".",MID(1/2,2,1)),"")))</f>
        <v/>
      </c>
      <c r="H1767">
        <f>IF(F1767="",0,IF(COUNTIF(Настройки!$B$17:$B$26,F1767)&gt;0,1,IF(COUNTIF(Настройки!$C$17:$C$26,F1767)&gt;0,2,IF(COUNTIF(Настройки!$D$17:$D$26,F1767)&gt;0,3,0))))</f>
        <v/>
      </c>
      <c r="I1767">
        <f>IF(AND(ISNUMBER(A1767),ISNUMBER(B1767)),A1767*1000+B1767,"")</f>
        <v/>
      </c>
      <c r="J1767">
        <f>IF(I1767="","",IF(COUNTIF(I$2:I1767,I1767)=1,MAX(J$1:J1766)+1,""))</f>
        <v/>
      </c>
    </row>
    <row r="1768">
      <c r="A1768">
        <f>IFERROR(--SUBSTITUTE(SUBSTITUTE(TRIM(INDEX(INDIRECT("'Выгрузка'!A1768:Z1768"),Настройки!$B$7)),",","."),".",MID(1/2,2,1)),"")</f>
        <v/>
      </c>
      <c r="B1768">
        <f>IFERROR(--SUBSTITUTE(SUBSTITUTE(TRIM(INDEX(INDIRECT("'Выгрузка'!A1768:Z1768"),Настройки!$B$9)),",","."),".",MID(1/2,2,1)),"")</f>
        <v/>
      </c>
      <c r="C1768">
        <f>TRIM(INDEX(INDIRECT("'Выгрузка'!A1768:Z1768"),Настройки!$B$8)&amp;"")</f>
        <v/>
      </c>
      <c r="D1768">
        <f>IFERROR(--SUBSTITUTE(SUBSTITUTE(TRIM(INDEX(INDIRECT("'Выгрузка'!A1768:Z1768"),Настройки!$B$10)),",","."),".",MID(1/2,2,1)),"")</f>
        <v/>
      </c>
      <c r="E1768">
        <f>IFERROR(--SUBSTITUTE(SUBSTITUTE(TRIM(INDEX(INDIRECT("'Выгрузка'!A1768:Z1768"),Настройки!$B$11)),",","."),".",MID(1/2,2,1)),"")</f>
        <v/>
      </c>
      <c r="F1768">
        <f>TRIM(INDEX(INDIRECT("'Выгрузка'!A1768:Z1768"),Настройки!$B$12)&amp;"")</f>
        <v/>
      </c>
      <c r="G1768">
        <f>IF(F1768="",0,IF(TRIM(INDEX(INDIRECT("'Выгрузка'!A1768:Z1768"),Настройки!$B$13)&amp;"")="",1,IFERROR(--SUBSTITUTE(SUBSTITUTE(TRIM(INDEX(INDIRECT("'Выгрузка'!A1768:Z1768"),Настройки!$B$13)),",","."),".",MID(1/2,2,1)),"")))</f>
        <v/>
      </c>
      <c r="H1768">
        <f>IF(F1768="",0,IF(COUNTIF(Настройки!$B$17:$B$26,F1768)&gt;0,1,IF(COUNTIF(Настройки!$C$17:$C$26,F1768)&gt;0,2,IF(COUNTIF(Настройки!$D$17:$D$26,F1768)&gt;0,3,0))))</f>
        <v/>
      </c>
      <c r="I1768">
        <f>IF(AND(ISNUMBER(A1768),ISNUMBER(B1768)),A1768*1000+B1768,"")</f>
        <v/>
      </c>
      <c r="J1768">
        <f>IF(I1768="","",IF(COUNTIF(I$2:I1768,I1768)=1,MAX(J$1:J1767)+1,""))</f>
        <v/>
      </c>
    </row>
    <row r="1769">
      <c r="A1769">
        <f>IFERROR(--SUBSTITUTE(SUBSTITUTE(TRIM(INDEX(INDIRECT("'Выгрузка'!A1769:Z1769"),Настройки!$B$7)),",","."),".",MID(1/2,2,1)),"")</f>
        <v/>
      </c>
      <c r="B1769">
        <f>IFERROR(--SUBSTITUTE(SUBSTITUTE(TRIM(INDEX(INDIRECT("'Выгрузка'!A1769:Z1769"),Настройки!$B$9)),",","."),".",MID(1/2,2,1)),"")</f>
        <v/>
      </c>
      <c r="C1769">
        <f>TRIM(INDEX(INDIRECT("'Выгрузка'!A1769:Z1769"),Настройки!$B$8)&amp;"")</f>
        <v/>
      </c>
      <c r="D1769">
        <f>IFERROR(--SUBSTITUTE(SUBSTITUTE(TRIM(INDEX(INDIRECT("'Выгрузка'!A1769:Z1769"),Настройки!$B$10)),",","."),".",MID(1/2,2,1)),"")</f>
        <v/>
      </c>
      <c r="E1769">
        <f>IFERROR(--SUBSTITUTE(SUBSTITUTE(TRIM(INDEX(INDIRECT("'Выгрузка'!A1769:Z1769"),Настройки!$B$11)),",","."),".",MID(1/2,2,1)),"")</f>
        <v/>
      </c>
      <c r="F1769">
        <f>TRIM(INDEX(INDIRECT("'Выгрузка'!A1769:Z1769"),Настройки!$B$12)&amp;"")</f>
        <v/>
      </c>
      <c r="G1769">
        <f>IF(F1769="",0,IF(TRIM(INDEX(INDIRECT("'Выгрузка'!A1769:Z1769"),Настройки!$B$13)&amp;"")="",1,IFERROR(--SUBSTITUTE(SUBSTITUTE(TRIM(INDEX(INDIRECT("'Выгрузка'!A1769:Z1769"),Настройки!$B$13)),",","."),".",MID(1/2,2,1)),"")))</f>
        <v/>
      </c>
      <c r="H1769">
        <f>IF(F1769="",0,IF(COUNTIF(Настройки!$B$17:$B$26,F1769)&gt;0,1,IF(COUNTIF(Настройки!$C$17:$C$26,F1769)&gt;0,2,IF(COUNTIF(Настройки!$D$17:$D$26,F1769)&gt;0,3,0))))</f>
        <v/>
      </c>
      <c r="I1769">
        <f>IF(AND(ISNUMBER(A1769),ISNUMBER(B1769)),A1769*1000+B1769,"")</f>
        <v/>
      </c>
      <c r="J1769">
        <f>IF(I1769="","",IF(COUNTIF(I$2:I1769,I1769)=1,MAX(J$1:J1768)+1,""))</f>
        <v/>
      </c>
    </row>
    <row r="1770">
      <c r="A1770">
        <f>IFERROR(--SUBSTITUTE(SUBSTITUTE(TRIM(INDEX(INDIRECT("'Выгрузка'!A1770:Z1770"),Настройки!$B$7)),",","."),".",MID(1/2,2,1)),"")</f>
        <v/>
      </c>
      <c r="B1770">
        <f>IFERROR(--SUBSTITUTE(SUBSTITUTE(TRIM(INDEX(INDIRECT("'Выгрузка'!A1770:Z1770"),Настройки!$B$9)),",","."),".",MID(1/2,2,1)),"")</f>
        <v/>
      </c>
      <c r="C1770">
        <f>TRIM(INDEX(INDIRECT("'Выгрузка'!A1770:Z1770"),Настройки!$B$8)&amp;"")</f>
        <v/>
      </c>
      <c r="D1770">
        <f>IFERROR(--SUBSTITUTE(SUBSTITUTE(TRIM(INDEX(INDIRECT("'Выгрузка'!A1770:Z1770"),Настройки!$B$10)),",","."),".",MID(1/2,2,1)),"")</f>
        <v/>
      </c>
      <c r="E1770">
        <f>IFERROR(--SUBSTITUTE(SUBSTITUTE(TRIM(INDEX(INDIRECT("'Выгрузка'!A1770:Z1770"),Настройки!$B$11)),",","."),".",MID(1/2,2,1)),"")</f>
        <v/>
      </c>
      <c r="F1770">
        <f>TRIM(INDEX(INDIRECT("'Выгрузка'!A1770:Z1770"),Настройки!$B$12)&amp;"")</f>
        <v/>
      </c>
      <c r="G1770">
        <f>IF(F1770="",0,IF(TRIM(INDEX(INDIRECT("'Выгрузка'!A1770:Z1770"),Настройки!$B$13)&amp;"")="",1,IFERROR(--SUBSTITUTE(SUBSTITUTE(TRIM(INDEX(INDIRECT("'Выгрузка'!A1770:Z1770"),Настройки!$B$13)),",","."),".",MID(1/2,2,1)),"")))</f>
        <v/>
      </c>
      <c r="H1770">
        <f>IF(F1770="",0,IF(COUNTIF(Настройки!$B$17:$B$26,F1770)&gt;0,1,IF(COUNTIF(Настройки!$C$17:$C$26,F1770)&gt;0,2,IF(COUNTIF(Настройки!$D$17:$D$26,F1770)&gt;0,3,0))))</f>
        <v/>
      </c>
      <c r="I1770">
        <f>IF(AND(ISNUMBER(A1770),ISNUMBER(B1770)),A1770*1000+B1770,"")</f>
        <v/>
      </c>
      <c r="J1770">
        <f>IF(I1770="","",IF(COUNTIF(I$2:I1770,I1770)=1,MAX(J$1:J1769)+1,""))</f>
        <v/>
      </c>
    </row>
    <row r="1771">
      <c r="A1771">
        <f>IFERROR(--SUBSTITUTE(SUBSTITUTE(TRIM(INDEX(INDIRECT("'Выгрузка'!A1771:Z1771"),Настройки!$B$7)),",","."),".",MID(1/2,2,1)),"")</f>
        <v/>
      </c>
      <c r="B1771">
        <f>IFERROR(--SUBSTITUTE(SUBSTITUTE(TRIM(INDEX(INDIRECT("'Выгрузка'!A1771:Z1771"),Настройки!$B$9)),",","."),".",MID(1/2,2,1)),"")</f>
        <v/>
      </c>
      <c r="C1771">
        <f>TRIM(INDEX(INDIRECT("'Выгрузка'!A1771:Z1771"),Настройки!$B$8)&amp;"")</f>
        <v/>
      </c>
      <c r="D1771">
        <f>IFERROR(--SUBSTITUTE(SUBSTITUTE(TRIM(INDEX(INDIRECT("'Выгрузка'!A1771:Z1771"),Настройки!$B$10)),",","."),".",MID(1/2,2,1)),"")</f>
        <v/>
      </c>
      <c r="E1771">
        <f>IFERROR(--SUBSTITUTE(SUBSTITUTE(TRIM(INDEX(INDIRECT("'Выгрузка'!A1771:Z1771"),Настройки!$B$11)),",","."),".",MID(1/2,2,1)),"")</f>
        <v/>
      </c>
      <c r="F1771">
        <f>TRIM(INDEX(INDIRECT("'Выгрузка'!A1771:Z1771"),Настройки!$B$12)&amp;"")</f>
        <v/>
      </c>
      <c r="G1771">
        <f>IF(F1771="",0,IF(TRIM(INDEX(INDIRECT("'Выгрузка'!A1771:Z1771"),Настройки!$B$13)&amp;"")="",1,IFERROR(--SUBSTITUTE(SUBSTITUTE(TRIM(INDEX(INDIRECT("'Выгрузка'!A1771:Z1771"),Настройки!$B$13)),",","."),".",MID(1/2,2,1)),"")))</f>
        <v/>
      </c>
      <c r="H1771">
        <f>IF(F1771="",0,IF(COUNTIF(Настройки!$B$17:$B$26,F1771)&gt;0,1,IF(COUNTIF(Настройки!$C$17:$C$26,F1771)&gt;0,2,IF(COUNTIF(Настройки!$D$17:$D$26,F1771)&gt;0,3,0))))</f>
        <v/>
      </c>
      <c r="I1771">
        <f>IF(AND(ISNUMBER(A1771),ISNUMBER(B1771)),A1771*1000+B1771,"")</f>
        <v/>
      </c>
      <c r="J1771">
        <f>IF(I1771="","",IF(COUNTIF(I$2:I1771,I1771)=1,MAX(J$1:J1770)+1,""))</f>
        <v/>
      </c>
    </row>
    <row r="1772">
      <c r="A1772">
        <f>IFERROR(--SUBSTITUTE(SUBSTITUTE(TRIM(INDEX(INDIRECT("'Выгрузка'!A1772:Z1772"),Настройки!$B$7)),",","."),".",MID(1/2,2,1)),"")</f>
        <v/>
      </c>
      <c r="B1772">
        <f>IFERROR(--SUBSTITUTE(SUBSTITUTE(TRIM(INDEX(INDIRECT("'Выгрузка'!A1772:Z1772"),Настройки!$B$9)),",","."),".",MID(1/2,2,1)),"")</f>
        <v/>
      </c>
      <c r="C1772">
        <f>TRIM(INDEX(INDIRECT("'Выгрузка'!A1772:Z1772"),Настройки!$B$8)&amp;"")</f>
        <v/>
      </c>
      <c r="D1772">
        <f>IFERROR(--SUBSTITUTE(SUBSTITUTE(TRIM(INDEX(INDIRECT("'Выгрузка'!A1772:Z1772"),Настройки!$B$10)),",","."),".",MID(1/2,2,1)),"")</f>
        <v/>
      </c>
      <c r="E1772">
        <f>IFERROR(--SUBSTITUTE(SUBSTITUTE(TRIM(INDEX(INDIRECT("'Выгрузка'!A1772:Z1772"),Настройки!$B$11)),",","."),".",MID(1/2,2,1)),"")</f>
        <v/>
      </c>
      <c r="F1772">
        <f>TRIM(INDEX(INDIRECT("'Выгрузка'!A1772:Z1772"),Настройки!$B$12)&amp;"")</f>
        <v/>
      </c>
      <c r="G1772">
        <f>IF(F1772="",0,IF(TRIM(INDEX(INDIRECT("'Выгрузка'!A1772:Z1772"),Настройки!$B$13)&amp;"")="",1,IFERROR(--SUBSTITUTE(SUBSTITUTE(TRIM(INDEX(INDIRECT("'Выгрузка'!A1772:Z1772"),Настройки!$B$13)),",","."),".",MID(1/2,2,1)),"")))</f>
        <v/>
      </c>
      <c r="H1772">
        <f>IF(F1772="",0,IF(COUNTIF(Настройки!$B$17:$B$26,F1772)&gt;0,1,IF(COUNTIF(Настройки!$C$17:$C$26,F1772)&gt;0,2,IF(COUNTIF(Настройки!$D$17:$D$26,F1772)&gt;0,3,0))))</f>
        <v/>
      </c>
      <c r="I1772">
        <f>IF(AND(ISNUMBER(A1772),ISNUMBER(B1772)),A1772*1000+B1772,"")</f>
        <v/>
      </c>
      <c r="J1772">
        <f>IF(I1772="","",IF(COUNTIF(I$2:I1772,I1772)=1,MAX(J$1:J1771)+1,""))</f>
        <v/>
      </c>
    </row>
    <row r="1773">
      <c r="A1773">
        <f>IFERROR(--SUBSTITUTE(SUBSTITUTE(TRIM(INDEX(INDIRECT("'Выгрузка'!A1773:Z1773"),Настройки!$B$7)),",","."),".",MID(1/2,2,1)),"")</f>
        <v/>
      </c>
      <c r="B1773">
        <f>IFERROR(--SUBSTITUTE(SUBSTITUTE(TRIM(INDEX(INDIRECT("'Выгрузка'!A1773:Z1773"),Настройки!$B$9)),",","."),".",MID(1/2,2,1)),"")</f>
        <v/>
      </c>
      <c r="C1773">
        <f>TRIM(INDEX(INDIRECT("'Выгрузка'!A1773:Z1773"),Настройки!$B$8)&amp;"")</f>
        <v/>
      </c>
      <c r="D1773">
        <f>IFERROR(--SUBSTITUTE(SUBSTITUTE(TRIM(INDEX(INDIRECT("'Выгрузка'!A1773:Z1773"),Настройки!$B$10)),",","."),".",MID(1/2,2,1)),"")</f>
        <v/>
      </c>
      <c r="E1773">
        <f>IFERROR(--SUBSTITUTE(SUBSTITUTE(TRIM(INDEX(INDIRECT("'Выгрузка'!A1773:Z1773"),Настройки!$B$11)),",","."),".",MID(1/2,2,1)),"")</f>
        <v/>
      </c>
      <c r="F1773">
        <f>TRIM(INDEX(INDIRECT("'Выгрузка'!A1773:Z1773"),Настройки!$B$12)&amp;"")</f>
        <v/>
      </c>
      <c r="G1773">
        <f>IF(F1773="",0,IF(TRIM(INDEX(INDIRECT("'Выгрузка'!A1773:Z1773"),Настройки!$B$13)&amp;"")="",1,IFERROR(--SUBSTITUTE(SUBSTITUTE(TRIM(INDEX(INDIRECT("'Выгрузка'!A1773:Z1773"),Настройки!$B$13)),",","."),".",MID(1/2,2,1)),"")))</f>
        <v/>
      </c>
      <c r="H1773">
        <f>IF(F1773="",0,IF(COUNTIF(Настройки!$B$17:$B$26,F1773)&gt;0,1,IF(COUNTIF(Настройки!$C$17:$C$26,F1773)&gt;0,2,IF(COUNTIF(Настройки!$D$17:$D$26,F1773)&gt;0,3,0))))</f>
        <v/>
      </c>
      <c r="I1773">
        <f>IF(AND(ISNUMBER(A1773),ISNUMBER(B1773)),A1773*1000+B1773,"")</f>
        <v/>
      </c>
      <c r="J1773">
        <f>IF(I1773="","",IF(COUNTIF(I$2:I1773,I1773)=1,MAX(J$1:J1772)+1,""))</f>
        <v/>
      </c>
    </row>
    <row r="1774">
      <c r="A1774">
        <f>IFERROR(--SUBSTITUTE(SUBSTITUTE(TRIM(INDEX(INDIRECT("'Выгрузка'!A1774:Z1774"),Настройки!$B$7)),",","."),".",MID(1/2,2,1)),"")</f>
        <v/>
      </c>
      <c r="B1774">
        <f>IFERROR(--SUBSTITUTE(SUBSTITUTE(TRIM(INDEX(INDIRECT("'Выгрузка'!A1774:Z1774"),Настройки!$B$9)),",","."),".",MID(1/2,2,1)),"")</f>
        <v/>
      </c>
      <c r="C1774">
        <f>TRIM(INDEX(INDIRECT("'Выгрузка'!A1774:Z1774"),Настройки!$B$8)&amp;"")</f>
        <v/>
      </c>
      <c r="D1774">
        <f>IFERROR(--SUBSTITUTE(SUBSTITUTE(TRIM(INDEX(INDIRECT("'Выгрузка'!A1774:Z1774"),Настройки!$B$10)),",","."),".",MID(1/2,2,1)),"")</f>
        <v/>
      </c>
      <c r="E1774">
        <f>IFERROR(--SUBSTITUTE(SUBSTITUTE(TRIM(INDEX(INDIRECT("'Выгрузка'!A1774:Z1774"),Настройки!$B$11)),",","."),".",MID(1/2,2,1)),"")</f>
        <v/>
      </c>
      <c r="F1774">
        <f>TRIM(INDEX(INDIRECT("'Выгрузка'!A1774:Z1774"),Настройки!$B$12)&amp;"")</f>
        <v/>
      </c>
      <c r="G1774">
        <f>IF(F1774="",0,IF(TRIM(INDEX(INDIRECT("'Выгрузка'!A1774:Z1774"),Настройки!$B$13)&amp;"")="",1,IFERROR(--SUBSTITUTE(SUBSTITUTE(TRIM(INDEX(INDIRECT("'Выгрузка'!A1774:Z1774"),Настройки!$B$13)),",","."),".",MID(1/2,2,1)),"")))</f>
        <v/>
      </c>
      <c r="H1774">
        <f>IF(F1774="",0,IF(COUNTIF(Настройки!$B$17:$B$26,F1774)&gt;0,1,IF(COUNTIF(Настройки!$C$17:$C$26,F1774)&gt;0,2,IF(COUNTIF(Настройки!$D$17:$D$26,F1774)&gt;0,3,0))))</f>
        <v/>
      </c>
      <c r="I1774">
        <f>IF(AND(ISNUMBER(A1774),ISNUMBER(B1774)),A1774*1000+B1774,"")</f>
        <v/>
      </c>
      <c r="J1774">
        <f>IF(I1774="","",IF(COUNTIF(I$2:I1774,I1774)=1,MAX(J$1:J1773)+1,""))</f>
        <v/>
      </c>
    </row>
    <row r="1775">
      <c r="A1775">
        <f>IFERROR(--SUBSTITUTE(SUBSTITUTE(TRIM(INDEX(INDIRECT("'Выгрузка'!A1775:Z1775"),Настройки!$B$7)),",","."),".",MID(1/2,2,1)),"")</f>
        <v/>
      </c>
      <c r="B1775">
        <f>IFERROR(--SUBSTITUTE(SUBSTITUTE(TRIM(INDEX(INDIRECT("'Выгрузка'!A1775:Z1775"),Настройки!$B$9)),",","."),".",MID(1/2,2,1)),"")</f>
        <v/>
      </c>
      <c r="C1775">
        <f>TRIM(INDEX(INDIRECT("'Выгрузка'!A1775:Z1775"),Настройки!$B$8)&amp;"")</f>
        <v/>
      </c>
      <c r="D1775">
        <f>IFERROR(--SUBSTITUTE(SUBSTITUTE(TRIM(INDEX(INDIRECT("'Выгрузка'!A1775:Z1775"),Настройки!$B$10)),",","."),".",MID(1/2,2,1)),"")</f>
        <v/>
      </c>
      <c r="E1775">
        <f>IFERROR(--SUBSTITUTE(SUBSTITUTE(TRIM(INDEX(INDIRECT("'Выгрузка'!A1775:Z1775"),Настройки!$B$11)),",","."),".",MID(1/2,2,1)),"")</f>
        <v/>
      </c>
      <c r="F1775">
        <f>TRIM(INDEX(INDIRECT("'Выгрузка'!A1775:Z1775"),Настройки!$B$12)&amp;"")</f>
        <v/>
      </c>
      <c r="G1775">
        <f>IF(F1775="",0,IF(TRIM(INDEX(INDIRECT("'Выгрузка'!A1775:Z1775"),Настройки!$B$13)&amp;"")="",1,IFERROR(--SUBSTITUTE(SUBSTITUTE(TRIM(INDEX(INDIRECT("'Выгрузка'!A1775:Z1775"),Настройки!$B$13)),",","."),".",MID(1/2,2,1)),"")))</f>
        <v/>
      </c>
      <c r="H1775">
        <f>IF(F1775="",0,IF(COUNTIF(Настройки!$B$17:$B$26,F1775)&gt;0,1,IF(COUNTIF(Настройки!$C$17:$C$26,F1775)&gt;0,2,IF(COUNTIF(Настройки!$D$17:$D$26,F1775)&gt;0,3,0))))</f>
        <v/>
      </c>
      <c r="I1775">
        <f>IF(AND(ISNUMBER(A1775),ISNUMBER(B1775)),A1775*1000+B1775,"")</f>
        <v/>
      </c>
      <c r="J1775">
        <f>IF(I1775="","",IF(COUNTIF(I$2:I1775,I1775)=1,MAX(J$1:J1774)+1,""))</f>
        <v/>
      </c>
    </row>
    <row r="1776">
      <c r="A1776">
        <f>IFERROR(--SUBSTITUTE(SUBSTITUTE(TRIM(INDEX(INDIRECT("'Выгрузка'!A1776:Z1776"),Настройки!$B$7)),",","."),".",MID(1/2,2,1)),"")</f>
        <v/>
      </c>
      <c r="B1776">
        <f>IFERROR(--SUBSTITUTE(SUBSTITUTE(TRIM(INDEX(INDIRECT("'Выгрузка'!A1776:Z1776"),Настройки!$B$9)),",","."),".",MID(1/2,2,1)),"")</f>
        <v/>
      </c>
      <c r="C1776">
        <f>TRIM(INDEX(INDIRECT("'Выгрузка'!A1776:Z1776"),Настройки!$B$8)&amp;"")</f>
        <v/>
      </c>
      <c r="D1776">
        <f>IFERROR(--SUBSTITUTE(SUBSTITUTE(TRIM(INDEX(INDIRECT("'Выгрузка'!A1776:Z1776"),Настройки!$B$10)),",","."),".",MID(1/2,2,1)),"")</f>
        <v/>
      </c>
      <c r="E1776">
        <f>IFERROR(--SUBSTITUTE(SUBSTITUTE(TRIM(INDEX(INDIRECT("'Выгрузка'!A1776:Z1776"),Настройки!$B$11)),",","."),".",MID(1/2,2,1)),"")</f>
        <v/>
      </c>
      <c r="F1776">
        <f>TRIM(INDEX(INDIRECT("'Выгрузка'!A1776:Z1776"),Настройки!$B$12)&amp;"")</f>
        <v/>
      </c>
      <c r="G1776">
        <f>IF(F1776="",0,IF(TRIM(INDEX(INDIRECT("'Выгрузка'!A1776:Z1776"),Настройки!$B$13)&amp;"")="",1,IFERROR(--SUBSTITUTE(SUBSTITUTE(TRIM(INDEX(INDIRECT("'Выгрузка'!A1776:Z1776"),Настройки!$B$13)),",","."),".",MID(1/2,2,1)),"")))</f>
        <v/>
      </c>
      <c r="H1776">
        <f>IF(F1776="",0,IF(COUNTIF(Настройки!$B$17:$B$26,F1776)&gt;0,1,IF(COUNTIF(Настройки!$C$17:$C$26,F1776)&gt;0,2,IF(COUNTIF(Настройки!$D$17:$D$26,F1776)&gt;0,3,0))))</f>
        <v/>
      </c>
      <c r="I1776">
        <f>IF(AND(ISNUMBER(A1776),ISNUMBER(B1776)),A1776*1000+B1776,"")</f>
        <v/>
      </c>
      <c r="J1776">
        <f>IF(I1776="","",IF(COUNTIF(I$2:I1776,I1776)=1,MAX(J$1:J1775)+1,""))</f>
        <v/>
      </c>
    </row>
    <row r="1777">
      <c r="A1777">
        <f>IFERROR(--SUBSTITUTE(SUBSTITUTE(TRIM(INDEX(INDIRECT("'Выгрузка'!A1777:Z1777"),Настройки!$B$7)),",","."),".",MID(1/2,2,1)),"")</f>
        <v/>
      </c>
      <c r="B1777">
        <f>IFERROR(--SUBSTITUTE(SUBSTITUTE(TRIM(INDEX(INDIRECT("'Выгрузка'!A1777:Z1777"),Настройки!$B$9)),",","."),".",MID(1/2,2,1)),"")</f>
        <v/>
      </c>
      <c r="C1777">
        <f>TRIM(INDEX(INDIRECT("'Выгрузка'!A1777:Z1777"),Настройки!$B$8)&amp;"")</f>
        <v/>
      </c>
      <c r="D1777">
        <f>IFERROR(--SUBSTITUTE(SUBSTITUTE(TRIM(INDEX(INDIRECT("'Выгрузка'!A1777:Z1777"),Настройки!$B$10)),",","."),".",MID(1/2,2,1)),"")</f>
        <v/>
      </c>
      <c r="E1777">
        <f>IFERROR(--SUBSTITUTE(SUBSTITUTE(TRIM(INDEX(INDIRECT("'Выгрузка'!A1777:Z1777"),Настройки!$B$11)),",","."),".",MID(1/2,2,1)),"")</f>
        <v/>
      </c>
      <c r="F1777">
        <f>TRIM(INDEX(INDIRECT("'Выгрузка'!A1777:Z1777"),Настройки!$B$12)&amp;"")</f>
        <v/>
      </c>
      <c r="G1777">
        <f>IF(F1777="",0,IF(TRIM(INDEX(INDIRECT("'Выгрузка'!A1777:Z1777"),Настройки!$B$13)&amp;"")="",1,IFERROR(--SUBSTITUTE(SUBSTITUTE(TRIM(INDEX(INDIRECT("'Выгрузка'!A1777:Z1777"),Настройки!$B$13)),",","."),".",MID(1/2,2,1)),"")))</f>
        <v/>
      </c>
      <c r="H1777">
        <f>IF(F1777="",0,IF(COUNTIF(Настройки!$B$17:$B$26,F1777)&gt;0,1,IF(COUNTIF(Настройки!$C$17:$C$26,F1777)&gt;0,2,IF(COUNTIF(Настройки!$D$17:$D$26,F1777)&gt;0,3,0))))</f>
        <v/>
      </c>
      <c r="I1777">
        <f>IF(AND(ISNUMBER(A1777),ISNUMBER(B1777)),A1777*1000+B1777,"")</f>
        <v/>
      </c>
      <c r="J1777">
        <f>IF(I1777="","",IF(COUNTIF(I$2:I1777,I1777)=1,MAX(J$1:J1776)+1,""))</f>
        <v/>
      </c>
    </row>
    <row r="1778">
      <c r="A1778">
        <f>IFERROR(--SUBSTITUTE(SUBSTITUTE(TRIM(INDEX(INDIRECT("'Выгрузка'!A1778:Z1778"),Настройки!$B$7)),",","."),".",MID(1/2,2,1)),"")</f>
        <v/>
      </c>
      <c r="B1778">
        <f>IFERROR(--SUBSTITUTE(SUBSTITUTE(TRIM(INDEX(INDIRECT("'Выгрузка'!A1778:Z1778"),Настройки!$B$9)),",","."),".",MID(1/2,2,1)),"")</f>
        <v/>
      </c>
      <c r="C1778">
        <f>TRIM(INDEX(INDIRECT("'Выгрузка'!A1778:Z1778"),Настройки!$B$8)&amp;"")</f>
        <v/>
      </c>
      <c r="D1778">
        <f>IFERROR(--SUBSTITUTE(SUBSTITUTE(TRIM(INDEX(INDIRECT("'Выгрузка'!A1778:Z1778"),Настройки!$B$10)),",","."),".",MID(1/2,2,1)),"")</f>
        <v/>
      </c>
      <c r="E1778">
        <f>IFERROR(--SUBSTITUTE(SUBSTITUTE(TRIM(INDEX(INDIRECT("'Выгрузка'!A1778:Z1778"),Настройки!$B$11)),",","."),".",MID(1/2,2,1)),"")</f>
        <v/>
      </c>
      <c r="F1778">
        <f>TRIM(INDEX(INDIRECT("'Выгрузка'!A1778:Z1778"),Настройки!$B$12)&amp;"")</f>
        <v/>
      </c>
      <c r="G1778">
        <f>IF(F1778="",0,IF(TRIM(INDEX(INDIRECT("'Выгрузка'!A1778:Z1778"),Настройки!$B$13)&amp;"")="",1,IFERROR(--SUBSTITUTE(SUBSTITUTE(TRIM(INDEX(INDIRECT("'Выгрузка'!A1778:Z1778"),Настройки!$B$13)),",","."),".",MID(1/2,2,1)),"")))</f>
        <v/>
      </c>
      <c r="H1778">
        <f>IF(F1778="",0,IF(COUNTIF(Настройки!$B$17:$B$26,F1778)&gt;0,1,IF(COUNTIF(Настройки!$C$17:$C$26,F1778)&gt;0,2,IF(COUNTIF(Настройки!$D$17:$D$26,F1778)&gt;0,3,0))))</f>
        <v/>
      </c>
      <c r="I1778">
        <f>IF(AND(ISNUMBER(A1778),ISNUMBER(B1778)),A1778*1000+B1778,"")</f>
        <v/>
      </c>
      <c r="J1778">
        <f>IF(I1778="","",IF(COUNTIF(I$2:I1778,I1778)=1,MAX(J$1:J1777)+1,""))</f>
        <v/>
      </c>
    </row>
    <row r="1779">
      <c r="A1779">
        <f>IFERROR(--SUBSTITUTE(SUBSTITUTE(TRIM(INDEX(INDIRECT("'Выгрузка'!A1779:Z1779"),Настройки!$B$7)),",","."),".",MID(1/2,2,1)),"")</f>
        <v/>
      </c>
      <c r="B1779">
        <f>IFERROR(--SUBSTITUTE(SUBSTITUTE(TRIM(INDEX(INDIRECT("'Выгрузка'!A1779:Z1779"),Настройки!$B$9)),",","."),".",MID(1/2,2,1)),"")</f>
        <v/>
      </c>
      <c r="C1779">
        <f>TRIM(INDEX(INDIRECT("'Выгрузка'!A1779:Z1779"),Настройки!$B$8)&amp;"")</f>
        <v/>
      </c>
      <c r="D1779">
        <f>IFERROR(--SUBSTITUTE(SUBSTITUTE(TRIM(INDEX(INDIRECT("'Выгрузка'!A1779:Z1779"),Настройки!$B$10)),",","."),".",MID(1/2,2,1)),"")</f>
        <v/>
      </c>
      <c r="E1779">
        <f>IFERROR(--SUBSTITUTE(SUBSTITUTE(TRIM(INDEX(INDIRECT("'Выгрузка'!A1779:Z1779"),Настройки!$B$11)),",","."),".",MID(1/2,2,1)),"")</f>
        <v/>
      </c>
      <c r="F1779">
        <f>TRIM(INDEX(INDIRECT("'Выгрузка'!A1779:Z1779"),Настройки!$B$12)&amp;"")</f>
        <v/>
      </c>
      <c r="G1779">
        <f>IF(F1779="",0,IF(TRIM(INDEX(INDIRECT("'Выгрузка'!A1779:Z1779"),Настройки!$B$13)&amp;"")="",1,IFERROR(--SUBSTITUTE(SUBSTITUTE(TRIM(INDEX(INDIRECT("'Выгрузка'!A1779:Z1779"),Настройки!$B$13)),",","."),".",MID(1/2,2,1)),"")))</f>
        <v/>
      </c>
      <c r="H1779">
        <f>IF(F1779="",0,IF(COUNTIF(Настройки!$B$17:$B$26,F1779)&gt;0,1,IF(COUNTIF(Настройки!$C$17:$C$26,F1779)&gt;0,2,IF(COUNTIF(Настройки!$D$17:$D$26,F1779)&gt;0,3,0))))</f>
        <v/>
      </c>
      <c r="I1779">
        <f>IF(AND(ISNUMBER(A1779),ISNUMBER(B1779)),A1779*1000+B1779,"")</f>
        <v/>
      </c>
      <c r="J1779">
        <f>IF(I1779="","",IF(COUNTIF(I$2:I1779,I1779)=1,MAX(J$1:J1778)+1,""))</f>
        <v/>
      </c>
    </row>
    <row r="1780">
      <c r="A1780">
        <f>IFERROR(--SUBSTITUTE(SUBSTITUTE(TRIM(INDEX(INDIRECT("'Выгрузка'!A1780:Z1780"),Настройки!$B$7)),",","."),".",MID(1/2,2,1)),"")</f>
        <v/>
      </c>
      <c r="B1780">
        <f>IFERROR(--SUBSTITUTE(SUBSTITUTE(TRIM(INDEX(INDIRECT("'Выгрузка'!A1780:Z1780"),Настройки!$B$9)),",","."),".",MID(1/2,2,1)),"")</f>
        <v/>
      </c>
      <c r="C1780">
        <f>TRIM(INDEX(INDIRECT("'Выгрузка'!A1780:Z1780"),Настройки!$B$8)&amp;"")</f>
        <v/>
      </c>
      <c r="D1780">
        <f>IFERROR(--SUBSTITUTE(SUBSTITUTE(TRIM(INDEX(INDIRECT("'Выгрузка'!A1780:Z1780"),Настройки!$B$10)),",","."),".",MID(1/2,2,1)),"")</f>
        <v/>
      </c>
      <c r="E1780">
        <f>IFERROR(--SUBSTITUTE(SUBSTITUTE(TRIM(INDEX(INDIRECT("'Выгрузка'!A1780:Z1780"),Настройки!$B$11)),",","."),".",MID(1/2,2,1)),"")</f>
        <v/>
      </c>
      <c r="F1780">
        <f>TRIM(INDEX(INDIRECT("'Выгрузка'!A1780:Z1780"),Настройки!$B$12)&amp;"")</f>
        <v/>
      </c>
      <c r="G1780">
        <f>IF(F1780="",0,IF(TRIM(INDEX(INDIRECT("'Выгрузка'!A1780:Z1780"),Настройки!$B$13)&amp;"")="",1,IFERROR(--SUBSTITUTE(SUBSTITUTE(TRIM(INDEX(INDIRECT("'Выгрузка'!A1780:Z1780"),Настройки!$B$13)),",","."),".",MID(1/2,2,1)),"")))</f>
        <v/>
      </c>
      <c r="H1780">
        <f>IF(F1780="",0,IF(COUNTIF(Настройки!$B$17:$B$26,F1780)&gt;0,1,IF(COUNTIF(Настройки!$C$17:$C$26,F1780)&gt;0,2,IF(COUNTIF(Настройки!$D$17:$D$26,F1780)&gt;0,3,0))))</f>
        <v/>
      </c>
      <c r="I1780">
        <f>IF(AND(ISNUMBER(A1780),ISNUMBER(B1780)),A1780*1000+B1780,"")</f>
        <v/>
      </c>
      <c r="J1780">
        <f>IF(I1780="","",IF(COUNTIF(I$2:I1780,I1780)=1,MAX(J$1:J1779)+1,""))</f>
        <v/>
      </c>
    </row>
    <row r="1781">
      <c r="A1781">
        <f>IFERROR(--SUBSTITUTE(SUBSTITUTE(TRIM(INDEX(INDIRECT("'Выгрузка'!A1781:Z1781"),Настройки!$B$7)),",","."),".",MID(1/2,2,1)),"")</f>
        <v/>
      </c>
      <c r="B1781">
        <f>IFERROR(--SUBSTITUTE(SUBSTITUTE(TRIM(INDEX(INDIRECT("'Выгрузка'!A1781:Z1781"),Настройки!$B$9)),",","."),".",MID(1/2,2,1)),"")</f>
        <v/>
      </c>
      <c r="C1781">
        <f>TRIM(INDEX(INDIRECT("'Выгрузка'!A1781:Z1781"),Настройки!$B$8)&amp;"")</f>
        <v/>
      </c>
      <c r="D1781">
        <f>IFERROR(--SUBSTITUTE(SUBSTITUTE(TRIM(INDEX(INDIRECT("'Выгрузка'!A1781:Z1781"),Настройки!$B$10)),",","."),".",MID(1/2,2,1)),"")</f>
        <v/>
      </c>
      <c r="E1781">
        <f>IFERROR(--SUBSTITUTE(SUBSTITUTE(TRIM(INDEX(INDIRECT("'Выгрузка'!A1781:Z1781"),Настройки!$B$11)),",","."),".",MID(1/2,2,1)),"")</f>
        <v/>
      </c>
      <c r="F1781">
        <f>TRIM(INDEX(INDIRECT("'Выгрузка'!A1781:Z1781"),Настройки!$B$12)&amp;"")</f>
        <v/>
      </c>
      <c r="G1781">
        <f>IF(F1781="",0,IF(TRIM(INDEX(INDIRECT("'Выгрузка'!A1781:Z1781"),Настройки!$B$13)&amp;"")="",1,IFERROR(--SUBSTITUTE(SUBSTITUTE(TRIM(INDEX(INDIRECT("'Выгрузка'!A1781:Z1781"),Настройки!$B$13)),",","."),".",MID(1/2,2,1)),"")))</f>
        <v/>
      </c>
      <c r="H1781">
        <f>IF(F1781="",0,IF(COUNTIF(Настройки!$B$17:$B$26,F1781)&gt;0,1,IF(COUNTIF(Настройки!$C$17:$C$26,F1781)&gt;0,2,IF(COUNTIF(Настройки!$D$17:$D$26,F1781)&gt;0,3,0))))</f>
        <v/>
      </c>
      <c r="I1781">
        <f>IF(AND(ISNUMBER(A1781),ISNUMBER(B1781)),A1781*1000+B1781,"")</f>
        <v/>
      </c>
      <c r="J1781">
        <f>IF(I1781="","",IF(COUNTIF(I$2:I1781,I1781)=1,MAX(J$1:J1780)+1,""))</f>
        <v/>
      </c>
    </row>
    <row r="1782">
      <c r="A1782">
        <f>IFERROR(--SUBSTITUTE(SUBSTITUTE(TRIM(INDEX(INDIRECT("'Выгрузка'!A1782:Z1782"),Настройки!$B$7)),",","."),".",MID(1/2,2,1)),"")</f>
        <v/>
      </c>
      <c r="B1782">
        <f>IFERROR(--SUBSTITUTE(SUBSTITUTE(TRIM(INDEX(INDIRECT("'Выгрузка'!A1782:Z1782"),Настройки!$B$9)),",","."),".",MID(1/2,2,1)),"")</f>
        <v/>
      </c>
      <c r="C1782">
        <f>TRIM(INDEX(INDIRECT("'Выгрузка'!A1782:Z1782"),Настройки!$B$8)&amp;"")</f>
        <v/>
      </c>
      <c r="D1782">
        <f>IFERROR(--SUBSTITUTE(SUBSTITUTE(TRIM(INDEX(INDIRECT("'Выгрузка'!A1782:Z1782"),Настройки!$B$10)),",","."),".",MID(1/2,2,1)),"")</f>
        <v/>
      </c>
      <c r="E1782">
        <f>IFERROR(--SUBSTITUTE(SUBSTITUTE(TRIM(INDEX(INDIRECT("'Выгрузка'!A1782:Z1782"),Настройки!$B$11)),",","."),".",MID(1/2,2,1)),"")</f>
        <v/>
      </c>
      <c r="F1782">
        <f>TRIM(INDEX(INDIRECT("'Выгрузка'!A1782:Z1782"),Настройки!$B$12)&amp;"")</f>
        <v/>
      </c>
      <c r="G1782">
        <f>IF(F1782="",0,IF(TRIM(INDEX(INDIRECT("'Выгрузка'!A1782:Z1782"),Настройки!$B$13)&amp;"")="",1,IFERROR(--SUBSTITUTE(SUBSTITUTE(TRIM(INDEX(INDIRECT("'Выгрузка'!A1782:Z1782"),Настройки!$B$13)),",","."),".",MID(1/2,2,1)),"")))</f>
        <v/>
      </c>
      <c r="H1782">
        <f>IF(F1782="",0,IF(COUNTIF(Настройки!$B$17:$B$26,F1782)&gt;0,1,IF(COUNTIF(Настройки!$C$17:$C$26,F1782)&gt;0,2,IF(COUNTIF(Настройки!$D$17:$D$26,F1782)&gt;0,3,0))))</f>
        <v/>
      </c>
      <c r="I1782">
        <f>IF(AND(ISNUMBER(A1782),ISNUMBER(B1782)),A1782*1000+B1782,"")</f>
        <v/>
      </c>
      <c r="J1782">
        <f>IF(I1782="","",IF(COUNTIF(I$2:I1782,I1782)=1,MAX(J$1:J1781)+1,""))</f>
        <v/>
      </c>
    </row>
    <row r="1783">
      <c r="A1783">
        <f>IFERROR(--SUBSTITUTE(SUBSTITUTE(TRIM(INDEX(INDIRECT("'Выгрузка'!A1783:Z1783"),Настройки!$B$7)),",","."),".",MID(1/2,2,1)),"")</f>
        <v/>
      </c>
      <c r="B1783">
        <f>IFERROR(--SUBSTITUTE(SUBSTITUTE(TRIM(INDEX(INDIRECT("'Выгрузка'!A1783:Z1783"),Настройки!$B$9)),",","."),".",MID(1/2,2,1)),"")</f>
        <v/>
      </c>
      <c r="C1783">
        <f>TRIM(INDEX(INDIRECT("'Выгрузка'!A1783:Z1783"),Настройки!$B$8)&amp;"")</f>
        <v/>
      </c>
      <c r="D1783">
        <f>IFERROR(--SUBSTITUTE(SUBSTITUTE(TRIM(INDEX(INDIRECT("'Выгрузка'!A1783:Z1783"),Настройки!$B$10)),",","."),".",MID(1/2,2,1)),"")</f>
        <v/>
      </c>
      <c r="E1783">
        <f>IFERROR(--SUBSTITUTE(SUBSTITUTE(TRIM(INDEX(INDIRECT("'Выгрузка'!A1783:Z1783"),Настройки!$B$11)),",","."),".",MID(1/2,2,1)),"")</f>
        <v/>
      </c>
      <c r="F1783">
        <f>TRIM(INDEX(INDIRECT("'Выгрузка'!A1783:Z1783"),Настройки!$B$12)&amp;"")</f>
        <v/>
      </c>
      <c r="G1783">
        <f>IF(F1783="",0,IF(TRIM(INDEX(INDIRECT("'Выгрузка'!A1783:Z1783"),Настройки!$B$13)&amp;"")="",1,IFERROR(--SUBSTITUTE(SUBSTITUTE(TRIM(INDEX(INDIRECT("'Выгрузка'!A1783:Z1783"),Настройки!$B$13)),",","."),".",MID(1/2,2,1)),"")))</f>
        <v/>
      </c>
      <c r="H1783">
        <f>IF(F1783="",0,IF(COUNTIF(Настройки!$B$17:$B$26,F1783)&gt;0,1,IF(COUNTIF(Настройки!$C$17:$C$26,F1783)&gt;0,2,IF(COUNTIF(Настройки!$D$17:$D$26,F1783)&gt;0,3,0))))</f>
        <v/>
      </c>
      <c r="I1783">
        <f>IF(AND(ISNUMBER(A1783),ISNUMBER(B1783)),A1783*1000+B1783,"")</f>
        <v/>
      </c>
      <c r="J1783">
        <f>IF(I1783="","",IF(COUNTIF(I$2:I1783,I1783)=1,MAX(J$1:J1782)+1,""))</f>
        <v/>
      </c>
    </row>
    <row r="1784">
      <c r="A1784">
        <f>IFERROR(--SUBSTITUTE(SUBSTITUTE(TRIM(INDEX(INDIRECT("'Выгрузка'!A1784:Z1784"),Настройки!$B$7)),",","."),".",MID(1/2,2,1)),"")</f>
        <v/>
      </c>
      <c r="B1784">
        <f>IFERROR(--SUBSTITUTE(SUBSTITUTE(TRIM(INDEX(INDIRECT("'Выгрузка'!A1784:Z1784"),Настройки!$B$9)),",","."),".",MID(1/2,2,1)),"")</f>
        <v/>
      </c>
      <c r="C1784">
        <f>TRIM(INDEX(INDIRECT("'Выгрузка'!A1784:Z1784"),Настройки!$B$8)&amp;"")</f>
        <v/>
      </c>
      <c r="D1784">
        <f>IFERROR(--SUBSTITUTE(SUBSTITUTE(TRIM(INDEX(INDIRECT("'Выгрузка'!A1784:Z1784"),Настройки!$B$10)),",","."),".",MID(1/2,2,1)),"")</f>
        <v/>
      </c>
      <c r="E1784">
        <f>IFERROR(--SUBSTITUTE(SUBSTITUTE(TRIM(INDEX(INDIRECT("'Выгрузка'!A1784:Z1784"),Настройки!$B$11)),",","."),".",MID(1/2,2,1)),"")</f>
        <v/>
      </c>
      <c r="F1784">
        <f>TRIM(INDEX(INDIRECT("'Выгрузка'!A1784:Z1784"),Настройки!$B$12)&amp;"")</f>
        <v/>
      </c>
      <c r="G1784">
        <f>IF(F1784="",0,IF(TRIM(INDEX(INDIRECT("'Выгрузка'!A1784:Z1784"),Настройки!$B$13)&amp;"")="",1,IFERROR(--SUBSTITUTE(SUBSTITUTE(TRIM(INDEX(INDIRECT("'Выгрузка'!A1784:Z1784"),Настройки!$B$13)),",","."),".",MID(1/2,2,1)),"")))</f>
        <v/>
      </c>
      <c r="H1784">
        <f>IF(F1784="",0,IF(COUNTIF(Настройки!$B$17:$B$26,F1784)&gt;0,1,IF(COUNTIF(Настройки!$C$17:$C$26,F1784)&gt;0,2,IF(COUNTIF(Настройки!$D$17:$D$26,F1784)&gt;0,3,0))))</f>
        <v/>
      </c>
      <c r="I1784">
        <f>IF(AND(ISNUMBER(A1784),ISNUMBER(B1784)),A1784*1000+B1784,"")</f>
        <v/>
      </c>
      <c r="J1784">
        <f>IF(I1784="","",IF(COUNTIF(I$2:I1784,I1784)=1,MAX(J$1:J1783)+1,""))</f>
        <v/>
      </c>
    </row>
    <row r="1785">
      <c r="A1785">
        <f>IFERROR(--SUBSTITUTE(SUBSTITUTE(TRIM(INDEX(INDIRECT("'Выгрузка'!A1785:Z1785"),Настройки!$B$7)),",","."),".",MID(1/2,2,1)),"")</f>
        <v/>
      </c>
      <c r="B1785">
        <f>IFERROR(--SUBSTITUTE(SUBSTITUTE(TRIM(INDEX(INDIRECT("'Выгрузка'!A1785:Z1785"),Настройки!$B$9)),",","."),".",MID(1/2,2,1)),"")</f>
        <v/>
      </c>
      <c r="C1785">
        <f>TRIM(INDEX(INDIRECT("'Выгрузка'!A1785:Z1785"),Настройки!$B$8)&amp;"")</f>
        <v/>
      </c>
      <c r="D1785">
        <f>IFERROR(--SUBSTITUTE(SUBSTITUTE(TRIM(INDEX(INDIRECT("'Выгрузка'!A1785:Z1785"),Настройки!$B$10)),",","."),".",MID(1/2,2,1)),"")</f>
        <v/>
      </c>
      <c r="E1785">
        <f>IFERROR(--SUBSTITUTE(SUBSTITUTE(TRIM(INDEX(INDIRECT("'Выгрузка'!A1785:Z1785"),Настройки!$B$11)),",","."),".",MID(1/2,2,1)),"")</f>
        <v/>
      </c>
      <c r="F1785">
        <f>TRIM(INDEX(INDIRECT("'Выгрузка'!A1785:Z1785"),Настройки!$B$12)&amp;"")</f>
        <v/>
      </c>
      <c r="G1785">
        <f>IF(F1785="",0,IF(TRIM(INDEX(INDIRECT("'Выгрузка'!A1785:Z1785"),Настройки!$B$13)&amp;"")="",1,IFERROR(--SUBSTITUTE(SUBSTITUTE(TRIM(INDEX(INDIRECT("'Выгрузка'!A1785:Z1785"),Настройки!$B$13)),",","."),".",MID(1/2,2,1)),"")))</f>
        <v/>
      </c>
      <c r="H1785">
        <f>IF(F1785="",0,IF(COUNTIF(Настройки!$B$17:$B$26,F1785)&gt;0,1,IF(COUNTIF(Настройки!$C$17:$C$26,F1785)&gt;0,2,IF(COUNTIF(Настройки!$D$17:$D$26,F1785)&gt;0,3,0))))</f>
        <v/>
      </c>
      <c r="I1785">
        <f>IF(AND(ISNUMBER(A1785),ISNUMBER(B1785)),A1785*1000+B1785,"")</f>
        <v/>
      </c>
      <c r="J1785">
        <f>IF(I1785="","",IF(COUNTIF(I$2:I1785,I1785)=1,MAX(J$1:J1784)+1,""))</f>
        <v/>
      </c>
    </row>
    <row r="1786">
      <c r="A1786">
        <f>IFERROR(--SUBSTITUTE(SUBSTITUTE(TRIM(INDEX(INDIRECT("'Выгрузка'!A1786:Z1786"),Настройки!$B$7)),",","."),".",MID(1/2,2,1)),"")</f>
        <v/>
      </c>
      <c r="B1786">
        <f>IFERROR(--SUBSTITUTE(SUBSTITUTE(TRIM(INDEX(INDIRECT("'Выгрузка'!A1786:Z1786"),Настройки!$B$9)),",","."),".",MID(1/2,2,1)),"")</f>
        <v/>
      </c>
      <c r="C1786">
        <f>TRIM(INDEX(INDIRECT("'Выгрузка'!A1786:Z1786"),Настройки!$B$8)&amp;"")</f>
        <v/>
      </c>
      <c r="D1786">
        <f>IFERROR(--SUBSTITUTE(SUBSTITUTE(TRIM(INDEX(INDIRECT("'Выгрузка'!A1786:Z1786"),Настройки!$B$10)),",","."),".",MID(1/2,2,1)),"")</f>
        <v/>
      </c>
      <c r="E1786">
        <f>IFERROR(--SUBSTITUTE(SUBSTITUTE(TRIM(INDEX(INDIRECT("'Выгрузка'!A1786:Z1786"),Настройки!$B$11)),",","."),".",MID(1/2,2,1)),"")</f>
        <v/>
      </c>
      <c r="F1786">
        <f>TRIM(INDEX(INDIRECT("'Выгрузка'!A1786:Z1786"),Настройки!$B$12)&amp;"")</f>
        <v/>
      </c>
      <c r="G1786">
        <f>IF(F1786="",0,IF(TRIM(INDEX(INDIRECT("'Выгрузка'!A1786:Z1786"),Настройки!$B$13)&amp;"")="",1,IFERROR(--SUBSTITUTE(SUBSTITUTE(TRIM(INDEX(INDIRECT("'Выгрузка'!A1786:Z1786"),Настройки!$B$13)),",","."),".",MID(1/2,2,1)),"")))</f>
        <v/>
      </c>
      <c r="H1786">
        <f>IF(F1786="",0,IF(COUNTIF(Настройки!$B$17:$B$26,F1786)&gt;0,1,IF(COUNTIF(Настройки!$C$17:$C$26,F1786)&gt;0,2,IF(COUNTIF(Настройки!$D$17:$D$26,F1786)&gt;0,3,0))))</f>
        <v/>
      </c>
      <c r="I1786">
        <f>IF(AND(ISNUMBER(A1786),ISNUMBER(B1786)),A1786*1000+B1786,"")</f>
        <v/>
      </c>
      <c r="J1786">
        <f>IF(I1786="","",IF(COUNTIF(I$2:I1786,I1786)=1,MAX(J$1:J1785)+1,""))</f>
        <v/>
      </c>
    </row>
    <row r="1787">
      <c r="A1787">
        <f>IFERROR(--SUBSTITUTE(SUBSTITUTE(TRIM(INDEX(INDIRECT("'Выгрузка'!A1787:Z1787"),Настройки!$B$7)),",","."),".",MID(1/2,2,1)),"")</f>
        <v/>
      </c>
      <c r="B1787">
        <f>IFERROR(--SUBSTITUTE(SUBSTITUTE(TRIM(INDEX(INDIRECT("'Выгрузка'!A1787:Z1787"),Настройки!$B$9)),",","."),".",MID(1/2,2,1)),"")</f>
        <v/>
      </c>
      <c r="C1787">
        <f>TRIM(INDEX(INDIRECT("'Выгрузка'!A1787:Z1787"),Настройки!$B$8)&amp;"")</f>
        <v/>
      </c>
      <c r="D1787">
        <f>IFERROR(--SUBSTITUTE(SUBSTITUTE(TRIM(INDEX(INDIRECT("'Выгрузка'!A1787:Z1787"),Настройки!$B$10)),",","."),".",MID(1/2,2,1)),"")</f>
        <v/>
      </c>
      <c r="E1787">
        <f>IFERROR(--SUBSTITUTE(SUBSTITUTE(TRIM(INDEX(INDIRECT("'Выгрузка'!A1787:Z1787"),Настройки!$B$11)),",","."),".",MID(1/2,2,1)),"")</f>
        <v/>
      </c>
      <c r="F1787">
        <f>TRIM(INDEX(INDIRECT("'Выгрузка'!A1787:Z1787"),Настройки!$B$12)&amp;"")</f>
        <v/>
      </c>
      <c r="G1787">
        <f>IF(F1787="",0,IF(TRIM(INDEX(INDIRECT("'Выгрузка'!A1787:Z1787"),Настройки!$B$13)&amp;"")="",1,IFERROR(--SUBSTITUTE(SUBSTITUTE(TRIM(INDEX(INDIRECT("'Выгрузка'!A1787:Z1787"),Настройки!$B$13)),",","."),".",MID(1/2,2,1)),"")))</f>
        <v/>
      </c>
      <c r="H1787">
        <f>IF(F1787="",0,IF(COUNTIF(Настройки!$B$17:$B$26,F1787)&gt;0,1,IF(COUNTIF(Настройки!$C$17:$C$26,F1787)&gt;0,2,IF(COUNTIF(Настройки!$D$17:$D$26,F1787)&gt;0,3,0))))</f>
        <v/>
      </c>
      <c r="I1787">
        <f>IF(AND(ISNUMBER(A1787),ISNUMBER(B1787)),A1787*1000+B1787,"")</f>
        <v/>
      </c>
      <c r="J1787">
        <f>IF(I1787="","",IF(COUNTIF(I$2:I1787,I1787)=1,MAX(J$1:J1786)+1,""))</f>
        <v/>
      </c>
    </row>
    <row r="1788">
      <c r="A1788">
        <f>IFERROR(--SUBSTITUTE(SUBSTITUTE(TRIM(INDEX(INDIRECT("'Выгрузка'!A1788:Z1788"),Настройки!$B$7)),",","."),".",MID(1/2,2,1)),"")</f>
        <v/>
      </c>
      <c r="B1788">
        <f>IFERROR(--SUBSTITUTE(SUBSTITUTE(TRIM(INDEX(INDIRECT("'Выгрузка'!A1788:Z1788"),Настройки!$B$9)),",","."),".",MID(1/2,2,1)),"")</f>
        <v/>
      </c>
      <c r="C1788">
        <f>TRIM(INDEX(INDIRECT("'Выгрузка'!A1788:Z1788"),Настройки!$B$8)&amp;"")</f>
        <v/>
      </c>
      <c r="D1788">
        <f>IFERROR(--SUBSTITUTE(SUBSTITUTE(TRIM(INDEX(INDIRECT("'Выгрузка'!A1788:Z1788"),Настройки!$B$10)),",","."),".",MID(1/2,2,1)),"")</f>
        <v/>
      </c>
      <c r="E1788">
        <f>IFERROR(--SUBSTITUTE(SUBSTITUTE(TRIM(INDEX(INDIRECT("'Выгрузка'!A1788:Z1788"),Настройки!$B$11)),",","."),".",MID(1/2,2,1)),"")</f>
        <v/>
      </c>
      <c r="F1788">
        <f>TRIM(INDEX(INDIRECT("'Выгрузка'!A1788:Z1788"),Настройки!$B$12)&amp;"")</f>
        <v/>
      </c>
      <c r="G1788">
        <f>IF(F1788="",0,IF(TRIM(INDEX(INDIRECT("'Выгрузка'!A1788:Z1788"),Настройки!$B$13)&amp;"")="",1,IFERROR(--SUBSTITUTE(SUBSTITUTE(TRIM(INDEX(INDIRECT("'Выгрузка'!A1788:Z1788"),Настройки!$B$13)),",","."),".",MID(1/2,2,1)),"")))</f>
        <v/>
      </c>
      <c r="H1788">
        <f>IF(F1788="",0,IF(COUNTIF(Настройки!$B$17:$B$26,F1788)&gt;0,1,IF(COUNTIF(Настройки!$C$17:$C$26,F1788)&gt;0,2,IF(COUNTIF(Настройки!$D$17:$D$26,F1788)&gt;0,3,0))))</f>
        <v/>
      </c>
      <c r="I1788">
        <f>IF(AND(ISNUMBER(A1788),ISNUMBER(B1788)),A1788*1000+B1788,"")</f>
        <v/>
      </c>
      <c r="J1788">
        <f>IF(I1788="","",IF(COUNTIF(I$2:I1788,I1788)=1,MAX(J$1:J1787)+1,""))</f>
        <v/>
      </c>
    </row>
    <row r="1789">
      <c r="A1789">
        <f>IFERROR(--SUBSTITUTE(SUBSTITUTE(TRIM(INDEX(INDIRECT("'Выгрузка'!A1789:Z1789"),Настройки!$B$7)),",","."),".",MID(1/2,2,1)),"")</f>
        <v/>
      </c>
      <c r="B1789">
        <f>IFERROR(--SUBSTITUTE(SUBSTITUTE(TRIM(INDEX(INDIRECT("'Выгрузка'!A1789:Z1789"),Настройки!$B$9)),",","."),".",MID(1/2,2,1)),"")</f>
        <v/>
      </c>
      <c r="C1789">
        <f>TRIM(INDEX(INDIRECT("'Выгрузка'!A1789:Z1789"),Настройки!$B$8)&amp;"")</f>
        <v/>
      </c>
      <c r="D1789">
        <f>IFERROR(--SUBSTITUTE(SUBSTITUTE(TRIM(INDEX(INDIRECT("'Выгрузка'!A1789:Z1789"),Настройки!$B$10)),",","."),".",MID(1/2,2,1)),"")</f>
        <v/>
      </c>
      <c r="E1789">
        <f>IFERROR(--SUBSTITUTE(SUBSTITUTE(TRIM(INDEX(INDIRECT("'Выгрузка'!A1789:Z1789"),Настройки!$B$11)),",","."),".",MID(1/2,2,1)),"")</f>
        <v/>
      </c>
      <c r="F1789">
        <f>TRIM(INDEX(INDIRECT("'Выгрузка'!A1789:Z1789"),Настройки!$B$12)&amp;"")</f>
        <v/>
      </c>
      <c r="G1789">
        <f>IF(F1789="",0,IF(TRIM(INDEX(INDIRECT("'Выгрузка'!A1789:Z1789"),Настройки!$B$13)&amp;"")="",1,IFERROR(--SUBSTITUTE(SUBSTITUTE(TRIM(INDEX(INDIRECT("'Выгрузка'!A1789:Z1789"),Настройки!$B$13)),",","."),".",MID(1/2,2,1)),"")))</f>
        <v/>
      </c>
      <c r="H1789">
        <f>IF(F1789="",0,IF(COUNTIF(Настройки!$B$17:$B$26,F1789)&gt;0,1,IF(COUNTIF(Настройки!$C$17:$C$26,F1789)&gt;0,2,IF(COUNTIF(Настройки!$D$17:$D$26,F1789)&gt;0,3,0))))</f>
        <v/>
      </c>
      <c r="I1789">
        <f>IF(AND(ISNUMBER(A1789),ISNUMBER(B1789)),A1789*1000+B1789,"")</f>
        <v/>
      </c>
      <c r="J1789">
        <f>IF(I1789="","",IF(COUNTIF(I$2:I1789,I1789)=1,MAX(J$1:J1788)+1,""))</f>
        <v/>
      </c>
    </row>
    <row r="1790">
      <c r="A1790">
        <f>IFERROR(--SUBSTITUTE(SUBSTITUTE(TRIM(INDEX(INDIRECT("'Выгрузка'!A1790:Z1790"),Настройки!$B$7)),",","."),".",MID(1/2,2,1)),"")</f>
        <v/>
      </c>
      <c r="B1790">
        <f>IFERROR(--SUBSTITUTE(SUBSTITUTE(TRIM(INDEX(INDIRECT("'Выгрузка'!A1790:Z1790"),Настройки!$B$9)),",","."),".",MID(1/2,2,1)),"")</f>
        <v/>
      </c>
      <c r="C1790">
        <f>TRIM(INDEX(INDIRECT("'Выгрузка'!A1790:Z1790"),Настройки!$B$8)&amp;"")</f>
        <v/>
      </c>
      <c r="D1790">
        <f>IFERROR(--SUBSTITUTE(SUBSTITUTE(TRIM(INDEX(INDIRECT("'Выгрузка'!A1790:Z1790"),Настройки!$B$10)),",","."),".",MID(1/2,2,1)),"")</f>
        <v/>
      </c>
      <c r="E1790">
        <f>IFERROR(--SUBSTITUTE(SUBSTITUTE(TRIM(INDEX(INDIRECT("'Выгрузка'!A1790:Z1790"),Настройки!$B$11)),",","."),".",MID(1/2,2,1)),"")</f>
        <v/>
      </c>
      <c r="F1790">
        <f>TRIM(INDEX(INDIRECT("'Выгрузка'!A1790:Z1790"),Настройки!$B$12)&amp;"")</f>
        <v/>
      </c>
      <c r="G1790">
        <f>IF(F1790="",0,IF(TRIM(INDEX(INDIRECT("'Выгрузка'!A1790:Z1790"),Настройки!$B$13)&amp;"")="",1,IFERROR(--SUBSTITUTE(SUBSTITUTE(TRIM(INDEX(INDIRECT("'Выгрузка'!A1790:Z1790"),Настройки!$B$13)),",","."),".",MID(1/2,2,1)),"")))</f>
        <v/>
      </c>
      <c r="H1790">
        <f>IF(F1790="",0,IF(COUNTIF(Настройки!$B$17:$B$26,F1790)&gt;0,1,IF(COUNTIF(Настройки!$C$17:$C$26,F1790)&gt;0,2,IF(COUNTIF(Настройки!$D$17:$D$26,F1790)&gt;0,3,0))))</f>
        <v/>
      </c>
      <c r="I1790">
        <f>IF(AND(ISNUMBER(A1790),ISNUMBER(B1790)),A1790*1000+B1790,"")</f>
        <v/>
      </c>
      <c r="J1790">
        <f>IF(I1790="","",IF(COUNTIF(I$2:I1790,I1790)=1,MAX(J$1:J1789)+1,""))</f>
        <v/>
      </c>
    </row>
    <row r="1791">
      <c r="A1791">
        <f>IFERROR(--SUBSTITUTE(SUBSTITUTE(TRIM(INDEX(INDIRECT("'Выгрузка'!A1791:Z1791"),Настройки!$B$7)),",","."),".",MID(1/2,2,1)),"")</f>
        <v/>
      </c>
      <c r="B1791">
        <f>IFERROR(--SUBSTITUTE(SUBSTITUTE(TRIM(INDEX(INDIRECT("'Выгрузка'!A1791:Z1791"),Настройки!$B$9)),",","."),".",MID(1/2,2,1)),"")</f>
        <v/>
      </c>
      <c r="C1791">
        <f>TRIM(INDEX(INDIRECT("'Выгрузка'!A1791:Z1791"),Настройки!$B$8)&amp;"")</f>
        <v/>
      </c>
      <c r="D1791">
        <f>IFERROR(--SUBSTITUTE(SUBSTITUTE(TRIM(INDEX(INDIRECT("'Выгрузка'!A1791:Z1791"),Настройки!$B$10)),",","."),".",MID(1/2,2,1)),"")</f>
        <v/>
      </c>
      <c r="E1791">
        <f>IFERROR(--SUBSTITUTE(SUBSTITUTE(TRIM(INDEX(INDIRECT("'Выгрузка'!A1791:Z1791"),Настройки!$B$11)),",","."),".",MID(1/2,2,1)),"")</f>
        <v/>
      </c>
      <c r="F1791">
        <f>TRIM(INDEX(INDIRECT("'Выгрузка'!A1791:Z1791"),Настройки!$B$12)&amp;"")</f>
        <v/>
      </c>
      <c r="G1791">
        <f>IF(F1791="",0,IF(TRIM(INDEX(INDIRECT("'Выгрузка'!A1791:Z1791"),Настройки!$B$13)&amp;"")="",1,IFERROR(--SUBSTITUTE(SUBSTITUTE(TRIM(INDEX(INDIRECT("'Выгрузка'!A1791:Z1791"),Настройки!$B$13)),",","."),".",MID(1/2,2,1)),"")))</f>
        <v/>
      </c>
      <c r="H1791">
        <f>IF(F1791="",0,IF(COUNTIF(Настройки!$B$17:$B$26,F1791)&gt;0,1,IF(COUNTIF(Настройки!$C$17:$C$26,F1791)&gt;0,2,IF(COUNTIF(Настройки!$D$17:$D$26,F1791)&gt;0,3,0))))</f>
        <v/>
      </c>
      <c r="I1791">
        <f>IF(AND(ISNUMBER(A1791),ISNUMBER(B1791)),A1791*1000+B1791,"")</f>
        <v/>
      </c>
      <c r="J1791">
        <f>IF(I1791="","",IF(COUNTIF(I$2:I1791,I1791)=1,MAX(J$1:J1790)+1,""))</f>
        <v/>
      </c>
    </row>
    <row r="1792">
      <c r="A1792">
        <f>IFERROR(--SUBSTITUTE(SUBSTITUTE(TRIM(INDEX(INDIRECT("'Выгрузка'!A1792:Z1792"),Настройки!$B$7)),",","."),".",MID(1/2,2,1)),"")</f>
        <v/>
      </c>
      <c r="B1792">
        <f>IFERROR(--SUBSTITUTE(SUBSTITUTE(TRIM(INDEX(INDIRECT("'Выгрузка'!A1792:Z1792"),Настройки!$B$9)),",","."),".",MID(1/2,2,1)),"")</f>
        <v/>
      </c>
      <c r="C1792">
        <f>TRIM(INDEX(INDIRECT("'Выгрузка'!A1792:Z1792"),Настройки!$B$8)&amp;"")</f>
        <v/>
      </c>
      <c r="D1792">
        <f>IFERROR(--SUBSTITUTE(SUBSTITUTE(TRIM(INDEX(INDIRECT("'Выгрузка'!A1792:Z1792"),Настройки!$B$10)),",","."),".",MID(1/2,2,1)),"")</f>
        <v/>
      </c>
      <c r="E1792">
        <f>IFERROR(--SUBSTITUTE(SUBSTITUTE(TRIM(INDEX(INDIRECT("'Выгрузка'!A1792:Z1792"),Настройки!$B$11)),",","."),".",MID(1/2,2,1)),"")</f>
        <v/>
      </c>
      <c r="F1792">
        <f>TRIM(INDEX(INDIRECT("'Выгрузка'!A1792:Z1792"),Настройки!$B$12)&amp;"")</f>
        <v/>
      </c>
      <c r="G1792">
        <f>IF(F1792="",0,IF(TRIM(INDEX(INDIRECT("'Выгрузка'!A1792:Z1792"),Настройки!$B$13)&amp;"")="",1,IFERROR(--SUBSTITUTE(SUBSTITUTE(TRIM(INDEX(INDIRECT("'Выгрузка'!A1792:Z1792"),Настройки!$B$13)),",","."),".",MID(1/2,2,1)),"")))</f>
        <v/>
      </c>
      <c r="H1792">
        <f>IF(F1792="",0,IF(COUNTIF(Настройки!$B$17:$B$26,F1792)&gt;0,1,IF(COUNTIF(Настройки!$C$17:$C$26,F1792)&gt;0,2,IF(COUNTIF(Настройки!$D$17:$D$26,F1792)&gt;0,3,0))))</f>
        <v/>
      </c>
      <c r="I1792">
        <f>IF(AND(ISNUMBER(A1792),ISNUMBER(B1792)),A1792*1000+B1792,"")</f>
        <v/>
      </c>
      <c r="J1792">
        <f>IF(I1792="","",IF(COUNTIF(I$2:I1792,I1792)=1,MAX(J$1:J1791)+1,""))</f>
        <v/>
      </c>
    </row>
    <row r="1793">
      <c r="A1793">
        <f>IFERROR(--SUBSTITUTE(SUBSTITUTE(TRIM(INDEX(INDIRECT("'Выгрузка'!A1793:Z1793"),Настройки!$B$7)),",","."),".",MID(1/2,2,1)),"")</f>
        <v/>
      </c>
      <c r="B1793">
        <f>IFERROR(--SUBSTITUTE(SUBSTITUTE(TRIM(INDEX(INDIRECT("'Выгрузка'!A1793:Z1793"),Настройки!$B$9)),",","."),".",MID(1/2,2,1)),"")</f>
        <v/>
      </c>
      <c r="C1793">
        <f>TRIM(INDEX(INDIRECT("'Выгрузка'!A1793:Z1793"),Настройки!$B$8)&amp;"")</f>
        <v/>
      </c>
      <c r="D1793">
        <f>IFERROR(--SUBSTITUTE(SUBSTITUTE(TRIM(INDEX(INDIRECT("'Выгрузка'!A1793:Z1793"),Настройки!$B$10)),",","."),".",MID(1/2,2,1)),"")</f>
        <v/>
      </c>
      <c r="E1793">
        <f>IFERROR(--SUBSTITUTE(SUBSTITUTE(TRIM(INDEX(INDIRECT("'Выгрузка'!A1793:Z1793"),Настройки!$B$11)),",","."),".",MID(1/2,2,1)),"")</f>
        <v/>
      </c>
      <c r="F1793">
        <f>TRIM(INDEX(INDIRECT("'Выгрузка'!A1793:Z1793"),Настройки!$B$12)&amp;"")</f>
        <v/>
      </c>
      <c r="G1793">
        <f>IF(F1793="",0,IF(TRIM(INDEX(INDIRECT("'Выгрузка'!A1793:Z1793"),Настройки!$B$13)&amp;"")="",1,IFERROR(--SUBSTITUTE(SUBSTITUTE(TRIM(INDEX(INDIRECT("'Выгрузка'!A1793:Z1793"),Настройки!$B$13)),",","."),".",MID(1/2,2,1)),"")))</f>
        <v/>
      </c>
      <c r="H1793">
        <f>IF(F1793="",0,IF(COUNTIF(Настройки!$B$17:$B$26,F1793)&gt;0,1,IF(COUNTIF(Настройки!$C$17:$C$26,F1793)&gt;0,2,IF(COUNTIF(Настройки!$D$17:$D$26,F1793)&gt;0,3,0))))</f>
        <v/>
      </c>
      <c r="I1793">
        <f>IF(AND(ISNUMBER(A1793),ISNUMBER(B1793)),A1793*1000+B1793,"")</f>
        <v/>
      </c>
      <c r="J1793">
        <f>IF(I1793="","",IF(COUNTIF(I$2:I1793,I1793)=1,MAX(J$1:J1792)+1,""))</f>
        <v/>
      </c>
    </row>
    <row r="1794">
      <c r="A1794">
        <f>IFERROR(--SUBSTITUTE(SUBSTITUTE(TRIM(INDEX(INDIRECT("'Выгрузка'!A1794:Z1794"),Настройки!$B$7)),",","."),".",MID(1/2,2,1)),"")</f>
        <v/>
      </c>
      <c r="B1794">
        <f>IFERROR(--SUBSTITUTE(SUBSTITUTE(TRIM(INDEX(INDIRECT("'Выгрузка'!A1794:Z1794"),Настройки!$B$9)),",","."),".",MID(1/2,2,1)),"")</f>
        <v/>
      </c>
      <c r="C1794">
        <f>TRIM(INDEX(INDIRECT("'Выгрузка'!A1794:Z1794"),Настройки!$B$8)&amp;"")</f>
        <v/>
      </c>
      <c r="D1794">
        <f>IFERROR(--SUBSTITUTE(SUBSTITUTE(TRIM(INDEX(INDIRECT("'Выгрузка'!A1794:Z1794"),Настройки!$B$10)),",","."),".",MID(1/2,2,1)),"")</f>
        <v/>
      </c>
      <c r="E1794">
        <f>IFERROR(--SUBSTITUTE(SUBSTITUTE(TRIM(INDEX(INDIRECT("'Выгрузка'!A1794:Z1794"),Настройки!$B$11)),",","."),".",MID(1/2,2,1)),"")</f>
        <v/>
      </c>
      <c r="F1794">
        <f>TRIM(INDEX(INDIRECT("'Выгрузка'!A1794:Z1794"),Настройки!$B$12)&amp;"")</f>
        <v/>
      </c>
      <c r="G1794">
        <f>IF(F1794="",0,IF(TRIM(INDEX(INDIRECT("'Выгрузка'!A1794:Z1794"),Настройки!$B$13)&amp;"")="",1,IFERROR(--SUBSTITUTE(SUBSTITUTE(TRIM(INDEX(INDIRECT("'Выгрузка'!A1794:Z1794"),Настройки!$B$13)),",","."),".",MID(1/2,2,1)),"")))</f>
        <v/>
      </c>
      <c r="H1794">
        <f>IF(F1794="",0,IF(COUNTIF(Настройки!$B$17:$B$26,F1794)&gt;0,1,IF(COUNTIF(Настройки!$C$17:$C$26,F1794)&gt;0,2,IF(COUNTIF(Настройки!$D$17:$D$26,F1794)&gt;0,3,0))))</f>
        <v/>
      </c>
      <c r="I1794">
        <f>IF(AND(ISNUMBER(A1794),ISNUMBER(B1794)),A1794*1000+B1794,"")</f>
        <v/>
      </c>
      <c r="J1794">
        <f>IF(I1794="","",IF(COUNTIF(I$2:I1794,I1794)=1,MAX(J$1:J1793)+1,""))</f>
        <v/>
      </c>
    </row>
    <row r="1795">
      <c r="A1795">
        <f>IFERROR(--SUBSTITUTE(SUBSTITUTE(TRIM(INDEX(INDIRECT("'Выгрузка'!A1795:Z1795"),Настройки!$B$7)),",","."),".",MID(1/2,2,1)),"")</f>
        <v/>
      </c>
      <c r="B1795">
        <f>IFERROR(--SUBSTITUTE(SUBSTITUTE(TRIM(INDEX(INDIRECT("'Выгрузка'!A1795:Z1795"),Настройки!$B$9)),",","."),".",MID(1/2,2,1)),"")</f>
        <v/>
      </c>
      <c r="C1795">
        <f>TRIM(INDEX(INDIRECT("'Выгрузка'!A1795:Z1795"),Настройки!$B$8)&amp;"")</f>
        <v/>
      </c>
      <c r="D1795">
        <f>IFERROR(--SUBSTITUTE(SUBSTITUTE(TRIM(INDEX(INDIRECT("'Выгрузка'!A1795:Z1795"),Настройки!$B$10)),",","."),".",MID(1/2,2,1)),"")</f>
        <v/>
      </c>
      <c r="E1795">
        <f>IFERROR(--SUBSTITUTE(SUBSTITUTE(TRIM(INDEX(INDIRECT("'Выгрузка'!A1795:Z1795"),Настройки!$B$11)),",","."),".",MID(1/2,2,1)),"")</f>
        <v/>
      </c>
      <c r="F1795">
        <f>TRIM(INDEX(INDIRECT("'Выгрузка'!A1795:Z1795"),Настройки!$B$12)&amp;"")</f>
        <v/>
      </c>
      <c r="G1795">
        <f>IF(F1795="",0,IF(TRIM(INDEX(INDIRECT("'Выгрузка'!A1795:Z1795"),Настройки!$B$13)&amp;"")="",1,IFERROR(--SUBSTITUTE(SUBSTITUTE(TRIM(INDEX(INDIRECT("'Выгрузка'!A1795:Z1795"),Настройки!$B$13)),",","."),".",MID(1/2,2,1)),"")))</f>
        <v/>
      </c>
      <c r="H1795">
        <f>IF(F1795="",0,IF(COUNTIF(Настройки!$B$17:$B$26,F1795)&gt;0,1,IF(COUNTIF(Настройки!$C$17:$C$26,F1795)&gt;0,2,IF(COUNTIF(Настройки!$D$17:$D$26,F1795)&gt;0,3,0))))</f>
        <v/>
      </c>
      <c r="I1795">
        <f>IF(AND(ISNUMBER(A1795),ISNUMBER(B1795)),A1795*1000+B1795,"")</f>
        <v/>
      </c>
      <c r="J1795">
        <f>IF(I1795="","",IF(COUNTIF(I$2:I1795,I1795)=1,MAX(J$1:J1794)+1,""))</f>
        <v/>
      </c>
    </row>
    <row r="1796">
      <c r="A1796">
        <f>IFERROR(--SUBSTITUTE(SUBSTITUTE(TRIM(INDEX(INDIRECT("'Выгрузка'!A1796:Z1796"),Настройки!$B$7)),",","."),".",MID(1/2,2,1)),"")</f>
        <v/>
      </c>
      <c r="B1796">
        <f>IFERROR(--SUBSTITUTE(SUBSTITUTE(TRIM(INDEX(INDIRECT("'Выгрузка'!A1796:Z1796"),Настройки!$B$9)),",","."),".",MID(1/2,2,1)),"")</f>
        <v/>
      </c>
      <c r="C1796">
        <f>TRIM(INDEX(INDIRECT("'Выгрузка'!A1796:Z1796"),Настройки!$B$8)&amp;"")</f>
        <v/>
      </c>
      <c r="D1796">
        <f>IFERROR(--SUBSTITUTE(SUBSTITUTE(TRIM(INDEX(INDIRECT("'Выгрузка'!A1796:Z1796"),Настройки!$B$10)),",","."),".",MID(1/2,2,1)),"")</f>
        <v/>
      </c>
      <c r="E1796">
        <f>IFERROR(--SUBSTITUTE(SUBSTITUTE(TRIM(INDEX(INDIRECT("'Выгрузка'!A1796:Z1796"),Настройки!$B$11)),",","."),".",MID(1/2,2,1)),"")</f>
        <v/>
      </c>
      <c r="F1796">
        <f>TRIM(INDEX(INDIRECT("'Выгрузка'!A1796:Z1796"),Настройки!$B$12)&amp;"")</f>
        <v/>
      </c>
      <c r="G1796">
        <f>IF(F1796="",0,IF(TRIM(INDEX(INDIRECT("'Выгрузка'!A1796:Z1796"),Настройки!$B$13)&amp;"")="",1,IFERROR(--SUBSTITUTE(SUBSTITUTE(TRIM(INDEX(INDIRECT("'Выгрузка'!A1796:Z1796"),Настройки!$B$13)),",","."),".",MID(1/2,2,1)),"")))</f>
        <v/>
      </c>
      <c r="H1796">
        <f>IF(F1796="",0,IF(COUNTIF(Настройки!$B$17:$B$26,F1796)&gt;0,1,IF(COUNTIF(Настройки!$C$17:$C$26,F1796)&gt;0,2,IF(COUNTIF(Настройки!$D$17:$D$26,F1796)&gt;0,3,0))))</f>
        <v/>
      </c>
      <c r="I1796">
        <f>IF(AND(ISNUMBER(A1796),ISNUMBER(B1796)),A1796*1000+B1796,"")</f>
        <v/>
      </c>
      <c r="J1796">
        <f>IF(I1796="","",IF(COUNTIF(I$2:I1796,I1796)=1,MAX(J$1:J1795)+1,""))</f>
        <v/>
      </c>
    </row>
    <row r="1797">
      <c r="A1797">
        <f>IFERROR(--SUBSTITUTE(SUBSTITUTE(TRIM(INDEX(INDIRECT("'Выгрузка'!A1797:Z1797"),Настройки!$B$7)),",","."),".",MID(1/2,2,1)),"")</f>
        <v/>
      </c>
      <c r="B1797">
        <f>IFERROR(--SUBSTITUTE(SUBSTITUTE(TRIM(INDEX(INDIRECT("'Выгрузка'!A1797:Z1797"),Настройки!$B$9)),",","."),".",MID(1/2,2,1)),"")</f>
        <v/>
      </c>
      <c r="C1797">
        <f>TRIM(INDEX(INDIRECT("'Выгрузка'!A1797:Z1797"),Настройки!$B$8)&amp;"")</f>
        <v/>
      </c>
      <c r="D1797">
        <f>IFERROR(--SUBSTITUTE(SUBSTITUTE(TRIM(INDEX(INDIRECT("'Выгрузка'!A1797:Z1797"),Настройки!$B$10)),",","."),".",MID(1/2,2,1)),"")</f>
        <v/>
      </c>
      <c r="E1797">
        <f>IFERROR(--SUBSTITUTE(SUBSTITUTE(TRIM(INDEX(INDIRECT("'Выгрузка'!A1797:Z1797"),Настройки!$B$11)),",","."),".",MID(1/2,2,1)),"")</f>
        <v/>
      </c>
      <c r="F1797">
        <f>TRIM(INDEX(INDIRECT("'Выгрузка'!A1797:Z1797"),Настройки!$B$12)&amp;"")</f>
        <v/>
      </c>
      <c r="G1797">
        <f>IF(F1797="",0,IF(TRIM(INDEX(INDIRECT("'Выгрузка'!A1797:Z1797"),Настройки!$B$13)&amp;"")="",1,IFERROR(--SUBSTITUTE(SUBSTITUTE(TRIM(INDEX(INDIRECT("'Выгрузка'!A1797:Z1797"),Настройки!$B$13)),",","."),".",MID(1/2,2,1)),"")))</f>
        <v/>
      </c>
      <c r="H1797">
        <f>IF(F1797="",0,IF(COUNTIF(Настройки!$B$17:$B$26,F1797)&gt;0,1,IF(COUNTIF(Настройки!$C$17:$C$26,F1797)&gt;0,2,IF(COUNTIF(Настройки!$D$17:$D$26,F1797)&gt;0,3,0))))</f>
        <v/>
      </c>
      <c r="I1797">
        <f>IF(AND(ISNUMBER(A1797),ISNUMBER(B1797)),A1797*1000+B1797,"")</f>
        <v/>
      </c>
      <c r="J1797">
        <f>IF(I1797="","",IF(COUNTIF(I$2:I1797,I1797)=1,MAX(J$1:J1796)+1,""))</f>
        <v/>
      </c>
    </row>
    <row r="1798">
      <c r="A1798">
        <f>IFERROR(--SUBSTITUTE(SUBSTITUTE(TRIM(INDEX(INDIRECT("'Выгрузка'!A1798:Z1798"),Настройки!$B$7)),",","."),".",MID(1/2,2,1)),"")</f>
        <v/>
      </c>
      <c r="B1798">
        <f>IFERROR(--SUBSTITUTE(SUBSTITUTE(TRIM(INDEX(INDIRECT("'Выгрузка'!A1798:Z1798"),Настройки!$B$9)),",","."),".",MID(1/2,2,1)),"")</f>
        <v/>
      </c>
      <c r="C1798">
        <f>TRIM(INDEX(INDIRECT("'Выгрузка'!A1798:Z1798"),Настройки!$B$8)&amp;"")</f>
        <v/>
      </c>
      <c r="D1798">
        <f>IFERROR(--SUBSTITUTE(SUBSTITUTE(TRIM(INDEX(INDIRECT("'Выгрузка'!A1798:Z1798"),Настройки!$B$10)),",","."),".",MID(1/2,2,1)),"")</f>
        <v/>
      </c>
      <c r="E1798">
        <f>IFERROR(--SUBSTITUTE(SUBSTITUTE(TRIM(INDEX(INDIRECT("'Выгрузка'!A1798:Z1798"),Настройки!$B$11)),",","."),".",MID(1/2,2,1)),"")</f>
        <v/>
      </c>
      <c r="F1798">
        <f>TRIM(INDEX(INDIRECT("'Выгрузка'!A1798:Z1798"),Настройки!$B$12)&amp;"")</f>
        <v/>
      </c>
      <c r="G1798">
        <f>IF(F1798="",0,IF(TRIM(INDEX(INDIRECT("'Выгрузка'!A1798:Z1798"),Настройки!$B$13)&amp;"")="",1,IFERROR(--SUBSTITUTE(SUBSTITUTE(TRIM(INDEX(INDIRECT("'Выгрузка'!A1798:Z1798"),Настройки!$B$13)),",","."),".",MID(1/2,2,1)),"")))</f>
        <v/>
      </c>
      <c r="H1798">
        <f>IF(F1798="",0,IF(COUNTIF(Настройки!$B$17:$B$26,F1798)&gt;0,1,IF(COUNTIF(Настройки!$C$17:$C$26,F1798)&gt;0,2,IF(COUNTIF(Настройки!$D$17:$D$26,F1798)&gt;0,3,0))))</f>
        <v/>
      </c>
      <c r="I1798">
        <f>IF(AND(ISNUMBER(A1798),ISNUMBER(B1798)),A1798*1000+B1798,"")</f>
        <v/>
      </c>
      <c r="J1798">
        <f>IF(I1798="","",IF(COUNTIF(I$2:I1798,I1798)=1,MAX(J$1:J1797)+1,""))</f>
        <v/>
      </c>
    </row>
    <row r="1799">
      <c r="A1799">
        <f>IFERROR(--SUBSTITUTE(SUBSTITUTE(TRIM(INDEX(INDIRECT("'Выгрузка'!A1799:Z1799"),Настройки!$B$7)),",","."),".",MID(1/2,2,1)),"")</f>
        <v/>
      </c>
      <c r="B1799">
        <f>IFERROR(--SUBSTITUTE(SUBSTITUTE(TRIM(INDEX(INDIRECT("'Выгрузка'!A1799:Z1799"),Настройки!$B$9)),",","."),".",MID(1/2,2,1)),"")</f>
        <v/>
      </c>
      <c r="C1799">
        <f>TRIM(INDEX(INDIRECT("'Выгрузка'!A1799:Z1799"),Настройки!$B$8)&amp;"")</f>
        <v/>
      </c>
      <c r="D1799">
        <f>IFERROR(--SUBSTITUTE(SUBSTITUTE(TRIM(INDEX(INDIRECT("'Выгрузка'!A1799:Z1799"),Настройки!$B$10)),",","."),".",MID(1/2,2,1)),"")</f>
        <v/>
      </c>
      <c r="E1799">
        <f>IFERROR(--SUBSTITUTE(SUBSTITUTE(TRIM(INDEX(INDIRECT("'Выгрузка'!A1799:Z1799"),Настройки!$B$11)),",","."),".",MID(1/2,2,1)),"")</f>
        <v/>
      </c>
      <c r="F1799">
        <f>TRIM(INDEX(INDIRECT("'Выгрузка'!A1799:Z1799"),Настройки!$B$12)&amp;"")</f>
        <v/>
      </c>
      <c r="G1799">
        <f>IF(F1799="",0,IF(TRIM(INDEX(INDIRECT("'Выгрузка'!A1799:Z1799"),Настройки!$B$13)&amp;"")="",1,IFERROR(--SUBSTITUTE(SUBSTITUTE(TRIM(INDEX(INDIRECT("'Выгрузка'!A1799:Z1799"),Настройки!$B$13)),",","."),".",MID(1/2,2,1)),"")))</f>
        <v/>
      </c>
      <c r="H1799">
        <f>IF(F1799="",0,IF(COUNTIF(Настройки!$B$17:$B$26,F1799)&gt;0,1,IF(COUNTIF(Настройки!$C$17:$C$26,F1799)&gt;0,2,IF(COUNTIF(Настройки!$D$17:$D$26,F1799)&gt;0,3,0))))</f>
        <v/>
      </c>
      <c r="I1799">
        <f>IF(AND(ISNUMBER(A1799),ISNUMBER(B1799)),A1799*1000+B1799,"")</f>
        <v/>
      </c>
      <c r="J1799">
        <f>IF(I1799="","",IF(COUNTIF(I$2:I1799,I1799)=1,MAX(J$1:J1798)+1,""))</f>
        <v/>
      </c>
    </row>
    <row r="1800">
      <c r="A1800">
        <f>IFERROR(--SUBSTITUTE(SUBSTITUTE(TRIM(INDEX(INDIRECT("'Выгрузка'!A1800:Z1800"),Настройки!$B$7)),",","."),".",MID(1/2,2,1)),"")</f>
        <v/>
      </c>
      <c r="B1800">
        <f>IFERROR(--SUBSTITUTE(SUBSTITUTE(TRIM(INDEX(INDIRECT("'Выгрузка'!A1800:Z1800"),Настройки!$B$9)),",","."),".",MID(1/2,2,1)),"")</f>
        <v/>
      </c>
      <c r="C1800">
        <f>TRIM(INDEX(INDIRECT("'Выгрузка'!A1800:Z1800"),Настройки!$B$8)&amp;"")</f>
        <v/>
      </c>
      <c r="D1800">
        <f>IFERROR(--SUBSTITUTE(SUBSTITUTE(TRIM(INDEX(INDIRECT("'Выгрузка'!A1800:Z1800"),Настройки!$B$10)),",","."),".",MID(1/2,2,1)),"")</f>
        <v/>
      </c>
      <c r="E1800">
        <f>IFERROR(--SUBSTITUTE(SUBSTITUTE(TRIM(INDEX(INDIRECT("'Выгрузка'!A1800:Z1800"),Настройки!$B$11)),",","."),".",MID(1/2,2,1)),"")</f>
        <v/>
      </c>
      <c r="F1800">
        <f>TRIM(INDEX(INDIRECT("'Выгрузка'!A1800:Z1800"),Настройки!$B$12)&amp;"")</f>
        <v/>
      </c>
      <c r="G1800">
        <f>IF(F1800="",0,IF(TRIM(INDEX(INDIRECT("'Выгрузка'!A1800:Z1800"),Настройки!$B$13)&amp;"")="",1,IFERROR(--SUBSTITUTE(SUBSTITUTE(TRIM(INDEX(INDIRECT("'Выгрузка'!A1800:Z1800"),Настройки!$B$13)),",","."),".",MID(1/2,2,1)),"")))</f>
        <v/>
      </c>
      <c r="H1800">
        <f>IF(F1800="",0,IF(COUNTIF(Настройки!$B$17:$B$26,F1800)&gt;0,1,IF(COUNTIF(Настройки!$C$17:$C$26,F1800)&gt;0,2,IF(COUNTIF(Настройки!$D$17:$D$26,F1800)&gt;0,3,0))))</f>
        <v/>
      </c>
      <c r="I1800">
        <f>IF(AND(ISNUMBER(A1800),ISNUMBER(B1800)),A1800*1000+B1800,"")</f>
        <v/>
      </c>
      <c r="J1800">
        <f>IF(I1800="","",IF(COUNTIF(I$2:I1800,I1800)=1,MAX(J$1:J1799)+1,""))</f>
        <v/>
      </c>
    </row>
    <row r="1801">
      <c r="A1801">
        <f>IFERROR(--SUBSTITUTE(SUBSTITUTE(TRIM(INDEX(INDIRECT("'Выгрузка'!A1801:Z1801"),Настройки!$B$7)),",","."),".",MID(1/2,2,1)),"")</f>
        <v/>
      </c>
      <c r="B1801">
        <f>IFERROR(--SUBSTITUTE(SUBSTITUTE(TRIM(INDEX(INDIRECT("'Выгрузка'!A1801:Z1801"),Настройки!$B$9)),",","."),".",MID(1/2,2,1)),"")</f>
        <v/>
      </c>
      <c r="C1801">
        <f>TRIM(INDEX(INDIRECT("'Выгрузка'!A1801:Z1801"),Настройки!$B$8)&amp;"")</f>
        <v/>
      </c>
      <c r="D1801">
        <f>IFERROR(--SUBSTITUTE(SUBSTITUTE(TRIM(INDEX(INDIRECT("'Выгрузка'!A1801:Z1801"),Настройки!$B$10)),",","."),".",MID(1/2,2,1)),"")</f>
        <v/>
      </c>
      <c r="E1801">
        <f>IFERROR(--SUBSTITUTE(SUBSTITUTE(TRIM(INDEX(INDIRECT("'Выгрузка'!A1801:Z1801"),Настройки!$B$11)),",","."),".",MID(1/2,2,1)),"")</f>
        <v/>
      </c>
      <c r="F1801">
        <f>TRIM(INDEX(INDIRECT("'Выгрузка'!A1801:Z1801"),Настройки!$B$12)&amp;"")</f>
        <v/>
      </c>
      <c r="G1801">
        <f>IF(F1801="",0,IF(TRIM(INDEX(INDIRECT("'Выгрузка'!A1801:Z1801"),Настройки!$B$13)&amp;"")="",1,IFERROR(--SUBSTITUTE(SUBSTITUTE(TRIM(INDEX(INDIRECT("'Выгрузка'!A1801:Z1801"),Настройки!$B$13)),",","."),".",MID(1/2,2,1)),"")))</f>
        <v/>
      </c>
      <c r="H1801">
        <f>IF(F1801="",0,IF(COUNTIF(Настройки!$B$17:$B$26,F1801)&gt;0,1,IF(COUNTIF(Настройки!$C$17:$C$26,F1801)&gt;0,2,IF(COUNTIF(Настройки!$D$17:$D$26,F1801)&gt;0,3,0))))</f>
        <v/>
      </c>
      <c r="I1801">
        <f>IF(AND(ISNUMBER(A1801),ISNUMBER(B1801)),A1801*1000+B1801,"")</f>
        <v/>
      </c>
      <c r="J1801">
        <f>IF(I1801="","",IF(COUNTIF(I$2:I1801,I1801)=1,MAX(J$1:J1800)+1,""))</f>
        <v/>
      </c>
    </row>
    <row r="1802">
      <c r="A1802">
        <f>IFERROR(--SUBSTITUTE(SUBSTITUTE(TRIM(INDEX(INDIRECT("'Выгрузка'!A1802:Z1802"),Настройки!$B$7)),",","."),".",MID(1/2,2,1)),"")</f>
        <v/>
      </c>
      <c r="B1802">
        <f>IFERROR(--SUBSTITUTE(SUBSTITUTE(TRIM(INDEX(INDIRECT("'Выгрузка'!A1802:Z1802"),Настройки!$B$9)),",","."),".",MID(1/2,2,1)),"")</f>
        <v/>
      </c>
      <c r="C1802">
        <f>TRIM(INDEX(INDIRECT("'Выгрузка'!A1802:Z1802"),Настройки!$B$8)&amp;"")</f>
        <v/>
      </c>
      <c r="D1802">
        <f>IFERROR(--SUBSTITUTE(SUBSTITUTE(TRIM(INDEX(INDIRECT("'Выгрузка'!A1802:Z1802"),Настройки!$B$10)),",","."),".",MID(1/2,2,1)),"")</f>
        <v/>
      </c>
      <c r="E1802">
        <f>IFERROR(--SUBSTITUTE(SUBSTITUTE(TRIM(INDEX(INDIRECT("'Выгрузка'!A1802:Z1802"),Настройки!$B$11)),",","."),".",MID(1/2,2,1)),"")</f>
        <v/>
      </c>
      <c r="F1802">
        <f>TRIM(INDEX(INDIRECT("'Выгрузка'!A1802:Z1802"),Настройки!$B$12)&amp;"")</f>
        <v/>
      </c>
      <c r="G1802">
        <f>IF(F1802="",0,IF(TRIM(INDEX(INDIRECT("'Выгрузка'!A1802:Z1802"),Настройки!$B$13)&amp;"")="",1,IFERROR(--SUBSTITUTE(SUBSTITUTE(TRIM(INDEX(INDIRECT("'Выгрузка'!A1802:Z1802"),Настройки!$B$13)),",","."),".",MID(1/2,2,1)),"")))</f>
        <v/>
      </c>
      <c r="H1802">
        <f>IF(F1802="",0,IF(COUNTIF(Настройки!$B$17:$B$26,F1802)&gt;0,1,IF(COUNTIF(Настройки!$C$17:$C$26,F1802)&gt;0,2,IF(COUNTIF(Настройки!$D$17:$D$26,F1802)&gt;0,3,0))))</f>
        <v/>
      </c>
      <c r="I1802">
        <f>IF(AND(ISNUMBER(A1802),ISNUMBER(B1802)),A1802*1000+B1802,"")</f>
        <v/>
      </c>
      <c r="J1802">
        <f>IF(I1802="","",IF(COUNTIF(I$2:I1802,I1802)=1,MAX(J$1:J1801)+1,""))</f>
        <v/>
      </c>
    </row>
    <row r="1803">
      <c r="A1803">
        <f>IFERROR(--SUBSTITUTE(SUBSTITUTE(TRIM(INDEX(INDIRECT("'Выгрузка'!A1803:Z1803"),Настройки!$B$7)),",","."),".",MID(1/2,2,1)),"")</f>
        <v/>
      </c>
      <c r="B1803">
        <f>IFERROR(--SUBSTITUTE(SUBSTITUTE(TRIM(INDEX(INDIRECT("'Выгрузка'!A1803:Z1803"),Настройки!$B$9)),",","."),".",MID(1/2,2,1)),"")</f>
        <v/>
      </c>
      <c r="C1803">
        <f>TRIM(INDEX(INDIRECT("'Выгрузка'!A1803:Z1803"),Настройки!$B$8)&amp;"")</f>
        <v/>
      </c>
      <c r="D1803">
        <f>IFERROR(--SUBSTITUTE(SUBSTITUTE(TRIM(INDEX(INDIRECT("'Выгрузка'!A1803:Z1803"),Настройки!$B$10)),",","."),".",MID(1/2,2,1)),"")</f>
        <v/>
      </c>
      <c r="E1803">
        <f>IFERROR(--SUBSTITUTE(SUBSTITUTE(TRIM(INDEX(INDIRECT("'Выгрузка'!A1803:Z1803"),Настройки!$B$11)),",","."),".",MID(1/2,2,1)),"")</f>
        <v/>
      </c>
      <c r="F1803">
        <f>TRIM(INDEX(INDIRECT("'Выгрузка'!A1803:Z1803"),Настройки!$B$12)&amp;"")</f>
        <v/>
      </c>
      <c r="G1803">
        <f>IF(F1803="",0,IF(TRIM(INDEX(INDIRECT("'Выгрузка'!A1803:Z1803"),Настройки!$B$13)&amp;"")="",1,IFERROR(--SUBSTITUTE(SUBSTITUTE(TRIM(INDEX(INDIRECT("'Выгрузка'!A1803:Z1803"),Настройки!$B$13)),",","."),".",MID(1/2,2,1)),"")))</f>
        <v/>
      </c>
      <c r="H1803">
        <f>IF(F1803="",0,IF(COUNTIF(Настройки!$B$17:$B$26,F1803)&gt;0,1,IF(COUNTIF(Настройки!$C$17:$C$26,F1803)&gt;0,2,IF(COUNTIF(Настройки!$D$17:$D$26,F1803)&gt;0,3,0))))</f>
        <v/>
      </c>
      <c r="I1803">
        <f>IF(AND(ISNUMBER(A1803),ISNUMBER(B1803)),A1803*1000+B1803,"")</f>
        <v/>
      </c>
      <c r="J1803">
        <f>IF(I1803="","",IF(COUNTIF(I$2:I1803,I1803)=1,MAX(J$1:J1802)+1,""))</f>
        <v/>
      </c>
    </row>
    <row r="1804">
      <c r="A1804">
        <f>IFERROR(--SUBSTITUTE(SUBSTITUTE(TRIM(INDEX(INDIRECT("'Выгрузка'!A1804:Z1804"),Настройки!$B$7)),",","."),".",MID(1/2,2,1)),"")</f>
        <v/>
      </c>
      <c r="B1804">
        <f>IFERROR(--SUBSTITUTE(SUBSTITUTE(TRIM(INDEX(INDIRECT("'Выгрузка'!A1804:Z1804"),Настройки!$B$9)),",","."),".",MID(1/2,2,1)),"")</f>
        <v/>
      </c>
      <c r="C1804">
        <f>TRIM(INDEX(INDIRECT("'Выгрузка'!A1804:Z1804"),Настройки!$B$8)&amp;"")</f>
        <v/>
      </c>
      <c r="D1804">
        <f>IFERROR(--SUBSTITUTE(SUBSTITUTE(TRIM(INDEX(INDIRECT("'Выгрузка'!A1804:Z1804"),Настройки!$B$10)),",","."),".",MID(1/2,2,1)),"")</f>
        <v/>
      </c>
      <c r="E1804">
        <f>IFERROR(--SUBSTITUTE(SUBSTITUTE(TRIM(INDEX(INDIRECT("'Выгрузка'!A1804:Z1804"),Настройки!$B$11)),",","."),".",MID(1/2,2,1)),"")</f>
        <v/>
      </c>
      <c r="F1804">
        <f>TRIM(INDEX(INDIRECT("'Выгрузка'!A1804:Z1804"),Настройки!$B$12)&amp;"")</f>
        <v/>
      </c>
      <c r="G1804">
        <f>IF(F1804="",0,IF(TRIM(INDEX(INDIRECT("'Выгрузка'!A1804:Z1804"),Настройки!$B$13)&amp;"")="",1,IFERROR(--SUBSTITUTE(SUBSTITUTE(TRIM(INDEX(INDIRECT("'Выгрузка'!A1804:Z1804"),Настройки!$B$13)),",","."),".",MID(1/2,2,1)),"")))</f>
        <v/>
      </c>
      <c r="H1804">
        <f>IF(F1804="",0,IF(COUNTIF(Настройки!$B$17:$B$26,F1804)&gt;0,1,IF(COUNTIF(Настройки!$C$17:$C$26,F1804)&gt;0,2,IF(COUNTIF(Настройки!$D$17:$D$26,F1804)&gt;0,3,0))))</f>
        <v/>
      </c>
      <c r="I1804">
        <f>IF(AND(ISNUMBER(A1804),ISNUMBER(B1804)),A1804*1000+B1804,"")</f>
        <v/>
      </c>
      <c r="J1804">
        <f>IF(I1804="","",IF(COUNTIF(I$2:I1804,I1804)=1,MAX(J$1:J1803)+1,""))</f>
        <v/>
      </c>
    </row>
    <row r="1805">
      <c r="A1805">
        <f>IFERROR(--SUBSTITUTE(SUBSTITUTE(TRIM(INDEX(INDIRECT("'Выгрузка'!A1805:Z1805"),Настройки!$B$7)),",","."),".",MID(1/2,2,1)),"")</f>
        <v/>
      </c>
      <c r="B1805">
        <f>IFERROR(--SUBSTITUTE(SUBSTITUTE(TRIM(INDEX(INDIRECT("'Выгрузка'!A1805:Z1805"),Настройки!$B$9)),",","."),".",MID(1/2,2,1)),"")</f>
        <v/>
      </c>
      <c r="C1805">
        <f>TRIM(INDEX(INDIRECT("'Выгрузка'!A1805:Z1805"),Настройки!$B$8)&amp;"")</f>
        <v/>
      </c>
      <c r="D1805">
        <f>IFERROR(--SUBSTITUTE(SUBSTITUTE(TRIM(INDEX(INDIRECT("'Выгрузка'!A1805:Z1805"),Настройки!$B$10)),",","."),".",MID(1/2,2,1)),"")</f>
        <v/>
      </c>
      <c r="E1805">
        <f>IFERROR(--SUBSTITUTE(SUBSTITUTE(TRIM(INDEX(INDIRECT("'Выгрузка'!A1805:Z1805"),Настройки!$B$11)),",","."),".",MID(1/2,2,1)),"")</f>
        <v/>
      </c>
      <c r="F1805">
        <f>TRIM(INDEX(INDIRECT("'Выгрузка'!A1805:Z1805"),Настройки!$B$12)&amp;"")</f>
        <v/>
      </c>
      <c r="G1805">
        <f>IF(F1805="",0,IF(TRIM(INDEX(INDIRECT("'Выгрузка'!A1805:Z1805"),Настройки!$B$13)&amp;"")="",1,IFERROR(--SUBSTITUTE(SUBSTITUTE(TRIM(INDEX(INDIRECT("'Выгрузка'!A1805:Z1805"),Настройки!$B$13)),",","."),".",MID(1/2,2,1)),"")))</f>
        <v/>
      </c>
      <c r="H1805">
        <f>IF(F1805="",0,IF(COUNTIF(Настройки!$B$17:$B$26,F1805)&gt;0,1,IF(COUNTIF(Настройки!$C$17:$C$26,F1805)&gt;0,2,IF(COUNTIF(Настройки!$D$17:$D$26,F1805)&gt;0,3,0))))</f>
        <v/>
      </c>
      <c r="I1805">
        <f>IF(AND(ISNUMBER(A1805),ISNUMBER(B1805)),A1805*1000+B1805,"")</f>
        <v/>
      </c>
      <c r="J1805">
        <f>IF(I1805="","",IF(COUNTIF(I$2:I1805,I1805)=1,MAX(J$1:J1804)+1,""))</f>
        <v/>
      </c>
    </row>
    <row r="1806">
      <c r="A1806">
        <f>IFERROR(--SUBSTITUTE(SUBSTITUTE(TRIM(INDEX(INDIRECT("'Выгрузка'!A1806:Z1806"),Настройки!$B$7)),",","."),".",MID(1/2,2,1)),"")</f>
        <v/>
      </c>
      <c r="B1806">
        <f>IFERROR(--SUBSTITUTE(SUBSTITUTE(TRIM(INDEX(INDIRECT("'Выгрузка'!A1806:Z1806"),Настройки!$B$9)),",","."),".",MID(1/2,2,1)),"")</f>
        <v/>
      </c>
      <c r="C1806">
        <f>TRIM(INDEX(INDIRECT("'Выгрузка'!A1806:Z1806"),Настройки!$B$8)&amp;"")</f>
        <v/>
      </c>
      <c r="D1806">
        <f>IFERROR(--SUBSTITUTE(SUBSTITUTE(TRIM(INDEX(INDIRECT("'Выгрузка'!A1806:Z1806"),Настройки!$B$10)),",","."),".",MID(1/2,2,1)),"")</f>
        <v/>
      </c>
      <c r="E1806">
        <f>IFERROR(--SUBSTITUTE(SUBSTITUTE(TRIM(INDEX(INDIRECT("'Выгрузка'!A1806:Z1806"),Настройки!$B$11)),",","."),".",MID(1/2,2,1)),"")</f>
        <v/>
      </c>
      <c r="F1806">
        <f>TRIM(INDEX(INDIRECT("'Выгрузка'!A1806:Z1806"),Настройки!$B$12)&amp;"")</f>
        <v/>
      </c>
      <c r="G1806">
        <f>IF(F1806="",0,IF(TRIM(INDEX(INDIRECT("'Выгрузка'!A1806:Z1806"),Настройки!$B$13)&amp;"")="",1,IFERROR(--SUBSTITUTE(SUBSTITUTE(TRIM(INDEX(INDIRECT("'Выгрузка'!A1806:Z1806"),Настройки!$B$13)),",","."),".",MID(1/2,2,1)),"")))</f>
        <v/>
      </c>
      <c r="H1806">
        <f>IF(F1806="",0,IF(COUNTIF(Настройки!$B$17:$B$26,F1806)&gt;0,1,IF(COUNTIF(Настройки!$C$17:$C$26,F1806)&gt;0,2,IF(COUNTIF(Настройки!$D$17:$D$26,F1806)&gt;0,3,0))))</f>
        <v/>
      </c>
      <c r="I1806">
        <f>IF(AND(ISNUMBER(A1806),ISNUMBER(B1806)),A1806*1000+B1806,"")</f>
        <v/>
      </c>
      <c r="J1806">
        <f>IF(I1806="","",IF(COUNTIF(I$2:I1806,I1806)=1,MAX(J$1:J1805)+1,""))</f>
        <v/>
      </c>
    </row>
    <row r="1807">
      <c r="A1807">
        <f>IFERROR(--SUBSTITUTE(SUBSTITUTE(TRIM(INDEX(INDIRECT("'Выгрузка'!A1807:Z1807"),Настройки!$B$7)),",","."),".",MID(1/2,2,1)),"")</f>
        <v/>
      </c>
      <c r="B1807">
        <f>IFERROR(--SUBSTITUTE(SUBSTITUTE(TRIM(INDEX(INDIRECT("'Выгрузка'!A1807:Z1807"),Настройки!$B$9)),",","."),".",MID(1/2,2,1)),"")</f>
        <v/>
      </c>
      <c r="C1807">
        <f>TRIM(INDEX(INDIRECT("'Выгрузка'!A1807:Z1807"),Настройки!$B$8)&amp;"")</f>
        <v/>
      </c>
      <c r="D1807">
        <f>IFERROR(--SUBSTITUTE(SUBSTITUTE(TRIM(INDEX(INDIRECT("'Выгрузка'!A1807:Z1807"),Настройки!$B$10)),",","."),".",MID(1/2,2,1)),"")</f>
        <v/>
      </c>
      <c r="E1807">
        <f>IFERROR(--SUBSTITUTE(SUBSTITUTE(TRIM(INDEX(INDIRECT("'Выгрузка'!A1807:Z1807"),Настройки!$B$11)),",","."),".",MID(1/2,2,1)),"")</f>
        <v/>
      </c>
      <c r="F1807">
        <f>TRIM(INDEX(INDIRECT("'Выгрузка'!A1807:Z1807"),Настройки!$B$12)&amp;"")</f>
        <v/>
      </c>
      <c r="G1807">
        <f>IF(F1807="",0,IF(TRIM(INDEX(INDIRECT("'Выгрузка'!A1807:Z1807"),Настройки!$B$13)&amp;"")="",1,IFERROR(--SUBSTITUTE(SUBSTITUTE(TRIM(INDEX(INDIRECT("'Выгрузка'!A1807:Z1807"),Настройки!$B$13)),",","."),".",MID(1/2,2,1)),"")))</f>
        <v/>
      </c>
      <c r="H1807">
        <f>IF(F1807="",0,IF(COUNTIF(Настройки!$B$17:$B$26,F1807)&gt;0,1,IF(COUNTIF(Настройки!$C$17:$C$26,F1807)&gt;0,2,IF(COUNTIF(Настройки!$D$17:$D$26,F1807)&gt;0,3,0))))</f>
        <v/>
      </c>
      <c r="I1807">
        <f>IF(AND(ISNUMBER(A1807),ISNUMBER(B1807)),A1807*1000+B1807,"")</f>
        <v/>
      </c>
      <c r="J1807">
        <f>IF(I1807="","",IF(COUNTIF(I$2:I1807,I1807)=1,MAX(J$1:J1806)+1,""))</f>
        <v/>
      </c>
    </row>
    <row r="1808">
      <c r="A1808">
        <f>IFERROR(--SUBSTITUTE(SUBSTITUTE(TRIM(INDEX(INDIRECT("'Выгрузка'!A1808:Z1808"),Настройки!$B$7)),",","."),".",MID(1/2,2,1)),"")</f>
        <v/>
      </c>
      <c r="B1808">
        <f>IFERROR(--SUBSTITUTE(SUBSTITUTE(TRIM(INDEX(INDIRECT("'Выгрузка'!A1808:Z1808"),Настройки!$B$9)),",","."),".",MID(1/2,2,1)),"")</f>
        <v/>
      </c>
      <c r="C1808">
        <f>TRIM(INDEX(INDIRECT("'Выгрузка'!A1808:Z1808"),Настройки!$B$8)&amp;"")</f>
        <v/>
      </c>
      <c r="D1808">
        <f>IFERROR(--SUBSTITUTE(SUBSTITUTE(TRIM(INDEX(INDIRECT("'Выгрузка'!A1808:Z1808"),Настройки!$B$10)),",","."),".",MID(1/2,2,1)),"")</f>
        <v/>
      </c>
      <c r="E1808">
        <f>IFERROR(--SUBSTITUTE(SUBSTITUTE(TRIM(INDEX(INDIRECT("'Выгрузка'!A1808:Z1808"),Настройки!$B$11)),",","."),".",MID(1/2,2,1)),"")</f>
        <v/>
      </c>
      <c r="F1808">
        <f>TRIM(INDEX(INDIRECT("'Выгрузка'!A1808:Z1808"),Настройки!$B$12)&amp;"")</f>
        <v/>
      </c>
      <c r="G1808">
        <f>IF(F1808="",0,IF(TRIM(INDEX(INDIRECT("'Выгрузка'!A1808:Z1808"),Настройки!$B$13)&amp;"")="",1,IFERROR(--SUBSTITUTE(SUBSTITUTE(TRIM(INDEX(INDIRECT("'Выгрузка'!A1808:Z1808"),Настройки!$B$13)),",","."),".",MID(1/2,2,1)),"")))</f>
        <v/>
      </c>
      <c r="H1808">
        <f>IF(F1808="",0,IF(COUNTIF(Настройки!$B$17:$B$26,F1808)&gt;0,1,IF(COUNTIF(Настройки!$C$17:$C$26,F1808)&gt;0,2,IF(COUNTIF(Настройки!$D$17:$D$26,F1808)&gt;0,3,0))))</f>
        <v/>
      </c>
      <c r="I1808">
        <f>IF(AND(ISNUMBER(A1808),ISNUMBER(B1808)),A1808*1000+B1808,"")</f>
        <v/>
      </c>
      <c r="J1808">
        <f>IF(I1808="","",IF(COUNTIF(I$2:I1808,I1808)=1,MAX(J$1:J1807)+1,""))</f>
        <v/>
      </c>
    </row>
    <row r="1809">
      <c r="A1809">
        <f>IFERROR(--SUBSTITUTE(SUBSTITUTE(TRIM(INDEX(INDIRECT("'Выгрузка'!A1809:Z1809"),Настройки!$B$7)),",","."),".",MID(1/2,2,1)),"")</f>
        <v/>
      </c>
      <c r="B1809">
        <f>IFERROR(--SUBSTITUTE(SUBSTITUTE(TRIM(INDEX(INDIRECT("'Выгрузка'!A1809:Z1809"),Настройки!$B$9)),",","."),".",MID(1/2,2,1)),"")</f>
        <v/>
      </c>
      <c r="C1809">
        <f>TRIM(INDEX(INDIRECT("'Выгрузка'!A1809:Z1809"),Настройки!$B$8)&amp;"")</f>
        <v/>
      </c>
      <c r="D1809">
        <f>IFERROR(--SUBSTITUTE(SUBSTITUTE(TRIM(INDEX(INDIRECT("'Выгрузка'!A1809:Z1809"),Настройки!$B$10)),",","."),".",MID(1/2,2,1)),"")</f>
        <v/>
      </c>
      <c r="E1809">
        <f>IFERROR(--SUBSTITUTE(SUBSTITUTE(TRIM(INDEX(INDIRECT("'Выгрузка'!A1809:Z1809"),Настройки!$B$11)),",","."),".",MID(1/2,2,1)),"")</f>
        <v/>
      </c>
      <c r="F1809">
        <f>TRIM(INDEX(INDIRECT("'Выгрузка'!A1809:Z1809"),Настройки!$B$12)&amp;"")</f>
        <v/>
      </c>
      <c r="G1809">
        <f>IF(F1809="",0,IF(TRIM(INDEX(INDIRECT("'Выгрузка'!A1809:Z1809"),Настройки!$B$13)&amp;"")="",1,IFERROR(--SUBSTITUTE(SUBSTITUTE(TRIM(INDEX(INDIRECT("'Выгрузка'!A1809:Z1809"),Настройки!$B$13)),",","."),".",MID(1/2,2,1)),"")))</f>
        <v/>
      </c>
      <c r="H1809">
        <f>IF(F1809="",0,IF(COUNTIF(Настройки!$B$17:$B$26,F1809)&gt;0,1,IF(COUNTIF(Настройки!$C$17:$C$26,F1809)&gt;0,2,IF(COUNTIF(Настройки!$D$17:$D$26,F1809)&gt;0,3,0))))</f>
        <v/>
      </c>
      <c r="I1809">
        <f>IF(AND(ISNUMBER(A1809),ISNUMBER(B1809)),A1809*1000+B1809,"")</f>
        <v/>
      </c>
      <c r="J1809">
        <f>IF(I1809="","",IF(COUNTIF(I$2:I1809,I1809)=1,MAX(J$1:J1808)+1,""))</f>
        <v/>
      </c>
    </row>
    <row r="1810">
      <c r="A1810">
        <f>IFERROR(--SUBSTITUTE(SUBSTITUTE(TRIM(INDEX(INDIRECT("'Выгрузка'!A1810:Z1810"),Настройки!$B$7)),",","."),".",MID(1/2,2,1)),"")</f>
        <v/>
      </c>
      <c r="B1810">
        <f>IFERROR(--SUBSTITUTE(SUBSTITUTE(TRIM(INDEX(INDIRECT("'Выгрузка'!A1810:Z1810"),Настройки!$B$9)),",","."),".",MID(1/2,2,1)),"")</f>
        <v/>
      </c>
      <c r="C1810">
        <f>TRIM(INDEX(INDIRECT("'Выгрузка'!A1810:Z1810"),Настройки!$B$8)&amp;"")</f>
        <v/>
      </c>
      <c r="D1810">
        <f>IFERROR(--SUBSTITUTE(SUBSTITUTE(TRIM(INDEX(INDIRECT("'Выгрузка'!A1810:Z1810"),Настройки!$B$10)),",","."),".",MID(1/2,2,1)),"")</f>
        <v/>
      </c>
      <c r="E1810">
        <f>IFERROR(--SUBSTITUTE(SUBSTITUTE(TRIM(INDEX(INDIRECT("'Выгрузка'!A1810:Z1810"),Настройки!$B$11)),",","."),".",MID(1/2,2,1)),"")</f>
        <v/>
      </c>
      <c r="F1810">
        <f>TRIM(INDEX(INDIRECT("'Выгрузка'!A1810:Z1810"),Настройки!$B$12)&amp;"")</f>
        <v/>
      </c>
      <c r="G1810">
        <f>IF(F1810="",0,IF(TRIM(INDEX(INDIRECT("'Выгрузка'!A1810:Z1810"),Настройки!$B$13)&amp;"")="",1,IFERROR(--SUBSTITUTE(SUBSTITUTE(TRIM(INDEX(INDIRECT("'Выгрузка'!A1810:Z1810"),Настройки!$B$13)),",","."),".",MID(1/2,2,1)),"")))</f>
        <v/>
      </c>
      <c r="H1810">
        <f>IF(F1810="",0,IF(COUNTIF(Настройки!$B$17:$B$26,F1810)&gt;0,1,IF(COUNTIF(Настройки!$C$17:$C$26,F1810)&gt;0,2,IF(COUNTIF(Настройки!$D$17:$D$26,F1810)&gt;0,3,0))))</f>
        <v/>
      </c>
      <c r="I1810">
        <f>IF(AND(ISNUMBER(A1810),ISNUMBER(B1810)),A1810*1000+B1810,"")</f>
        <v/>
      </c>
      <c r="J1810">
        <f>IF(I1810="","",IF(COUNTIF(I$2:I1810,I1810)=1,MAX(J$1:J1809)+1,""))</f>
        <v/>
      </c>
    </row>
    <row r="1811">
      <c r="A1811">
        <f>IFERROR(--SUBSTITUTE(SUBSTITUTE(TRIM(INDEX(INDIRECT("'Выгрузка'!A1811:Z1811"),Настройки!$B$7)),",","."),".",MID(1/2,2,1)),"")</f>
        <v/>
      </c>
      <c r="B1811">
        <f>IFERROR(--SUBSTITUTE(SUBSTITUTE(TRIM(INDEX(INDIRECT("'Выгрузка'!A1811:Z1811"),Настройки!$B$9)),",","."),".",MID(1/2,2,1)),"")</f>
        <v/>
      </c>
      <c r="C1811">
        <f>TRIM(INDEX(INDIRECT("'Выгрузка'!A1811:Z1811"),Настройки!$B$8)&amp;"")</f>
        <v/>
      </c>
      <c r="D1811">
        <f>IFERROR(--SUBSTITUTE(SUBSTITUTE(TRIM(INDEX(INDIRECT("'Выгрузка'!A1811:Z1811"),Настройки!$B$10)),",","."),".",MID(1/2,2,1)),"")</f>
        <v/>
      </c>
      <c r="E1811">
        <f>IFERROR(--SUBSTITUTE(SUBSTITUTE(TRIM(INDEX(INDIRECT("'Выгрузка'!A1811:Z1811"),Настройки!$B$11)),",","."),".",MID(1/2,2,1)),"")</f>
        <v/>
      </c>
      <c r="F1811">
        <f>TRIM(INDEX(INDIRECT("'Выгрузка'!A1811:Z1811"),Настройки!$B$12)&amp;"")</f>
        <v/>
      </c>
      <c r="G1811">
        <f>IF(F1811="",0,IF(TRIM(INDEX(INDIRECT("'Выгрузка'!A1811:Z1811"),Настройки!$B$13)&amp;"")="",1,IFERROR(--SUBSTITUTE(SUBSTITUTE(TRIM(INDEX(INDIRECT("'Выгрузка'!A1811:Z1811"),Настройки!$B$13)),",","."),".",MID(1/2,2,1)),"")))</f>
        <v/>
      </c>
      <c r="H1811">
        <f>IF(F1811="",0,IF(COUNTIF(Настройки!$B$17:$B$26,F1811)&gt;0,1,IF(COUNTIF(Настройки!$C$17:$C$26,F1811)&gt;0,2,IF(COUNTIF(Настройки!$D$17:$D$26,F1811)&gt;0,3,0))))</f>
        <v/>
      </c>
      <c r="I1811">
        <f>IF(AND(ISNUMBER(A1811),ISNUMBER(B1811)),A1811*1000+B1811,"")</f>
        <v/>
      </c>
      <c r="J1811">
        <f>IF(I1811="","",IF(COUNTIF(I$2:I1811,I1811)=1,MAX(J$1:J1810)+1,""))</f>
        <v/>
      </c>
    </row>
    <row r="1812">
      <c r="A1812">
        <f>IFERROR(--SUBSTITUTE(SUBSTITUTE(TRIM(INDEX(INDIRECT("'Выгрузка'!A1812:Z1812"),Настройки!$B$7)),",","."),".",MID(1/2,2,1)),"")</f>
        <v/>
      </c>
      <c r="B1812">
        <f>IFERROR(--SUBSTITUTE(SUBSTITUTE(TRIM(INDEX(INDIRECT("'Выгрузка'!A1812:Z1812"),Настройки!$B$9)),",","."),".",MID(1/2,2,1)),"")</f>
        <v/>
      </c>
      <c r="C1812">
        <f>TRIM(INDEX(INDIRECT("'Выгрузка'!A1812:Z1812"),Настройки!$B$8)&amp;"")</f>
        <v/>
      </c>
      <c r="D1812">
        <f>IFERROR(--SUBSTITUTE(SUBSTITUTE(TRIM(INDEX(INDIRECT("'Выгрузка'!A1812:Z1812"),Настройки!$B$10)),",","."),".",MID(1/2,2,1)),"")</f>
        <v/>
      </c>
      <c r="E1812">
        <f>IFERROR(--SUBSTITUTE(SUBSTITUTE(TRIM(INDEX(INDIRECT("'Выгрузка'!A1812:Z1812"),Настройки!$B$11)),",","."),".",MID(1/2,2,1)),"")</f>
        <v/>
      </c>
      <c r="F1812">
        <f>TRIM(INDEX(INDIRECT("'Выгрузка'!A1812:Z1812"),Настройки!$B$12)&amp;"")</f>
        <v/>
      </c>
      <c r="G1812">
        <f>IF(F1812="",0,IF(TRIM(INDEX(INDIRECT("'Выгрузка'!A1812:Z1812"),Настройки!$B$13)&amp;"")="",1,IFERROR(--SUBSTITUTE(SUBSTITUTE(TRIM(INDEX(INDIRECT("'Выгрузка'!A1812:Z1812"),Настройки!$B$13)),",","."),".",MID(1/2,2,1)),"")))</f>
        <v/>
      </c>
      <c r="H1812">
        <f>IF(F1812="",0,IF(COUNTIF(Настройки!$B$17:$B$26,F1812)&gt;0,1,IF(COUNTIF(Настройки!$C$17:$C$26,F1812)&gt;0,2,IF(COUNTIF(Настройки!$D$17:$D$26,F1812)&gt;0,3,0))))</f>
        <v/>
      </c>
      <c r="I1812">
        <f>IF(AND(ISNUMBER(A1812),ISNUMBER(B1812)),A1812*1000+B1812,"")</f>
        <v/>
      </c>
      <c r="J1812">
        <f>IF(I1812="","",IF(COUNTIF(I$2:I1812,I1812)=1,MAX(J$1:J1811)+1,""))</f>
        <v/>
      </c>
    </row>
    <row r="1813">
      <c r="A1813">
        <f>IFERROR(--SUBSTITUTE(SUBSTITUTE(TRIM(INDEX(INDIRECT("'Выгрузка'!A1813:Z1813"),Настройки!$B$7)),",","."),".",MID(1/2,2,1)),"")</f>
        <v/>
      </c>
      <c r="B1813">
        <f>IFERROR(--SUBSTITUTE(SUBSTITUTE(TRIM(INDEX(INDIRECT("'Выгрузка'!A1813:Z1813"),Настройки!$B$9)),",","."),".",MID(1/2,2,1)),"")</f>
        <v/>
      </c>
      <c r="C1813">
        <f>TRIM(INDEX(INDIRECT("'Выгрузка'!A1813:Z1813"),Настройки!$B$8)&amp;"")</f>
        <v/>
      </c>
      <c r="D1813">
        <f>IFERROR(--SUBSTITUTE(SUBSTITUTE(TRIM(INDEX(INDIRECT("'Выгрузка'!A1813:Z1813"),Настройки!$B$10)),",","."),".",MID(1/2,2,1)),"")</f>
        <v/>
      </c>
      <c r="E1813">
        <f>IFERROR(--SUBSTITUTE(SUBSTITUTE(TRIM(INDEX(INDIRECT("'Выгрузка'!A1813:Z1813"),Настройки!$B$11)),",","."),".",MID(1/2,2,1)),"")</f>
        <v/>
      </c>
      <c r="F1813">
        <f>TRIM(INDEX(INDIRECT("'Выгрузка'!A1813:Z1813"),Настройки!$B$12)&amp;"")</f>
        <v/>
      </c>
      <c r="G1813">
        <f>IF(F1813="",0,IF(TRIM(INDEX(INDIRECT("'Выгрузка'!A1813:Z1813"),Настройки!$B$13)&amp;"")="",1,IFERROR(--SUBSTITUTE(SUBSTITUTE(TRIM(INDEX(INDIRECT("'Выгрузка'!A1813:Z1813"),Настройки!$B$13)),",","."),".",MID(1/2,2,1)),"")))</f>
        <v/>
      </c>
      <c r="H1813">
        <f>IF(F1813="",0,IF(COUNTIF(Настройки!$B$17:$B$26,F1813)&gt;0,1,IF(COUNTIF(Настройки!$C$17:$C$26,F1813)&gt;0,2,IF(COUNTIF(Настройки!$D$17:$D$26,F1813)&gt;0,3,0))))</f>
        <v/>
      </c>
      <c r="I1813">
        <f>IF(AND(ISNUMBER(A1813),ISNUMBER(B1813)),A1813*1000+B1813,"")</f>
        <v/>
      </c>
      <c r="J1813">
        <f>IF(I1813="","",IF(COUNTIF(I$2:I1813,I1813)=1,MAX(J$1:J1812)+1,""))</f>
        <v/>
      </c>
    </row>
    <row r="1814">
      <c r="A1814">
        <f>IFERROR(--SUBSTITUTE(SUBSTITUTE(TRIM(INDEX(INDIRECT("'Выгрузка'!A1814:Z1814"),Настройки!$B$7)),",","."),".",MID(1/2,2,1)),"")</f>
        <v/>
      </c>
      <c r="B1814">
        <f>IFERROR(--SUBSTITUTE(SUBSTITUTE(TRIM(INDEX(INDIRECT("'Выгрузка'!A1814:Z1814"),Настройки!$B$9)),",","."),".",MID(1/2,2,1)),"")</f>
        <v/>
      </c>
      <c r="C1814">
        <f>TRIM(INDEX(INDIRECT("'Выгрузка'!A1814:Z1814"),Настройки!$B$8)&amp;"")</f>
        <v/>
      </c>
      <c r="D1814">
        <f>IFERROR(--SUBSTITUTE(SUBSTITUTE(TRIM(INDEX(INDIRECT("'Выгрузка'!A1814:Z1814"),Настройки!$B$10)),",","."),".",MID(1/2,2,1)),"")</f>
        <v/>
      </c>
      <c r="E1814">
        <f>IFERROR(--SUBSTITUTE(SUBSTITUTE(TRIM(INDEX(INDIRECT("'Выгрузка'!A1814:Z1814"),Настройки!$B$11)),",","."),".",MID(1/2,2,1)),"")</f>
        <v/>
      </c>
      <c r="F1814">
        <f>TRIM(INDEX(INDIRECT("'Выгрузка'!A1814:Z1814"),Настройки!$B$12)&amp;"")</f>
        <v/>
      </c>
      <c r="G1814">
        <f>IF(F1814="",0,IF(TRIM(INDEX(INDIRECT("'Выгрузка'!A1814:Z1814"),Настройки!$B$13)&amp;"")="",1,IFERROR(--SUBSTITUTE(SUBSTITUTE(TRIM(INDEX(INDIRECT("'Выгрузка'!A1814:Z1814"),Настройки!$B$13)),",","."),".",MID(1/2,2,1)),"")))</f>
        <v/>
      </c>
      <c r="H1814">
        <f>IF(F1814="",0,IF(COUNTIF(Настройки!$B$17:$B$26,F1814)&gt;0,1,IF(COUNTIF(Настройки!$C$17:$C$26,F1814)&gt;0,2,IF(COUNTIF(Настройки!$D$17:$D$26,F1814)&gt;0,3,0))))</f>
        <v/>
      </c>
      <c r="I1814">
        <f>IF(AND(ISNUMBER(A1814),ISNUMBER(B1814)),A1814*1000+B1814,"")</f>
        <v/>
      </c>
      <c r="J1814">
        <f>IF(I1814="","",IF(COUNTIF(I$2:I1814,I1814)=1,MAX(J$1:J1813)+1,""))</f>
        <v/>
      </c>
    </row>
    <row r="1815">
      <c r="A1815">
        <f>IFERROR(--SUBSTITUTE(SUBSTITUTE(TRIM(INDEX(INDIRECT("'Выгрузка'!A1815:Z1815"),Настройки!$B$7)),",","."),".",MID(1/2,2,1)),"")</f>
        <v/>
      </c>
      <c r="B1815">
        <f>IFERROR(--SUBSTITUTE(SUBSTITUTE(TRIM(INDEX(INDIRECT("'Выгрузка'!A1815:Z1815"),Настройки!$B$9)),",","."),".",MID(1/2,2,1)),"")</f>
        <v/>
      </c>
      <c r="C1815">
        <f>TRIM(INDEX(INDIRECT("'Выгрузка'!A1815:Z1815"),Настройки!$B$8)&amp;"")</f>
        <v/>
      </c>
      <c r="D1815">
        <f>IFERROR(--SUBSTITUTE(SUBSTITUTE(TRIM(INDEX(INDIRECT("'Выгрузка'!A1815:Z1815"),Настройки!$B$10)),",","."),".",MID(1/2,2,1)),"")</f>
        <v/>
      </c>
      <c r="E1815">
        <f>IFERROR(--SUBSTITUTE(SUBSTITUTE(TRIM(INDEX(INDIRECT("'Выгрузка'!A1815:Z1815"),Настройки!$B$11)),",","."),".",MID(1/2,2,1)),"")</f>
        <v/>
      </c>
      <c r="F1815">
        <f>TRIM(INDEX(INDIRECT("'Выгрузка'!A1815:Z1815"),Настройки!$B$12)&amp;"")</f>
        <v/>
      </c>
      <c r="G1815">
        <f>IF(F1815="",0,IF(TRIM(INDEX(INDIRECT("'Выгрузка'!A1815:Z1815"),Настройки!$B$13)&amp;"")="",1,IFERROR(--SUBSTITUTE(SUBSTITUTE(TRIM(INDEX(INDIRECT("'Выгрузка'!A1815:Z1815"),Настройки!$B$13)),",","."),".",MID(1/2,2,1)),"")))</f>
        <v/>
      </c>
      <c r="H1815">
        <f>IF(F1815="",0,IF(COUNTIF(Настройки!$B$17:$B$26,F1815)&gt;0,1,IF(COUNTIF(Настройки!$C$17:$C$26,F1815)&gt;0,2,IF(COUNTIF(Настройки!$D$17:$D$26,F1815)&gt;0,3,0))))</f>
        <v/>
      </c>
      <c r="I1815">
        <f>IF(AND(ISNUMBER(A1815),ISNUMBER(B1815)),A1815*1000+B1815,"")</f>
        <v/>
      </c>
      <c r="J1815">
        <f>IF(I1815="","",IF(COUNTIF(I$2:I1815,I1815)=1,MAX(J$1:J1814)+1,""))</f>
        <v/>
      </c>
    </row>
    <row r="1816">
      <c r="A1816">
        <f>IFERROR(--SUBSTITUTE(SUBSTITUTE(TRIM(INDEX(INDIRECT("'Выгрузка'!A1816:Z1816"),Настройки!$B$7)),",","."),".",MID(1/2,2,1)),"")</f>
        <v/>
      </c>
      <c r="B1816">
        <f>IFERROR(--SUBSTITUTE(SUBSTITUTE(TRIM(INDEX(INDIRECT("'Выгрузка'!A1816:Z1816"),Настройки!$B$9)),",","."),".",MID(1/2,2,1)),"")</f>
        <v/>
      </c>
      <c r="C1816">
        <f>TRIM(INDEX(INDIRECT("'Выгрузка'!A1816:Z1816"),Настройки!$B$8)&amp;"")</f>
        <v/>
      </c>
      <c r="D1816">
        <f>IFERROR(--SUBSTITUTE(SUBSTITUTE(TRIM(INDEX(INDIRECT("'Выгрузка'!A1816:Z1816"),Настройки!$B$10)),",","."),".",MID(1/2,2,1)),"")</f>
        <v/>
      </c>
      <c r="E1816">
        <f>IFERROR(--SUBSTITUTE(SUBSTITUTE(TRIM(INDEX(INDIRECT("'Выгрузка'!A1816:Z1816"),Настройки!$B$11)),",","."),".",MID(1/2,2,1)),"")</f>
        <v/>
      </c>
      <c r="F1816">
        <f>TRIM(INDEX(INDIRECT("'Выгрузка'!A1816:Z1816"),Настройки!$B$12)&amp;"")</f>
        <v/>
      </c>
      <c r="G1816">
        <f>IF(F1816="",0,IF(TRIM(INDEX(INDIRECT("'Выгрузка'!A1816:Z1816"),Настройки!$B$13)&amp;"")="",1,IFERROR(--SUBSTITUTE(SUBSTITUTE(TRIM(INDEX(INDIRECT("'Выгрузка'!A1816:Z1816"),Настройки!$B$13)),",","."),".",MID(1/2,2,1)),"")))</f>
        <v/>
      </c>
      <c r="H1816">
        <f>IF(F1816="",0,IF(COUNTIF(Настройки!$B$17:$B$26,F1816)&gt;0,1,IF(COUNTIF(Настройки!$C$17:$C$26,F1816)&gt;0,2,IF(COUNTIF(Настройки!$D$17:$D$26,F1816)&gt;0,3,0))))</f>
        <v/>
      </c>
      <c r="I1816">
        <f>IF(AND(ISNUMBER(A1816),ISNUMBER(B1816)),A1816*1000+B1816,"")</f>
        <v/>
      </c>
      <c r="J1816">
        <f>IF(I1816="","",IF(COUNTIF(I$2:I1816,I1816)=1,MAX(J$1:J1815)+1,""))</f>
        <v/>
      </c>
    </row>
    <row r="1817">
      <c r="A1817">
        <f>IFERROR(--SUBSTITUTE(SUBSTITUTE(TRIM(INDEX(INDIRECT("'Выгрузка'!A1817:Z1817"),Настройки!$B$7)),",","."),".",MID(1/2,2,1)),"")</f>
        <v/>
      </c>
      <c r="B1817">
        <f>IFERROR(--SUBSTITUTE(SUBSTITUTE(TRIM(INDEX(INDIRECT("'Выгрузка'!A1817:Z1817"),Настройки!$B$9)),",","."),".",MID(1/2,2,1)),"")</f>
        <v/>
      </c>
      <c r="C1817">
        <f>TRIM(INDEX(INDIRECT("'Выгрузка'!A1817:Z1817"),Настройки!$B$8)&amp;"")</f>
        <v/>
      </c>
      <c r="D1817">
        <f>IFERROR(--SUBSTITUTE(SUBSTITUTE(TRIM(INDEX(INDIRECT("'Выгрузка'!A1817:Z1817"),Настройки!$B$10)),",","."),".",MID(1/2,2,1)),"")</f>
        <v/>
      </c>
      <c r="E1817">
        <f>IFERROR(--SUBSTITUTE(SUBSTITUTE(TRIM(INDEX(INDIRECT("'Выгрузка'!A1817:Z1817"),Настройки!$B$11)),",","."),".",MID(1/2,2,1)),"")</f>
        <v/>
      </c>
      <c r="F1817">
        <f>TRIM(INDEX(INDIRECT("'Выгрузка'!A1817:Z1817"),Настройки!$B$12)&amp;"")</f>
        <v/>
      </c>
      <c r="G1817">
        <f>IF(F1817="",0,IF(TRIM(INDEX(INDIRECT("'Выгрузка'!A1817:Z1817"),Настройки!$B$13)&amp;"")="",1,IFERROR(--SUBSTITUTE(SUBSTITUTE(TRIM(INDEX(INDIRECT("'Выгрузка'!A1817:Z1817"),Настройки!$B$13)),",","."),".",MID(1/2,2,1)),"")))</f>
        <v/>
      </c>
      <c r="H1817">
        <f>IF(F1817="",0,IF(COUNTIF(Настройки!$B$17:$B$26,F1817)&gt;0,1,IF(COUNTIF(Настройки!$C$17:$C$26,F1817)&gt;0,2,IF(COUNTIF(Настройки!$D$17:$D$26,F1817)&gt;0,3,0))))</f>
        <v/>
      </c>
      <c r="I1817">
        <f>IF(AND(ISNUMBER(A1817),ISNUMBER(B1817)),A1817*1000+B1817,"")</f>
        <v/>
      </c>
      <c r="J1817">
        <f>IF(I1817="","",IF(COUNTIF(I$2:I1817,I1817)=1,MAX(J$1:J1816)+1,""))</f>
        <v/>
      </c>
    </row>
    <row r="1818">
      <c r="A1818">
        <f>IFERROR(--SUBSTITUTE(SUBSTITUTE(TRIM(INDEX(INDIRECT("'Выгрузка'!A1818:Z1818"),Настройки!$B$7)),",","."),".",MID(1/2,2,1)),"")</f>
        <v/>
      </c>
      <c r="B1818">
        <f>IFERROR(--SUBSTITUTE(SUBSTITUTE(TRIM(INDEX(INDIRECT("'Выгрузка'!A1818:Z1818"),Настройки!$B$9)),",","."),".",MID(1/2,2,1)),"")</f>
        <v/>
      </c>
      <c r="C1818">
        <f>TRIM(INDEX(INDIRECT("'Выгрузка'!A1818:Z1818"),Настройки!$B$8)&amp;"")</f>
        <v/>
      </c>
      <c r="D1818">
        <f>IFERROR(--SUBSTITUTE(SUBSTITUTE(TRIM(INDEX(INDIRECT("'Выгрузка'!A1818:Z1818"),Настройки!$B$10)),",","."),".",MID(1/2,2,1)),"")</f>
        <v/>
      </c>
      <c r="E1818">
        <f>IFERROR(--SUBSTITUTE(SUBSTITUTE(TRIM(INDEX(INDIRECT("'Выгрузка'!A1818:Z1818"),Настройки!$B$11)),",","."),".",MID(1/2,2,1)),"")</f>
        <v/>
      </c>
      <c r="F1818">
        <f>TRIM(INDEX(INDIRECT("'Выгрузка'!A1818:Z1818"),Настройки!$B$12)&amp;"")</f>
        <v/>
      </c>
      <c r="G1818">
        <f>IF(F1818="",0,IF(TRIM(INDEX(INDIRECT("'Выгрузка'!A1818:Z1818"),Настройки!$B$13)&amp;"")="",1,IFERROR(--SUBSTITUTE(SUBSTITUTE(TRIM(INDEX(INDIRECT("'Выгрузка'!A1818:Z1818"),Настройки!$B$13)),",","."),".",MID(1/2,2,1)),"")))</f>
        <v/>
      </c>
      <c r="H1818">
        <f>IF(F1818="",0,IF(COUNTIF(Настройки!$B$17:$B$26,F1818)&gt;0,1,IF(COUNTIF(Настройки!$C$17:$C$26,F1818)&gt;0,2,IF(COUNTIF(Настройки!$D$17:$D$26,F1818)&gt;0,3,0))))</f>
        <v/>
      </c>
      <c r="I1818">
        <f>IF(AND(ISNUMBER(A1818),ISNUMBER(B1818)),A1818*1000+B1818,"")</f>
        <v/>
      </c>
      <c r="J1818">
        <f>IF(I1818="","",IF(COUNTIF(I$2:I1818,I1818)=1,MAX(J$1:J1817)+1,""))</f>
        <v/>
      </c>
    </row>
    <row r="1819">
      <c r="A1819">
        <f>IFERROR(--SUBSTITUTE(SUBSTITUTE(TRIM(INDEX(INDIRECT("'Выгрузка'!A1819:Z1819"),Настройки!$B$7)),",","."),".",MID(1/2,2,1)),"")</f>
        <v/>
      </c>
      <c r="B1819">
        <f>IFERROR(--SUBSTITUTE(SUBSTITUTE(TRIM(INDEX(INDIRECT("'Выгрузка'!A1819:Z1819"),Настройки!$B$9)),",","."),".",MID(1/2,2,1)),"")</f>
        <v/>
      </c>
      <c r="C1819">
        <f>TRIM(INDEX(INDIRECT("'Выгрузка'!A1819:Z1819"),Настройки!$B$8)&amp;"")</f>
        <v/>
      </c>
      <c r="D1819">
        <f>IFERROR(--SUBSTITUTE(SUBSTITUTE(TRIM(INDEX(INDIRECT("'Выгрузка'!A1819:Z1819"),Настройки!$B$10)),",","."),".",MID(1/2,2,1)),"")</f>
        <v/>
      </c>
      <c r="E1819">
        <f>IFERROR(--SUBSTITUTE(SUBSTITUTE(TRIM(INDEX(INDIRECT("'Выгрузка'!A1819:Z1819"),Настройки!$B$11)),",","."),".",MID(1/2,2,1)),"")</f>
        <v/>
      </c>
      <c r="F1819">
        <f>TRIM(INDEX(INDIRECT("'Выгрузка'!A1819:Z1819"),Настройки!$B$12)&amp;"")</f>
        <v/>
      </c>
      <c r="G1819">
        <f>IF(F1819="",0,IF(TRIM(INDEX(INDIRECT("'Выгрузка'!A1819:Z1819"),Настройки!$B$13)&amp;"")="",1,IFERROR(--SUBSTITUTE(SUBSTITUTE(TRIM(INDEX(INDIRECT("'Выгрузка'!A1819:Z1819"),Настройки!$B$13)),",","."),".",MID(1/2,2,1)),"")))</f>
        <v/>
      </c>
      <c r="H1819">
        <f>IF(F1819="",0,IF(COUNTIF(Настройки!$B$17:$B$26,F1819)&gt;0,1,IF(COUNTIF(Настройки!$C$17:$C$26,F1819)&gt;0,2,IF(COUNTIF(Настройки!$D$17:$D$26,F1819)&gt;0,3,0))))</f>
        <v/>
      </c>
      <c r="I1819">
        <f>IF(AND(ISNUMBER(A1819),ISNUMBER(B1819)),A1819*1000+B1819,"")</f>
        <v/>
      </c>
      <c r="J1819">
        <f>IF(I1819="","",IF(COUNTIF(I$2:I1819,I1819)=1,MAX(J$1:J1818)+1,""))</f>
        <v/>
      </c>
    </row>
    <row r="1820">
      <c r="A1820">
        <f>IFERROR(--SUBSTITUTE(SUBSTITUTE(TRIM(INDEX(INDIRECT("'Выгрузка'!A1820:Z1820"),Настройки!$B$7)),",","."),".",MID(1/2,2,1)),"")</f>
        <v/>
      </c>
      <c r="B1820">
        <f>IFERROR(--SUBSTITUTE(SUBSTITUTE(TRIM(INDEX(INDIRECT("'Выгрузка'!A1820:Z1820"),Настройки!$B$9)),",","."),".",MID(1/2,2,1)),"")</f>
        <v/>
      </c>
      <c r="C1820">
        <f>TRIM(INDEX(INDIRECT("'Выгрузка'!A1820:Z1820"),Настройки!$B$8)&amp;"")</f>
        <v/>
      </c>
      <c r="D1820">
        <f>IFERROR(--SUBSTITUTE(SUBSTITUTE(TRIM(INDEX(INDIRECT("'Выгрузка'!A1820:Z1820"),Настройки!$B$10)),",","."),".",MID(1/2,2,1)),"")</f>
        <v/>
      </c>
      <c r="E1820">
        <f>IFERROR(--SUBSTITUTE(SUBSTITUTE(TRIM(INDEX(INDIRECT("'Выгрузка'!A1820:Z1820"),Настройки!$B$11)),",","."),".",MID(1/2,2,1)),"")</f>
        <v/>
      </c>
      <c r="F1820">
        <f>TRIM(INDEX(INDIRECT("'Выгрузка'!A1820:Z1820"),Настройки!$B$12)&amp;"")</f>
        <v/>
      </c>
      <c r="G1820">
        <f>IF(F1820="",0,IF(TRIM(INDEX(INDIRECT("'Выгрузка'!A1820:Z1820"),Настройки!$B$13)&amp;"")="",1,IFERROR(--SUBSTITUTE(SUBSTITUTE(TRIM(INDEX(INDIRECT("'Выгрузка'!A1820:Z1820"),Настройки!$B$13)),",","."),".",MID(1/2,2,1)),"")))</f>
        <v/>
      </c>
      <c r="H1820">
        <f>IF(F1820="",0,IF(COUNTIF(Настройки!$B$17:$B$26,F1820)&gt;0,1,IF(COUNTIF(Настройки!$C$17:$C$26,F1820)&gt;0,2,IF(COUNTIF(Настройки!$D$17:$D$26,F1820)&gt;0,3,0))))</f>
        <v/>
      </c>
      <c r="I1820">
        <f>IF(AND(ISNUMBER(A1820),ISNUMBER(B1820)),A1820*1000+B1820,"")</f>
        <v/>
      </c>
      <c r="J1820">
        <f>IF(I1820="","",IF(COUNTIF(I$2:I1820,I1820)=1,MAX(J$1:J1819)+1,""))</f>
        <v/>
      </c>
    </row>
    <row r="1821">
      <c r="A1821">
        <f>IFERROR(--SUBSTITUTE(SUBSTITUTE(TRIM(INDEX(INDIRECT("'Выгрузка'!A1821:Z1821"),Настройки!$B$7)),",","."),".",MID(1/2,2,1)),"")</f>
        <v/>
      </c>
      <c r="B1821">
        <f>IFERROR(--SUBSTITUTE(SUBSTITUTE(TRIM(INDEX(INDIRECT("'Выгрузка'!A1821:Z1821"),Настройки!$B$9)),",","."),".",MID(1/2,2,1)),"")</f>
        <v/>
      </c>
      <c r="C1821">
        <f>TRIM(INDEX(INDIRECT("'Выгрузка'!A1821:Z1821"),Настройки!$B$8)&amp;"")</f>
        <v/>
      </c>
      <c r="D1821">
        <f>IFERROR(--SUBSTITUTE(SUBSTITUTE(TRIM(INDEX(INDIRECT("'Выгрузка'!A1821:Z1821"),Настройки!$B$10)),",","."),".",MID(1/2,2,1)),"")</f>
        <v/>
      </c>
      <c r="E1821">
        <f>IFERROR(--SUBSTITUTE(SUBSTITUTE(TRIM(INDEX(INDIRECT("'Выгрузка'!A1821:Z1821"),Настройки!$B$11)),",","."),".",MID(1/2,2,1)),"")</f>
        <v/>
      </c>
      <c r="F1821">
        <f>TRIM(INDEX(INDIRECT("'Выгрузка'!A1821:Z1821"),Настройки!$B$12)&amp;"")</f>
        <v/>
      </c>
      <c r="G1821">
        <f>IF(F1821="",0,IF(TRIM(INDEX(INDIRECT("'Выгрузка'!A1821:Z1821"),Настройки!$B$13)&amp;"")="",1,IFERROR(--SUBSTITUTE(SUBSTITUTE(TRIM(INDEX(INDIRECT("'Выгрузка'!A1821:Z1821"),Настройки!$B$13)),",","."),".",MID(1/2,2,1)),"")))</f>
        <v/>
      </c>
      <c r="H1821">
        <f>IF(F1821="",0,IF(COUNTIF(Настройки!$B$17:$B$26,F1821)&gt;0,1,IF(COUNTIF(Настройки!$C$17:$C$26,F1821)&gt;0,2,IF(COUNTIF(Настройки!$D$17:$D$26,F1821)&gt;0,3,0))))</f>
        <v/>
      </c>
      <c r="I1821">
        <f>IF(AND(ISNUMBER(A1821),ISNUMBER(B1821)),A1821*1000+B1821,"")</f>
        <v/>
      </c>
      <c r="J1821">
        <f>IF(I1821="","",IF(COUNTIF(I$2:I1821,I1821)=1,MAX(J$1:J1820)+1,""))</f>
        <v/>
      </c>
    </row>
    <row r="1822">
      <c r="A1822">
        <f>IFERROR(--SUBSTITUTE(SUBSTITUTE(TRIM(INDEX(INDIRECT("'Выгрузка'!A1822:Z1822"),Настройки!$B$7)),",","."),".",MID(1/2,2,1)),"")</f>
        <v/>
      </c>
      <c r="B1822">
        <f>IFERROR(--SUBSTITUTE(SUBSTITUTE(TRIM(INDEX(INDIRECT("'Выгрузка'!A1822:Z1822"),Настройки!$B$9)),",","."),".",MID(1/2,2,1)),"")</f>
        <v/>
      </c>
      <c r="C1822">
        <f>TRIM(INDEX(INDIRECT("'Выгрузка'!A1822:Z1822"),Настройки!$B$8)&amp;"")</f>
        <v/>
      </c>
      <c r="D1822">
        <f>IFERROR(--SUBSTITUTE(SUBSTITUTE(TRIM(INDEX(INDIRECT("'Выгрузка'!A1822:Z1822"),Настройки!$B$10)),",","."),".",MID(1/2,2,1)),"")</f>
        <v/>
      </c>
      <c r="E1822">
        <f>IFERROR(--SUBSTITUTE(SUBSTITUTE(TRIM(INDEX(INDIRECT("'Выгрузка'!A1822:Z1822"),Настройки!$B$11)),",","."),".",MID(1/2,2,1)),"")</f>
        <v/>
      </c>
      <c r="F1822">
        <f>TRIM(INDEX(INDIRECT("'Выгрузка'!A1822:Z1822"),Настройки!$B$12)&amp;"")</f>
        <v/>
      </c>
      <c r="G1822">
        <f>IF(F1822="",0,IF(TRIM(INDEX(INDIRECT("'Выгрузка'!A1822:Z1822"),Настройки!$B$13)&amp;"")="",1,IFERROR(--SUBSTITUTE(SUBSTITUTE(TRIM(INDEX(INDIRECT("'Выгрузка'!A1822:Z1822"),Настройки!$B$13)),",","."),".",MID(1/2,2,1)),"")))</f>
        <v/>
      </c>
      <c r="H1822">
        <f>IF(F1822="",0,IF(COUNTIF(Настройки!$B$17:$B$26,F1822)&gt;0,1,IF(COUNTIF(Настройки!$C$17:$C$26,F1822)&gt;0,2,IF(COUNTIF(Настройки!$D$17:$D$26,F1822)&gt;0,3,0))))</f>
        <v/>
      </c>
      <c r="I1822">
        <f>IF(AND(ISNUMBER(A1822),ISNUMBER(B1822)),A1822*1000+B1822,"")</f>
        <v/>
      </c>
      <c r="J1822">
        <f>IF(I1822="","",IF(COUNTIF(I$2:I1822,I1822)=1,MAX(J$1:J1821)+1,""))</f>
        <v/>
      </c>
    </row>
    <row r="1823">
      <c r="A1823">
        <f>IFERROR(--SUBSTITUTE(SUBSTITUTE(TRIM(INDEX(INDIRECT("'Выгрузка'!A1823:Z1823"),Настройки!$B$7)),",","."),".",MID(1/2,2,1)),"")</f>
        <v/>
      </c>
      <c r="B1823">
        <f>IFERROR(--SUBSTITUTE(SUBSTITUTE(TRIM(INDEX(INDIRECT("'Выгрузка'!A1823:Z1823"),Настройки!$B$9)),",","."),".",MID(1/2,2,1)),"")</f>
        <v/>
      </c>
      <c r="C1823">
        <f>TRIM(INDEX(INDIRECT("'Выгрузка'!A1823:Z1823"),Настройки!$B$8)&amp;"")</f>
        <v/>
      </c>
      <c r="D1823">
        <f>IFERROR(--SUBSTITUTE(SUBSTITUTE(TRIM(INDEX(INDIRECT("'Выгрузка'!A1823:Z1823"),Настройки!$B$10)),",","."),".",MID(1/2,2,1)),"")</f>
        <v/>
      </c>
      <c r="E1823">
        <f>IFERROR(--SUBSTITUTE(SUBSTITUTE(TRIM(INDEX(INDIRECT("'Выгрузка'!A1823:Z1823"),Настройки!$B$11)),",","."),".",MID(1/2,2,1)),"")</f>
        <v/>
      </c>
      <c r="F1823">
        <f>TRIM(INDEX(INDIRECT("'Выгрузка'!A1823:Z1823"),Настройки!$B$12)&amp;"")</f>
        <v/>
      </c>
      <c r="G1823">
        <f>IF(F1823="",0,IF(TRIM(INDEX(INDIRECT("'Выгрузка'!A1823:Z1823"),Настройки!$B$13)&amp;"")="",1,IFERROR(--SUBSTITUTE(SUBSTITUTE(TRIM(INDEX(INDIRECT("'Выгрузка'!A1823:Z1823"),Настройки!$B$13)),",","."),".",MID(1/2,2,1)),"")))</f>
        <v/>
      </c>
      <c r="H1823">
        <f>IF(F1823="",0,IF(COUNTIF(Настройки!$B$17:$B$26,F1823)&gt;0,1,IF(COUNTIF(Настройки!$C$17:$C$26,F1823)&gt;0,2,IF(COUNTIF(Настройки!$D$17:$D$26,F1823)&gt;0,3,0))))</f>
        <v/>
      </c>
      <c r="I1823">
        <f>IF(AND(ISNUMBER(A1823),ISNUMBER(B1823)),A1823*1000+B1823,"")</f>
        <v/>
      </c>
      <c r="J1823">
        <f>IF(I1823="","",IF(COUNTIF(I$2:I1823,I1823)=1,MAX(J$1:J1822)+1,""))</f>
        <v/>
      </c>
    </row>
    <row r="1824">
      <c r="A1824">
        <f>IFERROR(--SUBSTITUTE(SUBSTITUTE(TRIM(INDEX(INDIRECT("'Выгрузка'!A1824:Z1824"),Настройки!$B$7)),",","."),".",MID(1/2,2,1)),"")</f>
        <v/>
      </c>
      <c r="B1824">
        <f>IFERROR(--SUBSTITUTE(SUBSTITUTE(TRIM(INDEX(INDIRECT("'Выгрузка'!A1824:Z1824"),Настройки!$B$9)),",","."),".",MID(1/2,2,1)),"")</f>
        <v/>
      </c>
      <c r="C1824">
        <f>TRIM(INDEX(INDIRECT("'Выгрузка'!A1824:Z1824"),Настройки!$B$8)&amp;"")</f>
        <v/>
      </c>
      <c r="D1824">
        <f>IFERROR(--SUBSTITUTE(SUBSTITUTE(TRIM(INDEX(INDIRECT("'Выгрузка'!A1824:Z1824"),Настройки!$B$10)),",","."),".",MID(1/2,2,1)),"")</f>
        <v/>
      </c>
      <c r="E1824">
        <f>IFERROR(--SUBSTITUTE(SUBSTITUTE(TRIM(INDEX(INDIRECT("'Выгрузка'!A1824:Z1824"),Настройки!$B$11)),",","."),".",MID(1/2,2,1)),"")</f>
        <v/>
      </c>
      <c r="F1824">
        <f>TRIM(INDEX(INDIRECT("'Выгрузка'!A1824:Z1824"),Настройки!$B$12)&amp;"")</f>
        <v/>
      </c>
      <c r="G1824">
        <f>IF(F1824="",0,IF(TRIM(INDEX(INDIRECT("'Выгрузка'!A1824:Z1824"),Настройки!$B$13)&amp;"")="",1,IFERROR(--SUBSTITUTE(SUBSTITUTE(TRIM(INDEX(INDIRECT("'Выгрузка'!A1824:Z1824"),Настройки!$B$13)),",","."),".",MID(1/2,2,1)),"")))</f>
        <v/>
      </c>
      <c r="H1824">
        <f>IF(F1824="",0,IF(COUNTIF(Настройки!$B$17:$B$26,F1824)&gt;0,1,IF(COUNTIF(Настройки!$C$17:$C$26,F1824)&gt;0,2,IF(COUNTIF(Настройки!$D$17:$D$26,F1824)&gt;0,3,0))))</f>
        <v/>
      </c>
      <c r="I1824">
        <f>IF(AND(ISNUMBER(A1824),ISNUMBER(B1824)),A1824*1000+B1824,"")</f>
        <v/>
      </c>
      <c r="J1824">
        <f>IF(I1824="","",IF(COUNTIF(I$2:I1824,I1824)=1,MAX(J$1:J1823)+1,""))</f>
        <v/>
      </c>
    </row>
    <row r="1825">
      <c r="A1825">
        <f>IFERROR(--SUBSTITUTE(SUBSTITUTE(TRIM(INDEX(INDIRECT("'Выгрузка'!A1825:Z1825"),Настройки!$B$7)),",","."),".",MID(1/2,2,1)),"")</f>
        <v/>
      </c>
      <c r="B1825">
        <f>IFERROR(--SUBSTITUTE(SUBSTITUTE(TRIM(INDEX(INDIRECT("'Выгрузка'!A1825:Z1825"),Настройки!$B$9)),",","."),".",MID(1/2,2,1)),"")</f>
        <v/>
      </c>
      <c r="C1825">
        <f>TRIM(INDEX(INDIRECT("'Выгрузка'!A1825:Z1825"),Настройки!$B$8)&amp;"")</f>
        <v/>
      </c>
      <c r="D1825">
        <f>IFERROR(--SUBSTITUTE(SUBSTITUTE(TRIM(INDEX(INDIRECT("'Выгрузка'!A1825:Z1825"),Настройки!$B$10)),",","."),".",MID(1/2,2,1)),"")</f>
        <v/>
      </c>
      <c r="E1825">
        <f>IFERROR(--SUBSTITUTE(SUBSTITUTE(TRIM(INDEX(INDIRECT("'Выгрузка'!A1825:Z1825"),Настройки!$B$11)),",","."),".",MID(1/2,2,1)),"")</f>
        <v/>
      </c>
      <c r="F1825">
        <f>TRIM(INDEX(INDIRECT("'Выгрузка'!A1825:Z1825"),Настройки!$B$12)&amp;"")</f>
        <v/>
      </c>
      <c r="G1825">
        <f>IF(F1825="",0,IF(TRIM(INDEX(INDIRECT("'Выгрузка'!A1825:Z1825"),Настройки!$B$13)&amp;"")="",1,IFERROR(--SUBSTITUTE(SUBSTITUTE(TRIM(INDEX(INDIRECT("'Выгрузка'!A1825:Z1825"),Настройки!$B$13)),",","."),".",MID(1/2,2,1)),"")))</f>
        <v/>
      </c>
      <c r="H1825">
        <f>IF(F1825="",0,IF(COUNTIF(Настройки!$B$17:$B$26,F1825)&gt;0,1,IF(COUNTIF(Настройки!$C$17:$C$26,F1825)&gt;0,2,IF(COUNTIF(Настройки!$D$17:$D$26,F1825)&gt;0,3,0))))</f>
        <v/>
      </c>
      <c r="I1825">
        <f>IF(AND(ISNUMBER(A1825),ISNUMBER(B1825)),A1825*1000+B1825,"")</f>
        <v/>
      </c>
      <c r="J1825">
        <f>IF(I1825="","",IF(COUNTIF(I$2:I1825,I1825)=1,MAX(J$1:J1824)+1,""))</f>
        <v/>
      </c>
    </row>
    <row r="1826">
      <c r="A1826">
        <f>IFERROR(--SUBSTITUTE(SUBSTITUTE(TRIM(INDEX(INDIRECT("'Выгрузка'!A1826:Z1826"),Настройки!$B$7)),",","."),".",MID(1/2,2,1)),"")</f>
        <v/>
      </c>
      <c r="B1826">
        <f>IFERROR(--SUBSTITUTE(SUBSTITUTE(TRIM(INDEX(INDIRECT("'Выгрузка'!A1826:Z1826"),Настройки!$B$9)),",","."),".",MID(1/2,2,1)),"")</f>
        <v/>
      </c>
      <c r="C1826">
        <f>TRIM(INDEX(INDIRECT("'Выгрузка'!A1826:Z1826"),Настройки!$B$8)&amp;"")</f>
        <v/>
      </c>
      <c r="D1826">
        <f>IFERROR(--SUBSTITUTE(SUBSTITUTE(TRIM(INDEX(INDIRECT("'Выгрузка'!A1826:Z1826"),Настройки!$B$10)),",","."),".",MID(1/2,2,1)),"")</f>
        <v/>
      </c>
      <c r="E1826">
        <f>IFERROR(--SUBSTITUTE(SUBSTITUTE(TRIM(INDEX(INDIRECT("'Выгрузка'!A1826:Z1826"),Настройки!$B$11)),",","."),".",MID(1/2,2,1)),"")</f>
        <v/>
      </c>
      <c r="F1826">
        <f>TRIM(INDEX(INDIRECT("'Выгрузка'!A1826:Z1826"),Настройки!$B$12)&amp;"")</f>
        <v/>
      </c>
      <c r="G1826">
        <f>IF(F1826="",0,IF(TRIM(INDEX(INDIRECT("'Выгрузка'!A1826:Z1826"),Настройки!$B$13)&amp;"")="",1,IFERROR(--SUBSTITUTE(SUBSTITUTE(TRIM(INDEX(INDIRECT("'Выгрузка'!A1826:Z1826"),Настройки!$B$13)),",","."),".",MID(1/2,2,1)),"")))</f>
        <v/>
      </c>
      <c r="H1826">
        <f>IF(F1826="",0,IF(COUNTIF(Настройки!$B$17:$B$26,F1826)&gt;0,1,IF(COUNTIF(Настройки!$C$17:$C$26,F1826)&gt;0,2,IF(COUNTIF(Настройки!$D$17:$D$26,F1826)&gt;0,3,0))))</f>
        <v/>
      </c>
      <c r="I1826">
        <f>IF(AND(ISNUMBER(A1826),ISNUMBER(B1826)),A1826*1000+B1826,"")</f>
        <v/>
      </c>
      <c r="J1826">
        <f>IF(I1826="","",IF(COUNTIF(I$2:I1826,I1826)=1,MAX(J$1:J1825)+1,""))</f>
        <v/>
      </c>
    </row>
    <row r="1827">
      <c r="A1827">
        <f>IFERROR(--SUBSTITUTE(SUBSTITUTE(TRIM(INDEX(INDIRECT("'Выгрузка'!A1827:Z1827"),Настройки!$B$7)),",","."),".",MID(1/2,2,1)),"")</f>
        <v/>
      </c>
      <c r="B1827">
        <f>IFERROR(--SUBSTITUTE(SUBSTITUTE(TRIM(INDEX(INDIRECT("'Выгрузка'!A1827:Z1827"),Настройки!$B$9)),",","."),".",MID(1/2,2,1)),"")</f>
        <v/>
      </c>
      <c r="C1827">
        <f>TRIM(INDEX(INDIRECT("'Выгрузка'!A1827:Z1827"),Настройки!$B$8)&amp;"")</f>
        <v/>
      </c>
      <c r="D1827">
        <f>IFERROR(--SUBSTITUTE(SUBSTITUTE(TRIM(INDEX(INDIRECT("'Выгрузка'!A1827:Z1827"),Настройки!$B$10)),",","."),".",MID(1/2,2,1)),"")</f>
        <v/>
      </c>
      <c r="E1827">
        <f>IFERROR(--SUBSTITUTE(SUBSTITUTE(TRIM(INDEX(INDIRECT("'Выгрузка'!A1827:Z1827"),Настройки!$B$11)),",","."),".",MID(1/2,2,1)),"")</f>
        <v/>
      </c>
      <c r="F1827">
        <f>TRIM(INDEX(INDIRECT("'Выгрузка'!A1827:Z1827"),Настройки!$B$12)&amp;"")</f>
        <v/>
      </c>
      <c r="G1827">
        <f>IF(F1827="",0,IF(TRIM(INDEX(INDIRECT("'Выгрузка'!A1827:Z1827"),Настройки!$B$13)&amp;"")="",1,IFERROR(--SUBSTITUTE(SUBSTITUTE(TRIM(INDEX(INDIRECT("'Выгрузка'!A1827:Z1827"),Настройки!$B$13)),",","."),".",MID(1/2,2,1)),"")))</f>
        <v/>
      </c>
      <c r="H1827">
        <f>IF(F1827="",0,IF(COUNTIF(Настройки!$B$17:$B$26,F1827)&gt;0,1,IF(COUNTIF(Настройки!$C$17:$C$26,F1827)&gt;0,2,IF(COUNTIF(Настройки!$D$17:$D$26,F1827)&gt;0,3,0))))</f>
        <v/>
      </c>
      <c r="I1827">
        <f>IF(AND(ISNUMBER(A1827),ISNUMBER(B1827)),A1827*1000+B1827,"")</f>
        <v/>
      </c>
      <c r="J1827">
        <f>IF(I1827="","",IF(COUNTIF(I$2:I1827,I1827)=1,MAX(J$1:J1826)+1,""))</f>
        <v/>
      </c>
    </row>
    <row r="1828">
      <c r="A1828">
        <f>IFERROR(--SUBSTITUTE(SUBSTITUTE(TRIM(INDEX(INDIRECT("'Выгрузка'!A1828:Z1828"),Настройки!$B$7)),",","."),".",MID(1/2,2,1)),"")</f>
        <v/>
      </c>
      <c r="B1828">
        <f>IFERROR(--SUBSTITUTE(SUBSTITUTE(TRIM(INDEX(INDIRECT("'Выгрузка'!A1828:Z1828"),Настройки!$B$9)),",","."),".",MID(1/2,2,1)),"")</f>
        <v/>
      </c>
      <c r="C1828">
        <f>TRIM(INDEX(INDIRECT("'Выгрузка'!A1828:Z1828"),Настройки!$B$8)&amp;"")</f>
        <v/>
      </c>
      <c r="D1828">
        <f>IFERROR(--SUBSTITUTE(SUBSTITUTE(TRIM(INDEX(INDIRECT("'Выгрузка'!A1828:Z1828"),Настройки!$B$10)),",","."),".",MID(1/2,2,1)),"")</f>
        <v/>
      </c>
      <c r="E1828">
        <f>IFERROR(--SUBSTITUTE(SUBSTITUTE(TRIM(INDEX(INDIRECT("'Выгрузка'!A1828:Z1828"),Настройки!$B$11)),",","."),".",MID(1/2,2,1)),"")</f>
        <v/>
      </c>
      <c r="F1828">
        <f>TRIM(INDEX(INDIRECT("'Выгрузка'!A1828:Z1828"),Настройки!$B$12)&amp;"")</f>
        <v/>
      </c>
      <c r="G1828">
        <f>IF(F1828="",0,IF(TRIM(INDEX(INDIRECT("'Выгрузка'!A1828:Z1828"),Настройки!$B$13)&amp;"")="",1,IFERROR(--SUBSTITUTE(SUBSTITUTE(TRIM(INDEX(INDIRECT("'Выгрузка'!A1828:Z1828"),Настройки!$B$13)),",","."),".",MID(1/2,2,1)),"")))</f>
        <v/>
      </c>
      <c r="H1828">
        <f>IF(F1828="",0,IF(COUNTIF(Настройки!$B$17:$B$26,F1828)&gt;0,1,IF(COUNTIF(Настройки!$C$17:$C$26,F1828)&gt;0,2,IF(COUNTIF(Настройки!$D$17:$D$26,F1828)&gt;0,3,0))))</f>
        <v/>
      </c>
      <c r="I1828">
        <f>IF(AND(ISNUMBER(A1828),ISNUMBER(B1828)),A1828*1000+B1828,"")</f>
        <v/>
      </c>
      <c r="J1828">
        <f>IF(I1828="","",IF(COUNTIF(I$2:I1828,I1828)=1,MAX(J$1:J1827)+1,""))</f>
        <v/>
      </c>
    </row>
    <row r="1829">
      <c r="A1829">
        <f>IFERROR(--SUBSTITUTE(SUBSTITUTE(TRIM(INDEX(INDIRECT("'Выгрузка'!A1829:Z1829"),Настройки!$B$7)),",","."),".",MID(1/2,2,1)),"")</f>
        <v/>
      </c>
      <c r="B1829">
        <f>IFERROR(--SUBSTITUTE(SUBSTITUTE(TRIM(INDEX(INDIRECT("'Выгрузка'!A1829:Z1829"),Настройки!$B$9)),",","."),".",MID(1/2,2,1)),"")</f>
        <v/>
      </c>
      <c r="C1829">
        <f>TRIM(INDEX(INDIRECT("'Выгрузка'!A1829:Z1829"),Настройки!$B$8)&amp;"")</f>
        <v/>
      </c>
      <c r="D1829">
        <f>IFERROR(--SUBSTITUTE(SUBSTITUTE(TRIM(INDEX(INDIRECT("'Выгрузка'!A1829:Z1829"),Настройки!$B$10)),",","."),".",MID(1/2,2,1)),"")</f>
        <v/>
      </c>
      <c r="E1829">
        <f>IFERROR(--SUBSTITUTE(SUBSTITUTE(TRIM(INDEX(INDIRECT("'Выгрузка'!A1829:Z1829"),Настройки!$B$11)),",","."),".",MID(1/2,2,1)),"")</f>
        <v/>
      </c>
      <c r="F1829">
        <f>TRIM(INDEX(INDIRECT("'Выгрузка'!A1829:Z1829"),Настройки!$B$12)&amp;"")</f>
        <v/>
      </c>
      <c r="G1829">
        <f>IF(F1829="",0,IF(TRIM(INDEX(INDIRECT("'Выгрузка'!A1829:Z1829"),Настройки!$B$13)&amp;"")="",1,IFERROR(--SUBSTITUTE(SUBSTITUTE(TRIM(INDEX(INDIRECT("'Выгрузка'!A1829:Z1829"),Настройки!$B$13)),",","."),".",MID(1/2,2,1)),"")))</f>
        <v/>
      </c>
      <c r="H1829">
        <f>IF(F1829="",0,IF(COUNTIF(Настройки!$B$17:$B$26,F1829)&gt;0,1,IF(COUNTIF(Настройки!$C$17:$C$26,F1829)&gt;0,2,IF(COUNTIF(Настройки!$D$17:$D$26,F1829)&gt;0,3,0))))</f>
        <v/>
      </c>
      <c r="I1829">
        <f>IF(AND(ISNUMBER(A1829),ISNUMBER(B1829)),A1829*1000+B1829,"")</f>
        <v/>
      </c>
      <c r="J1829">
        <f>IF(I1829="","",IF(COUNTIF(I$2:I1829,I1829)=1,MAX(J$1:J1828)+1,""))</f>
        <v/>
      </c>
    </row>
    <row r="1830">
      <c r="A1830">
        <f>IFERROR(--SUBSTITUTE(SUBSTITUTE(TRIM(INDEX(INDIRECT("'Выгрузка'!A1830:Z1830"),Настройки!$B$7)),",","."),".",MID(1/2,2,1)),"")</f>
        <v/>
      </c>
      <c r="B1830">
        <f>IFERROR(--SUBSTITUTE(SUBSTITUTE(TRIM(INDEX(INDIRECT("'Выгрузка'!A1830:Z1830"),Настройки!$B$9)),",","."),".",MID(1/2,2,1)),"")</f>
        <v/>
      </c>
      <c r="C1830">
        <f>TRIM(INDEX(INDIRECT("'Выгрузка'!A1830:Z1830"),Настройки!$B$8)&amp;"")</f>
        <v/>
      </c>
      <c r="D1830">
        <f>IFERROR(--SUBSTITUTE(SUBSTITUTE(TRIM(INDEX(INDIRECT("'Выгрузка'!A1830:Z1830"),Настройки!$B$10)),",","."),".",MID(1/2,2,1)),"")</f>
        <v/>
      </c>
      <c r="E1830">
        <f>IFERROR(--SUBSTITUTE(SUBSTITUTE(TRIM(INDEX(INDIRECT("'Выгрузка'!A1830:Z1830"),Настройки!$B$11)),",","."),".",MID(1/2,2,1)),"")</f>
        <v/>
      </c>
      <c r="F1830">
        <f>TRIM(INDEX(INDIRECT("'Выгрузка'!A1830:Z1830"),Настройки!$B$12)&amp;"")</f>
        <v/>
      </c>
      <c r="G1830">
        <f>IF(F1830="",0,IF(TRIM(INDEX(INDIRECT("'Выгрузка'!A1830:Z1830"),Настройки!$B$13)&amp;"")="",1,IFERROR(--SUBSTITUTE(SUBSTITUTE(TRIM(INDEX(INDIRECT("'Выгрузка'!A1830:Z1830"),Настройки!$B$13)),",","."),".",MID(1/2,2,1)),"")))</f>
        <v/>
      </c>
      <c r="H1830">
        <f>IF(F1830="",0,IF(COUNTIF(Настройки!$B$17:$B$26,F1830)&gt;0,1,IF(COUNTIF(Настройки!$C$17:$C$26,F1830)&gt;0,2,IF(COUNTIF(Настройки!$D$17:$D$26,F1830)&gt;0,3,0))))</f>
        <v/>
      </c>
      <c r="I1830">
        <f>IF(AND(ISNUMBER(A1830),ISNUMBER(B1830)),A1830*1000+B1830,"")</f>
        <v/>
      </c>
      <c r="J1830">
        <f>IF(I1830="","",IF(COUNTIF(I$2:I1830,I1830)=1,MAX(J$1:J1829)+1,""))</f>
        <v/>
      </c>
    </row>
    <row r="1831">
      <c r="A1831">
        <f>IFERROR(--SUBSTITUTE(SUBSTITUTE(TRIM(INDEX(INDIRECT("'Выгрузка'!A1831:Z1831"),Настройки!$B$7)),",","."),".",MID(1/2,2,1)),"")</f>
        <v/>
      </c>
      <c r="B1831">
        <f>IFERROR(--SUBSTITUTE(SUBSTITUTE(TRIM(INDEX(INDIRECT("'Выгрузка'!A1831:Z1831"),Настройки!$B$9)),",","."),".",MID(1/2,2,1)),"")</f>
        <v/>
      </c>
      <c r="C1831">
        <f>TRIM(INDEX(INDIRECT("'Выгрузка'!A1831:Z1831"),Настройки!$B$8)&amp;"")</f>
        <v/>
      </c>
      <c r="D1831">
        <f>IFERROR(--SUBSTITUTE(SUBSTITUTE(TRIM(INDEX(INDIRECT("'Выгрузка'!A1831:Z1831"),Настройки!$B$10)),",","."),".",MID(1/2,2,1)),"")</f>
        <v/>
      </c>
      <c r="E1831">
        <f>IFERROR(--SUBSTITUTE(SUBSTITUTE(TRIM(INDEX(INDIRECT("'Выгрузка'!A1831:Z1831"),Настройки!$B$11)),",","."),".",MID(1/2,2,1)),"")</f>
        <v/>
      </c>
      <c r="F1831">
        <f>TRIM(INDEX(INDIRECT("'Выгрузка'!A1831:Z1831"),Настройки!$B$12)&amp;"")</f>
        <v/>
      </c>
      <c r="G1831">
        <f>IF(F1831="",0,IF(TRIM(INDEX(INDIRECT("'Выгрузка'!A1831:Z1831"),Настройки!$B$13)&amp;"")="",1,IFERROR(--SUBSTITUTE(SUBSTITUTE(TRIM(INDEX(INDIRECT("'Выгрузка'!A1831:Z1831"),Настройки!$B$13)),",","."),".",MID(1/2,2,1)),"")))</f>
        <v/>
      </c>
      <c r="H1831">
        <f>IF(F1831="",0,IF(COUNTIF(Настройки!$B$17:$B$26,F1831)&gt;0,1,IF(COUNTIF(Настройки!$C$17:$C$26,F1831)&gt;0,2,IF(COUNTIF(Настройки!$D$17:$D$26,F1831)&gt;0,3,0))))</f>
        <v/>
      </c>
      <c r="I1831">
        <f>IF(AND(ISNUMBER(A1831),ISNUMBER(B1831)),A1831*1000+B1831,"")</f>
        <v/>
      </c>
      <c r="J1831">
        <f>IF(I1831="","",IF(COUNTIF(I$2:I1831,I1831)=1,MAX(J$1:J1830)+1,""))</f>
        <v/>
      </c>
    </row>
    <row r="1832">
      <c r="A1832">
        <f>IFERROR(--SUBSTITUTE(SUBSTITUTE(TRIM(INDEX(INDIRECT("'Выгрузка'!A1832:Z1832"),Настройки!$B$7)),",","."),".",MID(1/2,2,1)),"")</f>
        <v/>
      </c>
      <c r="B1832">
        <f>IFERROR(--SUBSTITUTE(SUBSTITUTE(TRIM(INDEX(INDIRECT("'Выгрузка'!A1832:Z1832"),Настройки!$B$9)),",","."),".",MID(1/2,2,1)),"")</f>
        <v/>
      </c>
      <c r="C1832">
        <f>TRIM(INDEX(INDIRECT("'Выгрузка'!A1832:Z1832"),Настройки!$B$8)&amp;"")</f>
        <v/>
      </c>
      <c r="D1832">
        <f>IFERROR(--SUBSTITUTE(SUBSTITUTE(TRIM(INDEX(INDIRECT("'Выгрузка'!A1832:Z1832"),Настройки!$B$10)),",","."),".",MID(1/2,2,1)),"")</f>
        <v/>
      </c>
      <c r="E1832">
        <f>IFERROR(--SUBSTITUTE(SUBSTITUTE(TRIM(INDEX(INDIRECT("'Выгрузка'!A1832:Z1832"),Настройки!$B$11)),",","."),".",MID(1/2,2,1)),"")</f>
        <v/>
      </c>
      <c r="F1832">
        <f>TRIM(INDEX(INDIRECT("'Выгрузка'!A1832:Z1832"),Настройки!$B$12)&amp;"")</f>
        <v/>
      </c>
      <c r="G1832">
        <f>IF(F1832="",0,IF(TRIM(INDEX(INDIRECT("'Выгрузка'!A1832:Z1832"),Настройки!$B$13)&amp;"")="",1,IFERROR(--SUBSTITUTE(SUBSTITUTE(TRIM(INDEX(INDIRECT("'Выгрузка'!A1832:Z1832"),Настройки!$B$13)),",","."),".",MID(1/2,2,1)),"")))</f>
        <v/>
      </c>
      <c r="H1832">
        <f>IF(F1832="",0,IF(COUNTIF(Настройки!$B$17:$B$26,F1832)&gt;0,1,IF(COUNTIF(Настройки!$C$17:$C$26,F1832)&gt;0,2,IF(COUNTIF(Настройки!$D$17:$D$26,F1832)&gt;0,3,0))))</f>
        <v/>
      </c>
      <c r="I1832">
        <f>IF(AND(ISNUMBER(A1832),ISNUMBER(B1832)),A1832*1000+B1832,"")</f>
        <v/>
      </c>
      <c r="J1832">
        <f>IF(I1832="","",IF(COUNTIF(I$2:I1832,I1832)=1,MAX(J$1:J1831)+1,""))</f>
        <v/>
      </c>
    </row>
    <row r="1833">
      <c r="A1833">
        <f>IFERROR(--SUBSTITUTE(SUBSTITUTE(TRIM(INDEX(INDIRECT("'Выгрузка'!A1833:Z1833"),Настройки!$B$7)),",","."),".",MID(1/2,2,1)),"")</f>
        <v/>
      </c>
      <c r="B1833">
        <f>IFERROR(--SUBSTITUTE(SUBSTITUTE(TRIM(INDEX(INDIRECT("'Выгрузка'!A1833:Z1833"),Настройки!$B$9)),",","."),".",MID(1/2,2,1)),"")</f>
        <v/>
      </c>
      <c r="C1833">
        <f>TRIM(INDEX(INDIRECT("'Выгрузка'!A1833:Z1833"),Настройки!$B$8)&amp;"")</f>
        <v/>
      </c>
      <c r="D1833">
        <f>IFERROR(--SUBSTITUTE(SUBSTITUTE(TRIM(INDEX(INDIRECT("'Выгрузка'!A1833:Z1833"),Настройки!$B$10)),",","."),".",MID(1/2,2,1)),"")</f>
        <v/>
      </c>
      <c r="E1833">
        <f>IFERROR(--SUBSTITUTE(SUBSTITUTE(TRIM(INDEX(INDIRECT("'Выгрузка'!A1833:Z1833"),Настройки!$B$11)),",","."),".",MID(1/2,2,1)),"")</f>
        <v/>
      </c>
      <c r="F1833">
        <f>TRIM(INDEX(INDIRECT("'Выгрузка'!A1833:Z1833"),Настройки!$B$12)&amp;"")</f>
        <v/>
      </c>
      <c r="G1833">
        <f>IF(F1833="",0,IF(TRIM(INDEX(INDIRECT("'Выгрузка'!A1833:Z1833"),Настройки!$B$13)&amp;"")="",1,IFERROR(--SUBSTITUTE(SUBSTITUTE(TRIM(INDEX(INDIRECT("'Выгрузка'!A1833:Z1833"),Настройки!$B$13)),",","."),".",MID(1/2,2,1)),"")))</f>
        <v/>
      </c>
      <c r="H1833">
        <f>IF(F1833="",0,IF(COUNTIF(Настройки!$B$17:$B$26,F1833)&gt;0,1,IF(COUNTIF(Настройки!$C$17:$C$26,F1833)&gt;0,2,IF(COUNTIF(Настройки!$D$17:$D$26,F1833)&gt;0,3,0))))</f>
        <v/>
      </c>
      <c r="I1833">
        <f>IF(AND(ISNUMBER(A1833),ISNUMBER(B1833)),A1833*1000+B1833,"")</f>
        <v/>
      </c>
      <c r="J1833">
        <f>IF(I1833="","",IF(COUNTIF(I$2:I1833,I1833)=1,MAX(J$1:J1832)+1,""))</f>
        <v/>
      </c>
    </row>
    <row r="1834">
      <c r="A1834">
        <f>IFERROR(--SUBSTITUTE(SUBSTITUTE(TRIM(INDEX(INDIRECT("'Выгрузка'!A1834:Z1834"),Настройки!$B$7)),",","."),".",MID(1/2,2,1)),"")</f>
        <v/>
      </c>
      <c r="B1834">
        <f>IFERROR(--SUBSTITUTE(SUBSTITUTE(TRIM(INDEX(INDIRECT("'Выгрузка'!A1834:Z1834"),Настройки!$B$9)),",","."),".",MID(1/2,2,1)),"")</f>
        <v/>
      </c>
      <c r="C1834">
        <f>TRIM(INDEX(INDIRECT("'Выгрузка'!A1834:Z1834"),Настройки!$B$8)&amp;"")</f>
        <v/>
      </c>
      <c r="D1834">
        <f>IFERROR(--SUBSTITUTE(SUBSTITUTE(TRIM(INDEX(INDIRECT("'Выгрузка'!A1834:Z1834"),Настройки!$B$10)),",","."),".",MID(1/2,2,1)),"")</f>
        <v/>
      </c>
      <c r="E1834">
        <f>IFERROR(--SUBSTITUTE(SUBSTITUTE(TRIM(INDEX(INDIRECT("'Выгрузка'!A1834:Z1834"),Настройки!$B$11)),",","."),".",MID(1/2,2,1)),"")</f>
        <v/>
      </c>
      <c r="F1834">
        <f>TRIM(INDEX(INDIRECT("'Выгрузка'!A1834:Z1834"),Настройки!$B$12)&amp;"")</f>
        <v/>
      </c>
      <c r="G1834">
        <f>IF(F1834="",0,IF(TRIM(INDEX(INDIRECT("'Выгрузка'!A1834:Z1834"),Настройки!$B$13)&amp;"")="",1,IFERROR(--SUBSTITUTE(SUBSTITUTE(TRIM(INDEX(INDIRECT("'Выгрузка'!A1834:Z1834"),Настройки!$B$13)),",","."),".",MID(1/2,2,1)),"")))</f>
        <v/>
      </c>
      <c r="H1834">
        <f>IF(F1834="",0,IF(COUNTIF(Настройки!$B$17:$B$26,F1834)&gt;0,1,IF(COUNTIF(Настройки!$C$17:$C$26,F1834)&gt;0,2,IF(COUNTIF(Настройки!$D$17:$D$26,F1834)&gt;0,3,0))))</f>
        <v/>
      </c>
      <c r="I1834">
        <f>IF(AND(ISNUMBER(A1834),ISNUMBER(B1834)),A1834*1000+B1834,"")</f>
        <v/>
      </c>
      <c r="J1834">
        <f>IF(I1834="","",IF(COUNTIF(I$2:I1834,I1834)=1,MAX(J$1:J1833)+1,""))</f>
        <v/>
      </c>
    </row>
    <row r="1835">
      <c r="A1835">
        <f>IFERROR(--SUBSTITUTE(SUBSTITUTE(TRIM(INDEX(INDIRECT("'Выгрузка'!A1835:Z1835"),Настройки!$B$7)),",","."),".",MID(1/2,2,1)),"")</f>
        <v/>
      </c>
      <c r="B1835">
        <f>IFERROR(--SUBSTITUTE(SUBSTITUTE(TRIM(INDEX(INDIRECT("'Выгрузка'!A1835:Z1835"),Настройки!$B$9)),",","."),".",MID(1/2,2,1)),"")</f>
        <v/>
      </c>
      <c r="C1835">
        <f>TRIM(INDEX(INDIRECT("'Выгрузка'!A1835:Z1835"),Настройки!$B$8)&amp;"")</f>
        <v/>
      </c>
      <c r="D1835">
        <f>IFERROR(--SUBSTITUTE(SUBSTITUTE(TRIM(INDEX(INDIRECT("'Выгрузка'!A1835:Z1835"),Настройки!$B$10)),",","."),".",MID(1/2,2,1)),"")</f>
        <v/>
      </c>
      <c r="E1835">
        <f>IFERROR(--SUBSTITUTE(SUBSTITUTE(TRIM(INDEX(INDIRECT("'Выгрузка'!A1835:Z1835"),Настройки!$B$11)),",","."),".",MID(1/2,2,1)),"")</f>
        <v/>
      </c>
      <c r="F1835">
        <f>TRIM(INDEX(INDIRECT("'Выгрузка'!A1835:Z1835"),Настройки!$B$12)&amp;"")</f>
        <v/>
      </c>
      <c r="G1835">
        <f>IF(F1835="",0,IF(TRIM(INDEX(INDIRECT("'Выгрузка'!A1835:Z1835"),Настройки!$B$13)&amp;"")="",1,IFERROR(--SUBSTITUTE(SUBSTITUTE(TRIM(INDEX(INDIRECT("'Выгрузка'!A1835:Z1835"),Настройки!$B$13)),",","."),".",MID(1/2,2,1)),"")))</f>
        <v/>
      </c>
      <c r="H1835">
        <f>IF(F1835="",0,IF(COUNTIF(Настройки!$B$17:$B$26,F1835)&gt;0,1,IF(COUNTIF(Настройки!$C$17:$C$26,F1835)&gt;0,2,IF(COUNTIF(Настройки!$D$17:$D$26,F1835)&gt;0,3,0))))</f>
        <v/>
      </c>
      <c r="I1835">
        <f>IF(AND(ISNUMBER(A1835),ISNUMBER(B1835)),A1835*1000+B1835,"")</f>
        <v/>
      </c>
      <c r="J1835">
        <f>IF(I1835="","",IF(COUNTIF(I$2:I1835,I1835)=1,MAX(J$1:J1834)+1,""))</f>
        <v/>
      </c>
    </row>
    <row r="1836">
      <c r="A1836">
        <f>IFERROR(--SUBSTITUTE(SUBSTITUTE(TRIM(INDEX(INDIRECT("'Выгрузка'!A1836:Z1836"),Настройки!$B$7)),",","."),".",MID(1/2,2,1)),"")</f>
        <v/>
      </c>
      <c r="B1836">
        <f>IFERROR(--SUBSTITUTE(SUBSTITUTE(TRIM(INDEX(INDIRECT("'Выгрузка'!A1836:Z1836"),Настройки!$B$9)),",","."),".",MID(1/2,2,1)),"")</f>
        <v/>
      </c>
      <c r="C1836">
        <f>TRIM(INDEX(INDIRECT("'Выгрузка'!A1836:Z1836"),Настройки!$B$8)&amp;"")</f>
        <v/>
      </c>
      <c r="D1836">
        <f>IFERROR(--SUBSTITUTE(SUBSTITUTE(TRIM(INDEX(INDIRECT("'Выгрузка'!A1836:Z1836"),Настройки!$B$10)),",","."),".",MID(1/2,2,1)),"")</f>
        <v/>
      </c>
      <c r="E1836">
        <f>IFERROR(--SUBSTITUTE(SUBSTITUTE(TRIM(INDEX(INDIRECT("'Выгрузка'!A1836:Z1836"),Настройки!$B$11)),",","."),".",MID(1/2,2,1)),"")</f>
        <v/>
      </c>
      <c r="F1836">
        <f>TRIM(INDEX(INDIRECT("'Выгрузка'!A1836:Z1836"),Настройки!$B$12)&amp;"")</f>
        <v/>
      </c>
      <c r="G1836">
        <f>IF(F1836="",0,IF(TRIM(INDEX(INDIRECT("'Выгрузка'!A1836:Z1836"),Настройки!$B$13)&amp;"")="",1,IFERROR(--SUBSTITUTE(SUBSTITUTE(TRIM(INDEX(INDIRECT("'Выгрузка'!A1836:Z1836"),Настройки!$B$13)),",","."),".",MID(1/2,2,1)),"")))</f>
        <v/>
      </c>
      <c r="H1836">
        <f>IF(F1836="",0,IF(COUNTIF(Настройки!$B$17:$B$26,F1836)&gt;0,1,IF(COUNTIF(Настройки!$C$17:$C$26,F1836)&gt;0,2,IF(COUNTIF(Настройки!$D$17:$D$26,F1836)&gt;0,3,0))))</f>
        <v/>
      </c>
      <c r="I1836">
        <f>IF(AND(ISNUMBER(A1836),ISNUMBER(B1836)),A1836*1000+B1836,"")</f>
        <v/>
      </c>
      <c r="J1836">
        <f>IF(I1836="","",IF(COUNTIF(I$2:I1836,I1836)=1,MAX(J$1:J1835)+1,""))</f>
        <v/>
      </c>
    </row>
    <row r="1837">
      <c r="A1837">
        <f>IFERROR(--SUBSTITUTE(SUBSTITUTE(TRIM(INDEX(INDIRECT("'Выгрузка'!A1837:Z1837"),Настройки!$B$7)),",","."),".",MID(1/2,2,1)),"")</f>
        <v/>
      </c>
      <c r="B1837">
        <f>IFERROR(--SUBSTITUTE(SUBSTITUTE(TRIM(INDEX(INDIRECT("'Выгрузка'!A1837:Z1837"),Настройки!$B$9)),",","."),".",MID(1/2,2,1)),"")</f>
        <v/>
      </c>
      <c r="C1837">
        <f>TRIM(INDEX(INDIRECT("'Выгрузка'!A1837:Z1837"),Настройки!$B$8)&amp;"")</f>
        <v/>
      </c>
      <c r="D1837">
        <f>IFERROR(--SUBSTITUTE(SUBSTITUTE(TRIM(INDEX(INDIRECT("'Выгрузка'!A1837:Z1837"),Настройки!$B$10)),",","."),".",MID(1/2,2,1)),"")</f>
        <v/>
      </c>
      <c r="E1837">
        <f>IFERROR(--SUBSTITUTE(SUBSTITUTE(TRIM(INDEX(INDIRECT("'Выгрузка'!A1837:Z1837"),Настройки!$B$11)),",","."),".",MID(1/2,2,1)),"")</f>
        <v/>
      </c>
      <c r="F1837">
        <f>TRIM(INDEX(INDIRECT("'Выгрузка'!A1837:Z1837"),Настройки!$B$12)&amp;"")</f>
        <v/>
      </c>
      <c r="G1837">
        <f>IF(F1837="",0,IF(TRIM(INDEX(INDIRECT("'Выгрузка'!A1837:Z1837"),Настройки!$B$13)&amp;"")="",1,IFERROR(--SUBSTITUTE(SUBSTITUTE(TRIM(INDEX(INDIRECT("'Выгрузка'!A1837:Z1837"),Настройки!$B$13)),",","."),".",MID(1/2,2,1)),"")))</f>
        <v/>
      </c>
      <c r="H1837">
        <f>IF(F1837="",0,IF(COUNTIF(Настройки!$B$17:$B$26,F1837)&gt;0,1,IF(COUNTIF(Настройки!$C$17:$C$26,F1837)&gt;0,2,IF(COUNTIF(Настройки!$D$17:$D$26,F1837)&gt;0,3,0))))</f>
        <v/>
      </c>
      <c r="I1837">
        <f>IF(AND(ISNUMBER(A1837),ISNUMBER(B1837)),A1837*1000+B1837,"")</f>
        <v/>
      </c>
      <c r="J1837">
        <f>IF(I1837="","",IF(COUNTIF(I$2:I1837,I1837)=1,MAX(J$1:J1836)+1,""))</f>
        <v/>
      </c>
    </row>
    <row r="1838">
      <c r="A1838">
        <f>IFERROR(--SUBSTITUTE(SUBSTITUTE(TRIM(INDEX(INDIRECT("'Выгрузка'!A1838:Z1838"),Настройки!$B$7)),",","."),".",MID(1/2,2,1)),"")</f>
        <v/>
      </c>
      <c r="B1838">
        <f>IFERROR(--SUBSTITUTE(SUBSTITUTE(TRIM(INDEX(INDIRECT("'Выгрузка'!A1838:Z1838"),Настройки!$B$9)),",","."),".",MID(1/2,2,1)),"")</f>
        <v/>
      </c>
      <c r="C1838">
        <f>TRIM(INDEX(INDIRECT("'Выгрузка'!A1838:Z1838"),Настройки!$B$8)&amp;"")</f>
        <v/>
      </c>
      <c r="D1838">
        <f>IFERROR(--SUBSTITUTE(SUBSTITUTE(TRIM(INDEX(INDIRECT("'Выгрузка'!A1838:Z1838"),Настройки!$B$10)),",","."),".",MID(1/2,2,1)),"")</f>
        <v/>
      </c>
      <c r="E1838">
        <f>IFERROR(--SUBSTITUTE(SUBSTITUTE(TRIM(INDEX(INDIRECT("'Выгрузка'!A1838:Z1838"),Настройки!$B$11)),",","."),".",MID(1/2,2,1)),"")</f>
        <v/>
      </c>
      <c r="F1838">
        <f>TRIM(INDEX(INDIRECT("'Выгрузка'!A1838:Z1838"),Настройки!$B$12)&amp;"")</f>
        <v/>
      </c>
      <c r="G1838">
        <f>IF(F1838="",0,IF(TRIM(INDEX(INDIRECT("'Выгрузка'!A1838:Z1838"),Настройки!$B$13)&amp;"")="",1,IFERROR(--SUBSTITUTE(SUBSTITUTE(TRIM(INDEX(INDIRECT("'Выгрузка'!A1838:Z1838"),Настройки!$B$13)),",","."),".",MID(1/2,2,1)),"")))</f>
        <v/>
      </c>
      <c r="H1838">
        <f>IF(F1838="",0,IF(COUNTIF(Настройки!$B$17:$B$26,F1838)&gt;0,1,IF(COUNTIF(Настройки!$C$17:$C$26,F1838)&gt;0,2,IF(COUNTIF(Настройки!$D$17:$D$26,F1838)&gt;0,3,0))))</f>
        <v/>
      </c>
      <c r="I1838">
        <f>IF(AND(ISNUMBER(A1838),ISNUMBER(B1838)),A1838*1000+B1838,"")</f>
        <v/>
      </c>
      <c r="J1838">
        <f>IF(I1838="","",IF(COUNTIF(I$2:I1838,I1838)=1,MAX(J$1:J1837)+1,""))</f>
        <v/>
      </c>
    </row>
    <row r="1839">
      <c r="A1839">
        <f>IFERROR(--SUBSTITUTE(SUBSTITUTE(TRIM(INDEX(INDIRECT("'Выгрузка'!A1839:Z1839"),Настройки!$B$7)),",","."),".",MID(1/2,2,1)),"")</f>
        <v/>
      </c>
      <c r="B1839">
        <f>IFERROR(--SUBSTITUTE(SUBSTITUTE(TRIM(INDEX(INDIRECT("'Выгрузка'!A1839:Z1839"),Настройки!$B$9)),",","."),".",MID(1/2,2,1)),"")</f>
        <v/>
      </c>
      <c r="C1839">
        <f>TRIM(INDEX(INDIRECT("'Выгрузка'!A1839:Z1839"),Настройки!$B$8)&amp;"")</f>
        <v/>
      </c>
      <c r="D1839">
        <f>IFERROR(--SUBSTITUTE(SUBSTITUTE(TRIM(INDEX(INDIRECT("'Выгрузка'!A1839:Z1839"),Настройки!$B$10)),",","."),".",MID(1/2,2,1)),"")</f>
        <v/>
      </c>
      <c r="E1839">
        <f>IFERROR(--SUBSTITUTE(SUBSTITUTE(TRIM(INDEX(INDIRECT("'Выгрузка'!A1839:Z1839"),Настройки!$B$11)),",","."),".",MID(1/2,2,1)),"")</f>
        <v/>
      </c>
      <c r="F1839">
        <f>TRIM(INDEX(INDIRECT("'Выгрузка'!A1839:Z1839"),Настройки!$B$12)&amp;"")</f>
        <v/>
      </c>
      <c r="G1839">
        <f>IF(F1839="",0,IF(TRIM(INDEX(INDIRECT("'Выгрузка'!A1839:Z1839"),Настройки!$B$13)&amp;"")="",1,IFERROR(--SUBSTITUTE(SUBSTITUTE(TRIM(INDEX(INDIRECT("'Выгрузка'!A1839:Z1839"),Настройки!$B$13)),",","."),".",MID(1/2,2,1)),"")))</f>
        <v/>
      </c>
      <c r="H1839">
        <f>IF(F1839="",0,IF(COUNTIF(Настройки!$B$17:$B$26,F1839)&gt;0,1,IF(COUNTIF(Настройки!$C$17:$C$26,F1839)&gt;0,2,IF(COUNTIF(Настройки!$D$17:$D$26,F1839)&gt;0,3,0))))</f>
        <v/>
      </c>
      <c r="I1839">
        <f>IF(AND(ISNUMBER(A1839),ISNUMBER(B1839)),A1839*1000+B1839,"")</f>
        <v/>
      </c>
      <c r="J1839">
        <f>IF(I1839="","",IF(COUNTIF(I$2:I1839,I1839)=1,MAX(J$1:J1838)+1,""))</f>
        <v/>
      </c>
    </row>
    <row r="1840">
      <c r="A1840">
        <f>IFERROR(--SUBSTITUTE(SUBSTITUTE(TRIM(INDEX(INDIRECT("'Выгрузка'!A1840:Z1840"),Настройки!$B$7)),",","."),".",MID(1/2,2,1)),"")</f>
        <v/>
      </c>
      <c r="B1840">
        <f>IFERROR(--SUBSTITUTE(SUBSTITUTE(TRIM(INDEX(INDIRECT("'Выгрузка'!A1840:Z1840"),Настройки!$B$9)),",","."),".",MID(1/2,2,1)),"")</f>
        <v/>
      </c>
      <c r="C1840">
        <f>TRIM(INDEX(INDIRECT("'Выгрузка'!A1840:Z1840"),Настройки!$B$8)&amp;"")</f>
        <v/>
      </c>
      <c r="D1840">
        <f>IFERROR(--SUBSTITUTE(SUBSTITUTE(TRIM(INDEX(INDIRECT("'Выгрузка'!A1840:Z1840"),Настройки!$B$10)),",","."),".",MID(1/2,2,1)),"")</f>
        <v/>
      </c>
      <c r="E1840">
        <f>IFERROR(--SUBSTITUTE(SUBSTITUTE(TRIM(INDEX(INDIRECT("'Выгрузка'!A1840:Z1840"),Настройки!$B$11)),",","."),".",MID(1/2,2,1)),"")</f>
        <v/>
      </c>
      <c r="F1840">
        <f>TRIM(INDEX(INDIRECT("'Выгрузка'!A1840:Z1840"),Настройки!$B$12)&amp;"")</f>
        <v/>
      </c>
      <c r="G1840">
        <f>IF(F1840="",0,IF(TRIM(INDEX(INDIRECT("'Выгрузка'!A1840:Z1840"),Настройки!$B$13)&amp;"")="",1,IFERROR(--SUBSTITUTE(SUBSTITUTE(TRIM(INDEX(INDIRECT("'Выгрузка'!A1840:Z1840"),Настройки!$B$13)),",","."),".",MID(1/2,2,1)),"")))</f>
        <v/>
      </c>
      <c r="H1840">
        <f>IF(F1840="",0,IF(COUNTIF(Настройки!$B$17:$B$26,F1840)&gt;0,1,IF(COUNTIF(Настройки!$C$17:$C$26,F1840)&gt;0,2,IF(COUNTIF(Настройки!$D$17:$D$26,F1840)&gt;0,3,0))))</f>
        <v/>
      </c>
      <c r="I1840">
        <f>IF(AND(ISNUMBER(A1840),ISNUMBER(B1840)),A1840*1000+B1840,"")</f>
        <v/>
      </c>
      <c r="J1840">
        <f>IF(I1840="","",IF(COUNTIF(I$2:I1840,I1840)=1,MAX(J$1:J1839)+1,""))</f>
        <v/>
      </c>
    </row>
    <row r="1841">
      <c r="A1841">
        <f>IFERROR(--SUBSTITUTE(SUBSTITUTE(TRIM(INDEX(INDIRECT("'Выгрузка'!A1841:Z1841"),Настройки!$B$7)),",","."),".",MID(1/2,2,1)),"")</f>
        <v/>
      </c>
      <c r="B1841">
        <f>IFERROR(--SUBSTITUTE(SUBSTITUTE(TRIM(INDEX(INDIRECT("'Выгрузка'!A1841:Z1841"),Настройки!$B$9)),",","."),".",MID(1/2,2,1)),"")</f>
        <v/>
      </c>
      <c r="C1841">
        <f>TRIM(INDEX(INDIRECT("'Выгрузка'!A1841:Z1841"),Настройки!$B$8)&amp;"")</f>
        <v/>
      </c>
      <c r="D1841">
        <f>IFERROR(--SUBSTITUTE(SUBSTITUTE(TRIM(INDEX(INDIRECT("'Выгрузка'!A1841:Z1841"),Настройки!$B$10)),",","."),".",MID(1/2,2,1)),"")</f>
        <v/>
      </c>
      <c r="E1841">
        <f>IFERROR(--SUBSTITUTE(SUBSTITUTE(TRIM(INDEX(INDIRECT("'Выгрузка'!A1841:Z1841"),Настройки!$B$11)),",","."),".",MID(1/2,2,1)),"")</f>
        <v/>
      </c>
      <c r="F1841">
        <f>TRIM(INDEX(INDIRECT("'Выгрузка'!A1841:Z1841"),Настройки!$B$12)&amp;"")</f>
        <v/>
      </c>
      <c r="G1841">
        <f>IF(F1841="",0,IF(TRIM(INDEX(INDIRECT("'Выгрузка'!A1841:Z1841"),Настройки!$B$13)&amp;"")="",1,IFERROR(--SUBSTITUTE(SUBSTITUTE(TRIM(INDEX(INDIRECT("'Выгрузка'!A1841:Z1841"),Настройки!$B$13)),",","."),".",MID(1/2,2,1)),"")))</f>
        <v/>
      </c>
      <c r="H1841">
        <f>IF(F1841="",0,IF(COUNTIF(Настройки!$B$17:$B$26,F1841)&gt;0,1,IF(COUNTIF(Настройки!$C$17:$C$26,F1841)&gt;0,2,IF(COUNTIF(Настройки!$D$17:$D$26,F1841)&gt;0,3,0))))</f>
        <v/>
      </c>
      <c r="I1841">
        <f>IF(AND(ISNUMBER(A1841),ISNUMBER(B1841)),A1841*1000+B1841,"")</f>
        <v/>
      </c>
      <c r="J1841">
        <f>IF(I1841="","",IF(COUNTIF(I$2:I1841,I1841)=1,MAX(J$1:J1840)+1,""))</f>
        <v/>
      </c>
    </row>
    <row r="1842">
      <c r="A1842">
        <f>IFERROR(--SUBSTITUTE(SUBSTITUTE(TRIM(INDEX(INDIRECT("'Выгрузка'!A1842:Z1842"),Настройки!$B$7)),",","."),".",MID(1/2,2,1)),"")</f>
        <v/>
      </c>
      <c r="B1842">
        <f>IFERROR(--SUBSTITUTE(SUBSTITUTE(TRIM(INDEX(INDIRECT("'Выгрузка'!A1842:Z1842"),Настройки!$B$9)),",","."),".",MID(1/2,2,1)),"")</f>
        <v/>
      </c>
      <c r="C1842">
        <f>TRIM(INDEX(INDIRECT("'Выгрузка'!A1842:Z1842"),Настройки!$B$8)&amp;"")</f>
        <v/>
      </c>
      <c r="D1842">
        <f>IFERROR(--SUBSTITUTE(SUBSTITUTE(TRIM(INDEX(INDIRECT("'Выгрузка'!A1842:Z1842"),Настройки!$B$10)),",","."),".",MID(1/2,2,1)),"")</f>
        <v/>
      </c>
      <c r="E1842">
        <f>IFERROR(--SUBSTITUTE(SUBSTITUTE(TRIM(INDEX(INDIRECT("'Выгрузка'!A1842:Z1842"),Настройки!$B$11)),",","."),".",MID(1/2,2,1)),"")</f>
        <v/>
      </c>
      <c r="F1842">
        <f>TRIM(INDEX(INDIRECT("'Выгрузка'!A1842:Z1842"),Настройки!$B$12)&amp;"")</f>
        <v/>
      </c>
      <c r="G1842">
        <f>IF(F1842="",0,IF(TRIM(INDEX(INDIRECT("'Выгрузка'!A1842:Z1842"),Настройки!$B$13)&amp;"")="",1,IFERROR(--SUBSTITUTE(SUBSTITUTE(TRIM(INDEX(INDIRECT("'Выгрузка'!A1842:Z1842"),Настройки!$B$13)),",","."),".",MID(1/2,2,1)),"")))</f>
        <v/>
      </c>
      <c r="H1842">
        <f>IF(F1842="",0,IF(COUNTIF(Настройки!$B$17:$B$26,F1842)&gt;0,1,IF(COUNTIF(Настройки!$C$17:$C$26,F1842)&gt;0,2,IF(COUNTIF(Настройки!$D$17:$D$26,F1842)&gt;0,3,0))))</f>
        <v/>
      </c>
      <c r="I1842">
        <f>IF(AND(ISNUMBER(A1842),ISNUMBER(B1842)),A1842*1000+B1842,"")</f>
        <v/>
      </c>
      <c r="J1842">
        <f>IF(I1842="","",IF(COUNTIF(I$2:I1842,I1842)=1,MAX(J$1:J1841)+1,""))</f>
        <v/>
      </c>
    </row>
    <row r="1843">
      <c r="A1843">
        <f>IFERROR(--SUBSTITUTE(SUBSTITUTE(TRIM(INDEX(INDIRECT("'Выгрузка'!A1843:Z1843"),Настройки!$B$7)),",","."),".",MID(1/2,2,1)),"")</f>
        <v/>
      </c>
      <c r="B1843">
        <f>IFERROR(--SUBSTITUTE(SUBSTITUTE(TRIM(INDEX(INDIRECT("'Выгрузка'!A1843:Z1843"),Настройки!$B$9)),",","."),".",MID(1/2,2,1)),"")</f>
        <v/>
      </c>
      <c r="C1843">
        <f>TRIM(INDEX(INDIRECT("'Выгрузка'!A1843:Z1843"),Настройки!$B$8)&amp;"")</f>
        <v/>
      </c>
      <c r="D1843">
        <f>IFERROR(--SUBSTITUTE(SUBSTITUTE(TRIM(INDEX(INDIRECT("'Выгрузка'!A1843:Z1843"),Настройки!$B$10)),",","."),".",MID(1/2,2,1)),"")</f>
        <v/>
      </c>
      <c r="E1843">
        <f>IFERROR(--SUBSTITUTE(SUBSTITUTE(TRIM(INDEX(INDIRECT("'Выгрузка'!A1843:Z1843"),Настройки!$B$11)),",","."),".",MID(1/2,2,1)),"")</f>
        <v/>
      </c>
      <c r="F1843">
        <f>TRIM(INDEX(INDIRECT("'Выгрузка'!A1843:Z1843"),Настройки!$B$12)&amp;"")</f>
        <v/>
      </c>
      <c r="G1843">
        <f>IF(F1843="",0,IF(TRIM(INDEX(INDIRECT("'Выгрузка'!A1843:Z1843"),Настройки!$B$13)&amp;"")="",1,IFERROR(--SUBSTITUTE(SUBSTITUTE(TRIM(INDEX(INDIRECT("'Выгрузка'!A1843:Z1843"),Настройки!$B$13)),",","."),".",MID(1/2,2,1)),"")))</f>
        <v/>
      </c>
      <c r="H1843">
        <f>IF(F1843="",0,IF(COUNTIF(Настройки!$B$17:$B$26,F1843)&gt;0,1,IF(COUNTIF(Настройки!$C$17:$C$26,F1843)&gt;0,2,IF(COUNTIF(Настройки!$D$17:$D$26,F1843)&gt;0,3,0))))</f>
        <v/>
      </c>
      <c r="I1843">
        <f>IF(AND(ISNUMBER(A1843),ISNUMBER(B1843)),A1843*1000+B1843,"")</f>
        <v/>
      </c>
      <c r="J1843">
        <f>IF(I1843="","",IF(COUNTIF(I$2:I1843,I1843)=1,MAX(J$1:J1842)+1,""))</f>
        <v/>
      </c>
    </row>
    <row r="1844">
      <c r="A1844">
        <f>IFERROR(--SUBSTITUTE(SUBSTITUTE(TRIM(INDEX(INDIRECT("'Выгрузка'!A1844:Z1844"),Настройки!$B$7)),",","."),".",MID(1/2,2,1)),"")</f>
        <v/>
      </c>
      <c r="B1844">
        <f>IFERROR(--SUBSTITUTE(SUBSTITUTE(TRIM(INDEX(INDIRECT("'Выгрузка'!A1844:Z1844"),Настройки!$B$9)),",","."),".",MID(1/2,2,1)),"")</f>
        <v/>
      </c>
      <c r="C1844">
        <f>TRIM(INDEX(INDIRECT("'Выгрузка'!A1844:Z1844"),Настройки!$B$8)&amp;"")</f>
        <v/>
      </c>
      <c r="D1844">
        <f>IFERROR(--SUBSTITUTE(SUBSTITUTE(TRIM(INDEX(INDIRECT("'Выгрузка'!A1844:Z1844"),Настройки!$B$10)),",","."),".",MID(1/2,2,1)),"")</f>
        <v/>
      </c>
      <c r="E1844">
        <f>IFERROR(--SUBSTITUTE(SUBSTITUTE(TRIM(INDEX(INDIRECT("'Выгрузка'!A1844:Z1844"),Настройки!$B$11)),",","."),".",MID(1/2,2,1)),"")</f>
        <v/>
      </c>
      <c r="F1844">
        <f>TRIM(INDEX(INDIRECT("'Выгрузка'!A1844:Z1844"),Настройки!$B$12)&amp;"")</f>
        <v/>
      </c>
      <c r="G1844">
        <f>IF(F1844="",0,IF(TRIM(INDEX(INDIRECT("'Выгрузка'!A1844:Z1844"),Настройки!$B$13)&amp;"")="",1,IFERROR(--SUBSTITUTE(SUBSTITUTE(TRIM(INDEX(INDIRECT("'Выгрузка'!A1844:Z1844"),Настройки!$B$13)),",","."),".",MID(1/2,2,1)),"")))</f>
        <v/>
      </c>
      <c r="H1844">
        <f>IF(F1844="",0,IF(COUNTIF(Настройки!$B$17:$B$26,F1844)&gt;0,1,IF(COUNTIF(Настройки!$C$17:$C$26,F1844)&gt;0,2,IF(COUNTIF(Настройки!$D$17:$D$26,F1844)&gt;0,3,0))))</f>
        <v/>
      </c>
      <c r="I1844">
        <f>IF(AND(ISNUMBER(A1844),ISNUMBER(B1844)),A1844*1000+B1844,"")</f>
        <v/>
      </c>
      <c r="J1844">
        <f>IF(I1844="","",IF(COUNTIF(I$2:I1844,I1844)=1,MAX(J$1:J1843)+1,""))</f>
        <v/>
      </c>
    </row>
    <row r="1845">
      <c r="A1845">
        <f>IFERROR(--SUBSTITUTE(SUBSTITUTE(TRIM(INDEX(INDIRECT("'Выгрузка'!A1845:Z1845"),Настройки!$B$7)),",","."),".",MID(1/2,2,1)),"")</f>
        <v/>
      </c>
      <c r="B1845">
        <f>IFERROR(--SUBSTITUTE(SUBSTITUTE(TRIM(INDEX(INDIRECT("'Выгрузка'!A1845:Z1845"),Настройки!$B$9)),",","."),".",MID(1/2,2,1)),"")</f>
        <v/>
      </c>
      <c r="C1845">
        <f>TRIM(INDEX(INDIRECT("'Выгрузка'!A1845:Z1845"),Настройки!$B$8)&amp;"")</f>
        <v/>
      </c>
      <c r="D1845">
        <f>IFERROR(--SUBSTITUTE(SUBSTITUTE(TRIM(INDEX(INDIRECT("'Выгрузка'!A1845:Z1845"),Настройки!$B$10)),",","."),".",MID(1/2,2,1)),"")</f>
        <v/>
      </c>
      <c r="E1845">
        <f>IFERROR(--SUBSTITUTE(SUBSTITUTE(TRIM(INDEX(INDIRECT("'Выгрузка'!A1845:Z1845"),Настройки!$B$11)),",","."),".",MID(1/2,2,1)),"")</f>
        <v/>
      </c>
      <c r="F1845">
        <f>TRIM(INDEX(INDIRECT("'Выгрузка'!A1845:Z1845"),Настройки!$B$12)&amp;"")</f>
        <v/>
      </c>
      <c r="G1845">
        <f>IF(F1845="",0,IF(TRIM(INDEX(INDIRECT("'Выгрузка'!A1845:Z1845"),Настройки!$B$13)&amp;"")="",1,IFERROR(--SUBSTITUTE(SUBSTITUTE(TRIM(INDEX(INDIRECT("'Выгрузка'!A1845:Z1845"),Настройки!$B$13)),",","."),".",MID(1/2,2,1)),"")))</f>
        <v/>
      </c>
      <c r="H1845">
        <f>IF(F1845="",0,IF(COUNTIF(Настройки!$B$17:$B$26,F1845)&gt;0,1,IF(COUNTIF(Настройки!$C$17:$C$26,F1845)&gt;0,2,IF(COUNTIF(Настройки!$D$17:$D$26,F1845)&gt;0,3,0))))</f>
        <v/>
      </c>
      <c r="I1845">
        <f>IF(AND(ISNUMBER(A1845),ISNUMBER(B1845)),A1845*1000+B1845,"")</f>
        <v/>
      </c>
      <c r="J1845">
        <f>IF(I1845="","",IF(COUNTIF(I$2:I1845,I1845)=1,MAX(J$1:J1844)+1,""))</f>
        <v/>
      </c>
    </row>
    <row r="1846">
      <c r="A1846">
        <f>IFERROR(--SUBSTITUTE(SUBSTITUTE(TRIM(INDEX(INDIRECT("'Выгрузка'!A1846:Z1846"),Настройки!$B$7)),",","."),".",MID(1/2,2,1)),"")</f>
        <v/>
      </c>
      <c r="B1846">
        <f>IFERROR(--SUBSTITUTE(SUBSTITUTE(TRIM(INDEX(INDIRECT("'Выгрузка'!A1846:Z1846"),Настройки!$B$9)),",","."),".",MID(1/2,2,1)),"")</f>
        <v/>
      </c>
      <c r="C1846">
        <f>TRIM(INDEX(INDIRECT("'Выгрузка'!A1846:Z1846"),Настройки!$B$8)&amp;"")</f>
        <v/>
      </c>
      <c r="D1846">
        <f>IFERROR(--SUBSTITUTE(SUBSTITUTE(TRIM(INDEX(INDIRECT("'Выгрузка'!A1846:Z1846"),Настройки!$B$10)),",","."),".",MID(1/2,2,1)),"")</f>
        <v/>
      </c>
      <c r="E1846">
        <f>IFERROR(--SUBSTITUTE(SUBSTITUTE(TRIM(INDEX(INDIRECT("'Выгрузка'!A1846:Z1846"),Настройки!$B$11)),",","."),".",MID(1/2,2,1)),"")</f>
        <v/>
      </c>
      <c r="F1846">
        <f>TRIM(INDEX(INDIRECT("'Выгрузка'!A1846:Z1846"),Настройки!$B$12)&amp;"")</f>
        <v/>
      </c>
      <c r="G1846">
        <f>IF(F1846="",0,IF(TRIM(INDEX(INDIRECT("'Выгрузка'!A1846:Z1846"),Настройки!$B$13)&amp;"")="",1,IFERROR(--SUBSTITUTE(SUBSTITUTE(TRIM(INDEX(INDIRECT("'Выгрузка'!A1846:Z1846"),Настройки!$B$13)),",","."),".",MID(1/2,2,1)),"")))</f>
        <v/>
      </c>
      <c r="H1846">
        <f>IF(F1846="",0,IF(COUNTIF(Настройки!$B$17:$B$26,F1846)&gt;0,1,IF(COUNTIF(Настройки!$C$17:$C$26,F1846)&gt;0,2,IF(COUNTIF(Настройки!$D$17:$D$26,F1846)&gt;0,3,0))))</f>
        <v/>
      </c>
      <c r="I1846">
        <f>IF(AND(ISNUMBER(A1846),ISNUMBER(B1846)),A1846*1000+B1846,"")</f>
        <v/>
      </c>
      <c r="J1846">
        <f>IF(I1846="","",IF(COUNTIF(I$2:I1846,I1846)=1,MAX(J$1:J1845)+1,""))</f>
        <v/>
      </c>
    </row>
    <row r="1847">
      <c r="A1847">
        <f>IFERROR(--SUBSTITUTE(SUBSTITUTE(TRIM(INDEX(INDIRECT("'Выгрузка'!A1847:Z1847"),Настройки!$B$7)),",","."),".",MID(1/2,2,1)),"")</f>
        <v/>
      </c>
      <c r="B1847">
        <f>IFERROR(--SUBSTITUTE(SUBSTITUTE(TRIM(INDEX(INDIRECT("'Выгрузка'!A1847:Z1847"),Настройки!$B$9)),",","."),".",MID(1/2,2,1)),"")</f>
        <v/>
      </c>
      <c r="C1847">
        <f>TRIM(INDEX(INDIRECT("'Выгрузка'!A1847:Z1847"),Настройки!$B$8)&amp;"")</f>
        <v/>
      </c>
      <c r="D1847">
        <f>IFERROR(--SUBSTITUTE(SUBSTITUTE(TRIM(INDEX(INDIRECT("'Выгрузка'!A1847:Z1847"),Настройки!$B$10)),",","."),".",MID(1/2,2,1)),"")</f>
        <v/>
      </c>
      <c r="E1847">
        <f>IFERROR(--SUBSTITUTE(SUBSTITUTE(TRIM(INDEX(INDIRECT("'Выгрузка'!A1847:Z1847"),Настройки!$B$11)),",","."),".",MID(1/2,2,1)),"")</f>
        <v/>
      </c>
      <c r="F1847">
        <f>TRIM(INDEX(INDIRECT("'Выгрузка'!A1847:Z1847"),Настройки!$B$12)&amp;"")</f>
        <v/>
      </c>
      <c r="G1847">
        <f>IF(F1847="",0,IF(TRIM(INDEX(INDIRECT("'Выгрузка'!A1847:Z1847"),Настройки!$B$13)&amp;"")="",1,IFERROR(--SUBSTITUTE(SUBSTITUTE(TRIM(INDEX(INDIRECT("'Выгрузка'!A1847:Z1847"),Настройки!$B$13)),",","."),".",MID(1/2,2,1)),"")))</f>
        <v/>
      </c>
      <c r="H1847">
        <f>IF(F1847="",0,IF(COUNTIF(Настройки!$B$17:$B$26,F1847)&gt;0,1,IF(COUNTIF(Настройки!$C$17:$C$26,F1847)&gt;0,2,IF(COUNTIF(Настройки!$D$17:$D$26,F1847)&gt;0,3,0))))</f>
        <v/>
      </c>
      <c r="I1847">
        <f>IF(AND(ISNUMBER(A1847),ISNUMBER(B1847)),A1847*1000+B1847,"")</f>
        <v/>
      </c>
      <c r="J1847">
        <f>IF(I1847="","",IF(COUNTIF(I$2:I1847,I1847)=1,MAX(J$1:J1846)+1,""))</f>
        <v/>
      </c>
    </row>
    <row r="1848">
      <c r="A1848">
        <f>IFERROR(--SUBSTITUTE(SUBSTITUTE(TRIM(INDEX(INDIRECT("'Выгрузка'!A1848:Z1848"),Настройки!$B$7)),",","."),".",MID(1/2,2,1)),"")</f>
        <v/>
      </c>
      <c r="B1848">
        <f>IFERROR(--SUBSTITUTE(SUBSTITUTE(TRIM(INDEX(INDIRECT("'Выгрузка'!A1848:Z1848"),Настройки!$B$9)),",","."),".",MID(1/2,2,1)),"")</f>
        <v/>
      </c>
      <c r="C1848">
        <f>TRIM(INDEX(INDIRECT("'Выгрузка'!A1848:Z1848"),Настройки!$B$8)&amp;"")</f>
        <v/>
      </c>
      <c r="D1848">
        <f>IFERROR(--SUBSTITUTE(SUBSTITUTE(TRIM(INDEX(INDIRECT("'Выгрузка'!A1848:Z1848"),Настройки!$B$10)),",","."),".",MID(1/2,2,1)),"")</f>
        <v/>
      </c>
      <c r="E1848">
        <f>IFERROR(--SUBSTITUTE(SUBSTITUTE(TRIM(INDEX(INDIRECT("'Выгрузка'!A1848:Z1848"),Настройки!$B$11)),",","."),".",MID(1/2,2,1)),"")</f>
        <v/>
      </c>
      <c r="F1848">
        <f>TRIM(INDEX(INDIRECT("'Выгрузка'!A1848:Z1848"),Настройки!$B$12)&amp;"")</f>
        <v/>
      </c>
      <c r="G1848">
        <f>IF(F1848="",0,IF(TRIM(INDEX(INDIRECT("'Выгрузка'!A1848:Z1848"),Настройки!$B$13)&amp;"")="",1,IFERROR(--SUBSTITUTE(SUBSTITUTE(TRIM(INDEX(INDIRECT("'Выгрузка'!A1848:Z1848"),Настройки!$B$13)),",","."),".",MID(1/2,2,1)),"")))</f>
        <v/>
      </c>
      <c r="H1848">
        <f>IF(F1848="",0,IF(COUNTIF(Настройки!$B$17:$B$26,F1848)&gt;0,1,IF(COUNTIF(Настройки!$C$17:$C$26,F1848)&gt;0,2,IF(COUNTIF(Настройки!$D$17:$D$26,F1848)&gt;0,3,0))))</f>
        <v/>
      </c>
      <c r="I1848">
        <f>IF(AND(ISNUMBER(A1848),ISNUMBER(B1848)),A1848*1000+B1848,"")</f>
        <v/>
      </c>
      <c r="J1848">
        <f>IF(I1848="","",IF(COUNTIF(I$2:I1848,I1848)=1,MAX(J$1:J1847)+1,""))</f>
        <v/>
      </c>
    </row>
    <row r="1849">
      <c r="A1849">
        <f>IFERROR(--SUBSTITUTE(SUBSTITUTE(TRIM(INDEX(INDIRECT("'Выгрузка'!A1849:Z1849"),Настройки!$B$7)),",","."),".",MID(1/2,2,1)),"")</f>
        <v/>
      </c>
      <c r="B1849">
        <f>IFERROR(--SUBSTITUTE(SUBSTITUTE(TRIM(INDEX(INDIRECT("'Выгрузка'!A1849:Z1849"),Настройки!$B$9)),",","."),".",MID(1/2,2,1)),"")</f>
        <v/>
      </c>
      <c r="C1849">
        <f>TRIM(INDEX(INDIRECT("'Выгрузка'!A1849:Z1849"),Настройки!$B$8)&amp;"")</f>
        <v/>
      </c>
      <c r="D1849">
        <f>IFERROR(--SUBSTITUTE(SUBSTITUTE(TRIM(INDEX(INDIRECT("'Выгрузка'!A1849:Z1849"),Настройки!$B$10)),",","."),".",MID(1/2,2,1)),"")</f>
        <v/>
      </c>
      <c r="E1849">
        <f>IFERROR(--SUBSTITUTE(SUBSTITUTE(TRIM(INDEX(INDIRECT("'Выгрузка'!A1849:Z1849"),Настройки!$B$11)),",","."),".",MID(1/2,2,1)),"")</f>
        <v/>
      </c>
      <c r="F1849">
        <f>TRIM(INDEX(INDIRECT("'Выгрузка'!A1849:Z1849"),Настройки!$B$12)&amp;"")</f>
        <v/>
      </c>
      <c r="G1849">
        <f>IF(F1849="",0,IF(TRIM(INDEX(INDIRECT("'Выгрузка'!A1849:Z1849"),Настройки!$B$13)&amp;"")="",1,IFERROR(--SUBSTITUTE(SUBSTITUTE(TRIM(INDEX(INDIRECT("'Выгрузка'!A1849:Z1849"),Настройки!$B$13)),",","."),".",MID(1/2,2,1)),"")))</f>
        <v/>
      </c>
      <c r="H1849">
        <f>IF(F1849="",0,IF(COUNTIF(Настройки!$B$17:$B$26,F1849)&gt;0,1,IF(COUNTIF(Настройки!$C$17:$C$26,F1849)&gt;0,2,IF(COUNTIF(Настройки!$D$17:$D$26,F1849)&gt;0,3,0))))</f>
        <v/>
      </c>
      <c r="I1849">
        <f>IF(AND(ISNUMBER(A1849),ISNUMBER(B1849)),A1849*1000+B1849,"")</f>
        <v/>
      </c>
      <c r="J1849">
        <f>IF(I1849="","",IF(COUNTIF(I$2:I1849,I1849)=1,MAX(J$1:J1848)+1,""))</f>
        <v/>
      </c>
    </row>
    <row r="1850">
      <c r="A1850">
        <f>IFERROR(--SUBSTITUTE(SUBSTITUTE(TRIM(INDEX(INDIRECT("'Выгрузка'!A1850:Z1850"),Настройки!$B$7)),",","."),".",MID(1/2,2,1)),"")</f>
        <v/>
      </c>
      <c r="B1850">
        <f>IFERROR(--SUBSTITUTE(SUBSTITUTE(TRIM(INDEX(INDIRECT("'Выгрузка'!A1850:Z1850"),Настройки!$B$9)),",","."),".",MID(1/2,2,1)),"")</f>
        <v/>
      </c>
      <c r="C1850">
        <f>TRIM(INDEX(INDIRECT("'Выгрузка'!A1850:Z1850"),Настройки!$B$8)&amp;"")</f>
        <v/>
      </c>
      <c r="D1850">
        <f>IFERROR(--SUBSTITUTE(SUBSTITUTE(TRIM(INDEX(INDIRECT("'Выгрузка'!A1850:Z1850"),Настройки!$B$10)),",","."),".",MID(1/2,2,1)),"")</f>
        <v/>
      </c>
      <c r="E1850">
        <f>IFERROR(--SUBSTITUTE(SUBSTITUTE(TRIM(INDEX(INDIRECT("'Выгрузка'!A1850:Z1850"),Настройки!$B$11)),",","."),".",MID(1/2,2,1)),"")</f>
        <v/>
      </c>
      <c r="F1850">
        <f>TRIM(INDEX(INDIRECT("'Выгрузка'!A1850:Z1850"),Настройки!$B$12)&amp;"")</f>
        <v/>
      </c>
      <c r="G1850">
        <f>IF(F1850="",0,IF(TRIM(INDEX(INDIRECT("'Выгрузка'!A1850:Z1850"),Настройки!$B$13)&amp;"")="",1,IFERROR(--SUBSTITUTE(SUBSTITUTE(TRIM(INDEX(INDIRECT("'Выгрузка'!A1850:Z1850"),Настройки!$B$13)),",","."),".",MID(1/2,2,1)),"")))</f>
        <v/>
      </c>
      <c r="H1850">
        <f>IF(F1850="",0,IF(COUNTIF(Настройки!$B$17:$B$26,F1850)&gt;0,1,IF(COUNTIF(Настройки!$C$17:$C$26,F1850)&gt;0,2,IF(COUNTIF(Настройки!$D$17:$D$26,F1850)&gt;0,3,0))))</f>
        <v/>
      </c>
      <c r="I1850">
        <f>IF(AND(ISNUMBER(A1850),ISNUMBER(B1850)),A1850*1000+B1850,"")</f>
        <v/>
      </c>
      <c r="J1850">
        <f>IF(I1850="","",IF(COUNTIF(I$2:I1850,I1850)=1,MAX(J$1:J1849)+1,""))</f>
        <v/>
      </c>
    </row>
    <row r="1851">
      <c r="A1851">
        <f>IFERROR(--SUBSTITUTE(SUBSTITUTE(TRIM(INDEX(INDIRECT("'Выгрузка'!A1851:Z1851"),Настройки!$B$7)),",","."),".",MID(1/2,2,1)),"")</f>
        <v/>
      </c>
      <c r="B1851">
        <f>IFERROR(--SUBSTITUTE(SUBSTITUTE(TRIM(INDEX(INDIRECT("'Выгрузка'!A1851:Z1851"),Настройки!$B$9)),",","."),".",MID(1/2,2,1)),"")</f>
        <v/>
      </c>
      <c r="C1851">
        <f>TRIM(INDEX(INDIRECT("'Выгрузка'!A1851:Z1851"),Настройки!$B$8)&amp;"")</f>
        <v/>
      </c>
      <c r="D1851">
        <f>IFERROR(--SUBSTITUTE(SUBSTITUTE(TRIM(INDEX(INDIRECT("'Выгрузка'!A1851:Z1851"),Настройки!$B$10)),",","."),".",MID(1/2,2,1)),"")</f>
        <v/>
      </c>
      <c r="E1851">
        <f>IFERROR(--SUBSTITUTE(SUBSTITUTE(TRIM(INDEX(INDIRECT("'Выгрузка'!A1851:Z1851"),Настройки!$B$11)),",","."),".",MID(1/2,2,1)),"")</f>
        <v/>
      </c>
      <c r="F1851">
        <f>TRIM(INDEX(INDIRECT("'Выгрузка'!A1851:Z1851"),Настройки!$B$12)&amp;"")</f>
        <v/>
      </c>
      <c r="G1851">
        <f>IF(F1851="",0,IF(TRIM(INDEX(INDIRECT("'Выгрузка'!A1851:Z1851"),Настройки!$B$13)&amp;"")="",1,IFERROR(--SUBSTITUTE(SUBSTITUTE(TRIM(INDEX(INDIRECT("'Выгрузка'!A1851:Z1851"),Настройки!$B$13)),",","."),".",MID(1/2,2,1)),"")))</f>
        <v/>
      </c>
      <c r="H1851">
        <f>IF(F1851="",0,IF(COUNTIF(Настройки!$B$17:$B$26,F1851)&gt;0,1,IF(COUNTIF(Настройки!$C$17:$C$26,F1851)&gt;0,2,IF(COUNTIF(Настройки!$D$17:$D$26,F1851)&gt;0,3,0))))</f>
        <v/>
      </c>
      <c r="I1851">
        <f>IF(AND(ISNUMBER(A1851),ISNUMBER(B1851)),A1851*1000+B1851,"")</f>
        <v/>
      </c>
      <c r="J1851">
        <f>IF(I1851="","",IF(COUNTIF(I$2:I1851,I1851)=1,MAX(J$1:J1850)+1,""))</f>
        <v/>
      </c>
    </row>
    <row r="1852">
      <c r="A1852">
        <f>IFERROR(--SUBSTITUTE(SUBSTITUTE(TRIM(INDEX(INDIRECT("'Выгрузка'!A1852:Z1852"),Настройки!$B$7)),",","."),".",MID(1/2,2,1)),"")</f>
        <v/>
      </c>
      <c r="B1852">
        <f>IFERROR(--SUBSTITUTE(SUBSTITUTE(TRIM(INDEX(INDIRECT("'Выгрузка'!A1852:Z1852"),Настройки!$B$9)),",","."),".",MID(1/2,2,1)),"")</f>
        <v/>
      </c>
      <c r="C1852">
        <f>TRIM(INDEX(INDIRECT("'Выгрузка'!A1852:Z1852"),Настройки!$B$8)&amp;"")</f>
        <v/>
      </c>
      <c r="D1852">
        <f>IFERROR(--SUBSTITUTE(SUBSTITUTE(TRIM(INDEX(INDIRECT("'Выгрузка'!A1852:Z1852"),Настройки!$B$10)),",","."),".",MID(1/2,2,1)),"")</f>
        <v/>
      </c>
      <c r="E1852">
        <f>IFERROR(--SUBSTITUTE(SUBSTITUTE(TRIM(INDEX(INDIRECT("'Выгрузка'!A1852:Z1852"),Настройки!$B$11)),",","."),".",MID(1/2,2,1)),"")</f>
        <v/>
      </c>
      <c r="F1852">
        <f>TRIM(INDEX(INDIRECT("'Выгрузка'!A1852:Z1852"),Настройки!$B$12)&amp;"")</f>
        <v/>
      </c>
      <c r="G1852">
        <f>IF(F1852="",0,IF(TRIM(INDEX(INDIRECT("'Выгрузка'!A1852:Z1852"),Настройки!$B$13)&amp;"")="",1,IFERROR(--SUBSTITUTE(SUBSTITUTE(TRIM(INDEX(INDIRECT("'Выгрузка'!A1852:Z1852"),Настройки!$B$13)),",","."),".",MID(1/2,2,1)),"")))</f>
        <v/>
      </c>
      <c r="H1852">
        <f>IF(F1852="",0,IF(COUNTIF(Настройки!$B$17:$B$26,F1852)&gt;0,1,IF(COUNTIF(Настройки!$C$17:$C$26,F1852)&gt;0,2,IF(COUNTIF(Настройки!$D$17:$D$26,F1852)&gt;0,3,0))))</f>
        <v/>
      </c>
      <c r="I1852">
        <f>IF(AND(ISNUMBER(A1852),ISNUMBER(B1852)),A1852*1000+B1852,"")</f>
        <v/>
      </c>
      <c r="J1852">
        <f>IF(I1852="","",IF(COUNTIF(I$2:I1852,I1852)=1,MAX(J$1:J1851)+1,""))</f>
        <v/>
      </c>
    </row>
    <row r="1853">
      <c r="A1853">
        <f>IFERROR(--SUBSTITUTE(SUBSTITUTE(TRIM(INDEX(INDIRECT("'Выгрузка'!A1853:Z1853"),Настройки!$B$7)),",","."),".",MID(1/2,2,1)),"")</f>
        <v/>
      </c>
      <c r="B1853">
        <f>IFERROR(--SUBSTITUTE(SUBSTITUTE(TRIM(INDEX(INDIRECT("'Выгрузка'!A1853:Z1853"),Настройки!$B$9)),",","."),".",MID(1/2,2,1)),"")</f>
        <v/>
      </c>
      <c r="C1853">
        <f>TRIM(INDEX(INDIRECT("'Выгрузка'!A1853:Z1853"),Настройки!$B$8)&amp;"")</f>
        <v/>
      </c>
      <c r="D1853">
        <f>IFERROR(--SUBSTITUTE(SUBSTITUTE(TRIM(INDEX(INDIRECT("'Выгрузка'!A1853:Z1853"),Настройки!$B$10)),",","."),".",MID(1/2,2,1)),"")</f>
        <v/>
      </c>
      <c r="E1853">
        <f>IFERROR(--SUBSTITUTE(SUBSTITUTE(TRIM(INDEX(INDIRECT("'Выгрузка'!A1853:Z1853"),Настройки!$B$11)),",","."),".",MID(1/2,2,1)),"")</f>
        <v/>
      </c>
      <c r="F1853">
        <f>TRIM(INDEX(INDIRECT("'Выгрузка'!A1853:Z1853"),Настройки!$B$12)&amp;"")</f>
        <v/>
      </c>
      <c r="G1853">
        <f>IF(F1853="",0,IF(TRIM(INDEX(INDIRECT("'Выгрузка'!A1853:Z1853"),Настройки!$B$13)&amp;"")="",1,IFERROR(--SUBSTITUTE(SUBSTITUTE(TRIM(INDEX(INDIRECT("'Выгрузка'!A1853:Z1853"),Настройки!$B$13)),",","."),".",MID(1/2,2,1)),"")))</f>
        <v/>
      </c>
      <c r="H1853">
        <f>IF(F1853="",0,IF(COUNTIF(Настройки!$B$17:$B$26,F1853)&gt;0,1,IF(COUNTIF(Настройки!$C$17:$C$26,F1853)&gt;0,2,IF(COUNTIF(Настройки!$D$17:$D$26,F1853)&gt;0,3,0))))</f>
        <v/>
      </c>
      <c r="I1853">
        <f>IF(AND(ISNUMBER(A1853),ISNUMBER(B1853)),A1853*1000+B1853,"")</f>
        <v/>
      </c>
      <c r="J1853">
        <f>IF(I1853="","",IF(COUNTIF(I$2:I1853,I1853)=1,MAX(J$1:J1852)+1,""))</f>
        <v/>
      </c>
    </row>
    <row r="1854">
      <c r="A1854">
        <f>IFERROR(--SUBSTITUTE(SUBSTITUTE(TRIM(INDEX(INDIRECT("'Выгрузка'!A1854:Z1854"),Настройки!$B$7)),",","."),".",MID(1/2,2,1)),"")</f>
        <v/>
      </c>
      <c r="B1854">
        <f>IFERROR(--SUBSTITUTE(SUBSTITUTE(TRIM(INDEX(INDIRECT("'Выгрузка'!A1854:Z1854"),Настройки!$B$9)),",","."),".",MID(1/2,2,1)),"")</f>
        <v/>
      </c>
      <c r="C1854">
        <f>TRIM(INDEX(INDIRECT("'Выгрузка'!A1854:Z1854"),Настройки!$B$8)&amp;"")</f>
        <v/>
      </c>
      <c r="D1854">
        <f>IFERROR(--SUBSTITUTE(SUBSTITUTE(TRIM(INDEX(INDIRECT("'Выгрузка'!A1854:Z1854"),Настройки!$B$10)),",","."),".",MID(1/2,2,1)),"")</f>
        <v/>
      </c>
      <c r="E1854">
        <f>IFERROR(--SUBSTITUTE(SUBSTITUTE(TRIM(INDEX(INDIRECT("'Выгрузка'!A1854:Z1854"),Настройки!$B$11)),",","."),".",MID(1/2,2,1)),"")</f>
        <v/>
      </c>
      <c r="F1854">
        <f>TRIM(INDEX(INDIRECT("'Выгрузка'!A1854:Z1854"),Настройки!$B$12)&amp;"")</f>
        <v/>
      </c>
      <c r="G1854">
        <f>IF(F1854="",0,IF(TRIM(INDEX(INDIRECT("'Выгрузка'!A1854:Z1854"),Настройки!$B$13)&amp;"")="",1,IFERROR(--SUBSTITUTE(SUBSTITUTE(TRIM(INDEX(INDIRECT("'Выгрузка'!A1854:Z1854"),Настройки!$B$13)),",","."),".",MID(1/2,2,1)),"")))</f>
        <v/>
      </c>
      <c r="H1854">
        <f>IF(F1854="",0,IF(COUNTIF(Настройки!$B$17:$B$26,F1854)&gt;0,1,IF(COUNTIF(Настройки!$C$17:$C$26,F1854)&gt;0,2,IF(COUNTIF(Настройки!$D$17:$D$26,F1854)&gt;0,3,0))))</f>
        <v/>
      </c>
      <c r="I1854">
        <f>IF(AND(ISNUMBER(A1854),ISNUMBER(B1854)),A1854*1000+B1854,"")</f>
        <v/>
      </c>
      <c r="J1854">
        <f>IF(I1854="","",IF(COUNTIF(I$2:I1854,I1854)=1,MAX(J$1:J1853)+1,""))</f>
        <v/>
      </c>
    </row>
    <row r="1855">
      <c r="A1855">
        <f>IFERROR(--SUBSTITUTE(SUBSTITUTE(TRIM(INDEX(INDIRECT("'Выгрузка'!A1855:Z1855"),Настройки!$B$7)),",","."),".",MID(1/2,2,1)),"")</f>
        <v/>
      </c>
      <c r="B1855">
        <f>IFERROR(--SUBSTITUTE(SUBSTITUTE(TRIM(INDEX(INDIRECT("'Выгрузка'!A1855:Z1855"),Настройки!$B$9)),",","."),".",MID(1/2,2,1)),"")</f>
        <v/>
      </c>
      <c r="C1855">
        <f>TRIM(INDEX(INDIRECT("'Выгрузка'!A1855:Z1855"),Настройки!$B$8)&amp;"")</f>
        <v/>
      </c>
      <c r="D1855">
        <f>IFERROR(--SUBSTITUTE(SUBSTITUTE(TRIM(INDEX(INDIRECT("'Выгрузка'!A1855:Z1855"),Настройки!$B$10)),",","."),".",MID(1/2,2,1)),"")</f>
        <v/>
      </c>
      <c r="E1855">
        <f>IFERROR(--SUBSTITUTE(SUBSTITUTE(TRIM(INDEX(INDIRECT("'Выгрузка'!A1855:Z1855"),Настройки!$B$11)),",","."),".",MID(1/2,2,1)),"")</f>
        <v/>
      </c>
      <c r="F1855">
        <f>TRIM(INDEX(INDIRECT("'Выгрузка'!A1855:Z1855"),Настройки!$B$12)&amp;"")</f>
        <v/>
      </c>
      <c r="G1855">
        <f>IF(F1855="",0,IF(TRIM(INDEX(INDIRECT("'Выгрузка'!A1855:Z1855"),Настройки!$B$13)&amp;"")="",1,IFERROR(--SUBSTITUTE(SUBSTITUTE(TRIM(INDEX(INDIRECT("'Выгрузка'!A1855:Z1855"),Настройки!$B$13)),",","."),".",MID(1/2,2,1)),"")))</f>
        <v/>
      </c>
      <c r="H1855">
        <f>IF(F1855="",0,IF(COUNTIF(Настройки!$B$17:$B$26,F1855)&gt;0,1,IF(COUNTIF(Настройки!$C$17:$C$26,F1855)&gt;0,2,IF(COUNTIF(Настройки!$D$17:$D$26,F1855)&gt;0,3,0))))</f>
        <v/>
      </c>
      <c r="I1855">
        <f>IF(AND(ISNUMBER(A1855),ISNUMBER(B1855)),A1855*1000+B1855,"")</f>
        <v/>
      </c>
      <c r="J1855">
        <f>IF(I1855="","",IF(COUNTIF(I$2:I1855,I1855)=1,MAX(J$1:J1854)+1,""))</f>
        <v/>
      </c>
    </row>
    <row r="1856">
      <c r="A1856">
        <f>IFERROR(--SUBSTITUTE(SUBSTITUTE(TRIM(INDEX(INDIRECT("'Выгрузка'!A1856:Z1856"),Настройки!$B$7)),",","."),".",MID(1/2,2,1)),"")</f>
        <v/>
      </c>
      <c r="B1856">
        <f>IFERROR(--SUBSTITUTE(SUBSTITUTE(TRIM(INDEX(INDIRECT("'Выгрузка'!A1856:Z1856"),Настройки!$B$9)),",","."),".",MID(1/2,2,1)),"")</f>
        <v/>
      </c>
      <c r="C1856">
        <f>TRIM(INDEX(INDIRECT("'Выгрузка'!A1856:Z1856"),Настройки!$B$8)&amp;"")</f>
        <v/>
      </c>
      <c r="D1856">
        <f>IFERROR(--SUBSTITUTE(SUBSTITUTE(TRIM(INDEX(INDIRECT("'Выгрузка'!A1856:Z1856"),Настройки!$B$10)),",","."),".",MID(1/2,2,1)),"")</f>
        <v/>
      </c>
      <c r="E1856">
        <f>IFERROR(--SUBSTITUTE(SUBSTITUTE(TRIM(INDEX(INDIRECT("'Выгрузка'!A1856:Z1856"),Настройки!$B$11)),",","."),".",MID(1/2,2,1)),"")</f>
        <v/>
      </c>
      <c r="F1856">
        <f>TRIM(INDEX(INDIRECT("'Выгрузка'!A1856:Z1856"),Настройки!$B$12)&amp;"")</f>
        <v/>
      </c>
      <c r="G1856">
        <f>IF(F1856="",0,IF(TRIM(INDEX(INDIRECT("'Выгрузка'!A1856:Z1856"),Настройки!$B$13)&amp;"")="",1,IFERROR(--SUBSTITUTE(SUBSTITUTE(TRIM(INDEX(INDIRECT("'Выгрузка'!A1856:Z1856"),Настройки!$B$13)),",","."),".",MID(1/2,2,1)),"")))</f>
        <v/>
      </c>
      <c r="H1856">
        <f>IF(F1856="",0,IF(COUNTIF(Настройки!$B$17:$B$26,F1856)&gt;0,1,IF(COUNTIF(Настройки!$C$17:$C$26,F1856)&gt;0,2,IF(COUNTIF(Настройки!$D$17:$D$26,F1856)&gt;0,3,0))))</f>
        <v/>
      </c>
      <c r="I1856">
        <f>IF(AND(ISNUMBER(A1856),ISNUMBER(B1856)),A1856*1000+B1856,"")</f>
        <v/>
      </c>
      <c r="J1856">
        <f>IF(I1856="","",IF(COUNTIF(I$2:I1856,I1856)=1,MAX(J$1:J1855)+1,""))</f>
        <v/>
      </c>
    </row>
    <row r="1857">
      <c r="A1857">
        <f>IFERROR(--SUBSTITUTE(SUBSTITUTE(TRIM(INDEX(INDIRECT("'Выгрузка'!A1857:Z1857"),Настройки!$B$7)),",","."),".",MID(1/2,2,1)),"")</f>
        <v/>
      </c>
      <c r="B1857">
        <f>IFERROR(--SUBSTITUTE(SUBSTITUTE(TRIM(INDEX(INDIRECT("'Выгрузка'!A1857:Z1857"),Настройки!$B$9)),",","."),".",MID(1/2,2,1)),"")</f>
        <v/>
      </c>
      <c r="C1857">
        <f>TRIM(INDEX(INDIRECT("'Выгрузка'!A1857:Z1857"),Настройки!$B$8)&amp;"")</f>
        <v/>
      </c>
      <c r="D1857">
        <f>IFERROR(--SUBSTITUTE(SUBSTITUTE(TRIM(INDEX(INDIRECT("'Выгрузка'!A1857:Z1857"),Настройки!$B$10)),",","."),".",MID(1/2,2,1)),"")</f>
        <v/>
      </c>
      <c r="E1857">
        <f>IFERROR(--SUBSTITUTE(SUBSTITUTE(TRIM(INDEX(INDIRECT("'Выгрузка'!A1857:Z1857"),Настройки!$B$11)),",","."),".",MID(1/2,2,1)),"")</f>
        <v/>
      </c>
      <c r="F1857">
        <f>TRIM(INDEX(INDIRECT("'Выгрузка'!A1857:Z1857"),Настройки!$B$12)&amp;"")</f>
        <v/>
      </c>
      <c r="G1857">
        <f>IF(F1857="",0,IF(TRIM(INDEX(INDIRECT("'Выгрузка'!A1857:Z1857"),Настройки!$B$13)&amp;"")="",1,IFERROR(--SUBSTITUTE(SUBSTITUTE(TRIM(INDEX(INDIRECT("'Выгрузка'!A1857:Z1857"),Настройки!$B$13)),",","."),".",MID(1/2,2,1)),"")))</f>
        <v/>
      </c>
      <c r="H1857">
        <f>IF(F1857="",0,IF(COUNTIF(Настройки!$B$17:$B$26,F1857)&gt;0,1,IF(COUNTIF(Настройки!$C$17:$C$26,F1857)&gt;0,2,IF(COUNTIF(Настройки!$D$17:$D$26,F1857)&gt;0,3,0))))</f>
        <v/>
      </c>
      <c r="I1857">
        <f>IF(AND(ISNUMBER(A1857),ISNUMBER(B1857)),A1857*1000+B1857,"")</f>
        <v/>
      </c>
      <c r="J1857">
        <f>IF(I1857="","",IF(COUNTIF(I$2:I1857,I1857)=1,MAX(J$1:J1856)+1,""))</f>
        <v/>
      </c>
    </row>
    <row r="1858">
      <c r="A1858">
        <f>IFERROR(--SUBSTITUTE(SUBSTITUTE(TRIM(INDEX(INDIRECT("'Выгрузка'!A1858:Z1858"),Настройки!$B$7)),",","."),".",MID(1/2,2,1)),"")</f>
        <v/>
      </c>
      <c r="B1858">
        <f>IFERROR(--SUBSTITUTE(SUBSTITUTE(TRIM(INDEX(INDIRECT("'Выгрузка'!A1858:Z1858"),Настройки!$B$9)),",","."),".",MID(1/2,2,1)),"")</f>
        <v/>
      </c>
      <c r="C1858">
        <f>TRIM(INDEX(INDIRECT("'Выгрузка'!A1858:Z1858"),Настройки!$B$8)&amp;"")</f>
        <v/>
      </c>
      <c r="D1858">
        <f>IFERROR(--SUBSTITUTE(SUBSTITUTE(TRIM(INDEX(INDIRECT("'Выгрузка'!A1858:Z1858"),Настройки!$B$10)),",","."),".",MID(1/2,2,1)),"")</f>
        <v/>
      </c>
      <c r="E1858">
        <f>IFERROR(--SUBSTITUTE(SUBSTITUTE(TRIM(INDEX(INDIRECT("'Выгрузка'!A1858:Z1858"),Настройки!$B$11)),",","."),".",MID(1/2,2,1)),"")</f>
        <v/>
      </c>
      <c r="F1858">
        <f>TRIM(INDEX(INDIRECT("'Выгрузка'!A1858:Z1858"),Настройки!$B$12)&amp;"")</f>
        <v/>
      </c>
      <c r="G1858">
        <f>IF(F1858="",0,IF(TRIM(INDEX(INDIRECT("'Выгрузка'!A1858:Z1858"),Настройки!$B$13)&amp;"")="",1,IFERROR(--SUBSTITUTE(SUBSTITUTE(TRIM(INDEX(INDIRECT("'Выгрузка'!A1858:Z1858"),Настройки!$B$13)),",","."),".",MID(1/2,2,1)),"")))</f>
        <v/>
      </c>
      <c r="H1858">
        <f>IF(F1858="",0,IF(COUNTIF(Настройки!$B$17:$B$26,F1858)&gt;0,1,IF(COUNTIF(Настройки!$C$17:$C$26,F1858)&gt;0,2,IF(COUNTIF(Настройки!$D$17:$D$26,F1858)&gt;0,3,0))))</f>
        <v/>
      </c>
      <c r="I1858">
        <f>IF(AND(ISNUMBER(A1858),ISNUMBER(B1858)),A1858*1000+B1858,"")</f>
        <v/>
      </c>
      <c r="J1858">
        <f>IF(I1858="","",IF(COUNTIF(I$2:I1858,I1858)=1,MAX(J$1:J1857)+1,""))</f>
        <v/>
      </c>
    </row>
    <row r="1859">
      <c r="A1859">
        <f>IFERROR(--SUBSTITUTE(SUBSTITUTE(TRIM(INDEX(INDIRECT("'Выгрузка'!A1859:Z1859"),Настройки!$B$7)),",","."),".",MID(1/2,2,1)),"")</f>
        <v/>
      </c>
      <c r="B1859">
        <f>IFERROR(--SUBSTITUTE(SUBSTITUTE(TRIM(INDEX(INDIRECT("'Выгрузка'!A1859:Z1859"),Настройки!$B$9)),",","."),".",MID(1/2,2,1)),"")</f>
        <v/>
      </c>
      <c r="C1859">
        <f>TRIM(INDEX(INDIRECT("'Выгрузка'!A1859:Z1859"),Настройки!$B$8)&amp;"")</f>
        <v/>
      </c>
      <c r="D1859">
        <f>IFERROR(--SUBSTITUTE(SUBSTITUTE(TRIM(INDEX(INDIRECT("'Выгрузка'!A1859:Z1859"),Настройки!$B$10)),",","."),".",MID(1/2,2,1)),"")</f>
        <v/>
      </c>
      <c r="E1859">
        <f>IFERROR(--SUBSTITUTE(SUBSTITUTE(TRIM(INDEX(INDIRECT("'Выгрузка'!A1859:Z1859"),Настройки!$B$11)),",","."),".",MID(1/2,2,1)),"")</f>
        <v/>
      </c>
      <c r="F1859">
        <f>TRIM(INDEX(INDIRECT("'Выгрузка'!A1859:Z1859"),Настройки!$B$12)&amp;"")</f>
        <v/>
      </c>
      <c r="G1859">
        <f>IF(F1859="",0,IF(TRIM(INDEX(INDIRECT("'Выгрузка'!A1859:Z1859"),Настройки!$B$13)&amp;"")="",1,IFERROR(--SUBSTITUTE(SUBSTITUTE(TRIM(INDEX(INDIRECT("'Выгрузка'!A1859:Z1859"),Настройки!$B$13)),",","."),".",MID(1/2,2,1)),"")))</f>
        <v/>
      </c>
      <c r="H1859">
        <f>IF(F1859="",0,IF(COUNTIF(Настройки!$B$17:$B$26,F1859)&gt;0,1,IF(COUNTIF(Настройки!$C$17:$C$26,F1859)&gt;0,2,IF(COUNTIF(Настройки!$D$17:$D$26,F1859)&gt;0,3,0))))</f>
        <v/>
      </c>
      <c r="I1859">
        <f>IF(AND(ISNUMBER(A1859),ISNUMBER(B1859)),A1859*1000+B1859,"")</f>
        <v/>
      </c>
      <c r="J1859">
        <f>IF(I1859="","",IF(COUNTIF(I$2:I1859,I1859)=1,MAX(J$1:J1858)+1,""))</f>
        <v/>
      </c>
    </row>
    <row r="1860">
      <c r="A1860">
        <f>IFERROR(--SUBSTITUTE(SUBSTITUTE(TRIM(INDEX(INDIRECT("'Выгрузка'!A1860:Z1860"),Настройки!$B$7)),",","."),".",MID(1/2,2,1)),"")</f>
        <v/>
      </c>
      <c r="B1860">
        <f>IFERROR(--SUBSTITUTE(SUBSTITUTE(TRIM(INDEX(INDIRECT("'Выгрузка'!A1860:Z1860"),Настройки!$B$9)),",","."),".",MID(1/2,2,1)),"")</f>
        <v/>
      </c>
      <c r="C1860">
        <f>TRIM(INDEX(INDIRECT("'Выгрузка'!A1860:Z1860"),Настройки!$B$8)&amp;"")</f>
        <v/>
      </c>
      <c r="D1860">
        <f>IFERROR(--SUBSTITUTE(SUBSTITUTE(TRIM(INDEX(INDIRECT("'Выгрузка'!A1860:Z1860"),Настройки!$B$10)),",","."),".",MID(1/2,2,1)),"")</f>
        <v/>
      </c>
      <c r="E1860">
        <f>IFERROR(--SUBSTITUTE(SUBSTITUTE(TRIM(INDEX(INDIRECT("'Выгрузка'!A1860:Z1860"),Настройки!$B$11)),",","."),".",MID(1/2,2,1)),"")</f>
        <v/>
      </c>
      <c r="F1860">
        <f>TRIM(INDEX(INDIRECT("'Выгрузка'!A1860:Z1860"),Настройки!$B$12)&amp;"")</f>
        <v/>
      </c>
      <c r="G1860">
        <f>IF(F1860="",0,IF(TRIM(INDEX(INDIRECT("'Выгрузка'!A1860:Z1860"),Настройки!$B$13)&amp;"")="",1,IFERROR(--SUBSTITUTE(SUBSTITUTE(TRIM(INDEX(INDIRECT("'Выгрузка'!A1860:Z1860"),Настройки!$B$13)),",","."),".",MID(1/2,2,1)),"")))</f>
        <v/>
      </c>
      <c r="H1860">
        <f>IF(F1860="",0,IF(COUNTIF(Настройки!$B$17:$B$26,F1860)&gt;0,1,IF(COUNTIF(Настройки!$C$17:$C$26,F1860)&gt;0,2,IF(COUNTIF(Настройки!$D$17:$D$26,F1860)&gt;0,3,0))))</f>
        <v/>
      </c>
      <c r="I1860">
        <f>IF(AND(ISNUMBER(A1860),ISNUMBER(B1860)),A1860*1000+B1860,"")</f>
        <v/>
      </c>
      <c r="J1860">
        <f>IF(I1860="","",IF(COUNTIF(I$2:I1860,I1860)=1,MAX(J$1:J1859)+1,""))</f>
        <v/>
      </c>
    </row>
    <row r="1861">
      <c r="A1861">
        <f>IFERROR(--SUBSTITUTE(SUBSTITUTE(TRIM(INDEX(INDIRECT("'Выгрузка'!A1861:Z1861"),Настройки!$B$7)),",","."),".",MID(1/2,2,1)),"")</f>
        <v/>
      </c>
      <c r="B1861">
        <f>IFERROR(--SUBSTITUTE(SUBSTITUTE(TRIM(INDEX(INDIRECT("'Выгрузка'!A1861:Z1861"),Настройки!$B$9)),",","."),".",MID(1/2,2,1)),"")</f>
        <v/>
      </c>
      <c r="C1861">
        <f>TRIM(INDEX(INDIRECT("'Выгрузка'!A1861:Z1861"),Настройки!$B$8)&amp;"")</f>
        <v/>
      </c>
      <c r="D1861">
        <f>IFERROR(--SUBSTITUTE(SUBSTITUTE(TRIM(INDEX(INDIRECT("'Выгрузка'!A1861:Z1861"),Настройки!$B$10)),",","."),".",MID(1/2,2,1)),"")</f>
        <v/>
      </c>
      <c r="E1861">
        <f>IFERROR(--SUBSTITUTE(SUBSTITUTE(TRIM(INDEX(INDIRECT("'Выгрузка'!A1861:Z1861"),Настройки!$B$11)),",","."),".",MID(1/2,2,1)),"")</f>
        <v/>
      </c>
      <c r="F1861">
        <f>TRIM(INDEX(INDIRECT("'Выгрузка'!A1861:Z1861"),Настройки!$B$12)&amp;"")</f>
        <v/>
      </c>
      <c r="G1861">
        <f>IF(F1861="",0,IF(TRIM(INDEX(INDIRECT("'Выгрузка'!A1861:Z1861"),Настройки!$B$13)&amp;"")="",1,IFERROR(--SUBSTITUTE(SUBSTITUTE(TRIM(INDEX(INDIRECT("'Выгрузка'!A1861:Z1861"),Настройки!$B$13)),",","."),".",MID(1/2,2,1)),"")))</f>
        <v/>
      </c>
      <c r="H1861">
        <f>IF(F1861="",0,IF(COUNTIF(Настройки!$B$17:$B$26,F1861)&gt;0,1,IF(COUNTIF(Настройки!$C$17:$C$26,F1861)&gt;0,2,IF(COUNTIF(Настройки!$D$17:$D$26,F1861)&gt;0,3,0))))</f>
        <v/>
      </c>
      <c r="I1861">
        <f>IF(AND(ISNUMBER(A1861),ISNUMBER(B1861)),A1861*1000+B1861,"")</f>
        <v/>
      </c>
      <c r="J1861">
        <f>IF(I1861="","",IF(COUNTIF(I$2:I1861,I1861)=1,MAX(J$1:J1860)+1,""))</f>
        <v/>
      </c>
    </row>
    <row r="1862">
      <c r="A1862">
        <f>IFERROR(--SUBSTITUTE(SUBSTITUTE(TRIM(INDEX(INDIRECT("'Выгрузка'!A1862:Z1862"),Настройки!$B$7)),",","."),".",MID(1/2,2,1)),"")</f>
        <v/>
      </c>
      <c r="B1862">
        <f>IFERROR(--SUBSTITUTE(SUBSTITUTE(TRIM(INDEX(INDIRECT("'Выгрузка'!A1862:Z1862"),Настройки!$B$9)),",","."),".",MID(1/2,2,1)),"")</f>
        <v/>
      </c>
      <c r="C1862">
        <f>TRIM(INDEX(INDIRECT("'Выгрузка'!A1862:Z1862"),Настройки!$B$8)&amp;"")</f>
        <v/>
      </c>
      <c r="D1862">
        <f>IFERROR(--SUBSTITUTE(SUBSTITUTE(TRIM(INDEX(INDIRECT("'Выгрузка'!A1862:Z1862"),Настройки!$B$10)),",","."),".",MID(1/2,2,1)),"")</f>
        <v/>
      </c>
      <c r="E1862">
        <f>IFERROR(--SUBSTITUTE(SUBSTITUTE(TRIM(INDEX(INDIRECT("'Выгрузка'!A1862:Z1862"),Настройки!$B$11)),",","."),".",MID(1/2,2,1)),"")</f>
        <v/>
      </c>
      <c r="F1862">
        <f>TRIM(INDEX(INDIRECT("'Выгрузка'!A1862:Z1862"),Настройки!$B$12)&amp;"")</f>
        <v/>
      </c>
      <c r="G1862">
        <f>IF(F1862="",0,IF(TRIM(INDEX(INDIRECT("'Выгрузка'!A1862:Z1862"),Настройки!$B$13)&amp;"")="",1,IFERROR(--SUBSTITUTE(SUBSTITUTE(TRIM(INDEX(INDIRECT("'Выгрузка'!A1862:Z1862"),Настройки!$B$13)),",","."),".",MID(1/2,2,1)),"")))</f>
        <v/>
      </c>
      <c r="H1862">
        <f>IF(F1862="",0,IF(COUNTIF(Настройки!$B$17:$B$26,F1862)&gt;0,1,IF(COUNTIF(Настройки!$C$17:$C$26,F1862)&gt;0,2,IF(COUNTIF(Настройки!$D$17:$D$26,F1862)&gt;0,3,0))))</f>
        <v/>
      </c>
      <c r="I1862">
        <f>IF(AND(ISNUMBER(A1862),ISNUMBER(B1862)),A1862*1000+B1862,"")</f>
        <v/>
      </c>
      <c r="J1862">
        <f>IF(I1862="","",IF(COUNTIF(I$2:I1862,I1862)=1,MAX(J$1:J1861)+1,""))</f>
        <v/>
      </c>
    </row>
    <row r="1863">
      <c r="A1863">
        <f>IFERROR(--SUBSTITUTE(SUBSTITUTE(TRIM(INDEX(INDIRECT("'Выгрузка'!A1863:Z1863"),Настройки!$B$7)),",","."),".",MID(1/2,2,1)),"")</f>
        <v/>
      </c>
      <c r="B1863">
        <f>IFERROR(--SUBSTITUTE(SUBSTITUTE(TRIM(INDEX(INDIRECT("'Выгрузка'!A1863:Z1863"),Настройки!$B$9)),",","."),".",MID(1/2,2,1)),"")</f>
        <v/>
      </c>
      <c r="C1863">
        <f>TRIM(INDEX(INDIRECT("'Выгрузка'!A1863:Z1863"),Настройки!$B$8)&amp;"")</f>
        <v/>
      </c>
      <c r="D1863">
        <f>IFERROR(--SUBSTITUTE(SUBSTITUTE(TRIM(INDEX(INDIRECT("'Выгрузка'!A1863:Z1863"),Настройки!$B$10)),",","."),".",MID(1/2,2,1)),"")</f>
        <v/>
      </c>
      <c r="E1863">
        <f>IFERROR(--SUBSTITUTE(SUBSTITUTE(TRIM(INDEX(INDIRECT("'Выгрузка'!A1863:Z1863"),Настройки!$B$11)),",","."),".",MID(1/2,2,1)),"")</f>
        <v/>
      </c>
      <c r="F1863">
        <f>TRIM(INDEX(INDIRECT("'Выгрузка'!A1863:Z1863"),Настройки!$B$12)&amp;"")</f>
        <v/>
      </c>
      <c r="G1863">
        <f>IF(F1863="",0,IF(TRIM(INDEX(INDIRECT("'Выгрузка'!A1863:Z1863"),Настройки!$B$13)&amp;"")="",1,IFERROR(--SUBSTITUTE(SUBSTITUTE(TRIM(INDEX(INDIRECT("'Выгрузка'!A1863:Z1863"),Настройки!$B$13)),",","."),".",MID(1/2,2,1)),"")))</f>
        <v/>
      </c>
      <c r="H1863">
        <f>IF(F1863="",0,IF(COUNTIF(Настройки!$B$17:$B$26,F1863)&gt;0,1,IF(COUNTIF(Настройки!$C$17:$C$26,F1863)&gt;0,2,IF(COUNTIF(Настройки!$D$17:$D$26,F1863)&gt;0,3,0))))</f>
        <v/>
      </c>
      <c r="I1863">
        <f>IF(AND(ISNUMBER(A1863),ISNUMBER(B1863)),A1863*1000+B1863,"")</f>
        <v/>
      </c>
      <c r="J1863">
        <f>IF(I1863="","",IF(COUNTIF(I$2:I1863,I1863)=1,MAX(J$1:J1862)+1,""))</f>
        <v/>
      </c>
    </row>
    <row r="1864">
      <c r="A1864">
        <f>IFERROR(--SUBSTITUTE(SUBSTITUTE(TRIM(INDEX(INDIRECT("'Выгрузка'!A1864:Z1864"),Настройки!$B$7)),",","."),".",MID(1/2,2,1)),"")</f>
        <v/>
      </c>
      <c r="B1864">
        <f>IFERROR(--SUBSTITUTE(SUBSTITUTE(TRIM(INDEX(INDIRECT("'Выгрузка'!A1864:Z1864"),Настройки!$B$9)),",","."),".",MID(1/2,2,1)),"")</f>
        <v/>
      </c>
      <c r="C1864">
        <f>TRIM(INDEX(INDIRECT("'Выгрузка'!A1864:Z1864"),Настройки!$B$8)&amp;"")</f>
        <v/>
      </c>
      <c r="D1864">
        <f>IFERROR(--SUBSTITUTE(SUBSTITUTE(TRIM(INDEX(INDIRECT("'Выгрузка'!A1864:Z1864"),Настройки!$B$10)),",","."),".",MID(1/2,2,1)),"")</f>
        <v/>
      </c>
      <c r="E1864">
        <f>IFERROR(--SUBSTITUTE(SUBSTITUTE(TRIM(INDEX(INDIRECT("'Выгрузка'!A1864:Z1864"),Настройки!$B$11)),",","."),".",MID(1/2,2,1)),"")</f>
        <v/>
      </c>
      <c r="F1864">
        <f>TRIM(INDEX(INDIRECT("'Выгрузка'!A1864:Z1864"),Настройки!$B$12)&amp;"")</f>
        <v/>
      </c>
      <c r="G1864">
        <f>IF(F1864="",0,IF(TRIM(INDEX(INDIRECT("'Выгрузка'!A1864:Z1864"),Настройки!$B$13)&amp;"")="",1,IFERROR(--SUBSTITUTE(SUBSTITUTE(TRIM(INDEX(INDIRECT("'Выгрузка'!A1864:Z1864"),Настройки!$B$13)),",","."),".",MID(1/2,2,1)),"")))</f>
        <v/>
      </c>
      <c r="H1864">
        <f>IF(F1864="",0,IF(COUNTIF(Настройки!$B$17:$B$26,F1864)&gt;0,1,IF(COUNTIF(Настройки!$C$17:$C$26,F1864)&gt;0,2,IF(COUNTIF(Настройки!$D$17:$D$26,F1864)&gt;0,3,0))))</f>
        <v/>
      </c>
      <c r="I1864">
        <f>IF(AND(ISNUMBER(A1864),ISNUMBER(B1864)),A1864*1000+B1864,"")</f>
        <v/>
      </c>
      <c r="J1864">
        <f>IF(I1864="","",IF(COUNTIF(I$2:I1864,I1864)=1,MAX(J$1:J1863)+1,""))</f>
        <v/>
      </c>
    </row>
    <row r="1865">
      <c r="A1865">
        <f>IFERROR(--SUBSTITUTE(SUBSTITUTE(TRIM(INDEX(INDIRECT("'Выгрузка'!A1865:Z1865"),Настройки!$B$7)),",","."),".",MID(1/2,2,1)),"")</f>
        <v/>
      </c>
      <c r="B1865">
        <f>IFERROR(--SUBSTITUTE(SUBSTITUTE(TRIM(INDEX(INDIRECT("'Выгрузка'!A1865:Z1865"),Настройки!$B$9)),",","."),".",MID(1/2,2,1)),"")</f>
        <v/>
      </c>
      <c r="C1865">
        <f>TRIM(INDEX(INDIRECT("'Выгрузка'!A1865:Z1865"),Настройки!$B$8)&amp;"")</f>
        <v/>
      </c>
      <c r="D1865">
        <f>IFERROR(--SUBSTITUTE(SUBSTITUTE(TRIM(INDEX(INDIRECT("'Выгрузка'!A1865:Z1865"),Настройки!$B$10)),",","."),".",MID(1/2,2,1)),"")</f>
        <v/>
      </c>
      <c r="E1865">
        <f>IFERROR(--SUBSTITUTE(SUBSTITUTE(TRIM(INDEX(INDIRECT("'Выгрузка'!A1865:Z1865"),Настройки!$B$11)),",","."),".",MID(1/2,2,1)),"")</f>
        <v/>
      </c>
      <c r="F1865">
        <f>TRIM(INDEX(INDIRECT("'Выгрузка'!A1865:Z1865"),Настройки!$B$12)&amp;"")</f>
        <v/>
      </c>
      <c r="G1865">
        <f>IF(F1865="",0,IF(TRIM(INDEX(INDIRECT("'Выгрузка'!A1865:Z1865"),Настройки!$B$13)&amp;"")="",1,IFERROR(--SUBSTITUTE(SUBSTITUTE(TRIM(INDEX(INDIRECT("'Выгрузка'!A1865:Z1865"),Настройки!$B$13)),",","."),".",MID(1/2,2,1)),"")))</f>
        <v/>
      </c>
      <c r="H1865">
        <f>IF(F1865="",0,IF(COUNTIF(Настройки!$B$17:$B$26,F1865)&gt;0,1,IF(COUNTIF(Настройки!$C$17:$C$26,F1865)&gt;0,2,IF(COUNTIF(Настройки!$D$17:$D$26,F1865)&gt;0,3,0))))</f>
        <v/>
      </c>
      <c r="I1865">
        <f>IF(AND(ISNUMBER(A1865),ISNUMBER(B1865)),A1865*1000+B1865,"")</f>
        <v/>
      </c>
      <c r="J1865">
        <f>IF(I1865="","",IF(COUNTIF(I$2:I1865,I1865)=1,MAX(J$1:J1864)+1,""))</f>
        <v/>
      </c>
    </row>
    <row r="1866">
      <c r="A1866">
        <f>IFERROR(--SUBSTITUTE(SUBSTITUTE(TRIM(INDEX(INDIRECT("'Выгрузка'!A1866:Z1866"),Настройки!$B$7)),",","."),".",MID(1/2,2,1)),"")</f>
        <v/>
      </c>
      <c r="B1866">
        <f>IFERROR(--SUBSTITUTE(SUBSTITUTE(TRIM(INDEX(INDIRECT("'Выгрузка'!A1866:Z1866"),Настройки!$B$9)),",","."),".",MID(1/2,2,1)),"")</f>
        <v/>
      </c>
      <c r="C1866">
        <f>TRIM(INDEX(INDIRECT("'Выгрузка'!A1866:Z1866"),Настройки!$B$8)&amp;"")</f>
        <v/>
      </c>
      <c r="D1866">
        <f>IFERROR(--SUBSTITUTE(SUBSTITUTE(TRIM(INDEX(INDIRECT("'Выгрузка'!A1866:Z1866"),Настройки!$B$10)),",","."),".",MID(1/2,2,1)),"")</f>
        <v/>
      </c>
      <c r="E1866">
        <f>IFERROR(--SUBSTITUTE(SUBSTITUTE(TRIM(INDEX(INDIRECT("'Выгрузка'!A1866:Z1866"),Настройки!$B$11)),",","."),".",MID(1/2,2,1)),"")</f>
        <v/>
      </c>
      <c r="F1866">
        <f>TRIM(INDEX(INDIRECT("'Выгрузка'!A1866:Z1866"),Настройки!$B$12)&amp;"")</f>
        <v/>
      </c>
      <c r="G1866">
        <f>IF(F1866="",0,IF(TRIM(INDEX(INDIRECT("'Выгрузка'!A1866:Z1866"),Настройки!$B$13)&amp;"")="",1,IFERROR(--SUBSTITUTE(SUBSTITUTE(TRIM(INDEX(INDIRECT("'Выгрузка'!A1866:Z1866"),Настройки!$B$13)),",","."),".",MID(1/2,2,1)),"")))</f>
        <v/>
      </c>
      <c r="H1866">
        <f>IF(F1866="",0,IF(COUNTIF(Настройки!$B$17:$B$26,F1866)&gt;0,1,IF(COUNTIF(Настройки!$C$17:$C$26,F1866)&gt;0,2,IF(COUNTIF(Настройки!$D$17:$D$26,F1866)&gt;0,3,0))))</f>
        <v/>
      </c>
      <c r="I1866">
        <f>IF(AND(ISNUMBER(A1866),ISNUMBER(B1866)),A1866*1000+B1866,"")</f>
        <v/>
      </c>
      <c r="J1866">
        <f>IF(I1866="","",IF(COUNTIF(I$2:I1866,I1866)=1,MAX(J$1:J1865)+1,""))</f>
        <v/>
      </c>
    </row>
    <row r="1867">
      <c r="A1867">
        <f>IFERROR(--SUBSTITUTE(SUBSTITUTE(TRIM(INDEX(INDIRECT("'Выгрузка'!A1867:Z1867"),Настройки!$B$7)),",","."),".",MID(1/2,2,1)),"")</f>
        <v/>
      </c>
      <c r="B1867">
        <f>IFERROR(--SUBSTITUTE(SUBSTITUTE(TRIM(INDEX(INDIRECT("'Выгрузка'!A1867:Z1867"),Настройки!$B$9)),",","."),".",MID(1/2,2,1)),"")</f>
        <v/>
      </c>
      <c r="C1867">
        <f>TRIM(INDEX(INDIRECT("'Выгрузка'!A1867:Z1867"),Настройки!$B$8)&amp;"")</f>
        <v/>
      </c>
      <c r="D1867">
        <f>IFERROR(--SUBSTITUTE(SUBSTITUTE(TRIM(INDEX(INDIRECT("'Выгрузка'!A1867:Z1867"),Настройки!$B$10)),",","."),".",MID(1/2,2,1)),"")</f>
        <v/>
      </c>
      <c r="E1867">
        <f>IFERROR(--SUBSTITUTE(SUBSTITUTE(TRIM(INDEX(INDIRECT("'Выгрузка'!A1867:Z1867"),Настройки!$B$11)),",","."),".",MID(1/2,2,1)),"")</f>
        <v/>
      </c>
      <c r="F1867">
        <f>TRIM(INDEX(INDIRECT("'Выгрузка'!A1867:Z1867"),Настройки!$B$12)&amp;"")</f>
        <v/>
      </c>
      <c r="G1867">
        <f>IF(F1867="",0,IF(TRIM(INDEX(INDIRECT("'Выгрузка'!A1867:Z1867"),Настройки!$B$13)&amp;"")="",1,IFERROR(--SUBSTITUTE(SUBSTITUTE(TRIM(INDEX(INDIRECT("'Выгрузка'!A1867:Z1867"),Настройки!$B$13)),",","."),".",MID(1/2,2,1)),"")))</f>
        <v/>
      </c>
      <c r="H1867">
        <f>IF(F1867="",0,IF(COUNTIF(Настройки!$B$17:$B$26,F1867)&gt;0,1,IF(COUNTIF(Настройки!$C$17:$C$26,F1867)&gt;0,2,IF(COUNTIF(Настройки!$D$17:$D$26,F1867)&gt;0,3,0))))</f>
        <v/>
      </c>
      <c r="I1867">
        <f>IF(AND(ISNUMBER(A1867),ISNUMBER(B1867)),A1867*1000+B1867,"")</f>
        <v/>
      </c>
      <c r="J1867">
        <f>IF(I1867="","",IF(COUNTIF(I$2:I1867,I1867)=1,MAX(J$1:J1866)+1,""))</f>
        <v/>
      </c>
    </row>
    <row r="1868">
      <c r="A1868">
        <f>IFERROR(--SUBSTITUTE(SUBSTITUTE(TRIM(INDEX(INDIRECT("'Выгрузка'!A1868:Z1868"),Настройки!$B$7)),",","."),".",MID(1/2,2,1)),"")</f>
        <v/>
      </c>
      <c r="B1868">
        <f>IFERROR(--SUBSTITUTE(SUBSTITUTE(TRIM(INDEX(INDIRECT("'Выгрузка'!A1868:Z1868"),Настройки!$B$9)),",","."),".",MID(1/2,2,1)),"")</f>
        <v/>
      </c>
      <c r="C1868">
        <f>TRIM(INDEX(INDIRECT("'Выгрузка'!A1868:Z1868"),Настройки!$B$8)&amp;"")</f>
        <v/>
      </c>
      <c r="D1868">
        <f>IFERROR(--SUBSTITUTE(SUBSTITUTE(TRIM(INDEX(INDIRECT("'Выгрузка'!A1868:Z1868"),Настройки!$B$10)),",","."),".",MID(1/2,2,1)),"")</f>
        <v/>
      </c>
      <c r="E1868">
        <f>IFERROR(--SUBSTITUTE(SUBSTITUTE(TRIM(INDEX(INDIRECT("'Выгрузка'!A1868:Z1868"),Настройки!$B$11)),",","."),".",MID(1/2,2,1)),"")</f>
        <v/>
      </c>
      <c r="F1868">
        <f>TRIM(INDEX(INDIRECT("'Выгрузка'!A1868:Z1868"),Настройки!$B$12)&amp;"")</f>
        <v/>
      </c>
      <c r="G1868">
        <f>IF(F1868="",0,IF(TRIM(INDEX(INDIRECT("'Выгрузка'!A1868:Z1868"),Настройки!$B$13)&amp;"")="",1,IFERROR(--SUBSTITUTE(SUBSTITUTE(TRIM(INDEX(INDIRECT("'Выгрузка'!A1868:Z1868"),Настройки!$B$13)),",","."),".",MID(1/2,2,1)),"")))</f>
        <v/>
      </c>
      <c r="H1868">
        <f>IF(F1868="",0,IF(COUNTIF(Настройки!$B$17:$B$26,F1868)&gt;0,1,IF(COUNTIF(Настройки!$C$17:$C$26,F1868)&gt;0,2,IF(COUNTIF(Настройки!$D$17:$D$26,F1868)&gt;0,3,0))))</f>
        <v/>
      </c>
      <c r="I1868">
        <f>IF(AND(ISNUMBER(A1868),ISNUMBER(B1868)),A1868*1000+B1868,"")</f>
        <v/>
      </c>
      <c r="J1868">
        <f>IF(I1868="","",IF(COUNTIF(I$2:I1868,I1868)=1,MAX(J$1:J1867)+1,""))</f>
        <v/>
      </c>
    </row>
    <row r="1869">
      <c r="A1869">
        <f>IFERROR(--SUBSTITUTE(SUBSTITUTE(TRIM(INDEX(INDIRECT("'Выгрузка'!A1869:Z1869"),Настройки!$B$7)),",","."),".",MID(1/2,2,1)),"")</f>
        <v/>
      </c>
      <c r="B1869">
        <f>IFERROR(--SUBSTITUTE(SUBSTITUTE(TRIM(INDEX(INDIRECT("'Выгрузка'!A1869:Z1869"),Настройки!$B$9)),",","."),".",MID(1/2,2,1)),"")</f>
        <v/>
      </c>
      <c r="C1869">
        <f>TRIM(INDEX(INDIRECT("'Выгрузка'!A1869:Z1869"),Настройки!$B$8)&amp;"")</f>
        <v/>
      </c>
      <c r="D1869">
        <f>IFERROR(--SUBSTITUTE(SUBSTITUTE(TRIM(INDEX(INDIRECT("'Выгрузка'!A1869:Z1869"),Настройки!$B$10)),",","."),".",MID(1/2,2,1)),"")</f>
        <v/>
      </c>
      <c r="E1869">
        <f>IFERROR(--SUBSTITUTE(SUBSTITUTE(TRIM(INDEX(INDIRECT("'Выгрузка'!A1869:Z1869"),Настройки!$B$11)),",","."),".",MID(1/2,2,1)),"")</f>
        <v/>
      </c>
      <c r="F1869">
        <f>TRIM(INDEX(INDIRECT("'Выгрузка'!A1869:Z1869"),Настройки!$B$12)&amp;"")</f>
        <v/>
      </c>
      <c r="G1869">
        <f>IF(F1869="",0,IF(TRIM(INDEX(INDIRECT("'Выгрузка'!A1869:Z1869"),Настройки!$B$13)&amp;"")="",1,IFERROR(--SUBSTITUTE(SUBSTITUTE(TRIM(INDEX(INDIRECT("'Выгрузка'!A1869:Z1869"),Настройки!$B$13)),",","."),".",MID(1/2,2,1)),"")))</f>
        <v/>
      </c>
      <c r="H1869">
        <f>IF(F1869="",0,IF(COUNTIF(Настройки!$B$17:$B$26,F1869)&gt;0,1,IF(COUNTIF(Настройки!$C$17:$C$26,F1869)&gt;0,2,IF(COUNTIF(Настройки!$D$17:$D$26,F1869)&gt;0,3,0))))</f>
        <v/>
      </c>
      <c r="I1869">
        <f>IF(AND(ISNUMBER(A1869),ISNUMBER(B1869)),A1869*1000+B1869,"")</f>
        <v/>
      </c>
      <c r="J1869">
        <f>IF(I1869="","",IF(COUNTIF(I$2:I1869,I1869)=1,MAX(J$1:J1868)+1,""))</f>
        <v/>
      </c>
    </row>
    <row r="1870">
      <c r="A1870">
        <f>IFERROR(--SUBSTITUTE(SUBSTITUTE(TRIM(INDEX(INDIRECT("'Выгрузка'!A1870:Z1870"),Настройки!$B$7)),",","."),".",MID(1/2,2,1)),"")</f>
        <v/>
      </c>
      <c r="B1870">
        <f>IFERROR(--SUBSTITUTE(SUBSTITUTE(TRIM(INDEX(INDIRECT("'Выгрузка'!A1870:Z1870"),Настройки!$B$9)),",","."),".",MID(1/2,2,1)),"")</f>
        <v/>
      </c>
      <c r="C1870">
        <f>TRIM(INDEX(INDIRECT("'Выгрузка'!A1870:Z1870"),Настройки!$B$8)&amp;"")</f>
        <v/>
      </c>
      <c r="D1870">
        <f>IFERROR(--SUBSTITUTE(SUBSTITUTE(TRIM(INDEX(INDIRECT("'Выгрузка'!A1870:Z1870"),Настройки!$B$10)),",","."),".",MID(1/2,2,1)),"")</f>
        <v/>
      </c>
      <c r="E1870">
        <f>IFERROR(--SUBSTITUTE(SUBSTITUTE(TRIM(INDEX(INDIRECT("'Выгрузка'!A1870:Z1870"),Настройки!$B$11)),",","."),".",MID(1/2,2,1)),"")</f>
        <v/>
      </c>
      <c r="F1870">
        <f>TRIM(INDEX(INDIRECT("'Выгрузка'!A1870:Z1870"),Настройки!$B$12)&amp;"")</f>
        <v/>
      </c>
      <c r="G1870">
        <f>IF(F1870="",0,IF(TRIM(INDEX(INDIRECT("'Выгрузка'!A1870:Z1870"),Настройки!$B$13)&amp;"")="",1,IFERROR(--SUBSTITUTE(SUBSTITUTE(TRIM(INDEX(INDIRECT("'Выгрузка'!A1870:Z1870"),Настройки!$B$13)),",","."),".",MID(1/2,2,1)),"")))</f>
        <v/>
      </c>
      <c r="H1870">
        <f>IF(F1870="",0,IF(COUNTIF(Настройки!$B$17:$B$26,F1870)&gt;0,1,IF(COUNTIF(Настройки!$C$17:$C$26,F1870)&gt;0,2,IF(COUNTIF(Настройки!$D$17:$D$26,F1870)&gt;0,3,0))))</f>
        <v/>
      </c>
      <c r="I1870">
        <f>IF(AND(ISNUMBER(A1870),ISNUMBER(B1870)),A1870*1000+B1870,"")</f>
        <v/>
      </c>
      <c r="J1870">
        <f>IF(I1870="","",IF(COUNTIF(I$2:I1870,I1870)=1,MAX(J$1:J1869)+1,""))</f>
        <v/>
      </c>
    </row>
    <row r="1871">
      <c r="A1871">
        <f>IFERROR(--SUBSTITUTE(SUBSTITUTE(TRIM(INDEX(INDIRECT("'Выгрузка'!A1871:Z1871"),Настройки!$B$7)),",","."),".",MID(1/2,2,1)),"")</f>
        <v/>
      </c>
      <c r="B1871">
        <f>IFERROR(--SUBSTITUTE(SUBSTITUTE(TRIM(INDEX(INDIRECT("'Выгрузка'!A1871:Z1871"),Настройки!$B$9)),",","."),".",MID(1/2,2,1)),"")</f>
        <v/>
      </c>
      <c r="C1871">
        <f>TRIM(INDEX(INDIRECT("'Выгрузка'!A1871:Z1871"),Настройки!$B$8)&amp;"")</f>
        <v/>
      </c>
      <c r="D1871">
        <f>IFERROR(--SUBSTITUTE(SUBSTITUTE(TRIM(INDEX(INDIRECT("'Выгрузка'!A1871:Z1871"),Настройки!$B$10)),",","."),".",MID(1/2,2,1)),"")</f>
        <v/>
      </c>
      <c r="E1871">
        <f>IFERROR(--SUBSTITUTE(SUBSTITUTE(TRIM(INDEX(INDIRECT("'Выгрузка'!A1871:Z1871"),Настройки!$B$11)),",","."),".",MID(1/2,2,1)),"")</f>
        <v/>
      </c>
      <c r="F1871">
        <f>TRIM(INDEX(INDIRECT("'Выгрузка'!A1871:Z1871"),Настройки!$B$12)&amp;"")</f>
        <v/>
      </c>
      <c r="G1871">
        <f>IF(F1871="",0,IF(TRIM(INDEX(INDIRECT("'Выгрузка'!A1871:Z1871"),Настройки!$B$13)&amp;"")="",1,IFERROR(--SUBSTITUTE(SUBSTITUTE(TRIM(INDEX(INDIRECT("'Выгрузка'!A1871:Z1871"),Настройки!$B$13)),",","."),".",MID(1/2,2,1)),"")))</f>
        <v/>
      </c>
      <c r="H1871">
        <f>IF(F1871="",0,IF(COUNTIF(Настройки!$B$17:$B$26,F1871)&gt;0,1,IF(COUNTIF(Настройки!$C$17:$C$26,F1871)&gt;0,2,IF(COUNTIF(Настройки!$D$17:$D$26,F1871)&gt;0,3,0))))</f>
        <v/>
      </c>
      <c r="I1871">
        <f>IF(AND(ISNUMBER(A1871),ISNUMBER(B1871)),A1871*1000+B1871,"")</f>
        <v/>
      </c>
      <c r="J1871">
        <f>IF(I1871="","",IF(COUNTIF(I$2:I1871,I1871)=1,MAX(J$1:J1870)+1,""))</f>
        <v/>
      </c>
    </row>
    <row r="1872">
      <c r="A1872">
        <f>IFERROR(--SUBSTITUTE(SUBSTITUTE(TRIM(INDEX(INDIRECT("'Выгрузка'!A1872:Z1872"),Настройки!$B$7)),",","."),".",MID(1/2,2,1)),"")</f>
        <v/>
      </c>
      <c r="B1872">
        <f>IFERROR(--SUBSTITUTE(SUBSTITUTE(TRIM(INDEX(INDIRECT("'Выгрузка'!A1872:Z1872"),Настройки!$B$9)),",","."),".",MID(1/2,2,1)),"")</f>
        <v/>
      </c>
      <c r="C1872">
        <f>TRIM(INDEX(INDIRECT("'Выгрузка'!A1872:Z1872"),Настройки!$B$8)&amp;"")</f>
        <v/>
      </c>
      <c r="D1872">
        <f>IFERROR(--SUBSTITUTE(SUBSTITUTE(TRIM(INDEX(INDIRECT("'Выгрузка'!A1872:Z1872"),Настройки!$B$10)),",","."),".",MID(1/2,2,1)),"")</f>
        <v/>
      </c>
      <c r="E1872">
        <f>IFERROR(--SUBSTITUTE(SUBSTITUTE(TRIM(INDEX(INDIRECT("'Выгрузка'!A1872:Z1872"),Настройки!$B$11)),",","."),".",MID(1/2,2,1)),"")</f>
        <v/>
      </c>
      <c r="F1872">
        <f>TRIM(INDEX(INDIRECT("'Выгрузка'!A1872:Z1872"),Настройки!$B$12)&amp;"")</f>
        <v/>
      </c>
      <c r="G1872">
        <f>IF(F1872="",0,IF(TRIM(INDEX(INDIRECT("'Выгрузка'!A1872:Z1872"),Настройки!$B$13)&amp;"")="",1,IFERROR(--SUBSTITUTE(SUBSTITUTE(TRIM(INDEX(INDIRECT("'Выгрузка'!A1872:Z1872"),Настройки!$B$13)),",","."),".",MID(1/2,2,1)),"")))</f>
        <v/>
      </c>
      <c r="H1872">
        <f>IF(F1872="",0,IF(COUNTIF(Настройки!$B$17:$B$26,F1872)&gt;0,1,IF(COUNTIF(Настройки!$C$17:$C$26,F1872)&gt;0,2,IF(COUNTIF(Настройки!$D$17:$D$26,F1872)&gt;0,3,0))))</f>
        <v/>
      </c>
      <c r="I1872">
        <f>IF(AND(ISNUMBER(A1872),ISNUMBER(B1872)),A1872*1000+B1872,"")</f>
        <v/>
      </c>
      <c r="J1872">
        <f>IF(I1872="","",IF(COUNTIF(I$2:I1872,I1872)=1,MAX(J$1:J1871)+1,""))</f>
        <v/>
      </c>
    </row>
    <row r="1873">
      <c r="A1873">
        <f>IFERROR(--SUBSTITUTE(SUBSTITUTE(TRIM(INDEX(INDIRECT("'Выгрузка'!A1873:Z1873"),Настройки!$B$7)),",","."),".",MID(1/2,2,1)),"")</f>
        <v/>
      </c>
      <c r="B1873">
        <f>IFERROR(--SUBSTITUTE(SUBSTITUTE(TRIM(INDEX(INDIRECT("'Выгрузка'!A1873:Z1873"),Настройки!$B$9)),",","."),".",MID(1/2,2,1)),"")</f>
        <v/>
      </c>
      <c r="C1873">
        <f>TRIM(INDEX(INDIRECT("'Выгрузка'!A1873:Z1873"),Настройки!$B$8)&amp;"")</f>
        <v/>
      </c>
      <c r="D1873">
        <f>IFERROR(--SUBSTITUTE(SUBSTITUTE(TRIM(INDEX(INDIRECT("'Выгрузка'!A1873:Z1873"),Настройки!$B$10)),",","."),".",MID(1/2,2,1)),"")</f>
        <v/>
      </c>
      <c r="E1873">
        <f>IFERROR(--SUBSTITUTE(SUBSTITUTE(TRIM(INDEX(INDIRECT("'Выгрузка'!A1873:Z1873"),Настройки!$B$11)),",","."),".",MID(1/2,2,1)),"")</f>
        <v/>
      </c>
      <c r="F1873">
        <f>TRIM(INDEX(INDIRECT("'Выгрузка'!A1873:Z1873"),Настройки!$B$12)&amp;"")</f>
        <v/>
      </c>
      <c r="G1873">
        <f>IF(F1873="",0,IF(TRIM(INDEX(INDIRECT("'Выгрузка'!A1873:Z1873"),Настройки!$B$13)&amp;"")="",1,IFERROR(--SUBSTITUTE(SUBSTITUTE(TRIM(INDEX(INDIRECT("'Выгрузка'!A1873:Z1873"),Настройки!$B$13)),",","."),".",MID(1/2,2,1)),"")))</f>
        <v/>
      </c>
      <c r="H1873">
        <f>IF(F1873="",0,IF(COUNTIF(Настройки!$B$17:$B$26,F1873)&gt;0,1,IF(COUNTIF(Настройки!$C$17:$C$26,F1873)&gt;0,2,IF(COUNTIF(Настройки!$D$17:$D$26,F1873)&gt;0,3,0))))</f>
        <v/>
      </c>
      <c r="I1873">
        <f>IF(AND(ISNUMBER(A1873),ISNUMBER(B1873)),A1873*1000+B1873,"")</f>
        <v/>
      </c>
      <c r="J1873">
        <f>IF(I1873="","",IF(COUNTIF(I$2:I1873,I1873)=1,MAX(J$1:J1872)+1,""))</f>
        <v/>
      </c>
    </row>
    <row r="1874">
      <c r="A1874">
        <f>IFERROR(--SUBSTITUTE(SUBSTITUTE(TRIM(INDEX(INDIRECT("'Выгрузка'!A1874:Z1874"),Настройки!$B$7)),",","."),".",MID(1/2,2,1)),"")</f>
        <v/>
      </c>
      <c r="B1874">
        <f>IFERROR(--SUBSTITUTE(SUBSTITUTE(TRIM(INDEX(INDIRECT("'Выгрузка'!A1874:Z1874"),Настройки!$B$9)),",","."),".",MID(1/2,2,1)),"")</f>
        <v/>
      </c>
      <c r="C1874">
        <f>TRIM(INDEX(INDIRECT("'Выгрузка'!A1874:Z1874"),Настройки!$B$8)&amp;"")</f>
        <v/>
      </c>
      <c r="D1874">
        <f>IFERROR(--SUBSTITUTE(SUBSTITUTE(TRIM(INDEX(INDIRECT("'Выгрузка'!A1874:Z1874"),Настройки!$B$10)),",","."),".",MID(1/2,2,1)),"")</f>
        <v/>
      </c>
      <c r="E1874">
        <f>IFERROR(--SUBSTITUTE(SUBSTITUTE(TRIM(INDEX(INDIRECT("'Выгрузка'!A1874:Z1874"),Настройки!$B$11)),",","."),".",MID(1/2,2,1)),"")</f>
        <v/>
      </c>
      <c r="F1874">
        <f>TRIM(INDEX(INDIRECT("'Выгрузка'!A1874:Z1874"),Настройки!$B$12)&amp;"")</f>
        <v/>
      </c>
      <c r="G1874">
        <f>IF(F1874="",0,IF(TRIM(INDEX(INDIRECT("'Выгрузка'!A1874:Z1874"),Настройки!$B$13)&amp;"")="",1,IFERROR(--SUBSTITUTE(SUBSTITUTE(TRIM(INDEX(INDIRECT("'Выгрузка'!A1874:Z1874"),Настройки!$B$13)),",","."),".",MID(1/2,2,1)),"")))</f>
        <v/>
      </c>
      <c r="H1874">
        <f>IF(F1874="",0,IF(COUNTIF(Настройки!$B$17:$B$26,F1874)&gt;0,1,IF(COUNTIF(Настройки!$C$17:$C$26,F1874)&gt;0,2,IF(COUNTIF(Настройки!$D$17:$D$26,F1874)&gt;0,3,0))))</f>
        <v/>
      </c>
      <c r="I1874">
        <f>IF(AND(ISNUMBER(A1874),ISNUMBER(B1874)),A1874*1000+B1874,"")</f>
        <v/>
      </c>
      <c r="J1874">
        <f>IF(I1874="","",IF(COUNTIF(I$2:I1874,I1874)=1,MAX(J$1:J1873)+1,""))</f>
        <v/>
      </c>
    </row>
    <row r="1875">
      <c r="A1875">
        <f>IFERROR(--SUBSTITUTE(SUBSTITUTE(TRIM(INDEX(INDIRECT("'Выгрузка'!A1875:Z1875"),Настройки!$B$7)),",","."),".",MID(1/2,2,1)),"")</f>
        <v/>
      </c>
      <c r="B1875">
        <f>IFERROR(--SUBSTITUTE(SUBSTITUTE(TRIM(INDEX(INDIRECT("'Выгрузка'!A1875:Z1875"),Настройки!$B$9)),",","."),".",MID(1/2,2,1)),"")</f>
        <v/>
      </c>
      <c r="C1875">
        <f>TRIM(INDEX(INDIRECT("'Выгрузка'!A1875:Z1875"),Настройки!$B$8)&amp;"")</f>
        <v/>
      </c>
      <c r="D1875">
        <f>IFERROR(--SUBSTITUTE(SUBSTITUTE(TRIM(INDEX(INDIRECT("'Выгрузка'!A1875:Z1875"),Настройки!$B$10)),",","."),".",MID(1/2,2,1)),"")</f>
        <v/>
      </c>
      <c r="E1875">
        <f>IFERROR(--SUBSTITUTE(SUBSTITUTE(TRIM(INDEX(INDIRECT("'Выгрузка'!A1875:Z1875"),Настройки!$B$11)),",","."),".",MID(1/2,2,1)),"")</f>
        <v/>
      </c>
      <c r="F1875">
        <f>TRIM(INDEX(INDIRECT("'Выгрузка'!A1875:Z1875"),Настройки!$B$12)&amp;"")</f>
        <v/>
      </c>
      <c r="G1875">
        <f>IF(F1875="",0,IF(TRIM(INDEX(INDIRECT("'Выгрузка'!A1875:Z1875"),Настройки!$B$13)&amp;"")="",1,IFERROR(--SUBSTITUTE(SUBSTITUTE(TRIM(INDEX(INDIRECT("'Выгрузка'!A1875:Z1875"),Настройки!$B$13)),",","."),".",MID(1/2,2,1)),"")))</f>
        <v/>
      </c>
      <c r="H1875">
        <f>IF(F1875="",0,IF(COUNTIF(Настройки!$B$17:$B$26,F1875)&gt;0,1,IF(COUNTIF(Настройки!$C$17:$C$26,F1875)&gt;0,2,IF(COUNTIF(Настройки!$D$17:$D$26,F1875)&gt;0,3,0))))</f>
        <v/>
      </c>
      <c r="I1875">
        <f>IF(AND(ISNUMBER(A1875),ISNUMBER(B1875)),A1875*1000+B1875,"")</f>
        <v/>
      </c>
      <c r="J1875">
        <f>IF(I1875="","",IF(COUNTIF(I$2:I1875,I1875)=1,MAX(J$1:J1874)+1,""))</f>
        <v/>
      </c>
    </row>
    <row r="1876">
      <c r="A1876">
        <f>IFERROR(--SUBSTITUTE(SUBSTITUTE(TRIM(INDEX(INDIRECT("'Выгрузка'!A1876:Z1876"),Настройки!$B$7)),",","."),".",MID(1/2,2,1)),"")</f>
        <v/>
      </c>
      <c r="B1876">
        <f>IFERROR(--SUBSTITUTE(SUBSTITUTE(TRIM(INDEX(INDIRECT("'Выгрузка'!A1876:Z1876"),Настройки!$B$9)),",","."),".",MID(1/2,2,1)),"")</f>
        <v/>
      </c>
      <c r="C1876">
        <f>TRIM(INDEX(INDIRECT("'Выгрузка'!A1876:Z1876"),Настройки!$B$8)&amp;"")</f>
        <v/>
      </c>
      <c r="D1876">
        <f>IFERROR(--SUBSTITUTE(SUBSTITUTE(TRIM(INDEX(INDIRECT("'Выгрузка'!A1876:Z1876"),Настройки!$B$10)),",","."),".",MID(1/2,2,1)),"")</f>
        <v/>
      </c>
      <c r="E1876">
        <f>IFERROR(--SUBSTITUTE(SUBSTITUTE(TRIM(INDEX(INDIRECT("'Выгрузка'!A1876:Z1876"),Настройки!$B$11)),",","."),".",MID(1/2,2,1)),"")</f>
        <v/>
      </c>
      <c r="F1876">
        <f>TRIM(INDEX(INDIRECT("'Выгрузка'!A1876:Z1876"),Настройки!$B$12)&amp;"")</f>
        <v/>
      </c>
      <c r="G1876">
        <f>IF(F1876="",0,IF(TRIM(INDEX(INDIRECT("'Выгрузка'!A1876:Z1876"),Настройки!$B$13)&amp;"")="",1,IFERROR(--SUBSTITUTE(SUBSTITUTE(TRIM(INDEX(INDIRECT("'Выгрузка'!A1876:Z1876"),Настройки!$B$13)),",","."),".",MID(1/2,2,1)),"")))</f>
        <v/>
      </c>
      <c r="H1876">
        <f>IF(F1876="",0,IF(COUNTIF(Настройки!$B$17:$B$26,F1876)&gt;0,1,IF(COUNTIF(Настройки!$C$17:$C$26,F1876)&gt;0,2,IF(COUNTIF(Настройки!$D$17:$D$26,F1876)&gt;0,3,0))))</f>
        <v/>
      </c>
      <c r="I1876">
        <f>IF(AND(ISNUMBER(A1876),ISNUMBER(B1876)),A1876*1000+B1876,"")</f>
        <v/>
      </c>
      <c r="J1876">
        <f>IF(I1876="","",IF(COUNTIF(I$2:I1876,I1876)=1,MAX(J$1:J1875)+1,""))</f>
        <v/>
      </c>
    </row>
    <row r="1877">
      <c r="A1877">
        <f>IFERROR(--SUBSTITUTE(SUBSTITUTE(TRIM(INDEX(INDIRECT("'Выгрузка'!A1877:Z1877"),Настройки!$B$7)),",","."),".",MID(1/2,2,1)),"")</f>
        <v/>
      </c>
      <c r="B1877">
        <f>IFERROR(--SUBSTITUTE(SUBSTITUTE(TRIM(INDEX(INDIRECT("'Выгрузка'!A1877:Z1877"),Настройки!$B$9)),",","."),".",MID(1/2,2,1)),"")</f>
        <v/>
      </c>
      <c r="C1877">
        <f>TRIM(INDEX(INDIRECT("'Выгрузка'!A1877:Z1877"),Настройки!$B$8)&amp;"")</f>
        <v/>
      </c>
      <c r="D1877">
        <f>IFERROR(--SUBSTITUTE(SUBSTITUTE(TRIM(INDEX(INDIRECT("'Выгрузка'!A1877:Z1877"),Настройки!$B$10)),",","."),".",MID(1/2,2,1)),"")</f>
        <v/>
      </c>
      <c r="E1877">
        <f>IFERROR(--SUBSTITUTE(SUBSTITUTE(TRIM(INDEX(INDIRECT("'Выгрузка'!A1877:Z1877"),Настройки!$B$11)),",","."),".",MID(1/2,2,1)),"")</f>
        <v/>
      </c>
      <c r="F1877">
        <f>TRIM(INDEX(INDIRECT("'Выгрузка'!A1877:Z1877"),Настройки!$B$12)&amp;"")</f>
        <v/>
      </c>
      <c r="G1877">
        <f>IF(F1877="",0,IF(TRIM(INDEX(INDIRECT("'Выгрузка'!A1877:Z1877"),Настройки!$B$13)&amp;"")="",1,IFERROR(--SUBSTITUTE(SUBSTITUTE(TRIM(INDEX(INDIRECT("'Выгрузка'!A1877:Z1877"),Настройки!$B$13)),",","."),".",MID(1/2,2,1)),"")))</f>
        <v/>
      </c>
      <c r="H1877">
        <f>IF(F1877="",0,IF(COUNTIF(Настройки!$B$17:$B$26,F1877)&gt;0,1,IF(COUNTIF(Настройки!$C$17:$C$26,F1877)&gt;0,2,IF(COUNTIF(Настройки!$D$17:$D$26,F1877)&gt;0,3,0))))</f>
        <v/>
      </c>
      <c r="I1877">
        <f>IF(AND(ISNUMBER(A1877),ISNUMBER(B1877)),A1877*1000+B1877,"")</f>
        <v/>
      </c>
      <c r="J1877">
        <f>IF(I1877="","",IF(COUNTIF(I$2:I1877,I1877)=1,MAX(J$1:J1876)+1,""))</f>
        <v/>
      </c>
    </row>
    <row r="1878">
      <c r="A1878">
        <f>IFERROR(--SUBSTITUTE(SUBSTITUTE(TRIM(INDEX(INDIRECT("'Выгрузка'!A1878:Z1878"),Настройки!$B$7)),",","."),".",MID(1/2,2,1)),"")</f>
        <v/>
      </c>
      <c r="B1878">
        <f>IFERROR(--SUBSTITUTE(SUBSTITUTE(TRIM(INDEX(INDIRECT("'Выгрузка'!A1878:Z1878"),Настройки!$B$9)),",","."),".",MID(1/2,2,1)),"")</f>
        <v/>
      </c>
      <c r="C1878">
        <f>TRIM(INDEX(INDIRECT("'Выгрузка'!A1878:Z1878"),Настройки!$B$8)&amp;"")</f>
        <v/>
      </c>
      <c r="D1878">
        <f>IFERROR(--SUBSTITUTE(SUBSTITUTE(TRIM(INDEX(INDIRECT("'Выгрузка'!A1878:Z1878"),Настройки!$B$10)),",","."),".",MID(1/2,2,1)),"")</f>
        <v/>
      </c>
      <c r="E1878">
        <f>IFERROR(--SUBSTITUTE(SUBSTITUTE(TRIM(INDEX(INDIRECT("'Выгрузка'!A1878:Z1878"),Настройки!$B$11)),",","."),".",MID(1/2,2,1)),"")</f>
        <v/>
      </c>
      <c r="F1878">
        <f>TRIM(INDEX(INDIRECT("'Выгрузка'!A1878:Z1878"),Настройки!$B$12)&amp;"")</f>
        <v/>
      </c>
      <c r="G1878">
        <f>IF(F1878="",0,IF(TRIM(INDEX(INDIRECT("'Выгрузка'!A1878:Z1878"),Настройки!$B$13)&amp;"")="",1,IFERROR(--SUBSTITUTE(SUBSTITUTE(TRIM(INDEX(INDIRECT("'Выгрузка'!A1878:Z1878"),Настройки!$B$13)),",","."),".",MID(1/2,2,1)),"")))</f>
        <v/>
      </c>
      <c r="H1878">
        <f>IF(F1878="",0,IF(COUNTIF(Настройки!$B$17:$B$26,F1878)&gt;0,1,IF(COUNTIF(Настройки!$C$17:$C$26,F1878)&gt;0,2,IF(COUNTIF(Настройки!$D$17:$D$26,F1878)&gt;0,3,0))))</f>
        <v/>
      </c>
      <c r="I1878">
        <f>IF(AND(ISNUMBER(A1878),ISNUMBER(B1878)),A1878*1000+B1878,"")</f>
        <v/>
      </c>
      <c r="J1878">
        <f>IF(I1878="","",IF(COUNTIF(I$2:I1878,I1878)=1,MAX(J$1:J1877)+1,""))</f>
        <v/>
      </c>
    </row>
    <row r="1879">
      <c r="A1879">
        <f>IFERROR(--SUBSTITUTE(SUBSTITUTE(TRIM(INDEX(INDIRECT("'Выгрузка'!A1879:Z1879"),Настройки!$B$7)),",","."),".",MID(1/2,2,1)),"")</f>
        <v/>
      </c>
      <c r="B1879">
        <f>IFERROR(--SUBSTITUTE(SUBSTITUTE(TRIM(INDEX(INDIRECT("'Выгрузка'!A1879:Z1879"),Настройки!$B$9)),",","."),".",MID(1/2,2,1)),"")</f>
        <v/>
      </c>
      <c r="C1879">
        <f>TRIM(INDEX(INDIRECT("'Выгрузка'!A1879:Z1879"),Настройки!$B$8)&amp;"")</f>
        <v/>
      </c>
      <c r="D1879">
        <f>IFERROR(--SUBSTITUTE(SUBSTITUTE(TRIM(INDEX(INDIRECT("'Выгрузка'!A1879:Z1879"),Настройки!$B$10)),",","."),".",MID(1/2,2,1)),"")</f>
        <v/>
      </c>
      <c r="E1879">
        <f>IFERROR(--SUBSTITUTE(SUBSTITUTE(TRIM(INDEX(INDIRECT("'Выгрузка'!A1879:Z1879"),Настройки!$B$11)),",","."),".",MID(1/2,2,1)),"")</f>
        <v/>
      </c>
      <c r="F1879">
        <f>TRIM(INDEX(INDIRECT("'Выгрузка'!A1879:Z1879"),Настройки!$B$12)&amp;"")</f>
        <v/>
      </c>
      <c r="G1879">
        <f>IF(F1879="",0,IF(TRIM(INDEX(INDIRECT("'Выгрузка'!A1879:Z1879"),Настройки!$B$13)&amp;"")="",1,IFERROR(--SUBSTITUTE(SUBSTITUTE(TRIM(INDEX(INDIRECT("'Выгрузка'!A1879:Z1879"),Настройки!$B$13)),",","."),".",MID(1/2,2,1)),"")))</f>
        <v/>
      </c>
      <c r="H1879">
        <f>IF(F1879="",0,IF(COUNTIF(Настройки!$B$17:$B$26,F1879)&gt;0,1,IF(COUNTIF(Настройки!$C$17:$C$26,F1879)&gt;0,2,IF(COUNTIF(Настройки!$D$17:$D$26,F1879)&gt;0,3,0))))</f>
        <v/>
      </c>
      <c r="I1879">
        <f>IF(AND(ISNUMBER(A1879),ISNUMBER(B1879)),A1879*1000+B1879,"")</f>
        <v/>
      </c>
      <c r="J1879">
        <f>IF(I1879="","",IF(COUNTIF(I$2:I1879,I1879)=1,MAX(J$1:J1878)+1,""))</f>
        <v/>
      </c>
    </row>
    <row r="1880">
      <c r="A1880">
        <f>IFERROR(--SUBSTITUTE(SUBSTITUTE(TRIM(INDEX(INDIRECT("'Выгрузка'!A1880:Z1880"),Настройки!$B$7)),",","."),".",MID(1/2,2,1)),"")</f>
        <v/>
      </c>
      <c r="B1880">
        <f>IFERROR(--SUBSTITUTE(SUBSTITUTE(TRIM(INDEX(INDIRECT("'Выгрузка'!A1880:Z1880"),Настройки!$B$9)),",","."),".",MID(1/2,2,1)),"")</f>
        <v/>
      </c>
      <c r="C1880">
        <f>TRIM(INDEX(INDIRECT("'Выгрузка'!A1880:Z1880"),Настройки!$B$8)&amp;"")</f>
        <v/>
      </c>
      <c r="D1880">
        <f>IFERROR(--SUBSTITUTE(SUBSTITUTE(TRIM(INDEX(INDIRECT("'Выгрузка'!A1880:Z1880"),Настройки!$B$10)),",","."),".",MID(1/2,2,1)),"")</f>
        <v/>
      </c>
      <c r="E1880">
        <f>IFERROR(--SUBSTITUTE(SUBSTITUTE(TRIM(INDEX(INDIRECT("'Выгрузка'!A1880:Z1880"),Настройки!$B$11)),",","."),".",MID(1/2,2,1)),"")</f>
        <v/>
      </c>
      <c r="F1880">
        <f>TRIM(INDEX(INDIRECT("'Выгрузка'!A1880:Z1880"),Настройки!$B$12)&amp;"")</f>
        <v/>
      </c>
      <c r="G1880">
        <f>IF(F1880="",0,IF(TRIM(INDEX(INDIRECT("'Выгрузка'!A1880:Z1880"),Настройки!$B$13)&amp;"")="",1,IFERROR(--SUBSTITUTE(SUBSTITUTE(TRIM(INDEX(INDIRECT("'Выгрузка'!A1880:Z1880"),Настройки!$B$13)),",","."),".",MID(1/2,2,1)),"")))</f>
        <v/>
      </c>
      <c r="H1880">
        <f>IF(F1880="",0,IF(COUNTIF(Настройки!$B$17:$B$26,F1880)&gt;0,1,IF(COUNTIF(Настройки!$C$17:$C$26,F1880)&gt;0,2,IF(COUNTIF(Настройки!$D$17:$D$26,F1880)&gt;0,3,0))))</f>
        <v/>
      </c>
      <c r="I1880">
        <f>IF(AND(ISNUMBER(A1880),ISNUMBER(B1880)),A1880*1000+B1880,"")</f>
        <v/>
      </c>
      <c r="J1880">
        <f>IF(I1880="","",IF(COUNTIF(I$2:I1880,I1880)=1,MAX(J$1:J1879)+1,""))</f>
        <v/>
      </c>
    </row>
    <row r="1881">
      <c r="A1881">
        <f>IFERROR(--SUBSTITUTE(SUBSTITUTE(TRIM(INDEX(INDIRECT("'Выгрузка'!A1881:Z1881"),Настройки!$B$7)),",","."),".",MID(1/2,2,1)),"")</f>
        <v/>
      </c>
      <c r="B1881">
        <f>IFERROR(--SUBSTITUTE(SUBSTITUTE(TRIM(INDEX(INDIRECT("'Выгрузка'!A1881:Z1881"),Настройки!$B$9)),",","."),".",MID(1/2,2,1)),"")</f>
        <v/>
      </c>
      <c r="C1881">
        <f>TRIM(INDEX(INDIRECT("'Выгрузка'!A1881:Z1881"),Настройки!$B$8)&amp;"")</f>
        <v/>
      </c>
      <c r="D1881">
        <f>IFERROR(--SUBSTITUTE(SUBSTITUTE(TRIM(INDEX(INDIRECT("'Выгрузка'!A1881:Z1881"),Настройки!$B$10)),",","."),".",MID(1/2,2,1)),"")</f>
        <v/>
      </c>
      <c r="E1881">
        <f>IFERROR(--SUBSTITUTE(SUBSTITUTE(TRIM(INDEX(INDIRECT("'Выгрузка'!A1881:Z1881"),Настройки!$B$11)),",","."),".",MID(1/2,2,1)),"")</f>
        <v/>
      </c>
      <c r="F1881">
        <f>TRIM(INDEX(INDIRECT("'Выгрузка'!A1881:Z1881"),Настройки!$B$12)&amp;"")</f>
        <v/>
      </c>
      <c r="G1881">
        <f>IF(F1881="",0,IF(TRIM(INDEX(INDIRECT("'Выгрузка'!A1881:Z1881"),Настройки!$B$13)&amp;"")="",1,IFERROR(--SUBSTITUTE(SUBSTITUTE(TRIM(INDEX(INDIRECT("'Выгрузка'!A1881:Z1881"),Настройки!$B$13)),",","."),".",MID(1/2,2,1)),"")))</f>
        <v/>
      </c>
      <c r="H1881">
        <f>IF(F1881="",0,IF(COUNTIF(Настройки!$B$17:$B$26,F1881)&gt;0,1,IF(COUNTIF(Настройки!$C$17:$C$26,F1881)&gt;0,2,IF(COUNTIF(Настройки!$D$17:$D$26,F1881)&gt;0,3,0))))</f>
        <v/>
      </c>
      <c r="I1881">
        <f>IF(AND(ISNUMBER(A1881),ISNUMBER(B1881)),A1881*1000+B1881,"")</f>
        <v/>
      </c>
      <c r="J1881">
        <f>IF(I1881="","",IF(COUNTIF(I$2:I1881,I1881)=1,MAX(J$1:J1880)+1,""))</f>
        <v/>
      </c>
    </row>
    <row r="1882">
      <c r="A1882">
        <f>IFERROR(--SUBSTITUTE(SUBSTITUTE(TRIM(INDEX(INDIRECT("'Выгрузка'!A1882:Z1882"),Настройки!$B$7)),",","."),".",MID(1/2,2,1)),"")</f>
        <v/>
      </c>
      <c r="B1882">
        <f>IFERROR(--SUBSTITUTE(SUBSTITUTE(TRIM(INDEX(INDIRECT("'Выгрузка'!A1882:Z1882"),Настройки!$B$9)),",","."),".",MID(1/2,2,1)),"")</f>
        <v/>
      </c>
      <c r="C1882">
        <f>TRIM(INDEX(INDIRECT("'Выгрузка'!A1882:Z1882"),Настройки!$B$8)&amp;"")</f>
        <v/>
      </c>
      <c r="D1882">
        <f>IFERROR(--SUBSTITUTE(SUBSTITUTE(TRIM(INDEX(INDIRECT("'Выгрузка'!A1882:Z1882"),Настройки!$B$10)),",","."),".",MID(1/2,2,1)),"")</f>
        <v/>
      </c>
      <c r="E1882">
        <f>IFERROR(--SUBSTITUTE(SUBSTITUTE(TRIM(INDEX(INDIRECT("'Выгрузка'!A1882:Z1882"),Настройки!$B$11)),",","."),".",MID(1/2,2,1)),"")</f>
        <v/>
      </c>
      <c r="F1882">
        <f>TRIM(INDEX(INDIRECT("'Выгрузка'!A1882:Z1882"),Настройки!$B$12)&amp;"")</f>
        <v/>
      </c>
      <c r="G1882">
        <f>IF(F1882="",0,IF(TRIM(INDEX(INDIRECT("'Выгрузка'!A1882:Z1882"),Настройки!$B$13)&amp;"")="",1,IFERROR(--SUBSTITUTE(SUBSTITUTE(TRIM(INDEX(INDIRECT("'Выгрузка'!A1882:Z1882"),Настройки!$B$13)),",","."),".",MID(1/2,2,1)),"")))</f>
        <v/>
      </c>
      <c r="H1882">
        <f>IF(F1882="",0,IF(COUNTIF(Настройки!$B$17:$B$26,F1882)&gt;0,1,IF(COUNTIF(Настройки!$C$17:$C$26,F1882)&gt;0,2,IF(COUNTIF(Настройки!$D$17:$D$26,F1882)&gt;0,3,0))))</f>
        <v/>
      </c>
      <c r="I1882">
        <f>IF(AND(ISNUMBER(A1882),ISNUMBER(B1882)),A1882*1000+B1882,"")</f>
        <v/>
      </c>
      <c r="J1882">
        <f>IF(I1882="","",IF(COUNTIF(I$2:I1882,I1882)=1,MAX(J$1:J1881)+1,""))</f>
        <v/>
      </c>
    </row>
    <row r="1883">
      <c r="A1883">
        <f>IFERROR(--SUBSTITUTE(SUBSTITUTE(TRIM(INDEX(INDIRECT("'Выгрузка'!A1883:Z1883"),Настройки!$B$7)),",","."),".",MID(1/2,2,1)),"")</f>
        <v/>
      </c>
      <c r="B1883">
        <f>IFERROR(--SUBSTITUTE(SUBSTITUTE(TRIM(INDEX(INDIRECT("'Выгрузка'!A1883:Z1883"),Настройки!$B$9)),",","."),".",MID(1/2,2,1)),"")</f>
        <v/>
      </c>
      <c r="C1883">
        <f>TRIM(INDEX(INDIRECT("'Выгрузка'!A1883:Z1883"),Настройки!$B$8)&amp;"")</f>
        <v/>
      </c>
      <c r="D1883">
        <f>IFERROR(--SUBSTITUTE(SUBSTITUTE(TRIM(INDEX(INDIRECT("'Выгрузка'!A1883:Z1883"),Настройки!$B$10)),",","."),".",MID(1/2,2,1)),"")</f>
        <v/>
      </c>
      <c r="E1883">
        <f>IFERROR(--SUBSTITUTE(SUBSTITUTE(TRIM(INDEX(INDIRECT("'Выгрузка'!A1883:Z1883"),Настройки!$B$11)),",","."),".",MID(1/2,2,1)),"")</f>
        <v/>
      </c>
      <c r="F1883">
        <f>TRIM(INDEX(INDIRECT("'Выгрузка'!A1883:Z1883"),Настройки!$B$12)&amp;"")</f>
        <v/>
      </c>
      <c r="G1883">
        <f>IF(F1883="",0,IF(TRIM(INDEX(INDIRECT("'Выгрузка'!A1883:Z1883"),Настройки!$B$13)&amp;"")="",1,IFERROR(--SUBSTITUTE(SUBSTITUTE(TRIM(INDEX(INDIRECT("'Выгрузка'!A1883:Z1883"),Настройки!$B$13)),",","."),".",MID(1/2,2,1)),"")))</f>
        <v/>
      </c>
      <c r="H1883">
        <f>IF(F1883="",0,IF(COUNTIF(Настройки!$B$17:$B$26,F1883)&gt;0,1,IF(COUNTIF(Настройки!$C$17:$C$26,F1883)&gt;0,2,IF(COUNTIF(Настройки!$D$17:$D$26,F1883)&gt;0,3,0))))</f>
        <v/>
      </c>
      <c r="I1883">
        <f>IF(AND(ISNUMBER(A1883),ISNUMBER(B1883)),A1883*1000+B1883,"")</f>
        <v/>
      </c>
      <c r="J1883">
        <f>IF(I1883="","",IF(COUNTIF(I$2:I1883,I1883)=1,MAX(J$1:J1882)+1,""))</f>
        <v/>
      </c>
    </row>
    <row r="1884">
      <c r="A1884">
        <f>IFERROR(--SUBSTITUTE(SUBSTITUTE(TRIM(INDEX(INDIRECT("'Выгрузка'!A1884:Z1884"),Настройки!$B$7)),",","."),".",MID(1/2,2,1)),"")</f>
        <v/>
      </c>
      <c r="B1884">
        <f>IFERROR(--SUBSTITUTE(SUBSTITUTE(TRIM(INDEX(INDIRECT("'Выгрузка'!A1884:Z1884"),Настройки!$B$9)),",","."),".",MID(1/2,2,1)),"")</f>
        <v/>
      </c>
      <c r="C1884">
        <f>TRIM(INDEX(INDIRECT("'Выгрузка'!A1884:Z1884"),Настройки!$B$8)&amp;"")</f>
        <v/>
      </c>
      <c r="D1884">
        <f>IFERROR(--SUBSTITUTE(SUBSTITUTE(TRIM(INDEX(INDIRECT("'Выгрузка'!A1884:Z1884"),Настройки!$B$10)),",","."),".",MID(1/2,2,1)),"")</f>
        <v/>
      </c>
      <c r="E1884">
        <f>IFERROR(--SUBSTITUTE(SUBSTITUTE(TRIM(INDEX(INDIRECT("'Выгрузка'!A1884:Z1884"),Настройки!$B$11)),",","."),".",MID(1/2,2,1)),"")</f>
        <v/>
      </c>
      <c r="F1884">
        <f>TRIM(INDEX(INDIRECT("'Выгрузка'!A1884:Z1884"),Настройки!$B$12)&amp;"")</f>
        <v/>
      </c>
      <c r="G1884">
        <f>IF(F1884="",0,IF(TRIM(INDEX(INDIRECT("'Выгрузка'!A1884:Z1884"),Настройки!$B$13)&amp;"")="",1,IFERROR(--SUBSTITUTE(SUBSTITUTE(TRIM(INDEX(INDIRECT("'Выгрузка'!A1884:Z1884"),Настройки!$B$13)),",","."),".",MID(1/2,2,1)),"")))</f>
        <v/>
      </c>
      <c r="H1884">
        <f>IF(F1884="",0,IF(COUNTIF(Настройки!$B$17:$B$26,F1884)&gt;0,1,IF(COUNTIF(Настройки!$C$17:$C$26,F1884)&gt;0,2,IF(COUNTIF(Настройки!$D$17:$D$26,F1884)&gt;0,3,0))))</f>
        <v/>
      </c>
      <c r="I1884">
        <f>IF(AND(ISNUMBER(A1884),ISNUMBER(B1884)),A1884*1000+B1884,"")</f>
        <v/>
      </c>
      <c r="J1884">
        <f>IF(I1884="","",IF(COUNTIF(I$2:I1884,I1884)=1,MAX(J$1:J1883)+1,""))</f>
        <v/>
      </c>
    </row>
    <row r="1885">
      <c r="A1885">
        <f>IFERROR(--SUBSTITUTE(SUBSTITUTE(TRIM(INDEX(INDIRECT("'Выгрузка'!A1885:Z1885"),Настройки!$B$7)),",","."),".",MID(1/2,2,1)),"")</f>
        <v/>
      </c>
      <c r="B1885">
        <f>IFERROR(--SUBSTITUTE(SUBSTITUTE(TRIM(INDEX(INDIRECT("'Выгрузка'!A1885:Z1885"),Настройки!$B$9)),",","."),".",MID(1/2,2,1)),"")</f>
        <v/>
      </c>
      <c r="C1885">
        <f>TRIM(INDEX(INDIRECT("'Выгрузка'!A1885:Z1885"),Настройки!$B$8)&amp;"")</f>
        <v/>
      </c>
      <c r="D1885">
        <f>IFERROR(--SUBSTITUTE(SUBSTITUTE(TRIM(INDEX(INDIRECT("'Выгрузка'!A1885:Z1885"),Настройки!$B$10)),",","."),".",MID(1/2,2,1)),"")</f>
        <v/>
      </c>
      <c r="E1885">
        <f>IFERROR(--SUBSTITUTE(SUBSTITUTE(TRIM(INDEX(INDIRECT("'Выгрузка'!A1885:Z1885"),Настройки!$B$11)),",","."),".",MID(1/2,2,1)),"")</f>
        <v/>
      </c>
      <c r="F1885">
        <f>TRIM(INDEX(INDIRECT("'Выгрузка'!A1885:Z1885"),Настройки!$B$12)&amp;"")</f>
        <v/>
      </c>
      <c r="G1885">
        <f>IF(F1885="",0,IF(TRIM(INDEX(INDIRECT("'Выгрузка'!A1885:Z1885"),Настройки!$B$13)&amp;"")="",1,IFERROR(--SUBSTITUTE(SUBSTITUTE(TRIM(INDEX(INDIRECT("'Выгрузка'!A1885:Z1885"),Настройки!$B$13)),",","."),".",MID(1/2,2,1)),"")))</f>
        <v/>
      </c>
      <c r="H1885">
        <f>IF(F1885="",0,IF(COUNTIF(Настройки!$B$17:$B$26,F1885)&gt;0,1,IF(COUNTIF(Настройки!$C$17:$C$26,F1885)&gt;0,2,IF(COUNTIF(Настройки!$D$17:$D$26,F1885)&gt;0,3,0))))</f>
        <v/>
      </c>
      <c r="I1885">
        <f>IF(AND(ISNUMBER(A1885),ISNUMBER(B1885)),A1885*1000+B1885,"")</f>
        <v/>
      </c>
      <c r="J1885">
        <f>IF(I1885="","",IF(COUNTIF(I$2:I1885,I1885)=1,MAX(J$1:J1884)+1,""))</f>
        <v/>
      </c>
    </row>
    <row r="1886">
      <c r="A1886">
        <f>IFERROR(--SUBSTITUTE(SUBSTITUTE(TRIM(INDEX(INDIRECT("'Выгрузка'!A1886:Z1886"),Настройки!$B$7)),",","."),".",MID(1/2,2,1)),"")</f>
        <v/>
      </c>
      <c r="B1886">
        <f>IFERROR(--SUBSTITUTE(SUBSTITUTE(TRIM(INDEX(INDIRECT("'Выгрузка'!A1886:Z1886"),Настройки!$B$9)),",","."),".",MID(1/2,2,1)),"")</f>
        <v/>
      </c>
      <c r="C1886">
        <f>TRIM(INDEX(INDIRECT("'Выгрузка'!A1886:Z1886"),Настройки!$B$8)&amp;"")</f>
        <v/>
      </c>
      <c r="D1886">
        <f>IFERROR(--SUBSTITUTE(SUBSTITUTE(TRIM(INDEX(INDIRECT("'Выгрузка'!A1886:Z1886"),Настройки!$B$10)),",","."),".",MID(1/2,2,1)),"")</f>
        <v/>
      </c>
      <c r="E1886">
        <f>IFERROR(--SUBSTITUTE(SUBSTITUTE(TRIM(INDEX(INDIRECT("'Выгрузка'!A1886:Z1886"),Настройки!$B$11)),",","."),".",MID(1/2,2,1)),"")</f>
        <v/>
      </c>
      <c r="F1886">
        <f>TRIM(INDEX(INDIRECT("'Выгрузка'!A1886:Z1886"),Настройки!$B$12)&amp;"")</f>
        <v/>
      </c>
      <c r="G1886">
        <f>IF(F1886="",0,IF(TRIM(INDEX(INDIRECT("'Выгрузка'!A1886:Z1886"),Настройки!$B$13)&amp;"")="",1,IFERROR(--SUBSTITUTE(SUBSTITUTE(TRIM(INDEX(INDIRECT("'Выгрузка'!A1886:Z1886"),Настройки!$B$13)),",","."),".",MID(1/2,2,1)),"")))</f>
        <v/>
      </c>
      <c r="H1886">
        <f>IF(F1886="",0,IF(COUNTIF(Настройки!$B$17:$B$26,F1886)&gt;0,1,IF(COUNTIF(Настройки!$C$17:$C$26,F1886)&gt;0,2,IF(COUNTIF(Настройки!$D$17:$D$26,F1886)&gt;0,3,0))))</f>
        <v/>
      </c>
      <c r="I1886">
        <f>IF(AND(ISNUMBER(A1886),ISNUMBER(B1886)),A1886*1000+B1886,"")</f>
        <v/>
      </c>
      <c r="J1886">
        <f>IF(I1886="","",IF(COUNTIF(I$2:I1886,I1886)=1,MAX(J$1:J1885)+1,""))</f>
        <v/>
      </c>
    </row>
    <row r="1887">
      <c r="A1887">
        <f>IFERROR(--SUBSTITUTE(SUBSTITUTE(TRIM(INDEX(INDIRECT("'Выгрузка'!A1887:Z1887"),Настройки!$B$7)),",","."),".",MID(1/2,2,1)),"")</f>
        <v/>
      </c>
      <c r="B1887">
        <f>IFERROR(--SUBSTITUTE(SUBSTITUTE(TRIM(INDEX(INDIRECT("'Выгрузка'!A1887:Z1887"),Настройки!$B$9)),",","."),".",MID(1/2,2,1)),"")</f>
        <v/>
      </c>
      <c r="C1887">
        <f>TRIM(INDEX(INDIRECT("'Выгрузка'!A1887:Z1887"),Настройки!$B$8)&amp;"")</f>
        <v/>
      </c>
      <c r="D1887">
        <f>IFERROR(--SUBSTITUTE(SUBSTITUTE(TRIM(INDEX(INDIRECT("'Выгрузка'!A1887:Z1887"),Настройки!$B$10)),",","."),".",MID(1/2,2,1)),"")</f>
        <v/>
      </c>
      <c r="E1887">
        <f>IFERROR(--SUBSTITUTE(SUBSTITUTE(TRIM(INDEX(INDIRECT("'Выгрузка'!A1887:Z1887"),Настройки!$B$11)),",","."),".",MID(1/2,2,1)),"")</f>
        <v/>
      </c>
      <c r="F1887">
        <f>TRIM(INDEX(INDIRECT("'Выгрузка'!A1887:Z1887"),Настройки!$B$12)&amp;"")</f>
        <v/>
      </c>
      <c r="G1887">
        <f>IF(F1887="",0,IF(TRIM(INDEX(INDIRECT("'Выгрузка'!A1887:Z1887"),Настройки!$B$13)&amp;"")="",1,IFERROR(--SUBSTITUTE(SUBSTITUTE(TRIM(INDEX(INDIRECT("'Выгрузка'!A1887:Z1887"),Настройки!$B$13)),",","."),".",MID(1/2,2,1)),"")))</f>
        <v/>
      </c>
      <c r="H1887">
        <f>IF(F1887="",0,IF(COUNTIF(Настройки!$B$17:$B$26,F1887)&gt;0,1,IF(COUNTIF(Настройки!$C$17:$C$26,F1887)&gt;0,2,IF(COUNTIF(Настройки!$D$17:$D$26,F1887)&gt;0,3,0))))</f>
        <v/>
      </c>
      <c r="I1887">
        <f>IF(AND(ISNUMBER(A1887),ISNUMBER(B1887)),A1887*1000+B1887,"")</f>
        <v/>
      </c>
      <c r="J1887">
        <f>IF(I1887="","",IF(COUNTIF(I$2:I1887,I1887)=1,MAX(J$1:J1886)+1,""))</f>
        <v/>
      </c>
    </row>
    <row r="1888">
      <c r="A1888">
        <f>IFERROR(--SUBSTITUTE(SUBSTITUTE(TRIM(INDEX(INDIRECT("'Выгрузка'!A1888:Z1888"),Настройки!$B$7)),",","."),".",MID(1/2,2,1)),"")</f>
        <v/>
      </c>
      <c r="B1888">
        <f>IFERROR(--SUBSTITUTE(SUBSTITUTE(TRIM(INDEX(INDIRECT("'Выгрузка'!A1888:Z1888"),Настройки!$B$9)),",","."),".",MID(1/2,2,1)),"")</f>
        <v/>
      </c>
      <c r="C1888">
        <f>TRIM(INDEX(INDIRECT("'Выгрузка'!A1888:Z1888"),Настройки!$B$8)&amp;"")</f>
        <v/>
      </c>
      <c r="D1888">
        <f>IFERROR(--SUBSTITUTE(SUBSTITUTE(TRIM(INDEX(INDIRECT("'Выгрузка'!A1888:Z1888"),Настройки!$B$10)),",","."),".",MID(1/2,2,1)),"")</f>
        <v/>
      </c>
      <c r="E1888">
        <f>IFERROR(--SUBSTITUTE(SUBSTITUTE(TRIM(INDEX(INDIRECT("'Выгрузка'!A1888:Z1888"),Настройки!$B$11)),",","."),".",MID(1/2,2,1)),"")</f>
        <v/>
      </c>
      <c r="F1888">
        <f>TRIM(INDEX(INDIRECT("'Выгрузка'!A1888:Z1888"),Настройки!$B$12)&amp;"")</f>
        <v/>
      </c>
      <c r="G1888">
        <f>IF(F1888="",0,IF(TRIM(INDEX(INDIRECT("'Выгрузка'!A1888:Z1888"),Настройки!$B$13)&amp;"")="",1,IFERROR(--SUBSTITUTE(SUBSTITUTE(TRIM(INDEX(INDIRECT("'Выгрузка'!A1888:Z1888"),Настройки!$B$13)),",","."),".",MID(1/2,2,1)),"")))</f>
        <v/>
      </c>
      <c r="H1888">
        <f>IF(F1888="",0,IF(COUNTIF(Настройки!$B$17:$B$26,F1888)&gt;0,1,IF(COUNTIF(Настройки!$C$17:$C$26,F1888)&gt;0,2,IF(COUNTIF(Настройки!$D$17:$D$26,F1888)&gt;0,3,0))))</f>
        <v/>
      </c>
      <c r="I1888">
        <f>IF(AND(ISNUMBER(A1888),ISNUMBER(B1888)),A1888*1000+B1888,"")</f>
        <v/>
      </c>
      <c r="J1888">
        <f>IF(I1888="","",IF(COUNTIF(I$2:I1888,I1888)=1,MAX(J$1:J1887)+1,""))</f>
        <v/>
      </c>
    </row>
    <row r="1889">
      <c r="A1889">
        <f>IFERROR(--SUBSTITUTE(SUBSTITUTE(TRIM(INDEX(INDIRECT("'Выгрузка'!A1889:Z1889"),Настройки!$B$7)),",","."),".",MID(1/2,2,1)),"")</f>
        <v/>
      </c>
      <c r="B1889">
        <f>IFERROR(--SUBSTITUTE(SUBSTITUTE(TRIM(INDEX(INDIRECT("'Выгрузка'!A1889:Z1889"),Настройки!$B$9)),",","."),".",MID(1/2,2,1)),"")</f>
        <v/>
      </c>
      <c r="C1889">
        <f>TRIM(INDEX(INDIRECT("'Выгрузка'!A1889:Z1889"),Настройки!$B$8)&amp;"")</f>
        <v/>
      </c>
      <c r="D1889">
        <f>IFERROR(--SUBSTITUTE(SUBSTITUTE(TRIM(INDEX(INDIRECT("'Выгрузка'!A1889:Z1889"),Настройки!$B$10)),",","."),".",MID(1/2,2,1)),"")</f>
        <v/>
      </c>
      <c r="E1889">
        <f>IFERROR(--SUBSTITUTE(SUBSTITUTE(TRIM(INDEX(INDIRECT("'Выгрузка'!A1889:Z1889"),Настройки!$B$11)),",","."),".",MID(1/2,2,1)),"")</f>
        <v/>
      </c>
      <c r="F1889">
        <f>TRIM(INDEX(INDIRECT("'Выгрузка'!A1889:Z1889"),Настройки!$B$12)&amp;"")</f>
        <v/>
      </c>
      <c r="G1889">
        <f>IF(F1889="",0,IF(TRIM(INDEX(INDIRECT("'Выгрузка'!A1889:Z1889"),Настройки!$B$13)&amp;"")="",1,IFERROR(--SUBSTITUTE(SUBSTITUTE(TRIM(INDEX(INDIRECT("'Выгрузка'!A1889:Z1889"),Настройки!$B$13)),",","."),".",MID(1/2,2,1)),"")))</f>
        <v/>
      </c>
      <c r="H1889">
        <f>IF(F1889="",0,IF(COUNTIF(Настройки!$B$17:$B$26,F1889)&gt;0,1,IF(COUNTIF(Настройки!$C$17:$C$26,F1889)&gt;0,2,IF(COUNTIF(Настройки!$D$17:$D$26,F1889)&gt;0,3,0))))</f>
        <v/>
      </c>
      <c r="I1889">
        <f>IF(AND(ISNUMBER(A1889),ISNUMBER(B1889)),A1889*1000+B1889,"")</f>
        <v/>
      </c>
      <c r="J1889">
        <f>IF(I1889="","",IF(COUNTIF(I$2:I1889,I1889)=1,MAX(J$1:J1888)+1,""))</f>
        <v/>
      </c>
    </row>
    <row r="1890">
      <c r="A1890">
        <f>IFERROR(--SUBSTITUTE(SUBSTITUTE(TRIM(INDEX(INDIRECT("'Выгрузка'!A1890:Z1890"),Настройки!$B$7)),",","."),".",MID(1/2,2,1)),"")</f>
        <v/>
      </c>
      <c r="B1890">
        <f>IFERROR(--SUBSTITUTE(SUBSTITUTE(TRIM(INDEX(INDIRECT("'Выгрузка'!A1890:Z1890"),Настройки!$B$9)),",","."),".",MID(1/2,2,1)),"")</f>
        <v/>
      </c>
      <c r="C1890">
        <f>TRIM(INDEX(INDIRECT("'Выгрузка'!A1890:Z1890"),Настройки!$B$8)&amp;"")</f>
        <v/>
      </c>
      <c r="D1890">
        <f>IFERROR(--SUBSTITUTE(SUBSTITUTE(TRIM(INDEX(INDIRECT("'Выгрузка'!A1890:Z1890"),Настройки!$B$10)),",","."),".",MID(1/2,2,1)),"")</f>
        <v/>
      </c>
      <c r="E1890">
        <f>IFERROR(--SUBSTITUTE(SUBSTITUTE(TRIM(INDEX(INDIRECT("'Выгрузка'!A1890:Z1890"),Настройки!$B$11)),",","."),".",MID(1/2,2,1)),"")</f>
        <v/>
      </c>
      <c r="F1890">
        <f>TRIM(INDEX(INDIRECT("'Выгрузка'!A1890:Z1890"),Настройки!$B$12)&amp;"")</f>
        <v/>
      </c>
      <c r="G1890">
        <f>IF(F1890="",0,IF(TRIM(INDEX(INDIRECT("'Выгрузка'!A1890:Z1890"),Настройки!$B$13)&amp;"")="",1,IFERROR(--SUBSTITUTE(SUBSTITUTE(TRIM(INDEX(INDIRECT("'Выгрузка'!A1890:Z1890"),Настройки!$B$13)),",","."),".",MID(1/2,2,1)),"")))</f>
        <v/>
      </c>
      <c r="H1890">
        <f>IF(F1890="",0,IF(COUNTIF(Настройки!$B$17:$B$26,F1890)&gt;0,1,IF(COUNTIF(Настройки!$C$17:$C$26,F1890)&gt;0,2,IF(COUNTIF(Настройки!$D$17:$D$26,F1890)&gt;0,3,0))))</f>
        <v/>
      </c>
      <c r="I1890">
        <f>IF(AND(ISNUMBER(A1890),ISNUMBER(B1890)),A1890*1000+B1890,"")</f>
        <v/>
      </c>
      <c r="J1890">
        <f>IF(I1890="","",IF(COUNTIF(I$2:I1890,I1890)=1,MAX(J$1:J1889)+1,""))</f>
        <v/>
      </c>
    </row>
    <row r="1891">
      <c r="A1891">
        <f>IFERROR(--SUBSTITUTE(SUBSTITUTE(TRIM(INDEX(INDIRECT("'Выгрузка'!A1891:Z1891"),Настройки!$B$7)),",","."),".",MID(1/2,2,1)),"")</f>
        <v/>
      </c>
      <c r="B1891">
        <f>IFERROR(--SUBSTITUTE(SUBSTITUTE(TRIM(INDEX(INDIRECT("'Выгрузка'!A1891:Z1891"),Настройки!$B$9)),",","."),".",MID(1/2,2,1)),"")</f>
        <v/>
      </c>
      <c r="C1891">
        <f>TRIM(INDEX(INDIRECT("'Выгрузка'!A1891:Z1891"),Настройки!$B$8)&amp;"")</f>
        <v/>
      </c>
      <c r="D1891">
        <f>IFERROR(--SUBSTITUTE(SUBSTITUTE(TRIM(INDEX(INDIRECT("'Выгрузка'!A1891:Z1891"),Настройки!$B$10)),",","."),".",MID(1/2,2,1)),"")</f>
        <v/>
      </c>
      <c r="E1891">
        <f>IFERROR(--SUBSTITUTE(SUBSTITUTE(TRIM(INDEX(INDIRECT("'Выгрузка'!A1891:Z1891"),Настройки!$B$11)),",","."),".",MID(1/2,2,1)),"")</f>
        <v/>
      </c>
      <c r="F1891">
        <f>TRIM(INDEX(INDIRECT("'Выгрузка'!A1891:Z1891"),Настройки!$B$12)&amp;"")</f>
        <v/>
      </c>
      <c r="G1891">
        <f>IF(F1891="",0,IF(TRIM(INDEX(INDIRECT("'Выгрузка'!A1891:Z1891"),Настройки!$B$13)&amp;"")="",1,IFERROR(--SUBSTITUTE(SUBSTITUTE(TRIM(INDEX(INDIRECT("'Выгрузка'!A1891:Z1891"),Настройки!$B$13)),",","."),".",MID(1/2,2,1)),"")))</f>
        <v/>
      </c>
      <c r="H1891">
        <f>IF(F1891="",0,IF(COUNTIF(Настройки!$B$17:$B$26,F1891)&gt;0,1,IF(COUNTIF(Настройки!$C$17:$C$26,F1891)&gt;0,2,IF(COUNTIF(Настройки!$D$17:$D$26,F1891)&gt;0,3,0))))</f>
        <v/>
      </c>
      <c r="I1891">
        <f>IF(AND(ISNUMBER(A1891),ISNUMBER(B1891)),A1891*1000+B1891,"")</f>
        <v/>
      </c>
      <c r="J1891">
        <f>IF(I1891="","",IF(COUNTIF(I$2:I1891,I1891)=1,MAX(J$1:J1890)+1,""))</f>
        <v/>
      </c>
    </row>
    <row r="1892">
      <c r="A1892">
        <f>IFERROR(--SUBSTITUTE(SUBSTITUTE(TRIM(INDEX(INDIRECT("'Выгрузка'!A1892:Z1892"),Настройки!$B$7)),",","."),".",MID(1/2,2,1)),"")</f>
        <v/>
      </c>
      <c r="B1892">
        <f>IFERROR(--SUBSTITUTE(SUBSTITUTE(TRIM(INDEX(INDIRECT("'Выгрузка'!A1892:Z1892"),Настройки!$B$9)),",","."),".",MID(1/2,2,1)),"")</f>
        <v/>
      </c>
      <c r="C1892">
        <f>TRIM(INDEX(INDIRECT("'Выгрузка'!A1892:Z1892"),Настройки!$B$8)&amp;"")</f>
        <v/>
      </c>
      <c r="D1892">
        <f>IFERROR(--SUBSTITUTE(SUBSTITUTE(TRIM(INDEX(INDIRECT("'Выгрузка'!A1892:Z1892"),Настройки!$B$10)),",","."),".",MID(1/2,2,1)),"")</f>
        <v/>
      </c>
      <c r="E1892">
        <f>IFERROR(--SUBSTITUTE(SUBSTITUTE(TRIM(INDEX(INDIRECT("'Выгрузка'!A1892:Z1892"),Настройки!$B$11)),",","."),".",MID(1/2,2,1)),"")</f>
        <v/>
      </c>
      <c r="F1892">
        <f>TRIM(INDEX(INDIRECT("'Выгрузка'!A1892:Z1892"),Настройки!$B$12)&amp;"")</f>
        <v/>
      </c>
      <c r="G1892">
        <f>IF(F1892="",0,IF(TRIM(INDEX(INDIRECT("'Выгрузка'!A1892:Z1892"),Настройки!$B$13)&amp;"")="",1,IFERROR(--SUBSTITUTE(SUBSTITUTE(TRIM(INDEX(INDIRECT("'Выгрузка'!A1892:Z1892"),Настройки!$B$13)),",","."),".",MID(1/2,2,1)),"")))</f>
        <v/>
      </c>
      <c r="H1892">
        <f>IF(F1892="",0,IF(COUNTIF(Настройки!$B$17:$B$26,F1892)&gt;0,1,IF(COUNTIF(Настройки!$C$17:$C$26,F1892)&gt;0,2,IF(COUNTIF(Настройки!$D$17:$D$26,F1892)&gt;0,3,0))))</f>
        <v/>
      </c>
      <c r="I1892">
        <f>IF(AND(ISNUMBER(A1892),ISNUMBER(B1892)),A1892*1000+B1892,"")</f>
        <v/>
      </c>
      <c r="J1892">
        <f>IF(I1892="","",IF(COUNTIF(I$2:I1892,I1892)=1,MAX(J$1:J1891)+1,""))</f>
        <v/>
      </c>
    </row>
    <row r="1893">
      <c r="A1893">
        <f>IFERROR(--SUBSTITUTE(SUBSTITUTE(TRIM(INDEX(INDIRECT("'Выгрузка'!A1893:Z1893"),Настройки!$B$7)),",","."),".",MID(1/2,2,1)),"")</f>
        <v/>
      </c>
      <c r="B1893">
        <f>IFERROR(--SUBSTITUTE(SUBSTITUTE(TRIM(INDEX(INDIRECT("'Выгрузка'!A1893:Z1893"),Настройки!$B$9)),",","."),".",MID(1/2,2,1)),"")</f>
        <v/>
      </c>
      <c r="C1893">
        <f>TRIM(INDEX(INDIRECT("'Выгрузка'!A1893:Z1893"),Настройки!$B$8)&amp;"")</f>
        <v/>
      </c>
      <c r="D1893">
        <f>IFERROR(--SUBSTITUTE(SUBSTITUTE(TRIM(INDEX(INDIRECT("'Выгрузка'!A1893:Z1893"),Настройки!$B$10)),",","."),".",MID(1/2,2,1)),"")</f>
        <v/>
      </c>
      <c r="E1893">
        <f>IFERROR(--SUBSTITUTE(SUBSTITUTE(TRIM(INDEX(INDIRECT("'Выгрузка'!A1893:Z1893"),Настройки!$B$11)),",","."),".",MID(1/2,2,1)),"")</f>
        <v/>
      </c>
      <c r="F1893">
        <f>TRIM(INDEX(INDIRECT("'Выгрузка'!A1893:Z1893"),Настройки!$B$12)&amp;"")</f>
        <v/>
      </c>
      <c r="G1893">
        <f>IF(F1893="",0,IF(TRIM(INDEX(INDIRECT("'Выгрузка'!A1893:Z1893"),Настройки!$B$13)&amp;"")="",1,IFERROR(--SUBSTITUTE(SUBSTITUTE(TRIM(INDEX(INDIRECT("'Выгрузка'!A1893:Z1893"),Настройки!$B$13)),",","."),".",MID(1/2,2,1)),"")))</f>
        <v/>
      </c>
      <c r="H1893">
        <f>IF(F1893="",0,IF(COUNTIF(Настройки!$B$17:$B$26,F1893)&gt;0,1,IF(COUNTIF(Настройки!$C$17:$C$26,F1893)&gt;0,2,IF(COUNTIF(Настройки!$D$17:$D$26,F1893)&gt;0,3,0))))</f>
        <v/>
      </c>
      <c r="I1893">
        <f>IF(AND(ISNUMBER(A1893),ISNUMBER(B1893)),A1893*1000+B1893,"")</f>
        <v/>
      </c>
      <c r="J1893">
        <f>IF(I1893="","",IF(COUNTIF(I$2:I1893,I1893)=1,MAX(J$1:J1892)+1,""))</f>
        <v/>
      </c>
    </row>
    <row r="1894">
      <c r="A1894">
        <f>IFERROR(--SUBSTITUTE(SUBSTITUTE(TRIM(INDEX(INDIRECT("'Выгрузка'!A1894:Z1894"),Настройки!$B$7)),",","."),".",MID(1/2,2,1)),"")</f>
        <v/>
      </c>
      <c r="B1894">
        <f>IFERROR(--SUBSTITUTE(SUBSTITUTE(TRIM(INDEX(INDIRECT("'Выгрузка'!A1894:Z1894"),Настройки!$B$9)),",","."),".",MID(1/2,2,1)),"")</f>
        <v/>
      </c>
      <c r="C1894">
        <f>TRIM(INDEX(INDIRECT("'Выгрузка'!A1894:Z1894"),Настройки!$B$8)&amp;"")</f>
        <v/>
      </c>
      <c r="D1894">
        <f>IFERROR(--SUBSTITUTE(SUBSTITUTE(TRIM(INDEX(INDIRECT("'Выгрузка'!A1894:Z1894"),Настройки!$B$10)),",","."),".",MID(1/2,2,1)),"")</f>
        <v/>
      </c>
      <c r="E1894">
        <f>IFERROR(--SUBSTITUTE(SUBSTITUTE(TRIM(INDEX(INDIRECT("'Выгрузка'!A1894:Z1894"),Настройки!$B$11)),",","."),".",MID(1/2,2,1)),"")</f>
        <v/>
      </c>
      <c r="F1894">
        <f>TRIM(INDEX(INDIRECT("'Выгрузка'!A1894:Z1894"),Настройки!$B$12)&amp;"")</f>
        <v/>
      </c>
      <c r="G1894">
        <f>IF(F1894="",0,IF(TRIM(INDEX(INDIRECT("'Выгрузка'!A1894:Z1894"),Настройки!$B$13)&amp;"")="",1,IFERROR(--SUBSTITUTE(SUBSTITUTE(TRIM(INDEX(INDIRECT("'Выгрузка'!A1894:Z1894"),Настройки!$B$13)),",","."),".",MID(1/2,2,1)),"")))</f>
        <v/>
      </c>
      <c r="H1894">
        <f>IF(F1894="",0,IF(COUNTIF(Настройки!$B$17:$B$26,F1894)&gt;0,1,IF(COUNTIF(Настройки!$C$17:$C$26,F1894)&gt;0,2,IF(COUNTIF(Настройки!$D$17:$D$26,F1894)&gt;0,3,0))))</f>
        <v/>
      </c>
      <c r="I1894">
        <f>IF(AND(ISNUMBER(A1894),ISNUMBER(B1894)),A1894*1000+B1894,"")</f>
        <v/>
      </c>
      <c r="J1894">
        <f>IF(I1894="","",IF(COUNTIF(I$2:I1894,I1894)=1,MAX(J$1:J1893)+1,""))</f>
        <v/>
      </c>
    </row>
    <row r="1895">
      <c r="A1895">
        <f>IFERROR(--SUBSTITUTE(SUBSTITUTE(TRIM(INDEX(INDIRECT("'Выгрузка'!A1895:Z1895"),Настройки!$B$7)),",","."),".",MID(1/2,2,1)),"")</f>
        <v/>
      </c>
      <c r="B1895">
        <f>IFERROR(--SUBSTITUTE(SUBSTITUTE(TRIM(INDEX(INDIRECT("'Выгрузка'!A1895:Z1895"),Настройки!$B$9)),",","."),".",MID(1/2,2,1)),"")</f>
        <v/>
      </c>
      <c r="C1895">
        <f>TRIM(INDEX(INDIRECT("'Выгрузка'!A1895:Z1895"),Настройки!$B$8)&amp;"")</f>
        <v/>
      </c>
      <c r="D1895">
        <f>IFERROR(--SUBSTITUTE(SUBSTITUTE(TRIM(INDEX(INDIRECT("'Выгрузка'!A1895:Z1895"),Настройки!$B$10)),",","."),".",MID(1/2,2,1)),"")</f>
        <v/>
      </c>
      <c r="E1895">
        <f>IFERROR(--SUBSTITUTE(SUBSTITUTE(TRIM(INDEX(INDIRECT("'Выгрузка'!A1895:Z1895"),Настройки!$B$11)),",","."),".",MID(1/2,2,1)),"")</f>
        <v/>
      </c>
      <c r="F1895">
        <f>TRIM(INDEX(INDIRECT("'Выгрузка'!A1895:Z1895"),Настройки!$B$12)&amp;"")</f>
        <v/>
      </c>
      <c r="G1895">
        <f>IF(F1895="",0,IF(TRIM(INDEX(INDIRECT("'Выгрузка'!A1895:Z1895"),Настройки!$B$13)&amp;"")="",1,IFERROR(--SUBSTITUTE(SUBSTITUTE(TRIM(INDEX(INDIRECT("'Выгрузка'!A1895:Z1895"),Настройки!$B$13)),",","."),".",MID(1/2,2,1)),"")))</f>
        <v/>
      </c>
      <c r="H1895">
        <f>IF(F1895="",0,IF(COUNTIF(Настройки!$B$17:$B$26,F1895)&gt;0,1,IF(COUNTIF(Настройки!$C$17:$C$26,F1895)&gt;0,2,IF(COUNTIF(Настройки!$D$17:$D$26,F1895)&gt;0,3,0))))</f>
        <v/>
      </c>
      <c r="I1895">
        <f>IF(AND(ISNUMBER(A1895),ISNUMBER(B1895)),A1895*1000+B1895,"")</f>
        <v/>
      </c>
      <c r="J1895">
        <f>IF(I1895="","",IF(COUNTIF(I$2:I1895,I1895)=1,MAX(J$1:J1894)+1,""))</f>
        <v/>
      </c>
    </row>
    <row r="1896">
      <c r="A1896">
        <f>IFERROR(--SUBSTITUTE(SUBSTITUTE(TRIM(INDEX(INDIRECT("'Выгрузка'!A1896:Z1896"),Настройки!$B$7)),",","."),".",MID(1/2,2,1)),"")</f>
        <v/>
      </c>
      <c r="B1896">
        <f>IFERROR(--SUBSTITUTE(SUBSTITUTE(TRIM(INDEX(INDIRECT("'Выгрузка'!A1896:Z1896"),Настройки!$B$9)),",","."),".",MID(1/2,2,1)),"")</f>
        <v/>
      </c>
      <c r="C1896">
        <f>TRIM(INDEX(INDIRECT("'Выгрузка'!A1896:Z1896"),Настройки!$B$8)&amp;"")</f>
        <v/>
      </c>
      <c r="D1896">
        <f>IFERROR(--SUBSTITUTE(SUBSTITUTE(TRIM(INDEX(INDIRECT("'Выгрузка'!A1896:Z1896"),Настройки!$B$10)),",","."),".",MID(1/2,2,1)),"")</f>
        <v/>
      </c>
      <c r="E1896">
        <f>IFERROR(--SUBSTITUTE(SUBSTITUTE(TRIM(INDEX(INDIRECT("'Выгрузка'!A1896:Z1896"),Настройки!$B$11)),",","."),".",MID(1/2,2,1)),"")</f>
        <v/>
      </c>
      <c r="F1896">
        <f>TRIM(INDEX(INDIRECT("'Выгрузка'!A1896:Z1896"),Настройки!$B$12)&amp;"")</f>
        <v/>
      </c>
      <c r="G1896">
        <f>IF(F1896="",0,IF(TRIM(INDEX(INDIRECT("'Выгрузка'!A1896:Z1896"),Настройки!$B$13)&amp;"")="",1,IFERROR(--SUBSTITUTE(SUBSTITUTE(TRIM(INDEX(INDIRECT("'Выгрузка'!A1896:Z1896"),Настройки!$B$13)),",","."),".",MID(1/2,2,1)),"")))</f>
        <v/>
      </c>
      <c r="H1896">
        <f>IF(F1896="",0,IF(COUNTIF(Настройки!$B$17:$B$26,F1896)&gt;0,1,IF(COUNTIF(Настройки!$C$17:$C$26,F1896)&gt;0,2,IF(COUNTIF(Настройки!$D$17:$D$26,F1896)&gt;0,3,0))))</f>
        <v/>
      </c>
      <c r="I1896">
        <f>IF(AND(ISNUMBER(A1896),ISNUMBER(B1896)),A1896*1000+B1896,"")</f>
        <v/>
      </c>
      <c r="J1896">
        <f>IF(I1896="","",IF(COUNTIF(I$2:I1896,I1896)=1,MAX(J$1:J1895)+1,""))</f>
        <v/>
      </c>
    </row>
    <row r="1897">
      <c r="A1897">
        <f>IFERROR(--SUBSTITUTE(SUBSTITUTE(TRIM(INDEX(INDIRECT("'Выгрузка'!A1897:Z1897"),Настройки!$B$7)),",","."),".",MID(1/2,2,1)),"")</f>
        <v/>
      </c>
      <c r="B1897">
        <f>IFERROR(--SUBSTITUTE(SUBSTITUTE(TRIM(INDEX(INDIRECT("'Выгрузка'!A1897:Z1897"),Настройки!$B$9)),",","."),".",MID(1/2,2,1)),"")</f>
        <v/>
      </c>
      <c r="C1897">
        <f>TRIM(INDEX(INDIRECT("'Выгрузка'!A1897:Z1897"),Настройки!$B$8)&amp;"")</f>
        <v/>
      </c>
      <c r="D1897">
        <f>IFERROR(--SUBSTITUTE(SUBSTITUTE(TRIM(INDEX(INDIRECT("'Выгрузка'!A1897:Z1897"),Настройки!$B$10)),",","."),".",MID(1/2,2,1)),"")</f>
        <v/>
      </c>
      <c r="E1897">
        <f>IFERROR(--SUBSTITUTE(SUBSTITUTE(TRIM(INDEX(INDIRECT("'Выгрузка'!A1897:Z1897"),Настройки!$B$11)),",","."),".",MID(1/2,2,1)),"")</f>
        <v/>
      </c>
      <c r="F1897">
        <f>TRIM(INDEX(INDIRECT("'Выгрузка'!A1897:Z1897"),Настройки!$B$12)&amp;"")</f>
        <v/>
      </c>
      <c r="G1897">
        <f>IF(F1897="",0,IF(TRIM(INDEX(INDIRECT("'Выгрузка'!A1897:Z1897"),Настройки!$B$13)&amp;"")="",1,IFERROR(--SUBSTITUTE(SUBSTITUTE(TRIM(INDEX(INDIRECT("'Выгрузка'!A1897:Z1897"),Настройки!$B$13)),",","."),".",MID(1/2,2,1)),"")))</f>
        <v/>
      </c>
      <c r="H1897">
        <f>IF(F1897="",0,IF(COUNTIF(Настройки!$B$17:$B$26,F1897)&gt;0,1,IF(COUNTIF(Настройки!$C$17:$C$26,F1897)&gt;0,2,IF(COUNTIF(Настройки!$D$17:$D$26,F1897)&gt;0,3,0))))</f>
        <v/>
      </c>
      <c r="I1897">
        <f>IF(AND(ISNUMBER(A1897),ISNUMBER(B1897)),A1897*1000+B1897,"")</f>
        <v/>
      </c>
      <c r="J1897">
        <f>IF(I1897="","",IF(COUNTIF(I$2:I1897,I1897)=1,MAX(J$1:J1896)+1,""))</f>
        <v/>
      </c>
    </row>
    <row r="1898">
      <c r="A1898">
        <f>IFERROR(--SUBSTITUTE(SUBSTITUTE(TRIM(INDEX(INDIRECT("'Выгрузка'!A1898:Z1898"),Настройки!$B$7)),",","."),".",MID(1/2,2,1)),"")</f>
        <v/>
      </c>
      <c r="B1898">
        <f>IFERROR(--SUBSTITUTE(SUBSTITUTE(TRIM(INDEX(INDIRECT("'Выгрузка'!A1898:Z1898"),Настройки!$B$9)),",","."),".",MID(1/2,2,1)),"")</f>
        <v/>
      </c>
      <c r="C1898">
        <f>TRIM(INDEX(INDIRECT("'Выгрузка'!A1898:Z1898"),Настройки!$B$8)&amp;"")</f>
        <v/>
      </c>
      <c r="D1898">
        <f>IFERROR(--SUBSTITUTE(SUBSTITUTE(TRIM(INDEX(INDIRECT("'Выгрузка'!A1898:Z1898"),Настройки!$B$10)),",","."),".",MID(1/2,2,1)),"")</f>
        <v/>
      </c>
      <c r="E1898">
        <f>IFERROR(--SUBSTITUTE(SUBSTITUTE(TRIM(INDEX(INDIRECT("'Выгрузка'!A1898:Z1898"),Настройки!$B$11)),",","."),".",MID(1/2,2,1)),"")</f>
        <v/>
      </c>
      <c r="F1898">
        <f>TRIM(INDEX(INDIRECT("'Выгрузка'!A1898:Z1898"),Настройки!$B$12)&amp;"")</f>
        <v/>
      </c>
      <c r="G1898">
        <f>IF(F1898="",0,IF(TRIM(INDEX(INDIRECT("'Выгрузка'!A1898:Z1898"),Настройки!$B$13)&amp;"")="",1,IFERROR(--SUBSTITUTE(SUBSTITUTE(TRIM(INDEX(INDIRECT("'Выгрузка'!A1898:Z1898"),Настройки!$B$13)),",","."),".",MID(1/2,2,1)),"")))</f>
        <v/>
      </c>
      <c r="H1898">
        <f>IF(F1898="",0,IF(COUNTIF(Настройки!$B$17:$B$26,F1898)&gt;0,1,IF(COUNTIF(Настройки!$C$17:$C$26,F1898)&gt;0,2,IF(COUNTIF(Настройки!$D$17:$D$26,F1898)&gt;0,3,0))))</f>
        <v/>
      </c>
      <c r="I1898">
        <f>IF(AND(ISNUMBER(A1898),ISNUMBER(B1898)),A1898*1000+B1898,"")</f>
        <v/>
      </c>
      <c r="J1898">
        <f>IF(I1898="","",IF(COUNTIF(I$2:I1898,I1898)=1,MAX(J$1:J1897)+1,""))</f>
        <v/>
      </c>
    </row>
    <row r="1899">
      <c r="A1899">
        <f>IFERROR(--SUBSTITUTE(SUBSTITUTE(TRIM(INDEX(INDIRECT("'Выгрузка'!A1899:Z1899"),Настройки!$B$7)),",","."),".",MID(1/2,2,1)),"")</f>
        <v/>
      </c>
      <c r="B1899">
        <f>IFERROR(--SUBSTITUTE(SUBSTITUTE(TRIM(INDEX(INDIRECT("'Выгрузка'!A1899:Z1899"),Настройки!$B$9)),",","."),".",MID(1/2,2,1)),"")</f>
        <v/>
      </c>
      <c r="C1899">
        <f>TRIM(INDEX(INDIRECT("'Выгрузка'!A1899:Z1899"),Настройки!$B$8)&amp;"")</f>
        <v/>
      </c>
      <c r="D1899">
        <f>IFERROR(--SUBSTITUTE(SUBSTITUTE(TRIM(INDEX(INDIRECT("'Выгрузка'!A1899:Z1899"),Настройки!$B$10)),",","."),".",MID(1/2,2,1)),"")</f>
        <v/>
      </c>
      <c r="E1899">
        <f>IFERROR(--SUBSTITUTE(SUBSTITUTE(TRIM(INDEX(INDIRECT("'Выгрузка'!A1899:Z1899"),Настройки!$B$11)),",","."),".",MID(1/2,2,1)),"")</f>
        <v/>
      </c>
      <c r="F1899">
        <f>TRIM(INDEX(INDIRECT("'Выгрузка'!A1899:Z1899"),Настройки!$B$12)&amp;"")</f>
        <v/>
      </c>
      <c r="G1899">
        <f>IF(F1899="",0,IF(TRIM(INDEX(INDIRECT("'Выгрузка'!A1899:Z1899"),Настройки!$B$13)&amp;"")="",1,IFERROR(--SUBSTITUTE(SUBSTITUTE(TRIM(INDEX(INDIRECT("'Выгрузка'!A1899:Z1899"),Настройки!$B$13)),",","."),".",MID(1/2,2,1)),"")))</f>
        <v/>
      </c>
      <c r="H1899">
        <f>IF(F1899="",0,IF(COUNTIF(Настройки!$B$17:$B$26,F1899)&gt;0,1,IF(COUNTIF(Настройки!$C$17:$C$26,F1899)&gt;0,2,IF(COUNTIF(Настройки!$D$17:$D$26,F1899)&gt;0,3,0))))</f>
        <v/>
      </c>
      <c r="I1899">
        <f>IF(AND(ISNUMBER(A1899),ISNUMBER(B1899)),A1899*1000+B1899,"")</f>
        <v/>
      </c>
      <c r="J1899">
        <f>IF(I1899="","",IF(COUNTIF(I$2:I1899,I1899)=1,MAX(J$1:J1898)+1,""))</f>
        <v/>
      </c>
    </row>
    <row r="1900">
      <c r="A1900">
        <f>IFERROR(--SUBSTITUTE(SUBSTITUTE(TRIM(INDEX(INDIRECT("'Выгрузка'!A1900:Z1900"),Настройки!$B$7)),",","."),".",MID(1/2,2,1)),"")</f>
        <v/>
      </c>
      <c r="B1900">
        <f>IFERROR(--SUBSTITUTE(SUBSTITUTE(TRIM(INDEX(INDIRECT("'Выгрузка'!A1900:Z1900"),Настройки!$B$9)),",","."),".",MID(1/2,2,1)),"")</f>
        <v/>
      </c>
      <c r="C1900">
        <f>TRIM(INDEX(INDIRECT("'Выгрузка'!A1900:Z1900"),Настройки!$B$8)&amp;"")</f>
        <v/>
      </c>
      <c r="D1900">
        <f>IFERROR(--SUBSTITUTE(SUBSTITUTE(TRIM(INDEX(INDIRECT("'Выгрузка'!A1900:Z1900"),Настройки!$B$10)),",","."),".",MID(1/2,2,1)),"")</f>
        <v/>
      </c>
      <c r="E1900">
        <f>IFERROR(--SUBSTITUTE(SUBSTITUTE(TRIM(INDEX(INDIRECT("'Выгрузка'!A1900:Z1900"),Настройки!$B$11)),",","."),".",MID(1/2,2,1)),"")</f>
        <v/>
      </c>
      <c r="F1900">
        <f>TRIM(INDEX(INDIRECT("'Выгрузка'!A1900:Z1900"),Настройки!$B$12)&amp;"")</f>
        <v/>
      </c>
      <c r="G1900">
        <f>IF(F1900="",0,IF(TRIM(INDEX(INDIRECT("'Выгрузка'!A1900:Z1900"),Настройки!$B$13)&amp;"")="",1,IFERROR(--SUBSTITUTE(SUBSTITUTE(TRIM(INDEX(INDIRECT("'Выгрузка'!A1900:Z1900"),Настройки!$B$13)),",","."),".",MID(1/2,2,1)),"")))</f>
        <v/>
      </c>
      <c r="H1900">
        <f>IF(F1900="",0,IF(COUNTIF(Настройки!$B$17:$B$26,F1900)&gt;0,1,IF(COUNTIF(Настройки!$C$17:$C$26,F1900)&gt;0,2,IF(COUNTIF(Настройки!$D$17:$D$26,F1900)&gt;0,3,0))))</f>
        <v/>
      </c>
      <c r="I1900">
        <f>IF(AND(ISNUMBER(A1900),ISNUMBER(B1900)),A1900*1000+B1900,"")</f>
        <v/>
      </c>
      <c r="J1900">
        <f>IF(I1900="","",IF(COUNTIF(I$2:I1900,I1900)=1,MAX(J$1:J1899)+1,""))</f>
        <v/>
      </c>
    </row>
    <row r="1901">
      <c r="A1901">
        <f>IFERROR(--SUBSTITUTE(SUBSTITUTE(TRIM(INDEX(INDIRECT("'Выгрузка'!A1901:Z1901"),Настройки!$B$7)),",","."),".",MID(1/2,2,1)),"")</f>
        <v/>
      </c>
      <c r="B1901">
        <f>IFERROR(--SUBSTITUTE(SUBSTITUTE(TRIM(INDEX(INDIRECT("'Выгрузка'!A1901:Z1901"),Настройки!$B$9)),",","."),".",MID(1/2,2,1)),"")</f>
        <v/>
      </c>
      <c r="C1901">
        <f>TRIM(INDEX(INDIRECT("'Выгрузка'!A1901:Z1901"),Настройки!$B$8)&amp;"")</f>
        <v/>
      </c>
      <c r="D1901">
        <f>IFERROR(--SUBSTITUTE(SUBSTITUTE(TRIM(INDEX(INDIRECT("'Выгрузка'!A1901:Z1901"),Настройки!$B$10)),",","."),".",MID(1/2,2,1)),"")</f>
        <v/>
      </c>
      <c r="E1901">
        <f>IFERROR(--SUBSTITUTE(SUBSTITUTE(TRIM(INDEX(INDIRECT("'Выгрузка'!A1901:Z1901"),Настройки!$B$11)),",","."),".",MID(1/2,2,1)),"")</f>
        <v/>
      </c>
      <c r="F1901">
        <f>TRIM(INDEX(INDIRECT("'Выгрузка'!A1901:Z1901"),Настройки!$B$12)&amp;"")</f>
        <v/>
      </c>
      <c r="G1901">
        <f>IF(F1901="",0,IF(TRIM(INDEX(INDIRECT("'Выгрузка'!A1901:Z1901"),Настройки!$B$13)&amp;"")="",1,IFERROR(--SUBSTITUTE(SUBSTITUTE(TRIM(INDEX(INDIRECT("'Выгрузка'!A1901:Z1901"),Настройки!$B$13)),",","."),".",MID(1/2,2,1)),"")))</f>
        <v/>
      </c>
      <c r="H1901">
        <f>IF(F1901="",0,IF(COUNTIF(Настройки!$B$17:$B$26,F1901)&gt;0,1,IF(COUNTIF(Настройки!$C$17:$C$26,F1901)&gt;0,2,IF(COUNTIF(Настройки!$D$17:$D$26,F1901)&gt;0,3,0))))</f>
        <v/>
      </c>
      <c r="I1901">
        <f>IF(AND(ISNUMBER(A1901),ISNUMBER(B1901)),A1901*1000+B1901,"")</f>
        <v/>
      </c>
      <c r="J1901">
        <f>IF(I1901="","",IF(COUNTIF(I$2:I1901,I1901)=1,MAX(J$1:J1900)+1,""))</f>
        <v/>
      </c>
    </row>
    <row r="1902">
      <c r="A1902">
        <f>IFERROR(--SUBSTITUTE(SUBSTITUTE(TRIM(INDEX(INDIRECT("'Выгрузка'!A1902:Z1902"),Настройки!$B$7)),",","."),".",MID(1/2,2,1)),"")</f>
        <v/>
      </c>
      <c r="B1902">
        <f>IFERROR(--SUBSTITUTE(SUBSTITUTE(TRIM(INDEX(INDIRECT("'Выгрузка'!A1902:Z1902"),Настройки!$B$9)),",","."),".",MID(1/2,2,1)),"")</f>
        <v/>
      </c>
      <c r="C1902">
        <f>TRIM(INDEX(INDIRECT("'Выгрузка'!A1902:Z1902"),Настройки!$B$8)&amp;"")</f>
        <v/>
      </c>
      <c r="D1902">
        <f>IFERROR(--SUBSTITUTE(SUBSTITUTE(TRIM(INDEX(INDIRECT("'Выгрузка'!A1902:Z1902"),Настройки!$B$10)),",","."),".",MID(1/2,2,1)),"")</f>
        <v/>
      </c>
      <c r="E1902">
        <f>IFERROR(--SUBSTITUTE(SUBSTITUTE(TRIM(INDEX(INDIRECT("'Выгрузка'!A1902:Z1902"),Настройки!$B$11)),",","."),".",MID(1/2,2,1)),"")</f>
        <v/>
      </c>
      <c r="F1902">
        <f>TRIM(INDEX(INDIRECT("'Выгрузка'!A1902:Z1902"),Настройки!$B$12)&amp;"")</f>
        <v/>
      </c>
      <c r="G1902">
        <f>IF(F1902="",0,IF(TRIM(INDEX(INDIRECT("'Выгрузка'!A1902:Z1902"),Настройки!$B$13)&amp;"")="",1,IFERROR(--SUBSTITUTE(SUBSTITUTE(TRIM(INDEX(INDIRECT("'Выгрузка'!A1902:Z1902"),Настройки!$B$13)),",","."),".",MID(1/2,2,1)),"")))</f>
        <v/>
      </c>
      <c r="H1902">
        <f>IF(F1902="",0,IF(COUNTIF(Настройки!$B$17:$B$26,F1902)&gt;0,1,IF(COUNTIF(Настройки!$C$17:$C$26,F1902)&gt;0,2,IF(COUNTIF(Настройки!$D$17:$D$26,F1902)&gt;0,3,0))))</f>
        <v/>
      </c>
      <c r="I1902">
        <f>IF(AND(ISNUMBER(A1902),ISNUMBER(B1902)),A1902*1000+B1902,"")</f>
        <v/>
      </c>
      <c r="J1902">
        <f>IF(I1902="","",IF(COUNTIF(I$2:I1902,I1902)=1,MAX(J$1:J1901)+1,""))</f>
        <v/>
      </c>
    </row>
    <row r="1903">
      <c r="A1903">
        <f>IFERROR(--SUBSTITUTE(SUBSTITUTE(TRIM(INDEX(INDIRECT("'Выгрузка'!A1903:Z1903"),Настройки!$B$7)),",","."),".",MID(1/2,2,1)),"")</f>
        <v/>
      </c>
      <c r="B1903">
        <f>IFERROR(--SUBSTITUTE(SUBSTITUTE(TRIM(INDEX(INDIRECT("'Выгрузка'!A1903:Z1903"),Настройки!$B$9)),",","."),".",MID(1/2,2,1)),"")</f>
        <v/>
      </c>
      <c r="C1903">
        <f>TRIM(INDEX(INDIRECT("'Выгрузка'!A1903:Z1903"),Настройки!$B$8)&amp;"")</f>
        <v/>
      </c>
      <c r="D1903">
        <f>IFERROR(--SUBSTITUTE(SUBSTITUTE(TRIM(INDEX(INDIRECT("'Выгрузка'!A1903:Z1903"),Настройки!$B$10)),",","."),".",MID(1/2,2,1)),"")</f>
        <v/>
      </c>
      <c r="E1903">
        <f>IFERROR(--SUBSTITUTE(SUBSTITUTE(TRIM(INDEX(INDIRECT("'Выгрузка'!A1903:Z1903"),Настройки!$B$11)),",","."),".",MID(1/2,2,1)),"")</f>
        <v/>
      </c>
      <c r="F1903">
        <f>TRIM(INDEX(INDIRECT("'Выгрузка'!A1903:Z1903"),Настройки!$B$12)&amp;"")</f>
        <v/>
      </c>
      <c r="G1903">
        <f>IF(F1903="",0,IF(TRIM(INDEX(INDIRECT("'Выгрузка'!A1903:Z1903"),Настройки!$B$13)&amp;"")="",1,IFERROR(--SUBSTITUTE(SUBSTITUTE(TRIM(INDEX(INDIRECT("'Выгрузка'!A1903:Z1903"),Настройки!$B$13)),",","."),".",MID(1/2,2,1)),"")))</f>
        <v/>
      </c>
      <c r="H1903">
        <f>IF(F1903="",0,IF(COUNTIF(Настройки!$B$17:$B$26,F1903)&gt;0,1,IF(COUNTIF(Настройки!$C$17:$C$26,F1903)&gt;0,2,IF(COUNTIF(Настройки!$D$17:$D$26,F1903)&gt;0,3,0))))</f>
        <v/>
      </c>
      <c r="I1903">
        <f>IF(AND(ISNUMBER(A1903),ISNUMBER(B1903)),A1903*1000+B1903,"")</f>
        <v/>
      </c>
      <c r="J1903">
        <f>IF(I1903="","",IF(COUNTIF(I$2:I1903,I1903)=1,MAX(J$1:J1902)+1,""))</f>
        <v/>
      </c>
    </row>
    <row r="1904">
      <c r="A1904">
        <f>IFERROR(--SUBSTITUTE(SUBSTITUTE(TRIM(INDEX(INDIRECT("'Выгрузка'!A1904:Z1904"),Настройки!$B$7)),",","."),".",MID(1/2,2,1)),"")</f>
        <v/>
      </c>
      <c r="B1904">
        <f>IFERROR(--SUBSTITUTE(SUBSTITUTE(TRIM(INDEX(INDIRECT("'Выгрузка'!A1904:Z1904"),Настройки!$B$9)),",","."),".",MID(1/2,2,1)),"")</f>
        <v/>
      </c>
      <c r="C1904">
        <f>TRIM(INDEX(INDIRECT("'Выгрузка'!A1904:Z1904"),Настройки!$B$8)&amp;"")</f>
        <v/>
      </c>
      <c r="D1904">
        <f>IFERROR(--SUBSTITUTE(SUBSTITUTE(TRIM(INDEX(INDIRECT("'Выгрузка'!A1904:Z1904"),Настройки!$B$10)),",","."),".",MID(1/2,2,1)),"")</f>
        <v/>
      </c>
      <c r="E1904">
        <f>IFERROR(--SUBSTITUTE(SUBSTITUTE(TRIM(INDEX(INDIRECT("'Выгрузка'!A1904:Z1904"),Настройки!$B$11)),",","."),".",MID(1/2,2,1)),"")</f>
        <v/>
      </c>
      <c r="F1904">
        <f>TRIM(INDEX(INDIRECT("'Выгрузка'!A1904:Z1904"),Настройки!$B$12)&amp;"")</f>
        <v/>
      </c>
      <c r="G1904">
        <f>IF(F1904="",0,IF(TRIM(INDEX(INDIRECT("'Выгрузка'!A1904:Z1904"),Настройки!$B$13)&amp;"")="",1,IFERROR(--SUBSTITUTE(SUBSTITUTE(TRIM(INDEX(INDIRECT("'Выгрузка'!A1904:Z1904"),Настройки!$B$13)),",","."),".",MID(1/2,2,1)),"")))</f>
        <v/>
      </c>
      <c r="H1904">
        <f>IF(F1904="",0,IF(COUNTIF(Настройки!$B$17:$B$26,F1904)&gt;0,1,IF(COUNTIF(Настройки!$C$17:$C$26,F1904)&gt;0,2,IF(COUNTIF(Настройки!$D$17:$D$26,F1904)&gt;0,3,0))))</f>
        <v/>
      </c>
      <c r="I1904">
        <f>IF(AND(ISNUMBER(A1904),ISNUMBER(B1904)),A1904*1000+B1904,"")</f>
        <v/>
      </c>
      <c r="J1904">
        <f>IF(I1904="","",IF(COUNTIF(I$2:I1904,I1904)=1,MAX(J$1:J1903)+1,""))</f>
        <v/>
      </c>
    </row>
    <row r="1905">
      <c r="A1905">
        <f>IFERROR(--SUBSTITUTE(SUBSTITUTE(TRIM(INDEX(INDIRECT("'Выгрузка'!A1905:Z1905"),Настройки!$B$7)),",","."),".",MID(1/2,2,1)),"")</f>
        <v/>
      </c>
      <c r="B1905">
        <f>IFERROR(--SUBSTITUTE(SUBSTITUTE(TRIM(INDEX(INDIRECT("'Выгрузка'!A1905:Z1905"),Настройки!$B$9)),",","."),".",MID(1/2,2,1)),"")</f>
        <v/>
      </c>
      <c r="C1905">
        <f>TRIM(INDEX(INDIRECT("'Выгрузка'!A1905:Z1905"),Настройки!$B$8)&amp;"")</f>
        <v/>
      </c>
      <c r="D1905">
        <f>IFERROR(--SUBSTITUTE(SUBSTITUTE(TRIM(INDEX(INDIRECT("'Выгрузка'!A1905:Z1905"),Настройки!$B$10)),",","."),".",MID(1/2,2,1)),"")</f>
        <v/>
      </c>
      <c r="E1905">
        <f>IFERROR(--SUBSTITUTE(SUBSTITUTE(TRIM(INDEX(INDIRECT("'Выгрузка'!A1905:Z1905"),Настройки!$B$11)),",","."),".",MID(1/2,2,1)),"")</f>
        <v/>
      </c>
      <c r="F1905">
        <f>TRIM(INDEX(INDIRECT("'Выгрузка'!A1905:Z1905"),Настройки!$B$12)&amp;"")</f>
        <v/>
      </c>
      <c r="G1905">
        <f>IF(F1905="",0,IF(TRIM(INDEX(INDIRECT("'Выгрузка'!A1905:Z1905"),Настройки!$B$13)&amp;"")="",1,IFERROR(--SUBSTITUTE(SUBSTITUTE(TRIM(INDEX(INDIRECT("'Выгрузка'!A1905:Z1905"),Настройки!$B$13)),",","."),".",MID(1/2,2,1)),"")))</f>
        <v/>
      </c>
      <c r="H1905">
        <f>IF(F1905="",0,IF(COUNTIF(Настройки!$B$17:$B$26,F1905)&gt;0,1,IF(COUNTIF(Настройки!$C$17:$C$26,F1905)&gt;0,2,IF(COUNTIF(Настройки!$D$17:$D$26,F1905)&gt;0,3,0))))</f>
        <v/>
      </c>
      <c r="I1905">
        <f>IF(AND(ISNUMBER(A1905),ISNUMBER(B1905)),A1905*1000+B1905,"")</f>
        <v/>
      </c>
      <c r="J1905">
        <f>IF(I1905="","",IF(COUNTIF(I$2:I1905,I1905)=1,MAX(J$1:J1904)+1,""))</f>
        <v/>
      </c>
    </row>
    <row r="1906">
      <c r="A1906">
        <f>IFERROR(--SUBSTITUTE(SUBSTITUTE(TRIM(INDEX(INDIRECT("'Выгрузка'!A1906:Z1906"),Настройки!$B$7)),",","."),".",MID(1/2,2,1)),"")</f>
        <v/>
      </c>
      <c r="B1906">
        <f>IFERROR(--SUBSTITUTE(SUBSTITUTE(TRIM(INDEX(INDIRECT("'Выгрузка'!A1906:Z1906"),Настройки!$B$9)),",","."),".",MID(1/2,2,1)),"")</f>
        <v/>
      </c>
      <c r="C1906">
        <f>TRIM(INDEX(INDIRECT("'Выгрузка'!A1906:Z1906"),Настройки!$B$8)&amp;"")</f>
        <v/>
      </c>
      <c r="D1906">
        <f>IFERROR(--SUBSTITUTE(SUBSTITUTE(TRIM(INDEX(INDIRECT("'Выгрузка'!A1906:Z1906"),Настройки!$B$10)),",","."),".",MID(1/2,2,1)),"")</f>
        <v/>
      </c>
      <c r="E1906">
        <f>IFERROR(--SUBSTITUTE(SUBSTITUTE(TRIM(INDEX(INDIRECT("'Выгрузка'!A1906:Z1906"),Настройки!$B$11)),",","."),".",MID(1/2,2,1)),"")</f>
        <v/>
      </c>
      <c r="F1906">
        <f>TRIM(INDEX(INDIRECT("'Выгрузка'!A1906:Z1906"),Настройки!$B$12)&amp;"")</f>
        <v/>
      </c>
      <c r="G1906">
        <f>IF(F1906="",0,IF(TRIM(INDEX(INDIRECT("'Выгрузка'!A1906:Z1906"),Настройки!$B$13)&amp;"")="",1,IFERROR(--SUBSTITUTE(SUBSTITUTE(TRIM(INDEX(INDIRECT("'Выгрузка'!A1906:Z1906"),Настройки!$B$13)),",","."),".",MID(1/2,2,1)),"")))</f>
        <v/>
      </c>
      <c r="H1906">
        <f>IF(F1906="",0,IF(COUNTIF(Настройки!$B$17:$B$26,F1906)&gt;0,1,IF(COUNTIF(Настройки!$C$17:$C$26,F1906)&gt;0,2,IF(COUNTIF(Настройки!$D$17:$D$26,F1906)&gt;0,3,0))))</f>
        <v/>
      </c>
      <c r="I1906">
        <f>IF(AND(ISNUMBER(A1906),ISNUMBER(B1906)),A1906*1000+B1906,"")</f>
        <v/>
      </c>
      <c r="J1906">
        <f>IF(I1906="","",IF(COUNTIF(I$2:I1906,I1906)=1,MAX(J$1:J1905)+1,""))</f>
        <v/>
      </c>
    </row>
    <row r="1907">
      <c r="A1907">
        <f>IFERROR(--SUBSTITUTE(SUBSTITUTE(TRIM(INDEX(INDIRECT("'Выгрузка'!A1907:Z1907"),Настройки!$B$7)),",","."),".",MID(1/2,2,1)),"")</f>
        <v/>
      </c>
      <c r="B1907">
        <f>IFERROR(--SUBSTITUTE(SUBSTITUTE(TRIM(INDEX(INDIRECT("'Выгрузка'!A1907:Z1907"),Настройки!$B$9)),",","."),".",MID(1/2,2,1)),"")</f>
        <v/>
      </c>
      <c r="C1907">
        <f>TRIM(INDEX(INDIRECT("'Выгрузка'!A1907:Z1907"),Настройки!$B$8)&amp;"")</f>
        <v/>
      </c>
      <c r="D1907">
        <f>IFERROR(--SUBSTITUTE(SUBSTITUTE(TRIM(INDEX(INDIRECT("'Выгрузка'!A1907:Z1907"),Настройки!$B$10)),",","."),".",MID(1/2,2,1)),"")</f>
        <v/>
      </c>
      <c r="E1907">
        <f>IFERROR(--SUBSTITUTE(SUBSTITUTE(TRIM(INDEX(INDIRECT("'Выгрузка'!A1907:Z1907"),Настройки!$B$11)),",","."),".",MID(1/2,2,1)),"")</f>
        <v/>
      </c>
      <c r="F1907">
        <f>TRIM(INDEX(INDIRECT("'Выгрузка'!A1907:Z1907"),Настройки!$B$12)&amp;"")</f>
        <v/>
      </c>
      <c r="G1907">
        <f>IF(F1907="",0,IF(TRIM(INDEX(INDIRECT("'Выгрузка'!A1907:Z1907"),Настройки!$B$13)&amp;"")="",1,IFERROR(--SUBSTITUTE(SUBSTITUTE(TRIM(INDEX(INDIRECT("'Выгрузка'!A1907:Z1907"),Настройки!$B$13)),",","."),".",MID(1/2,2,1)),"")))</f>
        <v/>
      </c>
      <c r="H1907">
        <f>IF(F1907="",0,IF(COUNTIF(Настройки!$B$17:$B$26,F1907)&gt;0,1,IF(COUNTIF(Настройки!$C$17:$C$26,F1907)&gt;0,2,IF(COUNTIF(Настройки!$D$17:$D$26,F1907)&gt;0,3,0))))</f>
        <v/>
      </c>
      <c r="I1907">
        <f>IF(AND(ISNUMBER(A1907),ISNUMBER(B1907)),A1907*1000+B1907,"")</f>
        <v/>
      </c>
      <c r="J1907">
        <f>IF(I1907="","",IF(COUNTIF(I$2:I1907,I1907)=1,MAX(J$1:J1906)+1,""))</f>
        <v/>
      </c>
    </row>
    <row r="1908">
      <c r="A1908">
        <f>IFERROR(--SUBSTITUTE(SUBSTITUTE(TRIM(INDEX(INDIRECT("'Выгрузка'!A1908:Z1908"),Настройки!$B$7)),",","."),".",MID(1/2,2,1)),"")</f>
        <v/>
      </c>
      <c r="B1908">
        <f>IFERROR(--SUBSTITUTE(SUBSTITUTE(TRIM(INDEX(INDIRECT("'Выгрузка'!A1908:Z1908"),Настройки!$B$9)),",","."),".",MID(1/2,2,1)),"")</f>
        <v/>
      </c>
      <c r="C1908">
        <f>TRIM(INDEX(INDIRECT("'Выгрузка'!A1908:Z1908"),Настройки!$B$8)&amp;"")</f>
        <v/>
      </c>
      <c r="D1908">
        <f>IFERROR(--SUBSTITUTE(SUBSTITUTE(TRIM(INDEX(INDIRECT("'Выгрузка'!A1908:Z1908"),Настройки!$B$10)),",","."),".",MID(1/2,2,1)),"")</f>
        <v/>
      </c>
      <c r="E1908">
        <f>IFERROR(--SUBSTITUTE(SUBSTITUTE(TRIM(INDEX(INDIRECT("'Выгрузка'!A1908:Z1908"),Настройки!$B$11)),",","."),".",MID(1/2,2,1)),"")</f>
        <v/>
      </c>
      <c r="F1908">
        <f>TRIM(INDEX(INDIRECT("'Выгрузка'!A1908:Z1908"),Настройки!$B$12)&amp;"")</f>
        <v/>
      </c>
      <c r="G1908">
        <f>IF(F1908="",0,IF(TRIM(INDEX(INDIRECT("'Выгрузка'!A1908:Z1908"),Настройки!$B$13)&amp;"")="",1,IFERROR(--SUBSTITUTE(SUBSTITUTE(TRIM(INDEX(INDIRECT("'Выгрузка'!A1908:Z1908"),Настройки!$B$13)),",","."),".",MID(1/2,2,1)),"")))</f>
        <v/>
      </c>
      <c r="H1908">
        <f>IF(F1908="",0,IF(COUNTIF(Настройки!$B$17:$B$26,F1908)&gt;0,1,IF(COUNTIF(Настройки!$C$17:$C$26,F1908)&gt;0,2,IF(COUNTIF(Настройки!$D$17:$D$26,F1908)&gt;0,3,0))))</f>
        <v/>
      </c>
      <c r="I1908">
        <f>IF(AND(ISNUMBER(A1908),ISNUMBER(B1908)),A1908*1000+B1908,"")</f>
        <v/>
      </c>
      <c r="J1908">
        <f>IF(I1908="","",IF(COUNTIF(I$2:I1908,I1908)=1,MAX(J$1:J1907)+1,""))</f>
        <v/>
      </c>
    </row>
    <row r="1909">
      <c r="A1909">
        <f>IFERROR(--SUBSTITUTE(SUBSTITUTE(TRIM(INDEX(INDIRECT("'Выгрузка'!A1909:Z1909"),Настройки!$B$7)),",","."),".",MID(1/2,2,1)),"")</f>
        <v/>
      </c>
      <c r="B1909">
        <f>IFERROR(--SUBSTITUTE(SUBSTITUTE(TRIM(INDEX(INDIRECT("'Выгрузка'!A1909:Z1909"),Настройки!$B$9)),",","."),".",MID(1/2,2,1)),"")</f>
        <v/>
      </c>
      <c r="C1909">
        <f>TRIM(INDEX(INDIRECT("'Выгрузка'!A1909:Z1909"),Настройки!$B$8)&amp;"")</f>
        <v/>
      </c>
      <c r="D1909">
        <f>IFERROR(--SUBSTITUTE(SUBSTITUTE(TRIM(INDEX(INDIRECT("'Выгрузка'!A1909:Z1909"),Настройки!$B$10)),",","."),".",MID(1/2,2,1)),"")</f>
        <v/>
      </c>
      <c r="E1909">
        <f>IFERROR(--SUBSTITUTE(SUBSTITUTE(TRIM(INDEX(INDIRECT("'Выгрузка'!A1909:Z1909"),Настройки!$B$11)),",","."),".",MID(1/2,2,1)),"")</f>
        <v/>
      </c>
      <c r="F1909">
        <f>TRIM(INDEX(INDIRECT("'Выгрузка'!A1909:Z1909"),Настройки!$B$12)&amp;"")</f>
        <v/>
      </c>
      <c r="G1909">
        <f>IF(F1909="",0,IF(TRIM(INDEX(INDIRECT("'Выгрузка'!A1909:Z1909"),Настройки!$B$13)&amp;"")="",1,IFERROR(--SUBSTITUTE(SUBSTITUTE(TRIM(INDEX(INDIRECT("'Выгрузка'!A1909:Z1909"),Настройки!$B$13)),",","."),".",MID(1/2,2,1)),"")))</f>
        <v/>
      </c>
      <c r="H1909">
        <f>IF(F1909="",0,IF(COUNTIF(Настройки!$B$17:$B$26,F1909)&gt;0,1,IF(COUNTIF(Настройки!$C$17:$C$26,F1909)&gt;0,2,IF(COUNTIF(Настройки!$D$17:$D$26,F1909)&gt;0,3,0))))</f>
        <v/>
      </c>
      <c r="I1909">
        <f>IF(AND(ISNUMBER(A1909),ISNUMBER(B1909)),A1909*1000+B1909,"")</f>
        <v/>
      </c>
      <c r="J1909">
        <f>IF(I1909="","",IF(COUNTIF(I$2:I1909,I1909)=1,MAX(J$1:J1908)+1,""))</f>
        <v/>
      </c>
    </row>
    <row r="1910">
      <c r="A1910">
        <f>IFERROR(--SUBSTITUTE(SUBSTITUTE(TRIM(INDEX(INDIRECT("'Выгрузка'!A1910:Z1910"),Настройки!$B$7)),",","."),".",MID(1/2,2,1)),"")</f>
        <v/>
      </c>
      <c r="B1910">
        <f>IFERROR(--SUBSTITUTE(SUBSTITUTE(TRIM(INDEX(INDIRECT("'Выгрузка'!A1910:Z1910"),Настройки!$B$9)),",","."),".",MID(1/2,2,1)),"")</f>
        <v/>
      </c>
      <c r="C1910">
        <f>TRIM(INDEX(INDIRECT("'Выгрузка'!A1910:Z1910"),Настройки!$B$8)&amp;"")</f>
        <v/>
      </c>
      <c r="D1910">
        <f>IFERROR(--SUBSTITUTE(SUBSTITUTE(TRIM(INDEX(INDIRECT("'Выгрузка'!A1910:Z1910"),Настройки!$B$10)),",","."),".",MID(1/2,2,1)),"")</f>
        <v/>
      </c>
      <c r="E1910">
        <f>IFERROR(--SUBSTITUTE(SUBSTITUTE(TRIM(INDEX(INDIRECT("'Выгрузка'!A1910:Z1910"),Настройки!$B$11)),",","."),".",MID(1/2,2,1)),"")</f>
        <v/>
      </c>
      <c r="F1910">
        <f>TRIM(INDEX(INDIRECT("'Выгрузка'!A1910:Z1910"),Настройки!$B$12)&amp;"")</f>
        <v/>
      </c>
      <c r="G1910">
        <f>IF(F1910="",0,IF(TRIM(INDEX(INDIRECT("'Выгрузка'!A1910:Z1910"),Настройки!$B$13)&amp;"")="",1,IFERROR(--SUBSTITUTE(SUBSTITUTE(TRIM(INDEX(INDIRECT("'Выгрузка'!A1910:Z1910"),Настройки!$B$13)),",","."),".",MID(1/2,2,1)),"")))</f>
        <v/>
      </c>
      <c r="H1910">
        <f>IF(F1910="",0,IF(COUNTIF(Настройки!$B$17:$B$26,F1910)&gt;0,1,IF(COUNTIF(Настройки!$C$17:$C$26,F1910)&gt;0,2,IF(COUNTIF(Настройки!$D$17:$D$26,F1910)&gt;0,3,0))))</f>
        <v/>
      </c>
      <c r="I1910">
        <f>IF(AND(ISNUMBER(A1910),ISNUMBER(B1910)),A1910*1000+B1910,"")</f>
        <v/>
      </c>
      <c r="J1910">
        <f>IF(I1910="","",IF(COUNTIF(I$2:I1910,I1910)=1,MAX(J$1:J1909)+1,""))</f>
        <v/>
      </c>
    </row>
    <row r="1911">
      <c r="A1911">
        <f>IFERROR(--SUBSTITUTE(SUBSTITUTE(TRIM(INDEX(INDIRECT("'Выгрузка'!A1911:Z1911"),Настройки!$B$7)),",","."),".",MID(1/2,2,1)),"")</f>
        <v/>
      </c>
      <c r="B1911">
        <f>IFERROR(--SUBSTITUTE(SUBSTITUTE(TRIM(INDEX(INDIRECT("'Выгрузка'!A1911:Z1911"),Настройки!$B$9)),",","."),".",MID(1/2,2,1)),"")</f>
        <v/>
      </c>
      <c r="C1911">
        <f>TRIM(INDEX(INDIRECT("'Выгрузка'!A1911:Z1911"),Настройки!$B$8)&amp;"")</f>
        <v/>
      </c>
      <c r="D1911">
        <f>IFERROR(--SUBSTITUTE(SUBSTITUTE(TRIM(INDEX(INDIRECT("'Выгрузка'!A1911:Z1911"),Настройки!$B$10)),",","."),".",MID(1/2,2,1)),"")</f>
        <v/>
      </c>
      <c r="E1911">
        <f>IFERROR(--SUBSTITUTE(SUBSTITUTE(TRIM(INDEX(INDIRECT("'Выгрузка'!A1911:Z1911"),Настройки!$B$11)),",","."),".",MID(1/2,2,1)),"")</f>
        <v/>
      </c>
      <c r="F1911">
        <f>TRIM(INDEX(INDIRECT("'Выгрузка'!A1911:Z1911"),Настройки!$B$12)&amp;"")</f>
        <v/>
      </c>
      <c r="G1911">
        <f>IF(F1911="",0,IF(TRIM(INDEX(INDIRECT("'Выгрузка'!A1911:Z1911"),Настройки!$B$13)&amp;"")="",1,IFERROR(--SUBSTITUTE(SUBSTITUTE(TRIM(INDEX(INDIRECT("'Выгрузка'!A1911:Z1911"),Настройки!$B$13)),",","."),".",MID(1/2,2,1)),"")))</f>
        <v/>
      </c>
      <c r="H1911">
        <f>IF(F1911="",0,IF(COUNTIF(Настройки!$B$17:$B$26,F1911)&gt;0,1,IF(COUNTIF(Настройки!$C$17:$C$26,F1911)&gt;0,2,IF(COUNTIF(Настройки!$D$17:$D$26,F1911)&gt;0,3,0))))</f>
        <v/>
      </c>
      <c r="I1911">
        <f>IF(AND(ISNUMBER(A1911),ISNUMBER(B1911)),A1911*1000+B1911,"")</f>
        <v/>
      </c>
      <c r="J1911">
        <f>IF(I1911="","",IF(COUNTIF(I$2:I1911,I1911)=1,MAX(J$1:J1910)+1,""))</f>
        <v/>
      </c>
    </row>
    <row r="1912">
      <c r="A1912">
        <f>IFERROR(--SUBSTITUTE(SUBSTITUTE(TRIM(INDEX(INDIRECT("'Выгрузка'!A1912:Z1912"),Настройки!$B$7)),",","."),".",MID(1/2,2,1)),"")</f>
        <v/>
      </c>
      <c r="B1912">
        <f>IFERROR(--SUBSTITUTE(SUBSTITUTE(TRIM(INDEX(INDIRECT("'Выгрузка'!A1912:Z1912"),Настройки!$B$9)),",","."),".",MID(1/2,2,1)),"")</f>
        <v/>
      </c>
      <c r="C1912">
        <f>TRIM(INDEX(INDIRECT("'Выгрузка'!A1912:Z1912"),Настройки!$B$8)&amp;"")</f>
        <v/>
      </c>
      <c r="D1912">
        <f>IFERROR(--SUBSTITUTE(SUBSTITUTE(TRIM(INDEX(INDIRECT("'Выгрузка'!A1912:Z1912"),Настройки!$B$10)),",","."),".",MID(1/2,2,1)),"")</f>
        <v/>
      </c>
      <c r="E1912">
        <f>IFERROR(--SUBSTITUTE(SUBSTITUTE(TRIM(INDEX(INDIRECT("'Выгрузка'!A1912:Z1912"),Настройки!$B$11)),",","."),".",MID(1/2,2,1)),"")</f>
        <v/>
      </c>
      <c r="F1912">
        <f>TRIM(INDEX(INDIRECT("'Выгрузка'!A1912:Z1912"),Настройки!$B$12)&amp;"")</f>
        <v/>
      </c>
      <c r="G1912">
        <f>IF(F1912="",0,IF(TRIM(INDEX(INDIRECT("'Выгрузка'!A1912:Z1912"),Настройки!$B$13)&amp;"")="",1,IFERROR(--SUBSTITUTE(SUBSTITUTE(TRIM(INDEX(INDIRECT("'Выгрузка'!A1912:Z1912"),Настройки!$B$13)),",","."),".",MID(1/2,2,1)),"")))</f>
        <v/>
      </c>
      <c r="H1912">
        <f>IF(F1912="",0,IF(COUNTIF(Настройки!$B$17:$B$26,F1912)&gt;0,1,IF(COUNTIF(Настройки!$C$17:$C$26,F1912)&gt;0,2,IF(COUNTIF(Настройки!$D$17:$D$26,F1912)&gt;0,3,0))))</f>
        <v/>
      </c>
      <c r="I1912">
        <f>IF(AND(ISNUMBER(A1912),ISNUMBER(B1912)),A1912*1000+B1912,"")</f>
        <v/>
      </c>
      <c r="J1912">
        <f>IF(I1912="","",IF(COUNTIF(I$2:I1912,I1912)=1,MAX(J$1:J1911)+1,""))</f>
        <v/>
      </c>
    </row>
    <row r="1913">
      <c r="A1913">
        <f>IFERROR(--SUBSTITUTE(SUBSTITUTE(TRIM(INDEX(INDIRECT("'Выгрузка'!A1913:Z1913"),Настройки!$B$7)),",","."),".",MID(1/2,2,1)),"")</f>
        <v/>
      </c>
      <c r="B1913">
        <f>IFERROR(--SUBSTITUTE(SUBSTITUTE(TRIM(INDEX(INDIRECT("'Выгрузка'!A1913:Z1913"),Настройки!$B$9)),",","."),".",MID(1/2,2,1)),"")</f>
        <v/>
      </c>
      <c r="C1913">
        <f>TRIM(INDEX(INDIRECT("'Выгрузка'!A1913:Z1913"),Настройки!$B$8)&amp;"")</f>
        <v/>
      </c>
      <c r="D1913">
        <f>IFERROR(--SUBSTITUTE(SUBSTITUTE(TRIM(INDEX(INDIRECT("'Выгрузка'!A1913:Z1913"),Настройки!$B$10)),",","."),".",MID(1/2,2,1)),"")</f>
        <v/>
      </c>
      <c r="E1913">
        <f>IFERROR(--SUBSTITUTE(SUBSTITUTE(TRIM(INDEX(INDIRECT("'Выгрузка'!A1913:Z1913"),Настройки!$B$11)),",","."),".",MID(1/2,2,1)),"")</f>
        <v/>
      </c>
      <c r="F1913">
        <f>TRIM(INDEX(INDIRECT("'Выгрузка'!A1913:Z1913"),Настройки!$B$12)&amp;"")</f>
        <v/>
      </c>
      <c r="G1913">
        <f>IF(F1913="",0,IF(TRIM(INDEX(INDIRECT("'Выгрузка'!A1913:Z1913"),Настройки!$B$13)&amp;"")="",1,IFERROR(--SUBSTITUTE(SUBSTITUTE(TRIM(INDEX(INDIRECT("'Выгрузка'!A1913:Z1913"),Настройки!$B$13)),",","."),".",MID(1/2,2,1)),"")))</f>
        <v/>
      </c>
      <c r="H1913">
        <f>IF(F1913="",0,IF(COUNTIF(Настройки!$B$17:$B$26,F1913)&gt;0,1,IF(COUNTIF(Настройки!$C$17:$C$26,F1913)&gt;0,2,IF(COUNTIF(Настройки!$D$17:$D$26,F1913)&gt;0,3,0))))</f>
        <v/>
      </c>
      <c r="I1913">
        <f>IF(AND(ISNUMBER(A1913),ISNUMBER(B1913)),A1913*1000+B1913,"")</f>
        <v/>
      </c>
      <c r="J1913">
        <f>IF(I1913="","",IF(COUNTIF(I$2:I1913,I1913)=1,MAX(J$1:J1912)+1,""))</f>
        <v/>
      </c>
    </row>
    <row r="1914">
      <c r="A1914">
        <f>IFERROR(--SUBSTITUTE(SUBSTITUTE(TRIM(INDEX(INDIRECT("'Выгрузка'!A1914:Z1914"),Настройки!$B$7)),",","."),".",MID(1/2,2,1)),"")</f>
        <v/>
      </c>
      <c r="B1914">
        <f>IFERROR(--SUBSTITUTE(SUBSTITUTE(TRIM(INDEX(INDIRECT("'Выгрузка'!A1914:Z1914"),Настройки!$B$9)),",","."),".",MID(1/2,2,1)),"")</f>
        <v/>
      </c>
      <c r="C1914">
        <f>TRIM(INDEX(INDIRECT("'Выгрузка'!A1914:Z1914"),Настройки!$B$8)&amp;"")</f>
        <v/>
      </c>
      <c r="D1914">
        <f>IFERROR(--SUBSTITUTE(SUBSTITUTE(TRIM(INDEX(INDIRECT("'Выгрузка'!A1914:Z1914"),Настройки!$B$10)),",","."),".",MID(1/2,2,1)),"")</f>
        <v/>
      </c>
      <c r="E1914">
        <f>IFERROR(--SUBSTITUTE(SUBSTITUTE(TRIM(INDEX(INDIRECT("'Выгрузка'!A1914:Z1914"),Настройки!$B$11)),",","."),".",MID(1/2,2,1)),"")</f>
        <v/>
      </c>
      <c r="F1914">
        <f>TRIM(INDEX(INDIRECT("'Выгрузка'!A1914:Z1914"),Настройки!$B$12)&amp;"")</f>
        <v/>
      </c>
      <c r="G1914">
        <f>IF(F1914="",0,IF(TRIM(INDEX(INDIRECT("'Выгрузка'!A1914:Z1914"),Настройки!$B$13)&amp;"")="",1,IFERROR(--SUBSTITUTE(SUBSTITUTE(TRIM(INDEX(INDIRECT("'Выгрузка'!A1914:Z1914"),Настройки!$B$13)),",","."),".",MID(1/2,2,1)),"")))</f>
        <v/>
      </c>
      <c r="H1914">
        <f>IF(F1914="",0,IF(COUNTIF(Настройки!$B$17:$B$26,F1914)&gt;0,1,IF(COUNTIF(Настройки!$C$17:$C$26,F1914)&gt;0,2,IF(COUNTIF(Настройки!$D$17:$D$26,F1914)&gt;0,3,0))))</f>
        <v/>
      </c>
      <c r="I1914">
        <f>IF(AND(ISNUMBER(A1914),ISNUMBER(B1914)),A1914*1000+B1914,"")</f>
        <v/>
      </c>
      <c r="J1914">
        <f>IF(I1914="","",IF(COUNTIF(I$2:I1914,I1914)=1,MAX(J$1:J1913)+1,""))</f>
        <v/>
      </c>
    </row>
    <row r="1915">
      <c r="A1915">
        <f>IFERROR(--SUBSTITUTE(SUBSTITUTE(TRIM(INDEX(INDIRECT("'Выгрузка'!A1915:Z1915"),Настройки!$B$7)),",","."),".",MID(1/2,2,1)),"")</f>
        <v/>
      </c>
      <c r="B1915">
        <f>IFERROR(--SUBSTITUTE(SUBSTITUTE(TRIM(INDEX(INDIRECT("'Выгрузка'!A1915:Z1915"),Настройки!$B$9)),",","."),".",MID(1/2,2,1)),"")</f>
        <v/>
      </c>
      <c r="C1915">
        <f>TRIM(INDEX(INDIRECT("'Выгрузка'!A1915:Z1915"),Настройки!$B$8)&amp;"")</f>
        <v/>
      </c>
      <c r="D1915">
        <f>IFERROR(--SUBSTITUTE(SUBSTITUTE(TRIM(INDEX(INDIRECT("'Выгрузка'!A1915:Z1915"),Настройки!$B$10)),",","."),".",MID(1/2,2,1)),"")</f>
        <v/>
      </c>
      <c r="E1915">
        <f>IFERROR(--SUBSTITUTE(SUBSTITUTE(TRIM(INDEX(INDIRECT("'Выгрузка'!A1915:Z1915"),Настройки!$B$11)),",","."),".",MID(1/2,2,1)),"")</f>
        <v/>
      </c>
      <c r="F1915">
        <f>TRIM(INDEX(INDIRECT("'Выгрузка'!A1915:Z1915"),Настройки!$B$12)&amp;"")</f>
        <v/>
      </c>
      <c r="G1915">
        <f>IF(F1915="",0,IF(TRIM(INDEX(INDIRECT("'Выгрузка'!A1915:Z1915"),Настройки!$B$13)&amp;"")="",1,IFERROR(--SUBSTITUTE(SUBSTITUTE(TRIM(INDEX(INDIRECT("'Выгрузка'!A1915:Z1915"),Настройки!$B$13)),",","."),".",MID(1/2,2,1)),"")))</f>
        <v/>
      </c>
      <c r="H1915">
        <f>IF(F1915="",0,IF(COUNTIF(Настройки!$B$17:$B$26,F1915)&gt;0,1,IF(COUNTIF(Настройки!$C$17:$C$26,F1915)&gt;0,2,IF(COUNTIF(Настройки!$D$17:$D$26,F1915)&gt;0,3,0))))</f>
        <v/>
      </c>
      <c r="I1915">
        <f>IF(AND(ISNUMBER(A1915),ISNUMBER(B1915)),A1915*1000+B1915,"")</f>
        <v/>
      </c>
      <c r="J1915">
        <f>IF(I1915="","",IF(COUNTIF(I$2:I1915,I1915)=1,MAX(J$1:J1914)+1,""))</f>
        <v/>
      </c>
    </row>
    <row r="1916">
      <c r="A1916">
        <f>IFERROR(--SUBSTITUTE(SUBSTITUTE(TRIM(INDEX(INDIRECT("'Выгрузка'!A1916:Z1916"),Настройки!$B$7)),",","."),".",MID(1/2,2,1)),"")</f>
        <v/>
      </c>
      <c r="B1916">
        <f>IFERROR(--SUBSTITUTE(SUBSTITUTE(TRIM(INDEX(INDIRECT("'Выгрузка'!A1916:Z1916"),Настройки!$B$9)),",","."),".",MID(1/2,2,1)),"")</f>
        <v/>
      </c>
      <c r="C1916">
        <f>TRIM(INDEX(INDIRECT("'Выгрузка'!A1916:Z1916"),Настройки!$B$8)&amp;"")</f>
        <v/>
      </c>
      <c r="D1916">
        <f>IFERROR(--SUBSTITUTE(SUBSTITUTE(TRIM(INDEX(INDIRECT("'Выгрузка'!A1916:Z1916"),Настройки!$B$10)),",","."),".",MID(1/2,2,1)),"")</f>
        <v/>
      </c>
      <c r="E1916">
        <f>IFERROR(--SUBSTITUTE(SUBSTITUTE(TRIM(INDEX(INDIRECT("'Выгрузка'!A1916:Z1916"),Настройки!$B$11)),",","."),".",MID(1/2,2,1)),"")</f>
        <v/>
      </c>
      <c r="F1916">
        <f>TRIM(INDEX(INDIRECT("'Выгрузка'!A1916:Z1916"),Настройки!$B$12)&amp;"")</f>
        <v/>
      </c>
      <c r="G1916">
        <f>IF(F1916="",0,IF(TRIM(INDEX(INDIRECT("'Выгрузка'!A1916:Z1916"),Настройки!$B$13)&amp;"")="",1,IFERROR(--SUBSTITUTE(SUBSTITUTE(TRIM(INDEX(INDIRECT("'Выгрузка'!A1916:Z1916"),Настройки!$B$13)),",","."),".",MID(1/2,2,1)),"")))</f>
        <v/>
      </c>
      <c r="H1916">
        <f>IF(F1916="",0,IF(COUNTIF(Настройки!$B$17:$B$26,F1916)&gt;0,1,IF(COUNTIF(Настройки!$C$17:$C$26,F1916)&gt;0,2,IF(COUNTIF(Настройки!$D$17:$D$26,F1916)&gt;0,3,0))))</f>
        <v/>
      </c>
      <c r="I1916">
        <f>IF(AND(ISNUMBER(A1916),ISNUMBER(B1916)),A1916*1000+B1916,"")</f>
        <v/>
      </c>
      <c r="J1916">
        <f>IF(I1916="","",IF(COUNTIF(I$2:I1916,I1916)=1,MAX(J$1:J1915)+1,""))</f>
        <v/>
      </c>
    </row>
    <row r="1917">
      <c r="A1917">
        <f>IFERROR(--SUBSTITUTE(SUBSTITUTE(TRIM(INDEX(INDIRECT("'Выгрузка'!A1917:Z1917"),Настройки!$B$7)),",","."),".",MID(1/2,2,1)),"")</f>
        <v/>
      </c>
      <c r="B1917">
        <f>IFERROR(--SUBSTITUTE(SUBSTITUTE(TRIM(INDEX(INDIRECT("'Выгрузка'!A1917:Z1917"),Настройки!$B$9)),",","."),".",MID(1/2,2,1)),"")</f>
        <v/>
      </c>
      <c r="C1917">
        <f>TRIM(INDEX(INDIRECT("'Выгрузка'!A1917:Z1917"),Настройки!$B$8)&amp;"")</f>
        <v/>
      </c>
      <c r="D1917">
        <f>IFERROR(--SUBSTITUTE(SUBSTITUTE(TRIM(INDEX(INDIRECT("'Выгрузка'!A1917:Z1917"),Настройки!$B$10)),",","."),".",MID(1/2,2,1)),"")</f>
        <v/>
      </c>
      <c r="E1917">
        <f>IFERROR(--SUBSTITUTE(SUBSTITUTE(TRIM(INDEX(INDIRECT("'Выгрузка'!A1917:Z1917"),Настройки!$B$11)),",","."),".",MID(1/2,2,1)),"")</f>
        <v/>
      </c>
      <c r="F1917">
        <f>TRIM(INDEX(INDIRECT("'Выгрузка'!A1917:Z1917"),Настройки!$B$12)&amp;"")</f>
        <v/>
      </c>
      <c r="G1917">
        <f>IF(F1917="",0,IF(TRIM(INDEX(INDIRECT("'Выгрузка'!A1917:Z1917"),Настройки!$B$13)&amp;"")="",1,IFERROR(--SUBSTITUTE(SUBSTITUTE(TRIM(INDEX(INDIRECT("'Выгрузка'!A1917:Z1917"),Настройки!$B$13)),",","."),".",MID(1/2,2,1)),"")))</f>
        <v/>
      </c>
      <c r="H1917">
        <f>IF(F1917="",0,IF(COUNTIF(Настройки!$B$17:$B$26,F1917)&gt;0,1,IF(COUNTIF(Настройки!$C$17:$C$26,F1917)&gt;0,2,IF(COUNTIF(Настройки!$D$17:$D$26,F1917)&gt;0,3,0))))</f>
        <v/>
      </c>
      <c r="I1917">
        <f>IF(AND(ISNUMBER(A1917),ISNUMBER(B1917)),A1917*1000+B1917,"")</f>
        <v/>
      </c>
      <c r="J1917">
        <f>IF(I1917="","",IF(COUNTIF(I$2:I1917,I1917)=1,MAX(J$1:J1916)+1,""))</f>
        <v/>
      </c>
    </row>
    <row r="1918">
      <c r="A1918">
        <f>IFERROR(--SUBSTITUTE(SUBSTITUTE(TRIM(INDEX(INDIRECT("'Выгрузка'!A1918:Z1918"),Настройки!$B$7)),",","."),".",MID(1/2,2,1)),"")</f>
        <v/>
      </c>
      <c r="B1918">
        <f>IFERROR(--SUBSTITUTE(SUBSTITUTE(TRIM(INDEX(INDIRECT("'Выгрузка'!A1918:Z1918"),Настройки!$B$9)),",","."),".",MID(1/2,2,1)),"")</f>
        <v/>
      </c>
      <c r="C1918">
        <f>TRIM(INDEX(INDIRECT("'Выгрузка'!A1918:Z1918"),Настройки!$B$8)&amp;"")</f>
        <v/>
      </c>
      <c r="D1918">
        <f>IFERROR(--SUBSTITUTE(SUBSTITUTE(TRIM(INDEX(INDIRECT("'Выгрузка'!A1918:Z1918"),Настройки!$B$10)),",","."),".",MID(1/2,2,1)),"")</f>
        <v/>
      </c>
      <c r="E1918">
        <f>IFERROR(--SUBSTITUTE(SUBSTITUTE(TRIM(INDEX(INDIRECT("'Выгрузка'!A1918:Z1918"),Настройки!$B$11)),",","."),".",MID(1/2,2,1)),"")</f>
        <v/>
      </c>
      <c r="F1918">
        <f>TRIM(INDEX(INDIRECT("'Выгрузка'!A1918:Z1918"),Настройки!$B$12)&amp;"")</f>
        <v/>
      </c>
      <c r="G1918">
        <f>IF(F1918="",0,IF(TRIM(INDEX(INDIRECT("'Выгрузка'!A1918:Z1918"),Настройки!$B$13)&amp;"")="",1,IFERROR(--SUBSTITUTE(SUBSTITUTE(TRIM(INDEX(INDIRECT("'Выгрузка'!A1918:Z1918"),Настройки!$B$13)),",","."),".",MID(1/2,2,1)),"")))</f>
        <v/>
      </c>
      <c r="H1918">
        <f>IF(F1918="",0,IF(COUNTIF(Настройки!$B$17:$B$26,F1918)&gt;0,1,IF(COUNTIF(Настройки!$C$17:$C$26,F1918)&gt;0,2,IF(COUNTIF(Настройки!$D$17:$D$26,F1918)&gt;0,3,0))))</f>
        <v/>
      </c>
      <c r="I1918">
        <f>IF(AND(ISNUMBER(A1918),ISNUMBER(B1918)),A1918*1000+B1918,"")</f>
        <v/>
      </c>
      <c r="J1918">
        <f>IF(I1918="","",IF(COUNTIF(I$2:I1918,I1918)=1,MAX(J$1:J1917)+1,""))</f>
        <v/>
      </c>
    </row>
    <row r="1919">
      <c r="A1919">
        <f>IFERROR(--SUBSTITUTE(SUBSTITUTE(TRIM(INDEX(INDIRECT("'Выгрузка'!A1919:Z1919"),Настройки!$B$7)),",","."),".",MID(1/2,2,1)),"")</f>
        <v/>
      </c>
      <c r="B1919">
        <f>IFERROR(--SUBSTITUTE(SUBSTITUTE(TRIM(INDEX(INDIRECT("'Выгрузка'!A1919:Z1919"),Настройки!$B$9)),",","."),".",MID(1/2,2,1)),"")</f>
        <v/>
      </c>
      <c r="C1919">
        <f>TRIM(INDEX(INDIRECT("'Выгрузка'!A1919:Z1919"),Настройки!$B$8)&amp;"")</f>
        <v/>
      </c>
      <c r="D1919">
        <f>IFERROR(--SUBSTITUTE(SUBSTITUTE(TRIM(INDEX(INDIRECT("'Выгрузка'!A1919:Z1919"),Настройки!$B$10)),",","."),".",MID(1/2,2,1)),"")</f>
        <v/>
      </c>
      <c r="E1919">
        <f>IFERROR(--SUBSTITUTE(SUBSTITUTE(TRIM(INDEX(INDIRECT("'Выгрузка'!A1919:Z1919"),Настройки!$B$11)),",","."),".",MID(1/2,2,1)),"")</f>
        <v/>
      </c>
      <c r="F1919">
        <f>TRIM(INDEX(INDIRECT("'Выгрузка'!A1919:Z1919"),Настройки!$B$12)&amp;"")</f>
        <v/>
      </c>
      <c r="G1919">
        <f>IF(F1919="",0,IF(TRIM(INDEX(INDIRECT("'Выгрузка'!A1919:Z1919"),Настройки!$B$13)&amp;"")="",1,IFERROR(--SUBSTITUTE(SUBSTITUTE(TRIM(INDEX(INDIRECT("'Выгрузка'!A1919:Z1919"),Настройки!$B$13)),",","."),".",MID(1/2,2,1)),"")))</f>
        <v/>
      </c>
      <c r="H1919">
        <f>IF(F1919="",0,IF(COUNTIF(Настройки!$B$17:$B$26,F1919)&gt;0,1,IF(COUNTIF(Настройки!$C$17:$C$26,F1919)&gt;0,2,IF(COUNTIF(Настройки!$D$17:$D$26,F1919)&gt;0,3,0))))</f>
        <v/>
      </c>
      <c r="I1919">
        <f>IF(AND(ISNUMBER(A1919),ISNUMBER(B1919)),A1919*1000+B1919,"")</f>
        <v/>
      </c>
      <c r="J1919">
        <f>IF(I1919="","",IF(COUNTIF(I$2:I1919,I1919)=1,MAX(J$1:J1918)+1,""))</f>
        <v/>
      </c>
    </row>
    <row r="1920">
      <c r="A1920">
        <f>IFERROR(--SUBSTITUTE(SUBSTITUTE(TRIM(INDEX(INDIRECT("'Выгрузка'!A1920:Z1920"),Настройки!$B$7)),",","."),".",MID(1/2,2,1)),"")</f>
        <v/>
      </c>
      <c r="B1920">
        <f>IFERROR(--SUBSTITUTE(SUBSTITUTE(TRIM(INDEX(INDIRECT("'Выгрузка'!A1920:Z1920"),Настройки!$B$9)),",","."),".",MID(1/2,2,1)),"")</f>
        <v/>
      </c>
      <c r="C1920">
        <f>TRIM(INDEX(INDIRECT("'Выгрузка'!A1920:Z1920"),Настройки!$B$8)&amp;"")</f>
        <v/>
      </c>
      <c r="D1920">
        <f>IFERROR(--SUBSTITUTE(SUBSTITUTE(TRIM(INDEX(INDIRECT("'Выгрузка'!A1920:Z1920"),Настройки!$B$10)),",","."),".",MID(1/2,2,1)),"")</f>
        <v/>
      </c>
      <c r="E1920">
        <f>IFERROR(--SUBSTITUTE(SUBSTITUTE(TRIM(INDEX(INDIRECT("'Выгрузка'!A1920:Z1920"),Настройки!$B$11)),",","."),".",MID(1/2,2,1)),"")</f>
        <v/>
      </c>
      <c r="F1920">
        <f>TRIM(INDEX(INDIRECT("'Выгрузка'!A1920:Z1920"),Настройки!$B$12)&amp;"")</f>
        <v/>
      </c>
      <c r="G1920">
        <f>IF(F1920="",0,IF(TRIM(INDEX(INDIRECT("'Выгрузка'!A1920:Z1920"),Настройки!$B$13)&amp;"")="",1,IFERROR(--SUBSTITUTE(SUBSTITUTE(TRIM(INDEX(INDIRECT("'Выгрузка'!A1920:Z1920"),Настройки!$B$13)),",","."),".",MID(1/2,2,1)),"")))</f>
        <v/>
      </c>
      <c r="H1920">
        <f>IF(F1920="",0,IF(COUNTIF(Настройки!$B$17:$B$26,F1920)&gt;0,1,IF(COUNTIF(Настройки!$C$17:$C$26,F1920)&gt;0,2,IF(COUNTIF(Настройки!$D$17:$D$26,F1920)&gt;0,3,0))))</f>
        <v/>
      </c>
      <c r="I1920">
        <f>IF(AND(ISNUMBER(A1920),ISNUMBER(B1920)),A1920*1000+B1920,"")</f>
        <v/>
      </c>
      <c r="J1920">
        <f>IF(I1920="","",IF(COUNTIF(I$2:I1920,I1920)=1,MAX(J$1:J1919)+1,""))</f>
        <v/>
      </c>
    </row>
    <row r="1921">
      <c r="A1921">
        <f>IFERROR(--SUBSTITUTE(SUBSTITUTE(TRIM(INDEX(INDIRECT("'Выгрузка'!A1921:Z1921"),Настройки!$B$7)),",","."),".",MID(1/2,2,1)),"")</f>
        <v/>
      </c>
      <c r="B1921">
        <f>IFERROR(--SUBSTITUTE(SUBSTITUTE(TRIM(INDEX(INDIRECT("'Выгрузка'!A1921:Z1921"),Настройки!$B$9)),",","."),".",MID(1/2,2,1)),"")</f>
        <v/>
      </c>
      <c r="C1921">
        <f>TRIM(INDEX(INDIRECT("'Выгрузка'!A1921:Z1921"),Настройки!$B$8)&amp;"")</f>
        <v/>
      </c>
      <c r="D1921">
        <f>IFERROR(--SUBSTITUTE(SUBSTITUTE(TRIM(INDEX(INDIRECT("'Выгрузка'!A1921:Z1921"),Настройки!$B$10)),",","."),".",MID(1/2,2,1)),"")</f>
        <v/>
      </c>
      <c r="E1921">
        <f>IFERROR(--SUBSTITUTE(SUBSTITUTE(TRIM(INDEX(INDIRECT("'Выгрузка'!A1921:Z1921"),Настройки!$B$11)),",","."),".",MID(1/2,2,1)),"")</f>
        <v/>
      </c>
      <c r="F1921">
        <f>TRIM(INDEX(INDIRECT("'Выгрузка'!A1921:Z1921"),Настройки!$B$12)&amp;"")</f>
        <v/>
      </c>
      <c r="G1921">
        <f>IF(F1921="",0,IF(TRIM(INDEX(INDIRECT("'Выгрузка'!A1921:Z1921"),Настройки!$B$13)&amp;"")="",1,IFERROR(--SUBSTITUTE(SUBSTITUTE(TRIM(INDEX(INDIRECT("'Выгрузка'!A1921:Z1921"),Настройки!$B$13)),",","."),".",MID(1/2,2,1)),"")))</f>
        <v/>
      </c>
      <c r="H1921">
        <f>IF(F1921="",0,IF(COUNTIF(Настройки!$B$17:$B$26,F1921)&gt;0,1,IF(COUNTIF(Настройки!$C$17:$C$26,F1921)&gt;0,2,IF(COUNTIF(Настройки!$D$17:$D$26,F1921)&gt;0,3,0))))</f>
        <v/>
      </c>
      <c r="I1921">
        <f>IF(AND(ISNUMBER(A1921),ISNUMBER(B1921)),A1921*1000+B1921,"")</f>
        <v/>
      </c>
      <c r="J1921">
        <f>IF(I1921="","",IF(COUNTIF(I$2:I1921,I1921)=1,MAX(J$1:J1920)+1,""))</f>
        <v/>
      </c>
    </row>
    <row r="1922">
      <c r="A1922">
        <f>IFERROR(--SUBSTITUTE(SUBSTITUTE(TRIM(INDEX(INDIRECT("'Выгрузка'!A1922:Z1922"),Настройки!$B$7)),",","."),".",MID(1/2,2,1)),"")</f>
        <v/>
      </c>
      <c r="B1922">
        <f>IFERROR(--SUBSTITUTE(SUBSTITUTE(TRIM(INDEX(INDIRECT("'Выгрузка'!A1922:Z1922"),Настройки!$B$9)),",","."),".",MID(1/2,2,1)),"")</f>
        <v/>
      </c>
      <c r="C1922">
        <f>TRIM(INDEX(INDIRECT("'Выгрузка'!A1922:Z1922"),Настройки!$B$8)&amp;"")</f>
        <v/>
      </c>
      <c r="D1922">
        <f>IFERROR(--SUBSTITUTE(SUBSTITUTE(TRIM(INDEX(INDIRECT("'Выгрузка'!A1922:Z1922"),Настройки!$B$10)),",","."),".",MID(1/2,2,1)),"")</f>
        <v/>
      </c>
      <c r="E1922">
        <f>IFERROR(--SUBSTITUTE(SUBSTITUTE(TRIM(INDEX(INDIRECT("'Выгрузка'!A1922:Z1922"),Настройки!$B$11)),",","."),".",MID(1/2,2,1)),"")</f>
        <v/>
      </c>
      <c r="F1922">
        <f>TRIM(INDEX(INDIRECT("'Выгрузка'!A1922:Z1922"),Настройки!$B$12)&amp;"")</f>
        <v/>
      </c>
      <c r="G1922">
        <f>IF(F1922="",0,IF(TRIM(INDEX(INDIRECT("'Выгрузка'!A1922:Z1922"),Настройки!$B$13)&amp;"")="",1,IFERROR(--SUBSTITUTE(SUBSTITUTE(TRIM(INDEX(INDIRECT("'Выгрузка'!A1922:Z1922"),Настройки!$B$13)),",","."),".",MID(1/2,2,1)),"")))</f>
        <v/>
      </c>
      <c r="H1922">
        <f>IF(F1922="",0,IF(COUNTIF(Настройки!$B$17:$B$26,F1922)&gt;0,1,IF(COUNTIF(Настройки!$C$17:$C$26,F1922)&gt;0,2,IF(COUNTIF(Настройки!$D$17:$D$26,F1922)&gt;0,3,0))))</f>
        <v/>
      </c>
      <c r="I1922">
        <f>IF(AND(ISNUMBER(A1922),ISNUMBER(B1922)),A1922*1000+B1922,"")</f>
        <v/>
      </c>
      <c r="J1922">
        <f>IF(I1922="","",IF(COUNTIF(I$2:I1922,I1922)=1,MAX(J$1:J1921)+1,""))</f>
        <v/>
      </c>
    </row>
    <row r="1923">
      <c r="A1923">
        <f>IFERROR(--SUBSTITUTE(SUBSTITUTE(TRIM(INDEX(INDIRECT("'Выгрузка'!A1923:Z1923"),Настройки!$B$7)),",","."),".",MID(1/2,2,1)),"")</f>
        <v/>
      </c>
      <c r="B1923">
        <f>IFERROR(--SUBSTITUTE(SUBSTITUTE(TRIM(INDEX(INDIRECT("'Выгрузка'!A1923:Z1923"),Настройки!$B$9)),",","."),".",MID(1/2,2,1)),"")</f>
        <v/>
      </c>
      <c r="C1923">
        <f>TRIM(INDEX(INDIRECT("'Выгрузка'!A1923:Z1923"),Настройки!$B$8)&amp;"")</f>
        <v/>
      </c>
      <c r="D1923">
        <f>IFERROR(--SUBSTITUTE(SUBSTITUTE(TRIM(INDEX(INDIRECT("'Выгрузка'!A1923:Z1923"),Настройки!$B$10)),",","."),".",MID(1/2,2,1)),"")</f>
        <v/>
      </c>
      <c r="E1923">
        <f>IFERROR(--SUBSTITUTE(SUBSTITUTE(TRIM(INDEX(INDIRECT("'Выгрузка'!A1923:Z1923"),Настройки!$B$11)),",","."),".",MID(1/2,2,1)),"")</f>
        <v/>
      </c>
      <c r="F1923">
        <f>TRIM(INDEX(INDIRECT("'Выгрузка'!A1923:Z1923"),Настройки!$B$12)&amp;"")</f>
        <v/>
      </c>
      <c r="G1923">
        <f>IF(F1923="",0,IF(TRIM(INDEX(INDIRECT("'Выгрузка'!A1923:Z1923"),Настройки!$B$13)&amp;"")="",1,IFERROR(--SUBSTITUTE(SUBSTITUTE(TRIM(INDEX(INDIRECT("'Выгрузка'!A1923:Z1923"),Настройки!$B$13)),",","."),".",MID(1/2,2,1)),"")))</f>
        <v/>
      </c>
      <c r="H1923">
        <f>IF(F1923="",0,IF(COUNTIF(Настройки!$B$17:$B$26,F1923)&gt;0,1,IF(COUNTIF(Настройки!$C$17:$C$26,F1923)&gt;0,2,IF(COUNTIF(Настройки!$D$17:$D$26,F1923)&gt;0,3,0))))</f>
        <v/>
      </c>
      <c r="I1923">
        <f>IF(AND(ISNUMBER(A1923),ISNUMBER(B1923)),A1923*1000+B1923,"")</f>
        <v/>
      </c>
      <c r="J1923">
        <f>IF(I1923="","",IF(COUNTIF(I$2:I1923,I1923)=1,MAX(J$1:J1922)+1,""))</f>
        <v/>
      </c>
    </row>
    <row r="1924">
      <c r="A1924">
        <f>IFERROR(--SUBSTITUTE(SUBSTITUTE(TRIM(INDEX(INDIRECT("'Выгрузка'!A1924:Z1924"),Настройки!$B$7)),",","."),".",MID(1/2,2,1)),"")</f>
        <v/>
      </c>
      <c r="B1924">
        <f>IFERROR(--SUBSTITUTE(SUBSTITUTE(TRIM(INDEX(INDIRECT("'Выгрузка'!A1924:Z1924"),Настройки!$B$9)),",","."),".",MID(1/2,2,1)),"")</f>
        <v/>
      </c>
      <c r="C1924">
        <f>TRIM(INDEX(INDIRECT("'Выгрузка'!A1924:Z1924"),Настройки!$B$8)&amp;"")</f>
        <v/>
      </c>
      <c r="D1924">
        <f>IFERROR(--SUBSTITUTE(SUBSTITUTE(TRIM(INDEX(INDIRECT("'Выгрузка'!A1924:Z1924"),Настройки!$B$10)),",","."),".",MID(1/2,2,1)),"")</f>
        <v/>
      </c>
      <c r="E1924">
        <f>IFERROR(--SUBSTITUTE(SUBSTITUTE(TRIM(INDEX(INDIRECT("'Выгрузка'!A1924:Z1924"),Настройки!$B$11)),",","."),".",MID(1/2,2,1)),"")</f>
        <v/>
      </c>
      <c r="F1924">
        <f>TRIM(INDEX(INDIRECT("'Выгрузка'!A1924:Z1924"),Настройки!$B$12)&amp;"")</f>
        <v/>
      </c>
      <c r="G1924">
        <f>IF(F1924="",0,IF(TRIM(INDEX(INDIRECT("'Выгрузка'!A1924:Z1924"),Настройки!$B$13)&amp;"")="",1,IFERROR(--SUBSTITUTE(SUBSTITUTE(TRIM(INDEX(INDIRECT("'Выгрузка'!A1924:Z1924"),Настройки!$B$13)),",","."),".",MID(1/2,2,1)),"")))</f>
        <v/>
      </c>
      <c r="H1924">
        <f>IF(F1924="",0,IF(COUNTIF(Настройки!$B$17:$B$26,F1924)&gt;0,1,IF(COUNTIF(Настройки!$C$17:$C$26,F1924)&gt;0,2,IF(COUNTIF(Настройки!$D$17:$D$26,F1924)&gt;0,3,0))))</f>
        <v/>
      </c>
      <c r="I1924">
        <f>IF(AND(ISNUMBER(A1924),ISNUMBER(B1924)),A1924*1000+B1924,"")</f>
        <v/>
      </c>
      <c r="J1924">
        <f>IF(I1924="","",IF(COUNTIF(I$2:I1924,I1924)=1,MAX(J$1:J1923)+1,""))</f>
        <v/>
      </c>
    </row>
    <row r="1925">
      <c r="A1925">
        <f>IFERROR(--SUBSTITUTE(SUBSTITUTE(TRIM(INDEX(INDIRECT("'Выгрузка'!A1925:Z1925"),Настройки!$B$7)),",","."),".",MID(1/2,2,1)),"")</f>
        <v/>
      </c>
      <c r="B1925">
        <f>IFERROR(--SUBSTITUTE(SUBSTITUTE(TRIM(INDEX(INDIRECT("'Выгрузка'!A1925:Z1925"),Настройки!$B$9)),",","."),".",MID(1/2,2,1)),"")</f>
        <v/>
      </c>
      <c r="C1925">
        <f>TRIM(INDEX(INDIRECT("'Выгрузка'!A1925:Z1925"),Настройки!$B$8)&amp;"")</f>
        <v/>
      </c>
      <c r="D1925">
        <f>IFERROR(--SUBSTITUTE(SUBSTITUTE(TRIM(INDEX(INDIRECT("'Выгрузка'!A1925:Z1925"),Настройки!$B$10)),",","."),".",MID(1/2,2,1)),"")</f>
        <v/>
      </c>
      <c r="E1925">
        <f>IFERROR(--SUBSTITUTE(SUBSTITUTE(TRIM(INDEX(INDIRECT("'Выгрузка'!A1925:Z1925"),Настройки!$B$11)),",","."),".",MID(1/2,2,1)),"")</f>
        <v/>
      </c>
      <c r="F1925">
        <f>TRIM(INDEX(INDIRECT("'Выгрузка'!A1925:Z1925"),Настройки!$B$12)&amp;"")</f>
        <v/>
      </c>
      <c r="G1925">
        <f>IF(F1925="",0,IF(TRIM(INDEX(INDIRECT("'Выгрузка'!A1925:Z1925"),Настройки!$B$13)&amp;"")="",1,IFERROR(--SUBSTITUTE(SUBSTITUTE(TRIM(INDEX(INDIRECT("'Выгрузка'!A1925:Z1925"),Настройки!$B$13)),",","."),".",MID(1/2,2,1)),"")))</f>
        <v/>
      </c>
      <c r="H1925">
        <f>IF(F1925="",0,IF(COUNTIF(Настройки!$B$17:$B$26,F1925)&gt;0,1,IF(COUNTIF(Настройки!$C$17:$C$26,F1925)&gt;0,2,IF(COUNTIF(Настройки!$D$17:$D$26,F1925)&gt;0,3,0))))</f>
        <v/>
      </c>
      <c r="I1925">
        <f>IF(AND(ISNUMBER(A1925),ISNUMBER(B1925)),A1925*1000+B1925,"")</f>
        <v/>
      </c>
      <c r="J1925">
        <f>IF(I1925="","",IF(COUNTIF(I$2:I1925,I1925)=1,MAX(J$1:J1924)+1,""))</f>
        <v/>
      </c>
    </row>
    <row r="1926">
      <c r="A1926">
        <f>IFERROR(--SUBSTITUTE(SUBSTITUTE(TRIM(INDEX(INDIRECT("'Выгрузка'!A1926:Z1926"),Настройки!$B$7)),",","."),".",MID(1/2,2,1)),"")</f>
        <v/>
      </c>
      <c r="B1926">
        <f>IFERROR(--SUBSTITUTE(SUBSTITUTE(TRIM(INDEX(INDIRECT("'Выгрузка'!A1926:Z1926"),Настройки!$B$9)),",","."),".",MID(1/2,2,1)),"")</f>
        <v/>
      </c>
      <c r="C1926">
        <f>TRIM(INDEX(INDIRECT("'Выгрузка'!A1926:Z1926"),Настройки!$B$8)&amp;"")</f>
        <v/>
      </c>
      <c r="D1926">
        <f>IFERROR(--SUBSTITUTE(SUBSTITUTE(TRIM(INDEX(INDIRECT("'Выгрузка'!A1926:Z1926"),Настройки!$B$10)),",","."),".",MID(1/2,2,1)),"")</f>
        <v/>
      </c>
      <c r="E1926">
        <f>IFERROR(--SUBSTITUTE(SUBSTITUTE(TRIM(INDEX(INDIRECT("'Выгрузка'!A1926:Z1926"),Настройки!$B$11)),",","."),".",MID(1/2,2,1)),"")</f>
        <v/>
      </c>
      <c r="F1926">
        <f>TRIM(INDEX(INDIRECT("'Выгрузка'!A1926:Z1926"),Настройки!$B$12)&amp;"")</f>
        <v/>
      </c>
      <c r="G1926">
        <f>IF(F1926="",0,IF(TRIM(INDEX(INDIRECT("'Выгрузка'!A1926:Z1926"),Настройки!$B$13)&amp;"")="",1,IFERROR(--SUBSTITUTE(SUBSTITUTE(TRIM(INDEX(INDIRECT("'Выгрузка'!A1926:Z1926"),Настройки!$B$13)),",","."),".",MID(1/2,2,1)),"")))</f>
        <v/>
      </c>
      <c r="H1926">
        <f>IF(F1926="",0,IF(COUNTIF(Настройки!$B$17:$B$26,F1926)&gt;0,1,IF(COUNTIF(Настройки!$C$17:$C$26,F1926)&gt;0,2,IF(COUNTIF(Настройки!$D$17:$D$26,F1926)&gt;0,3,0))))</f>
        <v/>
      </c>
      <c r="I1926">
        <f>IF(AND(ISNUMBER(A1926),ISNUMBER(B1926)),A1926*1000+B1926,"")</f>
        <v/>
      </c>
      <c r="J1926">
        <f>IF(I1926="","",IF(COUNTIF(I$2:I1926,I1926)=1,MAX(J$1:J1925)+1,""))</f>
        <v/>
      </c>
    </row>
    <row r="1927">
      <c r="A1927">
        <f>IFERROR(--SUBSTITUTE(SUBSTITUTE(TRIM(INDEX(INDIRECT("'Выгрузка'!A1927:Z1927"),Настройки!$B$7)),",","."),".",MID(1/2,2,1)),"")</f>
        <v/>
      </c>
      <c r="B1927">
        <f>IFERROR(--SUBSTITUTE(SUBSTITUTE(TRIM(INDEX(INDIRECT("'Выгрузка'!A1927:Z1927"),Настройки!$B$9)),",","."),".",MID(1/2,2,1)),"")</f>
        <v/>
      </c>
      <c r="C1927">
        <f>TRIM(INDEX(INDIRECT("'Выгрузка'!A1927:Z1927"),Настройки!$B$8)&amp;"")</f>
        <v/>
      </c>
      <c r="D1927">
        <f>IFERROR(--SUBSTITUTE(SUBSTITUTE(TRIM(INDEX(INDIRECT("'Выгрузка'!A1927:Z1927"),Настройки!$B$10)),",","."),".",MID(1/2,2,1)),"")</f>
        <v/>
      </c>
      <c r="E1927">
        <f>IFERROR(--SUBSTITUTE(SUBSTITUTE(TRIM(INDEX(INDIRECT("'Выгрузка'!A1927:Z1927"),Настройки!$B$11)),",","."),".",MID(1/2,2,1)),"")</f>
        <v/>
      </c>
      <c r="F1927">
        <f>TRIM(INDEX(INDIRECT("'Выгрузка'!A1927:Z1927"),Настройки!$B$12)&amp;"")</f>
        <v/>
      </c>
      <c r="G1927">
        <f>IF(F1927="",0,IF(TRIM(INDEX(INDIRECT("'Выгрузка'!A1927:Z1927"),Настройки!$B$13)&amp;"")="",1,IFERROR(--SUBSTITUTE(SUBSTITUTE(TRIM(INDEX(INDIRECT("'Выгрузка'!A1927:Z1927"),Настройки!$B$13)),",","."),".",MID(1/2,2,1)),"")))</f>
        <v/>
      </c>
      <c r="H1927">
        <f>IF(F1927="",0,IF(COUNTIF(Настройки!$B$17:$B$26,F1927)&gt;0,1,IF(COUNTIF(Настройки!$C$17:$C$26,F1927)&gt;0,2,IF(COUNTIF(Настройки!$D$17:$D$26,F1927)&gt;0,3,0))))</f>
        <v/>
      </c>
      <c r="I1927">
        <f>IF(AND(ISNUMBER(A1927),ISNUMBER(B1927)),A1927*1000+B1927,"")</f>
        <v/>
      </c>
      <c r="J1927">
        <f>IF(I1927="","",IF(COUNTIF(I$2:I1927,I1927)=1,MAX(J$1:J1926)+1,""))</f>
        <v/>
      </c>
    </row>
    <row r="1928">
      <c r="A1928">
        <f>IFERROR(--SUBSTITUTE(SUBSTITUTE(TRIM(INDEX(INDIRECT("'Выгрузка'!A1928:Z1928"),Настройки!$B$7)),",","."),".",MID(1/2,2,1)),"")</f>
        <v/>
      </c>
      <c r="B1928">
        <f>IFERROR(--SUBSTITUTE(SUBSTITUTE(TRIM(INDEX(INDIRECT("'Выгрузка'!A1928:Z1928"),Настройки!$B$9)),",","."),".",MID(1/2,2,1)),"")</f>
        <v/>
      </c>
      <c r="C1928">
        <f>TRIM(INDEX(INDIRECT("'Выгрузка'!A1928:Z1928"),Настройки!$B$8)&amp;"")</f>
        <v/>
      </c>
      <c r="D1928">
        <f>IFERROR(--SUBSTITUTE(SUBSTITUTE(TRIM(INDEX(INDIRECT("'Выгрузка'!A1928:Z1928"),Настройки!$B$10)),",","."),".",MID(1/2,2,1)),"")</f>
        <v/>
      </c>
      <c r="E1928">
        <f>IFERROR(--SUBSTITUTE(SUBSTITUTE(TRIM(INDEX(INDIRECT("'Выгрузка'!A1928:Z1928"),Настройки!$B$11)),",","."),".",MID(1/2,2,1)),"")</f>
        <v/>
      </c>
      <c r="F1928">
        <f>TRIM(INDEX(INDIRECT("'Выгрузка'!A1928:Z1928"),Настройки!$B$12)&amp;"")</f>
        <v/>
      </c>
      <c r="G1928">
        <f>IF(F1928="",0,IF(TRIM(INDEX(INDIRECT("'Выгрузка'!A1928:Z1928"),Настройки!$B$13)&amp;"")="",1,IFERROR(--SUBSTITUTE(SUBSTITUTE(TRIM(INDEX(INDIRECT("'Выгрузка'!A1928:Z1928"),Настройки!$B$13)),",","."),".",MID(1/2,2,1)),"")))</f>
        <v/>
      </c>
      <c r="H1928">
        <f>IF(F1928="",0,IF(COUNTIF(Настройки!$B$17:$B$26,F1928)&gt;0,1,IF(COUNTIF(Настройки!$C$17:$C$26,F1928)&gt;0,2,IF(COUNTIF(Настройки!$D$17:$D$26,F1928)&gt;0,3,0))))</f>
        <v/>
      </c>
      <c r="I1928">
        <f>IF(AND(ISNUMBER(A1928),ISNUMBER(B1928)),A1928*1000+B1928,"")</f>
        <v/>
      </c>
      <c r="J1928">
        <f>IF(I1928="","",IF(COUNTIF(I$2:I1928,I1928)=1,MAX(J$1:J1927)+1,""))</f>
        <v/>
      </c>
    </row>
    <row r="1929">
      <c r="A1929">
        <f>IFERROR(--SUBSTITUTE(SUBSTITUTE(TRIM(INDEX(INDIRECT("'Выгрузка'!A1929:Z1929"),Настройки!$B$7)),",","."),".",MID(1/2,2,1)),"")</f>
        <v/>
      </c>
      <c r="B1929">
        <f>IFERROR(--SUBSTITUTE(SUBSTITUTE(TRIM(INDEX(INDIRECT("'Выгрузка'!A1929:Z1929"),Настройки!$B$9)),",","."),".",MID(1/2,2,1)),"")</f>
        <v/>
      </c>
      <c r="C1929">
        <f>TRIM(INDEX(INDIRECT("'Выгрузка'!A1929:Z1929"),Настройки!$B$8)&amp;"")</f>
        <v/>
      </c>
      <c r="D1929">
        <f>IFERROR(--SUBSTITUTE(SUBSTITUTE(TRIM(INDEX(INDIRECT("'Выгрузка'!A1929:Z1929"),Настройки!$B$10)),",","."),".",MID(1/2,2,1)),"")</f>
        <v/>
      </c>
      <c r="E1929">
        <f>IFERROR(--SUBSTITUTE(SUBSTITUTE(TRIM(INDEX(INDIRECT("'Выгрузка'!A1929:Z1929"),Настройки!$B$11)),",","."),".",MID(1/2,2,1)),"")</f>
        <v/>
      </c>
      <c r="F1929">
        <f>TRIM(INDEX(INDIRECT("'Выгрузка'!A1929:Z1929"),Настройки!$B$12)&amp;"")</f>
        <v/>
      </c>
      <c r="G1929">
        <f>IF(F1929="",0,IF(TRIM(INDEX(INDIRECT("'Выгрузка'!A1929:Z1929"),Настройки!$B$13)&amp;"")="",1,IFERROR(--SUBSTITUTE(SUBSTITUTE(TRIM(INDEX(INDIRECT("'Выгрузка'!A1929:Z1929"),Настройки!$B$13)),",","."),".",MID(1/2,2,1)),"")))</f>
        <v/>
      </c>
      <c r="H1929">
        <f>IF(F1929="",0,IF(COUNTIF(Настройки!$B$17:$B$26,F1929)&gt;0,1,IF(COUNTIF(Настройки!$C$17:$C$26,F1929)&gt;0,2,IF(COUNTIF(Настройки!$D$17:$D$26,F1929)&gt;0,3,0))))</f>
        <v/>
      </c>
      <c r="I1929">
        <f>IF(AND(ISNUMBER(A1929),ISNUMBER(B1929)),A1929*1000+B1929,"")</f>
        <v/>
      </c>
      <c r="J1929">
        <f>IF(I1929="","",IF(COUNTIF(I$2:I1929,I1929)=1,MAX(J$1:J1928)+1,""))</f>
        <v/>
      </c>
    </row>
    <row r="1930">
      <c r="A1930">
        <f>IFERROR(--SUBSTITUTE(SUBSTITUTE(TRIM(INDEX(INDIRECT("'Выгрузка'!A1930:Z1930"),Настройки!$B$7)),",","."),".",MID(1/2,2,1)),"")</f>
        <v/>
      </c>
      <c r="B1930">
        <f>IFERROR(--SUBSTITUTE(SUBSTITUTE(TRIM(INDEX(INDIRECT("'Выгрузка'!A1930:Z1930"),Настройки!$B$9)),",","."),".",MID(1/2,2,1)),"")</f>
        <v/>
      </c>
      <c r="C1930">
        <f>TRIM(INDEX(INDIRECT("'Выгрузка'!A1930:Z1930"),Настройки!$B$8)&amp;"")</f>
        <v/>
      </c>
      <c r="D1930">
        <f>IFERROR(--SUBSTITUTE(SUBSTITUTE(TRIM(INDEX(INDIRECT("'Выгрузка'!A1930:Z1930"),Настройки!$B$10)),",","."),".",MID(1/2,2,1)),"")</f>
        <v/>
      </c>
      <c r="E1930">
        <f>IFERROR(--SUBSTITUTE(SUBSTITUTE(TRIM(INDEX(INDIRECT("'Выгрузка'!A1930:Z1930"),Настройки!$B$11)),",","."),".",MID(1/2,2,1)),"")</f>
        <v/>
      </c>
      <c r="F1930">
        <f>TRIM(INDEX(INDIRECT("'Выгрузка'!A1930:Z1930"),Настройки!$B$12)&amp;"")</f>
        <v/>
      </c>
      <c r="G1930">
        <f>IF(F1930="",0,IF(TRIM(INDEX(INDIRECT("'Выгрузка'!A1930:Z1930"),Настройки!$B$13)&amp;"")="",1,IFERROR(--SUBSTITUTE(SUBSTITUTE(TRIM(INDEX(INDIRECT("'Выгрузка'!A1930:Z1930"),Настройки!$B$13)),",","."),".",MID(1/2,2,1)),"")))</f>
        <v/>
      </c>
      <c r="H1930">
        <f>IF(F1930="",0,IF(COUNTIF(Настройки!$B$17:$B$26,F1930)&gt;0,1,IF(COUNTIF(Настройки!$C$17:$C$26,F1930)&gt;0,2,IF(COUNTIF(Настройки!$D$17:$D$26,F1930)&gt;0,3,0))))</f>
        <v/>
      </c>
      <c r="I1930">
        <f>IF(AND(ISNUMBER(A1930),ISNUMBER(B1930)),A1930*1000+B1930,"")</f>
        <v/>
      </c>
      <c r="J1930">
        <f>IF(I1930="","",IF(COUNTIF(I$2:I1930,I1930)=1,MAX(J$1:J1929)+1,""))</f>
        <v/>
      </c>
    </row>
    <row r="1931">
      <c r="A1931">
        <f>IFERROR(--SUBSTITUTE(SUBSTITUTE(TRIM(INDEX(INDIRECT("'Выгрузка'!A1931:Z1931"),Настройки!$B$7)),",","."),".",MID(1/2,2,1)),"")</f>
        <v/>
      </c>
      <c r="B1931">
        <f>IFERROR(--SUBSTITUTE(SUBSTITUTE(TRIM(INDEX(INDIRECT("'Выгрузка'!A1931:Z1931"),Настройки!$B$9)),",","."),".",MID(1/2,2,1)),"")</f>
        <v/>
      </c>
      <c r="C1931">
        <f>TRIM(INDEX(INDIRECT("'Выгрузка'!A1931:Z1931"),Настройки!$B$8)&amp;"")</f>
        <v/>
      </c>
      <c r="D1931">
        <f>IFERROR(--SUBSTITUTE(SUBSTITUTE(TRIM(INDEX(INDIRECT("'Выгрузка'!A1931:Z1931"),Настройки!$B$10)),",","."),".",MID(1/2,2,1)),"")</f>
        <v/>
      </c>
      <c r="E1931">
        <f>IFERROR(--SUBSTITUTE(SUBSTITUTE(TRIM(INDEX(INDIRECT("'Выгрузка'!A1931:Z1931"),Настройки!$B$11)),",","."),".",MID(1/2,2,1)),"")</f>
        <v/>
      </c>
      <c r="F1931">
        <f>TRIM(INDEX(INDIRECT("'Выгрузка'!A1931:Z1931"),Настройки!$B$12)&amp;"")</f>
        <v/>
      </c>
      <c r="G1931">
        <f>IF(F1931="",0,IF(TRIM(INDEX(INDIRECT("'Выгрузка'!A1931:Z1931"),Настройки!$B$13)&amp;"")="",1,IFERROR(--SUBSTITUTE(SUBSTITUTE(TRIM(INDEX(INDIRECT("'Выгрузка'!A1931:Z1931"),Настройки!$B$13)),",","."),".",MID(1/2,2,1)),"")))</f>
        <v/>
      </c>
      <c r="H1931">
        <f>IF(F1931="",0,IF(COUNTIF(Настройки!$B$17:$B$26,F1931)&gt;0,1,IF(COUNTIF(Настройки!$C$17:$C$26,F1931)&gt;0,2,IF(COUNTIF(Настройки!$D$17:$D$26,F1931)&gt;0,3,0))))</f>
        <v/>
      </c>
      <c r="I1931">
        <f>IF(AND(ISNUMBER(A1931),ISNUMBER(B1931)),A1931*1000+B1931,"")</f>
        <v/>
      </c>
      <c r="J1931">
        <f>IF(I1931="","",IF(COUNTIF(I$2:I1931,I1931)=1,MAX(J$1:J1930)+1,""))</f>
        <v/>
      </c>
    </row>
    <row r="1932">
      <c r="A1932">
        <f>IFERROR(--SUBSTITUTE(SUBSTITUTE(TRIM(INDEX(INDIRECT("'Выгрузка'!A1932:Z1932"),Настройки!$B$7)),",","."),".",MID(1/2,2,1)),"")</f>
        <v/>
      </c>
      <c r="B1932">
        <f>IFERROR(--SUBSTITUTE(SUBSTITUTE(TRIM(INDEX(INDIRECT("'Выгрузка'!A1932:Z1932"),Настройки!$B$9)),",","."),".",MID(1/2,2,1)),"")</f>
        <v/>
      </c>
      <c r="C1932">
        <f>TRIM(INDEX(INDIRECT("'Выгрузка'!A1932:Z1932"),Настройки!$B$8)&amp;"")</f>
        <v/>
      </c>
      <c r="D1932">
        <f>IFERROR(--SUBSTITUTE(SUBSTITUTE(TRIM(INDEX(INDIRECT("'Выгрузка'!A1932:Z1932"),Настройки!$B$10)),",","."),".",MID(1/2,2,1)),"")</f>
        <v/>
      </c>
      <c r="E1932">
        <f>IFERROR(--SUBSTITUTE(SUBSTITUTE(TRIM(INDEX(INDIRECT("'Выгрузка'!A1932:Z1932"),Настройки!$B$11)),",","."),".",MID(1/2,2,1)),"")</f>
        <v/>
      </c>
      <c r="F1932">
        <f>TRIM(INDEX(INDIRECT("'Выгрузка'!A1932:Z1932"),Настройки!$B$12)&amp;"")</f>
        <v/>
      </c>
      <c r="G1932">
        <f>IF(F1932="",0,IF(TRIM(INDEX(INDIRECT("'Выгрузка'!A1932:Z1932"),Настройки!$B$13)&amp;"")="",1,IFERROR(--SUBSTITUTE(SUBSTITUTE(TRIM(INDEX(INDIRECT("'Выгрузка'!A1932:Z1932"),Настройки!$B$13)),",","."),".",MID(1/2,2,1)),"")))</f>
        <v/>
      </c>
      <c r="H1932">
        <f>IF(F1932="",0,IF(COUNTIF(Настройки!$B$17:$B$26,F1932)&gt;0,1,IF(COUNTIF(Настройки!$C$17:$C$26,F1932)&gt;0,2,IF(COUNTIF(Настройки!$D$17:$D$26,F1932)&gt;0,3,0))))</f>
        <v/>
      </c>
      <c r="I1932">
        <f>IF(AND(ISNUMBER(A1932),ISNUMBER(B1932)),A1932*1000+B1932,"")</f>
        <v/>
      </c>
      <c r="J1932">
        <f>IF(I1932="","",IF(COUNTIF(I$2:I1932,I1932)=1,MAX(J$1:J1931)+1,""))</f>
        <v/>
      </c>
    </row>
    <row r="1933">
      <c r="A1933">
        <f>IFERROR(--SUBSTITUTE(SUBSTITUTE(TRIM(INDEX(INDIRECT("'Выгрузка'!A1933:Z1933"),Настройки!$B$7)),",","."),".",MID(1/2,2,1)),"")</f>
        <v/>
      </c>
      <c r="B1933">
        <f>IFERROR(--SUBSTITUTE(SUBSTITUTE(TRIM(INDEX(INDIRECT("'Выгрузка'!A1933:Z1933"),Настройки!$B$9)),",","."),".",MID(1/2,2,1)),"")</f>
        <v/>
      </c>
      <c r="C1933">
        <f>TRIM(INDEX(INDIRECT("'Выгрузка'!A1933:Z1933"),Настройки!$B$8)&amp;"")</f>
        <v/>
      </c>
      <c r="D1933">
        <f>IFERROR(--SUBSTITUTE(SUBSTITUTE(TRIM(INDEX(INDIRECT("'Выгрузка'!A1933:Z1933"),Настройки!$B$10)),",","."),".",MID(1/2,2,1)),"")</f>
        <v/>
      </c>
      <c r="E1933">
        <f>IFERROR(--SUBSTITUTE(SUBSTITUTE(TRIM(INDEX(INDIRECT("'Выгрузка'!A1933:Z1933"),Настройки!$B$11)),",","."),".",MID(1/2,2,1)),"")</f>
        <v/>
      </c>
      <c r="F1933">
        <f>TRIM(INDEX(INDIRECT("'Выгрузка'!A1933:Z1933"),Настройки!$B$12)&amp;"")</f>
        <v/>
      </c>
      <c r="G1933">
        <f>IF(F1933="",0,IF(TRIM(INDEX(INDIRECT("'Выгрузка'!A1933:Z1933"),Настройки!$B$13)&amp;"")="",1,IFERROR(--SUBSTITUTE(SUBSTITUTE(TRIM(INDEX(INDIRECT("'Выгрузка'!A1933:Z1933"),Настройки!$B$13)),",","."),".",MID(1/2,2,1)),"")))</f>
        <v/>
      </c>
      <c r="H1933">
        <f>IF(F1933="",0,IF(COUNTIF(Настройки!$B$17:$B$26,F1933)&gt;0,1,IF(COUNTIF(Настройки!$C$17:$C$26,F1933)&gt;0,2,IF(COUNTIF(Настройки!$D$17:$D$26,F1933)&gt;0,3,0))))</f>
        <v/>
      </c>
      <c r="I1933">
        <f>IF(AND(ISNUMBER(A1933),ISNUMBER(B1933)),A1933*1000+B1933,"")</f>
        <v/>
      </c>
      <c r="J1933">
        <f>IF(I1933="","",IF(COUNTIF(I$2:I1933,I1933)=1,MAX(J$1:J1932)+1,""))</f>
        <v/>
      </c>
    </row>
    <row r="1934">
      <c r="A1934">
        <f>IFERROR(--SUBSTITUTE(SUBSTITUTE(TRIM(INDEX(INDIRECT("'Выгрузка'!A1934:Z1934"),Настройки!$B$7)),",","."),".",MID(1/2,2,1)),"")</f>
        <v/>
      </c>
      <c r="B1934">
        <f>IFERROR(--SUBSTITUTE(SUBSTITUTE(TRIM(INDEX(INDIRECT("'Выгрузка'!A1934:Z1934"),Настройки!$B$9)),",","."),".",MID(1/2,2,1)),"")</f>
        <v/>
      </c>
      <c r="C1934">
        <f>TRIM(INDEX(INDIRECT("'Выгрузка'!A1934:Z1934"),Настройки!$B$8)&amp;"")</f>
        <v/>
      </c>
      <c r="D1934">
        <f>IFERROR(--SUBSTITUTE(SUBSTITUTE(TRIM(INDEX(INDIRECT("'Выгрузка'!A1934:Z1934"),Настройки!$B$10)),",","."),".",MID(1/2,2,1)),"")</f>
        <v/>
      </c>
      <c r="E1934">
        <f>IFERROR(--SUBSTITUTE(SUBSTITUTE(TRIM(INDEX(INDIRECT("'Выгрузка'!A1934:Z1934"),Настройки!$B$11)),",","."),".",MID(1/2,2,1)),"")</f>
        <v/>
      </c>
      <c r="F1934">
        <f>TRIM(INDEX(INDIRECT("'Выгрузка'!A1934:Z1934"),Настройки!$B$12)&amp;"")</f>
        <v/>
      </c>
      <c r="G1934">
        <f>IF(F1934="",0,IF(TRIM(INDEX(INDIRECT("'Выгрузка'!A1934:Z1934"),Настройки!$B$13)&amp;"")="",1,IFERROR(--SUBSTITUTE(SUBSTITUTE(TRIM(INDEX(INDIRECT("'Выгрузка'!A1934:Z1934"),Настройки!$B$13)),",","."),".",MID(1/2,2,1)),"")))</f>
        <v/>
      </c>
      <c r="H1934">
        <f>IF(F1934="",0,IF(COUNTIF(Настройки!$B$17:$B$26,F1934)&gt;0,1,IF(COUNTIF(Настройки!$C$17:$C$26,F1934)&gt;0,2,IF(COUNTIF(Настройки!$D$17:$D$26,F1934)&gt;0,3,0))))</f>
        <v/>
      </c>
      <c r="I1934">
        <f>IF(AND(ISNUMBER(A1934),ISNUMBER(B1934)),A1934*1000+B1934,"")</f>
        <v/>
      </c>
      <c r="J1934">
        <f>IF(I1934="","",IF(COUNTIF(I$2:I1934,I1934)=1,MAX(J$1:J1933)+1,""))</f>
        <v/>
      </c>
    </row>
    <row r="1935">
      <c r="A1935">
        <f>IFERROR(--SUBSTITUTE(SUBSTITUTE(TRIM(INDEX(INDIRECT("'Выгрузка'!A1935:Z1935"),Настройки!$B$7)),",","."),".",MID(1/2,2,1)),"")</f>
        <v/>
      </c>
      <c r="B1935">
        <f>IFERROR(--SUBSTITUTE(SUBSTITUTE(TRIM(INDEX(INDIRECT("'Выгрузка'!A1935:Z1935"),Настройки!$B$9)),",","."),".",MID(1/2,2,1)),"")</f>
        <v/>
      </c>
      <c r="C1935">
        <f>TRIM(INDEX(INDIRECT("'Выгрузка'!A1935:Z1935"),Настройки!$B$8)&amp;"")</f>
        <v/>
      </c>
      <c r="D1935">
        <f>IFERROR(--SUBSTITUTE(SUBSTITUTE(TRIM(INDEX(INDIRECT("'Выгрузка'!A1935:Z1935"),Настройки!$B$10)),",","."),".",MID(1/2,2,1)),"")</f>
        <v/>
      </c>
      <c r="E1935">
        <f>IFERROR(--SUBSTITUTE(SUBSTITUTE(TRIM(INDEX(INDIRECT("'Выгрузка'!A1935:Z1935"),Настройки!$B$11)),",","."),".",MID(1/2,2,1)),"")</f>
        <v/>
      </c>
      <c r="F1935">
        <f>TRIM(INDEX(INDIRECT("'Выгрузка'!A1935:Z1935"),Настройки!$B$12)&amp;"")</f>
        <v/>
      </c>
      <c r="G1935">
        <f>IF(F1935="",0,IF(TRIM(INDEX(INDIRECT("'Выгрузка'!A1935:Z1935"),Настройки!$B$13)&amp;"")="",1,IFERROR(--SUBSTITUTE(SUBSTITUTE(TRIM(INDEX(INDIRECT("'Выгрузка'!A1935:Z1935"),Настройки!$B$13)),",","."),".",MID(1/2,2,1)),"")))</f>
        <v/>
      </c>
      <c r="H1935">
        <f>IF(F1935="",0,IF(COUNTIF(Настройки!$B$17:$B$26,F1935)&gt;0,1,IF(COUNTIF(Настройки!$C$17:$C$26,F1935)&gt;0,2,IF(COUNTIF(Настройки!$D$17:$D$26,F1935)&gt;0,3,0))))</f>
        <v/>
      </c>
      <c r="I1935">
        <f>IF(AND(ISNUMBER(A1935),ISNUMBER(B1935)),A1935*1000+B1935,"")</f>
        <v/>
      </c>
      <c r="J1935">
        <f>IF(I1935="","",IF(COUNTIF(I$2:I1935,I1935)=1,MAX(J$1:J1934)+1,""))</f>
        <v/>
      </c>
    </row>
    <row r="1936">
      <c r="A1936">
        <f>IFERROR(--SUBSTITUTE(SUBSTITUTE(TRIM(INDEX(INDIRECT("'Выгрузка'!A1936:Z1936"),Настройки!$B$7)),",","."),".",MID(1/2,2,1)),"")</f>
        <v/>
      </c>
      <c r="B1936">
        <f>IFERROR(--SUBSTITUTE(SUBSTITUTE(TRIM(INDEX(INDIRECT("'Выгрузка'!A1936:Z1936"),Настройки!$B$9)),",","."),".",MID(1/2,2,1)),"")</f>
        <v/>
      </c>
      <c r="C1936">
        <f>TRIM(INDEX(INDIRECT("'Выгрузка'!A1936:Z1936"),Настройки!$B$8)&amp;"")</f>
        <v/>
      </c>
      <c r="D1936">
        <f>IFERROR(--SUBSTITUTE(SUBSTITUTE(TRIM(INDEX(INDIRECT("'Выгрузка'!A1936:Z1936"),Настройки!$B$10)),",","."),".",MID(1/2,2,1)),"")</f>
        <v/>
      </c>
      <c r="E1936">
        <f>IFERROR(--SUBSTITUTE(SUBSTITUTE(TRIM(INDEX(INDIRECT("'Выгрузка'!A1936:Z1936"),Настройки!$B$11)),",","."),".",MID(1/2,2,1)),"")</f>
        <v/>
      </c>
      <c r="F1936">
        <f>TRIM(INDEX(INDIRECT("'Выгрузка'!A1936:Z1936"),Настройки!$B$12)&amp;"")</f>
        <v/>
      </c>
      <c r="G1936">
        <f>IF(F1936="",0,IF(TRIM(INDEX(INDIRECT("'Выгрузка'!A1936:Z1936"),Настройки!$B$13)&amp;"")="",1,IFERROR(--SUBSTITUTE(SUBSTITUTE(TRIM(INDEX(INDIRECT("'Выгрузка'!A1936:Z1936"),Настройки!$B$13)),",","."),".",MID(1/2,2,1)),"")))</f>
        <v/>
      </c>
      <c r="H1936">
        <f>IF(F1936="",0,IF(COUNTIF(Настройки!$B$17:$B$26,F1936)&gt;0,1,IF(COUNTIF(Настройки!$C$17:$C$26,F1936)&gt;0,2,IF(COUNTIF(Настройки!$D$17:$D$26,F1936)&gt;0,3,0))))</f>
        <v/>
      </c>
      <c r="I1936">
        <f>IF(AND(ISNUMBER(A1936),ISNUMBER(B1936)),A1936*1000+B1936,"")</f>
        <v/>
      </c>
      <c r="J1936">
        <f>IF(I1936="","",IF(COUNTIF(I$2:I1936,I1936)=1,MAX(J$1:J1935)+1,""))</f>
        <v/>
      </c>
    </row>
    <row r="1937">
      <c r="A1937">
        <f>IFERROR(--SUBSTITUTE(SUBSTITUTE(TRIM(INDEX(INDIRECT("'Выгрузка'!A1937:Z1937"),Настройки!$B$7)),",","."),".",MID(1/2,2,1)),"")</f>
        <v/>
      </c>
      <c r="B1937">
        <f>IFERROR(--SUBSTITUTE(SUBSTITUTE(TRIM(INDEX(INDIRECT("'Выгрузка'!A1937:Z1937"),Настройки!$B$9)),",","."),".",MID(1/2,2,1)),"")</f>
        <v/>
      </c>
      <c r="C1937">
        <f>TRIM(INDEX(INDIRECT("'Выгрузка'!A1937:Z1937"),Настройки!$B$8)&amp;"")</f>
        <v/>
      </c>
      <c r="D1937">
        <f>IFERROR(--SUBSTITUTE(SUBSTITUTE(TRIM(INDEX(INDIRECT("'Выгрузка'!A1937:Z1937"),Настройки!$B$10)),",","."),".",MID(1/2,2,1)),"")</f>
        <v/>
      </c>
      <c r="E1937">
        <f>IFERROR(--SUBSTITUTE(SUBSTITUTE(TRIM(INDEX(INDIRECT("'Выгрузка'!A1937:Z1937"),Настройки!$B$11)),",","."),".",MID(1/2,2,1)),"")</f>
        <v/>
      </c>
      <c r="F1937">
        <f>TRIM(INDEX(INDIRECT("'Выгрузка'!A1937:Z1937"),Настройки!$B$12)&amp;"")</f>
        <v/>
      </c>
      <c r="G1937">
        <f>IF(F1937="",0,IF(TRIM(INDEX(INDIRECT("'Выгрузка'!A1937:Z1937"),Настройки!$B$13)&amp;"")="",1,IFERROR(--SUBSTITUTE(SUBSTITUTE(TRIM(INDEX(INDIRECT("'Выгрузка'!A1937:Z1937"),Настройки!$B$13)),",","."),".",MID(1/2,2,1)),"")))</f>
        <v/>
      </c>
      <c r="H1937">
        <f>IF(F1937="",0,IF(COUNTIF(Настройки!$B$17:$B$26,F1937)&gt;0,1,IF(COUNTIF(Настройки!$C$17:$C$26,F1937)&gt;0,2,IF(COUNTIF(Настройки!$D$17:$D$26,F1937)&gt;0,3,0))))</f>
        <v/>
      </c>
      <c r="I1937">
        <f>IF(AND(ISNUMBER(A1937),ISNUMBER(B1937)),A1937*1000+B1937,"")</f>
        <v/>
      </c>
      <c r="J1937">
        <f>IF(I1937="","",IF(COUNTIF(I$2:I1937,I1937)=1,MAX(J$1:J1936)+1,""))</f>
        <v/>
      </c>
    </row>
    <row r="1938">
      <c r="A1938">
        <f>IFERROR(--SUBSTITUTE(SUBSTITUTE(TRIM(INDEX(INDIRECT("'Выгрузка'!A1938:Z1938"),Настройки!$B$7)),",","."),".",MID(1/2,2,1)),"")</f>
        <v/>
      </c>
      <c r="B1938">
        <f>IFERROR(--SUBSTITUTE(SUBSTITUTE(TRIM(INDEX(INDIRECT("'Выгрузка'!A1938:Z1938"),Настройки!$B$9)),",","."),".",MID(1/2,2,1)),"")</f>
        <v/>
      </c>
      <c r="C1938">
        <f>TRIM(INDEX(INDIRECT("'Выгрузка'!A1938:Z1938"),Настройки!$B$8)&amp;"")</f>
        <v/>
      </c>
      <c r="D1938">
        <f>IFERROR(--SUBSTITUTE(SUBSTITUTE(TRIM(INDEX(INDIRECT("'Выгрузка'!A1938:Z1938"),Настройки!$B$10)),",","."),".",MID(1/2,2,1)),"")</f>
        <v/>
      </c>
      <c r="E1938">
        <f>IFERROR(--SUBSTITUTE(SUBSTITUTE(TRIM(INDEX(INDIRECT("'Выгрузка'!A1938:Z1938"),Настройки!$B$11)),",","."),".",MID(1/2,2,1)),"")</f>
        <v/>
      </c>
      <c r="F1938">
        <f>TRIM(INDEX(INDIRECT("'Выгрузка'!A1938:Z1938"),Настройки!$B$12)&amp;"")</f>
        <v/>
      </c>
      <c r="G1938">
        <f>IF(F1938="",0,IF(TRIM(INDEX(INDIRECT("'Выгрузка'!A1938:Z1938"),Настройки!$B$13)&amp;"")="",1,IFERROR(--SUBSTITUTE(SUBSTITUTE(TRIM(INDEX(INDIRECT("'Выгрузка'!A1938:Z1938"),Настройки!$B$13)),",","."),".",MID(1/2,2,1)),"")))</f>
        <v/>
      </c>
      <c r="H1938">
        <f>IF(F1938="",0,IF(COUNTIF(Настройки!$B$17:$B$26,F1938)&gt;0,1,IF(COUNTIF(Настройки!$C$17:$C$26,F1938)&gt;0,2,IF(COUNTIF(Настройки!$D$17:$D$26,F1938)&gt;0,3,0))))</f>
        <v/>
      </c>
      <c r="I1938">
        <f>IF(AND(ISNUMBER(A1938),ISNUMBER(B1938)),A1938*1000+B1938,"")</f>
        <v/>
      </c>
      <c r="J1938">
        <f>IF(I1938="","",IF(COUNTIF(I$2:I1938,I1938)=1,MAX(J$1:J1937)+1,""))</f>
        <v/>
      </c>
    </row>
    <row r="1939">
      <c r="A1939">
        <f>IFERROR(--SUBSTITUTE(SUBSTITUTE(TRIM(INDEX(INDIRECT("'Выгрузка'!A1939:Z1939"),Настройки!$B$7)),",","."),".",MID(1/2,2,1)),"")</f>
        <v/>
      </c>
      <c r="B1939">
        <f>IFERROR(--SUBSTITUTE(SUBSTITUTE(TRIM(INDEX(INDIRECT("'Выгрузка'!A1939:Z1939"),Настройки!$B$9)),",","."),".",MID(1/2,2,1)),"")</f>
        <v/>
      </c>
      <c r="C1939">
        <f>TRIM(INDEX(INDIRECT("'Выгрузка'!A1939:Z1939"),Настройки!$B$8)&amp;"")</f>
        <v/>
      </c>
      <c r="D1939">
        <f>IFERROR(--SUBSTITUTE(SUBSTITUTE(TRIM(INDEX(INDIRECT("'Выгрузка'!A1939:Z1939"),Настройки!$B$10)),",","."),".",MID(1/2,2,1)),"")</f>
        <v/>
      </c>
      <c r="E1939">
        <f>IFERROR(--SUBSTITUTE(SUBSTITUTE(TRIM(INDEX(INDIRECT("'Выгрузка'!A1939:Z1939"),Настройки!$B$11)),",","."),".",MID(1/2,2,1)),"")</f>
        <v/>
      </c>
      <c r="F1939">
        <f>TRIM(INDEX(INDIRECT("'Выгрузка'!A1939:Z1939"),Настройки!$B$12)&amp;"")</f>
        <v/>
      </c>
      <c r="G1939">
        <f>IF(F1939="",0,IF(TRIM(INDEX(INDIRECT("'Выгрузка'!A1939:Z1939"),Настройки!$B$13)&amp;"")="",1,IFERROR(--SUBSTITUTE(SUBSTITUTE(TRIM(INDEX(INDIRECT("'Выгрузка'!A1939:Z1939"),Настройки!$B$13)),",","."),".",MID(1/2,2,1)),"")))</f>
        <v/>
      </c>
      <c r="H1939">
        <f>IF(F1939="",0,IF(COUNTIF(Настройки!$B$17:$B$26,F1939)&gt;0,1,IF(COUNTIF(Настройки!$C$17:$C$26,F1939)&gt;0,2,IF(COUNTIF(Настройки!$D$17:$D$26,F1939)&gt;0,3,0))))</f>
        <v/>
      </c>
      <c r="I1939">
        <f>IF(AND(ISNUMBER(A1939),ISNUMBER(B1939)),A1939*1000+B1939,"")</f>
        <v/>
      </c>
      <c r="J1939">
        <f>IF(I1939="","",IF(COUNTIF(I$2:I1939,I1939)=1,MAX(J$1:J1938)+1,""))</f>
        <v/>
      </c>
    </row>
    <row r="1940">
      <c r="A1940">
        <f>IFERROR(--SUBSTITUTE(SUBSTITUTE(TRIM(INDEX(INDIRECT("'Выгрузка'!A1940:Z1940"),Настройки!$B$7)),",","."),".",MID(1/2,2,1)),"")</f>
        <v/>
      </c>
      <c r="B1940">
        <f>IFERROR(--SUBSTITUTE(SUBSTITUTE(TRIM(INDEX(INDIRECT("'Выгрузка'!A1940:Z1940"),Настройки!$B$9)),",","."),".",MID(1/2,2,1)),"")</f>
        <v/>
      </c>
      <c r="C1940">
        <f>TRIM(INDEX(INDIRECT("'Выгрузка'!A1940:Z1940"),Настройки!$B$8)&amp;"")</f>
        <v/>
      </c>
      <c r="D1940">
        <f>IFERROR(--SUBSTITUTE(SUBSTITUTE(TRIM(INDEX(INDIRECT("'Выгрузка'!A1940:Z1940"),Настройки!$B$10)),",","."),".",MID(1/2,2,1)),"")</f>
        <v/>
      </c>
      <c r="E1940">
        <f>IFERROR(--SUBSTITUTE(SUBSTITUTE(TRIM(INDEX(INDIRECT("'Выгрузка'!A1940:Z1940"),Настройки!$B$11)),",","."),".",MID(1/2,2,1)),"")</f>
        <v/>
      </c>
      <c r="F1940">
        <f>TRIM(INDEX(INDIRECT("'Выгрузка'!A1940:Z1940"),Настройки!$B$12)&amp;"")</f>
        <v/>
      </c>
      <c r="G1940">
        <f>IF(F1940="",0,IF(TRIM(INDEX(INDIRECT("'Выгрузка'!A1940:Z1940"),Настройки!$B$13)&amp;"")="",1,IFERROR(--SUBSTITUTE(SUBSTITUTE(TRIM(INDEX(INDIRECT("'Выгрузка'!A1940:Z1940"),Настройки!$B$13)),",","."),".",MID(1/2,2,1)),"")))</f>
        <v/>
      </c>
      <c r="H1940">
        <f>IF(F1940="",0,IF(COUNTIF(Настройки!$B$17:$B$26,F1940)&gt;0,1,IF(COUNTIF(Настройки!$C$17:$C$26,F1940)&gt;0,2,IF(COUNTIF(Настройки!$D$17:$D$26,F1940)&gt;0,3,0))))</f>
        <v/>
      </c>
      <c r="I1940">
        <f>IF(AND(ISNUMBER(A1940),ISNUMBER(B1940)),A1940*1000+B1940,"")</f>
        <v/>
      </c>
      <c r="J1940">
        <f>IF(I1940="","",IF(COUNTIF(I$2:I1940,I1940)=1,MAX(J$1:J1939)+1,""))</f>
        <v/>
      </c>
    </row>
    <row r="1941">
      <c r="A1941">
        <f>IFERROR(--SUBSTITUTE(SUBSTITUTE(TRIM(INDEX(INDIRECT("'Выгрузка'!A1941:Z1941"),Настройки!$B$7)),",","."),".",MID(1/2,2,1)),"")</f>
        <v/>
      </c>
      <c r="B1941">
        <f>IFERROR(--SUBSTITUTE(SUBSTITUTE(TRIM(INDEX(INDIRECT("'Выгрузка'!A1941:Z1941"),Настройки!$B$9)),",","."),".",MID(1/2,2,1)),"")</f>
        <v/>
      </c>
      <c r="C1941">
        <f>TRIM(INDEX(INDIRECT("'Выгрузка'!A1941:Z1941"),Настройки!$B$8)&amp;"")</f>
        <v/>
      </c>
      <c r="D1941">
        <f>IFERROR(--SUBSTITUTE(SUBSTITUTE(TRIM(INDEX(INDIRECT("'Выгрузка'!A1941:Z1941"),Настройки!$B$10)),",","."),".",MID(1/2,2,1)),"")</f>
        <v/>
      </c>
      <c r="E1941">
        <f>IFERROR(--SUBSTITUTE(SUBSTITUTE(TRIM(INDEX(INDIRECT("'Выгрузка'!A1941:Z1941"),Настройки!$B$11)),",","."),".",MID(1/2,2,1)),"")</f>
        <v/>
      </c>
      <c r="F1941">
        <f>TRIM(INDEX(INDIRECT("'Выгрузка'!A1941:Z1941"),Настройки!$B$12)&amp;"")</f>
        <v/>
      </c>
      <c r="G1941">
        <f>IF(F1941="",0,IF(TRIM(INDEX(INDIRECT("'Выгрузка'!A1941:Z1941"),Настройки!$B$13)&amp;"")="",1,IFERROR(--SUBSTITUTE(SUBSTITUTE(TRIM(INDEX(INDIRECT("'Выгрузка'!A1941:Z1941"),Настройки!$B$13)),",","."),".",MID(1/2,2,1)),"")))</f>
        <v/>
      </c>
      <c r="H1941">
        <f>IF(F1941="",0,IF(COUNTIF(Настройки!$B$17:$B$26,F1941)&gt;0,1,IF(COUNTIF(Настройки!$C$17:$C$26,F1941)&gt;0,2,IF(COUNTIF(Настройки!$D$17:$D$26,F1941)&gt;0,3,0))))</f>
        <v/>
      </c>
      <c r="I1941">
        <f>IF(AND(ISNUMBER(A1941),ISNUMBER(B1941)),A1941*1000+B1941,"")</f>
        <v/>
      </c>
      <c r="J1941">
        <f>IF(I1941="","",IF(COUNTIF(I$2:I1941,I1941)=1,MAX(J$1:J1940)+1,""))</f>
        <v/>
      </c>
    </row>
    <row r="1942">
      <c r="A1942">
        <f>IFERROR(--SUBSTITUTE(SUBSTITUTE(TRIM(INDEX(INDIRECT("'Выгрузка'!A1942:Z1942"),Настройки!$B$7)),",","."),".",MID(1/2,2,1)),"")</f>
        <v/>
      </c>
      <c r="B1942">
        <f>IFERROR(--SUBSTITUTE(SUBSTITUTE(TRIM(INDEX(INDIRECT("'Выгрузка'!A1942:Z1942"),Настройки!$B$9)),",","."),".",MID(1/2,2,1)),"")</f>
        <v/>
      </c>
      <c r="C1942">
        <f>TRIM(INDEX(INDIRECT("'Выгрузка'!A1942:Z1942"),Настройки!$B$8)&amp;"")</f>
        <v/>
      </c>
      <c r="D1942">
        <f>IFERROR(--SUBSTITUTE(SUBSTITUTE(TRIM(INDEX(INDIRECT("'Выгрузка'!A1942:Z1942"),Настройки!$B$10)),",","."),".",MID(1/2,2,1)),"")</f>
        <v/>
      </c>
      <c r="E1942">
        <f>IFERROR(--SUBSTITUTE(SUBSTITUTE(TRIM(INDEX(INDIRECT("'Выгрузка'!A1942:Z1942"),Настройки!$B$11)),",","."),".",MID(1/2,2,1)),"")</f>
        <v/>
      </c>
      <c r="F1942">
        <f>TRIM(INDEX(INDIRECT("'Выгрузка'!A1942:Z1942"),Настройки!$B$12)&amp;"")</f>
        <v/>
      </c>
      <c r="G1942">
        <f>IF(F1942="",0,IF(TRIM(INDEX(INDIRECT("'Выгрузка'!A1942:Z1942"),Настройки!$B$13)&amp;"")="",1,IFERROR(--SUBSTITUTE(SUBSTITUTE(TRIM(INDEX(INDIRECT("'Выгрузка'!A1942:Z1942"),Настройки!$B$13)),",","."),".",MID(1/2,2,1)),"")))</f>
        <v/>
      </c>
      <c r="H1942">
        <f>IF(F1942="",0,IF(COUNTIF(Настройки!$B$17:$B$26,F1942)&gt;0,1,IF(COUNTIF(Настройки!$C$17:$C$26,F1942)&gt;0,2,IF(COUNTIF(Настройки!$D$17:$D$26,F1942)&gt;0,3,0))))</f>
        <v/>
      </c>
      <c r="I1942">
        <f>IF(AND(ISNUMBER(A1942),ISNUMBER(B1942)),A1942*1000+B1942,"")</f>
        <v/>
      </c>
      <c r="J1942">
        <f>IF(I1942="","",IF(COUNTIF(I$2:I1942,I1942)=1,MAX(J$1:J1941)+1,""))</f>
        <v/>
      </c>
    </row>
    <row r="1943">
      <c r="A1943">
        <f>IFERROR(--SUBSTITUTE(SUBSTITUTE(TRIM(INDEX(INDIRECT("'Выгрузка'!A1943:Z1943"),Настройки!$B$7)),",","."),".",MID(1/2,2,1)),"")</f>
        <v/>
      </c>
      <c r="B1943">
        <f>IFERROR(--SUBSTITUTE(SUBSTITUTE(TRIM(INDEX(INDIRECT("'Выгрузка'!A1943:Z1943"),Настройки!$B$9)),",","."),".",MID(1/2,2,1)),"")</f>
        <v/>
      </c>
      <c r="C1943">
        <f>TRIM(INDEX(INDIRECT("'Выгрузка'!A1943:Z1943"),Настройки!$B$8)&amp;"")</f>
        <v/>
      </c>
      <c r="D1943">
        <f>IFERROR(--SUBSTITUTE(SUBSTITUTE(TRIM(INDEX(INDIRECT("'Выгрузка'!A1943:Z1943"),Настройки!$B$10)),",","."),".",MID(1/2,2,1)),"")</f>
        <v/>
      </c>
      <c r="E1943">
        <f>IFERROR(--SUBSTITUTE(SUBSTITUTE(TRIM(INDEX(INDIRECT("'Выгрузка'!A1943:Z1943"),Настройки!$B$11)),",","."),".",MID(1/2,2,1)),"")</f>
        <v/>
      </c>
      <c r="F1943">
        <f>TRIM(INDEX(INDIRECT("'Выгрузка'!A1943:Z1943"),Настройки!$B$12)&amp;"")</f>
        <v/>
      </c>
      <c r="G1943">
        <f>IF(F1943="",0,IF(TRIM(INDEX(INDIRECT("'Выгрузка'!A1943:Z1943"),Настройки!$B$13)&amp;"")="",1,IFERROR(--SUBSTITUTE(SUBSTITUTE(TRIM(INDEX(INDIRECT("'Выгрузка'!A1943:Z1943"),Настройки!$B$13)),",","."),".",MID(1/2,2,1)),"")))</f>
        <v/>
      </c>
      <c r="H1943">
        <f>IF(F1943="",0,IF(COUNTIF(Настройки!$B$17:$B$26,F1943)&gt;0,1,IF(COUNTIF(Настройки!$C$17:$C$26,F1943)&gt;0,2,IF(COUNTIF(Настройки!$D$17:$D$26,F1943)&gt;0,3,0))))</f>
        <v/>
      </c>
      <c r="I1943">
        <f>IF(AND(ISNUMBER(A1943),ISNUMBER(B1943)),A1943*1000+B1943,"")</f>
        <v/>
      </c>
      <c r="J1943">
        <f>IF(I1943="","",IF(COUNTIF(I$2:I1943,I1943)=1,MAX(J$1:J1942)+1,""))</f>
        <v/>
      </c>
    </row>
    <row r="1944">
      <c r="A1944">
        <f>IFERROR(--SUBSTITUTE(SUBSTITUTE(TRIM(INDEX(INDIRECT("'Выгрузка'!A1944:Z1944"),Настройки!$B$7)),",","."),".",MID(1/2,2,1)),"")</f>
        <v/>
      </c>
      <c r="B1944">
        <f>IFERROR(--SUBSTITUTE(SUBSTITUTE(TRIM(INDEX(INDIRECT("'Выгрузка'!A1944:Z1944"),Настройки!$B$9)),",","."),".",MID(1/2,2,1)),"")</f>
        <v/>
      </c>
      <c r="C1944">
        <f>TRIM(INDEX(INDIRECT("'Выгрузка'!A1944:Z1944"),Настройки!$B$8)&amp;"")</f>
        <v/>
      </c>
      <c r="D1944">
        <f>IFERROR(--SUBSTITUTE(SUBSTITUTE(TRIM(INDEX(INDIRECT("'Выгрузка'!A1944:Z1944"),Настройки!$B$10)),",","."),".",MID(1/2,2,1)),"")</f>
        <v/>
      </c>
      <c r="E1944">
        <f>IFERROR(--SUBSTITUTE(SUBSTITUTE(TRIM(INDEX(INDIRECT("'Выгрузка'!A1944:Z1944"),Настройки!$B$11)),",","."),".",MID(1/2,2,1)),"")</f>
        <v/>
      </c>
      <c r="F1944">
        <f>TRIM(INDEX(INDIRECT("'Выгрузка'!A1944:Z1944"),Настройки!$B$12)&amp;"")</f>
        <v/>
      </c>
      <c r="G1944">
        <f>IF(F1944="",0,IF(TRIM(INDEX(INDIRECT("'Выгрузка'!A1944:Z1944"),Настройки!$B$13)&amp;"")="",1,IFERROR(--SUBSTITUTE(SUBSTITUTE(TRIM(INDEX(INDIRECT("'Выгрузка'!A1944:Z1944"),Настройки!$B$13)),",","."),".",MID(1/2,2,1)),"")))</f>
        <v/>
      </c>
      <c r="H1944">
        <f>IF(F1944="",0,IF(COUNTIF(Настройки!$B$17:$B$26,F1944)&gt;0,1,IF(COUNTIF(Настройки!$C$17:$C$26,F1944)&gt;0,2,IF(COUNTIF(Настройки!$D$17:$D$26,F1944)&gt;0,3,0))))</f>
        <v/>
      </c>
      <c r="I1944">
        <f>IF(AND(ISNUMBER(A1944),ISNUMBER(B1944)),A1944*1000+B1944,"")</f>
        <v/>
      </c>
      <c r="J1944">
        <f>IF(I1944="","",IF(COUNTIF(I$2:I1944,I1944)=1,MAX(J$1:J1943)+1,""))</f>
        <v/>
      </c>
    </row>
    <row r="1945">
      <c r="A1945">
        <f>IFERROR(--SUBSTITUTE(SUBSTITUTE(TRIM(INDEX(INDIRECT("'Выгрузка'!A1945:Z1945"),Настройки!$B$7)),",","."),".",MID(1/2,2,1)),"")</f>
        <v/>
      </c>
      <c r="B1945">
        <f>IFERROR(--SUBSTITUTE(SUBSTITUTE(TRIM(INDEX(INDIRECT("'Выгрузка'!A1945:Z1945"),Настройки!$B$9)),",","."),".",MID(1/2,2,1)),"")</f>
        <v/>
      </c>
      <c r="C1945">
        <f>TRIM(INDEX(INDIRECT("'Выгрузка'!A1945:Z1945"),Настройки!$B$8)&amp;"")</f>
        <v/>
      </c>
      <c r="D1945">
        <f>IFERROR(--SUBSTITUTE(SUBSTITUTE(TRIM(INDEX(INDIRECT("'Выгрузка'!A1945:Z1945"),Настройки!$B$10)),",","."),".",MID(1/2,2,1)),"")</f>
        <v/>
      </c>
      <c r="E1945">
        <f>IFERROR(--SUBSTITUTE(SUBSTITUTE(TRIM(INDEX(INDIRECT("'Выгрузка'!A1945:Z1945"),Настройки!$B$11)),",","."),".",MID(1/2,2,1)),"")</f>
        <v/>
      </c>
      <c r="F1945">
        <f>TRIM(INDEX(INDIRECT("'Выгрузка'!A1945:Z1945"),Настройки!$B$12)&amp;"")</f>
        <v/>
      </c>
      <c r="G1945">
        <f>IF(F1945="",0,IF(TRIM(INDEX(INDIRECT("'Выгрузка'!A1945:Z1945"),Настройки!$B$13)&amp;"")="",1,IFERROR(--SUBSTITUTE(SUBSTITUTE(TRIM(INDEX(INDIRECT("'Выгрузка'!A1945:Z1945"),Настройки!$B$13)),",","."),".",MID(1/2,2,1)),"")))</f>
        <v/>
      </c>
      <c r="H1945">
        <f>IF(F1945="",0,IF(COUNTIF(Настройки!$B$17:$B$26,F1945)&gt;0,1,IF(COUNTIF(Настройки!$C$17:$C$26,F1945)&gt;0,2,IF(COUNTIF(Настройки!$D$17:$D$26,F1945)&gt;0,3,0))))</f>
        <v/>
      </c>
      <c r="I1945">
        <f>IF(AND(ISNUMBER(A1945),ISNUMBER(B1945)),A1945*1000+B1945,"")</f>
        <v/>
      </c>
      <c r="J1945">
        <f>IF(I1945="","",IF(COUNTIF(I$2:I1945,I1945)=1,MAX(J$1:J1944)+1,""))</f>
        <v/>
      </c>
    </row>
    <row r="1946">
      <c r="A1946">
        <f>IFERROR(--SUBSTITUTE(SUBSTITUTE(TRIM(INDEX(INDIRECT("'Выгрузка'!A1946:Z1946"),Настройки!$B$7)),",","."),".",MID(1/2,2,1)),"")</f>
        <v/>
      </c>
      <c r="B1946">
        <f>IFERROR(--SUBSTITUTE(SUBSTITUTE(TRIM(INDEX(INDIRECT("'Выгрузка'!A1946:Z1946"),Настройки!$B$9)),",","."),".",MID(1/2,2,1)),"")</f>
        <v/>
      </c>
      <c r="C1946">
        <f>TRIM(INDEX(INDIRECT("'Выгрузка'!A1946:Z1946"),Настройки!$B$8)&amp;"")</f>
        <v/>
      </c>
      <c r="D1946">
        <f>IFERROR(--SUBSTITUTE(SUBSTITUTE(TRIM(INDEX(INDIRECT("'Выгрузка'!A1946:Z1946"),Настройки!$B$10)),",","."),".",MID(1/2,2,1)),"")</f>
        <v/>
      </c>
      <c r="E1946">
        <f>IFERROR(--SUBSTITUTE(SUBSTITUTE(TRIM(INDEX(INDIRECT("'Выгрузка'!A1946:Z1946"),Настройки!$B$11)),",","."),".",MID(1/2,2,1)),"")</f>
        <v/>
      </c>
      <c r="F1946">
        <f>TRIM(INDEX(INDIRECT("'Выгрузка'!A1946:Z1946"),Настройки!$B$12)&amp;"")</f>
        <v/>
      </c>
      <c r="G1946">
        <f>IF(F1946="",0,IF(TRIM(INDEX(INDIRECT("'Выгрузка'!A1946:Z1946"),Настройки!$B$13)&amp;"")="",1,IFERROR(--SUBSTITUTE(SUBSTITUTE(TRIM(INDEX(INDIRECT("'Выгрузка'!A1946:Z1946"),Настройки!$B$13)),",","."),".",MID(1/2,2,1)),"")))</f>
        <v/>
      </c>
      <c r="H1946">
        <f>IF(F1946="",0,IF(COUNTIF(Настройки!$B$17:$B$26,F1946)&gt;0,1,IF(COUNTIF(Настройки!$C$17:$C$26,F1946)&gt;0,2,IF(COUNTIF(Настройки!$D$17:$D$26,F1946)&gt;0,3,0))))</f>
        <v/>
      </c>
      <c r="I1946">
        <f>IF(AND(ISNUMBER(A1946),ISNUMBER(B1946)),A1946*1000+B1946,"")</f>
        <v/>
      </c>
      <c r="J1946">
        <f>IF(I1946="","",IF(COUNTIF(I$2:I1946,I1946)=1,MAX(J$1:J1945)+1,""))</f>
        <v/>
      </c>
    </row>
    <row r="1947">
      <c r="A1947">
        <f>IFERROR(--SUBSTITUTE(SUBSTITUTE(TRIM(INDEX(INDIRECT("'Выгрузка'!A1947:Z1947"),Настройки!$B$7)),",","."),".",MID(1/2,2,1)),"")</f>
        <v/>
      </c>
      <c r="B1947">
        <f>IFERROR(--SUBSTITUTE(SUBSTITUTE(TRIM(INDEX(INDIRECT("'Выгрузка'!A1947:Z1947"),Настройки!$B$9)),",","."),".",MID(1/2,2,1)),"")</f>
        <v/>
      </c>
      <c r="C1947">
        <f>TRIM(INDEX(INDIRECT("'Выгрузка'!A1947:Z1947"),Настройки!$B$8)&amp;"")</f>
        <v/>
      </c>
      <c r="D1947">
        <f>IFERROR(--SUBSTITUTE(SUBSTITUTE(TRIM(INDEX(INDIRECT("'Выгрузка'!A1947:Z1947"),Настройки!$B$10)),",","."),".",MID(1/2,2,1)),"")</f>
        <v/>
      </c>
      <c r="E1947">
        <f>IFERROR(--SUBSTITUTE(SUBSTITUTE(TRIM(INDEX(INDIRECT("'Выгрузка'!A1947:Z1947"),Настройки!$B$11)),",","."),".",MID(1/2,2,1)),"")</f>
        <v/>
      </c>
      <c r="F1947">
        <f>TRIM(INDEX(INDIRECT("'Выгрузка'!A1947:Z1947"),Настройки!$B$12)&amp;"")</f>
        <v/>
      </c>
      <c r="G1947">
        <f>IF(F1947="",0,IF(TRIM(INDEX(INDIRECT("'Выгрузка'!A1947:Z1947"),Настройки!$B$13)&amp;"")="",1,IFERROR(--SUBSTITUTE(SUBSTITUTE(TRIM(INDEX(INDIRECT("'Выгрузка'!A1947:Z1947"),Настройки!$B$13)),",","."),".",MID(1/2,2,1)),"")))</f>
        <v/>
      </c>
      <c r="H1947">
        <f>IF(F1947="",0,IF(COUNTIF(Настройки!$B$17:$B$26,F1947)&gt;0,1,IF(COUNTIF(Настройки!$C$17:$C$26,F1947)&gt;0,2,IF(COUNTIF(Настройки!$D$17:$D$26,F1947)&gt;0,3,0))))</f>
        <v/>
      </c>
      <c r="I1947">
        <f>IF(AND(ISNUMBER(A1947),ISNUMBER(B1947)),A1947*1000+B1947,"")</f>
        <v/>
      </c>
      <c r="J1947">
        <f>IF(I1947="","",IF(COUNTIF(I$2:I1947,I1947)=1,MAX(J$1:J1946)+1,""))</f>
        <v/>
      </c>
    </row>
    <row r="1948">
      <c r="A1948">
        <f>IFERROR(--SUBSTITUTE(SUBSTITUTE(TRIM(INDEX(INDIRECT("'Выгрузка'!A1948:Z1948"),Настройки!$B$7)),",","."),".",MID(1/2,2,1)),"")</f>
        <v/>
      </c>
      <c r="B1948">
        <f>IFERROR(--SUBSTITUTE(SUBSTITUTE(TRIM(INDEX(INDIRECT("'Выгрузка'!A1948:Z1948"),Настройки!$B$9)),",","."),".",MID(1/2,2,1)),"")</f>
        <v/>
      </c>
      <c r="C1948">
        <f>TRIM(INDEX(INDIRECT("'Выгрузка'!A1948:Z1948"),Настройки!$B$8)&amp;"")</f>
        <v/>
      </c>
      <c r="D1948">
        <f>IFERROR(--SUBSTITUTE(SUBSTITUTE(TRIM(INDEX(INDIRECT("'Выгрузка'!A1948:Z1948"),Настройки!$B$10)),",","."),".",MID(1/2,2,1)),"")</f>
        <v/>
      </c>
      <c r="E1948">
        <f>IFERROR(--SUBSTITUTE(SUBSTITUTE(TRIM(INDEX(INDIRECT("'Выгрузка'!A1948:Z1948"),Настройки!$B$11)),",","."),".",MID(1/2,2,1)),"")</f>
        <v/>
      </c>
      <c r="F1948">
        <f>TRIM(INDEX(INDIRECT("'Выгрузка'!A1948:Z1948"),Настройки!$B$12)&amp;"")</f>
        <v/>
      </c>
      <c r="G1948">
        <f>IF(F1948="",0,IF(TRIM(INDEX(INDIRECT("'Выгрузка'!A1948:Z1948"),Настройки!$B$13)&amp;"")="",1,IFERROR(--SUBSTITUTE(SUBSTITUTE(TRIM(INDEX(INDIRECT("'Выгрузка'!A1948:Z1948"),Настройки!$B$13)),",","."),".",MID(1/2,2,1)),"")))</f>
        <v/>
      </c>
      <c r="H1948">
        <f>IF(F1948="",0,IF(COUNTIF(Настройки!$B$17:$B$26,F1948)&gt;0,1,IF(COUNTIF(Настройки!$C$17:$C$26,F1948)&gt;0,2,IF(COUNTIF(Настройки!$D$17:$D$26,F1948)&gt;0,3,0))))</f>
        <v/>
      </c>
      <c r="I1948">
        <f>IF(AND(ISNUMBER(A1948),ISNUMBER(B1948)),A1948*1000+B1948,"")</f>
        <v/>
      </c>
      <c r="J1948">
        <f>IF(I1948="","",IF(COUNTIF(I$2:I1948,I1948)=1,MAX(J$1:J1947)+1,""))</f>
        <v/>
      </c>
    </row>
    <row r="1949">
      <c r="A1949">
        <f>IFERROR(--SUBSTITUTE(SUBSTITUTE(TRIM(INDEX(INDIRECT("'Выгрузка'!A1949:Z1949"),Настройки!$B$7)),",","."),".",MID(1/2,2,1)),"")</f>
        <v/>
      </c>
      <c r="B1949">
        <f>IFERROR(--SUBSTITUTE(SUBSTITUTE(TRIM(INDEX(INDIRECT("'Выгрузка'!A1949:Z1949"),Настройки!$B$9)),",","."),".",MID(1/2,2,1)),"")</f>
        <v/>
      </c>
      <c r="C1949">
        <f>TRIM(INDEX(INDIRECT("'Выгрузка'!A1949:Z1949"),Настройки!$B$8)&amp;"")</f>
        <v/>
      </c>
      <c r="D1949">
        <f>IFERROR(--SUBSTITUTE(SUBSTITUTE(TRIM(INDEX(INDIRECT("'Выгрузка'!A1949:Z1949"),Настройки!$B$10)),",","."),".",MID(1/2,2,1)),"")</f>
        <v/>
      </c>
      <c r="E1949">
        <f>IFERROR(--SUBSTITUTE(SUBSTITUTE(TRIM(INDEX(INDIRECT("'Выгрузка'!A1949:Z1949"),Настройки!$B$11)),",","."),".",MID(1/2,2,1)),"")</f>
        <v/>
      </c>
      <c r="F1949">
        <f>TRIM(INDEX(INDIRECT("'Выгрузка'!A1949:Z1949"),Настройки!$B$12)&amp;"")</f>
        <v/>
      </c>
      <c r="G1949">
        <f>IF(F1949="",0,IF(TRIM(INDEX(INDIRECT("'Выгрузка'!A1949:Z1949"),Настройки!$B$13)&amp;"")="",1,IFERROR(--SUBSTITUTE(SUBSTITUTE(TRIM(INDEX(INDIRECT("'Выгрузка'!A1949:Z1949"),Настройки!$B$13)),",","."),".",MID(1/2,2,1)),"")))</f>
        <v/>
      </c>
      <c r="H1949">
        <f>IF(F1949="",0,IF(COUNTIF(Настройки!$B$17:$B$26,F1949)&gt;0,1,IF(COUNTIF(Настройки!$C$17:$C$26,F1949)&gt;0,2,IF(COUNTIF(Настройки!$D$17:$D$26,F1949)&gt;0,3,0))))</f>
        <v/>
      </c>
      <c r="I1949">
        <f>IF(AND(ISNUMBER(A1949),ISNUMBER(B1949)),A1949*1000+B1949,"")</f>
        <v/>
      </c>
      <c r="J1949">
        <f>IF(I1949="","",IF(COUNTIF(I$2:I1949,I1949)=1,MAX(J$1:J1948)+1,""))</f>
        <v/>
      </c>
    </row>
    <row r="1950">
      <c r="A1950">
        <f>IFERROR(--SUBSTITUTE(SUBSTITUTE(TRIM(INDEX(INDIRECT("'Выгрузка'!A1950:Z1950"),Настройки!$B$7)),",","."),".",MID(1/2,2,1)),"")</f>
        <v/>
      </c>
      <c r="B1950">
        <f>IFERROR(--SUBSTITUTE(SUBSTITUTE(TRIM(INDEX(INDIRECT("'Выгрузка'!A1950:Z1950"),Настройки!$B$9)),",","."),".",MID(1/2,2,1)),"")</f>
        <v/>
      </c>
      <c r="C1950">
        <f>TRIM(INDEX(INDIRECT("'Выгрузка'!A1950:Z1950"),Настройки!$B$8)&amp;"")</f>
        <v/>
      </c>
      <c r="D1950">
        <f>IFERROR(--SUBSTITUTE(SUBSTITUTE(TRIM(INDEX(INDIRECT("'Выгрузка'!A1950:Z1950"),Настройки!$B$10)),",","."),".",MID(1/2,2,1)),"")</f>
        <v/>
      </c>
      <c r="E1950">
        <f>IFERROR(--SUBSTITUTE(SUBSTITUTE(TRIM(INDEX(INDIRECT("'Выгрузка'!A1950:Z1950"),Настройки!$B$11)),",","."),".",MID(1/2,2,1)),"")</f>
        <v/>
      </c>
      <c r="F1950">
        <f>TRIM(INDEX(INDIRECT("'Выгрузка'!A1950:Z1950"),Настройки!$B$12)&amp;"")</f>
        <v/>
      </c>
      <c r="G1950">
        <f>IF(F1950="",0,IF(TRIM(INDEX(INDIRECT("'Выгрузка'!A1950:Z1950"),Настройки!$B$13)&amp;"")="",1,IFERROR(--SUBSTITUTE(SUBSTITUTE(TRIM(INDEX(INDIRECT("'Выгрузка'!A1950:Z1950"),Настройки!$B$13)),",","."),".",MID(1/2,2,1)),"")))</f>
        <v/>
      </c>
      <c r="H1950">
        <f>IF(F1950="",0,IF(COUNTIF(Настройки!$B$17:$B$26,F1950)&gt;0,1,IF(COUNTIF(Настройки!$C$17:$C$26,F1950)&gt;0,2,IF(COUNTIF(Настройки!$D$17:$D$26,F1950)&gt;0,3,0))))</f>
        <v/>
      </c>
      <c r="I1950">
        <f>IF(AND(ISNUMBER(A1950),ISNUMBER(B1950)),A1950*1000+B1950,"")</f>
        <v/>
      </c>
      <c r="J1950">
        <f>IF(I1950="","",IF(COUNTIF(I$2:I1950,I1950)=1,MAX(J$1:J1949)+1,""))</f>
        <v/>
      </c>
    </row>
    <row r="1951">
      <c r="A1951">
        <f>IFERROR(--SUBSTITUTE(SUBSTITUTE(TRIM(INDEX(INDIRECT("'Выгрузка'!A1951:Z1951"),Настройки!$B$7)),",","."),".",MID(1/2,2,1)),"")</f>
        <v/>
      </c>
      <c r="B1951">
        <f>IFERROR(--SUBSTITUTE(SUBSTITUTE(TRIM(INDEX(INDIRECT("'Выгрузка'!A1951:Z1951"),Настройки!$B$9)),",","."),".",MID(1/2,2,1)),"")</f>
        <v/>
      </c>
      <c r="C1951">
        <f>TRIM(INDEX(INDIRECT("'Выгрузка'!A1951:Z1951"),Настройки!$B$8)&amp;"")</f>
        <v/>
      </c>
      <c r="D1951">
        <f>IFERROR(--SUBSTITUTE(SUBSTITUTE(TRIM(INDEX(INDIRECT("'Выгрузка'!A1951:Z1951"),Настройки!$B$10)),",","."),".",MID(1/2,2,1)),"")</f>
        <v/>
      </c>
      <c r="E1951">
        <f>IFERROR(--SUBSTITUTE(SUBSTITUTE(TRIM(INDEX(INDIRECT("'Выгрузка'!A1951:Z1951"),Настройки!$B$11)),",","."),".",MID(1/2,2,1)),"")</f>
        <v/>
      </c>
      <c r="F1951">
        <f>TRIM(INDEX(INDIRECT("'Выгрузка'!A1951:Z1951"),Настройки!$B$12)&amp;"")</f>
        <v/>
      </c>
      <c r="G1951">
        <f>IF(F1951="",0,IF(TRIM(INDEX(INDIRECT("'Выгрузка'!A1951:Z1951"),Настройки!$B$13)&amp;"")="",1,IFERROR(--SUBSTITUTE(SUBSTITUTE(TRIM(INDEX(INDIRECT("'Выгрузка'!A1951:Z1951"),Настройки!$B$13)),",","."),".",MID(1/2,2,1)),"")))</f>
        <v/>
      </c>
      <c r="H1951">
        <f>IF(F1951="",0,IF(COUNTIF(Настройки!$B$17:$B$26,F1951)&gt;0,1,IF(COUNTIF(Настройки!$C$17:$C$26,F1951)&gt;0,2,IF(COUNTIF(Настройки!$D$17:$D$26,F1951)&gt;0,3,0))))</f>
        <v/>
      </c>
      <c r="I1951">
        <f>IF(AND(ISNUMBER(A1951),ISNUMBER(B1951)),A1951*1000+B1951,"")</f>
        <v/>
      </c>
      <c r="J1951">
        <f>IF(I1951="","",IF(COUNTIF(I$2:I1951,I1951)=1,MAX(J$1:J1950)+1,""))</f>
        <v/>
      </c>
    </row>
    <row r="1952">
      <c r="A1952">
        <f>IFERROR(--SUBSTITUTE(SUBSTITUTE(TRIM(INDEX(INDIRECT("'Выгрузка'!A1952:Z1952"),Настройки!$B$7)),",","."),".",MID(1/2,2,1)),"")</f>
        <v/>
      </c>
      <c r="B1952">
        <f>IFERROR(--SUBSTITUTE(SUBSTITUTE(TRIM(INDEX(INDIRECT("'Выгрузка'!A1952:Z1952"),Настройки!$B$9)),",","."),".",MID(1/2,2,1)),"")</f>
        <v/>
      </c>
      <c r="C1952">
        <f>TRIM(INDEX(INDIRECT("'Выгрузка'!A1952:Z1952"),Настройки!$B$8)&amp;"")</f>
        <v/>
      </c>
      <c r="D1952">
        <f>IFERROR(--SUBSTITUTE(SUBSTITUTE(TRIM(INDEX(INDIRECT("'Выгрузка'!A1952:Z1952"),Настройки!$B$10)),",","."),".",MID(1/2,2,1)),"")</f>
        <v/>
      </c>
      <c r="E1952">
        <f>IFERROR(--SUBSTITUTE(SUBSTITUTE(TRIM(INDEX(INDIRECT("'Выгрузка'!A1952:Z1952"),Настройки!$B$11)),",","."),".",MID(1/2,2,1)),"")</f>
        <v/>
      </c>
      <c r="F1952">
        <f>TRIM(INDEX(INDIRECT("'Выгрузка'!A1952:Z1952"),Настройки!$B$12)&amp;"")</f>
        <v/>
      </c>
      <c r="G1952">
        <f>IF(F1952="",0,IF(TRIM(INDEX(INDIRECT("'Выгрузка'!A1952:Z1952"),Настройки!$B$13)&amp;"")="",1,IFERROR(--SUBSTITUTE(SUBSTITUTE(TRIM(INDEX(INDIRECT("'Выгрузка'!A1952:Z1952"),Настройки!$B$13)),",","."),".",MID(1/2,2,1)),"")))</f>
        <v/>
      </c>
      <c r="H1952">
        <f>IF(F1952="",0,IF(COUNTIF(Настройки!$B$17:$B$26,F1952)&gt;0,1,IF(COUNTIF(Настройки!$C$17:$C$26,F1952)&gt;0,2,IF(COUNTIF(Настройки!$D$17:$D$26,F1952)&gt;0,3,0))))</f>
        <v/>
      </c>
      <c r="I1952">
        <f>IF(AND(ISNUMBER(A1952),ISNUMBER(B1952)),A1952*1000+B1952,"")</f>
        <v/>
      </c>
      <c r="J1952">
        <f>IF(I1952="","",IF(COUNTIF(I$2:I1952,I1952)=1,MAX(J$1:J1951)+1,""))</f>
        <v/>
      </c>
    </row>
    <row r="1953">
      <c r="A1953">
        <f>IFERROR(--SUBSTITUTE(SUBSTITUTE(TRIM(INDEX(INDIRECT("'Выгрузка'!A1953:Z1953"),Настройки!$B$7)),",","."),".",MID(1/2,2,1)),"")</f>
        <v/>
      </c>
      <c r="B1953">
        <f>IFERROR(--SUBSTITUTE(SUBSTITUTE(TRIM(INDEX(INDIRECT("'Выгрузка'!A1953:Z1953"),Настройки!$B$9)),",","."),".",MID(1/2,2,1)),"")</f>
        <v/>
      </c>
      <c r="C1953">
        <f>TRIM(INDEX(INDIRECT("'Выгрузка'!A1953:Z1953"),Настройки!$B$8)&amp;"")</f>
        <v/>
      </c>
      <c r="D1953">
        <f>IFERROR(--SUBSTITUTE(SUBSTITUTE(TRIM(INDEX(INDIRECT("'Выгрузка'!A1953:Z1953"),Настройки!$B$10)),",","."),".",MID(1/2,2,1)),"")</f>
        <v/>
      </c>
      <c r="E1953">
        <f>IFERROR(--SUBSTITUTE(SUBSTITUTE(TRIM(INDEX(INDIRECT("'Выгрузка'!A1953:Z1953"),Настройки!$B$11)),",","."),".",MID(1/2,2,1)),"")</f>
        <v/>
      </c>
      <c r="F1953">
        <f>TRIM(INDEX(INDIRECT("'Выгрузка'!A1953:Z1953"),Настройки!$B$12)&amp;"")</f>
        <v/>
      </c>
      <c r="G1953">
        <f>IF(F1953="",0,IF(TRIM(INDEX(INDIRECT("'Выгрузка'!A1953:Z1953"),Настройки!$B$13)&amp;"")="",1,IFERROR(--SUBSTITUTE(SUBSTITUTE(TRIM(INDEX(INDIRECT("'Выгрузка'!A1953:Z1953"),Настройки!$B$13)),",","."),".",MID(1/2,2,1)),"")))</f>
        <v/>
      </c>
      <c r="H1953">
        <f>IF(F1953="",0,IF(COUNTIF(Настройки!$B$17:$B$26,F1953)&gt;0,1,IF(COUNTIF(Настройки!$C$17:$C$26,F1953)&gt;0,2,IF(COUNTIF(Настройки!$D$17:$D$26,F1953)&gt;0,3,0))))</f>
        <v/>
      </c>
      <c r="I1953">
        <f>IF(AND(ISNUMBER(A1953),ISNUMBER(B1953)),A1953*1000+B1953,"")</f>
        <v/>
      </c>
      <c r="J1953">
        <f>IF(I1953="","",IF(COUNTIF(I$2:I1953,I1953)=1,MAX(J$1:J1952)+1,""))</f>
        <v/>
      </c>
    </row>
    <row r="1954">
      <c r="A1954">
        <f>IFERROR(--SUBSTITUTE(SUBSTITUTE(TRIM(INDEX(INDIRECT("'Выгрузка'!A1954:Z1954"),Настройки!$B$7)),",","."),".",MID(1/2,2,1)),"")</f>
        <v/>
      </c>
      <c r="B1954">
        <f>IFERROR(--SUBSTITUTE(SUBSTITUTE(TRIM(INDEX(INDIRECT("'Выгрузка'!A1954:Z1954"),Настройки!$B$9)),",","."),".",MID(1/2,2,1)),"")</f>
        <v/>
      </c>
      <c r="C1954">
        <f>TRIM(INDEX(INDIRECT("'Выгрузка'!A1954:Z1954"),Настройки!$B$8)&amp;"")</f>
        <v/>
      </c>
      <c r="D1954">
        <f>IFERROR(--SUBSTITUTE(SUBSTITUTE(TRIM(INDEX(INDIRECT("'Выгрузка'!A1954:Z1954"),Настройки!$B$10)),",","."),".",MID(1/2,2,1)),"")</f>
        <v/>
      </c>
      <c r="E1954">
        <f>IFERROR(--SUBSTITUTE(SUBSTITUTE(TRIM(INDEX(INDIRECT("'Выгрузка'!A1954:Z1954"),Настройки!$B$11)),",","."),".",MID(1/2,2,1)),"")</f>
        <v/>
      </c>
      <c r="F1954">
        <f>TRIM(INDEX(INDIRECT("'Выгрузка'!A1954:Z1954"),Настройки!$B$12)&amp;"")</f>
        <v/>
      </c>
      <c r="G1954">
        <f>IF(F1954="",0,IF(TRIM(INDEX(INDIRECT("'Выгрузка'!A1954:Z1954"),Настройки!$B$13)&amp;"")="",1,IFERROR(--SUBSTITUTE(SUBSTITUTE(TRIM(INDEX(INDIRECT("'Выгрузка'!A1954:Z1954"),Настройки!$B$13)),",","."),".",MID(1/2,2,1)),"")))</f>
        <v/>
      </c>
      <c r="H1954">
        <f>IF(F1954="",0,IF(COUNTIF(Настройки!$B$17:$B$26,F1954)&gt;0,1,IF(COUNTIF(Настройки!$C$17:$C$26,F1954)&gt;0,2,IF(COUNTIF(Настройки!$D$17:$D$26,F1954)&gt;0,3,0))))</f>
        <v/>
      </c>
      <c r="I1954">
        <f>IF(AND(ISNUMBER(A1954),ISNUMBER(B1954)),A1954*1000+B1954,"")</f>
        <v/>
      </c>
      <c r="J1954">
        <f>IF(I1954="","",IF(COUNTIF(I$2:I1954,I1954)=1,MAX(J$1:J1953)+1,""))</f>
        <v/>
      </c>
    </row>
    <row r="1955">
      <c r="A1955">
        <f>IFERROR(--SUBSTITUTE(SUBSTITUTE(TRIM(INDEX(INDIRECT("'Выгрузка'!A1955:Z1955"),Настройки!$B$7)),",","."),".",MID(1/2,2,1)),"")</f>
        <v/>
      </c>
      <c r="B1955">
        <f>IFERROR(--SUBSTITUTE(SUBSTITUTE(TRIM(INDEX(INDIRECT("'Выгрузка'!A1955:Z1955"),Настройки!$B$9)),",","."),".",MID(1/2,2,1)),"")</f>
        <v/>
      </c>
      <c r="C1955">
        <f>TRIM(INDEX(INDIRECT("'Выгрузка'!A1955:Z1955"),Настройки!$B$8)&amp;"")</f>
        <v/>
      </c>
      <c r="D1955">
        <f>IFERROR(--SUBSTITUTE(SUBSTITUTE(TRIM(INDEX(INDIRECT("'Выгрузка'!A1955:Z1955"),Настройки!$B$10)),",","."),".",MID(1/2,2,1)),"")</f>
        <v/>
      </c>
      <c r="E1955">
        <f>IFERROR(--SUBSTITUTE(SUBSTITUTE(TRIM(INDEX(INDIRECT("'Выгрузка'!A1955:Z1955"),Настройки!$B$11)),",","."),".",MID(1/2,2,1)),"")</f>
        <v/>
      </c>
      <c r="F1955">
        <f>TRIM(INDEX(INDIRECT("'Выгрузка'!A1955:Z1955"),Настройки!$B$12)&amp;"")</f>
        <v/>
      </c>
      <c r="G1955">
        <f>IF(F1955="",0,IF(TRIM(INDEX(INDIRECT("'Выгрузка'!A1955:Z1955"),Настройки!$B$13)&amp;"")="",1,IFERROR(--SUBSTITUTE(SUBSTITUTE(TRIM(INDEX(INDIRECT("'Выгрузка'!A1955:Z1955"),Настройки!$B$13)),",","."),".",MID(1/2,2,1)),"")))</f>
        <v/>
      </c>
      <c r="H1955">
        <f>IF(F1955="",0,IF(COUNTIF(Настройки!$B$17:$B$26,F1955)&gt;0,1,IF(COUNTIF(Настройки!$C$17:$C$26,F1955)&gt;0,2,IF(COUNTIF(Настройки!$D$17:$D$26,F1955)&gt;0,3,0))))</f>
        <v/>
      </c>
      <c r="I1955">
        <f>IF(AND(ISNUMBER(A1955),ISNUMBER(B1955)),A1955*1000+B1955,"")</f>
        <v/>
      </c>
      <c r="J1955">
        <f>IF(I1955="","",IF(COUNTIF(I$2:I1955,I1955)=1,MAX(J$1:J1954)+1,""))</f>
        <v/>
      </c>
    </row>
    <row r="1956">
      <c r="A1956">
        <f>IFERROR(--SUBSTITUTE(SUBSTITUTE(TRIM(INDEX(INDIRECT("'Выгрузка'!A1956:Z1956"),Настройки!$B$7)),",","."),".",MID(1/2,2,1)),"")</f>
        <v/>
      </c>
      <c r="B1956">
        <f>IFERROR(--SUBSTITUTE(SUBSTITUTE(TRIM(INDEX(INDIRECT("'Выгрузка'!A1956:Z1956"),Настройки!$B$9)),",","."),".",MID(1/2,2,1)),"")</f>
        <v/>
      </c>
      <c r="C1956">
        <f>TRIM(INDEX(INDIRECT("'Выгрузка'!A1956:Z1956"),Настройки!$B$8)&amp;"")</f>
        <v/>
      </c>
      <c r="D1956">
        <f>IFERROR(--SUBSTITUTE(SUBSTITUTE(TRIM(INDEX(INDIRECT("'Выгрузка'!A1956:Z1956"),Настройки!$B$10)),",","."),".",MID(1/2,2,1)),"")</f>
        <v/>
      </c>
      <c r="E1956">
        <f>IFERROR(--SUBSTITUTE(SUBSTITUTE(TRIM(INDEX(INDIRECT("'Выгрузка'!A1956:Z1956"),Настройки!$B$11)),",","."),".",MID(1/2,2,1)),"")</f>
        <v/>
      </c>
      <c r="F1956">
        <f>TRIM(INDEX(INDIRECT("'Выгрузка'!A1956:Z1956"),Настройки!$B$12)&amp;"")</f>
        <v/>
      </c>
      <c r="G1956">
        <f>IF(F1956="",0,IF(TRIM(INDEX(INDIRECT("'Выгрузка'!A1956:Z1956"),Настройки!$B$13)&amp;"")="",1,IFERROR(--SUBSTITUTE(SUBSTITUTE(TRIM(INDEX(INDIRECT("'Выгрузка'!A1956:Z1956"),Настройки!$B$13)),",","."),".",MID(1/2,2,1)),"")))</f>
        <v/>
      </c>
      <c r="H1956">
        <f>IF(F1956="",0,IF(COUNTIF(Настройки!$B$17:$B$26,F1956)&gt;0,1,IF(COUNTIF(Настройки!$C$17:$C$26,F1956)&gt;0,2,IF(COUNTIF(Настройки!$D$17:$D$26,F1956)&gt;0,3,0))))</f>
        <v/>
      </c>
      <c r="I1956">
        <f>IF(AND(ISNUMBER(A1956),ISNUMBER(B1956)),A1956*1000+B1956,"")</f>
        <v/>
      </c>
      <c r="J1956">
        <f>IF(I1956="","",IF(COUNTIF(I$2:I1956,I1956)=1,MAX(J$1:J1955)+1,""))</f>
        <v/>
      </c>
    </row>
    <row r="1957">
      <c r="A1957">
        <f>IFERROR(--SUBSTITUTE(SUBSTITUTE(TRIM(INDEX(INDIRECT("'Выгрузка'!A1957:Z1957"),Настройки!$B$7)),",","."),".",MID(1/2,2,1)),"")</f>
        <v/>
      </c>
      <c r="B1957">
        <f>IFERROR(--SUBSTITUTE(SUBSTITUTE(TRIM(INDEX(INDIRECT("'Выгрузка'!A1957:Z1957"),Настройки!$B$9)),",","."),".",MID(1/2,2,1)),"")</f>
        <v/>
      </c>
      <c r="C1957">
        <f>TRIM(INDEX(INDIRECT("'Выгрузка'!A1957:Z1957"),Настройки!$B$8)&amp;"")</f>
        <v/>
      </c>
      <c r="D1957">
        <f>IFERROR(--SUBSTITUTE(SUBSTITUTE(TRIM(INDEX(INDIRECT("'Выгрузка'!A1957:Z1957"),Настройки!$B$10)),",","."),".",MID(1/2,2,1)),"")</f>
        <v/>
      </c>
      <c r="E1957">
        <f>IFERROR(--SUBSTITUTE(SUBSTITUTE(TRIM(INDEX(INDIRECT("'Выгрузка'!A1957:Z1957"),Настройки!$B$11)),",","."),".",MID(1/2,2,1)),"")</f>
        <v/>
      </c>
      <c r="F1957">
        <f>TRIM(INDEX(INDIRECT("'Выгрузка'!A1957:Z1957"),Настройки!$B$12)&amp;"")</f>
        <v/>
      </c>
      <c r="G1957">
        <f>IF(F1957="",0,IF(TRIM(INDEX(INDIRECT("'Выгрузка'!A1957:Z1957"),Настройки!$B$13)&amp;"")="",1,IFERROR(--SUBSTITUTE(SUBSTITUTE(TRIM(INDEX(INDIRECT("'Выгрузка'!A1957:Z1957"),Настройки!$B$13)),",","."),".",MID(1/2,2,1)),"")))</f>
        <v/>
      </c>
      <c r="H1957">
        <f>IF(F1957="",0,IF(COUNTIF(Настройки!$B$17:$B$26,F1957)&gt;0,1,IF(COUNTIF(Настройки!$C$17:$C$26,F1957)&gt;0,2,IF(COUNTIF(Настройки!$D$17:$D$26,F1957)&gt;0,3,0))))</f>
        <v/>
      </c>
      <c r="I1957">
        <f>IF(AND(ISNUMBER(A1957),ISNUMBER(B1957)),A1957*1000+B1957,"")</f>
        <v/>
      </c>
      <c r="J1957">
        <f>IF(I1957="","",IF(COUNTIF(I$2:I1957,I1957)=1,MAX(J$1:J1956)+1,""))</f>
        <v/>
      </c>
    </row>
    <row r="1958">
      <c r="A1958">
        <f>IFERROR(--SUBSTITUTE(SUBSTITUTE(TRIM(INDEX(INDIRECT("'Выгрузка'!A1958:Z1958"),Настройки!$B$7)),",","."),".",MID(1/2,2,1)),"")</f>
        <v/>
      </c>
      <c r="B1958">
        <f>IFERROR(--SUBSTITUTE(SUBSTITUTE(TRIM(INDEX(INDIRECT("'Выгрузка'!A1958:Z1958"),Настройки!$B$9)),",","."),".",MID(1/2,2,1)),"")</f>
        <v/>
      </c>
      <c r="C1958">
        <f>TRIM(INDEX(INDIRECT("'Выгрузка'!A1958:Z1958"),Настройки!$B$8)&amp;"")</f>
        <v/>
      </c>
      <c r="D1958">
        <f>IFERROR(--SUBSTITUTE(SUBSTITUTE(TRIM(INDEX(INDIRECT("'Выгрузка'!A1958:Z1958"),Настройки!$B$10)),",","."),".",MID(1/2,2,1)),"")</f>
        <v/>
      </c>
      <c r="E1958">
        <f>IFERROR(--SUBSTITUTE(SUBSTITUTE(TRIM(INDEX(INDIRECT("'Выгрузка'!A1958:Z1958"),Настройки!$B$11)),",","."),".",MID(1/2,2,1)),"")</f>
        <v/>
      </c>
      <c r="F1958">
        <f>TRIM(INDEX(INDIRECT("'Выгрузка'!A1958:Z1958"),Настройки!$B$12)&amp;"")</f>
        <v/>
      </c>
      <c r="G1958">
        <f>IF(F1958="",0,IF(TRIM(INDEX(INDIRECT("'Выгрузка'!A1958:Z1958"),Настройки!$B$13)&amp;"")="",1,IFERROR(--SUBSTITUTE(SUBSTITUTE(TRIM(INDEX(INDIRECT("'Выгрузка'!A1958:Z1958"),Настройки!$B$13)),",","."),".",MID(1/2,2,1)),"")))</f>
        <v/>
      </c>
      <c r="H1958">
        <f>IF(F1958="",0,IF(COUNTIF(Настройки!$B$17:$B$26,F1958)&gt;0,1,IF(COUNTIF(Настройки!$C$17:$C$26,F1958)&gt;0,2,IF(COUNTIF(Настройки!$D$17:$D$26,F1958)&gt;0,3,0))))</f>
        <v/>
      </c>
      <c r="I1958">
        <f>IF(AND(ISNUMBER(A1958),ISNUMBER(B1958)),A1958*1000+B1958,"")</f>
        <v/>
      </c>
      <c r="J1958">
        <f>IF(I1958="","",IF(COUNTIF(I$2:I1958,I1958)=1,MAX(J$1:J1957)+1,""))</f>
        <v/>
      </c>
    </row>
    <row r="1959">
      <c r="A1959">
        <f>IFERROR(--SUBSTITUTE(SUBSTITUTE(TRIM(INDEX(INDIRECT("'Выгрузка'!A1959:Z1959"),Настройки!$B$7)),",","."),".",MID(1/2,2,1)),"")</f>
        <v/>
      </c>
      <c r="B1959">
        <f>IFERROR(--SUBSTITUTE(SUBSTITUTE(TRIM(INDEX(INDIRECT("'Выгрузка'!A1959:Z1959"),Настройки!$B$9)),",","."),".",MID(1/2,2,1)),"")</f>
        <v/>
      </c>
      <c r="C1959">
        <f>TRIM(INDEX(INDIRECT("'Выгрузка'!A1959:Z1959"),Настройки!$B$8)&amp;"")</f>
        <v/>
      </c>
      <c r="D1959">
        <f>IFERROR(--SUBSTITUTE(SUBSTITUTE(TRIM(INDEX(INDIRECT("'Выгрузка'!A1959:Z1959"),Настройки!$B$10)),",","."),".",MID(1/2,2,1)),"")</f>
        <v/>
      </c>
      <c r="E1959">
        <f>IFERROR(--SUBSTITUTE(SUBSTITUTE(TRIM(INDEX(INDIRECT("'Выгрузка'!A1959:Z1959"),Настройки!$B$11)),",","."),".",MID(1/2,2,1)),"")</f>
        <v/>
      </c>
      <c r="F1959">
        <f>TRIM(INDEX(INDIRECT("'Выгрузка'!A1959:Z1959"),Настройки!$B$12)&amp;"")</f>
        <v/>
      </c>
      <c r="G1959">
        <f>IF(F1959="",0,IF(TRIM(INDEX(INDIRECT("'Выгрузка'!A1959:Z1959"),Настройки!$B$13)&amp;"")="",1,IFERROR(--SUBSTITUTE(SUBSTITUTE(TRIM(INDEX(INDIRECT("'Выгрузка'!A1959:Z1959"),Настройки!$B$13)),",","."),".",MID(1/2,2,1)),"")))</f>
        <v/>
      </c>
      <c r="H1959">
        <f>IF(F1959="",0,IF(COUNTIF(Настройки!$B$17:$B$26,F1959)&gt;0,1,IF(COUNTIF(Настройки!$C$17:$C$26,F1959)&gt;0,2,IF(COUNTIF(Настройки!$D$17:$D$26,F1959)&gt;0,3,0))))</f>
        <v/>
      </c>
      <c r="I1959">
        <f>IF(AND(ISNUMBER(A1959),ISNUMBER(B1959)),A1959*1000+B1959,"")</f>
        <v/>
      </c>
      <c r="J1959">
        <f>IF(I1959="","",IF(COUNTIF(I$2:I1959,I1959)=1,MAX(J$1:J1958)+1,""))</f>
        <v/>
      </c>
    </row>
    <row r="1960">
      <c r="A1960">
        <f>IFERROR(--SUBSTITUTE(SUBSTITUTE(TRIM(INDEX(INDIRECT("'Выгрузка'!A1960:Z1960"),Настройки!$B$7)),",","."),".",MID(1/2,2,1)),"")</f>
        <v/>
      </c>
      <c r="B1960">
        <f>IFERROR(--SUBSTITUTE(SUBSTITUTE(TRIM(INDEX(INDIRECT("'Выгрузка'!A1960:Z1960"),Настройки!$B$9)),",","."),".",MID(1/2,2,1)),"")</f>
        <v/>
      </c>
      <c r="C1960">
        <f>TRIM(INDEX(INDIRECT("'Выгрузка'!A1960:Z1960"),Настройки!$B$8)&amp;"")</f>
        <v/>
      </c>
      <c r="D1960">
        <f>IFERROR(--SUBSTITUTE(SUBSTITUTE(TRIM(INDEX(INDIRECT("'Выгрузка'!A1960:Z1960"),Настройки!$B$10)),",","."),".",MID(1/2,2,1)),"")</f>
        <v/>
      </c>
      <c r="E1960">
        <f>IFERROR(--SUBSTITUTE(SUBSTITUTE(TRIM(INDEX(INDIRECT("'Выгрузка'!A1960:Z1960"),Настройки!$B$11)),",","."),".",MID(1/2,2,1)),"")</f>
        <v/>
      </c>
      <c r="F1960">
        <f>TRIM(INDEX(INDIRECT("'Выгрузка'!A1960:Z1960"),Настройки!$B$12)&amp;"")</f>
        <v/>
      </c>
      <c r="G1960">
        <f>IF(F1960="",0,IF(TRIM(INDEX(INDIRECT("'Выгрузка'!A1960:Z1960"),Настройки!$B$13)&amp;"")="",1,IFERROR(--SUBSTITUTE(SUBSTITUTE(TRIM(INDEX(INDIRECT("'Выгрузка'!A1960:Z1960"),Настройки!$B$13)),",","."),".",MID(1/2,2,1)),"")))</f>
        <v/>
      </c>
      <c r="H1960">
        <f>IF(F1960="",0,IF(COUNTIF(Настройки!$B$17:$B$26,F1960)&gt;0,1,IF(COUNTIF(Настройки!$C$17:$C$26,F1960)&gt;0,2,IF(COUNTIF(Настройки!$D$17:$D$26,F1960)&gt;0,3,0))))</f>
        <v/>
      </c>
      <c r="I1960">
        <f>IF(AND(ISNUMBER(A1960),ISNUMBER(B1960)),A1960*1000+B1960,"")</f>
        <v/>
      </c>
      <c r="J1960">
        <f>IF(I1960="","",IF(COUNTIF(I$2:I1960,I1960)=1,MAX(J$1:J1959)+1,""))</f>
        <v/>
      </c>
    </row>
    <row r="1961">
      <c r="A1961">
        <f>IFERROR(--SUBSTITUTE(SUBSTITUTE(TRIM(INDEX(INDIRECT("'Выгрузка'!A1961:Z1961"),Настройки!$B$7)),",","."),".",MID(1/2,2,1)),"")</f>
        <v/>
      </c>
      <c r="B1961">
        <f>IFERROR(--SUBSTITUTE(SUBSTITUTE(TRIM(INDEX(INDIRECT("'Выгрузка'!A1961:Z1961"),Настройки!$B$9)),",","."),".",MID(1/2,2,1)),"")</f>
        <v/>
      </c>
      <c r="C1961">
        <f>TRIM(INDEX(INDIRECT("'Выгрузка'!A1961:Z1961"),Настройки!$B$8)&amp;"")</f>
        <v/>
      </c>
      <c r="D1961">
        <f>IFERROR(--SUBSTITUTE(SUBSTITUTE(TRIM(INDEX(INDIRECT("'Выгрузка'!A1961:Z1961"),Настройки!$B$10)),",","."),".",MID(1/2,2,1)),"")</f>
        <v/>
      </c>
      <c r="E1961">
        <f>IFERROR(--SUBSTITUTE(SUBSTITUTE(TRIM(INDEX(INDIRECT("'Выгрузка'!A1961:Z1961"),Настройки!$B$11)),",","."),".",MID(1/2,2,1)),"")</f>
        <v/>
      </c>
      <c r="F1961">
        <f>TRIM(INDEX(INDIRECT("'Выгрузка'!A1961:Z1961"),Настройки!$B$12)&amp;"")</f>
        <v/>
      </c>
      <c r="G1961">
        <f>IF(F1961="",0,IF(TRIM(INDEX(INDIRECT("'Выгрузка'!A1961:Z1961"),Настройки!$B$13)&amp;"")="",1,IFERROR(--SUBSTITUTE(SUBSTITUTE(TRIM(INDEX(INDIRECT("'Выгрузка'!A1961:Z1961"),Настройки!$B$13)),",","."),".",MID(1/2,2,1)),"")))</f>
        <v/>
      </c>
      <c r="H1961">
        <f>IF(F1961="",0,IF(COUNTIF(Настройки!$B$17:$B$26,F1961)&gt;0,1,IF(COUNTIF(Настройки!$C$17:$C$26,F1961)&gt;0,2,IF(COUNTIF(Настройки!$D$17:$D$26,F1961)&gt;0,3,0))))</f>
        <v/>
      </c>
      <c r="I1961">
        <f>IF(AND(ISNUMBER(A1961),ISNUMBER(B1961)),A1961*1000+B1961,"")</f>
        <v/>
      </c>
      <c r="J1961">
        <f>IF(I1961="","",IF(COUNTIF(I$2:I1961,I1961)=1,MAX(J$1:J1960)+1,""))</f>
        <v/>
      </c>
    </row>
    <row r="1962">
      <c r="A1962">
        <f>IFERROR(--SUBSTITUTE(SUBSTITUTE(TRIM(INDEX(INDIRECT("'Выгрузка'!A1962:Z1962"),Настройки!$B$7)),",","."),".",MID(1/2,2,1)),"")</f>
        <v/>
      </c>
      <c r="B1962">
        <f>IFERROR(--SUBSTITUTE(SUBSTITUTE(TRIM(INDEX(INDIRECT("'Выгрузка'!A1962:Z1962"),Настройки!$B$9)),",","."),".",MID(1/2,2,1)),"")</f>
        <v/>
      </c>
      <c r="C1962">
        <f>TRIM(INDEX(INDIRECT("'Выгрузка'!A1962:Z1962"),Настройки!$B$8)&amp;"")</f>
        <v/>
      </c>
      <c r="D1962">
        <f>IFERROR(--SUBSTITUTE(SUBSTITUTE(TRIM(INDEX(INDIRECT("'Выгрузка'!A1962:Z1962"),Настройки!$B$10)),",","."),".",MID(1/2,2,1)),"")</f>
        <v/>
      </c>
      <c r="E1962">
        <f>IFERROR(--SUBSTITUTE(SUBSTITUTE(TRIM(INDEX(INDIRECT("'Выгрузка'!A1962:Z1962"),Настройки!$B$11)),",","."),".",MID(1/2,2,1)),"")</f>
        <v/>
      </c>
      <c r="F1962">
        <f>TRIM(INDEX(INDIRECT("'Выгрузка'!A1962:Z1962"),Настройки!$B$12)&amp;"")</f>
        <v/>
      </c>
      <c r="G1962">
        <f>IF(F1962="",0,IF(TRIM(INDEX(INDIRECT("'Выгрузка'!A1962:Z1962"),Настройки!$B$13)&amp;"")="",1,IFERROR(--SUBSTITUTE(SUBSTITUTE(TRIM(INDEX(INDIRECT("'Выгрузка'!A1962:Z1962"),Настройки!$B$13)),",","."),".",MID(1/2,2,1)),"")))</f>
        <v/>
      </c>
      <c r="H1962">
        <f>IF(F1962="",0,IF(COUNTIF(Настройки!$B$17:$B$26,F1962)&gt;0,1,IF(COUNTIF(Настройки!$C$17:$C$26,F1962)&gt;0,2,IF(COUNTIF(Настройки!$D$17:$D$26,F1962)&gt;0,3,0))))</f>
        <v/>
      </c>
      <c r="I1962">
        <f>IF(AND(ISNUMBER(A1962),ISNUMBER(B1962)),A1962*1000+B1962,"")</f>
        <v/>
      </c>
      <c r="J1962">
        <f>IF(I1962="","",IF(COUNTIF(I$2:I1962,I1962)=1,MAX(J$1:J1961)+1,""))</f>
        <v/>
      </c>
    </row>
    <row r="1963">
      <c r="A1963">
        <f>IFERROR(--SUBSTITUTE(SUBSTITUTE(TRIM(INDEX(INDIRECT("'Выгрузка'!A1963:Z1963"),Настройки!$B$7)),",","."),".",MID(1/2,2,1)),"")</f>
        <v/>
      </c>
      <c r="B1963">
        <f>IFERROR(--SUBSTITUTE(SUBSTITUTE(TRIM(INDEX(INDIRECT("'Выгрузка'!A1963:Z1963"),Настройки!$B$9)),",","."),".",MID(1/2,2,1)),"")</f>
        <v/>
      </c>
      <c r="C1963">
        <f>TRIM(INDEX(INDIRECT("'Выгрузка'!A1963:Z1963"),Настройки!$B$8)&amp;"")</f>
        <v/>
      </c>
      <c r="D1963">
        <f>IFERROR(--SUBSTITUTE(SUBSTITUTE(TRIM(INDEX(INDIRECT("'Выгрузка'!A1963:Z1963"),Настройки!$B$10)),",","."),".",MID(1/2,2,1)),"")</f>
        <v/>
      </c>
      <c r="E1963">
        <f>IFERROR(--SUBSTITUTE(SUBSTITUTE(TRIM(INDEX(INDIRECT("'Выгрузка'!A1963:Z1963"),Настройки!$B$11)),",","."),".",MID(1/2,2,1)),"")</f>
        <v/>
      </c>
      <c r="F1963">
        <f>TRIM(INDEX(INDIRECT("'Выгрузка'!A1963:Z1963"),Настройки!$B$12)&amp;"")</f>
        <v/>
      </c>
      <c r="G1963">
        <f>IF(F1963="",0,IF(TRIM(INDEX(INDIRECT("'Выгрузка'!A1963:Z1963"),Настройки!$B$13)&amp;"")="",1,IFERROR(--SUBSTITUTE(SUBSTITUTE(TRIM(INDEX(INDIRECT("'Выгрузка'!A1963:Z1963"),Настройки!$B$13)),",","."),".",MID(1/2,2,1)),"")))</f>
        <v/>
      </c>
      <c r="H1963">
        <f>IF(F1963="",0,IF(COUNTIF(Настройки!$B$17:$B$26,F1963)&gt;0,1,IF(COUNTIF(Настройки!$C$17:$C$26,F1963)&gt;0,2,IF(COUNTIF(Настройки!$D$17:$D$26,F1963)&gt;0,3,0))))</f>
        <v/>
      </c>
      <c r="I1963">
        <f>IF(AND(ISNUMBER(A1963),ISNUMBER(B1963)),A1963*1000+B1963,"")</f>
        <v/>
      </c>
      <c r="J1963">
        <f>IF(I1963="","",IF(COUNTIF(I$2:I1963,I1963)=1,MAX(J$1:J1962)+1,""))</f>
        <v/>
      </c>
    </row>
    <row r="1964">
      <c r="A1964">
        <f>IFERROR(--SUBSTITUTE(SUBSTITUTE(TRIM(INDEX(INDIRECT("'Выгрузка'!A1964:Z1964"),Настройки!$B$7)),",","."),".",MID(1/2,2,1)),"")</f>
        <v/>
      </c>
      <c r="B1964">
        <f>IFERROR(--SUBSTITUTE(SUBSTITUTE(TRIM(INDEX(INDIRECT("'Выгрузка'!A1964:Z1964"),Настройки!$B$9)),",","."),".",MID(1/2,2,1)),"")</f>
        <v/>
      </c>
      <c r="C1964">
        <f>TRIM(INDEX(INDIRECT("'Выгрузка'!A1964:Z1964"),Настройки!$B$8)&amp;"")</f>
        <v/>
      </c>
      <c r="D1964">
        <f>IFERROR(--SUBSTITUTE(SUBSTITUTE(TRIM(INDEX(INDIRECT("'Выгрузка'!A1964:Z1964"),Настройки!$B$10)),",","."),".",MID(1/2,2,1)),"")</f>
        <v/>
      </c>
      <c r="E1964">
        <f>IFERROR(--SUBSTITUTE(SUBSTITUTE(TRIM(INDEX(INDIRECT("'Выгрузка'!A1964:Z1964"),Настройки!$B$11)),",","."),".",MID(1/2,2,1)),"")</f>
        <v/>
      </c>
      <c r="F1964">
        <f>TRIM(INDEX(INDIRECT("'Выгрузка'!A1964:Z1964"),Настройки!$B$12)&amp;"")</f>
        <v/>
      </c>
      <c r="G1964">
        <f>IF(F1964="",0,IF(TRIM(INDEX(INDIRECT("'Выгрузка'!A1964:Z1964"),Настройки!$B$13)&amp;"")="",1,IFERROR(--SUBSTITUTE(SUBSTITUTE(TRIM(INDEX(INDIRECT("'Выгрузка'!A1964:Z1964"),Настройки!$B$13)),",","."),".",MID(1/2,2,1)),"")))</f>
        <v/>
      </c>
      <c r="H1964">
        <f>IF(F1964="",0,IF(COUNTIF(Настройки!$B$17:$B$26,F1964)&gt;0,1,IF(COUNTIF(Настройки!$C$17:$C$26,F1964)&gt;0,2,IF(COUNTIF(Настройки!$D$17:$D$26,F1964)&gt;0,3,0))))</f>
        <v/>
      </c>
      <c r="I1964">
        <f>IF(AND(ISNUMBER(A1964),ISNUMBER(B1964)),A1964*1000+B1964,"")</f>
        <v/>
      </c>
      <c r="J1964">
        <f>IF(I1964="","",IF(COUNTIF(I$2:I1964,I1964)=1,MAX(J$1:J1963)+1,""))</f>
        <v/>
      </c>
    </row>
    <row r="1965">
      <c r="A1965">
        <f>IFERROR(--SUBSTITUTE(SUBSTITUTE(TRIM(INDEX(INDIRECT("'Выгрузка'!A1965:Z1965"),Настройки!$B$7)),",","."),".",MID(1/2,2,1)),"")</f>
        <v/>
      </c>
      <c r="B1965">
        <f>IFERROR(--SUBSTITUTE(SUBSTITUTE(TRIM(INDEX(INDIRECT("'Выгрузка'!A1965:Z1965"),Настройки!$B$9)),",","."),".",MID(1/2,2,1)),"")</f>
        <v/>
      </c>
      <c r="C1965">
        <f>TRIM(INDEX(INDIRECT("'Выгрузка'!A1965:Z1965"),Настройки!$B$8)&amp;"")</f>
        <v/>
      </c>
      <c r="D1965">
        <f>IFERROR(--SUBSTITUTE(SUBSTITUTE(TRIM(INDEX(INDIRECT("'Выгрузка'!A1965:Z1965"),Настройки!$B$10)),",","."),".",MID(1/2,2,1)),"")</f>
        <v/>
      </c>
      <c r="E1965">
        <f>IFERROR(--SUBSTITUTE(SUBSTITUTE(TRIM(INDEX(INDIRECT("'Выгрузка'!A1965:Z1965"),Настройки!$B$11)),",","."),".",MID(1/2,2,1)),"")</f>
        <v/>
      </c>
      <c r="F1965">
        <f>TRIM(INDEX(INDIRECT("'Выгрузка'!A1965:Z1965"),Настройки!$B$12)&amp;"")</f>
        <v/>
      </c>
      <c r="G1965">
        <f>IF(F1965="",0,IF(TRIM(INDEX(INDIRECT("'Выгрузка'!A1965:Z1965"),Настройки!$B$13)&amp;"")="",1,IFERROR(--SUBSTITUTE(SUBSTITUTE(TRIM(INDEX(INDIRECT("'Выгрузка'!A1965:Z1965"),Настройки!$B$13)),",","."),".",MID(1/2,2,1)),"")))</f>
        <v/>
      </c>
      <c r="H1965">
        <f>IF(F1965="",0,IF(COUNTIF(Настройки!$B$17:$B$26,F1965)&gt;0,1,IF(COUNTIF(Настройки!$C$17:$C$26,F1965)&gt;0,2,IF(COUNTIF(Настройки!$D$17:$D$26,F1965)&gt;0,3,0))))</f>
        <v/>
      </c>
      <c r="I1965">
        <f>IF(AND(ISNUMBER(A1965),ISNUMBER(B1965)),A1965*1000+B1965,"")</f>
        <v/>
      </c>
      <c r="J1965">
        <f>IF(I1965="","",IF(COUNTIF(I$2:I1965,I1965)=1,MAX(J$1:J1964)+1,""))</f>
        <v/>
      </c>
    </row>
    <row r="1966">
      <c r="A1966">
        <f>IFERROR(--SUBSTITUTE(SUBSTITUTE(TRIM(INDEX(INDIRECT("'Выгрузка'!A1966:Z1966"),Настройки!$B$7)),",","."),".",MID(1/2,2,1)),"")</f>
        <v/>
      </c>
      <c r="B1966">
        <f>IFERROR(--SUBSTITUTE(SUBSTITUTE(TRIM(INDEX(INDIRECT("'Выгрузка'!A1966:Z1966"),Настройки!$B$9)),",","."),".",MID(1/2,2,1)),"")</f>
        <v/>
      </c>
      <c r="C1966">
        <f>TRIM(INDEX(INDIRECT("'Выгрузка'!A1966:Z1966"),Настройки!$B$8)&amp;"")</f>
        <v/>
      </c>
      <c r="D1966">
        <f>IFERROR(--SUBSTITUTE(SUBSTITUTE(TRIM(INDEX(INDIRECT("'Выгрузка'!A1966:Z1966"),Настройки!$B$10)),",","."),".",MID(1/2,2,1)),"")</f>
        <v/>
      </c>
      <c r="E1966">
        <f>IFERROR(--SUBSTITUTE(SUBSTITUTE(TRIM(INDEX(INDIRECT("'Выгрузка'!A1966:Z1966"),Настройки!$B$11)),",","."),".",MID(1/2,2,1)),"")</f>
        <v/>
      </c>
      <c r="F1966">
        <f>TRIM(INDEX(INDIRECT("'Выгрузка'!A1966:Z1966"),Настройки!$B$12)&amp;"")</f>
        <v/>
      </c>
      <c r="G1966">
        <f>IF(F1966="",0,IF(TRIM(INDEX(INDIRECT("'Выгрузка'!A1966:Z1966"),Настройки!$B$13)&amp;"")="",1,IFERROR(--SUBSTITUTE(SUBSTITUTE(TRIM(INDEX(INDIRECT("'Выгрузка'!A1966:Z1966"),Настройки!$B$13)),",","."),".",MID(1/2,2,1)),"")))</f>
        <v/>
      </c>
      <c r="H1966">
        <f>IF(F1966="",0,IF(COUNTIF(Настройки!$B$17:$B$26,F1966)&gt;0,1,IF(COUNTIF(Настройки!$C$17:$C$26,F1966)&gt;0,2,IF(COUNTIF(Настройки!$D$17:$D$26,F1966)&gt;0,3,0))))</f>
        <v/>
      </c>
      <c r="I1966">
        <f>IF(AND(ISNUMBER(A1966),ISNUMBER(B1966)),A1966*1000+B1966,"")</f>
        <v/>
      </c>
      <c r="J1966">
        <f>IF(I1966="","",IF(COUNTIF(I$2:I1966,I1966)=1,MAX(J$1:J1965)+1,""))</f>
        <v/>
      </c>
    </row>
    <row r="1967">
      <c r="A1967">
        <f>IFERROR(--SUBSTITUTE(SUBSTITUTE(TRIM(INDEX(INDIRECT("'Выгрузка'!A1967:Z1967"),Настройки!$B$7)),",","."),".",MID(1/2,2,1)),"")</f>
        <v/>
      </c>
      <c r="B1967">
        <f>IFERROR(--SUBSTITUTE(SUBSTITUTE(TRIM(INDEX(INDIRECT("'Выгрузка'!A1967:Z1967"),Настройки!$B$9)),",","."),".",MID(1/2,2,1)),"")</f>
        <v/>
      </c>
      <c r="C1967">
        <f>TRIM(INDEX(INDIRECT("'Выгрузка'!A1967:Z1967"),Настройки!$B$8)&amp;"")</f>
        <v/>
      </c>
      <c r="D1967">
        <f>IFERROR(--SUBSTITUTE(SUBSTITUTE(TRIM(INDEX(INDIRECT("'Выгрузка'!A1967:Z1967"),Настройки!$B$10)),",","."),".",MID(1/2,2,1)),"")</f>
        <v/>
      </c>
      <c r="E1967">
        <f>IFERROR(--SUBSTITUTE(SUBSTITUTE(TRIM(INDEX(INDIRECT("'Выгрузка'!A1967:Z1967"),Настройки!$B$11)),",","."),".",MID(1/2,2,1)),"")</f>
        <v/>
      </c>
      <c r="F1967">
        <f>TRIM(INDEX(INDIRECT("'Выгрузка'!A1967:Z1967"),Настройки!$B$12)&amp;"")</f>
        <v/>
      </c>
      <c r="G1967">
        <f>IF(F1967="",0,IF(TRIM(INDEX(INDIRECT("'Выгрузка'!A1967:Z1967"),Настройки!$B$13)&amp;"")="",1,IFERROR(--SUBSTITUTE(SUBSTITUTE(TRIM(INDEX(INDIRECT("'Выгрузка'!A1967:Z1967"),Настройки!$B$13)),",","."),".",MID(1/2,2,1)),"")))</f>
        <v/>
      </c>
      <c r="H1967">
        <f>IF(F1967="",0,IF(COUNTIF(Настройки!$B$17:$B$26,F1967)&gt;0,1,IF(COUNTIF(Настройки!$C$17:$C$26,F1967)&gt;0,2,IF(COUNTIF(Настройки!$D$17:$D$26,F1967)&gt;0,3,0))))</f>
        <v/>
      </c>
      <c r="I1967">
        <f>IF(AND(ISNUMBER(A1967),ISNUMBER(B1967)),A1967*1000+B1967,"")</f>
        <v/>
      </c>
      <c r="J1967">
        <f>IF(I1967="","",IF(COUNTIF(I$2:I1967,I1967)=1,MAX(J$1:J1966)+1,""))</f>
        <v/>
      </c>
    </row>
    <row r="1968">
      <c r="A1968">
        <f>IFERROR(--SUBSTITUTE(SUBSTITUTE(TRIM(INDEX(INDIRECT("'Выгрузка'!A1968:Z1968"),Настройки!$B$7)),",","."),".",MID(1/2,2,1)),"")</f>
        <v/>
      </c>
      <c r="B1968">
        <f>IFERROR(--SUBSTITUTE(SUBSTITUTE(TRIM(INDEX(INDIRECT("'Выгрузка'!A1968:Z1968"),Настройки!$B$9)),",","."),".",MID(1/2,2,1)),"")</f>
        <v/>
      </c>
      <c r="C1968">
        <f>TRIM(INDEX(INDIRECT("'Выгрузка'!A1968:Z1968"),Настройки!$B$8)&amp;"")</f>
        <v/>
      </c>
      <c r="D1968">
        <f>IFERROR(--SUBSTITUTE(SUBSTITUTE(TRIM(INDEX(INDIRECT("'Выгрузка'!A1968:Z1968"),Настройки!$B$10)),",","."),".",MID(1/2,2,1)),"")</f>
        <v/>
      </c>
      <c r="E1968">
        <f>IFERROR(--SUBSTITUTE(SUBSTITUTE(TRIM(INDEX(INDIRECT("'Выгрузка'!A1968:Z1968"),Настройки!$B$11)),",","."),".",MID(1/2,2,1)),"")</f>
        <v/>
      </c>
      <c r="F1968">
        <f>TRIM(INDEX(INDIRECT("'Выгрузка'!A1968:Z1968"),Настройки!$B$12)&amp;"")</f>
        <v/>
      </c>
      <c r="G1968">
        <f>IF(F1968="",0,IF(TRIM(INDEX(INDIRECT("'Выгрузка'!A1968:Z1968"),Настройки!$B$13)&amp;"")="",1,IFERROR(--SUBSTITUTE(SUBSTITUTE(TRIM(INDEX(INDIRECT("'Выгрузка'!A1968:Z1968"),Настройки!$B$13)),",","."),".",MID(1/2,2,1)),"")))</f>
        <v/>
      </c>
      <c r="H1968">
        <f>IF(F1968="",0,IF(COUNTIF(Настройки!$B$17:$B$26,F1968)&gt;0,1,IF(COUNTIF(Настройки!$C$17:$C$26,F1968)&gt;0,2,IF(COUNTIF(Настройки!$D$17:$D$26,F1968)&gt;0,3,0))))</f>
        <v/>
      </c>
      <c r="I1968">
        <f>IF(AND(ISNUMBER(A1968),ISNUMBER(B1968)),A1968*1000+B1968,"")</f>
        <v/>
      </c>
      <c r="J1968">
        <f>IF(I1968="","",IF(COUNTIF(I$2:I1968,I1968)=1,MAX(J$1:J1967)+1,""))</f>
        <v/>
      </c>
    </row>
    <row r="1969">
      <c r="A1969">
        <f>IFERROR(--SUBSTITUTE(SUBSTITUTE(TRIM(INDEX(INDIRECT("'Выгрузка'!A1969:Z1969"),Настройки!$B$7)),",","."),".",MID(1/2,2,1)),"")</f>
        <v/>
      </c>
      <c r="B1969">
        <f>IFERROR(--SUBSTITUTE(SUBSTITUTE(TRIM(INDEX(INDIRECT("'Выгрузка'!A1969:Z1969"),Настройки!$B$9)),",","."),".",MID(1/2,2,1)),"")</f>
        <v/>
      </c>
      <c r="C1969">
        <f>TRIM(INDEX(INDIRECT("'Выгрузка'!A1969:Z1969"),Настройки!$B$8)&amp;"")</f>
        <v/>
      </c>
      <c r="D1969">
        <f>IFERROR(--SUBSTITUTE(SUBSTITUTE(TRIM(INDEX(INDIRECT("'Выгрузка'!A1969:Z1969"),Настройки!$B$10)),",","."),".",MID(1/2,2,1)),"")</f>
        <v/>
      </c>
      <c r="E1969">
        <f>IFERROR(--SUBSTITUTE(SUBSTITUTE(TRIM(INDEX(INDIRECT("'Выгрузка'!A1969:Z1969"),Настройки!$B$11)),",","."),".",MID(1/2,2,1)),"")</f>
        <v/>
      </c>
      <c r="F1969">
        <f>TRIM(INDEX(INDIRECT("'Выгрузка'!A1969:Z1969"),Настройки!$B$12)&amp;"")</f>
        <v/>
      </c>
      <c r="G1969">
        <f>IF(F1969="",0,IF(TRIM(INDEX(INDIRECT("'Выгрузка'!A1969:Z1969"),Настройки!$B$13)&amp;"")="",1,IFERROR(--SUBSTITUTE(SUBSTITUTE(TRIM(INDEX(INDIRECT("'Выгрузка'!A1969:Z1969"),Настройки!$B$13)),",","."),".",MID(1/2,2,1)),"")))</f>
        <v/>
      </c>
      <c r="H1969">
        <f>IF(F1969="",0,IF(COUNTIF(Настройки!$B$17:$B$26,F1969)&gt;0,1,IF(COUNTIF(Настройки!$C$17:$C$26,F1969)&gt;0,2,IF(COUNTIF(Настройки!$D$17:$D$26,F1969)&gt;0,3,0))))</f>
        <v/>
      </c>
      <c r="I1969">
        <f>IF(AND(ISNUMBER(A1969),ISNUMBER(B1969)),A1969*1000+B1969,"")</f>
        <v/>
      </c>
      <c r="J1969">
        <f>IF(I1969="","",IF(COUNTIF(I$2:I1969,I1969)=1,MAX(J$1:J1968)+1,""))</f>
        <v/>
      </c>
    </row>
    <row r="1970">
      <c r="A1970">
        <f>IFERROR(--SUBSTITUTE(SUBSTITUTE(TRIM(INDEX(INDIRECT("'Выгрузка'!A1970:Z1970"),Настройки!$B$7)),",","."),".",MID(1/2,2,1)),"")</f>
        <v/>
      </c>
      <c r="B1970">
        <f>IFERROR(--SUBSTITUTE(SUBSTITUTE(TRIM(INDEX(INDIRECT("'Выгрузка'!A1970:Z1970"),Настройки!$B$9)),",","."),".",MID(1/2,2,1)),"")</f>
        <v/>
      </c>
      <c r="C1970">
        <f>TRIM(INDEX(INDIRECT("'Выгрузка'!A1970:Z1970"),Настройки!$B$8)&amp;"")</f>
        <v/>
      </c>
      <c r="D1970">
        <f>IFERROR(--SUBSTITUTE(SUBSTITUTE(TRIM(INDEX(INDIRECT("'Выгрузка'!A1970:Z1970"),Настройки!$B$10)),",","."),".",MID(1/2,2,1)),"")</f>
        <v/>
      </c>
      <c r="E1970">
        <f>IFERROR(--SUBSTITUTE(SUBSTITUTE(TRIM(INDEX(INDIRECT("'Выгрузка'!A1970:Z1970"),Настройки!$B$11)),",","."),".",MID(1/2,2,1)),"")</f>
        <v/>
      </c>
      <c r="F1970">
        <f>TRIM(INDEX(INDIRECT("'Выгрузка'!A1970:Z1970"),Настройки!$B$12)&amp;"")</f>
        <v/>
      </c>
      <c r="G1970">
        <f>IF(F1970="",0,IF(TRIM(INDEX(INDIRECT("'Выгрузка'!A1970:Z1970"),Настройки!$B$13)&amp;"")="",1,IFERROR(--SUBSTITUTE(SUBSTITUTE(TRIM(INDEX(INDIRECT("'Выгрузка'!A1970:Z1970"),Настройки!$B$13)),",","."),".",MID(1/2,2,1)),"")))</f>
        <v/>
      </c>
      <c r="H1970">
        <f>IF(F1970="",0,IF(COUNTIF(Настройки!$B$17:$B$26,F1970)&gt;0,1,IF(COUNTIF(Настройки!$C$17:$C$26,F1970)&gt;0,2,IF(COUNTIF(Настройки!$D$17:$D$26,F1970)&gt;0,3,0))))</f>
        <v/>
      </c>
      <c r="I1970">
        <f>IF(AND(ISNUMBER(A1970),ISNUMBER(B1970)),A1970*1000+B1970,"")</f>
        <v/>
      </c>
      <c r="J1970">
        <f>IF(I1970="","",IF(COUNTIF(I$2:I1970,I1970)=1,MAX(J$1:J1969)+1,""))</f>
        <v/>
      </c>
    </row>
    <row r="1971">
      <c r="A1971">
        <f>IFERROR(--SUBSTITUTE(SUBSTITUTE(TRIM(INDEX(INDIRECT("'Выгрузка'!A1971:Z1971"),Настройки!$B$7)),",","."),".",MID(1/2,2,1)),"")</f>
        <v/>
      </c>
      <c r="B1971">
        <f>IFERROR(--SUBSTITUTE(SUBSTITUTE(TRIM(INDEX(INDIRECT("'Выгрузка'!A1971:Z1971"),Настройки!$B$9)),",","."),".",MID(1/2,2,1)),"")</f>
        <v/>
      </c>
      <c r="C1971">
        <f>TRIM(INDEX(INDIRECT("'Выгрузка'!A1971:Z1971"),Настройки!$B$8)&amp;"")</f>
        <v/>
      </c>
      <c r="D1971">
        <f>IFERROR(--SUBSTITUTE(SUBSTITUTE(TRIM(INDEX(INDIRECT("'Выгрузка'!A1971:Z1971"),Настройки!$B$10)),",","."),".",MID(1/2,2,1)),"")</f>
        <v/>
      </c>
      <c r="E1971">
        <f>IFERROR(--SUBSTITUTE(SUBSTITUTE(TRIM(INDEX(INDIRECT("'Выгрузка'!A1971:Z1971"),Настройки!$B$11)),",","."),".",MID(1/2,2,1)),"")</f>
        <v/>
      </c>
      <c r="F1971">
        <f>TRIM(INDEX(INDIRECT("'Выгрузка'!A1971:Z1971"),Настройки!$B$12)&amp;"")</f>
        <v/>
      </c>
      <c r="G1971">
        <f>IF(F1971="",0,IF(TRIM(INDEX(INDIRECT("'Выгрузка'!A1971:Z1971"),Настройки!$B$13)&amp;"")="",1,IFERROR(--SUBSTITUTE(SUBSTITUTE(TRIM(INDEX(INDIRECT("'Выгрузка'!A1971:Z1971"),Настройки!$B$13)),",","."),".",MID(1/2,2,1)),"")))</f>
        <v/>
      </c>
      <c r="H1971">
        <f>IF(F1971="",0,IF(COUNTIF(Настройки!$B$17:$B$26,F1971)&gt;0,1,IF(COUNTIF(Настройки!$C$17:$C$26,F1971)&gt;0,2,IF(COUNTIF(Настройки!$D$17:$D$26,F1971)&gt;0,3,0))))</f>
        <v/>
      </c>
      <c r="I1971">
        <f>IF(AND(ISNUMBER(A1971),ISNUMBER(B1971)),A1971*1000+B1971,"")</f>
        <v/>
      </c>
      <c r="J1971">
        <f>IF(I1971="","",IF(COUNTIF(I$2:I1971,I1971)=1,MAX(J$1:J1970)+1,""))</f>
        <v/>
      </c>
    </row>
    <row r="1972">
      <c r="A1972">
        <f>IFERROR(--SUBSTITUTE(SUBSTITUTE(TRIM(INDEX(INDIRECT("'Выгрузка'!A1972:Z1972"),Настройки!$B$7)),",","."),".",MID(1/2,2,1)),"")</f>
        <v/>
      </c>
      <c r="B1972">
        <f>IFERROR(--SUBSTITUTE(SUBSTITUTE(TRIM(INDEX(INDIRECT("'Выгрузка'!A1972:Z1972"),Настройки!$B$9)),",","."),".",MID(1/2,2,1)),"")</f>
        <v/>
      </c>
      <c r="C1972">
        <f>TRIM(INDEX(INDIRECT("'Выгрузка'!A1972:Z1972"),Настройки!$B$8)&amp;"")</f>
        <v/>
      </c>
      <c r="D1972">
        <f>IFERROR(--SUBSTITUTE(SUBSTITUTE(TRIM(INDEX(INDIRECT("'Выгрузка'!A1972:Z1972"),Настройки!$B$10)),",","."),".",MID(1/2,2,1)),"")</f>
        <v/>
      </c>
      <c r="E1972">
        <f>IFERROR(--SUBSTITUTE(SUBSTITUTE(TRIM(INDEX(INDIRECT("'Выгрузка'!A1972:Z1972"),Настройки!$B$11)),",","."),".",MID(1/2,2,1)),"")</f>
        <v/>
      </c>
      <c r="F1972">
        <f>TRIM(INDEX(INDIRECT("'Выгрузка'!A1972:Z1972"),Настройки!$B$12)&amp;"")</f>
        <v/>
      </c>
      <c r="G1972">
        <f>IF(F1972="",0,IF(TRIM(INDEX(INDIRECT("'Выгрузка'!A1972:Z1972"),Настройки!$B$13)&amp;"")="",1,IFERROR(--SUBSTITUTE(SUBSTITUTE(TRIM(INDEX(INDIRECT("'Выгрузка'!A1972:Z1972"),Настройки!$B$13)),",","."),".",MID(1/2,2,1)),"")))</f>
        <v/>
      </c>
      <c r="H1972">
        <f>IF(F1972="",0,IF(COUNTIF(Настройки!$B$17:$B$26,F1972)&gt;0,1,IF(COUNTIF(Настройки!$C$17:$C$26,F1972)&gt;0,2,IF(COUNTIF(Настройки!$D$17:$D$26,F1972)&gt;0,3,0))))</f>
        <v/>
      </c>
      <c r="I1972">
        <f>IF(AND(ISNUMBER(A1972),ISNUMBER(B1972)),A1972*1000+B1972,"")</f>
        <v/>
      </c>
      <c r="J1972">
        <f>IF(I1972="","",IF(COUNTIF(I$2:I1972,I1972)=1,MAX(J$1:J1971)+1,""))</f>
        <v/>
      </c>
    </row>
    <row r="1973">
      <c r="A1973">
        <f>IFERROR(--SUBSTITUTE(SUBSTITUTE(TRIM(INDEX(INDIRECT("'Выгрузка'!A1973:Z1973"),Настройки!$B$7)),",","."),".",MID(1/2,2,1)),"")</f>
        <v/>
      </c>
      <c r="B1973">
        <f>IFERROR(--SUBSTITUTE(SUBSTITUTE(TRIM(INDEX(INDIRECT("'Выгрузка'!A1973:Z1973"),Настройки!$B$9)),",","."),".",MID(1/2,2,1)),"")</f>
        <v/>
      </c>
      <c r="C1973">
        <f>TRIM(INDEX(INDIRECT("'Выгрузка'!A1973:Z1973"),Настройки!$B$8)&amp;"")</f>
        <v/>
      </c>
      <c r="D1973">
        <f>IFERROR(--SUBSTITUTE(SUBSTITUTE(TRIM(INDEX(INDIRECT("'Выгрузка'!A1973:Z1973"),Настройки!$B$10)),",","."),".",MID(1/2,2,1)),"")</f>
        <v/>
      </c>
      <c r="E1973">
        <f>IFERROR(--SUBSTITUTE(SUBSTITUTE(TRIM(INDEX(INDIRECT("'Выгрузка'!A1973:Z1973"),Настройки!$B$11)),",","."),".",MID(1/2,2,1)),"")</f>
        <v/>
      </c>
      <c r="F1973">
        <f>TRIM(INDEX(INDIRECT("'Выгрузка'!A1973:Z1973"),Настройки!$B$12)&amp;"")</f>
        <v/>
      </c>
      <c r="G1973">
        <f>IF(F1973="",0,IF(TRIM(INDEX(INDIRECT("'Выгрузка'!A1973:Z1973"),Настройки!$B$13)&amp;"")="",1,IFERROR(--SUBSTITUTE(SUBSTITUTE(TRIM(INDEX(INDIRECT("'Выгрузка'!A1973:Z1973"),Настройки!$B$13)),",","."),".",MID(1/2,2,1)),"")))</f>
        <v/>
      </c>
      <c r="H1973">
        <f>IF(F1973="",0,IF(COUNTIF(Настройки!$B$17:$B$26,F1973)&gt;0,1,IF(COUNTIF(Настройки!$C$17:$C$26,F1973)&gt;0,2,IF(COUNTIF(Настройки!$D$17:$D$26,F1973)&gt;0,3,0))))</f>
        <v/>
      </c>
      <c r="I1973">
        <f>IF(AND(ISNUMBER(A1973),ISNUMBER(B1973)),A1973*1000+B1973,"")</f>
        <v/>
      </c>
      <c r="J1973">
        <f>IF(I1973="","",IF(COUNTIF(I$2:I1973,I1973)=1,MAX(J$1:J1972)+1,""))</f>
        <v/>
      </c>
    </row>
    <row r="1974">
      <c r="A1974">
        <f>IFERROR(--SUBSTITUTE(SUBSTITUTE(TRIM(INDEX(INDIRECT("'Выгрузка'!A1974:Z1974"),Настройки!$B$7)),",","."),".",MID(1/2,2,1)),"")</f>
        <v/>
      </c>
      <c r="B1974">
        <f>IFERROR(--SUBSTITUTE(SUBSTITUTE(TRIM(INDEX(INDIRECT("'Выгрузка'!A1974:Z1974"),Настройки!$B$9)),",","."),".",MID(1/2,2,1)),"")</f>
        <v/>
      </c>
      <c r="C1974">
        <f>TRIM(INDEX(INDIRECT("'Выгрузка'!A1974:Z1974"),Настройки!$B$8)&amp;"")</f>
        <v/>
      </c>
      <c r="D1974">
        <f>IFERROR(--SUBSTITUTE(SUBSTITUTE(TRIM(INDEX(INDIRECT("'Выгрузка'!A1974:Z1974"),Настройки!$B$10)),",","."),".",MID(1/2,2,1)),"")</f>
        <v/>
      </c>
      <c r="E1974">
        <f>IFERROR(--SUBSTITUTE(SUBSTITUTE(TRIM(INDEX(INDIRECT("'Выгрузка'!A1974:Z1974"),Настройки!$B$11)),",","."),".",MID(1/2,2,1)),"")</f>
        <v/>
      </c>
      <c r="F1974">
        <f>TRIM(INDEX(INDIRECT("'Выгрузка'!A1974:Z1974"),Настройки!$B$12)&amp;"")</f>
        <v/>
      </c>
      <c r="G1974">
        <f>IF(F1974="",0,IF(TRIM(INDEX(INDIRECT("'Выгрузка'!A1974:Z1974"),Настройки!$B$13)&amp;"")="",1,IFERROR(--SUBSTITUTE(SUBSTITUTE(TRIM(INDEX(INDIRECT("'Выгрузка'!A1974:Z1974"),Настройки!$B$13)),",","."),".",MID(1/2,2,1)),"")))</f>
        <v/>
      </c>
      <c r="H1974">
        <f>IF(F1974="",0,IF(COUNTIF(Настройки!$B$17:$B$26,F1974)&gt;0,1,IF(COUNTIF(Настройки!$C$17:$C$26,F1974)&gt;0,2,IF(COUNTIF(Настройки!$D$17:$D$26,F1974)&gt;0,3,0))))</f>
        <v/>
      </c>
      <c r="I1974">
        <f>IF(AND(ISNUMBER(A1974),ISNUMBER(B1974)),A1974*1000+B1974,"")</f>
        <v/>
      </c>
      <c r="J1974">
        <f>IF(I1974="","",IF(COUNTIF(I$2:I1974,I1974)=1,MAX(J$1:J1973)+1,""))</f>
        <v/>
      </c>
    </row>
    <row r="1975">
      <c r="A1975">
        <f>IFERROR(--SUBSTITUTE(SUBSTITUTE(TRIM(INDEX(INDIRECT("'Выгрузка'!A1975:Z1975"),Настройки!$B$7)),",","."),".",MID(1/2,2,1)),"")</f>
        <v/>
      </c>
      <c r="B1975">
        <f>IFERROR(--SUBSTITUTE(SUBSTITUTE(TRIM(INDEX(INDIRECT("'Выгрузка'!A1975:Z1975"),Настройки!$B$9)),",","."),".",MID(1/2,2,1)),"")</f>
        <v/>
      </c>
      <c r="C1975">
        <f>TRIM(INDEX(INDIRECT("'Выгрузка'!A1975:Z1975"),Настройки!$B$8)&amp;"")</f>
        <v/>
      </c>
      <c r="D1975">
        <f>IFERROR(--SUBSTITUTE(SUBSTITUTE(TRIM(INDEX(INDIRECT("'Выгрузка'!A1975:Z1975"),Настройки!$B$10)),",","."),".",MID(1/2,2,1)),"")</f>
        <v/>
      </c>
      <c r="E1975">
        <f>IFERROR(--SUBSTITUTE(SUBSTITUTE(TRIM(INDEX(INDIRECT("'Выгрузка'!A1975:Z1975"),Настройки!$B$11)),",","."),".",MID(1/2,2,1)),"")</f>
        <v/>
      </c>
      <c r="F1975">
        <f>TRIM(INDEX(INDIRECT("'Выгрузка'!A1975:Z1975"),Настройки!$B$12)&amp;"")</f>
        <v/>
      </c>
      <c r="G1975">
        <f>IF(F1975="",0,IF(TRIM(INDEX(INDIRECT("'Выгрузка'!A1975:Z1975"),Настройки!$B$13)&amp;"")="",1,IFERROR(--SUBSTITUTE(SUBSTITUTE(TRIM(INDEX(INDIRECT("'Выгрузка'!A1975:Z1975"),Настройки!$B$13)),",","."),".",MID(1/2,2,1)),"")))</f>
        <v/>
      </c>
      <c r="H1975">
        <f>IF(F1975="",0,IF(COUNTIF(Настройки!$B$17:$B$26,F1975)&gt;0,1,IF(COUNTIF(Настройки!$C$17:$C$26,F1975)&gt;0,2,IF(COUNTIF(Настройки!$D$17:$D$26,F1975)&gt;0,3,0))))</f>
        <v/>
      </c>
      <c r="I1975">
        <f>IF(AND(ISNUMBER(A1975),ISNUMBER(B1975)),A1975*1000+B1975,"")</f>
        <v/>
      </c>
      <c r="J1975">
        <f>IF(I1975="","",IF(COUNTIF(I$2:I1975,I1975)=1,MAX(J$1:J1974)+1,""))</f>
        <v/>
      </c>
    </row>
    <row r="1976">
      <c r="A1976">
        <f>IFERROR(--SUBSTITUTE(SUBSTITUTE(TRIM(INDEX(INDIRECT("'Выгрузка'!A1976:Z1976"),Настройки!$B$7)),",","."),".",MID(1/2,2,1)),"")</f>
        <v/>
      </c>
      <c r="B1976">
        <f>IFERROR(--SUBSTITUTE(SUBSTITUTE(TRIM(INDEX(INDIRECT("'Выгрузка'!A1976:Z1976"),Настройки!$B$9)),",","."),".",MID(1/2,2,1)),"")</f>
        <v/>
      </c>
      <c r="C1976">
        <f>TRIM(INDEX(INDIRECT("'Выгрузка'!A1976:Z1976"),Настройки!$B$8)&amp;"")</f>
        <v/>
      </c>
      <c r="D1976">
        <f>IFERROR(--SUBSTITUTE(SUBSTITUTE(TRIM(INDEX(INDIRECT("'Выгрузка'!A1976:Z1976"),Настройки!$B$10)),",","."),".",MID(1/2,2,1)),"")</f>
        <v/>
      </c>
      <c r="E1976">
        <f>IFERROR(--SUBSTITUTE(SUBSTITUTE(TRIM(INDEX(INDIRECT("'Выгрузка'!A1976:Z1976"),Настройки!$B$11)),",","."),".",MID(1/2,2,1)),"")</f>
        <v/>
      </c>
      <c r="F1976">
        <f>TRIM(INDEX(INDIRECT("'Выгрузка'!A1976:Z1976"),Настройки!$B$12)&amp;"")</f>
        <v/>
      </c>
      <c r="G1976">
        <f>IF(F1976="",0,IF(TRIM(INDEX(INDIRECT("'Выгрузка'!A1976:Z1976"),Настройки!$B$13)&amp;"")="",1,IFERROR(--SUBSTITUTE(SUBSTITUTE(TRIM(INDEX(INDIRECT("'Выгрузка'!A1976:Z1976"),Настройки!$B$13)),",","."),".",MID(1/2,2,1)),"")))</f>
        <v/>
      </c>
      <c r="H1976">
        <f>IF(F1976="",0,IF(COUNTIF(Настройки!$B$17:$B$26,F1976)&gt;0,1,IF(COUNTIF(Настройки!$C$17:$C$26,F1976)&gt;0,2,IF(COUNTIF(Настройки!$D$17:$D$26,F1976)&gt;0,3,0))))</f>
        <v/>
      </c>
      <c r="I1976">
        <f>IF(AND(ISNUMBER(A1976),ISNUMBER(B1976)),A1976*1000+B1976,"")</f>
        <v/>
      </c>
      <c r="J1976">
        <f>IF(I1976="","",IF(COUNTIF(I$2:I1976,I1976)=1,MAX(J$1:J1975)+1,""))</f>
        <v/>
      </c>
    </row>
    <row r="1977">
      <c r="A1977">
        <f>IFERROR(--SUBSTITUTE(SUBSTITUTE(TRIM(INDEX(INDIRECT("'Выгрузка'!A1977:Z1977"),Настройки!$B$7)),",","."),".",MID(1/2,2,1)),"")</f>
        <v/>
      </c>
      <c r="B1977">
        <f>IFERROR(--SUBSTITUTE(SUBSTITUTE(TRIM(INDEX(INDIRECT("'Выгрузка'!A1977:Z1977"),Настройки!$B$9)),",","."),".",MID(1/2,2,1)),"")</f>
        <v/>
      </c>
      <c r="C1977">
        <f>TRIM(INDEX(INDIRECT("'Выгрузка'!A1977:Z1977"),Настройки!$B$8)&amp;"")</f>
        <v/>
      </c>
      <c r="D1977">
        <f>IFERROR(--SUBSTITUTE(SUBSTITUTE(TRIM(INDEX(INDIRECT("'Выгрузка'!A1977:Z1977"),Настройки!$B$10)),",","."),".",MID(1/2,2,1)),"")</f>
        <v/>
      </c>
      <c r="E1977">
        <f>IFERROR(--SUBSTITUTE(SUBSTITUTE(TRIM(INDEX(INDIRECT("'Выгрузка'!A1977:Z1977"),Настройки!$B$11)),",","."),".",MID(1/2,2,1)),"")</f>
        <v/>
      </c>
      <c r="F1977">
        <f>TRIM(INDEX(INDIRECT("'Выгрузка'!A1977:Z1977"),Настройки!$B$12)&amp;"")</f>
        <v/>
      </c>
      <c r="G1977">
        <f>IF(F1977="",0,IF(TRIM(INDEX(INDIRECT("'Выгрузка'!A1977:Z1977"),Настройки!$B$13)&amp;"")="",1,IFERROR(--SUBSTITUTE(SUBSTITUTE(TRIM(INDEX(INDIRECT("'Выгрузка'!A1977:Z1977"),Настройки!$B$13)),",","."),".",MID(1/2,2,1)),"")))</f>
        <v/>
      </c>
      <c r="H1977">
        <f>IF(F1977="",0,IF(COUNTIF(Настройки!$B$17:$B$26,F1977)&gt;0,1,IF(COUNTIF(Настройки!$C$17:$C$26,F1977)&gt;0,2,IF(COUNTIF(Настройки!$D$17:$D$26,F1977)&gt;0,3,0))))</f>
        <v/>
      </c>
      <c r="I1977">
        <f>IF(AND(ISNUMBER(A1977),ISNUMBER(B1977)),A1977*1000+B1977,"")</f>
        <v/>
      </c>
      <c r="J1977">
        <f>IF(I1977="","",IF(COUNTIF(I$2:I1977,I1977)=1,MAX(J$1:J1976)+1,""))</f>
        <v/>
      </c>
    </row>
    <row r="1978">
      <c r="A1978">
        <f>IFERROR(--SUBSTITUTE(SUBSTITUTE(TRIM(INDEX(INDIRECT("'Выгрузка'!A1978:Z1978"),Настройки!$B$7)),",","."),".",MID(1/2,2,1)),"")</f>
        <v/>
      </c>
      <c r="B1978">
        <f>IFERROR(--SUBSTITUTE(SUBSTITUTE(TRIM(INDEX(INDIRECT("'Выгрузка'!A1978:Z1978"),Настройки!$B$9)),",","."),".",MID(1/2,2,1)),"")</f>
        <v/>
      </c>
      <c r="C1978">
        <f>TRIM(INDEX(INDIRECT("'Выгрузка'!A1978:Z1978"),Настройки!$B$8)&amp;"")</f>
        <v/>
      </c>
      <c r="D1978">
        <f>IFERROR(--SUBSTITUTE(SUBSTITUTE(TRIM(INDEX(INDIRECT("'Выгрузка'!A1978:Z1978"),Настройки!$B$10)),",","."),".",MID(1/2,2,1)),"")</f>
        <v/>
      </c>
      <c r="E1978">
        <f>IFERROR(--SUBSTITUTE(SUBSTITUTE(TRIM(INDEX(INDIRECT("'Выгрузка'!A1978:Z1978"),Настройки!$B$11)),",","."),".",MID(1/2,2,1)),"")</f>
        <v/>
      </c>
      <c r="F1978">
        <f>TRIM(INDEX(INDIRECT("'Выгрузка'!A1978:Z1978"),Настройки!$B$12)&amp;"")</f>
        <v/>
      </c>
      <c r="G1978">
        <f>IF(F1978="",0,IF(TRIM(INDEX(INDIRECT("'Выгрузка'!A1978:Z1978"),Настройки!$B$13)&amp;"")="",1,IFERROR(--SUBSTITUTE(SUBSTITUTE(TRIM(INDEX(INDIRECT("'Выгрузка'!A1978:Z1978"),Настройки!$B$13)),",","."),".",MID(1/2,2,1)),"")))</f>
        <v/>
      </c>
      <c r="H1978">
        <f>IF(F1978="",0,IF(COUNTIF(Настройки!$B$17:$B$26,F1978)&gt;0,1,IF(COUNTIF(Настройки!$C$17:$C$26,F1978)&gt;0,2,IF(COUNTIF(Настройки!$D$17:$D$26,F1978)&gt;0,3,0))))</f>
        <v/>
      </c>
      <c r="I1978">
        <f>IF(AND(ISNUMBER(A1978),ISNUMBER(B1978)),A1978*1000+B1978,"")</f>
        <v/>
      </c>
      <c r="J1978">
        <f>IF(I1978="","",IF(COUNTIF(I$2:I1978,I1978)=1,MAX(J$1:J1977)+1,""))</f>
        <v/>
      </c>
    </row>
    <row r="1979">
      <c r="A1979">
        <f>IFERROR(--SUBSTITUTE(SUBSTITUTE(TRIM(INDEX(INDIRECT("'Выгрузка'!A1979:Z1979"),Настройки!$B$7)),",","."),".",MID(1/2,2,1)),"")</f>
        <v/>
      </c>
      <c r="B1979">
        <f>IFERROR(--SUBSTITUTE(SUBSTITUTE(TRIM(INDEX(INDIRECT("'Выгрузка'!A1979:Z1979"),Настройки!$B$9)),",","."),".",MID(1/2,2,1)),"")</f>
        <v/>
      </c>
      <c r="C1979">
        <f>TRIM(INDEX(INDIRECT("'Выгрузка'!A1979:Z1979"),Настройки!$B$8)&amp;"")</f>
        <v/>
      </c>
      <c r="D1979">
        <f>IFERROR(--SUBSTITUTE(SUBSTITUTE(TRIM(INDEX(INDIRECT("'Выгрузка'!A1979:Z1979"),Настройки!$B$10)),",","."),".",MID(1/2,2,1)),"")</f>
        <v/>
      </c>
      <c r="E1979">
        <f>IFERROR(--SUBSTITUTE(SUBSTITUTE(TRIM(INDEX(INDIRECT("'Выгрузка'!A1979:Z1979"),Настройки!$B$11)),",","."),".",MID(1/2,2,1)),"")</f>
        <v/>
      </c>
      <c r="F1979">
        <f>TRIM(INDEX(INDIRECT("'Выгрузка'!A1979:Z1979"),Настройки!$B$12)&amp;"")</f>
        <v/>
      </c>
      <c r="G1979">
        <f>IF(F1979="",0,IF(TRIM(INDEX(INDIRECT("'Выгрузка'!A1979:Z1979"),Настройки!$B$13)&amp;"")="",1,IFERROR(--SUBSTITUTE(SUBSTITUTE(TRIM(INDEX(INDIRECT("'Выгрузка'!A1979:Z1979"),Настройки!$B$13)),",","."),".",MID(1/2,2,1)),"")))</f>
        <v/>
      </c>
      <c r="H1979">
        <f>IF(F1979="",0,IF(COUNTIF(Настройки!$B$17:$B$26,F1979)&gt;0,1,IF(COUNTIF(Настройки!$C$17:$C$26,F1979)&gt;0,2,IF(COUNTIF(Настройки!$D$17:$D$26,F1979)&gt;0,3,0))))</f>
        <v/>
      </c>
      <c r="I1979">
        <f>IF(AND(ISNUMBER(A1979),ISNUMBER(B1979)),A1979*1000+B1979,"")</f>
        <v/>
      </c>
      <c r="J1979">
        <f>IF(I1979="","",IF(COUNTIF(I$2:I1979,I1979)=1,MAX(J$1:J1978)+1,""))</f>
        <v/>
      </c>
    </row>
    <row r="1980">
      <c r="A1980">
        <f>IFERROR(--SUBSTITUTE(SUBSTITUTE(TRIM(INDEX(INDIRECT("'Выгрузка'!A1980:Z1980"),Настройки!$B$7)),",","."),".",MID(1/2,2,1)),"")</f>
        <v/>
      </c>
      <c r="B1980">
        <f>IFERROR(--SUBSTITUTE(SUBSTITUTE(TRIM(INDEX(INDIRECT("'Выгрузка'!A1980:Z1980"),Настройки!$B$9)),",","."),".",MID(1/2,2,1)),"")</f>
        <v/>
      </c>
      <c r="C1980">
        <f>TRIM(INDEX(INDIRECT("'Выгрузка'!A1980:Z1980"),Настройки!$B$8)&amp;"")</f>
        <v/>
      </c>
      <c r="D1980">
        <f>IFERROR(--SUBSTITUTE(SUBSTITUTE(TRIM(INDEX(INDIRECT("'Выгрузка'!A1980:Z1980"),Настройки!$B$10)),",","."),".",MID(1/2,2,1)),"")</f>
        <v/>
      </c>
      <c r="E1980">
        <f>IFERROR(--SUBSTITUTE(SUBSTITUTE(TRIM(INDEX(INDIRECT("'Выгрузка'!A1980:Z1980"),Настройки!$B$11)),",","."),".",MID(1/2,2,1)),"")</f>
        <v/>
      </c>
      <c r="F1980">
        <f>TRIM(INDEX(INDIRECT("'Выгрузка'!A1980:Z1980"),Настройки!$B$12)&amp;"")</f>
        <v/>
      </c>
      <c r="G1980">
        <f>IF(F1980="",0,IF(TRIM(INDEX(INDIRECT("'Выгрузка'!A1980:Z1980"),Настройки!$B$13)&amp;"")="",1,IFERROR(--SUBSTITUTE(SUBSTITUTE(TRIM(INDEX(INDIRECT("'Выгрузка'!A1980:Z1980"),Настройки!$B$13)),",","."),".",MID(1/2,2,1)),"")))</f>
        <v/>
      </c>
      <c r="H1980">
        <f>IF(F1980="",0,IF(COUNTIF(Настройки!$B$17:$B$26,F1980)&gt;0,1,IF(COUNTIF(Настройки!$C$17:$C$26,F1980)&gt;0,2,IF(COUNTIF(Настройки!$D$17:$D$26,F1980)&gt;0,3,0))))</f>
        <v/>
      </c>
      <c r="I1980">
        <f>IF(AND(ISNUMBER(A1980),ISNUMBER(B1980)),A1980*1000+B1980,"")</f>
        <v/>
      </c>
      <c r="J1980">
        <f>IF(I1980="","",IF(COUNTIF(I$2:I1980,I1980)=1,MAX(J$1:J1979)+1,""))</f>
        <v/>
      </c>
    </row>
    <row r="1981">
      <c r="A1981">
        <f>IFERROR(--SUBSTITUTE(SUBSTITUTE(TRIM(INDEX(INDIRECT("'Выгрузка'!A1981:Z1981"),Настройки!$B$7)),",","."),".",MID(1/2,2,1)),"")</f>
        <v/>
      </c>
      <c r="B1981">
        <f>IFERROR(--SUBSTITUTE(SUBSTITUTE(TRIM(INDEX(INDIRECT("'Выгрузка'!A1981:Z1981"),Настройки!$B$9)),",","."),".",MID(1/2,2,1)),"")</f>
        <v/>
      </c>
      <c r="C1981">
        <f>TRIM(INDEX(INDIRECT("'Выгрузка'!A1981:Z1981"),Настройки!$B$8)&amp;"")</f>
        <v/>
      </c>
      <c r="D1981">
        <f>IFERROR(--SUBSTITUTE(SUBSTITUTE(TRIM(INDEX(INDIRECT("'Выгрузка'!A1981:Z1981"),Настройки!$B$10)),",","."),".",MID(1/2,2,1)),"")</f>
        <v/>
      </c>
      <c r="E1981">
        <f>IFERROR(--SUBSTITUTE(SUBSTITUTE(TRIM(INDEX(INDIRECT("'Выгрузка'!A1981:Z1981"),Настройки!$B$11)),",","."),".",MID(1/2,2,1)),"")</f>
        <v/>
      </c>
      <c r="F1981">
        <f>TRIM(INDEX(INDIRECT("'Выгрузка'!A1981:Z1981"),Настройки!$B$12)&amp;"")</f>
        <v/>
      </c>
      <c r="G1981">
        <f>IF(F1981="",0,IF(TRIM(INDEX(INDIRECT("'Выгрузка'!A1981:Z1981"),Настройки!$B$13)&amp;"")="",1,IFERROR(--SUBSTITUTE(SUBSTITUTE(TRIM(INDEX(INDIRECT("'Выгрузка'!A1981:Z1981"),Настройки!$B$13)),",","."),".",MID(1/2,2,1)),"")))</f>
        <v/>
      </c>
      <c r="H1981">
        <f>IF(F1981="",0,IF(COUNTIF(Настройки!$B$17:$B$26,F1981)&gt;0,1,IF(COUNTIF(Настройки!$C$17:$C$26,F1981)&gt;0,2,IF(COUNTIF(Настройки!$D$17:$D$26,F1981)&gt;0,3,0))))</f>
        <v/>
      </c>
      <c r="I1981">
        <f>IF(AND(ISNUMBER(A1981),ISNUMBER(B1981)),A1981*1000+B1981,"")</f>
        <v/>
      </c>
      <c r="J1981">
        <f>IF(I1981="","",IF(COUNTIF(I$2:I1981,I1981)=1,MAX(J$1:J1980)+1,""))</f>
        <v/>
      </c>
    </row>
    <row r="1982">
      <c r="A1982">
        <f>IFERROR(--SUBSTITUTE(SUBSTITUTE(TRIM(INDEX(INDIRECT("'Выгрузка'!A1982:Z1982"),Настройки!$B$7)),",","."),".",MID(1/2,2,1)),"")</f>
        <v/>
      </c>
      <c r="B1982">
        <f>IFERROR(--SUBSTITUTE(SUBSTITUTE(TRIM(INDEX(INDIRECT("'Выгрузка'!A1982:Z1982"),Настройки!$B$9)),",","."),".",MID(1/2,2,1)),"")</f>
        <v/>
      </c>
      <c r="C1982">
        <f>TRIM(INDEX(INDIRECT("'Выгрузка'!A1982:Z1982"),Настройки!$B$8)&amp;"")</f>
        <v/>
      </c>
      <c r="D1982">
        <f>IFERROR(--SUBSTITUTE(SUBSTITUTE(TRIM(INDEX(INDIRECT("'Выгрузка'!A1982:Z1982"),Настройки!$B$10)),",","."),".",MID(1/2,2,1)),"")</f>
        <v/>
      </c>
      <c r="E1982">
        <f>IFERROR(--SUBSTITUTE(SUBSTITUTE(TRIM(INDEX(INDIRECT("'Выгрузка'!A1982:Z1982"),Настройки!$B$11)),",","."),".",MID(1/2,2,1)),"")</f>
        <v/>
      </c>
      <c r="F1982">
        <f>TRIM(INDEX(INDIRECT("'Выгрузка'!A1982:Z1982"),Настройки!$B$12)&amp;"")</f>
        <v/>
      </c>
      <c r="G1982">
        <f>IF(F1982="",0,IF(TRIM(INDEX(INDIRECT("'Выгрузка'!A1982:Z1982"),Настройки!$B$13)&amp;"")="",1,IFERROR(--SUBSTITUTE(SUBSTITUTE(TRIM(INDEX(INDIRECT("'Выгрузка'!A1982:Z1982"),Настройки!$B$13)),",","."),".",MID(1/2,2,1)),"")))</f>
        <v/>
      </c>
      <c r="H1982">
        <f>IF(F1982="",0,IF(COUNTIF(Настройки!$B$17:$B$26,F1982)&gt;0,1,IF(COUNTIF(Настройки!$C$17:$C$26,F1982)&gt;0,2,IF(COUNTIF(Настройки!$D$17:$D$26,F1982)&gt;0,3,0))))</f>
        <v/>
      </c>
      <c r="I1982">
        <f>IF(AND(ISNUMBER(A1982),ISNUMBER(B1982)),A1982*1000+B1982,"")</f>
        <v/>
      </c>
      <c r="J1982">
        <f>IF(I1982="","",IF(COUNTIF(I$2:I1982,I1982)=1,MAX(J$1:J1981)+1,""))</f>
        <v/>
      </c>
    </row>
    <row r="1983">
      <c r="A1983">
        <f>IFERROR(--SUBSTITUTE(SUBSTITUTE(TRIM(INDEX(INDIRECT("'Выгрузка'!A1983:Z1983"),Настройки!$B$7)),",","."),".",MID(1/2,2,1)),"")</f>
        <v/>
      </c>
      <c r="B1983">
        <f>IFERROR(--SUBSTITUTE(SUBSTITUTE(TRIM(INDEX(INDIRECT("'Выгрузка'!A1983:Z1983"),Настройки!$B$9)),",","."),".",MID(1/2,2,1)),"")</f>
        <v/>
      </c>
      <c r="C1983">
        <f>TRIM(INDEX(INDIRECT("'Выгрузка'!A1983:Z1983"),Настройки!$B$8)&amp;"")</f>
        <v/>
      </c>
      <c r="D1983">
        <f>IFERROR(--SUBSTITUTE(SUBSTITUTE(TRIM(INDEX(INDIRECT("'Выгрузка'!A1983:Z1983"),Настройки!$B$10)),",","."),".",MID(1/2,2,1)),"")</f>
        <v/>
      </c>
      <c r="E1983">
        <f>IFERROR(--SUBSTITUTE(SUBSTITUTE(TRIM(INDEX(INDIRECT("'Выгрузка'!A1983:Z1983"),Настройки!$B$11)),",","."),".",MID(1/2,2,1)),"")</f>
        <v/>
      </c>
      <c r="F1983">
        <f>TRIM(INDEX(INDIRECT("'Выгрузка'!A1983:Z1983"),Настройки!$B$12)&amp;"")</f>
        <v/>
      </c>
      <c r="G1983">
        <f>IF(F1983="",0,IF(TRIM(INDEX(INDIRECT("'Выгрузка'!A1983:Z1983"),Настройки!$B$13)&amp;"")="",1,IFERROR(--SUBSTITUTE(SUBSTITUTE(TRIM(INDEX(INDIRECT("'Выгрузка'!A1983:Z1983"),Настройки!$B$13)),",","."),".",MID(1/2,2,1)),"")))</f>
        <v/>
      </c>
      <c r="H1983">
        <f>IF(F1983="",0,IF(COUNTIF(Настройки!$B$17:$B$26,F1983)&gt;0,1,IF(COUNTIF(Настройки!$C$17:$C$26,F1983)&gt;0,2,IF(COUNTIF(Настройки!$D$17:$D$26,F1983)&gt;0,3,0))))</f>
        <v/>
      </c>
      <c r="I1983">
        <f>IF(AND(ISNUMBER(A1983),ISNUMBER(B1983)),A1983*1000+B1983,"")</f>
        <v/>
      </c>
      <c r="J1983">
        <f>IF(I1983="","",IF(COUNTIF(I$2:I1983,I1983)=1,MAX(J$1:J1982)+1,""))</f>
        <v/>
      </c>
    </row>
    <row r="1984">
      <c r="A1984">
        <f>IFERROR(--SUBSTITUTE(SUBSTITUTE(TRIM(INDEX(INDIRECT("'Выгрузка'!A1984:Z1984"),Настройки!$B$7)),",","."),".",MID(1/2,2,1)),"")</f>
        <v/>
      </c>
      <c r="B1984">
        <f>IFERROR(--SUBSTITUTE(SUBSTITUTE(TRIM(INDEX(INDIRECT("'Выгрузка'!A1984:Z1984"),Настройки!$B$9)),",","."),".",MID(1/2,2,1)),"")</f>
        <v/>
      </c>
      <c r="C1984">
        <f>TRIM(INDEX(INDIRECT("'Выгрузка'!A1984:Z1984"),Настройки!$B$8)&amp;"")</f>
        <v/>
      </c>
      <c r="D1984">
        <f>IFERROR(--SUBSTITUTE(SUBSTITUTE(TRIM(INDEX(INDIRECT("'Выгрузка'!A1984:Z1984"),Настройки!$B$10)),",","."),".",MID(1/2,2,1)),"")</f>
        <v/>
      </c>
      <c r="E1984">
        <f>IFERROR(--SUBSTITUTE(SUBSTITUTE(TRIM(INDEX(INDIRECT("'Выгрузка'!A1984:Z1984"),Настройки!$B$11)),",","."),".",MID(1/2,2,1)),"")</f>
        <v/>
      </c>
      <c r="F1984">
        <f>TRIM(INDEX(INDIRECT("'Выгрузка'!A1984:Z1984"),Настройки!$B$12)&amp;"")</f>
        <v/>
      </c>
      <c r="G1984">
        <f>IF(F1984="",0,IF(TRIM(INDEX(INDIRECT("'Выгрузка'!A1984:Z1984"),Настройки!$B$13)&amp;"")="",1,IFERROR(--SUBSTITUTE(SUBSTITUTE(TRIM(INDEX(INDIRECT("'Выгрузка'!A1984:Z1984"),Настройки!$B$13)),",","."),".",MID(1/2,2,1)),"")))</f>
        <v/>
      </c>
      <c r="H1984">
        <f>IF(F1984="",0,IF(COUNTIF(Настройки!$B$17:$B$26,F1984)&gt;0,1,IF(COUNTIF(Настройки!$C$17:$C$26,F1984)&gt;0,2,IF(COUNTIF(Настройки!$D$17:$D$26,F1984)&gt;0,3,0))))</f>
        <v/>
      </c>
      <c r="I1984">
        <f>IF(AND(ISNUMBER(A1984),ISNUMBER(B1984)),A1984*1000+B1984,"")</f>
        <v/>
      </c>
      <c r="J1984">
        <f>IF(I1984="","",IF(COUNTIF(I$2:I1984,I1984)=1,MAX(J$1:J1983)+1,""))</f>
        <v/>
      </c>
    </row>
    <row r="1985">
      <c r="A1985">
        <f>IFERROR(--SUBSTITUTE(SUBSTITUTE(TRIM(INDEX(INDIRECT("'Выгрузка'!A1985:Z1985"),Настройки!$B$7)),",","."),".",MID(1/2,2,1)),"")</f>
        <v/>
      </c>
      <c r="B1985">
        <f>IFERROR(--SUBSTITUTE(SUBSTITUTE(TRIM(INDEX(INDIRECT("'Выгрузка'!A1985:Z1985"),Настройки!$B$9)),",","."),".",MID(1/2,2,1)),"")</f>
        <v/>
      </c>
      <c r="C1985">
        <f>TRIM(INDEX(INDIRECT("'Выгрузка'!A1985:Z1985"),Настройки!$B$8)&amp;"")</f>
        <v/>
      </c>
      <c r="D1985">
        <f>IFERROR(--SUBSTITUTE(SUBSTITUTE(TRIM(INDEX(INDIRECT("'Выгрузка'!A1985:Z1985"),Настройки!$B$10)),",","."),".",MID(1/2,2,1)),"")</f>
        <v/>
      </c>
      <c r="E1985">
        <f>IFERROR(--SUBSTITUTE(SUBSTITUTE(TRIM(INDEX(INDIRECT("'Выгрузка'!A1985:Z1985"),Настройки!$B$11)),",","."),".",MID(1/2,2,1)),"")</f>
        <v/>
      </c>
      <c r="F1985">
        <f>TRIM(INDEX(INDIRECT("'Выгрузка'!A1985:Z1985"),Настройки!$B$12)&amp;"")</f>
        <v/>
      </c>
      <c r="G1985">
        <f>IF(F1985="",0,IF(TRIM(INDEX(INDIRECT("'Выгрузка'!A1985:Z1985"),Настройки!$B$13)&amp;"")="",1,IFERROR(--SUBSTITUTE(SUBSTITUTE(TRIM(INDEX(INDIRECT("'Выгрузка'!A1985:Z1985"),Настройки!$B$13)),",","."),".",MID(1/2,2,1)),"")))</f>
        <v/>
      </c>
      <c r="H1985">
        <f>IF(F1985="",0,IF(COUNTIF(Настройки!$B$17:$B$26,F1985)&gt;0,1,IF(COUNTIF(Настройки!$C$17:$C$26,F1985)&gt;0,2,IF(COUNTIF(Настройки!$D$17:$D$26,F1985)&gt;0,3,0))))</f>
        <v/>
      </c>
      <c r="I1985">
        <f>IF(AND(ISNUMBER(A1985),ISNUMBER(B1985)),A1985*1000+B1985,"")</f>
        <v/>
      </c>
      <c r="J1985">
        <f>IF(I1985="","",IF(COUNTIF(I$2:I1985,I1985)=1,MAX(J$1:J1984)+1,""))</f>
        <v/>
      </c>
    </row>
    <row r="1986">
      <c r="A1986">
        <f>IFERROR(--SUBSTITUTE(SUBSTITUTE(TRIM(INDEX(INDIRECT("'Выгрузка'!A1986:Z1986"),Настройки!$B$7)),",","."),".",MID(1/2,2,1)),"")</f>
        <v/>
      </c>
      <c r="B1986">
        <f>IFERROR(--SUBSTITUTE(SUBSTITUTE(TRIM(INDEX(INDIRECT("'Выгрузка'!A1986:Z1986"),Настройки!$B$9)),",","."),".",MID(1/2,2,1)),"")</f>
        <v/>
      </c>
      <c r="C1986">
        <f>TRIM(INDEX(INDIRECT("'Выгрузка'!A1986:Z1986"),Настройки!$B$8)&amp;"")</f>
        <v/>
      </c>
      <c r="D1986">
        <f>IFERROR(--SUBSTITUTE(SUBSTITUTE(TRIM(INDEX(INDIRECT("'Выгрузка'!A1986:Z1986"),Настройки!$B$10)),",","."),".",MID(1/2,2,1)),"")</f>
        <v/>
      </c>
      <c r="E1986">
        <f>IFERROR(--SUBSTITUTE(SUBSTITUTE(TRIM(INDEX(INDIRECT("'Выгрузка'!A1986:Z1986"),Настройки!$B$11)),",","."),".",MID(1/2,2,1)),"")</f>
        <v/>
      </c>
      <c r="F1986">
        <f>TRIM(INDEX(INDIRECT("'Выгрузка'!A1986:Z1986"),Настройки!$B$12)&amp;"")</f>
        <v/>
      </c>
      <c r="G1986">
        <f>IF(F1986="",0,IF(TRIM(INDEX(INDIRECT("'Выгрузка'!A1986:Z1986"),Настройки!$B$13)&amp;"")="",1,IFERROR(--SUBSTITUTE(SUBSTITUTE(TRIM(INDEX(INDIRECT("'Выгрузка'!A1986:Z1986"),Настройки!$B$13)),",","."),".",MID(1/2,2,1)),"")))</f>
        <v/>
      </c>
      <c r="H1986">
        <f>IF(F1986="",0,IF(COUNTIF(Настройки!$B$17:$B$26,F1986)&gt;0,1,IF(COUNTIF(Настройки!$C$17:$C$26,F1986)&gt;0,2,IF(COUNTIF(Настройки!$D$17:$D$26,F1986)&gt;0,3,0))))</f>
        <v/>
      </c>
      <c r="I1986">
        <f>IF(AND(ISNUMBER(A1986),ISNUMBER(B1986)),A1986*1000+B1986,"")</f>
        <v/>
      </c>
      <c r="J1986">
        <f>IF(I1986="","",IF(COUNTIF(I$2:I1986,I1986)=1,MAX(J$1:J1985)+1,""))</f>
        <v/>
      </c>
    </row>
    <row r="1987">
      <c r="A1987">
        <f>IFERROR(--SUBSTITUTE(SUBSTITUTE(TRIM(INDEX(INDIRECT("'Выгрузка'!A1987:Z1987"),Настройки!$B$7)),",","."),".",MID(1/2,2,1)),"")</f>
        <v/>
      </c>
      <c r="B1987">
        <f>IFERROR(--SUBSTITUTE(SUBSTITUTE(TRIM(INDEX(INDIRECT("'Выгрузка'!A1987:Z1987"),Настройки!$B$9)),",","."),".",MID(1/2,2,1)),"")</f>
        <v/>
      </c>
      <c r="C1987">
        <f>TRIM(INDEX(INDIRECT("'Выгрузка'!A1987:Z1987"),Настройки!$B$8)&amp;"")</f>
        <v/>
      </c>
      <c r="D1987">
        <f>IFERROR(--SUBSTITUTE(SUBSTITUTE(TRIM(INDEX(INDIRECT("'Выгрузка'!A1987:Z1987"),Настройки!$B$10)),",","."),".",MID(1/2,2,1)),"")</f>
        <v/>
      </c>
      <c r="E1987">
        <f>IFERROR(--SUBSTITUTE(SUBSTITUTE(TRIM(INDEX(INDIRECT("'Выгрузка'!A1987:Z1987"),Настройки!$B$11)),",","."),".",MID(1/2,2,1)),"")</f>
        <v/>
      </c>
      <c r="F1987">
        <f>TRIM(INDEX(INDIRECT("'Выгрузка'!A1987:Z1987"),Настройки!$B$12)&amp;"")</f>
        <v/>
      </c>
      <c r="G1987">
        <f>IF(F1987="",0,IF(TRIM(INDEX(INDIRECT("'Выгрузка'!A1987:Z1987"),Настройки!$B$13)&amp;"")="",1,IFERROR(--SUBSTITUTE(SUBSTITUTE(TRIM(INDEX(INDIRECT("'Выгрузка'!A1987:Z1987"),Настройки!$B$13)),",","."),".",MID(1/2,2,1)),"")))</f>
        <v/>
      </c>
      <c r="H1987">
        <f>IF(F1987="",0,IF(COUNTIF(Настройки!$B$17:$B$26,F1987)&gt;0,1,IF(COUNTIF(Настройки!$C$17:$C$26,F1987)&gt;0,2,IF(COUNTIF(Настройки!$D$17:$D$26,F1987)&gt;0,3,0))))</f>
        <v/>
      </c>
      <c r="I1987">
        <f>IF(AND(ISNUMBER(A1987),ISNUMBER(B1987)),A1987*1000+B1987,"")</f>
        <v/>
      </c>
      <c r="J1987">
        <f>IF(I1987="","",IF(COUNTIF(I$2:I1987,I1987)=1,MAX(J$1:J1986)+1,""))</f>
        <v/>
      </c>
    </row>
    <row r="1988">
      <c r="A1988">
        <f>IFERROR(--SUBSTITUTE(SUBSTITUTE(TRIM(INDEX(INDIRECT("'Выгрузка'!A1988:Z1988"),Настройки!$B$7)),",","."),".",MID(1/2,2,1)),"")</f>
        <v/>
      </c>
      <c r="B1988">
        <f>IFERROR(--SUBSTITUTE(SUBSTITUTE(TRIM(INDEX(INDIRECT("'Выгрузка'!A1988:Z1988"),Настройки!$B$9)),",","."),".",MID(1/2,2,1)),"")</f>
        <v/>
      </c>
      <c r="C1988">
        <f>TRIM(INDEX(INDIRECT("'Выгрузка'!A1988:Z1988"),Настройки!$B$8)&amp;"")</f>
        <v/>
      </c>
      <c r="D1988">
        <f>IFERROR(--SUBSTITUTE(SUBSTITUTE(TRIM(INDEX(INDIRECT("'Выгрузка'!A1988:Z1988"),Настройки!$B$10)),",","."),".",MID(1/2,2,1)),"")</f>
        <v/>
      </c>
      <c r="E1988">
        <f>IFERROR(--SUBSTITUTE(SUBSTITUTE(TRIM(INDEX(INDIRECT("'Выгрузка'!A1988:Z1988"),Настройки!$B$11)),",","."),".",MID(1/2,2,1)),"")</f>
        <v/>
      </c>
      <c r="F1988">
        <f>TRIM(INDEX(INDIRECT("'Выгрузка'!A1988:Z1988"),Настройки!$B$12)&amp;"")</f>
        <v/>
      </c>
      <c r="G1988">
        <f>IF(F1988="",0,IF(TRIM(INDEX(INDIRECT("'Выгрузка'!A1988:Z1988"),Настройки!$B$13)&amp;"")="",1,IFERROR(--SUBSTITUTE(SUBSTITUTE(TRIM(INDEX(INDIRECT("'Выгрузка'!A1988:Z1988"),Настройки!$B$13)),",","."),".",MID(1/2,2,1)),"")))</f>
        <v/>
      </c>
      <c r="H1988">
        <f>IF(F1988="",0,IF(COUNTIF(Настройки!$B$17:$B$26,F1988)&gt;0,1,IF(COUNTIF(Настройки!$C$17:$C$26,F1988)&gt;0,2,IF(COUNTIF(Настройки!$D$17:$D$26,F1988)&gt;0,3,0))))</f>
        <v/>
      </c>
      <c r="I1988">
        <f>IF(AND(ISNUMBER(A1988),ISNUMBER(B1988)),A1988*1000+B1988,"")</f>
        <v/>
      </c>
      <c r="J1988">
        <f>IF(I1988="","",IF(COUNTIF(I$2:I1988,I1988)=1,MAX(J$1:J1987)+1,""))</f>
        <v/>
      </c>
    </row>
    <row r="1989">
      <c r="A1989">
        <f>IFERROR(--SUBSTITUTE(SUBSTITUTE(TRIM(INDEX(INDIRECT("'Выгрузка'!A1989:Z1989"),Настройки!$B$7)),",","."),".",MID(1/2,2,1)),"")</f>
        <v/>
      </c>
      <c r="B1989">
        <f>IFERROR(--SUBSTITUTE(SUBSTITUTE(TRIM(INDEX(INDIRECT("'Выгрузка'!A1989:Z1989"),Настройки!$B$9)),",","."),".",MID(1/2,2,1)),"")</f>
        <v/>
      </c>
      <c r="C1989">
        <f>TRIM(INDEX(INDIRECT("'Выгрузка'!A1989:Z1989"),Настройки!$B$8)&amp;"")</f>
        <v/>
      </c>
      <c r="D1989">
        <f>IFERROR(--SUBSTITUTE(SUBSTITUTE(TRIM(INDEX(INDIRECT("'Выгрузка'!A1989:Z1989"),Настройки!$B$10)),",","."),".",MID(1/2,2,1)),"")</f>
        <v/>
      </c>
      <c r="E1989">
        <f>IFERROR(--SUBSTITUTE(SUBSTITUTE(TRIM(INDEX(INDIRECT("'Выгрузка'!A1989:Z1989"),Настройки!$B$11)),",","."),".",MID(1/2,2,1)),"")</f>
        <v/>
      </c>
      <c r="F1989">
        <f>TRIM(INDEX(INDIRECT("'Выгрузка'!A1989:Z1989"),Настройки!$B$12)&amp;"")</f>
        <v/>
      </c>
      <c r="G1989">
        <f>IF(F1989="",0,IF(TRIM(INDEX(INDIRECT("'Выгрузка'!A1989:Z1989"),Настройки!$B$13)&amp;"")="",1,IFERROR(--SUBSTITUTE(SUBSTITUTE(TRIM(INDEX(INDIRECT("'Выгрузка'!A1989:Z1989"),Настройки!$B$13)),",","."),".",MID(1/2,2,1)),"")))</f>
        <v/>
      </c>
      <c r="H1989">
        <f>IF(F1989="",0,IF(COUNTIF(Настройки!$B$17:$B$26,F1989)&gt;0,1,IF(COUNTIF(Настройки!$C$17:$C$26,F1989)&gt;0,2,IF(COUNTIF(Настройки!$D$17:$D$26,F1989)&gt;0,3,0))))</f>
        <v/>
      </c>
      <c r="I1989">
        <f>IF(AND(ISNUMBER(A1989),ISNUMBER(B1989)),A1989*1000+B1989,"")</f>
        <v/>
      </c>
      <c r="J1989">
        <f>IF(I1989="","",IF(COUNTIF(I$2:I1989,I1989)=1,MAX(J$1:J1988)+1,""))</f>
        <v/>
      </c>
    </row>
    <row r="1990">
      <c r="A1990">
        <f>IFERROR(--SUBSTITUTE(SUBSTITUTE(TRIM(INDEX(INDIRECT("'Выгрузка'!A1990:Z1990"),Настройки!$B$7)),",","."),".",MID(1/2,2,1)),"")</f>
        <v/>
      </c>
      <c r="B1990">
        <f>IFERROR(--SUBSTITUTE(SUBSTITUTE(TRIM(INDEX(INDIRECT("'Выгрузка'!A1990:Z1990"),Настройки!$B$9)),",","."),".",MID(1/2,2,1)),"")</f>
        <v/>
      </c>
      <c r="C1990">
        <f>TRIM(INDEX(INDIRECT("'Выгрузка'!A1990:Z1990"),Настройки!$B$8)&amp;"")</f>
        <v/>
      </c>
      <c r="D1990">
        <f>IFERROR(--SUBSTITUTE(SUBSTITUTE(TRIM(INDEX(INDIRECT("'Выгрузка'!A1990:Z1990"),Настройки!$B$10)),",","."),".",MID(1/2,2,1)),"")</f>
        <v/>
      </c>
      <c r="E1990">
        <f>IFERROR(--SUBSTITUTE(SUBSTITUTE(TRIM(INDEX(INDIRECT("'Выгрузка'!A1990:Z1990"),Настройки!$B$11)),",","."),".",MID(1/2,2,1)),"")</f>
        <v/>
      </c>
      <c r="F1990">
        <f>TRIM(INDEX(INDIRECT("'Выгрузка'!A1990:Z1990"),Настройки!$B$12)&amp;"")</f>
        <v/>
      </c>
      <c r="G1990">
        <f>IF(F1990="",0,IF(TRIM(INDEX(INDIRECT("'Выгрузка'!A1990:Z1990"),Настройки!$B$13)&amp;"")="",1,IFERROR(--SUBSTITUTE(SUBSTITUTE(TRIM(INDEX(INDIRECT("'Выгрузка'!A1990:Z1990"),Настройки!$B$13)),",","."),".",MID(1/2,2,1)),"")))</f>
        <v/>
      </c>
      <c r="H1990">
        <f>IF(F1990="",0,IF(COUNTIF(Настройки!$B$17:$B$26,F1990)&gt;0,1,IF(COUNTIF(Настройки!$C$17:$C$26,F1990)&gt;0,2,IF(COUNTIF(Настройки!$D$17:$D$26,F1990)&gt;0,3,0))))</f>
        <v/>
      </c>
      <c r="I1990">
        <f>IF(AND(ISNUMBER(A1990),ISNUMBER(B1990)),A1990*1000+B1990,"")</f>
        <v/>
      </c>
      <c r="J1990">
        <f>IF(I1990="","",IF(COUNTIF(I$2:I1990,I1990)=1,MAX(J$1:J1989)+1,""))</f>
        <v/>
      </c>
    </row>
    <row r="1991">
      <c r="A1991">
        <f>IFERROR(--SUBSTITUTE(SUBSTITUTE(TRIM(INDEX(INDIRECT("'Выгрузка'!A1991:Z1991"),Настройки!$B$7)),",","."),".",MID(1/2,2,1)),"")</f>
        <v/>
      </c>
      <c r="B1991">
        <f>IFERROR(--SUBSTITUTE(SUBSTITUTE(TRIM(INDEX(INDIRECT("'Выгрузка'!A1991:Z1991"),Настройки!$B$9)),",","."),".",MID(1/2,2,1)),"")</f>
        <v/>
      </c>
      <c r="C1991">
        <f>TRIM(INDEX(INDIRECT("'Выгрузка'!A1991:Z1991"),Настройки!$B$8)&amp;"")</f>
        <v/>
      </c>
      <c r="D1991">
        <f>IFERROR(--SUBSTITUTE(SUBSTITUTE(TRIM(INDEX(INDIRECT("'Выгрузка'!A1991:Z1991"),Настройки!$B$10)),",","."),".",MID(1/2,2,1)),"")</f>
        <v/>
      </c>
      <c r="E1991">
        <f>IFERROR(--SUBSTITUTE(SUBSTITUTE(TRIM(INDEX(INDIRECT("'Выгрузка'!A1991:Z1991"),Настройки!$B$11)),",","."),".",MID(1/2,2,1)),"")</f>
        <v/>
      </c>
      <c r="F1991">
        <f>TRIM(INDEX(INDIRECT("'Выгрузка'!A1991:Z1991"),Настройки!$B$12)&amp;"")</f>
        <v/>
      </c>
      <c r="G1991">
        <f>IF(F1991="",0,IF(TRIM(INDEX(INDIRECT("'Выгрузка'!A1991:Z1991"),Настройки!$B$13)&amp;"")="",1,IFERROR(--SUBSTITUTE(SUBSTITUTE(TRIM(INDEX(INDIRECT("'Выгрузка'!A1991:Z1991"),Настройки!$B$13)),",","."),".",MID(1/2,2,1)),"")))</f>
        <v/>
      </c>
      <c r="H1991">
        <f>IF(F1991="",0,IF(COUNTIF(Настройки!$B$17:$B$26,F1991)&gt;0,1,IF(COUNTIF(Настройки!$C$17:$C$26,F1991)&gt;0,2,IF(COUNTIF(Настройки!$D$17:$D$26,F1991)&gt;0,3,0))))</f>
        <v/>
      </c>
      <c r="I1991">
        <f>IF(AND(ISNUMBER(A1991),ISNUMBER(B1991)),A1991*1000+B1991,"")</f>
        <v/>
      </c>
      <c r="J1991">
        <f>IF(I1991="","",IF(COUNTIF(I$2:I1991,I1991)=1,MAX(J$1:J1990)+1,""))</f>
        <v/>
      </c>
    </row>
    <row r="1992">
      <c r="A1992">
        <f>IFERROR(--SUBSTITUTE(SUBSTITUTE(TRIM(INDEX(INDIRECT("'Выгрузка'!A1992:Z1992"),Настройки!$B$7)),",","."),".",MID(1/2,2,1)),"")</f>
        <v/>
      </c>
      <c r="B1992">
        <f>IFERROR(--SUBSTITUTE(SUBSTITUTE(TRIM(INDEX(INDIRECT("'Выгрузка'!A1992:Z1992"),Настройки!$B$9)),",","."),".",MID(1/2,2,1)),"")</f>
        <v/>
      </c>
      <c r="C1992">
        <f>TRIM(INDEX(INDIRECT("'Выгрузка'!A1992:Z1992"),Настройки!$B$8)&amp;"")</f>
        <v/>
      </c>
      <c r="D1992">
        <f>IFERROR(--SUBSTITUTE(SUBSTITUTE(TRIM(INDEX(INDIRECT("'Выгрузка'!A1992:Z1992"),Настройки!$B$10)),",","."),".",MID(1/2,2,1)),"")</f>
        <v/>
      </c>
      <c r="E1992">
        <f>IFERROR(--SUBSTITUTE(SUBSTITUTE(TRIM(INDEX(INDIRECT("'Выгрузка'!A1992:Z1992"),Настройки!$B$11)),",","."),".",MID(1/2,2,1)),"")</f>
        <v/>
      </c>
      <c r="F1992">
        <f>TRIM(INDEX(INDIRECT("'Выгрузка'!A1992:Z1992"),Настройки!$B$12)&amp;"")</f>
        <v/>
      </c>
      <c r="G1992">
        <f>IF(F1992="",0,IF(TRIM(INDEX(INDIRECT("'Выгрузка'!A1992:Z1992"),Настройки!$B$13)&amp;"")="",1,IFERROR(--SUBSTITUTE(SUBSTITUTE(TRIM(INDEX(INDIRECT("'Выгрузка'!A1992:Z1992"),Настройки!$B$13)),",","."),".",MID(1/2,2,1)),"")))</f>
        <v/>
      </c>
      <c r="H1992">
        <f>IF(F1992="",0,IF(COUNTIF(Настройки!$B$17:$B$26,F1992)&gt;0,1,IF(COUNTIF(Настройки!$C$17:$C$26,F1992)&gt;0,2,IF(COUNTIF(Настройки!$D$17:$D$26,F1992)&gt;0,3,0))))</f>
        <v/>
      </c>
      <c r="I1992">
        <f>IF(AND(ISNUMBER(A1992),ISNUMBER(B1992)),A1992*1000+B1992,"")</f>
        <v/>
      </c>
      <c r="J1992">
        <f>IF(I1992="","",IF(COUNTIF(I$2:I1992,I1992)=1,MAX(J$1:J1991)+1,""))</f>
        <v/>
      </c>
    </row>
    <row r="1993">
      <c r="A1993">
        <f>IFERROR(--SUBSTITUTE(SUBSTITUTE(TRIM(INDEX(INDIRECT("'Выгрузка'!A1993:Z1993"),Настройки!$B$7)),",","."),".",MID(1/2,2,1)),"")</f>
        <v/>
      </c>
      <c r="B1993">
        <f>IFERROR(--SUBSTITUTE(SUBSTITUTE(TRIM(INDEX(INDIRECT("'Выгрузка'!A1993:Z1993"),Настройки!$B$9)),",","."),".",MID(1/2,2,1)),"")</f>
        <v/>
      </c>
      <c r="C1993">
        <f>TRIM(INDEX(INDIRECT("'Выгрузка'!A1993:Z1993"),Настройки!$B$8)&amp;"")</f>
        <v/>
      </c>
      <c r="D1993">
        <f>IFERROR(--SUBSTITUTE(SUBSTITUTE(TRIM(INDEX(INDIRECT("'Выгрузка'!A1993:Z1993"),Настройки!$B$10)),",","."),".",MID(1/2,2,1)),"")</f>
        <v/>
      </c>
      <c r="E1993">
        <f>IFERROR(--SUBSTITUTE(SUBSTITUTE(TRIM(INDEX(INDIRECT("'Выгрузка'!A1993:Z1993"),Настройки!$B$11)),",","."),".",MID(1/2,2,1)),"")</f>
        <v/>
      </c>
      <c r="F1993">
        <f>TRIM(INDEX(INDIRECT("'Выгрузка'!A1993:Z1993"),Настройки!$B$12)&amp;"")</f>
        <v/>
      </c>
      <c r="G1993">
        <f>IF(F1993="",0,IF(TRIM(INDEX(INDIRECT("'Выгрузка'!A1993:Z1993"),Настройки!$B$13)&amp;"")="",1,IFERROR(--SUBSTITUTE(SUBSTITUTE(TRIM(INDEX(INDIRECT("'Выгрузка'!A1993:Z1993"),Настройки!$B$13)),",","."),".",MID(1/2,2,1)),"")))</f>
        <v/>
      </c>
      <c r="H1993">
        <f>IF(F1993="",0,IF(COUNTIF(Настройки!$B$17:$B$26,F1993)&gt;0,1,IF(COUNTIF(Настройки!$C$17:$C$26,F1993)&gt;0,2,IF(COUNTIF(Настройки!$D$17:$D$26,F1993)&gt;0,3,0))))</f>
        <v/>
      </c>
      <c r="I1993">
        <f>IF(AND(ISNUMBER(A1993),ISNUMBER(B1993)),A1993*1000+B1993,"")</f>
        <v/>
      </c>
      <c r="J1993">
        <f>IF(I1993="","",IF(COUNTIF(I$2:I1993,I1993)=1,MAX(J$1:J1992)+1,""))</f>
        <v/>
      </c>
    </row>
    <row r="1994">
      <c r="A1994">
        <f>IFERROR(--SUBSTITUTE(SUBSTITUTE(TRIM(INDEX(INDIRECT("'Выгрузка'!A1994:Z1994"),Настройки!$B$7)),",","."),".",MID(1/2,2,1)),"")</f>
        <v/>
      </c>
      <c r="B1994">
        <f>IFERROR(--SUBSTITUTE(SUBSTITUTE(TRIM(INDEX(INDIRECT("'Выгрузка'!A1994:Z1994"),Настройки!$B$9)),",","."),".",MID(1/2,2,1)),"")</f>
        <v/>
      </c>
      <c r="C1994">
        <f>TRIM(INDEX(INDIRECT("'Выгрузка'!A1994:Z1994"),Настройки!$B$8)&amp;"")</f>
        <v/>
      </c>
      <c r="D1994">
        <f>IFERROR(--SUBSTITUTE(SUBSTITUTE(TRIM(INDEX(INDIRECT("'Выгрузка'!A1994:Z1994"),Настройки!$B$10)),",","."),".",MID(1/2,2,1)),"")</f>
        <v/>
      </c>
      <c r="E1994">
        <f>IFERROR(--SUBSTITUTE(SUBSTITUTE(TRIM(INDEX(INDIRECT("'Выгрузка'!A1994:Z1994"),Настройки!$B$11)),",","."),".",MID(1/2,2,1)),"")</f>
        <v/>
      </c>
      <c r="F1994">
        <f>TRIM(INDEX(INDIRECT("'Выгрузка'!A1994:Z1994"),Настройки!$B$12)&amp;"")</f>
        <v/>
      </c>
      <c r="G1994">
        <f>IF(F1994="",0,IF(TRIM(INDEX(INDIRECT("'Выгрузка'!A1994:Z1994"),Настройки!$B$13)&amp;"")="",1,IFERROR(--SUBSTITUTE(SUBSTITUTE(TRIM(INDEX(INDIRECT("'Выгрузка'!A1994:Z1994"),Настройки!$B$13)),",","."),".",MID(1/2,2,1)),"")))</f>
        <v/>
      </c>
      <c r="H1994">
        <f>IF(F1994="",0,IF(COUNTIF(Настройки!$B$17:$B$26,F1994)&gt;0,1,IF(COUNTIF(Настройки!$C$17:$C$26,F1994)&gt;0,2,IF(COUNTIF(Настройки!$D$17:$D$26,F1994)&gt;0,3,0))))</f>
        <v/>
      </c>
      <c r="I1994">
        <f>IF(AND(ISNUMBER(A1994),ISNUMBER(B1994)),A1994*1000+B1994,"")</f>
        <v/>
      </c>
      <c r="J1994">
        <f>IF(I1994="","",IF(COUNTIF(I$2:I1994,I1994)=1,MAX(J$1:J1993)+1,""))</f>
        <v/>
      </c>
    </row>
    <row r="1995">
      <c r="A1995">
        <f>IFERROR(--SUBSTITUTE(SUBSTITUTE(TRIM(INDEX(INDIRECT("'Выгрузка'!A1995:Z1995"),Настройки!$B$7)),",","."),".",MID(1/2,2,1)),"")</f>
        <v/>
      </c>
      <c r="B1995">
        <f>IFERROR(--SUBSTITUTE(SUBSTITUTE(TRIM(INDEX(INDIRECT("'Выгрузка'!A1995:Z1995"),Настройки!$B$9)),",","."),".",MID(1/2,2,1)),"")</f>
        <v/>
      </c>
      <c r="C1995">
        <f>TRIM(INDEX(INDIRECT("'Выгрузка'!A1995:Z1995"),Настройки!$B$8)&amp;"")</f>
        <v/>
      </c>
      <c r="D1995">
        <f>IFERROR(--SUBSTITUTE(SUBSTITUTE(TRIM(INDEX(INDIRECT("'Выгрузка'!A1995:Z1995"),Настройки!$B$10)),",","."),".",MID(1/2,2,1)),"")</f>
        <v/>
      </c>
      <c r="E1995">
        <f>IFERROR(--SUBSTITUTE(SUBSTITUTE(TRIM(INDEX(INDIRECT("'Выгрузка'!A1995:Z1995"),Настройки!$B$11)),",","."),".",MID(1/2,2,1)),"")</f>
        <v/>
      </c>
      <c r="F1995">
        <f>TRIM(INDEX(INDIRECT("'Выгрузка'!A1995:Z1995"),Настройки!$B$12)&amp;"")</f>
        <v/>
      </c>
      <c r="G1995">
        <f>IF(F1995="",0,IF(TRIM(INDEX(INDIRECT("'Выгрузка'!A1995:Z1995"),Настройки!$B$13)&amp;"")="",1,IFERROR(--SUBSTITUTE(SUBSTITUTE(TRIM(INDEX(INDIRECT("'Выгрузка'!A1995:Z1995"),Настройки!$B$13)),",","."),".",MID(1/2,2,1)),"")))</f>
        <v/>
      </c>
      <c r="H1995">
        <f>IF(F1995="",0,IF(COUNTIF(Настройки!$B$17:$B$26,F1995)&gt;0,1,IF(COUNTIF(Настройки!$C$17:$C$26,F1995)&gt;0,2,IF(COUNTIF(Настройки!$D$17:$D$26,F1995)&gt;0,3,0))))</f>
        <v/>
      </c>
      <c r="I1995">
        <f>IF(AND(ISNUMBER(A1995),ISNUMBER(B1995)),A1995*1000+B1995,"")</f>
        <v/>
      </c>
      <c r="J1995">
        <f>IF(I1995="","",IF(COUNTIF(I$2:I1995,I1995)=1,MAX(J$1:J1994)+1,""))</f>
        <v/>
      </c>
    </row>
    <row r="1996">
      <c r="A1996">
        <f>IFERROR(--SUBSTITUTE(SUBSTITUTE(TRIM(INDEX(INDIRECT("'Выгрузка'!A1996:Z1996"),Настройки!$B$7)),",","."),".",MID(1/2,2,1)),"")</f>
        <v/>
      </c>
      <c r="B1996">
        <f>IFERROR(--SUBSTITUTE(SUBSTITUTE(TRIM(INDEX(INDIRECT("'Выгрузка'!A1996:Z1996"),Настройки!$B$9)),",","."),".",MID(1/2,2,1)),"")</f>
        <v/>
      </c>
      <c r="C1996">
        <f>TRIM(INDEX(INDIRECT("'Выгрузка'!A1996:Z1996"),Настройки!$B$8)&amp;"")</f>
        <v/>
      </c>
      <c r="D1996">
        <f>IFERROR(--SUBSTITUTE(SUBSTITUTE(TRIM(INDEX(INDIRECT("'Выгрузка'!A1996:Z1996"),Настройки!$B$10)),",","."),".",MID(1/2,2,1)),"")</f>
        <v/>
      </c>
      <c r="E1996">
        <f>IFERROR(--SUBSTITUTE(SUBSTITUTE(TRIM(INDEX(INDIRECT("'Выгрузка'!A1996:Z1996"),Настройки!$B$11)),",","."),".",MID(1/2,2,1)),"")</f>
        <v/>
      </c>
      <c r="F1996">
        <f>TRIM(INDEX(INDIRECT("'Выгрузка'!A1996:Z1996"),Настройки!$B$12)&amp;"")</f>
        <v/>
      </c>
      <c r="G1996">
        <f>IF(F1996="",0,IF(TRIM(INDEX(INDIRECT("'Выгрузка'!A1996:Z1996"),Настройки!$B$13)&amp;"")="",1,IFERROR(--SUBSTITUTE(SUBSTITUTE(TRIM(INDEX(INDIRECT("'Выгрузка'!A1996:Z1996"),Настройки!$B$13)),",","."),".",MID(1/2,2,1)),"")))</f>
        <v/>
      </c>
      <c r="H1996">
        <f>IF(F1996="",0,IF(COUNTIF(Настройки!$B$17:$B$26,F1996)&gt;0,1,IF(COUNTIF(Настройки!$C$17:$C$26,F1996)&gt;0,2,IF(COUNTIF(Настройки!$D$17:$D$26,F1996)&gt;0,3,0))))</f>
        <v/>
      </c>
      <c r="I1996">
        <f>IF(AND(ISNUMBER(A1996),ISNUMBER(B1996)),A1996*1000+B1996,"")</f>
        <v/>
      </c>
      <c r="J1996">
        <f>IF(I1996="","",IF(COUNTIF(I$2:I1996,I1996)=1,MAX(J$1:J1995)+1,""))</f>
        <v/>
      </c>
    </row>
    <row r="1997">
      <c r="A1997">
        <f>IFERROR(--SUBSTITUTE(SUBSTITUTE(TRIM(INDEX(INDIRECT("'Выгрузка'!A1997:Z1997"),Настройки!$B$7)),",","."),".",MID(1/2,2,1)),"")</f>
        <v/>
      </c>
      <c r="B1997">
        <f>IFERROR(--SUBSTITUTE(SUBSTITUTE(TRIM(INDEX(INDIRECT("'Выгрузка'!A1997:Z1997"),Настройки!$B$9)),",","."),".",MID(1/2,2,1)),"")</f>
        <v/>
      </c>
      <c r="C1997">
        <f>TRIM(INDEX(INDIRECT("'Выгрузка'!A1997:Z1997"),Настройки!$B$8)&amp;"")</f>
        <v/>
      </c>
      <c r="D1997">
        <f>IFERROR(--SUBSTITUTE(SUBSTITUTE(TRIM(INDEX(INDIRECT("'Выгрузка'!A1997:Z1997"),Настройки!$B$10)),",","."),".",MID(1/2,2,1)),"")</f>
        <v/>
      </c>
      <c r="E1997">
        <f>IFERROR(--SUBSTITUTE(SUBSTITUTE(TRIM(INDEX(INDIRECT("'Выгрузка'!A1997:Z1997"),Настройки!$B$11)),",","."),".",MID(1/2,2,1)),"")</f>
        <v/>
      </c>
      <c r="F1997">
        <f>TRIM(INDEX(INDIRECT("'Выгрузка'!A1997:Z1997"),Настройки!$B$12)&amp;"")</f>
        <v/>
      </c>
      <c r="G1997">
        <f>IF(F1997="",0,IF(TRIM(INDEX(INDIRECT("'Выгрузка'!A1997:Z1997"),Настройки!$B$13)&amp;"")="",1,IFERROR(--SUBSTITUTE(SUBSTITUTE(TRIM(INDEX(INDIRECT("'Выгрузка'!A1997:Z1997"),Настройки!$B$13)),",","."),".",MID(1/2,2,1)),"")))</f>
        <v/>
      </c>
      <c r="H1997">
        <f>IF(F1997="",0,IF(COUNTIF(Настройки!$B$17:$B$26,F1997)&gt;0,1,IF(COUNTIF(Настройки!$C$17:$C$26,F1997)&gt;0,2,IF(COUNTIF(Настройки!$D$17:$D$26,F1997)&gt;0,3,0))))</f>
        <v/>
      </c>
      <c r="I1997">
        <f>IF(AND(ISNUMBER(A1997),ISNUMBER(B1997)),A1997*1000+B1997,"")</f>
        <v/>
      </c>
      <c r="J1997">
        <f>IF(I1997="","",IF(COUNTIF(I$2:I1997,I1997)=1,MAX(J$1:J1996)+1,""))</f>
        <v/>
      </c>
    </row>
    <row r="1998">
      <c r="A1998">
        <f>IFERROR(--SUBSTITUTE(SUBSTITUTE(TRIM(INDEX(INDIRECT("'Выгрузка'!A1998:Z1998"),Настройки!$B$7)),",","."),".",MID(1/2,2,1)),"")</f>
        <v/>
      </c>
      <c r="B1998">
        <f>IFERROR(--SUBSTITUTE(SUBSTITUTE(TRIM(INDEX(INDIRECT("'Выгрузка'!A1998:Z1998"),Настройки!$B$9)),",","."),".",MID(1/2,2,1)),"")</f>
        <v/>
      </c>
      <c r="C1998">
        <f>TRIM(INDEX(INDIRECT("'Выгрузка'!A1998:Z1998"),Настройки!$B$8)&amp;"")</f>
        <v/>
      </c>
      <c r="D1998">
        <f>IFERROR(--SUBSTITUTE(SUBSTITUTE(TRIM(INDEX(INDIRECT("'Выгрузка'!A1998:Z1998"),Настройки!$B$10)),",","."),".",MID(1/2,2,1)),"")</f>
        <v/>
      </c>
      <c r="E1998">
        <f>IFERROR(--SUBSTITUTE(SUBSTITUTE(TRIM(INDEX(INDIRECT("'Выгрузка'!A1998:Z1998"),Настройки!$B$11)),",","."),".",MID(1/2,2,1)),"")</f>
        <v/>
      </c>
      <c r="F1998">
        <f>TRIM(INDEX(INDIRECT("'Выгрузка'!A1998:Z1998"),Настройки!$B$12)&amp;"")</f>
        <v/>
      </c>
      <c r="G1998">
        <f>IF(F1998="",0,IF(TRIM(INDEX(INDIRECT("'Выгрузка'!A1998:Z1998"),Настройки!$B$13)&amp;"")="",1,IFERROR(--SUBSTITUTE(SUBSTITUTE(TRIM(INDEX(INDIRECT("'Выгрузка'!A1998:Z1998"),Настройки!$B$13)),",","."),".",MID(1/2,2,1)),"")))</f>
        <v/>
      </c>
      <c r="H1998">
        <f>IF(F1998="",0,IF(COUNTIF(Настройки!$B$17:$B$26,F1998)&gt;0,1,IF(COUNTIF(Настройки!$C$17:$C$26,F1998)&gt;0,2,IF(COUNTIF(Настройки!$D$17:$D$26,F1998)&gt;0,3,0))))</f>
        <v/>
      </c>
      <c r="I1998">
        <f>IF(AND(ISNUMBER(A1998),ISNUMBER(B1998)),A1998*1000+B1998,"")</f>
        <v/>
      </c>
      <c r="J1998">
        <f>IF(I1998="","",IF(COUNTIF(I$2:I1998,I1998)=1,MAX(J$1:J1997)+1,""))</f>
        <v/>
      </c>
    </row>
    <row r="1999">
      <c r="A1999">
        <f>IFERROR(--SUBSTITUTE(SUBSTITUTE(TRIM(INDEX(INDIRECT("'Выгрузка'!A1999:Z1999"),Настройки!$B$7)),",","."),".",MID(1/2,2,1)),"")</f>
        <v/>
      </c>
      <c r="B1999">
        <f>IFERROR(--SUBSTITUTE(SUBSTITUTE(TRIM(INDEX(INDIRECT("'Выгрузка'!A1999:Z1999"),Настройки!$B$9)),",","."),".",MID(1/2,2,1)),"")</f>
        <v/>
      </c>
      <c r="C1999">
        <f>TRIM(INDEX(INDIRECT("'Выгрузка'!A1999:Z1999"),Настройки!$B$8)&amp;"")</f>
        <v/>
      </c>
      <c r="D1999">
        <f>IFERROR(--SUBSTITUTE(SUBSTITUTE(TRIM(INDEX(INDIRECT("'Выгрузка'!A1999:Z1999"),Настройки!$B$10)),",","."),".",MID(1/2,2,1)),"")</f>
        <v/>
      </c>
      <c r="E1999">
        <f>IFERROR(--SUBSTITUTE(SUBSTITUTE(TRIM(INDEX(INDIRECT("'Выгрузка'!A1999:Z1999"),Настройки!$B$11)),",","."),".",MID(1/2,2,1)),"")</f>
        <v/>
      </c>
      <c r="F1999">
        <f>TRIM(INDEX(INDIRECT("'Выгрузка'!A1999:Z1999"),Настройки!$B$12)&amp;"")</f>
        <v/>
      </c>
      <c r="G1999">
        <f>IF(F1999="",0,IF(TRIM(INDEX(INDIRECT("'Выгрузка'!A1999:Z1999"),Настройки!$B$13)&amp;"")="",1,IFERROR(--SUBSTITUTE(SUBSTITUTE(TRIM(INDEX(INDIRECT("'Выгрузка'!A1999:Z1999"),Настройки!$B$13)),",","."),".",MID(1/2,2,1)),"")))</f>
        <v/>
      </c>
      <c r="H1999">
        <f>IF(F1999="",0,IF(COUNTIF(Настройки!$B$17:$B$26,F1999)&gt;0,1,IF(COUNTIF(Настройки!$C$17:$C$26,F1999)&gt;0,2,IF(COUNTIF(Настройки!$D$17:$D$26,F1999)&gt;0,3,0))))</f>
        <v/>
      </c>
      <c r="I1999">
        <f>IF(AND(ISNUMBER(A1999),ISNUMBER(B1999)),A1999*1000+B1999,"")</f>
        <v/>
      </c>
      <c r="J1999">
        <f>IF(I1999="","",IF(COUNTIF(I$2:I1999,I1999)=1,MAX(J$1:J1998)+1,""))</f>
        <v/>
      </c>
    </row>
    <row r="2000">
      <c r="A2000">
        <f>IFERROR(--SUBSTITUTE(SUBSTITUTE(TRIM(INDEX(INDIRECT("'Выгрузка'!A2000:Z2000"),Настройки!$B$7)),",","."),".",MID(1/2,2,1)),"")</f>
        <v/>
      </c>
      <c r="B2000">
        <f>IFERROR(--SUBSTITUTE(SUBSTITUTE(TRIM(INDEX(INDIRECT("'Выгрузка'!A2000:Z2000"),Настройки!$B$9)),",","."),".",MID(1/2,2,1)),"")</f>
        <v/>
      </c>
      <c r="C2000">
        <f>TRIM(INDEX(INDIRECT("'Выгрузка'!A2000:Z2000"),Настройки!$B$8)&amp;"")</f>
        <v/>
      </c>
      <c r="D2000">
        <f>IFERROR(--SUBSTITUTE(SUBSTITUTE(TRIM(INDEX(INDIRECT("'Выгрузка'!A2000:Z2000"),Настройки!$B$10)),",","."),".",MID(1/2,2,1)),"")</f>
        <v/>
      </c>
      <c r="E2000">
        <f>IFERROR(--SUBSTITUTE(SUBSTITUTE(TRIM(INDEX(INDIRECT("'Выгрузка'!A2000:Z2000"),Настройки!$B$11)),",","."),".",MID(1/2,2,1)),"")</f>
        <v/>
      </c>
      <c r="F2000">
        <f>TRIM(INDEX(INDIRECT("'Выгрузка'!A2000:Z2000"),Настройки!$B$12)&amp;"")</f>
        <v/>
      </c>
      <c r="G2000">
        <f>IF(F2000="",0,IF(TRIM(INDEX(INDIRECT("'Выгрузка'!A2000:Z2000"),Настройки!$B$13)&amp;"")="",1,IFERROR(--SUBSTITUTE(SUBSTITUTE(TRIM(INDEX(INDIRECT("'Выгрузка'!A2000:Z2000"),Настройки!$B$13)),",","."),".",MID(1/2,2,1)),"")))</f>
        <v/>
      </c>
      <c r="H2000">
        <f>IF(F2000="",0,IF(COUNTIF(Настройки!$B$17:$B$26,F2000)&gt;0,1,IF(COUNTIF(Настройки!$C$17:$C$26,F2000)&gt;0,2,IF(COUNTIF(Настройки!$D$17:$D$26,F2000)&gt;0,3,0))))</f>
        <v/>
      </c>
      <c r="I2000">
        <f>IF(AND(ISNUMBER(A2000),ISNUMBER(B2000)),A2000*1000+B2000,"")</f>
        <v/>
      </c>
      <c r="J2000">
        <f>IF(I2000="","",IF(COUNTIF(I$2:I2000,I2000)=1,MAX(J$1:J1999)+1,""))</f>
        <v/>
      </c>
    </row>
    <row r="2001">
      <c r="A2001">
        <f>IFERROR(--SUBSTITUTE(SUBSTITUTE(TRIM(INDEX(INDIRECT("'Выгрузка'!A2001:Z2001"),Настройки!$B$7)),",","."),".",MID(1/2,2,1)),"")</f>
        <v/>
      </c>
      <c r="B2001">
        <f>IFERROR(--SUBSTITUTE(SUBSTITUTE(TRIM(INDEX(INDIRECT("'Выгрузка'!A2001:Z2001"),Настройки!$B$9)),",","."),".",MID(1/2,2,1)),"")</f>
        <v/>
      </c>
      <c r="C2001">
        <f>TRIM(INDEX(INDIRECT("'Выгрузка'!A2001:Z2001"),Настройки!$B$8)&amp;"")</f>
        <v/>
      </c>
      <c r="D2001">
        <f>IFERROR(--SUBSTITUTE(SUBSTITUTE(TRIM(INDEX(INDIRECT("'Выгрузка'!A2001:Z2001"),Настройки!$B$10)),",","."),".",MID(1/2,2,1)),"")</f>
        <v/>
      </c>
      <c r="E2001">
        <f>IFERROR(--SUBSTITUTE(SUBSTITUTE(TRIM(INDEX(INDIRECT("'Выгрузка'!A2001:Z2001"),Настройки!$B$11)),",","."),".",MID(1/2,2,1)),"")</f>
        <v/>
      </c>
      <c r="F2001">
        <f>TRIM(INDEX(INDIRECT("'Выгрузка'!A2001:Z2001"),Настройки!$B$12)&amp;"")</f>
        <v/>
      </c>
      <c r="G2001">
        <f>IF(F2001="",0,IF(TRIM(INDEX(INDIRECT("'Выгрузка'!A2001:Z2001"),Настройки!$B$13)&amp;"")="",1,IFERROR(--SUBSTITUTE(SUBSTITUTE(TRIM(INDEX(INDIRECT("'Выгрузка'!A2001:Z2001"),Настройки!$B$13)),",","."),".",MID(1/2,2,1)),"")))</f>
        <v/>
      </c>
      <c r="H2001">
        <f>IF(F2001="",0,IF(COUNTIF(Настройки!$B$17:$B$26,F2001)&gt;0,1,IF(COUNTIF(Настройки!$C$17:$C$26,F2001)&gt;0,2,IF(COUNTIF(Настройки!$D$17:$D$26,F2001)&gt;0,3,0))))</f>
        <v/>
      </c>
      <c r="I2001">
        <f>IF(AND(ISNUMBER(A2001),ISNUMBER(B2001)),A2001*1000+B2001,"")</f>
        <v/>
      </c>
      <c r="J2001">
        <f>IF(I2001="","",IF(COUNTIF(I$2:I2001,I2001)=1,MAX(J$1:J2000)+1,""))</f>
        <v/>
      </c>
    </row>
    <row r="2002">
      <c r="A2002">
        <f>IFERROR(--SUBSTITUTE(SUBSTITUTE(TRIM(INDEX(INDIRECT("'Выгрузка'!A2002:Z2002"),Настройки!$B$7)),",","."),".",MID(1/2,2,1)),"")</f>
        <v/>
      </c>
      <c r="B2002">
        <f>IFERROR(--SUBSTITUTE(SUBSTITUTE(TRIM(INDEX(INDIRECT("'Выгрузка'!A2002:Z2002"),Настройки!$B$9)),",","."),".",MID(1/2,2,1)),"")</f>
        <v/>
      </c>
      <c r="C2002">
        <f>TRIM(INDEX(INDIRECT("'Выгрузка'!A2002:Z2002"),Настройки!$B$8)&amp;"")</f>
        <v/>
      </c>
      <c r="D2002">
        <f>IFERROR(--SUBSTITUTE(SUBSTITUTE(TRIM(INDEX(INDIRECT("'Выгрузка'!A2002:Z2002"),Настройки!$B$10)),",","."),".",MID(1/2,2,1)),"")</f>
        <v/>
      </c>
      <c r="E2002">
        <f>IFERROR(--SUBSTITUTE(SUBSTITUTE(TRIM(INDEX(INDIRECT("'Выгрузка'!A2002:Z2002"),Настройки!$B$11)),",","."),".",MID(1/2,2,1)),"")</f>
        <v/>
      </c>
      <c r="F2002">
        <f>TRIM(INDEX(INDIRECT("'Выгрузка'!A2002:Z2002"),Настройки!$B$12)&amp;"")</f>
        <v/>
      </c>
      <c r="G2002">
        <f>IF(F2002="",0,IF(TRIM(INDEX(INDIRECT("'Выгрузка'!A2002:Z2002"),Настройки!$B$13)&amp;"")="",1,IFERROR(--SUBSTITUTE(SUBSTITUTE(TRIM(INDEX(INDIRECT("'Выгрузка'!A2002:Z2002"),Настройки!$B$13)),",","."),".",MID(1/2,2,1)),"")))</f>
        <v/>
      </c>
      <c r="H2002">
        <f>IF(F2002="",0,IF(COUNTIF(Настройки!$B$17:$B$26,F2002)&gt;0,1,IF(COUNTIF(Настройки!$C$17:$C$26,F2002)&gt;0,2,IF(COUNTIF(Настройки!$D$17:$D$26,F2002)&gt;0,3,0))))</f>
        <v/>
      </c>
      <c r="I2002">
        <f>IF(AND(ISNUMBER(A2002),ISNUMBER(B2002)),A2002*1000+B2002,"")</f>
        <v/>
      </c>
      <c r="J2002">
        <f>IF(I2002="","",IF(COUNTIF(I$2:I2002,I2002)=1,MAX(J$1:J2001)+1,""))</f>
        <v/>
      </c>
    </row>
    <row r="2003">
      <c r="A2003">
        <f>IFERROR(--SUBSTITUTE(SUBSTITUTE(TRIM(INDEX(INDIRECT("'Выгрузка'!A2003:Z2003"),Настройки!$B$7)),",","."),".",MID(1/2,2,1)),"")</f>
        <v/>
      </c>
      <c r="B2003">
        <f>IFERROR(--SUBSTITUTE(SUBSTITUTE(TRIM(INDEX(INDIRECT("'Выгрузка'!A2003:Z2003"),Настройки!$B$9)),",","."),".",MID(1/2,2,1)),"")</f>
        <v/>
      </c>
      <c r="C2003">
        <f>TRIM(INDEX(INDIRECT("'Выгрузка'!A2003:Z2003"),Настройки!$B$8)&amp;"")</f>
        <v/>
      </c>
      <c r="D2003">
        <f>IFERROR(--SUBSTITUTE(SUBSTITUTE(TRIM(INDEX(INDIRECT("'Выгрузка'!A2003:Z2003"),Настройки!$B$10)),",","."),".",MID(1/2,2,1)),"")</f>
        <v/>
      </c>
      <c r="E2003">
        <f>IFERROR(--SUBSTITUTE(SUBSTITUTE(TRIM(INDEX(INDIRECT("'Выгрузка'!A2003:Z2003"),Настройки!$B$11)),",","."),".",MID(1/2,2,1)),"")</f>
        <v/>
      </c>
      <c r="F2003">
        <f>TRIM(INDEX(INDIRECT("'Выгрузка'!A2003:Z2003"),Настройки!$B$12)&amp;"")</f>
        <v/>
      </c>
      <c r="G2003">
        <f>IF(F2003="",0,IF(TRIM(INDEX(INDIRECT("'Выгрузка'!A2003:Z2003"),Настройки!$B$13)&amp;"")="",1,IFERROR(--SUBSTITUTE(SUBSTITUTE(TRIM(INDEX(INDIRECT("'Выгрузка'!A2003:Z2003"),Настройки!$B$13)),",","."),".",MID(1/2,2,1)),"")))</f>
        <v/>
      </c>
      <c r="H2003">
        <f>IF(F2003="",0,IF(COUNTIF(Настройки!$B$17:$B$26,F2003)&gt;0,1,IF(COUNTIF(Настройки!$C$17:$C$26,F2003)&gt;0,2,IF(COUNTIF(Настройки!$D$17:$D$26,F2003)&gt;0,3,0))))</f>
        <v/>
      </c>
      <c r="I2003">
        <f>IF(AND(ISNUMBER(A2003),ISNUMBER(B2003)),A2003*1000+B2003,"")</f>
        <v/>
      </c>
      <c r="J2003">
        <f>IF(I2003="","",IF(COUNTIF(I$2:I2003,I2003)=1,MAX(J$1:J2002)+1,""))</f>
        <v/>
      </c>
    </row>
    <row r="2004">
      <c r="A2004">
        <f>IFERROR(--SUBSTITUTE(SUBSTITUTE(TRIM(INDEX(INDIRECT("'Выгрузка'!A2004:Z2004"),Настройки!$B$7)),",","."),".",MID(1/2,2,1)),"")</f>
        <v/>
      </c>
      <c r="B2004">
        <f>IFERROR(--SUBSTITUTE(SUBSTITUTE(TRIM(INDEX(INDIRECT("'Выгрузка'!A2004:Z2004"),Настройки!$B$9)),",","."),".",MID(1/2,2,1)),"")</f>
        <v/>
      </c>
      <c r="C2004">
        <f>TRIM(INDEX(INDIRECT("'Выгрузка'!A2004:Z2004"),Настройки!$B$8)&amp;"")</f>
        <v/>
      </c>
      <c r="D2004">
        <f>IFERROR(--SUBSTITUTE(SUBSTITUTE(TRIM(INDEX(INDIRECT("'Выгрузка'!A2004:Z2004"),Настройки!$B$10)),",","."),".",MID(1/2,2,1)),"")</f>
        <v/>
      </c>
      <c r="E2004">
        <f>IFERROR(--SUBSTITUTE(SUBSTITUTE(TRIM(INDEX(INDIRECT("'Выгрузка'!A2004:Z2004"),Настройки!$B$11)),",","."),".",MID(1/2,2,1)),"")</f>
        <v/>
      </c>
      <c r="F2004">
        <f>TRIM(INDEX(INDIRECT("'Выгрузка'!A2004:Z2004"),Настройки!$B$12)&amp;"")</f>
        <v/>
      </c>
      <c r="G2004">
        <f>IF(F2004="",0,IF(TRIM(INDEX(INDIRECT("'Выгрузка'!A2004:Z2004"),Настройки!$B$13)&amp;"")="",1,IFERROR(--SUBSTITUTE(SUBSTITUTE(TRIM(INDEX(INDIRECT("'Выгрузка'!A2004:Z2004"),Настройки!$B$13)),",","."),".",MID(1/2,2,1)),"")))</f>
        <v/>
      </c>
      <c r="H2004">
        <f>IF(F2004="",0,IF(COUNTIF(Настройки!$B$17:$B$26,F2004)&gt;0,1,IF(COUNTIF(Настройки!$C$17:$C$26,F2004)&gt;0,2,IF(COUNTIF(Настройки!$D$17:$D$26,F2004)&gt;0,3,0))))</f>
        <v/>
      </c>
      <c r="I2004">
        <f>IF(AND(ISNUMBER(A2004),ISNUMBER(B2004)),A2004*1000+B2004,"")</f>
        <v/>
      </c>
      <c r="J2004">
        <f>IF(I2004="","",IF(COUNTIF(I$2:I2004,I2004)=1,MAX(J$1:J2003)+1,""))</f>
        <v/>
      </c>
    </row>
    <row r="2005">
      <c r="A2005">
        <f>IFERROR(--SUBSTITUTE(SUBSTITUTE(TRIM(INDEX(INDIRECT("'Выгрузка'!A2005:Z2005"),Настройки!$B$7)),",","."),".",MID(1/2,2,1)),"")</f>
        <v/>
      </c>
      <c r="B2005">
        <f>IFERROR(--SUBSTITUTE(SUBSTITUTE(TRIM(INDEX(INDIRECT("'Выгрузка'!A2005:Z2005"),Настройки!$B$9)),",","."),".",MID(1/2,2,1)),"")</f>
        <v/>
      </c>
      <c r="C2005">
        <f>TRIM(INDEX(INDIRECT("'Выгрузка'!A2005:Z2005"),Настройки!$B$8)&amp;"")</f>
        <v/>
      </c>
      <c r="D2005">
        <f>IFERROR(--SUBSTITUTE(SUBSTITUTE(TRIM(INDEX(INDIRECT("'Выгрузка'!A2005:Z2005"),Настройки!$B$10)),",","."),".",MID(1/2,2,1)),"")</f>
        <v/>
      </c>
      <c r="E2005">
        <f>IFERROR(--SUBSTITUTE(SUBSTITUTE(TRIM(INDEX(INDIRECT("'Выгрузка'!A2005:Z2005"),Настройки!$B$11)),",","."),".",MID(1/2,2,1)),"")</f>
        <v/>
      </c>
      <c r="F2005">
        <f>TRIM(INDEX(INDIRECT("'Выгрузка'!A2005:Z2005"),Настройки!$B$12)&amp;"")</f>
        <v/>
      </c>
      <c r="G2005">
        <f>IF(F2005="",0,IF(TRIM(INDEX(INDIRECT("'Выгрузка'!A2005:Z2005"),Настройки!$B$13)&amp;"")="",1,IFERROR(--SUBSTITUTE(SUBSTITUTE(TRIM(INDEX(INDIRECT("'Выгрузка'!A2005:Z2005"),Настройки!$B$13)),",","."),".",MID(1/2,2,1)),"")))</f>
        <v/>
      </c>
      <c r="H2005">
        <f>IF(F2005="",0,IF(COUNTIF(Настройки!$B$17:$B$26,F2005)&gt;0,1,IF(COUNTIF(Настройки!$C$17:$C$26,F2005)&gt;0,2,IF(COUNTIF(Настройки!$D$17:$D$26,F2005)&gt;0,3,0))))</f>
        <v/>
      </c>
      <c r="I2005">
        <f>IF(AND(ISNUMBER(A2005),ISNUMBER(B2005)),A2005*1000+B2005,"")</f>
        <v/>
      </c>
      <c r="J2005">
        <f>IF(I2005="","",IF(COUNTIF(I$2:I2005,I2005)=1,MAX(J$1:J2004)+1,""))</f>
        <v/>
      </c>
    </row>
    <row r="2006">
      <c r="A2006">
        <f>IFERROR(--SUBSTITUTE(SUBSTITUTE(TRIM(INDEX(INDIRECT("'Выгрузка'!A2006:Z2006"),Настройки!$B$7)),",","."),".",MID(1/2,2,1)),"")</f>
        <v/>
      </c>
      <c r="B2006">
        <f>IFERROR(--SUBSTITUTE(SUBSTITUTE(TRIM(INDEX(INDIRECT("'Выгрузка'!A2006:Z2006"),Настройки!$B$9)),",","."),".",MID(1/2,2,1)),"")</f>
        <v/>
      </c>
      <c r="C2006">
        <f>TRIM(INDEX(INDIRECT("'Выгрузка'!A2006:Z2006"),Настройки!$B$8)&amp;"")</f>
        <v/>
      </c>
      <c r="D2006">
        <f>IFERROR(--SUBSTITUTE(SUBSTITUTE(TRIM(INDEX(INDIRECT("'Выгрузка'!A2006:Z2006"),Настройки!$B$10)),",","."),".",MID(1/2,2,1)),"")</f>
        <v/>
      </c>
      <c r="E2006">
        <f>IFERROR(--SUBSTITUTE(SUBSTITUTE(TRIM(INDEX(INDIRECT("'Выгрузка'!A2006:Z2006"),Настройки!$B$11)),",","."),".",MID(1/2,2,1)),"")</f>
        <v/>
      </c>
      <c r="F2006">
        <f>TRIM(INDEX(INDIRECT("'Выгрузка'!A2006:Z2006"),Настройки!$B$12)&amp;"")</f>
        <v/>
      </c>
      <c r="G2006">
        <f>IF(F2006="",0,IF(TRIM(INDEX(INDIRECT("'Выгрузка'!A2006:Z2006"),Настройки!$B$13)&amp;"")="",1,IFERROR(--SUBSTITUTE(SUBSTITUTE(TRIM(INDEX(INDIRECT("'Выгрузка'!A2006:Z2006"),Настройки!$B$13)),",","."),".",MID(1/2,2,1)),"")))</f>
        <v/>
      </c>
      <c r="H2006">
        <f>IF(F2006="",0,IF(COUNTIF(Настройки!$B$17:$B$26,F2006)&gt;0,1,IF(COUNTIF(Настройки!$C$17:$C$26,F2006)&gt;0,2,IF(COUNTIF(Настройки!$D$17:$D$26,F2006)&gt;0,3,0))))</f>
        <v/>
      </c>
      <c r="I2006">
        <f>IF(AND(ISNUMBER(A2006),ISNUMBER(B2006)),A2006*1000+B2006,"")</f>
        <v/>
      </c>
      <c r="J2006">
        <f>IF(I2006="","",IF(COUNTIF(I$2:I2006,I2006)=1,MAX(J$1:J2005)+1,""))</f>
        <v/>
      </c>
    </row>
    <row r="2007">
      <c r="A2007">
        <f>IFERROR(--SUBSTITUTE(SUBSTITUTE(TRIM(INDEX(INDIRECT("'Выгрузка'!A2007:Z2007"),Настройки!$B$7)),",","."),".",MID(1/2,2,1)),"")</f>
        <v/>
      </c>
      <c r="B2007">
        <f>IFERROR(--SUBSTITUTE(SUBSTITUTE(TRIM(INDEX(INDIRECT("'Выгрузка'!A2007:Z2007"),Настройки!$B$9)),",","."),".",MID(1/2,2,1)),"")</f>
        <v/>
      </c>
      <c r="C2007">
        <f>TRIM(INDEX(INDIRECT("'Выгрузка'!A2007:Z2007"),Настройки!$B$8)&amp;"")</f>
        <v/>
      </c>
      <c r="D2007">
        <f>IFERROR(--SUBSTITUTE(SUBSTITUTE(TRIM(INDEX(INDIRECT("'Выгрузка'!A2007:Z2007"),Настройки!$B$10)),",","."),".",MID(1/2,2,1)),"")</f>
        <v/>
      </c>
      <c r="E2007">
        <f>IFERROR(--SUBSTITUTE(SUBSTITUTE(TRIM(INDEX(INDIRECT("'Выгрузка'!A2007:Z2007"),Настройки!$B$11)),",","."),".",MID(1/2,2,1)),"")</f>
        <v/>
      </c>
      <c r="F2007">
        <f>TRIM(INDEX(INDIRECT("'Выгрузка'!A2007:Z2007"),Настройки!$B$12)&amp;"")</f>
        <v/>
      </c>
      <c r="G2007">
        <f>IF(F2007="",0,IF(TRIM(INDEX(INDIRECT("'Выгрузка'!A2007:Z2007"),Настройки!$B$13)&amp;"")="",1,IFERROR(--SUBSTITUTE(SUBSTITUTE(TRIM(INDEX(INDIRECT("'Выгрузка'!A2007:Z2007"),Настройки!$B$13)),",","."),".",MID(1/2,2,1)),"")))</f>
        <v/>
      </c>
      <c r="H2007">
        <f>IF(F2007="",0,IF(COUNTIF(Настройки!$B$17:$B$26,F2007)&gt;0,1,IF(COUNTIF(Настройки!$C$17:$C$26,F2007)&gt;0,2,IF(COUNTIF(Настройки!$D$17:$D$26,F2007)&gt;0,3,0))))</f>
        <v/>
      </c>
      <c r="I2007">
        <f>IF(AND(ISNUMBER(A2007),ISNUMBER(B2007)),A2007*1000+B2007,"")</f>
        <v/>
      </c>
      <c r="J2007">
        <f>IF(I2007="","",IF(COUNTIF(I$2:I2007,I2007)=1,MAX(J$1:J2006)+1,""))</f>
        <v/>
      </c>
    </row>
    <row r="2008">
      <c r="A2008">
        <f>IFERROR(--SUBSTITUTE(SUBSTITUTE(TRIM(INDEX(INDIRECT("'Выгрузка'!A2008:Z2008"),Настройки!$B$7)),",","."),".",MID(1/2,2,1)),"")</f>
        <v/>
      </c>
      <c r="B2008">
        <f>IFERROR(--SUBSTITUTE(SUBSTITUTE(TRIM(INDEX(INDIRECT("'Выгрузка'!A2008:Z2008"),Настройки!$B$9)),",","."),".",MID(1/2,2,1)),"")</f>
        <v/>
      </c>
      <c r="C2008">
        <f>TRIM(INDEX(INDIRECT("'Выгрузка'!A2008:Z2008"),Настройки!$B$8)&amp;"")</f>
        <v/>
      </c>
      <c r="D2008">
        <f>IFERROR(--SUBSTITUTE(SUBSTITUTE(TRIM(INDEX(INDIRECT("'Выгрузка'!A2008:Z2008"),Настройки!$B$10)),",","."),".",MID(1/2,2,1)),"")</f>
        <v/>
      </c>
      <c r="E2008">
        <f>IFERROR(--SUBSTITUTE(SUBSTITUTE(TRIM(INDEX(INDIRECT("'Выгрузка'!A2008:Z2008"),Настройки!$B$11)),",","."),".",MID(1/2,2,1)),"")</f>
        <v/>
      </c>
      <c r="F2008">
        <f>TRIM(INDEX(INDIRECT("'Выгрузка'!A2008:Z2008"),Настройки!$B$12)&amp;"")</f>
        <v/>
      </c>
      <c r="G2008">
        <f>IF(F2008="",0,IF(TRIM(INDEX(INDIRECT("'Выгрузка'!A2008:Z2008"),Настройки!$B$13)&amp;"")="",1,IFERROR(--SUBSTITUTE(SUBSTITUTE(TRIM(INDEX(INDIRECT("'Выгрузка'!A2008:Z2008"),Настройки!$B$13)),",","."),".",MID(1/2,2,1)),"")))</f>
        <v/>
      </c>
      <c r="H2008">
        <f>IF(F2008="",0,IF(COUNTIF(Настройки!$B$17:$B$26,F2008)&gt;0,1,IF(COUNTIF(Настройки!$C$17:$C$26,F2008)&gt;0,2,IF(COUNTIF(Настройки!$D$17:$D$26,F2008)&gt;0,3,0))))</f>
        <v/>
      </c>
      <c r="I2008">
        <f>IF(AND(ISNUMBER(A2008),ISNUMBER(B2008)),A2008*1000+B2008,"")</f>
        <v/>
      </c>
      <c r="J2008">
        <f>IF(I2008="","",IF(COUNTIF(I$2:I2008,I2008)=1,MAX(J$1:J2007)+1,""))</f>
        <v/>
      </c>
    </row>
    <row r="2009">
      <c r="A2009">
        <f>IFERROR(--SUBSTITUTE(SUBSTITUTE(TRIM(INDEX(INDIRECT("'Выгрузка'!A2009:Z2009"),Настройки!$B$7)),",","."),".",MID(1/2,2,1)),"")</f>
        <v/>
      </c>
      <c r="B2009">
        <f>IFERROR(--SUBSTITUTE(SUBSTITUTE(TRIM(INDEX(INDIRECT("'Выгрузка'!A2009:Z2009"),Настройки!$B$9)),",","."),".",MID(1/2,2,1)),"")</f>
        <v/>
      </c>
      <c r="C2009">
        <f>TRIM(INDEX(INDIRECT("'Выгрузка'!A2009:Z2009"),Настройки!$B$8)&amp;"")</f>
        <v/>
      </c>
      <c r="D2009">
        <f>IFERROR(--SUBSTITUTE(SUBSTITUTE(TRIM(INDEX(INDIRECT("'Выгрузка'!A2009:Z2009"),Настройки!$B$10)),",","."),".",MID(1/2,2,1)),"")</f>
        <v/>
      </c>
      <c r="E2009">
        <f>IFERROR(--SUBSTITUTE(SUBSTITUTE(TRIM(INDEX(INDIRECT("'Выгрузка'!A2009:Z2009"),Настройки!$B$11)),",","."),".",MID(1/2,2,1)),"")</f>
        <v/>
      </c>
      <c r="F2009">
        <f>TRIM(INDEX(INDIRECT("'Выгрузка'!A2009:Z2009"),Настройки!$B$12)&amp;"")</f>
        <v/>
      </c>
      <c r="G2009">
        <f>IF(F2009="",0,IF(TRIM(INDEX(INDIRECT("'Выгрузка'!A2009:Z2009"),Настройки!$B$13)&amp;"")="",1,IFERROR(--SUBSTITUTE(SUBSTITUTE(TRIM(INDEX(INDIRECT("'Выгрузка'!A2009:Z2009"),Настройки!$B$13)),",","."),".",MID(1/2,2,1)),"")))</f>
        <v/>
      </c>
      <c r="H2009">
        <f>IF(F2009="",0,IF(COUNTIF(Настройки!$B$17:$B$26,F2009)&gt;0,1,IF(COUNTIF(Настройки!$C$17:$C$26,F2009)&gt;0,2,IF(COUNTIF(Настройки!$D$17:$D$26,F2009)&gt;0,3,0))))</f>
        <v/>
      </c>
      <c r="I2009">
        <f>IF(AND(ISNUMBER(A2009),ISNUMBER(B2009)),A2009*1000+B2009,"")</f>
        <v/>
      </c>
      <c r="J2009">
        <f>IF(I2009="","",IF(COUNTIF(I$2:I2009,I2009)=1,MAX(J$1:J2008)+1,""))</f>
        <v/>
      </c>
    </row>
    <row r="2010">
      <c r="A2010">
        <f>IFERROR(--SUBSTITUTE(SUBSTITUTE(TRIM(INDEX(INDIRECT("'Выгрузка'!A2010:Z2010"),Настройки!$B$7)),",","."),".",MID(1/2,2,1)),"")</f>
        <v/>
      </c>
      <c r="B2010">
        <f>IFERROR(--SUBSTITUTE(SUBSTITUTE(TRIM(INDEX(INDIRECT("'Выгрузка'!A2010:Z2010"),Настройки!$B$9)),",","."),".",MID(1/2,2,1)),"")</f>
        <v/>
      </c>
      <c r="C2010">
        <f>TRIM(INDEX(INDIRECT("'Выгрузка'!A2010:Z2010"),Настройки!$B$8)&amp;"")</f>
        <v/>
      </c>
      <c r="D2010">
        <f>IFERROR(--SUBSTITUTE(SUBSTITUTE(TRIM(INDEX(INDIRECT("'Выгрузка'!A2010:Z2010"),Настройки!$B$10)),",","."),".",MID(1/2,2,1)),"")</f>
        <v/>
      </c>
      <c r="E2010">
        <f>IFERROR(--SUBSTITUTE(SUBSTITUTE(TRIM(INDEX(INDIRECT("'Выгрузка'!A2010:Z2010"),Настройки!$B$11)),",","."),".",MID(1/2,2,1)),"")</f>
        <v/>
      </c>
      <c r="F2010">
        <f>TRIM(INDEX(INDIRECT("'Выгрузка'!A2010:Z2010"),Настройки!$B$12)&amp;"")</f>
        <v/>
      </c>
      <c r="G2010">
        <f>IF(F2010="",0,IF(TRIM(INDEX(INDIRECT("'Выгрузка'!A2010:Z2010"),Настройки!$B$13)&amp;"")="",1,IFERROR(--SUBSTITUTE(SUBSTITUTE(TRIM(INDEX(INDIRECT("'Выгрузка'!A2010:Z2010"),Настройки!$B$13)),",","."),".",MID(1/2,2,1)),"")))</f>
        <v/>
      </c>
      <c r="H2010">
        <f>IF(F2010="",0,IF(COUNTIF(Настройки!$B$17:$B$26,F2010)&gt;0,1,IF(COUNTIF(Настройки!$C$17:$C$26,F2010)&gt;0,2,IF(COUNTIF(Настройки!$D$17:$D$26,F2010)&gt;0,3,0))))</f>
        <v/>
      </c>
      <c r="I2010">
        <f>IF(AND(ISNUMBER(A2010),ISNUMBER(B2010)),A2010*1000+B2010,"")</f>
        <v/>
      </c>
      <c r="J2010">
        <f>IF(I2010="","",IF(COUNTIF(I$2:I2010,I2010)=1,MAX(J$1:J2009)+1,""))</f>
        <v/>
      </c>
    </row>
    <row r="2011">
      <c r="A2011">
        <f>IFERROR(--SUBSTITUTE(SUBSTITUTE(TRIM(INDEX(INDIRECT("'Выгрузка'!A2011:Z2011"),Настройки!$B$7)),",","."),".",MID(1/2,2,1)),"")</f>
        <v/>
      </c>
      <c r="B2011">
        <f>IFERROR(--SUBSTITUTE(SUBSTITUTE(TRIM(INDEX(INDIRECT("'Выгрузка'!A2011:Z2011"),Настройки!$B$9)),",","."),".",MID(1/2,2,1)),"")</f>
        <v/>
      </c>
      <c r="C2011">
        <f>TRIM(INDEX(INDIRECT("'Выгрузка'!A2011:Z2011"),Настройки!$B$8)&amp;"")</f>
        <v/>
      </c>
      <c r="D2011">
        <f>IFERROR(--SUBSTITUTE(SUBSTITUTE(TRIM(INDEX(INDIRECT("'Выгрузка'!A2011:Z2011"),Настройки!$B$10)),",","."),".",MID(1/2,2,1)),"")</f>
        <v/>
      </c>
      <c r="E2011">
        <f>IFERROR(--SUBSTITUTE(SUBSTITUTE(TRIM(INDEX(INDIRECT("'Выгрузка'!A2011:Z2011"),Настройки!$B$11)),",","."),".",MID(1/2,2,1)),"")</f>
        <v/>
      </c>
      <c r="F2011">
        <f>TRIM(INDEX(INDIRECT("'Выгрузка'!A2011:Z2011"),Настройки!$B$12)&amp;"")</f>
        <v/>
      </c>
      <c r="G2011">
        <f>IF(F2011="",0,IF(TRIM(INDEX(INDIRECT("'Выгрузка'!A2011:Z2011"),Настройки!$B$13)&amp;"")="",1,IFERROR(--SUBSTITUTE(SUBSTITUTE(TRIM(INDEX(INDIRECT("'Выгрузка'!A2011:Z2011"),Настройки!$B$13)),",","."),".",MID(1/2,2,1)),"")))</f>
        <v/>
      </c>
      <c r="H2011">
        <f>IF(F2011="",0,IF(COUNTIF(Настройки!$B$17:$B$26,F2011)&gt;0,1,IF(COUNTIF(Настройки!$C$17:$C$26,F2011)&gt;0,2,IF(COUNTIF(Настройки!$D$17:$D$26,F2011)&gt;0,3,0))))</f>
        <v/>
      </c>
      <c r="I2011">
        <f>IF(AND(ISNUMBER(A2011),ISNUMBER(B2011)),A2011*1000+B2011,"")</f>
        <v/>
      </c>
      <c r="J2011">
        <f>IF(I2011="","",IF(COUNTIF(I$2:I2011,I2011)=1,MAX(J$1:J2010)+1,""))</f>
        <v/>
      </c>
    </row>
    <row r="2012">
      <c r="A2012">
        <f>IFERROR(--SUBSTITUTE(SUBSTITUTE(TRIM(INDEX(INDIRECT("'Выгрузка'!A2012:Z2012"),Настройки!$B$7)),",","."),".",MID(1/2,2,1)),"")</f>
        <v/>
      </c>
      <c r="B2012">
        <f>IFERROR(--SUBSTITUTE(SUBSTITUTE(TRIM(INDEX(INDIRECT("'Выгрузка'!A2012:Z2012"),Настройки!$B$9)),",","."),".",MID(1/2,2,1)),"")</f>
        <v/>
      </c>
      <c r="C2012">
        <f>TRIM(INDEX(INDIRECT("'Выгрузка'!A2012:Z2012"),Настройки!$B$8)&amp;"")</f>
        <v/>
      </c>
      <c r="D2012">
        <f>IFERROR(--SUBSTITUTE(SUBSTITUTE(TRIM(INDEX(INDIRECT("'Выгрузка'!A2012:Z2012"),Настройки!$B$10)),",","."),".",MID(1/2,2,1)),"")</f>
        <v/>
      </c>
      <c r="E2012">
        <f>IFERROR(--SUBSTITUTE(SUBSTITUTE(TRIM(INDEX(INDIRECT("'Выгрузка'!A2012:Z2012"),Настройки!$B$11)),",","."),".",MID(1/2,2,1)),"")</f>
        <v/>
      </c>
      <c r="F2012">
        <f>TRIM(INDEX(INDIRECT("'Выгрузка'!A2012:Z2012"),Настройки!$B$12)&amp;"")</f>
        <v/>
      </c>
      <c r="G2012">
        <f>IF(F2012="",0,IF(TRIM(INDEX(INDIRECT("'Выгрузка'!A2012:Z2012"),Настройки!$B$13)&amp;"")="",1,IFERROR(--SUBSTITUTE(SUBSTITUTE(TRIM(INDEX(INDIRECT("'Выгрузка'!A2012:Z2012"),Настройки!$B$13)),",","."),".",MID(1/2,2,1)),"")))</f>
        <v/>
      </c>
      <c r="H2012">
        <f>IF(F2012="",0,IF(COUNTIF(Настройки!$B$17:$B$26,F2012)&gt;0,1,IF(COUNTIF(Настройки!$C$17:$C$26,F2012)&gt;0,2,IF(COUNTIF(Настройки!$D$17:$D$26,F2012)&gt;0,3,0))))</f>
        <v/>
      </c>
      <c r="I2012">
        <f>IF(AND(ISNUMBER(A2012),ISNUMBER(B2012)),A2012*1000+B2012,"")</f>
        <v/>
      </c>
      <c r="J2012">
        <f>IF(I2012="","",IF(COUNTIF(I$2:I2012,I2012)=1,MAX(J$1:J2011)+1,""))</f>
        <v/>
      </c>
    </row>
    <row r="2013">
      <c r="A2013">
        <f>IFERROR(--SUBSTITUTE(SUBSTITUTE(TRIM(INDEX(INDIRECT("'Выгрузка'!A2013:Z2013"),Настройки!$B$7)),",","."),".",MID(1/2,2,1)),"")</f>
        <v/>
      </c>
      <c r="B2013">
        <f>IFERROR(--SUBSTITUTE(SUBSTITUTE(TRIM(INDEX(INDIRECT("'Выгрузка'!A2013:Z2013"),Настройки!$B$9)),",","."),".",MID(1/2,2,1)),"")</f>
        <v/>
      </c>
      <c r="C2013">
        <f>TRIM(INDEX(INDIRECT("'Выгрузка'!A2013:Z2013"),Настройки!$B$8)&amp;"")</f>
        <v/>
      </c>
      <c r="D2013">
        <f>IFERROR(--SUBSTITUTE(SUBSTITUTE(TRIM(INDEX(INDIRECT("'Выгрузка'!A2013:Z2013"),Настройки!$B$10)),",","."),".",MID(1/2,2,1)),"")</f>
        <v/>
      </c>
      <c r="E2013">
        <f>IFERROR(--SUBSTITUTE(SUBSTITUTE(TRIM(INDEX(INDIRECT("'Выгрузка'!A2013:Z2013"),Настройки!$B$11)),",","."),".",MID(1/2,2,1)),"")</f>
        <v/>
      </c>
      <c r="F2013">
        <f>TRIM(INDEX(INDIRECT("'Выгрузка'!A2013:Z2013"),Настройки!$B$12)&amp;"")</f>
        <v/>
      </c>
      <c r="G2013">
        <f>IF(F2013="",0,IF(TRIM(INDEX(INDIRECT("'Выгрузка'!A2013:Z2013"),Настройки!$B$13)&amp;"")="",1,IFERROR(--SUBSTITUTE(SUBSTITUTE(TRIM(INDEX(INDIRECT("'Выгрузка'!A2013:Z2013"),Настройки!$B$13)),",","."),".",MID(1/2,2,1)),"")))</f>
        <v/>
      </c>
      <c r="H2013">
        <f>IF(F2013="",0,IF(COUNTIF(Настройки!$B$17:$B$26,F2013)&gt;0,1,IF(COUNTIF(Настройки!$C$17:$C$26,F2013)&gt;0,2,IF(COUNTIF(Настройки!$D$17:$D$26,F2013)&gt;0,3,0))))</f>
        <v/>
      </c>
      <c r="I2013">
        <f>IF(AND(ISNUMBER(A2013),ISNUMBER(B2013)),A2013*1000+B2013,"")</f>
        <v/>
      </c>
      <c r="J2013">
        <f>IF(I2013="","",IF(COUNTIF(I$2:I2013,I2013)=1,MAX(J$1:J2012)+1,""))</f>
        <v/>
      </c>
    </row>
    <row r="2014">
      <c r="A2014">
        <f>IFERROR(--SUBSTITUTE(SUBSTITUTE(TRIM(INDEX(INDIRECT("'Выгрузка'!A2014:Z2014"),Настройки!$B$7)),",","."),".",MID(1/2,2,1)),"")</f>
        <v/>
      </c>
      <c r="B2014">
        <f>IFERROR(--SUBSTITUTE(SUBSTITUTE(TRIM(INDEX(INDIRECT("'Выгрузка'!A2014:Z2014"),Настройки!$B$9)),",","."),".",MID(1/2,2,1)),"")</f>
        <v/>
      </c>
      <c r="C2014">
        <f>TRIM(INDEX(INDIRECT("'Выгрузка'!A2014:Z2014"),Настройки!$B$8)&amp;"")</f>
        <v/>
      </c>
      <c r="D2014">
        <f>IFERROR(--SUBSTITUTE(SUBSTITUTE(TRIM(INDEX(INDIRECT("'Выгрузка'!A2014:Z2014"),Настройки!$B$10)),",","."),".",MID(1/2,2,1)),"")</f>
        <v/>
      </c>
      <c r="E2014">
        <f>IFERROR(--SUBSTITUTE(SUBSTITUTE(TRIM(INDEX(INDIRECT("'Выгрузка'!A2014:Z2014"),Настройки!$B$11)),",","."),".",MID(1/2,2,1)),"")</f>
        <v/>
      </c>
      <c r="F2014">
        <f>TRIM(INDEX(INDIRECT("'Выгрузка'!A2014:Z2014"),Настройки!$B$12)&amp;"")</f>
        <v/>
      </c>
      <c r="G2014">
        <f>IF(F2014="",0,IF(TRIM(INDEX(INDIRECT("'Выгрузка'!A2014:Z2014"),Настройки!$B$13)&amp;"")="",1,IFERROR(--SUBSTITUTE(SUBSTITUTE(TRIM(INDEX(INDIRECT("'Выгрузка'!A2014:Z2014"),Настройки!$B$13)),",","."),".",MID(1/2,2,1)),"")))</f>
        <v/>
      </c>
      <c r="H2014">
        <f>IF(F2014="",0,IF(COUNTIF(Настройки!$B$17:$B$26,F2014)&gt;0,1,IF(COUNTIF(Настройки!$C$17:$C$26,F2014)&gt;0,2,IF(COUNTIF(Настройки!$D$17:$D$26,F2014)&gt;0,3,0))))</f>
        <v/>
      </c>
      <c r="I2014">
        <f>IF(AND(ISNUMBER(A2014),ISNUMBER(B2014)),A2014*1000+B2014,"")</f>
        <v/>
      </c>
      <c r="J2014">
        <f>IF(I2014="","",IF(COUNTIF(I$2:I2014,I2014)=1,MAX(J$1:J2013)+1,""))</f>
        <v/>
      </c>
    </row>
    <row r="2015">
      <c r="A2015">
        <f>IFERROR(--SUBSTITUTE(SUBSTITUTE(TRIM(INDEX(INDIRECT("'Выгрузка'!A2015:Z2015"),Настройки!$B$7)),",","."),".",MID(1/2,2,1)),"")</f>
        <v/>
      </c>
      <c r="B2015">
        <f>IFERROR(--SUBSTITUTE(SUBSTITUTE(TRIM(INDEX(INDIRECT("'Выгрузка'!A2015:Z2015"),Настройки!$B$9)),",","."),".",MID(1/2,2,1)),"")</f>
        <v/>
      </c>
      <c r="C2015">
        <f>TRIM(INDEX(INDIRECT("'Выгрузка'!A2015:Z2015"),Настройки!$B$8)&amp;"")</f>
        <v/>
      </c>
      <c r="D2015">
        <f>IFERROR(--SUBSTITUTE(SUBSTITUTE(TRIM(INDEX(INDIRECT("'Выгрузка'!A2015:Z2015"),Настройки!$B$10)),",","."),".",MID(1/2,2,1)),"")</f>
        <v/>
      </c>
      <c r="E2015">
        <f>IFERROR(--SUBSTITUTE(SUBSTITUTE(TRIM(INDEX(INDIRECT("'Выгрузка'!A2015:Z2015"),Настройки!$B$11)),",","."),".",MID(1/2,2,1)),"")</f>
        <v/>
      </c>
      <c r="F2015">
        <f>TRIM(INDEX(INDIRECT("'Выгрузка'!A2015:Z2015"),Настройки!$B$12)&amp;"")</f>
        <v/>
      </c>
      <c r="G2015">
        <f>IF(F2015="",0,IF(TRIM(INDEX(INDIRECT("'Выгрузка'!A2015:Z2015"),Настройки!$B$13)&amp;"")="",1,IFERROR(--SUBSTITUTE(SUBSTITUTE(TRIM(INDEX(INDIRECT("'Выгрузка'!A2015:Z2015"),Настройки!$B$13)),",","."),".",MID(1/2,2,1)),"")))</f>
        <v/>
      </c>
      <c r="H2015">
        <f>IF(F2015="",0,IF(COUNTIF(Настройки!$B$17:$B$26,F2015)&gt;0,1,IF(COUNTIF(Настройки!$C$17:$C$26,F2015)&gt;0,2,IF(COUNTIF(Настройки!$D$17:$D$26,F2015)&gt;0,3,0))))</f>
        <v/>
      </c>
      <c r="I2015">
        <f>IF(AND(ISNUMBER(A2015),ISNUMBER(B2015)),A2015*1000+B2015,"")</f>
        <v/>
      </c>
      <c r="J2015">
        <f>IF(I2015="","",IF(COUNTIF(I$2:I2015,I2015)=1,MAX(J$1:J2014)+1,""))</f>
        <v/>
      </c>
    </row>
    <row r="2016">
      <c r="A2016">
        <f>IFERROR(--SUBSTITUTE(SUBSTITUTE(TRIM(INDEX(INDIRECT("'Выгрузка'!A2016:Z2016"),Настройки!$B$7)),",","."),".",MID(1/2,2,1)),"")</f>
        <v/>
      </c>
      <c r="B2016">
        <f>IFERROR(--SUBSTITUTE(SUBSTITUTE(TRIM(INDEX(INDIRECT("'Выгрузка'!A2016:Z2016"),Настройки!$B$9)),",","."),".",MID(1/2,2,1)),"")</f>
        <v/>
      </c>
      <c r="C2016">
        <f>TRIM(INDEX(INDIRECT("'Выгрузка'!A2016:Z2016"),Настройки!$B$8)&amp;"")</f>
        <v/>
      </c>
      <c r="D2016">
        <f>IFERROR(--SUBSTITUTE(SUBSTITUTE(TRIM(INDEX(INDIRECT("'Выгрузка'!A2016:Z2016"),Настройки!$B$10)),",","."),".",MID(1/2,2,1)),"")</f>
        <v/>
      </c>
      <c r="E2016">
        <f>IFERROR(--SUBSTITUTE(SUBSTITUTE(TRIM(INDEX(INDIRECT("'Выгрузка'!A2016:Z2016"),Настройки!$B$11)),",","."),".",MID(1/2,2,1)),"")</f>
        <v/>
      </c>
      <c r="F2016">
        <f>TRIM(INDEX(INDIRECT("'Выгрузка'!A2016:Z2016"),Настройки!$B$12)&amp;"")</f>
        <v/>
      </c>
      <c r="G2016">
        <f>IF(F2016="",0,IF(TRIM(INDEX(INDIRECT("'Выгрузка'!A2016:Z2016"),Настройки!$B$13)&amp;"")="",1,IFERROR(--SUBSTITUTE(SUBSTITUTE(TRIM(INDEX(INDIRECT("'Выгрузка'!A2016:Z2016"),Настройки!$B$13)),",","."),".",MID(1/2,2,1)),"")))</f>
        <v/>
      </c>
      <c r="H2016">
        <f>IF(F2016="",0,IF(COUNTIF(Настройки!$B$17:$B$26,F2016)&gt;0,1,IF(COUNTIF(Настройки!$C$17:$C$26,F2016)&gt;0,2,IF(COUNTIF(Настройки!$D$17:$D$26,F2016)&gt;0,3,0))))</f>
        <v/>
      </c>
      <c r="I2016">
        <f>IF(AND(ISNUMBER(A2016),ISNUMBER(B2016)),A2016*1000+B2016,"")</f>
        <v/>
      </c>
      <c r="J2016">
        <f>IF(I2016="","",IF(COUNTIF(I$2:I2016,I2016)=1,MAX(J$1:J2015)+1,""))</f>
        <v/>
      </c>
    </row>
    <row r="2017">
      <c r="A2017">
        <f>IFERROR(--SUBSTITUTE(SUBSTITUTE(TRIM(INDEX(INDIRECT("'Выгрузка'!A2017:Z2017"),Настройки!$B$7)),",","."),".",MID(1/2,2,1)),"")</f>
        <v/>
      </c>
      <c r="B2017">
        <f>IFERROR(--SUBSTITUTE(SUBSTITUTE(TRIM(INDEX(INDIRECT("'Выгрузка'!A2017:Z2017"),Настройки!$B$9)),",","."),".",MID(1/2,2,1)),"")</f>
        <v/>
      </c>
      <c r="C2017">
        <f>TRIM(INDEX(INDIRECT("'Выгрузка'!A2017:Z2017"),Настройки!$B$8)&amp;"")</f>
        <v/>
      </c>
      <c r="D2017">
        <f>IFERROR(--SUBSTITUTE(SUBSTITUTE(TRIM(INDEX(INDIRECT("'Выгрузка'!A2017:Z2017"),Настройки!$B$10)),",","."),".",MID(1/2,2,1)),"")</f>
        <v/>
      </c>
      <c r="E2017">
        <f>IFERROR(--SUBSTITUTE(SUBSTITUTE(TRIM(INDEX(INDIRECT("'Выгрузка'!A2017:Z2017"),Настройки!$B$11)),",","."),".",MID(1/2,2,1)),"")</f>
        <v/>
      </c>
      <c r="F2017">
        <f>TRIM(INDEX(INDIRECT("'Выгрузка'!A2017:Z2017"),Настройки!$B$12)&amp;"")</f>
        <v/>
      </c>
      <c r="G2017">
        <f>IF(F2017="",0,IF(TRIM(INDEX(INDIRECT("'Выгрузка'!A2017:Z2017"),Настройки!$B$13)&amp;"")="",1,IFERROR(--SUBSTITUTE(SUBSTITUTE(TRIM(INDEX(INDIRECT("'Выгрузка'!A2017:Z2017"),Настройки!$B$13)),",","."),".",MID(1/2,2,1)),"")))</f>
        <v/>
      </c>
      <c r="H2017">
        <f>IF(F2017="",0,IF(COUNTIF(Настройки!$B$17:$B$26,F2017)&gt;0,1,IF(COUNTIF(Настройки!$C$17:$C$26,F2017)&gt;0,2,IF(COUNTIF(Настройки!$D$17:$D$26,F2017)&gt;0,3,0))))</f>
        <v/>
      </c>
      <c r="I2017">
        <f>IF(AND(ISNUMBER(A2017),ISNUMBER(B2017)),A2017*1000+B2017,"")</f>
        <v/>
      </c>
      <c r="J2017">
        <f>IF(I2017="","",IF(COUNTIF(I$2:I2017,I2017)=1,MAX(J$1:J2016)+1,""))</f>
        <v/>
      </c>
    </row>
    <row r="2018">
      <c r="A2018">
        <f>IFERROR(--SUBSTITUTE(SUBSTITUTE(TRIM(INDEX(INDIRECT("'Выгрузка'!A2018:Z2018"),Настройки!$B$7)),",","."),".",MID(1/2,2,1)),"")</f>
        <v/>
      </c>
      <c r="B2018">
        <f>IFERROR(--SUBSTITUTE(SUBSTITUTE(TRIM(INDEX(INDIRECT("'Выгрузка'!A2018:Z2018"),Настройки!$B$9)),",","."),".",MID(1/2,2,1)),"")</f>
        <v/>
      </c>
      <c r="C2018">
        <f>TRIM(INDEX(INDIRECT("'Выгрузка'!A2018:Z2018"),Настройки!$B$8)&amp;"")</f>
        <v/>
      </c>
      <c r="D2018">
        <f>IFERROR(--SUBSTITUTE(SUBSTITUTE(TRIM(INDEX(INDIRECT("'Выгрузка'!A2018:Z2018"),Настройки!$B$10)),",","."),".",MID(1/2,2,1)),"")</f>
        <v/>
      </c>
      <c r="E2018">
        <f>IFERROR(--SUBSTITUTE(SUBSTITUTE(TRIM(INDEX(INDIRECT("'Выгрузка'!A2018:Z2018"),Настройки!$B$11)),",","."),".",MID(1/2,2,1)),"")</f>
        <v/>
      </c>
      <c r="F2018">
        <f>TRIM(INDEX(INDIRECT("'Выгрузка'!A2018:Z2018"),Настройки!$B$12)&amp;"")</f>
        <v/>
      </c>
      <c r="G2018">
        <f>IF(F2018="",0,IF(TRIM(INDEX(INDIRECT("'Выгрузка'!A2018:Z2018"),Настройки!$B$13)&amp;"")="",1,IFERROR(--SUBSTITUTE(SUBSTITUTE(TRIM(INDEX(INDIRECT("'Выгрузка'!A2018:Z2018"),Настройки!$B$13)),",","."),".",MID(1/2,2,1)),"")))</f>
        <v/>
      </c>
      <c r="H2018">
        <f>IF(F2018="",0,IF(COUNTIF(Настройки!$B$17:$B$26,F2018)&gt;0,1,IF(COUNTIF(Настройки!$C$17:$C$26,F2018)&gt;0,2,IF(COUNTIF(Настройки!$D$17:$D$26,F2018)&gt;0,3,0))))</f>
        <v/>
      </c>
      <c r="I2018">
        <f>IF(AND(ISNUMBER(A2018),ISNUMBER(B2018)),A2018*1000+B2018,"")</f>
        <v/>
      </c>
      <c r="J2018">
        <f>IF(I2018="","",IF(COUNTIF(I$2:I2018,I2018)=1,MAX(J$1:J2017)+1,""))</f>
        <v/>
      </c>
    </row>
    <row r="2019">
      <c r="A2019">
        <f>IFERROR(--SUBSTITUTE(SUBSTITUTE(TRIM(INDEX(INDIRECT("'Выгрузка'!A2019:Z2019"),Настройки!$B$7)),",","."),".",MID(1/2,2,1)),"")</f>
        <v/>
      </c>
      <c r="B2019">
        <f>IFERROR(--SUBSTITUTE(SUBSTITUTE(TRIM(INDEX(INDIRECT("'Выгрузка'!A2019:Z2019"),Настройки!$B$9)),",","."),".",MID(1/2,2,1)),"")</f>
        <v/>
      </c>
      <c r="C2019">
        <f>TRIM(INDEX(INDIRECT("'Выгрузка'!A2019:Z2019"),Настройки!$B$8)&amp;"")</f>
        <v/>
      </c>
      <c r="D2019">
        <f>IFERROR(--SUBSTITUTE(SUBSTITUTE(TRIM(INDEX(INDIRECT("'Выгрузка'!A2019:Z2019"),Настройки!$B$10)),",","."),".",MID(1/2,2,1)),"")</f>
        <v/>
      </c>
      <c r="E2019">
        <f>IFERROR(--SUBSTITUTE(SUBSTITUTE(TRIM(INDEX(INDIRECT("'Выгрузка'!A2019:Z2019"),Настройки!$B$11)),",","."),".",MID(1/2,2,1)),"")</f>
        <v/>
      </c>
      <c r="F2019">
        <f>TRIM(INDEX(INDIRECT("'Выгрузка'!A2019:Z2019"),Настройки!$B$12)&amp;"")</f>
        <v/>
      </c>
      <c r="G2019">
        <f>IF(F2019="",0,IF(TRIM(INDEX(INDIRECT("'Выгрузка'!A2019:Z2019"),Настройки!$B$13)&amp;"")="",1,IFERROR(--SUBSTITUTE(SUBSTITUTE(TRIM(INDEX(INDIRECT("'Выгрузка'!A2019:Z2019"),Настройки!$B$13)),",","."),".",MID(1/2,2,1)),"")))</f>
        <v/>
      </c>
      <c r="H2019">
        <f>IF(F2019="",0,IF(COUNTIF(Настройки!$B$17:$B$26,F2019)&gt;0,1,IF(COUNTIF(Настройки!$C$17:$C$26,F2019)&gt;0,2,IF(COUNTIF(Настройки!$D$17:$D$26,F2019)&gt;0,3,0))))</f>
        <v/>
      </c>
      <c r="I2019">
        <f>IF(AND(ISNUMBER(A2019),ISNUMBER(B2019)),A2019*1000+B2019,"")</f>
        <v/>
      </c>
      <c r="J2019">
        <f>IF(I2019="","",IF(COUNTIF(I$2:I2019,I2019)=1,MAX(J$1:J2018)+1,""))</f>
        <v/>
      </c>
    </row>
    <row r="2020">
      <c r="A2020">
        <f>IFERROR(--SUBSTITUTE(SUBSTITUTE(TRIM(INDEX(INDIRECT("'Выгрузка'!A2020:Z2020"),Настройки!$B$7)),",","."),".",MID(1/2,2,1)),"")</f>
        <v/>
      </c>
      <c r="B2020">
        <f>IFERROR(--SUBSTITUTE(SUBSTITUTE(TRIM(INDEX(INDIRECT("'Выгрузка'!A2020:Z2020"),Настройки!$B$9)),",","."),".",MID(1/2,2,1)),"")</f>
        <v/>
      </c>
      <c r="C2020">
        <f>TRIM(INDEX(INDIRECT("'Выгрузка'!A2020:Z2020"),Настройки!$B$8)&amp;"")</f>
        <v/>
      </c>
      <c r="D2020">
        <f>IFERROR(--SUBSTITUTE(SUBSTITUTE(TRIM(INDEX(INDIRECT("'Выгрузка'!A2020:Z2020"),Настройки!$B$10)),",","."),".",MID(1/2,2,1)),"")</f>
        <v/>
      </c>
      <c r="E2020">
        <f>IFERROR(--SUBSTITUTE(SUBSTITUTE(TRIM(INDEX(INDIRECT("'Выгрузка'!A2020:Z2020"),Настройки!$B$11)),",","."),".",MID(1/2,2,1)),"")</f>
        <v/>
      </c>
      <c r="F2020">
        <f>TRIM(INDEX(INDIRECT("'Выгрузка'!A2020:Z2020"),Настройки!$B$12)&amp;"")</f>
        <v/>
      </c>
      <c r="G2020">
        <f>IF(F2020="",0,IF(TRIM(INDEX(INDIRECT("'Выгрузка'!A2020:Z2020"),Настройки!$B$13)&amp;"")="",1,IFERROR(--SUBSTITUTE(SUBSTITUTE(TRIM(INDEX(INDIRECT("'Выгрузка'!A2020:Z2020"),Настройки!$B$13)),",","."),".",MID(1/2,2,1)),"")))</f>
        <v/>
      </c>
      <c r="H2020">
        <f>IF(F2020="",0,IF(COUNTIF(Настройки!$B$17:$B$26,F2020)&gt;0,1,IF(COUNTIF(Настройки!$C$17:$C$26,F2020)&gt;0,2,IF(COUNTIF(Настройки!$D$17:$D$26,F2020)&gt;0,3,0))))</f>
        <v/>
      </c>
      <c r="I2020">
        <f>IF(AND(ISNUMBER(A2020),ISNUMBER(B2020)),A2020*1000+B2020,"")</f>
        <v/>
      </c>
      <c r="J2020">
        <f>IF(I2020="","",IF(COUNTIF(I$2:I2020,I2020)=1,MAX(J$1:J2019)+1,""))</f>
        <v/>
      </c>
    </row>
    <row r="2021">
      <c r="A2021">
        <f>IFERROR(--SUBSTITUTE(SUBSTITUTE(TRIM(INDEX(INDIRECT("'Выгрузка'!A2021:Z2021"),Настройки!$B$7)),",","."),".",MID(1/2,2,1)),"")</f>
        <v/>
      </c>
      <c r="B2021">
        <f>IFERROR(--SUBSTITUTE(SUBSTITUTE(TRIM(INDEX(INDIRECT("'Выгрузка'!A2021:Z2021"),Настройки!$B$9)),",","."),".",MID(1/2,2,1)),"")</f>
        <v/>
      </c>
      <c r="C2021">
        <f>TRIM(INDEX(INDIRECT("'Выгрузка'!A2021:Z2021"),Настройки!$B$8)&amp;"")</f>
        <v/>
      </c>
      <c r="D2021">
        <f>IFERROR(--SUBSTITUTE(SUBSTITUTE(TRIM(INDEX(INDIRECT("'Выгрузка'!A2021:Z2021"),Настройки!$B$10)),",","."),".",MID(1/2,2,1)),"")</f>
        <v/>
      </c>
      <c r="E2021">
        <f>IFERROR(--SUBSTITUTE(SUBSTITUTE(TRIM(INDEX(INDIRECT("'Выгрузка'!A2021:Z2021"),Настройки!$B$11)),",","."),".",MID(1/2,2,1)),"")</f>
        <v/>
      </c>
      <c r="F2021">
        <f>TRIM(INDEX(INDIRECT("'Выгрузка'!A2021:Z2021"),Настройки!$B$12)&amp;"")</f>
        <v/>
      </c>
      <c r="G2021">
        <f>IF(F2021="",0,IF(TRIM(INDEX(INDIRECT("'Выгрузка'!A2021:Z2021"),Настройки!$B$13)&amp;"")="",1,IFERROR(--SUBSTITUTE(SUBSTITUTE(TRIM(INDEX(INDIRECT("'Выгрузка'!A2021:Z2021"),Настройки!$B$13)),",","."),".",MID(1/2,2,1)),"")))</f>
        <v/>
      </c>
      <c r="H2021">
        <f>IF(F2021="",0,IF(COUNTIF(Настройки!$B$17:$B$26,F2021)&gt;0,1,IF(COUNTIF(Настройки!$C$17:$C$26,F2021)&gt;0,2,IF(COUNTIF(Настройки!$D$17:$D$26,F2021)&gt;0,3,0))))</f>
        <v/>
      </c>
      <c r="I2021">
        <f>IF(AND(ISNUMBER(A2021),ISNUMBER(B2021)),A2021*1000+B2021,"")</f>
        <v/>
      </c>
      <c r="J2021">
        <f>IF(I2021="","",IF(COUNTIF(I$2:I2021,I2021)=1,MAX(J$1:J2020)+1,""))</f>
        <v/>
      </c>
    </row>
    <row r="2022">
      <c r="A2022">
        <f>IFERROR(--SUBSTITUTE(SUBSTITUTE(TRIM(INDEX(INDIRECT("'Выгрузка'!A2022:Z2022"),Настройки!$B$7)),",","."),".",MID(1/2,2,1)),"")</f>
        <v/>
      </c>
      <c r="B2022">
        <f>IFERROR(--SUBSTITUTE(SUBSTITUTE(TRIM(INDEX(INDIRECT("'Выгрузка'!A2022:Z2022"),Настройки!$B$9)),",","."),".",MID(1/2,2,1)),"")</f>
        <v/>
      </c>
      <c r="C2022">
        <f>TRIM(INDEX(INDIRECT("'Выгрузка'!A2022:Z2022"),Настройки!$B$8)&amp;"")</f>
        <v/>
      </c>
      <c r="D2022">
        <f>IFERROR(--SUBSTITUTE(SUBSTITUTE(TRIM(INDEX(INDIRECT("'Выгрузка'!A2022:Z2022"),Настройки!$B$10)),",","."),".",MID(1/2,2,1)),"")</f>
        <v/>
      </c>
      <c r="E2022">
        <f>IFERROR(--SUBSTITUTE(SUBSTITUTE(TRIM(INDEX(INDIRECT("'Выгрузка'!A2022:Z2022"),Настройки!$B$11)),",","."),".",MID(1/2,2,1)),"")</f>
        <v/>
      </c>
      <c r="F2022">
        <f>TRIM(INDEX(INDIRECT("'Выгрузка'!A2022:Z2022"),Настройки!$B$12)&amp;"")</f>
        <v/>
      </c>
      <c r="G2022">
        <f>IF(F2022="",0,IF(TRIM(INDEX(INDIRECT("'Выгрузка'!A2022:Z2022"),Настройки!$B$13)&amp;"")="",1,IFERROR(--SUBSTITUTE(SUBSTITUTE(TRIM(INDEX(INDIRECT("'Выгрузка'!A2022:Z2022"),Настройки!$B$13)),",","."),".",MID(1/2,2,1)),"")))</f>
        <v/>
      </c>
      <c r="H2022">
        <f>IF(F2022="",0,IF(COUNTIF(Настройки!$B$17:$B$26,F2022)&gt;0,1,IF(COUNTIF(Настройки!$C$17:$C$26,F2022)&gt;0,2,IF(COUNTIF(Настройки!$D$17:$D$26,F2022)&gt;0,3,0))))</f>
        <v/>
      </c>
      <c r="I2022">
        <f>IF(AND(ISNUMBER(A2022),ISNUMBER(B2022)),A2022*1000+B2022,"")</f>
        <v/>
      </c>
      <c r="J2022">
        <f>IF(I2022="","",IF(COUNTIF(I$2:I2022,I2022)=1,MAX(J$1:J2021)+1,""))</f>
        <v/>
      </c>
    </row>
    <row r="2023">
      <c r="A2023">
        <f>IFERROR(--SUBSTITUTE(SUBSTITUTE(TRIM(INDEX(INDIRECT("'Выгрузка'!A2023:Z2023"),Настройки!$B$7)),",","."),".",MID(1/2,2,1)),"")</f>
        <v/>
      </c>
      <c r="B2023">
        <f>IFERROR(--SUBSTITUTE(SUBSTITUTE(TRIM(INDEX(INDIRECT("'Выгрузка'!A2023:Z2023"),Настройки!$B$9)),",","."),".",MID(1/2,2,1)),"")</f>
        <v/>
      </c>
      <c r="C2023">
        <f>TRIM(INDEX(INDIRECT("'Выгрузка'!A2023:Z2023"),Настройки!$B$8)&amp;"")</f>
        <v/>
      </c>
      <c r="D2023">
        <f>IFERROR(--SUBSTITUTE(SUBSTITUTE(TRIM(INDEX(INDIRECT("'Выгрузка'!A2023:Z2023"),Настройки!$B$10)),",","."),".",MID(1/2,2,1)),"")</f>
        <v/>
      </c>
      <c r="E2023">
        <f>IFERROR(--SUBSTITUTE(SUBSTITUTE(TRIM(INDEX(INDIRECT("'Выгрузка'!A2023:Z2023"),Настройки!$B$11)),",","."),".",MID(1/2,2,1)),"")</f>
        <v/>
      </c>
      <c r="F2023">
        <f>TRIM(INDEX(INDIRECT("'Выгрузка'!A2023:Z2023"),Настройки!$B$12)&amp;"")</f>
        <v/>
      </c>
      <c r="G2023">
        <f>IF(F2023="",0,IF(TRIM(INDEX(INDIRECT("'Выгрузка'!A2023:Z2023"),Настройки!$B$13)&amp;"")="",1,IFERROR(--SUBSTITUTE(SUBSTITUTE(TRIM(INDEX(INDIRECT("'Выгрузка'!A2023:Z2023"),Настройки!$B$13)),",","."),".",MID(1/2,2,1)),"")))</f>
        <v/>
      </c>
      <c r="H2023">
        <f>IF(F2023="",0,IF(COUNTIF(Настройки!$B$17:$B$26,F2023)&gt;0,1,IF(COUNTIF(Настройки!$C$17:$C$26,F2023)&gt;0,2,IF(COUNTIF(Настройки!$D$17:$D$26,F2023)&gt;0,3,0))))</f>
        <v/>
      </c>
      <c r="I2023">
        <f>IF(AND(ISNUMBER(A2023),ISNUMBER(B2023)),A2023*1000+B2023,"")</f>
        <v/>
      </c>
      <c r="J2023">
        <f>IF(I2023="","",IF(COUNTIF(I$2:I2023,I2023)=1,MAX(J$1:J2022)+1,""))</f>
        <v/>
      </c>
    </row>
    <row r="2024">
      <c r="A2024">
        <f>IFERROR(--SUBSTITUTE(SUBSTITUTE(TRIM(INDEX(INDIRECT("'Выгрузка'!A2024:Z2024"),Настройки!$B$7)),",","."),".",MID(1/2,2,1)),"")</f>
        <v/>
      </c>
      <c r="B2024">
        <f>IFERROR(--SUBSTITUTE(SUBSTITUTE(TRIM(INDEX(INDIRECT("'Выгрузка'!A2024:Z2024"),Настройки!$B$9)),",","."),".",MID(1/2,2,1)),"")</f>
        <v/>
      </c>
      <c r="C2024">
        <f>TRIM(INDEX(INDIRECT("'Выгрузка'!A2024:Z2024"),Настройки!$B$8)&amp;"")</f>
        <v/>
      </c>
      <c r="D2024">
        <f>IFERROR(--SUBSTITUTE(SUBSTITUTE(TRIM(INDEX(INDIRECT("'Выгрузка'!A2024:Z2024"),Настройки!$B$10)),",","."),".",MID(1/2,2,1)),"")</f>
        <v/>
      </c>
      <c r="E2024">
        <f>IFERROR(--SUBSTITUTE(SUBSTITUTE(TRIM(INDEX(INDIRECT("'Выгрузка'!A2024:Z2024"),Настройки!$B$11)),",","."),".",MID(1/2,2,1)),"")</f>
        <v/>
      </c>
      <c r="F2024">
        <f>TRIM(INDEX(INDIRECT("'Выгрузка'!A2024:Z2024"),Настройки!$B$12)&amp;"")</f>
        <v/>
      </c>
      <c r="G2024">
        <f>IF(F2024="",0,IF(TRIM(INDEX(INDIRECT("'Выгрузка'!A2024:Z2024"),Настройки!$B$13)&amp;"")="",1,IFERROR(--SUBSTITUTE(SUBSTITUTE(TRIM(INDEX(INDIRECT("'Выгрузка'!A2024:Z2024"),Настройки!$B$13)),",","."),".",MID(1/2,2,1)),"")))</f>
        <v/>
      </c>
      <c r="H2024">
        <f>IF(F2024="",0,IF(COUNTIF(Настройки!$B$17:$B$26,F2024)&gt;0,1,IF(COUNTIF(Настройки!$C$17:$C$26,F2024)&gt;0,2,IF(COUNTIF(Настройки!$D$17:$D$26,F2024)&gt;0,3,0))))</f>
        <v/>
      </c>
      <c r="I2024">
        <f>IF(AND(ISNUMBER(A2024),ISNUMBER(B2024)),A2024*1000+B2024,"")</f>
        <v/>
      </c>
      <c r="J2024">
        <f>IF(I2024="","",IF(COUNTIF(I$2:I2024,I2024)=1,MAX(J$1:J2023)+1,""))</f>
        <v/>
      </c>
    </row>
    <row r="2025">
      <c r="A2025">
        <f>IFERROR(--SUBSTITUTE(SUBSTITUTE(TRIM(INDEX(INDIRECT("'Выгрузка'!A2025:Z2025"),Настройки!$B$7)),",","."),".",MID(1/2,2,1)),"")</f>
        <v/>
      </c>
      <c r="B2025">
        <f>IFERROR(--SUBSTITUTE(SUBSTITUTE(TRIM(INDEX(INDIRECT("'Выгрузка'!A2025:Z2025"),Настройки!$B$9)),",","."),".",MID(1/2,2,1)),"")</f>
        <v/>
      </c>
      <c r="C2025">
        <f>TRIM(INDEX(INDIRECT("'Выгрузка'!A2025:Z2025"),Настройки!$B$8)&amp;"")</f>
        <v/>
      </c>
      <c r="D2025">
        <f>IFERROR(--SUBSTITUTE(SUBSTITUTE(TRIM(INDEX(INDIRECT("'Выгрузка'!A2025:Z2025"),Настройки!$B$10)),",","."),".",MID(1/2,2,1)),"")</f>
        <v/>
      </c>
      <c r="E2025">
        <f>IFERROR(--SUBSTITUTE(SUBSTITUTE(TRIM(INDEX(INDIRECT("'Выгрузка'!A2025:Z2025"),Настройки!$B$11)),",","."),".",MID(1/2,2,1)),"")</f>
        <v/>
      </c>
      <c r="F2025">
        <f>TRIM(INDEX(INDIRECT("'Выгрузка'!A2025:Z2025"),Настройки!$B$12)&amp;"")</f>
        <v/>
      </c>
      <c r="G2025">
        <f>IF(F2025="",0,IF(TRIM(INDEX(INDIRECT("'Выгрузка'!A2025:Z2025"),Настройки!$B$13)&amp;"")="",1,IFERROR(--SUBSTITUTE(SUBSTITUTE(TRIM(INDEX(INDIRECT("'Выгрузка'!A2025:Z2025"),Настройки!$B$13)),",","."),".",MID(1/2,2,1)),"")))</f>
        <v/>
      </c>
      <c r="H2025">
        <f>IF(F2025="",0,IF(COUNTIF(Настройки!$B$17:$B$26,F2025)&gt;0,1,IF(COUNTIF(Настройки!$C$17:$C$26,F2025)&gt;0,2,IF(COUNTIF(Настройки!$D$17:$D$26,F2025)&gt;0,3,0))))</f>
        <v/>
      </c>
      <c r="I2025">
        <f>IF(AND(ISNUMBER(A2025),ISNUMBER(B2025)),A2025*1000+B2025,"")</f>
        <v/>
      </c>
      <c r="J2025">
        <f>IF(I2025="","",IF(COUNTIF(I$2:I2025,I2025)=1,MAX(J$1:J2024)+1,""))</f>
        <v/>
      </c>
    </row>
    <row r="2026">
      <c r="A2026">
        <f>IFERROR(--SUBSTITUTE(SUBSTITUTE(TRIM(INDEX(INDIRECT("'Выгрузка'!A2026:Z2026"),Настройки!$B$7)),",","."),".",MID(1/2,2,1)),"")</f>
        <v/>
      </c>
      <c r="B2026">
        <f>IFERROR(--SUBSTITUTE(SUBSTITUTE(TRIM(INDEX(INDIRECT("'Выгрузка'!A2026:Z2026"),Настройки!$B$9)),",","."),".",MID(1/2,2,1)),"")</f>
        <v/>
      </c>
      <c r="C2026">
        <f>TRIM(INDEX(INDIRECT("'Выгрузка'!A2026:Z2026"),Настройки!$B$8)&amp;"")</f>
        <v/>
      </c>
      <c r="D2026">
        <f>IFERROR(--SUBSTITUTE(SUBSTITUTE(TRIM(INDEX(INDIRECT("'Выгрузка'!A2026:Z2026"),Настройки!$B$10)),",","."),".",MID(1/2,2,1)),"")</f>
        <v/>
      </c>
      <c r="E2026">
        <f>IFERROR(--SUBSTITUTE(SUBSTITUTE(TRIM(INDEX(INDIRECT("'Выгрузка'!A2026:Z2026"),Настройки!$B$11)),",","."),".",MID(1/2,2,1)),"")</f>
        <v/>
      </c>
      <c r="F2026">
        <f>TRIM(INDEX(INDIRECT("'Выгрузка'!A2026:Z2026"),Настройки!$B$12)&amp;"")</f>
        <v/>
      </c>
      <c r="G2026">
        <f>IF(F2026="",0,IF(TRIM(INDEX(INDIRECT("'Выгрузка'!A2026:Z2026"),Настройки!$B$13)&amp;"")="",1,IFERROR(--SUBSTITUTE(SUBSTITUTE(TRIM(INDEX(INDIRECT("'Выгрузка'!A2026:Z2026"),Настройки!$B$13)),",","."),".",MID(1/2,2,1)),"")))</f>
        <v/>
      </c>
      <c r="H2026">
        <f>IF(F2026="",0,IF(COUNTIF(Настройки!$B$17:$B$26,F2026)&gt;0,1,IF(COUNTIF(Настройки!$C$17:$C$26,F2026)&gt;0,2,IF(COUNTIF(Настройки!$D$17:$D$26,F2026)&gt;0,3,0))))</f>
        <v/>
      </c>
      <c r="I2026">
        <f>IF(AND(ISNUMBER(A2026),ISNUMBER(B2026)),A2026*1000+B2026,"")</f>
        <v/>
      </c>
      <c r="J2026">
        <f>IF(I2026="","",IF(COUNTIF(I$2:I2026,I2026)=1,MAX(J$1:J2025)+1,""))</f>
        <v/>
      </c>
    </row>
    <row r="2027">
      <c r="A2027">
        <f>IFERROR(--SUBSTITUTE(SUBSTITUTE(TRIM(INDEX(INDIRECT("'Выгрузка'!A2027:Z2027"),Настройки!$B$7)),",","."),".",MID(1/2,2,1)),"")</f>
        <v/>
      </c>
      <c r="B2027">
        <f>IFERROR(--SUBSTITUTE(SUBSTITUTE(TRIM(INDEX(INDIRECT("'Выгрузка'!A2027:Z2027"),Настройки!$B$9)),",","."),".",MID(1/2,2,1)),"")</f>
        <v/>
      </c>
      <c r="C2027">
        <f>TRIM(INDEX(INDIRECT("'Выгрузка'!A2027:Z2027"),Настройки!$B$8)&amp;"")</f>
        <v/>
      </c>
      <c r="D2027">
        <f>IFERROR(--SUBSTITUTE(SUBSTITUTE(TRIM(INDEX(INDIRECT("'Выгрузка'!A2027:Z2027"),Настройки!$B$10)),",","."),".",MID(1/2,2,1)),"")</f>
        <v/>
      </c>
      <c r="E2027">
        <f>IFERROR(--SUBSTITUTE(SUBSTITUTE(TRIM(INDEX(INDIRECT("'Выгрузка'!A2027:Z2027"),Настройки!$B$11)),",","."),".",MID(1/2,2,1)),"")</f>
        <v/>
      </c>
      <c r="F2027">
        <f>TRIM(INDEX(INDIRECT("'Выгрузка'!A2027:Z2027"),Настройки!$B$12)&amp;"")</f>
        <v/>
      </c>
      <c r="G2027">
        <f>IF(F2027="",0,IF(TRIM(INDEX(INDIRECT("'Выгрузка'!A2027:Z2027"),Настройки!$B$13)&amp;"")="",1,IFERROR(--SUBSTITUTE(SUBSTITUTE(TRIM(INDEX(INDIRECT("'Выгрузка'!A2027:Z2027"),Настройки!$B$13)),",","."),".",MID(1/2,2,1)),"")))</f>
        <v/>
      </c>
      <c r="H2027">
        <f>IF(F2027="",0,IF(COUNTIF(Настройки!$B$17:$B$26,F2027)&gt;0,1,IF(COUNTIF(Настройки!$C$17:$C$26,F2027)&gt;0,2,IF(COUNTIF(Настройки!$D$17:$D$26,F2027)&gt;0,3,0))))</f>
        <v/>
      </c>
      <c r="I2027">
        <f>IF(AND(ISNUMBER(A2027),ISNUMBER(B2027)),A2027*1000+B2027,"")</f>
        <v/>
      </c>
      <c r="J2027">
        <f>IF(I2027="","",IF(COUNTIF(I$2:I2027,I2027)=1,MAX(J$1:J2026)+1,""))</f>
        <v/>
      </c>
    </row>
    <row r="2028">
      <c r="A2028">
        <f>IFERROR(--SUBSTITUTE(SUBSTITUTE(TRIM(INDEX(INDIRECT("'Выгрузка'!A2028:Z2028"),Настройки!$B$7)),",","."),".",MID(1/2,2,1)),"")</f>
        <v/>
      </c>
      <c r="B2028">
        <f>IFERROR(--SUBSTITUTE(SUBSTITUTE(TRIM(INDEX(INDIRECT("'Выгрузка'!A2028:Z2028"),Настройки!$B$9)),",","."),".",MID(1/2,2,1)),"")</f>
        <v/>
      </c>
      <c r="C2028">
        <f>TRIM(INDEX(INDIRECT("'Выгрузка'!A2028:Z2028"),Настройки!$B$8)&amp;"")</f>
        <v/>
      </c>
      <c r="D2028">
        <f>IFERROR(--SUBSTITUTE(SUBSTITUTE(TRIM(INDEX(INDIRECT("'Выгрузка'!A2028:Z2028"),Настройки!$B$10)),",","."),".",MID(1/2,2,1)),"")</f>
        <v/>
      </c>
      <c r="E2028">
        <f>IFERROR(--SUBSTITUTE(SUBSTITUTE(TRIM(INDEX(INDIRECT("'Выгрузка'!A2028:Z2028"),Настройки!$B$11)),",","."),".",MID(1/2,2,1)),"")</f>
        <v/>
      </c>
      <c r="F2028">
        <f>TRIM(INDEX(INDIRECT("'Выгрузка'!A2028:Z2028"),Настройки!$B$12)&amp;"")</f>
        <v/>
      </c>
      <c r="G2028">
        <f>IF(F2028="",0,IF(TRIM(INDEX(INDIRECT("'Выгрузка'!A2028:Z2028"),Настройки!$B$13)&amp;"")="",1,IFERROR(--SUBSTITUTE(SUBSTITUTE(TRIM(INDEX(INDIRECT("'Выгрузка'!A2028:Z2028"),Настройки!$B$13)),",","."),".",MID(1/2,2,1)),"")))</f>
        <v/>
      </c>
      <c r="H2028">
        <f>IF(F2028="",0,IF(COUNTIF(Настройки!$B$17:$B$26,F2028)&gt;0,1,IF(COUNTIF(Настройки!$C$17:$C$26,F2028)&gt;0,2,IF(COUNTIF(Настройки!$D$17:$D$26,F2028)&gt;0,3,0))))</f>
        <v/>
      </c>
      <c r="I2028">
        <f>IF(AND(ISNUMBER(A2028),ISNUMBER(B2028)),A2028*1000+B2028,"")</f>
        <v/>
      </c>
      <c r="J2028">
        <f>IF(I2028="","",IF(COUNTIF(I$2:I2028,I2028)=1,MAX(J$1:J2027)+1,""))</f>
        <v/>
      </c>
    </row>
    <row r="2029">
      <c r="A2029">
        <f>IFERROR(--SUBSTITUTE(SUBSTITUTE(TRIM(INDEX(INDIRECT("'Выгрузка'!A2029:Z2029"),Настройки!$B$7)),",","."),".",MID(1/2,2,1)),"")</f>
        <v/>
      </c>
      <c r="B2029">
        <f>IFERROR(--SUBSTITUTE(SUBSTITUTE(TRIM(INDEX(INDIRECT("'Выгрузка'!A2029:Z2029"),Настройки!$B$9)),",","."),".",MID(1/2,2,1)),"")</f>
        <v/>
      </c>
      <c r="C2029">
        <f>TRIM(INDEX(INDIRECT("'Выгрузка'!A2029:Z2029"),Настройки!$B$8)&amp;"")</f>
        <v/>
      </c>
      <c r="D2029">
        <f>IFERROR(--SUBSTITUTE(SUBSTITUTE(TRIM(INDEX(INDIRECT("'Выгрузка'!A2029:Z2029"),Настройки!$B$10)),",","."),".",MID(1/2,2,1)),"")</f>
        <v/>
      </c>
      <c r="E2029">
        <f>IFERROR(--SUBSTITUTE(SUBSTITUTE(TRIM(INDEX(INDIRECT("'Выгрузка'!A2029:Z2029"),Настройки!$B$11)),",","."),".",MID(1/2,2,1)),"")</f>
        <v/>
      </c>
      <c r="F2029">
        <f>TRIM(INDEX(INDIRECT("'Выгрузка'!A2029:Z2029"),Настройки!$B$12)&amp;"")</f>
        <v/>
      </c>
      <c r="G2029">
        <f>IF(F2029="",0,IF(TRIM(INDEX(INDIRECT("'Выгрузка'!A2029:Z2029"),Настройки!$B$13)&amp;"")="",1,IFERROR(--SUBSTITUTE(SUBSTITUTE(TRIM(INDEX(INDIRECT("'Выгрузка'!A2029:Z2029"),Настройки!$B$13)),",","."),".",MID(1/2,2,1)),"")))</f>
        <v/>
      </c>
      <c r="H2029">
        <f>IF(F2029="",0,IF(COUNTIF(Настройки!$B$17:$B$26,F2029)&gt;0,1,IF(COUNTIF(Настройки!$C$17:$C$26,F2029)&gt;0,2,IF(COUNTIF(Настройки!$D$17:$D$26,F2029)&gt;0,3,0))))</f>
        <v/>
      </c>
      <c r="I2029">
        <f>IF(AND(ISNUMBER(A2029),ISNUMBER(B2029)),A2029*1000+B2029,"")</f>
        <v/>
      </c>
      <c r="J2029">
        <f>IF(I2029="","",IF(COUNTIF(I$2:I2029,I2029)=1,MAX(J$1:J2028)+1,""))</f>
        <v/>
      </c>
    </row>
    <row r="2030">
      <c r="A2030">
        <f>IFERROR(--SUBSTITUTE(SUBSTITUTE(TRIM(INDEX(INDIRECT("'Выгрузка'!A2030:Z2030"),Настройки!$B$7)),",","."),".",MID(1/2,2,1)),"")</f>
        <v/>
      </c>
      <c r="B2030">
        <f>IFERROR(--SUBSTITUTE(SUBSTITUTE(TRIM(INDEX(INDIRECT("'Выгрузка'!A2030:Z2030"),Настройки!$B$9)),",","."),".",MID(1/2,2,1)),"")</f>
        <v/>
      </c>
      <c r="C2030">
        <f>TRIM(INDEX(INDIRECT("'Выгрузка'!A2030:Z2030"),Настройки!$B$8)&amp;"")</f>
        <v/>
      </c>
      <c r="D2030">
        <f>IFERROR(--SUBSTITUTE(SUBSTITUTE(TRIM(INDEX(INDIRECT("'Выгрузка'!A2030:Z2030"),Настройки!$B$10)),",","."),".",MID(1/2,2,1)),"")</f>
        <v/>
      </c>
      <c r="E2030">
        <f>IFERROR(--SUBSTITUTE(SUBSTITUTE(TRIM(INDEX(INDIRECT("'Выгрузка'!A2030:Z2030"),Настройки!$B$11)),",","."),".",MID(1/2,2,1)),"")</f>
        <v/>
      </c>
      <c r="F2030">
        <f>TRIM(INDEX(INDIRECT("'Выгрузка'!A2030:Z2030"),Настройки!$B$12)&amp;"")</f>
        <v/>
      </c>
      <c r="G2030">
        <f>IF(F2030="",0,IF(TRIM(INDEX(INDIRECT("'Выгрузка'!A2030:Z2030"),Настройки!$B$13)&amp;"")="",1,IFERROR(--SUBSTITUTE(SUBSTITUTE(TRIM(INDEX(INDIRECT("'Выгрузка'!A2030:Z2030"),Настройки!$B$13)),",","."),".",MID(1/2,2,1)),"")))</f>
        <v/>
      </c>
      <c r="H2030">
        <f>IF(F2030="",0,IF(COUNTIF(Настройки!$B$17:$B$26,F2030)&gt;0,1,IF(COUNTIF(Настройки!$C$17:$C$26,F2030)&gt;0,2,IF(COUNTIF(Настройки!$D$17:$D$26,F2030)&gt;0,3,0))))</f>
        <v/>
      </c>
      <c r="I2030">
        <f>IF(AND(ISNUMBER(A2030),ISNUMBER(B2030)),A2030*1000+B2030,"")</f>
        <v/>
      </c>
      <c r="J2030">
        <f>IF(I2030="","",IF(COUNTIF(I$2:I2030,I2030)=1,MAX(J$1:J2029)+1,""))</f>
        <v/>
      </c>
    </row>
    <row r="2031">
      <c r="A2031">
        <f>IFERROR(--SUBSTITUTE(SUBSTITUTE(TRIM(INDEX(INDIRECT("'Выгрузка'!A2031:Z2031"),Настройки!$B$7)),",","."),".",MID(1/2,2,1)),"")</f>
        <v/>
      </c>
      <c r="B2031">
        <f>IFERROR(--SUBSTITUTE(SUBSTITUTE(TRIM(INDEX(INDIRECT("'Выгрузка'!A2031:Z2031"),Настройки!$B$9)),",","."),".",MID(1/2,2,1)),"")</f>
        <v/>
      </c>
      <c r="C2031">
        <f>TRIM(INDEX(INDIRECT("'Выгрузка'!A2031:Z2031"),Настройки!$B$8)&amp;"")</f>
        <v/>
      </c>
      <c r="D2031">
        <f>IFERROR(--SUBSTITUTE(SUBSTITUTE(TRIM(INDEX(INDIRECT("'Выгрузка'!A2031:Z2031"),Настройки!$B$10)),",","."),".",MID(1/2,2,1)),"")</f>
        <v/>
      </c>
      <c r="E2031">
        <f>IFERROR(--SUBSTITUTE(SUBSTITUTE(TRIM(INDEX(INDIRECT("'Выгрузка'!A2031:Z2031"),Настройки!$B$11)),",","."),".",MID(1/2,2,1)),"")</f>
        <v/>
      </c>
      <c r="F2031">
        <f>TRIM(INDEX(INDIRECT("'Выгрузка'!A2031:Z2031"),Настройки!$B$12)&amp;"")</f>
        <v/>
      </c>
      <c r="G2031">
        <f>IF(F2031="",0,IF(TRIM(INDEX(INDIRECT("'Выгрузка'!A2031:Z2031"),Настройки!$B$13)&amp;"")="",1,IFERROR(--SUBSTITUTE(SUBSTITUTE(TRIM(INDEX(INDIRECT("'Выгрузка'!A2031:Z2031"),Настройки!$B$13)),",","."),".",MID(1/2,2,1)),"")))</f>
        <v/>
      </c>
      <c r="H2031">
        <f>IF(F2031="",0,IF(COUNTIF(Настройки!$B$17:$B$26,F2031)&gt;0,1,IF(COUNTIF(Настройки!$C$17:$C$26,F2031)&gt;0,2,IF(COUNTIF(Настройки!$D$17:$D$26,F2031)&gt;0,3,0))))</f>
        <v/>
      </c>
      <c r="I2031">
        <f>IF(AND(ISNUMBER(A2031),ISNUMBER(B2031)),A2031*1000+B2031,"")</f>
        <v/>
      </c>
      <c r="J2031">
        <f>IF(I2031="","",IF(COUNTIF(I$2:I2031,I2031)=1,MAX(J$1:J2030)+1,""))</f>
        <v/>
      </c>
    </row>
    <row r="2032">
      <c r="A2032">
        <f>IFERROR(--SUBSTITUTE(SUBSTITUTE(TRIM(INDEX(INDIRECT("'Выгрузка'!A2032:Z2032"),Настройки!$B$7)),",","."),".",MID(1/2,2,1)),"")</f>
        <v/>
      </c>
      <c r="B2032">
        <f>IFERROR(--SUBSTITUTE(SUBSTITUTE(TRIM(INDEX(INDIRECT("'Выгрузка'!A2032:Z2032"),Настройки!$B$9)),",","."),".",MID(1/2,2,1)),"")</f>
        <v/>
      </c>
      <c r="C2032">
        <f>TRIM(INDEX(INDIRECT("'Выгрузка'!A2032:Z2032"),Настройки!$B$8)&amp;"")</f>
        <v/>
      </c>
      <c r="D2032">
        <f>IFERROR(--SUBSTITUTE(SUBSTITUTE(TRIM(INDEX(INDIRECT("'Выгрузка'!A2032:Z2032"),Настройки!$B$10)),",","."),".",MID(1/2,2,1)),"")</f>
        <v/>
      </c>
      <c r="E2032">
        <f>IFERROR(--SUBSTITUTE(SUBSTITUTE(TRIM(INDEX(INDIRECT("'Выгрузка'!A2032:Z2032"),Настройки!$B$11)),",","."),".",MID(1/2,2,1)),"")</f>
        <v/>
      </c>
      <c r="F2032">
        <f>TRIM(INDEX(INDIRECT("'Выгрузка'!A2032:Z2032"),Настройки!$B$12)&amp;"")</f>
        <v/>
      </c>
      <c r="G2032">
        <f>IF(F2032="",0,IF(TRIM(INDEX(INDIRECT("'Выгрузка'!A2032:Z2032"),Настройки!$B$13)&amp;"")="",1,IFERROR(--SUBSTITUTE(SUBSTITUTE(TRIM(INDEX(INDIRECT("'Выгрузка'!A2032:Z2032"),Настройки!$B$13)),",","."),".",MID(1/2,2,1)),"")))</f>
        <v/>
      </c>
      <c r="H2032">
        <f>IF(F2032="",0,IF(COUNTIF(Настройки!$B$17:$B$26,F2032)&gt;0,1,IF(COUNTIF(Настройки!$C$17:$C$26,F2032)&gt;0,2,IF(COUNTIF(Настройки!$D$17:$D$26,F2032)&gt;0,3,0))))</f>
        <v/>
      </c>
      <c r="I2032">
        <f>IF(AND(ISNUMBER(A2032),ISNUMBER(B2032)),A2032*1000+B2032,"")</f>
        <v/>
      </c>
      <c r="J2032">
        <f>IF(I2032="","",IF(COUNTIF(I$2:I2032,I2032)=1,MAX(J$1:J2031)+1,""))</f>
        <v/>
      </c>
    </row>
    <row r="2033">
      <c r="A2033">
        <f>IFERROR(--SUBSTITUTE(SUBSTITUTE(TRIM(INDEX(INDIRECT("'Выгрузка'!A2033:Z2033"),Настройки!$B$7)),",","."),".",MID(1/2,2,1)),"")</f>
        <v/>
      </c>
      <c r="B2033">
        <f>IFERROR(--SUBSTITUTE(SUBSTITUTE(TRIM(INDEX(INDIRECT("'Выгрузка'!A2033:Z2033"),Настройки!$B$9)),",","."),".",MID(1/2,2,1)),"")</f>
        <v/>
      </c>
      <c r="C2033">
        <f>TRIM(INDEX(INDIRECT("'Выгрузка'!A2033:Z2033"),Настройки!$B$8)&amp;"")</f>
        <v/>
      </c>
      <c r="D2033">
        <f>IFERROR(--SUBSTITUTE(SUBSTITUTE(TRIM(INDEX(INDIRECT("'Выгрузка'!A2033:Z2033"),Настройки!$B$10)),",","."),".",MID(1/2,2,1)),"")</f>
        <v/>
      </c>
      <c r="E2033">
        <f>IFERROR(--SUBSTITUTE(SUBSTITUTE(TRIM(INDEX(INDIRECT("'Выгрузка'!A2033:Z2033"),Настройки!$B$11)),",","."),".",MID(1/2,2,1)),"")</f>
        <v/>
      </c>
      <c r="F2033">
        <f>TRIM(INDEX(INDIRECT("'Выгрузка'!A2033:Z2033"),Настройки!$B$12)&amp;"")</f>
        <v/>
      </c>
      <c r="G2033">
        <f>IF(F2033="",0,IF(TRIM(INDEX(INDIRECT("'Выгрузка'!A2033:Z2033"),Настройки!$B$13)&amp;"")="",1,IFERROR(--SUBSTITUTE(SUBSTITUTE(TRIM(INDEX(INDIRECT("'Выгрузка'!A2033:Z2033"),Настройки!$B$13)),",","."),".",MID(1/2,2,1)),"")))</f>
        <v/>
      </c>
      <c r="H2033">
        <f>IF(F2033="",0,IF(COUNTIF(Настройки!$B$17:$B$26,F2033)&gt;0,1,IF(COUNTIF(Настройки!$C$17:$C$26,F2033)&gt;0,2,IF(COUNTIF(Настройки!$D$17:$D$26,F2033)&gt;0,3,0))))</f>
        <v/>
      </c>
      <c r="I2033">
        <f>IF(AND(ISNUMBER(A2033),ISNUMBER(B2033)),A2033*1000+B2033,"")</f>
        <v/>
      </c>
      <c r="J2033">
        <f>IF(I2033="","",IF(COUNTIF(I$2:I2033,I2033)=1,MAX(J$1:J2032)+1,""))</f>
        <v/>
      </c>
    </row>
    <row r="2034">
      <c r="A2034">
        <f>IFERROR(--SUBSTITUTE(SUBSTITUTE(TRIM(INDEX(INDIRECT("'Выгрузка'!A2034:Z2034"),Настройки!$B$7)),",","."),".",MID(1/2,2,1)),"")</f>
        <v/>
      </c>
      <c r="B2034">
        <f>IFERROR(--SUBSTITUTE(SUBSTITUTE(TRIM(INDEX(INDIRECT("'Выгрузка'!A2034:Z2034"),Настройки!$B$9)),",","."),".",MID(1/2,2,1)),"")</f>
        <v/>
      </c>
      <c r="C2034">
        <f>TRIM(INDEX(INDIRECT("'Выгрузка'!A2034:Z2034"),Настройки!$B$8)&amp;"")</f>
        <v/>
      </c>
      <c r="D2034">
        <f>IFERROR(--SUBSTITUTE(SUBSTITUTE(TRIM(INDEX(INDIRECT("'Выгрузка'!A2034:Z2034"),Настройки!$B$10)),",","."),".",MID(1/2,2,1)),"")</f>
        <v/>
      </c>
      <c r="E2034">
        <f>IFERROR(--SUBSTITUTE(SUBSTITUTE(TRIM(INDEX(INDIRECT("'Выгрузка'!A2034:Z2034"),Настройки!$B$11)),",","."),".",MID(1/2,2,1)),"")</f>
        <v/>
      </c>
      <c r="F2034">
        <f>TRIM(INDEX(INDIRECT("'Выгрузка'!A2034:Z2034"),Настройки!$B$12)&amp;"")</f>
        <v/>
      </c>
      <c r="G2034">
        <f>IF(F2034="",0,IF(TRIM(INDEX(INDIRECT("'Выгрузка'!A2034:Z2034"),Настройки!$B$13)&amp;"")="",1,IFERROR(--SUBSTITUTE(SUBSTITUTE(TRIM(INDEX(INDIRECT("'Выгрузка'!A2034:Z2034"),Настройки!$B$13)),",","."),".",MID(1/2,2,1)),"")))</f>
        <v/>
      </c>
      <c r="H2034">
        <f>IF(F2034="",0,IF(COUNTIF(Настройки!$B$17:$B$26,F2034)&gt;0,1,IF(COUNTIF(Настройки!$C$17:$C$26,F2034)&gt;0,2,IF(COUNTIF(Настройки!$D$17:$D$26,F2034)&gt;0,3,0))))</f>
        <v/>
      </c>
      <c r="I2034">
        <f>IF(AND(ISNUMBER(A2034),ISNUMBER(B2034)),A2034*1000+B2034,"")</f>
        <v/>
      </c>
      <c r="J2034">
        <f>IF(I2034="","",IF(COUNTIF(I$2:I2034,I2034)=1,MAX(J$1:J2033)+1,""))</f>
        <v/>
      </c>
    </row>
    <row r="2035">
      <c r="A2035">
        <f>IFERROR(--SUBSTITUTE(SUBSTITUTE(TRIM(INDEX(INDIRECT("'Выгрузка'!A2035:Z2035"),Настройки!$B$7)),",","."),".",MID(1/2,2,1)),"")</f>
        <v/>
      </c>
      <c r="B2035">
        <f>IFERROR(--SUBSTITUTE(SUBSTITUTE(TRIM(INDEX(INDIRECT("'Выгрузка'!A2035:Z2035"),Настройки!$B$9)),",","."),".",MID(1/2,2,1)),"")</f>
        <v/>
      </c>
      <c r="C2035">
        <f>TRIM(INDEX(INDIRECT("'Выгрузка'!A2035:Z2035"),Настройки!$B$8)&amp;"")</f>
        <v/>
      </c>
      <c r="D2035">
        <f>IFERROR(--SUBSTITUTE(SUBSTITUTE(TRIM(INDEX(INDIRECT("'Выгрузка'!A2035:Z2035"),Настройки!$B$10)),",","."),".",MID(1/2,2,1)),"")</f>
        <v/>
      </c>
      <c r="E2035">
        <f>IFERROR(--SUBSTITUTE(SUBSTITUTE(TRIM(INDEX(INDIRECT("'Выгрузка'!A2035:Z2035"),Настройки!$B$11)),",","."),".",MID(1/2,2,1)),"")</f>
        <v/>
      </c>
      <c r="F2035">
        <f>TRIM(INDEX(INDIRECT("'Выгрузка'!A2035:Z2035"),Настройки!$B$12)&amp;"")</f>
        <v/>
      </c>
      <c r="G2035">
        <f>IF(F2035="",0,IF(TRIM(INDEX(INDIRECT("'Выгрузка'!A2035:Z2035"),Настройки!$B$13)&amp;"")="",1,IFERROR(--SUBSTITUTE(SUBSTITUTE(TRIM(INDEX(INDIRECT("'Выгрузка'!A2035:Z2035"),Настройки!$B$13)),",","."),".",MID(1/2,2,1)),"")))</f>
        <v/>
      </c>
      <c r="H2035">
        <f>IF(F2035="",0,IF(COUNTIF(Настройки!$B$17:$B$26,F2035)&gt;0,1,IF(COUNTIF(Настройки!$C$17:$C$26,F2035)&gt;0,2,IF(COUNTIF(Настройки!$D$17:$D$26,F2035)&gt;0,3,0))))</f>
        <v/>
      </c>
      <c r="I2035">
        <f>IF(AND(ISNUMBER(A2035),ISNUMBER(B2035)),A2035*1000+B2035,"")</f>
        <v/>
      </c>
      <c r="J2035">
        <f>IF(I2035="","",IF(COUNTIF(I$2:I2035,I2035)=1,MAX(J$1:J2034)+1,""))</f>
        <v/>
      </c>
    </row>
    <row r="2036">
      <c r="A2036">
        <f>IFERROR(--SUBSTITUTE(SUBSTITUTE(TRIM(INDEX(INDIRECT("'Выгрузка'!A2036:Z2036"),Настройки!$B$7)),",","."),".",MID(1/2,2,1)),"")</f>
        <v/>
      </c>
      <c r="B2036">
        <f>IFERROR(--SUBSTITUTE(SUBSTITUTE(TRIM(INDEX(INDIRECT("'Выгрузка'!A2036:Z2036"),Настройки!$B$9)),",","."),".",MID(1/2,2,1)),"")</f>
        <v/>
      </c>
      <c r="C2036">
        <f>TRIM(INDEX(INDIRECT("'Выгрузка'!A2036:Z2036"),Настройки!$B$8)&amp;"")</f>
        <v/>
      </c>
      <c r="D2036">
        <f>IFERROR(--SUBSTITUTE(SUBSTITUTE(TRIM(INDEX(INDIRECT("'Выгрузка'!A2036:Z2036"),Настройки!$B$10)),",","."),".",MID(1/2,2,1)),"")</f>
        <v/>
      </c>
      <c r="E2036">
        <f>IFERROR(--SUBSTITUTE(SUBSTITUTE(TRIM(INDEX(INDIRECT("'Выгрузка'!A2036:Z2036"),Настройки!$B$11)),",","."),".",MID(1/2,2,1)),"")</f>
        <v/>
      </c>
      <c r="F2036">
        <f>TRIM(INDEX(INDIRECT("'Выгрузка'!A2036:Z2036"),Настройки!$B$12)&amp;"")</f>
        <v/>
      </c>
      <c r="G2036">
        <f>IF(F2036="",0,IF(TRIM(INDEX(INDIRECT("'Выгрузка'!A2036:Z2036"),Настройки!$B$13)&amp;"")="",1,IFERROR(--SUBSTITUTE(SUBSTITUTE(TRIM(INDEX(INDIRECT("'Выгрузка'!A2036:Z2036"),Настройки!$B$13)),",","."),".",MID(1/2,2,1)),"")))</f>
        <v/>
      </c>
      <c r="H2036">
        <f>IF(F2036="",0,IF(COUNTIF(Настройки!$B$17:$B$26,F2036)&gt;0,1,IF(COUNTIF(Настройки!$C$17:$C$26,F2036)&gt;0,2,IF(COUNTIF(Настройки!$D$17:$D$26,F2036)&gt;0,3,0))))</f>
        <v/>
      </c>
      <c r="I2036">
        <f>IF(AND(ISNUMBER(A2036),ISNUMBER(B2036)),A2036*1000+B2036,"")</f>
        <v/>
      </c>
      <c r="J2036">
        <f>IF(I2036="","",IF(COUNTIF(I$2:I2036,I2036)=1,MAX(J$1:J2035)+1,""))</f>
        <v/>
      </c>
    </row>
    <row r="2037">
      <c r="A2037">
        <f>IFERROR(--SUBSTITUTE(SUBSTITUTE(TRIM(INDEX(INDIRECT("'Выгрузка'!A2037:Z2037"),Настройки!$B$7)),",","."),".",MID(1/2,2,1)),"")</f>
        <v/>
      </c>
      <c r="B2037">
        <f>IFERROR(--SUBSTITUTE(SUBSTITUTE(TRIM(INDEX(INDIRECT("'Выгрузка'!A2037:Z2037"),Настройки!$B$9)),",","."),".",MID(1/2,2,1)),"")</f>
        <v/>
      </c>
      <c r="C2037">
        <f>TRIM(INDEX(INDIRECT("'Выгрузка'!A2037:Z2037"),Настройки!$B$8)&amp;"")</f>
        <v/>
      </c>
      <c r="D2037">
        <f>IFERROR(--SUBSTITUTE(SUBSTITUTE(TRIM(INDEX(INDIRECT("'Выгрузка'!A2037:Z2037"),Настройки!$B$10)),",","."),".",MID(1/2,2,1)),"")</f>
        <v/>
      </c>
      <c r="E2037">
        <f>IFERROR(--SUBSTITUTE(SUBSTITUTE(TRIM(INDEX(INDIRECT("'Выгрузка'!A2037:Z2037"),Настройки!$B$11)),",","."),".",MID(1/2,2,1)),"")</f>
        <v/>
      </c>
      <c r="F2037">
        <f>TRIM(INDEX(INDIRECT("'Выгрузка'!A2037:Z2037"),Настройки!$B$12)&amp;"")</f>
        <v/>
      </c>
      <c r="G2037">
        <f>IF(F2037="",0,IF(TRIM(INDEX(INDIRECT("'Выгрузка'!A2037:Z2037"),Настройки!$B$13)&amp;"")="",1,IFERROR(--SUBSTITUTE(SUBSTITUTE(TRIM(INDEX(INDIRECT("'Выгрузка'!A2037:Z2037"),Настройки!$B$13)),",","."),".",MID(1/2,2,1)),"")))</f>
        <v/>
      </c>
      <c r="H2037">
        <f>IF(F2037="",0,IF(COUNTIF(Настройки!$B$17:$B$26,F2037)&gt;0,1,IF(COUNTIF(Настройки!$C$17:$C$26,F2037)&gt;0,2,IF(COUNTIF(Настройки!$D$17:$D$26,F2037)&gt;0,3,0))))</f>
        <v/>
      </c>
      <c r="I2037">
        <f>IF(AND(ISNUMBER(A2037),ISNUMBER(B2037)),A2037*1000+B2037,"")</f>
        <v/>
      </c>
      <c r="J2037">
        <f>IF(I2037="","",IF(COUNTIF(I$2:I2037,I2037)=1,MAX(J$1:J2036)+1,""))</f>
        <v/>
      </c>
    </row>
    <row r="2038">
      <c r="A2038">
        <f>IFERROR(--SUBSTITUTE(SUBSTITUTE(TRIM(INDEX(INDIRECT("'Выгрузка'!A2038:Z2038"),Настройки!$B$7)),",","."),".",MID(1/2,2,1)),"")</f>
        <v/>
      </c>
      <c r="B2038">
        <f>IFERROR(--SUBSTITUTE(SUBSTITUTE(TRIM(INDEX(INDIRECT("'Выгрузка'!A2038:Z2038"),Настройки!$B$9)),",","."),".",MID(1/2,2,1)),"")</f>
        <v/>
      </c>
      <c r="C2038">
        <f>TRIM(INDEX(INDIRECT("'Выгрузка'!A2038:Z2038"),Настройки!$B$8)&amp;"")</f>
        <v/>
      </c>
      <c r="D2038">
        <f>IFERROR(--SUBSTITUTE(SUBSTITUTE(TRIM(INDEX(INDIRECT("'Выгрузка'!A2038:Z2038"),Настройки!$B$10)),",","."),".",MID(1/2,2,1)),"")</f>
        <v/>
      </c>
      <c r="E2038">
        <f>IFERROR(--SUBSTITUTE(SUBSTITUTE(TRIM(INDEX(INDIRECT("'Выгрузка'!A2038:Z2038"),Настройки!$B$11)),",","."),".",MID(1/2,2,1)),"")</f>
        <v/>
      </c>
      <c r="F2038">
        <f>TRIM(INDEX(INDIRECT("'Выгрузка'!A2038:Z2038"),Настройки!$B$12)&amp;"")</f>
        <v/>
      </c>
      <c r="G2038">
        <f>IF(F2038="",0,IF(TRIM(INDEX(INDIRECT("'Выгрузка'!A2038:Z2038"),Настройки!$B$13)&amp;"")="",1,IFERROR(--SUBSTITUTE(SUBSTITUTE(TRIM(INDEX(INDIRECT("'Выгрузка'!A2038:Z2038"),Настройки!$B$13)),",","."),".",MID(1/2,2,1)),"")))</f>
        <v/>
      </c>
      <c r="H2038">
        <f>IF(F2038="",0,IF(COUNTIF(Настройки!$B$17:$B$26,F2038)&gt;0,1,IF(COUNTIF(Настройки!$C$17:$C$26,F2038)&gt;0,2,IF(COUNTIF(Настройки!$D$17:$D$26,F2038)&gt;0,3,0))))</f>
        <v/>
      </c>
      <c r="I2038">
        <f>IF(AND(ISNUMBER(A2038),ISNUMBER(B2038)),A2038*1000+B2038,"")</f>
        <v/>
      </c>
      <c r="J2038">
        <f>IF(I2038="","",IF(COUNTIF(I$2:I2038,I2038)=1,MAX(J$1:J2037)+1,""))</f>
        <v/>
      </c>
    </row>
    <row r="2039">
      <c r="A2039">
        <f>IFERROR(--SUBSTITUTE(SUBSTITUTE(TRIM(INDEX(INDIRECT("'Выгрузка'!A2039:Z2039"),Настройки!$B$7)),",","."),".",MID(1/2,2,1)),"")</f>
        <v/>
      </c>
      <c r="B2039">
        <f>IFERROR(--SUBSTITUTE(SUBSTITUTE(TRIM(INDEX(INDIRECT("'Выгрузка'!A2039:Z2039"),Настройки!$B$9)),",","."),".",MID(1/2,2,1)),"")</f>
        <v/>
      </c>
      <c r="C2039">
        <f>TRIM(INDEX(INDIRECT("'Выгрузка'!A2039:Z2039"),Настройки!$B$8)&amp;"")</f>
        <v/>
      </c>
      <c r="D2039">
        <f>IFERROR(--SUBSTITUTE(SUBSTITUTE(TRIM(INDEX(INDIRECT("'Выгрузка'!A2039:Z2039"),Настройки!$B$10)),",","."),".",MID(1/2,2,1)),"")</f>
        <v/>
      </c>
      <c r="E2039">
        <f>IFERROR(--SUBSTITUTE(SUBSTITUTE(TRIM(INDEX(INDIRECT("'Выгрузка'!A2039:Z2039"),Настройки!$B$11)),",","."),".",MID(1/2,2,1)),"")</f>
        <v/>
      </c>
      <c r="F2039">
        <f>TRIM(INDEX(INDIRECT("'Выгрузка'!A2039:Z2039"),Настройки!$B$12)&amp;"")</f>
        <v/>
      </c>
      <c r="G2039">
        <f>IF(F2039="",0,IF(TRIM(INDEX(INDIRECT("'Выгрузка'!A2039:Z2039"),Настройки!$B$13)&amp;"")="",1,IFERROR(--SUBSTITUTE(SUBSTITUTE(TRIM(INDEX(INDIRECT("'Выгрузка'!A2039:Z2039"),Настройки!$B$13)),",","."),".",MID(1/2,2,1)),"")))</f>
        <v/>
      </c>
      <c r="H2039">
        <f>IF(F2039="",0,IF(COUNTIF(Настройки!$B$17:$B$26,F2039)&gt;0,1,IF(COUNTIF(Настройки!$C$17:$C$26,F2039)&gt;0,2,IF(COUNTIF(Настройки!$D$17:$D$26,F2039)&gt;0,3,0))))</f>
        <v/>
      </c>
      <c r="I2039">
        <f>IF(AND(ISNUMBER(A2039),ISNUMBER(B2039)),A2039*1000+B2039,"")</f>
        <v/>
      </c>
      <c r="J2039">
        <f>IF(I2039="","",IF(COUNTIF(I$2:I2039,I2039)=1,MAX(J$1:J2038)+1,""))</f>
        <v/>
      </c>
    </row>
    <row r="2040">
      <c r="A2040">
        <f>IFERROR(--SUBSTITUTE(SUBSTITUTE(TRIM(INDEX(INDIRECT("'Выгрузка'!A2040:Z2040"),Настройки!$B$7)),",","."),".",MID(1/2,2,1)),"")</f>
        <v/>
      </c>
      <c r="B2040">
        <f>IFERROR(--SUBSTITUTE(SUBSTITUTE(TRIM(INDEX(INDIRECT("'Выгрузка'!A2040:Z2040"),Настройки!$B$9)),",","."),".",MID(1/2,2,1)),"")</f>
        <v/>
      </c>
      <c r="C2040">
        <f>TRIM(INDEX(INDIRECT("'Выгрузка'!A2040:Z2040"),Настройки!$B$8)&amp;"")</f>
        <v/>
      </c>
      <c r="D2040">
        <f>IFERROR(--SUBSTITUTE(SUBSTITUTE(TRIM(INDEX(INDIRECT("'Выгрузка'!A2040:Z2040"),Настройки!$B$10)),",","."),".",MID(1/2,2,1)),"")</f>
        <v/>
      </c>
      <c r="E2040">
        <f>IFERROR(--SUBSTITUTE(SUBSTITUTE(TRIM(INDEX(INDIRECT("'Выгрузка'!A2040:Z2040"),Настройки!$B$11)),",","."),".",MID(1/2,2,1)),"")</f>
        <v/>
      </c>
      <c r="F2040">
        <f>TRIM(INDEX(INDIRECT("'Выгрузка'!A2040:Z2040"),Настройки!$B$12)&amp;"")</f>
        <v/>
      </c>
      <c r="G2040">
        <f>IF(F2040="",0,IF(TRIM(INDEX(INDIRECT("'Выгрузка'!A2040:Z2040"),Настройки!$B$13)&amp;"")="",1,IFERROR(--SUBSTITUTE(SUBSTITUTE(TRIM(INDEX(INDIRECT("'Выгрузка'!A2040:Z2040"),Настройки!$B$13)),",","."),".",MID(1/2,2,1)),"")))</f>
        <v/>
      </c>
      <c r="H2040">
        <f>IF(F2040="",0,IF(COUNTIF(Настройки!$B$17:$B$26,F2040)&gt;0,1,IF(COUNTIF(Настройки!$C$17:$C$26,F2040)&gt;0,2,IF(COUNTIF(Настройки!$D$17:$D$26,F2040)&gt;0,3,0))))</f>
        <v/>
      </c>
      <c r="I2040">
        <f>IF(AND(ISNUMBER(A2040),ISNUMBER(B2040)),A2040*1000+B2040,"")</f>
        <v/>
      </c>
      <c r="J2040">
        <f>IF(I2040="","",IF(COUNTIF(I$2:I2040,I2040)=1,MAX(J$1:J2039)+1,""))</f>
        <v/>
      </c>
    </row>
    <row r="2041">
      <c r="A2041">
        <f>IFERROR(--SUBSTITUTE(SUBSTITUTE(TRIM(INDEX(INDIRECT("'Выгрузка'!A2041:Z2041"),Настройки!$B$7)),",","."),".",MID(1/2,2,1)),"")</f>
        <v/>
      </c>
      <c r="B2041">
        <f>IFERROR(--SUBSTITUTE(SUBSTITUTE(TRIM(INDEX(INDIRECT("'Выгрузка'!A2041:Z2041"),Настройки!$B$9)),",","."),".",MID(1/2,2,1)),"")</f>
        <v/>
      </c>
      <c r="C2041">
        <f>TRIM(INDEX(INDIRECT("'Выгрузка'!A2041:Z2041"),Настройки!$B$8)&amp;"")</f>
        <v/>
      </c>
      <c r="D2041">
        <f>IFERROR(--SUBSTITUTE(SUBSTITUTE(TRIM(INDEX(INDIRECT("'Выгрузка'!A2041:Z2041"),Настройки!$B$10)),",","."),".",MID(1/2,2,1)),"")</f>
        <v/>
      </c>
      <c r="E2041">
        <f>IFERROR(--SUBSTITUTE(SUBSTITUTE(TRIM(INDEX(INDIRECT("'Выгрузка'!A2041:Z2041"),Настройки!$B$11)),",","."),".",MID(1/2,2,1)),"")</f>
        <v/>
      </c>
      <c r="F2041">
        <f>TRIM(INDEX(INDIRECT("'Выгрузка'!A2041:Z2041"),Настройки!$B$12)&amp;"")</f>
        <v/>
      </c>
      <c r="G2041">
        <f>IF(F2041="",0,IF(TRIM(INDEX(INDIRECT("'Выгрузка'!A2041:Z2041"),Настройки!$B$13)&amp;"")="",1,IFERROR(--SUBSTITUTE(SUBSTITUTE(TRIM(INDEX(INDIRECT("'Выгрузка'!A2041:Z2041"),Настройки!$B$13)),",","."),".",MID(1/2,2,1)),"")))</f>
        <v/>
      </c>
      <c r="H2041">
        <f>IF(F2041="",0,IF(COUNTIF(Настройки!$B$17:$B$26,F2041)&gt;0,1,IF(COUNTIF(Настройки!$C$17:$C$26,F2041)&gt;0,2,IF(COUNTIF(Настройки!$D$17:$D$26,F2041)&gt;0,3,0))))</f>
        <v/>
      </c>
      <c r="I2041">
        <f>IF(AND(ISNUMBER(A2041),ISNUMBER(B2041)),A2041*1000+B2041,"")</f>
        <v/>
      </c>
      <c r="J2041">
        <f>IF(I2041="","",IF(COUNTIF(I$2:I2041,I2041)=1,MAX(J$1:J2040)+1,""))</f>
        <v/>
      </c>
    </row>
    <row r="2042">
      <c r="A2042">
        <f>IFERROR(--SUBSTITUTE(SUBSTITUTE(TRIM(INDEX(INDIRECT("'Выгрузка'!A2042:Z2042"),Настройки!$B$7)),",","."),".",MID(1/2,2,1)),"")</f>
        <v/>
      </c>
      <c r="B2042">
        <f>IFERROR(--SUBSTITUTE(SUBSTITUTE(TRIM(INDEX(INDIRECT("'Выгрузка'!A2042:Z2042"),Настройки!$B$9)),",","."),".",MID(1/2,2,1)),"")</f>
        <v/>
      </c>
      <c r="C2042">
        <f>TRIM(INDEX(INDIRECT("'Выгрузка'!A2042:Z2042"),Настройки!$B$8)&amp;"")</f>
        <v/>
      </c>
      <c r="D2042">
        <f>IFERROR(--SUBSTITUTE(SUBSTITUTE(TRIM(INDEX(INDIRECT("'Выгрузка'!A2042:Z2042"),Настройки!$B$10)),",","."),".",MID(1/2,2,1)),"")</f>
        <v/>
      </c>
      <c r="E2042">
        <f>IFERROR(--SUBSTITUTE(SUBSTITUTE(TRIM(INDEX(INDIRECT("'Выгрузка'!A2042:Z2042"),Настройки!$B$11)),",","."),".",MID(1/2,2,1)),"")</f>
        <v/>
      </c>
      <c r="F2042">
        <f>TRIM(INDEX(INDIRECT("'Выгрузка'!A2042:Z2042"),Настройки!$B$12)&amp;"")</f>
        <v/>
      </c>
      <c r="G2042">
        <f>IF(F2042="",0,IF(TRIM(INDEX(INDIRECT("'Выгрузка'!A2042:Z2042"),Настройки!$B$13)&amp;"")="",1,IFERROR(--SUBSTITUTE(SUBSTITUTE(TRIM(INDEX(INDIRECT("'Выгрузка'!A2042:Z2042"),Настройки!$B$13)),",","."),".",MID(1/2,2,1)),"")))</f>
        <v/>
      </c>
      <c r="H2042">
        <f>IF(F2042="",0,IF(COUNTIF(Настройки!$B$17:$B$26,F2042)&gt;0,1,IF(COUNTIF(Настройки!$C$17:$C$26,F2042)&gt;0,2,IF(COUNTIF(Настройки!$D$17:$D$26,F2042)&gt;0,3,0))))</f>
        <v/>
      </c>
      <c r="I2042">
        <f>IF(AND(ISNUMBER(A2042),ISNUMBER(B2042)),A2042*1000+B2042,"")</f>
        <v/>
      </c>
      <c r="J2042">
        <f>IF(I2042="","",IF(COUNTIF(I$2:I2042,I2042)=1,MAX(J$1:J2041)+1,""))</f>
        <v/>
      </c>
    </row>
    <row r="2043">
      <c r="A2043">
        <f>IFERROR(--SUBSTITUTE(SUBSTITUTE(TRIM(INDEX(INDIRECT("'Выгрузка'!A2043:Z2043"),Настройки!$B$7)),",","."),".",MID(1/2,2,1)),"")</f>
        <v/>
      </c>
      <c r="B2043">
        <f>IFERROR(--SUBSTITUTE(SUBSTITUTE(TRIM(INDEX(INDIRECT("'Выгрузка'!A2043:Z2043"),Настройки!$B$9)),",","."),".",MID(1/2,2,1)),"")</f>
        <v/>
      </c>
      <c r="C2043">
        <f>TRIM(INDEX(INDIRECT("'Выгрузка'!A2043:Z2043"),Настройки!$B$8)&amp;"")</f>
        <v/>
      </c>
      <c r="D2043">
        <f>IFERROR(--SUBSTITUTE(SUBSTITUTE(TRIM(INDEX(INDIRECT("'Выгрузка'!A2043:Z2043"),Настройки!$B$10)),",","."),".",MID(1/2,2,1)),"")</f>
        <v/>
      </c>
      <c r="E2043">
        <f>IFERROR(--SUBSTITUTE(SUBSTITUTE(TRIM(INDEX(INDIRECT("'Выгрузка'!A2043:Z2043"),Настройки!$B$11)),",","."),".",MID(1/2,2,1)),"")</f>
        <v/>
      </c>
      <c r="F2043">
        <f>TRIM(INDEX(INDIRECT("'Выгрузка'!A2043:Z2043"),Настройки!$B$12)&amp;"")</f>
        <v/>
      </c>
      <c r="G2043">
        <f>IF(F2043="",0,IF(TRIM(INDEX(INDIRECT("'Выгрузка'!A2043:Z2043"),Настройки!$B$13)&amp;"")="",1,IFERROR(--SUBSTITUTE(SUBSTITUTE(TRIM(INDEX(INDIRECT("'Выгрузка'!A2043:Z2043"),Настройки!$B$13)),",","."),".",MID(1/2,2,1)),"")))</f>
        <v/>
      </c>
      <c r="H2043">
        <f>IF(F2043="",0,IF(COUNTIF(Настройки!$B$17:$B$26,F2043)&gt;0,1,IF(COUNTIF(Настройки!$C$17:$C$26,F2043)&gt;0,2,IF(COUNTIF(Настройки!$D$17:$D$26,F2043)&gt;0,3,0))))</f>
        <v/>
      </c>
      <c r="I2043">
        <f>IF(AND(ISNUMBER(A2043),ISNUMBER(B2043)),A2043*1000+B2043,"")</f>
        <v/>
      </c>
      <c r="J2043">
        <f>IF(I2043="","",IF(COUNTIF(I$2:I2043,I2043)=1,MAX(J$1:J2042)+1,""))</f>
        <v/>
      </c>
    </row>
    <row r="2044">
      <c r="A2044">
        <f>IFERROR(--SUBSTITUTE(SUBSTITUTE(TRIM(INDEX(INDIRECT("'Выгрузка'!A2044:Z2044"),Настройки!$B$7)),",","."),".",MID(1/2,2,1)),"")</f>
        <v/>
      </c>
      <c r="B2044">
        <f>IFERROR(--SUBSTITUTE(SUBSTITUTE(TRIM(INDEX(INDIRECT("'Выгрузка'!A2044:Z2044"),Настройки!$B$9)),",","."),".",MID(1/2,2,1)),"")</f>
        <v/>
      </c>
      <c r="C2044">
        <f>TRIM(INDEX(INDIRECT("'Выгрузка'!A2044:Z2044"),Настройки!$B$8)&amp;"")</f>
        <v/>
      </c>
      <c r="D2044">
        <f>IFERROR(--SUBSTITUTE(SUBSTITUTE(TRIM(INDEX(INDIRECT("'Выгрузка'!A2044:Z2044"),Настройки!$B$10)),",","."),".",MID(1/2,2,1)),"")</f>
        <v/>
      </c>
      <c r="E2044">
        <f>IFERROR(--SUBSTITUTE(SUBSTITUTE(TRIM(INDEX(INDIRECT("'Выгрузка'!A2044:Z2044"),Настройки!$B$11)),",","."),".",MID(1/2,2,1)),"")</f>
        <v/>
      </c>
      <c r="F2044">
        <f>TRIM(INDEX(INDIRECT("'Выгрузка'!A2044:Z2044"),Настройки!$B$12)&amp;"")</f>
        <v/>
      </c>
      <c r="G2044">
        <f>IF(F2044="",0,IF(TRIM(INDEX(INDIRECT("'Выгрузка'!A2044:Z2044"),Настройки!$B$13)&amp;"")="",1,IFERROR(--SUBSTITUTE(SUBSTITUTE(TRIM(INDEX(INDIRECT("'Выгрузка'!A2044:Z2044"),Настройки!$B$13)),",","."),".",MID(1/2,2,1)),"")))</f>
        <v/>
      </c>
      <c r="H2044">
        <f>IF(F2044="",0,IF(COUNTIF(Настройки!$B$17:$B$26,F2044)&gt;0,1,IF(COUNTIF(Настройки!$C$17:$C$26,F2044)&gt;0,2,IF(COUNTIF(Настройки!$D$17:$D$26,F2044)&gt;0,3,0))))</f>
        <v/>
      </c>
      <c r="I2044">
        <f>IF(AND(ISNUMBER(A2044),ISNUMBER(B2044)),A2044*1000+B2044,"")</f>
        <v/>
      </c>
      <c r="J2044">
        <f>IF(I2044="","",IF(COUNTIF(I$2:I2044,I2044)=1,MAX(J$1:J2043)+1,""))</f>
        <v/>
      </c>
    </row>
    <row r="2045">
      <c r="A2045">
        <f>IFERROR(--SUBSTITUTE(SUBSTITUTE(TRIM(INDEX(INDIRECT("'Выгрузка'!A2045:Z2045"),Настройки!$B$7)),",","."),".",MID(1/2,2,1)),"")</f>
        <v/>
      </c>
      <c r="B2045">
        <f>IFERROR(--SUBSTITUTE(SUBSTITUTE(TRIM(INDEX(INDIRECT("'Выгрузка'!A2045:Z2045"),Настройки!$B$9)),",","."),".",MID(1/2,2,1)),"")</f>
        <v/>
      </c>
      <c r="C2045">
        <f>TRIM(INDEX(INDIRECT("'Выгрузка'!A2045:Z2045"),Настройки!$B$8)&amp;"")</f>
        <v/>
      </c>
      <c r="D2045">
        <f>IFERROR(--SUBSTITUTE(SUBSTITUTE(TRIM(INDEX(INDIRECT("'Выгрузка'!A2045:Z2045"),Настройки!$B$10)),",","."),".",MID(1/2,2,1)),"")</f>
        <v/>
      </c>
      <c r="E2045">
        <f>IFERROR(--SUBSTITUTE(SUBSTITUTE(TRIM(INDEX(INDIRECT("'Выгрузка'!A2045:Z2045"),Настройки!$B$11)),",","."),".",MID(1/2,2,1)),"")</f>
        <v/>
      </c>
      <c r="F2045">
        <f>TRIM(INDEX(INDIRECT("'Выгрузка'!A2045:Z2045"),Настройки!$B$12)&amp;"")</f>
        <v/>
      </c>
      <c r="G2045">
        <f>IF(F2045="",0,IF(TRIM(INDEX(INDIRECT("'Выгрузка'!A2045:Z2045"),Настройки!$B$13)&amp;"")="",1,IFERROR(--SUBSTITUTE(SUBSTITUTE(TRIM(INDEX(INDIRECT("'Выгрузка'!A2045:Z2045"),Настройки!$B$13)),",","."),".",MID(1/2,2,1)),"")))</f>
        <v/>
      </c>
      <c r="H2045">
        <f>IF(F2045="",0,IF(COUNTIF(Настройки!$B$17:$B$26,F2045)&gt;0,1,IF(COUNTIF(Настройки!$C$17:$C$26,F2045)&gt;0,2,IF(COUNTIF(Настройки!$D$17:$D$26,F2045)&gt;0,3,0))))</f>
        <v/>
      </c>
      <c r="I2045">
        <f>IF(AND(ISNUMBER(A2045),ISNUMBER(B2045)),A2045*1000+B2045,"")</f>
        <v/>
      </c>
      <c r="J2045">
        <f>IF(I2045="","",IF(COUNTIF(I$2:I2045,I2045)=1,MAX(J$1:J2044)+1,""))</f>
        <v/>
      </c>
    </row>
    <row r="2046">
      <c r="A2046">
        <f>IFERROR(--SUBSTITUTE(SUBSTITUTE(TRIM(INDEX(INDIRECT("'Выгрузка'!A2046:Z2046"),Настройки!$B$7)),",","."),".",MID(1/2,2,1)),"")</f>
        <v/>
      </c>
      <c r="B2046">
        <f>IFERROR(--SUBSTITUTE(SUBSTITUTE(TRIM(INDEX(INDIRECT("'Выгрузка'!A2046:Z2046"),Настройки!$B$9)),",","."),".",MID(1/2,2,1)),"")</f>
        <v/>
      </c>
      <c r="C2046">
        <f>TRIM(INDEX(INDIRECT("'Выгрузка'!A2046:Z2046"),Настройки!$B$8)&amp;"")</f>
        <v/>
      </c>
      <c r="D2046">
        <f>IFERROR(--SUBSTITUTE(SUBSTITUTE(TRIM(INDEX(INDIRECT("'Выгрузка'!A2046:Z2046"),Настройки!$B$10)),",","."),".",MID(1/2,2,1)),"")</f>
        <v/>
      </c>
      <c r="E2046">
        <f>IFERROR(--SUBSTITUTE(SUBSTITUTE(TRIM(INDEX(INDIRECT("'Выгрузка'!A2046:Z2046"),Настройки!$B$11)),",","."),".",MID(1/2,2,1)),"")</f>
        <v/>
      </c>
      <c r="F2046">
        <f>TRIM(INDEX(INDIRECT("'Выгрузка'!A2046:Z2046"),Настройки!$B$12)&amp;"")</f>
        <v/>
      </c>
      <c r="G2046">
        <f>IF(F2046="",0,IF(TRIM(INDEX(INDIRECT("'Выгрузка'!A2046:Z2046"),Настройки!$B$13)&amp;"")="",1,IFERROR(--SUBSTITUTE(SUBSTITUTE(TRIM(INDEX(INDIRECT("'Выгрузка'!A2046:Z2046"),Настройки!$B$13)),",","."),".",MID(1/2,2,1)),"")))</f>
        <v/>
      </c>
      <c r="H2046">
        <f>IF(F2046="",0,IF(COUNTIF(Настройки!$B$17:$B$26,F2046)&gt;0,1,IF(COUNTIF(Настройки!$C$17:$C$26,F2046)&gt;0,2,IF(COUNTIF(Настройки!$D$17:$D$26,F2046)&gt;0,3,0))))</f>
        <v/>
      </c>
      <c r="I2046">
        <f>IF(AND(ISNUMBER(A2046),ISNUMBER(B2046)),A2046*1000+B2046,"")</f>
        <v/>
      </c>
      <c r="J2046">
        <f>IF(I2046="","",IF(COUNTIF(I$2:I2046,I2046)=1,MAX(J$1:J2045)+1,""))</f>
        <v/>
      </c>
    </row>
    <row r="2047">
      <c r="A2047">
        <f>IFERROR(--SUBSTITUTE(SUBSTITUTE(TRIM(INDEX(INDIRECT("'Выгрузка'!A2047:Z2047"),Настройки!$B$7)),",","."),".",MID(1/2,2,1)),"")</f>
        <v/>
      </c>
      <c r="B2047">
        <f>IFERROR(--SUBSTITUTE(SUBSTITUTE(TRIM(INDEX(INDIRECT("'Выгрузка'!A2047:Z2047"),Настройки!$B$9)),",","."),".",MID(1/2,2,1)),"")</f>
        <v/>
      </c>
      <c r="C2047">
        <f>TRIM(INDEX(INDIRECT("'Выгрузка'!A2047:Z2047"),Настройки!$B$8)&amp;"")</f>
        <v/>
      </c>
      <c r="D2047">
        <f>IFERROR(--SUBSTITUTE(SUBSTITUTE(TRIM(INDEX(INDIRECT("'Выгрузка'!A2047:Z2047"),Настройки!$B$10)),",","."),".",MID(1/2,2,1)),"")</f>
        <v/>
      </c>
      <c r="E2047">
        <f>IFERROR(--SUBSTITUTE(SUBSTITUTE(TRIM(INDEX(INDIRECT("'Выгрузка'!A2047:Z2047"),Настройки!$B$11)),",","."),".",MID(1/2,2,1)),"")</f>
        <v/>
      </c>
      <c r="F2047">
        <f>TRIM(INDEX(INDIRECT("'Выгрузка'!A2047:Z2047"),Настройки!$B$12)&amp;"")</f>
        <v/>
      </c>
      <c r="G2047">
        <f>IF(F2047="",0,IF(TRIM(INDEX(INDIRECT("'Выгрузка'!A2047:Z2047"),Настройки!$B$13)&amp;"")="",1,IFERROR(--SUBSTITUTE(SUBSTITUTE(TRIM(INDEX(INDIRECT("'Выгрузка'!A2047:Z2047"),Настройки!$B$13)),",","."),".",MID(1/2,2,1)),"")))</f>
        <v/>
      </c>
      <c r="H2047">
        <f>IF(F2047="",0,IF(COUNTIF(Настройки!$B$17:$B$26,F2047)&gt;0,1,IF(COUNTIF(Настройки!$C$17:$C$26,F2047)&gt;0,2,IF(COUNTIF(Настройки!$D$17:$D$26,F2047)&gt;0,3,0))))</f>
        <v/>
      </c>
      <c r="I2047">
        <f>IF(AND(ISNUMBER(A2047),ISNUMBER(B2047)),A2047*1000+B2047,"")</f>
        <v/>
      </c>
      <c r="J2047">
        <f>IF(I2047="","",IF(COUNTIF(I$2:I2047,I2047)=1,MAX(J$1:J2046)+1,""))</f>
        <v/>
      </c>
    </row>
    <row r="2048">
      <c r="A2048">
        <f>IFERROR(--SUBSTITUTE(SUBSTITUTE(TRIM(INDEX(INDIRECT("'Выгрузка'!A2048:Z2048"),Настройки!$B$7)),",","."),".",MID(1/2,2,1)),"")</f>
        <v/>
      </c>
      <c r="B2048">
        <f>IFERROR(--SUBSTITUTE(SUBSTITUTE(TRIM(INDEX(INDIRECT("'Выгрузка'!A2048:Z2048"),Настройки!$B$9)),",","."),".",MID(1/2,2,1)),"")</f>
        <v/>
      </c>
      <c r="C2048">
        <f>TRIM(INDEX(INDIRECT("'Выгрузка'!A2048:Z2048"),Настройки!$B$8)&amp;"")</f>
        <v/>
      </c>
      <c r="D2048">
        <f>IFERROR(--SUBSTITUTE(SUBSTITUTE(TRIM(INDEX(INDIRECT("'Выгрузка'!A2048:Z2048"),Настройки!$B$10)),",","."),".",MID(1/2,2,1)),"")</f>
        <v/>
      </c>
      <c r="E2048">
        <f>IFERROR(--SUBSTITUTE(SUBSTITUTE(TRIM(INDEX(INDIRECT("'Выгрузка'!A2048:Z2048"),Настройки!$B$11)),",","."),".",MID(1/2,2,1)),"")</f>
        <v/>
      </c>
      <c r="F2048">
        <f>TRIM(INDEX(INDIRECT("'Выгрузка'!A2048:Z2048"),Настройки!$B$12)&amp;"")</f>
        <v/>
      </c>
      <c r="G2048">
        <f>IF(F2048="",0,IF(TRIM(INDEX(INDIRECT("'Выгрузка'!A2048:Z2048"),Настройки!$B$13)&amp;"")="",1,IFERROR(--SUBSTITUTE(SUBSTITUTE(TRIM(INDEX(INDIRECT("'Выгрузка'!A2048:Z2048"),Настройки!$B$13)),",","."),".",MID(1/2,2,1)),"")))</f>
        <v/>
      </c>
      <c r="H2048">
        <f>IF(F2048="",0,IF(COUNTIF(Настройки!$B$17:$B$26,F2048)&gt;0,1,IF(COUNTIF(Настройки!$C$17:$C$26,F2048)&gt;0,2,IF(COUNTIF(Настройки!$D$17:$D$26,F2048)&gt;0,3,0))))</f>
        <v/>
      </c>
      <c r="I2048">
        <f>IF(AND(ISNUMBER(A2048),ISNUMBER(B2048)),A2048*1000+B2048,"")</f>
        <v/>
      </c>
      <c r="J2048">
        <f>IF(I2048="","",IF(COUNTIF(I$2:I2048,I2048)=1,MAX(J$1:J2047)+1,""))</f>
        <v/>
      </c>
    </row>
    <row r="2049">
      <c r="A2049">
        <f>IFERROR(--SUBSTITUTE(SUBSTITUTE(TRIM(INDEX(INDIRECT("'Выгрузка'!A2049:Z2049"),Настройки!$B$7)),",","."),".",MID(1/2,2,1)),"")</f>
        <v/>
      </c>
      <c r="B2049">
        <f>IFERROR(--SUBSTITUTE(SUBSTITUTE(TRIM(INDEX(INDIRECT("'Выгрузка'!A2049:Z2049"),Настройки!$B$9)),",","."),".",MID(1/2,2,1)),"")</f>
        <v/>
      </c>
      <c r="C2049">
        <f>TRIM(INDEX(INDIRECT("'Выгрузка'!A2049:Z2049"),Настройки!$B$8)&amp;"")</f>
        <v/>
      </c>
      <c r="D2049">
        <f>IFERROR(--SUBSTITUTE(SUBSTITUTE(TRIM(INDEX(INDIRECT("'Выгрузка'!A2049:Z2049"),Настройки!$B$10)),",","."),".",MID(1/2,2,1)),"")</f>
        <v/>
      </c>
      <c r="E2049">
        <f>IFERROR(--SUBSTITUTE(SUBSTITUTE(TRIM(INDEX(INDIRECT("'Выгрузка'!A2049:Z2049"),Настройки!$B$11)),",","."),".",MID(1/2,2,1)),"")</f>
        <v/>
      </c>
      <c r="F2049">
        <f>TRIM(INDEX(INDIRECT("'Выгрузка'!A2049:Z2049"),Настройки!$B$12)&amp;"")</f>
        <v/>
      </c>
      <c r="G2049">
        <f>IF(F2049="",0,IF(TRIM(INDEX(INDIRECT("'Выгрузка'!A2049:Z2049"),Настройки!$B$13)&amp;"")="",1,IFERROR(--SUBSTITUTE(SUBSTITUTE(TRIM(INDEX(INDIRECT("'Выгрузка'!A2049:Z2049"),Настройки!$B$13)),",","."),".",MID(1/2,2,1)),"")))</f>
        <v/>
      </c>
      <c r="H2049">
        <f>IF(F2049="",0,IF(COUNTIF(Настройки!$B$17:$B$26,F2049)&gt;0,1,IF(COUNTIF(Настройки!$C$17:$C$26,F2049)&gt;0,2,IF(COUNTIF(Настройки!$D$17:$D$26,F2049)&gt;0,3,0))))</f>
        <v/>
      </c>
      <c r="I2049">
        <f>IF(AND(ISNUMBER(A2049),ISNUMBER(B2049)),A2049*1000+B2049,"")</f>
        <v/>
      </c>
      <c r="J2049">
        <f>IF(I2049="","",IF(COUNTIF(I$2:I2049,I2049)=1,MAX(J$1:J2048)+1,""))</f>
        <v/>
      </c>
    </row>
    <row r="2050">
      <c r="A2050">
        <f>IFERROR(--SUBSTITUTE(SUBSTITUTE(TRIM(INDEX(INDIRECT("'Выгрузка'!A2050:Z2050"),Настройки!$B$7)),",","."),".",MID(1/2,2,1)),"")</f>
        <v/>
      </c>
      <c r="B2050">
        <f>IFERROR(--SUBSTITUTE(SUBSTITUTE(TRIM(INDEX(INDIRECT("'Выгрузка'!A2050:Z2050"),Настройки!$B$9)),",","."),".",MID(1/2,2,1)),"")</f>
        <v/>
      </c>
      <c r="C2050">
        <f>TRIM(INDEX(INDIRECT("'Выгрузка'!A2050:Z2050"),Настройки!$B$8)&amp;"")</f>
        <v/>
      </c>
      <c r="D2050">
        <f>IFERROR(--SUBSTITUTE(SUBSTITUTE(TRIM(INDEX(INDIRECT("'Выгрузка'!A2050:Z2050"),Настройки!$B$10)),",","."),".",MID(1/2,2,1)),"")</f>
        <v/>
      </c>
      <c r="E2050">
        <f>IFERROR(--SUBSTITUTE(SUBSTITUTE(TRIM(INDEX(INDIRECT("'Выгрузка'!A2050:Z2050"),Настройки!$B$11)),",","."),".",MID(1/2,2,1)),"")</f>
        <v/>
      </c>
      <c r="F2050">
        <f>TRIM(INDEX(INDIRECT("'Выгрузка'!A2050:Z2050"),Настройки!$B$12)&amp;"")</f>
        <v/>
      </c>
      <c r="G2050">
        <f>IF(F2050="",0,IF(TRIM(INDEX(INDIRECT("'Выгрузка'!A2050:Z2050"),Настройки!$B$13)&amp;"")="",1,IFERROR(--SUBSTITUTE(SUBSTITUTE(TRIM(INDEX(INDIRECT("'Выгрузка'!A2050:Z2050"),Настройки!$B$13)),",","."),".",MID(1/2,2,1)),"")))</f>
        <v/>
      </c>
      <c r="H2050">
        <f>IF(F2050="",0,IF(COUNTIF(Настройки!$B$17:$B$26,F2050)&gt;0,1,IF(COUNTIF(Настройки!$C$17:$C$26,F2050)&gt;0,2,IF(COUNTIF(Настройки!$D$17:$D$26,F2050)&gt;0,3,0))))</f>
        <v/>
      </c>
      <c r="I2050">
        <f>IF(AND(ISNUMBER(A2050),ISNUMBER(B2050)),A2050*1000+B2050,"")</f>
        <v/>
      </c>
      <c r="J2050">
        <f>IF(I2050="","",IF(COUNTIF(I$2:I2050,I2050)=1,MAX(J$1:J2049)+1,""))</f>
        <v/>
      </c>
    </row>
    <row r="2051">
      <c r="A2051">
        <f>IFERROR(--SUBSTITUTE(SUBSTITUTE(TRIM(INDEX(INDIRECT("'Выгрузка'!A2051:Z2051"),Настройки!$B$7)),",","."),".",MID(1/2,2,1)),"")</f>
        <v/>
      </c>
      <c r="B2051">
        <f>IFERROR(--SUBSTITUTE(SUBSTITUTE(TRIM(INDEX(INDIRECT("'Выгрузка'!A2051:Z2051"),Настройки!$B$9)),",","."),".",MID(1/2,2,1)),"")</f>
        <v/>
      </c>
      <c r="C2051">
        <f>TRIM(INDEX(INDIRECT("'Выгрузка'!A2051:Z2051"),Настройки!$B$8)&amp;"")</f>
        <v/>
      </c>
      <c r="D2051">
        <f>IFERROR(--SUBSTITUTE(SUBSTITUTE(TRIM(INDEX(INDIRECT("'Выгрузка'!A2051:Z2051"),Настройки!$B$10)),",","."),".",MID(1/2,2,1)),"")</f>
        <v/>
      </c>
      <c r="E2051">
        <f>IFERROR(--SUBSTITUTE(SUBSTITUTE(TRIM(INDEX(INDIRECT("'Выгрузка'!A2051:Z2051"),Настройки!$B$11)),",","."),".",MID(1/2,2,1)),"")</f>
        <v/>
      </c>
      <c r="F2051">
        <f>TRIM(INDEX(INDIRECT("'Выгрузка'!A2051:Z2051"),Настройки!$B$12)&amp;"")</f>
        <v/>
      </c>
      <c r="G2051">
        <f>IF(F2051="",0,IF(TRIM(INDEX(INDIRECT("'Выгрузка'!A2051:Z2051"),Настройки!$B$13)&amp;"")="",1,IFERROR(--SUBSTITUTE(SUBSTITUTE(TRIM(INDEX(INDIRECT("'Выгрузка'!A2051:Z2051"),Настройки!$B$13)),",","."),".",MID(1/2,2,1)),"")))</f>
        <v/>
      </c>
      <c r="H2051">
        <f>IF(F2051="",0,IF(COUNTIF(Настройки!$B$17:$B$26,F2051)&gt;0,1,IF(COUNTIF(Настройки!$C$17:$C$26,F2051)&gt;0,2,IF(COUNTIF(Настройки!$D$17:$D$26,F2051)&gt;0,3,0))))</f>
        <v/>
      </c>
      <c r="I2051">
        <f>IF(AND(ISNUMBER(A2051),ISNUMBER(B2051)),A2051*1000+B2051,"")</f>
        <v/>
      </c>
      <c r="J2051">
        <f>IF(I2051="","",IF(COUNTIF(I$2:I2051,I2051)=1,MAX(J$1:J2050)+1,""))</f>
        <v/>
      </c>
    </row>
    <row r="2052">
      <c r="A2052">
        <f>IFERROR(--SUBSTITUTE(SUBSTITUTE(TRIM(INDEX(INDIRECT("'Выгрузка'!A2052:Z2052"),Настройки!$B$7)),",","."),".",MID(1/2,2,1)),"")</f>
        <v/>
      </c>
      <c r="B2052">
        <f>IFERROR(--SUBSTITUTE(SUBSTITUTE(TRIM(INDEX(INDIRECT("'Выгрузка'!A2052:Z2052"),Настройки!$B$9)),",","."),".",MID(1/2,2,1)),"")</f>
        <v/>
      </c>
      <c r="C2052">
        <f>TRIM(INDEX(INDIRECT("'Выгрузка'!A2052:Z2052"),Настройки!$B$8)&amp;"")</f>
        <v/>
      </c>
      <c r="D2052">
        <f>IFERROR(--SUBSTITUTE(SUBSTITUTE(TRIM(INDEX(INDIRECT("'Выгрузка'!A2052:Z2052"),Настройки!$B$10)),",","."),".",MID(1/2,2,1)),"")</f>
        <v/>
      </c>
      <c r="E2052">
        <f>IFERROR(--SUBSTITUTE(SUBSTITUTE(TRIM(INDEX(INDIRECT("'Выгрузка'!A2052:Z2052"),Настройки!$B$11)),",","."),".",MID(1/2,2,1)),"")</f>
        <v/>
      </c>
      <c r="F2052">
        <f>TRIM(INDEX(INDIRECT("'Выгрузка'!A2052:Z2052"),Настройки!$B$12)&amp;"")</f>
        <v/>
      </c>
      <c r="G2052">
        <f>IF(F2052="",0,IF(TRIM(INDEX(INDIRECT("'Выгрузка'!A2052:Z2052"),Настройки!$B$13)&amp;"")="",1,IFERROR(--SUBSTITUTE(SUBSTITUTE(TRIM(INDEX(INDIRECT("'Выгрузка'!A2052:Z2052"),Настройки!$B$13)),",","."),".",MID(1/2,2,1)),"")))</f>
        <v/>
      </c>
      <c r="H2052">
        <f>IF(F2052="",0,IF(COUNTIF(Настройки!$B$17:$B$26,F2052)&gt;0,1,IF(COUNTIF(Настройки!$C$17:$C$26,F2052)&gt;0,2,IF(COUNTIF(Настройки!$D$17:$D$26,F2052)&gt;0,3,0))))</f>
        <v/>
      </c>
      <c r="I2052">
        <f>IF(AND(ISNUMBER(A2052),ISNUMBER(B2052)),A2052*1000+B2052,"")</f>
        <v/>
      </c>
      <c r="J2052">
        <f>IF(I2052="","",IF(COUNTIF(I$2:I2052,I2052)=1,MAX(J$1:J2051)+1,""))</f>
        <v/>
      </c>
    </row>
    <row r="2053">
      <c r="A2053">
        <f>IFERROR(--SUBSTITUTE(SUBSTITUTE(TRIM(INDEX(INDIRECT("'Выгрузка'!A2053:Z2053"),Настройки!$B$7)),",","."),".",MID(1/2,2,1)),"")</f>
        <v/>
      </c>
      <c r="B2053">
        <f>IFERROR(--SUBSTITUTE(SUBSTITUTE(TRIM(INDEX(INDIRECT("'Выгрузка'!A2053:Z2053"),Настройки!$B$9)),",","."),".",MID(1/2,2,1)),"")</f>
        <v/>
      </c>
      <c r="C2053">
        <f>TRIM(INDEX(INDIRECT("'Выгрузка'!A2053:Z2053"),Настройки!$B$8)&amp;"")</f>
        <v/>
      </c>
      <c r="D2053">
        <f>IFERROR(--SUBSTITUTE(SUBSTITUTE(TRIM(INDEX(INDIRECT("'Выгрузка'!A2053:Z2053"),Настройки!$B$10)),",","."),".",MID(1/2,2,1)),"")</f>
        <v/>
      </c>
      <c r="E2053">
        <f>IFERROR(--SUBSTITUTE(SUBSTITUTE(TRIM(INDEX(INDIRECT("'Выгрузка'!A2053:Z2053"),Настройки!$B$11)),",","."),".",MID(1/2,2,1)),"")</f>
        <v/>
      </c>
      <c r="F2053">
        <f>TRIM(INDEX(INDIRECT("'Выгрузка'!A2053:Z2053"),Настройки!$B$12)&amp;"")</f>
        <v/>
      </c>
      <c r="G2053">
        <f>IF(F2053="",0,IF(TRIM(INDEX(INDIRECT("'Выгрузка'!A2053:Z2053"),Настройки!$B$13)&amp;"")="",1,IFERROR(--SUBSTITUTE(SUBSTITUTE(TRIM(INDEX(INDIRECT("'Выгрузка'!A2053:Z2053"),Настройки!$B$13)),",","."),".",MID(1/2,2,1)),"")))</f>
        <v/>
      </c>
      <c r="H2053">
        <f>IF(F2053="",0,IF(COUNTIF(Настройки!$B$17:$B$26,F2053)&gt;0,1,IF(COUNTIF(Настройки!$C$17:$C$26,F2053)&gt;0,2,IF(COUNTIF(Настройки!$D$17:$D$26,F2053)&gt;0,3,0))))</f>
        <v/>
      </c>
      <c r="I2053">
        <f>IF(AND(ISNUMBER(A2053),ISNUMBER(B2053)),A2053*1000+B2053,"")</f>
        <v/>
      </c>
      <c r="J2053">
        <f>IF(I2053="","",IF(COUNTIF(I$2:I2053,I2053)=1,MAX(J$1:J2052)+1,""))</f>
        <v/>
      </c>
    </row>
    <row r="2054">
      <c r="A2054">
        <f>IFERROR(--SUBSTITUTE(SUBSTITUTE(TRIM(INDEX(INDIRECT("'Выгрузка'!A2054:Z2054"),Настройки!$B$7)),",","."),".",MID(1/2,2,1)),"")</f>
        <v/>
      </c>
      <c r="B2054">
        <f>IFERROR(--SUBSTITUTE(SUBSTITUTE(TRIM(INDEX(INDIRECT("'Выгрузка'!A2054:Z2054"),Настройки!$B$9)),",","."),".",MID(1/2,2,1)),"")</f>
        <v/>
      </c>
      <c r="C2054">
        <f>TRIM(INDEX(INDIRECT("'Выгрузка'!A2054:Z2054"),Настройки!$B$8)&amp;"")</f>
        <v/>
      </c>
      <c r="D2054">
        <f>IFERROR(--SUBSTITUTE(SUBSTITUTE(TRIM(INDEX(INDIRECT("'Выгрузка'!A2054:Z2054"),Настройки!$B$10)),",","."),".",MID(1/2,2,1)),"")</f>
        <v/>
      </c>
      <c r="E2054">
        <f>IFERROR(--SUBSTITUTE(SUBSTITUTE(TRIM(INDEX(INDIRECT("'Выгрузка'!A2054:Z2054"),Настройки!$B$11)),",","."),".",MID(1/2,2,1)),"")</f>
        <v/>
      </c>
      <c r="F2054">
        <f>TRIM(INDEX(INDIRECT("'Выгрузка'!A2054:Z2054"),Настройки!$B$12)&amp;"")</f>
        <v/>
      </c>
      <c r="G2054">
        <f>IF(F2054="",0,IF(TRIM(INDEX(INDIRECT("'Выгрузка'!A2054:Z2054"),Настройки!$B$13)&amp;"")="",1,IFERROR(--SUBSTITUTE(SUBSTITUTE(TRIM(INDEX(INDIRECT("'Выгрузка'!A2054:Z2054"),Настройки!$B$13)),",","."),".",MID(1/2,2,1)),"")))</f>
        <v/>
      </c>
      <c r="H2054">
        <f>IF(F2054="",0,IF(COUNTIF(Настройки!$B$17:$B$26,F2054)&gt;0,1,IF(COUNTIF(Настройки!$C$17:$C$26,F2054)&gt;0,2,IF(COUNTIF(Настройки!$D$17:$D$26,F2054)&gt;0,3,0))))</f>
        <v/>
      </c>
      <c r="I2054">
        <f>IF(AND(ISNUMBER(A2054),ISNUMBER(B2054)),A2054*1000+B2054,"")</f>
        <v/>
      </c>
      <c r="J2054">
        <f>IF(I2054="","",IF(COUNTIF(I$2:I2054,I2054)=1,MAX(J$1:J2053)+1,""))</f>
        <v/>
      </c>
    </row>
    <row r="2055">
      <c r="A2055">
        <f>IFERROR(--SUBSTITUTE(SUBSTITUTE(TRIM(INDEX(INDIRECT("'Выгрузка'!A2055:Z2055"),Настройки!$B$7)),",","."),".",MID(1/2,2,1)),"")</f>
        <v/>
      </c>
      <c r="B2055">
        <f>IFERROR(--SUBSTITUTE(SUBSTITUTE(TRIM(INDEX(INDIRECT("'Выгрузка'!A2055:Z2055"),Настройки!$B$9)),",","."),".",MID(1/2,2,1)),"")</f>
        <v/>
      </c>
      <c r="C2055">
        <f>TRIM(INDEX(INDIRECT("'Выгрузка'!A2055:Z2055"),Настройки!$B$8)&amp;"")</f>
        <v/>
      </c>
      <c r="D2055">
        <f>IFERROR(--SUBSTITUTE(SUBSTITUTE(TRIM(INDEX(INDIRECT("'Выгрузка'!A2055:Z2055"),Настройки!$B$10)),",","."),".",MID(1/2,2,1)),"")</f>
        <v/>
      </c>
      <c r="E2055">
        <f>IFERROR(--SUBSTITUTE(SUBSTITUTE(TRIM(INDEX(INDIRECT("'Выгрузка'!A2055:Z2055"),Настройки!$B$11)),",","."),".",MID(1/2,2,1)),"")</f>
        <v/>
      </c>
      <c r="F2055">
        <f>TRIM(INDEX(INDIRECT("'Выгрузка'!A2055:Z2055"),Настройки!$B$12)&amp;"")</f>
        <v/>
      </c>
      <c r="G2055">
        <f>IF(F2055="",0,IF(TRIM(INDEX(INDIRECT("'Выгрузка'!A2055:Z2055"),Настройки!$B$13)&amp;"")="",1,IFERROR(--SUBSTITUTE(SUBSTITUTE(TRIM(INDEX(INDIRECT("'Выгрузка'!A2055:Z2055"),Настройки!$B$13)),",","."),".",MID(1/2,2,1)),"")))</f>
        <v/>
      </c>
      <c r="H2055">
        <f>IF(F2055="",0,IF(COUNTIF(Настройки!$B$17:$B$26,F2055)&gt;0,1,IF(COUNTIF(Настройки!$C$17:$C$26,F2055)&gt;0,2,IF(COUNTIF(Настройки!$D$17:$D$26,F2055)&gt;0,3,0))))</f>
        <v/>
      </c>
      <c r="I2055">
        <f>IF(AND(ISNUMBER(A2055),ISNUMBER(B2055)),A2055*1000+B2055,"")</f>
        <v/>
      </c>
      <c r="J2055">
        <f>IF(I2055="","",IF(COUNTIF(I$2:I2055,I2055)=1,MAX(J$1:J2054)+1,""))</f>
        <v/>
      </c>
    </row>
    <row r="2056">
      <c r="A2056">
        <f>IFERROR(--SUBSTITUTE(SUBSTITUTE(TRIM(INDEX(INDIRECT("'Выгрузка'!A2056:Z2056"),Настройки!$B$7)),",","."),".",MID(1/2,2,1)),"")</f>
        <v/>
      </c>
      <c r="B2056">
        <f>IFERROR(--SUBSTITUTE(SUBSTITUTE(TRIM(INDEX(INDIRECT("'Выгрузка'!A2056:Z2056"),Настройки!$B$9)),",","."),".",MID(1/2,2,1)),"")</f>
        <v/>
      </c>
      <c r="C2056">
        <f>TRIM(INDEX(INDIRECT("'Выгрузка'!A2056:Z2056"),Настройки!$B$8)&amp;"")</f>
        <v/>
      </c>
      <c r="D2056">
        <f>IFERROR(--SUBSTITUTE(SUBSTITUTE(TRIM(INDEX(INDIRECT("'Выгрузка'!A2056:Z2056"),Настройки!$B$10)),",","."),".",MID(1/2,2,1)),"")</f>
        <v/>
      </c>
      <c r="E2056">
        <f>IFERROR(--SUBSTITUTE(SUBSTITUTE(TRIM(INDEX(INDIRECT("'Выгрузка'!A2056:Z2056"),Настройки!$B$11)),",","."),".",MID(1/2,2,1)),"")</f>
        <v/>
      </c>
      <c r="F2056">
        <f>TRIM(INDEX(INDIRECT("'Выгрузка'!A2056:Z2056"),Настройки!$B$12)&amp;"")</f>
        <v/>
      </c>
      <c r="G2056">
        <f>IF(F2056="",0,IF(TRIM(INDEX(INDIRECT("'Выгрузка'!A2056:Z2056"),Настройки!$B$13)&amp;"")="",1,IFERROR(--SUBSTITUTE(SUBSTITUTE(TRIM(INDEX(INDIRECT("'Выгрузка'!A2056:Z2056"),Настройки!$B$13)),",","."),".",MID(1/2,2,1)),"")))</f>
        <v/>
      </c>
      <c r="H2056">
        <f>IF(F2056="",0,IF(COUNTIF(Настройки!$B$17:$B$26,F2056)&gt;0,1,IF(COUNTIF(Настройки!$C$17:$C$26,F2056)&gt;0,2,IF(COUNTIF(Настройки!$D$17:$D$26,F2056)&gt;0,3,0))))</f>
        <v/>
      </c>
      <c r="I2056">
        <f>IF(AND(ISNUMBER(A2056),ISNUMBER(B2056)),A2056*1000+B2056,"")</f>
        <v/>
      </c>
      <c r="J2056">
        <f>IF(I2056="","",IF(COUNTIF(I$2:I2056,I2056)=1,MAX(J$1:J2055)+1,""))</f>
        <v/>
      </c>
    </row>
    <row r="2057">
      <c r="A2057">
        <f>IFERROR(--SUBSTITUTE(SUBSTITUTE(TRIM(INDEX(INDIRECT("'Выгрузка'!A2057:Z2057"),Настройки!$B$7)),",","."),".",MID(1/2,2,1)),"")</f>
        <v/>
      </c>
      <c r="B2057">
        <f>IFERROR(--SUBSTITUTE(SUBSTITUTE(TRIM(INDEX(INDIRECT("'Выгрузка'!A2057:Z2057"),Настройки!$B$9)),",","."),".",MID(1/2,2,1)),"")</f>
        <v/>
      </c>
      <c r="C2057">
        <f>TRIM(INDEX(INDIRECT("'Выгрузка'!A2057:Z2057"),Настройки!$B$8)&amp;"")</f>
        <v/>
      </c>
      <c r="D2057">
        <f>IFERROR(--SUBSTITUTE(SUBSTITUTE(TRIM(INDEX(INDIRECT("'Выгрузка'!A2057:Z2057"),Настройки!$B$10)),",","."),".",MID(1/2,2,1)),"")</f>
        <v/>
      </c>
      <c r="E2057">
        <f>IFERROR(--SUBSTITUTE(SUBSTITUTE(TRIM(INDEX(INDIRECT("'Выгрузка'!A2057:Z2057"),Настройки!$B$11)),",","."),".",MID(1/2,2,1)),"")</f>
        <v/>
      </c>
      <c r="F2057">
        <f>TRIM(INDEX(INDIRECT("'Выгрузка'!A2057:Z2057"),Настройки!$B$12)&amp;"")</f>
        <v/>
      </c>
      <c r="G2057">
        <f>IF(F2057="",0,IF(TRIM(INDEX(INDIRECT("'Выгрузка'!A2057:Z2057"),Настройки!$B$13)&amp;"")="",1,IFERROR(--SUBSTITUTE(SUBSTITUTE(TRIM(INDEX(INDIRECT("'Выгрузка'!A2057:Z2057"),Настройки!$B$13)),",","."),".",MID(1/2,2,1)),"")))</f>
        <v/>
      </c>
      <c r="H2057">
        <f>IF(F2057="",0,IF(COUNTIF(Настройки!$B$17:$B$26,F2057)&gt;0,1,IF(COUNTIF(Настройки!$C$17:$C$26,F2057)&gt;0,2,IF(COUNTIF(Настройки!$D$17:$D$26,F2057)&gt;0,3,0))))</f>
        <v/>
      </c>
      <c r="I2057">
        <f>IF(AND(ISNUMBER(A2057),ISNUMBER(B2057)),A2057*1000+B2057,"")</f>
        <v/>
      </c>
      <c r="J2057">
        <f>IF(I2057="","",IF(COUNTIF(I$2:I2057,I2057)=1,MAX(J$1:J2056)+1,""))</f>
        <v/>
      </c>
    </row>
    <row r="2058">
      <c r="A2058">
        <f>IFERROR(--SUBSTITUTE(SUBSTITUTE(TRIM(INDEX(INDIRECT("'Выгрузка'!A2058:Z2058"),Настройки!$B$7)),",","."),".",MID(1/2,2,1)),"")</f>
        <v/>
      </c>
      <c r="B2058">
        <f>IFERROR(--SUBSTITUTE(SUBSTITUTE(TRIM(INDEX(INDIRECT("'Выгрузка'!A2058:Z2058"),Настройки!$B$9)),",","."),".",MID(1/2,2,1)),"")</f>
        <v/>
      </c>
      <c r="C2058">
        <f>TRIM(INDEX(INDIRECT("'Выгрузка'!A2058:Z2058"),Настройки!$B$8)&amp;"")</f>
        <v/>
      </c>
      <c r="D2058">
        <f>IFERROR(--SUBSTITUTE(SUBSTITUTE(TRIM(INDEX(INDIRECT("'Выгрузка'!A2058:Z2058"),Настройки!$B$10)),",","."),".",MID(1/2,2,1)),"")</f>
        <v/>
      </c>
      <c r="E2058">
        <f>IFERROR(--SUBSTITUTE(SUBSTITUTE(TRIM(INDEX(INDIRECT("'Выгрузка'!A2058:Z2058"),Настройки!$B$11)),",","."),".",MID(1/2,2,1)),"")</f>
        <v/>
      </c>
      <c r="F2058">
        <f>TRIM(INDEX(INDIRECT("'Выгрузка'!A2058:Z2058"),Настройки!$B$12)&amp;"")</f>
        <v/>
      </c>
      <c r="G2058">
        <f>IF(F2058="",0,IF(TRIM(INDEX(INDIRECT("'Выгрузка'!A2058:Z2058"),Настройки!$B$13)&amp;"")="",1,IFERROR(--SUBSTITUTE(SUBSTITUTE(TRIM(INDEX(INDIRECT("'Выгрузка'!A2058:Z2058"),Настройки!$B$13)),",","."),".",MID(1/2,2,1)),"")))</f>
        <v/>
      </c>
      <c r="H2058">
        <f>IF(F2058="",0,IF(COUNTIF(Настройки!$B$17:$B$26,F2058)&gt;0,1,IF(COUNTIF(Настройки!$C$17:$C$26,F2058)&gt;0,2,IF(COUNTIF(Настройки!$D$17:$D$26,F2058)&gt;0,3,0))))</f>
        <v/>
      </c>
      <c r="I2058">
        <f>IF(AND(ISNUMBER(A2058),ISNUMBER(B2058)),A2058*1000+B2058,"")</f>
        <v/>
      </c>
      <c r="J2058">
        <f>IF(I2058="","",IF(COUNTIF(I$2:I2058,I2058)=1,MAX(J$1:J2057)+1,""))</f>
        <v/>
      </c>
    </row>
    <row r="2059">
      <c r="A2059">
        <f>IFERROR(--SUBSTITUTE(SUBSTITUTE(TRIM(INDEX(INDIRECT("'Выгрузка'!A2059:Z2059"),Настройки!$B$7)),",","."),".",MID(1/2,2,1)),"")</f>
        <v/>
      </c>
      <c r="B2059">
        <f>IFERROR(--SUBSTITUTE(SUBSTITUTE(TRIM(INDEX(INDIRECT("'Выгрузка'!A2059:Z2059"),Настройки!$B$9)),",","."),".",MID(1/2,2,1)),"")</f>
        <v/>
      </c>
      <c r="C2059">
        <f>TRIM(INDEX(INDIRECT("'Выгрузка'!A2059:Z2059"),Настройки!$B$8)&amp;"")</f>
        <v/>
      </c>
      <c r="D2059">
        <f>IFERROR(--SUBSTITUTE(SUBSTITUTE(TRIM(INDEX(INDIRECT("'Выгрузка'!A2059:Z2059"),Настройки!$B$10)),",","."),".",MID(1/2,2,1)),"")</f>
        <v/>
      </c>
      <c r="E2059">
        <f>IFERROR(--SUBSTITUTE(SUBSTITUTE(TRIM(INDEX(INDIRECT("'Выгрузка'!A2059:Z2059"),Настройки!$B$11)),",","."),".",MID(1/2,2,1)),"")</f>
        <v/>
      </c>
      <c r="F2059">
        <f>TRIM(INDEX(INDIRECT("'Выгрузка'!A2059:Z2059"),Настройки!$B$12)&amp;"")</f>
        <v/>
      </c>
      <c r="G2059">
        <f>IF(F2059="",0,IF(TRIM(INDEX(INDIRECT("'Выгрузка'!A2059:Z2059"),Настройки!$B$13)&amp;"")="",1,IFERROR(--SUBSTITUTE(SUBSTITUTE(TRIM(INDEX(INDIRECT("'Выгрузка'!A2059:Z2059"),Настройки!$B$13)),",","."),".",MID(1/2,2,1)),"")))</f>
        <v/>
      </c>
      <c r="H2059">
        <f>IF(F2059="",0,IF(COUNTIF(Настройки!$B$17:$B$26,F2059)&gt;0,1,IF(COUNTIF(Настройки!$C$17:$C$26,F2059)&gt;0,2,IF(COUNTIF(Настройки!$D$17:$D$26,F2059)&gt;0,3,0))))</f>
        <v/>
      </c>
      <c r="I2059">
        <f>IF(AND(ISNUMBER(A2059),ISNUMBER(B2059)),A2059*1000+B2059,"")</f>
        <v/>
      </c>
      <c r="J2059">
        <f>IF(I2059="","",IF(COUNTIF(I$2:I2059,I2059)=1,MAX(J$1:J2058)+1,""))</f>
        <v/>
      </c>
    </row>
    <row r="2060">
      <c r="A2060">
        <f>IFERROR(--SUBSTITUTE(SUBSTITUTE(TRIM(INDEX(INDIRECT("'Выгрузка'!A2060:Z2060"),Настройки!$B$7)),",","."),".",MID(1/2,2,1)),"")</f>
        <v/>
      </c>
      <c r="B2060">
        <f>IFERROR(--SUBSTITUTE(SUBSTITUTE(TRIM(INDEX(INDIRECT("'Выгрузка'!A2060:Z2060"),Настройки!$B$9)),",","."),".",MID(1/2,2,1)),"")</f>
        <v/>
      </c>
      <c r="C2060">
        <f>TRIM(INDEX(INDIRECT("'Выгрузка'!A2060:Z2060"),Настройки!$B$8)&amp;"")</f>
        <v/>
      </c>
      <c r="D2060">
        <f>IFERROR(--SUBSTITUTE(SUBSTITUTE(TRIM(INDEX(INDIRECT("'Выгрузка'!A2060:Z2060"),Настройки!$B$10)),",","."),".",MID(1/2,2,1)),"")</f>
        <v/>
      </c>
      <c r="E2060">
        <f>IFERROR(--SUBSTITUTE(SUBSTITUTE(TRIM(INDEX(INDIRECT("'Выгрузка'!A2060:Z2060"),Настройки!$B$11)),",","."),".",MID(1/2,2,1)),"")</f>
        <v/>
      </c>
      <c r="F2060">
        <f>TRIM(INDEX(INDIRECT("'Выгрузка'!A2060:Z2060"),Настройки!$B$12)&amp;"")</f>
        <v/>
      </c>
      <c r="G2060">
        <f>IF(F2060="",0,IF(TRIM(INDEX(INDIRECT("'Выгрузка'!A2060:Z2060"),Настройки!$B$13)&amp;"")="",1,IFERROR(--SUBSTITUTE(SUBSTITUTE(TRIM(INDEX(INDIRECT("'Выгрузка'!A2060:Z2060"),Настройки!$B$13)),",","."),".",MID(1/2,2,1)),"")))</f>
        <v/>
      </c>
      <c r="H2060">
        <f>IF(F2060="",0,IF(COUNTIF(Настройки!$B$17:$B$26,F2060)&gt;0,1,IF(COUNTIF(Настройки!$C$17:$C$26,F2060)&gt;0,2,IF(COUNTIF(Настройки!$D$17:$D$26,F2060)&gt;0,3,0))))</f>
        <v/>
      </c>
      <c r="I2060">
        <f>IF(AND(ISNUMBER(A2060),ISNUMBER(B2060)),A2060*1000+B2060,"")</f>
        <v/>
      </c>
      <c r="J2060">
        <f>IF(I2060="","",IF(COUNTIF(I$2:I2060,I2060)=1,MAX(J$1:J2059)+1,""))</f>
        <v/>
      </c>
    </row>
    <row r="2061">
      <c r="A2061">
        <f>IFERROR(--SUBSTITUTE(SUBSTITUTE(TRIM(INDEX(INDIRECT("'Выгрузка'!A2061:Z2061"),Настройки!$B$7)),",","."),".",MID(1/2,2,1)),"")</f>
        <v/>
      </c>
      <c r="B2061">
        <f>IFERROR(--SUBSTITUTE(SUBSTITUTE(TRIM(INDEX(INDIRECT("'Выгрузка'!A2061:Z2061"),Настройки!$B$9)),",","."),".",MID(1/2,2,1)),"")</f>
        <v/>
      </c>
      <c r="C2061">
        <f>TRIM(INDEX(INDIRECT("'Выгрузка'!A2061:Z2061"),Настройки!$B$8)&amp;"")</f>
        <v/>
      </c>
      <c r="D2061">
        <f>IFERROR(--SUBSTITUTE(SUBSTITUTE(TRIM(INDEX(INDIRECT("'Выгрузка'!A2061:Z2061"),Настройки!$B$10)),",","."),".",MID(1/2,2,1)),"")</f>
        <v/>
      </c>
      <c r="E2061">
        <f>IFERROR(--SUBSTITUTE(SUBSTITUTE(TRIM(INDEX(INDIRECT("'Выгрузка'!A2061:Z2061"),Настройки!$B$11)),",","."),".",MID(1/2,2,1)),"")</f>
        <v/>
      </c>
      <c r="F2061">
        <f>TRIM(INDEX(INDIRECT("'Выгрузка'!A2061:Z2061"),Настройки!$B$12)&amp;"")</f>
        <v/>
      </c>
      <c r="G2061">
        <f>IF(F2061="",0,IF(TRIM(INDEX(INDIRECT("'Выгрузка'!A2061:Z2061"),Настройки!$B$13)&amp;"")="",1,IFERROR(--SUBSTITUTE(SUBSTITUTE(TRIM(INDEX(INDIRECT("'Выгрузка'!A2061:Z2061"),Настройки!$B$13)),",","."),".",MID(1/2,2,1)),"")))</f>
        <v/>
      </c>
      <c r="H2061">
        <f>IF(F2061="",0,IF(COUNTIF(Настройки!$B$17:$B$26,F2061)&gt;0,1,IF(COUNTIF(Настройки!$C$17:$C$26,F2061)&gt;0,2,IF(COUNTIF(Настройки!$D$17:$D$26,F2061)&gt;0,3,0))))</f>
        <v/>
      </c>
      <c r="I2061">
        <f>IF(AND(ISNUMBER(A2061),ISNUMBER(B2061)),A2061*1000+B2061,"")</f>
        <v/>
      </c>
      <c r="J2061">
        <f>IF(I2061="","",IF(COUNTIF(I$2:I2061,I2061)=1,MAX(J$1:J2060)+1,""))</f>
        <v/>
      </c>
    </row>
    <row r="2062">
      <c r="A2062">
        <f>IFERROR(--SUBSTITUTE(SUBSTITUTE(TRIM(INDEX(INDIRECT("'Выгрузка'!A2062:Z2062"),Настройки!$B$7)),",","."),".",MID(1/2,2,1)),"")</f>
        <v/>
      </c>
      <c r="B2062">
        <f>IFERROR(--SUBSTITUTE(SUBSTITUTE(TRIM(INDEX(INDIRECT("'Выгрузка'!A2062:Z2062"),Настройки!$B$9)),",","."),".",MID(1/2,2,1)),"")</f>
        <v/>
      </c>
      <c r="C2062">
        <f>TRIM(INDEX(INDIRECT("'Выгрузка'!A2062:Z2062"),Настройки!$B$8)&amp;"")</f>
        <v/>
      </c>
      <c r="D2062">
        <f>IFERROR(--SUBSTITUTE(SUBSTITUTE(TRIM(INDEX(INDIRECT("'Выгрузка'!A2062:Z2062"),Настройки!$B$10)),",","."),".",MID(1/2,2,1)),"")</f>
        <v/>
      </c>
      <c r="E2062">
        <f>IFERROR(--SUBSTITUTE(SUBSTITUTE(TRIM(INDEX(INDIRECT("'Выгрузка'!A2062:Z2062"),Настройки!$B$11)),",","."),".",MID(1/2,2,1)),"")</f>
        <v/>
      </c>
      <c r="F2062">
        <f>TRIM(INDEX(INDIRECT("'Выгрузка'!A2062:Z2062"),Настройки!$B$12)&amp;"")</f>
        <v/>
      </c>
      <c r="G2062">
        <f>IF(F2062="",0,IF(TRIM(INDEX(INDIRECT("'Выгрузка'!A2062:Z2062"),Настройки!$B$13)&amp;"")="",1,IFERROR(--SUBSTITUTE(SUBSTITUTE(TRIM(INDEX(INDIRECT("'Выгрузка'!A2062:Z2062"),Настройки!$B$13)),",","."),".",MID(1/2,2,1)),"")))</f>
        <v/>
      </c>
      <c r="H2062">
        <f>IF(F2062="",0,IF(COUNTIF(Настройки!$B$17:$B$26,F2062)&gt;0,1,IF(COUNTIF(Настройки!$C$17:$C$26,F2062)&gt;0,2,IF(COUNTIF(Настройки!$D$17:$D$26,F2062)&gt;0,3,0))))</f>
        <v/>
      </c>
      <c r="I2062">
        <f>IF(AND(ISNUMBER(A2062),ISNUMBER(B2062)),A2062*1000+B2062,"")</f>
        <v/>
      </c>
      <c r="J2062">
        <f>IF(I2062="","",IF(COUNTIF(I$2:I2062,I2062)=1,MAX(J$1:J2061)+1,""))</f>
        <v/>
      </c>
    </row>
    <row r="2063">
      <c r="A2063">
        <f>IFERROR(--SUBSTITUTE(SUBSTITUTE(TRIM(INDEX(INDIRECT("'Выгрузка'!A2063:Z2063"),Настройки!$B$7)),",","."),".",MID(1/2,2,1)),"")</f>
        <v/>
      </c>
      <c r="B2063">
        <f>IFERROR(--SUBSTITUTE(SUBSTITUTE(TRIM(INDEX(INDIRECT("'Выгрузка'!A2063:Z2063"),Настройки!$B$9)),",","."),".",MID(1/2,2,1)),"")</f>
        <v/>
      </c>
      <c r="C2063">
        <f>TRIM(INDEX(INDIRECT("'Выгрузка'!A2063:Z2063"),Настройки!$B$8)&amp;"")</f>
        <v/>
      </c>
      <c r="D2063">
        <f>IFERROR(--SUBSTITUTE(SUBSTITUTE(TRIM(INDEX(INDIRECT("'Выгрузка'!A2063:Z2063"),Настройки!$B$10)),",","."),".",MID(1/2,2,1)),"")</f>
        <v/>
      </c>
      <c r="E2063">
        <f>IFERROR(--SUBSTITUTE(SUBSTITUTE(TRIM(INDEX(INDIRECT("'Выгрузка'!A2063:Z2063"),Настройки!$B$11)),",","."),".",MID(1/2,2,1)),"")</f>
        <v/>
      </c>
      <c r="F2063">
        <f>TRIM(INDEX(INDIRECT("'Выгрузка'!A2063:Z2063"),Настройки!$B$12)&amp;"")</f>
        <v/>
      </c>
      <c r="G2063">
        <f>IF(F2063="",0,IF(TRIM(INDEX(INDIRECT("'Выгрузка'!A2063:Z2063"),Настройки!$B$13)&amp;"")="",1,IFERROR(--SUBSTITUTE(SUBSTITUTE(TRIM(INDEX(INDIRECT("'Выгрузка'!A2063:Z2063"),Настройки!$B$13)),",","."),".",MID(1/2,2,1)),"")))</f>
        <v/>
      </c>
      <c r="H2063">
        <f>IF(F2063="",0,IF(COUNTIF(Настройки!$B$17:$B$26,F2063)&gt;0,1,IF(COUNTIF(Настройки!$C$17:$C$26,F2063)&gt;0,2,IF(COUNTIF(Настройки!$D$17:$D$26,F2063)&gt;0,3,0))))</f>
        <v/>
      </c>
      <c r="I2063">
        <f>IF(AND(ISNUMBER(A2063),ISNUMBER(B2063)),A2063*1000+B2063,"")</f>
        <v/>
      </c>
      <c r="J2063">
        <f>IF(I2063="","",IF(COUNTIF(I$2:I2063,I2063)=1,MAX(J$1:J2062)+1,""))</f>
        <v/>
      </c>
    </row>
    <row r="2064">
      <c r="A2064">
        <f>IFERROR(--SUBSTITUTE(SUBSTITUTE(TRIM(INDEX(INDIRECT("'Выгрузка'!A2064:Z2064"),Настройки!$B$7)),",","."),".",MID(1/2,2,1)),"")</f>
        <v/>
      </c>
      <c r="B2064">
        <f>IFERROR(--SUBSTITUTE(SUBSTITUTE(TRIM(INDEX(INDIRECT("'Выгрузка'!A2064:Z2064"),Настройки!$B$9)),",","."),".",MID(1/2,2,1)),"")</f>
        <v/>
      </c>
      <c r="C2064">
        <f>TRIM(INDEX(INDIRECT("'Выгрузка'!A2064:Z2064"),Настройки!$B$8)&amp;"")</f>
        <v/>
      </c>
      <c r="D2064">
        <f>IFERROR(--SUBSTITUTE(SUBSTITUTE(TRIM(INDEX(INDIRECT("'Выгрузка'!A2064:Z2064"),Настройки!$B$10)),",","."),".",MID(1/2,2,1)),"")</f>
        <v/>
      </c>
      <c r="E2064">
        <f>IFERROR(--SUBSTITUTE(SUBSTITUTE(TRIM(INDEX(INDIRECT("'Выгрузка'!A2064:Z2064"),Настройки!$B$11)),",","."),".",MID(1/2,2,1)),"")</f>
        <v/>
      </c>
      <c r="F2064">
        <f>TRIM(INDEX(INDIRECT("'Выгрузка'!A2064:Z2064"),Настройки!$B$12)&amp;"")</f>
        <v/>
      </c>
      <c r="G2064">
        <f>IF(F2064="",0,IF(TRIM(INDEX(INDIRECT("'Выгрузка'!A2064:Z2064"),Настройки!$B$13)&amp;"")="",1,IFERROR(--SUBSTITUTE(SUBSTITUTE(TRIM(INDEX(INDIRECT("'Выгрузка'!A2064:Z2064"),Настройки!$B$13)),",","."),".",MID(1/2,2,1)),"")))</f>
        <v/>
      </c>
      <c r="H2064">
        <f>IF(F2064="",0,IF(COUNTIF(Настройки!$B$17:$B$26,F2064)&gt;0,1,IF(COUNTIF(Настройки!$C$17:$C$26,F2064)&gt;0,2,IF(COUNTIF(Настройки!$D$17:$D$26,F2064)&gt;0,3,0))))</f>
        <v/>
      </c>
      <c r="I2064">
        <f>IF(AND(ISNUMBER(A2064),ISNUMBER(B2064)),A2064*1000+B2064,"")</f>
        <v/>
      </c>
      <c r="J2064">
        <f>IF(I2064="","",IF(COUNTIF(I$2:I2064,I2064)=1,MAX(J$1:J2063)+1,""))</f>
        <v/>
      </c>
    </row>
    <row r="2065">
      <c r="A2065">
        <f>IFERROR(--SUBSTITUTE(SUBSTITUTE(TRIM(INDEX(INDIRECT("'Выгрузка'!A2065:Z2065"),Настройки!$B$7)),",","."),".",MID(1/2,2,1)),"")</f>
        <v/>
      </c>
      <c r="B2065">
        <f>IFERROR(--SUBSTITUTE(SUBSTITUTE(TRIM(INDEX(INDIRECT("'Выгрузка'!A2065:Z2065"),Настройки!$B$9)),",","."),".",MID(1/2,2,1)),"")</f>
        <v/>
      </c>
      <c r="C2065">
        <f>TRIM(INDEX(INDIRECT("'Выгрузка'!A2065:Z2065"),Настройки!$B$8)&amp;"")</f>
        <v/>
      </c>
      <c r="D2065">
        <f>IFERROR(--SUBSTITUTE(SUBSTITUTE(TRIM(INDEX(INDIRECT("'Выгрузка'!A2065:Z2065"),Настройки!$B$10)),",","."),".",MID(1/2,2,1)),"")</f>
        <v/>
      </c>
      <c r="E2065">
        <f>IFERROR(--SUBSTITUTE(SUBSTITUTE(TRIM(INDEX(INDIRECT("'Выгрузка'!A2065:Z2065"),Настройки!$B$11)),",","."),".",MID(1/2,2,1)),"")</f>
        <v/>
      </c>
      <c r="F2065">
        <f>TRIM(INDEX(INDIRECT("'Выгрузка'!A2065:Z2065"),Настройки!$B$12)&amp;"")</f>
        <v/>
      </c>
      <c r="G2065">
        <f>IF(F2065="",0,IF(TRIM(INDEX(INDIRECT("'Выгрузка'!A2065:Z2065"),Настройки!$B$13)&amp;"")="",1,IFERROR(--SUBSTITUTE(SUBSTITUTE(TRIM(INDEX(INDIRECT("'Выгрузка'!A2065:Z2065"),Настройки!$B$13)),",","."),".",MID(1/2,2,1)),"")))</f>
        <v/>
      </c>
      <c r="H2065">
        <f>IF(F2065="",0,IF(COUNTIF(Настройки!$B$17:$B$26,F2065)&gt;0,1,IF(COUNTIF(Настройки!$C$17:$C$26,F2065)&gt;0,2,IF(COUNTIF(Настройки!$D$17:$D$26,F2065)&gt;0,3,0))))</f>
        <v/>
      </c>
      <c r="I2065">
        <f>IF(AND(ISNUMBER(A2065),ISNUMBER(B2065)),A2065*1000+B2065,"")</f>
        <v/>
      </c>
      <c r="J2065">
        <f>IF(I2065="","",IF(COUNTIF(I$2:I2065,I2065)=1,MAX(J$1:J2064)+1,""))</f>
        <v/>
      </c>
    </row>
    <row r="2066">
      <c r="A2066">
        <f>IFERROR(--SUBSTITUTE(SUBSTITUTE(TRIM(INDEX(INDIRECT("'Выгрузка'!A2066:Z2066"),Настройки!$B$7)),",","."),".",MID(1/2,2,1)),"")</f>
        <v/>
      </c>
      <c r="B2066">
        <f>IFERROR(--SUBSTITUTE(SUBSTITUTE(TRIM(INDEX(INDIRECT("'Выгрузка'!A2066:Z2066"),Настройки!$B$9)),",","."),".",MID(1/2,2,1)),"")</f>
        <v/>
      </c>
      <c r="C2066">
        <f>TRIM(INDEX(INDIRECT("'Выгрузка'!A2066:Z2066"),Настройки!$B$8)&amp;"")</f>
        <v/>
      </c>
      <c r="D2066">
        <f>IFERROR(--SUBSTITUTE(SUBSTITUTE(TRIM(INDEX(INDIRECT("'Выгрузка'!A2066:Z2066"),Настройки!$B$10)),",","."),".",MID(1/2,2,1)),"")</f>
        <v/>
      </c>
      <c r="E2066">
        <f>IFERROR(--SUBSTITUTE(SUBSTITUTE(TRIM(INDEX(INDIRECT("'Выгрузка'!A2066:Z2066"),Настройки!$B$11)),",","."),".",MID(1/2,2,1)),"")</f>
        <v/>
      </c>
      <c r="F2066">
        <f>TRIM(INDEX(INDIRECT("'Выгрузка'!A2066:Z2066"),Настройки!$B$12)&amp;"")</f>
        <v/>
      </c>
      <c r="G2066">
        <f>IF(F2066="",0,IF(TRIM(INDEX(INDIRECT("'Выгрузка'!A2066:Z2066"),Настройки!$B$13)&amp;"")="",1,IFERROR(--SUBSTITUTE(SUBSTITUTE(TRIM(INDEX(INDIRECT("'Выгрузка'!A2066:Z2066"),Настройки!$B$13)),",","."),".",MID(1/2,2,1)),"")))</f>
        <v/>
      </c>
      <c r="H2066">
        <f>IF(F2066="",0,IF(COUNTIF(Настройки!$B$17:$B$26,F2066)&gt;0,1,IF(COUNTIF(Настройки!$C$17:$C$26,F2066)&gt;0,2,IF(COUNTIF(Настройки!$D$17:$D$26,F2066)&gt;0,3,0))))</f>
        <v/>
      </c>
      <c r="I2066">
        <f>IF(AND(ISNUMBER(A2066),ISNUMBER(B2066)),A2066*1000+B2066,"")</f>
        <v/>
      </c>
      <c r="J2066">
        <f>IF(I2066="","",IF(COUNTIF(I$2:I2066,I2066)=1,MAX(J$1:J2065)+1,""))</f>
        <v/>
      </c>
    </row>
    <row r="2067">
      <c r="A2067">
        <f>IFERROR(--SUBSTITUTE(SUBSTITUTE(TRIM(INDEX(INDIRECT("'Выгрузка'!A2067:Z2067"),Настройки!$B$7)),",","."),".",MID(1/2,2,1)),"")</f>
        <v/>
      </c>
      <c r="B2067">
        <f>IFERROR(--SUBSTITUTE(SUBSTITUTE(TRIM(INDEX(INDIRECT("'Выгрузка'!A2067:Z2067"),Настройки!$B$9)),",","."),".",MID(1/2,2,1)),"")</f>
        <v/>
      </c>
      <c r="C2067">
        <f>TRIM(INDEX(INDIRECT("'Выгрузка'!A2067:Z2067"),Настройки!$B$8)&amp;"")</f>
        <v/>
      </c>
      <c r="D2067">
        <f>IFERROR(--SUBSTITUTE(SUBSTITUTE(TRIM(INDEX(INDIRECT("'Выгрузка'!A2067:Z2067"),Настройки!$B$10)),",","."),".",MID(1/2,2,1)),"")</f>
        <v/>
      </c>
      <c r="E2067">
        <f>IFERROR(--SUBSTITUTE(SUBSTITUTE(TRIM(INDEX(INDIRECT("'Выгрузка'!A2067:Z2067"),Настройки!$B$11)),",","."),".",MID(1/2,2,1)),"")</f>
        <v/>
      </c>
      <c r="F2067">
        <f>TRIM(INDEX(INDIRECT("'Выгрузка'!A2067:Z2067"),Настройки!$B$12)&amp;"")</f>
        <v/>
      </c>
      <c r="G2067">
        <f>IF(F2067="",0,IF(TRIM(INDEX(INDIRECT("'Выгрузка'!A2067:Z2067"),Настройки!$B$13)&amp;"")="",1,IFERROR(--SUBSTITUTE(SUBSTITUTE(TRIM(INDEX(INDIRECT("'Выгрузка'!A2067:Z2067"),Настройки!$B$13)),",","."),".",MID(1/2,2,1)),"")))</f>
        <v/>
      </c>
      <c r="H2067">
        <f>IF(F2067="",0,IF(COUNTIF(Настройки!$B$17:$B$26,F2067)&gt;0,1,IF(COUNTIF(Настройки!$C$17:$C$26,F2067)&gt;0,2,IF(COUNTIF(Настройки!$D$17:$D$26,F2067)&gt;0,3,0))))</f>
        <v/>
      </c>
      <c r="I2067">
        <f>IF(AND(ISNUMBER(A2067),ISNUMBER(B2067)),A2067*1000+B2067,"")</f>
        <v/>
      </c>
      <c r="J2067">
        <f>IF(I2067="","",IF(COUNTIF(I$2:I2067,I2067)=1,MAX(J$1:J2066)+1,""))</f>
        <v/>
      </c>
    </row>
    <row r="2068">
      <c r="A2068">
        <f>IFERROR(--SUBSTITUTE(SUBSTITUTE(TRIM(INDEX(INDIRECT("'Выгрузка'!A2068:Z2068"),Настройки!$B$7)),",","."),".",MID(1/2,2,1)),"")</f>
        <v/>
      </c>
      <c r="B2068">
        <f>IFERROR(--SUBSTITUTE(SUBSTITUTE(TRIM(INDEX(INDIRECT("'Выгрузка'!A2068:Z2068"),Настройки!$B$9)),",","."),".",MID(1/2,2,1)),"")</f>
        <v/>
      </c>
      <c r="C2068">
        <f>TRIM(INDEX(INDIRECT("'Выгрузка'!A2068:Z2068"),Настройки!$B$8)&amp;"")</f>
        <v/>
      </c>
      <c r="D2068">
        <f>IFERROR(--SUBSTITUTE(SUBSTITUTE(TRIM(INDEX(INDIRECT("'Выгрузка'!A2068:Z2068"),Настройки!$B$10)),",","."),".",MID(1/2,2,1)),"")</f>
        <v/>
      </c>
      <c r="E2068">
        <f>IFERROR(--SUBSTITUTE(SUBSTITUTE(TRIM(INDEX(INDIRECT("'Выгрузка'!A2068:Z2068"),Настройки!$B$11)),",","."),".",MID(1/2,2,1)),"")</f>
        <v/>
      </c>
      <c r="F2068">
        <f>TRIM(INDEX(INDIRECT("'Выгрузка'!A2068:Z2068"),Настройки!$B$12)&amp;"")</f>
        <v/>
      </c>
      <c r="G2068">
        <f>IF(F2068="",0,IF(TRIM(INDEX(INDIRECT("'Выгрузка'!A2068:Z2068"),Настройки!$B$13)&amp;"")="",1,IFERROR(--SUBSTITUTE(SUBSTITUTE(TRIM(INDEX(INDIRECT("'Выгрузка'!A2068:Z2068"),Настройки!$B$13)),",","."),".",MID(1/2,2,1)),"")))</f>
        <v/>
      </c>
      <c r="H2068">
        <f>IF(F2068="",0,IF(COUNTIF(Настройки!$B$17:$B$26,F2068)&gt;0,1,IF(COUNTIF(Настройки!$C$17:$C$26,F2068)&gt;0,2,IF(COUNTIF(Настройки!$D$17:$D$26,F2068)&gt;0,3,0))))</f>
        <v/>
      </c>
      <c r="I2068">
        <f>IF(AND(ISNUMBER(A2068),ISNUMBER(B2068)),A2068*1000+B2068,"")</f>
        <v/>
      </c>
      <c r="J2068">
        <f>IF(I2068="","",IF(COUNTIF(I$2:I2068,I2068)=1,MAX(J$1:J2067)+1,""))</f>
        <v/>
      </c>
    </row>
    <row r="2069">
      <c r="A2069">
        <f>IFERROR(--SUBSTITUTE(SUBSTITUTE(TRIM(INDEX(INDIRECT("'Выгрузка'!A2069:Z2069"),Настройки!$B$7)),",","."),".",MID(1/2,2,1)),"")</f>
        <v/>
      </c>
      <c r="B2069">
        <f>IFERROR(--SUBSTITUTE(SUBSTITUTE(TRIM(INDEX(INDIRECT("'Выгрузка'!A2069:Z2069"),Настройки!$B$9)),",","."),".",MID(1/2,2,1)),"")</f>
        <v/>
      </c>
      <c r="C2069">
        <f>TRIM(INDEX(INDIRECT("'Выгрузка'!A2069:Z2069"),Настройки!$B$8)&amp;"")</f>
        <v/>
      </c>
      <c r="D2069">
        <f>IFERROR(--SUBSTITUTE(SUBSTITUTE(TRIM(INDEX(INDIRECT("'Выгрузка'!A2069:Z2069"),Настройки!$B$10)),",","."),".",MID(1/2,2,1)),"")</f>
        <v/>
      </c>
      <c r="E2069">
        <f>IFERROR(--SUBSTITUTE(SUBSTITUTE(TRIM(INDEX(INDIRECT("'Выгрузка'!A2069:Z2069"),Настройки!$B$11)),",","."),".",MID(1/2,2,1)),"")</f>
        <v/>
      </c>
      <c r="F2069">
        <f>TRIM(INDEX(INDIRECT("'Выгрузка'!A2069:Z2069"),Настройки!$B$12)&amp;"")</f>
        <v/>
      </c>
      <c r="G2069">
        <f>IF(F2069="",0,IF(TRIM(INDEX(INDIRECT("'Выгрузка'!A2069:Z2069"),Настройки!$B$13)&amp;"")="",1,IFERROR(--SUBSTITUTE(SUBSTITUTE(TRIM(INDEX(INDIRECT("'Выгрузка'!A2069:Z2069"),Настройки!$B$13)),",","."),".",MID(1/2,2,1)),"")))</f>
        <v/>
      </c>
      <c r="H2069">
        <f>IF(F2069="",0,IF(COUNTIF(Настройки!$B$17:$B$26,F2069)&gt;0,1,IF(COUNTIF(Настройки!$C$17:$C$26,F2069)&gt;0,2,IF(COUNTIF(Настройки!$D$17:$D$26,F2069)&gt;0,3,0))))</f>
        <v/>
      </c>
      <c r="I2069">
        <f>IF(AND(ISNUMBER(A2069),ISNUMBER(B2069)),A2069*1000+B2069,"")</f>
        <v/>
      </c>
      <c r="J2069">
        <f>IF(I2069="","",IF(COUNTIF(I$2:I2069,I2069)=1,MAX(J$1:J2068)+1,""))</f>
        <v/>
      </c>
    </row>
    <row r="2070">
      <c r="A2070">
        <f>IFERROR(--SUBSTITUTE(SUBSTITUTE(TRIM(INDEX(INDIRECT("'Выгрузка'!A2070:Z2070"),Настройки!$B$7)),",","."),".",MID(1/2,2,1)),"")</f>
        <v/>
      </c>
      <c r="B2070">
        <f>IFERROR(--SUBSTITUTE(SUBSTITUTE(TRIM(INDEX(INDIRECT("'Выгрузка'!A2070:Z2070"),Настройки!$B$9)),",","."),".",MID(1/2,2,1)),"")</f>
        <v/>
      </c>
      <c r="C2070">
        <f>TRIM(INDEX(INDIRECT("'Выгрузка'!A2070:Z2070"),Настройки!$B$8)&amp;"")</f>
        <v/>
      </c>
      <c r="D2070">
        <f>IFERROR(--SUBSTITUTE(SUBSTITUTE(TRIM(INDEX(INDIRECT("'Выгрузка'!A2070:Z2070"),Настройки!$B$10)),",","."),".",MID(1/2,2,1)),"")</f>
        <v/>
      </c>
      <c r="E2070">
        <f>IFERROR(--SUBSTITUTE(SUBSTITUTE(TRIM(INDEX(INDIRECT("'Выгрузка'!A2070:Z2070"),Настройки!$B$11)),",","."),".",MID(1/2,2,1)),"")</f>
        <v/>
      </c>
      <c r="F2070">
        <f>TRIM(INDEX(INDIRECT("'Выгрузка'!A2070:Z2070"),Настройки!$B$12)&amp;"")</f>
        <v/>
      </c>
      <c r="G2070">
        <f>IF(F2070="",0,IF(TRIM(INDEX(INDIRECT("'Выгрузка'!A2070:Z2070"),Настройки!$B$13)&amp;"")="",1,IFERROR(--SUBSTITUTE(SUBSTITUTE(TRIM(INDEX(INDIRECT("'Выгрузка'!A2070:Z2070"),Настройки!$B$13)),",","."),".",MID(1/2,2,1)),"")))</f>
        <v/>
      </c>
      <c r="H2070">
        <f>IF(F2070="",0,IF(COUNTIF(Настройки!$B$17:$B$26,F2070)&gt;0,1,IF(COUNTIF(Настройки!$C$17:$C$26,F2070)&gt;0,2,IF(COUNTIF(Настройки!$D$17:$D$26,F2070)&gt;0,3,0))))</f>
        <v/>
      </c>
      <c r="I2070">
        <f>IF(AND(ISNUMBER(A2070),ISNUMBER(B2070)),A2070*1000+B2070,"")</f>
        <v/>
      </c>
      <c r="J2070">
        <f>IF(I2070="","",IF(COUNTIF(I$2:I2070,I2070)=1,MAX(J$1:J2069)+1,""))</f>
        <v/>
      </c>
    </row>
    <row r="2071">
      <c r="A2071">
        <f>IFERROR(--SUBSTITUTE(SUBSTITUTE(TRIM(INDEX(INDIRECT("'Выгрузка'!A2071:Z2071"),Настройки!$B$7)),",","."),".",MID(1/2,2,1)),"")</f>
        <v/>
      </c>
      <c r="B2071">
        <f>IFERROR(--SUBSTITUTE(SUBSTITUTE(TRIM(INDEX(INDIRECT("'Выгрузка'!A2071:Z2071"),Настройки!$B$9)),",","."),".",MID(1/2,2,1)),"")</f>
        <v/>
      </c>
      <c r="C2071">
        <f>TRIM(INDEX(INDIRECT("'Выгрузка'!A2071:Z2071"),Настройки!$B$8)&amp;"")</f>
        <v/>
      </c>
      <c r="D2071">
        <f>IFERROR(--SUBSTITUTE(SUBSTITUTE(TRIM(INDEX(INDIRECT("'Выгрузка'!A2071:Z2071"),Настройки!$B$10)),",","."),".",MID(1/2,2,1)),"")</f>
        <v/>
      </c>
      <c r="E2071">
        <f>IFERROR(--SUBSTITUTE(SUBSTITUTE(TRIM(INDEX(INDIRECT("'Выгрузка'!A2071:Z2071"),Настройки!$B$11)),",","."),".",MID(1/2,2,1)),"")</f>
        <v/>
      </c>
      <c r="F2071">
        <f>TRIM(INDEX(INDIRECT("'Выгрузка'!A2071:Z2071"),Настройки!$B$12)&amp;"")</f>
        <v/>
      </c>
      <c r="G2071">
        <f>IF(F2071="",0,IF(TRIM(INDEX(INDIRECT("'Выгрузка'!A2071:Z2071"),Настройки!$B$13)&amp;"")="",1,IFERROR(--SUBSTITUTE(SUBSTITUTE(TRIM(INDEX(INDIRECT("'Выгрузка'!A2071:Z2071"),Настройки!$B$13)),",","."),".",MID(1/2,2,1)),"")))</f>
        <v/>
      </c>
      <c r="H2071">
        <f>IF(F2071="",0,IF(COUNTIF(Настройки!$B$17:$B$26,F2071)&gt;0,1,IF(COUNTIF(Настройки!$C$17:$C$26,F2071)&gt;0,2,IF(COUNTIF(Настройки!$D$17:$D$26,F2071)&gt;0,3,0))))</f>
        <v/>
      </c>
      <c r="I2071">
        <f>IF(AND(ISNUMBER(A2071),ISNUMBER(B2071)),A2071*1000+B2071,"")</f>
        <v/>
      </c>
      <c r="J2071">
        <f>IF(I2071="","",IF(COUNTIF(I$2:I2071,I2071)=1,MAX(J$1:J2070)+1,""))</f>
        <v/>
      </c>
    </row>
    <row r="2072">
      <c r="A2072">
        <f>IFERROR(--SUBSTITUTE(SUBSTITUTE(TRIM(INDEX(INDIRECT("'Выгрузка'!A2072:Z2072"),Настройки!$B$7)),",","."),".",MID(1/2,2,1)),"")</f>
        <v/>
      </c>
      <c r="B2072">
        <f>IFERROR(--SUBSTITUTE(SUBSTITUTE(TRIM(INDEX(INDIRECT("'Выгрузка'!A2072:Z2072"),Настройки!$B$9)),",","."),".",MID(1/2,2,1)),"")</f>
        <v/>
      </c>
      <c r="C2072">
        <f>TRIM(INDEX(INDIRECT("'Выгрузка'!A2072:Z2072"),Настройки!$B$8)&amp;"")</f>
        <v/>
      </c>
      <c r="D2072">
        <f>IFERROR(--SUBSTITUTE(SUBSTITUTE(TRIM(INDEX(INDIRECT("'Выгрузка'!A2072:Z2072"),Настройки!$B$10)),",","."),".",MID(1/2,2,1)),"")</f>
        <v/>
      </c>
      <c r="E2072">
        <f>IFERROR(--SUBSTITUTE(SUBSTITUTE(TRIM(INDEX(INDIRECT("'Выгрузка'!A2072:Z2072"),Настройки!$B$11)),",","."),".",MID(1/2,2,1)),"")</f>
        <v/>
      </c>
      <c r="F2072">
        <f>TRIM(INDEX(INDIRECT("'Выгрузка'!A2072:Z2072"),Настройки!$B$12)&amp;"")</f>
        <v/>
      </c>
      <c r="G2072">
        <f>IF(F2072="",0,IF(TRIM(INDEX(INDIRECT("'Выгрузка'!A2072:Z2072"),Настройки!$B$13)&amp;"")="",1,IFERROR(--SUBSTITUTE(SUBSTITUTE(TRIM(INDEX(INDIRECT("'Выгрузка'!A2072:Z2072"),Настройки!$B$13)),",","."),".",MID(1/2,2,1)),"")))</f>
        <v/>
      </c>
      <c r="H2072">
        <f>IF(F2072="",0,IF(COUNTIF(Настройки!$B$17:$B$26,F2072)&gt;0,1,IF(COUNTIF(Настройки!$C$17:$C$26,F2072)&gt;0,2,IF(COUNTIF(Настройки!$D$17:$D$26,F2072)&gt;0,3,0))))</f>
        <v/>
      </c>
      <c r="I2072">
        <f>IF(AND(ISNUMBER(A2072),ISNUMBER(B2072)),A2072*1000+B2072,"")</f>
        <v/>
      </c>
      <c r="J2072">
        <f>IF(I2072="","",IF(COUNTIF(I$2:I2072,I2072)=1,MAX(J$1:J2071)+1,""))</f>
        <v/>
      </c>
    </row>
    <row r="2073">
      <c r="A2073">
        <f>IFERROR(--SUBSTITUTE(SUBSTITUTE(TRIM(INDEX(INDIRECT("'Выгрузка'!A2073:Z2073"),Настройки!$B$7)),",","."),".",MID(1/2,2,1)),"")</f>
        <v/>
      </c>
      <c r="B2073">
        <f>IFERROR(--SUBSTITUTE(SUBSTITUTE(TRIM(INDEX(INDIRECT("'Выгрузка'!A2073:Z2073"),Настройки!$B$9)),",","."),".",MID(1/2,2,1)),"")</f>
        <v/>
      </c>
      <c r="C2073">
        <f>TRIM(INDEX(INDIRECT("'Выгрузка'!A2073:Z2073"),Настройки!$B$8)&amp;"")</f>
        <v/>
      </c>
      <c r="D2073">
        <f>IFERROR(--SUBSTITUTE(SUBSTITUTE(TRIM(INDEX(INDIRECT("'Выгрузка'!A2073:Z2073"),Настройки!$B$10)),",","."),".",MID(1/2,2,1)),"")</f>
        <v/>
      </c>
      <c r="E2073">
        <f>IFERROR(--SUBSTITUTE(SUBSTITUTE(TRIM(INDEX(INDIRECT("'Выгрузка'!A2073:Z2073"),Настройки!$B$11)),",","."),".",MID(1/2,2,1)),"")</f>
        <v/>
      </c>
      <c r="F2073">
        <f>TRIM(INDEX(INDIRECT("'Выгрузка'!A2073:Z2073"),Настройки!$B$12)&amp;"")</f>
        <v/>
      </c>
      <c r="G2073">
        <f>IF(F2073="",0,IF(TRIM(INDEX(INDIRECT("'Выгрузка'!A2073:Z2073"),Настройки!$B$13)&amp;"")="",1,IFERROR(--SUBSTITUTE(SUBSTITUTE(TRIM(INDEX(INDIRECT("'Выгрузка'!A2073:Z2073"),Настройки!$B$13)),",","."),".",MID(1/2,2,1)),"")))</f>
        <v/>
      </c>
      <c r="H2073">
        <f>IF(F2073="",0,IF(COUNTIF(Настройки!$B$17:$B$26,F2073)&gt;0,1,IF(COUNTIF(Настройки!$C$17:$C$26,F2073)&gt;0,2,IF(COUNTIF(Настройки!$D$17:$D$26,F2073)&gt;0,3,0))))</f>
        <v/>
      </c>
      <c r="I2073">
        <f>IF(AND(ISNUMBER(A2073),ISNUMBER(B2073)),A2073*1000+B2073,"")</f>
        <v/>
      </c>
      <c r="J2073">
        <f>IF(I2073="","",IF(COUNTIF(I$2:I2073,I2073)=1,MAX(J$1:J2072)+1,""))</f>
        <v/>
      </c>
    </row>
    <row r="2074">
      <c r="A2074">
        <f>IFERROR(--SUBSTITUTE(SUBSTITUTE(TRIM(INDEX(INDIRECT("'Выгрузка'!A2074:Z2074"),Настройки!$B$7)),",","."),".",MID(1/2,2,1)),"")</f>
        <v/>
      </c>
      <c r="B2074">
        <f>IFERROR(--SUBSTITUTE(SUBSTITUTE(TRIM(INDEX(INDIRECT("'Выгрузка'!A2074:Z2074"),Настройки!$B$9)),",","."),".",MID(1/2,2,1)),"")</f>
        <v/>
      </c>
      <c r="C2074">
        <f>TRIM(INDEX(INDIRECT("'Выгрузка'!A2074:Z2074"),Настройки!$B$8)&amp;"")</f>
        <v/>
      </c>
      <c r="D2074">
        <f>IFERROR(--SUBSTITUTE(SUBSTITUTE(TRIM(INDEX(INDIRECT("'Выгрузка'!A2074:Z2074"),Настройки!$B$10)),",","."),".",MID(1/2,2,1)),"")</f>
        <v/>
      </c>
      <c r="E2074">
        <f>IFERROR(--SUBSTITUTE(SUBSTITUTE(TRIM(INDEX(INDIRECT("'Выгрузка'!A2074:Z2074"),Настройки!$B$11)),",","."),".",MID(1/2,2,1)),"")</f>
        <v/>
      </c>
      <c r="F2074">
        <f>TRIM(INDEX(INDIRECT("'Выгрузка'!A2074:Z2074"),Настройки!$B$12)&amp;"")</f>
        <v/>
      </c>
      <c r="G2074">
        <f>IF(F2074="",0,IF(TRIM(INDEX(INDIRECT("'Выгрузка'!A2074:Z2074"),Настройки!$B$13)&amp;"")="",1,IFERROR(--SUBSTITUTE(SUBSTITUTE(TRIM(INDEX(INDIRECT("'Выгрузка'!A2074:Z2074"),Настройки!$B$13)),",","."),".",MID(1/2,2,1)),"")))</f>
        <v/>
      </c>
      <c r="H2074">
        <f>IF(F2074="",0,IF(COUNTIF(Настройки!$B$17:$B$26,F2074)&gt;0,1,IF(COUNTIF(Настройки!$C$17:$C$26,F2074)&gt;0,2,IF(COUNTIF(Настройки!$D$17:$D$26,F2074)&gt;0,3,0))))</f>
        <v/>
      </c>
      <c r="I2074">
        <f>IF(AND(ISNUMBER(A2074),ISNUMBER(B2074)),A2074*1000+B2074,"")</f>
        <v/>
      </c>
      <c r="J2074">
        <f>IF(I2074="","",IF(COUNTIF(I$2:I2074,I2074)=1,MAX(J$1:J2073)+1,""))</f>
        <v/>
      </c>
    </row>
    <row r="2075">
      <c r="A2075">
        <f>IFERROR(--SUBSTITUTE(SUBSTITUTE(TRIM(INDEX(INDIRECT("'Выгрузка'!A2075:Z2075"),Настройки!$B$7)),",","."),".",MID(1/2,2,1)),"")</f>
        <v/>
      </c>
      <c r="B2075">
        <f>IFERROR(--SUBSTITUTE(SUBSTITUTE(TRIM(INDEX(INDIRECT("'Выгрузка'!A2075:Z2075"),Настройки!$B$9)),",","."),".",MID(1/2,2,1)),"")</f>
        <v/>
      </c>
      <c r="C2075">
        <f>TRIM(INDEX(INDIRECT("'Выгрузка'!A2075:Z2075"),Настройки!$B$8)&amp;"")</f>
        <v/>
      </c>
      <c r="D2075">
        <f>IFERROR(--SUBSTITUTE(SUBSTITUTE(TRIM(INDEX(INDIRECT("'Выгрузка'!A2075:Z2075"),Настройки!$B$10)),",","."),".",MID(1/2,2,1)),"")</f>
        <v/>
      </c>
      <c r="E2075">
        <f>IFERROR(--SUBSTITUTE(SUBSTITUTE(TRIM(INDEX(INDIRECT("'Выгрузка'!A2075:Z2075"),Настройки!$B$11)),",","."),".",MID(1/2,2,1)),"")</f>
        <v/>
      </c>
      <c r="F2075">
        <f>TRIM(INDEX(INDIRECT("'Выгрузка'!A2075:Z2075"),Настройки!$B$12)&amp;"")</f>
        <v/>
      </c>
      <c r="G2075">
        <f>IF(F2075="",0,IF(TRIM(INDEX(INDIRECT("'Выгрузка'!A2075:Z2075"),Настройки!$B$13)&amp;"")="",1,IFERROR(--SUBSTITUTE(SUBSTITUTE(TRIM(INDEX(INDIRECT("'Выгрузка'!A2075:Z2075"),Настройки!$B$13)),",","."),".",MID(1/2,2,1)),"")))</f>
        <v/>
      </c>
      <c r="H2075">
        <f>IF(F2075="",0,IF(COUNTIF(Настройки!$B$17:$B$26,F2075)&gt;0,1,IF(COUNTIF(Настройки!$C$17:$C$26,F2075)&gt;0,2,IF(COUNTIF(Настройки!$D$17:$D$26,F2075)&gt;0,3,0))))</f>
        <v/>
      </c>
      <c r="I2075">
        <f>IF(AND(ISNUMBER(A2075),ISNUMBER(B2075)),A2075*1000+B2075,"")</f>
        <v/>
      </c>
      <c r="J2075">
        <f>IF(I2075="","",IF(COUNTIF(I$2:I2075,I2075)=1,MAX(J$1:J2074)+1,""))</f>
        <v/>
      </c>
    </row>
    <row r="2076">
      <c r="A2076">
        <f>IFERROR(--SUBSTITUTE(SUBSTITUTE(TRIM(INDEX(INDIRECT("'Выгрузка'!A2076:Z2076"),Настройки!$B$7)),",","."),".",MID(1/2,2,1)),"")</f>
        <v/>
      </c>
      <c r="B2076">
        <f>IFERROR(--SUBSTITUTE(SUBSTITUTE(TRIM(INDEX(INDIRECT("'Выгрузка'!A2076:Z2076"),Настройки!$B$9)),",","."),".",MID(1/2,2,1)),"")</f>
        <v/>
      </c>
      <c r="C2076">
        <f>TRIM(INDEX(INDIRECT("'Выгрузка'!A2076:Z2076"),Настройки!$B$8)&amp;"")</f>
        <v/>
      </c>
      <c r="D2076">
        <f>IFERROR(--SUBSTITUTE(SUBSTITUTE(TRIM(INDEX(INDIRECT("'Выгрузка'!A2076:Z2076"),Настройки!$B$10)),",","."),".",MID(1/2,2,1)),"")</f>
        <v/>
      </c>
      <c r="E2076">
        <f>IFERROR(--SUBSTITUTE(SUBSTITUTE(TRIM(INDEX(INDIRECT("'Выгрузка'!A2076:Z2076"),Настройки!$B$11)),",","."),".",MID(1/2,2,1)),"")</f>
        <v/>
      </c>
      <c r="F2076">
        <f>TRIM(INDEX(INDIRECT("'Выгрузка'!A2076:Z2076"),Настройки!$B$12)&amp;"")</f>
        <v/>
      </c>
      <c r="G2076">
        <f>IF(F2076="",0,IF(TRIM(INDEX(INDIRECT("'Выгрузка'!A2076:Z2076"),Настройки!$B$13)&amp;"")="",1,IFERROR(--SUBSTITUTE(SUBSTITUTE(TRIM(INDEX(INDIRECT("'Выгрузка'!A2076:Z2076"),Настройки!$B$13)),",","."),".",MID(1/2,2,1)),"")))</f>
        <v/>
      </c>
      <c r="H2076">
        <f>IF(F2076="",0,IF(COUNTIF(Настройки!$B$17:$B$26,F2076)&gt;0,1,IF(COUNTIF(Настройки!$C$17:$C$26,F2076)&gt;0,2,IF(COUNTIF(Настройки!$D$17:$D$26,F2076)&gt;0,3,0))))</f>
        <v/>
      </c>
      <c r="I2076">
        <f>IF(AND(ISNUMBER(A2076),ISNUMBER(B2076)),A2076*1000+B2076,"")</f>
        <v/>
      </c>
      <c r="J2076">
        <f>IF(I2076="","",IF(COUNTIF(I$2:I2076,I2076)=1,MAX(J$1:J2075)+1,""))</f>
        <v/>
      </c>
    </row>
    <row r="2077">
      <c r="A2077">
        <f>IFERROR(--SUBSTITUTE(SUBSTITUTE(TRIM(INDEX(INDIRECT("'Выгрузка'!A2077:Z2077"),Настройки!$B$7)),",","."),".",MID(1/2,2,1)),"")</f>
        <v/>
      </c>
      <c r="B2077">
        <f>IFERROR(--SUBSTITUTE(SUBSTITUTE(TRIM(INDEX(INDIRECT("'Выгрузка'!A2077:Z2077"),Настройки!$B$9)),",","."),".",MID(1/2,2,1)),"")</f>
        <v/>
      </c>
      <c r="C2077">
        <f>TRIM(INDEX(INDIRECT("'Выгрузка'!A2077:Z2077"),Настройки!$B$8)&amp;"")</f>
        <v/>
      </c>
      <c r="D2077">
        <f>IFERROR(--SUBSTITUTE(SUBSTITUTE(TRIM(INDEX(INDIRECT("'Выгрузка'!A2077:Z2077"),Настройки!$B$10)),",","."),".",MID(1/2,2,1)),"")</f>
        <v/>
      </c>
      <c r="E2077">
        <f>IFERROR(--SUBSTITUTE(SUBSTITUTE(TRIM(INDEX(INDIRECT("'Выгрузка'!A2077:Z2077"),Настройки!$B$11)),",","."),".",MID(1/2,2,1)),"")</f>
        <v/>
      </c>
      <c r="F2077">
        <f>TRIM(INDEX(INDIRECT("'Выгрузка'!A2077:Z2077"),Настройки!$B$12)&amp;"")</f>
        <v/>
      </c>
      <c r="G2077">
        <f>IF(F2077="",0,IF(TRIM(INDEX(INDIRECT("'Выгрузка'!A2077:Z2077"),Настройки!$B$13)&amp;"")="",1,IFERROR(--SUBSTITUTE(SUBSTITUTE(TRIM(INDEX(INDIRECT("'Выгрузка'!A2077:Z2077"),Настройки!$B$13)),",","."),".",MID(1/2,2,1)),"")))</f>
        <v/>
      </c>
      <c r="H2077">
        <f>IF(F2077="",0,IF(COUNTIF(Настройки!$B$17:$B$26,F2077)&gt;0,1,IF(COUNTIF(Настройки!$C$17:$C$26,F2077)&gt;0,2,IF(COUNTIF(Настройки!$D$17:$D$26,F2077)&gt;0,3,0))))</f>
        <v/>
      </c>
      <c r="I2077">
        <f>IF(AND(ISNUMBER(A2077),ISNUMBER(B2077)),A2077*1000+B2077,"")</f>
        <v/>
      </c>
      <c r="J2077">
        <f>IF(I2077="","",IF(COUNTIF(I$2:I2077,I2077)=1,MAX(J$1:J2076)+1,""))</f>
        <v/>
      </c>
    </row>
    <row r="2078">
      <c r="A2078">
        <f>IFERROR(--SUBSTITUTE(SUBSTITUTE(TRIM(INDEX(INDIRECT("'Выгрузка'!A2078:Z2078"),Настройки!$B$7)),",","."),".",MID(1/2,2,1)),"")</f>
        <v/>
      </c>
      <c r="B2078">
        <f>IFERROR(--SUBSTITUTE(SUBSTITUTE(TRIM(INDEX(INDIRECT("'Выгрузка'!A2078:Z2078"),Настройки!$B$9)),",","."),".",MID(1/2,2,1)),"")</f>
        <v/>
      </c>
      <c r="C2078">
        <f>TRIM(INDEX(INDIRECT("'Выгрузка'!A2078:Z2078"),Настройки!$B$8)&amp;"")</f>
        <v/>
      </c>
      <c r="D2078">
        <f>IFERROR(--SUBSTITUTE(SUBSTITUTE(TRIM(INDEX(INDIRECT("'Выгрузка'!A2078:Z2078"),Настройки!$B$10)),",","."),".",MID(1/2,2,1)),"")</f>
        <v/>
      </c>
      <c r="E2078">
        <f>IFERROR(--SUBSTITUTE(SUBSTITUTE(TRIM(INDEX(INDIRECT("'Выгрузка'!A2078:Z2078"),Настройки!$B$11)),",","."),".",MID(1/2,2,1)),"")</f>
        <v/>
      </c>
      <c r="F2078">
        <f>TRIM(INDEX(INDIRECT("'Выгрузка'!A2078:Z2078"),Настройки!$B$12)&amp;"")</f>
        <v/>
      </c>
      <c r="G2078">
        <f>IF(F2078="",0,IF(TRIM(INDEX(INDIRECT("'Выгрузка'!A2078:Z2078"),Настройки!$B$13)&amp;"")="",1,IFERROR(--SUBSTITUTE(SUBSTITUTE(TRIM(INDEX(INDIRECT("'Выгрузка'!A2078:Z2078"),Настройки!$B$13)),",","."),".",MID(1/2,2,1)),"")))</f>
        <v/>
      </c>
      <c r="H2078">
        <f>IF(F2078="",0,IF(COUNTIF(Настройки!$B$17:$B$26,F2078)&gt;0,1,IF(COUNTIF(Настройки!$C$17:$C$26,F2078)&gt;0,2,IF(COUNTIF(Настройки!$D$17:$D$26,F2078)&gt;0,3,0))))</f>
        <v/>
      </c>
      <c r="I2078">
        <f>IF(AND(ISNUMBER(A2078),ISNUMBER(B2078)),A2078*1000+B2078,"")</f>
        <v/>
      </c>
      <c r="J2078">
        <f>IF(I2078="","",IF(COUNTIF(I$2:I2078,I2078)=1,MAX(J$1:J2077)+1,""))</f>
        <v/>
      </c>
    </row>
    <row r="2079">
      <c r="A2079">
        <f>IFERROR(--SUBSTITUTE(SUBSTITUTE(TRIM(INDEX(INDIRECT("'Выгрузка'!A2079:Z2079"),Настройки!$B$7)),",","."),".",MID(1/2,2,1)),"")</f>
        <v/>
      </c>
      <c r="B2079">
        <f>IFERROR(--SUBSTITUTE(SUBSTITUTE(TRIM(INDEX(INDIRECT("'Выгрузка'!A2079:Z2079"),Настройки!$B$9)),",","."),".",MID(1/2,2,1)),"")</f>
        <v/>
      </c>
      <c r="C2079">
        <f>TRIM(INDEX(INDIRECT("'Выгрузка'!A2079:Z2079"),Настройки!$B$8)&amp;"")</f>
        <v/>
      </c>
      <c r="D2079">
        <f>IFERROR(--SUBSTITUTE(SUBSTITUTE(TRIM(INDEX(INDIRECT("'Выгрузка'!A2079:Z2079"),Настройки!$B$10)),",","."),".",MID(1/2,2,1)),"")</f>
        <v/>
      </c>
      <c r="E2079">
        <f>IFERROR(--SUBSTITUTE(SUBSTITUTE(TRIM(INDEX(INDIRECT("'Выгрузка'!A2079:Z2079"),Настройки!$B$11)),",","."),".",MID(1/2,2,1)),"")</f>
        <v/>
      </c>
      <c r="F2079">
        <f>TRIM(INDEX(INDIRECT("'Выгрузка'!A2079:Z2079"),Настройки!$B$12)&amp;"")</f>
        <v/>
      </c>
      <c r="G2079">
        <f>IF(F2079="",0,IF(TRIM(INDEX(INDIRECT("'Выгрузка'!A2079:Z2079"),Настройки!$B$13)&amp;"")="",1,IFERROR(--SUBSTITUTE(SUBSTITUTE(TRIM(INDEX(INDIRECT("'Выгрузка'!A2079:Z2079"),Настройки!$B$13)),",","."),".",MID(1/2,2,1)),"")))</f>
        <v/>
      </c>
      <c r="H2079">
        <f>IF(F2079="",0,IF(COUNTIF(Настройки!$B$17:$B$26,F2079)&gt;0,1,IF(COUNTIF(Настройки!$C$17:$C$26,F2079)&gt;0,2,IF(COUNTIF(Настройки!$D$17:$D$26,F2079)&gt;0,3,0))))</f>
        <v/>
      </c>
      <c r="I2079">
        <f>IF(AND(ISNUMBER(A2079),ISNUMBER(B2079)),A2079*1000+B2079,"")</f>
        <v/>
      </c>
      <c r="J2079">
        <f>IF(I2079="","",IF(COUNTIF(I$2:I2079,I2079)=1,MAX(J$1:J2078)+1,""))</f>
        <v/>
      </c>
    </row>
    <row r="2080">
      <c r="A2080">
        <f>IFERROR(--SUBSTITUTE(SUBSTITUTE(TRIM(INDEX(INDIRECT("'Выгрузка'!A2080:Z2080"),Настройки!$B$7)),",","."),".",MID(1/2,2,1)),"")</f>
        <v/>
      </c>
      <c r="B2080">
        <f>IFERROR(--SUBSTITUTE(SUBSTITUTE(TRIM(INDEX(INDIRECT("'Выгрузка'!A2080:Z2080"),Настройки!$B$9)),",","."),".",MID(1/2,2,1)),"")</f>
        <v/>
      </c>
      <c r="C2080">
        <f>TRIM(INDEX(INDIRECT("'Выгрузка'!A2080:Z2080"),Настройки!$B$8)&amp;"")</f>
        <v/>
      </c>
      <c r="D2080">
        <f>IFERROR(--SUBSTITUTE(SUBSTITUTE(TRIM(INDEX(INDIRECT("'Выгрузка'!A2080:Z2080"),Настройки!$B$10)),",","."),".",MID(1/2,2,1)),"")</f>
        <v/>
      </c>
      <c r="E2080">
        <f>IFERROR(--SUBSTITUTE(SUBSTITUTE(TRIM(INDEX(INDIRECT("'Выгрузка'!A2080:Z2080"),Настройки!$B$11)),",","."),".",MID(1/2,2,1)),"")</f>
        <v/>
      </c>
      <c r="F2080">
        <f>TRIM(INDEX(INDIRECT("'Выгрузка'!A2080:Z2080"),Настройки!$B$12)&amp;"")</f>
        <v/>
      </c>
      <c r="G2080">
        <f>IF(F2080="",0,IF(TRIM(INDEX(INDIRECT("'Выгрузка'!A2080:Z2080"),Настройки!$B$13)&amp;"")="",1,IFERROR(--SUBSTITUTE(SUBSTITUTE(TRIM(INDEX(INDIRECT("'Выгрузка'!A2080:Z2080"),Настройки!$B$13)),",","."),".",MID(1/2,2,1)),"")))</f>
        <v/>
      </c>
      <c r="H2080">
        <f>IF(F2080="",0,IF(COUNTIF(Настройки!$B$17:$B$26,F2080)&gt;0,1,IF(COUNTIF(Настройки!$C$17:$C$26,F2080)&gt;0,2,IF(COUNTIF(Настройки!$D$17:$D$26,F2080)&gt;0,3,0))))</f>
        <v/>
      </c>
      <c r="I2080">
        <f>IF(AND(ISNUMBER(A2080),ISNUMBER(B2080)),A2080*1000+B2080,"")</f>
        <v/>
      </c>
      <c r="J2080">
        <f>IF(I2080="","",IF(COUNTIF(I$2:I2080,I2080)=1,MAX(J$1:J2079)+1,""))</f>
        <v/>
      </c>
    </row>
    <row r="2081">
      <c r="A2081">
        <f>IFERROR(--SUBSTITUTE(SUBSTITUTE(TRIM(INDEX(INDIRECT("'Выгрузка'!A2081:Z2081"),Настройки!$B$7)),",","."),".",MID(1/2,2,1)),"")</f>
        <v/>
      </c>
      <c r="B2081">
        <f>IFERROR(--SUBSTITUTE(SUBSTITUTE(TRIM(INDEX(INDIRECT("'Выгрузка'!A2081:Z2081"),Настройки!$B$9)),",","."),".",MID(1/2,2,1)),"")</f>
        <v/>
      </c>
      <c r="C2081">
        <f>TRIM(INDEX(INDIRECT("'Выгрузка'!A2081:Z2081"),Настройки!$B$8)&amp;"")</f>
        <v/>
      </c>
      <c r="D2081">
        <f>IFERROR(--SUBSTITUTE(SUBSTITUTE(TRIM(INDEX(INDIRECT("'Выгрузка'!A2081:Z2081"),Настройки!$B$10)),",","."),".",MID(1/2,2,1)),"")</f>
        <v/>
      </c>
      <c r="E2081">
        <f>IFERROR(--SUBSTITUTE(SUBSTITUTE(TRIM(INDEX(INDIRECT("'Выгрузка'!A2081:Z2081"),Настройки!$B$11)),",","."),".",MID(1/2,2,1)),"")</f>
        <v/>
      </c>
      <c r="F2081">
        <f>TRIM(INDEX(INDIRECT("'Выгрузка'!A2081:Z2081"),Настройки!$B$12)&amp;"")</f>
        <v/>
      </c>
      <c r="G2081">
        <f>IF(F2081="",0,IF(TRIM(INDEX(INDIRECT("'Выгрузка'!A2081:Z2081"),Настройки!$B$13)&amp;"")="",1,IFERROR(--SUBSTITUTE(SUBSTITUTE(TRIM(INDEX(INDIRECT("'Выгрузка'!A2081:Z2081"),Настройки!$B$13)),",","."),".",MID(1/2,2,1)),"")))</f>
        <v/>
      </c>
      <c r="H2081">
        <f>IF(F2081="",0,IF(COUNTIF(Настройки!$B$17:$B$26,F2081)&gt;0,1,IF(COUNTIF(Настройки!$C$17:$C$26,F2081)&gt;0,2,IF(COUNTIF(Настройки!$D$17:$D$26,F2081)&gt;0,3,0))))</f>
        <v/>
      </c>
      <c r="I2081">
        <f>IF(AND(ISNUMBER(A2081),ISNUMBER(B2081)),A2081*1000+B2081,"")</f>
        <v/>
      </c>
      <c r="J2081">
        <f>IF(I2081="","",IF(COUNTIF(I$2:I2081,I2081)=1,MAX(J$1:J2080)+1,""))</f>
        <v/>
      </c>
    </row>
    <row r="2082">
      <c r="A2082">
        <f>IFERROR(--SUBSTITUTE(SUBSTITUTE(TRIM(INDEX(INDIRECT("'Выгрузка'!A2082:Z2082"),Настройки!$B$7)),",","."),".",MID(1/2,2,1)),"")</f>
        <v/>
      </c>
      <c r="B2082">
        <f>IFERROR(--SUBSTITUTE(SUBSTITUTE(TRIM(INDEX(INDIRECT("'Выгрузка'!A2082:Z2082"),Настройки!$B$9)),",","."),".",MID(1/2,2,1)),"")</f>
        <v/>
      </c>
      <c r="C2082">
        <f>TRIM(INDEX(INDIRECT("'Выгрузка'!A2082:Z2082"),Настройки!$B$8)&amp;"")</f>
        <v/>
      </c>
      <c r="D2082">
        <f>IFERROR(--SUBSTITUTE(SUBSTITUTE(TRIM(INDEX(INDIRECT("'Выгрузка'!A2082:Z2082"),Настройки!$B$10)),",","."),".",MID(1/2,2,1)),"")</f>
        <v/>
      </c>
      <c r="E2082">
        <f>IFERROR(--SUBSTITUTE(SUBSTITUTE(TRIM(INDEX(INDIRECT("'Выгрузка'!A2082:Z2082"),Настройки!$B$11)),",","."),".",MID(1/2,2,1)),"")</f>
        <v/>
      </c>
      <c r="F2082">
        <f>TRIM(INDEX(INDIRECT("'Выгрузка'!A2082:Z2082"),Настройки!$B$12)&amp;"")</f>
        <v/>
      </c>
      <c r="G2082">
        <f>IF(F2082="",0,IF(TRIM(INDEX(INDIRECT("'Выгрузка'!A2082:Z2082"),Настройки!$B$13)&amp;"")="",1,IFERROR(--SUBSTITUTE(SUBSTITUTE(TRIM(INDEX(INDIRECT("'Выгрузка'!A2082:Z2082"),Настройки!$B$13)),",","."),".",MID(1/2,2,1)),"")))</f>
        <v/>
      </c>
      <c r="H2082">
        <f>IF(F2082="",0,IF(COUNTIF(Настройки!$B$17:$B$26,F2082)&gt;0,1,IF(COUNTIF(Настройки!$C$17:$C$26,F2082)&gt;0,2,IF(COUNTIF(Настройки!$D$17:$D$26,F2082)&gt;0,3,0))))</f>
        <v/>
      </c>
      <c r="I2082">
        <f>IF(AND(ISNUMBER(A2082),ISNUMBER(B2082)),A2082*1000+B2082,"")</f>
        <v/>
      </c>
      <c r="J2082">
        <f>IF(I2082="","",IF(COUNTIF(I$2:I2082,I2082)=1,MAX(J$1:J2081)+1,""))</f>
        <v/>
      </c>
    </row>
    <row r="2083">
      <c r="A2083">
        <f>IFERROR(--SUBSTITUTE(SUBSTITUTE(TRIM(INDEX(INDIRECT("'Выгрузка'!A2083:Z2083"),Настройки!$B$7)),",","."),".",MID(1/2,2,1)),"")</f>
        <v/>
      </c>
      <c r="B2083">
        <f>IFERROR(--SUBSTITUTE(SUBSTITUTE(TRIM(INDEX(INDIRECT("'Выгрузка'!A2083:Z2083"),Настройки!$B$9)),",","."),".",MID(1/2,2,1)),"")</f>
        <v/>
      </c>
      <c r="C2083">
        <f>TRIM(INDEX(INDIRECT("'Выгрузка'!A2083:Z2083"),Настройки!$B$8)&amp;"")</f>
        <v/>
      </c>
      <c r="D2083">
        <f>IFERROR(--SUBSTITUTE(SUBSTITUTE(TRIM(INDEX(INDIRECT("'Выгрузка'!A2083:Z2083"),Настройки!$B$10)),",","."),".",MID(1/2,2,1)),"")</f>
        <v/>
      </c>
      <c r="E2083">
        <f>IFERROR(--SUBSTITUTE(SUBSTITUTE(TRIM(INDEX(INDIRECT("'Выгрузка'!A2083:Z2083"),Настройки!$B$11)),",","."),".",MID(1/2,2,1)),"")</f>
        <v/>
      </c>
      <c r="F2083">
        <f>TRIM(INDEX(INDIRECT("'Выгрузка'!A2083:Z2083"),Настройки!$B$12)&amp;"")</f>
        <v/>
      </c>
      <c r="G2083">
        <f>IF(F2083="",0,IF(TRIM(INDEX(INDIRECT("'Выгрузка'!A2083:Z2083"),Настройки!$B$13)&amp;"")="",1,IFERROR(--SUBSTITUTE(SUBSTITUTE(TRIM(INDEX(INDIRECT("'Выгрузка'!A2083:Z2083"),Настройки!$B$13)),",","."),".",MID(1/2,2,1)),"")))</f>
        <v/>
      </c>
      <c r="H2083">
        <f>IF(F2083="",0,IF(COUNTIF(Настройки!$B$17:$B$26,F2083)&gt;0,1,IF(COUNTIF(Настройки!$C$17:$C$26,F2083)&gt;0,2,IF(COUNTIF(Настройки!$D$17:$D$26,F2083)&gt;0,3,0))))</f>
        <v/>
      </c>
      <c r="I2083">
        <f>IF(AND(ISNUMBER(A2083),ISNUMBER(B2083)),A2083*1000+B2083,"")</f>
        <v/>
      </c>
      <c r="J2083">
        <f>IF(I2083="","",IF(COUNTIF(I$2:I2083,I2083)=1,MAX(J$1:J2082)+1,""))</f>
        <v/>
      </c>
    </row>
    <row r="2084">
      <c r="A2084">
        <f>IFERROR(--SUBSTITUTE(SUBSTITUTE(TRIM(INDEX(INDIRECT("'Выгрузка'!A2084:Z2084"),Настройки!$B$7)),",","."),".",MID(1/2,2,1)),"")</f>
        <v/>
      </c>
      <c r="B2084">
        <f>IFERROR(--SUBSTITUTE(SUBSTITUTE(TRIM(INDEX(INDIRECT("'Выгрузка'!A2084:Z2084"),Настройки!$B$9)),",","."),".",MID(1/2,2,1)),"")</f>
        <v/>
      </c>
      <c r="C2084">
        <f>TRIM(INDEX(INDIRECT("'Выгрузка'!A2084:Z2084"),Настройки!$B$8)&amp;"")</f>
        <v/>
      </c>
      <c r="D2084">
        <f>IFERROR(--SUBSTITUTE(SUBSTITUTE(TRIM(INDEX(INDIRECT("'Выгрузка'!A2084:Z2084"),Настройки!$B$10)),",","."),".",MID(1/2,2,1)),"")</f>
        <v/>
      </c>
      <c r="E2084">
        <f>IFERROR(--SUBSTITUTE(SUBSTITUTE(TRIM(INDEX(INDIRECT("'Выгрузка'!A2084:Z2084"),Настройки!$B$11)),",","."),".",MID(1/2,2,1)),"")</f>
        <v/>
      </c>
      <c r="F2084">
        <f>TRIM(INDEX(INDIRECT("'Выгрузка'!A2084:Z2084"),Настройки!$B$12)&amp;"")</f>
        <v/>
      </c>
      <c r="G2084">
        <f>IF(F2084="",0,IF(TRIM(INDEX(INDIRECT("'Выгрузка'!A2084:Z2084"),Настройки!$B$13)&amp;"")="",1,IFERROR(--SUBSTITUTE(SUBSTITUTE(TRIM(INDEX(INDIRECT("'Выгрузка'!A2084:Z2084"),Настройки!$B$13)),",","."),".",MID(1/2,2,1)),"")))</f>
        <v/>
      </c>
      <c r="H2084">
        <f>IF(F2084="",0,IF(COUNTIF(Настройки!$B$17:$B$26,F2084)&gt;0,1,IF(COUNTIF(Настройки!$C$17:$C$26,F2084)&gt;0,2,IF(COUNTIF(Настройки!$D$17:$D$26,F2084)&gt;0,3,0))))</f>
        <v/>
      </c>
      <c r="I2084">
        <f>IF(AND(ISNUMBER(A2084),ISNUMBER(B2084)),A2084*1000+B2084,"")</f>
        <v/>
      </c>
      <c r="J2084">
        <f>IF(I2084="","",IF(COUNTIF(I$2:I2084,I2084)=1,MAX(J$1:J2083)+1,""))</f>
        <v/>
      </c>
    </row>
    <row r="2085">
      <c r="A2085">
        <f>IFERROR(--SUBSTITUTE(SUBSTITUTE(TRIM(INDEX(INDIRECT("'Выгрузка'!A2085:Z2085"),Настройки!$B$7)),",","."),".",MID(1/2,2,1)),"")</f>
        <v/>
      </c>
      <c r="B2085">
        <f>IFERROR(--SUBSTITUTE(SUBSTITUTE(TRIM(INDEX(INDIRECT("'Выгрузка'!A2085:Z2085"),Настройки!$B$9)),",","."),".",MID(1/2,2,1)),"")</f>
        <v/>
      </c>
      <c r="C2085">
        <f>TRIM(INDEX(INDIRECT("'Выгрузка'!A2085:Z2085"),Настройки!$B$8)&amp;"")</f>
        <v/>
      </c>
      <c r="D2085">
        <f>IFERROR(--SUBSTITUTE(SUBSTITUTE(TRIM(INDEX(INDIRECT("'Выгрузка'!A2085:Z2085"),Настройки!$B$10)),",","."),".",MID(1/2,2,1)),"")</f>
        <v/>
      </c>
      <c r="E2085">
        <f>IFERROR(--SUBSTITUTE(SUBSTITUTE(TRIM(INDEX(INDIRECT("'Выгрузка'!A2085:Z2085"),Настройки!$B$11)),",","."),".",MID(1/2,2,1)),"")</f>
        <v/>
      </c>
      <c r="F2085">
        <f>TRIM(INDEX(INDIRECT("'Выгрузка'!A2085:Z2085"),Настройки!$B$12)&amp;"")</f>
        <v/>
      </c>
      <c r="G2085">
        <f>IF(F2085="",0,IF(TRIM(INDEX(INDIRECT("'Выгрузка'!A2085:Z2085"),Настройки!$B$13)&amp;"")="",1,IFERROR(--SUBSTITUTE(SUBSTITUTE(TRIM(INDEX(INDIRECT("'Выгрузка'!A2085:Z2085"),Настройки!$B$13)),",","."),".",MID(1/2,2,1)),"")))</f>
        <v/>
      </c>
      <c r="H2085">
        <f>IF(F2085="",0,IF(COUNTIF(Настройки!$B$17:$B$26,F2085)&gt;0,1,IF(COUNTIF(Настройки!$C$17:$C$26,F2085)&gt;0,2,IF(COUNTIF(Настройки!$D$17:$D$26,F2085)&gt;0,3,0))))</f>
        <v/>
      </c>
      <c r="I2085">
        <f>IF(AND(ISNUMBER(A2085),ISNUMBER(B2085)),A2085*1000+B2085,"")</f>
        <v/>
      </c>
      <c r="J2085">
        <f>IF(I2085="","",IF(COUNTIF(I$2:I2085,I2085)=1,MAX(J$1:J2084)+1,""))</f>
        <v/>
      </c>
    </row>
    <row r="2086">
      <c r="A2086">
        <f>IFERROR(--SUBSTITUTE(SUBSTITUTE(TRIM(INDEX(INDIRECT("'Выгрузка'!A2086:Z2086"),Настройки!$B$7)),",","."),".",MID(1/2,2,1)),"")</f>
        <v/>
      </c>
      <c r="B2086">
        <f>IFERROR(--SUBSTITUTE(SUBSTITUTE(TRIM(INDEX(INDIRECT("'Выгрузка'!A2086:Z2086"),Настройки!$B$9)),",","."),".",MID(1/2,2,1)),"")</f>
        <v/>
      </c>
      <c r="C2086">
        <f>TRIM(INDEX(INDIRECT("'Выгрузка'!A2086:Z2086"),Настройки!$B$8)&amp;"")</f>
        <v/>
      </c>
      <c r="D2086">
        <f>IFERROR(--SUBSTITUTE(SUBSTITUTE(TRIM(INDEX(INDIRECT("'Выгрузка'!A2086:Z2086"),Настройки!$B$10)),",","."),".",MID(1/2,2,1)),"")</f>
        <v/>
      </c>
      <c r="E2086">
        <f>IFERROR(--SUBSTITUTE(SUBSTITUTE(TRIM(INDEX(INDIRECT("'Выгрузка'!A2086:Z2086"),Настройки!$B$11)),",","."),".",MID(1/2,2,1)),"")</f>
        <v/>
      </c>
      <c r="F2086">
        <f>TRIM(INDEX(INDIRECT("'Выгрузка'!A2086:Z2086"),Настройки!$B$12)&amp;"")</f>
        <v/>
      </c>
      <c r="G2086">
        <f>IF(F2086="",0,IF(TRIM(INDEX(INDIRECT("'Выгрузка'!A2086:Z2086"),Настройки!$B$13)&amp;"")="",1,IFERROR(--SUBSTITUTE(SUBSTITUTE(TRIM(INDEX(INDIRECT("'Выгрузка'!A2086:Z2086"),Настройки!$B$13)),",","."),".",MID(1/2,2,1)),"")))</f>
        <v/>
      </c>
      <c r="H2086">
        <f>IF(F2086="",0,IF(COUNTIF(Настройки!$B$17:$B$26,F2086)&gt;0,1,IF(COUNTIF(Настройки!$C$17:$C$26,F2086)&gt;0,2,IF(COUNTIF(Настройки!$D$17:$D$26,F2086)&gt;0,3,0))))</f>
        <v/>
      </c>
      <c r="I2086">
        <f>IF(AND(ISNUMBER(A2086),ISNUMBER(B2086)),A2086*1000+B2086,"")</f>
        <v/>
      </c>
      <c r="J2086">
        <f>IF(I2086="","",IF(COUNTIF(I$2:I2086,I2086)=1,MAX(J$1:J2085)+1,""))</f>
        <v/>
      </c>
    </row>
    <row r="2087">
      <c r="A2087">
        <f>IFERROR(--SUBSTITUTE(SUBSTITUTE(TRIM(INDEX(INDIRECT("'Выгрузка'!A2087:Z2087"),Настройки!$B$7)),",","."),".",MID(1/2,2,1)),"")</f>
        <v/>
      </c>
      <c r="B2087">
        <f>IFERROR(--SUBSTITUTE(SUBSTITUTE(TRIM(INDEX(INDIRECT("'Выгрузка'!A2087:Z2087"),Настройки!$B$9)),",","."),".",MID(1/2,2,1)),"")</f>
        <v/>
      </c>
      <c r="C2087">
        <f>TRIM(INDEX(INDIRECT("'Выгрузка'!A2087:Z2087"),Настройки!$B$8)&amp;"")</f>
        <v/>
      </c>
      <c r="D2087">
        <f>IFERROR(--SUBSTITUTE(SUBSTITUTE(TRIM(INDEX(INDIRECT("'Выгрузка'!A2087:Z2087"),Настройки!$B$10)),",","."),".",MID(1/2,2,1)),"")</f>
        <v/>
      </c>
      <c r="E2087">
        <f>IFERROR(--SUBSTITUTE(SUBSTITUTE(TRIM(INDEX(INDIRECT("'Выгрузка'!A2087:Z2087"),Настройки!$B$11)),",","."),".",MID(1/2,2,1)),"")</f>
        <v/>
      </c>
      <c r="F2087">
        <f>TRIM(INDEX(INDIRECT("'Выгрузка'!A2087:Z2087"),Настройки!$B$12)&amp;"")</f>
        <v/>
      </c>
      <c r="G2087">
        <f>IF(F2087="",0,IF(TRIM(INDEX(INDIRECT("'Выгрузка'!A2087:Z2087"),Настройки!$B$13)&amp;"")="",1,IFERROR(--SUBSTITUTE(SUBSTITUTE(TRIM(INDEX(INDIRECT("'Выгрузка'!A2087:Z2087"),Настройки!$B$13)),",","."),".",MID(1/2,2,1)),"")))</f>
        <v/>
      </c>
      <c r="H2087">
        <f>IF(F2087="",0,IF(COUNTIF(Настройки!$B$17:$B$26,F2087)&gt;0,1,IF(COUNTIF(Настройки!$C$17:$C$26,F2087)&gt;0,2,IF(COUNTIF(Настройки!$D$17:$D$26,F2087)&gt;0,3,0))))</f>
        <v/>
      </c>
      <c r="I2087">
        <f>IF(AND(ISNUMBER(A2087),ISNUMBER(B2087)),A2087*1000+B2087,"")</f>
        <v/>
      </c>
      <c r="J2087">
        <f>IF(I2087="","",IF(COUNTIF(I$2:I2087,I2087)=1,MAX(J$1:J2086)+1,""))</f>
        <v/>
      </c>
    </row>
    <row r="2088">
      <c r="A2088">
        <f>IFERROR(--SUBSTITUTE(SUBSTITUTE(TRIM(INDEX(INDIRECT("'Выгрузка'!A2088:Z2088"),Настройки!$B$7)),",","."),".",MID(1/2,2,1)),"")</f>
        <v/>
      </c>
      <c r="B2088">
        <f>IFERROR(--SUBSTITUTE(SUBSTITUTE(TRIM(INDEX(INDIRECT("'Выгрузка'!A2088:Z2088"),Настройки!$B$9)),",","."),".",MID(1/2,2,1)),"")</f>
        <v/>
      </c>
      <c r="C2088">
        <f>TRIM(INDEX(INDIRECT("'Выгрузка'!A2088:Z2088"),Настройки!$B$8)&amp;"")</f>
        <v/>
      </c>
      <c r="D2088">
        <f>IFERROR(--SUBSTITUTE(SUBSTITUTE(TRIM(INDEX(INDIRECT("'Выгрузка'!A2088:Z2088"),Настройки!$B$10)),",","."),".",MID(1/2,2,1)),"")</f>
        <v/>
      </c>
      <c r="E2088">
        <f>IFERROR(--SUBSTITUTE(SUBSTITUTE(TRIM(INDEX(INDIRECT("'Выгрузка'!A2088:Z2088"),Настройки!$B$11)),",","."),".",MID(1/2,2,1)),"")</f>
        <v/>
      </c>
      <c r="F2088">
        <f>TRIM(INDEX(INDIRECT("'Выгрузка'!A2088:Z2088"),Настройки!$B$12)&amp;"")</f>
        <v/>
      </c>
      <c r="G2088">
        <f>IF(F2088="",0,IF(TRIM(INDEX(INDIRECT("'Выгрузка'!A2088:Z2088"),Настройки!$B$13)&amp;"")="",1,IFERROR(--SUBSTITUTE(SUBSTITUTE(TRIM(INDEX(INDIRECT("'Выгрузка'!A2088:Z2088"),Настройки!$B$13)),",","."),".",MID(1/2,2,1)),"")))</f>
        <v/>
      </c>
      <c r="H2088">
        <f>IF(F2088="",0,IF(COUNTIF(Настройки!$B$17:$B$26,F2088)&gt;0,1,IF(COUNTIF(Настройки!$C$17:$C$26,F2088)&gt;0,2,IF(COUNTIF(Настройки!$D$17:$D$26,F2088)&gt;0,3,0))))</f>
        <v/>
      </c>
      <c r="I2088">
        <f>IF(AND(ISNUMBER(A2088),ISNUMBER(B2088)),A2088*1000+B2088,"")</f>
        <v/>
      </c>
      <c r="J2088">
        <f>IF(I2088="","",IF(COUNTIF(I$2:I2088,I2088)=1,MAX(J$1:J2087)+1,""))</f>
        <v/>
      </c>
    </row>
    <row r="2089">
      <c r="A2089">
        <f>IFERROR(--SUBSTITUTE(SUBSTITUTE(TRIM(INDEX(INDIRECT("'Выгрузка'!A2089:Z2089"),Настройки!$B$7)),",","."),".",MID(1/2,2,1)),"")</f>
        <v/>
      </c>
      <c r="B2089">
        <f>IFERROR(--SUBSTITUTE(SUBSTITUTE(TRIM(INDEX(INDIRECT("'Выгрузка'!A2089:Z2089"),Настройки!$B$9)),",","."),".",MID(1/2,2,1)),"")</f>
        <v/>
      </c>
      <c r="C2089">
        <f>TRIM(INDEX(INDIRECT("'Выгрузка'!A2089:Z2089"),Настройки!$B$8)&amp;"")</f>
        <v/>
      </c>
      <c r="D2089">
        <f>IFERROR(--SUBSTITUTE(SUBSTITUTE(TRIM(INDEX(INDIRECT("'Выгрузка'!A2089:Z2089"),Настройки!$B$10)),",","."),".",MID(1/2,2,1)),"")</f>
        <v/>
      </c>
      <c r="E2089">
        <f>IFERROR(--SUBSTITUTE(SUBSTITUTE(TRIM(INDEX(INDIRECT("'Выгрузка'!A2089:Z2089"),Настройки!$B$11)),",","."),".",MID(1/2,2,1)),"")</f>
        <v/>
      </c>
      <c r="F2089">
        <f>TRIM(INDEX(INDIRECT("'Выгрузка'!A2089:Z2089"),Настройки!$B$12)&amp;"")</f>
        <v/>
      </c>
      <c r="G2089">
        <f>IF(F2089="",0,IF(TRIM(INDEX(INDIRECT("'Выгрузка'!A2089:Z2089"),Настройки!$B$13)&amp;"")="",1,IFERROR(--SUBSTITUTE(SUBSTITUTE(TRIM(INDEX(INDIRECT("'Выгрузка'!A2089:Z2089"),Настройки!$B$13)),",","."),".",MID(1/2,2,1)),"")))</f>
        <v/>
      </c>
      <c r="H2089">
        <f>IF(F2089="",0,IF(COUNTIF(Настройки!$B$17:$B$26,F2089)&gt;0,1,IF(COUNTIF(Настройки!$C$17:$C$26,F2089)&gt;0,2,IF(COUNTIF(Настройки!$D$17:$D$26,F2089)&gt;0,3,0))))</f>
        <v/>
      </c>
      <c r="I2089">
        <f>IF(AND(ISNUMBER(A2089),ISNUMBER(B2089)),A2089*1000+B2089,"")</f>
        <v/>
      </c>
      <c r="J2089">
        <f>IF(I2089="","",IF(COUNTIF(I$2:I2089,I2089)=1,MAX(J$1:J2088)+1,""))</f>
        <v/>
      </c>
    </row>
    <row r="2090">
      <c r="A2090">
        <f>IFERROR(--SUBSTITUTE(SUBSTITUTE(TRIM(INDEX(INDIRECT("'Выгрузка'!A2090:Z2090"),Настройки!$B$7)),",","."),".",MID(1/2,2,1)),"")</f>
        <v/>
      </c>
      <c r="B2090">
        <f>IFERROR(--SUBSTITUTE(SUBSTITUTE(TRIM(INDEX(INDIRECT("'Выгрузка'!A2090:Z2090"),Настройки!$B$9)),",","."),".",MID(1/2,2,1)),"")</f>
        <v/>
      </c>
      <c r="C2090">
        <f>TRIM(INDEX(INDIRECT("'Выгрузка'!A2090:Z2090"),Настройки!$B$8)&amp;"")</f>
        <v/>
      </c>
      <c r="D2090">
        <f>IFERROR(--SUBSTITUTE(SUBSTITUTE(TRIM(INDEX(INDIRECT("'Выгрузка'!A2090:Z2090"),Настройки!$B$10)),",","."),".",MID(1/2,2,1)),"")</f>
        <v/>
      </c>
      <c r="E2090">
        <f>IFERROR(--SUBSTITUTE(SUBSTITUTE(TRIM(INDEX(INDIRECT("'Выгрузка'!A2090:Z2090"),Настройки!$B$11)),",","."),".",MID(1/2,2,1)),"")</f>
        <v/>
      </c>
      <c r="F2090">
        <f>TRIM(INDEX(INDIRECT("'Выгрузка'!A2090:Z2090"),Настройки!$B$12)&amp;"")</f>
        <v/>
      </c>
      <c r="G2090">
        <f>IF(F2090="",0,IF(TRIM(INDEX(INDIRECT("'Выгрузка'!A2090:Z2090"),Настройки!$B$13)&amp;"")="",1,IFERROR(--SUBSTITUTE(SUBSTITUTE(TRIM(INDEX(INDIRECT("'Выгрузка'!A2090:Z2090"),Настройки!$B$13)),",","."),".",MID(1/2,2,1)),"")))</f>
        <v/>
      </c>
      <c r="H2090">
        <f>IF(F2090="",0,IF(COUNTIF(Настройки!$B$17:$B$26,F2090)&gt;0,1,IF(COUNTIF(Настройки!$C$17:$C$26,F2090)&gt;0,2,IF(COUNTIF(Настройки!$D$17:$D$26,F2090)&gt;0,3,0))))</f>
        <v/>
      </c>
      <c r="I2090">
        <f>IF(AND(ISNUMBER(A2090),ISNUMBER(B2090)),A2090*1000+B2090,"")</f>
        <v/>
      </c>
      <c r="J2090">
        <f>IF(I2090="","",IF(COUNTIF(I$2:I2090,I2090)=1,MAX(J$1:J2089)+1,""))</f>
        <v/>
      </c>
    </row>
    <row r="2091">
      <c r="A2091">
        <f>IFERROR(--SUBSTITUTE(SUBSTITUTE(TRIM(INDEX(INDIRECT("'Выгрузка'!A2091:Z2091"),Настройки!$B$7)),",","."),".",MID(1/2,2,1)),"")</f>
        <v/>
      </c>
      <c r="B2091">
        <f>IFERROR(--SUBSTITUTE(SUBSTITUTE(TRIM(INDEX(INDIRECT("'Выгрузка'!A2091:Z2091"),Настройки!$B$9)),",","."),".",MID(1/2,2,1)),"")</f>
        <v/>
      </c>
      <c r="C2091">
        <f>TRIM(INDEX(INDIRECT("'Выгрузка'!A2091:Z2091"),Настройки!$B$8)&amp;"")</f>
        <v/>
      </c>
      <c r="D2091">
        <f>IFERROR(--SUBSTITUTE(SUBSTITUTE(TRIM(INDEX(INDIRECT("'Выгрузка'!A2091:Z2091"),Настройки!$B$10)),",","."),".",MID(1/2,2,1)),"")</f>
        <v/>
      </c>
      <c r="E2091">
        <f>IFERROR(--SUBSTITUTE(SUBSTITUTE(TRIM(INDEX(INDIRECT("'Выгрузка'!A2091:Z2091"),Настройки!$B$11)),",","."),".",MID(1/2,2,1)),"")</f>
        <v/>
      </c>
      <c r="F2091">
        <f>TRIM(INDEX(INDIRECT("'Выгрузка'!A2091:Z2091"),Настройки!$B$12)&amp;"")</f>
        <v/>
      </c>
      <c r="G2091">
        <f>IF(F2091="",0,IF(TRIM(INDEX(INDIRECT("'Выгрузка'!A2091:Z2091"),Настройки!$B$13)&amp;"")="",1,IFERROR(--SUBSTITUTE(SUBSTITUTE(TRIM(INDEX(INDIRECT("'Выгрузка'!A2091:Z2091"),Настройки!$B$13)),",","."),".",MID(1/2,2,1)),"")))</f>
        <v/>
      </c>
      <c r="H2091">
        <f>IF(F2091="",0,IF(COUNTIF(Настройки!$B$17:$B$26,F2091)&gt;0,1,IF(COUNTIF(Настройки!$C$17:$C$26,F2091)&gt;0,2,IF(COUNTIF(Настройки!$D$17:$D$26,F2091)&gt;0,3,0))))</f>
        <v/>
      </c>
      <c r="I2091">
        <f>IF(AND(ISNUMBER(A2091),ISNUMBER(B2091)),A2091*1000+B2091,"")</f>
        <v/>
      </c>
      <c r="J2091">
        <f>IF(I2091="","",IF(COUNTIF(I$2:I2091,I2091)=1,MAX(J$1:J2090)+1,""))</f>
        <v/>
      </c>
    </row>
    <row r="2092">
      <c r="A2092">
        <f>IFERROR(--SUBSTITUTE(SUBSTITUTE(TRIM(INDEX(INDIRECT("'Выгрузка'!A2092:Z2092"),Настройки!$B$7)),",","."),".",MID(1/2,2,1)),"")</f>
        <v/>
      </c>
      <c r="B2092">
        <f>IFERROR(--SUBSTITUTE(SUBSTITUTE(TRIM(INDEX(INDIRECT("'Выгрузка'!A2092:Z2092"),Настройки!$B$9)),",","."),".",MID(1/2,2,1)),"")</f>
        <v/>
      </c>
      <c r="C2092">
        <f>TRIM(INDEX(INDIRECT("'Выгрузка'!A2092:Z2092"),Настройки!$B$8)&amp;"")</f>
        <v/>
      </c>
      <c r="D2092">
        <f>IFERROR(--SUBSTITUTE(SUBSTITUTE(TRIM(INDEX(INDIRECT("'Выгрузка'!A2092:Z2092"),Настройки!$B$10)),",","."),".",MID(1/2,2,1)),"")</f>
        <v/>
      </c>
      <c r="E2092">
        <f>IFERROR(--SUBSTITUTE(SUBSTITUTE(TRIM(INDEX(INDIRECT("'Выгрузка'!A2092:Z2092"),Настройки!$B$11)),",","."),".",MID(1/2,2,1)),"")</f>
        <v/>
      </c>
      <c r="F2092">
        <f>TRIM(INDEX(INDIRECT("'Выгрузка'!A2092:Z2092"),Настройки!$B$12)&amp;"")</f>
        <v/>
      </c>
      <c r="G2092">
        <f>IF(F2092="",0,IF(TRIM(INDEX(INDIRECT("'Выгрузка'!A2092:Z2092"),Настройки!$B$13)&amp;"")="",1,IFERROR(--SUBSTITUTE(SUBSTITUTE(TRIM(INDEX(INDIRECT("'Выгрузка'!A2092:Z2092"),Настройки!$B$13)),",","."),".",MID(1/2,2,1)),"")))</f>
        <v/>
      </c>
      <c r="H2092">
        <f>IF(F2092="",0,IF(COUNTIF(Настройки!$B$17:$B$26,F2092)&gt;0,1,IF(COUNTIF(Настройки!$C$17:$C$26,F2092)&gt;0,2,IF(COUNTIF(Настройки!$D$17:$D$26,F2092)&gt;0,3,0))))</f>
        <v/>
      </c>
      <c r="I2092">
        <f>IF(AND(ISNUMBER(A2092),ISNUMBER(B2092)),A2092*1000+B2092,"")</f>
        <v/>
      </c>
      <c r="J2092">
        <f>IF(I2092="","",IF(COUNTIF(I$2:I2092,I2092)=1,MAX(J$1:J2091)+1,""))</f>
        <v/>
      </c>
    </row>
    <row r="2093">
      <c r="A2093">
        <f>IFERROR(--SUBSTITUTE(SUBSTITUTE(TRIM(INDEX(INDIRECT("'Выгрузка'!A2093:Z2093"),Настройки!$B$7)),",","."),".",MID(1/2,2,1)),"")</f>
        <v/>
      </c>
      <c r="B2093">
        <f>IFERROR(--SUBSTITUTE(SUBSTITUTE(TRIM(INDEX(INDIRECT("'Выгрузка'!A2093:Z2093"),Настройки!$B$9)),",","."),".",MID(1/2,2,1)),"")</f>
        <v/>
      </c>
      <c r="C2093">
        <f>TRIM(INDEX(INDIRECT("'Выгрузка'!A2093:Z2093"),Настройки!$B$8)&amp;"")</f>
        <v/>
      </c>
      <c r="D2093">
        <f>IFERROR(--SUBSTITUTE(SUBSTITUTE(TRIM(INDEX(INDIRECT("'Выгрузка'!A2093:Z2093"),Настройки!$B$10)),",","."),".",MID(1/2,2,1)),"")</f>
        <v/>
      </c>
      <c r="E2093">
        <f>IFERROR(--SUBSTITUTE(SUBSTITUTE(TRIM(INDEX(INDIRECT("'Выгрузка'!A2093:Z2093"),Настройки!$B$11)),",","."),".",MID(1/2,2,1)),"")</f>
        <v/>
      </c>
      <c r="F2093">
        <f>TRIM(INDEX(INDIRECT("'Выгрузка'!A2093:Z2093"),Настройки!$B$12)&amp;"")</f>
        <v/>
      </c>
      <c r="G2093">
        <f>IF(F2093="",0,IF(TRIM(INDEX(INDIRECT("'Выгрузка'!A2093:Z2093"),Настройки!$B$13)&amp;"")="",1,IFERROR(--SUBSTITUTE(SUBSTITUTE(TRIM(INDEX(INDIRECT("'Выгрузка'!A2093:Z2093"),Настройки!$B$13)),",","."),".",MID(1/2,2,1)),"")))</f>
        <v/>
      </c>
      <c r="H2093">
        <f>IF(F2093="",0,IF(COUNTIF(Настройки!$B$17:$B$26,F2093)&gt;0,1,IF(COUNTIF(Настройки!$C$17:$C$26,F2093)&gt;0,2,IF(COUNTIF(Настройки!$D$17:$D$26,F2093)&gt;0,3,0))))</f>
        <v/>
      </c>
      <c r="I2093">
        <f>IF(AND(ISNUMBER(A2093),ISNUMBER(B2093)),A2093*1000+B2093,"")</f>
        <v/>
      </c>
      <c r="J2093">
        <f>IF(I2093="","",IF(COUNTIF(I$2:I2093,I2093)=1,MAX(J$1:J2092)+1,""))</f>
        <v/>
      </c>
    </row>
    <row r="2094">
      <c r="A2094">
        <f>IFERROR(--SUBSTITUTE(SUBSTITUTE(TRIM(INDEX(INDIRECT("'Выгрузка'!A2094:Z2094"),Настройки!$B$7)),",","."),".",MID(1/2,2,1)),"")</f>
        <v/>
      </c>
      <c r="B2094">
        <f>IFERROR(--SUBSTITUTE(SUBSTITUTE(TRIM(INDEX(INDIRECT("'Выгрузка'!A2094:Z2094"),Настройки!$B$9)),",","."),".",MID(1/2,2,1)),"")</f>
        <v/>
      </c>
      <c r="C2094">
        <f>TRIM(INDEX(INDIRECT("'Выгрузка'!A2094:Z2094"),Настройки!$B$8)&amp;"")</f>
        <v/>
      </c>
      <c r="D2094">
        <f>IFERROR(--SUBSTITUTE(SUBSTITUTE(TRIM(INDEX(INDIRECT("'Выгрузка'!A2094:Z2094"),Настройки!$B$10)),",","."),".",MID(1/2,2,1)),"")</f>
        <v/>
      </c>
      <c r="E2094">
        <f>IFERROR(--SUBSTITUTE(SUBSTITUTE(TRIM(INDEX(INDIRECT("'Выгрузка'!A2094:Z2094"),Настройки!$B$11)),",","."),".",MID(1/2,2,1)),"")</f>
        <v/>
      </c>
      <c r="F2094">
        <f>TRIM(INDEX(INDIRECT("'Выгрузка'!A2094:Z2094"),Настройки!$B$12)&amp;"")</f>
        <v/>
      </c>
      <c r="G2094">
        <f>IF(F2094="",0,IF(TRIM(INDEX(INDIRECT("'Выгрузка'!A2094:Z2094"),Настройки!$B$13)&amp;"")="",1,IFERROR(--SUBSTITUTE(SUBSTITUTE(TRIM(INDEX(INDIRECT("'Выгрузка'!A2094:Z2094"),Настройки!$B$13)),",","."),".",MID(1/2,2,1)),"")))</f>
        <v/>
      </c>
      <c r="H2094">
        <f>IF(F2094="",0,IF(COUNTIF(Настройки!$B$17:$B$26,F2094)&gt;0,1,IF(COUNTIF(Настройки!$C$17:$C$26,F2094)&gt;0,2,IF(COUNTIF(Настройки!$D$17:$D$26,F2094)&gt;0,3,0))))</f>
        <v/>
      </c>
      <c r="I2094">
        <f>IF(AND(ISNUMBER(A2094),ISNUMBER(B2094)),A2094*1000+B2094,"")</f>
        <v/>
      </c>
      <c r="J2094">
        <f>IF(I2094="","",IF(COUNTIF(I$2:I2094,I2094)=1,MAX(J$1:J2093)+1,""))</f>
        <v/>
      </c>
    </row>
    <row r="2095">
      <c r="A2095">
        <f>IFERROR(--SUBSTITUTE(SUBSTITUTE(TRIM(INDEX(INDIRECT("'Выгрузка'!A2095:Z2095"),Настройки!$B$7)),",","."),".",MID(1/2,2,1)),"")</f>
        <v/>
      </c>
      <c r="B2095">
        <f>IFERROR(--SUBSTITUTE(SUBSTITUTE(TRIM(INDEX(INDIRECT("'Выгрузка'!A2095:Z2095"),Настройки!$B$9)),",","."),".",MID(1/2,2,1)),"")</f>
        <v/>
      </c>
      <c r="C2095">
        <f>TRIM(INDEX(INDIRECT("'Выгрузка'!A2095:Z2095"),Настройки!$B$8)&amp;"")</f>
        <v/>
      </c>
      <c r="D2095">
        <f>IFERROR(--SUBSTITUTE(SUBSTITUTE(TRIM(INDEX(INDIRECT("'Выгрузка'!A2095:Z2095"),Настройки!$B$10)),",","."),".",MID(1/2,2,1)),"")</f>
        <v/>
      </c>
      <c r="E2095">
        <f>IFERROR(--SUBSTITUTE(SUBSTITUTE(TRIM(INDEX(INDIRECT("'Выгрузка'!A2095:Z2095"),Настройки!$B$11)),",","."),".",MID(1/2,2,1)),"")</f>
        <v/>
      </c>
      <c r="F2095">
        <f>TRIM(INDEX(INDIRECT("'Выгрузка'!A2095:Z2095"),Настройки!$B$12)&amp;"")</f>
        <v/>
      </c>
      <c r="G2095">
        <f>IF(F2095="",0,IF(TRIM(INDEX(INDIRECT("'Выгрузка'!A2095:Z2095"),Настройки!$B$13)&amp;"")="",1,IFERROR(--SUBSTITUTE(SUBSTITUTE(TRIM(INDEX(INDIRECT("'Выгрузка'!A2095:Z2095"),Настройки!$B$13)),",","."),".",MID(1/2,2,1)),"")))</f>
        <v/>
      </c>
      <c r="H2095">
        <f>IF(F2095="",0,IF(COUNTIF(Настройки!$B$17:$B$26,F2095)&gt;0,1,IF(COUNTIF(Настройки!$C$17:$C$26,F2095)&gt;0,2,IF(COUNTIF(Настройки!$D$17:$D$26,F2095)&gt;0,3,0))))</f>
        <v/>
      </c>
      <c r="I2095">
        <f>IF(AND(ISNUMBER(A2095),ISNUMBER(B2095)),A2095*1000+B2095,"")</f>
        <v/>
      </c>
      <c r="J2095">
        <f>IF(I2095="","",IF(COUNTIF(I$2:I2095,I2095)=1,MAX(J$1:J2094)+1,""))</f>
        <v/>
      </c>
    </row>
    <row r="2096">
      <c r="A2096">
        <f>IFERROR(--SUBSTITUTE(SUBSTITUTE(TRIM(INDEX(INDIRECT("'Выгрузка'!A2096:Z2096"),Настройки!$B$7)),",","."),".",MID(1/2,2,1)),"")</f>
        <v/>
      </c>
      <c r="B2096">
        <f>IFERROR(--SUBSTITUTE(SUBSTITUTE(TRIM(INDEX(INDIRECT("'Выгрузка'!A2096:Z2096"),Настройки!$B$9)),",","."),".",MID(1/2,2,1)),"")</f>
        <v/>
      </c>
      <c r="C2096">
        <f>TRIM(INDEX(INDIRECT("'Выгрузка'!A2096:Z2096"),Настройки!$B$8)&amp;"")</f>
        <v/>
      </c>
      <c r="D2096">
        <f>IFERROR(--SUBSTITUTE(SUBSTITUTE(TRIM(INDEX(INDIRECT("'Выгрузка'!A2096:Z2096"),Настройки!$B$10)),",","."),".",MID(1/2,2,1)),"")</f>
        <v/>
      </c>
      <c r="E2096">
        <f>IFERROR(--SUBSTITUTE(SUBSTITUTE(TRIM(INDEX(INDIRECT("'Выгрузка'!A2096:Z2096"),Настройки!$B$11)),",","."),".",MID(1/2,2,1)),"")</f>
        <v/>
      </c>
      <c r="F2096">
        <f>TRIM(INDEX(INDIRECT("'Выгрузка'!A2096:Z2096"),Настройки!$B$12)&amp;"")</f>
        <v/>
      </c>
      <c r="G2096">
        <f>IF(F2096="",0,IF(TRIM(INDEX(INDIRECT("'Выгрузка'!A2096:Z2096"),Настройки!$B$13)&amp;"")="",1,IFERROR(--SUBSTITUTE(SUBSTITUTE(TRIM(INDEX(INDIRECT("'Выгрузка'!A2096:Z2096"),Настройки!$B$13)),",","."),".",MID(1/2,2,1)),"")))</f>
        <v/>
      </c>
      <c r="H2096">
        <f>IF(F2096="",0,IF(COUNTIF(Настройки!$B$17:$B$26,F2096)&gt;0,1,IF(COUNTIF(Настройки!$C$17:$C$26,F2096)&gt;0,2,IF(COUNTIF(Настройки!$D$17:$D$26,F2096)&gt;0,3,0))))</f>
        <v/>
      </c>
      <c r="I2096">
        <f>IF(AND(ISNUMBER(A2096),ISNUMBER(B2096)),A2096*1000+B2096,"")</f>
        <v/>
      </c>
      <c r="J2096">
        <f>IF(I2096="","",IF(COUNTIF(I$2:I2096,I2096)=1,MAX(J$1:J2095)+1,""))</f>
        <v/>
      </c>
    </row>
    <row r="2097">
      <c r="A2097">
        <f>IFERROR(--SUBSTITUTE(SUBSTITUTE(TRIM(INDEX(INDIRECT("'Выгрузка'!A2097:Z2097"),Настройки!$B$7)),",","."),".",MID(1/2,2,1)),"")</f>
        <v/>
      </c>
      <c r="B2097">
        <f>IFERROR(--SUBSTITUTE(SUBSTITUTE(TRIM(INDEX(INDIRECT("'Выгрузка'!A2097:Z2097"),Настройки!$B$9)),",","."),".",MID(1/2,2,1)),"")</f>
        <v/>
      </c>
      <c r="C2097">
        <f>TRIM(INDEX(INDIRECT("'Выгрузка'!A2097:Z2097"),Настройки!$B$8)&amp;"")</f>
        <v/>
      </c>
      <c r="D2097">
        <f>IFERROR(--SUBSTITUTE(SUBSTITUTE(TRIM(INDEX(INDIRECT("'Выгрузка'!A2097:Z2097"),Настройки!$B$10)),",","."),".",MID(1/2,2,1)),"")</f>
        <v/>
      </c>
      <c r="E2097">
        <f>IFERROR(--SUBSTITUTE(SUBSTITUTE(TRIM(INDEX(INDIRECT("'Выгрузка'!A2097:Z2097"),Настройки!$B$11)),",","."),".",MID(1/2,2,1)),"")</f>
        <v/>
      </c>
      <c r="F2097">
        <f>TRIM(INDEX(INDIRECT("'Выгрузка'!A2097:Z2097"),Настройки!$B$12)&amp;"")</f>
        <v/>
      </c>
      <c r="G2097">
        <f>IF(F2097="",0,IF(TRIM(INDEX(INDIRECT("'Выгрузка'!A2097:Z2097"),Настройки!$B$13)&amp;"")="",1,IFERROR(--SUBSTITUTE(SUBSTITUTE(TRIM(INDEX(INDIRECT("'Выгрузка'!A2097:Z2097"),Настройки!$B$13)),",","."),".",MID(1/2,2,1)),"")))</f>
        <v/>
      </c>
      <c r="H2097">
        <f>IF(F2097="",0,IF(COUNTIF(Настройки!$B$17:$B$26,F2097)&gt;0,1,IF(COUNTIF(Настройки!$C$17:$C$26,F2097)&gt;0,2,IF(COUNTIF(Настройки!$D$17:$D$26,F2097)&gt;0,3,0))))</f>
        <v/>
      </c>
      <c r="I2097">
        <f>IF(AND(ISNUMBER(A2097),ISNUMBER(B2097)),A2097*1000+B2097,"")</f>
        <v/>
      </c>
      <c r="J2097">
        <f>IF(I2097="","",IF(COUNTIF(I$2:I2097,I2097)=1,MAX(J$1:J2096)+1,""))</f>
        <v/>
      </c>
    </row>
    <row r="2098">
      <c r="A2098">
        <f>IFERROR(--SUBSTITUTE(SUBSTITUTE(TRIM(INDEX(INDIRECT("'Выгрузка'!A2098:Z2098"),Настройки!$B$7)),",","."),".",MID(1/2,2,1)),"")</f>
        <v/>
      </c>
      <c r="B2098">
        <f>IFERROR(--SUBSTITUTE(SUBSTITUTE(TRIM(INDEX(INDIRECT("'Выгрузка'!A2098:Z2098"),Настройки!$B$9)),",","."),".",MID(1/2,2,1)),"")</f>
        <v/>
      </c>
      <c r="C2098">
        <f>TRIM(INDEX(INDIRECT("'Выгрузка'!A2098:Z2098"),Настройки!$B$8)&amp;"")</f>
        <v/>
      </c>
      <c r="D2098">
        <f>IFERROR(--SUBSTITUTE(SUBSTITUTE(TRIM(INDEX(INDIRECT("'Выгрузка'!A2098:Z2098"),Настройки!$B$10)),",","."),".",MID(1/2,2,1)),"")</f>
        <v/>
      </c>
      <c r="E2098">
        <f>IFERROR(--SUBSTITUTE(SUBSTITUTE(TRIM(INDEX(INDIRECT("'Выгрузка'!A2098:Z2098"),Настройки!$B$11)),",","."),".",MID(1/2,2,1)),"")</f>
        <v/>
      </c>
      <c r="F2098">
        <f>TRIM(INDEX(INDIRECT("'Выгрузка'!A2098:Z2098"),Настройки!$B$12)&amp;"")</f>
        <v/>
      </c>
      <c r="G2098">
        <f>IF(F2098="",0,IF(TRIM(INDEX(INDIRECT("'Выгрузка'!A2098:Z2098"),Настройки!$B$13)&amp;"")="",1,IFERROR(--SUBSTITUTE(SUBSTITUTE(TRIM(INDEX(INDIRECT("'Выгрузка'!A2098:Z2098"),Настройки!$B$13)),",","."),".",MID(1/2,2,1)),"")))</f>
        <v/>
      </c>
      <c r="H2098">
        <f>IF(F2098="",0,IF(COUNTIF(Настройки!$B$17:$B$26,F2098)&gt;0,1,IF(COUNTIF(Настройки!$C$17:$C$26,F2098)&gt;0,2,IF(COUNTIF(Настройки!$D$17:$D$26,F2098)&gt;0,3,0))))</f>
        <v/>
      </c>
      <c r="I2098">
        <f>IF(AND(ISNUMBER(A2098),ISNUMBER(B2098)),A2098*1000+B2098,"")</f>
        <v/>
      </c>
      <c r="J2098">
        <f>IF(I2098="","",IF(COUNTIF(I$2:I2098,I2098)=1,MAX(J$1:J2097)+1,""))</f>
        <v/>
      </c>
    </row>
    <row r="2099">
      <c r="A2099">
        <f>IFERROR(--SUBSTITUTE(SUBSTITUTE(TRIM(INDEX(INDIRECT("'Выгрузка'!A2099:Z2099"),Настройки!$B$7)),",","."),".",MID(1/2,2,1)),"")</f>
        <v/>
      </c>
      <c r="B2099">
        <f>IFERROR(--SUBSTITUTE(SUBSTITUTE(TRIM(INDEX(INDIRECT("'Выгрузка'!A2099:Z2099"),Настройки!$B$9)),",","."),".",MID(1/2,2,1)),"")</f>
        <v/>
      </c>
      <c r="C2099">
        <f>TRIM(INDEX(INDIRECT("'Выгрузка'!A2099:Z2099"),Настройки!$B$8)&amp;"")</f>
        <v/>
      </c>
      <c r="D2099">
        <f>IFERROR(--SUBSTITUTE(SUBSTITUTE(TRIM(INDEX(INDIRECT("'Выгрузка'!A2099:Z2099"),Настройки!$B$10)),",","."),".",MID(1/2,2,1)),"")</f>
        <v/>
      </c>
      <c r="E2099">
        <f>IFERROR(--SUBSTITUTE(SUBSTITUTE(TRIM(INDEX(INDIRECT("'Выгрузка'!A2099:Z2099"),Настройки!$B$11)),",","."),".",MID(1/2,2,1)),"")</f>
        <v/>
      </c>
      <c r="F2099">
        <f>TRIM(INDEX(INDIRECT("'Выгрузка'!A2099:Z2099"),Настройки!$B$12)&amp;"")</f>
        <v/>
      </c>
      <c r="G2099">
        <f>IF(F2099="",0,IF(TRIM(INDEX(INDIRECT("'Выгрузка'!A2099:Z2099"),Настройки!$B$13)&amp;"")="",1,IFERROR(--SUBSTITUTE(SUBSTITUTE(TRIM(INDEX(INDIRECT("'Выгрузка'!A2099:Z2099"),Настройки!$B$13)),",","."),".",MID(1/2,2,1)),"")))</f>
        <v/>
      </c>
      <c r="H2099">
        <f>IF(F2099="",0,IF(COUNTIF(Настройки!$B$17:$B$26,F2099)&gt;0,1,IF(COUNTIF(Настройки!$C$17:$C$26,F2099)&gt;0,2,IF(COUNTIF(Настройки!$D$17:$D$26,F2099)&gt;0,3,0))))</f>
        <v/>
      </c>
      <c r="I2099">
        <f>IF(AND(ISNUMBER(A2099),ISNUMBER(B2099)),A2099*1000+B2099,"")</f>
        <v/>
      </c>
      <c r="J2099">
        <f>IF(I2099="","",IF(COUNTIF(I$2:I2099,I2099)=1,MAX(J$1:J2098)+1,""))</f>
        <v/>
      </c>
    </row>
    <row r="2100">
      <c r="A2100">
        <f>IFERROR(--SUBSTITUTE(SUBSTITUTE(TRIM(INDEX(INDIRECT("'Выгрузка'!A2100:Z2100"),Настройки!$B$7)),",","."),".",MID(1/2,2,1)),"")</f>
        <v/>
      </c>
      <c r="B2100">
        <f>IFERROR(--SUBSTITUTE(SUBSTITUTE(TRIM(INDEX(INDIRECT("'Выгрузка'!A2100:Z2100"),Настройки!$B$9)),",","."),".",MID(1/2,2,1)),"")</f>
        <v/>
      </c>
      <c r="C2100">
        <f>TRIM(INDEX(INDIRECT("'Выгрузка'!A2100:Z2100"),Настройки!$B$8)&amp;"")</f>
        <v/>
      </c>
      <c r="D2100">
        <f>IFERROR(--SUBSTITUTE(SUBSTITUTE(TRIM(INDEX(INDIRECT("'Выгрузка'!A2100:Z2100"),Настройки!$B$10)),",","."),".",MID(1/2,2,1)),"")</f>
        <v/>
      </c>
      <c r="E2100">
        <f>IFERROR(--SUBSTITUTE(SUBSTITUTE(TRIM(INDEX(INDIRECT("'Выгрузка'!A2100:Z2100"),Настройки!$B$11)),",","."),".",MID(1/2,2,1)),"")</f>
        <v/>
      </c>
      <c r="F2100">
        <f>TRIM(INDEX(INDIRECT("'Выгрузка'!A2100:Z2100"),Настройки!$B$12)&amp;"")</f>
        <v/>
      </c>
      <c r="G2100">
        <f>IF(F2100="",0,IF(TRIM(INDEX(INDIRECT("'Выгрузка'!A2100:Z2100"),Настройки!$B$13)&amp;"")="",1,IFERROR(--SUBSTITUTE(SUBSTITUTE(TRIM(INDEX(INDIRECT("'Выгрузка'!A2100:Z2100"),Настройки!$B$13)),",","."),".",MID(1/2,2,1)),"")))</f>
        <v/>
      </c>
      <c r="H2100">
        <f>IF(F2100="",0,IF(COUNTIF(Настройки!$B$17:$B$26,F2100)&gt;0,1,IF(COUNTIF(Настройки!$C$17:$C$26,F2100)&gt;0,2,IF(COUNTIF(Настройки!$D$17:$D$26,F2100)&gt;0,3,0))))</f>
        <v/>
      </c>
      <c r="I2100">
        <f>IF(AND(ISNUMBER(A2100),ISNUMBER(B2100)),A2100*1000+B2100,"")</f>
        <v/>
      </c>
      <c r="J2100">
        <f>IF(I2100="","",IF(COUNTIF(I$2:I2100,I2100)=1,MAX(J$1:J2099)+1,""))</f>
        <v/>
      </c>
    </row>
    <row r="2101">
      <c r="A2101">
        <f>IFERROR(--SUBSTITUTE(SUBSTITUTE(TRIM(INDEX(INDIRECT("'Выгрузка'!A2101:Z2101"),Настройки!$B$7)),",","."),".",MID(1/2,2,1)),"")</f>
        <v/>
      </c>
      <c r="B2101">
        <f>IFERROR(--SUBSTITUTE(SUBSTITUTE(TRIM(INDEX(INDIRECT("'Выгрузка'!A2101:Z2101"),Настройки!$B$9)),",","."),".",MID(1/2,2,1)),"")</f>
        <v/>
      </c>
      <c r="C2101">
        <f>TRIM(INDEX(INDIRECT("'Выгрузка'!A2101:Z2101"),Настройки!$B$8)&amp;"")</f>
        <v/>
      </c>
      <c r="D2101">
        <f>IFERROR(--SUBSTITUTE(SUBSTITUTE(TRIM(INDEX(INDIRECT("'Выгрузка'!A2101:Z2101"),Настройки!$B$10)),",","."),".",MID(1/2,2,1)),"")</f>
        <v/>
      </c>
      <c r="E2101">
        <f>IFERROR(--SUBSTITUTE(SUBSTITUTE(TRIM(INDEX(INDIRECT("'Выгрузка'!A2101:Z2101"),Настройки!$B$11)),",","."),".",MID(1/2,2,1)),"")</f>
        <v/>
      </c>
      <c r="F2101">
        <f>TRIM(INDEX(INDIRECT("'Выгрузка'!A2101:Z2101"),Настройки!$B$12)&amp;"")</f>
        <v/>
      </c>
      <c r="G2101">
        <f>IF(F2101="",0,IF(TRIM(INDEX(INDIRECT("'Выгрузка'!A2101:Z2101"),Настройки!$B$13)&amp;"")="",1,IFERROR(--SUBSTITUTE(SUBSTITUTE(TRIM(INDEX(INDIRECT("'Выгрузка'!A2101:Z2101"),Настройки!$B$13)),",","."),".",MID(1/2,2,1)),"")))</f>
        <v/>
      </c>
      <c r="H2101">
        <f>IF(F2101="",0,IF(COUNTIF(Настройки!$B$17:$B$26,F2101)&gt;0,1,IF(COUNTIF(Настройки!$C$17:$C$26,F2101)&gt;0,2,IF(COUNTIF(Настройки!$D$17:$D$26,F2101)&gt;0,3,0))))</f>
        <v/>
      </c>
      <c r="I2101">
        <f>IF(AND(ISNUMBER(A2101),ISNUMBER(B2101)),A2101*1000+B2101,"")</f>
        <v/>
      </c>
      <c r="J2101">
        <f>IF(I2101="","",IF(COUNTIF(I$2:I2101,I2101)=1,MAX(J$1:J2100)+1,""))</f>
        <v/>
      </c>
    </row>
    <row r="2102">
      <c r="A2102">
        <f>IFERROR(--SUBSTITUTE(SUBSTITUTE(TRIM(INDEX(INDIRECT("'Выгрузка'!A2102:Z2102"),Настройки!$B$7)),",","."),".",MID(1/2,2,1)),"")</f>
        <v/>
      </c>
      <c r="B2102">
        <f>IFERROR(--SUBSTITUTE(SUBSTITUTE(TRIM(INDEX(INDIRECT("'Выгрузка'!A2102:Z2102"),Настройки!$B$9)),",","."),".",MID(1/2,2,1)),"")</f>
        <v/>
      </c>
      <c r="C2102">
        <f>TRIM(INDEX(INDIRECT("'Выгрузка'!A2102:Z2102"),Настройки!$B$8)&amp;"")</f>
        <v/>
      </c>
      <c r="D2102">
        <f>IFERROR(--SUBSTITUTE(SUBSTITUTE(TRIM(INDEX(INDIRECT("'Выгрузка'!A2102:Z2102"),Настройки!$B$10)),",","."),".",MID(1/2,2,1)),"")</f>
        <v/>
      </c>
      <c r="E2102">
        <f>IFERROR(--SUBSTITUTE(SUBSTITUTE(TRIM(INDEX(INDIRECT("'Выгрузка'!A2102:Z2102"),Настройки!$B$11)),",","."),".",MID(1/2,2,1)),"")</f>
        <v/>
      </c>
      <c r="F2102">
        <f>TRIM(INDEX(INDIRECT("'Выгрузка'!A2102:Z2102"),Настройки!$B$12)&amp;"")</f>
        <v/>
      </c>
      <c r="G2102">
        <f>IF(F2102="",0,IF(TRIM(INDEX(INDIRECT("'Выгрузка'!A2102:Z2102"),Настройки!$B$13)&amp;"")="",1,IFERROR(--SUBSTITUTE(SUBSTITUTE(TRIM(INDEX(INDIRECT("'Выгрузка'!A2102:Z2102"),Настройки!$B$13)),",","."),".",MID(1/2,2,1)),"")))</f>
        <v/>
      </c>
      <c r="H2102">
        <f>IF(F2102="",0,IF(COUNTIF(Настройки!$B$17:$B$26,F2102)&gt;0,1,IF(COUNTIF(Настройки!$C$17:$C$26,F2102)&gt;0,2,IF(COUNTIF(Настройки!$D$17:$D$26,F2102)&gt;0,3,0))))</f>
        <v/>
      </c>
      <c r="I2102">
        <f>IF(AND(ISNUMBER(A2102),ISNUMBER(B2102)),A2102*1000+B2102,"")</f>
        <v/>
      </c>
      <c r="J2102">
        <f>IF(I2102="","",IF(COUNTIF(I$2:I2102,I2102)=1,MAX(J$1:J2101)+1,""))</f>
        <v/>
      </c>
    </row>
    <row r="2103">
      <c r="A2103">
        <f>IFERROR(--SUBSTITUTE(SUBSTITUTE(TRIM(INDEX(INDIRECT("'Выгрузка'!A2103:Z2103"),Настройки!$B$7)),",","."),".",MID(1/2,2,1)),"")</f>
        <v/>
      </c>
      <c r="B2103">
        <f>IFERROR(--SUBSTITUTE(SUBSTITUTE(TRIM(INDEX(INDIRECT("'Выгрузка'!A2103:Z2103"),Настройки!$B$9)),",","."),".",MID(1/2,2,1)),"")</f>
        <v/>
      </c>
      <c r="C2103">
        <f>TRIM(INDEX(INDIRECT("'Выгрузка'!A2103:Z2103"),Настройки!$B$8)&amp;"")</f>
        <v/>
      </c>
      <c r="D2103">
        <f>IFERROR(--SUBSTITUTE(SUBSTITUTE(TRIM(INDEX(INDIRECT("'Выгрузка'!A2103:Z2103"),Настройки!$B$10)),",","."),".",MID(1/2,2,1)),"")</f>
        <v/>
      </c>
      <c r="E2103">
        <f>IFERROR(--SUBSTITUTE(SUBSTITUTE(TRIM(INDEX(INDIRECT("'Выгрузка'!A2103:Z2103"),Настройки!$B$11)),",","."),".",MID(1/2,2,1)),"")</f>
        <v/>
      </c>
      <c r="F2103">
        <f>TRIM(INDEX(INDIRECT("'Выгрузка'!A2103:Z2103"),Настройки!$B$12)&amp;"")</f>
        <v/>
      </c>
      <c r="G2103">
        <f>IF(F2103="",0,IF(TRIM(INDEX(INDIRECT("'Выгрузка'!A2103:Z2103"),Настройки!$B$13)&amp;"")="",1,IFERROR(--SUBSTITUTE(SUBSTITUTE(TRIM(INDEX(INDIRECT("'Выгрузка'!A2103:Z2103"),Настройки!$B$13)),",","."),".",MID(1/2,2,1)),"")))</f>
        <v/>
      </c>
      <c r="H2103">
        <f>IF(F2103="",0,IF(COUNTIF(Настройки!$B$17:$B$26,F2103)&gt;0,1,IF(COUNTIF(Настройки!$C$17:$C$26,F2103)&gt;0,2,IF(COUNTIF(Настройки!$D$17:$D$26,F2103)&gt;0,3,0))))</f>
        <v/>
      </c>
      <c r="I2103">
        <f>IF(AND(ISNUMBER(A2103),ISNUMBER(B2103)),A2103*1000+B2103,"")</f>
        <v/>
      </c>
      <c r="J2103">
        <f>IF(I2103="","",IF(COUNTIF(I$2:I2103,I2103)=1,MAX(J$1:J2102)+1,""))</f>
        <v/>
      </c>
    </row>
    <row r="2104">
      <c r="A2104">
        <f>IFERROR(--SUBSTITUTE(SUBSTITUTE(TRIM(INDEX(INDIRECT("'Выгрузка'!A2104:Z2104"),Настройки!$B$7)),",","."),".",MID(1/2,2,1)),"")</f>
        <v/>
      </c>
      <c r="B2104">
        <f>IFERROR(--SUBSTITUTE(SUBSTITUTE(TRIM(INDEX(INDIRECT("'Выгрузка'!A2104:Z2104"),Настройки!$B$9)),",","."),".",MID(1/2,2,1)),"")</f>
        <v/>
      </c>
      <c r="C2104">
        <f>TRIM(INDEX(INDIRECT("'Выгрузка'!A2104:Z2104"),Настройки!$B$8)&amp;"")</f>
        <v/>
      </c>
      <c r="D2104">
        <f>IFERROR(--SUBSTITUTE(SUBSTITUTE(TRIM(INDEX(INDIRECT("'Выгрузка'!A2104:Z2104"),Настройки!$B$10)),",","."),".",MID(1/2,2,1)),"")</f>
        <v/>
      </c>
      <c r="E2104">
        <f>IFERROR(--SUBSTITUTE(SUBSTITUTE(TRIM(INDEX(INDIRECT("'Выгрузка'!A2104:Z2104"),Настройки!$B$11)),",","."),".",MID(1/2,2,1)),"")</f>
        <v/>
      </c>
      <c r="F2104">
        <f>TRIM(INDEX(INDIRECT("'Выгрузка'!A2104:Z2104"),Настройки!$B$12)&amp;"")</f>
        <v/>
      </c>
      <c r="G2104">
        <f>IF(F2104="",0,IF(TRIM(INDEX(INDIRECT("'Выгрузка'!A2104:Z2104"),Настройки!$B$13)&amp;"")="",1,IFERROR(--SUBSTITUTE(SUBSTITUTE(TRIM(INDEX(INDIRECT("'Выгрузка'!A2104:Z2104"),Настройки!$B$13)),",","."),".",MID(1/2,2,1)),"")))</f>
        <v/>
      </c>
      <c r="H2104">
        <f>IF(F2104="",0,IF(COUNTIF(Настройки!$B$17:$B$26,F2104)&gt;0,1,IF(COUNTIF(Настройки!$C$17:$C$26,F2104)&gt;0,2,IF(COUNTIF(Настройки!$D$17:$D$26,F2104)&gt;0,3,0))))</f>
        <v/>
      </c>
      <c r="I2104">
        <f>IF(AND(ISNUMBER(A2104),ISNUMBER(B2104)),A2104*1000+B2104,"")</f>
        <v/>
      </c>
      <c r="J2104">
        <f>IF(I2104="","",IF(COUNTIF(I$2:I2104,I2104)=1,MAX(J$1:J2103)+1,""))</f>
        <v/>
      </c>
    </row>
    <row r="2105">
      <c r="A2105">
        <f>IFERROR(--SUBSTITUTE(SUBSTITUTE(TRIM(INDEX(INDIRECT("'Выгрузка'!A2105:Z2105"),Настройки!$B$7)),",","."),".",MID(1/2,2,1)),"")</f>
        <v/>
      </c>
      <c r="B2105">
        <f>IFERROR(--SUBSTITUTE(SUBSTITUTE(TRIM(INDEX(INDIRECT("'Выгрузка'!A2105:Z2105"),Настройки!$B$9)),",","."),".",MID(1/2,2,1)),"")</f>
        <v/>
      </c>
      <c r="C2105">
        <f>TRIM(INDEX(INDIRECT("'Выгрузка'!A2105:Z2105"),Настройки!$B$8)&amp;"")</f>
        <v/>
      </c>
      <c r="D2105">
        <f>IFERROR(--SUBSTITUTE(SUBSTITUTE(TRIM(INDEX(INDIRECT("'Выгрузка'!A2105:Z2105"),Настройки!$B$10)),",","."),".",MID(1/2,2,1)),"")</f>
        <v/>
      </c>
      <c r="E2105">
        <f>IFERROR(--SUBSTITUTE(SUBSTITUTE(TRIM(INDEX(INDIRECT("'Выгрузка'!A2105:Z2105"),Настройки!$B$11)),",","."),".",MID(1/2,2,1)),"")</f>
        <v/>
      </c>
      <c r="F2105">
        <f>TRIM(INDEX(INDIRECT("'Выгрузка'!A2105:Z2105"),Настройки!$B$12)&amp;"")</f>
        <v/>
      </c>
      <c r="G2105">
        <f>IF(F2105="",0,IF(TRIM(INDEX(INDIRECT("'Выгрузка'!A2105:Z2105"),Настройки!$B$13)&amp;"")="",1,IFERROR(--SUBSTITUTE(SUBSTITUTE(TRIM(INDEX(INDIRECT("'Выгрузка'!A2105:Z2105"),Настройки!$B$13)),",","."),".",MID(1/2,2,1)),"")))</f>
        <v/>
      </c>
      <c r="H2105">
        <f>IF(F2105="",0,IF(COUNTIF(Настройки!$B$17:$B$26,F2105)&gt;0,1,IF(COUNTIF(Настройки!$C$17:$C$26,F2105)&gt;0,2,IF(COUNTIF(Настройки!$D$17:$D$26,F2105)&gt;0,3,0))))</f>
        <v/>
      </c>
      <c r="I2105">
        <f>IF(AND(ISNUMBER(A2105),ISNUMBER(B2105)),A2105*1000+B2105,"")</f>
        <v/>
      </c>
      <c r="J2105">
        <f>IF(I2105="","",IF(COUNTIF(I$2:I2105,I2105)=1,MAX(J$1:J2104)+1,""))</f>
        <v/>
      </c>
    </row>
    <row r="2106">
      <c r="A2106">
        <f>IFERROR(--SUBSTITUTE(SUBSTITUTE(TRIM(INDEX(INDIRECT("'Выгрузка'!A2106:Z2106"),Настройки!$B$7)),",","."),".",MID(1/2,2,1)),"")</f>
        <v/>
      </c>
      <c r="B2106">
        <f>IFERROR(--SUBSTITUTE(SUBSTITUTE(TRIM(INDEX(INDIRECT("'Выгрузка'!A2106:Z2106"),Настройки!$B$9)),",","."),".",MID(1/2,2,1)),"")</f>
        <v/>
      </c>
      <c r="C2106">
        <f>TRIM(INDEX(INDIRECT("'Выгрузка'!A2106:Z2106"),Настройки!$B$8)&amp;"")</f>
        <v/>
      </c>
      <c r="D2106">
        <f>IFERROR(--SUBSTITUTE(SUBSTITUTE(TRIM(INDEX(INDIRECT("'Выгрузка'!A2106:Z2106"),Настройки!$B$10)),",","."),".",MID(1/2,2,1)),"")</f>
        <v/>
      </c>
      <c r="E2106">
        <f>IFERROR(--SUBSTITUTE(SUBSTITUTE(TRIM(INDEX(INDIRECT("'Выгрузка'!A2106:Z2106"),Настройки!$B$11)),",","."),".",MID(1/2,2,1)),"")</f>
        <v/>
      </c>
      <c r="F2106">
        <f>TRIM(INDEX(INDIRECT("'Выгрузка'!A2106:Z2106"),Настройки!$B$12)&amp;"")</f>
        <v/>
      </c>
      <c r="G2106">
        <f>IF(F2106="",0,IF(TRIM(INDEX(INDIRECT("'Выгрузка'!A2106:Z2106"),Настройки!$B$13)&amp;"")="",1,IFERROR(--SUBSTITUTE(SUBSTITUTE(TRIM(INDEX(INDIRECT("'Выгрузка'!A2106:Z2106"),Настройки!$B$13)),",","."),".",MID(1/2,2,1)),"")))</f>
        <v/>
      </c>
      <c r="H2106">
        <f>IF(F2106="",0,IF(COUNTIF(Настройки!$B$17:$B$26,F2106)&gt;0,1,IF(COUNTIF(Настройки!$C$17:$C$26,F2106)&gt;0,2,IF(COUNTIF(Настройки!$D$17:$D$26,F2106)&gt;0,3,0))))</f>
        <v/>
      </c>
      <c r="I2106">
        <f>IF(AND(ISNUMBER(A2106),ISNUMBER(B2106)),A2106*1000+B2106,"")</f>
        <v/>
      </c>
      <c r="J2106">
        <f>IF(I2106="","",IF(COUNTIF(I$2:I2106,I2106)=1,MAX(J$1:J2105)+1,""))</f>
        <v/>
      </c>
    </row>
    <row r="2107">
      <c r="A2107">
        <f>IFERROR(--SUBSTITUTE(SUBSTITUTE(TRIM(INDEX(INDIRECT("'Выгрузка'!A2107:Z2107"),Настройки!$B$7)),",","."),".",MID(1/2,2,1)),"")</f>
        <v/>
      </c>
      <c r="B2107">
        <f>IFERROR(--SUBSTITUTE(SUBSTITUTE(TRIM(INDEX(INDIRECT("'Выгрузка'!A2107:Z2107"),Настройки!$B$9)),",","."),".",MID(1/2,2,1)),"")</f>
        <v/>
      </c>
      <c r="C2107">
        <f>TRIM(INDEX(INDIRECT("'Выгрузка'!A2107:Z2107"),Настройки!$B$8)&amp;"")</f>
        <v/>
      </c>
      <c r="D2107">
        <f>IFERROR(--SUBSTITUTE(SUBSTITUTE(TRIM(INDEX(INDIRECT("'Выгрузка'!A2107:Z2107"),Настройки!$B$10)),",","."),".",MID(1/2,2,1)),"")</f>
        <v/>
      </c>
      <c r="E2107">
        <f>IFERROR(--SUBSTITUTE(SUBSTITUTE(TRIM(INDEX(INDIRECT("'Выгрузка'!A2107:Z2107"),Настройки!$B$11)),",","."),".",MID(1/2,2,1)),"")</f>
        <v/>
      </c>
      <c r="F2107">
        <f>TRIM(INDEX(INDIRECT("'Выгрузка'!A2107:Z2107"),Настройки!$B$12)&amp;"")</f>
        <v/>
      </c>
      <c r="G2107">
        <f>IF(F2107="",0,IF(TRIM(INDEX(INDIRECT("'Выгрузка'!A2107:Z2107"),Настройки!$B$13)&amp;"")="",1,IFERROR(--SUBSTITUTE(SUBSTITUTE(TRIM(INDEX(INDIRECT("'Выгрузка'!A2107:Z2107"),Настройки!$B$13)),",","."),".",MID(1/2,2,1)),"")))</f>
        <v/>
      </c>
      <c r="H2107">
        <f>IF(F2107="",0,IF(COUNTIF(Настройки!$B$17:$B$26,F2107)&gt;0,1,IF(COUNTIF(Настройки!$C$17:$C$26,F2107)&gt;0,2,IF(COUNTIF(Настройки!$D$17:$D$26,F2107)&gt;0,3,0))))</f>
        <v/>
      </c>
      <c r="I2107">
        <f>IF(AND(ISNUMBER(A2107),ISNUMBER(B2107)),A2107*1000+B2107,"")</f>
        <v/>
      </c>
      <c r="J2107">
        <f>IF(I2107="","",IF(COUNTIF(I$2:I2107,I2107)=1,MAX(J$1:J2106)+1,""))</f>
        <v/>
      </c>
    </row>
    <row r="2108">
      <c r="A2108">
        <f>IFERROR(--SUBSTITUTE(SUBSTITUTE(TRIM(INDEX(INDIRECT("'Выгрузка'!A2108:Z2108"),Настройки!$B$7)),",","."),".",MID(1/2,2,1)),"")</f>
        <v/>
      </c>
      <c r="B2108">
        <f>IFERROR(--SUBSTITUTE(SUBSTITUTE(TRIM(INDEX(INDIRECT("'Выгрузка'!A2108:Z2108"),Настройки!$B$9)),",","."),".",MID(1/2,2,1)),"")</f>
        <v/>
      </c>
      <c r="C2108">
        <f>TRIM(INDEX(INDIRECT("'Выгрузка'!A2108:Z2108"),Настройки!$B$8)&amp;"")</f>
        <v/>
      </c>
      <c r="D2108">
        <f>IFERROR(--SUBSTITUTE(SUBSTITUTE(TRIM(INDEX(INDIRECT("'Выгрузка'!A2108:Z2108"),Настройки!$B$10)),",","."),".",MID(1/2,2,1)),"")</f>
        <v/>
      </c>
      <c r="E2108">
        <f>IFERROR(--SUBSTITUTE(SUBSTITUTE(TRIM(INDEX(INDIRECT("'Выгрузка'!A2108:Z2108"),Настройки!$B$11)),",","."),".",MID(1/2,2,1)),"")</f>
        <v/>
      </c>
      <c r="F2108">
        <f>TRIM(INDEX(INDIRECT("'Выгрузка'!A2108:Z2108"),Настройки!$B$12)&amp;"")</f>
        <v/>
      </c>
      <c r="G2108">
        <f>IF(F2108="",0,IF(TRIM(INDEX(INDIRECT("'Выгрузка'!A2108:Z2108"),Настройки!$B$13)&amp;"")="",1,IFERROR(--SUBSTITUTE(SUBSTITUTE(TRIM(INDEX(INDIRECT("'Выгрузка'!A2108:Z2108"),Настройки!$B$13)),",","."),".",MID(1/2,2,1)),"")))</f>
        <v/>
      </c>
      <c r="H2108">
        <f>IF(F2108="",0,IF(COUNTIF(Настройки!$B$17:$B$26,F2108)&gt;0,1,IF(COUNTIF(Настройки!$C$17:$C$26,F2108)&gt;0,2,IF(COUNTIF(Настройки!$D$17:$D$26,F2108)&gt;0,3,0))))</f>
        <v/>
      </c>
      <c r="I2108">
        <f>IF(AND(ISNUMBER(A2108),ISNUMBER(B2108)),A2108*1000+B2108,"")</f>
        <v/>
      </c>
      <c r="J2108">
        <f>IF(I2108="","",IF(COUNTIF(I$2:I2108,I2108)=1,MAX(J$1:J2107)+1,""))</f>
        <v/>
      </c>
    </row>
    <row r="2109">
      <c r="A2109">
        <f>IFERROR(--SUBSTITUTE(SUBSTITUTE(TRIM(INDEX(INDIRECT("'Выгрузка'!A2109:Z2109"),Настройки!$B$7)),",","."),".",MID(1/2,2,1)),"")</f>
        <v/>
      </c>
      <c r="B2109">
        <f>IFERROR(--SUBSTITUTE(SUBSTITUTE(TRIM(INDEX(INDIRECT("'Выгрузка'!A2109:Z2109"),Настройки!$B$9)),",","."),".",MID(1/2,2,1)),"")</f>
        <v/>
      </c>
      <c r="C2109">
        <f>TRIM(INDEX(INDIRECT("'Выгрузка'!A2109:Z2109"),Настройки!$B$8)&amp;"")</f>
        <v/>
      </c>
      <c r="D2109">
        <f>IFERROR(--SUBSTITUTE(SUBSTITUTE(TRIM(INDEX(INDIRECT("'Выгрузка'!A2109:Z2109"),Настройки!$B$10)),",","."),".",MID(1/2,2,1)),"")</f>
        <v/>
      </c>
      <c r="E2109">
        <f>IFERROR(--SUBSTITUTE(SUBSTITUTE(TRIM(INDEX(INDIRECT("'Выгрузка'!A2109:Z2109"),Настройки!$B$11)),",","."),".",MID(1/2,2,1)),"")</f>
        <v/>
      </c>
      <c r="F2109">
        <f>TRIM(INDEX(INDIRECT("'Выгрузка'!A2109:Z2109"),Настройки!$B$12)&amp;"")</f>
        <v/>
      </c>
      <c r="G2109">
        <f>IF(F2109="",0,IF(TRIM(INDEX(INDIRECT("'Выгрузка'!A2109:Z2109"),Настройки!$B$13)&amp;"")="",1,IFERROR(--SUBSTITUTE(SUBSTITUTE(TRIM(INDEX(INDIRECT("'Выгрузка'!A2109:Z2109"),Настройки!$B$13)),",","."),".",MID(1/2,2,1)),"")))</f>
        <v/>
      </c>
      <c r="H2109">
        <f>IF(F2109="",0,IF(COUNTIF(Настройки!$B$17:$B$26,F2109)&gt;0,1,IF(COUNTIF(Настройки!$C$17:$C$26,F2109)&gt;0,2,IF(COUNTIF(Настройки!$D$17:$D$26,F2109)&gt;0,3,0))))</f>
        <v/>
      </c>
      <c r="I2109">
        <f>IF(AND(ISNUMBER(A2109),ISNUMBER(B2109)),A2109*1000+B2109,"")</f>
        <v/>
      </c>
      <c r="J2109">
        <f>IF(I2109="","",IF(COUNTIF(I$2:I2109,I2109)=1,MAX(J$1:J2108)+1,""))</f>
        <v/>
      </c>
    </row>
    <row r="2110">
      <c r="A2110">
        <f>IFERROR(--SUBSTITUTE(SUBSTITUTE(TRIM(INDEX(INDIRECT("'Выгрузка'!A2110:Z2110"),Настройки!$B$7)),",","."),".",MID(1/2,2,1)),"")</f>
        <v/>
      </c>
      <c r="B2110">
        <f>IFERROR(--SUBSTITUTE(SUBSTITUTE(TRIM(INDEX(INDIRECT("'Выгрузка'!A2110:Z2110"),Настройки!$B$9)),",","."),".",MID(1/2,2,1)),"")</f>
        <v/>
      </c>
      <c r="C2110">
        <f>TRIM(INDEX(INDIRECT("'Выгрузка'!A2110:Z2110"),Настройки!$B$8)&amp;"")</f>
        <v/>
      </c>
      <c r="D2110">
        <f>IFERROR(--SUBSTITUTE(SUBSTITUTE(TRIM(INDEX(INDIRECT("'Выгрузка'!A2110:Z2110"),Настройки!$B$10)),",","."),".",MID(1/2,2,1)),"")</f>
        <v/>
      </c>
      <c r="E2110">
        <f>IFERROR(--SUBSTITUTE(SUBSTITUTE(TRIM(INDEX(INDIRECT("'Выгрузка'!A2110:Z2110"),Настройки!$B$11)),",","."),".",MID(1/2,2,1)),"")</f>
        <v/>
      </c>
      <c r="F2110">
        <f>TRIM(INDEX(INDIRECT("'Выгрузка'!A2110:Z2110"),Настройки!$B$12)&amp;"")</f>
        <v/>
      </c>
      <c r="G2110">
        <f>IF(F2110="",0,IF(TRIM(INDEX(INDIRECT("'Выгрузка'!A2110:Z2110"),Настройки!$B$13)&amp;"")="",1,IFERROR(--SUBSTITUTE(SUBSTITUTE(TRIM(INDEX(INDIRECT("'Выгрузка'!A2110:Z2110"),Настройки!$B$13)),",","."),".",MID(1/2,2,1)),"")))</f>
        <v/>
      </c>
      <c r="H2110">
        <f>IF(F2110="",0,IF(COUNTIF(Настройки!$B$17:$B$26,F2110)&gt;0,1,IF(COUNTIF(Настройки!$C$17:$C$26,F2110)&gt;0,2,IF(COUNTIF(Настройки!$D$17:$D$26,F2110)&gt;0,3,0))))</f>
        <v/>
      </c>
      <c r="I2110">
        <f>IF(AND(ISNUMBER(A2110),ISNUMBER(B2110)),A2110*1000+B2110,"")</f>
        <v/>
      </c>
      <c r="J2110">
        <f>IF(I2110="","",IF(COUNTIF(I$2:I2110,I2110)=1,MAX(J$1:J2109)+1,""))</f>
        <v/>
      </c>
    </row>
    <row r="2111">
      <c r="A2111">
        <f>IFERROR(--SUBSTITUTE(SUBSTITUTE(TRIM(INDEX(INDIRECT("'Выгрузка'!A2111:Z2111"),Настройки!$B$7)),",","."),".",MID(1/2,2,1)),"")</f>
        <v/>
      </c>
      <c r="B2111">
        <f>IFERROR(--SUBSTITUTE(SUBSTITUTE(TRIM(INDEX(INDIRECT("'Выгрузка'!A2111:Z2111"),Настройки!$B$9)),",","."),".",MID(1/2,2,1)),"")</f>
        <v/>
      </c>
      <c r="C2111">
        <f>TRIM(INDEX(INDIRECT("'Выгрузка'!A2111:Z2111"),Настройки!$B$8)&amp;"")</f>
        <v/>
      </c>
      <c r="D2111">
        <f>IFERROR(--SUBSTITUTE(SUBSTITUTE(TRIM(INDEX(INDIRECT("'Выгрузка'!A2111:Z2111"),Настройки!$B$10)),",","."),".",MID(1/2,2,1)),"")</f>
        <v/>
      </c>
      <c r="E2111">
        <f>IFERROR(--SUBSTITUTE(SUBSTITUTE(TRIM(INDEX(INDIRECT("'Выгрузка'!A2111:Z2111"),Настройки!$B$11)),",","."),".",MID(1/2,2,1)),"")</f>
        <v/>
      </c>
      <c r="F2111">
        <f>TRIM(INDEX(INDIRECT("'Выгрузка'!A2111:Z2111"),Настройки!$B$12)&amp;"")</f>
        <v/>
      </c>
      <c r="G2111">
        <f>IF(F2111="",0,IF(TRIM(INDEX(INDIRECT("'Выгрузка'!A2111:Z2111"),Настройки!$B$13)&amp;"")="",1,IFERROR(--SUBSTITUTE(SUBSTITUTE(TRIM(INDEX(INDIRECT("'Выгрузка'!A2111:Z2111"),Настройки!$B$13)),",","."),".",MID(1/2,2,1)),"")))</f>
        <v/>
      </c>
      <c r="H2111">
        <f>IF(F2111="",0,IF(COUNTIF(Настройки!$B$17:$B$26,F2111)&gt;0,1,IF(COUNTIF(Настройки!$C$17:$C$26,F2111)&gt;0,2,IF(COUNTIF(Настройки!$D$17:$D$26,F2111)&gt;0,3,0))))</f>
        <v/>
      </c>
      <c r="I2111">
        <f>IF(AND(ISNUMBER(A2111),ISNUMBER(B2111)),A2111*1000+B2111,"")</f>
        <v/>
      </c>
      <c r="J2111">
        <f>IF(I2111="","",IF(COUNTIF(I$2:I2111,I2111)=1,MAX(J$1:J2110)+1,""))</f>
        <v/>
      </c>
    </row>
    <row r="2112">
      <c r="A2112">
        <f>IFERROR(--SUBSTITUTE(SUBSTITUTE(TRIM(INDEX(INDIRECT("'Выгрузка'!A2112:Z2112"),Настройки!$B$7)),",","."),".",MID(1/2,2,1)),"")</f>
        <v/>
      </c>
      <c r="B2112">
        <f>IFERROR(--SUBSTITUTE(SUBSTITUTE(TRIM(INDEX(INDIRECT("'Выгрузка'!A2112:Z2112"),Настройки!$B$9)),",","."),".",MID(1/2,2,1)),"")</f>
        <v/>
      </c>
      <c r="C2112">
        <f>TRIM(INDEX(INDIRECT("'Выгрузка'!A2112:Z2112"),Настройки!$B$8)&amp;"")</f>
        <v/>
      </c>
      <c r="D2112">
        <f>IFERROR(--SUBSTITUTE(SUBSTITUTE(TRIM(INDEX(INDIRECT("'Выгрузка'!A2112:Z2112"),Настройки!$B$10)),",","."),".",MID(1/2,2,1)),"")</f>
        <v/>
      </c>
      <c r="E2112">
        <f>IFERROR(--SUBSTITUTE(SUBSTITUTE(TRIM(INDEX(INDIRECT("'Выгрузка'!A2112:Z2112"),Настройки!$B$11)),",","."),".",MID(1/2,2,1)),"")</f>
        <v/>
      </c>
      <c r="F2112">
        <f>TRIM(INDEX(INDIRECT("'Выгрузка'!A2112:Z2112"),Настройки!$B$12)&amp;"")</f>
        <v/>
      </c>
      <c r="G2112">
        <f>IF(F2112="",0,IF(TRIM(INDEX(INDIRECT("'Выгрузка'!A2112:Z2112"),Настройки!$B$13)&amp;"")="",1,IFERROR(--SUBSTITUTE(SUBSTITUTE(TRIM(INDEX(INDIRECT("'Выгрузка'!A2112:Z2112"),Настройки!$B$13)),",","."),".",MID(1/2,2,1)),"")))</f>
        <v/>
      </c>
      <c r="H2112">
        <f>IF(F2112="",0,IF(COUNTIF(Настройки!$B$17:$B$26,F2112)&gt;0,1,IF(COUNTIF(Настройки!$C$17:$C$26,F2112)&gt;0,2,IF(COUNTIF(Настройки!$D$17:$D$26,F2112)&gt;0,3,0))))</f>
        <v/>
      </c>
      <c r="I2112">
        <f>IF(AND(ISNUMBER(A2112),ISNUMBER(B2112)),A2112*1000+B2112,"")</f>
        <v/>
      </c>
      <c r="J2112">
        <f>IF(I2112="","",IF(COUNTIF(I$2:I2112,I2112)=1,MAX(J$1:J2111)+1,""))</f>
        <v/>
      </c>
    </row>
    <row r="2113">
      <c r="A2113">
        <f>IFERROR(--SUBSTITUTE(SUBSTITUTE(TRIM(INDEX(INDIRECT("'Выгрузка'!A2113:Z2113"),Настройки!$B$7)),",","."),".",MID(1/2,2,1)),"")</f>
        <v/>
      </c>
      <c r="B2113">
        <f>IFERROR(--SUBSTITUTE(SUBSTITUTE(TRIM(INDEX(INDIRECT("'Выгрузка'!A2113:Z2113"),Настройки!$B$9)),",","."),".",MID(1/2,2,1)),"")</f>
        <v/>
      </c>
      <c r="C2113">
        <f>TRIM(INDEX(INDIRECT("'Выгрузка'!A2113:Z2113"),Настройки!$B$8)&amp;"")</f>
        <v/>
      </c>
      <c r="D2113">
        <f>IFERROR(--SUBSTITUTE(SUBSTITUTE(TRIM(INDEX(INDIRECT("'Выгрузка'!A2113:Z2113"),Настройки!$B$10)),",","."),".",MID(1/2,2,1)),"")</f>
        <v/>
      </c>
      <c r="E2113">
        <f>IFERROR(--SUBSTITUTE(SUBSTITUTE(TRIM(INDEX(INDIRECT("'Выгрузка'!A2113:Z2113"),Настройки!$B$11)),",","."),".",MID(1/2,2,1)),"")</f>
        <v/>
      </c>
      <c r="F2113">
        <f>TRIM(INDEX(INDIRECT("'Выгрузка'!A2113:Z2113"),Настройки!$B$12)&amp;"")</f>
        <v/>
      </c>
      <c r="G2113">
        <f>IF(F2113="",0,IF(TRIM(INDEX(INDIRECT("'Выгрузка'!A2113:Z2113"),Настройки!$B$13)&amp;"")="",1,IFERROR(--SUBSTITUTE(SUBSTITUTE(TRIM(INDEX(INDIRECT("'Выгрузка'!A2113:Z2113"),Настройки!$B$13)),",","."),".",MID(1/2,2,1)),"")))</f>
        <v/>
      </c>
      <c r="H2113">
        <f>IF(F2113="",0,IF(COUNTIF(Настройки!$B$17:$B$26,F2113)&gt;0,1,IF(COUNTIF(Настройки!$C$17:$C$26,F2113)&gt;0,2,IF(COUNTIF(Настройки!$D$17:$D$26,F2113)&gt;0,3,0))))</f>
        <v/>
      </c>
      <c r="I2113">
        <f>IF(AND(ISNUMBER(A2113),ISNUMBER(B2113)),A2113*1000+B2113,"")</f>
        <v/>
      </c>
      <c r="J2113">
        <f>IF(I2113="","",IF(COUNTIF(I$2:I2113,I2113)=1,MAX(J$1:J2112)+1,""))</f>
        <v/>
      </c>
    </row>
    <row r="2114">
      <c r="A2114">
        <f>IFERROR(--SUBSTITUTE(SUBSTITUTE(TRIM(INDEX(INDIRECT("'Выгрузка'!A2114:Z2114"),Настройки!$B$7)),",","."),".",MID(1/2,2,1)),"")</f>
        <v/>
      </c>
      <c r="B2114">
        <f>IFERROR(--SUBSTITUTE(SUBSTITUTE(TRIM(INDEX(INDIRECT("'Выгрузка'!A2114:Z2114"),Настройки!$B$9)),",","."),".",MID(1/2,2,1)),"")</f>
        <v/>
      </c>
      <c r="C2114">
        <f>TRIM(INDEX(INDIRECT("'Выгрузка'!A2114:Z2114"),Настройки!$B$8)&amp;"")</f>
        <v/>
      </c>
      <c r="D2114">
        <f>IFERROR(--SUBSTITUTE(SUBSTITUTE(TRIM(INDEX(INDIRECT("'Выгрузка'!A2114:Z2114"),Настройки!$B$10)),",","."),".",MID(1/2,2,1)),"")</f>
        <v/>
      </c>
      <c r="E2114">
        <f>IFERROR(--SUBSTITUTE(SUBSTITUTE(TRIM(INDEX(INDIRECT("'Выгрузка'!A2114:Z2114"),Настройки!$B$11)),",","."),".",MID(1/2,2,1)),"")</f>
        <v/>
      </c>
      <c r="F2114">
        <f>TRIM(INDEX(INDIRECT("'Выгрузка'!A2114:Z2114"),Настройки!$B$12)&amp;"")</f>
        <v/>
      </c>
      <c r="G2114">
        <f>IF(F2114="",0,IF(TRIM(INDEX(INDIRECT("'Выгрузка'!A2114:Z2114"),Настройки!$B$13)&amp;"")="",1,IFERROR(--SUBSTITUTE(SUBSTITUTE(TRIM(INDEX(INDIRECT("'Выгрузка'!A2114:Z2114"),Настройки!$B$13)),",","."),".",MID(1/2,2,1)),"")))</f>
        <v/>
      </c>
      <c r="H2114">
        <f>IF(F2114="",0,IF(COUNTIF(Настройки!$B$17:$B$26,F2114)&gt;0,1,IF(COUNTIF(Настройки!$C$17:$C$26,F2114)&gt;0,2,IF(COUNTIF(Настройки!$D$17:$D$26,F2114)&gt;0,3,0))))</f>
        <v/>
      </c>
      <c r="I2114">
        <f>IF(AND(ISNUMBER(A2114),ISNUMBER(B2114)),A2114*1000+B2114,"")</f>
        <v/>
      </c>
      <c r="J2114">
        <f>IF(I2114="","",IF(COUNTIF(I$2:I2114,I2114)=1,MAX(J$1:J2113)+1,""))</f>
        <v/>
      </c>
    </row>
    <row r="2115">
      <c r="A2115">
        <f>IFERROR(--SUBSTITUTE(SUBSTITUTE(TRIM(INDEX(INDIRECT("'Выгрузка'!A2115:Z2115"),Настройки!$B$7)),",","."),".",MID(1/2,2,1)),"")</f>
        <v/>
      </c>
      <c r="B2115">
        <f>IFERROR(--SUBSTITUTE(SUBSTITUTE(TRIM(INDEX(INDIRECT("'Выгрузка'!A2115:Z2115"),Настройки!$B$9)),",","."),".",MID(1/2,2,1)),"")</f>
        <v/>
      </c>
      <c r="C2115">
        <f>TRIM(INDEX(INDIRECT("'Выгрузка'!A2115:Z2115"),Настройки!$B$8)&amp;"")</f>
        <v/>
      </c>
      <c r="D2115">
        <f>IFERROR(--SUBSTITUTE(SUBSTITUTE(TRIM(INDEX(INDIRECT("'Выгрузка'!A2115:Z2115"),Настройки!$B$10)),",","."),".",MID(1/2,2,1)),"")</f>
        <v/>
      </c>
      <c r="E2115">
        <f>IFERROR(--SUBSTITUTE(SUBSTITUTE(TRIM(INDEX(INDIRECT("'Выгрузка'!A2115:Z2115"),Настройки!$B$11)),",","."),".",MID(1/2,2,1)),"")</f>
        <v/>
      </c>
      <c r="F2115">
        <f>TRIM(INDEX(INDIRECT("'Выгрузка'!A2115:Z2115"),Настройки!$B$12)&amp;"")</f>
        <v/>
      </c>
      <c r="G2115">
        <f>IF(F2115="",0,IF(TRIM(INDEX(INDIRECT("'Выгрузка'!A2115:Z2115"),Настройки!$B$13)&amp;"")="",1,IFERROR(--SUBSTITUTE(SUBSTITUTE(TRIM(INDEX(INDIRECT("'Выгрузка'!A2115:Z2115"),Настройки!$B$13)),",","."),".",MID(1/2,2,1)),"")))</f>
        <v/>
      </c>
      <c r="H2115">
        <f>IF(F2115="",0,IF(COUNTIF(Настройки!$B$17:$B$26,F2115)&gt;0,1,IF(COUNTIF(Настройки!$C$17:$C$26,F2115)&gt;0,2,IF(COUNTIF(Настройки!$D$17:$D$26,F2115)&gt;0,3,0))))</f>
        <v/>
      </c>
      <c r="I2115">
        <f>IF(AND(ISNUMBER(A2115),ISNUMBER(B2115)),A2115*1000+B2115,"")</f>
        <v/>
      </c>
      <c r="J2115">
        <f>IF(I2115="","",IF(COUNTIF(I$2:I2115,I2115)=1,MAX(J$1:J2114)+1,""))</f>
        <v/>
      </c>
    </row>
    <row r="2116">
      <c r="A2116">
        <f>IFERROR(--SUBSTITUTE(SUBSTITUTE(TRIM(INDEX(INDIRECT("'Выгрузка'!A2116:Z2116"),Настройки!$B$7)),",","."),".",MID(1/2,2,1)),"")</f>
        <v/>
      </c>
      <c r="B2116">
        <f>IFERROR(--SUBSTITUTE(SUBSTITUTE(TRIM(INDEX(INDIRECT("'Выгрузка'!A2116:Z2116"),Настройки!$B$9)),",","."),".",MID(1/2,2,1)),"")</f>
        <v/>
      </c>
      <c r="C2116">
        <f>TRIM(INDEX(INDIRECT("'Выгрузка'!A2116:Z2116"),Настройки!$B$8)&amp;"")</f>
        <v/>
      </c>
      <c r="D2116">
        <f>IFERROR(--SUBSTITUTE(SUBSTITUTE(TRIM(INDEX(INDIRECT("'Выгрузка'!A2116:Z2116"),Настройки!$B$10)),",","."),".",MID(1/2,2,1)),"")</f>
        <v/>
      </c>
      <c r="E2116">
        <f>IFERROR(--SUBSTITUTE(SUBSTITUTE(TRIM(INDEX(INDIRECT("'Выгрузка'!A2116:Z2116"),Настройки!$B$11)),",","."),".",MID(1/2,2,1)),"")</f>
        <v/>
      </c>
      <c r="F2116">
        <f>TRIM(INDEX(INDIRECT("'Выгрузка'!A2116:Z2116"),Настройки!$B$12)&amp;"")</f>
        <v/>
      </c>
      <c r="G2116">
        <f>IF(F2116="",0,IF(TRIM(INDEX(INDIRECT("'Выгрузка'!A2116:Z2116"),Настройки!$B$13)&amp;"")="",1,IFERROR(--SUBSTITUTE(SUBSTITUTE(TRIM(INDEX(INDIRECT("'Выгрузка'!A2116:Z2116"),Настройки!$B$13)),",","."),".",MID(1/2,2,1)),"")))</f>
        <v/>
      </c>
      <c r="H2116">
        <f>IF(F2116="",0,IF(COUNTIF(Настройки!$B$17:$B$26,F2116)&gt;0,1,IF(COUNTIF(Настройки!$C$17:$C$26,F2116)&gt;0,2,IF(COUNTIF(Настройки!$D$17:$D$26,F2116)&gt;0,3,0))))</f>
        <v/>
      </c>
      <c r="I2116">
        <f>IF(AND(ISNUMBER(A2116),ISNUMBER(B2116)),A2116*1000+B2116,"")</f>
        <v/>
      </c>
      <c r="J2116">
        <f>IF(I2116="","",IF(COUNTIF(I$2:I2116,I2116)=1,MAX(J$1:J2115)+1,""))</f>
        <v/>
      </c>
    </row>
    <row r="2117">
      <c r="A2117">
        <f>IFERROR(--SUBSTITUTE(SUBSTITUTE(TRIM(INDEX(INDIRECT("'Выгрузка'!A2117:Z2117"),Настройки!$B$7)),",","."),".",MID(1/2,2,1)),"")</f>
        <v/>
      </c>
      <c r="B2117">
        <f>IFERROR(--SUBSTITUTE(SUBSTITUTE(TRIM(INDEX(INDIRECT("'Выгрузка'!A2117:Z2117"),Настройки!$B$9)),",","."),".",MID(1/2,2,1)),"")</f>
        <v/>
      </c>
      <c r="C2117">
        <f>TRIM(INDEX(INDIRECT("'Выгрузка'!A2117:Z2117"),Настройки!$B$8)&amp;"")</f>
        <v/>
      </c>
      <c r="D2117">
        <f>IFERROR(--SUBSTITUTE(SUBSTITUTE(TRIM(INDEX(INDIRECT("'Выгрузка'!A2117:Z2117"),Настройки!$B$10)),",","."),".",MID(1/2,2,1)),"")</f>
        <v/>
      </c>
      <c r="E2117">
        <f>IFERROR(--SUBSTITUTE(SUBSTITUTE(TRIM(INDEX(INDIRECT("'Выгрузка'!A2117:Z2117"),Настройки!$B$11)),",","."),".",MID(1/2,2,1)),"")</f>
        <v/>
      </c>
      <c r="F2117">
        <f>TRIM(INDEX(INDIRECT("'Выгрузка'!A2117:Z2117"),Настройки!$B$12)&amp;"")</f>
        <v/>
      </c>
      <c r="G2117">
        <f>IF(F2117="",0,IF(TRIM(INDEX(INDIRECT("'Выгрузка'!A2117:Z2117"),Настройки!$B$13)&amp;"")="",1,IFERROR(--SUBSTITUTE(SUBSTITUTE(TRIM(INDEX(INDIRECT("'Выгрузка'!A2117:Z2117"),Настройки!$B$13)),",","."),".",MID(1/2,2,1)),"")))</f>
        <v/>
      </c>
      <c r="H2117">
        <f>IF(F2117="",0,IF(COUNTIF(Настройки!$B$17:$B$26,F2117)&gt;0,1,IF(COUNTIF(Настройки!$C$17:$C$26,F2117)&gt;0,2,IF(COUNTIF(Настройки!$D$17:$D$26,F2117)&gt;0,3,0))))</f>
        <v/>
      </c>
      <c r="I2117">
        <f>IF(AND(ISNUMBER(A2117),ISNUMBER(B2117)),A2117*1000+B2117,"")</f>
        <v/>
      </c>
      <c r="J2117">
        <f>IF(I2117="","",IF(COUNTIF(I$2:I2117,I2117)=1,MAX(J$1:J2116)+1,""))</f>
        <v/>
      </c>
    </row>
    <row r="2118">
      <c r="A2118">
        <f>IFERROR(--SUBSTITUTE(SUBSTITUTE(TRIM(INDEX(INDIRECT("'Выгрузка'!A2118:Z2118"),Настройки!$B$7)),",","."),".",MID(1/2,2,1)),"")</f>
        <v/>
      </c>
      <c r="B2118">
        <f>IFERROR(--SUBSTITUTE(SUBSTITUTE(TRIM(INDEX(INDIRECT("'Выгрузка'!A2118:Z2118"),Настройки!$B$9)),",","."),".",MID(1/2,2,1)),"")</f>
        <v/>
      </c>
      <c r="C2118">
        <f>TRIM(INDEX(INDIRECT("'Выгрузка'!A2118:Z2118"),Настройки!$B$8)&amp;"")</f>
        <v/>
      </c>
      <c r="D2118">
        <f>IFERROR(--SUBSTITUTE(SUBSTITUTE(TRIM(INDEX(INDIRECT("'Выгрузка'!A2118:Z2118"),Настройки!$B$10)),",","."),".",MID(1/2,2,1)),"")</f>
        <v/>
      </c>
      <c r="E2118">
        <f>IFERROR(--SUBSTITUTE(SUBSTITUTE(TRIM(INDEX(INDIRECT("'Выгрузка'!A2118:Z2118"),Настройки!$B$11)),",","."),".",MID(1/2,2,1)),"")</f>
        <v/>
      </c>
      <c r="F2118">
        <f>TRIM(INDEX(INDIRECT("'Выгрузка'!A2118:Z2118"),Настройки!$B$12)&amp;"")</f>
        <v/>
      </c>
      <c r="G2118">
        <f>IF(F2118="",0,IF(TRIM(INDEX(INDIRECT("'Выгрузка'!A2118:Z2118"),Настройки!$B$13)&amp;"")="",1,IFERROR(--SUBSTITUTE(SUBSTITUTE(TRIM(INDEX(INDIRECT("'Выгрузка'!A2118:Z2118"),Настройки!$B$13)),",","."),".",MID(1/2,2,1)),"")))</f>
        <v/>
      </c>
      <c r="H2118">
        <f>IF(F2118="",0,IF(COUNTIF(Настройки!$B$17:$B$26,F2118)&gt;0,1,IF(COUNTIF(Настройки!$C$17:$C$26,F2118)&gt;0,2,IF(COUNTIF(Настройки!$D$17:$D$26,F2118)&gt;0,3,0))))</f>
        <v/>
      </c>
      <c r="I2118">
        <f>IF(AND(ISNUMBER(A2118),ISNUMBER(B2118)),A2118*1000+B2118,"")</f>
        <v/>
      </c>
      <c r="J2118">
        <f>IF(I2118="","",IF(COUNTIF(I$2:I2118,I2118)=1,MAX(J$1:J2117)+1,""))</f>
        <v/>
      </c>
    </row>
    <row r="2119">
      <c r="A2119">
        <f>IFERROR(--SUBSTITUTE(SUBSTITUTE(TRIM(INDEX(INDIRECT("'Выгрузка'!A2119:Z2119"),Настройки!$B$7)),",","."),".",MID(1/2,2,1)),"")</f>
        <v/>
      </c>
      <c r="B2119">
        <f>IFERROR(--SUBSTITUTE(SUBSTITUTE(TRIM(INDEX(INDIRECT("'Выгрузка'!A2119:Z2119"),Настройки!$B$9)),",","."),".",MID(1/2,2,1)),"")</f>
        <v/>
      </c>
      <c r="C2119">
        <f>TRIM(INDEX(INDIRECT("'Выгрузка'!A2119:Z2119"),Настройки!$B$8)&amp;"")</f>
        <v/>
      </c>
      <c r="D2119">
        <f>IFERROR(--SUBSTITUTE(SUBSTITUTE(TRIM(INDEX(INDIRECT("'Выгрузка'!A2119:Z2119"),Настройки!$B$10)),",","."),".",MID(1/2,2,1)),"")</f>
        <v/>
      </c>
      <c r="E2119">
        <f>IFERROR(--SUBSTITUTE(SUBSTITUTE(TRIM(INDEX(INDIRECT("'Выгрузка'!A2119:Z2119"),Настройки!$B$11)),",","."),".",MID(1/2,2,1)),"")</f>
        <v/>
      </c>
      <c r="F2119">
        <f>TRIM(INDEX(INDIRECT("'Выгрузка'!A2119:Z2119"),Настройки!$B$12)&amp;"")</f>
        <v/>
      </c>
      <c r="G2119">
        <f>IF(F2119="",0,IF(TRIM(INDEX(INDIRECT("'Выгрузка'!A2119:Z2119"),Настройки!$B$13)&amp;"")="",1,IFERROR(--SUBSTITUTE(SUBSTITUTE(TRIM(INDEX(INDIRECT("'Выгрузка'!A2119:Z2119"),Настройки!$B$13)),",","."),".",MID(1/2,2,1)),"")))</f>
        <v/>
      </c>
      <c r="H2119">
        <f>IF(F2119="",0,IF(COUNTIF(Настройки!$B$17:$B$26,F2119)&gt;0,1,IF(COUNTIF(Настройки!$C$17:$C$26,F2119)&gt;0,2,IF(COUNTIF(Настройки!$D$17:$D$26,F2119)&gt;0,3,0))))</f>
        <v/>
      </c>
      <c r="I2119">
        <f>IF(AND(ISNUMBER(A2119),ISNUMBER(B2119)),A2119*1000+B2119,"")</f>
        <v/>
      </c>
      <c r="J2119">
        <f>IF(I2119="","",IF(COUNTIF(I$2:I2119,I2119)=1,MAX(J$1:J2118)+1,""))</f>
        <v/>
      </c>
    </row>
    <row r="2120">
      <c r="A2120">
        <f>IFERROR(--SUBSTITUTE(SUBSTITUTE(TRIM(INDEX(INDIRECT("'Выгрузка'!A2120:Z2120"),Настройки!$B$7)),",","."),".",MID(1/2,2,1)),"")</f>
        <v/>
      </c>
      <c r="B2120">
        <f>IFERROR(--SUBSTITUTE(SUBSTITUTE(TRIM(INDEX(INDIRECT("'Выгрузка'!A2120:Z2120"),Настройки!$B$9)),",","."),".",MID(1/2,2,1)),"")</f>
        <v/>
      </c>
      <c r="C2120">
        <f>TRIM(INDEX(INDIRECT("'Выгрузка'!A2120:Z2120"),Настройки!$B$8)&amp;"")</f>
        <v/>
      </c>
      <c r="D2120">
        <f>IFERROR(--SUBSTITUTE(SUBSTITUTE(TRIM(INDEX(INDIRECT("'Выгрузка'!A2120:Z2120"),Настройки!$B$10)),",","."),".",MID(1/2,2,1)),"")</f>
        <v/>
      </c>
      <c r="E2120">
        <f>IFERROR(--SUBSTITUTE(SUBSTITUTE(TRIM(INDEX(INDIRECT("'Выгрузка'!A2120:Z2120"),Настройки!$B$11)),",","."),".",MID(1/2,2,1)),"")</f>
        <v/>
      </c>
      <c r="F2120">
        <f>TRIM(INDEX(INDIRECT("'Выгрузка'!A2120:Z2120"),Настройки!$B$12)&amp;"")</f>
        <v/>
      </c>
      <c r="G2120">
        <f>IF(F2120="",0,IF(TRIM(INDEX(INDIRECT("'Выгрузка'!A2120:Z2120"),Настройки!$B$13)&amp;"")="",1,IFERROR(--SUBSTITUTE(SUBSTITUTE(TRIM(INDEX(INDIRECT("'Выгрузка'!A2120:Z2120"),Настройки!$B$13)),",","."),".",MID(1/2,2,1)),"")))</f>
        <v/>
      </c>
      <c r="H2120">
        <f>IF(F2120="",0,IF(COUNTIF(Настройки!$B$17:$B$26,F2120)&gt;0,1,IF(COUNTIF(Настройки!$C$17:$C$26,F2120)&gt;0,2,IF(COUNTIF(Настройки!$D$17:$D$26,F2120)&gt;0,3,0))))</f>
        <v/>
      </c>
      <c r="I2120">
        <f>IF(AND(ISNUMBER(A2120),ISNUMBER(B2120)),A2120*1000+B2120,"")</f>
        <v/>
      </c>
      <c r="J2120">
        <f>IF(I2120="","",IF(COUNTIF(I$2:I2120,I2120)=1,MAX(J$1:J2119)+1,""))</f>
        <v/>
      </c>
    </row>
    <row r="2121">
      <c r="A2121">
        <f>IFERROR(--SUBSTITUTE(SUBSTITUTE(TRIM(INDEX(INDIRECT("'Выгрузка'!A2121:Z2121"),Настройки!$B$7)),",","."),".",MID(1/2,2,1)),"")</f>
        <v/>
      </c>
      <c r="B2121">
        <f>IFERROR(--SUBSTITUTE(SUBSTITUTE(TRIM(INDEX(INDIRECT("'Выгрузка'!A2121:Z2121"),Настройки!$B$9)),",","."),".",MID(1/2,2,1)),"")</f>
        <v/>
      </c>
      <c r="C2121">
        <f>TRIM(INDEX(INDIRECT("'Выгрузка'!A2121:Z2121"),Настройки!$B$8)&amp;"")</f>
        <v/>
      </c>
      <c r="D2121">
        <f>IFERROR(--SUBSTITUTE(SUBSTITUTE(TRIM(INDEX(INDIRECT("'Выгрузка'!A2121:Z2121"),Настройки!$B$10)),",","."),".",MID(1/2,2,1)),"")</f>
        <v/>
      </c>
      <c r="E2121">
        <f>IFERROR(--SUBSTITUTE(SUBSTITUTE(TRIM(INDEX(INDIRECT("'Выгрузка'!A2121:Z2121"),Настройки!$B$11)),",","."),".",MID(1/2,2,1)),"")</f>
        <v/>
      </c>
      <c r="F2121">
        <f>TRIM(INDEX(INDIRECT("'Выгрузка'!A2121:Z2121"),Настройки!$B$12)&amp;"")</f>
        <v/>
      </c>
      <c r="G2121">
        <f>IF(F2121="",0,IF(TRIM(INDEX(INDIRECT("'Выгрузка'!A2121:Z2121"),Настройки!$B$13)&amp;"")="",1,IFERROR(--SUBSTITUTE(SUBSTITUTE(TRIM(INDEX(INDIRECT("'Выгрузка'!A2121:Z2121"),Настройки!$B$13)),",","."),".",MID(1/2,2,1)),"")))</f>
        <v/>
      </c>
      <c r="H2121">
        <f>IF(F2121="",0,IF(COUNTIF(Настройки!$B$17:$B$26,F2121)&gt;0,1,IF(COUNTIF(Настройки!$C$17:$C$26,F2121)&gt;0,2,IF(COUNTIF(Настройки!$D$17:$D$26,F2121)&gt;0,3,0))))</f>
        <v/>
      </c>
      <c r="I2121">
        <f>IF(AND(ISNUMBER(A2121),ISNUMBER(B2121)),A2121*1000+B2121,"")</f>
        <v/>
      </c>
      <c r="J2121">
        <f>IF(I2121="","",IF(COUNTIF(I$2:I2121,I2121)=1,MAX(J$1:J2120)+1,""))</f>
        <v/>
      </c>
    </row>
    <row r="2122">
      <c r="A2122">
        <f>IFERROR(--SUBSTITUTE(SUBSTITUTE(TRIM(INDEX(INDIRECT("'Выгрузка'!A2122:Z2122"),Настройки!$B$7)),",","."),".",MID(1/2,2,1)),"")</f>
        <v/>
      </c>
      <c r="B2122">
        <f>IFERROR(--SUBSTITUTE(SUBSTITUTE(TRIM(INDEX(INDIRECT("'Выгрузка'!A2122:Z2122"),Настройки!$B$9)),",","."),".",MID(1/2,2,1)),"")</f>
        <v/>
      </c>
      <c r="C2122">
        <f>TRIM(INDEX(INDIRECT("'Выгрузка'!A2122:Z2122"),Настройки!$B$8)&amp;"")</f>
        <v/>
      </c>
      <c r="D2122">
        <f>IFERROR(--SUBSTITUTE(SUBSTITUTE(TRIM(INDEX(INDIRECT("'Выгрузка'!A2122:Z2122"),Настройки!$B$10)),",","."),".",MID(1/2,2,1)),"")</f>
        <v/>
      </c>
      <c r="E2122">
        <f>IFERROR(--SUBSTITUTE(SUBSTITUTE(TRIM(INDEX(INDIRECT("'Выгрузка'!A2122:Z2122"),Настройки!$B$11)),",","."),".",MID(1/2,2,1)),"")</f>
        <v/>
      </c>
      <c r="F2122">
        <f>TRIM(INDEX(INDIRECT("'Выгрузка'!A2122:Z2122"),Настройки!$B$12)&amp;"")</f>
        <v/>
      </c>
      <c r="G2122">
        <f>IF(F2122="",0,IF(TRIM(INDEX(INDIRECT("'Выгрузка'!A2122:Z2122"),Настройки!$B$13)&amp;"")="",1,IFERROR(--SUBSTITUTE(SUBSTITUTE(TRIM(INDEX(INDIRECT("'Выгрузка'!A2122:Z2122"),Настройки!$B$13)),",","."),".",MID(1/2,2,1)),"")))</f>
        <v/>
      </c>
      <c r="H2122">
        <f>IF(F2122="",0,IF(COUNTIF(Настройки!$B$17:$B$26,F2122)&gt;0,1,IF(COUNTIF(Настройки!$C$17:$C$26,F2122)&gt;0,2,IF(COUNTIF(Настройки!$D$17:$D$26,F2122)&gt;0,3,0))))</f>
        <v/>
      </c>
      <c r="I2122">
        <f>IF(AND(ISNUMBER(A2122),ISNUMBER(B2122)),A2122*1000+B2122,"")</f>
        <v/>
      </c>
      <c r="J2122">
        <f>IF(I2122="","",IF(COUNTIF(I$2:I2122,I2122)=1,MAX(J$1:J2121)+1,""))</f>
        <v/>
      </c>
    </row>
    <row r="2123">
      <c r="A2123">
        <f>IFERROR(--SUBSTITUTE(SUBSTITUTE(TRIM(INDEX(INDIRECT("'Выгрузка'!A2123:Z2123"),Настройки!$B$7)),",","."),".",MID(1/2,2,1)),"")</f>
        <v/>
      </c>
      <c r="B2123">
        <f>IFERROR(--SUBSTITUTE(SUBSTITUTE(TRIM(INDEX(INDIRECT("'Выгрузка'!A2123:Z2123"),Настройки!$B$9)),",","."),".",MID(1/2,2,1)),"")</f>
        <v/>
      </c>
      <c r="C2123">
        <f>TRIM(INDEX(INDIRECT("'Выгрузка'!A2123:Z2123"),Настройки!$B$8)&amp;"")</f>
        <v/>
      </c>
      <c r="D2123">
        <f>IFERROR(--SUBSTITUTE(SUBSTITUTE(TRIM(INDEX(INDIRECT("'Выгрузка'!A2123:Z2123"),Настройки!$B$10)),",","."),".",MID(1/2,2,1)),"")</f>
        <v/>
      </c>
      <c r="E2123">
        <f>IFERROR(--SUBSTITUTE(SUBSTITUTE(TRIM(INDEX(INDIRECT("'Выгрузка'!A2123:Z2123"),Настройки!$B$11)),",","."),".",MID(1/2,2,1)),"")</f>
        <v/>
      </c>
      <c r="F2123">
        <f>TRIM(INDEX(INDIRECT("'Выгрузка'!A2123:Z2123"),Настройки!$B$12)&amp;"")</f>
        <v/>
      </c>
      <c r="G2123">
        <f>IF(F2123="",0,IF(TRIM(INDEX(INDIRECT("'Выгрузка'!A2123:Z2123"),Настройки!$B$13)&amp;"")="",1,IFERROR(--SUBSTITUTE(SUBSTITUTE(TRIM(INDEX(INDIRECT("'Выгрузка'!A2123:Z2123"),Настройки!$B$13)),",","."),".",MID(1/2,2,1)),"")))</f>
        <v/>
      </c>
      <c r="H2123">
        <f>IF(F2123="",0,IF(COUNTIF(Настройки!$B$17:$B$26,F2123)&gt;0,1,IF(COUNTIF(Настройки!$C$17:$C$26,F2123)&gt;0,2,IF(COUNTIF(Настройки!$D$17:$D$26,F2123)&gt;0,3,0))))</f>
        <v/>
      </c>
      <c r="I2123">
        <f>IF(AND(ISNUMBER(A2123),ISNUMBER(B2123)),A2123*1000+B2123,"")</f>
        <v/>
      </c>
      <c r="J2123">
        <f>IF(I2123="","",IF(COUNTIF(I$2:I2123,I2123)=1,MAX(J$1:J2122)+1,""))</f>
        <v/>
      </c>
    </row>
    <row r="2124">
      <c r="A2124">
        <f>IFERROR(--SUBSTITUTE(SUBSTITUTE(TRIM(INDEX(INDIRECT("'Выгрузка'!A2124:Z2124"),Настройки!$B$7)),",","."),".",MID(1/2,2,1)),"")</f>
        <v/>
      </c>
      <c r="B2124">
        <f>IFERROR(--SUBSTITUTE(SUBSTITUTE(TRIM(INDEX(INDIRECT("'Выгрузка'!A2124:Z2124"),Настройки!$B$9)),",","."),".",MID(1/2,2,1)),"")</f>
        <v/>
      </c>
      <c r="C2124">
        <f>TRIM(INDEX(INDIRECT("'Выгрузка'!A2124:Z2124"),Настройки!$B$8)&amp;"")</f>
        <v/>
      </c>
      <c r="D2124">
        <f>IFERROR(--SUBSTITUTE(SUBSTITUTE(TRIM(INDEX(INDIRECT("'Выгрузка'!A2124:Z2124"),Настройки!$B$10)),",","."),".",MID(1/2,2,1)),"")</f>
        <v/>
      </c>
      <c r="E2124">
        <f>IFERROR(--SUBSTITUTE(SUBSTITUTE(TRIM(INDEX(INDIRECT("'Выгрузка'!A2124:Z2124"),Настройки!$B$11)),",","."),".",MID(1/2,2,1)),"")</f>
        <v/>
      </c>
      <c r="F2124">
        <f>TRIM(INDEX(INDIRECT("'Выгрузка'!A2124:Z2124"),Настройки!$B$12)&amp;"")</f>
        <v/>
      </c>
      <c r="G2124">
        <f>IF(F2124="",0,IF(TRIM(INDEX(INDIRECT("'Выгрузка'!A2124:Z2124"),Настройки!$B$13)&amp;"")="",1,IFERROR(--SUBSTITUTE(SUBSTITUTE(TRIM(INDEX(INDIRECT("'Выгрузка'!A2124:Z2124"),Настройки!$B$13)),",","."),".",MID(1/2,2,1)),"")))</f>
        <v/>
      </c>
      <c r="H2124">
        <f>IF(F2124="",0,IF(COUNTIF(Настройки!$B$17:$B$26,F2124)&gt;0,1,IF(COUNTIF(Настройки!$C$17:$C$26,F2124)&gt;0,2,IF(COUNTIF(Настройки!$D$17:$D$26,F2124)&gt;0,3,0))))</f>
        <v/>
      </c>
      <c r="I2124">
        <f>IF(AND(ISNUMBER(A2124),ISNUMBER(B2124)),A2124*1000+B2124,"")</f>
        <v/>
      </c>
      <c r="J2124">
        <f>IF(I2124="","",IF(COUNTIF(I$2:I2124,I2124)=1,MAX(J$1:J2123)+1,""))</f>
        <v/>
      </c>
    </row>
    <row r="2125">
      <c r="A2125">
        <f>IFERROR(--SUBSTITUTE(SUBSTITUTE(TRIM(INDEX(INDIRECT("'Выгрузка'!A2125:Z2125"),Настройки!$B$7)),",","."),".",MID(1/2,2,1)),"")</f>
        <v/>
      </c>
      <c r="B2125">
        <f>IFERROR(--SUBSTITUTE(SUBSTITUTE(TRIM(INDEX(INDIRECT("'Выгрузка'!A2125:Z2125"),Настройки!$B$9)),",","."),".",MID(1/2,2,1)),"")</f>
        <v/>
      </c>
      <c r="C2125">
        <f>TRIM(INDEX(INDIRECT("'Выгрузка'!A2125:Z2125"),Настройки!$B$8)&amp;"")</f>
        <v/>
      </c>
      <c r="D2125">
        <f>IFERROR(--SUBSTITUTE(SUBSTITUTE(TRIM(INDEX(INDIRECT("'Выгрузка'!A2125:Z2125"),Настройки!$B$10)),",","."),".",MID(1/2,2,1)),"")</f>
        <v/>
      </c>
      <c r="E2125">
        <f>IFERROR(--SUBSTITUTE(SUBSTITUTE(TRIM(INDEX(INDIRECT("'Выгрузка'!A2125:Z2125"),Настройки!$B$11)),",","."),".",MID(1/2,2,1)),"")</f>
        <v/>
      </c>
      <c r="F2125">
        <f>TRIM(INDEX(INDIRECT("'Выгрузка'!A2125:Z2125"),Настройки!$B$12)&amp;"")</f>
        <v/>
      </c>
      <c r="G2125">
        <f>IF(F2125="",0,IF(TRIM(INDEX(INDIRECT("'Выгрузка'!A2125:Z2125"),Настройки!$B$13)&amp;"")="",1,IFERROR(--SUBSTITUTE(SUBSTITUTE(TRIM(INDEX(INDIRECT("'Выгрузка'!A2125:Z2125"),Настройки!$B$13)),",","."),".",MID(1/2,2,1)),"")))</f>
        <v/>
      </c>
      <c r="H2125">
        <f>IF(F2125="",0,IF(COUNTIF(Настройки!$B$17:$B$26,F2125)&gt;0,1,IF(COUNTIF(Настройки!$C$17:$C$26,F2125)&gt;0,2,IF(COUNTIF(Настройки!$D$17:$D$26,F2125)&gt;0,3,0))))</f>
        <v/>
      </c>
      <c r="I2125">
        <f>IF(AND(ISNUMBER(A2125),ISNUMBER(B2125)),A2125*1000+B2125,"")</f>
        <v/>
      </c>
      <c r="J2125">
        <f>IF(I2125="","",IF(COUNTIF(I$2:I2125,I2125)=1,MAX(J$1:J2124)+1,""))</f>
        <v/>
      </c>
    </row>
    <row r="2126">
      <c r="A2126">
        <f>IFERROR(--SUBSTITUTE(SUBSTITUTE(TRIM(INDEX(INDIRECT("'Выгрузка'!A2126:Z2126"),Настройки!$B$7)),",","."),".",MID(1/2,2,1)),"")</f>
        <v/>
      </c>
      <c r="B2126">
        <f>IFERROR(--SUBSTITUTE(SUBSTITUTE(TRIM(INDEX(INDIRECT("'Выгрузка'!A2126:Z2126"),Настройки!$B$9)),",","."),".",MID(1/2,2,1)),"")</f>
        <v/>
      </c>
      <c r="C2126">
        <f>TRIM(INDEX(INDIRECT("'Выгрузка'!A2126:Z2126"),Настройки!$B$8)&amp;"")</f>
        <v/>
      </c>
      <c r="D2126">
        <f>IFERROR(--SUBSTITUTE(SUBSTITUTE(TRIM(INDEX(INDIRECT("'Выгрузка'!A2126:Z2126"),Настройки!$B$10)),",","."),".",MID(1/2,2,1)),"")</f>
        <v/>
      </c>
      <c r="E2126">
        <f>IFERROR(--SUBSTITUTE(SUBSTITUTE(TRIM(INDEX(INDIRECT("'Выгрузка'!A2126:Z2126"),Настройки!$B$11)),",","."),".",MID(1/2,2,1)),"")</f>
        <v/>
      </c>
      <c r="F2126">
        <f>TRIM(INDEX(INDIRECT("'Выгрузка'!A2126:Z2126"),Настройки!$B$12)&amp;"")</f>
        <v/>
      </c>
      <c r="G2126">
        <f>IF(F2126="",0,IF(TRIM(INDEX(INDIRECT("'Выгрузка'!A2126:Z2126"),Настройки!$B$13)&amp;"")="",1,IFERROR(--SUBSTITUTE(SUBSTITUTE(TRIM(INDEX(INDIRECT("'Выгрузка'!A2126:Z2126"),Настройки!$B$13)),",","."),".",MID(1/2,2,1)),"")))</f>
        <v/>
      </c>
      <c r="H2126">
        <f>IF(F2126="",0,IF(COUNTIF(Настройки!$B$17:$B$26,F2126)&gt;0,1,IF(COUNTIF(Настройки!$C$17:$C$26,F2126)&gt;0,2,IF(COUNTIF(Настройки!$D$17:$D$26,F2126)&gt;0,3,0))))</f>
        <v/>
      </c>
      <c r="I2126">
        <f>IF(AND(ISNUMBER(A2126),ISNUMBER(B2126)),A2126*1000+B2126,"")</f>
        <v/>
      </c>
      <c r="J2126">
        <f>IF(I2126="","",IF(COUNTIF(I$2:I2126,I2126)=1,MAX(J$1:J2125)+1,""))</f>
        <v/>
      </c>
    </row>
    <row r="2127">
      <c r="A2127">
        <f>IFERROR(--SUBSTITUTE(SUBSTITUTE(TRIM(INDEX(INDIRECT("'Выгрузка'!A2127:Z2127"),Настройки!$B$7)),",","."),".",MID(1/2,2,1)),"")</f>
        <v/>
      </c>
      <c r="B2127">
        <f>IFERROR(--SUBSTITUTE(SUBSTITUTE(TRIM(INDEX(INDIRECT("'Выгрузка'!A2127:Z2127"),Настройки!$B$9)),",","."),".",MID(1/2,2,1)),"")</f>
        <v/>
      </c>
      <c r="C2127">
        <f>TRIM(INDEX(INDIRECT("'Выгрузка'!A2127:Z2127"),Настройки!$B$8)&amp;"")</f>
        <v/>
      </c>
      <c r="D2127">
        <f>IFERROR(--SUBSTITUTE(SUBSTITUTE(TRIM(INDEX(INDIRECT("'Выгрузка'!A2127:Z2127"),Настройки!$B$10)),",","."),".",MID(1/2,2,1)),"")</f>
        <v/>
      </c>
      <c r="E2127">
        <f>IFERROR(--SUBSTITUTE(SUBSTITUTE(TRIM(INDEX(INDIRECT("'Выгрузка'!A2127:Z2127"),Настройки!$B$11)),",","."),".",MID(1/2,2,1)),"")</f>
        <v/>
      </c>
      <c r="F2127">
        <f>TRIM(INDEX(INDIRECT("'Выгрузка'!A2127:Z2127"),Настройки!$B$12)&amp;"")</f>
        <v/>
      </c>
      <c r="G2127">
        <f>IF(F2127="",0,IF(TRIM(INDEX(INDIRECT("'Выгрузка'!A2127:Z2127"),Настройки!$B$13)&amp;"")="",1,IFERROR(--SUBSTITUTE(SUBSTITUTE(TRIM(INDEX(INDIRECT("'Выгрузка'!A2127:Z2127"),Настройки!$B$13)),",","."),".",MID(1/2,2,1)),"")))</f>
        <v/>
      </c>
      <c r="H2127">
        <f>IF(F2127="",0,IF(COUNTIF(Настройки!$B$17:$B$26,F2127)&gt;0,1,IF(COUNTIF(Настройки!$C$17:$C$26,F2127)&gt;0,2,IF(COUNTIF(Настройки!$D$17:$D$26,F2127)&gt;0,3,0))))</f>
        <v/>
      </c>
      <c r="I2127">
        <f>IF(AND(ISNUMBER(A2127),ISNUMBER(B2127)),A2127*1000+B2127,"")</f>
        <v/>
      </c>
      <c r="J2127">
        <f>IF(I2127="","",IF(COUNTIF(I$2:I2127,I2127)=1,MAX(J$1:J2126)+1,""))</f>
        <v/>
      </c>
    </row>
    <row r="2128">
      <c r="A2128">
        <f>IFERROR(--SUBSTITUTE(SUBSTITUTE(TRIM(INDEX(INDIRECT("'Выгрузка'!A2128:Z2128"),Настройки!$B$7)),",","."),".",MID(1/2,2,1)),"")</f>
        <v/>
      </c>
      <c r="B2128">
        <f>IFERROR(--SUBSTITUTE(SUBSTITUTE(TRIM(INDEX(INDIRECT("'Выгрузка'!A2128:Z2128"),Настройки!$B$9)),",","."),".",MID(1/2,2,1)),"")</f>
        <v/>
      </c>
      <c r="C2128">
        <f>TRIM(INDEX(INDIRECT("'Выгрузка'!A2128:Z2128"),Настройки!$B$8)&amp;"")</f>
        <v/>
      </c>
      <c r="D2128">
        <f>IFERROR(--SUBSTITUTE(SUBSTITUTE(TRIM(INDEX(INDIRECT("'Выгрузка'!A2128:Z2128"),Настройки!$B$10)),",","."),".",MID(1/2,2,1)),"")</f>
        <v/>
      </c>
      <c r="E2128">
        <f>IFERROR(--SUBSTITUTE(SUBSTITUTE(TRIM(INDEX(INDIRECT("'Выгрузка'!A2128:Z2128"),Настройки!$B$11)),",","."),".",MID(1/2,2,1)),"")</f>
        <v/>
      </c>
      <c r="F2128">
        <f>TRIM(INDEX(INDIRECT("'Выгрузка'!A2128:Z2128"),Настройки!$B$12)&amp;"")</f>
        <v/>
      </c>
      <c r="G2128">
        <f>IF(F2128="",0,IF(TRIM(INDEX(INDIRECT("'Выгрузка'!A2128:Z2128"),Настройки!$B$13)&amp;"")="",1,IFERROR(--SUBSTITUTE(SUBSTITUTE(TRIM(INDEX(INDIRECT("'Выгрузка'!A2128:Z2128"),Настройки!$B$13)),",","."),".",MID(1/2,2,1)),"")))</f>
        <v/>
      </c>
      <c r="H2128">
        <f>IF(F2128="",0,IF(COUNTIF(Настройки!$B$17:$B$26,F2128)&gt;0,1,IF(COUNTIF(Настройки!$C$17:$C$26,F2128)&gt;0,2,IF(COUNTIF(Настройки!$D$17:$D$26,F2128)&gt;0,3,0))))</f>
        <v/>
      </c>
      <c r="I2128">
        <f>IF(AND(ISNUMBER(A2128),ISNUMBER(B2128)),A2128*1000+B2128,"")</f>
        <v/>
      </c>
      <c r="J2128">
        <f>IF(I2128="","",IF(COUNTIF(I$2:I2128,I2128)=1,MAX(J$1:J2127)+1,""))</f>
        <v/>
      </c>
    </row>
    <row r="2129">
      <c r="A2129">
        <f>IFERROR(--SUBSTITUTE(SUBSTITUTE(TRIM(INDEX(INDIRECT("'Выгрузка'!A2129:Z2129"),Настройки!$B$7)),",","."),".",MID(1/2,2,1)),"")</f>
        <v/>
      </c>
      <c r="B2129">
        <f>IFERROR(--SUBSTITUTE(SUBSTITUTE(TRIM(INDEX(INDIRECT("'Выгрузка'!A2129:Z2129"),Настройки!$B$9)),",","."),".",MID(1/2,2,1)),"")</f>
        <v/>
      </c>
      <c r="C2129">
        <f>TRIM(INDEX(INDIRECT("'Выгрузка'!A2129:Z2129"),Настройки!$B$8)&amp;"")</f>
        <v/>
      </c>
      <c r="D2129">
        <f>IFERROR(--SUBSTITUTE(SUBSTITUTE(TRIM(INDEX(INDIRECT("'Выгрузка'!A2129:Z2129"),Настройки!$B$10)),",","."),".",MID(1/2,2,1)),"")</f>
        <v/>
      </c>
      <c r="E2129">
        <f>IFERROR(--SUBSTITUTE(SUBSTITUTE(TRIM(INDEX(INDIRECT("'Выгрузка'!A2129:Z2129"),Настройки!$B$11)),",","."),".",MID(1/2,2,1)),"")</f>
        <v/>
      </c>
      <c r="F2129">
        <f>TRIM(INDEX(INDIRECT("'Выгрузка'!A2129:Z2129"),Настройки!$B$12)&amp;"")</f>
        <v/>
      </c>
      <c r="G2129">
        <f>IF(F2129="",0,IF(TRIM(INDEX(INDIRECT("'Выгрузка'!A2129:Z2129"),Настройки!$B$13)&amp;"")="",1,IFERROR(--SUBSTITUTE(SUBSTITUTE(TRIM(INDEX(INDIRECT("'Выгрузка'!A2129:Z2129"),Настройки!$B$13)),",","."),".",MID(1/2,2,1)),"")))</f>
        <v/>
      </c>
      <c r="H2129">
        <f>IF(F2129="",0,IF(COUNTIF(Настройки!$B$17:$B$26,F2129)&gt;0,1,IF(COUNTIF(Настройки!$C$17:$C$26,F2129)&gt;0,2,IF(COUNTIF(Настройки!$D$17:$D$26,F2129)&gt;0,3,0))))</f>
        <v/>
      </c>
      <c r="I2129">
        <f>IF(AND(ISNUMBER(A2129),ISNUMBER(B2129)),A2129*1000+B2129,"")</f>
        <v/>
      </c>
      <c r="J2129">
        <f>IF(I2129="","",IF(COUNTIF(I$2:I2129,I2129)=1,MAX(J$1:J2128)+1,""))</f>
        <v/>
      </c>
    </row>
    <row r="2130">
      <c r="A2130">
        <f>IFERROR(--SUBSTITUTE(SUBSTITUTE(TRIM(INDEX(INDIRECT("'Выгрузка'!A2130:Z2130"),Настройки!$B$7)),",","."),".",MID(1/2,2,1)),"")</f>
        <v/>
      </c>
      <c r="B2130">
        <f>IFERROR(--SUBSTITUTE(SUBSTITUTE(TRIM(INDEX(INDIRECT("'Выгрузка'!A2130:Z2130"),Настройки!$B$9)),",","."),".",MID(1/2,2,1)),"")</f>
        <v/>
      </c>
      <c r="C2130">
        <f>TRIM(INDEX(INDIRECT("'Выгрузка'!A2130:Z2130"),Настройки!$B$8)&amp;"")</f>
        <v/>
      </c>
      <c r="D2130">
        <f>IFERROR(--SUBSTITUTE(SUBSTITUTE(TRIM(INDEX(INDIRECT("'Выгрузка'!A2130:Z2130"),Настройки!$B$10)),",","."),".",MID(1/2,2,1)),"")</f>
        <v/>
      </c>
      <c r="E2130">
        <f>IFERROR(--SUBSTITUTE(SUBSTITUTE(TRIM(INDEX(INDIRECT("'Выгрузка'!A2130:Z2130"),Настройки!$B$11)),",","."),".",MID(1/2,2,1)),"")</f>
        <v/>
      </c>
      <c r="F2130">
        <f>TRIM(INDEX(INDIRECT("'Выгрузка'!A2130:Z2130"),Настройки!$B$12)&amp;"")</f>
        <v/>
      </c>
      <c r="G2130">
        <f>IF(F2130="",0,IF(TRIM(INDEX(INDIRECT("'Выгрузка'!A2130:Z2130"),Настройки!$B$13)&amp;"")="",1,IFERROR(--SUBSTITUTE(SUBSTITUTE(TRIM(INDEX(INDIRECT("'Выгрузка'!A2130:Z2130"),Настройки!$B$13)),",","."),".",MID(1/2,2,1)),"")))</f>
        <v/>
      </c>
      <c r="H2130">
        <f>IF(F2130="",0,IF(COUNTIF(Настройки!$B$17:$B$26,F2130)&gt;0,1,IF(COUNTIF(Настройки!$C$17:$C$26,F2130)&gt;0,2,IF(COUNTIF(Настройки!$D$17:$D$26,F2130)&gt;0,3,0))))</f>
        <v/>
      </c>
      <c r="I2130">
        <f>IF(AND(ISNUMBER(A2130),ISNUMBER(B2130)),A2130*1000+B2130,"")</f>
        <v/>
      </c>
      <c r="J2130">
        <f>IF(I2130="","",IF(COUNTIF(I$2:I2130,I2130)=1,MAX(J$1:J2129)+1,""))</f>
        <v/>
      </c>
    </row>
    <row r="2131">
      <c r="A2131">
        <f>IFERROR(--SUBSTITUTE(SUBSTITUTE(TRIM(INDEX(INDIRECT("'Выгрузка'!A2131:Z2131"),Настройки!$B$7)),",","."),".",MID(1/2,2,1)),"")</f>
        <v/>
      </c>
      <c r="B2131">
        <f>IFERROR(--SUBSTITUTE(SUBSTITUTE(TRIM(INDEX(INDIRECT("'Выгрузка'!A2131:Z2131"),Настройки!$B$9)),",","."),".",MID(1/2,2,1)),"")</f>
        <v/>
      </c>
      <c r="C2131">
        <f>TRIM(INDEX(INDIRECT("'Выгрузка'!A2131:Z2131"),Настройки!$B$8)&amp;"")</f>
        <v/>
      </c>
      <c r="D2131">
        <f>IFERROR(--SUBSTITUTE(SUBSTITUTE(TRIM(INDEX(INDIRECT("'Выгрузка'!A2131:Z2131"),Настройки!$B$10)),",","."),".",MID(1/2,2,1)),"")</f>
        <v/>
      </c>
      <c r="E2131">
        <f>IFERROR(--SUBSTITUTE(SUBSTITUTE(TRIM(INDEX(INDIRECT("'Выгрузка'!A2131:Z2131"),Настройки!$B$11)),",","."),".",MID(1/2,2,1)),"")</f>
        <v/>
      </c>
      <c r="F2131">
        <f>TRIM(INDEX(INDIRECT("'Выгрузка'!A2131:Z2131"),Настройки!$B$12)&amp;"")</f>
        <v/>
      </c>
      <c r="G2131">
        <f>IF(F2131="",0,IF(TRIM(INDEX(INDIRECT("'Выгрузка'!A2131:Z2131"),Настройки!$B$13)&amp;"")="",1,IFERROR(--SUBSTITUTE(SUBSTITUTE(TRIM(INDEX(INDIRECT("'Выгрузка'!A2131:Z2131"),Настройки!$B$13)),",","."),".",MID(1/2,2,1)),"")))</f>
        <v/>
      </c>
      <c r="H2131">
        <f>IF(F2131="",0,IF(COUNTIF(Настройки!$B$17:$B$26,F2131)&gt;0,1,IF(COUNTIF(Настройки!$C$17:$C$26,F2131)&gt;0,2,IF(COUNTIF(Настройки!$D$17:$D$26,F2131)&gt;0,3,0))))</f>
        <v/>
      </c>
      <c r="I2131">
        <f>IF(AND(ISNUMBER(A2131),ISNUMBER(B2131)),A2131*1000+B2131,"")</f>
        <v/>
      </c>
      <c r="J2131">
        <f>IF(I2131="","",IF(COUNTIF(I$2:I2131,I2131)=1,MAX(J$1:J2130)+1,""))</f>
        <v/>
      </c>
    </row>
    <row r="2132">
      <c r="A2132">
        <f>IFERROR(--SUBSTITUTE(SUBSTITUTE(TRIM(INDEX(INDIRECT("'Выгрузка'!A2132:Z2132"),Настройки!$B$7)),",","."),".",MID(1/2,2,1)),"")</f>
        <v/>
      </c>
      <c r="B2132">
        <f>IFERROR(--SUBSTITUTE(SUBSTITUTE(TRIM(INDEX(INDIRECT("'Выгрузка'!A2132:Z2132"),Настройки!$B$9)),",","."),".",MID(1/2,2,1)),"")</f>
        <v/>
      </c>
      <c r="C2132">
        <f>TRIM(INDEX(INDIRECT("'Выгрузка'!A2132:Z2132"),Настройки!$B$8)&amp;"")</f>
        <v/>
      </c>
      <c r="D2132">
        <f>IFERROR(--SUBSTITUTE(SUBSTITUTE(TRIM(INDEX(INDIRECT("'Выгрузка'!A2132:Z2132"),Настройки!$B$10)),",","."),".",MID(1/2,2,1)),"")</f>
        <v/>
      </c>
      <c r="E2132">
        <f>IFERROR(--SUBSTITUTE(SUBSTITUTE(TRIM(INDEX(INDIRECT("'Выгрузка'!A2132:Z2132"),Настройки!$B$11)),",","."),".",MID(1/2,2,1)),"")</f>
        <v/>
      </c>
      <c r="F2132">
        <f>TRIM(INDEX(INDIRECT("'Выгрузка'!A2132:Z2132"),Настройки!$B$12)&amp;"")</f>
        <v/>
      </c>
      <c r="G2132">
        <f>IF(F2132="",0,IF(TRIM(INDEX(INDIRECT("'Выгрузка'!A2132:Z2132"),Настройки!$B$13)&amp;"")="",1,IFERROR(--SUBSTITUTE(SUBSTITUTE(TRIM(INDEX(INDIRECT("'Выгрузка'!A2132:Z2132"),Настройки!$B$13)),",","."),".",MID(1/2,2,1)),"")))</f>
        <v/>
      </c>
      <c r="H2132">
        <f>IF(F2132="",0,IF(COUNTIF(Настройки!$B$17:$B$26,F2132)&gt;0,1,IF(COUNTIF(Настройки!$C$17:$C$26,F2132)&gt;0,2,IF(COUNTIF(Настройки!$D$17:$D$26,F2132)&gt;0,3,0))))</f>
        <v/>
      </c>
      <c r="I2132">
        <f>IF(AND(ISNUMBER(A2132),ISNUMBER(B2132)),A2132*1000+B2132,"")</f>
        <v/>
      </c>
      <c r="J2132">
        <f>IF(I2132="","",IF(COUNTIF(I$2:I2132,I2132)=1,MAX(J$1:J2131)+1,""))</f>
        <v/>
      </c>
    </row>
    <row r="2133">
      <c r="A2133">
        <f>IFERROR(--SUBSTITUTE(SUBSTITUTE(TRIM(INDEX(INDIRECT("'Выгрузка'!A2133:Z2133"),Настройки!$B$7)),",","."),".",MID(1/2,2,1)),"")</f>
        <v/>
      </c>
      <c r="B2133">
        <f>IFERROR(--SUBSTITUTE(SUBSTITUTE(TRIM(INDEX(INDIRECT("'Выгрузка'!A2133:Z2133"),Настройки!$B$9)),",","."),".",MID(1/2,2,1)),"")</f>
        <v/>
      </c>
      <c r="C2133">
        <f>TRIM(INDEX(INDIRECT("'Выгрузка'!A2133:Z2133"),Настройки!$B$8)&amp;"")</f>
        <v/>
      </c>
      <c r="D2133">
        <f>IFERROR(--SUBSTITUTE(SUBSTITUTE(TRIM(INDEX(INDIRECT("'Выгрузка'!A2133:Z2133"),Настройки!$B$10)),",","."),".",MID(1/2,2,1)),"")</f>
        <v/>
      </c>
      <c r="E2133">
        <f>IFERROR(--SUBSTITUTE(SUBSTITUTE(TRIM(INDEX(INDIRECT("'Выгрузка'!A2133:Z2133"),Настройки!$B$11)),",","."),".",MID(1/2,2,1)),"")</f>
        <v/>
      </c>
      <c r="F2133">
        <f>TRIM(INDEX(INDIRECT("'Выгрузка'!A2133:Z2133"),Настройки!$B$12)&amp;"")</f>
        <v/>
      </c>
      <c r="G2133">
        <f>IF(F2133="",0,IF(TRIM(INDEX(INDIRECT("'Выгрузка'!A2133:Z2133"),Настройки!$B$13)&amp;"")="",1,IFERROR(--SUBSTITUTE(SUBSTITUTE(TRIM(INDEX(INDIRECT("'Выгрузка'!A2133:Z2133"),Настройки!$B$13)),",","."),".",MID(1/2,2,1)),"")))</f>
        <v/>
      </c>
      <c r="H2133">
        <f>IF(F2133="",0,IF(COUNTIF(Настройки!$B$17:$B$26,F2133)&gt;0,1,IF(COUNTIF(Настройки!$C$17:$C$26,F2133)&gt;0,2,IF(COUNTIF(Настройки!$D$17:$D$26,F2133)&gt;0,3,0))))</f>
        <v/>
      </c>
      <c r="I2133">
        <f>IF(AND(ISNUMBER(A2133),ISNUMBER(B2133)),A2133*1000+B2133,"")</f>
        <v/>
      </c>
      <c r="J2133">
        <f>IF(I2133="","",IF(COUNTIF(I$2:I2133,I2133)=1,MAX(J$1:J2132)+1,""))</f>
        <v/>
      </c>
    </row>
    <row r="2134">
      <c r="A2134">
        <f>IFERROR(--SUBSTITUTE(SUBSTITUTE(TRIM(INDEX(INDIRECT("'Выгрузка'!A2134:Z2134"),Настройки!$B$7)),",","."),".",MID(1/2,2,1)),"")</f>
        <v/>
      </c>
      <c r="B2134">
        <f>IFERROR(--SUBSTITUTE(SUBSTITUTE(TRIM(INDEX(INDIRECT("'Выгрузка'!A2134:Z2134"),Настройки!$B$9)),",","."),".",MID(1/2,2,1)),"")</f>
        <v/>
      </c>
      <c r="C2134">
        <f>TRIM(INDEX(INDIRECT("'Выгрузка'!A2134:Z2134"),Настройки!$B$8)&amp;"")</f>
        <v/>
      </c>
      <c r="D2134">
        <f>IFERROR(--SUBSTITUTE(SUBSTITUTE(TRIM(INDEX(INDIRECT("'Выгрузка'!A2134:Z2134"),Настройки!$B$10)),",","."),".",MID(1/2,2,1)),"")</f>
        <v/>
      </c>
      <c r="E2134">
        <f>IFERROR(--SUBSTITUTE(SUBSTITUTE(TRIM(INDEX(INDIRECT("'Выгрузка'!A2134:Z2134"),Настройки!$B$11)),",","."),".",MID(1/2,2,1)),"")</f>
        <v/>
      </c>
      <c r="F2134">
        <f>TRIM(INDEX(INDIRECT("'Выгрузка'!A2134:Z2134"),Настройки!$B$12)&amp;"")</f>
        <v/>
      </c>
      <c r="G2134">
        <f>IF(F2134="",0,IF(TRIM(INDEX(INDIRECT("'Выгрузка'!A2134:Z2134"),Настройки!$B$13)&amp;"")="",1,IFERROR(--SUBSTITUTE(SUBSTITUTE(TRIM(INDEX(INDIRECT("'Выгрузка'!A2134:Z2134"),Настройки!$B$13)),",","."),".",MID(1/2,2,1)),"")))</f>
        <v/>
      </c>
      <c r="H2134">
        <f>IF(F2134="",0,IF(COUNTIF(Настройки!$B$17:$B$26,F2134)&gt;0,1,IF(COUNTIF(Настройки!$C$17:$C$26,F2134)&gt;0,2,IF(COUNTIF(Настройки!$D$17:$D$26,F2134)&gt;0,3,0))))</f>
        <v/>
      </c>
      <c r="I2134">
        <f>IF(AND(ISNUMBER(A2134),ISNUMBER(B2134)),A2134*1000+B2134,"")</f>
        <v/>
      </c>
      <c r="J2134">
        <f>IF(I2134="","",IF(COUNTIF(I$2:I2134,I2134)=1,MAX(J$1:J2133)+1,""))</f>
        <v/>
      </c>
    </row>
    <row r="2135">
      <c r="A2135">
        <f>IFERROR(--SUBSTITUTE(SUBSTITUTE(TRIM(INDEX(INDIRECT("'Выгрузка'!A2135:Z2135"),Настройки!$B$7)),",","."),".",MID(1/2,2,1)),"")</f>
        <v/>
      </c>
      <c r="B2135">
        <f>IFERROR(--SUBSTITUTE(SUBSTITUTE(TRIM(INDEX(INDIRECT("'Выгрузка'!A2135:Z2135"),Настройки!$B$9)),",","."),".",MID(1/2,2,1)),"")</f>
        <v/>
      </c>
      <c r="C2135">
        <f>TRIM(INDEX(INDIRECT("'Выгрузка'!A2135:Z2135"),Настройки!$B$8)&amp;"")</f>
        <v/>
      </c>
      <c r="D2135">
        <f>IFERROR(--SUBSTITUTE(SUBSTITUTE(TRIM(INDEX(INDIRECT("'Выгрузка'!A2135:Z2135"),Настройки!$B$10)),",","."),".",MID(1/2,2,1)),"")</f>
        <v/>
      </c>
      <c r="E2135">
        <f>IFERROR(--SUBSTITUTE(SUBSTITUTE(TRIM(INDEX(INDIRECT("'Выгрузка'!A2135:Z2135"),Настройки!$B$11)),",","."),".",MID(1/2,2,1)),"")</f>
        <v/>
      </c>
      <c r="F2135">
        <f>TRIM(INDEX(INDIRECT("'Выгрузка'!A2135:Z2135"),Настройки!$B$12)&amp;"")</f>
        <v/>
      </c>
      <c r="G2135">
        <f>IF(F2135="",0,IF(TRIM(INDEX(INDIRECT("'Выгрузка'!A2135:Z2135"),Настройки!$B$13)&amp;"")="",1,IFERROR(--SUBSTITUTE(SUBSTITUTE(TRIM(INDEX(INDIRECT("'Выгрузка'!A2135:Z2135"),Настройки!$B$13)),",","."),".",MID(1/2,2,1)),"")))</f>
        <v/>
      </c>
      <c r="H2135">
        <f>IF(F2135="",0,IF(COUNTIF(Настройки!$B$17:$B$26,F2135)&gt;0,1,IF(COUNTIF(Настройки!$C$17:$C$26,F2135)&gt;0,2,IF(COUNTIF(Настройки!$D$17:$D$26,F2135)&gt;0,3,0))))</f>
        <v/>
      </c>
      <c r="I2135">
        <f>IF(AND(ISNUMBER(A2135),ISNUMBER(B2135)),A2135*1000+B2135,"")</f>
        <v/>
      </c>
      <c r="J2135">
        <f>IF(I2135="","",IF(COUNTIF(I$2:I2135,I2135)=1,MAX(J$1:J2134)+1,""))</f>
        <v/>
      </c>
    </row>
    <row r="2136">
      <c r="A2136">
        <f>IFERROR(--SUBSTITUTE(SUBSTITUTE(TRIM(INDEX(INDIRECT("'Выгрузка'!A2136:Z2136"),Настройки!$B$7)),",","."),".",MID(1/2,2,1)),"")</f>
        <v/>
      </c>
      <c r="B2136">
        <f>IFERROR(--SUBSTITUTE(SUBSTITUTE(TRIM(INDEX(INDIRECT("'Выгрузка'!A2136:Z2136"),Настройки!$B$9)),",","."),".",MID(1/2,2,1)),"")</f>
        <v/>
      </c>
      <c r="C2136">
        <f>TRIM(INDEX(INDIRECT("'Выгрузка'!A2136:Z2136"),Настройки!$B$8)&amp;"")</f>
        <v/>
      </c>
      <c r="D2136">
        <f>IFERROR(--SUBSTITUTE(SUBSTITUTE(TRIM(INDEX(INDIRECT("'Выгрузка'!A2136:Z2136"),Настройки!$B$10)),",","."),".",MID(1/2,2,1)),"")</f>
        <v/>
      </c>
      <c r="E2136">
        <f>IFERROR(--SUBSTITUTE(SUBSTITUTE(TRIM(INDEX(INDIRECT("'Выгрузка'!A2136:Z2136"),Настройки!$B$11)),",","."),".",MID(1/2,2,1)),"")</f>
        <v/>
      </c>
      <c r="F2136">
        <f>TRIM(INDEX(INDIRECT("'Выгрузка'!A2136:Z2136"),Настройки!$B$12)&amp;"")</f>
        <v/>
      </c>
      <c r="G2136">
        <f>IF(F2136="",0,IF(TRIM(INDEX(INDIRECT("'Выгрузка'!A2136:Z2136"),Настройки!$B$13)&amp;"")="",1,IFERROR(--SUBSTITUTE(SUBSTITUTE(TRIM(INDEX(INDIRECT("'Выгрузка'!A2136:Z2136"),Настройки!$B$13)),",","."),".",MID(1/2,2,1)),"")))</f>
        <v/>
      </c>
      <c r="H2136">
        <f>IF(F2136="",0,IF(COUNTIF(Настройки!$B$17:$B$26,F2136)&gt;0,1,IF(COUNTIF(Настройки!$C$17:$C$26,F2136)&gt;0,2,IF(COUNTIF(Настройки!$D$17:$D$26,F2136)&gt;0,3,0))))</f>
        <v/>
      </c>
      <c r="I2136">
        <f>IF(AND(ISNUMBER(A2136),ISNUMBER(B2136)),A2136*1000+B2136,"")</f>
        <v/>
      </c>
      <c r="J2136">
        <f>IF(I2136="","",IF(COUNTIF(I$2:I2136,I2136)=1,MAX(J$1:J2135)+1,""))</f>
        <v/>
      </c>
    </row>
    <row r="2137">
      <c r="A2137">
        <f>IFERROR(--SUBSTITUTE(SUBSTITUTE(TRIM(INDEX(INDIRECT("'Выгрузка'!A2137:Z2137"),Настройки!$B$7)),",","."),".",MID(1/2,2,1)),"")</f>
        <v/>
      </c>
      <c r="B2137">
        <f>IFERROR(--SUBSTITUTE(SUBSTITUTE(TRIM(INDEX(INDIRECT("'Выгрузка'!A2137:Z2137"),Настройки!$B$9)),",","."),".",MID(1/2,2,1)),"")</f>
        <v/>
      </c>
      <c r="C2137">
        <f>TRIM(INDEX(INDIRECT("'Выгрузка'!A2137:Z2137"),Настройки!$B$8)&amp;"")</f>
        <v/>
      </c>
      <c r="D2137">
        <f>IFERROR(--SUBSTITUTE(SUBSTITUTE(TRIM(INDEX(INDIRECT("'Выгрузка'!A2137:Z2137"),Настройки!$B$10)),",","."),".",MID(1/2,2,1)),"")</f>
        <v/>
      </c>
      <c r="E2137">
        <f>IFERROR(--SUBSTITUTE(SUBSTITUTE(TRIM(INDEX(INDIRECT("'Выгрузка'!A2137:Z2137"),Настройки!$B$11)),",","."),".",MID(1/2,2,1)),"")</f>
        <v/>
      </c>
      <c r="F2137">
        <f>TRIM(INDEX(INDIRECT("'Выгрузка'!A2137:Z2137"),Настройки!$B$12)&amp;"")</f>
        <v/>
      </c>
      <c r="G2137">
        <f>IF(F2137="",0,IF(TRIM(INDEX(INDIRECT("'Выгрузка'!A2137:Z2137"),Настройки!$B$13)&amp;"")="",1,IFERROR(--SUBSTITUTE(SUBSTITUTE(TRIM(INDEX(INDIRECT("'Выгрузка'!A2137:Z2137"),Настройки!$B$13)),",","."),".",MID(1/2,2,1)),"")))</f>
        <v/>
      </c>
      <c r="H2137">
        <f>IF(F2137="",0,IF(COUNTIF(Настройки!$B$17:$B$26,F2137)&gt;0,1,IF(COUNTIF(Настройки!$C$17:$C$26,F2137)&gt;0,2,IF(COUNTIF(Настройки!$D$17:$D$26,F2137)&gt;0,3,0))))</f>
        <v/>
      </c>
      <c r="I2137">
        <f>IF(AND(ISNUMBER(A2137),ISNUMBER(B2137)),A2137*1000+B2137,"")</f>
        <v/>
      </c>
      <c r="J2137">
        <f>IF(I2137="","",IF(COUNTIF(I$2:I2137,I2137)=1,MAX(J$1:J2136)+1,""))</f>
        <v/>
      </c>
    </row>
    <row r="2138">
      <c r="A2138">
        <f>IFERROR(--SUBSTITUTE(SUBSTITUTE(TRIM(INDEX(INDIRECT("'Выгрузка'!A2138:Z2138"),Настройки!$B$7)),",","."),".",MID(1/2,2,1)),"")</f>
        <v/>
      </c>
      <c r="B2138">
        <f>IFERROR(--SUBSTITUTE(SUBSTITUTE(TRIM(INDEX(INDIRECT("'Выгрузка'!A2138:Z2138"),Настройки!$B$9)),",","."),".",MID(1/2,2,1)),"")</f>
        <v/>
      </c>
      <c r="C2138">
        <f>TRIM(INDEX(INDIRECT("'Выгрузка'!A2138:Z2138"),Настройки!$B$8)&amp;"")</f>
        <v/>
      </c>
      <c r="D2138">
        <f>IFERROR(--SUBSTITUTE(SUBSTITUTE(TRIM(INDEX(INDIRECT("'Выгрузка'!A2138:Z2138"),Настройки!$B$10)),",","."),".",MID(1/2,2,1)),"")</f>
        <v/>
      </c>
      <c r="E2138">
        <f>IFERROR(--SUBSTITUTE(SUBSTITUTE(TRIM(INDEX(INDIRECT("'Выгрузка'!A2138:Z2138"),Настройки!$B$11)),",","."),".",MID(1/2,2,1)),"")</f>
        <v/>
      </c>
      <c r="F2138">
        <f>TRIM(INDEX(INDIRECT("'Выгрузка'!A2138:Z2138"),Настройки!$B$12)&amp;"")</f>
        <v/>
      </c>
      <c r="G2138">
        <f>IF(F2138="",0,IF(TRIM(INDEX(INDIRECT("'Выгрузка'!A2138:Z2138"),Настройки!$B$13)&amp;"")="",1,IFERROR(--SUBSTITUTE(SUBSTITUTE(TRIM(INDEX(INDIRECT("'Выгрузка'!A2138:Z2138"),Настройки!$B$13)),",","."),".",MID(1/2,2,1)),"")))</f>
        <v/>
      </c>
      <c r="H2138">
        <f>IF(F2138="",0,IF(COUNTIF(Настройки!$B$17:$B$26,F2138)&gt;0,1,IF(COUNTIF(Настройки!$C$17:$C$26,F2138)&gt;0,2,IF(COUNTIF(Настройки!$D$17:$D$26,F2138)&gt;0,3,0))))</f>
        <v/>
      </c>
      <c r="I2138">
        <f>IF(AND(ISNUMBER(A2138),ISNUMBER(B2138)),A2138*1000+B2138,"")</f>
        <v/>
      </c>
      <c r="J2138">
        <f>IF(I2138="","",IF(COUNTIF(I$2:I2138,I2138)=1,MAX(J$1:J2137)+1,""))</f>
        <v/>
      </c>
    </row>
    <row r="2139">
      <c r="A2139">
        <f>IFERROR(--SUBSTITUTE(SUBSTITUTE(TRIM(INDEX(INDIRECT("'Выгрузка'!A2139:Z2139"),Настройки!$B$7)),",","."),".",MID(1/2,2,1)),"")</f>
        <v/>
      </c>
      <c r="B2139">
        <f>IFERROR(--SUBSTITUTE(SUBSTITUTE(TRIM(INDEX(INDIRECT("'Выгрузка'!A2139:Z2139"),Настройки!$B$9)),",","."),".",MID(1/2,2,1)),"")</f>
        <v/>
      </c>
      <c r="C2139">
        <f>TRIM(INDEX(INDIRECT("'Выгрузка'!A2139:Z2139"),Настройки!$B$8)&amp;"")</f>
        <v/>
      </c>
      <c r="D2139">
        <f>IFERROR(--SUBSTITUTE(SUBSTITUTE(TRIM(INDEX(INDIRECT("'Выгрузка'!A2139:Z2139"),Настройки!$B$10)),",","."),".",MID(1/2,2,1)),"")</f>
        <v/>
      </c>
      <c r="E2139">
        <f>IFERROR(--SUBSTITUTE(SUBSTITUTE(TRIM(INDEX(INDIRECT("'Выгрузка'!A2139:Z2139"),Настройки!$B$11)),",","."),".",MID(1/2,2,1)),"")</f>
        <v/>
      </c>
      <c r="F2139">
        <f>TRIM(INDEX(INDIRECT("'Выгрузка'!A2139:Z2139"),Настройки!$B$12)&amp;"")</f>
        <v/>
      </c>
      <c r="G2139">
        <f>IF(F2139="",0,IF(TRIM(INDEX(INDIRECT("'Выгрузка'!A2139:Z2139"),Настройки!$B$13)&amp;"")="",1,IFERROR(--SUBSTITUTE(SUBSTITUTE(TRIM(INDEX(INDIRECT("'Выгрузка'!A2139:Z2139"),Настройки!$B$13)),",","."),".",MID(1/2,2,1)),"")))</f>
        <v/>
      </c>
      <c r="H2139">
        <f>IF(F2139="",0,IF(COUNTIF(Настройки!$B$17:$B$26,F2139)&gt;0,1,IF(COUNTIF(Настройки!$C$17:$C$26,F2139)&gt;0,2,IF(COUNTIF(Настройки!$D$17:$D$26,F2139)&gt;0,3,0))))</f>
        <v/>
      </c>
      <c r="I2139">
        <f>IF(AND(ISNUMBER(A2139),ISNUMBER(B2139)),A2139*1000+B2139,"")</f>
        <v/>
      </c>
      <c r="J2139">
        <f>IF(I2139="","",IF(COUNTIF(I$2:I2139,I2139)=1,MAX(J$1:J2138)+1,""))</f>
        <v/>
      </c>
    </row>
    <row r="2140">
      <c r="A2140">
        <f>IFERROR(--SUBSTITUTE(SUBSTITUTE(TRIM(INDEX(INDIRECT("'Выгрузка'!A2140:Z2140"),Настройки!$B$7)),",","."),".",MID(1/2,2,1)),"")</f>
        <v/>
      </c>
      <c r="B2140">
        <f>IFERROR(--SUBSTITUTE(SUBSTITUTE(TRIM(INDEX(INDIRECT("'Выгрузка'!A2140:Z2140"),Настройки!$B$9)),",","."),".",MID(1/2,2,1)),"")</f>
        <v/>
      </c>
      <c r="C2140">
        <f>TRIM(INDEX(INDIRECT("'Выгрузка'!A2140:Z2140"),Настройки!$B$8)&amp;"")</f>
        <v/>
      </c>
      <c r="D2140">
        <f>IFERROR(--SUBSTITUTE(SUBSTITUTE(TRIM(INDEX(INDIRECT("'Выгрузка'!A2140:Z2140"),Настройки!$B$10)),",","."),".",MID(1/2,2,1)),"")</f>
        <v/>
      </c>
      <c r="E2140">
        <f>IFERROR(--SUBSTITUTE(SUBSTITUTE(TRIM(INDEX(INDIRECT("'Выгрузка'!A2140:Z2140"),Настройки!$B$11)),",","."),".",MID(1/2,2,1)),"")</f>
        <v/>
      </c>
      <c r="F2140">
        <f>TRIM(INDEX(INDIRECT("'Выгрузка'!A2140:Z2140"),Настройки!$B$12)&amp;"")</f>
        <v/>
      </c>
      <c r="G2140">
        <f>IF(F2140="",0,IF(TRIM(INDEX(INDIRECT("'Выгрузка'!A2140:Z2140"),Настройки!$B$13)&amp;"")="",1,IFERROR(--SUBSTITUTE(SUBSTITUTE(TRIM(INDEX(INDIRECT("'Выгрузка'!A2140:Z2140"),Настройки!$B$13)),",","."),".",MID(1/2,2,1)),"")))</f>
        <v/>
      </c>
      <c r="H2140">
        <f>IF(F2140="",0,IF(COUNTIF(Настройки!$B$17:$B$26,F2140)&gt;0,1,IF(COUNTIF(Настройки!$C$17:$C$26,F2140)&gt;0,2,IF(COUNTIF(Настройки!$D$17:$D$26,F2140)&gt;0,3,0))))</f>
        <v/>
      </c>
      <c r="I2140">
        <f>IF(AND(ISNUMBER(A2140),ISNUMBER(B2140)),A2140*1000+B2140,"")</f>
        <v/>
      </c>
      <c r="J2140">
        <f>IF(I2140="","",IF(COUNTIF(I$2:I2140,I2140)=1,MAX(J$1:J2139)+1,""))</f>
        <v/>
      </c>
    </row>
    <row r="2141">
      <c r="A2141">
        <f>IFERROR(--SUBSTITUTE(SUBSTITUTE(TRIM(INDEX(INDIRECT("'Выгрузка'!A2141:Z2141"),Настройки!$B$7)),",","."),".",MID(1/2,2,1)),"")</f>
        <v/>
      </c>
      <c r="B2141">
        <f>IFERROR(--SUBSTITUTE(SUBSTITUTE(TRIM(INDEX(INDIRECT("'Выгрузка'!A2141:Z2141"),Настройки!$B$9)),",","."),".",MID(1/2,2,1)),"")</f>
        <v/>
      </c>
      <c r="C2141">
        <f>TRIM(INDEX(INDIRECT("'Выгрузка'!A2141:Z2141"),Настройки!$B$8)&amp;"")</f>
        <v/>
      </c>
      <c r="D2141">
        <f>IFERROR(--SUBSTITUTE(SUBSTITUTE(TRIM(INDEX(INDIRECT("'Выгрузка'!A2141:Z2141"),Настройки!$B$10)),",","."),".",MID(1/2,2,1)),"")</f>
        <v/>
      </c>
      <c r="E2141">
        <f>IFERROR(--SUBSTITUTE(SUBSTITUTE(TRIM(INDEX(INDIRECT("'Выгрузка'!A2141:Z2141"),Настройки!$B$11)),",","."),".",MID(1/2,2,1)),"")</f>
        <v/>
      </c>
      <c r="F2141">
        <f>TRIM(INDEX(INDIRECT("'Выгрузка'!A2141:Z2141"),Настройки!$B$12)&amp;"")</f>
        <v/>
      </c>
      <c r="G2141">
        <f>IF(F2141="",0,IF(TRIM(INDEX(INDIRECT("'Выгрузка'!A2141:Z2141"),Настройки!$B$13)&amp;"")="",1,IFERROR(--SUBSTITUTE(SUBSTITUTE(TRIM(INDEX(INDIRECT("'Выгрузка'!A2141:Z2141"),Настройки!$B$13)),",","."),".",MID(1/2,2,1)),"")))</f>
        <v/>
      </c>
      <c r="H2141">
        <f>IF(F2141="",0,IF(COUNTIF(Настройки!$B$17:$B$26,F2141)&gt;0,1,IF(COUNTIF(Настройки!$C$17:$C$26,F2141)&gt;0,2,IF(COUNTIF(Настройки!$D$17:$D$26,F2141)&gt;0,3,0))))</f>
        <v/>
      </c>
      <c r="I2141">
        <f>IF(AND(ISNUMBER(A2141),ISNUMBER(B2141)),A2141*1000+B2141,"")</f>
        <v/>
      </c>
      <c r="J2141">
        <f>IF(I2141="","",IF(COUNTIF(I$2:I2141,I2141)=1,MAX(J$1:J2140)+1,""))</f>
        <v/>
      </c>
    </row>
    <row r="2142">
      <c r="A2142">
        <f>IFERROR(--SUBSTITUTE(SUBSTITUTE(TRIM(INDEX(INDIRECT("'Выгрузка'!A2142:Z2142"),Настройки!$B$7)),",","."),".",MID(1/2,2,1)),"")</f>
        <v/>
      </c>
      <c r="B2142">
        <f>IFERROR(--SUBSTITUTE(SUBSTITUTE(TRIM(INDEX(INDIRECT("'Выгрузка'!A2142:Z2142"),Настройки!$B$9)),",","."),".",MID(1/2,2,1)),"")</f>
        <v/>
      </c>
      <c r="C2142">
        <f>TRIM(INDEX(INDIRECT("'Выгрузка'!A2142:Z2142"),Настройки!$B$8)&amp;"")</f>
        <v/>
      </c>
      <c r="D2142">
        <f>IFERROR(--SUBSTITUTE(SUBSTITUTE(TRIM(INDEX(INDIRECT("'Выгрузка'!A2142:Z2142"),Настройки!$B$10)),",","."),".",MID(1/2,2,1)),"")</f>
        <v/>
      </c>
      <c r="E2142">
        <f>IFERROR(--SUBSTITUTE(SUBSTITUTE(TRIM(INDEX(INDIRECT("'Выгрузка'!A2142:Z2142"),Настройки!$B$11)),",","."),".",MID(1/2,2,1)),"")</f>
        <v/>
      </c>
      <c r="F2142">
        <f>TRIM(INDEX(INDIRECT("'Выгрузка'!A2142:Z2142"),Настройки!$B$12)&amp;"")</f>
        <v/>
      </c>
      <c r="G2142">
        <f>IF(F2142="",0,IF(TRIM(INDEX(INDIRECT("'Выгрузка'!A2142:Z2142"),Настройки!$B$13)&amp;"")="",1,IFERROR(--SUBSTITUTE(SUBSTITUTE(TRIM(INDEX(INDIRECT("'Выгрузка'!A2142:Z2142"),Настройки!$B$13)),",","."),".",MID(1/2,2,1)),"")))</f>
        <v/>
      </c>
      <c r="H2142">
        <f>IF(F2142="",0,IF(COUNTIF(Настройки!$B$17:$B$26,F2142)&gt;0,1,IF(COUNTIF(Настройки!$C$17:$C$26,F2142)&gt;0,2,IF(COUNTIF(Настройки!$D$17:$D$26,F2142)&gt;0,3,0))))</f>
        <v/>
      </c>
      <c r="I2142">
        <f>IF(AND(ISNUMBER(A2142),ISNUMBER(B2142)),A2142*1000+B2142,"")</f>
        <v/>
      </c>
      <c r="J2142">
        <f>IF(I2142="","",IF(COUNTIF(I$2:I2142,I2142)=1,MAX(J$1:J2141)+1,""))</f>
        <v/>
      </c>
    </row>
    <row r="2143">
      <c r="A2143">
        <f>IFERROR(--SUBSTITUTE(SUBSTITUTE(TRIM(INDEX(INDIRECT("'Выгрузка'!A2143:Z2143"),Настройки!$B$7)),",","."),".",MID(1/2,2,1)),"")</f>
        <v/>
      </c>
      <c r="B2143">
        <f>IFERROR(--SUBSTITUTE(SUBSTITUTE(TRIM(INDEX(INDIRECT("'Выгрузка'!A2143:Z2143"),Настройки!$B$9)),",","."),".",MID(1/2,2,1)),"")</f>
        <v/>
      </c>
      <c r="C2143">
        <f>TRIM(INDEX(INDIRECT("'Выгрузка'!A2143:Z2143"),Настройки!$B$8)&amp;"")</f>
        <v/>
      </c>
      <c r="D2143">
        <f>IFERROR(--SUBSTITUTE(SUBSTITUTE(TRIM(INDEX(INDIRECT("'Выгрузка'!A2143:Z2143"),Настройки!$B$10)),",","."),".",MID(1/2,2,1)),"")</f>
        <v/>
      </c>
      <c r="E2143">
        <f>IFERROR(--SUBSTITUTE(SUBSTITUTE(TRIM(INDEX(INDIRECT("'Выгрузка'!A2143:Z2143"),Настройки!$B$11)),",","."),".",MID(1/2,2,1)),"")</f>
        <v/>
      </c>
      <c r="F2143">
        <f>TRIM(INDEX(INDIRECT("'Выгрузка'!A2143:Z2143"),Настройки!$B$12)&amp;"")</f>
        <v/>
      </c>
      <c r="G2143">
        <f>IF(F2143="",0,IF(TRIM(INDEX(INDIRECT("'Выгрузка'!A2143:Z2143"),Настройки!$B$13)&amp;"")="",1,IFERROR(--SUBSTITUTE(SUBSTITUTE(TRIM(INDEX(INDIRECT("'Выгрузка'!A2143:Z2143"),Настройки!$B$13)),",","."),".",MID(1/2,2,1)),"")))</f>
        <v/>
      </c>
      <c r="H2143">
        <f>IF(F2143="",0,IF(COUNTIF(Настройки!$B$17:$B$26,F2143)&gt;0,1,IF(COUNTIF(Настройки!$C$17:$C$26,F2143)&gt;0,2,IF(COUNTIF(Настройки!$D$17:$D$26,F2143)&gt;0,3,0))))</f>
        <v/>
      </c>
      <c r="I2143">
        <f>IF(AND(ISNUMBER(A2143),ISNUMBER(B2143)),A2143*1000+B2143,"")</f>
        <v/>
      </c>
      <c r="J2143">
        <f>IF(I2143="","",IF(COUNTIF(I$2:I2143,I2143)=1,MAX(J$1:J2142)+1,""))</f>
        <v/>
      </c>
    </row>
    <row r="2144">
      <c r="A2144">
        <f>IFERROR(--SUBSTITUTE(SUBSTITUTE(TRIM(INDEX(INDIRECT("'Выгрузка'!A2144:Z2144"),Настройки!$B$7)),",","."),".",MID(1/2,2,1)),"")</f>
        <v/>
      </c>
      <c r="B2144">
        <f>IFERROR(--SUBSTITUTE(SUBSTITUTE(TRIM(INDEX(INDIRECT("'Выгрузка'!A2144:Z2144"),Настройки!$B$9)),",","."),".",MID(1/2,2,1)),"")</f>
        <v/>
      </c>
      <c r="C2144">
        <f>TRIM(INDEX(INDIRECT("'Выгрузка'!A2144:Z2144"),Настройки!$B$8)&amp;"")</f>
        <v/>
      </c>
      <c r="D2144">
        <f>IFERROR(--SUBSTITUTE(SUBSTITUTE(TRIM(INDEX(INDIRECT("'Выгрузка'!A2144:Z2144"),Настройки!$B$10)),",","."),".",MID(1/2,2,1)),"")</f>
        <v/>
      </c>
      <c r="E2144">
        <f>IFERROR(--SUBSTITUTE(SUBSTITUTE(TRIM(INDEX(INDIRECT("'Выгрузка'!A2144:Z2144"),Настройки!$B$11)),",","."),".",MID(1/2,2,1)),"")</f>
        <v/>
      </c>
      <c r="F2144">
        <f>TRIM(INDEX(INDIRECT("'Выгрузка'!A2144:Z2144"),Настройки!$B$12)&amp;"")</f>
        <v/>
      </c>
      <c r="G2144">
        <f>IF(F2144="",0,IF(TRIM(INDEX(INDIRECT("'Выгрузка'!A2144:Z2144"),Настройки!$B$13)&amp;"")="",1,IFERROR(--SUBSTITUTE(SUBSTITUTE(TRIM(INDEX(INDIRECT("'Выгрузка'!A2144:Z2144"),Настройки!$B$13)),",","."),".",MID(1/2,2,1)),"")))</f>
        <v/>
      </c>
      <c r="H2144">
        <f>IF(F2144="",0,IF(COUNTIF(Настройки!$B$17:$B$26,F2144)&gt;0,1,IF(COUNTIF(Настройки!$C$17:$C$26,F2144)&gt;0,2,IF(COUNTIF(Настройки!$D$17:$D$26,F2144)&gt;0,3,0))))</f>
        <v/>
      </c>
      <c r="I2144">
        <f>IF(AND(ISNUMBER(A2144),ISNUMBER(B2144)),A2144*1000+B2144,"")</f>
        <v/>
      </c>
      <c r="J2144">
        <f>IF(I2144="","",IF(COUNTIF(I$2:I2144,I2144)=1,MAX(J$1:J2143)+1,""))</f>
        <v/>
      </c>
    </row>
    <row r="2145">
      <c r="A2145">
        <f>IFERROR(--SUBSTITUTE(SUBSTITUTE(TRIM(INDEX(INDIRECT("'Выгрузка'!A2145:Z2145"),Настройки!$B$7)),",","."),".",MID(1/2,2,1)),"")</f>
        <v/>
      </c>
      <c r="B2145">
        <f>IFERROR(--SUBSTITUTE(SUBSTITUTE(TRIM(INDEX(INDIRECT("'Выгрузка'!A2145:Z2145"),Настройки!$B$9)),",","."),".",MID(1/2,2,1)),"")</f>
        <v/>
      </c>
      <c r="C2145">
        <f>TRIM(INDEX(INDIRECT("'Выгрузка'!A2145:Z2145"),Настройки!$B$8)&amp;"")</f>
        <v/>
      </c>
      <c r="D2145">
        <f>IFERROR(--SUBSTITUTE(SUBSTITUTE(TRIM(INDEX(INDIRECT("'Выгрузка'!A2145:Z2145"),Настройки!$B$10)),",","."),".",MID(1/2,2,1)),"")</f>
        <v/>
      </c>
      <c r="E2145">
        <f>IFERROR(--SUBSTITUTE(SUBSTITUTE(TRIM(INDEX(INDIRECT("'Выгрузка'!A2145:Z2145"),Настройки!$B$11)),",","."),".",MID(1/2,2,1)),"")</f>
        <v/>
      </c>
      <c r="F2145">
        <f>TRIM(INDEX(INDIRECT("'Выгрузка'!A2145:Z2145"),Настройки!$B$12)&amp;"")</f>
        <v/>
      </c>
      <c r="G2145">
        <f>IF(F2145="",0,IF(TRIM(INDEX(INDIRECT("'Выгрузка'!A2145:Z2145"),Настройки!$B$13)&amp;"")="",1,IFERROR(--SUBSTITUTE(SUBSTITUTE(TRIM(INDEX(INDIRECT("'Выгрузка'!A2145:Z2145"),Настройки!$B$13)),",","."),".",MID(1/2,2,1)),"")))</f>
        <v/>
      </c>
      <c r="H2145">
        <f>IF(F2145="",0,IF(COUNTIF(Настройки!$B$17:$B$26,F2145)&gt;0,1,IF(COUNTIF(Настройки!$C$17:$C$26,F2145)&gt;0,2,IF(COUNTIF(Настройки!$D$17:$D$26,F2145)&gt;0,3,0))))</f>
        <v/>
      </c>
      <c r="I2145">
        <f>IF(AND(ISNUMBER(A2145),ISNUMBER(B2145)),A2145*1000+B2145,"")</f>
        <v/>
      </c>
      <c r="J2145">
        <f>IF(I2145="","",IF(COUNTIF(I$2:I2145,I2145)=1,MAX(J$1:J2144)+1,""))</f>
        <v/>
      </c>
    </row>
    <row r="2146">
      <c r="A2146">
        <f>IFERROR(--SUBSTITUTE(SUBSTITUTE(TRIM(INDEX(INDIRECT("'Выгрузка'!A2146:Z2146"),Настройки!$B$7)),",","."),".",MID(1/2,2,1)),"")</f>
        <v/>
      </c>
      <c r="B2146">
        <f>IFERROR(--SUBSTITUTE(SUBSTITUTE(TRIM(INDEX(INDIRECT("'Выгрузка'!A2146:Z2146"),Настройки!$B$9)),",","."),".",MID(1/2,2,1)),"")</f>
        <v/>
      </c>
      <c r="C2146">
        <f>TRIM(INDEX(INDIRECT("'Выгрузка'!A2146:Z2146"),Настройки!$B$8)&amp;"")</f>
        <v/>
      </c>
      <c r="D2146">
        <f>IFERROR(--SUBSTITUTE(SUBSTITUTE(TRIM(INDEX(INDIRECT("'Выгрузка'!A2146:Z2146"),Настройки!$B$10)),",","."),".",MID(1/2,2,1)),"")</f>
        <v/>
      </c>
      <c r="E2146">
        <f>IFERROR(--SUBSTITUTE(SUBSTITUTE(TRIM(INDEX(INDIRECT("'Выгрузка'!A2146:Z2146"),Настройки!$B$11)),",","."),".",MID(1/2,2,1)),"")</f>
        <v/>
      </c>
      <c r="F2146">
        <f>TRIM(INDEX(INDIRECT("'Выгрузка'!A2146:Z2146"),Настройки!$B$12)&amp;"")</f>
        <v/>
      </c>
      <c r="G2146">
        <f>IF(F2146="",0,IF(TRIM(INDEX(INDIRECT("'Выгрузка'!A2146:Z2146"),Настройки!$B$13)&amp;"")="",1,IFERROR(--SUBSTITUTE(SUBSTITUTE(TRIM(INDEX(INDIRECT("'Выгрузка'!A2146:Z2146"),Настройки!$B$13)),",","."),".",MID(1/2,2,1)),"")))</f>
        <v/>
      </c>
      <c r="H2146">
        <f>IF(F2146="",0,IF(COUNTIF(Настройки!$B$17:$B$26,F2146)&gt;0,1,IF(COUNTIF(Настройки!$C$17:$C$26,F2146)&gt;0,2,IF(COUNTIF(Настройки!$D$17:$D$26,F2146)&gt;0,3,0))))</f>
        <v/>
      </c>
      <c r="I2146">
        <f>IF(AND(ISNUMBER(A2146),ISNUMBER(B2146)),A2146*1000+B2146,"")</f>
        <v/>
      </c>
      <c r="J2146">
        <f>IF(I2146="","",IF(COUNTIF(I$2:I2146,I2146)=1,MAX(J$1:J2145)+1,""))</f>
        <v/>
      </c>
    </row>
    <row r="2147">
      <c r="A2147">
        <f>IFERROR(--SUBSTITUTE(SUBSTITUTE(TRIM(INDEX(INDIRECT("'Выгрузка'!A2147:Z2147"),Настройки!$B$7)),",","."),".",MID(1/2,2,1)),"")</f>
        <v/>
      </c>
      <c r="B2147">
        <f>IFERROR(--SUBSTITUTE(SUBSTITUTE(TRIM(INDEX(INDIRECT("'Выгрузка'!A2147:Z2147"),Настройки!$B$9)),",","."),".",MID(1/2,2,1)),"")</f>
        <v/>
      </c>
      <c r="C2147">
        <f>TRIM(INDEX(INDIRECT("'Выгрузка'!A2147:Z2147"),Настройки!$B$8)&amp;"")</f>
        <v/>
      </c>
      <c r="D2147">
        <f>IFERROR(--SUBSTITUTE(SUBSTITUTE(TRIM(INDEX(INDIRECT("'Выгрузка'!A2147:Z2147"),Настройки!$B$10)),",","."),".",MID(1/2,2,1)),"")</f>
        <v/>
      </c>
      <c r="E2147">
        <f>IFERROR(--SUBSTITUTE(SUBSTITUTE(TRIM(INDEX(INDIRECT("'Выгрузка'!A2147:Z2147"),Настройки!$B$11)),",","."),".",MID(1/2,2,1)),"")</f>
        <v/>
      </c>
      <c r="F2147">
        <f>TRIM(INDEX(INDIRECT("'Выгрузка'!A2147:Z2147"),Настройки!$B$12)&amp;"")</f>
        <v/>
      </c>
      <c r="G2147">
        <f>IF(F2147="",0,IF(TRIM(INDEX(INDIRECT("'Выгрузка'!A2147:Z2147"),Настройки!$B$13)&amp;"")="",1,IFERROR(--SUBSTITUTE(SUBSTITUTE(TRIM(INDEX(INDIRECT("'Выгрузка'!A2147:Z2147"),Настройки!$B$13)),",","."),".",MID(1/2,2,1)),"")))</f>
        <v/>
      </c>
      <c r="H2147">
        <f>IF(F2147="",0,IF(COUNTIF(Настройки!$B$17:$B$26,F2147)&gt;0,1,IF(COUNTIF(Настройки!$C$17:$C$26,F2147)&gt;0,2,IF(COUNTIF(Настройки!$D$17:$D$26,F2147)&gt;0,3,0))))</f>
        <v/>
      </c>
      <c r="I2147">
        <f>IF(AND(ISNUMBER(A2147),ISNUMBER(B2147)),A2147*1000+B2147,"")</f>
        <v/>
      </c>
      <c r="J2147">
        <f>IF(I2147="","",IF(COUNTIF(I$2:I2147,I2147)=1,MAX(J$1:J2146)+1,""))</f>
        <v/>
      </c>
    </row>
    <row r="2148">
      <c r="A2148">
        <f>IFERROR(--SUBSTITUTE(SUBSTITUTE(TRIM(INDEX(INDIRECT("'Выгрузка'!A2148:Z2148"),Настройки!$B$7)),",","."),".",MID(1/2,2,1)),"")</f>
        <v/>
      </c>
      <c r="B2148">
        <f>IFERROR(--SUBSTITUTE(SUBSTITUTE(TRIM(INDEX(INDIRECT("'Выгрузка'!A2148:Z2148"),Настройки!$B$9)),",","."),".",MID(1/2,2,1)),"")</f>
        <v/>
      </c>
      <c r="C2148">
        <f>TRIM(INDEX(INDIRECT("'Выгрузка'!A2148:Z2148"),Настройки!$B$8)&amp;"")</f>
        <v/>
      </c>
      <c r="D2148">
        <f>IFERROR(--SUBSTITUTE(SUBSTITUTE(TRIM(INDEX(INDIRECT("'Выгрузка'!A2148:Z2148"),Настройки!$B$10)),",","."),".",MID(1/2,2,1)),"")</f>
        <v/>
      </c>
      <c r="E2148">
        <f>IFERROR(--SUBSTITUTE(SUBSTITUTE(TRIM(INDEX(INDIRECT("'Выгрузка'!A2148:Z2148"),Настройки!$B$11)),",","."),".",MID(1/2,2,1)),"")</f>
        <v/>
      </c>
      <c r="F2148">
        <f>TRIM(INDEX(INDIRECT("'Выгрузка'!A2148:Z2148"),Настройки!$B$12)&amp;"")</f>
        <v/>
      </c>
      <c r="G2148">
        <f>IF(F2148="",0,IF(TRIM(INDEX(INDIRECT("'Выгрузка'!A2148:Z2148"),Настройки!$B$13)&amp;"")="",1,IFERROR(--SUBSTITUTE(SUBSTITUTE(TRIM(INDEX(INDIRECT("'Выгрузка'!A2148:Z2148"),Настройки!$B$13)),",","."),".",MID(1/2,2,1)),"")))</f>
        <v/>
      </c>
      <c r="H2148">
        <f>IF(F2148="",0,IF(COUNTIF(Настройки!$B$17:$B$26,F2148)&gt;0,1,IF(COUNTIF(Настройки!$C$17:$C$26,F2148)&gt;0,2,IF(COUNTIF(Настройки!$D$17:$D$26,F2148)&gt;0,3,0))))</f>
        <v/>
      </c>
      <c r="I2148">
        <f>IF(AND(ISNUMBER(A2148),ISNUMBER(B2148)),A2148*1000+B2148,"")</f>
        <v/>
      </c>
      <c r="J2148">
        <f>IF(I2148="","",IF(COUNTIF(I$2:I2148,I2148)=1,MAX(J$1:J2147)+1,""))</f>
        <v/>
      </c>
    </row>
    <row r="2149">
      <c r="A2149">
        <f>IFERROR(--SUBSTITUTE(SUBSTITUTE(TRIM(INDEX(INDIRECT("'Выгрузка'!A2149:Z2149"),Настройки!$B$7)),",","."),".",MID(1/2,2,1)),"")</f>
        <v/>
      </c>
      <c r="B2149">
        <f>IFERROR(--SUBSTITUTE(SUBSTITUTE(TRIM(INDEX(INDIRECT("'Выгрузка'!A2149:Z2149"),Настройки!$B$9)),",","."),".",MID(1/2,2,1)),"")</f>
        <v/>
      </c>
      <c r="C2149">
        <f>TRIM(INDEX(INDIRECT("'Выгрузка'!A2149:Z2149"),Настройки!$B$8)&amp;"")</f>
        <v/>
      </c>
      <c r="D2149">
        <f>IFERROR(--SUBSTITUTE(SUBSTITUTE(TRIM(INDEX(INDIRECT("'Выгрузка'!A2149:Z2149"),Настройки!$B$10)),",","."),".",MID(1/2,2,1)),"")</f>
        <v/>
      </c>
      <c r="E2149">
        <f>IFERROR(--SUBSTITUTE(SUBSTITUTE(TRIM(INDEX(INDIRECT("'Выгрузка'!A2149:Z2149"),Настройки!$B$11)),",","."),".",MID(1/2,2,1)),"")</f>
        <v/>
      </c>
      <c r="F2149">
        <f>TRIM(INDEX(INDIRECT("'Выгрузка'!A2149:Z2149"),Настройки!$B$12)&amp;"")</f>
        <v/>
      </c>
      <c r="G2149">
        <f>IF(F2149="",0,IF(TRIM(INDEX(INDIRECT("'Выгрузка'!A2149:Z2149"),Настройки!$B$13)&amp;"")="",1,IFERROR(--SUBSTITUTE(SUBSTITUTE(TRIM(INDEX(INDIRECT("'Выгрузка'!A2149:Z2149"),Настройки!$B$13)),",","."),".",MID(1/2,2,1)),"")))</f>
        <v/>
      </c>
      <c r="H2149">
        <f>IF(F2149="",0,IF(COUNTIF(Настройки!$B$17:$B$26,F2149)&gt;0,1,IF(COUNTIF(Настройки!$C$17:$C$26,F2149)&gt;0,2,IF(COUNTIF(Настройки!$D$17:$D$26,F2149)&gt;0,3,0))))</f>
        <v/>
      </c>
      <c r="I2149">
        <f>IF(AND(ISNUMBER(A2149),ISNUMBER(B2149)),A2149*1000+B2149,"")</f>
        <v/>
      </c>
      <c r="J2149">
        <f>IF(I2149="","",IF(COUNTIF(I$2:I2149,I2149)=1,MAX(J$1:J2148)+1,""))</f>
        <v/>
      </c>
    </row>
    <row r="2150">
      <c r="A2150">
        <f>IFERROR(--SUBSTITUTE(SUBSTITUTE(TRIM(INDEX(INDIRECT("'Выгрузка'!A2150:Z2150"),Настройки!$B$7)),",","."),".",MID(1/2,2,1)),"")</f>
        <v/>
      </c>
      <c r="B2150">
        <f>IFERROR(--SUBSTITUTE(SUBSTITUTE(TRIM(INDEX(INDIRECT("'Выгрузка'!A2150:Z2150"),Настройки!$B$9)),",","."),".",MID(1/2,2,1)),"")</f>
        <v/>
      </c>
      <c r="C2150">
        <f>TRIM(INDEX(INDIRECT("'Выгрузка'!A2150:Z2150"),Настройки!$B$8)&amp;"")</f>
        <v/>
      </c>
      <c r="D2150">
        <f>IFERROR(--SUBSTITUTE(SUBSTITUTE(TRIM(INDEX(INDIRECT("'Выгрузка'!A2150:Z2150"),Настройки!$B$10)),",","."),".",MID(1/2,2,1)),"")</f>
        <v/>
      </c>
      <c r="E2150">
        <f>IFERROR(--SUBSTITUTE(SUBSTITUTE(TRIM(INDEX(INDIRECT("'Выгрузка'!A2150:Z2150"),Настройки!$B$11)),",","."),".",MID(1/2,2,1)),"")</f>
        <v/>
      </c>
      <c r="F2150">
        <f>TRIM(INDEX(INDIRECT("'Выгрузка'!A2150:Z2150"),Настройки!$B$12)&amp;"")</f>
        <v/>
      </c>
      <c r="G2150">
        <f>IF(F2150="",0,IF(TRIM(INDEX(INDIRECT("'Выгрузка'!A2150:Z2150"),Настройки!$B$13)&amp;"")="",1,IFERROR(--SUBSTITUTE(SUBSTITUTE(TRIM(INDEX(INDIRECT("'Выгрузка'!A2150:Z2150"),Настройки!$B$13)),",","."),".",MID(1/2,2,1)),"")))</f>
        <v/>
      </c>
      <c r="H2150">
        <f>IF(F2150="",0,IF(COUNTIF(Настройки!$B$17:$B$26,F2150)&gt;0,1,IF(COUNTIF(Настройки!$C$17:$C$26,F2150)&gt;0,2,IF(COUNTIF(Настройки!$D$17:$D$26,F2150)&gt;0,3,0))))</f>
        <v/>
      </c>
      <c r="I2150">
        <f>IF(AND(ISNUMBER(A2150),ISNUMBER(B2150)),A2150*1000+B2150,"")</f>
        <v/>
      </c>
      <c r="J2150">
        <f>IF(I2150="","",IF(COUNTIF(I$2:I2150,I2150)=1,MAX(J$1:J2149)+1,""))</f>
        <v/>
      </c>
    </row>
    <row r="2151">
      <c r="A2151">
        <f>IFERROR(--SUBSTITUTE(SUBSTITUTE(TRIM(INDEX(INDIRECT("'Выгрузка'!A2151:Z2151"),Настройки!$B$7)),",","."),".",MID(1/2,2,1)),"")</f>
        <v/>
      </c>
      <c r="B2151">
        <f>IFERROR(--SUBSTITUTE(SUBSTITUTE(TRIM(INDEX(INDIRECT("'Выгрузка'!A2151:Z2151"),Настройки!$B$9)),",","."),".",MID(1/2,2,1)),"")</f>
        <v/>
      </c>
      <c r="C2151">
        <f>TRIM(INDEX(INDIRECT("'Выгрузка'!A2151:Z2151"),Настройки!$B$8)&amp;"")</f>
        <v/>
      </c>
      <c r="D2151">
        <f>IFERROR(--SUBSTITUTE(SUBSTITUTE(TRIM(INDEX(INDIRECT("'Выгрузка'!A2151:Z2151"),Настройки!$B$10)),",","."),".",MID(1/2,2,1)),"")</f>
        <v/>
      </c>
      <c r="E2151">
        <f>IFERROR(--SUBSTITUTE(SUBSTITUTE(TRIM(INDEX(INDIRECT("'Выгрузка'!A2151:Z2151"),Настройки!$B$11)),",","."),".",MID(1/2,2,1)),"")</f>
        <v/>
      </c>
      <c r="F2151">
        <f>TRIM(INDEX(INDIRECT("'Выгрузка'!A2151:Z2151"),Настройки!$B$12)&amp;"")</f>
        <v/>
      </c>
      <c r="G2151">
        <f>IF(F2151="",0,IF(TRIM(INDEX(INDIRECT("'Выгрузка'!A2151:Z2151"),Настройки!$B$13)&amp;"")="",1,IFERROR(--SUBSTITUTE(SUBSTITUTE(TRIM(INDEX(INDIRECT("'Выгрузка'!A2151:Z2151"),Настройки!$B$13)),",","."),".",MID(1/2,2,1)),"")))</f>
        <v/>
      </c>
      <c r="H2151">
        <f>IF(F2151="",0,IF(COUNTIF(Настройки!$B$17:$B$26,F2151)&gt;0,1,IF(COUNTIF(Настройки!$C$17:$C$26,F2151)&gt;0,2,IF(COUNTIF(Настройки!$D$17:$D$26,F2151)&gt;0,3,0))))</f>
        <v/>
      </c>
      <c r="I2151">
        <f>IF(AND(ISNUMBER(A2151),ISNUMBER(B2151)),A2151*1000+B2151,"")</f>
        <v/>
      </c>
      <c r="J2151">
        <f>IF(I2151="","",IF(COUNTIF(I$2:I2151,I2151)=1,MAX(J$1:J2150)+1,""))</f>
        <v/>
      </c>
    </row>
    <row r="2152">
      <c r="A2152">
        <f>IFERROR(--SUBSTITUTE(SUBSTITUTE(TRIM(INDEX(INDIRECT("'Выгрузка'!A2152:Z2152"),Настройки!$B$7)),",","."),".",MID(1/2,2,1)),"")</f>
        <v/>
      </c>
      <c r="B2152">
        <f>IFERROR(--SUBSTITUTE(SUBSTITUTE(TRIM(INDEX(INDIRECT("'Выгрузка'!A2152:Z2152"),Настройки!$B$9)),",","."),".",MID(1/2,2,1)),"")</f>
        <v/>
      </c>
      <c r="C2152">
        <f>TRIM(INDEX(INDIRECT("'Выгрузка'!A2152:Z2152"),Настройки!$B$8)&amp;"")</f>
        <v/>
      </c>
      <c r="D2152">
        <f>IFERROR(--SUBSTITUTE(SUBSTITUTE(TRIM(INDEX(INDIRECT("'Выгрузка'!A2152:Z2152"),Настройки!$B$10)),",","."),".",MID(1/2,2,1)),"")</f>
        <v/>
      </c>
      <c r="E2152">
        <f>IFERROR(--SUBSTITUTE(SUBSTITUTE(TRIM(INDEX(INDIRECT("'Выгрузка'!A2152:Z2152"),Настройки!$B$11)),",","."),".",MID(1/2,2,1)),"")</f>
        <v/>
      </c>
      <c r="F2152">
        <f>TRIM(INDEX(INDIRECT("'Выгрузка'!A2152:Z2152"),Настройки!$B$12)&amp;"")</f>
        <v/>
      </c>
      <c r="G2152">
        <f>IF(F2152="",0,IF(TRIM(INDEX(INDIRECT("'Выгрузка'!A2152:Z2152"),Настройки!$B$13)&amp;"")="",1,IFERROR(--SUBSTITUTE(SUBSTITUTE(TRIM(INDEX(INDIRECT("'Выгрузка'!A2152:Z2152"),Настройки!$B$13)),",","."),".",MID(1/2,2,1)),"")))</f>
        <v/>
      </c>
      <c r="H2152">
        <f>IF(F2152="",0,IF(COUNTIF(Настройки!$B$17:$B$26,F2152)&gt;0,1,IF(COUNTIF(Настройки!$C$17:$C$26,F2152)&gt;0,2,IF(COUNTIF(Настройки!$D$17:$D$26,F2152)&gt;0,3,0))))</f>
        <v/>
      </c>
      <c r="I2152">
        <f>IF(AND(ISNUMBER(A2152),ISNUMBER(B2152)),A2152*1000+B2152,"")</f>
        <v/>
      </c>
      <c r="J2152">
        <f>IF(I2152="","",IF(COUNTIF(I$2:I2152,I2152)=1,MAX(J$1:J2151)+1,""))</f>
        <v/>
      </c>
    </row>
    <row r="2153">
      <c r="A2153">
        <f>IFERROR(--SUBSTITUTE(SUBSTITUTE(TRIM(INDEX(INDIRECT("'Выгрузка'!A2153:Z2153"),Настройки!$B$7)),",","."),".",MID(1/2,2,1)),"")</f>
        <v/>
      </c>
      <c r="B2153">
        <f>IFERROR(--SUBSTITUTE(SUBSTITUTE(TRIM(INDEX(INDIRECT("'Выгрузка'!A2153:Z2153"),Настройки!$B$9)),",","."),".",MID(1/2,2,1)),"")</f>
        <v/>
      </c>
      <c r="C2153">
        <f>TRIM(INDEX(INDIRECT("'Выгрузка'!A2153:Z2153"),Настройки!$B$8)&amp;"")</f>
        <v/>
      </c>
      <c r="D2153">
        <f>IFERROR(--SUBSTITUTE(SUBSTITUTE(TRIM(INDEX(INDIRECT("'Выгрузка'!A2153:Z2153"),Настройки!$B$10)),",","."),".",MID(1/2,2,1)),"")</f>
        <v/>
      </c>
      <c r="E2153">
        <f>IFERROR(--SUBSTITUTE(SUBSTITUTE(TRIM(INDEX(INDIRECT("'Выгрузка'!A2153:Z2153"),Настройки!$B$11)),",","."),".",MID(1/2,2,1)),"")</f>
        <v/>
      </c>
      <c r="F2153">
        <f>TRIM(INDEX(INDIRECT("'Выгрузка'!A2153:Z2153"),Настройки!$B$12)&amp;"")</f>
        <v/>
      </c>
      <c r="G2153">
        <f>IF(F2153="",0,IF(TRIM(INDEX(INDIRECT("'Выгрузка'!A2153:Z2153"),Настройки!$B$13)&amp;"")="",1,IFERROR(--SUBSTITUTE(SUBSTITUTE(TRIM(INDEX(INDIRECT("'Выгрузка'!A2153:Z2153"),Настройки!$B$13)),",","."),".",MID(1/2,2,1)),"")))</f>
        <v/>
      </c>
      <c r="H2153">
        <f>IF(F2153="",0,IF(COUNTIF(Настройки!$B$17:$B$26,F2153)&gt;0,1,IF(COUNTIF(Настройки!$C$17:$C$26,F2153)&gt;0,2,IF(COUNTIF(Настройки!$D$17:$D$26,F2153)&gt;0,3,0))))</f>
        <v/>
      </c>
      <c r="I2153">
        <f>IF(AND(ISNUMBER(A2153),ISNUMBER(B2153)),A2153*1000+B2153,"")</f>
        <v/>
      </c>
      <c r="J2153">
        <f>IF(I2153="","",IF(COUNTIF(I$2:I2153,I2153)=1,MAX(J$1:J2152)+1,""))</f>
        <v/>
      </c>
    </row>
    <row r="2154">
      <c r="A2154">
        <f>IFERROR(--SUBSTITUTE(SUBSTITUTE(TRIM(INDEX(INDIRECT("'Выгрузка'!A2154:Z2154"),Настройки!$B$7)),",","."),".",MID(1/2,2,1)),"")</f>
        <v/>
      </c>
      <c r="B2154">
        <f>IFERROR(--SUBSTITUTE(SUBSTITUTE(TRIM(INDEX(INDIRECT("'Выгрузка'!A2154:Z2154"),Настройки!$B$9)),",","."),".",MID(1/2,2,1)),"")</f>
        <v/>
      </c>
      <c r="C2154">
        <f>TRIM(INDEX(INDIRECT("'Выгрузка'!A2154:Z2154"),Настройки!$B$8)&amp;"")</f>
        <v/>
      </c>
      <c r="D2154">
        <f>IFERROR(--SUBSTITUTE(SUBSTITUTE(TRIM(INDEX(INDIRECT("'Выгрузка'!A2154:Z2154"),Настройки!$B$10)),",","."),".",MID(1/2,2,1)),"")</f>
        <v/>
      </c>
      <c r="E2154">
        <f>IFERROR(--SUBSTITUTE(SUBSTITUTE(TRIM(INDEX(INDIRECT("'Выгрузка'!A2154:Z2154"),Настройки!$B$11)),",","."),".",MID(1/2,2,1)),"")</f>
        <v/>
      </c>
      <c r="F2154">
        <f>TRIM(INDEX(INDIRECT("'Выгрузка'!A2154:Z2154"),Настройки!$B$12)&amp;"")</f>
        <v/>
      </c>
      <c r="G2154">
        <f>IF(F2154="",0,IF(TRIM(INDEX(INDIRECT("'Выгрузка'!A2154:Z2154"),Настройки!$B$13)&amp;"")="",1,IFERROR(--SUBSTITUTE(SUBSTITUTE(TRIM(INDEX(INDIRECT("'Выгрузка'!A2154:Z2154"),Настройки!$B$13)),",","."),".",MID(1/2,2,1)),"")))</f>
        <v/>
      </c>
      <c r="H2154">
        <f>IF(F2154="",0,IF(COUNTIF(Настройки!$B$17:$B$26,F2154)&gt;0,1,IF(COUNTIF(Настройки!$C$17:$C$26,F2154)&gt;0,2,IF(COUNTIF(Настройки!$D$17:$D$26,F2154)&gt;0,3,0))))</f>
        <v/>
      </c>
      <c r="I2154">
        <f>IF(AND(ISNUMBER(A2154),ISNUMBER(B2154)),A2154*1000+B2154,"")</f>
        <v/>
      </c>
      <c r="J2154">
        <f>IF(I2154="","",IF(COUNTIF(I$2:I2154,I2154)=1,MAX(J$1:J2153)+1,""))</f>
        <v/>
      </c>
    </row>
    <row r="2155">
      <c r="A2155">
        <f>IFERROR(--SUBSTITUTE(SUBSTITUTE(TRIM(INDEX(INDIRECT("'Выгрузка'!A2155:Z2155"),Настройки!$B$7)),",","."),".",MID(1/2,2,1)),"")</f>
        <v/>
      </c>
      <c r="B2155">
        <f>IFERROR(--SUBSTITUTE(SUBSTITUTE(TRIM(INDEX(INDIRECT("'Выгрузка'!A2155:Z2155"),Настройки!$B$9)),",","."),".",MID(1/2,2,1)),"")</f>
        <v/>
      </c>
      <c r="C2155">
        <f>TRIM(INDEX(INDIRECT("'Выгрузка'!A2155:Z2155"),Настройки!$B$8)&amp;"")</f>
        <v/>
      </c>
      <c r="D2155">
        <f>IFERROR(--SUBSTITUTE(SUBSTITUTE(TRIM(INDEX(INDIRECT("'Выгрузка'!A2155:Z2155"),Настройки!$B$10)),",","."),".",MID(1/2,2,1)),"")</f>
        <v/>
      </c>
      <c r="E2155">
        <f>IFERROR(--SUBSTITUTE(SUBSTITUTE(TRIM(INDEX(INDIRECT("'Выгрузка'!A2155:Z2155"),Настройки!$B$11)),",","."),".",MID(1/2,2,1)),"")</f>
        <v/>
      </c>
      <c r="F2155">
        <f>TRIM(INDEX(INDIRECT("'Выгрузка'!A2155:Z2155"),Настройки!$B$12)&amp;"")</f>
        <v/>
      </c>
      <c r="G2155">
        <f>IF(F2155="",0,IF(TRIM(INDEX(INDIRECT("'Выгрузка'!A2155:Z2155"),Настройки!$B$13)&amp;"")="",1,IFERROR(--SUBSTITUTE(SUBSTITUTE(TRIM(INDEX(INDIRECT("'Выгрузка'!A2155:Z2155"),Настройки!$B$13)),",","."),".",MID(1/2,2,1)),"")))</f>
        <v/>
      </c>
      <c r="H2155">
        <f>IF(F2155="",0,IF(COUNTIF(Настройки!$B$17:$B$26,F2155)&gt;0,1,IF(COUNTIF(Настройки!$C$17:$C$26,F2155)&gt;0,2,IF(COUNTIF(Настройки!$D$17:$D$26,F2155)&gt;0,3,0))))</f>
        <v/>
      </c>
      <c r="I2155">
        <f>IF(AND(ISNUMBER(A2155),ISNUMBER(B2155)),A2155*1000+B2155,"")</f>
        <v/>
      </c>
      <c r="J2155">
        <f>IF(I2155="","",IF(COUNTIF(I$2:I2155,I2155)=1,MAX(J$1:J2154)+1,""))</f>
        <v/>
      </c>
    </row>
    <row r="2156">
      <c r="A2156">
        <f>IFERROR(--SUBSTITUTE(SUBSTITUTE(TRIM(INDEX(INDIRECT("'Выгрузка'!A2156:Z2156"),Настройки!$B$7)),",","."),".",MID(1/2,2,1)),"")</f>
        <v/>
      </c>
      <c r="B2156">
        <f>IFERROR(--SUBSTITUTE(SUBSTITUTE(TRIM(INDEX(INDIRECT("'Выгрузка'!A2156:Z2156"),Настройки!$B$9)),",","."),".",MID(1/2,2,1)),"")</f>
        <v/>
      </c>
      <c r="C2156">
        <f>TRIM(INDEX(INDIRECT("'Выгрузка'!A2156:Z2156"),Настройки!$B$8)&amp;"")</f>
        <v/>
      </c>
      <c r="D2156">
        <f>IFERROR(--SUBSTITUTE(SUBSTITUTE(TRIM(INDEX(INDIRECT("'Выгрузка'!A2156:Z2156"),Настройки!$B$10)),",","."),".",MID(1/2,2,1)),"")</f>
        <v/>
      </c>
      <c r="E2156">
        <f>IFERROR(--SUBSTITUTE(SUBSTITUTE(TRIM(INDEX(INDIRECT("'Выгрузка'!A2156:Z2156"),Настройки!$B$11)),",","."),".",MID(1/2,2,1)),"")</f>
        <v/>
      </c>
      <c r="F2156">
        <f>TRIM(INDEX(INDIRECT("'Выгрузка'!A2156:Z2156"),Настройки!$B$12)&amp;"")</f>
        <v/>
      </c>
      <c r="G2156">
        <f>IF(F2156="",0,IF(TRIM(INDEX(INDIRECT("'Выгрузка'!A2156:Z2156"),Настройки!$B$13)&amp;"")="",1,IFERROR(--SUBSTITUTE(SUBSTITUTE(TRIM(INDEX(INDIRECT("'Выгрузка'!A2156:Z2156"),Настройки!$B$13)),",","."),".",MID(1/2,2,1)),"")))</f>
        <v/>
      </c>
      <c r="H2156">
        <f>IF(F2156="",0,IF(COUNTIF(Настройки!$B$17:$B$26,F2156)&gt;0,1,IF(COUNTIF(Настройки!$C$17:$C$26,F2156)&gt;0,2,IF(COUNTIF(Настройки!$D$17:$D$26,F2156)&gt;0,3,0))))</f>
        <v/>
      </c>
      <c r="I2156">
        <f>IF(AND(ISNUMBER(A2156),ISNUMBER(B2156)),A2156*1000+B2156,"")</f>
        <v/>
      </c>
      <c r="J2156">
        <f>IF(I2156="","",IF(COUNTIF(I$2:I2156,I2156)=1,MAX(J$1:J2155)+1,""))</f>
        <v/>
      </c>
    </row>
    <row r="2157">
      <c r="A2157">
        <f>IFERROR(--SUBSTITUTE(SUBSTITUTE(TRIM(INDEX(INDIRECT("'Выгрузка'!A2157:Z2157"),Настройки!$B$7)),",","."),".",MID(1/2,2,1)),"")</f>
        <v/>
      </c>
      <c r="B2157">
        <f>IFERROR(--SUBSTITUTE(SUBSTITUTE(TRIM(INDEX(INDIRECT("'Выгрузка'!A2157:Z2157"),Настройки!$B$9)),",","."),".",MID(1/2,2,1)),"")</f>
        <v/>
      </c>
      <c r="C2157">
        <f>TRIM(INDEX(INDIRECT("'Выгрузка'!A2157:Z2157"),Настройки!$B$8)&amp;"")</f>
        <v/>
      </c>
      <c r="D2157">
        <f>IFERROR(--SUBSTITUTE(SUBSTITUTE(TRIM(INDEX(INDIRECT("'Выгрузка'!A2157:Z2157"),Настройки!$B$10)),",","."),".",MID(1/2,2,1)),"")</f>
        <v/>
      </c>
      <c r="E2157">
        <f>IFERROR(--SUBSTITUTE(SUBSTITUTE(TRIM(INDEX(INDIRECT("'Выгрузка'!A2157:Z2157"),Настройки!$B$11)),",","."),".",MID(1/2,2,1)),"")</f>
        <v/>
      </c>
      <c r="F2157">
        <f>TRIM(INDEX(INDIRECT("'Выгрузка'!A2157:Z2157"),Настройки!$B$12)&amp;"")</f>
        <v/>
      </c>
      <c r="G2157">
        <f>IF(F2157="",0,IF(TRIM(INDEX(INDIRECT("'Выгрузка'!A2157:Z2157"),Настройки!$B$13)&amp;"")="",1,IFERROR(--SUBSTITUTE(SUBSTITUTE(TRIM(INDEX(INDIRECT("'Выгрузка'!A2157:Z2157"),Настройки!$B$13)),",","."),".",MID(1/2,2,1)),"")))</f>
        <v/>
      </c>
      <c r="H2157">
        <f>IF(F2157="",0,IF(COUNTIF(Настройки!$B$17:$B$26,F2157)&gt;0,1,IF(COUNTIF(Настройки!$C$17:$C$26,F2157)&gt;0,2,IF(COUNTIF(Настройки!$D$17:$D$26,F2157)&gt;0,3,0))))</f>
        <v/>
      </c>
      <c r="I2157">
        <f>IF(AND(ISNUMBER(A2157),ISNUMBER(B2157)),A2157*1000+B2157,"")</f>
        <v/>
      </c>
      <c r="J2157">
        <f>IF(I2157="","",IF(COUNTIF(I$2:I2157,I2157)=1,MAX(J$1:J2156)+1,""))</f>
        <v/>
      </c>
    </row>
    <row r="2158">
      <c r="A2158">
        <f>IFERROR(--SUBSTITUTE(SUBSTITUTE(TRIM(INDEX(INDIRECT("'Выгрузка'!A2158:Z2158"),Настройки!$B$7)),",","."),".",MID(1/2,2,1)),"")</f>
        <v/>
      </c>
      <c r="B2158">
        <f>IFERROR(--SUBSTITUTE(SUBSTITUTE(TRIM(INDEX(INDIRECT("'Выгрузка'!A2158:Z2158"),Настройки!$B$9)),",","."),".",MID(1/2,2,1)),"")</f>
        <v/>
      </c>
      <c r="C2158">
        <f>TRIM(INDEX(INDIRECT("'Выгрузка'!A2158:Z2158"),Настройки!$B$8)&amp;"")</f>
        <v/>
      </c>
      <c r="D2158">
        <f>IFERROR(--SUBSTITUTE(SUBSTITUTE(TRIM(INDEX(INDIRECT("'Выгрузка'!A2158:Z2158"),Настройки!$B$10)),",","."),".",MID(1/2,2,1)),"")</f>
        <v/>
      </c>
      <c r="E2158">
        <f>IFERROR(--SUBSTITUTE(SUBSTITUTE(TRIM(INDEX(INDIRECT("'Выгрузка'!A2158:Z2158"),Настройки!$B$11)),",","."),".",MID(1/2,2,1)),"")</f>
        <v/>
      </c>
      <c r="F2158">
        <f>TRIM(INDEX(INDIRECT("'Выгрузка'!A2158:Z2158"),Настройки!$B$12)&amp;"")</f>
        <v/>
      </c>
      <c r="G2158">
        <f>IF(F2158="",0,IF(TRIM(INDEX(INDIRECT("'Выгрузка'!A2158:Z2158"),Настройки!$B$13)&amp;"")="",1,IFERROR(--SUBSTITUTE(SUBSTITUTE(TRIM(INDEX(INDIRECT("'Выгрузка'!A2158:Z2158"),Настройки!$B$13)),",","."),".",MID(1/2,2,1)),"")))</f>
        <v/>
      </c>
      <c r="H2158">
        <f>IF(F2158="",0,IF(COUNTIF(Настройки!$B$17:$B$26,F2158)&gt;0,1,IF(COUNTIF(Настройки!$C$17:$C$26,F2158)&gt;0,2,IF(COUNTIF(Настройки!$D$17:$D$26,F2158)&gt;0,3,0))))</f>
        <v/>
      </c>
      <c r="I2158">
        <f>IF(AND(ISNUMBER(A2158),ISNUMBER(B2158)),A2158*1000+B2158,"")</f>
        <v/>
      </c>
      <c r="J2158">
        <f>IF(I2158="","",IF(COUNTIF(I$2:I2158,I2158)=1,MAX(J$1:J2157)+1,""))</f>
        <v/>
      </c>
    </row>
    <row r="2159">
      <c r="A2159">
        <f>IFERROR(--SUBSTITUTE(SUBSTITUTE(TRIM(INDEX(INDIRECT("'Выгрузка'!A2159:Z2159"),Настройки!$B$7)),",","."),".",MID(1/2,2,1)),"")</f>
        <v/>
      </c>
      <c r="B2159">
        <f>IFERROR(--SUBSTITUTE(SUBSTITUTE(TRIM(INDEX(INDIRECT("'Выгрузка'!A2159:Z2159"),Настройки!$B$9)),",","."),".",MID(1/2,2,1)),"")</f>
        <v/>
      </c>
      <c r="C2159">
        <f>TRIM(INDEX(INDIRECT("'Выгрузка'!A2159:Z2159"),Настройки!$B$8)&amp;"")</f>
        <v/>
      </c>
      <c r="D2159">
        <f>IFERROR(--SUBSTITUTE(SUBSTITUTE(TRIM(INDEX(INDIRECT("'Выгрузка'!A2159:Z2159"),Настройки!$B$10)),",","."),".",MID(1/2,2,1)),"")</f>
        <v/>
      </c>
      <c r="E2159">
        <f>IFERROR(--SUBSTITUTE(SUBSTITUTE(TRIM(INDEX(INDIRECT("'Выгрузка'!A2159:Z2159"),Настройки!$B$11)),",","."),".",MID(1/2,2,1)),"")</f>
        <v/>
      </c>
      <c r="F2159">
        <f>TRIM(INDEX(INDIRECT("'Выгрузка'!A2159:Z2159"),Настройки!$B$12)&amp;"")</f>
        <v/>
      </c>
      <c r="G2159">
        <f>IF(F2159="",0,IF(TRIM(INDEX(INDIRECT("'Выгрузка'!A2159:Z2159"),Настройки!$B$13)&amp;"")="",1,IFERROR(--SUBSTITUTE(SUBSTITUTE(TRIM(INDEX(INDIRECT("'Выгрузка'!A2159:Z2159"),Настройки!$B$13)),",","."),".",MID(1/2,2,1)),"")))</f>
        <v/>
      </c>
      <c r="H2159">
        <f>IF(F2159="",0,IF(COUNTIF(Настройки!$B$17:$B$26,F2159)&gt;0,1,IF(COUNTIF(Настройки!$C$17:$C$26,F2159)&gt;0,2,IF(COUNTIF(Настройки!$D$17:$D$26,F2159)&gt;0,3,0))))</f>
        <v/>
      </c>
      <c r="I2159">
        <f>IF(AND(ISNUMBER(A2159),ISNUMBER(B2159)),A2159*1000+B2159,"")</f>
        <v/>
      </c>
      <c r="J2159">
        <f>IF(I2159="","",IF(COUNTIF(I$2:I2159,I2159)=1,MAX(J$1:J2158)+1,""))</f>
        <v/>
      </c>
    </row>
    <row r="2160">
      <c r="A2160">
        <f>IFERROR(--SUBSTITUTE(SUBSTITUTE(TRIM(INDEX(INDIRECT("'Выгрузка'!A2160:Z2160"),Настройки!$B$7)),",","."),".",MID(1/2,2,1)),"")</f>
        <v/>
      </c>
      <c r="B2160">
        <f>IFERROR(--SUBSTITUTE(SUBSTITUTE(TRIM(INDEX(INDIRECT("'Выгрузка'!A2160:Z2160"),Настройки!$B$9)),",","."),".",MID(1/2,2,1)),"")</f>
        <v/>
      </c>
      <c r="C2160">
        <f>TRIM(INDEX(INDIRECT("'Выгрузка'!A2160:Z2160"),Настройки!$B$8)&amp;"")</f>
        <v/>
      </c>
      <c r="D2160">
        <f>IFERROR(--SUBSTITUTE(SUBSTITUTE(TRIM(INDEX(INDIRECT("'Выгрузка'!A2160:Z2160"),Настройки!$B$10)),",","."),".",MID(1/2,2,1)),"")</f>
        <v/>
      </c>
      <c r="E2160">
        <f>IFERROR(--SUBSTITUTE(SUBSTITUTE(TRIM(INDEX(INDIRECT("'Выгрузка'!A2160:Z2160"),Настройки!$B$11)),",","."),".",MID(1/2,2,1)),"")</f>
        <v/>
      </c>
      <c r="F2160">
        <f>TRIM(INDEX(INDIRECT("'Выгрузка'!A2160:Z2160"),Настройки!$B$12)&amp;"")</f>
        <v/>
      </c>
      <c r="G2160">
        <f>IF(F2160="",0,IF(TRIM(INDEX(INDIRECT("'Выгрузка'!A2160:Z2160"),Настройки!$B$13)&amp;"")="",1,IFERROR(--SUBSTITUTE(SUBSTITUTE(TRIM(INDEX(INDIRECT("'Выгрузка'!A2160:Z2160"),Настройки!$B$13)),",","."),".",MID(1/2,2,1)),"")))</f>
        <v/>
      </c>
      <c r="H2160">
        <f>IF(F2160="",0,IF(COUNTIF(Настройки!$B$17:$B$26,F2160)&gt;0,1,IF(COUNTIF(Настройки!$C$17:$C$26,F2160)&gt;0,2,IF(COUNTIF(Настройки!$D$17:$D$26,F2160)&gt;0,3,0))))</f>
        <v/>
      </c>
      <c r="I2160">
        <f>IF(AND(ISNUMBER(A2160),ISNUMBER(B2160)),A2160*1000+B2160,"")</f>
        <v/>
      </c>
      <c r="J2160">
        <f>IF(I2160="","",IF(COUNTIF(I$2:I2160,I2160)=1,MAX(J$1:J2159)+1,""))</f>
        <v/>
      </c>
    </row>
    <row r="2161">
      <c r="A2161">
        <f>IFERROR(--SUBSTITUTE(SUBSTITUTE(TRIM(INDEX(INDIRECT("'Выгрузка'!A2161:Z2161"),Настройки!$B$7)),",","."),".",MID(1/2,2,1)),"")</f>
        <v/>
      </c>
      <c r="B2161">
        <f>IFERROR(--SUBSTITUTE(SUBSTITUTE(TRIM(INDEX(INDIRECT("'Выгрузка'!A2161:Z2161"),Настройки!$B$9)),",","."),".",MID(1/2,2,1)),"")</f>
        <v/>
      </c>
      <c r="C2161">
        <f>TRIM(INDEX(INDIRECT("'Выгрузка'!A2161:Z2161"),Настройки!$B$8)&amp;"")</f>
        <v/>
      </c>
      <c r="D2161">
        <f>IFERROR(--SUBSTITUTE(SUBSTITUTE(TRIM(INDEX(INDIRECT("'Выгрузка'!A2161:Z2161"),Настройки!$B$10)),",","."),".",MID(1/2,2,1)),"")</f>
        <v/>
      </c>
      <c r="E2161">
        <f>IFERROR(--SUBSTITUTE(SUBSTITUTE(TRIM(INDEX(INDIRECT("'Выгрузка'!A2161:Z2161"),Настройки!$B$11)),",","."),".",MID(1/2,2,1)),"")</f>
        <v/>
      </c>
      <c r="F2161">
        <f>TRIM(INDEX(INDIRECT("'Выгрузка'!A2161:Z2161"),Настройки!$B$12)&amp;"")</f>
        <v/>
      </c>
      <c r="G2161">
        <f>IF(F2161="",0,IF(TRIM(INDEX(INDIRECT("'Выгрузка'!A2161:Z2161"),Настройки!$B$13)&amp;"")="",1,IFERROR(--SUBSTITUTE(SUBSTITUTE(TRIM(INDEX(INDIRECT("'Выгрузка'!A2161:Z2161"),Настройки!$B$13)),",","."),".",MID(1/2,2,1)),"")))</f>
        <v/>
      </c>
      <c r="H2161">
        <f>IF(F2161="",0,IF(COUNTIF(Настройки!$B$17:$B$26,F2161)&gt;0,1,IF(COUNTIF(Настройки!$C$17:$C$26,F2161)&gt;0,2,IF(COUNTIF(Настройки!$D$17:$D$26,F2161)&gt;0,3,0))))</f>
        <v/>
      </c>
      <c r="I2161">
        <f>IF(AND(ISNUMBER(A2161),ISNUMBER(B2161)),A2161*1000+B2161,"")</f>
        <v/>
      </c>
      <c r="J2161">
        <f>IF(I2161="","",IF(COUNTIF(I$2:I2161,I2161)=1,MAX(J$1:J2160)+1,""))</f>
        <v/>
      </c>
    </row>
    <row r="2162">
      <c r="A2162">
        <f>IFERROR(--SUBSTITUTE(SUBSTITUTE(TRIM(INDEX(INDIRECT("'Выгрузка'!A2162:Z2162"),Настройки!$B$7)),",","."),".",MID(1/2,2,1)),"")</f>
        <v/>
      </c>
      <c r="B2162">
        <f>IFERROR(--SUBSTITUTE(SUBSTITUTE(TRIM(INDEX(INDIRECT("'Выгрузка'!A2162:Z2162"),Настройки!$B$9)),",","."),".",MID(1/2,2,1)),"")</f>
        <v/>
      </c>
      <c r="C2162">
        <f>TRIM(INDEX(INDIRECT("'Выгрузка'!A2162:Z2162"),Настройки!$B$8)&amp;"")</f>
        <v/>
      </c>
      <c r="D2162">
        <f>IFERROR(--SUBSTITUTE(SUBSTITUTE(TRIM(INDEX(INDIRECT("'Выгрузка'!A2162:Z2162"),Настройки!$B$10)),",","."),".",MID(1/2,2,1)),"")</f>
        <v/>
      </c>
      <c r="E2162">
        <f>IFERROR(--SUBSTITUTE(SUBSTITUTE(TRIM(INDEX(INDIRECT("'Выгрузка'!A2162:Z2162"),Настройки!$B$11)),",","."),".",MID(1/2,2,1)),"")</f>
        <v/>
      </c>
      <c r="F2162">
        <f>TRIM(INDEX(INDIRECT("'Выгрузка'!A2162:Z2162"),Настройки!$B$12)&amp;"")</f>
        <v/>
      </c>
      <c r="G2162">
        <f>IF(F2162="",0,IF(TRIM(INDEX(INDIRECT("'Выгрузка'!A2162:Z2162"),Настройки!$B$13)&amp;"")="",1,IFERROR(--SUBSTITUTE(SUBSTITUTE(TRIM(INDEX(INDIRECT("'Выгрузка'!A2162:Z2162"),Настройки!$B$13)),",","."),".",MID(1/2,2,1)),"")))</f>
        <v/>
      </c>
      <c r="H2162">
        <f>IF(F2162="",0,IF(COUNTIF(Настройки!$B$17:$B$26,F2162)&gt;0,1,IF(COUNTIF(Настройки!$C$17:$C$26,F2162)&gt;0,2,IF(COUNTIF(Настройки!$D$17:$D$26,F2162)&gt;0,3,0))))</f>
        <v/>
      </c>
      <c r="I2162">
        <f>IF(AND(ISNUMBER(A2162),ISNUMBER(B2162)),A2162*1000+B2162,"")</f>
        <v/>
      </c>
      <c r="J2162">
        <f>IF(I2162="","",IF(COUNTIF(I$2:I2162,I2162)=1,MAX(J$1:J2161)+1,""))</f>
        <v/>
      </c>
    </row>
    <row r="2163">
      <c r="A2163">
        <f>IFERROR(--SUBSTITUTE(SUBSTITUTE(TRIM(INDEX(INDIRECT("'Выгрузка'!A2163:Z2163"),Настройки!$B$7)),",","."),".",MID(1/2,2,1)),"")</f>
        <v/>
      </c>
      <c r="B2163">
        <f>IFERROR(--SUBSTITUTE(SUBSTITUTE(TRIM(INDEX(INDIRECT("'Выгрузка'!A2163:Z2163"),Настройки!$B$9)),",","."),".",MID(1/2,2,1)),"")</f>
        <v/>
      </c>
      <c r="C2163">
        <f>TRIM(INDEX(INDIRECT("'Выгрузка'!A2163:Z2163"),Настройки!$B$8)&amp;"")</f>
        <v/>
      </c>
      <c r="D2163">
        <f>IFERROR(--SUBSTITUTE(SUBSTITUTE(TRIM(INDEX(INDIRECT("'Выгрузка'!A2163:Z2163"),Настройки!$B$10)),",","."),".",MID(1/2,2,1)),"")</f>
        <v/>
      </c>
      <c r="E2163">
        <f>IFERROR(--SUBSTITUTE(SUBSTITUTE(TRIM(INDEX(INDIRECT("'Выгрузка'!A2163:Z2163"),Настройки!$B$11)),",","."),".",MID(1/2,2,1)),"")</f>
        <v/>
      </c>
      <c r="F2163">
        <f>TRIM(INDEX(INDIRECT("'Выгрузка'!A2163:Z2163"),Настройки!$B$12)&amp;"")</f>
        <v/>
      </c>
      <c r="G2163">
        <f>IF(F2163="",0,IF(TRIM(INDEX(INDIRECT("'Выгрузка'!A2163:Z2163"),Настройки!$B$13)&amp;"")="",1,IFERROR(--SUBSTITUTE(SUBSTITUTE(TRIM(INDEX(INDIRECT("'Выгрузка'!A2163:Z2163"),Настройки!$B$13)),",","."),".",MID(1/2,2,1)),"")))</f>
        <v/>
      </c>
      <c r="H2163">
        <f>IF(F2163="",0,IF(COUNTIF(Настройки!$B$17:$B$26,F2163)&gt;0,1,IF(COUNTIF(Настройки!$C$17:$C$26,F2163)&gt;0,2,IF(COUNTIF(Настройки!$D$17:$D$26,F2163)&gt;0,3,0))))</f>
        <v/>
      </c>
      <c r="I2163">
        <f>IF(AND(ISNUMBER(A2163),ISNUMBER(B2163)),A2163*1000+B2163,"")</f>
        <v/>
      </c>
      <c r="J2163">
        <f>IF(I2163="","",IF(COUNTIF(I$2:I2163,I2163)=1,MAX(J$1:J2162)+1,""))</f>
        <v/>
      </c>
    </row>
    <row r="2164">
      <c r="A2164">
        <f>IFERROR(--SUBSTITUTE(SUBSTITUTE(TRIM(INDEX(INDIRECT("'Выгрузка'!A2164:Z2164"),Настройки!$B$7)),",","."),".",MID(1/2,2,1)),"")</f>
        <v/>
      </c>
      <c r="B2164">
        <f>IFERROR(--SUBSTITUTE(SUBSTITUTE(TRIM(INDEX(INDIRECT("'Выгрузка'!A2164:Z2164"),Настройки!$B$9)),",","."),".",MID(1/2,2,1)),"")</f>
        <v/>
      </c>
      <c r="C2164">
        <f>TRIM(INDEX(INDIRECT("'Выгрузка'!A2164:Z2164"),Настройки!$B$8)&amp;"")</f>
        <v/>
      </c>
      <c r="D2164">
        <f>IFERROR(--SUBSTITUTE(SUBSTITUTE(TRIM(INDEX(INDIRECT("'Выгрузка'!A2164:Z2164"),Настройки!$B$10)),",","."),".",MID(1/2,2,1)),"")</f>
        <v/>
      </c>
      <c r="E2164">
        <f>IFERROR(--SUBSTITUTE(SUBSTITUTE(TRIM(INDEX(INDIRECT("'Выгрузка'!A2164:Z2164"),Настройки!$B$11)),",","."),".",MID(1/2,2,1)),"")</f>
        <v/>
      </c>
      <c r="F2164">
        <f>TRIM(INDEX(INDIRECT("'Выгрузка'!A2164:Z2164"),Настройки!$B$12)&amp;"")</f>
        <v/>
      </c>
      <c r="G2164">
        <f>IF(F2164="",0,IF(TRIM(INDEX(INDIRECT("'Выгрузка'!A2164:Z2164"),Настройки!$B$13)&amp;"")="",1,IFERROR(--SUBSTITUTE(SUBSTITUTE(TRIM(INDEX(INDIRECT("'Выгрузка'!A2164:Z2164"),Настройки!$B$13)),",","."),".",MID(1/2,2,1)),"")))</f>
        <v/>
      </c>
      <c r="H2164">
        <f>IF(F2164="",0,IF(COUNTIF(Настройки!$B$17:$B$26,F2164)&gt;0,1,IF(COUNTIF(Настройки!$C$17:$C$26,F2164)&gt;0,2,IF(COUNTIF(Настройки!$D$17:$D$26,F2164)&gt;0,3,0))))</f>
        <v/>
      </c>
      <c r="I2164">
        <f>IF(AND(ISNUMBER(A2164),ISNUMBER(B2164)),A2164*1000+B2164,"")</f>
        <v/>
      </c>
      <c r="J2164">
        <f>IF(I2164="","",IF(COUNTIF(I$2:I2164,I2164)=1,MAX(J$1:J2163)+1,""))</f>
        <v/>
      </c>
    </row>
    <row r="2165">
      <c r="A2165">
        <f>IFERROR(--SUBSTITUTE(SUBSTITUTE(TRIM(INDEX(INDIRECT("'Выгрузка'!A2165:Z2165"),Настройки!$B$7)),",","."),".",MID(1/2,2,1)),"")</f>
        <v/>
      </c>
      <c r="B2165">
        <f>IFERROR(--SUBSTITUTE(SUBSTITUTE(TRIM(INDEX(INDIRECT("'Выгрузка'!A2165:Z2165"),Настройки!$B$9)),",","."),".",MID(1/2,2,1)),"")</f>
        <v/>
      </c>
      <c r="C2165">
        <f>TRIM(INDEX(INDIRECT("'Выгрузка'!A2165:Z2165"),Настройки!$B$8)&amp;"")</f>
        <v/>
      </c>
      <c r="D2165">
        <f>IFERROR(--SUBSTITUTE(SUBSTITUTE(TRIM(INDEX(INDIRECT("'Выгрузка'!A2165:Z2165"),Настройки!$B$10)),",","."),".",MID(1/2,2,1)),"")</f>
        <v/>
      </c>
      <c r="E2165">
        <f>IFERROR(--SUBSTITUTE(SUBSTITUTE(TRIM(INDEX(INDIRECT("'Выгрузка'!A2165:Z2165"),Настройки!$B$11)),",","."),".",MID(1/2,2,1)),"")</f>
        <v/>
      </c>
      <c r="F2165">
        <f>TRIM(INDEX(INDIRECT("'Выгрузка'!A2165:Z2165"),Настройки!$B$12)&amp;"")</f>
        <v/>
      </c>
      <c r="G2165">
        <f>IF(F2165="",0,IF(TRIM(INDEX(INDIRECT("'Выгрузка'!A2165:Z2165"),Настройки!$B$13)&amp;"")="",1,IFERROR(--SUBSTITUTE(SUBSTITUTE(TRIM(INDEX(INDIRECT("'Выгрузка'!A2165:Z2165"),Настройки!$B$13)),",","."),".",MID(1/2,2,1)),"")))</f>
        <v/>
      </c>
      <c r="H2165">
        <f>IF(F2165="",0,IF(COUNTIF(Настройки!$B$17:$B$26,F2165)&gt;0,1,IF(COUNTIF(Настройки!$C$17:$C$26,F2165)&gt;0,2,IF(COUNTIF(Настройки!$D$17:$D$26,F2165)&gt;0,3,0))))</f>
        <v/>
      </c>
      <c r="I2165">
        <f>IF(AND(ISNUMBER(A2165),ISNUMBER(B2165)),A2165*1000+B2165,"")</f>
        <v/>
      </c>
      <c r="J2165">
        <f>IF(I2165="","",IF(COUNTIF(I$2:I2165,I2165)=1,MAX(J$1:J2164)+1,""))</f>
        <v/>
      </c>
    </row>
    <row r="2166">
      <c r="A2166">
        <f>IFERROR(--SUBSTITUTE(SUBSTITUTE(TRIM(INDEX(INDIRECT("'Выгрузка'!A2166:Z2166"),Настройки!$B$7)),",","."),".",MID(1/2,2,1)),"")</f>
        <v/>
      </c>
      <c r="B2166">
        <f>IFERROR(--SUBSTITUTE(SUBSTITUTE(TRIM(INDEX(INDIRECT("'Выгрузка'!A2166:Z2166"),Настройки!$B$9)),",","."),".",MID(1/2,2,1)),"")</f>
        <v/>
      </c>
      <c r="C2166">
        <f>TRIM(INDEX(INDIRECT("'Выгрузка'!A2166:Z2166"),Настройки!$B$8)&amp;"")</f>
        <v/>
      </c>
      <c r="D2166">
        <f>IFERROR(--SUBSTITUTE(SUBSTITUTE(TRIM(INDEX(INDIRECT("'Выгрузка'!A2166:Z2166"),Настройки!$B$10)),",","."),".",MID(1/2,2,1)),"")</f>
        <v/>
      </c>
      <c r="E2166">
        <f>IFERROR(--SUBSTITUTE(SUBSTITUTE(TRIM(INDEX(INDIRECT("'Выгрузка'!A2166:Z2166"),Настройки!$B$11)),",","."),".",MID(1/2,2,1)),"")</f>
        <v/>
      </c>
      <c r="F2166">
        <f>TRIM(INDEX(INDIRECT("'Выгрузка'!A2166:Z2166"),Настройки!$B$12)&amp;"")</f>
        <v/>
      </c>
      <c r="G2166">
        <f>IF(F2166="",0,IF(TRIM(INDEX(INDIRECT("'Выгрузка'!A2166:Z2166"),Настройки!$B$13)&amp;"")="",1,IFERROR(--SUBSTITUTE(SUBSTITUTE(TRIM(INDEX(INDIRECT("'Выгрузка'!A2166:Z2166"),Настройки!$B$13)),",","."),".",MID(1/2,2,1)),"")))</f>
        <v/>
      </c>
      <c r="H2166">
        <f>IF(F2166="",0,IF(COUNTIF(Настройки!$B$17:$B$26,F2166)&gt;0,1,IF(COUNTIF(Настройки!$C$17:$C$26,F2166)&gt;0,2,IF(COUNTIF(Настройки!$D$17:$D$26,F2166)&gt;0,3,0))))</f>
        <v/>
      </c>
      <c r="I2166">
        <f>IF(AND(ISNUMBER(A2166),ISNUMBER(B2166)),A2166*1000+B2166,"")</f>
        <v/>
      </c>
      <c r="J2166">
        <f>IF(I2166="","",IF(COUNTIF(I$2:I2166,I2166)=1,MAX(J$1:J2165)+1,""))</f>
        <v/>
      </c>
    </row>
    <row r="2167">
      <c r="A2167">
        <f>IFERROR(--SUBSTITUTE(SUBSTITUTE(TRIM(INDEX(INDIRECT("'Выгрузка'!A2167:Z2167"),Настройки!$B$7)),",","."),".",MID(1/2,2,1)),"")</f>
        <v/>
      </c>
      <c r="B2167">
        <f>IFERROR(--SUBSTITUTE(SUBSTITUTE(TRIM(INDEX(INDIRECT("'Выгрузка'!A2167:Z2167"),Настройки!$B$9)),",","."),".",MID(1/2,2,1)),"")</f>
        <v/>
      </c>
      <c r="C2167">
        <f>TRIM(INDEX(INDIRECT("'Выгрузка'!A2167:Z2167"),Настройки!$B$8)&amp;"")</f>
        <v/>
      </c>
      <c r="D2167">
        <f>IFERROR(--SUBSTITUTE(SUBSTITUTE(TRIM(INDEX(INDIRECT("'Выгрузка'!A2167:Z2167"),Настройки!$B$10)),",","."),".",MID(1/2,2,1)),"")</f>
        <v/>
      </c>
      <c r="E2167">
        <f>IFERROR(--SUBSTITUTE(SUBSTITUTE(TRIM(INDEX(INDIRECT("'Выгрузка'!A2167:Z2167"),Настройки!$B$11)),",","."),".",MID(1/2,2,1)),"")</f>
        <v/>
      </c>
      <c r="F2167">
        <f>TRIM(INDEX(INDIRECT("'Выгрузка'!A2167:Z2167"),Настройки!$B$12)&amp;"")</f>
        <v/>
      </c>
      <c r="G2167">
        <f>IF(F2167="",0,IF(TRIM(INDEX(INDIRECT("'Выгрузка'!A2167:Z2167"),Настройки!$B$13)&amp;"")="",1,IFERROR(--SUBSTITUTE(SUBSTITUTE(TRIM(INDEX(INDIRECT("'Выгрузка'!A2167:Z2167"),Настройки!$B$13)),",","."),".",MID(1/2,2,1)),"")))</f>
        <v/>
      </c>
      <c r="H2167">
        <f>IF(F2167="",0,IF(COUNTIF(Настройки!$B$17:$B$26,F2167)&gt;0,1,IF(COUNTIF(Настройки!$C$17:$C$26,F2167)&gt;0,2,IF(COUNTIF(Настройки!$D$17:$D$26,F2167)&gt;0,3,0))))</f>
        <v/>
      </c>
      <c r="I2167">
        <f>IF(AND(ISNUMBER(A2167),ISNUMBER(B2167)),A2167*1000+B2167,"")</f>
        <v/>
      </c>
      <c r="J2167">
        <f>IF(I2167="","",IF(COUNTIF(I$2:I2167,I2167)=1,MAX(J$1:J2166)+1,""))</f>
        <v/>
      </c>
    </row>
    <row r="2168">
      <c r="A2168">
        <f>IFERROR(--SUBSTITUTE(SUBSTITUTE(TRIM(INDEX(INDIRECT("'Выгрузка'!A2168:Z2168"),Настройки!$B$7)),",","."),".",MID(1/2,2,1)),"")</f>
        <v/>
      </c>
      <c r="B2168">
        <f>IFERROR(--SUBSTITUTE(SUBSTITUTE(TRIM(INDEX(INDIRECT("'Выгрузка'!A2168:Z2168"),Настройки!$B$9)),",","."),".",MID(1/2,2,1)),"")</f>
        <v/>
      </c>
      <c r="C2168">
        <f>TRIM(INDEX(INDIRECT("'Выгрузка'!A2168:Z2168"),Настройки!$B$8)&amp;"")</f>
        <v/>
      </c>
      <c r="D2168">
        <f>IFERROR(--SUBSTITUTE(SUBSTITUTE(TRIM(INDEX(INDIRECT("'Выгрузка'!A2168:Z2168"),Настройки!$B$10)),",","."),".",MID(1/2,2,1)),"")</f>
        <v/>
      </c>
      <c r="E2168">
        <f>IFERROR(--SUBSTITUTE(SUBSTITUTE(TRIM(INDEX(INDIRECT("'Выгрузка'!A2168:Z2168"),Настройки!$B$11)),",","."),".",MID(1/2,2,1)),"")</f>
        <v/>
      </c>
      <c r="F2168">
        <f>TRIM(INDEX(INDIRECT("'Выгрузка'!A2168:Z2168"),Настройки!$B$12)&amp;"")</f>
        <v/>
      </c>
      <c r="G2168">
        <f>IF(F2168="",0,IF(TRIM(INDEX(INDIRECT("'Выгрузка'!A2168:Z2168"),Настройки!$B$13)&amp;"")="",1,IFERROR(--SUBSTITUTE(SUBSTITUTE(TRIM(INDEX(INDIRECT("'Выгрузка'!A2168:Z2168"),Настройки!$B$13)),",","."),".",MID(1/2,2,1)),"")))</f>
        <v/>
      </c>
      <c r="H2168">
        <f>IF(F2168="",0,IF(COUNTIF(Настройки!$B$17:$B$26,F2168)&gt;0,1,IF(COUNTIF(Настройки!$C$17:$C$26,F2168)&gt;0,2,IF(COUNTIF(Настройки!$D$17:$D$26,F2168)&gt;0,3,0))))</f>
        <v/>
      </c>
      <c r="I2168">
        <f>IF(AND(ISNUMBER(A2168),ISNUMBER(B2168)),A2168*1000+B2168,"")</f>
        <v/>
      </c>
      <c r="J2168">
        <f>IF(I2168="","",IF(COUNTIF(I$2:I2168,I2168)=1,MAX(J$1:J2167)+1,""))</f>
        <v/>
      </c>
    </row>
    <row r="2169">
      <c r="A2169">
        <f>IFERROR(--SUBSTITUTE(SUBSTITUTE(TRIM(INDEX(INDIRECT("'Выгрузка'!A2169:Z2169"),Настройки!$B$7)),",","."),".",MID(1/2,2,1)),"")</f>
        <v/>
      </c>
      <c r="B2169">
        <f>IFERROR(--SUBSTITUTE(SUBSTITUTE(TRIM(INDEX(INDIRECT("'Выгрузка'!A2169:Z2169"),Настройки!$B$9)),",","."),".",MID(1/2,2,1)),"")</f>
        <v/>
      </c>
      <c r="C2169">
        <f>TRIM(INDEX(INDIRECT("'Выгрузка'!A2169:Z2169"),Настройки!$B$8)&amp;"")</f>
        <v/>
      </c>
      <c r="D2169">
        <f>IFERROR(--SUBSTITUTE(SUBSTITUTE(TRIM(INDEX(INDIRECT("'Выгрузка'!A2169:Z2169"),Настройки!$B$10)),",","."),".",MID(1/2,2,1)),"")</f>
        <v/>
      </c>
      <c r="E2169">
        <f>IFERROR(--SUBSTITUTE(SUBSTITUTE(TRIM(INDEX(INDIRECT("'Выгрузка'!A2169:Z2169"),Настройки!$B$11)),",","."),".",MID(1/2,2,1)),"")</f>
        <v/>
      </c>
      <c r="F2169">
        <f>TRIM(INDEX(INDIRECT("'Выгрузка'!A2169:Z2169"),Настройки!$B$12)&amp;"")</f>
        <v/>
      </c>
      <c r="G2169">
        <f>IF(F2169="",0,IF(TRIM(INDEX(INDIRECT("'Выгрузка'!A2169:Z2169"),Настройки!$B$13)&amp;"")="",1,IFERROR(--SUBSTITUTE(SUBSTITUTE(TRIM(INDEX(INDIRECT("'Выгрузка'!A2169:Z2169"),Настройки!$B$13)),",","."),".",MID(1/2,2,1)),"")))</f>
        <v/>
      </c>
      <c r="H2169">
        <f>IF(F2169="",0,IF(COUNTIF(Настройки!$B$17:$B$26,F2169)&gt;0,1,IF(COUNTIF(Настройки!$C$17:$C$26,F2169)&gt;0,2,IF(COUNTIF(Настройки!$D$17:$D$26,F2169)&gt;0,3,0))))</f>
        <v/>
      </c>
      <c r="I2169">
        <f>IF(AND(ISNUMBER(A2169),ISNUMBER(B2169)),A2169*1000+B2169,"")</f>
        <v/>
      </c>
      <c r="J2169">
        <f>IF(I2169="","",IF(COUNTIF(I$2:I2169,I2169)=1,MAX(J$1:J2168)+1,""))</f>
        <v/>
      </c>
    </row>
    <row r="2170">
      <c r="A2170">
        <f>IFERROR(--SUBSTITUTE(SUBSTITUTE(TRIM(INDEX(INDIRECT("'Выгрузка'!A2170:Z2170"),Настройки!$B$7)),",","."),".",MID(1/2,2,1)),"")</f>
        <v/>
      </c>
      <c r="B2170">
        <f>IFERROR(--SUBSTITUTE(SUBSTITUTE(TRIM(INDEX(INDIRECT("'Выгрузка'!A2170:Z2170"),Настройки!$B$9)),",","."),".",MID(1/2,2,1)),"")</f>
        <v/>
      </c>
      <c r="C2170">
        <f>TRIM(INDEX(INDIRECT("'Выгрузка'!A2170:Z2170"),Настройки!$B$8)&amp;"")</f>
        <v/>
      </c>
      <c r="D2170">
        <f>IFERROR(--SUBSTITUTE(SUBSTITUTE(TRIM(INDEX(INDIRECT("'Выгрузка'!A2170:Z2170"),Настройки!$B$10)),",","."),".",MID(1/2,2,1)),"")</f>
        <v/>
      </c>
      <c r="E2170">
        <f>IFERROR(--SUBSTITUTE(SUBSTITUTE(TRIM(INDEX(INDIRECT("'Выгрузка'!A2170:Z2170"),Настройки!$B$11)),",","."),".",MID(1/2,2,1)),"")</f>
        <v/>
      </c>
      <c r="F2170">
        <f>TRIM(INDEX(INDIRECT("'Выгрузка'!A2170:Z2170"),Настройки!$B$12)&amp;"")</f>
        <v/>
      </c>
      <c r="G2170">
        <f>IF(F2170="",0,IF(TRIM(INDEX(INDIRECT("'Выгрузка'!A2170:Z2170"),Настройки!$B$13)&amp;"")="",1,IFERROR(--SUBSTITUTE(SUBSTITUTE(TRIM(INDEX(INDIRECT("'Выгрузка'!A2170:Z2170"),Настройки!$B$13)),",","."),".",MID(1/2,2,1)),"")))</f>
        <v/>
      </c>
      <c r="H2170">
        <f>IF(F2170="",0,IF(COUNTIF(Настройки!$B$17:$B$26,F2170)&gt;0,1,IF(COUNTIF(Настройки!$C$17:$C$26,F2170)&gt;0,2,IF(COUNTIF(Настройки!$D$17:$D$26,F2170)&gt;0,3,0))))</f>
        <v/>
      </c>
      <c r="I2170">
        <f>IF(AND(ISNUMBER(A2170),ISNUMBER(B2170)),A2170*1000+B2170,"")</f>
        <v/>
      </c>
      <c r="J2170">
        <f>IF(I2170="","",IF(COUNTIF(I$2:I2170,I2170)=1,MAX(J$1:J2169)+1,""))</f>
        <v/>
      </c>
    </row>
    <row r="2171">
      <c r="A2171">
        <f>IFERROR(--SUBSTITUTE(SUBSTITUTE(TRIM(INDEX(INDIRECT("'Выгрузка'!A2171:Z2171"),Настройки!$B$7)),",","."),".",MID(1/2,2,1)),"")</f>
        <v/>
      </c>
      <c r="B2171">
        <f>IFERROR(--SUBSTITUTE(SUBSTITUTE(TRIM(INDEX(INDIRECT("'Выгрузка'!A2171:Z2171"),Настройки!$B$9)),",","."),".",MID(1/2,2,1)),"")</f>
        <v/>
      </c>
      <c r="C2171">
        <f>TRIM(INDEX(INDIRECT("'Выгрузка'!A2171:Z2171"),Настройки!$B$8)&amp;"")</f>
        <v/>
      </c>
      <c r="D2171">
        <f>IFERROR(--SUBSTITUTE(SUBSTITUTE(TRIM(INDEX(INDIRECT("'Выгрузка'!A2171:Z2171"),Настройки!$B$10)),",","."),".",MID(1/2,2,1)),"")</f>
        <v/>
      </c>
      <c r="E2171">
        <f>IFERROR(--SUBSTITUTE(SUBSTITUTE(TRIM(INDEX(INDIRECT("'Выгрузка'!A2171:Z2171"),Настройки!$B$11)),",","."),".",MID(1/2,2,1)),"")</f>
        <v/>
      </c>
      <c r="F2171">
        <f>TRIM(INDEX(INDIRECT("'Выгрузка'!A2171:Z2171"),Настройки!$B$12)&amp;"")</f>
        <v/>
      </c>
      <c r="G2171">
        <f>IF(F2171="",0,IF(TRIM(INDEX(INDIRECT("'Выгрузка'!A2171:Z2171"),Настройки!$B$13)&amp;"")="",1,IFERROR(--SUBSTITUTE(SUBSTITUTE(TRIM(INDEX(INDIRECT("'Выгрузка'!A2171:Z2171"),Настройки!$B$13)),",","."),".",MID(1/2,2,1)),"")))</f>
        <v/>
      </c>
      <c r="H2171">
        <f>IF(F2171="",0,IF(COUNTIF(Настройки!$B$17:$B$26,F2171)&gt;0,1,IF(COUNTIF(Настройки!$C$17:$C$26,F2171)&gt;0,2,IF(COUNTIF(Настройки!$D$17:$D$26,F2171)&gt;0,3,0))))</f>
        <v/>
      </c>
      <c r="I2171">
        <f>IF(AND(ISNUMBER(A2171),ISNUMBER(B2171)),A2171*1000+B2171,"")</f>
        <v/>
      </c>
      <c r="J2171">
        <f>IF(I2171="","",IF(COUNTIF(I$2:I2171,I2171)=1,MAX(J$1:J2170)+1,""))</f>
        <v/>
      </c>
    </row>
    <row r="2172">
      <c r="A2172">
        <f>IFERROR(--SUBSTITUTE(SUBSTITUTE(TRIM(INDEX(INDIRECT("'Выгрузка'!A2172:Z2172"),Настройки!$B$7)),",","."),".",MID(1/2,2,1)),"")</f>
        <v/>
      </c>
      <c r="B2172">
        <f>IFERROR(--SUBSTITUTE(SUBSTITUTE(TRIM(INDEX(INDIRECT("'Выгрузка'!A2172:Z2172"),Настройки!$B$9)),",","."),".",MID(1/2,2,1)),"")</f>
        <v/>
      </c>
      <c r="C2172">
        <f>TRIM(INDEX(INDIRECT("'Выгрузка'!A2172:Z2172"),Настройки!$B$8)&amp;"")</f>
        <v/>
      </c>
      <c r="D2172">
        <f>IFERROR(--SUBSTITUTE(SUBSTITUTE(TRIM(INDEX(INDIRECT("'Выгрузка'!A2172:Z2172"),Настройки!$B$10)),",","."),".",MID(1/2,2,1)),"")</f>
        <v/>
      </c>
      <c r="E2172">
        <f>IFERROR(--SUBSTITUTE(SUBSTITUTE(TRIM(INDEX(INDIRECT("'Выгрузка'!A2172:Z2172"),Настройки!$B$11)),",","."),".",MID(1/2,2,1)),"")</f>
        <v/>
      </c>
      <c r="F2172">
        <f>TRIM(INDEX(INDIRECT("'Выгрузка'!A2172:Z2172"),Настройки!$B$12)&amp;"")</f>
        <v/>
      </c>
      <c r="G2172">
        <f>IF(F2172="",0,IF(TRIM(INDEX(INDIRECT("'Выгрузка'!A2172:Z2172"),Настройки!$B$13)&amp;"")="",1,IFERROR(--SUBSTITUTE(SUBSTITUTE(TRIM(INDEX(INDIRECT("'Выгрузка'!A2172:Z2172"),Настройки!$B$13)),",","."),".",MID(1/2,2,1)),"")))</f>
        <v/>
      </c>
      <c r="H2172">
        <f>IF(F2172="",0,IF(COUNTIF(Настройки!$B$17:$B$26,F2172)&gt;0,1,IF(COUNTIF(Настройки!$C$17:$C$26,F2172)&gt;0,2,IF(COUNTIF(Настройки!$D$17:$D$26,F2172)&gt;0,3,0))))</f>
        <v/>
      </c>
      <c r="I2172">
        <f>IF(AND(ISNUMBER(A2172),ISNUMBER(B2172)),A2172*1000+B2172,"")</f>
        <v/>
      </c>
      <c r="J2172">
        <f>IF(I2172="","",IF(COUNTIF(I$2:I2172,I2172)=1,MAX(J$1:J2171)+1,""))</f>
        <v/>
      </c>
    </row>
    <row r="2173">
      <c r="A2173">
        <f>IFERROR(--SUBSTITUTE(SUBSTITUTE(TRIM(INDEX(INDIRECT("'Выгрузка'!A2173:Z2173"),Настройки!$B$7)),",","."),".",MID(1/2,2,1)),"")</f>
        <v/>
      </c>
      <c r="B2173">
        <f>IFERROR(--SUBSTITUTE(SUBSTITUTE(TRIM(INDEX(INDIRECT("'Выгрузка'!A2173:Z2173"),Настройки!$B$9)),",","."),".",MID(1/2,2,1)),"")</f>
        <v/>
      </c>
      <c r="C2173">
        <f>TRIM(INDEX(INDIRECT("'Выгрузка'!A2173:Z2173"),Настройки!$B$8)&amp;"")</f>
        <v/>
      </c>
      <c r="D2173">
        <f>IFERROR(--SUBSTITUTE(SUBSTITUTE(TRIM(INDEX(INDIRECT("'Выгрузка'!A2173:Z2173"),Настройки!$B$10)),",","."),".",MID(1/2,2,1)),"")</f>
        <v/>
      </c>
      <c r="E2173">
        <f>IFERROR(--SUBSTITUTE(SUBSTITUTE(TRIM(INDEX(INDIRECT("'Выгрузка'!A2173:Z2173"),Настройки!$B$11)),",","."),".",MID(1/2,2,1)),"")</f>
        <v/>
      </c>
      <c r="F2173">
        <f>TRIM(INDEX(INDIRECT("'Выгрузка'!A2173:Z2173"),Настройки!$B$12)&amp;"")</f>
        <v/>
      </c>
      <c r="G2173">
        <f>IF(F2173="",0,IF(TRIM(INDEX(INDIRECT("'Выгрузка'!A2173:Z2173"),Настройки!$B$13)&amp;"")="",1,IFERROR(--SUBSTITUTE(SUBSTITUTE(TRIM(INDEX(INDIRECT("'Выгрузка'!A2173:Z2173"),Настройки!$B$13)),",","."),".",MID(1/2,2,1)),"")))</f>
        <v/>
      </c>
      <c r="H2173">
        <f>IF(F2173="",0,IF(COUNTIF(Настройки!$B$17:$B$26,F2173)&gt;0,1,IF(COUNTIF(Настройки!$C$17:$C$26,F2173)&gt;0,2,IF(COUNTIF(Настройки!$D$17:$D$26,F2173)&gt;0,3,0))))</f>
        <v/>
      </c>
      <c r="I2173">
        <f>IF(AND(ISNUMBER(A2173),ISNUMBER(B2173)),A2173*1000+B2173,"")</f>
        <v/>
      </c>
      <c r="J2173">
        <f>IF(I2173="","",IF(COUNTIF(I$2:I2173,I2173)=1,MAX(J$1:J2172)+1,""))</f>
        <v/>
      </c>
    </row>
    <row r="2174">
      <c r="A2174">
        <f>IFERROR(--SUBSTITUTE(SUBSTITUTE(TRIM(INDEX(INDIRECT("'Выгрузка'!A2174:Z2174"),Настройки!$B$7)),",","."),".",MID(1/2,2,1)),"")</f>
        <v/>
      </c>
      <c r="B2174">
        <f>IFERROR(--SUBSTITUTE(SUBSTITUTE(TRIM(INDEX(INDIRECT("'Выгрузка'!A2174:Z2174"),Настройки!$B$9)),",","."),".",MID(1/2,2,1)),"")</f>
        <v/>
      </c>
      <c r="C2174">
        <f>TRIM(INDEX(INDIRECT("'Выгрузка'!A2174:Z2174"),Настройки!$B$8)&amp;"")</f>
        <v/>
      </c>
      <c r="D2174">
        <f>IFERROR(--SUBSTITUTE(SUBSTITUTE(TRIM(INDEX(INDIRECT("'Выгрузка'!A2174:Z2174"),Настройки!$B$10)),",","."),".",MID(1/2,2,1)),"")</f>
        <v/>
      </c>
      <c r="E2174">
        <f>IFERROR(--SUBSTITUTE(SUBSTITUTE(TRIM(INDEX(INDIRECT("'Выгрузка'!A2174:Z2174"),Настройки!$B$11)),",","."),".",MID(1/2,2,1)),"")</f>
        <v/>
      </c>
      <c r="F2174">
        <f>TRIM(INDEX(INDIRECT("'Выгрузка'!A2174:Z2174"),Настройки!$B$12)&amp;"")</f>
        <v/>
      </c>
      <c r="G2174">
        <f>IF(F2174="",0,IF(TRIM(INDEX(INDIRECT("'Выгрузка'!A2174:Z2174"),Настройки!$B$13)&amp;"")="",1,IFERROR(--SUBSTITUTE(SUBSTITUTE(TRIM(INDEX(INDIRECT("'Выгрузка'!A2174:Z2174"),Настройки!$B$13)),",","."),".",MID(1/2,2,1)),"")))</f>
        <v/>
      </c>
      <c r="H2174">
        <f>IF(F2174="",0,IF(COUNTIF(Настройки!$B$17:$B$26,F2174)&gt;0,1,IF(COUNTIF(Настройки!$C$17:$C$26,F2174)&gt;0,2,IF(COUNTIF(Настройки!$D$17:$D$26,F2174)&gt;0,3,0))))</f>
        <v/>
      </c>
      <c r="I2174">
        <f>IF(AND(ISNUMBER(A2174),ISNUMBER(B2174)),A2174*1000+B2174,"")</f>
        <v/>
      </c>
      <c r="J2174">
        <f>IF(I2174="","",IF(COUNTIF(I$2:I2174,I2174)=1,MAX(J$1:J2173)+1,""))</f>
        <v/>
      </c>
    </row>
    <row r="2175">
      <c r="A2175">
        <f>IFERROR(--SUBSTITUTE(SUBSTITUTE(TRIM(INDEX(INDIRECT("'Выгрузка'!A2175:Z2175"),Настройки!$B$7)),",","."),".",MID(1/2,2,1)),"")</f>
        <v/>
      </c>
      <c r="B2175">
        <f>IFERROR(--SUBSTITUTE(SUBSTITUTE(TRIM(INDEX(INDIRECT("'Выгрузка'!A2175:Z2175"),Настройки!$B$9)),",","."),".",MID(1/2,2,1)),"")</f>
        <v/>
      </c>
      <c r="C2175">
        <f>TRIM(INDEX(INDIRECT("'Выгрузка'!A2175:Z2175"),Настройки!$B$8)&amp;"")</f>
        <v/>
      </c>
      <c r="D2175">
        <f>IFERROR(--SUBSTITUTE(SUBSTITUTE(TRIM(INDEX(INDIRECT("'Выгрузка'!A2175:Z2175"),Настройки!$B$10)),",","."),".",MID(1/2,2,1)),"")</f>
        <v/>
      </c>
      <c r="E2175">
        <f>IFERROR(--SUBSTITUTE(SUBSTITUTE(TRIM(INDEX(INDIRECT("'Выгрузка'!A2175:Z2175"),Настройки!$B$11)),",","."),".",MID(1/2,2,1)),"")</f>
        <v/>
      </c>
      <c r="F2175">
        <f>TRIM(INDEX(INDIRECT("'Выгрузка'!A2175:Z2175"),Настройки!$B$12)&amp;"")</f>
        <v/>
      </c>
      <c r="G2175">
        <f>IF(F2175="",0,IF(TRIM(INDEX(INDIRECT("'Выгрузка'!A2175:Z2175"),Настройки!$B$13)&amp;"")="",1,IFERROR(--SUBSTITUTE(SUBSTITUTE(TRIM(INDEX(INDIRECT("'Выгрузка'!A2175:Z2175"),Настройки!$B$13)),",","."),".",MID(1/2,2,1)),"")))</f>
        <v/>
      </c>
      <c r="H2175">
        <f>IF(F2175="",0,IF(COUNTIF(Настройки!$B$17:$B$26,F2175)&gt;0,1,IF(COUNTIF(Настройки!$C$17:$C$26,F2175)&gt;0,2,IF(COUNTIF(Настройки!$D$17:$D$26,F2175)&gt;0,3,0))))</f>
        <v/>
      </c>
      <c r="I2175">
        <f>IF(AND(ISNUMBER(A2175),ISNUMBER(B2175)),A2175*1000+B2175,"")</f>
        <v/>
      </c>
      <c r="J2175">
        <f>IF(I2175="","",IF(COUNTIF(I$2:I2175,I2175)=1,MAX(J$1:J2174)+1,""))</f>
        <v/>
      </c>
    </row>
    <row r="2176">
      <c r="A2176">
        <f>IFERROR(--SUBSTITUTE(SUBSTITUTE(TRIM(INDEX(INDIRECT("'Выгрузка'!A2176:Z2176"),Настройки!$B$7)),",","."),".",MID(1/2,2,1)),"")</f>
        <v/>
      </c>
      <c r="B2176">
        <f>IFERROR(--SUBSTITUTE(SUBSTITUTE(TRIM(INDEX(INDIRECT("'Выгрузка'!A2176:Z2176"),Настройки!$B$9)),",","."),".",MID(1/2,2,1)),"")</f>
        <v/>
      </c>
      <c r="C2176">
        <f>TRIM(INDEX(INDIRECT("'Выгрузка'!A2176:Z2176"),Настройки!$B$8)&amp;"")</f>
        <v/>
      </c>
      <c r="D2176">
        <f>IFERROR(--SUBSTITUTE(SUBSTITUTE(TRIM(INDEX(INDIRECT("'Выгрузка'!A2176:Z2176"),Настройки!$B$10)),",","."),".",MID(1/2,2,1)),"")</f>
        <v/>
      </c>
      <c r="E2176">
        <f>IFERROR(--SUBSTITUTE(SUBSTITUTE(TRIM(INDEX(INDIRECT("'Выгрузка'!A2176:Z2176"),Настройки!$B$11)),",","."),".",MID(1/2,2,1)),"")</f>
        <v/>
      </c>
      <c r="F2176">
        <f>TRIM(INDEX(INDIRECT("'Выгрузка'!A2176:Z2176"),Настройки!$B$12)&amp;"")</f>
        <v/>
      </c>
      <c r="G2176">
        <f>IF(F2176="",0,IF(TRIM(INDEX(INDIRECT("'Выгрузка'!A2176:Z2176"),Настройки!$B$13)&amp;"")="",1,IFERROR(--SUBSTITUTE(SUBSTITUTE(TRIM(INDEX(INDIRECT("'Выгрузка'!A2176:Z2176"),Настройки!$B$13)),",","."),".",MID(1/2,2,1)),"")))</f>
        <v/>
      </c>
      <c r="H2176">
        <f>IF(F2176="",0,IF(COUNTIF(Настройки!$B$17:$B$26,F2176)&gt;0,1,IF(COUNTIF(Настройки!$C$17:$C$26,F2176)&gt;0,2,IF(COUNTIF(Настройки!$D$17:$D$26,F2176)&gt;0,3,0))))</f>
        <v/>
      </c>
      <c r="I2176">
        <f>IF(AND(ISNUMBER(A2176),ISNUMBER(B2176)),A2176*1000+B2176,"")</f>
        <v/>
      </c>
      <c r="J2176">
        <f>IF(I2176="","",IF(COUNTIF(I$2:I2176,I2176)=1,MAX(J$1:J2175)+1,""))</f>
        <v/>
      </c>
    </row>
    <row r="2177">
      <c r="A2177">
        <f>IFERROR(--SUBSTITUTE(SUBSTITUTE(TRIM(INDEX(INDIRECT("'Выгрузка'!A2177:Z2177"),Настройки!$B$7)),",","."),".",MID(1/2,2,1)),"")</f>
        <v/>
      </c>
      <c r="B2177">
        <f>IFERROR(--SUBSTITUTE(SUBSTITUTE(TRIM(INDEX(INDIRECT("'Выгрузка'!A2177:Z2177"),Настройки!$B$9)),",","."),".",MID(1/2,2,1)),"")</f>
        <v/>
      </c>
      <c r="C2177">
        <f>TRIM(INDEX(INDIRECT("'Выгрузка'!A2177:Z2177"),Настройки!$B$8)&amp;"")</f>
        <v/>
      </c>
      <c r="D2177">
        <f>IFERROR(--SUBSTITUTE(SUBSTITUTE(TRIM(INDEX(INDIRECT("'Выгрузка'!A2177:Z2177"),Настройки!$B$10)),",","."),".",MID(1/2,2,1)),"")</f>
        <v/>
      </c>
      <c r="E2177">
        <f>IFERROR(--SUBSTITUTE(SUBSTITUTE(TRIM(INDEX(INDIRECT("'Выгрузка'!A2177:Z2177"),Настройки!$B$11)),",","."),".",MID(1/2,2,1)),"")</f>
        <v/>
      </c>
      <c r="F2177">
        <f>TRIM(INDEX(INDIRECT("'Выгрузка'!A2177:Z2177"),Настройки!$B$12)&amp;"")</f>
        <v/>
      </c>
      <c r="G2177">
        <f>IF(F2177="",0,IF(TRIM(INDEX(INDIRECT("'Выгрузка'!A2177:Z2177"),Настройки!$B$13)&amp;"")="",1,IFERROR(--SUBSTITUTE(SUBSTITUTE(TRIM(INDEX(INDIRECT("'Выгрузка'!A2177:Z2177"),Настройки!$B$13)),",","."),".",MID(1/2,2,1)),"")))</f>
        <v/>
      </c>
      <c r="H2177">
        <f>IF(F2177="",0,IF(COUNTIF(Настройки!$B$17:$B$26,F2177)&gt;0,1,IF(COUNTIF(Настройки!$C$17:$C$26,F2177)&gt;0,2,IF(COUNTIF(Настройки!$D$17:$D$26,F2177)&gt;0,3,0))))</f>
        <v/>
      </c>
      <c r="I2177">
        <f>IF(AND(ISNUMBER(A2177),ISNUMBER(B2177)),A2177*1000+B2177,"")</f>
        <v/>
      </c>
      <c r="J2177">
        <f>IF(I2177="","",IF(COUNTIF(I$2:I2177,I2177)=1,MAX(J$1:J2176)+1,""))</f>
        <v/>
      </c>
    </row>
    <row r="2178">
      <c r="A2178">
        <f>IFERROR(--SUBSTITUTE(SUBSTITUTE(TRIM(INDEX(INDIRECT("'Выгрузка'!A2178:Z2178"),Настройки!$B$7)),",","."),".",MID(1/2,2,1)),"")</f>
        <v/>
      </c>
      <c r="B2178">
        <f>IFERROR(--SUBSTITUTE(SUBSTITUTE(TRIM(INDEX(INDIRECT("'Выгрузка'!A2178:Z2178"),Настройки!$B$9)),",","."),".",MID(1/2,2,1)),"")</f>
        <v/>
      </c>
      <c r="C2178">
        <f>TRIM(INDEX(INDIRECT("'Выгрузка'!A2178:Z2178"),Настройки!$B$8)&amp;"")</f>
        <v/>
      </c>
      <c r="D2178">
        <f>IFERROR(--SUBSTITUTE(SUBSTITUTE(TRIM(INDEX(INDIRECT("'Выгрузка'!A2178:Z2178"),Настройки!$B$10)),",","."),".",MID(1/2,2,1)),"")</f>
        <v/>
      </c>
      <c r="E2178">
        <f>IFERROR(--SUBSTITUTE(SUBSTITUTE(TRIM(INDEX(INDIRECT("'Выгрузка'!A2178:Z2178"),Настройки!$B$11)),",","."),".",MID(1/2,2,1)),"")</f>
        <v/>
      </c>
      <c r="F2178">
        <f>TRIM(INDEX(INDIRECT("'Выгрузка'!A2178:Z2178"),Настройки!$B$12)&amp;"")</f>
        <v/>
      </c>
      <c r="G2178">
        <f>IF(F2178="",0,IF(TRIM(INDEX(INDIRECT("'Выгрузка'!A2178:Z2178"),Настройки!$B$13)&amp;"")="",1,IFERROR(--SUBSTITUTE(SUBSTITUTE(TRIM(INDEX(INDIRECT("'Выгрузка'!A2178:Z2178"),Настройки!$B$13)),",","."),".",MID(1/2,2,1)),"")))</f>
        <v/>
      </c>
      <c r="H2178">
        <f>IF(F2178="",0,IF(COUNTIF(Настройки!$B$17:$B$26,F2178)&gt;0,1,IF(COUNTIF(Настройки!$C$17:$C$26,F2178)&gt;0,2,IF(COUNTIF(Настройки!$D$17:$D$26,F2178)&gt;0,3,0))))</f>
        <v/>
      </c>
      <c r="I2178">
        <f>IF(AND(ISNUMBER(A2178),ISNUMBER(B2178)),A2178*1000+B2178,"")</f>
        <v/>
      </c>
      <c r="J2178">
        <f>IF(I2178="","",IF(COUNTIF(I$2:I2178,I2178)=1,MAX(J$1:J2177)+1,""))</f>
        <v/>
      </c>
    </row>
    <row r="2179">
      <c r="A2179">
        <f>IFERROR(--SUBSTITUTE(SUBSTITUTE(TRIM(INDEX(INDIRECT("'Выгрузка'!A2179:Z2179"),Настройки!$B$7)),",","."),".",MID(1/2,2,1)),"")</f>
        <v/>
      </c>
      <c r="B2179">
        <f>IFERROR(--SUBSTITUTE(SUBSTITUTE(TRIM(INDEX(INDIRECT("'Выгрузка'!A2179:Z2179"),Настройки!$B$9)),",","."),".",MID(1/2,2,1)),"")</f>
        <v/>
      </c>
      <c r="C2179">
        <f>TRIM(INDEX(INDIRECT("'Выгрузка'!A2179:Z2179"),Настройки!$B$8)&amp;"")</f>
        <v/>
      </c>
      <c r="D2179">
        <f>IFERROR(--SUBSTITUTE(SUBSTITUTE(TRIM(INDEX(INDIRECT("'Выгрузка'!A2179:Z2179"),Настройки!$B$10)),",","."),".",MID(1/2,2,1)),"")</f>
        <v/>
      </c>
      <c r="E2179">
        <f>IFERROR(--SUBSTITUTE(SUBSTITUTE(TRIM(INDEX(INDIRECT("'Выгрузка'!A2179:Z2179"),Настройки!$B$11)),",","."),".",MID(1/2,2,1)),"")</f>
        <v/>
      </c>
      <c r="F2179">
        <f>TRIM(INDEX(INDIRECT("'Выгрузка'!A2179:Z2179"),Настройки!$B$12)&amp;"")</f>
        <v/>
      </c>
      <c r="G2179">
        <f>IF(F2179="",0,IF(TRIM(INDEX(INDIRECT("'Выгрузка'!A2179:Z2179"),Настройки!$B$13)&amp;"")="",1,IFERROR(--SUBSTITUTE(SUBSTITUTE(TRIM(INDEX(INDIRECT("'Выгрузка'!A2179:Z2179"),Настройки!$B$13)),",","."),".",MID(1/2,2,1)),"")))</f>
        <v/>
      </c>
      <c r="H2179">
        <f>IF(F2179="",0,IF(COUNTIF(Настройки!$B$17:$B$26,F2179)&gt;0,1,IF(COUNTIF(Настройки!$C$17:$C$26,F2179)&gt;0,2,IF(COUNTIF(Настройки!$D$17:$D$26,F2179)&gt;0,3,0))))</f>
        <v/>
      </c>
      <c r="I2179">
        <f>IF(AND(ISNUMBER(A2179),ISNUMBER(B2179)),A2179*1000+B2179,"")</f>
        <v/>
      </c>
      <c r="J2179">
        <f>IF(I2179="","",IF(COUNTIF(I$2:I2179,I2179)=1,MAX(J$1:J2178)+1,""))</f>
        <v/>
      </c>
    </row>
    <row r="2180">
      <c r="A2180">
        <f>IFERROR(--SUBSTITUTE(SUBSTITUTE(TRIM(INDEX(INDIRECT("'Выгрузка'!A2180:Z2180"),Настройки!$B$7)),",","."),".",MID(1/2,2,1)),"")</f>
        <v/>
      </c>
      <c r="B2180">
        <f>IFERROR(--SUBSTITUTE(SUBSTITUTE(TRIM(INDEX(INDIRECT("'Выгрузка'!A2180:Z2180"),Настройки!$B$9)),",","."),".",MID(1/2,2,1)),"")</f>
        <v/>
      </c>
      <c r="C2180">
        <f>TRIM(INDEX(INDIRECT("'Выгрузка'!A2180:Z2180"),Настройки!$B$8)&amp;"")</f>
        <v/>
      </c>
      <c r="D2180">
        <f>IFERROR(--SUBSTITUTE(SUBSTITUTE(TRIM(INDEX(INDIRECT("'Выгрузка'!A2180:Z2180"),Настройки!$B$10)),",","."),".",MID(1/2,2,1)),"")</f>
        <v/>
      </c>
      <c r="E2180">
        <f>IFERROR(--SUBSTITUTE(SUBSTITUTE(TRIM(INDEX(INDIRECT("'Выгрузка'!A2180:Z2180"),Настройки!$B$11)),",","."),".",MID(1/2,2,1)),"")</f>
        <v/>
      </c>
      <c r="F2180">
        <f>TRIM(INDEX(INDIRECT("'Выгрузка'!A2180:Z2180"),Настройки!$B$12)&amp;"")</f>
        <v/>
      </c>
      <c r="G2180">
        <f>IF(F2180="",0,IF(TRIM(INDEX(INDIRECT("'Выгрузка'!A2180:Z2180"),Настройки!$B$13)&amp;"")="",1,IFERROR(--SUBSTITUTE(SUBSTITUTE(TRIM(INDEX(INDIRECT("'Выгрузка'!A2180:Z2180"),Настройки!$B$13)),",","."),".",MID(1/2,2,1)),"")))</f>
        <v/>
      </c>
      <c r="H2180">
        <f>IF(F2180="",0,IF(COUNTIF(Настройки!$B$17:$B$26,F2180)&gt;0,1,IF(COUNTIF(Настройки!$C$17:$C$26,F2180)&gt;0,2,IF(COUNTIF(Настройки!$D$17:$D$26,F2180)&gt;0,3,0))))</f>
        <v/>
      </c>
      <c r="I2180">
        <f>IF(AND(ISNUMBER(A2180),ISNUMBER(B2180)),A2180*1000+B2180,"")</f>
        <v/>
      </c>
      <c r="J2180">
        <f>IF(I2180="","",IF(COUNTIF(I$2:I2180,I2180)=1,MAX(J$1:J2179)+1,""))</f>
        <v/>
      </c>
    </row>
    <row r="2181">
      <c r="A2181">
        <f>IFERROR(--SUBSTITUTE(SUBSTITUTE(TRIM(INDEX(INDIRECT("'Выгрузка'!A2181:Z2181"),Настройки!$B$7)),",","."),".",MID(1/2,2,1)),"")</f>
        <v/>
      </c>
      <c r="B2181">
        <f>IFERROR(--SUBSTITUTE(SUBSTITUTE(TRIM(INDEX(INDIRECT("'Выгрузка'!A2181:Z2181"),Настройки!$B$9)),",","."),".",MID(1/2,2,1)),"")</f>
        <v/>
      </c>
      <c r="C2181">
        <f>TRIM(INDEX(INDIRECT("'Выгрузка'!A2181:Z2181"),Настройки!$B$8)&amp;"")</f>
        <v/>
      </c>
      <c r="D2181">
        <f>IFERROR(--SUBSTITUTE(SUBSTITUTE(TRIM(INDEX(INDIRECT("'Выгрузка'!A2181:Z2181"),Настройки!$B$10)),",","."),".",MID(1/2,2,1)),"")</f>
        <v/>
      </c>
      <c r="E2181">
        <f>IFERROR(--SUBSTITUTE(SUBSTITUTE(TRIM(INDEX(INDIRECT("'Выгрузка'!A2181:Z2181"),Настройки!$B$11)),",","."),".",MID(1/2,2,1)),"")</f>
        <v/>
      </c>
      <c r="F2181">
        <f>TRIM(INDEX(INDIRECT("'Выгрузка'!A2181:Z2181"),Настройки!$B$12)&amp;"")</f>
        <v/>
      </c>
      <c r="G2181">
        <f>IF(F2181="",0,IF(TRIM(INDEX(INDIRECT("'Выгрузка'!A2181:Z2181"),Настройки!$B$13)&amp;"")="",1,IFERROR(--SUBSTITUTE(SUBSTITUTE(TRIM(INDEX(INDIRECT("'Выгрузка'!A2181:Z2181"),Настройки!$B$13)),",","."),".",MID(1/2,2,1)),"")))</f>
        <v/>
      </c>
      <c r="H2181">
        <f>IF(F2181="",0,IF(COUNTIF(Настройки!$B$17:$B$26,F2181)&gt;0,1,IF(COUNTIF(Настройки!$C$17:$C$26,F2181)&gt;0,2,IF(COUNTIF(Настройки!$D$17:$D$26,F2181)&gt;0,3,0))))</f>
        <v/>
      </c>
      <c r="I2181">
        <f>IF(AND(ISNUMBER(A2181),ISNUMBER(B2181)),A2181*1000+B2181,"")</f>
        <v/>
      </c>
      <c r="J2181">
        <f>IF(I2181="","",IF(COUNTIF(I$2:I2181,I2181)=1,MAX(J$1:J2180)+1,""))</f>
        <v/>
      </c>
    </row>
    <row r="2182">
      <c r="A2182">
        <f>IFERROR(--SUBSTITUTE(SUBSTITUTE(TRIM(INDEX(INDIRECT("'Выгрузка'!A2182:Z2182"),Настройки!$B$7)),",","."),".",MID(1/2,2,1)),"")</f>
        <v/>
      </c>
      <c r="B2182">
        <f>IFERROR(--SUBSTITUTE(SUBSTITUTE(TRIM(INDEX(INDIRECT("'Выгрузка'!A2182:Z2182"),Настройки!$B$9)),",","."),".",MID(1/2,2,1)),"")</f>
        <v/>
      </c>
      <c r="C2182">
        <f>TRIM(INDEX(INDIRECT("'Выгрузка'!A2182:Z2182"),Настройки!$B$8)&amp;"")</f>
        <v/>
      </c>
      <c r="D2182">
        <f>IFERROR(--SUBSTITUTE(SUBSTITUTE(TRIM(INDEX(INDIRECT("'Выгрузка'!A2182:Z2182"),Настройки!$B$10)),",","."),".",MID(1/2,2,1)),"")</f>
        <v/>
      </c>
      <c r="E2182">
        <f>IFERROR(--SUBSTITUTE(SUBSTITUTE(TRIM(INDEX(INDIRECT("'Выгрузка'!A2182:Z2182"),Настройки!$B$11)),",","."),".",MID(1/2,2,1)),"")</f>
        <v/>
      </c>
      <c r="F2182">
        <f>TRIM(INDEX(INDIRECT("'Выгрузка'!A2182:Z2182"),Настройки!$B$12)&amp;"")</f>
        <v/>
      </c>
      <c r="G2182">
        <f>IF(F2182="",0,IF(TRIM(INDEX(INDIRECT("'Выгрузка'!A2182:Z2182"),Настройки!$B$13)&amp;"")="",1,IFERROR(--SUBSTITUTE(SUBSTITUTE(TRIM(INDEX(INDIRECT("'Выгрузка'!A2182:Z2182"),Настройки!$B$13)),",","."),".",MID(1/2,2,1)),"")))</f>
        <v/>
      </c>
      <c r="H2182">
        <f>IF(F2182="",0,IF(COUNTIF(Настройки!$B$17:$B$26,F2182)&gt;0,1,IF(COUNTIF(Настройки!$C$17:$C$26,F2182)&gt;0,2,IF(COUNTIF(Настройки!$D$17:$D$26,F2182)&gt;0,3,0))))</f>
        <v/>
      </c>
      <c r="I2182">
        <f>IF(AND(ISNUMBER(A2182),ISNUMBER(B2182)),A2182*1000+B2182,"")</f>
        <v/>
      </c>
      <c r="J2182">
        <f>IF(I2182="","",IF(COUNTIF(I$2:I2182,I2182)=1,MAX(J$1:J2181)+1,""))</f>
        <v/>
      </c>
    </row>
    <row r="2183">
      <c r="A2183">
        <f>IFERROR(--SUBSTITUTE(SUBSTITUTE(TRIM(INDEX(INDIRECT("'Выгрузка'!A2183:Z2183"),Настройки!$B$7)),",","."),".",MID(1/2,2,1)),"")</f>
        <v/>
      </c>
      <c r="B2183">
        <f>IFERROR(--SUBSTITUTE(SUBSTITUTE(TRIM(INDEX(INDIRECT("'Выгрузка'!A2183:Z2183"),Настройки!$B$9)),",","."),".",MID(1/2,2,1)),"")</f>
        <v/>
      </c>
      <c r="C2183">
        <f>TRIM(INDEX(INDIRECT("'Выгрузка'!A2183:Z2183"),Настройки!$B$8)&amp;"")</f>
        <v/>
      </c>
      <c r="D2183">
        <f>IFERROR(--SUBSTITUTE(SUBSTITUTE(TRIM(INDEX(INDIRECT("'Выгрузка'!A2183:Z2183"),Настройки!$B$10)),",","."),".",MID(1/2,2,1)),"")</f>
        <v/>
      </c>
      <c r="E2183">
        <f>IFERROR(--SUBSTITUTE(SUBSTITUTE(TRIM(INDEX(INDIRECT("'Выгрузка'!A2183:Z2183"),Настройки!$B$11)),",","."),".",MID(1/2,2,1)),"")</f>
        <v/>
      </c>
      <c r="F2183">
        <f>TRIM(INDEX(INDIRECT("'Выгрузка'!A2183:Z2183"),Настройки!$B$12)&amp;"")</f>
        <v/>
      </c>
      <c r="G2183">
        <f>IF(F2183="",0,IF(TRIM(INDEX(INDIRECT("'Выгрузка'!A2183:Z2183"),Настройки!$B$13)&amp;"")="",1,IFERROR(--SUBSTITUTE(SUBSTITUTE(TRIM(INDEX(INDIRECT("'Выгрузка'!A2183:Z2183"),Настройки!$B$13)),",","."),".",MID(1/2,2,1)),"")))</f>
        <v/>
      </c>
      <c r="H2183">
        <f>IF(F2183="",0,IF(COUNTIF(Настройки!$B$17:$B$26,F2183)&gt;0,1,IF(COUNTIF(Настройки!$C$17:$C$26,F2183)&gt;0,2,IF(COUNTIF(Настройки!$D$17:$D$26,F2183)&gt;0,3,0))))</f>
        <v/>
      </c>
      <c r="I2183">
        <f>IF(AND(ISNUMBER(A2183),ISNUMBER(B2183)),A2183*1000+B2183,"")</f>
        <v/>
      </c>
      <c r="J2183">
        <f>IF(I2183="","",IF(COUNTIF(I$2:I2183,I2183)=1,MAX(J$1:J2182)+1,""))</f>
        <v/>
      </c>
    </row>
    <row r="2184">
      <c r="A2184">
        <f>IFERROR(--SUBSTITUTE(SUBSTITUTE(TRIM(INDEX(INDIRECT("'Выгрузка'!A2184:Z2184"),Настройки!$B$7)),",","."),".",MID(1/2,2,1)),"")</f>
        <v/>
      </c>
      <c r="B2184">
        <f>IFERROR(--SUBSTITUTE(SUBSTITUTE(TRIM(INDEX(INDIRECT("'Выгрузка'!A2184:Z2184"),Настройки!$B$9)),",","."),".",MID(1/2,2,1)),"")</f>
        <v/>
      </c>
      <c r="C2184">
        <f>TRIM(INDEX(INDIRECT("'Выгрузка'!A2184:Z2184"),Настройки!$B$8)&amp;"")</f>
        <v/>
      </c>
      <c r="D2184">
        <f>IFERROR(--SUBSTITUTE(SUBSTITUTE(TRIM(INDEX(INDIRECT("'Выгрузка'!A2184:Z2184"),Настройки!$B$10)),",","."),".",MID(1/2,2,1)),"")</f>
        <v/>
      </c>
      <c r="E2184">
        <f>IFERROR(--SUBSTITUTE(SUBSTITUTE(TRIM(INDEX(INDIRECT("'Выгрузка'!A2184:Z2184"),Настройки!$B$11)),",","."),".",MID(1/2,2,1)),"")</f>
        <v/>
      </c>
      <c r="F2184">
        <f>TRIM(INDEX(INDIRECT("'Выгрузка'!A2184:Z2184"),Настройки!$B$12)&amp;"")</f>
        <v/>
      </c>
      <c r="G2184">
        <f>IF(F2184="",0,IF(TRIM(INDEX(INDIRECT("'Выгрузка'!A2184:Z2184"),Настройки!$B$13)&amp;"")="",1,IFERROR(--SUBSTITUTE(SUBSTITUTE(TRIM(INDEX(INDIRECT("'Выгрузка'!A2184:Z2184"),Настройки!$B$13)),",","."),".",MID(1/2,2,1)),"")))</f>
        <v/>
      </c>
      <c r="H2184">
        <f>IF(F2184="",0,IF(COUNTIF(Настройки!$B$17:$B$26,F2184)&gt;0,1,IF(COUNTIF(Настройки!$C$17:$C$26,F2184)&gt;0,2,IF(COUNTIF(Настройки!$D$17:$D$26,F2184)&gt;0,3,0))))</f>
        <v/>
      </c>
      <c r="I2184">
        <f>IF(AND(ISNUMBER(A2184),ISNUMBER(B2184)),A2184*1000+B2184,"")</f>
        <v/>
      </c>
      <c r="J2184">
        <f>IF(I2184="","",IF(COUNTIF(I$2:I2184,I2184)=1,MAX(J$1:J2183)+1,""))</f>
        <v/>
      </c>
    </row>
    <row r="2185">
      <c r="A2185">
        <f>IFERROR(--SUBSTITUTE(SUBSTITUTE(TRIM(INDEX(INDIRECT("'Выгрузка'!A2185:Z2185"),Настройки!$B$7)),",","."),".",MID(1/2,2,1)),"")</f>
        <v/>
      </c>
      <c r="B2185">
        <f>IFERROR(--SUBSTITUTE(SUBSTITUTE(TRIM(INDEX(INDIRECT("'Выгрузка'!A2185:Z2185"),Настройки!$B$9)),",","."),".",MID(1/2,2,1)),"")</f>
        <v/>
      </c>
      <c r="C2185">
        <f>TRIM(INDEX(INDIRECT("'Выгрузка'!A2185:Z2185"),Настройки!$B$8)&amp;"")</f>
        <v/>
      </c>
      <c r="D2185">
        <f>IFERROR(--SUBSTITUTE(SUBSTITUTE(TRIM(INDEX(INDIRECT("'Выгрузка'!A2185:Z2185"),Настройки!$B$10)),",","."),".",MID(1/2,2,1)),"")</f>
        <v/>
      </c>
      <c r="E2185">
        <f>IFERROR(--SUBSTITUTE(SUBSTITUTE(TRIM(INDEX(INDIRECT("'Выгрузка'!A2185:Z2185"),Настройки!$B$11)),",","."),".",MID(1/2,2,1)),"")</f>
        <v/>
      </c>
      <c r="F2185">
        <f>TRIM(INDEX(INDIRECT("'Выгрузка'!A2185:Z2185"),Настройки!$B$12)&amp;"")</f>
        <v/>
      </c>
      <c r="G2185">
        <f>IF(F2185="",0,IF(TRIM(INDEX(INDIRECT("'Выгрузка'!A2185:Z2185"),Настройки!$B$13)&amp;"")="",1,IFERROR(--SUBSTITUTE(SUBSTITUTE(TRIM(INDEX(INDIRECT("'Выгрузка'!A2185:Z2185"),Настройки!$B$13)),",","."),".",MID(1/2,2,1)),"")))</f>
        <v/>
      </c>
      <c r="H2185">
        <f>IF(F2185="",0,IF(COUNTIF(Настройки!$B$17:$B$26,F2185)&gt;0,1,IF(COUNTIF(Настройки!$C$17:$C$26,F2185)&gt;0,2,IF(COUNTIF(Настройки!$D$17:$D$26,F2185)&gt;0,3,0))))</f>
        <v/>
      </c>
      <c r="I2185">
        <f>IF(AND(ISNUMBER(A2185),ISNUMBER(B2185)),A2185*1000+B2185,"")</f>
        <v/>
      </c>
      <c r="J2185">
        <f>IF(I2185="","",IF(COUNTIF(I$2:I2185,I2185)=1,MAX(J$1:J2184)+1,""))</f>
        <v/>
      </c>
    </row>
    <row r="2186">
      <c r="A2186">
        <f>IFERROR(--SUBSTITUTE(SUBSTITUTE(TRIM(INDEX(INDIRECT("'Выгрузка'!A2186:Z2186"),Настройки!$B$7)),",","."),".",MID(1/2,2,1)),"")</f>
        <v/>
      </c>
      <c r="B2186">
        <f>IFERROR(--SUBSTITUTE(SUBSTITUTE(TRIM(INDEX(INDIRECT("'Выгрузка'!A2186:Z2186"),Настройки!$B$9)),",","."),".",MID(1/2,2,1)),"")</f>
        <v/>
      </c>
      <c r="C2186">
        <f>TRIM(INDEX(INDIRECT("'Выгрузка'!A2186:Z2186"),Настройки!$B$8)&amp;"")</f>
        <v/>
      </c>
      <c r="D2186">
        <f>IFERROR(--SUBSTITUTE(SUBSTITUTE(TRIM(INDEX(INDIRECT("'Выгрузка'!A2186:Z2186"),Настройки!$B$10)),",","."),".",MID(1/2,2,1)),"")</f>
        <v/>
      </c>
      <c r="E2186">
        <f>IFERROR(--SUBSTITUTE(SUBSTITUTE(TRIM(INDEX(INDIRECT("'Выгрузка'!A2186:Z2186"),Настройки!$B$11)),",","."),".",MID(1/2,2,1)),"")</f>
        <v/>
      </c>
      <c r="F2186">
        <f>TRIM(INDEX(INDIRECT("'Выгрузка'!A2186:Z2186"),Настройки!$B$12)&amp;"")</f>
        <v/>
      </c>
      <c r="G2186">
        <f>IF(F2186="",0,IF(TRIM(INDEX(INDIRECT("'Выгрузка'!A2186:Z2186"),Настройки!$B$13)&amp;"")="",1,IFERROR(--SUBSTITUTE(SUBSTITUTE(TRIM(INDEX(INDIRECT("'Выгрузка'!A2186:Z2186"),Настройки!$B$13)),",","."),".",MID(1/2,2,1)),"")))</f>
        <v/>
      </c>
      <c r="H2186">
        <f>IF(F2186="",0,IF(COUNTIF(Настройки!$B$17:$B$26,F2186)&gt;0,1,IF(COUNTIF(Настройки!$C$17:$C$26,F2186)&gt;0,2,IF(COUNTIF(Настройки!$D$17:$D$26,F2186)&gt;0,3,0))))</f>
        <v/>
      </c>
      <c r="I2186">
        <f>IF(AND(ISNUMBER(A2186),ISNUMBER(B2186)),A2186*1000+B2186,"")</f>
        <v/>
      </c>
      <c r="J2186">
        <f>IF(I2186="","",IF(COUNTIF(I$2:I2186,I2186)=1,MAX(J$1:J2185)+1,""))</f>
        <v/>
      </c>
    </row>
    <row r="2187">
      <c r="A2187">
        <f>IFERROR(--SUBSTITUTE(SUBSTITUTE(TRIM(INDEX(INDIRECT("'Выгрузка'!A2187:Z2187"),Настройки!$B$7)),",","."),".",MID(1/2,2,1)),"")</f>
        <v/>
      </c>
      <c r="B2187">
        <f>IFERROR(--SUBSTITUTE(SUBSTITUTE(TRIM(INDEX(INDIRECT("'Выгрузка'!A2187:Z2187"),Настройки!$B$9)),",","."),".",MID(1/2,2,1)),"")</f>
        <v/>
      </c>
      <c r="C2187">
        <f>TRIM(INDEX(INDIRECT("'Выгрузка'!A2187:Z2187"),Настройки!$B$8)&amp;"")</f>
        <v/>
      </c>
      <c r="D2187">
        <f>IFERROR(--SUBSTITUTE(SUBSTITUTE(TRIM(INDEX(INDIRECT("'Выгрузка'!A2187:Z2187"),Настройки!$B$10)),",","."),".",MID(1/2,2,1)),"")</f>
        <v/>
      </c>
      <c r="E2187">
        <f>IFERROR(--SUBSTITUTE(SUBSTITUTE(TRIM(INDEX(INDIRECT("'Выгрузка'!A2187:Z2187"),Настройки!$B$11)),",","."),".",MID(1/2,2,1)),"")</f>
        <v/>
      </c>
      <c r="F2187">
        <f>TRIM(INDEX(INDIRECT("'Выгрузка'!A2187:Z2187"),Настройки!$B$12)&amp;"")</f>
        <v/>
      </c>
      <c r="G2187">
        <f>IF(F2187="",0,IF(TRIM(INDEX(INDIRECT("'Выгрузка'!A2187:Z2187"),Настройки!$B$13)&amp;"")="",1,IFERROR(--SUBSTITUTE(SUBSTITUTE(TRIM(INDEX(INDIRECT("'Выгрузка'!A2187:Z2187"),Настройки!$B$13)),",","."),".",MID(1/2,2,1)),"")))</f>
        <v/>
      </c>
      <c r="H2187">
        <f>IF(F2187="",0,IF(COUNTIF(Настройки!$B$17:$B$26,F2187)&gt;0,1,IF(COUNTIF(Настройки!$C$17:$C$26,F2187)&gt;0,2,IF(COUNTIF(Настройки!$D$17:$D$26,F2187)&gt;0,3,0))))</f>
        <v/>
      </c>
      <c r="I2187">
        <f>IF(AND(ISNUMBER(A2187),ISNUMBER(B2187)),A2187*1000+B2187,"")</f>
        <v/>
      </c>
      <c r="J2187">
        <f>IF(I2187="","",IF(COUNTIF(I$2:I2187,I2187)=1,MAX(J$1:J2186)+1,""))</f>
        <v/>
      </c>
    </row>
    <row r="2188">
      <c r="A2188">
        <f>IFERROR(--SUBSTITUTE(SUBSTITUTE(TRIM(INDEX(INDIRECT("'Выгрузка'!A2188:Z2188"),Настройки!$B$7)),",","."),".",MID(1/2,2,1)),"")</f>
        <v/>
      </c>
      <c r="B2188">
        <f>IFERROR(--SUBSTITUTE(SUBSTITUTE(TRIM(INDEX(INDIRECT("'Выгрузка'!A2188:Z2188"),Настройки!$B$9)),",","."),".",MID(1/2,2,1)),"")</f>
        <v/>
      </c>
      <c r="C2188">
        <f>TRIM(INDEX(INDIRECT("'Выгрузка'!A2188:Z2188"),Настройки!$B$8)&amp;"")</f>
        <v/>
      </c>
      <c r="D2188">
        <f>IFERROR(--SUBSTITUTE(SUBSTITUTE(TRIM(INDEX(INDIRECT("'Выгрузка'!A2188:Z2188"),Настройки!$B$10)),",","."),".",MID(1/2,2,1)),"")</f>
        <v/>
      </c>
      <c r="E2188">
        <f>IFERROR(--SUBSTITUTE(SUBSTITUTE(TRIM(INDEX(INDIRECT("'Выгрузка'!A2188:Z2188"),Настройки!$B$11)),",","."),".",MID(1/2,2,1)),"")</f>
        <v/>
      </c>
      <c r="F2188">
        <f>TRIM(INDEX(INDIRECT("'Выгрузка'!A2188:Z2188"),Настройки!$B$12)&amp;"")</f>
        <v/>
      </c>
      <c r="G2188">
        <f>IF(F2188="",0,IF(TRIM(INDEX(INDIRECT("'Выгрузка'!A2188:Z2188"),Настройки!$B$13)&amp;"")="",1,IFERROR(--SUBSTITUTE(SUBSTITUTE(TRIM(INDEX(INDIRECT("'Выгрузка'!A2188:Z2188"),Настройки!$B$13)),",","."),".",MID(1/2,2,1)),"")))</f>
        <v/>
      </c>
      <c r="H2188">
        <f>IF(F2188="",0,IF(COUNTIF(Настройки!$B$17:$B$26,F2188)&gt;0,1,IF(COUNTIF(Настройки!$C$17:$C$26,F2188)&gt;0,2,IF(COUNTIF(Настройки!$D$17:$D$26,F2188)&gt;0,3,0))))</f>
        <v/>
      </c>
      <c r="I2188">
        <f>IF(AND(ISNUMBER(A2188),ISNUMBER(B2188)),A2188*1000+B2188,"")</f>
        <v/>
      </c>
      <c r="J2188">
        <f>IF(I2188="","",IF(COUNTIF(I$2:I2188,I2188)=1,MAX(J$1:J2187)+1,""))</f>
        <v/>
      </c>
    </row>
    <row r="2189">
      <c r="A2189">
        <f>IFERROR(--SUBSTITUTE(SUBSTITUTE(TRIM(INDEX(INDIRECT("'Выгрузка'!A2189:Z2189"),Настройки!$B$7)),",","."),".",MID(1/2,2,1)),"")</f>
        <v/>
      </c>
      <c r="B2189">
        <f>IFERROR(--SUBSTITUTE(SUBSTITUTE(TRIM(INDEX(INDIRECT("'Выгрузка'!A2189:Z2189"),Настройки!$B$9)),",","."),".",MID(1/2,2,1)),"")</f>
        <v/>
      </c>
      <c r="C2189">
        <f>TRIM(INDEX(INDIRECT("'Выгрузка'!A2189:Z2189"),Настройки!$B$8)&amp;"")</f>
        <v/>
      </c>
      <c r="D2189">
        <f>IFERROR(--SUBSTITUTE(SUBSTITUTE(TRIM(INDEX(INDIRECT("'Выгрузка'!A2189:Z2189"),Настройки!$B$10)),",","."),".",MID(1/2,2,1)),"")</f>
        <v/>
      </c>
      <c r="E2189">
        <f>IFERROR(--SUBSTITUTE(SUBSTITUTE(TRIM(INDEX(INDIRECT("'Выгрузка'!A2189:Z2189"),Настройки!$B$11)),",","."),".",MID(1/2,2,1)),"")</f>
        <v/>
      </c>
      <c r="F2189">
        <f>TRIM(INDEX(INDIRECT("'Выгрузка'!A2189:Z2189"),Настройки!$B$12)&amp;"")</f>
        <v/>
      </c>
      <c r="G2189">
        <f>IF(F2189="",0,IF(TRIM(INDEX(INDIRECT("'Выгрузка'!A2189:Z2189"),Настройки!$B$13)&amp;"")="",1,IFERROR(--SUBSTITUTE(SUBSTITUTE(TRIM(INDEX(INDIRECT("'Выгрузка'!A2189:Z2189"),Настройки!$B$13)),",","."),".",MID(1/2,2,1)),"")))</f>
        <v/>
      </c>
      <c r="H2189">
        <f>IF(F2189="",0,IF(COUNTIF(Настройки!$B$17:$B$26,F2189)&gt;0,1,IF(COUNTIF(Настройки!$C$17:$C$26,F2189)&gt;0,2,IF(COUNTIF(Настройки!$D$17:$D$26,F2189)&gt;0,3,0))))</f>
        <v/>
      </c>
      <c r="I2189">
        <f>IF(AND(ISNUMBER(A2189),ISNUMBER(B2189)),A2189*1000+B2189,"")</f>
        <v/>
      </c>
      <c r="J2189">
        <f>IF(I2189="","",IF(COUNTIF(I$2:I2189,I2189)=1,MAX(J$1:J2188)+1,""))</f>
        <v/>
      </c>
    </row>
    <row r="2190">
      <c r="A2190">
        <f>IFERROR(--SUBSTITUTE(SUBSTITUTE(TRIM(INDEX(INDIRECT("'Выгрузка'!A2190:Z2190"),Настройки!$B$7)),",","."),".",MID(1/2,2,1)),"")</f>
        <v/>
      </c>
      <c r="B2190">
        <f>IFERROR(--SUBSTITUTE(SUBSTITUTE(TRIM(INDEX(INDIRECT("'Выгрузка'!A2190:Z2190"),Настройки!$B$9)),",","."),".",MID(1/2,2,1)),"")</f>
        <v/>
      </c>
      <c r="C2190">
        <f>TRIM(INDEX(INDIRECT("'Выгрузка'!A2190:Z2190"),Настройки!$B$8)&amp;"")</f>
        <v/>
      </c>
      <c r="D2190">
        <f>IFERROR(--SUBSTITUTE(SUBSTITUTE(TRIM(INDEX(INDIRECT("'Выгрузка'!A2190:Z2190"),Настройки!$B$10)),",","."),".",MID(1/2,2,1)),"")</f>
        <v/>
      </c>
      <c r="E2190">
        <f>IFERROR(--SUBSTITUTE(SUBSTITUTE(TRIM(INDEX(INDIRECT("'Выгрузка'!A2190:Z2190"),Настройки!$B$11)),",","."),".",MID(1/2,2,1)),"")</f>
        <v/>
      </c>
      <c r="F2190">
        <f>TRIM(INDEX(INDIRECT("'Выгрузка'!A2190:Z2190"),Настройки!$B$12)&amp;"")</f>
        <v/>
      </c>
      <c r="G2190">
        <f>IF(F2190="",0,IF(TRIM(INDEX(INDIRECT("'Выгрузка'!A2190:Z2190"),Настройки!$B$13)&amp;"")="",1,IFERROR(--SUBSTITUTE(SUBSTITUTE(TRIM(INDEX(INDIRECT("'Выгрузка'!A2190:Z2190"),Настройки!$B$13)),",","."),".",MID(1/2,2,1)),"")))</f>
        <v/>
      </c>
      <c r="H2190">
        <f>IF(F2190="",0,IF(COUNTIF(Настройки!$B$17:$B$26,F2190)&gt;0,1,IF(COUNTIF(Настройки!$C$17:$C$26,F2190)&gt;0,2,IF(COUNTIF(Настройки!$D$17:$D$26,F2190)&gt;0,3,0))))</f>
        <v/>
      </c>
      <c r="I2190">
        <f>IF(AND(ISNUMBER(A2190),ISNUMBER(B2190)),A2190*1000+B2190,"")</f>
        <v/>
      </c>
      <c r="J2190">
        <f>IF(I2190="","",IF(COUNTIF(I$2:I2190,I2190)=1,MAX(J$1:J2189)+1,""))</f>
        <v/>
      </c>
    </row>
    <row r="2191">
      <c r="A2191">
        <f>IFERROR(--SUBSTITUTE(SUBSTITUTE(TRIM(INDEX(INDIRECT("'Выгрузка'!A2191:Z2191"),Настройки!$B$7)),",","."),".",MID(1/2,2,1)),"")</f>
        <v/>
      </c>
      <c r="B2191">
        <f>IFERROR(--SUBSTITUTE(SUBSTITUTE(TRIM(INDEX(INDIRECT("'Выгрузка'!A2191:Z2191"),Настройки!$B$9)),",","."),".",MID(1/2,2,1)),"")</f>
        <v/>
      </c>
      <c r="C2191">
        <f>TRIM(INDEX(INDIRECT("'Выгрузка'!A2191:Z2191"),Настройки!$B$8)&amp;"")</f>
        <v/>
      </c>
      <c r="D2191">
        <f>IFERROR(--SUBSTITUTE(SUBSTITUTE(TRIM(INDEX(INDIRECT("'Выгрузка'!A2191:Z2191"),Настройки!$B$10)),",","."),".",MID(1/2,2,1)),"")</f>
        <v/>
      </c>
      <c r="E2191">
        <f>IFERROR(--SUBSTITUTE(SUBSTITUTE(TRIM(INDEX(INDIRECT("'Выгрузка'!A2191:Z2191"),Настройки!$B$11)),",","."),".",MID(1/2,2,1)),"")</f>
        <v/>
      </c>
      <c r="F2191">
        <f>TRIM(INDEX(INDIRECT("'Выгрузка'!A2191:Z2191"),Настройки!$B$12)&amp;"")</f>
        <v/>
      </c>
      <c r="G2191">
        <f>IF(F2191="",0,IF(TRIM(INDEX(INDIRECT("'Выгрузка'!A2191:Z2191"),Настройки!$B$13)&amp;"")="",1,IFERROR(--SUBSTITUTE(SUBSTITUTE(TRIM(INDEX(INDIRECT("'Выгрузка'!A2191:Z2191"),Настройки!$B$13)),",","."),".",MID(1/2,2,1)),"")))</f>
        <v/>
      </c>
      <c r="H2191">
        <f>IF(F2191="",0,IF(COUNTIF(Настройки!$B$17:$B$26,F2191)&gt;0,1,IF(COUNTIF(Настройки!$C$17:$C$26,F2191)&gt;0,2,IF(COUNTIF(Настройки!$D$17:$D$26,F2191)&gt;0,3,0))))</f>
        <v/>
      </c>
      <c r="I2191">
        <f>IF(AND(ISNUMBER(A2191),ISNUMBER(B2191)),A2191*1000+B2191,"")</f>
        <v/>
      </c>
      <c r="J2191">
        <f>IF(I2191="","",IF(COUNTIF(I$2:I2191,I2191)=1,MAX(J$1:J2190)+1,""))</f>
        <v/>
      </c>
    </row>
    <row r="2192">
      <c r="A2192">
        <f>IFERROR(--SUBSTITUTE(SUBSTITUTE(TRIM(INDEX(INDIRECT("'Выгрузка'!A2192:Z2192"),Настройки!$B$7)),",","."),".",MID(1/2,2,1)),"")</f>
        <v/>
      </c>
      <c r="B2192">
        <f>IFERROR(--SUBSTITUTE(SUBSTITUTE(TRIM(INDEX(INDIRECT("'Выгрузка'!A2192:Z2192"),Настройки!$B$9)),",","."),".",MID(1/2,2,1)),"")</f>
        <v/>
      </c>
      <c r="C2192">
        <f>TRIM(INDEX(INDIRECT("'Выгрузка'!A2192:Z2192"),Настройки!$B$8)&amp;"")</f>
        <v/>
      </c>
      <c r="D2192">
        <f>IFERROR(--SUBSTITUTE(SUBSTITUTE(TRIM(INDEX(INDIRECT("'Выгрузка'!A2192:Z2192"),Настройки!$B$10)),",","."),".",MID(1/2,2,1)),"")</f>
        <v/>
      </c>
      <c r="E2192">
        <f>IFERROR(--SUBSTITUTE(SUBSTITUTE(TRIM(INDEX(INDIRECT("'Выгрузка'!A2192:Z2192"),Настройки!$B$11)),",","."),".",MID(1/2,2,1)),"")</f>
        <v/>
      </c>
      <c r="F2192">
        <f>TRIM(INDEX(INDIRECT("'Выгрузка'!A2192:Z2192"),Настройки!$B$12)&amp;"")</f>
        <v/>
      </c>
      <c r="G2192">
        <f>IF(F2192="",0,IF(TRIM(INDEX(INDIRECT("'Выгрузка'!A2192:Z2192"),Настройки!$B$13)&amp;"")="",1,IFERROR(--SUBSTITUTE(SUBSTITUTE(TRIM(INDEX(INDIRECT("'Выгрузка'!A2192:Z2192"),Настройки!$B$13)),",","."),".",MID(1/2,2,1)),"")))</f>
        <v/>
      </c>
      <c r="H2192">
        <f>IF(F2192="",0,IF(COUNTIF(Настройки!$B$17:$B$26,F2192)&gt;0,1,IF(COUNTIF(Настройки!$C$17:$C$26,F2192)&gt;0,2,IF(COUNTIF(Настройки!$D$17:$D$26,F2192)&gt;0,3,0))))</f>
        <v/>
      </c>
      <c r="I2192">
        <f>IF(AND(ISNUMBER(A2192),ISNUMBER(B2192)),A2192*1000+B2192,"")</f>
        <v/>
      </c>
      <c r="J2192">
        <f>IF(I2192="","",IF(COUNTIF(I$2:I2192,I2192)=1,MAX(J$1:J2191)+1,""))</f>
        <v/>
      </c>
    </row>
    <row r="2193">
      <c r="A2193">
        <f>IFERROR(--SUBSTITUTE(SUBSTITUTE(TRIM(INDEX(INDIRECT("'Выгрузка'!A2193:Z2193"),Настройки!$B$7)),",","."),".",MID(1/2,2,1)),"")</f>
        <v/>
      </c>
      <c r="B2193">
        <f>IFERROR(--SUBSTITUTE(SUBSTITUTE(TRIM(INDEX(INDIRECT("'Выгрузка'!A2193:Z2193"),Настройки!$B$9)),",","."),".",MID(1/2,2,1)),"")</f>
        <v/>
      </c>
      <c r="C2193">
        <f>TRIM(INDEX(INDIRECT("'Выгрузка'!A2193:Z2193"),Настройки!$B$8)&amp;"")</f>
        <v/>
      </c>
      <c r="D2193">
        <f>IFERROR(--SUBSTITUTE(SUBSTITUTE(TRIM(INDEX(INDIRECT("'Выгрузка'!A2193:Z2193"),Настройки!$B$10)),",","."),".",MID(1/2,2,1)),"")</f>
        <v/>
      </c>
      <c r="E2193">
        <f>IFERROR(--SUBSTITUTE(SUBSTITUTE(TRIM(INDEX(INDIRECT("'Выгрузка'!A2193:Z2193"),Настройки!$B$11)),",","."),".",MID(1/2,2,1)),"")</f>
        <v/>
      </c>
      <c r="F2193">
        <f>TRIM(INDEX(INDIRECT("'Выгрузка'!A2193:Z2193"),Настройки!$B$12)&amp;"")</f>
        <v/>
      </c>
      <c r="G2193">
        <f>IF(F2193="",0,IF(TRIM(INDEX(INDIRECT("'Выгрузка'!A2193:Z2193"),Настройки!$B$13)&amp;"")="",1,IFERROR(--SUBSTITUTE(SUBSTITUTE(TRIM(INDEX(INDIRECT("'Выгрузка'!A2193:Z2193"),Настройки!$B$13)),",","."),".",MID(1/2,2,1)),"")))</f>
        <v/>
      </c>
      <c r="H2193">
        <f>IF(F2193="",0,IF(COUNTIF(Настройки!$B$17:$B$26,F2193)&gt;0,1,IF(COUNTIF(Настройки!$C$17:$C$26,F2193)&gt;0,2,IF(COUNTIF(Настройки!$D$17:$D$26,F2193)&gt;0,3,0))))</f>
        <v/>
      </c>
      <c r="I2193">
        <f>IF(AND(ISNUMBER(A2193),ISNUMBER(B2193)),A2193*1000+B2193,"")</f>
        <v/>
      </c>
      <c r="J2193">
        <f>IF(I2193="","",IF(COUNTIF(I$2:I2193,I2193)=1,MAX(J$1:J2192)+1,""))</f>
        <v/>
      </c>
    </row>
    <row r="2194">
      <c r="A2194">
        <f>IFERROR(--SUBSTITUTE(SUBSTITUTE(TRIM(INDEX(INDIRECT("'Выгрузка'!A2194:Z2194"),Настройки!$B$7)),",","."),".",MID(1/2,2,1)),"")</f>
        <v/>
      </c>
      <c r="B2194">
        <f>IFERROR(--SUBSTITUTE(SUBSTITUTE(TRIM(INDEX(INDIRECT("'Выгрузка'!A2194:Z2194"),Настройки!$B$9)),",","."),".",MID(1/2,2,1)),"")</f>
        <v/>
      </c>
      <c r="C2194">
        <f>TRIM(INDEX(INDIRECT("'Выгрузка'!A2194:Z2194"),Настройки!$B$8)&amp;"")</f>
        <v/>
      </c>
      <c r="D2194">
        <f>IFERROR(--SUBSTITUTE(SUBSTITUTE(TRIM(INDEX(INDIRECT("'Выгрузка'!A2194:Z2194"),Настройки!$B$10)),",","."),".",MID(1/2,2,1)),"")</f>
        <v/>
      </c>
      <c r="E2194">
        <f>IFERROR(--SUBSTITUTE(SUBSTITUTE(TRIM(INDEX(INDIRECT("'Выгрузка'!A2194:Z2194"),Настройки!$B$11)),",","."),".",MID(1/2,2,1)),"")</f>
        <v/>
      </c>
      <c r="F2194">
        <f>TRIM(INDEX(INDIRECT("'Выгрузка'!A2194:Z2194"),Настройки!$B$12)&amp;"")</f>
        <v/>
      </c>
      <c r="G2194">
        <f>IF(F2194="",0,IF(TRIM(INDEX(INDIRECT("'Выгрузка'!A2194:Z2194"),Настройки!$B$13)&amp;"")="",1,IFERROR(--SUBSTITUTE(SUBSTITUTE(TRIM(INDEX(INDIRECT("'Выгрузка'!A2194:Z2194"),Настройки!$B$13)),",","."),".",MID(1/2,2,1)),"")))</f>
        <v/>
      </c>
      <c r="H2194">
        <f>IF(F2194="",0,IF(COUNTIF(Настройки!$B$17:$B$26,F2194)&gt;0,1,IF(COUNTIF(Настройки!$C$17:$C$26,F2194)&gt;0,2,IF(COUNTIF(Настройки!$D$17:$D$26,F2194)&gt;0,3,0))))</f>
        <v/>
      </c>
      <c r="I2194">
        <f>IF(AND(ISNUMBER(A2194),ISNUMBER(B2194)),A2194*1000+B2194,"")</f>
        <v/>
      </c>
      <c r="J2194">
        <f>IF(I2194="","",IF(COUNTIF(I$2:I2194,I2194)=1,MAX(J$1:J2193)+1,""))</f>
        <v/>
      </c>
    </row>
    <row r="2195">
      <c r="A2195">
        <f>IFERROR(--SUBSTITUTE(SUBSTITUTE(TRIM(INDEX(INDIRECT("'Выгрузка'!A2195:Z2195"),Настройки!$B$7)),",","."),".",MID(1/2,2,1)),"")</f>
        <v/>
      </c>
      <c r="B2195">
        <f>IFERROR(--SUBSTITUTE(SUBSTITUTE(TRIM(INDEX(INDIRECT("'Выгрузка'!A2195:Z2195"),Настройки!$B$9)),",","."),".",MID(1/2,2,1)),"")</f>
        <v/>
      </c>
      <c r="C2195">
        <f>TRIM(INDEX(INDIRECT("'Выгрузка'!A2195:Z2195"),Настройки!$B$8)&amp;"")</f>
        <v/>
      </c>
      <c r="D2195">
        <f>IFERROR(--SUBSTITUTE(SUBSTITUTE(TRIM(INDEX(INDIRECT("'Выгрузка'!A2195:Z2195"),Настройки!$B$10)),",","."),".",MID(1/2,2,1)),"")</f>
        <v/>
      </c>
      <c r="E2195">
        <f>IFERROR(--SUBSTITUTE(SUBSTITUTE(TRIM(INDEX(INDIRECT("'Выгрузка'!A2195:Z2195"),Настройки!$B$11)),",","."),".",MID(1/2,2,1)),"")</f>
        <v/>
      </c>
      <c r="F2195">
        <f>TRIM(INDEX(INDIRECT("'Выгрузка'!A2195:Z2195"),Настройки!$B$12)&amp;"")</f>
        <v/>
      </c>
      <c r="G2195">
        <f>IF(F2195="",0,IF(TRIM(INDEX(INDIRECT("'Выгрузка'!A2195:Z2195"),Настройки!$B$13)&amp;"")="",1,IFERROR(--SUBSTITUTE(SUBSTITUTE(TRIM(INDEX(INDIRECT("'Выгрузка'!A2195:Z2195"),Настройки!$B$13)),",","."),".",MID(1/2,2,1)),"")))</f>
        <v/>
      </c>
      <c r="H2195">
        <f>IF(F2195="",0,IF(COUNTIF(Настройки!$B$17:$B$26,F2195)&gt;0,1,IF(COUNTIF(Настройки!$C$17:$C$26,F2195)&gt;0,2,IF(COUNTIF(Настройки!$D$17:$D$26,F2195)&gt;0,3,0))))</f>
        <v/>
      </c>
      <c r="I2195">
        <f>IF(AND(ISNUMBER(A2195),ISNUMBER(B2195)),A2195*1000+B2195,"")</f>
        <v/>
      </c>
      <c r="J2195">
        <f>IF(I2195="","",IF(COUNTIF(I$2:I2195,I2195)=1,MAX(J$1:J2194)+1,""))</f>
        <v/>
      </c>
    </row>
    <row r="2196">
      <c r="A2196">
        <f>IFERROR(--SUBSTITUTE(SUBSTITUTE(TRIM(INDEX(INDIRECT("'Выгрузка'!A2196:Z2196"),Настройки!$B$7)),",","."),".",MID(1/2,2,1)),"")</f>
        <v/>
      </c>
      <c r="B2196">
        <f>IFERROR(--SUBSTITUTE(SUBSTITUTE(TRIM(INDEX(INDIRECT("'Выгрузка'!A2196:Z2196"),Настройки!$B$9)),",","."),".",MID(1/2,2,1)),"")</f>
        <v/>
      </c>
      <c r="C2196">
        <f>TRIM(INDEX(INDIRECT("'Выгрузка'!A2196:Z2196"),Настройки!$B$8)&amp;"")</f>
        <v/>
      </c>
      <c r="D2196">
        <f>IFERROR(--SUBSTITUTE(SUBSTITUTE(TRIM(INDEX(INDIRECT("'Выгрузка'!A2196:Z2196"),Настройки!$B$10)),",","."),".",MID(1/2,2,1)),"")</f>
        <v/>
      </c>
      <c r="E2196">
        <f>IFERROR(--SUBSTITUTE(SUBSTITUTE(TRIM(INDEX(INDIRECT("'Выгрузка'!A2196:Z2196"),Настройки!$B$11)),",","."),".",MID(1/2,2,1)),"")</f>
        <v/>
      </c>
      <c r="F2196">
        <f>TRIM(INDEX(INDIRECT("'Выгрузка'!A2196:Z2196"),Настройки!$B$12)&amp;"")</f>
        <v/>
      </c>
      <c r="G2196">
        <f>IF(F2196="",0,IF(TRIM(INDEX(INDIRECT("'Выгрузка'!A2196:Z2196"),Настройки!$B$13)&amp;"")="",1,IFERROR(--SUBSTITUTE(SUBSTITUTE(TRIM(INDEX(INDIRECT("'Выгрузка'!A2196:Z2196"),Настройки!$B$13)),",","."),".",MID(1/2,2,1)),"")))</f>
        <v/>
      </c>
      <c r="H2196">
        <f>IF(F2196="",0,IF(COUNTIF(Настройки!$B$17:$B$26,F2196)&gt;0,1,IF(COUNTIF(Настройки!$C$17:$C$26,F2196)&gt;0,2,IF(COUNTIF(Настройки!$D$17:$D$26,F2196)&gt;0,3,0))))</f>
        <v/>
      </c>
      <c r="I2196">
        <f>IF(AND(ISNUMBER(A2196),ISNUMBER(B2196)),A2196*1000+B2196,"")</f>
        <v/>
      </c>
      <c r="J2196">
        <f>IF(I2196="","",IF(COUNTIF(I$2:I2196,I2196)=1,MAX(J$1:J2195)+1,""))</f>
        <v/>
      </c>
    </row>
    <row r="2197">
      <c r="A2197">
        <f>IFERROR(--SUBSTITUTE(SUBSTITUTE(TRIM(INDEX(INDIRECT("'Выгрузка'!A2197:Z2197"),Настройки!$B$7)),",","."),".",MID(1/2,2,1)),"")</f>
        <v/>
      </c>
      <c r="B2197">
        <f>IFERROR(--SUBSTITUTE(SUBSTITUTE(TRIM(INDEX(INDIRECT("'Выгрузка'!A2197:Z2197"),Настройки!$B$9)),",","."),".",MID(1/2,2,1)),"")</f>
        <v/>
      </c>
      <c r="C2197">
        <f>TRIM(INDEX(INDIRECT("'Выгрузка'!A2197:Z2197"),Настройки!$B$8)&amp;"")</f>
        <v/>
      </c>
      <c r="D2197">
        <f>IFERROR(--SUBSTITUTE(SUBSTITUTE(TRIM(INDEX(INDIRECT("'Выгрузка'!A2197:Z2197"),Настройки!$B$10)),",","."),".",MID(1/2,2,1)),"")</f>
        <v/>
      </c>
      <c r="E2197">
        <f>IFERROR(--SUBSTITUTE(SUBSTITUTE(TRIM(INDEX(INDIRECT("'Выгрузка'!A2197:Z2197"),Настройки!$B$11)),",","."),".",MID(1/2,2,1)),"")</f>
        <v/>
      </c>
      <c r="F2197">
        <f>TRIM(INDEX(INDIRECT("'Выгрузка'!A2197:Z2197"),Настройки!$B$12)&amp;"")</f>
        <v/>
      </c>
      <c r="G2197">
        <f>IF(F2197="",0,IF(TRIM(INDEX(INDIRECT("'Выгрузка'!A2197:Z2197"),Настройки!$B$13)&amp;"")="",1,IFERROR(--SUBSTITUTE(SUBSTITUTE(TRIM(INDEX(INDIRECT("'Выгрузка'!A2197:Z2197"),Настройки!$B$13)),",","."),".",MID(1/2,2,1)),"")))</f>
        <v/>
      </c>
      <c r="H2197">
        <f>IF(F2197="",0,IF(COUNTIF(Настройки!$B$17:$B$26,F2197)&gt;0,1,IF(COUNTIF(Настройки!$C$17:$C$26,F2197)&gt;0,2,IF(COUNTIF(Настройки!$D$17:$D$26,F2197)&gt;0,3,0))))</f>
        <v/>
      </c>
      <c r="I2197">
        <f>IF(AND(ISNUMBER(A2197),ISNUMBER(B2197)),A2197*1000+B2197,"")</f>
        <v/>
      </c>
      <c r="J2197">
        <f>IF(I2197="","",IF(COUNTIF(I$2:I2197,I2197)=1,MAX(J$1:J2196)+1,""))</f>
        <v/>
      </c>
    </row>
    <row r="2198">
      <c r="A2198">
        <f>IFERROR(--SUBSTITUTE(SUBSTITUTE(TRIM(INDEX(INDIRECT("'Выгрузка'!A2198:Z2198"),Настройки!$B$7)),",","."),".",MID(1/2,2,1)),"")</f>
        <v/>
      </c>
      <c r="B2198">
        <f>IFERROR(--SUBSTITUTE(SUBSTITUTE(TRIM(INDEX(INDIRECT("'Выгрузка'!A2198:Z2198"),Настройки!$B$9)),",","."),".",MID(1/2,2,1)),"")</f>
        <v/>
      </c>
      <c r="C2198">
        <f>TRIM(INDEX(INDIRECT("'Выгрузка'!A2198:Z2198"),Настройки!$B$8)&amp;"")</f>
        <v/>
      </c>
      <c r="D2198">
        <f>IFERROR(--SUBSTITUTE(SUBSTITUTE(TRIM(INDEX(INDIRECT("'Выгрузка'!A2198:Z2198"),Настройки!$B$10)),",","."),".",MID(1/2,2,1)),"")</f>
        <v/>
      </c>
      <c r="E2198">
        <f>IFERROR(--SUBSTITUTE(SUBSTITUTE(TRIM(INDEX(INDIRECT("'Выгрузка'!A2198:Z2198"),Настройки!$B$11)),",","."),".",MID(1/2,2,1)),"")</f>
        <v/>
      </c>
      <c r="F2198">
        <f>TRIM(INDEX(INDIRECT("'Выгрузка'!A2198:Z2198"),Настройки!$B$12)&amp;"")</f>
        <v/>
      </c>
      <c r="G2198">
        <f>IF(F2198="",0,IF(TRIM(INDEX(INDIRECT("'Выгрузка'!A2198:Z2198"),Настройки!$B$13)&amp;"")="",1,IFERROR(--SUBSTITUTE(SUBSTITUTE(TRIM(INDEX(INDIRECT("'Выгрузка'!A2198:Z2198"),Настройки!$B$13)),",","."),".",MID(1/2,2,1)),"")))</f>
        <v/>
      </c>
      <c r="H2198">
        <f>IF(F2198="",0,IF(COUNTIF(Настройки!$B$17:$B$26,F2198)&gt;0,1,IF(COUNTIF(Настройки!$C$17:$C$26,F2198)&gt;0,2,IF(COUNTIF(Настройки!$D$17:$D$26,F2198)&gt;0,3,0))))</f>
        <v/>
      </c>
      <c r="I2198">
        <f>IF(AND(ISNUMBER(A2198),ISNUMBER(B2198)),A2198*1000+B2198,"")</f>
        <v/>
      </c>
      <c r="J2198">
        <f>IF(I2198="","",IF(COUNTIF(I$2:I2198,I2198)=1,MAX(J$1:J2197)+1,""))</f>
        <v/>
      </c>
    </row>
    <row r="2199">
      <c r="A2199">
        <f>IFERROR(--SUBSTITUTE(SUBSTITUTE(TRIM(INDEX(INDIRECT("'Выгрузка'!A2199:Z2199"),Настройки!$B$7)),",","."),".",MID(1/2,2,1)),"")</f>
        <v/>
      </c>
      <c r="B2199">
        <f>IFERROR(--SUBSTITUTE(SUBSTITUTE(TRIM(INDEX(INDIRECT("'Выгрузка'!A2199:Z2199"),Настройки!$B$9)),",","."),".",MID(1/2,2,1)),"")</f>
        <v/>
      </c>
      <c r="C2199">
        <f>TRIM(INDEX(INDIRECT("'Выгрузка'!A2199:Z2199"),Настройки!$B$8)&amp;"")</f>
        <v/>
      </c>
      <c r="D2199">
        <f>IFERROR(--SUBSTITUTE(SUBSTITUTE(TRIM(INDEX(INDIRECT("'Выгрузка'!A2199:Z2199"),Настройки!$B$10)),",","."),".",MID(1/2,2,1)),"")</f>
        <v/>
      </c>
      <c r="E2199">
        <f>IFERROR(--SUBSTITUTE(SUBSTITUTE(TRIM(INDEX(INDIRECT("'Выгрузка'!A2199:Z2199"),Настройки!$B$11)),",","."),".",MID(1/2,2,1)),"")</f>
        <v/>
      </c>
      <c r="F2199">
        <f>TRIM(INDEX(INDIRECT("'Выгрузка'!A2199:Z2199"),Настройки!$B$12)&amp;"")</f>
        <v/>
      </c>
      <c r="G2199">
        <f>IF(F2199="",0,IF(TRIM(INDEX(INDIRECT("'Выгрузка'!A2199:Z2199"),Настройки!$B$13)&amp;"")="",1,IFERROR(--SUBSTITUTE(SUBSTITUTE(TRIM(INDEX(INDIRECT("'Выгрузка'!A2199:Z2199"),Настройки!$B$13)),",","."),".",MID(1/2,2,1)),"")))</f>
        <v/>
      </c>
      <c r="H2199">
        <f>IF(F2199="",0,IF(COUNTIF(Настройки!$B$17:$B$26,F2199)&gt;0,1,IF(COUNTIF(Настройки!$C$17:$C$26,F2199)&gt;0,2,IF(COUNTIF(Настройки!$D$17:$D$26,F2199)&gt;0,3,0))))</f>
        <v/>
      </c>
      <c r="I2199">
        <f>IF(AND(ISNUMBER(A2199),ISNUMBER(B2199)),A2199*1000+B2199,"")</f>
        <v/>
      </c>
      <c r="J2199">
        <f>IF(I2199="","",IF(COUNTIF(I$2:I2199,I2199)=1,MAX(J$1:J2198)+1,""))</f>
        <v/>
      </c>
    </row>
    <row r="2200">
      <c r="A2200">
        <f>IFERROR(--SUBSTITUTE(SUBSTITUTE(TRIM(INDEX(INDIRECT("'Выгрузка'!A2200:Z2200"),Настройки!$B$7)),",","."),".",MID(1/2,2,1)),"")</f>
        <v/>
      </c>
      <c r="B2200">
        <f>IFERROR(--SUBSTITUTE(SUBSTITUTE(TRIM(INDEX(INDIRECT("'Выгрузка'!A2200:Z2200"),Настройки!$B$9)),",","."),".",MID(1/2,2,1)),"")</f>
        <v/>
      </c>
      <c r="C2200">
        <f>TRIM(INDEX(INDIRECT("'Выгрузка'!A2200:Z2200"),Настройки!$B$8)&amp;"")</f>
        <v/>
      </c>
      <c r="D2200">
        <f>IFERROR(--SUBSTITUTE(SUBSTITUTE(TRIM(INDEX(INDIRECT("'Выгрузка'!A2200:Z2200"),Настройки!$B$10)),",","."),".",MID(1/2,2,1)),"")</f>
        <v/>
      </c>
      <c r="E2200">
        <f>IFERROR(--SUBSTITUTE(SUBSTITUTE(TRIM(INDEX(INDIRECT("'Выгрузка'!A2200:Z2200"),Настройки!$B$11)),",","."),".",MID(1/2,2,1)),"")</f>
        <v/>
      </c>
      <c r="F2200">
        <f>TRIM(INDEX(INDIRECT("'Выгрузка'!A2200:Z2200"),Настройки!$B$12)&amp;"")</f>
        <v/>
      </c>
      <c r="G2200">
        <f>IF(F2200="",0,IF(TRIM(INDEX(INDIRECT("'Выгрузка'!A2200:Z2200"),Настройки!$B$13)&amp;"")="",1,IFERROR(--SUBSTITUTE(SUBSTITUTE(TRIM(INDEX(INDIRECT("'Выгрузка'!A2200:Z2200"),Настройки!$B$13)),",","."),".",MID(1/2,2,1)),"")))</f>
        <v/>
      </c>
      <c r="H2200">
        <f>IF(F2200="",0,IF(COUNTIF(Настройки!$B$17:$B$26,F2200)&gt;0,1,IF(COUNTIF(Настройки!$C$17:$C$26,F2200)&gt;0,2,IF(COUNTIF(Настройки!$D$17:$D$26,F2200)&gt;0,3,0))))</f>
        <v/>
      </c>
      <c r="I2200">
        <f>IF(AND(ISNUMBER(A2200),ISNUMBER(B2200)),A2200*1000+B2200,"")</f>
        <v/>
      </c>
      <c r="J2200">
        <f>IF(I2200="","",IF(COUNTIF(I$2:I2200,I2200)=1,MAX(J$1:J2199)+1,""))</f>
        <v/>
      </c>
    </row>
    <row r="2201">
      <c r="A2201">
        <f>IFERROR(--SUBSTITUTE(SUBSTITUTE(TRIM(INDEX(INDIRECT("'Выгрузка'!A2201:Z2201"),Настройки!$B$7)),",","."),".",MID(1/2,2,1)),"")</f>
        <v/>
      </c>
      <c r="B2201">
        <f>IFERROR(--SUBSTITUTE(SUBSTITUTE(TRIM(INDEX(INDIRECT("'Выгрузка'!A2201:Z2201"),Настройки!$B$9)),",","."),".",MID(1/2,2,1)),"")</f>
        <v/>
      </c>
      <c r="C2201">
        <f>TRIM(INDEX(INDIRECT("'Выгрузка'!A2201:Z2201"),Настройки!$B$8)&amp;"")</f>
        <v/>
      </c>
      <c r="D2201">
        <f>IFERROR(--SUBSTITUTE(SUBSTITUTE(TRIM(INDEX(INDIRECT("'Выгрузка'!A2201:Z2201"),Настройки!$B$10)),",","."),".",MID(1/2,2,1)),"")</f>
        <v/>
      </c>
      <c r="E2201">
        <f>IFERROR(--SUBSTITUTE(SUBSTITUTE(TRIM(INDEX(INDIRECT("'Выгрузка'!A2201:Z2201"),Настройки!$B$11)),",","."),".",MID(1/2,2,1)),"")</f>
        <v/>
      </c>
      <c r="F2201">
        <f>TRIM(INDEX(INDIRECT("'Выгрузка'!A2201:Z2201"),Настройки!$B$12)&amp;"")</f>
        <v/>
      </c>
      <c r="G2201">
        <f>IF(F2201="",0,IF(TRIM(INDEX(INDIRECT("'Выгрузка'!A2201:Z2201"),Настройки!$B$13)&amp;"")="",1,IFERROR(--SUBSTITUTE(SUBSTITUTE(TRIM(INDEX(INDIRECT("'Выгрузка'!A2201:Z2201"),Настройки!$B$13)),",","."),".",MID(1/2,2,1)),"")))</f>
        <v/>
      </c>
      <c r="H2201">
        <f>IF(F2201="",0,IF(COUNTIF(Настройки!$B$17:$B$26,F2201)&gt;0,1,IF(COUNTIF(Настройки!$C$17:$C$26,F2201)&gt;0,2,IF(COUNTIF(Настройки!$D$17:$D$26,F2201)&gt;0,3,0))))</f>
        <v/>
      </c>
      <c r="I2201">
        <f>IF(AND(ISNUMBER(A2201),ISNUMBER(B2201)),A2201*1000+B2201,"")</f>
        <v/>
      </c>
      <c r="J2201">
        <f>IF(I2201="","",IF(COUNTIF(I$2:I2201,I2201)=1,MAX(J$1:J2200)+1,""))</f>
        <v/>
      </c>
    </row>
    <row r="2202">
      <c r="A2202">
        <f>IFERROR(--SUBSTITUTE(SUBSTITUTE(TRIM(INDEX(INDIRECT("'Выгрузка'!A2202:Z2202"),Настройки!$B$7)),",","."),".",MID(1/2,2,1)),"")</f>
        <v/>
      </c>
      <c r="B2202">
        <f>IFERROR(--SUBSTITUTE(SUBSTITUTE(TRIM(INDEX(INDIRECT("'Выгрузка'!A2202:Z2202"),Настройки!$B$9)),",","."),".",MID(1/2,2,1)),"")</f>
        <v/>
      </c>
      <c r="C2202">
        <f>TRIM(INDEX(INDIRECT("'Выгрузка'!A2202:Z2202"),Настройки!$B$8)&amp;"")</f>
        <v/>
      </c>
      <c r="D2202">
        <f>IFERROR(--SUBSTITUTE(SUBSTITUTE(TRIM(INDEX(INDIRECT("'Выгрузка'!A2202:Z2202"),Настройки!$B$10)),",","."),".",MID(1/2,2,1)),"")</f>
        <v/>
      </c>
      <c r="E2202">
        <f>IFERROR(--SUBSTITUTE(SUBSTITUTE(TRIM(INDEX(INDIRECT("'Выгрузка'!A2202:Z2202"),Настройки!$B$11)),",","."),".",MID(1/2,2,1)),"")</f>
        <v/>
      </c>
      <c r="F2202">
        <f>TRIM(INDEX(INDIRECT("'Выгрузка'!A2202:Z2202"),Настройки!$B$12)&amp;"")</f>
        <v/>
      </c>
      <c r="G2202">
        <f>IF(F2202="",0,IF(TRIM(INDEX(INDIRECT("'Выгрузка'!A2202:Z2202"),Настройки!$B$13)&amp;"")="",1,IFERROR(--SUBSTITUTE(SUBSTITUTE(TRIM(INDEX(INDIRECT("'Выгрузка'!A2202:Z2202"),Настройки!$B$13)),",","."),".",MID(1/2,2,1)),"")))</f>
        <v/>
      </c>
      <c r="H2202">
        <f>IF(F2202="",0,IF(COUNTIF(Настройки!$B$17:$B$26,F2202)&gt;0,1,IF(COUNTIF(Настройки!$C$17:$C$26,F2202)&gt;0,2,IF(COUNTIF(Настройки!$D$17:$D$26,F2202)&gt;0,3,0))))</f>
        <v/>
      </c>
      <c r="I2202">
        <f>IF(AND(ISNUMBER(A2202),ISNUMBER(B2202)),A2202*1000+B2202,"")</f>
        <v/>
      </c>
      <c r="J2202">
        <f>IF(I2202="","",IF(COUNTIF(I$2:I2202,I2202)=1,MAX(J$1:J2201)+1,""))</f>
        <v/>
      </c>
    </row>
    <row r="2203">
      <c r="A2203">
        <f>IFERROR(--SUBSTITUTE(SUBSTITUTE(TRIM(INDEX(INDIRECT("'Выгрузка'!A2203:Z2203"),Настройки!$B$7)),",","."),".",MID(1/2,2,1)),"")</f>
        <v/>
      </c>
      <c r="B2203">
        <f>IFERROR(--SUBSTITUTE(SUBSTITUTE(TRIM(INDEX(INDIRECT("'Выгрузка'!A2203:Z2203"),Настройки!$B$9)),",","."),".",MID(1/2,2,1)),"")</f>
        <v/>
      </c>
      <c r="C2203">
        <f>TRIM(INDEX(INDIRECT("'Выгрузка'!A2203:Z2203"),Настройки!$B$8)&amp;"")</f>
        <v/>
      </c>
      <c r="D2203">
        <f>IFERROR(--SUBSTITUTE(SUBSTITUTE(TRIM(INDEX(INDIRECT("'Выгрузка'!A2203:Z2203"),Настройки!$B$10)),",","."),".",MID(1/2,2,1)),"")</f>
        <v/>
      </c>
      <c r="E2203">
        <f>IFERROR(--SUBSTITUTE(SUBSTITUTE(TRIM(INDEX(INDIRECT("'Выгрузка'!A2203:Z2203"),Настройки!$B$11)),",","."),".",MID(1/2,2,1)),"")</f>
        <v/>
      </c>
      <c r="F2203">
        <f>TRIM(INDEX(INDIRECT("'Выгрузка'!A2203:Z2203"),Настройки!$B$12)&amp;"")</f>
        <v/>
      </c>
      <c r="G2203">
        <f>IF(F2203="",0,IF(TRIM(INDEX(INDIRECT("'Выгрузка'!A2203:Z2203"),Настройки!$B$13)&amp;"")="",1,IFERROR(--SUBSTITUTE(SUBSTITUTE(TRIM(INDEX(INDIRECT("'Выгрузка'!A2203:Z2203"),Настройки!$B$13)),",","."),".",MID(1/2,2,1)),"")))</f>
        <v/>
      </c>
      <c r="H2203">
        <f>IF(F2203="",0,IF(COUNTIF(Настройки!$B$17:$B$26,F2203)&gt;0,1,IF(COUNTIF(Настройки!$C$17:$C$26,F2203)&gt;0,2,IF(COUNTIF(Настройки!$D$17:$D$26,F2203)&gt;0,3,0))))</f>
        <v/>
      </c>
      <c r="I2203">
        <f>IF(AND(ISNUMBER(A2203),ISNUMBER(B2203)),A2203*1000+B2203,"")</f>
        <v/>
      </c>
      <c r="J2203">
        <f>IF(I2203="","",IF(COUNTIF(I$2:I2203,I2203)=1,MAX(J$1:J2202)+1,""))</f>
        <v/>
      </c>
    </row>
    <row r="2204">
      <c r="A2204">
        <f>IFERROR(--SUBSTITUTE(SUBSTITUTE(TRIM(INDEX(INDIRECT("'Выгрузка'!A2204:Z2204"),Настройки!$B$7)),",","."),".",MID(1/2,2,1)),"")</f>
        <v/>
      </c>
      <c r="B2204">
        <f>IFERROR(--SUBSTITUTE(SUBSTITUTE(TRIM(INDEX(INDIRECT("'Выгрузка'!A2204:Z2204"),Настройки!$B$9)),",","."),".",MID(1/2,2,1)),"")</f>
        <v/>
      </c>
      <c r="C2204">
        <f>TRIM(INDEX(INDIRECT("'Выгрузка'!A2204:Z2204"),Настройки!$B$8)&amp;"")</f>
        <v/>
      </c>
      <c r="D2204">
        <f>IFERROR(--SUBSTITUTE(SUBSTITUTE(TRIM(INDEX(INDIRECT("'Выгрузка'!A2204:Z2204"),Настройки!$B$10)),",","."),".",MID(1/2,2,1)),"")</f>
        <v/>
      </c>
      <c r="E2204">
        <f>IFERROR(--SUBSTITUTE(SUBSTITUTE(TRIM(INDEX(INDIRECT("'Выгрузка'!A2204:Z2204"),Настройки!$B$11)),",","."),".",MID(1/2,2,1)),"")</f>
        <v/>
      </c>
      <c r="F2204">
        <f>TRIM(INDEX(INDIRECT("'Выгрузка'!A2204:Z2204"),Настройки!$B$12)&amp;"")</f>
        <v/>
      </c>
      <c r="G2204">
        <f>IF(F2204="",0,IF(TRIM(INDEX(INDIRECT("'Выгрузка'!A2204:Z2204"),Настройки!$B$13)&amp;"")="",1,IFERROR(--SUBSTITUTE(SUBSTITUTE(TRIM(INDEX(INDIRECT("'Выгрузка'!A2204:Z2204"),Настройки!$B$13)),",","."),".",MID(1/2,2,1)),"")))</f>
        <v/>
      </c>
      <c r="H2204">
        <f>IF(F2204="",0,IF(COUNTIF(Настройки!$B$17:$B$26,F2204)&gt;0,1,IF(COUNTIF(Настройки!$C$17:$C$26,F2204)&gt;0,2,IF(COUNTIF(Настройки!$D$17:$D$26,F2204)&gt;0,3,0))))</f>
        <v/>
      </c>
      <c r="I2204">
        <f>IF(AND(ISNUMBER(A2204),ISNUMBER(B2204)),A2204*1000+B2204,"")</f>
        <v/>
      </c>
      <c r="J2204">
        <f>IF(I2204="","",IF(COUNTIF(I$2:I2204,I2204)=1,MAX(J$1:J2203)+1,""))</f>
        <v/>
      </c>
    </row>
    <row r="2205">
      <c r="A2205">
        <f>IFERROR(--SUBSTITUTE(SUBSTITUTE(TRIM(INDEX(INDIRECT("'Выгрузка'!A2205:Z2205"),Настройки!$B$7)),",","."),".",MID(1/2,2,1)),"")</f>
        <v/>
      </c>
      <c r="B2205">
        <f>IFERROR(--SUBSTITUTE(SUBSTITUTE(TRIM(INDEX(INDIRECT("'Выгрузка'!A2205:Z2205"),Настройки!$B$9)),",","."),".",MID(1/2,2,1)),"")</f>
        <v/>
      </c>
      <c r="C2205">
        <f>TRIM(INDEX(INDIRECT("'Выгрузка'!A2205:Z2205"),Настройки!$B$8)&amp;"")</f>
        <v/>
      </c>
      <c r="D2205">
        <f>IFERROR(--SUBSTITUTE(SUBSTITUTE(TRIM(INDEX(INDIRECT("'Выгрузка'!A2205:Z2205"),Настройки!$B$10)),",","."),".",MID(1/2,2,1)),"")</f>
        <v/>
      </c>
      <c r="E2205">
        <f>IFERROR(--SUBSTITUTE(SUBSTITUTE(TRIM(INDEX(INDIRECT("'Выгрузка'!A2205:Z2205"),Настройки!$B$11)),",","."),".",MID(1/2,2,1)),"")</f>
        <v/>
      </c>
      <c r="F2205">
        <f>TRIM(INDEX(INDIRECT("'Выгрузка'!A2205:Z2205"),Настройки!$B$12)&amp;"")</f>
        <v/>
      </c>
      <c r="G2205">
        <f>IF(F2205="",0,IF(TRIM(INDEX(INDIRECT("'Выгрузка'!A2205:Z2205"),Настройки!$B$13)&amp;"")="",1,IFERROR(--SUBSTITUTE(SUBSTITUTE(TRIM(INDEX(INDIRECT("'Выгрузка'!A2205:Z2205"),Настройки!$B$13)),",","."),".",MID(1/2,2,1)),"")))</f>
        <v/>
      </c>
      <c r="H2205">
        <f>IF(F2205="",0,IF(COUNTIF(Настройки!$B$17:$B$26,F2205)&gt;0,1,IF(COUNTIF(Настройки!$C$17:$C$26,F2205)&gt;0,2,IF(COUNTIF(Настройки!$D$17:$D$26,F2205)&gt;0,3,0))))</f>
        <v/>
      </c>
      <c r="I2205">
        <f>IF(AND(ISNUMBER(A2205),ISNUMBER(B2205)),A2205*1000+B2205,"")</f>
        <v/>
      </c>
      <c r="J2205">
        <f>IF(I2205="","",IF(COUNTIF(I$2:I2205,I2205)=1,MAX(J$1:J2204)+1,""))</f>
        <v/>
      </c>
    </row>
    <row r="2206">
      <c r="A2206">
        <f>IFERROR(--SUBSTITUTE(SUBSTITUTE(TRIM(INDEX(INDIRECT("'Выгрузка'!A2206:Z2206"),Настройки!$B$7)),",","."),".",MID(1/2,2,1)),"")</f>
        <v/>
      </c>
      <c r="B2206">
        <f>IFERROR(--SUBSTITUTE(SUBSTITUTE(TRIM(INDEX(INDIRECT("'Выгрузка'!A2206:Z2206"),Настройки!$B$9)),",","."),".",MID(1/2,2,1)),"")</f>
        <v/>
      </c>
      <c r="C2206">
        <f>TRIM(INDEX(INDIRECT("'Выгрузка'!A2206:Z2206"),Настройки!$B$8)&amp;"")</f>
        <v/>
      </c>
      <c r="D2206">
        <f>IFERROR(--SUBSTITUTE(SUBSTITUTE(TRIM(INDEX(INDIRECT("'Выгрузка'!A2206:Z2206"),Настройки!$B$10)),",","."),".",MID(1/2,2,1)),"")</f>
        <v/>
      </c>
      <c r="E2206">
        <f>IFERROR(--SUBSTITUTE(SUBSTITUTE(TRIM(INDEX(INDIRECT("'Выгрузка'!A2206:Z2206"),Настройки!$B$11)),",","."),".",MID(1/2,2,1)),"")</f>
        <v/>
      </c>
      <c r="F2206">
        <f>TRIM(INDEX(INDIRECT("'Выгрузка'!A2206:Z2206"),Настройки!$B$12)&amp;"")</f>
        <v/>
      </c>
      <c r="G2206">
        <f>IF(F2206="",0,IF(TRIM(INDEX(INDIRECT("'Выгрузка'!A2206:Z2206"),Настройки!$B$13)&amp;"")="",1,IFERROR(--SUBSTITUTE(SUBSTITUTE(TRIM(INDEX(INDIRECT("'Выгрузка'!A2206:Z2206"),Настройки!$B$13)),",","."),".",MID(1/2,2,1)),"")))</f>
        <v/>
      </c>
      <c r="H2206">
        <f>IF(F2206="",0,IF(COUNTIF(Настройки!$B$17:$B$26,F2206)&gt;0,1,IF(COUNTIF(Настройки!$C$17:$C$26,F2206)&gt;0,2,IF(COUNTIF(Настройки!$D$17:$D$26,F2206)&gt;0,3,0))))</f>
        <v/>
      </c>
      <c r="I2206">
        <f>IF(AND(ISNUMBER(A2206),ISNUMBER(B2206)),A2206*1000+B2206,"")</f>
        <v/>
      </c>
      <c r="J2206">
        <f>IF(I2206="","",IF(COUNTIF(I$2:I2206,I2206)=1,MAX(J$1:J2205)+1,""))</f>
        <v/>
      </c>
    </row>
    <row r="2207">
      <c r="A2207">
        <f>IFERROR(--SUBSTITUTE(SUBSTITUTE(TRIM(INDEX(INDIRECT("'Выгрузка'!A2207:Z2207"),Настройки!$B$7)),",","."),".",MID(1/2,2,1)),"")</f>
        <v/>
      </c>
      <c r="B2207">
        <f>IFERROR(--SUBSTITUTE(SUBSTITUTE(TRIM(INDEX(INDIRECT("'Выгрузка'!A2207:Z2207"),Настройки!$B$9)),",","."),".",MID(1/2,2,1)),"")</f>
        <v/>
      </c>
      <c r="C2207">
        <f>TRIM(INDEX(INDIRECT("'Выгрузка'!A2207:Z2207"),Настройки!$B$8)&amp;"")</f>
        <v/>
      </c>
      <c r="D2207">
        <f>IFERROR(--SUBSTITUTE(SUBSTITUTE(TRIM(INDEX(INDIRECT("'Выгрузка'!A2207:Z2207"),Настройки!$B$10)),",","."),".",MID(1/2,2,1)),"")</f>
        <v/>
      </c>
      <c r="E2207">
        <f>IFERROR(--SUBSTITUTE(SUBSTITUTE(TRIM(INDEX(INDIRECT("'Выгрузка'!A2207:Z2207"),Настройки!$B$11)),",","."),".",MID(1/2,2,1)),"")</f>
        <v/>
      </c>
      <c r="F2207">
        <f>TRIM(INDEX(INDIRECT("'Выгрузка'!A2207:Z2207"),Настройки!$B$12)&amp;"")</f>
        <v/>
      </c>
      <c r="G2207">
        <f>IF(F2207="",0,IF(TRIM(INDEX(INDIRECT("'Выгрузка'!A2207:Z2207"),Настройки!$B$13)&amp;"")="",1,IFERROR(--SUBSTITUTE(SUBSTITUTE(TRIM(INDEX(INDIRECT("'Выгрузка'!A2207:Z2207"),Настройки!$B$13)),",","."),".",MID(1/2,2,1)),"")))</f>
        <v/>
      </c>
      <c r="H2207">
        <f>IF(F2207="",0,IF(COUNTIF(Настройки!$B$17:$B$26,F2207)&gt;0,1,IF(COUNTIF(Настройки!$C$17:$C$26,F2207)&gt;0,2,IF(COUNTIF(Настройки!$D$17:$D$26,F2207)&gt;0,3,0))))</f>
        <v/>
      </c>
      <c r="I2207">
        <f>IF(AND(ISNUMBER(A2207),ISNUMBER(B2207)),A2207*1000+B2207,"")</f>
        <v/>
      </c>
      <c r="J2207">
        <f>IF(I2207="","",IF(COUNTIF(I$2:I2207,I2207)=1,MAX(J$1:J2206)+1,""))</f>
        <v/>
      </c>
    </row>
    <row r="2208">
      <c r="A2208">
        <f>IFERROR(--SUBSTITUTE(SUBSTITUTE(TRIM(INDEX(INDIRECT("'Выгрузка'!A2208:Z2208"),Настройки!$B$7)),",","."),".",MID(1/2,2,1)),"")</f>
        <v/>
      </c>
      <c r="B2208">
        <f>IFERROR(--SUBSTITUTE(SUBSTITUTE(TRIM(INDEX(INDIRECT("'Выгрузка'!A2208:Z2208"),Настройки!$B$9)),",","."),".",MID(1/2,2,1)),"")</f>
        <v/>
      </c>
      <c r="C2208">
        <f>TRIM(INDEX(INDIRECT("'Выгрузка'!A2208:Z2208"),Настройки!$B$8)&amp;"")</f>
        <v/>
      </c>
      <c r="D2208">
        <f>IFERROR(--SUBSTITUTE(SUBSTITUTE(TRIM(INDEX(INDIRECT("'Выгрузка'!A2208:Z2208"),Настройки!$B$10)),",","."),".",MID(1/2,2,1)),"")</f>
        <v/>
      </c>
      <c r="E2208">
        <f>IFERROR(--SUBSTITUTE(SUBSTITUTE(TRIM(INDEX(INDIRECT("'Выгрузка'!A2208:Z2208"),Настройки!$B$11)),",","."),".",MID(1/2,2,1)),"")</f>
        <v/>
      </c>
      <c r="F2208">
        <f>TRIM(INDEX(INDIRECT("'Выгрузка'!A2208:Z2208"),Настройки!$B$12)&amp;"")</f>
        <v/>
      </c>
      <c r="G2208">
        <f>IF(F2208="",0,IF(TRIM(INDEX(INDIRECT("'Выгрузка'!A2208:Z2208"),Настройки!$B$13)&amp;"")="",1,IFERROR(--SUBSTITUTE(SUBSTITUTE(TRIM(INDEX(INDIRECT("'Выгрузка'!A2208:Z2208"),Настройки!$B$13)),",","."),".",MID(1/2,2,1)),"")))</f>
        <v/>
      </c>
      <c r="H2208">
        <f>IF(F2208="",0,IF(COUNTIF(Настройки!$B$17:$B$26,F2208)&gt;0,1,IF(COUNTIF(Настройки!$C$17:$C$26,F2208)&gt;0,2,IF(COUNTIF(Настройки!$D$17:$D$26,F2208)&gt;0,3,0))))</f>
        <v/>
      </c>
      <c r="I2208">
        <f>IF(AND(ISNUMBER(A2208),ISNUMBER(B2208)),A2208*1000+B2208,"")</f>
        <v/>
      </c>
      <c r="J2208">
        <f>IF(I2208="","",IF(COUNTIF(I$2:I2208,I2208)=1,MAX(J$1:J2207)+1,""))</f>
        <v/>
      </c>
    </row>
    <row r="2209">
      <c r="A2209">
        <f>IFERROR(--SUBSTITUTE(SUBSTITUTE(TRIM(INDEX(INDIRECT("'Выгрузка'!A2209:Z2209"),Настройки!$B$7)),",","."),".",MID(1/2,2,1)),"")</f>
        <v/>
      </c>
      <c r="B2209">
        <f>IFERROR(--SUBSTITUTE(SUBSTITUTE(TRIM(INDEX(INDIRECT("'Выгрузка'!A2209:Z2209"),Настройки!$B$9)),",","."),".",MID(1/2,2,1)),"")</f>
        <v/>
      </c>
      <c r="C2209">
        <f>TRIM(INDEX(INDIRECT("'Выгрузка'!A2209:Z2209"),Настройки!$B$8)&amp;"")</f>
        <v/>
      </c>
      <c r="D2209">
        <f>IFERROR(--SUBSTITUTE(SUBSTITUTE(TRIM(INDEX(INDIRECT("'Выгрузка'!A2209:Z2209"),Настройки!$B$10)),",","."),".",MID(1/2,2,1)),"")</f>
        <v/>
      </c>
      <c r="E2209">
        <f>IFERROR(--SUBSTITUTE(SUBSTITUTE(TRIM(INDEX(INDIRECT("'Выгрузка'!A2209:Z2209"),Настройки!$B$11)),",","."),".",MID(1/2,2,1)),"")</f>
        <v/>
      </c>
      <c r="F2209">
        <f>TRIM(INDEX(INDIRECT("'Выгрузка'!A2209:Z2209"),Настройки!$B$12)&amp;"")</f>
        <v/>
      </c>
      <c r="G2209">
        <f>IF(F2209="",0,IF(TRIM(INDEX(INDIRECT("'Выгрузка'!A2209:Z2209"),Настройки!$B$13)&amp;"")="",1,IFERROR(--SUBSTITUTE(SUBSTITUTE(TRIM(INDEX(INDIRECT("'Выгрузка'!A2209:Z2209"),Настройки!$B$13)),",","."),".",MID(1/2,2,1)),"")))</f>
        <v/>
      </c>
      <c r="H2209">
        <f>IF(F2209="",0,IF(COUNTIF(Настройки!$B$17:$B$26,F2209)&gt;0,1,IF(COUNTIF(Настройки!$C$17:$C$26,F2209)&gt;0,2,IF(COUNTIF(Настройки!$D$17:$D$26,F2209)&gt;0,3,0))))</f>
        <v/>
      </c>
      <c r="I2209">
        <f>IF(AND(ISNUMBER(A2209),ISNUMBER(B2209)),A2209*1000+B2209,"")</f>
        <v/>
      </c>
      <c r="J2209">
        <f>IF(I2209="","",IF(COUNTIF(I$2:I2209,I2209)=1,MAX(J$1:J2208)+1,""))</f>
        <v/>
      </c>
    </row>
    <row r="2210">
      <c r="A2210">
        <f>IFERROR(--SUBSTITUTE(SUBSTITUTE(TRIM(INDEX(INDIRECT("'Выгрузка'!A2210:Z2210"),Настройки!$B$7)),",","."),".",MID(1/2,2,1)),"")</f>
        <v/>
      </c>
      <c r="B2210">
        <f>IFERROR(--SUBSTITUTE(SUBSTITUTE(TRIM(INDEX(INDIRECT("'Выгрузка'!A2210:Z2210"),Настройки!$B$9)),",","."),".",MID(1/2,2,1)),"")</f>
        <v/>
      </c>
      <c r="C2210">
        <f>TRIM(INDEX(INDIRECT("'Выгрузка'!A2210:Z2210"),Настройки!$B$8)&amp;"")</f>
        <v/>
      </c>
      <c r="D2210">
        <f>IFERROR(--SUBSTITUTE(SUBSTITUTE(TRIM(INDEX(INDIRECT("'Выгрузка'!A2210:Z2210"),Настройки!$B$10)),",","."),".",MID(1/2,2,1)),"")</f>
        <v/>
      </c>
      <c r="E2210">
        <f>IFERROR(--SUBSTITUTE(SUBSTITUTE(TRIM(INDEX(INDIRECT("'Выгрузка'!A2210:Z2210"),Настройки!$B$11)),",","."),".",MID(1/2,2,1)),"")</f>
        <v/>
      </c>
      <c r="F2210">
        <f>TRIM(INDEX(INDIRECT("'Выгрузка'!A2210:Z2210"),Настройки!$B$12)&amp;"")</f>
        <v/>
      </c>
      <c r="G2210">
        <f>IF(F2210="",0,IF(TRIM(INDEX(INDIRECT("'Выгрузка'!A2210:Z2210"),Настройки!$B$13)&amp;"")="",1,IFERROR(--SUBSTITUTE(SUBSTITUTE(TRIM(INDEX(INDIRECT("'Выгрузка'!A2210:Z2210"),Настройки!$B$13)),",","."),".",MID(1/2,2,1)),"")))</f>
        <v/>
      </c>
      <c r="H2210">
        <f>IF(F2210="",0,IF(COUNTIF(Настройки!$B$17:$B$26,F2210)&gt;0,1,IF(COUNTIF(Настройки!$C$17:$C$26,F2210)&gt;0,2,IF(COUNTIF(Настройки!$D$17:$D$26,F2210)&gt;0,3,0))))</f>
        <v/>
      </c>
      <c r="I2210">
        <f>IF(AND(ISNUMBER(A2210),ISNUMBER(B2210)),A2210*1000+B2210,"")</f>
        <v/>
      </c>
      <c r="J2210">
        <f>IF(I2210="","",IF(COUNTIF(I$2:I2210,I2210)=1,MAX(J$1:J2209)+1,""))</f>
        <v/>
      </c>
    </row>
    <row r="2211">
      <c r="A2211">
        <f>IFERROR(--SUBSTITUTE(SUBSTITUTE(TRIM(INDEX(INDIRECT("'Выгрузка'!A2211:Z2211"),Настройки!$B$7)),",","."),".",MID(1/2,2,1)),"")</f>
        <v/>
      </c>
      <c r="B2211">
        <f>IFERROR(--SUBSTITUTE(SUBSTITUTE(TRIM(INDEX(INDIRECT("'Выгрузка'!A2211:Z2211"),Настройки!$B$9)),",","."),".",MID(1/2,2,1)),"")</f>
        <v/>
      </c>
      <c r="C2211">
        <f>TRIM(INDEX(INDIRECT("'Выгрузка'!A2211:Z2211"),Настройки!$B$8)&amp;"")</f>
        <v/>
      </c>
      <c r="D2211">
        <f>IFERROR(--SUBSTITUTE(SUBSTITUTE(TRIM(INDEX(INDIRECT("'Выгрузка'!A2211:Z2211"),Настройки!$B$10)),",","."),".",MID(1/2,2,1)),"")</f>
        <v/>
      </c>
      <c r="E2211">
        <f>IFERROR(--SUBSTITUTE(SUBSTITUTE(TRIM(INDEX(INDIRECT("'Выгрузка'!A2211:Z2211"),Настройки!$B$11)),",","."),".",MID(1/2,2,1)),"")</f>
        <v/>
      </c>
      <c r="F2211">
        <f>TRIM(INDEX(INDIRECT("'Выгрузка'!A2211:Z2211"),Настройки!$B$12)&amp;"")</f>
        <v/>
      </c>
      <c r="G2211">
        <f>IF(F2211="",0,IF(TRIM(INDEX(INDIRECT("'Выгрузка'!A2211:Z2211"),Настройки!$B$13)&amp;"")="",1,IFERROR(--SUBSTITUTE(SUBSTITUTE(TRIM(INDEX(INDIRECT("'Выгрузка'!A2211:Z2211"),Настройки!$B$13)),",","."),".",MID(1/2,2,1)),"")))</f>
        <v/>
      </c>
      <c r="H2211">
        <f>IF(F2211="",0,IF(COUNTIF(Настройки!$B$17:$B$26,F2211)&gt;0,1,IF(COUNTIF(Настройки!$C$17:$C$26,F2211)&gt;0,2,IF(COUNTIF(Настройки!$D$17:$D$26,F2211)&gt;0,3,0))))</f>
        <v/>
      </c>
      <c r="I2211">
        <f>IF(AND(ISNUMBER(A2211),ISNUMBER(B2211)),A2211*1000+B2211,"")</f>
        <v/>
      </c>
      <c r="J2211">
        <f>IF(I2211="","",IF(COUNTIF(I$2:I2211,I2211)=1,MAX(J$1:J2210)+1,""))</f>
        <v/>
      </c>
    </row>
    <row r="2212">
      <c r="A2212">
        <f>IFERROR(--SUBSTITUTE(SUBSTITUTE(TRIM(INDEX(INDIRECT("'Выгрузка'!A2212:Z2212"),Настройки!$B$7)),",","."),".",MID(1/2,2,1)),"")</f>
        <v/>
      </c>
      <c r="B2212">
        <f>IFERROR(--SUBSTITUTE(SUBSTITUTE(TRIM(INDEX(INDIRECT("'Выгрузка'!A2212:Z2212"),Настройки!$B$9)),",","."),".",MID(1/2,2,1)),"")</f>
        <v/>
      </c>
      <c r="C2212">
        <f>TRIM(INDEX(INDIRECT("'Выгрузка'!A2212:Z2212"),Настройки!$B$8)&amp;"")</f>
        <v/>
      </c>
      <c r="D2212">
        <f>IFERROR(--SUBSTITUTE(SUBSTITUTE(TRIM(INDEX(INDIRECT("'Выгрузка'!A2212:Z2212"),Настройки!$B$10)),",","."),".",MID(1/2,2,1)),"")</f>
        <v/>
      </c>
      <c r="E2212">
        <f>IFERROR(--SUBSTITUTE(SUBSTITUTE(TRIM(INDEX(INDIRECT("'Выгрузка'!A2212:Z2212"),Настройки!$B$11)),",","."),".",MID(1/2,2,1)),"")</f>
        <v/>
      </c>
      <c r="F2212">
        <f>TRIM(INDEX(INDIRECT("'Выгрузка'!A2212:Z2212"),Настройки!$B$12)&amp;"")</f>
        <v/>
      </c>
      <c r="G2212">
        <f>IF(F2212="",0,IF(TRIM(INDEX(INDIRECT("'Выгрузка'!A2212:Z2212"),Настройки!$B$13)&amp;"")="",1,IFERROR(--SUBSTITUTE(SUBSTITUTE(TRIM(INDEX(INDIRECT("'Выгрузка'!A2212:Z2212"),Настройки!$B$13)),",","."),".",MID(1/2,2,1)),"")))</f>
        <v/>
      </c>
      <c r="H2212">
        <f>IF(F2212="",0,IF(COUNTIF(Настройки!$B$17:$B$26,F2212)&gt;0,1,IF(COUNTIF(Настройки!$C$17:$C$26,F2212)&gt;0,2,IF(COUNTIF(Настройки!$D$17:$D$26,F2212)&gt;0,3,0))))</f>
        <v/>
      </c>
      <c r="I2212">
        <f>IF(AND(ISNUMBER(A2212),ISNUMBER(B2212)),A2212*1000+B2212,"")</f>
        <v/>
      </c>
      <c r="J2212">
        <f>IF(I2212="","",IF(COUNTIF(I$2:I2212,I2212)=1,MAX(J$1:J2211)+1,""))</f>
        <v/>
      </c>
    </row>
    <row r="2213">
      <c r="A2213">
        <f>IFERROR(--SUBSTITUTE(SUBSTITUTE(TRIM(INDEX(INDIRECT("'Выгрузка'!A2213:Z2213"),Настройки!$B$7)),",","."),".",MID(1/2,2,1)),"")</f>
        <v/>
      </c>
      <c r="B2213">
        <f>IFERROR(--SUBSTITUTE(SUBSTITUTE(TRIM(INDEX(INDIRECT("'Выгрузка'!A2213:Z2213"),Настройки!$B$9)),",","."),".",MID(1/2,2,1)),"")</f>
        <v/>
      </c>
      <c r="C2213">
        <f>TRIM(INDEX(INDIRECT("'Выгрузка'!A2213:Z2213"),Настройки!$B$8)&amp;"")</f>
        <v/>
      </c>
      <c r="D2213">
        <f>IFERROR(--SUBSTITUTE(SUBSTITUTE(TRIM(INDEX(INDIRECT("'Выгрузка'!A2213:Z2213"),Настройки!$B$10)),",","."),".",MID(1/2,2,1)),"")</f>
        <v/>
      </c>
      <c r="E2213">
        <f>IFERROR(--SUBSTITUTE(SUBSTITUTE(TRIM(INDEX(INDIRECT("'Выгрузка'!A2213:Z2213"),Настройки!$B$11)),",","."),".",MID(1/2,2,1)),"")</f>
        <v/>
      </c>
      <c r="F2213">
        <f>TRIM(INDEX(INDIRECT("'Выгрузка'!A2213:Z2213"),Настройки!$B$12)&amp;"")</f>
        <v/>
      </c>
      <c r="G2213">
        <f>IF(F2213="",0,IF(TRIM(INDEX(INDIRECT("'Выгрузка'!A2213:Z2213"),Настройки!$B$13)&amp;"")="",1,IFERROR(--SUBSTITUTE(SUBSTITUTE(TRIM(INDEX(INDIRECT("'Выгрузка'!A2213:Z2213"),Настройки!$B$13)),",","."),".",MID(1/2,2,1)),"")))</f>
        <v/>
      </c>
      <c r="H2213">
        <f>IF(F2213="",0,IF(COUNTIF(Настройки!$B$17:$B$26,F2213)&gt;0,1,IF(COUNTIF(Настройки!$C$17:$C$26,F2213)&gt;0,2,IF(COUNTIF(Настройки!$D$17:$D$26,F2213)&gt;0,3,0))))</f>
        <v/>
      </c>
      <c r="I2213">
        <f>IF(AND(ISNUMBER(A2213),ISNUMBER(B2213)),A2213*1000+B2213,"")</f>
        <v/>
      </c>
      <c r="J2213">
        <f>IF(I2213="","",IF(COUNTIF(I$2:I2213,I2213)=1,MAX(J$1:J2212)+1,""))</f>
        <v/>
      </c>
    </row>
    <row r="2214">
      <c r="A2214">
        <f>IFERROR(--SUBSTITUTE(SUBSTITUTE(TRIM(INDEX(INDIRECT("'Выгрузка'!A2214:Z2214"),Настройки!$B$7)),",","."),".",MID(1/2,2,1)),"")</f>
        <v/>
      </c>
      <c r="B2214">
        <f>IFERROR(--SUBSTITUTE(SUBSTITUTE(TRIM(INDEX(INDIRECT("'Выгрузка'!A2214:Z2214"),Настройки!$B$9)),",","."),".",MID(1/2,2,1)),"")</f>
        <v/>
      </c>
      <c r="C2214">
        <f>TRIM(INDEX(INDIRECT("'Выгрузка'!A2214:Z2214"),Настройки!$B$8)&amp;"")</f>
        <v/>
      </c>
      <c r="D2214">
        <f>IFERROR(--SUBSTITUTE(SUBSTITUTE(TRIM(INDEX(INDIRECT("'Выгрузка'!A2214:Z2214"),Настройки!$B$10)),",","."),".",MID(1/2,2,1)),"")</f>
        <v/>
      </c>
      <c r="E2214">
        <f>IFERROR(--SUBSTITUTE(SUBSTITUTE(TRIM(INDEX(INDIRECT("'Выгрузка'!A2214:Z2214"),Настройки!$B$11)),",","."),".",MID(1/2,2,1)),"")</f>
        <v/>
      </c>
      <c r="F2214">
        <f>TRIM(INDEX(INDIRECT("'Выгрузка'!A2214:Z2214"),Настройки!$B$12)&amp;"")</f>
        <v/>
      </c>
      <c r="G2214">
        <f>IF(F2214="",0,IF(TRIM(INDEX(INDIRECT("'Выгрузка'!A2214:Z2214"),Настройки!$B$13)&amp;"")="",1,IFERROR(--SUBSTITUTE(SUBSTITUTE(TRIM(INDEX(INDIRECT("'Выгрузка'!A2214:Z2214"),Настройки!$B$13)),",","."),".",MID(1/2,2,1)),"")))</f>
        <v/>
      </c>
      <c r="H2214">
        <f>IF(F2214="",0,IF(COUNTIF(Настройки!$B$17:$B$26,F2214)&gt;0,1,IF(COUNTIF(Настройки!$C$17:$C$26,F2214)&gt;0,2,IF(COUNTIF(Настройки!$D$17:$D$26,F2214)&gt;0,3,0))))</f>
        <v/>
      </c>
      <c r="I2214">
        <f>IF(AND(ISNUMBER(A2214),ISNUMBER(B2214)),A2214*1000+B2214,"")</f>
        <v/>
      </c>
      <c r="J2214">
        <f>IF(I2214="","",IF(COUNTIF(I$2:I2214,I2214)=1,MAX(J$1:J2213)+1,""))</f>
        <v/>
      </c>
    </row>
    <row r="2215">
      <c r="A2215">
        <f>IFERROR(--SUBSTITUTE(SUBSTITUTE(TRIM(INDEX(INDIRECT("'Выгрузка'!A2215:Z2215"),Настройки!$B$7)),",","."),".",MID(1/2,2,1)),"")</f>
        <v/>
      </c>
      <c r="B2215">
        <f>IFERROR(--SUBSTITUTE(SUBSTITUTE(TRIM(INDEX(INDIRECT("'Выгрузка'!A2215:Z2215"),Настройки!$B$9)),",","."),".",MID(1/2,2,1)),"")</f>
        <v/>
      </c>
      <c r="C2215">
        <f>TRIM(INDEX(INDIRECT("'Выгрузка'!A2215:Z2215"),Настройки!$B$8)&amp;"")</f>
        <v/>
      </c>
      <c r="D2215">
        <f>IFERROR(--SUBSTITUTE(SUBSTITUTE(TRIM(INDEX(INDIRECT("'Выгрузка'!A2215:Z2215"),Настройки!$B$10)),",","."),".",MID(1/2,2,1)),"")</f>
        <v/>
      </c>
      <c r="E2215">
        <f>IFERROR(--SUBSTITUTE(SUBSTITUTE(TRIM(INDEX(INDIRECT("'Выгрузка'!A2215:Z2215"),Настройки!$B$11)),",","."),".",MID(1/2,2,1)),"")</f>
        <v/>
      </c>
      <c r="F2215">
        <f>TRIM(INDEX(INDIRECT("'Выгрузка'!A2215:Z2215"),Настройки!$B$12)&amp;"")</f>
        <v/>
      </c>
      <c r="G2215">
        <f>IF(F2215="",0,IF(TRIM(INDEX(INDIRECT("'Выгрузка'!A2215:Z2215"),Настройки!$B$13)&amp;"")="",1,IFERROR(--SUBSTITUTE(SUBSTITUTE(TRIM(INDEX(INDIRECT("'Выгрузка'!A2215:Z2215"),Настройки!$B$13)),",","."),".",MID(1/2,2,1)),"")))</f>
        <v/>
      </c>
      <c r="H2215">
        <f>IF(F2215="",0,IF(COUNTIF(Настройки!$B$17:$B$26,F2215)&gt;0,1,IF(COUNTIF(Настройки!$C$17:$C$26,F2215)&gt;0,2,IF(COUNTIF(Настройки!$D$17:$D$26,F2215)&gt;0,3,0))))</f>
        <v/>
      </c>
      <c r="I2215">
        <f>IF(AND(ISNUMBER(A2215),ISNUMBER(B2215)),A2215*1000+B2215,"")</f>
        <v/>
      </c>
      <c r="J2215">
        <f>IF(I2215="","",IF(COUNTIF(I$2:I2215,I2215)=1,MAX(J$1:J2214)+1,""))</f>
        <v/>
      </c>
    </row>
    <row r="2216">
      <c r="A2216">
        <f>IFERROR(--SUBSTITUTE(SUBSTITUTE(TRIM(INDEX(INDIRECT("'Выгрузка'!A2216:Z2216"),Настройки!$B$7)),",","."),".",MID(1/2,2,1)),"")</f>
        <v/>
      </c>
      <c r="B2216">
        <f>IFERROR(--SUBSTITUTE(SUBSTITUTE(TRIM(INDEX(INDIRECT("'Выгрузка'!A2216:Z2216"),Настройки!$B$9)),",","."),".",MID(1/2,2,1)),"")</f>
        <v/>
      </c>
      <c r="C2216">
        <f>TRIM(INDEX(INDIRECT("'Выгрузка'!A2216:Z2216"),Настройки!$B$8)&amp;"")</f>
        <v/>
      </c>
      <c r="D2216">
        <f>IFERROR(--SUBSTITUTE(SUBSTITUTE(TRIM(INDEX(INDIRECT("'Выгрузка'!A2216:Z2216"),Настройки!$B$10)),",","."),".",MID(1/2,2,1)),"")</f>
        <v/>
      </c>
      <c r="E2216">
        <f>IFERROR(--SUBSTITUTE(SUBSTITUTE(TRIM(INDEX(INDIRECT("'Выгрузка'!A2216:Z2216"),Настройки!$B$11)),",","."),".",MID(1/2,2,1)),"")</f>
        <v/>
      </c>
      <c r="F2216">
        <f>TRIM(INDEX(INDIRECT("'Выгрузка'!A2216:Z2216"),Настройки!$B$12)&amp;"")</f>
        <v/>
      </c>
      <c r="G2216">
        <f>IF(F2216="",0,IF(TRIM(INDEX(INDIRECT("'Выгрузка'!A2216:Z2216"),Настройки!$B$13)&amp;"")="",1,IFERROR(--SUBSTITUTE(SUBSTITUTE(TRIM(INDEX(INDIRECT("'Выгрузка'!A2216:Z2216"),Настройки!$B$13)),",","."),".",MID(1/2,2,1)),"")))</f>
        <v/>
      </c>
      <c r="H2216">
        <f>IF(F2216="",0,IF(COUNTIF(Настройки!$B$17:$B$26,F2216)&gt;0,1,IF(COUNTIF(Настройки!$C$17:$C$26,F2216)&gt;0,2,IF(COUNTIF(Настройки!$D$17:$D$26,F2216)&gt;0,3,0))))</f>
        <v/>
      </c>
      <c r="I2216">
        <f>IF(AND(ISNUMBER(A2216),ISNUMBER(B2216)),A2216*1000+B2216,"")</f>
        <v/>
      </c>
      <c r="J2216">
        <f>IF(I2216="","",IF(COUNTIF(I$2:I2216,I2216)=1,MAX(J$1:J2215)+1,""))</f>
        <v/>
      </c>
    </row>
    <row r="2217">
      <c r="A2217">
        <f>IFERROR(--SUBSTITUTE(SUBSTITUTE(TRIM(INDEX(INDIRECT("'Выгрузка'!A2217:Z2217"),Настройки!$B$7)),",","."),".",MID(1/2,2,1)),"")</f>
        <v/>
      </c>
      <c r="B2217">
        <f>IFERROR(--SUBSTITUTE(SUBSTITUTE(TRIM(INDEX(INDIRECT("'Выгрузка'!A2217:Z2217"),Настройки!$B$9)),",","."),".",MID(1/2,2,1)),"")</f>
        <v/>
      </c>
      <c r="C2217">
        <f>TRIM(INDEX(INDIRECT("'Выгрузка'!A2217:Z2217"),Настройки!$B$8)&amp;"")</f>
        <v/>
      </c>
      <c r="D2217">
        <f>IFERROR(--SUBSTITUTE(SUBSTITUTE(TRIM(INDEX(INDIRECT("'Выгрузка'!A2217:Z2217"),Настройки!$B$10)),",","."),".",MID(1/2,2,1)),"")</f>
        <v/>
      </c>
      <c r="E2217">
        <f>IFERROR(--SUBSTITUTE(SUBSTITUTE(TRIM(INDEX(INDIRECT("'Выгрузка'!A2217:Z2217"),Настройки!$B$11)),",","."),".",MID(1/2,2,1)),"")</f>
        <v/>
      </c>
      <c r="F2217">
        <f>TRIM(INDEX(INDIRECT("'Выгрузка'!A2217:Z2217"),Настройки!$B$12)&amp;"")</f>
        <v/>
      </c>
      <c r="G2217">
        <f>IF(F2217="",0,IF(TRIM(INDEX(INDIRECT("'Выгрузка'!A2217:Z2217"),Настройки!$B$13)&amp;"")="",1,IFERROR(--SUBSTITUTE(SUBSTITUTE(TRIM(INDEX(INDIRECT("'Выгрузка'!A2217:Z2217"),Настройки!$B$13)),",","."),".",MID(1/2,2,1)),"")))</f>
        <v/>
      </c>
      <c r="H2217">
        <f>IF(F2217="",0,IF(COUNTIF(Настройки!$B$17:$B$26,F2217)&gt;0,1,IF(COUNTIF(Настройки!$C$17:$C$26,F2217)&gt;0,2,IF(COUNTIF(Настройки!$D$17:$D$26,F2217)&gt;0,3,0))))</f>
        <v/>
      </c>
      <c r="I2217">
        <f>IF(AND(ISNUMBER(A2217),ISNUMBER(B2217)),A2217*1000+B2217,"")</f>
        <v/>
      </c>
      <c r="J2217">
        <f>IF(I2217="","",IF(COUNTIF(I$2:I2217,I2217)=1,MAX(J$1:J2216)+1,""))</f>
        <v/>
      </c>
    </row>
    <row r="2218">
      <c r="A2218">
        <f>IFERROR(--SUBSTITUTE(SUBSTITUTE(TRIM(INDEX(INDIRECT("'Выгрузка'!A2218:Z2218"),Настройки!$B$7)),",","."),".",MID(1/2,2,1)),"")</f>
        <v/>
      </c>
      <c r="B2218">
        <f>IFERROR(--SUBSTITUTE(SUBSTITUTE(TRIM(INDEX(INDIRECT("'Выгрузка'!A2218:Z2218"),Настройки!$B$9)),",","."),".",MID(1/2,2,1)),"")</f>
        <v/>
      </c>
      <c r="C2218">
        <f>TRIM(INDEX(INDIRECT("'Выгрузка'!A2218:Z2218"),Настройки!$B$8)&amp;"")</f>
        <v/>
      </c>
      <c r="D2218">
        <f>IFERROR(--SUBSTITUTE(SUBSTITUTE(TRIM(INDEX(INDIRECT("'Выгрузка'!A2218:Z2218"),Настройки!$B$10)),",","."),".",MID(1/2,2,1)),"")</f>
        <v/>
      </c>
      <c r="E2218">
        <f>IFERROR(--SUBSTITUTE(SUBSTITUTE(TRIM(INDEX(INDIRECT("'Выгрузка'!A2218:Z2218"),Настройки!$B$11)),",","."),".",MID(1/2,2,1)),"")</f>
        <v/>
      </c>
      <c r="F2218">
        <f>TRIM(INDEX(INDIRECT("'Выгрузка'!A2218:Z2218"),Настройки!$B$12)&amp;"")</f>
        <v/>
      </c>
      <c r="G2218">
        <f>IF(F2218="",0,IF(TRIM(INDEX(INDIRECT("'Выгрузка'!A2218:Z2218"),Настройки!$B$13)&amp;"")="",1,IFERROR(--SUBSTITUTE(SUBSTITUTE(TRIM(INDEX(INDIRECT("'Выгрузка'!A2218:Z2218"),Настройки!$B$13)),",","."),".",MID(1/2,2,1)),"")))</f>
        <v/>
      </c>
      <c r="H2218">
        <f>IF(F2218="",0,IF(COUNTIF(Настройки!$B$17:$B$26,F2218)&gt;0,1,IF(COUNTIF(Настройки!$C$17:$C$26,F2218)&gt;0,2,IF(COUNTIF(Настройки!$D$17:$D$26,F2218)&gt;0,3,0))))</f>
        <v/>
      </c>
      <c r="I2218">
        <f>IF(AND(ISNUMBER(A2218),ISNUMBER(B2218)),A2218*1000+B2218,"")</f>
        <v/>
      </c>
      <c r="J2218">
        <f>IF(I2218="","",IF(COUNTIF(I$2:I2218,I2218)=1,MAX(J$1:J2217)+1,""))</f>
        <v/>
      </c>
    </row>
    <row r="2219">
      <c r="A2219">
        <f>IFERROR(--SUBSTITUTE(SUBSTITUTE(TRIM(INDEX(INDIRECT("'Выгрузка'!A2219:Z2219"),Настройки!$B$7)),",","."),".",MID(1/2,2,1)),"")</f>
        <v/>
      </c>
      <c r="B2219">
        <f>IFERROR(--SUBSTITUTE(SUBSTITUTE(TRIM(INDEX(INDIRECT("'Выгрузка'!A2219:Z2219"),Настройки!$B$9)),",","."),".",MID(1/2,2,1)),"")</f>
        <v/>
      </c>
      <c r="C2219">
        <f>TRIM(INDEX(INDIRECT("'Выгрузка'!A2219:Z2219"),Настройки!$B$8)&amp;"")</f>
        <v/>
      </c>
      <c r="D2219">
        <f>IFERROR(--SUBSTITUTE(SUBSTITUTE(TRIM(INDEX(INDIRECT("'Выгрузка'!A2219:Z2219"),Настройки!$B$10)),",","."),".",MID(1/2,2,1)),"")</f>
        <v/>
      </c>
      <c r="E2219">
        <f>IFERROR(--SUBSTITUTE(SUBSTITUTE(TRIM(INDEX(INDIRECT("'Выгрузка'!A2219:Z2219"),Настройки!$B$11)),",","."),".",MID(1/2,2,1)),"")</f>
        <v/>
      </c>
      <c r="F2219">
        <f>TRIM(INDEX(INDIRECT("'Выгрузка'!A2219:Z2219"),Настройки!$B$12)&amp;"")</f>
        <v/>
      </c>
      <c r="G2219">
        <f>IF(F2219="",0,IF(TRIM(INDEX(INDIRECT("'Выгрузка'!A2219:Z2219"),Настройки!$B$13)&amp;"")="",1,IFERROR(--SUBSTITUTE(SUBSTITUTE(TRIM(INDEX(INDIRECT("'Выгрузка'!A2219:Z2219"),Настройки!$B$13)),",","."),".",MID(1/2,2,1)),"")))</f>
        <v/>
      </c>
      <c r="H2219">
        <f>IF(F2219="",0,IF(COUNTIF(Настройки!$B$17:$B$26,F2219)&gt;0,1,IF(COUNTIF(Настройки!$C$17:$C$26,F2219)&gt;0,2,IF(COUNTIF(Настройки!$D$17:$D$26,F2219)&gt;0,3,0))))</f>
        <v/>
      </c>
      <c r="I2219">
        <f>IF(AND(ISNUMBER(A2219),ISNUMBER(B2219)),A2219*1000+B2219,"")</f>
        <v/>
      </c>
      <c r="J2219">
        <f>IF(I2219="","",IF(COUNTIF(I$2:I2219,I2219)=1,MAX(J$1:J2218)+1,""))</f>
        <v/>
      </c>
    </row>
    <row r="2220">
      <c r="A2220">
        <f>IFERROR(--SUBSTITUTE(SUBSTITUTE(TRIM(INDEX(INDIRECT("'Выгрузка'!A2220:Z2220"),Настройки!$B$7)),",","."),".",MID(1/2,2,1)),"")</f>
        <v/>
      </c>
      <c r="B2220">
        <f>IFERROR(--SUBSTITUTE(SUBSTITUTE(TRIM(INDEX(INDIRECT("'Выгрузка'!A2220:Z2220"),Настройки!$B$9)),",","."),".",MID(1/2,2,1)),"")</f>
        <v/>
      </c>
      <c r="C2220">
        <f>TRIM(INDEX(INDIRECT("'Выгрузка'!A2220:Z2220"),Настройки!$B$8)&amp;"")</f>
        <v/>
      </c>
      <c r="D2220">
        <f>IFERROR(--SUBSTITUTE(SUBSTITUTE(TRIM(INDEX(INDIRECT("'Выгрузка'!A2220:Z2220"),Настройки!$B$10)),",","."),".",MID(1/2,2,1)),"")</f>
        <v/>
      </c>
      <c r="E2220">
        <f>IFERROR(--SUBSTITUTE(SUBSTITUTE(TRIM(INDEX(INDIRECT("'Выгрузка'!A2220:Z2220"),Настройки!$B$11)),",","."),".",MID(1/2,2,1)),"")</f>
        <v/>
      </c>
      <c r="F2220">
        <f>TRIM(INDEX(INDIRECT("'Выгрузка'!A2220:Z2220"),Настройки!$B$12)&amp;"")</f>
        <v/>
      </c>
      <c r="G2220">
        <f>IF(F2220="",0,IF(TRIM(INDEX(INDIRECT("'Выгрузка'!A2220:Z2220"),Настройки!$B$13)&amp;"")="",1,IFERROR(--SUBSTITUTE(SUBSTITUTE(TRIM(INDEX(INDIRECT("'Выгрузка'!A2220:Z2220"),Настройки!$B$13)),",","."),".",MID(1/2,2,1)),"")))</f>
        <v/>
      </c>
      <c r="H2220">
        <f>IF(F2220="",0,IF(COUNTIF(Настройки!$B$17:$B$26,F2220)&gt;0,1,IF(COUNTIF(Настройки!$C$17:$C$26,F2220)&gt;0,2,IF(COUNTIF(Настройки!$D$17:$D$26,F2220)&gt;0,3,0))))</f>
        <v/>
      </c>
      <c r="I2220">
        <f>IF(AND(ISNUMBER(A2220),ISNUMBER(B2220)),A2220*1000+B2220,"")</f>
        <v/>
      </c>
      <c r="J2220">
        <f>IF(I2220="","",IF(COUNTIF(I$2:I2220,I2220)=1,MAX(J$1:J2219)+1,""))</f>
        <v/>
      </c>
    </row>
    <row r="2221">
      <c r="A2221">
        <f>IFERROR(--SUBSTITUTE(SUBSTITUTE(TRIM(INDEX(INDIRECT("'Выгрузка'!A2221:Z2221"),Настройки!$B$7)),",","."),".",MID(1/2,2,1)),"")</f>
        <v/>
      </c>
      <c r="B2221">
        <f>IFERROR(--SUBSTITUTE(SUBSTITUTE(TRIM(INDEX(INDIRECT("'Выгрузка'!A2221:Z2221"),Настройки!$B$9)),",","."),".",MID(1/2,2,1)),"")</f>
        <v/>
      </c>
      <c r="C2221">
        <f>TRIM(INDEX(INDIRECT("'Выгрузка'!A2221:Z2221"),Настройки!$B$8)&amp;"")</f>
        <v/>
      </c>
      <c r="D2221">
        <f>IFERROR(--SUBSTITUTE(SUBSTITUTE(TRIM(INDEX(INDIRECT("'Выгрузка'!A2221:Z2221"),Настройки!$B$10)),",","."),".",MID(1/2,2,1)),"")</f>
        <v/>
      </c>
      <c r="E2221">
        <f>IFERROR(--SUBSTITUTE(SUBSTITUTE(TRIM(INDEX(INDIRECT("'Выгрузка'!A2221:Z2221"),Настройки!$B$11)),",","."),".",MID(1/2,2,1)),"")</f>
        <v/>
      </c>
      <c r="F2221">
        <f>TRIM(INDEX(INDIRECT("'Выгрузка'!A2221:Z2221"),Настройки!$B$12)&amp;"")</f>
        <v/>
      </c>
      <c r="G2221">
        <f>IF(F2221="",0,IF(TRIM(INDEX(INDIRECT("'Выгрузка'!A2221:Z2221"),Настройки!$B$13)&amp;"")="",1,IFERROR(--SUBSTITUTE(SUBSTITUTE(TRIM(INDEX(INDIRECT("'Выгрузка'!A2221:Z2221"),Настройки!$B$13)),",","."),".",MID(1/2,2,1)),"")))</f>
        <v/>
      </c>
      <c r="H2221">
        <f>IF(F2221="",0,IF(COUNTIF(Настройки!$B$17:$B$26,F2221)&gt;0,1,IF(COUNTIF(Настройки!$C$17:$C$26,F2221)&gt;0,2,IF(COUNTIF(Настройки!$D$17:$D$26,F2221)&gt;0,3,0))))</f>
        <v/>
      </c>
      <c r="I2221">
        <f>IF(AND(ISNUMBER(A2221),ISNUMBER(B2221)),A2221*1000+B2221,"")</f>
        <v/>
      </c>
      <c r="J2221">
        <f>IF(I2221="","",IF(COUNTIF(I$2:I2221,I2221)=1,MAX(J$1:J2220)+1,""))</f>
        <v/>
      </c>
    </row>
    <row r="2222">
      <c r="A2222">
        <f>IFERROR(--SUBSTITUTE(SUBSTITUTE(TRIM(INDEX(INDIRECT("'Выгрузка'!A2222:Z2222"),Настройки!$B$7)),",","."),".",MID(1/2,2,1)),"")</f>
        <v/>
      </c>
      <c r="B2222">
        <f>IFERROR(--SUBSTITUTE(SUBSTITUTE(TRIM(INDEX(INDIRECT("'Выгрузка'!A2222:Z2222"),Настройки!$B$9)),",","."),".",MID(1/2,2,1)),"")</f>
        <v/>
      </c>
      <c r="C2222">
        <f>TRIM(INDEX(INDIRECT("'Выгрузка'!A2222:Z2222"),Настройки!$B$8)&amp;"")</f>
        <v/>
      </c>
      <c r="D2222">
        <f>IFERROR(--SUBSTITUTE(SUBSTITUTE(TRIM(INDEX(INDIRECT("'Выгрузка'!A2222:Z2222"),Настройки!$B$10)),",","."),".",MID(1/2,2,1)),"")</f>
        <v/>
      </c>
      <c r="E2222">
        <f>IFERROR(--SUBSTITUTE(SUBSTITUTE(TRIM(INDEX(INDIRECT("'Выгрузка'!A2222:Z2222"),Настройки!$B$11)),",","."),".",MID(1/2,2,1)),"")</f>
        <v/>
      </c>
      <c r="F2222">
        <f>TRIM(INDEX(INDIRECT("'Выгрузка'!A2222:Z2222"),Настройки!$B$12)&amp;"")</f>
        <v/>
      </c>
      <c r="G2222">
        <f>IF(F2222="",0,IF(TRIM(INDEX(INDIRECT("'Выгрузка'!A2222:Z2222"),Настройки!$B$13)&amp;"")="",1,IFERROR(--SUBSTITUTE(SUBSTITUTE(TRIM(INDEX(INDIRECT("'Выгрузка'!A2222:Z2222"),Настройки!$B$13)),",","."),".",MID(1/2,2,1)),"")))</f>
        <v/>
      </c>
      <c r="H2222">
        <f>IF(F2222="",0,IF(COUNTIF(Настройки!$B$17:$B$26,F2222)&gt;0,1,IF(COUNTIF(Настройки!$C$17:$C$26,F2222)&gt;0,2,IF(COUNTIF(Настройки!$D$17:$D$26,F2222)&gt;0,3,0))))</f>
        <v/>
      </c>
      <c r="I2222">
        <f>IF(AND(ISNUMBER(A2222),ISNUMBER(B2222)),A2222*1000+B2222,"")</f>
        <v/>
      </c>
      <c r="J2222">
        <f>IF(I2222="","",IF(COUNTIF(I$2:I2222,I2222)=1,MAX(J$1:J2221)+1,""))</f>
        <v/>
      </c>
    </row>
    <row r="2223">
      <c r="A2223">
        <f>IFERROR(--SUBSTITUTE(SUBSTITUTE(TRIM(INDEX(INDIRECT("'Выгрузка'!A2223:Z2223"),Настройки!$B$7)),",","."),".",MID(1/2,2,1)),"")</f>
        <v/>
      </c>
      <c r="B2223">
        <f>IFERROR(--SUBSTITUTE(SUBSTITUTE(TRIM(INDEX(INDIRECT("'Выгрузка'!A2223:Z2223"),Настройки!$B$9)),",","."),".",MID(1/2,2,1)),"")</f>
        <v/>
      </c>
      <c r="C2223">
        <f>TRIM(INDEX(INDIRECT("'Выгрузка'!A2223:Z2223"),Настройки!$B$8)&amp;"")</f>
        <v/>
      </c>
      <c r="D2223">
        <f>IFERROR(--SUBSTITUTE(SUBSTITUTE(TRIM(INDEX(INDIRECT("'Выгрузка'!A2223:Z2223"),Настройки!$B$10)),",","."),".",MID(1/2,2,1)),"")</f>
        <v/>
      </c>
      <c r="E2223">
        <f>IFERROR(--SUBSTITUTE(SUBSTITUTE(TRIM(INDEX(INDIRECT("'Выгрузка'!A2223:Z2223"),Настройки!$B$11)),",","."),".",MID(1/2,2,1)),"")</f>
        <v/>
      </c>
      <c r="F2223">
        <f>TRIM(INDEX(INDIRECT("'Выгрузка'!A2223:Z2223"),Настройки!$B$12)&amp;"")</f>
        <v/>
      </c>
      <c r="G2223">
        <f>IF(F2223="",0,IF(TRIM(INDEX(INDIRECT("'Выгрузка'!A2223:Z2223"),Настройки!$B$13)&amp;"")="",1,IFERROR(--SUBSTITUTE(SUBSTITUTE(TRIM(INDEX(INDIRECT("'Выгрузка'!A2223:Z2223"),Настройки!$B$13)),",","."),".",MID(1/2,2,1)),"")))</f>
        <v/>
      </c>
      <c r="H2223">
        <f>IF(F2223="",0,IF(COUNTIF(Настройки!$B$17:$B$26,F2223)&gt;0,1,IF(COUNTIF(Настройки!$C$17:$C$26,F2223)&gt;0,2,IF(COUNTIF(Настройки!$D$17:$D$26,F2223)&gt;0,3,0))))</f>
        <v/>
      </c>
      <c r="I2223">
        <f>IF(AND(ISNUMBER(A2223),ISNUMBER(B2223)),A2223*1000+B2223,"")</f>
        <v/>
      </c>
      <c r="J2223">
        <f>IF(I2223="","",IF(COUNTIF(I$2:I2223,I2223)=1,MAX(J$1:J2222)+1,""))</f>
        <v/>
      </c>
    </row>
    <row r="2224">
      <c r="A2224">
        <f>IFERROR(--SUBSTITUTE(SUBSTITUTE(TRIM(INDEX(INDIRECT("'Выгрузка'!A2224:Z2224"),Настройки!$B$7)),",","."),".",MID(1/2,2,1)),"")</f>
        <v/>
      </c>
      <c r="B2224">
        <f>IFERROR(--SUBSTITUTE(SUBSTITUTE(TRIM(INDEX(INDIRECT("'Выгрузка'!A2224:Z2224"),Настройки!$B$9)),",","."),".",MID(1/2,2,1)),"")</f>
        <v/>
      </c>
      <c r="C2224">
        <f>TRIM(INDEX(INDIRECT("'Выгрузка'!A2224:Z2224"),Настройки!$B$8)&amp;"")</f>
        <v/>
      </c>
      <c r="D2224">
        <f>IFERROR(--SUBSTITUTE(SUBSTITUTE(TRIM(INDEX(INDIRECT("'Выгрузка'!A2224:Z2224"),Настройки!$B$10)),",","."),".",MID(1/2,2,1)),"")</f>
        <v/>
      </c>
      <c r="E2224">
        <f>IFERROR(--SUBSTITUTE(SUBSTITUTE(TRIM(INDEX(INDIRECT("'Выгрузка'!A2224:Z2224"),Настройки!$B$11)),",","."),".",MID(1/2,2,1)),"")</f>
        <v/>
      </c>
      <c r="F2224">
        <f>TRIM(INDEX(INDIRECT("'Выгрузка'!A2224:Z2224"),Настройки!$B$12)&amp;"")</f>
        <v/>
      </c>
      <c r="G2224">
        <f>IF(F2224="",0,IF(TRIM(INDEX(INDIRECT("'Выгрузка'!A2224:Z2224"),Настройки!$B$13)&amp;"")="",1,IFERROR(--SUBSTITUTE(SUBSTITUTE(TRIM(INDEX(INDIRECT("'Выгрузка'!A2224:Z2224"),Настройки!$B$13)),",","."),".",MID(1/2,2,1)),"")))</f>
        <v/>
      </c>
      <c r="H2224">
        <f>IF(F2224="",0,IF(COUNTIF(Настройки!$B$17:$B$26,F2224)&gt;0,1,IF(COUNTIF(Настройки!$C$17:$C$26,F2224)&gt;0,2,IF(COUNTIF(Настройки!$D$17:$D$26,F2224)&gt;0,3,0))))</f>
        <v/>
      </c>
      <c r="I2224">
        <f>IF(AND(ISNUMBER(A2224),ISNUMBER(B2224)),A2224*1000+B2224,"")</f>
        <v/>
      </c>
      <c r="J2224">
        <f>IF(I2224="","",IF(COUNTIF(I$2:I2224,I2224)=1,MAX(J$1:J2223)+1,""))</f>
        <v/>
      </c>
    </row>
    <row r="2225">
      <c r="A2225">
        <f>IFERROR(--SUBSTITUTE(SUBSTITUTE(TRIM(INDEX(INDIRECT("'Выгрузка'!A2225:Z2225"),Настройки!$B$7)),",","."),".",MID(1/2,2,1)),"")</f>
        <v/>
      </c>
      <c r="B2225">
        <f>IFERROR(--SUBSTITUTE(SUBSTITUTE(TRIM(INDEX(INDIRECT("'Выгрузка'!A2225:Z2225"),Настройки!$B$9)),",","."),".",MID(1/2,2,1)),"")</f>
        <v/>
      </c>
      <c r="C2225">
        <f>TRIM(INDEX(INDIRECT("'Выгрузка'!A2225:Z2225"),Настройки!$B$8)&amp;"")</f>
        <v/>
      </c>
      <c r="D2225">
        <f>IFERROR(--SUBSTITUTE(SUBSTITUTE(TRIM(INDEX(INDIRECT("'Выгрузка'!A2225:Z2225"),Настройки!$B$10)),",","."),".",MID(1/2,2,1)),"")</f>
        <v/>
      </c>
      <c r="E2225">
        <f>IFERROR(--SUBSTITUTE(SUBSTITUTE(TRIM(INDEX(INDIRECT("'Выгрузка'!A2225:Z2225"),Настройки!$B$11)),",","."),".",MID(1/2,2,1)),"")</f>
        <v/>
      </c>
      <c r="F2225">
        <f>TRIM(INDEX(INDIRECT("'Выгрузка'!A2225:Z2225"),Настройки!$B$12)&amp;"")</f>
        <v/>
      </c>
      <c r="G2225">
        <f>IF(F2225="",0,IF(TRIM(INDEX(INDIRECT("'Выгрузка'!A2225:Z2225"),Настройки!$B$13)&amp;"")="",1,IFERROR(--SUBSTITUTE(SUBSTITUTE(TRIM(INDEX(INDIRECT("'Выгрузка'!A2225:Z2225"),Настройки!$B$13)),",","."),".",MID(1/2,2,1)),"")))</f>
        <v/>
      </c>
      <c r="H2225">
        <f>IF(F2225="",0,IF(COUNTIF(Настройки!$B$17:$B$26,F2225)&gt;0,1,IF(COUNTIF(Настройки!$C$17:$C$26,F2225)&gt;0,2,IF(COUNTIF(Настройки!$D$17:$D$26,F2225)&gt;0,3,0))))</f>
        <v/>
      </c>
      <c r="I2225">
        <f>IF(AND(ISNUMBER(A2225),ISNUMBER(B2225)),A2225*1000+B2225,"")</f>
        <v/>
      </c>
      <c r="J2225">
        <f>IF(I2225="","",IF(COUNTIF(I$2:I2225,I2225)=1,MAX(J$1:J2224)+1,""))</f>
        <v/>
      </c>
    </row>
    <row r="2226">
      <c r="A2226">
        <f>IFERROR(--SUBSTITUTE(SUBSTITUTE(TRIM(INDEX(INDIRECT("'Выгрузка'!A2226:Z2226"),Настройки!$B$7)),",","."),".",MID(1/2,2,1)),"")</f>
        <v/>
      </c>
      <c r="B2226">
        <f>IFERROR(--SUBSTITUTE(SUBSTITUTE(TRIM(INDEX(INDIRECT("'Выгрузка'!A2226:Z2226"),Настройки!$B$9)),",","."),".",MID(1/2,2,1)),"")</f>
        <v/>
      </c>
      <c r="C2226">
        <f>TRIM(INDEX(INDIRECT("'Выгрузка'!A2226:Z2226"),Настройки!$B$8)&amp;"")</f>
        <v/>
      </c>
      <c r="D2226">
        <f>IFERROR(--SUBSTITUTE(SUBSTITUTE(TRIM(INDEX(INDIRECT("'Выгрузка'!A2226:Z2226"),Настройки!$B$10)),",","."),".",MID(1/2,2,1)),"")</f>
        <v/>
      </c>
      <c r="E2226">
        <f>IFERROR(--SUBSTITUTE(SUBSTITUTE(TRIM(INDEX(INDIRECT("'Выгрузка'!A2226:Z2226"),Настройки!$B$11)),",","."),".",MID(1/2,2,1)),"")</f>
        <v/>
      </c>
      <c r="F2226">
        <f>TRIM(INDEX(INDIRECT("'Выгрузка'!A2226:Z2226"),Настройки!$B$12)&amp;"")</f>
        <v/>
      </c>
      <c r="G2226">
        <f>IF(F2226="",0,IF(TRIM(INDEX(INDIRECT("'Выгрузка'!A2226:Z2226"),Настройки!$B$13)&amp;"")="",1,IFERROR(--SUBSTITUTE(SUBSTITUTE(TRIM(INDEX(INDIRECT("'Выгрузка'!A2226:Z2226"),Настройки!$B$13)),",","."),".",MID(1/2,2,1)),"")))</f>
        <v/>
      </c>
      <c r="H2226">
        <f>IF(F2226="",0,IF(COUNTIF(Настройки!$B$17:$B$26,F2226)&gt;0,1,IF(COUNTIF(Настройки!$C$17:$C$26,F2226)&gt;0,2,IF(COUNTIF(Настройки!$D$17:$D$26,F2226)&gt;0,3,0))))</f>
        <v/>
      </c>
      <c r="I2226">
        <f>IF(AND(ISNUMBER(A2226),ISNUMBER(B2226)),A2226*1000+B2226,"")</f>
        <v/>
      </c>
      <c r="J2226">
        <f>IF(I2226="","",IF(COUNTIF(I$2:I2226,I2226)=1,MAX(J$1:J2225)+1,""))</f>
        <v/>
      </c>
    </row>
    <row r="2227">
      <c r="A2227">
        <f>IFERROR(--SUBSTITUTE(SUBSTITUTE(TRIM(INDEX(INDIRECT("'Выгрузка'!A2227:Z2227"),Настройки!$B$7)),",","."),".",MID(1/2,2,1)),"")</f>
        <v/>
      </c>
      <c r="B2227">
        <f>IFERROR(--SUBSTITUTE(SUBSTITUTE(TRIM(INDEX(INDIRECT("'Выгрузка'!A2227:Z2227"),Настройки!$B$9)),",","."),".",MID(1/2,2,1)),"")</f>
        <v/>
      </c>
      <c r="C2227">
        <f>TRIM(INDEX(INDIRECT("'Выгрузка'!A2227:Z2227"),Настройки!$B$8)&amp;"")</f>
        <v/>
      </c>
      <c r="D2227">
        <f>IFERROR(--SUBSTITUTE(SUBSTITUTE(TRIM(INDEX(INDIRECT("'Выгрузка'!A2227:Z2227"),Настройки!$B$10)),",","."),".",MID(1/2,2,1)),"")</f>
        <v/>
      </c>
      <c r="E2227">
        <f>IFERROR(--SUBSTITUTE(SUBSTITUTE(TRIM(INDEX(INDIRECT("'Выгрузка'!A2227:Z2227"),Настройки!$B$11)),",","."),".",MID(1/2,2,1)),"")</f>
        <v/>
      </c>
      <c r="F2227">
        <f>TRIM(INDEX(INDIRECT("'Выгрузка'!A2227:Z2227"),Настройки!$B$12)&amp;"")</f>
        <v/>
      </c>
      <c r="G2227">
        <f>IF(F2227="",0,IF(TRIM(INDEX(INDIRECT("'Выгрузка'!A2227:Z2227"),Настройки!$B$13)&amp;"")="",1,IFERROR(--SUBSTITUTE(SUBSTITUTE(TRIM(INDEX(INDIRECT("'Выгрузка'!A2227:Z2227"),Настройки!$B$13)),",","."),".",MID(1/2,2,1)),"")))</f>
        <v/>
      </c>
      <c r="H2227">
        <f>IF(F2227="",0,IF(COUNTIF(Настройки!$B$17:$B$26,F2227)&gt;0,1,IF(COUNTIF(Настройки!$C$17:$C$26,F2227)&gt;0,2,IF(COUNTIF(Настройки!$D$17:$D$26,F2227)&gt;0,3,0))))</f>
        <v/>
      </c>
      <c r="I2227">
        <f>IF(AND(ISNUMBER(A2227),ISNUMBER(B2227)),A2227*1000+B2227,"")</f>
        <v/>
      </c>
      <c r="J2227">
        <f>IF(I2227="","",IF(COUNTIF(I$2:I2227,I2227)=1,MAX(J$1:J2226)+1,""))</f>
        <v/>
      </c>
    </row>
    <row r="2228">
      <c r="A2228">
        <f>IFERROR(--SUBSTITUTE(SUBSTITUTE(TRIM(INDEX(INDIRECT("'Выгрузка'!A2228:Z2228"),Настройки!$B$7)),",","."),".",MID(1/2,2,1)),"")</f>
        <v/>
      </c>
      <c r="B2228">
        <f>IFERROR(--SUBSTITUTE(SUBSTITUTE(TRIM(INDEX(INDIRECT("'Выгрузка'!A2228:Z2228"),Настройки!$B$9)),",","."),".",MID(1/2,2,1)),"")</f>
        <v/>
      </c>
      <c r="C2228">
        <f>TRIM(INDEX(INDIRECT("'Выгрузка'!A2228:Z2228"),Настройки!$B$8)&amp;"")</f>
        <v/>
      </c>
      <c r="D2228">
        <f>IFERROR(--SUBSTITUTE(SUBSTITUTE(TRIM(INDEX(INDIRECT("'Выгрузка'!A2228:Z2228"),Настройки!$B$10)),",","."),".",MID(1/2,2,1)),"")</f>
        <v/>
      </c>
      <c r="E2228">
        <f>IFERROR(--SUBSTITUTE(SUBSTITUTE(TRIM(INDEX(INDIRECT("'Выгрузка'!A2228:Z2228"),Настройки!$B$11)),",","."),".",MID(1/2,2,1)),"")</f>
        <v/>
      </c>
      <c r="F2228">
        <f>TRIM(INDEX(INDIRECT("'Выгрузка'!A2228:Z2228"),Настройки!$B$12)&amp;"")</f>
        <v/>
      </c>
      <c r="G2228">
        <f>IF(F2228="",0,IF(TRIM(INDEX(INDIRECT("'Выгрузка'!A2228:Z2228"),Настройки!$B$13)&amp;"")="",1,IFERROR(--SUBSTITUTE(SUBSTITUTE(TRIM(INDEX(INDIRECT("'Выгрузка'!A2228:Z2228"),Настройки!$B$13)),",","."),".",MID(1/2,2,1)),"")))</f>
        <v/>
      </c>
      <c r="H2228">
        <f>IF(F2228="",0,IF(COUNTIF(Настройки!$B$17:$B$26,F2228)&gt;0,1,IF(COUNTIF(Настройки!$C$17:$C$26,F2228)&gt;0,2,IF(COUNTIF(Настройки!$D$17:$D$26,F2228)&gt;0,3,0))))</f>
        <v/>
      </c>
      <c r="I2228">
        <f>IF(AND(ISNUMBER(A2228),ISNUMBER(B2228)),A2228*1000+B2228,"")</f>
        <v/>
      </c>
      <c r="J2228">
        <f>IF(I2228="","",IF(COUNTIF(I$2:I2228,I2228)=1,MAX(J$1:J2227)+1,""))</f>
        <v/>
      </c>
    </row>
    <row r="2229">
      <c r="A2229">
        <f>IFERROR(--SUBSTITUTE(SUBSTITUTE(TRIM(INDEX(INDIRECT("'Выгрузка'!A2229:Z2229"),Настройки!$B$7)),",","."),".",MID(1/2,2,1)),"")</f>
        <v/>
      </c>
      <c r="B2229">
        <f>IFERROR(--SUBSTITUTE(SUBSTITUTE(TRIM(INDEX(INDIRECT("'Выгрузка'!A2229:Z2229"),Настройки!$B$9)),",","."),".",MID(1/2,2,1)),"")</f>
        <v/>
      </c>
      <c r="C2229">
        <f>TRIM(INDEX(INDIRECT("'Выгрузка'!A2229:Z2229"),Настройки!$B$8)&amp;"")</f>
        <v/>
      </c>
      <c r="D2229">
        <f>IFERROR(--SUBSTITUTE(SUBSTITUTE(TRIM(INDEX(INDIRECT("'Выгрузка'!A2229:Z2229"),Настройки!$B$10)),",","."),".",MID(1/2,2,1)),"")</f>
        <v/>
      </c>
      <c r="E2229">
        <f>IFERROR(--SUBSTITUTE(SUBSTITUTE(TRIM(INDEX(INDIRECT("'Выгрузка'!A2229:Z2229"),Настройки!$B$11)),",","."),".",MID(1/2,2,1)),"")</f>
        <v/>
      </c>
      <c r="F2229">
        <f>TRIM(INDEX(INDIRECT("'Выгрузка'!A2229:Z2229"),Настройки!$B$12)&amp;"")</f>
        <v/>
      </c>
      <c r="G2229">
        <f>IF(F2229="",0,IF(TRIM(INDEX(INDIRECT("'Выгрузка'!A2229:Z2229"),Настройки!$B$13)&amp;"")="",1,IFERROR(--SUBSTITUTE(SUBSTITUTE(TRIM(INDEX(INDIRECT("'Выгрузка'!A2229:Z2229"),Настройки!$B$13)),",","."),".",MID(1/2,2,1)),"")))</f>
        <v/>
      </c>
      <c r="H2229">
        <f>IF(F2229="",0,IF(COUNTIF(Настройки!$B$17:$B$26,F2229)&gt;0,1,IF(COUNTIF(Настройки!$C$17:$C$26,F2229)&gt;0,2,IF(COUNTIF(Настройки!$D$17:$D$26,F2229)&gt;0,3,0))))</f>
        <v/>
      </c>
      <c r="I2229">
        <f>IF(AND(ISNUMBER(A2229),ISNUMBER(B2229)),A2229*1000+B2229,"")</f>
        <v/>
      </c>
      <c r="J2229">
        <f>IF(I2229="","",IF(COUNTIF(I$2:I2229,I2229)=1,MAX(J$1:J2228)+1,""))</f>
        <v/>
      </c>
    </row>
    <row r="2230">
      <c r="A2230">
        <f>IFERROR(--SUBSTITUTE(SUBSTITUTE(TRIM(INDEX(INDIRECT("'Выгрузка'!A2230:Z2230"),Настройки!$B$7)),",","."),".",MID(1/2,2,1)),"")</f>
        <v/>
      </c>
      <c r="B2230">
        <f>IFERROR(--SUBSTITUTE(SUBSTITUTE(TRIM(INDEX(INDIRECT("'Выгрузка'!A2230:Z2230"),Настройки!$B$9)),",","."),".",MID(1/2,2,1)),"")</f>
        <v/>
      </c>
      <c r="C2230">
        <f>TRIM(INDEX(INDIRECT("'Выгрузка'!A2230:Z2230"),Настройки!$B$8)&amp;"")</f>
        <v/>
      </c>
      <c r="D2230">
        <f>IFERROR(--SUBSTITUTE(SUBSTITUTE(TRIM(INDEX(INDIRECT("'Выгрузка'!A2230:Z2230"),Настройки!$B$10)),",","."),".",MID(1/2,2,1)),"")</f>
        <v/>
      </c>
      <c r="E2230">
        <f>IFERROR(--SUBSTITUTE(SUBSTITUTE(TRIM(INDEX(INDIRECT("'Выгрузка'!A2230:Z2230"),Настройки!$B$11)),",","."),".",MID(1/2,2,1)),"")</f>
        <v/>
      </c>
      <c r="F2230">
        <f>TRIM(INDEX(INDIRECT("'Выгрузка'!A2230:Z2230"),Настройки!$B$12)&amp;"")</f>
        <v/>
      </c>
      <c r="G2230">
        <f>IF(F2230="",0,IF(TRIM(INDEX(INDIRECT("'Выгрузка'!A2230:Z2230"),Настройки!$B$13)&amp;"")="",1,IFERROR(--SUBSTITUTE(SUBSTITUTE(TRIM(INDEX(INDIRECT("'Выгрузка'!A2230:Z2230"),Настройки!$B$13)),",","."),".",MID(1/2,2,1)),"")))</f>
        <v/>
      </c>
      <c r="H2230">
        <f>IF(F2230="",0,IF(COUNTIF(Настройки!$B$17:$B$26,F2230)&gt;0,1,IF(COUNTIF(Настройки!$C$17:$C$26,F2230)&gt;0,2,IF(COUNTIF(Настройки!$D$17:$D$26,F2230)&gt;0,3,0))))</f>
        <v/>
      </c>
      <c r="I2230">
        <f>IF(AND(ISNUMBER(A2230),ISNUMBER(B2230)),A2230*1000+B2230,"")</f>
        <v/>
      </c>
      <c r="J2230">
        <f>IF(I2230="","",IF(COUNTIF(I$2:I2230,I2230)=1,MAX(J$1:J2229)+1,""))</f>
        <v/>
      </c>
    </row>
    <row r="2231">
      <c r="A2231">
        <f>IFERROR(--SUBSTITUTE(SUBSTITUTE(TRIM(INDEX(INDIRECT("'Выгрузка'!A2231:Z2231"),Настройки!$B$7)),",","."),".",MID(1/2,2,1)),"")</f>
        <v/>
      </c>
      <c r="B2231">
        <f>IFERROR(--SUBSTITUTE(SUBSTITUTE(TRIM(INDEX(INDIRECT("'Выгрузка'!A2231:Z2231"),Настройки!$B$9)),",","."),".",MID(1/2,2,1)),"")</f>
        <v/>
      </c>
      <c r="C2231">
        <f>TRIM(INDEX(INDIRECT("'Выгрузка'!A2231:Z2231"),Настройки!$B$8)&amp;"")</f>
        <v/>
      </c>
      <c r="D2231">
        <f>IFERROR(--SUBSTITUTE(SUBSTITUTE(TRIM(INDEX(INDIRECT("'Выгрузка'!A2231:Z2231"),Настройки!$B$10)),",","."),".",MID(1/2,2,1)),"")</f>
        <v/>
      </c>
      <c r="E2231">
        <f>IFERROR(--SUBSTITUTE(SUBSTITUTE(TRIM(INDEX(INDIRECT("'Выгрузка'!A2231:Z2231"),Настройки!$B$11)),",","."),".",MID(1/2,2,1)),"")</f>
        <v/>
      </c>
      <c r="F2231">
        <f>TRIM(INDEX(INDIRECT("'Выгрузка'!A2231:Z2231"),Настройки!$B$12)&amp;"")</f>
        <v/>
      </c>
      <c r="G2231">
        <f>IF(F2231="",0,IF(TRIM(INDEX(INDIRECT("'Выгрузка'!A2231:Z2231"),Настройки!$B$13)&amp;"")="",1,IFERROR(--SUBSTITUTE(SUBSTITUTE(TRIM(INDEX(INDIRECT("'Выгрузка'!A2231:Z2231"),Настройки!$B$13)),",","."),".",MID(1/2,2,1)),"")))</f>
        <v/>
      </c>
      <c r="H2231">
        <f>IF(F2231="",0,IF(COUNTIF(Настройки!$B$17:$B$26,F2231)&gt;0,1,IF(COUNTIF(Настройки!$C$17:$C$26,F2231)&gt;0,2,IF(COUNTIF(Настройки!$D$17:$D$26,F2231)&gt;0,3,0))))</f>
        <v/>
      </c>
      <c r="I2231">
        <f>IF(AND(ISNUMBER(A2231),ISNUMBER(B2231)),A2231*1000+B2231,"")</f>
        <v/>
      </c>
      <c r="J2231">
        <f>IF(I2231="","",IF(COUNTIF(I$2:I2231,I2231)=1,MAX(J$1:J2230)+1,""))</f>
        <v/>
      </c>
    </row>
    <row r="2232">
      <c r="A2232">
        <f>IFERROR(--SUBSTITUTE(SUBSTITUTE(TRIM(INDEX(INDIRECT("'Выгрузка'!A2232:Z2232"),Настройки!$B$7)),",","."),".",MID(1/2,2,1)),"")</f>
        <v/>
      </c>
      <c r="B2232">
        <f>IFERROR(--SUBSTITUTE(SUBSTITUTE(TRIM(INDEX(INDIRECT("'Выгрузка'!A2232:Z2232"),Настройки!$B$9)),",","."),".",MID(1/2,2,1)),"")</f>
        <v/>
      </c>
      <c r="C2232">
        <f>TRIM(INDEX(INDIRECT("'Выгрузка'!A2232:Z2232"),Настройки!$B$8)&amp;"")</f>
        <v/>
      </c>
      <c r="D2232">
        <f>IFERROR(--SUBSTITUTE(SUBSTITUTE(TRIM(INDEX(INDIRECT("'Выгрузка'!A2232:Z2232"),Настройки!$B$10)),",","."),".",MID(1/2,2,1)),"")</f>
        <v/>
      </c>
      <c r="E2232">
        <f>IFERROR(--SUBSTITUTE(SUBSTITUTE(TRIM(INDEX(INDIRECT("'Выгрузка'!A2232:Z2232"),Настройки!$B$11)),",","."),".",MID(1/2,2,1)),"")</f>
        <v/>
      </c>
      <c r="F2232">
        <f>TRIM(INDEX(INDIRECT("'Выгрузка'!A2232:Z2232"),Настройки!$B$12)&amp;"")</f>
        <v/>
      </c>
      <c r="G2232">
        <f>IF(F2232="",0,IF(TRIM(INDEX(INDIRECT("'Выгрузка'!A2232:Z2232"),Настройки!$B$13)&amp;"")="",1,IFERROR(--SUBSTITUTE(SUBSTITUTE(TRIM(INDEX(INDIRECT("'Выгрузка'!A2232:Z2232"),Настройки!$B$13)),",","."),".",MID(1/2,2,1)),"")))</f>
        <v/>
      </c>
      <c r="H2232">
        <f>IF(F2232="",0,IF(COUNTIF(Настройки!$B$17:$B$26,F2232)&gt;0,1,IF(COUNTIF(Настройки!$C$17:$C$26,F2232)&gt;0,2,IF(COUNTIF(Настройки!$D$17:$D$26,F2232)&gt;0,3,0))))</f>
        <v/>
      </c>
      <c r="I2232">
        <f>IF(AND(ISNUMBER(A2232),ISNUMBER(B2232)),A2232*1000+B2232,"")</f>
        <v/>
      </c>
      <c r="J2232">
        <f>IF(I2232="","",IF(COUNTIF(I$2:I2232,I2232)=1,MAX(J$1:J2231)+1,""))</f>
        <v/>
      </c>
    </row>
    <row r="2233">
      <c r="A2233">
        <f>IFERROR(--SUBSTITUTE(SUBSTITUTE(TRIM(INDEX(INDIRECT("'Выгрузка'!A2233:Z2233"),Настройки!$B$7)),",","."),".",MID(1/2,2,1)),"")</f>
        <v/>
      </c>
      <c r="B2233">
        <f>IFERROR(--SUBSTITUTE(SUBSTITUTE(TRIM(INDEX(INDIRECT("'Выгрузка'!A2233:Z2233"),Настройки!$B$9)),",","."),".",MID(1/2,2,1)),"")</f>
        <v/>
      </c>
      <c r="C2233">
        <f>TRIM(INDEX(INDIRECT("'Выгрузка'!A2233:Z2233"),Настройки!$B$8)&amp;"")</f>
        <v/>
      </c>
      <c r="D2233">
        <f>IFERROR(--SUBSTITUTE(SUBSTITUTE(TRIM(INDEX(INDIRECT("'Выгрузка'!A2233:Z2233"),Настройки!$B$10)),",","."),".",MID(1/2,2,1)),"")</f>
        <v/>
      </c>
      <c r="E2233">
        <f>IFERROR(--SUBSTITUTE(SUBSTITUTE(TRIM(INDEX(INDIRECT("'Выгрузка'!A2233:Z2233"),Настройки!$B$11)),",","."),".",MID(1/2,2,1)),"")</f>
        <v/>
      </c>
      <c r="F2233">
        <f>TRIM(INDEX(INDIRECT("'Выгрузка'!A2233:Z2233"),Настройки!$B$12)&amp;"")</f>
        <v/>
      </c>
      <c r="G2233">
        <f>IF(F2233="",0,IF(TRIM(INDEX(INDIRECT("'Выгрузка'!A2233:Z2233"),Настройки!$B$13)&amp;"")="",1,IFERROR(--SUBSTITUTE(SUBSTITUTE(TRIM(INDEX(INDIRECT("'Выгрузка'!A2233:Z2233"),Настройки!$B$13)),",","."),".",MID(1/2,2,1)),"")))</f>
        <v/>
      </c>
      <c r="H2233">
        <f>IF(F2233="",0,IF(COUNTIF(Настройки!$B$17:$B$26,F2233)&gt;0,1,IF(COUNTIF(Настройки!$C$17:$C$26,F2233)&gt;0,2,IF(COUNTIF(Настройки!$D$17:$D$26,F2233)&gt;0,3,0))))</f>
        <v/>
      </c>
      <c r="I2233">
        <f>IF(AND(ISNUMBER(A2233),ISNUMBER(B2233)),A2233*1000+B2233,"")</f>
        <v/>
      </c>
      <c r="J2233">
        <f>IF(I2233="","",IF(COUNTIF(I$2:I2233,I2233)=1,MAX(J$1:J2232)+1,""))</f>
        <v/>
      </c>
    </row>
    <row r="2234">
      <c r="A2234">
        <f>IFERROR(--SUBSTITUTE(SUBSTITUTE(TRIM(INDEX(INDIRECT("'Выгрузка'!A2234:Z2234"),Настройки!$B$7)),",","."),".",MID(1/2,2,1)),"")</f>
        <v/>
      </c>
      <c r="B2234">
        <f>IFERROR(--SUBSTITUTE(SUBSTITUTE(TRIM(INDEX(INDIRECT("'Выгрузка'!A2234:Z2234"),Настройки!$B$9)),",","."),".",MID(1/2,2,1)),"")</f>
        <v/>
      </c>
      <c r="C2234">
        <f>TRIM(INDEX(INDIRECT("'Выгрузка'!A2234:Z2234"),Настройки!$B$8)&amp;"")</f>
        <v/>
      </c>
      <c r="D2234">
        <f>IFERROR(--SUBSTITUTE(SUBSTITUTE(TRIM(INDEX(INDIRECT("'Выгрузка'!A2234:Z2234"),Настройки!$B$10)),",","."),".",MID(1/2,2,1)),"")</f>
        <v/>
      </c>
      <c r="E2234">
        <f>IFERROR(--SUBSTITUTE(SUBSTITUTE(TRIM(INDEX(INDIRECT("'Выгрузка'!A2234:Z2234"),Настройки!$B$11)),",","."),".",MID(1/2,2,1)),"")</f>
        <v/>
      </c>
      <c r="F2234">
        <f>TRIM(INDEX(INDIRECT("'Выгрузка'!A2234:Z2234"),Настройки!$B$12)&amp;"")</f>
        <v/>
      </c>
      <c r="G2234">
        <f>IF(F2234="",0,IF(TRIM(INDEX(INDIRECT("'Выгрузка'!A2234:Z2234"),Настройки!$B$13)&amp;"")="",1,IFERROR(--SUBSTITUTE(SUBSTITUTE(TRIM(INDEX(INDIRECT("'Выгрузка'!A2234:Z2234"),Настройки!$B$13)),",","."),".",MID(1/2,2,1)),"")))</f>
        <v/>
      </c>
      <c r="H2234">
        <f>IF(F2234="",0,IF(COUNTIF(Настройки!$B$17:$B$26,F2234)&gt;0,1,IF(COUNTIF(Настройки!$C$17:$C$26,F2234)&gt;0,2,IF(COUNTIF(Настройки!$D$17:$D$26,F2234)&gt;0,3,0))))</f>
        <v/>
      </c>
      <c r="I2234">
        <f>IF(AND(ISNUMBER(A2234),ISNUMBER(B2234)),A2234*1000+B2234,"")</f>
        <v/>
      </c>
      <c r="J2234">
        <f>IF(I2234="","",IF(COUNTIF(I$2:I2234,I2234)=1,MAX(J$1:J2233)+1,""))</f>
        <v/>
      </c>
    </row>
    <row r="2235">
      <c r="A2235">
        <f>IFERROR(--SUBSTITUTE(SUBSTITUTE(TRIM(INDEX(INDIRECT("'Выгрузка'!A2235:Z2235"),Настройки!$B$7)),",","."),".",MID(1/2,2,1)),"")</f>
        <v/>
      </c>
      <c r="B2235">
        <f>IFERROR(--SUBSTITUTE(SUBSTITUTE(TRIM(INDEX(INDIRECT("'Выгрузка'!A2235:Z2235"),Настройки!$B$9)),",","."),".",MID(1/2,2,1)),"")</f>
        <v/>
      </c>
      <c r="C2235">
        <f>TRIM(INDEX(INDIRECT("'Выгрузка'!A2235:Z2235"),Настройки!$B$8)&amp;"")</f>
        <v/>
      </c>
      <c r="D2235">
        <f>IFERROR(--SUBSTITUTE(SUBSTITUTE(TRIM(INDEX(INDIRECT("'Выгрузка'!A2235:Z2235"),Настройки!$B$10)),",","."),".",MID(1/2,2,1)),"")</f>
        <v/>
      </c>
      <c r="E2235">
        <f>IFERROR(--SUBSTITUTE(SUBSTITUTE(TRIM(INDEX(INDIRECT("'Выгрузка'!A2235:Z2235"),Настройки!$B$11)),",","."),".",MID(1/2,2,1)),"")</f>
        <v/>
      </c>
      <c r="F2235">
        <f>TRIM(INDEX(INDIRECT("'Выгрузка'!A2235:Z2235"),Настройки!$B$12)&amp;"")</f>
        <v/>
      </c>
      <c r="G2235">
        <f>IF(F2235="",0,IF(TRIM(INDEX(INDIRECT("'Выгрузка'!A2235:Z2235"),Настройки!$B$13)&amp;"")="",1,IFERROR(--SUBSTITUTE(SUBSTITUTE(TRIM(INDEX(INDIRECT("'Выгрузка'!A2235:Z2235"),Настройки!$B$13)),",","."),".",MID(1/2,2,1)),"")))</f>
        <v/>
      </c>
      <c r="H2235">
        <f>IF(F2235="",0,IF(COUNTIF(Настройки!$B$17:$B$26,F2235)&gt;0,1,IF(COUNTIF(Настройки!$C$17:$C$26,F2235)&gt;0,2,IF(COUNTIF(Настройки!$D$17:$D$26,F2235)&gt;0,3,0))))</f>
        <v/>
      </c>
      <c r="I2235">
        <f>IF(AND(ISNUMBER(A2235),ISNUMBER(B2235)),A2235*1000+B2235,"")</f>
        <v/>
      </c>
      <c r="J2235">
        <f>IF(I2235="","",IF(COUNTIF(I$2:I2235,I2235)=1,MAX(J$1:J2234)+1,""))</f>
        <v/>
      </c>
    </row>
    <row r="2236">
      <c r="A2236">
        <f>IFERROR(--SUBSTITUTE(SUBSTITUTE(TRIM(INDEX(INDIRECT("'Выгрузка'!A2236:Z2236"),Настройки!$B$7)),",","."),".",MID(1/2,2,1)),"")</f>
        <v/>
      </c>
      <c r="B2236">
        <f>IFERROR(--SUBSTITUTE(SUBSTITUTE(TRIM(INDEX(INDIRECT("'Выгрузка'!A2236:Z2236"),Настройки!$B$9)),",","."),".",MID(1/2,2,1)),"")</f>
        <v/>
      </c>
      <c r="C2236">
        <f>TRIM(INDEX(INDIRECT("'Выгрузка'!A2236:Z2236"),Настройки!$B$8)&amp;"")</f>
        <v/>
      </c>
      <c r="D2236">
        <f>IFERROR(--SUBSTITUTE(SUBSTITUTE(TRIM(INDEX(INDIRECT("'Выгрузка'!A2236:Z2236"),Настройки!$B$10)),",","."),".",MID(1/2,2,1)),"")</f>
        <v/>
      </c>
      <c r="E2236">
        <f>IFERROR(--SUBSTITUTE(SUBSTITUTE(TRIM(INDEX(INDIRECT("'Выгрузка'!A2236:Z2236"),Настройки!$B$11)),",","."),".",MID(1/2,2,1)),"")</f>
        <v/>
      </c>
      <c r="F2236">
        <f>TRIM(INDEX(INDIRECT("'Выгрузка'!A2236:Z2236"),Настройки!$B$12)&amp;"")</f>
        <v/>
      </c>
      <c r="G2236">
        <f>IF(F2236="",0,IF(TRIM(INDEX(INDIRECT("'Выгрузка'!A2236:Z2236"),Настройки!$B$13)&amp;"")="",1,IFERROR(--SUBSTITUTE(SUBSTITUTE(TRIM(INDEX(INDIRECT("'Выгрузка'!A2236:Z2236"),Настройки!$B$13)),",","."),".",MID(1/2,2,1)),"")))</f>
        <v/>
      </c>
      <c r="H2236">
        <f>IF(F2236="",0,IF(COUNTIF(Настройки!$B$17:$B$26,F2236)&gt;0,1,IF(COUNTIF(Настройки!$C$17:$C$26,F2236)&gt;0,2,IF(COUNTIF(Настройки!$D$17:$D$26,F2236)&gt;0,3,0))))</f>
        <v/>
      </c>
      <c r="I2236">
        <f>IF(AND(ISNUMBER(A2236),ISNUMBER(B2236)),A2236*1000+B2236,"")</f>
        <v/>
      </c>
      <c r="J2236">
        <f>IF(I2236="","",IF(COUNTIF(I$2:I2236,I2236)=1,MAX(J$1:J2235)+1,""))</f>
        <v/>
      </c>
    </row>
    <row r="2237">
      <c r="A2237">
        <f>IFERROR(--SUBSTITUTE(SUBSTITUTE(TRIM(INDEX(INDIRECT("'Выгрузка'!A2237:Z2237"),Настройки!$B$7)),",","."),".",MID(1/2,2,1)),"")</f>
        <v/>
      </c>
      <c r="B2237">
        <f>IFERROR(--SUBSTITUTE(SUBSTITUTE(TRIM(INDEX(INDIRECT("'Выгрузка'!A2237:Z2237"),Настройки!$B$9)),",","."),".",MID(1/2,2,1)),"")</f>
        <v/>
      </c>
      <c r="C2237">
        <f>TRIM(INDEX(INDIRECT("'Выгрузка'!A2237:Z2237"),Настройки!$B$8)&amp;"")</f>
        <v/>
      </c>
      <c r="D2237">
        <f>IFERROR(--SUBSTITUTE(SUBSTITUTE(TRIM(INDEX(INDIRECT("'Выгрузка'!A2237:Z2237"),Настройки!$B$10)),",","."),".",MID(1/2,2,1)),"")</f>
        <v/>
      </c>
      <c r="E2237">
        <f>IFERROR(--SUBSTITUTE(SUBSTITUTE(TRIM(INDEX(INDIRECT("'Выгрузка'!A2237:Z2237"),Настройки!$B$11)),",","."),".",MID(1/2,2,1)),"")</f>
        <v/>
      </c>
      <c r="F2237">
        <f>TRIM(INDEX(INDIRECT("'Выгрузка'!A2237:Z2237"),Настройки!$B$12)&amp;"")</f>
        <v/>
      </c>
      <c r="G2237">
        <f>IF(F2237="",0,IF(TRIM(INDEX(INDIRECT("'Выгрузка'!A2237:Z2237"),Настройки!$B$13)&amp;"")="",1,IFERROR(--SUBSTITUTE(SUBSTITUTE(TRIM(INDEX(INDIRECT("'Выгрузка'!A2237:Z2237"),Настройки!$B$13)),",","."),".",MID(1/2,2,1)),"")))</f>
        <v/>
      </c>
      <c r="H2237">
        <f>IF(F2237="",0,IF(COUNTIF(Настройки!$B$17:$B$26,F2237)&gt;0,1,IF(COUNTIF(Настройки!$C$17:$C$26,F2237)&gt;0,2,IF(COUNTIF(Настройки!$D$17:$D$26,F2237)&gt;0,3,0))))</f>
        <v/>
      </c>
      <c r="I2237">
        <f>IF(AND(ISNUMBER(A2237),ISNUMBER(B2237)),A2237*1000+B2237,"")</f>
        <v/>
      </c>
      <c r="J2237">
        <f>IF(I2237="","",IF(COUNTIF(I$2:I2237,I2237)=1,MAX(J$1:J2236)+1,""))</f>
        <v/>
      </c>
    </row>
    <row r="2238">
      <c r="A2238">
        <f>IFERROR(--SUBSTITUTE(SUBSTITUTE(TRIM(INDEX(INDIRECT("'Выгрузка'!A2238:Z2238"),Настройки!$B$7)),",","."),".",MID(1/2,2,1)),"")</f>
        <v/>
      </c>
      <c r="B2238">
        <f>IFERROR(--SUBSTITUTE(SUBSTITUTE(TRIM(INDEX(INDIRECT("'Выгрузка'!A2238:Z2238"),Настройки!$B$9)),",","."),".",MID(1/2,2,1)),"")</f>
        <v/>
      </c>
      <c r="C2238">
        <f>TRIM(INDEX(INDIRECT("'Выгрузка'!A2238:Z2238"),Настройки!$B$8)&amp;"")</f>
        <v/>
      </c>
      <c r="D2238">
        <f>IFERROR(--SUBSTITUTE(SUBSTITUTE(TRIM(INDEX(INDIRECT("'Выгрузка'!A2238:Z2238"),Настройки!$B$10)),",","."),".",MID(1/2,2,1)),"")</f>
        <v/>
      </c>
      <c r="E2238">
        <f>IFERROR(--SUBSTITUTE(SUBSTITUTE(TRIM(INDEX(INDIRECT("'Выгрузка'!A2238:Z2238"),Настройки!$B$11)),",","."),".",MID(1/2,2,1)),"")</f>
        <v/>
      </c>
      <c r="F2238">
        <f>TRIM(INDEX(INDIRECT("'Выгрузка'!A2238:Z2238"),Настройки!$B$12)&amp;"")</f>
        <v/>
      </c>
      <c r="G2238">
        <f>IF(F2238="",0,IF(TRIM(INDEX(INDIRECT("'Выгрузка'!A2238:Z2238"),Настройки!$B$13)&amp;"")="",1,IFERROR(--SUBSTITUTE(SUBSTITUTE(TRIM(INDEX(INDIRECT("'Выгрузка'!A2238:Z2238"),Настройки!$B$13)),",","."),".",MID(1/2,2,1)),"")))</f>
        <v/>
      </c>
      <c r="H2238">
        <f>IF(F2238="",0,IF(COUNTIF(Настройки!$B$17:$B$26,F2238)&gt;0,1,IF(COUNTIF(Настройки!$C$17:$C$26,F2238)&gt;0,2,IF(COUNTIF(Настройки!$D$17:$D$26,F2238)&gt;0,3,0))))</f>
        <v/>
      </c>
      <c r="I2238">
        <f>IF(AND(ISNUMBER(A2238),ISNUMBER(B2238)),A2238*1000+B2238,"")</f>
        <v/>
      </c>
      <c r="J2238">
        <f>IF(I2238="","",IF(COUNTIF(I$2:I2238,I2238)=1,MAX(J$1:J2237)+1,""))</f>
        <v/>
      </c>
    </row>
    <row r="2239">
      <c r="A2239">
        <f>IFERROR(--SUBSTITUTE(SUBSTITUTE(TRIM(INDEX(INDIRECT("'Выгрузка'!A2239:Z2239"),Настройки!$B$7)),",","."),".",MID(1/2,2,1)),"")</f>
        <v/>
      </c>
      <c r="B2239">
        <f>IFERROR(--SUBSTITUTE(SUBSTITUTE(TRIM(INDEX(INDIRECT("'Выгрузка'!A2239:Z2239"),Настройки!$B$9)),",","."),".",MID(1/2,2,1)),"")</f>
        <v/>
      </c>
      <c r="C2239">
        <f>TRIM(INDEX(INDIRECT("'Выгрузка'!A2239:Z2239"),Настройки!$B$8)&amp;"")</f>
        <v/>
      </c>
      <c r="D2239">
        <f>IFERROR(--SUBSTITUTE(SUBSTITUTE(TRIM(INDEX(INDIRECT("'Выгрузка'!A2239:Z2239"),Настройки!$B$10)),",","."),".",MID(1/2,2,1)),"")</f>
        <v/>
      </c>
      <c r="E2239">
        <f>IFERROR(--SUBSTITUTE(SUBSTITUTE(TRIM(INDEX(INDIRECT("'Выгрузка'!A2239:Z2239"),Настройки!$B$11)),",","."),".",MID(1/2,2,1)),"")</f>
        <v/>
      </c>
      <c r="F2239">
        <f>TRIM(INDEX(INDIRECT("'Выгрузка'!A2239:Z2239"),Настройки!$B$12)&amp;"")</f>
        <v/>
      </c>
      <c r="G2239">
        <f>IF(F2239="",0,IF(TRIM(INDEX(INDIRECT("'Выгрузка'!A2239:Z2239"),Настройки!$B$13)&amp;"")="",1,IFERROR(--SUBSTITUTE(SUBSTITUTE(TRIM(INDEX(INDIRECT("'Выгрузка'!A2239:Z2239"),Настройки!$B$13)),",","."),".",MID(1/2,2,1)),"")))</f>
        <v/>
      </c>
      <c r="H2239">
        <f>IF(F2239="",0,IF(COUNTIF(Настройки!$B$17:$B$26,F2239)&gt;0,1,IF(COUNTIF(Настройки!$C$17:$C$26,F2239)&gt;0,2,IF(COUNTIF(Настройки!$D$17:$D$26,F2239)&gt;0,3,0))))</f>
        <v/>
      </c>
      <c r="I2239">
        <f>IF(AND(ISNUMBER(A2239),ISNUMBER(B2239)),A2239*1000+B2239,"")</f>
        <v/>
      </c>
      <c r="J2239">
        <f>IF(I2239="","",IF(COUNTIF(I$2:I2239,I2239)=1,MAX(J$1:J2238)+1,""))</f>
        <v/>
      </c>
    </row>
    <row r="2240">
      <c r="A2240">
        <f>IFERROR(--SUBSTITUTE(SUBSTITUTE(TRIM(INDEX(INDIRECT("'Выгрузка'!A2240:Z2240"),Настройки!$B$7)),",","."),".",MID(1/2,2,1)),"")</f>
        <v/>
      </c>
      <c r="B2240">
        <f>IFERROR(--SUBSTITUTE(SUBSTITUTE(TRIM(INDEX(INDIRECT("'Выгрузка'!A2240:Z2240"),Настройки!$B$9)),",","."),".",MID(1/2,2,1)),"")</f>
        <v/>
      </c>
      <c r="C2240">
        <f>TRIM(INDEX(INDIRECT("'Выгрузка'!A2240:Z2240"),Настройки!$B$8)&amp;"")</f>
        <v/>
      </c>
      <c r="D2240">
        <f>IFERROR(--SUBSTITUTE(SUBSTITUTE(TRIM(INDEX(INDIRECT("'Выгрузка'!A2240:Z2240"),Настройки!$B$10)),",","."),".",MID(1/2,2,1)),"")</f>
        <v/>
      </c>
      <c r="E2240">
        <f>IFERROR(--SUBSTITUTE(SUBSTITUTE(TRIM(INDEX(INDIRECT("'Выгрузка'!A2240:Z2240"),Настройки!$B$11)),",","."),".",MID(1/2,2,1)),"")</f>
        <v/>
      </c>
      <c r="F2240">
        <f>TRIM(INDEX(INDIRECT("'Выгрузка'!A2240:Z2240"),Настройки!$B$12)&amp;"")</f>
        <v/>
      </c>
      <c r="G2240">
        <f>IF(F2240="",0,IF(TRIM(INDEX(INDIRECT("'Выгрузка'!A2240:Z2240"),Настройки!$B$13)&amp;"")="",1,IFERROR(--SUBSTITUTE(SUBSTITUTE(TRIM(INDEX(INDIRECT("'Выгрузка'!A2240:Z2240"),Настройки!$B$13)),",","."),".",MID(1/2,2,1)),"")))</f>
        <v/>
      </c>
      <c r="H2240">
        <f>IF(F2240="",0,IF(COUNTIF(Настройки!$B$17:$B$26,F2240)&gt;0,1,IF(COUNTIF(Настройки!$C$17:$C$26,F2240)&gt;0,2,IF(COUNTIF(Настройки!$D$17:$D$26,F2240)&gt;0,3,0))))</f>
        <v/>
      </c>
      <c r="I2240">
        <f>IF(AND(ISNUMBER(A2240),ISNUMBER(B2240)),A2240*1000+B2240,"")</f>
        <v/>
      </c>
      <c r="J2240">
        <f>IF(I2240="","",IF(COUNTIF(I$2:I2240,I2240)=1,MAX(J$1:J2239)+1,""))</f>
        <v/>
      </c>
    </row>
    <row r="2241">
      <c r="A2241">
        <f>IFERROR(--SUBSTITUTE(SUBSTITUTE(TRIM(INDEX(INDIRECT("'Выгрузка'!A2241:Z2241"),Настройки!$B$7)),",","."),".",MID(1/2,2,1)),"")</f>
        <v/>
      </c>
      <c r="B2241">
        <f>IFERROR(--SUBSTITUTE(SUBSTITUTE(TRIM(INDEX(INDIRECT("'Выгрузка'!A2241:Z2241"),Настройки!$B$9)),",","."),".",MID(1/2,2,1)),"")</f>
        <v/>
      </c>
      <c r="C2241">
        <f>TRIM(INDEX(INDIRECT("'Выгрузка'!A2241:Z2241"),Настройки!$B$8)&amp;"")</f>
        <v/>
      </c>
      <c r="D2241">
        <f>IFERROR(--SUBSTITUTE(SUBSTITUTE(TRIM(INDEX(INDIRECT("'Выгрузка'!A2241:Z2241"),Настройки!$B$10)),",","."),".",MID(1/2,2,1)),"")</f>
        <v/>
      </c>
      <c r="E2241">
        <f>IFERROR(--SUBSTITUTE(SUBSTITUTE(TRIM(INDEX(INDIRECT("'Выгрузка'!A2241:Z2241"),Настройки!$B$11)),",","."),".",MID(1/2,2,1)),"")</f>
        <v/>
      </c>
      <c r="F2241">
        <f>TRIM(INDEX(INDIRECT("'Выгрузка'!A2241:Z2241"),Настройки!$B$12)&amp;"")</f>
        <v/>
      </c>
      <c r="G2241">
        <f>IF(F2241="",0,IF(TRIM(INDEX(INDIRECT("'Выгрузка'!A2241:Z2241"),Настройки!$B$13)&amp;"")="",1,IFERROR(--SUBSTITUTE(SUBSTITUTE(TRIM(INDEX(INDIRECT("'Выгрузка'!A2241:Z2241"),Настройки!$B$13)),",","."),".",MID(1/2,2,1)),"")))</f>
        <v/>
      </c>
      <c r="H2241">
        <f>IF(F2241="",0,IF(COUNTIF(Настройки!$B$17:$B$26,F2241)&gt;0,1,IF(COUNTIF(Настройки!$C$17:$C$26,F2241)&gt;0,2,IF(COUNTIF(Настройки!$D$17:$D$26,F2241)&gt;0,3,0))))</f>
        <v/>
      </c>
      <c r="I2241">
        <f>IF(AND(ISNUMBER(A2241),ISNUMBER(B2241)),A2241*1000+B2241,"")</f>
        <v/>
      </c>
      <c r="J2241">
        <f>IF(I2241="","",IF(COUNTIF(I$2:I2241,I2241)=1,MAX(J$1:J2240)+1,""))</f>
        <v/>
      </c>
    </row>
    <row r="2242">
      <c r="A2242">
        <f>IFERROR(--SUBSTITUTE(SUBSTITUTE(TRIM(INDEX(INDIRECT("'Выгрузка'!A2242:Z2242"),Настройки!$B$7)),",","."),".",MID(1/2,2,1)),"")</f>
        <v/>
      </c>
      <c r="B2242">
        <f>IFERROR(--SUBSTITUTE(SUBSTITUTE(TRIM(INDEX(INDIRECT("'Выгрузка'!A2242:Z2242"),Настройки!$B$9)),",","."),".",MID(1/2,2,1)),"")</f>
        <v/>
      </c>
      <c r="C2242">
        <f>TRIM(INDEX(INDIRECT("'Выгрузка'!A2242:Z2242"),Настройки!$B$8)&amp;"")</f>
        <v/>
      </c>
      <c r="D2242">
        <f>IFERROR(--SUBSTITUTE(SUBSTITUTE(TRIM(INDEX(INDIRECT("'Выгрузка'!A2242:Z2242"),Настройки!$B$10)),",","."),".",MID(1/2,2,1)),"")</f>
        <v/>
      </c>
      <c r="E2242">
        <f>IFERROR(--SUBSTITUTE(SUBSTITUTE(TRIM(INDEX(INDIRECT("'Выгрузка'!A2242:Z2242"),Настройки!$B$11)),",","."),".",MID(1/2,2,1)),"")</f>
        <v/>
      </c>
      <c r="F2242">
        <f>TRIM(INDEX(INDIRECT("'Выгрузка'!A2242:Z2242"),Настройки!$B$12)&amp;"")</f>
        <v/>
      </c>
      <c r="G2242">
        <f>IF(F2242="",0,IF(TRIM(INDEX(INDIRECT("'Выгрузка'!A2242:Z2242"),Настройки!$B$13)&amp;"")="",1,IFERROR(--SUBSTITUTE(SUBSTITUTE(TRIM(INDEX(INDIRECT("'Выгрузка'!A2242:Z2242"),Настройки!$B$13)),",","."),".",MID(1/2,2,1)),"")))</f>
        <v/>
      </c>
      <c r="H2242">
        <f>IF(F2242="",0,IF(COUNTIF(Настройки!$B$17:$B$26,F2242)&gt;0,1,IF(COUNTIF(Настройки!$C$17:$C$26,F2242)&gt;0,2,IF(COUNTIF(Настройки!$D$17:$D$26,F2242)&gt;0,3,0))))</f>
        <v/>
      </c>
      <c r="I2242">
        <f>IF(AND(ISNUMBER(A2242),ISNUMBER(B2242)),A2242*1000+B2242,"")</f>
        <v/>
      </c>
      <c r="J2242">
        <f>IF(I2242="","",IF(COUNTIF(I$2:I2242,I2242)=1,MAX(J$1:J2241)+1,""))</f>
        <v/>
      </c>
    </row>
    <row r="2243">
      <c r="A2243">
        <f>IFERROR(--SUBSTITUTE(SUBSTITUTE(TRIM(INDEX(INDIRECT("'Выгрузка'!A2243:Z2243"),Настройки!$B$7)),",","."),".",MID(1/2,2,1)),"")</f>
        <v/>
      </c>
      <c r="B2243">
        <f>IFERROR(--SUBSTITUTE(SUBSTITUTE(TRIM(INDEX(INDIRECT("'Выгрузка'!A2243:Z2243"),Настройки!$B$9)),",","."),".",MID(1/2,2,1)),"")</f>
        <v/>
      </c>
      <c r="C2243">
        <f>TRIM(INDEX(INDIRECT("'Выгрузка'!A2243:Z2243"),Настройки!$B$8)&amp;"")</f>
        <v/>
      </c>
      <c r="D2243">
        <f>IFERROR(--SUBSTITUTE(SUBSTITUTE(TRIM(INDEX(INDIRECT("'Выгрузка'!A2243:Z2243"),Настройки!$B$10)),",","."),".",MID(1/2,2,1)),"")</f>
        <v/>
      </c>
      <c r="E2243">
        <f>IFERROR(--SUBSTITUTE(SUBSTITUTE(TRIM(INDEX(INDIRECT("'Выгрузка'!A2243:Z2243"),Настройки!$B$11)),",","."),".",MID(1/2,2,1)),"")</f>
        <v/>
      </c>
      <c r="F2243">
        <f>TRIM(INDEX(INDIRECT("'Выгрузка'!A2243:Z2243"),Настройки!$B$12)&amp;"")</f>
        <v/>
      </c>
      <c r="G2243">
        <f>IF(F2243="",0,IF(TRIM(INDEX(INDIRECT("'Выгрузка'!A2243:Z2243"),Настройки!$B$13)&amp;"")="",1,IFERROR(--SUBSTITUTE(SUBSTITUTE(TRIM(INDEX(INDIRECT("'Выгрузка'!A2243:Z2243"),Настройки!$B$13)),",","."),".",MID(1/2,2,1)),"")))</f>
        <v/>
      </c>
      <c r="H2243">
        <f>IF(F2243="",0,IF(COUNTIF(Настройки!$B$17:$B$26,F2243)&gt;0,1,IF(COUNTIF(Настройки!$C$17:$C$26,F2243)&gt;0,2,IF(COUNTIF(Настройки!$D$17:$D$26,F2243)&gt;0,3,0))))</f>
        <v/>
      </c>
      <c r="I2243">
        <f>IF(AND(ISNUMBER(A2243),ISNUMBER(B2243)),A2243*1000+B2243,"")</f>
        <v/>
      </c>
      <c r="J2243">
        <f>IF(I2243="","",IF(COUNTIF(I$2:I2243,I2243)=1,MAX(J$1:J2242)+1,""))</f>
        <v/>
      </c>
    </row>
    <row r="2244">
      <c r="A2244">
        <f>IFERROR(--SUBSTITUTE(SUBSTITUTE(TRIM(INDEX(INDIRECT("'Выгрузка'!A2244:Z2244"),Настройки!$B$7)),",","."),".",MID(1/2,2,1)),"")</f>
        <v/>
      </c>
      <c r="B2244">
        <f>IFERROR(--SUBSTITUTE(SUBSTITUTE(TRIM(INDEX(INDIRECT("'Выгрузка'!A2244:Z2244"),Настройки!$B$9)),",","."),".",MID(1/2,2,1)),"")</f>
        <v/>
      </c>
      <c r="C2244">
        <f>TRIM(INDEX(INDIRECT("'Выгрузка'!A2244:Z2244"),Настройки!$B$8)&amp;"")</f>
        <v/>
      </c>
      <c r="D2244">
        <f>IFERROR(--SUBSTITUTE(SUBSTITUTE(TRIM(INDEX(INDIRECT("'Выгрузка'!A2244:Z2244"),Настройки!$B$10)),",","."),".",MID(1/2,2,1)),"")</f>
        <v/>
      </c>
      <c r="E2244">
        <f>IFERROR(--SUBSTITUTE(SUBSTITUTE(TRIM(INDEX(INDIRECT("'Выгрузка'!A2244:Z2244"),Настройки!$B$11)),",","."),".",MID(1/2,2,1)),"")</f>
        <v/>
      </c>
      <c r="F2244">
        <f>TRIM(INDEX(INDIRECT("'Выгрузка'!A2244:Z2244"),Настройки!$B$12)&amp;"")</f>
        <v/>
      </c>
      <c r="G2244">
        <f>IF(F2244="",0,IF(TRIM(INDEX(INDIRECT("'Выгрузка'!A2244:Z2244"),Настройки!$B$13)&amp;"")="",1,IFERROR(--SUBSTITUTE(SUBSTITUTE(TRIM(INDEX(INDIRECT("'Выгрузка'!A2244:Z2244"),Настройки!$B$13)),",","."),".",MID(1/2,2,1)),"")))</f>
        <v/>
      </c>
      <c r="H2244">
        <f>IF(F2244="",0,IF(COUNTIF(Настройки!$B$17:$B$26,F2244)&gt;0,1,IF(COUNTIF(Настройки!$C$17:$C$26,F2244)&gt;0,2,IF(COUNTIF(Настройки!$D$17:$D$26,F2244)&gt;0,3,0))))</f>
        <v/>
      </c>
      <c r="I2244">
        <f>IF(AND(ISNUMBER(A2244),ISNUMBER(B2244)),A2244*1000+B2244,"")</f>
        <v/>
      </c>
      <c r="J2244">
        <f>IF(I2244="","",IF(COUNTIF(I$2:I2244,I2244)=1,MAX(J$1:J2243)+1,""))</f>
        <v/>
      </c>
    </row>
    <row r="2245">
      <c r="A2245">
        <f>IFERROR(--SUBSTITUTE(SUBSTITUTE(TRIM(INDEX(INDIRECT("'Выгрузка'!A2245:Z2245"),Настройки!$B$7)),",","."),".",MID(1/2,2,1)),"")</f>
        <v/>
      </c>
      <c r="B2245">
        <f>IFERROR(--SUBSTITUTE(SUBSTITUTE(TRIM(INDEX(INDIRECT("'Выгрузка'!A2245:Z2245"),Настройки!$B$9)),",","."),".",MID(1/2,2,1)),"")</f>
        <v/>
      </c>
      <c r="C2245">
        <f>TRIM(INDEX(INDIRECT("'Выгрузка'!A2245:Z2245"),Настройки!$B$8)&amp;"")</f>
        <v/>
      </c>
      <c r="D2245">
        <f>IFERROR(--SUBSTITUTE(SUBSTITUTE(TRIM(INDEX(INDIRECT("'Выгрузка'!A2245:Z2245"),Настройки!$B$10)),",","."),".",MID(1/2,2,1)),"")</f>
        <v/>
      </c>
      <c r="E2245">
        <f>IFERROR(--SUBSTITUTE(SUBSTITUTE(TRIM(INDEX(INDIRECT("'Выгрузка'!A2245:Z2245"),Настройки!$B$11)),",","."),".",MID(1/2,2,1)),"")</f>
        <v/>
      </c>
      <c r="F2245">
        <f>TRIM(INDEX(INDIRECT("'Выгрузка'!A2245:Z2245"),Настройки!$B$12)&amp;"")</f>
        <v/>
      </c>
      <c r="G2245">
        <f>IF(F2245="",0,IF(TRIM(INDEX(INDIRECT("'Выгрузка'!A2245:Z2245"),Настройки!$B$13)&amp;"")="",1,IFERROR(--SUBSTITUTE(SUBSTITUTE(TRIM(INDEX(INDIRECT("'Выгрузка'!A2245:Z2245"),Настройки!$B$13)),",","."),".",MID(1/2,2,1)),"")))</f>
        <v/>
      </c>
      <c r="H2245">
        <f>IF(F2245="",0,IF(COUNTIF(Настройки!$B$17:$B$26,F2245)&gt;0,1,IF(COUNTIF(Настройки!$C$17:$C$26,F2245)&gt;0,2,IF(COUNTIF(Настройки!$D$17:$D$26,F2245)&gt;0,3,0))))</f>
        <v/>
      </c>
      <c r="I2245">
        <f>IF(AND(ISNUMBER(A2245),ISNUMBER(B2245)),A2245*1000+B2245,"")</f>
        <v/>
      </c>
      <c r="J2245">
        <f>IF(I2245="","",IF(COUNTIF(I$2:I2245,I2245)=1,MAX(J$1:J2244)+1,""))</f>
        <v/>
      </c>
    </row>
    <row r="2246">
      <c r="A2246">
        <f>IFERROR(--SUBSTITUTE(SUBSTITUTE(TRIM(INDEX(INDIRECT("'Выгрузка'!A2246:Z2246"),Настройки!$B$7)),",","."),".",MID(1/2,2,1)),"")</f>
        <v/>
      </c>
      <c r="B2246">
        <f>IFERROR(--SUBSTITUTE(SUBSTITUTE(TRIM(INDEX(INDIRECT("'Выгрузка'!A2246:Z2246"),Настройки!$B$9)),",","."),".",MID(1/2,2,1)),"")</f>
        <v/>
      </c>
      <c r="C2246">
        <f>TRIM(INDEX(INDIRECT("'Выгрузка'!A2246:Z2246"),Настройки!$B$8)&amp;"")</f>
        <v/>
      </c>
      <c r="D2246">
        <f>IFERROR(--SUBSTITUTE(SUBSTITUTE(TRIM(INDEX(INDIRECT("'Выгрузка'!A2246:Z2246"),Настройки!$B$10)),",","."),".",MID(1/2,2,1)),"")</f>
        <v/>
      </c>
      <c r="E2246">
        <f>IFERROR(--SUBSTITUTE(SUBSTITUTE(TRIM(INDEX(INDIRECT("'Выгрузка'!A2246:Z2246"),Настройки!$B$11)),",","."),".",MID(1/2,2,1)),"")</f>
        <v/>
      </c>
      <c r="F2246">
        <f>TRIM(INDEX(INDIRECT("'Выгрузка'!A2246:Z2246"),Настройки!$B$12)&amp;"")</f>
        <v/>
      </c>
      <c r="G2246">
        <f>IF(F2246="",0,IF(TRIM(INDEX(INDIRECT("'Выгрузка'!A2246:Z2246"),Настройки!$B$13)&amp;"")="",1,IFERROR(--SUBSTITUTE(SUBSTITUTE(TRIM(INDEX(INDIRECT("'Выгрузка'!A2246:Z2246"),Настройки!$B$13)),",","."),".",MID(1/2,2,1)),"")))</f>
        <v/>
      </c>
      <c r="H2246">
        <f>IF(F2246="",0,IF(COUNTIF(Настройки!$B$17:$B$26,F2246)&gt;0,1,IF(COUNTIF(Настройки!$C$17:$C$26,F2246)&gt;0,2,IF(COUNTIF(Настройки!$D$17:$D$26,F2246)&gt;0,3,0))))</f>
        <v/>
      </c>
      <c r="I2246">
        <f>IF(AND(ISNUMBER(A2246),ISNUMBER(B2246)),A2246*1000+B2246,"")</f>
        <v/>
      </c>
      <c r="J2246">
        <f>IF(I2246="","",IF(COUNTIF(I$2:I2246,I2246)=1,MAX(J$1:J2245)+1,""))</f>
        <v/>
      </c>
    </row>
    <row r="2247">
      <c r="A2247">
        <f>IFERROR(--SUBSTITUTE(SUBSTITUTE(TRIM(INDEX(INDIRECT("'Выгрузка'!A2247:Z2247"),Настройки!$B$7)),",","."),".",MID(1/2,2,1)),"")</f>
        <v/>
      </c>
      <c r="B2247">
        <f>IFERROR(--SUBSTITUTE(SUBSTITUTE(TRIM(INDEX(INDIRECT("'Выгрузка'!A2247:Z2247"),Настройки!$B$9)),",","."),".",MID(1/2,2,1)),"")</f>
        <v/>
      </c>
      <c r="C2247">
        <f>TRIM(INDEX(INDIRECT("'Выгрузка'!A2247:Z2247"),Настройки!$B$8)&amp;"")</f>
        <v/>
      </c>
      <c r="D2247">
        <f>IFERROR(--SUBSTITUTE(SUBSTITUTE(TRIM(INDEX(INDIRECT("'Выгрузка'!A2247:Z2247"),Настройки!$B$10)),",","."),".",MID(1/2,2,1)),"")</f>
        <v/>
      </c>
      <c r="E2247">
        <f>IFERROR(--SUBSTITUTE(SUBSTITUTE(TRIM(INDEX(INDIRECT("'Выгрузка'!A2247:Z2247"),Настройки!$B$11)),",","."),".",MID(1/2,2,1)),"")</f>
        <v/>
      </c>
      <c r="F2247">
        <f>TRIM(INDEX(INDIRECT("'Выгрузка'!A2247:Z2247"),Настройки!$B$12)&amp;"")</f>
        <v/>
      </c>
      <c r="G2247">
        <f>IF(F2247="",0,IF(TRIM(INDEX(INDIRECT("'Выгрузка'!A2247:Z2247"),Настройки!$B$13)&amp;"")="",1,IFERROR(--SUBSTITUTE(SUBSTITUTE(TRIM(INDEX(INDIRECT("'Выгрузка'!A2247:Z2247"),Настройки!$B$13)),",","."),".",MID(1/2,2,1)),"")))</f>
        <v/>
      </c>
      <c r="H2247">
        <f>IF(F2247="",0,IF(COUNTIF(Настройки!$B$17:$B$26,F2247)&gt;0,1,IF(COUNTIF(Настройки!$C$17:$C$26,F2247)&gt;0,2,IF(COUNTIF(Настройки!$D$17:$D$26,F2247)&gt;0,3,0))))</f>
        <v/>
      </c>
      <c r="I2247">
        <f>IF(AND(ISNUMBER(A2247),ISNUMBER(B2247)),A2247*1000+B2247,"")</f>
        <v/>
      </c>
      <c r="J2247">
        <f>IF(I2247="","",IF(COUNTIF(I$2:I2247,I2247)=1,MAX(J$1:J2246)+1,""))</f>
        <v/>
      </c>
    </row>
    <row r="2248">
      <c r="A2248">
        <f>IFERROR(--SUBSTITUTE(SUBSTITUTE(TRIM(INDEX(INDIRECT("'Выгрузка'!A2248:Z2248"),Настройки!$B$7)),",","."),".",MID(1/2,2,1)),"")</f>
        <v/>
      </c>
      <c r="B2248">
        <f>IFERROR(--SUBSTITUTE(SUBSTITUTE(TRIM(INDEX(INDIRECT("'Выгрузка'!A2248:Z2248"),Настройки!$B$9)),",","."),".",MID(1/2,2,1)),"")</f>
        <v/>
      </c>
      <c r="C2248">
        <f>TRIM(INDEX(INDIRECT("'Выгрузка'!A2248:Z2248"),Настройки!$B$8)&amp;"")</f>
        <v/>
      </c>
      <c r="D2248">
        <f>IFERROR(--SUBSTITUTE(SUBSTITUTE(TRIM(INDEX(INDIRECT("'Выгрузка'!A2248:Z2248"),Настройки!$B$10)),",","."),".",MID(1/2,2,1)),"")</f>
        <v/>
      </c>
      <c r="E2248">
        <f>IFERROR(--SUBSTITUTE(SUBSTITUTE(TRIM(INDEX(INDIRECT("'Выгрузка'!A2248:Z2248"),Настройки!$B$11)),",","."),".",MID(1/2,2,1)),"")</f>
        <v/>
      </c>
      <c r="F2248">
        <f>TRIM(INDEX(INDIRECT("'Выгрузка'!A2248:Z2248"),Настройки!$B$12)&amp;"")</f>
        <v/>
      </c>
      <c r="G2248">
        <f>IF(F2248="",0,IF(TRIM(INDEX(INDIRECT("'Выгрузка'!A2248:Z2248"),Настройки!$B$13)&amp;"")="",1,IFERROR(--SUBSTITUTE(SUBSTITUTE(TRIM(INDEX(INDIRECT("'Выгрузка'!A2248:Z2248"),Настройки!$B$13)),",","."),".",MID(1/2,2,1)),"")))</f>
        <v/>
      </c>
      <c r="H2248">
        <f>IF(F2248="",0,IF(COUNTIF(Настройки!$B$17:$B$26,F2248)&gt;0,1,IF(COUNTIF(Настройки!$C$17:$C$26,F2248)&gt;0,2,IF(COUNTIF(Настройки!$D$17:$D$26,F2248)&gt;0,3,0))))</f>
        <v/>
      </c>
      <c r="I2248">
        <f>IF(AND(ISNUMBER(A2248),ISNUMBER(B2248)),A2248*1000+B2248,"")</f>
        <v/>
      </c>
      <c r="J2248">
        <f>IF(I2248="","",IF(COUNTIF(I$2:I2248,I2248)=1,MAX(J$1:J2247)+1,""))</f>
        <v/>
      </c>
    </row>
    <row r="2249">
      <c r="A2249">
        <f>IFERROR(--SUBSTITUTE(SUBSTITUTE(TRIM(INDEX(INDIRECT("'Выгрузка'!A2249:Z2249"),Настройки!$B$7)),",","."),".",MID(1/2,2,1)),"")</f>
        <v/>
      </c>
      <c r="B2249">
        <f>IFERROR(--SUBSTITUTE(SUBSTITUTE(TRIM(INDEX(INDIRECT("'Выгрузка'!A2249:Z2249"),Настройки!$B$9)),",","."),".",MID(1/2,2,1)),"")</f>
        <v/>
      </c>
      <c r="C2249">
        <f>TRIM(INDEX(INDIRECT("'Выгрузка'!A2249:Z2249"),Настройки!$B$8)&amp;"")</f>
        <v/>
      </c>
      <c r="D2249">
        <f>IFERROR(--SUBSTITUTE(SUBSTITUTE(TRIM(INDEX(INDIRECT("'Выгрузка'!A2249:Z2249"),Настройки!$B$10)),",","."),".",MID(1/2,2,1)),"")</f>
        <v/>
      </c>
      <c r="E2249">
        <f>IFERROR(--SUBSTITUTE(SUBSTITUTE(TRIM(INDEX(INDIRECT("'Выгрузка'!A2249:Z2249"),Настройки!$B$11)),",","."),".",MID(1/2,2,1)),"")</f>
        <v/>
      </c>
      <c r="F2249">
        <f>TRIM(INDEX(INDIRECT("'Выгрузка'!A2249:Z2249"),Настройки!$B$12)&amp;"")</f>
        <v/>
      </c>
      <c r="G2249">
        <f>IF(F2249="",0,IF(TRIM(INDEX(INDIRECT("'Выгрузка'!A2249:Z2249"),Настройки!$B$13)&amp;"")="",1,IFERROR(--SUBSTITUTE(SUBSTITUTE(TRIM(INDEX(INDIRECT("'Выгрузка'!A2249:Z2249"),Настройки!$B$13)),",","."),".",MID(1/2,2,1)),"")))</f>
        <v/>
      </c>
      <c r="H2249">
        <f>IF(F2249="",0,IF(COUNTIF(Настройки!$B$17:$B$26,F2249)&gt;0,1,IF(COUNTIF(Настройки!$C$17:$C$26,F2249)&gt;0,2,IF(COUNTIF(Настройки!$D$17:$D$26,F2249)&gt;0,3,0))))</f>
        <v/>
      </c>
      <c r="I2249">
        <f>IF(AND(ISNUMBER(A2249),ISNUMBER(B2249)),A2249*1000+B2249,"")</f>
        <v/>
      </c>
      <c r="J2249">
        <f>IF(I2249="","",IF(COUNTIF(I$2:I2249,I2249)=1,MAX(J$1:J2248)+1,""))</f>
        <v/>
      </c>
    </row>
    <row r="2250">
      <c r="A2250">
        <f>IFERROR(--SUBSTITUTE(SUBSTITUTE(TRIM(INDEX(INDIRECT("'Выгрузка'!A2250:Z2250"),Настройки!$B$7)),",","."),".",MID(1/2,2,1)),"")</f>
        <v/>
      </c>
      <c r="B2250">
        <f>IFERROR(--SUBSTITUTE(SUBSTITUTE(TRIM(INDEX(INDIRECT("'Выгрузка'!A2250:Z2250"),Настройки!$B$9)),",","."),".",MID(1/2,2,1)),"")</f>
        <v/>
      </c>
      <c r="C2250">
        <f>TRIM(INDEX(INDIRECT("'Выгрузка'!A2250:Z2250"),Настройки!$B$8)&amp;"")</f>
        <v/>
      </c>
      <c r="D2250">
        <f>IFERROR(--SUBSTITUTE(SUBSTITUTE(TRIM(INDEX(INDIRECT("'Выгрузка'!A2250:Z2250"),Настройки!$B$10)),",","."),".",MID(1/2,2,1)),"")</f>
        <v/>
      </c>
      <c r="E2250">
        <f>IFERROR(--SUBSTITUTE(SUBSTITUTE(TRIM(INDEX(INDIRECT("'Выгрузка'!A2250:Z2250"),Настройки!$B$11)),",","."),".",MID(1/2,2,1)),"")</f>
        <v/>
      </c>
      <c r="F2250">
        <f>TRIM(INDEX(INDIRECT("'Выгрузка'!A2250:Z2250"),Настройки!$B$12)&amp;"")</f>
        <v/>
      </c>
      <c r="G2250">
        <f>IF(F2250="",0,IF(TRIM(INDEX(INDIRECT("'Выгрузка'!A2250:Z2250"),Настройки!$B$13)&amp;"")="",1,IFERROR(--SUBSTITUTE(SUBSTITUTE(TRIM(INDEX(INDIRECT("'Выгрузка'!A2250:Z2250"),Настройки!$B$13)),",","."),".",MID(1/2,2,1)),"")))</f>
        <v/>
      </c>
      <c r="H2250">
        <f>IF(F2250="",0,IF(COUNTIF(Настройки!$B$17:$B$26,F2250)&gt;0,1,IF(COUNTIF(Настройки!$C$17:$C$26,F2250)&gt;0,2,IF(COUNTIF(Настройки!$D$17:$D$26,F2250)&gt;0,3,0))))</f>
        <v/>
      </c>
      <c r="I2250">
        <f>IF(AND(ISNUMBER(A2250),ISNUMBER(B2250)),A2250*1000+B2250,"")</f>
        <v/>
      </c>
      <c r="J2250">
        <f>IF(I2250="","",IF(COUNTIF(I$2:I2250,I2250)=1,MAX(J$1:J2249)+1,""))</f>
        <v/>
      </c>
    </row>
    <row r="2251">
      <c r="A2251">
        <f>IFERROR(--SUBSTITUTE(SUBSTITUTE(TRIM(INDEX(INDIRECT("'Выгрузка'!A2251:Z2251"),Настройки!$B$7)),",","."),".",MID(1/2,2,1)),"")</f>
        <v/>
      </c>
      <c r="B2251">
        <f>IFERROR(--SUBSTITUTE(SUBSTITUTE(TRIM(INDEX(INDIRECT("'Выгрузка'!A2251:Z2251"),Настройки!$B$9)),",","."),".",MID(1/2,2,1)),"")</f>
        <v/>
      </c>
      <c r="C2251">
        <f>TRIM(INDEX(INDIRECT("'Выгрузка'!A2251:Z2251"),Настройки!$B$8)&amp;"")</f>
        <v/>
      </c>
      <c r="D2251">
        <f>IFERROR(--SUBSTITUTE(SUBSTITUTE(TRIM(INDEX(INDIRECT("'Выгрузка'!A2251:Z2251"),Настройки!$B$10)),",","."),".",MID(1/2,2,1)),"")</f>
        <v/>
      </c>
      <c r="E2251">
        <f>IFERROR(--SUBSTITUTE(SUBSTITUTE(TRIM(INDEX(INDIRECT("'Выгрузка'!A2251:Z2251"),Настройки!$B$11)),",","."),".",MID(1/2,2,1)),"")</f>
        <v/>
      </c>
      <c r="F2251">
        <f>TRIM(INDEX(INDIRECT("'Выгрузка'!A2251:Z2251"),Настройки!$B$12)&amp;"")</f>
        <v/>
      </c>
      <c r="G2251">
        <f>IF(F2251="",0,IF(TRIM(INDEX(INDIRECT("'Выгрузка'!A2251:Z2251"),Настройки!$B$13)&amp;"")="",1,IFERROR(--SUBSTITUTE(SUBSTITUTE(TRIM(INDEX(INDIRECT("'Выгрузка'!A2251:Z2251"),Настройки!$B$13)),",","."),".",MID(1/2,2,1)),"")))</f>
        <v/>
      </c>
      <c r="H2251">
        <f>IF(F2251="",0,IF(COUNTIF(Настройки!$B$17:$B$26,F2251)&gt;0,1,IF(COUNTIF(Настройки!$C$17:$C$26,F2251)&gt;0,2,IF(COUNTIF(Настройки!$D$17:$D$26,F2251)&gt;0,3,0))))</f>
        <v/>
      </c>
      <c r="I2251">
        <f>IF(AND(ISNUMBER(A2251),ISNUMBER(B2251)),A2251*1000+B2251,"")</f>
        <v/>
      </c>
      <c r="J2251">
        <f>IF(I2251="","",IF(COUNTIF(I$2:I2251,I2251)=1,MAX(J$1:J2250)+1,""))</f>
        <v/>
      </c>
    </row>
    <row r="2252">
      <c r="A2252">
        <f>IFERROR(--SUBSTITUTE(SUBSTITUTE(TRIM(INDEX(INDIRECT("'Выгрузка'!A2252:Z2252"),Настройки!$B$7)),",","."),".",MID(1/2,2,1)),"")</f>
        <v/>
      </c>
      <c r="B2252">
        <f>IFERROR(--SUBSTITUTE(SUBSTITUTE(TRIM(INDEX(INDIRECT("'Выгрузка'!A2252:Z2252"),Настройки!$B$9)),",","."),".",MID(1/2,2,1)),"")</f>
        <v/>
      </c>
      <c r="C2252">
        <f>TRIM(INDEX(INDIRECT("'Выгрузка'!A2252:Z2252"),Настройки!$B$8)&amp;"")</f>
        <v/>
      </c>
      <c r="D2252">
        <f>IFERROR(--SUBSTITUTE(SUBSTITUTE(TRIM(INDEX(INDIRECT("'Выгрузка'!A2252:Z2252"),Настройки!$B$10)),",","."),".",MID(1/2,2,1)),"")</f>
        <v/>
      </c>
      <c r="E2252">
        <f>IFERROR(--SUBSTITUTE(SUBSTITUTE(TRIM(INDEX(INDIRECT("'Выгрузка'!A2252:Z2252"),Настройки!$B$11)),",","."),".",MID(1/2,2,1)),"")</f>
        <v/>
      </c>
      <c r="F2252">
        <f>TRIM(INDEX(INDIRECT("'Выгрузка'!A2252:Z2252"),Настройки!$B$12)&amp;"")</f>
        <v/>
      </c>
      <c r="G2252">
        <f>IF(F2252="",0,IF(TRIM(INDEX(INDIRECT("'Выгрузка'!A2252:Z2252"),Настройки!$B$13)&amp;"")="",1,IFERROR(--SUBSTITUTE(SUBSTITUTE(TRIM(INDEX(INDIRECT("'Выгрузка'!A2252:Z2252"),Настройки!$B$13)),",","."),".",MID(1/2,2,1)),"")))</f>
        <v/>
      </c>
      <c r="H2252">
        <f>IF(F2252="",0,IF(COUNTIF(Настройки!$B$17:$B$26,F2252)&gt;0,1,IF(COUNTIF(Настройки!$C$17:$C$26,F2252)&gt;0,2,IF(COUNTIF(Настройки!$D$17:$D$26,F2252)&gt;0,3,0))))</f>
        <v/>
      </c>
      <c r="I2252">
        <f>IF(AND(ISNUMBER(A2252),ISNUMBER(B2252)),A2252*1000+B2252,"")</f>
        <v/>
      </c>
      <c r="J2252">
        <f>IF(I2252="","",IF(COUNTIF(I$2:I2252,I2252)=1,MAX(J$1:J2251)+1,""))</f>
        <v/>
      </c>
    </row>
    <row r="2253">
      <c r="A2253">
        <f>IFERROR(--SUBSTITUTE(SUBSTITUTE(TRIM(INDEX(INDIRECT("'Выгрузка'!A2253:Z2253"),Настройки!$B$7)),",","."),".",MID(1/2,2,1)),"")</f>
        <v/>
      </c>
      <c r="B2253">
        <f>IFERROR(--SUBSTITUTE(SUBSTITUTE(TRIM(INDEX(INDIRECT("'Выгрузка'!A2253:Z2253"),Настройки!$B$9)),",","."),".",MID(1/2,2,1)),"")</f>
        <v/>
      </c>
      <c r="C2253">
        <f>TRIM(INDEX(INDIRECT("'Выгрузка'!A2253:Z2253"),Настройки!$B$8)&amp;"")</f>
        <v/>
      </c>
      <c r="D2253">
        <f>IFERROR(--SUBSTITUTE(SUBSTITUTE(TRIM(INDEX(INDIRECT("'Выгрузка'!A2253:Z2253"),Настройки!$B$10)),",","."),".",MID(1/2,2,1)),"")</f>
        <v/>
      </c>
      <c r="E2253">
        <f>IFERROR(--SUBSTITUTE(SUBSTITUTE(TRIM(INDEX(INDIRECT("'Выгрузка'!A2253:Z2253"),Настройки!$B$11)),",","."),".",MID(1/2,2,1)),"")</f>
        <v/>
      </c>
      <c r="F2253">
        <f>TRIM(INDEX(INDIRECT("'Выгрузка'!A2253:Z2253"),Настройки!$B$12)&amp;"")</f>
        <v/>
      </c>
      <c r="G2253">
        <f>IF(F2253="",0,IF(TRIM(INDEX(INDIRECT("'Выгрузка'!A2253:Z2253"),Настройки!$B$13)&amp;"")="",1,IFERROR(--SUBSTITUTE(SUBSTITUTE(TRIM(INDEX(INDIRECT("'Выгрузка'!A2253:Z2253"),Настройки!$B$13)),",","."),".",MID(1/2,2,1)),"")))</f>
        <v/>
      </c>
      <c r="H2253">
        <f>IF(F2253="",0,IF(COUNTIF(Настройки!$B$17:$B$26,F2253)&gt;0,1,IF(COUNTIF(Настройки!$C$17:$C$26,F2253)&gt;0,2,IF(COUNTIF(Настройки!$D$17:$D$26,F2253)&gt;0,3,0))))</f>
        <v/>
      </c>
      <c r="I2253">
        <f>IF(AND(ISNUMBER(A2253),ISNUMBER(B2253)),A2253*1000+B2253,"")</f>
        <v/>
      </c>
      <c r="J2253">
        <f>IF(I2253="","",IF(COUNTIF(I$2:I2253,I2253)=1,MAX(J$1:J2252)+1,""))</f>
        <v/>
      </c>
    </row>
    <row r="2254">
      <c r="A2254">
        <f>IFERROR(--SUBSTITUTE(SUBSTITUTE(TRIM(INDEX(INDIRECT("'Выгрузка'!A2254:Z2254"),Настройки!$B$7)),",","."),".",MID(1/2,2,1)),"")</f>
        <v/>
      </c>
      <c r="B2254">
        <f>IFERROR(--SUBSTITUTE(SUBSTITUTE(TRIM(INDEX(INDIRECT("'Выгрузка'!A2254:Z2254"),Настройки!$B$9)),",","."),".",MID(1/2,2,1)),"")</f>
        <v/>
      </c>
      <c r="C2254">
        <f>TRIM(INDEX(INDIRECT("'Выгрузка'!A2254:Z2254"),Настройки!$B$8)&amp;"")</f>
        <v/>
      </c>
      <c r="D2254">
        <f>IFERROR(--SUBSTITUTE(SUBSTITUTE(TRIM(INDEX(INDIRECT("'Выгрузка'!A2254:Z2254"),Настройки!$B$10)),",","."),".",MID(1/2,2,1)),"")</f>
        <v/>
      </c>
      <c r="E2254">
        <f>IFERROR(--SUBSTITUTE(SUBSTITUTE(TRIM(INDEX(INDIRECT("'Выгрузка'!A2254:Z2254"),Настройки!$B$11)),",","."),".",MID(1/2,2,1)),"")</f>
        <v/>
      </c>
      <c r="F2254">
        <f>TRIM(INDEX(INDIRECT("'Выгрузка'!A2254:Z2254"),Настройки!$B$12)&amp;"")</f>
        <v/>
      </c>
      <c r="G2254">
        <f>IF(F2254="",0,IF(TRIM(INDEX(INDIRECT("'Выгрузка'!A2254:Z2254"),Настройки!$B$13)&amp;"")="",1,IFERROR(--SUBSTITUTE(SUBSTITUTE(TRIM(INDEX(INDIRECT("'Выгрузка'!A2254:Z2254"),Настройки!$B$13)),",","."),".",MID(1/2,2,1)),"")))</f>
        <v/>
      </c>
      <c r="H2254">
        <f>IF(F2254="",0,IF(COUNTIF(Настройки!$B$17:$B$26,F2254)&gt;0,1,IF(COUNTIF(Настройки!$C$17:$C$26,F2254)&gt;0,2,IF(COUNTIF(Настройки!$D$17:$D$26,F2254)&gt;0,3,0))))</f>
        <v/>
      </c>
      <c r="I2254">
        <f>IF(AND(ISNUMBER(A2254),ISNUMBER(B2254)),A2254*1000+B2254,"")</f>
        <v/>
      </c>
      <c r="J2254">
        <f>IF(I2254="","",IF(COUNTIF(I$2:I2254,I2254)=1,MAX(J$1:J2253)+1,""))</f>
        <v/>
      </c>
    </row>
    <row r="2255">
      <c r="A2255">
        <f>IFERROR(--SUBSTITUTE(SUBSTITUTE(TRIM(INDEX(INDIRECT("'Выгрузка'!A2255:Z2255"),Настройки!$B$7)),",","."),".",MID(1/2,2,1)),"")</f>
        <v/>
      </c>
      <c r="B2255">
        <f>IFERROR(--SUBSTITUTE(SUBSTITUTE(TRIM(INDEX(INDIRECT("'Выгрузка'!A2255:Z2255"),Настройки!$B$9)),",","."),".",MID(1/2,2,1)),"")</f>
        <v/>
      </c>
      <c r="C2255">
        <f>TRIM(INDEX(INDIRECT("'Выгрузка'!A2255:Z2255"),Настройки!$B$8)&amp;"")</f>
        <v/>
      </c>
      <c r="D2255">
        <f>IFERROR(--SUBSTITUTE(SUBSTITUTE(TRIM(INDEX(INDIRECT("'Выгрузка'!A2255:Z2255"),Настройки!$B$10)),",","."),".",MID(1/2,2,1)),"")</f>
        <v/>
      </c>
      <c r="E2255">
        <f>IFERROR(--SUBSTITUTE(SUBSTITUTE(TRIM(INDEX(INDIRECT("'Выгрузка'!A2255:Z2255"),Настройки!$B$11)),",","."),".",MID(1/2,2,1)),"")</f>
        <v/>
      </c>
      <c r="F2255">
        <f>TRIM(INDEX(INDIRECT("'Выгрузка'!A2255:Z2255"),Настройки!$B$12)&amp;"")</f>
        <v/>
      </c>
      <c r="G2255">
        <f>IF(F2255="",0,IF(TRIM(INDEX(INDIRECT("'Выгрузка'!A2255:Z2255"),Настройки!$B$13)&amp;"")="",1,IFERROR(--SUBSTITUTE(SUBSTITUTE(TRIM(INDEX(INDIRECT("'Выгрузка'!A2255:Z2255"),Настройки!$B$13)),",","."),".",MID(1/2,2,1)),"")))</f>
        <v/>
      </c>
      <c r="H2255">
        <f>IF(F2255="",0,IF(COUNTIF(Настройки!$B$17:$B$26,F2255)&gt;0,1,IF(COUNTIF(Настройки!$C$17:$C$26,F2255)&gt;0,2,IF(COUNTIF(Настройки!$D$17:$D$26,F2255)&gt;0,3,0))))</f>
        <v/>
      </c>
      <c r="I2255">
        <f>IF(AND(ISNUMBER(A2255),ISNUMBER(B2255)),A2255*1000+B2255,"")</f>
        <v/>
      </c>
      <c r="J2255">
        <f>IF(I2255="","",IF(COUNTIF(I$2:I2255,I2255)=1,MAX(J$1:J2254)+1,""))</f>
        <v/>
      </c>
    </row>
    <row r="2256">
      <c r="A2256">
        <f>IFERROR(--SUBSTITUTE(SUBSTITUTE(TRIM(INDEX(INDIRECT("'Выгрузка'!A2256:Z2256"),Настройки!$B$7)),",","."),".",MID(1/2,2,1)),"")</f>
        <v/>
      </c>
      <c r="B2256">
        <f>IFERROR(--SUBSTITUTE(SUBSTITUTE(TRIM(INDEX(INDIRECT("'Выгрузка'!A2256:Z2256"),Настройки!$B$9)),",","."),".",MID(1/2,2,1)),"")</f>
        <v/>
      </c>
      <c r="C2256">
        <f>TRIM(INDEX(INDIRECT("'Выгрузка'!A2256:Z2256"),Настройки!$B$8)&amp;"")</f>
        <v/>
      </c>
      <c r="D2256">
        <f>IFERROR(--SUBSTITUTE(SUBSTITUTE(TRIM(INDEX(INDIRECT("'Выгрузка'!A2256:Z2256"),Настройки!$B$10)),",","."),".",MID(1/2,2,1)),"")</f>
        <v/>
      </c>
      <c r="E2256">
        <f>IFERROR(--SUBSTITUTE(SUBSTITUTE(TRIM(INDEX(INDIRECT("'Выгрузка'!A2256:Z2256"),Настройки!$B$11)),",","."),".",MID(1/2,2,1)),"")</f>
        <v/>
      </c>
      <c r="F2256">
        <f>TRIM(INDEX(INDIRECT("'Выгрузка'!A2256:Z2256"),Настройки!$B$12)&amp;"")</f>
        <v/>
      </c>
      <c r="G2256">
        <f>IF(F2256="",0,IF(TRIM(INDEX(INDIRECT("'Выгрузка'!A2256:Z2256"),Настройки!$B$13)&amp;"")="",1,IFERROR(--SUBSTITUTE(SUBSTITUTE(TRIM(INDEX(INDIRECT("'Выгрузка'!A2256:Z2256"),Настройки!$B$13)),",","."),".",MID(1/2,2,1)),"")))</f>
        <v/>
      </c>
      <c r="H2256">
        <f>IF(F2256="",0,IF(COUNTIF(Настройки!$B$17:$B$26,F2256)&gt;0,1,IF(COUNTIF(Настройки!$C$17:$C$26,F2256)&gt;0,2,IF(COUNTIF(Настройки!$D$17:$D$26,F2256)&gt;0,3,0))))</f>
        <v/>
      </c>
      <c r="I2256">
        <f>IF(AND(ISNUMBER(A2256),ISNUMBER(B2256)),A2256*1000+B2256,"")</f>
        <v/>
      </c>
      <c r="J2256">
        <f>IF(I2256="","",IF(COUNTIF(I$2:I2256,I2256)=1,MAX(J$1:J2255)+1,""))</f>
        <v/>
      </c>
    </row>
    <row r="2257">
      <c r="A2257">
        <f>IFERROR(--SUBSTITUTE(SUBSTITUTE(TRIM(INDEX(INDIRECT("'Выгрузка'!A2257:Z2257"),Настройки!$B$7)),",","."),".",MID(1/2,2,1)),"")</f>
        <v/>
      </c>
      <c r="B2257">
        <f>IFERROR(--SUBSTITUTE(SUBSTITUTE(TRIM(INDEX(INDIRECT("'Выгрузка'!A2257:Z2257"),Настройки!$B$9)),",","."),".",MID(1/2,2,1)),"")</f>
        <v/>
      </c>
      <c r="C2257">
        <f>TRIM(INDEX(INDIRECT("'Выгрузка'!A2257:Z2257"),Настройки!$B$8)&amp;"")</f>
        <v/>
      </c>
      <c r="D2257">
        <f>IFERROR(--SUBSTITUTE(SUBSTITUTE(TRIM(INDEX(INDIRECT("'Выгрузка'!A2257:Z2257"),Настройки!$B$10)),",","."),".",MID(1/2,2,1)),"")</f>
        <v/>
      </c>
      <c r="E2257">
        <f>IFERROR(--SUBSTITUTE(SUBSTITUTE(TRIM(INDEX(INDIRECT("'Выгрузка'!A2257:Z2257"),Настройки!$B$11)),",","."),".",MID(1/2,2,1)),"")</f>
        <v/>
      </c>
      <c r="F2257">
        <f>TRIM(INDEX(INDIRECT("'Выгрузка'!A2257:Z2257"),Настройки!$B$12)&amp;"")</f>
        <v/>
      </c>
      <c r="G2257">
        <f>IF(F2257="",0,IF(TRIM(INDEX(INDIRECT("'Выгрузка'!A2257:Z2257"),Настройки!$B$13)&amp;"")="",1,IFERROR(--SUBSTITUTE(SUBSTITUTE(TRIM(INDEX(INDIRECT("'Выгрузка'!A2257:Z2257"),Настройки!$B$13)),",","."),".",MID(1/2,2,1)),"")))</f>
        <v/>
      </c>
      <c r="H2257">
        <f>IF(F2257="",0,IF(COUNTIF(Настройки!$B$17:$B$26,F2257)&gt;0,1,IF(COUNTIF(Настройки!$C$17:$C$26,F2257)&gt;0,2,IF(COUNTIF(Настройки!$D$17:$D$26,F2257)&gt;0,3,0))))</f>
        <v/>
      </c>
      <c r="I2257">
        <f>IF(AND(ISNUMBER(A2257),ISNUMBER(B2257)),A2257*1000+B2257,"")</f>
        <v/>
      </c>
      <c r="J2257">
        <f>IF(I2257="","",IF(COUNTIF(I$2:I2257,I2257)=1,MAX(J$1:J2256)+1,""))</f>
        <v/>
      </c>
    </row>
    <row r="2258">
      <c r="A2258">
        <f>IFERROR(--SUBSTITUTE(SUBSTITUTE(TRIM(INDEX(INDIRECT("'Выгрузка'!A2258:Z2258"),Настройки!$B$7)),",","."),".",MID(1/2,2,1)),"")</f>
        <v/>
      </c>
      <c r="B2258">
        <f>IFERROR(--SUBSTITUTE(SUBSTITUTE(TRIM(INDEX(INDIRECT("'Выгрузка'!A2258:Z2258"),Настройки!$B$9)),",","."),".",MID(1/2,2,1)),"")</f>
        <v/>
      </c>
      <c r="C2258">
        <f>TRIM(INDEX(INDIRECT("'Выгрузка'!A2258:Z2258"),Настройки!$B$8)&amp;"")</f>
        <v/>
      </c>
      <c r="D2258">
        <f>IFERROR(--SUBSTITUTE(SUBSTITUTE(TRIM(INDEX(INDIRECT("'Выгрузка'!A2258:Z2258"),Настройки!$B$10)),",","."),".",MID(1/2,2,1)),"")</f>
        <v/>
      </c>
      <c r="E2258">
        <f>IFERROR(--SUBSTITUTE(SUBSTITUTE(TRIM(INDEX(INDIRECT("'Выгрузка'!A2258:Z2258"),Настройки!$B$11)),",","."),".",MID(1/2,2,1)),"")</f>
        <v/>
      </c>
      <c r="F2258">
        <f>TRIM(INDEX(INDIRECT("'Выгрузка'!A2258:Z2258"),Настройки!$B$12)&amp;"")</f>
        <v/>
      </c>
      <c r="G2258">
        <f>IF(F2258="",0,IF(TRIM(INDEX(INDIRECT("'Выгрузка'!A2258:Z2258"),Настройки!$B$13)&amp;"")="",1,IFERROR(--SUBSTITUTE(SUBSTITUTE(TRIM(INDEX(INDIRECT("'Выгрузка'!A2258:Z2258"),Настройки!$B$13)),",","."),".",MID(1/2,2,1)),"")))</f>
        <v/>
      </c>
      <c r="H2258">
        <f>IF(F2258="",0,IF(COUNTIF(Настройки!$B$17:$B$26,F2258)&gt;0,1,IF(COUNTIF(Настройки!$C$17:$C$26,F2258)&gt;0,2,IF(COUNTIF(Настройки!$D$17:$D$26,F2258)&gt;0,3,0))))</f>
        <v/>
      </c>
      <c r="I2258">
        <f>IF(AND(ISNUMBER(A2258),ISNUMBER(B2258)),A2258*1000+B2258,"")</f>
        <v/>
      </c>
      <c r="J2258">
        <f>IF(I2258="","",IF(COUNTIF(I$2:I2258,I2258)=1,MAX(J$1:J2257)+1,""))</f>
        <v/>
      </c>
    </row>
    <row r="2259">
      <c r="A2259">
        <f>IFERROR(--SUBSTITUTE(SUBSTITUTE(TRIM(INDEX(INDIRECT("'Выгрузка'!A2259:Z2259"),Настройки!$B$7)),",","."),".",MID(1/2,2,1)),"")</f>
        <v/>
      </c>
      <c r="B2259">
        <f>IFERROR(--SUBSTITUTE(SUBSTITUTE(TRIM(INDEX(INDIRECT("'Выгрузка'!A2259:Z2259"),Настройки!$B$9)),",","."),".",MID(1/2,2,1)),"")</f>
        <v/>
      </c>
      <c r="C2259">
        <f>TRIM(INDEX(INDIRECT("'Выгрузка'!A2259:Z2259"),Настройки!$B$8)&amp;"")</f>
        <v/>
      </c>
      <c r="D2259">
        <f>IFERROR(--SUBSTITUTE(SUBSTITUTE(TRIM(INDEX(INDIRECT("'Выгрузка'!A2259:Z2259"),Настройки!$B$10)),",","."),".",MID(1/2,2,1)),"")</f>
        <v/>
      </c>
      <c r="E2259">
        <f>IFERROR(--SUBSTITUTE(SUBSTITUTE(TRIM(INDEX(INDIRECT("'Выгрузка'!A2259:Z2259"),Настройки!$B$11)),",","."),".",MID(1/2,2,1)),"")</f>
        <v/>
      </c>
      <c r="F2259">
        <f>TRIM(INDEX(INDIRECT("'Выгрузка'!A2259:Z2259"),Настройки!$B$12)&amp;"")</f>
        <v/>
      </c>
      <c r="G2259">
        <f>IF(F2259="",0,IF(TRIM(INDEX(INDIRECT("'Выгрузка'!A2259:Z2259"),Настройки!$B$13)&amp;"")="",1,IFERROR(--SUBSTITUTE(SUBSTITUTE(TRIM(INDEX(INDIRECT("'Выгрузка'!A2259:Z2259"),Настройки!$B$13)),",","."),".",MID(1/2,2,1)),"")))</f>
        <v/>
      </c>
      <c r="H2259">
        <f>IF(F2259="",0,IF(COUNTIF(Настройки!$B$17:$B$26,F2259)&gt;0,1,IF(COUNTIF(Настройки!$C$17:$C$26,F2259)&gt;0,2,IF(COUNTIF(Настройки!$D$17:$D$26,F2259)&gt;0,3,0))))</f>
        <v/>
      </c>
      <c r="I2259">
        <f>IF(AND(ISNUMBER(A2259),ISNUMBER(B2259)),A2259*1000+B2259,"")</f>
        <v/>
      </c>
      <c r="J2259">
        <f>IF(I2259="","",IF(COUNTIF(I$2:I2259,I2259)=1,MAX(J$1:J2258)+1,""))</f>
        <v/>
      </c>
    </row>
    <row r="2260">
      <c r="A2260">
        <f>IFERROR(--SUBSTITUTE(SUBSTITUTE(TRIM(INDEX(INDIRECT("'Выгрузка'!A2260:Z2260"),Настройки!$B$7)),",","."),".",MID(1/2,2,1)),"")</f>
        <v/>
      </c>
      <c r="B2260">
        <f>IFERROR(--SUBSTITUTE(SUBSTITUTE(TRIM(INDEX(INDIRECT("'Выгрузка'!A2260:Z2260"),Настройки!$B$9)),",","."),".",MID(1/2,2,1)),"")</f>
        <v/>
      </c>
      <c r="C2260">
        <f>TRIM(INDEX(INDIRECT("'Выгрузка'!A2260:Z2260"),Настройки!$B$8)&amp;"")</f>
        <v/>
      </c>
      <c r="D2260">
        <f>IFERROR(--SUBSTITUTE(SUBSTITUTE(TRIM(INDEX(INDIRECT("'Выгрузка'!A2260:Z2260"),Настройки!$B$10)),",","."),".",MID(1/2,2,1)),"")</f>
        <v/>
      </c>
      <c r="E2260">
        <f>IFERROR(--SUBSTITUTE(SUBSTITUTE(TRIM(INDEX(INDIRECT("'Выгрузка'!A2260:Z2260"),Настройки!$B$11)),",","."),".",MID(1/2,2,1)),"")</f>
        <v/>
      </c>
      <c r="F2260">
        <f>TRIM(INDEX(INDIRECT("'Выгрузка'!A2260:Z2260"),Настройки!$B$12)&amp;"")</f>
        <v/>
      </c>
      <c r="G2260">
        <f>IF(F2260="",0,IF(TRIM(INDEX(INDIRECT("'Выгрузка'!A2260:Z2260"),Настройки!$B$13)&amp;"")="",1,IFERROR(--SUBSTITUTE(SUBSTITUTE(TRIM(INDEX(INDIRECT("'Выгрузка'!A2260:Z2260"),Настройки!$B$13)),",","."),".",MID(1/2,2,1)),"")))</f>
        <v/>
      </c>
      <c r="H2260">
        <f>IF(F2260="",0,IF(COUNTIF(Настройки!$B$17:$B$26,F2260)&gt;0,1,IF(COUNTIF(Настройки!$C$17:$C$26,F2260)&gt;0,2,IF(COUNTIF(Настройки!$D$17:$D$26,F2260)&gt;0,3,0))))</f>
        <v/>
      </c>
      <c r="I2260">
        <f>IF(AND(ISNUMBER(A2260),ISNUMBER(B2260)),A2260*1000+B2260,"")</f>
        <v/>
      </c>
      <c r="J2260">
        <f>IF(I2260="","",IF(COUNTIF(I$2:I2260,I2260)=1,MAX(J$1:J2259)+1,""))</f>
        <v/>
      </c>
    </row>
    <row r="2261">
      <c r="A2261">
        <f>IFERROR(--SUBSTITUTE(SUBSTITUTE(TRIM(INDEX(INDIRECT("'Выгрузка'!A2261:Z2261"),Настройки!$B$7)),",","."),".",MID(1/2,2,1)),"")</f>
        <v/>
      </c>
      <c r="B2261">
        <f>IFERROR(--SUBSTITUTE(SUBSTITUTE(TRIM(INDEX(INDIRECT("'Выгрузка'!A2261:Z2261"),Настройки!$B$9)),",","."),".",MID(1/2,2,1)),"")</f>
        <v/>
      </c>
      <c r="C2261">
        <f>TRIM(INDEX(INDIRECT("'Выгрузка'!A2261:Z2261"),Настройки!$B$8)&amp;"")</f>
        <v/>
      </c>
      <c r="D2261">
        <f>IFERROR(--SUBSTITUTE(SUBSTITUTE(TRIM(INDEX(INDIRECT("'Выгрузка'!A2261:Z2261"),Настройки!$B$10)),",","."),".",MID(1/2,2,1)),"")</f>
        <v/>
      </c>
      <c r="E2261">
        <f>IFERROR(--SUBSTITUTE(SUBSTITUTE(TRIM(INDEX(INDIRECT("'Выгрузка'!A2261:Z2261"),Настройки!$B$11)),",","."),".",MID(1/2,2,1)),"")</f>
        <v/>
      </c>
      <c r="F2261">
        <f>TRIM(INDEX(INDIRECT("'Выгрузка'!A2261:Z2261"),Настройки!$B$12)&amp;"")</f>
        <v/>
      </c>
      <c r="G2261">
        <f>IF(F2261="",0,IF(TRIM(INDEX(INDIRECT("'Выгрузка'!A2261:Z2261"),Настройки!$B$13)&amp;"")="",1,IFERROR(--SUBSTITUTE(SUBSTITUTE(TRIM(INDEX(INDIRECT("'Выгрузка'!A2261:Z2261"),Настройки!$B$13)),",","."),".",MID(1/2,2,1)),"")))</f>
        <v/>
      </c>
      <c r="H2261">
        <f>IF(F2261="",0,IF(COUNTIF(Настройки!$B$17:$B$26,F2261)&gt;0,1,IF(COUNTIF(Настройки!$C$17:$C$26,F2261)&gt;0,2,IF(COUNTIF(Настройки!$D$17:$D$26,F2261)&gt;0,3,0))))</f>
        <v/>
      </c>
      <c r="I2261">
        <f>IF(AND(ISNUMBER(A2261),ISNUMBER(B2261)),A2261*1000+B2261,"")</f>
        <v/>
      </c>
      <c r="J2261">
        <f>IF(I2261="","",IF(COUNTIF(I$2:I2261,I2261)=1,MAX(J$1:J2260)+1,""))</f>
        <v/>
      </c>
    </row>
    <row r="2262">
      <c r="A2262">
        <f>IFERROR(--SUBSTITUTE(SUBSTITUTE(TRIM(INDEX(INDIRECT("'Выгрузка'!A2262:Z2262"),Настройки!$B$7)),",","."),".",MID(1/2,2,1)),"")</f>
        <v/>
      </c>
      <c r="B2262">
        <f>IFERROR(--SUBSTITUTE(SUBSTITUTE(TRIM(INDEX(INDIRECT("'Выгрузка'!A2262:Z2262"),Настройки!$B$9)),",","."),".",MID(1/2,2,1)),"")</f>
        <v/>
      </c>
      <c r="C2262">
        <f>TRIM(INDEX(INDIRECT("'Выгрузка'!A2262:Z2262"),Настройки!$B$8)&amp;"")</f>
        <v/>
      </c>
      <c r="D2262">
        <f>IFERROR(--SUBSTITUTE(SUBSTITUTE(TRIM(INDEX(INDIRECT("'Выгрузка'!A2262:Z2262"),Настройки!$B$10)),",","."),".",MID(1/2,2,1)),"")</f>
        <v/>
      </c>
      <c r="E2262">
        <f>IFERROR(--SUBSTITUTE(SUBSTITUTE(TRIM(INDEX(INDIRECT("'Выгрузка'!A2262:Z2262"),Настройки!$B$11)),",","."),".",MID(1/2,2,1)),"")</f>
        <v/>
      </c>
      <c r="F2262">
        <f>TRIM(INDEX(INDIRECT("'Выгрузка'!A2262:Z2262"),Настройки!$B$12)&amp;"")</f>
        <v/>
      </c>
      <c r="G2262">
        <f>IF(F2262="",0,IF(TRIM(INDEX(INDIRECT("'Выгрузка'!A2262:Z2262"),Настройки!$B$13)&amp;"")="",1,IFERROR(--SUBSTITUTE(SUBSTITUTE(TRIM(INDEX(INDIRECT("'Выгрузка'!A2262:Z2262"),Настройки!$B$13)),",","."),".",MID(1/2,2,1)),"")))</f>
        <v/>
      </c>
      <c r="H2262">
        <f>IF(F2262="",0,IF(COUNTIF(Настройки!$B$17:$B$26,F2262)&gt;0,1,IF(COUNTIF(Настройки!$C$17:$C$26,F2262)&gt;0,2,IF(COUNTIF(Настройки!$D$17:$D$26,F2262)&gt;0,3,0))))</f>
        <v/>
      </c>
      <c r="I2262">
        <f>IF(AND(ISNUMBER(A2262),ISNUMBER(B2262)),A2262*1000+B2262,"")</f>
        <v/>
      </c>
      <c r="J2262">
        <f>IF(I2262="","",IF(COUNTIF(I$2:I2262,I2262)=1,MAX(J$1:J2261)+1,""))</f>
        <v/>
      </c>
    </row>
    <row r="2263">
      <c r="A2263">
        <f>IFERROR(--SUBSTITUTE(SUBSTITUTE(TRIM(INDEX(INDIRECT("'Выгрузка'!A2263:Z2263"),Настройки!$B$7)),",","."),".",MID(1/2,2,1)),"")</f>
        <v/>
      </c>
      <c r="B2263">
        <f>IFERROR(--SUBSTITUTE(SUBSTITUTE(TRIM(INDEX(INDIRECT("'Выгрузка'!A2263:Z2263"),Настройки!$B$9)),",","."),".",MID(1/2,2,1)),"")</f>
        <v/>
      </c>
      <c r="C2263">
        <f>TRIM(INDEX(INDIRECT("'Выгрузка'!A2263:Z2263"),Настройки!$B$8)&amp;"")</f>
        <v/>
      </c>
      <c r="D2263">
        <f>IFERROR(--SUBSTITUTE(SUBSTITUTE(TRIM(INDEX(INDIRECT("'Выгрузка'!A2263:Z2263"),Настройки!$B$10)),",","."),".",MID(1/2,2,1)),"")</f>
        <v/>
      </c>
      <c r="E2263">
        <f>IFERROR(--SUBSTITUTE(SUBSTITUTE(TRIM(INDEX(INDIRECT("'Выгрузка'!A2263:Z2263"),Настройки!$B$11)),",","."),".",MID(1/2,2,1)),"")</f>
        <v/>
      </c>
      <c r="F2263">
        <f>TRIM(INDEX(INDIRECT("'Выгрузка'!A2263:Z2263"),Настройки!$B$12)&amp;"")</f>
        <v/>
      </c>
      <c r="G2263">
        <f>IF(F2263="",0,IF(TRIM(INDEX(INDIRECT("'Выгрузка'!A2263:Z2263"),Настройки!$B$13)&amp;"")="",1,IFERROR(--SUBSTITUTE(SUBSTITUTE(TRIM(INDEX(INDIRECT("'Выгрузка'!A2263:Z2263"),Настройки!$B$13)),",","."),".",MID(1/2,2,1)),"")))</f>
        <v/>
      </c>
      <c r="H2263">
        <f>IF(F2263="",0,IF(COUNTIF(Настройки!$B$17:$B$26,F2263)&gt;0,1,IF(COUNTIF(Настройки!$C$17:$C$26,F2263)&gt;0,2,IF(COUNTIF(Настройки!$D$17:$D$26,F2263)&gt;0,3,0))))</f>
        <v/>
      </c>
      <c r="I2263">
        <f>IF(AND(ISNUMBER(A2263),ISNUMBER(B2263)),A2263*1000+B2263,"")</f>
        <v/>
      </c>
      <c r="J2263">
        <f>IF(I2263="","",IF(COUNTIF(I$2:I2263,I2263)=1,MAX(J$1:J2262)+1,""))</f>
        <v/>
      </c>
    </row>
    <row r="2264">
      <c r="A2264">
        <f>IFERROR(--SUBSTITUTE(SUBSTITUTE(TRIM(INDEX(INDIRECT("'Выгрузка'!A2264:Z2264"),Настройки!$B$7)),",","."),".",MID(1/2,2,1)),"")</f>
        <v/>
      </c>
      <c r="B2264">
        <f>IFERROR(--SUBSTITUTE(SUBSTITUTE(TRIM(INDEX(INDIRECT("'Выгрузка'!A2264:Z2264"),Настройки!$B$9)),",","."),".",MID(1/2,2,1)),"")</f>
        <v/>
      </c>
      <c r="C2264">
        <f>TRIM(INDEX(INDIRECT("'Выгрузка'!A2264:Z2264"),Настройки!$B$8)&amp;"")</f>
        <v/>
      </c>
      <c r="D2264">
        <f>IFERROR(--SUBSTITUTE(SUBSTITUTE(TRIM(INDEX(INDIRECT("'Выгрузка'!A2264:Z2264"),Настройки!$B$10)),",","."),".",MID(1/2,2,1)),"")</f>
        <v/>
      </c>
      <c r="E2264">
        <f>IFERROR(--SUBSTITUTE(SUBSTITUTE(TRIM(INDEX(INDIRECT("'Выгрузка'!A2264:Z2264"),Настройки!$B$11)),",","."),".",MID(1/2,2,1)),"")</f>
        <v/>
      </c>
      <c r="F2264">
        <f>TRIM(INDEX(INDIRECT("'Выгрузка'!A2264:Z2264"),Настройки!$B$12)&amp;"")</f>
        <v/>
      </c>
      <c r="G2264">
        <f>IF(F2264="",0,IF(TRIM(INDEX(INDIRECT("'Выгрузка'!A2264:Z2264"),Настройки!$B$13)&amp;"")="",1,IFERROR(--SUBSTITUTE(SUBSTITUTE(TRIM(INDEX(INDIRECT("'Выгрузка'!A2264:Z2264"),Настройки!$B$13)),",","."),".",MID(1/2,2,1)),"")))</f>
        <v/>
      </c>
      <c r="H2264">
        <f>IF(F2264="",0,IF(COUNTIF(Настройки!$B$17:$B$26,F2264)&gt;0,1,IF(COUNTIF(Настройки!$C$17:$C$26,F2264)&gt;0,2,IF(COUNTIF(Настройки!$D$17:$D$26,F2264)&gt;0,3,0))))</f>
        <v/>
      </c>
      <c r="I2264">
        <f>IF(AND(ISNUMBER(A2264),ISNUMBER(B2264)),A2264*1000+B2264,"")</f>
        <v/>
      </c>
      <c r="J2264">
        <f>IF(I2264="","",IF(COUNTIF(I$2:I2264,I2264)=1,MAX(J$1:J2263)+1,""))</f>
        <v/>
      </c>
    </row>
    <row r="2265">
      <c r="A2265">
        <f>IFERROR(--SUBSTITUTE(SUBSTITUTE(TRIM(INDEX(INDIRECT("'Выгрузка'!A2265:Z2265"),Настройки!$B$7)),",","."),".",MID(1/2,2,1)),"")</f>
        <v/>
      </c>
      <c r="B2265">
        <f>IFERROR(--SUBSTITUTE(SUBSTITUTE(TRIM(INDEX(INDIRECT("'Выгрузка'!A2265:Z2265"),Настройки!$B$9)),",","."),".",MID(1/2,2,1)),"")</f>
        <v/>
      </c>
      <c r="C2265">
        <f>TRIM(INDEX(INDIRECT("'Выгрузка'!A2265:Z2265"),Настройки!$B$8)&amp;"")</f>
        <v/>
      </c>
      <c r="D2265">
        <f>IFERROR(--SUBSTITUTE(SUBSTITUTE(TRIM(INDEX(INDIRECT("'Выгрузка'!A2265:Z2265"),Настройки!$B$10)),",","."),".",MID(1/2,2,1)),"")</f>
        <v/>
      </c>
      <c r="E2265">
        <f>IFERROR(--SUBSTITUTE(SUBSTITUTE(TRIM(INDEX(INDIRECT("'Выгрузка'!A2265:Z2265"),Настройки!$B$11)),",","."),".",MID(1/2,2,1)),"")</f>
        <v/>
      </c>
      <c r="F2265">
        <f>TRIM(INDEX(INDIRECT("'Выгрузка'!A2265:Z2265"),Настройки!$B$12)&amp;"")</f>
        <v/>
      </c>
      <c r="G2265">
        <f>IF(F2265="",0,IF(TRIM(INDEX(INDIRECT("'Выгрузка'!A2265:Z2265"),Настройки!$B$13)&amp;"")="",1,IFERROR(--SUBSTITUTE(SUBSTITUTE(TRIM(INDEX(INDIRECT("'Выгрузка'!A2265:Z2265"),Настройки!$B$13)),",","."),".",MID(1/2,2,1)),"")))</f>
        <v/>
      </c>
      <c r="H2265">
        <f>IF(F2265="",0,IF(COUNTIF(Настройки!$B$17:$B$26,F2265)&gt;0,1,IF(COUNTIF(Настройки!$C$17:$C$26,F2265)&gt;0,2,IF(COUNTIF(Настройки!$D$17:$D$26,F2265)&gt;0,3,0))))</f>
        <v/>
      </c>
      <c r="I2265">
        <f>IF(AND(ISNUMBER(A2265),ISNUMBER(B2265)),A2265*1000+B2265,"")</f>
        <v/>
      </c>
      <c r="J2265">
        <f>IF(I2265="","",IF(COUNTIF(I$2:I2265,I2265)=1,MAX(J$1:J2264)+1,""))</f>
        <v/>
      </c>
    </row>
    <row r="2266">
      <c r="A2266">
        <f>IFERROR(--SUBSTITUTE(SUBSTITUTE(TRIM(INDEX(INDIRECT("'Выгрузка'!A2266:Z2266"),Настройки!$B$7)),",","."),".",MID(1/2,2,1)),"")</f>
        <v/>
      </c>
      <c r="B2266">
        <f>IFERROR(--SUBSTITUTE(SUBSTITUTE(TRIM(INDEX(INDIRECT("'Выгрузка'!A2266:Z2266"),Настройки!$B$9)),",","."),".",MID(1/2,2,1)),"")</f>
        <v/>
      </c>
      <c r="C2266">
        <f>TRIM(INDEX(INDIRECT("'Выгрузка'!A2266:Z2266"),Настройки!$B$8)&amp;"")</f>
        <v/>
      </c>
      <c r="D2266">
        <f>IFERROR(--SUBSTITUTE(SUBSTITUTE(TRIM(INDEX(INDIRECT("'Выгрузка'!A2266:Z2266"),Настройки!$B$10)),",","."),".",MID(1/2,2,1)),"")</f>
        <v/>
      </c>
      <c r="E2266">
        <f>IFERROR(--SUBSTITUTE(SUBSTITUTE(TRIM(INDEX(INDIRECT("'Выгрузка'!A2266:Z2266"),Настройки!$B$11)),",","."),".",MID(1/2,2,1)),"")</f>
        <v/>
      </c>
      <c r="F2266">
        <f>TRIM(INDEX(INDIRECT("'Выгрузка'!A2266:Z2266"),Настройки!$B$12)&amp;"")</f>
        <v/>
      </c>
      <c r="G2266">
        <f>IF(F2266="",0,IF(TRIM(INDEX(INDIRECT("'Выгрузка'!A2266:Z2266"),Настройки!$B$13)&amp;"")="",1,IFERROR(--SUBSTITUTE(SUBSTITUTE(TRIM(INDEX(INDIRECT("'Выгрузка'!A2266:Z2266"),Настройки!$B$13)),",","."),".",MID(1/2,2,1)),"")))</f>
        <v/>
      </c>
      <c r="H2266">
        <f>IF(F2266="",0,IF(COUNTIF(Настройки!$B$17:$B$26,F2266)&gt;0,1,IF(COUNTIF(Настройки!$C$17:$C$26,F2266)&gt;0,2,IF(COUNTIF(Настройки!$D$17:$D$26,F2266)&gt;0,3,0))))</f>
        <v/>
      </c>
      <c r="I2266">
        <f>IF(AND(ISNUMBER(A2266),ISNUMBER(B2266)),A2266*1000+B2266,"")</f>
        <v/>
      </c>
      <c r="J2266">
        <f>IF(I2266="","",IF(COUNTIF(I$2:I2266,I2266)=1,MAX(J$1:J2265)+1,""))</f>
        <v/>
      </c>
    </row>
    <row r="2267">
      <c r="A2267">
        <f>IFERROR(--SUBSTITUTE(SUBSTITUTE(TRIM(INDEX(INDIRECT("'Выгрузка'!A2267:Z2267"),Настройки!$B$7)),",","."),".",MID(1/2,2,1)),"")</f>
        <v/>
      </c>
      <c r="B2267">
        <f>IFERROR(--SUBSTITUTE(SUBSTITUTE(TRIM(INDEX(INDIRECT("'Выгрузка'!A2267:Z2267"),Настройки!$B$9)),",","."),".",MID(1/2,2,1)),"")</f>
        <v/>
      </c>
      <c r="C2267">
        <f>TRIM(INDEX(INDIRECT("'Выгрузка'!A2267:Z2267"),Настройки!$B$8)&amp;"")</f>
        <v/>
      </c>
      <c r="D2267">
        <f>IFERROR(--SUBSTITUTE(SUBSTITUTE(TRIM(INDEX(INDIRECT("'Выгрузка'!A2267:Z2267"),Настройки!$B$10)),",","."),".",MID(1/2,2,1)),"")</f>
        <v/>
      </c>
      <c r="E2267">
        <f>IFERROR(--SUBSTITUTE(SUBSTITUTE(TRIM(INDEX(INDIRECT("'Выгрузка'!A2267:Z2267"),Настройки!$B$11)),",","."),".",MID(1/2,2,1)),"")</f>
        <v/>
      </c>
      <c r="F2267">
        <f>TRIM(INDEX(INDIRECT("'Выгрузка'!A2267:Z2267"),Настройки!$B$12)&amp;"")</f>
        <v/>
      </c>
      <c r="G2267">
        <f>IF(F2267="",0,IF(TRIM(INDEX(INDIRECT("'Выгрузка'!A2267:Z2267"),Настройки!$B$13)&amp;"")="",1,IFERROR(--SUBSTITUTE(SUBSTITUTE(TRIM(INDEX(INDIRECT("'Выгрузка'!A2267:Z2267"),Настройки!$B$13)),",","."),".",MID(1/2,2,1)),"")))</f>
        <v/>
      </c>
      <c r="H2267">
        <f>IF(F2267="",0,IF(COUNTIF(Настройки!$B$17:$B$26,F2267)&gt;0,1,IF(COUNTIF(Настройки!$C$17:$C$26,F2267)&gt;0,2,IF(COUNTIF(Настройки!$D$17:$D$26,F2267)&gt;0,3,0))))</f>
        <v/>
      </c>
      <c r="I2267">
        <f>IF(AND(ISNUMBER(A2267),ISNUMBER(B2267)),A2267*1000+B2267,"")</f>
        <v/>
      </c>
      <c r="J2267">
        <f>IF(I2267="","",IF(COUNTIF(I$2:I2267,I2267)=1,MAX(J$1:J2266)+1,""))</f>
        <v/>
      </c>
    </row>
    <row r="2268">
      <c r="A2268">
        <f>IFERROR(--SUBSTITUTE(SUBSTITUTE(TRIM(INDEX(INDIRECT("'Выгрузка'!A2268:Z2268"),Настройки!$B$7)),",","."),".",MID(1/2,2,1)),"")</f>
        <v/>
      </c>
      <c r="B2268">
        <f>IFERROR(--SUBSTITUTE(SUBSTITUTE(TRIM(INDEX(INDIRECT("'Выгрузка'!A2268:Z2268"),Настройки!$B$9)),",","."),".",MID(1/2,2,1)),"")</f>
        <v/>
      </c>
      <c r="C2268">
        <f>TRIM(INDEX(INDIRECT("'Выгрузка'!A2268:Z2268"),Настройки!$B$8)&amp;"")</f>
        <v/>
      </c>
      <c r="D2268">
        <f>IFERROR(--SUBSTITUTE(SUBSTITUTE(TRIM(INDEX(INDIRECT("'Выгрузка'!A2268:Z2268"),Настройки!$B$10)),",","."),".",MID(1/2,2,1)),"")</f>
        <v/>
      </c>
      <c r="E2268">
        <f>IFERROR(--SUBSTITUTE(SUBSTITUTE(TRIM(INDEX(INDIRECT("'Выгрузка'!A2268:Z2268"),Настройки!$B$11)),",","."),".",MID(1/2,2,1)),"")</f>
        <v/>
      </c>
      <c r="F2268">
        <f>TRIM(INDEX(INDIRECT("'Выгрузка'!A2268:Z2268"),Настройки!$B$12)&amp;"")</f>
        <v/>
      </c>
      <c r="G2268">
        <f>IF(F2268="",0,IF(TRIM(INDEX(INDIRECT("'Выгрузка'!A2268:Z2268"),Настройки!$B$13)&amp;"")="",1,IFERROR(--SUBSTITUTE(SUBSTITUTE(TRIM(INDEX(INDIRECT("'Выгрузка'!A2268:Z2268"),Настройки!$B$13)),",","."),".",MID(1/2,2,1)),"")))</f>
        <v/>
      </c>
      <c r="H2268">
        <f>IF(F2268="",0,IF(COUNTIF(Настройки!$B$17:$B$26,F2268)&gt;0,1,IF(COUNTIF(Настройки!$C$17:$C$26,F2268)&gt;0,2,IF(COUNTIF(Настройки!$D$17:$D$26,F2268)&gt;0,3,0))))</f>
        <v/>
      </c>
      <c r="I2268">
        <f>IF(AND(ISNUMBER(A2268),ISNUMBER(B2268)),A2268*1000+B2268,"")</f>
        <v/>
      </c>
      <c r="J2268">
        <f>IF(I2268="","",IF(COUNTIF(I$2:I2268,I2268)=1,MAX(J$1:J2267)+1,""))</f>
        <v/>
      </c>
    </row>
    <row r="2269">
      <c r="A2269">
        <f>IFERROR(--SUBSTITUTE(SUBSTITUTE(TRIM(INDEX(INDIRECT("'Выгрузка'!A2269:Z2269"),Настройки!$B$7)),",","."),".",MID(1/2,2,1)),"")</f>
        <v/>
      </c>
      <c r="B2269">
        <f>IFERROR(--SUBSTITUTE(SUBSTITUTE(TRIM(INDEX(INDIRECT("'Выгрузка'!A2269:Z2269"),Настройки!$B$9)),",","."),".",MID(1/2,2,1)),"")</f>
        <v/>
      </c>
      <c r="C2269">
        <f>TRIM(INDEX(INDIRECT("'Выгрузка'!A2269:Z2269"),Настройки!$B$8)&amp;"")</f>
        <v/>
      </c>
      <c r="D2269">
        <f>IFERROR(--SUBSTITUTE(SUBSTITUTE(TRIM(INDEX(INDIRECT("'Выгрузка'!A2269:Z2269"),Настройки!$B$10)),",","."),".",MID(1/2,2,1)),"")</f>
        <v/>
      </c>
      <c r="E2269">
        <f>IFERROR(--SUBSTITUTE(SUBSTITUTE(TRIM(INDEX(INDIRECT("'Выгрузка'!A2269:Z2269"),Настройки!$B$11)),",","."),".",MID(1/2,2,1)),"")</f>
        <v/>
      </c>
      <c r="F2269">
        <f>TRIM(INDEX(INDIRECT("'Выгрузка'!A2269:Z2269"),Настройки!$B$12)&amp;"")</f>
        <v/>
      </c>
      <c r="G2269">
        <f>IF(F2269="",0,IF(TRIM(INDEX(INDIRECT("'Выгрузка'!A2269:Z2269"),Настройки!$B$13)&amp;"")="",1,IFERROR(--SUBSTITUTE(SUBSTITUTE(TRIM(INDEX(INDIRECT("'Выгрузка'!A2269:Z2269"),Настройки!$B$13)),",","."),".",MID(1/2,2,1)),"")))</f>
        <v/>
      </c>
      <c r="H2269">
        <f>IF(F2269="",0,IF(COUNTIF(Настройки!$B$17:$B$26,F2269)&gt;0,1,IF(COUNTIF(Настройки!$C$17:$C$26,F2269)&gt;0,2,IF(COUNTIF(Настройки!$D$17:$D$26,F2269)&gt;0,3,0))))</f>
        <v/>
      </c>
      <c r="I2269">
        <f>IF(AND(ISNUMBER(A2269),ISNUMBER(B2269)),A2269*1000+B2269,"")</f>
        <v/>
      </c>
      <c r="J2269">
        <f>IF(I2269="","",IF(COUNTIF(I$2:I2269,I2269)=1,MAX(J$1:J2268)+1,""))</f>
        <v/>
      </c>
    </row>
    <row r="2270">
      <c r="A2270">
        <f>IFERROR(--SUBSTITUTE(SUBSTITUTE(TRIM(INDEX(INDIRECT("'Выгрузка'!A2270:Z2270"),Настройки!$B$7)),",","."),".",MID(1/2,2,1)),"")</f>
        <v/>
      </c>
      <c r="B2270">
        <f>IFERROR(--SUBSTITUTE(SUBSTITUTE(TRIM(INDEX(INDIRECT("'Выгрузка'!A2270:Z2270"),Настройки!$B$9)),",","."),".",MID(1/2,2,1)),"")</f>
        <v/>
      </c>
      <c r="C2270">
        <f>TRIM(INDEX(INDIRECT("'Выгрузка'!A2270:Z2270"),Настройки!$B$8)&amp;"")</f>
        <v/>
      </c>
      <c r="D2270">
        <f>IFERROR(--SUBSTITUTE(SUBSTITUTE(TRIM(INDEX(INDIRECT("'Выгрузка'!A2270:Z2270"),Настройки!$B$10)),",","."),".",MID(1/2,2,1)),"")</f>
        <v/>
      </c>
      <c r="E2270">
        <f>IFERROR(--SUBSTITUTE(SUBSTITUTE(TRIM(INDEX(INDIRECT("'Выгрузка'!A2270:Z2270"),Настройки!$B$11)),",","."),".",MID(1/2,2,1)),"")</f>
        <v/>
      </c>
      <c r="F2270">
        <f>TRIM(INDEX(INDIRECT("'Выгрузка'!A2270:Z2270"),Настройки!$B$12)&amp;"")</f>
        <v/>
      </c>
      <c r="G2270">
        <f>IF(F2270="",0,IF(TRIM(INDEX(INDIRECT("'Выгрузка'!A2270:Z2270"),Настройки!$B$13)&amp;"")="",1,IFERROR(--SUBSTITUTE(SUBSTITUTE(TRIM(INDEX(INDIRECT("'Выгрузка'!A2270:Z2270"),Настройки!$B$13)),",","."),".",MID(1/2,2,1)),"")))</f>
        <v/>
      </c>
      <c r="H2270">
        <f>IF(F2270="",0,IF(COUNTIF(Настройки!$B$17:$B$26,F2270)&gt;0,1,IF(COUNTIF(Настройки!$C$17:$C$26,F2270)&gt;0,2,IF(COUNTIF(Настройки!$D$17:$D$26,F2270)&gt;0,3,0))))</f>
        <v/>
      </c>
      <c r="I2270">
        <f>IF(AND(ISNUMBER(A2270),ISNUMBER(B2270)),A2270*1000+B2270,"")</f>
        <v/>
      </c>
      <c r="J2270">
        <f>IF(I2270="","",IF(COUNTIF(I$2:I2270,I2270)=1,MAX(J$1:J2269)+1,""))</f>
        <v/>
      </c>
    </row>
    <row r="2271">
      <c r="A2271">
        <f>IFERROR(--SUBSTITUTE(SUBSTITUTE(TRIM(INDEX(INDIRECT("'Выгрузка'!A2271:Z2271"),Настройки!$B$7)),",","."),".",MID(1/2,2,1)),"")</f>
        <v/>
      </c>
      <c r="B2271">
        <f>IFERROR(--SUBSTITUTE(SUBSTITUTE(TRIM(INDEX(INDIRECT("'Выгрузка'!A2271:Z2271"),Настройки!$B$9)),",","."),".",MID(1/2,2,1)),"")</f>
        <v/>
      </c>
      <c r="C2271">
        <f>TRIM(INDEX(INDIRECT("'Выгрузка'!A2271:Z2271"),Настройки!$B$8)&amp;"")</f>
        <v/>
      </c>
      <c r="D2271">
        <f>IFERROR(--SUBSTITUTE(SUBSTITUTE(TRIM(INDEX(INDIRECT("'Выгрузка'!A2271:Z2271"),Настройки!$B$10)),",","."),".",MID(1/2,2,1)),"")</f>
        <v/>
      </c>
      <c r="E2271">
        <f>IFERROR(--SUBSTITUTE(SUBSTITUTE(TRIM(INDEX(INDIRECT("'Выгрузка'!A2271:Z2271"),Настройки!$B$11)),",","."),".",MID(1/2,2,1)),"")</f>
        <v/>
      </c>
      <c r="F2271">
        <f>TRIM(INDEX(INDIRECT("'Выгрузка'!A2271:Z2271"),Настройки!$B$12)&amp;"")</f>
        <v/>
      </c>
      <c r="G2271">
        <f>IF(F2271="",0,IF(TRIM(INDEX(INDIRECT("'Выгрузка'!A2271:Z2271"),Настройки!$B$13)&amp;"")="",1,IFERROR(--SUBSTITUTE(SUBSTITUTE(TRIM(INDEX(INDIRECT("'Выгрузка'!A2271:Z2271"),Настройки!$B$13)),",","."),".",MID(1/2,2,1)),"")))</f>
        <v/>
      </c>
      <c r="H2271">
        <f>IF(F2271="",0,IF(COUNTIF(Настройки!$B$17:$B$26,F2271)&gt;0,1,IF(COUNTIF(Настройки!$C$17:$C$26,F2271)&gt;0,2,IF(COUNTIF(Настройки!$D$17:$D$26,F2271)&gt;0,3,0))))</f>
        <v/>
      </c>
      <c r="I2271">
        <f>IF(AND(ISNUMBER(A2271),ISNUMBER(B2271)),A2271*1000+B2271,"")</f>
        <v/>
      </c>
      <c r="J2271">
        <f>IF(I2271="","",IF(COUNTIF(I$2:I2271,I2271)=1,MAX(J$1:J2270)+1,""))</f>
        <v/>
      </c>
    </row>
    <row r="2272">
      <c r="A2272">
        <f>IFERROR(--SUBSTITUTE(SUBSTITUTE(TRIM(INDEX(INDIRECT("'Выгрузка'!A2272:Z2272"),Настройки!$B$7)),",","."),".",MID(1/2,2,1)),"")</f>
        <v/>
      </c>
      <c r="B2272">
        <f>IFERROR(--SUBSTITUTE(SUBSTITUTE(TRIM(INDEX(INDIRECT("'Выгрузка'!A2272:Z2272"),Настройки!$B$9)),",","."),".",MID(1/2,2,1)),"")</f>
        <v/>
      </c>
      <c r="C2272">
        <f>TRIM(INDEX(INDIRECT("'Выгрузка'!A2272:Z2272"),Настройки!$B$8)&amp;"")</f>
        <v/>
      </c>
      <c r="D2272">
        <f>IFERROR(--SUBSTITUTE(SUBSTITUTE(TRIM(INDEX(INDIRECT("'Выгрузка'!A2272:Z2272"),Настройки!$B$10)),",","."),".",MID(1/2,2,1)),"")</f>
        <v/>
      </c>
      <c r="E2272">
        <f>IFERROR(--SUBSTITUTE(SUBSTITUTE(TRIM(INDEX(INDIRECT("'Выгрузка'!A2272:Z2272"),Настройки!$B$11)),",","."),".",MID(1/2,2,1)),"")</f>
        <v/>
      </c>
      <c r="F2272">
        <f>TRIM(INDEX(INDIRECT("'Выгрузка'!A2272:Z2272"),Настройки!$B$12)&amp;"")</f>
        <v/>
      </c>
      <c r="G2272">
        <f>IF(F2272="",0,IF(TRIM(INDEX(INDIRECT("'Выгрузка'!A2272:Z2272"),Настройки!$B$13)&amp;"")="",1,IFERROR(--SUBSTITUTE(SUBSTITUTE(TRIM(INDEX(INDIRECT("'Выгрузка'!A2272:Z2272"),Настройки!$B$13)),",","."),".",MID(1/2,2,1)),"")))</f>
        <v/>
      </c>
      <c r="H2272">
        <f>IF(F2272="",0,IF(COUNTIF(Настройки!$B$17:$B$26,F2272)&gt;0,1,IF(COUNTIF(Настройки!$C$17:$C$26,F2272)&gt;0,2,IF(COUNTIF(Настройки!$D$17:$D$26,F2272)&gt;0,3,0))))</f>
        <v/>
      </c>
      <c r="I2272">
        <f>IF(AND(ISNUMBER(A2272),ISNUMBER(B2272)),A2272*1000+B2272,"")</f>
        <v/>
      </c>
      <c r="J2272">
        <f>IF(I2272="","",IF(COUNTIF(I$2:I2272,I2272)=1,MAX(J$1:J2271)+1,""))</f>
        <v/>
      </c>
    </row>
    <row r="2273">
      <c r="A2273">
        <f>IFERROR(--SUBSTITUTE(SUBSTITUTE(TRIM(INDEX(INDIRECT("'Выгрузка'!A2273:Z2273"),Настройки!$B$7)),",","."),".",MID(1/2,2,1)),"")</f>
        <v/>
      </c>
      <c r="B2273">
        <f>IFERROR(--SUBSTITUTE(SUBSTITUTE(TRIM(INDEX(INDIRECT("'Выгрузка'!A2273:Z2273"),Настройки!$B$9)),",","."),".",MID(1/2,2,1)),"")</f>
        <v/>
      </c>
      <c r="C2273">
        <f>TRIM(INDEX(INDIRECT("'Выгрузка'!A2273:Z2273"),Настройки!$B$8)&amp;"")</f>
        <v/>
      </c>
      <c r="D2273">
        <f>IFERROR(--SUBSTITUTE(SUBSTITUTE(TRIM(INDEX(INDIRECT("'Выгрузка'!A2273:Z2273"),Настройки!$B$10)),",","."),".",MID(1/2,2,1)),"")</f>
        <v/>
      </c>
      <c r="E2273">
        <f>IFERROR(--SUBSTITUTE(SUBSTITUTE(TRIM(INDEX(INDIRECT("'Выгрузка'!A2273:Z2273"),Настройки!$B$11)),",","."),".",MID(1/2,2,1)),"")</f>
        <v/>
      </c>
      <c r="F2273">
        <f>TRIM(INDEX(INDIRECT("'Выгрузка'!A2273:Z2273"),Настройки!$B$12)&amp;"")</f>
        <v/>
      </c>
      <c r="G2273">
        <f>IF(F2273="",0,IF(TRIM(INDEX(INDIRECT("'Выгрузка'!A2273:Z2273"),Настройки!$B$13)&amp;"")="",1,IFERROR(--SUBSTITUTE(SUBSTITUTE(TRIM(INDEX(INDIRECT("'Выгрузка'!A2273:Z2273"),Настройки!$B$13)),",","."),".",MID(1/2,2,1)),"")))</f>
        <v/>
      </c>
      <c r="H2273">
        <f>IF(F2273="",0,IF(COUNTIF(Настройки!$B$17:$B$26,F2273)&gt;0,1,IF(COUNTIF(Настройки!$C$17:$C$26,F2273)&gt;0,2,IF(COUNTIF(Настройки!$D$17:$D$26,F2273)&gt;0,3,0))))</f>
        <v/>
      </c>
      <c r="I2273">
        <f>IF(AND(ISNUMBER(A2273),ISNUMBER(B2273)),A2273*1000+B2273,"")</f>
        <v/>
      </c>
      <c r="J2273">
        <f>IF(I2273="","",IF(COUNTIF(I$2:I2273,I2273)=1,MAX(J$1:J2272)+1,""))</f>
        <v/>
      </c>
    </row>
    <row r="2274">
      <c r="A2274">
        <f>IFERROR(--SUBSTITUTE(SUBSTITUTE(TRIM(INDEX(INDIRECT("'Выгрузка'!A2274:Z2274"),Настройки!$B$7)),",","."),".",MID(1/2,2,1)),"")</f>
        <v/>
      </c>
      <c r="B2274">
        <f>IFERROR(--SUBSTITUTE(SUBSTITUTE(TRIM(INDEX(INDIRECT("'Выгрузка'!A2274:Z2274"),Настройки!$B$9)),",","."),".",MID(1/2,2,1)),"")</f>
        <v/>
      </c>
      <c r="C2274">
        <f>TRIM(INDEX(INDIRECT("'Выгрузка'!A2274:Z2274"),Настройки!$B$8)&amp;"")</f>
        <v/>
      </c>
      <c r="D2274">
        <f>IFERROR(--SUBSTITUTE(SUBSTITUTE(TRIM(INDEX(INDIRECT("'Выгрузка'!A2274:Z2274"),Настройки!$B$10)),",","."),".",MID(1/2,2,1)),"")</f>
        <v/>
      </c>
      <c r="E2274">
        <f>IFERROR(--SUBSTITUTE(SUBSTITUTE(TRIM(INDEX(INDIRECT("'Выгрузка'!A2274:Z2274"),Настройки!$B$11)),",","."),".",MID(1/2,2,1)),"")</f>
        <v/>
      </c>
      <c r="F2274">
        <f>TRIM(INDEX(INDIRECT("'Выгрузка'!A2274:Z2274"),Настройки!$B$12)&amp;"")</f>
        <v/>
      </c>
      <c r="G2274">
        <f>IF(F2274="",0,IF(TRIM(INDEX(INDIRECT("'Выгрузка'!A2274:Z2274"),Настройки!$B$13)&amp;"")="",1,IFERROR(--SUBSTITUTE(SUBSTITUTE(TRIM(INDEX(INDIRECT("'Выгрузка'!A2274:Z2274"),Настройки!$B$13)),",","."),".",MID(1/2,2,1)),"")))</f>
        <v/>
      </c>
      <c r="H2274">
        <f>IF(F2274="",0,IF(COUNTIF(Настройки!$B$17:$B$26,F2274)&gt;0,1,IF(COUNTIF(Настройки!$C$17:$C$26,F2274)&gt;0,2,IF(COUNTIF(Настройки!$D$17:$D$26,F2274)&gt;0,3,0))))</f>
        <v/>
      </c>
      <c r="I2274">
        <f>IF(AND(ISNUMBER(A2274),ISNUMBER(B2274)),A2274*1000+B2274,"")</f>
        <v/>
      </c>
      <c r="J2274">
        <f>IF(I2274="","",IF(COUNTIF(I$2:I2274,I2274)=1,MAX(J$1:J2273)+1,""))</f>
        <v/>
      </c>
    </row>
    <row r="2275">
      <c r="A2275">
        <f>IFERROR(--SUBSTITUTE(SUBSTITUTE(TRIM(INDEX(INDIRECT("'Выгрузка'!A2275:Z2275"),Настройки!$B$7)),",","."),".",MID(1/2,2,1)),"")</f>
        <v/>
      </c>
      <c r="B2275">
        <f>IFERROR(--SUBSTITUTE(SUBSTITUTE(TRIM(INDEX(INDIRECT("'Выгрузка'!A2275:Z2275"),Настройки!$B$9)),",","."),".",MID(1/2,2,1)),"")</f>
        <v/>
      </c>
      <c r="C2275">
        <f>TRIM(INDEX(INDIRECT("'Выгрузка'!A2275:Z2275"),Настройки!$B$8)&amp;"")</f>
        <v/>
      </c>
      <c r="D2275">
        <f>IFERROR(--SUBSTITUTE(SUBSTITUTE(TRIM(INDEX(INDIRECT("'Выгрузка'!A2275:Z2275"),Настройки!$B$10)),",","."),".",MID(1/2,2,1)),"")</f>
        <v/>
      </c>
      <c r="E2275">
        <f>IFERROR(--SUBSTITUTE(SUBSTITUTE(TRIM(INDEX(INDIRECT("'Выгрузка'!A2275:Z2275"),Настройки!$B$11)),",","."),".",MID(1/2,2,1)),"")</f>
        <v/>
      </c>
      <c r="F2275">
        <f>TRIM(INDEX(INDIRECT("'Выгрузка'!A2275:Z2275"),Настройки!$B$12)&amp;"")</f>
        <v/>
      </c>
      <c r="G2275">
        <f>IF(F2275="",0,IF(TRIM(INDEX(INDIRECT("'Выгрузка'!A2275:Z2275"),Настройки!$B$13)&amp;"")="",1,IFERROR(--SUBSTITUTE(SUBSTITUTE(TRIM(INDEX(INDIRECT("'Выгрузка'!A2275:Z2275"),Настройки!$B$13)),",","."),".",MID(1/2,2,1)),"")))</f>
        <v/>
      </c>
      <c r="H2275">
        <f>IF(F2275="",0,IF(COUNTIF(Настройки!$B$17:$B$26,F2275)&gt;0,1,IF(COUNTIF(Настройки!$C$17:$C$26,F2275)&gt;0,2,IF(COUNTIF(Настройки!$D$17:$D$26,F2275)&gt;0,3,0))))</f>
        <v/>
      </c>
      <c r="I2275">
        <f>IF(AND(ISNUMBER(A2275),ISNUMBER(B2275)),A2275*1000+B2275,"")</f>
        <v/>
      </c>
      <c r="J2275">
        <f>IF(I2275="","",IF(COUNTIF(I$2:I2275,I2275)=1,MAX(J$1:J2274)+1,""))</f>
        <v/>
      </c>
    </row>
    <row r="2276">
      <c r="A2276">
        <f>IFERROR(--SUBSTITUTE(SUBSTITUTE(TRIM(INDEX(INDIRECT("'Выгрузка'!A2276:Z2276"),Настройки!$B$7)),",","."),".",MID(1/2,2,1)),"")</f>
        <v/>
      </c>
      <c r="B2276">
        <f>IFERROR(--SUBSTITUTE(SUBSTITUTE(TRIM(INDEX(INDIRECT("'Выгрузка'!A2276:Z2276"),Настройки!$B$9)),",","."),".",MID(1/2,2,1)),"")</f>
        <v/>
      </c>
      <c r="C2276">
        <f>TRIM(INDEX(INDIRECT("'Выгрузка'!A2276:Z2276"),Настройки!$B$8)&amp;"")</f>
        <v/>
      </c>
      <c r="D2276">
        <f>IFERROR(--SUBSTITUTE(SUBSTITUTE(TRIM(INDEX(INDIRECT("'Выгрузка'!A2276:Z2276"),Настройки!$B$10)),",","."),".",MID(1/2,2,1)),"")</f>
        <v/>
      </c>
      <c r="E2276">
        <f>IFERROR(--SUBSTITUTE(SUBSTITUTE(TRIM(INDEX(INDIRECT("'Выгрузка'!A2276:Z2276"),Настройки!$B$11)),",","."),".",MID(1/2,2,1)),"")</f>
        <v/>
      </c>
      <c r="F2276">
        <f>TRIM(INDEX(INDIRECT("'Выгрузка'!A2276:Z2276"),Настройки!$B$12)&amp;"")</f>
        <v/>
      </c>
      <c r="G2276">
        <f>IF(F2276="",0,IF(TRIM(INDEX(INDIRECT("'Выгрузка'!A2276:Z2276"),Настройки!$B$13)&amp;"")="",1,IFERROR(--SUBSTITUTE(SUBSTITUTE(TRIM(INDEX(INDIRECT("'Выгрузка'!A2276:Z2276"),Настройки!$B$13)),",","."),".",MID(1/2,2,1)),"")))</f>
        <v/>
      </c>
      <c r="H2276">
        <f>IF(F2276="",0,IF(COUNTIF(Настройки!$B$17:$B$26,F2276)&gt;0,1,IF(COUNTIF(Настройки!$C$17:$C$26,F2276)&gt;0,2,IF(COUNTIF(Настройки!$D$17:$D$26,F2276)&gt;0,3,0))))</f>
        <v/>
      </c>
      <c r="I2276">
        <f>IF(AND(ISNUMBER(A2276),ISNUMBER(B2276)),A2276*1000+B2276,"")</f>
        <v/>
      </c>
      <c r="J2276">
        <f>IF(I2276="","",IF(COUNTIF(I$2:I2276,I2276)=1,MAX(J$1:J2275)+1,""))</f>
        <v/>
      </c>
    </row>
    <row r="2277">
      <c r="A2277">
        <f>IFERROR(--SUBSTITUTE(SUBSTITUTE(TRIM(INDEX(INDIRECT("'Выгрузка'!A2277:Z2277"),Настройки!$B$7)),",","."),".",MID(1/2,2,1)),"")</f>
        <v/>
      </c>
      <c r="B2277">
        <f>IFERROR(--SUBSTITUTE(SUBSTITUTE(TRIM(INDEX(INDIRECT("'Выгрузка'!A2277:Z2277"),Настройки!$B$9)),",","."),".",MID(1/2,2,1)),"")</f>
        <v/>
      </c>
      <c r="C2277">
        <f>TRIM(INDEX(INDIRECT("'Выгрузка'!A2277:Z2277"),Настройки!$B$8)&amp;"")</f>
        <v/>
      </c>
      <c r="D2277">
        <f>IFERROR(--SUBSTITUTE(SUBSTITUTE(TRIM(INDEX(INDIRECT("'Выгрузка'!A2277:Z2277"),Настройки!$B$10)),",","."),".",MID(1/2,2,1)),"")</f>
        <v/>
      </c>
      <c r="E2277">
        <f>IFERROR(--SUBSTITUTE(SUBSTITUTE(TRIM(INDEX(INDIRECT("'Выгрузка'!A2277:Z2277"),Настройки!$B$11)),",","."),".",MID(1/2,2,1)),"")</f>
        <v/>
      </c>
      <c r="F2277">
        <f>TRIM(INDEX(INDIRECT("'Выгрузка'!A2277:Z2277"),Настройки!$B$12)&amp;"")</f>
        <v/>
      </c>
      <c r="G2277">
        <f>IF(F2277="",0,IF(TRIM(INDEX(INDIRECT("'Выгрузка'!A2277:Z2277"),Настройки!$B$13)&amp;"")="",1,IFERROR(--SUBSTITUTE(SUBSTITUTE(TRIM(INDEX(INDIRECT("'Выгрузка'!A2277:Z2277"),Настройки!$B$13)),",","."),".",MID(1/2,2,1)),"")))</f>
        <v/>
      </c>
      <c r="H2277">
        <f>IF(F2277="",0,IF(COUNTIF(Настройки!$B$17:$B$26,F2277)&gt;0,1,IF(COUNTIF(Настройки!$C$17:$C$26,F2277)&gt;0,2,IF(COUNTIF(Настройки!$D$17:$D$26,F2277)&gt;0,3,0))))</f>
        <v/>
      </c>
      <c r="I2277">
        <f>IF(AND(ISNUMBER(A2277),ISNUMBER(B2277)),A2277*1000+B2277,"")</f>
        <v/>
      </c>
      <c r="J2277">
        <f>IF(I2277="","",IF(COUNTIF(I$2:I2277,I2277)=1,MAX(J$1:J2276)+1,""))</f>
        <v/>
      </c>
    </row>
    <row r="2278">
      <c r="A2278">
        <f>IFERROR(--SUBSTITUTE(SUBSTITUTE(TRIM(INDEX(INDIRECT("'Выгрузка'!A2278:Z2278"),Настройки!$B$7)),",","."),".",MID(1/2,2,1)),"")</f>
        <v/>
      </c>
      <c r="B2278">
        <f>IFERROR(--SUBSTITUTE(SUBSTITUTE(TRIM(INDEX(INDIRECT("'Выгрузка'!A2278:Z2278"),Настройки!$B$9)),",","."),".",MID(1/2,2,1)),"")</f>
        <v/>
      </c>
      <c r="C2278">
        <f>TRIM(INDEX(INDIRECT("'Выгрузка'!A2278:Z2278"),Настройки!$B$8)&amp;"")</f>
        <v/>
      </c>
      <c r="D2278">
        <f>IFERROR(--SUBSTITUTE(SUBSTITUTE(TRIM(INDEX(INDIRECT("'Выгрузка'!A2278:Z2278"),Настройки!$B$10)),",","."),".",MID(1/2,2,1)),"")</f>
        <v/>
      </c>
      <c r="E2278">
        <f>IFERROR(--SUBSTITUTE(SUBSTITUTE(TRIM(INDEX(INDIRECT("'Выгрузка'!A2278:Z2278"),Настройки!$B$11)),",","."),".",MID(1/2,2,1)),"")</f>
        <v/>
      </c>
      <c r="F2278">
        <f>TRIM(INDEX(INDIRECT("'Выгрузка'!A2278:Z2278"),Настройки!$B$12)&amp;"")</f>
        <v/>
      </c>
      <c r="G2278">
        <f>IF(F2278="",0,IF(TRIM(INDEX(INDIRECT("'Выгрузка'!A2278:Z2278"),Настройки!$B$13)&amp;"")="",1,IFERROR(--SUBSTITUTE(SUBSTITUTE(TRIM(INDEX(INDIRECT("'Выгрузка'!A2278:Z2278"),Настройки!$B$13)),",","."),".",MID(1/2,2,1)),"")))</f>
        <v/>
      </c>
      <c r="H2278">
        <f>IF(F2278="",0,IF(COUNTIF(Настройки!$B$17:$B$26,F2278)&gt;0,1,IF(COUNTIF(Настройки!$C$17:$C$26,F2278)&gt;0,2,IF(COUNTIF(Настройки!$D$17:$D$26,F2278)&gt;0,3,0))))</f>
        <v/>
      </c>
      <c r="I2278">
        <f>IF(AND(ISNUMBER(A2278),ISNUMBER(B2278)),A2278*1000+B2278,"")</f>
        <v/>
      </c>
      <c r="J2278">
        <f>IF(I2278="","",IF(COUNTIF(I$2:I2278,I2278)=1,MAX(J$1:J2277)+1,""))</f>
        <v/>
      </c>
    </row>
    <row r="2279">
      <c r="A2279">
        <f>IFERROR(--SUBSTITUTE(SUBSTITUTE(TRIM(INDEX(INDIRECT("'Выгрузка'!A2279:Z2279"),Настройки!$B$7)),",","."),".",MID(1/2,2,1)),"")</f>
        <v/>
      </c>
      <c r="B2279">
        <f>IFERROR(--SUBSTITUTE(SUBSTITUTE(TRIM(INDEX(INDIRECT("'Выгрузка'!A2279:Z2279"),Настройки!$B$9)),",","."),".",MID(1/2,2,1)),"")</f>
        <v/>
      </c>
      <c r="C2279">
        <f>TRIM(INDEX(INDIRECT("'Выгрузка'!A2279:Z2279"),Настройки!$B$8)&amp;"")</f>
        <v/>
      </c>
      <c r="D2279">
        <f>IFERROR(--SUBSTITUTE(SUBSTITUTE(TRIM(INDEX(INDIRECT("'Выгрузка'!A2279:Z2279"),Настройки!$B$10)),",","."),".",MID(1/2,2,1)),"")</f>
        <v/>
      </c>
      <c r="E2279">
        <f>IFERROR(--SUBSTITUTE(SUBSTITUTE(TRIM(INDEX(INDIRECT("'Выгрузка'!A2279:Z2279"),Настройки!$B$11)),",","."),".",MID(1/2,2,1)),"")</f>
        <v/>
      </c>
      <c r="F2279">
        <f>TRIM(INDEX(INDIRECT("'Выгрузка'!A2279:Z2279"),Настройки!$B$12)&amp;"")</f>
        <v/>
      </c>
      <c r="G2279">
        <f>IF(F2279="",0,IF(TRIM(INDEX(INDIRECT("'Выгрузка'!A2279:Z2279"),Настройки!$B$13)&amp;"")="",1,IFERROR(--SUBSTITUTE(SUBSTITUTE(TRIM(INDEX(INDIRECT("'Выгрузка'!A2279:Z2279"),Настройки!$B$13)),",","."),".",MID(1/2,2,1)),"")))</f>
        <v/>
      </c>
      <c r="H2279">
        <f>IF(F2279="",0,IF(COUNTIF(Настройки!$B$17:$B$26,F2279)&gt;0,1,IF(COUNTIF(Настройки!$C$17:$C$26,F2279)&gt;0,2,IF(COUNTIF(Настройки!$D$17:$D$26,F2279)&gt;0,3,0))))</f>
        <v/>
      </c>
      <c r="I2279">
        <f>IF(AND(ISNUMBER(A2279),ISNUMBER(B2279)),A2279*1000+B2279,"")</f>
        <v/>
      </c>
      <c r="J2279">
        <f>IF(I2279="","",IF(COUNTIF(I$2:I2279,I2279)=1,MAX(J$1:J2278)+1,""))</f>
        <v/>
      </c>
    </row>
    <row r="2280">
      <c r="A2280">
        <f>IFERROR(--SUBSTITUTE(SUBSTITUTE(TRIM(INDEX(INDIRECT("'Выгрузка'!A2280:Z2280"),Настройки!$B$7)),",","."),".",MID(1/2,2,1)),"")</f>
        <v/>
      </c>
      <c r="B2280">
        <f>IFERROR(--SUBSTITUTE(SUBSTITUTE(TRIM(INDEX(INDIRECT("'Выгрузка'!A2280:Z2280"),Настройки!$B$9)),",","."),".",MID(1/2,2,1)),"")</f>
        <v/>
      </c>
      <c r="C2280">
        <f>TRIM(INDEX(INDIRECT("'Выгрузка'!A2280:Z2280"),Настройки!$B$8)&amp;"")</f>
        <v/>
      </c>
      <c r="D2280">
        <f>IFERROR(--SUBSTITUTE(SUBSTITUTE(TRIM(INDEX(INDIRECT("'Выгрузка'!A2280:Z2280"),Настройки!$B$10)),",","."),".",MID(1/2,2,1)),"")</f>
        <v/>
      </c>
      <c r="E2280">
        <f>IFERROR(--SUBSTITUTE(SUBSTITUTE(TRIM(INDEX(INDIRECT("'Выгрузка'!A2280:Z2280"),Настройки!$B$11)),",","."),".",MID(1/2,2,1)),"")</f>
        <v/>
      </c>
      <c r="F2280">
        <f>TRIM(INDEX(INDIRECT("'Выгрузка'!A2280:Z2280"),Настройки!$B$12)&amp;"")</f>
        <v/>
      </c>
      <c r="G2280">
        <f>IF(F2280="",0,IF(TRIM(INDEX(INDIRECT("'Выгрузка'!A2280:Z2280"),Настройки!$B$13)&amp;"")="",1,IFERROR(--SUBSTITUTE(SUBSTITUTE(TRIM(INDEX(INDIRECT("'Выгрузка'!A2280:Z2280"),Настройки!$B$13)),",","."),".",MID(1/2,2,1)),"")))</f>
        <v/>
      </c>
      <c r="H2280">
        <f>IF(F2280="",0,IF(COUNTIF(Настройки!$B$17:$B$26,F2280)&gt;0,1,IF(COUNTIF(Настройки!$C$17:$C$26,F2280)&gt;0,2,IF(COUNTIF(Настройки!$D$17:$D$26,F2280)&gt;0,3,0))))</f>
        <v/>
      </c>
      <c r="I2280">
        <f>IF(AND(ISNUMBER(A2280),ISNUMBER(B2280)),A2280*1000+B2280,"")</f>
        <v/>
      </c>
      <c r="J2280">
        <f>IF(I2280="","",IF(COUNTIF(I$2:I2280,I2280)=1,MAX(J$1:J2279)+1,""))</f>
        <v/>
      </c>
    </row>
    <row r="2281">
      <c r="A2281">
        <f>IFERROR(--SUBSTITUTE(SUBSTITUTE(TRIM(INDEX(INDIRECT("'Выгрузка'!A2281:Z2281"),Настройки!$B$7)),",","."),".",MID(1/2,2,1)),"")</f>
        <v/>
      </c>
      <c r="B2281">
        <f>IFERROR(--SUBSTITUTE(SUBSTITUTE(TRIM(INDEX(INDIRECT("'Выгрузка'!A2281:Z2281"),Настройки!$B$9)),",","."),".",MID(1/2,2,1)),"")</f>
        <v/>
      </c>
      <c r="C2281">
        <f>TRIM(INDEX(INDIRECT("'Выгрузка'!A2281:Z2281"),Настройки!$B$8)&amp;"")</f>
        <v/>
      </c>
      <c r="D2281">
        <f>IFERROR(--SUBSTITUTE(SUBSTITUTE(TRIM(INDEX(INDIRECT("'Выгрузка'!A2281:Z2281"),Настройки!$B$10)),",","."),".",MID(1/2,2,1)),"")</f>
        <v/>
      </c>
      <c r="E2281">
        <f>IFERROR(--SUBSTITUTE(SUBSTITUTE(TRIM(INDEX(INDIRECT("'Выгрузка'!A2281:Z2281"),Настройки!$B$11)),",","."),".",MID(1/2,2,1)),"")</f>
        <v/>
      </c>
      <c r="F2281">
        <f>TRIM(INDEX(INDIRECT("'Выгрузка'!A2281:Z2281"),Настройки!$B$12)&amp;"")</f>
        <v/>
      </c>
      <c r="G2281">
        <f>IF(F2281="",0,IF(TRIM(INDEX(INDIRECT("'Выгрузка'!A2281:Z2281"),Настройки!$B$13)&amp;"")="",1,IFERROR(--SUBSTITUTE(SUBSTITUTE(TRIM(INDEX(INDIRECT("'Выгрузка'!A2281:Z2281"),Настройки!$B$13)),",","."),".",MID(1/2,2,1)),"")))</f>
        <v/>
      </c>
      <c r="H2281">
        <f>IF(F2281="",0,IF(COUNTIF(Настройки!$B$17:$B$26,F2281)&gt;0,1,IF(COUNTIF(Настройки!$C$17:$C$26,F2281)&gt;0,2,IF(COUNTIF(Настройки!$D$17:$D$26,F2281)&gt;0,3,0))))</f>
        <v/>
      </c>
      <c r="I2281">
        <f>IF(AND(ISNUMBER(A2281),ISNUMBER(B2281)),A2281*1000+B2281,"")</f>
        <v/>
      </c>
      <c r="J2281">
        <f>IF(I2281="","",IF(COUNTIF(I$2:I2281,I2281)=1,MAX(J$1:J2280)+1,""))</f>
        <v/>
      </c>
    </row>
    <row r="2282">
      <c r="A2282">
        <f>IFERROR(--SUBSTITUTE(SUBSTITUTE(TRIM(INDEX(INDIRECT("'Выгрузка'!A2282:Z2282"),Настройки!$B$7)),",","."),".",MID(1/2,2,1)),"")</f>
        <v/>
      </c>
      <c r="B2282">
        <f>IFERROR(--SUBSTITUTE(SUBSTITUTE(TRIM(INDEX(INDIRECT("'Выгрузка'!A2282:Z2282"),Настройки!$B$9)),",","."),".",MID(1/2,2,1)),"")</f>
        <v/>
      </c>
      <c r="C2282">
        <f>TRIM(INDEX(INDIRECT("'Выгрузка'!A2282:Z2282"),Настройки!$B$8)&amp;"")</f>
        <v/>
      </c>
      <c r="D2282">
        <f>IFERROR(--SUBSTITUTE(SUBSTITUTE(TRIM(INDEX(INDIRECT("'Выгрузка'!A2282:Z2282"),Настройки!$B$10)),",","."),".",MID(1/2,2,1)),"")</f>
        <v/>
      </c>
      <c r="E2282">
        <f>IFERROR(--SUBSTITUTE(SUBSTITUTE(TRIM(INDEX(INDIRECT("'Выгрузка'!A2282:Z2282"),Настройки!$B$11)),",","."),".",MID(1/2,2,1)),"")</f>
        <v/>
      </c>
      <c r="F2282">
        <f>TRIM(INDEX(INDIRECT("'Выгрузка'!A2282:Z2282"),Настройки!$B$12)&amp;"")</f>
        <v/>
      </c>
      <c r="G2282">
        <f>IF(F2282="",0,IF(TRIM(INDEX(INDIRECT("'Выгрузка'!A2282:Z2282"),Настройки!$B$13)&amp;"")="",1,IFERROR(--SUBSTITUTE(SUBSTITUTE(TRIM(INDEX(INDIRECT("'Выгрузка'!A2282:Z2282"),Настройки!$B$13)),",","."),".",MID(1/2,2,1)),"")))</f>
        <v/>
      </c>
      <c r="H2282">
        <f>IF(F2282="",0,IF(COUNTIF(Настройки!$B$17:$B$26,F2282)&gt;0,1,IF(COUNTIF(Настройки!$C$17:$C$26,F2282)&gt;0,2,IF(COUNTIF(Настройки!$D$17:$D$26,F2282)&gt;0,3,0))))</f>
        <v/>
      </c>
      <c r="I2282">
        <f>IF(AND(ISNUMBER(A2282),ISNUMBER(B2282)),A2282*1000+B2282,"")</f>
        <v/>
      </c>
      <c r="J2282">
        <f>IF(I2282="","",IF(COUNTIF(I$2:I2282,I2282)=1,MAX(J$1:J2281)+1,""))</f>
        <v/>
      </c>
    </row>
    <row r="2283">
      <c r="A2283">
        <f>IFERROR(--SUBSTITUTE(SUBSTITUTE(TRIM(INDEX(INDIRECT("'Выгрузка'!A2283:Z2283"),Настройки!$B$7)),",","."),".",MID(1/2,2,1)),"")</f>
        <v/>
      </c>
      <c r="B2283">
        <f>IFERROR(--SUBSTITUTE(SUBSTITUTE(TRIM(INDEX(INDIRECT("'Выгрузка'!A2283:Z2283"),Настройки!$B$9)),",","."),".",MID(1/2,2,1)),"")</f>
        <v/>
      </c>
      <c r="C2283">
        <f>TRIM(INDEX(INDIRECT("'Выгрузка'!A2283:Z2283"),Настройки!$B$8)&amp;"")</f>
        <v/>
      </c>
      <c r="D2283">
        <f>IFERROR(--SUBSTITUTE(SUBSTITUTE(TRIM(INDEX(INDIRECT("'Выгрузка'!A2283:Z2283"),Настройки!$B$10)),",","."),".",MID(1/2,2,1)),"")</f>
        <v/>
      </c>
      <c r="E2283">
        <f>IFERROR(--SUBSTITUTE(SUBSTITUTE(TRIM(INDEX(INDIRECT("'Выгрузка'!A2283:Z2283"),Настройки!$B$11)),",","."),".",MID(1/2,2,1)),"")</f>
        <v/>
      </c>
      <c r="F2283">
        <f>TRIM(INDEX(INDIRECT("'Выгрузка'!A2283:Z2283"),Настройки!$B$12)&amp;"")</f>
        <v/>
      </c>
      <c r="G2283">
        <f>IF(F2283="",0,IF(TRIM(INDEX(INDIRECT("'Выгрузка'!A2283:Z2283"),Настройки!$B$13)&amp;"")="",1,IFERROR(--SUBSTITUTE(SUBSTITUTE(TRIM(INDEX(INDIRECT("'Выгрузка'!A2283:Z2283"),Настройки!$B$13)),",","."),".",MID(1/2,2,1)),"")))</f>
        <v/>
      </c>
      <c r="H2283">
        <f>IF(F2283="",0,IF(COUNTIF(Настройки!$B$17:$B$26,F2283)&gt;0,1,IF(COUNTIF(Настройки!$C$17:$C$26,F2283)&gt;0,2,IF(COUNTIF(Настройки!$D$17:$D$26,F2283)&gt;0,3,0))))</f>
        <v/>
      </c>
      <c r="I2283">
        <f>IF(AND(ISNUMBER(A2283),ISNUMBER(B2283)),A2283*1000+B2283,"")</f>
        <v/>
      </c>
      <c r="J2283">
        <f>IF(I2283="","",IF(COUNTIF(I$2:I2283,I2283)=1,MAX(J$1:J2282)+1,""))</f>
        <v/>
      </c>
    </row>
    <row r="2284">
      <c r="A2284">
        <f>IFERROR(--SUBSTITUTE(SUBSTITUTE(TRIM(INDEX(INDIRECT("'Выгрузка'!A2284:Z2284"),Настройки!$B$7)),",","."),".",MID(1/2,2,1)),"")</f>
        <v/>
      </c>
      <c r="B2284">
        <f>IFERROR(--SUBSTITUTE(SUBSTITUTE(TRIM(INDEX(INDIRECT("'Выгрузка'!A2284:Z2284"),Настройки!$B$9)),",","."),".",MID(1/2,2,1)),"")</f>
        <v/>
      </c>
      <c r="C2284">
        <f>TRIM(INDEX(INDIRECT("'Выгрузка'!A2284:Z2284"),Настройки!$B$8)&amp;"")</f>
        <v/>
      </c>
      <c r="D2284">
        <f>IFERROR(--SUBSTITUTE(SUBSTITUTE(TRIM(INDEX(INDIRECT("'Выгрузка'!A2284:Z2284"),Настройки!$B$10)),",","."),".",MID(1/2,2,1)),"")</f>
        <v/>
      </c>
      <c r="E2284">
        <f>IFERROR(--SUBSTITUTE(SUBSTITUTE(TRIM(INDEX(INDIRECT("'Выгрузка'!A2284:Z2284"),Настройки!$B$11)),",","."),".",MID(1/2,2,1)),"")</f>
        <v/>
      </c>
      <c r="F2284">
        <f>TRIM(INDEX(INDIRECT("'Выгрузка'!A2284:Z2284"),Настройки!$B$12)&amp;"")</f>
        <v/>
      </c>
      <c r="G2284">
        <f>IF(F2284="",0,IF(TRIM(INDEX(INDIRECT("'Выгрузка'!A2284:Z2284"),Настройки!$B$13)&amp;"")="",1,IFERROR(--SUBSTITUTE(SUBSTITUTE(TRIM(INDEX(INDIRECT("'Выгрузка'!A2284:Z2284"),Настройки!$B$13)),",","."),".",MID(1/2,2,1)),"")))</f>
        <v/>
      </c>
      <c r="H2284">
        <f>IF(F2284="",0,IF(COUNTIF(Настройки!$B$17:$B$26,F2284)&gt;0,1,IF(COUNTIF(Настройки!$C$17:$C$26,F2284)&gt;0,2,IF(COUNTIF(Настройки!$D$17:$D$26,F2284)&gt;0,3,0))))</f>
        <v/>
      </c>
      <c r="I2284">
        <f>IF(AND(ISNUMBER(A2284),ISNUMBER(B2284)),A2284*1000+B2284,"")</f>
        <v/>
      </c>
      <c r="J2284">
        <f>IF(I2284="","",IF(COUNTIF(I$2:I2284,I2284)=1,MAX(J$1:J2283)+1,""))</f>
        <v/>
      </c>
    </row>
    <row r="2285">
      <c r="A2285">
        <f>IFERROR(--SUBSTITUTE(SUBSTITUTE(TRIM(INDEX(INDIRECT("'Выгрузка'!A2285:Z2285"),Настройки!$B$7)),",","."),".",MID(1/2,2,1)),"")</f>
        <v/>
      </c>
      <c r="B2285">
        <f>IFERROR(--SUBSTITUTE(SUBSTITUTE(TRIM(INDEX(INDIRECT("'Выгрузка'!A2285:Z2285"),Настройки!$B$9)),",","."),".",MID(1/2,2,1)),"")</f>
        <v/>
      </c>
      <c r="C2285">
        <f>TRIM(INDEX(INDIRECT("'Выгрузка'!A2285:Z2285"),Настройки!$B$8)&amp;"")</f>
        <v/>
      </c>
      <c r="D2285">
        <f>IFERROR(--SUBSTITUTE(SUBSTITUTE(TRIM(INDEX(INDIRECT("'Выгрузка'!A2285:Z2285"),Настройки!$B$10)),",","."),".",MID(1/2,2,1)),"")</f>
        <v/>
      </c>
      <c r="E2285">
        <f>IFERROR(--SUBSTITUTE(SUBSTITUTE(TRIM(INDEX(INDIRECT("'Выгрузка'!A2285:Z2285"),Настройки!$B$11)),",","."),".",MID(1/2,2,1)),"")</f>
        <v/>
      </c>
      <c r="F2285">
        <f>TRIM(INDEX(INDIRECT("'Выгрузка'!A2285:Z2285"),Настройки!$B$12)&amp;"")</f>
        <v/>
      </c>
      <c r="G2285">
        <f>IF(F2285="",0,IF(TRIM(INDEX(INDIRECT("'Выгрузка'!A2285:Z2285"),Настройки!$B$13)&amp;"")="",1,IFERROR(--SUBSTITUTE(SUBSTITUTE(TRIM(INDEX(INDIRECT("'Выгрузка'!A2285:Z2285"),Настройки!$B$13)),",","."),".",MID(1/2,2,1)),"")))</f>
        <v/>
      </c>
      <c r="H2285">
        <f>IF(F2285="",0,IF(COUNTIF(Настройки!$B$17:$B$26,F2285)&gt;0,1,IF(COUNTIF(Настройки!$C$17:$C$26,F2285)&gt;0,2,IF(COUNTIF(Настройки!$D$17:$D$26,F2285)&gt;0,3,0))))</f>
        <v/>
      </c>
      <c r="I2285">
        <f>IF(AND(ISNUMBER(A2285),ISNUMBER(B2285)),A2285*1000+B2285,"")</f>
        <v/>
      </c>
      <c r="J2285">
        <f>IF(I2285="","",IF(COUNTIF(I$2:I2285,I2285)=1,MAX(J$1:J2284)+1,""))</f>
        <v/>
      </c>
    </row>
    <row r="2286">
      <c r="A2286">
        <f>IFERROR(--SUBSTITUTE(SUBSTITUTE(TRIM(INDEX(INDIRECT("'Выгрузка'!A2286:Z2286"),Настройки!$B$7)),",","."),".",MID(1/2,2,1)),"")</f>
        <v/>
      </c>
      <c r="B2286">
        <f>IFERROR(--SUBSTITUTE(SUBSTITUTE(TRIM(INDEX(INDIRECT("'Выгрузка'!A2286:Z2286"),Настройки!$B$9)),",","."),".",MID(1/2,2,1)),"")</f>
        <v/>
      </c>
      <c r="C2286">
        <f>TRIM(INDEX(INDIRECT("'Выгрузка'!A2286:Z2286"),Настройки!$B$8)&amp;"")</f>
        <v/>
      </c>
      <c r="D2286">
        <f>IFERROR(--SUBSTITUTE(SUBSTITUTE(TRIM(INDEX(INDIRECT("'Выгрузка'!A2286:Z2286"),Настройки!$B$10)),",","."),".",MID(1/2,2,1)),"")</f>
        <v/>
      </c>
      <c r="E2286">
        <f>IFERROR(--SUBSTITUTE(SUBSTITUTE(TRIM(INDEX(INDIRECT("'Выгрузка'!A2286:Z2286"),Настройки!$B$11)),",","."),".",MID(1/2,2,1)),"")</f>
        <v/>
      </c>
      <c r="F2286">
        <f>TRIM(INDEX(INDIRECT("'Выгрузка'!A2286:Z2286"),Настройки!$B$12)&amp;"")</f>
        <v/>
      </c>
      <c r="G2286">
        <f>IF(F2286="",0,IF(TRIM(INDEX(INDIRECT("'Выгрузка'!A2286:Z2286"),Настройки!$B$13)&amp;"")="",1,IFERROR(--SUBSTITUTE(SUBSTITUTE(TRIM(INDEX(INDIRECT("'Выгрузка'!A2286:Z2286"),Настройки!$B$13)),",","."),".",MID(1/2,2,1)),"")))</f>
        <v/>
      </c>
      <c r="H2286">
        <f>IF(F2286="",0,IF(COUNTIF(Настройки!$B$17:$B$26,F2286)&gt;0,1,IF(COUNTIF(Настройки!$C$17:$C$26,F2286)&gt;0,2,IF(COUNTIF(Настройки!$D$17:$D$26,F2286)&gt;0,3,0))))</f>
        <v/>
      </c>
      <c r="I2286">
        <f>IF(AND(ISNUMBER(A2286),ISNUMBER(B2286)),A2286*1000+B2286,"")</f>
        <v/>
      </c>
      <c r="J2286">
        <f>IF(I2286="","",IF(COUNTIF(I$2:I2286,I2286)=1,MAX(J$1:J2285)+1,""))</f>
        <v/>
      </c>
    </row>
    <row r="2287">
      <c r="A2287">
        <f>IFERROR(--SUBSTITUTE(SUBSTITUTE(TRIM(INDEX(INDIRECT("'Выгрузка'!A2287:Z2287"),Настройки!$B$7)),",","."),".",MID(1/2,2,1)),"")</f>
        <v/>
      </c>
      <c r="B2287">
        <f>IFERROR(--SUBSTITUTE(SUBSTITUTE(TRIM(INDEX(INDIRECT("'Выгрузка'!A2287:Z2287"),Настройки!$B$9)),",","."),".",MID(1/2,2,1)),"")</f>
        <v/>
      </c>
      <c r="C2287">
        <f>TRIM(INDEX(INDIRECT("'Выгрузка'!A2287:Z2287"),Настройки!$B$8)&amp;"")</f>
        <v/>
      </c>
      <c r="D2287">
        <f>IFERROR(--SUBSTITUTE(SUBSTITUTE(TRIM(INDEX(INDIRECT("'Выгрузка'!A2287:Z2287"),Настройки!$B$10)),",","."),".",MID(1/2,2,1)),"")</f>
        <v/>
      </c>
      <c r="E2287">
        <f>IFERROR(--SUBSTITUTE(SUBSTITUTE(TRIM(INDEX(INDIRECT("'Выгрузка'!A2287:Z2287"),Настройки!$B$11)),",","."),".",MID(1/2,2,1)),"")</f>
        <v/>
      </c>
      <c r="F2287">
        <f>TRIM(INDEX(INDIRECT("'Выгрузка'!A2287:Z2287"),Настройки!$B$12)&amp;"")</f>
        <v/>
      </c>
      <c r="G2287">
        <f>IF(F2287="",0,IF(TRIM(INDEX(INDIRECT("'Выгрузка'!A2287:Z2287"),Настройки!$B$13)&amp;"")="",1,IFERROR(--SUBSTITUTE(SUBSTITUTE(TRIM(INDEX(INDIRECT("'Выгрузка'!A2287:Z2287"),Настройки!$B$13)),",","."),".",MID(1/2,2,1)),"")))</f>
        <v/>
      </c>
      <c r="H2287">
        <f>IF(F2287="",0,IF(COUNTIF(Настройки!$B$17:$B$26,F2287)&gt;0,1,IF(COUNTIF(Настройки!$C$17:$C$26,F2287)&gt;0,2,IF(COUNTIF(Настройки!$D$17:$D$26,F2287)&gt;0,3,0))))</f>
        <v/>
      </c>
      <c r="I2287">
        <f>IF(AND(ISNUMBER(A2287),ISNUMBER(B2287)),A2287*1000+B2287,"")</f>
        <v/>
      </c>
      <c r="J2287">
        <f>IF(I2287="","",IF(COUNTIF(I$2:I2287,I2287)=1,MAX(J$1:J2286)+1,""))</f>
        <v/>
      </c>
    </row>
    <row r="2288">
      <c r="A2288">
        <f>IFERROR(--SUBSTITUTE(SUBSTITUTE(TRIM(INDEX(INDIRECT("'Выгрузка'!A2288:Z2288"),Настройки!$B$7)),",","."),".",MID(1/2,2,1)),"")</f>
        <v/>
      </c>
      <c r="B2288">
        <f>IFERROR(--SUBSTITUTE(SUBSTITUTE(TRIM(INDEX(INDIRECT("'Выгрузка'!A2288:Z2288"),Настройки!$B$9)),",","."),".",MID(1/2,2,1)),"")</f>
        <v/>
      </c>
      <c r="C2288">
        <f>TRIM(INDEX(INDIRECT("'Выгрузка'!A2288:Z2288"),Настройки!$B$8)&amp;"")</f>
        <v/>
      </c>
      <c r="D2288">
        <f>IFERROR(--SUBSTITUTE(SUBSTITUTE(TRIM(INDEX(INDIRECT("'Выгрузка'!A2288:Z2288"),Настройки!$B$10)),",","."),".",MID(1/2,2,1)),"")</f>
        <v/>
      </c>
      <c r="E2288">
        <f>IFERROR(--SUBSTITUTE(SUBSTITUTE(TRIM(INDEX(INDIRECT("'Выгрузка'!A2288:Z2288"),Настройки!$B$11)),",","."),".",MID(1/2,2,1)),"")</f>
        <v/>
      </c>
      <c r="F2288">
        <f>TRIM(INDEX(INDIRECT("'Выгрузка'!A2288:Z2288"),Настройки!$B$12)&amp;"")</f>
        <v/>
      </c>
      <c r="G2288">
        <f>IF(F2288="",0,IF(TRIM(INDEX(INDIRECT("'Выгрузка'!A2288:Z2288"),Настройки!$B$13)&amp;"")="",1,IFERROR(--SUBSTITUTE(SUBSTITUTE(TRIM(INDEX(INDIRECT("'Выгрузка'!A2288:Z2288"),Настройки!$B$13)),",","."),".",MID(1/2,2,1)),"")))</f>
        <v/>
      </c>
      <c r="H2288">
        <f>IF(F2288="",0,IF(COUNTIF(Настройки!$B$17:$B$26,F2288)&gt;0,1,IF(COUNTIF(Настройки!$C$17:$C$26,F2288)&gt;0,2,IF(COUNTIF(Настройки!$D$17:$D$26,F2288)&gt;0,3,0))))</f>
        <v/>
      </c>
      <c r="I2288">
        <f>IF(AND(ISNUMBER(A2288),ISNUMBER(B2288)),A2288*1000+B2288,"")</f>
        <v/>
      </c>
      <c r="J2288">
        <f>IF(I2288="","",IF(COUNTIF(I$2:I2288,I2288)=1,MAX(J$1:J2287)+1,""))</f>
        <v/>
      </c>
    </row>
    <row r="2289">
      <c r="A2289">
        <f>IFERROR(--SUBSTITUTE(SUBSTITUTE(TRIM(INDEX(INDIRECT("'Выгрузка'!A2289:Z2289"),Настройки!$B$7)),",","."),".",MID(1/2,2,1)),"")</f>
        <v/>
      </c>
      <c r="B2289">
        <f>IFERROR(--SUBSTITUTE(SUBSTITUTE(TRIM(INDEX(INDIRECT("'Выгрузка'!A2289:Z2289"),Настройки!$B$9)),",","."),".",MID(1/2,2,1)),"")</f>
        <v/>
      </c>
      <c r="C2289">
        <f>TRIM(INDEX(INDIRECT("'Выгрузка'!A2289:Z2289"),Настройки!$B$8)&amp;"")</f>
        <v/>
      </c>
      <c r="D2289">
        <f>IFERROR(--SUBSTITUTE(SUBSTITUTE(TRIM(INDEX(INDIRECT("'Выгрузка'!A2289:Z2289"),Настройки!$B$10)),",","."),".",MID(1/2,2,1)),"")</f>
        <v/>
      </c>
      <c r="E2289">
        <f>IFERROR(--SUBSTITUTE(SUBSTITUTE(TRIM(INDEX(INDIRECT("'Выгрузка'!A2289:Z2289"),Настройки!$B$11)),",","."),".",MID(1/2,2,1)),"")</f>
        <v/>
      </c>
      <c r="F2289">
        <f>TRIM(INDEX(INDIRECT("'Выгрузка'!A2289:Z2289"),Настройки!$B$12)&amp;"")</f>
        <v/>
      </c>
      <c r="G2289">
        <f>IF(F2289="",0,IF(TRIM(INDEX(INDIRECT("'Выгрузка'!A2289:Z2289"),Настройки!$B$13)&amp;"")="",1,IFERROR(--SUBSTITUTE(SUBSTITUTE(TRIM(INDEX(INDIRECT("'Выгрузка'!A2289:Z2289"),Настройки!$B$13)),",","."),".",MID(1/2,2,1)),"")))</f>
        <v/>
      </c>
      <c r="H2289">
        <f>IF(F2289="",0,IF(COUNTIF(Настройки!$B$17:$B$26,F2289)&gt;0,1,IF(COUNTIF(Настройки!$C$17:$C$26,F2289)&gt;0,2,IF(COUNTIF(Настройки!$D$17:$D$26,F2289)&gt;0,3,0))))</f>
        <v/>
      </c>
      <c r="I2289">
        <f>IF(AND(ISNUMBER(A2289),ISNUMBER(B2289)),A2289*1000+B2289,"")</f>
        <v/>
      </c>
      <c r="J2289">
        <f>IF(I2289="","",IF(COUNTIF(I$2:I2289,I2289)=1,MAX(J$1:J2288)+1,""))</f>
        <v/>
      </c>
    </row>
    <row r="2290">
      <c r="A2290">
        <f>IFERROR(--SUBSTITUTE(SUBSTITUTE(TRIM(INDEX(INDIRECT("'Выгрузка'!A2290:Z2290"),Настройки!$B$7)),",","."),".",MID(1/2,2,1)),"")</f>
        <v/>
      </c>
      <c r="B2290">
        <f>IFERROR(--SUBSTITUTE(SUBSTITUTE(TRIM(INDEX(INDIRECT("'Выгрузка'!A2290:Z2290"),Настройки!$B$9)),",","."),".",MID(1/2,2,1)),"")</f>
        <v/>
      </c>
      <c r="C2290">
        <f>TRIM(INDEX(INDIRECT("'Выгрузка'!A2290:Z2290"),Настройки!$B$8)&amp;"")</f>
        <v/>
      </c>
      <c r="D2290">
        <f>IFERROR(--SUBSTITUTE(SUBSTITUTE(TRIM(INDEX(INDIRECT("'Выгрузка'!A2290:Z2290"),Настройки!$B$10)),",","."),".",MID(1/2,2,1)),"")</f>
        <v/>
      </c>
      <c r="E2290">
        <f>IFERROR(--SUBSTITUTE(SUBSTITUTE(TRIM(INDEX(INDIRECT("'Выгрузка'!A2290:Z2290"),Настройки!$B$11)),",","."),".",MID(1/2,2,1)),"")</f>
        <v/>
      </c>
      <c r="F2290">
        <f>TRIM(INDEX(INDIRECT("'Выгрузка'!A2290:Z2290"),Настройки!$B$12)&amp;"")</f>
        <v/>
      </c>
      <c r="G2290">
        <f>IF(F2290="",0,IF(TRIM(INDEX(INDIRECT("'Выгрузка'!A2290:Z2290"),Настройки!$B$13)&amp;"")="",1,IFERROR(--SUBSTITUTE(SUBSTITUTE(TRIM(INDEX(INDIRECT("'Выгрузка'!A2290:Z2290"),Настройки!$B$13)),",","."),".",MID(1/2,2,1)),"")))</f>
        <v/>
      </c>
      <c r="H2290">
        <f>IF(F2290="",0,IF(COUNTIF(Настройки!$B$17:$B$26,F2290)&gt;0,1,IF(COUNTIF(Настройки!$C$17:$C$26,F2290)&gt;0,2,IF(COUNTIF(Настройки!$D$17:$D$26,F2290)&gt;0,3,0))))</f>
        <v/>
      </c>
      <c r="I2290">
        <f>IF(AND(ISNUMBER(A2290),ISNUMBER(B2290)),A2290*1000+B2290,"")</f>
        <v/>
      </c>
      <c r="J2290">
        <f>IF(I2290="","",IF(COUNTIF(I$2:I2290,I2290)=1,MAX(J$1:J2289)+1,""))</f>
        <v/>
      </c>
    </row>
    <row r="2291">
      <c r="A2291">
        <f>IFERROR(--SUBSTITUTE(SUBSTITUTE(TRIM(INDEX(INDIRECT("'Выгрузка'!A2291:Z2291"),Настройки!$B$7)),",","."),".",MID(1/2,2,1)),"")</f>
        <v/>
      </c>
      <c r="B2291">
        <f>IFERROR(--SUBSTITUTE(SUBSTITUTE(TRIM(INDEX(INDIRECT("'Выгрузка'!A2291:Z2291"),Настройки!$B$9)),",","."),".",MID(1/2,2,1)),"")</f>
        <v/>
      </c>
      <c r="C2291">
        <f>TRIM(INDEX(INDIRECT("'Выгрузка'!A2291:Z2291"),Настройки!$B$8)&amp;"")</f>
        <v/>
      </c>
      <c r="D2291">
        <f>IFERROR(--SUBSTITUTE(SUBSTITUTE(TRIM(INDEX(INDIRECT("'Выгрузка'!A2291:Z2291"),Настройки!$B$10)),",","."),".",MID(1/2,2,1)),"")</f>
        <v/>
      </c>
      <c r="E2291">
        <f>IFERROR(--SUBSTITUTE(SUBSTITUTE(TRIM(INDEX(INDIRECT("'Выгрузка'!A2291:Z2291"),Настройки!$B$11)),",","."),".",MID(1/2,2,1)),"")</f>
        <v/>
      </c>
      <c r="F2291">
        <f>TRIM(INDEX(INDIRECT("'Выгрузка'!A2291:Z2291"),Настройки!$B$12)&amp;"")</f>
        <v/>
      </c>
      <c r="G2291">
        <f>IF(F2291="",0,IF(TRIM(INDEX(INDIRECT("'Выгрузка'!A2291:Z2291"),Настройки!$B$13)&amp;"")="",1,IFERROR(--SUBSTITUTE(SUBSTITUTE(TRIM(INDEX(INDIRECT("'Выгрузка'!A2291:Z2291"),Настройки!$B$13)),",","."),".",MID(1/2,2,1)),"")))</f>
        <v/>
      </c>
      <c r="H2291">
        <f>IF(F2291="",0,IF(COUNTIF(Настройки!$B$17:$B$26,F2291)&gt;0,1,IF(COUNTIF(Настройки!$C$17:$C$26,F2291)&gt;0,2,IF(COUNTIF(Настройки!$D$17:$D$26,F2291)&gt;0,3,0))))</f>
        <v/>
      </c>
      <c r="I2291">
        <f>IF(AND(ISNUMBER(A2291),ISNUMBER(B2291)),A2291*1000+B2291,"")</f>
        <v/>
      </c>
      <c r="J2291">
        <f>IF(I2291="","",IF(COUNTIF(I$2:I2291,I2291)=1,MAX(J$1:J2290)+1,""))</f>
        <v/>
      </c>
    </row>
    <row r="2292">
      <c r="A2292">
        <f>IFERROR(--SUBSTITUTE(SUBSTITUTE(TRIM(INDEX(INDIRECT("'Выгрузка'!A2292:Z2292"),Настройки!$B$7)),",","."),".",MID(1/2,2,1)),"")</f>
        <v/>
      </c>
      <c r="B2292">
        <f>IFERROR(--SUBSTITUTE(SUBSTITUTE(TRIM(INDEX(INDIRECT("'Выгрузка'!A2292:Z2292"),Настройки!$B$9)),",","."),".",MID(1/2,2,1)),"")</f>
        <v/>
      </c>
      <c r="C2292">
        <f>TRIM(INDEX(INDIRECT("'Выгрузка'!A2292:Z2292"),Настройки!$B$8)&amp;"")</f>
        <v/>
      </c>
      <c r="D2292">
        <f>IFERROR(--SUBSTITUTE(SUBSTITUTE(TRIM(INDEX(INDIRECT("'Выгрузка'!A2292:Z2292"),Настройки!$B$10)),",","."),".",MID(1/2,2,1)),"")</f>
        <v/>
      </c>
      <c r="E2292">
        <f>IFERROR(--SUBSTITUTE(SUBSTITUTE(TRIM(INDEX(INDIRECT("'Выгрузка'!A2292:Z2292"),Настройки!$B$11)),",","."),".",MID(1/2,2,1)),"")</f>
        <v/>
      </c>
      <c r="F2292">
        <f>TRIM(INDEX(INDIRECT("'Выгрузка'!A2292:Z2292"),Настройки!$B$12)&amp;"")</f>
        <v/>
      </c>
      <c r="G2292">
        <f>IF(F2292="",0,IF(TRIM(INDEX(INDIRECT("'Выгрузка'!A2292:Z2292"),Настройки!$B$13)&amp;"")="",1,IFERROR(--SUBSTITUTE(SUBSTITUTE(TRIM(INDEX(INDIRECT("'Выгрузка'!A2292:Z2292"),Настройки!$B$13)),",","."),".",MID(1/2,2,1)),"")))</f>
        <v/>
      </c>
      <c r="H2292">
        <f>IF(F2292="",0,IF(COUNTIF(Настройки!$B$17:$B$26,F2292)&gt;0,1,IF(COUNTIF(Настройки!$C$17:$C$26,F2292)&gt;0,2,IF(COUNTIF(Настройки!$D$17:$D$26,F2292)&gt;0,3,0))))</f>
        <v/>
      </c>
      <c r="I2292">
        <f>IF(AND(ISNUMBER(A2292),ISNUMBER(B2292)),A2292*1000+B2292,"")</f>
        <v/>
      </c>
      <c r="J2292">
        <f>IF(I2292="","",IF(COUNTIF(I$2:I2292,I2292)=1,MAX(J$1:J2291)+1,""))</f>
        <v/>
      </c>
    </row>
    <row r="2293">
      <c r="A2293">
        <f>IFERROR(--SUBSTITUTE(SUBSTITUTE(TRIM(INDEX(INDIRECT("'Выгрузка'!A2293:Z2293"),Настройки!$B$7)),",","."),".",MID(1/2,2,1)),"")</f>
        <v/>
      </c>
      <c r="B2293">
        <f>IFERROR(--SUBSTITUTE(SUBSTITUTE(TRIM(INDEX(INDIRECT("'Выгрузка'!A2293:Z2293"),Настройки!$B$9)),",","."),".",MID(1/2,2,1)),"")</f>
        <v/>
      </c>
      <c r="C2293">
        <f>TRIM(INDEX(INDIRECT("'Выгрузка'!A2293:Z2293"),Настройки!$B$8)&amp;"")</f>
        <v/>
      </c>
      <c r="D2293">
        <f>IFERROR(--SUBSTITUTE(SUBSTITUTE(TRIM(INDEX(INDIRECT("'Выгрузка'!A2293:Z2293"),Настройки!$B$10)),",","."),".",MID(1/2,2,1)),"")</f>
        <v/>
      </c>
      <c r="E2293">
        <f>IFERROR(--SUBSTITUTE(SUBSTITUTE(TRIM(INDEX(INDIRECT("'Выгрузка'!A2293:Z2293"),Настройки!$B$11)),",","."),".",MID(1/2,2,1)),"")</f>
        <v/>
      </c>
      <c r="F2293">
        <f>TRIM(INDEX(INDIRECT("'Выгрузка'!A2293:Z2293"),Настройки!$B$12)&amp;"")</f>
        <v/>
      </c>
      <c r="G2293">
        <f>IF(F2293="",0,IF(TRIM(INDEX(INDIRECT("'Выгрузка'!A2293:Z2293"),Настройки!$B$13)&amp;"")="",1,IFERROR(--SUBSTITUTE(SUBSTITUTE(TRIM(INDEX(INDIRECT("'Выгрузка'!A2293:Z2293"),Настройки!$B$13)),",","."),".",MID(1/2,2,1)),"")))</f>
        <v/>
      </c>
      <c r="H2293">
        <f>IF(F2293="",0,IF(COUNTIF(Настройки!$B$17:$B$26,F2293)&gt;0,1,IF(COUNTIF(Настройки!$C$17:$C$26,F2293)&gt;0,2,IF(COUNTIF(Настройки!$D$17:$D$26,F2293)&gt;0,3,0))))</f>
        <v/>
      </c>
      <c r="I2293">
        <f>IF(AND(ISNUMBER(A2293),ISNUMBER(B2293)),A2293*1000+B2293,"")</f>
        <v/>
      </c>
      <c r="J2293">
        <f>IF(I2293="","",IF(COUNTIF(I$2:I2293,I2293)=1,MAX(J$1:J2292)+1,""))</f>
        <v/>
      </c>
    </row>
    <row r="2294">
      <c r="A2294">
        <f>IFERROR(--SUBSTITUTE(SUBSTITUTE(TRIM(INDEX(INDIRECT("'Выгрузка'!A2294:Z2294"),Настройки!$B$7)),",","."),".",MID(1/2,2,1)),"")</f>
        <v/>
      </c>
      <c r="B2294">
        <f>IFERROR(--SUBSTITUTE(SUBSTITUTE(TRIM(INDEX(INDIRECT("'Выгрузка'!A2294:Z2294"),Настройки!$B$9)),",","."),".",MID(1/2,2,1)),"")</f>
        <v/>
      </c>
      <c r="C2294">
        <f>TRIM(INDEX(INDIRECT("'Выгрузка'!A2294:Z2294"),Настройки!$B$8)&amp;"")</f>
        <v/>
      </c>
      <c r="D2294">
        <f>IFERROR(--SUBSTITUTE(SUBSTITUTE(TRIM(INDEX(INDIRECT("'Выгрузка'!A2294:Z2294"),Настройки!$B$10)),",","."),".",MID(1/2,2,1)),"")</f>
        <v/>
      </c>
      <c r="E2294">
        <f>IFERROR(--SUBSTITUTE(SUBSTITUTE(TRIM(INDEX(INDIRECT("'Выгрузка'!A2294:Z2294"),Настройки!$B$11)),",","."),".",MID(1/2,2,1)),"")</f>
        <v/>
      </c>
      <c r="F2294">
        <f>TRIM(INDEX(INDIRECT("'Выгрузка'!A2294:Z2294"),Настройки!$B$12)&amp;"")</f>
        <v/>
      </c>
      <c r="G2294">
        <f>IF(F2294="",0,IF(TRIM(INDEX(INDIRECT("'Выгрузка'!A2294:Z2294"),Настройки!$B$13)&amp;"")="",1,IFERROR(--SUBSTITUTE(SUBSTITUTE(TRIM(INDEX(INDIRECT("'Выгрузка'!A2294:Z2294"),Настройки!$B$13)),",","."),".",MID(1/2,2,1)),"")))</f>
        <v/>
      </c>
      <c r="H2294">
        <f>IF(F2294="",0,IF(COUNTIF(Настройки!$B$17:$B$26,F2294)&gt;0,1,IF(COUNTIF(Настройки!$C$17:$C$26,F2294)&gt;0,2,IF(COUNTIF(Настройки!$D$17:$D$26,F2294)&gt;0,3,0))))</f>
        <v/>
      </c>
      <c r="I2294">
        <f>IF(AND(ISNUMBER(A2294),ISNUMBER(B2294)),A2294*1000+B2294,"")</f>
        <v/>
      </c>
      <c r="J2294">
        <f>IF(I2294="","",IF(COUNTIF(I$2:I2294,I2294)=1,MAX(J$1:J2293)+1,""))</f>
        <v/>
      </c>
    </row>
    <row r="2295">
      <c r="A2295">
        <f>IFERROR(--SUBSTITUTE(SUBSTITUTE(TRIM(INDEX(INDIRECT("'Выгрузка'!A2295:Z2295"),Настройки!$B$7)),",","."),".",MID(1/2,2,1)),"")</f>
        <v/>
      </c>
      <c r="B2295">
        <f>IFERROR(--SUBSTITUTE(SUBSTITUTE(TRIM(INDEX(INDIRECT("'Выгрузка'!A2295:Z2295"),Настройки!$B$9)),",","."),".",MID(1/2,2,1)),"")</f>
        <v/>
      </c>
      <c r="C2295">
        <f>TRIM(INDEX(INDIRECT("'Выгрузка'!A2295:Z2295"),Настройки!$B$8)&amp;"")</f>
        <v/>
      </c>
      <c r="D2295">
        <f>IFERROR(--SUBSTITUTE(SUBSTITUTE(TRIM(INDEX(INDIRECT("'Выгрузка'!A2295:Z2295"),Настройки!$B$10)),",","."),".",MID(1/2,2,1)),"")</f>
        <v/>
      </c>
      <c r="E2295">
        <f>IFERROR(--SUBSTITUTE(SUBSTITUTE(TRIM(INDEX(INDIRECT("'Выгрузка'!A2295:Z2295"),Настройки!$B$11)),",","."),".",MID(1/2,2,1)),"")</f>
        <v/>
      </c>
      <c r="F2295">
        <f>TRIM(INDEX(INDIRECT("'Выгрузка'!A2295:Z2295"),Настройки!$B$12)&amp;"")</f>
        <v/>
      </c>
      <c r="G2295">
        <f>IF(F2295="",0,IF(TRIM(INDEX(INDIRECT("'Выгрузка'!A2295:Z2295"),Настройки!$B$13)&amp;"")="",1,IFERROR(--SUBSTITUTE(SUBSTITUTE(TRIM(INDEX(INDIRECT("'Выгрузка'!A2295:Z2295"),Настройки!$B$13)),",","."),".",MID(1/2,2,1)),"")))</f>
        <v/>
      </c>
      <c r="H2295">
        <f>IF(F2295="",0,IF(COUNTIF(Настройки!$B$17:$B$26,F2295)&gt;0,1,IF(COUNTIF(Настройки!$C$17:$C$26,F2295)&gt;0,2,IF(COUNTIF(Настройки!$D$17:$D$26,F2295)&gt;0,3,0))))</f>
        <v/>
      </c>
      <c r="I2295">
        <f>IF(AND(ISNUMBER(A2295),ISNUMBER(B2295)),A2295*1000+B2295,"")</f>
        <v/>
      </c>
      <c r="J2295">
        <f>IF(I2295="","",IF(COUNTIF(I$2:I2295,I2295)=1,MAX(J$1:J2294)+1,""))</f>
        <v/>
      </c>
    </row>
    <row r="2296">
      <c r="A2296">
        <f>IFERROR(--SUBSTITUTE(SUBSTITUTE(TRIM(INDEX(INDIRECT("'Выгрузка'!A2296:Z2296"),Настройки!$B$7)),",","."),".",MID(1/2,2,1)),"")</f>
        <v/>
      </c>
      <c r="B2296">
        <f>IFERROR(--SUBSTITUTE(SUBSTITUTE(TRIM(INDEX(INDIRECT("'Выгрузка'!A2296:Z2296"),Настройки!$B$9)),",","."),".",MID(1/2,2,1)),"")</f>
        <v/>
      </c>
      <c r="C2296">
        <f>TRIM(INDEX(INDIRECT("'Выгрузка'!A2296:Z2296"),Настройки!$B$8)&amp;"")</f>
        <v/>
      </c>
      <c r="D2296">
        <f>IFERROR(--SUBSTITUTE(SUBSTITUTE(TRIM(INDEX(INDIRECT("'Выгрузка'!A2296:Z2296"),Настройки!$B$10)),",","."),".",MID(1/2,2,1)),"")</f>
        <v/>
      </c>
      <c r="E2296">
        <f>IFERROR(--SUBSTITUTE(SUBSTITUTE(TRIM(INDEX(INDIRECT("'Выгрузка'!A2296:Z2296"),Настройки!$B$11)),",","."),".",MID(1/2,2,1)),"")</f>
        <v/>
      </c>
      <c r="F2296">
        <f>TRIM(INDEX(INDIRECT("'Выгрузка'!A2296:Z2296"),Настройки!$B$12)&amp;"")</f>
        <v/>
      </c>
      <c r="G2296">
        <f>IF(F2296="",0,IF(TRIM(INDEX(INDIRECT("'Выгрузка'!A2296:Z2296"),Настройки!$B$13)&amp;"")="",1,IFERROR(--SUBSTITUTE(SUBSTITUTE(TRIM(INDEX(INDIRECT("'Выгрузка'!A2296:Z2296"),Настройки!$B$13)),",","."),".",MID(1/2,2,1)),"")))</f>
        <v/>
      </c>
      <c r="H2296">
        <f>IF(F2296="",0,IF(COUNTIF(Настройки!$B$17:$B$26,F2296)&gt;0,1,IF(COUNTIF(Настройки!$C$17:$C$26,F2296)&gt;0,2,IF(COUNTIF(Настройки!$D$17:$D$26,F2296)&gt;0,3,0))))</f>
        <v/>
      </c>
      <c r="I2296">
        <f>IF(AND(ISNUMBER(A2296),ISNUMBER(B2296)),A2296*1000+B2296,"")</f>
        <v/>
      </c>
      <c r="J2296">
        <f>IF(I2296="","",IF(COUNTIF(I$2:I2296,I2296)=1,MAX(J$1:J2295)+1,""))</f>
        <v/>
      </c>
    </row>
    <row r="2297">
      <c r="A2297">
        <f>IFERROR(--SUBSTITUTE(SUBSTITUTE(TRIM(INDEX(INDIRECT("'Выгрузка'!A2297:Z2297"),Настройки!$B$7)),",","."),".",MID(1/2,2,1)),"")</f>
        <v/>
      </c>
      <c r="B2297">
        <f>IFERROR(--SUBSTITUTE(SUBSTITUTE(TRIM(INDEX(INDIRECT("'Выгрузка'!A2297:Z2297"),Настройки!$B$9)),",","."),".",MID(1/2,2,1)),"")</f>
        <v/>
      </c>
      <c r="C2297">
        <f>TRIM(INDEX(INDIRECT("'Выгрузка'!A2297:Z2297"),Настройки!$B$8)&amp;"")</f>
        <v/>
      </c>
      <c r="D2297">
        <f>IFERROR(--SUBSTITUTE(SUBSTITUTE(TRIM(INDEX(INDIRECT("'Выгрузка'!A2297:Z2297"),Настройки!$B$10)),",","."),".",MID(1/2,2,1)),"")</f>
        <v/>
      </c>
      <c r="E2297">
        <f>IFERROR(--SUBSTITUTE(SUBSTITUTE(TRIM(INDEX(INDIRECT("'Выгрузка'!A2297:Z2297"),Настройки!$B$11)),",","."),".",MID(1/2,2,1)),"")</f>
        <v/>
      </c>
      <c r="F2297">
        <f>TRIM(INDEX(INDIRECT("'Выгрузка'!A2297:Z2297"),Настройки!$B$12)&amp;"")</f>
        <v/>
      </c>
      <c r="G2297">
        <f>IF(F2297="",0,IF(TRIM(INDEX(INDIRECT("'Выгрузка'!A2297:Z2297"),Настройки!$B$13)&amp;"")="",1,IFERROR(--SUBSTITUTE(SUBSTITUTE(TRIM(INDEX(INDIRECT("'Выгрузка'!A2297:Z2297"),Настройки!$B$13)),",","."),".",MID(1/2,2,1)),"")))</f>
        <v/>
      </c>
      <c r="H2297">
        <f>IF(F2297="",0,IF(COUNTIF(Настройки!$B$17:$B$26,F2297)&gt;0,1,IF(COUNTIF(Настройки!$C$17:$C$26,F2297)&gt;0,2,IF(COUNTIF(Настройки!$D$17:$D$26,F2297)&gt;0,3,0))))</f>
        <v/>
      </c>
      <c r="I2297">
        <f>IF(AND(ISNUMBER(A2297),ISNUMBER(B2297)),A2297*1000+B2297,"")</f>
        <v/>
      </c>
      <c r="J2297">
        <f>IF(I2297="","",IF(COUNTIF(I$2:I2297,I2297)=1,MAX(J$1:J2296)+1,""))</f>
        <v/>
      </c>
    </row>
    <row r="2298">
      <c r="A2298">
        <f>IFERROR(--SUBSTITUTE(SUBSTITUTE(TRIM(INDEX(INDIRECT("'Выгрузка'!A2298:Z2298"),Настройки!$B$7)),",","."),".",MID(1/2,2,1)),"")</f>
        <v/>
      </c>
      <c r="B2298">
        <f>IFERROR(--SUBSTITUTE(SUBSTITUTE(TRIM(INDEX(INDIRECT("'Выгрузка'!A2298:Z2298"),Настройки!$B$9)),",","."),".",MID(1/2,2,1)),"")</f>
        <v/>
      </c>
      <c r="C2298">
        <f>TRIM(INDEX(INDIRECT("'Выгрузка'!A2298:Z2298"),Настройки!$B$8)&amp;"")</f>
        <v/>
      </c>
      <c r="D2298">
        <f>IFERROR(--SUBSTITUTE(SUBSTITUTE(TRIM(INDEX(INDIRECT("'Выгрузка'!A2298:Z2298"),Настройки!$B$10)),",","."),".",MID(1/2,2,1)),"")</f>
        <v/>
      </c>
      <c r="E2298">
        <f>IFERROR(--SUBSTITUTE(SUBSTITUTE(TRIM(INDEX(INDIRECT("'Выгрузка'!A2298:Z2298"),Настройки!$B$11)),",","."),".",MID(1/2,2,1)),"")</f>
        <v/>
      </c>
      <c r="F2298">
        <f>TRIM(INDEX(INDIRECT("'Выгрузка'!A2298:Z2298"),Настройки!$B$12)&amp;"")</f>
        <v/>
      </c>
      <c r="G2298">
        <f>IF(F2298="",0,IF(TRIM(INDEX(INDIRECT("'Выгрузка'!A2298:Z2298"),Настройки!$B$13)&amp;"")="",1,IFERROR(--SUBSTITUTE(SUBSTITUTE(TRIM(INDEX(INDIRECT("'Выгрузка'!A2298:Z2298"),Настройки!$B$13)),",","."),".",MID(1/2,2,1)),"")))</f>
        <v/>
      </c>
      <c r="H2298">
        <f>IF(F2298="",0,IF(COUNTIF(Настройки!$B$17:$B$26,F2298)&gt;0,1,IF(COUNTIF(Настройки!$C$17:$C$26,F2298)&gt;0,2,IF(COUNTIF(Настройки!$D$17:$D$26,F2298)&gt;0,3,0))))</f>
        <v/>
      </c>
      <c r="I2298">
        <f>IF(AND(ISNUMBER(A2298),ISNUMBER(B2298)),A2298*1000+B2298,"")</f>
        <v/>
      </c>
      <c r="J2298">
        <f>IF(I2298="","",IF(COUNTIF(I$2:I2298,I2298)=1,MAX(J$1:J2297)+1,""))</f>
        <v/>
      </c>
    </row>
    <row r="2299">
      <c r="A2299">
        <f>IFERROR(--SUBSTITUTE(SUBSTITUTE(TRIM(INDEX(INDIRECT("'Выгрузка'!A2299:Z2299"),Настройки!$B$7)),",","."),".",MID(1/2,2,1)),"")</f>
        <v/>
      </c>
      <c r="B2299">
        <f>IFERROR(--SUBSTITUTE(SUBSTITUTE(TRIM(INDEX(INDIRECT("'Выгрузка'!A2299:Z2299"),Настройки!$B$9)),",","."),".",MID(1/2,2,1)),"")</f>
        <v/>
      </c>
      <c r="C2299">
        <f>TRIM(INDEX(INDIRECT("'Выгрузка'!A2299:Z2299"),Настройки!$B$8)&amp;"")</f>
        <v/>
      </c>
      <c r="D2299">
        <f>IFERROR(--SUBSTITUTE(SUBSTITUTE(TRIM(INDEX(INDIRECT("'Выгрузка'!A2299:Z2299"),Настройки!$B$10)),",","."),".",MID(1/2,2,1)),"")</f>
        <v/>
      </c>
      <c r="E2299">
        <f>IFERROR(--SUBSTITUTE(SUBSTITUTE(TRIM(INDEX(INDIRECT("'Выгрузка'!A2299:Z2299"),Настройки!$B$11)),",","."),".",MID(1/2,2,1)),"")</f>
        <v/>
      </c>
      <c r="F2299">
        <f>TRIM(INDEX(INDIRECT("'Выгрузка'!A2299:Z2299"),Настройки!$B$12)&amp;"")</f>
        <v/>
      </c>
      <c r="G2299">
        <f>IF(F2299="",0,IF(TRIM(INDEX(INDIRECT("'Выгрузка'!A2299:Z2299"),Настройки!$B$13)&amp;"")="",1,IFERROR(--SUBSTITUTE(SUBSTITUTE(TRIM(INDEX(INDIRECT("'Выгрузка'!A2299:Z2299"),Настройки!$B$13)),",","."),".",MID(1/2,2,1)),"")))</f>
        <v/>
      </c>
      <c r="H2299">
        <f>IF(F2299="",0,IF(COUNTIF(Настройки!$B$17:$B$26,F2299)&gt;0,1,IF(COUNTIF(Настройки!$C$17:$C$26,F2299)&gt;0,2,IF(COUNTIF(Настройки!$D$17:$D$26,F2299)&gt;0,3,0))))</f>
        <v/>
      </c>
      <c r="I2299">
        <f>IF(AND(ISNUMBER(A2299),ISNUMBER(B2299)),A2299*1000+B2299,"")</f>
        <v/>
      </c>
      <c r="J2299">
        <f>IF(I2299="","",IF(COUNTIF(I$2:I2299,I2299)=1,MAX(J$1:J2298)+1,""))</f>
        <v/>
      </c>
    </row>
    <row r="2300">
      <c r="A2300">
        <f>IFERROR(--SUBSTITUTE(SUBSTITUTE(TRIM(INDEX(INDIRECT("'Выгрузка'!A2300:Z2300"),Настройки!$B$7)),",","."),".",MID(1/2,2,1)),"")</f>
        <v/>
      </c>
      <c r="B2300">
        <f>IFERROR(--SUBSTITUTE(SUBSTITUTE(TRIM(INDEX(INDIRECT("'Выгрузка'!A2300:Z2300"),Настройки!$B$9)),",","."),".",MID(1/2,2,1)),"")</f>
        <v/>
      </c>
      <c r="C2300">
        <f>TRIM(INDEX(INDIRECT("'Выгрузка'!A2300:Z2300"),Настройки!$B$8)&amp;"")</f>
        <v/>
      </c>
      <c r="D2300">
        <f>IFERROR(--SUBSTITUTE(SUBSTITUTE(TRIM(INDEX(INDIRECT("'Выгрузка'!A2300:Z2300"),Настройки!$B$10)),",","."),".",MID(1/2,2,1)),"")</f>
        <v/>
      </c>
      <c r="E2300">
        <f>IFERROR(--SUBSTITUTE(SUBSTITUTE(TRIM(INDEX(INDIRECT("'Выгрузка'!A2300:Z2300"),Настройки!$B$11)),",","."),".",MID(1/2,2,1)),"")</f>
        <v/>
      </c>
      <c r="F2300">
        <f>TRIM(INDEX(INDIRECT("'Выгрузка'!A2300:Z2300"),Настройки!$B$12)&amp;"")</f>
        <v/>
      </c>
      <c r="G2300">
        <f>IF(F2300="",0,IF(TRIM(INDEX(INDIRECT("'Выгрузка'!A2300:Z2300"),Настройки!$B$13)&amp;"")="",1,IFERROR(--SUBSTITUTE(SUBSTITUTE(TRIM(INDEX(INDIRECT("'Выгрузка'!A2300:Z2300"),Настройки!$B$13)),",","."),".",MID(1/2,2,1)),"")))</f>
        <v/>
      </c>
      <c r="H2300">
        <f>IF(F2300="",0,IF(COUNTIF(Настройки!$B$17:$B$26,F2300)&gt;0,1,IF(COUNTIF(Настройки!$C$17:$C$26,F2300)&gt;0,2,IF(COUNTIF(Настройки!$D$17:$D$26,F2300)&gt;0,3,0))))</f>
        <v/>
      </c>
      <c r="I2300">
        <f>IF(AND(ISNUMBER(A2300),ISNUMBER(B2300)),A2300*1000+B2300,"")</f>
        <v/>
      </c>
      <c r="J2300">
        <f>IF(I2300="","",IF(COUNTIF(I$2:I2300,I2300)=1,MAX(J$1:J2299)+1,""))</f>
        <v/>
      </c>
    </row>
    <row r="2301">
      <c r="A2301">
        <f>IFERROR(--SUBSTITUTE(SUBSTITUTE(TRIM(INDEX(INDIRECT("'Выгрузка'!A2301:Z2301"),Настройки!$B$7)),",","."),".",MID(1/2,2,1)),"")</f>
        <v/>
      </c>
      <c r="B2301">
        <f>IFERROR(--SUBSTITUTE(SUBSTITUTE(TRIM(INDEX(INDIRECT("'Выгрузка'!A2301:Z2301"),Настройки!$B$9)),",","."),".",MID(1/2,2,1)),"")</f>
        <v/>
      </c>
      <c r="C2301">
        <f>TRIM(INDEX(INDIRECT("'Выгрузка'!A2301:Z2301"),Настройки!$B$8)&amp;"")</f>
        <v/>
      </c>
      <c r="D2301">
        <f>IFERROR(--SUBSTITUTE(SUBSTITUTE(TRIM(INDEX(INDIRECT("'Выгрузка'!A2301:Z2301"),Настройки!$B$10)),",","."),".",MID(1/2,2,1)),"")</f>
        <v/>
      </c>
      <c r="E2301">
        <f>IFERROR(--SUBSTITUTE(SUBSTITUTE(TRIM(INDEX(INDIRECT("'Выгрузка'!A2301:Z2301"),Настройки!$B$11)),",","."),".",MID(1/2,2,1)),"")</f>
        <v/>
      </c>
      <c r="F2301">
        <f>TRIM(INDEX(INDIRECT("'Выгрузка'!A2301:Z2301"),Настройки!$B$12)&amp;"")</f>
        <v/>
      </c>
      <c r="G2301">
        <f>IF(F2301="",0,IF(TRIM(INDEX(INDIRECT("'Выгрузка'!A2301:Z2301"),Настройки!$B$13)&amp;"")="",1,IFERROR(--SUBSTITUTE(SUBSTITUTE(TRIM(INDEX(INDIRECT("'Выгрузка'!A2301:Z2301"),Настройки!$B$13)),",","."),".",MID(1/2,2,1)),"")))</f>
        <v/>
      </c>
      <c r="H2301">
        <f>IF(F2301="",0,IF(COUNTIF(Настройки!$B$17:$B$26,F2301)&gt;0,1,IF(COUNTIF(Настройки!$C$17:$C$26,F2301)&gt;0,2,IF(COUNTIF(Настройки!$D$17:$D$26,F2301)&gt;0,3,0))))</f>
        <v/>
      </c>
      <c r="I2301">
        <f>IF(AND(ISNUMBER(A2301),ISNUMBER(B2301)),A2301*1000+B2301,"")</f>
        <v/>
      </c>
      <c r="J2301">
        <f>IF(I2301="","",IF(COUNTIF(I$2:I2301,I2301)=1,MAX(J$1:J2300)+1,""))</f>
        <v/>
      </c>
    </row>
    <row r="2302">
      <c r="A2302">
        <f>IFERROR(--SUBSTITUTE(SUBSTITUTE(TRIM(INDEX(INDIRECT("'Выгрузка'!A2302:Z2302"),Настройки!$B$7)),",","."),".",MID(1/2,2,1)),"")</f>
        <v/>
      </c>
      <c r="B2302">
        <f>IFERROR(--SUBSTITUTE(SUBSTITUTE(TRIM(INDEX(INDIRECT("'Выгрузка'!A2302:Z2302"),Настройки!$B$9)),",","."),".",MID(1/2,2,1)),"")</f>
        <v/>
      </c>
      <c r="C2302">
        <f>TRIM(INDEX(INDIRECT("'Выгрузка'!A2302:Z2302"),Настройки!$B$8)&amp;"")</f>
        <v/>
      </c>
      <c r="D2302">
        <f>IFERROR(--SUBSTITUTE(SUBSTITUTE(TRIM(INDEX(INDIRECT("'Выгрузка'!A2302:Z2302"),Настройки!$B$10)),",","."),".",MID(1/2,2,1)),"")</f>
        <v/>
      </c>
      <c r="E2302">
        <f>IFERROR(--SUBSTITUTE(SUBSTITUTE(TRIM(INDEX(INDIRECT("'Выгрузка'!A2302:Z2302"),Настройки!$B$11)),",","."),".",MID(1/2,2,1)),"")</f>
        <v/>
      </c>
      <c r="F2302">
        <f>TRIM(INDEX(INDIRECT("'Выгрузка'!A2302:Z2302"),Настройки!$B$12)&amp;"")</f>
        <v/>
      </c>
      <c r="G2302">
        <f>IF(F2302="",0,IF(TRIM(INDEX(INDIRECT("'Выгрузка'!A2302:Z2302"),Настройки!$B$13)&amp;"")="",1,IFERROR(--SUBSTITUTE(SUBSTITUTE(TRIM(INDEX(INDIRECT("'Выгрузка'!A2302:Z2302"),Настройки!$B$13)),",","."),".",MID(1/2,2,1)),"")))</f>
        <v/>
      </c>
      <c r="H2302">
        <f>IF(F2302="",0,IF(COUNTIF(Настройки!$B$17:$B$26,F2302)&gt;0,1,IF(COUNTIF(Настройки!$C$17:$C$26,F2302)&gt;0,2,IF(COUNTIF(Настройки!$D$17:$D$26,F2302)&gt;0,3,0))))</f>
        <v/>
      </c>
      <c r="I2302">
        <f>IF(AND(ISNUMBER(A2302),ISNUMBER(B2302)),A2302*1000+B2302,"")</f>
        <v/>
      </c>
      <c r="J2302">
        <f>IF(I2302="","",IF(COUNTIF(I$2:I2302,I2302)=1,MAX(J$1:J2301)+1,""))</f>
        <v/>
      </c>
    </row>
    <row r="2303">
      <c r="A2303">
        <f>IFERROR(--SUBSTITUTE(SUBSTITUTE(TRIM(INDEX(INDIRECT("'Выгрузка'!A2303:Z2303"),Настройки!$B$7)),",","."),".",MID(1/2,2,1)),"")</f>
        <v/>
      </c>
      <c r="B2303">
        <f>IFERROR(--SUBSTITUTE(SUBSTITUTE(TRIM(INDEX(INDIRECT("'Выгрузка'!A2303:Z2303"),Настройки!$B$9)),",","."),".",MID(1/2,2,1)),"")</f>
        <v/>
      </c>
      <c r="C2303">
        <f>TRIM(INDEX(INDIRECT("'Выгрузка'!A2303:Z2303"),Настройки!$B$8)&amp;"")</f>
        <v/>
      </c>
      <c r="D2303">
        <f>IFERROR(--SUBSTITUTE(SUBSTITUTE(TRIM(INDEX(INDIRECT("'Выгрузка'!A2303:Z2303"),Настройки!$B$10)),",","."),".",MID(1/2,2,1)),"")</f>
        <v/>
      </c>
      <c r="E2303">
        <f>IFERROR(--SUBSTITUTE(SUBSTITUTE(TRIM(INDEX(INDIRECT("'Выгрузка'!A2303:Z2303"),Настройки!$B$11)),",","."),".",MID(1/2,2,1)),"")</f>
        <v/>
      </c>
      <c r="F2303">
        <f>TRIM(INDEX(INDIRECT("'Выгрузка'!A2303:Z2303"),Настройки!$B$12)&amp;"")</f>
        <v/>
      </c>
      <c r="G2303">
        <f>IF(F2303="",0,IF(TRIM(INDEX(INDIRECT("'Выгрузка'!A2303:Z2303"),Настройки!$B$13)&amp;"")="",1,IFERROR(--SUBSTITUTE(SUBSTITUTE(TRIM(INDEX(INDIRECT("'Выгрузка'!A2303:Z2303"),Настройки!$B$13)),",","."),".",MID(1/2,2,1)),"")))</f>
        <v/>
      </c>
      <c r="H2303">
        <f>IF(F2303="",0,IF(COUNTIF(Настройки!$B$17:$B$26,F2303)&gt;0,1,IF(COUNTIF(Настройки!$C$17:$C$26,F2303)&gt;0,2,IF(COUNTIF(Настройки!$D$17:$D$26,F2303)&gt;0,3,0))))</f>
        <v/>
      </c>
      <c r="I2303">
        <f>IF(AND(ISNUMBER(A2303),ISNUMBER(B2303)),A2303*1000+B2303,"")</f>
        <v/>
      </c>
      <c r="J2303">
        <f>IF(I2303="","",IF(COUNTIF(I$2:I2303,I2303)=1,MAX(J$1:J2302)+1,""))</f>
        <v/>
      </c>
    </row>
    <row r="2304">
      <c r="A2304">
        <f>IFERROR(--SUBSTITUTE(SUBSTITUTE(TRIM(INDEX(INDIRECT("'Выгрузка'!A2304:Z2304"),Настройки!$B$7)),",","."),".",MID(1/2,2,1)),"")</f>
        <v/>
      </c>
      <c r="B2304">
        <f>IFERROR(--SUBSTITUTE(SUBSTITUTE(TRIM(INDEX(INDIRECT("'Выгрузка'!A2304:Z2304"),Настройки!$B$9)),",","."),".",MID(1/2,2,1)),"")</f>
        <v/>
      </c>
      <c r="C2304">
        <f>TRIM(INDEX(INDIRECT("'Выгрузка'!A2304:Z2304"),Настройки!$B$8)&amp;"")</f>
        <v/>
      </c>
      <c r="D2304">
        <f>IFERROR(--SUBSTITUTE(SUBSTITUTE(TRIM(INDEX(INDIRECT("'Выгрузка'!A2304:Z2304"),Настройки!$B$10)),",","."),".",MID(1/2,2,1)),"")</f>
        <v/>
      </c>
      <c r="E2304">
        <f>IFERROR(--SUBSTITUTE(SUBSTITUTE(TRIM(INDEX(INDIRECT("'Выгрузка'!A2304:Z2304"),Настройки!$B$11)),",","."),".",MID(1/2,2,1)),"")</f>
        <v/>
      </c>
      <c r="F2304">
        <f>TRIM(INDEX(INDIRECT("'Выгрузка'!A2304:Z2304"),Настройки!$B$12)&amp;"")</f>
        <v/>
      </c>
      <c r="G2304">
        <f>IF(F2304="",0,IF(TRIM(INDEX(INDIRECT("'Выгрузка'!A2304:Z2304"),Настройки!$B$13)&amp;"")="",1,IFERROR(--SUBSTITUTE(SUBSTITUTE(TRIM(INDEX(INDIRECT("'Выгрузка'!A2304:Z2304"),Настройки!$B$13)),",","."),".",MID(1/2,2,1)),"")))</f>
        <v/>
      </c>
      <c r="H2304">
        <f>IF(F2304="",0,IF(COUNTIF(Настройки!$B$17:$B$26,F2304)&gt;0,1,IF(COUNTIF(Настройки!$C$17:$C$26,F2304)&gt;0,2,IF(COUNTIF(Настройки!$D$17:$D$26,F2304)&gt;0,3,0))))</f>
        <v/>
      </c>
      <c r="I2304">
        <f>IF(AND(ISNUMBER(A2304),ISNUMBER(B2304)),A2304*1000+B2304,"")</f>
        <v/>
      </c>
      <c r="J2304">
        <f>IF(I2304="","",IF(COUNTIF(I$2:I2304,I2304)=1,MAX(J$1:J2303)+1,""))</f>
        <v/>
      </c>
    </row>
    <row r="2305">
      <c r="A2305">
        <f>IFERROR(--SUBSTITUTE(SUBSTITUTE(TRIM(INDEX(INDIRECT("'Выгрузка'!A2305:Z2305"),Настройки!$B$7)),",","."),".",MID(1/2,2,1)),"")</f>
        <v/>
      </c>
      <c r="B2305">
        <f>IFERROR(--SUBSTITUTE(SUBSTITUTE(TRIM(INDEX(INDIRECT("'Выгрузка'!A2305:Z2305"),Настройки!$B$9)),",","."),".",MID(1/2,2,1)),"")</f>
        <v/>
      </c>
      <c r="C2305">
        <f>TRIM(INDEX(INDIRECT("'Выгрузка'!A2305:Z2305"),Настройки!$B$8)&amp;"")</f>
        <v/>
      </c>
      <c r="D2305">
        <f>IFERROR(--SUBSTITUTE(SUBSTITUTE(TRIM(INDEX(INDIRECT("'Выгрузка'!A2305:Z2305"),Настройки!$B$10)),",","."),".",MID(1/2,2,1)),"")</f>
        <v/>
      </c>
      <c r="E2305">
        <f>IFERROR(--SUBSTITUTE(SUBSTITUTE(TRIM(INDEX(INDIRECT("'Выгрузка'!A2305:Z2305"),Настройки!$B$11)),",","."),".",MID(1/2,2,1)),"")</f>
        <v/>
      </c>
      <c r="F2305">
        <f>TRIM(INDEX(INDIRECT("'Выгрузка'!A2305:Z2305"),Настройки!$B$12)&amp;"")</f>
        <v/>
      </c>
      <c r="G2305">
        <f>IF(F2305="",0,IF(TRIM(INDEX(INDIRECT("'Выгрузка'!A2305:Z2305"),Настройки!$B$13)&amp;"")="",1,IFERROR(--SUBSTITUTE(SUBSTITUTE(TRIM(INDEX(INDIRECT("'Выгрузка'!A2305:Z2305"),Настройки!$B$13)),",","."),".",MID(1/2,2,1)),"")))</f>
        <v/>
      </c>
      <c r="H2305">
        <f>IF(F2305="",0,IF(COUNTIF(Настройки!$B$17:$B$26,F2305)&gt;0,1,IF(COUNTIF(Настройки!$C$17:$C$26,F2305)&gt;0,2,IF(COUNTIF(Настройки!$D$17:$D$26,F2305)&gt;0,3,0))))</f>
        <v/>
      </c>
      <c r="I2305">
        <f>IF(AND(ISNUMBER(A2305),ISNUMBER(B2305)),A2305*1000+B2305,"")</f>
        <v/>
      </c>
      <c r="J2305">
        <f>IF(I2305="","",IF(COUNTIF(I$2:I2305,I2305)=1,MAX(J$1:J2304)+1,""))</f>
        <v/>
      </c>
    </row>
    <row r="2306">
      <c r="A2306">
        <f>IFERROR(--SUBSTITUTE(SUBSTITUTE(TRIM(INDEX(INDIRECT("'Выгрузка'!A2306:Z2306"),Настройки!$B$7)),",","."),".",MID(1/2,2,1)),"")</f>
        <v/>
      </c>
      <c r="B2306">
        <f>IFERROR(--SUBSTITUTE(SUBSTITUTE(TRIM(INDEX(INDIRECT("'Выгрузка'!A2306:Z2306"),Настройки!$B$9)),",","."),".",MID(1/2,2,1)),"")</f>
        <v/>
      </c>
      <c r="C2306">
        <f>TRIM(INDEX(INDIRECT("'Выгрузка'!A2306:Z2306"),Настройки!$B$8)&amp;"")</f>
        <v/>
      </c>
      <c r="D2306">
        <f>IFERROR(--SUBSTITUTE(SUBSTITUTE(TRIM(INDEX(INDIRECT("'Выгрузка'!A2306:Z2306"),Настройки!$B$10)),",","."),".",MID(1/2,2,1)),"")</f>
        <v/>
      </c>
      <c r="E2306">
        <f>IFERROR(--SUBSTITUTE(SUBSTITUTE(TRIM(INDEX(INDIRECT("'Выгрузка'!A2306:Z2306"),Настройки!$B$11)),",","."),".",MID(1/2,2,1)),"")</f>
        <v/>
      </c>
      <c r="F2306">
        <f>TRIM(INDEX(INDIRECT("'Выгрузка'!A2306:Z2306"),Настройки!$B$12)&amp;"")</f>
        <v/>
      </c>
      <c r="G2306">
        <f>IF(F2306="",0,IF(TRIM(INDEX(INDIRECT("'Выгрузка'!A2306:Z2306"),Настройки!$B$13)&amp;"")="",1,IFERROR(--SUBSTITUTE(SUBSTITUTE(TRIM(INDEX(INDIRECT("'Выгрузка'!A2306:Z2306"),Настройки!$B$13)),",","."),".",MID(1/2,2,1)),"")))</f>
        <v/>
      </c>
      <c r="H2306">
        <f>IF(F2306="",0,IF(COUNTIF(Настройки!$B$17:$B$26,F2306)&gt;0,1,IF(COUNTIF(Настройки!$C$17:$C$26,F2306)&gt;0,2,IF(COUNTIF(Настройки!$D$17:$D$26,F2306)&gt;0,3,0))))</f>
        <v/>
      </c>
      <c r="I2306">
        <f>IF(AND(ISNUMBER(A2306),ISNUMBER(B2306)),A2306*1000+B2306,"")</f>
        <v/>
      </c>
      <c r="J2306">
        <f>IF(I2306="","",IF(COUNTIF(I$2:I2306,I2306)=1,MAX(J$1:J2305)+1,""))</f>
        <v/>
      </c>
    </row>
    <row r="2307">
      <c r="A2307">
        <f>IFERROR(--SUBSTITUTE(SUBSTITUTE(TRIM(INDEX(INDIRECT("'Выгрузка'!A2307:Z2307"),Настройки!$B$7)),",","."),".",MID(1/2,2,1)),"")</f>
        <v/>
      </c>
      <c r="B2307">
        <f>IFERROR(--SUBSTITUTE(SUBSTITUTE(TRIM(INDEX(INDIRECT("'Выгрузка'!A2307:Z2307"),Настройки!$B$9)),",","."),".",MID(1/2,2,1)),"")</f>
        <v/>
      </c>
      <c r="C2307">
        <f>TRIM(INDEX(INDIRECT("'Выгрузка'!A2307:Z2307"),Настройки!$B$8)&amp;"")</f>
        <v/>
      </c>
      <c r="D2307">
        <f>IFERROR(--SUBSTITUTE(SUBSTITUTE(TRIM(INDEX(INDIRECT("'Выгрузка'!A2307:Z2307"),Настройки!$B$10)),",","."),".",MID(1/2,2,1)),"")</f>
        <v/>
      </c>
      <c r="E2307">
        <f>IFERROR(--SUBSTITUTE(SUBSTITUTE(TRIM(INDEX(INDIRECT("'Выгрузка'!A2307:Z2307"),Настройки!$B$11)),",","."),".",MID(1/2,2,1)),"")</f>
        <v/>
      </c>
      <c r="F2307">
        <f>TRIM(INDEX(INDIRECT("'Выгрузка'!A2307:Z2307"),Настройки!$B$12)&amp;"")</f>
        <v/>
      </c>
      <c r="G2307">
        <f>IF(F2307="",0,IF(TRIM(INDEX(INDIRECT("'Выгрузка'!A2307:Z2307"),Настройки!$B$13)&amp;"")="",1,IFERROR(--SUBSTITUTE(SUBSTITUTE(TRIM(INDEX(INDIRECT("'Выгрузка'!A2307:Z2307"),Настройки!$B$13)),",","."),".",MID(1/2,2,1)),"")))</f>
        <v/>
      </c>
      <c r="H2307">
        <f>IF(F2307="",0,IF(COUNTIF(Настройки!$B$17:$B$26,F2307)&gt;0,1,IF(COUNTIF(Настройки!$C$17:$C$26,F2307)&gt;0,2,IF(COUNTIF(Настройки!$D$17:$D$26,F2307)&gt;0,3,0))))</f>
        <v/>
      </c>
      <c r="I2307">
        <f>IF(AND(ISNUMBER(A2307),ISNUMBER(B2307)),A2307*1000+B2307,"")</f>
        <v/>
      </c>
      <c r="J2307">
        <f>IF(I2307="","",IF(COUNTIF(I$2:I2307,I2307)=1,MAX(J$1:J2306)+1,""))</f>
        <v/>
      </c>
    </row>
    <row r="2308">
      <c r="A2308">
        <f>IFERROR(--SUBSTITUTE(SUBSTITUTE(TRIM(INDEX(INDIRECT("'Выгрузка'!A2308:Z2308"),Настройки!$B$7)),",","."),".",MID(1/2,2,1)),"")</f>
        <v/>
      </c>
      <c r="B2308">
        <f>IFERROR(--SUBSTITUTE(SUBSTITUTE(TRIM(INDEX(INDIRECT("'Выгрузка'!A2308:Z2308"),Настройки!$B$9)),",","."),".",MID(1/2,2,1)),"")</f>
        <v/>
      </c>
      <c r="C2308">
        <f>TRIM(INDEX(INDIRECT("'Выгрузка'!A2308:Z2308"),Настройки!$B$8)&amp;"")</f>
        <v/>
      </c>
      <c r="D2308">
        <f>IFERROR(--SUBSTITUTE(SUBSTITUTE(TRIM(INDEX(INDIRECT("'Выгрузка'!A2308:Z2308"),Настройки!$B$10)),",","."),".",MID(1/2,2,1)),"")</f>
        <v/>
      </c>
      <c r="E2308">
        <f>IFERROR(--SUBSTITUTE(SUBSTITUTE(TRIM(INDEX(INDIRECT("'Выгрузка'!A2308:Z2308"),Настройки!$B$11)),",","."),".",MID(1/2,2,1)),"")</f>
        <v/>
      </c>
      <c r="F2308">
        <f>TRIM(INDEX(INDIRECT("'Выгрузка'!A2308:Z2308"),Настройки!$B$12)&amp;"")</f>
        <v/>
      </c>
      <c r="G2308">
        <f>IF(F2308="",0,IF(TRIM(INDEX(INDIRECT("'Выгрузка'!A2308:Z2308"),Настройки!$B$13)&amp;"")="",1,IFERROR(--SUBSTITUTE(SUBSTITUTE(TRIM(INDEX(INDIRECT("'Выгрузка'!A2308:Z2308"),Настройки!$B$13)),",","."),".",MID(1/2,2,1)),"")))</f>
        <v/>
      </c>
      <c r="H2308">
        <f>IF(F2308="",0,IF(COUNTIF(Настройки!$B$17:$B$26,F2308)&gt;0,1,IF(COUNTIF(Настройки!$C$17:$C$26,F2308)&gt;0,2,IF(COUNTIF(Настройки!$D$17:$D$26,F2308)&gt;0,3,0))))</f>
        <v/>
      </c>
      <c r="I2308">
        <f>IF(AND(ISNUMBER(A2308),ISNUMBER(B2308)),A2308*1000+B2308,"")</f>
        <v/>
      </c>
      <c r="J2308">
        <f>IF(I2308="","",IF(COUNTIF(I$2:I2308,I2308)=1,MAX(J$1:J2307)+1,""))</f>
        <v/>
      </c>
    </row>
    <row r="2309">
      <c r="A2309">
        <f>IFERROR(--SUBSTITUTE(SUBSTITUTE(TRIM(INDEX(INDIRECT("'Выгрузка'!A2309:Z2309"),Настройки!$B$7)),",","."),".",MID(1/2,2,1)),"")</f>
        <v/>
      </c>
      <c r="B2309">
        <f>IFERROR(--SUBSTITUTE(SUBSTITUTE(TRIM(INDEX(INDIRECT("'Выгрузка'!A2309:Z2309"),Настройки!$B$9)),",","."),".",MID(1/2,2,1)),"")</f>
        <v/>
      </c>
      <c r="C2309">
        <f>TRIM(INDEX(INDIRECT("'Выгрузка'!A2309:Z2309"),Настройки!$B$8)&amp;"")</f>
        <v/>
      </c>
      <c r="D2309">
        <f>IFERROR(--SUBSTITUTE(SUBSTITUTE(TRIM(INDEX(INDIRECT("'Выгрузка'!A2309:Z2309"),Настройки!$B$10)),",","."),".",MID(1/2,2,1)),"")</f>
        <v/>
      </c>
      <c r="E2309">
        <f>IFERROR(--SUBSTITUTE(SUBSTITUTE(TRIM(INDEX(INDIRECT("'Выгрузка'!A2309:Z2309"),Настройки!$B$11)),",","."),".",MID(1/2,2,1)),"")</f>
        <v/>
      </c>
      <c r="F2309">
        <f>TRIM(INDEX(INDIRECT("'Выгрузка'!A2309:Z2309"),Настройки!$B$12)&amp;"")</f>
        <v/>
      </c>
      <c r="G2309">
        <f>IF(F2309="",0,IF(TRIM(INDEX(INDIRECT("'Выгрузка'!A2309:Z2309"),Настройки!$B$13)&amp;"")="",1,IFERROR(--SUBSTITUTE(SUBSTITUTE(TRIM(INDEX(INDIRECT("'Выгрузка'!A2309:Z2309"),Настройки!$B$13)),",","."),".",MID(1/2,2,1)),"")))</f>
        <v/>
      </c>
      <c r="H2309">
        <f>IF(F2309="",0,IF(COUNTIF(Настройки!$B$17:$B$26,F2309)&gt;0,1,IF(COUNTIF(Настройки!$C$17:$C$26,F2309)&gt;0,2,IF(COUNTIF(Настройки!$D$17:$D$26,F2309)&gt;0,3,0))))</f>
        <v/>
      </c>
      <c r="I2309">
        <f>IF(AND(ISNUMBER(A2309),ISNUMBER(B2309)),A2309*1000+B2309,"")</f>
        <v/>
      </c>
      <c r="J2309">
        <f>IF(I2309="","",IF(COUNTIF(I$2:I2309,I2309)=1,MAX(J$1:J2308)+1,""))</f>
        <v/>
      </c>
    </row>
    <row r="2310">
      <c r="A2310">
        <f>IFERROR(--SUBSTITUTE(SUBSTITUTE(TRIM(INDEX(INDIRECT("'Выгрузка'!A2310:Z2310"),Настройки!$B$7)),",","."),".",MID(1/2,2,1)),"")</f>
        <v/>
      </c>
      <c r="B2310">
        <f>IFERROR(--SUBSTITUTE(SUBSTITUTE(TRIM(INDEX(INDIRECT("'Выгрузка'!A2310:Z2310"),Настройки!$B$9)),",","."),".",MID(1/2,2,1)),"")</f>
        <v/>
      </c>
      <c r="C2310">
        <f>TRIM(INDEX(INDIRECT("'Выгрузка'!A2310:Z2310"),Настройки!$B$8)&amp;"")</f>
        <v/>
      </c>
      <c r="D2310">
        <f>IFERROR(--SUBSTITUTE(SUBSTITUTE(TRIM(INDEX(INDIRECT("'Выгрузка'!A2310:Z2310"),Настройки!$B$10)),",","."),".",MID(1/2,2,1)),"")</f>
        <v/>
      </c>
      <c r="E2310">
        <f>IFERROR(--SUBSTITUTE(SUBSTITUTE(TRIM(INDEX(INDIRECT("'Выгрузка'!A2310:Z2310"),Настройки!$B$11)),",","."),".",MID(1/2,2,1)),"")</f>
        <v/>
      </c>
      <c r="F2310">
        <f>TRIM(INDEX(INDIRECT("'Выгрузка'!A2310:Z2310"),Настройки!$B$12)&amp;"")</f>
        <v/>
      </c>
      <c r="G2310">
        <f>IF(F2310="",0,IF(TRIM(INDEX(INDIRECT("'Выгрузка'!A2310:Z2310"),Настройки!$B$13)&amp;"")="",1,IFERROR(--SUBSTITUTE(SUBSTITUTE(TRIM(INDEX(INDIRECT("'Выгрузка'!A2310:Z2310"),Настройки!$B$13)),",","."),".",MID(1/2,2,1)),"")))</f>
        <v/>
      </c>
      <c r="H2310">
        <f>IF(F2310="",0,IF(COUNTIF(Настройки!$B$17:$B$26,F2310)&gt;0,1,IF(COUNTIF(Настройки!$C$17:$C$26,F2310)&gt;0,2,IF(COUNTIF(Настройки!$D$17:$D$26,F2310)&gt;0,3,0))))</f>
        <v/>
      </c>
      <c r="I2310">
        <f>IF(AND(ISNUMBER(A2310),ISNUMBER(B2310)),A2310*1000+B2310,"")</f>
        <v/>
      </c>
      <c r="J2310">
        <f>IF(I2310="","",IF(COUNTIF(I$2:I2310,I2310)=1,MAX(J$1:J2309)+1,""))</f>
        <v/>
      </c>
    </row>
    <row r="2311">
      <c r="A2311">
        <f>IFERROR(--SUBSTITUTE(SUBSTITUTE(TRIM(INDEX(INDIRECT("'Выгрузка'!A2311:Z2311"),Настройки!$B$7)),",","."),".",MID(1/2,2,1)),"")</f>
        <v/>
      </c>
      <c r="B2311">
        <f>IFERROR(--SUBSTITUTE(SUBSTITUTE(TRIM(INDEX(INDIRECT("'Выгрузка'!A2311:Z2311"),Настройки!$B$9)),",","."),".",MID(1/2,2,1)),"")</f>
        <v/>
      </c>
      <c r="C2311">
        <f>TRIM(INDEX(INDIRECT("'Выгрузка'!A2311:Z2311"),Настройки!$B$8)&amp;"")</f>
        <v/>
      </c>
      <c r="D2311">
        <f>IFERROR(--SUBSTITUTE(SUBSTITUTE(TRIM(INDEX(INDIRECT("'Выгрузка'!A2311:Z2311"),Настройки!$B$10)),",","."),".",MID(1/2,2,1)),"")</f>
        <v/>
      </c>
      <c r="E2311">
        <f>IFERROR(--SUBSTITUTE(SUBSTITUTE(TRIM(INDEX(INDIRECT("'Выгрузка'!A2311:Z2311"),Настройки!$B$11)),",","."),".",MID(1/2,2,1)),"")</f>
        <v/>
      </c>
      <c r="F2311">
        <f>TRIM(INDEX(INDIRECT("'Выгрузка'!A2311:Z2311"),Настройки!$B$12)&amp;"")</f>
        <v/>
      </c>
      <c r="G2311">
        <f>IF(F2311="",0,IF(TRIM(INDEX(INDIRECT("'Выгрузка'!A2311:Z2311"),Настройки!$B$13)&amp;"")="",1,IFERROR(--SUBSTITUTE(SUBSTITUTE(TRIM(INDEX(INDIRECT("'Выгрузка'!A2311:Z2311"),Настройки!$B$13)),",","."),".",MID(1/2,2,1)),"")))</f>
        <v/>
      </c>
      <c r="H2311">
        <f>IF(F2311="",0,IF(COUNTIF(Настройки!$B$17:$B$26,F2311)&gt;0,1,IF(COUNTIF(Настройки!$C$17:$C$26,F2311)&gt;0,2,IF(COUNTIF(Настройки!$D$17:$D$26,F2311)&gt;0,3,0))))</f>
        <v/>
      </c>
      <c r="I2311">
        <f>IF(AND(ISNUMBER(A2311),ISNUMBER(B2311)),A2311*1000+B2311,"")</f>
        <v/>
      </c>
      <c r="J2311">
        <f>IF(I2311="","",IF(COUNTIF(I$2:I2311,I2311)=1,MAX(J$1:J2310)+1,""))</f>
        <v/>
      </c>
    </row>
    <row r="2312">
      <c r="A2312">
        <f>IFERROR(--SUBSTITUTE(SUBSTITUTE(TRIM(INDEX(INDIRECT("'Выгрузка'!A2312:Z2312"),Настройки!$B$7)),",","."),".",MID(1/2,2,1)),"")</f>
        <v/>
      </c>
      <c r="B2312">
        <f>IFERROR(--SUBSTITUTE(SUBSTITUTE(TRIM(INDEX(INDIRECT("'Выгрузка'!A2312:Z2312"),Настройки!$B$9)),",","."),".",MID(1/2,2,1)),"")</f>
        <v/>
      </c>
      <c r="C2312">
        <f>TRIM(INDEX(INDIRECT("'Выгрузка'!A2312:Z2312"),Настройки!$B$8)&amp;"")</f>
        <v/>
      </c>
      <c r="D2312">
        <f>IFERROR(--SUBSTITUTE(SUBSTITUTE(TRIM(INDEX(INDIRECT("'Выгрузка'!A2312:Z2312"),Настройки!$B$10)),",","."),".",MID(1/2,2,1)),"")</f>
        <v/>
      </c>
      <c r="E2312">
        <f>IFERROR(--SUBSTITUTE(SUBSTITUTE(TRIM(INDEX(INDIRECT("'Выгрузка'!A2312:Z2312"),Настройки!$B$11)),",","."),".",MID(1/2,2,1)),"")</f>
        <v/>
      </c>
      <c r="F2312">
        <f>TRIM(INDEX(INDIRECT("'Выгрузка'!A2312:Z2312"),Настройки!$B$12)&amp;"")</f>
        <v/>
      </c>
      <c r="G2312">
        <f>IF(F2312="",0,IF(TRIM(INDEX(INDIRECT("'Выгрузка'!A2312:Z2312"),Настройки!$B$13)&amp;"")="",1,IFERROR(--SUBSTITUTE(SUBSTITUTE(TRIM(INDEX(INDIRECT("'Выгрузка'!A2312:Z2312"),Настройки!$B$13)),",","."),".",MID(1/2,2,1)),"")))</f>
        <v/>
      </c>
      <c r="H2312">
        <f>IF(F2312="",0,IF(COUNTIF(Настройки!$B$17:$B$26,F2312)&gt;0,1,IF(COUNTIF(Настройки!$C$17:$C$26,F2312)&gt;0,2,IF(COUNTIF(Настройки!$D$17:$D$26,F2312)&gt;0,3,0))))</f>
        <v/>
      </c>
      <c r="I2312">
        <f>IF(AND(ISNUMBER(A2312),ISNUMBER(B2312)),A2312*1000+B2312,"")</f>
        <v/>
      </c>
      <c r="J2312">
        <f>IF(I2312="","",IF(COUNTIF(I$2:I2312,I2312)=1,MAX(J$1:J2311)+1,""))</f>
        <v/>
      </c>
    </row>
    <row r="2313">
      <c r="A2313">
        <f>IFERROR(--SUBSTITUTE(SUBSTITUTE(TRIM(INDEX(INDIRECT("'Выгрузка'!A2313:Z2313"),Настройки!$B$7)),",","."),".",MID(1/2,2,1)),"")</f>
        <v/>
      </c>
      <c r="B2313">
        <f>IFERROR(--SUBSTITUTE(SUBSTITUTE(TRIM(INDEX(INDIRECT("'Выгрузка'!A2313:Z2313"),Настройки!$B$9)),",","."),".",MID(1/2,2,1)),"")</f>
        <v/>
      </c>
      <c r="C2313">
        <f>TRIM(INDEX(INDIRECT("'Выгрузка'!A2313:Z2313"),Настройки!$B$8)&amp;"")</f>
        <v/>
      </c>
      <c r="D2313">
        <f>IFERROR(--SUBSTITUTE(SUBSTITUTE(TRIM(INDEX(INDIRECT("'Выгрузка'!A2313:Z2313"),Настройки!$B$10)),",","."),".",MID(1/2,2,1)),"")</f>
        <v/>
      </c>
      <c r="E2313">
        <f>IFERROR(--SUBSTITUTE(SUBSTITUTE(TRIM(INDEX(INDIRECT("'Выгрузка'!A2313:Z2313"),Настройки!$B$11)),",","."),".",MID(1/2,2,1)),"")</f>
        <v/>
      </c>
      <c r="F2313">
        <f>TRIM(INDEX(INDIRECT("'Выгрузка'!A2313:Z2313"),Настройки!$B$12)&amp;"")</f>
        <v/>
      </c>
      <c r="G2313">
        <f>IF(F2313="",0,IF(TRIM(INDEX(INDIRECT("'Выгрузка'!A2313:Z2313"),Настройки!$B$13)&amp;"")="",1,IFERROR(--SUBSTITUTE(SUBSTITUTE(TRIM(INDEX(INDIRECT("'Выгрузка'!A2313:Z2313"),Настройки!$B$13)),",","."),".",MID(1/2,2,1)),"")))</f>
        <v/>
      </c>
      <c r="H2313">
        <f>IF(F2313="",0,IF(COUNTIF(Настройки!$B$17:$B$26,F2313)&gt;0,1,IF(COUNTIF(Настройки!$C$17:$C$26,F2313)&gt;0,2,IF(COUNTIF(Настройки!$D$17:$D$26,F2313)&gt;0,3,0))))</f>
        <v/>
      </c>
      <c r="I2313">
        <f>IF(AND(ISNUMBER(A2313),ISNUMBER(B2313)),A2313*1000+B2313,"")</f>
        <v/>
      </c>
      <c r="J2313">
        <f>IF(I2313="","",IF(COUNTIF(I$2:I2313,I2313)=1,MAX(J$1:J2312)+1,""))</f>
        <v/>
      </c>
    </row>
    <row r="2314">
      <c r="A2314">
        <f>IFERROR(--SUBSTITUTE(SUBSTITUTE(TRIM(INDEX(INDIRECT("'Выгрузка'!A2314:Z2314"),Настройки!$B$7)),",","."),".",MID(1/2,2,1)),"")</f>
        <v/>
      </c>
      <c r="B2314">
        <f>IFERROR(--SUBSTITUTE(SUBSTITUTE(TRIM(INDEX(INDIRECT("'Выгрузка'!A2314:Z2314"),Настройки!$B$9)),",","."),".",MID(1/2,2,1)),"")</f>
        <v/>
      </c>
      <c r="C2314">
        <f>TRIM(INDEX(INDIRECT("'Выгрузка'!A2314:Z2314"),Настройки!$B$8)&amp;"")</f>
        <v/>
      </c>
      <c r="D2314">
        <f>IFERROR(--SUBSTITUTE(SUBSTITUTE(TRIM(INDEX(INDIRECT("'Выгрузка'!A2314:Z2314"),Настройки!$B$10)),",","."),".",MID(1/2,2,1)),"")</f>
        <v/>
      </c>
      <c r="E2314">
        <f>IFERROR(--SUBSTITUTE(SUBSTITUTE(TRIM(INDEX(INDIRECT("'Выгрузка'!A2314:Z2314"),Настройки!$B$11)),",","."),".",MID(1/2,2,1)),"")</f>
        <v/>
      </c>
      <c r="F2314">
        <f>TRIM(INDEX(INDIRECT("'Выгрузка'!A2314:Z2314"),Настройки!$B$12)&amp;"")</f>
        <v/>
      </c>
      <c r="G2314">
        <f>IF(F2314="",0,IF(TRIM(INDEX(INDIRECT("'Выгрузка'!A2314:Z2314"),Настройки!$B$13)&amp;"")="",1,IFERROR(--SUBSTITUTE(SUBSTITUTE(TRIM(INDEX(INDIRECT("'Выгрузка'!A2314:Z2314"),Настройки!$B$13)),",","."),".",MID(1/2,2,1)),"")))</f>
        <v/>
      </c>
      <c r="H2314">
        <f>IF(F2314="",0,IF(COUNTIF(Настройки!$B$17:$B$26,F2314)&gt;0,1,IF(COUNTIF(Настройки!$C$17:$C$26,F2314)&gt;0,2,IF(COUNTIF(Настройки!$D$17:$D$26,F2314)&gt;0,3,0))))</f>
        <v/>
      </c>
      <c r="I2314">
        <f>IF(AND(ISNUMBER(A2314),ISNUMBER(B2314)),A2314*1000+B2314,"")</f>
        <v/>
      </c>
      <c r="J2314">
        <f>IF(I2314="","",IF(COUNTIF(I$2:I2314,I2314)=1,MAX(J$1:J2313)+1,""))</f>
        <v/>
      </c>
    </row>
    <row r="2315">
      <c r="A2315">
        <f>IFERROR(--SUBSTITUTE(SUBSTITUTE(TRIM(INDEX(INDIRECT("'Выгрузка'!A2315:Z2315"),Настройки!$B$7)),",","."),".",MID(1/2,2,1)),"")</f>
        <v/>
      </c>
      <c r="B2315">
        <f>IFERROR(--SUBSTITUTE(SUBSTITUTE(TRIM(INDEX(INDIRECT("'Выгрузка'!A2315:Z2315"),Настройки!$B$9)),",","."),".",MID(1/2,2,1)),"")</f>
        <v/>
      </c>
      <c r="C2315">
        <f>TRIM(INDEX(INDIRECT("'Выгрузка'!A2315:Z2315"),Настройки!$B$8)&amp;"")</f>
        <v/>
      </c>
      <c r="D2315">
        <f>IFERROR(--SUBSTITUTE(SUBSTITUTE(TRIM(INDEX(INDIRECT("'Выгрузка'!A2315:Z2315"),Настройки!$B$10)),",","."),".",MID(1/2,2,1)),"")</f>
        <v/>
      </c>
      <c r="E2315">
        <f>IFERROR(--SUBSTITUTE(SUBSTITUTE(TRIM(INDEX(INDIRECT("'Выгрузка'!A2315:Z2315"),Настройки!$B$11)),",","."),".",MID(1/2,2,1)),"")</f>
        <v/>
      </c>
      <c r="F2315">
        <f>TRIM(INDEX(INDIRECT("'Выгрузка'!A2315:Z2315"),Настройки!$B$12)&amp;"")</f>
        <v/>
      </c>
      <c r="G2315">
        <f>IF(F2315="",0,IF(TRIM(INDEX(INDIRECT("'Выгрузка'!A2315:Z2315"),Настройки!$B$13)&amp;"")="",1,IFERROR(--SUBSTITUTE(SUBSTITUTE(TRIM(INDEX(INDIRECT("'Выгрузка'!A2315:Z2315"),Настройки!$B$13)),",","."),".",MID(1/2,2,1)),"")))</f>
        <v/>
      </c>
      <c r="H2315">
        <f>IF(F2315="",0,IF(COUNTIF(Настройки!$B$17:$B$26,F2315)&gt;0,1,IF(COUNTIF(Настройки!$C$17:$C$26,F2315)&gt;0,2,IF(COUNTIF(Настройки!$D$17:$D$26,F2315)&gt;0,3,0))))</f>
        <v/>
      </c>
      <c r="I2315">
        <f>IF(AND(ISNUMBER(A2315),ISNUMBER(B2315)),A2315*1000+B2315,"")</f>
        <v/>
      </c>
      <c r="J2315">
        <f>IF(I2315="","",IF(COUNTIF(I$2:I2315,I2315)=1,MAX(J$1:J2314)+1,""))</f>
        <v/>
      </c>
    </row>
    <row r="2316">
      <c r="A2316">
        <f>IFERROR(--SUBSTITUTE(SUBSTITUTE(TRIM(INDEX(INDIRECT("'Выгрузка'!A2316:Z2316"),Настройки!$B$7)),",","."),".",MID(1/2,2,1)),"")</f>
        <v/>
      </c>
      <c r="B2316">
        <f>IFERROR(--SUBSTITUTE(SUBSTITUTE(TRIM(INDEX(INDIRECT("'Выгрузка'!A2316:Z2316"),Настройки!$B$9)),",","."),".",MID(1/2,2,1)),"")</f>
        <v/>
      </c>
      <c r="C2316">
        <f>TRIM(INDEX(INDIRECT("'Выгрузка'!A2316:Z2316"),Настройки!$B$8)&amp;"")</f>
        <v/>
      </c>
      <c r="D2316">
        <f>IFERROR(--SUBSTITUTE(SUBSTITUTE(TRIM(INDEX(INDIRECT("'Выгрузка'!A2316:Z2316"),Настройки!$B$10)),",","."),".",MID(1/2,2,1)),"")</f>
        <v/>
      </c>
      <c r="E2316">
        <f>IFERROR(--SUBSTITUTE(SUBSTITUTE(TRIM(INDEX(INDIRECT("'Выгрузка'!A2316:Z2316"),Настройки!$B$11)),",","."),".",MID(1/2,2,1)),"")</f>
        <v/>
      </c>
      <c r="F2316">
        <f>TRIM(INDEX(INDIRECT("'Выгрузка'!A2316:Z2316"),Настройки!$B$12)&amp;"")</f>
        <v/>
      </c>
      <c r="G2316">
        <f>IF(F2316="",0,IF(TRIM(INDEX(INDIRECT("'Выгрузка'!A2316:Z2316"),Настройки!$B$13)&amp;"")="",1,IFERROR(--SUBSTITUTE(SUBSTITUTE(TRIM(INDEX(INDIRECT("'Выгрузка'!A2316:Z2316"),Настройки!$B$13)),",","."),".",MID(1/2,2,1)),"")))</f>
        <v/>
      </c>
      <c r="H2316">
        <f>IF(F2316="",0,IF(COUNTIF(Настройки!$B$17:$B$26,F2316)&gt;0,1,IF(COUNTIF(Настройки!$C$17:$C$26,F2316)&gt;0,2,IF(COUNTIF(Настройки!$D$17:$D$26,F2316)&gt;0,3,0))))</f>
        <v/>
      </c>
      <c r="I2316">
        <f>IF(AND(ISNUMBER(A2316),ISNUMBER(B2316)),A2316*1000+B2316,"")</f>
        <v/>
      </c>
      <c r="J2316">
        <f>IF(I2316="","",IF(COUNTIF(I$2:I2316,I2316)=1,MAX(J$1:J2315)+1,""))</f>
        <v/>
      </c>
    </row>
    <row r="2317">
      <c r="A2317">
        <f>IFERROR(--SUBSTITUTE(SUBSTITUTE(TRIM(INDEX(INDIRECT("'Выгрузка'!A2317:Z2317"),Настройки!$B$7)),",","."),".",MID(1/2,2,1)),"")</f>
        <v/>
      </c>
      <c r="B2317">
        <f>IFERROR(--SUBSTITUTE(SUBSTITUTE(TRIM(INDEX(INDIRECT("'Выгрузка'!A2317:Z2317"),Настройки!$B$9)),",","."),".",MID(1/2,2,1)),"")</f>
        <v/>
      </c>
      <c r="C2317">
        <f>TRIM(INDEX(INDIRECT("'Выгрузка'!A2317:Z2317"),Настройки!$B$8)&amp;"")</f>
        <v/>
      </c>
      <c r="D2317">
        <f>IFERROR(--SUBSTITUTE(SUBSTITUTE(TRIM(INDEX(INDIRECT("'Выгрузка'!A2317:Z2317"),Настройки!$B$10)),",","."),".",MID(1/2,2,1)),"")</f>
        <v/>
      </c>
      <c r="E2317">
        <f>IFERROR(--SUBSTITUTE(SUBSTITUTE(TRIM(INDEX(INDIRECT("'Выгрузка'!A2317:Z2317"),Настройки!$B$11)),",","."),".",MID(1/2,2,1)),"")</f>
        <v/>
      </c>
      <c r="F2317">
        <f>TRIM(INDEX(INDIRECT("'Выгрузка'!A2317:Z2317"),Настройки!$B$12)&amp;"")</f>
        <v/>
      </c>
      <c r="G2317">
        <f>IF(F2317="",0,IF(TRIM(INDEX(INDIRECT("'Выгрузка'!A2317:Z2317"),Настройки!$B$13)&amp;"")="",1,IFERROR(--SUBSTITUTE(SUBSTITUTE(TRIM(INDEX(INDIRECT("'Выгрузка'!A2317:Z2317"),Настройки!$B$13)),",","."),".",MID(1/2,2,1)),"")))</f>
        <v/>
      </c>
      <c r="H2317">
        <f>IF(F2317="",0,IF(COUNTIF(Настройки!$B$17:$B$26,F2317)&gt;0,1,IF(COUNTIF(Настройки!$C$17:$C$26,F2317)&gt;0,2,IF(COUNTIF(Настройки!$D$17:$D$26,F2317)&gt;0,3,0))))</f>
        <v/>
      </c>
      <c r="I2317">
        <f>IF(AND(ISNUMBER(A2317),ISNUMBER(B2317)),A2317*1000+B2317,"")</f>
        <v/>
      </c>
      <c r="J2317">
        <f>IF(I2317="","",IF(COUNTIF(I$2:I2317,I2317)=1,MAX(J$1:J2316)+1,""))</f>
        <v/>
      </c>
    </row>
    <row r="2318">
      <c r="A2318">
        <f>IFERROR(--SUBSTITUTE(SUBSTITUTE(TRIM(INDEX(INDIRECT("'Выгрузка'!A2318:Z2318"),Настройки!$B$7)),",","."),".",MID(1/2,2,1)),"")</f>
        <v/>
      </c>
      <c r="B2318">
        <f>IFERROR(--SUBSTITUTE(SUBSTITUTE(TRIM(INDEX(INDIRECT("'Выгрузка'!A2318:Z2318"),Настройки!$B$9)),",","."),".",MID(1/2,2,1)),"")</f>
        <v/>
      </c>
      <c r="C2318">
        <f>TRIM(INDEX(INDIRECT("'Выгрузка'!A2318:Z2318"),Настройки!$B$8)&amp;"")</f>
        <v/>
      </c>
      <c r="D2318">
        <f>IFERROR(--SUBSTITUTE(SUBSTITUTE(TRIM(INDEX(INDIRECT("'Выгрузка'!A2318:Z2318"),Настройки!$B$10)),",","."),".",MID(1/2,2,1)),"")</f>
        <v/>
      </c>
      <c r="E2318">
        <f>IFERROR(--SUBSTITUTE(SUBSTITUTE(TRIM(INDEX(INDIRECT("'Выгрузка'!A2318:Z2318"),Настройки!$B$11)),",","."),".",MID(1/2,2,1)),"")</f>
        <v/>
      </c>
      <c r="F2318">
        <f>TRIM(INDEX(INDIRECT("'Выгрузка'!A2318:Z2318"),Настройки!$B$12)&amp;"")</f>
        <v/>
      </c>
      <c r="G2318">
        <f>IF(F2318="",0,IF(TRIM(INDEX(INDIRECT("'Выгрузка'!A2318:Z2318"),Настройки!$B$13)&amp;"")="",1,IFERROR(--SUBSTITUTE(SUBSTITUTE(TRIM(INDEX(INDIRECT("'Выгрузка'!A2318:Z2318"),Настройки!$B$13)),",","."),".",MID(1/2,2,1)),"")))</f>
        <v/>
      </c>
      <c r="H2318">
        <f>IF(F2318="",0,IF(COUNTIF(Настройки!$B$17:$B$26,F2318)&gt;0,1,IF(COUNTIF(Настройки!$C$17:$C$26,F2318)&gt;0,2,IF(COUNTIF(Настройки!$D$17:$D$26,F2318)&gt;0,3,0))))</f>
        <v/>
      </c>
      <c r="I2318">
        <f>IF(AND(ISNUMBER(A2318),ISNUMBER(B2318)),A2318*1000+B2318,"")</f>
        <v/>
      </c>
      <c r="J2318">
        <f>IF(I2318="","",IF(COUNTIF(I$2:I2318,I2318)=1,MAX(J$1:J2317)+1,""))</f>
        <v/>
      </c>
    </row>
    <row r="2319">
      <c r="A2319">
        <f>IFERROR(--SUBSTITUTE(SUBSTITUTE(TRIM(INDEX(INDIRECT("'Выгрузка'!A2319:Z2319"),Настройки!$B$7)),",","."),".",MID(1/2,2,1)),"")</f>
        <v/>
      </c>
      <c r="B2319">
        <f>IFERROR(--SUBSTITUTE(SUBSTITUTE(TRIM(INDEX(INDIRECT("'Выгрузка'!A2319:Z2319"),Настройки!$B$9)),",","."),".",MID(1/2,2,1)),"")</f>
        <v/>
      </c>
      <c r="C2319">
        <f>TRIM(INDEX(INDIRECT("'Выгрузка'!A2319:Z2319"),Настройки!$B$8)&amp;"")</f>
        <v/>
      </c>
      <c r="D2319">
        <f>IFERROR(--SUBSTITUTE(SUBSTITUTE(TRIM(INDEX(INDIRECT("'Выгрузка'!A2319:Z2319"),Настройки!$B$10)),",","."),".",MID(1/2,2,1)),"")</f>
        <v/>
      </c>
      <c r="E2319">
        <f>IFERROR(--SUBSTITUTE(SUBSTITUTE(TRIM(INDEX(INDIRECT("'Выгрузка'!A2319:Z2319"),Настройки!$B$11)),",","."),".",MID(1/2,2,1)),"")</f>
        <v/>
      </c>
      <c r="F2319">
        <f>TRIM(INDEX(INDIRECT("'Выгрузка'!A2319:Z2319"),Настройки!$B$12)&amp;"")</f>
        <v/>
      </c>
      <c r="G2319">
        <f>IF(F2319="",0,IF(TRIM(INDEX(INDIRECT("'Выгрузка'!A2319:Z2319"),Настройки!$B$13)&amp;"")="",1,IFERROR(--SUBSTITUTE(SUBSTITUTE(TRIM(INDEX(INDIRECT("'Выгрузка'!A2319:Z2319"),Настройки!$B$13)),",","."),".",MID(1/2,2,1)),"")))</f>
        <v/>
      </c>
      <c r="H2319">
        <f>IF(F2319="",0,IF(COUNTIF(Настройки!$B$17:$B$26,F2319)&gt;0,1,IF(COUNTIF(Настройки!$C$17:$C$26,F2319)&gt;0,2,IF(COUNTIF(Настройки!$D$17:$D$26,F2319)&gt;0,3,0))))</f>
        <v/>
      </c>
      <c r="I2319">
        <f>IF(AND(ISNUMBER(A2319),ISNUMBER(B2319)),A2319*1000+B2319,"")</f>
        <v/>
      </c>
      <c r="J2319">
        <f>IF(I2319="","",IF(COUNTIF(I$2:I2319,I2319)=1,MAX(J$1:J2318)+1,""))</f>
        <v/>
      </c>
    </row>
    <row r="2320">
      <c r="A2320">
        <f>IFERROR(--SUBSTITUTE(SUBSTITUTE(TRIM(INDEX(INDIRECT("'Выгрузка'!A2320:Z2320"),Настройки!$B$7)),",","."),".",MID(1/2,2,1)),"")</f>
        <v/>
      </c>
      <c r="B2320">
        <f>IFERROR(--SUBSTITUTE(SUBSTITUTE(TRIM(INDEX(INDIRECT("'Выгрузка'!A2320:Z2320"),Настройки!$B$9)),",","."),".",MID(1/2,2,1)),"")</f>
        <v/>
      </c>
      <c r="C2320">
        <f>TRIM(INDEX(INDIRECT("'Выгрузка'!A2320:Z2320"),Настройки!$B$8)&amp;"")</f>
        <v/>
      </c>
      <c r="D2320">
        <f>IFERROR(--SUBSTITUTE(SUBSTITUTE(TRIM(INDEX(INDIRECT("'Выгрузка'!A2320:Z2320"),Настройки!$B$10)),",","."),".",MID(1/2,2,1)),"")</f>
        <v/>
      </c>
      <c r="E2320">
        <f>IFERROR(--SUBSTITUTE(SUBSTITUTE(TRIM(INDEX(INDIRECT("'Выгрузка'!A2320:Z2320"),Настройки!$B$11)),",","."),".",MID(1/2,2,1)),"")</f>
        <v/>
      </c>
      <c r="F2320">
        <f>TRIM(INDEX(INDIRECT("'Выгрузка'!A2320:Z2320"),Настройки!$B$12)&amp;"")</f>
        <v/>
      </c>
      <c r="G2320">
        <f>IF(F2320="",0,IF(TRIM(INDEX(INDIRECT("'Выгрузка'!A2320:Z2320"),Настройки!$B$13)&amp;"")="",1,IFERROR(--SUBSTITUTE(SUBSTITUTE(TRIM(INDEX(INDIRECT("'Выгрузка'!A2320:Z2320"),Настройки!$B$13)),",","."),".",MID(1/2,2,1)),"")))</f>
        <v/>
      </c>
      <c r="H2320">
        <f>IF(F2320="",0,IF(COUNTIF(Настройки!$B$17:$B$26,F2320)&gt;0,1,IF(COUNTIF(Настройки!$C$17:$C$26,F2320)&gt;0,2,IF(COUNTIF(Настройки!$D$17:$D$26,F2320)&gt;0,3,0))))</f>
        <v/>
      </c>
      <c r="I2320">
        <f>IF(AND(ISNUMBER(A2320),ISNUMBER(B2320)),A2320*1000+B2320,"")</f>
        <v/>
      </c>
      <c r="J2320">
        <f>IF(I2320="","",IF(COUNTIF(I$2:I2320,I2320)=1,MAX(J$1:J2319)+1,""))</f>
        <v/>
      </c>
    </row>
    <row r="2321">
      <c r="A2321">
        <f>IFERROR(--SUBSTITUTE(SUBSTITUTE(TRIM(INDEX(INDIRECT("'Выгрузка'!A2321:Z2321"),Настройки!$B$7)),",","."),".",MID(1/2,2,1)),"")</f>
        <v/>
      </c>
      <c r="B2321">
        <f>IFERROR(--SUBSTITUTE(SUBSTITUTE(TRIM(INDEX(INDIRECT("'Выгрузка'!A2321:Z2321"),Настройки!$B$9)),",","."),".",MID(1/2,2,1)),"")</f>
        <v/>
      </c>
      <c r="C2321">
        <f>TRIM(INDEX(INDIRECT("'Выгрузка'!A2321:Z2321"),Настройки!$B$8)&amp;"")</f>
        <v/>
      </c>
      <c r="D2321">
        <f>IFERROR(--SUBSTITUTE(SUBSTITUTE(TRIM(INDEX(INDIRECT("'Выгрузка'!A2321:Z2321"),Настройки!$B$10)),",","."),".",MID(1/2,2,1)),"")</f>
        <v/>
      </c>
      <c r="E2321">
        <f>IFERROR(--SUBSTITUTE(SUBSTITUTE(TRIM(INDEX(INDIRECT("'Выгрузка'!A2321:Z2321"),Настройки!$B$11)),",","."),".",MID(1/2,2,1)),"")</f>
        <v/>
      </c>
      <c r="F2321">
        <f>TRIM(INDEX(INDIRECT("'Выгрузка'!A2321:Z2321"),Настройки!$B$12)&amp;"")</f>
        <v/>
      </c>
      <c r="G2321">
        <f>IF(F2321="",0,IF(TRIM(INDEX(INDIRECT("'Выгрузка'!A2321:Z2321"),Настройки!$B$13)&amp;"")="",1,IFERROR(--SUBSTITUTE(SUBSTITUTE(TRIM(INDEX(INDIRECT("'Выгрузка'!A2321:Z2321"),Настройки!$B$13)),",","."),".",MID(1/2,2,1)),"")))</f>
        <v/>
      </c>
      <c r="H2321">
        <f>IF(F2321="",0,IF(COUNTIF(Настройки!$B$17:$B$26,F2321)&gt;0,1,IF(COUNTIF(Настройки!$C$17:$C$26,F2321)&gt;0,2,IF(COUNTIF(Настройки!$D$17:$D$26,F2321)&gt;0,3,0))))</f>
        <v/>
      </c>
      <c r="I2321">
        <f>IF(AND(ISNUMBER(A2321),ISNUMBER(B2321)),A2321*1000+B2321,"")</f>
        <v/>
      </c>
      <c r="J2321">
        <f>IF(I2321="","",IF(COUNTIF(I$2:I2321,I2321)=1,MAX(J$1:J2320)+1,""))</f>
        <v/>
      </c>
    </row>
    <row r="2322">
      <c r="A2322">
        <f>IFERROR(--SUBSTITUTE(SUBSTITUTE(TRIM(INDEX(INDIRECT("'Выгрузка'!A2322:Z2322"),Настройки!$B$7)),",","."),".",MID(1/2,2,1)),"")</f>
        <v/>
      </c>
      <c r="B2322">
        <f>IFERROR(--SUBSTITUTE(SUBSTITUTE(TRIM(INDEX(INDIRECT("'Выгрузка'!A2322:Z2322"),Настройки!$B$9)),",","."),".",MID(1/2,2,1)),"")</f>
        <v/>
      </c>
      <c r="C2322">
        <f>TRIM(INDEX(INDIRECT("'Выгрузка'!A2322:Z2322"),Настройки!$B$8)&amp;"")</f>
        <v/>
      </c>
      <c r="D2322">
        <f>IFERROR(--SUBSTITUTE(SUBSTITUTE(TRIM(INDEX(INDIRECT("'Выгрузка'!A2322:Z2322"),Настройки!$B$10)),",","."),".",MID(1/2,2,1)),"")</f>
        <v/>
      </c>
      <c r="E2322">
        <f>IFERROR(--SUBSTITUTE(SUBSTITUTE(TRIM(INDEX(INDIRECT("'Выгрузка'!A2322:Z2322"),Настройки!$B$11)),",","."),".",MID(1/2,2,1)),"")</f>
        <v/>
      </c>
      <c r="F2322">
        <f>TRIM(INDEX(INDIRECT("'Выгрузка'!A2322:Z2322"),Настройки!$B$12)&amp;"")</f>
        <v/>
      </c>
      <c r="G2322">
        <f>IF(F2322="",0,IF(TRIM(INDEX(INDIRECT("'Выгрузка'!A2322:Z2322"),Настройки!$B$13)&amp;"")="",1,IFERROR(--SUBSTITUTE(SUBSTITUTE(TRIM(INDEX(INDIRECT("'Выгрузка'!A2322:Z2322"),Настройки!$B$13)),",","."),".",MID(1/2,2,1)),"")))</f>
        <v/>
      </c>
      <c r="H2322">
        <f>IF(F2322="",0,IF(COUNTIF(Настройки!$B$17:$B$26,F2322)&gt;0,1,IF(COUNTIF(Настройки!$C$17:$C$26,F2322)&gt;0,2,IF(COUNTIF(Настройки!$D$17:$D$26,F2322)&gt;0,3,0))))</f>
        <v/>
      </c>
      <c r="I2322">
        <f>IF(AND(ISNUMBER(A2322),ISNUMBER(B2322)),A2322*1000+B2322,"")</f>
        <v/>
      </c>
      <c r="J2322">
        <f>IF(I2322="","",IF(COUNTIF(I$2:I2322,I2322)=1,MAX(J$1:J2321)+1,""))</f>
        <v/>
      </c>
    </row>
    <row r="2323">
      <c r="A2323">
        <f>IFERROR(--SUBSTITUTE(SUBSTITUTE(TRIM(INDEX(INDIRECT("'Выгрузка'!A2323:Z2323"),Настройки!$B$7)),",","."),".",MID(1/2,2,1)),"")</f>
        <v/>
      </c>
      <c r="B2323">
        <f>IFERROR(--SUBSTITUTE(SUBSTITUTE(TRIM(INDEX(INDIRECT("'Выгрузка'!A2323:Z2323"),Настройки!$B$9)),",","."),".",MID(1/2,2,1)),"")</f>
        <v/>
      </c>
      <c r="C2323">
        <f>TRIM(INDEX(INDIRECT("'Выгрузка'!A2323:Z2323"),Настройки!$B$8)&amp;"")</f>
        <v/>
      </c>
      <c r="D2323">
        <f>IFERROR(--SUBSTITUTE(SUBSTITUTE(TRIM(INDEX(INDIRECT("'Выгрузка'!A2323:Z2323"),Настройки!$B$10)),",","."),".",MID(1/2,2,1)),"")</f>
        <v/>
      </c>
      <c r="E2323">
        <f>IFERROR(--SUBSTITUTE(SUBSTITUTE(TRIM(INDEX(INDIRECT("'Выгрузка'!A2323:Z2323"),Настройки!$B$11)),",","."),".",MID(1/2,2,1)),"")</f>
        <v/>
      </c>
      <c r="F2323">
        <f>TRIM(INDEX(INDIRECT("'Выгрузка'!A2323:Z2323"),Настройки!$B$12)&amp;"")</f>
        <v/>
      </c>
      <c r="G2323">
        <f>IF(F2323="",0,IF(TRIM(INDEX(INDIRECT("'Выгрузка'!A2323:Z2323"),Настройки!$B$13)&amp;"")="",1,IFERROR(--SUBSTITUTE(SUBSTITUTE(TRIM(INDEX(INDIRECT("'Выгрузка'!A2323:Z2323"),Настройки!$B$13)),",","."),".",MID(1/2,2,1)),"")))</f>
        <v/>
      </c>
      <c r="H2323">
        <f>IF(F2323="",0,IF(COUNTIF(Настройки!$B$17:$B$26,F2323)&gt;0,1,IF(COUNTIF(Настройки!$C$17:$C$26,F2323)&gt;0,2,IF(COUNTIF(Настройки!$D$17:$D$26,F2323)&gt;0,3,0))))</f>
        <v/>
      </c>
      <c r="I2323">
        <f>IF(AND(ISNUMBER(A2323),ISNUMBER(B2323)),A2323*1000+B2323,"")</f>
        <v/>
      </c>
      <c r="J2323">
        <f>IF(I2323="","",IF(COUNTIF(I$2:I2323,I2323)=1,MAX(J$1:J2322)+1,""))</f>
        <v/>
      </c>
    </row>
    <row r="2324">
      <c r="A2324">
        <f>IFERROR(--SUBSTITUTE(SUBSTITUTE(TRIM(INDEX(INDIRECT("'Выгрузка'!A2324:Z2324"),Настройки!$B$7)),",","."),".",MID(1/2,2,1)),"")</f>
        <v/>
      </c>
      <c r="B2324">
        <f>IFERROR(--SUBSTITUTE(SUBSTITUTE(TRIM(INDEX(INDIRECT("'Выгрузка'!A2324:Z2324"),Настройки!$B$9)),",","."),".",MID(1/2,2,1)),"")</f>
        <v/>
      </c>
      <c r="C2324">
        <f>TRIM(INDEX(INDIRECT("'Выгрузка'!A2324:Z2324"),Настройки!$B$8)&amp;"")</f>
        <v/>
      </c>
      <c r="D2324">
        <f>IFERROR(--SUBSTITUTE(SUBSTITUTE(TRIM(INDEX(INDIRECT("'Выгрузка'!A2324:Z2324"),Настройки!$B$10)),",","."),".",MID(1/2,2,1)),"")</f>
        <v/>
      </c>
      <c r="E2324">
        <f>IFERROR(--SUBSTITUTE(SUBSTITUTE(TRIM(INDEX(INDIRECT("'Выгрузка'!A2324:Z2324"),Настройки!$B$11)),",","."),".",MID(1/2,2,1)),"")</f>
        <v/>
      </c>
      <c r="F2324">
        <f>TRIM(INDEX(INDIRECT("'Выгрузка'!A2324:Z2324"),Настройки!$B$12)&amp;"")</f>
        <v/>
      </c>
      <c r="G2324">
        <f>IF(F2324="",0,IF(TRIM(INDEX(INDIRECT("'Выгрузка'!A2324:Z2324"),Настройки!$B$13)&amp;"")="",1,IFERROR(--SUBSTITUTE(SUBSTITUTE(TRIM(INDEX(INDIRECT("'Выгрузка'!A2324:Z2324"),Настройки!$B$13)),",","."),".",MID(1/2,2,1)),"")))</f>
        <v/>
      </c>
      <c r="H2324">
        <f>IF(F2324="",0,IF(COUNTIF(Настройки!$B$17:$B$26,F2324)&gt;0,1,IF(COUNTIF(Настройки!$C$17:$C$26,F2324)&gt;0,2,IF(COUNTIF(Настройки!$D$17:$D$26,F2324)&gt;0,3,0))))</f>
        <v/>
      </c>
      <c r="I2324">
        <f>IF(AND(ISNUMBER(A2324),ISNUMBER(B2324)),A2324*1000+B2324,"")</f>
        <v/>
      </c>
      <c r="J2324">
        <f>IF(I2324="","",IF(COUNTIF(I$2:I2324,I2324)=1,MAX(J$1:J2323)+1,""))</f>
        <v/>
      </c>
    </row>
    <row r="2325">
      <c r="A2325">
        <f>IFERROR(--SUBSTITUTE(SUBSTITUTE(TRIM(INDEX(INDIRECT("'Выгрузка'!A2325:Z2325"),Настройки!$B$7)),",","."),".",MID(1/2,2,1)),"")</f>
        <v/>
      </c>
      <c r="B2325">
        <f>IFERROR(--SUBSTITUTE(SUBSTITUTE(TRIM(INDEX(INDIRECT("'Выгрузка'!A2325:Z2325"),Настройки!$B$9)),",","."),".",MID(1/2,2,1)),"")</f>
        <v/>
      </c>
      <c r="C2325">
        <f>TRIM(INDEX(INDIRECT("'Выгрузка'!A2325:Z2325"),Настройки!$B$8)&amp;"")</f>
        <v/>
      </c>
      <c r="D2325">
        <f>IFERROR(--SUBSTITUTE(SUBSTITUTE(TRIM(INDEX(INDIRECT("'Выгрузка'!A2325:Z2325"),Настройки!$B$10)),",","."),".",MID(1/2,2,1)),"")</f>
        <v/>
      </c>
      <c r="E2325">
        <f>IFERROR(--SUBSTITUTE(SUBSTITUTE(TRIM(INDEX(INDIRECT("'Выгрузка'!A2325:Z2325"),Настройки!$B$11)),",","."),".",MID(1/2,2,1)),"")</f>
        <v/>
      </c>
      <c r="F2325">
        <f>TRIM(INDEX(INDIRECT("'Выгрузка'!A2325:Z2325"),Настройки!$B$12)&amp;"")</f>
        <v/>
      </c>
      <c r="G2325">
        <f>IF(F2325="",0,IF(TRIM(INDEX(INDIRECT("'Выгрузка'!A2325:Z2325"),Настройки!$B$13)&amp;"")="",1,IFERROR(--SUBSTITUTE(SUBSTITUTE(TRIM(INDEX(INDIRECT("'Выгрузка'!A2325:Z2325"),Настройки!$B$13)),",","."),".",MID(1/2,2,1)),"")))</f>
        <v/>
      </c>
      <c r="H2325">
        <f>IF(F2325="",0,IF(COUNTIF(Настройки!$B$17:$B$26,F2325)&gt;0,1,IF(COUNTIF(Настройки!$C$17:$C$26,F2325)&gt;0,2,IF(COUNTIF(Настройки!$D$17:$D$26,F2325)&gt;0,3,0))))</f>
        <v/>
      </c>
      <c r="I2325">
        <f>IF(AND(ISNUMBER(A2325),ISNUMBER(B2325)),A2325*1000+B2325,"")</f>
        <v/>
      </c>
      <c r="J2325">
        <f>IF(I2325="","",IF(COUNTIF(I$2:I2325,I2325)=1,MAX(J$1:J2324)+1,""))</f>
        <v/>
      </c>
    </row>
    <row r="2326">
      <c r="A2326">
        <f>IFERROR(--SUBSTITUTE(SUBSTITUTE(TRIM(INDEX(INDIRECT("'Выгрузка'!A2326:Z2326"),Настройки!$B$7)),",","."),".",MID(1/2,2,1)),"")</f>
        <v/>
      </c>
      <c r="B2326">
        <f>IFERROR(--SUBSTITUTE(SUBSTITUTE(TRIM(INDEX(INDIRECT("'Выгрузка'!A2326:Z2326"),Настройки!$B$9)),",","."),".",MID(1/2,2,1)),"")</f>
        <v/>
      </c>
      <c r="C2326">
        <f>TRIM(INDEX(INDIRECT("'Выгрузка'!A2326:Z2326"),Настройки!$B$8)&amp;"")</f>
        <v/>
      </c>
      <c r="D2326">
        <f>IFERROR(--SUBSTITUTE(SUBSTITUTE(TRIM(INDEX(INDIRECT("'Выгрузка'!A2326:Z2326"),Настройки!$B$10)),",","."),".",MID(1/2,2,1)),"")</f>
        <v/>
      </c>
      <c r="E2326">
        <f>IFERROR(--SUBSTITUTE(SUBSTITUTE(TRIM(INDEX(INDIRECT("'Выгрузка'!A2326:Z2326"),Настройки!$B$11)),",","."),".",MID(1/2,2,1)),"")</f>
        <v/>
      </c>
      <c r="F2326">
        <f>TRIM(INDEX(INDIRECT("'Выгрузка'!A2326:Z2326"),Настройки!$B$12)&amp;"")</f>
        <v/>
      </c>
      <c r="G2326">
        <f>IF(F2326="",0,IF(TRIM(INDEX(INDIRECT("'Выгрузка'!A2326:Z2326"),Настройки!$B$13)&amp;"")="",1,IFERROR(--SUBSTITUTE(SUBSTITUTE(TRIM(INDEX(INDIRECT("'Выгрузка'!A2326:Z2326"),Настройки!$B$13)),",","."),".",MID(1/2,2,1)),"")))</f>
        <v/>
      </c>
      <c r="H2326">
        <f>IF(F2326="",0,IF(COUNTIF(Настройки!$B$17:$B$26,F2326)&gt;0,1,IF(COUNTIF(Настройки!$C$17:$C$26,F2326)&gt;0,2,IF(COUNTIF(Настройки!$D$17:$D$26,F2326)&gt;0,3,0))))</f>
        <v/>
      </c>
      <c r="I2326">
        <f>IF(AND(ISNUMBER(A2326),ISNUMBER(B2326)),A2326*1000+B2326,"")</f>
        <v/>
      </c>
      <c r="J2326">
        <f>IF(I2326="","",IF(COUNTIF(I$2:I2326,I2326)=1,MAX(J$1:J2325)+1,""))</f>
        <v/>
      </c>
    </row>
    <row r="2327">
      <c r="A2327">
        <f>IFERROR(--SUBSTITUTE(SUBSTITUTE(TRIM(INDEX(INDIRECT("'Выгрузка'!A2327:Z2327"),Настройки!$B$7)),",","."),".",MID(1/2,2,1)),"")</f>
        <v/>
      </c>
      <c r="B2327">
        <f>IFERROR(--SUBSTITUTE(SUBSTITUTE(TRIM(INDEX(INDIRECT("'Выгрузка'!A2327:Z2327"),Настройки!$B$9)),",","."),".",MID(1/2,2,1)),"")</f>
        <v/>
      </c>
      <c r="C2327">
        <f>TRIM(INDEX(INDIRECT("'Выгрузка'!A2327:Z2327"),Настройки!$B$8)&amp;"")</f>
        <v/>
      </c>
      <c r="D2327">
        <f>IFERROR(--SUBSTITUTE(SUBSTITUTE(TRIM(INDEX(INDIRECT("'Выгрузка'!A2327:Z2327"),Настройки!$B$10)),",","."),".",MID(1/2,2,1)),"")</f>
        <v/>
      </c>
      <c r="E2327">
        <f>IFERROR(--SUBSTITUTE(SUBSTITUTE(TRIM(INDEX(INDIRECT("'Выгрузка'!A2327:Z2327"),Настройки!$B$11)),",","."),".",MID(1/2,2,1)),"")</f>
        <v/>
      </c>
      <c r="F2327">
        <f>TRIM(INDEX(INDIRECT("'Выгрузка'!A2327:Z2327"),Настройки!$B$12)&amp;"")</f>
        <v/>
      </c>
      <c r="G2327">
        <f>IF(F2327="",0,IF(TRIM(INDEX(INDIRECT("'Выгрузка'!A2327:Z2327"),Настройки!$B$13)&amp;"")="",1,IFERROR(--SUBSTITUTE(SUBSTITUTE(TRIM(INDEX(INDIRECT("'Выгрузка'!A2327:Z2327"),Настройки!$B$13)),",","."),".",MID(1/2,2,1)),"")))</f>
        <v/>
      </c>
      <c r="H2327">
        <f>IF(F2327="",0,IF(COUNTIF(Настройки!$B$17:$B$26,F2327)&gt;0,1,IF(COUNTIF(Настройки!$C$17:$C$26,F2327)&gt;0,2,IF(COUNTIF(Настройки!$D$17:$D$26,F2327)&gt;0,3,0))))</f>
        <v/>
      </c>
      <c r="I2327">
        <f>IF(AND(ISNUMBER(A2327),ISNUMBER(B2327)),A2327*1000+B2327,"")</f>
        <v/>
      </c>
      <c r="J2327">
        <f>IF(I2327="","",IF(COUNTIF(I$2:I2327,I2327)=1,MAX(J$1:J2326)+1,""))</f>
        <v/>
      </c>
    </row>
    <row r="2328">
      <c r="A2328">
        <f>IFERROR(--SUBSTITUTE(SUBSTITUTE(TRIM(INDEX(INDIRECT("'Выгрузка'!A2328:Z2328"),Настройки!$B$7)),",","."),".",MID(1/2,2,1)),"")</f>
        <v/>
      </c>
      <c r="B2328">
        <f>IFERROR(--SUBSTITUTE(SUBSTITUTE(TRIM(INDEX(INDIRECT("'Выгрузка'!A2328:Z2328"),Настройки!$B$9)),",","."),".",MID(1/2,2,1)),"")</f>
        <v/>
      </c>
      <c r="C2328">
        <f>TRIM(INDEX(INDIRECT("'Выгрузка'!A2328:Z2328"),Настройки!$B$8)&amp;"")</f>
        <v/>
      </c>
      <c r="D2328">
        <f>IFERROR(--SUBSTITUTE(SUBSTITUTE(TRIM(INDEX(INDIRECT("'Выгрузка'!A2328:Z2328"),Настройки!$B$10)),",","."),".",MID(1/2,2,1)),"")</f>
        <v/>
      </c>
      <c r="E2328">
        <f>IFERROR(--SUBSTITUTE(SUBSTITUTE(TRIM(INDEX(INDIRECT("'Выгрузка'!A2328:Z2328"),Настройки!$B$11)),",","."),".",MID(1/2,2,1)),"")</f>
        <v/>
      </c>
      <c r="F2328">
        <f>TRIM(INDEX(INDIRECT("'Выгрузка'!A2328:Z2328"),Настройки!$B$12)&amp;"")</f>
        <v/>
      </c>
      <c r="G2328">
        <f>IF(F2328="",0,IF(TRIM(INDEX(INDIRECT("'Выгрузка'!A2328:Z2328"),Настройки!$B$13)&amp;"")="",1,IFERROR(--SUBSTITUTE(SUBSTITUTE(TRIM(INDEX(INDIRECT("'Выгрузка'!A2328:Z2328"),Настройки!$B$13)),",","."),".",MID(1/2,2,1)),"")))</f>
        <v/>
      </c>
      <c r="H2328">
        <f>IF(F2328="",0,IF(COUNTIF(Настройки!$B$17:$B$26,F2328)&gt;0,1,IF(COUNTIF(Настройки!$C$17:$C$26,F2328)&gt;0,2,IF(COUNTIF(Настройки!$D$17:$D$26,F2328)&gt;0,3,0))))</f>
        <v/>
      </c>
      <c r="I2328">
        <f>IF(AND(ISNUMBER(A2328),ISNUMBER(B2328)),A2328*1000+B2328,"")</f>
        <v/>
      </c>
      <c r="J2328">
        <f>IF(I2328="","",IF(COUNTIF(I$2:I2328,I2328)=1,MAX(J$1:J2327)+1,""))</f>
        <v/>
      </c>
    </row>
    <row r="2329">
      <c r="A2329">
        <f>IFERROR(--SUBSTITUTE(SUBSTITUTE(TRIM(INDEX(INDIRECT("'Выгрузка'!A2329:Z2329"),Настройки!$B$7)),",","."),".",MID(1/2,2,1)),"")</f>
        <v/>
      </c>
      <c r="B2329">
        <f>IFERROR(--SUBSTITUTE(SUBSTITUTE(TRIM(INDEX(INDIRECT("'Выгрузка'!A2329:Z2329"),Настройки!$B$9)),",","."),".",MID(1/2,2,1)),"")</f>
        <v/>
      </c>
      <c r="C2329">
        <f>TRIM(INDEX(INDIRECT("'Выгрузка'!A2329:Z2329"),Настройки!$B$8)&amp;"")</f>
        <v/>
      </c>
      <c r="D2329">
        <f>IFERROR(--SUBSTITUTE(SUBSTITUTE(TRIM(INDEX(INDIRECT("'Выгрузка'!A2329:Z2329"),Настройки!$B$10)),",","."),".",MID(1/2,2,1)),"")</f>
        <v/>
      </c>
      <c r="E2329">
        <f>IFERROR(--SUBSTITUTE(SUBSTITUTE(TRIM(INDEX(INDIRECT("'Выгрузка'!A2329:Z2329"),Настройки!$B$11)),",","."),".",MID(1/2,2,1)),"")</f>
        <v/>
      </c>
      <c r="F2329">
        <f>TRIM(INDEX(INDIRECT("'Выгрузка'!A2329:Z2329"),Настройки!$B$12)&amp;"")</f>
        <v/>
      </c>
      <c r="G2329">
        <f>IF(F2329="",0,IF(TRIM(INDEX(INDIRECT("'Выгрузка'!A2329:Z2329"),Настройки!$B$13)&amp;"")="",1,IFERROR(--SUBSTITUTE(SUBSTITUTE(TRIM(INDEX(INDIRECT("'Выгрузка'!A2329:Z2329"),Настройки!$B$13)),",","."),".",MID(1/2,2,1)),"")))</f>
        <v/>
      </c>
      <c r="H2329">
        <f>IF(F2329="",0,IF(COUNTIF(Настройки!$B$17:$B$26,F2329)&gt;0,1,IF(COUNTIF(Настройки!$C$17:$C$26,F2329)&gt;0,2,IF(COUNTIF(Настройки!$D$17:$D$26,F2329)&gt;0,3,0))))</f>
        <v/>
      </c>
      <c r="I2329">
        <f>IF(AND(ISNUMBER(A2329),ISNUMBER(B2329)),A2329*1000+B2329,"")</f>
        <v/>
      </c>
      <c r="J2329">
        <f>IF(I2329="","",IF(COUNTIF(I$2:I2329,I2329)=1,MAX(J$1:J2328)+1,""))</f>
        <v/>
      </c>
    </row>
    <row r="2330">
      <c r="A2330">
        <f>IFERROR(--SUBSTITUTE(SUBSTITUTE(TRIM(INDEX(INDIRECT("'Выгрузка'!A2330:Z2330"),Настройки!$B$7)),",","."),".",MID(1/2,2,1)),"")</f>
        <v/>
      </c>
      <c r="B2330">
        <f>IFERROR(--SUBSTITUTE(SUBSTITUTE(TRIM(INDEX(INDIRECT("'Выгрузка'!A2330:Z2330"),Настройки!$B$9)),",","."),".",MID(1/2,2,1)),"")</f>
        <v/>
      </c>
      <c r="C2330">
        <f>TRIM(INDEX(INDIRECT("'Выгрузка'!A2330:Z2330"),Настройки!$B$8)&amp;"")</f>
        <v/>
      </c>
      <c r="D2330">
        <f>IFERROR(--SUBSTITUTE(SUBSTITUTE(TRIM(INDEX(INDIRECT("'Выгрузка'!A2330:Z2330"),Настройки!$B$10)),",","."),".",MID(1/2,2,1)),"")</f>
        <v/>
      </c>
      <c r="E2330">
        <f>IFERROR(--SUBSTITUTE(SUBSTITUTE(TRIM(INDEX(INDIRECT("'Выгрузка'!A2330:Z2330"),Настройки!$B$11)),",","."),".",MID(1/2,2,1)),"")</f>
        <v/>
      </c>
      <c r="F2330">
        <f>TRIM(INDEX(INDIRECT("'Выгрузка'!A2330:Z2330"),Настройки!$B$12)&amp;"")</f>
        <v/>
      </c>
      <c r="G2330">
        <f>IF(F2330="",0,IF(TRIM(INDEX(INDIRECT("'Выгрузка'!A2330:Z2330"),Настройки!$B$13)&amp;"")="",1,IFERROR(--SUBSTITUTE(SUBSTITUTE(TRIM(INDEX(INDIRECT("'Выгрузка'!A2330:Z2330"),Настройки!$B$13)),",","."),".",MID(1/2,2,1)),"")))</f>
        <v/>
      </c>
      <c r="H2330">
        <f>IF(F2330="",0,IF(COUNTIF(Настройки!$B$17:$B$26,F2330)&gt;0,1,IF(COUNTIF(Настройки!$C$17:$C$26,F2330)&gt;0,2,IF(COUNTIF(Настройки!$D$17:$D$26,F2330)&gt;0,3,0))))</f>
        <v/>
      </c>
      <c r="I2330">
        <f>IF(AND(ISNUMBER(A2330),ISNUMBER(B2330)),A2330*1000+B2330,"")</f>
        <v/>
      </c>
      <c r="J2330">
        <f>IF(I2330="","",IF(COUNTIF(I$2:I2330,I2330)=1,MAX(J$1:J2329)+1,""))</f>
        <v/>
      </c>
    </row>
    <row r="2331">
      <c r="A2331">
        <f>IFERROR(--SUBSTITUTE(SUBSTITUTE(TRIM(INDEX(INDIRECT("'Выгрузка'!A2331:Z2331"),Настройки!$B$7)),",","."),".",MID(1/2,2,1)),"")</f>
        <v/>
      </c>
      <c r="B2331">
        <f>IFERROR(--SUBSTITUTE(SUBSTITUTE(TRIM(INDEX(INDIRECT("'Выгрузка'!A2331:Z2331"),Настройки!$B$9)),",","."),".",MID(1/2,2,1)),"")</f>
        <v/>
      </c>
      <c r="C2331">
        <f>TRIM(INDEX(INDIRECT("'Выгрузка'!A2331:Z2331"),Настройки!$B$8)&amp;"")</f>
        <v/>
      </c>
      <c r="D2331">
        <f>IFERROR(--SUBSTITUTE(SUBSTITUTE(TRIM(INDEX(INDIRECT("'Выгрузка'!A2331:Z2331"),Настройки!$B$10)),",","."),".",MID(1/2,2,1)),"")</f>
        <v/>
      </c>
      <c r="E2331">
        <f>IFERROR(--SUBSTITUTE(SUBSTITUTE(TRIM(INDEX(INDIRECT("'Выгрузка'!A2331:Z2331"),Настройки!$B$11)),",","."),".",MID(1/2,2,1)),"")</f>
        <v/>
      </c>
      <c r="F2331">
        <f>TRIM(INDEX(INDIRECT("'Выгрузка'!A2331:Z2331"),Настройки!$B$12)&amp;"")</f>
        <v/>
      </c>
      <c r="G2331">
        <f>IF(F2331="",0,IF(TRIM(INDEX(INDIRECT("'Выгрузка'!A2331:Z2331"),Настройки!$B$13)&amp;"")="",1,IFERROR(--SUBSTITUTE(SUBSTITUTE(TRIM(INDEX(INDIRECT("'Выгрузка'!A2331:Z2331"),Настройки!$B$13)),",","."),".",MID(1/2,2,1)),"")))</f>
        <v/>
      </c>
      <c r="H2331">
        <f>IF(F2331="",0,IF(COUNTIF(Настройки!$B$17:$B$26,F2331)&gt;0,1,IF(COUNTIF(Настройки!$C$17:$C$26,F2331)&gt;0,2,IF(COUNTIF(Настройки!$D$17:$D$26,F2331)&gt;0,3,0))))</f>
        <v/>
      </c>
      <c r="I2331">
        <f>IF(AND(ISNUMBER(A2331),ISNUMBER(B2331)),A2331*1000+B2331,"")</f>
        <v/>
      </c>
      <c r="J2331">
        <f>IF(I2331="","",IF(COUNTIF(I$2:I2331,I2331)=1,MAX(J$1:J2330)+1,""))</f>
        <v/>
      </c>
    </row>
    <row r="2332">
      <c r="A2332">
        <f>IFERROR(--SUBSTITUTE(SUBSTITUTE(TRIM(INDEX(INDIRECT("'Выгрузка'!A2332:Z2332"),Настройки!$B$7)),",","."),".",MID(1/2,2,1)),"")</f>
        <v/>
      </c>
      <c r="B2332">
        <f>IFERROR(--SUBSTITUTE(SUBSTITUTE(TRIM(INDEX(INDIRECT("'Выгрузка'!A2332:Z2332"),Настройки!$B$9)),",","."),".",MID(1/2,2,1)),"")</f>
        <v/>
      </c>
      <c r="C2332">
        <f>TRIM(INDEX(INDIRECT("'Выгрузка'!A2332:Z2332"),Настройки!$B$8)&amp;"")</f>
        <v/>
      </c>
      <c r="D2332">
        <f>IFERROR(--SUBSTITUTE(SUBSTITUTE(TRIM(INDEX(INDIRECT("'Выгрузка'!A2332:Z2332"),Настройки!$B$10)),",","."),".",MID(1/2,2,1)),"")</f>
        <v/>
      </c>
      <c r="E2332">
        <f>IFERROR(--SUBSTITUTE(SUBSTITUTE(TRIM(INDEX(INDIRECT("'Выгрузка'!A2332:Z2332"),Настройки!$B$11)),",","."),".",MID(1/2,2,1)),"")</f>
        <v/>
      </c>
      <c r="F2332">
        <f>TRIM(INDEX(INDIRECT("'Выгрузка'!A2332:Z2332"),Настройки!$B$12)&amp;"")</f>
        <v/>
      </c>
      <c r="G2332">
        <f>IF(F2332="",0,IF(TRIM(INDEX(INDIRECT("'Выгрузка'!A2332:Z2332"),Настройки!$B$13)&amp;"")="",1,IFERROR(--SUBSTITUTE(SUBSTITUTE(TRIM(INDEX(INDIRECT("'Выгрузка'!A2332:Z2332"),Настройки!$B$13)),",","."),".",MID(1/2,2,1)),"")))</f>
        <v/>
      </c>
      <c r="H2332">
        <f>IF(F2332="",0,IF(COUNTIF(Настройки!$B$17:$B$26,F2332)&gt;0,1,IF(COUNTIF(Настройки!$C$17:$C$26,F2332)&gt;0,2,IF(COUNTIF(Настройки!$D$17:$D$26,F2332)&gt;0,3,0))))</f>
        <v/>
      </c>
      <c r="I2332">
        <f>IF(AND(ISNUMBER(A2332),ISNUMBER(B2332)),A2332*1000+B2332,"")</f>
        <v/>
      </c>
      <c r="J2332">
        <f>IF(I2332="","",IF(COUNTIF(I$2:I2332,I2332)=1,MAX(J$1:J2331)+1,""))</f>
        <v/>
      </c>
    </row>
    <row r="2333">
      <c r="A2333">
        <f>IFERROR(--SUBSTITUTE(SUBSTITUTE(TRIM(INDEX(INDIRECT("'Выгрузка'!A2333:Z2333"),Настройки!$B$7)),",","."),".",MID(1/2,2,1)),"")</f>
        <v/>
      </c>
      <c r="B2333">
        <f>IFERROR(--SUBSTITUTE(SUBSTITUTE(TRIM(INDEX(INDIRECT("'Выгрузка'!A2333:Z2333"),Настройки!$B$9)),",","."),".",MID(1/2,2,1)),"")</f>
        <v/>
      </c>
      <c r="C2333">
        <f>TRIM(INDEX(INDIRECT("'Выгрузка'!A2333:Z2333"),Настройки!$B$8)&amp;"")</f>
        <v/>
      </c>
      <c r="D2333">
        <f>IFERROR(--SUBSTITUTE(SUBSTITUTE(TRIM(INDEX(INDIRECT("'Выгрузка'!A2333:Z2333"),Настройки!$B$10)),",","."),".",MID(1/2,2,1)),"")</f>
        <v/>
      </c>
      <c r="E2333">
        <f>IFERROR(--SUBSTITUTE(SUBSTITUTE(TRIM(INDEX(INDIRECT("'Выгрузка'!A2333:Z2333"),Настройки!$B$11)),",","."),".",MID(1/2,2,1)),"")</f>
        <v/>
      </c>
      <c r="F2333">
        <f>TRIM(INDEX(INDIRECT("'Выгрузка'!A2333:Z2333"),Настройки!$B$12)&amp;"")</f>
        <v/>
      </c>
      <c r="G2333">
        <f>IF(F2333="",0,IF(TRIM(INDEX(INDIRECT("'Выгрузка'!A2333:Z2333"),Настройки!$B$13)&amp;"")="",1,IFERROR(--SUBSTITUTE(SUBSTITUTE(TRIM(INDEX(INDIRECT("'Выгрузка'!A2333:Z2333"),Настройки!$B$13)),",","."),".",MID(1/2,2,1)),"")))</f>
        <v/>
      </c>
      <c r="H2333">
        <f>IF(F2333="",0,IF(COUNTIF(Настройки!$B$17:$B$26,F2333)&gt;0,1,IF(COUNTIF(Настройки!$C$17:$C$26,F2333)&gt;0,2,IF(COUNTIF(Настройки!$D$17:$D$26,F2333)&gt;0,3,0))))</f>
        <v/>
      </c>
      <c r="I2333">
        <f>IF(AND(ISNUMBER(A2333),ISNUMBER(B2333)),A2333*1000+B2333,"")</f>
        <v/>
      </c>
      <c r="J2333">
        <f>IF(I2333="","",IF(COUNTIF(I$2:I2333,I2333)=1,MAX(J$1:J2332)+1,""))</f>
        <v/>
      </c>
    </row>
    <row r="2334">
      <c r="A2334">
        <f>IFERROR(--SUBSTITUTE(SUBSTITUTE(TRIM(INDEX(INDIRECT("'Выгрузка'!A2334:Z2334"),Настройки!$B$7)),",","."),".",MID(1/2,2,1)),"")</f>
        <v/>
      </c>
      <c r="B2334">
        <f>IFERROR(--SUBSTITUTE(SUBSTITUTE(TRIM(INDEX(INDIRECT("'Выгрузка'!A2334:Z2334"),Настройки!$B$9)),",","."),".",MID(1/2,2,1)),"")</f>
        <v/>
      </c>
      <c r="C2334">
        <f>TRIM(INDEX(INDIRECT("'Выгрузка'!A2334:Z2334"),Настройки!$B$8)&amp;"")</f>
        <v/>
      </c>
      <c r="D2334">
        <f>IFERROR(--SUBSTITUTE(SUBSTITUTE(TRIM(INDEX(INDIRECT("'Выгрузка'!A2334:Z2334"),Настройки!$B$10)),",","."),".",MID(1/2,2,1)),"")</f>
        <v/>
      </c>
      <c r="E2334">
        <f>IFERROR(--SUBSTITUTE(SUBSTITUTE(TRIM(INDEX(INDIRECT("'Выгрузка'!A2334:Z2334"),Настройки!$B$11)),",","."),".",MID(1/2,2,1)),"")</f>
        <v/>
      </c>
      <c r="F2334">
        <f>TRIM(INDEX(INDIRECT("'Выгрузка'!A2334:Z2334"),Настройки!$B$12)&amp;"")</f>
        <v/>
      </c>
      <c r="G2334">
        <f>IF(F2334="",0,IF(TRIM(INDEX(INDIRECT("'Выгрузка'!A2334:Z2334"),Настройки!$B$13)&amp;"")="",1,IFERROR(--SUBSTITUTE(SUBSTITUTE(TRIM(INDEX(INDIRECT("'Выгрузка'!A2334:Z2334"),Настройки!$B$13)),",","."),".",MID(1/2,2,1)),"")))</f>
        <v/>
      </c>
      <c r="H2334">
        <f>IF(F2334="",0,IF(COUNTIF(Настройки!$B$17:$B$26,F2334)&gt;0,1,IF(COUNTIF(Настройки!$C$17:$C$26,F2334)&gt;0,2,IF(COUNTIF(Настройки!$D$17:$D$26,F2334)&gt;0,3,0))))</f>
        <v/>
      </c>
      <c r="I2334">
        <f>IF(AND(ISNUMBER(A2334),ISNUMBER(B2334)),A2334*1000+B2334,"")</f>
        <v/>
      </c>
      <c r="J2334">
        <f>IF(I2334="","",IF(COUNTIF(I$2:I2334,I2334)=1,MAX(J$1:J2333)+1,""))</f>
        <v/>
      </c>
    </row>
    <row r="2335">
      <c r="A2335">
        <f>IFERROR(--SUBSTITUTE(SUBSTITUTE(TRIM(INDEX(INDIRECT("'Выгрузка'!A2335:Z2335"),Настройки!$B$7)),",","."),".",MID(1/2,2,1)),"")</f>
        <v/>
      </c>
      <c r="B2335">
        <f>IFERROR(--SUBSTITUTE(SUBSTITUTE(TRIM(INDEX(INDIRECT("'Выгрузка'!A2335:Z2335"),Настройки!$B$9)),",","."),".",MID(1/2,2,1)),"")</f>
        <v/>
      </c>
      <c r="C2335">
        <f>TRIM(INDEX(INDIRECT("'Выгрузка'!A2335:Z2335"),Настройки!$B$8)&amp;"")</f>
        <v/>
      </c>
      <c r="D2335">
        <f>IFERROR(--SUBSTITUTE(SUBSTITUTE(TRIM(INDEX(INDIRECT("'Выгрузка'!A2335:Z2335"),Настройки!$B$10)),",","."),".",MID(1/2,2,1)),"")</f>
        <v/>
      </c>
      <c r="E2335">
        <f>IFERROR(--SUBSTITUTE(SUBSTITUTE(TRIM(INDEX(INDIRECT("'Выгрузка'!A2335:Z2335"),Настройки!$B$11)),",","."),".",MID(1/2,2,1)),"")</f>
        <v/>
      </c>
      <c r="F2335">
        <f>TRIM(INDEX(INDIRECT("'Выгрузка'!A2335:Z2335"),Настройки!$B$12)&amp;"")</f>
        <v/>
      </c>
      <c r="G2335">
        <f>IF(F2335="",0,IF(TRIM(INDEX(INDIRECT("'Выгрузка'!A2335:Z2335"),Настройки!$B$13)&amp;"")="",1,IFERROR(--SUBSTITUTE(SUBSTITUTE(TRIM(INDEX(INDIRECT("'Выгрузка'!A2335:Z2335"),Настройки!$B$13)),",","."),".",MID(1/2,2,1)),"")))</f>
        <v/>
      </c>
      <c r="H2335">
        <f>IF(F2335="",0,IF(COUNTIF(Настройки!$B$17:$B$26,F2335)&gt;0,1,IF(COUNTIF(Настройки!$C$17:$C$26,F2335)&gt;0,2,IF(COUNTIF(Настройки!$D$17:$D$26,F2335)&gt;0,3,0))))</f>
        <v/>
      </c>
      <c r="I2335">
        <f>IF(AND(ISNUMBER(A2335),ISNUMBER(B2335)),A2335*1000+B2335,"")</f>
        <v/>
      </c>
      <c r="J2335">
        <f>IF(I2335="","",IF(COUNTIF(I$2:I2335,I2335)=1,MAX(J$1:J2334)+1,""))</f>
        <v/>
      </c>
    </row>
    <row r="2336">
      <c r="A2336">
        <f>IFERROR(--SUBSTITUTE(SUBSTITUTE(TRIM(INDEX(INDIRECT("'Выгрузка'!A2336:Z2336"),Настройки!$B$7)),",","."),".",MID(1/2,2,1)),"")</f>
        <v/>
      </c>
      <c r="B2336">
        <f>IFERROR(--SUBSTITUTE(SUBSTITUTE(TRIM(INDEX(INDIRECT("'Выгрузка'!A2336:Z2336"),Настройки!$B$9)),",","."),".",MID(1/2,2,1)),"")</f>
        <v/>
      </c>
      <c r="C2336">
        <f>TRIM(INDEX(INDIRECT("'Выгрузка'!A2336:Z2336"),Настройки!$B$8)&amp;"")</f>
        <v/>
      </c>
      <c r="D2336">
        <f>IFERROR(--SUBSTITUTE(SUBSTITUTE(TRIM(INDEX(INDIRECT("'Выгрузка'!A2336:Z2336"),Настройки!$B$10)),",","."),".",MID(1/2,2,1)),"")</f>
        <v/>
      </c>
      <c r="E2336">
        <f>IFERROR(--SUBSTITUTE(SUBSTITUTE(TRIM(INDEX(INDIRECT("'Выгрузка'!A2336:Z2336"),Настройки!$B$11)),",","."),".",MID(1/2,2,1)),"")</f>
        <v/>
      </c>
      <c r="F2336">
        <f>TRIM(INDEX(INDIRECT("'Выгрузка'!A2336:Z2336"),Настройки!$B$12)&amp;"")</f>
        <v/>
      </c>
      <c r="G2336">
        <f>IF(F2336="",0,IF(TRIM(INDEX(INDIRECT("'Выгрузка'!A2336:Z2336"),Настройки!$B$13)&amp;"")="",1,IFERROR(--SUBSTITUTE(SUBSTITUTE(TRIM(INDEX(INDIRECT("'Выгрузка'!A2336:Z2336"),Настройки!$B$13)),",","."),".",MID(1/2,2,1)),"")))</f>
        <v/>
      </c>
      <c r="H2336">
        <f>IF(F2336="",0,IF(COUNTIF(Настройки!$B$17:$B$26,F2336)&gt;0,1,IF(COUNTIF(Настройки!$C$17:$C$26,F2336)&gt;0,2,IF(COUNTIF(Настройки!$D$17:$D$26,F2336)&gt;0,3,0))))</f>
        <v/>
      </c>
      <c r="I2336">
        <f>IF(AND(ISNUMBER(A2336),ISNUMBER(B2336)),A2336*1000+B2336,"")</f>
        <v/>
      </c>
      <c r="J2336">
        <f>IF(I2336="","",IF(COUNTIF(I$2:I2336,I2336)=1,MAX(J$1:J2335)+1,""))</f>
        <v/>
      </c>
    </row>
    <row r="2337">
      <c r="A2337">
        <f>IFERROR(--SUBSTITUTE(SUBSTITUTE(TRIM(INDEX(INDIRECT("'Выгрузка'!A2337:Z2337"),Настройки!$B$7)),",","."),".",MID(1/2,2,1)),"")</f>
        <v/>
      </c>
      <c r="B2337">
        <f>IFERROR(--SUBSTITUTE(SUBSTITUTE(TRIM(INDEX(INDIRECT("'Выгрузка'!A2337:Z2337"),Настройки!$B$9)),",","."),".",MID(1/2,2,1)),"")</f>
        <v/>
      </c>
      <c r="C2337">
        <f>TRIM(INDEX(INDIRECT("'Выгрузка'!A2337:Z2337"),Настройки!$B$8)&amp;"")</f>
        <v/>
      </c>
      <c r="D2337">
        <f>IFERROR(--SUBSTITUTE(SUBSTITUTE(TRIM(INDEX(INDIRECT("'Выгрузка'!A2337:Z2337"),Настройки!$B$10)),",","."),".",MID(1/2,2,1)),"")</f>
        <v/>
      </c>
      <c r="E2337">
        <f>IFERROR(--SUBSTITUTE(SUBSTITUTE(TRIM(INDEX(INDIRECT("'Выгрузка'!A2337:Z2337"),Настройки!$B$11)),",","."),".",MID(1/2,2,1)),"")</f>
        <v/>
      </c>
      <c r="F2337">
        <f>TRIM(INDEX(INDIRECT("'Выгрузка'!A2337:Z2337"),Настройки!$B$12)&amp;"")</f>
        <v/>
      </c>
      <c r="G2337">
        <f>IF(F2337="",0,IF(TRIM(INDEX(INDIRECT("'Выгрузка'!A2337:Z2337"),Настройки!$B$13)&amp;"")="",1,IFERROR(--SUBSTITUTE(SUBSTITUTE(TRIM(INDEX(INDIRECT("'Выгрузка'!A2337:Z2337"),Настройки!$B$13)),",","."),".",MID(1/2,2,1)),"")))</f>
        <v/>
      </c>
      <c r="H2337">
        <f>IF(F2337="",0,IF(COUNTIF(Настройки!$B$17:$B$26,F2337)&gt;0,1,IF(COUNTIF(Настройки!$C$17:$C$26,F2337)&gt;0,2,IF(COUNTIF(Настройки!$D$17:$D$26,F2337)&gt;0,3,0))))</f>
        <v/>
      </c>
      <c r="I2337">
        <f>IF(AND(ISNUMBER(A2337),ISNUMBER(B2337)),A2337*1000+B2337,"")</f>
        <v/>
      </c>
      <c r="J2337">
        <f>IF(I2337="","",IF(COUNTIF(I$2:I2337,I2337)=1,MAX(J$1:J2336)+1,""))</f>
        <v/>
      </c>
    </row>
    <row r="2338">
      <c r="A2338">
        <f>IFERROR(--SUBSTITUTE(SUBSTITUTE(TRIM(INDEX(INDIRECT("'Выгрузка'!A2338:Z2338"),Настройки!$B$7)),",","."),".",MID(1/2,2,1)),"")</f>
        <v/>
      </c>
      <c r="B2338">
        <f>IFERROR(--SUBSTITUTE(SUBSTITUTE(TRIM(INDEX(INDIRECT("'Выгрузка'!A2338:Z2338"),Настройки!$B$9)),",","."),".",MID(1/2,2,1)),"")</f>
        <v/>
      </c>
      <c r="C2338">
        <f>TRIM(INDEX(INDIRECT("'Выгрузка'!A2338:Z2338"),Настройки!$B$8)&amp;"")</f>
        <v/>
      </c>
      <c r="D2338">
        <f>IFERROR(--SUBSTITUTE(SUBSTITUTE(TRIM(INDEX(INDIRECT("'Выгрузка'!A2338:Z2338"),Настройки!$B$10)),",","."),".",MID(1/2,2,1)),"")</f>
        <v/>
      </c>
      <c r="E2338">
        <f>IFERROR(--SUBSTITUTE(SUBSTITUTE(TRIM(INDEX(INDIRECT("'Выгрузка'!A2338:Z2338"),Настройки!$B$11)),",","."),".",MID(1/2,2,1)),"")</f>
        <v/>
      </c>
      <c r="F2338">
        <f>TRIM(INDEX(INDIRECT("'Выгрузка'!A2338:Z2338"),Настройки!$B$12)&amp;"")</f>
        <v/>
      </c>
      <c r="G2338">
        <f>IF(F2338="",0,IF(TRIM(INDEX(INDIRECT("'Выгрузка'!A2338:Z2338"),Настройки!$B$13)&amp;"")="",1,IFERROR(--SUBSTITUTE(SUBSTITUTE(TRIM(INDEX(INDIRECT("'Выгрузка'!A2338:Z2338"),Настройки!$B$13)),",","."),".",MID(1/2,2,1)),"")))</f>
        <v/>
      </c>
      <c r="H2338">
        <f>IF(F2338="",0,IF(COUNTIF(Настройки!$B$17:$B$26,F2338)&gt;0,1,IF(COUNTIF(Настройки!$C$17:$C$26,F2338)&gt;0,2,IF(COUNTIF(Настройки!$D$17:$D$26,F2338)&gt;0,3,0))))</f>
        <v/>
      </c>
      <c r="I2338">
        <f>IF(AND(ISNUMBER(A2338),ISNUMBER(B2338)),A2338*1000+B2338,"")</f>
        <v/>
      </c>
      <c r="J2338">
        <f>IF(I2338="","",IF(COUNTIF(I$2:I2338,I2338)=1,MAX(J$1:J2337)+1,""))</f>
        <v/>
      </c>
    </row>
    <row r="2339">
      <c r="A2339">
        <f>IFERROR(--SUBSTITUTE(SUBSTITUTE(TRIM(INDEX(INDIRECT("'Выгрузка'!A2339:Z2339"),Настройки!$B$7)),",","."),".",MID(1/2,2,1)),"")</f>
        <v/>
      </c>
      <c r="B2339">
        <f>IFERROR(--SUBSTITUTE(SUBSTITUTE(TRIM(INDEX(INDIRECT("'Выгрузка'!A2339:Z2339"),Настройки!$B$9)),",","."),".",MID(1/2,2,1)),"")</f>
        <v/>
      </c>
      <c r="C2339">
        <f>TRIM(INDEX(INDIRECT("'Выгрузка'!A2339:Z2339"),Настройки!$B$8)&amp;"")</f>
        <v/>
      </c>
      <c r="D2339">
        <f>IFERROR(--SUBSTITUTE(SUBSTITUTE(TRIM(INDEX(INDIRECT("'Выгрузка'!A2339:Z2339"),Настройки!$B$10)),",","."),".",MID(1/2,2,1)),"")</f>
        <v/>
      </c>
      <c r="E2339">
        <f>IFERROR(--SUBSTITUTE(SUBSTITUTE(TRIM(INDEX(INDIRECT("'Выгрузка'!A2339:Z2339"),Настройки!$B$11)),",","."),".",MID(1/2,2,1)),"")</f>
        <v/>
      </c>
      <c r="F2339">
        <f>TRIM(INDEX(INDIRECT("'Выгрузка'!A2339:Z2339"),Настройки!$B$12)&amp;"")</f>
        <v/>
      </c>
      <c r="G2339">
        <f>IF(F2339="",0,IF(TRIM(INDEX(INDIRECT("'Выгрузка'!A2339:Z2339"),Настройки!$B$13)&amp;"")="",1,IFERROR(--SUBSTITUTE(SUBSTITUTE(TRIM(INDEX(INDIRECT("'Выгрузка'!A2339:Z2339"),Настройки!$B$13)),",","."),".",MID(1/2,2,1)),"")))</f>
        <v/>
      </c>
      <c r="H2339">
        <f>IF(F2339="",0,IF(COUNTIF(Настройки!$B$17:$B$26,F2339)&gt;0,1,IF(COUNTIF(Настройки!$C$17:$C$26,F2339)&gt;0,2,IF(COUNTIF(Настройки!$D$17:$D$26,F2339)&gt;0,3,0))))</f>
        <v/>
      </c>
      <c r="I2339">
        <f>IF(AND(ISNUMBER(A2339),ISNUMBER(B2339)),A2339*1000+B2339,"")</f>
        <v/>
      </c>
      <c r="J2339">
        <f>IF(I2339="","",IF(COUNTIF(I$2:I2339,I2339)=1,MAX(J$1:J2338)+1,""))</f>
        <v/>
      </c>
    </row>
    <row r="2340">
      <c r="A2340">
        <f>IFERROR(--SUBSTITUTE(SUBSTITUTE(TRIM(INDEX(INDIRECT("'Выгрузка'!A2340:Z2340"),Настройки!$B$7)),",","."),".",MID(1/2,2,1)),"")</f>
        <v/>
      </c>
      <c r="B2340">
        <f>IFERROR(--SUBSTITUTE(SUBSTITUTE(TRIM(INDEX(INDIRECT("'Выгрузка'!A2340:Z2340"),Настройки!$B$9)),",","."),".",MID(1/2,2,1)),"")</f>
        <v/>
      </c>
      <c r="C2340">
        <f>TRIM(INDEX(INDIRECT("'Выгрузка'!A2340:Z2340"),Настройки!$B$8)&amp;"")</f>
        <v/>
      </c>
      <c r="D2340">
        <f>IFERROR(--SUBSTITUTE(SUBSTITUTE(TRIM(INDEX(INDIRECT("'Выгрузка'!A2340:Z2340"),Настройки!$B$10)),",","."),".",MID(1/2,2,1)),"")</f>
        <v/>
      </c>
      <c r="E2340">
        <f>IFERROR(--SUBSTITUTE(SUBSTITUTE(TRIM(INDEX(INDIRECT("'Выгрузка'!A2340:Z2340"),Настройки!$B$11)),",","."),".",MID(1/2,2,1)),"")</f>
        <v/>
      </c>
      <c r="F2340">
        <f>TRIM(INDEX(INDIRECT("'Выгрузка'!A2340:Z2340"),Настройки!$B$12)&amp;"")</f>
        <v/>
      </c>
      <c r="G2340">
        <f>IF(F2340="",0,IF(TRIM(INDEX(INDIRECT("'Выгрузка'!A2340:Z2340"),Настройки!$B$13)&amp;"")="",1,IFERROR(--SUBSTITUTE(SUBSTITUTE(TRIM(INDEX(INDIRECT("'Выгрузка'!A2340:Z2340"),Настройки!$B$13)),",","."),".",MID(1/2,2,1)),"")))</f>
        <v/>
      </c>
      <c r="H2340">
        <f>IF(F2340="",0,IF(COUNTIF(Настройки!$B$17:$B$26,F2340)&gt;0,1,IF(COUNTIF(Настройки!$C$17:$C$26,F2340)&gt;0,2,IF(COUNTIF(Настройки!$D$17:$D$26,F2340)&gt;0,3,0))))</f>
        <v/>
      </c>
      <c r="I2340">
        <f>IF(AND(ISNUMBER(A2340),ISNUMBER(B2340)),A2340*1000+B2340,"")</f>
        <v/>
      </c>
      <c r="J2340">
        <f>IF(I2340="","",IF(COUNTIF(I$2:I2340,I2340)=1,MAX(J$1:J2339)+1,""))</f>
        <v/>
      </c>
    </row>
    <row r="2341">
      <c r="A2341">
        <f>IFERROR(--SUBSTITUTE(SUBSTITUTE(TRIM(INDEX(INDIRECT("'Выгрузка'!A2341:Z2341"),Настройки!$B$7)),",","."),".",MID(1/2,2,1)),"")</f>
        <v/>
      </c>
      <c r="B2341">
        <f>IFERROR(--SUBSTITUTE(SUBSTITUTE(TRIM(INDEX(INDIRECT("'Выгрузка'!A2341:Z2341"),Настройки!$B$9)),",","."),".",MID(1/2,2,1)),"")</f>
        <v/>
      </c>
      <c r="C2341">
        <f>TRIM(INDEX(INDIRECT("'Выгрузка'!A2341:Z2341"),Настройки!$B$8)&amp;"")</f>
        <v/>
      </c>
      <c r="D2341">
        <f>IFERROR(--SUBSTITUTE(SUBSTITUTE(TRIM(INDEX(INDIRECT("'Выгрузка'!A2341:Z2341"),Настройки!$B$10)),",","."),".",MID(1/2,2,1)),"")</f>
        <v/>
      </c>
      <c r="E2341">
        <f>IFERROR(--SUBSTITUTE(SUBSTITUTE(TRIM(INDEX(INDIRECT("'Выгрузка'!A2341:Z2341"),Настройки!$B$11)),",","."),".",MID(1/2,2,1)),"")</f>
        <v/>
      </c>
      <c r="F2341">
        <f>TRIM(INDEX(INDIRECT("'Выгрузка'!A2341:Z2341"),Настройки!$B$12)&amp;"")</f>
        <v/>
      </c>
      <c r="G2341">
        <f>IF(F2341="",0,IF(TRIM(INDEX(INDIRECT("'Выгрузка'!A2341:Z2341"),Настройки!$B$13)&amp;"")="",1,IFERROR(--SUBSTITUTE(SUBSTITUTE(TRIM(INDEX(INDIRECT("'Выгрузка'!A2341:Z2341"),Настройки!$B$13)),",","."),".",MID(1/2,2,1)),"")))</f>
        <v/>
      </c>
      <c r="H2341">
        <f>IF(F2341="",0,IF(COUNTIF(Настройки!$B$17:$B$26,F2341)&gt;0,1,IF(COUNTIF(Настройки!$C$17:$C$26,F2341)&gt;0,2,IF(COUNTIF(Настройки!$D$17:$D$26,F2341)&gt;0,3,0))))</f>
        <v/>
      </c>
      <c r="I2341">
        <f>IF(AND(ISNUMBER(A2341),ISNUMBER(B2341)),A2341*1000+B2341,"")</f>
        <v/>
      </c>
      <c r="J2341">
        <f>IF(I2341="","",IF(COUNTIF(I$2:I2341,I2341)=1,MAX(J$1:J2340)+1,""))</f>
        <v/>
      </c>
    </row>
    <row r="2342">
      <c r="A2342">
        <f>IFERROR(--SUBSTITUTE(SUBSTITUTE(TRIM(INDEX(INDIRECT("'Выгрузка'!A2342:Z2342"),Настройки!$B$7)),",","."),".",MID(1/2,2,1)),"")</f>
        <v/>
      </c>
      <c r="B2342">
        <f>IFERROR(--SUBSTITUTE(SUBSTITUTE(TRIM(INDEX(INDIRECT("'Выгрузка'!A2342:Z2342"),Настройки!$B$9)),",","."),".",MID(1/2,2,1)),"")</f>
        <v/>
      </c>
      <c r="C2342">
        <f>TRIM(INDEX(INDIRECT("'Выгрузка'!A2342:Z2342"),Настройки!$B$8)&amp;"")</f>
        <v/>
      </c>
      <c r="D2342">
        <f>IFERROR(--SUBSTITUTE(SUBSTITUTE(TRIM(INDEX(INDIRECT("'Выгрузка'!A2342:Z2342"),Настройки!$B$10)),",","."),".",MID(1/2,2,1)),"")</f>
        <v/>
      </c>
      <c r="E2342">
        <f>IFERROR(--SUBSTITUTE(SUBSTITUTE(TRIM(INDEX(INDIRECT("'Выгрузка'!A2342:Z2342"),Настройки!$B$11)),",","."),".",MID(1/2,2,1)),"")</f>
        <v/>
      </c>
      <c r="F2342">
        <f>TRIM(INDEX(INDIRECT("'Выгрузка'!A2342:Z2342"),Настройки!$B$12)&amp;"")</f>
        <v/>
      </c>
      <c r="G2342">
        <f>IF(F2342="",0,IF(TRIM(INDEX(INDIRECT("'Выгрузка'!A2342:Z2342"),Настройки!$B$13)&amp;"")="",1,IFERROR(--SUBSTITUTE(SUBSTITUTE(TRIM(INDEX(INDIRECT("'Выгрузка'!A2342:Z2342"),Настройки!$B$13)),",","."),".",MID(1/2,2,1)),"")))</f>
        <v/>
      </c>
      <c r="H2342">
        <f>IF(F2342="",0,IF(COUNTIF(Настройки!$B$17:$B$26,F2342)&gt;0,1,IF(COUNTIF(Настройки!$C$17:$C$26,F2342)&gt;0,2,IF(COUNTIF(Настройки!$D$17:$D$26,F2342)&gt;0,3,0))))</f>
        <v/>
      </c>
      <c r="I2342">
        <f>IF(AND(ISNUMBER(A2342),ISNUMBER(B2342)),A2342*1000+B2342,"")</f>
        <v/>
      </c>
      <c r="J2342">
        <f>IF(I2342="","",IF(COUNTIF(I$2:I2342,I2342)=1,MAX(J$1:J2341)+1,""))</f>
        <v/>
      </c>
    </row>
    <row r="2343">
      <c r="A2343">
        <f>IFERROR(--SUBSTITUTE(SUBSTITUTE(TRIM(INDEX(INDIRECT("'Выгрузка'!A2343:Z2343"),Настройки!$B$7)),",","."),".",MID(1/2,2,1)),"")</f>
        <v/>
      </c>
      <c r="B2343">
        <f>IFERROR(--SUBSTITUTE(SUBSTITUTE(TRIM(INDEX(INDIRECT("'Выгрузка'!A2343:Z2343"),Настройки!$B$9)),",","."),".",MID(1/2,2,1)),"")</f>
        <v/>
      </c>
      <c r="C2343">
        <f>TRIM(INDEX(INDIRECT("'Выгрузка'!A2343:Z2343"),Настройки!$B$8)&amp;"")</f>
        <v/>
      </c>
      <c r="D2343">
        <f>IFERROR(--SUBSTITUTE(SUBSTITUTE(TRIM(INDEX(INDIRECT("'Выгрузка'!A2343:Z2343"),Настройки!$B$10)),",","."),".",MID(1/2,2,1)),"")</f>
        <v/>
      </c>
      <c r="E2343">
        <f>IFERROR(--SUBSTITUTE(SUBSTITUTE(TRIM(INDEX(INDIRECT("'Выгрузка'!A2343:Z2343"),Настройки!$B$11)),",","."),".",MID(1/2,2,1)),"")</f>
        <v/>
      </c>
      <c r="F2343">
        <f>TRIM(INDEX(INDIRECT("'Выгрузка'!A2343:Z2343"),Настройки!$B$12)&amp;"")</f>
        <v/>
      </c>
      <c r="G2343">
        <f>IF(F2343="",0,IF(TRIM(INDEX(INDIRECT("'Выгрузка'!A2343:Z2343"),Настройки!$B$13)&amp;"")="",1,IFERROR(--SUBSTITUTE(SUBSTITUTE(TRIM(INDEX(INDIRECT("'Выгрузка'!A2343:Z2343"),Настройки!$B$13)),",","."),".",MID(1/2,2,1)),"")))</f>
        <v/>
      </c>
      <c r="H2343">
        <f>IF(F2343="",0,IF(COUNTIF(Настройки!$B$17:$B$26,F2343)&gt;0,1,IF(COUNTIF(Настройки!$C$17:$C$26,F2343)&gt;0,2,IF(COUNTIF(Настройки!$D$17:$D$26,F2343)&gt;0,3,0))))</f>
        <v/>
      </c>
      <c r="I2343">
        <f>IF(AND(ISNUMBER(A2343),ISNUMBER(B2343)),A2343*1000+B2343,"")</f>
        <v/>
      </c>
      <c r="J2343">
        <f>IF(I2343="","",IF(COUNTIF(I$2:I2343,I2343)=1,MAX(J$1:J2342)+1,""))</f>
        <v/>
      </c>
    </row>
    <row r="2344">
      <c r="A2344">
        <f>IFERROR(--SUBSTITUTE(SUBSTITUTE(TRIM(INDEX(INDIRECT("'Выгрузка'!A2344:Z2344"),Настройки!$B$7)),",","."),".",MID(1/2,2,1)),"")</f>
        <v/>
      </c>
      <c r="B2344">
        <f>IFERROR(--SUBSTITUTE(SUBSTITUTE(TRIM(INDEX(INDIRECT("'Выгрузка'!A2344:Z2344"),Настройки!$B$9)),",","."),".",MID(1/2,2,1)),"")</f>
        <v/>
      </c>
      <c r="C2344">
        <f>TRIM(INDEX(INDIRECT("'Выгрузка'!A2344:Z2344"),Настройки!$B$8)&amp;"")</f>
        <v/>
      </c>
      <c r="D2344">
        <f>IFERROR(--SUBSTITUTE(SUBSTITUTE(TRIM(INDEX(INDIRECT("'Выгрузка'!A2344:Z2344"),Настройки!$B$10)),",","."),".",MID(1/2,2,1)),"")</f>
        <v/>
      </c>
      <c r="E2344">
        <f>IFERROR(--SUBSTITUTE(SUBSTITUTE(TRIM(INDEX(INDIRECT("'Выгрузка'!A2344:Z2344"),Настройки!$B$11)),",","."),".",MID(1/2,2,1)),"")</f>
        <v/>
      </c>
      <c r="F2344">
        <f>TRIM(INDEX(INDIRECT("'Выгрузка'!A2344:Z2344"),Настройки!$B$12)&amp;"")</f>
        <v/>
      </c>
      <c r="G2344">
        <f>IF(F2344="",0,IF(TRIM(INDEX(INDIRECT("'Выгрузка'!A2344:Z2344"),Настройки!$B$13)&amp;"")="",1,IFERROR(--SUBSTITUTE(SUBSTITUTE(TRIM(INDEX(INDIRECT("'Выгрузка'!A2344:Z2344"),Настройки!$B$13)),",","."),".",MID(1/2,2,1)),"")))</f>
        <v/>
      </c>
      <c r="H2344">
        <f>IF(F2344="",0,IF(COUNTIF(Настройки!$B$17:$B$26,F2344)&gt;0,1,IF(COUNTIF(Настройки!$C$17:$C$26,F2344)&gt;0,2,IF(COUNTIF(Настройки!$D$17:$D$26,F2344)&gt;0,3,0))))</f>
        <v/>
      </c>
      <c r="I2344">
        <f>IF(AND(ISNUMBER(A2344),ISNUMBER(B2344)),A2344*1000+B2344,"")</f>
        <v/>
      </c>
      <c r="J2344">
        <f>IF(I2344="","",IF(COUNTIF(I$2:I2344,I2344)=1,MAX(J$1:J2343)+1,""))</f>
        <v/>
      </c>
    </row>
    <row r="2345">
      <c r="A2345">
        <f>IFERROR(--SUBSTITUTE(SUBSTITUTE(TRIM(INDEX(INDIRECT("'Выгрузка'!A2345:Z2345"),Настройки!$B$7)),",","."),".",MID(1/2,2,1)),"")</f>
        <v/>
      </c>
      <c r="B2345">
        <f>IFERROR(--SUBSTITUTE(SUBSTITUTE(TRIM(INDEX(INDIRECT("'Выгрузка'!A2345:Z2345"),Настройки!$B$9)),",","."),".",MID(1/2,2,1)),"")</f>
        <v/>
      </c>
      <c r="C2345">
        <f>TRIM(INDEX(INDIRECT("'Выгрузка'!A2345:Z2345"),Настройки!$B$8)&amp;"")</f>
        <v/>
      </c>
      <c r="D2345">
        <f>IFERROR(--SUBSTITUTE(SUBSTITUTE(TRIM(INDEX(INDIRECT("'Выгрузка'!A2345:Z2345"),Настройки!$B$10)),",","."),".",MID(1/2,2,1)),"")</f>
        <v/>
      </c>
      <c r="E2345">
        <f>IFERROR(--SUBSTITUTE(SUBSTITUTE(TRIM(INDEX(INDIRECT("'Выгрузка'!A2345:Z2345"),Настройки!$B$11)),",","."),".",MID(1/2,2,1)),"")</f>
        <v/>
      </c>
      <c r="F2345">
        <f>TRIM(INDEX(INDIRECT("'Выгрузка'!A2345:Z2345"),Настройки!$B$12)&amp;"")</f>
        <v/>
      </c>
      <c r="G2345">
        <f>IF(F2345="",0,IF(TRIM(INDEX(INDIRECT("'Выгрузка'!A2345:Z2345"),Настройки!$B$13)&amp;"")="",1,IFERROR(--SUBSTITUTE(SUBSTITUTE(TRIM(INDEX(INDIRECT("'Выгрузка'!A2345:Z2345"),Настройки!$B$13)),",","."),".",MID(1/2,2,1)),"")))</f>
        <v/>
      </c>
      <c r="H2345">
        <f>IF(F2345="",0,IF(COUNTIF(Настройки!$B$17:$B$26,F2345)&gt;0,1,IF(COUNTIF(Настройки!$C$17:$C$26,F2345)&gt;0,2,IF(COUNTIF(Настройки!$D$17:$D$26,F2345)&gt;0,3,0))))</f>
        <v/>
      </c>
      <c r="I2345">
        <f>IF(AND(ISNUMBER(A2345),ISNUMBER(B2345)),A2345*1000+B2345,"")</f>
        <v/>
      </c>
      <c r="J2345">
        <f>IF(I2345="","",IF(COUNTIF(I$2:I2345,I2345)=1,MAX(J$1:J2344)+1,""))</f>
        <v/>
      </c>
    </row>
    <row r="2346">
      <c r="A2346">
        <f>IFERROR(--SUBSTITUTE(SUBSTITUTE(TRIM(INDEX(INDIRECT("'Выгрузка'!A2346:Z2346"),Настройки!$B$7)),",","."),".",MID(1/2,2,1)),"")</f>
        <v/>
      </c>
      <c r="B2346">
        <f>IFERROR(--SUBSTITUTE(SUBSTITUTE(TRIM(INDEX(INDIRECT("'Выгрузка'!A2346:Z2346"),Настройки!$B$9)),",","."),".",MID(1/2,2,1)),"")</f>
        <v/>
      </c>
      <c r="C2346">
        <f>TRIM(INDEX(INDIRECT("'Выгрузка'!A2346:Z2346"),Настройки!$B$8)&amp;"")</f>
        <v/>
      </c>
      <c r="D2346">
        <f>IFERROR(--SUBSTITUTE(SUBSTITUTE(TRIM(INDEX(INDIRECT("'Выгрузка'!A2346:Z2346"),Настройки!$B$10)),",","."),".",MID(1/2,2,1)),"")</f>
        <v/>
      </c>
      <c r="E2346">
        <f>IFERROR(--SUBSTITUTE(SUBSTITUTE(TRIM(INDEX(INDIRECT("'Выгрузка'!A2346:Z2346"),Настройки!$B$11)),",","."),".",MID(1/2,2,1)),"")</f>
        <v/>
      </c>
      <c r="F2346">
        <f>TRIM(INDEX(INDIRECT("'Выгрузка'!A2346:Z2346"),Настройки!$B$12)&amp;"")</f>
        <v/>
      </c>
      <c r="G2346">
        <f>IF(F2346="",0,IF(TRIM(INDEX(INDIRECT("'Выгрузка'!A2346:Z2346"),Настройки!$B$13)&amp;"")="",1,IFERROR(--SUBSTITUTE(SUBSTITUTE(TRIM(INDEX(INDIRECT("'Выгрузка'!A2346:Z2346"),Настройки!$B$13)),",","."),".",MID(1/2,2,1)),"")))</f>
        <v/>
      </c>
      <c r="H2346">
        <f>IF(F2346="",0,IF(COUNTIF(Настройки!$B$17:$B$26,F2346)&gt;0,1,IF(COUNTIF(Настройки!$C$17:$C$26,F2346)&gt;0,2,IF(COUNTIF(Настройки!$D$17:$D$26,F2346)&gt;0,3,0))))</f>
        <v/>
      </c>
      <c r="I2346">
        <f>IF(AND(ISNUMBER(A2346),ISNUMBER(B2346)),A2346*1000+B2346,"")</f>
        <v/>
      </c>
      <c r="J2346">
        <f>IF(I2346="","",IF(COUNTIF(I$2:I2346,I2346)=1,MAX(J$1:J2345)+1,""))</f>
        <v/>
      </c>
    </row>
    <row r="2347">
      <c r="A2347">
        <f>IFERROR(--SUBSTITUTE(SUBSTITUTE(TRIM(INDEX(INDIRECT("'Выгрузка'!A2347:Z2347"),Настройки!$B$7)),",","."),".",MID(1/2,2,1)),"")</f>
        <v/>
      </c>
      <c r="B2347">
        <f>IFERROR(--SUBSTITUTE(SUBSTITUTE(TRIM(INDEX(INDIRECT("'Выгрузка'!A2347:Z2347"),Настройки!$B$9)),",","."),".",MID(1/2,2,1)),"")</f>
        <v/>
      </c>
      <c r="C2347">
        <f>TRIM(INDEX(INDIRECT("'Выгрузка'!A2347:Z2347"),Настройки!$B$8)&amp;"")</f>
        <v/>
      </c>
      <c r="D2347">
        <f>IFERROR(--SUBSTITUTE(SUBSTITUTE(TRIM(INDEX(INDIRECT("'Выгрузка'!A2347:Z2347"),Настройки!$B$10)),",","."),".",MID(1/2,2,1)),"")</f>
        <v/>
      </c>
      <c r="E2347">
        <f>IFERROR(--SUBSTITUTE(SUBSTITUTE(TRIM(INDEX(INDIRECT("'Выгрузка'!A2347:Z2347"),Настройки!$B$11)),",","."),".",MID(1/2,2,1)),"")</f>
        <v/>
      </c>
      <c r="F2347">
        <f>TRIM(INDEX(INDIRECT("'Выгрузка'!A2347:Z2347"),Настройки!$B$12)&amp;"")</f>
        <v/>
      </c>
      <c r="G2347">
        <f>IF(F2347="",0,IF(TRIM(INDEX(INDIRECT("'Выгрузка'!A2347:Z2347"),Настройки!$B$13)&amp;"")="",1,IFERROR(--SUBSTITUTE(SUBSTITUTE(TRIM(INDEX(INDIRECT("'Выгрузка'!A2347:Z2347"),Настройки!$B$13)),",","."),".",MID(1/2,2,1)),"")))</f>
        <v/>
      </c>
      <c r="H2347">
        <f>IF(F2347="",0,IF(COUNTIF(Настройки!$B$17:$B$26,F2347)&gt;0,1,IF(COUNTIF(Настройки!$C$17:$C$26,F2347)&gt;0,2,IF(COUNTIF(Настройки!$D$17:$D$26,F2347)&gt;0,3,0))))</f>
        <v/>
      </c>
      <c r="I2347">
        <f>IF(AND(ISNUMBER(A2347),ISNUMBER(B2347)),A2347*1000+B2347,"")</f>
        <v/>
      </c>
      <c r="J2347">
        <f>IF(I2347="","",IF(COUNTIF(I$2:I2347,I2347)=1,MAX(J$1:J2346)+1,""))</f>
        <v/>
      </c>
    </row>
    <row r="2348">
      <c r="A2348">
        <f>IFERROR(--SUBSTITUTE(SUBSTITUTE(TRIM(INDEX(INDIRECT("'Выгрузка'!A2348:Z2348"),Настройки!$B$7)),",","."),".",MID(1/2,2,1)),"")</f>
        <v/>
      </c>
      <c r="B2348">
        <f>IFERROR(--SUBSTITUTE(SUBSTITUTE(TRIM(INDEX(INDIRECT("'Выгрузка'!A2348:Z2348"),Настройки!$B$9)),",","."),".",MID(1/2,2,1)),"")</f>
        <v/>
      </c>
      <c r="C2348">
        <f>TRIM(INDEX(INDIRECT("'Выгрузка'!A2348:Z2348"),Настройки!$B$8)&amp;"")</f>
        <v/>
      </c>
      <c r="D2348">
        <f>IFERROR(--SUBSTITUTE(SUBSTITUTE(TRIM(INDEX(INDIRECT("'Выгрузка'!A2348:Z2348"),Настройки!$B$10)),",","."),".",MID(1/2,2,1)),"")</f>
        <v/>
      </c>
      <c r="E2348">
        <f>IFERROR(--SUBSTITUTE(SUBSTITUTE(TRIM(INDEX(INDIRECT("'Выгрузка'!A2348:Z2348"),Настройки!$B$11)),",","."),".",MID(1/2,2,1)),"")</f>
        <v/>
      </c>
      <c r="F2348">
        <f>TRIM(INDEX(INDIRECT("'Выгрузка'!A2348:Z2348"),Настройки!$B$12)&amp;"")</f>
        <v/>
      </c>
      <c r="G2348">
        <f>IF(F2348="",0,IF(TRIM(INDEX(INDIRECT("'Выгрузка'!A2348:Z2348"),Настройки!$B$13)&amp;"")="",1,IFERROR(--SUBSTITUTE(SUBSTITUTE(TRIM(INDEX(INDIRECT("'Выгрузка'!A2348:Z2348"),Настройки!$B$13)),",","."),".",MID(1/2,2,1)),"")))</f>
        <v/>
      </c>
      <c r="H2348">
        <f>IF(F2348="",0,IF(COUNTIF(Настройки!$B$17:$B$26,F2348)&gt;0,1,IF(COUNTIF(Настройки!$C$17:$C$26,F2348)&gt;0,2,IF(COUNTIF(Настройки!$D$17:$D$26,F2348)&gt;0,3,0))))</f>
        <v/>
      </c>
      <c r="I2348">
        <f>IF(AND(ISNUMBER(A2348),ISNUMBER(B2348)),A2348*1000+B2348,"")</f>
        <v/>
      </c>
      <c r="J2348">
        <f>IF(I2348="","",IF(COUNTIF(I$2:I2348,I2348)=1,MAX(J$1:J2347)+1,""))</f>
        <v/>
      </c>
    </row>
    <row r="2349">
      <c r="A2349">
        <f>IFERROR(--SUBSTITUTE(SUBSTITUTE(TRIM(INDEX(INDIRECT("'Выгрузка'!A2349:Z2349"),Настройки!$B$7)),",","."),".",MID(1/2,2,1)),"")</f>
        <v/>
      </c>
      <c r="B2349">
        <f>IFERROR(--SUBSTITUTE(SUBSTITUTE(TRIM(INDEX(INDIRECT("'Выгрузка'!A2349:Z2349"),Настройки!$B$9)),",","."),".",MID(1/2,2,1)),"")</f>
        <v/>
      </c>
      <c r="C2349">
        <f>TRIM(INDEX(INDIRECT("'Выгрузка'!A2349:Z2349"),Настройки!$B$8)&amp;"")</f>
        <v/>
      </c>
      <c r="D2349">
        <f>IFERROR(--SUBSTITUTE(SUBSTITUTE(TRIM(INDEX(INDIRECT("'Выгрузка'!A2349:Z2349"),Настройки!$B$10)),",","."),".",MID(1/2,2,1)),"")</f>
        <v/>
      </c>
      <c r="E2349">
        <f>IFERROR(--SUBSTITUTE(SUBSTITUTE(TRIM(INDEX(INDIRECT("'Выгрузка'!A2349:Z2349"),Настройки!$B$11)),",","."),".",MID(1/2,2,1)),"")</f>
        <v/>
      </c>
      <c r="F2349">
        <f>TRIM(INDEX(INDIRECT("'Выгрузка'!A2349:Z2349"),Настройки!$B$12)&amp;"")</f>
        <v/>
      </c>
      <c r="G2349">
        <f>IF(F2349="",0,IF(TRIM(INDEX(INDIRECT("'Выгрузка'!A2349:Z2349"),Настройки!$B$13)&amp;"")="",1,IFERROR(--SUBSTITUTE(SUBSTITUTE(TRIM(INDEX(INDIRECT("'Выгрузка'!A2349:Z2349"),Настройки!$B$13)),",","."),".",MID(1/2,2,1)),"")))</f>
        <v/>
      </c>
      <c r="H2349">
        <f>IF(F2349="",0,IF(COUNTIF(Настройки!$B$17:$B$26,F2349)&gt;0,1,IF(COUNTIF(Настройки!$C$17:$C$26,F2349)&gt;0,2,IF(COUNTIF(Настройки!$D$17:$D$26,F2349)&gt;0,3,0))))</f>
        <v/>
      </c>
      <c r="I2349">
        <f>IF(AND(ISNUMBER(A2349),ISNUMBER(B2349)),A2349*1000+B2349,"")</f>
        <v/>
      </c>
      <c r="J2349">
        <f>IF(I2349="","",IF(COUNTIF(I$2:I2349,I2349)=1,MAX(J$1:J2348)+1,""))</f>
        <v/>
      </c>
    </row>
    <row r="2350">
      <c r="A2350">
        <f>IFERROR(--SUBSTITUTE(SUBSTITUTE(TRIM(INDEX(INDIRECT("'Выгрузка'!A2350:Z2350"),Настройки!$B$7)),",","."),".",MID(1/2,2,1)),"")</f>
        <v/>
      </c>
      <c r="B2350">
        <f>IFERROR(--SUBSTITUTE(SUBSTITUTE(TRIM(INDEX(INDIRECT("'Выгрузка'!A2350:Z2350"),Настройки!$B$9)),",","."),".",MID(1/2,2,1)),"")</f>
        <v/>
      </c>
      <c r="C2350">
        <f>TRIM(INDEX(INDIRECT("'Выгрузка'!A2350:Z2350"),Настройки!$B$8)&amp;"")</f>
        <v/>
      </c>
      <c r="D2350">
        <f>IFERROR(--SUBSTITUTE(SUBSTITUTE(TRIM(INDEX(INDIRECT("'Выгрузка'!A2350:Z2350"),Настройки!$B$10)),",","."),".",MID(1/2,2,1)),"")</f>
        <v/>
      </c>
      <c r="E2350">
        <f>IFERROR(--SUBSTITUTE(SUBSTITUTE(TRIM(INDEX(INDIRECT("'Выгрузка'!A2350:Z2350"),Настройки!$B$11)),",","."),".",MID(1/2,2,1)),"")</f>
        <v/>
      </c>
      <c r="F2350">
        <f>TRIM(INDEX(INDIRECT("'Выгрузка'!A2350:Z2350"),Настройки!$B$12)&amp;"")</f>
        <v/>
      </c>
      <c r="G2350">
        <f>IF(F2350="",0,IF(TRIM(INDEX(INDIRECT("'Выгрузка'!A2350:Z2350"),Настройки!$B$13)&amp;"")="",1,IFERROR(--SUBSTITUTE(SUBSTITUTE(TRIM(INDEX(INDIRECT("'Выгрузка'!A2350:Z2350"),Настройки!$B$13)),",","."),".",MID(1/2,2,1)),"")))</f>
        <v/>
      </c>
      <c r="H2350">
        <f>IF(F2350="",0,IF(COUNTIF(Настройки!$B$17:$B$26,F2350)&gt;0,1,IF(COUNTIF(Настройки!$C$17:$C$26,F2350)&gt;0,2,IF(COUNTIF(Настройки!$D$17:$D$26,F2350)&gt;0,3,0))))</f>
        <v/>
      </c>
      <c r="I2350">
        <f>IF(AND(ISNUMBER(A2350),ISNUMBER(B2350)),A2350*1000+B2350,"")</f>
        <v/>
      </c>
      <c r="J2350">
        <f>IF(I2350="","",IF(COUNTIF(I$2:I2350,I2350)=1,MAX(J$1:J2349)+1,""))</f>
        <v/>
      </c>
    </row>
    <row r="2351">
      <c r="A2351">
        <f>IFERROR(--SUBSTITUTE(SUBSTITUTE(TRIM(INDEX(INDIRECT("'Выгрузка'!A2351:Z2351"),Настройки!$B$7)),",","."),".",MID(1/2,2,1)),"")</f>
        <v/>
      </c>
      <c r="B2351">
        <f>IFERROR(--SUBSTITUTE(SUBSTITUTE(TRIM(INDEX(INDIRECT("'Выгрузка'!A2351:Z2351"),Настройки!$B$9)),",","."),".",MID(1/2,2,1)),"")</f>
        <v/>
      </c>
      <c r="C2351">
        <f>TRIM(INDEX(INDIRECT("'Выгрузка'!A2351:Z2351"),Настройки!$B$8)&amp;"")</f>
        <v/>
      </c>
      <c r="D2351">
        <f>IFERROR(--SUBSTITUTE(SUBSTITUTE(TRIM(INDEX(INDIRECT("'Выгрузка'!A2351:Z2351"),Настройки!$B$10)),",","."),".",MID(1/2,2,1)),"")</f>
        <v/>
      </c>
      <c r="E2351">
        <f>IFERROR(--SUBSTITUTE(SUBSTITUTE(TRIM(INDEX(INDIRECT("'Выгрузка'!A2351:Z2351"),Настройки!$B$11)),",","."),".",MID(1/2,2,1)),"")</f>
        <v/>
      </c>
      <c r="F2351">
        <f>TRIM(INDEX(INDIRECT("'Выгрузка'!A2351:Z2351"),Настройки!$B$12)&amp;"")</f>
        <v/>
      </c>
      <c r="G2351">
        <f>IF(F2351="",0,IF(TRIM(INDEX(INDIRECT("'Выгрузка'!A2351:Z2351"),Настройки!$B$13)&amp;"")="",1,IFERROR(--SUBSTITUTE(SUBSTITUTE(TRIM(INDEX(INDIRECT("'Выгрузка'!A2351:Z2351"),Настройки!$B$13)),",","."),".",MID(1/2,2,1)),"")))</f>
        <v/>
      </c>
      <c r="H2351">
        <f>IF(F2351="",0,IF(COUNTIF(Настройки!$B$17:$B$26,F2351)&gt;0,1,IF(COUNTIF(Настройки!$C$17:$C$26,F2351)&gt;0,2,IF(COUNTIF(Настройки!$D$17:$D$26,F2351)&gt;0,3,0))))</f>
        <v/>
      </c>
      <c r="I2351">
        <f>IF(AND(ISNUMBER(A2351),ISNUMBER(B2351)),A2351*1000+B2351,"")</f>
        <v/>
      </c>
      <c r="J2351">
        <f>IF(I2351="","",IF(COUNTIF(I$2:I2351,I2351)=1,MAX(J$1:J2350)+1,""))</f>
        <v/>
      </c>
    </row>
    <row r="2352">
      <c r="A2352">
        <f>IFERROR(--SUBSTITUTE(SUBSTITUTE(TRIM(INDEX(INDIRECT("'Выгрузка'!A2352:Z2352"),Настройки!$B$7)),",","."),".",MID(1/2,2,1)),"")</f>
        <v/>
      </c>
      <c r="B2352">
        <f>IFERROR(--SUBSTITUTE(SUBSTITUTE(TRIM(INDEX(INDIRECT("'Выгрузка'!A2352:Z2352"),Настройки!$B$9)),",","."),".",MID(1/2,2,1)),"")</f>
        <v/>
      </c>
      <c r="C2352">
        <f>TRIM(INDEX(INDIRECT("'Выгрузка'!A2352:Z2352"),Настройки!$B$8)&amp;"")</f>
        <v/>
      </c>
      <c r="D2352">
        <f>IFERROR(--SUBSTITUTE(SUBSTITUTE(TRIM(INDEX(INDIRECT("'Выгрузка'!A2352:Z2352"),Настройки!$B$10)),",","."),".",MID(1/2,2,1)),"")</f>
        <v/>
      </c>
      <c r="E2352">
        <f>IFERROR(--SUBSTITUTE(SUBSTITUTE(TRIM(INDEX(INDIRECT("'Выгрузка'!A2352:Z2352"),Настройки!$B$11)),",","."),".",MID(1/2,2,1)),"")</f>
        <v/>
      </c>
      <c r="F2352">
        <f>TRIM(INDEX(INDIRECT("'Выгрузка'!A2352:Z2352"),Настройки!$B$12)&amp;"")</f>
        <v/>
      </c>
      <c r="G2352">
        <f>IF(F2352="",0,IF(TRIM(INDEX(INDIRECT("'Выгрузка'!A2352:Z2352"),Настройки!$B$13)&amp;"")="",1,IFERROR(--SUBSTITUTE(SUBSTITUTE(TRIM(INDEX(INDIRECT("'Выгрузка'!A2352:Z2352"),Настройки!$B$13)),",","."),".",MID(1/2,2,1)),"")))</f>
        <v/>
      </c>
      <c r="H2352">
        <f>IF(F2352="",0,IF(COUNTIF(Настройки!$B$17:$B$26,F2352)&gt;0,1,IF(COUNTIF(Настройки!$C$17:$C$26,F2352)&gt;0,2,IF(COUNTIF(Настройки!$D$17:$D$26,F2352)&gt;0,3,0))))</f>
        <v/>
      </c>
      <c r="I2352">
        <f>IF(AND(ISNUMBER(A2352),ISNUMBER(B2352)),A2352*1000+B2352,"")</f>
        <v/>
      </c>
      <c r="J2352">
        <f>IF(I2352="","",IF(COUNTIF(I$2:I2352,I2352)=1,MAX(J$1:J2351)+1,""))</f>
        <v/>
      </c>
    </row>
    <row r="2353">
      <c r="A2353">
        <f>IFERROR(--SUBSTITUTE(SUBSTITUTE(TRIM(INDEX(INDIRECT("'Выгрузка'!A2353:Z2353"),Настройки!$B$7)),",","."),".",MID(1/2,2,1)),"")</f>
        <v/>
      </c>
      <c r="B2353">
        <f>IFERROR(--SUBSTITUTE(SUBSTITUTE(TRIM(INDEX(INDIRECT("'Выгрузка'!A2353:Z2353"),Настройки!$B$9)),",","."),".",MID(1/2,2,1)),"")</f>
        <v/>
      </c>
      <c r="C2353">
        <f>TRIM(INDEX(INDIRECT("'Выгрузка'!A2353:Z2353"),Настройки!$B$8)&amp;"")</f>
        <v/>
      </c>
      <c r="D2353">
        <f>IFERROR(--SUBSTITUTE(SUBSTITUTE(TRIM(INDEX(INDIRECT("'Выгрузка'!A2353:Z2353"),Настройки!$B$10)),",","."),".",MID(1/2,2,1)),"")</f>
        <v/>
      </c>
      <c r="E2353">
        <f>IFERROR(--SUBSTITUTE(SUBSTITUTE(TRIM(INDEX(INDIRECT("'Выгрузка'!A2353:Z2353"),Настройки!$B$11)),",","."),".",MID(1/2,2,1)),"")</f>
        <v/>
      </c>
      <c r="F2353">
        <f>TRIM(INDEX(INDIRECT("'Выгрузка'!A2353:Z2353"),Настройки!$B$12)&amp;"")</f>
        <v/>
      </c>
      <c r="G2353">
        <f>IF(F2353="",0,IF(TRIM(INDEX(INDIRECT("'Выгрузка'!A2353:Z2353"),Настройки!$B$13)&amp;"")="",1,IFERROR(--SUBSTITUTE(SUBSTITUTE(TRIM(INDEX(INDIRECT("'Выгрузка'!A2353:Z2353"),Настройки!$B$13)),",","."),".",MID(1/2,2,1)),"")))</f>
        <v/>
      </c>
      <c r="H2353">
        <f>IF(F2353="",0,IF(COUNTIF(Настройки!$B$17:$B$26,F2353)&gt;0,1,IF(COUNTIF(Настройки!$C$17:$C$26,F2353)&gt;0,2,IF(COUNTIF(Настройки!$D$17:$D$26,F2353)&gt;0,3,0))))</f>
        <v/>
      </c>
      <c r="I2353">
        <f>IF(AND(ISNUMBER(A2353),ISNUMBER(B2353)),A2353*1000+B2353,"")</f>
        <v/>
      </c>
      <c r="J2353">
        <f>IF(I2353="","",IF(COUNTIF(I$2:I2353,I2353)=1,MAX(J$1:J2352)+1,""))</f>
        <v/>
      </c>
    </row>
    <row r="2354">
      <c r="A2354">
        <f>IFERROR(--SUBSTITUTE(SUBSTITUTE(TRIM(INDEX(INDIRECT("'Выгрузка'!A2354:Z2354"),Настройки!$B$7)),",","."),".",MID(1/2,2,1)),"")</f>
        <v/>
      </c>
      <c r="B2354">
        <f>IFERROR(--SUBSTITUTE(SUBSTITUTE(TRIM(INDEX(INDIRECT("'Выгрузка'!A2354:Z2354"),Настройки!$B$9)),",","."),".",MID(1/2,2,1)),"")</f>
        <v/>
      </c>
      <c r="C2354">
        <f>TRIM(INDEX(INDIRECT("'Выгрузка'!A2354:Z2354"),Настройки!$B$8)&amp;"")</f>
        <v/>
      </c>
      <c r="D2354">
        <f>IFERROR(--SUBSTITUTE(SUBSTITUTE(TRIM(INDEX(INDIRECT("'Выгрузка'!A2354:Z2354"),Настройки!$B$10)),",","."),".",MID(1/2,2,1)),"")</f>
        <v/>
      </c>
      <c r="E2354">
        <f>IFERROR(--SUBSTITUTE(SUBSTITUTE(TRIM(INDEX(INDIRECT("'Выгрузка'!A2354:Z2354"),Настройки!$B$11)),",","."),".",MID(1/2,2,1)),"")</f>
        <v/>
      </c>
      <c r="F2354">
        <f>TRIM(INDEX(INDIRECT("'Выгрузка'!A2354:Z2354"),Настройки!$B$12)&amp;"")</f>
        <v/>
      </c>
      <c r="G2354">
        <f>IF(F2354="",0,IF(TRIM(INDEX(INDIRECT("'Выгрузка'!A2354:Z2354"),Настройки!$B$13)&amp;"")="",1,IFERROR(--SUBSTITUTE(SUBSTITUTE(TRIM(INDEX(INDIRECT("'Выгрузка'!A2354:Z2354"),Настройки!$B$13)),",","."),".",MID(1/2,2,1)),"")))</f>
        <v/>
      </c>
      <c r="H2354">
        <f>IF(F2354="",0,IF(COUNTIF(Настройки!$B$17:$B$26,F2354)&gt;0,1,IF(COUNTIF(Настройки!$C$17:$C$26,F2354)&gt;0,2,IF(COUNTIF(Настройки!$D$17:$D$26,F2354)&gt;0,3,0))))</f>
        <v/>
      </c>
      <c r="I2354">
        <f>IF(AND(ISNUMBER(A2354),ISNUMBER(B2354)),A2354*1000+B2354,"")</f>
        <v/>
      </c>
      <c r="J2354">
        <f>IF(I2354="","",IF(COUNTIF(I$2:I2354,I2354)=1,MAX(J$1:J2353)+1,""))</f>
        <v/>
      </c>
    </row>
    <row r="2355">
      <c r="A2355">
        <f>IFERROR(--SUBSTITUTE(SUBSTITUTE(TRIM(INDEX(INDIRECT("'Выгрузка'!A2355:Z2355"),Настройки!$B$7)),",","."),".",MID(1/2,2,1)),"")</f>
        <v/>
      </c>
      <c r="B2355">
        <f>IFERROR(--SUBSTITUTE(SUBSTITUTE(TRIM(INDEX(INDIRECT("'Выгрузка'!A2355:Z2355"),Настройки!$B$9)),",","."),".",MID(1/2,2,1)),"")</f>
        <v/>
      </c>
      <c r="C2355">
        <f>TRIM(INDEX(INDIRECT("'Выгрузка'!A2355:Z2355"),Настройки!$B$8)&amp;"")</f>
        <v/>
      </c>
      <c r="D2355">
        <f>IFERROR(--SUBSTITUTE(SUBSTITUTE(TRIM(INDEX(INDIRECT("'Выгрузка'!A2355:Z2355"),Настройки!$B$10)),",","."),".",MID(1/2,2,1)),"")</f>
        <v/>
      </c>
      <c r="E2355">
        <f>IFERROR(--SUBSTITUTE(SUBSTITUTE(TRIM(INDEX(INDIRECT("'Выгрузка'!A2355:Z2355"),Настройки!$B$11)),",","."),".",MID(1/2,2,1)),"")</f>
        <v/>
      </c>
      <c r="F2355">
        <f>TRIM(INDEX(INDIRECT("'Выгрузка'!A2355:Z2355"),Настройки!$B$12)&amp;"")</f>
        <v/>
      </c>
      <c r="G2355">
        <f>IF(F2355="",0,IF(TRIM(INDEX(INDIRECT("'Выгрузка'!A2355:Z2355"),Настройки!$B$13)&amp;"")="",1,IFERROR(--SUBSTITUTE(SUBSTITUTE(TRIM(INDEX(INDIRECT("'Выгрузка'!A2355:Z2355"),Настройки!$B$13)),",","."),".",MID(1/2,2,1)),"")))</f>
        <v/>
      </c>
      <c r="H2355">
        <f>IF(F2355="",0,IF(COUNTIF(Настройки!$B$17:$B$26,F2355)&gt;0,1,IF(COUNTIF(Настройки!$C$17:$C$26,F2355)&gt;0,2,IF(COUNTIF(Настройки!$D$17:$D$26,F2355)&gt;0,3,0))))</f>
        <v/>
      </c>
      <c r="I2355">
        <f>IF(AND(ISNUMBER(A2355),ISNUMBER(B2355)),A2355*1000+B2355,"")</f>
        <v/>
      </c>
      <c r="J2355">
        <f>IF(I2355="","",IF(COUNTIF(I$2:I2355,I2355)=1,MAX(J$1:J2354)+1,""))</f>
        <v/>
      </c>
    </row>
    <row r="2356">
      <c r="A2356">
        <f>IFERROR(--SUBSTITUTE(SUBSTITUTE(TRIM(INDEX(INDIRECT("'Выгрузка'!A2356:Z2356"),Настройки!$B$7)),",","."),".",MID(1/2,2,1)),"")</f>
        <v/>
      </c>
      <c r="B2356">
        <f>IFERROR(--SUBSTITUTE(SUBSTITUTE(TRIM(INDEX(INDIRECT("'Выгрузка'!A2356:Z2356"),Настройки!$B$9)),",","."),".",MID(1/2,2,1)),"")</f>
        <v/>
      </c>
      <c r="C2356">
        <f>TRIM(INDEX(INDIRECT("'Выгрузка'!A2356:Z2356"),Настройки!$B$8)&amp;"")</f>
        <v/>
      </c>
      <c r="D2356">
        <f>IFERROR(--SUBSTITUTE(SUBSTITUTE(TRIM(INDEX(INDIRECT("'Выгрузка'!A2356:Z2356"),Настройки!$B$10)),",","."),".",MID(1/2,2,1)),"")</f>
        <v/>
      </c>
      <c r="E2356">
        <f>IFERROR(--SUBSTITUTE(SUBSTITUTE(TRIM(INDEX(INDIRECT("'Выгрузка'!A2356:Z2356"),Настройки!$B$11)),",","."),".",MID(1/2,2,1)),"")</f>
        <v/>
      </c>
      <c r="F2356">
        <f>TRIM(INDEX(INDIRECT("'Выгрузка'!A2356:Z2356"),Настройки!$B$12)&amp;"")</f>
        <v/>
      </c>
      <c r="G2356">
        <f>IF(F2356="",0,IF(TRIM(INDEX(INDIRECT("'Выгрузка'!A2356:Z2356"),Настройки!$B$13)&amp;"")="",1,IFERROR(--SUBSTITUTE(SUBSTITUTE(TRIM(INDEX(INDIRECT("'Выгрузка'!A2356:Z2356"),Настройки!$B$13)),",","."),".",MID(1/2,2,1)),"")))</f>
        <v/>
      </c>
      <c r="H2356">
        <f>IF(F2356="",0,IF(COUNTIF(Настройки!$B$17:$B$26,F2356)&gt;0,1,IF(COUNTIF(Настройки!$C$17:$C$26,F2356)&gt;0,2,IF(COUNTIF(Настройки!$D$17:$D$26,F2356)&gt;0,3,0))))</f>
        <v/>
      </c>
      <c r="I2356">
        <f>IF(AND(ISNUMBER(A2356),ISNUMBER(B2356)),A2356*1000+B2356,"")</f>
        <v/>
      </c>
      <c r="J2356">
        <f>IF(I2356="","",IF(COUNTIF(I$2:I2356,I2356)=1,MAX(J$1:J2355)+1,""))</f>
        <v/>
      </c>
    </row>
    <row r="2357">
      <c r="A2357">
        <f>IFERROR(--SUBSTITUTE(SUBSTITUTE(TRIM(INDEX(INDIRECT("'Выгрузка'!A2357:Z2357"),Настройки!$B$7)),",","."),".",MID(1/2,2,1)),"")</f>
        <v/>
      </c>
      <c r="B2357">
        <f>IFERROR(--SUBSTITUTE(SUBSTITUTE(TRIM(INDEX(INDIRECT("'Выгрузка'!A2357:Z2357"),Настройки!$B$9)),",","."),".",MID(1/2,2,1)),"")</f>
        <v/>
      </c>
      <c r="C2357">
        <f>TRIM(INDEX(INDIRECT("'Выгрузка'!A2357:Z2357"),Настройки!$B$8)&amp;"")</f>
        <v/>
      </c>
      <c r="D2357">
        <f>IFERROR(--SUBSTITUTE(SUBSTITUTE(TRIM(INDEX(INDIRECT("'Выгрузка'!A2357:Z2357"),Настройки!$B$10)),",","."),".",MID(1/2,2,1)),"")</f>
        <v/>
      </c>
      <c r="E2357">
        <f>IFERROR(--SUBSTITUTE(SUBSTITUTE(TRIM(INDEX(INDIRECT("'Выгрузка'!A2357:Z2357"),Настройки!$B$11)),",","."),".",MID(1/2,2,1)),"")</f>
        <v/>
      </c>
      <c r="F2357">
        <f>TRIM(INDEX(INDIRECT("'Выгрузка'!A2357:Z2357"),Настройки!$B$12)&amp;"")</f>
        <v/>
      </c>
      <c r="G2357">
        <f>IF(F2357="",0,IF(TRIM(INDEX(INDIRECT("'Выгрузка'!A2357:Z2357"),Настройки!$B$13)&amp;"")="",1,IFERROR(--SUBSTITUTE(SUBSTITUTE(TRIM(INDEX(INDIRECT("'Выгрузка'!A2357:Z2357"),Настройки!$B$13)),",","."),".",MID(1/2,2,1)),"")))</f>
        <v/>
      </c>
      <c r="H2357">
        <f>IF(F2357="",0,IF(COUNTIF(Настройки!$B$17:$B$26,F2357)&gt;0,1,IF(COUNTIF(Настройки!$C$17:$C$26,F2357)&gt;0,2,IF(COUNTIF(Настройки!$D$17:$D$26,F2357)&gt;0,3,0))))</f>
        <v/>
      </c>
      <c r="I2357">
        <f>IF(AND(ISNUMBER(A2357),ISNUMBER(B2357)),A2357*1000+B2357,"")</f>
        <v/>
      </c>
      <c r="J2357">
        <f>IF(I2357="","",IF(COUNTIF(I$2:I2357,I2357)=1,MAX(J$1:J2356)+1,""))</f>
        <v/>
      </c>
    </row>
    <row r="2358">
      <c r="A2358">
        <f>IFERROR(--SUBSTITUTE(SUBSTITUTE(TRIM(INDEX(INDIRECT("'Выгрузка'!A2358:Z2358"),Настройки!$B$7)),",","."),".",MID(1/2,2,1)),"")</f>
        <v/>
      </c>
      <c r="B2358">
        <f>IFERROR(--SUBSTITUTE(SUBSTITUTE(TRIM(INDEX(INDIRECT("'Выгрузка'!A2358:Z2358"),Настройки!$B$9)),",","."),".",MID(1/2,2,1)),"")</f>
        <v/>
      </c>
      <c r="C2358">
        <f>TRIM(INDEX(INDIRECT("'Выгрузка'!A2358:Z2358"),Настройки!$B$8)&amp;"")</f>
        <v/>
      </c>
      <c r="D2358">
        <f>IFERROR(--SUBSTITUTE(SUBSTITUTE(TRIM(INDEX(INDIRECT("'Выгрузка'!A2358:Z2358"),Настройки!$B$10)),",","."),".",MID(1/2,2,1)),"")</f>
        <v/>
      </c>
      <c r="E2358">
        <f>IFERROR(--SUBSTITUTE(SUBSTITUTE(TRIM(INDEX(INDIRECT("'Выгрузка'!A2358:Z2358"),Настройки!$B$11)),",","."),".",MID(1/2,2,1)),"")</f>
        <v/>
      </c>
      <c r="F2358">
        <f>TRIM(INDEX(INDIRECT("'Выгрузка'!A2358:Z2358"),Настройки!$B$12)&amp;"")</f>
        <v/>
      </c>
      <c r="G2358">
        <f>IF(F2358="",0,IF(TRIM(INDEX(INDIRECT("'Выгрузка'!A2358:Z2358"),Настройки!$B$13)&amp;"")="",1,IFERROR(--SUBSTITUTE(SUBSTITUTE(TRIM(INDEX(INDIRECT("'Выгрузка'!A2358:Z2358"),Настройки!$B$13)),",","."),".",MID(1/2,2,1)),"")))</f>
        <v/>
      </c>
      <c r="H2358">
        <f>IF(F2358="",0,IF(COUNTIF(Настройки!$B$17:$B$26,F2358)&gt;0,1,IF(COUNTIF(Настройки!$C$17:$C$26,F2358)&gt;0,2,IF(COUNTIF(Настройки!$D$17:$D$26,F2358)&gt;0,3,0))))</f>
        <v/>
      </c>
      <c r="I2358">
        <f>IF(AND(ISNUMBER(A2358),ISNUMBER(B2358)),A2358*1000+B2358,"")</f>
        <v/>
      </c>
      <c r="J2358">
        <f>IF(I2358="","",IF(COUNTIF(I$2:I2358,I2358)=1,MAX(J$1:J2357)+1,""))</f>
        <v/>
      </c>
    </row>
    <row r="2359">
      <c r="A2359">
        <f>IFERROR(--SUBSTITUTE(SUBSTITUTE(TRIM(INDEX(INDIRECT("'Выгрузка'!A2359:Z2359"),Настройки!$B$7)),",","."),".",MID(1/2,2,1)),"")</f>
        <v/>
      </c>
      <c r="B2359">
        <f>IFERROR(--SUBSTITUTE(SUBSTITUTE(TRIM(INDEX(INDIRECT("'Выгрузка'!A2359:Z2359"),Настройки!$B$9)),",","."),".",MID(1/2,2,1)),"")</f>
        <v/>
      </c>
      <c r="C2359">
        <f>TRIM(INDEX(INDIRECT("'Выгрузка'!A2359:Z2359"),Настройки!$B$8)&amp;"")</f>
        <v/>
      </c>
      <c r="D2359">
        <f>IFERROR(--SUBSTITUTE(SUBSTITUTE(TRIM(INDEX(INDIRECT("'Выгрузка'!A2359:Z2359"),Настройки!$B$10)),",","."),".",MID(1/2,2,1)),"")</f>
        <v/>
      </c>
      <c r="E2359">
        <f>IFERROR(--SUBSTITUTE(SUBSTITUTE(TRIM(INDEX(INDIRECT("'Выгрузка'!A2359:Z2359"),Настройки!$B$11)),",","."),".",MID(1/2,2,1)),"")</f>
        <v/>
      </c>
      <c r="F2359">
        <f>TRIM(INDEX(INDIRECT("'Выгрузка'!A2359:Z2359"),Настройки!$B$12)&amp;"")</f>
        <v/>
      </c>
      <c r="G2359">
        <f>IF(F2359="",0,IF(TRIM(INDEX(INDIRECT("'Выгрузка'!A2359:Z2359"),Настройки!$B$13)&amp;"")="",1,IFERROR(--SUBSTITUTE(SUBSTITUTE(TRIM(INDEX(INDIRECT("'Выгрузка'!A2359:Z2359"),Настройки!$B$13)),",","."),".",MID(1/2,2,1)),"")))</f>
        <v/>
      </c>
      <c r="H2359">
        <f>IF(F2359="",0,IF(COUNTIF(Настройки!$B$17:$B$26,F2359)&gt;0,1,IF(COUNTIF(Настройки!$C$17:$C$26,F2359)&gt;0,2,IF(COUNTIF(Настройки!$D$17:$D$26,F2359)&gt;0,3,0))))</f>
        <v/>
      </c>
      <c r="I2359">
        <f>IF(AND(ISNUMBER(A2359),ISNUMBER(B2359)),A2359*1000+B2359,"")</f>
        <v/>
      </c>
      <c r="J2359">
        <f>IF(I2359="","",IF(COUNTIF(I$2:I2359,I2359)=1,MAX(J$1:J2358)+1,""))</f>
        <v/>
      </c>
    </row>
    <row r="2360">
      <c r="A2360">
        <f>IFERROR(--SUBSTITUTE(SUBSTITUTE(TRIM(INDEX(INDIRECT("'Выгрузка'!A2360:Z2360"),Настройки!$B$7)),",","."),".",MID(1/2,2,1)),"")</f>
        <v/>
      </c>
      <c r="B2360">
        <f>IFERROR(--SUBSTITUTE(SUBSTITUTE(TRIM(INDEX(INDIRECT("'Выгрузка'!A2360:Z2360"),Настройки!$B$9)),",","."),".",MID(1/2,2,1)),"")</f>
        <v/>
      </c>
      <c r="C2360">
        <f>TRIM(INDEX(INDIRECT("'Выгрузка'!A2360:Z2360"),Настройки!$B$8)&amp;"")</f>
        <v/>
      </c>
      <c r="D2360">
        <f>IFERROR(--SUBSTITUTE(SUBSTITUTE(TRIM(INDEX(INDIRECT("'Выгрузка'!A2360:Z2360"),Настройки!$B$10)),",","."),".",MID(1/2,2,1)),"")</f>
        <v/>
      </c>
      <c r="E2360">
        <f>IFERROR(--SUBSTITUTE(SUBSTITUTE(TRIM(INDEX(INDIRECT("'Выгрузка'!A2360:Z2360"),Настройки!$B$11)),",","."),".",MID(1/2,2,1)),"")</f>
        <v/>
      </c>
      <c r="F2360">
        <f>TRIM(INDEX(INDIRECT("'Выгрузка'!A2360:Z2360"),Настройки!$B$12)&amp;"")</f>
        <v/>
      </c>
      <c r="G2360">
        <f>IF(F2360="",0,IF(TRIM(INDEX(INDIRECT("'Выгрузка'!A2360:Z2360"),Настройки!$B$13)&amp;"")="",1,IFERROR(--SUBSTITUTE(SUBSTITUTE(TRIM(INDEX(INDIRECT("'Выгрузка'!A2360:Z2360"),Настройки!$B$13)),",","."),".",MID(1/2,2,1)),"")))</f>
        <v/>
      </c>
      <c r="H2360">
        <f>IF(F2360="",0,IF(COUNTIF(Настройки!$B$17:$B$26,F2360)&gt;0,1,IF(COUNTIF(Настройки!$C$17:$C$26,F2360)&gt;0,2,IF(COUNTIF(Настройки!$D$17:$D$26,F2360)&gt;0,3,0))))</f>
        <v/>
      </c>
      <c r="I2360">
        <f>IF(AND(ISNUMBER(A2360),ISNUMBER(B2360)),A2360*1000+B2360,"")</f>
        <v/>
      </c>
      <c r="J2360">
        <f>IF(I2360="","",IF(COUNTIF(I$2:I2360,I2360)=1,MAX(J$1:J2359)+1,""))</f>
        <v/>
      </c>
    </row>
    <row r="2361">
      <c r="A2361">
        <f>IFERROR(--SUBSTITUTE(SUBSTITUTE(TRIM(INDEX(INDIRECT("'Выгрузка'!A2361:Z2361"),Настройки!$B$7)),",","."),".",MID(1/2,2,1)),"")</f>
        <v/>
      </c>
      <c r="B2361">
        <f>IFERROR(--SUBSTITUTE(SUBSTITUTE(TRIM(INDEX(INDIRECT("'Выгрузка'!A2361:Z2361"),Настройки!$B$9)),",","."),".",MID(1/2,2,1)),"")</f>
        <v/>
      </c>
      <c r="C2361">
        <f>TRIM(INDEX(INDIRECT("'Выгрузка'!A2361:Z2361"),Настройки!$B$8)&amp;"")</f>
        <v/>
      </c>
      <c r="D2361">
        <f>IFERROR(--SUBSTITUTE(SUBSTITUTE(TRIM(INDEX(INDIRECT("'Выгрузка'!A2361:Z2361"),Настройки!$B$10)),",","."),".",MID(1/2,2,1)),"")</f>
        <v/>
      </c>
      <c r="E2361">
        <f>IFERROR(--SUBSTITUTE(SUBSTITUTE(TRIM(INDEX(INDIRECT("'Выгрузка'!A2361:Z2361"),Настройки!$B$11)),",","."),".",MID(1/2,2,1)),"")</f>
        <v/>
      </c>
      <c r="F2361">
        <f>TRIM(INDEX(INDIRECT("'Выгрузка'!A2361:Z2361"),Настройки!$B$12)&amp;"")</f>
        <v/>
      </c>
      <c r="G2361">
        <f>IF(F2361="",0,IF(TRIM(INDEX(INDIRECT("'Выгрузка'!A2361:Z2361"),Настройки!$B$13)&amp;"")="",1,IFERROR(--SUBSTITUTE(SUBSTITUTE(TRIM(INDEX(INDIRECT("'Выгрузка'!A2361:Z2361"),Настройки!$B$13)),",","."),".",MID(1/2,2,1)),"")))</f>
        <v/>
      </c>
      <c r="H2361">
        <f>IF(F2361="",0,IF(COUNTIF(Настройки!$B$17:$B$26,F2361)&gt;0,1,IF(COUNTIF(Настройки!$C$17:$C$26,F2361)&gt;0,2,IF(COUNTIF(Настройки!$D$17:$D$26,F2361)&gt;0,3,0))))</f>
        <v/>
      </c>
      <c r="I2361">
        <f>IF(AND(ISNUMBER(A2361),ISNUMBER(B2361)),A2361*1000+B2361,"")</f>
        <v/>
      </c>
      <c r="J2361">
        <f>IF(I2361="","",IF(COUNTIF(I$2:I2361,I2361)=1,MAX(J$1:J2360)+1,""))</f>
        <v/>
      </c>
    </row>
    <row r="2362">
      <c r="A2362">
        <f>IFERROR(--SUBSTITUTE(SUBSTITUTE(TRIM(INDEX(INDIRECT("'Выгрузка'!A2362:Z2362"),Настройки!$B$7)),",","."),".",MID(1/2,2,1)),"")</f>
        <v/>
      </c>
      <c r="B2362">
        <f>IFERROR(--SUBSTITUTE(SUBSTITUTE(TRIM(INDEX(INDIRECT("'Выгрузка'!A2362:Z2362"),Настройки!$B$9)),",","."),".",MID(1/2,2,1)),"")</f>
        <v/>
      </c>
      <c r="C2362">
        <f>TRIM(INDEX(INDIRECT("'Выгрузка'!A2362:Z2362"),Настройки!$B$8)&amp;"")</f>
        <v/>
      </c>
      <c r="D2362">
        <f>IFERROR(--SUBSTITUTE(SUBSTITUTE(TRIM(INDEX(INDIRECT("'Выгрузка'!A2362:Z2362"),Настройки!$B$10)),",","."),".",MID(1/2,2,1)),"")</f>
        <v/>
      </c>
      <c r="E2362">
        <f>IFERROR(--SUBSTITUTE(SUBSTITUTE(TRIM(INDEX(INDIRECT("'Выгрузка'!A2362:Z2362"),Настройки!$B$11)),",","."),".",MID(1/2,2,1)),"")</f>
        <v/>
      </c>
      <c r="F2362">
        <f>TRIM(INDEX(INDIRECT("'Выгрузка'!A2362:Z2362"),Настройки!$B$12)&amp;"")</f>
        <v/>
      </c>
      <c r="G2362">
        <f>IF(F2362="",0,IF(TRIM(INDEX(INDIRECT("'Выгрузка'!A2362:Z2362"),Настройки!$B$13)&amp;"")="",1,IFERROR(--SUBSTITUTE(SUBSTITUTE(TRIM(INDEX(INDIRECT("'Выгрузка'!A2362:Z2362"),Настройки!$B$13)),",","."),".",MID(1/2,2,1)),"")))</f>
        <v/>
      </c>
      <c r="H2362">
        <f>IF(F2362="",0,IF(COUNTIF(Настройки!$B$17:$B$26,F2362)&gt;0,1,IF(COUNTIF(Настройки!$C$17:$C$26,F2362)&gt;0,2,IF(COUNTIF(Настройки!$D$17:$D$26,F2362)&gt;0,3,0))))</f>
        <v/>
      </c>
      <c r="I2362">
        <f>IF(AND(ISNUMBER(A2362),ISNUMBER(B2362)),A2362*1000+B2362,"")</f>
        <v/>
      </c>
      <c r="J2362">
        <f>IF(I2362="","",IF(COUNTIF(I$2:I2362,I2362)=1,MAX(J$1:J2361)+1,""))</f>
        <v/>
      </c>
    </row>
    <row r="2363">
      <c r="A2363">
        <f>IFERROR(--SUBSTITUTE(SUBSTITUTE(TRIM(INDEX(INDIRECT("'Выгрузка'!A2363:Z2363"),Настройки!$B$7)),",","."),".",MID(1/2,2,1)),"")</f>
        <v/>
      </c>
      <c r="B2363">
        <f>IFERROR(--SUBSTITUTE(SUBSTITUTE(TRIM(INDEX(INDIRECT("'Выгрузка'!A2363:Z2363"),Настройки!$B$9)),",","."),".",MID(1/2,2,1)),"")</f>
        <v/>
      </c>
      <c r="C2363">
        <f>TRIM(INDEX(INDIRECT("'Выгрузка'!A2363:Z2363"),Настройки!$B$8)&amp;"")</f>
        <v/>
      </c>
      <c r="D2363">
        <f>IFERROR(--SUBSTITUTE(SUBSTITUTE(TRIM(INDEX(INDIRECT("'Выгрузка'!A2363:Z2363"),Настройки!$B$10)),",","."),".",MID(1/2,2,1)),"")</f>
        <v/>
      </c>
      <c r="E2363">
        <f>IFERROR(--SUBSTITUTE(SUBSTITUTE(TRIM(INDEX(INDIRECT("'Выгрузка'!A2363:Z2363"),Настройки!$B$11)),",","."),".",MID(1/2,2,1)),"")</f>
        <v/>
      </c>
      <c r="F2363">
        <f>TRIM(INDEX(INDIRECT("'Выгрузка'!A2363:Z2363"),Настройки!$B$12)&amp;"")</f>
        <v/>
      </c>
      <c r="G2363">
        <f>IF(F2363="",0,IF(TRIM(INDEX(INDIRECT("'Выгрузка'!A2363:Z2363"),Настройки!$B$13)&amp;"")="",1,IFERROR(--SUBSTITUTE(SUBSTITUTE(TRIM(INDEX(INDIRECT("'Выгрузка'!A2363:Z2363"),Настройки!$B$13)),",","."),".",MID(1/2,2,1)),"")))</f>
        <v/>
      </c>
      <c r="H2363">
        <f>IF(F2363="",0,IF(COUNTIF(Настройки!$B$17:$B$26,F2363)&gt;0,1,IF(COUNTIF(Настройки!$C$17:$C$26,F2363)&gt;0,2,IF(COUNTIF(Настройки!$D$17:$D$26,F2363)&gt;0,3,0))))</f>
        <v/>
      </c>
      <c r="I2363">
        <f>IF(AND(ISNUMBER(A2363),ISNUMBER(B2363)),A2363*1000+B2363,"")</f>
        <v/>
      </c>
      <c r="J2363">
        <f>IF(I2363="","",IF(COUNTIF(I$2:I2363,I2363)=1,MAX(J$1:J2362)+1,""))</f>
        <v/>
      </c>
    </row>
    <row r="2364">
      <c r="A2364">
        <f>IFERROR(--SUBSTITUTE(SUBSTITUTE(TRIM(INDEX(INDIRECT("'Выгрузка'!A2364:Z2364"),Настройки!$B$7)),",","."),".",MID(1/2,2,1)),"")</f>
        <v/>
      </c>
      <c r="B2364">
        <f>IFERROR(--SUBSTITUTE(SUBSTITUTE(TRIM(INDEX(INDIRECT("'Выгрузка'!A2364:Z2364"),Настройки!$B$9)),",","."),".",MID(1/2,2,1)),"")</f>
        <v/>
      </c>
      <c r="C2364">
        <f>TRIM(INDEX(INDIRECT("'Выгрузка'!A2364:Z2364"),Настройки!$B$8)&amp;"")</f>
        <v/>
      </c>
      <c r="D2364">
        <f>IFERROR(--SUBSTITUTE(SUBSTITUTE(TRIM(INDEX(INDIRECT("'Выгрузка'!A2364:Z2364"),Настройки!$B$10)),",","."),".",MID(1/2,2,1)),"")</f>
        <v/>
      </c>
      <c r="E2364">
        <f>IFERROR(--SUBSTITUTE(SUBSTITUTE(TRIM(INDEX(INDIRECT("'Выгрузка'!A2364:Z2364"),Настройки!$B$11)),",","."),".",MID(1/2,2,1)),"")</f>
        <v/>
      </c>
      <c r="F2364">
        <f>TRIM(INDEX(INDIRECT("'Выгрузка'!A2364:Z2364"),Настройки!$B$12)&amp;"")</f>
        <v/>
      </c>
      <c r="G2364">
        <f>IF(F2364="",0,IF(TRIM(INDEX(INDIRECT("'Выгрузка'!A2364:Z2364"),Настройки!$B$13)&amp;"")="",1,IFERROR(--SUBSTITUTE(SUBSTITUTE(TRIM(INDEX(INDIRECT("'Выгрузка'!A2364:Z2364"),Настройки!$B$13)),",","."),".",MID(1/2,2,1)),"")))</f>
        <v/>
      </c>
      <c r="H2364">
        <f>IF(F2364="",0,IF(COUNTIF(Настройки!$B$17:$B$26,F2364)&gt;0,1,IF(COUNTIF(Настройки!$C$17:$C$26,F2364)&gt;0,2,IF(COUNTIF(Настройки!$D$17:$D$26,F2364)&gt;0,3,0))))</f>
        <v/>
      </c>
      <c r="I2364">
        <f>IF(AND(ISNUMBER(A2364),ISNUMBER(B2364)),A2364*1000+B2364,"")</f>
        <v/>
      </c>
      <c r="J2364">
        <f>IF(I2364="","",IF(COUNTIF(I$2:I2364,I2364)=1,MAX(J$1:J2363)+1,""))</f>
        <v/>
      </c>
    </row>
    <row r="2365">
      <c r="A2365">
        <f>IFERROR(--SUBSTITUTE(SUBSTITUTE(TRIM(INDEX(INDIRECT("'Выгрузка'!A2365:Z2365"),Настройки!$B$7)),",","."),".",MID(1/2,2,1)),"")</f>
        <v/>
      </c>
      <c r="B2365">
        <f>IFERROR(--SUBSTITUTE(SUBSTITUTE(TRIM(INDEX(INDIRECT("'Выгрузка'!A2365:Z2365"),Настройки!$B$9)),",","."),".",MID(1/2,2,1)),"")</f>
        <v/>
      </c>
      <c r="C2365">
        <f>TRIM(INDEX(INDIRECT("'Выгрузка'!A2365:Z2365"),Настройки!$B$8)&amp;"")</f>
        <v/>
      </c>
      <c r="D2365">
        <f>IFERROR(--SUBSTITUTE(SUBSTITUTE(TRIM(INDEX(INDIRECT("'Выгрузка'!A2365:Z2365"),Настройки!$B$10)),",","."),".",MID(1/2,2,1)),"")</f>
        <v/>
      </c>
      <c r="E2365">
        <f>IFERROR(--SUBSTITUTE(SUBSTITUTE(TRIM(INDEX(INDIRECT("'Выгрузка'!A2365:Z2365"),Настройки!$B$11)),",","."),".",MID(1/2,2,1)),"")</f>
        <v/>
      </c>
      <c r="F2365">
        <f>TRIM(INDEX(INDIRECT("'Выгрузка'!A2365:Z2365"),Настройки!$B$12)&amp;"")</f>
        <v/>
      </c>
      <c r="G2365">
        <f>IF(F2365="",0,IF(TRIM(INDEX(INDIRECT("'Выгрузка'!A2365:Z2365"),Настройки!$B$13)&amp;"")="",1,IFERROR(--SUBSTITUTE(SUBSTITUTE(TRIM(INDEX(INDIRECT("'Выгрузка'!A2365:Z2365"),Настройки!$B$13)),",","."),".",MID(1/2,2,1)),"")))</f>
        <v/>
      </c>
      <c r="H2365">
        <f>IF(F2365="",0,IF(COUNTIF(Настройки!$B$17:$B$26,F2365)&gt;0,1,IF(COUNTIF(Настройки!$C$17:$C$26,F2365)&gt;0,2,IF(COUNTIF(Настройки!$D$17:$D$26,F2365)&gt;0,3,0))))</f>
        <v/>
      </c>
      <c r="I2365">
        <f>IF(AND(ISNUMBER(A2365),ISNUMBER(B2365)),A2365*1000+B2365,"")</f>
        <v/>
      </c>
      <c r="J2365">
        <f>IF(I2365="","",IF(COUNTIF(I$2:I2365,I2365)=1,MAX(J$1:J2364)+1,""))</f>
        <v/>
      </c>
    </row>
    <row r="2366">
      <c r="A2366">
        <f>IFERROR(--SUBSTITUTE(SUBSTITUTE(TRIM(INDEX(INDIRECT("'Выгрузка'!A2366:Z2366"),Настройки!$B$7)),",","."),".",MID(1/2,2,1)),"")</f>
        <v/>
      </c>
      <c r="B2366">
        <f>IFERROR(--SUBSTITUTE(SUBSTITUTE(TRIM(INDEX(INDIRECT("'Выгрузка'!A2366:Z2366"),Настройки!$B$9)),",","."),".",MID(1/2,2,1)),"")</f>
        <v/>
      </c>
      <c r="C2366">
        <f>TRIM(INDEX(INDIRECT("'Выгрузка'!A2366:Z2366"),Настройки!$B$8)&amp;"")</f>
        <v/>
      </c>
      <c r="D2366">
        <f>IFERROR(--SUBSTITUTE(SUBSTITUTE(TRIM(INDEX(INDIRECT("'Выгрузка'!A2366:Z2366"),Настройки!$B$10)),",","."),".",MID(1/2,2,1)),"")</f>
        <v/>
      </c>
      <c r="E2366">
        <f>IFERROR(--SUBSTITUTE(SUBSTITUTE(TRIM(INDEX(INDIRECT("'Выгрузка'!A2366:Z2366"),Настройки!$B$11)),",","."),".",MID(1/2,2,1)),"")</f>
        <v/>
      </c>
      <c r="F2366">
        <f>TRIM(INDEX(INDIRECT("'Выгрузка'!A2366:Z2366"),Настройки!$B$12)&amp;"")</f>
        <v/>
      </c>
      <c r="G2366">
        <f>IF(F2366="",0,IF(TRIM(INDEX(INDIRECT("'Выгрузка'!A2366:Z2366"),Настройки!$B$13)&amp;"")="",1,IFERROR(--SUBSTITUTE(SUBSTITUTE(TRIM(INDEX(INDIRECT("'Выгрузка'!A2366:Z2366"),Настройки!$B$13)),",","."),".",MID(1/2,2,1)),"")))</f>
        <v/>
      </c>
      <c r="H2366">
        <f>IF(F2366="",0,IF(COUNTIF(Настройки!$B$17:$B$26,F2366)&gt;0,1,IF(COUNTIF(Настройки!$C$17:$C$26,F2366)&gt;0,2,IF(COUNTIF(Настройки!$D$17:$D$26,F2366)&gt;0,3,0))))</f>
        <v/>
      </c>
      <c r="I2366">
        <f>IF(AND(ISNUMBER(A2366),ISNUMBER(B2366)),A2366*1000+B2366,"")</f>
        <v/>
      </c>
      <c r="J2366">
        <f>IF(I2366="","",IF(COUNTIF(I$2:I2366,I2366)=1,MAX(J$1:J2365)+1,""))</f>
        <v/>
      </c>
    </row>
    <row r="2367">
      <c r="A2367">
        <f>IFERROR(--SUBSTITUTE(SUBSTITUTE(TRIM(INDEX(INDIRECT("'Выгрузка'!A2367:Z2367"),Настройки!$B$7)),",","."),".",MID(1/2,2,1)),"")</f>
        <v/>
      </c>
      <c r="B2367">
        <f>IFERROR(--SUBSTITUTE(SUBSTITUTE(TRIM(INDEX(INDIRECT("'Выгрузка'!A2367:Z2367"),Настройки!$B$9)),",","."),".",MID(1/2,2,1)),"")</f>
        <v/>
      </c>
      <c r="C2367">
        <f>TRIM(INDEX(INDIRECT("'Выгрузка'!A2367:Z2367"),Настройки!$B$8)&amp;"")</f>
        <v/>
      </c>
      <c r="D2367">
        <f>IFERROR(--SUBSTITUTE(SUBSTITUTE(TRIM(INDEX(INDIRECT("'Выгрузка'!A2367:Z2367"),Настройки!$B$10)),",","."),".",MID(1/2,2,1)),"")</f>
        <v/>
      </c>
      <c r="E2367">
        <f>IFERROR(--SUBSTITUTE(SUBSTITUTE(TRIM(INDEX(INDIRECT("'Выгрузка'!A2367:Z2367"),Настройки!$B$11)),",","."),".",MID(1/2,2,1)),"")</f>
        <v/>
      </c>
      <c r="F2367">
        <f>TRIM(INDEX(INDIRECT("'Выгрузка'!A2367:Z2367"),Настройки!$B$12)&amp;"")</f>
        <v/>
      </c>
      <c r="G2367">
        <f>IF(F2367="",0,IF(TRIM(INDEX(INDIRECT("'Выгрузка'!A2367:Z2367"),Настройки!$B$13)&amp;"")="",1,IFERROR(--SUBSTITUTE(SUBSTITUTE(TRIM(INDEX(INDIRECT("'Выгрузка'!A2367:Z2367"),Настройки!$B$13)),",","."),".",MID(1/2,2,1)),"")))</f>
        <v/>
      </c>
      <c r="H2367">
        <f>IF(F2367="",0,IF(COUNTIF(Настройки!$B$17:$B$26,F2367)&gt;0,1,IF(COUNTIF(Настройки!$C$17:$C$26,F2367)&gt;0,2,IF(COUNTIF(Настройки!$D$17:$D$26,F2367)&gt;0,3,0))))</f>
        <v/>
      </c>
      <c r="I2367">
        <f>IF(AND(ISNUMBER(A2367),ISNUMBER(B2367)),A2367*1000+B2367,"")</f>
        <v/>
      </c>
      <c r="J2367">
        <f>IF(I2367="","",IF(COUNTIF(I$2:I2367,I2367)=1,MAX(J$1:J2366)+1,""))</f>
        <v/>
      </c>
    </row>
    <row r="2368">
      <c r="A2368">
        <f>IFERROR(--SUBSTITUTE(SUBSTITUTE(TRIM(INDEX(INDIRECT("'Выгрузка'!A2368:Z2368"),Настройки!$B$7)),",","."),".",MID(1/2,2,1)),"")</f>
        <v/>
      </c>
      <c r="B2368">
        <f>IFERROR(--SUBSTITUTE(SUBSTITUTE(TRIM(INDEX(INDIRECT("'Выгрузка'!A2368:Z2368"),Настройки!$B$9)),",","."),".",MID(1/2,2,1)),"")</f>
        <v/>
      </c>
      <c r="C2368">
        <f>TRIM(INDEX(INDIRECT("'Выгрузка'!A2368:Z2368"),Настройки!$B$8)&amp;"")</f>
        <v/>
      </c>
      <c r="D2368">
        <f>IFERROR(--SUBSTITUTE(SUBSTITUTE(TRIM(INDEX(INDIRECT("'Выгрузка'!A2368:Z2368"),Настройки!$B$10)),",","."),".",MID(1/2,2,1)),"")</f>
        <v/>
      </c>
      <c r="E2368">
        <f>IFERROR(--SUBSTITUTE(SUBSTITUTE(TRIM(INDEX(INDIRECT("'Выгрузка'!A2368:Z2368"),Настройки!$B$11)),",","."),".",MID(1/2,2,1)),"")</f>
        <v/>
      </c>
      <c r="F2368">
        <f>TRIM(INDEX(INDIRECT("'Выгрузка'!A2368:Z2368"),Настройки!$B$12)&amp;"")</f>
        <v/>
      </c>
      <c r="G2368">
        <f>IF(F2368="",0,IF(TRIM(INDEX(INDIRECT("'Выгрузка'!A2368:Z2368"),Настройки!$B$13)&amp;"")="",1,IFERROR(--SUBSTITUTE(SUBSTITUTE(TRIM(INDEX(INDIRECT("'Выгрузка'!A2368:Z2368"),Настройки!$B$13)),",","."),".",MID(1/2,2,1)),"")))</f>
        <v/>
      </c>
      <c r="H2368">
        <f>IF(F2368="",0,IF(COUNTIF(Настройки!$B$17:$B$26,F2368)&gt;0,1,IF(COUNTIF(Настройки!$C$17:$C$26,F2368)&gt;0,2,IF(COUNTIF(Настройки!$D$17:$D$26,F2368)&gt;0,3,0))))</f>
        <v/>
      </c>
      <c r="I2368">
        <f>IF(AND(ISNUMBER(A2368),ISNUMBER(B2368)),A2368*1000+B2368,"")</f>
        <v/>
      </c>
      <c r="J2368">
        <f>IF(I2368="","",IF(COUNTIF(I$2:I2368,I2368)=1,MAX(J$1:J2367)+1,""))</f>
        <v/>
      </c>
    </row>
    <row r="2369">
      <c r="A2369">
        <f>IFERROR(--SUBSTITUTE(SUBSTITUTE(TRIM(INDEX(INDIRECT("'Выгрузка'!A2369:Z2369"),Настройки!$B$7)),",","."),".",MID(1/2,2,1)),"")</f>
        <v/>
      </c>
      <c r="B2369">
        <f>IFERROR(--SUBSTITUTE(SUBSTITUTE(TRIM(INDEX(INDIRECT("'Выгрузка'!A2369:Z2369"),Настройки!$B$9)),",","."),".",MID(1/2,2,1)),"")</f>
        <v/>
      </c>
      <c r="C2369">
        <f>TRIM(INDEX(INDIRECT("'Выгрузка'!A2369:Z2369"),Настройки!$B$8)&amp;"")</f>
        <v/>
      </c>
      <c r="D2369">
        <f>IFERROR(--SUBSTITUTE(SUBSTITUTE(TRIM(INDEX(INDIRECT("'Выгрузка'!A2369:Z2369"),Настройки!$B$10)),",","."),".",MID(1/2,2,1)),"")</f>
        <v/>
      </c>
      <c r="E2369">
        <f>IFERROR(--SUBSTITUTE(SUBSTITUTE(TRIM(INDEX(INDIRECT("'Выгрузка'!A2369:Z2369"),Настройки!$B$11)),",","."),".",MID(1/2,2,1)),"")</f>
        <v/>
      </c>
      <c r="F2369">
        <f>TRIM(INDEX(INDIRECT("'Выгрузка'!A2369:Z2369"),Настройки!$B$12)&amp;"")</f>
        <v/>
      </c>
      <c r="G2369">
        <f>IF(F2369="",0,IF(TRIM(INDEX(INDIRECT("'Выгрузка'!A2369:Z2369"),Настройки!$B$13)&amp;"")="",1,IFERROR(--SUBSTITUTE(SUBSTITUTE(TRIM(INDEX(INDIRECT("'Выгрузка'!A2369:Z2369"),Настройки!$B$13)),",","."),".",MID(1/2,2,1)),"")))</f>
        <v/>
      </c>
      <c r="H2369">
        <f>IF(F2369="",0,IF(COUNTIF(Настройки!$B$17:$B$26,F2369)&gt;0,1,IF(COUNTIF(Настройки!$C$17:$C$26,F2369)&gt;0,2,IF(COUNTIF(Настройки!$D$17:$D$26,F2369)&gt;0,3,0))))</f>
        <v/>
      </c>
      <c r="I2369">
        <f>IF(AND(ISNUMBER(A2369),ISNUMBER(B2369)),A2369*1000+B2369,"")</f>
        <v/>
      </c>
      <c r="J2369">
        <f>IF(I2369="","",IF(COUNTIF(I$2:I2369,I2369)=1,MAX(J$1:J2368)+1,""))</f>
        <v/>
      </c>
    </row>
    <row r="2370">
      <c r="A2370">
        <f>IFERROR(--SUBSTITUTE(SUBSTITUTE(TRIM(INDEX(INDIRECT("'Выгрузка'!A2370:Z2370"),Настройки!$B$7)),",","."),".",MID(1/2,2,1)),"")</f>
        <v/>
      </c>
      <c r="B2370">
        <f>IFERROR(--SUBSTITUTE(SUBSTITUTE(TRIM(INDEX(INDIRECT("'Выгрузка'!A2370:Z2370"),Настройки!$B$9)),",","."),".",MID(1/2,2,1)),"")</f>
        <v/>
      </c>
      <c r="C2370">
        <f>TRIM(INDEX(INDIRECT("'Выгрузка'!A2370:Z2370"),Настройки!$B$8)&amp;"")</f>
        <v/>
      </c>
      <c r="D2370">
        <f>IFERROR(--SUBSTITUTE(SUBSTITUTE(TRIM(INDEX(INDIRECT("'Выгрузка'!A2370:Z2370"),Настройки!$B$10)),",","."),".",MID(1/2,2,1)),"")</f>
        <v/>
      </c>
      <c r="E2370">
        <f>IFERROR(--SUBSTITUTE(SUBSTITUTE(TRIM(INDEX(INDIRECT("'Выгрузка'!A2370:Z2370"),Настройки!$B$11)),",","."),".",MID(1/2,2,1)),"")</f>
        <v/>
      </c>
      <c r="F2370">
        <f>TRIM(INDEX(INDIRECT("'Выгрузка'!A2370:Z2370"),Настройки!$B$12)&amp;"")</f>
        <v/>
      </c>
      <c r="G2370">
        <f>IF(F2370="",0,IF(TRIM(INDEX(INDIRECT("'Выгрузка'!A2370:Z2370"),Настройки!$B$13)&amp;"")="",1,IFERROR(--SUBSTITUTE(SUBSTITUTE(TRIM(INDEX(INDIRECT("'Выгрузка'!A2370:Z2370"),Настройки!$B$13)),",","."),".",MID(1/2,2,1)),"")))</f>
        <v/>
      </c>
      <c r="H2370">
        <f>IF(F2370="",0,IF(COUNTIF(Настройки!$B$17:$B$26,F2370)&gt;0,1,IF(COUNTIF(Настройки!$C$17:$C$26,F2370)&gt;0,2,IF(COUNTIF(Настройки!$D$17:$D$26,F2370)&gt;0,3,0))))</f>
        <v/>
      </c>
      <c r="I2370">
        <f>IF(AND(ISNUMBER(A2370),ISNUMBER(B2370)),A2370*1000+B2370,"")</f>
        <v/>
      </c>
      <c r="J2370">
        <f>IF(I2370="","",IF(COUNTIF(I$2:I2370,I2370)=1,MAX(J$1:J2369)+1,""))</f>
        <v/>
      </c>
    </row>
    <row r="2371">
      <c r="A2371">
        <f>IFERROR(--SUBSTITUTE(SUBSTITUTE(TRIM(INDEX(INDIRECT("'Выгрузка'!A2371:Z2371"),Настройки!$B$7)),",","."),".",MID(1/2,2,1)),"")</f>
        <v/>
      </c>
      <c r="B2371">
        <f>IFERROR(--SUBSTITUTE(SUBSTITUTE(TRIM(INDEX(INDIRECT("'Выгрузка'!A2371:Z2371"),Настройки!$B$9)),",","."),".",MID(1/2,2,1)),"")</f>
        <v/>
      </c>
      <c r="C2371">
        <f>TRIM(INDEX(INDIRECT("'Выгрузка'!A2371:Z2371"),Настройки!$B$8)&amp;"")</f>
        <v/>
      </c>
      <c r="D2371">
        <f>IFERROR(--SUBSTITUTE(SUBSTITUTE(TRIM(INDEX(INDIRECT("'Выгрузка'!A2371:Z2371"),Настройки!$B$10)),",","."),".",MID(1/2,2,1)),"")</f>
        <v/>
      </c>
      <c r="E2371">
        <f>IFERROR(--SUBSTITUTE(SUBSTITUTE(TRIM(INDEX(INDIRECT("'Выгрузка'!A2371:Z2371"),Настройки!$B$11)),",","."),".",MID(1/2,2,1)),"")</f>
        <v/>
      </c>
      <c r="F2371">
        <f>TRIM(INDEX(INDIRECT("'Выгрузка'!A2371:Z2371"),Настройки!$B$12)&amp;"")</f>
        <v/>
      </c>
      <c r="G2371">
        <f>IF(F2371="",0,IF(TRIM(INDEX(INDIRECT("'Выгрузка'!A2371:Z2371"),Настройки!$B$13)&amp;"")="",1,IFERROR(--SUBSTITUTE(SUBSTITUTE(TRIM(INDEX(INDIRECT("'Выгрузка'!A2371:Z2371"),Настройки!$B$13)),",","."),".",MID(1/2,2,1)),"")))</f>
        <v/>
      </c>
      <c r="H2371">
        <f>IF(F2371="",0,IF(COUNTIF(Настройки!$B$17:$B$26,F2371)&gt;0,1,IF(COUNTIF(Настройки!$C$17:$C$26,F2371)&gt;0,2,IF(COUNTIF(Настройки!$D$17:$D$26,F2371)&gt;0,3,0))))</f>
        <v/>
      </c>
      <c r="I2371">
        <f>IF(AND(ISNUMBER(A2371),ISNUMBER(B2371)),A2371*1000+B2371,"")</f>
        <v/>
      </c>
      <c r="J2371">
        <f>IF(I2371="","",IF(COUNTIF(I$2:I2371,I2371)=1,MAX(J$1:J2370)+1,""))</f>
        <v/>
      </c>
    </row>
    <row r="2372">
      <c r="A2372">
        <f>IFERROR(--SUBSTITUTE(SUBSTITUTE(TRIM(INDEX(INDIRECT("'Выгрузка'!A2372:Z2372"),Настройки!$B$7)),",","."),".",MID(1/2,2,1)),"")</f>
        <v/>
      </c>
      <c r="B2372">
        <f>IFERROR(--SUBSTITUTE(SUBSTITUTE(TRIM(INDEX(INDIRECT("'Выгрузка'!A2372:Z2372"),Настройки!$B$9)),",","."),".",MID(1/2,2,1)),"")</f>
        <v/>
      </c>
      <c r="C2372">
        <f>TRIM(INDEX(INDIRECT("'Выгрузка'!A2372:Z2372"),Настройки!$B$8)&amp;"")</f>
        <v/>
      </c>
      <c r="D2372">
        <f>IFERROR(--SUBSTITUTE(SUBSTITUTE(TRIM(INDEX(INDIRECT("'Выгрузка'!A2372:Z2372"),Настройки!$B$10)),",","."),".",MID(1/2,2,1)),"")</f>
        <v/>
      </c>
      <c r="E2372">
        <f>IFERROR(--SUBSTITUTE(SUBSTITUTE(TRIM(INDEX(INDIRECT("'Выгрузка'!A2372:Z2372"),Настройки!$B$11)),",","."),".",MID(1/2,2,1)),"")</f>
        <v/>
      </c>
      <c r="F2372">
        <f>TRIM(INDEX(INDIRECT("'Выгрузка'!A2372:Z2372"),Настройки!$B$12)&amp;"")</f>
        <v/>
      </c>
      <c r="G2372">
        <f>IF(F2372="",0,IF(TRIM(INDEX(INDIRECT("'Выгрузка'!A2372:Z2372"),Настройки!$B$13)&amp;"")="",1,IFERROR(--SUBSTITUTE(SUBSTITUTE(TRIM(INDEX(INDIRECT("'Выгрузка'!A2372:Z2372"),Настройки!$B$13)),",","."),".",MID(1/2,2,1)),"")))</f>
        <v/>
      </c>
      <c r="H2372">
        <f>IF(F2372="",0,IF(COUNTIF(Настройки!$B$17:$B$26,F2372)&gt;0,1,IF(COUNTIF(Настройки!$C$17:$C$26,F2372)&gt;0,2,IF(COUNTIF(Настройки!$D$17:$D$26,F2372)&gt;0,3,0))))</f>
        <v/>
      </c>
      <c r="I2372">
        <f>IF(AND(ISNUMBER(A2372),ISNUMBER(B2372)),A2372*1000+B2372,"")</f>
        <v/>
      </c>
      <c r="J2372">
        <f>IF(I2372="","",IF(COUNTIF(I$2:I2372,I2372)=1,MAX(J$1:J2371)+1,""))</f>
        <v/>
      </c>
    </row>
    <row r="2373">
      <c r="A2373">
        <f>IFERROR(--SUBSTITUTE(SUBSTITUTE(TRIM(INDEX(INDIRECT("'Выгрузка'!A2373:Z2373"),Настройки!$B$7)),",","."),".",MID(1/2,2,1)),"")</f>
        <v/>
      </c>
      <c r="B2373">
        <f>IFERROR(--SUBSTITUTE(SUBSTITUTE(TRIM(INDEX(INDIRECT("'Выгрузка'!A2373:Z2373"),Настройки!$B$9)),",","."),".",MID(1/2,2,1)),"")</f>
        <v/>
      </c>
      <c r="C2373">
        <f>TRIM(INDEX(INDIRECT("'Выгрузка'!A2373:Z2373"),Настройки!$B$8)&amp;"")</f>
        <v/>
      </c>
      <c r="D2373">
        <f>IFERROR(--SUBSTITUTE(SUBSTITUTE(TRIM(INDEX(INDIRECT("'Выгрузка'!A2373:Z2373"),Настройки!$B$10)),",","."),".",MID(1/2,2,1)),"")</f>
        <v/>
      </c>
      <c r="E2373">
        <f>IFERROR(--SUBSTITUTE(SUBSTITUTE(TRIM(INDEX(INDIRECT("'Выгрузка'!A2373:Z2373"),Настройки!$B$11)),",","."),".",MID(1/2,2,1)),"")</f>
        <v/>
      </c>
      <c r="F2373">
        <f>TRIM(INDEX(INDIRECT("'Выгрузка'!A2373:Z2373"),Настройки!$B$12)&amp;"")</f>
        <v/>
      </c>
      <c r="G2373">
        <f>IF(F2373="",0,IF(TRIM(INDEX(INDIRECT("'Выгрузка'!A2373:Z2373"),Настройки!$B$13)&amp;"")="",1,IFERROR(--SUBSTITUTE(SUBSTITUTE(TRIM(INDEX(INDIRECT("'Выгрузка'!A2373:Z2373"),Настройки!$B$13)),",","."),".",MID(1/2,2,1)),"")))</f>
        <v/>
      </c>
      <c r="H2373">
        <f>IF(F2373="",0,IF(COUNTIF(Настройки!$B$17:$B$26,F2373)&gt;0,1,IF(COUNTIF(Настройки!$C$17:$C$26,F2373)&gt;0,2,IF(COUNTIF(Настройки!$D$17:$D$26,F2373)&gt;0,3,0))))</f>
        <v/>
      </c>
      <c r="I2373">
        <f>IF(AND(ISNUMBER(A2373),ISNUMBER(B2373)),A2373*1000+B2373,"")</f>
        <v/>
      </c>
      <c r="J2373">
        <f>IF(I2373="","",IF(COUNTIF(I$2:I2373,I2373)=1,MAX(J$1:J2372)+1,""))</f>
        <v/>
      </c>
    </row>
    <row r="2374">
      <c r="A2374">
        <f>IFERROR(--SUBSTITUTE(SUBSTITUTE(TRIM(INDEX(INDIRECT("'Выгрузка'!A2374:Z2374"),Настройки!$B$7)),",","."),".",MID(1/2,2,1)),"")</f>
        <v/>
      </c>
      <c r="B2374">
        <f>IFERROR(--SUBSTITUTE(SUBSTITUTE(TRIM(INDEX(INDIRECT("'Выгрузка'!A2374:Z2374"),Настройки!$B$9)),",","."),".",MID(1/2,2,1)),"")</f>
        <v/>
      </c>
      <c r="C2374">
        <f>TRIM(INDEX(INDIRECT("'Выгрузка'!A2374:Z2374"),Настройки!$B$8)&amp;"")</f>
        <v/>
      </c>
      <c r="D2374">
        <f>IFERROR(--SUBSTITUTE(SUBSTITUTE(TRIM(INDEX(INDIRECT("'Выгрузка'!A2374:Z2374"),Настройки!$B$10)),",","."),".",MID(1/2,2,1)),"")</f>
        <v/>
      </c>
      <c r="E2374">
        <f>IFERROR(--SUBSTITUTE(SUBSTITUTE(TRIM(INDEX(INDIRECT("'Выгрузка'!A2374:Z2374"),Настройки!$B$11)),",","."),".",MID(1/2,2,1)),"")</f>
        <v/>
      </c>
      <c r="F2374">
        <f>TRIM(INDEX(INDIRECT("'Выгрузка'!A2374:Z2374"),Настройки!$B$12)&amp;"")</f>
        <v/>
      </c>
      <c r="G2374">
        <f>IF(F2374="",0,IF(TRIM(INDEX(INDIRECT("'Выгрузка'!A2374:Z2374"),Настройки!$B$13)&amp;"")="",1,IFERROR(--SUBSTITUTE(SUBSTITUTE(TRIM(INDEX(INDIRECT("'Выгрузка'!A2374:Z2374"),Настройки!$B$13)),",","."),".",MID(1/2,2,1)),"")))</f>
        <v/>
      </c>
      <c r="H2374">
        <f>IF(F2374="",0,IF(COUNTIF(Настройки!$B$17:$B$26,F2374)&gt;0,1,IF(COUNTIF(Настройки!$C$17:$C$26,F2374)&gt;0,2,IF(COUNTIF(Настройки!$D$17:$D$26,F2374)&gt;0,3,0))))</f>
        <v/>
      </c>
      <c r="I2374">
        <f>IF(AND(ISNUMBER(A2374),ISNUMBER(B2374)),A2374*1000+B2374,"")</f>
        <v/>
      </c>
      <c r="J2374">
        <f>IF(I2374="","",IF(COUNTIF(I$2:I2374,I2374)=1,MAX(J$1:J2373)+1,""))</f>
        <v/>
      </c>
    </row>
    <row r="2375">
      <c r="A2375">
        <f>IFERROR(--SUBSTITUTE(SUBSTITUTE(TRIM(INDEX(INDIRECT("'Выгрузка'!A2375:Z2375"),Настройки!$B$7)),",","."),".",MID(1/2,2,1)),"")</f>
        <v/>
      </c>
      <c r="B2375">
        <f>IFERROR(--SUBSTITUTE(SUBSTITUTE(TRIM(INDEX(INDIRECT("'Выгрузка'!A2375:Z2375"),Настройки!$B$9)),",","."),".",MID(1/2,2,1)),"")</f>
        <v/>
      </c>
      <c r="C2375">
        <f>TRIM(INDEX(INDIRECT("'Выгрузка'!A2375:Z2375"),Настройки!$B$8)&amp;"")</f>
        <v/>
      </c>
      <c r="D2375">
        <f>IFERROR(--SUBSTITUTE(SUBSTITUTE(TRIM(INDEX(INDIRECT("'Выгрузка'!A2375:Z2375"),Настройки!$B$10)),",","."),".",MID(1/2,2,1)),"")</f>
        <v/>
      </c>
      <c r="E2375">
        <f>IFERROR(--SUBSTITUTE(SUBSTITUTE(TRIM(INDEX(INDIRECT("'Выгрузка'!A2375:Z2375"),Настройки!$B$11)),",","."),".",MID(1/2,2,1)),"")</f>
        <v/>
      </c>
      <c r="F2375">
        <f>TRIM(INDEX(INDIRECT("'Выгрузка'!A2375:Z2375"),Настройки!$B$12)&amp;"")</f>
        <v/>
      </c>
      <c r="G2375">
        <f>IF(F2375="",0,IF(TRIM(INDEX(INDIRECT("'Выгрузка'!A2375:Z2375"),Настройки!$B$13)&amp;"")="",1,IFERROR(--SUBSTITUTE(SUBSTITUTE(TRIM(INDEX(INDIRECT("'Выгрузка'!A2375:Z2375"),Настройки!$B$13)),",","."),".",MID(1/2,2,1)),"")))</f>
        <v/>
      </c>
      <c r="H2375">
        <f>IF(F2375="",0,IF(COUNTIF(Настройки!$B$17:$B$26,F2375)&gt;0,1,IF(COUNTIF(Настройки!$C$17:$C$26,F2375)&gt;0,2,IF(COUNTIF(Настройки!$D$17:$D$26,F2375)&gt;0,3,0))))</f>
        <v/>
      </c>
      <c r="I2375">
        <f>IF(AND(ISNUMBER(A2375),ISNUMBER(B2375)),A2375*1000+B2375,"")</f>
        <v/>
      </c>
      <c r="J2375">
        <f>IF(I2375="","",IF(COUNTIF(I$2:I2375,I2375)=1,MAX(J$1:J2374)+1,""))</f>
        <v/>
      </c>
    </row>
    <row r="2376">
      <c r="A2376">
        <f>IFERROR(--SUBSTITUTE(SUBSTITUTE(TRIM(INDEX(INDIRECT("'Выгрузка'!A2376:Z2376"),Настройки!$B$7)),",","."),".",MID(1/2,2,1)),"")</f>
        <v/>
      </c>
      <c r="B2376">
        <f>IFERROR(--SUBSTITUTE(SUBSTITUTE(TRIM(INDEX(INDIRECT("'Выгрузка'!A2376:Z2376"),Настройки!$B$9)),",","."),".",MID(1/2,2,1)),"")</f>
        <v/>
      </c>
      <c r="C2376">
        <f>TRIM(INDEX(INDIRECT("'Выгрузка'!A2376:Z2376"),Настройки!$B$8)&amp;"")</f>
        <v/>
      </c>
      <c r="D2376">
        <f>IFERROR(--SUBSTITUTE(SUBSTITUTE(TRIM(INDEX(INDIRECT("'Выгрузка'!A2376:Z2376"),Настройки!$B$10)),",","."),".",MID(1/2,2,1)),"")</f>
        <v/>
      </c>
      <c r="E2376">
        <f>IFERROR(--SUBSTITUTE(SUBSTITUTE(TRIM(INDEX(INDIRECT("'Выгрузка'!A2376:Z2376"),Настройки!$B$11)),",","."),".",MID(1/2,2,1)),"")</f>
        <v/>
      </c>
      <c r="F2376">
        <f>TRIM(INDEX(INDIRECT("'Выгрузка'!A2376:Z2376"),Настройки!$B$12)&amp;"")</f>
        <v/>
      </c>
      <c r="G2376">
        <f>IF(F2376="",0,IF(TRIM(INDEX(INDIRECT("'Выгрузка'!A2376:Z2376"),Настройки!$B$13)&amp;"")="",1,IFERROR(--SUBSTITUTE(SUBSTITUTE(TRIM(INDEX(INDIRECT("'Выгрузка'!A2376:Z2376"),Настройки!$B$13)),",","."),".",MID(1/2,2,1)),"")))</f>
        <v/>
      </c>
      <c r="H2376">
        <f>IF(F2376="",0,IF(COUNTIF(Настройки!$B$17:$B$26,F2376)&gt;0,1,IF(COUNTIF(Настройки!$C$17:$C$26,F2376)&gt;0,2,IF(COUNTIF(Настройки!$D$17:$D$26,F2376)&gt;0,3,0))))</f>
        <v/>
      </c>
      <c r="I2376">
        <f>IF(AND(ISNUMBER(A2376),ISNUMBER(B2376)),A2376*1000+B2376,"")</f>
        <v/>
      </c>
      <c r="J2376">
        <f>IF(I2376="","",IF(COUNTIF(I$2:I2376,I2376)=1,MAX(J$1:J2375)+1,""))</f>
        <v/>
      </c>
    </row>
    <row r="2377">
      <c r="A2377">
        <f>IFERROR(--SUBSTITUTE(SUBSTITUTE(TRIM(INDEX(INDIRECT("'Выгрузка'!A2377:Z2377"),Настройки!$B$7)),",","."),".",MID(1/2,2,1)),"")</f>
        <v/>
      </c>
      <c r="B2377">
        <f>IFERROR(--SUBSTITUTE(SUBSTITUTE(TRIM(INDEX(INDIRECT("'Выгрузка'!A2377:Z2377"),Настройки!$B$9)),",","."),".",MID(1/2,2,1)),"")</f>
        <v/>
      </c>
      <c r="C2377">
        <f>TRIM(INDEX(INDIRECT("'Выгрузка'!A2377:Z2377"),Настройки!$B$8)&amp;"")</f>
        <v/>
      </c>
      <c r="D2377">
        <f>IFERROR(--SUBSTITUTE(SUBSTITUTE(TRIM(INDEX(INDIRECT("'Выгрузка'!A2377:Z2377"),Настройки!$B$10)),",","."),".",MID(1/2,2,1)),"")</f>
        <v/>
      </c>
      <c r="E2377">
        <f>IFERROR(--SUBSTITUTE(SUBSTITUTE(TRIM(INDEX(INDIRECT("'Выгрузка'!A2377:Z2377"),Настройки!$B$11)),",","."),".",MID(1/2,2,1)),"")</f>
        <v/>
      </c>
      <c r="F2377">
        <f>TRIM(INDEX(INDIRECT("'Выгрузка'!A2377:Z2377"),Настройки!$B$12)&amp;"")</f>
        <v/>
      </c>
      <c r="G2377">
        <f>IF(F2377="",0,IF(TRIM(INDEX(INDIRECT("'Выгрузка'!A2377:Z2377"),Настройки!$B$13)&amp;"")="",1,IFERROR(--SUBSTITUTE(SUBSTITUTE(TRIM(INDEX(INDIRECT("'Выгрузка'!A2377:Z2377"),Настройки!$B$13)),",","."),".",MID(1/2,2,1)),"")))</f>
        <v/>
      </c>
      <c r="H2377">
        <f>IF(F2377="",0,IF(COUNTIF(Настройки!$B$17:$B$26,F2377)&gt;0,1,IF(COUNTIF(Настройки!$C$17:$C$26,F2377)&gt;0,2,IF(COUNTIF(Настройки!$D$17:$D$26,F2377)&gt;0,3,0))))</f>
        <v/>
      </c>
      <c r="I2377">
        <f>IF(AND(ISNUMBER(A2377),ISNUMBER(B2377)),A2377*1000+B2377,"")</f>
        <v/>
      </c>
      <c r="J2377">
        <f>IF(I2377="","",IF(COUNTIF(I$2:I2377,I2377)=1,MAX(J$1:J2376)+1,""))</f>
        <v/>
      </c>
    </row>
    <row r="2378">
      <c r="A2378">
        <f>IFERROR(--SUBSTITUTE(SUBSTITUTE(TRIM(INDEX(INDIRECT("'Выгрузка'!A2378:Z2378"),Настройки!$B$7)),",","."),".",MID(1/2,2,1)),"")</f>
        <v/>
      </c>
      <c r="B2378">
        <f>IFERROR(--SUBSTITUTE(SUBSTITUTE(TRIM(INDEX(INDIRECT("'Выгрузка'!A2378:Z2378"),Настройки!$B$9)),",","."),".",MID(1/2,2,1)),"")</f>
        <v/>
      </c>
      <c r="C2378">
        <f>TRIM(INDEX(INDIRECT("'Выгрузка'!A2378:Z2378"),Настройки!$B$8)&amp;"")</f>
        <v/>
      </c>
      <c r="D2378">
        <f>IFERROR(--SUBSTITUTE(SUBSTITUTE(TRIM(INDEX(INDIRECT("'Выгрузка'!A2378:Z2378"),Настройки!$B$10)),",","."),".",MID(1/2,2,1)),"")</f>
        <v/>
      </c>
      <c r="E2378">
        <f>IFERROR(--SUBSTITUTE(SUBSTITUTE(TRIM(INDEX(INDIRECT("'Выгрузка'!A2378:Z2378"),Настройки!$B$11)),",","."),".",MID(1/2,2,1)),"")</f>
        <v/>
      </c>
      <c r="F2378">
        <f>TRIM(INDEX(INDIRECT("'Выгрузка'!A2378:Z2378"),Настройки!$B$12)&amp;"")</f>
        <v/>
      </c>
      <c r="G2378">
        <f>IF(F2378="",0,IF(TRIM(INDEX(INDIRECT("'Выгрузка'!A2378:Z2378"),Настройки!$B$13)&amp;"")="",1,IFERROR(--SUBSTITUTE(SUBSTITUTE(TRIM(INDEX(INDIRECT("'Выгрузка'!A2378:Z2378"),Настройки!$B$13)),",","."),".",MID(1/2,2,1)),"")))</f>
        <v/>
      </c>
      <c r="H2378">
        <f>IF(F2378="",0,IF(COUNTIF(Настройки!$B$17:$B$26,F2378)&gt;0,1,IF(COUNTIF(Настройки!$C$17:$C$26,F2378)&gt;0,2,IF(COUNTIF(Настройки!$D$17:$D$26,F2378)&gt;0,3,0))))</f>
        <v/>
      </c>
      <c r="I2378">
        <f>IF(AND(ISNUMBER(A2378),ISNUMBER(B2378)),A2378*1000+B2378,"")</f>
        <v/>
      </c>
      <c r="J2378">
        <f>IF(I2378="","",IF(COUNTIF(I$2:I2378,I2378)=1,MAX(J$1:J2377)+1,""))</f>
        <v/>
      </c>
    </row>
    <row r="2379">
      <c r="A2379">
        <f>IFERROR(--SUBSTITUTE(SUBSTITUTE(TRIM(INDEX(INDIRECT("'Выгрузка'!A2379:Z2379"),Настройки!$B$7)),",","."),".",MID(1/2,2,1)),"")</f>
        <v/>
      </c>
      <c r="B2379">
        <f>IFERROR(--SUBSTITUTE(SUBSTITUTE(TRIM(INDEX(INDIRECT("'Выгрузка'!A2379:Z2379"),Настройки!$B$9)),",","."),".",MID(1/2,2,1)),"")</f>
        <v/>
      </c>
      <c r="C2379">
        <f>TRIM(INDEX(INDIRECT("'Выгрузка'!A2379:Z2379"),Настройки!$B$8)&amp;"")</f>
        <v/>
      </c>
      <c r="D2379">
        <f>IFERROR(--SUBSTITUTE(SUBSTITUTE(TRIM(INDEX(INDIRECT("'Выгрузка'!A2379:Z2379"),Настройки!$B$10)),",","."),".",MID(1/2,2,1)),"")</f>
        <v/>
      </c>
      <c r="E2379">
        <f>IFERROR(--SUBSTITUTE(SUBSTITUTE(TRIM(INDEX(INDIRECT("'Выгрузка'!A2379:Z2379"),Настройки!$B$11)),",","."),".",MID(1/2,2,1)),"")</f>
        <v/>
      </c>
      <c r="F2379">
        <f>TRIM(INDEX(INDIRECT("'Выгрузка'!A2379:Z2379"),Настройки!$B$12)&amp;"")</f>
        <v/>
      </c>
      <c r="G2379">
        <f>IF(F2379="",0,IF(TRIM(INDEX(INDIRECT("'Выгрузка'!A2379:Z2379"),Настройки!$B$13)&amp;"")="",1,IFERROR(--SUBSTITUTE(SUBSTITUTE(TRIM(INDEX(INDIRECT("'Выгрузка'!A2379:Z2379"),Настройки!$B$13)),",","."),".",MID(1/2,2,1)),"")))</f>
        <v/>
      </c>
      <c r="H2379">
        <f>IF(F2379="",0,IF(COUNTIF(Настройки!$B$17:$B$26,F2379)&gt;0,1,IF(COUNTIF(Настройки!$C$17:$C$26,F2379)&gt;0,2,IF(COUNTIF(Настройки!$D$17:$D$26,F2379)&gt;0,3,0))))</f>
        <v/>
      </c>
      <c r="I2379">
        <f>IF(AND(ISNUMBER(A2379),ISNUMBER(B2379)),A2379*1000+B2379,"")</f>
        <v/>
      </c>
      <c r="J2379">
        <f>IF(I2379="","",IF(COUNTIF(I$2:I2379,I2379)=1,MAX(J$1:J2378)+1,""))</f>
        <v/>
      </c>
    </row>
    <row r="2380">
      <c r="A2380">
        <f>IFERROR(--SUBSTITUTE(SUBSTITUTE(TRIM(INDEX(INDIRECT("'Выгрузка'!A2380:Z2380"),Настройки!$B$7)),",","."),".",MID(1/2,2,1)),"")</f>
        <v/>
      </c>
      <c r="B2380">
        <f>IFERROR(--SUBSTITUTE(SUBSTITUTE(TRIM(INDEX(INDIRECT("'Выгрузка'!A2380:Z2380"),Настройки!$B$9)),",","."),".",MID(1/2,2,1)),"")</f>
        <v/>
      </c>
      <c r="C2380">
        <f>TRIM(INDEX(INDIRECT("'Выгрузка'!A2380:Z2380"),Настройки!$B$8)&amp;"")</f>
        <v/>
      </c>
      <c r="D2380">
        <f>IFERROR(--SUBSTITUTE(SUBSTITUTE(TRIM(INDEX(INDIRECT("'Выгрузка'!A2380:Z2380"),Настройки!$B$10)),",","."),".",MID(1/2,2,1)),"")</f>
        <v/>
      </c>
      <c r="E2380">
        <f>IFERROR(--SUBSTITUTE(SUBSTITUTE(TRIM(INDEX(INDIRECT("'Выгрузка'!A2380:Z2380"),Настройки!$B$11)),",","."),".",MID(1/2,2,1)),"")</f>
        <v/>
      </c>
      <c r="F2380">
        <f>TRIM(INDEX(INDIRECT("'Выгрузка'!A2380:Z2380"),Настройки!$B$12)&amp;"")</f>
        <v/>
      </c>
      <c r="G2380">
        <f>IF(F2380="",0,IF(TRIM(INDEX(INDIRECT("'Выгрузка'!A2380:Z2380"),Настройки!$B$13)&amp;"")="",1,IFERROR(--SUBSTITUTE(SUBSTITUTE(TRIM(INDEX(INDIRECT("'Выгрузка'!A2380:Z2380"),Настройки!$B$13)),",","."),".",MID(1/2,2,1)),"")))</f>
        <v/>
      </c>
      <c r="H2380">
        <f>IF(F2380="",0,IF(COUNTIF(Настройки!$B$17:$B$26,F2380)&gt;0,1,IF(COUNTIF(Настройки!$C$17:$C$26,F2380)&gt;0,2,IF(COUNTIF(Настройки!$D$17:$D$26,F2380)&gt;0,3,0))))</f>
        <v/>
      </c>
      <c r="I2380">
        <f>IF(AND(ISNUMBER(A2380),ISNUMBER(B2380)),A2380*1000+B2380,"")</f>
        <v/>
      </c>
      <c r="J2380">
        <f>IF(I2380="","",IF(COUNTIF(I$2:I2380,I2380)=1,MAX(J$1:J2379)+1,""))</f>
        <v/>
      </c>
    </row>
    <row r="2381">
      <c r="A2381">
        <f>IFERROR(--SUBSTITUTE(SUBSTITUTE(TRIM(INDEX(INDIRECT("'Выгрузка'!A2381:Z2381"),Настройки!$B$7)),",","."),".",MID(1/2,2,1)),"")</f>
        <v/>
      </c>
      <c r="B2381">
        <f>IFERROR(--SUBSTITUTE(SUBSTITUTE(TRIM(INDEX(INDIRECT("'Выгрузка'!A2381:Z2381"),Настройки!$B$9)),",","."),".",MID(1/2,2,1)),"")</f>
        <v/>
      </c>
      <c r="C2381">
        <f>TRIM(INDEX(INDIRECT("'Выгрузка'!A2381:Z2381"),Настройки!$B$8)&amp;"")</f>
        <v/>
      </c>
      <c r="D2381">
        <f>IFERROR(--SUBSTITUTE(SUBSTITUTE(TRIM(INDEX(INDIRECT("'Выгрузка'!A2381:Z2381"),Настройки!$B$10)),",","."),".",MID(1/2,2,1)),"")</f>
        <v/>
      </c>
      <c r="E2381">
        <f>IFERROR(--SUBSTITUTE(SUBSTITUTE(TRIM(INDEX(INDIRECT("'Выгрузка'!A2381:Z2381"),Настройки!$B$11)),",","."),".",MID(1/2,2,1)),"")</f>
        <v/>
      </c>
      <c r="F2381">
        <f>TRIM(INDEX(INDIRECT("'Выгрузка'!A2381:Z2381"),Настройки!$B$12)&amp;"")</f>
        <v/>
      </c>
      <c r="G2381">
        <f>IF(F2381="",0,IF(TRIM(INDEX(INDIRECT("'Выгрузка'!A2381:Z2381"),Настройки!$B$13)&amp;"")="",1,IFERROR(--SUBSTITUTE(SUBSTITUTE(TRIM(INDEX(INDIRECT("'Выгрузка'!A2381:Z2381"),Настройки!$B$13)),",","."),".",MID(1/2,2,1)),"")))</f>
        <v/>
      </c>
      <c r="H2381">
        <f>IF(F2381="",0,IF(COUNTIF(Настройки!$B$17:$B$26,F2381)&gt;0,1,IF(COUNTIF(Настройки!$C$17:$C$26,F2381)&gt;0,2,IF(COUNTIF(Настройки!$D$17:$D$26,F2381)&gt;0,3,0))))</f>
        <v/>
      </c>
      <c r="I2381">
        <f>IF(AND(ISNUMBER(A2381),ISNUMBER(B2381)),A2381*1000+B2381,"")</f>
        <v/>
      </c>
      <c r="J2381">
        <f>IF(I2381="","",IF(COUNTIF(I$2:I2381,I2381)=1,MAX(J$1:J2380)+1,""))</f>
        <v/>
      </c>
    </row>
    <row r="2382">
      <c r="A2382">
        <f>IFERROR(--SUBSTITUTE(SUBSTITUTE(TRIM(INDEX(INDIRECT("'Выгрузка'!A2382:Z2382"),Настройки!$B$7)),",","."),".",MID(1/2,2,1)),"")</f>
        <v/>
      </c>
      <c r="B2382">
        <f>IFERROR(--SUBSTITUTE(SUBSTITUTE(TRIM(INDEX(INDIRECT("'Выгрузка'!A2382:Z2382"),Настройки!$B$9)),",","."),".",MID(1/2,2,1)),"")</f>
        <v/>
      </c>
      <c r="C2382">
        <f>TRIM(INDEX(INDIRECT("'Выгрузка'!A2382:Z2382"),Настройки!$B$8)&amp;"")</f>
        <v/>
      </c>
      <c r="D2382">
        <f>IFERROR(--SUBSTITUTE(SUBSTITUTE(TRIM(INDEX(INDIRECT("'Выгрузка'!A2382:Z2382"),Настройки!$B$10)),",","."),".",MID(1/2,2,1)),"")</f>
        <v/>
      </c>
      <c r="E2382">
        <f>IFERROR(--SUBSTITUTE(SUBSTITUTE(TRIM(INDEX(INDIRECT("'Выгрузка'!A2382:Z2382"),Настройки!$B$11)),",","."),".",MID(1/2,2,1)),"")</f>
        <v/>
      </c>
      <c r="F2382">
        <f>TRIM(INDEX(INDIRECT("'Выгрузка'!A2382:Z2382"),Настройки!$B$12)&amp;"")</f>
        <v/>
      </c>
      <c r="G2382">
        <f>IF(F2382="",0,IF(TRIM(INDEX(INDIRECT("'Выгрузка'!A2382:Z2382"),Настройки!$B$13)&amp;"")="",1,IFERROR(--SUBSTITUTE(SUBSTITUTE(TRIM(INDEX(INDIRECT("'Выгрузка'!A2382:Z2382"),Настройки!$B$13)),",","."),".",MID(1/2,2,1)),"")))</f>
        <v/>
      </c>
      <c r="H2382">
        <f>IF(F2382="",0,IF(COUNTIF(Настройки!$B$17:$B$26,F2382)&gt;0,1,IF(COUNTIF(Настройки!$C$17:$C$26,F2382)&gt;0,2,IF(COUNTIF(Настройки!$D$17:$D$26,F2382)&gt;0,3,0))))</f>
        <v/>
      </c>
      <c r="I2382">
        <f>IF(AND(ISNUMBER(A2382),ISNUMBER(B2382)),A2382*1000+B2382,"")</f>
        <v/>
      </c>
      <c r="J2382">
        <f>IF(I2382="","",IF(COUNTIF(I$2:I2382,I2382)=1,MAX(J$1:J2381)+1,""))</f>
        <v/>
      </c>
    </row>
    <row r="2383">
      <c r="A2383">
        <f>IFERROR(--SUBSTITUTE(SUBSTITUTE(TRIM(INDEX(INDIRECT("'Выгрузка'!A2383:Z2383"),Настройки!$B$7)),",","."),".",MID(1/2,2,1)),"")</f>
        <v/>
      </c>
      <c r="B2383">
        <f>IFERROR(--SUBSTITUTE(SUBSTITUTE(TRIM(INDEX(INDIRECT("'Выгрузка'!A2383:Z2383"),Настройки!$B$9)),",","."),".",MID(1/2,2,1)),"")</f>
        <v/>
      </c>
      <c r="C2383">
        <f>TRIM(INDEX(INDIRECT("'Выгрузка'!A2383:Z2383"),Настройки!$B$8)&amp;"")</f>
        <v/>
      </c>
      <c r="D2383">
        <f>IFERROR(--SUBSTITUTE(SUBSTITUTE(TRIM(INDEX(INDIRECT("'Выгрузка'!A2383:Z2383"),Настройки!$B$10)),",","."),".",MID(1/2,2,1)),"")</f>
        <v/>
      </c>
      <c r="E2383">
        <f>IFERROR(--SUBSTITUTE(SUBSTITUTE(TRIM(INDEX(INDIRECT("'Выгрузка'!A2383:Z2383"),Настройки!$B$11)),",","."),".",MID(1/2,2,1)),"")</f>
        <v/>
      </c>
      <c r="F2383">
        <f>TRIM(INDEX(INDIRECT("'Выгрузка'!A2383:Z2383"),Настройки!$B$12)&amp;"")</f>
        <v/>
      </c>
      <c r="G2383">
        <f>IF(F2383="",0,IF(TRIM(INDEX(INDIRECT("'Выгрузка'!A2383:Z2383"),Настройки!$B$13)&amp;"")="",1,IFERROR(--SUBSTITUTE(SUBSTITUTE(TRIM(INDEX(INDIRECT("'Выгрузка'!A2383:Z2383"),Настройки!$B$13)),",","."),".",MID(1/2,2,1)),"")))</f>
        <v/>
      </c>
      <c r="H2383">
        <f>IF(F2383="",0,IF(COUNTIF(Настройки!$B$17:$B$26,F2383)&gt;0,1,IF(COUNTIF(Настройки!$C$17:$C$26,F2383)&gt;0,2,IF(COUNTIF(Настройки!$D$17:$D$26,F2383)&gt;0,3,0))))</f>
        <v/>
      </c>
      <c r="I2383">
        <f>IF(AND(ISNUMBER(A2383),ISNUMBER(B2383)),A2383*1000+B2383,"")</f>
        <v/>
      </c>
      <c r="J2383">
        <f>IF(I2383="","",IF(COUNTIF(I$2:I2383,I2383)=1,MAX(J$1:J2382)+1,""))</f>
        <v/>
      </c>
    </row>
    <row r="2384">
      <c r="A2384">
        <f>IFERROR(--SUBSTITUTE(SUBSTITUTE(TRIM(INDEX(INDIRECT("'Выгрузка'!A2384:Z2384"),Настройки!$B$7)),",","."),".",MID(1/2,2,1)),"")</f>
        <v/>
      </c>
      <c r="B2384">
        <f>IFERROR(--SUBSTITUTE(SUBSTITUTE(TRIM(INDEX(INDIRECT("'Выгрузка'!A2384:Z2384"),Настройки!$B$9)),",","."),".",MID(1/2,2,1)),"")</f>
        <v/>
      </c>
      <c r="C2384">
        <f>TRIM(INDEX(INDIRECT("'Выгрузка'!A2384:Z2384"),Настройки!$B$8)&amp;"")</f>
        <v/>
      </c>
      <c r="D2384">
        <f>IFERROR(--SUBSTITUTE(SUBSTITUTE(TRIM(INDEX(INDIRECT("'Выгрузка'!A2384:Z2384"),Настройки!$B$10)),",","."),".",MID(1/2,2,1)),"")</f>
        <v/>
      </c>
      <c r="E2384">
        <f>IFERROR(--SUBSTITUTE(SUBSTITUTE(TRIM(INDEX(INDIRECT("'Выгрузка'!A2384:Z2384"),Настройки!$B$11)),",","."),".",MID(1/2,2,1)),"")</f>
        <v/>
      </c>
      <c r="F2384">
        <f>TRIM(INDEX(INDIRECT("'Выгрузка'!A2384:Z2384"),Настройки!$B$12)&amp;"")</f>
        <v/>
      </c>
      <c r="G2384">
        <f>IF(F2384="",0,IF(TRIM(INDEX(INDIRECT("'Выгрузка'!A2384:Z2384"),Настройки!$B$13)&amp;"")="",1,IFERROR(--SUBSTITUTE(SUBSTITUTE(TRIM(INDEX(INDIRECT("'Выгрузка'!A2384:Z2384"),Настройки!$B$13)),",","."),".",MID(1/2,2,1)),"")))</f>
        <v/>
      </c>
      <c r="H2384">
        <f>IF(F2384="",0,IF(COUNTIF(Настройки!$B$17:$B$26,F2384)&gt;0,1,IF(COUNTIF(Настройки!$C$17:$C$26,F2384)&gt;0,2,IF(COUNTIF(Настройки!$D$17:$D$26,F2384)&gt;0,3,0))))</f>
        <v/>
      </c>
      <c r="I2384">
        <f>IF(AND(ISNUMBER(A2384),ISNUMBER(B2384)),A2384*1000+B2384,"")</f>
        <v/>
      </c>
      <c r="J2384">
        <f>IF(I2384="","",IF(COUNTIF(I$2:I2384,I2384)=1,MAX(J$1:J2383)+1,""))</f>
        <v/>
      </c>
    </row>
    <row r="2385">
      <c r="A2385">
        <f>IFERROR(--SUBSTITUTE(SUBSTITUTE(TRIM(INDEX(INDIRECT("'Выгрузка'!A2385:Z2385"),Настройки!$B$7)),",","."),".",MID(1/2,2,1)),"")</f>
        <v/>
      </c>
      <c r="B2385">
        <f>IFERROR(--SUBSTITUTE(SUBSTITUTE(TRIM(INDEX(INDIRECT("'Выгрузка'!A2385:Z2385"),Настройки!$B$9)),",","."),".",MID(1/2,2,1)),"")</f>
        <v/>
      </c>
      <c r="C2385">
        <f>TRIM(INDEX(INDIRECT("'Выгрузка'!A2385:Z2385"),Настройки!$B$8)&amp;"")</f>
        <v/>
      </c>
      <c r="D2385">
        <f>IFERROR(--SUBSTITUTE(SUBSTITUTE(TRIM(INDEX(INDIRECT("'Выгрузка'!A2385:Z2385"),Настройки!$B$10)),",","."),".",MID(1/2,2,1)),"")</f>
        <v/>
      </c>
      <c r="E2385">
        <f>IFERROR(--SUBSTITUTE(SUBSTITUTE(TRIM(INDEX(INDIRECT("'Выгрузка'!A2385:Z2385"),Настройки!$B$11)),",","."),".",MID(1/2,2,1)),"")</f>
        <v/>
      </c>
      <c r="F2385">
        <f>TRIM(INDEX(INDIRECT("'Выгрузка'!A2385:Z2385"),Настройки!$B$12)&amp;"")</f>
        <v/>
      </c>
      <c r="G2385">
        <f>IF(F2385="",0,IF(TRIM(INDEX(INDIRECT("'Выгрузка'!A2385:Z2385"),Настройки!$B$13)&amp;"")="",1,IFERROR(--SUBSTITUTE(SUBSTITUTE(TRIM(INDEX(INDIRECT("'Выгрузка'!A2385:Z2385"),Настройки!$B$13)),",","."),".",MID(1/2,2,1)),"")))</f>
        <v/>
      </c>
      <c r="H2385">
        <f>IF(F2385="",0,IF(COUNTIF(Настройки!$B$17:$B$26,F2385)&gt;0,1,IF(COUNTIF(Настройки!$C$17:$C$26,F2385)&gt;0,2,IF(COUNTIF(Настройки!$D$17:$D$26,F2385)&gt;0,3,0))))</f>
        <v/>
      </c>
      <c r="I2385">
        <f>IF(AND(ISNUMBER(A2385),ISNUMBER(B2385)),A2385*1000+B2385,"")</f>
        <v/>
      </c>
      <c r="J2385">
        <f>IF(I2385="","",IF(COUNTIF(I$2:I2385,I2385)=1,MAX(J$1:J2384)+1,""))</f>
        <v/>
      </c>
    </row>
    <row r="2386">
      <c r="A2386">
        <f>IFERROR(--SUBSTITUTE(SUBSTITUTE(TRIM(INDEX(INDIRECT("'Выгрузка'!A2386:Z2386"),Настройки!$B$7)),",","."),".",MID(1/2,2,1)),"")</f>
        <v/>
      </c>
      <c r="B2386">
        <f>IFERROR(--SUBSTITUTE(SUBSTITUTE(TRIM(INDEX(INDIRECT("'Выгрузка'!A2386:Z2386"),Настройки!$B$9)),",","."),".",MID(1/2,2,1)),"")</f>
        <v/>
      </c>
      <c r="C2386">
        <f>TRIM(INDEX(INDIRECT("'Выгрузка'!A2386:Z2386"),Настройки!$B$8)&amp;"")</f>
        <v/>
      </c>
      <c r="D2386">
        <f>IFERROR(--SUBSTITUTE(SUBSTITUTE(TRIM(INDEX(INDIRECT("'Выгрузка'!A2386:Z2386"),Настройки!$B$10)),",","."),".",MID(1/2,2,1)),"")</f>
        <v/>
      </c>
      <c r="E2386">
        <f>IFERROR(--SUBSTITUTE(SUBSTITUTE(TRIM(INDEX(INDIRECT("'Выгрузка'!A2386:Z2386"),Настройки!$B$11)),",","."),".",MID(1/2,2,1)),"")</f>
        <v/>
      </c>
      <c r="F2386">
        <f>TRIM(INDEX(INDIRECT("'Выгрузка'!A2386:Z2386"),Настройки!$B$12)&amp;"")</f>
        <v/>
      </c>
      <c r="G2386">
        <f>IF(F2386="",0,IF(TRIM(INDEX(INDIRECT("'Выгрузка'!A2386:Z2386"),Настройки!$B$13)&amp;"")="",1,IFERROR(--SUBSTITUTE(SUBSTITUTE(TRIM(INDEX(INDIRECT("'Выгрузка'!A2386:Z2386"),Настройки!$B$13)),",","."),".",MID(1/2,2,1)),"")))</f>
        <v/>
      </c>
      <c r="H2386">
        <f>IF(F2386="",0,IF(COUNTIF(Настройки!$B$17:$B$26,F2386)&gt;0,1,IF(COUNTIF(Настройки!$C$17:$C$26,F2386)&gt;0,2,IF(COUNTIF(Настройки!$D$17:$D$26,F2386)&gt;0,3,0))))</f>
        <v/>
      </c>
      <c r="I2386">
        <f>IF(AND(ISNUMBER(A2386),ISNUMBER(B2386)),A2386*1000+B2386,"")</f>
        <v/>
      </c>
      <c r="J2386">
        <f>IF(I2386="","",IF(COUNTIF(I$2:I2386,I2386)=1,MAX(J$1:J2385)+1,""))</f>
        <v/>
      </c>
    </row>
    <row r="2387">
      <c r="A2387">
        <f>IFERROR(--SUBSTITUTE(SUBSTITUTE(TRIM(INDEX(INDIRECT("'Выгрузка'!A2387:Z2387"),Настройки!$B$7)),",","."),".",MID(1/2,2,1)),"")</f>
        <v/>
      </c>
      <c r="B2387">
        <f>IFERROR(--SUBSTITUTE(SUBSTITUTE(TRIM(INDEX(INDIRECT("'Выгрузка'!A2387:Z2387"),Настройки!$B$9)),",","."),".",MID(1/2,2,1)),"")</f>
        <v/>
      </c>
      <c r="C2387">
        <f>TRIM(INDEX(INDIRECT("'Выгрузка'!A2387:Z2387"),Настройки!$B$8)&amp;"")</f>
        <v/>
      </c>
      <c r="D2387">
        <f>IFERROR(--SUBSTITUTE(SUBSTITUTE(TRIM(INDEX(INDIRECT("'Выгрузка'!A2387:Z2387"),Настройки!$B$10)),",","."),".",MID(1/2,2,1)),"")</f>
        <v/>
      </c>
      <c r="E2387">
        <f>IFERROR(--SUBSTITUTE(SUBSTITUTE(TRIM(INDEX(INDIRECT("'Выгрузка'!A2387:Z2387"),Настройки!$B$11)),",","."),".",MID(1/2,2,1)),"")</f>
        <v/>
      </c>
      <c r="F2387">
        <f>TRIM(INDEX(INDIRECT("'Выгрузка'!A2387:Z2387"),Настройки!$B$12)&amp;"")</f>
        <v/>
      </c>
      <c r="G2387">
        <f>IF(F2387="",0,IF(TRIM(INDEX(INDIRECT("'Выгрузка'!A2387:Z2387"),Настройки!$B$13)&amp;"")="",1,IFERROR(--SUBSTITUTE(SUBSTITUTE(TRIM(INDEX(INDIRECT("'Выгрузка'!A2387:Z2387"),Настройки!$B$13)),",","."),".",MID(1/2,2,1)),"")))</f>
        <v/>
      </c>
      <c r="H2387">
        <f>IF(F2387="",0,IF(COUNTIF(Настройки!$B$17:$B$26,F2387)&gt;0,1,IF(COUNTIF(Настройки!$C$17:$C$26,F2387)&gt;0,2,IF(COUNTIF(Настройки!$D$17:$D$26,F2387)&gt;0,3,0))))</f>
        <v/>
      </c>
      <c r="I2387">
        <f>IF(AND(ISNUMBER(A2387),ISNUMBER(B2387)),A2387*1000+B2387,"")</f>
        <v/>
      </c>
      <c r="J2387">
        <f>IF(I2387="","",IF(COUNTIF(I$2:I2387,I2387)=1,MAX(J$1:J2386)+1,""))</f>
        <v/>
      </c>
    </row>
    <row r="2388">
      <c r="A2388">
        <f>IFERROR(--SUBSTITUTE(SUBSTITUTE(TRIM(INDEX(INDIRECT("'Выгрузка'!A2388:Z2388"),Настройки!$B$7)),",","."),".",MID(1/2,2,1)),"")</f>
        <v/>
      </c>
      <c r="B2388">
        <f>IFERROR(--SUBSTITUTE(SUBSTITUTE(TRIM(INDEX(INDIRECT("'Выгрузка'!A2388:Z2388"),Настройки!$B$9)),",","."),".",MID(1/2,2,1)),"")</f>
        <v/>
      </c>
      <c r="C2388">
        <f>TRIM(INDEX(INDIRECT("'Выгрузка'!A2388:Z2388"),Настройки!$B$8)&amp;"")</f>
        <v/>
      </c>
      <c r="D2388">
        <f>IFERROR(--SUBSTITUTE(SUBSTITUTE(TRIM(INDEX(INDIRECT("'Выгрузка'!A2388:Z2388"),Настройки!$B$10)),",","."),".",MID(1/2,2,1)),"")</f>
        <v/>
      </c>
      <c r="E2388">
        <f>IFERROR(--SUBSTITUTE(SUBSTITUTE(TRIM(INDEX(INDIRECT("'Выгрузка'!A2388:Z2388"),Настройки!$B$11)),",","."),".",MID(1/2,2,1)),"")</f>
        <v/>
      </c>
      <c r="F2388">
        <f>TRIM(INDEX(INDIRECT("'Выгрузка'!A2388:Z2388"),Настройки!$B$12)&amp;"")</f>
        <v/>
      </c>
      <c r="G2388">
        <f>IF(F2388="",0,IF(TRIM(INDEX(INDIRECT("'Выгрузка'!A2388:Z2388"),Настройки!$B$13)&amp;"")="",1,IFERROR(--SUBSTITUTE(SUBSTITUTE(TRIM(INDEX(INDIRECT("'Выгрузка'!A2388:Z2388"),Настройки!$B$13)),",","."),".",MID(1/2,2,1)),"")))</f>
        <v/>
      </c>
      <c r="H2388">
        <f>IF(F2388="",0,IF(COUNTIF(Настройки!$B$17:$B$26,F2388)&gt;0,1,IF(COUNTIF(Настройки!$C$17:$C$26,F2388)&gt;0,2,IF(COUNTIF(Настройки!$D$17:$D$26,F2388)&gt;0,3,0))))</f>
        <v/>
      </c>
      <c r="I2388">
        <f>IF(AND(ISNUMBER(A2388),ISNUMBER(B2388)),A2388*1000+B2388,"")</f>
        <v/>
      </c>
      <c r="J2388">
        <f>IF(I2388="","",IF(COUNTIF(I$2:I2388,I2388)=1,MAX(J$1:J2387)+1,""))</f>
        <v/>
      </c>
    </row>
    <row r="2389">
      <c r="A2389">
        <f>IFERROR(--SUBSTITUTE(SUBSTITUTE(TRIM(INDEX(INDIRECT("'Выгрузка'!A2389:Z2389"),Настройки!$B$7)),",","."),".",MID(1/2,2,1)),"")</f>
        <v/>
      </c>
      <c r="B2389">
        <f>IFERROR(--SUBSTITUTE(SUBSTITUTE(TRIM(INDEX(INDIRECT("'Выгрузка'!A2389:Z2389"),Настройки!$B$9)),",","."),".",MID(1/2,2,1)),"")</f>
        <v/>
      </c>
      <c r="C2389">
        <f>TRIM(INDEX(INDIRECT("'Выгрузка'!A2389:Z2389"),Настройки!$B$8)&amp;"")</f>
        <v/>
      </c>
      <c r="D2389">
        <f>IFERROR(--SUBSTITUTE(SUBSTITUTE(TRIM(INDEX(INDIRECT("'Выгрузка'!A2389:Z2389"),Настройки!$B$10)),",","."),".",MID(1/2,2,1)),"")</f>
        <v/>
      </c>
      <c r="E2389">
        <f>IFERROR(--SUBSTITUTE(SUBSTITUTE(TRIM(INDEX(INDIRECT("'Выгрузка'!A2389:Z2389"),Настройки!$B$11)),",","."),".",MID(1/2,2,1)),"")</f>
        <v/>
      </c>
      <c r="F2389">
        <f>TRIM(INDEX(INDIRECT("'Выгрузка'!A2389:Z2389"),Настройки!$B$12)&amp;"")</f>
        <v/>
      </c>
      <c r="G2389">
        <f>IF(F2389="",0,IF(TRIM(INDEX(INDIRECT("'Выгрузка'!A2389:Z2389"),Настройки!$B$13)&amp;"")="",1,IFERROR(--SUBSTITUTE(SUBSTITUTE(TRIM(INDEX(INDIRECT("'Выгрузка'!A2389:Z2389"),Настройки!$B$13)),",","."),".",MID(1/2,2,1)),"")))</f>
        <v/>
      </c>
      <c r="H2389">
        <f>IF(F2389="",0,IF(COUNTIF(Настройки!$B$17:$B$26,F2389)&gt;0,1,IF(COUNTIF(Настройки!$C$17:$C$26,F2389)&gt;0,2,IF(COUNTIF(Настройки!$D$17:$D$26,F2389)&gt;0,3,0))))</f>
        <v/>
      </c>
      <c r="I2389">
        <f>IF(AND(ISNUMBER(A2389),ISNUMBER(B2389)),A2389*1000+B2389,"")</f>
        <v/>
      </c>
      <c r="J2389">
        <f>IF(I2389="","",IF(COUNTIF(I$2:I2389,I2389)=1,MAX(J$1:J2388)+1,""))</f>
        <v/>
      </c>
    </row>
    <row r="2390">
      <c r="A2390">
        <f>IFERROR(--SUBSTITUTE(SUBSTITUTE(TRIM(INDEX(INDIRECT("'Выгрузка'!A2390:Z2390"),Настройки!$B$7)),",","."),".",MID(1/2,2,1)),"")</f>
        <v/>
      </c>
      <c r="B2390">
        <f>IFERROR(--SUBSTITUTE(SUBSTITUTE(TRIM(INDEX(INDIRECT("'Выгрузка'!A2390:Z2390"),Настройки!$B$9)),",","."),".",MID(1/2,2,1)),"")</f>
        <v/>
      </c>
      <c r="C2390">
        <f>TRIM(INDEX(INDIRECT("'Выгрузка'!A2390:Z2390"),Настройки!$B$8)&amp;"")</f>
        <v/>
      </c>
      <c r="D2390">
        <f>IFERROR(--SUBSTITUTE(SUBSTITUTE(TRIM(INDEX(INDIRECT("'Выгрузка'!A2390:Z2390"),Настройки!$B$10)),",","."),".",MID(1/2,2,1)),"")</f>
        <v/>
      </c>
      <c r="E2390">
        <f>IFERROR(--SUBSTITUTE(SUBSTITUTE(TRIM(INDEX(INDIRECT("'Выгрузка'!A2390:Z2390"),Настройки!$B$11)),",","."),".",MID(1/2,2,1)),"")</f>
        <v/>
      </c>
      <c r="F2390">
        <f>TRIM(INDEX(INDIRECT("'Выгрузка'!A2390:Z2390"),Настройки!$B$12)&amp;"")</f>
        <v/>
      </c>
      <c r="G2390">
        <f>IF(F2390="",0,IF(TRIM(INDEX(INDIRECT("'Выгрузка'!A2390:Z2390"),Настройки!$B$13)&amp;"")="",1,IFERROR(--SUBSTITUTE(SUBSTITUTE(TRIM(INDEX(INDIRECT("'Выгрузка'!A2390:Z2390"),Настройки!$B$13)),",","."),".",MID(1/2,2,1)),"")))</f>
        <v/>
      </c>
      <c r="H2390">
        <f>IF(F2390="",0,IF(COUNTIF(Настройки!$B$17:$B$26,F2390)&gt;0,1,IF(COUNTIF(Настройки!$C$17:$C$26,F2390)&gt;0,2,IF(COUNTIF(Настройки!$D$17:$D$26,F2390)&gt;0,3,0))))</f>
        <v/>
      </c>
      <c r="I2390">
        <f>IF(AND(ISNUMBER(A2390),ISNUMBER(B2390)),A2390*1000+B2390,"")</f>
        <v/>
      </c>
      <c r="J2390">
        <f>IF(I2390="","",IF(COUNTIF(I$2:I2390,I2390)=1,MAX(J$1:J2389)+1,""))</f>
        <v/>
      </c>
    </row>
    <row r="2391">
      <c r="A2391">
        <f>IFERROR(--SUBSTITUTE(SUBSTITUTE(TRIM(INDEX(INDIRECT("'Выгрузка'!A2391:Z2391"),Настройки!$B$7)),",","."),".",MID(1/2,2,1)),"")</f>
        <v/>
      </c>
      <c r="B2391">
        <f>IFERROR(--SUBSTITUTE(SUBSTITUTE(TRIM(INDEX(INDIRECT("'Выгрузка'!A2391:Z2391"),Настройки!$B$9)),",","."),".",MID(1/2,2,1)),"")</f>
        <v/>
      </c>
      <c r="C2391">
        <f>TRIM(INDEX(INDIRECT("'Выгрузка'!A2391:Z2391"),Настройки!$B$8)&amp;"")</f>
        <v/>
      </c>
      <c r="D2391">
        <f>IFERROR(--SUBSTITUTE(SUBSTITUTE(TRIM(INDEX(INDIRECT("'Выгрузка'!A2391:Z2391"),Настройки!$B$10)),",","."),".",MID(1/2,2,1)),"")</f>
        <v/>
      </c>
      <c r="E2391">
        <f>IFERROR(--SUBSTITUTE(SUBSTITUTE(TRIM(INDEX(INDIRECT("'Выгрузка'!A2391:Z2391"),Настройки!$B$11)),",","."),".",MID(1/2,2,1)),"")</f>
        <v/>
      </c>
      <c r="F2391">
        <f>TRIM(INDEX(INDIRECT("'Выгрузка'!A2391:Z2391"),Настройки!$B$12)&amp;"")</f>
        <v/>
      </c>
      <c r="G2391">
        <f>IF(F2391="",0,IF(TRIM(INDEX(INDIRECT("'Выгрузка'!A2391:Z2391"),Настройки!$B$13)&amp;"")="",1,IFERROR(--SUBSTITUTE(SUBSTITUTE(TRIM(INDEX(INDIRECT("'Выгрузка'!A2391:Z2391"),Настройки!$B$13)),",","."),".",MID(1/2,2,1)),"")))</f>
        <v/>
      </c>
      <c r="H2391">
        <f>IF(F2391="",0,IF(COUNTIF(Настройки!$B$17:$B$26,F2391)&gt;0,1,IF(COUNTIF(Настройки!$C$17:$C$26,F2391)&gt;0,2,IF(COUNTIF(Настройки!$D$17:$D$26,F2391)&gt;0,3,0))))</f>
        <v/>
      </c>
      <c r="I2391">
        <f>IF(AND(ISNUMBER(A2391),ISNUMBER(B2391)),A2391*1000+B2391,"")</f>
        <v/>
      </c>
      <c r="J2391">
        <f>IF(I2391="","",IF(COUNTIF(I$2:I2391,I2391)=1,MAX(J$1:J2390)+1,""))</f>
        <v/>
      </c>
    </row>
    <row r="2392">
      <c r="A2392">
        <f>IFERROR(--SUBSTITUTE(SUBSTITUTE(TRIM(INDEX(INDIRECT("'Выгрузка'!A2392:Z2392"),Настройки!$B$7)),",","."),".",MID(1/2,2,1)),"")</f>
        <v/>
      </c>
      <c r="B2392">
        <f>IFERROR(--SUBSTITUTE(SUBSTITUTE(TRIM(INDEX(INDIRECT("'Выгрузка'!A2392:Z2392"),Настройки!$B$9)),",","."),".",MID(1/2,2,1)),"")</f>
        <v/>
      </c>
      <c r="C2392">
        <f>TRIM(INDEX(INDIRECT("'Выгрузка'!A2392:Z2392"),Настройки!$B$8)&amp;"")</f>
        <v/>
      </c>
      <c r="D2392">
        <f>IFERROR(--SUBSTITUTE(SUBSTITUTE(TRIM(INDEX(INDIRECT("'Выгрузка'!A2392:Z2392"),Настройки!$B$10)),",","."),".",MID(1/2,2,1)),"")</f>
        <v/>
      </c>
      <c r="E2392">
        <f>IFERROR(--SUBSTITUTE(SUBSTITUTE(TRIM(INDEX(INDIRECT("'Выгрузка'!A2392:Z2392"),Настройки!$B$11)),",","."),".",MID(1/2,2,1)),"")</f>
        <v/>
      </c>
      <c r="F2392">
        <f>TRIM(INDEX(INDIRECT("'Выгрузка'!A2392:Z2392"),Настройки!$B$12)&amp;"")</f>
        <v/>
      </c>
      <c r="G2392">
        <f>IF(F2392="",0,IF(TRIM(INDEX(INDIRECT("'Выгрузка'!A2392:Z2392"),Настройки!$B$13)&amp;"")="",1,IFERROR(--SUBSTITUTE(SUBSTITUTE(TRIM(INDEX(INDIRECT("'Выгрузка'!A2392:Z2392"),Настройки!$B$13)),",","."),".",MID(1/2,2,1)),"")))</f>
        <v/>
      </c>
      <c r="H2392">
        <f>IF(F2392="",0,IF(COUNTIF(Настройки!$B$17:$B$26,F2392)&gt;0,1,IF(COUNTIF(Настройки!$C$17:$C$26,F2392)&gt;0,2,IF(COUNTIF(Настройки!$D$17:$D$26,F2392)&gt;0,3,0))))</f>
        <v/>
      </c>
      <c r="I2392">
        <f>IF(AND(ISNUMBER(A2392),ISNUMBER(B2392)),A2392*1000+B2392,"")</f>
        <v/>
      </c>
      <c r="J2392">
        <f>IF(I2392="","",IF(COUNTIF(I$2:I2392,I2392)=1,MAX(J$1:J2391)+1,""))</f>
        <v/>
      </c>
    </row>
    <row r="2393">
      <c r="A2393">
        <f>IFERROR(--SUBSTITUTE(SUBSTITUTE(TRIM(INDEX(INDIRECT("'Выгрузка'!A2393:Z2393"),Настройки!$B$7)),",","."),".",MID(1/2,2,1)),"")</f>
        <v/>
      </c>
      <c r="B2393">
        <f>IFERROR(--SUBSTITUTE(SUBSTITUTE(TRIM(INDEX(INDIRECT("'Выгрузка'!A2393:Z2393"),Настройки!$B$9)),",","."),".",MID(1/2,2,1)),"")</f>
        <v/>
      </c>
      <c r="C2393">
        <f>TRIM(INDEX(INDIRECT("'Выгрузка'!A2393:Z2393"),Настройки!$B$8)&amp;"")</f>
        <v/>
      </c>
      <c r="D2393">
        <f>IFERROR(--SUBSTITUTE(SUBSTITUTE(TRIM(INDEX(INDIRECT("'Выгрузка'!A2393:Z2393"),Настройки!$B$10)),",","."),".",MID(1/2,2,1)),"")</f>
        <v/>
      </c>
      <c r="E2393">
        <f>IFERROR(--SUBSTITUTE(SUBSTITUTE(TRIM(INDEX(INDIRECT("'Выгрузка'!A2393:Z2393"),Настройки!$B$11)),",","."),".",MID(1/2,2,1)),"")</f>
        <v/>
      </c>
      <c r="F2393">
        <f>TRIM(INDEX(INDIRECT("'Выгрузка'!A2393:Z2393"),Настройки!$B$12)&amp;"")</f>
        <v/>
      </c>
      <c r="G2393">
        <f>IF(F2393="",0,IF(TRIM(INDEX(INDIRECT("'Выгрузка'!A2393:Z2393"),Настройки!$B$13)&amp;"")="",1,IFERROR(--SUBSTITUTE(SUBSTITUTE(TRIM(INDEX(INDIRECT("'Выгрузка'!A2393:Z2393"),Настройки!$B$13)),",","."),".",MID(1/2,2,1)),"")))</f>
        <v/>
      </c>
      <c r="H2393">
        <f>IF(F2393="",0,IF(COUNTIF(Настройки!$B$17:$B$26,F2393)&gt;0,1,IF(COUNTIF(Настройки!$C$17:$C$26,F2393)&gt;0,2,IF(COUNTIF(Настройки!$D$17:$D$26,F2393)&gt;0,3,0))))</f>
        <v/>
      </c>
      <c r="I2393">
        <f>IF(AND(ISNUMBER(A2393),ISNUMBER(B2393)),A2393*1000+B2393,"")</f>
        <v/>
      </c>
      <c r="J2393">
        <f>IF(I2393="","",IF(COUNTIF(I$2:I2393,I2393)=1,MAX(J$1:J2392)+1,""))</f>
        <v/>
      </c>
    </row>
    <row r="2394">
      <c r="A2394">
        <f>IFERROR(--SUBSTITUTE(SUBSTITUTE(TRIM(INDEX(INDIRECT("'Выгрузка'!A2394:Z2394"),Настройки!$B$7)),",","."),".",MID(1/2,2,1)),"")</f>
        <v/>
      </c>
      <c r="B2394">
        <f>IFERROR(--SUBSTITUTE(SUBSTITUTE(TRIM(INDEX(INDIRECT("'Выгрузка'!A2394:Z2394"),Настройки!$B$9)),",","."),".",MID(1/2,2,1)),"")</f>
        <v/>
      </c>
      <c r="C2394">
        <f>TRIM(INDEX(INDIRECT("'Выгрузка'!A2394:Z2394"),Настройки!$B$8)&amp;"")</f>
        <v/>
      </c>
      <c r="D2394">
        <f>IFERROR(--SUBSTITUTE(SUBSTITUTE(TRIM(INDEX(INDIRECT("'Выгрузка'!A2394:Z2394"),Настройки!$B$10)),",","."),".",MID(1/2,2,1)),"")</f>
        <v/>
      </c>
      <c r="E2394">
        <f>IFERROR(--SUBSTITUTE(SUBSTITUTE(TRIM(INDEX(INDIRECT("'Выгрузка'!A2394:Z2394"),Настройки!$B$11)),",","."),".",MID(1/2,2,1)),"")</f>
        <v/>
      </c>
      <c r="F2394">
        <f>TRIM(INDEX(INDIRECT("'Выгрузка'!A2394:Z2394"),Настройки!$B$12)&amp;"")</f>
        <v/>
      </c>
      <c r="G2394">
        <f>IF(F2394="",0,IF(TRIM(INDEX(INDIRECT("'Выгрузка'!A2394:Z2394"),Настройки!$B$13)&amp;"")="",1,IFERROR(--SUBSTITUTE(SUBSTITUTE(TRIM(INDEX(INDIRECT("'Выгрузка'!A2394:Z2394"),Настройки!$B$13)),",","."),".",MID(1/2,2,1)),"")))</f>
        <v/>
      </c>
      <c r="H2394">
        <f>IF(F2394="",0,IF(COUNTIF(Настройки!$B$17:$B$26,F2394)&gt;0,1,IF(COUNTIF(Настройки!$C$17:$C$26,F2394)&gt;0,2,IF(COUNTIF(Настройки!$D$17:$D$26,F2394)&gt;0,3,0))))</f>
        <v/>
      </c>
      <c r="I2394">
        <f>IF(AND(ISNUMBER(A2394),ISNUMBER(B2394)),A2394*1000+B2394,"")</f>
        <v/>
      </c>
      <c r="J2394">
        <f>IF(I2394="","",IF(COUNTIF(I$2:I2394,I2394)=1,MAX(J$1:J2393)+1,""))</f>
        <v/>
      </c>
    </row>
    <row r="2395">
      <c r="A2395">
        <f>IFERROR(--SUBSTITUTE(SUBSTITUTE(TRIM(INDEX(INDIRECT("'Выгрузка'!A2395:Z2395"),Настройки!$B$7)),",","."),".",MID(1/2,2,1)),"")</f>
        <v/>
      </c>
      <c r="B2395">
        <f>IFERROR(--SUBSTITUTE(SUBSTITUTE(TRIM(INDEX(INDIRECT("'Выгрузка'!A2395:Z2395"),Настройки!$B$9)),",","."),".",MID(1/2,2,1)),"")</f>
        <v/>
      </c>
      <c r="C2395">
        <f>TRIM(INDEX(INDIRECT("'Выгрузка'!A2395:Z2395"),Настройки!$B$8)&amp;"")</f>
        <v/>
      </c>
      <c r="D2395">
        <f>IFERROR(--SUBSTITUTE(SUBSTITUTE(TRIM(INDEX(INDIRECT("'Выгрузка'!A2395:Z2395"),Настройки!$B$10)),",","."),".",MID(1/2,2,1)),"")</f>
        <v/>
      </c>
      <c r="E2395">
        <f>IFERROR(--SUBSTITUTE(SUBSTITUTE(TRIM(INDEX(INDIRECT("'Выгрузка'!A2395:Z2395"),Настройки!$B$11)),",","."),".",MID(1/2,2,1)),"")</f>
        <v/>
      </c>
      <c r="F2395">
        <f>TRIM(INDEX(INDIRECT("'Выгрузка'!A2395:Z2395"),Настройки!$B$12)&amp;"")</f>
        <v/>
      </c>
      <c r="G2395">
        <f>IF(F2395="",0,IF(TRIM(INDEX(INDIRECT("'Выгрузка'!A2395:Z2395"),Настройки!$B$13)&amp;"")="",1,IFERROR(--SUBSTITUTE(SUBSTITUTE(TRIM(INDEX(INDIRECT("'Выгрузка'!A2395:Z2395"),Настройки!$B$13)),",","."),".",MID(1/2,2,1)),"")))</f>
        <v/>
      </c>
      <c r="H2395">
        <f>IF(F2395="",0,IF(COUNTIF(Настройки!$B$17:$B$26,F2395)&gt;0,1,IF(COUNTIF(Настройки!$C$17:$C$26,F2395)&gt;0,2,IF(COUNTIF(Настройки!$D$17:$D$26,F2395)&gt;0,3,0))))</f>
        <v/>
      </c>
      <c r="I2395">
        <f>IF(AND(ISNUMBER(A2395),ISNUMBER(B2395)),A2395*1000+B2395,"")</f>
        <v/>
      </c>
      <c r="J2395">
        <f>IF(I2395="","",IF(COUNTIF(I$2:I2395,I2395)=1,MAX(J$1:J2394)+1,""))</f>
        <v/>
      </c>
    </row>
    <row r="2396">
      <c r="A2396">
        <f>IFERROR(--SUBSTITUTE(SUBSTITUTE(TRIM(INDEX(INDIRECT("'Выгрузка'!A2396:Z2396"),Настройки!$B$7)),",","."),".",MID(1/2,2,1)),"")</f>
        <v/>
      </c>
      <c r="B2396">
        <f>IFERROR(--SUBSTITUTE(SUBSTITUTE(TRIM(INDEX(INDIRECT("'Выгрузка'!A2396:Z2396"),Настройки!$B$9)),",","."),".",MID(1/2,2,1)),"")</f>
        <v/>
      </c>
      <c r="C2396">
        <f>TRIM(INDEX(INDIRECT("'Выгрузка'!A2396:Z2396"),Настройки!$B$8)&amp;"")</f>
        <v/>
      </c>
      <c r="D2396">
        <f>IFERROR(--SUBSTITUTE(SUBSTITUTE(TRIM(INDEX(INDIRECT("'Выгрузка'!A2396:Z2396"),Настройки!$B$10)),",","."),".",MID(1/2,2,1)),"")</f>
        <v/>
      </c>
      <c r="E2396">
        <f>IFERROR(--SUBSTITUTE(SUBSTITUTE(TRIM(INDEX(INDIRECT("'Выгрузка'!A2396:Z2396"),Настройки!$B$11)),",","."),".",MID(1/2,2,1)),"")</f>
        <v/>
      </c>
      <c r="F2396">
        <f>TRIM(INDEX(INDIRECT("'Выгрузка'!A2396:Z2396"),Настройки!$B$12)&amp;"")</f>
        <v/>
      </c>
      <c r="G2396">
        <f>IF(F2396="",0,IF(TRIM(INDEX(INDIRECT("'Выгрузка'!A2396:Z2396"),Настройки!$B$13)&amp;"")="",1,IFERROR(--SUBSTITUTE(SUBSTITUTE(TRIM(INDEX(INDIRECT("'Выгрузка'!A2396:Z2396"),Настройки!$B$13)),",","."),".",MID(1/2,2,1)),"")))</f>
        <v/>
      </c>
      <c r="H2396">
        <f>IF(F2396="",0,IF(COUNTIF(Настройки!$B$17:$B$26,F2396)&gt;0,1,IF(COUNTIF(Настройки!$C$17:$C$26,F2396)&gt;0,2,IF(COUNTIF(Настройки!$D$17:$D$26,F2396)&gt;0,3,0))))</f>
        <v/>
      </c>
      <c r="I2396">
        <f>IF(AND(ISNUMBER(A2396),ISNUMBER(B2396)),A2396*1000+B2396,"")</f>
        <v/>
      </c>
      <c r="J2396">
        <f>IF(I2396="","",IF(COUNTIF(I$2:I2396,I2396)=1,MAX(J$1:J2395)+1,""))</f>
        <v/>
      </c>
    </row>
    <row r="2397">
      <c r="A2397">
        <f>IFERROR(--SUBSTITUTE(SUBSTITUTE(TRIM(INDEX(INDIRECT("'Выгрузка'!A2397:Z2397"),Настройки!$B$7)),",","."),".",MID(1/2,2,1)),"")</f>
        <v/>
      </c>
      <c r="B2397">
        <f>IFERROR(--SUBSTITUTE(SUBSTITUTE(TRIM(INDEX(INDIRECT("'Выгрузка'!A2397:Z2397"),Настройки!$B$9)),",","."),".",MID(1/2,2,1)),"")</f>
        <v/>
      </c>
      <c r="C2397">
        <f>TRIM(INDEX(INDIRECT("'Выгрузка'!A2397:Z2397"),Настройки!$B$8)&amp;"")</f>
        <v/>
      </c>
      <c r="D2397">
        <f>IFERROR(--SUBSTITUTE(SUBSTITUTE(TRIM(INDEX(INDIRECT("'Выгрузка'!A2397:Z2397"),Настройки!$B$10)),",","."),".",MID(1/2,2,1)),"")</f>
        <v/>
      </c>
      <c r="E2397">
        <f>IFERROR(--SUBSTITUTE(SUBSTITUTE(TRIM(INDEX(INDIRECT("'Выгрузка'!A2397:Z2397"),Настройки!$B$11)),",","."),".",MID(1/2,2,1)),"")</f>
        <v/>
      </c>
      <c r="F2397">
        <f>TRIM(INDEX(INDIRECT("'Выгрузка'!A2397:Z2397"),Настройки!$B$12)&amp;"")</f>
        <v/>
      </c>
      <c r="G2397">
        <f>IF(F2397="",0,IF(TRIM(INDEX(INDIRECT("'Выгрузка'!A2397:Z2397"),Настройки!$B$13)&amp;"")="",1,IFERROR(--SUBSTITUTE(SUBSTITUTE(TRIM(INDEX(INDIRECT("'Выгрузка'!A2397:Z2397"),Настройки!$B$13)),",","."),".",MID(1/2,2,1)),"")))</f>
        <v/>
      </c>
      <c r="H2397">
        <f>IF(F2397="",0,IF(COUNTIF(Настройки!$B$17:$B$26,F2397)&gt;0,1,IF(COUNTIF(Настройки!$C$17:$C$26,F2397)&gt;0,2,IF(COUNTIF(Настройки!$D$17:$D$26,F2397)&gt;0,3,0))))</f>
        <v/>
      </c>
      <c r="I2397">
        <f>IF(AND(ISNUMBER(A2397),ISNUMBER(B2397)),A2397*1000+B2397,"")</f>
        <v/>
      </c>
      <c r="J2397">
        <f>IF(I2397="","",IF(COUNTIF(I$2:I2397,I2397)=1,MAX(J$1:J2396)+1,""))</f>
        <v/>
      </c>
    </row>
    <row r="2398">
      <c r="A2398">
        <f>IFERROR(--SUBSTITUTE(SUBSTITUTE(TRIM(INDEX(INDIRECT("'Выгрузка'!A2398:Z2398"),Настройки!$B$7)),",","."),".",MID(1/2,2,1)),"")</f>
        <v/>
      </c>
      <c r="B2398">
        <f>IFERROR(--SUBSTITUTE(SUBSTITUTE(TRIM(INDEX(INDIRECT("'Выгрузка'!A2398:Z2398"),Настройки!$B$9)),",","."),".",MID(1/2,2,1)),"")</f>
        <v/>
      </c>
      <c r="C2398">
        <f>TRIM(INDEX(INDIRECT("'Выгрузка'!A2398:Z2398"),Настройки!$B$8)&amp;"")</f>
        <v/>
      </c>
      <c r="D2398">
        <f>IFERROR(--SUBSTITUTE(SUBSTITUTE(TRIM(INDEX(INDIRECT("'Выгрузка'!A2398:Z2398"),Настройки!$B$10)),",","."),".",MID(1/2,2,1)),"")</f>
        <v/>
      </c>
      <c r="E2398">
        <f>IFERROR(--SUBSTITUTE(SUBSTITUTE(TRIM(INDEX(INDIRECT("'Выгрузка'!A2398:Z2398"),Настройки!$B$11)),",","."),".",MID(1/2,2,1)),"")</f>
        <v/>
      </c>
      <c r="F2398">
        <f>TRIM(INDEX(INDIRECT("'Выгрузка'!A2398:Z2398"),Настройки!$B$12)&amp;"")</f>
        <v/>
      </c>
      <c r="G2398">
        <f>IF(F2398="",0,IF(TRIM(INDEX(INDIRECT("'Выгрузка'!A2398:Z2398"),Настройки!$B$13)&amp;"")="",1,IFERROR(--SUBSTITUTE(SUBSTITUTE(TRIM(INDEX(INDIRECT("'Выгрузка'!A2398:Z2398"),Настройки!$B$13)),",","."),".",MID(1/2,2,1)),"")))</f>
        <v/>
      </c>
      <c r="H2398">
        <f>IF(F2398="",0,IF(COUNTIF(Настройки!$B$17:$B$26,F2398)&gt;0,1,IF(COUNTIF(Настройки!$C$17:$C$26,F2398)&gt;0,2,IF(COUNTIF(Настройки!$D$17:$D$26,F2398)&gt;0,3,0))))</f>
        <v/>
      </c>
      <c r="I2398">
        <f>IF(AND(ISNUMBER(A2398),ISNUMBER(B2398)),A2398*1000+B2398,"")</f>
        <v/>
      </c>
      <c r="J2398">
        <f>IF(I2398="","",IF(COUNTIF(I$2:I2398,I2398)=1,MAX(J$1:J2397)+1,""))</f>
        <v/>
      </c>
    </row>
    <row r="2399">
      <c r="A2399">
        <f>IFERROR(--SUBSTITUTE(SUBSTITUTE(TRIM(INDEX(INDIRECT("'Выгрузка'!A2399:Z2399"),Настройки!$B$7)),",","."),".",MID(1/2,2,1)),"")</f>
        <v/>
      </c>
      <c r="B2399">
        <f>IFERROR(--SUBSTITUTE(SUBSTITUTE(TRIM(INDEX(INDIRECT("'Выгрузка'!A2399:Z2399"),Настройки!$B$9)),",","."),".",MID(1/2,2,1)),"")</f>
        <v/>
      </c>
      <c r="C2399">
        <f>TRIM(INDEX(INDIRECT("'Выгрузка'!A2399:Z2399"),Настройки!$B$8)&amp;"")</f>
        <v/>
      </c>
      <c r="D2399">
        <f>IFERROR(--SUBSTITUTE(SUBSTITUTE(TRIM(INDEX(INDIRECT("'Выгрузка'!A2399:Z2399"),Настройки!$B$10)),",","."),".",MID(1/2,2,1)),"")</f>
        <v/>
      </c>
      <c r="E2399">
        <f>IFERROR(--SUBSTITUTE(SUBSTITUTE(TRIM(INDEX(INDIRECT("'Выгрузка'!A2399:Z2399"),Настройки!$B$11)),",","."),".",MID(1/2,2,1)),"")</f>
        <v/>
      </c>
      <c r="F2399">
        <f>TRIM(INDEX(INDIRECT("'Выгрузка'!A2399:Z2399"),Настройки!$B$12)&amp;"")</f>
        <v/>
      </c>
      <c r="G2399">
        <f>IF(F2399="",0,IF(TRIM(INDEX(INDIRECT("'Выгрузка'!A2399:Z2399"),Настройки!$B$13)&amp;"")="",1,IFERROR(--SUBSTITUTE(SUBSTITUTE(TRIM(INDEX(INDIRECT("'Выгрузка'!A2399:Z2399"),Настройки!$B$13)),",","."),".",MID(1/2,2,1)),"")))</f>
        <v/>
      </c>
      <c r="H2399">
        <f>IF(F2399="",0,IF(COUNTIF(Настройки!$B$17:$B$26,F2399)&gt;0,1,IF(COUNTIF(Настройки!$C$17:$C$26,F2399)&gt;0,2,IF(COUNTIF(Настройки!$D$17:$D$26,F2399)&gt;0,3,0))))</f>
        <v/>
      </c>
      <c r="I2399">
        <f>IF(AND(ISNUMBER(A2399),ISNUMBER(B2399)),A2399*1000+B2399,"")</f>
        <v/>
      </c>
      <c r="J2399">
        <f>IF(I2399="","",IF(COUNTIF(I$2:I2399,I2399)=1,MAX(J$1:J2398)+1,""))</f>
        <v/>
      </c>
    </row>
    <row r="2400">
      <c r="A2400">
        <f>IFERROR(--SUBSTITUTE(SUBSTITUTE(TRIM(INDEX(INDIRECT("'Выгрузка'!A2400:Z2400"),Настройки!$B$7)),",","."),".",MID(1/2,2,1)),"")</f>
        <v/>
      </c>
      <c r="B2400">
        <f>IFERROR(--SUBSTITUTE(SUBSTITUTE(TRIM(INDEX(INDIRECT("'Выгрузка'!A2400:Z2400"),Настройки!$B$9)),",","."),".",MID(1/2,2,1)),"")</f>
        <v/>
      </c>
      <c r="C2400">
        <f>TRIM(INDEX(INDIRECT("'Выгрузка'!A2400:Z2400"),Настройки!$B$8)&amp;"")</f>
        <v/>
      </c>
      <c r="D2400">
        <f>IFERROR(--SUBSTITUTE(SUBSTITUTE(TRIM(INDEX(INDIRECT("'Выгрузка'!A2400:Z2400"),Настройки!$B$10)),",","."),".",MID(1/2,2,1)),"")</f>
        <v/>
      </c>
      <c r="E2400">
        <f>IFERROR(--SUBSTITUTE(SUBSTITUTE(TRIM(INDEX(INDIRECT("'Выгрузка'!A2400:Z2400"),Настройки!$B$11)),",","."),".",MID(1/2,2,1)),"")</f>
        <v/>
      </c>
      <c r="F2400">
        <f>TRIM(INDEX(INDIRECT("'Выгрузка'!A2400:Z2400"),Настройки!$B$12)&amp;"")</f>
        <v/>
      </c>
      <c r="G2400">
        <f>IF(F2400="",0,IF(TRIM(INDEX(INDIRECT("'Выгрузка'!A2400:Z2400"),Настройки!$B$13)&amp;"")="",1,IFERROR(--SUBSTITUTE(SUBSTITUTE(TRIM(INDEX(INDIRECT("'Выгрузка'!A2400:Z2400"),Настройки!$B$13)),",","."),".",MID(1/2,2,1)),"")))</f>
        <v/>
      </c>
      <c r="H2400">
        <f>IF(F2400="",0,IF(COUNTIF(Настройки!$B$17:$B$26,F2400)&gt;0,1,IF(COUNTIF(Настройки!$C$17:$C$26,F2400)&gt;0,2,IF(COUNTIF(Настройки!$D$17:$D$26,F2400)&gt;0,3,0))))</f>
        <v/>
      </c>
      <c r="I2400">
        <f>IF(AND(ISNUMBER(A2400),ISNUMBER(B2400)),A2400*1000+B2400,"")</f>
        <v/>
      </c>
      <c r="J2400">
        <f>IF(I2400="","",IF(COUNTIF(I$2:I2400,I2400)=1,MAX(J$1:J2399)+1,""))</f>
        <v/>
      </c>
    </row>
    <row r="2401">
      <c r="A2401">
        <f>IFERROR(--SUBSTITUTE(SUBSTITUTE(TRIM(INDEX(INDIRECT("'Выгрузка'!A2401:Z2401"),Настройки!$B$7)),",","."),".",MID(1/2,2,1)),"")</f>
        <v/>
      </c>
      <c r="B2401">
        <f>IFERROR(--SUBSTITUTE(SUBSTITUTE(TRIM(INDEX(INDIRECT("'Выгрузка'!A2401:Z2401"),Настройки!$B$9)),",","."),".",MID(1/2,2,1)),"")</f>
        <v/>
      </c>
      <c r="C2401">
        <f>TRIM(INDEX(INDIRECT("'Выгрузка'!A2401:Z2401"),Настройки!$B$8)&amp;"")</f>
        <v/>
      </c>
      <c r="D2401">
        <f>IFERROR(--SUBSTITUTE(SUBSTITUTE(TRIM(INDEX(INDIRECT("'Выгрузка'!A2401:Z2401"),Настройки!$B$10)),",","."),".",MID(1/2,2,1)),"")</f>
        <v/>
      </c>
      <c r="E2401">
        <f>IFERROR(--SUBSTITUTE(SUBSTITUTE(TRIM(INDEX(INDIRECT("'Выгрузка'!A2401:Z2401"),Настройки!$B$11)),",","."),".",MID(1/2,2,1)),"")</f>
        <v/>
      </c>
      <c r="F2401">
        <f>TRIM(INDEX(INDIRECT("'Выгрузка'!A2401:Z2401"),Настройки!$B$12)&amp;"")</f>
        <v/>
      </c>
      <c r="G2401">
        <f>IF(F2401="",0,IF(TRIM(INDEX(INDIRECT("'Выгрузка'!A2401:Z2401"),Настройки!$B$13)&amp;"")="",1,IFERROR(--SUBSTITUTE(SUBSTITUTE(TRIM(INDEX(INDIRECT("'Выгрузка'!A2401:Z2401"),Настройки!$B$13)),",","."),".",MID(1/2,2,1)),"")))</f>
        <v/>
      </c>
      <c r="H2401">
        <f>IF(F2401="",0,IF(COUNTIF(Настройки!$B$17:$B$26,F2401)&gt;0,1,IF(COUNTIF(Настройки!$C$17:$C$26,F2401)&gt;0,2,IF(COUNTIF(Настройки!$D$17:$D$26,F2401)&gt;0,3,0))))</f>
        <v/>
      </c>
      <c r="I2401">
        <f>IF(AND(ISNUMBER(A2401),ISNUMBER(B2401)),A2401*1000+B2401,"")</f>
        <v/>
      </c>
      <c r="J2401">
        <f>IF(I2401="","",IF(COUNTIF(I$2:I2401,I2401)=1,MAX(J$1:J2400)+1,""))</f>
        <v/>
      </c>
    </row>
    <row r="2402">
      <c r="A2402">
        <f>IFERROR(--SUBSTITUTE(SUBSTITUTE(TRIM(INDEX(INDIRECT("'Выгрузка'!A2402:Z2402"),Настройки!$B$7)),",","."),".",MID(1/2,2,1)),"")</f>
        <v/>
      </c>
      <c r="B2402">
        <f>IFERROR(--SUBSTITUTE(SUBSTITUTE(TRIM(INDEX(INDIRECT("'Выгрузка'!A2402:Z2402"),Настройки!$B$9)),",","."),".",MID(1/2,2,1)),"")</f>
        <v/>
      </c>
      <c r="C2402">
        <f>TRIM(INDEX(INDIRECT("'Выгрузка'!A2402:Z2402"),Настройки!$B$8)&amp;"")</f>
        <v/>
      </c>
      <c r="D2402">
        <f>IFERROR(--SUBSTITUTE(SUBSTITUTE(TRIM(INDEX(INDIRECT("'Выгрузка'!A2402:Z2402"),Настройки!$B$10)),",","."),".",MID(1/2,2,1)),"")</f>
        <v/>
      </c>
      <c r="E2402">
        <f>IFERROR(--SUBSTITUTE(SUBSTITUTE(TRIM(INDEX(INDIRECT("'Выгрузка'!A2402:Z2402"),Настройки!$B$11)),",","."),".",MID(1/2,2,1)),"")</f>
        <v/>
      </c>
      <c r="F2402">
        <f>TRIM(INDEX(INDIRECT("'Выгрузка'!A2402:Z2402"),Настройки!$B$12)&amp;"")</f>
        <v/>
      </c>
      <c r="G2402">
        <f>IF(F2402="",0,IF(TRIM(INDEX(INDIRECT("'Выгрузка'!A2402:Z2402"),Настройки!$B$13)&amp;"")="",1,IFERROR(--SUBSTITUTE(SUBSTITUTE(TRIM(INDEX(INDIRECT("'Выгрузка'!A2402:Z2402"),Настройки!$B$13)),",","."),".",MID(1/2,2,1)),"")))</f>
        <v/>
      </c>
      <c r="H2402">
        <f>IF(F2402="",0,IF(COUNTIF(Настройки!$B$17:$B$26,F2402)&gt;0,1,IF(COUNTIF(Настройки!$C$17:$C$26,F2402)&gt;0,2,IF(COUNTIF(Настройки!$D$17:$D$26,F2402)&gt;0,3,0))))</f>
        <v/>
      </c>
      <c r="I2402">
        <f>IF(AND(ISNUMBER(A2402),ISNUMBER(B2402)),A2402*1000+B2402,"")</f>
        <v/>
      </c>
      <c r="J2402">
        <f>IF(I2402="","",IF(COUNTIF(I$2:I2402,I2402)=1,MAX(J$1:J2401)+1,""))</f>
        <v/>
      </c>
    </row>
    <row r="2403">
      <c r="A2403">
        <f>IFERROR(--SUBSTITUTE(SUBSTITUTE(TRIM(INDEX(INDIRECT("'Выгрузка'!A2403:Z2403"),Настройки!$B$7)),",","."),".",MID(1/2,2,1)),"")</f>
        <v/>
      </c>
      <c r="B2403">
        <f>IFERROR(--SUBSTITUTE(SUBSTITUTE(TRIM(INDEX(INDIRECT("'Выгрузка'!A2403:Z2403"),Настройки!$B$9)),",","."),".",MID(1/2,2,1)),"")</f>
        <v/>
      </c>
      <c r="C2403">
        <f>TRIM(INDEX(INDIRECT("'Выгрузка'!A2403:Z2403"),Настройки!$B$8)&amp;"")</f>
        <v/>
      </c>
      <c r="D2403">
        <f>IFERROR(--SUBSTITUTE(SUBSTITUTE(TRIM(INDEX(INDIRECT("'Выгрузка'!A2403:Z2403"),Настройки!$B$10)),",","."),".",MID(1/2,2,1)),"")</f>
        <v/>
      </c>
      <c r="E2403">
        <f>IFERROR(--SUBSTITUTE(SUBSTITUTE(TRIM(INDEX(INDIRECT("'Выгрузка'!A2403:Z2403"),Настройки!$B$11)),",","."),".",MID(1/2,2,1)),"")</f>
        <v/>
      </c>
      <c r="F2403">
        <f>TRIM(INDEX(INDIRECT("'Выгрузка'!A2403:Z2403"),Настройки!$B$12)&amp;"")</f>
        <v/>
      </c>
      <c r="G2403">
        <f>IF(F2403="",0,IF(TRIM(INDEX(INDIRECT("'Выгрузка'!A2403:Z2403"),Настройки!$B$13)&amp;"")="",1,IFERROR(--SUBSTITUTE(SUBSTITUTE(TRIM(INDEX(INDIRECT("'Выгрузка'!A2403:Z2403"),Настройки!$B$13)),",","."),".",MID(1/2,2,1)),"")))</f>
        <v/>
      </c>
      <c r="H2403">
        <f>IF(F2403="",0,IF(COUNTIF(Настройки!$B$17:$B$26,F2403)&gt;0,1,IF(COUNTIF(Настройки!$C$17:$C$26,F2403)&gt;0,2,IF(COUNTIF(Настройки!$D$17:$D$26,F2403)&gt;0,3,0))))</f>
        <v/>
      </c>
      <c r="I2403">
        <f>IF(AND(ISNUMBER(A2403),ISNUMBER(B2403)),A2403*1000+B2403,"")</f>
        <v/>
      </c>
      <c r="J2403">
        <f>IF(I2403="","",IF(COUNTIF(I$2:I2403,I2403)=1,MAX(J$1:J2402)+1,""))</f>
        <v/>
      </c>
    </row>
    <row r="2404">
      <c r="A2404">
        <f>IFERROR(--SUBSTITUTE(SUBSTITUTE(TRIM(INDEX(INDIRECT("'Выгрузка'!A2404:Z2404"),Настройки!$B$7)),",","."),".",MID(1/2,2,1)),"")</f>
        <v/>
      </c>
      <c r="B2404">
        <f>IFERROR(--SUBSTITUTE(SUBSTITUTE(TRIM(INDEX(INDIRECT("'Выгрузка'!A2404:Z2404"),Настройки!$B$9)),",","."),".",MID(1/2,2,1)),"")</f>
        <v/>
      </c>
      <c r="C2404">
        <f>TRIM(INDEX(INDIRECT("'Выгрузка'!A2404:Z2404"),Настройки!$B$8)&amp;"")</f>
        <v/>
      </c>
      <c r="D2404">
        <f>IFERROR(--SUBSTITUTE(SUBSTITUTE(TRIM(INDEX(INDIRECT("'Выгрузка'!A2404:Z2404"),Настройки!$B$10)),",","."),".",MID(1/2,2,1)),"")</f>
        <v/>
      </c>
      <c r="E2404">
        <f>IFERROR(--SUBSTITUTE(SUBSTITUTE(TRIM(INDEX(INDIRECT("'Выгрузка'!A2404:Z2404"),Настройки!$B$11)),",","."),".",MID(1/2,2,1)),"")</f>
        <v/>
      </c>
      <c r="F2404">
        <f>TRIM(INDEX(INDIRECT("'Выгрузка'!A2404:Z2404"),Настройки!$B$12)&amp;"")</f>
        <v/>
      </c>
      <c r="G2404">
        <f>IF(F2404="",0,IF(TRIM(INDEX(INDIRECT("'Выгрузка'!A2404:Z2404"),Настройки!$B$13)&amp;"")="",1,IFERROR(--SUBSTITUTE(SUBSTITUTE(TRIM(INDEX(INDIRECT("'Выгрузка'!A2404:Z2404"),Настройки!$B$13)),",","."),".",MID(1/2,2,1)),"")))</f>
        <v/>
      </c>
      <c r="H2404">
        <f>IF(F2404="",0,IF(COUNTIF(Настройки!$B$17:$B$26,F2404)&gt;0,1,IF(COUNTIF(Настройки!$C$17:$C$26,F2404)&gt;0,2,IF(COUNTIF(Настройки!$D$17:$D$26,F2404)&gt;0,3,0))))</f>
        <v/>
      </c>
      <c r="I2404">
        <f>IF(AND(ISNUMBER(A2404),ISNUMBER(B2404)),A2404*1000+B2404,"")</f>
        <v/>
      </c>
      <c r="J2404">
        <f>IF(I2404="","",IF(COUNTIF(I$2:I2404,I2404)=1,MAX(J$1:J2403)+1,""))</f>
        <v/>
      </c>
    </row>
    <row r="2405">
      <c r="A2405">
        <f>IFERROR(--SUBSTITUTE(SUBSTITUTE(TRIM(INDEX(INDIRECT("'Выгрузка'!A2405:Z2405"),Настройки!$B$7)),",","."),".",MID(1/2,2,1)),"")</f>
        <v/>
      </c>
      <c r="B2405">
        <f>IFERROR(--SUBSTITUTE(SUBSTITUTE(TRIM(INDEX(INDIRECT("'Выгрузка'!A2405:Z2405"),Настройки!$B$9)),",","."),".",MID(1/2,2,1)),"")</f>
        <v/>
      </c>
      <c r="C2405">
        <f>TRIM(INDEX(INDIRECT("'Выгрузка'!A2405:Z2405"),Настройки!$B$8)&amp;"")</f>
        <v/>
      </c>
      <c r="D2405">
        <f>IFERROR(--SUBSTITUTE(SUBSTITUTE(TRIM(INDEX(INDIRECT("'Выгрузка'!A2405:Z2405"),Настройки!$B$10)),",","."),".",MID(1/2,2,1)),"")</f>
        <v/>
      </c>
      <c r="E2405">
        <f>IFERROR(--SUBSTITUTE(SUBSTITUTE(TRIM(INDEX(INDIRECT("'Выгрузка'!A2405:Z2405"),Настройки!$B$11)),",","."),".",MID(1/2,2,1)),"")</f>
        <v/>
      </c>
      <c r="F2405">
        <f>TRIM(INDEX(INDIRECT("'Выгрузка'!A2405:Z2405"),Настройки!$B$12)&amp;"")</f>
        <v/>
      </c>
      <c r="G2405">
        <f>IF(F2405="",0,IF(TRIM(INDEX(INDIRECT("'Выгрузка'!A2405:Z2405"),Настройки!$B$13)&amp;"")="",1,IFERROR(--SUBSTITUTE(SUBSTITUTE(TRIM(INDEX(INDIRECT("'Выгрузка'!A2405:Z2405"),Настройки!$B$13)),",","."),".",MID(1/2,2,1)),"")))</f>
        <v/>
      </c>
      <c r="H2405">
        <f>IF(F2405="",0,IF(COUNTIF(Настройки!$B$17:$B$26,F2405)&gt;0,1,IF(COUNTIF(Настройки!$C$17:$C$26,F2405)&gt;0,2,IF(COUNTIF(Настройки!$D$17:$D$26,F2405)&gt;0,3,0))))</f>
        <v/>
      </c>
      <c r="I2405">
        <f>IF(AND(ISNUMBER(A2405),ISNUMBER(B2405)),A2405*1000+B2405,"")</f>
        <v/>
      </c>
      <c r="J2405">
        <f>IF(I2405="","",IF(COUNTIF(I$2:I2405,I2405)=1,MAX(J$1:J2404)+1,""))</f>
        <v/>
      </c>
    </row>
    <row r="2406">
      <c r="A2406">
        <f>IFERROR(--SUBSTITUTE(SUBSTITUTE(TRIM(INDEX(INDIRECT("'Выгрузка'!A2406:Z2406"),Настройки!$B$7)),",","."),".",MID(1/2,2,1)),"")</f>
        <v/>
      </c>
      <c r="B2406">
        <f>IFERROR(--SUBSTITUTE(SUBSTITUTE(TRIM(INDEX(INDIRECT("'Выгрузка'!A2406:Z2406"),Настройки!$B$9)),",","."),".",MID(1/2,2,1)),"")</f>
        <v/>
      </c>
      <c r="C2406">
        <f>TRIM(INDEX(INDIRECT("'Выгрузка'!A2406:Z2406"),Настройки!$B$8)&amp;"")</f>
        <v/>
      </c>
      <c r="D2406">
        <f>IFERROR(--SUBSTITUTE(SUBSTITUTE(TRIM(INDEX(INDIRECT("'Выгрузка'!A2406:Z2406"),Настройки!$B$10)),",","."),".",MID(1/2,2,1)),"")</f>
        <v/>
      </c>
      <c r="E2406">
        <f>IFERROR(--SUBSTITUTE(SUBSTITUTE(TRIM(INDEX(INDIRECT("'Выгрузка'!A2406:Z2406"),Настройки!$B$11)),",","."),".",MID(1/2,2,1)),"")</f>
        <v/>
      </c>
      <c r="F2406">
        <f>TRIM(INDEX(INDIRECT("'Выгрузка'!A2406:Z2406"),Настройки!$B$12)&amp;"")</f>
        <v/>
      </c>
      <c r="G2406">
        <f>IF(F2406="",0,IF(TRIM(INDEX(INDIRECT("'Выгрузка'!A2406:Z2406"),Настройки!$B$13)&amp;"")="",1,IFERROR(--SUBSTITUTE(SUBSTITUTE(TRIM(INDEX(INDIRECT("'Выгрузка'!A2406:Z2406"),Настройки!$B$13)),",","."),".",MID(1/2,2,1)),"")))</f>
        <v/>
      </c>
      <c r="H2406">
        <f>IF(F2406="",0,IF(COUNTIF(Настройки!$B$17:$B$26,F2406)&gt;0,1,IF(COUNTIF(Настройки!$C$17:$C$26,F2406)&gt;0,2,IF(COUNTIF(Настройки!$D$17:$D$26,F2406)&gt;0,3,0))))</f>
        <v/>
      </c>
      <c r="I2406">
        <f>IF(AND(ISNUMBER(A2406),ISNUMBER(B2406)),A2406*1000+B2406,"")</f>
        <v/>
      </c>
      <c r="J2406">
        <f>IF(I2406="","",IF(COUNTIF(I$2:I2406,I2406)=1,MAX(J$1:J2405)+1,""))</f>
        <v/>
      </c>
    </row>
    <row r="2407">
      <c r="A2407">
        <f>IFERROR(--SUBSTITUTE(SUBSTITUTE(TRIM(INDEX(INDIRECT("'Выгрузка'!A2407:Z2407"),Настройки!$B$7)),",","."),".",MID(1/2,2,1)),"")</f>
        <v/>
      </c>
      <c r="B2407">
        <f>IFERROR(--SUBSTITUTE(SUBSTITUTE(TRIM(INDEX(INDIRECT("'Выгрузка'!A2407:Z2407"),Настройки!$B$9)),",","."),".",MID(1/2,2,1)),"")</f>
        <v/>
      </c>
      <c r="C2407">
        <f>TRIM(INDEX(INDIRECT("'Выгрузка'!A2407:Z2407"),Настройки!$B$8)&amp;"")</f>
        <v/>
      </c>
      <c r="D2407">
        <f>IFERROR(--SUBSTITUTE(SUBSTITUTE(TRIM(INDEX(INDIRECT("'Выгрузка'!A2407:Z2407"),Настройки!$B$10)),",","."),".",MID(1/2,2,1)),"")</f>
        <v/>
      </c>
      <c r="E2407">
        <f>IFERROR(--SUBSTITUTE(SUBSTITUTE(TRIM(INDEX(INDIRECT("'Выгрузка'!A2407:Z2407"),Настройки!$B$11)),",","."),".",MID(1/2,2,1)),"")</f>
        <v/>
      </c>
      <c r="F2407">
        <f>TRIM(INDEX(INDIRECT("'Выгрузка'!A2407:Z2407"),Настройки!$B$12)&amp;"")</f>
        <v/>
      </c>
      <c r="G2407">
        <f>IF(F2407="",0,IF(TRIM(INDEX(INDIRECT("'Выгрузка'!A2407:Z2407"),Настройки!$B$13)&amp;"")="",1,IFERROR(--SUBSTITUTE(SUBSTITUTE(TRIM(INDEX(INDIRECT("'Выгрузка'!A2407:Z2407"),Настройки!$B$13)),",","."),".",MID(1/2,2,1)),"")))</f>
        <v/>
      </c>
      <c r="H2407">
        <f>IF(F2407="",0,IF(COUNTIF(Настройки!$B$17:$B$26,F2407)&gt;0,1,IF(COUNTIF(Настройки!$C$17:$C$26,F2407)&gt;0,2,IF(COUNTIF(Настройки!$D$17:$D$26,F2407)&gt;0,3,0))))</f>
        <v/>
      </c>
      <c r="I2407">
        <f>IF(AND(ISNUMBER(A2407),ISNUMBER(B2407)),A2407*1000+B2407,"")</f>
        <v/>
      </c>
      <c r="J2407">
        <f>IF(I2407="","",IF(COUNTIF(I$2:I2407,I2407)=1,MAX(J$1:J2406)+1,""))</f>
        <v/>
      </c>
    </row>
    <row r="2408">
      <c r="A2408">
        <f>IFERROR(--SUBSTITUTE(SUBSTITUTE(TRIM(INDEX(INDIRECT("'Выгрузка'!A2408:Z2408"),Настройки!$B$7)),",","."),".",MID(1/2,2,1)),"")</f>
        <v/>
      </c>
      <c r="B2408">
        <f>IFERROR(--SUBSTITUTE(SUBSTITUTE(TRIM(INDEX(INDIRECT("'Выгрузка'!A2408:Z2408"),Настройки!$B$9)),",","."),".",MID(1/2,2,1)),"")</f>
        <v/>
      </c>
      <c r="C2408">
        <f>TRIM(INDEX(INDIRECT("'Выгрузка'!A2408:Z2408"),Настройки!$B$8)&amp;"")</f>
        <v/>
      </c>
      <c r="D2408">
        <f>IFERROR(--SUBSTITUTE(SUBSTITUTE(TRIM(INDEX(INDIRECT("'Выгрузка'!A2408:Z2408"),Настройки!$B$10)),",","."),".",MID(1/2,2,1)),"")</f>
        <v/>
      </c>
      <c r="E2408">
        <f>IFERROR(--SUBSTITUTE(SUBSTITUTE(TRIM(INDEX(INDIRECT("'Выгрузка'!A2408:Z2408"),Настройки!$B$11)),",","."),".",MID(1/2,2,1)),"")</f>
        <v/>
      </c>
      <c r="F2408">
        <f>TRIM(INDEX(INDIRECT("'Выгрузка'!A2408:Z2408"),Настройки!$B$12)&amp;"")</f>
        <v/>
      </c>
      <c r="G2408">
        <f>IF(F2408="",0,IF(TRIM(INDEX(INDIRECT("'Выгрузка'!A2408:Z2408"),Настройки!$B$13)&amp;"")="",1,IFERROR(--SUBSTITUTE(SUBSTITUTE(TRIM(INDEX(INDIRECT("'Выгрузка'!A2408:Z2408"),Настройки!$B$13)),",","."),".",MID(1/2,2,1)),"")))</f>
        <v/>
      </c>
      <c r="H2408">
        <f>IF(F2408="",0,IF(COUNTIF(Настройки!$B$17:$B$26,F2408)&gt;0,1,IF(COUNTIF(Настройки!$C$17:$C$26,F2408)&gt;0,2,IF(COUNTIF(Настройки!$D$17:$D$26,F2408)&gt;0,3,0))))</f>
        <v/>
      </c>
      <c r="I2408">
        <f>IF(AND(ISNUMBER(A2408),ISNUMBER(B2408)),A2408*1000+B2408,"")</f>
        <v/>
      </c>
      <c r="J2408">
        <f>IF(I2408="","",IF(COUNTIF(I$2:I2408,I2408)=1,MAX(J$1:J2407)+1,""))</f>
        <v/>
      </c>
    </row>
    <row r="2409">
      <c r="A2409">
        <f>IFERROR(--SUBSTITUTE(SUBSTITUTE(TRIM(INDEX(INDIRECT("'Выгрузка'!A2409:Z2409"),Настройки!$B$7)),",","."),".",MID(1/2,2,1)),"")</f>
        <v/>
      </c>
      <c r="B2409">
        <f>IFERROR(--SUBSTITUTE(SUBSTITUTE(TRIM(INDEX(INDIRECT("'Выгрузка'!A2409:Z2409"),Настройки!$B$9)),",","."),".",MID(1/2,2,1)),"")</f>
        <v/>
      </c>
      <c r="C2409">
        <f>TRIM(INDEX(INDIRECT("'Выгрузка'!A2409:Z2409"),Настройки!$B$8)&amp;"")</f>
        <v/>
      </c>
      <c r="D2409">
        <f>IFERROR(--SUBSTITUTE(SUBSTITUTE(TRIM(INDEX(INDIRECT("'Выгрузка'!A2409:Z2409"),Настройки!$B$10)),",","."),".",MID(1/2,2,1)),"")</f>
        <v/>
      </c>
      <c r="E2409">
        <f>IFERROR(--SUBSTITUTE(SUBSTITUTE(TRIM(INDEX(INDIRECT("'Выгрузка'!A2409:Z2409"),Настройки!$B$11)),",","."),".",MID(1/2,2,1)),"")</f>
        <v/>
      </c>
      <c r="F2409">
        <f>TRIM(INDEX(INDIRECT("'Выгрузка'!A2409:Z2409"),Настройки!$B$12)&amp;"")</f>
        <v/>
      </c>
      <c r="G2409">
        <f>IF(F2409="",0,IF(TRIM(INDEX(INDIRECT("'Выгрузка'!A2409:Z2409"),Настройки!$B$13)&amp;"")="",1,IFERROR(--SUBSTITUTE(SUBSTITUTE(TRIM(INDEX(INDIRECT("'Выгрузка'!A2409:Z2409"),Настройки!$B$13)),",","."),".",MID(1/2,2,1)),"")))</f>
        <v/>
      </c>
      <c r="H2409">
        <f>IF(F2409="",0,IF(COUNTIF(Настройки!$B$17:$B$26,F2409)&gt;0,1,IF(COUNTIF(Настройки!$C$17:$C$26,F2409)&gt;0,2,IF(COUNTIF(Настройки!$D$17:$D$26,F2409)&gt;0,3,0))))</f>
        <v/>
      </c>
      <c r="I2409">
        <f>IF(AND(ISNUMBER(A2409),ISNUMBER(B2409)),A2409*1000+B2409,"")</f>
        <v/>
      </c>
      <c r="J2409">
        <f>IF(I2409="","",IF(COUNTIF(I$2:I2409,I2409)=1,MAX(J$1:J2408)+1,""))</f>
        <v/>
      </c>
    </row>
    <row r="2410">
      <c r="A2410">
        <f>IFERROR(--SUBSTITUTE(SUBSTITUTE(TRIM(INDEX(INDIRECT("'Выгрузка'!A2410:Z2410"),Настройки!$B$7)),",","."),".",MID(1/2,2,1)),"")</f>
        <v/>
      </c>
      <c r="B2410">
        <f>IFERROR(--SUBSTITUTE(SUBSTITUTE(TRIM(INDEX(INDIRECT("'Выгрузка'!A2410:Z2410"),Настройки!$B$9)),",","."),".",MID(1/2,2,1)),"")</f>
        <v/>
      </c>
      <c r="C2410">
        <f>TRIM(INDEX(INDIRECT("'Выгрузка'!A2410:Z2410"),Настройки!$B$8)&amp;"")</f>
        <v/>
      </c>
      <c r="D2410">
        <f>IFERROR(--SUBSTITUTE(SUBSTITUTE(TRIM(INDEX(INDIRECT("'Выгрузка'!A2410:Z2410"),Настройки!$B$10)),",","."),".",MID(1/2,2,1)),"")</f>
        <v/>
      </c>
      <c r="E2410">
        <f>IFERROR(--SUBSTITUTE(SUBSTITUTE(TRIM(INDEX(INDIRECT("'Выгрузка'!A2410:Z2410"),Настройки!$B$11)),",","."),".",MID(1/2,2,1)),"")</f>
        <v/>
      </c>
      <c r="F2410">
        <f>TRIM(INDEX(INDIRECT("'Выгрузка'!A2410:Z2410"),Настройки!$B$12)&amp;"")</f>
        <v/>
      </c>
      <c r="G2410">
        <f>IF(F2410="",0,IF(TRIM(INDEX(INDIRECT("'Выгрузка'!A2410:Z2410"),Настройки!$B$13)&amp;"")="",1,IFERROR(--SUBSTITUTE(SUBSTITUTE(TRIM(INDEX(INDIRECT("'Выгрузка'!A2410:Z2410"),Настройки!$B$13)),",","."),".",MID(1/2,2,1)),"")))</f>
        <v/>
      </c>
      <c r="H2410">
        <f>IF(F2410="",0,IF(COUNTIF(Настройки!$B$17:$B$26,F2410)&gt;0,1,IF(COUNTIF(Настройки!$C$17:$C$26,F2410)&gt;0,2,IF(COUNTIF(Настройки!$D$17:$D$26,F2410)&gt;0,3,0))))</f>
        <v/>
      </c>
      <c r="I2410">
        <f>IF(AND(ISNUMBER(A2410),ISNUMBER(B2410)),A2410*1000+B2410,"")</f>
        <v/>
      </c>
      <c r="J2410">
        <f>IF(I2410="","",IF(COUNTIF(I$2:I2410,I2410)=1,MAX(J$1:J2409)+1,""))</f>
        <v/>
      </c>
    </row>
    <row r="2411">
      <c r="A2411">
        <f>IFERROR(--SUBSTITUTE(SUBSTITUTE(TRIM(INDEX(INDIRECT("'Выгрузка'!A2411:Z2411"),Настройки!$B$7)),",","."),".",MID(1/2,2,1)),"")</f>
        <v/>
      </c>
      <c r="B2411">
        <f>IFERROR(--SUBSTITUTE(SUBSTITUTE(TRIM(INDEX(INDIRECT("'Выгрузка'!A2411:Z2411"),Настройки!$B$9)),",","."),".",MID(1/2,2,1)),"")</f>
        <v/>
      </c>
      <c r="C2411">
        <f>TRIM(INDEX(INDIRECT("'Выгрузка'!A2411:Z2411"),Настройки!$B$8)&amp;"")</f>
        <v/>
      </c>
      <c r="D2411">
        <f>IFERROR(--SUBSTITUTE(SUBSTITUTE(TRIM(INDEX(INDIRECT("'Выгрузка'!A2411:Z2411"),Настройки!$B$10)),",","."),".",MID(1/2,2,1)),"")</f>
        <v/>
      </c>
      <c r="E2411">
        <f>IFERROR(--SUBSTITUTE(SUBSTITUTE(TRIM(INDEX(INDIRECT("'Выгрузка'!A2411:Z2411"),Настройки!$B$11)),",","."),".",MID(1/2,2,1)),"")</f>
        <v/>
      </c>
      <c r="F2411">
        <f>TRIM(INDEX(INDIRECT("'Выгрузка'!A2411:Z2411"),Настройки!$B$12)&amp;"")</f>
        <v/>
      </c>
      <c r="G2411">
        <f>IF(F2411="",0,IF(TRIM(INDEX(INDIRECT("'Выгрузка'!A2411:Z2411"),Настройки!$B$13)&amp;"")="",1,IFERROR(--SUBSTITUTE(SUBSTITUTE(TRIM(INDEX(INDIRECT("'Выгрузка'!A2411:Z2411"),Настройки!$B$13)),",","."),".",MID(1/2,2,1)),"")))</f>
        <v/>
      </c>
      <c r="H2411">
        <f>IF(F2411="",0,IF(COUNTIF(Настройки!$B$17:$B$26,F2411)&gt;0,1,IF(COUNTIF(Настройки!$C$17:$C$26,F2411)&gt;0,2,IF(COUNTIF(Настройки!$D$17:$D$26,F2411)&gt;0,3,0))))</f>
        <v/>
      </c>
      <c r="I2411">
        <f>IF(AND(ISNUMBER(A2411),ISNUMBER(B2411)),A2411*1000+B2411,"")</f>
        <v/>
      </c>
      <c r="J2411">
        <f>IF(I2411="","",IF(COUNTIF(I$2:I2411,I2411)=1,MAX(J$1:J2410)+1,""))</f>
        <v/>
      </c>
    </row>
    <row r="2412">
      <c r="A2412">
        <f>IFERROR(--SUBSTITUTE(SUBSTITUTE(TRIM(INDEX(INDIRECT("'Выгрузка'!A2412:Z2412"),Настройки!$B$7)),",","."),".",MID(1/2,2,1)),"")</f>
        <v/>
      </c>
      <c r="B2412">
        <f>IFERROR(--SUBSTITUTE(SUBSTITUTE(TRIM(INDEX(INDIRECT("'Выгрузка'!A2412:Z2412"),Настройки!$B$9)),",","."),".",MID(1/2,2,1)),"")</f>
        <v/>
      </c>
      <c r="C2412">
        <f>TRIM(INDEX(INDIRECT("'Выгрузка'!A2412:Z2412"),Настройки!$B$8)&amp;"")</f>
        <v/>
      </c>
      <c r="D2412">
        <f>IFERROR(--SUBSTITUTE(SUBSTITUTE(TRIM(INDEX(INDIRECT("'Выгрузка'!A2412:Z2412"),Настройки!$B$10)),",","."),".",MID(1/2,2,1)),"")</f>
        <v/>
      </c>
      <c r="E2412">
        <f>IFERROR(--SUBSTITUTE(SUBSTITUTE(TRIM(INDEX(INDIRECT("'Выгрузка'!A2412:Z2412"),Настройки!$B$11)),",","."),".",MID(1/2,2,1)),"")</f>
        <v/>
      </c>
      <c r="F2412">
        <f>TRIM(INDEX(INDIRECT("'Выгрузка'!A2412:Z2412"),Настройки!$B$12)&amp;"")</f>
        <v/>
      </c>
      <c r="G2412">
        <f>IF(F2412="",0,IF(TRIM(INDEX(INDIRECT("'Выгрузка'!A2412:Z2412"),Настройки!$B$13)&amp;"")="",1,IFERROR(--SUBSTITUTE(SUBSTITUTE(TRIM(INDEX(INDIRECT("'Выгрузка'!A2412:Z2412"),Настройки!$B$13)),",","."),".",MID(1/2,2,1)),"")))</f>
        <v/>
      </c>
      <c r="H2412">
        <f>IF(F2412="",0,IF(COUNTIF(Настройки!$B$17:$B$26,F2412)&gt;0,1,IF(COUNTIF(Настройки!$C$17:$C$26,F2412)&gt;0,2,IF(COUNTIF(Настройки!$D$17:$D$26,F2412)&gt;0,3,0))))</f>
        <v/>
      </c>
      <c r="I2412">
        <f>IF(AND(ISNUMBER(A2412),ISNUMBER(B2412)),A2412*1000+B2412,"")</f>
        <v/>
      </c>
      <c r="J2412">
        <f>IF(I2412="","",IF(COUNTIF(I$2:I2412,I2412)=1,MAX(J$1:J2411)+1,""))</f>
        <v/>
      </c>
    </row>
    <row r="2413">
      <c r="A2413">
        <f>IFERROR(--SUBSTITUTE(SUBSTITUTE(TRIM(INDEX(INDIRECT("'Выгрузка'!A2413:Z2413"),Настройки!$B$7)),",","."),".",MID(1/2,2,1)),"")</f>
        <v/>
      </c>
      <c r="B2413">
        <f>IFERROR(--SUBSTITUTE(SUBSTITUTE(TRIM(INDEX(INDIRECT("'Выгрузка'!A2413:Z2413"),Настройки!$B$9)),",","."),".",MID(1/2,2,1)),"")</f>
        <v/>
      </c>
      <c r="C2413">
        <f>TRIM(INDEX(INDIRECT("'Выгрузка'!A2413:Z2413"),Настройки!$B$8)&amp;"")</f>
        <v/>
      </c>
      <c r="D2413">
        <f>IFERROR(--SUBSTITUTE(SUBSTITUTE(TRIM(INDEX(INDIRECT("'Выгрузка'!A2413:Z2413"),Настройки!$B$10)),",","."),".",MID(1/2,2,1)),"")</f>
        <v/>
      </c>
      <c r="E2413">
        <f>IFERROR(--SUBSTITUTE(SUBSTITUTE(TRIM(INDEX(INDIRECT("'Выгрузка'!A2413:Z2413"),Настройки!$B$11)),",","."),".",MID(1/2,2,1)),"")</f>
        <v/>
      </c>
      <c r="F2413">
        <f>TRIM(INDEX(INDIRECT("'Выгрузка'!A2413:Z2413"),Настройки!$B$12)&amp;"")</f>
        <v/>
      </c>
      <c r="G2413">
        <f>IF(F2413="",0,IF(TRIM(INDEX(INDIRECT("'Выгрузка'!A2413:Z2413"),Настройки!$B$13)&amp;"")="",1,IFERROR(--SUBSTITUTE(SUBSTITUTE(TRIM(INDEX(INDIRECT("'Выгрузка'!A2413:Z2413"),Настройки!$B$13)),",","."),".",MID(1/2,2,1)),"")))</f>
        <v/>
      </c>
      <c r="H2413">
        <f>IF(F2413="",0,IF(COUNTIF(Настройки!$B$17:$B$26,F2413)&gt;0,1,IF(COUNTIF(Настройки!$C$17:$C$26,F2413)&gt;0,2,IF(COUNTIF(Настройки!$D$17:$D$26,F2413)&gt;0,3,0))))</f>
        <v/>
      </c>
      <c r="I2413">
        <f>IF(AND(ISNUMBER(A2413),ISNUMBER(B2413)),A2413*1000+B2413,"")</f>
        <v/>
      </c>
      <c r="J2413">
        <f>IF(I2413="","",IF(COUNTIF(I$2:I2413,I2413)=1,MAX(J$1:J2412)+1,""))</f>
        <v/>
      </c>
    </row>
    <row r="2414">
      <c r="A2414">
        <f>IFERROR(--SUBSTITUTE(SUBSTITUTE(TRIM(INDEX(INDIRECT("'Выгрузка'!A2414:Z2414"),Настройки!$B$7)),",","."),".",MID(1/2,2,1)),"")</f>
        <v/>
      </c>
      <c r="B2414">
        <f>IFERROR(--SUBSTITUTE(SUBSTITUTE(TRIM(INDEX(INDIRECT("'Выгрузка'!A2414:Z2414"),Настройки!$B$9)),",","."),".",MID(1/2,2,1)),"")</f>
        <v/>
      </c>
      <c r="C2414">
        <f>TRIM(INDEX(INDIRECT("'Выгрузка'!A2414:Z2414"),Настройки!$B$8)&amp;"")</f>
        <v/>
      </c>
      <c r="D2414">
        <f>IFERROR(--SUBSTITUTE(SUBSTITUTE(TRIM(INDEX(INDIRECT("'Выгрузка'!A2414:Z2414"),Настройки!$B$10)),",","."),".",MID(1/2,2,1)),"")</f>
        <v/>
      </c>
      <c r="E2414">
        <f>IFERROR(--SUBSTITUTE(SUBSTITUTE(TRIM(INDEX(INDIRECT("'Выгрузка'!A2414:Z2414"),Настройки!$B$11)),",","."),".",MID(1/2,2,1)),"")</f>
        <v/>
      </c>
      <c r="F2414">
        <f>TRIM(INDEX(INDIRECT("'Выгрузка'!A2414:Z2414"),Настройки!$B$12)&amp;"")</f>
        <v/>
      </c>
      <c r="G2414">
        <f>IF(F2414="",0,IF(TRIM(INDEX(INDIRECT("'Выгрузка'!A2414:Z2414"),Настройки!$B$13)&amp;"")="",1,IFERROR(--SUBSTITUTE(SUBSTITUTE(TRIM(INDEX(INDIRECT("'Выгрузка'!A2414:Z2414"),Настройки!$B$13)),",","."),".",MID(1/2,2,1)),"")))</f>
        <v/>
      </c>
      <c r="H2414">
        <f>IF(F2414="",0,IF(COUNTIF(Настройки!$B$17:$B$26,F2414)&gt;0,1,IF(COUNTIF(Настройки!$C$17:$C$26,F2414)&gt;0,2,IF(COUNTIF(Настройки!$D$17:$D$26,F2414)&gt;0,3,0))))</f>
        <v/>
      </c>
      <c r="I2414">
        <f>IF(AND(ISNUMBER(A2414),ISNUMBER(B2414)),A2414*1000+B2414,"")</f>
        <v/>
      </c>
      <c r="J2414">
        <f>IF(I2414="","",IF(COUNTIF(I$2:I2414,I2414)=1,MAX(J$1:J2413)+1,""))</f>
        <v/>
      </c>
    </row>
    <row r="2415">
      <c r="A2415">
        <f>IFERROR(--SUBSTITUTE(SUBSTITUTE(TRIM(INDEX(INDIRECT("'Выгрузка'!A2415:Z2415"),Настройки!$B$7)),",","."),".",MID(1/2,2,1)),"")</f>
        <v/>
      </c>
      <c r="B2415">
        <f>IFERROR(--SUBSTITUTE(SUBSTITUTE(TRIM(INDEX(INDIRECT("'Выгрузка'!A2415:Z2415"),Настройки!$B$9)),",","."),".",MID(1/2,2,1)),"")</f>
        <v/>
      </c>
      <c r="C2415">
        <f>TRIM(INDEX(INDIRECT("'Выгрузка'!A2415:Z2415"),Настройки!$B$8)&amp;"")</f>
        <v/>
      </c>
      <c r="D2415">
        <f>IFERROR(--SUBSTITUTE(SUBSTITUTE(TRIM(INDEX(INDIRECT("'Выгрузка'!A2415:Z2415"),Настройки!$B$10)),",","."),".",MID(1/2,2,1)),"")</f>
        <v/>
      </c>
      <c r="E2415">
        <f>IFERROR(--SUBSTITUTE(SUBSTITUTE(TRIM(INDEX(INDIRECT("'Выгрузка'!A2415:Z2415"),Настройки!$B$11)),",","."),".",MID(1/2,2,1)),"")</f>
        <v/>
      </c>
      <c r="F2415">
        <f>TRIM(INDEX(INDIRECT("'Выгрузка'!A2415:Z2415"),Настройки!$B$12)&amp;"")</f>
        <v/>
      </c>
      <c r="G2415">
        <f>IF(F2415="",0,IF(TRIM(INDEX(INDIRECT("'Выгрузка'!A2415:Z2415"),Настройки!$B$13)&amp;"")="",1,IFERROR(--SUBSTITUTE(SUBSTITUTE(TRIM(INDEX(INDIRECT("'Выгрузка'!A2415:Z2415"),Настройки!$B$13)),",","."),".",MID(1/2,2,1)),"")))</f>
        <v/>
      </c>
      <c r="H2415">
        <f>IF(F2415="",0,IF(COUNTIF(Настройки!$B$17:$B$26,F2415)&gt;0,1,IF(COUNTIF(Настройки!$C$17:$C$26,F2415)&gt;0,2,IF(COUNTIF(Настройки!$D$17:$D$26,F2415)&gt;0,3,0))))</f>
        <v/>
      </c>
      <c r="I2415">
        <f>IF(AND(ISNUMBER(A2415),ISNUMBER(B2415)),A2415*1000+B2415,"")</f>
        <v/>
      </c>
      <c r="J2415">
        <f>IF(I2415="","",IF(COUNTIF(I$2:I2415,I2415)=1,MAX(J$1:J2414)+1,""))</f>
        <v/>
      </c>
    </row>
    <row r="2416">
      <c r="A2416">
        <f>IFERROR(--SUBSTITUTE(SUBSTITUTE(TRIM(INDEX(INDIRECT("'Выгрузка'!A2416:Z2416"),Настройки!$B$7)),",","."),".",MID(1/2,2,1)),"")</f>
        <v/>
      </c>
      <c r="B2416">
        <f>IFERROR(--SUBSTITUTE(SUBSTITUTE(TRIM(INDEX(INDIRECT("'Выгрузка'!A2416:Z2416"),Настройки!$B$9)),",","."),".",MID(1/2,2,1)),"")</f>
        <v/>
      </c>
      <c r="C2416">
        <f>TRIM(INDEX(INDIRECT("'Выгрузка'!A2416:Z2416"),Настройки!$B$8)&amp;"")</f>
        <v/>
      </c>
      <c r="D2416">
        <f>IFERROR(--SUBSTITUTE(SUBSTITUTE(TRIM(INDEX(INDIRECT("'Выгрузка'!A2416:Z2416"),Настройки!$B$10)),",","."),".",MID(1/2,2,1)),"")</f>
        <v/>
      </c>
      <c r="E2416">
        <f>IFERROR(--SUBSTITUTE(SUBSTITUTE(TRIM(INDEX(INDIRECT("'Выгрузка'!A2416:Z2416"),Настройки!$B$11)),",","."),".",MID(1/2,2,1)),"")</f>
        <v/>
      </c>
      <c r="F2416">
        <f>TRIM(INDEX(INDIRECT("'Выгрузка'!A2416:Z2416"),Настройки!$B$12)&amp;"")</f>
        <v/>
      </c>
      <c r="G2416">
        <f>IF(F2416="",0,IF(TRIM(INDEX(INDIRECT("'Выгрузка'!A2416:Z2416"),Настройки!$B$13)&amp;"")="",1,IFERROR(--SUBSTITUTE(SUBSTITUTE(TRIM(INDEX(INDIRECT("'Выгрузка'!A2416:Z2416"),Настройки!$B$13)),",","."),".",MID(1/2,2,1)),"")))</f>
        <v/>
      </c>
      <c r="H2416">
        <f>IF(F2416="",0,IF(COUNTIF(Настройки!$B$17:$B$26,F2416)&gt;0,1,IF(COUNTIF(Настройки!$C$17:$C$26,F2416)&gt;0,2,IF(COUNTIF(Настройки!$D$17:$D$26,F2416)&gt;0,3,0))))</f>
        <v/>
      </c>
      <c r="I2416">
        <f>IF(AND(ISNUMBER(A2416),ISNUMBER(B2416)),A2416*1000+B2416,"")</f>
        <v/>
      </c>
      <c r="J2416">
        <f>IF(I2416="","",IF(COUNTIF(I$2:I2416,I2416)=1,MAX(J$1:J2415)+1,""))</f>
        <v/>
      </c>
    </row>
    <row r="2417">
      <c r="A2417">
        <f>IFERROR(--SUBSTITUTE(SUBSTITUTE(TRIM(INDEX(INDIRECT("'Выгрузка'!A2417:Z2417"),Настройки!$B$7)),",","."),".",MID(1/2,2,1)),"")</f>
        <v/>
      </c>
      <c r="B2417">
        <f>IFERROR(--SUBSTITUTE(SUBSTITUTE(TRIM(INDEX(INDIRECT("'Выгрузка'!A2417:Z2417"),Настройки!$B$9)),",","."),".",MID(1/2,2,1)),"")</f>
        <v/>
      </c>
      <c r="C2417">
        <f>TRIM(INDEX(INDIRECT("'Выгрузка'!A2417:Z2417"),Настройки!$B$8)&amp;"")</f>
        <v/>
      </c>
      <c r="D2417">
        <f>IFERROR(--SUBSTITUTE(SUBSTITUTE(TRIM(INDEX(INDIRECT("'Выгрузка'!A2417:Z2417"),Настройки!$B$10)),",","."),".",MID(1/2,2,1)),"")</f>
        <v/>
      </c>
      <c r="E2417">
        <f>IFERROR(--SUBSTITUTE(SUBSTITUTE(TRIM(INDEX(INDIRECT("'Выгрузка'!A2417:Z2417"),Настройки!$B$11)),",","."),".",MID(1/2,2,1)),"")</f>
        <v/>
      </c>
      <c r="F2417">
        <f>TRIM(INDEX(INDIRECT("'Выгрузка'!A2417:Z2417"),Настройки!$B$12)&amp;"")</f>
        <v/>
      </c>
      <c r="G2417">
        <f>IF(F2417="",0,IF(TRIM(INDEX(INDIRECT("'Выгрузка'!A2417:Z2417"),Настройки!$B$13)&amp;"")="",1,IFERROR(--SUBSTITUTE(SUBSTITUTE(TRIM(INDEX(INDIRECT("'Выгрузка'!A2417:Z2417"),Настройки!$B$13)),",","."),".",MID(1/2,2,1)),"")))</f>
        <v/>
      </c>
      <c r="H2417">
        <f>IF(F2417="",0,IF(COUNTIF(Настройки!$B$17:$B$26,F2417)&gt;0,1,IF(COUNTIF(Настройки!$C$17:$C$26,F2417)&gt;0,2,IF(COUNTIF(Настройки!$D$17:$D$26,F2417)&gt;0,3,0))))</f>
        <v/>
      </c>
      <c r="I2417">
        <f>IF(AND(ISNUMBER(A2417),ISNUMBER(B2417)),A2417*1000+B2417,"")</f>
        <v/>
      </c>
      <c r="J2417">
        <f>IF(I2417="","",IF(COUNTIF(I$2:I2417,I2417)=1,MAX(J$1:J2416)+1,""))</f>
        <v/>
      </c>
    </row>
    <row r="2418">
      <c r="A2418">
        <f>IFERROR(--SUBSTITUTE(SUBSTITUTE(TRIM(INDEX(INDIRECT("'Выгрузка'!A2418:Z2418"),Настройки!$B$7)),",","."),".",MID(1/2,2,1)),"")</f>
        <v/>
      </c>
      <c r="B2418">
        <f>IFERROR(--SUBSTITUTE(SUBSTITUTE(TRIM(INDEX(INDIRECT("'Выгрузка'!A2418:Z2418"),Настройки!$B$9)),",","."),".",MID(1/2,2,1)),"")</f>
        <v/>
      </c>
      <c r="C2418">
        <f>TRIM(INDEX(INDIRECT("'Выгрузка'!A2418:Z2418"),Настройки!$B$8)&amp;"")</f>
        <v/>
      </c>
      <c r="D2418">
        <f>IFERROR(--SUBSTITUTE(SUBSTITUTE(TRIM(INDEX(INDIRECT("'Выгрузка'!A2418:Z2418"),Настройки!$B$10)),",","."),".",MID(1/2,2,1)),"")</f>
        <v/>
      </c>
      <c r="E2418">
        <f>IFERROR(--SUBSTITUTE(SUBSTITUTE(TRIM(INDEX(INDIRECT("'Выгрузка'!A2418:Z2418"),Настройки!$B$11)),",","."),".",MID(1/2,2,1)),"")</f>
        <v/>
      </c>
      <c r="F2418">
        <f>TRIM(INDEX(INDIRECT("'Выгрузка'!A2418:Z2418"),Настройки!$B$12)&amp;"")</f>
        <v/>
      </c>
      <c r="G2418">
        <f>IF(F2418="",0,IF(TRIM(INDEX(INDIRECT("'Выгрузка'!A2418:Z2418"),Настройки!$B$13)&amp;"")="",1,IFERROR(--SUBSTITUTE(SUBSTITUTE(TRIM(INDEX(INDIRECT("'Выгрузка'!A2418:Z2418"),Настройки!$B$13)),",","."),".",MID(1/2,2,1)),"")))</f>
        <v/>
      </c>
      <c r="H2418">
        <f>IF(F2418="",0,IF(COUNTIF(Настройки!$B$17:$B$26,F2418)&gt;0,1,IF(COUNTIF(Настройки!$C$17:$C$26,F2418)&gt;0,2,IF(COUNTIF(Настройки!$D$17:$D$26,F2418)&gt;0,3,0))))</f>
        <v/>
      </c>
      <c r="I2418">
        <f>IF(AND(ISNUMBER(A2418),ISNUMBER(B2418)),A2418*1000+B2418,"")</f>
        <v/>
      </c>
      <c r="J2418">
        <f>IF(I2418="","",IF(COUNTIF(I$2:I2418,I2418)=1,MAX(J$1:J2417)+1,""))</f>
        <v/>
      </c>
    </row>
    <row r="2419">
      <c r="A2419">
        <f>IFERROR(--SUBSTITUTE(SUBSTITUTE(TRIM(INDEX(INDIRECT("'Выгрузка'!A2419:Z2419"),Настройки!$B$7)),",","."),".",MID(1/2,2,1)),"")</f>
        <v/>
      </c>
      <c r="B2419">
        <f>IFERROR(--SUBSTITUTE(SUBSTITUTE(TRIM(INDEX(INDIRECT("'Выгрузка'!A2419:Z2419"),Настройки!$B$9)),",","."),".",MID(1/2,2,1)),"")</f>
        <v/>
      </c>
      <c r="C2419">
        <f>TRIM(INDEX(INDIRECT("'Выгрузка'!A2419:Z2419"),Настройки!$B$8)&amp;"")</f>
        <v/>
      </c>
      <c r="D2419">
        <f>IFERROR(--SUBSTITUTE(SUBSTITUTE(TRIM(INDEX(INDIRECT("'Выгрузка'!A2419:Z2419"),Настройки!$B$10)),",","."),".",MID(1/2,2,1)),"")</f>
        <v/>
      </c>
      <c r="E2419">
        <f>IFERROR(--SUBSTITUTE(SUBSTITUTE(TRIM(INDEX(INDIRECT("'Выгрузка'!A2419:Z2419"),Настройки!$B$11)),",","."),".",MID(1/2,2,1)),"")</f>
        <v/>
      </c>
      <c r="F2419">
        <f>TRIM(INDEX(INDIRECT("'Выгрузка'!A2419:Z2419"),Настройки!$B$12)&amp;"")</f>
        <v/>
      </c>
      <c r="G2419">
        <f>IF(F2419="",0,IF(TRIM(INDEX(INDIRECT("'Выгрузка'!A2419:Z2419"),Настройки!$B$13)&amp;"")="",1,IFERROR(--SUBSTITUTE(SUBSTITUTE(TRIM(INDEX(INDIRECT("'Выгрузка'!A2419:Z2419"),Настройки!$B$13)),",","."),".",MID(1/2,2,1)),"")))</f>
        <v/>
      </c>
      <c r="H2419">
        <f>IF(F2419="",0,IF(COUNTIF(Настройки!$B$17:$B$26,F2419)&gt;0,1,IF(COUNTIF(Настройки!$C$17:$C$26,F2419)&gt;0,2,IF(COUNTIF(Настройки!$D$17:$D$26,F2419)&gt;0,3,0))))</f>
        <v/>
      </c>
      <c r="I2419">
        <f>IF(AND(ISNUMBER(A2419),ISNUMBER(B2419)),A2419*1000+B2419,"")</f>
        <v/>
      </c>
      <c r="J2419">
        <f>IF(I2419="","",IF(COUNTIF(I$2:I2419,I2419)=1,MAX(J$1:J2418)+1,""))</f>
        <v/>
      </c>
    </row>
    <row r="2420">
      <c r="A2420">
        <f>IFERROR(--SUBSTITUTE(SUBSTITUTE(TRIM(INDEX(INDIRECT("'Выгрузка'!A2420:Z2420"),Настройки!$B$7)),",","."),".",MID(1/2,2,1)),"")</f>
        <v/>
      </c>
      <c r="B2420">
        <f>IFERROR(--SUBSTITUTE(SUBSTITUTE(TRIM(INDEX(INDIRECT("'Выгрузка'!A2420:Z2420"),Настройки!$B$9)),",","."),".",MID(1/2,2,1)),"")</f>
        <v/>
      </c>
      <c r="C2420">
        <f>TRIM(INDEX(INDIRECT("'Выгрузка'!A2420:Z2420"),Настройки!$B$8)&amp;"")</f>
        <v/>
      </c>
      <c r="D2420">
        <f>IFERROR(--SUBSTITUTE(SUBSTITUTE(TRIM(INDEX(INDIRECT("'Выгрузка'!A2420:Z2420"),Настройки!$B$10)),",","."),".",MID(1/2,2,1)),"")</f>
        <v/>
      </c>
      <c r="E2420">
        <f>IFERROR(--SUBSTITUTE(SUBSTITUTE(TRIM(INDEX(INDIRECT("'Выгрузка'!A2420:Z2420"),Настройки!$B$11)),",","."),".",MID(1/2,2,1)),"")</f>
        <v/>
      </c>
      <c r="F2420">
        <f>TRIM(INDEX(INDIRECT("'Выгрузка'!A2420:Z2420"),Настройки!$B$12)&amp;"")</f>
        <v/>
      </c>
      <c r="G2420">
        <f>IF(F2420="",0,IF(TRIM(INDEX(INDIRECT("'Выгрузка'!A2420:Z2420"),Настройки!$B$13)&amp;"")="",1,IFERROR(--SUBSTITUTE(SUBSTITUTE(TRIM(INDEX(INDIRECT("'Выгрузка'!A2420:Z2420"),Настройки!$B$13)),",","."),".",MID(1/2,2,1)),"")))</f>
        <v/>
      </c>
      <c r="H2420">
        <f>IF(F2420="",0,IF(COUNTIF(Настройки!$B$17:$B$26,F2420)&gt;0,1,IF(COUNTIF(Настройки!$C$17:$C$26,F2420)&gt;0,2,IF(COUNTIF(Настройки!$D$17:$D$26,F2420)&gt;0,3,0))))</f>
        <v/>
      </c>
      <c r="I2420">
        <f>IF(AND(ISNUMBER(A2420),ISNUMBER(B2420)),A2420*1000+B2420,"")</f>
        <v/>
      </c>
      <c r="J2420">
        <f>IF(I2420="","",IF(COUNTIF(I$2:I2420,I2420)=1,MAX(J$1:J2419)+1,""))</f>
        <v/>
      </c>
    </row>
    <row r="2421">
      <c r="A2421">
        <f>IFERROR(--SUBSTITUTE(SUBSTITUTE(TRIM(INDEX(INDIRECT("'Выгрузка'!A2421:Z2421"),Настройки!$B$7)),",","."),".",MID(1/2,2,1)),"")</f>
        <v/>
      </c>
      <c r="B2421">
        <f>IFERROR(--SUBSTITUTE(SUBSTITUTE(TRIM(INDEX(INDIRECT("'Выгрузка'!A2421:Z2421"),Настройки!$B$9)),",","."),".",MID(1/2,2,1)),"")</f>
        <v/>
      </c>
      <c r="C2421">
        <f>TRIM(INDEX(INDIRECT("'Выгрузка'!A2421:Z2421"),Настройки!$B$8)&amp;"")</f>
        <v/>
      </c>
      <c r="D2421">
        <f>IFERROR(--SUBSTITUTE(SUBSTITUTE(TRIM(INDEX(INDIRECT("'Выгрузка'!A2421:Z2421"),Настройки!$B$10)),",","."),".",MID(1/2,2,1)),"")</f>
        <v/>
      </c>
      <c r="E2421">
        <f>IFERROR(--SUBSTITUTE(SUBSTITUTE(TRIM(INDEX(INDIRECT("'Выгрузка'!A2421:Z2421"),Настройки!$B$11)),",","."),".",MID(1/2,2,1)),"")</f>
        <v/>
      </c>
      <c r="F2421">
        <f>TRIM(INDEX(INDIRECT("'Выгрузка'!A2421:Z2421"),Настройки!$B$12)&amp;"")</f>
        <v/>
      </c>
      <c r="G2421">
        <f>IF(F2421="",0,IF(TRIM(INDEX(INDIRECT("'Выгрузка'!A2421:Z2421"),Настройки!$B$13)&amp;"")="",1,IFERROR(--SUBSTITUTE(SUBSTITUTE(TRIM(INDEX(INDIRECT("'Выгрузка'!A2421:Z2421"),Настройки!$B$13)),",","."),".",MID(1/2,2,1)),"")))</f>
        <v/>
      </c>
      <c r="H2421">
        <f>IF(F2421="",0,IF(COUNTIF(Настройки!$B$17:$B$26,F2421)&gt;0,1,IF(COUNTIF(Настройки!$C$17:$C$26,F2421)&gt;0,2,IF(COUNTIF(Настройки!$D$17:$D$26,F2421)&gt;0,3,0))))</f>
        <v/>
      </c>
      <c r="I2421">
        <f>IF(AND(ISNUMBER(A2421),ISNUMBER(B2421)),A2421*1000+B2421,"")</f>
        <v/>
      </c>
      <c r="J2421">
        <f>IF(I2421="","",IF(COUNTIF(I$2:I2421,I2421)=1,MAX(J$1:J2420)+1,""))</f>
        <v/>
      </c>
    </row>
    <row r="2422">
      <c r="A2422">
        <f>IFERROR(--SUBSTITUTE(SUBSTITUTE(TRIM(INDEX(INDIRECT("'Выгрузка'!A2422:Z2422"),Настройки!$B$7)),",","."),".",MID(1/2,2,1)),"")</f>
        <v/>
      </c>
      <c r="B2422">
        <f>IFERROR(--SUBSTITUTE(SUBSTITUTE(TRIM(INDEX(INDIRECT("'Выгрузка'!A2422:Z2422"),Настройки!$B$9)),",","."),".",MID(1/2,2,1)),"")</f>
        <v/>
      </c>
      <c r="C2422">
        <f>TRIM(INDEX(INDIRECT("'Выгрузка'!A2422:Z2422"),Настройки!$B$8)&amp;"")</f>
        <v/>
      </c>
      <c r="D2422">
        <f>IFERROR(--SUBSTITUTE(SUBSTITUTE(TRIM(INDEX(INDIRECT("'Выгрузка'!A2422:Z2422"),Настройки!$B$10)),",","."),".",MID(1/2,2,1)),"")</f>
        <v/>
      </c>
      <c r="E2422">
        <f>IFERROR(--SUBSTITUTE(SUBSTITUTE(TRIM(INDEX(INDIRECT("'Выгрузка'!A2422:Z2422"),Настройки!$B$11)),",","."),".",MID(1/2,2,1)),"")</f>
        <v/>
      </c>
      <c r="F2422">
        <f>TRIM(INDEX(INDIRECT("'Выгрузка'!A2422:Z2422"),Настройки!$B$12)&amp;"")</f>
        <v/>
      </c>
      <c r="G2422">
        <f>IF(F2422="",0,IF(TRIM(INDEX(INDIRECT("'Выгрузка'!A2422:Z2422"),Настройки!$B$13)&amp;"")="",1,IFERROR(--SUBSTITUTE(SUBSTITUTE(TRIM(INDEX(INDIRECT("'Выгрузка'!A2422:Z2422"),Настройки!$B$13)),",","."),".",MID(1/2,2,1)),"")))</f>
        <v/>
      </c>
      <c r="H2422">
        <f>IF(F2422="",0,IF(COUNTIF(Настройки!$B$17:$B$26,F2422)&gt;0,1,IF(COUNTIF(Настройки!$C$17:$C$26,F2422)&gt;0,2,IF(COUNTIF(Настройки!$D$17:$D$26,F2422)&gt;0,3,0))))</f>
        <v/>
      </c>
      <c r="I2422">
        <f>IF(AND(ISNUMBER(A2422),ISNUMBER(B2422)),A2422*1000+B2422,"")</f>
        <v/>
      </c>
      <c r="J2422">
        <f>IF(I2422="","",IF(COUNTIF(I$2:I2422,I2422)=1,MAX(J$1:J2421)+1,""))</f>
        <v/>
      </c>
    </row>
    <row r="2423">
      <c r="A2423">
        <f>IFERROR(--SUBSTITUTE(SUBSTITUTE(TRIM(INDEX(INDIRECT("'Выгрузка'!A2423:Z2423"),Настройки!$B$7)),",","."),".",MID(1/2,2,1)),"")</f>
        <v/>
      </c>
      <c r="B2423">
        <f>IFERROR(--SUBSTITUTE(SUBSTITUTE(TRIM(INDEX(INDIRECT("'Выгрузка'!A2423:Z2423"),Настройки!$B$9)),",","."),".",MID(1/2,2,1)),"")</f>
        <v/>
      </c>
      <c r="C2423">
        <f>TRIM(INDEX(INDIRECT("'Выгрузка'!A2423:Z2423"),Настройки!$B$8)&amp;"")</f>
        <v/>
      </c>
      <c r="D2423">
        <f>IFERROR(--SUBSTITUTE(SUBSTITUTE(TRIM(INDEX(INDIRECT("'Выгрузка'!A2423:Z2423"),Настройки!$B$10)),",","."),".",MID(1/2,2,1)),"")</f>
        <v/>
      </c>
      <c r="E2423">
        <f>IFERROR(--SUBSTITUTE(SUBSTITUTE(TRIM(INDEX(INDIRECT("'Выгрузка'!A2423:Z2423"),Настройки!$B$11)),",","."),".",MID(1/2,2,1)),"")</f>
        <v/>
      </c>
      <c r="F2423">
        <f>TRIM(INDEX(INDIRECT("'Выгрузка'!A2423:Z2423"),Настройки!$B$12)&amp;"")</f>
        <v/>
      </c>
      <c r="G2423">
        <f>IF(F2423="",0,IF(TRIM(INDEX(INDIRECT("'Выгрузка'!A2423:Z2423"),Настройки!$B$13)&amp;"")="",1,IFERROR(--SUBSTITUTE(SUBSTITUTE(TRIM(INDEX(INDIRECT("'Выгрузка'!A2423:Z2423"),Настройки!$B$13)),",","."),".",MID(1/2,2,1)),"")))</f>
        <v/>
      </c>
      <c r="H2423">
        <f>IF(F2423="",0,IF(COUNTIF(Настройки!$B$17:$B$26,F2423)&gt;0,1,IF(COUNTIF(Настройки!$C$17:$C$26,F2423)&gt;0,2,IF(COUNTIF(Настройки!$D$17:$D$26,F2423)&gt;0,3,0))))</f>
        <v/>
      </c>
      <c r="I2423">
        <f>IF(AND(ISNUMBER(A2423),ISNUMBER(B2423)),A2423*1000+B2423,"")</f>
        <v/>
      </c>
      <c r="J2423">
        <f>IF(I2423="","",IF(COUNTIF(I$2:I2423,I2423)=1,MAX(J$1:J2422)+1,""))</f>
        <v/>
      </c>
    </row>
    <row r="2424">
      <c r="A2424">
        <f>IFERROR(--SUBSTITUTE(SUBSTITUTE(TRIM(INDEX(INDIRECT("'Выгрузка'!A2424:Z2424"),Настройки!$B$7)),",","."),".",MID(1/2,2,1)),"")</f>
        <v/>
      </c>
      <c r="B2424">
        <f>IFERROR(--SUBSTITUTE(SUBSTITUTE(TRIM(INDEX(INDIRECT("'Выгрузка'!A2424:Z2424"),Настройки!$B$9)),",","."),".",MID(1/2,2,1)),"")</f>
        <v/>
      </c>
      <c r="C2424">
        <f>TRIM(INDEX(INDIRECT("'Выгрузка'!A2424:Z2424"),Настройки!$B$8)&amp;"")</f>
        <v/>
      </c>
      <c r="D2424">
        <f>IFERROR(--SUBSTITUTE(SUBSTITUTE(TRIM(INDEX(INDIRECT("'Выгрузка'!A2424:Z2424"),Настройки!$B$10)),",","."),".",MID(1/2,2,1)),"")</f>
        <v/>
      </c>
      <c r="E2424">
        <f>IFERROR(--SUBSTITUTE(SUBSTITUTE(TRIM(INDEX(INDIRECT("'Выгрузка'!A2424:Z2424"),Настройки!$B$11)),",","."),".",MID(1/2,2,1)),"")</f>
        <v/>
      </c>
      <c r="F2424">
        <f>TRIM(INDEX(INDIRECT("'Выгрузка'!A2424:Z2424"),Настройки!$B$12)&amp;"")</f>
        <v/>
      </c>
      <c r="G2424">
        <f>IF(F2424="",0,IF(TRIM(INDEX(INDIRECT("'Выгрузка'!A2424:Z2424"),Настройки!$B$13)&amp;"")="",1,IFERROR(--SUBSTITUTE(SUBSTITUTE(TRIM(INDEX(INDIRECT("'Выгрузка'!A2424:Z2424"),Настройки!$B$13)),",","."),".",MID(1/2,2,1)),"")))</f>
        <v/>
      </c>
      <c r="H2424">
        <f>IF(F2424="",0,IF(COUNTIF(Настройки!$B$17:$B$26,F2424)&gt;0,1,IF(COUNTIF(Настройки!$C$17:$C$26,F2424)&gt;0,2,IF(COUNTIF(Настройки!$D$17:$D$26,F2424)&gt;0,3,0))))</f>
        <v/>
      </c>
      <c r="I2424">
        <f>IF(AND(ISNUMBER(A2424),ISNUMBER(B2424)),A2424*1000+B2424,"")</f>
        <v/>
      </c>
      <c r="J2424">
        <f>IF(I2424="","",IF(COUNTIF(I$2:I2424,I2424)=1,MAX(J$1:J2423)+1,""))</f>
        <v/>
      </c>
    </row>
    <row r="2425">
      <c r="A2425">
        <f>IFERROR(--SUBSTITUTE(SUBSTITUTE(TRIM(INDEX(INDIRECT("'Выгрузка'!A2425:Z2425"),Настройки!$B$7)),",","."),".",MID(1/2,2,1)),"")</f>
        <v/>
      </c>
      <c r="B2425">
        <f>IFERROR(--SUBSTITUTE(SUBSTITUTE(TRIM(INDEX(INDIRECT("'Выгрузка'!A2425:Z2425"),Настройки!$B$9)),",","."),".",MID(1/2,2,1)),"")</f>
        <v/>
      </c>
      <c r="C2425">
        <f>TRIM(INDEX(INDIRECT("'Выгрузка'!A2425:Z2425"),Настройки!$B$8)&amp;"")</f>
        <v/>
      </c>
      <c r="D2425">
        <f>IFERROR(--SUBSTITUTE(SUBSTITUTE(TRIM(INDEX(INDIRECT("'Выгрузка'!A2425:Z2425"),Настройки!$B$10)),",","."),".",MID(1/2,2,1)),"")</f>
        <v/>
      </c>
      <c r="E2425">
        <f>IFERROR(--SUBSTITUTE(SUBSTITUTE(TRIM(INDEX(INDIRECT("'Выгрузка'!A2425:Z2425"),Настройки!$B$11)),",","."),".",MID(1/2,2,1)),"")</f>
        <v/>
      </c>
      <c r="F2425">
        <f>TRIM(INDEX(INDIRECT("'Выгрузка'!A2425:Z2425"),Настройки!$B$12)&amp;"")</f>
        <v/>
      </c>
      <c r="G2425">
        <f>IF(F2425="",0,IF(TRIM(INDEX(INDIRECT("'Выгрузка'!A2425:Z2425"),Настройки!$B$13)&amp;"")="",1,IFERROR(--SUBSTITUTE(SUBSTITUTE(TRIM(INDEX(INDIRECT("'Выгрузка'!A2425:Z2425"),Настройки!$B$13)),",","."),".",MID(1/2,2,1)),"")))</f>
        <v/>
      </c>
      <c r="H2425">
        <f>IF(F2425="",0,IF(COUNTIF(Настройки!$B$17:$B$26,F2425)&gt;0,1,IF(COUNTIF(Настройки!$C$17:$C$26,F2425)&gt;0,2,IF(COUNTIF(Настройки!$D$17:$D$26,F2425)&gt;0,3,0))))</f>
        <v/>
      </c>
      <c r="I2425">
        <f>IF(AND(ISNUMBER(A2425),ISNUMBER(B2425)),A2425*1000+B2425,"")</f>
        <v/>
      </c>
      <c r="J2425">
        <f>IF(I2425="","",IF(COUNTIF(I$2:I2425,I2425)=1,MAX(J$1:J2424)+1,""))</f>
        <v/>
      </c>
    </row>
    <row r="2426">
      <c r="A2426">
        <f>IFERROR(--SUBSTITUTE(SUBSTITUTE(TRIM(INDEX(INDIRECT("'Выгрузка'!A2426:Z2426"),Настройки!$B$7)),",","."),".",MID(1/2,2,1)),"")</f>
        <v/>
      </c>
      <c r="B2426">
        <f>IFERROR(--SUBSTITUTE(SUBSTITUTE(TRIM(INDEX(INDIRECT("'Выгрузка'!A2426:Z2426"),Настройки!$B$9)),",","."),".",MID(1/2,2,1)),"")</f>
        <v/>
      </c>
      <c r="C2426">
        <f>TRIM(INDEX(INDIRECT("'Выгрузка'!A2426:Z2426"),Настройки!$B$8)&amp;"")</f>
        <v/>
      </c>
      <c r="D2426">
        <f>IFERROR(--SUBSTITUTE(SUBSTITUTE(TRIM(INDEX(INDIRECT("'Выгрузка'!A2426:Z2426"),Настройки!$B$10)),",","."),".",MID(1/2,2,1)),"")</f>
        <v/>
      </c>
      <c r="E2426">
        <f>IFERROR(--SUBSTITUTE(SUBSTITUTE(TRIM(INDEX(INDIRECT("'Выгрузка'!A2426:Z2426"),Настройки!$B$11)),",","."),".",MID(1/2,2,1)),"")</f>
        <v/>
      </c>
      <c r="F2426">
        <f>TRIM(INDEX(INDIRECT("'Выгрузка'!A2426:Z2426"),Настройки!$B$12)&amp;"")</f>
        <v/>
      </c>
      <c r="G2426">
        <f>IF(F2426="",0,IF(TRIM(INDEX(INDIRECT("'Выгрузка'!A2426:Z2426"),Настройки!$B$13)&amp;"")="",1,IFERROR(--SUBSTITUTE(SUBSTITUTE(TRIM(INDEX(INDIRECT("'Выгрузка'!A2426:Z2426"),Настройки!$B$13)),",","."),".",MID(1/2,2,1)),"")))</f>
        <v/>
      </c>
      <c r="H2426">
        <f>IF(F2426="",0,IF(COUNTIF(Настройки!$B$17:$B$26,F2426)&gt;0,1,IF(COUNTIF(Настройки!$C$17:$C$26,F2426)&gt;0,2,IF(COUNTIF(Настройки!$D$17:$D$26,F2426)&gt;0,3,0))))</f>
        <v/>
      </c>
      <c r="I2426">
        <f>IF(AND(ISNUMBER(A2426),ISNUMBER(B2426)),A2426*1000+B2426,"")</f>
        <v/>
      </c>
      <c r="J2426">
        <f>IF(I2426="","",IF(COUNTIF(I$2:I2426,I2426)=1,MAX(J$1:J2425)+1,""))</f>
        <v/>
      </c>
    </row>
    <row r="2427">
      <c r="A2427">
        <f>IFERROR(--SUBSTITUTE(SUBSTITUTE(TRIM(INDEX(INDIRECT("'Выгрузка'!A2427:Z2427"),Настройки!$B$7)),",","."),".",MID(1/2,2,1)),"")</f>
        <v/>
      </c>
      <c r="B2427">
        <f>IFERROR(--SUBSTITUTE(SUBSTITUTE(TRIM(INDEX(INDIRECT("'Выгрузка'!A2427:Z2427"),Настройки!$B$9)),",","."),".",MID(1/2,2,1)),"")</f>
        <v/>
      </c>
      <c r="C2427">
        <f>TRIM(INDEX(INDIRECT("'Выгрузка'!A2427:Z2427"),Настройки!$B$8)&amp;"")</f>
        <v/>
      </c>
      <c r="D2427">
        <f>IFERROR(--SUBSTITUTE(SUBSTITUTE(TRIM(INDEX(INDIRECT("'Выгрузка'!A2427:Z2427"),Настройки!$B$10)),",","."),".",MID(1/2,2,1)),"")</f>
        <v/>
      </c>
      <c r="E2427">
        <f>IFERROR(--SUBSTITUTE(SUBSTITUTE(TRIM(INDEX(INDIRECT("'Выгрузка'!A2427:Z2427"),Настройки!$B$11)),",","."),".",MID(1/2,2,1)),"")</f>
        <v/>
      </c>
      <c r="F2427">
        <f>TRIM(INDEX(INDIRECT("'Выгрузка'!A2427:Z2427"),Настройки!$B$12)&amp;"")</f>
        <v/>
      </c>
      <c r="G2427">
        <f>IF(F2427="",0,IF(TRIM(INDEX(INDIRECT("'Выгрузка'!A2427:Z2427"),Настройки!$B$13)&amp;"")="",1,IFERROR(--SUBSTITUTE(SUBSTITUTE(TRIM(INDEX(INDIRECT("'Выгрузка'!A2427:Z2427"),Настройки!$B$13)),",","."),".",MID(1/2,2,1)),"")))</f>
        <v/>
      </c>
      <c r="H2427">
        <f>IF(F2427="",0,IF(COUNTIF(Настройки!$B$17:$B$26,F2427)&gt;0,1,IF(COUNTIF(Настройки!$C$17:$C$26,F2427)&gt;0,2,IF(COUNTIF(Настройки!$D$17:$D$26,F2427)&gt;0,3,0))))</f>
        <v/>
      </c>
      <c r="I2427">
        <f>IF(AND(ISNUMBER(A2427),ISNUMBER(B2427)),A2427*1000+B2427,"")</f>
        <v/>
      </c>
      <c r="J2427">
        <f>IF(I2427="","",IF(COUNTIF(I$2:I2427,I2427)=1,MAX(J$1:J2426)+1,""))</f>
        <v/>
      </c>
    </row>
    <row r="2428">
      <c r="A2428">
        <f>IFERROR(--SUBSTITUTE(SUBSTITUTE(TRIM(INDEX(INDIRECT("'Выгрузка'!A2428:Z2428"),Настройки!$B$7)),",","."),".",MID(1/2,2,1)),"")</f>
        <v/>
      </c>
      <c r="B2428">
        <f>IFERROR(--SUBSTITUTE(SUBSTITUTE(TRIM(INDEX(INDIRECT("'Выгрузка'!A2428:Z2428"),Настройки!$B$9)),",","."),".",MID(1/2,2,1)),"")</f>
        <v/>
      </c>
      <c r="C2428">
        <f>TRIM(INDEX(INDIRECT("'Выгрузка'!A2428:Z2428"),Настройки!$B$8)&amp;"")</f>
        <v/>
      </c>
      <c r="D2428">
        <f>IFERROR(--SUBSTITUTE(SUBSTITUTE(TRIM(INDEX(INDIRECT("'Выгрузка'!A2428:Z2428"),Настройки!$B$10)),",","."),".",MID(1/2,2,1)),"")</f>
        <v/>
      </c>
      <c r="E2428">
        <f>IFERROR(--SUBSTITUTE(SUBSTITUTE(TRIM(INDEX(INDIRECT("'Выгрузка'!A2428:Z2428"),Настройки!$B$11)),",","."),".",MID(1/2,2,1)),"")</f>
        <v/>
      </c>
      <c r="F2428">
        <f>TRIM(INDEX(INDIRECT("'Выгрузка'!A2428:Z2428"),Настройки!$B$12)&amp;"")</f>
        <v/>
      </c>
      <c r="G2428">
        <f>IF(F2428="",0,IF(TRIM(INDEX(INDIRECT("'Выгрузка'!A2428:Z2428"),Настройки!$B$13)&amp;"")="",1,IFERROR(--SUBSTITUTE(SUBSTITUTE(TRIM(INDEX(INDIRECT("'Выгрузка'!A2428:Z2428"),Настройки!$B$13)),",","."),".",MID(1/2,2,1)),"")))</f>
        <v/>
      </c>
      <c r="H2428">
        <f>IF(F2428="",0,IF(COUNTIF(Настройки!$B$17:$B$26,F2428)&gt;0,1,IF(COUNTIF(Настройки!$C$17:$C$26,F2428)&gt;0,2,IF(COUNTIF(Настройки!$D$17:$D$26,F2428)&gt;0,3,0))))</f>
        <v/>
      </c>
      <c r="I2428">
        <f>IF(AND(ISNUMBER(A2428),ISNUMBER(B2428)),A2428*1000+B2428,"")</f>
        <v/>
      </c>
      <c r="J2428">
        <f>IF(I2428="","",IF(COUNTIF(I$2:I2428,I2428)=1,MAX(J$1:J2427)+1,""))</f>
        <v/>
      </c>
    </row>
    <row r="2429">
      <c r="A2429">
        <f>IFERROR(--SUBSTITUTE(SUBSTITUTE(TRIM(INDEX(INDIRECT("'Выгрузка'!A2429:Z2429"),Настройки!$B$7)),",","."),".",MID(1/2,2,1)),"")</f>
        <v/>
      </c>
      <c r="B2429">
        <f>IFERROR(--SUBSTITUTE(SUBSTITUTE(TRIM(INDEX(INDIRECT("'Выгрузка'!A2429:Z2429"),Настройки!$B$9)),",","."),".",MID(1/2,2,1)),"")</f>
        <v/>
      </c>
      <c r="C2429">
        <f>TRIM(INDEX(INDIRECT("'Выгрузка'!A2429:Z2429"),Настройки!$B$8)&amp;"")</f>
        <v/>
      </c>
      <c r="D2429">
        <f>IFERROR(--SUBSTITUTE(SUBSTITUTE(TRIM(INDEX(INDIRECT("'Выгрузка'!A2429:Z2429"),Настройки!$B$10)),",","."),".",MID(1/2,2,1)),"")</f>
        <v/>
      </c>
      <c r="E2429">
        <f>IFERROR(--SUBSTITUTE(SUBSTITUTE(TRIM(INDEX(INDIRECT("'Выгрузка'!A2429:Z2429"),Настройки!$B$11)),",","."),".",MID(1/2,2,1)),"")</f>
        <v/>
      </c>
      <c r="F2429">
        <f>TRIM(INDEX(INDIRECT("'Выгрузка'!A2429:Z2429"),Настройки!$B$12)&amp;"")</f>
        <v/>
      </c>
      <c r="G2429">
        <f>IF(F2429="",0,IF(TRIM(INDEX(INDIRECT("'Выгрузка'!A2429:Z2429"),Настройки!$B$13)&amp;"")="",1,IFERROR(--SUBSTITUTE(SUBSTITUTE(TRIM(INDEX(INDIRECT("'Выгрузка'!A2429:Z2429"),Настройки!$B$13)),",","."),".",MID(1/2,2,1)),"")))</f>
        <v/>
      </c>
      <c r="H2429">
        <f>IF(F2429="",0,IF(COUNTIF(Настройки!$B$17:$B$26,F2429)&gt;0,1,IF(COUNTIF(Настройки!$C$17:$C$26,F2429)&gt;0,2,IF(COUNTIF(Настройки!$D$17:$D$26,F2429)&gt;0,3,0))))</f>
        <v/>
      </c>
      <c r="I2429">
        <f>IF(AND(ISNUMBER(A2429),ISNUMBER(B2429)),A2429*1000+B2429,"")</f>
        <v/>
      </c>
      <c r="J2429">
        <f>IF(I2429="","",IF(COUNTIF(I$2:I2429,I2429)=1,MAX(J$1:J2428)+1,""))</f>
        <v/>
      </c>
    </row>
    <row r="2430">
      <c r="A2430">
        <f>IFERROR(--SUBSTITUTE(SUBSTITUTE(TRIM(INDEX(INDIRECT("'Выгрузка'!A2430:Z2430"),Настройки!$B$7)),",","."),".",MID(1/2,2,1)),"")</f>
        <v/>
      </c>
      <c r="B2430">
        <f>IFERROR(--SUBSTITUTE(SUBSTITUTE(TRIM(INDEX(INDIRECT("'Выгрузка'!A2430:Z2430"),Настройки!$B$9)),",","."),".",MID(1/2,2,1)),"")</f>
        <v/>
      </c>
      <c r="C2430">
        <f>TRIM(INDEX(INDIRECT("'Выгрузка'!A2430:Z2430"),Настройки!$B$8)&amp;"")</f>
        <v/>
      </c>
      <c r="D2430">
        <f>IFERROR(--SUBSTITUTE(SUBSTITUTE(TRIM(INDEX(INDIRECT("'Выгрузка'!A2430:Z2430"),Настройки!$B$10)),",","."),".",MID(1/2,2,1)),"")</f>
        <v/>
      </c>
      <c r="E2430">
        <f>IFERROR(--SUBSTITUTE(SUBSTITUTE(TRIM(INDEX(INDIRECT("'Выгрузка'!A2430:Z2430"),Настройки!$B$11)),",","."),".",MID(1/2,2,1)),"")</f>
        <v/>
      </c>
      <c r="F2430">
        <f>TRIM(INDEX(INDIRECT("'Выгрузка'!A2430:Z2430"),Настройки!$B$12)&amp;"")</f>
        <v/>
      </c>
      <c r="G2430">
        <f>IF(F2430="",0,IF(TRIM(INDEX(INDIRECT("'Выгрузка'!A2430:Z2430"),Настройки!$B$13)&amp;"")="",1,IFERROR(--SUBSTITUTE(SUBSTITUTE(TRIM(INDEX(INDIRECT("'Выгрузка'!A2430:Z2430"),Настройки!$B$13)),",","."),".",MID(1/2,2,1)),"")))</f>
        <v/>
      </c>
      <c r="H2430">
        <f>IF(F2430="",0,IF(COUNTIF(Настройки!$B$17:$B$26,F2430)&gt;0,1,IF(COUNTIF(Настройки!$C$17:$C$26,F2430)&gt;0,2,IF(COUNTIF(Настройки!$D$17:$D$26,F2430)&gt;0,3,0))))</f>
        <v/>
      </c>
      <c r="I2430">
        <f>IF(AND(ISNUMBER(A2430),ISNUMBER(B2430)),A2430*1000+B2430,"")</f>
        <v/>
      </c>
      <c r="J2430">
        <f>IF(I2430="","",IF(COUNTIF(I$2:I2430,I2430)=1,MAX(J$1:J2429)+1,""))</f>
        <v/>
      </c>
    </row>
    <row r="2431">
      <c r="A2431">
        <f>IFERROR(--SUBSTITUTE(SUBSTITUTE(TRIM(INDEX(INDIRECT("'Выгрузка'!A2431:Z2431"),Настройки!$B$7)),",","."),".",MID(1/2,2,1)),"")</f>
        <v/>
      </c>
      <c r="B2431">
        <f>IFERROR(--SUBSTITUTE(SUBSTITUTE(TRIM(INDEX(INDIRECT("'Выгрузка'!A2431:Z2431"),Настройки!$B$9)),",","."),".",MID(1/2,2,1)),"")</f>
        <v/>
      </c>
      <c r="C2431">
        <f>TRIM(INDEX(INDIRECT("'Выгрузка'!A2431:Z2431"),Настройки!$B$8)&amp;"")</f>
        <v/>
      </c>
      <c r="D2431">
        <f>IFERROR(--SUBSTITUTE(SUBSTITUTE(TRIM(INDEX(INDIRECT("'Выгрузка'!A2431:Z2431"),Настройки!$B$10)),",","."),".",MID(1/2,2,1)),"")</f>
        <v/>
      </c>
      <c r="E2431">
        <f>IFERROR(--SUBSTITUTE(SUBSTITUTE(TRIM(INDEX(INDIRECT("'Выгрузка'!A2431:Z2431"),Настройки!$B$11)),",","."),".",MID(1/2,2,1)),"")</f>
        <v/>
      </c>
      <c r="F2431">
        <f>TRIM(INDEX(INDIRECT("'Выгрузка'!A2431:Z2431"),Настройки!$B$12)&amp;"")</f>
        <v/>
      </c>
      <c r="G2431">
        <f>IF(F2431="",0,IF(TRIM(INDEX(INDIRECT("'Выгрузка'!A2431:Z2431"),Настройки!$B$13)&amp;"")="",1,IFERROR(--SUBSTITUTE(SUBSTITUTE(TRIM(INDEX(INDIRECT("'Выгрузка'!A2431:Z2431"),Настройки!$B$13)),",","."),".",MID(1/2,2,1)),"")))</f>
        <v/>
      </c>
      <c r="H2431">
        <f>IF(F2431="",0,IF(COUNTIF(Настройки!$B$17:$B$26,F2431)&gt;0,1,IF(COUNTIF(Настройки!$C$17:$C$26,F2431)&gt;0,2,IF(COUNTIF(Настройки!$D$17:$D$26,F2431)&gt;0,3,0))))</f>
        <v/>
      </c>
      <c r="I2431">
        <f>IF(AND(ISNUMBER(A2431),ISNUMBER(B2431)),A2431*1000+B2431,"")</f>
        <v/>
      </c>
      <c r="J2431">
        <f>IF(I2431="","",IF(COUNTIF(I$2:I2431,I2431)=1,MAX(J$1:J2430)+1,""))</f>
        <v/>
      </c>
    </row>
    <row r="2432">
      <c r="A2432">
        <f>IFERROR(--SUBSTITUTE(SUBSTITUTE(TRIM(INDEX(INDIRECT("'Выгрузка'!A2432:Z2432"),Настройки!$B$7)),",","."),".",MID(1/2,2,1)),"")</f>
        <v/>
      </c>
      <c r="B2432">
        <f>IFERROR(--SUBSTITUTE(SUBSTITUTE(TRIM(INDEX(INDIRECT("'Выгрузка'!A2432:Z2432"),Настройки!$B$9)),",","."),".",MID(1/2,2,1)),"")</f>
        <v/>
      </c>
      <c r="C2432">
        <f>TRIM(INDEX(INDIRECT("'Выгрузка'!A2432:Z2432"),Настройки!$B$8)&amp;"")</f>
        <v/>
      </c>
      <c r="D2432">
        <f>IFERROR(--SUBSTITUTE(SUBSTITUTE(TRIM(INDEX(INDIRECT("'Выгрузка'!A2432:Z2432"),Настройки!$B$10)),",","."),".",MID(1/2,2,1)),"")</f>
        <v/>
      </c>
      <c r="E2432">
        <f>IFERROR(--SUBSTITUTE(SUBSTITUTE(TRIM(INDEX(INDIRECT("'Выгрузка'!A2432:Z2432"),Настройки!$B$11)),",","."),".",MID(1/2,2,1)),"")</f>
        <v/>
      </c>
      <c r="F2432">
        <f>TRIM(INDEX(INDIRECT("'Выгрузка'!A2432:Z2432"),Настройки!$B$12)&amp;"")</f>
        <v/>
      </c>
      <c r="G2432">
        <f>IF(F2432="",0,IF(TRIM(INDEX(INDIRECT("'Выгрузка'!A2432:Z2432"),Настройки!$B$13)&amp;"")="",1,IFERROR(--SUBSTITUTE(SUBSTITUTE(TRIM(INDEX(INDIRECT("'Выгрузка'!A2432:Z2432"),Настройки!$B$13)),",","."),".",MID(1/2,2,1)),"")))</f>
        <v/>
      </c>
      <c r="H2432">
        <f>IF(F2432="",0,IF(COUNTIF(Настройки!$B$17:$B$26,F2432)&gt;0,1,IF(COUNTIF(Настройки!$C$17:$C$26,F2432)&gt;0,2,IF(COUNTIF(Настройки!$D$17:$D$26,F2432)&gt;0,3,0))))</f>
        <v/>
      </c>
      <c r="I2432">
        <f>IF(AND(ISNUMBER(A2432),ISNUMBER(B2432)),A2432*1000+B2432,"")</f>
        <v/>
      </c>
      <c r="J2432">
        <f>IF(I2432="","",IF(COUNTIF(I$2:I2432,I2432)=1,MAX(J$1:J2431)+1,""))</f>
        <v/>
      </c>
    </row>
    <row r="2433">
      <c r="A2433">
        <f>IFERROR(--SUBSTITUTE(SUBSTITUTE(TRIM(INDEX(INDIRECT("'Выгрузка'!A2433:Z2433"),Настройки!$B$7)),",","."),".",MID(1/2,2,1)),"")</f>
        <v/>
      </c>
      <c r="B2433">
        <f>IFERROR(--SUBSTITUTE(SUBSTITUTE(TRIM(INDEX(INDIRECT("'Выгрузка'!A2433:Z2433"),Настройки!$B$9)),",","."),".",MID(1/2,2,1)),"")</f>
        <v/>
      </c>
      <c r="C2433">
        <f>TRIM(INDEX(INDIRECT("'Выгрузка'!A2433:Z2433"),Настройки!$B$8)&amp;"")</f>
        <v/>
      </c>
      <c r="D2433">
        <f>IFERROR(--SUBSTITUTE(SUBSTITUTE(TRIM(INDEX(INDIRECT("'Выгрузка'!A2433:Z2433"),Настройки!$B$10)),",","."),".",MID(1/2,2,1)),"")</f>
        <v/>
      </c>
      <c r="E2433">
        <f>IFERROR(--SUBSTITUTE(SUBSTITUTE(TRIM(INDEX(INDIRECT("'Выгрузка'!A2433:Z2433"),Настройки!$B$11)),",","."),".",MID(1/2,2,1)),"")</f>
        <v/>
      </c>
      <c r="F2433">
        <f>TRIM(INDEX(INDIRECT("'Выгрузка'!A2433:Z2433"),Настройки!$B$12)&amp;"")</f>
        <v/>
      </c>
      <c r="G2433">
        <f>IF(F2433="",0,IF(TRIM(INDEX(INDIRECT("'Выгрузка'!A2433:Z2433"),Настройки!$B$13)&amp;"")="",1,IFERROR(--SUBSTITUTE(SUBSTITUTE(TRIM(INDEX(INDIRECT("'Выгрузка'!A2433:Z2433"),Настройки!$B$13)),",","."),".",MID(1/2,2,1)),"")))</f>
        <v/>
      </c>
      <c r="H2433">
        <f>IF(F2433="",0,IF(COUNTIF(Настройки!$B$17:$B$26,F2433)&gt;0,1,IF(COUNTIF(Настройки!$C$17:$C$26,F2433)&gt;0,2,IF(COUNTIF(Настройки!$D$17:$D$26,F2433)&gt;0,3,0))))</f>
        <v/>
      </c>
      <c r="I2433">
        <f>IF(AND(ISNUMBER(A2433),ISNUMBER(B2433)),A2433*1000+B2433,"")</f>
        <v/>
      </c>
      <c r="J2433">
        <f>IF(I2433="","",IF(COUNTIF(I$2:I2433,I2433)=1,MAX(J$1:J2432)+1,""))</f>
        <v/>
      </c>
    </row>
    <row r="2434">
      <c r="A2434">
        <f>IFERROR(--SUBSTITUTE(SUBSTITUTE(TRIM(INDEX(INDIRECT("'Выгрузка'!A2434:Z2434"),Настройки!$B$7)),",","."),".",MID(1/2,2,1)),"")</f>
        <v/>
      </c>
      <c r="B2434">
        <f>IFERROR(--SUBSTITUTE(SUBSTITUTE(TRIM(INDEX(INDIRECT("'Выгрузка'!A2434:Z2434"),Настройки!$B$9)),",","."),".",MID(1/2,2,1)),"")</f>
        <v/>
      </c>
      <c r="C2434">
        <f>TRIM(INDEX(INDIRECT("'Выгрузка'!A2434:Z2434"),Настройки!$B$8)&amp;"")</f>
        <v/>
      </c>
      <c r="D2434">
        <f>IFERROR(--SUBSTITUTE(SUBSTITUTE(TRIM(INDEX(INDIRECT("'Выгрузка'!A2434:Z2434"),Настройки!$B$10)),",","."),".",MID(1/2,2,1)),"")</f>
        <v/>
      </c>
      <c r="E2434">
        <f>IFERROR(--SUBSTITUTE(SUBSTITUTE(TRIM(INDEX(INDIRECT("'Выгрузка'!A2434:Z2434"),Настройки!$B$11)),",","."),".",MID(1/2,2,1)),"")</f>
        <v/>
      </c>
      <c r="F2434">
        <f>TRIM(INDEX(INDIRECT("'Выгрузка'!A2434:Z2434"),Настройки!$B$12)&amp;"")</f>
        <v/>
      </c>
      <c r="G2434">
        <f>IF(F2434="",0,IF(TRIM(INDEX(INDIRECT("'Выгрузка'!A2434:Z2434"),Настройки!$B$13)&amp;"")="",1,IFERROR(--SUBSTITUTE(SUBSTITUTE(TRIM(INDEX(INDIRECT("'Выгрузка'!A2434:Z2434"),Настройки!$B$13)),",","."),".",MID(1/2,2,1)),"")))</f>
        <v/>
      </c>
      <c r="H2434">
        <f>IF(F2434="",0,IF(COUNTIF(Настройки!$B$17:$B$26,F2434)&gt;0,1,IF(COUNTIF(Настройки!$C$17:$C$26,F2434)&gt;0,2,IF(COUNTIF(Настройки!$D$17:$D$26,F2434)&gt;0,3,0))))</f>
        <v/>
      </c>
      <c r="I2434">
        <f>IF(AND(ISNUMBER(A2434),ISNUMBER(B2434)),A2434*1000+B2434,"")</f>
        <v/>
      </c>
      <c r="J2434">
        <f>IF(I2434="","",IF(COUNTIF(I$2:I2434,I2434)=1,MAX(J$1:J2433)+1,""))</f>
        <v/>
      </c>
    </row>
    <row r="2435">
      <c r="A2435">
        <f>IFERROR(--SUBSTITUTE(SUBSTITUTE(TRIM(INDEX(INDIRECT("'Выгрузка'!A2435:Z2435"),Настройки!$B$7)),",","."),".",MID(1/2,2,1)),"")</f>
        <v/>
      </c>
      <c r="B2435">
        <f>IFERROR(--SUBSTITUTE(SUBSTITUTE(TRIM(INDEX(INDIRECT("'Выгрузка'!A2435:Z2435"),Настройки!$B$9)),",","."),".",MID(1/2,2,1)),"")</f>
        <v/>
      </c>
      <c r="C2435">
        <f>TRIM(INDEX(INDIRECT("'Выгрузка'!A2435:Z2435"),Настройки!$B$8)&amp;"")</f>
        <v/>
      </c>
      <c r="D2435">
        <f>IFERROR(--SUBSTITUTE(SUBSTITUTE(TRIM(INDEX(INDIRECT("'Выгрузка'!A2435:Z2435"),Настройки!$B$10)),",","."),".",MID(1/2,2,1)),"")</f>
        <v/>
      </c>
      <c r="E2435">
        <f>IFERROR(--SUBSTITUTE(SUBSTITUTE(TRIM(INDEX(INDIRECT("'Выгрузка'!A2435:Z2435"),Настройки!$B$11)),",","."),".",MID(1/2,2,1)),"")</f>
        <v/>
      </c>
      <c r="F2435">
        <f>TRIM(INDEX(INDIRECT("'Выгрузка'!A2435:Z2435"),Настройки!$B$12)&amp;"")</f>
        <v/>
      </c>
      <c r="G2435">
        <f>IF(F2435="",0,IF(TRIM(INDEX(INDIRECT("'Выгрузка'!A2435:Z2435"),Настройки!$B$13)&amp;"")="",1,IFERROR(--SUBSTITUTE(SUBSTITUTE(TRIM(INDEX(INDIRECT("'Выгрузка'!A2435:Z2435"),Настройки!$B$13)),",","."),".",MID(1/2,2,1)),"")))</f>
        <v/>
      </c>
      <c r="H2435">
        <f>IF(F2435="",0,IF(COUNTIF(Настройки!$B$17:$B$26,F2435)&gt;0,1,IF(COUNTIF(Настройки!$C$17:$C$26,F2435)&gt;0,2,IF(COUNTIF(Настройки!$D$17:$D$26,F2435)&gt;0,3,0))))</f>
        <v/>
      </c>
      <c r="I2435">
        <f>IF(AND(ISNUMBER(A2435),ISNUMBER(B2435)),A2435*1000+B2435,"")</f>
        <v/>
      </c>
      <c r="J2435">
        <f>IF(I2435="","",IF(COUNTIF(I$2:I2435,I2435)=1,MAX(J$1:J2434)+1,""))</f>
        <v/>
      </c>
    </row>
    <row r="2436">
      <c r="A2436">
        <f>IFERROR(--SUBSTITUTE(SUBSTITUTE(TRIM(INDEX(INDIRECT("'Выгрузка'!A2436:Z2436"),Настройки!$B$7)),",","."),".",MID(1/2,2,1)),"")</f>
        <v/>
      </c>
      <c r="B2436">
        <f>IFERROR(--SUBSTITUTE(SUBSTITUTE(TRIM(INDEX(INDIRECT("'Выгрузка'!A2436:Z2436"),Настройки!$B$9)),",","."),".",MID(1/2,2,1)),"")</f>
        <v/>
      </c>
      <c r="C2436">
        <f>TRIM(INDEX(INDIRECT("'Выгрузка'!A2436:Z2436"),Настройки!$B$8)&amp;"")</f>
        <v/>
      </c>
      <c r="D2436">
        <f>IFERROR(--SUBSTITUTE(SUBSTITUTE(TRIM(INDEX(INDIRECT("'Выгрузка'!A2436:Z2436"),Настройки!$B$10)),",","."),".",MID(1/2,2,1)),"")</f>
        <v/>
      </c>
      <c r="E2436">
        <f>IFERROR(--SUBSTITUTE(SUBSTITUTE(TRIM(INDEX(INDIRECT("'Выгрузка'!A2436:Z2436"),Настройки!$B$11)),",","."),".",MID(1/2,2,1)),"")</f>
        <v/>
      </c>
      <c r="F2436">
        <f>TRIM(INDEX(INDIRECT("'Выгрузка'!A2436:Z2436"),Настройки!$B$12)&amp;"")</f>
        <v/>
      </c>
      <c r="G2436">
        <f>IF(F2436="",0,IF(TRIM(INDEX(INDIRECT("'Выгрузка'!A2436:Z2436"),Настройки!$B$13)&amp;"")="",1,IFERROR(--SUBSTITUTE(SUBSTITUTE(TRIM(INDEX(INDIRECT("'Выгрузка'!A2436:Z2436"),Настройки!$B$13)),",","."),".",MID(1/2,2,1)),"")))</f>
        <v/>
      </c>
      <c r="H2436">
        <f>IF(F2436="",0,IF(COUNTIF(Настройки!$B$17:$B$26,F2436)&gt;0,1,IF(COUNTIF(Настройки!$C$17:$C$26,F2436)&gt;0,2,IF(COUNTIF(Настройки!$D$17:$D$26,F2436)&gt;0,3,0))))</f>
        <v/>
      </c>
      <c r="I2436">
        <f>IF(AND(ISNUMBER(A2436),ISNUMBER(B2436)),A2436*1000+B2436,"")</f>
        <v/>
      </c>
      <c r="J2436">
        <f>IF(I2436="","",IF(COUNTIF(I$2:I2436,I2436)=1,MAX(J$1:J2435)+1,""))</f>
        <v/>
      </c>
    </row>
    <row r="2437">
      <c r="A2437">
        <f>IFERROR(--SUBSTITUTE(SUBSTITUTE(TRIM(INDEX(INDIRECT("'Выгрузка'!A2437:Z2437"),Настройки!$B$7)),",","."),".",MID(1/2,2,1)),"")</f>
        <v/>
      </c>
      <c r="B2437">
        <f>IFERROR(--SUBSTITUTE(SUBSTITUTE(TRIM(INDEX(INDIRECT("'Выгрузка'!A2437:Z2437"),Настройки!$B$9)),",","."),".",MID(1/2,2,1)),"")</f>
        <v/>
      </c>
      <c r="C2437">
        <f>TRIM(INDEX(INDIRECT("'Выгрузка'!A2437:Z2437"),Настройки!$B$8)&amp;"")</f>
        <v/>
      </c>
      <c r="D2437">
        <f>IFERROR(--SUBSTITUTE(SUBSTITUTE(TRIM(INDEX(INDIRECT("'Выгрузка'!A2437:Z2437"),Настройки!$B$10)),",","."),".",MID(1/2,2,1)),"")</f>
        <v/>
      </c>
      <c r="E2437">
        <f>IFERROR(--SUBSTITUTE(SUBSTITUTE(TRIM(INDEX(INDIRECT("'Выгрузка'!A2437:Z2437"),Настройки!$B$11)),",","."),".",MID(1/2,2,1)),"")</f>
        <v/>
      </c>
      <c r="F2437">
        <f>TRIM(INDEX(INDIRECT("'Выгрузка'!A2437:Z2437"),Настройки!$B$12)&amp;"")</f>
        <v/>
      </c>
      <c r="G2437">
        <f>IF(F2437="",0,IF(TRIM(INDEX(INDIRECT("'Выгрузка'!A2437:Z2437"),Настройки!$B$13)&amp;"")="",1,IFERROR(--SUBSTITUTE(SUBSTITUTE(TRIM(INDEX(INDIRECT("'Выгрузка'!A2437:Z2437"),Настройки!$B$13)),",","."),".",MID(1/2,2,1)),"")))</f>
        <v/>
      </c>
      <c r="H2437">
        <f>IF(F2437="",0,IF(COUNTIF(Настройки!$B$17:$B$26,F2437)&gt;0,1,IF(COUNTIF(Настройки!$C$17:$C$26,F2437)&gt;0,2,IF(COUNTIF(Настройки!$D$17:$D$26,F2437)&gt;0,3,0))))</f>
        <v/>
      </c>
      <c r="I2437">
        <f>IF(AND(ISNUMBER(A2437),ISNUMBER(B2437)),A2437*1000+B2437,"")</f>
        <v/>
      </c>
      <c r="J2437">
        <f>IF(I2437="","",IF(COUNTIF(I$2:I2437,I2437)=1,MAX(J$1:J2436)+1,""))</f>
        <v/>
      </c>
    </row>
    <row r="2438">
      <c r="A2438">
        <f>IFERROR(--SUBSTITUTE(SUBSTITUTE(TRIM(INDEX(INDIRECT("'Выгрузка'!A2438:Z2438"),Настройки!$B$7)),",","."),".",MID(1/2,2,1)),"")</f>
        <v/>
      </c>
      <c r="B2438">
        <f>IFERROR(--SUBSTITUTE(SUBSTITUTE(TRIM(INDEX(INDIRECT("'Выгрузка'!A2438:Z2438"),Настройки!$B$9)),",","."),".",MID(1/2,2,1)),"")</f>
        <v/>
      </c>
      <c r="C2438">
        <f>TRIM(INDEX(INDIRECT("'Выгрузка'!A2438:Z2438"),Настройки!$B$8)&amp;"")</f>
        <v/>
      </c>
      <c r="D2438">
        <f>IFERROR(--SUBSTITUTE(SUBSTITUTE(TRIM(INDEX(INDIRECT("'Выгрузка'!A2438:Z2438"),Настройки!$B$10)),",","."),".",MID(1/2,2,1)),"")</f>
        <v/>
      </c>
      <c r="E2438">
        <f>IFERROR(--SUBSTITUTE(SUBSTITUTE(TRIM(INDEX(INDIRECT("'Выгрузка'!A2438:Z2438"),Настройки!$B$11)),",","."),".",MID(1/2,2,1)),"")</f>
        <v/>
      </c>
      <c r="F2438">
        <f>TRIM(INDEX(INDIRECT("'Выгрузка'!A2438:Z2438"),Настройки!$B$12)&amp;"")</f>
        <v/>
      </c>
      <c r="G2438">
        <f>IF(F2438="",0,IF(TRIM(INDEX(INDIRECT("'Выгрузка'!A2438:Z2438"),Настройки!$B$13)&amp;"")="",1,IFERROR(--SUBSTITUTE(SUBSTITUTE(TRIM(INDEX(INDIRECT("'Выгрузка'!A2438:Z2438"),Настройки!$B$13)),",","."),".",MID(1/2,2,1)),"")))</f>
        <v/>
      </c>
      <c r="H2438">
        <f>IF(F2438="",0,IF(COUNTIF(Настройки!$B$17:$B$26,F2438)&gt;0,1,IF(COUNTIF(Настройки!$C$17:$C$26,F2438)&gt;0,2,IF(COUNTIF(Настройки!$D$17:$D$26,F2438)&gt;0,3,0))))</f>
        <v/>
      </c>
      <c r="I2438">
        <f>IF(AND(ISNUMBER(A2438),ISNUMBER(B2438)),A2438*1000+B2438,"")</f>
        <v/>
      </c>
      <c r="J2438">
        <f>IF(I2438="","",IF(COUNTIF(I$2:I2438,I2438)=1,MAX(J$1:J2437)+1,""))</f>
        <v/>
      </c>
    </row>
    <row r="2439">
      <c r="A2439">
        <f>IFERROR(--SUBSTITUTE(SUBSTITUTE(TRIM(INDEX(INDIRECT("'Выгрузка'!A2439:Z2439"),Настройки!$B$7)),",","."),".",MID(1/2,2,1)),"")</f>
        <v/>
      </c>
      <c r="B2439">
        <f>IFERROR(--SUBSTITUTE(SUBSTITUTE(TRIM(INDEX(INDIRECT("'Выгрузка'!A2439:Z2439"),Настройки!$B$9)),",","."),".",MID(1/2,2,1)),"")</f>
        <v/>
      </c>
      <c r="C2439">
        <f>TRIM(INDEX(INDIRECT("'Выгрузка'!A2439:Z2439"),Настройки!$B$8)&amp;"")</f>
        <v/>
      </c>
      <c r="D2439">
        <f>IFERROR(--SUBSTITUTE(SUBSTITUTE(TRIM(INDEX(INDIRECT("'Выгрузка'!A2439:Z2439"),Настройки!$B$10)),",","."),".",MID(1/2,2,1)),"")</f>
        <v/>
      </c>
      <c r="E2439">
        <f>IFERROR(--SUBSTITUTE(SUBSTITUTE(TRIM(INDEX(INDIRECT("'Выгрузка'!A2439:Z2439"),Настройки!$B$11)),",","."),".",MID(1/2,2,1)),"")</f>
        <v/>
      </c>
      <c r="F2439">
        <f>TRIM(INDEX(INDIRECT("'Выгрузка'!A2439:Z2439"),Настройки!$B$12)&amp;"")</f>
        <v/>
      </c>
      <c r="G2439">
        <f>IF(F2439="",0,IF(TRIM(INDEX(INDIRECT("'Выгрузка'!A2439:Z2439"),Настройки!$B$13)&amp;"")="",1,IFERROR(--SUBSTITUTE(SUBSTITUTE(TRIM(INDEX(INDIRECT("'Выгрузка'!A2439:Z2439"),Настройки!$B$13)),",","."),".",MID(1/2,2,1)),"")))</f>
        <v/>
      </c>
      <c r="H2439">
        <f>IF(F2439="",0,IF(COUNTIF(Настройки!$B$17:$B$26,F2439)&gt;0,1,IF(COUNTIF(Настройки!$C$17:$C$26,F2439)&gt;0,2,IF(COUNTIF(Настройки!$D$17:$D$26,F2439)&gt;0,3,0))))</f>
        <v/>
      </c>
      <c r="I2439">
        <f>IF(AND(ISNUMBER(A2439),ISNUMBER(B2439)),A2439*1000+B2439,"")</f>
        <v/>
      </c>
      <c r="J2439">
        <f>IF(I2439="","",IF(COUNTIF(I$2:I2439,I2439)=1,MAX(J$1:J2438)+1,""))</f>
        <v/>
      </c>
    </row>
    <row r="2440">
      <c r="A2440">
        <f>IFERROR(--SUBSTITUTE(SUBSTITUTE(TRIM(INDEX(INDIRECT("'Выгрузка'!A2440:Z2440"),Настройки!$B$7)),",","."),".",MID(1/2,2,1)),"")</f>
        <v/>
      </c>
      <c r="B2440">
        <f>IFERROR(--SUBSTITUTE(SUBSTITUTE(TRIM(INDEX(INDIRECT("'Выгрузка'!A2440:Z2440"),Настройки!$B$9)),",","."),".",MID(1/2,2,1)),"")</f>
        <v/>
      </c>
      <c r="C2440">
        <f>TRIM(INDEX(INDIRECT("'Выгрузка'!A2440:Z2440"),Настройки!$B$8)&amp;"")</f>
        <v/>
      </c>
      <c r="D2440">
        <f>IFERROR(--SUBSTITUTE(SUBSTITUTE(TRIM(INDEX(INDIRECT("'Выгрузка'!A2440:Z2440"),Настройки!$B$10)),",","."),".",MID(1/2,2,1)),"")</f>
        <v/>
      </c>
      <c r="E2440">
        <f>IFERROR(--SUBSTITUTE(SUBSTITUTE(TRIM(INDEX(INDIRECT("'Выгрузка'!A2440:Z2440"),Настройки!$B$11)),",","."),".",MID(1/2,2,1)),"")</f>
        <v/>
      </c>
      <c r="F2440">
        <f>TRIM(INDEX(INDIRECT("'Выгрузка'!A2440:Z2440"),Настройки!$B$12)&amp;"")</f>
        <v/>
      </c>
      <c r="G2440">
        <f>IF(F2440="",0,IF(TRIM(INDEX(INDIRECT("'Выгрузка'!A2440:Z2440"),Настройки!$B$13)&amp;"")="",1,IFERROR(--SUBSTITUTE(SUBSTITUTE(TRIM(INDEX(INDIRECT("'Выгрузка'!A2440:Z2440"),Настройки!$B$13)),",","."),".",MID(1/2,2,1)),"")))</f>
        <v/>
      </c>
      <c r="H2440">
        <f>IF(F2440="",0,IF(COUNTIF(Настройки!$B$17:$B$26,F2440)&gt;0,1,IF(COUNTIF(Настройки!$C$17:$C$26,F2440)&gt;0,2,IF(COUNTIF(Настройки!$D$17:$D$26,F2440)&gt;0,3,0))))</f>
        <v/>
      </c>
      <c r="I2440">
        <f>IF(AND(ISNUMBER(A2440),ISNUMBER(B2440)),A2440*1000+B2440,"")</f>
        <v/>
      </c>
      <c r="J2440">
        <f>IF(I2440="","",IF(COUNTIF(I$2:I2440,I2440)=1,MAX(J$1:J2439)+1,""))</f>
        <v/>
      </c>
    </row>
    <row r="2441">
      <c r="A2441">
        <f>IFERROR(--SUBSTITUTE(SUBSTITUTE(TRIM(INDEX(INDIRECT("'Выгрузка'!A2441:Z2441"),Настройки!$B$7)),",","."),".",MID(1/2,2,1)),"")</f>
        <v/>
      </c>
      <c r="B2441">
        <f>IFERROR(--SUBSTITUTE(SUBSTITUTE(TRIM(INDEX(INDIRECT("'Выгрузка'!A2441:Z2441"),Настройки!$B$9)),",","."),".",MID(1/2,2,1)),"")</f>
        <v/>
      </c>
      <c r="C2441">
        <f>TRIM(INDEX(INDIRECT("'Выгрузка'!A2441:Z2441"),Настройки!$B$8)&amp;"")</f>
        <v/>
      </c>
      <c r="D2441">
        <f>IFERROR(--SUBSTITUTE(SUBSTITUTE(TRIM(INDEX(INDIRECT("'Выгрузка'!A2441:Z2441"),Настройки!$B$10)),",","."),".",MID(1/2,2,1)),"")</f>
        <v/>
      </c>
      <c r="E2441">
        <f>IFERROR(--SUBSTITUTE(SUBSTITUTE(TRIM(INDEX(INDIRECT("'Выгрузка'!A2441:Z2441"),Настройки!$B$11)),",","."),".",MID(1/2,2,1)),"")</f>
        <v/>
      </c>
      <c r="F2441">
        <f>TRIM(INDEX(INDIRECT("'Выгрузка'!A2441:Z2441"),Настройки!$B$12)&amp;"")</f>
        <v/>
      </c>
      <c r="G2441">
        <f>IF(F2441="",0,IF(TRIM(INDEX(INDIRECT("'Выгрузка'!A2441:Z2441"),Настройки!$B$13)&amp;"")="",1,IFERROR(--SUBSTITUTE(SUBSTITUTE(TRIM(INDEX(INDIRECT("'Выгрузка'!A2441:Z2441"),Настройки!$B$13)),",","."),".",MID(1/2,2,1)),"")))</f>
        <v/>
      </c>
      <c r="H2441">
        <f>IF(F2441="",0,IF(COUNTIF(Настройки!$B$17:$B$26,F2441)&gt;0,1,IF(COUNTIF(Настройки!$C$17:$C$26,F2441)&gt;0,2,IF(COUNTIF(Настройки!$D$17:$D$26,F2441)&gt;0,3,0))))</f>
        <v/>
      </c>
      <c r="I2441">
        <f>IF(AND(ISNUMBER(A2441),ISNUMBER(B2441)),A2441*1000+B2441,"")</f>
        <v/>
      </c>
      <c r="J2441">
        <f>IF(I2441="","",IF(COUNTIF(I$2:I2441,I2441)=1,MAX(J$1:J2440)+1,""))</f>
        <v/>
      </c>
    </row>
    <row r="2442">
      <c r="A2442">
        <f>IFERROR(--SUBSTITUTE(SUBSTITUTE(TRIM(INDEX(INDIRECT("'Выгрузка'!A2442:Z2442"),Настройки!$B$7)),",","."),".",MID(1/2,2,1)),"")</f>
        <v/>
      </c>
      <c r="B2442">
        <f>IFERROR(--SUBSTITUTE(SUBSTITUTE(TRIM(INDEX(INDIRECT("'Выгрузка'!A2442:Z2442"),Настройки!$B$9)),",","."),".",MID(1/2,2,1)),"")</f>
        <v/>
      </c>
      <c r="C2442">
        <f>TRIM(INDEX(INDIRECT("'Выгрузка'!A2442:Z2442"),Настройки!$B$8)&amp;"")</f>
        <v/>
      </c>
      <c r="D2442">
        <f>IFERROR(--SUBSTITUTE(SUBSTITUTE(TRIM(INDEX(INDIRECT("'Выгрузка'!A2442:Z2442"),Настройки!$B$10)),",","."),".",MID(1/2,2,1)),"")</f>
        <v/>
      </c>
      <c r="E2442">
        <f>IFERROR(--SUBSTITUTE(SUBSTITUTE(TRIM(INDEX(INDIRECT("'Выгрузка'!A2442:Z2442"),Настройки!$B$11)),",","."),".",MID(1/2,2,1)),"")</f>
        <v/>
      </c>
      <c r="F2442">
        <f>TRIM(INDEX(INDIRECT("'Выгрузка'!A2442:Z2442"),Настройки!$B$12)&amp;"")</f>
        <v/>
      </c>
      <c r="G2442">
        <f>IF(F2442="",0,IF(TRIM(INDEX(INDIRECT("'Выгрузка'!A2442:Z2442"),Настройки!$B$13)&amp;"")="",1,IFERROR(--SUBSTITUTE(SUBSTITUTE(TRIM(INDEX(INDIRECT("'Выгрузка'!A2442:Z2442"),Настройки!$B$13)),",","."),".",MID(1/2,2,1)),"")))</f>
        <v/>
      </c>
      <c r="H2442">
        <f>IF(F2442="",0,IF(COUNTIF(Настройки!$B$17:$B$26,F2442)&gt;0,1,IF(COUNTIF(Настройки!$C$17:$C$26,F2442)&gt;0,2,IF(COUNTIF(Настройки!$D$17:$D$26,F2442)&gt;0,3,0))))</f>
        <v/>
      </c>
      <c r="I2442">
        <f>IF(AND(ISNUMBER(A2442),ISNUMBER(B2442)),A2442*1000+B2442,"")</f>
        <v/>
      </c>
      <c r="J2442">
        <f>IF(I2442="","",IF(COUNTIF(I$2:I2442,I2442)=1,MAX(J$1:J2441)+1,""))</f>
        <v/>
      </c>
    </row>
    <row r="2443">
      <c r="A2443">
        <f>IFERROR(--SUBSTITUTE(SUBSTITUTE(TRIM(INDEX(INDIRECT("'Выгрузка'!A2443:Z2443"),Настройки!$B$7)),",","."),".",MID(1/2,2,1)),"")</f>
        <v/>
      </c>
      <c r="B2443">
        <f>IFERROR(--SUBSTITUTE(SUBSTITUTE(TRIM(INDEX(INDIRECT("'Выгрузка'!A2443:Z2443"),Настройки!$B$9)),",","."),".",MID(1/2,2,1)),"")</f>
        <v/>
      </c>
      <c r="C2443">
        <f>TRIM(INDEX(INDIRECT("'Выгрузка'!A2443:Z2443"),Настройки!$B$8)&amp;"")</f>
        <v/>
      </c>
      <c r="D2443">
        <f>IFERROR(--SUBSTITUTE(SUBSTITUTE(TRIM(INDEX(INDIRECT("'Выгрузка'!A2443:Z2443"),Настройки!$B$10)),",","."),".",MID(1/2,2,1)),"")</f>
        <v/>
      </c>
      <c r="E2443">
        <f>IFERROR(--SUBSTITUTE(SUBSTITUTE(TRIM(INDEX(INDIRECT("'Выгрузка'!A2443:Z2443"),Настройки!$B$11)),",","."),".",MID(1/2,2,1)),"")</f>
        <v/>
      </c>
      <c r="F2443">
        <f>TRIM(INDEX(INDIRECT("'Выгрузка'!A2443:Z2443"),Настройки!$B$12)&amp;"")</f>
        <v/>
      </c>
      <c r="G2443">
        <f>IF(F2443="",0,IF(TRIM(INDEX(INDIRECT("'Выгрузка'!A2443:Z2443"),Настройки!$B$13)&amp;"")="",1,IFERROR(--SUBSTITUTE(SUBSTITUTE(TRIM(INDEX(INDIRECT("'Выгрузка'!A2443:Z2443"),Настройки!$B$13)),",","."),".",MID(1/2,2,1)),"")))</f>
        <v/>
      </c>
      <c r="H2443">
        <f>IF(F2443="",0,IF(COUNTIF(Настройки!$B$17:$B$26,F2443)&gt;0,1,IF(COUNTIF(Настройки!$C$17:$C$26,F2443)&gt;0,2,IF(COUNTIF(Настройки!$D$17:$D$26,F2443)&gt;0,3,0))))</f>
        <v/>
      </c>
      <c r="I2443">
        <f>IF(AND(ISNUMBER(A2443),ISNUMBER(B2443)),A2443*1000+B2443,"")</f>
        <v/>
      </c>
      <c r="J2443">
        <f>IF(I2443="","",IF(COUNTIF(I$2:I2443,I2443)=1,MAX(J$1:J2442)+1,""))</f>
        <v/>
      </c>
    </row>
    <row r="2444">
      <c r="A2444">
        <f>IFERROR(--SUBSTITUTE(SUBSTITUTE(TRIM(INDEX(INDIRECT("'Выгрузка'!A2444:Z2444"),Настройки!$B$7)),",","."),".",MID(1/2,2,1)),"")</f>
        <v/>
      </c>
      <c r="B2444">
        <f>IFERROR(--SUBSTITUTE(SUBSTITUTE(TRIM(INDEX(INDIRECT("'Выгрузка'!A2444:Z2444"),Настройки!$B$9)),",","."),".",MID(1/2,2,1)),"")</f>
        <v/>
      </c>
      <c r="C2444">
        <f>TRIM(INDEX(INDIRECT("'Выгрузка'!A2444:Z2444"),Настройки!$B$8)&amp;"")</f>
        <v/>
      </c>
      <c r="D2444">
        <f>IFERROR(--SUBSTITUTE(SUBSTITUTE(TRIM(INDEX(INDIRECT("'Выгрузка'!A2444:Z2444"),Настройки!$B$10)),",","."),".",MID(1/2,2,1)),"")</f>
        <v/>
      </c>
      <c r="E2444">
        <f>IFERROR(--SUBSTITUTE(SUBSTITUTE(TRIM(INDEX(INDIRECT("'Выгрузка'!A2444:Z2444"),Настройки!$B$11)),",","."),".",MID(1/2,2,1)),"")</f>
        <v/>
      </c>
      <c r="F2444">
        <f>TRIM(INDEX(INDIRECT("'Выгрузка'!A2444:Z2444"),Настройки!$B$12)&amp;"")</f>
        <v/>
      </c>
      <c r="G2444">
        <f>IF(F2444="",0,IF(TRIM(INDEX(INDIRECT("'Выгрузка'!A2444:Z2444"),Настройки!$B$13)&amp;"")="",1,IFERROR(--SUBSTITUTE(SUBSTITUTE(TRIM(INDEX(INDIRECT("'Выгрузка'!A2444:Z2444"),Настройки!$B$13)),",","."),".",MID(1/2,2,1)),"")))</f>
        <v/>
      </c>
      <c r="H2444">
        <f>IF(F2444="",0,IF(COUNTIF(Настройки!$B$17:$B$26,F2444)&gt;0,1,IF(COUNTIF(Настройки!$C$17:$C$26,F2444)&gt;0,2,IF(COUNTIF(Настройки!$D$17:$D$26,F2444)&gt;0,3,0))))</f>
        <v/>
      </c>
      <c r="I2444">
        <f>IF(AND(ISNUMBER(A2444),ISNUMBER(B2444)),A2444*1000+B2444,"")</f>
        <v/>
      </c>
      <c r="J2444">
        <f>IF(I2444="","",IF(COUNTIF(I$2:I2444,I2444)=1,MAX(J$1:J2443)+1,""))</f>
        <v/>
      </c>
    </row>
    <row r="2445">
      <c r="A2445">
        <f>IFERROR(--SUBSTITUTE(SUBSTITUTE(TRIM(INDEX(INDIRECT("'Выгрузка'!A2445:Z2445"),Настройки!$B$7)),",","."),".",MID(1/2,2,1)),"")</f>
        <v/>
      </c>
      <c r="B2445">
        <f>IFERROR(--SUBSTITUTE(SUBSTITUTE(TRIM(INDEX(INDIRECT("'Выгрузка'!A2445:Z2445"),Настройки!$B$9)),",","."),".",MID(1/2,2,1)),"")</f>
        <v/>
      </c>
      <c r="C2445">
        <f>TRIM(INDEX(INDIRECT("'Выгрузка'!A2445:Z2445"),Настройки!$B$8)&amp;"")</f>
        <v/>
      </c>
      <c r="D2445">
        <f>IFERROR(--SUBSTITUTE(SUBSTITUTE(TRIM(INDEX(INDIRECT("'Выгрузка'!A2445:Z2445"),Настройки!$B$10)),",","."),".",MID(1/2,2,1)),"")</f>
        <v/>
      </c>
      <c r="E2445">
        <f>IFERROR(--SUBSTITUTE(SUBSTITUTE(TRIM(INDEX(INDIRECT("'Выгрузка'!A2445:Z2445"),Настройки!$B$11)),",","."),".",MID(1/2,2,1)),"")</f>
        <v/>
      </c>
      <c r="F2445">
        <f>TRIM(INDEX(INDIRECT("'Выгрузка'!A2445:Z2445"),Настройки!$B$12)&amp;"")</f>
        <v/>
      </c>
      <c r="G2445">
        <f>IF(F2445="",0,IF(TRIM(INDEX(INDIRECT("'Выгрузка'!A2445:Z2445"),Настройки!$B$13)&amp;"")="",1,IFERROR(--SUBSTITUTE(SUBSTITUTE(TRIM(INDEX(INDIRECT("'Выгрузка'!A2445:Z2445"),Настройки!$B$13)),",","."),".",MID(1/2,2,1)),"")))</f>
        <v/>
      </c>
      <c r="H2445">
        <f>IF(F2445="",0,IF(COUNTIF(Настройки!$B$17:$B$26,F2445)&gt;0,1,IF(COUNTIF(Настройки!$C$17:$C$26,F2445)&gt;0,2,IF(COUNTIF(Настройки!$D$17:$D$26,F2445)&gt;0,3,0))))</f>
        <v/>
      </c>
      <c r="I2445">
        <f>IF(AND(ISNUMBER(A2445),ISNUMBER(B2445)),A2445*1000+B2445,"")</f>
        <v/>
      </c>
      <c r="J2445">
        <f>IF(I2445="","",IF(COUNTIF(I$2:I2445,I2445)=1,MAX(J$1:J2444)+1,""))</f>
        <v/>
      </c>
    </row>
    <row r="2446">
      <c r="A2446">
        <f>IFERROR(--SUBSTITUTE(SUBSTITUTE(TRIM(INDEX(INDIRECT("'Выгрузка'!A2446:Z2446"),Настройки!$B$7)),",","."),".",MID(1/2,2,1)),"")</f>
        <v/>
      </c>
      <c r="B2446">
        <f>IFERROR(--SUBSTITUTE(SUBSTITUTE(TRIM(INDEX(INDIRECT("'Выгрузка'!A2446:Z2446"),Настройки!$B$9)),",","."),".",MID(1/2,2,1)),"")</f>
        <v/>
      </c>
      <c r="C2446">
        <f>TRIM(INDEX(INDIRECT("'Выгрузка'!A2446:Z2446"),Настройки!$B$8)&amp;"")</f>
        <v/>
      </c>
      <c r="D2446">
        <f>IFERROR(--SUBSTITUTE(SUBSTITUTE(TRIM(INDEX(INDIRECT("'Выгрузка'!A2446:Z2446"),Настройки!$B$10)),",","."),".",MID(1/2,2,1)),"")</f>
        <v/>
      </c>
      <c r="E2446">
        <f>IFERROR(--SUBSTITUTE(SUBSTITUTE(TRIM(INDEX(INDIRECT("'Выгрузка'!A2446:Z2446"),Настройки!$B$11)),",","."),".",MID(1/2,2,1)),"")</f>
        <v/>
      </c>
      <c r="F2446">
        <f>TRIM(INDEX(INDIRECT("'Выгрузка'!A2446:Z2446"),Настройки!$B$12)&amp;"")</f>
        <v/>
      </c>
      <c r="G2446">
        <f>IF(F2446="",0,IF(TRIM(INDEX(INDIRECT("'Выгрузка'!A2446:Z2446"),Настройки!$B$13)&amp;"")="",1,IFERROR(--SUBSTITUTE(SUBSTITUTE(TRIM(INDEX(INDIRECT("'Выгрузка'!A2446:Z2446"),Настройки!$B$13)),",","."),".",MID(1/2,2,1)),"")))</f>
        <v/>
      </c>
      <c r="H2446">
        <f>IF(F2446="",0,IF(COUNTIF(Настройки!$B$17:$B$26,F2446)&gt;0,1,IF(COUNTIF(Настройки!$C$17:$C$26,F2446)&gt;0,2,IF(COUNTIF(Настройки!$D$17:$D$26,F2446)&gt;0,3,0))))</f>
        <v/>
      </c>
      <c r="I2446">
        <f>IF(AND(ISNUMBER(A2446),ISNUMBER(B2446)),A2446*1000+B2446,"")</f>
        <v/>
      </c>
      <c r="J2446">
        <f>IF(I2446="","",IF(COUNTIF(I$2:I2446,I2446)=1,MAX(J$1:J2445)+1,""))</f>
        <v/>
      </c>
    </row>
    <row r="2447">
      <c r="A2447">
        <f>IFERROR(--SUBSTITUTE(SUBSTITUTE(TRIM(INDEX(INDIRECT("'Выгрузка'!A2447:Z2447"),Настройки!$B$7)),",","."),".",MID(1/2,2,1)),"")</f>
        <v/>
      </c>
      <c r="B2447">
        <f>IFERROR(--SUBSTITUTE(SUBSTITUTE(TRIM(INDEX(INDIRECT("'Выгрузка'!A2447:Z2447"),Настройки!$B$9)),",","."),".",MID(1/2,2,1)),"")</f>
        <v/>
      </c>
      <c r="C2447">
        <f>TRIM(INDEX(INDIRECT("'Выгрузка'!A2447:Z2447"),Настройки!$B$8)&amp;"")</f>
        <v/>
      </c>
      <c r="D2447">
        <f>IFERROR(--SUBSTITUTE(SUBSTITUTE(TRIM(INDEX(INDIRECT("'Выгрузка'!A2447:Z2447"),Настройки!$B$10)),",","."),".",MID(1/2,2,1)),"")</f>
        <v/>
      </c>
      <c r="E2447">
        <f>IFERROR(--SUBSTITUTE(SUBSTITUTE(TRIM(INDEX(INDIRECT("'Выгрузка'!A2447:Z2447"),Настройки!$B$11)),",","."),".",MID(1/2,2,1)),"")</f>
        <v/>
      </c>
      <c r="F2447">
        <f>TRIM(INDEX(INDIRECT("'Выгрузка'!A2447:Z2447"),Настройки!$B$12)&amp;"")</f>
        <v/>
      </c>
      <c r="G2447">
        <f>IF(F2447="",0,IF(TRIM(INDEX(INDIRECT("'Выгрузка'!A2447:Z2447"),Настройки!$B$13)&amp;"")="",1,IFERROR(--SUBSTITUTE(SUBSTITUTE(TRIM(INDEX(INDIRECT("'Выгрузка'!A2447:Z2447"),Настройки!$B$13)),",","."),".",MID(1/2,2,1)),"")))</f>
        <v/>
      </c>
      <c r="H2447">
        <f>IF(F2447="",0,IF(COUNTIF(Настройки!$B$17:$B$26,F2447)&gt;0,1,IF(COUNTIF(Настройки!$C$17:$C$26,F2447)&gt;0,2,IF(COUNTIF(Настройки!$D$17:$D$26,F2447)&gt;0,3,0))))</f>
        <v/>
      </c>
      <c r="I2447">
        <f>IF(AND(ISNUMBER(A2447),ISNUMBER(B2447)),A2447*1000+B2447,"")</f>
        <v/>
      </c>
      <c r="J2447">
        <f>IF(I2447="","",IF(COUNTIF(I$2:I2447,I2447)=1,MAX(J$1:J2446)+1,""))</f>
        <v/>
      </c>
    </row>
    <row r="2448">
      <c r="A2448">
        <f>IFERROR(--SUBSTITUTE(SUBSTITUTE(TRIM(INDEX(INDIRECT("'Выгрузка'!A2448:Z2448"),Настройки!$B$7)),",","."),".",MID(1/2,2,1)),"")</f>
        <v/>
      </c>
      <c r="B2448">
        <f>IFERROR(--SUBSTITUTE(SUBSTITUTE(TRIM(INDEX(INDIRECT("'Выгрузка'!A2448:Z2448"),Настройки!$B$9)),",","."),".",MID(1/2,2,1)),"")</f>
        <v/>
      </c>
      <c r="C2448">
        <f>TRIM(INDEX(INDIRECT("'Выгрузка'!A2448:Z2448"),Настройки!$B$8)&amp;"")</f>
        <v/>
      </c>
      <c r="D2448">
        <f>IFERROR(--SUBSTITUTE(SUBSTITUTE(TRIM(INDEX(INDIRECT("'Выгрузка'!A2448:Z2448"),Настройки!$B$10)),",","."),".",MID(1/2,2,1)),"")</f>
        <v/>
      </c>
      <c r="E2448">
        <f>IFERROR(--SUBSTITUTE(SUBSTITUTE(TRIM(INDEX(INDIRECT("'Выгрузка'!A2448:Z2448"),Настройки!$B$11)),",","."),".",MID(1/2,2,1)),"")</f>
        <v/>
      </c>
      <c r="F2448">
        <f>TRIM(INDEX(INDIRECT("'Выгрузка'!A2448:Z2448"),Настройки!$B$12)&amp;"")</f>
        <v/>
      </c>
      <c r="G2448">
        <f>IF(F2448="",0,IF(TRIM(INDEX(INDIRECT("'Выгрузка'!A2448:Z2448"),Настройки!$B$13)&amp;"")="",1,IFERROR(--SUBSTITUTE(SUBSTITUTE(TRIM(INDEX(INDIRECT("'Выгрузка'!A2448:Z2448"),Настройки!$B$13)),",","."),".",MID(1/2,2,1)),"")))</f>
        <v/>
      </c>
      <c r="H2448">
        <f>IF(F2448="",0,IF(COUNTIF(Настройки!$B$17:$B$26,F2448)&gt;0,1,IF(COUNTIF(Настройки!$C$17:$C$26,F2448)&gt;0,2,IF(COUNTIF(Настройки!$D$17:$D$26,F2448)&gt;0,3,0))))</f>
        <v/>
      </c>
      <c r="I2448">
        <f>IF(AND(ISNUMBER(A2448),ISNUMBER(B2448)),A2448*1000+B2448,"")</f>
        <v/>
      </c>
      <c r="J2448">
        <f>IF(I2448="","",IF(COUNTIF(I$2:I2448,I2448)=1,MAX(J$1:J2447)+1,""))</f>
        <v/>
      </c>
    </row>
    <row r="2449">
      <c r="A2449">
        <f>IFERROR(--SUBSTITUTE(SUBSTITUTE(TRIM(INDEX(INDIRECT("'Выгрузка'!A2449:Z2449"),Настройки!$B$7)),",","."),".",MID(1/2,2,1)),"")</f>
        <v/>
      </c>
      <c r="B2449">
        <f>IFERROR(--SUBSTITUTE(SUBSTITUTE(TRIM(INDEX(INDIRECT("'Выгрузка'!A2449:Z2449"),Настройки!$B$9)),",","."),".",MID(1/2,2,1)),"")</f>
        <v/>
      </c>
      <c r="C2449">
        <f>TRIM(INDEX(INDIRECT("'Выгрузка'!A2449:Z2449"),Настройки!$B$8)&amp;"")</f>
        <v/>
      </c>
      <c r="D2449">
        <f>IFERROR(--SUBSTITUTE(SUBSTITUTE(TRIM(INDEX(INDIRECT("'Выгрузка'!A2449:Z2449"),Настройки!$B$10)),",","."),".",MID(1/2,2,1)),"")</f>
        <v/>
      </c>
      <c r="E2449">
        <f>IFERROR(--SUBSTITUTE(SUBSTITUTE(TRIM(INDEX(INDIRECT("'Выгрузка'!A2449:Z2449"),Настройки!$B$11)),",","."),".",MID(1/2,2,1)),"")</f>
        <v/>
      </c>
      <c r="F2449">
        <f>TRIM(INDEX(INDIRECT("'Выгрузка'!A2449:Z2449"),Настройки!$B$12)&amp;"")</f>
        <v/>
      </c>
      <c r="G2449">
        <f>IF(F2449="",0,IF(TRIM(INDEX(INDIRECT("'Выгрузка'!A2449:Z2449"),Настройки!$B$13)&amp;"")="",1,IFERROR(--SUBSTITUTE(SUBSTITUTE(TRIM(INDEX(INDIRECT("'Выгрузка'!A2449:Z2449"),Настройки!$B$13)),",","."),".",MID(1/2,2,1)),"")))</f>
        <v/>
      </c>
      <c r="H2449">
        <f>IF(F2449="",0,IF(COUNTIF(Настройки!$B$17:$B$26,F2449)&gt;0,1,IF(COUNTIF(Настройки!$C$17:$C$26,F2449)&gt;0,2,IF(COUNTIF(Настройки!$D$17:$D$26,F2449)&gt;0,3,0))))</f>
        <v/>
      </c>
      <c r="I2449">
        <f>IF(AND(ISNUMBER(A2449),ISNUMBER(B2449)),A2449*1000+B2449,"")</f>
        <v/>
      </c>
      <c r="J2449">
        <f>IF(I2449="","",IF(COUNTIF(I$2:I2449,I2449)=1,MAX(J$1:J2448)+1,""))</f>
        <v/>
      </c>
    </row>
    <row r="2450">
      <c r="A2450">
        <f>IFERROR(--SUBSTITUTE(SUBSTITUTE(TRIM(INDEX(INDIRECT("'Выгрузка'!A2450:Z2450"),Настройки!$B$7)),",","."),".",MID(1/2,2,1)),"")</f>
        <v/>
      </c>
      <c r="B2450">
        <f>IFERROR(--SUBSTITUTE(SUBSTITUTE(TRIM(INDEX(INDIRECT("'Выгрузка'!A2450:Z2450"),Настройки!$B$9)),",","."),".",MID(1/2,2,1)),"")</f>
        <v/>
      </c>
      <c r="C2450">
        <f>TRIM(INDEX(INDIRECT("'Выгрузка'!A2450:Z2450"),Настройки!$B$8)&amp;"")</f>
        <v/>
      </c>
      <c r="D2450">
        <f>IFERROR(--SUBSTITUTE(SUBSTITUTE(TRIM(INDEX(INDIRECT("'Выгрузка'!A2450:Z2450"),Настройки!$B$10)),",","."),".",MID(1/2,2,1)),"")</f>
        <v/>
      </c>
      <c r="E2450">
        <f>IFERROR(--SUBSTITUTE(SUBSTITUTE(TRIM(INDEX(INDIRECT("'Выгрузка'!A2450:Z2450"),Настройки!$B$11)),",","."),".",MID(1/2,2,1)),"")</f>
        <v/>
      </c>
      <c r="F2450">
        <f>TRIM(INDEX(INDIRECT("'Выгрузка'!A2450:Z2450"),Настройки!$B$12)&amp;"")</f>
        <v/>
      </c>
      <c r="G2450">
        <f>IF(F2450="",0,IF(TRIM(INDEX(INDIRECT("'Выгрузка'!A2450:Z2450"),Настройки!$B$13)&amp;"")="",1,IFERROR(--SUBSTITUTE(SUBSTITUTE(TRIM(INDEX(INDIRECT("'Выгрузка'!A2450:Z2450"),Настройки!$B$13)),",","."),".",MID(1/2,2,1)),"")))</f>
        <v/>
      </c>
      <c r="H2450">
        <f>IF(F2450="",0,IF(COUNTIF(Настройки!$B$17:$B$26,F2450)&gt;0,1,IF(COUNTIF(Настройки!$C$17:$C$26,F2450)&gt;0,2,IF(COUNTIF(Настройки!$D$17:$D$26,F2450)&gt;0,3,0))))</f>
        <v/>
      </c>
      <c r="I2450">
        <f>IF(AND(ISNUMBER(A2450),ISNUMBER(B2450)),A2450*1000+B2450,"")</f>
        <v/>
      </c>
      <c r="J2450">
        <f>IF(I2450="","",IF(COUNTIF(I$2:I2450,I2450)=1,MAX(J$1:J2449)+1,""))</f>
        <v/>
      </c>
    </row>
    <row r="2451">
      <c r="A2451">
        <f>IFERROR(--SUBSTITUTE(SUBSTITUTE(TRIM(INDEX(INDIRECT("'Выгрузка'!A2451:Z2451"),Настройки!$B$7)),",","."),".",MID(1/2,2,1)),"")</f>
        <v/>
      </c>
      <c r="B2451">
        <f>IFERROR(--SUBSTITUTE(SUBSTITUTE(TRIM(INDEX(INDIRECT("'Выгрузка'!A2451:Z2451"),Настройки!$B$9)),",","."),".",MID(1/2,2,1)),"")</f>
        <v/>
      </c>
      <c r="C2451">
        <f>TRIM(INDEX(INDIRECT("'Выгрузка'!A2451:Z2451"),Настройки!$B$8)&amp;"")</f>
        <v/>
      </c>
      <c r="D2451">
        <f>IFERROR(--SUBSTITUTE(SUBSTITUTE(TRIM(INDEX(INDIRECT("'Выгрузка'!A2451:Z2451"),Настройки!$B$10)),",","."),".",MID(1/2,2,1)),"")</f>
        <v/>
      </c>
      <c r="E2451">
        <f>IFERROR(--SUBSTITUTE(SUBSTITUTE(TRIM(INDEX(INDIRECT("'Выгрузка'!A2451:Z2451"),Настройки!$B$11)),",","."),".",MID(1/2,2,1)),"")</f>
        <v/>
      </c>
      <c r="F2451">
        <f>TRIM(INDEX(INDIRECT("'Выгрузка'!A2451:Z2451"),Настройки!$B$12)&amp;"")</f>
        <v/>
      </c>
      <c r="G2451">
        <f>IF(F2451="",0,IF(TRIM(INDEX(INDIRECT("'Выгрузка'!A2451:Z2451"),Настройки!$B$13)&amp;"")="",1,IFERROR(--SUBSTITUTE(SUBSTITUTE(TRIM(INDEX(INDIRECT("'Выгрузка'!A2451:Z2451"),Настройки!$B$13)),",","."),".",MID(1/2,2,1)),"")))</f>
        <v/>
      </c>
      <c r="H2451">
        <f>IF(F2451="",0,IF(COUNTIF(Настройки!$B$17:$B$26,F2451)&gt;0,1,IF(COUNTIF(Настройки!$C$17:$C$26,F2451)&gt;0,2,IF(COUNTIF(Настройки!$D$17:$D$26,F2451)&gt;0,3,0))))</f>
        <v/>
      </c>
      <c r="I2451">
        <f>IF(AND(ISNUMBER(A2451),ISNUMBER(B2451)),A2451*1000+B2451,"")</f>
        <v/>
      </c>
      <c r="J2451">
        <f>IF(I2451="","",IF(COUNTIF(I$2:I2451,I2451)=1,MAX(J$1:J2450)+1,""))</f>
        <v/>
      </c>
    </row>
    <row r="2452">
      <c r="A2452">
        <f>IFERROR(--SUBSTITUTE(SUBSTITUTE(TRIM(INDEX(INDIRECT("'Выгрузка'!A2452:Z2452"),Настройки!$B$7)),",","."),".",MID(1/2,2,1)),"")</f>
        <v/>
      </c>
      <c r="B2452">
        <f>IFERROR(--SUBSTITUTE(SUBSTITUTE(TRIM(INDEX(INDIRECT("'Выгрузка'!A2452:Z2452"),Настройки!$B$9)),",","."),".",MID(1/2,2,1)),"")</f>
        <v/>
      </c>
      <c r="C2452">
        <f>TRIM(INDEX(INDIRECT("'Выгрузка'!A2452:Z2452"),Настройки!$B$8)&amp;"")</f>
        <v/>
      </c>
      <c r="D2452">
        <f>IFERROR(--SUBSTITUTE(SUBSTITUTE(TRIM(INDEX(INDIRECT("'Выгрузка'!A2452:Z2452"),Настройки!$B$10)),",","."),".",MID(1/2,2,1)),"")</f>
        <v/>
      </c>
      <c r="E2452">
        <f>IFERROR(--SUBSTITUTE(SUBSTITUTE(TRIM(INDEX(INDIRECT("'Выгрузка'!A2452:Z2452"),Настройки!$B$11)),",","."),".",MID(1/2,2,1)),"")</f>
        <v/>
      </c>
      <c r="F2452">
        <f>TRIM(INDEX(INDIRECT("'Выгрузка'!A2452:Z2452"),Настройки!$B$12)&amp;"")</f>
        <v/>
      </c>
      <c r="G2452">
        <f>IF(F2452="",0,IF(TRIM(INDEX(INDIRECT("'Выгрузка'!A2452:Z2452"),Настройки!$B$13)&amp;"")="",1,IFERROR(--SUBSTITUTE(SUBSTITUTE(TRIM(INDEX(INDIRECT("'Выгрузка'!A2452:Z2452"),Настройки!$B$13)),",","."),".",MID(1/2,2,1)),"")))</f>
        <v/>
      </c>
      <c r="H2452">
        <f>IF(F2452="",0,IF(COUNTIF(Настройки!$B$17:$B$26,F2452)&gt;0,1,IF(COUNTIF(Настройки!$C$17:$C$26,F2452)&gt;0,2,IF(COUNTIF(Настройки!$D$17:$D$26,F2452)&gt;0,3,0))))</f>
        <v/>
      </c>
      <c r="I2452">
        <f>IF(AND(ISNUMBER(A2452),ISNUMBER(B2452)),A2452*1000+B2452,"")</f>
        <v/>
      </c>
      <c r="J2452">
        <f>IF(I2452="","",IF(COUNTIF(I$2:I2452,I2452)=1,MAX(J$1:J2451)+1,""))</f>
        <v/>
      </c>
    </row>
    <row r="2453">
      <c r="A2453">
        <f>IFERROR(--SUBSTITUTE(SUBSTITUTE(TRIM(INDEX(INDIRECT("'Выгрузка'!A2453:Z2453"),Настройки!$B$7)),",","."),".",MID(1/2,2,1)),"")</f>
        <v/>
      </c>
      <c r="B2453">
        <f>IFERROR(--SUBSTITUTE(SUBSTITUTE(TRIM(INDEX(INDIRECT("'Выгрузка'!A2453:Z2453"),Настройки!$B$9)),",","."),".",MID(1/2,2,1)),"")</f>
        <v/>
      </c>
      <c r="C2453">
        <f>TRIM(INDEX(INDIRECT("'Выгрузка'!A2453:Z2453"),Настройки!$B$8)&amp;"")</f>
        <v/>
      </c>
      <c r="D2453">
        <f>IFERROR(--SUBSTITUTE(SUBSTITUTE(TRIM(INDEX(INDIRECT("'Выгрузка'!A2453:Z2453"),Настройки!$B$10)),",","."),".",MID(1/2,2,1)),"")</f>
        <v/>
      </c>
      <c r="E2453">
        <f>IFERROR(--SUBSTITUTE(SUBSTITUTE(TRIM(INDEX(INDIRECT("'Выгрузка'!A2453:Z2453"),Настройки!$B$11)),",","."),".",MID(1/2,2,1)),"")</f>
        <v/>
      </c>
      <c r="F2453">
        <f>TRIM(INDEX(INDIRECT("'Выгрузка'!A2453:Z2453"),Настройки!$B$12)&amp;"")</f>
        <v/>
      </c>
      <c r="G2453">
        <f>IF(F2453="",0,IF(TRIM(INDEX(INDIRECT("'Выгрузка'!A2453:Z2453"),Настройки!$B$13)&amp;"")="",1,IFERROR(--SUBSTITUTE(SUBSTITUTE(TRIM(INDEX(INDIRECT("'Выгрузка'!A2453:Z2453"),Настройки!$B$13)),",","."),".",MID(1/2,2,1)),"")))</f>
        <v/>
      </c>
      <c r="H2453">
        <f>IF(F2453="",0,IF(COUNTIF(Настройки!$B$17:$B$26,F2453)&gt;0,1,IF(COUNTIF(Настройки!$C$17:$C$26,F2453)&gt;0,2,IF(COUNTIF(Настройки!$D$17:$D$26,F2453)&gt;0,3,0))))</f>
        <v/>
      </c>
      <c r="I2453">
        <f>IF(AND(ISNUMBER(A2453),ISNUMBER(B2453)),A2453*1000+B2453,"")</f>
        <v/>
      </c>
      <c r="J2453">
        <f>IF(I2453="","",IF(COUNTIF(I$2:I2453,I2453)=1,MAX(J$1:J2452)+1,""))</f>
        <v/>
      </c>
    </row>
    <row r="2454">
      <c r="A2454">
        <f>IFERROR(--SUBSTITUTE(SUBSTITUTE(TRIM(INDEX(INDIRECT("'Выгрузка'!A2454:Z2454"),Настройки!$B$7)),",","."),".",MID(1/2,2,1)),"")</f>
        <v/>
      </c>
      <c r="B2454">
        <f>IFERROR(--SUBSTITUTE(SUBSTITUTE(TRIM(INDEX(INDIRECT("'Выгрузка'!A2454:Z2454"),Настройки!$B$9)),",","."),".",MID(1/2,2,1)),"")</f>
        <v/>
      </c>
      <c r="C2454">
        <f>TRIM(INDEX(INDIRECT("'Выгрузка'!A2454:Z2454"),Настройки!$B$8)&amp;"")</f>
        <v/>
      </c>
      <c r="D2454">
        <f>IFERROR(--SUBSTITUTE(SUBSTITUTE(TRIM(INDEX(INDIRECT("'Выгрузка'!A2454:Z2454"),Настройки!$B$10)),",","."),".",MID(1/2,2,1)),"")</f>
        <v/>
      </c>
      <c r="E2454">
        <f>IFERROR(--SUBSTITUTE(SUBSTITUTE(TRIM(INDEX(INDIRECT("'Выгрузка'!A2454:Z2454"),Настройки!$B$11)),",","."),".",MID(1/2,2,1)),"")</f>
        <v/>
      </c>
      <c r="F2454">
        <f>TRIM(INDEX(INDIRECT("'Выгрузка'!A2454:Z2454"),Настройки!$B$12)&amp;"")</f>
        <v/>
      </c>
      <c r="G2454">
        <f>IF(F2454="",0,IF(TRIM(INDEX(INDIRECT("'Выгрузка'!A2454:Z2454"),Настройки!$B$13)&amp;"")="",1,IFERROR(--SUBSTITUTE(SUBSTITUTE(TRIM(INDEX(INDIRECT("'Выгрузка'!A2454:Z2454"),Настройки!$B$13)),",","."),".",MID(1/2,2,1)),"")))</f>
        <v/>
      </c>
      <c r="H2454">
        <f>IF(F2454="",0,IF(COUNTIF(Настройки!$B$17:$B$26,F2454)&gt;0,1,IF(COUNTIF(Настройки!$C$17:$C$26,F2454)&gt;0,2,IF(COUNTIF(Настройки!$D$17:$D$26,F2454)&gt;0,3,0))))</f>
        <v/>
      </c>
      <c r="I2454">
        <f>IF(AND(ISNUMBER(A2454),ISNUMBER(B2454)),A2454*1000+B2454,"")</f>
        <v/>
      </c>
      <c r="J2454">
        <f>IF(I2454="","",IF(COUNTIF(I$2:I2454,I2454)=1,MAX(J$1:J2453)+1,""))</f>
        <v/>
      </c>
    </row>
    <row r="2455">
      <c r="A2455">
        <f>IFERROR(--SUBSTITUTE(SUBSTITUTE(TRIM(INDEX(INDIRECT("'Выгрузка'!A2455:Z2455"),Настройки!$B$7)),",","."),".",MID(1/2,2,1)),"")</f>
        <v/>
      </c>
      <c r="B2455">
        <f>IFERROR(--SUBSTITUTE(SUBSTITUTE(TRIM(INDEX(INDIRECT("'Выгрузка'!A2455:Z2455"),Настройки!$B$9)),",","."),".",MID(1/2,2,1)),"")</f>
        <v/>
      </c>
      <c r="C2455">
        <f>TRIM(INDEX(INDIRECT("'Выгрузка'!A2455:Z2455"),Настройки!$B$8)&amp;"")</f>
        <v/>
      </c>
      <c r="D2455">
        <f>IFERROR(--SUBSTITUTE(SUBSTITUTE(TRIM(INDEX(INDIRECT("'Выгрузка'!A2455:Z2455"),Настройки!$B$10)),",","."),".",MID(1/2,2,1)),"")</f>
        <v/>
      </c>
      <c r="E2455">
        <f>IFERROR(--SUBSTITUTE(SUBSTITUTE(TRIM(INDEX(INDIRECT("'Выгрузка'!A2455:Z2455"),Настройки!$B$11)),",","."),".",MID(1/2,2,1)),"")</f>
        <v/>
      </c>
      <c r="F2455">
        <f>TRIM(INDEX(INDIRECT("'Выгрузка'!A2455:Z2455"),Настройки!$B$12)&amp;"")</f>
        <v/>
      </c>
      <c r="G2455">
        <f>IF(F2455="",0,IF(TRIM(INDEX(INDIRECT("'Выгрузка'!A2455:Z2455"),Настройки!$B$13)&amp;"")="",1,IFERROR(--SUBSTITUTE(SUBSTITUTE(TRIM(INDEX(INDIRECT("'Выгрузка'!A2455:Z2455"),Настройки!$B$13)),",","."),".",MID(1/2,2,1)),"")))</f>
        <v/>
      </c>
      <c r="H2455">
        <f>IF(F2455="",0,IF(COUNTIF(Настройки!$B$17:$B$26,F2455)&gt;0,1,IF(COUNTIF(Настройки!$C$17:$C$26,F2455)&gt;0,2,IF(COUNTIF(Настройки!$D$17:$D$26,F2455)&gt;0,3,0))))</f>
        <v/>
      </c>
      <c r="I2455">
        <f>IF(AND(ISNUMBER(A2455),ISNUMBER(B2455)),A2455*1000+B2455,"")</f>
        <v/>
      </c>
      <c r="J2455">
        <f>IF(I2455="","",IF(COUNTIF(I$2:I2455,I2455)=1,MAX(J$1:J2454)+1,""))</f>
        <v/>
      </c>
    </row>
    <row r="2456">
      <c r="A2456">
        <f>IFERROR(--SUBSTITUTE(SUBSTITUTE(TRIM(INDEX(INDIRECT("'Выгрузка'!A2456:Z2456"),Настройки!$B$7)),",","."),".",MID(1/2,2,1)),"")</f>
        <v/>
      </c>
      <c r="B2456">
        <f>IFERROR(--SUBSTITUTE(SUBSTITUTE(TRIM(INDEX(INDIRECT("'Выгрузка'!A2456:Z2456"),Настройки!$B$9)),",","."),".",MID(1/2,2,1)),"")</f>
        <v/>
      </c>
      <c r="C2456">
        <f>TRIM(INDEX(INDIRECT("'Выгрузка'!A2456:Z2456"),Настройки!$B$8)&amp;"")</f>
        <v/>
      </c>
      <c r="D2456">
        <f>IFERROR(--SUBSTITUTE(SUBSTITUTE(TRIM(INDEX(INDIRECT("'Выгрузка'!A2456:Z2456"),Настройки!$B$10)),",","."),".",MID(1/2,2,1)),"")</f>
        <v/>
      </c>
      <c r="E2456">
        <f>IFERROR(--SUBSTITUTE(SUBSTITUTE(TRIM(INDEX(INDIRECT("'Выгрузка'!A2456:Z2456"),Настройки!$B$11)),",","."),".",MID(1/2,2,1)),"")</f>
        <v/>
      </c>
      <c r="F2456">
        <f>TRIM(INDEX(INDIRECT("'Выгрузка'!A2456:Z2456"),Настройки!$B$12)&amp;"")</f>
        <v/>
      </c>
      <c r="G2456">
        <f>IF(F2456="",0,IF(TRIM(INDEX(INDIRECT("'Выгрузка'!A2456:Z2456"),Настройки!$B$13)&amp;"")="",1,IFERROR(--SUBSTITUTE(SUBSTITUTE(TRIM(INDEX(INDIRECT("'Выгрузка'!A2456:Z2456"),Настройки!$B$13)),",","."),".",MID(1/2,2,1)),"")))</f>
        <v/>
      </c>
      <c r="H2456">
        <f>IF(F2456="",0,IF(COUNTIF(Настройки!$B$17:$B$26,F2456)&gt;0,1,IF(COUNTIF(Настройки!$C$17:$C$26,F2456)&gt;0,2,IF(COUNTIF(Настройки!$D$17:$D$26,F2456)&gt;0,3,0))))</f>
        <v/>
      </c>
      <c r="I2456">
        <f>IF(AND(ISNUMBER(A2456),ISNUMBER(B2456)),A2456*1000+B2456,"")</f>
        <v/>
      </c>
      <c r="J2456">
        <f>IF(I2456="","",IF(COUNTIF(I$2:I2456,I2456)=1,MAX(J$1:J2455)+1,""))</f>
        <v/>
      </c>
    </row>
    <row r="2457">
      <c r="A2457">
        <f>IFERROR(--SUBSTITUTE(SUBSTITUTE(TRIM(INDEX(INDIRECT("'Выгрузка'!A2457:Z2457"),Настройки!$B$7)),",","."),".",MID(1/2,2,1)),"")</f>
        <v/>
      </c>
      <c r="B2457">
        <f>IFERROR(--SUBSTITUTE(SUBSTITUTE(TRIM(INDEX(INDIRECT("'Выгрузка'!A2457:Z2457"),Настройки!$B$9)),",","."),".",MID(1/2,2,1)),"")</f>
        <v/>
      </c>
      <c r="C2457">
        <f>TRIM(INDEX(INDIRECT("'Выгрузка'!A2457:Z2457"),Настройки!$B$8)&amp;"")</f>
        <v/>
      </c>
      <c r="D2457">
        <f>IFERROR(--SUBSTITUTE(SUBSTITUTE(TRIM(INDEX(INDIRECT("'Выгрузка'!A2457:Z2457"),Настройки!$B$10)),",","."),".",MID(1/2,2,1)),"")</f>
        <v/>
      </c>
      <c r="E2457">
        <f>IFERROR(--SUBSTITUTE(SUBSTITUTE(TRIM(INDEX(INDIRECT("'Выгрузка'!A2457:Z2457"),Настройки!$B$11)),",","."),".",MID(1/2,2,1)),"")</f>
        <v/>
      </c>
      <c r="F2457">
        <f>TRIM(INDEX(INDIRECT("'Выгрузка'!A2457:Z2457"),Настройки!$B$12)&amp;"")</f>
        <v/>
      </c>
      <c r="G2457">
        <f>IF(F2457="",0,IF(TRIM(INDEX(INDIRECT("'Выгрузка'!A2457:Z2457"),Настройки!$B$13)&amp;"")="",1,IFERROR(--SUBSTITUTE(SUBSTITUTE(TRIM(INDEX(INDIRECT("'Выгрузка'!A2457:Z2457"),Настройки!$B$13)),",","."),".",MID(1/2,2,1)),"")))</f>
        <v/>
      </c>
      <c r="H2457">
        <f>IF(F2457="",0,IF(COUNTIF(Настройки!$B$17:$B$26,F2457)&gt;0,1,IF(COUNTIF(Настройки!$C$17:$C$26,F2457)&gt;0,2,IF(COUNTIF(Настройки!$D$17:$D$26,F2457)&gt;0,3,0))))</f>
        <v/>
      </c>
      <c r="I2457">
        <f>IF(AND(ISNUMBER(A2457),ISNUMBER(B2457)),A2457*1000+B2457,"")</f>
        <v/>
      </c>
      <c r="J2457">
        <f>IF(I2457="","",IF(COUNTIF(I$2:I2457,I2457)=1,MAX(J$1:J2456)+1,""))</f>
        <v/>
      </c>
    </row>
    <row r="2458">
      <c r="A2458">
        <f>IFERROR(--SUBSTITUTE(SUBSTITUTE(TRIM(INDEX(INDIRECT("'Выгрузка'!A2458:Z2458"),Настройки!$B$7)),",","."),".",MID(1/2,2,1)),"")</f>
        <v/>
      </c>
      <c r="B2458">
        <f>IFERROR(--SUBSTITUTE(SUBSTITUTE(TRIM(INDEX(INDIRECT("'Выгрузка'!A2458:Z2458"),Настройки!$B$9)),",","."),".",MID(1/2,2,1)),"")</f>
        <v/>
      </c>
      <c r="C2458">
        <f>TRIM(INDEX(INDIRECT("'Выгрузка'!A2458:Z2458"),Настройки!$B$8)&amp;"")</f>
        <v/>
      </c>
      <c r="D2458">
        <f>IFERROR(--SUBSTITUTE(SUBSTITUTE(TRIM(INDEX(INDIRECT("'Выгрузка'!A2458:Z2458"),Настройки!$B$10)),",","."),".",MID(1/2,2,1)),"")</f>
        <v/>
      </c>
      <c r="E2458">
        <f>IFERROR(--SUBSTITUTE(SUBSTITUTE(TRIM(INDEX(INDIRECT("'Выгрузка'!A2458:Z2458"),Настройки!$B$11)),",","."),".",MID(1/2,2,1)),"")</f>
        <v/>
      </c>
      <c r="F2458">
        <f>TRIM(INDEX(INDIRECT("'Выгрузка'!A2458:Z2458"),Настройки!$B$12)&amp;"")</f>
        <v/>
      </c>
      <c r="G2458">
        <f>IF(F2458="",0,IF(TRIM(INDEX(INDIRECT("'Выгрузка'!A2458:Z2458"),Настройки!$B$13)&amp;"")="",1,IFERROR(--SUBSTITUTE(SUBSTITUTE(TRIM(INDEX(INDIRECT("'Выгрузка'!A2458:Z2458"),Настройки!$B$13)),",","."),".",MID(1/2,2,1)),"")))</f>
        <v/>
      </c>
      <c r="H2458">
        <f>IF(F2458="",0,IF(COUNTIF(Настройки!$B$17:$B$26,F2458)&gt;0,1,IF(COUNTIF(Настройки!$C$17:$C$26,F2458)&gt;0,2,IF(COUNTIF(Настройки!$D$17:$D$26,F2458)&gt;0,3,0))))</f>
        <v/>
      </c>
      <c r="I2458">
        <f>IF(AND(ISNUMBER(A2458),ISNUMBER(B2458)),A2458*1000+B2458,"")</f>
        <v/>
      </c>
      <c r="J2458">
        <f>IF(I2458="","",IF(COUNTIF(I$2:I2458,I2458)=1,MAX(J$1:J2457)+1,""))</f>
        <v/>
      </c>
    </row>
    <row r="2459">
      <c r="A2459">
        <f>IFERROR(--SUBSTITUTE(SUBSTITUTE(TRIM(INDEX(INDIRECT("'Выгрузка'!A2459:Z2459"),Настройки!$B$7)),",","."),".",MID(1/2,2,1)),"")</f>
        <v/>
      </c>
      <c r="B2459">
        <f>IFERROR(--SUBSTITUTE(SUBSTITUTE(TRIM(INDEX(INDIRECT("'Выгрузка'!A2459:Z2459"),Настройки!$B$9)),",","."),".",MID(1/2,2,1)),"")</f>
        <v/>
      </c>
      <c r="C2459">
        <f>TRIM(INDEX(INDIRECT("'Выгрузка'!A2459:Z2459"),Настройки!$B$8)&amp;"")</f>
        <v/>
      </c>
      <c r="D2459">
        <f>IFERROR(--SUBSTITUTE(SUBSTITUTE(TRIM(INDEX(INDIRECT("'Выгрузка'!A2459:Z2459"),Настройки!$B$10)),",","."),".",MID(1/2,2,1)),"")</f>
        <v/>
      </c>
      <c r="E2459">
        <f>IFERROR(--SUBSTITUTE(SUBSTITUTE(TRIM(INDEX(INDIRECT("'Выгрузка'!A2459:Z2459"),Настройки!$B$11)),",","."),".",MID(1/2,2,1)),"")</f>
        <v/>
      </c>
      <c r="F2459">
        <f>TRIM(INDEX(INDIRECT("'Выгрузка'!A2459:Z2459"),Настройки!$B$12)&amp;"")</f>
        <v/>
      </c>
      <c r="G2459">
        <f>IF(F2459="",0,IF(TRIM(INDEX(INDIRECT("'Выгрузка'!A2459:Z2459"),Настройки!$B$13)&amp;"")="",1,IFERROR(--SUBSTITUTE(SUBSTITUTE(TRIM(INDEX(INDIRECT("'Выгрузка'!A2459:Z2459"),Настройки!$B$13)),",","."),".",MID(1/2,2,1)),"")))</f>
        <v/>
      </c>
      <c r="H2459">
        <f>IF(F2459="",0,IF(COUNTIF(Настройки!$B$17:$B$26,F2459)&gt;0,1,IF(COUNTIF(Настройки!$C$17:$C$26,F2459)&gt;0,2,IF(COUNTIF(Настройки!$D$17:$D$26,F2459)&gt;0,3,0))))</f>
        <v/>
      </c>
      <c r="I2459">
        <f>IF(AND(ISNUMBER(A2459),ISNUMBER(B2459)),A2459*1000+B2459,"")</f>
        <v/>
      </c>
      <c r="J2459">
        <f>IF(I2459="","",IF(COUNTIF(I$2:I2459,I2459)=1,MAX(J$1:J2458)+1,""))</f>
        <v/>
      </c>
    </row>
    <row r="2460">
      <c r="A2460">
        <f>IFERROR(--SUBSTITUTE(SUBSTITUTE(TRIM(INDEX(INDIRECT("'Выгрузка'!A2460:Z2460"),Настройки!$B$7)),",","."),".",MID(1/2,2,1)),"")</f>
        <v/>
      </c>
      <c r="B2460">
        <f>IFERROR(--SUBSTITUTE(SUBSTITUTE(TRIM(INDEX(INDIRECT("'Выгрузка'!A2460:Z2460"),Настройки!$B$9)),",","."),".",MID(1/2,2,1)),"")</f>
        <v/>
      </c>
      <c r="C2460">
        <f>TRIM(INDEX(INDIRECT("'Выгрузка'!A2460:Z2460"),Настройки!$B$8)&amp;"")</f>
        <v/>
      </c>
      <c r="D2460">
        <f>IFERROR(--SUBSTITUTE(SUBSTITUTE(TRIM(INDEX(INDIRECT("'Выгрузка'!A2460:Z2460"),Настройки!$B$10)),",","."),".",MID(1/2,2,1)),"")</f>
        <v/>
      </c>
      <c r="E2460">
        <f>IFERROR(--SUBSTITUTE(SUBSTITUTE(TRIM(INDEX(INDIRECT("'Выгрузка'!A2460:Z2460"),Настройки!$B$11)),",","."),".",MID(1/2,2,1)),"")</f>
        <v/>
      </c>
      <c r="F2460">
        <f>TRIM(INDEX(INDIRECT("'Выгрузка'!A2460:Z2460"),Настройки!$B$12)&amp;"")</f>
        <v/>
      </c>
      <c r="G2460">
        <f>IF(F2460="",0,IF(TRIM(INDEX(INDIRECT("'Выгрузка'!A2460:Z2460"),Настройки!$B$13)&amp;"")="",1,IFERROR(--SUBSTITUTE(SUBSTITUTE(TRIM(INDEX(INDIRECT("'Выгрузка'!A2460:Z2460"),Настройки!$B$13)),",","."),".",MID(1/2,2,1)),"")))</f>
        <v/>
      </c>
      <c r="H2460">
        <f>IF(F2460="",0,IF(COUNTIF(Настройки!$B$17:$B$26,F2460)&gt;0,1,IF(COUNTIF(Настройки!$C$17:$C$26,F2460)&gt;0,2,IF(COUNTIF(Настройки!$D$17:$D$26,F2460)&gt;0,3,0))))</f>
        <v/>
      </c>
      <c r="I2460">
        <f>IF(AND(ISNUMBER(A2460),ISNUMBER(B2460)),A2460*1000+B2460,"")</f>
        <v/>
      </c>
      <c r="J2460">
        <f>IF(I2460="","",IF(COUNTIF(I$2:I2460,I2460)=1,MAX(J$1:J2459)+1,""))</f>
        <v/>
      </c>
    </row>
    <row r="2461">
      <c r="A2461">
        <f>IFERROR(--SUBSTITUTE(SUBSTITUTE(TRIM(INDEX(INDIRECT("'Выгрузка'!A2461:Z2461"),Настройки!$B$7)),",","."),".",MID(1/2,2,1)),"")</f>
        <v/>
      </c>
      <c r="B2461">
        <f>IFERROR(--SUBSTITUTE(SUBSTITUTE(TRIM(INDEX(INDIRECT("'Выгрузка'!A2461:Z2461"),Настройки!$B$9)),",","."),".",MID(1/2,2,1)),"")</f>
        <v/>
      </c>
      <c r="C2461">
        <f>TRIM(INDEX(INDIRECT("'Выгрузка'!A2461:Z2461"),Настройки!$B$8)&amp;"")</f>
        <v/>
      </c>
      <c r="D2461">
        <f>IFERROR(--SUBSTITUTE(SUBSTITUTE(TRIM(INDEX(INDIRECT("'Выгрузка'!A2461:Z2461"),Настройки!$B$10)),",","."),".",MID(1/2,2,1)),"")</f>
        <v/>
      </c>
      <c r="E2461">
        <f>IFERROR(--SUBSTITUTE(SUBSTITUTE(TRIM(INDEX(INDIRECT("'Выгрузка'!A2461:Z2461"),Настройки!$B$11)),",","."),".",MID(1/2,2,1)),"")</f>
        <v/>
      </c>
      <c r="F2461">
        <f>TRIM(INDEX(INDIRECT("'Выгрузка'!A2461:Z2461"),Настройки!$B$12)&amp;"")</f>
        <v/>
      </c>
      <c r="G2461">
        <f>IF(F2461="",0,IF(TRIM(INDEX(INDIRECT("'Выгрузка'!A2461:Z2461"),Настройки!$B$13)&amp;"")="",1,IFERROR(--SUBSTITUTE(SUBSTITUTE(TRIM(INDEX(INDIRECT("'Выгрузка'!A2461:Z2461"),Настройки!$B$13)),",","."),".",MID(1/2,2,1)),"")))</f>
        <v/>
      </c>
      <c r="H2461">
        <f>IF(F2461="",0,IF(COUNTIF(Настройки!$B$17:$B$26,F2461)&gt;0,1,IF(COUNTIF(Настройки!$C$17:$C$26,F2461)&gt;0,2,IF(COUNTIF(Настройки!$D$17:$D$26,F2461)&gt;0,3,0))))</f>
        <v/>
      </c>
      <c r="I2461">
        <f>IF(AND(ISNUMBER(A2461),ISNUMBER(B2461)),A2461*1000+B2461,"")</f>
        <v/>
      </c>
      <c r="J2461">
        <f>IF(I2461="","",IF(COUNTIF(I$2:I2461,I2461)=1,MAX(J$1:J2460)+1,""))</f>
        <v/>
      </c>
    </row>
    <row r="2462">
      <c r="A2462">
        <f>IFERROR(--SUBSTITUTE(SUBSTITUTE(TRIM(INDEX(INDIRECT("'Выгрузка'!A2462:Z2462"),Настройки!$B$7)),",","."),".",MID(1/2,2,1)),"")</f>
        <v/>
      </c>
      <c r="B2462">
        <f>IFERROR(--SUBSTITUTE(SUBSTITUTE(TRIM(INDEX(INDIRECT("'Выгрузка'!A2462:Z2462"),Настройки!$B$9)),",","."),".",MID(1/2,2,1)),"")</f>
        <v/>
      </c>
      <c r="C2462">
        <f>TRIM(INDEX(INDIRECT("'Выгрузка'!A2462:Z2462"),Настройки!$B$8)&amp;"")</f>
        <v/>
      </c>
      <c r="D2462">
        <f>IFERROR(--SUBSTITUTE(SUBSTITUTE(TRIM(INDEX(INDIRECT("'Выгрузка'!A2462:Z2462"),Настройки!$B$10)),",","."),".",MID(1/2,2,1)),"")</f>
        <v/>
      </c>
      <c r="E2462">
        <f>IFERROR(--SUBSTITUTE(SUBSTITUTE(TRIM(INDEX(INDIRECT("'Выгрузка'!A2462:Z2462"),Настройки!$B$11)),",","."),".",MID(1/2,2,1)),"")</f>
        <v/>
      </c>
      <c r="F2462">
        <f>TRIM(INDEX(INDIRECT("'Выгрузка'!A2462:Z2462"),Настройки!$B$12)&amp;"")</f>
        <v/>
      </c>
      <c r="G2462">
        <f>IF(F2462="",0,IF(TRIM(INDEX(INDIRECT("'Выгрузка'!A2462:Z2462"),Настройки!$B$13)&amp;"")="",1,IFERROR(--SUBSTITUTE(SUBSTITUTE(TRIM(INDEX(INDIRECT("'Выгрузка'!A2462:Z2462"),Настройки!$B$13)),",","."),".",MID(1/2,2,1)),"")))</f>
        <v/>
      </c>
      <c r="H2462">
        <f>IF(F2462="",0,IF(COUNTIF(Настройки!$B$17:$B$26,F2462)&gt;0,1,IF(COUNTIF(Настройки!$C$17:$C$26,F2462)&gt;0,2,IF(COUNTIF(Настройки!$D$17:$D$26,F2462)&gt;0,3,0))))</f>
        <v/>
      </c>
      <c r="I2462">
        <f>IF(AND(ISNUMBER(A2462),ISNUMBER(B2462)),A2462*1000+B2462,"")</f>
        <v/>
      </c>
      <c r="J2462">
        <f>IF(I2462="","",IF(COUNTIF(I$2:I2462,I2462)=1,MAX(J$1:J2461)+1,""))</f>
        <v/>
      </c>
    </row>
    <row r="2463">
      <c r="A2463">
        <f>IFERROR(--SUBSTITUTE(SUBSTITUTE(TRIM(INDEX(INDIRECT("'Выгрузка'!A2463:Z2463"),Настройки!$B$7)),",","."),".",MID(1/2,2,1)),"")</f>
        <v/>
      </c>
      <c r="B2463">
        <f>IFERROR(--SUBSTITUTE(SUBSTITUTE(TRIM(INDEX(INDIRECT("'Выгрузка'!A2463:Z2463"),Настройки!$B$9)),",","."),".",MID(1/2,2,1)),"")</f>
        <v/>
      </c>
      <c r="C2463">
        <f>TRIM(INDEX(INDIRECT("'Выгрузка'!A2463:Z2463"),Настройки!$B$8)&amp;"")</f>
        <v/>
      </c>
      <c r="D2463">
        <f>IFERROR(--SUBSTITUTE(SUBSTITUTE(TRIM(INDEX(INDIRECT("'Выгрузка'!A2463:Z2463"),Настройки!$B$10)),",","."),".",MID(1/2,2,1)),"")</f>
        <v/>
      </c>
      <c r="E2463">
        <f>IFERROR(--SUBSTITUTE(SUBSTITUTE(TRIM(INDEX(INDIRECT("'Выгрузка'!A2463:Z2463"),Настройки!$B$11)),",","."),".",MID(1/2,2,1)),"")</f>
        <v/>
      </c>
      <c r="F2463">
        <f>TRIM(INDEX(INDIRECT("'Выгрузка'!A2463:Z2463"),Настройки!$B$12)&amp;"")</f>
        <v/>
      </c>
      <c r="G2463">
        <f>IF(F2463="",0,IF(TRIM(INDEX(INDIRECT("'Выгрузка'!A2463:Z2463"),Настройки!$B$13)&amp;"")="",1,IFERROR(--SUBSTITUTE(SUBSTITUTE(TRIM(INDEX(INDIRECT("'Выгрузка'!A2463:Z2463"),Настройки!$B$13)),",","."),".",MID(1/2,2,1)),"")))</f>
        <v/>
      </c>
      <c r="H2463">
        <f>IF(F2463="",0,IF(COUNTIF(Настройки!$B$17:$B$26,F2463)&gt;0,1,IF(COUNTIF(Настройки!$C$17:$C$26,F2463)&gt;0,2,IF(COUNTIF(Настройки!$D$17:$D$26,F2463)&gt;0,3,0))))</f>
        <v/>
      </c>
      <c r="I2463">
        <f>IF(AND(ISNUMBER(A2463),ISNUMBER(B2463)),A2463*1000+B2463,"")</f>
        <v/>
      </c>
      <c r="J2463">
        <f>IF(I2463="","",IF(COUNTIF(I$2:I2463,I2463)=1,MAX(J$1:J2462)+1,""))</f>
        <v/>
      </c>
    </row>
    <row r="2464">
      <c r="A2464">
        <f>IFERROR(--SUBSTITUTE(SUBSTITUTE(TRIM(INDEX(INDIRECT("'Выгрузка'!A2464:Z2464"),Настройки!$B$7)),",","."),".",MID(1/2,2,1)),"")</f>
        <v/>
      </c>
      <c r="B2464">
        <f>IFERROR(--SUBSTITUTE(SUBSTITUTE(TRIM(INDEX(INDIRECT("'Выгрузка'!A2464:Z2464"),Настройки!$B$9)),",","."),".",MID(1/2,2,1)),"")</f>
        <v/>
      </c>
      <c r="C2464">
        <f>TRIM(INDEX(INDIRECT("'Выгрузка'!A2464:Z2464"),Настройки!$B$8)&amp;"")</f>
        <v/>
      </c>
      <c r="D2464">
        <f>IFERROR(--SUBSTITUTE(SUBSTITUTE(TRIM(INDEX(INDIRECT("'Выгрузка'!A2464:Z2464"),Настройки!$B$10)),",","."),".",MID(1/2,2,1)),"")</f>
        <v/>
      </c>
      <c r="E2464">
        <f>IFERROR(--SUBSTITUTE(SUBSTITUTE(TRIM(INDEX(INDIRECT("'Выгрузка'!A2464:Z2464"),Настройки!$B$11)),",","."),".",MID(1/2,2,1)),"")</f>
        <v/>
      </c>
      <c r="F2464">
        <f>TRIM(INDEX(INDIRECT("'Выгрузка'!A2464:Z2464"),Настройки!$B$12)&amp;"")</f>
        <v/>
      </c>
      <c r="G2464">
        <f>IF(F2464="",0,IF(TRIM(INDEX(INDIRECT("'Выгрузка'!A2464:Z2464"),Настройки!$B$13)&amp;"")="",1,IFERROR(--SUBSTITUTE(SUBSTITUTE(TRIM(INDEX(INDIRECT("'Выгрузка'!A2464:Z2464"),Настройки!$B$13)),",","."),".",MID(1/2,2,1)),"")))</f>
        <v/>
      </c>
      <c r="H2464">
        <f>IF(F2464="",0,IF(COUNTIF(Настройки!$B$17:$B$26,F2464)&gt;0,1,IF(COUNTIF(Настройки!$C$17:$C$26,F2464)&gt;0,2,IF(COUNTIF(Настройки!$D$17:$D$26,F2464)&gt;0,3,0))))</f>
        <v/>
      </c>
      <c r="I2464">
        <f>IF(AND(ISNUMBER(A2464),ISNUMBER(B2464)),A2464*1000+B2464,"")</f>
        <v/>
      </c>
      <c r="J2464">
        <f>IF(I2464="","",IF(COUNTIF(I$2:I2464,I2464)=1,MAX(J$1:J2463)+1,""))</f>
        <v/>
      </c>
    </row>
    <row r="2465">
      <c r="A2465">
        <f>IFERROR(--SUBSTITUTE(SUBSTITUTE(TRIM(INDEX(INDIRECT("'Выгрузка'!A2465:Z2465"),Настройки!$B$7)),",","."),".",MID(1/2,2,1)),"")</f>
        <v/>
      </c>
      <c r="B2465">
        <f>IFERROR(--SUBSTITUTE(SUBSTITUTE(TRIM(INDEX(INDIRECT("'Выгрузка'!A2465:Z2465"),Настройки!$B$9)),",","."),".",MID(1/2,2,1)),"")</f>
        <v/>
      </c>
      <c r="C2465">
        <f>TRIM(INDEX(INDIRECT("'Выгрузка'!A2465:Z2465"),Настройки!$B$8)&amp;"")</f>
        <v/>
      </c>
      <c r="D2465">
        <f>IFERROR(--SUBSTITUTE(SUBSTITUTE(TRIM(INDEX(INDIRECT("'Выгрузка'!A2465:Z2465"),Настройки!$B$10)),",","."),".",MID(1/2,2,1)),"")</f>
        <v/>
      </c>
      <c r="E2465">
        <f>IFERROR(--SUBSTITUTE(SUBSTITUTE(TRIM(INDEX(INDIRECT("'Выгрузка'!A2465:Z2465"),Настройки!$B$11)),",","."),".",MID(1/2,2,1)),"")</f>
        <v/>
      </c>
      <c r="F2465">
        <f>TRIM(INDEX(INDIRECT("'Выгрузка'!A2465:Z2465"),Настройки!$B$12)&amp;"")</f>
        <v/>
      </c>
      <c r="G2465">
        <f>IF(F2465="",0,IF(TRIM(INDEX(INDIRECT("'Выгрузка'!A2465:Z2465"),Настройки!$B$13)&amp;"")="",1,IFERROR(--SUBSTITUTE(SUBSTITUTE(TRIM(INDEX(INDIRECT("'Выгрузка'!A2465:Z2465"),Настройки!$B$13)),",","."),".",MID(1/2,2,1)),"")))</f>
        <v/>
      </c>
      <c r="H2465">
        <f>IF(F2465="",0,IF(COUNTIF(Настройки!$B$17:$B$26,F2465)&gt;0,1,IF(COUNTIF(Настройки!$C$17:$C$26,F2465)&gt;0,2,IF(COUNTIF(Настройки!$D$17:$D$26,F2465)&gt;0,3,0))))</f>
        <v/>
      </c>
      <c r="I2465">
        <f>IF(AND(ISNUMBER(A2465),ISNUMBER(B2465)),A2465*1000+B2465,"")</f>
        <v/>
      </c>
      <c r="J2465">
        <f>IF(I2465="","",IF(COUNTIF(I$2:I2465,I2465)=1,MAX(J$1:J2464)+1,""))</f>
        <v/>
      </c>
    </row>
    <row r="2466">
      <c r="A2466">
        <f>IFERROR(--SUBSTITUTE(SUBSTITUTE(TRIM(INDEX(INDIRECT("'Выгрузка'!A2466:Z2466"),Настройки!$B$7)),",","."),".",MID(1/2,2,1)),"")</f>
        <v/>
      </c>
      <c r="B2466">
        <f>IFERROR(--SUBSTITUTE(SUBSTITUTE(TRIM(INDEX(INDIRECT("'Выгрузка'!A2466:Z2466"),Настройки!$B$9)),",","."),".",MID(1/2,2,1)),"")</f>
        <v/>
      </c>
      <c r="C2466">
        <f>TRIM(INDEX(INDIRECT("'Выгрузка'!A2466:Z2466"),Настройки!$B$8)&amp;"")</f>
        <v/>
      </c>
      <c r="D2466">
        <f>IFERROR(--SUBSTITUTE(SUBSTITUTE(TRIM(INDEX(INDIRECT("'Выгрузка'!A2466:Z2466"),Настройки!$B$10)),",","."),".",MID(1/2,2,1)),"")</f>
        <v/>
      </c>
      <c r="E2466">
        <f>IFERROR(--SUBSTITUTE(SUBSTITUTE(TRIM(INDEX(INDIRECT("'Выгрузка'!A2466:Z2466"),Настройки!$B$11)),",","."),".",MID(1/2,2,1)),"")</f>
        <v/>
      </c>
      <c r="F2466">
        <f>TRIM(INDEX(INDIRECT("'Выгрузка'!A2466:Z2466"),Настройки!$B$12)&amp;"")</f>
        <v/>
      </c>
      <c r="G2466">
        <f>IF(F2466="",0,IF(TRIM(INDEX(INDIRECT("'Выгрузка'!A2466:Z2466"),Настройки!$B$13)&amp;"")="",1,IFERROR(--SUBSTITUTE(SUBSTITUTE(TRIM(INDEX(INDIRECT("'Выгрузка'!A2466:Z2466"),Настройки!$B$13)),",","."),".",MID(1/2,2,1)),"")))</f>
        <v/>
      </c>
      <c r="H2466">
        <f>IF(F2466="",0,IF(COUNTIF(Настройки!$B$17:$B$26,F2466)&gt;0,1,IF(COUNTIF(Настройки!$C$17:$C$26,F2466)&gt;0,2,IF(COUNTIF(Настройки!$D$17:$D$26,F2466)&gt;0,3,0))))</f>
        <v/>
      </c>
      <c r="I2466">
        <f>IF(AND(ISNUMBER(A2466),ISNUMBER(B2466)),A2466*1000+B2466,"")</f>
        <v/>
      </c>
      <c r="J2466">
        <f>IF(I2466="","",IF(COUNTIF(I$2:I2466,I2466)=1,MAX(J$1:J2465)+1,""))</f>
        <v/>
      </c>
    </row>
    <row r="2467">
      <c r="A2467">
        <f>IFERROR(--SUBSTITUTE(SUBSTITUTE(TRIM(INDEX(INDIRECT("'Выгрузка'!A2467:Z2467"),Настройки!$B$7)),",","."),".",MID(1/2,2,1)),"")</f>
        <v/>
      </c>
      <c r="B2467">
        <f>IFERROR(--SUBSTITUTE(SUBSTITUTE(TRIM(INDEX(INDIRECT("'Выгрузка'!A2467:Z2467"),Настройки!$B$9)),",","."),".",MID(1/2,2,1)),"")</f>
        <v/>
      </c>
      <c r="C2467">
        <f>TRIM(INDEX(INDIRECT("'Выгрузка'!A2467:Z2467"),Настройки!$B$8)&amp;"")</f>
        <v/>
      </c>
      <c r="D2467">
        <f>IFERROR(--SUBSTITUTE(SUBSTITUTE(TRIM(INDEX(INDIRECT("'Выгрузка'!A2467:Z2467"),Настройки!$B$10)),",","."),".",MID(1/2,2,1)),"")</f>
        <v/>
      </c>
      <c r="E2467">
        <f>IFERROR(--SUBSTITUTE(SUBSTITUTE(TRIM(INDEX(INDIRECT("'Выгрузка'!A2467:Z2467"),Настройки!$B$11)),",","."),".",MID(1/2,2,1)),"")</f>
        <v/>
      </c>
      <c r="F2467">
        <f>TRIM(INDEX(INDIRECT("'Выгрузка'!A2467:Z2467"),Настройки!$B$12)&amp;"")</f>
        <v/>
      </c>
      <c r="G2467">
        <f>IF(F2467="",0,IF(TRIM(INDEX(INDIRECT("'Выгрузка'!A2467:Z2467"),Настройки!$B$13)&amp;"")="",1,IFERROR(--SUBSTITUTE(SUBSTITUTE(TRIM(INDEX(INDIRECT("'Выгрузка'!A2467:Z2467"),Настройки!$B$13)),",","."),".",MID(1/2,2,1)),"")))</f>
        <v/>
      </c>
      <c r="H2467">
        <f>IF(F2467="",0,IF(COUNTIF(Настройки!$B$17:$B$26,F2467)&gt;0,1,IF(COUNTIF(Настройки!$C$17:$C$26,F2467)&gt;0,2,IF(COUNTIF(Настройки!$D$17:$D$26,F2467)&gt;0,3,0))))</f>
        <v/>
      </c>
      <c r="I2467">
        <f>IF(AND(ISNUMBER(A2467),ISNUMBER(B2467)),A2467*1000+B2467,"")</f>
        <v/>
      </c>
      <c r="J2467">
        <f>IF(I2467="","",IF(COUNTIF(I$2:I2467,I2467)=1,MAX(J$1:J2466)+1,""))</f>
        <v/>
      </c>
    </row>
    <row r="2468">
      <c r="A2468">
        <f>IFERROR(--SUBSTITUTE(SUBSTITUTE(TRIM(INDEX(INDIRECT("'Выгрузка'!A2468:Z2468"),Настройки!$B$7)),",","."),".",MID(1/2,2,1)),"")</f>
        <v/>
      </c>
      <c r="B2468">
        <f>IFERROR(--SUBSTITUTE(SUBSTITUTE(TRIM(INDEX(INDIRECT("'Выгрузка'!A2468:Z2468"),Настройки!$B$9)),",","."),".",MID(1/2,2,1)),"")</f>
        <v/>
      </c>
      <c r="C2468">
        <f>TRIM(INDEX(INDIRECT("'Выгрузка'!A2468:Z2468"),Настройки!$B$8)&amp;"")</f>
        <v/>
      </c>
      <c r="D2468">
        <f>IFERROR(--SUBSTITUTE(SUBSTITUTE(TRIM(INDEX(INDIRECT("'Выгрузка'!A2468:Z2468"),Настройки!$B$10)),",","."),".",MID(1/2,2,1)),"")</f>
        <v/>
      </c>
      <c r="E2468">
        <f>IFERROR(--SUBSTITUTE(SUBSTITUTE(TRIM(INDEX(INDIRECT("'Выгрузка'!A2468:Z2468"),Настройки!$B$11)),",","."),".",MID(1/2,2,1)),"")</f>
        <v/>
      </c>
      <c r="F2468">
        <f>TRIM(INDEX(INDIRECT("'Выгрузка'!A2468:Z2468"),Настройки!$B$12)&amp;"")</f>
        <v/>
      </c>
      <c r="G2468">
        <f>IF(F2468="",0,IF(TRIM(INDEX(INDIRECT("'Выгрузка'!A2468:Z2468"),Настройки!$B$13)&amp;"")="",1,IFERROR(--SUBSTITUTE(SUBSTITUTE(TRIM(INDEX(INDIRECT("'Выгрузка'!A2468:Z2468"),Настройки!$B$13)),",","."),".",MID(1/2,2,1)),"")))</f>
        <v/>
      </c>
      <c r="H2468">
        <f>IF(F2468="",0,IF(COUNTIF(Настройки!$B$17:$B$26,F2468)&gt;0,1,IF(COUNTIF(Настройки!$C$17:$C$26,F2468)&gt;0,2,IF(COUNTIF(Настройки!$D$17:$D$26,F2468)&gt;0,3,0))))</f>
        <v/>
      </c>
      <c r="I2468">
        <f>IF(AND(ISNUMBER(A2468),ISNUMBER(B2468)),A2468*1000+B2468,"")</f>
        <v/>
      </c>
      <c r="J2468">
        <f>IF(I2468="","",IF(COUNTIF(I$2:I2468,I2468)=1,MAX(J$1:J2467)+1,""))</f>
        <v/>
      </c>
    </row>
    <row r="2469">
      <c r="A2469">
        <f>IFERROR(--SUBSTITUTE(SUBSTITUTE(TRIM(INDEX(INDIRECT("'Выгрузка'!A2469:Z2469"),Настройки!$B$7)),",","."),".",MID(1/2,2,1)),"")</f>
        <v/>
      </c>
      <c r="B2469">
        <f>IFERROR(--SUBSTITUTE(SUBSTITUTE(TRIM(INDEX(INDIRECT("'Выгрузка'!A2469:Z2469"),Настройки!$B$9)),",","."),".",MID(1/2,2,1)),"")</f>
        <v/>
      </c>
      <c r="C2469">
        <f>TRIM(INDEX(INDIRECT("'Выгрузка'!A2469:Z2469"),Настройки!$B$8)&amp;"")</f>
        <v/>
      </c>
      <c r="D2469">
        <f>IFERROR(--SUBSTITUTE(SUBSTITUTE(TRIM(INDEX(INDIRECT("'Выгрузка'!A2469:Z2469"),Настройки!$B$10)),",","."),".",MID(1/2,2,1)),"")</f>
        <v/>
      </c>
      <c r="E2469">
        <f>IFERROR(--SUBSTITUTE(SUBSTITUTE(TRIM(INDEX(INDIRECT("'Выгрузка'!A2469:Z2469"),Настройки!$B$11)),",","."),".",MID(1/2,2,1)),"")</f>
        <v/>
      </c>
      <c r="F2469">
        <f>TRIM(INDEX(INDIRECT("'Выгрузка'!A2469:Z2469"),Настройки!$B$12)&amp;"")</f>
        <v/>
      </c>
      <c r="G2469">
        <f>IF(F2469="",0,IF(TRIM(INDEX(INDIRECT("'Выгрузка'!A2469:Z2469"),Настройки!$B$13)&amp;"")="",1,IFERROR(--SUBSTITUTE(SUBSTITUTE(TRIM(INDEX(INDIRECT("'Выгрузка'!A2469:Z2469"),Настройки!$B$13)),",","."),".",MID(1/2,2,1)),"")))</f>
        <v/>
      </c>
      <c r="H2469">
        <f>IF(F2469="",0,IF(COUNTIF(Настройки!$B$17:$B$26,F2469)&gt;0,1,IF(COUNTIF(Настройки!$C$17:$C$26,F2469)&gt;0,2,IF(COUNTIF(Настройки!$D$17:$D$26,F2469)&gt;0,3,0))))</f>
        <v/>
      </c>
      <c r="I2469">
        <f>IF(AND(ISNUMBER(A2469),ISNUMBER(B2469)),A2469*1000+B2469,"")</f>
        <v/>
      </c>
      <c r="J2469">
        <f>IF(I2469="","",IF(COUNTIF(I$2:I2469,I2469)=1,MAX(J$1:J2468)+1,""))</f>
        <v/>
      </c>
    </row>
    <row r="2470">
      <c r="A2470">
        <f>IFERROR(--SUBSTITUTE(SUBSTITUTE(TRIM(INDEX(INDIRECT("'Выгрузка'!A2470:Z2470"),Настройки!$B$7)),",","."),".",MID(1/2,2,1)),"")</f>
        <v/>
      </c>
      <c r="B2470">
        <f>IFERROR(--SUBSTITUTE(SUBSTITUTE(TRIM(INDEX(INDIRECT("'Выгрузка'!A2470:Z2470"),Настройки!$B$9)),",","."),".",MID(1/2,2,1)),"")</f>
        <v/>
      </c>
      <c r="C2470">
        <f>TRIM(INDEX(INDIRECT("'Выгрузка'!A2470:Z2470"),Настройки!$B$8)&amp;"")</f>
        <v/>
      </c>
      <c r="D2470">
        <f>IFERROR(--SUBSTITUTE(SUBSTITUTE(TRIM(INDEX(INDIRECT("'Выгрузка'!A2470:Z2470"),Настройки!$B$10)),",","."),".",MID(1/2,2,1)),"")</f>
        <v/>
      </c>
      <c r="E2470">
        <f>IFERROR(--SUBSTITUTE(SUBSTITUTE(TRIM(INDEX(INDIRECT("'Выгрузка'!A2470:Z2470"),Настройки!$B$11)),",","."),".",MID(1/2,2,1)),"")</f>
        <v/>
      </c>
      <c r="F2470">
        <f>TRIM(INDEX(INDIRECT("'Выгрузка'!A2470:Z2470"),Настройки!$B$12)&amp;"")</f>
        <v/>
      </c>
      <c r="G2470">
        <f>IF(F2470="",0,IF(TRIM(INDEX(INDIRECT("'Выгрузка'!A2470:Z2470"),Настройки!$B$13)&amp;"")="",1,IFERROR(--SUBSTITUTE(SUBSTITUTE(TRIM(INDEX(INDIRECT("'Выгрузка'!A2470:Z2470"),Настройки!$B$13)),",","."),".",MID(1/2,2,1)),"")))</f>
        <v/>
      </c>
      <c r="H2470">
        <f>IF(F2470="",0,IF(COUNTIF(Настройки!$B$17:$B$26,F2470)&gt;0,1,IF(COUNTIF(Настройки!$C$17:$C$26,F2470)&gt;0,2,IF(COUNTIF(Настройки!$D$17:$D$26,F2470)&gt;0,3,0))))</f>
        <v/>
      </c>
      <c r="I2470">
        <f>IF(AND(ISNUMBER(A2470),ISNUMBER(B2470)),A2470*1000+B2470,"")</f>
        <v/>
      </c>
      <c r="J2470">
        <f>IF(I2470="","",IF(COUNTIF(I$2:I2470,I2470)=1,MAX(J$1:J2469)+1,""))</f>
        <v/>
      </c>
    </row>
    <row r="2471">
      <c r="A2471">
        <f>IFERROR(--SUBSTITUTE(SUBSTITUTE(TRIM(INDEX(INDIRECT("'Выгрузка'!A2471:Z2471"),Настройки!$B$7)),",","."),".",MID(1/2,2,1)),"")</f>
        <v/>
      </c>
      <c r="B2471">
        <f>IFERROR(--SUBSTITUTE(SUBSTITUTE(TRIM(INDEX(INDIRECT("'Выгрузка'!A2471:Z2471"),Настройки!$B$9)),",","."),".",MID(1/2,2,1)),"")</f>
        <v/>
      </c>
      <c r="C2471">
        <f>TRIM(INDEX(INDIRECT("'Выгрузка'!A2471:Z2471"),Настройки!$B$8)&amp;"")</f>
        <v/>
      </c>
      <c r="D2471">
        <f>IFERROR(--SUBSTITUTE(SUBSTITUTE(TRIM(INDEX(INDIRECT("'Выгрузка'!A2471:Z2471"),Настройки!$B$10)),",","."),".",MID(1/2,2,1)),"")</f>
        <v/>
      </c>
      <c r="E2471">
        <f>IFERROR(--SUBSTITUTE(SUBSTITUTE(TRIM(INDEX(INDIRECT("'Выгрузка'!A2471:Z2471"),Настройки!$B$11)),",","."),".",MID(1/2,2,1)),"")</f>
        <v/>
      </c>
      <c r="F2471">
        <f>TRIM(INDEX(INDIRECT("'Выгрузка'!A2471:Z2471"),Настройки!$B$12)&amp;"")</f>
        <v/>
      </c>
      <c r="G2471">
        <f>IF(F2471="",0,IF(TRIM(INDEX(INDIRECT("'Выгрузка'!A2471:Z2471"),Настройки!$B$13)&amp;"")="",1,IFERROR(--SUBSTITUTE(SUBSTITUTE(TRIM(INDEX(INDIRECT("'Выгрузка'!A2471:Z2471"),Настройки!$B$13)),",","."),".",MID(1/2,2,1)),"")))</f>
        <v/>
      </c>
      <c r="H2471">
        <f>IF(F2471="",0,IF(COUNTIF(Настройки!$B$17:$B$26,F2471)&gt;0,1,IF(COUNTIF(Настройки!$C$17:$C$26,F2471)&gt;0,2,IF(COUNTIF(Настройки!$D$17:$D$26,F2471)&gt;0,3,0))))</f>
        <v/>
      </c>
      <c r="I2471">
        <f>IF(AND(ISNUMBER(A2471),ISNUMBER(B2471)),A2471*1000+B2471,"")</f>
        <v/>
      </c>
      <c r="J2471">
        <f>IF(I2471="","",IF(COUNTIF(I$2:I2471,I2471)=1,MAX(J$1:J2470)+1,""))</f>
        <v/>
      </c>
    </row>
    <row r="2472">
      <c r="A2472">
        <f>IFERROR(--SUBSTITUTE(SUBSTITUTE(TRIM(INDEX(INDIRECT("'Выгрузка'!A2472:Z2472"),Настройки!$B$7)),",","."),".",MID(1/2,2,1)),"")</f>
        <v/>
      </c>
      <c r="B2472">
        <f>IFERROR(--SUBSTITUTE(SUBSTITUTE(TRIM(INDEX(INDIRECT("'Выгрузка'!A2472:Z2472"),Настройки!$B$9)),",","."),".",MID(1/2,2,1)),"")</f>
        <v/>
      </c>
      <c r="C2472">
        <f>TRIM(INDEX(INDIRECT("'Выгрузка'!A2472:Z2472"),Настройки!$B$8)&amp;"")</f>
        <v/>
      </c>
      <c r="D2472">
        <f>IFERROR(--SUBSTITUTE(SUBSTITUTE(TRIM(INDEX(INDIRECT("'Выгрузка'!A2472:Z2472"),Настройки!$B$10)),",","."),".",MID(1/2,2,1)),"")</f>
        <v/>
      </c>
      <c r="E2472">
        <f>IFERROR(--SUBSTITUTE(SUBSTITUTE(TRIM(INDEX(INDIRECT("'Выгрузка'!A2472:Z2472"),Настройки!$B$11)),",","."),".",MID(1/2,2,1)),"")</f>
        <v/>
      </c>
      <c r="F2472">
        <f>TRIM(INDEX(INDIRECT("'Выгрузка'!A2472:Z2472"),Настройки!$B$12)&amp;"")</f>
        <v/>
      </c>
      <c r="G2472">
        <f>IF(F2472="",0,IF(TRIM(INDEX(INDIRECT("'Выгрузка'!A2472:Z2472"),Настройки!$B$13)&amp;"")="",1,IFERROR(--SUBSTITUTE(SUBSTITUTE(TRIM(INDEX(INDIRECT("'Выгрузка'!A2472:Z2472"),Настройки!$B$13)),",","."),".",MID(1/2,2,1)),"")))</f>
        <v/>
      </c>
      <c r="H2472">
        <f>IF(F2472="",0,IF(COUNTIF(Настройки!$B$17:$B$26,F2472)&gt;0,1,IF(COUNTIF(Настройки!$C$17:$C$26,F2472)&gt;0,2,IF(COUNTIF(Настройки!$D$17:$D$26,F2472)&gt;0,3,0))))</f>
        <v/>
      </c>
      <c r="I2472">
        <f>IF(AND(ISNUMBER(A2472),ISNUMBER(B2472)),A2472*1000+B2472,"")</f>
        <v/>
      </c>
      <c r="J2472">
        <f>IF(I2472="","",IF(COUNTIF(I$2:I2472,I2472)=1,MAX(J$1:J2471)+1,""))</f>
        <v/>
      </c>
    </row>
    <row r="2473">
      <c r="A2473">
        <f>IFERROR(--SUBSTITUTE(SUBSTITUTE(TRIM(INDEX(INDIRECT("'Выгрузка'!A2473:Z2473"),Настройки!$B$7)),",","."),".",MID(1/2,2,1)),"")</f>
        <v/>
      </c>
      <c r="B2473">
        <f>IFERROR(--SUBSTITUTE(SUBSTITUTE(TRIM(INDEX(INDIRECT("'Выгрузка'!A2473:Z2473"),Настройки!$B$9)),",","."),".",MID(1/2,2,1)),"")</f>
        <v/>
      </c>
      <c r="C2473">
        <f>TRIM(INDEX(INDIRECT("'Выгрузка'!A2473:Z2473"),Настройки!$B$8)&amp;"")</f>
        <v/>
      </c>
      <c r="D2473">
        <f>IFERROR(--SUBSTITUTE(SUBSTITUTE(TRIM(INDEX(INDIRECT("'Выгрузка'!A2473:Z2473"),Настройки!$B$10)),",","."),".",MID(1/2,2,1)),"")</f>
        <v/>
      </c>
      <c r="E2473">
        <f>IFERROR(--SUBSTITUTE(SUBSTITUTE(TRIM(INDEX(INDIRECT("'Выгрузка'!A2473:Z2473"),Настройки!$B$11)),",","."),".",MID(1/2,2,1)),"")</f>
        <v/>
      </c>
      <c r="F2473">
        <f>TRIM(INDEX(INDIRECT("'Выгрузка'!A2473:Z2473"),Настройки!$B$12)&amp;"")</f>
        <v/>
      </c>
      <c r="G2473">
        <f>IF(F2473="",0,IF(TRIM(INDEX(INDIRECT("'Выгрузка'!A2473:Z2473"),Настройки!$B$13)&amp;"")="",1,IFERROR(--SUBSTITUTE(SUBSTITUTE(TRIM(INDEX(INDIRECT("'Выгрузка'!A2473:Z2473"),Настройки!$B$13)),",","."),".",MID(1/2,2,1)),"")))</f>
        <v/>
      </c>
      <c r="H2473">
        <f>IF(F2473="",0,IF(COUNTIF(Настройки!$B$17:$B$26,F2473)&gt;0,1,IF(COUNTIF(Настройки!$C$17:$C$26,F2473)&gt;0,2,IF(COUNTIF(Настройки!$D$17:$D$26,F2473)&gt;0,3,0))))</f>
        <v/>
      </c>
      <c r="I2473">
        <f>IF(AND(ISNUMBER(A2473),ISNUMBER(B2473)),A2473*1000+B2473,"")</f>
        <v/>
      </c>
      <c r="J2473">
        <f>IF(I2473="","",IF(COUNTIF(I$2:I2473,I2473)=1,MAX(J$1:J2472)+1,""))</f>
        <v/>
      </c>
    </row>
    <row r="2474">
      <c r="A2474">
        <f>IFERROR(--SUBSTITUTE(SUBSTITUTE(TRIM(INDEX(INDIRECT("'Выгрузка'!A2474:Z2474"),Настройки!$B$7)),",","."),".",MID(1/2,2,1)),"")</f>
        <v/>
      </c>
      <c r="B2474">
        <f>IFERROR(--SUBSTITUTE(SUBSTITUTE(TRIM(INDEX(INDIRECT("'Выгрузка'!A2474:Z2474"),Настройки!$B$9)),",","."),".",MID(1/2,2,1)),"")</f>
        <v/>
      </c>
      <c r="C2474">
        <f>TRIM(INDEX(INDIRECT("'Выгрузка'!A2474:Z2474"),Настройки!$B$8)&amp;"")</f>
        <v/>
      </c>
      <c r="D2474">
        <f>IFERROR(--SUBSTITUTE(SUBSTITUTE(TRIM(INDEX(INDIRECT("'Выгрузка'!A2474:Z2474"),Настройки!$B$10)),",","."),".",MID(1/2,2,1)),"")</f>
        <v/>
      </c>
      <c r="E2474">
        <f>IFERROR(--SUBSTITUTE(SUBSTITUTE(TRIM(INDEX(INDIRECT("'Выгрузка'!A2474:Z2474"),Настройки!$B$11)),",","."),".",MID(1/2,2,1)),"")</f>
        <v/>
      </c>
      <c r="F2474">
        <f>TRIM(INDEX(INDIRECT("'Выгрузка'!A2474:Z2474"),Настройки!$B$12)&amp;"")</f>
        <v/>
      </c>
      <c r="G2474">
        <f>IF(F2474="",0,IF(TRIM(INDEX(INDIRECT("'Выгрузка'!A2474:Z2474"),Настройки!$B$13)&amp;"")="",1,IFERROR(--SUBSTITUTE(SUBSTITUTE(TRIM(INDEX(INDIRECT("'Выгрузка'!A2474:Z2474"),Настройки!$B$13)),",","."),".",MID(1/2,2,1)),"")))</f>
        <v/>
      </c>
      <c r="H2474">
        <f>IF(F2474="",0,IF(COUNTIF(Настройки!$B$17:$B$26,F2474)&gt;0,1,IF(COUNTIF(Настройки!$C$17:$C$26,F2474)&gt;0,2,IF(COUNTIF(Настройки!$D$17:$D$26,F2474)&gt;0,3,0))))</f>
        <v/>
      </c>
      <c r="I2474">
        <f>IF(AND(ISNUMBER(A2474),ISNUMBER(B2474)),A2474*1000+B2474,"")</f>
        <v/>
      </c>
      <c r="J2474">
        <f>IF(I2474="","",IF(COUNTIF(I$2:I2474,I2474)=1,MAX(J$1:J2473)+1,""))</f>
        <v/>
      </c>
    </row>
    <row r="2475">
      <c r="A2475">
        <f>IFERROR(--SUBSTITUTE(SUBSTITUTE(TRIM(INDEX(INDIRECT("'Выгрузка'!A2475:Z2475"),Настройки!$B$7)),",","."),".",MID(1/2,2,1)),"")</f>
        <v/>
      </c>
      <c r="B2475">
        <f>IFERROR(--SUBSTITUTE(SUBSTITUTE(TRIM(INDEX(INDIRECT("'Выгрузка'!A2475:Z2475"),Настройки!$B$9)),",","."),".",MID(1/2,2,1)),"")</f>
        <v/>
      </c>
      <c r="C2475">
        <f>TRIM(INDEX(INDIRECT("'Выгрузка'!A2475:Z2475"),Настройки!$B$8)&amp;"")</f>
        <v/>
      </c>
      <c r="D2475">
        <f>IFERROR(--SUBSTITUTE(SUBSTITUTE(TRIM(INDEX(INDIRECT("'Выгрузка'!A2475:Z2475"),Настройки!$B$10)),",","."),".",MID(1/2,2,1)),"")</f>
        <v/>
      </c>
      <c r="E2475">
        <f>IFERROR(--SUBSTITUTE(SUBSTITUTE(TRIM(INDEX(INDIRECT("'Выгрузка'!A2475:Z2475"),Настройки!$B$11)),",","."),".",MID(1/2,2,1)),"")</f>
        <v/>
      </c>
      <c r="F2475">
        <f>TRIM(INDEX(INDIRECT("'Выгрузка'!A2475:Z2475"),Настройки!$B$12)&amp;"")</f>
        <v/>
      </c>
      <c r="G2475">
        <f>IF(F2475="",0,IF(TRIM(INDEX(INDIRECT("'Выгрузка'!A2475:Z2475"),Настройки!$B$13)&amp;"")="",1,IFERROR(--SUBSTITUTE(SUBSTITUTE(TRIM(INDEX(INDIRECT("'Выгрузка'!A2475:Z2475"),Настройки!$B$13)),",","."),".",MID(1/2,2,1)),"")))</f>
        <v/>
      </c>
      <c r="H2475">
        <f>IF(F2475="",0,IF(COUNTIF(Настройки!$B$17:$B$26,F2475)&gt;0,1,IF(COUNTIF(Настройки!$C$17:$C$26,F2475)&gt;0,2,IF(COUNTIF(Настройки!$D$17:$D$26,F2475)&gt;0,3,0))))</f>
        <v/>
      </c>
      <c r="I2475">
        <f>IF(AND(ISNUMBER(A2475),ISNUMBER(B2475)),A2475*1000+B2475,"")</f>
        <v/>
      </c>
      <c r="J2475">
        <f>IF(I2475="","",IF(COUNTIF(I$2:I2475,I2475)=1,MAX(J$1:J2474)+1,""))</f>
        <v/>
      </c>
    </row>
    <row r="2476">
      <c r="A2476">
        <f>IFERROR(--SUBSTITUTE(SUBSTITUTE(TRIM(INDEX(INDIRECT("'Выгрузка'!A2476:Z2476"),Настройки!$B$7)),",","."),".",MID(1/2,2,1)),"")</f>
        <v/>
      </c>
      <c r="B2476">
        <f>IFERROR(--SUBSTITUTE(SUBSTITUTE(TRIM(INDEX(INDIRECT("'Выгрузка'!A2476:Z2476"),Настройки!$B$9)),",","."),".",MID(1/2,2,1)),"")</f>
        <v/>
      </c>
      <c r="C2476">
        <f>TRIM(INDEX(INDIRECT("'Выгрузка'!A2476:Z2476"),Настройки!$B$8)&amp;"")</f>
        <v/>
      </c>
      <c r="D2476">
        <f>IFERROR(--SUBSTITUTE(SUBSTITUTE(TRIM(INDEX(INDIRECT("'Выгрузка'!A2476:Z2476"),Настройки!$B$10)),",","."),".",MID(1/2,2,1)),"")</f>
        <v/>
      </c>
      <c r="E2476">
        <f>IFERROR(--SUBSTITUTE(SUBSTITUTE(TRIM(INDEX(INDIRECT("'Выгрузка'!A2476:Z2476"),Настройки!$B$11)),",","."),".",MID(1/2,2,1)),"")</f>
        <v/>
      </c>
      <c r="F2476">
        <f>TRIM(INDEX(INDIRECT("'Выгрузка'!A2476:Z2476"),Настройки!$B$12)&amp;"")</f>
        <v/>
      </c>
      <c r="G2476">
        <f>IF(F2476="",0,IF(TRIM(INDEX(INDIRECT("'Выгрузка'!A2476:Z2476"),Настройки!$B$13)&amp;"")="",1,IFERROR(--SUBSTITUTE(SUBSTITUTE(TRIM(INDEX(INDIRECT("'Выгрузка'!A2476:Z2476"),Настройки!$B$13)),",","."),".",MID(1/2,2,1)),"")))</f>
        <v/>
      </c>
      <c r="H2476">
        <f>IF(F2476="",0,IF(COUNTIF(Настройки!$B$17:$B$26,F2476)&gt;0,1,IF(COUNTIF(Настройки!$C$17:$C$26,F2476)&gt;0,2,IF(COUNTIF(Настройки!$D$17:$D$26,F2476)&gt;0,3,0))))</f>
        <v/>
      </c>
      <c r="I2476">
        <f>IF(AND(ISNUMBER(A2476),ISNUMBER(B2476)),A2476*1000+B2476,"")</f>
        <v/>
      </c>
      <c r="J2476">
        <f>IF(I2476="","",IF(COUNTIF(I$2:I2476,I2476)=1,MAX(J$1:J2475)+1,""))</f>
        <v/>
      </c>
    </row>
    <row r="2477">
      <c r="A2477">
        <f>IFERROR(--SUBSTITUTE(SUBSTITUTE(TRIM(INDEX(INDIRECT("'Выгрузка'!A2477:Z2477"),Настройки!$B$7)),",","."),".",MID(1/2,2,1)),"")</f>
        <v/>
      </c>
      <c r="B2477">
        <f>IFERROR(--SUBSTITUTE(SUBSTITUTE(TRIM(INDEX(INDIRECT("'Выгрузка'!A2477:Z2477"),Настройки!$B$9)),",","."),".",MID(1/2,2,1)),"")</f>
        <v/>
      </c>
      <c r="C2477">
        <f>TRIM(INDEX(INDIRECT("'Выгрузка'!A2477:Z2477"),Настройки!$B$8)&amp;"")</f>
        <v/>
      </c>
      <c r="D2477">
        <f>IFERROR(--SUBSTITUTE(SUBSTITUTE(TRIM(INDEX(INDIRECT("'Выгрузка'!A2477:Z2477"),Настройки!$B$10)),",","."),".",MID(1/2,2,1)),"")</f>
        <v/>
      </c>
      <c r="E2477">
        <f>IFERROR(--SUBSTITUTE(SUBSTITUTE(TRIM(INDEX(INDIRECT("'Выгрузка'!A2477:Z2477"),Настройки!$B$11)),",","."),".",MID(1/2,2,1)),"")</f>
        <v/>
      </c>
      <c r="F2477">
        <f>TRIM(INDEX(INDIRECT("'Выгрузка'!A2477:Z2477"),Настройки!$B$12)&amp;"")</f>
        <v/>
      </c>
      <c r="G2477">
        <f>IF(F2477="",0,IF(TRIM(INDEX(INDIRECT("'Выгрузка'!A2477:Z2477"),Настройки!$B$13)&amp;"")="",1,IFERROR(--SUBSTITUTE(SUBSTITUTE(TRIM(INDEX(INDIRECT("'Выгрузка'!A2477:Z2477"),Настройки!$B$13)),",","."),".",MID(1/2,2,1)),"")))</f>
        <v/>
      </c>
      <c r="H2477">
        <f>IF(F2477="",0,IF(COUNTIF(Настройки!$B$17:$B$26,F2477)&gt;0,1,IF(COUNTIF(Настройки!$C$17:$C$26,F2477)&gt;0,2,IF(COUNTIF(Настройки!$D$17:$D$26,F2477)&gt;0,3,0))))</f>
        <v/>
      </c>
      <c r="I2477">
        <f>IF(AND(ISNUMBER(A2477),ISNUMBER(B2477)),A2477*1000+B2477,"")</f>
        <v/>
      </c>
      <c r="J2477">
        <f>IF(I2477="","",IF(COUNTIF(I$2:I2477,I2477)=1,MAX(J$1:J2476)+1,""))</f>
        <v/>
      </c>
    </row>
    <row r="2478">
      <c r="A2478">
        <f>IFERROR(--SUBSTITUTE(SUBSTITUTE(TRIM(INDEX(INDIRECT("'Выгрузка'!A2478:Z2478"),Настройки!$B$7)),",","."),".",MID(1/2,2,1)),"")</f>
        <v/>
      </c>
      <c r="B2478">
        <f>IFERROR(--SUBSTITUTE(SUBSTITUTE(TRIM(INDEX(INDIRECT("'Выгрузка'!A2478:Z2478"),Настройки!$B$9)),",","."),".",MID(1/2,2,1)),"")</f>
        <v/>
      </c>
      <c r="C2478">
        <f>TRIM(INDEX(INDIRECT("'Выгрузка'!A2478:Z2478"),Настройки!$B$8)&amp;"")</f>
        <v/>
      </c>
      <c r="D2478">
        <f>IFERROR(--SUBSTITUTE(SUBSTITUTE(TRIM(INDEX(INDIRECT("'Выгрузка'!A2478:Z2478"),Настройки!$B$10)),",","."),".",MID(1/2,2,1)),"")</f>
        <v/>
      </c>
      <c r="E2478">
        <f>IFERROR(--SUBSTITUTE(SUBSTITUTE(TRIM(INDEX(INDIRECT("'Выгрузка'!A2478:Z2478"),Настройки!$B$11)),",","."),".",MID(1/2,2,1)),"")</f>
        <v/>
      </c>
      <c r="F2478">
        <f>TRIM(INDEX(INDIRECT("'Выгрузка'!A2478:Z2478"),Настройки!$B$12)&amp;"")</f>
        <v/>
      </c>
      <c r="G2478">
        <f>IF(F2478="",0,IF(TRIM(INDEX(INDIRECT("'Выгрузка'!A2478:Z2478"),Настройки!$B$13)&amp;"")="",1,IFERROR(--SUBSTITUTE(SUBSTITUTE(TRIM(INDEX(INDIRECT("'Выгрузка'!A2478:Z2478"),Настройки!$B$13)),",","."),".",MID(1/2,2,1)),"")))</f>
        <v/>
      </c>
      <c r="H2478">
        <f>IF(F2478="",0,IF(COUNTIF(Настройки!$B$17:$B$26,F2478)&gt;0,1,IF(COUNTIF(Настройки!$C$17:$C$26,F2478)&gt;0,2,IF(COUNTIF(Настройки!$D$17:$D$26,F2478)&gt;0,3,0))))</f>
        <v/>
      </c>
      <c r="I2478">
        <f>IF(AND(ISNUMBER(A2478),ISNUMBER(B2478)),A2478*1000+B2478,"")</f>
        <v/>
      </c>
      <c r="J2478">
        <f>IF(I2478="","",IF(COUNTIF(I$2:I2478,I2478)=1,MAX(J$1:J2477)+1,""))</f>
        <v/>
      </c>
    </row>
    <row r="2479">
      <c r="A2479">
        <f>IFERROR(--SUBSTITUTE(SUBSTITUTE(TRIM(INDEX(INDIRECT("'Выгрузка'!A2479:Z2479"),Настройки!$B$7)),",","."),".",MID(1/2,2,1)),"")</f>
        <v/>
      </c>
      <c r="B2479">
        <f>IFERROR(--SUBSTITUTE(SUBSTITUTE(TRIM(INDEX(INDIRECT("'Выгрузка'!A2479:Z2479"),Настройки!$B$9)),",","."),".",MID(1/2,2,1)),"")</f>
        <v/>
      </c>
      <c r="C2479">
        <f>TRIM(INDEX(INDIRECT("'Выгрузка'!A2479:Z2479"),Настройки!$B$8)&amp;"")</f>
        <v/>
      </c>
      <c r="D2479">
        <f>IFERROR(--SUBSTITUTE(SUBSTITUTE(TRIM(INDEX(INDIRECT("'Выгрузка'!A2479:Z2479"),Настройки!$B$10)),",","."),".",MID(1/2,2,1)),"")</f>
        <v/>
      </c>
      <c r="E2479">
        <f>IFERROR(--SUBSTITUTE(SUBSTITUTE(TRIM(INDEX(INDIRECT("'Выгрузка'!A2479:Z2479"),Настройки!$B$11)),",","."),".",MID(1/2,2,1)),"")</f>
        <v/>
      </c>
      <c r="F2479">
        <f>TRIM(INDEX(INDIRECT("'Выгрузка'!A2479:Z2479"),Настройки!$B$12)&amp;"")</f>
        <v/>
      </c>
      <c r="G2479">
        <f>IF(F2479="",0,IF(TRIM(INDEX(INDIRECT("'Выгрузка'!A2479:Z2479"),Настройки!$B$13)&amp;"")="",1,IFERROR(--SUBSTITUTE(SUBSTITUTE(TRIM(INDEX(INDIRECT("'Выгрузка'!A2479:Z2479"),Настройки!$B$13)),",","."),".",MID(1/2,2,1)),"")))</f>
        <v/>
      </c>
      <c r="H2479">
        <f>IF(F2479="",0,IF(COUNTIF(Настройки!$B$17:$B$26,F2479)&gt;0,1,IF(COUNTIF(Настройки!$C$17:$C$26,F2479)&gt;0,2,IF(COUNTIF(Настройки!$D$17:$D$26,F2479)&gt;0,3,0))))</f>
        <v/>
      </c>
      <c r="I2479">
        <f>IF(AND(ISNUMBER(A2479),ISNUMBER(B2479)),A2479*1000+B2479,"")</f>
        <v/>
      </c>
      <c r="J2479">
        <f>IF(I2479="","",IF(COUNTIF(I$2:I2479,I2479)=1,MAX(J$1:J2478)+1,""))</f>
        <v/>
      </c>
    </row>
    <row r="2480">
      <c r="A2480">
        <f>IFERROR(--SUBSTITUTE(SUBSTITUTE(TRIM(INDEX(INDIRECT("'Выгрузка'!A2480:Z2480"),Настройки!$B$7)),",","."),".",MID(1/2,2,1)),"")</f>
        <v/>
      </c>
      <c r="B2480">
        <f>IFERROR(--SUBSTITUTE(SUBSTITUTE(TRIM(INDEX(INDIRECT("'Выгрузка'!A2480:Z2480"),Настройки!$B$9)),",","."),".",MID(1/2,2,1)),"")</f>
        <v/>
      </c>
      <c r="C2480">
        <f>TRIM(INDEX(INDIRECT("'Выгрузка'!A2480:Z2480"),Настройки!$B$8)&amp;"")</f>
        <v/>
      </c>
      <c r="D2480">
        <f>IFERROR(--SUBSTITUTE(SUBSTITUTE(TRIM(INDEX(INDIRECT("'Выгрузка'!A2480:Z2480"),Настройки!$B$10)),",","."),".",MID(1/2,2,1)),"")</f>
        <v/>
      </c>
      <c r="E2480">
        <f>IFERROR(--SUBSTITUTE(SUBSTITUTE(TRIM(INDEX(INDIRECT("'Выгрузка'!A2480:Z2480"),Настройки!$B$11)),",","."),".",MID(1/2,2,1)),"")</f>
        <v/>
      </c>
      <c r="F2480">
        <f>TRIM(INDEX(INDIRECT("'Выгрузка'!A2480:Z2480"),Настройки!$B$12)&amp;"")</f>
        <v/>
      </c>
      <c r="G2480">
        <f>IF(F2480="",0,IF(TRIM(INDEX(INDIRECT("'Выгрузка'!A2480:Z2480"),Настройки!$B$13)&amp;"")="",1,IFERROR(--SUBSTITUTE(SUBSTITUTE(TRIM(INDEX(INDIRECT("'Выгрузка'!A2480:Z2480"),Настройки!$B$13)),",","."),".",MID(1/2,2,1)),"")))</f>
        <v/>
      </c>
      <c r="H2480">
        <f>IF(F2480="",0,IF(COUNTIF(Настройки!$B$17:$B$26,F2480)&gt;0,1,IF(COUNTIF(Настройки!$C$17:$C$26,F2480)&gt;0,2,IF(COUNTIF(Настройки!$D$17:$D$26,F2480)&gt;0,3,0))))</f>
        <v/>
      </c>
      <c r="I2480">
        <f>IF(AND(ISNUMBER(A2480),ISNUMBER(B2480)),A2480*1000+B2480,"")</f>
        <v/>
      </c>
      <c r="J2480">
        <f>IF(I2480="","",IF(COUNTIF(I$2:I2480,I2480)=1,MAX(J$1:J2479)+1,""))</f>
        <v/>
      </c>
    </row>
    <row r="2481">
      <c r="A2481">
        <f>IFERROR(--SUBSTITUTE(SUBSTITUTE(TRIM(INDEX(INDIRECT("'Выгрузка'!A2481:Z2481"),Настройки!$B$7)),",","."),".",MID(1/2,2,1)),"")</f>
        <v/>
      </c>
      <c r="B2481">
        <f>IFERROR(--SUBSTITUTE(SUBSTITUTE(TRIM(INDEX(INDIRECT("'Выгрузка'!A2481:Z2481"),Настройки!$B$9)),",","."),".",MID(1/2,2,1)),"")</f>
        <v/>
      </c>
      <c r="C2481">
        <f>TRIM(INDEX(INDIRECT("'Выгрузка'!A2481:Z2481"),Настройки!$B$8)&amp;"")</f>
        <v/>
      </c>
      <c r="D2481">
        <f>IFERROR(--SUBSTITUTE(SUBSTITUTE(TRIM(INDEX(INDIRECT("'Выгрузка'!A2481:Z2481"),Настройки!$B$10)),",","."),".",MID(1/2,2,1)),"")</f>
        <v/>
      </c>
      <c r="E2481">
        <f>IFERROR(--SUBSTITUTE(SUBSTITUTE(TRIM(INDEX(INDIRECT("'Выгрузка'!A2481:Z2481"),Настройки!$B$11)),",","."),".",MID(1/2,2,1)),"")</f>
        <v/>
      </c>
      <c r="F2481">
        <f>TRIM(INDEX(INDIRECT("'Выгрузка'!A2481:Z2481"),Настройки!$B$12)&amp;"")</f>
        <v/>
      </c>
      <c r="G2481">
        <f>IF(F2481="",0,IF(TRIM(INDEX(INDIRECT("'Выгрузка'!A2481:Z2481"),Настройки!$B$13)&amp;"")="",1,IFERROR(--SUBSTITUTE(SUBSTITUTE(TRIM(INDEX(INDIRECT("'Выгрузка'!A2481:Z2481"),Настройки!$B$13)),",","."),".",MID(1/2,2,1)),"")))</f>
        <v/>
      </c>
      <c r="H2481">
        <f>IF(F2481="",0,IF(COUNTIF(Настройки!$B$17:$B$26,F2481)&gt;0,1,IF(COUNTIF(Настройки!$C$17:$C$26,F2481)&gt;0,2,IF(COUNTIF(Настройки!$D$17:$D$26,F2481)&gt;0,3,0))))</f>
        <v/>
      </c>
      <c r="I2481">
        <f>IF(AND(ISNUMBER(A2481),ISNUMBER(B2481)),A2481*1000+B2481,"")</f>
        <v/>
      </c>
      <c r="J2481">
        <f>IF(I2481="","",IF(COUNTIF(I$2:I2481,I2481)=1,MAX(J$1:J2480)+1,""))</f>
        <v/>
      </c>
    </row>
    <row r="2482">
      <c r="A2482">
        <f>IFERROR(--SUBSTITUTE(SUBSTITUTE(TRIM(INDEX(INDIRECT("'Выгрузка'!A2482:Z2482"),Настройки!$B$7)),",","."),".",MID(1/2,2,1)),"")</f>
        <v/>
      </c>
      <c r="B2482">
        <f>IFERROR(--SUBSTITUTE(SUBSTITUTE(TRIM(INDEX(INDIRECT("'Выгрузка'!A2482:Z2482"),Настройки!$B$9)),",","."),".",MID(1/2,2,1)),"")</f>
        <v/>
      </c>
      <c r="C2482">
        <f>TRIM(INDEX(INDIRECT("'Выгрузка'!A2482:Z2482"),Настройки!$B$8)&amp;"")</f>
        <v/>
      </c>
      <c r="D2482">
        <f>IFERROR(--SUBSTITUTE(SUBSTITUTE(TRIM(INDEX(INDIRECT("'Выгрузка'!A2482:Z2482"),Настройки!$B$10)),",","."),".",MID(1/2,2,1)),"")</f>
        <v/>
      </c>
      <c r="E2482">
        <f>IFERROR(--SUBSTITUTE(SUBSTITUTE(TRIM(INDEX(INDIRECT("'Выгрузка'!A2482:Z2482"),Настройки!$B$11)),",","."),".",MID(1/2,2,1)),"")</f>
        <v/>
      </c>
      <c r="F2482">
        <f>TRIM(INDEX(INDIRECT("'Выгрузка'!A2482:Z2482"),Настройки!$B$12)&amp;"")</f>
        <v/>
      </c>
      <c r="G2482">
        <f>IF(F2482="",0,IF(TRIM(INDEX(INDIRECT("'Выгрузка'!A2482:Z2482"),Настройки!$B$13)&amp;"")="",1,IFERROR(--SUBSTITUTE(SUBSTITUTE(TRIM(INDEX(INDIRECT("'Выгрузка'!A2482:Z2482"),Настройки!$B$13)),",","."),".",MID(1/2,2,1)),"")))</f>
        <v/>
      </c>
      <c r="H2482">
        <f>IF(F2482="",0,IF(COUNTIF(Настройки!$B$17:$B$26,F2482)&gt;0,1,IF(COUNTIF(Настройки!$C$17:$C$26,F2482)&gt;0,2,IF(COUNTIF(Настройки!$D$17:$D$26,F2482)&gt;0,3,0))))</f>
        <v/>
      </c>
      <c r="I2482">
        <f>IF(AND(ISNUMBER(A2482),ISNUMBER(B2482)),A2482*1000+B2482,"")</f>
        <v/>
      </c>
      <c r="J2482">
        <f>IF(I2482="","",IF(COUNTIF(I$2:I2482,I2482)=1,MAX(J$1:J2481)+1,""))</f>
        <v/>
      </c>
    </row>
    <row r="2483">
      <c r="A2483">
        <f>IFERROR(--SUBSTITUTE(SUBSTITUTE(TRIM(INDEX(INDIRECT("'Выгрузка'!A2483:Z2483"),Настройки!$B$7)),",","."),".",MID(1/2,2,1)),"")</f>
        <v/>
      </c>
      <c r="B2483">
        <f>IFERROR(--SUBSTITUTE(SUBSTITUTE(TRIM(INDEX(INDIRECT("'Выгрузка'!A2483:Z2483"),Настройки!$B$9)),",","."),".",MID(1/2,2,1)),"")</f>
        <v/>
      </c>
      <c r="C2483">
        <f>TRIM(INDEX(INDIRECT("'Выгрузка'!A2483:Z2483"),Настройки!$B$8)&amp;"")</f>
        <v/>
      </c>
      <c r="D2483">
        <f>IFERROR(--SUBSTITUTE(SUBSTITUTE(TRIM(INDEX(INDIRECT("'Выгрузка'!A2483:Z2483"),Настройки!$B$10)),",","."),".",MID(1/2,2,1)),"")</f>
        <v/>
      </c>
      <c r="E2483">
        <f>IFERROR(--SUBSTITUTE(SUBSTITUTE(TRIM(INDEX(INDIRECT("'Выгрузка'!A2483:Z2483"),Настройки!$B$11)),",","."),".",MID(1/2,2,1)),"")</f>
        <v/>
      </c>
      <c r="F2483">
        <f>TRIM(INDEX(INDIRECT("'Выгрузка'!A2483:Z2483"),Настройки!$B$12)&amp;"")</f>
        <v/>
      </c>
      <c r="G2483">
        <f>IF(F2483="",0,IF(TRIM(INDEX(INDIRECT("'Выгрузка'!A2483:Z2483"),Настройки!$B$13)&amp;"")="",1,IFERROR(--SUBSTITUTE(SUBSTITUTE(TRIM(INDEX(INDIRECT("'Выгрузка'!A2483:Z2483"),Настройки!$B$13)),",","."),".",MID(1/2,2,1)),"")))</f>
        <v/>
      </c>
      <c r="H2483">
        <f>IF(F2483="",0,IF(COUNTIF(Настройки!$B$17:$B$26,F2483)&gt;0,1,IF(COUNTIF(Настройки!$C$17:$C$26,F2483)&gt;0,2,IF(COUNTIF(Настройки!$D$17:$D$26,F2483)&gt;0,3,0))))</f>
        <v/>
      </c>
      <c r="I2483">
        <f>IF(AND(ISNUMBER(A2483),ISNUMBER(B2483)),A2483*1000+B2483,"")</f>
        <v/>
      </c>
      <c r="J2483">
        <f>IF(I2483="","",IF(COUNTIF(I$2:I2483,I2483)=1,MAX(J$1:J2482)+1,""))</f>
        <v/>
      </c>
    </row>
    <row r="2484">
      <c r="A2484">
        <f>IFERROR(--SUBSTITUTE(SUBSTITUTE(TRIM(INDEX(INDIRECT("'Выгрузка'!A2484:Z2484"),Настройки!$B$7)),",","."),".",MID(1/2,2,1)),"")</f>
        <v/>
      </c>
      <c r="B2484">
        <f>IFERROR(--SUBSTITUTE(SUBSTITUTE(TRIM(INDEX(INDIRECT("'Выгрузка'!A2484:Z2484"),Настройки!$B$9)),",","."),".",MID(1/2,2,1)),"")</f>
        <v/>
      </c>
      <c r="C2484">
        <f>TRIM(INDEX(INDIRECT("'Выгрузка'!A2484:Z2484"),Настройки!$B$8)&amp;"")</f>
        <v/>
      </c>
      <c r="D2484">
        <f>IFERROR(--SUBSTITUTE(SUBSTITUTE(TRIM(INDEX(INDIRECT("'Выгрузка'!A2484:Z2484"),Настройки!$B$10)),",","."),".",MID(1/2,2,1)),"")</f>
        <v/>
      </c>
      <c r="E2484">
        <f>IFERROR(--SUBSTITUTE(SUBSTITUTE(TRIM(INDEX(INDIRECT("'Выгрузка'!A2484:Z2484"),Настройки!$B$11)),",","."),".",MID(1/2,2,1)),"")</f>
        <v/>
      </c>
      <c r="F2484">
        <f>TRIM(INDEX(INDIRECT("'Выгрузка'!A2484:Z2484"),Настройки!$B$12)&amp;"")</f>
        <v/>
      </c>
      <c r="G2484">
        <f>IF(F2484="",0,IF(TRIM(INDEX(INDIRECT("'Выгрузка'!A2484:Z2484"),Настройки!$B$13)&amp;"")="",1,IFERROR(--SUBSTITUTE(SUBSTITUTE(TRIM(INDEX(INDIRECT("'Выгрузка'!A2484:Z2484"),Настройки!$B$13)),",","."),".",MID(1/2,2,1)),"")))</f>
        <v/>
      </c>
      <c r="H2484">
        <f>IF(F2484="",0,IF(COUNTIF(Настройки!$B$17:$B$26,F2484)&gt;0,1,IF(COUNTIF(Настройки!$C$17:$C$26,F2484)&gt;0,2,IF(COUNTIF(Настройки!$D$17:$D$26,F2484)&gt;0,3,0))))</f>
        <v/>
      </c>
      <c r="I2484">
        <f>IF(AND(ISNUMBER(A2484),ISNUMBER(B2484)),A2484*1000+B2484,"")</f>
        <v/>
      </c>
      <c r="J2484">
        <f>IF(I2484="","",IF(COUNTIF(I$2:I2484,I2484)=1,MAX(J$1:J2483)+1,""))</f>
        <v/>
      </c>
    </row>
    <row r="2485">
      <c r="A2485">
        <f>IFERROR(--SUBSTITUTE(SUBSTITUTE(TRIM(INDEX(INDIRECT("'Выгрузка'!A2485:Z2485"),Настройки!$B$7)),",","."),".",MID(1/2,2,1)),"")</f>
        <v/>
      </c>
      <c r="B2485">
        <f>IFERROR(--SUBSTITUTE(SUBSTITUTE(TRIM(INDEX(INDIRECT("'Выгрузка'!A2485:Z2485"),Настройки!$B$9)),",","."),".",MID(1/2,2,1)),"")</f>
        <v/>
      </c>
      <c r="C2485">
        <f>TRIM(INDEX(INDIRECT("'Выгрузка'!A2485:Z2485"),Настройки!$B$8)&amp;"")</f>
        <v/>
      </c>
      <c r="D2485">
        <f>IFERROR(--SUBSTITUTE(SUBSTITUTE(TRIM(INDEX(INDIRECT("'Выгрузка'!A2485:Z2485"),Настройки!$B$10)),",","."),".",MID(1/2,2,1)),"")</f>
        <v/>
      </c>
      <c r="E2485">
        <f>IFERROR(--SUBSTITUTE(SUBSTITUTE(TRIM(INDEX(INDIRECT("'Выгрузка'!A2485:Z2485"),Настройки!$B$11)),",","."),".",MID(1/2,2,1)),"")</f>
        <v/>
      </c>
      <c r="F2485">
        <f>TRIM(INDEX(INDIRECT("'Выгрузка'!A2485:Z2485"),Настройки!$B$12)&amp;"")</f>
        <v/>
      </c>
      <c r="G2485">
        <f>IF(F2485="",0,IF(TRIM(INDEX(INDIRECT("'Выгрузка'!A2485:Z2485"),Настройки!$B$13)&amp;"")="",1,IFERROR(--SUBSTITUTE(SUBSTITUTE(TRIM(INDEX(INDIRECT("'Выгрузка'!A2485:Z2485"),Настройки!$B$13)),",","."),".",MID(1/2,2,1)),"")))</f>
        <v/>
      </c>
      <c r="H2485">
        <f>IF(F2485="",0,IF(COUNTIF(Настройки!$B$17:$B$26,F2485)&gt;0,1,IF(COUNTIF(Настройки!$C$17:$C$26,F2485)&gt;0,2,IF(COUNTIF(Настройки!$D$17:$D$26,F2485)&gt;0,3,0))))</f>
        <v/>
      </c>
      <c r="I2485">
        <f>IF(AND(ISNUMBER(A2485),ISNUMBER(B2485)),A2485*1000+B2485,"")</f>
        <v/>
      </c>
      <c r="J2485">
        <f>IF(I2485="","",IF(COUNTIF(I$2:I2485,I2485)=1,MAX(J$1:J2484)+1,""))</f>
        <v/>
      </c>
    </row>
    <row r="2486">
      <c r="A2486">
        <f>IFERROR(--SUBSTITUTE(SUBSTITUTE(TRIM(INDEX(INDIRECT("'Выгрузка'!A2486:Z2486"),Настройки!$B$7)),",","."),".",MID(1/2,2,1)),"")</f>
        <v/>
      </c>
      <c r="B2486">
        <f>IFERROR(--SUBSTITUTE(SUBSTITUTE(TRIM(INDEX(INDIRECT("'Выгрузка'!A2486:Z2486"),Настройки!$B$9)),",","."),".",MID(1/2,2,1)),"")</f>
        <v/>
      </c>
      <c r="C2486">
        <f>TRIM(INDEX(INDIRECT("'Выгрузка'!A2486:Z2486"),Настройки!$B$8)&amp;"")</f>
        <v/>
      </c>
      <c r="D2486">
        <f>IFERROR(--SUBSTITUTE(SUBSTITUTE(TRIM(INDEX(INDIRECT("'Выгрузка'!A2486:Z2486"),Настройки!$B$10)),",","."),".",MID(1/2,2,1)),"")</f>
        <v/>
      </c>
      <c r="E2486">
        <f>IFERROR(--SUBSTITUTE(SUBSTITUTE(TRIM(INDEX(INDIRECT("'Выгрузка'!A2486:Z2486"),Настройки!$B$11)),",","."),".",MID(1/2,2,1)),"")</f>
        <v/>
      </c>
      <c r="F2486">
        <f>TRIM(INDEX(INDIRECT("'Выгрузка'!A2486:Z2486"),Настройки!$B$12)&amp;"")</f>
        <v/>
      </c>
      <c r="G2486">
        <f>IF(F2486="",0,IF(TRIM(INDEX(INDIRECT("'Выгрузка'!A2486:Z2486"),Настройки!$B$13)&amp;"")="",1,IFERROR(--SUBSTITUTE(SUBSTITUTE(TRIM(INDEX(INDIRECT("'Выгрузка'!A2486:Z2486"),Настройки!$B$13)),",","."),".",MID(1/2,2,1)),"")))</f>
        <v/>
      </c>
      <c r="H2486">
        <f>IF(F2486="",0,IF(COUNTIF(Настройки!$B$17:$B$26,F2486)&gt;0,1,IF(COUNTIF(Настройки!$C$17:$C$26,F2486)&gt;0,2,IF(COUNTIF(Настройки!$D$17:$D$26,F2486)&gt;0,3,0))))</f>
        <v/>
      </c>
      <c r="I2486">
        <f>IF(AND(ISNUMBER(A2486),ISNUMBER(B2486)),A2486*1000+B2486,"")</f>
        <v/>
      </c>
      <c r="J2486">
        <f>IF(I2486="","",IF(COUNTIF(I$2:I2486,I2486)=1,MAX(J$1:J2485)+1,""))</f>
        <v/>
      </c>
    </row>
    <row r="2487">
      <c r="A2487">
        <f>IFERROR(--SUBSTITUTE(SUBSTITUTE(TRIM(INDEX(INDIRECT("'Выгрузка'!A2487:Z2487"),Настройки!$B$7)),",","."),".",MID(1/2,2,1)),"")</f>
        <v/>
      </c>
      <c r="B2487">
        <f>IFERROR(--SUBSTITUTE(SUBSTITUTE(TRIM(INDEX(INDIRECT("'Выгрузка'!A2487:Z2487"),Настройки!$B$9)),",","."),".",MID(1/2,2,1)),"")</f>
        <v/>
      </c>
      <c r="C2487">
        <f>TRIM(INDEX(INDIRECT("'Выгрузка'!A2487:Z2487"),Настройки!$B$8)&amp;"")</f>
        <v/>
      </c>
      <c r="D2487">
        <f>IFERROR(--SUBSTITUTE(SUBSTITUTE(TRIM(INDEX(INDIRECT("'Выгрузка'!A2487:Z2487"),Настройки!$B$10)),",","."),".",MID(1/2,2,1)),"")</f>
        <v/>
      </c>
      <c r="E2487">
        <f>IFERROR(--SUBSTITUTE(SUBSTITUTE(TRIM(INDEX(INDIRECT("'Выгрузка'!A2487:Z2487"),Настройки!$B$11)),",","."),".",MID(1/2,2,1)),"")</f>
        <v/>
      </c>
      <c r="F2487">
        <f>TRIM(INDEX(INDIRECT("'Выгрузка'!A2487:Z2487"),Настройки!$B$12)&amp;"")</f>
        <v/>
      </c>
      <c r="G2487">
        <f>IF(F2487="",0,IF(TRIM(INDEX(INDIRECT("'Выгрузка'!A2487:Z2487"),Настройки!$B$13)&amp;"")="",1,IFERROR(--SUBSTITUTE(SUBSTITUTE(TRIM(INDEX(INDIRECT("'Выгрузка'!A2487:Z2487"),Настройки!$B$13)),",","."),".",MID(1/2,2,1)),"")))</f>
        <v/>
      </c>
      <c r="H2487">
        <f>IF(F2487="",0,IF(COUNTIF(Настройки!$B$17:$B$26,F2487)&gt;0,1,IF(COUNTIF(Настройки!$C$17:$C$26,F2487)&gt;0,2,IF(COUNTIF(Настройки!$D$17:$D$26,F2487)&gt;0,3,0))))</f>
        <v/>
      </c>
      <c r="I2487">
        <f>IF(AND(ISNUMBER(A2487),ISNUMBER(B2487)),A2487*1000+B2487,"")</f>
        <v/>
      </c>
      <c r="J2487">
        <f>IF(I2487="","",IF(COUNTIF(I$2:I2487,I2487)=1,MAX(J$1:J2486)+1,""))</f>
        <v/>
      </c>
    </row>
    <row r="2488">
      <c r="A2488">
        <f>IFERROR(--SUBSTITUTE(SUBSTITUTE(TRIM(INDEX(INDIRECT("'Выгрузка'!A2488:Z2488"),Настройки!$B$7)),",","."),".",MID(1/2,2,1)),"")</f>
        <v/>
      </c>
      <c r="B2488">
        <f>IFERROR(--SUBSTITUTE(SUBSTITUTE(TRIM(INDEX(INDIRECT("'Выгрузка'!A2488:Z2488"),Настройки!$B$9)),",","."),".",MID(1/2,2,1)),"")</f>
        <v/>
      </c>
      <c r="C2488">
        <f>TRIM(INDEX(INDIRECT("'Выгрузка'!A2488:Z2488"),Настройки!$B$8)&amp;"")</f>
        <v/>
      </c>
      <c r="D2488">
        <f>IFERROR(--SUBSTITUTE(SUBSTITUTE(TRIM(INDEX(INDIRECT("'Выгрузка'!A2488:Z2488"),Настройки!$B$10)),",","."),".",MID(1/2,2,1)),"")</f>
        <v/>
      </c>
      <c r="E2488">
        <f>IFERROR(--SUBSTITUTE(SUBSTITUTE(TRIM(INDEX(INDIRECT("'Выгрузка'!A2488:Z2488"),Настройки!$B$11)),",","."),".",MID(1/2,2,1)),"")</f>
        <v/>
      </c>
      <c r="F2488">
        <f>TRIM(INDEX(INDIRECT("'Выгрузка'!A2488:Z2488"),Настройки!$B$12)&amp;"")</f>
        <v/>
      </c>
      <c r="G2488">
        <f>IF(F2488="",0,IF(TRIM(INDEX(INDIRECT("'Выгрузка'!A2488:Z2488"),Настройки!$B$13)&amp;"")="",1,IFERROR(--SUBSTITUTE(SUBSTITUTE(TRIM(INDEX(INDIRECT("'Выгрузка'!A2488:Z2488"),Настройки!$B$13)),",","."),".",MID(1/2,2,1)),"")))</f>
        <v/>
      </c>
      <c r="H2488">
        <f>IF(F2488="",0,IF(COUNTIF(Настройки!$B$17:$B$26,F2488)&gt;0,1,IF(COUNTIF(Настройки!$C$17:$C$26,F2488)&gt;0,2,IF(COUNTIF(Настройки!$D$17:$D$26,F2488)&gt;0,3,0))))</f>
        <v/>
      </c>
      <c r="I2488">
        <f>IF(AND(ISNUMBER(A2488),ISNUMBER(B2488)),A2488*1000+B2488,"")</f>
        <v/>
      </c>
      <c r="J2488">
        <f>IF(I2488="","",IF(COUNTIF(I$2:I2488,I2488)=1,MAX(J$1:J2487)+1,""))</f>
        <v/>
      </c>
    </row>
    <row r="2489">
      <c r="A2489">
        <f>IFERROR(--SUBSTITUTE(SUBSTITUTE(TRIM(INDEX(INDIRECT("'Выгрузка'!A2489:Z2489"),Настройки!$B$7)),",","."),".",MID(1/2,2,1)),"")</f>
        <v/>
      </c>
      <c r="B2489">
        <f>IFERROR(--SUBSTITUTE(SUBSTITUTE(TRIM(INDEX(INDIRECT("'Выгрузка'!A2489:Z2489"),Настройки!$B$9)),",","."),".",MID(1/2,2,1)),"")</f>
        <v/>
      </c>
      <c r="C2489">
        <f>TRIM(INDEX(INDIRECT("'Выгрузка'!A2489:Z2489"),Настройки!$B$8)&amp;"")</f>
        <v/>
      </c>
      <c r="D2489">
        <f>IFERROR(--SUBSTITUTE(SUBSTITUTE(TRIM(INDEX(INDIRECT("'Выгрузка'!A2489:Z2489"),Настройки!$B$10)),",","."),".",MID(1/2,2,1)),"")</f>
        <v/>
      </c>
      <c r="E2489">
        <f>IFERROR(--SUBSTITUTE(SUBSTITUTE(TRIM(INDEX(INDIRECT("'Выгрузка'!A2489:Z2489"),Настройки!$B$11)),",","."),".",MID(1/2,2,1)),"")</f>
        <v/>
      </c>
      <c r="F2489">
        <f>TRIM(INDEX(INDIRECT("'Выгрузка'!A2489:Z2489"),Настройки!$B$12)&amp;"")</f>
        <v/>
      </c>
      <c r="G2489">
        <f>IF(F2489="",0,IF(TRIM(INDEX(INDIRECT("'Выгрузка'!A2489:Z2489"),Настройки!$B$13)&amp;"")="",1,IFERROR(--SUBSTITUTE(SUBSTITUTE(TRIM(INDEX(INDIRECT("'Выгрузка'!A2489:Z2489"),Настройки!$B$13)),",","."),".",MID(1/2,2,1)),"")))</f>
        <v/>
      </c>
      <c r="H2489">
        <f>IF(F2489="",0,IF(COUNTIF(Настройки!$B$17:$B$26,F2489)&gt;0,1,IF(COUNTIF(Настройки!$C$17:$C$26,F2489)&gt;0,2,IF(COUNTIF(Настройки!$D$17:$D$26,F2489)&gt;0,3,0))))</f>
        <v/>
      </c>
      <c r="I2489">
        <f>IF(AND(ISNUMBER(A2489),ISNUMBER(B2489)),A2489*1000+B2489,"")</f>
        <v/>
      </c>
      <c r="J2489">
        <f>IF(I2489="","",IF(COUNTIF(I$2:I2489,I2489)=1,MAX(J$1:J2488)+1,""))</f>
        <v/>
      </c>
    </row>
    <row r="2490">
      <c r="A2490">
        <f>IFERROR(--SUBSTITUTE(SUBSTITUTE(TRIM(INDEX(INDIRECT("'Выгрузка'!A2490:Z2490"),Настройки!$B$7)),",","."),".",MID(1/2,2,1)),"")</f>
        <v/>
      </c>
      <c r="B2490">
        <f>IFERROR(--SUBSTITUTE(SUBSTITUTE(TRIM(INDEX(INDIRECT("'Выгрузка'!A2490:Z2490"),Настройки!$B$9)),",","."),".",MID(1/2,2,1)),"")</f>
        <v/>
      </c>
      <c r="C2490">
        <f>TRIM(INDEX(INDIRECT("'Выгрузка'!A2490:Z2490"),Настройки!$B$8)&amp;"")</f>
        <v/>
      </c>
      <c r="D2490">
        <f>IFERROR(--SUBSTITUTE(SUBSTITUTE(TRIM(INDEX(INDIRECT("'Выгрузка'!A2490:Z2490"),Настройки!$B$10)),",","."),".",MID(1/2,2,1)),"")</f>
        <v/>
      </c>
      <c r="E2490">
        <f>IFERROR(--SUBSTITUTE(SUBSTITUTE(TRIM(INDEX(INDIRECT("'Выгрузка'!A2490:Z2490"),Настройки!$B$11)),",","."),".",MID(1/2,2,1)),"")</f>
        <v/>
      </c>
      <c r="F2490">
        <f>TRIM(INDEX(INDIRECT("'Выгрузка'!A2490:Z2490"),Настройки!$B$12)&amp;"")</f>
        <v/>
      </c>
      <c r="G2490">
        <f>IF(F2490="",0,IF(TRIM(INDEX(INDIRECT("'Выгрузка'!A2490:Z2490"),Настройки!$B$13)&amp;"")="",1,IFERROR(--SUBSTITUTE(SUBSTITUTE(TRIM(INDEX(INDIRECT("'Выгрузка'!A2490:Z2490"),Настройки!$B$13)),",","."),".",MID(1/2,2,1)),"")))</f>
        <v/>
      </c>
      <c r="H2490">
        <f>IF(F2490="",0,IF(COUNTIF(Настройки!$B$17:$B$26,F2490)&gt;0,1,IF(COUNTIF(Настройки!$C$17:$C$26,F2490)&gt;0,2,IF(COUNTIF(Настройки!$D$17:$D$26,F2490)&gt;0,3,0))))</f>
        <v/>
      </c>
      <c r="I2490">
        <f>IF(AND(ISNUMBER(A2490),ISNUMBER(B2490)),A2490*1000+B2490,"")</f>
        <v/>
      </c>
      <c r="J2490">
        <f>IF(I2490="","",IF(COUNTIF(I$2:I2490,I2490)=1,MAX(J$1:J2489)+1,""))</f>
        <v/>
      </c>
    </row>
    <row r="2491">
      <c r="A2491">
        <f>IFERROR(--SUBSTITUTE(SUBSTITUTE(TRIM(INDEX(INDIRECT("'Выгрузка'!A2491:Z2491"),Настройки!$B$7)),",","."),".",MID(1/2,2,1)),"")</f>
        <v/>
      </c>
      <c r="B2491">
        <f>IFERROR(--SUBSTITUTE(SUBSTITUTE(TRIM(INDEX(INDIRECT("'Выгрузка'!A2491:Z2491"),Настройки!$B$9)),",","."),".",MID(1/2,2,1)),"")</f>
        <v/>
      </c>
      <c r="C2491">
        <f>TRIM(INDEX(INDIRECT("'Выгрузка'!A2491:Z2491"),Настройки!$B$8)&amp;"")</f>
        <v/>
      </c>
      <c r="D2491">
        <f>IFERROR(--SUBSTITUTE(SUBSTITUTE(TRIM(INDEX(INDIRECT("'Выгрузка'!A2491:Z2491"),Настройки!$B$10)),",","."),".",MID(1/2,2,1)),"")</f>
        <v/>
      </c>
      <c r="E2491">
        <f>IFERROR(--SUBSTITUTE(SUBSTITUTE(TRIM(INDEX(INDIRECT("'Выгрузка'!A2491:Z2491"),Настройки!$B$11)),",","."),".",MID(1/2,2,1)),"")</f>
        <v/>
      </c>
      <c r="F2491">
        <f>TRIM(INDEX(INDIRECT("'Выгрузка'!A2491:Z2491"),Настройки!$B$12)&amp;"")</f>
        <v/>
      </c>
      <c r="G2491">
        <f>IF(F2491="",0,IF(TRIM(INDEX(INDIRECT("'Выгрузка'!A2491:Z2491"),Настройки!$B$13)&amp;"")="",1,IFERROR(--SUBSTITUTE(SUBSTITUTE(TRIM(INDEX(INDIRECT("'Выгрузка'!A2491:Z2491"),Настройки!$B$13)),",","."),".",MID(1/2,2,1)),"")))</f>
        <v/>
      </c>
      <c r="H2491">
        <f>IF(F2491="",0,IF(COUNTIF(Настройки!$B$17:$B$26,F2491)&gt;0,1,IF(COUNTIF(Настройки!$C$17:$C$26,F2491)&gt;0,2,IF(COUNTIF(Настройки!$D$17:$D$26,F2491)&gt;0,3,0))))</f>
        <v/>
      </c>
      <c r="I2491">
        <f>IF(AND(ISNUMBER(A2491),ISNUMBER(B2491)),A2491*1000+B2491,"")</f>
        <v/>
      </c>
      <c r="J2491">
        <f>IF(I2491="","",IF(COUNTIF(I$2:I2491,I2491)=1,MAX(J$1:J2490)+1,""))</f>
        <v/>
      </c>
    </row>
    <row r="2492">
      <c r="A2492">
        <f>IFERROR(--SUBSTITUTE(SUBSTITUTE(TRIM(INDEX(INDIRECT("'Выгрузка'!A2492:Z2492"),Настройки!$B$7)),",","."),".",MID(1/2,2,1)),"")</f>
        <v/>
      </c>
      <c r="B2492">
        <f>IFERROR(--SUBSTITUTE(SUBSTITUTE(TRIM(INDEX(INDIRECT("'Выгрузка'!A2492:Z2492"),Настройки!$B$9)),",","."),".",MID(1/2,2,1)),"")</f>
        <v/>
      </c>
      <c r="C2492">
        <f>TRIM(INDEX(INDIRECT("'Выгрузка'!A2492:Z2492"),Настройки!$B$8)&amp;"")</f>
        <v/>
      </c>
      <c r="D2492">
        <f>IFERROR(--SUBSTITUTE(SUBSTITUTE(TRIM(INDEX(INDIRECT("'Выгрузка'!A2492:Z2492"),Настройки!$B$10)),",","."),".",MID(1/2,2,1)),"")</f>
        <v/>
      </c>
      <c r="E2492">
        <f>IFERROR(--SUBSTITUTE(SUBSTITUTE(TRIM(INDEX(INDIRECT("'Выгрузка'!A2492:Z2492"),Настройки!$B$11)),",","."),".",MID(1/2,2,1)),"")</f>
        <v/>
      </c>
      <c r="F2492">
        <f>TRIM(INDEX(INDIRECT("'Выгрузка'!A2492:Z2492"),Настройки!$B$12)&amp;"")</f>
        <v/>
      </c>
      <c r="G2492">
        <f>IF(F2492="",0,IF(TRIM(INDEX(INDIRECT("'Выгрузка'!A2492:Z2492"),Настройки!$B$13)&amp;"")="",1,IFERROR(--SUBSTITUTE(SUBSTITUTE(TRIM(INDEX(INDIRECT("'Выгрузка'!A2492:Z2492"),Настройки!$B$13)),",","."),".",MID(1/2,2,1)),"")))</f>
        <v/>
      </c>
      <c r="H2492">
        <f>IF(F2492="",0,IF(COUNTIF(Настройки!$B$17:$B$26,F2492)&gt;0,1,IF(COUNTIF(Настройки!$C$17:$C$26,F2492)&gt;0,2,IF(COUNTIF(Настройки!$D$17:$D$26,F2492)&gt;0,3,0))))</f>
        <v/>
      </c>
      <c r="I2492">
        <f>IF(AND(ISNUMBER(A2492),ISNUMBER(B2492)),A2492*1000+B2492,"")</f>
        <v/>
      </c>
      <c r="J2492">
        <f>IF(I2492="","",IF(COUNTIF(I$2:I2492,I2492)=1,MAX(J$1:J2491)+1,""))</f>
        <v/>
      </c>
    </row>
    <row r="2493">
      <c r="A2493">
        <f>IFERROR(--SUBSTITUTE(SUBSTITUTE(TRIM(INDEX(INDIRECT("'Выгрузка'!A2493:Z2493"),Настройки!$B$7)),",","."),".",MID(1/2,2,1)),"")</f>
        <v/>
      </c>
      <c r="B2493">
        <f>IFERROR(--SUBSTITUTE(SUBSTITUTE(TRIM(INDEX(INDIRECT("'Выгрузка'!A2493:Z2493"),Настройки!$B$9)),",","."),".",MID(1/2,2,1)),"")</f>
        <v/>
      </c>
      <c r="C2493">
        <f>TRIM(INDEX(INDIRECT("'Выгрузка'!A2493:Z2493"),Настройки!$B$8)&amp;"")</f>
        <v/>
      </c>
      <c r="D2493">
        <f>IFERROR(--SUBSTITUTE(SUBSTITUTE(TRIM(INDEX(INDIRECT("'Выгрузка'!A2493:Z2493"),Настройки!$B$10)),",","."),".",MID(1/2,2,1)),"")</f>
        <v/>
      </c>
      <c r="E2493">
        <f>IFERROR(--SUBSTITUTE(SUBSTITUTE(TRIM(INDEX(INDIRECT("'Выгрузка'!A2493:Z2493"),Настройки!$B$11)),",","."),".",MID(1/2,2,1)),"")</f>
        <v/>
      </c>
      <c r="F2493">
        <f>TRIM(INDEX(INDIRECT("'Выгрузка'!A2493:Z2493"),Настройки!$B$12)&amp;"")</f>
        <v/>
      </c>
      <c r="G2493">
        <f>IF(F2493="",0,IF(TRIM(INDEX(INDIRECT("'Выгрузка'!A2493:Z2493"),Настройки!$B$13)&amp;"")="",1,IFERROR(--SUBSTITUTE(SUBSTITUTE(TRIM(INDEX(INDIRECT("'Выгрузка'!A2493:Z2493"),Настройки!$B$13)),",","."),".",MID(1/2,2,1)),"")))</f>
        <v/>
      </c>
      <c r="H2493">
        <f>IF(F2493="",0,IF(COUNTIF(Настройки!$B$17:$B$26,F2493)&gt;0,1,IF(COUNTIF(Настройки!$C$17:$C$26,F2493)&gt;0,2,IF(COUNTIF(Настройки!$D$17:$D$26,F2493)&gt;0,3,0))))</f>
        <v/>
      </c>
      <c r="I2493">
        <f>IF(AND(ISNUMBER(A2493),ISNUMBER(B2493)),A2493*1000+B2493,"")</f>
        <v/>
      </c>
      <c r="J2493">
        <f>IF(I2493="","",IF(COUNTIF(I$2:I2493,I2493)=1,MAX(J$1:J2492)+1,""))</f>
        <v/>
      </c>
    </row>
    <row r="2494">
      <c r="A2494">
        <f>IFERROR(--SUBSTITUTE(SUBSTITUTE(TRIM(INDEX(INDIRECT("'Выгрузка'!A2494:Z2494"),Настройки!$B$7)),",","."),".",MID(1/2,2,1)),"")</f>
        <v/>
      </c>
      <c r="B2494">
        <f>IFERROR(--SUBSTITUTE(SUBSTITUTE(TRIM(INDEX(INDIRECT("'Выгрузка'!A2494:Z2494"),Настройки!$B$9)),",","."),".",MID(1/2,2,1)),"")</f>
        <v/>
      </c>
      <c r="C2494">
        <f>TRIM(INDEX(INDIRECT("'Выгрузка'!A2494:Z2494"),Настройки!$B$8)&amp;"")</f>
        <v/>
      </c>
      <c r="D2494">
        <f>IFERROR(--SUBSTITUTE(SUBSTITUTE(TRIM(INDEX(INDIRECT("'Выгрузка'!A2494:Z2494"),Настройки!$B$10)),",","."),".",MID(1/2,2,1)),"")</f>
        <v/>
      </c>
      <c r="E2494">
        <f>IFERROR(--SUBSTITUTE(SUBSTITUTE(TRIM(INDEX(INDIRECT("'Выгрузка'!A2494:Z2494"),Настройки!$B$11)),",","."),".",MID(1/2,2,1)),"")</f>
        <v/>
      </c>
      <c r="F2494">
        <f>TRIM(INDEX(INDIRECT("'Выгрузка'!A2494:Z2494"),Настройки!$B$12)&amp;"")</f>
        <v/>
      </c>
      <c r="G2494">
        <f>IF(F2494="",0,IF(TRIM(INDEX(INDIRECT("'Выгрузка'!A2494:Z2494"),Настройки!$B$13)&amp;"")="",1,IFERROR(--SUBSTITUTE(SUBSTITUTE(TRIM(INDEX(INDIRECT("'Выгрузка'!A2494:Z2494"),Настройки!$B$13)),",","."),".",MID(1/2,2,1)),"")))</f>
        <v/>
      </c>
      <c r="H2494">
        <f>IF(F2494="",0,IF(COUNTIF(Настройки!$B$17:$B$26,F2494)&gt;0,1,IF(COUNTIF(Настройки!$C$17:$C$26,F2494)&gt;0,2,IF(COUNTIF(Настройки!$D$17:$D$26,F2494)&gt;0,3,0))))</f>
        <v/>
      </c>
      <c r="I2494">
        <f>IF(AND(ISNUMBER(A2494),ISNUMBER(B2494)),A2494*1000+B2494,"")</f>
        <v/>
      </c>
      <c r="J2494">
        <f>IF(I2494="","",IF(COUNTIF(I$2:I2494,I2494)=1,MAX(J$1:J2493)+1,""))</f>
        <v/>
      </c>
    </row>
    <row r="2495">
      <c r="A2495">
        <f>IFERROR(--SUBSTITUTE(SUBSTITUTE(TRIM(INDEX(INDIRECT("'Выгрузка'!A2495:Z2495"),Настройки!$B$7)),",","."),".",MID(1/2,2,1)),"")</f>
        <v/>
      </c>
      <c r="B2495">
        <f>IFERROR(--SUBSTITUTE(SUBSTITUTE(TRIM(INDEX(INDIRECT("'Выгрузка'!A2495:Z2495"),Настройки!$B$9)),",","."),".",MID(1/2,2,1)),"")</f>
        <v/>
      </c>
      <c r="C2495">
        <f>TRIM(INDEX(INDIRECT("'Выгрузка'!A2495:Z2495"),Настройки!$B$8)&amp;"")</f>
        <v/>
      </c>
      <c r="D2495">
        <f>IFERROR(--SUBSTITUTE(SUBSTITUTE(TRIM(INDEX(INDIRECT("'Выгрузка'!A2495:Z2495"),Настройки!$B$10)),",","."),".",MID(1/2,2,1)),"")</f>
        <v/>
      </c>
      <c r="E2495">
        <f>IFERROR(--SUBSTITUTE(SUBSTITUTE(TRIM(INDEX(INDIRECT("'Выгрузка'!A2495:Z2495"),Настройки!$B$11)),",","."),".",MID(1/2,2,1)),"")</f>
        <v/>
      </c>
      <c r="F2495">
        <f>TRIM(INDEX(INDIRECT("'Выгрузка'!A2495:Z2495"),Настройки!$B$12)&amp;"")</f>
        <v/>
      </c>
      <c r="G2495">
        <f>IF(F2495="",0,IF(TRIM(INDEX(INDIRECT("'Выгрузка'!A2495:Z2495"),Настройки!$B$13)&amp;"")="",1,IFERROR(--SUBSTITUTE(SUBSTITUTE(TRIM(INDEX(INDIRECT("'Выгрузка'!A2495:Z2495"),Настройки!$B$13)),",","."),".",MID(1/2,2,1)),"")))</f>
        <v/>
      </c>
      <c r="H2495">
        <f>IF(F2495="",0,IF(COUNTIF(Настройки!$B$17:$B$26,F2495)&gt;0,1,IF(COUNTIF(Настройки!$C$17:$C$26,F2495)&gt;0,2,IF(COUNTIF(Настройки!$D$17:$D$26,F2495)&gt;0,3,0))))</f>
        <v/>
      </c>
      <c r="I2495">
        <f>IF(AND(ISNUMBER(A2495),ISNUMBER(B2495)),A2495*1000+B2495,"")</f>
        <v/>
      </c>
      <c r="J2495">
        <f>IF(I2495="","",IF(COUNTIF(I$2:I2495,I2495)=1,MAX(J$1:J2494)+1,""))</f>
        <v/>
      </c>
    </row>
    <row r="2496">
      <c r="A2496">
        <f>IFERROR(--SUBSTITUTE(SUBSTITUTE(TRIM(INDEX(INDIRECT("'Выгрузка'!A2496:Z2496"),Настройки!$B$7)),",","."),".",MID(1/2,2,1)),"")</f>
        <v/>
      </c>
      <c r="B2496">
        <f>IFERROR(--SUBSTITUTE(SUBSTITUTE(TRIM(INDEX(INDIRECT("'Выгрузка'!A2496:Z2496"),Настройки!$B$9)),",","."),".",MID(1/2,2,1)),"")</f>
        <v/>
      </c>
      <c r="C2496">
        <f>TRIM(INDEX(INDIRECT("'Выгрузка'!A2496:Z2496"),Настройки!$B$8)&amp;"")</f>
        <v/>
      </c>
      <c r="D2496">
        <f>IFERROR(--SUBSTITUTE(SUBSTITUTE(TRIM(INDEX(INDIRECT("'Выгрузка'!A2496:Z2496"),Настройки!$B$10)),",","."),".",MID(1/2,2,1)),"")</f>
        <v/>
      </c>
      <c r="E2496">
        <f>IFERROR(--SUBSTITUTE(SUBSTITUTE(TRIM(INDEX(INDIRECT("'Выгрузка'!A2496:Z2496"),Настройки!$B$11)),",","."),".",MID(1/2,2,1)),"")</f>
        <v/>
      </c>
      <c r="F2496">
        <f>TRIM(INDEX(INDIRECT("'Выгрузка'!A2496:Z2496"),Настройки!$B$12)&amp;"")</f>
        <v/>
      </c>
      <c r="G2496">
        <f>IF(F2496="",0,IF(TRIM(INDEX(INDIRECT("'Выгрузка'!A2496:Z2496"),Настройки!$B$13)&amp;"")="",1,IFERROR(--SUBSTITUTE(SUBSTITUTE(TRIM(INDEX(INDIRECT("'Выгрузка'!A2496:Z2496"),Настройки!$B$13)),",","."),".",MID(1/2,2,1)),"")))</f>
        <v/>
      </c>
      <c r="H2496">
        <f>IF(F2496="",0,IF(COUNTIF(Настройки!$B$17:$B$26,F2496)&gt;0,1,IF(COUNTIF(Настройки!$C$17:$C$26,F2496)&gt;0,2,IF(COUNTIF(Настройки!$D$17:$D$26,F2496)&gt;0,3,0))))</f>
        <v/>
      </c>
      <c r="I2496">
        <f>IF(AND(ISNUMBER(A2496),ISNUMBER(B2496)),A2496*1000+B2496,"")</f>
        <v/>
      </c>
      <c r="J2496">
        <f>IF(I2496="","",IF(COUNTIF(I$2:I2496,I2496)=1,MAX(J$1:J2495)+1,""))</f>
        <v/>
      </c>
    </row>
    <row r="2497">
      <c r="A2497">
        <f>IFERROR(--SUBSTITUTE(SUBSTITUTE(TRIM(INDEX(INDIRECT("'Выгрузка'!A2497:Z2497"),Настройки!$B$7)),",","."),".",MID(1/2,2,1)),"")</f>
        <v/>
      </c>
      <c r="B2497">
        <f>IFERROR(--SUBSTITUTE(SUBSTITUTE(TRIM(INDEX(INDIRECT("'Выгрузка'!A2497:Z2497"),Настройки!$B$9)),",","."),".",MID(1/2,2,1)),"")</f>
        <v/>
      </c>
      <c r="C2497">
        <f>TRIM(INDEX(INDIRECT("'Выгрузка'!A2497:Z2497"),Настройки!$B$8)&amp;"")</f>
        <v/>
      </c>
      <c r="D2497">
        <f>IFERROR(--SUBSTITUTE(SUBSTITUTE(TRIM(INDEX(INDIRECT("'Выгрузка'!A2497:Z2497"),Настройки!$B$10)),",","."),".",MID(1/2,2,1)),"")</f>
        <v/>
      </c>
      <c r="E2497">
        <f>IFERROR(--SUBSTITUTE(SUBSTITUTE(TRIM(INDEX(INDIRECT("'Выгрузка'!A2497:Z2497"),Настройки!$B$11)),",","."),".",MID(1/2,2,1)),"")</f>
        <v/>
      </c>
      <c r="F2497">
        <f>TRIM(INDEX(INDIRECT("'Выгрузка'!A2497:Z2497"),Настройки!$B$12)&amp;"")</f>
        <v/>
      </c>
      <c r="G2497">
        <f>IF(F2497="",0,IF(TRIM(INDEX(INDIRECT("'Выгрузка'!A2497:Z2497"),Настройки!$B$13)&amp;"")="",1,IFERROR(--SUBSTITUTE(SUBSTITUTE(TRIM(INDEX(INDIRECT("'Выгрузка'!A2497:Z2497"),Настройки!$B$13)),",","."),".",MID(1/2,2,1)),"")))</f>
        <v/>
      </c>
      <c r="H2497">
        <f>IF(F2497="",0,IF(COUNTIF(Настройки!$B$17:$B$26,F2497)&gt;0,1,IF(COUNTIF(Настройки!$C$17:$C$26,F2497)&gt;0,2,IF(COUNTIF(Настройки!$D$17:$D$26,F2497)&gt;0,3,0))))</f>
        <v/>
      </c>
      <c r="I2497">
        <f>IF(AND(ISNUMBER(A2497),ISNUMBER(B2497)),A2497*1000+B2497,"")</f>
        <v/>
      </c>
      <c r="J2497">
        <f>IF(I2497="","",IF(COUNTIF(I$2:I2497,I2497)=1,MAX(J$1:J2496)+1,""))</f>
        <v/>
      </c>
    </row>
    <row r="2498">
      <c r="A2498">
        <f>IFERROR(--SUBSTITUTE(SUBSTITUTE(TRIM(INDEX(INDIRECT("'Выгрузка'!A2498:Z2498"),Настройки!$B$7)),",","."),".",MID(1/2,2,1)),"")</f>
        <v/>
      </c>
      <c r="B2498">
        <f>IFERROR(--SUBSTITUTE(SUBSTITUTE(TRIM(INDEX(INDIRECT("'Выгрузка'!A2498:Z2498"),Настройки!$B$9)),",","."),".",MID(1/2,2,1)),"")</f>
        <v/>
      </c>
      <c r="C2498">
        <f>TRIM(INDEX(INDIRECT("'Выгрузка'!A2498:Z2498"),Настройки!$B$8)&amp;"")</f>
        <v/>
      </c>
      <c r="D2498">
        <f>IFERROR(--SUBSTITUTE(SUBSTITUTE(TRIM(INDEX(INDIRECT("'Выгрузка'!A2498:Z2498"),Настройки!$B$10)),",","."),".",MID(1/2,2,1)),"")</f>
        <v/>
      </c>
      <c r="E2498">
        <f>IFERROR(--SUBSTITUTE(SUBSTITUTE(TRIM(INDEX(INDIRECT("'Выгрузка'!A2498:Z2498"),Настройки!$B$11)),",","."),".",MID(1/2,2,1)),"")</f>
        <v/>
      </c>
      <c r="F2498">
        <f>TRIM(INDEX(INDIRECT("'Выгрузка'!A2498:Z2498"),Настройки!$B$12)&amp;"")</f>
        <v/>
      </c>
      <c r="G2498">
        <f>IF(F2498="",0,IF(TRIM(INDEX(INDIRECT("'Выгрузка'!A2498:Z2498"),Настройки!$B$13)&amp;"")="",1,IFERROR(--SUBSTITUTE(SUBSTITUTE(TRIM(INDEX(INDIRECT("'Выгрузка'!A2498:Z2498"),Настройки!$B$13)),",","."),".",MID(1/2,2,1)),"")))</f>
        <v/>
      </c>
      <c r="H2498">
        <f>IF(F2498="",0,IF(COUNTIF(Настройки!$B$17:$B$26,F2498)&gt;0,1,IF(COUNTIF(Настройки!$C$17:$C$26,F2498)&gt;0,2,IF(COUNTIF(Настройки!$D$17:$D$26,F2498)&gt;0,3,0))))</f>
        <v/>
      </c>
      <c r="I2498">
        <f>IF(AND(ISNUMBER(A2498),ISNUMBER(B2498)),A2498*1000+B2498,"")</f>
        <v/>
      </c>
      <c r="J2498">
        <f>IF(I2498="","",IF(COUNTIF(I$2:I2498,I2498)=1,MAX(J$1:J2497)+1,""))</f>
        <v/>
      </c>
    </row>
    <row r="2499">
      <c r="A2499">
        <f>IFERROR(--SUBSTITUTE(SUBSTITUTE(TRIM(INDEX(INDIRECT("'Выгрузка'!A2499:Z2499"),Настройки!$B$7)),",","."),".",MID(1/2,2,1)),"")</f>
        <v/>
      </c>
      <c r="B2499">
        <f>IFERROR(--SUBSTITUTE(SUBSTITUTE(TRIM(INDEX(INDIRECT("'Выгрузка'!A2499:Z2499"),Настройки!$B$9)),",","."),".",MID(1/2,2,1)),"")</f>
        <v/>
      </c>
      <c r="C2499">
        <f>TRIM(INDEX(INDIRECT("'Выгрузка'!A2499:Z2499"),Настройки!$B$8)&amp;"")</f>
        <v/>
      </c>
      <c r="D2499">
        <f>IFERROR(--SUBSTITUTE(SUBSTITUTE(TRIM(INDEX(INDIRECT("'Выгрузка'!A2499:Z2499"),Настройки!$B$10)),",","."),".",MID(1/2,2,1)),"")</f>
        <v/>
      </c>
      <c r="E2499">
        <f>IFERROR(--SUBSTITUTE(SUBSTITUTE(TRIM(INDEX(INDIRECT("'Выгрузка'!A2499:Z2499"),Настройки!$B$11)),",","."),".",MID(1/2,2,1)),"")</f>
        <v/>
      </c>
      <c r="F2499">
        <f>TRIM(INDEX(INDIRECT("'Выгрузка'!A2499:Z2499"),Настройки!$B$12)&amp;"")</f>
        <v/>
      </c>
      <c r="G2499">
        <f>IF(F2499="",0,IF(TRIM(INDEX(INDIRECT("'Выгрузка'!A2499:Z2499"),Настройки!$B$13)&amp;"")="",1,IFERROR(--SUBSTITUTE(SUBSTITUTE(TRIM(INDEX(INDIRECT("'Выгрузка'!A2499:Z2499"),Настройки!$B$13)),",","."),".",MID(1/2,2,1)),"")))</f>
        <v/>
      </c>
      <c r="H2499">
        <f>IF(F2499="",0,IF(COUNTIF(Настройки!$B$17:$B$26,F2499)&gt;0,1,IF(COUNTIF(Настройки!$C$17:$C$26,F2499)&gt;0,2,IF(COUNTIF(Настройки!$D$17:$D$26,F2499)&gt;0,3,0))))</f>
        <v/>
      </c>
      <c r="I2499">
        <f>IF(AND(ISNUMBER(A2499),ISNUMBER(B2499)),A2499*1000+B2499,"")</f>
        <v/>
      </c>
      <c r="J2499">
        <f>IF(I2499="","",IF(COUNTIF(I$2:I2499,I2499)=1,MAX(J$1:J2498)+1,""))</f>
        <v/>
      </c>
    </row>
    <row r="2500">
      <c r="A2500">
        <f>IFERROR(--SUBSTITUTE(SUBSTITUTE(TRIM(INDEX(INDIRECT("'Выгрузка'!A2500:Z2500"),Настройки!$B$7)),",","."),".",MID(1/2,2,1)),"")</f>
        <v/>
      </c>
      <c r="B2500">
        <f>IFERROR(--SUBSTITUTE(SUBSTITUTE(TRIM(INDEX(INDIRECT("'Выгрузка'!A2500:Z2500"),Настройки!$B$9)),",","."),".",MID(1/2,2,1)),"")</f>
        <v/>
      </c>
      <c r="C2500">
        <f>TRIM(INDEX(INDIRECT("'Выгрузка'!A2500:Z2500"),Настройки!$B$8)&amp;"")</f>
        <v/>
      </c>
      <c r="D2500">
        <f>IFERROR(--SUBSTITUTE(SUBSTITUTE(TRIM(INDEX(INDIRECT("'Выгрузка'!A2500:Z2500"),Настройки!$B$10)),",","."),".",MID(1/2,2,1)),"")</f>
        <v/>
      </c>
      <c r="E2500">
        <f>IFERROR(--SUBSTITUTE(SUBSTITUTE(TRIM(INDEX(INDIRECT("'Выгрузка'!A2500:Z2500"),Настройки!$B$11)),",","."),".",MID(1/2,2,1)),"")</f>
        <v/>
      </c>
      <c r="F2500">
        <f>TRIM(INDEX(INDIRECT("'Выгрузка'!A2500:Z2500"),Настройки!$B$12)&amp;"")</f>
        <v/>
      </c>
      <c r="G2500">
        <f>IF(F2500="",0,IF(TRIM(INDEX(INDIRECT("'Выгрузка'!A2500:Z2500"),Настройки!$B$13)&amp;"")="",1,IFERROR(--SUBSTITUTE(SUBSTITUTE(TRIM(INDEX(INDIRECT("'Выгрузка'!A2500:Z2500"),Настройки!$B$13)),",","."),".",MID(1/2,2,1)),"")))</f>
        <v/>
      </c>
      <c r="H2500">
        <f>IF(F2500="",0,IF(COUNTIF(Настройки!$B$17:$B$26,F2500)&gt;0,1,IF(COUNTIF(Настройки!$C$17:$C$26,F2500)&gt;0,2,IF(COUNTIF(Настройки!$D$17:$D$26,F2500)&gt;0,3,0))))</f>
        <v/>
      </c>
      <c r="I2500">
        <f>IF(AND(ISNUMBER(A2500),ISNUMBER(B2500)),A2500*1000+B2500,"")</f>
        <v/>
      </c>
      <c r="J2500">
        <f>IF(I2500="","",IF(COUNTIF(I$2:I2500,I2500)=1,MAX(J$1:J2499)+1,""))</f>
        <v/>
      </c>
    </row>
    <row r="2501">
      <c r="A2501">
        <f>IFERROR(--SUBSTITUTE(SUBSTITUTE(TRIM(INDEX(INDIRECT("'Выгрузка'!A2501:Z2501"),Настройки!$B$7)),",","."),".",MID(1/2,2,1)),"")</f>
        <v/>
      </c>
      <c r="B2501">
        <f>IFERROR(--SUBSTITUTE(SUBSTITUTE(TRIM(INDEX(INDIRECT("'Выгрузка'!A2501:Z2501"),Настройки!$B$9)),",","."),".",MID(1/2,2,1)),"")</f>
        <v/>
      </c>
      <c r="C2501">
        <f>TRIM(INDEX(INDIRECT("'Выгрузка'!A2501:Z2501"),Настройки!$B$8)&amp;"")</f>
        <v/>
      </c>
      <c r="D2501">
        <f>IFERROR(--SUBSTITUTE(SUBSTITUTE(TRIM(INDEX(INDIRECT("'Выгрузка'!A2501:Z2501"),Настройки!$B$10)),",","."),".",MID(1/2,2,1)),"")</f>
        <v/>
      </c>
      <c r="E2501">
        <f>IFERROR(--SUBSTITUTE(SUBSTITUTE(TRIM(INDEX(INDIRECT("'Выгрузка'!A2501:Z2501"),Настройки!$B$11)),",","."),".",MID(1/2,2,1)),"")</f>
        <v/>
      </c>
      <c r="F2501">
        <f>TRIM(INDEX(INDIRECT("'Выгрузка'!A2501:Z2501"),Настройки!$B$12)&amp;"")</f>
        <v/>
      </c>
      <c r="G2501">
        <f>IF(F2501="",0,IF(TRIM(INDEX(INDIRECT("'Выгрузка'!A2501:Z2501"),Настройки!$B$13)&amp;"")="",1,IFERROR(--SUBSTITUTE(SUBSTITUTE(TRIM(INDEX(INDIRECT("'Выгрузка'!A2501:Z2501"),Настройки!$B$13)),",","."),".",MID(1/2,2,1)),"")))</f>
        <v/>
      </c>
      <c r="H2501">
        <f>IF(F2501="",0,IF(COUNTIF(Настройки!$B$17:$B$26,F2501)&gt;0,1,IF(COUNTIF(Настройки!$C$17:$C$26,F2501)&gt;0,2,IF(COUNTIF(Настройки!$D$17:$D$26,F2501)&gt;0,3,0))))</f>
        <v/>
      </c>
      <c r="I2501">
        <f>IF(AND(ISNUMBER(A2501),ISNUMBER(B2501)),A2501*1000+B2501,"")</f>
        <v/>
      </c>
      <c r="J2501">
        <f>IF(I2501="","",IF(COUNTIF(I$2:I2501,I2501)=1,MAX(J$1:J2500)+1,""))</f>
        <v/>
      </c>
    </row>
    <row r="2502">
      <c r="A2502">
        <f>IFERROR(--SUBSTITUTE(SUBSTITUTE(TRIM(INDEX(INDIRECT("'Выгрузка'!A2502:Z2502"),Настройки!$B$7)),",","."),".",MID(1/2,2,1)),"")</f>
        <v/>
      </c>
      <c r="B2502">
        <f>IFERROR(--SUBSTITUTE(SUBSTITUTE(TRIM(INDEX(INDIRECT("'Выгрузка'!A2502:Z2502"),Настройки!$B$9)),",","."),".",MID(1/2,2,1)),"")</f>
        <v/>
      </c>
      <c r="C2502">
        <f>TRIM(INDEX(INDIRECT("'Выгрузка'!A2502:Z2502"),Настройки!$B$8)&amp;"")</f>
        <v/>
      </c>
      <c r="D2502">
        <f>IFERROR(--SUBSTITUTE(SUBSTITUTE(TRIM(INDEX(INDIRECT("'Выгрузка'!A2502:Z2502"),Настройки!$B$10)),",","."),".",MID(1/2,2,1)),"")</f>
        <v/>
      </c>
      <c r="E2502">
        <f>IFERROR(--SUBSTITUTE(SUBSTITUTE(TRIM(INDEX(INDIRECT("'Выгрузка'!A2502:Z2502"),Настройки!$B$11)),",","."),".",MID(1/2,2,1)),"")</f>
        <v/>
      </c>
      <c r="F2502">
        <f>TRIM(INDEX(INDIRECT("'Выгрузка'!A2502:Z2502"),Настройки!$B$12)&amp;"")</f>
        <v/>
      </c>
      <c r="G2502">
        <f>IF(F2502="",0,IF(TRIM(INDEX(INDIRECT("'Выгрузка'!A2502:Z2502"),Настройки!$B$13)&amp;"")="",1,IFERROR(--SUBSTITUTE(SUBSTITUTE(TRIM(INDEX(INDIRECT("'Выгрузка'!A2502:Z2502"),Настройки!$B$13)),",","."),".",MID(1/2,2,1)),"")))</f>
        <v/>
      </c>
      <c r="H2502">
        <f>IF(F2502="",0,IF(COUNTIF(Настройки!$B$17:$B$26,F2502)&gt;0,1,IF(COUNTIF(Настройки!$C$17:$C$26,F2502)&gt;0,2,IF(COUNTIF(Настройки!$D$17:$D$26,F2502)&gt;0,3,0))))</f>
        <v/>
      </c>
      <c r="I2502">
        <f>IF(AND(ISNUMBER(A2502),ISNUMBER(B2502)),A2502*1000+B2502,"")</f>
        <v/>
      </c>
      <c r="J2502">
        <f>IF(I2502="","",IF(COUNTIF(I$2:I2502,I2502)=1,MAX(J$1:J2501)+1,""))</f>
        <v/>
      </c>
    </row>
    <row r="2503">
      <c r="A2503">
        <f>IFERROR(--SUBSTITUTE(SUBSTITUTE(TRIM(INDEX(INDIRECT("'Выгрузка'!A2503:Z2503"),Настройки!$B$7)),",","."),".",MID(1/2,2,1)),"")</f>
        <v/>
      </c>
      <c r="B2503">
        <f>IFERROR(--SUBSTITUTE(SUBSTITUTE(TRIM(INDEX(INDIRECT("'Выгрузка'!A2503:Z2503"),Настройки!$B$9)),",","."),".",MID(1/2,2,1)),"")</f>
        <v/>
      </c>
      <c r="C2503">
        <f>TRIM(INDEX(INDIRECT("'Выгрузка'!A2503:Z2503"),Настройки!$B$8)&amp;"")</f>
        <v/>
      </c>
      <c r="D2503">
        <f>IFERROR(--SUBSTITUTE(SUBSTITUTE(TRIM(INDEX(INDIRECT("'Выгрузка'!A2503:Z2503"),Настройки!$B$10)),",","."),".",MID(1/2,2,1)),"")</f>
        <v/>
      </c>
      <c r="E2503">
        <f>IFERROR(--SUBSTITUTE(SUBSTITUTE(TRIM(INDEX(INDIRECT("'Выгрузка'!A2503:Z2503"),Настройки!$B$11)),",","."),".",MID(1/2,2,1)),"")</f>
        <v/>
      </c>
      <c r="F2503">
        <f>TRIM(INDEX(INDIRECT("'Выгрузка'!A2503:Z2503"),Настройки!$B$12)&amp;"")</f>
        <v/>
      </c>
      <c r="G2503">
        <f>IF(F2503="",0,IF(TRIM(INDEX(INDIRECT("'Выгрузка'!A2503:Z2503"),Настройки!$B$13)&amp;"")="",1,IFERROR(--SUBSTITUTE(SUBSTITUTE(TRIM(INDEX(INDIRECT("'Выгрузка'!A2503:Z2503"),Настройки!$B$13)),",","."),".",MID(1/2,2,1)),"")))</f>
        <v/>
      </c>
      <c r="H2503">
        <f>IF(F2503="",0,IF(COUNTIF(Настройки!$B$17:$B$26,F2503)&gt;0,1,IF(COUNTIF(Настройки!$C$17:$C$26,F2503)&gt;0,2,IF(COUNTIF(Настройки!$D$17:$D$26,F2503)&gt;0,3,0))))</f>
        <v/>
      </c>
      <c r="I2503">
        <f>IF(AND(ISNUMBER(A2503),ISNUMBER(B2503)),A2503*1000+B2503,"")</f>
        <v/>
      </c>
      <c r="J2503">
        <f>IF(I2503="","",IF(COUNTIF(I$2:I2503,I2503)=1,MAX(J$1:J2502)+1,""))</f>
        <v/>
      </c>
    </row>
    <row r="2504">
      <c r="A2504">
        <f>IFERROR(--SUBSTITUTE(SUBSTITUTE(TRIM(INDEX(INDIRECT("'Выгрузка'!A2504:Z2504"),Настройки!$B$7)),",","."),".",MID(1/2,2,1)),"")</f>
        <v/>
      </c>
      <c r="B2504">
        <f>IFERROR(--SUBSTITUTE(SUBSTITUTE(TRIM(INDEX(INDIRECT("'Выгрузка'!A2504:Z2504"),Настройки!$B$9)),",","."),".",MID(1/2,2,1)),"")</f>
        <v/>
      </c>
      <c r="C2504">
        <f>TRIM(INDEX(INDIRECT("'Выгрузка'!A2504:Z2504"),Настройки!$B$8)&amp;"")</f>
        <v/>
      </c>
      <c r="D2504">
        <f>IFERROR(--SUBSTITUTE(SUBSTITUTE(TRIM(INDEX(INDIRECT("'Выгрузка'!A2504:Z2504"),Настройки!$B$10)),",","."),".",MID(1/2,2,1)),"")</f>
        <v/>
      </c>
      <c r="E2504">
        <f>IFERROR(--SUBSTITUTE(SUBSTITUTE(TRIM(INDEX(INDIRECT("'Выгрузка'!A2504:Z2504"),Настройки!$B$11)),",","."),".",MID(1/2,2,1)),"")</f>
        <v/>
      </c>
      <c r="F2504">
        <f>TRIM(INDEX(INDIRECT("'Выгрузка'!A2504:Z2504"),Настройки!$B$12)&amp;"")</f>
        <v/>
      </c>
      <c r="G2504">
        <f>IF(F2504="",0,IF(TRIM(INDEX(INDIRECT("'Выгрузка'!A2504:Z2504"),Настройки!$B$13)&amp;"")="",1,IFERROR(--SUBSTITUTE(SUBSTITUTE(TRIM(INDEX(INDIRECT("'Выгрузка'!A2504:Z2504"),Настройки!$B$13)),",","."),".",MID(1/2,2,1)),"")))</f>
        <v/>
      </c>
      <c r="H2504">
        <f>IF(F2504="",0,IF(COUNTIF(Настройки!$B$17:$B$26,F2504)&gt;0,1,IF(COUNTIF(Настройки!$C$17:$C$26,F2504)&gt;0,2,IF(COUNTIF(Настройки!$D$17:$D$26,F2504)&gt;0,3,0))))</f>
        <v/>
      </c>
      <c r="I2504">
        <f>IF(AND(ISNUMBER(A2504),ISNUMBER(B2504)),A2504*1000+B2504,"")</f>
        <v/>
      </c>
      <c r="J2504">
        <f>IF(I2504="","",IF(COUNTIF(I$2:I2504,I2504)=1,MAX(J$1:J2503)+1,""))</f>
        <v/>
      </c>
    </row>
    <row r="2505">
      <c r="A2505">
        <f>IFERROR(--SUBSTITUTE(SUBSTITUTE(TRIM(INDEX(INDIRECT("'Выгрузка'!A2505:Z2505"),Настройки!$B$7)),",","."),".",MID(1/2,2,1)),"")</f>
        <v/>
      </c>
      <c r="B2505">
        <f>IFERROR(--SUBSTITUTE(SUBSTITUTE(TRIM(INDEX(INDIRECT("'Выгрузка'!A2505:Z2505"),Настройки!$B$9)),",","."),".",MID(1/2,2,1)),"")</f>
        <v/>
      </c>
      <c r="C2505">
        <f>TRIM(INDEX(INDIRECT("'Выгрузка'!A2505:Z2505"),Настройки!$B$8)&amp;"")</f>
        <v/>
      </c>
      <c r="D2505">
        <f>IFERROR(--SUBSTITUTE(SUBSTITUTE(TRIM(INDEX(INDIRECT("'Выгрузка'!A2505:Z2505"),Настройки!$B$10)),",","."),".",MID(1/2,2,1)),"")</f>
        <v/>
      </c>
      <c r="E2505">
        <f>IFERROR(--SUBSTITUTE(SUBSTITUTE(TRIM(INDEX(INDIRECT("'Выгрузка'!A2505:Z2505"),Настройки!$B$11)),",","."),".",MID(1/2,2,1)),"")</f>
        <v/>
      </c>
      <c r="F2505">
        <f>TRIM(INDEX(INDIRECT("'Выгрузка'!A2505:Z2505"),Настройки!$B$12)&amp;"")</f>
        <v/>
      </c>
      <c r="G2505">
        <f>IF(F2505="",0,IF(TRIM(INDEX(INDIRECT("'Выгрузка'!A2505:Z2505"),Настройки!$B$13)&amp;"")="",1,IFERROR(--SUBSTITUTE(SUBSTITUTE(TRIM(INDEX(INDIRECT("'Выгрузка'!A2505:Z2505"),Настройки!$B$13)),",","."),".",MID(1/2,2,1)),"")))</f>
        <v/>
      </c>
      <c r="H2505">
        <f>IF(F2505="",0,IF(COUNTIF(Настройки!$B$17:$B$26,F2505)&gt;0,1,IF(COUNTIF(Настройки!$C$17:$C$26,F2505)&gt;0,2,IF(COUNTIF(Настройки!$D$17:$D$26,F2505)&gt;0,3,0))))</f>
        <v/>
      </c>
      <c r="I2505">
        <f>IF(AND(ISNUMBER(A2505),ISNUMBER(B2505)),A2505*1000+B2505,"")</f>
        <v/>
      </c>
      <c r="J2505">
        <f>IF(I2505="","",IF(COUNTIF(I$2:I2505,I2505)=1,MAX(J$1:J2504)+1,""))</f>
        <v/>
      </c>
    </row>
    <row r="2506">
      <c r="A2506">
        <f>IFERROR(--SUBSTITUTE(SUBSTITUTE(TRIM(INDEX(INDIRECT("'Выгрузка'!A2506:Z2506"),Настройки!$B$7)),",","."),".",MID(1/2,2,1)),"")</f>
        <v/>
      </c>
      <c r="B2506">
        <f>IFERROR(--SUBSTITUTE(SUBSTITUTE(TRIM(INDEX(INDIRECT("'Выгрузка'!A2506:Z2506"),Настройки!$B$9)),",","."),".",MID(1/2,2,1)),"")</f>
        <v/>
      </c>
      <c r="C2506">
        <f>TRIM(INDEX(INDIRECT("'Выгрузка'!A2506:Z2506"),Настройки!$B$8)&amp;"")</f>
        <v/>
      </c>
      <c r="D2506">
        <f>IFERROR(--SUBSTITUTE(SUBSTITUTE(TRIM(INDEX(INDIRECT("'Выгрузка'!A2506:Z2506"),Настройки!$B$10)),",","."),".",MID(1/2,2,1)),"")</f>
        <v/>
      </c>
      <c r="E2506">
        <f>IFERROR(--SUBSTITUTE(SUBSTITUTE(TRIM(INDEX(INDIRECT("'Выгрузка'!A2506:Z2506"),Настройки!$B$11)),",","."),".",MID(1/2,2,1)),"")</f>
        <v/>
      </c>
      <c r="F2506">
        <f>TRIM(INDEX(INDIRECT("'Выгрузка'!A2506:Z2506"),Настройки!$B$12)&amp;"")</f>
        <v/>
      </c>
      <c r="G2506">
        <f>IF(F2506="",0,IF(TRIM(INDEX(INDIRECT("'Выгрузка'!A2506:Z2506"),Настройки!$B$13)&amp;"")="",1,IFERROR(--SUBSTITUTE(SUBSTITUTE(TRIM(INDEX(INDIRECT("'Выгрузка'!A2506:Z2506"),Настройки!$B$13)),",","."),".",MID(1/2,2,1)),"")))</f>
        <v/>
      </c>
      <c r="H2506">
        <f>IF(F2506="",0,IF(COUNTIF(Настройки!$B$17:$B$26,F2506)&gt;0,1,IF(COUNTIF(Настройки!$C$17:$C$26,F2506)&gt;0,2,IF(COUNTIF(Настройки!$D$17:$D$26,F2506)&gt;0,3,0))))</f>
        <v/>
      </c>
      <c r="I2506">
        <f>IF(AND(ISNUMBER(A2506),ISNUMBER(B2506)),A2506*1000+B2506,"")</f>
        <v/>
      </c>
      <c r="J2506">
        <f>IF(I2506="","",IF(COUNTIF(I$2:I2506,I2506)=1,MAX(J$1:J2505)+1,""))</f>
        <v/>
      </c>
    </row>
    <row r="2507">
      <c r="A2507">
        <f>IFERROR(--SUBSTITUTE(SUBSTITUTE(TRIM(INDEX(INDIRECT("'Выгрузка'!A2507:Z2507"),Настройки!$B$7)),",","."),".",MID(1/2,2,1)),"")</f>
        <v/>
      </c>
      <c r="B2507">
        <f>IFERROR(--SUBSTITUTE(SUBSTITUTE(TRIM(INDEX(INDIRECT("'Выгрузка'!A2507:Z2507"),Настройки!$B$9)),",","."),".",MID(1/2,2,1)),"")</f>
        <v/>
      </c>
      <c r="C2507">
        <f>TRIM(INDEX(INDIRECT("'Выгрузка'!A2507:Z2507"),Настройки!$B$8)&amp;"")</f>
        <v/>
      </c>
      <c r="D2507">
        <f>IFERROR(--SUBSTITUTE(SUBSTITUTE(TRIM(INDEX(INDIRECT("'Выгрузка'!A2507:Z2507"),Настройки!$B$10)),",","."),".",MID(1/2,2,1)),"")</f>
        <v/>
      </c>
      <c r="E2507">
        <f>IFERROR(--SUBSTITUTE(SUBSTITUTE(TRIM(INDEX(INDIRECT("'Выгрузка'!A2507:Z2507"),Настройки!$B$11)),",","."),".",MID(1/2,2,1)),"")</f>
        <v/>
      </c>
      <c r="F2507">
        <f>TRIM(INDEX(INDIRECT("'Выгрузка'!A2507:Z2507"),Настройки!$B$12)&amp;"")</f>
        <v/>
      </c>
      <c r="G2507">
        <f>IF(F2507="",0,IF(TRIM(INDEX(INDIRECT("'Выгрузка'!A2507:Z2507"),Настройки!$B$13)&amp;"")="",1,IFERROR(--SUBSTITUTE(SUBSTITUTE(TRIM(INDEX(INDIRECT("'Выгрузка'!A2507:Z2507"),Настройки!$B$13)),",","."),".",MID(1/2,2,1)),"")))</f>
        <v/>
      </c>
      <c r="H2507">
        <f>IF(F2507="",0,IF(COUNTIF(Настройки!$B$17:$B$26,F2507)&gt;0,1,IF(COUNTIF(Настройки!$C$17:$C$26,F2507)&gt;0,2,IF(COUNTIF(Настройки!$D$17:$D$26,F2507)&gt;0,3,0))))</f>
        <v/>
      </c>
      <c r="I2507">
        <f>IF(AND(ISNUMBER(A2507),ISNUMBER(B2507)),A2507*1000+B2507,"")</f>
        <v/>
      </c>
      <c r="J2507">
        <f>IF(I2507="","",IF(COUNTIF(I$2:I2507,I2507)=1,MAX(J$1:J2506)+1,""))</f>
        <v/>
      </c>
    </row>
    <row r="2508">
      <c r="A2508">
        <f>IFERROR(--SUBSTITUTE(SUBSTITUTE(TRIM(INDEX(INDIRECT("'Выгрузка'!A2508:Z2508"),Настройки!$B$7)),",","."),".",MID(1/2,2,1)),"")</f>
        <v/>
      </c>
      <c r="B2508">
        <f>IFERROR(--SUBSTITUTE(SUBSTITUTE(TRIM(INDEX(INDIRECT("'Выгрузка'!A2508:Z2508"),Настройки!$B$9)),",","."),".",MID(1/2,2,1)),"")</f>
        <v/>
      </c>
      <c r="C2508">
        <f>TRIM(INDEX(INDIRECT("'Выгрузка'!A2508:Z2508"),Настройки!$B$8)&amp;"")</f>
        <v/>
      </c>
      <c r="D2508">
        <f>IFERROR(--SUBSTITUTE(SUBSTITUTE(TRIM(INDEX(INDIRECT("'Выгрузка'!A2508:Z2508"),Настройки!$B$10)),",","."),".",MID(1/2,2,1)),"")</f>
        <v/>
      </c>
      <c r="E2508">
        <f>IFERROR(--SUBSTITUTE(SUBSTITUTE(TRIM(INDEX(INDIRECT("'Выгрузка'!A2508:Z2508"),Настройки!$B$11)),",","."),".",MID(1/2,2,1)),"")</f>
        <v/>
      </c>
      <c r="F2508">
        <f>TRIM(INDEX(INDIRECT("'Выгрузка'!A2508:Z2508"),Настройки!$B$12)&amp;"")</f>
        <v/>
      </c>
      <c r="G2508">
        <f>IF(F2508="",0,IF(TRIM(INDEX(INDIRECT("'Выгрузка'!A2508:Z2508"),Настройки!$B$13)&amp;"")="",1,IFERROR(--SUBSTITUTE(SUBSTITUTE(TRIM(INDEX(INDIRECT("'Выгрузка'!A2508:Z2508"),Настройки!$B$13)),",","."),".",MID(1/2,2,1)),"")))</f>
        <v/>
      </c>
      <c r="H2508">
        <f>IF(F2508="",0,IF(COUNTIF(Настройки!$B$17:$B$26,F2508)&gt;0,1,IF(COUNTIF(Настройки!$C$17:$C$26,F2508)&gt;0,2,IF(COUNTIF(Настройки!$D$17:$D$26,F2508)&gt;0,3,0))))</f>
        <v/>
      </c>
      <c r="I2508">
        <f>IF(AND(ISNUMBER(A2508),ISNUMBER(B2508)),A2508*1000+B2508,"")</f>
        <v/>
      </c>
      <c r="J2508">
        <f>IF(I2508="","",IF(COUNTIF(I$2:I2508,I2508)=1,MAX(J$1:J2507)+1,""))</f>
        <v/>
      </c>
    </row>
    <row r="2509">
      <c r="A2509">
        <f>IFERROR(--SUBSTITUTE(SUBSTITUTE(TRIM(INDEX(INDIRECT("'Выгрузка'!A2509:Z2509"),Настройки!$B$7)),",","."),".",MID(1/2,2,1)),"")</f>
        <v/>
      </c>
      <c r="B2509">
        <f>IFERROR(--SUBSTITUTE(SUBSTITUTE(TRIM(INDEX(INDIRECT("'Выгрузка'!A2509:Z2509"),Настройки!$B$9)),",","."),".",MID(1/2,2,1)),"")</f>
        <v/>
      </c>
      <c r="C2509">
        <f>TRIM(INDEX(INDIRECT("'Выгрузка'!A2509:Z2509"),Настройки!$B$8)&amp;"")</f>
        <v/>
      </c>
      <c r="D2509">
        <f>IFERROR(--SUBSTITUTE(SUBSTITUTE(TRIM(INDEX(INDIRECT("'Выгрузка'!A2509:Z2509"),Настройки!$B$10)),",","."),".",MID(1/2,2,1)),"")</f>
        <v/>
      </c>
      <c r="E2509">
        <f>IFERROR(--SUBSTITUTE(SUBSTITUTE(TRIM(INDEX(INDIRECT("'Выгрузка'!A2509:Z2509"),Настройки!$B$11)),",","."),".",MID(1/2,2,1)),"")</f>
        <v/>
      </c>
      <c r="F2509">
        <f>TRIM(INDEX(INDIRECT("'Выгрузка'!A2509:Z2509"),Настройки!$B$12)&amp;"")</f>
        <v/>
      </c>
      <c r="G2509">
        <f>IF(F2509="",0,IF(TRIM(INDEX(INDIRECT("'Выгрузка'!A2509:Z2509"),Настройки!$B$13)&amp;"")="",1,IFERROR(--SUBSTITUTE(SUBSTITUTE(TRIM(INDEX(INDIRECT("'Выгрузка'!A2509:Z2509"),Настройки!$B$13)),",","."),".",MID(1/2,2,1)),"")))</f>
        <v/>
      </c>
      <c r="H2509">
        <f>IF(F2509="",0,IF(COUNTIF(Настройки!$B$17:$B$26,F2509)&gt;0,1,IF(COUNTIF(Настройки!$C$17:$C$26,F2509)&gt;0,2,IF(COUNTIF(Настройки!$D$17:$D$26,F2509)&gt;0,3,0))))</f>
        <v/>
      </c>
      <c r="I2509">
        <f>IF(AND(ISNUMBER(A2509),ISNUMBER(B2509)),A2509*1000+B2509,"")</f>
        <v/>
      </c>
      <c r="J2509">
        <f>IF(I2509="","",IF(COUNTIF(I$2:I2509,I2509)=1,MAX(J$1:J2508)+1,""))</f>
        <v/>
      </c>
    </row>
    <row r="2510">
      <c r="A2510">
        <f>IFERROR(--SUBSTITUTE(SUBSTITUTE(TRIM(INDEX(INDIRECT("'Выгрузка'!A2510:Z2510"),Настройки!$B$7)),",","."),".",MID(1/2,2,1)),"")</f>
        <v/>
      </c>
      <c r="B2510">
        <f>IFERROR(--SUBSTITUTE(SUBSTITUTE(TRIM(INDEX(INDIRECT("'Выгрузка'!A2510:Z2510"),Настройки!$B$9)),",","."),".",MID(1/2,2,1)),"")</f>
        <v/>
      </c>
      <c r="C2510">
        <f>TRIM(INDEX(INDIRECT("'Выгрузка'!A2510:Z2510"),Настройки!$B$8)&amp;"")</f>
        <v/>
      </c>
      <c r="D2510">
        <f>IFERROR(--SUBSTITUTE(SUBSTITUTE(TRIM(INDEX(INDIRECT("'Выгрузка'!A2510:Z2510"),Настройки!$B$10)),",","."),".",MID(1/2,2,1)),"")</f>
        <v/>
      </c>
      <c r="E2510">
        <f>IFERROR(--SUBSTITUTE(SUBSTITUTE(TRIM(INDEX(INDIRECT("'Выгрузка'!A2510:Z2510"),Настройки!$B$11)),",","."),".",MID(1/2,2,1)),"")</f>
        <v/>
      </c>
      <c r="F2510">
        <f>TRIM(INDEX(INDIRECT("'Выгрузка'!A2510:Z2510"),Настройки!$B$12)&amp;"")</f>
        <v/>
      </c>
      <c r="G2510">
        <f>IF(F2510="",0,IF(TRIM(INDEX(INDIRECT("'Выгрузка'!A2510:Z2510"),Настройки!$B$13)&amp;"")="",1,IFERROR(--SUBSTITUTE(SUBSTITUTE(TRIM(INDEX(INDIRECT("'Выгрузка'!A2510:Z2510"),Настройки!$B$13)),",","."),".",MID(1/2,2,1)),"")))</f>
        <v/>
      </c>
      <c r="H2510">
        <f>IF(F2510="",0,IF(COUNTIF(Настройки!$B$17:$B$26,F2510)&gt;0,1,IF(COUNTIF(Настройки!$C$17:$C$26,F2510)&gt;0,2,IF(COUNTIF(Настройки!$D$17:$D$26,F2510)&gt;0,3,0))))</f>
        <v/>
      </c>
      <c r="I2510">
        <f>IF(AND(ISNUMBER(A2510),ISNUMBER(B2510)),A2510*1000+B2510,"")</f>
        <v/>
      </c>
      <c r="J2510">
        <f>IF(I2510="","",IF(COUNTIF(I$2:I2510,I2510)=1,MAX(J$1:J2509)+1,""))</f>
        <v/>
      </c>
    </row>
    <row r="2511">
      <c r="A2511">
        <f>IFERROR(--SUBSTITUTE(SUBSTITUTE(TRIM(INDEX(INDIRECT("'Выгрузка'!A2511:Z2511"),Настройки!$B$7)),",","."),".",MID(1/2,2,1)),"")</f>
        <v/>
      </c>
      <c r="B2511">
        <f>IFERROR(--SUBSTITUTE(SUBSTITUTE(TRIM(INDEX(INDIRECT("'Выгрузка'!A2511:Z2511"),Настройки!$B$9)),",","."),".",MID(1/2,2,1)),"")</f>
        <v/>
      </c>
      <c r="C2511">
        <f>TRIM(INDEX(INDIRECT("'Выгрузка'!A2511:Z2511"),Настройки!$B$8)&amp;"")</f>
        <v/>
      </c>
      <c r="D2511">
        <f>IFERROR(--SUBSTITUTE(SUBSTITUTE(TRIM(INDEX(INDIRECT("'Выгрузка'!A2511:Z2511"),Настройки!$B$10)),",","."),".",MID(1/2,2,1)),"")</f>
        <v/>
      </c>
      <c r="E2511">
        <f>IFERROR(--SUBSTITUTE(SUBSTITUTE(TRIM(INDEX(INDIRECT("'Выгрузка'!A2511:Z2511"),Настройки!$B$11)),",","."),".",MID(1/2,2,1)),"")</f>
        <v/>
      </c>
      <c r="F2511">
        <f>TRIM(INDEX(INDIRECT("'Выгрузка'!A2511:Z2511"),Настройки!$B$12)&amp;"")</f>
        <v/>
      </c>
      <c r="G2511">
        <f>IF(F2511="",0,IF(TRIM(INDEX(INDIRECT("'Выгрузка'!A2511:Z2511"),Настройки!$B$13)&amp;"")="",1,IFERROR(--SUBSTITUTE(SUBSTITUTE(TRIM(INDEX(INDIRECT("'Выгрузка'!A2511:Z2511"),Настройки!$B$13)),",","."),".",MID(1/2,2,1)),"")))</f>
        <v/>
      </c>
      <c r="H2511">
        <f>IF(F2511="",0,IF(COUNTIF(Настройки!$B$17:$B$26,F2511)&gt;0,1,IF(COUNTIF(Настройки!$C$17:$C$26,F2511)&gt;0,2,IF(COUNTIF(Настройки!$D$17:$D$26,F2511)&gt;0,3,0))))</f>
        <v/>
      </c>
      <c r="I2511">
        <f>IF(AND(ISNUMBER(A2511),ISNUMBER(B2511)),A2511*1000+B2511,"")</f>
        <v/>
      </c>
      <c r="J2511">
        <f>IF(I2511="","",IF(COUNTIF(I$2:I2511,I2511)=1,MAX(J$1:J2510)+1,""))</f>
        <v/>
      </c>
    </row>
    <row r="2512">
      <c r="A2512">
        <f>IFERROR(--SUBSTITUTE(SUBSTITUTE(TRIM(INDEX(INDIRECT("'Выгрузка'!A2512:Z2512"),Настройки!$B$7)),",","."),".",MID(1/2,2,1)),"")</f>
        <v/>
      </c>
      <c r="B2512">
        <f>IFERROR(--SUBSTITUTE(SUBSTITUTE(TRIM(INDEX(INDIRECT("'Выгрузка'!A2512:Z2512"),Настройки!$B$9)),",","."),".",MID(1/2,2,1)),"")</f>
        <v/>
      </c>
      <c r="C2512">
        <f>TRIM(INDEX(INDIRECT("'Выгрузка'!A2512:Z2512"),Настройки!$B$8)&amp;"")</f>
        <v/>
      </c>
      <c r="D2512">
        <f>IFERROR(--SUBSTITUTE(SUBSTITUTE(TRIM(INDEX(INDIRECT("'Выгрузка'!A2512:Z2512"),Настройки!$B$10)),",","."),".",MID(1/2,2,1)),"")</f>
        <v/>
      </c>
      <c r="E2512">
        <f>IFERROR(--SUBSTITUTE(SUBSTITUTE(TRIM(INDEX(INDIRECT("'Выгрузка'!A2512:Z2512"),Настройки!$B$11)),",","."),".",MID(1/2,2,1)),"")</f>
        <v/>
      </c>
      <c r="F2512">
        <f>TRIM(INDEX(INDIRECT("'Выгрузка'!A2512:Z2512"),Настройки!$B$12)&amp;"")</f>
        <v/>
      </c>
      <c r="G2512">
        <f>IF(F2512="",0,IF(TRIM(INDEX(INDIRECT("'Выгрузка'!A2512:Z2512"),Настройки!$B$13)&amp;"")="",1,IFERROR(--SUBSTITUTE(SUBSTITUTE(TRIM(INDEX(INDIRECT("'Выгрузка'!A2512:Z2512"),Настройки!$B$13)),",","."),".",MID(1/2,2,1)),"")))</f>
        <v/>
      </c>
      <c r="H2512">
        <f>IF(F2512="",0,IF(COUNTIF(Настройки!$B$17:$B$26,F2512)&gt;0,1,IF(COUNTIF(Настройки!$C$17:$C$26,F2512)&gt;0,2,IF(COUNTIF(Настройки!$D$17:$D$26,F2512)&gt;0,3,0))))</f>
        <v/>
      </c>
      <c r="I2512">
        <f>IF(AND(ISNUMBER(A2512),ISNUMBER(B2512)),A2512*1000+B2512,"")</f>
        <v/>
      </c>
      <c r="J2512">
        <f>IF(I2512="","",IF(COUNTIF(I$2:I2512,I2512)=1,MAX(J$1:J2511)+1,""))</f>
        <v/>
      </c>
    </row>
    <row r="2513">
      <c r="A2513">
        <f>IFERROR(--SUBSTITUTE(SUBSTITUTE(TRIM(INDEX(INDIRECT("'Выгрузка'!A2513:Z2513"),Настройки!$B$7)),",","."),".",MID(1/2,2,1)),"")</f>
        <v/>
      </c>
      <c r="B2513">
        <f>IFERROR(--SUBSTITUTE(SUBSTITUTE(TRIM(INDEX(INDIRECT("'Выгрузка'!A2513:Z2513"),Настройки!$B$9)),",","."),".",MID(1/2,2,1)),"")</f>
        <v/>
      </c>
      <c r="C2513">
        <f>TRIM(INDEX(INDIRECT("'Выгрузка'!A2513:Z2513"),Настройки!$B$8)&amp;"")</f>
        <v/>
      </c>
      <c r="D2513">
        <f>IFERROR(--SUBSTITUTE(SUBSTITUTE(TRIM(INDEX(INDIRECT("'Выгрузка'!A2513:Z2513"),Настройки!$B$10)),",","."),".",MID(1/2,2,1)),"")</f>
        <v/>
      </c>
      <c r="E2513">
        <f>IFERROR(--SUBSTITUTE(SUBSTITUTE(TRIM(INDEX(INDIRECT("'Выгрузка'!A2513:Z2513"),Настройки!$B$11)),",","."),".",MID(1/2,2,1)),"")</f>
        <v/>
      </c>
      <c r="F2513">
        <f>TRIM(INDEX(INDIRECT("'Выгрузка'!A2513:Z2513"),Настройки!$B$12)&amp;"")</f>
        <v/>
      </c>
      <c r="G2513">
        <f>IF(F2513="",0,IF(TRIM(INDEX(INDIRECT("'Выгрузка'!A2513:Z2513"),Настройки!$B$13)&amp;"")="",1,IFERROR(--SUBSTITUTE(SUBSTITUTE(TRIM(INDEX(INDIRECT("'Выгрузка'!A2513:Z2513"),Настройки!$B$13)),",","."),".",MID(1/2,2,1)),"")))</f>
        <v/>
      </c>
      <c r="H2513">
        <f>IF(F2513="",0,IF(COUNTIF(Настройки!$B$17:$B$26,F2513)&gt;0,1,IF(COUNTIF(Настройки!$C$17:$C$26,F2513)&gt;0,2,IF(COUNTIF(Настройки!$D$17:$D$26,F2513)&gt;0,3,0))))</f>
        <v/>
      </c>
      <c r="I2513">
        <f>IF(AND(ISNUMBER(A2513),ISNUMBER(B2513)),A2513*1000+B2513,"")</f>
        <v/>
      </c>
      <c r="J2513">
        <f>IF(I2513="","",IF(COUNTIF(I$2:I2513,I2513)=1,MAX(J$1:J2512)+1,""))</f>
        <v/>
      </c>
    </row>
    <row r="2514">
      <c r="A2514">
        <f>IFERROR(--SUBSTITUTE(SUBSTITUTE(TRIM(INDEX(INDIRECT("'Выгрузка'!A2514:Z2514"),Настройки!$B$7)),",","."),".",MID(1/2,2,1)),"")</f>
        <v/>
      </c>
      <c r="B2514">
        <f>IFERROR(--SUBSTITUTE(SUBSTITUTE(TRIM(INDEX(INDIRECT("'Выгрузка'!A2514:Z2514"),Настройки!$B$9)),",","."),".",MID(1/2,2,1)),"")</f>
        <v/>
      </c>
      <c r="C2514">
        <f>TRIM(INDEX(INDIRECT("'Выгрузка'!A2514:Z2514"),Настройки!$B$8)&amp;"")</f>
        <v/>
      </c>
      <c r="D2514">
        <f>IFERROR(--SUBSTITUTE(SUBSTITUTE(TRIM(INDEX(INDIRECT("'Выгрузка'!A2514:Z2514"),Настройки!$B$10)),",","."),".",MID(1/2,2,1)),"")</f>
        <v/>
      </c>
      <c r="E2514">
        <f>IFERROR(--SUBSTITUTE(SUBSTITUTE(TRIM(INDEX(INDIRECT("'Выгрузка'!A2514:Z2514"),Настройки!$B$11)),",","."),".",MID(1/2,2,1)),"")</f>
        <v/>
      </c>
      <c r="F2514">
        <f>TRIM(INDEX(INDIRECT("'Выгрузка'!A2514:Z2514"),Настройки!$B$12)&amp;"")</f>
        <v/>
      </c>
      <c r="G2514">
        <f>IF(F2514="",0,IF(TRIM(INDEX(INDIRECT("'Выгрузка'!A2514:Z2514"),Настройки!$B$13)&amp;"")="",1,IFERROR(--SUBSTITUTE(SUBSTITUTE(TRIM(INDEX(INDIRECT("'Выгрузка'!A2514:Z2514"),Настройки!$B$13)),",","."),".",MID(1/2,2,1)),"")))</f>
        <v/>
      </c>
      <c r="H2514">
        <f>IF(F2514="",0,IF(COUNTIF(Настройки!$B$17:$B$26,F2514)&gt;0,1,IF(COUNTIF(Настройки!$C$17:$C$26,F2514)&gt;0,2,IF(COUNTIF(Настройки!$D$17:$D$26,F2514)&gt;0,3,0))))</f>
        <v/>
      </c>
      <c r="I2514">
        <f>IF(AND(ISNUMBER(A2514),ISNUMBER(B2514)),A2514*1000+B2514,"")</f>
        <v/>
      </c>
      <c r="J2514">
        <f>IF(I2514="","",IF(COUNTIF(I$2:I2514,I2514)=1,MAX(J$1:J2513)+1,""))</f>
        <v/>
      </c>
    </row>
    <row r="2515">
      <c r="A2515">
        <f>IFERROR(--SUBSTITUTE(SUBSTITUTE(TRIM(INDEX(INDIRECT("'Выгрузка'!A2515:Z2515"),Настройки!$B$7)),",","."),".",MID(1/2,2,1)),"")</f>
        <v/>
      </c>
      <c r="B2515">
        <f>IFERROR(--SUBSTITUTE(SUBSTITUTE(TRIM(INDEX(INDIRECT("'Выгрузка'!A2515:Z2515"),Настройки!$B$9)),",","."),".",MID(1/2,2,1)),"")</f>
        <v/>
      </c>
      <c r="C2515">
        <f>TRIM(INDEX(INDIRECT("'Выгрузка'!A2515:Z2515"),Настройки!$B$8)&amp;"")</f>
        <v/>
      </c>
      <c r="D2515">
        <f>IFERROR(--SUBSTITUTE(SUBSTITUTE(TRIM(INDEX(INDIRECT("'Выгрузка'!A2515:Z2515"),Настройки!$B$10)),",","."),".",MID(1/2,2,1)),"")</f>
        <v/>
      </c>
      <c r="E2515">
        <f>IFERROR(--SUBSTITUTE(SUBSTITUTE(TRIM(INDEX(INDIRECT("'Выгрузка'!A2515:Z2515"),Настройки!$B$11)),",","."),".",MID(1/2,2,1)),"")</f>
        <v/>
      </c>
      <c r="F2515">
        <f>TRIM(INDEX(INDIRECT("'Выгрузка'!A2515:Z2515"),Настройки!$B$12)&amp;"")</f>
        <v/>
      </c>
      <c r="G2515">
        <f>IF(F2515="",0,IF(TRIM(INDEX(INDIRECT("'Выгрузка'!A2515:Z2515"),Настройки!$B$13)&amp;"")="",1,IFERROR(--SUBSTITUTE(SUBSTITUTE(TRIM(INDEX(INDIRECT("'Выгрузка'!A2515:Z2515"),Настройки!$B$13)),",","."),".",MID(1/2,2,1)),"")))</f>
        <v/>
      </c>
      <c r="H2515">
        <f>IF(F2515="",0,IF(COUNTIF(Настройки!$B$17:$B$26,F2515)&gt;0,1,IF(COUNTIF(Настройки!$C$17:$C$26,F2515)&gt;0,2,IF(COUNTIF(Настройки!$D$17:$D$26,F2515)&gt;0,3,0))))</f>
        <v/>
      </c>
      <c r="I2515">
        <f>IF(AND(ISNUMBER(A2515),ISNUMBER(B2515)),A2515*1000+B2515,"")</f>
        <v/>
      </c>
      <c r="J2515">
        <f>IF(I2515="","",IF(COUNTIF(I$2:I2515,I2515)=1,MAX(J$1:J2514)+1,""))</f>
        <v/>
      </c>
    </row>
    <row r="2516">
      <c r="A2516">
        <f>IFERROR(--SUBSTITUTE(SUBSTITUTE(TRIM(INDEX(INDIRECT("'Выгрузка'!A2516:Z2516"),Настройки!$B$7)),",","."),".",MID(1/2,2,1)),"")</f>
        <v/>
      </c>
      <c r="B2516">
        <f>IFERROR(--SUBSTITUTE(SUBSTITUTE(TRIM(INDEX(INDIRECT("'Выгрузка'!A2516:Z2516"),Настройки!$B$9)),",","."),".",MID(1/2,2,1)),"")</f>
        <v/>
      </c>
      <c r="C2516">
        <f>TRIM(INDEX(INDIRECT("'Выгрузка'!A2516:Z2516"),Настройки!$B$8)&amp;"")</f>
        <v/>
      </c>
      <c r="D2516">
        <f>IFERROR(--SUBSTITUTE(SUBSTITUTE(TRIM(INDEX(INDIRECT("'Выгрузка'!A2516:Z2516"),Настройки!$B$10)),",","."),".",MID(1/2,2,1)),"")</f>
        <v/>
      </c>
      <c r="E2516">
        <f>IFERROR(--SUBSTITUTE(SUBSTITUTE(TRIM(INDEX(INDIRECT("'Выгрузка'!A2516:Z2516"),Настройки!$B$11)),",","."),".",MID(1/2,2,1)),"")</f>
        <v/>
      </c>
      <c r="F2516">
        <f>TRIM(INDEX(INDIRECT("'Выгрузка'!A2516:Z2516"),Настройки!$B$12)&amp;"")</f>
        <v/>
      </c>
      <c r="G2516">
        <f>IF(F2516="",0,IF(TRIM(INDEX(INDIRECT("'Выгрузка'!A2516:Z2516"),Настройки!$B$13)&amp;"")="",1,IFERROR(--SUBSTITUTE(SUBSTITUTE(TRIM(INDEX(INDIRECT("'Выгрузка'!A2516:Z2516"),Настройки!$B$13)),",","."),".",MID(1/2,2,1)),"")))</f>
        <v/>
      </c>
      <c r="H2516">
        <f>IF(F2516="",0,IF(COUNTIF(Настройки!$B$17:$B$26,F2516)&gt;0,1,IF(COUNTIF(Настройки!$C$17:$C$26,F2516)&gt;0,2,IF(COUNTIF(Настройки!$D$17:$D$26,F2516)&gt;0,3,0))))</f>
        <v/>
      </c>
      <c r="I2516">
        <f>IF(AND(ISNUMBER(A2516),ISNUMBER(B2516)),A2516*1000+B2516,"")</f>
        <v/>
      </c>
      <c r="J2516">
        <f>IF(I2516="","",IF(COUNTIF(I$2:I2516,I2516)=1,MAX(J$1:J2515)+1,""))</f>
        <v/>
      </c>
    </row>
    <row r="2517">
      <c r="A2517">
        <f>IFERROR(--SUBSTITUTE(SUBSTITUTE(TRIM(INDEX(INDIRECT("'Выгрузка'!A2517:Z2517"),Настройки!$B$7)),",","."),".",MID(1/2,2,1)),"")</f>
        <v/>
      </c>
      <c r="B2517">
        <f>IFERROR(--SUBSTITUTE(SUBSTITUTE(TRIM(INDEX(INDIRECT("'Выгрузка'!A2517:Z2517"),Настройки!$B$9)),",","."),".",MID(1/2,2,1)),"")</f>
        <v/>
      </c>
      <c r="C2517">
        <f>TRIM(INDEX(INDIRECT("'Выгрузка'!A2517:Z2517"),Настройки!$B$8)&amp;"")</f>
        <v/>
      </c>
      <c r="D2517">
        <f>IFERROR(--SUBSTITUTE(SUBSTITUTE(TRIM(INDEX(INDIRECT("'Выгрузка'!A2517:Z2517"),Настройки!$B$10)),",","."),".",MID(1/2,2,1)),"")</f>
        <v/>
      </c>
      <c r="E2517">
        <f>IFERROR(--SUBSTITUTE(SUBSTITUTE(TRIM(INDEX(INDIRECT("'Выгрузка'!A2517:Z2517"),Настройки!$B$11)),",","."),".",MID(1/2,2,1)),"")</f>
        <v/>
      </c>
      <c r="F2517">
        <f>TRIM(INDEX(INDIRECT("'Выгрузка'!A2517:Z2517"),Настройки!$B$12)&amp;"")</f>
        <v/>
      </c>
      <c r="G2517">
        <f>IF(F2517="",0,IF(TRIM(INDEX(INDIRECT("'Выгрузка'!A2517:Z2517"),Настройки!$B$13)&amp;"")="",1,IFERROR(--SUBSTITUTE(SUBSTITUTE(TRIM(INDEX(INDIRECT("'Выгрузка'!A2517:Z2517"),Настройки!$B$13)),",","."),".",MID(1/2,2,1)),"")))</f>
        <v/>
      </c>
      <c r="H2517">
        <f>IF(F2517="",0,IF(COUNTIF(Настройки!$B$17:$B$26,F2517)&gt;0,1,IF(COUNTIF(Настройки!$C$17:$C$26,F2517)&gt;0,2,IF(COUNTIF(Настройки!$D$17:$D$26,F2517)&gt;0,3,0))))</f>
        <v/>
      </c>
      <c r="I2517">
        <f>IF(AND(ISNUMBER(A2517),ISNUMBER(B2517)),A2517*1000+B2517,"")</f>
        <v/>
      </c>
      <c r="J2517">
        <f>IF(I2517="","",IF(COUNTIF(I$2:I2517,I2517)=1,MAX(J$1:J2516)+1,""))</f>
        <v/>
      </c>
    </row>
    <row r="2518">
      <c r="A2518">
        <f>IFERROR(--SUBSTITUTE(SUBSTITUTE(TRIM(INDEX(INDIRECT("'Выгрузка'!A2518:Z2518"),Настройки!$B$7)),",","."),".",MID(1/2,2,1)),"")</f>
        <v/>
      </c>
      <c r="B2518">
        <f>IFERROR(--SUBSTITUTE(SUBSTITUTE(TRIM(INDEX(INDIRECT("'Выгрузка'!A2518:Z2518"),Настройки!$B$9)),",","."),".",MID(1/2,2,1)),"")</f>
        <v/>
      </c>
      <c r="C2518">
        <f>TRIM(INDEX(INDIRECT("'Выгрузка'!A2518:Z2518"),Настройки!$B$8)&amp;"")</f>
        <v/>
      </c>
      <c r="D2518">
        <f>IFERROR(--SUBSTITUTE(SUBSTITUTE(TRIM(INDEX(INDIRECT("'Выгрузка'!A2518:Z2518"),Настройки!$B$10)),",","."),".",MID(1/2,2,1)),"")</f>
        <v/>
      </c>
      <c r="E2518">
        <f>IFERROR(--SUBSTITUTE(SUBSTITUTE(TRIM(INDEX(INDIRECT("'Выгрузка'!A2518:Z2518"),Настройки!$B$11)),",","."),".",MID(1/2,2,1)),"")</f>
        <v/>
      </c>
      <c r="F2518">
        <f>TRIM(INDEX(INDIRECT("'Выгрузка'!A2518:Z2518"),Настройки!$B$12)&amp;"")</f>
        <v/>
      </c>
      <c r="G2518">
        <f>IF(F2518="",0,IF(TRIM(INDEX(INDIRECT("'Выгрузка'!A2518:Z2518"),Настройки!$B$13)&amp;"")="",1,IFERROR(--SUBSTITUTE(SUBSTITUTE(TRIM(INDEX(INDIRECT("'Выгрузка'!A2518:Z2518"),Настройки!$B$13)),",","."),".",MID(1/2,2,1)),"")))</f>
        <v/>
      </c>
      <c r="H2518">
        <f>IF(F2518="",0,IF(COUNTIF(Настройки!$B$17:$B$26,F2518)&gt;0,1,IF(COUNTIF(Настройки!$C$17:$C$26,F2518)&gt;0,2,IF(COUNTIF(Настройки!$D$17:$D$26,F2518)&gt;0,3,0))))</f>
        <v/>
      </c>
      <c r="I2518">
        <f>IF(AND(ISNUMBER(A2518),ISNUMBER(B2518)),A2518*1000+B2518,"")</f>
        <v/>
      </c>
      <c r="J2518">
        <f>IF(I2518="","",IF(COUNTIF(I$2:I2518,I2518)=1,MAX(J$1:J2517)+1,""))</f>
        <v/>
      </c>
    </row>
    <row r="2519">
      <c r="A2519">
        <f>IFERROR(--SUBSTITUTE(SUBSTITUTE(TRIM(INDEX(INDIRECT("'Выгрузка'!A2519:Z2519"),Настройки!$B$7)),",","."),".",MID(1/2,2,1)),"")</f>
        <v/>
      </c>
      <c r="B2519">
        <f>IFERROR(--SUBSTITUTE(SUBSTITUTE(TRIM(INDEX(INDIRECT("'Выгрузка'!A2519:Z2519"),Настройки!$B$9)),",","."),".",MID(1/2,2,1)),"")</f>
        <v/>
      </c>
      <c r="C2519">
        <f>TRIM(INDEX(INDIRECT("'Выгрузка'!A2519:Z2519"),Настройки!$B$8)&amp;"")</f>
        <v/>
      </c>
      <c r="D2519">
        <f>IFERROR(--SUBSTITUTE(SUBSTITUTE(TRIM(INDEX(INDIRECT("'Выгрузка'!A2519:Z2519"),Настройки!$B$10)),",","."),".",MID(1/2,2,1)),"")</f>
        <v/>
      </c>
      <c r="E2519">
        <f>IFERROR(--SUBSTITUTE(SUBSTITUTE(TRIM(INDEX(INDIRECT("'Выгрузка'!A2519:Z2519"),Настройки!$B$11)),",","."),".",MID(1/2,2,1)),"")</f>
        <v/>
      </c>
      <c r="F2519">
        <f>TRIM(INDEX(INDIRECT("'Выгрузка'!A2519:Z2519"),Настройки!$B$12)&amp;"")</f>
        <v/>
      </c>
      <c r="G2519">
        <f>IF(F2519="",0,IF(TRIM(INDEX(INDIRECT("'Выгрузка'!A2519:Z2519"),Настройки!$B$13)&amp;"")="",1,IFERROR(--SUBSTITUTE(SUBSTITUTE(TRIM(INDEX(INDIRECT("'Выгрузка'!A2519:Z2519"),Настройки!$B$13)),",","."),".",MID(1/2,2,1)),"")))</f>
        <v/>
      </c>
      <c r="H2519">
        <f>IF(F2519="",0,IF(COUNTIF(Настройки!$B$17:$B$26,F2519)&gt;0,1,IF(COUNTIF(Настройки!$C$17:$C$26,F2519)&gt;0,2,IF(COUNTIF(Настройки!$D$17:$D$26,F2519)&gt;0,3,0))))</f>
        <v/>
      </c>
      <c r="I2519">
        <f>IF(AND(ISNUMBER(A2519),ISNUMBER(B2519)),A2519*1000+B2519,"")</f>
        <v/>
      </c>
      <c r="J2519">
        <f>IF(I2519="","",IF(COUNTIF(I$2:I2519,I2519)=1,MAX(J$1:J2518)+1,""))</f>
        <v/>
      </c>
    </row>
    <row r="2520">
      <c r="A2520">
        <f>IFERROR(--SUBSTITUTE(SUBSTITUTE(TRIM(INDEX(INDIRECT("'Выгрузка'!A2520:Z2520"),Настройки!$B$7)),",","."),".",MID(1/2,2,1)),"")</f>
        <v/>
      </c>
      <c r="B2520">
        <f>IFERROR(--SUBSTITUTE(SUBSTITUTE(TRIM(INDEX(INDIRECT("'Выгрузка'!A2520:Z2520"),Настройки!$B$9)),",","."),".",MID(1/2,2,1)),"")</f>
        <v/>
      </c>
      <c r="C2520">
        <f>TRIM(INDEX(INDIRECT("'Выгрузка'!A2520:Z2520"),Настройки!$B$8)&amp;"")</f>
        <v/>
      </c>
      <c r="D2520">
        <f>IFERROR(--SUBSTITUTE(SUBSTITUTE(TRIM(INDEX(INDIRECT("'Выгрузка'!A2520:Z2520"),Настройки!$B$10)),",","."),".",MID(1/2,2,1)),"")</f>
        <v/>
      </c>
      <c r="E2520">
        <f>IFERROR(--SUBSTITUTE(SUBSTITUTE(TRIM(INDEX(INDIRECT("'Выгрузка'!A2520:Z2520"),Настройки!$B$11)),",","."),".",MID(1/2,2,1)),"")</f>
        <v/>
      </c>
      <c r="F2520">
        <f>TRIM(INDEX(INDIRECT("'Выгрузка'!A2520:Z2520"),Настройки!$B$12)&amp;"")</f>
        <v/>
      </c>
      <c r="G2520">
        <f>IF(F2520="",0,IF(TRIM(INDEX(INDIRECT("'Выгрузка'!A2520:Z2520"),Настройки!$B$13)&amp;"")="",1,IFERROR(--SUBSTITUTE(SUBSTITUTE(TRIM(INDEX(INDIRECT("'Выгрузка'!A2520:Z2520"),Настройки!$B$13)),",","."),".",MID(1/2,2,1)),"")))</f>
        <v/>
      </c>
      <c r="H2520">
        <f>IF(F2520="",0,IF(COUNTIF(Настройки!$B$17:$B$26,F2520)&gt;0,1,IF(COUNTIF(Настройки!$C$17:$C$26,F2520)&gt;0,2,IF(COUNTIF(Настройки!$D$17:$D$26,F2520)&gt;0,3,0))))</f>
        <v/>
      </c>
      <c r="I2520">
        <f>IF(AND(ISNUMBER(A2520),ISNUMBER(B2520)),A2520*1000+B2520,"")</f>
        <v/>
      </c>
      <c r="J2520">
        <f>IF(I2520="","",IF(COUNTIF(I$2:I2520,I2520)=1,MAX(J$1:J2519)+1,""))</f>
        <v/>
      </c>
    </row>
    <row r="2521">
      <c r="A2521">
        <f>IFERROR(--SUBSTITUTE(SUBSTITUTE(TRIM(INDEX(INDIRECT("'Выгрузка'!A2521:Z2521"),Настройки!$B$7)),",","."),".",MID(1/2,2,1)),"")</f>
        <v/>
      </c>
      <c r="B2521">
        <f>IFERROR(--SUBSTITUTE(SUBSTITUTE(TRIM(INDEX(INDIRECT("'Выгрузка'!A2521:Z2521"),Настройки!$B$9)),",","."),".",MID(1/2,2,1)),"")</f>
        <v/>
      </c>
      <c r="C2521">
        <f>TRIM(INDEX(INDIRECT("'Выгрузка'!A2521:Z2521"),Настройки!$B$8)&amp;"")</f>
        <v/>
      </c>
      <c r="D2521">
        <f>IFERROR(--SUBSTITUTE(SUBSTITUTE(TRIM(INDEX(INDIRECT("'Выгрузка'!A2521:Z2521"),Настройки!$B$10)),",","."),".",MID(1/2,2,1)),"")</f>
        <v/>
      </c>
      <c r="E2521">
        <f>IFERROR(--SUBSTITUTE(SUBSTITUTE(TRIM(INDEX(INDIRECT("'Выгрузка'!A2521:Z2521"),Настройки!$B$11)),",","."),".",MID(1/2,2,1)),"")</f>
        <v/>
      </c>
      <c r="F2521">
        <f>TRIM(INDEX(INDIRECT("'Выгрузка'!A2521:Z2521"),Настройки!$B$12)&amp;"")</f>
        <v/>
      </c>
      <c r="G2521">
        <f>IF(F2521="",0,IF(TRIM(INDEX(INDIRECT("'Выгрузка'!A2521:Z2521"),Настройки!$B$13)&amp;"")="",1,IFERROR(--SUBSTITUTE(SUBSTITUTE(TRIM(INDEX(INDIRECT("'Выгрузка'!A2521:Z2521"),Настройки!$B$13)),",","."),".",MID(1/2,2,1)),"")))</f>
        <v/>
      </c>
      <c r="H2521">
        <f>IF(F2521="",0,IF(COUNTIF(Настройки!$B$17:$B$26,F2521)&gt;0,1,IF(COUNTIF(Настройки!$C$17:$C$26,F2521)&gt;0,2,IF(COUNTIF(Настройки!$D$17:$D$26,F2521)&gt;0,3,0))))</f>
        <v/>
      </c>
      <c r="I2521">
        <f>IF(AND(ISNUMBER(A2521),ISNUMBER(B2521)),A2521*1000+B2521,"")</f>
        <v/>
      </c>
      <c r="J2521">
        <f>IF(I2521="","",IF(COUNTIF(I$2:I2521,I2521)=1,MAX(J$1:J2520)+1,""))</f>
        <v/>
      </c>
    </row>
    <row r="2522">
      <c r="A2522">
        <f>IFERROR(--SUBSTITUTE(SUBSTITUTE(TRIM(INDEX(INDIRECT("'Выгрузка'!A2522:Z2522"),Настройки!$B$7)),",","."),".",MID(1/2,2,1)),"")</f>
        <v/>
      </c>
      <c r="B2522">
        <f>IFERROR(--SUBSTITUTE(SUBSTITUTE(TRIM(INDEX(INDIRECT("'Выгрузка'!A2522:Z2522"),Настройки!$B$9)),",","."),".",MID(1/2,2,1)),"")</f>
        <v/>
      </c>
      <c r="C2522">
        <f>TRIM(INDEX(INDIRECT("'Выгрузка'!A2522:Z2522"),Настройки!$B$8)&amp;"")</f>
        <v/>
      </c>
      <c r="D2522">
        <f>IFERROR(--SUBSTITUTE(SUBSTITUTE(TRIM(INDEX(INDIRECT("'Выгрузка'!A2522:Z2522"),Настройки!$B$10)),",","."),".",MID(1/2,2,1)),"")</f>
        <v/>
      </c>
      <c r="E2522">
        <f>IFERROR(--SUBSTITUTE(SUBSTITUTE(TRIM(INDEX(INDIRECT("'Выгрузка'!A2522:Z2522"),Настройки!$B$11)),",","."),".",MID(1/2,2,1)),"")</f>
        <v/>
      </c>
      <c r="F2522">
        <f>TRIM(INDEX(INDIRECT("'Выгрузка'!A2522:Z2522"),Настройки!$B$12)&amp;"")</f>
        <v/>
      </c>
      <c r="G2522">
        <f>IF(F2522="",0,IF(TRIM(INDEX(INDIRECT("'Выгрузка'!A2522:Z2522"),Настройки!$B$13)&amp;"")="",1,IFERROR(--SUBSTITUTE(SUBSTITUTE(TRIM(INDEX(INDIRECT("'Выгрузка'!A2522:Z2522"),Настройки!$B$13)),",","."),".",MID(1/2,2,1)),"")))</f>
        <v/>
      </c>
      <c r="H2522">
        <f>IF(F2522="",0,IF(COUNTIF(Настройки!$B$17:$B$26,F2522)&gt;0,1,IF(COUNTIF(Настройки!$C$17:$C$26,F2522)&gt;0,2,IF(COUNTIF(Настройки!$D$17:$D$26,F2522)&gt;0,3,0))))</f>
        <v/>
      </c>
      <c r="I2522">
        <f>IF(AND(ISNUMBER(A2522),ISNUMBER(B2522)),A2522*1000+B2522,"")</f>
        <v/>
      </c>
      <c r="J2522">
        <f>IF(I2522="","",IF(COUNTIF(I$2:I2522,I2522)=1,MAX(J$1:J2521)+1,""))</f>
        <v/>
      </c>
    </row>
    <row r="2523">
      <c r="A2523">
        <f>IFERROR(--SUBSTITUTE(SUBSTITUTE(TRIM(INDEX(INDIRECT("'Выгрузка'!A2523:Z2523"),Настройки!$B$7)),",","."),".",MID(1/2,2,1)),"")</f>
        <v/>
      </c>
      <c r="B2523">
        <f>IFERROR(--SUBSTITUTE(SUBSTITUTE(TRIM(INDEX(INDIRECT("'Выгрузка'!A2523:Z2523"),Настройки!$B$9)),",","."),".",MID(1/2,2,1)),"")</f>
        <v/>
      </c>
      <c r="C2523">
        <f>TRIM(INDEX(INDIRECT("'Выгрузка'!A2523:Z2523"),Настройки!$B$8)&amp;"")</f>
        <v/>
      </c>
      <c r="D2523">
        <f>IFERROR(--SUBSTITUTE(SUBSTITUTE(TRIM(INDEX(INDIRECT("'Выгрузка'!A2523:Z2523"),Настройки!$B$10)),",","."),".",MID(1/2,2,1)),"")</f>
        <v/>
      </c>
      <c r="E2523">
        <f>IFERROR(--SUBSTITUTE(SUBSTITUTE(TRIM(INDEX(INDIRECT("'Выгрузка'!A2523:Z2523"),Настройки!$B$11)),",","."),".",MID(1/2,2,1)),"")</f>
        <v/>
      </c>
      <c r="F2523">
        <f>TRIM(INDEX(INDIRECT("'Выгрузка'!A2523:Z2523"),Настройки!$B$12)&amp;"")</f>
        <v/>
      </c>
      <c r="G2523">
        <f>IF(F2523="",0,IF(TRIM(INDEX(INDIRECT("'Выгрузка'!A2523:Z2523"),Настройки!$B$13)&amp;"")="",1,IFERROR(--SUBSTITUTE(SUBSTITUTE(TRIM(INDEX(INDIRECT("'Выгрузка'!A2523:Z2523"),Настройки!$B$13)),",","."),".",MID(1/2,2,1)),"")))</f>
        <v/>
      </c>
      <c r="H2523">
        <f>IF(F2523="",0,IF(COUNTIF(Настройки!$B$17:$B$26,F2523)&gt;0,1,IF(COUNTIF(Настройки!$C$17:$C$26,F2523)&gt;0,2,IF(COUNTIF(Настройки!$D$17:$D$26,F2523)&gt;0,3,0))))</f>
        <v/>
      </c>
      <c r="I2523">
        <f>IF(AND(ISNUMBER(A2523),ISNUMBER(B2523)),A2523*1000+B2523,"")</f>
        <v/>
      </c>
      <c r="J2523">
        <f>IF(I2523="","",IF(COUNTIF(I$2:I2523,I2523)=1,MAX(J$1:J2522)+1,""))</f>
        <v/>
      </c>
    </row>
    <row r="2524">
      <c r="A2524">
        <f>IFERROR(--SUBSTITUTE(SUBSTITUTE(TRIM(INDEX(INDIRECT("'Выгрузка'!A2524:Z2524"),Настройки!$B$7)),",","."),".",MID(1/2,2,1)),"")</f>
        <v/>
      </c>
      <c r="B2524">
        <f>IFERROR(--SUBSTITUTE(SUBSTITUTE(TRIM(INDEX(INDIRECT("'Выгрузка'!A2524:Z2524"),Настройки!$B$9)),",","."),".",MID(1/2,2,1)),"")</f>
        <v/>
      </c>
      <c r="C2524">
        <f>TRIM(INDEX(INDIRECT("'Выгрузка'!A2524:Z2524"),Настройки!$B$8)&amp;"")</f>
        <v/>
      </c>
      <c r="D2524">
        <f>IFERROR(--SUBSTITUTE(SUBSTITUTE(TRIM(INDEX(INDIRECT("'Выгрузка'!A2524:Z2524"),Настройки!$B$10)),",","."),".",MID(1/2,2,1)),"")</f>
        <v/>
      </c>
      <c r="E2524">
        <f>IFERROR(--SUBSTITUTE(SUBSTITUTE(TRIM(INDEX(INDIRECT("'Выгрузка'!A2524:Z2524"),Настройки!$B$11)),",","."),".",MID(1/2,2,1)),"")</f>
        <v/>
      </c>
      <c r="F2524">
        <f>TRIM(INDEX(INDIRECT("'Выгрузка'!A2524:Z2524"),Настройки!$B$12)&amp;"")</f>
        <v/>
      </c>
      <c r="G2524">
        <f>IF(F2524="",0,IF(TRIM(INDEX(INDIRECT("'Выгрузка'!A2524:Z2524"),Настройки!$B$13)&amp;"")="",1,IFERROR(--SUBSTITUTE(SUBSTITUTE(TRIM(INDEX(INDIRECT("'Выгрузка'!A2524:Z2524"),Настройки!$B$13)),",","."),".",MID(1/2,2,1)),"")))</f>
        <v/>
      </c>
      <c r="H2524">
        <f>IF(F2524="",0,IF(COUNTIF(Настройки!$B$17:$B$26,F2524)&gt;0,1,IF(COUNTIF(Настройки!$C$17:$C$26,F2524)&gt;0,2,IF(COUNTIF(Настройки!$D$17:$D$26,F2524)&gt;0,3,0))))</f>
        <v/>
      </c>
      <c r="I2524">
        <f>IF(AND(ISNUMBER(A2524),ISNUMBER(B2524)),A2524*1000+B2524,"")</f>
        <v/>
      </c>
      <c r="J2524">
        <f>IF(I2524="","",IF(COUNTIF(I$2:I2524,I2524)=1,MAX(J$1:J2523)+1,""))</f>
        <v/>
      </c>
    </row>
    <row r="2525">
      <c r="A2525">
        <f>IFERROR(--SUBSTITUTE(SUBSTITUTE(TRIM(INDEX(INDIRECT("'Выгрузка'!A2525:Z2525"),Настройки!$B$7)),",","."),".",MID(1/2,2,1)),"")</f>
        <v/>
      </c>
      <c r="B2525">
        <f>IFERROR(--SUBSTITUTE(SUBSTITUTE(TRIM(INDEX(INDIRECT("'Выгрузка'!A2525:Z2525"),Настройки!$B$9)),",","."),".",MID(1/2,2,1)),"")</f>
        <v/>
      </c>
      <c r="C2525">
        <f>TRIM(INDEX(INDIRECT("'Выгрузка'!A2525:Z2525"),Настройки!$B$8)&amp;"")</f>
        <v/>
      </c>
      <c r="D2525">
        <f>IFERROR(--SUBSTITUTE(SUBSTITUTE(TRIM(INDEX(INDIRECT("'Выгрузка'!A2525:Z2525"),Настройки!$B$10)),",","."),".",MID(1/2,2,1)),"")</f>
        <v/>
      </c>
      <c r="E2525">
        <f>IFERROR(--SUBSTITUTE(SUBSTITUTE(TRIM(INDEX(INDIRECT("'Выгрузка'!A2525:Z2525"),Настройки!$B$11)),",","."),".",MID(1/2,2,1)),"")</f>
        <v/>
      </c>
      <c r="F2525">
        <f>TRIM(INDEX(INDIRECT("'Выгрузка'!A2525:Z2525"),Настройки!$B$12)&amp;"")</f>
        <v/>
      </c>
      <c r="G2525">
        <f>IF(F2525="",0,IF(TRIM(INDEX(INDIRECT("'Выгрузка'!A2525:Z2525"),Настройки!$B$13)&amp;"")="",1,IFERROR(--SUBSTITUTE(SUBSTITUTE(TRIM(INDEX(INDIRECT("'Выгрузка'!A2525:Z2525"),Настройки!$B$13)),",","."),".",MID(1/2,2,1)),"")))</f>
        <v/>
      </c>
      <c r="H2525">
        <f>IF(F2525="",0,IF(COUNTIF(Настройки!$B$17:$B$26,F2525)&gt;0,1,IF(COUNTIF(Настройки!$C$17:$C$26,F2525)&gt;0,2,IF(COUNTIF(Настройки!$D$17:$D$26,F2525)&gt;0,3,0))))</f>
        <v/>
      </c>
      <c r="I2525">
        <f>IF(AND(ISNUMBER(A2525),ISNUMBER(B2525)),A2525*1000+B2525,"")</f>
        <v/>
      </c>
      <c r="J2525">
        <f>IF(I2525="","",IF(COUNTIF(I$2:I2525,I2525)=1,MAX(J$1:J2524)+1,""))</f>
        <v/>
      </c>
    </row>
    <row r="2526">
      <c r="A2526">
        <f>IFERROR(--SUBSTITUTE(SUBSTITUTE(TRIM(INDEX(INDIRECT("'Выгрузка'!A2526:Z2526"),Настройки!$B$7)),",","."),".",MID(1/2,2,1)),"")</f>
        <v/>
      </c>
      <c r="B2526">
        <f>IFERROR(--SUBSTITUTE(SUBSTITUTE(TRIM(INDEX(INDIRECT("'Выгрузка'!A2526:Z2526"),Настройки!$B$9)),",","."),".",MID(1/2,2,1)),"")</f>
        <v/>
      </c>
      <c r="C2526">
        <f>TRIM(INDEX(INDIRECT("'Выгрузка'!A2526:Z2526"),Настройки!$B$8)&amp;"")</f>
        <v/>
      </c>
      <c r="D2526">
        <f>IFERROR(--SUBSTITUTE(SUBSTITUTE(TRIM(INDEX(INDIRECT("'Выгрузка'!A2526:Z2526"),Настройки!$B$10)),",","."),".",MID(1/2,2,1)),"")</f>
        <v/>
      </c>
      <c r="E2526">
        <f>IFERROR(--SUBSTITUTE(SUBSTITUTE(TRIM(INDEX(INDIRECT("'Выгрузка'!A2526:Z2526"),Настройки!$B$11)),",","."),".",MID(1/2,2,1)),"")</f>
        <v/>
      </c>
      <c r="F2526">
        <f>TRIM(INDEX(INDIRECT("'Выгрузка'!A2526:Z2526"),Настройки!$B$12)&amp;"")</f>
        <v/>
      </c>
      <c r="G2526">
        <f>IF(F2526="",0,IF(TRIM(INDEX(INDIRECT("'Выгрузка'!A2526:Z2526"),Настройки!$B$13)&amp;"")="",1,IFERROR(--SUBSTITUTE(SUBSTITUTE(TRIM(INDEX(INDIRECT("'Выгрузка'!A2526:Z2526"),Настройки!$B$13)),",","."),".",MID(1/2,2,1)),"")))</f>
        <v/>
      </c>
      <c r="H2526">
        <f>IF(F2526="",0,IF(COUNTIF(Настройки!$B$17:$B$26,F2526)&gt;0,1,IF(COUNTIF(Настройки!$C$17:$C$26,F2526)&gt;0,2,IF(COUNTIF(Настройки!$D$17:$D$26,F2526)&gt;0,3,0))))</f>
        <v/>
      </c>
      <c r="I2526">
        <f>IF(AND(ISNUMBER(A2526),ISNUMBER(B2526)),A2526*1000+B2526,"")</f>
        <v/>
      </c>
      <c r="J2526">
        <f>IF(I2526="","",IF(COUNTIF(I$2:I2526,I2526)=1,MAX(J$1:J2525)+1,""))</f>
        <v/>
      </c>
    </row>
    <row r="2527">
      <c r="A2527">
        <f>IFERROR(--SUBSTITUTE(SUBSTITUTE(TRIM(INDEX(INDIRECT("'Выгрузка'!A2527:Z2527"),Настройки!$B$7)),",","."),".",MID(1/2,2,1)),"")</f>
        <v/>
      </c>
      <c r="B2527">
        <f>IFERROR(--SUBSTITUTE(SUBSTITUTE(TRIM(INDEX(INDIRECT("'Выгрузка'!A2527:Z2527"),Настройки!$B$9)),",","."),".",MID(1/2,2,1)),"")</f>
        <v/>
      </c>
      <c r="C2527">
        <f>TRIM(INDEX(INDIRECT("'Выгрузка'!A2527:Z2527"),Настройки!$B$8)&amp;"")</f>
        <v/>
      </c>
      <c r="D2527">
        <f>IFERROR(--SUBSTITUTE(SUBSTITUTE(TRIM(INDEX(INDIRECT("'Выгрузка'!A2527:Z2527"),Настройки!$B$10)),",","."),".",MID(1/2,2,1)),"")</f>
        <v/>
      </c>
      <c r="E2527">
        <f>IFERROR(--SUBSTITUTE(SUBSTITUTE(TRIM(INDEX(INDIRECT("'Выгрузка'!A2527:Z2527"),Настройки!$B$11)),",","."),".",MID(1/2,2,1)),"")</f>
        <v/>
      </c>
      <c r="F2527">
        <f>TRIM(INDEX(INDIRECT("'Выгрузка'!A2527:Z2527"),Настройки!$B$12)&amp;"")</f>
        <v/>
      </c>
      <c r="G2527">
        <f>IF(F2527="",0,IF(TRIM(INDEX(INDIRECT("'Выгрузка'!A2527:Z2527"),Настройки!$B$13)&amp;"")="",1,IFERROR(--SUBSTITUTE(SUBSTITUTE(TRIM(INDEX(INDIRECT("'Выгрузка'!A2527:Z2527"),Настройки!$B$13)),",","."),".",MID(1/2,2,1)),"")))</f>
        <v/>
      </c>
      <c r="H2527">
        <f>IF(F2527="",0,IF(COUNTIF(Настройки!$B$17:$B$26,F2527)&gt;0,1,IF(COUNTIF(Настройки!$C$17:$C$26,F2527)&gt;0,2,IF(COUNTIF(Настройки!$D$17:$D$26,F2527)&gt;0,3,0))))</f>
        <v/>
      </c>
      <c r="I2527">
        <f>IF(AND(ISNUMBER(A2527),ISNUMBER(B2527)),A2527*1000+B2527,"")</f>
        <v/>
      </c>
      <c r="J2527">
        <f>IF(I2527="","",IF(COUNTIF(I$2:I2527,I2527)=1,MAX(J$1:J2526)+1,""))</f>
        <v/>
      </c>
    </row>
    <row r="2528">
      <c r="A2528">
        <f>IFERROR(--SUBSTITUTE(SUBSTITUTE(TRIM(INDEX(INDIRECT("'Выгрузка'!A2528:Z2528"),Настройки!$B$7)),",","."),".",MID(1/2,2,1)),"")</f>
        <v/>
      </c>
      <c r="B2528">
        <f>IFERROR(--SUBSTITUTE(SUBSTITUTE(TRIM(INDEX(INDIRECT("'Выгрузка'!A2528:Z2528"),Настройки!$B$9)),",","."),".",MID(1/2,2,1)),"")</f>
        <v/>
      </c>
      <c r="C2528">
        <f>TRIM(INDEX(INDIRECT("'Выгрузка'!A2528:Z2528"),Настройки!$B$8)&amp;"")</f>
        <v/>
      </c>
      <c r="D2528">
        <f>IFERROR(--SUBSTITUTE(SUBSTITUTE(TRIM(INDEX(INDIRECT("'Выгрузка'!A2528:Z2528"),Настройки!$B$10)),",","."),".",MID(1/2,2,1)),"")</f>
        <v/>
      </c>
      <c r="E2528">
        <f>IFERROR(--SUBSTITUTE(SUBSTITUTE(TRIM(INDEX(INDIRECT("'Выгрузка'!A2528:Z2528"),Настройки!$B$11)),",","."),".",MID(1/2,2,1)),"")</f>
        <v/>
      </c>
      <c r="F2528">
        <f>TRIM(INDEX(INDIRECT("'Выгрузка'!A2528:Z2528"),Настройки!$B$12)&amp;"")</f>
        <v/>
      </c>
      <c r="G2528">
        <f>IF(F2528="",0,IF(TRIM(INDEX(INDIRECT("'Выгрузка'!A2528:Z2528"),Настройки!$B$13)&amp;"")="",1,IFERROR(--SUBSTITUTE(SUBSTITUTE(TRIM(INDEX(INDIRECT("'Выгрузка'!A2528:Z2528"),Настройки!$B$13)),",","."),".",MID(1/2,2,1)),"")))</f>
        <v/>
      </c>
      <c r="H2528">
        <f>IF(F2528="",0,IF(COUNTIF(Настройки!$B$17:$B$26,F2528)&gt;0,1,IF(COUNTIF(Настройки!$C$17:$C$26,F2528)&gt;0,2,IF(COUNTIF(Настройки!$D$17:$D$26,F2528)&gt;0,3,0))))</f>
        <v/>
      </c>
      <c r="I2528">
        <f>IF(AND(ISNUMBER(A2528),ISNUMBER(B2528)),A2528*1000+B2528,"")</f>
        <v/>
      </c>
      <c r="J2528">
        <f>IF(I2528="","",IF(COUNTIF(I$2:I2528,I2528)=1,MAX(J$1:J2527)+1,""))</f>
        <v/>
      </c>
    </row>
    <row r="2529">
      <c r="A2529">
        <f>IFERROR(--SUBSTITUTE(SUBSTITUTE(TRIM(INDEX(INDIRECT("'Выгрузка'!A2529:Z2529"),Настройки!$B$7)),",","."),".",MID(1/2,2,1)),"")</f>
        <v/>
      </c>
      <c r="B2529">
        <f>IFERROR(--SUBSTITUTE(SUBSTITUTE(TRIM(INDEX(INDIRECT("'Выгрузка'!A2529:Z2529"),Настройки!$B$9)),",","."),".",MID(1/2,2,1)),"")</f>
        <v/>
      </c>
      <c r="C2529">
        <f>TRIM(INDEX(INDIRECT("'Выгрузка'!A2529:Z2529"),Настройки!$B$8)&amp;"")</f>
        <v/>
      </c>
      <c r="D2529">
        <f>IFERROR(--SUBSTITUTE(SUBSTITUTE(TRIM(INDEX(INDIRECT("'Выгрузка'!A2529:Z2529"),Настройки!$B$10)),",","."),".",MID(1/2,2,1)),"")</f>
        <v/>
      </c>
      <c r="E2529">
        <f>IFERROR(--SUBSTITUTE(SUBSTITUTE(TRIM(INDEX(INDIRECT("'Выгрузка'!A2529:Z2529"),Настройки!$B$11)),",","."),".",MID(1/2,2,1)),"")</f>
        <v/>
      </c>
      <c r="F2529">
        <f>TRIM(INDEX(INDIRECT("'Выгрузка'!A2529:Z2529"),Настройки!$B$12)&amp;"")</f>
        <v/>
      </c>
      <c r="G2529">
        <f>IF(F2529="",0,IF(TRIM(INDEX(INDIRECT("'Выгрузка'!A2529:Z2529"),Настройки!$B$13)&amp;"")="",1,IFERROR(--SUBSTITUTE(SUBSTITUTE(TRIM(INDEX(INDIRECT("'Выгрузка'!A2529:Z2529"),Настройки!$B$13)),",","."),".",MID(1/2,2,1)),"")))</f>
        <v/>
      </c>
      <c r="H2529">
        <f>IF(F2529="",0,IF(COUNTIF(Настройки!$B$17:$B$26,F2529)&gt;0,1,IF(COUNTIF(Настройки!$C$17:$C$26,F2529)&gt;0,2,IF(COUNTIF(Настройки!$D$17:$D$26,F2529)&gt;0,3,0))))</f>
        <v/>
      </c>
      <c r="I2529">
        <f>IF(AND(ISNUMBER(A2529),ISNUMBER(B2529)),A2529*1000+B2529,"")</f>
        <v/>
      </c>
      <c r="J2529">
        <f>IF(I2529="","",IF(COUNTIF(I$2:I2529,I2529)=1,MAX(J$1:J2528)+1,""))</f>
        <v/>
      </c>
    </row>
    <row r="2530">
      <c r="A2530">
        <f>IFERROR(--SUBSTITUTE(SUBSTITUTE(TRIM(INDEX(INDIRECT("'Выгрузка'!A2530:Z2530"),Настройки!$B$7)),",","."),".",MID(1/2,2,1)),"")</f>
        <v/>
      </c>
      <c r="B2530">
        <f>IFERROR(--SUBSTITUTE(SUBSTITUTE(TRIM(INDEX(INDIRECT("'Выгрузка'!A2530:Z2530"),Настройки!$B$9)),",","."),".",MID(1/2,2,1)),"")</f>
        <v/>
      </c>
      <c r="C2530">
        <f>TRIM(INDEX(INDIRECT("'Выгрузка'!A2530:Z2530"),Настройки!$B$8)&amp;"")</f>
        <v/>
      </c>
      <c r="D2530">
        <f>IFERROR(--SUBSTITUTE(SUBSTITUTE(TRIM(INDEX(INDIRECT("'Выгрузка'!A2530:Z2530"),Настройки!$B$10)),",","."),".",MID(1/2,2,1)),"")</f>
        <v/>
      </c>
      <c r="E2530">
        <f>IFERROR(--SUBSTITUTE(SUBSTITUTE(TRIM(INDEX(INDIRECT("'Выгрузка'!A2530:Z2530"),Настройки!$B$11)),",","."),".",MID(1/2,2,1)),"")</f>
        <v/>
      </c>
      <c r="F2530">
        <f>TRIM(INDEX(INDIRECT("'Выгрузка'!A2530:Z2530"),Настройки!$B$12)&amp;"")</f>
        <v/>
      </c>
      <c r="G2530">
        <f>IF(F2530="",0,IF(TRIM(INDEX(INDIRECT("'Выгрузка'!A2530:Z2530"),Настройки!$B$13)&amp;"")="",1,IFERROR(--SUBSTITUTE(SUBSTITUTE(TRIM(INDEX(INDIRECT("'Выгрузка'!A2530:Z2530"),Настройки!$B$13)),",","."),".",MID(1/2,2,1)),"")))</f>
        <v/>
      </c>
      <c r="H2530">
        <f>IF(F2530="",0,IF(COUNTIF(Настройки!$B$17:$B$26,F2530)&gt;0,1,IF(COUNTIF(Настройки!$C$17:$C$26,F2530)&gt;0,2,IF(COUNTIF(Настройки!$D$17:$D$26,F2530)&gt;0,3,0))))</f>
        <v/>
      </c>
      <c r="I2530">
        <f>IF(AND(ISNUMBER(A2530),ISNUMBER(B2530)),A2530*1000+B2530,"")</f>
        <v/>
      </c>
      <c r="J2530">
        <f>IF(I2530="","",IF(COUNTIF(I$2:I2530,I2530)=1,MAX(J$1:J2529)+1,""))</f>
        <v/>
      </c>
    </row>
    <row r="2531">
      <c r="A2531">
        <f>IFERROR(--SUBSTITUTE(SUBSTITUTE(TRIM(INDEX(INDIRECT("'Выгрузка'!A2531:Z2531"),Настройки!$B$7)),",","."),".",MID(1/2,2,1)),"")</f>
        <v/>
      </c>
      <c r="B2531">
        <f>IFERROR(--SUBSTITUTE(SUBSTITUTE(TRIM(INDEX(INDIRECT("'Выгрузка'!A2531:Z2531"),Настройки!$B$9)),",","."),".",MID(1/2,2,1)),"")</f>
        <v/>
      </c>
      <c r="C2531">
        <f>TRIM(INDEX(INDIRECT("'Выгрузка'!A2531:Z2531"),Настройки!$B$8)&amp;"")</f>
        <v/>
      </c>
      <c r="D2531">
        <f>IFERROR(--SUBSTITUTE(SUBSTITUTE(TRIM(INDEX(INDIRECT("'Выгрузка'!A2531:Z2531"),Настройки!$B$10)),",","."),".",MID(1/2,2,1)),"")</f>
        <v/>
      </c>
      <c r="E2531">
        <f>IFERROR(--SUBSTITUTE(SUBSTITUTE(TRIM(INDEX(INDIRECT("'Выгрузка'!A2531:Z2531"),Настройки!$B$11)),",","."),".",MID(1/2,2,1)),"")</f>
        <v/>
      </c>
      <c r="F2531">
        <f>TRIM(INDEX(INDIRECT("'Выгрузка'!A2531:Z2531"),Настройки!$B$12)&amp;"")</f>
        <v/>
      </c>
      <c r="G2531">
        <f>IF(F2531="",0,IF(TRIM(INDEX(INDIRECT("'Выгрузка'!A2531:Z2531"),Настройки!$B$13)&amp;"")="",1,IFERROR(--SUBSTITUTE(SUBSTITUTE(TRIM(INDEX(INDIRECT("'Выгрузка'!A2531:Z2531"),Настройки!$B$13)),",","."),".",MID(1/2,2,1)),"")))</f>
        <v/>
      </c>
      <c r="H2531">
        <f>IF(F2531="",0,IF(COUNTIF(Настройки!$B$17:$B$26,F2531)&gt;0,1,IF(COUNTIF(Настройки!$C$17:$C$26,F2531)&gt;0,2,IF(COUNTIF(Настройки!$D$17:$D$26,F2531)&gt;0,3,0))))</f>
        <v/>
      </c>
      <c r="I2531">
        <f>IF(AND(ISNUMBER(A2531),ISNUMBER(B2531)),A2531*1000+B2531,"")</f>
        <v/>
      </c>
      <c r="J2531">
        <f>IF(I2531="","",IF(COUNTIF(I$2:I2531,I2531)=1,MAX(J$1:J2530)+1,""))</f>
        <v/>
      </c>
    </row>
    <row r="2532">
      <c r="A2532">
        <f>IFERROR(--SUBSTITUTE(SUBSTITUTE(TRIM(INDEX(INDIRECT("'Выгрузка'!A2532:Z2532"),Настройки!$B$7)),",","."),".",MID(1/2,2,1)),"")</f>
        <v/>
      </c>
      <c r="B2532">
        <f>IFERROR(--SUBSTITUTE(SUBSTITUTE(TRIM(INDEX(INDIRECT("'Выгрузка'!A2532:Z2532"),Настройки!$B$9)),",","."),".",MID(1/2,2,1)),"")</f>
        <v/>
      </c>
      <c r="C2532">
        <f>TRIM(INDEX(INDIRECT("'Выгрузка'!A2532:Z2532"),Настройки!$B$8)&amp;"")</f>
        <v/>
      </c>
      <c r="D2532">
        <f>IFERROR(--SUBSTITUTE(SUBSTITUTE(TRIM(INDEX(INDIRECT("'Выгрузка'!A2532:Z2532"),Настройки!$B$10)),",","."),".",MID(1/2,2,1)),"")</f>
        <v/>
      </c>
      <c r="E2532">
        <f>IFERROR(--SUBSTITUTE(SUBSTITUTE(TRIM(INDEX(INDIRECT("'Выгрузка'!A2532:Z2532"),Настройки!$B$11)),",","."),".",MID(1/2,2,1)),"")</f>
        <v/>
      </c>
      <c r="F2532">
        <f>TRIM(INDEX(INDIRECT("'Выгрузка'!A2532:Z2532"),Настройки!$B$12)&amp;"")</f>
        <v/>
      </c>
      <c r="G2532">
        <f>IF(F2532="",0,IF(TRIM(INDEX(INDIRECT("'Выгрузка'!A2532:Z2532"),Настройки!$B$13)&amp;"")="",1,IFERROR(--SUBSTITUTE(SUBSTITUTE(TRIM(INDEX(INDIRECT("'Выгрузка'!A2532:Z2532"),Настройки!$B$13)),",","."),".",MID(1/2,2,1)),"")))</f>
        <v/>
      </c>
      <c r="H2532">
        <f>IF(F2532="",0,IF(COUNTIF(Настройки!$B$17:$B$26,F2532)&gt;0,1,IF(COUNTIF(Настройки!$C$17:$C$26,F2532)&gt;0,2,IF(COUNTIF(Настройки!$D$17:$D$26,F2532)&gt;0,3,0))))</f>
        <v/>
      </c>
      <c r="I2532">
        <f>IF(AND(ISNUMBER(A2532),ISNUMBER(B2532)),A2532*1000+B2532,"")</f>
        <v/>
      </c>
      <c r="J2532">
        <f>IF(I2532="","",IF(COUNTIF(I$2:I2532,I2532)=1,MAX(J$1:J2531)+1,""))</f>
        <v/>
      </c>
    </row>
    <row r="2533">
      <c r="A2533">
        <f>IFERROR(--SUBSTITUTE(SUBSTITUTE(TRIM(INDEX(INDIRECT("'Выгрузка'!A2533:Z2533"),Настройки!$B$7)),",","."),".",MID(1/2,2,1)),"")</f>
        <v/>
      </c>
      <c r="B2533">
        <f>IFERROR(--SUBSTITUTE(SUBSTITUTE(TRIM(INDEX(INDIRECT("'Выгрузка'!A2533:Z2533"),Настройки!$B$9)),",","."),".",MID(1/2,2,1)),"")</f>
        <v/>
      </c>
      <c r="C2533">
        <f>TRIM(INDEX(INDIRECT("'Выгрузка'!A2533:Z2533"),Настройки!$B$8)&amp;"")</f>
        <v/>
      </c>
      <c r="D2533">
        <f>IFERROR(--SUBSTITUTE(SUBSTITUTE(TRIM(INDEX(INDIRECT("'Выгрузка'!A2533:Z2533"),Настройки!$B$10)),",","."),".",MID(1/2,2,1)),"")</f>
        <v/>
      </c>
      <c r="E2533">
        <f>IFERROR(--SUBSTITUTE(SUBSTITUTE(TRIM(INDEX(INDIRECT("'Выгрузка'!A2533:Z2533"),Настройки!$B$11)),",","."),".",MID(1/2,2,1)),"")</f>
        <v/>
      </c>
      <c r="F2533">
        <f>TRIM(INDEX(INDIRECT("'Выгрузка'!A2533:Z2533"),Настройки!$B$12)&amp;"")</f>
        <v/>
      </c>
      <c r="G2533">
        <f>IF(F2533="",0,IF(TRIM(INDEX(INDIRECT("'Выгрузка'!A2533:Z2533"),Настройки!$B$13)&amp;"")="",1,IFERROR(--SUBSTITUTE(SUBSTITUTE(TRIM(INDEX(INDIRECT("'Выгрузка'!A2533:Z2533"),Настройки!$B$13)),",","."),".",MID(1/2,2,1)),"")))</f>
        <v/>
      </c>
      <c r="H2533">
        <f>IF(F2533="",0,IF(COUNTIF(Настройки!$B$17:$B$26,F2533)&gt;0,1,IF(COUNTIF(Настройки!$C$17:$C$26,F2533)&gt;0,2,IF(COUNTIF(Настройки!$D$17:$D$26,F2533)&gt;0,3,0))))</f>
        <v/>
      </c>
      <c r="I2533">
        <f>IF(AND(ISNUMBER(A2533),ISNUMBER(B2533)),A2533*1000+B2533,"")</f>
        <v/>
      </c>
      <c r="J2533">
        <f>IF(I2533="","",IF(COUNTIF(I$2:I2533,I2533)=1,MAX(J$1:J2532)+1,""))</f>
        <v/>
      </c>
    </row>
    <row r="2534">
      <c r="A2534">
        <f>IFERROR(--SUBSTITUTE(SUBSTITUTE(TRIM(INDEX(INDIRECT("'Выгрузка'!A2534:Z2534"),Настройки!$B$7)),",","."),".",MID(1/2,2,1)),"")</f>
        <v/>
      </c>
      <c r="B2534">
        <f>IFERROR(--SUBSTITUTE(SUBSTITUTE(TRIM(INDEX(INDIRECT("'Выгрузка'!A2534:Z2534"),Настройки!$B$9)),",","."),".",MID(1/2,2,1)),"")</f>
        <v/>
      </c>
      <c r="C2534">
        <f>TRIM(INDEX(INDIRECT("'Выгрузка'!A2534:Z2534"),Настройки!$B$8)&amp;"")</f>
        <v/>
      </c>
      <c r="D2534">
        <f>IFERROR(--SUBSTITUTE(SUBSTITUTE(TRIM(INDEX(INDIRECT("'Выгрузка'!A2534:Z2534"),Настройки!$B$10)),",","."),".",MID(1/2,2,1)),"")</f>
        <v/>
      </c>
      <c r="E2534">
        <f>IFERROR(--SUBSTITUTE(SUBSTITUTE(TRIM(INDEX(INDIRECT("'Выгрузка'!A2534:Z2534"),Настройки!$B$11)),",","."),".",MID(1/2,2,1)),"")</f>
        <v/>
      </c>
      <c r="F2534">
        <f>TRIM(INDEX(INDIRECT("'Выгрузка'!A2534:Z2534"),Настройки!$B$12)&amp;"")</f>
        <v/>
      </c>
      <c r="G2534">
        <f>IF(F2534="",0,IF(TRIM(INDEX(INDIRECT("'Выгрузка'!A2534:Z2534"),Настройки!$B$13)&amp;"")="",1,IFERROR(--SUBSTITUTE(SUBSTITUTE(TRIM(INDEX(INDIRECT("'Выгрузка'!A2534:Z2534"),Настройки!$B$13)),",","."),".",MID(1/2,2,1)),"")))</f>
        <v/>
      </c>
      <c r="H2534">
        <f>IF(F2534="",0,IF(COUNTIF(Настройки!$B$17:$B$26,F2534)&gt;0,1,IF(COUNTIF(Настройки!$C$17:$C$26,F2534)&gt;0,2,IF(COUNTIF(Настройки!$D$17:$D$26,F2534)&gt;0,3,0))))</f>
        <v/>
      </c>
      <c r="I2534">
        <f>IF(AND(ISNUMBER(A2534),ISNUMBER(B2534)),A2534*1000+B2534,"")</f>
        <v/>
      </c>
      <c r="J2534">
        <f>IF(I2534="","",IF(COUNTIF(I$2:I2534,I2534)=1,MAX(J$1:J2533)+1,""))</f>
        <v/>
      </c>
    </row>
    <row r="2535">
      <c r="A2535">
        <f>IFERROR(--SUBSTITUTE(SUBSTITUTE(TRIM(INDEX(INDIRECT("'Выгрузка'!A2535:Z2535"),Настройки!$B$7)),",","."),".",MID(1/2,2,1)),"")</f>
        <v/>
      </c>
      <c r="B2535">
        <f>IFERROR(--SUBSTITUTE(SUBSTITUTE(TRIM(INDEX(INDIRECT("'Выгрузка'!A2535:Z2535"),Настройки!$B$9)),",","."),".",MID(1/2,2,1)),"")</f>
        <v/>
      </c>
      <c r="C2535">
        <f>TRIM(INDEX(INDIRECT("'Выгрузка'!A2535:Z2535"),Настройки!$B$8)&amp;"")</f>
        <v/>
      </c>
      <c r="D2535">
        <f>IFERROR(--SUBSTITUTE(SUBSTITUTE(TRIM(INDEX(INDIRECT("'Выгрузка'!A2535:Z2535"),Настройки!$B$10)),",","."),".",MID(1/2,2,1)),"")</f>
        <v/>
      </c>
      <c r="E2535">
        <f>IFERROR(--SUBSTITUTE(SUBSTITUTE(TRIM(INDEX(INDIRECT("'Выгрузка'!A2535:Z2535"),Настройки!$B$11)),",","."),".",MID(1/2,2,1)),"")</f>
        <v/>
      </c>
      <c r="F2535">
        <f>TRIM(INDEX(INDIRECT("'Выгрузка'!A2535:Z2535"),Настройки!$B$12)&amp;"")</f>
        <v/>
      </c>
      <c r="G2535">
        <f>IF(F2535="",0,IF(TRIM(INDEX(INDIRECT("'Выгрузка'!A2535:Z2535"),Настройки!$B$13)&amp;"")="",1,IFERROR(--SUBSTITUTE(SUBSTITUTE(TRIM(INDEX(INDIRECT("'Выгрузка'!A2535:Z2535"),Настройки!$B$13)),",","."),".",MID(1/2,2,1)),"")))</f>
        <v/>
      </c>
      <c r="H2535">
        <f>IF(F2535="",0,IF(COUNTIF(Настройки!$B$17:$B$26,F2535)&gt;0,1,IF(COUNTIF(Настройки!$C$17:$C$26,F2535)&gt;0,2,IF(COUNTIF(Настройки!$D$17:$D$26,F2535)&gt;0,3,0))))</f>
        <v/>
      </c>
      <c r="I2535">
        <f>IF(AND(ISNUMBER(A2535),ISNUMBER(B2535)),A2535*1000+B2535,"")</f>
        <v/>
      </c>
      <c r="J2535">
        <f>IF(I2535="","",IF(COUNTIF(I$2:I2535,I2535)=1,MAX(J$1:J2534)+1,""))</f>
        <v/>
      </c>
    </row>
    <row r="2536">
      <c r="A2536">
        <f>IFERROR(--SUBSTITUTE(SUBSTITUTE(TRIM(INDEX(INDIRECT("'Выгрузка'!A2536:Z2536"),Настройки!$B$7)),",","."),".",MID(1/2,2,1)),"")</f>
        <v/>
      </c>
      <c r="B2536">
        <f>IFERROR(--SUBSTITUTE(SUBSTITUTE(TRIM(INDEX(INDIRECT("'Выгрузка'!A2536:Z2536"),Настройки!$B$9)),",","."),".",MID(1/2,2,1)),"")</f>
        <v/>
      </c>
      <c r="C2536">
        <f>TRIM(INDEX(INDIRECT("'Выгрузка'!A2536:Z2536"),Настройки!$B$8)&amp;"")</f>
        <v/>
      </c>
      <c r="D2536">
        <f>IFERROR(--SUBSTITUTE(SUBSTITUTE(TRIM(INDEX(INDIRECT("'Выгрузка'!A2536:Z2536"),Настройки!$B$10)),",","."),".",MID(1/2,2,1)),"")</f>
        <v/>
      </c>
      <c r="E2536">
        <f>IFERROR(--SUBSTITUTE(SUBSTITUTE(TRIM(INDEX(INDIRECT("'Выгрузка'!A2536:Z2536"),Настройки!$B$11)),",","."),".",MID(1/2,2,1)),"")</f>
        <v/>
      </c>
      <c r="F2536">
        <f>TRIM(INDEX(INDIRECT("'Выгрузка'!A2536:Z2536"),Настройки!$B$12)&amp;"")</f>
        <v/>
      </c>
      <c r="G2536">
        <f>IF(F2536="",0,IF(TRIM(INDEX(INDIRECT("'Выгрузка'!A2536:Z2536"),Настройки!$B$13)&amp;"")="",1,IFERROR(--SUBSTITUTE(SUBSTITUTE(TRIM(INDEX(INDIRECT("'Выгрузка'!A2536:Z2536"),Настройки!$B$13)),",","."),".",MID(1/2,2,1)),"")))</f>
        <v/>
      </c>
      <c r="H2536">
        <f>IF(F2536="",0,IF(COUNTIF(Настройки!$B$17:$B$26,F2536)&gt;0,1,IF(COUNTIF(Настройки!$C$17:$C$26,F2536)&gt;0,2,IF(COUNTIF(Настройки!$D$17:$D$26,F2536)&gt;0,3,0))))</f>
        <v/>
      </c>
      <c r="I2536">
        <f>IF(AND(ISNUMBER(A2536),ISNUMBER(B2536)),A2536*1000+B2536,"")</f>
        <v/>
      </c>
      <c r="J2536">
        <f>IF(I2536="","",IF(COUNTIF(I$2:I2536,I2536)=1,MAX(J$1:J2535)+1,""))</f>
        <v/>
      </c>
    </row>
    <row r="2537">
      <c r="A2537">
        <f>IFERROR(--SUBSTITUTE(SUBSTITUTE(TRIM(INDEX(INDIRECT("'Выгрузка'!A2537:Z2537"),Настройки!$B$7)),",","."),".",MID(1/2,2,1)),"")</f>
        <v/>
      </c>
      <c r="B2537">
        <f>IFERROR(--SUBSTITUTE(SUBSTITUTE(TRIM(INDEX(INDIRECT("'Выгрузка'!A2537:Z2537"),Настройки!$B$9)),",","."),".",MID(1/2,2,1)),"")</f>
        <v/>
      </c>
      <c r="C2537">
        <f>TRIM(INDEX(INDIRECT("'Выгрузка'!A2537:Z2537"),Настройки!$B$8)&amp;"")</f>
        <v/>
      </c>
      <c r="D2537">
        <f>IFERROR(--SUBSTITUTE(SUBSTITUTE(TRIM(INDEX(INDIRECT("'Выгрузка'!A2537:Z2537"),Настройки!$B$10)),",","."),".",MID(1/2,2,1)),"")</f>
        <v/>
      </c>
      <c r="E2537">
        <f>IFERROR(--SUBSTITUTE(SUBSTITUTE(TRIM(INDEX(INDIRECT("'Выгрузка'!A2537:Z2537"),Настройки!$B$11)),",","."),".",MID(1/2,2,1)),"")</f>
        <v/>
      </c>
      <c r="F2537">
        <f>TRIM(INDEX(INDIRECT("'Выгрузка'!A2537:Z2537"),Настройки!$B$12)&amp;"")</f>
        <v/>
      </c>
      <c r="G2537">
        <f>IF(F2537="",0,IF(TRIM(INDEX(INDIRECT("'Выгрузка'!A2537:Z2537"),Настройки!$B$13)&amp;"")="",1,IFERROR(--SUBSTITUTE(SUBSTITUTE(TRIM(INDEX(INDIRECT("'Выгрузка'!A2537:Z2537"),Настройки!$B$13)),",","."),".",MID(1/2,2,1)),"")))</f>
        <v/>
      </c>
      <c r="H2537">
        <f>IF(F2537="",0,IF(COUNTIF(Настройки!$B$17:$B$26,F2537)&gt;0,1,IF(COUNTIF(Настройки!$C$17:$C$26,F2537)&gt;0,2,IF(COUNTIF(Настройки!$D$17:$D$26,F2537)&gt;0,3,0))))</f>
        <v/>
      </c>
      <c r="I2537">
        <f>IF(AND(ISNUMBER(A2537),ISNUMBER(B2537)),A2537*1000+B2537,"")</f>
        <v/>
      </c>
      <c r="J2537">
        <f>IF(I2537="","",IF(COUNTIF(I$2:I2537,I2537)=1,MAX(J$1:J2536)+1,""))</f>
        <v/>
      </c>
    </row>
    <row r="2538">
      <c r="A2538">
        <f>IFERROR(--SUBSTITUTE(SUBSTITUTE(TRIM(INDEX(INDIRECT("'Выгрузка'!A2538:Z2538"),Настройки!$B$7)),",","."),".",MID(1/2,2,1)),"")</f>
        <v/>
      </c>
      <c r="B2538">
        <f>IFERROR(--SUBSTITUTE(SUBSTITUTE(TRIM(INDEX(INDIRECT("'Выгрузка'!A2538:Z2538"),Настройки!$B$9)),",","."),".",MID(1/2,2,1)),"")</f>
        <v/>
      </c>
      <c r="C2538">
        <f>TRIM(INDEX(INDIRECT("'Выгрузка'!A2538:Z2538"),Настройки!$B$8)&amp;"")</f>
        <v/>
      </c>
      <c r="D2538">
        <f>IFERROR(--SUBSTITUTE(SUBSTITUTE(TRIM(INDEX(INDIRECT("'Выгрузка'!A2538:Z2538"),Настройки!$B$10)),",","."),".",MID(1/2,2,1)),"")</f>
        <v/>
      </c>
      <c r="E2538">
        <f>IFERROR(--SUBSTITUTE(SUBSTITUTE(TRIM(INDEX(INDIRECT("'Выгрузка'!A2538:Z2538"),Настройки!$B$11)),",","."),".",MID(1/2,2,1)),"")</f>
        <v/>
      </c>
      <c r="F2538">
        <f>TRIM(INDEX(INDIRECT("'Выгрузка'!A2538:Z2538"),Настройки!$B$12)&amp;"")</f>
        <v/>
      </c>
      <c r="G2538">
        <f>IF(F2538="",0,IF(TRIM(INDEX(INDIRECT("'Выгрузка'!A2538:Z2538"),Настройки!$B$13)&amp;"")="",1,IFERROR(--SUBSTITUTE(SUBSTITUTE(TRIM(INDEX(INDIRECT("'Выгрузка'!A2538:Z2538"),Настройки!$B$13)),",","."),".",MID(1/2,2,1)),"")))</f>
        <v/>
      </c>
      <c r="H2538">
        <f>IF(F2538="",0,IF(COUNTIF(Настройки!$B$17:$B$26,F2538)&gt;0,1,IF(COUNTIF(Настройки!$C$17:$C$26,F2538)&gt;0,2,IF(COUNTIF(Настройки!$D$17:$D$26,F2538)&gt;0,3,0))))</f>
        <v/>
      </c>
      <c r="I2538">
        <f>IF(AND(ISNUMBER(A2538),ISNUMBER(B2538)),A2538*1000+B2538,"")</f>
        <v/>
      </c>
      <c r="J2538">
        <f>IF(I2538="","",IF(COUNTIF(I$2:I2538,I2538)=1,MAX(J$1:J2537)+1,""))</f>
        <v/>
      </c>
    </row>
    <row r="2539">
      <c r="A2539">
        <f>IFERROR(--SUBSTITUTE(SUBSTITUTE(TRIM(INDEX(INDIRECT("'Выгрузка'!A2539:Z2539"),Настройки!$B$7)),",","."),".",MID(1/2,2,1)),"")</f>
        <v/>
      </c>
      <c r="B2539">
        <f>IFERROR(--SUBSTITUTE(SUBSTITUTE(TRIM(INDEX(INDIRECT("'Выгрузка'!A2539:Z2539"),Настройки!$B$9)),",","."),".",MID(1/2,2,1)),"")</f>
        <v/>
      </c>
      <c r="C2539">
        <f>TRIM(INDEX(INDIRECT("'Выгрузка'!A2539:Z2539"),Настройки!$B$8)&amp;"")</f>
        <v/>
      </c>
      <c r="D2539">
        <f>IFERROR(--SUBSTITUTE(SUBSTITUTE(TRIM(INDEX(INDIRECT("'Выгрузка'!A2539:Z2539"),Настройки!$B$10)),",","."),".",MID(1/2,2,1)),"")</f>
        <v/>
      </c>
      <c r="E2539">
        <f>IFERROR(--SUBSTITUTE(SUBSTITUTE(TRIM(INDEX(INDIRECT("'Выгрузка'!A2539:Z2539"),Настройки!$B$11)),",","."),".",MID(1/2,2,1)),"")</f>
        <v/>
      </c>
      <c r="F2539">
        <f>TRIM(INDEX(INDIRECT("'Выгрузка'!A2539:Z2539"),Настройки!$B$12)&amp;"")</f>
        <v/>
      </c>
      <c r="G2539">
        <f>IF(F2539="",0,IF(TRIM(INDEX(INDIRECT("'Выгрузка'!A2539:Z2539"),Настройки!$B$13)&amp;"")="",1,IFERROR(--SUBSTITUTE(SUBSTITUTE(TRIM(INDEX(INDIRECT("'Выгрузка'!A2539:Z2539"),Настройки!$B$13)),",","."),".",MID(1/2,2,1)),"")))</f>
        <v/>
      </c>
      <c r="H2539">
        <f>IF(F2539="",0,IF(COUNTIF(Настройки!$B$17:$B$26,F2539)&gt;0,1,IF(COUNTIF(Настройки!$C$17:$C$26,F2539)&gt;0,2,IF(COUNTIF(Настройки!$D$17:$D$26,F2539)&gt;0,3,0))))</f>
        <v/>
      </c>
      <c r="I2539">
        <f>IF(AND(ISNUMBER(A2539),ISNUMBER(B2539)),A2539*1000+B2539,"")</f>
        <v/>
      </c>
      <c r="J2539">
        <f>IF(I2539="","",IF(COUNTIF(I$2:I2539,I2539)=1,MAX(J$1:J2538)+1,""))</f>
        <v/>
      </c>
    </row>
    <row r="2540">
      <c r="A2540">
        <f>IFERROR(--SUBSTITUTE(SUBSTITUTE(TRIM(INDEX(INDIRECT("'Выгрузка'!A2540:Z2540"),Настройки!$B$7)),",","."),".",MID(1/2,2,1)),"")</f>
        <v/>
      </c>
      <c r="B2540">
        <f>IFERROR(--SUBSTITUTE(SUBSTITUTE(TRIM(INDEX(INDIRECT("'Выгрузка'!A2540:Z2540"),Настройки!$B$9)),",","."),".",MID(1/2,2,1)),"")</f>
        <v/>
      </c>
      <c r="C2540">
        <f>TRIM(INDEX(INDIRECT("'Выгрузка'!A2540:Z2540"),Настройки!$B$8)&amp;"")</f>
        <v/>
      </c>
      <c r="D2540">
        <f>IFERROR(--SUBSTITUTE(SUBSTITUTE(TRIM(INDEX(INDIRECT("'Выгрузка'!A2540:Z2540"),Настройки!$B$10)),",","."),".",MID(1/2,2,1)),"")</f>
        <v/>
      </c>
      <c r="E2540">
        <f>IFERROR(--SUBSTITUTE(SUBSTITUTE(TRIM(INDEX(INDIRECT("'Выгрузка'!A2540:Z2540"),Настройки!$B$11)),",","."),".",MID(1/2,2,1)),"")</f>
        <v/>
      </c>
      <c r="F2540">
        <f>TRIM(INDEX(INDIRECT("'Выгрузка'!A2540:Z2540"),Настройки!$B$12)&amp;"")</f>
        <v/>
      </c>
      <c r="G2540">
        <f>IF(F2540="",0,IF(TRIM(INDEX(INDIRECT("'Выгрузка'!A2540:Z2540"),Настройки!$B$13)&amp;"")="",1,IFERROR(--SUBSTITUTE(SUBSTITUTE(TRIM(INDEX(INDIRECT("'Выгрузка'!A2540:Z2540"),Настройки!$B$13)),",","."),".",MID(1/2,2,1)),"")))</f>
        <v/>
      </c>
      <c r="H2540">
        <f>IF(F2540="",0,IF(COUNTIF(Настройки!$B$17:$B$26,F2540)&gt;0,1,IF(COUNTIF(Настройки!$C$17:$C$26,F2540)&gt;0,2,IF(COUNTIF(Настройки!$D$17:$D$26,F2540)&gt;0,3,0))))</f>
        <v/>
      </c>
      <c r="I2540">
        <f>IF(AND(ISNUMBER(A2540),ISNUMBER(B2540)),A2540*1000+B2540,"")</f>
        <v/>
      </c>
      <c r="J2540">
        <f>IF(I2540="","",IF(COUNTIF(I$2:I2540,I2540)=1,MAX(J$1:J2539)+1,""))</f>
        <v/>
      </c>
    </row>
    <row r="2541">
      <c r="A2541">
        <f>IFERROR(--SUBSTITUTE(SUBSTITUTE(TRIM(INDEX(INDIRECT("'Выгрузка'!A2541:Z2541"),Настройки!$B$7)),",","."),".",MID(1/2,2,1)),"")</f>
        <v/>
      </c>
      <c r="B2541">
        <f>IFERROR(--SUBSTITUTE(SUBSTITUTE(TRIM(INDEX(INDIRECT("'Выгрузка'!A2541:Z2541"),Настройки!$B$9)),",","."),".",MID(1/2,2,1)),"")</f>
        <v/>
      </c>
      <c r="C2541">
        <f>TRIM(INDEX(INDIRECT("'Выгрузка'!A2541:Z2541"),Настройки!$B$8)&amp;"")</f>
        <v/>
      </c>
      <c r="D2541">
        <f>IFERROR(--SUBSTITUTE(SUBSTITUTE(TRIM(INDEX(INDIRECT("'Выгрузка'!A2541:Z2541"),Настройки!$B$10)),",","."),".",MID(1/2,2,1)),"")</f>
        <v/>
      </c>
      <c r="E2541">
        <f>IFERROR(--SUBSTITUTE(SUBSTITUTE(TRIM(INDEX(INDIRECT("'Выгрузка'!A2541:Z2541"),Настройки!$B$11)),",","."),".",MID(1/2,2,1)),"")</f>
        <v/>
      </c>
      <c r="F2541">
        <f>TRIM(INDEX(INDIRECT("'Выгрузка'!A2541:Z2541"),Настройки!$B$12)&amp;"")</f>
        <v/>
      </c>
      <c r="G2541">
        <f>IF(F2541="",0,IF(TRIM(INDEX(INDIRECT("'Выгрузка'!A2541:Z2541"),Настройки!$B$13)&amp;"")="",1,IFERROR(--SUBSTITUTE(SUBSTITUTE(TRIM(INDEX(INDIRECT("'Выгрузка'!A2541:Z2541"),Настройки!$B$13)),",","."),".",MID(1/2,2,1)),"")))</f>
        <v/>
      </c>
      <c r="H2541">
        <f>IF(F2541="",0,IF(COUNTIF(Настройки!$B$17:$B$26,F2541)&gt;0,1,IF(COUNTIF(Настройки!$C$17:$C$26,F2541)&gt;0,2,IF(COUNTIF(Настройки!$D$17:$D$26,F2541)&gt;0,3,0))))</f>
        <v/>
      </c>
      <c r="I2541">
        <f>IF(AND(ISNUMBER(A2541),ISNUMBER(B2541)),A2541*1000+B2541,"")</f>
        <v/>
      </c>
      <c r="J2541">
        <f>IF(I2541="","",IF(COUNTIF(I$2:I2541,I2541)=1,MAX(J$1:J2540)+1,""))</f>
        <v/>
      </c>
    </row>
    <row r="2542">
      <c r="A2542">
        <f>IFERROR(--SUBSTITUTE(SUBSTITUTE(TRIM(INDEX(INDIRECT("'Выгрузка'!A2542:Z2542"),Настройки!$B$7)),",","."),".",MID(1/2,2,1)),"")</f>
        <v/>
      </c>
      <c r="B2542">
        <f>IFERROR(--SUBSTITUTE(SUBSTITUTE(TRIM(INDEX(INDIRECT("'Выгрузка'!A2542:Z2542"),Настройки!$B$9)),",","."),".",MID(1/2,2,1)),"")</f>
        <v/>
      </c>
      <c r="C2542">
        <f>TRIM(INDEX(INDIRECT("'Выгрузка'!A2542:Z2542"),Настройки!$B$8)&amp;"")</f>
        <v/>
      </c>
      <c r="D2542">
        <f>IFERROR(--SUBSTITUTE(SUBSTITUTE(TRIM(INDEX(INDIRECT("'Выгрузка'!A2542:Z2542"),Настройки!$B$10)),",","."),".",MID(1/2,2,1)),"")</f>
        <v/>
      </c>
      <c r="E2542">
        <f>IFERROR(--SUBSTITUTE(SUBSTITUTE(TRIM(INDEX(INDIRECT("'Выгрузка'!A2542:Z2542"),Настройки!$B$11)),",","."),".",MID(1/2,2,1)),"")</f>
        <v/>
      </c>
      <c r="F2542">
        <f>TRIM(INDEX(INDIRECT("'Выгрузка'!A2542:Z2542"),Настройки!$B$12)&amp;"")</f>
        <v/>
      </c>
      <c r="G2542">
        <f>IF(F2542="",0,IF(TRIM(INDEX(INDIRECT("'Выгрузка'!A2542:Z2542"),Настройки!$B$13)&amp;"")="",1,IFERROR(--SUBSTITUTE(SUBSTITUTE(TRIM(INDEX(INDIRECT("'Выгрузка'!A2542:Z2542"),Настройки!$B$13)),",","."),".",MID(1/2,2,1)),"")))</f>
        <v/>
      </c>
      <c r="H2542">
        <f>IF(F2542="",0,IF(COUNTIF(Настройки!$B$17:$B$26,F2542)&gt;0,1,IF(COUNTIF(Настройки!$C$17:$C$26,F2542)&gt;0,2,IF(COUNTIF(Настройки!$D$17:$D$26,F2542)&gt;0,3,0))))</f>
        <v/>
      </c>
      <c r="I2542">
        <f>IF(AND(ISNUMBER(A2542),ISNUMBER(B2542)),A2542*1000+B2542,"")</f>
        <v/>
      </c>
      <c r="J2542">
        <f>IF(I2542="","",IF(COUNTIF(I$2:I2542,I2542)=1,MAX(J$1:J2541)+1,""))</f>
        <v/>
      </c>
    </row>
    <row r="2543">
      <c r="A2543">
        <f>IFERROR(--SUBSTITUTE(SUBSTITUTE(TRIM(INDEX(INDIRECT("'Выгрузка'!A2543:Z2543"),Настройки!$B$7)),",","."),".",MID(1/2,2,1)),"")</f>
        <v/>
      </c>
      <c r="B2543">
        <f>IFERROR(--SUBSTITUTE(SUBSTITUTE(TRIM(INDEX(INDIRECT("'Выгрузка'!A2543:Z2543"),Настройки!$B$9)),",","."),".",MID(1/2,2,1)),"")</f>
        <v/>
      </c>
      <c r="C2543">
        <f>TRIM(INDEX(INDIRECT("'Выгрузка'!A2543:Z2543"),Настройки!$B$8)&amp;"")</f>
        <v/>
      </c>
      <c r="D2543">
        <f>IFERROR(--SUBSTITUTE(SUBSTITUTE(TRIM(INDEX(INDIRECT("'Выгрузка'!A2543:Z2543"),Настройки!$B$10)),",","."),".",MID(1/2,2,1)),"")</f>
        <v/>
      </c>
      <c r="E2543">
        <f>IFERROR(--SUBSTITUTE(SUBSTITUTE(TRIM(INDEX(INDIRECT("'Выгрузка'!A2543:Z2543"),Настройки!$B$11)),",","."),".",MID(1/2,2,1)),"")</f>
        <v/>
      </c>
      <c r="F2543">
        <f>TRIM(INDEX(INDIRECT("'Выгрузка'!A2543:Z2543"),Настройки!$B$12)&amp;"")</f>
        <v/>
      </c>
      <c r="G2543">
        <f>IF(F2543="",0,IF(TRIM(INDEX(INDIRECT("'Выгрузка'!A2543:Z2543"),Настройки!$B$13)&amp;"")="",1,IFERROR(--SUBSTITUTE(SUBSTITUTE(TRIM(INDEX(INDIRECT("'Выгрузка'!A2543:Z2543"),Настройки!$B$13)),",","."),".",MID(1/2,2,1)),"")))</f>
        <v/>
      </c>
      <c r="H2543">
        <f>IF(F2543="",0,IF(COUNTIF(Настройки!$B$17:$B$26,F2543)&gt;0,1,IF(COUNTIF(Настройки!$C$17:$C$26,F2543)&gt;0,2,IF(COUNTIF(Настройки!$D$17:$D$26,F2543)&gt;0,3,0))))</f>
        <v/>
      </c>
      <c r="I2543">
        <f>IF(AND(ISNUMBER(A2543),ISNUMBER(B2543)),A2543*1000+B2543,"")</f>
        <v/>
      </c>
      <c r="J2543">
        <f>IF(I2543="","",IF(COUNTIF(I$2:I2543,I2543)=1,MAX(J$1:J2542)+1,""))</f>
        <v/>
      </c>
    </row>
    <row r="2544">
      <c r="A2544">
        <f>IFERROR(--SUBSTITUTE(SUBSTITUTE(TRIM(INDEX(INDIRECT("'Выгрузка'!A2544:Z2544"),Настройки!$B$7)),",","."),".",MID(1/2,2,1)),"")</f>
        <v/>
      </c>
      <c r="B2544">
        <f>IFERROR(--SUBSTITUTE(SUBSTITUTE(TRIM(INDEX(INDIRECT("'Выгрузка'!A2544:Z2544"),Настройки!$B$9)),",","."),".",MID(1/2,2,1)),"")</f>
        <v/>
      </c>
      <c r="C2544">
        <f>TRIM(INDEX(INDIRECT("'Выгрузка'!A2544:Z2544"),Настройки!$B$8)&amp;"")</f>
        <v/>
      </c>
      <c r="D2544">
        <f>IFERROR(--SUBSTITUTE(SUBSTITUTE(TRIM(INDEX(INDIRECT("'Выгрузка'!A2544:Z2544"),Настройки!$B$10)),",","."),".",MID(1/2,2,1)),"")</f>
        <v/>
      </c>
      <c r="E2544">
        <f>IFERROR(--SUBSTITUTE(SUBSTITUTE(TRIM(INDEX(INDIRECT("'Выгрузка'!A2544:Z2544"),Настройки!$B$11)),",","."),".",MID(1/2,2,1)),"")</f>
        <v/>
      </c>
      <c r="F2544">
        <f>TRIM(INDEX(INDIRECT("'Выгрузка'!A2544:Z2544"),Настройки!$B$12)&amp;"")</f>
        <v/>
      </c>
      <c r="G2544">
        <f>IF(F2544="",0,IF(TRIM(INDEX(INDIRECT("'Выгрузка'!A2544:Z2544"),Настройки!$B$13)&amp;"")="",1,IFERROR(--SUBSTITUTE(SUBSTITUTE(TRIM(INDEX(INDIRECT("'Выгрузка'!A2544:Z2544"),Настройки!$B$13)),",","."),".",MID(1/2,2,1)),"")))</f>
        <v/>
      </c>
      <c r="H2544">
        <f>IF(F2544="",0,IF(COUNTIF(Настройки!$B$17:$B$26,F2544)&gt;0,1,IF(COUNTIF(Настройки!$C$17:$C$26,F2544)&gt;0,2,IF(COUNTIF(Настройки!$D$17:$D$26,F2544)&gt;0,3,0))))</f>
        <v/>
      </c>
      <c r="I2544">
        <f>IF(AND(ISNUMBER(A2544),ISNUMBER(B2544)),A2544*1000+B2544,"")</f>
        <v/>
      </c>
      <c r="J2544">
        <f>IF(I2544="","",IF(COUNTIF(I$2:I2544,I2544)=1,MAX(J$1:J2543)+1,""))</f>
        <v/>
      </c>
    </row>
    <row r="2545">
      <c r="A2545">
        <f>IFERROR(--SUBSTITUTE(SUBSTITUTE(TRIM(INDEX(INDIRECT("'Выгрузка'!A2545:Z2545"),Настройки!$B$7)),",","."),".",MID(1/2,2,1)),"")</f>
        <v/>
      </c>
      <c r="B2545">
        <f>IFERROR(--SUBSTITUTE(SUBSTITUTE(TRIM(INDEX(INDIRECT("'Выгрузка'!A2545:Z2545"),Настройки!$B$9)),",","."),".",MID(1/2,2,1)),"")</f>
        <v/>
      </c>
      <c r="C2545">
        <f>TRIM(INDEX(INDIRECT("'Выгрузка'!A2545:Z2545"),Настройки!$B$8)&amp;"")</f>
        <v/>
      </c>
      <c r="D2545">
        <f>IFERROR(--SUBSTITUTE(SUBSTITUTE(TRIM(INDEX(INDIRECT("'Выгрузка'!A2545:Z2545"),Настройки!$B$10)),",","."),".",MID(1/2,2,1)),"")</f>
        <v/>
      </c>
      <c r="E2545">
        <f>IFERROR(--SUBSTITUTE(SUBSTITUTE(TRIM(INDEX(INDIRECT("'Выгрузка'!A2545:Z2545"),Настройки!$B$11)),",","."),".",MID(1/2,2,1)),"")</f>
        <v/>
      </c>
      <c r="F2545">
        <f>TRIM(INDEX(INDIRECT("'Выгрузка'!A2545:Z2545"),Настройки!$B$12)&amp;"")</f>
        <v/>
      </c>
      <c r="G2545">
        <f>IF(F2545="",0,IF(TRIM(INDEX(INDIRECT("'Выгрузка'!A2545:Z2545"),Настройки!$B$13)&amp;"")="",1,IFERROR(--SUBSTITUTE(SUBSTITUTE(TRIM(INDEX(INDIRECT("'Выгрузка'!A2545:Z2545"),Настройки!$B$13)),",","."),".",MID(1/2,2,1)),"")))</f>
        <v/>
      </c>
      <c r="H2545">
        <f>IF(F2545="",0,IF(COUNTIF(Настройки!$B$17:$B$26,F2545)&gt;0,1,IF(COUNTIF(Настройки!$C$17:$C$26,F2545)&gt;0,2,IF(COUNTIF(Настройки!$D$17:$D$26,F2545)&gt;0,3,0))))</f>
        <v/>
      </c>
      <c r="I2545">
        <f>IF(AND(ISNUMBER(A2545),ISNUMBER(B2545)),A2545*1000+B2545,"")</f>
        <v/>
      </c>
      <c r="J2545">
        <f>IF(I2545="","",IF(COUNTIF(I$2:I2545,I2545)=1,MAX(J$1:J2544)+1,""))</f>
        <v/>
      </c>
    </row>
    <row r="2546">
      <c r="A2546">
        <f>IFERROR(--SUBSTITUTE(SUBSTITUTE(TRIM(INDEX(INDIRECT("'Выгрузка'!A2546:Z2546"),Настройки!$B$7)),",","."),".",MID(1/2,2,1)),"")</f>
        <v/>
      </c>
      <c r="B2546">
        <f>IFERROR(--SUBSTITUTE(SUBSTITUTE(TRIM(INDEX(INDIRECT("'Выгрузка'!A2546:Z2546"),Настройки!$B$9)),",","."),".",MID(1/2,2,1)),"")</f>
        <v/>
      </c>
      <c r="C2546">
        <f>TRIM(INDEX(INDIRECT("'Выгрузка'!A2546:Z2546"),Настройки!$B$8)&amp;"")</f>
        <v/>
      </c>
      <c r="D2546">
        <f>IFERROR(--SUBSTITUTE(SUBSTITUTE(TRIM(INDEX(INDIRECT("'Выгрузка'!A2546:Z2546"),Настройки!$B$10)),",","."),".",MID(1/2,2,1)),"")</f>
        <v/>
      </c>
      <c r="E2546">
        <f>IFERROR(--SUBSTITUTE(SUBSTITUTE(TRIM(INDEX(INDIRECT("'Выгрузка'!A2546:Z2546"),Настройки!$B$11)),",","."),".",MID(1/2,2,1)),"")</f>
        <v/>
      </c>
      <c r="F2546">
        <f>TRIM(INDEX(INDIRECT("'Выгрузка'!A2546:Z2546"),Настройки!$B$12)&amp;"")</f>
        <v/>
      </c>
      <c r="G2546">
        <f>IF(F2546="",0,IF(TRIM(INDEX(INDIRECT("'Выгрузка'!A2546:Z2546"),Настройки!$B$13)&amp;"")="",1,IFERROR(--SUBSTITUTE(SUBSTITUTE(TRIM(INDEX(INDIRECT("'Выгрузка'!A2546:Z2546"),Настройки!$B$13)),",","."),".",MID(1/2,2,1)),"")))</f>
        <v/>
      </c>
      <c r="H2546">
        <f>IF(F2546="",0,IF(COUNTIF(Настройки!$B$17:$B$26,F2546)&gt;0,1,IF(COUNTIF(Настройки!$C$17:$C$26,F2546)&gt;0,2,IF(COUNTIF(Настройки!$D$17:$D$26,F2546)&gt;0,3,0))))</f>
        <v/>
      </c>
      <c r="I2546">
        <f>IF(AND(ISNUMBER(A2546),ISNUMBER(B2546)),A2546*1000+B2546,"")</f>
        <v/>
      </c>
      <c r="J2546">
        <f>IF(I2546="","",IF(COUNTIF(I$2:I2546,I2546)=1,MAX(J$1:J2545)+1,""))</f>
        <v/>
      </c>
    </row>
    <row r="2547">
      <c r="A2547">
        <f>IFERROR(--SUBSTITUTE(SUBSTITUTE(TRIM(INDEX(INDIRECT("'Выгрузка'!A2547:Z2547"),Настройки!$B$7)),",","."),".",MID(1/2,2,1)),"")</f>
        <v/>
      </c>
      <c r="B2547">
        <f>IFERROR(--SUBSTITUTE(SUBSTITUTE(TRIM(INDEX(INDIRECT("'Выгрузка'!A2547:Z2547"),Настройки!$B$9)),",","."),".",MID(1/2,2,1)),"")</f>
        <v/>
      </c>
      <c r="C2547">
        <f>TRIM(INDEX(INDIRECT("'Выгрузка'!A2547:Z2547"),Настройки!$B$8)&amp;"")</f>
        <v/>
      </c>
      <c r="D2547">
        <f>IFERROR(--SUBSTITUTE(SUBSTITUTE(TRIM(INDEX(INDIRECT("'Выгрузка'!A2547:Z2547"),Настройки!$B$10)),",","."),".",MID(1/2,2,1)),"")</f>
        <v/>
      </c>
      <c r="E2547">
        <f>IFERROR(--SUBSTITUTE(SUBSTITUTE(TRIM(INDEX(INDIRECT("'Выгрузка'!A2547:Z2547"),Настройки!$B$11)),",","."),".",MID(1/2,2,1)),"")</f>
        <v/>
      </c>
      <c r="F2547">
        <f>TRIM(INDEX(INDIRECT("'Выгрузка'!A2547:Z2547"),Настройки!$B$12)&amp;"")</f>
        <v/>
      </c>
      <c r="G2547">
        <f>IF(F2547="",0,IF(TRIM(INDEX(INDIRECT("'Выгрузка'!A2547:Z2547"),Настройки!$B$13)&amp;"")="",1,IFERROR(--SUBSTITUTE(SUBSTITUTE(TRIM(INDEX(INDIRECT("'Выгрузка'!A2547:Z2547"),Настройки!$B$13)),",","."),".",MID(1/2,2,1)),"")))</f>
        <v/>
      </c>
      <c r="H2547">
        <f>IF(F2547="",0,IF(COUNTIF(Настройки!$B$17:$B$26,F2547)&gt;0,1,IF(COUNTIF(Настройки!$C$17:$C$26,F2547)&gt;0,2,IF(COUNTIF(Настройки!$D$17:$D$26,F2547)&gt;0,3,0))))</f>
        <v/>
      </c>
      <c r="I2547">
        <f>IF(AND(ISNUMBER(A2547),ISNUMBER(B2547)),A2547*1000+B2547,"")</f>
        <v/>
      </c>
      <c r="J2547">
        <f>IF(I2547="","",IF(COUNTIF(I$2:I2547,I2547)=1,MAX(J$1:J2546)+1,""))</f>
        <v/>
      </c>
    </row>
    <row r="2548">
      <c r="A2548">
        <f>IFERROR(--SUBSTITUTE(SUBSTITUTE(TRIM(INDEX(INDIRECT("'Выгрузка'!A2548:Z2548"),Настройки!$B$7)),",","."),".",MID(1/2,2,1)),"")</f>
        <v/>
      </c>
      <c r="B2548">
        <f>IFERROR(--SUBSTITUTE(SUBSTITUTE(TRIM(INDEX(INDIRECT("'Выгрузка'!A2548:Z2548"),Настройки!$B$9)),",","."),".",MID(1/2,2,1)),"")</f>
        <v/>
      </c>
      <c r="C2548">
        <f>TRIM(INDEX(INDIRECT("'Выгрузка'!A2548:Z2548"),Настройки!$B$8)&amp;"")</f>
        <v/>
      </c>
      <c r="D2548">
        <f>IFERROR(--SUBSTITUTE(SUBSTITUTE(TRIM(INDEX(INDIRECT("'Выгрузка'!A2548:Z2548"),Настройки!$B$10)),",","."),".",MID(1/2,2,1)),"")</f>
        <v/>
      </c>
      <c r="E2548">
        <f>IFERROR(--SUBSTITUTE(SUBSTITUTE(TRIM(INDEX(INDIRECT("'Выгрузка'!A2548:Z2548"),Настройки!$B$11)),",","."),".",MID(1/2,2,1)),"")</f>
        <v/>
      </c>
      <c r="F2548">
        <f>TRIM(INDEX(INDIRECT("'Выгрузка'!A2548:Z2548"),Настройки!$B$12)&amp;"")</f>
        <v/>
      </c>
      <c r="G2548">
        <f>IF(F2548="",0,IF(TRIM(INDEX(INDIRECT("'Выгрузка'!A2548:Z2548"),Настройки!$B$13)&amp;"")="",1,IFERROR(--SUBSTITUTE(SUBSTITUTE(TRIM(INDEX(INDIRECT("'Выгрузка'!A2548:Z2548"),Настройки!$B$13)),",","."),".",MID(1/2,2,1)),"")))</f>
        <v/>
      </c>
      <c r="H2548">
        <f>IF(F2548="",0,IF(COUNTIF(Настройки!$B$17:$B$26,F2548)&gt;0,1,IF(COUNTIF(Настройки!$C$17:$C$26,F2548)&gt;0,2,IF(COUNTIF(Настройки!$D$17:$D$26,F2548)&gt;0,3,0))))</f>
        <v/>
      </c>
      <c r="I2548">
        <f>IF(AND(ISNUMBER(A2548),ISNUMBER(B2548)),A2548*1000+B2548,"")</f>
        <v/>
      </c>
      <c r="J2548">
        <f>IF(I2548="","",IF(COUNTIF(I$2:I2548,I2548)=1,MAX(J$1:J2547)+1,""))</f>
        <v/>
      </c>
    </row>
    <row r="2549">
      <c r="A2549">
        <f>IFERROR(--SUBSTITUTE(SUBSTITUTE(TRIM(INDEX(INDIRECT("'Выгрузка'!A2549:Z2549"),Настройки!$B$7)),",","."),".",MID(1/2,2,1)),"")</f>
        <v/>
      </c>
      <c r="B2549">
        <f>IFERROR(--SUBSTITUTE(SUBSTITUTE(TRIM(INDEX(INDIRECT("'Выгрузка'!A2549:Z2549"),Настройки!$B$9)),",","."),".",MID(1/2,2,1)),"")</f>
        <v/>
      </c>
      <c r="C2549">
        <f>TRIM(INDEX(INDIRECT("'Выгрузка'!A2549:Z2549"),Настройки!$B$8)&amp;"")</f>
        <v/>
      </c>
      <c r="D2549">
        <f>IFERROR(--SUBSTITUTE(SUBSTITUTE(TRIM(INDEX(INDIRECT("'Выгрузка'!A2549:Z2549"),Настройки!$B$10)),",","."),".",MID(1/2,2,1)),"")</f>
        <v/>
      </c>
      <c r="E2549">
        <f>IFERROR(--SUBSTITUTE(SUBSTITUTE(TRIM(INDEX(INDIRECT("'Выгрузка'!A2549:Z2549"),Настройки!$B$11)),",","."),".",MID(1/2,2,1)),"")</f>
        <v/>
      </c>
      <c r="F2549">
        <f>TRIM(INDEX(INDIRECT("'Выгрузка'!A2549:Z2549"),Настройки!$B$12)&amp;"")</f>
        <v/>
      </c>
      <c r="G2549">
        <f>IF(F2549="",0,IF(TRIM(INDEX(INDIRECT("'Выгрузка'!A2549:Z2549"),Настройки!$B$13)&amp;"")="",1,IFERROR(--SUBSTITUTE(SUBSTITUTE(TRIM(INDEX(INDIRECT("'Выгрузка'!A2549:Z2549"),Настройки!$B$13)),",","."),".",MID(1/2,2,1)),"")))</f>
        <v/>
      </c>
      <c r="H2549">
        <f>IF(F2549="",0,IF(COUNTIF(Настройки!$B$17:$B$26,F2549)&gt;0,1,IF(COUNTIF(Настройки!$C$17:$C$26,F2549)&gt;0,2,IF(COUNTIF(Настройки!$D$17:$D$26,F2549)&gt;0,3,0))))</f>
        <v/>
      </c>
      <c r="I2549">
        <f>IF(AND(ISNUMBER(A2549),ISNUMBER(B2549)),A2549*1000+B2549,"")</f>
        <v/>
      </c>
      <c r="J2549">
        <f>IF(I2549="","",IF(COUNTIF(I$2:I2549,I2549)=1,MAX(J$1:J2548)+1,""))</f>
        <v/>
      </c>
    </row>
    <row r="2550">
      <c r="A2550">
        <f>IFERROR(--SUBSTITUTE(SUBSTITUTE(TRIM(INDEX(INDIRECT("'Выгрузка'!A2550:Z2550"),Настройки!$B$7)),",","."),".",MID(1/2,2,1)),"")</f>
        <v/>
      </c>
      <c r="B2550">
        <f>IFERROR(--SUBSTITUTE(SUBSTITUTE(TRIM(INDEX(INDIRECT("'Выгрузка'!A2550:Z2550"),Настройки!$B$9)),",","."),".",MID(1/2,2,1)),"")</f>
        <v/>
      </c>
      <c r="C2550">
        <f>TRIM(INDEX(INDIRECT("'Выгрузка'!A2550:Z2550"),Настройки!$B$8)&amp;"")</f>
        <v/>
      </c>
      <c r="D2550">
        <f>IFERROR(--SUBSTITUTE(SUBSTITUTE(TRIM(INDEX(INDIRECT("'Выгрузка'!A2550:Z2550"),Настройки!$B$10)),",","."),".",MID(1/2,2,1)),"")</f>
        <v/>
      </c>
      <c r="E2550">
        <f>IFERROR(--SUBSTITUTE(SUBSTITUTE(TRIM(INDEX(INDIRECT("'Выгрузка'!A2550:Z2550"),Настройки!$B$11)),",","."),".",MID(1/2,2,1)),"")</f>
        <v/>
      </c>
      <c r="F2550">
        <f>TRIM(INDEX(INDIRECT("'Выгрузка'!A2550:Z2550"),Настройки!$B$12)&amp;"")</f>
        <v/>
      </c>
      <c r="G2550">
        <f>IF(F2550="",0,IF(TRIM(INDEX(INDIRECT("'Выгрузка'!A2550:Z2550"),Настройки!$B$13)&amp;"")="",1,IFERROR(--SUBSTITUTE(SUBSTITUTE(TRIM(INDEX(INDIRECT("'Выгрузка'!A2550:Z2550"),Настройки!$B$13)),",","."),".",MID(1/2,2,1)),"")))</f>
        <v/>
      </c>
      <c r="H2550">
        <f>IF(F2550="",0,IF(COUNTIF(Настройки!$B$17:$B$26,F2550)&gt;0,1,IF(COUNTIF(Настройки!$C$17:$C$26,F2550)&gt;0,2,IF(COUNTIF(Настройки!$D$17:$D$26,F2550)&gt;0,3,0))))</f>
        <v/>
      </c>
      <c r="I2550">
        <f>IF(AND(ISNUMBER(A2550),ISNUMBER(B2550)),A2550*1000+B2550,"")</f>
        <v/>
      </c>
      <c r="J2550">
        <f>IF(I2550="","",IF(COUNTIF(I$2:I2550,I2550)=1,MAX(J$1:J2549)+1,""))</f>
        <v/>
      </c>
    </row>
    <row r="2551">
      <c r="A2551">
        <f>IFERROR(--SUBSTITUTE(SUBSTITUTE(TRIM(INDEX(INDIRECT("'Выгрузка'!A2551:Z2551"),Настройки!$B$7)),",","."),".",MID(1/2,2,1)),"")</f>
        <v/>
      </c>
      <c r="B2551">
        <f>IFERROR(--SUBSTITUTE(SUBSTITUTE(TRIM(INDEX(INDIRECT("'Выгрузка'!A2551:Z2551"),Настройки!$B$9)),",","."),".",MID(1/2,2,1)),"")</f>
        <v/>
      </c>
      <c r="C2551">
        <f>TRIM(INDEX(INDIRECT("'Выгрузка'!A2551:Z2551"),Настройки!$B$8)&amp;"")</f>
        <v/>
      </c>
      <c r="D2551">
        <f>IFERROR(--SUBSTITUTE(SUBSTITUTE(TRIM(INDEX(INDIRECT("'Выгрузка'!A2551:Z2551"),Настройки!$B$10)),",","."),".",MID(1/2,2,1)),"")</f>
        <v/>
      </c>
      <c r="E2551">
        <f>IFERROR(--SUBSTITUTE(SUBSTITUTE(TRIM(INDEX(INDIRECT("'Выгрузка'!A2551:Z2551"),Настройки!$B$11)),",","."),".",MID(1/2,2,1)),"")</f>
        <v/>
      </c>
      <c r="F2551">
        <f>TRIM(INDEX(INDIRECT("'Выгрузка'!A2551:Z2551"),Настройки!$B$12)&amp;"")</f>
        <v/>
      </c>
      <c r="G2551">
        <f>IF(F2551="",0,IF(TRIM(INDEX(INDIRECT("'Выгрузка'!A2551:Z2551"),Настройки!$B$13)&amp;"")="",1,IFERROR(--SUBSTITUTE(SUBSTITUTE(TRIM(INDEX(INDIRECT("'Выгрузка'!A2551:Z2551"),Настройки!$B$13)),",","."),".",MID(1/2,2,1)),"")))</f>
        <v/>
      </c>
      <c r="H2551">
        <f>IF(F2551="",0,IF(COUNTIF(Настройки!$B$17:$B$26,F2551)&gt;0,1,IF(COUNTIF(Настройки!$C$17:$C$26,F2551)&gt;0,2,IF(COUNTIF(Настройки!$D$17:$D$26,F2551)&gt;0,3,0))))</f>
        <v/>
      </c>
      <c r="I2551">
        <f>IF(AND(ISNUMBER(A2551),ISNUMBER(B2551)),A2551*1000+B2551,"")</f>
        <v/>
      </c>
      <c r="J2551">
        <f>IF(I2551="","",IF(COUNTIF(I$2:I2551,I2551)=1,MAX(J$1:J2550)+1,""))</f>
        <v/>
      </c>
    </row>
    <row r="2552">
      <c r="A2552">
        <f>IFERROR(--SUBSTITUTE(SUBSTITUTE(TRIM(INDEX(INDIRECT("'Выгрузка'!A2552:Z2552"),Настройки!$B$7)),",","."),".",MID(1/2,2,1)),"")</f>
        <v/>
      </c>
      <c r="B2552">
        <f>IFERROR(--SUBSTITUTE(SUBSTITUTE(TRIM(INDEX(INDIRECT("'Выгрузка'!A2552:Z2552"),Настройки!$B$9)),",","."),".",MID(1/2,2,1)),"")</f>
        <v/>
      </c>
      <c r="C2552">
        <f>TRIM(INDEX(INDIRECT("'Выгрузка'!A2552:Z2552"),Настройки!$B$8)&amp;"")</f>
        <v/>
      </c>
      <c r="D2552">
        <f>IFERROR(--SUBSTITUTE(SUBSTITUTE(TRIM(INDEX(INDIRECT("'Выгрузка'!A2552:Z2552"),Настройки!$B$10)),",","."),".",MID(1/2,2,1)),"")</f>
        <v/>
      </c>
      <c r="E2552">
        <f>IFERROR(--SUBSTITUTE(SUBSTITUTE(TRIM(INDEX(INDIRECT("'Выгрузка'!A2552:Z2552"),Настройки!$B$11)),",","."),".",MID(1/2,2,1)),"")</f>
        <v/>
      </c>
      <c r="F2552">
        <f>TRIM(INDEX(INDIRECT("'Выгрузка'!A2552:Z2552"),Настройки!$B$12)&amp;"")</f>
        <v/>
      </c>
      <c r="G2552">
        <f>IF(F2552="",0,IF(TRIM(INDEX(INDIRECT("'Выгрузка'!A2552:Z2552"),Настройки!$B$13)&amp;"")="",1,IFERROR(--SUBSTITUTE(SUBSTITUTE(TRIM(INDEX(INDIRECT("'Выгрузка'!A2552:Z2552"),Настройки!$B$13)),",","."),".",MID(1/2,2,1)),"")))</f>
        <v/>
      </c>
      <c r="H2552">
        <f>IF(F2552="",0,IF(COUNTIF(Настройки!$B$17:$B$26,F2552)&gt;0,1,IF(COUNTIF(Настройки!$C$17:$C$26,F2552)&gt;0,2,IF(COUNTIF(Настройки!$D$17:$D$26,F2552)&gt;0,3,0))))</f>
        <v/>
      </c>
      <c r="I2552">
        <f>IF(AND(ISNUMBER(A2552),ISNUMBER(B2552)),A2552*1000+B2552,"")</f>
        <v/>
      </c>
      <c r="J2552">
        <f>IF(I2552="","",IF(COUNTIF(I$2:I2552,I2552)=1,MAX(J$1:J2551)+1,""))</f>
        <v/>
      </c>
    </row>
    <row r="2553">
      <c r="A2553">
        <f>IFERROR(--SUBSTITUTE(SUBSTITUTE(TRIM(INDEX(INDIRECT("'Выгрузка'!A2553:Z2553"),Настройки!$B$7)),",","."),".",MID(1/2,2,1)),"")</f>
        <v/>
      </c>
      <c r="B2553">
        <f>IFERROR(--SUBSTITUTE(SUBSTITUTE(TRIM(INDEX(INDIRECT("'Выгрузка'!A2553:Z2553"),Настройки!$B$9)),",","."),".",MID(1/2,2,1)),"")</f>
        <v/>
      </c>
      <c r="C2553">
        <f>TRIM(INDEX(INDIRECT("'Выгрузка'!A2553:Z2553"),Настройки!$B$8)&amp;"")</f>
        <v/>
      </c>
      <c r="D2553">
        <f>IFERROR(--SUBSTITUTE(SUBSTITUTE(TRIM(INDEX(INDIRECT("'Выгрузка'!A2553:Z2553"),Настройки!$B$10)),",","."),".",MID(1/2,2,1)),"")</f>
        <v/>
      </c>
      <c r="E2553">
        <f>IFERROR(--SUBSTITUTE(SUBSTITUTE(TRIM(INDEX(INDIRECT("'Выгрузка'!A2553:Z2553"),Настройки!$B$11)),",","."),".",MID(1/2,2,1)),"")</f>
        <v/>
      </c>
      <c r="F2553">
        <f>TRIM(INDEX(INDIRECT("'Выгрузка'!A2553:Z2553"),Настройки!$B$12)&amp;"")</f>
        <v/>
      </c>
      <c r="G2553">
        <f>IF(F2553="",0,IF(TRIM(INDEX(INDIRECT("'Выгрузка'!A2553:Z2553"),Настройки!$B$13)&amp;"")="",1,IFERROR(--SUBSTITUTE(SUBSTITUTE(TRIM(INDEX(INDIRECT("'Выгрузка'!A2553:Z2553"),Настройки!$B$13)),",","."),".",MID(1/2,2,1)),"")))</f>
        <v/>
      </c>
      <c r="H2553">
        <f>IF(F2553="",0,IF(COUNTIF(Настройки!$B$17:$B$26,F2553)&gt;0,1,IF(COUNTIF(Настройки!$C$17:$C$26,F2553)&gt;0,2,IF(COUNTIF(Настройки!$D$17:$D$26,F2553)&gt;0,3,0))))</f>
        <v/>
      </c>
      <c r="I2553">
        <f>IF(AND(ISNUMBER(A2553),ISNUMBER(B2553)),A2553*1000+B2553,"")</f>
        <v/>
      </c>
      <c r="J2553">
        <f>IF(I2553="","",IF(COUNTIF(I$2:I2553,I2553)=1,MAX(J$1:J2552)+1,""))</f>
        <v/>
      </c>
    </row>
    <row r="2554">
      <c r="A2554">
        <f>IFERROR(--SUBSTITUTE(SUBSTITUTE(TRIM(INDEX(INDIRECT("'Выгрузка'!A2554:Z2554"),Настройки!$B$7)),",","."),".",MID(1/2,2,1)),"")</f>
        <v/>
      </c>
      <c r="B2554">
        <f>IFERROR(--SUBSTITUTE(SUBSTITUTE(TRIM(INDEX(INDIRECT("'Выгрузка'!A2554:Z2554"),Настройки!$B$9)),",","."),".",MID(1/2,2,1)),"")</f>
        <v/>
      </c>
      <c r="C2554">
        <f>TRIM(INDEX(INDIRECT("'Выгрузка'!A2554:Z2554"),Настройки!$B$8)&amp;"")</f>
        <v/>
      </c>
      <c r="D2554">
        <f>IFERROR(--SUBSTITUTE(SUBSTITUTE(TRIM(INDEX(INDIRECT("'Выгрузка'!A2554:Z2554"),Настройки!$B$10)),",","."),".",MID(1/2,2,1)),"")</f>
        <v/>
      </c>
      <c r="E2554">
        <f>IFERROR(--SUBSTITUTE(SUBSTITUTE(TRIM(INDEX(INDIRECT("'Выгрузка'!A2554:Z2554"),Настройки!$B$11)),",","."),".",MID(1/2,2,1)),"")</f>
        <v/>
      </c>
      <c r="F2554">
        <f>TRIM(INDEX(INDIRECT("'Выгрузка'!A2554:Z2554"),Настройки!$B$12)&amp;"")</f>
        <v/>
      </c>
      <c r="G2554">
        <f>IF(F2554="",0,IF(TRIM(INDEX(INDIRECT("'Выгрузка'!A2554:Z2554"),Настройки!$B$13)&amp;"")="",1,IFERROR(--SUBSTITUTE(SUBSTITUTE(TRIM(INDEX(INDIRECT("'Выгрузка'!A2554:Z2554"),Настройки!$B$13)),",","."),".",MID(1/2,2,1)),"")))</f>
        <v/>
      </c>
      <c r="H2554">
        <f>IF(F2554="",0,IF(COUNTIF(Настройки!$B$17:$B$26,F2554)&gt;0,1,IF(COUNTIF(Настройки!$C$17:$C$26,F2554)&gt;0,2,IF(COUNTIF(Настройки!$D$17:$D$26,F2554)&gt;0,3,0))))</f>
        <v/>
      </c>
      <c r="I2554">
        <f>IF(AND(ISNUMBER(A2554),ISNUMBER(B2554)),A2554*1000+B2554,"")</f>
        <v/>
      </c>
      <c r="J2554">
        <f>IF(I2554="","",IF(COUNTIF(I$2:I2554,I2554)=1,MAX(J$1:J2553)+1,""))</f>
        <v/>
      </c>
    </row>
    <row r="2555">
      <c r="A2555">
        <f>IFERROR(--SUBSTITUTE(SUBSTITUTE(TRIM(INDEX(INDIRECT("'Выгрузка'!A2555:Z2555"),Настройки!$B$7)),",","."),".",MID(1/2,2,1)),"")</f>
        <v/>
      </c>
      <c r="B2555">
        <f>IFERROR(--SUBSTITUTE(SUBSTITUTE(TRIM(INDEX(INDIRECT("'Выгрузка'!A2555:Z2555"),Настройки!$B$9)),",","."),".",MID(1/2,2,1)),"")</f>
        <v/>
      </c>
      <c r="C2555">
        <f>TRIM(INDEX(INDIRECT("'Выгрузка'!A2555:Z2555"),Настройки!$B$8)&amp;"")</f>
        <v/>
      </c>
      <c r="D2555">
        <f>IFERROR(--SUBSTITUTE(SUBSTITUTE(TRIM(INDEX(INDIRECT("'Выгрузка'!A2555:Z2555"),Настройки!$B$10)),",","."),".",MID(1/2,2,1)),"")</f>
        <v/>
      </c>
      <c r="E2555">
        <f>IFERROR(--SUBSTITUTE(SUBSTITUTE(TRIM(INDEX(INDIRECT("'Выгрузка'!A2555:Z2555"),Настройки!$B$11)),",","."),".",MID(1/2,2,1)),"")</f>
        <v/>
      </c>
      <c r="F2555">
        <f>TRIM(INDEX(INDIRECT("'Выгрузка'!A2555:Z2555"),Настройки!$B$12)&amp;"")</f>
        <v/>
      </c>
      <c r="G2555">
        <f>IF(F2555="",0,IF(TRIM(INDEX(INDIRECT("'Выгрузка'!A2555:Z2555"),Настройки!$B$13)&amp;"")="",1,IFERROR(--SUBSTITUTE(SUBSTITUTE(TRIM(INDEX(INDIRECT("'Выгрузка'!A2555:Z2555"),Настройки!$B$13)),",","."),".",MID(1/2,2,1)),"")))</f>
        <v/>
      </c>
      <c r="H2555">
        <f>IF(F2555="",0,IF(COUNTIF(Настройки!$B$17:$B$26,F2555)&gt;0,1,IF(COUNTIF(Настройки!$C$17:$C$26,F2555)&gt;0,2,IF(COUNTIF(Настройки!$D$17:$D$26,F2555)&gt;0,3,0))))</f>
        <v/>
      </c>
      <c r="I2555">
        <f>IF(AND(ISNUMBER(A2555),ISNUMBER(B2555)),A2555*1000+B2555,"")</f>
        <v/>
      </c>
      <c r="J2555">
        <f>IF(I2555="","",IF(COUNTIF(I$2:I2555,I2555)=1,MAX(J$1:J2554)+1,""))</f>
        <v/>
      </c>
    </row>
    <row r="2556">
      <c r="A2556">
        <f>IFERROR(--SUBSTITUTE(SUBSTITUTE(TRIM(INDEX(INDIRECT("'Выгрузка'!A2556:Z2556"),Настройки!$B$7)),",","."),".",MID(1/2,2,1)),"")</f>
        <v/>
      </c>
      <c r="B2556">
        <f>IFERROR(--SUBSTITUTE(SUBSTITUTE(TRIM(INDEX(INDIRECT("'Выгрузка'!A2556:Z2556"),Настройки!$B$9)),",","."),".",MID(1/2,2,1)),"")</f>
        <v/>
      </c>
      <c r="C2556">
        <f>TRIM(INDEX(INDIRECT("'Выгрузка'!A2556:Z2556"),Настройки!$B$8)&amp;"")</f>
        <v/>
      </c>
      <c r="D2556">
        <f>IFERROR(--SUBSTITUTE(SUBSTITUTE(TRIM(INDEX(INDIRECT("'Выгрузка'!A2556:Z2556"),Настройки!$B$10)),",","."),".",MID(1/2,2,1)),"")</f>
        <v/>
      </c>
      <c r="E2556">
        <f>IFERROR(--SUBSTITUTE(SUBSTITUTE(TRIM(INDEX(INDIRECT("'Выгрузка'!A2556:Z2556"),Настройки!$B$11)),",","."),".",MID(1/2,2,1)),"")</f>
        <v/>
      </c>
      <c r="F2556">
        <f>TRIM(INDEX(INDIRECT("'Выгрузка'!A2556:Z2556"),Настройки!$B$12)&amp;"")</f>
        <v/>
      </c>
      <c r="G2556">
        <f>IF(F2556="",0,IF(TRIM(INDEX(INDIRECT("'Выгрузка'!A2556:Z2556"),Настройки!$B$13)&amp;"")="",1,IFERROR(--SUBSTITUTE(SUBSTITUTE(TRIM(INDEX(INDIRECT("'Выгрузка'!A2556:Z2556"),Настройки!$B$13)),",","."),".",MID(1/2,2,1)),"")))</f>
        <v/>
      </c>
      <c r="H2556">
        <f>IF(F2556="",0,IF(COUNTIF(Настройки!$B$17:$B$26,F2556)&gt;0,1,IF(COUNTIF(Настройки!$C$17:$C$26,F2556)&gt;0,2,IF(COUNTIF(Настройки!$D$17:$D$26,F2556)&gt;0,3,0))))</f>
        <v/>
      </c>
      <c r="I2556">
        <f>IF(AND(ISNUMBER(A2556),ISNUMBER(B2556)),A2556*1000+B2556,"")</f>
        <v/>
      </c>
      <c r="J2556">
        <f>IF(I2556="","",IF(COUNTIF(I$2:I2556,I2556)=1,MAX(J$1:J2555)+1,""))</f>
        <v/>
      </c>
    </row>
    <row r="2557">
      <c r="A2557">
        <f>IFERROR(--SUBSTITUTE(SUBSTITUTE(TRIM(INDEX(INDIRECT("'Выгрузка'!A2557:Z2557"),Настройки!$B$7)),",","."),".",MID(1/2,2,1)),"")</f>
        <v/>
      </c>
      <c r="B2557">
        <f>IFERROR(--SUBSTITUTE(SUBSTITUTE(TRIM(INDEX(INDIRECT("'Выгрузка'!A2557:Z2557"),Настройки!$B$9)),",","."),".",MID(1/2,2,1)),"")</f>
        <v/>
      </c>
      <c r="C2557">
        <f>TRIM(INDEX(INDIRECT("'Выгрузка'!A2557:Z2557"),Настройки!$B$8)&amp;"")</f>
        <v/>
      </c>
      <c r="D2557">
        <f>IFERROR(--SUBSTITUTE(SUBSTITUTE(TRIM(INDEX(INDIRECT("'Выгрузка'!A2557:Z2557"),Настройки!$B$10)),",","."),".",MID(1/2,2,1)),"")</f>
        <v/>
      </c>
      <c r="E2557">
        <f>IFERROR(--SUBSTITUTE(SUBSTITUTE(TRIM(INDEX(INDIRECT("'Выгрузка'!A2557:Z2557"),Настройки!$B$11)),",","."),".",MID(1/2,2,1)),"")</f>
        <v/>
      </c>
      <c r="F2557">
        <f>TRIM(INDEX(INDIRECT("'Выгрузка'!A2557:Z2557"),Настройки!$B$12)&amp;"")</f>
        <v/>
      </c>
      <c r="G2557">
        <f>IF(F2557="",0,IF(TRIM(INDEX(INDIRECT("'Выгрузка'!A2557:Z2557"),Настройки!$B$13)&amp;"")="",1,IFERROR(--SUBSTITUTE(SUBSTITUTE(TRIM(INDEX(INDIRECT("'Выгрузка'!A2557:Z2557"),Настройки!$B$13)),",","."),".",MID(1/2,2,1)),"")))</f>
        <v/>
      </c>
      <c r="H2557">
        <f>IF(F2557="",0,IF(COUNTIF(Настройки!$B$17:$B$26,F2557)&gt;0,1,IF(COUNTIF(Настройки!$C$17:$C$26,F2557)&gt;0,2,IF(COUNTIF(Настройки!$D$17:$D$26,F2557)&gt;0,3,0))))</f>
        <v/>
      </c>
      <c r="I2557">
        <f>IF(AND(ISNUMBER(A2557),ISNUMBER(B2557)),A2557*1000+B2557,"")</f>
        <v/>
      </c>
      <c r="J2557">
        <f>IF(I2557="","",IF(COUNTIF(I$2:I2557,I2557)=1,MAX(J$1:J2556)+1,""))</f>
        <v/>
      </c>
    </row>
    <row r="2558">
      <c r="A2558">
        <f>IFERROR(--SUBSTITUTE(SUBSTITUTE(TRIM(INDEX(INDIRECT("'Выгрузка'!A2558:Z2558"),Настройки!$B$7)),",","."),".",MID(1/2,2,1)),"")</f>
        <v/>
      </c>
      <c r="B2558">
        <f>IFERROR(--SUBSTITUTE(SUBSTITUTE(TRIM(INDEX(INDIRECT("'Выгрузка'!A2558:Z2558"),Настройки!$B$9)),",","."),".",MID(1/2,2,1)),"")</f>
        <v/>
      </c>
      <c r="C2558">
        <f>TRIM(INDEX(INDIRECT("'Выгрузка'!A2558:Z2558"),Настройки!$B$8)&amp;"")</f>
        <v/>
      </c>
      <c r="D2558">
        <f>IFERROR(--SUBSTITUTE(SUBSTITUTE(TRIM(INDEX(INDIRECT("'Выгрузка'!A2558:Z2558"),Настройки!$B$10)),",","."),".",MID(1/2,2,1)),"")</f>
        <v/>
      </c>
      <c r="E2558">
        <f>IFERROR(--SUBSTITUTE(SUBSTITUTE(TRIM(INDEX(INDIRECT("'Выгрузка'!A2558:Z2558"),Настройки!$B$11)),",","."),".",MID(1/2,2,1)),"")</f>
        <v/>
      </c>
      <c r="F2558">
        <f>TRIM(INDEX(INDIRECT("'Выгрузка'!A2558:Z2558"),Настройки!$B$12)&amp;"")</f>
        <v/>
      </c>
      <c r="G2558">
        <f>IF(F2558="",0,IF(TRIM(INDEX(INDIRECT("'Выгрузка'!A2558:Z2558"),Настройки!$B$13)&amp;"")="",1,IFERROR(--SUBSTITUTE(SUBSTITUTE(TRIM(INDEX(INDIRECT("'Выгрузка'!A2558:Z2558"),Настройки!$B$13)),",","."),".",MID(1/2,2,1)),"")))</f>
        <v/>
      </c>
      <c r="H2558">
        <f>IF(F2558="",0,IF(COUNTIF(Настройки!$B$17:$B$26,F2558)&gt;0,1,IF(COUNTIF(Настройки!$C$17:$C$26,F2558)&gt;0,2,IF(COUNTIF(Настройки!$D$17:$D$26,F2558)&gt;0,3,0))))</f>
        <v/>
      </c>
      <c r="I2558">
        <f>IF(AND(ISNUMBER(A2558),ISNUMBER(B2558)),A2558*1000+B2558,"")</f>
        <v/>
      </c>
      <c r="J2558">
        <f>IF(I2558="","",IF(COUNTIF(I$2:I2558,I2558)=1,MAX(J$1:J2557)+1,""))</f>
        <v/>
      </c>
    </row>
    <row r="2559">
      <c r="A2559">
        <f>IFERROR(--SUBSTITUTE(SUBSTITUTE(TRIM(INDEX(INDIRECT("'Выгрузка'!A2559:Z2559"),Настройки!$B$7)),",","."),".",MID(1/2,2,1)),"")</f>
        <v/>
      </c>
      <c r="B2559">
        <f>IFERROR(--SUBSTITUTE(SUBSTITUTE(TRIM(INDEX(INDIRECT("'Выгрузка'!A2559:Z2559"),Настройки!$B$9)),",","."),".",MID(1/2,2,1)),"")</f>
        <v/>
      </c>
      <c r="C2559">
        <f>TRIM(INDEX(INDIRECT("'Выгрузка'!A2559:Z2559"),Настройки!$B$8)&amp;"")</f>
        <v/>
      </c>
      <c r="D2559">
        <f>IFERROR(--SUBSTITUTE(SUBSTITUTE(TRIM(INDEX(INDIRECT("'Выгрузка'!A2559:Z2559"),Настройки!$B$10)),",","."),".",MID(1/2,2,1)),"")</f>
        <v/>
      </c>
      <c r="E2559">
        <f>IFERROR(--SUBSTITUTE(SUBSTITUTE(TRIM(INDEX(INDIRECT("'Выгрузка'!A2559:Z2559"),Настройки!$B$11)),",","."),".",MID(1/2,2,1)),"")</f>
        <v/>
      </c>
      <c r="F2559">
        <f>TRIM(INDEX(INDIRECT("'Выгрузка'!A2559:Z2559"),Настройки!$B$12)&amp;"")</f>
        <v/>
      </c>
      <c r="G2559">
        <f>IF(F2559="",0,IF(TRIM(INDEX(INDIRECT("'Выгрузка'!A2559:Z2559"),Настройки!$B$13)&amp;"")="",1,IFERROR(--SUBSTITUTE(SUBSTITUTE(TRIM(INDEX(INDIRECT("'Выгрузка'!A2559:Z2559"),Настройки!$B$13)),",","."),".",MID(1/2,2,1)),"")))</f>
        <v/>
      </c>
      <c r="H2559">
        <f>IF(F2559="",0,IF(COUNTIF(Настройки!$B$17:$B$26,F2559)&gt;0,1,IF(COUNTIF(Настройки!$C$17:$C$26,F2559)&gt;0,2,IF(COUNTIF(Настройки!$D$17:$D$26,F2559)&gt;0,3,0))))</f>
        <v/>
      </c>
      <c r="I2559">
        <f>IF(AND(ISNUMBER(A2559),ISNUMBER(B2559)),A2559*1000+B2559,"")</f>
        <v/>
      </c>
      <c r="J2559">
        <f>IF(I2559="","",IF(COUNTIF(I$2:I2559,I2559)=1,MAX(J$1:J2558)+1,""))</f>
        <v/>
      </c>
    </row>
    <row r="2560">
      <c r="A2560">
        <f>IFERROR(--SUBSTITUTE(SUBSTITUTE(TRIM(INDEX(INDIRECT("'Выгрузка'!A2560:Z2560"),Настройки!$B$7)),",","."),".",MID(1/2,2,1)),"")</f>
        <v/>
      </c>
      <c r="B2560">
        <f>IFERROR(--SUBSTITUTE(SUBSTITUTE(TRIM(INDEX(INDIRECT("'Выгрузка'!A2560:Z2560"),Настройки!$B$9)),",","."),".",MID(1/2,2,1)),"")</f>
        <v/>
      </c>
      <c r="C2560">
        <f>TRIM(INDEX(INDIRECT("'Выгрузка'!A2560:Z2560"),Настройки!$B$8)&amp;"")</f>
        <v/>
      </c>
      <c r="D2560">
        <f>IFERROR(--SUBSTITUTE(SUBSTITUTE(TRIM(INDEX(INDIRECT("'Выгрузка'!A2560:Z2560"),Настройки!$B$10)),",","."),".",MID(1/2,2,1)),"")</f>
        <v/>
      </c>
      <c r="E2560">
        <f>IFERROR(--SUBSTITUTE(SUBSTITUTE(TRIM(INDEX(INDIRECT("'Выгрузка'!A2560:Z2560"),Настройки!$B$11)),",","."),".",MID(1/2,2,1)),"")</f>
        <v/>
      </c>
      <c r="F2560">
        <f>TRIM(INDEX(INDIRECT("'Выгрузка'!A2560:Z2560"),Настройки!$B$12)&amp;"")</f>
        <v/>
      </c>
      <c r="G2560">
        <f>IF(F2560="",0,IF(TRIM(INDEX(INDIRECT("'Выгрузка'!A2560:Z2560"),Настройки!$B$13)&amp;"")="",1,IFERROR(--SUBSTITUTE(SUBSTITUTE(TRIM(INDEX(INDIRECT("'Выгрузка'!A2560:Z2560"),Настройки!$B$13)),",","."),".",MID(1/2,2,1)),"")))</f>
        <v/>
      </c>
      <c r="H2560">
        <f>IF(F2560="",0,IF(COUNTIF(Настройки!$B$17:$B$26,F2560)&gt;0,1,IF(COUNTIF(Настройки!$C$17:$C$26,F2560)&gt;0,2,IF(COUNTIF(Настройки!$D$17:$D$26,F2560)&gt;0,3,0))))</f>
        <v/>
      </c>
      <c r="I2560">
        <f>IF(AND(ISNUMBER(A2560),ISNUMBER(B2560)),A2560*1000+B2560,"")</f>
        <v/>
      </c>
      <c r="J2560">
        <f>IF(I2560="","",IF(COUNTIF(I$2:I2560,I2560)=1,MAX(J$1:J2559)+1,""))</f>
        <v/>
      </c>
    </row>
    <row r="2561">
      <c r="A2561">
        <f>IFERROR(--SUBSTITUTE(SUBSTITUTE(TRIM(INDEX(INDIRECT("'Выгрузка'!A2561:Z2561"),Настройки!$B$7)),",","."),".",MID(1/2,2,1)),"")</f>
        <v/>
      </c>
      <c r="B2561">
        <f>IFERROR(--SUBSTITUTE(SUBSTITUTE(TRIM(INDEX(INDIRECT("'Выгрузка'!A2561:Z2561"),Настройки!$B$9)),",","."),".",MID(1/2,2,1)),"")</f>
        <v/>
      </c>
      <c r="C2561">
        <f>TRIM(INDEX(INDIRECT("'Выгрузка'!A2561:Z2561"),Настройки!$B$8)&amp;"")</f>
        <v/>
      </c>
      <c r="D2561">
        <f>IFERROR(--SUBSTITUTE(SUBSTITUTE(TRIM(INDEX(INDIRECT("'Выгрузка'!A2561:Z2561"),Настройки!$B$10)),",","."),".",MID(1/2,2,1)),"")</f>
        <v/>
      </c>
      <c r="E2561">
        <f>IFERROR(--SUBSTITUTE(SUBSTITUTE(TRIM(INDEX(INDIRECT("'Выгрузка'!A2561:Z2561"),Настройки!$B$11)),",","."),".",MID(1/2,2,1)),"")</f>
        <v/>
      </c>
      <c r="F2561">
        <f>TRIM(INDEX(INDIRECT("'Выгрузка'!A2561:Z2561"),Настройки!$B$12)&amp;"")</f>
        <v/>
      </c>
      <c r="G2561">
        <f>IF(F2561="",0,IF(TRIM(INDEX(INDIRECT("'Выгрузка'!A2561:Z2561"),Настройки!$B$13)&amp;"")="",1,IFERROR(--SUBSTITUTE(SUBSTITUTE(TRIM(INDEX(INDIRECT("'Выгрузка'!A2561:Z2561"),Настройки!$B$13)),",","."),".",MID(1/2,2,1)),"")))</f>
        <v/>
      </c>
      <c r="H2561">
        <f>IF(F2561="",0,IF(COUNTIF(Настройки!$B$17:$B$26,F2561)&gt;0,1,IF(COUNTIF(Настройки!$C$17:$C$26,F2561)&gt;0,2,IF(COUNTIF(Настройки!$D$17:$D$26,F2561)&gt;0,3,0))))</f>
        <v/>
      </c>
      <c r="I2561">
        <f>IF(AND(ISNUMBER(A2561),ISNUMBER(B2561)),A2561*1000+B2561,"")</f>
        <v/>
      </c>
      <c r="J2561">
        <f>IF(I2561="","",IF(COUNTIF(I$2:I2561,I2561)=1,MAX(J$1:J2560)+1,""))</f>
        <v/>
      </c>
    </row>
    <row r="2562">
      <c r="A2562">
        <f>IFERROR(--SUBSTITUTE(SUBSTITUTE(TRIM(INDEX(INDIRECT("'Выгрузка'!A2562:Z2562"),Настройки!$B$7)),",","."),".",MID(1/2,2,1)),"")</f>
        <v/>
      </c>
      <c r="B2562">
        <f>IFERROR(--SUBSTITUTE(SUBSTITUTE(TRIM(INDEX(INDIRECT("'Выгрузка'!A2562:Z2562"),Настройки!$B$9)),",","."),".",MID(1/2,2,1)),"")</f>
        <v/>
      </c>
      <c r="C2562">
        <f>TRIM(INDEX(INDIRECT("'Выгрузка'!A2562:Z2562"),Настройки!$B$8)&amp;"")</f>
        <v/>
      </c>
      <c r="D2562">
        <f>IFERROR(--SUBSTITUTE(SUBSTITUTE(TRIM(INDEX(INDIRECT("'Выгрузка'!A2562:Z2562"),Настройки!$B$10)),",","."),".",MID(1/2,2,1)),"")</f>
        <v/>
      </c>
      <c r="E2562">
        <f>IFERROR(--SUBSTITUTE(SUBSTITUTE(TRIM(INDEX(INDIRECT("'Выгрузка'!A2562:Z2562"),Настройки!$B$11)),",","."),".",MID(1/2,2,1)),"")</f>
        <v/>
      </c>
      <c r="F2562">
        <f>TRIM(INDEX(INDIRECT("'Выгрузка'!A2562:Z2562"),Настройки!$B$12)&amp;"")</f>
        <v/>
      </c>
      <c r="G2562">
        <f>IF(F2562="",0,IF(TRIM(INDEX(INDIRECT("'Выгрузка'!A2562:Z2562"),Настройки!$B$13)&amp;"")="",1,IFERROR(--SUBSTITUTE(SUBSTITUTE(TRIM(INDEX(INDIRECT("'Выгрузка'!A2562:Z2562"),Настройки!$B$13)),",","."),".",MID(1/2,2,1)),"")))</f>
        <v/>
      </c>
      <c r="H2562">
        <f>IF(F2562="",0,IF(COUNTIF(Настройки!$B$17:$B$26,F2562)&gt;0,1,IF(COUNTIF(Настройки!$C$17:$C$26,F2562)&gt;0,2,IF(COUNTIF(Настройки!$D$17:$D$26,F2562)&gt;0,3,0))))</f>
        <v/>
      </c>
      <c r="I2562">
        <f>IF(AND(ISNUMBER(A2562),ISNUMBER(B2562)),A2562*1000+B2562,"")</f>
        <v/>
      </c>
      <c r="J2562">
        <f>IF(I2562="","",IF(COUNTIF(I$2:I2562,I2562)=1,MAX(J$1:J2561)+1,""))</f>
        <v/>
      </c>
    </row>
    <row r="2563">
      <c r="A2563">
        <f>IFERROR(--SUBSTITUTE(SUBSTITUTE(TRIM(INDEX(INDIRECT("'Выгрузка'!A2563:Z2563"),Настройки!$B$7)),",","."),".",MID(1/2,2,1)),"")</f>
        <v/>
      </c>
      <c r="B2563">
        <f>IFERROR(--SUBSTITUTE(SUBSTITUTE(TRIM(INDEX(INDIRECT("'Выгрузка'!A2563:Z2563"),Настройки!$B$9)),",","."),".",MID(1/2,2,1)),"")</f>
        <v/>
      </c>
      <c r="C2563">
        <f>TRIM(INDEX(INDIRECT("'Выгрузка'!A2563:Z2563"),Настройки!$B$8)&amp;"")</f>
        <v/>
      </c>
      <c r="D2563">
        <f>IFERROR(--SUBSTITUTE(SUBSTITUTE(TRIM(INDEX(INDIRECT("'Выгрузка'!A2563:Z2563"),Настройки!$B$10)),",","."),".",MID(1/2,2,1)),"")</f>
        <v/>
      </c>
      <c r="E2563">
        <f>IFERROR(--SUBSTITUTE(SUBSTITUTE(TRIM(INDEX(INDIRECT("'Выгрузка'!A2563:Z2563"),Настройки!$B$11)),",","."),".",MID(1/2,2,1)),"")</f>
        <v/>
      </c>
      <c r="F2563">
        <f>TRIM(INDEX(INDIRECT("'Выгрузка'!A2563:Z2563"),Настройки!$B$12)&amp;"")</f>
        <v/>
      </c>
      <c r="G2563">
        <f>IF(F2563="",0,IF(TRIM(INDEX(INDIRECT("'Выгрузка'!A2563:Z2563"),Настройки!$B$13)&amp;"")="",1,IFERROR(--SUBSTITUTE(SUBSTITUTE(TRIM(INDEX(INDIRECT("'Выгрузка'!A2563:Z2563"),Настройки!$B$13)),",","."),".",MID(1/2,2,1)),"")))</f>
        <v/>
      </c>
      <c r="H2563">
        <f>IF(F2563="",0,IF(COUNTIF(Настройки!$B$17:$B$26,F2563)&gt;0,1,IF(COUNTIF(Настройки!$C$17:$C$26,F2563)&gt;0,2,IF(COUNTIF(Настройки!$D$17:$D$26,F2563)&gt;0,3,0))))</f>
        <v/>
      </c>
      <c r="I2563">
        <f>IF(AND(ISNUMBER(A2563),ISNUMBER(B2563)),A2563*1000+B2563,"")</f>
        <v/>
      </c>
      <c r="J2563">
        <f>IF(I2563="","",IF(COUNTIF(I$2:I2563,I2563)=1,MAX(J$1:J2562)+1,""))</f>
        <v/>
      </c>
    </row>
    <row r="2564">
      <c r="A2564">
        <f>IFERROR(--SUBSTITUTE(SUBSTITUTE(TRIM(INDEX(INDIRECT("'Выгрузка'!A2564:Z2564"),Настройки!$B$7)),",","."),".",MID(1/2,2,1)),"")</f>
        <v/>
      </c>
      <c r="B2564">
        <f>IFERROR(--SUBSTITUTE(SUBSTITUTE(TRIM(INDEX(INDIRECT("'Выгрузка'!A2564:Z2564"),Настройки!$B$9)),",","."),".",MID(1/2,2,1)),"")</f>
        <v/>
      </c>
      <c r="C2564">
        <f>TRIM(INDEX(INDIRECT("'Выгрузка'!A2564:Z2564"),Настройки!$B$8)&amp;"")</f>
        <v/>
      </c>
      <c r="D2564">
        <f>IFERROR(--SUBSTITUTE(SUBSTITUTE(TRIM(INDEX(INDIRECT("'Выгрузка'!A2564:Z2564"),Настройки!$B$10)),",","."),".",MID(1/2,2,1)),"")</f>
        <v/>
      </c>
      <c r="E2564">
        <f>IFERROR(--SUBSTITUTE(SUBSTITUTE(TRIM(INDEX(INDIRECT("'Выгрузка'!A2564:Z2564"),Настройки!$B$11)),",","."),".",MID(1/2,2,1)),"")</f>
        <v/>
      </c>
      <c r="F2564">
        <f>TRIM(INDEX(INDIRECT("'Выгрузка'!A2564:Z2564"),Настройки!$B$12)&amp;"")</f>
        <v/>
      </c>
      <c r="G2564">
        <f>IF(F2564="",0,IF(TRIM(INDEX(INDIRECT("'Выгрузка'!A2564:Z2564"),Настройки!$B$13)&amp;"")="",1,IFERROR(--SUBSTITUTE(SUBSTITUTE(TRIM(INDEX(INDIRECT("'Выгрузка'!A2564:Z2564"),Настройки!$B$13)),",","."),".",MID(1/2,2,1)),"")))</f>
        <v/>
      </c>
      <c r="H2564">
        <f>IF(F2564="",0,IF(COUNTIF(Настройки!$B$17:$B$26,F2564)&gt;0,1,IF(COUNTIF(Настройки!$C$17:$C$26,F2564)&gt;0,2,IF(COUNTIF(Настройки!$D$17:$D$26,F2564)&gt;0,3,0))))</f>
        <v/>
      </c>
      <c r="I2564">
        <f>IF(AND(ISNUMBER(A2564),ISNUMBER(B2564)),A2564*1000+B2564,"")</f>
        <v/>
      </c>
      <c r="J2564">
        <f>IF(I2564="","",IF(COUNTIF(I$2:I2564,I2564)=1,MAX(J$1:J2563)+1,""))</f>
        <v/>
      </c>
    </row>
    <row r="2565">
      <c r="A2565">
        <f>IFERROR(--SUBSTITUTE(SUBSTITUTE(TRIM(INDEX(INDIRECT("'Выгрузка'!A2565:Z2565"),Настройки!$B$7)),",","."),".",MID(1/2,2,1)),"")</f>
        <v/>
      </c>
      <c r="B2565">
        <f>IFERROR(--SUBSTITUTE(SUBSTITUTE(TRIM(INDEX(INDIRECT("'Выгрузка'!A2565:Z2565"),Настройки!$B$9)),",","."),".",MID(1/2,2,1)),"")</f>
        <v/>
      </c>
      <c r="C2565">
        <f>TRIM(INDEX(INDIRECT("'Выгрузка'!A2565:Z2565"),Настройки!$B$8)&amp;"")</f>
        <v/>
      </c>
      <c r="D2565">
        <f>IFERROR(--SUBSTITUTE(SUBSTITUTE(TRIM(INDEX(INDIRECT("'Выгрузка'!A2565:Z2565"),Настройки!$B$10)),",","."),".",MID(1/2,2,1)),"")</f>
        <v/>
      </c>
      <c r="E2565">
        <f>IFERROR(--SUBSTITUTE(SUBSTITUTE(TRIM(INDEX(INDIRECT("'Выгрузка'!A2565:Z2565"),Настройки!$B$11)),",","."),".",MID(1/2,2,1)),"")</f>
        <v/>
      </c>
      <c r="F2565">
        <f>TRIM(INDEX(INDIRECT("'Выгрузка'!A2565:Z2565"),Настройки!$B$12)&amp;"")</f>
        <v/>
      </c>
      <c r="G2565">
        <f>IF(F2565="",0,IF(TRIM(INDEX(INDIRECT("'Выгрузка'!A2565:Z2565"),Настройки!$B$13)&amp;"")="",1,IFERROR(--SUBSTITUTE(SUBSTITUTE(TRIM(INDEX(INDIRECT("'Выгрузка'!A2565:Z2565"),Настройки!$B$13)),",","."),".",MID(1/2,2,1)),"")))</f>
        <v/>
      </c>
      <c r="H2565">
        <f>IF(F2565="",0,IF(COUNTIF(Настройки!$B$17:$B$26,F2565)&gt;0,1,IF(COUNTIF(Настройки!$C$17:$C$26,F2565)&gt;0,2,IF(COUNTIF(Настройки!$D$17:$D$26,F2565)&gt;0,3,0))))</f>
        <v/>
      </c>
      <c r="I2565">
        <f>IF(AND(ISNUMBER(A2565),ISNUMBER(B2565)),A2565*1000+B2565,"")</f>
        <v/>
      </c>
      <c r="J2565">
        <f>IF(I2565="","",IF(COUNTIF(I$2:I2565,I2565)=1,MAX(J$1:J2564)+1,""))</f>
        <v/>
      </c>
    </row>
    <row r="2566">
      <c r="A2566">
        <f>IFERROR(--SUBSTITUTE(SUBSTITUTE(TRIM(INDEX(INDIRECT("'Выгрузка'!A2566:Z2566"),Настройки!$B$7)),",","."),".",MID(1/2,2,1)),"")</f>
        <v/>
      </c>
      <c r="B2566">
        <f>IFERROR(--SUBSTITUTE(SUBSTITUTE(TRIM(INDEX(INDIRECT("'Выгрузка'!A2566:Z2566"),Настройки!$B$9)),",","."),".",MID(1/2,2,1)),"")</f>
        <v/>
      </c>
      <c r="C2566">
        <f>TRIM(INDEX(INDIRECT("'Выгрузка'!A2566:Z2566"),Настройки!$B$8)&amp;"")</f>
        <v/>
      </c>
      <c r="D2566">
        <f>IFERROR(--SUBSTITUTE(SUBSTITUTE(TRIM(INDEX(INDIRECT("'Выгрузка'!A2566:Z2566"),Настройки!$B$10)),",","."),".",MID(1/2,2,1)),"")</f>
        <v/>
      </c>
      <c r="E2566">
        <f>IFERROR(--SUBSTITUTE(SUBSTITUTE(TRIM(INDEX(INDIRECT("'Выгрузка'!A2566:Z2566"),Настройки!$B$11)),",","."),".",MID(1/2,2,1)),"")</f>
        <v/>
      </c>
      <c r="F2566">
        <f>TRIM(INDEX(INDIRECT("'Выгрузка'!A2566:Z2566"),Настройки!$B$12)&amp;"")</f>
        <v/>
      </c>
      <c r="G2566">
        <f>IF(F2566="",0,IF(TRIM(INDEX(INDIRECT("'Выгрузка'!A2566:Z2566"),Настройки!$B$13)&amp;"")="",1,IFERROR(--SUBSTITUTE(SUBSTITUTE(TRIM(INDEX(INDIRECT("'Выгрузка'!A2566:Z2566"),Настройки!$B$13)),",","."),".",MID(1/2,2,1)),"")))</f>
        <v/>
      </c>
      <c r="H2566">
        <f>IF(F2566="",0,IF(COUNTIF(Настройки!$B$17:$B$26,F2566)&gt;0,1,IF(COUNTIF(Настройки!$C$17:$C$26,F2566)&gt;0,2,IF(COUNTIF(Настройки!$D$17:$D$26,F2566)&gt;0,3,0))))</f>
        <v/>
      </c>
      <c r="I2566">
        <f>IF(AND(ISNUMBER(A2566),ISNUMBER(B2566)),A2566*1000+B2566,"")</f>
        <v/>
      </c>
      <c r="J2566">
        <f>IF(I2566="","",IF(COUNTIF(I$2:I2566,I2566)=1,MAX(J$1:J2565)+1,""))</f>
        <v/>
      </c>
    </row>
    <row r="2567">
      <c r="A2567">
        <f>IFERROR(--SUBSTITUTE(SUBSTITUTE(TRIM(INDEX(INDIRECT("'Выгрузка'!A2567:Z2567"),Настройки!$B$7)),",","."),".",MID(1/2,2,1)),"")</f>
        <v/>
      </c>
      <c r="B2567">
        <f>IFERROR(--SUBSTITUTE(SUBSTITUTE(TRIM(INDEX(INDIRECT("'Выгрузка'!A2567:Z2567"),Настройки!$B$9)),",","."),".",MID(1/2,2,1)),"")</f>
        <v/>
      </c>
      <c r="C2567">
        <f>TRIM(INDEX(INDIRECT("'Выгрузка'!A2567:Z2567"),Настройки!$B$8)&amp;"")</f>
        <v/>
      </c>
      <c r="D2567">
        <f>IFERROR(--SUBSTITUTE(SUBSTITUTE(TRIM(INDEX(INDIRECT("'Выгрузка'!A2567:Z2567"),Настройки!$B$10)),",","."),".",MID(1/2,2,1)),"")</f>
        <v/>
      </c>
      <c r="E2567">
        <f>IFERROR(--SUBSTITUTE(SUBSTITUTE(TRIM(INDEX(INDIRECT("'Выгрузка'!A2567:Z2567"),Настройки!$B$11)),",","."),".",MID(1/2,2,1)),"")</f>
        <v/>
      </c>
      <c r="F2567">
        <f>TRIM(INDEX(INDIRECT("'Выгрузка'!A2567:Z2567"),Настройки!$B$12)&amp;"")</f>
        <v/>
      </c>
      <c r="G2567">
        <f>IF(F2567="",0,IF(TRIM(INDEX(INDIRECT("'Выгрузка'!A2567:Z2567"),Настройки!$B$13)&amp;"")="",1,IFERROR(--SUBSTITUTE(SUBSTITUTE(TRIM(INDEX(INDIRECT("'Выгрузка'!A2567:Z2567"),Настройки!$B$13)),",","."),".",MID(1/2,2,1)),"")))</f>
        <v/>
      </c>
      <c r="H2567">
        <f>IF(F2567="",0,IF(COUNTIF(Настройки!$B$17:$B$26,F2567)&gt;0,1,IF(COUNTIF(Настройки!$C$17:$C$26,F2567)&gt;0,2,IF(COUNTIF(Настройки!$D$17:$D$26,F2567)&gt;0,3,0))))</f>
        <v/>
      </c>
      <c r="I2567">
        <f>IF(AND(ISNUMBER(A2567),ISNUMBER(B2567)),A2567*1000+B2567,"")</f>
        <v/>
      </c>
      <c r="J2567">
        <f>IF(I2567="","",IF(COUNTIF(I$2:I2567,I2567)=1,MAX(J$1:J2566)+1,""))</f>
        <v/>
      </c>
    </row>
    <row r="2568">
      <c r="A2568">
        <f>IFERROR(--SUBSTITUTE(SUBSTITUTE(TRIM(INDEX(INDIRECT("'Выгрузка'!A2568:Z2568"),Настройки!$B$7)),",","."),".",MID(1/2,2,1)),"")</f>
        <v/>
      </c>
      <c r="B2568">
        <f>IFERROR(--SUBSTITUTE(SUBSTITUTE(TRIM(INDEX(INDIRECT("'Выгрузка'!A2568:Z2568"),Настройки!$B$9)),",","."),".",MID(1/2,2,1)),"")</f>
        <v/>
      </c>
      <c r="C2568">
        <f>TRIM(INDEX(INDIRECT("'Выгрузка'!A2568:Z2568"),Настройки!$B$8)&amp;"")</f>
        <v/>
      </c>
      <c r="D2568">
        <f>IFERROR(--SUBSTITUTE(SUBSTITUTE(TRIM(INDEX(INDIRECT("'Выгрузка'!A2568:Z2568"),Настройки!$B$10)),",","."),".",MID(1/2,2,1)),"")</f>
        <v/>
      </c>
      <c r="E2568">
        <f>IFERROR(--SUBSTITUTE(SUBSTITUTE(TRIM(INDEX(INDIRECT("'Выгрузка'!A2568:Z2568"),Настройки!$B$11)),",","."),".",MID(1/2,2,1)),"")</f>
        <v/>
      </c>
      <c r="F2568">
        <f>TRIM(INDEX(INDIRECT("'Выгрузка'!A2568:Z2568"),Настройки!$B$12)&amp;"")</f>
        <v/>
      </c>
      <c r="G2568">
        <f>IF(F2568="",0,IF(TRIM(INDEX(INDIRECT("'Выгрузка'!A2568:Z2568"),Настройки!$B$13)&amp;"")="",1,IFERROR(--SUBSTITUTE(SUBSTITUTE(TRIM(INDEX(INDIRECT("'Выгрузка'!A2568:Z2568"),Настройки!$B$13)),",","."),".",MID(1/2,2,1)),"")))</f>
        <v/>
      </c>
      <c r="H2568">
        <f>IF(F2568="",0,IF(COUNTIF(Настройки!$B$17:$B$26,F2568)&gt;0,1,IF(COUNTIF(Настройки!$C$17:$C$26,F2568)&gt;0,2,IF(COUNTIF(Настройки!$D$17:$D$26,F2568)&gt;0,3,0))))</f>
        <v/>
      </c>
      <c r="I2568">
        <f>IF(AND(ISNUMBER(A2568),ISNUMBER(B2568)),A2568*1000+B2568,"")</f>
        <v/>
      </c>
      <c r="J2568">
        <f>IF(I2568="","",IF(COUNTIF(I$2:I2568,I2568)=1,MAX(J$1:J2567)+1,""))</f>
        <v/>
      </c>
    </row>
    <row r="2569">
      <c r="A2569">
        <f>IFERROR(--SUBSTITUTE(SUBSTITUTE(TRIM(INDEX(INDIRECT("'Выгрузка'!A2569:Z2569"),Настройки!$B$7)),",","."),".",MID(1/2,2,1)),"")</f>
        <v/>
      </c>
      <c r="B2569">
        <f>IFERROR(--SUBSTITUTE(SUBSTITUTE(TRIM(INDEX(INDIRECT("'Выгрузка'!A2569:Z2569"),Настройки!$B$9)),",","."),".",MID(1/2,2,1)),"")</f>
        <v/>
      </c>
      <c r="C2569">
        <f>TRIM(INDEX(INDIRECT("'Выгрузка'!A2569:Z2569"),Настройки!$B$8)&amp;"")</f>
        <v/>
      </c>
      <c r="D2569">
        <f>IFERROR(--SUBSTITUTE(SUBSTITUTE(TRIM(INDEX(INDIRECT("'Выгрузка'!A2569:Z2569"),Настройки!$B$10)),",","."),".",MID(1/2,2,1)),"")</f>
        <v/>
      </c>
      <c r="E2569">
        <f>IFERROR(--SUBSTITUTE(SUBSTITUTE(TRIM(INDEX(INDIRECT("'Выгрузка'!A2569:Z2569"),Настройки!$B$11)),",","."),".",MID(1/2,2,1)),"")</f>
        <v/>
      </c>
      <c r="F2569">
        <f>TRIM(INDEX(INDIRECT("'Выгрузка'!A2569:Z2569"),Настройки!$B$12)&amp;"")</f>
        <v/>
      </c>
      <c r="G2569">
        <f>IF(F2569="",0,IF(TRIM(INDEX(INDIRECT("'Выгрузка'!A2569:Z2569"),Настройки!$B$13)&amp;"")="",1,IFERROR(--SUBSTITUTE(SUBSTITUTE(TRIM(INDEX(INDIRECT("'Выгрузка'!A2569:Z2569"),Настройки!$B$13)),",","."),".",MID(1/2,2,1)),"")))</f>
        <v/>
      </c>
      <c r="H2569">
        <f>IF(F2569="",0,IF(COUNTIF(Настройки!$B$17:$B$26,F2569)&gt;0,1,IF(COUNTIF(Настройки!$C$17:$C$26,F2569)&gt;0,2,IF(COUNTIF(Настройки!$D$17:$D$26,F2569)&gt;0,3,0))))</f>
        <v/>
      </c>
      <c r="I2569">
        <f>IF(AND(ISNUMBER(A2569),ISNUMBER(B2569)),A2569*1000+B2569,"")</f>
        <v/>
      </c>
      <c r="J2569">
        <f>IF(I2569="","",IF(COUNTIF(I$2:I2569,I2569)=1,MAX(J$1:J2568)+1,""))</f>
        <v/>
      </c>
    </row>
    <row r="2570">
      <c r="A2570">
        <f>IFERROR(--SUBSTITUTE(SUBSTITUTE(TRIM(INDEX(INDIRECT("'Выгрузка'!A2570:Z2570"),Настройки!$B$7)),",","."),".",MID(1/2,2,1)),"")</f>
        <v/>
      </c>
      <c r="B2570">
        <f>IFERROR(--SUBSTITUTE(SUBSTITUTE(TRIM(INDEX(INDIRECT("'Выгрузка'!A2570:Z2570"),Настройки!$B$9)),",","."),".",MID(1/2,2,1)),"")</f>
        <v/>
      </c>
      <c r="C2570">
        <f>TRIM(INDEX(INDIRECT("'Выгрузка'!A2570:Z2570"),Настройки!$B$8)&amp;"")</f>
        <v/>
      </c>
      <c r="D2570">
        <f>IFERROR(--SUBSTITUTE(SUBSTITUTE(TRIM(INDEX(INDIRECT("'Выгрузка'!A2570:Z2570"),Настройки!$B$10)),",","."),".",MID(1/2,2,1)),"")</f>
        <v/>
      </c>
      <c r="E2570">
        <f>IFERROR(--SUBSTITUTE(SUBSTITUTE(TRIM(INDEX(INDIRECT("'Выгрузка'!A2570:Z2570"),Настройки!$B$11)),",","."),".",MID(1/2,2,1)),"")</f>
        <v/>
      </c>
      <c r="F2570">
        <f>TRIM(INDEX(INDIRECT("'Выгрузка'!A2570:Z2570"),Настройки!$B$12)&amp;"")</f>
        <v/>
      </c>
      <c r="G2570">
        <f>IF(F2570="",0,IF(TRIM(INDEX(INDIRECT("'Выгрузка'!A2570:Z2570"),Настройки!$B$13)&amp;"")="",1,IFERROR(--SUBSTITUTE(SUBSTITUTE(TRIM(INDEX(INDIRECT("'Выгрузка'!A2570:Z2570"),Настройки!$B$13)),",","."),".",MID(1/2,2,1)),"")))</f>
        <v/>
      </c>
      <c r="H2570">
        <f>IF(F2570="",0,IF(COUNTIF(Настройки!$B$17:$B$26,F2570)&gt;0,1,IF(COUNTIF(Настройки!$C$17:$C$26,F2570)&gt;0,2,IF(COUNTIF(Настройки!$D$17:$D$26,F2570)&gt;0,3,0))))</f>
        <v/>
      </c>
      <c r="I2570">
        <f>IF(AND(ISNUMBER(A2570),ISNUMBER(B2570)),A2570*1000+B2570,"")</f>
        <v/>
      </c>
      <c r="J2570">
        <f>IF(I2570="","",IF(COUNTIF(I$2:I2570,I2570)=1,MAX(J$1:J2569)+1,""))</f>
        <v/>
      </c>
    </row>
    <row r="2571">
      <c r="A2571">
        <f>IFERROR(--SUBSTITUTE(SUBSTITUTE(TRIM(INDEX(INDIRECT("'Выгрузка'!A2571:Z2571"),Настройки!$B$7)),",","."),".",MID(1/2,2,1)),"")</f>
        <v/>
      </c>
      <c r="B2571">
        <f>IFERROR(--SUBSTITUTE(SUBSTITUTE(TRIM(INDEX(INDIRECT("'Выгрузка'!A2571:Z2571"),Настройки!$B$9)),",","."),".",MID(1/2,2,1)),"")</f>
        <v/>
      </c>
      <c r="C2571">
        <f>TRIM(INDEX(INDIRECT("'Выгрузка'!A2571:Z2571"),Настройки!$B$8)&amp;"")</f>
        <v/>
      </c>
      <c r="D2571">
        <f>IFERROR(--SUBSTITUTE(SUBSTITUTE(TRIM(INDEX(INDIRECT("'Выгрузка'!A2571:Z2571"),Настройки!$B$10)),",","."),".",MID(1/2,2,1)),"")</f>
        <v/>
      </c>
      <c r="E2571">
        <f>IFERROR(--SUBSTITUTE(SUBSTITUTE(TRIM(INDEX(INDIRECT("'Выгрузка'!A2571:Z2571"),Настройки!$B$11)),",","."),".",MID(1/2,2,1)),"")</f>
        <v/>
      </c>
      <c r="F2571">
        <f>TRIM(INDEX(INDIRECT("'Выгрузка'!A2571:Z2571"),Настройки!$B$12)&amp;"")</f>
        <v/>
      </c>
      <c r="G2571">
        <f>IF(F2571="",0,IF(TRIM(INDEX(INDIRECT("'Выгрузка'!A2571:Z2571"),Настройки!$B$13)&amp;"")="",1,IFERROR(--SUBSTITUTE(SUBSTITUTE(TRIM(INDEX(INDIRECT("'Выгрузка'!A2571:Z2571"),Настройки!$B$13)),",","."),".",MID(1/2,2,1)),"")))</f>
        <v/>
      </c>
      <c r="H2571">
        <f>IF(F2571="",0,IF(COUNTIF(Настройки!$B$17:$B$26,F2571)&gt;0,1,IF(COUNTIF(Настройки!$C$17:$C$26,F2571)&gt;0,2,IF(COUNTIF(Настройки!$D$17:$D$26,F2571)&gt;0,3,0))))</f>
        <v/>
      </c>
      <c r="I2571">
        <f>IF(AND(ISNUMBER(A2571),ISNUMBER(B2571)),A2571*1000+B2571,"")</f>
        <v/>
      </c>
      <c r="J2571">
        <f>IF(I2571="","",IF(COUNTIF(I$2:I2571,I2571)=1,MAX(J$1:J2570)+1,""))</f>
        <v/>
      </c>
    </row>
    <row r="2572">
      <c r="A2572">
        <f>IFERROR(--SUBSTITUTE(SUBSTITUTE(TRIM(INDEX(INDIRECT("'Выгрузка'!A2572:Z2572"),Настройки!$B$7)),",","."),".",MID(1/2,2,1)),"")</f>
        <v/>
      </c>
      <c r="B2572">
        <f>IFERROR(--SUBSTITUTE(SUBSTITUTE(TRIM(INDEX(INDIRECT("'Выгрузка'!A2572:Z2572"),Настройки!$B$9)),",","."),".",MID(1/2,2,1)),"")</f>
        <v/>
      </c>
      <c r="C2572">
        <f>TRIM(INDEX(INDIRECT("'Выгрузка'!A2572:Z2572"),Настройки!$B$8)&amp;"")</f>
        <v/>
      </c>
      <c r="D2572">
        <f>IFERROR(--SUBSTITUTE(SUBSTITUTE(TRIM(INDEX(INDIRECT("'Выгрузка'!A2572:Z2572"),Настройки!$B$10)),",","."),".",MID(1/2,2,1)),"")</f>
        <v/>
      </c>
      <c r="E2572">
        <f>IFERROR(--SUBSTITUTE(SUBSTITUTE(TRIM(INDEX(INDIRECT("'Выгрузка'!A2572:Z2572"),Настройки!$B$11)),",","."),".",MID(1/2,2,1)),"")</f>
        <v/>
      </c>
      <c r="F2572">
        <f>TRIM(INDEX(INDIRECT("'Выгрузка'!A2572:Z2572"),Настройки!$B$12)&amp;"")</f>
        <v/>
      </c>
      <c r="G2572">
        <f>IF(F2572="",0,IF(TRIM(INDEX(INDIRECT("'Выгрузка'!A2572:Z2572"),Настройки!$B$13)&amp;"")="",1,IFERROR(--SUBSTITUTE(SUBSTITUTE(TRIM(INDEX(INDIRECT("'Выгрузка'!A2572:Z2572"),Настройки!$B$13)),",","."),".",MID(1/2,2,1)),"")))</f>
        <v/>
      </c>
      <c r="H2572">
        <f>IF(F2572="",0,IF(COUNTIF(Настройки!$B$17:$B$26,F2572)&gt;0,1,IF(COUNTIF(Настройки!$C$17:$C$26,F2572)&gt;0,2,IF(COUNTIF(Настройки!$D$17:$D$26,F2572)&gt;0,3,0))))</f>
        <v/>
      </c>
      <c r="I2572">
        <f>IF(AND(ISNUMBER(A2572),ISNUMBER(B2572)),A2572*1000+B2572,"")</f>
        <v/>
      </c>
      <c r="J2572">
        <f>IF(I2572="","",IF(COUNTIF(I$2:I2572,I2572)=1,MAX(J$1:J2571)+1,""))</f>
        <v/>
      </c>
    </row>
    <row r="2573">
      <c r="A2573">
        <f>IFERROR(--SUBSTITUTE(SUBSTITUTE(TRIM(INDEX(INDIRECT("'Выгрузка'!A2573:Z2573"),Настройки!$B$7)),",","."),".",MID(1/2,2,1)),"")</f>
        <v/>
      </c>
      <c r="B2573">
        <f>IFERROR(--SUBSTITUTE(SUBSTITUTE(TRIM(INDEX(INDIRECT("'Выгрузка'!A2573:Z2573"),Настройки!$B$9)),",","."),".",MID(1/2,2,1)),"")</f>
        <v/>
      </c>
      <c r="C2573">
        <f>TRIM(INDEX(INDIRECT("'Выгрузка'!A2573:Z2573"),Настройки!$B$8)&amp;"")</f>
        <v/>
      </c>
      <c r="D2573">
        <f>IFERROR(--SUBSTITUTE(SUBSTITUTE(TRIM(INDEX(INDIRECT("'Выгрузка'!A2573:Z2573"),Настройки!$B$10)),",","."),".",MID(1/2,2,1)),"")</f>
        <v/>
      </c>
      <c r="E2573">
        <f>IFERROR(--SUBSTITUTE(SUBSTITUTE(TRIM(INDEX(INDIRECT("'Выгрузка'!A2573:Z2573"),Настройки!$B$11)),",","."),".",MID(1/2,2,1)),"")</f>
        <v/>
      </c>
      <c r="F2573">
        <f>TRIM(INDEX(INDIRECT("'Выгрузка'!A2573:Z2573"),Настройки!$B$12)&amp;"")</f>
        <v/>
      </c>
      <c r="G2573">
        <f>IF(F2573="",0,IF(TRIM(INDEX(INDIRECT("'Выгрузка'!A2573:Z2573"),Настройки!$B$13)&amp;"")="",1,IFERROR(--SUBSTITUTE(SUBSTITUTE(TRIM(INDEX(INDIRECT("'Выгрузка'!A2573:Z2573"),Настройки!$B$13)),",","."),".",MID(1/2,2,1)),"")))</f>
        <v/>
      </c>
      <c r="H2573">
        <f>IF(F2573="",0,IF(COUNTIF(Настройки!$B$17:$B$26,F2573)&gt;0,1,IF(COUNTIF(Настройки!$C$17:$C$26,F2573)&gt;0,2,IF(COUNTIF(Настройки!$D$17:$D$26,F2573)&gt;0,3,0))))</f>
        <v/>
      </c>
      <c r="I2573">
        <f>IF(AND(ISNUMBER(A2573),ISNUMBER(B2573)),A2573*1000+B2573,"")</f>
        <v/>
      </c>
      <c r="J2573">
        <f>IF(I2573="","",IF(COUNTIF(I$2:I2573,I2573)=1,MAX(J$1:J2572)+1,""))</f>
        <v/>
      </c>
    </row>
    <row r="2574">
      <c r="A2574">
        <f>IFERROR(--SUBSTITUTE(SUBSTITUTE(TRIM(INDEX(INDIRECT("'Выгрузка'!A2574:Z2574"),Настройки!$B$7)),",","."),".",MID(1/2,2,1)),"")</f>
        <v/>
      </c>
      <c r="B2574">
        <f>IFERROR(--SUBSTITUTE(SUBSTITUTE(TRIM(INDEX(INDIRECT("'Выгрузка'!A2574:Z2574"),Настройки!$B$9)),",","."),".",MID(1/2,2,1)),"")</f>
        <v/>
      </c>
      <c r="C2574">
        <f>TRIM(INDEX(INDIRECT("'Выгрузка'!A2574:Z2574"),Настройки!$B$8)&amp;"")</f>
        <v/>
      </c>
      <c r="D2574">
        <f>IFERROR(--SUBSTITUTE(SUBSTITUTE(TRIM(INDEX(INDIRECT("'Выгрузка'!A2574:Z2574"),Настройки!$B$10)),",","."),".",MID(1/2,2,1)),"")</f>
        <v/>
      </c>
      <c r="E2574">
        <f>IFERROR(--SUBSTITUTE(SUBSTITUTE(TRIM(INDEX(INDIRECT("'Выгрузка'!A2574:Z2574"),Настройки!$B$11)),",","."),".",MID(1/2,2,1)),"")</f>
        <v/>
      </c>
      <c r="F2574">
        <f>TRIM(INDEX(INDIRECT("'Выгрузка'!A2574:Z2574"),Настройки!$B$12)&amp;"")</f>
        <v/>
      </c>
      <c r="G2574">
        <f>IF(F2574="",0,IF(TRIM(INDEX(INDIRECT("'Выгрузка'!A2574:Z2574"),Настройки!$B$13)&amp;"")="",1,IFERROR(--SUBSTITUTE(SUBSTITUTE(TRIM(INDEX(INDIRECT("'Выгрузка'!A2574:Z2574"),Настройки!$B$13)),",","."),".",MID(1/2,2,1)),"")))</f>
        <v/>
      </c>
      <c r="H2574">
        <f>IF(F2574="",0,IF(COUNTIF(Настройки!$B$17:$B$26,F2574)&gt;0,1,IF(COUNTIF(Настройки!$C$17:$C$26,F2574)&gt;0,2,IF(COUNTIF(Настройки!$D$17:$D$26,F2574)&gt;0,3,0))))</f>
        <v/>
      </c>
      <c r="I2574">
        <f>IF(AND(ISNUMBER(A2574),ISNUMBER(B2574)),A2574*1000+B2574,"")</f>
        <v/>
      </c>
      <c r="J2574">
        <f>IF(I2574="","",IF(COUNTIF(I$2:I2574,I2574)=1,MAX(J$1:J2573)+1,""))</f>
        <v/>
      </c>
    </row>
    <row r="2575">
      <c r="A2575">
        <f>IFERROR(--SUBSTITUTE(SUBSTITUTE(TRIM(INDEX(INDIRECT("'Выгрузка'!A2575:Z2575"),Настройки!$B$7)),",","."),".",MID(1/2,2,1)),"")</f>
        <v/>
      </c>
      <c r="B2575">
        <f>IFERROR(--SUBSTITUTE(SUBSTITUTE(TRIM(INDEX(INDIRECT("'Выгрузка'!A2575:Z2575"),Настройки!$B$9)),",","."),".",MID(1/2,2,1)),"")</f>
        <v/>
      </c>
      <c r="C2575">
        <f>TRIM(INDEX(INDIRECT("'Выгрузка'!A2575:Z2575"),Настройки!$B$8)&amp;"")</f>
        <v/>
      </c>
      <c r="D2575">
        <f>IFERROR(--SUBSTITUTE(SUBSTITUTE(TRIM(INDEX(INDIRECT("'Выгрузка'!A2575:Z2575"),Настройки!$B$10)),",","."),".",MID(1/2,2,1)),"")</f>
        <v/>
      </c>
      <c r="E2575">
        <f>IFERROR(--SUBSTITUTE(SUBSTITUTE(TRIM(INDEX(INDIRECT("'Выгрузка'!A2575:Z2575"),Настройки!$B$11)),",","."),".",MID(1/2,2,1)),"")</f>
        <v/>
      </c>
      <c r="F2575">
        <f>TRIM(INDEX(INDIRECT("'Выгрузка'!A2575:Z2575"),Настройки!$B$12)&amp;"")</f>
        <v/>
      </c>
      <c r="G2575">
        <f>IF(F2575="",0,IF(TRIM(INDEX(INDIRECT("'Выгрузка'!A2575:Z2575"),Настройки!$B$13)&amp;"")="",1,IFERROR(--SUBSTITUTE(SUBSTITUTE(TRIM(INDEX(INDIRECT("'Выгрузка'!A2575:Z2575"),Настройки!$B$13)),",","."),".",MID(1/2,2,1)),"")))</f>
        <v/>
      </c>
      <c r="H2575">
        <f>IF(F2575="",0,IF(COUNTIF(Настройки!$B$17:$B$26,F2575)&gt;0,1,IF(COUNTIF(Настройки!$C$17:$C$26,F2575)&gt;0,2,IF(COUNTIF(Настройки!$D$17:$D$26,F2575)&gt;0,3,0))))</f>
        <v/>
      </c>
      <c r="I2575">
        <f>IF(AND(ISNUMBER(A2575),ISNUMBER(B2575)),A2575*1000+B2575,"")</f>
        <v/>
      </c>
      <c r="J2575">
        <f>IF(I2575="","",IF(COUNTIF(I$2:I2575,I2575)=1,MAX(J$1:J2574)+1,""))</f>
        <v/>
      </c>
    </row>
    <row r="2576">
      <c r="A2576">
        <f>IFERROR(--SUBSTITUTE(SUBSTITUTE(TRIM(INDEX(INDIRECT("'Выгрузка'!A2576:Z2576"),Настройки!$B$7)),",","."),".",MID(1/2,2,1)),"")</f>
        <v/>
      </c>
      <c r="B2576">
        <f>IFERROR(--SUBSTITUTE(SUBSTITUTE(TRIM(INDEX(INDIRECT("'Выгрузка'!A2576:Z2576"),Настройки!$B$9)),",","."),".",MID(1/2,2,1)),"")</f>
        <v/>
      </c>
      <c r="C2576">
        <f>TRIM(INDEX(INDIRECT("'Выгрузка'!A2576:Z2576"),Настройки!$B$8)&amp;"")</f>
        <v/>
      </c>
      <c r="D2576">
        <f>IFERROR(--SUBSTITUTE(SUBSTITUTE(TRIM(INDEX(INDIRECT("'Выгрузка'!A2576:Z2576"),Настройки!$B$10)),",","."),".",MID(1/2,2,1)),"")</f>
        <v/>
      </c>
      <c r="E2576">
        <f>IFERROR(--SUBSTITUTE(SUBSTITUTE(TRIM(INDEX(INDIRECT("'Выгрузка'!A2576:Z2576"),Настройки!$B$11)),",","."),".",MID(1/2,2,1)),"")</f>
        <v/>
      </c>
      <c r="F2576">
        <f>TRIM(INDEX(INDIRECT("'Выгрузка'!A2576:Z2576"),Настройки!$B$12)&amp;"")</f>
        <v/>
      </c>
      <c r="G2576">
        <f>IF(F2576="",0,IF(TRIM(INDEX(INDIRECT("'Выгрузка'!A2576:Z2576"),Настройки!$B$13)&amp;"")="",1,IFERROR(--SUBSTITUTE(SUBSTITUTE(TRIM(INDEX(INDIRECT("'Выгрузка'!A2576:Z2576"),Настройки!$B$13)),",","."),".",MID(1/2,2,1)),"")))</f>
        <v/>
      </c>
      <c r="H2576">
        <f>IF(F2576="",0,IF(COUNTIF(Настройки!$B$17:$B$26,F2576)&gt;0,1,IF(COUNTIF(Настройки!$C$17:$C$26,F2576)&gt;0,2,IF(COUNTIF(Настройки!$D$17:$D$26,F2576)&gt;0,3,0))))</f>
        <v/>
      </c>
      <c r="I2576">
        <f>IF(AND(ISNUMBER(A2576),ISNUMBER(B2576)),A2576*1000+B2576,"")</f>
        <v/>
      </c>
      <c r="J2576">
        <f>IF(I2576="","",IF(COUNTIF(I$2:I2576,I2576)=1,MAX(J$1:J2575)+1,""))</f>
        <v/>
      </c>
    </row>
    <row r="2577">
      <c r="A2577">
        <f>IFERROR(--SUBSTITUTE(SUBSTITUTE(TRIM(INDEX(INDIRECT("'Выгрузка'!A2577:Z2577"),Настройки!$B$7)),",","."),".",MID(1/2,2,1)),"")</f>
        <v/>
      </c>
      <c r="B2577">
        <f>IFERROR(--SUBSTITUTE(SUBSTITUTE(TRIM(INDEX(INDIRECT("'Выгрузка'!A2577:Z2577"),Настройки!$B$9)),",","."),".",MID(1/2,2,1)),"")</f>
        <v/>
      </c>
      <c r="C2577">
        <f>TRIM(INDEX(INDIRECT("'Выгрузка'!A2577:Z2577"),Настройки!$B$8)&amp;"")</f>
        <v/>
      </c>
      <c r="D2577">
        <f>IFERROR(--SUBSTITUTE(SUBSTITUTE(TRIM(INDEX(INDIRECT("'Выгрузка'!A2577:Z2577"),Настройки!$B$10)),",","."),".",MID(1/2,2,1)),"")</f>
        <v/>
      </c>
      <c r="E2577">
        <f>IFERROR(--SUBSTITUTE(SUBSTITUTE(TRIM(INDEX(INDIRECT("'Выгрузка'!A2577:Z2577"),Настройки!$B$11)),",","."),".",MID(1/2,2,1)),"")</f>
        <v/>
      </c>
      <c r="F2577">
        <f>TRIM(INDEX(INDIRECT("'Выгрузка'!A2577:Z2577"),Настройки!$B$12)&amp;"")</f>
        <v/>
      </c>
      <c r="G2577">
        <f>IF(F2577="",0,IF(TRIM(INDEX(INDIRECT("'Выгрузка'!A2577:Z2577"),Настройки!$B$13)&amp;"")="",1,IFERROR(--SUBSTITUTE(SUBSTITUTE(TRIM(INDEX(INDIRECT("'Выгрузка'!A2577:Z2577"),Настройки!$B$13)),",","."),".",MID(1/2,2,1)),"")))</f>
        <v/>
      </c>
      <c r="H2577">
        <f>IF(F2577="",0,IF(COUNTIF(Настройки!$B$17:$B$26,F2577)&gt;0,1,IF(COUNTIF(Настройки!$C$17:$C$26,F2577)&gt;0,2,IF(COUNTIF(Настройки!$D$17:$D$26,F2577)&gt;0,3,0))))</f>
        <v/>
      </c>
      <c r="I2577">
        <f>IF(AND(ISNUMBER(A2577),ISNUMBER(B2577)),A2577*1000+B2577,"")</f>
        <v/>
      </c>
      <c r="J2577">
        <f>IF(I2577="","",IF(COUNTIF(I$2:I2577,I2577)=1,MAX(J$1:J2576)+1,""))</f>
        <v/>
      </c>
    </row>
    <row r="2578">
      <c r="A2578">
        <f>IFERROR(--SUBSTITUTE(SUBSTITUTE(TRIM(INDEX(INDIRECT("'Выгрузка'!A2578:Z2578"),Настройки!$B$7)),",","."),".",MID(1/2,2,1)),"")</f>
        <v/>
      </c>
      <c r="B2578">
        <f>IFERROR(--SUBSTITUTE(SUBSTITUTE(TRIM(INDEX(INDIRECT("'Выгрузка'!A2578:Z2578"),Настройки!$B$9)),",","."),".",MID(1/2,2,1)),"")</f>
        <v/>
      </c>
      <c r="C2578">
        <f>TRIM(INDEX(INDIRECT("'Выгрузка'!A2578:Z2578"),Настройки!$B$8)&amp;"")</f>
        <v/>
      </c>
      <c r="D2578">
        <f>IFERROR(--SUBSTITUTE(SUBSTITUTE(TRIM(INDEX(INDIRECT("'Выгрузка'!A2578:Z2578"),Настройки!$B$10)),",","."),".",MID(1/2,2,1)),"")</f>
        <v/>
      </c>
      <c r="E2578">
        <f>IFERROR(--SUBSTITUTE(SUBSTITUTE(TRIM(INDEX(INDIRECT("'Выгрузка'!A2578:Z2578"),Настройки!$B$11)),",","."),".",MID(1/2,2,1)),"")</f>
        <v/>
      </c>
      <c r="F2578">
        <f>TRIM(INDEX(INDIRECT("'Выгрузка'!A2578:Z2578"),Настройки!$B$12)&amp;"")</f>
        <v/>
      </c>
      <c r="G2578">
        <f>IF(F2578="",0,IF(TRIM(INDEX(INDIRECT("'Выгрузка'!A2578:Z2578"),Настройки!$B$13)&amp;"")="",1,IFERROR(--SUBSTITUTE(SUBSTITUTE(TRIM(INDEX(INDIRECT("'Выгрузка'!A2578:Z2578"),Настройки!$B$13)),",","."),".",MID(1/2,2,1)),"")))</f>
        <v/>
      </c>
      <c r="H2578">
        <f>IF(F2578="",0,IF(COUNTIF(Настройки!$B$17:$B$26,F2578)&gt;0,1,IF(COUNTIF(Настройки!$C$17:$C$26,F2578)&gt;0,2,IF(COUNTIF(Настройки!$D$17:$D$26,F2578)&gt;0,3,0))))</f>
        <v/>
      </c>
      <c r="I2578">
        <f>IF(AND(ISNUMBER(A2578),ISNUMBER(B2578)),A2578*1000+B2578,"")</f>
        <v/>
      </c>
      <c r="J2578">
        <f>IF(I2578="","",IF(COUNTIF(I$2:I2578,I2578)=1,MAX(J$1:J2577)+1,""))</f>
        <v/>
      </c>
    </row>
    <row r="2579">
      <c r="A2579">
        <f>IFERROR(--SUBSTITUTE(SUBSTITUTE(TRIM(INDEX(INDIRECT("'Выгрузка'!A2579:Z2579"),Настройки!$B$7)),",","."),".",MID(1/2,2,1)),"")</f>
        <v/>
      </c>
      <c r="B2579">
        <f>IFERROR(--SUBSTITUTE(SUBSTITUTE(TRIM(INDEX(INDIRECT("'Выгрузка'!A2579:Z2579"),Настройки!$B$9)),",","."),".",MID(1/2,2,1)),"")</f>
        <v/>
      </c>
      <c r="C2579">
        <f>TRIM(INDEX(INDIRECT("'Выгрузка'!A2579:Z2579"),Настройки!$B$8)&amp;"")</f>
        <v/>
      </c>
      <c r="D2579">
        <f>IFERROR(--SUBSTITUTE(SUBSTITUTE(TRIM(INDEX(INDIRECT("'Выгрузка'!A2579:Z2579"),Настройки!$B$10)),",","."),".",MID(1/2,2,1)),"")</f>
        <v/>
      </c>
      <c r="E2579">
        <f>IFERROR(--SUBSTITUTE(SUBSTITUTE(TRIM(INDEX(INDIRECT("'Выгрузка'!A2579:Z2579"),Настройки!$B$11)),",","."),".",MID(1/2,2,1)),"")</f>
        <v/>
      </c>
      <c r="F2579">
        <f>TRIM(INDEX(INDIRECT("'Выгрузка'!A2579:Z2579"),Настройки!$B$12)&amp;"")</f>
        <v/>
      </c>
      <c r="G2579">
        <f>IF(F2579="",0,IF(TRIM(INDEX(INDIRECT("'Выгрузка'!A2579:Z2579"),Настройки!$B$13)&amp;"")="",1,IFERROR(--SUBSTITUTE(SUBSTITUTE(TRIM(INDEX(INDIRECT("'Выгрузка'!A2579:Z2579"),Настройки!$B$13)),",","."),".",MID(1/2,2,1)),"")))</f>
        <v/>
      </c>
      <c r="H2579">
        <f>IF(F2579="",0,IF(COUNTIF(Настройки!$B$17:$B$26,F2579)&gt;0,1,IF(COUNTIF(Настройки!$C$17:$C$26,F2579)&gt;0,2,IF(COUNTIF(Настройки!$D$17:$D$26,F2579)&gt;0,3,0))))</f>
        <v/>
      </c>
      <c r="I2579">
        <f>IF(AND(ISNUMBER(A2579),ISNUMBER(B2579)),A2579*1000+B2579,"")</f>
        <v/>
      </c>
      <c r="J2579">
        <f>IF(I2579="","",IF(COUNTIF(I$2:I2579,I2579)=1,MAX(J$1:J2578)+1,""))</f>
        <v/>
      </c>
    </row>
    <row r="2580">
      <c r="A2580">
        <f>IFERROR(--SUBSTITUTE(SUBSTITUTE(TRIM(INDEX(INDIRECT("'Выгрузка'!A2580:Z2580"),Настройки!$B$7)),",","."),".",MID(1/2,2,1)),"")</f>
        <v/>
      </c>
      <c r="B2580">
        <f>IFERROR(--SUBSTITUTE(SUBSTITUTE(TRIM(INDEX(INDIRECT("'Выгрузка'!A2580:Z2580"),Настройки!$B$9)),",","."),".",MID(1/2,2,1)),"")</f>
        <v/>
      </c>
      <c r="C2580">
        <f>TRIM(INDEX(INDIRECT("'Выгрузка'!A2580:Z2580"),Настройки!$B$8)&amp;"")</f>
        <v/>
      </c>
      <c r="D2580">
        <f>IFERROR(--SUBSTITUTE(SUBSTITUTE(TRIM(INDEX(INDIRECT("'Выгрузка'!A2580:Z2580"),Настройки!$B$10)),",","."),".",MID(1/2,2,1)),"")</f>
        <v/>
      </c>
      <c r="E2580">
        <f>IFERROR(--SUBSTITUTE(SUBSTITUTE(TRIM(INDEX(INDIRECT("'Выгрузка'!A2580:Z2580"),Настройки!$B$11)),",","."),".",MID(1/2,2,1)),"")</f>
        <v/>
      </c>
      <c r="F2580">
        <f>TRIM(INDEX(INDIRECT("'Выгрузка'!A2580:Z2580"),Настройки!$B$12)&amp;"")</f>
        <v/>
      </c>
      <c r="G2580">
        <f>IF(F2580="",0,IF(TRIM(INDEX(INDIRECT("'Выгрузка'!A2580:Z2580"),Настройки!$B$13)&amp;"")="",1,IFERROR(--SUBSTITUTE(SUBSTITUTE(TRIM(INDEX(INDIRECT("'Выгрузка'!A2580:Z2580"),Настройки!$B$13)),",","."),".",MID(1/2,2,1)),"")))</f>
        <v/>
      </c>
      <c r="H2580">
        <f>IF(F2580="",0,IF(COUNTIF(Настройки!$B$17:$B$26,F2580)&gt;0,1,IF(COUNTIF(Настройки!$C$17:$C$26,F2580)&gt;0,2,IF(COUNTIF(Настройки!$D$17:$D$26,F2580)&gt;0,3,0))))</f>
        <v/>
      </c>
      <c r="I2580">
        <f>IF(AND(ISNUMBER(A2580),ISNUMBER(B2580)),A2580*1000+B2580,"")</f>
        <v/>
      </c>
      <c r="J2580">
        <f>IF(I2580="","",IF(COUNTIF(I$2:I2580,I2580)=1,MAX(J$1:J2579)+1,""))</f>
        <v/>
      </c>
    </row>
    <row r="2581">
      <c r="A2581">
        <f>IFERROR(--SUBSTITUTE(SUBSTITUTE(TRIM(INDEX(INDIRECT("'Выгрузка'!A2581:Z2581"),Настройки!$B$7)),",","."),".",MID(1/2,2,1)),"")</f>
        <v/>
      </c>
      <c r="B2581">
        <f>IFERROR(--SUBSTITUTE(SUBSTITUTE(TRIM(INDEX(INDIRECT("'Выгрузка'!A2581:Z2581"),Настройки!$B$9)),",","."),".",MID(1/2,2,1)),"")</f>
        <v/>
      </c>
      <c r="C2581">
        <f>TRIM(INDEX(INDIRECT("'Выгрузка'!A2581:Z2581"),Настройки!$B$8)&amp;"")</f>
        <v/>
      </c>
      <c r="D2581">
        <f>IFERROR(--SUBSTITUTE(SUBSTITUTE(TRIM(INDEX(INDIRECT("'Выгрузка'!A2581:Z2581"),Настройки!$B$10)),",","."),".",MID(1/2,2,1)),"")</f>
        <v/>
      </c>
      <c r="E2581">
        <f>IFERROR(--SUBSTITUTE(SUBSTITUTE(TRIM(INDEX(INDIRECT("'Выгрузка'!A2581:Z2581"),Настройки!$B$11)),",","."),".",MID(1/2,2,1)),"")</f>
        <v/>
      </c>
      <c r="F2581">
        <f>TRIM(INDEX(INDIRECT("'Выгрузка'!A2581:Z2581"),Настройки!$B$12)&amp;"")</f>
        <v/>
      </c>
      <c r="G2581">
        <f>IF(F2581="",0,IF(TRIM(INDEX(INDIRECT("'Выгрузка'!A2581:Z2581"),Настройки!$B$13)&amp;"")="",1,IFERROR(--SUBSTITUTE(SUBSTITUTE(TRIM(INDEX(INDIRECT("'Выгрузка'!A2581:Z2581"),Настройки!$B$13)),",","."),".",MID(1/2,2,1)),"")))</f>
        <v/>
      </c>
      <c r="H2581">
        <f>IF(F2581="",0,IF(COUNTIF(Настройки!$B$17:$B$26,F2581)&gt;0,1,IF(COUNTIF(Настройки!$C$17:$C$26,F2581)&gt;0,2,IF(COUNTIF(Настройки!$D$17:$D$26,F2581)&gt;0,3,0))))</f>
        <v/>
      </c>
      <c r="I2581">
        <f>IF(AND(ISNUMBER(A2581),ISNUMBER(B2581)),A2581*1000+B2581,"")</f>
        <v/>
      </c>
      <c r="J2581">
        <f>IF(I2581="","",IF(COUNTIF(I$2:I2581,I2581)=1,MAX(J$1:J2580)+1,""))</f>
        <v/>
      </c>
    </row>
    <row r="2582">
      <c r="A2582">
        <f>IFERROR(--SUBSTITUTE(SUBSTITUTE(TRIM(INDEX(INDIRECT("'Выгрузка'!A2582:Z2582"),Настройки!$B$7)),",","."),".",MID(1/2,2,1)),"")</f>
        <v/>
      </c>
      <c r="B2582">
        <f>IFERROR(--SUBSTITUTE(SUBSTITUTE(TRIM(INDEX(INDIRECT("'Выгрузка'!A2582:Z2582"),Настройки!$B$9)),",","."),".",MID(1/2,2,1)),"")</f>
        <v/>
      </c>
      <c r="C2582">
        <f>TRIM(INDEX(INDIRECT("'Выгрузка'!A2582:Z2582"),Настройки!$B$8)&amp;"")</f>
        <v/>
      </c>
      <c r="D2582">
        <f>IFERROR(--SUBSTITUTE(SUBSTITUTE(TRIM(INDEX(INDIRECT("'Выгрузка'!A2582:Z2582"),Настройки!$B$10)),",","."),".",MID(1/2,2,1)),"")</f>
        <v/>
      </c>
      <c r="E2582">
        <f>IFERROR(--SUBSTITUTE(SUBSTITUTE(TRIM(INDEX(INDIRECT("'Выгрузка'!A2582:Z2582"),Настройки!$B$11)),",","."),".",MID(1/2,2,1)),"")</f>
        <v/>
      </c>
      <c r="F2582">
        <f>TRIM(INDEX(INDIRECT("'Выгрузка'!A2582:Z2582"),Настройки!$B$12)&amp;"")</f>
        <v/>
      </c>
      <c r="G2582">
        <f>IF(F2582="",0,IF(TRIM(INDEX(INDIRECT("'Выгрузка'!A2582:Z2582"),Настройки!$B$13)&amp;"")="",1,IFERROR(--SUBSTITUTE(SUBSTITUTE(TRIM(INDEX(INDIRECT("'Выгрузка'!A2582:Z2582"),Настройки!$B$13)),",","."),".",MID(1/2,2,1)),"")))</f>
        <v/>
      </c>
      <c r="H2582">
        <f>IF(F2582="",0,IF(COUNTIF(Настройки!$B$17:$B$26,F2582)&gt;0,1,IF(COUNTIF(Настройки!$C$17:$C$26,F2582)&gt;0,2,IF(COUNTIF(Настройки!$D$17:$D$26,F2582)&gt;0,3,0))))</f>
        <v/>
      </c>
      <c r="I2582">
        <f>IF(AND(ISNUMBER(A2582),ISNUMBER(B2582)),A2582*1000+B2582,"")</f>
        <v/>
      </c>
      <c r="J2582">
        <f>IF(I2582="","",IF(COUNTIF(I$2:I2582,I2582)=1,MAX(J$1:J2581)+1,""))</f>
        <v/>
      </c>
    </row>
    <row r="2583">
      <c r="A2583">
        <f>IFERROR(--SUBSTITUTE(SUBSTITUTE(TRIM(INDEX(INDIRECT("'Выгрузка'!A2583:Z2583"),Настройки!$B$7)),",","."),".",MID(1/2,2,1)),"")</f>
        <v/>
      </c>
      <c r="B2583">
        <f>IFERROR(--SUBSTITUTE(SUBSTITUTE(TRIM(INDEX(INDIRECT("'Выгрузка'!A2583:Z2583"),Настройки!$B$9)),",","."),".",MID(1/2,2,1)),"")</f>
        <v/>
      </c>
      <c r="C2583">
        <f>TRIM(INDEX(INDIRECT("'Выгрузка'!A2583:Z2583"),Настройки!$B$8)&amp;"")</f>
        <v/>
      </c>
      <c r="D2583">
        <f>IFERROR(--SUBSTITUTE(SUBSTITUTE(TRIM(INDEX(INDIRECT("'Выгрузка'!A2583:Z2583"),Настройки!$B$10)),",","."),".",MID(1/2,2,1)),"")</f>
        <v/>
      </c>
      <c r="E2583">
        <f>IFERROR(--SUBSTITUTE(SUBSTITUTE(TRIM(INDEX(INDIRECT("'Выгрузка'!A2583:Z2583"),Настройки!$B$11)),",","."),".",MID(1/2,2,1)),"")</f>
        <v/>
      </c>
      <c r="F2583">
        <f>TRIM(INDEX(INDIRECT("'Выгрузка'!A2583:Z2583"),Настройки!$B$12)&amp;"")</f>
        <v/>
      </c>
      <c r="G2583">
        <f>IF(F2583="",0,IF(TRIM(INDEX(INDIRECT("'Выгрузка'!A2583:Z2583"),Настройки!$B$13)&amp;"")="",1,IFERROR(--SUBSTITUTE(SUBSTITUTE(TRIM(INDEX(INDIRECT("'Выгрузка'!A2583:Z2583"),Настройки!$B$13)),",","."),".",MID(1/2,2,1)),"")))</f>
        <v/>
      </c>
      <c r="H2583">
        <f>IF(F2583="",0,IF(COUNTIF(Настройки!$B$17:$B$26,F2583)&gt;0,1,IF(COUNTIF(Настройки!$C$17:$C$26,F2583)&gt;0,2,IF(COUNTIF(Настройки!$D$17:$D$26,F2583)&gt;0,3,0))))</f>
        <v/>
      </c>
      <c r="I2583">
        <f>IF(AND(ISNUMBER(A2583),ISNUMBER(B2583)),A2583*1000+B2583,"")</f>
        <v/>
      </c>
      <c r="J2583">
        <f>IF(I2583="","",IF(COUNTIF(I$2:I2583,I2583)=1,MAX(J$1:J2582)+1,""))</f>
        <v/>
      </c>
    </row>
    <row r="2584">
      <c r="A2584">
        <f>IFERROR(--SUBSTITUTE(SUBSTITUTE(TRIM(INDEX(INDIRECT("'Выгрузка'!A2584:Z2584"),Настройки!$B$7)),",","."),".",MID(1/2,2,1)),"")</f>
        <v/>
      </c>
      <c r="B2584">
        <f>IFERROR(--SUBSTITUTE(SUBSTITUTE(TRIM(INDEX(INDIRECT("'Выгрузка'!A2584:Z2584"),Настройки!$B$9)),",","."),".",MID(1/2,2,1)),"")</f>
        <v/>
      </c>
      <c r="C2584">
        <f>TRIM(INDEX(INDIRECT("'Выгрузка'!A2584:Z2584"),Настройки!$B$8)&amp;"")</f>
        <v/>
      </c>
      <c r="D2584">
        <f>IFERROR(--SUBSTITUTE(SUBSTITUTE(TRIM(INDEX(INDIRECT("'Выгрузка'!A2584:Z2584"),Настройки!$B$10)),",","."),".",MID(1/2,2,1)),"")</f>
        <v/>
      </c>
      <c r="E2584">
        <f>IFERROR(--SUBSTITUTE(SUBSTITUTE(TRIM(INDEX(INDIRECT("'Выгрузка'!A2584:Z2584"),Настройки!$B$11)),",","."),".",MID(1/2,2,1)),"")</f>
        <v/>
      </c>
      <c r="F2584">
        <f>TRIM(INDEX(INDIRECT("'Выгрузка'!A2584:Z2584"),Настройки!$B$12)&amp;"")</f>
        <v/>
      </c>
      <c r="G2584">
        <f>IF(F2584="",0,IF(TRIM(INDEX(INDIRECT("'Выгрузка'!A2584:Z2584"),Настройки!$B$13)&amp;"")="",1,IFERROR(--SUBSTITUTE(SUBSTITUTE(TRIM(INDEX(INDIRECT("'Выгрузка'!A2584:Z2584"),Настройки!$B$13)),",","."),".",MID(1/2,2,1)),"")))</f>
        <v/>
      </c>
      <c r="H2584">
        <f>IF(F2584="",0,IF(COUNTIF(Настройки!$B$17:$B$26,F2584)&gt;0,1,IF(COUNTIF(Настройки!$C$17:$C$26,F2584)&gt;0,2,IF(COUNTIF(Настройки!$D$17:$D$26,F2584)&gt;0,3,0))))</f>
        <v/>
      </c>
      <c r="I2584">
        <f>IF(AND(ISNUMBER(A2584),ISNUMBER(B2584)),A2584*1000+B2584,"")</f>
        <v/>
      </c>
      <c r="J2584">
        <f>IF(I2584="","",IF(COUNTIF(I$2:I2584,I2584)=1,MAX(J$1:J2583)+1,""))</f>
        <v/>
      </c>
    </row>
    <row r="2585">
      <c r="A2585">
        <f>IFERROR(--SUBSTITUTE(SUBSTITUTE(TRIM(INDEX(INDIRECT("'Выгрузка'!A2585:Z2585"),Настройки!$B$7)),",","."),".",MID(1/2,2,1)),"")</f>
        <v/>
      </c>
      <c r="B2585">
        <f>IFERROR(--SUBSTITUTE(SUBSTITUTE(TRIM(INDEX(INDIRECT("'Выгрузка'!A2585:Z2585"),Настройки!$B$9)),",","."),".",MID(1/2,2,1)),"")</f>
        <v/>
      </c>
      <c r="C2585">
        <f>TRIM(INDEX(INDIRECT("'Выгрузка'!A2585:Z2585"),Настройки!$B$8)&amp;"")</f>
        <v/>
      </c>
      <c r="D2585">
        <f>IFERROR(--SUBSTITUTE(SUBSTITUTE(TRIM(INDEX(INDIRECT("'Выгрузка'!A2585:Z2585"),Настройки!$B$10)),",","."),".",MID(1/2,2,1)),"")</f>
        <v/>
      </c>
      <c r="E2585">
        <f>IFERROR(--SUBSTITUTE(SUBSTITUTE(TRIM(INDEX(INDIRECT("'Выгрузка'!A2585:Z2585"),Настройки!$B$11)),",","."),".",MID(1/2,2,1)),"")</f>
        <v/>
      </c>
      <c r="F2585">
        <f>TRIM(INDEX(INDIRECT("'Выгрузка'!A2585:Z2585"),Настройки!$B$12)&amp;"")</f>
        <v/>
      </c>
      <c r="G2585">
        <f>IF(F2585="",0,IF(TRIM(INDEX(INDIRECT("'Выгрузка'!A2585:Z2585"),Настройки!$B$13)&amp;"")="",1,IFERROR(--SUBSTITUTE(SUBSTITUTE(TRIM(INDEX(INDIRECT("'Выгрузка'!A2585:Z2585"),Настройки!$B$13)),",","."),".",MID(1/2,2,1)),"")))</f>
        <v/>
      </c>
      <c r="H2585">
        <f>IF(F2585="",0,IF(COUNTIF(Настройки!$B$17:$B$26,F2585)&gt;0,1,IF(COUNTIF(Настройки!$C$17:$C$26,F2585)&gt;0,2,IF(COUNTIF(Настройки!$D$17:$D$26,F2585)&gt;0,3,0))))</f>
        <v/>
      </c>
      <c r="I2585">
        <f>IF(AND(ISNUMBER(A2585),ISNUMBER(B2585)),A2585*1000+B2585,"")</f>
        <v/>
      </c>
      <c r="J2585">
        <f>IF(I2585="","",IF(COUNTIF(I$2:I2585,I2585)=1,MAX(J$1:J2584)+1,""))</f>
        <v/>
      </c>
    </row>
    <row r="2586">
      <c r="A2586">
        <f>IFERROR(--SUBSTITUTE(SUBSTITUTE(TRIM(INDEX(INDIRECT("'Выгрузка'!A2586:Z2586"),Настройки!$B$7)),",","."),".",MID(1/2,2,1)),"")</f>
        <v/>
      </c>
      <c r="B2586">
        <f>IFERROR(--SUBSTITUTE(SUBSTITUTE(TRIM(INDEX(INDIRECT("'Выгрузка'!A2586:Z2586"),Настройки!$B$9)),",","."),".",MID(1/2,2,1)),"")</f>
        <v/>
      </c>
      <c r="C2586">
        <f>TRIM(INDEX(INDIRECT("'Выгрузка'!A2586:Z2586"),Настройки!$B$8)&amp;"")</f>
        <v/>
      </c>
      <c r="D2586">
        <f>IFERROR(--SUBSTITUTE(SUBSTITUTE(TRIM(INDEX(INDIRECT("'Выгрузка'!A2586:Z2586"),Настройки!$B$10)),",","."),".",MID(1/2,2,1)),"")</f>
        <v/>
      </c>
      <c r="E2586">
        <f>IFERROR(--SUBSTITUTE(SUBSTITUTE(TRIM(INDEX(INDIRECT("'Выгрузка'!A2586:Z2586"),Настройки!$B$11)),",","."),".",MID(1/2,2,1)),"")</f>
        <v/>
      </c>
      <c r="F2586">
        <f>TRIM(INDEX(INDIRECT("'Выгрузка'!A2586:Z2586"),Настройки!$B$12)&amp;"")</f>
        <v/>
      </c>
      <c r="G2586">
        <f>IF(F2586="",0,IF(TRIM(INDEX(INDIRECT("'Выгрузка'!A2586:Z2586"),Настройки!$B$13)&amp;"")="",1,IFERROR(--SUBSTITUTE(SUBSTITUTE(TRIM(INDEX(INDIRECT("'Выгрузка'!A2586:Z2586"),Настройки!$B$13)),",","."),".",MID(1/2,2,1)),"")))</f>
        <v/>
      </c>
      <c r="H2586">
        <f>IF(F2586="",0,IF(COUNTIF(Настройки!$B$17:$B$26,F2586)&gt;0,1,IF(COUNTIF(Настройки!$C$17:$C$26,F2586)&gt;0,2,IF(COUNTIF(Настройки!$D$17:$D$26,F2586)&gt;0,3,0))))</f>
        <v/>
      </c>
      <c r="I2586">
        <f>IF(AND(ISNUMBER(A2586),ISNUMBER(B2586)),A2586*1000+B2586,"")</f>
        <v/>
      </c>
      <c r="J2586">
        <f>IF(I2586="","",IF(COUNTIF(I$2:I2586,I2586)=1,MAX(J$1:J2585)+1,""))</f>
        <v/>
      </c>
    </row>
    <row r="2587">
      <c r="A2587">
        <f>IFERROR(--SUBSTITUTE(SUBSTITUTE(TRIM(INDEX(INDIRECT("'Выгрузка'!A2587:Z2587"),Настройки!$B$7)),",","."),".",MID(1/2,2,1)),"")</f>
        <v/>
      </c>
      <c r="B2587">
        <f>IFERROR(--SUBSTITUTE(SUBSTITUTE(TRIM(INDEX(INDIRECT("'Выгрузка'!A2587:Z2587"),Настройки!$B$9)),",","."),".",MID(1/2,2,1)),"")</f>
        <v/>
      </c>
      <c r="C2587">
        <f>TRIM(INDEX(INDIRECT("'Выгрузка'!A2587:Z2587"),Настройки!$B$8)&amp;"")</f>
        <v/>
      </c>
      <c r="D2587">
        <f>IFERROR(--SUBSTITUTE(SUBSTITUTE(TRIM(INDEX(INDIRECT("'Выгрузка'!A2587:Z2587"),Настройки!$B$10)),",","."),".",MID(1/2,2,1)),"")</f>
        <v/>
      </c>
      <c r="E2587">
        <f>IFERROR(--SUBSTITUTE(SUBSTITUTE(TRIM(INDEX(INDIRECT("'Выгрузка'!A2587:Z2587"),Настройки!$B$11)),",","."),".",MID(1/2,2,1)),"")</f>
        <v/>
      </c>
      <c r="F2587">
        <f>TRIM(INDEX(INDIRECT("'Выгрузка'!A2587:Z2587"),Настройки!$B$12)&amp;"")</f>
        <v/>
      </c>
      <c r="G2587">
        <f>IF(F2587="",0,IF(TRIM(INDEX(INDIRECT("'Выгрузка'!A2587:Z2587"),Настройки!$B$13)&amp;"")="",1,IFERROR(--SUBSTITUTE(SUBSTITUTE(TRIM(INDEX(INDIRECT("'Выгрузка'!A2587:Z2587"),Настройки!$B$13)),",","."),".",MID(1/2,2,1)),"")))</f>
        <v/>
      </c>
      <c r="H2587">
        <f>IF(F2587="",0,IF(COUNTIF(Настройки!$B$17:$B$26,F2587)&gt;0,1,IF(COUNTIF(Настройки!$C$17:$C$26,F2587)&gt;0,2,IF(COUNTIF(Настройки!$D$17:$D$26,F2587)&gt;0,3,0))))</f>
        <v/>
      </c>
      <c r="I2587">
        <f>IF(AND(ISNUMBER(A2587),ISNUMBER(B2587)),A2587*1000+B2587,"")</f>
        <v/>
      </c>
      <c r="J2587">
        <f>IF(I2587="","",IF(COUNTIF(I$2:I2587,I2587)=1,MAX(J$1:J2586)+1,""))</f>
        <v/>
      </c>
    </row>
    <row r="2588">
      <c r="A2588">
        <f>IFERROR(--SUBSTITUTE(SUBSTITUTE(TRIM(INDEX(INDIRECT("'Выгрузка'!A2588:Z2588"),Настройки!$B$7)),",","."),".",MID(1/2,2,1)),"")</f>
        <v/>
      </c>
      <c r="B2588">
        <f>IFERROR(--SUBSTITUTE(SUBSTITUTE(TRIM(INDEX(INDIRECT("'Выгрузка'!A2588:Z2588"),Настройки!$B$9)),",","."),".",MID(1/2,2,1)),"")</f>
        <v/>
      </c>
      <c r="C2588">
        <f>TRIM(INDEX(INDIRECT("'Выгрузка'!A2588:Z2588"),Настройки!$B$8)&amp;"")</f>
        <v/>
      </c>
      <c r="D2588">
        <f>IFERROR(--SUBSTITUTE(SUBSTITUTE(TRIM(INDEX(INDIRECT("'Выгрузка'!A2588:Z2588"),Настройки!$B$10)),",","."),".",MID(1/2,2,1)),"")</f>
        <v/>
      </c>
      <c r="E2588">
        <f>IFERROR(--SUBSTITUTE(SUBSTITUTE(TRIM(INDEX(INDIRECT("'Выгрузка'!A2588:Z2588"),Настройки!$B$11)),",","."),".",MID(1/2,2,1)),"")</f>
        <v/>
      </c>
      <c r="F2588">
        <f>TRIM(INDEX(INDIRECT("'Выгрузка'!A2588:Z2588"),Настройки!$B$12)&amp;"")</f>
        <v/>
      </c>
      <c r="G2588">
        <f>IF(F2588="",0,IF(TRIM(INDEX(INDIRECT("'Выгрузка'!A2588:Z2588"),Настройки!$B$13)&amp;"")="",1,IFERROR(--SUBSTITUTE(SUBSTITUTE(TRIM(INDEX(INDIRECT("'Выгрузка'!A2588:Z2588"),Настройки!$B$13)),",","."),".",MID(1/2,2,1)),"")))</f>
        <v/>
      </c>
      <c r="H2588">
        <f>IF(F2588="",0,IF(COUNTIF(Настройки!$B$17:$B$26,F2588)&gt;0,1,IF(COUNTIF(Настройки!$C$17:$C$26,F2588)&gt;0,2,IF(COUNTIF(Настройки!$D$17:$D$26,F2588)&gt;0,3,0))))</f>
        <v/>
      </c>
      <c r="I2588">
        <f>IF(AND(ISNUMBER(A2588),ISNUMBER(B2588)),A2588*1000+B2588,"")</f>
        <v/>
      </c>
      <c r="J2588">
        <f>IF(I2588="","",IF(COUNTIF(I$2:I2588,I2588)=1,MAX(J$1:J2587)+1,""))</f>
        <v/>
      </c>
    </row>
    <row r="2589">
      <c r="A2589">
        <f>IFERROR(--SUBSTITUTE(SUBSTITUTE(TRIM(INDEX(INDIRECT("'Выгрузка'!A2589:Z2589"),Настройки!$B$7)),",","."),".",MID(1/2,2,1)),"")</f>
        <v/>
      </c>
      <c r="B2589">
        <f>IFERROR(--SUBSTITUTE(SUBSTITUTE(TRIM(INDEX(INDIRECT("'Выгрузка'!A2589:Z2589"),Настройки!$B$9)),",","."),".",MID(1/2,2,1)),"")</f>
        <v/>
      </c>
      <c r="C2589">
        <f>TRIM(INDEX(INDIRECT("'Выгрузка'!A2589:Z2589"),Настройки!$B$8)&amp;"")</f>
        <v/>
      </c>
      <c r="D2589">
        <f>IFERROR(--SUBSTITUTE(SUBSTITUTE(TRIM(INDEX(INDIRECT("'Выгрузка'!A2589:Z2589"),Настройки!$B$10)),",","."),".",MID(1/2,2,1)),"")</f>
        <v/>
      </c>
      <c r="E2589">
        <f>IFERROR(--SUBSTITUTE(SUBSTITUTE(TRIM(INDEX(INDIRECT("'Выгрузка'!A2589:Z2589"),Настройки!$B$11)),",","."),".",MID(1/2,2,1)),"")</f>
        <v/>
      </c>
      <c r="F2589">
        <f>TRIM(INDEX(INDIRECT("'Выгрузка'!A2589:Z2589"),Настройки!$B$12)&amp;"")</f>
        <v/>
      </c>
      <c r="G2589">
        <f>IF(F2589="",0,IF(TRIM(INDEX(INDIRECT("'Выгрузка'!A2589:Z2589"),Настройки!$B$13)&amp;"")="",1,IFERROR(--SUBSTITUTE(SUBSTITUTE(TRIM(INDEX(INDIRECT("'Выгрузка'!A2589:Z2589"),Настройки!$B$13)),",","."),".",MID(1/2,2,1)),"")))</f>
        <v/>
      </c>
      <c r="H2589">
        <f>IF(F2589="",0,IF(COUNTIF(Настройки!$B$17:$B$26,F2589)&gt;0,1,IF(COUNTIF(Настройки!$C$17:$C$26,F2589)&gt;0,2,IF(COUNTIF(Настройки!$D$17:$D$26,F2589)&gt;0,3,0))))</f>
        <v/>
      </c>
      <c r="I2589">
        <f>IF(AND(ISNUMBER(A2589),ISNUMBER(B2589)),A2589*1000+B2589,"")</f>
        <v/>
      </c>
      <c r="J2589">
        <f>IF(I2589="","",IF(COUNTIF(I$2:I2589,I2589)=1,MAX(J$1:J2588)+1,""))</f>
        <v/>
      </c>
    </row>
    <row r="2590">
      <c r="A2590">
        <f>IFERROR(--SUBSTITUTE(SUBSTITUTE(TRIM(INDEX(INDIRECT("'Выгрузка'!A2590:Z2590"),Настройки!$B$7)),",","."),".",MID(1/2,2,1)),"")</f>
        <v/>
      </c>
      <c r="B2590">
        <f>IFERROR(--SUBSTITUTE(SUBSTITUTE(TRIM(INDEX(INDIRECT("'Выгрузка'!A2590:Z2590"),Настройки!$B$9)),",","."),".",MID(1/2,2,1)),"")</f>
        <v/>
      </c>
      <c r="C2590">
        <f>TRIM(INDEX(INDIRECT("'Выгрузка'!A2590:Z2590"),Настройки!$B$8)&amp;"")</f>
        <v/>
      </c>
      <c r="D2590">
        <f>IFERROR(--SUBSTITUTE(SUBSTITUTE(TRIM(INDEX(INDIRECT("'Выгрузка'!A2590:Z2590"),Настройки!$B$10)),",","."),".",MID(1/2,2,1)),"")</f>
        <v/>
      </c>
      <c r="E2590">
        <f>IFERROR(--SUBSTITUTE(SUBSTITUTE(TRIM(INDEX(INDIRECT("'Выгрузка'!A2590:Z2590"),Настройки!$B$11)),",","."),".",MID(1/2,2,1)),"")</f>
        <v/>
      </c>
      <c r="F2590">
        <f>TRIM(INDEX(INDIRECT("'Выгрузка'!A2590:Z2590"),Настройки!$B$12)&amp;"")</f>
        <v/>
      </c>
      <c r="G2590">
        <f>IF(F2590="",0,IF(TRIM(INDEX(INDIRECT("'Выгрузка'!A2590:Z2590"),Настройки!$B$13)&amp;"")="",1,IFERROR(--SUBSTITUTE(SUBSTITUTE(TRIM(INDEX(INDIRECT("'Выгрузка'!A2590:Z2590"),Настройки!$B$13)),",","."),".",MID(1/2,2,1)),"")))</f>
        <v/>
      </c>
      <c r="H2590">
        <f>IF(F2590="",0,IF(COUNTIF(Настройки!$B$17:$B$26,F2590)&gt;0,1,IF(COUNTIF(Настройки!$C$17:$C$26,F2590)&gt;0,2,IF(COUNTIF(Настройки!$D$17:$D$26,F2590)&gt;0,3,0))))</f>
        <v/>
      </c>
      <c r="I2590">
        <f>IF(AND(ISNUMBER(A2590),ISNUMBER(B2590)),A2590*1000+B2590,"")</f>
        <v/>
      </c>
      <c r="J2590">
        <f>IF(I2590="","",IF(COUNTIF(I$2:I2590,I2590)=1,MAX(J$1:J2589)+1,""))</f>
        <v/>
      </c>
    </row>
    <row r="2591">
      <c r="A2591">
        <f>IFERROR(--SUBSTITUTE(SUBSTITUTE(TRIM(INDEX(INDIRECT("'Выгрузка'!A2591:Z2591"),Настройки!$B$7)),",","."),".",MID(1/2,2,1)),"")</f>
        <v/>
      </c>
      <c r="B2591">
        <f>IFERROR(--SUBSTITUTE(SUBSTITUTE(TRIM(INDEX(INDIRECT("'Выгрузка'!A2591:Z2591"),Настройки!$B$9)),",","."),".",MID(1/2,2,1)),"")</f>
        <v/>
      </c>
      <c r="C2591">
        <f>TRIM(INDEX(INDIRECT("'Выгрузка'!A2591:Z2591"),Настройки!$B$8)&amp;"")</f>
        <v/>
      </c>
      <c r="D2591">
        <f>IFERROR(--SUBSTITUTE(SUBSTITUTE(TRIM(INDEX(INDIRECT("'Выгрузка'!A2591:Z2591"),Настройки!$B$10)),",","."),".",MID(1/2,2,1)),"")</f>
        <v/>
      </c>
      <c r="E2591">
        <f>IFERROR(--SUBSTITUTE(SUBSTITUTE(TRIM(INDEX(INDIRECT("'Выгрузка'!A2591:Z2591"),Настройки!$B$11)),",","."),".",MID(1/2,2,1)),"")</f>
        <v/>
      </c>
      <c r="F2591">
        <f>TRIM(INDEX(INDIRECT("'Выгрузка'!A2591:Z2591"),Настройки!$B$12)&amp;"")</f>
        <v/>
      </c>
      <c r="G2591">
        <f>IF(F2591="",0,IF(TRIM(INDEX(INDIRECT("'Выгрузка'!A2591:Z2591"),Настройки!$B$13)&amp;"")="",1,IFERROR(--SUBSTITUTE(SUBSTITUTE(TRIM(INDEX(INDIRECT("'Выгрузка'!A2591:Z2591"),Настройки!$B$13)),",","."),".",MID(1/2,2,1)),"")))</f>
        <v/>
      </c>
      <c r="H2591">
        <f>IF(F2591="",0,IF(COUNTIF(Настройки!$B$17:$B$26,F2591)&gt;0,1,IF(COUNTIF(Настройки!$C$17:$C$26,F2591)&gt;0,2,IF(COUNTIF(Настройки!$D$17:$D$26,F2591)&gt;0,3,0))))</f>
        <v/>
      </c>
      <c r="I2591">
        <f>IF(AND(ISNUMBER(A2591),ISNUMBER(B2591)),A2591*1000+B2591,"")</f>
        <v/>
      </c>
      <c r="J2591">
        <f>IF(I2591="","",IF(COUNTIF(I$2:I2591,I2591)=1,MAX(J$1:J2590)+1,""))</f>
        <v/>
      </c>
    </row>
    <row r="2592">
      <c r="A2592">
        <f>IFERROR(--SUBSTITUTE(SUBSTITUTE(TRIM(INDEX(INDIRECT("'Выгрузка'!A2592:Z2592"),Настройки!$B$7)),",","."),".",MID(1/2,2,1)),"")</f>
        <v/>
      </c>
      <c r="B2592">
        <f>IFERROR(--SUBSTITUTE(SUBSTITUTE(TRIM(INDEX(INDIRECT("'Выгрузка'!A2592:Z2592"),Настройки!$B$9)),",","."),".",MID(1/2,2,1)),"")</f>
        <v/>
      </c>
      <c r="C2592">
        <f>TRIM(INDEX(INDIRECT("'Выгрузка'!A2592:Z2592"),Настройки!$B$8)&amp;"")</f>
        <v/>
      </c>
      <c r="D2592">
        <f>IFERROR(--SUBSTITUTE(SUBSTITUTE(TRIM(INDEX(INDIRECT("'Выгрузка'!A2592:Z2592"),Настройки!$B$10)),",","."),".",MID(1/2,2,1)),"")</f>
        <v/>
      </c>
      <c r="E2592">
        <f>IFERROR(--SUBSTITUTE(SUBSTITUTE(TRIM(INDEX(INDIRECT("'Выгрузка'!A2592:Z2592"),Настройки!$B$11)),",","."),".",MID(1/2,2,1)),"")</f>
        <v/>
      </c>
      <c r="F2592">
        <f>TRIM(INDEX(INDIRECT("'Выгрузка'!A2592:Z2592"),Настройки!$B$12)&amp;"")</f>
        <v/>
      </c>
      <c r="G2592">
        <f>IF(F2592="",0,IF(TRIM(INDEX(INDIRECT("'Выгрузка'!A2592:Z2592"),Настройки!$B$13)&amp;"")="",1,IFERROR(--SUBSTITUTE(SUBSTITUTE(TRIM(INDEX(INDIRECT("'Выгрузка'!A2592:Z2592"),Настройки!$B$13)),",","."),".",MID(1/2,2,1)),"")))</f>
        <v/>
      </c>
      <c r="H2592">
        <f>IF(F2592="",0,IF(COUNTIF(Настройки!$B$17:$B$26,F2592)&gt;0,1,IF(COUNTIF(Настройки!$C$17:$C$26,F2592)&gt;0,2,IF(COUNTIF(Настройки!$D$17:$D$26,F2592)&gt;0,3,0))))</f>
        <v/>
      </c>
      <c r="I2592">
        <f>IF(AND(ISNUMBER(A2592),ISNUMBER(B2592)),A2592*1000+B2592,"")</f>
        <v/>
      </c>
      <c r="J2592">
        <f>IF(I2592="","",IF(COUNTIF(I$2:I2592,I2592)=1,MAX(J$1:J2591)+1,""))</f>
        <v/>
      </c>
    </row>
    <row r="2593">
      <c r="A2593">
        <f>IFERROR(--SUBSTITUTE(SUBSTITUTE(TRIM(INDEX(INDIRECT("'Выгрузка'!A2593:Z2593"),Настройки!$B$7)),",","."),".",MID(1/2,2,1)),"")</f>
        <v/>
      </c>
      <c r="B2593">
        <f>IFERROR(--SUBSTITUTE(SUBSTITUTE(TRIM(INDEX(INDIRECT("'Выгрузка'!A2593:Z2593"),Настройки!$B$9)),",","."),".",MID(1/2,2,1)),"")</f>
        <v/>
      </c>
      <c r="C2593">
        <f>TRIM(INDEX(INDIRECT("'Выгрузка'!A2593:Z2593"),Настройки!$B$8)&amp;"")</f>
        <v/>
      </c>
      <c r="D2593">
        <f>IFERROR(--SUBSTITUTE(SUBSTITUTE(TRIM(INDEX(INDIRECT("'Выгрузка'!A2593:Z2593"),Настройки!$B$10)),",","."),".",MID(1/2,2,1)),"")</f>
        <v/>
      </c>
      <c r="E2593">
        <f>IFERROR(--SUBSTITUTE(SUBSTITUTE(TRIM(INDEX(INDIRECT("'Выгрузка'!A2593:Z2593"),Настройки!$B$11)),",","."),".",MID(1/2,2,1)),"")</f>
        <v/>
      </c>
      <c r="F2593">
        <f>TRIM(INDEX(INDIRECT("'Выгрузка'!A2593:Z2593"),Настройки!$B$12)&amp;"")</f>
        <v/>
      </c>
      <c r="G2593">
        <f>IF(F2593="",0,IF(TRIM(INDEX(INDIRECT("'Выгрузка'!A2593:Z2593"),Настройки!$B$13)&amp;"")="",1,IFERROR(--SUBSTITUTE(SUBSTITUTE(TRIM(INDEX(INDIRECT("'Выгрузка'!A2593:Z2593"),Настройки!$B$13)),",","."),".",MID(1/2,2,1)),"")))</f>
        <v/>
      </c>
      <c r="H2593">
        <f>IF(F2593="",0,IF(COUNTIF(Настройки!$B$17:$B$26,F2593)&gt;0,1,IF(COUNTIF(Настройки!$C$17:$C$26,F2593)&gt;0,2,IF(COUNTIF(Настройки!$D$17:$D$26,F2593)&gt;0,3,0))))</f>
        <v/>
      </c>
      <c r="I2593">
        <f>IF(AND(ISNUMBER(A2593),ISNUMBER(B2593)),A2593*1000+B2593,"")</f>
        <v/>
      </c>
      <c r="J2593">
        <f>IF(I2593="","",IF(COUNTIF(I$2:I2593,I2593)=1,MAX(J$1:J2592)+1,""))</f>
        <v/>
      </c>
    </row>
    <row r="2594">
      <c r="A2594">
        <f>IFERROR(--SUBSTITUTE(SUBSTITUTE(TRIM(INDEX(INDIRECT("'Выгрузка'!A2594:Z2594"),Настройки!$B$7)),",","."),".",MID(1/2,2,1)),"")</f>
        <v/>
      </c>
      <c r="B2594">
        <f>IFERROR(--SUBSTITUTE(SUBSTITUTE(TRIM(INDEX(INDIRECT("'Выгрузка'!A2594:Z2594"),Настройки!$B$9)),",","."),".",MID(1/2,2,1)),"")</f>
        <v/>
      </c>
      <c r="C2594">
        <f>TRIM(INDEX(INDIRECT("'Выгрузка'!A2594:Z2594"),Настройки!$B$8)&amp;"")</f>
        <v/>
      </c>
      <c r="D2594">
        <f>IFERROR(--SUBSTITUTE(SUBSTITUTE(TRIM(INDEX(INDIRECT("'Выгрузка'!A2594:Z2594"),Настройки!$B$10)),",","."),".",MID(1/2,2,1)),"")</f>
        <v/>
      </c>
      <c r="E2594">
        <f>IFERROR(--SUBSTITUTE(SUBSTITUTE(TRIM(INDEX(INDIRECT("'Выгрузка'!A2594:Z2594"),Настройки!$B$11)),",","."),".",MID(1/2,2,1)),"")</f>
        <v/>
      </c>
      <c r="F2594">
        <f>TRIM(INDEX(INDIRECT("'Выгрузка'!A2594:Z2594"),Настройки!$B$12)&amp;"")</f>
        <v/>
      </c>
      <c r="G2594">
        <f>IF(F2594="",0,IF(TRIM(INDEX(INDIRECT("'Выгрузка'!A2594:Z2594"),Настройки!$B$13)&amp;"")="",1,IFERROR(--SUBSTITUTE(SUBSTITUTE(TRIM(INDEX(INDIRECT("'Выгрузка'!A2594:Z2594"),Настройки!$B$13)),",","."),".",MID(1/2,2,1)),"")))</f>
        <v/>
      </c>
      <c r="H2594">
        <f>IF(F2594="",0,IF(COUNTIF(Настройки!$B$17:$B$26,F2594)&gt;0,1,IF(COUNTIF(Настройки!$C$17:$C$26,F2594)&gt;0,2,IF(COUNTIF(Настройки!$D$17:$D$26,F2594)&gt;0,3,0))))</f>
        <v/>
      </c>
      <c r="I2594">
        <f>IF(AND(ISNUMBER(A2594),ISNUMBER(B2594)),A2594*1000+B2594,"")</f>
        <v/>
      </c>
      <c r="J2594">
        <f>IF(I2594="","",IF(COUNTIF(I$2:I2594,I2594)=1,MAX(J$1:J2593)+1,""))</f>
        <v/>
      </c>
    </row>
    <row r="2595">
      <c r="A2595">
        <f>IFERROR(--SUBSTITUTE(SUBSTITUTE(TRIM(INDEX(INDIRECT("'Выгрузка'!A2595:Z2595"),Настройки!$B$7)),",","."),".",MID(1/2,2,1)),"")</f>
        <v/>
      </c>
      <c r="B2595">
        <f>IFERROR(--SUBSTITUTE(SUBSTITUTE(TRIM(INDEX(INDIRECT("'Выгрузка'!A2595:Z2595"),Настройки!$B$9)),",","."),".",MID(1/2,2,1)),"")</f>
        <v/>
      </c>
      <c r="C2595">
        <f>TRIM(INDEX(INDIRECT("'Выгрузка'!A2595:Z2595"),Настройки!$B$8)&amp;"")</f>
        <v/>
      </c>
      <c r="D2595">
        <f>IFERROR(--SUBSTITUTE(SUBSTITUTE(TRIM(INDEX(INDIRECT("'Выгрузка'!A2595:Z2595"),Настройки!$B$10)),",","."),".",MID(1/2,2,1)),"")</f>
        <v/>
      </c>
      <c r="E2595">
        <f>IFERROR(--SUBSTITUTE(SUBSTITUTE(TRIM(INDEX(INDIRECT("'Выгрузка'!A2595:Z2595"),Настройки!$B$11)),",","."),".",MID(1/2,2,1)),"")</f>
        <v/>
      </c>
      <c r="F2595">
        <f>TRIM(INDEX(INDIRECT("'Выгрузка'!A2595:Z2595"),Настройки!$B$12)&amp;"")</f>
        <v/>
      </c>
      <c r="G2595">
        <f>IF(F2595="",0,IF(TRIM(INDEX(INDIRECT("'Выгрузка'!A2595:Z2595"),Настройки!$B$13)&amp;"")="",1,IFERROR(--SUBSTITUTE(SUBSTITUTE(TRIM(INDEX(INDIRECT("'Выгрузка'!A2595:Z2595"),Настройки!$B$13)),",","."),".",MID(1/2,2,1)),"")))</f>
        <v/>
      </c>
      <c r="H2595">
        <f>IF(F2595="",0,IF(COUNTIF(Настройки!$B$17:$B$26,F2595)&gt;0,1,IF(COUNTIF(Настройки!$C$17:$C$26,F2595)&gt;0,2,IF(COUNTIF(Настройки!$D$17:$D$26,F2595)&gt;0,3,0))))</f>
        <v/>
      </c>
      <c r="I2595">
        <f>IF(AND(ISNUMBER(A2595),ISNUMBER(B2595)),A2595*1000+B2595,"")</f>
        <v/>
      </c>
      <c r="J2595">
        <f>IF(I2595="","",IF(COUNTIF(I$2:I2595,I2595)=1,MAX(J$1:J2594)+1,""))</f>
        <v/>
      </c>
    </row>
    <row r="2596">
      <c r="A2596">
        <f>IFERROR(--SUBSTITUTE(SUBSTITUTE(TRIM(INDEX(INDIRECT("'Выгрузка'!A2596:Z2596"),Настройки!$B$7)),",","."),".",MID(1/2,2,1)),"")</f>
        <v/>
      </c>
      <c r="B2596">
        <f>IFERROR(--SUBSTITUTE(SUBSTITUTE(TRIM(INDEX(INDIRECT("'Выгрузка'!A2596:Z2596"),Настройки!$B$9)),",","."),".",MID(1/2,2,1)),"")</f>
        <v/>
      </c>
      <c r="C2596">
        <f>TRIM(INDEX(INDIRECT("'Выгрузка'!A2596:Z2596"),Настройки!$B$8)&amp;"")</f>
        <v/>
      </c>
      <c r="D2596">
        <f>IFERROR(--SUBSTITUTE(SUBSTITUTE(TRIM(INDEX(INDIRECT("'Выгрузка'!A2596:Z2596"),Настройки!$B$10)),",","."),".",MID(1/2,2,1)),"")</f>
        <v/>
      </c>
      <c r="E2596">
        <f>IFERROR(--SUBSTITUTE(SUBSTITUTE(TRIM(INDEX(INDIRECT("'Выгрузка'!A2596:Z2596"),Настройки!$B$11)),",","."),".",MID(1/2,2,1)),"")</f>
        <v/>
      </c>
      <c r="F2596">
        <f>TRIM(INDEX(INDIRECT("'Выгрузка'!A2596:Z2596"),Настройки!$B$12)&amp;"")</f>
        <v/>
      </c>
      <c r="G2596">
        <f>IF(F2596="",0,IF(TRIM(INDEX(INDIRECT("'Выгрузка'!A2596:Z2596"),Настройки!$B$13)&amp;"")="",1,IFERROR(--SUBSTITUTE(SUBSTITUTE(TRIM(INDEX(INDIRECT("'Выгрузка'!A2596:Z2596"),Настройки!$B$13)),",","."),".",MID(1/2,2,1)),"")))</f>
        <v/>
      </c>
      <c r="H2596">
        <f>IF(F2596="",0,IF(COUNTIF(Настройки!$B$17:$B$26,F2596)&gt;0,1,IF(COUNTIF(Настройки!$C$17:$C$26,F2596)&gt;0,2,IF(COUNTIF(Настройки!$D$17:$D$26,F2596)&gt;0,3,0))))</f>
        <v/>
      </c>
      <c r="I2596">
        <f>IF(AND(ISNUMBER(A2596),ISNUMBER(B2596)),A2596*1000+B2596,"")</f>
        <v/>
      </c>
      <c r="J2596">
        <f>IF(I2596="","",IF(COUNTIF(I$2:I2596,I2596)=1,MAX(J$1:J2595)+1,""))</f>
        <v/>
      </c>
    </row>
    <row r="2597">
      <c r="A2597">
        <f>IFERROR(--SUBSTITUTE(SUBSTITUTE(TRIM(INDEX(INDIRECT("'Выгрузка'!A2597:Z2597"),Настройки!$B$7)),",","."),".",MID(1/2,2,1)),"")</f>
        <v/>
      </c>
      <c r="B2597">
        <f>IFERROR(--SUBSTITUTE(SUBSTITUTE(TRIM(INDEX(INDIRECT("'Выгрузка'!A2597:Z2597"),Настройки!$B$9)),",","."),".",MID(1/2,2,1)),"")</f>
        <v/>
      </c>
      <c r="C2597">
        <f>TRIM(INDEX(INDIRECT("'Выгрузка'!A2597:Z2597"),Настройки!$B$8)&amp;"")</f>
        <v/>
      </c>
      <c r="D2597">
        <f>IFERROR(--SUBSTITUTE(SUBSTITUTE(TRIM(INDEX(INDIRECT("'Выгрузка'!A2597:Z2597"),Настройки!$B$10)),",","."),".",MID(1/2,2,1)),"")</f>
        <v/>
      </c>
      <c r="E2597">
        <f>IFERROR(--SUBSTITUTE(SUBSTITUTE(TRIM(INDEX(INDIRECT("'Выгрузка'!A2597:Z2597"),Настройки!$B$11)),",","."),".",MID(1/2,2,1)),"")</f>
        <v/>
      </c>
      <c r="F2597">
        <f>TRIM(INDEX(INDIRECT("'Выгрузка'!A2597:Z2597"),Настройки!$B$12)&amp;"")</f>
        <v/>
      </c>
      <c r="G2597">
        <f>IF(F2597="",0,IF(TRIM(INDEX(INDIRECT("'Выгрузка'!A2597:Z2597"),Настройки!$B$13)&amp;"")="",1,IFERROR(--SUBSTITUTE(SUBSTITUTE(TRIM(INDEX(INDIRECT("'Выгрузка'!A2597:Z2597"),Настройки!$B$13)),",","."),".",MID(1/2,2,1)),"")))</f>
        <v/>
      </c>
      <c r="H2597">
        <f>IF(F2597="",0,IF(COUNTIF(Настройки!$B$17:$B$26,F2597)&gt;0,1,IF(COUNTIF(Настройки!$C$17:$C$26,F2597)&gt;0,2,IF(COUNTIF(Настройки!$D$17:$D$26,F2597)&gt;0,3,0))))</f>
        <v/>
      </c>
      <c r="I2597">
        <f>IF(AND(ISNUMBER(A2597),ISNUMBER(B2597)),A2597*1000+B2597,"")</f>
        <v/>
      </c>
      <c r="J2597">
        <f>IF(I2597="","",IF(COUNTIF(I$2:I2597,I2597)=1,MAX(J$1:J2596)+1,""))</f>
        <v/>
      </c>
    </row>
    <row r="2598">
      <c r="A2598">
        <f>IFERROR(--SUBSTITUTE(SUBSTITUTE(TRIM(INDEX(INDIRECT("'Выгрузка'!A2598:Z2598"),Настройки!$B$7)),",","."),".",MID(1/2,2,1)),"")</f>
        <v/>
      </c>
      <c r="B2598">
        <f>IFERROR(--SUBSTITUTE(SUBSTITUTE(TRIM(INDEX(INDIRECT("'Выгрузка'!A2598:Z2598"),Настройки!$B$9)),",","."),".",MID(1/2,2,1)),"")</f>
        <v/>
      </c>
      <c r="C2598">
        <f>TRIM(INDEX(INDIRECT("'Выгрузка'!A2598:Z2598"),Настройки!$B$8)&amp;"")</f>
        <v/>
      </c>
      <c r="D2598">
        <f>IFERROR(--SUBSTITUTE(SUBSTITUTE(TRIM(INDEX(INDIRECT("'Выгрузка'!A2598:Z2598"),Настройки!$B$10)),",","."),".",MID(1/2,2,1)),"")</f>
        <v/>
      </c>
      <c r="E2598">
        <f>IFERROR(--SUBSTITUTE(SUBSTITUTE(TRIM(INDEX(INDIRECT("'Выгрузка'!A2598:Z2598"),Настройки!$B$11)),",","."),".",MID(1/2,2,1)),"")</f>
        <v/>
      </c>
      <c r="F2598">
        <f>TRIM(INDEX(INDIRECT("'Выгрузка'!A2598:Z2598"),Настройки!$B$12)&amp;"")</f>
        <v/>
      </c>
      <c r="G2598">
        <f>IF(F2598="",0,IF(TRIM(INDEX(INDIRECT("'Выгрузка'!A2598:Z2598"),Настройки!$B$13)&amp;"")="",1,IFERROR(--SUBSTITUTE(SUBSTITUTE(TRIM(INDEX(INDIRECT("'Выгрузка'!A2598:Z2598"),Настройки!$B$13)),",","."),".",MID(1/2,2,1)),"")))</f>
        <v/>
      </c>
      <c r="H2598">
        <f>IF(F2598="",0,IF(COUNTIF(Настройки!$B$17:$B$26,F2598)&gt;0,1,IF(COUNTIF(Настройки!$C$17:$C$26,F2598)&gt;0,2,IF(COUNTIF(Настройки!$D$17:$D$26,F2598)&gt;0,3,0))))</f>
        <v/>
      </c>
      <c r="I2598">
        <f>IF(AND(ISNUMBER(A2598),ISNUMBER(B2598)),A2598*1000+B2598,"")</f>
        <v/>
      </c>
      <c r="J2598">
        <f>IF(I2598="","",IF(COUNTIF(I$2:I2598,I2598)=1,MAX(J$1:J2597)+1,""))</f>
        <v/>
      </c>
    </row>
    <row r="2599">
      <c r="A2599">
        <f>IFERROR(--SUBSTITUTE(SUBSTITUTE(TRIM(INDEX(INDIRECT("'Выгрузка'!A2599:Z2599"),Настройки!$B$7)),",","."),".",MID(1/2,2,1)),"")</f>
        <v/>
      </c>
      <c r="B2599">
        <f>IFERROR(--SUBSTITUTE(SUBSTITUTE(TRIM(INDEX(INDIRECT("'Выгрузка'!A2599:Z2599"),Настройки!$B$9)),",","."),".",MID(1/2,2,1)),"")</f>
        <v/>
      </c>
      <c r="C2599">
        <f>TRIM(INDEX(INDIRECT("'Выгрузка'!A2599:Z2599"),Настройки!$B$8)&amp;"")</f>
        <v/>
      </c>
      <c r="D2599">
        <f>IFERROR(--SUBSTITUTE(SUBSTITUTE(TRIM(INDEX(INDIRECT("'Выгрузка'!A2599:Z2599"),Настройки!$B$10)),",","."),".",MID(1/2,2,1)),"")</f>
        <v/>
      </c>
      <c r="E2599">
        <f>IFERROR(--SUBSTITUTE(SUBSTITUTE(TRIM(INDEX(INDIRECT("'Выгрузка'!A2599:Z2599"),Настройки!$B$11)),",","."),".",MID(1/2,2,1)),"")</f>
        <v/>
      </c>
      <c r="F2599">
        <f>TRIM(INDEX(INDIRECT("'Выгрузка'!A2599:Z2599"),Настройки!$B$12)&amp;"")</f>
        <v/>
      </c>
      <c r="G2599">
        <f>IF(F2599="",0,IF(TRIM(INDEX(INDIRECT("'Выгрузка'!A2599:Z2599"),Настройки!$B$13)&amp;"")="",1,IFERROR(--SUBSTITUTE(SUBSTITUTE(TRIM(INDEX(INDIRECT("'Выгрузка'!A2599:Z2599"),Настройки!$B$13)),",","."),".",MID(1/2,2,1)),"")))</f>
        <v/>
      </c>
      <c r="H2599">
        <f>IF(F2599="",0,IF(COUNTIF(Настройки!$B$17:$B$26,F2599)&gt;0,1,IF(COUNTIF(Настройки!$C$17:$C$26,F2599)&gt;0,2,IF(COUNTIF(Настройки!$D$17:$D$26,F2599)&gt;0,3,0))))</f>
        <v/>
      </c>
      <c r="I2599">
        <f>IF(AND(ISNUMBER(A2599),ISNUMBER(B2599)),A2599*1000+B2599,"")</f>
        <v/>
      </c>
      <c r="J2599">
        <f>IF(I2599="","",IF(COUNTIF(I$2:I2599,I2599)=1,MAX(J$1:J2598)+1,""))</f>
        <v/>
      </c>
    </row>
    <row r="2600">
      <c r="A2600">
        <f>IFERROR(--SUBSTITUTE(SUBSTITUTE(TRIM(INDEX(INDIRECT("'Выгрузка'!A2600:Z2600"),Настройки!$B$7)),",","."),".",MID(1/2,2,1)),"")</f>
        <v/>
      </c>
      <c r="B2600">
        <f>IFERROR(--SUBSTITUTE(SUBSTITUTE(TRIM(INDEX(INDIRECT("'Выгрузка'!A2600:Z2600"),Настройки!$B$9)),",","."),".",MID(1/2,2,1)),"")</f>
        <v/>
      </c>
      <c r="C2600">
        <f>TRIM(INDEX(INDIRECT("'Выгрузка'!A2600:Z2600"),Настройки!$B$8)&amp;"")</f>
        <v/>
      </c>
      <c r="D2600">
        <f>IFERROR(--SUBSTITUTE(SUBSTITUTE(TRIM(INDEX(INDIRECT("'Выгрузка'!A2600:Z2600"),Настройки!$B$10)),",","."),".",MID(1/2,2,1)),"")</f>
        <v/>
      </c>
      <c r="E2600">
        <f>IFERROR(--SUBSTITUTE(SUBSTITUTE(TRIM(INDEX(INDIRECT("'Выгрузка'!A2600:Z2600"),Настройки!$B$11)),",","."),".",MID(1/2,2,1)),"")</f>
        <v/>
      </c>
      <c r="F2600">
        <f>TRIM(INDEX(INDIRECT("'Выгрузка'!A2600:Z2600"),Настройки!$B$12)&amp;"")</f>
        <v/>
      </c>
      <c r="G2600">
        <f>IF(F2600="",0,IF(TRIM(INDEX(INDIRECT("'Выгрузка'!A2600:Z2600"),Настройки!$B$13)&amp;"")="",1,IFERROR(--SUBSTITUTE(SUBSTITUTE(TRIM(INDEX(INDIRECT("'Выгрузка'!A2600:Z2600"),Настройки!$B$13)),",","."),".",MID(1/2,2,1)),"")))</f>
        <v/>
      </c>
      <c r="H2600">
        <f>IF(F2600="",0,IF(COUNTIF(Настройки!$B$17:$B$26,F2600)&gt;0,1,IF(COUNTIF(Настройки!$C$17:$C$26,F2600)&gt;0,2,IF(COUNTIF(Настройки!$D$17:$D$26,F2600)&gt;0,3,0))))</f>
        <v/>
      </c>
      <c r="I2600">
        <f>IF(AND(ISNUMBER(A2600),ISNUMBER(B2600)),A2600*1000+B2600,"")</f>
        <v/>
      </c>
      <c r="J2600">
        <f>IF(I2600="","",IF(COUNTIF(I$2:I2600,I2600)=1,MAX(J$1:J2599)+1,""))</f>
        <v/>
      </c>
    </row>
    <row r="2601">
      <c r="A2601">
        <f>IFERROR(--SUBSTITUTE(SUBSTITUTE(TRIM(INDEX(INDIRECT("'Выгрузка'!A2601:Z2601"),Настройки!$B$7)),",","."),".",MID(1/2,2,1)),"")</f>
        <v/>
      </c>
      <c r="B2601">
        <f>IFERROR(--SUBSTITUTE(SUBSTITUTE(TRIM(INDEX(INDIRECT("'Выгрузка'!A2601:Z2601"),Настройки!$B$9)),",","."),".",MID(1/2,2,1)),"")</f>
        <v/>
      </c>
      <c r="C2601">
        <f>TRIM(INDEX(INDIRECT("'Выгрузка'!A2601:Z2601"),Настройки!$B$8)&amp;"")</f>
        <v/>
      </c>
      <c r="D2601">
        <f>IFERROR(--SUBSTITUTE(SUBSTITUTE(TRIM(INDEX(INDIRECT("'Выгрузка'!A2601:Z2601"),Настройки!$B$10)),",","."),".",MID(1/2,2,1)),"")</f>
        <v/>
      </c>
      <c r="E2601">
        <f>IFERROR(--SUBSTITUTE(SUBSTITUTE(TRIM(INDEX(INDIRECT("'Выгрузка'!A2601:Z2601"),Настройки!$B$11)),",","."),".",MID(1/2,2,1)),"")</f>
        <v/>
      </c>
      <c r="F2601">
        <f>TRIM(INDEX(INDIRECT("'Выгрузка'!A2601:Z2601"),Настройки!$B$12)&amp;"")</f>
        <v/>
      </c>
      <c r="G2601">
        <f>IF(F2601="",0,IF(TRIM(INDEX(INDIRECT("'Выгрузка'!A2601:Z2601"),Настройки!$B$13)&amp;"")="",1,IFERROR(--SUBSTITUTE(SUBSTITUTE(TRIM(INDEX(INDIRECT("'Выгрузка'!A2601:Z2601"),Настройки!$B$13)),",","."),".",MID(1/2,2,1)),"")))</f>
        <v/>
      </c>
      <c r="H2601">
        <f>IF(F2601="",0,IF(COUNTIF(Настройки!$B$17:$B$26,F2601)&gt;0,1,IF(COUNTIF(Настройки!$C$17:$C$26,F2601)&gt;0,2,IF(COUNTIF(Настройки!$D$17:$D$26,F2601)&gt;0,3,0))))</f>
        <v/>
      </c>
      <c r="I2601">
        <f>IF(AND(ISNUMBER(A2601),ISNUMBER(B2601)),A2601*1000+B2601,"")</f>
        <v/>
      </c>
      <c r="J2601">
        <f>IF(I2601="","",IF(COUNTIF(I$2:I2601,I2601)=1,MAX(J$1:J2600)+1,""))</f>
        <v/>
      </c>
    </row>
    <row r="2602">
      <c r="A2602">
        <f>IFERROR(--SUBSTITUTE(SUBSTITUTE(TRIM(INDEX(INDIRECT("'Выгрузка'!A2602:Z2602"),Настройки!$B$7)),",","."),".",MID(1/2,2,1)),"")</f>
        <v/>
      </c>
      <c r="B2602">
        <f>IFERROR(--SUBSTITUTE(SUBSTITUTE(TRIM(INDEX(INDIRECT("'Выгрузка'!A2602:Z2602"),Настройки!$B$9)),",","."),".",MID(1/2,2,1)),"")</f>
        <v/>
      </c>
      <c r="C2602">
        <f>TRIM(INDEX(INDIRECT("'Выгрузка'!A2602:Z2602"),Настройки!$B$8)&amp;"")</f>
        <v/>
      </c>
      <c r="D2602">
        <f>IFERROR(--SUBSTITUTE(SUBSTITUTE(TRIM(INDEX(INDIRECT("'Выгрузка'!A2602:Z2602"),Настройки!$B$10)),",","."),".",MID(1/2,2,1)),"")</f>
        <v/>
      </c>
      <c r="E2602">
        <f>IFERROR(--SUBSTITUTE(SUBSTITUTE(TRIM(INDEX(INDIRECT("'Выгрузка'!A2602:Z2602"),Настройки!$B$11)),",","."),".",MID(1/2,2,1)),"")</f>
        <v/>
      </c>
      <c r="F2602">
        <f>TRIM(INDEX(INDIRECT("'Выгрузка'!A2602:Z2602"),Настройки!$B$12)&amp;"")</f>
        <v/>
      </c>
      <c r="G2602">
        <f>IF(F2602="",0,IF(TRIM(INDEX(INDIRECT("'Выгрузка'!A2602:Z2602"),Настройки!$B$13)&amp;"")="",1,IFERROR(--SUBSTITUTE(SUBSTITUTE(TRIM(INDEX(INDIRECT("'Выгрузка'!A2602:Z2602"),Настройки!$B$13)),",","."),".",MID(1/2,2,1)),"")))</f>
        <v/>
      </c>
      <c r="H2602">
        <f>IF(F2602="",0,IF(COUNTIF(Настройки!$B$17:$B$26,F2602)&gt;0,1,IF(COUNTIF(Настройки!$C$17:$C$26,F2602)&gt;0,2,IF(COUNTIF(Настройки!$D$17:$D$26,F2602)&gt;0,3,0))))</f>
        <v/>
      </c>
      <c r="I2602">
        <f>IF(AND(ISNUMBER(A2602),ISNUMBER(B2602)),A2602*1000+B2602,"")</f>
        <v/>
      </c>
      <c r="J2602">
        <f>IF(I2602="","",IF(COUNTIF(I$2:I2602,I2602)=1,MAX(J$1:J2601)+1,""))</f>
        <v/>
      </c>
    </row>
    <row r="2603">
      <c r="A2603">
        <f>IFERROR(--SUBSTITUTE(SUBSTITUTE(TRIM(INDEX(INDIRECT("'Выгрузка'!A2603:Z2603"),Настройки!$B$7)),",","."),".",MID(1/2,2,1)),"")</f>
        <v/>
      </c>
      <c r="B2603">
        <f>IFERROR(--SUBSTITUTE(SUBSTITUTE(TRIM(INDEX(INDIRECT("'Выгрузка'!A2603:Z2603"),Настройки!$B$9)),",","."),".",MID(1/2,2,1)),"")</f>
        <v/>
      </c>
      <c r="C2603">
        <f>TRIM(INDEX(INDIRECT("'Выгрузка'!A2603:Z2603"),Настройки!$B$8)&amp;"")</f>
        <v/>
      </c>
      <c r="D2603">
        <f>IFERROR(--SUBSTITUTE(SUBSTITUTE(TRIM(INDEX(INDIRECT("'Выгрузка'!A2603:Z2603"),Настройки!$B$10)),",","."),".",MID(1/2,2,1)),"")</f>
        <v/>
      </c>
      <c r="E2603">
        <f>IFERROR(--SUBSTITUTE(SUBSTITUTE(TRIM(INDEX(INDIRECT("'Выгрузка'!A2603:Z2603"),Настройки!$B$11)),",","."),".",MID(1/2,2,1)),"")</f>
        <v/>
      </c>
      <c r="F2603">
        <f>TRIM(INDEX(INDIRECT("'Выгрузка'!A2603:Z2603"),Настройки!$B$12)&amp;"")</f>
        <v/>
      </c>
      <c r="G2603">
        <f>IF(F2603="",0,IF(TRIM(INDEX(INDIRECT("'Выгрузка'!A2603:Z2603"),Настройки!$B$13)&amp;"")="",1,IFERROR(--SUBSTITUTE(SUBSTITUTE(TRIM(INDEX(INDIRECT("'Выгрузка'!A2603:Z2603"),Настройки!$B$13)),",","."),".",MID(1/2,2,1)),"")))</f>
        <v/>
      </c>
      <c r="H2603">
        <f>IF(F2603="",0,IF(COUNTIF(Настройки!$B$17:$B$26,F2603)&gt;0,1,IF(COUNTIF(Настройки!$C$17:$C$26,F2603)&gt;0,2,IF(COUNTIF(Настройки!$D$17:$D$26,F2603)&gt;0,3,0))))</f>
        <v/>
      </c>
      <c r="I2603">
        <f>IF(AND(ISNUMBER(A2603),ISNUMBER(B2603)),A2603*1000+B2603,"")</f>
        <v/>
      </c>
      <c r="J2603">
        <f>IF(I2603="","",IF(COUNTIF(I$2:I2603,I2603)=1,MAX(J$1:J2602)+1,""))</f>
        <v/>
      </c>
    </row>
    <row r="2604">
      <c r="A2604">
        <f>IFERROR(--SUBSTITUTE(SUBSTITUTE(TRIM(INDEX(INDIRECT("'Выгрузка'!A2604:Z2604"),Настройки!$B$7)),",","."),".",MID(1/2,2,1)),"")</f>
        <v/>
      </c>
      <c r="B2604">
        <f>IFERROR(--SUBSTITUTE(SUBSTITUTE(TRIM(INDEX(INDIRECT("'Выгрузка'!A2604:Z2604"),Настройки!$B$9)),",","."),".",MID(1/2,2,1)),"")</f>
        <v/>
      </c>
      <c r="C2604">
        <f>TRIM(INDEX(INDIRECT("'Выгрузка'!A2604:Z2604"),Настройки!$B$8)&amp;"")</f>
        <v/>
      </c>
      <c r="D2604">
        <f>IFERROR(--SUBSTITUTE(SUBSTITUTE(TRIM(INDEX(INDIRECT("'Выгрузка'!A2604:Z2604"),Настройки!$B$10)),",","."),".",MID(1/2,2,1)),"")</f>
        <v/>
      </c>
      <c r="E2604">
        <f>IFERROR(--SUBSTITUTE(SUBSTITUTE(TRIM(INDEX(INDIRECT("'Выгрузка'!A2604:Z2604"),Настройки!$B$11)),",","."),".",MID(1/2,2,1)),"")</f>
        <v/>
      </c>
      <c r="F2604">
        <f>TRIM(INDEX(INDIRECT("'Выгрузка'!A2604:Z2604"),Настройки!$B$12)&amp;"")</f>
        <v/>
      </c>
      <c r="G2604">
        <f>IF(F2604="",0,IF(TRIM(INDEX(INDIRECT("'Выгрузка'!A2604:Z2604"),Настройки!$B$13)&amp;"")="",1,IFERROR(--SUBSTITUTE(SUBSTITUTE(TRIM(INDEX(INDIRECT("'Выгрузка'!A2604:Z2604"),Настройки!$B$13)),",","."),".",MID(1/2,2,1)),"")))</f>
        <v/>
      </c>
      <c r="H2604">
        <f>IF(F2604="",0,IF(COUNTIF(Настройки!$B$17:$B$26,F2604)&gt;0,1,IF(COUNTIF(Настройки!$C$17:$C$26,F2604)&gt;0,2,IF(COUNTIF(Настройки!$D$17:$D$26,F2604)&gt;0,3,0))))</f>
        <v/>
      </c>
      <c r="I2604">
        <f>IF(AND(ISNUMBER(A2604),ISNUMBER(B2604)),A2604*1000+B2604,"")</f>
        <v/>
      </c>
      <c r="J2604">
        <f>IF(I2604="","",IF(COUNTIF(I$2:I2604,I2604)=1,MAX(J$1:J2603)+1,""))</f>
        <v/>
      </c>
    </row>
    <row r="2605">
      <c r="A2605">
        <f>IFERROR(--SUBSTITUTE(SUBSTITUTE(TRIM(INDEX(INDIRECT("'Выгрузка'!A2605:Z2605"),Настройки!$B$7)),",","."),".",MID(1/2,2,1)),"")</f>
        <v/>
      </c>
      <c r="B2605">
        <f>IFERROR(--SUBSTITUTE(SUBSTITUTE(TRIM(INDEX(INDIRECT("'Выгрузка'!A2605:Z2605"),Настройки!$B$9)),",","."),".",MID(1/2,2,1)),"")</f>
        <v/>
      </c>
      <c r="C2605">
        <f>TRIM(INDEX(INDIRECT("'Выгрузка'!A2605:Z2605"),Настройки!$B$8)&amp;"")</f>
        <v/>
      </c>
      <c r="D2605">
        <f>IFERROR(--SUBSTITUTE(SUBSTITUTE(TRIM(INDEX(INDIRECT("'Выгрузка'!A2605:Z2605"),Настройки!$B$10)),",","."),".",MID(1/2,2,1)),"")</f>
        <v/>
      </c>
      <c r="E2605">
        <f>IFERROR(--SUBSTITUTE(SUBSTITUTE(TRIM(INDEX(INDIRECT("'Выгрузка'!A2605:Z2605"),Настройки!$B$11)),",","."),".",MID(1/2,2,1)),"")</f>
        <v/>
      </c>
      <c r="F2605">
        <f>TRIM(INDEX(INDIRECT("'Выгрузка'!A2605:Z2605"),Настройки!$B$12)&amp;"")</f>
        <v/>
      </c>
      <c r="G2605">
        <f>IF(F2605="",0,IF(TRIM(INDEX(INDIRECT("'Выгрузка'!A2605:Z2605"),Настройки!$B$13)&amp;"")="",1,IFERROR(--SUBSTITUTE(SUBSTITUTE(TRIM(INDEX(INDIRECT("'Выгрузка'!A2605:Z2605"),Настройки!$B$13)),",","."),".",MID(1/2,2,1)),"")))</f>
        <v/>
      </c>
      <c r="H2605">
        <f>IF(F2605="",0,IF(COUNTIF(Настройки!$B$17:$B$26,F2605)&gt;0,1,IF(COUNTIF(Настройки!$C$17:$C$26,F2605)&gt;0,2,IF(COUNTIF(Настройки!$D$17:$D$26,F2605)&gt;0,3,0))))</f>
        <v/>
      </c>
      <c r="I2605">
        <f>IF(AND(ISNUMBER(A2605),ISNUMBER(B2605)),A2605*1000+B2605,"")</f>
        <v/>
      </c>
      <c r="J2605">
        <f>IF(I2605="","",IF(COUNTIF(I$2:I2605,I2605)=1,MAX(J$1:J2604)+1,""))</f>
        <v/>
      </c>
    </row>
    <row r="2606">
      <c r="A2606">
        <f>IFERROR(--SUBSTITUTE(SUBSTITUTE(TRIM(INDEX(INDIRECT("'Выгрузка'!A2606:Z2606"),Настройки!$B$7)),",","."),".",MID(1/2,2,1)),"")</f>
        <v/>
      </c>
      <c r="B2606">
        <f>IFERROR(--SUBSTITUTE(SUBSTITUTE(TRIM(INDEX(INDIRECT("'Выгрузка'!A2606:Z2606"),Настройки!$B$9)),",","."),".",MID(1/2,2,1)),"")</f>
        <v/>
      </c>
      <c r="C2606">
        <f>TRIM(INDEX(INDIRECT("'Выгрузка'!A2606:Z2606"),Настройки!$B$8)&amp;"")</f>
        <v/>
      </c>
      <c r="D2606">
        <f>IFERROR(--SUBSTITUTE(SUBSTITUTE(TRIM(INDEX(INDIRECT("'Выгрузка'!A2606:Z2606"),Настройки!$B$10)),",","."),".",MID(1/2,2,1)),"")</f>
        <v/>
      </c>
      <c r="E2606">
        <f>IFERROR(--SUBSTITUTE(SUBSTITUTE(TRIM(INDEX(INDIRECT("'Выгрузка'!A2606:Z2606"),Настройки!$B$11)),",","."),".",MID(1/2,2,1)),"")</f>
        <v/>
      </c>
      <c r="F2606">
        <f>TRIM(INDEX(INDIRECT("'Выгрузка'!A2606:Z2606"),Настройки!$B$12)&amp;"")</f>
        <v/>
      </c>
      <c r="G2606">
        <f>IF(F2606="",0,IF(TRIM(INDEX(INDIRECT("'Выгрузка'!A2606:Z2606"),Настройки!$B$13)&amp;"")="",1,IFERROR(--SUBSTITUTE(SUBSTITUTE(TRIM(INDEX(INDIRECT("'Выгрузка'!A2606:Z2606"),Настройки!$B$13)),",","."),".",MID(1/2,2,1)),"")))</f>
        <v/>
      </c>
      <c r="H2606">
        <f>IF(F2606="",0,IF(COUNTIF(Настройки!$B$17:$B$26,F2606)&gt;0,1,IF(COUNTIF(Настройки!$C$17:$C$26,F2606)&gt;0,2,IF(COUNTIF(Настройки!$D$17:$D$26,F2606)&gt;0,3,0))))</f>
        <v/>
      </c>
      <c r="I2606">
        <f>IF(AND(ISNUMBER(A2606),ISNUMBER(B2606)),A2606*1000+B2606,"")</f>
        <v/>
      </c>
      <c r="J2606">
        <f>IF(I2606="","",IF(COUNTIF(I$2:I2606,I2606)=1,MAX(J$1:J2605)+1,""))</f>
        <v/>
      </c>
    </row>
    <row r="2607">
      <c r="A2607">
        <f>IFERROR(--SUBSTITUTE(SUBSTITUTE(TRIM(INDEX(INDIRECT("'Выгрузка'!A2607:Z2607"),Настройки!$B$7)),",","."),".",MID(1/2,2,1)),"")</f>
        <v/>
      </c>
      <c r="B2607">
        <f>IFERROR(--SUBSTITUTE(SUBSTITUTE(TRIM(INDEX(INDIRECT("'Выгрузка'!A2607:Z2607"),Настройки!$B$9)),",","."),".",MID(1/2,2,1)),"")</f>
        <v/>
      </c>
      <c r="C2607">
        <f>TRIM(INDEX(INDIRECT("'Выгрузка'!A2607:Z2607"),Настройки!$B$8)&amp;"")</f>
        <v/>
      </c>
      <c r="D2607">
        <f>IFERROR(--SUBSTITUTE(SUBSTITUTE(TRIM(INDEX(INDIRECT("'Выгрузка'!A2607:Z2607"),Настройки!$B$10)),",","."),".",MID(1/2,2,1)),"")</f>
        <v/>
      </c>
      <c r="E2607">
        <f>IFERROR(--SUBSTITUTE(SUBSTITUTE(TRIM(INDEX(INDIRECT("'Выгрузка'!A2607:Z2607"),Настройки!$B$11)),",","."),".",MID(1/2,2,1)),"")</f>
        <v/>
      </c>
      <c r="F2607">
        <f>TRIM(INDEX(INDIRECT("'Выгрузка'!A2607:Z2607"),Настройки!$B$12)&amp;"")</f>
        <v/>
      </c>
      <c r="G2607">
        <f>IF(F2607="",0,IF(TRIM(INDEX(INDIRECT("'Выгрузка'!A2607:Z2607"),Настройки!$B$13)&amp;"")="",1,IFERROR(--SUBSTITUTE(SUBSTITUTE(TRIM(INDEX(INDIRECT("'Выгрузка'!A2607:Z2607"),Настройки!$B$13)),",","."),".",MID(1/2,2,1)),"")))</f>
        <v/>
      </c>
      <c r="H2607">
        <f>IF(F2607="",0,IF(COUNTIF(Настройки!$B$17:$B$26,F2607)&gt;0,1,IF(COUNTIF(Настройки!$C$17:$C$26,F2607)&gt;0,2,IF(COUNTIF(Настройки!$D$17:$D$26,F2607)&gt;0,3,0))))</f>
        <v/>
      </c>
      <c r="I2607">
        <f>IF(AND(ISNUMBER(A2607),ISNUMBER(B2607)),A2607*1000+B2607,"")</f>
        <v/>
      </c>
      <c r="J2607">
        <f>IF(I2607="","",IF(COUNTIF(I$2:I2607,I2607)=1,MAX(J$1:J2606)+1,""))</f>
        <v/>
      </c>
    </row>
    <row r="2608">
      <c r="A2608">
        <f>IFERROR(--SUBSTITUTE(SUBSTITUTE(TRIM(INDEX(INDIRECT("'Выгрузка'!A2608:Z2608"),Настройки!$B$7)),",","."),".",MID(1/2,2,1)),"")</f>
        <v/>
      </c>
      <c r="B2608">
        <f>IFERROR(--SUBSTITUTE(SUBSTITUTE(TRIM(INDEX(INDIRECT("'Выгрузка'!A2608:Z2608"),Настройки!$B$9)),",","."),".",MID(1/2,2,1)),"")</f>
        <v/>
      </c>
      <c r="C2608">
        <f>TRIM(INDEX(INDIRECT("'Выгрузка'!A2608:Z2608"),Настройки!$B$8)&amp;"")</f>
        <v/>
      </c>
      <c r="D2608">
        <f>IFERROR(--SUBSTITUTE(SUBSTITUTE(TRIM(INDEX(INDIRECT("'Выгрузка'!A2608:Z2608"),Настройки!$B$10)),",","."),".",MID(1/2,2,1)),"")</f>
        <v/>
      </c>
      <c r="E2608">
        <f>IFERROR(--SUBSTITUTE(SUBSTITUTE(TRIM(INDEX(INDIRECT("'Выгрузка'!A2608:Z2608"),Настройки!$B$11)),",","."),".",MID(1/2,2,1)),"")</f>
        <v/>
      </c>
      <c r="F2608">
        <f>TRIM(INDEX(INDIRECT("'Выгрузка'!A2608:Z2608"),Настройки!$B$12)&amp;"")</f>
        <v/>
      </c>
      <c r="G2608">
        <f>IF(F2608="",0,IF(TRIM(INDEX(INDIRECT("'Выгрузка'!A2608:Z2608"),Настройки!$B$13)&amp;"")="",1,IFERROR(--SUBSTITUTE(SUBSTITUTE(TRIM(INDEX(INDIRECT("'Выгрузка'!A2608:Z2608"),Настройки!$B$13)),",","."),".",MID(1/2,2,1)),"")))</f>
        <v/>
      </c>
      <c r="H2608">
        <f>IF(F2608="",0,IF(COUNTIF(Настройки!$B$17:$B$26,F2608)&gt;0,1,IF(COUNTIF(Настройки!$C$17:$C$26,F2608)&gt;0,2,IF(COUNTIF(Настройки!$D$17:$D$26,F2608)&gt;0,3,0))))</f>
        <v/>
      </c>
      <c r="I2608">
        <f>IF(AND(ISNUMBER(A2608),ISNUMBER(B2608)),A2608*1000+B2608,"")</f>
        <v/>
      </c>
      <c r="J2608">
        <f>IF(I2608="","",IF(COUNTIF(I$2:I2608,I2608)=1,MAX(J$1:J2607)+1,""))</f>
        <v/>
      </c>
    </row>
    <row r="2609">
      <c r="A2609">
        <f>IFERROR(--SUBSTITUTE(SUBSTITUTE(TRIM(INDEX(INDIRECT("'Выгрузка'!A2609:Z2609"),Настройки!$B$7)),",","."),".",MID(1/2,2,1)),"")</f>
        <v/>
      </c>
      <c r="B2609">
        <f>IFERROR(--SUBSTITUTE(SUBSTITUTE(TRIM(INDEX(INDIRECT("'Выгрузка'!A2609:Z2609"),Настройки!$B$9)),",","."),".",MID(1/2,2,1)),"")</f>
        <v/>
      </c>
      <c r="C2609">
        <f>TRIM(INDEX(INDIRECT("'Выгрузка'!A2609:Z2609"),Настройки!$B$8)&amp;"")</f>
        <v/>
      </c>
      <c r="D2609">
        <f>IFERROR(--SUBSTITUTE(SUBSTITUTE(TRIM(INDEX(INDIRECT("'Выгрузка'!A2609:Z2609"),Настройки!$B$10)),",","."),".",MID(1/2,2,1)),"")</f>
        <v/>
      </c>
      <c r="E2609">
        <f>IFERROR(--SUBSTITUTE(SUBSTITUTE(TRIM(INDEX(INDIRECT("'Выгрузка'!A2609:Z2609"),Настройки!$B$11)),",","."),".",MID(1/2,2,1)),"")</f>
        <v/>
      </c>
      <c r="F2609">
        <f>TRIM(INDEX(INDIRECT("'Выгрузка'!A2609:Z2609"),Настройки!$B$12)&amp;"")</f>
        <v/>
      </c>
      <c r="G2609">
        <f>IF(F2609="",0,IF(TRIM(INDEX(INDIRECT("'Выгрузка'!A2609:Z2609"),Настройки!$B$13)&amp;"")="",1,IFERROR(--SUBSTITUTE(SUBSTITUTE(TRIM(INDEX(INDIRECT("'Выгрузка'!A2609:Z2609"),Настройки!$B$13)),",","."),".",MID(1/2,2,1)),"")))</f>
        <v/>
      </c>
      <c r="H2609">
        <f>IF(F2609="",0,IF(COUNTIF(Настройки!$B$17:$B$26,F2609)&gt;0,1,IF(COUNTIF(Настройки!$C$17:$C$26,F2609)&gt;0,2,IF(COUNTIF(Настройки!$D$17:$D$26,F2609)&gt;0,3,0))))</f>
        <v/>
      </c>
      <c r="I2609">
        <f>IF(AND(ISNUMBER(A2609),ISNUMBER(B2609)),A2609*1000+B2609,"")</f>
        <v/>
      </c>
      <c r="J2609">
        <f>IF(I2609="","",IF(COUNTIF(I$2:I2609,I2609)=1,MAX(J$1:J2608)+1,""))</f>
        <v/>
      </c>
    </row>
    <row r="2610">
      <c r="A2610">
        <f>IFERROR(--SUBSTITUTE(SUBSTITUTE(TRIM(INDEX(INDIRECT("'Выгрузка'!A2610:Z2610"),Настройки!$B$7)),",","."),".",MID(1/2,2,1)),"")</f>
        <v/>
      </c>
      <c r="B2610">
        <f>IFERROR(--SUBSTITUTE(SUBSTITUTE(TRIM(INDEX(INDIRECT("'Выгрузка'!A2610:Z2610"),Настройки!$B$9)),",","."),".",MID(1/2,2,1)),"")</f>
        <v/>
      </c>
      <c r="C2610">
        <f>TRIM(INDEX(INDIRECT("'Выгрузка'!A2610:Z2610"),Настройки!$B$8)&amp;"")</f>
        <v/>
      </c>
      <c r="D2610">
        <f>IFERROR(--SUBSTITUTE(SUBSTITUTE(TRIM(INDEX(INDIRECT("'Выгрузка'!A2610:Z2610"),Настройки!$B$10)),",","."),".",MID(1/2,2,1)),"")</f>
        <v/>
      </c>
      <c r="E2610">
        <f>IFERROR(--SUBSTITUTE(SUBSTITUTE(TRIM(INDEX(INDIRECT("'Выгрузка'!A2610:Z2610"),Настройки!$B$11)),",","."),".",MID(1/2,2,1)),"")</f>
        <v/>
      </c>
      <c r="F2610">
        <f>TRIM(INDEX(INDIRECT("'Выгрузка'!A2610:Z2610"),Настройки!$B$12)&amp;"")</f>
        <v/>
      </c>
      <c r="G2610">
        <f>IF(F2610="",0,IF(TRIM(INDEX(INDIRECT("'Выгрузка'!A2610:Z2610"),Настройки!$B$13)&amp;"")="",1,IFERROR(--SUBSTITUTE(SUBSTITUTE(TRIM(INDEX(INDIRECT("'Выгрузка'!A2610:Z2610"),Настройки!$B$13)),",","."),".",MID(1/2,2,1)),"")))</f>
        <v/>
      </c>
      <c r="H2610">
        <f>IF(F2610="",0,IF(COUNTIF(Настройки!$B$17:$B$26,F2610)&gt;0,1,IF(COUNTIF(Настройки!$C$17:$C$26,F2610)&gt;0,2,IF(COUNTIF(Настройки!$D$17:$D$26,F2610)&gt;0,3,0))))</f>
        <v/>
      </c>
      <c r="I2610">
        <f>IF(AND(ISNUMBER(A2610),ISNUMBER(B2610)),A2610*1000+B2610,"")</f>
        <v/>
      </c>
      <c r="J2610">
        <f>IF(I2610="","",IF(COUNTIF(I$2:I2610,I2610)=1,MAX(J$1:J2609)+1,""))</f>
        <v/>
      </c>
    </row>
    <row r="2611">
      <c r="A2611">
        <f>IFERROR(--SUBSTITUTE(SUBSTITUTE(TRIM(INDEX(INDIRECT("'Выгрузка'!A2611:Z2611"),Настройки!$B$7)),",","."),".",MID(1/2,2,1)),"")</f>
        <v/>
      </c>
      <c r="B2611">
        <f>IFERROR(--SUBSTITUTE(SUBSTITUTE(TRIM(INDEX(INDIRECT("'Выгрузка'!A2611:Z2611"),Настройки!$B$9)),",","."),".",MID(1/2,2,1)),"")</f>
        <v/>
      </c>
      <c r="C2611">
        <f>TRIM(INDEX(INDIRECT("'Выгрузка'!A2611:Z2611"),Настройки!$B$8)&amp;"")</f>
        <v/>
      </c>
      <c r="D2611">
        <f>IFERROR(--SUBSTITUTE(SUBSTITUTE(TRIM(INDEX(INDIRECT("'Выгрузка'!A2611:Z2611"),Настройки!$B$10)),",","."),".",MID(1/2,2,1)),"")</f>
        <v/>
      </c>
      <c r="E2611">
        <f>IFERROR(--SUBSTITUTE(SUBSTITUTE(TRIM(INDEX(INDIRECT("'Выгрузка'!A2611:Z2611"),Настройки!$B$11)),",","."),".",MID(1/2,2,1)),"")</f>
        <v/>
      </c>
      <c r="F2611">
        <f>TRIM(INDEX(INDIRECT("'Выгрузка'!A2611:Z2611"),Настройки!$B$12)&amp;"")</f>
        <v/>
      </c>
      <c r="G2611">
        <f>IF(F2611="",0,IF(TRIM(INDEX(INDIRECT("'Выгрузка'!A2611:Z2611"),Настройки!$B$13)&amp;"")="",1,IFERROR(--SUBSTITUTE(SUBSTITUTE(TRIM(INDEX(INDIRECT("'Выгрузка'!A2611:Z2611"),Настройки!$B$13)),",","."),".",MID(1/2,2,1)),"")))</f>
        <v/>
      </c>
      <c r="H2611">
        <f>IF(F2611="",0,IF(COUNTIF(Настройки!$B$17:$B$26,F2611)&gt;0,1,IF(COUNTIF(Настройки!$C$17:$C$26,F2611)&gt;0,2,IF(COUNTIF(Настройки!$D$17:$D$26,F2611)&gt;0,3,0))))</f>
        <v/>
      </c>
      <c r="I2611">
        <f>IF(AND(ISNUMBER(A2611),ISNUMBER(B2611)),A2611*1000+B2611,"")</f>
        <v/>
      </c>
      <c r="J2611">
        <f>IF(I2611="","",IF(COUNTIF(I$2:I2611,I2611)=1,MAX(J$1:J2610)+1,""))</f>
        <v/>
      </c>
    </row>
    <row r="2612">
      <c r="A2612">
        <f>IFERROR(--SUBSTITUTE(SUBSTITUTE(TRIM(INDEX(INDIRECT("'Выгрузка'!A2612:Z2612"),Настройки!$B$7)),",","."),".",MID(1/2,2,1)),"")</f>
        <v/>
      </c>
      <c r="B2612">
        <f>IFERROR(--SUBSTITUTE(SUBSTITUTE(TRIM(INDEX(INDIRECT("'Выгрузка'!A2612:Z2612"),Настройки!$B$9)),",","."),".",MID(1/2,2,1)),"")</f>
        <v/>
      </c>
      <c r="C2612">
        <f>TRIM(INDEX(INDIRECT("'Выгрузка'!A2612:Z2612"),Настройки!$B$8)&amp;"")</f>
        <v/>
      </c>
      <c r="D2612">
        <f>IFERROR(--SUBSTITUTE(SUBSTITUTE(TRIM(INDEX(INDIRECT("'Выгрузка'!A2612:Z2612"),Настройки!$B$10)),",","."),".",MID(1/2,2,1)),"")</f>
        <v/>
      </c>
      <c r="E2612">
        <f>IFERROR(--SUBSTITUTE(SUBSTITUTE(TRIM(INDEX(INDIRECT("'Выгрузка'!A2612:Z2612"),Настройки!$B$11)),",","."),".",MID(1/2,2,1)),"")</f>
        <v/>
      </c>
      <c r="F2612">
        <f>TRIM(INDEX(INDIRECT("'Выгрузка'!A2612:Z2612"),Настройки!$B$12)&amp;"")</f>
        <v/>
      </c>
      <c r="G2612">
        <f>IF(F2612="",0,IF(TRIM(INDEX(INDIRECT("'Выгрузка'!A2612:Z2612"),Настройки!$B$13)&amp;"")="",1,IFERROR(--SUBSTITUTE(SUBSTITUTE(TRIM(INDEX(INDIRECT("'Выгрузка'!A2612:Z2612"),Настройки!$B$13)),",","."),".",MID(1/2,2,1)),"")))</f>
        <v/>
      </c>
      <c r="H2612">
        <f>IF(F2612="",0,IF(COUNTIF(Настройки!$B$17:$B$26,F2612)&gt;0,1,IF(COUNTIF(Настройки!$C$17:$C$26,F2612)&gt;0,2,IF(COUNTIF(Настройки!$D$17:$D$26,F2612)&gt;0,3,0))))</f>
        <v/>
      </c>
      <c r="I2612">
        <f>IF(AND(ISNUMBER(A2612),ISNUMBER(B2612)),A2612*1000+B2612,"")</f>
        <v/>
      </c>
      <c r="J2612">
        <f>IF(I2612="","",IF(COUNTIF(I$2:I2612,I2612)=1,MAX(J$1:J2611)+1,""))</f>
        <v/>
      </c>
    </row>
    <row r="2613">
      <c r="A2613">
        <f>IFERROR(--SUBSTITUTE(SUBSTITUTE(TRIM(INDEX(INDIRECT("'Выгрузка'!A2613:Z2613"),Настройки!$B$7)),",","."),".",MID(1/2,2,1)),"")</f>
        <v/>
      </c>
      <c r="B2613">
        <f>IFERROR(--SUBSTITUTE(SUBSTITUTE(TRIM(INDEX(INDIRECT("'Выгрузка'!A2613:Z2613"),Настройки!$B$9)),",","."),".",MID(1/2,2,1)),"")</f>
        <v/>
      </c>
      <c r="C2613">
        <f>TRIM(INDEX(INDIRECT("'Выгрузка'!A2613:Z2613"),Настройки!$B$8)&amp;"")</f>
        <v/>
      </c>
      <c r="D2613">
        <f>IFERROR(--SUBSTITUTE(SUBSTITUTE(TRIM(INDEX(INDIRECT("'Выгрузка'!A2613:Z2613"),Настройки!$B$10)),",","."),".",MID(1/2,2,1)),"")</f>
        <v/>
      </c>
      <c r="E2613">
        <f>IFERROR(--SUBSTITUTE(SUBSTITUTE(TRIM(INDEX(INDIRECT("'Выгрузка'!A2613:Z2613"),Настройки!$B$11)),",","."),".",MID(1/2,2,1)),"")</f>
        <v/>
      </c>
      <c r="F2613">
        <f>TRIM(INDEX(INDIRECT("'Выгрузка'!A2613:Z2613"),Настройки!$B$12)&amp;"")</f>
        <v/>
      </c>
      <c r="G2613">
        <f>IF(F2613="",0,IF(TRIM(INDEX(INDIRECT("'Выгрузка'!A2613:Z2613"),Настройки!$B$13)&amp;"")="",1,IFERROR(--SUBSTITUTE(SUBSTITUTE(TRIM(INDEX(INDIRECT("'Выгрузка'!A2613:Z2613"),Настройки!$B$13)),",","."),".",MID(1/2,2,1)),"")))</f>
        <v/>
      </c>
      <c r="H2613">
        <f>IF(F2613="",0,IF(COUNTIF(Настройки!$B$17:$B$26,F2613)&gt;0,1,IF(COUNTIF(Настройки!$C$17:$C$26,F2613)&gt;0,2,IF(COUNTIF(Настройки!$D$17:$D$26,F2613)&gt;0,3,0))))</f>
        <v/>
      </c>
      <c r="I2613">
        <f>IF(AND(ISNUMBER(A2613),ISNUMBER(B2613)),A2613*1000+B2613,"")</f>
        <v/>
      </c>
      <c r="J2613">
        <f>IF(I2613="","",IF(COUNTIF(I$2:I2613,I2613)=1,MAX(J$1:J2612)+1,""))</f>
        <v/>
      </c>
    </row>
    <row r="2614">
      <c r="A2614">
        <f>IFERROR(--SUBSTITUTE(SUBSTITUTE(TRIM(INDEX(INDIRECT("'Выгрузка'!A2614:Z2614"),Настройки!$B$7)),",","."),".",MID(1/2,2,1)),"")</f>
        <v/>
      </c>
      <c r="B2614">
        <f>IFERROR(--SUBSTITUTE(SUBSTITUTE(TRIM(INDEX(INDIRECT("'Выгрузка'!A2614:Z2614"),Настройки!$B$9)),",","."),".",MID(1/2,2,1)),"")</f>
        <v/>
      </c>
      <c r="C2614">
        <f>TRIM(INDEX(INDIRECT("'Выгрузка'!A2614:Z2614"),Настройки!$B$8)&amp;"")</f>
        <v/>
      </c>
      <c r="D2614">
        <f>IFERROR(--SUBSTITUTE(SUBSTITUTE(TRIM(INDEX(INDIRECT("'Выгрузка'!A2614:Z2614"),Настройки!$B$10)),",","."),".",MID(1/2,2,1)),"")</f>
        <v/>
      </c>
      <c r="E2614">
        <f>IFERROR(--SUBSTITUTE(SUBSTITUTE(TRIM(INDEX(INDIRECT("'Выгрузка'!A2614:Z2614"),Настройки!$B$11)),",","."),".",MID(1/2,2,1)),"")</f>
        <v/>
      </c>
      <c r="F2614">
        <f>TRIM(INDEX(INDIRECT("'Выгрузка'!A2614:Z2614"),Настройки!$B$12)&amp;"")</f>
        <v/>
      </c>
      <c r="G2614">
        <f>IF(F2614="",0,IF(TRIM(INDEX(INDIRECT("'Выгрузка'!A2614:Z2614"),Настройки!$B$13)&amp;"")="",1,IFERROR(--SUBSTITUTE(SUBSTITUTE(TRIM(INDEX(INDIRECT("'Выгрузка'!A2614:Z2614"),Настройки!$B$13)),",","."),".",MID(1/2,2,1)),"")))</f>
        <v/>
      </c>
      <c r="H2614">
        <f>IF(F2614="",0,IF(COUNTIF(Настройки!$B$17:$B$26,F2614)&gt;0,1,IF(COUNTIF(Настройки!$C$17:$C$26,F2614)&gt;0,2,IF(COUNTIF(Настройки!$D$17:$D$26,F2614)&gt;0,3,0))))</f>
        <v/>
      </c>
      <c r="I2614">
        <f>IF(AND(ISNUMBER(A2614),ISNUMBER(B2614)),A2614*1000+B2614,"")</f>
        <v/>
      </c>
      <c r="J2614">
        <f>IF(I2614="","",IF(COUNTIF(I$2:I2614,I2614)=1,MAX(J$1:J2613)+1,""))</f>
        <v/>
      </c>
    </row>
    <row r="2615">
      <c r="A2615">
        <f>IFERROR(--SUBSTITUTE(SUBSTITUTE(TRIM(INDEX(INDIRECT("'Выгрузка'!A2615:Z2615"),Настройки!$B$7)),",","."),".",MID(1/2,2,1)),"")</f>
        <v/>
      </c>
      <c r="B2615">
        <f>IFERROR(--SUBSTITUTE(SUBSTITUTE(TRIM(INDEX(INDIRECT("'Выгрузка'!A2615:Z2615"),Настройки!$B$9)),",","."),".",MID(1/2,2,1)),"")</f>
        <v/>
      </c>
      <c r="C2615">
        <f>TRIM(INDEX(INDIRECT("'Выгрузка'!A2615:Z2615"),Настройки!$B$8)&amp;"")</f>
        <v/>
      </c>
      <c r="D2615">
        <f>IFERROR(--SUBSTITUTE(SUBSTITUTE(TRIM(INDEX(INDIRECT("'Выгрузка'!A2615:Z2615"),Настройки!$B$10)),",","."),".",MID(1/2,2,1)),"")</f>
        <v/>
      </c>
      <c r="E2615">
        <f>IFERROR(--SUBSTITUTE(SUBSTITUTE(TRIM(INDEX(INDIRECT("'Выгрузка'!A2615:Z2615"),Настройки!$B$11)),",","."),".",MID(1/2,2,1)),"")</f>
        <v/>
      </c>
      <c r="F2615">
        <f>TRIM(INDEX(INDIRECT("'Выгрузка'!A2615:Z2615"),Настройки!$B$12)&amp;"")</f>
        <v/>
      </c>
      <c r="G2615">
        <f>IF(F2615="",0,IF(TRIM(INDEX(INDIRECT("'Выгрузка'!A2615:Z2615"),Настройки!$B$13)&amp;"")="",1,IFERROR(--SUBSTITUTE(SUBSTITUTE(TRIM(INDEX(INDIRECT("'Выгрузка'!A2615:Z2615"),Настройки!$B$13)),",","."),".",MID(1/2,2,1)),"")))</f>
        <v/>
      </c>
      <c r="H2615">
        <f>IF(F2615="",0,IF(COUNTIF(Настройки!$B$17:$B$26,F2615)&gt;0,1,IF(COUNTIF(Настройки!$C$17:$C$26,F2615)&gt;0,2,IF(COUNTIF(Настройки!$D$17:$D$26,F2615)&gt;0,3,0))))</f>
        <v/>
      </c>
      <c r="I2615">
        <f>IF(AND(ISNUMBER(A2615),ISNUMBER(B2615)),A2615*1000+B2615,"")</f>
        <v/>
      </c>
      <c r="J2615">
        <f>IF(I2615="","",IF(COUNTIF(I$2:I2615,I2615)=1,MAX(J$1:J2614)+1,""))</f>
        <v/>
      </c>
    </row>
    <row r="2616">
      <c r="A2616">
        <f>IFERROR(--SUBSTITUTE(SUBSTITUTE(TRIM(INDEX(INDIRECT("'Выгрузка'!A2616:Z2616"),Настройки!$B$7)),",","."),".",MID(1/2,2,1)),"")</f>
        <v/>
      </c>
      <c r="B2616">
        <f>IFERROR(--SUBSTITUTE(SUBSTITUTE(TRIM(INDEX(INDIRECT("'Выгрузка'!A2616:Z2616"),Настройки!$B$9)),",","."),".",MID(1/2,2,1)),"")</f>
        <v/>
      </c>
      <c r="C2616">
        <f>TRIM(INDEX(INDIRECT("'Выгрузка'!A2616:Z2616"),Настройки!$B$8)&amp;"")</f>
        <v/>
      </c>
      <c r="D2616">
        <f>IFERROR(--SUBSTITUTE(SUBSTITUTE(TRIM(INDEX(INDIRECT("'Выгрузка'!A2616:Z2616"),Настройки!$B$10)),",","."),".",MID(1/2,2,1)),"")</f>
        <v/>
      </c>
      <c r="E2616">
        <f>IFERROR(--SUBSTITUTE(SUBSTITUTE(TRIM(INDEX(INDIRECT("'Выгрузка'!A2616:Z2616"),Настройки!$B$11)),",","."),".",MID(1/2,2,1)),"")</f>
        <v/>
      </c>
      <c r="F2616">
        <f>TRIM(INDEX(INDIRECT("'Выгрузка'!A2616:Z2616"),Настройки!$B$12)&amp;"")</f>
        <v/>
      </c>
      <c r="G2616">
        <f>IF(F2616="",0,IF(TRIM(INDEX(INDIRECT("'Выгрузка'!A2616:Z2616"),Настройки!$B$13)&amp;"")="",1,IFERROR(--SUBSTITUTE(SUBSTITUTE(TRIM(INDEX(INDIRECT("'Выгрузка'!A2616:Z2616"),Настройки!$B$13)),",","."),".",MID(1/2,2,1)),"")))</f>
        <v/>
      </c>
      <c r="H2616">
        <f>IF(F2616="",0,IF(COUNTIF(Настройки!$B$17:$B$26,F2616)&gt;0,1,IF(COUNTIF(Настройки!$C$17:$C$26,F2616)&gt;0,2,IF(COUNTIF(Настройки!$D$17:$D$26,F2616)&gt;0,3,0))))</f>
        <v/>
      </c>
      <c r="I2616">
        <f>IF(AND(ISNUMBER(A2616),ISNUMBER(B2616)),A2616*1000+B2616,"")</f>
        <v/>
      </c>
      <c r="J2616">
        <f>IF(I2616="","",IF(COUNTIF(I$2:I2616,I2616)=1,MAX(J$1:J2615)+1,""))</f>
        <v/>
      </c>
    </row>
    <row r="2617">
      <c r="A2617">
        <f>IFERROR(--SUBSTITUTE(SUBSTITUTE(TRIM(INDEX(INDIRECT("'Выгрузка'!A2617:Z2617"),Настройки!$B$7)),",","."),".",MID(1/2,2,1)),"")</f>
        <v/>
      </c>
      <c r="B2617">
        <f>IFERROR(--SUBSTITUTE(SUBSTITUTE(TRIM(INDEX(INDIRECT("'Выгрузка'!A2617:Z2617"),Настройки!$B$9)),",","."),".",MID(1/2,2,1)),"")</f>
        <v/>
      </c>
      <c r="C2617">
        <f>TRIM(INDEX(INDIRECT("'Выгрузка'!A2617:Z2617"),Настройки!$B$8)&amp;"")</f>
        <v/>
      </c>
      <c r="D2617">
        <f>IFERROR(--SUBSTITUTE(SUBSTITUTE(TRIM(INDEX(INDIRECT("'Выгрузка'!A2617:Z2617"),Настройки!$B$10)),",","."),".",MID(1/2,2,1)),"")</f>
        <v/>
      </c>
      <c r="E2617">
        <f>IFERROR(--SUBSTITUTE(SUBSTITUTE(TRIM(INDEX(INDIRECT("'Выгрузка'!A2617:Z2617"),Настройки!$B$11)),",","."),".",MID(1/2,2,1)),"")</f>
        <v/>
      </c>
      <c r="F2617">
        <f>TRIM(INDEX(INDIRECT("'Выгрузка'!A2617:Z2617"),Настройки!$B$12)&amp;"")</f>
        <v/>
      </c>
      <c r="G2617">
        <f>IF(F2617="",0,IF(TRIM(INDEX(INDIRECT("'Выгрузка'!A2617:Z2617"),Настройки!$B$13)&amp;"")="",1,IFERROR(--SUBSTITUTE(SUBSTITUTE(TRIM(INDEX(INDIRECT("'Выгрузка'!A2617:Z2617"),Настройки!$B$13)),",","."),".",MID(1/2,2,1)),"")))</f>
        <v/>
      </c>
      <c r="H2617">
        <f>IF(F2617="",0,IF(COUNTIF(Настройки!$B$17:$B$26,F2617)&gt;0,1,IF(COUNTIF(Настройки!$C$17:$C$26,F2617)&gt;0,2,IF(COUNTIF(Настройки!$D$17:$D$26,F2617)&gt;0,3,0))))</f>
        <v/>
      </c>
      <c r="I2617">
        <f>IF(AND(ISNUMBER(A2617),ISNUMBER(B2617)),A2617*1000+B2617,"")</f>
        <v/>
      </c>
      <c r="J2617">
        <f>IF(I2617="","",IF(COUNTIF(I$2:I2617,I2617)=1,MAX(J$1:J2616)+1,""))</f>
        <v/>
      </c>
    </row>
    <row r="2618">
      <c r="A2618">
        <f>IFERROR(--SUBSTITUTE(SUBSTITUTE(TRIM(INDEX(INDIRECT("'Выгрузка'!A2618:Z2618"),Настройки!$B$7)),",","."),".",MID(1/2,2,1)),"")</f>
        <v/>
      </c>
      <c r="B2618">
        <f>IFERROR(--SUBSTITUTE(SUBSTITUTE(TRIM(INDEX(INDIRECT("'Выгрузка'!A2618:Z2618"),Настройки!$B$9)),",","."),".",MID(1/2,2,1)),"")</f>
        <v/>
      </c>
      <c r="C2618">
        <f>TRIM(INDEX(INDIRECT("'Выгрузка'!A2618:Z2618"),Настройки!$B$8)&amp;"")</f>
        <v/>
      </c>
      <c r="D2618">
        <f>IFERROR(--SUBSTITUTE(SUBSTITUTE(TRIM(INDEX(INDIRECT("'Выгрузка'!A2618:Z2618"),Настройки!$B$10)),",","."),".",MID(1/2,2,1)),"")</f>
        <v/>
      </c>
      <c r="E2618">
        <f>IFERROR(--SUBSTITUTE(SUBSTITUTE(TRIM(INDEX(INDIRECT("'Выгрузка'!A2618:Z2618"),Настройки!$B$11)),",","."),".",MID(1/2,2,1)),"")</f>
        <v/>
      </c>
      <c r="F2618">
        <f>TRIM(INDEX(INDIRECT("'Выгрузка'!A2618:Z2618"),Настройки!$B$12)&amp;"")</f>
        <v/>
      </c>
      <c r="G2618">
        <f>IF(F2618="",0,IF(TRIM(INDEX(INDIRECT("'Выгрузка'!A2618:Z2618"),Настройки!$B$13)&amp;"")="",1,IFERROR(--SUBSTITUTE(SUBSTITUTE(TRIM(INDEX(INDIRECT("'Выгрузка'!A2618:Z2618"),Настройки!$B$13)),",","."),".",MID(1/2,2,1)),"")))</f>
        <v/>
      </c>
      <c r="H2618">
        <f>IF(F2618="",0,IF(COUNTIF(Настройки!$B$17:$B$26,F2618)&gt;0,1,IF(COUNTIF(Настройки!$C$17:$C$26,F2618)&gt;0,2,IF(COUNTIF(Настройки!$D$17:$D$26,F2618)&gt;0,3,0))))</f>
        <v/>
      </c>
      <c r="I2618">
        <f>IF(AND(ISNUMBER(A2618),ISNUMBER(B2618)),A2618*1000+B2618,"")</f>
        <v/>
      </c>
      <c r="J2618">
        <f>IF(I2618="","",IF(COUNTIF(I$2:I2618,I2618)=1,MAX(J$1:J2617)+1,""))</f>
        <v/>
      </c>
    </row>
    <row r="2619">
      <c r="A2619">
        <f>IFERROR(--SUBSTITUTE(SUBSTITUTE(TRIM(INDEX(INDIRECT("'Выгрузка'!A2619:Z2619"),Настройки!$B$7)),",","."),".",MID(1/2,2,1)),"")</f>
        <v/>
      </c>
      <c r="B2619">
        <f>IFERROR(--SUBSTITUTE(SUBSTITUTE(TRIM(INDEX(INDIRECT("'Выгрузка'!A2619:Z2619"),Настройки!$B$9)),",","."),".",MID(1/2,2,1)),"")</f>
        <v/>
      </c>
      <c r="C2619">
        <f>TRIM(INDEX(INDIRECT("'Выгрузка'!A2619:Z2619"),Настройки!$B$8)&amp;"")</f>
        <v/>
      </c>
      <c r="D2619">
        <f>IFERROR(--SUBSTITUTE(SUBSTITUTE(TRIM(INDEX(INDIRECT("'Выгрузка'!A2619:Z2619"),Настройки!$B$10)),",","."),".",MID(1/2,2,1)),"")</f>
        <v/>
      </c>
      <c r="E2619">
        <f>IFERROR(--SUBSTITUTE(SUBSTITUTE(TRIM(INDEX(INDIRECT("'Выгрузка'!A2619:Z2619"),Настройки!$B$11)),",","."),".",MID(1/2,2,1)),"")</f>
        <v/>
      </c>
      <c r="F2619">
        <f>TRIM(INDEX(INDIRECT("'Выгрузка'!A2619:Z2619"),Настройки!$B$12)&amp;"")</f>
        <v/>
      </c>
      <c r="G2619">
        <f>IF(F2619="",0,IF(TRIM(INDEX(INDIRECT("'Выгрузка'!A2619:Z2619"),Настройки!$B$13)&amp;"")="",1,IFERROR(--SUBSTITUTE(SUBSTITUTE(TRIM(INDEX(INDIRECT("'Выгрузка'!A2619:Z2619"),Настройки!$B$13)),",","."),".",MID(1/2,2,1)),"")))</f>
        <v/>
      </c>
      <c r="H2619">
        <f>IF(F2619="",0,IF(COUNTIF(Настройки!$B$17:$B$26,F2619)&gt;0,1,IF(COUNTIF(Настройки!$C$17:$C$26,F2619)&gt;0,2,IF(COUNTIF(Настройки!$D$17:$D$26,F2619)&gt;0,3,0))))</f>
        <v/>
      </c>
      <c r="I2619">
        <f>IF(AND(ISNUMBER(A2619),ISNUMBER(B2619)),A2619*1000+B2619,"")</f>
        <v/>
      </c>
      <c r="J2619">
        <f>IF(I2619="","",IF(COUNTIF(I$2:I2619,I2619)=1,MAX(J$1:J2618)+1,""))</f>
        <v/>
      </c>
    </row>
    <row r="2620">
      <c r="A2620">
        <f>IFERROR(--SUBSTITUTE(SUBSTITUTE(TRIM(INDEX(INDIRECT("'Выгрузка'!A2620:Z2620"),Настройки!$B$7)),",","."),".",MID(1/2,2,1)),"")</f>
        <v/>
      </c>
      <c r="B2620">
        <f>IFERROR(--SUBSTITUTE(SUBSTITUTE(TRIM(INDEX(INDIRECT("'Выгрузка'!A2620:Z2620"),Настройки!$B$9)),",","."),".",MID(1/2,2,1)),"")</f>
        <v/>
      </c>
      <c r="C2620">
        <f>TRIM(INDEX(INDIRECT("'Выгрузка'!A2620:Z2620"),Настройки!$B$8)&amp;"")</f>
        <v/>
      </c>
      <c r="D2620">
        <f>IFERROR(--SUBSTITUTE(SUBSTITUTE(TRIM(INDEX(INDIRECT("'Выгрузка'!A2620:Z2620"),Настройки!$B$10)),",","."),".",MID(1/2,2,1)),"")</f>
        <v/>
      </c>
      <c r="E2620">
        <f>IFERROR(--SUBSTITUTE(SUBSTITUTE(TRIM(INDEX(INDIRECT("'Выгрузка'!A2620:Z2620"),Настройки!$B$11)),",","."),".",MID(1/2,2,1)),"")</f>
        <v/>
      </c>
      <c r="F2620">
        <f>TRIM(INDEX(INDIRECT("'Выгрузка'!A2620:Z2620"),Настройки!$B$12)&amp;"")</f>
        <v/>
      </c>
      <c r="G2620">
        <f>IF(F2620="",0,IF(TRIM(INDEX(INDIRECT("'Выгрузка'!A2620:Z2620"),Настройки!$B$13)&amp;"")="",1,IFERROR(--SUBSTITUTE(SUBSTITUTE(TRIM(INDEX(INDIRECT("'Выгрузка'!A2620:Z2620"),Настройки!$B$13)),",","."),".",MID(1/2,2,1)),"")))</f>
        <v/>
      </c>
      <c r="H2620">
        <f>IF(F2620="",0,IF(COUNTIF(Настройки!$B$17:$B$26,F2620)&gt;0,1,IF(COUNTIF(Настройки!$C$17:$C$26,F2620)&gt;0,2,IF(COUNTIF(Настройки!$D$17:$D$26,F2620)&gt;0,3,0))))</f>
        <v/>
      </c>
      <c r="I2620">
        <f>IF(AND(ISNUMBER(A2620),ISNUMBER(B2620)),A2620*1000+B2620,"")</f>
        <v/>
      </c>
      <c r="J2620">
        <f>IF(I2620="","",IF(COUNTIF(I$2:I2620,I2620)=1,MAX(J$1:J2619)+1,""))</f>
        <v/>
      </c>
    </row>
    <row r="2621">
      <c r="A2621">
        <f>IFERROR(--SUBSTITUTE(SUBSTITUTE(TRIM(INDEX(INDIRECT("'Выгрузка'!A2621:Z2621"),Настройки!$B$7)),",","."),".",MID(1/2,2,1)),"")</f>
        <v/>
      </c>
      <c r="B2621">
        <f>IFERROR(--SUBSTITUTE(SUBSTITUTE(TRIM(INDEX(INDIRECT("'Выгрузка'!A2621:Z2621"),Настройки!$B$9)),",","."),".",MID(1/2,2,1)),"")</f>
        <v/>
      </c>
      <c r="C2621">
        <f>TRIM(INDEX(INDIRECT("'Выгрузка'!A2621:Z2621"),Настройки!$B$8)&amp;"")</f>
        <v/>
      </c>
      <c r="D2621">
        <f>IFERROR(--SUBSTITUTE(SUBSTITUTE(TRIM(INDEX(INDIRECT("'Выгрузка'!A2621:Z2621"),Настройки!$B$10)),",","."),".",MID(1/2,2,1)),"")</f>
        <v/>
      </c>
      <c r="E2621">
        <f>IFERROR(--SUBSTITUTE(SUBSTITUTE(TRIM(INDEX(INDIRECT("'Выгрузка'!A2621:Z2621"),Настройки!$B$11)),",","."),".",MID(1/2,2,1)),"")</f>
        <v/>
      </c>
      <c r="F2621">
        <f>TRIM(INDEX(INDIRECT("'Выгрузка'!A2621:Z2621"),Настройки!$B$12)&amp;"")</f>
        <v/>
      </c>
      <c r="G2621">
        <f>IF(F2621="",0,IF(TRIM(INDEX(INDIRECT("'Выгрузка'!A2621:Z2621"),Настройки!$B$13)&amp;"")="",1,IFERROR(--SUBSTITUTE(SUBSTITUTE(TRIM(INDEX(INDIRECT("'Выгрузка'!A2621:Z2621"),Настройки!$B$13)),",","."),".",MID(1/2,2,1)),"")))</f>
        <v/>
      </c>
      <c r="H2621">
        <f>IF(F2621="",0,IF(COUNTIF(Настройки!$B$17:$B$26,F2621)&gt;0,1,IF(COUNTIF(Настройки!$C$17:$C$26,F2621)&gt;0,2,IF(COUNTIF(Настройки!$D$17:$D$26,F2621)&gt;0,3,0))))</f>
        <v/>
      </c>
      <c r="I2621">
        <f>IF(AND(ISNUMBER(A2621),ISNUMBER(B2621)),A2621*1000+B2621,"")</f>
        <v/>
      </c>
      <c r="J2621">
        <f>IF(I2621="","",IF(COUNTIF(I$2:I2621,I2621)=1,MAX(J$1:J2620)+1,""))</f>
        <v/>
      </c>
    </row>
    <row r="2622">
      <c r="A2622">
        <f>IFERROR(--SUBSTITUTE(SUBSTITUTE(TRIM(INDEX(INDIRECT("'Выгрузка'!A2622:Z2622"),Настройки!$B$7)),",","."),".",MID(1/2,2,1)),"")</f>
        <v/>
      </c>
      <c r="B2622">
        <f>IFERROR(--SUBSTITUTE(SUBSTITUTE(TRIM(INDEX(INDIRECT("'Выгрузка'!A2622:Z2622"),Настройки!$B$9)),",","."),".",MID(1/2,2,1)),"")</f>
        <v/>
      </c>
      <c r="C2622">
        <f>TRIM(INDEX(INDIRECT("'Выгрузка'!A2622:Z2622"),Настройки!$B$8)&amp;"")</f>
        <v/>
      </c>
      <c r="D2622">
        <f>IFERROR(--SUBSTITUTE(SUBSTITUTE(TRIM(INDEX(INDIRECT("'Выгрузка'!A2622:Z2622"),Настройки!$B$10)),",","."),".",MID(1/2,2,1)),"")</f>
        <v/>
      </c>
      <c r="E2622">
        <f>IFERROR(--SUBSTITUTE(SUBSTITUTE(TRIM(INDEX(INDIRECT("'Выгрузка'!A2622:Z2622"),Настройки!$B$11)),",","."),".",MID(1/2,2,1)),"")</f>
        <v/>
      </c>
      <c r="F2622">
        <f>TRIM(INDEX(INDIRECT("'Выгрузка'!A2622:Z2622"),Настройки!$B$12)&amp;"")</f>
        <v/>
      </c>
      <c r="G2622">
        <f>IF(F2622="",0,IF(TRIM(INDEX(INDIRECT("'Выгрузка'!A2622:Z2622"),Настройки!$B$13)&amp;"")="",1,IFERROR(--SUBSTITUTE(SUBSTITUTE(TRIM(INDEX(INDIRECT("'Выгрузка'!A2622:Z2622"),Настройки!$B$13)),",","."),".",MID(1/2,2,1)),"")))</f>
        <v/>
      </c>
      <c r="H2622">
        <f>IF(F2622="",0,IF(COUNTIF(Настройки!$B$17:$B$26,F2622)&gt;0,1,IF(COUNTIF(Настройки!$C$17:$C$26,F2622)&gt;0,2,IF(COUNTIF(Настройки!$D$17:$D$26,F2622)&gt;0,3,0))))</f>
        <v/>
      </c>
      <c r="I2622">
        <f>IF(AND(ISNUMBER(A2622),ISNUMBER(B2622)),A2622*1000+B2622,"")</f>
        <v/>
      </c>
      <c r="J2622">
        <f>IF(I2622="","",IF(COUNTIF(I$2:I2622,I2622)=1,MAX(J$1:J2621)+1,""))</f>
        <v/>
      </c>
    </row>
    <row r="2623">
      <c r="A2623">
        <f>IFERROR(--SUBSTITUTE(SUBSTITUTE(TRIM(INDEX(INDIRECT("'Выгрузка'!A2623:Z2623"),Настройки!$B$7)),",","."),".",MID(1/2,2,1)),"")</f>
        <v/>
      </c>
      <c r="B2623">
        <f>IFERROR(--SUBSTITUTE(SUBSTITUTE(TRIM(INDEX(INDIRECT("'Выгрузка'!A2623:Z2623"),Настройки!$B$9)),",","."),".",MID(1/2,2,1)),"")</f>
        <v/>
      </c>
      <c r="C2623">
        <f>TRIM(INDEX(INDIRECT("'Выгрузка'!A2623:Z2623"),Настройки!$B$8)&amp;"")</f>
        <v/>
      </c>
      <c r="D2623">
        <f>IFERROR(--SUBSTITUTE(SUBSTITUTE(TRIM(INDEX(INDIRECT("'Выгрузка'!A2623:Z2623"),Настройки!$B$10)),",","."),".",MID(1/2,2,1)),"")</f>
        <v/>
      </c>
      <c r="E2623">
        <f>IFERROR(--SUBSTITUTE(SUBSTITUTE(TRIM(INDEX(INDIRECT("'Выгрузка'!A2623:Z2623"),Настройки!$B$11)),",","."),".",MID(1/2,2,1)),"")</f>
        <v/>
      </c>
      <c r="F2623">
        <f>TRIM(INDEX(INDIRECT("'Выгрузка'!A2623:Z2623"),Настройки!$B$12)&amp;"")</f>
        <v/>
      </c>
      <c r="G2623">
        <f>IF(F2623="",0,IF(TRIM(INDEX(INDIRECT("'Выгрузка'!A2623:Z2623"),Настройки!$B$13)&amp;"")="",1,IFERROR(--SUBSTITUTE(SUBSTITUTE(TRIM(INDEX(INDIRECT("'Выгрузка'!A2623:Z2623"),Настройки!$B$13)),",","."),".",MID(1/2,2,1)),"")))</f>
        <v/>
      </c>
      <c r="H2623">
        <f>IF(F2623="",0,IF(COUNTIF(Настройки!$B$17:$B$26,F2623)&gt;0,1,IF(COUNTIF(Настройки!$C$17:$C$26,F2623)&gt;0,2,IF(COUNTIF(Настройки!$D$17:$D$26,F2623)&gt;0,3,0))))</f>
        <v/>
      </c>
      <c r="I2623">
        <f>IF(AND(ISNUMBER(A2623),ISNUMBER(B2623)),A2623*1000+B2623,"")</f>
        <v/>
      </c>
      <c r="J2623">
        <f>IF(I2623="","",IF(COUNTIF(I$2:I2623,I2623)=1,MAX(J$1:J2622)+1,""))</f>
        <v/>
      </c>
    </row>
    <row r="2624">
      <c r="A2624">
        <f>IFERROR(--SUBSTITUTE(SUBSTITUTE(TRIM(INDEX(INDIRECT("'Выгрузка'!A2624:Z2624"),Настройки!$B$7)),",","."),".",MID(1/2,2,1)),"")</f>
        <v/>
      </c>
      <c r="B2624">
        <f>IFERROR(--SUBSTITUTE(SUBSTITUTE(TRIM(INDEX(INDIRECT("'Выгрузка'!A2624:Z2624"),Настройки!$B$9)),",","."),".",MID(1/2,2,1)),"")</f>
        <v/>
      </c>
      <c r="C2624">
        <f>TRIM(INDEX(INDIRECT("'Выгрузка'!A2624:Z2624"),Настройки!$B$8)&amp;"")</f>
        <v/>
      </c>
      <c r="D2624">
        <f>IFERROR(--SUBSTITUTE(SUBSTITUTE(TRIM(INDEX(INDIRECT("'Выгрузка'!A2624:Z2624"),Настройки!$B$10)),",","."),".",MID(1/2,2,1)),"")</f>
        <v/>
      </c>
      <c r="E2624">
        <f>IFERROR(--SUBSTITUTE(SUBSTITUTE(TRIM(INDEX(INDIRECT("'Выгрузка'!A2624:Z2624"),Настройки!$B$11)),",","."),".",MID(1/2,2,1)),"")</f>
        <v/>
      </c>
      <c r="F2624">
        <f>TRIM(INDEX(INDIRECT("'Выгрузка'!A2624:Z2624"),Настройки!$B$12)&amp;"")</f>
        <v/>
      </c>
      <c r="G2624">
        <f>IF(F2624="",0,IF(TRIM(INDEX(INDIRECT("'Выгрузка'!A2624:Z2624"),Настройки!$B$13)&amp;"")="",1,IFERROR(--SUBSTITUTE(SUBSTITUTE(TRIM(INDEX(INDIRECT("'Выгрузка'!A2624:Z2624"),Настройки!$B$13)),",","."),".",MID(1/2,2,1)),"")))</f>
        <v/>
      </c>
      <c r="H2624">
        <f>IF(F2624="",0,IF(COUNTIF(Настройки!$B$17:$B$26,F2624)&gt;0,1,IF(COUNTIF(Настройки!$C$17:$C$26,F2624)&gt;0,2,IF(COUNTIF(Настройки!$D$17:$D$26,F2624)&gt;0,3,0))))</f>
        <v/>
      </c>
      <c r="I2624">
        <f>IF(AND(ISNUMBER(A2624),ISNUMBER(B2624)),A2624*1000+B2624,"")</f>
        <v/>
      </c>
      <c r="J2624">
        <f>IF(I2624="","",IF(COUNTIF(I$2:I2624,I2624)=1,MAX(J$1:J2623)+1,""))</f>
        <v/>
      </c>
    </row>
    <row r="2625">
      <c r="A2625">
        <f>IFERROR(--SUBSTITUTE(SUBSTITUTE(TRIM(INDEX(INDIRECT("'Выгрузка'!A2625:Z2625"),Настройки!$B$7)),",","."),".",MID(1/2,2,1)),"")</f>
        <v/>
      </c>
      <c r="B2625">
        <f>IFERROR(--SUBSTITUTE(SUBSTITUTE(TRIM(INDEX(INDIRECT("'Выгрузка'!A2625:Z2625"),Настройки!$B$9)),",","."),".",MID(1/2,2,1)),"")</f>
        <v/>
      </c>
      <c r="C2625">
        <f>TRIM(INDEX(INDIRECT("'Выгрузка'!A2625:Z2625"),Настройки!$B$8)&amp;"")</f>
        <v/>
      </c>
      <c r="D2625">
        <f>IFERROR(--SUBSTITUTE(SUBSTITUTE(TRIM(INDEX(INDIRECT("'Выгрузка'!A2625:Z2625"),Настройки!$B$10)),",","."),".",MID(1/2,2,1)),"")</f>
        <v/>
      </c>
      <c r="E2625">
        <f>IFERROR(--SUBSTITUTE(SUBSTITUTE(TRIM(INDEX(INDIRECT("'Выгрузка'!A2625:Z2625"),Настройки!$B$11)),",","."),".",MID(1/2,2,1)),"")</f>
        <v/>
      </c>
      <c r="F2625">
        <f>TRIM(INDEX(INDIRECT("'Выгрузка'!A2625:Z2625"),Настройки!$B$12)&amp;"")</f>
        <v/>
      </c>
      <c r="G2625">
        <f>IF(F2625="",0,IF(TRIM(INDEX(INDIRECT("'Выгрузка'!A2625:Z2625"),Настройки!$B$13)&amp;"")="",1,IFERROR(--SUBSTITUTE(SUBSTITUTE(TRIM(INDEX(INDIRECT("'Выгрузка'!A2625:Z2625"),Настройки!$B$13)),",","."),".",MID(1/2,2,1)),"")))</f>
        <v/>
      </c>
      <c r="H2625">
        <f>IF(F2625="",0,IF(COUNTIF(Настройки!$B$17:$B$26,F2625)&gt;0,1,IF(COUNTIF(Настройки!$C$17:$C$26,F2625)&gt;0,2,IF(COUNTIF(Настройки!$D$17:$D$26,F2625)&gt;0,3,0))))</f>
        <v/>
      </c>
      <c r="I2625">
        <f>IF(AND(ISNUMBER(A2625),ISNUMBER(B2625)),A2625*1000+B2625,"")</f>
        <v/>
      </c>
      <c r="J2625">
        <f>IF(I2625="","",IF(COUNTIF(I$2:I2625,I2625)=1,MAX(J$1:J2624)+1,""))</f>
        <v/>
      </c>
    </row>
    <row r="2626">
      <c r="A2626">
        <f>IFERROR(--SUBSTITUTE(SUBSTITUTE(TRIM(INDEX(INDIRECT("'Выгрузка'!A2626:Z2626"),Настройки!$B$7)),",","."),".",MID(1/2,2,1)),"")</f>
        <v/>
      </c>
      <c r="B2626">
        <f>IFERROR(--SUBSTITUTE(SUBSTITUTE(TRIM(INDEX(INDIRECT("'Выгрузка'!A2626:Z2626"),Настройки!$B$9)),",","."),".",MID(1/2,2,1)),"")</f>
        <v/>
      </c>
      <c r="C2626">
        <f>TRIM(INDEX(INDIRECT("'Выгрузка'!A2626:Z2626"),Настройки!$B$8)&amp;"")</f>
        <v/>
      </c>
      <c r="D2626">
        <f>IFERROR(--SUBSTITUTE(SUBSTITUTE(TRIM(INDEX(INDIRECT("'Выгрузка'!A2626:Z2626"),Настройки!$B$10)),",","."),".",MID(1/2,2,1)),"")</f>
        <v/>
      </c>
      <c r="E2626">
        <f>IFERROR(--SUBSTITUTE(SUBSTITUTE(TRIM(INDEX(INDIRECT("'Выгрузка'!A2626:Z2626"),Настройки!$B$11)),",","."),".",MID(1/2,2,1)),"")</f>
        <v/>
      </c>
      <c r="F2626">
        <f>TRIM(INDEX(INDIRECT("'Выгрузка'!A2626:Z2626"),Настройки!$B$12)&amp;"")</f>
        <v/>
      </c>
      <c r="G2626">
        <f>IF(F2626="",0,IF(TRIM(INDEX(INDIRECT("'Выгрузка'!A2626:Z2626"),Настройки!$B$13)&amp;"")="",1,IFERROR(--SUBSTITUTE(SUBSTITUTE(TRIM(INDEX(INDIRECT("'Выгрузка'!A2626:Z2626"),Настройки!$B$13)),",","."),".",MID(1/2,2,1)),"")))</f>
        <v/>
      </c>
      <c r="H2626">
        <f>IF(F2626="",0,IF(COUNTIF(Настройки!$B$17:$B$26,F2626)&gt;0,1,IF(COUNTIF(Настройки!$C$17:$C$26,F2626)&gt;0,2,IF(COUNTIF(Настройки!$D$17:$D$26,F2626)&gt;0,3,0))))</f>
        <v/>
      </c>
      <c r="I2626">
        <f>IF(AND(ISNUMBER(A2626),ISNUMBER(B2626)),A2626*1000+B2626,"")</f>
        <v/>
      </c>
      <c r="J2626">
        <f>IF(I2626="","",IF(COUNTIF(I$2:I2626,I2626)=1,MAX(J$1:J2625)+1,""))</f>
        <v/>
      </c>
    </row>
    <row r="2627">
      <c r="A2627">
        <f>IFERROR(--SUBSTITUTE(SUBSTITUTE(TRIM(INDEX(INDIRECT("'Выгрузка'!A2627:Z2627"),Настройки!$B$7)),",","."),".",MID(1/2,2,1)),"")</f>
        <v/>
      </c>
      <c r="B2627">
        <f>IFERROR(--SUBSTITUTE(SUBSTITUTE(TRIM(INDEX(INDIRECT("'Выгрузка'!A2627:Z2627"),Настройки!$B$9)),",","."),".",MID(1/2,2,1)),"")</f>
        <v/>
      </c>
      <c r="C2627">
        <f>TRIM(INDEX(INDIRECT("'Выгрузка'!A2627:Z2627"),Настройки!$B$8)&amp;"")</f>
        <v/>
      </c>
      <c r="D2627">
        <f>IFERROR(--SUBSTITUTE(SUBSTITUTE(TRIM(INDEX(INDIRECT("'Выгрузка'!A2627:Z2627"),Настройки!$B$10)),",","."),".",MID(1/2,2,1)),"")</f>
        <v/>
      </c>
      <c r="E2627">
        <f>IFERROR(--SUBSTITUTE(SUBSTITUTE(TRIM(INDEX(INDIRECT("'Выгрузка'!A2627:Z2627"),Настройки!$B$11)),",","."),".",MID(1/2,2,1)),"")</f>
        <v/>
      </c>
      <c r="F2627">
        <f>TRIM(INDEX(INDIRECT("'Выгрузка'!A2627:Z2627"),Настройки!$B$12)&amp;"")</f>
        <v/>
      </c>
      <c r="G2627">
        <f>IF(F2627="",0,IF(TRIM(INDEX(INDIRECT("'Выгрузка'!A2627:Z2627"),Настройки!$B$13)&amp;"")="",1,IFERROR(--SUBSTITUTE(SUBSTITUTE(TRIM(INDEX(INDIRECT("'Выгрузка'!A2627:Z2627"),Настройки!$B$13)),",","."),".",MID(1/2,2,1)),"")))</f>
        <v/>
      </c>
      <c r="H2627">
        <f>IF(F2627="",0,IF(COUNTIF(Настройки!$B$17:$B$26,F2627)&gt;0,1,IF(COUNTIF(Настройки!$C$17:$C$26,F2627)&gt;0,2,IF(COUNTIF(Настройки!$D$17:$D$26,F2627)&gt;0,3,0))))</f>
        <v/>
      </c>
      <c r="I2627">
        <f>IF(AND(ISNUMBER(A2627),ISNUMBER(B2627)),A2627*1000+B2627,"")</f>
        <v/>
      </c>
      <c r="J2627">
        <f>IF(I2627="","",IF(COUNTIF(I$2:I2627,I2627)=1,MAX(J$1:J2626)+1,""))</f>
        <v/>
      </c>
    </row>
    <row r="2628">
      <c r="A2628">
        <f>IFERROR(--SUBSTITUTE(SUBSTITUTE(TRIM(INDEX(INDIRECT("'Выгрузка'!A2628:Z2628"),Настройки!$B$7)),",","."),".",MID(1/2,2,1)),"")</f>
        <v/>
      </c>
      <c r="B2628">
        <f>IFERROR(--SUBSTITUTE(SUBSTITUTE(TRIM(INDEX(INDIRECT("'Выгрузка'!A2628:Z2628"),Настройки!$B$9)),",","."),".",MID(1/2,2,1)),"")</f>
        <v/>
      </c>
      <c r="C2628">
        <f>TRIM(INDEX(INDIRECT("'Выгрузка'!A2628:Z2628"),Настройки!$B$8)&amp;"")</f>
        <v/>
      </c>
      <c r="D2628">
        <f>IFERROR(--SUBSTITUTE(SUBSTITUTE(TRIM(INDEX(INDIRECT("'Выгрузка'!A2628:Z2628"),Настройки!$B$10)),",","."),".",MID(1/2,2,1)),"")</f>
        <v/>
      </c>
      <c r="E2628">
        <f>IFERROR(--SUBSTITUTE(SUBSTITUTE(TRIM(INDEX(INDIRECT("'Выгрузка'!A2628:Z2628"),Настройки!$B$11)),",","."),".",MID(1/2,2,1)),"")</f>
        <v/>
      </c>
      <c r="F2628">
        <f>TRIM(INDEX(INDIRECT("'Выгрузка'!A2628:Z2628"),Настройки!$B$12)&amp;"")</f>
        <v/>
      </c>
      <c r="G2628">
        <f>IF(F2628="",0,IF(TRIM(INDEX(INDIRECT("'Выгрузка'!A2628:Z2628"),Настройки!$B$13)&amp;"")="",1,IFERROR(--SUBSTITUTE(SUBSTITUTE(TRIM(INDEX(INDIRECT("'Выгрузка'!A2628:Z2628"),Настройки!$B$13)),",","."),".",MID(1/2,2,1)),"")))</f>
        <v/>
      </c>
      <c r="H2628">
        <f>IF(F2628="",0,IF(COUNTIF(Настройки!$B$17:$B$26,F2628)&gt;0,1,IF(COUNTIF(Настройки!$C$17:$C$26,F2628)&gt;0,2,IF(COUNTIF(Настройки!$D$17:$D$26,F2628)&gt;0,3,0))))</f>
        <v/>
      </c>
      <c r="I2628">
        <f>IF(AND(ISNUMBER(A2628),ISNUMBER(B2628)),A2628*1000+B2628,"")</f>
        <v/>
      </c>
      <c r="J2628">
        <f>IF(I2628="","",IF(COUNTIF(I$2:I2628,I2628)=1,MAX(J$1:J2627)+1,""))</f>
        <v/>
      </c>
    </row>
    <row r="2629">
      <c r="A2629">
        <f>IFERROR(--SUBSTITUTE(SUBSTITUTE(TRIM(INDEX(INDIRECT("'Выгрузка'!A2629:Z2629"),Настройки!$B$7)),",","."),".",MID(1/2,2,1)),"")</f>
        <v/>
      </c>
      <c r="B2629">
        <f>IFERROR(--SUBSTITUTE(SUBSTITUTE(TRIM(INDEX(INDIRECT("'Выгрузка'!A2629:Z2629"),Настройки!$B$9)),",","."),".",MID(1/2,2,1)),"")</f>
        <v/>
      </c>
      <c r="C2629">
        <f>TRIM(INDEX(INDIRECT("'Выгрузка'!A2629:Z2629"),Настройки!$B$8)&amp;"")</f>
        <v/>
      </c>
      <c r="D2629">
        <f>IFERROR(--SUBSTITUTE(SUBSTITUTE(TRIM(INDEX(INDIRECT("'Выгрузка'!A2629:Z2629"),Настройки!$B$10)),",","."),".",MID(1/2,2,1)),"")</f>
        <v/>
      </c>
      <c r="E2629">
        <f>IFERROR(--SUBSTITUTE(SUBSTITUTE(TRIM(INDEX(INDIRECT("'Выгрузка'!A2629:Z2629"),Настройки!$B$11)),",","."),".",MID(1/2,2,1)),"")</f>
        <v/>
      </c>
      <c r="F2629">
        <f>TRIM(INDEX(INDIRECT("'Выгрузка'!A2629:Z2629"),Настройки!$B$12)&amp;"")</f>
        <v/>
      </c>
      <c r="G2629">
        <f>IF(F2629="",0,IF(TRIM(INDEX(INDIRECT("'Выгрузка'!A2629:Z2629"),Настройки!$B$13)&amp;"")="",1,IFERROR(--SUBSTITUTE(SUBSTITUTE(TRIM(INDEX(INDIRECT("'Выгрузка'!A2629:Z2629"),Настройки!$B$13)),",","."),".",MID(1/2,2,1)),"")))</f>
        <v/>
      </c>
      <c r="H2629">
        <f>IF(F2629="",0,IF(COUNTIF(Настройки!$B$17:$B$26,F2629)&gt;0,1,IF(COUNTIF(Настройки!$C$17:$C$26,F2629)&gt;0,2,IF(COUNTIF(Настройки!$D$17:$D$26,F2629)&gt;0,3,0))))</f>
        <v/>
      </c>
      <c r="I2629">
        <f>IF(AND(ISNUMBER(A2629),ISNUMBER(B2629)),A2629*1000+B2629,"")</f>
        <v/>
      </c>
      <c r="J2629">
        <f>IF(I2629="","",IF(COUNTIF(I$2:I2629,I2629)=1,MAX(J$1:J2628)+1,""))</f>
        <v/>
      </c>
    </row>
    <row r="2630">
      <c r="A2630">
        <f>IFERROR(--SUBSTITUTE(SUBSTITUTE(TRIM(INDEX(INDIRECT("'Выгрузка'!A2630:Z2630"),Настройки!$B$7)),",","."),".",MID(1/2,2,1)),"")</f>
        <v/>
      </c>
      <c r="B2630">
        <f>IFERROR(--SUBSTITUTE(SUBSTITUTE(TRIM(INDEX(INDIRECT("'Выгрузка'!A2630:Z2630"),Настройки!$B$9)),",","."),".",MID(1/2,2,1)),"")</f>
        <v/>
      </c>
      <c r="C2630">
        <f>TRIM(INDEX(INDIRECT("'Выгрузка'!A2630:Z2630"),Настройки!$B$8)&amp;"")</f>
        <v/>
      </c>
      <c r="D2630">
        <f>IFERROR(--SUBSTITUTE(SUBSTITUTE(TRIM(INDEX(INDIRECT("'Выгрузка'!A2630:Z2630"),Настройки!$B$10)),",","."),".",MID(1/2,2,1)),"")</f>
        <v/>
      </c>
      <c r="E2630">
        <f>IFERROR(--SUBSTITUTE(SUBSTITUTE(TRIM(INDEX(INDIRECT("'Выгрузка'!A2630:Z2630"),Настройки!$B$11)),",","."),".",MID(1/2,2,1)),"")</f>
        <v/>
      </c>
      <c r="F2630">
        <f>TRIM(INDEX(INDIRECT("'Выгрузка'!A2630:Z2630"),Настройки!$B$12)&amp;"")</f>
        <v/>
      </c>
      <c r="G2630">
        <f>IF(F2630="",0,IF(TRIM(INDEX(INDIRECT("'Выгрузка'!A2630:Z2630"),Настройки!$B$13)&amp;"")="",1,IFERROR(--SUBSTITUTE(SUBSTITUTE(TRIM(INDEX(INDIRECT("'Выгрузка'!A2630:Z2630"),Настройки!$B$13)),",","."),".",MID(1/2,2,1)),"")))</f>
        <v/>
      </c>
      <c r="H2630">
        <f>IF(F2630="",0,IF(COUNTIF(Настройки!$B$17:$B$26,F2630)&gt;0,1,IF(COUNTIF(Настройки!$C$17:$C$26,F2630)&gt;0,2,IF(COUNTIF(Настройки!$D$17:$D$26,F2630)&gt;0,3,0))))</f>
        <v/>
      </c>
      <c r="I2630">
        <f>IF(AND(ISNUMBER(A2630),ISNUMBER(B2630)),A2630*1000+B2630,"")</f>
        <v/>
      </c>
      <c r="J2630">
        <f>IF(I2630="","",IF(COUNTIF(I$2:I2630,I2630)=1,MAX(J$1:J2629)+1,""))</f>
        <v/>
      </c>
    </row>
    <row r="2631">
      <c r="A2631">
        <f>IFERROR(--SUBSTITUTE(SUBSTITUTE(TRIM(INDEX(INDIRECT("'Выгрузка'!A2631:Z2631"),Настройки!$B$7)),",","."),".",MID(1/2,2,1)),"")</f>
        <v/>
      </c>
      <c r="B2631">
        <f>IFERROR(--SUBSTITUTE(SUBSTITUTE(TRIM(INDEX(INDIRECT("'Выгрузка'!A2631:Z2631"),Настройки!$B$9)),",","."),".",MID(1/2,2,1)),"")</f>
        <v/>
      </c>
      <c r="C2631">
        <f>TRIM(INDEX(INDIRECT("'Выгрузка'!A2631:Z2631"),Настройки!$B$8)&amp;"")</f>
        <v/>
      </c>
      <c r="D2631">
        <f>IFERROR(--SUBSTITUTE(SUBSTITUTE(TRIM(INDEX(INDIRECT("'Выгрузка'!A2631:Z2631"),Настройки!$B$10)),",","."),".",MID(1/2,2,1)),"")</f>
        <v/>
      </c>
      <c r="E2631">
        <f>IFERROR(--SUBSTITUTE(SUBSTITUTE(TRIM(INDEX(INDIRECT("'Выгрузка'!A2631:Z2631"),Настройки!$B$11)),",","."),".",MID(1/2,2,1)),"")</f>
        <v/>
      </c>
      <c r="F2631">
        <f>TRIM(INDEX(INDIRECT("'Выгрузка'!A2631:Z2631"),Настройки!$B$12)&amp;"")</f>
        <v/>
      </c>
      <c r="G2631">
        <f>IF(F2631="",0,IF(TRIM(INDEX(INDIRECT("'Выгрузка'!A2631:Z2631"),Настройки!$B$13)&amp;"")="",1,IFERROR(--SUBSTITUTE(SUBSTITUTE(TRIM(INDEX(INDIRECT("'Выгрузка'!A2631:Z2631"),Настройки!$B$13)),",","."),".",MID(1/2,2,1)),"")))</f>
        <v/>
      </c>
      <c r="H2631">
        <f>IF(F2631="",0,IF(COUNTIF(Настройки!$B$17:$B$26,F2631)&gt;0,1,IF(COUNTIF(Настройки!$C$17:$C$26,F2631)&gt;0,2,IF(COUNTIF(Настройки!$D$17:$D$26,F2631)&gt;0,3,0))))</f>
        <v/>
      </c>
      <c r="I2631">
        <f>IF(AND(ISNUMBER(A2631),ISNUMBER(B2631)),A2631*1000+B2631,"")</f>
        <v/>
      </c>
      <c r="J2631">
        <f>IF(I2631="","",IF(COUNTIF(I$2:I2631,I2631)=1,MAX(J$1:J2630)+1,""))</f>
        <v/>
      </c>
    </row>
    <row r="2632">
      <c r="A2632">
        <f>IFERROR(--SUBSTITUTE(SUBSTITUTE(TRIM(INDEX(INDIRECT("'Выгрузка'!A2632:Z2632"),Настройки!$B$7)),",","."),".",MID(1/2,2,1)),"")</f>
        <v/>
      </c>
      <c r="B2632">
        <f>IFERROR(--SUBSTITUTE(SUBSTITUTE(TRIM(INDEX(INDIRECT("'Выгрузка'!A2632:Z2632"),Настройки!$B$9)),",","."),".",MID(1/2,2,1)),"")</f>
        <v/>
      </c>
      <c r="C2632">
        <f>TRIM(INDEX(INDIRECT("'Выгрузка'!A2632:Z2632"),Настройки!$B$8)&amp;"")</f>
        <v/>
      </c>
      <c r="D2632">
        <f>IFERROR(--SUBSTITUTE(SUBSTITUTE(TRIM(INDEX(INDIRECT("'Выгрузка'!A2632:Z2632"),Настройки!$B$10)),",","."),".",MID(1/2,2,1)),"")</f>
        <v/>
      </c>
      <c r="E2632">
        <f>IFERROR(--SUBSTITUTE(SUBSTITUTE(TRIM(INDEX(INDIRECT("'Выгрузка'!A2632:Z2632"),Настройки!$B$11)),",","."),".",MID(1/2,2,1)),"")</f>
        <v/>
      </c>
      <c r="F2632">
        <f>TRIM(INDEX(INDIRECT("'Выгрузка'!A2632:Z2632"),Настройки!$B$12)&amp;"")</f>
        <v/>
      </c>
      <c r="G2632">
        <f>IF(F2632="",0,IF(TRIM(INDEX(INDIRECT("'Выгрузка'!A2632:Z2632"),Настройки!$B$13)&amp;"")="",1,IFERROR(--SUBSTITUTE(SUBSTITUTE(TRIM(INDEX(INDIRECT("'Выгрузка'!A2632:Z2632"),Настройки!$B$13)),",","."),".",MID(1/2,2,1)),"")))</f>
        <v/>
      </c>
      <c r="H2632">
        <f>IF(F2632="",0,IF(COUNTIF(Настройки!$B$17:$B$26,F2632)&gt;0,1,IF(COUNTIF(Настройки!$C$17:$C$26,F2632)&gt;0,2,IF(COUNTIF(Настройки!$D$17:$D$26,F2632)&gt;0,3,0))))</f>
        <v/>
      </c>
      <c r="I2632">
        <f>IF(AND(ISNUMBER(A2632),ISNUMBER(B2632)),A2632*1000+B2632,"")</f>
        <v/>
      </c>
      <c r="J2632">
        <f>IF(I2632="","",IF(COUNTIF(I$2:I2632,I2632)=1,MAX(J$1:J2631)+1,""))</f>
        <v/>
      </c>
    </row>
    <row r="2633">
      <c r="A2633">
        <f>IFERROR(--SUBSTITUTE(SUBSTITUTE(TRIM(INDEX(INDIRECT("'Выгрузка'!A2633:Z2633"),Настройки!$B$7)),",","."),".",MID(1/2,2,1)),"")</f>
        <v/>
      </c>
      <c r="B2633">
        <f>IFERROR(--SUBSTITUTE(SUBSTITUTE(TRIM(INDEX(INDIRECT("'Выгрузка'!A2633:Z2633"),Настройки!$B$9)),",","."),".",MID(1/2,2,1)),"")</f>
        <v/>
      </c>
      <c r="C2633">
        <f>TRIM(INDEX(INDIRECT("'Выгрузка'!A2633:Z2633"),Настройки!$B$8)&amp;"")</f>
        <v/>
      </c>
      <c r="D2633">
        <f>IFERROR(--SUBSTITUTE(SUBSTITUTE(TRIM(INDEX(INDIRECT("'Выгрузка'!A2633:Z2633"),Настройки!$B$10)),",","."),".",MID(1/2,2,1)),"")</f>
        <v/>
      </c>
      <c r="E2633">
        <f>IFERROR(--SUBSTITUTE(SUBSTITUTE(TRIM(INDEX(INDIRECT("'Выгрузка'!A2633:Z2633"),Настройки!$B$11)),",","."),".",MID(1/2,2,1)),"")</f>
        <v/>
      </c>
      <c r="F2633">
        <f>TRIM(INDEX(INDIRECT("'Выгрузка'!A2633:Z2633"),Настройки!$B$12)&amp;"")</f>
        <v/>
      </c>
      <c r="G2633">
        <f>IF(F2633="",0,IF(TRIM(INDEX(INDIRECT("'Выгрузка'!A2633:Z2633"),Настройки!$B$13)&amp;"")="",1,IFERROR(--SUBSTITUTE(SUBSTITUTE(TRIM(INDEX(INDIRECT("'Выгрузка'!A2633:Z2633"),Настройки!$B$13)),",","."),".",MID(1/2,2,1)),"")))</f>
        <v/>
      </c>
      <c r="H2633">
        <f>IF(F2633="",0,IF(COUNTIF(Настройки!$B$17:$B$26,F2633)&gt;0,1,IF(COUNTIF(Настройки!$C$17:$C$26,F2633)&gt;0,2,IF(COUNTIF(Настройки!$D$17:$D$26,F2633)&gt;0,3,0))))</f>
        <v/>
      </c>
      <c r="I2633">
        <f>IF(AND(ISNUMBER(A2633),ISNUMBER(B2633)),A2633*1000+B2633,"")</f>
        <v/>
      </c>
      <c r="J2633">
        <f>IF(I2633="","",IF(COUNTIF(I$2:I2633,I2633)=1,MAX(J$1:J2632)+1,""))</f>
        <v/>
      </c>
    </row>
    <row r="2634">
      <c r="A2634">
        <f>IFERROR(--SUBSTITUTE(SUBSTITUTE(TRIM(INDEX(INDIRECT("'Выгрузка'!A2634:Z2634"),Настройки!$B$7)),",","."),".",MID(1/2,2,1)),"")</f>
        <v/>
      </c>
      <c r="B2634">
        <f>IFERROR(--SUBSTITUTE(SUBSTITUTE(TRIM(INDEX(INDIRECT("'Выгрузка'!A2634:Z2634"),Настройки!$B$9)),",","."),".",MID(1/2,2,1)),"")</f>
        <v/>
      </c>
      <c r="C2634">
        <f>TRIM(INDEX(INDIRECT("'Выгрузка'!A2634:Z2634"),Настройки!$B$8)&amp;"")</f>
        <v/>
      </c>
      <c r="D2634">
        <f>IFERROR(--SUBSTITUTE(SUBSTITUTE(TRIM(INDEX(INDIRECT("'Выгрузка'!A2634:Z2634"),Настройки!$B$10)),",","."),".",MID(1/2,2,1)),"")</f>
        <v/>
      </c>
      <c r="E2634">
        <f>IFERROR(--SUBSTITUTE(SUBSTITUTE(TRIM(INDEX(INDIRECT("'Выгрузка'!A2634:Z2634"),Настройки!$B$11)),",","."),".",MID(1/2,2,1)),"")</f>
        <v/>
      </c>
      <c r="F2634">
        <f>TRIM(INDEX(INDIRECT("'Выгрузка'!A2634:Z2634"),Настройки!$B$12)&amp;"")</f>
        <v/>
      </c>
      <c r="G2634">
        <f>IF(F2634="",0,IF(TRIM(INDEX(INDIRECT("'Выгрузка'!A2634:Z2634"),Настройки!$B$13)&amp;"")="",1,IFERROR(--SUBSTITUTE(SUBSTITUTE(TRIM(INDEX(INDIRECT("'Выгрузка'!A2634:Z2634"),Настройки!$B$13)),",","."),".",MID(1/2,2,1)),"")))</f>
        <v/>
      </c>
      <c r="H2634">
        <f>IF(F2634="",0,IF(COUNTIF(Настройки!$B$17:$B$26,F2634)&gt;0,1,IF(COUNTIF(Настройки!$C$17:$C$26,F2634)&gt;0,2,IF(COUNTIF(Настройки!$D$17:$D$26,F2634)&gt;0,3,0))))</f>
        <v/>
      </c>
      <c r="I2634">
        <f>IF(AND(ISNUMBER(A2634),ISNUMBER(B2634)),A2634*1000+B2634,"")</f>
        <v/>
      </c>
      <c r="J2634">
        <f>IF(I2634="","",IF(COUNTIF(I$2:I2634,I2634)=1,MAX(J$1:J2633)+1,""))</f>
        <v/>
      </c>
    </row>
    <row r="2635">
      <c r="A2635">
        <f>IFERROR(--SUBSTITUTE(SUBSTITUTE(TRIM(INDEX(INDIRECT("'Выгрузка'!A2635:Z2635"),Настройки!$B$7)),",","."),".",MID(1/2,2,1)),"")</f>
        <v/>
      </c>
      <c r="B2635">
        <f>IFERROR(--SUBSTITUTE(SUBSTITUTE(TRIM(INDEX(INDIRECT("'Выгрузка'!A2635:Z2635"),Настройки!$B$9)),",","."),".",MID(1/2,2,1)),"")</f>
        <v/>
      </c>
      <c r="C2635">
        <f>TRIM(INDEX(INDIRECT("'Выгрузка'!A2635:Z2635"),Настройки!$B$8)&amp;"")</f>
        <v/>
      </c>
      <c r="D2635">
        <f>IFERROR(--SUBSTITUTE(SUBSTITUTE(TRIM(INDEX(INDIRECT("'Выгрузка'!A2635:Z2635"),Настройки!$B$10)),",","."),".",MID(1/2,2,1)),"")</f>
        <v/>
      </c>
      <c r="E2635">
        <f>IFERROR(--SUBSTITUTE(SUBSTITUTE(TRIM(INDEX(INDIRECT("'Выгрузка'!A2635:Z2635"),Настройки!$B$11)),",","."),".",MID(1/2,2,1)),"")</f>
        <v/>
      </c>
      <c r="F2635">
        <f>TRIM(INDEX(INDIRECT("'Выгрузка'!A2635:Z2635"),Настройки!$B$12)&amp;"")</f>
        <v/>
      </c>
      <c r="G2635">
        <f>IF(F2635="",0,IF(TRIM(INDEX(INDIRECT("'Выгрузка'!A2635:Z2635"),Настройки!$B$13)&amp;"")="",1,IFERROR(--SUBSTITUTE(SUBSTITUTE(TRIM(INDEX(INDIRECT("'Выгрузка'!A2635:Z2635"),Настройки!$B$13)),",","."),".",MID(1/2,2,1)),"")))</f>
        <v/>
      </c>
      <c r="H2635">
        <f>IF(F2635="",0,IF(COUNTIF(Настройки!$B$17:$B$26,F2635)&gt;0,1,IF(COUNTIF(Настройки!$C$17:$C$26,F2635)&gt;0,2,IF(COUNTIF(Настройки!$D$17:$D$26,F2635)&gt;0,3,0))))</f>
        <v/>
      </c>
      <c r="I2635">
        <f>IF(AND(ISNUMBER(A2635),ISNUMBER(B2635)),A2635*1000+B2635,"")</f>
        <v/>
      </c>
      <c r="J2635">
        <f>IF(I2635="","",IF(COUNTIF(I$2:I2635,I2635)=1,MAX(J$1:J2634)+1,""))</f>
        <v/>
      </c>
    </row>
    <row r="2636">
      <c r="A2636">
        <f>IFERROR(--SUBSTITUTE(SUBSTITUTE(TRIM(INDEX(INDIRECT("'Выгрузка'!A2636:Z2636"),Настройки!$B$7)),",","."),".",MID(1/2,2,1)),"")</f>
        <v/>
      </c>
      <c r="B2636">
        <f>IFERROR(--SUBSTITUTE(SUBSTITUTE(TRIM(INDEX(INDIRECT("'Выгрузка'!A2636:Z2636"),Настройки!$B$9)),",","."),".",MID(1/2,2,1)),"")</f>
        <v/>
      </c>
      <c r="C2636">
        <f>TRIM(INDEX(INDIRECT("'Выгрузка'!A2636:Z2636"),Настройки!$B$8)&amp;"")</f>
        <v/>
      </c>
      <c r="D2636">
        <f>IFERROR(--SUBSTITUTE(SUBSTITUTE(TRIM(INDEX(INDIRECT("'Выгрузка'!A2636:Z2636"),Настройки!$B$10)),",","."),".",MID(1/2,2,1)),"")</f>
        <v/>
      </c>
      <c r="E2636">
        <f>IFERROR(--SUBSTITUTE(SUBSTITUTE(TRIM(INDEX(INDIRECT("'Выгрузка'!A2636:Z2636"),Настройки!$B$11)),",","."),".",MID(1/2,2,1)),"")</f>
        <v/>
      </c>
      <c r="F2636">
        <f>TRIM(INDEX(INDIRECT("'Выгрузка'!A2636:Z2636"),Настройки!$B$12)&amp;"")</f>
        <v/>
      </c>
      <c r="G2636">
        <f>IF(F2636="",0,IF(TRIM(INDEX(INDIRECT("'Выгрузка'!A2636:Z2636"),Настройки!$B$13)&amp;"")="",1,IFERROR(--SUBSTITUTE(SUBSTITUTE(TRIM(INDEX(INDIRECT("'Выгрузка'!A2636:Z2636"),Настройки!$B$13)),",","."),".",MID(1/2,2,1)),"")))</f>
        <v/>
      </c>
      <c r="H2636">
        <f>IF(F2636="",0,IF(COUNTIF(Настройки!$B$17:$B$26,F2636)&gt;0,1,IF(COUNTIF(Настройки!$C$17:$C$26,F2636)&gt;0,2,IF(COUNTIF(Настройки!$D$17:$D$26,F2636)&gt;0,3,0))))</f>
        <v/>
      </c>
      <c r="I2636">
        <f>IF(AND(ISNUMBER(A2636),ISNUMBER(B2636)),A2636*1000+B2636,"")</f>
        <v/>
      </c>
      <c r="J2636">
        <f>IF(I2636="","",IF(COUNTIF(I$2:I2636,I2636)=1,MAX(J$1:J2635)+1,""))</f>
        <v/>
      </c>
    </row>
    <row r="2637">
      <c r="A2637">
        <f>IFERROR(--SUBSTITUTE(SUBSTITUTE(TRIM(INDEX(INDIRECT("'Выгрузка'!A2637:Z2637"),Настройки!$B$7)),",","."),".",MID(1/2,2,1)),"")</f>
        <v/>
      </c>
      <c r="B2637">
        <f>IFERROR(--SUBSTITUTE(SUBSTITUTE(TRIM(INDEX(INDIRECT("'Выгрузка'!A2637:Z2637"),Настройки!$B$9)),",","."),".",MID(1/2,2,1)),"")</f>
        <v/>
      </c>
      <c r="C2637">
        <f>TRIM(INDEX(INDIRECT("'Выгрузка'!A2637:Z2637"),Настройки!$B$8)&amp;"")</f>
        <v/>
      </c>
      <c r="D2637">
        <f>IFERROR(--SUBSTITUTE(SUBSTITUTE(TRIM(INDEX(INDIRECT("'Выгрузка'!A2637:Z2637"),Настройки!$B$10)),",","."),".",MID(1/2,2,1)),"")</f>
        <v/>
      </c>
      <c r="E2637">
        <f>IFERROR(--SUBSTITUTE(SUBSTITUTE(TRIM(INDEX(INDIRECT("'Выгрузка'!A2637:Z2637"),Настройки!$B$11)),",","."),".",MID(1/2,2,1)),"")</f>
        <v/>
      </c>
      <c r="F2637">
        <f>TRIM(INDEX(INDIRECT("'Выгрузка'!A2637:Z2637"),Настройки!$B$12)&amp;"")</f>
        <v/>
      </c>
      <c r="G2637">
        <f>IF(F2637="",0,IF(TRIM(INDEX(INDIRECT("'Выгрузка'!A2637:Z2637"),Настройки!$B$13)&amp;"")="",1,IFERROR(--SUBSTITUTE(SUBSTITUTE(TRIM(INDEX(INDIRECT("'Выгрузка'!A2637:Z2637"),Настройки!$B$13)),",","."),".",MID(1/2,2,1)),"")))</f>
        <v/>
      </c>
      <c r="H2637">
        <f>IF(F2637="",0,IF(COUNTIF(Настройки!$B$17:$B$26,F2637)&gt;0,1,IF(COUNTIF(Настройки!$C$17:$C$26,F2637)&gt;0,2,IF(COUNTIF(Настройки!$D$17:$D$26,F2637)&gt;0,3,0))))</f>
        <v/>
      </c>
      <c r="I2637">
        <f>IF(AND(ISNUMBER(A2637),ISNUMBER(B2637)),A2637*1000+B2637,"")</f>
        <v/>
      </c>
      <c r="J2637">
        <f>IF(I2637="","",IF(COUNTIF(I$2:I2637,I2637)=1,MAX(J$1:J2636)+1,""))</f>
        <v/>
      </c>
    </row>
    <row r="2638">
      <c r="A2638">
        <f>IFERROR(--SUBSTITUTE(SUBSTITUTE(TRIM(INDEX(INDIRECT("'Выгрузка'!A2638:Z2638"),Настройки!$B$7)),",","."),".",MID(1/2,2,1)),"")</f>
        <v/>
      </c>
      <c r="B2638">
        <f>IFERROR(--SUBSTITUTE(SUBSTITUTE(TRIM(INDEX(INDIRECT("'Выгрузка'!A2638:Z2638"),Настройки!$B$9)),",","."),".",MID(1/2,2,1)),"")</f>
        <v/>
      </c>
      <c r="C2638">
        <f>TRIM(INDEX(INDIRECT("'Выгрузка'!A2638:Z2638"),Настройки!$B$8)&amp;"")</f>
        <v/>
      </c>
      <c r="D2638">
        <f>IFERROR(--SUBSTITUTE(SUBSTITUTE(TRIM(INDEX(INDIRECT("'Выгрузка'!A2638:Z2638"),Настройки!$B$10)),",","."),".",MID(1/2,2,1)),"")</f>
        <v/>
      </c>
      <c r="E2638">
        <f>IFERROR(--SUBSTITUTE(SUBSTITUTE(TRIM(INDEX(INDIRECT("'Выгрузка'!A2638:Z2638"),Настройки!$B$11)),",","."),".",MID(1/2,2,1)),"")</f>
        <v/>
      </c>
      <c r="F2638">
        <f>TRIM(INDEX(INDIRECT("'Выгрузка'!A2638:Z2638"),Настройки!$B$12)&amp;"")</f>
        <v/>
      </c>
      <c r="G2638">
        <f>IF(F2638="",0,IF(TRIM(INDEX(INDIRECT("'Выгрузка'!A2638:Z2638"),Настройки!$B$13)&amp;"")="",1,IFERROR(--SUBSTITUTE(SUBSTITUTE(TRIM(INDEX(INDIRECT("'Выгрузка'!A2638:Z2638"),Настройки!$B$13)),",","."),".",MID(1/2,2,1)),"")))</f>
        <v/>
      </c>
      <c r="H2638">
        <f>IF(F2638="",0,IF(COUNTIF(Настройки!$B$17:$B$26,F2638)&gt;0,1,IF(COUNTIF(Настройки!$C$17:$C$26,F2638)&gt;0,2,IF(COUNTIF(Настройки!$D$17:$D$26,F2638)&gt;0,3,0))))</f>
        <v/>
      </c>
      <c r="I2638">
        <f>IF(AND(ISNUMBER(A2638),ISNUMBER(B2638)),A2638*1000+B2638,"")</f>
        <v/>
      </c>
      <c r="J2638">
        <f>IF(I2638="","",IF(COUNTIF(I$2:I2638,I2638)=1,MAX(J$1:J2637)+1,""))</f>
        <v/>
      </c>
    </row>
    <row r="2639">
      <c r="A2639">
        <f>IFERROR(--SUBSTITUTE(SUBSTITUTE(TRIM(INDEX(INDIRECT("'Выгрузка'!A2639:Z2639"),Настройки!$B$7)),",","."),".",MID(1/2,2,1)),"")</f>
        <v/>
      </c>
      <c r="B2639">
        <f>IFERROR(--SUBSTITUTE(SUBSTITUTE(TRIM(INDEX(INDIRECT("'Выгрузка'!A2639:Z2639"),Настройки!$B$9)),",","."),".",MID(1/2,2,1)),"")</f>
        <v/>
      </c>
      <c r="C2639">
        <f>TRIM(INDEX(INDIRECT("'Выгрузка'!A2639:Z2639"),Настройки!$B$8)&amp;"")</f>
        <v/>
      </c>
      <c r="D2639">
        <f>IFERROR(--SUBSTITUTE(SUBSTITUTE(TRIM(INDEX(INDIRECT("'Выгрузка'!A2639:Z2639"),Настройки!$B$10)),",","."),".",MID(1/2,2,1)),"")</f>
        <v/>
      </c>
      <c r="E2639">
        <f>IFERROR(--SUBSTITUTE(SUBSTITUTE(TRIM(INDEX(INDIRECT("'Выгрузка'!A2639:Z2639"),Настройки!$B$11)),",","."),".",MID(1/2,2,1)),"")</f>
        <v/>
      </c>
      <c r="F2639">
        <f>TRIM(INDEX(INDIRECT("'Выгрузка'!A2639:Z2639"),Настройки!$B$12)&amp;"")</f>
        <v/>
      </c>
      <c r="G2639">
        <f>IF(F2639="",0,IF(TRIM(INDEX(INDIRECT("'Выгрузка'!A2639:Z2639"),Настройки!$B$13)&amp;"")="",1,IFERROR(--SUBSTITUTE(SUBSTITUTE(TRIM(INDEX(INDIRECT("'Выгрузка'!A2639:Z2639"),Настройки!$B$13)),",","."),".",MID(1/2,2,1)),"")))</f>
        <v/>
      </c>
      <c r="H2639">
        <f>IF(F2639="",0,IF(COUNTIF(Настройки!$B$17:$B$26,F2639)&gt;0,1,IF(COUNTIF(Настройки!$C$17:$C$26,F2639)&gt;0,2,IF(COUNTIF(Настройки!$D$17:$D$26,F2639)&gt;0,3,0))))</f>
        <v/>
      </c>
      <c r="I2639">
        <f>IF(AND(ISNUMBER(A2639),ISNUMBER(B2639)),A2639*1000+B2639,"")</f>
        <v/>
      </c>
      <c r="J2639">
        <f>IF(I2639="","",IF(COUNTIF(I$2:I2639,I2639)=1,MAX(J$1:J2638)+1,""))</f>
        <v/>
      </c>
    </row>
    <row r="2640">
      <c r="A2640">
        <f>IFERROR(--SUBSTITUTE(SUBSTITUTE(TRIM(INDEX(INDIRECT("'Выгрузка'!A2640:Z2640"),Настройки!$B$7)),",","."),".",MID(1/2,2,1)),"")</f>
        <v/>
      </c>
      <c r="B2640">
        <f>IFERROR(--SUBSTITUTE(SUBSTITUTE(TRIM(INDEX(INDIRECT("'Выгрузка'!A2640:Z2640"),Настройки!$B$9)),",","."),".",MID(1/2,2,1)),"")</f>
        <v/>
      </c>
      <c r="C2640">
        <f>TRIM(INDEX(INDIRECT("'Выгрузка'!A2640:Z2640"),Настройки!$B$8)&amp;"")</f>
        <v/>
      </c>
      <c r="D2640">
        <f>IFERROR(--SUBSTITUTE(SUBSTITUTE(TRIM(INDEX(INDIRECT("'Выгрузка'!A2640:Z2640"),Настройки!$B$10)),",","."),".",MID(1/2,2,1)),"")</f>
        <v/>
      </c>
      <c r="E2640">
        <f>IFERROR(--SUBSTITUTE(SUBSTITUTE(TRIM(INDEX(INDIRECT("'Выгрузка'!A2640:Z2640"),Настройки!$B$11)),",","."),".",MID(1/2,2,1)),"")</f>
        <v/>
      </c>
      <c r="F2640">
        <f>TRIM(INDEX(INDIRECT("'Выгрузка'!A2640:Z2640"),Настройки!$B$12)&amp;"")</f>
        <v/>
      </c>
      <c r="G2640">
        <f>IF(F2640="",0,IF(TRIM(INDEX(INDIRECT("'Выгрузка'!A2640:Z2640"),Настройки!$B$13)&amp;"")="",1,IFERROR(--SUBSTITUTE(SUBSTITUTE(TRIM(INDEX(INDIRECT("'Выгрузка'!A2640:Z2640"),Настройки!$B$13)),",","."),".",MID(1/2,2,1)),"")))</f>
        <v/>
      </c>
      <c r="H2640">
        <f>IF(F2640="",0,IF(COUNTIF(Настройки!$B$17:$B$26,F2640)&gt;0,1,IF(COUNTIF(Настройки!$C$17:$C$26,F2640)&gt;0,2,IF(COUNTIF(Настройки!$D$17:$D$26,F2640)&gt;0,3,0))))</f>
        <v/>
      </c>
      <c r="I2640">
        <f>IF(AND(ISNUMBER(A2640),ISNUMBER(B2640)),A2640*1000+B2640,"")</f>
        <v/>
      </c>
      <c r="J2640">
        <f>IF(I2640="","",IF(COUNTIF(I$2:I2640,I2640)=1,MAX(J$1:J2639)+1,""))</f>
        <v/>
      </c>
    </row>
    <row r="2641">
      <c r="A2641">
        <f>IFERROR(--SUBSTITUTE(SUBSTITUTE(TRIM(INDEX(INDIRECT("'Выгрузка'!A2641:Z2641"),Настройки!$B$7)),",","."),".",MID(1/2,2,1)),"")</f>
        <v/>
      </c>
      <c r="B2641">
        <f>IFERROR(--SUBSTITUTE(SUBSTITUTE(TRIM(INDEX(INDIRECT("'Выгрузка'!A2641:Z2641"),Настройки!$B$9)),",","."),".",MID(1/2,2,1)),"")</f>
        <v/>
      </c>
      <c r="C2641">
        <f>TRIM(INDEX(INDIRECT("'Выгрузка'!A2641:Z2641"),Настройки!$B$8)&amp;"")</f>
        <v/>
      </c>
      <c r="D2641">
        <f>IFERROR(--SUBSTITUTE(SUBSTITUTE(TRIM(INDEX(INDIRECT("'Выгрузка'!A2641:Z2641"),Настройки!$B$10)),",","."),".",MID(1/2,2,1)),"")</f>
        <v/>
      </c>
      <c r="E2641">
        <f>IFERROR(--SUBSTITUTE(SUBSTITUTE(TRIM(INDEX(INDIRECT("'Выгрузка'!A2641:Z2641"),Настройки!$B$11)),",","."),".",MID(1/2,2,1)),"")</f>
        <v/>
      </c>
      <c r="F2641">
        <f>TRIM(INDEX(INDIRECT("'Выгрузка'!A2641:Z2641"),Настройки!$B$12)&amp;"")</f>
        <v/>
      </c>
      <c r="G2641">
        <f>IF(F2641="",0,IF(TRIM(INDEX(INDIRECT("'Выгрузка'!A2641:Z2641"),Настройки!$B$13)&amp;"")="",1,IFERROR(--SUBSTITUTE(SUBSTITUTE(TRIM(INDEX(INDIRECT("'Выгрузка'!A2641:Z2641"),Настройки!$B$13)),",","."),".",MID(1/2,2,1)),"")))</f>
        <v/>
      </c>
      <c r="H2641">
        <f>IF(F2641="",0,IF(COUNTIF(Настройки!$B$17:$B$26,F2641)&gt;0,1,IF(COUNTIF(Настройки!$C$17:$C$26,F2641)&gt;0,2,IF(COUNTIF(Настройки!$D$17:$D$26,F2641)&gt;0,3,0))))</f>
        <v/>
      </c>
      <c r="I2641">
        <f>IF(AND(ISNUMBER(A2641),ISNUMBER(B2641)),A2641*1000+B2641,"")</f>
        <v/>
      </c>
      <c r="J2641">
        <f>IF(I2641="","",IF(COUNTIF(I$2:I2641,I2641)=1,MAX(J$1:J2640)+1,""))</f>
        <v/>
      </c>
    </row>
    <row r="2642">
      <c r="A2642">
        <f>IFERROR(--SUBSTITUTE(SUBSTITUTE(TRIM(INDEX(INDIRECT("'Выгрузка'!A2642:Z2642"),Настройки!$B$7)),",","."),".",MID(1/2,2,1)),"")</f>
        <v/>
      </c>
      <c r="B2642">
        <f>IFERROR(--SUBSTITUTE(SUBSTITUTE(TRIM(INDEX(INDIRECT("'Выгрузка'!A2642:Z2642"),Настройки!$B$9)),",","."),".",MID(1/2,2,1)),"")</f>
        <v/>
      </c>
      <c r="C2642">
        <f>TRIM(INDEX(INDIRECT("'Выгрузка'!A2642:Z2642"),Настройки!$B$8)&amp;"")</f>
        <v/>
      </c>
      <c r="D2642">
        <f>IFERROR(--SUBSTITUTE(SUBSTITUTE(TRIM(INDEX(INDIRECT("'Выгрузка'!A2642:Z2642"),Настройки!$B$10)),",","."),".",MID(1/2,2,1)),"")</f>
        <v/>
      </c>
      <c r="E2642">
        <f>IFERROR(--SUBSTITUTE(SUBSTITUTE(TRIM(INDEX(INDIRECT("'Выгрузка'!A2642:Z2642"),Настройки!$B$11)),",","."),".",MID(1/2,2,1)),"")</f>
        <v/>
      </c>
      <c r="F2642">
        <f>TRIM(INDEX(INDIRECT("'Выгрузка'!A2642:Z2642"),Настройки!$B$12)&amp;"")</f>
        <v/>
      </c>
      <c r="G2642">
        <f>IF(F2642="",0,IF(TRIM(INDEX(INDIRECT("'Выгрузка'!A2642:Z2642"),Настройки!$B$13)&amp;"")="",1,IFERROR(--SUBSTITUTE(SUBSTITUTE(TRIM(INDEX(INDIRECT("'Выгрузка'!A2642:Z2642"),Настройки!$B$13)),",","."),".",MID(1/2,2,1)),"")))</f>
        <v/>
      </c>
      <c r="H2642">
        <f>IF(F2642="",0,IF(COUNTIF(Настройки!$B$17:$B$26,F2642)&gt;0,1,IF(COUNTIF(Настройки!$C$17:$C$26,F2642)&gt;0,2,IF(COUNTIF(Настройки!$D$17:$D$26,F2642)&gt;0,3,0))))</f>
        <v/>
      </c>
      <c r="I2642">
        <f>IF(AND(ISNUMBER(A2642),ISNUMBER(B2642)),A2642*1000+B2642,"")</f>
        <v/>
      </c>
      <c r="J2642">
        <f>IF(I2642="","",IF(COUNTIF(I$2:I2642,I2642)=1,MAX(J$1:J2641)+1,""))</f>
        <v/>
      </c>
    </row>
    <row r="2643">
      <c r="A2643">
        <f>IFERROR(--SUBSTITUTE(SUBSTITUTE(TRIM(INDEX(INDIRECT("'Выгрузка'!A2643:Z2643"),Настройки!$B$7)),",","."),".",MID(1/2,2,1)),"")</f>
        <v/>
      </c>
      <c r="B2643">
        <f>IFERROR(--SUBSTITUTE(SUBSTITUTE(TRIM(INDEX(INDIRECT("'Выгрузка'!A2643:Z2643"),Настройки!$B$9)),",","."),".",MID(1/2,2,1)),"")</f>
        <v/>
      </c>
      <c r="C2643">
        <f>TRIM(INDEX(INDIRECT("'Выгрузка'!A2643:Z2643"),Настройки!$B$8)&amp;"")</f>
        <v/>
      </c>
      <c r="D2643">
        <f>IFERROR(--SUBSTITUTE(SUBSTITUTE(TRIM(INDEX(INDIRECT("'Выгрузка'!A2643:Z2643"),Настройки!$B$10)),",","."),".",MID(1/2,2,1)),"")</f>
        <v/>
      </c>
      <c r="E2643">
        <f>IFERROR(--SUBSTITUTE(SUBSTITUTE(TRIM(INDEX(INDIRECT("'Выгрузка'!A2643:Z2643"),Настройки!$B$11)),",","."),".",MID(1/2,2,1)),"")</f>
        <v/>
      </c>
      <c r="F2643">
        <f>TRIM(INDEX(INDIRECT("'Выгрузка'!A2643:Z2643"),Настройки!$B$12)&amp;"")</f>
        <v/>
      </c>
      <c r="G2643">
        <f>IF(F2643="",0,IF(TRIM(INDEX(INDIRECT("'Выгрузка'!A2643:Z2643"),Настройки!$B$13)&amp;"")="",1,IFERROR(--SUBSTITUTE(SUBSTITUTE(TRIM(INDEX(INDIRECT("'Выгрузка'!A2643:Z2643"),Настройки!$B$13)),",","."),".",MID(1/2,2,1)),"")))</f>
        <v/>
      </c>
      <c r="H2643">
        <f>IF(F2643="",0,IF(COUNTIF(Настройки!$B$17:$B$26,F2643)&gt;0,1,IF(COUNTIF(Настройки!$C$17:$C$26,F2643)&gt;0,2,IF(COUNTIF(Настройки!$D$17:$D$26,F2643)&gt;0,3,0))))</f>
        <v/>
      </c>
      <c r="I2643">
        <f>IF(AND(ISNUMBER(A2643),ISNUMBER(B2643)),A2643*1000+B2643,"")</f>
        <v/>
      </c>
      <c r="J2643">
        <f>IF(I2643="","",IF(COUNTIF(I$2:I2643,I2643)=1,MAX(J$1:J2642)+1,""))</f>
        <v/>
      </c>
    </row>
    <row r="2644">
      <c r="A2644">
        <f>IFERROR(--SUBSTITUTE(SUBSTITUTE(TRIM(INDEX(INDIRECT("'Выгрузка'!A2644:Z2644"),Настройки!$B$7)),",","."),".",MID(1/2,2,1)),"")</f>
        <v/>
      </c>
      <c r="B2644">
        <f>IFERROR(--SUBSTITUTE(SUBSTITUTE(TRIM(INDEX(INDIRECT("'Выгрузка'!A2644:Z2644"),Настройки!$B$9)),",","."),".",MID(1/2,2,1)),"")</f>
        <v/>
      </c>
      <c r="C2644">
        <f>TRIM(INDEX(INDIRECT("'Выгрузка'!A2644:Z2644"),Настройки!$B$8)&amp;"")</f>
        <v/>
      </c>
      <c r="D2644">
        <f>IFERROR(--SUBSTITUTE(SUBSTITUTE(TRIM(INDEX(INDIRECT("'Выгрузка'!A2644:Z2644"),Настройки!$B$10)),",","."),".",MID(1/2,2,1)),"")</f>
        <v/>
      </c>
      <c r="E2644">
        <f>IFERROR(--SUBSTITUTE(SUBSTITUTE(TRIM(INDEX(INDIRECT("'Выгрузка'!A2644:Z2644"),Настройки!$B$11)),",","."),".",MID(1/2,2,1)),"")</f>
        <v/>
      </c>
      <c r="F2644">
        <f>TRIM(INDEX(INDIRECT("'Выгрузка'!A2644:Z2644"),Настройки!$B$12)&amp;"")</f>
        <v/>
      </c>
      <c r="G2644">
        <f>IF(F2644="",0,IF(TRIM(INDEX(INDIRECT("'Выгрузка'!A2644:Z2644"),Настройки!$B$13)&amp;"")="",1,IFERROR(--SUBSTITUTE(SUBSTITUTE(TRIM(INDEX(INDIRECT("'Выгрузка'!A2644:Z2644"),Настройки!$B$13)),",","."),".",MID(1/2,2,1)),"")))</f>
        <v/>
      </c>
      <c r="H2644">
        <f>IF(F2644="",0,IF(COUNTIF(Настройки!$B$17:$B$26,F2644)&gt;0,1,IF(COUNTIF(Настройки!$C$17:$C$26,F2644)&gt;0,2,IF(COUNTIF(Настройки!$D$17:$D$26,F2644)&gt;0,3,0))))</f>
        <v/>
      </c>
      <c r="I2644">
        <f>IF(AND(ISNUMBER(A2644),ISNUMBER(B2644)),A2644*1000+B2644,"")</f>
        <v/>
      </c>
      <c r="J2644">
        <f>IF(I2644="","",IF(COUNTIF(I$2:I2644,I2644)=1,MAX(J$1:J2643)+1,""))</f>
        <v/>
      </c>
    </row>
    <row r="2645">
      <c r="A2645">
        <f>IFERROR(--SUBSTITUTE(SUBSTITUTE(TRIM(INDEX(INDIRECT("'Выгрузка'!A2645:Z2645"),Настройки!$B$7)),",","."),".",MID(1/2,2,1)),"")</f>
        <v/>
      </c>
      <c r="B2645">
        <f>IFERROR(--SUBSTITUTE(SUBSTITUTE(TRIM(INDEX(INDIRECT("'Выгрузка'!A2645:Z2645"),Настройки!$B$9)),",","."),".",MID(1/2,2,1)),"")</f>
        <v/>
      </c>
      <c r="C2645">
        <f>TRIM(INDEX(INDIRECT("'Выгрузка'!A2645:Z2645"),Настройки!$B$8)&amp;"")</f>
        <v/>
      </c>
      <c r="D2645">
        <f>IFERROR(--SUBSTITUTE(SUBSTITUTE(TRIM(INDEX(INDIRECT("'Выгрузка'!A2645:Z2645"),Настройки!$B$10)),",","."),".",MID(1/2,2,1)),"")</f>
        <v/>
      </c>
      <c r="E2645">
        <f>IFERROR(--SUBSTITUTE(SUBSTITUTE(TRIM(INDEX(INDIRECT("'Выгрузка'!A2645:Z2645"),Настройки!$B$11)),",","."),".",MID(1/2,2,1)),"")</f>
        <v/>
      </c>
      <c r="F2645">
        <f>TRIM(INDEX(INDIRECT("'Выгрузка'!A2645:Z2645"),Настройки!$B$12)&amp;"")</f>
        <v/>
      </c>
      <c r="G2645">
        <f>IF(F2645="",0,IF(TRIM(INDEX(INDIRECT("'Выгрузка'!A2645:Z2645"),Настройки!$B$13)&amp;"")="",1,IFERROR(--SUBSTITUTE(SUBSTITUTE(TRIM(INDEX(INDIRECT("'Выгрузка'!A2645:Z2645"),Настройки!$B$13)),",","."),".",MID(1/2,2,1)),"")))</f>
        <v/>
      </c>
      <c r="H2645">
        <f>IF(F2645="",0,IF(COUNTIF(Настройки!$B$17:$B$26,F2645)&gt;0,1,IF(COUNTIF(Настройки!$C$17:$C$26,F2645)&gt;0,2,IF(COUNTIF(Настройки!$D$17:$D$26,F2645)&gt;0,3,0))))</f>
        <v/>
      </c>
      <c r="I2645">
        <f>IF(AND(ISNUMBER(A2645),ISNUMBER(B2645)),A2645*1000+B2645,"")</f>
        <v/>
      </c>
      <c r="J2645">
        <f>IF(I2645="","",IF(COUNTIF(I$2:I2645,I2645)=1,MAX(J$1:J2644)+1,""))</f>
        <v/>
      </c>
    </row>
    <row r="2646">
      <c r="A2646">
        <f>IFERROR(--SUBSTITUTE(SUBSTITUTE(TRIM(INDEX(INDIRECT("'Выгрузка'!A2646:Z2646"),Настройки!$B$7)),",","."),".",MID(1/2,2,1)),"")</f>
        <v/>
      </c>
      <c r="B2646">
        <f>IFERROR(--SUBSTITUTE(SUBSTITUTE(TRIM(INDEX(INDIRECT("'Выгрузка'!A2646:Z2646"),Настройки!$B$9)),",","."),".",MID(1/2,2,1)),"")</f>
        <v/>
      </c>
      <c r="C2646">
        <f>TRIM(INDEX(INDIRECT("'Выгрузка'!A2646:Z2646"),Настройки!$B$8)&amp;"")</f>
        <v/>
      </c>
      <c r="D2646">
        <f>IFERROR(--SUBSTITUTE(SUBSTITUTE(TRIM(INDEX(INDIRECT("'Выгрузка'!A2646:Z2646"),Настройки!$B$10)),",","."),".",MID(1/2,2,1)),"")</f>
        <v/>
      </c>
      <c r="E2646">
        <f>IFERROR(--SUBSTITUTE(SUBSTITUTE(TRIM(INDEX(INDIRECT("'Выгрузка'!A2646:Z2646"),Настройки!$B$11)),",","."),".",MID(1/2,2,1)),"")</f>
        <v/>
      </c>
      <c r="F2646">
        <f>TRIM(INDEX(INDIRECT("'Выгрузка'!A2646:Z2646"),Настройки!$B$12)&amp;"")</f>
        <v/>
      </c>
      <c r="G2646">
        <f>IF(F2646="",0,IF(TRIM(INDEX(INDIRECT("'Выгрузка'!A2646:Z2646"),Настройки!$B$13)&amp;"")="",1,IFERROR(--SUBSTITUTE(SUBSTITUTE(TRIM(INDEX(INDIRECT("'Выгрузка'!A2646:Z2646"),Настройки!$B$13)),",","."),".",MID(1/2,2,1)),"")))</f>
        <v/>
      </c>
      <c r="H2646">
        <f>IF(F2646="",0,IF(COUNTIF(Настройки!$B$17:$B$26,F2646)&gt;0,1,IF(COUNTIF(Настройки!$C$17:$C$26,F2646)&gt;0,2,IF(COUNTIF(Настройки!$D$17:$D$26,F2646)&gt;0,3,0))))</f>
        <v/>
      </c>
      <c r="I2646">
        <f>IF(AND(ISNUMBER(A2646),ISNUMBER(B2646)),A2646*1000+B2646,"")</f>
        <v/>
      </c>
      <c r="J2646">
        <f>IF(I2646="","",IF(COUNTIF(I$2:I2646,I2646)=1,MAX(J$1:J2645)+1,""))</f>
        <v/>
      </c>
    </row>
    <row r="2647">
      <c r="A2647">
        <f>IFERROR(--SUBSTITUTE(SUBSTITUTE(TRIM(INDEX(INDIRECT("'Выгрузка'!A2647:Z2647"),Настройки!$B$7)),",","."),".",MID(1/2,2,1)),"")</f>
        <v/>
      </c>
      <c r="B2647">
        <f>IFERROR(--SUBSTITUTE(SUBSTITUTE(TRIM(INDEX(INDIRECT("'Выгрузка'!A2647:Z2647"),Настройки!$B$9)),",","."),".",MID(1/2,2,1)),"")</f>
        <v/>
      </c>
      <c r="C2647">
        <f>TRIM(INDEX(INDIRECT("'Выгрузка'!A2647:Z2647"),Настройки!$B$8)&amp;"")</f>
        <v/>
      </c>
      <c r="D2647">
        <f>IFERROR(--SUBSTITUTE(SUBSTITUTE(TRIM(INDEX(INDIRECT("'Выгрузка'!A2647:Z2647"),Настройки!$B$10)),",","."),".",MID(1/2,2,1)),"")</f>
        <v/>
      </c>
      <c r="E2647">
        <f>IFERROR(--SUBSTITUTE(SUBSTITUTE(TRIM(INDEX(INDIRECT("'Выгрузка'!A2647:Z2647"),Настройки!$B$11)),",","."),".",MID(1/2,2,1)),"")</f>
        <v/>
      </c>
      <c r="F2647">
        <f>TRIM(INDEX(INDIRECT("'Выгрузка'!A2647:Z2647"),Настройки!$B$12)&amp;"")</f>
        <v/>
      </c>
      <c r="G2647">
        <f>IF(F2647="",0,IF(TRIM(INDEX(INDIRECT("'Выгрузка'!A2647:Z2647"),Настройки!$B$13)&amp;"")="",1,IFERROR(--SUBSTITUTE(SUBSTITUTE(TRIM(INDEX(INDIRECT("'Выгрузка'!A2647:Z2647"),Настройки!$B$13)),",","."),".",MID(1/2,2,1)),"")))</f>
        <v/>
      </c>
      <c r="H2647">
        <f>IF(F2647="",0,IF(COUNTIF(Настройки!$B$17:$B$26,F2647)&gt;0,1,IF(COUNTIF(Настройки!$C$17:$C$26,F2647)&gt;0,2,IF(COUNTIF(Настройки!$D$17:$D$26,F2647)&gt;0,3,0))))</f>
        <v/>
      </c>
      <c r="I2647">
        <f>IF(AND(ISNUMBER(A2647),ISNUMBER(B2647)),A2647*1000+B2647,"")</f>
        <v/>
      </c>
      <c r="J2647">
        <f>IF(I2647="","",IF(COUNTIF(I$2:I2647,I2647)=1,MAX(J$1:J2646)+1,""))</f>
        <v/>
      </c>
    </row>
    <row r="2648">
      <c r="A2648">
        <f>IFERROR(--SUBSTITUTE(SUBSTITUTE(TRIM(INDEX(INDIRECT("'Выгрузка'!A2648:Z2648"),Настройки!$B$7)),",","."),".",MID(1/2,2,1)),"")</f>
        <v/>
      </c>
      <c r="B2648">
        <f>IFERROR(--SUBSTITUTE(SUBSTITUTE(TRIM(INDEX(INDIRECT("'Выгрузка'!A2648:Z2648"),Настройки!$B$9)),",","."),".",MID(1/2,2,1)),"")</f>
        <v/>
      </c>
      <c r="C2648">
        <f>TRIM(INDEX(INDIRECT("'Выгрузка'!A2648:Z2648"),Настройки!$B$8)&amp;"")</f>
        <v/>
      </c>
      <c r="D2648">
        <f>IFERROR(--SUBSTITUTE(SUBSTITUTE(TRIM(INDEX(INDIRECT("'Выгрузка'!A2648:Z2648"),Настройки!$B$10)),",","."),".",MID(1/2,2,1)),"")</f>
        <v/>
      </c>
      <c r="E2648">
        <f>IFERROR(--SUBSTITUTE(SUBSTITUTE(TRIM(INDEX(INDIRECT("'Выгрузка'!A2648:Z2648"),Настройки!$B$11)),",","."),".",MID(1/2,2,1)),"")</f>
        <v/>
      </c>
      <c r="F2648">
        <f>TRIM(INDEX(INDIRECT("'Выгрузка'!A2648:Z2648"),Настройки!$B$12)&amp;"")</f>
        <v/>
      </c>
      <c r="G2648">
        <f>IF(F2648="",0,IF(TRIM(INDEX(INDIRECT("'Выгрузка'!A2648:Z2648"),Настройки!$B$13)&amp;"")="",1,IFERROR(--SUBSTITUTE(SUBSTITUTE(TRIM(INDEX(INDIRECT("'Выгрузка'!A2648:Z2648"),Настройки!$B$13)),",","."),".",MID(1/2,2,1)),"")))</f>
        <v/>
      </c>
      <c r="H2648">
        <f>IF(F2648="",0,IF(COUNTIF(Настройки!$B$17:$B$26,F2648)&gt;0,1,IF(COUNTIF(Настройки!$C$17:$C$26,F2648)&gt;0,2,IF(COUNTIF(Настройки!$D$17:$D$26,F2648)&gt;0,3,0))))</f>
        <v/>
      </c>
      <c r="I2648">
        <f>IF(AND(ISNUMBER(A2648),ISNUMBER(B2648)),A2648*1000+B2648,"")</f>
        <v/>
      </c>
      <c r="J2648">
        <f>IF(I2648="","",IF(COUNTIF(I$2:I2648,I2648)=1,MAX(J$1:J2647)+1,""))</f>
        <v/>
      </c>
    </row>
    <row r="2649">
      <c r="A2649">
        <f>IFERROR(--SUBSTITUTE(SUBSTITUTE(TRIM(INDEX(INDIRECT("'Выгрузка'!A2649:Z2649"),Настройки!$B$7)),",","."),".",MID(1/2,2,1)),"")</f>
        <v/>
      </c>
      <c r="B2649">
        <f>IFERROR(--SUBSTITUTE(SUBSTITUTE(TRIM(INDEX(INDIRECT("'Выгрузка'!A2649:Z2649"),Настройки!$B$9)),",","."),".",MID(1/2,2,1)),"")</f>
        <v/>
      </c>
      <c r="C2649">
        <f>TRIM(INDEX(INDIRECT("'Выгрузка'!A2649:Z2649"),Настройки!$B$8)&amp;"")</f>
        <v/>
      </c>
      <c r="D2649">
        <f>IFERROR(--SUBSTITUTE(SUBSTITUTE(TRIM(INDEX(INDIRECT("'Выгрузка'!A2649:Z2649"),Настройки!$B$10)),",","."),".",MID(1/2,2,1)),"")</f>
        <v/>
      </c>
      <c r="E2649">
        <f>IFERROR(--SUBSTITUTE(SUBSTITUTE(TRIM(INDEX(INDIRECT("'Выгрузка'!A2649:Z2649"),Настройки!$B$11)),",","."),".",MID(1/2,2,1)),"")</f>
        <v/>
      </c>
      <c r="F2649">
        <f>TRIM(INDEX(INDIRECT("'Выгрузка'!A2649:Z2649"),Настройки!$B$12)&amp;"")</f>
        <v/>
      </c>
      <c r="G2649">
        <f>IF(F2649="",0,IF(TRIM(INDEX(INDIRECT("'Выгрузка'!A2649:Z2649"),Настройки!$B$13)&amp;"")="",1,IFERROR(--SUBSTITUTE(SUBSTITUTE(TRIM(INDEX(INDIRECT("'Выгрузка'!A2649:Z2649"),Настройки!$B$13)),",","."),".",MID(1/2,2,1)),"")))</f>
        <v/>
      </c>
      <c r="H2649">
        <f>IF(F2649="",0,IF(COUNTIF(Настройки!$B$17:$B$26,F2649)&gt;0,1,IF(COUNTIF(Настройки!$C$17:$C$26,F2649)&gt;0,2,IF(COUNTIF(Настройки!$D$17:$D$26,F2649)&gt;0,3,0))))</f>
        <v/>
      </c>
      <c r="I2649">
        <f>IF(AND(ISNUMBER(A2649),ISNUMBER(B2649)),A2649*1000+B2649,"")</f>
        <v/>
      </c>
      <c r="J2649">
        <f>IF(I2649="","",IF(COUNTIF(I$2:I2649,I2649)=1,MAX(J$1:J2648)+1,""))</f>
        <v/>
      </c>
    </row>
    <row r="2650">
      <c r="A2650">
        <f>IFERROR(--SUBSTITUTE(SUBSTITUTE(TRIM(INDEX(INDIRECT("'Выгрузка'!A2650:Z2650"),Настройки!$B$7)),",","."),".",MID(1/2,2,1)),"")</f>
        <v/>
      </c>
      <c r="B2650">
        <f>IFERROR(--SUBSTITUTE(SUBSTITUTE(TRIM(INDEX(INDIRECT("'Выгрузка'!A2650:Z2650"),Настройки!$B$9)),",","."),".",MID(1/2,2,1)),"")</f>
        <v/>
      </c>
      <c r="C2650">
        <f>TRIM(INDEX(INDIRECT("'Выгрузка'!A2650:Z2650"),Настройки!$B$8)&amp;"")</f>
        <v/>
      </c>
      <c r="D2650">
        <f>IFERROR(--SUBSTITUTE(SUBSTITUTE(TRIM(INDEX(INDIRECT("'Выгрузка'!A2650:Z2650"),Настройки!$B$10)),",","."),".",MID(1/2,2,1)),"")</f>
        <v/>
      </c>
      <c r="E2650">
        <f>IFERROR(--SUBSTITUTE(SUBSTITUTE(TRIM(INDEX(INDIRECT("'Выгрузка'!A2650:Z2650"),Настройки!$B$11)),",","."),".",MID(1/2,2,1)),"")</f>
        <v/>
      </c>
      <c r="F2650">
        <f>TRIM(INDEX(INDIRECT("'Выгрузка'!A2650:Z2650"),Настройки!$B$12)&amp;"")</f>
        <v/>
      </c>
      <c r="G2650">
        <f>IF(F2650="",0,IF(TRIM(INDEX(INDIRECT("'Выгрузка'!A2650:Z2650"),Настройки!$B$13)&amp;"")="",1,IFERROR(--SUBSTITUTE(SUBSTITUTE(TRIM(INDEX(INDIRECT("'Выгрузка'!A2650:Z2650"),Настройки!$B$13)),",","."),".",MID(1/2,2,1)),"")))</f>
        <v/>
      </c>
      <c r="H2650">
        <f>IF(F2650="",0,IF(COUNTIF(Настройки!$B$17:$B$26,F2650)&gt;0,1,IF(COUNTIF(Настройки!$C$17:$C$26,F2650)&gt;0,2,IF(COUNTIF(Настройки!$D$17:$D$26,F2650)&gt;0,3,0))))</f>
        <v/>
      </c>
      <c r="I2650">
        <f>IF(AND(ISNUMBER(A2650),ISNUMBER(B2650)),A2650*1000+B2650,"")</f>
        <v/>
      </c>
      <c r="J2650">
        <f>IF(I2650="","",IF(COUNTIF(I$2:I2650,I2650)=1,MAX(J$1:J2649)+1,""))</f>
        <v/>
      </c>
    </row>
    <row r="2651">
      <c r="A2651">
        <f>IFERROR(--SUBSTITUTE(SUBSTITUTE(TRIM(INDEX(INDIRECT("'Выгрузка'!A2651:Z2651"),Настройки!$B$7)),",","."),".",MID(1/2,2,1)),"")</f>
        <v/>
      </c>
      <c r="B2651">
        <f>IFERROR(--SUBSTITUTE(SUBSTITUTE(TRIM(INDEX(INDIRECT("'Выгрузка'!A2651:Z2651"),Настройки!$B$9)),",","."),".",MID(1/2,2,1)),"")</f>
        <v/>
      </c>
      <c r="C2651">
        <f>TRIM(INDEX(INDIRECT("'Выгрузка'!A2651:Z2651"),Настройки!$B$8)&amp;"")</f>
        <v/>
      </c>
      <c r="D2651">
        <f>IFERROR(--SUBSTITUTE(SUBSTITUTE(TRIM(INDEX(INDIRECT("'Выгрузка'!A2651:Z2651"),Настройки!$B$10)),",","."),".",MID(1/2,2,1)),"")</f>
        <v/>
      </c>
      <c r="E2651">
        <f>IFERROR(--SUBSTITUTE(SUBSTITUTE(TRIM(INDEX(INDIRECT("'Выгрузка'!A2651:Z2651"),Настройки!$B$11)),",","."),".",MID(1/2,2,1)),"")</f>
        <v/>
      </c>
      <c r="F2651">
        <f>TRIM(INDEX(INDIRECT("'Выгрузка'!A2651:Z2651"),Настройки!$B$12)&amp;"")</f>
        <v/>
      </c>
      <c r="G2651">
        <f>IF(F2651="",0,IF(TRIM(INDEX(INDIRECT("'Выгрузка'!A2651:Z2651"),Настройки!$B$13)&amp;"")="",1,IFERROR(--SUBSTITUTE(SUBSTITUTE(TRIM(INDEX(INDIRECT("'Выгрузка'!A2651:Z2651"),Настройки!$B$13)),",","."),".",MID(1/2,2,1)),"")))</f>
        <v/>
      </c>
      <c r="H2651">
        <f>IF(F2651="",0,IF(COUNTIF(Настройки!$B$17:$B$26,F2651)&gt;0,1,IF(COUNTIF(Настройки!$C$17:$C$26,F2651)&gt;0,2,IF(COUNTIF(Настройки!$D$17:$D$26,F2651)&gt;0,3,0))))</f>
        <v/>
      </c>
      <c r="I2651">
        <f>IF(AND(ISNUMBER(A2651),ISNUMBER(B2651)),A2651*1000+B2651,"")</f>
        <v/>
      </c>
      <c r="J2651">
        <f>IF(I2651="","",IF(COUNTIF(I$2:I2651,I2651)=1,MAX(J$1:J2650)+1,""))</f>
        <v/>
      </c>
    </row>
    <row r="2652">
      <c r="A2652">
        <f>IFERROR(--SUBSTITUTE(SUBSTITUTE(TRIM(INDEX(INDIRECT("'Выгрузка'!A2652:Z2652"),Настройки!$B$7)),",","."),".",MID(1/2,2,1)),"")</f>
        <v/>
      </c>
      <c r="B2652">
        <f>IFERROR(--SUBSTITUTE(SUBSTITUTE(TRIM(INDEX(INDIRECT("'Выгрузка'!A2652:Z2652"),Настройки!$B$9)),",","."),".",MID(1/2,2,1)),"")</f>
        <v/>
      </c>
      <c r="C2652">
        <f>TRIM(INDEX(INDIRECT("'Выгрузка'!A2652:Z2652"),Настройки!$B$8)&amp;"")</f>
        <v/>
      </c>
      <c r="D2652">
        <f>IFERROR(--SUBSTITUTE(SUBSTITUTE(TRIM(INDEX(INDIRECT("'Выгрузка'!A2652:Z2652"),Настройки!$B$10)),",","."),".",MID(1/2,2,1)),"")</f>
        <v/>
      </c>
      <c r="E2652">
        <f>IFERROR(--SUBSTITUTE(SUBSTITUTE(TRIM(INDEX(INDIRECT("'Выгрузка'!A2652:Z2652"),Настройки!$B$11)),",","."),".",MID(1/2,2,1)),"")</f>
        <v/>
      </c>
      <c r="F2652">
        <f>TRIM(INDEX(INDIRECT("'Выгрузка'!A2652:Z2652"),Настройки!$B$12)&amp;"")</f>
        <v/>
      </c>
      <c r="G2652">
        <f>IF(F2652="",0,IF(TRIM(INDEX(INDIRECT("'Выгрузка'!A2652:Z2652"),Настройки!$B$13)&amp;"")="",1,IFERROR(--SUBSTITUTE(SUBSTITUTE(TRIM(INDEX(INDIRECT("'Выгрузка'!A2652:Z2652"),Настройки!$B$13)),",","."),".",MID(1/2,2,1)),"")))</f>
        <v/>
      </c>
      <c r="H2652">
        <f>IF(F2652="",0,IF(COUNTIF(Настройки!$B$17:$B$26,F2652)&gt;0,1,IF(COUNTIF(Настройки!$C$17:$C$26,F2652)&gt;0,2,IF(COUNTIF(Настройки!$D$17:$D$26,F2652)&gt;0,3,0))))</f>
        <v/>
      </c>
      <c r="I2652">
        <f>IF(AND(ISNUMBER(A2652),ISNUMBER(B2652)),A2652*1000+B2652,"")</f>
        <v/>
      </c>
      <c r="J2652">
        <f>IF(I2652="","",IF(COUNTIF(I$2:I2652,I2652)=1,MAX(J$1:J2651)+1,""))</f>
        <v/>
      </c>
    </row>
    <row r="2653">
      <c r="A2653">
        <f>IFERROR(--SUBSTITUTE(SUBSTITUTE(TRIM(INDEX(INDIRECT("'Выгрузка'!A2653:Z2653"),Настройки!$B$7)),",","."),".",MID(1/2,2,1)),"")</f>
        <v/>
      </c>
      <c r="B2653">
        <f>IFERROR(--SUBSTITUTE(SUBSTITUTE(TRIM(INDEX(INDIRECT("'Выгрузка'!A2653:Z2653"),Настройки!$B$9)),",","."),".",MID(1/2,2,1)),"")</f>
        <v/>
      </c>
      <c r="C2653">
        <f>TRIM(INDEX(INDIRECT("'Выгрузка'!A2653:Z2653"),Настройки!$B$8)&amp;"")</f>
        <v/>
      </c>
      <c r="D2653">
        <f>IFERROR(--SUBSTITUTE(SUBSTITUTE(TRIM(INDEX(INDIRECT("'Выгрузка'!A2653:Z2653"),Настройки!$B$10)),",","."),".",MID(1/2,2,1)),"")</f>
        <v/>
      </c>
      <c r="E2653">
        <f>IFERROR(--SUBSTITUTE(SUBSTITUTE(TRIM(INDEX(INDIRECT("'Выгрузка'!A2653:Z2653"),Настройки!$B$11)),",","."),".",MID(1/2,2,1)),"")</f>
        <v/>
      </c>
      <c r="F2653">
        <f>TRIM(INDEX(INDIRECT("'Выгрузка'!A2653:Z2653"),Настройки!$B$12)&amp;"")</f>
        <v/>
      </c>
      <c r="G2653">
        <f>IF(F2653="",0,IF(TRIM(INDEX(INDIRECT("'Выгрузка'!A2653:Z2653"),Настройки!$B$13)&amp;"")="",1,IFERROR(--SUBSTITUTE(SUBSTITUTE(TRIM(INDEX(INDIRECT("'Выгрузка'!A2653:Z2653"),Настройки!$B$13)),",","."),".",MID(1/2,2,1)),"")))</f>
        <v/>
      </c>
      <c r="H2653">
        <f>IF(F2653="",0,IF(COUNTIF(Настройки!$B$17:$B$26,F2653)&gt;0,1,IF(COUNTIF(Настройки!$C$17:$C$26,F2653)&gt;0,2,IF(COUNTIF(Настройки!$D$17:$D$26,F2653)&gt;0,3,0))))</f>
        <v/>
      </c>
      <c r="I2653">
        <f>IF(AND(ISNUMBER(A2653),ISNUMBER(B2653)),A2653*1000+B2653,"")</f>
        <v/>
      </c>
      <c r="J2653">
        <f>IF(I2653="","",IF(COUNTIF(I$2:I2653,I2653)=1,MAX(J$1:J2652)+1,""))</f>
        <v/>
      </c>
    </row>
    <row r="2654">
      <c r="A2654">
        <f>IFERROR(--SUBSTITUTE(SUBSTITUTE(TRIM(INDEX(INDIRECT("'Выгрузка'!A2654:Z2654"),Настройки!$B$7)),",","."),".",MID(1/2,2,1)),"")</f>
        <v/>
      </c>
      <c r="B2654">
        <f>IFERROR(--SUBSTITUTE(SUBSTITUTE(TRIM(INDEX(INDIRECT("'Выгрузка'!A2654:Z2654"),Настройки!$B$9)),",","."),".",MID(1/2,2,1)),"")</f>
        <v/>
      </c>
      <c r="C2654">
        <f>TRIM(INDEX(INDIRECT("'Выгрузка'!A2654:Z2654"),Настройки!$B$8)&amp;"")</f>
        <v/>
      </c>
      <c r="D2654">
        <f>IFERROR(--SUBSTITUTE(SUBSTITUTE(TRIM(INDEX(INDIRECT("'Выгрузка'!A2654:Z2654"),Настройки!$B$10)),",","."),".",MID(1/2,2,1)),"")</f>
        <v/>
      </c>
      <c r="E2654">
        <f>IFERROR(--SUBSTITUTE(SUBSTITUTE(TRIM(INDEX(INDIRECT("'Выгрузка'!A2654:Z2654"),Настройки!$B$11)),",","."),".",MID(1/2,2,1)),"")</f>
        <v/>
      </c>
      <c r="F2654">
        <f>TRIM(INDEX(INDIRECT("'Выгрузка'!A2654:Z2654"),Настройки!$B$12)&amp;"")</f>
        <v/>
      </c>
      <c r="G2654">
        <f>IF(F2654="",0,IF(TRIM(INDEX(INDIRECT("'Выгрузка'!A2654:Z2654"),Настройки!$B$13)&amp;"")="",1,IFERROR(--SUBSTITUTE(SUBSTITUTE(TRIM(INDEX(INDIRECT("'Выгрузка'!A2654:Z2654"),Настройки!$B$13)),",","."),".",MID(1/2,2,1)),"")))</f>
        <v/>
      </c>
      <c r="H2654">
        <f>IF(F2654="",0,IF(COUNTIF(Настройки!$B$17:$B$26,F2654)&gt;0,1,IF(COUNTIF(Настройки!$C$17:$C$26,F2654)&gt;0,2,IF(COUNTIF(Настройки!$D$17:$D$26,F2654)&gt;0,3,0))))</f>
        <v/>
      </c>
      <c r="I2654">
        <f>IF(AND(ISNUMBER(A2654),ISNUMBER(B2654)),A2654*1000+B2654,"")</f>
        <v/>
      </c>
      <c r="J2654">
        <f>IF(I2654="","",IF(COUNTIF(I$2:I2654,I2654)=1,MAX(J$1:J2653)+1,""))</f>
        <v/>
      </c>
    </row>
    <row r="2655">
      <c r="A2655">
        <f>IFERROR(--SUBSTITUTE(SUBSTITUTE(TRIM(INDEX(INDIRECT("'Выгрузка'!A2655:Z2655"),Настройки!$B$7)),",","."),".",MID(1/2,2,1)),"")</f>
        <v/>
      </c>
      <c r="B2655">
        <f>IFERROR(--SUBSTITUTE(SUBSTITUTE(TRIM(INDEX(INDIRECT("'Выгрузка'!A2655:Z2655"),Настройки!$B$9)),",","."),".",MID(1/2,2,1)),"")</f>
        <v/>
      </c>
      <c r="C2655">
        <f>TRIM(INDEX(INDIRECT("'Выгрузка'!A2655:Z2655"),Настройки!$B$8)&amp;"")</f>
        <v/>
      </c>
      <c r="D2655">
        <f>IFERROR(--SUBSTITUTE(SUBSTITUTE(TRIM(INDEX(INDIRECT("'Выгрузка'!A2655:Z2655"),Настройки!$B$10)),",","."),".",MID(1/2,2,1)),"")</f>
        <v/>
      </c>
      <c r="E2655">
        <f>IFERROR(--SUBSTITUTE(SUBSTITUTE(TRIM(INDEX(INDIRECT("'Выгрузка'!A2655:Z2655"),Настройки!$B$11)),",","."),".",MID(1/2,2,1)),"")</f>
        <v/>
      </c>
      <c r="F2655">
        <f>TRIM(INDEX(INDIRECT("'Выгрузка'!A2655:Z2655"),Настройки!$B$12)&amp;"")</f>
        <v/>
      </c>
      <c r="G2655">
        <f>IF(F2655="",0,IF(TRIM(INDEX(INDIRECT("'Выгрузка'!A2655:Z2655"),Настройки!$B$13)&amp;"")="",1,IFERROR(--SUBSTITUTE(SUBSTITUTE(TRIM(INDEX(INDIRECT("'Выгрузка'!A2655:Z2655"),Настройки!$B$13)),",","."),".",MID(1/2,2,1)),"")))</f>
        <v/>
      </c>
      <c r="H2655">
        <f>IF(F2655="",0,IF(COUNTIF(Настройки!$B$17:$B$26,F2655)&gt;0,1,IF(COUNTIF(Настройки!$C$17:$C$26,F2655)&gt;0,2,IF(COUNTIF(Настройки!$D$17:$D$26,F2655)&gt;0,3,0))))</f>
        <v/>
      </c>
      <c r="I2655">
        <f>IF(AND(ISNUMBER(A2655),ISNUMBER(B2655)),A2655*1000+B2655,"")</f>
        <v/>
      </c>
      <c r="J2655">
        <f>IF(I2655="","",IF(COUNTIF(I$2:I2655,I2655)=1,MAX(J$1:J2654)+1,""))</f>
        <v/>
      </c>
    </row>
    <row r="2656">
      <c r="A2656">
        <f>IFERROR(--SUBSTITUTE(SUBSTITUTE(TRIM(INDEX(INDIRECT("'Выгрузка'!A2656:Z2656"),Настройки!$B$7)),",","."),".",MID(1/2,2,1)),"")</f>
        <v/>
      </c>
      <c r="B2656">
        <f>IFERROR(--SUBSTITUTE(SUBSTITUTE(TRIM(INDEX(INDIRECT("'Выгрузка'!A2656:Z2656"),Настройки!$B$9)),",","."),".",MID(1/2,2,1)),"")</f>
        <v/>
      </c>
      <c r="C2656">
        <f>TRIM(INDEX(INDIRECT("'Выгрузка'!A2656:Z2656"),Настройки!$B$8)&amp;"")</f>
        <v/>
      </c>
      <c r="D2656">
        <f>IFERROR(--SUBSTITUTE(SUBSTITUTE(TRIM(INDEX(INDIRECT("'Выгрузка'!A2656:Z2656"),Настройки!$B$10)),",","."),".",MID(1/2,2,1)),"")</f>
        <v/>
      </c>
      <c r="E2656">
        <f>IFERROR(--SUBSTITUTE(SUBSTITUTE(TRIM(INDEX(INDIRECT("'Выгрузка'!A2656:Z2656"),Настройки!$B$11)),",","."),".",MID(1/2,2,1)),"")</f>
        <v/>
      </c>
      <c r="F2656">
        <f>TRIM(INDEX(INDIRECT("'Выгрузка'!A2656:Z2656"),Настройки!$B$12)&amp;"")</f>
        <v/>
      </c>
      <c r="G2656">
        <f>IF(F2656="",0,IF(TRIM(INDEX(INDIRECT("'Выгрузка'!A2656:Z2656"),Настройки!$B$13)&amp;"")="",1,IFERROR(--SUBSTITUTE(SUBSTITUTE(TRIM(INDEX(INDIRECT("'Выгрузка'!A2656:Z2656"),Настройки!$B$13)),",","."),".",MID(1/2,2,1)),"")))</f>
        <v/>
      </c>
      <c r="H2656">
        <f>IF(F2656="",0,IF(COUNTIF(Настройки!$B$17:$B$26,F2656)&gt;0,1,IF(COUNTIF(Настройки!$C$17:$C$26,F2656)&gt;0,2,IF(COUNTIF(Настройки!$D$17:$D$26,F2656)&gt;0,3,0))))</f>
        <v/>
      </c>
      <c r="I2656">
        <f>IF(AND(ISNUMBER(A2656),ISNUMBER(B2656)),A2656*1000+B2656,"")</f>
        <v/>
      </c>
      <c r="J2656">
        <f>IF(I2656="","",IF(COUNTIF(I$2:I2656,I2656)=1,MAX(J$1:J2655)+1,""))</f>
        <v/>
      </c>
    </row>
    <row r="2657">
      <c r="A2657">
        <f>IFERROR(--SUBSTITUTE(SUBSTITUTE(TRIM(INDEX(INDIRECT("'Выгрузка'!A2657:Z2657"),Настройки!$B$7)),",","."),".",MID(1/2,2,1)),"")</f>
        <v/>
      </c>
      <c r="B2657">
        <f>IFERROR(--SUBSTITUTE(SUBSTITUTE(TRIM(INDEX(INDIRECT("'Выгрузка'!A2657:Z2657"),Настройки!$B$9)),",","."),".",MID(1/2,2,1)),"")</f>
        <v/>
      </c>
      <c r="C2657">
        <f>TRIM(INDEX(INDIRECT("'Выгрузка'!A2657:Z2657"),Настройки!$B$8)&amp;"")</f>
        <v/>
      </c>
      <c r="D2657">
        <f>IFERROR(--SUBSTITUTE(SUBSTITUTE(TRIM(INDEX(INDIRECT("'Выгрузка'!A2657:Z2657"),Настройки!$B$10)),",","."),".",MID(1/2,2,1)),"")</f>
        <v/>
      </c>
      <c r="E2657">
        <f>IFERROR(--SUBSTITUTE(SUBSTITUTE(TRIM(INDEX(INDIRECT("'Выгрузка'!A2657:Z2657"),Настройки!$B$11)),",","."),".",MID(1/2,2,1)),"")</f>
        <v/>
      </c>
      <c r="F2657">
        <f>TRIM(INDEX(INDIRECT("'Выгрузка'!A2657:Z2657"),Настройки!$B$12)&amp;"")</f>
        <v/>
      </c>
      <c r="G2657">
        <f>IF(F2657="",0,IF(TRIM(INDEX(INDIRECT("'Выгрузка'!A2657:Z2657"),Настройки!$B$13)&amp;"")="",1,IFERROR(--SUBSTITUTE(SUBSTITUTE(TRIM(INDEX(INDIRECT("'Выгрузка'!A2657:Z2657"),Настройки!$B$13)),",","."),".",MID(1/2,2,1)),"")))</f>
        <v/>
      </c>
      <c r="H2657">
        <f>IF(F2657="",0,IF(COUNTIF(Настройки!$B$17:$B$26,F2657)&gt;0,1,IF(COUNTIF(Настройки!$C$17:$C$26,F2657)&gt;0,2,IF(COUNTIF(Настройки!$D$17:$D$26,F2657)&gt;0,3,0))))</f>
        <v/>
      </c>
      <c r="I2657">
        <f>IF(AND(ISNUMBER(A2657),ISNUMBER(B2657)),A2657*1000+B2657,"")</f>
        <v/>
      </c>
      <c r="J2657">
        <f>IF(I2657="","",IF(COUNTIF(I$2:I2657,I2657)=1,MAX(J$1:J2656)+1,""))</f>
        <v/>
      </c>
    </row>
    <row r="2658">
      <c r="A2658">
        <f>IFERROR(--SUBSTITUTE(SUBSTITUTE(TRIM(INDEX(INDIRECT("'Выгрузка'!A2658:Z2658"),Настройки!$B$7)),",","."),".",MID(1/2,2,1)),"")</f>
        <v/>
      </c>
      <c r="B2658">
        <f>IFERROR(--SUBSTITUTE(SUBSTITUTE(TRIM(INDEX(INDIRECT("'Выгрузка'!A2658:Z2658"),Настройки!$B$9)),",","."),".",MID(1/2,2,1)),"")</f>
        <v/>
      </c>
      <c r="C2658">
        <f>TRIM(INDEX(INDIRECT("'Выгрузка'!A2658:Z2658"),Настройки!$B$8)&amp;"")</f>
        <v/>
      </c>
      <c r="D2658">
        <f>IFERROR(--SUBSTITUTE(SUBSTITUTE(TRIM(INDEX(INDIRECT("'Выгрузка'!A2658:Z2658"),Настройки!$B$10)),",","."),".",MID(1/2,2,1)),"")</f>
        <v/>
      </c>
      <c r="E2658">
        <f>IFERROR(--SUBSTITUTE(SUBSTITUTE(TRIM(INDEX(INDIRECT("'Выгрузка'!A2658:Z2658"),Настройки!$B$11)),",","."),".",MID(1/2,2,1)),"")</f>
        <v/>
      </c>
      <c r="F2658">
        <f>TRIM(INDEX(INDIRECT("'Выгрузка'!A2658:Z2658"),Настройки!$B$12)&amp;"")</f>
        <v/>
      </c>
      <c r="G2658">
        <f>IF(F2658="",0,IF(TRIM(INDEX(INDIRECT("'Выгрузка'!A2658:Z2658"),Настройки!$B$13)&amp;"")="",1,IFERROR(--SUBSTITUTE(SUBSTITUTE(TRIM(INDEX(INDIRECT("'Выгрузка'!A2658:Z2658"),Настройки!$B$13)),",","."),".",MID(1/2,2,1)),"")))</f>
        <v/>
      </c>
      <c r="H2658">
        <f>IF(F2658="",0,IF(COUNTIF(Настройки!$B$17:$B$26,F2658)&gt;0,1,IF(COUNTIF(Настройки!$C$17:$C$26,F2658)&gt;0,2,IF(COUNTIF(Настройки!$D$17:$D$26,F2658)&gt;0,3,0))))</f>
        <v/>
      </c>
      <c r="I2658">
        <f>IF(AND(ISNUMBER(A2658),ISNUMBER(B2658)),A2658*1000+B2658,"")</f>
        <v/>
      </c>
      <c r="J2658">
        <f>IF(I2658="","",IF(COUNTIF(I$2:I2658,I2658)=1,MAX(J$1:J2657)+1,""))</f>
        <v/>
      </c>
    </row>
    <row r="2659">
      <c r="A2659">
        <f>IFERROR(--SUBSTITUTE(SUBSTITUTE(TRIM(INDEX(INDIRECT("'Выгрузка'!A2659:Z2659"),Настройки!$B$7)),",","."),".",MID(1/2,2,1)),"")</f>
        <v/>
      </c>
      <c r="B2659">
        <f>IFERROR(--SUBSTITUTE(SUBSTITUTE(TRIM(INDEX(INDIRECT("'Выгрузка'!A2659:Z2659"),Настройки!$B$9)),",","."),".",MID(1/2,2,1)),"")</f>
        <v/>
      </c>
      <c r="C2659">
        <f>TRIM(INDEX(INDIRECT("'Выгрузка'!A2659:Z2659"),Настройки!$B$8)&amp;"")</f>
        <v/>
      </c>
      <c r="D2659">
        <f>IFERROR(--SUBSTITUTE(SUBSTITUTE(TRIM(INDEX(INDIRECT("'Выгрузка'!A2659:Z2659"),Настройки!$B$10)),",","."),".",MID(1/2,2,1)),"")</f>
        <v/>
      </c>
      <c r="E2659">
        <f>IFERROR(--SUBSTITUTE(SUBSTITUTE(TRIM(INDEX(INDIRECT("'Выгрузка'!A2659:Z2659"),Настройки!$B$11)),",","."),".",MID(1/2,2,1)),"")</f>
        <v/>
      </c>
      <c r="F2659">
        <f>TRIM(INDEX(INDIRECT("'Выгрузка'!A2659:Z2659"),Настройки!$B$12)&amp;"")</f>
        <v/>
      </c>
      <c r="G2659">
        <f>IF(F2659="",0,IF(TRIM(INDEX(INDIRECT("'Выгрузка'!A2659:Z2659"),Настройки!$B$13)&amp;"")="",1,IFERROR(--SUBSTITUTE(SUBSTITUTE(TRIM(INDEX(INDIRECT("'Выгрузка'!A2659:Z2659"),Настройки!$B$13)),",","."),".",MID(1/2,2,1)),"")))</f>
        <v/>
      </c>
      <c r="H2659">
        <f>IF(F2659="",0,IF(COUNTIF(Настройки!$B$17:$B$26,F2659)&gt;0,1,IF(COUNTIF(Настройки!$C$17:$C$26,F2659)&gt;0,2,IF(COUNTIF(Настройки!$D$17:$D$26,F2659)&gt;0,3,0))))</f>
        <v/>
      </c>
      <c r="I2659">
        <f>IF(AND(ISNUMBER(A2659),ISNUMBER(B2659)),A2659*1000+B2659,"")</f>
        <v/>
      </c>
      <c r="J2659">
        <f>IF(I2659="","",IF(COUNTIF(I$2:I2659,I2659)=1,MAX(J$1:J2658)+1,""))</f>
        <v/>
      </c>
    </row>
    <row r="2660">
      <c r="A2660">
        <f>IFERROR(--SUBSTITUTE(SUBSTITUTE(TRIM(INDEX(INDIRECT("'Выгрузка'!A2660:Z2660"),Настройки!$B$7)),",","."),".",MID(1/2,2,1)),"")</f>
        <v/>
      </c>
      <c r="B2660">
        <f>IFERROR(--SUBSTITUTE(SUBSTITUTE(TRIM(INDEX(INDIRECT("'Выгрузка'!A2660:Z2660"),Настройки!$B$9)),",","."),".",MID(1/2,2,1)),"")</f>
        <v/>
      </c>
      <c r="C2660">
        <f>TRIM(INDEX(INDIRECT("'Выгрузка'!A2660:Z2660"),Настройки!$B$8)&amp;"")</f>
        <v/>
      </c>
      <c r="D2660">
        <f>IFERROR(--SUBSTITUTE(SUBSTITUTE(TRIM(INDEX(INDIRECT("'Выгрузка'!A2660:Z2660"),Настройки!$B$10)),",","."),".",MID(1/2,2,1)),"")</f>
        <v/>
      </c>
      <c r="E2660">
        <f>IFERROR(--SUBSTITUTE(SUBSTITUTE(TRIM(INDEX(INDIRECT("'Выгрузка'!A2660:Z2660"),Настройки!$B$11)),",","."),".",MID(1/2,2,1)),"")</f>
        <v/>
      </c>
      <c r="F2660">
        <f>TRIM(INDEX(INDIRECT("'Выгрузка'!A2660:Z2660"),Настройки!$B$12)&amp;"")</f>
        <v/>
      </c>
      <c r="G2660">
        <f>IF(F2660="",0,IF(TRIM(INDEX(INDIRECT("'Выгрузка'!A2660:Z2660"),Настройки!$B$13)&amp;"")="",1,IFERROR(--SUBSTITUTE(SUBSTITUTE(TRIM(INDEX(INDIRECT("'Выгрузка'!A2660:Z2660"),Настройки!$B$13)),",","."),".",MID(1/2,2,1)),"")))</f>
        <v/>
      </c>
      <c r="H2660">
        <f>IF(F2660="",0,IF(COUNTIF(Настройки!$B$17:$B$26,F2660)&gt;0,1,IF(COUNTIF(Настройки!$C$17:$C$26,F2660)&gt;0,2,IF(COUNTIF(Настройки!$D$17:$D$26,F2660)&gt;0,3,0))))</f>
        <v/>
      </c>
      <c r="I2660">
        <f>IF(AND(ISNUMBER(A2660),ISNUMBER(B2660)),A2660*1000+B2660,"")</f>
        <v/>
      </c>
      <c r="J2660">
        <f>IF(I2660="","",IF(COUNTIF(I$2:I2660,I2660)=1,MAX(J$1:J2659)+1,""))</f>
        <v/>
      </c>
    </row>
    <row r="2661">
      <c r="A2661">
        <f>IFERROR(--SUBSTITUTE(SUBSTITUTE(TRIM(INDEX(INDIRECT("'Выгрузка'!A2661:Z2661"),Настройки!$B$7)),",","."),".",MID(1/2,2,1)),"")</f>
        <v/>
      </c>
      <c r="B2661">
        <f>IFERROR(--SUBSTITUTE(SUBSTITUTE(TRIM(INDEX(INDIRECT("'Выгрузка'!A2661:Z2661"),Настройки!$B$9)),",","."),".",MID(1/2,2,1)),"")</f>
        <v/>
      </c>
      <c r="C2661">
        <f>TRIM(INDEX(INDIRECT("'Выгрузка'!A2661:Z2661"),Настройки!$B$8)&amp;"")</f>
        <v/>
      </c>
      <c r="D2661">
        <f>IFERROR(--SUBSTITUTE(SUBSTITUTE(TRIM(INDEX(INDIRECT("'Выгрузка'!A2661:Z2661"),Настройки!$B$10)),",","."),".",MID(1/2,2,1)),"")</f>
        <v/>
      </c>
      <c r="E2661">
        <f>IFERROR(--SUBSTITUTE(SUBSTITUTE(TRIM(INDEX(INDIRECT("'Выгрузка'!A2661:Z2661"),Настройки!$B$11)),",","."),".",MID(1/2,2,1)),"")</f>
        <v/>
      </c>
      <c r="F2661">
        <f>TRIM(INDEX(INDIRECT("'Выгрузка'!A2661:Z2661"),Настройки!$B$12)&amp;"")</f>
        <v/>
      </c>
      <c r="G2661">
        <f>IF(F2661="",0,IF(TRIM(INDEX(INDIRECT("'Выгрузка'!A2661:Z2661"),Настройки!$B$13)&amp;"")="",1,IFERROR(--SUBSTITUTE(SUBSTITUTE(TRIM(INDEX(INDIRECT("'Выгрузка'!A2661:Z2661"),Настройки!$B$13)),",","."),".",MID(1/2,2,1)),"")))</f>
        <v/>
      </c>
      <c r="H2661">
        <f>IF(F2661="",0,IF(COUNTIF(Настройки!$B$17:$B$26,F2661)&gt;0,1,IF(COUNTIF(Настройки!$C$17:$C$26,F2661)&gt;0,2,IF(COUNTIF(Настройки!$D$17:$D$26,F2661)&gt;0,3,0))))</f>
        <v/>
      </c>
      <c r="I2661">
        <f>IF(AND(ISNUMBER(A2661),ISNUMBER(B2661)),A2661*1000+B2661,"")</f>
        <v/>
      </c>
      <c r="J2661">
        <f>IF(I2661="","",IF(COUNTIF(I$2:I2661,I2661)=1,MAX(J$1:J2660)+1,""))</f>
        <v/>
      </c>
    </row>
    <row r="2662">
      <c r="A2662">
        <f>IFERROR(--SUBSTITUTE(SUBSTITUTE(TRIM(INDEX(INDIRECT("'Выгрузка'!A2662:Z2662"),Настройки!$B$7)),",","."),".",MID(1/2,2,1)),"")</f>
        <v/>
      </c>
      <c r="B2662">
        <f>IFERROR(--SUBSTITUTE(SUBSTITUTE(TRIM(INDEX(INDIRECT("'Выгрузка'!A2662:Z2662"),Настройки!$B$9)),",","."),".",MID(1/2,2,1)),"")</f>
        <v/>
      </c>
      <c r="C2662">
        <f>TRIM(INDEX(INDIRECT("'Выгрузка'!A2662:Z2662"),Настройки!$B$8)&amp;"")</f>
        <v/>
      </c>
      <c r="D2662">
        <f>IFERROR(--SUBSTITUTE(SUBSTITUTE(TRIM(INDEX(INDIRECT("'Выгрузка'!A2662:Z2662"),Настройки!$B$10)),",","."),".",MID(1/2,2,1)),"")</f>
        <v/>
      </c>
      <c r="E2662">
        <f>IFERROR(--SUBSTITUTE(SUBSTITUTE(TRIM(INDEX(INDIRECT("'Выгрузка'!A2662:Z2662"),Настройки!$B$11)),",","."),".",MID(1/2,2,1)),"")</f>
        <v/>
      </c>
      <c r="F2662">
        <f>TRIM(INDEX(INDIRECT("'Выгрузка'!A2662:Z2662"),Настройки!$B$12)&amp;"")</f>
        <v/>
      </c>
      <c r="G2662">
        <f>IF(F2662="",0,IF(TRIM(INDEX(INDIRECT("'Выгрузка'!A2662:Z2662"),Настройки!$B$13)&amp;"")="",1,IFERROR(--SUBSTITUTE(SUBSTITUTE(TRIM(INDEX(INDIRECT("'Выгрузка'!A2662:Z2662"),Настройки!$B$13)),",","."),".",MID(1/2,2,1)),"")))</f>
        <v/>
      </c>
      <c r="H2662">
        <f>IF(F2662="",0,IF(COUNTIF(Настройки!$B$17:$B$26,F2662)&gt;0,1,IF(COUNTIF(Настройки!$C$17:$C$26,F2662)&gt;0,2,IF(COUNTIF(Настройки!$D$17:$D$26,F2662)&gt;0,3,0))))</f>
        <v/>
      </c>
      <c r="I2662">
        <f>IF(AND(ISNUMBER(A2662),ISNUMBER(B2662)),A2662*1000+B2662,"")</f>
        <v/>
      </c>
      <c r="J2662">
        <f>IF(I2662="","",IF(COUNTIF(I$2:I2662,I2662)=1,MAX(J$1:J2661)+1,""))</f>
        <v/>
      </c>
    </row>
    <row r="2663">
      <c r="A2663">
        <f>IFERROR(--SUBSTITUTE(SUBSTITUTE(TRIM(INDEX(INDIRECT("'Выгрузка'!A2663:Z2663"),Настройки!$B$7)),",","."),".",MID(1/2,2,1)),"")</f>
        <v/>
      </c>
      <c r="B2663">
        <f>IFERROR(--SUBSTITUTE(SUBSTITUTE(TRIM(INDEX(INDIRECT("'Выгрузка'!A2663:Z2663"),Настройки!$B$9)),",","."),".",MID(1/2,2,1)),"")</f>
        <v/>
      </c>
      <c r="C2663">
        <f>TRIM(INDEX(INDIRECT("'Выгрузка'!A2663:Z2663"),Настройки!$B$8)&amp;"")</f>
        <v/>
      </c>
      <c r="D2663">
        <f>IFERROR(--SUBSTITUTE(SUBSTITUTE(TRIM(INDEX(INDIRECT("'Выгрузка'!A2663:Z2663"),Настройки!$B$10)),",","."),".",MID(1/2,2,1)),"")</f>
        <v/>
      </c>
      <c r="E2663">
        <f>IFERROR(--SUBSTITUTE(SUBSTITUTE(TRIM(INDEX(INDIRECT("'Выгрузка'!A2663:Z2663"),Настройки!$B$11)),",","."),".",MID(1/2,2,1)),"")</f>
        <v/>
      </c>
      <c r="F2663">
        <f>TRIM(INDEX(INDIRECT("'Выгрузка'!A2663:Z2663"),Настройки!$B$12)&amp;"")</f>
        <v/>
      </c>
      <c r="G2663">
        <f>IF(F2663="",0,IF(TRIM(INDEX(INDIRECT("'Выгрузка'!A2663:Z2663"),Настройки!$B$13)&amp;"")="",1,IFERROR(--SUBSTITUTE(SUBSTITUTE(TRIM(INDEX(INDIRECT("'Выгрузка'!A2663:Z2663"),Настройки!$B$13)),",","."),".",MID(1/2,2,1)),"")))</f>
        <v/>
      </c>
      <c r="H2663">
        <f>IF(F2663="",0,IF(COUNTIF(Настройки!$B$17:$B$26,F2663)&gt;0,1,IF(COUNTIF(Настройки!$C$17:$C$26,F2663)&gt;0,2,IF(COUNTIF(Настройки!$D$17:$D$26,F2663)&gt;0,3,0))))</f>
        <v/>
      </c>
      <c r="I2663">
        <f>IF(AND(ISNUMBER(A2663),ISNUMBER(B2663)),A2663*1000+B2663,"")</f>
        <v/>
      </c>
      <c r="J2663">
        <f>IF(I2663="","",IF(COUNTIF(I$2:I2663,I2663)=1,MAX(J$1:J2662)+1,""))</f>
        <v/>
      </c>
    </row>
    <row r="2664">
      <c r="A2664">
        <f>IFERROR(--SUBSTITUTE(SUBSTITUTE(TRIM(INDEX(INDIRECT("'Выгрузка'!A2664:Z2664"),Настройки!$B$7)),",","."),".",MID(1/2,2,1)),"")</f>
        <v/>
      </c>
      <c r="B2664">
        <f>IFERROR(--SUBSTITUTE(SUBSTITUTE(TRIM(INDEX(INDIRECT("'Выгрузка'!A2664:Z2664"),Настройки!$B$9)),",","."),".",MID(1/2,2,1)),"")</f>
        <v/>
      </c>
      <c r="C2664">
        <f>TRIM(INDEX(INDIRECT("'Выгрузка'!A2664:Z2664"),Настройки!$B$8)&amp;"")</f>
        <v/>
      </c>
      <c r="D2664">
        <f>IFERROR(--SUBSTITUTE(SUBSTITUTE(TRIM(INDEX(INDIRECT("'Выгрузка'!A2664:Z2664"),Настройки!$B$10)),",","."),".",MID(1/2,2,1)),"")</f>
        <v/>
      </c>
      <c r="E2664">
        <f>IFERROR(--SUBSTITUTE(SUBSTITUTE(TRIM(INDEX(INDIRECT("'Выгрузка'!A2664:Z2664"),Настройки!$B$11)),",","."),".",MID(1/2,2,1)),"")</f>
        <v/>
      </c>
      <c r="F2664">
        <f>TRIM(INDEX(INDIRECT("'Выгрузка'!A2664:Z2664"),Настройки!$B$12)&amp;"")</f>
        <v/>
      </c>
      <c r="G2664">
        <f>IF(F2664="",0,IF(TRIM(INDEX(INDIRECT("'Выгрузка'!A2664:Z2664"),Настройки!$B$13)&amp;"")="",1,IFERROR(--SUBSTITUTE(SUBSTITUTE(TRIM(INDEX(INDIRECT("'Выгрузка'!A2664:Z2664"),Настройки!$B$13)),",","."),".",MID(1/2,2,1)),"")))</f>
        <v/>
      </c>
      <c r="H2664">
        <f>IF(F2664="",0,IF(COUNTIF(Настройки!$B$17:$B$26,F2664)&gt;0,1,IF(COUNTIF(Настройки!$C$17:$C$26,F2664)&gt;0,2,IF(COUNTIF(Настройки!$D$17:$D$26,F2664)&gt;0,3,0))))</f>
        <v/>
      </c>
      <c r="I2664">
        <f>IF(AND(ISNUMBER(A2664),ISNUMBER(B2664)),A2664*1000+B2664,"")</f>
        <v/>
      </c>
      <c r="J2664">
        <f>IF(I2664="","",IF(COUNTIF(I$2:I2664,I2664)=1,MAX(J$1:J2663)+1,""))</f>
        <v/>
      </c>
    </row>
    <row r="2665">
      <c r="A2665">
        <f>IFERROR(--SUBSTITUTE(SUBSTITUTE(TRIM(INDEX(INDIRECT("'Выгрузка'!A2665:Z2665"),Настройки!$B$7)),",","."),".",MID(1/2,2,1)),"")</f>
        <v/>
      </c>
      <c r="B2665">
        <f>IFERROR(--SUBSTITUTE(SUBSTITUTE(TRIM(INDEX(INDIRECT("'Выгрузка'!A2665:Z2665"),Настройки!$B$9)),",","."),".",MID(1/2,2,1)),"")</f>
        <v/>
      </c>
      <c r="C2665">
        <f>TRIM(INDEX(INDIRECT("'Выгрузка'!A2665:Z2665"),Настройки!$B$8)&amp;"")</f>
        <v/>
      </c>
      <c r="D2665">
        <f>IFERROR(--SUBSTITUTE(SUBSTITUTE(TRIM(INDEX(INDIRECT("'Выгрузка'!A2665:Z2665"),Настройки!$B$10)),",","."),".",MID(1/2,2,1)),"")</f>
        <v/>
      </c>
      <c r="E2665">
        <f>IFERROR(--SUBSTITUTE(SUBSTITUTE(TRIM(INDEX(INDIRECT("'Выгрузка'!A2665:Z2665"),Настройки!$B$11)),",","."),".",MID(1/2,2,1)),"")</f>
        <v/>
      </c>
      <c r="F2665">
        <f>TRIM(INDEX(INDIRECT("'Выгрузка'!A2665:Z2665"),Настройки!$B$12)&amp;"")</f>
        <v/>
      </c>
      <c r="G2665">
        <f>IF(F2665="",0,IF(TRIM(INDEX(INDIRECT("'Выгрузка'!A2665:Z2665"),Настройки!$B$13)&amp;"")="",1,IFERROR(--SUBSTITUTE(SUBSTITUTE(TRIM(INDEX(INDIRECT("'Выгрузка'!A2665:Z2665"),Настройки!$B$13)),",","."),".",MID(1/2,2,1)),"")))</f>
        <v/>
      </c>
      <c r="H2665">
        <f>IF(F2665="",0,IF(COUNTIF(Настройки!$B$17:$B$26,F2665)&gt;0,1,IF(COUNTIF(Настройки!$C$17:$C$26,F2665)&gt;0,2,IF(COUNTIF(Настройки!$D$17:$D$26,F2665)&gt;0,3,0))))</f>
        <v/>
      </c>
      <c r="I2665">
        <f>IF(AND(ISNUMBER(A2665),ISNUMBER(B2665)),A2665*1000+B2665,"")</f>
        <v/>
      </c>
      <c r="J2665">
        <f>IF(I2665="","",IF(COUNTIF(I$2:I2665,I2665)=1,MAX(J$1:J2664)+1,""))</f>
        <v/>
      </c>
    </row>
    <row r="2666">
      <c r="A2666">
        <f>IFERROR(--SUBSTITUTE(SUBSTITUTE(TRIM(INDEX(INDIRECT("'Выгрузка'!A2666:Z2666"),Настройки!$B$7)),",","."),".",MID(1/2,2,1)),"")</f>
        <v/>
      </c>
      <c r="B2666">
        <f>IFERROR(--SUBSTITUTE(SUBSTITUTE(TRIM(INDEX(INDIRECT("'Выгрузка'!A2666:Z2666"),Настройки!$B$9)),",","."),".",MID(1/2,2,1)),"")</f>
        <v/>
      </c>
      <c r="C2666">
        <f>TRIM(INDEX(INDIRECT("'Выгрузка'!A2666:Z2666"),Настройки!$B$8)&amp;"")</f>
        <v/>
      </c>
      <c r="D2666">
        <f>IFERROR(--SUBSTITUTE(SUBSTITUTE(TRIM(INDEX(INDIRECT("'Выгрузка'!A2666:Z2666"),Настройки!$B$10)),",","."),".",MID(1/2,2,1)),"")</f>
        <v/>
      </c>
      <c r="E2666">
        <f>IFERROR(--SUBSTITUTE(SUBSTITUTE(TRIM(INDEX(INDIRECT("'Выгрузка'!A2666:Z2666"),Настройки!$B$11)),",","."),".",MID(1/2,2,1)),"")</f>
        <v/>
      </c>
      <c r="F2666">
        <f>TRIM(INDEX(INDIRECT("'Выгрузка'!A2666:Z2666"),Настройки!$B$12)&amp;"")</f>
        <v/>
      </c>
      <c r="G2666">
        <f>IF(F2666="",0,IF(TRIM(INDEX(INDIRECT("'Выгрузка'!A2666:Z2666"),Настройки!$B$13)&amp;"")="",1,IFERROR(--SUBSTITUTE(SUBSTITUTE(TRIM(INDEX(INDIRECT("'Выгрузка'!A2666:Z2666"),Настройки!$B$13)),",","."),".",MID(1/2,2,1)),"")))</f>
        <v/>
      </c>
      <c r="H2666">
        <f>IF(F2666="",0,IF(COUNTIF(Настройки!$B$17:$B$26,F2666)&gt;0,1,IF(COUNTIF(Настройки!$C$17:$C$26,F2666)&gt;0,2,IF(COUNTIF(Настройки!$D$17:$D$26,F2666)&gt;0,3,0))))</f>
        <v/>
      </c>
      <c r="I2666">
        <f>IF(AND(ISNUMBER(A2666),ISNUMBER(B2666)),A2666*1000+B2666,"")</f>
        <v/>
      </c>
      <c r="J2666">
        <f>IF(I2666="","",IF(COUNTIF(I$2:I2666,I2666)=1,MAX(J$1:J2665)+1,""))</f>
        <v/>
      </c>
    </row>
    <row r="2667">
      <c r="A2667">
        <f>IFERROR(--SUBSTITUTE(SUBSTITUTE(TRIM(INDEX(INDIRECT("'Выгрузка'!A2667:Z2667"),Настройки!$B$7)),",","."),".",MID(1/2,2,1)),"")</f>
        <v/>
      </c>
      <c r="B2667">
        <f>IFERROR(--SUBSTITUTE(SUBSTITUTE(TRIM(INDEX(INDIRECT("'Выгрузка'!A2667:Z2667"),Настройки!$B$9)),",","."),".",MID(1/2,2,1)),"")</f>
        <v/>
      </c>
      <c r="C2667">
        <f>TRIM(INDEX(INDIRECT("'Выгрузка'!A2667:Z2667"),Настройки!$B$8)&amp;"")</f>
        <v/>
      </c>
      <c r="D2667">
        <f>IFERROR(--SUBSTITUTE(SUBSTITUTE(TRIM(INDEX(INDIRECT("'Выгрузка'!A2667:Z2667"),Настройки!$B$10)),",","."),".",MID(1/2,2,1)),"")</f>
        <v/>
      </c>
      <c r="E2667">
        <f>IFERROR(--SUBSTITUTE(SUBSTITUTE(TRIM(INDEX(INDIRECT("'Выгрузка'!A2667:Z2667"),Настройки!$B$11)),",","."),".",MID(1/2,2,1)),"")</f>
        <v/>
      </c>
      <c r="F2667">
        <f>TRIM(INDEX(INDIRECT("'Выгрузка'!A2667:Z2667"),Настройки!$B$12)&amp;"")</f>
        <v/>
      </c>
      <c r="G2667">
        <f>IF(F2667="",0,IF(TRIM(INDEX(INDIRECT("'Выгрузка'!A2667:Z2667"),Настройки!$B$13)&amp;"")="",1,IFERROR(--SUBSTITUTE(SUBSTITUTE(TRIM(INDEX(INDIRECT("'Выгрузка'!A2667:Z2667"),Настройки!$B$13)),",","."),".",MID(1/2,2,1)),"")))</f>
        <v/>
      </c>
      <c r="H2667">
        <f>IF(F2667="",0,IF(COUNTIF(Настройки!$B$17:$B$26,F2667)&gt;0,1,IF(COUNTIF(Настройки!$C$17:$C$26,F2667)&gt;0,2,IF(COUNTIF(Настройки!$D$17:$D$26,F2667)&gt;0,3,0))))</f>
        <v/>
      </c>
      <c r="I2667">
        <f>IF(AND(ISNUMBER(A2667),ISNUMBER(B2667)),A2667*1000+B2667,"")</f>
        <v/>
      </c>
      <c r="J2667">
        <f>IF(I2667="","",IF(COUNTIF(I$2:I2667,I2667)=1,MAX(J$1:J2666)+1,""))</f>
        <v/>
      </c>
    </row>
    <row r="2668">
      <c r="A2668">
        <f>IFERROR(--SUBSTITUTE(SUBSTITUTE(TRIM(INDEX(INDIRECT("'Выгрузка'!A2668:Z2668"),Настройки!$B$7)),",","."),".",MID(1/2,2,1)),"")</f>
        <v/>
      </c>
      <c r="B2668">
        <f>IFERROR(--SUBSTITUTE(SUBSTITUTE(TRIM(INDEX(INDIRECT("'Выгрузка'!A2668:Z2668"),Настройки!$B$9)),",","."),".",MID(1/2,2,1)),"")</f>
        <v/>
      </c>
      <c r="C2668">
        <f>TRIM(INDEX(INDIRECT("'Выгрузка'!A2668:Z2668"),Настройки!$B$8)&amp;"")</f>
        <v/>
      </c>
      <c r="D2668">
        <f>IFERROR(--SUBSTITUTE(SUBSTITUTE(TRIM(INDEX(INDIRECT("'Выгрузка'!A2668:Z2668"),Настройки!$B$10)),",","."),".",MID(1/2,2,1)),"")</f>
        <v/>
      </c>
      <c r="E2668">
        <f>IFERROR(--SUBSTITUTE(SUBSTITUTE(TRIM(INDEX(INDIRECT("'Выгрузка'!A2668:Z2668"),Настройки!$B$11)),",","."),".",MID(1/2,2,1)),"")</f>
        <v/>
      </c>
      <c r="F2668">
        <f>TRIM(INDEX(INDIRECT("'Выгрузка'!A2668:Z2668"),Настройки!$B$12)&amp;"")</f>
        <v/>
      </c>
      <c r="G2668">
        <f>IF(F2668="",0,IF(TRIM(INDEX(INDIRECT("'Выгрузка'!A2668:Z2668"),Настройки!$B$13)&amp;"")="",1,IFERROR(--SUBSTITUTE(SUBSTITUTE(TRIM(INDEX(INDIRECT("'Выгрузка'!A2668:Z2668"),Настройки!$B$13)),",","."),".",MID(1/2,2,1)),"")))</f>
        <v/>
      </c>
      <c r="H2668">
        <f>IF(F2668="",0,IF(COUNTIF(Настройки!$B$17:$B$26,F2668)&gt;0,1,IF(COUNTIF(Настройки!$C$17:$C$26,F2668)&gt;0,2,IF(COUNTIF(Настройки!$D$17:$D$26,F2668)&gt;0,3,0))))</f>
        <v/>
      </c>
      <c r="I2668">
        <f>IF(AND(ISNUMBER(A2668),ISNUMBER(B2668)),A2668*1000+B2668,"")</f>
        <v/>
      </c>
      <c r="J2668">
        <f>IF(I2668="","",IF(COUNTIF(I$2:I2668,I2668)=1,MAX(J$1:J2667)+1,""))</f>
        <v/>
      </c>
    </row>
    <row r="2669">
      <c r="A2669">
        <f>IFERROR(--SUBSTITUTE(SUBSTITUTE(TRIM(INDEX(INDIRECT("'Выгрузка'!A2669:Z2669"),Настройки!$B$7)),",","."),".",MID(1/2,2,1)),"")</f>
        <v/>
      </c>
      <c r="B2669">
        <f>IFERROR(--SUBSTITUTE(SUBSTITUTE(TRIM(INDEX(INDIRECT("'Выгрузка'!A2669:Z2669"),Настройки!$B$9)),",","."),".",MID(1/2,2,1)),"")</f>
        <v/>
      </c>
      <c r="C2669">
        <f>TRIM(INDEX(INDIRECT("'Выгрузка'!A2669:Z2669"),Настройки!$B$8)&amp;"")</f>
        <v/>
      </c>
      <c r="D2669">
        <f>IFERROR(--SUBSTITUTE(SUBSTITUTE(TRIM(INDEX(INDIRECT("'Выгрузка'!A2669:Z2669"),Настройки!$B$10)),",","."),".",MID(1/2,2,1)),"")</f>
        <v/>
      </c>
      <c r="E2669">
        <f>IFERROR(--SUBSTITUTE(SUBSTITUTE(TRIM(INDEX(INDIRECT("'Выгрузка'!A2669:Z2669"),Настройки!$B$11)),",","."),".",MID(1/2,2,1)),"")</f>
        <v/>
      </c>
      <c r="F2669">
        <f>TRIM(INDEX(INDIRECT("'Выгрузка'!A2669:Z2669"),Настройки!$B$12)&amp;"")</f>
        <v/>
      </c>
      <c r="G2669">
        <f>IF(F2669="",0,IF(TRIM(INDEX(INDIRECT("'Выгрузка'!A2669:Z2669"),Настройки!$B$13)&amp;"")="",1,IFERROR(--SUBSTITUTE(SUBSTITUTE(TRIM(INDEX(INDIRECT("'Выгрузка'!A2669:Z2669"),Настройки!$B$13)),",","."),".",MID(1/2,2,1)),"")))</f>
        <v/>
      </c>
      <c r="H2669">
        <f>IF(F2669="",0,IF(COUNTIF(Настройки!$B$17:$B$26,F2669)&gt;0,1,IF(COUNTIF(Настройки!$C$17:$C$26,F2669)&gt;0,2,IF(COUNTIF(Настройки!$D$17:$D$26,F2669)&gt;0,3,0))))</f>
        <v/>
      </c>
      <c r="I2669">
        <f>IF(AND(ISNUMBER(A2669),ISNUMBER(B2669)),A2669*1000+B2669,"")</f>
        <v/>
      </c>
      <c r="J2669">
        <f>IF(I2669="","",IF(COUNTIF(I$2:I2669,I2669)=1,MAX(J$1:J2668)+1,""))</f>
        <v/>
      </c>
    </row>
    <row r="2670">
      <c r="A2670">
        <f>IFERROR(--SUBSTITUTE(SUBSTITUTE(TRIM(INDEX(INDIRECT("'Выгрузка'!A2670:Z2670"),Настройки!$B$7)),",","."),".",MID(1/2,2,1)),"")</f>
        <v/>
      </c>
      <c r="B2670">
        <f>IFERROR(--SUBSTITUTE(SUBSTITUTE(TRIM(INDEX(INDIRECT("'Выгрузка'!A2670:Z2670"),Настройки!$B$9)),",","."),".",MID(1/2,2,1)),"")</f>
        <v/>
      </c>
      <c r="C2670">
        <f>TRIM(INDEX(INDIRECT("'Выгрузка'!A2670:Z2670"),Настройки!$B$8)&amp;"")</f>
        <v/>
      </c>
      <c r="D2670">
        <f>IFERROR(--SUBSTITUTE(SUBSTITUTE(TRIM(INDEX(INDIRECT("'Выгрузка'!A2670:Z2670"),Настройки!$B$10)),",","."),".",MID(1/2,2,1)),"")</f>
        <v/>
      </c>
      <c r="E2670">
        <f>IFERROR(--SUBSTITUTE(SUBSTITUTE(TRIM(INDEX(INDIRECT("'Выгрузка'!A2670:Z2670"),Настройки!$B$11)),",","."),".",MID(1/2,2,1)),"")</f>
        <v/>
      </c>
      <c r="F2670">
        <f>TRIM(INDEX(INDIRECT("'Выгрузка'!A2670:Z2670"),Настройки!$B$12)&amp;"")</f>
        <v/>
      </c>
      <c r="G2670">
        <f>IF(F2670="",0,IF(TRIM(INDEX(INDIRECT("'Выгрузка'!A2670:Z2670"),Настройки!$B$13)&amp;"")="",1,IFERROR(--SUBSTITUTE(SUBSTITUTE(TRIM(INDEX(INDIRECT("'Выгрузка'!A2670:Z2670"),Настройки!$B$13)),",","."),".",MID(1/2,2,1)),"")))</f>
        <v/>
      </c>
      <c r="H2670">
        <f>IF(F2670="",0,IF(COUNTIF(Настройки!$B$17:$B$26,F2670)&gt;0,1,IF(COUNTIF(Настройки!$C$17:$C$26,F2670)&gt;0,2,IF(COUNTIF(Настройки!$D$17:$D$26,F2670)&gt;0,3,0))))</f>
        <v/>
      </c>
      <c r="I2670">
        <f>IF(AND(ISNUMBER(A2670),ISNUMBER(B2670)),A2670*1000+B2670,"")</f>
        <v/>
      </c>
      <c r="J2670">
        <f>IF(I2670="","",IF(COUNTIF(I$2:I2670,I2670)=1,MAX(J$1:J2669)+1,""))</f>
        <v/>
      </c>
    </row>
    <row r="2671">
      <c r="A2671">
        <f>IFERROR(--SUBSTITUTE(SUBSTITUTE(TRIM(INDEX(INDIRECT("'Выгрузка'!A2671:Z2671"),Настройки!$B$7)),",","."),".",MID(1/2,2,1)),"")</f>
        <v/>
      </c>
      <c r="B2671">
        <f>IFERROR(--SUBSTITUTE(SUBSTITUTE(TRIM(INDEX(INDIRECT("'Выгрузка'!A2671:Z2671"),Настройки!$B$9)),",","."),".",MID(1/2,2,1)),"")</f>
        <v/>
      </c>
      <c r="C2671">
        <f>TRIM(INDEX(INDIRECT("'Выгрузка'!A2671:Z2671"),Настройки!$B$8)&amp;"")</f>
        <v/>
      </c>
      <c r="D2671">
        <f>IFERROR(--SUBSTITUTE(SUBSTITUTE(TRIM(INDEX(INDIRECT("'Выгрузка'!A2671:Z2671"),Настройки!$B$10)),",","."),".",MID(1/2,2,1)),"")</f>
        <v/>
      </c>
      <c r="E2671">
        <f>IFERROR(--SUBSTITUTE(SUBSTITUTE(TRIM(INDEX(INDIRECT("'Выгрузка'!A2671:Z2671"),Настройки!$B$11)),",","."),".",MID(1/2,2,1)),"")</f>
        <v/>
      </c>
      <c r="F2671">
        <f>TRIM(INDEX(INDIRECT("'Выгрузка'!A2671:Z2671"),Настройки!$B$12)&amp;"")</f>
        <v/>
      </c>
      <c r="G2671">
        <f>IF(F2671="",0,IF(TRIM(INDEX(INDIRECT("'Выгрузка'!A2671:Z2671"),Настройки!$B$13)&amp;"")="",1,IFERROR(--SUBSTITUTE(SUBSTITUTE(TRIM(INDEX(INDIRECT("'Выгрузка'!A2671:Z2671"),Настройки!$B$13)),",","."),".",MID(1/2,2,1)),"")))</f>
        <v/>
      </c>
      <c r="H2671">
        <f>IF(F2671="",0,IF(COUNTIF(Настройки!$B$17:$B$26,F2671)&gt;0,1,IF(COUNTIF(Настройки!$C$17:$C$26,F2671)&gt;0,2,IF(COUNTIF(Настройки!$D$17:$D$26,F2671)&gt;0,3,0))))</f>
        <v/>
      </c>
      <c r="I2671">
        <f>IF(AND(ISNUMBER(A2671),ISNUMBER(B2671)),A2671*1000+B2671,"")</f>
        <v/>
      </c>
      <c r="J2671">
        <f>IF(I2671="","",IF(COUNTIF(I$2:I2671,I2671)=1,MAX(J$1:J2670)+1,""))</f>
        <v/>
      </c>
    </row>
    <row r="2672">
      <c r="A2672">
        <f>IFERROR(--SUBSTITUTE(SUBSTITUTE(TRIM(INDEX(INDIRECT("'Выгрузка'!A2672:Z2672"),Настройки!$B$7)),",","."),".",MID(1/2,2,1)),"")</f>
        <v/>
      </c>
      <c r="B2672">
        <f>IFERROR(--SUBSTITUTE(SUBSTITUTE(TRIM(INDEX(INDIRECT("'Выгрузка'!A2672:Z2672"),Настройки!$B$9)),",","."),".",MID(1/2,2,1)),"")</f>
        <v/>
      </c>
      <c r="C2672">
        <f>TRIM(INDEX(INDIRECT("'Выгрузка'!A2672:Z2672"),Настройки!$B$8)&amp;"")</f>
        <v/>
      </c>
      <c r="D2672">
        <f>IFERROR(--SUBSTITUTE(SUBSTITUTE(TRIM(INDEX(INDIRECT("'Выгрузка'!A2672:Z2672"),Настройки!$B$10)),",","."),".",MID(1/2,2,1)),"")</f>
        <v/>
      </c>
      <c r="E2672">
        <f>IFERROR(--SUBSTITUTE(SUBSTITUTE(TRIM(INDEX(INDIRECT("'Выгрузка'!A2672:Z2672"),Настройки!$B$11)),",","."),".",MID(1/2,2,1)),"")</f>
        <v/>
      </c>
      <c r="F2672">
        <f>TRIM(INDEX(INDIRECT("'Выгрузка'!A2672:Z2672"),Настройки!$B$12)&amp;"")</f>
        <v/>
      </c>
      <c r="G2672">
        <f>IF(F2672="",0,IF(TRIM(INDEX(INDIRECT("'Выгрузка'!A2672:Z2672"),Настройки!$B$13)&amp;"")="",1,IFERROR(--SUBSTITUTE(SUBSTITUTE(TRIM(INDEX(INDIRECT("'Выгрузка'!A2672:Z2672"),Настройки!$B$13)),",","."),".",MID(1/2,2,1)),"")))</f>
        <v/>
      </c>
      <c r="H2672">
        <f>IF(F2672="",0,IF(COUNTIF(Настройки!$B$17:$B$26,F2672)&gt;0,1,IF(COUNTIF(Настройки!$C$17:$C$26,F2672)&gt;0,2,IF(COUNTIF(Настройки!$D$17:$D$26,F2672)&gt;0,3,0))))</f>
        <v/>
      </c>
      <c r="I2672">
        <f>IF(AND(ISNUMBER(A2672),ISNUMBER(B2672)),A2672*1000+B2672,"")</f>
        <v/>
      </c>
      <c r="J2672">
        <f>IF(I2672="","",IF(COUNTIF(I$2:I2672,I2672)=1,MAX(J$1:J2671)+1,""))</f>
        <v/>
      </c>
    </row>
    <row r="2673">
      <c r="A2673">
        <f>IFERROR(--SUBSTITUTE(SUBSTITUTE(TRIM(INDEX(INDIRECT("'Выгрузка'!A2673:Z2673"),Настройки!$B$7)),",","."),".",MID(1/2,2,1)),"")</f>
        <v/>
      </c>
      <c r="B2673">
        <f>IFERROR(--SUBSTITUTE(SUBSTITUTE(TRIM(INDEX(INDIRECT("'Выгрузка'!A2673:Z2673"),Настройки!$B$9)),",","."),".",MID(1/2,2,1)),"")</f>
        <v/>
      </c>
      <c r="C2673">
        <f>TRIM(INDEX(INDIRECT("'Выгрузка'!A2673:Z2673"),Настройки!$B$8)&amp;"")</f>
        <v/>
      </c>
      <c r="D2673">
        <f>IFERROR(--SUBSTITUTE(SUBSTITUTE(TRIM(INDEX(INDIRECT("'Выгрузка'!A2673:Z2673"),Настройки!$B$10)),",","."),".",MID(1/2,2,1)),"")</f>
        <v/>
      </c>
      <c r="E2673">
        <f>IFERROR(--SUBSTITUTE(SUBSTITUTE(TRIM(INDEX(INDIRECT("'Выгрузка'!A2673:Z2673"),Настройки!$B$11)),",","."),".",MID(1/2,2,1)),"")</f>
        <v/>
      </c>
      <c r="F2673">
        <f>TRIM(INDEX(INDIRECT("'Выгрузка'!A2673:Z2673"),Настройки!$B$12)&amp;"")</f>
        <v/>
      </c>
      <c r="G2673">
        <f>IF(F2673="",0,IF(TRIM(INDEX(INDIRECT("'Выгрузка'!A2673:Z2673"),Настройки!$B$13)&amp;"")="",1,IFERROR(--SUBSTITUTE(SUBSTITUTE(TRIM(INDEX(INDIRECT("'Выгрузка'!A2673:Z2673"),Настройки!$B$13)),",","."),".",MID(1/2,2,1)),"")))</f>
        <v/>
      </c>
      <c r="H2673">
        <f>IF(F2673="",0,IF(COUNTIF(Настройки!$B$17:$B$26,F2673)&gt;0,1,IF(COUNTIF(Настройки!$C$17:$C$26,F2673)&gt;0,2,IF(COUNTIF(Настройки!$D$17:$D$26,F2673)&gt;0,3,0))))</f>
        <v/>
      </c>
      <c r="I2673">
        <f>IF(AND(ISNUMBER(A2673),ISNUMBER(B2673)),A2673*1000+B2673,"")</f>
        <v/>
      </c>
      <c r="J2673">
        <f>IF(I2673="","",IF(COUNTIF(I$2:I2673,I2673)=1,MAX(J$1:J2672)+1,""))</f>
        <v/>
      </c>
    </row>
    <row r="2674">
      <c r="A2674">
        <f>IFERROR(--SUBSTITUTE(SUBSTITUTE(TRIM(INDEX(INDIRECT("'Выгрузка'!A2674:Z2674"),Настройки!$B$7)),",","."),".",MID(1/2,2,1)),"")</f>
        <v/>
      </c>
      <c r="B2674">
        <f>IFERROR(--SUBSTITUTE(SUBSTITUTE(TRIM(INDEX(INDIRECT("'Выгрузка'!A2674:Z2674"),Настройки!$B$9)),",","."),".",MID(1/2,2,1)),"")</f>
        <v/>
      </c>
      <c r="C2674">
        <f>TRIM(INDEX(INDIRECT("'Выгрузка'!A2674:Z2674"),Настройки!$B$8)&amp;"")</f>
        <v/>
      </c>
      <c r="D2674">
        <f>IFERROR(--SUBSTITUTE(SUBSTITUTE(TRIM(INDEX(INDIRECT("'Выгрузка'!A2674:Z2674"),Настройки!$B$10)),",","."),".",MID(1/2,2,1)),"")</f>
        <v/>
      </c>
      <c r="E2674">
        <f>IFERROR(--SUBSTITUTE(SUBSTITUTE(TRIM(INDEX(INDIRECT("'Выгрузка'!A2674:Z2674"),Настройки!$B$11)),",","."),".",MID(1/2,2,1)),"")</f>
        <v/>
      </c>
      <c r="F2674">
        <f>TRIM(INDEX(INDIRECT("'Выгрузка'!A2674:Z2674"),Настройки!$B$12)&amp;"")</f>
        <v/>
      </c>
      <c r="G2674">
        <f>IF(F2674="",0,IF(TRIM(INDEX(INDIRECT("'Выгрузка'!A2674:Z2674"),Настройки!$B$13)&amp;"")="",1,IFERROR(--SUBSTITUTE(SUBSTITUTE(TRIM(INDEX(INDIRECT("'Выгрузка'!A2674:Z2674"),Настройки!$B$13)),",","."),".",MID(1/2,2,1)),"")))</f>
        <v/>
      </c>
      <c r="H2674">
        <f>IF(F2674="",0,IF(COUNTIF(Настройки!$B$17:$B$26,F2674)&gt;0,1,IF(COUNTIF(Настройки!$C$17:$C$26,F2674)&gt;0,2,IF(COUNTIF(Настройки!$D$17:$D$26,F2674)&gt;0,3,0))))</f>
        <v/>
      </c>
      <c r="I2674">
        <f>IF(AND(ISNUMBER(A2674),ISNUMBER(B2674)),A2674*1000+B2674,"")</f>
        <v/>
      </c>
      <c r="J2674">
        <f>IF(I2674="","",IF(COUNTIF(I$2:I2674,I2674)=1,MAX(J$1:J2673)+1,""))</f>
        <v/>
      </c>
    </row>
    <row r="2675">
      <c r="A2675">
        <f>IFERROR(--SUBSTITUTE(SUBSTITUTE(TRIM(INDEX(INDIRECT("'Выгрузка'!A2675:Z2675"),Настройки!$B$7)),",","."),".",MID(1/2,2,1)),"")</f>
        <v/>
      </c>
      <c r="B2675">
        <f>IFERROR(--SUBSTITUTE(SUBSTITUTE(TRIM(INDEX(INDIRECT("'Выгрузка'!A2675:Z2675"),Настройки!$B$9)),",","."),".",MID(1/2,2,1)),"")</f>
        <v/>
      </c>
      <c r="C2675">
        <f>TRIM(INDEX(INDIRECT("'Выгрузка'!A2675:Z2675"),Настройки!$B$8)&amp;"")</f>
        <v/>
      </c>
      <c r="D2675">
        <f>IFERROR(--SUBSTITUTE(SUBSTITUTE(TRIM(INDEX(INDIRECT("'Выгрузка'!A2675:Z2675"),Настройки!$B$10)),",","."),".",MID(1/2,2,1)),"")</f>
        <v/>
      </c>
      <c r="E2675">
        <f>IFERROR(--SUBSTITUTE(SUBSTITUTE(TRIM(INDEX(INDIRECT("'Выгрузка'!A2675:Z2675"),Настройки!$B$11)),",","."),".",MID(1/2,2,1)),"")</f>
        <v/>
      </c>
      <c r="F2675">
        <f>TRIM(INDEX(INDIRECT("'Выгрузка'!A2675:Z2675"),Настройки!$B$12)&amp;"")</f>
        <v/>
      </c>
      <c r="G2675">
        <f>IF(F2675="",0,IF(TRIM(INDEX(INDIRECT("'Выгрузка'!A2675:Z2675"),Настройки!$B$13)&amp;"")="",1,IFERROR(--SUBSTITUTE(SUBSTITUTE(TRIM(INDEX(INDIRECT("'Выгрузка'!A2675:Z2675"),Настройки!$B$13)),",","."),".",MID(1/2,2,1)),"")))</f>
        <v/>
      </c>
      <c r="H2675">
        <f>IF(F2675="",0,IF(COUNTIF(Настройки!$B$17:$B$26,F2675)&gt;0,1,IF(COUNTIF(Настройки!$C$17:$C$26,F2675)&gt;0,2,IF(COUNTIF(Настройки!$D$17:$D$26,F2675)&gt;0,3,0))))</f>
        <v/>
      </c>
      <c r="I2675">
        <f>IF(AND(ISNUMBER(A2675),ISNUMBER(B2675)),A2675*1000+B2675,"")</f>
        <v/>
      </c>
      <c r="J2675">
        <f>IF(I2675="","",IF(COUNTIF(I$2:I2675,I2675)=1,MAX(J$1:J2674)+1,""))</f>
        <v/>
      </c>
    </row>
    <row r="2676">
      <c r="A2676">
        <f>IFERROR(--SUBSTITUTE(SUBSTITUTE(TRIM(INDEX(INDIRECT("'Выгрузка'!A2676:Z2676"),Настройки!$B$7)),",","."),".",MID(1/2,2,1)),"")</f>
        <v/>
      </c>
      <c r="B2676">
        <f>IFERROR(--SUBSTITUTE(SUBSTITUTE(TRIM(INDEX(INDIRECT("'Выгрузка'!A2676:Z2676"),Настройки!$B$9)),",","."),".",MID(1/2,2,1)),"")</f>
        <v/>
      </c>
      <c r="C2676">
        <f>TRIM(INDEX(INDIRECT("'Выгрузка'!A2676:Z2676"),Настройки!$B$8)&amp;"")</f>
        <v/>
      </c>
      <c r="D2676">
        <f>IFERROR(--SUBSTITUTE(SUBSTITUTE(TRIM(INDEX(INDIRECT("'Выгрузка'!A2676:Z2676"),Настройки!$B$10)),",","."),".",MID(1/2,2,1)),"")</f>
        <v/>
      </c>
      <c r="E2676">
        <f>IFERROR(--SUBSTITUTE(SUBSTITUTE(TRIM(INDEX(INDIRECT("'Выгрузка'!A2676:Z2676"),Настройки!$B$11)),",","."),".",MID(1/2,2,1)),"")</f>
        <v/>
      </c>
      <c r="F2676">
        <f>TRIM(INDEX(INDIRECT("'Выгрузка'!A2676:Z2676"),Настройки!$B$12)&amp;"")</f>
        <v/>
      </c>
      <c r="G2676">
        <f>IF(F2676="",0,IF(TRIM(INDEX(INDIRECT("'Выгрузка'!A2676:Z2676"),Настройки!$B$13)&amp;"")="",1,IFERROR(--SUBSTITUTE(SUBSTITUTE(TRIM(INDEX(INDIRECT("'Выгрузка'!A2676:Z2676"),Настройки!$B$13)),",","."),".",MID(1/2,2,1)),"")))</f>
        <v/>
      </c>
      <c r="H2676">
        <f>IF(F2676="",0,IF(COUNTIF(Настройки!$B$17:$B$26,F2676)&gt;0,1,IF(COUNTIF(Настройки!$C$17:$C$26,F2676)&gt;0,2,IF(COUNTIF(Настройки!$D$17:$D$26,F2676)&gt;0,3,0))))</f>
        <v/>
      </c>
      <c r="I2676">
        <f>IF(AND(ISNUMBER(A2676),ISNUMBER(B2676)),A2676*1000+B2676,"")</f>
        <v/>
      </c>
      <c r="J2676">
        <f>IF(I2676="","",IF(COUNTIF(I$2:I2676,I2676)=1,MAX(J$1:J2675)+1,""))</f>
        <v/>
      </c>
    </row>
    <row r="2677">
      <c r="A2677">
        <f>IFERROR(--SUBSTITUTE(SUBSTITUTE(TRIM(INDEX(INDIRECT("'Выгрузка'!A2677:Z2677"),Настройки!$B$7)),",","."),".",MID(1/2,2,1)),"")</f>
        <v/>
      </c>
      <c r="B2677">
        <f>IFERROR(--SUBSTITUTE(SUBSTITUTE(TRIM(INDEX(INDIRECT("'Выгрузка'!A2677:Z2677"),Настройки!$B$9)),",","."),".",MID(1/2,2,1)),"")</f>
        <v/>
      </c>
      <c r="C2677">
        <f>TRIM(INDEX(INDIRECT("'Выгрузка'!A2677:Z2677"),Настройки!$B$8)&amp;"")</f>
        <v/>
      </c>
      <c r="D2677">
        <f>IFERROR(--SUBSTITUTE(SUBSTITUTE(TRIM(INDEX(INDIRECT("'Выгрузка'!A2677:Z2677"),Настройки!$B$10)),",","."),".",MID(1/2,2,1)),"")</f>
        <v/>
      </c>
      <c r="E2677">
        <f>IFERROR(--SUBSTITUTE(SUBSTITUTE(TRIM(INDEX(INDIRECT("'Выгрузка'!A2677:Z2677"),Настройки!$B$11)),",","."),".",MID(1/2,2,1)),"")</f>
        <v/>
      </c>
      <c r="F2677">
        <f>TRIM(INDEX(INDIRECT("'Выгрузка'!A2677:Z2677"),Настройки!$B$12)&amp;"")</f>
        <v/>
      </c>
      <c r="G2677">
        <f>IF(F2677="",0,IF(TRIM(INDEX(INDIRECT("'Выгрузка'!A2677:Z2677"),Настройки!$B$13)&amp;"")="",1,IFERROR(--SUBSTITUTE(SUBSTITUTE(TRIM(INDEX(INDIRECT("'Выгрузка'!A2677:Z2677"),Настройки!$B$13)),",","."),".",MID(1/2,2,1)),"")))</f>
        <v/>
      </c>
      <c r="H2677">
        <f>IF(F2677="",0,IF(COUNTIF(Настройки!$B$17:$B$26,F2677)&gt;0,1,IF(COUNTIF(Настройки!$C$17:$C$26,F2677)&gt;0,2,IF(COUNTIF(Настройки!$D$17:$D$26,F2677)&gt;0,3,0))))</f>
        <v/>
      </c>
      <c r="I2677">
        <f>IF(AND(ISNUMBER(A2677),ISNUMBER(B2677)),A2677*1000+B2677,"")</f>
        <v/>
      </c>
      <c r="J2677">
        <f>IF(I2677="","",IF(COUNTIF(I$2:I2677,I2677)=1,MAX(J$1:J2676)+1,""))</f>
        <v/>
      </c>
    </row>
    <row r="2678">
      <c r="A2678">
        <f>IFERROR(--SUBSTITUTE(SUBSTITUTE(TRIM(INDEX(INDIRECT("'Выгрузка'!A2678:Z2678"),Настройки!$B$7)),",","."),".",MID(1/2,2,1)),"")</f>
        <v/>
      </c>
      <c r="B2678">
        <f>IFERROR(--SUBSTITUTE(SUBSTITUTE(TRIM(INDEX(INDIRECT("'Выгрузка'!A2678:Z2678"),Настройки!$B$9)),",","."),".",MID(1/2,2,1)),"")</f>
        <v/>
      </c>
      <c r="C2678">
        <f>TRIM(INDEX(INDIRECT("'Выгрузка'!A2678:Z2678"),Настройки!$B$8)&amp;"")</f>
        <v/>
      </c>
      <c r="D2678">
        <f>IFERROR(--SUBSTITUTE(SUBSTITUTE(TRIM(INDEX(INDIRECT("'Выгрузка'!A2678:Z2678"),Настройки!$B$10)),",","."),".",MID(1/2,2,1)),"")</f>
        <v/>
      </c>
      <c r="E2678">
        <f>IFERROR(--SUBSTITUTE(SUBSTITUTE(TRIM(INDEX(INDIRECT("'Выгрузка'!A2678:Z2678"),Настройки!$B$11)),",","."),".",MID(1/2,2,1)),"")</f>
        <v/>
      </c>
      <c r="F2678">
        <f>TRIM(INDEX(INDIRECT("'Выгрузка'!A2678:Z2678"),Настройки!$B$12)&amp;"")</f>
        <v/>
      </c>
      <c r="G2678">
        <f>IF(F2678="",0,IF(TRIM(INDEX(INDIRECT("'Выгрузка'!A2678:Z2678"),Настройки!$B$13)&amp;"")="",1,IFERROR(--SUBSTITUTE(SUBSTITUTE(TRIM(INDEX(INDIRECT("'Выгрузка'!A2678:Z2678"),Настройки!$B$13)),",","."),".",MID(1/2,2,1)),"")))</f>
        <v/>
      </c>
      <c r="H2678">
        <f>IF(F2678="",0,IF(COUNTIF(Настройки!$B$17:$B$26,F2678)&gt;0,1,IF(COUNTIF(Настройки!$C$17:$C$26,F2678)&gt;0,2,IF(COUNTIF(Настройки!$D$17:$D$26,F2678)&gt;0,3,0))))</f>
        <v/>
      </c>
      <c r="I2678">
        <f>IF(AND(ISNUMBER(A2678),ISNUMBER(B2678)),A2678*1000+B2678,"")</f>
        <v/>
      </c>
      <c r="J2678">
        <f>IF(I2678="","",IF(COUNTIF(I$2:I2678,I2678)=1,MAX(J$1:J2677)+1,""))</f>
        <v/>
      </c>
    </row>
    <row r="2679">
      <c r="A2679">
        <f>IFERROR(--SUBSTITUTE(SUBSTITUTE(TRIM(INDEX(INDIRECT("'Выгрузка'!A2679:Z2679"),Настройки!$B$7)),",","."),".",MID(1/2,2,1)),"")</f>
        <v/>
      </c>
      <c r="B2679">
        <f>IFERROR(--SUBSTITUTE(SUBSTITUTE(TRIM(INDEX(INDIRECT("'Выгрузка'!A2679:Z2679"),Настройки!$B$9)),",","."),".",MID(1/2,2,1)),"")</f>
        <v/>
      </c>
      <c r="C2679">
        <f>TRIM(INDEX(INDIRECT("'Выгрузка'!A2679:Z2679"),Настройки!$B$8)&amp;"")</f>
        <v/>
      </c>
      <c r="D2679">
        <f>IFERROR(--SUBSTITUTE(SUBSTITUTE(TRIM(INDEX(INDIRECT("'Выгрузка'!A2679:Z2679"),Настройки!$B$10)),",","."),".",MID(1/2,2,1)),"")</f>
        <v/>
      </c>
      <c r="E2679">
        <f>IFERROR(--SUBSTITUTE(SUBSTITUTE(TRIM(INDEX(INDIRECT("'Выгрузка'!A2679:Z2679"),Настройки!$B$11)),",","."),".",MID(1/2,2,1)),"")</f>
        <v/>
      </c>
      <c r="F2679">
        <f>TRIM(INDEX(INDIRECT("'Выгрузка'!A2679:Z2679"),Настройки!$B$12)&amp;"")</f>
        <v/>
      </c>
      <c r="G2679">
        <f>IF(F2679="",0,IF(TRIM(INDEX(INDIRECT("'Выгрузка'!A2679:Z2679"),Настройки!$B$13)&amp;"")="",1,IFERROR(--SUBSTITUTE(SUBSTITUTE(TRIM(INDEX(INDIRECT("'Выгрузка'!A2679:Z2679"),Настройки!$B$13)),",","."),".",MID(1/2,2,1)),"")))</f>
        <v/>
      </c>
      <c r="H2679">
        <f>IF(F2679="",0,IF(COUNTIF(Настройки!$B$17:$B$26,F2679)&gt;0,1,IF(COUNTIF(Настройки!$C$17:$C$26,F2679)&gt;0,2,IF(COUNTIF(Настройки!$D$17:$D$26,F2679)&gt;0,3,0))))</f>
        <v/>
      </c>
      <c r="I2679">
        <f>IF(AND(ISNUMBER(A2679),ISNUMBER(B2679)),A2679*1000+B2679,"")</f>
        <v/>
      </c>
      <c r="J2679">
        <f>IF(I2679="","",IF(COUNTIF(I$2:I2679,I2679)=1,MAX(J$1:J2678)+1,""))</f>
        <v/>
      </c>
    </row>
    <row r="2680">
      <c r="A2680">
        <f>IFERROR(--SUBSTITUTE(SUBSTITUTE(TRIM(INDEX(INDIRECT("'Выгрузка'!A2680:Z2680"),Настройки!$B$7)),",","."),".",MID(1/2,2,1)),"")</f>
        <v/>
      </c>
      <c r="B2680">
        <f>IFERROR(--SUBSTITUTE(SUBSTITUTE(TRIM(INDEX(INDIRECT("'Выгрузка'!A2680:Z2680"),Настройки!$B$9)),",","."),".",MID(1/2,2,1)),"")</f>
        <v/>
      </c>
      <c r="C2680">
        <f>TRIM(INDEX(INDIRECT("'Выгрузка'!A2680:Z2680"),Настройки!$B$8)&amp;"")</f>
        <v/>
      </c>
      <c r="D2680">
        <f>IFERROR(--SUBSTITUTE(SUBSTITUTE(TRIM(INDEX(INDIRECT("'Выгрузка'!A2680:Z2680"),Настройки!$B$10)),",","."),".",MID(1/2,2,1)),"")</f>
        <v/>
      </c>
      <c r="E2680">
        <f>IFERROR(--SUBSTITUTE(SUBSTITUTE(TRIM(INDEX(INDIRECT("'Выгрузка'!A2680:Z2680"),Настройки!$B$11)),",","."),".",MID(1/2,2,1)),"")</f>
        <v/>
      </c>
      <c r="F2680">
        <f>TRIM(INDEX(INDIRECT("'Выгрузка'!A2680:Z2680"),Настройки!$B$12)&amp;"")</f>
        <v/>
      </c>
      <c r="G2680">
        <f>IF(F2680="",0,IF(TRIM(INDEX(INDIRECT("'Выгрузка'!A2680:Z2680"),Настройки!$B$13)&amp;"")="",1,IFERROR(--SUBSTITUTE(SUBSTITUTE(TRIM(INDEX(INDIRECT("'Выгрузка'!A2680:Z2680"),Настройки!$B$13)),",","."),".",MID(1/2,2,1)),"")))</f>
        <v/>
      </c>
      <c r="H2680">
        <f>IF(F2680="",0,IF(COUNTIF(Настройки!$B$17:$B$26,F2680)&gt;0,1,IF(COUNTIF(Настройки!$C$17:$C$26,F2680)&gt;0,2,IF(COUNTIF(Настройки!$D$17:$D$26,F2680)&gt;0,3,0))))</f>
        <v/>
      </c>
      <c r="I2680">
        <f>IF(AND(ISNUMBER(A2680),ISNUMBER(B2680)),A2680*1000+B2680,"")</f>
        <v/>
      </c>
      <c r="J2680">
        <f>IF(I2680="","",IF(COUNTIF(I$2:I2680,I2680)=1,MAX(J$1:J2679)+1,""))</f>
        <v/>
      </c>
    </row>
    <row r="2681">
      <c r="A2681">
        <f>IFERROR(--SUBSTITUTE(SUBSTITUTE(TRIM(INDEX(INDIRECT("'Выгрузка'!A2681:Z2681"),Настройки!$B$7)),",","."),".",MID(1/2,2,1)),"")</f>
        <v/>
      </c>
      <c r="B2681">
        <f>IFERROR(--SUBSTITUTE(SUBSTITUTE(TRIM(INDEX(INDIRECT("'Выгрузка'!A2681:Z2681"),Настройки!$B$9)),",","."),".",MID(1/2,2,1)),"")</f>
        <v/>
      </c>
      <c r="C2681">
        <f>TRIM(INDEX(INDIRECT("'Выгрузка'!A2681:Z2681"),Настройки!$B$8)&amp;"")</f>
        <v/>
      </c>
      <c r="D2681">
        <f>IFERROR(--SUBSTITUTE(SUBSTITUTE(TRIM(INDEX(INDIRECT("'Выгрузка'!A2681:Z2681"),Настройки!$B$10)),",","."),".",MID(1/2,2,1)),"")</f>
        <v/>
      </c>
      <c r="E2681">
        <f>IFERROR(--SUBSTITUTE(SUBSTITUTE(TRIM(INDEX(INDIRECT("'Выгрузка'!A2681:Z2681"),Настройки!$B$11)),",","."),".",MID(1/2,2,1)),"")</f>
        <v/>
      </c>
      <c r="F2681">
        <f>TRIM(INDEX(INDIRECT("'Выгрузка'!A2681:Z2681"),Настройки!$B$12)&amp;"")</f>
        <v/>
      </c>
      <c r="G2681">
        <f>IF(F2681="",0,IF(TRIM(INDEX(INDIRECT("'Выгрузка'!A2681:Z2681"),Настройки!$B$13)&amp;"")="",1,IFERROR(--SUBSTITUTE(SUBSTITUTE(TRIM(INDEX(INDIRECT("'Выгрузка'!A2681:Z2681"),Настройки!$B$13)),",","."),".",MID(1/2,2,1)),"")))</f>
        <v/>
      </c>
      <c r="H2681">
        <f>IF(F2681="",0,IF(COUNTIF(Настройки!$B$17:$B$26,F2681)&gt;0,1,IF(COUNTIF(Настройки!$C$17:$C$26,F2681)&gt;0,2,IF(COUNTIF(Настройки!$D$17:$D$26,F2681)&gt;0,3,0))))</f>
        <v/>
      </c>
      <c r="I2681">
        <f>IF(AND(ISNUMBER(A2681),ISNUMBER(B2681)),A2681*1000+B2681,"")</f>
        <v/>
      </c>
      <c r="J2681">
        <f>IF(I2681="","",IF(COUNTIF(I$2:I2681,I2681)=1,MAX(J$1:J2680)+1,""))</f>
        <v/>
      </c>
    </row>
    <row r="2682">
      <c r="A2682">
        <f>IFERROR(--SUBSTITUTE(SUBSTITUTE(TRIM(INDEX(INDIRECT("'Выгрузка'!A2682:Z2682"),Настройки!$B$7)),",","."),".",MID(1/2,2,1)),"")</f>
        <v/>
      </c>
      <c r="B2682">
        <f>IFERROR(--SUBSTITUTE(SUBSTITUTE(TRIM(INDEX(INDIRECT("'Выгрузка'!A2682:Z2682"),Настройки!$B$9)),",","."),".",MID(1/2,2,1)),"")</f>
        <v/>
      </c>
      <c r="C2682">
        <f>TRIM(INDEX(INDIRECT("'Выгрузка'!A2682:Z2682"),Настройки!$B$8)&amp;"")</f>
        <v/>
      </c>
      <c r="D2682">
        <f>IFERROR(--SUBSTITUTE(SUBSTITUTE(TRIM(INDEX(INDIRECT("'Выгрузка'!A2682:Z2682"),Настройки!$B$10)),",","."),".",MID(1/2,2,1)),"")</f>
        <v/>
      </c>
      <c r="E2682">
        <f>IFERROR(--SUBSTITUTE(SUBSTITUTE(TRIM(INDEX(INDIRECT("'Выгрузка'!A2682:Z2682"),Настройки!$B$11)),",","."),".",MID(1/2,2,1)),"")</f>
        <v/>
      </c>
      <c r="F2682">
        <f>TRIM(INDEX(INDIRECT("'Выгрузка'!A2682:Z2682"),Настройки!$B$12)&amp;"")</f>
        <v/>
      </c>
      <c r="G2682">
        <f>IF(F2682="",0,IF(TRIM(INDEX(INDIRECT("'Выгрузка'!A2682:Z2682"),Настройки!$B$13)&amp;"")="",1,IFERROR(--SUBSTITUTE(SUBSTITUTE(TRIM(INDEX(INDIRECT("'Выгрузка'!A2682:Z2682"),Настройки!$B$13)),",","."),".",MID(1/2,2,1)),"")))</f>
        <v/>
      </c>
      <c r="H2682">
        <f>IF(F2682="",0,IF(COUNTIF(Настройки!$B$17:$B$26,F2682)&gt;0,1,IF(COUNTIF(Настройки!$C$17:$C$26,F2682)&gt;0,2,IF(COUNTIF(Настройки!$D$17:$D$26,F2682)&gt;0,3,0))))</f>
        <v/>
      </c>
      <c r="I2682">
        <f>IF(AND(ISNUMBER(A2682),ISNUMBER(B2682)),A2682*1000+B2682,"")</f>
        <v/>
      </c>
      <c r="J2682">
        <f>IF(I2682="","",IF(COUNTIF(I$2:I2682,I2682)=1,MAX(J$1:J2681)+1,""))</f>
        <v/>
      </c>
    </row>
    <row r="2683">
      <c r="A2683">
        <f>IFERROR(--SUBSTITUTE(SUBSTITUTE(TRIM(INDEX(INDIRECT("'Выгрузка'!A2683:Z2683"),Настройки!$B$7)),",","."),".",MID(1/2,2,1)),"")</f>
        <v/>
      </c>
      <c r="B2683">
        <f>IFERROR(--SUBSTITUTE(SUBSTITUTE(TRIM(INDEX(INDIRECT("'Выгрузка'!A2683:Z2683"),Настройки!$B$9)),",","."),".",MID(1/2,2,1)),"")</f>
        <v/>
      </c>
      <c r="C2683">
        <f>TRIM(INDEX(INDIRECT("'Выгрузка'!A2683:Z2683"),Настройки!$B$8)&amp;"")</f>
        <v/>
      </c>
      <c r="D2683">
        <f>IFERROR(--SUBSTITUTE(SUBSTITUTE(TRIM(INDEX(INDIRECT("'Выгрузка'!A2683:Z2683"),Настройки!$B$10)),",","."),".",MID(1/2,2,1)),"")</f>
        <v/>
      </c>
      <c r="E2683">
        <f>IFERROR(--SUBSTITUTE(SUBSTITUTE(TRIM(INDEX(INDIRECT("'Выгрузка'!A2683:Z2683"),Настройки!$B$11)),",","."),".",MID(1/2,2,1)),"")</f>
        <v/>
      </c>
      <c r="F2683">
        <f>TRIM(INDEX(INDIRECT("'Выгрузка'!A2683:Z2683"),Настройки!$B$12)&amp;"")</f>
        <v/>
      </c>
      <c r="G2683">
        <f>IF(F2683="",0,IF(TRIM(INDEX(INDIRECT("'Выгрузка'!A2683:Z2683"),Настройки!$B$13)&amp;"")="",1,IFERROR(--SUBSTITUTE(SUBSTITUTE(TRIM(INDEX(INDIRECT("'Выгрузка'!A2683:Z2683"),Настройки!$B$13)),",","."),".",MID(1/2,2,1)),"")))</f>
        <v/>
      </c>
      <c r="H2683">
        <f>IF(F2683="",0,IF(COUNTIF(Настройки!$B$17:$B$26,F2683)&gt;0,1,IF(COUNTIF(Настройки!$C$17:$C$26,F2683)&gt;0,2,IF(COUNTIF(Настройки!$D$17:$D$26,F2683)&gt;0,3,0))))</f>
        <v/>
      </c>
      <c r="I2683">
        <f>IF(AND(ISNUMBER(A2683),ISNUMBER(B2683)),A2683*1000+B2683,"")</f>
        <v/>
      </c>
      <c r="J2683">
        <f>IF(I2683="","",IF(COUNTIF(I$2:I2683,I2683)=1,MAX(J$1:J2682)+1,""))</f>
        <v/>
      </c>
    </row>
    <row r="2684">
      <c r="A2684">
        <f>IFERROR(--SUBSTITUTE(SUBSTITUTE(TRIM(INDEX(INDIRECT("'Выгрузка'!A2684:Z2684"),Настройки!$B$7)),",","."),".",MID(1/2,2,1)),"")</f>
        <v/>
      </c>
      <c r="B2684">
        <f>IFERROR(--SUBSTITUTE(SUBSTITUTE(TRIM(INDEX(INDIRECT("'Выгрузка'!A2684:Z2684"),Настройки!$B$9)),",","."),".",MID(1/2,2,1)),"")</f>
        <v/>
      </c>
      <c r="C2684">
        <f>TRIM(INDEX(INDIRECT("'Выгрузка'!A2684:Z2684"),Настройки!$B$8)&amp;"")</f>
        <v/>
      </c>
      <c r="D2684">
        <f>IFERROR(--SUBSTITUTE(SUBSTITUTE(TRIM(INDEX(INDIRECT("'Выгрузка'!A2684:Z2684"),Настройки!$B$10)),",","."),".",MID(1/2,2,1)),"")</f>
        <v/>
      </c>
      <c r="E2684">
        <f>IFERROR(--SUBSTITUTE(SUBSTITUTE(TRIM(INDEX(INDIRECT("'Выгрузка'!A2684:Z2684"),Настройки!$B$11)),",","."),".",MID(1/2,2,1)),"")</f>
        <v/>
      </c>
      <c r="F2684">
        <f>TRIM(INDEX(INDIRECT("'Выгрузка'!A2684:Z2684"),Настройки!$B$12)&amp;"")</f>
        <v/>
      </c>
      <c r="G2684">
        <f>IF(F2684="",0,IF(TRIM(INDEX(INDIRECT("'Выгрузка'!A2684:Z2684"),Настройки!$B$13)&amp;"")="",1,IFERROR(--SUBSTITUTE(SUBSTITUTE(TRIM(INDEX(INDIRECT("'Выгрузка'!A2684:Z2684"),Настройки!$B$13)),",","."),".",MID(1/2,2,1)),"")))</f>
        <v/>
      </c>
      <c r="H2684">
        <f>IF(F2684="",0,IF(COUNTIF(Настройки!$B$17:$B$26,F2684)&gt;0,1,IF(COUNTIF(Настройки!$C$17:$C$26,F2684)&gt;0,2,IF(COUNTIF(Настройки!$D$17:$D$26,F2684)&gt;0,3,0))))</f>
        <v/>
      </c>
      <c r="I2684">
        <f>IF(AND(ISNUMBER(A2684),ISNUMBER(B2684)),A2684*1000+B2684,"")</f>
        <v/>
      </c>
      <c r="J2684">
        <f>IF(I2684="","",IF(COUNTIF(I$2:I2684,I2684)=1,MAX(J$1:J2683)+1,""))</f>
        <v/>
      </c>
    </row>
    <row r="2685">
      <c r="A2685">
        <f>IFERROR(--SUBSTITUTE(SUBSTITUTE(TRIM(INDEX(INDIRECT("'Выгрузка'!A2685:Z2685"),Настройки!$B$7)),",","."),".",MID(1/2,2,1)),"")</f>
        <v/>
      </c>
      <c r="B2685">
        <f>IFERROR(--SUBSTITUTE(SUBSTITUTE(TRIM(INDEX(INDIRECT("'Выгрузка'!A2685:Z2685"),Настройки!$B$9)),",","."),".",MID(1/2,2,1)),"")</f>
        <v/>
      </c>
      <c r="C2685">
        <f>TRIM(INDEX(INDIRECT("'Выгрузка'!A2685:Z2685"),Настройки!$B$8)&amp;"")</f>
        <v/>
      </c>
      <c r="D2685">
        <f>IFERROR(--SUBSTITUTE(SUBSTITUTE(TRIM(INDEX(INDIRECT("'Выгрузка'!A2685:Z2685"),Настройки!$B$10)),",","."),".",MID(1/2,2,1)),"")</f>
        <v/>
      </c>
      <c r="E2685">
        <f>IFERROR(--SUBSTITUTE(SUBSTITUTE(TRIM(INDEX(INDIRECT("'Выгрузка'!A2685:Z2685"),Настройки!$B$11)),",","."),".",MID(1/2,2,1)),"")</f>
        <v/>
      </c>
      <c r="F2685">
        <f>TRIM(INDEX(INDIRECT("'Выгрузка'!A2685:Z2685"),Настройки!$B$12)&amp;"")</f>
        <v/>
      </c>
      <c r="G2685">
        <f>IF(F2685="",0,IF(TRIM(INDEX(INDIRECT("'Выгрузка'!A2685:Z2685"),Настройки!$B$13)&amp;"")="",1,IFERROR(--SUBSTITUTE(SUBSTITUTE(TRIM(INDEX(INDIRECT("'Выгрузка'!A2685:Z2685"),Настройки!$B$13)),",","."),".",MID(1/2,2,1)),"")))</f>
        <v/>
      </c>
      <c r="H2685">
        <f>IF(F2685="",0,IF(COUNTIF(Настройки!$B$17:$B$26,F2685)&gt;0,1,IF(COUNTIF(Настройки!$C$17:$C$26,F2685)&gt;0,2,IF(COUNTIF(Настройки!$D$17:$D$26,F2685)&gt;0,3,0))))</f>
        <v/>
      </c>
      <c r="I2685">
        <f>IF(AND(ISNUMBER(A2685),ISNUMBER(B2685)),A2685*1000+B2685,"")</f>
        <v/>
      </c>
      <c r="J2685">
        <f>IF(I2685="","",IF(COUNTIF(I$2:I2685,I2685)=1,MAX(J$1:J2684)+1,""))</f>
        <v/>
      </c>
    </row>
    <row r="2686">
      <c r="A2686">
        <f>IFERROR(--SUBSTITUTE(SUBSTITUTE(TRIM(INDEX(INDIRECT("'Выгрузка'!A2686:Z2686"),Настройки!$B$7)),",","."),".",MID(1/2,2,1)),"")</f>
        <v/>
      </c>
      <c r="B2686">
        <f>IFERROR(--SUBSTITUTE(SUBSTITUTE(TRIM(INDEX(INDIRECT("'Выгрузка'!A2686:Z2686"),Настройки!$B$9)),",","."),".",MID(1/2,2,1)),"")</f>
        <v/>
      </c>
      <c r="C2686">
        <f>TRIM(INDEX(INDIRECT("'Выгрузка'!A2686:Z2686"),Настройки!$B$8)&amp;"")</f>
        <v/>
      </c>
      <c r="D2686">
        <f>IFERROR(--SUBSTITUTE(SUBSTITUTE(TRIM(INDEX(INDIRECT("'Выгрузка'!A2686:Z2686"),Настройки!$B$10)),",","."),".",MID(1/2,2,1)),"")</f>
        <v/>
      </c>
      <c r="E2686">
        <f>IFERROR(--SUBSTITUTE(SUBSTITUTE(TRIM(INDEX(INDIRECT("'Выгрузка'!A2686:Z2686"),Настройки!$B$11)),",","."),".",MID(1/2,2,1)),"")</f>
        <v/>
      </c>
      <c r="F2686">
        <f>TRIM(INDEX(INDIRECT("'Выгрузка'!A2686:Z2686"),Настройки!$B$12)&amp;"")</f>
        <v/>
      </c>
      <c r="G2686">
        <f>IF(F2686="",0,IF(TRIM(INDEX(INDIRECT("'Выгрузка'!A2686:Z2686"),Настройки!$B$13)&amp;"")="",1,IFERROR(--SUBSTITUTE(SUBSTITUTE(TRIM(INDEX(INDIRECT("'Выгрузка'!A2686:Z2686"),Настройки!$B$13)),",","."),".",MID(1/2,2,1)),"")))</f>
        <v/>
      </c>
      <c r="H2686">
        <f>IF(F2686="",0,IF(COUNTIF(Настройки!$B$17:$B$26,F2686)&gt;0,1,IF(COUNTIF(Настройки!$C$17:$C$26,F2686)&gt;0,2,IF(COUNTIF(Настройки!$D$17:$D$26,F2686)&gt;0,3,0))))</f>
        <v/>
      </c>
      <c r="I2686">
        <f>IF(AND(ISNUMBER(A2686),ISNUMBER(B2686)),A2686*1000+B2686,"")</f>
        <v/>
      </c>
      <c r="J2686">
        <f>IF(I2686="","",IF(COUNTIF(I$2:I2686,I2686)=1,MAX(J$1:J2685)+1,""))</f>
        <v/>
      </c>
    </row>
    <row r="2687">
      <c r="A2687">
        <f>IFERROR(--SUBSTITUTE(SUBSTITUTE(TRIM(INDEX(INDIRECT("'Выгрузка'!A2687:Z2687"),Настройки!$B$7)),",","."),".",MID(1/2,2,1)),"")</f>
        <v/>
      </c>
      <c r="B2687">
        <f>IFERROR(--SUBSTITUTE(SUBSTITUTE(TRIM(INDEX(INDIRECT("'Выгрузка'!A2687:Z2687"),Настройки!$B$9)),",","."),".",MID(1/2,2,1)),"")</f>
        <v/>
      </c>
      <c r="C2687">
        <f>TRIM(INDEX(INDIRECT("'Выгрузка'!A2687:Z2687"),Настройки!$B$8)&amp;"")</f>
        <v/>
      </c>
      <c r="D2687">
        <f>IFERROR(--SUBSTITUTE(SUBSTITUTE(TRIM(INDEX(INDIRECT("'Выгрузка'!A2687:Z2687"),Настройки!$B$10)),",","."),".",MID(1/2,2,1)),"")</f>
        <v/>
      </c>
      <c r="E2687">
        <f>IFERROR(--SUBSTITUTE(SUBSTITUTE(TRIM(INDEX(INDIRECT("'Выгрузка'!A2687:Z2687"),Настройки!$B$11)),",","."),".",MID(1/2,2,1)),"")</f>
        <v/>
      </c>
      <c r="F2687">
        <f>TRIM(INDEX(INDIRECT("'Выгрузка'!A2687:Z2687"),Настройки!$B$12)&amp;"")</f>
        <v/>
      </c>
      <c r="G2687">
        <f>IF(F2687="",0,IF(TRIM(INDEX(INDIRECT("'Выгрузка'!A2687:Z2687"),Настройки!$B$13)&amp;"")="",1,IFERROR(--SUBSTITUTE(SUBSTITUTE(TRIM(INDEX(INDIRECT("'Выгрузка'!A2687:Z2687"),Настройки!$B$13)),",","."),".",MID(1/2,2,1)),"")))</f>
        <v/>
      </c>
      <c r="H2687">
        <f>IF(F2687="",0,IF(COUNTIF(Настройки!$B$17:$B$26,F2687)&gt;0,1,IF(COUNTIF(Настройки!$C$17:$C$26,F2687)&gt;0,2,IF(COUNTIF(Настройки!$D$17:$D$26,F2687)&gt;0,3,0))))</f>
        <v/>
      </c>
      <c r="I2687">
        <f>IF(AND(ISNUMBER(A2687),ISNUMBER(B2687)),A2687*1000+B2687,"")</f>
        <v/>
      </c>
      <c r="J2687">
        <f>IF(I2687="","",IF(COUNTIF(I$2:I2687,I2687)=1,MAX(J$1:J2686)+1,""))</f>
        <v/>
      </c>
    </row>
    <row r="2688">
      <c r="A2688">
        <f>IFERROR(--SUBSTITUTE(SUBSTITUTE(TRIM(INDEX(INDIRECT("'Выгрузка'!A2688:Z2688"),Настройки!$B$7)),",","."),".",MID(1/2,2,1)),"")</f>
        <v/>
      </c>
      <c r="B2688">
        <f>IFERROR(--SUBSTITUTE(SUBSTITUTE(TRIM(INDEX(INDIRECT("'Выгрузка'!A2688:Z2688"),Настройки!$B$9)),",","."),".",MID(1/2,2,1)),"")</f>
        <v/>
      </c>
      <c r="C2688">
        <f>TRIM(INDEX(INDIRECT("'Выгрузка'!A2688:Z2688"),Настройки!$B$8)&amp;"")</f>
        <v/>
      </c>
      <c r="D2688">
        <f>IFERROR(--SUBSTITUTE(SUBSTITUTE(TRIM(INDEX(INDIRECT("'Выгрузка'!A2688:Z2688"),Настройки!$B$10)),",","."),".",MID(1/2,2,1)),"")</f>
        <v/>
      </c>
      <c r="E2688">
        <f>IFERROR(--SUBSTITUTE(SUBSTITUTE(TRIM(INDEX(INDIRECT("'Выгрузка'!A2688:Z2688"),Настройки!$B$11)),",","."),".",MID(1/2,2,1)),"")</f>
        <v/>
      </c>
      <c r="F2688">
        <f>TRIM(INDEX(INDIRECT("'Выгрузка'!A2688:Z2688"),Настройки!$B$12)&amp;"")</f>
        <v/>
      </c>
      <c r="G2688">
        <f>IF(F2688="",0,IF(TRIM(INDEX(INDIRECT("'Выгрузка'!A2688:Z2688"),Настройки!$B$13)&amp;"")="",1,IFERROR(--SUBSTITUTE(SUBSTITUTE(TRIM(INDEX(INDIRECT("'Выгрузка'!A2688:Z2688"),Настройки!$B$13)),",","."),".",MID(1/2,2,1)),"")))</f>
        <v/>
      </c>
      <c r="H2688">
        <f>IF(F2688="",0,IF(COUNTIF(Настройки!$B$17:$B$26,F2688)&gt;0,1,IF(COUNTIF(Настройки!$C$17:$C$26,F2688)&gt;0,2,IF(COUNTIF(Настройки!$D$17:$D$26,F2688)&gt;0,3,0))))</f>
        <v/>
      </c>
      <c r="I2688">
        <f>IF(AND(ISNUMBER(A2688),ISNUMBER(B2688)),A2688*1000+B2688,"")</f>
        <v/>
      </c>
      <c r="J2688">
        <f>IF(I2688="","",IF(COUNTIF(I$2:I2688,I2688)=1,MAX(J$1:J2687)+1,""))</f>
        <v/>
      </c>
    </row>
    <row r="2689">
      <c r="A2689">
        <f>IFERROR(--SUBSTITUTE(SUBSTITUTE(TRIM(INDEX(INDIRECT("'Выгрузка'!A2689:Z2689"),Настройки!$B$7)),",","."),".",MID(1/2,2,1)),"")</f>
        <v/>
      </c>
      <c r="B2689">
        <f>IFERROR(--SUBSTITUTE(SUBSTITUTE(TRIM(INDEX(INDIRECT("'Выгрузка'!A2689:Z2689"),Настройки!$B$9)),",","."),".",MID(1/2,2,1)),"")</f>
        <v/>
      </c>
      <c r="C2689">
        <f>TRIM(INDEX(INDIRECT("'Выгрузка'!A2689:Z2689"),Настройки!$B$8)&amp;"")</f>
        <v/>
      </c>
      <c r="D2689">
        <f>IFERROR(--SUBSTITUTE(SUBSTITUTE(TRIM(INDEX(INDIRECT("'Выгрузка'!A2689:Z2689"),Настройки!$B$10)),",","."),".",MID(1/2,2,1)),"")</f>
        <v/>
      </c>
      <c r="E2689">
        <f>IFERROR(--SUBSTITUTE(SUBSTITUTE(TRIM(INDEX(INDIRECT("'Выгрузка'!A2689:Z2689"),Настройки!$B$11)),",","."),".",MID(1/2,2,1)),"")</f>
        <v/>
      </c>
      <c r="F2689">
        <f>TRIM(INDEX(INDIRECT("'Выгрузка'!A2689:Z2689"),Настройки!$B$12)&amp;"")</f>
        <v/>
      </c>
      <c r="G2689">
        <f>IF(F2689="",0,IF(TRIM(INDEX(INDIRECT("'Выгрузка'!A2689:Z2689"),Настройки!$B$13)&amp;"")="",1,IFERROR(--SUBSTITUTE(SUBSTITUTE(TRIM(INDEX(INDIRECT("'Выгрузка'!A2689:Z2689"),Настройки!$B$13)),",","."),".",MID(1/2,2,1)),"")))</f>
        <v/>
      </c>
      <c r="H2689">
        <f>IF(F2689="",0,IF(COUNTIF(Настройки!$B$17:$B$26,F2689)&gt;0,1,IF(COUNTIF(Настройки!$C$17:$C$26,F2689)&gt;0,2,IF(COUNTIF(Настройки!$D$17:$D$26,F2689)&gt;0,3,0))))</f>
        <v/>
      </c>
      <c r="I2689">
        <f>IF(AND(ISNUMBER(A2689),ISNUMBER(B2689)),A2689*1000+B2689,"")</f>
        <v/>
      </c>
      <c r="J2689">
        <f>IF(I2689="","",IF(COUNTIF(I$2:I2689,I2689)=1,MAX(J$1:J2688)+1,""))</f>
        <v/>
      </c>
    </row>
    <row r="2690">
      <c r="A2690">
        <f>IFERROR(--SUBSTITUTE(SUBSTITUTE(TRIM(INDEX(INDIRECT("'Выгрузка'!A2690:Z2690"),Настройки!$B$7)),",","."),".",MID(1/2,2,1)),"")</f>
        <v/>
      </c>
      <c r="B2690">
        <f>IFERROR(--SUBSTITUTE(SUBSTITUTE(TRIM(INDEX(INDIRECT("'Выгрузка'!A2690:Z2690"),Настройки!$B$9)),",","."),".",MID(1/2,2,1)),"")</f>
        <v/>
      </c>
      <c r="C2690">
        <f>TRIM(INDEX(INDIRECT("'Выгрузка'!A2690:Z2690"),Настройки!$B$8)&amp;"")</f>
        <v/>
      </c>
      <c r="D2690">
        <f>IFERROR(--SUBSTITUTE(SUBSTITUTE(TRIM(INDEX(INDIRECT("'Выгрузка'!A2690:Z2690"),Настройки!$B$10)),",","."),".",MID(1/2,2,1)),"")</f>
        <v/>
      </c>
      <c r="E2690">
        <f>IFERROR(--SUBSTITUTE(SUBSTITUTE(TRIM(INDEX(INDIRECT("'Выгрузка'!A2690:Z2690"),Настройки!$B$11)),",","."),".",MID(1/2,2,1)),"")</f>
        <v/>
      </c>
      <c r="F2690">
        <f>TRIM(INDEX(INDIRECT("'Выгрузка'!A2690:Z2690"),Настройки!$B$12)&amp;"")</f>
        <v/>
      </c>
      <c r="G2690">
        <f>IF(F2690="",0,IF(TRIM(INDEX(INDIRECT("'Выгрузка'!A2690:Z2690"),Настройки!$B$13)&amp;"")="",1,IFERROR(--SUBSTITUTE(SUBSTITUTE(TRIM(INDEX(INDIRECT("'Выгрузка'!A2690:Z2690"),Настройки!$B$13)),",","."),".",MID(1/2,2,1)),"")))</f>
        <v/>
      </c>
      <c r="H2690">
        <f>IF(F2690="",0,IF(COUNTIF(Настройки!$B$17:$B$26,F2690)&gt;0,1,IF(COUNTIF(Настройки!$C$17:$C$26,F2690)&gt;0,2,IF(COUNTIF(Настройки!$D$17:$D$26,F2690)&gt;0,3,0))))</f>
        <v/>
      </c>
      <c r="I2690">
        <f>IF(AND(ISNUMBER(A2690),ISNUMBER(B2690)),A2690*1000+B2690,"")</f>
        <v/>
      </c>
      <c r="J2690">
        <f>IF(I2690="","",IF(COUNTIF(I$2:I2690,I2690)=1,MAX(J$1:J2689)+1,""))</f>
        <v/>
      </c>
    </row>
    <row r="2691">
      <c r="A2691">
        <f>IFERROR(--SUBSTITUTE(SUBSTITUTE(TRIM(INDEX(INDIRECT("'Выгрузка'!A2691:Z2691"),Настройки!$B$7)),",","."),".",MID(1/2,2,1)),"")</f>
        <v/>
      </c>
      <c r="B2691">
        <f>IFERROR(--SUBSTITUTE(SUBSTITUTE(TRIM(INDEX(INDIRECT("'Выгрузка'!A2691:Z2691"),Настройки!$B$9)),",","."),".",MID(1/2,2,1)),"")</f>
        <v/>
      </c>
      <c r="C2691">
        <f>TRIM(INDEX(INDIRECT("'Выгрузка'!A2691:Z2691"),Настройки!$B$8)&amp;"")</f>
        <v/>
      </c>
      <c r="D2691">
        <f>IFERROR(--SUBSTITUTE(SUBSTITUTE(TRIM(INDEX(INDIRECT("'Выгрузка'!A2691:Z2691"),Настройки!$B$10)),",","."),".",MID(1/2,2,1)),"")</f>
        <v/>
      </c>
      <c r="E2691">
        <f>IFERROR(--SUBSTITUTE(SUBSTITUTE(TRIM(INDEX(INDIRECT("'Выгрузка'!A2691:Z2691"),Настройки!$B$11)),",","."),".",MID(1/2,2,1)),"")</f>
        <v/>
      </c>
      <c r="F2691">
        <f>TRIM(INDEX(INDIRECT("'Выгрузка'!A2691:Z2691"),Настройки!$B$12)&amp;"")</f>
        <v/>
      </c>
      <c r="G2691">
        <f>IF(F2691="",0,IF(TRIM(INDEX(INDIRECT("'Выгрузка'!A2691:Z2691"),Настройки!$B$13)&amp;"")="",1,IFERROR(--SUBSTITUTE(SUBSTITUTE(TRIM(INDEX(INDIRECT("'Выгрузка'!A2691:Z2691"),Настройки!$B$13)),",","."),".",MID(1/2,2,1)),"")))</f>
        <v/>
      </c>
      <c r="H2691">
        <f>IF(F2691="",0,IF(COUNTIF(Настройки!$B$17:$B$26,F2691)&gt;0,1,IF(COUNTIF(Настройки!$C$17:$C$26,F2691)&gt;0,2,IF(COUNTIF(Настройки!$D$17:$D$26,F2691)&gt;0,3,0))))</f>
        <v/>
      </c>
      <c r="I2691">
        <f>IF(AND(ISNUMBER(A2691),ISNUMBER(B2691)),A2691*1000+B2691,"")</f>
        <v/>
      </c>
      <c r="J2691">
        <f>IF(I2691="","",IF(COUNTIF(I$2:I2691,I2691)=1,MAX(J$1:J2690)+1,""))</f>
        <v/>
      </c>
    </row>
    <row r="2692">
      <c r="A2692">
        <f>IFERROR(--SUBSTITUTE(SUBSTITUTE(TRIM(INDEX(INDIRECT("'Выгрузка'!A2692:Z2692"),Настройки!$B$7)),",","."),".",MID(1/2,2,1)),"")</f>
        <v/>
      </c>
      <c r="B2692">
        <f>IFERROR(--SUBSTITUTE(SUBSTITUTE(TRIM(INDEX(INDIRECT("'Выгрузка'!A2692:Z2692"),Настройки!$B$9)),",","."),".",MID(1/2,2,1)),"")</f>
        <v/>
      </c>
      <c r="C2692">
        <f>TRIM(INDEX(INDIRECT("'Выгрузка'!A2692:Z2692"),Настройки!$B$8)&amp;"")</f>
        <v/>
      </c>
      <c r="D2692">
        <f>IFERROR(--SUBSTITUTE(SUBSTITUTE(TRIM(INDEX(INDIRECT("'Выгрузка'!A2692:Z2692"),Настройки!$B$10)),",","."),".",MID(1/2,2,1)),"")</f>
        <v/>
      </c>
      <c r="E2692">
        <f>IFERROR(--SUBSTITUTE(SUBSTITUTE(TRIM(INDEX(INDIRECT("'Выгрузка'!A2692:Z2692"),Настройки!$B$11)),",","."),".",MID(1/2,2,1)),"")</f>
        <v/>
      </c>
      <c r="F2692">
        <f>TRIM(INDEX(INDIRECT("'Выгрузка'!A2692:Z2692"),Настройки!$B$12)&amp;"")</f>
        <v/>
      </c>
      <c r="G2692">
        <f>IF(F2692="",0,IF(TRIM(INDEX(INDIRECT("'Выгрузка'!A2692:Z2692"),Настройки!$B$13)&amp;"")="",1,IFERROR(--SUBSTITUTE(SUBSTITUTE(TRIM(INDEX(INDIRECT("'Выгрузка'!A2692:Z2692"),Настройки!$B$13)),",","."),".",MID(1/2,2,1)),"")))</f>
        <v/>
      </c>
      <c r="H2692">
        <f>IF(F2692="",0,IF(COUNTIF(Настройки!$B$17:$B$26,F2692)&gt;0,1,IF(COUNTIF(Настройки!$C$17:$C$26,F2692)&gt;0,2,IF(COUNTIF(Настройки!$D$17:$D$26,F2692)&gt;0,3,0))))</f>
        <v/>
      </c>
      <c r="I2692">
        <f>IF(AND(ISNUMBER(A2692),ISNUMBER(B2692)),A2692*1000+B2692,"")</f>
        <v/>
      </c>
      <c r="J2692">
        <f>IF(I2692="","",IF(COUNTIF(I$2:I2692,I2692)=1,MAX(J$1:J2691)+1,""))</f>
        <v/>
      </c>
    </row>
    <row r="2693">
      <c r="A2693">
        <f>IFERROR(--SUBSTITUTE(SUBSTITUTE(TRIM(INDEX(INDIRECT("'Выгрузка'!A2693:Z2693"),Настройки!$B$7)),",","."),".",MID(1/2,2,1)),"")</f>
        <v/>
      </c>
      <c r="B2693">
        <f>IFERROR(--SUBSTITUTE(SUBSTITUTE(TRIM(INDEX(INDIRECT("'Выгрузка'!A2693:Z2693"),Настройки!$B$9)),",","."),".",MID(1/2,2,1)),"")</f>
        <v/>
      </c>
      <c r="C2693">
        <f>TRIM(INDEX(INDIRECT("'Выгрузка'!A2693:Z2693"),Настройки!$B$8)&amp;"")</f>
        <v/>
      </c>
      <c r="D2693">
        <f>IFERROR(--SUBSTITUTE(SUBSTITUTE(TRIM(INDEX(INDIRECT("'Выгрузка'!A2693:Z2693"),Настройки!$B$10)),",","."),".",MID(1/2,2,1)),"")</f>
        <v/>
      </c>
      <c r="E2693">
        <f>IFERROR(--SUBSTITUTE(SUBSTITUTE(TRIM(INDEX(INDIRECT("'Выгрузка'!A2693:Z2693"),Настройки!$B$11)),",","."),".",MID(1/2,2,1)),"")</f>
        <v/>
      </c>
      <c r="F2693">
        <f>TRIM(INDEX(INDIRECT("'Выгрузка'!A2693:Z2693"),Настройки!$B$12)&amp;"")</f>
        <v/>
      </c>
      <c r="G2693">
        <f>IF(F2693="",0,IF(TRIM(INDEX(INDIRECT("'Выгрузка'!A2693:Z2693"),Настройки!$B$13)&amp;"")="",1,IFERROR(--SUBSTITUTE(SUBSTITUTE(TRIM(INDEX(INDIRECT("'Выгрузка'!A2693:Z2693"),Настройки!$B$13)),",","."),".",MID(1/2,2,1)),"")))</f>
        <v/>
      </c>
      <c r="H2693">
        <f>IF(F2693="",0,IF(COUNTIF(Настройки!$B$17:$B$26,F2693)&gt;0,1,IF(COUNTIF(Настройки!$C$17:$C$26,F2693)&gt;0,2,IF(COUNTIF(Настройки!$D$17:$D$26,F2693)&gt;0,3,0))))</f>
        <v/>
      </c>
      <c r="I2693">
        <f>IF(AND(ISNUMBER(A2693),ISNUMBER(B2693)),A2693*1000+B2693,"")</f>
        <v/>
      </c>
      <c r="J2693">
        <f>IF(I2693="","",IF(COUNTIF(I$2:I2693,I2693)=1,MAX(J$1:J2692)+1,""))</f>
        <v/>
      </c>
    </row>
    <row r="2694">
      <c r="A2694">
        <f>IFERROR(--SUBSTITUTE(SUBSTITUTE(TRIM(INDEX(INDIRECT("'Выгрузка'!A2694:Z2694"),Настройки!$B$7)),",","."),".",MID(1/2,2,1)),"")</f>
        <v/>
      </c>
      <c r="B2694">
        <f>IFERROR(--SUBSTITUTE(SUBSTITUTE(TRIM(INDEX(INDIRECT("'Выгрузка'!A2694:Z2694"),Настройки!$B$9)),",","."),".",MID(1/2,2,1)),"")</f>
        <v/>
      </c>
      <c r="C2694">
        <f>TRIM(INDEX(INDIRECT("'Выгрузка'!A2694:Z2694"),Настройки!$B$8)&amp;"")</f>
        <v/>
      </c>
      <c r="D2694">
        <f>IFERROR(--SUBSTITUTE(SUBSTITUTE(TRIM(INDEX(INDIRECT("'Выгрузка'!A2694:Z2694"),Настройки!$B$10)),",","."),".",MID(1/2,2,1)),"")</f>
        <v/>
      </c>
      <c r="E2694">
        <f>IFERROR(--SUBSTITUTE(SUBSTITUTE(TRIM(INDEX(INDIRECT("'Выгрузка'!A2694:Z2694"),Настройки!$B$11)),",","."),".",MID(1/2,2,1)),"")</f>
        <v/>
      </c>
      <c r="F2694">
        <f>TRIM(INDEX(INDIRECT("'Выгрузка'!A2694:Z2694"),Настройки!$B$12)&amp;"")</f>
        <v/>
      </c>
      <c r="G2694">
        <f>IF(F2694="",0,IF(TRIM(INDEX(INDIRECT("'Выгрузка'!A2694:Z2694"),Настройки!$B$13)&amp;"")="",1,IFERROR(--SUBSTITUTE(SUBSTITUTE(TRIM(INDEX(INDIRECT("'Выгрузка'!A2694:Z2694"),Настройки!$B$13)),",","."),".",MID(1/2,2,1)),"")))</f>
        <v/>
      </c>
      <c r="H2694">
        <f>IF(F2694="",0,IF(COUNTIF(Настройки!$B$17:$B$26,F2694)&gt;0,1,IF(COUNTIF(Настройки!$C$17:$C$26,F2694)&gt;0,2,IF(COUNTIF(Настройки!$D$17:$D$26,F2694)&gt;0,3,0))))</f>
        <v/>
      </c>
      <c r="I2694">
        <f>IF(AND(ISNUMBER(A2694),ISNUMBER(B2694)),A2694*1000+B2694,"")</f>
        <v/>
      </c>
      <c r="J2694">
        <f>IF(I2694="","",IF(COUNTIF(I$2:I2694,I2694)=1,MAX(J$1:J2693)+1,""))</f>
        <v/>
      </c>
    </row>
    <row r="2695">
      <c r="A2695">
        <f>IFERROR(--SUBSTITUTE(SUBSTITUTE(TRIM(INDEX(INDIRECT("'Выгрузка'!A2695:Z2695"),Настройки!$B$7)),",","."),".",MID(1/2,2,1)),"")</f>
        <v/>
      </c>
      <c r="B2695">
        <f>IFERROR(--SUBSTITUTE(SUBSTITUTE(TRIM(INDEX(INDIRECT("'Выгрузка'!A2695:Z2695"),Настройки!$B$9)),",","."),".",MID(1/2,2,1)),"")</f>
        <v/>
      </c>
      <c r="C2695">
        <f>TRIM(INDEX(INDIRECT("'Выгрузка'!A2695:Z2695"),Настройки!$B$8)&amp;"")</f>
        <v/>
      </c>
      <c r="D2695">
        <f>IFERROR(--SUBSTITUTE(SUBSTITUTE(TRIM(INDEX(INDIRECT("'Выгрузка'!A2695:Z2695"),Настройки!$B$10)),",","."),".",MID(1/2,2,1)),"")</f>
        <v/>
      </c>
      <c r="E2695">
        <f>IFERROR(--SUBSTITUTE(SUBSTITUTE(TRIM(INDEX(INDIRECT("'Выгрузка'!A2695:Z2695"),Настройки!$B$11)),",","."),".",MID(1/2,2,1)),"")</f>
        <v/>
      </c>
      <c r="F2695">
        <f>TRIM(INDEX(INDIRECT("'Выгрузка'!A2695:Z2695"),Настройки!$B$12)&amp;"")</f>
        <v/>
      </c>
      <c r="G2695">
        <f>IF(F2695="",0,IF(TRIM(INDEX(INDIRECT("'Выгрузка'!A2695:Z2695"),Настройки!$B$13)&amp;"")="",1,IFERROR(--SUBSTITUTE(SUBSTITUTE(TRIM(INDEX(INDIRECT("'Выгрузка'!A2695:Z2695"),Настройки!$B$13)),",","."),".",MID(1/2,2,1)),"")))</f>
        <v/>
      </c>
      <c r="H2695">
        <f>IF(F2695="",0,IF(COUNTIF(Настройки!$B$17:$B$26,F2695)&gt;0,1,IF(COUNTIF(Настройки!$C$17:$C$26,F2695)&gt;0,2,IF(COUNTIF(Настройки!$D$17:$D$26,F2695)&gt;0,3,0))))</f>
        <v/>
      </c>
      <c r="I2695">
        <f>IF(AND(ISNUMBER(A2695),ISNUMBER(B2695)),A2695*1000+B2695,"")</f>
        <v/>
      </c>
      <c r="J2695">
        <f>IF(I2695="","",IF(COUNTIF(I$2:I2695,I2695)=1,MAX(J$1:J2694)+1,""))</f>
        <v/>
      </c>
    </row>
    <row r="2696">
      <c r="A2696">
        <f>IFERROR(--SUBSTITUTE(SUBSTITUTE(TRIM(INDEX(INDIRECT("'Выгрузка'!A2696:Z2696"),Настройки!$B$7)),",","."),".",MID(1/2,2,1)),"")</f>
        <v/>
      </c>
      <c r="B2696">
        <f>IFERROR(--SUBSTITUTE(SUBSTITUTE(TRIM(INDEX(INDIRECT("'Выгрузка'!A2696:Z2696"),Настройки!$B$9)),",","."),".",MID(1/2,2,1)),"")</f>
        <v/>
      </c>
      <c r="C2696">
        <f>TRIM(INDEX(INDIRECT("'Выгрузка'!A2696:Z2696"),Настройки!$B$8)&amp;"")</f>
        <v/>
      </c>
      <c r="D2696">
        <f>IFERROR(--SUBSTITUTE(SUBSTITUTE(TRIM(INDEX(INDIRECT("'Выгрузка'!A2696:Z2696"),Настройки!$B$10)),",","."),".",MID(1/2,2,1)),"")</f>
        <v/>
      </c>
      <c r="E2696">
        <f>IFERROR(--SUBSTITUTE(SUBSTITUTE(TRIM(INDEX(INDIRECT("'Выгрузка'!A2696:Z2696"),Настройки!$B$11)),",","."),".",MID(1/2,2,1)),"")</f>
        <v/>
      </c>
      <c r="F2696">
        <f>TRIM(INDEX(INDIRECT("'Выгрузка'!A2696:Z2696"),Настройки!$B$12)&amp;"")</f>
        <v/>
      </c>
      <c r="G2696">
        <f>IF(F2696="",0,IF(TRIM(INDEX(INDIRECT("'Выгрузка'!A2696:Z2696"),Настройки!$B$13)&amp;"")="",1,IFERROR(--SUBSTITUTE(SUBSTITUTE(TRIM(INDEX(INDIRECT("'Выгрузка'!A2696:Z2696"),Настройки!$B$13)),",","."),".",MID(1/2,2,1)),"")))</f>
        <v/>
      </c>
      <c r="H2696">
        <f>IF(F2696="",0,IF(COUNTIF(Настройки!$B$17:$B$26,F2696)&gt;0,1,IF(COUNTIF(Настройки!$C$17:$C$26,F2696)&gt;0,2,IF(COUNTIF(Настройки!$D$17:$D$26,F2696)&gt;0,3,0))))</f>
        <v/>
      </c>
      <c r="I2696">
        <f>IF(AND(ISNUMBER(A2696),ISNUMBER(B2696)),A2696*1000+B2696,"")</f>
        <v/>
      </c>
      <c r="J2696">
        <f>IF(I2696="","",IF(COUNTIF(I$2:I2696,I2696)=1,MAX(J$1:J2695)+1,""))</f>
        <v/>
      </c>
    </row>
    <row r="2697">
      <c r="A2697">
        <f>IFERROR(--SUBSTITUTE(SUBSTITUTE(TRIM(INDEX(INDIRECT("'Выгрузка'!A2697:Z2697"),Настройки!$B$7)),",","."),".",MID(1/2,2,1)),"")</f>
        <v/>
      </c>
      <c r="B2697">
        <f>IFERROR(--SUBSTITUTE(SUBSTITUTE(TRIM(INDEX(INDIRECT("'Выгрузка'!A2697:Z2697"),Настройки!$B$9)),",","."),".",MID(1/2,2,1)),"")</f>
        <v/>
      </c>
      <c r="C2697">
        <f>TRIM(INDEX(INDIRECT("'Выгрузка'!A2697:Z2697"),Настройки!$B$8)&amp;"")</f>
        <v/>
      </c>
      <c r="D2697">
        <f>IFERROR(--SUBSTITUTE(SUBSTITUTE(TRIM(INDEX(INDIRECT("'Выгрузка'!A2697:Z2697"),Настройки!$B$10)),",","."),".",MID(1/2,2,1)),"")</f>
        <v/>
      </c>
      <c r="E2697">
        <f>IFERROR(--SUBSTITUTE(SUBSTITUTE(TRIM(INDEX(INDIRECT("'Выгрузка'!A2697:Z2697"),Настройки!$B$11)),",","."),".",MID(1/2,2,1)),"")</f>
        <v/>
      </c>
      <c r="F2697">
        <f>TRIM(INDEX(INDIRECT("'Выгрузка'!A2697:Z2697"),Настройки!$B$12)&amp;"")</f>
        <v/>
      </c>
      <c r="G2697">
        <f>IF(F2697="",0,IF(TRIM(INDEX(INDIRECT("'Выгрузка'!A2697:Z2697"),Настройки!$B$13)&amp;"")="",1,IFERROR(--SUBSTITUTE(SUBSTITUTE(TRIM(INDEX(INDIRECT("'Выгрузка'!A2697:Z2697"),Настройки!$B$13)),",","."),".",MID(1/2,2,1)),"")))</f>
        <v/>
      </c>
      <c r="H2697">
        <f>IF(F2697="",0,IF(COUNTIF(Настройки!$B$17:$B$26,F2697)&gt;0,1,IF(COUNTIF(Настройки!$C$17:$C$26,F2697)&gt;0,2,IF(COUNTIF(Настройки!$D$17:$D$26,F2697)&gt;0,3,0))))</f>
        <v/>
      </c>
      <c r="I2697">
        <f>IF(AND(ISNUMBER(A2697),ISNUMBER(B2697)),A2697*1000+B2697,"")</f>
        <v/>
      </c>
      <c r="J2697">
        <f>IF(I2697="","",IF(COUNTIF(I$2:I2697,I2697)=1,MAX(J$1:J2696)+1,""))</f>
        <v/>
      </c>
    </row>
    <row r="2698">
      <c r="A2698">
        <f>IFERROR(--SUBSTITUTE(SUBSTITUTE(TRIM(INDEX(INDIRECT("'Выгрузка'!A2698:Z2698"),Настройки!$B$7)),",","."),".",MID(1/2,2,1)),"")</f>
        <v/>
      </c>
      <c r="B2698">
        <f>IFERROR(--SUBSTITUTE(SUBSTITUTE(TRIM(INDEX(INDIRECT("'Выгрузка'!A2698:Z2698"),Настройки!$B$9)),",","."),".",MID(1/2,2,1)),"")</f>
        <v/>
      </c>
      <c r="C2698">
        <f>TRIM(INDEX(INDIRECT("'Выгрузка'!A2698:Z2698"),Настройки!$B$8)&amp;"")</f>
        <v/>
      </c>
      <c r="D2698">
        <f>IFERROR(--SUBSTITUTE(SUBSTITUTE(TRIM(INDEX(INDIRECT("'Выгрузка'!A2698:Z2698"),Настройки!$B$10)),",","."),".",MID(1/2,2,1)),"")</f>
        <v/>
      </c>
      <c r="E2698">
        <f>IFERROR(--SUBSTITUTE(SUBSTITUTE(TRIM(INDEX(INDIRECT("'Выгрузка'!A2698:Z2698"),Настройки!$B$11)),",","."),".",MID(1/2,2,1)),"")</f>
        <v/>
      </c>
      <c r="F2698">
        <f>TRIM(INDEX(INDIRECT("'Выгрузка'!A2698:Z2698"),Настройки!$B$12)&amp;"")</f>
        <v/>
      </c>
      <c r="G2698">
        <f>IF(F2698="",0,IF(TRIM(INDEX(INDIRECT("'Выгрузка'!A2698:Z2698"),Настройки!$B$13)&amp;"")="",1,IFERROR(--SUBSTITUTE(SUBSTITUTE(TRIM(INDEX(INDIRECT("'Выгрузка'!A2698:Z2698"),Настройки!$B$13)),",","."),".",MID(1/2,2,1)),"")))</f>
        <v/>
      </c>
      <c r="H2698">
        <f>IF(F2698="",0,IF(COUNTIF(Настройки!$B$17:$B$26,F2698)&gt;0,1,IF(COUNTIF(Настройки!$C$17:$C$26,F2698)&gt;0,2,IF(COUNTIF(Настройки!$D$17:$D$26,F2698)&gt;0,3,0))))</f>
        <v/>
      </c>
      <c r="I2698">
        <f>IF(AND(ISNUMBER(A2698),ISNUMBER(B2698)),A2698*1000+B2698,"")</f>
        <v/>
      </c>
      <c r="J2698">
        <f>IF(I2698="","",IF(COUNTIF(I$2:I2698,I2698)=1,MAX(J$1:J2697)+1,""))</f>
        <v/>
      </c>
    </row>
    <row r="2699">
      <c r="A2699">
        <f>IFERROR(--SUBSTITUTE(SUBSTITUTE(TRIM(INDEX(INDIRECT("'Выгрузка'!A2699:Z2699"),Настройки!$B$7)),",","."),".",MID(1/2,2,1)),"")</f>
        <v/>
      </c>
      <c r="B2699">
        <f>IFERROR(--SUBSTITUTE(SUBSTITUTE(TRIM(INDEX(INDIRECT("'Выгрузка'!A2699:Z2699"),Настройки!$B$9)),",","."),".",MID(1/2,2,1)),"")</f>
        <v/>
      </c>
      <c r="C2699">
        <f>TRIM(INDEX(INDIRECT("'Выгрузка'!A2699:Z2699"),Настройки!$B$8)&amp;"")</f>
        <v/>
      </c>
      <c r="D2699">
        <f>IFERROR(--SUBSTITUTE(SUBSTITUTE(TRIM(INDEX(INDIRECT("'Выгрузка'!A2699:Z2699"),Настройки!$B$10)),",","."),".",MID(1/2,2,1)),"")</f>
        <v/>
      </c>
      <c r="E2699">
        <f>IFERROR(--SUBSTITUTE(SUBSTITUTE(TRIM(INDEX(INDIRECT("'Выгрузка'!A2699:Z2699"),Настройки!$B$11)),",","."),".",MID(1/2,2,1)),"")</f>
        <v/>
      </c>
      <c r="F2699">
        <f>TRIM(INDEX(INDIRECT("'Выгрузка'!A2699:Z2699"),Настройки!$B$12)&amp;"")</f>
        <v/>
      </c>
      <c r="G2699">
        <f>IF(F2699="",0,IF(TRIM(INDEX(INDIRECT("'Выгрузка'!A2699:Z2699"),Настройки!$B$13)&amp;"")="",1,IFERROR(--SUBSTITUTE(SUBSTITUTE(TRIM(INDEX(INDIRECT("'Выгрузка'!A2699:Z2699"),Настройки!$B$13)),",","."),".",MID(1/2,2,1)),"")))</f>
        <v/>
      </c>
      <c r="H2699">
        <f>IF(F2699="",0,IF(COUNTIF(Настройки!$B$17:$B$26,F2699)&gt;0,1,IF(COUNTIF(Настройки!$C$17:$C$26,F2699)&gt;0,2,IF(COUNTIF(Настройки!$D$17:$D$26,F2699)&gt;0,3,0))))</f>
        <v/>
      </c>
      <c r="I2699">
        <f>IF(AND(ISNUMBER(A2699),ISNUMBER(B2699)),A2699*1000+B2699,"")</f>
        <v/>
      </c>
      <c r="J2699">
        <f>IF(I2699="","",IF(COUNTIF(I$2:I2699,I2699)=1,MAX(J$1:J2698)+1,""))</f>
        <v/>
      </c>
    </row>
    <row r="2700">
      <c r="A2700">
        <f>IFERROR(--SUBSTITUTE(SUBSTITUTE(TRIM(INDEX(INDIRECT("'Выгрузка'!A2700:Z2700"),Настройки!$B$7)),",","."),".",MID(1/2,2,1)),"")</f>
        <v/>
      </c>
      <c r="B2700">
        <f>IFERROR(--SUBSTITUTE(SUBSTITUTE(TRIM(INDEX(INDIRECT("'Выгрузка'!A2700:Z2700"),Настройки!$B$9)),",","."),".",MID(1/2,2,1)),"")</f>
        <v/>
      </c>
      <c r="C2700">
        <f>TRIM(INDEX(INDIRECT("'Выгрузка'!A2700:Z2700"),Настройки!$B$8)&amp;"")</f>
        <v/>
      </c>
      <c r="D2700">
        <f>IFERROR(--SUBSTITUTE(SUBSTITUTE(TRIM(INDEX(INDIRECT("'Выгрузка'!A2700:Z2700"),Настройки!$B$10)),",","."),".",MID(1/2,2,1)),"")</f>
        <v/>
      </c>
      <c r="E2700">
        <f>IFERROR(--SUBSTITUTE(SUBSTITUTE(TRIM(INDEX(INDIRECT("'Выгрузка'!A2700:Z2700"),Настройки!$B$11)),",","."),".",MID(1/2,2,1)),"")</f>
        <v/>
      </c>
      <c r="F2700">
        <f>TRIM(INDEX(INDIRECT("'Выгрузка'!A2700:Z2700"),Настройки!$B$12)&amp;"")</f>
        <v/>
      </c>
      <c r="G2700">
        <f>IF(F2700="",0,IF(TRIM(INDEX(INDIRECT("'Выгрузка'!A2700:Z2700"),Настройки!$B$13)&amp;"")="",1,IFERROR(--SUBSTITUTE(SUBSTITUTE(TRIM(INDEX(INDIRECT("'Выгрузка'!A2700:Z2700"),Настройки!$B$13)),",","."),".",MID(1/2,2,1)),"")))</f>
        <v/>
      </c>
      <c r="H2700">
        <f>IF(F2700="",0,IF(COUNTIF(Настройки!$B$17:$B$26,F2700)&gt;0,1,IF(COUNTIF(Настройки!$C$17:$C$26,F2700)&gt;0,2,IF(COUNTIF(Настройки!$D$17:$D$26,F2700)&gt;0,3,0))))</f>
        <v/>
      </c>
      <c r="I2700">
        <f>IF(AND(ISNUMBER(A2700),ISNUMBER(B2700)),A2700*1000+B2700,"")</f>
        <v/>
      </c>
      <c r="J2700">
        <f>IF(I2700="","",IF(COUNTIF(I$2:I2700,I2700)=1,MAX(J$1:J2699)+1,""))</f>
        <v/>
      </c>
    </row>
    <row r="2701">
      <c r="A2701">
        <f>IFERROR(--SUBSTITUTE(SUBSTITUTE(TRIM(INDEX(INDIRECT("'Выгрузка'!A2701:Z2701"),Настройки!$B$7)),",","."),".",MID(1/2,2,1)),"")</f>
        <v/>
      </c>
      <c r="B2701">
        <f>IFERROR(--SUBSTITUTE(SUBSTITUTE(TRIM(INDEX(INDIRECT("'Выгрузка'!A2701:Z2701"),Настройки!$B$9)),",","."),".",MID(1/2,2,1)),"")</f>
        <v/>
      </c>
      <c r="C2701">
        <f>TRIM(INDEX(INDIRECT("'Выгрузка'!A2701:Z2701"),Настройки!$B$8)&amp;"")</f>
        <v/>
      </c>
      <c r="D2701">
        <f>IFERROR(--SUBSTITUTE(SUBSTITUTE(TRIM(INDEX(INDIRECT("'Выгрузка'!A2701:Z2701"),Настройки!$B$10)),",","."),".",MID(1/2,2,1)),"")</f>
        <v/>
      </c>
      <c r="E2701">
        <f>IFERROR(--SUBSTITUTE(SUBSTITUTE(TRIM(INDEX(INDIRECT("'Выгрузка'!A2701:Z2701"),Настройки!$B$11)),",","."),".",MID(1/2,2,1)),"")</f>
        <v/>
      </c>
      <c r="F2701">
        <f>TRIM(INDEX(INDIRECT("'Выгрузка'!A2701:Z2701"),Настройки!$B$12)&amp;"")</f>
        <v/>
      </c>
      <c r="G2701">
        <f>IF(F2701="",0,IF(TRIM(INDEX(INDIRECT("'Выгрузка'!A2701:Z2701"),Настройки!$B$13)&amp;"")="",1,IFERROR(--SUBSTITUTE(SUBSTITUTE(TRIM(INDEX(INDIRECT("'Выгрузка'!A2701:Z2701"),Настройки!$B$13)),",","."),".",MID(1/2,2,1)),"")))</f>
        <v/>
      </c>
      <c r="H2701">
        <f>IF(F2701="",0,IF(COUNTIF(Настройки!$B$17:$B$26,F2701)&gt;0,1,IF(COUNTIF(Настройки!$C$17:$C$26,F2701)&gt;0,2,IF(COUNTIF(Настройки!$D$17:$D$26,F2701)&gt;0,3,0))))</f>
        <v/>
      </c>
      <c r="I2701">
        <f>IF(AND(ISNUMBER(A2701),ISNUMBER(B2701)),A2701*1000+B2701,"")</f>
        <v/>
      </c>
      <c r="J2701">
        <f>IF(I2701="","",IF(COUNTIF(I$2:I2701,I2701)=1,MAX(J$1:J2700)+1,""))</f>
        <v/>
      </c>
    </row>
    <row r="2702">
      <c r="A2702">
        <f>IFERROR(--SUBSTITUTE(SUBSTITUTE(TRIM(INDEX(INDIRECT("'Выгрузка'!A2702:Z2702"),Настройки!$B$7)),",","."),".",MID(1/2,2,1)),"")</f>
        <v/>
      </c>
      <c r="B2702">
        <f>IFERROR(--SUBSTITUTE(SUBSTITUTE(TRIM(INDEX(INDIRECT("'Выгрузка'!A2702:Z2702"),Настройки!$B$9)),",","."),".",MID(1/2,2,1)),"")</f>
        <v/>
      </c>
      <c r="C2702">
        <f>TRIM(INDEX(INDIRECT("'Выгрузка'!A2702:Z2702"),Настройки!$B$8)&amp;"")</f>
        <v/>
      </c>
      <c r="D2702">
        <f>IFERROR(--SUBSTITUTE(SUBSTITUTE(TRIM(INDEX(INDIRECT("'Выгрузка'!A2702:Z2702"),Настройки!$B$10)),",","."),".",MID(1/2,2,1)),"")</f>
        <v/>
      </c>
      <c r="E2702">
        <f>IFERROR(--SUBSTITUTE(SUBSTITUTE(TRIM(INDEX(INDIRECT("'Выгрузка'!A2702:Z2702"),Настройки!$B$11)),",","."),".",MID(1/2,2,1)),"")</f>
        <v/>
      </c>
      <c r="F2702">
        <f>TRIM(INDEX(INDIRECT("'Выгрузка'!A2702:Z2702"),Настройки!$B$12)&amp;"")</f>
        <v/>
      </c>
      <c r="G2702">
        <f>IF(F2702="",0,IF(TRIM(INDEX(INDIRECT("'Выгрузка'!A2702:Z2702"),Настройки!$B$13)&amp;"")="",1,IFERROR(--SUBSTITUTE(SUBSTITUTE(TRIM(INDEX(INDIRECT("'Выгрузка'!A2702:Z2702"),Настройки!$B$13)),",","."),".",MID(1/2,2,1)),"")))</f>
        <v/>
      </c>
      <c r="H2702">
        <f>IF(F2702="",0,IF(COUNTIF(Настройки!$B$17:$B$26,F2702)&gt;0,1,IF(COUNTIF(Настройки!$C$17:$C$26,F2702)&gt;0,2,IF(COUNTIF(Настройки!$D$17:$D$26,F2702)&gt;0,3,0))))</f>
        <v/>
      </c>
      <c r="I2702">
        <f>IF(AND(ISNUMBER(A2702),ISNUMBER(B2702)),A2702*1000+B2702,"")</f>
        <v/>
      </c>
      <c r="J2702">
        <f>IF(I2702="","",IF(COUNTIF(I$2:I2702,I2702)=1,MAX(J$1:J2701)+1,""))</f>
        <v/>
      </c>
    </row>
    <row r="2703">
      <c r="A2703">
        <f>IFERROR(--SUBSTITUTE(SUBSTITUTE(TRIM(INDEX(INDIRECT("'Выгрузка'!A2703:Z2703"),Настройки!$B$7)),",","."),".",MID(1/2,2,1)),"")</f>
        <v/>
      </c>
      <c r="B2703">
        <f>IFERROR(--SUBSTITUTE(SUBSTITUTE(TRIM(INDEX(INDIRECT("'Выгрузка'!A2703:Z2703"),Настройки!$B$9)),",","."),".",MID(1/2,2,1)),"")</f>
        <v/>
      </c>
      <c r="C2703">
        <f>TRIM(INDEX(INDIRECT("'Выгрузка'!A2703:Z2703"),Настройки!$B$8)&amp;"")</f>
        <v/>
      </c>
      <c r="D2703">
        <f>IFERROR(--SUBSTITUTE(SUBSTITUTE(TRIM(INDEX(INDIRECT("'Выгрузка'!A2703:Z2703"),Настройки!$B$10)),",","."),".",MID(1/2,2,1)),"")</f>
        <v/>
      </c>
      <c r="E2703">
        <f>IFERROR(--SUBSTITUTE(SUBSTITUTE(TRIM(INDEX(INDIRECT("'Выгрузка'!A2703:Z2703"),Настройки!$B$11)),",","."),".",MID(1/2,2,1)),"")</f>
        <v/>
      </c>
      <c r="F2703">
        <f>TRIM(INDEX(INDIRECT("'Выгрузка'!A2703:Z2703"),Настройки!$B$12)&amp;"")</f>
        <v/>
      </c>
      <c r="G2703">
        <f>IF(F2703="",0,IF(TRIM(INDEX(INDIRECT("'Выгрузка'!A2703:Z2703"),Настройки!$B$13)&amp;"")="",1,IFERROR(--SUBSTITUTE(SUBSTITUTE(TRIM(INDEX(INDIRECT("'Выгрузка'!A2703:Z2703"),Настройки!$B$13)),",","."),".",MID(1/2,2,1)),"")))</f>
        <v/>
      </c>
      <c r="H2703">
        <f>IF(F2703="",0,IF(COUNTIF(Настройки!$B$17:$B$26,F2703)&gt;0,1,IF(COUNTIF(Настройки!$C$17:$C$26,F2703)&gt;0,2,IF(COUNTIF(Настройки!$D$17:$D$26,F2703)&gt;0,3,0))))</f>
        <v/>
      </c>
      <c r="I2703">
        <f>IF(AND(ISNUMBER(A2703),ISNUMBER(B2703)),A2703*1000+B2703,"")</f>
        <v/>
      </c>
      <c r="J2703">
        <f>IF(I2703="","",IF(COUNTIF(I$2:I2703,I2703)=1,MAX(J$1:J2702)+1,""))</f>
        <v/>
      </c>
    </row>
    <row r="2704">
      <c r="A2704">
        <f>IFERROR(--SUBSTITUTE(SUBSTITUTE(TRIM(INDEX(INDIRECT("'Выгрузка'!A2704:Z2704"),Настройки!$B$7)),",","."),".",MID(1/2,2,1)),"")</f>
        <v/>
      </c>
      <c r="B2704">
        <f>IFERROR(--SUBSTITUTE(SUBSTITUTE(TRIM(INDEX(INDIRECT("'Выгрузка'!A2704:Z2704"),Настройки!$B$9)),",","."),".",MID(1/2,2,1)),"")</f>
        <v/>
      </c>
      <c r="C2704">
        <f>TRIM(INDEX(INDIRECT("'Выгрузка'!A2704:Z2704"),Настройки!$B$8)&amp;"")</f>
        <v/>
      </c>
      <c r="D2704">
        <f>IFERROR(--SUBSTITUTE(SUBSTITUTE(TRIM(INDEX(INDIRECT("'Выгрузка'!A2704:Z2704"),Настройки!$B$10)),",","."),".",MID(1/2,2,1)),"")</f>
        <v/>
      </c>
      <c r="E2704">
        <f>IFERROR(--SUBSTITUTE(SUBSTITUTE(TRIM(INDEX(INDIRECT("'Выгрузка'!A2704:Z2704"),Настройки!$B$11)),",","."),".",MID(1/2,2,1)),"")</f>
        <v/>
      </c>
      <c r="F2704">
        <f>TRIM(INDEX(INDIRECT("'Выгрузка'!A2704:Z2704"),Настройки!$B$12)&amp;"")</f>
        <v/>
      </c>
      <c r="G2704">
        <f>IF(F2704="",0,IF(TRIM(INDEX(INDIRECT("'Выгрузка'!A2704:Z2704"),Настройки!$B$13)&amp;"")="",1,IFERROR(--SUBSTITUTE(SUBSTITUTE(TRIM(INDEX(INDIRECT("'Выгрузка'!A2704:Z2704"),Настройки!$B$13)),",","."),".",MID(1/2,2,1)),"")))</f>
        <v/>
      </c>
      <c r="H2704">
        <f>IF(F2704="",0,IF(COUNTIF(Настройки!$B$17:$B$26,F2704)&gt;0,1,IF(COUNTIF(Настройки!$C$17:$C$26,F2704)&gt;0,2,IF(COUNTIF(Настройки!$D$17:$D$26,F2704)&gt;0,3,0))))</f>
        <v/>
      </c>
      <c r="I2704">
        <f>IF(AND(ISNUMBER(A2704),ISNUMBER(B2704)),A2704*1000+B2704,"")</f>
        <v/>
      </c>
      <c r="J2704">
        <f>IF(I2704="","",IF(COUNTIF(I$2:I2704,I2704)=1,MAX(J$1:J2703)+1,""))</f>
        <v/>
      </c>
    </row>
    <row r="2705">
      <c r="A2705">
        <f>IFERROR(--SUBSTITUTE(SUBSTITUTE(TRIM(INDEX(INDIRECT("'Выгрузка'!A2705:Z2705"),Настройки!$B$7)),",","."),".",MID(1/2,2,1)),"")</f>
        <v/>
      </c>
      <c r="B2705">
        <f>IFERROR(--SUBSTITUTE(SUBSTITUTE(TRIM(INDEX(INDIRECT("'Выгрузка'!A2705:Z2705"),Настройки!$B$9)),",","."),".",MID(1/2,2,1)),"")</f>
        <v/>
      </c>
      <c r="C2705">
        <f>TRIM(INDEX(INDIRECT("'Выгрузка'!A2705:Z2705"),Настройки!$B$8)&amp;"")</f>
        <v/>
      </c>
      <c r="D2705">
        <f>IFERROR(--SUBSTITUTE(SUBSTITUTE(TRIM(INDEX(INDIRECT("'Выгрузка'!A2705:Z2705"),Настройки!$B$10)),",","."),".",MID(1/2,2,1)),"")</f>
        <v/>
      </c>
      <c r="E2705">
        <f>IFERROR(--SUBSTITUTE(SUBSTITUTE(TRIM(INDEX(INDIRECT("'Выгрузка'!A2705:Z2705"),Настройки!$B$11)),",","."),".",MID(1/2,2,1)),"")</f>
        <v/>
      </c>
      <c r="F2705">
        <f>TRIM(INDEX(INDIRECT("'Выгрузка'!A2705:Z2705"),Настройки!$B$12)&amp;"")</f>
        <v/>
      </c>
      <c r="G2705">
        <f>IF(F2705="",0,IF(TRIM(INDEX(INDIRECT("'Выгрузка'!A2705:Z2705"),Настройки!$B$13)&amp;"")="",1,IFERROR(--SUBSTITUTE(SUBSTITUTE(TRIM(INDEX(INDIRECT("'Выгрузка'!A2705:Z2705"),Настройки!$B$13)),",","."),".",MID(1/2,2,1)),"")))</f>
        <v/>
      </c>
      <c r="H2705">
        <f>IF(F2705="",0,IF(COUNTIF(Настройки!$B$17:$B$26,F2705)&gt;0,1,IF(COUNTIF(Настройки!$C$17:$C$26,F2705)&gt;0,2,IF(COUNTIF(Настройки!$D$17:$D$26,F2705)&gt;0,3,0))))</f>
        <v/>
      </c>
      <c r="I2705">
        <f>IF(AND(ISNUMBER(A2705),ISNUMBER(B2705)),A2705*1000+B2705,"")</f>
        <v/>
      </c>
      <c r="J2705">
        <f>IF(I2705="","",IF(COUNTIF(I$2:I2705,I2705)=1,MAX(J$1:J2704)+1,""))</f>
        <v/>
      </c>
    </row>
    <row r="2706">
      <c r="A2706">
        <f>IFERROR(--SUBSTITUTE(SUBSTITUTE(TRIM(INDEX(INDIRECT("'Выгрузка'!A2706:Z2706"),Настройки!$B$7)),",","."),".",MID(1/2,2,1)),"")</f>
        <v/>
      </c>
      <c r="B2706">
        <f>IFERROR(--SUBSTITUTE(SUBSTITUTE(TRIM(INDEX(INDIRECT("'Выгрузка'!A2706:Z2706"),Настройки!$B$9)),",","."),".",MID(1/2,2,1)),"")</f>
        <v/>
      </c>
      <c r="C2706">
        <f>TRIM(INDEX(INDIRECT("'Выгрузка'!A2706:Z2706"),Настройки!$B$8)&amp;"")</f>
        <v/>
      </c>
      <c r="D2706">
        <f>IFERROR(--SUBSTITUTE(SUBSTITUTE(TRIM(INDEX(INDIRECT("'Выгрузка'!A2706:Z2706"),Настройки!$B$10)),",","."),".",MID(1/2,2,1)),"")</f>
        <v/>
      </c>
      <c r="E2706">
        <f>IFERROR(--SUBSTITUTE(SUBSTITUTE(TRIM(INDEX(INDIRECT("'Выгрузка'!A2706:Z2706"),Настройки!$B$11)),",","."),".",MID(1/2,2,1)),"")</f>
        <v/>
      </c>
      <c r="F2706">
        <f>TRIM(INDEX(INDIRECT("'Выгрузка'!A2706:Z2706"),Настройки!$B$12)&amp;"")</f>
        <v/>
      </c>
      <c r="G2706">
        <f>IF(F2706="",0,IF(TRIM(INDEX(INDIRECT("'Выгрузка'!A2706:Z2706"),Настройки!$B$13)&amp;"")="",1,IFERROR(--SUBSTITUTE(SUBSTITUTE(TRIM(INDEX(INDIRECT("'Выгрузка'!A2706:Z2706"),Настройки!$B$13)),",","."),".",MID(1/2,2,1)),"")))</f>
        <v/>
      </c>
      <c r="H2706">
        <f>IF(F2706="",0,IF(COUNTIF(Настройки!$B$17:$B$26,F2706)&gt;0,1,IF(COUNTIF(Настройки!$C$17:$C$26,F2706)&gt;0,2,IF(COUNTIF(Настройки!$D$17:$D$26,F2706)&gt;0,3,0))))</f>
        <v/>
      </c>
      <c r="I2706">
        <f>IF(AND(ISNUMBER(A2706),ISNUMBER(B2706)),A2706*1000+B2706,"")</f>
        <v/>
      </c>
      <c r="J2706">
        <f>IF(I2706="","",IF(COUNTIF(I$2:I2706,I2706)=1,MAX(J$1:J2705)+1,""))</f>
        <v/>
      </c>
    </row>
    <row r="2707">
      <c r="A2707">
        <f>IFERROR(--SUBSTITUTE(SUBSTITUTE(TRIM(INDEX(INDIRECT("'Выгрузка'!A2707:Z2707"),Настройки!$B$7)),",","."),".",MID(1/2,2,1)),"")</f>
        <v/>
      </c>
      <c r="B2707">
        <f>IFERROR(--SUBSTITUTE(SUBSTITUTE(TRIM(INDEX(INDIRECT("'Выгрузка'!A2707:Z2707"),Настройки!$B$9)),",","."),".",MID(1/2,2,1)),"")</f>
        <v/>
      </c>
      <c r="C2707">
        <f>TRIM(INDEX(INDIRECT("'Выгрузка'!A2707:Z2707"),Настройки!$B$8)&amp;"")</f>
        <v/>
      </c>
      <c r="D2707">
        <f>IFERROR(--SUBSTITUTE(SUBSTITUTE(TRIM(INDEX(INDIRECT("'Выгрузка'!A2707:Z2707"),Настройки!$B$10)),",","."),".",MID(1/2,2,1)),"")</f>
        <v/>
      </c>
      <c r="E2707">
        <f>IFERROR(--SUBSTITUTE(SUBSTITUTE(TRIM(INDEX(INDIRECT("'Выгрузка'!A2707:Z2707"),Настройки!$B$11)),",","."),".",MID(1/2,2,1)),"")</f>
        <v/>
      </c>
      <c r="F2707">
        <f>TRIM(INDEX(INDIRECT("'Выгрузка'!A2707:Z2707"),Настройки!$B$12)&amp;"")</f>
        <v/>
      </c>
      <c r="G2707">
        <f>IF(F2707="",0,IF(TRIM(INDEX(INDIRECT("'Выгрузка'!A2707:Z2707"),Настройки!$B$13)&amp;"")="",1,IFERROR(--SUBSTITUTE(SUBSTITUTE(TRIM(INDEX(INDIRECT("'Выгрузка'!A2707:Z2707"),Настройки!$B$13)),",","."),".",MID(1/2,2,1)),"")))</f>
        <v/>
      </c>
      <c r="H2707">
        <f>IF(F2707="",0,IF(COUNTIF(Настройки!$B$17:$B$26,F2707)&gt;0,1,IF(COUNTIF(Настройки!$C$17:$C$26,F2707)&gt;0,2,IF(COUNTIF(Настройки!$D$17:$D$26,F2707)&gt;0,3,0))))</f>
        <v/>
      </c>
      <c r="I2707">
        <f>IF(AND(ISNUMBER(A2707),ISNUMBER(B2707)),A2707*1000+B2707,"")</f>
        <v/>
      </c>
      <c r="J2707">
        <f>IF(I2707="","",IF(COUNTIF(I$2:I2707,I2707)=1,MAX(J$1:J2706)+1,""))</f>
        <v/>
      </c>
    </row>
    <row r="2708">
      <c r="A2708">
        <f>IFERROR(--SUBSTITUTE(SUBSTITUTE(TRIM(INDEX(INDIRECT("'Выгрузка'!A2708:Z2708"),Настройки!$B$7)),",","."),".",MID(1/2,2,1)),"")</f>
        <v/>
      </c>
      <c r="B2708">
        <f>IFERROR(--SUBSTITUTE(SUBSTITUTE(TRIM(INDEX(INDIRECT("'Выгрузка'!A2708:Z2708"),Настройки!$B$9)),",","."),".",MID(1/2,2,1)),"")</f>
        <v/>
      </c>
      <c r="C2708">
        <f>TRIM(INDEX(INDIRECT("'Выгрузка'!A2708:Z2708"),Настройки!$B$8)&amp;"")</f>
        <v/>
      </c>
      <c r="D2708">
        <f>IFERROR(--SUBSTITUTE(SUBSTITUTE(TRIM(INDEX(INDIRECT("'Выгрузка'!A2708:Z2708"),Настройки!$B$10)),",","."),".",MID(1/2,2,1)),"")</f>
        <v/>
      </c>
      <c r="E2708">
        <f>IFERROR(--SUBSTITUTE(SUBSTITUTE(TRIM(INDEX(INDIRECT("'Выгрузка'!A2708:Z2708"),Настройки!$B$11)),",","."),".",MID(1/2,2,1)),"")</f>
        <v/>
      </c>
      <c r="F2708">
        <f>TRIM(INDEX(INDIRECT("'Выгрузка'!A2708:Z2708"),Настройки!$B$12)&amp;"")</f>
        <v/>
      </c>
      <c r="G2708">
        <f>IF(F2708="",0,IF(TRIM(INDEX(INDIRECT("'Выгрузка'!A2708:Z2708"),Настройки!$B$13)&amp;"")="",1,IFERROR(--SUBSTITUTE(SUBSTITUTE(TRIM(INDEX(INDIRECT("'Выгрузка'!A2708:Z2708"),Настройки!$B$13)),",","."),".",MID(1/2,2,1)),"")))</f>
        <v/>
      </c>
      <c r="H2708">
        <f>IF(F2708="",0,IF(COUNTIF(Настройки!$B$17:$B$26,F2708)&gt;0,1,IF(COUNTIF(Настройки!$C$17:$C$26,F2708)&gt;0,2,IF(COUNTIF(Настройки!$D$17:$D$26,F2708)&gt;0,3,0))))</f>
        <v/>
      </c>
      <c r="I2708">
        <f>IF(AND(ISNUMBER(A2708),ISNUMBER(B2708)),A2708*1000+B2708,"")</f>
        <v/>
      </c>
      <c r="J2708">
        <f>IF(I2708="","",IF(COUNTIF(I$2:I2708,I2708)=1,MAX(J$1:J2707)+1,""))</f>
        <v/>
      </c>
    </row>
    <row r="2709">
      <c r="A2709">
        <f>IFERROR(--SUBSTITUTE(SUBSTITUTE(TRIM(INDEX(INDIRECT("'Выгрузка'!A2709:Z2709"),Настройки!$B$7)),",","."),".",MID(1/2,2,1)),"")</f>
        <v/>
      </c>
      <c r="B2709">
        <f>IFERROR(--SUBSTITUTE(SUBSTITUTE(TRIM(INDEX(INDIRECT("'Выгрузка'!A2709:Z2709"),Настройки!$B$9)),",","."),".",MID(1/2,2,1)),"")</f>
        <v/>
      </c>
      <c r="C2709">
        <f>TRIM(INDEX(INDIRECT("'Выгрузка'!A2709:Z2709"),Настройки!$B$8)&amp;"")</f>
        <v/>
      </c>
      <c r="D2709">
        <f>IFERROR(--SUBSTITUTE(SUBSTITUTE(TRIM(INDEX(INDIRECT("'Выгрузка'!A2709:Z2709"),Настройки!$B$10)),",","."),".",MID(1/2,2,1)),"")</f>
        <v/>
      </c>
      <c r="E2709">
        <f>IFERROR(--SUBSTITUTE(SUBSTITUTE(TRIM(INDEX(INDIRECT("'Выгрузка'!A2709:Z2709"),Настройки!$B$11)),",","."),".",MID(1/2,2,1)),"")</f>
        <v/>
      </c>
      <c r="F2709">
        <f>TRIM(INDEX(INDIRECT("'Выгрузка'!A2709:Z2709"),Настройки!$B$12)&amp;"")</f>
        <v/>
      </c>
      <c r="G2709">
        <f>IF(F2709="",0,IF(TRIM(INDEX(INDIRECT("'Выгрузка'!A2709:Z2709"),Настройки!$B$13)&amp;"")="",1,IFERROR(--SUBSTITUTE(SUBSTITUTE(TRIM(INDEX(INDIRECT("'Выгрузка'!A2709:Z2709"),Настройки!$B$13)),",","."),".",MID(1/2,2,1)),"")))</f>
        <v/>
      </c>
      <c r="H2709">
        <f>IF(F2709="",0,IF(COUNTIF(Настройки!$B$17:$B$26,F2709)&gt;0,1,IF(COUNTIF(Настройки!$C$17:$C$26,F2709)&gt;0,2,IF(COUNTIF(Настройки!$D$17:$D$26,F2709)&gt;0,3,0))))</f>
        <v/>
      </c>
      <c r="I2709">
        <f>IF(AND(ISNUMBER(A2709),ISNUMBER(B2709)),A2709*1000+B2709,"")</f>
        <v/>
      </c>
      <c r="J2709">
        <f>IF(I2709="","",IF(COUNTIF(I$2:I2709,I2709)=1,MAX(J$1:J2708)+1,""))</f>
        <v/>
      </c>
    </row>
    <row r="2710">
      <c r="A2710">
        <f>IFERROR(--SUBSTITUTE(SUBSTITUTE(TRIM(INDEX(INDIRECT("'Выгрузка'!A2710:Z2710"),Настройки!$B$7)),",","."),".",MID(1/2,2,1)),"")</f>
        <v/>
      </c>
      <c r="B2710">
        <f>IFERROR(--SUBSTITUTE(SUBSTITUTE(TRIM(INDEX(INDIRECT("'Выгрузка'!A2710:Z2710"),Настройки!$B$9)),",","."),".",MID(1/2,2,1)),"")</f>
        <v/>
      </c>
      <c r="C2710">
        <f>TRIM(INDEX(INDIRECT("'Выгрузка'!A2710:Z2710"),Настройки!$B$8)&amp;"")</f>
        <v/>
      </c>
      <c r="D2710">
        <f>IFERROR(--SUBSTITUTE(SUBSTITUTE(TRIM(INDEX(INDIRECT("'Выгрузка'!A2710:Z2710"),Настройки!$B$10)),",","."),".",MID(1/2,2,1)),"")</f>
        <v/>
      </c>
      <c r="E2710">
        <f>IFERROR(--SUBSTITUTE(SUBSTITUTE(TRIM(INDEX(INDIRECT("'Выгрузка'!A2710:Z2710"),Настройки!$B$11)),",","."),".",MID(1/2,2,1)),"")</f>
        <v/>
      </c>
      <c r="F2710">
        <f>TRIM(INDEX(INDIRECT("'Выгрузка'!A2710:Z2710"),Настройки!$B$12)&amp;"")</f>
        <v/>
      </c>
      <c r="G2710">
        <f>IF(F2710="",0,IF(TRIM(INDEX(INDIRECT("'Выгрузка'!A2710:Z2710"),Настройки!$B$13)&amp;"")="",1,IFERROR(--SUBSTITUTE(SUBSTITUTE(TRIM(INDEX(INDIRECT("'Выгрузка'!A2710:Z2710"),Настройки!$B$13)),",","."),".",MID(1/2,2,1)),"")))</f>
        <v/>
      </c>
      <c r="H2710">
        <f>IF(F2710="",0,IF(COUNTIF(Настройки!$B$17:$B$26,F2710)&gt;0,1,IF(COUNTIF(Настройки!$C$17:$C$26,F2710)&gt;0,2,IF(COUNTIF(Настройки!$D$17:$D$26,F2710)&gt;0,3,0))))</f>
        <v/>
      </c>
      <c r="I2710">
        <f>IF(AND(ISNUMBER(A2710),ISNUMBER(B2710)),A2710*1000+B2710,"")</f>
        <v/>
      </c>
      <c r="J2710">
        <f>IF(I2710="","",IF(COUNTIF(I$2:I2710,I2710)=1,MAX(J$1:J2709)+1,""))</f>
        <v/>
      </c>
    </row>
    <row r="2711">
      <c r="A2711">
        <f>IFERROR(--SUBSTITUTE(SUBSTITUTE(TRIM(INDEX(INDIRECT("'Выгрузка'!A2711:Z2711"),Настройки!$B$7)),",","."),".",MID(1/2,2,1)),"")</f>
        <v/>
      </c>
      <c r="B2711">
        <f>IFERROR(--SUBSTITUTE(SUBSTITUTE(TRIM(INDEX(INDIRECT("'Выгрузка'!A2711:Z2711"),Настройки!$B$9)),",","."),".",MID(1/2,2,1)),"")</f>
        <v/>
      </c>
      <c r="C2711">
        <f>TRIM(INDEX(INDIRECT("'Выгрузка'!A2711:Z2711"),Настройки!$B$8)&amp;"")</f>
        <v/>
      </c>
      <c r="D2711">
        <f>IFERROR(--SUBSTITUTE(SUBSTITUTE(TRIM(INDEX(INDIRECT("'Выгрузка'!A2711:Z2711"),Настройки!$B$10)),",","."),".",MID(1/2,2,1)),"")</f>
        <v/>
      </c>
      <c r="E2711">
        <f>IFERROR(--SUBSTITUTE(SUBSTITUTE(TRIM(INDEX(INDIRECT("'Выгрузка'!A2711:Z2711"),Настройки!$B$11)),",","."),".",MID(1/2,2,1)),"")</f>
        <v/>
      </c>
      <c r="F2711">
        <f>TRIM(INDEX(INDIRECT("'Выгрузка'!A2711:Z2711"),Настройки!$B$12)&amp;"")</f>
        <v/>
      </c>
      <c r="G2711">
        <f>IF(F2711="",0,IF(TRIM(INDEX(INDIRECT("'Выгрузка'!A2711:Z2711"),Настройки!$B$13)&amp;"")="",1,IFERROR(--SUBSTITUTE(SUBSTITUTE(TRIM(INDEX(INDIRECT("'Выгрузка'!A2711:Z2711"),Настройки!$B$13)),",","."),".",MID(1/2,2,1)),"")))</f>
        <v/>
      </c>
      <c r="H2711">
        <f>IF(F2711="",0,IF(COUNTIF(Настройки!$B$17:$B$26,F2711)&gt;0,1,IF(COUNTIF(Настройки!$C$17:$C$26,F2711)&gt;0,2,IF(COUNTIF(Настройки!$D$17:$D$26,F2711)&gt;0,3,0))))</f>
        <v/>
      </c>
      <c r="I2711">
        <f>IF(AND(ISNUMBER(A2711),ISNUMBER(B2711)),A2711*1000+B2711,"")</f>
        <v/>
      </c>
      <c r="J2711">
        <f>IF(I2711="","",IF(COUNTIF(I$2:I2711,I2711)=1,MAX(J$1:J2710)+1,""))</f>
        <v/>
      </c>
    </row>
    <row r="2712">
      <c r="A2712">
        <f>IFERROR(--SUBSTITUTE(SUBSTITUTE(TRIM(INDEX(INDIRECT("'Выгрузка'!A2712:Z2712"),Настройки!$B$7)),",","."),".",MID(1/2,2,1)),"")</f>
        <v/>
      </c>
      <c r="B2712">
        <f>IFERROR(--SUBSTITUTE(SUBSTITUTE(TRIM(INDEX(INDIRECT("'Выгрузка'!A2712:Z2712"),Настройки!$B$9)),",","."),".",MID(1/2,2,1)),"")</f>
        <v/>
      </c>
      <c r="C2712">
        <f>TRIM(INDEX(INDIRECT("'Выгрузка'!A2712:Z2712"),Настройки!$B$8)&amp;"")</f>
        <v/>
      </c>
      <c r="D2712">
        <f>IFERROR(--SUBSTITUTE(SUBSTITUTE(TRIM(INDEX(INDIRECT("'Выгрузка'!A2712:Z2712"),Настройки!$B$10)),",","."),".",MID(1/2,2,1)),"")</f>
        <v/>
      </c>
      <c r="E2712">
        <f>IFERROR(--SUBSTITUTE(SUBSTITUTE(TRIM(INDEX(INDIRECT("'Выгрузка'!A2712:Z2712"),Настройки!$B$11)),",","."),".",MID(1/2,2,1)),"")</f>
        <v/>
      </c>
      <c r="F2712">
        <f>TRIM(INDEX(INDIRECT("'Выгрузка'!A2712:Z2712"),Настройки!$B$12)&amp;"")</f>
        <v/>
      </c>
      <c r="G2712">
        <f>IF(F2712="",0,IF(TRIM(INDEX(INDIRECT("'Выгрузка'!A2712:Z2712"),Настройки!$B$13)&amp;"")="",1,IFERROR(--SUBSTITUTE(SUBSTITUTE(TRIM(INDEX(INDIRECT("'Выгрузка'!A2712:Z2712"),Настройки!$B$13)),",","."),".",MID(1/2,2,1)),"")))</f>
        <v/>
      </c>
      <c r="H2712">
        <f>IF(F2712="",0,IF(COUNTIF(Настройки!$B$17:$B$26,F2712)&gt;0,1,IF(COUNTIF(Настройки!$C$17:$C$26,F2712)&gt;0,2,IF(COUNTIF(Настройки!$D$17:$D$26,F2712)&gt;0,3,0))))</f>
        <v/>
      </c>
      <c r="I2712">
        <f>IF(AND(ISNUMBER(A2712),ISNUMBER(B2712)),A2712*1000+B2712,"")</f>
        <v/>
      </c>
      <c r="J2712">
        <f>IF(I2712="","",IF(COUNTIF(I$2:I2712,I2712)=1,MAX(J$1:J2711)+1,""))</f>
        <v/>
      </c>
    </row>
    <row r="2713">
      <c r="A2713">
        <f>IFERROR(--SUBSTITUTE(SUBSTITUTE(TRIM(INDEX(INDIRECT("'Выгрузка'!A2713:Z2713"),Настройки!$B$7)),",","."),".",MID(1/2,2,1)),"")</f>
        <v/>
      </c>
      <c r="B2713">
        <f>IFERROR(--SUBSTITUTE(SUBSTITUTE(TRIM(INDEX(INDIRECT("'Выгрузка'!A2713:Z2713"),Настройки!$B$9)),",","."),".",MID(1/2,2,1)),"")</f>
        <v/>
      </c>
      <c r="C2713">
        <f>TRIM(INDEX(INDIRECT("'Выгрузка'!A2713:Z2713"),Настройки!$B$8)&amp;"")</f>
        <v/>
      </c>
      <c r="D2713">
        <f>IFERROR(--SUBSTITUTE(SUBSTITUTE(TRIM(INDEX(INDIRECT("'Выгрузка'!A2713:Z2713"),Настройки!$B$10)),",","."),".",MID(1/2,2,1)),"")</f>
        <v/>
      </c>
      <c r="E2713">
        <f>IFERROR(--SUBSTITUTE(SUBSTITUTE(TRIM(INDEX(INDIRECT("'Выгрузка'!A2713:Z2713"),Настройки!$B$11)),",","."),".",MID(1/2,2,1)),"")</f>
        <v/>
      </c>
      <c r="F2713">
        <f>TRIM(INDEX(INDIRECT("'Выгрузка'!A2713:Z2713"),Настройки!$B$12)&amp;"")</f>
        <v/>
      </c>
      <c r="G2713">
        <f>IF(F2713="",0,IF(TRIM(INDEX(INDIRECT("'Выгрузка'!A2713:Z2713"),Настройки!$B$13)&amp;"")="",1,IFERROR(--SUBSTITUTE(SUBSTITUTE(TRIM(INDEX(INDIRECT("'Выгрузка'!A2713:Z2713"),Настройки!$B$13)),",","."),".",MID(1/2,2,1)),"")))</f>
        <v/>
      </c>
      <c r="H2713">
        <f>IF(F2713="",0,IF(COUNTIF(Настройки!$B$17:$B$26,F2713)&gt;0,1,IF(COUNTIF(Настройки!$C$17:$C$26,F2713)&gt;0,2,IF(COUNTIF(Настройки!$D$17:$D$26,F2713)&gt;0,3,0))))</f>
        <v/>
      </c>
      <c r="I2713">
        <f>IF(AND(ISNUMBER(A2713),ISNUMBER(B2713)),A2713*1000+B2713,"")</f>
        <v/>
      </c>
      <c r="J2713">
        <f>IF(I2713="","",IF(COUNTIF(I$2:I2713,I2713)=1,MAX(J$1:J2712)+1,""))</f>
        <v/>
      </c>
    </row>
    <row r="2714">
      <c r="A2714">
        <f>IFERROR(--SUBSTITUTE(SUBSTITUTE(TRIM(INDEX(INDIRECT("'Выгрузка'!A2714:Z2714"),Настройки!$B$7)),",","."),".",MID(1/2,2,1)),"")</f>
        <v/>
      </c>
      <c r="B2714">
        <f>IFERROR(--SUBSTITUTE(SUBSTITUTE(TRIM(INDEX(INDIRECT("'Выгрузка'!A2714:Z2714"),Настройки!$B$9)),",","."),".",MID(1/2,2,1)),"")</f>
        <v/>
      </c>
      <c r="C2714">
        <f>TRIM(INDEX(INDIRECT("'Выгрузка'!A2714:Z2714"),Настройки!$B$8)&amp;"")</f>
        <v/>
      </c>
      <c r="D2714">
        <f>IFERROR(--SUBSTITUTE(SUBSTITUTE(TRIM(INDEX(INDIRECT("'Выгрузка'!A2714:Z2714"),Настройки!$B$10)),",","."),".",MID(1/2,2,1)),"")</f>
        <v/>
      </c>
      <c r="E2714">
        <f>IFERROR(--SUBSTITUTE(SUBSTITUTE(TRIM(INDEX(INDIRECT("'Выгрузка'!A2714:Z2714"),Настройки!$B$11)),",","."),".",MID(1/2,2,1)),"")</f>
        <v/>
      </c>
      <c r="F2714">
        <f>TRIM(INDEX(INDIRECT("'Выгрузка'!A2714:Z2714"),Настройки!$B$12)&amp;"")</f>
        <v/>
      </c>
      <c r="G2714">
        <f>IF(F2714="",0,IF(TRIM(INDEX(INDIRECT("'Выгрузка'!A2714:Z2714"),Настройки!$B$13)&amp;"")="",1,IFERROR(--SUBSTITUTE(SUBSTITUTE(TRIM(INDEX(INDIRECT("'Выгрузка'!A2714:Z2714"),Настройки!$B$13)),",","."),".",MID(1/2,2,1)),"")))</f>
        <v/>
      </c>
      <c r="H2714">
        <f>IF(F2714="",0,IF(COUNTIF(Настройки!$B$17:$B$26,F2714)&gt;0,1,IF(COUNTIF(Настройки!$C$17:$C$26,F2714)&gt;0,2,IF(COUNTIF(Настройки!$D$17:$D$26,F2714)&gt;0,3,0))))</f>
        <v/>
      </c>
      <c r="I2714">
        <f>IF(AND(ISNUMBER(A2714),ISNUMBER(B2714)),A2714*1000+B2714,"")</f>
        <v/>
      </c>
      <c r="J2714">
        <f>IF(I2714="","",IF(COUNTIF(I$2:I2714,I2714)=1,MAX(J$1:J2713)+1,""))</f>
        <v/>
      </c>
    </row>
    <row r="2715">
      <c r="A2715">
        <f>IFERROR(--SUBSTITUTE(SUBSTITUTE(TRIM(INDEX(INDIRECT("'Выгрузка'!A2715:Z2715"),Настройки!$B$7)),",","."),".",MID(1/2,2,1)),"")</f>
        <v/>
      </c>
      <c r="B2715">
        <f>IFERROR(--SUBSTITUTE(SUBSTITUTE(TRIM(INDEX(INDIRECT("'Выгрузка'!A2715:Z2715"),Настройки!$B$9)),",","."),".",MID(1/2,2,1)),"")</f>
        <v/>
      </c>
      <c r="C2715">
        <f>TRIM(INDEX(INDIRECT("'Выгрузка'!A2715:Z2715"),Настройки!$B$8)&amp;"")</f>
        <v/>
      </c>
      <c r="D2715">
        <f>IFERROR(--SUBSTITUTE(SUBSTITUTE(TRIM(INDEX(INDIRECT("'Выгрузка'!A2715:Z2715"),Настройки!$B$10)),",","."),".",MID(1/2,2,1)),"")</f>
        <v/>
      </c>
      <c r="E2715">
        <f>IFERROR(--SUBSTITUTE(SUBSTITUTE(TRIM(INDEX(INDIRECT("'Выгрузка'!A2715:Z2715"),Настройки!$B$11)),",","."),".",MID(1/2,2,1)),"")</f>
        <v/>
      </c>
      <c r="F2715">
        <f>TRIM(INDEX(INDIRECT("'Выгрузка'!A2715:Z2715"),Настройки!$B$12)&amp;"")</f>
        <v/>
      </c>
      <c r="G2715">
        <f>IF(F2715="",0,IF(TRIM(INDEX(INDIRECT("'Выгрузка'!A2715:Z2715"),Настройки!$B$13)&amp;"")="",1,IFERROR(--SUBSTITUTE(SUBSTITUTE(TRIM(INDEX(INDIRECT("'Выгрузка'!A2715:Z2715"),Настройки!$B$13)),",","."),".",MID(1/2,2,1)),"")))</f>
        <v/>
      </c>
      <c r="H2715">
        <f>IF(F2715="",0,IF(COUNTIF(Настройки!$B$17:$B$26,F2715)&gt;0,1,IF(COUNTIF(Настройки!$C$17:$C$26,F2715)&gt;0,2,IF(COUNTIF(Настройки!$D$17:$D$26,F2715)&gt;0,3,0))))</f>
        <v/>
      </c>
      <c r="I2715">
        <f>IF(AND(ISNUMBER(A2715),ISNUMBER(B2715)),A2715*1000+B2715,"")</f>
        <v/>
      </c>
      <c r="J2715">
        <f>IF(I2715="","",IF(COUNTIF(I$2:I2715,I2715)=1,MAX(J$1:J2714)+1,""))</f>
        <v/>
      </c>
    </row>
    <row r="2716">
      <c r="A2716">
        <f>IFERROR(--SUBSTITUTE(SUBSTITUTE(TRIM(INDEX(INDIRECT("'Выгрузка'!A2716:Z2716"),Настройки!$B$7)),",","."),".",MID(1/2,2,1)),"")</f>
        <v/>
      </c>
      <c r="B2716">
        <f>IFERROR(--SUBSTITUTE(SUBSTITUTE(TRIM(INDEX(INDIRECT("'Выгрузка'!A2716:Z2716"),Настройки!$B$9)),",","."),".",MID(1/2,2,1)),"")</f>
        <v/>
      </c>
      <c r="C2716">
        <f>TRIM(INDEX(INDIRECT("'Выгрузка'!A2716:Z2716"),Настройки!$B$8)&amp;"")</f>
        <v/>
      </c>
      <c r="D2716">
        <f>IFERROR(--SUBSTITUTE(SUBSTITUTE(TRIM(INDEX(INDIRECT("'Выгрузка'!A2716:Z2716"),Настройки!$B$10)),",","."),".",MID(1/2,2,1)),"")</f>
        <v/>
      </c>
      <c r="E2716">
        <f>IFERROR(--SUBSTITUTE(SUBSTITUTE(TRIM(INDEX(INDIRECT("'Выгрузка'!A2716:Z2716"),Настройки!$B$11)),",","."),".",MID(1/2,2,1)),"")</f>
        <v/>
      </c>
      <c r="F2716">
        <f>TRIM(INDEX(INDIRECT("'Выгрузка'!A2716:Z2716"),Настройки!$B$12)&amp;"")</f>
        <v/>
      </c>
      <c r="G2716">
        <f>IF(F2716="",0,IF(TRIM(INDEX(INDIRECT("'Выгрузка'!A2716:Z2716"),Настройки!$B$13)&amp;"")="",1,IFERROR(--SUBSTITUTE(SUBSTITUTE(TRIM(INDEX(INDIRECT("'Выгрузка'!A2716:Z2716"),Настройки!$B$13)),",","."),".",MID(1/2,2,1)),"")))</f>
        <v/>
      </c>
      <c r="H2716">
        <f>IF(F2716="",0,IF(COUNTIF(Настройки!$B$17:$B$26,F2716)&gt;0,1,IF(COUNTIF(Настройки!$C$17:$C$26,F2716)&gt;0,2,IF(COUNTIF(Настройки!$D$17:$D$26,F2716)&gt;0,3,0))))</f>
        <v/>
      </c>
      <c r="I2716">
        <f>IF(AND(ISNUMBER(A2716),ISNUMBER(B2716)),A2716*1000+B2716,"")</f>
        <v/>
      </c>
      <c r="J2716">
        <f>IF(I2716="","",IF(COUNTIF(I$2:I2716,I2716)=1,MAX(J$1:J2715)+1,""))</f>
        <v/>
      </c>
    </row>
    <row r="2717">
      <c r="A2717">
        <f>IFERROR(--SUBSTITUTE(SUBSTITUTE(TRIM(INDEX(INDIRECT("'Выгрузка'!A2717:Z2717"),Настройки!$B$7)),",","."),".",MID(1/2,2,1)),"")</f>
        <v/>
      </c>
      <c r="B2717">
        <f>IFERROR(--SUBSTITUTE(SUBSTITUTE(TRIM(INDEX(INDIRECT("'Выгрузка'!A2717:Z2717"),Настройки!$B$9)),",","."),".",MID(1/2,2,1)),"")</f>
        <v/>
      </c>
      <c r="C2717">
        <f>TRIM(INDEX(INDIRECT("'Выгрузка'!A2717:Z2717"),Настройки!$B$8)&amp;"")</f>
        <v/>
      </c>
      <c r="D2717">
        <f>IFERROR(--SUBSTITUTE(SUBSTITUTE(TRIM(INDEX(INDIRECT("'Выгрузка'!A2717:Z2717"),Настройки!$B$10)),",","."),".",MID(1/2,2,1)),"")</f>
        <v/>
      </c>
      <c r="E2717">
        <f>IFERROR(--SUBSTITUTE(SUBSTITUTE(TRIM(INDEX(INDIRECT("'Выгрузка'!A2717:Z2717"),Настройки!$B$11)),",","."),".",MID(1/2,2,1)),"")</f>
        <v/>
      </c>
      <c r="F2717">
        <f>TRIM(INDEX(INDIRECT("'Выгрузка'!A2717:Z2717"),Настройки!$B$12)&amp;"")</f>
        <v/>
      </c>
      <c r="G2717">
        <f>IF(F2717="",0,IF(TRIM(INDEX(INDIRECT("'Выгрузка'!A2717:Z2717"),Настройки!$B$13)&amp;"")="",1,IFERROR(--SUBSTITUTE(SUBSTITUTE(TRIM(INDEX(INDIRECT("'Выгрузка'!A2717:Z2717"),Настройки!$B$13)),",","."),".",MID(1/2,2,1)),"")))</f>
        <v/>
      </c>
      <c r="H2717">
        <f>IF(F2717="",0,IF(COUNTIF(Настройки!$B$17:$B$26,F2717)&gt;0,1,IF(COUNTIF(Настройки!$C$17:$C$26,F2717)&gt;0,2,IF(COUNTIF(Настройки!$D$17:$D$26,F2717)&gt;0,3,0))))</f>
        <v/>
      </c>
      <c r="I2717">
        <f>IF(AND(ISNUMBER(A2717),ISNUMBER(B2717)),A2717*1000+B2717,"")</f>
        <v/>
      </c>
      <c r="J2717">
        <f>IF(I2717="","",IF(COUNTIF(I$2:I2717,I2717)=1,MAX(J$1:J2716)+1,""))</f>
        <v/>
      </c>
    </row>
    <row r="2718">
      <c r="A2718">
        <f>IFERROR(--SUBSTITUTE(SUBSTITUTE(TRIM(INDEX(INDIRECT("'Выгрузка'!A2718:Z2718"),Настройки!$B$7)),",","."),".",MID(1/2,2,1)),"")</f>
        <v/>
      </c>
      <c r="B2718">
        <f>IFERROR(--SUBSTITUTE(SUBSTITUTE(TRIM(INDEX(INDIRECT("'Выгрузка'!A2718:Z2718"),Настройки!$B$9)),",","."),".",MID(1/2,2,1)),"")</f>
        <v/>
      </c>
      <c r="C2718">
        <f>TRIM(INDEX(INDIRECT("'Выгрузка'!A2718:Z2718"),Настройки!$B$8)&amp;"")</f>
        <v/>
      </c>
      <c r="D2718">
        <f>IFERROR(--SUBSTITUTE(SUBSTITUTE(TRIM(INDEX(INDIRECT("'Выгрузка'!A2718:Z2718"),Настройки!$B$10)),",","."),".",MID(1/2,2,1)),"")</f>
        <v/>
      </c>
      <c r="E2718">
        <f>IFERROR(--SUBSTITUTE(SUBSTITUTE(TRIM(INDEX(INDIRECT("'Выгрузка'!A2718:Z2718"),Настройки!$B$11)),",","."),".",MID(1/2,2,1)),"")</f>
        <v/>
      </c>
      <c r="F2718">
        <f>TRIM(INDEX(INDIRECT("'Выгрузка'!A2718:Z2718"),Настройки!$B$12)&amp;"")</f>
        <v/>
      </c>
      <c r="G2718">
        <f>IF(F2718="",0,IF(TRIM(INDEX(INDIRECT("'Выгрузка'!A2718:Z2718"),Настройки!$B$13)&amp;"")="",1,IFERROR(--SUBSTITUTE(SUBSTITUTE(TRIM(INDEX(INDIRECT("'Выгрузка'!A2718:Z2718"),Настройки!$B$13)),",","."),".",MID(1/2,2,1)),"")))</f>
        <v/>
      </c>
      <c r="H2718">
        <f>IF(F2718="",0,IF(COUNTIF(Настройки!$B$17:$B$26,F2718)&gt;0,1,IF(COUNTIF(Настройки!$C$17:$C$26,F2718)&gt;0,2,IF(COUNTIF(Настройки!$D$17:$D$26,F2718)&gt;0,3,0))))</f>
        <v/>
      </c>
      <c r="I2718">
        <f>IF(AND(ISNUMBER(A2718),ISNUMBER(B2718)),A2718*1000+B2718,"")</f>
        <v/>
      </c>
      <c r="J2718">
        <f>IF(I2718="","",IF(COUNTIF(I$2:I2718,I2718)=1,MAX(J$1:J2717)+1,""))</f>
        <v/>
      </c>
    </row>
    <row r="2719">
      <c r="A2719">
        <f>IFERROR(--SUBSTITUTE(SUBSTITUTE(TRIM(INDEX(INDIRECT("'Выгрузка'!A2719:Z2719"),Настройки!$B$7)),",","."),".",MID(1/2,2,1)),"")</f>
        <v/>
      </c>
      <c r="B2719">
        <f>IFERROR(--SUBSTITUTE(SUBSTITUTE(TRIM(INDEX(INDIRECT("'Выгрузка'!A2719:Z2719"),Настройки!$B$9)),",","."),".",MID(1/2,2,1)),"")</f>
        <v/>
      </c>
      <c r="C2719">
        <f>TRIM(INDEX(INDIRECT("'Выгрузка'!A2719:Z2719"),Настройки!$B$8)&amp;"")</f>
        <v/>
      </c>
      <c r="D2719">
        <f>IFERROR(--SUBSTITUTE(SUBSTITUTE(TRIM(INDEX(INDIRECT("'Выгрузка'!A2719:Z2719"),Настройки!$B$10)),",","."),".",MID(1/2,2,1)),"")</f>
        <v/>
      </c>
      <c r="E2719">
        <f>IFERROR(--SUBSTITUTE(SUBSTITUTE(TRIM(INDEX(INDIRECT("'Выгрузка'!A2719:Z2719"),Настройки!$B$11)),",","."),".",MID(1/2,2,1)),"")</f>
        <v/>
      </c>
      <c r="F2719">
        <f>TRIM(INDEX(INDIRECT("'Выгрузка'!A2719:Z2719"),Настройки!$B$12)&amp;"")</f>
        <v/>
      </c>
      <c r="G2719">
        <f>IF(F2719="",0,IF(TRIM(INDEX(INDIRECT("'Выгрузка'!A2719:Z2719"),Настройки!$B$13)&amp;"")="",1,IFERROR(--SUBSTITUTE(SUBSTITUTE(TRIM(INDEX(INDIRECT("'Выгрузка'!A2719:Z2719"),Настройки!$B$13)),",","."),".",MID(1/2,2,1)),"")))</f>
        <v/>
      </c>
      <c r="H2719">
        <f>IF(F2719="",0,IF(COUNTIF(Настройки!$B$17:$B$26,F2719)&gt;0,1,IF(COUNTIF(Настройки!$C$17:$C$26,F2719)&gt;0,2,IF(COUNTIF(Настройки!$D$17:$D$26,F2719)&gt;0,3,0))))</f>
        <v/>
      </c>
      <c r="I2719">
        <f>IF(AND(ISNUMBER(A2719),ISNUMBER(B2719)),A2719*1000+B2719,"")</f>
        <v/>
      </c>
      <c r="J2719">
        <f>IF(I2719="","",IF(COUNTIF(I$2:I2719,I2719)=1,MAX(J$1:J2718)+1,""))</f>
        <v/>
      </c>
    </row>
    <row r="2720">
      <c r="A2720">
        <f>IFERROR(--SUBSTITUTE(SUBSTITUTE(TRIM(INDEX(INDIRECT("'Выгрузка'!A2720:Z2720"),Настройки!$B$7)),",","."),".",MID(1/2,2,1)),"")</f>
        <v/>
      </c>
      <c r="B2720">
        <f>IFERROR(--SUBSTITUTE(SUBSTITUTE(TRIM(INDEX(INDIRECT("'Выгрузка'!A2720:Z2720"),Настройки!$B$9)),",","."),".",MID(1/2,2,1)),"")</f>
        <v/>
      </c>
      <c r="C2720">
        <f>TRIM(INDEX(INDIRECT("'Выгрузка'!A2720:Z2720"),Настройки!$B$8)&amp;"")</f>
        <v/>
      </c>
      <c r="D2720">
        <f>IFERROR(--SUBSTITUTE(SUBSTITUTE(TRIM(INDEX(INDIRECT("'Выгрузка'!A2720:Z2720"),Настройки!$B$10)),",","."),".",MID(1/2,2,1)),"")</f>
        <v/>
      </c>
      <c r="E2720">
        <f>IFERROR(--SUBSTITUTE(SUBSTITUTE(TRIM(INDEX(INDIRECT("'Выгрузка'!A2720:Z2720"),Настройки!$B$11)),",","."),".",MID(1/2,2,1)),"")</f>
        <v/>
      </c>
      <c r="F2720">
        <f>TRIM(INDEX(INDIRECT("'Выгрузка'!A2720:Z2720"),Настройки!$B$12)&amp;"")</f>
        <v/>
      </c>
      <c r="G2720">
        <f>IF(F2720="",0,IF(TRIM(INDEX(INDIRECT("'Выгрузка'!A2720:Z2720"),Настройки!$B$13)&amp;"")="",1,IFERROR(--SUBSTITUTE(SUBSTITUTE(TRIM(INDEX(INDIRECT("'Выгрузка'!A2720:Z2720"),Настройки!$B$13)),",","."),".",MID(1/2,2,1)),"")))</f>
        <v/>
      </c>
      <c r="H2720">
        <f>IF(F2720="",0,IF(COUNTIF(Настройки!$B$17:$B$26,F2720)&gt;0,1,IF(COUNTIF(Настройки!$C$17:$C$26,F2720)&gt;0,2,IF(COUNTIF(Настройки!$D$17:$D$26,F2720)&gt;0,3,0))))</f>
        <v/>
      </c>
      <c r="I2720">
        <f>IF(AND(ISNUMBER(A2720),ISNUMBER(B2720)),A2720*1000+B2720,"")</f>
        <v/>
      </c>
      <c r="J2720">
        <f>IF(I2720="","",IF(COUNTIF(I$2:I2720,I2720)=1,MAX(J$1:J2719)+1,""))</f>
        <v/>
      </c>
    </row>
    <row r="2721">
      <c r="A2721">
        <f>IFERROR(--SUBSTITUTE(SUBSTITUTE(TRIM(INDEX(INDIRECT("'Выгрузка'!A2721:Z2721"),Настройки!$B$7)),",","."),".",MID(1/2,2,1)),"")</f>
        <v/>
      </c>
      <c r="B2721">
        <f>IFERROR(--SUBSTITUTE(SUBSTITUTE(TRIM(INDEX(INDIRECT("'Выгрузка'!A2721:Z2721"),Настройки!$B$9)),",","."),".",MID(1/2,2,1)),"")</f>
        <v/>
      </c>
      <c r="C2721">
        <f>TRIM(INDEX(INDIRECT("'Выгрузка'!A2721:Z2721"),Настройки!$B$8)&amp;"")</f>
        <v/>
      </c>
      <c r="D2721">
        <f>IFERROR(--SUBSTITUTE(SUBSTITUTE(TRIM(INDEX(INDIRECT("'Выгрузка'!A2721:Z2721"),Настройки!$B$10)),",","."),".",MID(1/2,2,1)),"")</f>
        <v/>
      </c>
      <c r="E2721">
        <f>IFERROR(--SUBSTITUTE(SUBSTITUTE(TRIM(INDEX(INDIRECT("'Выгрузка'!A2721:Z2721"),Настройки!$B$11)),",","."),".",MID(1/2,2,1)),"")</f>
        <v/>
      </c>
      <c r="F2721">
        <f>TRIM(INDEX(INDIRECT("'Выгрузка'!A2721:Z2721"),Настройки!$B$12)&amp;"")</f>
        <v/>
      </c>
      <c r="G2721">
        <f>IF(F2721="",0,IF(TRIM(INDEX(INDIRECT("'Выгрузка'!A2721:Z2721"),Настройки!$B$13)&amp;"")="",1,IFERROR(--SUBSTITUTE(SUBSTITUTE(TRIM(INDEX(INDIRECT("'Выгрузка'!A2721:Z2721"),Настройки!$B$13)),",","."),".",MID(1/2,2,1)),"")))</f>
        <v/>
      </c>
      <c r="H2721">
        <f>IF(F2721="",0,IF(COUNTIF(Настройки!$B$17:$B$26,F2721)&gt;0,1,IF(COUNTIF(Настройки!$C$17:$C$26,F2721)&gt;0,2,IF(COUNTIF(Настройки!$D$17:$D$26,F2721)&gt;0,3,0))))</f>
        <v/>
      </c>
      <c r="I2721">
        <f>IF(AND(ISNUMBER(A2721),ISNUMBER(B2721)),A2721*1000+B2721,"")</f>
        <v/>
      </c>
      <c r="J2721">
        <f>IF(I2721="","",IF(COUNTIF(I$2:I2721,I2721)=1,MAX(J$1:J2720)+1,""))</f>
        <v/>
      </c>
    </row>
    <row r="2722">
      <c r="A2722">
        <f>IFERROR(--SUBSTITUTE(SUBSTITUTE(TRIM(INDEX(INDIRECT("'Выгрузка'!A2722:Z2722"),Настройки!$B$7)),",","."),".",MID(1/2,2,1)),"")</f>
        <v/>
      </c>
      <c r="B2722">
        <f>IFERROR(--SUBSTITUTE(SUBSTITUTE(TRIM(INDEX(INDIRECT("'Выгрузка'!A2722:Z2722"),Настройки!$B$9)),",","."),".",MID(1/2,2,1)),"")</f>
        <v/>
      </c>
      <c r="C2722">
        <f>TRIM(INDEX(INDIRECT("'Выгрузка'!A2722:Z2722"),Настройки!$B$8)&amp;"")</f>
        <v/>
      </c>
      <c r="D2722">
        <f>IFERROR(--SUBSTITUTE(SUBSTITUTE(TRIM(INDEX(INDIRECT("'Выгрузка'!A2722:Z2722"),Настройки!$B$10)),",","."),".",MID(1/2,2,1)),"")</f>
        <v/>
      </c>
      <c r="E2722">
        <f>IFERROR(--SUBSTITUTE(SUBSTITUTE(TRIM(INDEX(INDIRECT("'Выгрузка'!A2722:Z2722"),Настройки!$B$11)),",","."),".",MID(1/2,2,1)),"")</f>
        <v/>
      </c>
      <c r="F2722">
        <f>TRIM(INDEX(INDIRECT("'Выгрузка'!A2722:Z2722"),Настройки!$B$12)&amp;"")</f>
        <v/>
      </c>
      <c r="G2722">
        <f>IF(F2722="",0,IF(TRIM(INDEX(INDIRECT("'Выгрузка'!A2722:Z2722"),Настройки!$B$13)&amp;"")="",1,IFERROR(--SUBSTITUTE(SUBSTITUTE(TRIM(INDEX(INDIRECT("'Выгрузка'!A2722:Z2722"),Настройки!$B$13)),",","."),".",MID(1/2,2,1)),"")))</f>
        <v/>
      </c>
      <c r="H2722">
        <f>IF(F2722="",0,IF(COUNTIF(Настройки!$B$17:$B$26,F2722)&gt;0,1,IF(COUNTIF(Настройки!$C$17:$C$26,F2722)&gt;0,2,IF(COUNTIF(Настройки!$D$17:$D$26,F2722)&gt;0,3,0))))</f>
        <v/>
      </c>
      <c r="I2722">
        <f>IF(AND(ISNUMBER(A2722),ISNUMBER(B2722)),A2722*1000+B2722,"")</f>
        <v/>
      </c>
      <c r="J2722">
        <f>IF(I2722="","",IF(COUNTIF(I$2:I2722,I2722)=1,MAX(J$1:J2721)+1,""))</f>
        <v/>
      </c>
    </row>
    <row r="2723">
      <c r="A2723">
        <f>IFERROR(--SUBSTITUTE(SUBSTITUTE(TRIM(INDEX(INDIRECT("'Выгрузка'!A2723:Z2723"),Настройки!$B$7)),",","."),".",MID(1/2,2,1)),"")</f>
        <v/>
      </c>
      <c r="B2723">
        <f>IFERROR(--SUBSTITUTE(SUBSTITUTE(TRIM(INDEX(INDIRECT("'Выгрузка'!A2723:Z2723"),Настройки!$B$9)),",","."),".",MID(1/2,2,1)),"")</f>
        <v/>
      </c>
      <c r="C2723">
        <f>TRIM(INDEX(INDIRECT("'Выгрузка'!A2723:Z2723"),Настройки!$B$8)&amp;"")</f>
        <v/>
      </c>
      <c r="D2723">
        <f>IFERROR(--SUBSTITUTE(SUBSTITUTE(TRIM(INDEX(INDIRECT("'Выгрузка'!A2723:Z2723"),Настройки!$B$10)),",","."),".",MID(1/2,2,1)),"")</f>
        <v/>
      </c>
      <c r="E2723">
        <f>IFERROR(--SUBSTITUTE(SUBSTITUTE(TRIM(INDEX(INDIRECT("'Выгрузка'!A2723:Z2723"),Настройки!$B$11)),",","."),".",MID(1/2,2,1)),"")</f>
        <v/>
      </c>
      <c r="F2723">
        <f>TRIM(INDEX(INDIRECT("'Выгрузка'!A2723:Z2723"),Настройки!$B$12)&amp;"")</f>
        <v/>
      </c>
      <c r="G2723">
        <f>IF(F2723="",0,IF(TRIM(INDEX(INDIRECT("'Выгрузка'!A2723:Z2723"),Настройки!$B$13)&amp;"")="",1,IFERROR(--SUBSTITUTE(SUBSTITUTE(TRIM(INDEX(INDIRECT("'Выгрузка'!A2723:Z2723"),Настройки!$B$13)),",","."),".",MID(1/2,2,1)),"")))</f>
        <v/>
      </c>
      <c r="H2723">
        <f>IF(F2723="",0,IF(COUNTIF(Настройки!$B$17:$B$26,F2723)&gt;0,1,IF(COUNTIF(Настройки!$C$17:$C$26,F2723)&gt;0,2,IF(COUNTIF(Настройки!$D$17:$D$26,F2723)&gt;0,3,0))))</f>
        <v/>
      </c>
      <c r="I2723">
        <f>IF(AND(ISNUMBER(A2723),ISNUMBER(B2723)),A2723*1000+B2723,"")</f>
        <v/>
      </c>
      <c r="J2723">
        <f>IF(I2723="","",IF(COUNTIF(I$2:I2723,I2723)=1,MAX(J$1:J2722)+1,""))</f>
        <v/>
      </c>
    </row>
    <row r="2724">
      <c r="A2724">
        <f>IFERROR(--SUBSTITUTE(SUBSTITUTE(TRIM(INDEX(INDIRECT("'Выгрузка'!A2724:Z2724"),Настройки!$B$7)),",","."),".",MID(1/2,2,1)),"")</f>
        <v/>
      </c>
      <c r="B2724">
        <f>IFERROR(--SUBSTITUTE(SUBSTITUTE(TRIM(INDEX(INDIRECT("'Выгрузка'!A2724:Z2724"),Настройки!$B$9)),",","."),".",MID(1/2,2,1)),"")</f>
        <v/>
      </c>
      <c r="C2724">
        <f>TRIM(INDEX(INDIRECT("'Выгрузка'!A2724:Z2724"),Настройки!$B$8)&amp;"")</f>
        <v/>
      </c>
      <c r="D2724">
        <f>IFERROR(--SUBSTITUTE(SUBSTITUTE(TRIM(INDEX(INDIRECT("'Выгрузка'!A2724:Z2724"),Настройки!$B$10)),",","."),".",MID(1/2,2,1)),"")</f>
        <v/>
      </c>
      <c r="E2724">
        <f>IFERROR(--SUBSTITUTE(SUBSTITUTE(TRIM(INDEX(INDIRECT("'Выгрузка'!A2724:Z2724"),Настройки!$B$11)),",","."),".",MID(1/2,2,1)),"")</f>
        <v/>
      </c>
      <c r="F2724">
        <f>TRIM(INDEX(INDIRECT("'Выгрузка'!A2724:Z2724"),Настройки!$B$12)&amp;"")</f>
        <v/>
      </c>
      <c r="G2724">
        <f>IF(F2724="",0,IF(TRIM(INDEX(INDIRECT("'Выгрузка'!A2724:Z2724"),Настройки!$B$13)&amp;"")="",1,IFERROR(--SUBSTITUTE(SUBSTITUTE(TRIM(INDEX(INDIRECT("'Выгрузка'!A2724:Z2724"),Настройки!$B$13)),",","."),".",MID(1/2,2,1)),"")))</f>
        <v/>
      </c>
      <c r="H2724">
        <f>IF(F2724="",0,IF(COUNTIF(Настройки!$B$17:$B$26,F2724)&gt;0,1,IF(COUNTIF(Настройки!$C$17:$C$26,F2724)&gt;0,2,IF(COUNTIF(Настройки!$D$17:$D$26,F2724)&gt;0,3,0))))</f>
        <v/>
      </c>
      <c r="I2724">
        <f>IF(AND(ISNUMBER(A2724),ISNUMBER(B2724)),A2724*1000+B2724,"")</f>
        <v/>
      </c>
      <c r="J2724">
        <f>IF(I2724="","",IF(COUNTIF(I$2:I2724,I2724)=1,MAX(J$1:J2723)+1,""))</f>
        <v/>
      </c>
    </row>
    <row r="2725">
      <c r="A2725">
        <f>IFERROR(--SUBSTITUTE(SUBSTITUTE(TRIM(INDEX(INDIRECT("'Выгрузка'!A2725:Z2725"),Настройки!$B$7)),",","."),".",MID(1/2,2,1)),"")</f>
        <v/>
      </c>
      <c r="B2725">
        <f>IFERROR(--SUBSTITUTE(SUBSTITUTE(TRIM(INDEX(INDIRECT("'Выгрузка'!A2725:Z2725"),Настройки!$B$9)),",","."),".",MID(1/2,2,1)),"")</f>
        <v/>
      </c>
      <c r="C2725">
        <f>TRIM(INDEX(INDIRECT("'Выгрузка'!A2725:Z2725"),Настройки!$B$8)&amp;"")</f>
        <v/>
      </c>
      <c r="D2725">
        <f>IFERROR(--SUBSTITUTE(SUBSTITUTE(TRIM(INDEX(INDIRECT("'Выгрузка'!A2725:Z2725"),Настройки!$B$10)),",","."),".",MID(1/2,2,1)),"")</f>
        <v/>
      </c>
      <c r="E2725">
        <f>IFERROR(--SUBSTITUTE(SUBSTITUTE(TRIM(INDEX(INDIRECT("'Выгрузка'!A2725:Z2725"),Настройки!$B$11)),",","."),".",MID(1/2,2,1)),"")</f>
        <v/>
      </c>
      <c r="F2725">
        <f>TRIM(INDEX(INDIRECT("'Выгрузка'!A2725:Z2725"),Настройки!$B$12)&amp;"")</f>
        <v/>
      </c>
      <c r="G2725">
        <f>IF(F2725="",0,IF(TRIM(INDEX(INDIRECT("'Выгрузка'!A2725:Z2725"),Настройки!$B$13)&amp;"")="",1,IFERROR(--SUBSTITUTE(SUBSTITUTE(TRIM(INDEX(INDIRECT("'Выгрузка'!A2725:Z2725"),Настройки!$B$13)),",","."),".",MID(1/2,2,1)),"")))</f>
        <v/>
      </c>
      <c r="H2725">
        <f>IF(F2725="",0,IF(COUNTIF(Настройки!$B$17:$B$26,F2725)&gt;0,1,IF(COUNTIF(Настройки!$C$17:$C$26,F2725)&gt;0,2,IF(COUNTIF(Настройки!$D$17:$D$26,F2725)&gt;0,3,0))))</f>
        <v/>
      </c>
      <c r="I2725">
        <f>IF(AND(ISNUMBER(A2725),ISNUMBER(B2725)),A2725*1000+B2725,"")</f>
        <v/>
      </c>
      <c r="J2725">
        <f>IF(I2725="","",IF(COUNTIF(I$2:I2725,I2725)=1,MAX(J$1:J2724)+1,""))</f>
        <v/>
      </c>
    </row>
    <row r="2726">
      <c r="A2726">
        <f>IFERROR(--SUBSTITUTE(SUBSTITUTE(TRIM(INDEX(INDIRECT("'Выгрузка'!A2726:Z2726"),Настройки!$B$7)),",","."),".",MID(1/2,2,1)),"")</f>
        <v/>
      </c>
      <c r="B2726">
        <f>IFERROR(--SUBSTITUTE(SUBSTITUTE(TRIM(INDEX(INDIRECT("'Выгрузка'!A2726:Z2726"),Настройки!$B$9)),",","."),".",MID(1/2,2,1)),"")</f>
        <v/>
      </c>
      <c r="C2726">
        <f>TRIM(INDEX(INDIRECT("'Выгрузка'!A2726:Z2726"),Настройки!$B$8)&amp;"")</f>
        <v/>
      </c>
      <c r="D2726">
        <f>IFERROR(--SUBSTITUTE(SUBSTITUTE(TRIM(INDEX(INDIRECT("'Выгрузка'!A2726:Z2726"),Настройки!$B$10)),",","."),".",MID(1/2,2,1)),"")</f>
        <v/>
      </c>
      <c r="E2726">
        <f>IFERROR(--SUBSTITUTE(SUBSTITUTE(TRIM(INDEX(INDIRECT("'Выгрузка'!A2726:Z2726"),Настройки!$B$11)),",","."),".",MID(1/2,2,1)),"")</f>
        <v/>
      </c>
      <c r="F2726">
        <f>TRIM(INDEX(INDIRECT("'Выгрузка'!A2726:Z2726"),Настройки!$B$12)&amp;"")</f>
        <v/>
      </c>
      <c r="G2726">
        <f>IF(F2726="",0,IF(TRIM(INDEX(INDIRECT("'Выгрузка'!A2726:Z2726"),Настройки!$B$13)&amp;"")="",1,IFERROR(--SUBSTITUTE(SUBSTITUTE(TRIM(INDEX(INDIRECT("'Выгрузка'!A2726:Z2726"),Настройки!$B$13)),",","."),".",MID(1/2,2,1)),"")))</f>
        <v/>
      </c>
      <c r="H2726">
        <f>IF(F2726="",0,IF(COUNTIF(Настройки!$B$17:$B$26,F2726)&gt;0,1,IF(COUNTIF(Настройки!$C$17:$C$26,F2726)&gt;0,2,IF(COUNTIF(Настройки!$D$17:$D$26,F2726)&gt;0,3,0))))</f>
        <v/>
      </c>
      <c r="I2726">
        <f>IF(AND(ISNUMBER(A2726),ISNUMBER(B2726)),A2726*1000+B2726,"")</f>
        <v/>
      </c>
      <c r="J2726">
        <f>IF(I2726="","",IF(COUNTIF(I$2:I2726,I2726)=1,MAX(J$1:J2725)+1,""))</f>
        <v/>
      </c>
    </row>
    <row r="2727">
      <c r="A2727">
        <f>IFERROR(--SUBSTITUTE(SUBSTITUTE(TRIM(INDEX(INDIRECT("'Выгрузка'!A2727:Z2727"),Настройки!$B$7)),",","."),".",MID(1/2,2,1)),"")</f>
        <v/>
      </c>
      <c r="B2727">
        <f>IFERROR(--SUBSTITUTE(SUBSTITUTE(TRIM(INDEX(INDIRECT("'Выгрузка'!A2727:Z2727"),Настройки!$B$9)),",","."),".",MID(1/2,2,1)),"")</f>
        <v/>
      </c>
      <c r="C2727">
        <f>TRIM(INDEX(INDIRECT("'Выгрузка'!A2727:Z2727"),Настройки!$B$8)&amp;"")</f>
        <v/>
      </c>
      <c r="D2727">
        <f>IFERROR(--SUBSTITUTE(SUBSTITUTE(TRIM(INDEX(INDIRECT("'Выгрузка'!A2727:Z2727"),Настройки!$B$10)),",","."),".",MID(1/2,2,1)),"")</f>
        <v/>
      </c>
      <c r="E2727">
        <f>IFERROR(--SUBSTITUTE(SUBSTITUTE(TRIM(INDEX(INDIRECT("'Выгрузка'!A2727:Z2727"),Настройки!$B$11)),",","."),".",MID(1/2,2,1)),"")</f>
        <v/>
      </c>
      <c r="F2727">
        <f>TRIM(INDEX(INDIRECT("'Выгрузка'!A2727:Z2727"),Настройки!$B$12)&amp;"")</f>
        <v/>
      </c>
      <c r="G2727">
        <f>IF(F2727="",0,IF(TRIM(INDEX(INDIRECT("'Выгрузка'!A2727:Z2727"),Настройки!$B$13)&amp;"")="",1,IFERROR(--SUBSTITUTE(SUBSTITUTE(TRIM(INDEX(INDIRECT("'Выгрузка'!A2727:Z2727"),Настройки!$B$13)),",","."),".",MID(1/2,2,1)),"")))</f>
        <v/>
      </c>
      <c r="H2727">
        <f>IF(F2727="",0,IF(COUNTIF(Настройки!$B$17:$B$26,F2727)&gt;0,1,IF(COUNTIF(Настройки!$C$17:$C$26,F2727)&gt;0,2,IF(COUNTIF(Настройки!$D$17:$D$26,F2727)&gt;0,3,0))))</f>
        <v/>
      </c>
      <c r="I2727">
        <f>IF(AND(ISNUMBER(A2727),ISNUMBER(B2727)),A2727*1000+B2727,"")</f>
        <v/>
      </c>
      <c r="J2727">
        <f>IF(I2727="","",IF(COUNTIF(I$2:I2727,I2727)=1,MAX(J$1:J2726)+1,""))</f>
        <v/>
      </c>
    </row>
    <row r="2728">
      <c r="A2728">
        <f>IFERROR(--SUBSTITUTE(SUBSTITUTE(TRIM(INDEX(INDIRECT("'Выгрузка'!A2728:Z2728"),Настройки!$B$7)),",","."),".",MID(1/2,2,1)),"")</f>
        <v/>
      </c>
      <c r="B2728">
        <f>IFERROR(--SUBSTITUTE(SUBSTITUTE(TRIM(INDEX(INDIRECT("'Выгрузка'!A2728:Z2728"),Настройки!$B$9)),",","."),".",MID(1/2,2,1)),"")</f>
        <v/>
      </c>
      <c r="C2728">
        <f>TRIM(INDEX(INDIRECT("'Выгрузка'!A2728:Z2728"),Настройки!$B$8)&amp;"")</f>
        <v/>
      </c>
      <c r="D2728">
        <f>IFERROR(--SUBSTITUTE(SUBSTITUTE(TRIM(INDEX(INDIRECT("'Выгрузка'!A2728:Z2728"),Настройки!$B$10)),",","."),".",MID(1/2,2,1)),"")</f>
        <v/>
      </c>
      <c r="E2728">
        <f>IFERROR(--SUBSTITUTE(SUBSTITUTE(TRIM(INDEX(INDIRECT("'Выгрузка'!A2728:Z2728"),Настройки!$B$11)),",","."),".",MID(1/2,2,1)),"")</f>
        <v/>
      </c>
      <c r="F2728">
        <f>TRIM(INDEX(INDIRECT("'Выгрузка'!A2728:Z2728"),Настройки!$B$12)&amp;"")</f>
        <v/>
      </c>
      <c r="G2728">
        <f>IF(F2728="",0,IF(TRIM(INDEX(INDIRECT("'Выгрузка'!A2728:Z2728"),Настройки!$B$13)&amp;"")="",1,IFERROR(--SUBSTITUTE(SUBSTITUTE(TRIM(INDEX(INDIRECT("'Выгрузка'!A2728:Z2728"),Настройки!$B$13)),",","."),".",MID(1/2,2,1)),"")))</f>
        <v/>
      </c>
      <c r="H2728">
        <f>IF(F2728="",0,IF(COUNTIF(Настройки!$B$17:$B$26,F2728)&gt;0,1,IF(COUNTIF(Настройки!$C$17:$C$26,F2728)&gt;0,2,IF(COUNTIF(Настройки!$D$17:$D$26,F2728)&gt;0,3,0))))</f>
        <v/>
      </c>
      <c r="I2728">
        <f>IF(AND(ISNUMBER(A2728),ISNUMBER(B2728)),A2728*1000+B2728,"")</f>
        <v/>
      </c>
      <c r="J2728">
        <f>IF(I2728="","",IF(COUNTIF(I$2:I2728,I2728)=1,MAX(J$1:J2727)+1,""))</f>
        <v/>
      </c>
    </row>
    <row r="2729">
      <c r="A2729">
        <f>IFERROR(--SUBSTITUTE(SUBSTITUTE(TRIM(INDEX(INDIRECT("'Выгрузка'!A2729:Z2729"),Настройки!$B$7)),",","."),".",MID(1/2,2,1)),"")</f>
        <v/>
      </c>
      <c r="B2729">
        <f>IFERROR(--SUBSTITUTE(SUBSTITUTE(TRIM(INDEX(INDIRECT("'Выгрузка'!A2729:Z2729"),Настройки!$B$9)),",","."),".",MID(1/2,2,1)),"")</f>
        <v/>
      </c>
      <c r="C2729">
        <f>TRIM(INDEX(INDIRECT("'Выгрузка'!A2729:Z2729"),Настройки!$B$8)&amp;"")</f>
        <v/>
      </c>
      <c r="D2729">
        <f>IFERROR(--SUBSTITUTE(SUBSTITUTE(TRIM(INDEX(INDIRECT("'Выгрузка'!A2729:Z2729"),Настройки!$B$10)),",","."),".",MID(1/2,2,1)),"")</f>
        <v/>
      </c>
      <c r="E2729">
        <f>IFERROR(--SUBSTITUTE(SUBSTITUTE(TRIM(INDEX(INDIRECT("'Выгрузка'!A2729:Z2729"),Настройки!$B$11)),",","."),".",MID(1/2,2,1)),"")</f>
        <v/>
      </c>
      <c r="F2729">
        <f>TRIM(INDEX(INDIRECT("'Выгрузка'!A2729:Z2729"),Настройки!$B$12)&amp;"")</f>
        <v/>
      </c>
      <c r="G2729">
        <f>IF(F2729="",0,IF(TRIM(INDEX(INDIRECT("'Выгрузка'!A2729:Z2729"),Настройки!$B$13)&amp;"")="",1,IFERROR(--SUBSTITUTE(SUBSTITUTE(TRIM(INDEX(INDIRECT("'Выгрузка'!A2729:Z2729"),Настройки!$B$13)),",","."),".",MID(1/2,2,1)),"")))</f>
        <v/>
      </c>
      <c r="H2729">
        <f>IF(F2729="",0,IF(COUNTIF(Настройки!$B$17:$B$26,F2729)&gt;0,1,IF(COUNTIF(Настройки!$C$17:$C$26,F2729)&gt;0,2,IF(COUNTIF(Настройки!$D$17:$D$26,F2729)&gt;0,3,0))))</f>
        <v/>
      </c>
      <c r="I2729">
        <f>IF(AND(ISNUMBER(A2729),ISNUMBER(B2729)),A2729*1000+B2729,"")</f>
        <v/>
      </c>
      <c r="J2729">
        <f>IF(I2729="","",IF(COUNTIF(I$2:I2729,I2729)=1,MAX(J$1:J2728)+1,""))</f>
        <v/>
      </c>
    </row>
    <row r="2730">
      <c r="A2730">
        <f>IFERROR(--SUBSTITUTE(SUBSTITUTE(TRIM(INDEX(INDIRECT("'Выгрузка'!A2730:Z2730"),Настройки!$B$7)),",","."),".",MID(1/2,2,1)),"")</f>
        <v/>
      </c>
      <c r="B2730">
        <f>IFERROR(--SUBSTITUTE(SUBSTITUTE(TRIM(INDEX(INDIRECT("'Выгрузка'!A2730:Z2730"),Настройки!$B$9)),",","."),".",MID(1/2,2,1)),"")</f>
        <v/>
      </c>
      <c r="C2730">
        <f>TRIM(INDEX(INDIRECT("'Выгрузка'!A2730:Z2730"),Настройки!$B$8)&amp;"")</f>
        <v/>
      </c>
      <c r="D2730">
        <f>IFERROR(--SUBSTITUTE(SUBSTITUTE(TRIM(INDEX(INDIRECT("'Выгрузка'!A2730:Z2730"),Настройки!$B$10)),",","."),".",MID(1/2,2,1)),"")</f>
        <v/>
      </c>
      <c r="E2730">
        <f>IFERROR(--SUBSTITUTE(SUBSTITUTE(TRIM(INDEX(INDIRECT("'Выгрузка'!A2730:Z2730"),Настройки!$B$11)),",","."),".",MID(1/2,2,1)),"")</f>
        <v/>
      </c>
      <c r="F2730">
        <f>TRIM(INDEX(INDIRECT("'Выгрузка'!A2730:Z2730"),Настройки!$B$12)&amp;"")</f>
        <v/>
      </c>
      <c r="G2730">
        <f>IF(F2730="",0,IF(TRIM(INDEX(INDIRECT("'Выгрузка'!A2730:Z2730"),Настройки!$B$13)&amp;"")="",1,IFERROR(--SUBSTITUTE(SUBSTITUTE(TRIM(INDEX(INDIRECT("'Выгрузка'!A2730:Z2730"),Настройки!$B$13)),",","."),".",MID(1/2,2,1)),"")))</f>
        <v/>
      </c>
      <c r="H2730">
        <f>IF(F2730="",0,IF(COUNTIF(Настройки!$B$17:$B$26,F2730)&gt;0,1,IF(COUNTIF(Настройки!$C$17:$C$26,F2730)&gt;0,2,IF(COUNTIF(Настройки!$D$17:$D$26,F2730)&gt;0,3,0))))</f>
        <v/>
      </c>
      <c r="I2730">
        <f>IF(AND(ISNUMBER(A2730),ISNUMBER(B2730)),A2730*1000+B2730,"")</f>
        <v/>
      </c>
      <c r="J2730">
        <f>IF(I2730="","",IF(COUNTIF(I$2:I2730,I2730)=1,MAX(J$1:J2729)+1,""))</f>
        <v/>
      </c>
    </row>
    <row r="2731">
      <c r="A2731">
        <f>IFERROR(--SUBSTITUTE(SUBSTITUTE(TRIM(INDEX(INDIRECT("'Выгрузка'!A2731:Z2731"),Настройки!$B$7)),",","."),".",MID(1/2,2,1)),"")</f>
        <v/>
      </c>
      <c r="B2731">
        <f>IFERROR(--SUBSTITUTE(SUBSTITUTE(TRIM(INDEX(INDIRECT("'Выгрузка'!A2731:Z2731"),Настройки!$B$9)),",","."),".",MID(1/2,2,1)),"")</f>
        <v/>
      </c>
      <c r="C2731">
        <f>TRIM(INDEX(INDIRECT("'Выгрузка'!A2731:Z2731"),Настройки!$B$8)&amp;"")</f>
        <v/>
      </c>
      <c r="D2731">
        <f>IFERROR(--SUBSTITUTE(SUBSTITUTE(TRIM(INDEX(INDIRECT("'Выгрузка'!A2731:Z2731"),Настройки!$B$10)),",","."),".",MID(1/2,2,1)),"")</f>
        <v/>
      </c>
      <c r="E2731">
        <f>IFERROR(--SUBSTITUTE(SUBSTITUTE(TRIM(INDEX(INDIRECT("'Выгрузка'!A2731:Z2731"),Настройки!$B$11)),",","."),".",MID(1/2,2,1)),"")</f>
        <v/>
      </c>
      <c r="F2731">
        <f>TRIM(INDEX(INDIRECT("'Выгрузка'!A2731:Z2731"),Настройки!$B$12)&amp;"")</f>
        <v/>
      </c>
      <c r="G2731">
        <f>IF(F2731="",0,IF(TRIM(INDEX(INDIRECT("'Выгрузка'!A2731:Z2731"),Настройки!$B$13)&amp;"")="",1,IFERROR(--SUBSTITUTE(SUBSTITUTE(TRIM(INDEX(INDIRECT("'Выгрузка'!A2731:Z2731"),Настройки!$B$13)),",","."),".",MID(1/2,2,1)),"")))</f>
        <v/>
      </c>
      <c r="H2731">
        <f>IF(F2731="",0,IF(COUNTIF(Настройки!$B$17:$B$26,F2731)&gt;0,1,IF(COUNTIF(Настройки!$C$17:$C$26,F2731)&gt;0,2,IF(COUNTIF(Настройки!$D$17:$D$26,F2731)&gt;0,3,0))))</f>
        <v/>
      </c>
      <c r="I2731">
        <f>IF(AND(ISNUMBER(A2731),ISNUMBER(B2731)),A2731*1000+B2731,"")</f>
        <v/>
      </c>
      <c r="J2731">
        <f>IF(I2731="","",IF(COUNTIF(I$2:I2731,I2731)=1,MAX(J$1:J2730)+1,""))</f>
        <v/>
      </c>
    </row>
    <row r="2732">
      <c r="A2732">
        <f>IFERROR(--SUBSTITUTE(SUBSTITUTE(TRIM(INDEX(INDIRECT("'Выгрузка'!A2732:Z2732"),Настройки!$B$7)),",","."),".",MID(1/2,2,1)),"")</f>
        <v/>
      </c>
      <c r="B2732">
        <f>IFERROR(--SUBSTITUTE(SUBSTITUTE(TRIM(INDEX(INDIRECT("'Выгрузка'!A2732:Z2732"),Настройки!$B$9)),",","."),".",MID(1/2,2,1)),"")</f>
        <v/>
      </c>
      <c r="C2732">
        <f>TRIM(INDEX(INDIRECT("'Выгрузка'!A2732:Z2732"),Настройки!$B$8)&amp;"")</f>
        <v/>
      </c>
      <c r="D2732">
        <f>IFERROR(--SUBSTITUTE(SUBSTITUTE(TRIM(INDEX(INDIRECT("'Выгрузка'!A2732:Z2732"),Настройки!$B$10)),",","."),".",MID(1/2,2,1)),"")</f>
        <v/>
      </c>
      <c r="E2732">
        <f>IFERROR(--SUBSTITUTE(SUBSTITUTE(TRIM(INDEX(INDIRECT("'Выгрузка'!A2732:Z2732"),Настройки!$B$11)),",","."),".",MID(1/2,2,1)),"")</f>
        <v/>
      </c>
      <c r="F2732">
        <f>TRIM(INDEX(INDIRECT("'Выгрузка'!A2732:Z2732"),Настройки!$B$12)&amp;"")</f>
        <v/>
      </c>
      <c r="G2732">
        <f>IF(F2732="",0,IF(TRIM(INDEX(INDIRECT("'Выгрузка'!A2732:Z2732"),Настройки!$B$13)&amp;"")="",1,IFERROR(--SUBSTITUTE(SUBSTITUTE(TRIM(INDEX(INDIRECT("'Выгрузка'!A2732:Z2732"),Настройки!$B$13)),",","."),".",MID(1/2,2,1)),"")))</f>
        <v/>
      </c>
      <c r="H2732">
        <f>IF(F2732="",0,IF(COUNTIF(Настройки!$B$17:$B$26,F2732)&gt;0,1,IF(COUNTIF(Настройки!$C$17:$C$26,F2732)&gt;0,2,IF(COUNTIF(Настройки!$D$17:$D$26,F2732)&gt;0,3,0))))</f>
        <v/>
      </c>
      <c r="I2732">
        <f>IF(AND(ISNUMBER(A2732),ISNUMBER(B2732)),A2732*1000+B2732,"")</f>
        <v/>
      </c>
      <c r="J2732">
        <f>IF(I2732="","",IF(COUNTIF(I$2:I2732,I2732)=1,MAX(J$1:J2731)+1,""))</f>
        <v/>
      </c>
    </row>
    <row r="2733">
      <c r="A2733">
        <f>IFERROR(--SUBSTITUTE(SUBSTITUTE(TRIM(INDEX(INDIRECT("'Выгрузка'!A2733:Z2733"),Настройки!$B$7)),",","."),".",MID(1/2,2,1)),"")</f>
        <v/>
      </c>
      <c r="B2733">
        <f>IFERROR(--SUBSTITUTE(SUBSTITUTE(TRIM(INDEX(INDIRECT("'Выгрузка'!A2733:Z2733"),Настройки!$B$9)),",","."),".",MID(1/2,2,1)),"")</f>
        <v/>
      </c>
      <c r="C2733">
        <f>TRIM(INDEX(INDIRECT("'Выгрузка'!A2733:Z2733"),Настройки!$B$8)&amp;"")</f>
        <v/>
      </c>
      <c r="D2733">
        <f>IFERROR(--SUBSTITUTE(SUBSTITUTE(TRIM(INDEX(INDIRECT("'Выгрузка'!A2733:Z2733"),Настройки!$B$10)),",","."),".",MID(1/2,2,1)),"")</f>
        <v/>
      </c>
      <c r="E2733">
        <f>IFERROR(--SUBSTITUTE(SUBSTITUTE(TRIM(INDEX(INDIRECT("'Выгрузка'!A2733:Z2733"),Настройки!$B$11)),",","."),".",MID(1/2,2,1)),"")</f>
        <v/>
      </c>
      <c r="F2733">
        <f>TRIM(INDEX(INDIRECT("'Выгрузка'!A2733:Z2733"),Настройки!$B$12)&amp;"")</f>
        <v/>
      </c>
      <c r="G2733">
        <f>IF(F2733="",0,IF(TRIM(INDEX(INDIRECT("'Выгрузка'!A2733:Z2733"),Настройки!$B$13)&amp;"")="",1,IFERROR(--SUBSTITUTE(SUBSTITUTE(TRIM(INDEX(INDIRECT("'Выгрузка'!A2733:Z2733"),Настройки!$B$13)),",","."),".",MID(1/2,2,1)),"")))</f>
        <v/>
      </c>
      <c r="H2733">
        <f>IF(F2733="",0,IF(COUNTIF(Настройки!$B$17:$B$26,F2733)&gt;0,1,IF(COUNTIF(Настройки!$C$17:$C$26,F2733)&gt;0,2,IF(COUNTIF(Настройки!$D$17:$D$26,F2733)&gt;0,3,0))))</f>
        <v/>
      </c>
      <c r="I2733">
        <f>IF(AND(ISNUMBER(A2733),ISNUMBER(B2733)),A2733*1000+B2733,"")</f>
        <v/>
      </c>
      <c r="J2733">
        <f>IF(I2733="","",IF(COUNTIF(I$2:I2733,I2733)=1,MAX(J$1:J2732)+1,""))</f>
        <v/>
      </c>
    </row>
    <row r="2734">
      <c r="A2734">
        <f>IFERROR(--SUBSTITUTE(SUBSTITUTE(TRIM(INDEX(INDIRECT("'Выгрузка'!A2734:Z2734"),Настройки!$B$7)),",","."),".",MID(1/2,2,1)),"")</f>
        <v/>
      </c>
      <c r="B2734">
        <f>IFERROR(--SUBSTITUTE(SUBSTITUTE(TRIM(INDEX(INDIRECT("'Выгрузка'!A2734:Z2734"),Настройки!$B$9)),",","."),".",MID(1/2,2,1)),"")</f>
        <v/>
      </c>
      <c r="C2734">
        <f>TRIM(INDEX(INDIRECT("'Выгрузка'!A2734:Z2734"),Настройки!$B$8)&amp;"")</f>
        <v/>
      </c>
      <c r="D2734">
        <f>IFERROR(--SUBSTITUTE(SUBSTITUTE(TRIM(INDEX(INDIRECT("'Выгрузка'!A2734:Z2734"),Настройки!$B$10)),",","."),".",MID(1/2,2,1)),"")</f>
        <v/>
      </c>
      <c r="E2734">
        <f>IFERROR(--SUBSTITUTE(SUBSTITUTE(TRIM(INDEX(INDIRECT("'Выгрузка'!A2734:Z2734"),Настройки!$B$11)),",","."),".",MID(1/2,2,1)),"")</f>
        <v/>
      </c>
      <c r="F2734">
        <f>TRIM(INDEX(INDIRECT("'Выгрузка'!A2734:Z2734"),Настройки!$B$12)&amp;"")</f>
        <v/>
      </c>
      <c r="G2734">
        <f>IF(F2734="",0,IF(TRIM(INDEX(INDIRECT("'Выгрузка'!A2734:Z2734"),Настройки!$B$13)&amp;"")="",1,IFERROR(--SUBSTITUTE(SUBSTITUTE(TRIM(INDEX(INDIRECT("'Выгрузка'!A2734:Z2734"),Настройки!$B$13)),",","."),".",MID(1/2,2,1)),"")))</f>
        <v/>
      </c>
      <c r="H2734">
        <f>IF(F2734="",0,IF(COUNTIF(Настройки!$B$17:$B$26,F2734)&gt;0,1,IF(COUNTIF(Настройки!$C$17:$C$26,F2734)&gt;0,2,IF(COUNTIF(Настройки!$D$17:$D$26,F2734)&gt;0,3,0))))</f>
        <v/>
      </c>
      <c r="I2734">
        <f>IF(AND(ISNUMBER(A2734),ISNUMBER(B2734)),A2734*1000+B2734,"")</f>
        <v/>
      </c>
      <c r="J2734">
        <f>IF(I2734="","",IF(COUNTIF(I$2:I2734,I2734)=1,MAX(J$1:J2733)+1,""))</f>
        <v/>
      </c>
    </row>
    <row r="2735">
      <c r="A2735">
        <f>IFERROR(--SUBSTITUTE(SUBSTITUTE(TRIM(INDEX(INDIRECT("'Выгрузка'!A2735:Z2735"),Настройки!$B$7)),",","."),".",MID(1/2,2,1)),"")</f>
        <v/>
      </c>
      <c r="B2735">
        <f>IFERROR(--SUBSTITUTE(SUBSTITUTE(TRIM(INDEX(INDIRECT("'Выгрузка'!A2735:Z2735"),Настройки!$B$9)),",","."),".",MID(1/2,2,1)),"")</f>
        <v/>
      </c>
      <c r="C2735">
        <f>TRIM(INDEX(INDIRECT("'Выгрузка'!A2735:Z2735"),Настройки!$B$8)&amp;"")</f>
        <v/>
      </c>
      <c r="D2735">
        <f>IFERROR(--SUBSTITUTE(SUBSTITUTE(TRIM(INDEX(INDIRECT("'Выгрузка'!A2735:Z2735"),Настройки!$B$10)),",","."),".",MID(1/2,2,1)),"")</f>
        <v/>
      </c>
      <c r="E2735">
        <f>IFERROR(--SUBSTITUTE(SUBSTITUTE(TRIM(INDEX(INDIRECT("'Выгрузка'!A2735:Z2735"),Настройки!$B$11)),",","."),".",MID(1/2,2,1)),"")</f>
        <v/>
      </c>
      <c r="F2735">
        <f>TRIM(INDEX(INDIRECT("'Выгрузка'!A2735:Z2735"),Настройки!$B$12)&amp;"")</f>
        <v/>
      </c>
      <c r="G2735">
        <f>IF(F2735="",0,IF(TRIM(INDEX(INDIRECT("'Выгрузка'!A2735:Z2735"),Настройки!$B$13)&amp;"")="",1,IFERROR(--SUBSTITUTE(SUBSTITUTE(TRIM(INDEX(INDIRECT("'Выгрузка'!A2735:Z2735"),Настройки!$B$13)),",","."),".",MID(1/2,2,1)),"")))</f>
        <v/>
      </c>
      <c r="H2735">
        <f>IF(F2735="",0,IF(COUNTIF(Настройки!$B$17:$B$26,F2735)&gt;0,1,IF(COUNTIF(Настройки!$C$17:$C$26,F2735)&gt;0,2,IF(COUNTIF(Настройки!$D$17:$D$26,F2735)&gt;0,3,0))))</f>
        <v/>
      </c>
      <c r="I2735">
        <f>IF(AND(ISNUMBER(A2735),ISNUMBER(B2735)),A2735*1000+B2735,"")</f>
        <v/>
      </c>
      <c r="J2735">
        <f>IF(I2735="","",IF(COUNTIF(I$2:I2735,I2735)=1,MAX(J$1:J2734)+1,""))</f>
        <v/>
      </c>
    </row>
    <row r="2736">
      <c r="A2736">
        <f>IFERROR(--SUBSTITUTE(SUBSTITUTE(TRIM(INDEX(INDIRECT("'Выгрузка'!A2736:Z2736"),Настройки!$B$7)),",","."),".",MID(1/2,2,1)),"")</f>
        <v/>
      </c>
      <c r="B2736">
        <f>IFERROR(--SUBSTITUTE(SUBSTITUTE(TRIM(INDEX(INDIRECT("'Выгрузка'!A2736:Z2736"),Настройки!$B$9)),",","."),".",MID(1/2,2,1)),"")</f>
        <v/>
      </c>
      <c r="C2736">
        <f>TRIM(INDEX(INDIRECT("'Выгрузка'!A2736:Z2736"),Настройки!$B$8)&amp;"")</f>
        <v/>
      </c>
      <c r="D2736">
        <f>IFERROR(--SUBSTITUTE(SUBSTITUTE(TRIM(INDEX(INDIRECT("'Выгрузка'!A2736:Z2736"),Настройки!$B$10)),",","."),".",MID(1/2,2,1)),"")</f>
        <v/>
      </c>
      <c r="E2736">
        <f>IFERROR(--SUBSTITUTE(SUBSTITUTE(TRIM(INDEX(INDIRECT("'Выгрузка'!A2736:Z2736"),Настройки!$B$11)),",","."),".",MID(1/2,2,1)),"")</f>
        <v/>
      </c>
      <c r="F2736">
        <f>TRIM(INDEX(INDIRECT("'Выгрузка'!A2736:Z2736"),Настройки!$B$12)&amp;"")</f>
        <v/>
      </c>
      <c r="G2736">
        <f>IF(F2736="",0,IF(TRIM(INDEX(INDIRECT("'Выгрузка'!A2736:Z2736"),Настройки!$B$13)&amp;"")="",1,IFERROR(--SUBSTITUTE(SUBSTITUTE(TRIM(INDEX(INDIRECT("'Выгрузка'!A2736:Z2736"),Настройки!$B$13)),",","."),".",MID(1/2,2,1)),"")))</f>
        <v/>
      </c>
      <c r="H2736">
        <f>IF(F2736="",0,IF(COUNTIF(Настройки!$B$17:$B$26,F2736)&gt;0,1,IF(COUNTIF(Настройки!$C$17:$C$26,F2736)&gt;0,2,IF(COUNTIF(Настройки!$D$17:$D$26,F2736)&gt;0,3,0))))</f>
        <v/>
      </c>
      <c r="I2736">
        <f>IF(AND(ISNUMBER(A2736),ISNUMBER(B2736)),A2736*1000+B2736,"")</f>
        <v/>
      </c>
      <c r="J2736">
        <f>IF(I2736="","",IF(COUNTIF(I$2:I2736,I2736)=1,MAX(J$1:J2735)+1,""))</f>
        <v/>
      </c>
    </row>
    <row r="2737">
      <c r="A2737">
        <f>IFERROR(--SUBSTITUTE(SUBSTITUTE(TRIM(INDEX(INDIRECT("'Выгрузка'!A2737:Z2737"),Настройки!$B$7)),",","."),".",MID(1/2,2,1)),"")</f>
        <v/>
      </c>
      <c r="B2737">
        <f>IFERROR(--SUBSTITUTE(SUBSTITUTE(TRIM(INDEX(INDIRECT("'Выгрузка'!A2737:Z2737"),Настройки!$B$9)),",","."),".",MID(1/2,2,1)),"")</f>
        <v/>
      </c>
      <c r="C2737">
        <f>TRIM(INDEX(INDIRECT("'Выгрузка'!A2737:Z2737"),Настройки!$B$8)&amp;"")</f>
        <v/>
      </c>
      <c r="D2737">
        <f>IFERROR(--SUBSTITUTE(SUBSTITUTE(TRIM(INDEX(INDIRECT("'Выгрузка'!A2737:Z2737"),Настройки!$B$10)),",","."),".",MID(1/2,2,1)),"")</f>
        <v/>
      </c>
      <c r="E2737">
        <f>IFERROR(--SUBSTITUTE(SUBSTITUTE(TRIM(INDEX(INDIRECT("'Выгрузка'!A2737:Z2737"),Настройки!$B$11)),",","."),".",MID(1/2,2,1)),"")</f>
        <v/>
      </c>
      <c r="F2737">
        <f>TRIM(INDEX(INDIRECT("'Выгрузка'!A2737:Z2737"),Настройки!$B$12)&amp;"")</f>
        <v/>
      </c>
      <c r="G2737">
        <f>IF(F2737="",0,IF(TRIM(INDEX(INDIRECT("'Выгрузка'!A2737:Z2737"),Настройки!$B$13)&amp;"")="",1,IFERROR(--SUBSTITUTE(SUBSTITUTE(TRIM(INDEX(INDIRECT("'Выгрузка'!A2737:Z2737"),Настройки!$B$13)),",","."),".",MID(1/2,2,1)),"")))</f>
        <v/>
      </c>
      <c r="H2737">
        <f>IF(F2737="",0,IF(COUNTIF(Настройки!$B$17:$B$26,F2737)&gt;0,1,IF(COUNTIF(Настройки!$C$17:$C$26,F2737)&gt;0,2,IF(COUNTIF(Настройки!$D$17:$D$26,F2737)&gt;0,3,0))))</f>
        <v/>
      </c>
      <c r="I2737">
        <f>IF(AND(ISNUMBER(A2737),ISNUMBER(B2737)),A2737*1000+B2737,"")</f>
        <v/>
      </c>
      <c r="J2737">
        <f>IF(I2737="","",IF(COUNTIF(I$2:I2737,I2737)=1,MAX(J$1:J2736)+1,""))</f>
        <v/>
      </c>
    </row>
    <row r="2738">
      <c r="A2738">
        <f>IFERROR(--SUBSTITUTE(SUBSTITUTE(TRIM(INDEX(INDIRECT("'Выгрузка'!A2738:Z2738"),Настройки!$B$7)),",","."),".",MID(1/2,2,1)),"")</f>
        <v/>
      </c>
      <c r="B2738">
        <f>IFERROR(--SUBSTITUTE(SUBSTITUTE(TRIM(INDEX(INDIRECT("'Выгрузка'!A2738:Z2738"),Настройки!$B$9)),",","."),".",MID(1/2,2,1)),"")</f>
        <v/>
      </c>
      <c r="C2738">
        <f>TRIM(INDEX(INDIRECT("'Выгрузка'!A2738:Z2738"),Настройки!$B$8)&amp;"")</f>
        <v/>
      </c>
      <c r="D2738">
        <f>IFERROR(--SUBSTITUTE(SUBSTITUTE(TRIM(INDEX(INDIRECT("'Выгрузка'!A2738:Z2738"),Настройки!$B$10)),",","."),".",MID(1/2,2,1)),"")</f>
        <v/>
      </c>
      <c r="E2738">
        <f>IFERROR(--SUBSTITUTE(SUBSTITUTE(TRIM(INDEX(INDIRECT("'Выгрузка'!A2738:Z2738"),Настройки!$B$11)),",","."),".",MID(1/2,2,1)),"")</f>
        <v/>
      </c>
      <c r="F2738">
        <f>TRIM(INDEX(INDIRECT("'Выгрузка'!A2738:Z2738"),Настройки!$B$12)&amp;"")</f>
        <v/>
      </c>
      <c r="G2738">
        <f>IF(F2738="",0,IF(TRIM(INDEX(INDIRECT("'Выгрузка'!A2738:Z2738"),Настройки!$B$13)&amp;"")="",1,IFERROR(--SUBSTITUTE(SUBSTITUTE(TRIM(INDEX(INDIRECT("'Выгрузка'!A2738:Z2738"),Настройки!$B$13)),",","."),".",MID(1/2,2,1)),"")))</f>
        <v/>
      </c>
      <c r="H2738">
        <f>IF(F2738="",0,IF(COUNTIF(Настройки!$B$17:$B$26,F2738)&gt;0,1,IF(COUNTIF(Настройки!$C$17:$C$26,F2738)&gt;0,2,IF(COUNTIF(Настройки!$D$17:$D$26,F2738)&gt;0,3,0))))</f>
        <v/>
      </c>
      <c r="I2738">
        <f>IF(AND(ISNUMBER(A2738),ISNUMBER(B2738)),A2738*1000+B2738,"")</f>
        <v/>
      </c>
      <c r="J2738">
        <f>IF(I2738="","",IF(COUNTIF(I$2:I2738,I2738)=1,MAX(J$1:J2737)+1,""))</f>
        <v/>
      </c>
    </row>
    <row r="2739">
      <c r="A2739">
        <f>IFERROR(--SUBSTITUTE(SUBSTITUTE(TRIM(INDEX(INDIRECT("'Выгрузка'!A2739:Z2739"),Настройки!$B$7)),",","."),".",MID(1/2,2,1)),"")</f>
        <v/>
      </c>
      <c r="B2739">
        <f>IFERROR(--SUBSTITUTE(SUBSTITUTE(TRIM(INDEX(INDIRECT("'Выгрузка'!A2739:Z2739"),Настройки!$B$9)),",","."),".",MID(1/2,2,1)),"")</f>
        <v/>
      </c>
      <c r="C2739">
        <f>TRIM(INDEX(INDIRECT("'Выгрузка'!A2739:Z2739"),Настройки!$B$8)&amp;"")</f>
        <v/>
      </c>
      <c r="D2739">
        <f>IFERROR(--SUBSTITUTE(SUBSTITUTE(TRIM(INDEX(INDIRECT("'Выгрузка'!A2739:Z2739"),Настройки!$B$10)),",","."),".",MID(1/2,2,1)),"")</f>
        <v/>
      </c>
      <c r="E2739">
        <f>IFERROR(--SUBSTITUTE(SUBSTITUTE(TRIM(INDEX(INDIRECT("'Выгрузка'!A2739:Z2739"),Настройки!$B$11)),",","."),".",MID(1/2,2,1)),"")</f>
        <v/>
      </c>
      <c r="F2739">
        <f>TRIM(INDEX(INDIRECT("'Выгрузка'!A2739:Z2739"),Настройки!$B$12)&amp;"")</f>
        <v/>
      </c>
      <c r="G2739">
        <f>IF(F2739="",0,IF(TRIM(INDEX(INDIRECT("'Выгрузка'!A2739:Z2739"),Настройки!$B$13)&amp;"")="",1,IFERROR(--SUBSTITUTE(SUBSTITUTE(TRIM(INDEX(INDIRECT("'Выгрузка'!A2739:Z2739"),Настройки!$B$13)),",","."),".",MID(1/2,2,1)),"")))</f>
        <v/>
      </c>
      <c r="H2739">
        <f>IF(F2739="",0,IF(COUNTIF(Настройки!$B$17:$B$26,F2739)&gt;0,1,IF(COUNTIF(Настройки!$C$17:$C$26,F2739)&gt;0,2,IF(COUNTIF(Настройки!$D$17:$D$26,F2739)&gt;0,3,0))))</f>
        <v/>
      </c>
      <c r="I2739">
        <f>IF(AND(ISNUMBER(A2739),ISNUMBER(B2739)),A2739*1000+B2739,"")</f>
        <v/>
      </c>
      <c r="J2739">
        <f>IF(I2739="","",IF(COUNTIF(I$2:I2739,I2739)=1,MAX(J$1:J2738)+1,""))</f>
        <v/>
      </c>
    </row>
    <row r="2740">
      <c r="A2740">
        <f>IFERROR(--SUBSTITUTE(SUBSTITUTE(TRIM(INDEX(INDIRECT("'Выгрузка'!A2740:Z2740"),Настройки!$B$7)),",","."),".",MID(1/2,2,1)),"")</f>
        <v/>
      </c>
      <c r="B2740">
        <f>IFERROR(--SUBSTITUTE(SUBSTITUTE(TRIM(INDEX(INDIRECT("'Выгрузка'!A2740:Z2740"),Настройки!$B$9)),",","."),".",MID(1/2,2,1)),"")</f>
        <v/>
      </c>
      <c r="C2740">
        <f>TRIM(INDEX(INDIRECT("'Выгрузка'!A2740:Z2740"),Настройки!$B$8)&amp;"")</f>
        <v/>
      </c>
      <c r="D2740">
        <f>IFERROR(--SUBSTITUTE(SUBSTITUTE(TRIM(INDEX(INDIRECT("'Выгрузка'!A2740:Z2740"),Настройки!$B$10)),",","."),".",MID(1/2,2,1)),"")</f>
        <v/>
      </c>
      <c r="E2740">
        <f>IFERROR(--SUBSTITUTE(SUBSTITUTE(TRIM(INDEX(INDIRECT("'Выгрузка'!A2740:Z2740"),Настройки!$B$11)),",","."),".",MID(1/2,2,1)),"")</f>
        <v/>
      </c>
      <c r="F2740">
        <f>TRIM(INDEX(INDIRECT("'Выгрузка'!A2740:Z2740"),Настройки!$B$12)&amp;"")</f>
        <v/>
      </c>
      <c r="G2740">
        <f>IF(F2740="",0,IF(TRIM(INDEX(INDIRECT("'Выгрузка'!A2740:Z2740"),Настройки!$B$13)&amp;"")="",1,IFERROR(--SUBSTITUTE(SUBSTITUTE(TRIM(INDEX(INDIRECT("'Выгрузка'!A2740:Z2740"),Настройки!$B$13)),",","."),".",MID(1/2,2,1)),"")))</f>
        <v/>
      </c>
      <c r="H2740">
        <f>IF(F2740="",0,IF(COUNTIF(Настройки!$B$17:$B$26,F2740)&gt;0,1,IF(COUNTIF(Настройки!$C$17:$C$26,F2740)&gt;0,2,IF(COUNTIF(Настройки!$D$17:$D$26,F2740)&gt;0,3,0))))</f>
        <v/>
      </c>
      <c r="I2740">
        <f>IF(AND(ISNUMBER(A2740),ISNUMBER(B2740)),A2740*1000+B2740,"")</f>
        <v/>
      </c>
      <c r="J2740">
        <f>IF(I2740="","",IF(COUNTIF(I$2:I2740,I2740)=1,MAX(J$1:J2739)+1,""))</f>
        <v/>
      </c>
    </row>
    <row r="2741">
      <c r="A2741">
        <f>IFERROR(--SUBSTITUTE(SUBSTITUTE(TRIM(INDEX(INDIRECT("'Выгрузка'!A2741:Z2741"),Настройки!$B$7)),",","."),".",MID(1/2,2,1)),"")</f>
        <v/>
      </c>
      <c r="B2741">
        <f>IFERROR(--SUBSTITUTE(SUBSTITUTE(TRIM(INDEX(INDIRECT("'Выгрузка'!A2741:Z2741"),Настройки!$B$9)),",","."),".",MID(1/2,2,1)),"")</f>
        <v/>
      </c>
      <c r="C2741">
        <f>TRIM(INDEX(INDIRECT("'Выгрузка'!A2741:Z2741"),Настройки!$B$8)&amp;"")</f>
        <v/>
      </c>
      <c r="D2741">
        <f>IFERROR(--SUBSTITUTE(SUBSTITUTE(TRIM(INDEX(INDIRECT("'Выгрузка'!A2741:Z2741"),Настройки!$B$10)),",","."),".",MID(1/2,2,1)),"")</f>
        <v/>
      </c>
      <c r="E2741">
        <f>IFERROR(--SUBSTITUTE(SUBSTITUTE(TRIM(INDEX(INDIRECT("'Выгрузка'!A2741:Z2741"),Настройки!$B$11)),",","."),".",MID(1/2,2,1)),"")</f>
        <v/>
      </c>
      <c r="F2741">
        <f>TRIM(INDEX(INDIRECT("'Выгрузка'!A2741:Z2741"),Настройки!$B$12)&amp;"")</f>
        <v/>
      </c>
      <c r="G2741">
        <f>IF(F2741="",0,IF(TRIM(INDEX(INDIRECT("'Выгрузка'!A2741:Z2741"),Настройки!$B$13)&amp;"")="",1,IFERROR(--SUBSTITUTE(SUBSTITUTE(TRIM(INDEX(INDIRECT("'Выгрузка'!A2741:Z2741"),Настройки!$B$13)),",","."),".",MID(1/2,2,1)),"")))</f>
        <v/>
      </c>
      <c r="H2741">
        <f>IF(F2741="",0,IF(COUNTIF(Настройки!$B$17:$B$26,F2741)&gt;0,1,IF(COUNTIF(Настройки!$C$17:$C$26,F2741)&gt;0,2,IF(COUNTIF(Настройки!$D$17:$D$26,F2741)&gt;0,3,0))))</f>
        <v/>
      </c>
      <c r="I2741">
        <f>IF(AND(ISNUMBER(A2741),ISNUMBER(B2741)),A2741*1000+B2741,"")</f>
        <v/>
      </c>
      <c r="J2741">
        <f>IF(I2741="","",IF(COUNTIF(I$2:I2741,I2741)=1,MAX(J$1:J2740)+1,""))</f>
        <v/>
      </c>
    </row>
    <row r="2742">
      <c r="A2742">
        <f>IFERROR(--SUBSTITUTE(SUBSTITUTE(TRIM(INDEX(INDIRECT("'Выгрузка'!A2742:Z2742"),Настройки!$B$7)),",","."),".",MID(1/2,2,1)),"")</f>
        <v/>
      </c>
      <c r="B2742">
        <f>IFERROR(--SUBSTITUTE(SUBSTITUTE(TRIM(INDEX(INDIRECT("'Выгрузка'!A2742:Z2742"),Настройки!$B$9)),",","."),".",MID(1/2,2,1)),"")</f>
        <v/>
      </c>
      <c r="C2742">
        <f>TRIM(INDEX(INDIRECT("'Выгрузка'!A2742:Z2742"),Настройки!$B$8)&amp;"")</f>
        <v/>
      </c>
      <c r="D2742">
        <f>IFERROR(--SUBSTITUTE(SUBSTITUTE(TRIM(INDEX(INDIRECT("'Выгрузка'!A2742:Z2742"),Настройки!$B$10)),",","."),".",MID(1/2,2,1)),"")</f>
        <v/>
      </c>
      <c r="E2742">
        <f>IFERROR(--SUBSTITUTE(SUBSTITUTE(TRIM(INDEX(INDIRECT("'Выгрузка'!A2742:Z2742"),Настройки!$B$11)),",","."),".",MID(1/2,2,1)),"")</f>
        <v/>
      </c>
      <c r="F2742">
        <f>TRIM(INDEX(INDIRECT("'Выгрузка'!A2742:Z2742"),Настройки!$B$12)&amp;"")</f>
        <v/>
      </c>
      <c r="G2742">
        <f>IF(F2742="",0,IF(TRIM(INDEX(INDIRECT("'Выгрузка'!A2742:Z2742"),Настройки!$B$13)&amp;"")="",1,IFERROR(--SUBSTITUTE(SUBSTITUTE(TRIM(INDEX(INDIRECT("'Выгрузка'!A2742:Z2742"),Настройки!$B$13)),",","."),".",MID(1/2,2,1)),"")))</f>
        <v/>
      </c>
      <c r="H2742">
        <f>IF(F2742="",0,IF(COUNTIF(Настройки!$B$17:$B$26,F2742)&gt;0,1,IF(COUNTIF(Настройки!$C$17:$C$26,F2742)&gt;0,2,IF(COUNTIF(Настройки!$D$17:$D$26,F2742)&gt;0,3,0))))</f>
        <v/>
      </c>
      <c r="I2742">
        <f>IF(AND(ISNUMBER(A2742),ISNUMBER(B2742)),A2742*1000+B2742,"")</f>
        <v/>
      </c>
      <c r="J2742">
        <f>IF(I2742="","",IF(COUNTIF(I$2:I2742,I2742)=1,MAX(J$1:J2741)+1,""))</f>
        <v/>
      </c>
    </row>
    <row r="2743">
      <c r="A2743">
        <f>IFERROR(--SUBSTITUTE(SUBSTITUTE(TRIM(INDEX(INDIRECT("'Выгрузка'!A2743:Z2743"),Настройки!$B$7)),",","."),".",MID(1/2,2,1)),"")</f>
        <v/>
      </c>
      <c r="B2743">
        <f>IFERROR(--SUBSTITUTE(SUBSTITUTE(TRIM(INDEX(INDIRECT("'Выгрузка'!A2743:Z2743"),Настройки!$B$9)),",","."),".",MID(1/2,2,1)),"")</f>
        <v/>
      </c>
      <c r="C2743">
        <f>TRIM(INDEX(INDIRECT("'Выгрузка'!A2743:Z2743"),Настройки!$B$8)&amp;"")</f>
        <v/>
      </c>
      <c r="D2743">
        <f>IFERROR(--SUBSTITUTE(SUBSTITUTE(TRIM(INDEX(INDIRECT("'Выгрузка'!A2743:Z2743"),Настройки!$B$10)),",","."),".",MID(1/2,2,1)),"")</f>
        <v/>
      </c>
      <c r="E2743">
        <f>IFERROR(--SUBSTITUTE(SUBSTITUTE(TRIM(INDEX(INDIRECT("'Выгрузка'!A2743:Z2743"),Настройки!$B$11)),",","."),".",MID(1/2,2,1)),"")</f>
        <v/>
      </c>
      <c r="F2743">
        <f>TRIM(INDEX(INDIRECT("'Выгрузка'!A2743:Z2743"),Настройки!$B$12)&amp;"")</f>
        <v/>
      </c>
      <c r="G2743">
        <f>IF(F2743="",0,IF(TRIM(INDEX(INDIRECT("'Выгрузка'!A2743:Z2743"),Настройки!$B$13)&amp;"")="",1,IFERROR(--SUBSTITUTE(SUBSTITUTE(TRIM(INDEX(INDIRECT("'Выгрузка'!A2743:Z2743"),Настройки!$B$13)),",","."),".",MID(1/2,2,1)),"")))</f>
        <v/>
      </c>
      <c r="H2743">
        <f>IF(F2743="",0,IF(COUNTIF(Настройки!$B$17:$B$26,F2743)&gt;0,1,IF(COUNTIF(Настройки!$C$17:$C$26,F2743)&gt;0,2,IF(COUNTIF(Настройки!$D$17:$D$26,F2743)&gt;0,3,0))))</f>
        <v/>
      </c>
      <c r="I2743">
        <f>IF(AND(ISNUMBER(A2743),ISNUMBER(B2743)),A2743*1000+B2743,"")</f>
        <v/>
      </c>
      <c r="J2743">
        <f>IF(I2743="","",IF(COUNTIF(I$2:I2743,I2743)=1,MAX(J$1:J2742)+1,""))</f>
        <v/>
      </c>
    </row>
    <row r="2744">
      <c r="A2744">
        <f>IFERROR(--SUBSTITUTE(SUBSTITUTE(TRIM(INDEX(INDIRECT("'Выгрузка'!A2744:Z2744"),Настройки!$B$7)),",","."),".",MID(1/2,2,1)),"")</f>
        <v/>
      </c>
      <c r="B2744">
        <f>IFERROR(--SUBSTITUTE(SUBSTITUTE(TRIM(INDEX(INDIRECT("'Выгрузка'!A2744:Z2744"),Настройки!$B$9)),",","."),".",MID(1/2,2,1)),"")</f>
        <v/>
      </c>
      <c r="C2744">
        <f>TRIM(INDEX(INDIRECT("'Выгрузка'!A2744:Z2744"),Настройки!$B$8)&amp;"")</f>
        <v/>
      </c>
      <c r="D2744">
        <f>IFERROR(--SUBSTITUTE(SUBSTITUTE(TRIM(INDEX(INDIRECT("'Выгрузка'!A2744:Z2744"),Настройки!$B$10)),",","."),".",MID(1/2,2,1)),"")</f>
        <v/>
      </c>
      <c r="E2744">
        <f>IFERROR(--SUBSTITUTE(SUBSTITUTE(TRIM(INDEX(INDIRECT("'Выгрузка'!A2744:Z2744"),Настройки!$B$11)),",","."),".",MID(1/2,2,1)),"")</f>
        <v/>
      </c>
      <c r="F2744">
        <f>TRIM(INDEX(INDIRECT("'Выгрузка'!A2744:Z2744"),Настройки!$B$12)&amp;"")</f>
        <v/>
      </c>
      <c r="G2744">
        <f>IF(F2744="",0,IF(TRIM(INDEX(INDIRECT("'Выгрузка'!A2744:Z2744"),Настройки!$B$13)&amp;"")="",1,IFERROR(--SUBSTITUTE(SUBSTITUTE(TRIM(INDEX(INDIRECT("'Выгрузка'!A2744:Z2744"),Настройки!$B$13)),",","."),".",MID(1/2,2,1)),"")))</f>
        <v/>
      </c>
      <c r="H2744">
        <f>IF(F2744="",0,IF(COUNTIF(Настройки!$B$17:$B$26,F2744)&gt;0,1,IF(COUNTIF(Настройки!$C$17:$C$26,F2744)&gt;0,2,IF(COUNTIF(Настройки!$D$17:$D$26,F2744)&gt;0,3,0))))</f>
        <v/>
      </c>
      <c r="I2744">
        <f>IF(AND(ISNUMBER(A2744),ISNUMBER(B2744)),A2744*1000+B2744,"")</f>
        <v/>
      </c>
      <c r="J2744">
        <f>IF(I2744="","",IF(COUNTIF(I$2:I2744,I2744)=1,MAX(J$1:J2743)+1,""))</f>
        <v/>
      </c>
    </row>
    <row r="2745">
      <c r="A2745">
        <f>IFERROR(--SUBSTITUTE(SUBSTITUTE(TRIM(INDEX(INDIRECT("'Выгрузка'!A2745:Z2745"),Настройки!$B$7)),",","."),".",MID(1/2,2,1)),"")</f>
        <v/>
      </c>
      <c r="B2745">
        <f>IFERROR(--SUBSTITUTE(SUBSTITUTE(TRIM(INDEX(INDIRECT("'Выгрузка'!A2745:Z2745"),Настройки!$B$9)),",","."),".",MID(1/2,2,1)),"")</f>
        <v/>
      </c>
      <c r="C2745">
        <f>TRIM(INDEX(INDIRECT("'Выгрузка'!A2745:Z2745"),Настройки!$B$8)&amp;"")</f>
        <v/>
      </c>
      <c r="D2745">
        <f>IFERROR(--SUBSTITUTE(SUBSTITUTE(TRIM(INDEX(INDIRECT("'Выгрузка'!A2745:Z2745"),Настройки!$B$10)),",","."),".",MID(1/2,2,1)),"")</f>
        <v/>
      </c>
      <c r="E2745">
        <f>IFERROR(--SUBSTITUTE(SUBSTITUTE(TRIM(INDEX(INDIRECT("'Выгрузка'!A2745:Z2745"),Настройки!$B$11)),",","."),".",MID(1/2,2,1)),"")</f>
        <v/>
      </c>
      <c r="F2745">
        <f>TRIM(INDEX(INDIRECT("'Выгрузка'!A2745:Z2745"),Настройки!$B$12)&amp;"")</f>
        <v/>
      </c>
      <c r="G2745">
        <f>IF(F2745="",0,IF(TRIM(INDEX(INDIRECT("'Выгрузка'!A2745:Z2745"),Настройки!$B$13)&amp;"")="",1,IFERROR(--SUBSTITUTE(SUBSTITUTE(TRIM(INDEX(INDIRECT("'Выгрузка'!A2745:Z2745"),Настройки!$B$13)),",","."),".",MID(1/2,2,1)),"")))</f>
        <v/>
      </c>
      <c r="H2745">
        <f>IF(F2745="",0,IF(COUNTIF(Настройки!$B$17:$B$26,F2745)&gt;0,1,IF(COUNTIF(Настройки!$C$17:$C$26,F2745)&gt;0,2,IF(COUNTIF(Настройки!$D$17:$D$26,F2745)&gt;0,3,0))))</f>
        <v/>
      </c>
      <c r="I2745">
        <f>IF(AND(ISNUMBER(A2745),ISNUMBER(B2745)),A2745*1000+B2745,"")</f>
        <v/>
      </c>
      <c r="J2745">
        <f>IF(I2745="","",IF(COUNTIF(I$2:I2745,I2745)=1,MAX(J$1:J2744)+1,""))</f>
        <v/>
      </c>
    </row>
    <row r="2746">
      <c r="A2746">
        <f>IFERROR(--SUBSTITUTE(SUBSTITUTE(TRIM(INDEX(INDIRECT("'Выгрузка'!A2746:Z2746"),Настройки!$B$7)),",","."),".",MID(1/2,2,1)),"")</f>
        <v/>
      </c>
      <c r="B2746">
        <f>IFERROR(--SUBSTITUTE(SUBSTITUTE(TRIM(INDEX(INDIRECT("'Выгрузка'!A2746:Z2746"),Настройки!$B$9)),",","."),".",MID(1/2,2,1)),"")</f>
        <v/>
      </c>
      <c r="C2746">
        <f>TRIM(INDEX(INDIRECT("'Выгрузка'!A2746:Z2746"),Настройки!$B$8)&amp;"")</f>
        <v/>
      </c>
      <c r="D2746">
        <f>IFERROR(--SUBSTITUTE(SUBSTITUTE(TRIM(INDEX(INDIRECT("'Выгрузка'!A2746:Z2746"),Настройки!$B$10)),",","."),".",MID(1/2,2,1)),"")</f>
        <v/>
      </c>
      <c r="E2746">
        <f>IFERROR(--SUBSTITUTE(SUBSTITUTE(TRIM(INDEX(INDIRECT("'Выгрузка'!A2746:Z2746"),Настройки!$B$11)),",","."),".",MID(1/2,2,1)),"")</f>
        <v/>
      </c>
      <c r="F2746">
        <f>TRIM(INDEX(INDIRECT("'Выгрузка'!A2746:Z2746"),Настройки!$B$12)&amp;"")</f>
        <v/>
      </c>
      <c r="G2746">
        <f>IF(F2746="",0,IF(TRIM(INDEX(INDIRECT("'Выгрузка'!A2746:Z2746"),Настройки!$B$13)&amp;"")="",1,IFERROR(--SUBSTITUTE(SUBSTITUTE(TRIM(INDEX(INDIRECT("'Выгрузка'!A2746:Z2746"),Настройки!$B$13)),",","."),".",MID(1/2,2,1)),"")))</f>
        <v/>
      </c>
      <c r="H2746">
        <f>IF(F2746="",0,IF(COUNTIF(Настройки!$B$17:$B$26,F2746)&gt;0,1,IF(COUNTIF(Настройки!$C$17:$C$26,F2746)&gt;0,2,IF(COUNTIF(Настройки!$D$17:$D$26,F2746)&gt;0,3,0))))</f>
        <v/>
      </c>
      <c r="I2746">
        <f>IF(AND(ISNUMBER(A2746),ISNUMBER(B2746)),A2746*1000+B2746,"")</f>
        <v/>
      </c>
      <c r="J2746">
        <f>IF(I2746="","",IF(COUNTIF(I$2:I2746,I2746)=1,MAX(J$1:J2745)+1,""))</f>
        <v/>
      </c>
    </row>
    <row r="2747">
      <c r="A2747">
        <f>IFERROR(--SUBSTITUTE(SUBSTITUTE(TRIM(INDEX(INDIRECT("'Выгрузка'!A2747:Z2747"),Настройки!$B$7)),",","."),".",MID(1/2,2,1)),"")</f>
        <v/>
      </c>
      <c r="B2747">
        <f>IFERROR(--SUBSTITUTE(SUBSTITUTE(TRIM(INDEX(INDIRECT("'Выгрузка'!A2747:Z2747"),Настройки!$B$9)),",","."),".",MID(1/2,2,1)),"")</f>
        <v/>
      </c>
      <c r="C2747">
        <f>TRIM(INDEX(INDIRECT("'Выгрузка'!A2747:Z2747"),Настройки!$B$8)&amp;"")</f>
        <v/>
      </c>
      <c r="D2747">
        <f>IFERROR(--SUBSTITUTE(SUBSTITUTE(TRIM(INDEX(INDIRECT("'Выгрузка'!A2747:Z2747"),Настройки!$B$10)),",","."),".",MID(1/2,2,1)),"")</f>
        <v/>
      </c>
      <c r="E2747">
        <f>IFERROR(--SUBSTITUTE(SUBSTITUTE(TRIM(INDEX(INDIRECT("'Выгрузка'!A2747:Z2747"),Настройки!$B$11)),",","."),".",MID(1/2,2,1)),"")</f>
        <v/>
      </c>
      <c r="F2747">
        <f>TRIM(INDEX(INDIRECT("'Выгрузка'!A2747:Z2747"),Настройки!$B$12)&amp;"")</f>
        <v/>
      </c>
      <c r="G2747">
        <f>IF(F2747="",0,IF(TRIM(INDEX(INDIRECT("'Выгрузка'!A2747:Z2747"),Настройки!$B$13)&amp;"")="",1,IFERROR(--SUBSTITUTE(SUBSTITUTE(TRIM(INDEX(INDIRECT("'Выгрузка'!A2747:Z2747"),Настройки!$B$13)),",","."),".",MID(1/2,2,1)),"")))</f>
        <v/>
      </c>
      <c r="H2747">
        <f>IF(F2747="",0,IF(COUNTIF(Настройки!$B$17:$B$26,F2747)&gt;0,1,IF(COUNTIF(Настройки!$C$17:$C$26,F2747)&gt;0,2,IF(COUNTIF(Настройки!$D$17:$D$26,F2747)&gt;0,3,0))))</f>
        <v/>
      </c>
      <c r="I2747">
        <f>IF(AND(ISNUMBER(A2747),ISNUMBER(B2747)),A2747*1000+B2747,"")</f>
        <v/>
      </c>
      <c r="J2747">
        <f>IF(I2747="","",IF(COUNTIF(I$2:I2747,I2747)=1,MAX(J$1:J2746)+1,""))</f>
        <v/>
      </c>
    </row>
    <row r="2748">
      <c r="A2748">
        <f>IFERROR(--SUBSTITUTE(SUBSTITUTE(TRIM(INDEX(INDIRECT("'Выгрузка'!A2748:Z2748"),Настройки!$B$7)),",","."),".",MID(1/2,2,1)),"")</f>
        <v/>
      </c>
      <c r="B2748">
        <f>IFERROR(--SUBSTITUTE(SUBSTITUTE(TRIM(INDEX(INDIRECT("'Выгрузка'!A2748:Z2748"),Настройки!$B$9)),",","."),".",MID(1/2,2,1)),"")</f>
        <v/>
      </c>
      <c r="C2748">
        <f>TRIM(INDEX(INDIRECT("'Выгрузка'!A2748:Z2748"),Настройки!$B$8)&amp;"")</f>
        <v/>
      </c>
      <c r="D2748">
        <f>IFERROR(--SUBSTITUTE(SUBSTITUTE(TRIM(INDEX(INDIRECT("'Выгрузка'!A2748:Z2748"),Настройки!$B$10)),",","."),".",MID(1/2,2,1)),"")</f>
        <v/>
      </c>
      <c r="E2748">
        <f>IFERROR(--SUBSTITUTE(SUBSTITUTE(TRIM(INDEX(INDIRECT("'Выгрузка'!A2748:Z2748"),Настройки!$B$11)),",","."),".",MID(1/2,2,1)),"")</f>
        <v/>
      </c>
      <c r="F2748">
        <f>TRIM(INDEX(INDIRECT("'Выгрузка'!A2748:Z2748"),Настройки!$B$12)&amp;"")</f>
        <v/>
      </c>
      <c r="G2748">
        <f>IF(F2748="",0,IF(TRIM(INDEX(INDIRECT("'Выгрузка'!A2748:Z2748"),Настройки!$B$13)&amp;"")="",1,IFERROR(--SUBSTITUTE(SUBSTITUTE(TRIM(INDEX(INDIRECT("'Выгрузка'!A2748:Z2748"),Настройки!$B$13)),",","."),".",MID(1/2,2,1)),"")))</f>
        <v/>
      </c>
      <c r="H2748">
        <f>IF(F2748="",0,IF(COUNTIF(Настройки!$B$17:$B$26,F2748)&gt;0,1,IF(COUNTIF(Настройки!$C$17:$C$26,F2748)&gt;0,2,IF(COUNTIF(Настройки!$D$17:$D$26,F2748)&gt;0,3,0))))</f>
        <v/>
      </c>
      <c r="I2748">
        <f>IF(AND(ISNUMBER(A2748),ISNUMBER(B2748)),A2748*1000+B2748,"")</f>
        <v/>
      </c>
      <c r="J2748">
        <f>IF(I2748="","",IF(COUNTIF(I$2:I2748,I2748)=1,MAX(J$1:J2747)+1,""))</f>
        <v/>
      </c>
    </row>
    <row r="2749">
      <c r="A2749">
        <f>IFERROR(--SUBSTITUTE(SUBSTITUTE(TRIM(INDEX(INDIRECT("'Выгрузка'!A2749:Z2749"),Настройки!$B$7)),",","."),".",MID(1/2,2,1)),"")</f>
        <v/>
      </c>
      <c r="B2749">
        <f>IFERROR(--SUBSTITUTE(SUBSTITUTE(TRIM(INDEX(INDIRECT("'Выгрузка'!A2749:Z2749"),Настройки!$B$9)),",","."),".",MID(1/2,2,1)),"")</f>
        <v/>
      </c>
      <c r="C2749">
        <f>TRIM(INDEX(INDIRECT("'Выгрузка'!A2749:Z2749"),Настройки!$B$8)&amp;"")</f>
        <v/>
      </c>
      <c r="D2749">
        <f>IFERROR(--SUBSTITUTE(SUBSTITUTE(TRIM(INDEX(INDIRECT("'Выгрузка'!A2749:Z2749"),Настройки!$B$10)),",","."),".",MID(1/2,2,1)),"")</f>
        <v/>
      </c>
      <c r="E2749">
        <f>IFERROR(--SUBSTITUTE(SUBSTITUTE(TRIM(INDEX(INDIRECT("'Выгрузка'!A2749:Z2749"),Настройки!$B$11)),",","."),".",MID(1/2,2,1)),"")</f>
        <v/>
      </c>
      <c r="F2749">
        <f>TRIM(INDEX(INDIRECT("'Выгрузка'!A2749:Z2749"),Настройки!$B$12)&amp;"")</f>
        <v/>
      </c>
      <c r="G2749">
        <f>IF(F2749="",0,IF(TRIM(INDEX(INDIRECT("'Выгрузка'!A2749:Z2749"),Настройки!$B$13)&amp;"")="",1,IFERROR(--SUBSTITUTE(SUBSTITUTE(TRIM(INDEX(INDIRECT("'Выгрузка'!A2749:Z2749"),Настройки!$B$13)),",","."),".",MID(1/2,2,1)),"")))</f>
        <v/>
      </c>
      <c r="H2749">
        <f>IF(F2749="",0,IF(COUNTIF(Настройки!$B$17:$B$26,F2749)&gt;0,1,IF(COUNTIF(Настройки!$C$17:$C$26,F2749)&gt;0,2,IF(COUNTIF(Настройки!$D$17:$D$26,F2749)&gt;0,3,0))))</f>
        <v/>
      </c>
      <c r="I2749">
        <f>IF(AND(ISNUMBER(A2749),ISNUMBER(B2749)),A2749*1000+B2749,"")</f>
        <v/>
      </c>
      <c r="J2749">
        <f>IF(I2749="","",IF(COUNTIF(I$2:I2749,I2749)=1,MAX(J$1:J2748)+1,""))</f>
        <v/>
      </c>
    </row>
    <row r="2750">
      <c r="A2750">
        <f>IFERROR(--SUBSTITUTE(SUBSTITUTE(TRIM(INDEX(INDIRECT("'Выгрузка'!A2750:Z2750"),Настройки!$B$7)),",","."),".",MID(1/2,2,1)),"")</f>
        <v/>
      </c>
      <c r="B2750">
        <f>IFERROR(--SUBSTITUTE(SUBSTITUTE(TRIM(INDEX(INDIRECT("'Выгрузка'!A2750:Z2750"),Настройки!$B$9)),",","."),".",MID(1/2,2,1)),"")</f>
        <v/>
      </c>
      <c r="C2750">
        <f>TRIM(INDEX(INDIRECT("'Выгрузка'!A2750:Z2750"),Настройки!$B$8)&amp;"")</f>
        <v/>
      </c>
      <c r="D2750">
        <f>IFERROR(--SUBSTITUTE(SUBSTITUTE(TRIM(INDEX(INDIRECT("'Выгрузка'!A2750:Z2750"),Настройки!$B$10)),",","."),".",MID(1/2,2,1)),"")</f>
        <v/>
      </c>
      <c r="E2750">
        <f>IFERROR(--SUBSTITUTE(SUBSTITUTE(TRIM(INDEX(INDIRECT("'Выгрузка'!A2750:Z2750"),Настройки!$B$11)),",","."),".",MID(1/2,2,1)),"")</f>
        <v/>
      </c>
      <c r="F2750">
        <f>TRIM(INDEX(INDIRECT("'Выгрузка'!A2750:Z2750"),Настройки!$B$12)&amp;"")</f>
        <v/>
      </c>
      <c r="G2750">
        <f>IF(F2750="",0,IF(TRIM(INDEX(INDIRECT("'Выгрузка'!A2750:Z2750"),Настройки!$B$13)&amp;"")="",1,IFERROR(--SUBSTITUTE(SUBSTITUTE(TRIM(INDEX(INDIRECT("'Выгрузка'!A2750:Z2750"),Настройки!$B$13)),",","."),".",MID(1/2,2,1)),"")))</f>
        <v/>
      </c>
      <c r="H2750">
        <f>IF(F2750="",0,IF(COUNTIF(Настройки!$B$17:$B$26,F2750)&gt;0,1,IF(COUNTIF(Настройки!$C$17:$C$26,F2750)&gt;0,2,IF(COUNTIF(Настройки!$D$17:$D$26,F2750)&gt;0,3,0))))</f>
        <v/>
      </c>
      <c r="I2750">
        <f>IF(AND(ISNUMBER(A2750),ISNUMBER(B2750)),A2750*1000+B2750,"")</f>
        <v/>
      </c>
      <c r="J2750">
        <f>IF(I2750="","",IF(COUNTIF(I$2:I2750,I2750)=1,MAX(J$1:J2749)+1,""))</f>
        <v/>
      </c>
    </row>
    <row r="2751">
      <c r="A2751">
        <f>IFERROR(--SUBSTITUTE(SUBSTITUTE(TRIM(INDEX(INDIRECT("'Выгрузка'!A2751:Z2751"),Настройки!$B$7)),",","."),".",MID(1/2,2,1)),"")</f>
        <v/>
      </c>
      <c r="B2751">
        <f>IFERROR(--SUBSTITUTE(SUBSTITUTE(TRIM(INDEX(INDIRECT("'Выгрузка'!A2751:Z2751"),Настройки!$B$9)),",","."),".",MID(1/2,2,1)),"")</f>
        <v/>
      </c>
      <c r="C2751">
        <f>TRIM(INDEX(INDIRECT("'Выгрузка'!A2751:Z2751"),Настройки!$B$8)&amp;"")</f>
        <v/>
      </c>
      <c r="D2751">
        <f>IFERROR(--SUBSTITUTE(SUBSTITUTE(TRIM(INDEX(INDIRECT("'Выгрузка'!A2751:Z2751"),Настройки!$B$10)),",","."),".",MID(1/2,2,1)),"")</f>
        <v/>
      </c>
      <c r="E2751">
        <f>IFERROR(--SUBSTITUTE(SUBSTITUTE(TRIM(INDEX(INDIRECT("'Выгрузка'!A2751:Z2751"),Настройки!$B$11)),",","."),".",MID(1/2,2,1)),"")</f>
        <v/>
      </c>
      <c r="F2751">
        <f>TRIM(INDEX(INDIRECT("'Выгрузка'!A2751:Z2751"),Настройки!$B$12)&amp;"")</f>
        <v/>
      </c>
      <c r="G2751">
        <f>IF(F2751="",0,IF(TRIM(INDEX(INDIRECT("'Выгрузка'!A2751:Z2751"),Настройки!$B$13)&amp;"")="",1,IFERROR(--SUBSTITUTE(SUBSTITUTE(TRIM(INDEX(INDIRECT("'Выгрузка'!A2751:Z2751"),Настройки!$B$13)),",","."),".",MID(1/2,2,1)),"")))</f>
        <v/>
      </c>
      <c r="H2751">
        <f>IF(F2751="",0,IF(COUNTIF(Настройки!$B$17:$B$26,F2751)&gt;0,1,IF(COUNTIF(Настройки!$C$17:$C$26,F2751)&gt;0,2,IF(COUNTIF(Настройки!$D$17:$D$26,F2751)&gt;0,3,0))))</f>
        <v/>
      </c>
      <c r="I2751">
        <f>IF(AND(ISNUMBER(A2751),ISNUMBER(B2751)),A2751*1000+B2751,"")</f>
        <v/>
      </c>
      <c r="J2751">
        <f>IF(I2751="","",IF(COUNTIF(I$2:I2751,I2751)=1,MAX(J$1:J2750)+1,""))</f>
        <v/>
      </c>
    </row>
    <row r="2752">
      <c r="A2752">
        <f>IFERROR(--SUBSTITUTE(SUBSTITUTE(TRIM(INDEX(INDIRECT("'Выгрузка'!A2752:Z2752"),Настройки!$B$7)),",","."),".",MID(1/2,2,1)),"")</f>
        <v/>
      </c>
      <c r="B2752">
        <f>IFERROR(--SUBSTITUTE(SUBSTITUTE(TRIM(INDEX(INDIRECT("'Выгрузка'!A2752:Z2752"),Настройки!$B$9)),",","."),".",MID(1/2,2,1)),"")</f>
        <v/>
      </c>
      <c r="C2752">
        <f>TRIM(INDEX(INDIRECT("'Выгрузка'!A2752:Z2752"),Настройки!$B$8)&amp;"")</f>
        <v/>
      </c>
      <c r="D2752">
        <f>IFERROR(--SUBSTITUTE(SUBSTITUTE(TRIM(INDEX(INDIRECT("'Выгрузка'!A2752:Z2752"),Настройки!$B$10)),",","."),".",MID(1/2,2,1)),"")</f>
        <v/>
      </c>
      <c r="E2752">
        <f>IFERROR(--SUBSTITUTE(SUBSTITUTE(TRIM(INDEX(INDIRECT("'Выгрузка'!A2752:Z2752"),Настройки!$B$11)),",","."),".",MID(1/2,2,1)),"")</f>
        <v/>
      </c>
      <c r="F2752">
        <f>TRIM(INDEX(INDIRECT("'Выгрузка'!A2752:Z2752"),Настройки!$B$12)&amp;"")</f>
        <v/>
      </c>
      <c r="G2752">
        <f>IF(F2752="",0,IF(TRIM(INDEX(INDIRECT("'Выгрузка'!A2752:Z2752"),Настройки!$B$13)&amp;"")="",1,IFERROR(--SUBSTITUTE(SUBSTITUTE(TRIM(INDEX(INDIRECT("'Выгрузка'!A2752:Z2752"),Настройки!$B$13)),",","."),".",MID(1/2,2,1)),"")))</f>
        <v/>
      </c>
      <c r="H2752">
        <f>IF(F2752="",0,IF(COUNTIF(Настройки!$B$17:$B$26,F2752)&gt;0,1,IF(COUNTIF(Настройки!$C$17:$C$26,F2752)&gt;0,2,IF(COUNTIF(Настройки!$D$17:$D$26,F2752)&gt;0,3,0))))</f>
        <v/>
      </c>
      <c r="I2752">
        <f>IF(AND(ISNUMBER(A2752),ISNUMBER(B2752)),A2752*1000+B2752,"")</f>
        <v/>
      </c>
      <c r="J2752">
        <f>IF(I2752="","",IF(COUNTIF(I$2:I2752,I2752)=1,MAX(J$1:J2751)+1,""))</f>
        <v/>
      </c>
    </row>
    <row r="2753">
      <c r="A2753">
        <f>IFERROR(--SUBSTITUTE(SUBSTITUTE(TRIM(INDEX(INDIRECT("'Выгрузка'!A2753:Z2753"),Настройки!$B$7)),",","."),".",MID(1/2,2,1)),"")</f>
        <v/>
      </c>
      <c r="B2753">
        <f>IFERROR(--SUBSTITUTE(SUBSTITUTE(TRIM(INDEX(INDIRECT("'Выгрузка'!A2753:Z2753"),Настройки!$B$9)),",","."),".",MID(1/2,2,1)),"")</f>
        <v/>
      </c>
      <c r="C2753">
        <f>TRIM(INDEX(INDIRECT("'Выгрузка'!A2753:Z2753"),Настройки!$B$8)&amp;"")</f>
        <v/>
      </c>
      <c r="D2753">
        <f>IFERROR(--SUBSTITUTE(SUBSTITUTE(TRIM(INDEX(INDIRECT("'Выгрузка'!A2753:Z2753"),Настройки!$B$10)),",","."),".",MID(1/2,2,1)),"")</f>
        <v/>
      </c>
      <c r="E2753">
        <f>IFERROR(--SUBSTITUTE(SUBSTITUTE(TRIM(INDEX(INDIRECT("'Выгрузка'!A2753:Z2753"),Настройки!$B$11)),",","."),".",MID(1/2,2,1)),"")</f>
        <v/>
      </c>
      <c r="F2753">
        <f>TRIM(INDEX(INDIRECT("'Выгрузка'!A2753:Z2753"),Настройки!$B$12)&amp;"")</f>
        <v/>
      </c>
      <c r="G2753">
        <f>IF(F2753="",0,IF(TRIM(INDEX(INDIRECT("'Выгрузка'!A2753:Z2753"),Настройки!$B$13)&amp;"")="",1,IFERROR(--SUBSTITUTE(SUBSTITUTE(TRIM(INDEX(INDIRECT("'Выгрузка'!A2753:Z2753"),Настройки!$B$13)),",","."),".",MID(1/2,2,1)),"")))</f>
        <v/>
      </c>
      <c r="H2753">
        <f>IF(F2753="",0,IF(COUNTIF(Настройки!$B$17:$B$26,F2753)&gt;0,1,IF(COUNTIF(Настройки!$C$17:$C$26,F2753)&gt;0,2,IF(COUNTIF(Настройки!$D$17:$D$26,F2753)&gt;0,3,0))))</f>
        <v/>
      </c>
      <c r="I2753">
        <f>IF(AND(ISNUMBER(A2753),ISNUMBER(B2753)),A2753*1000+B2753,"")</f>
        <v/>
      </c>
      <c r="J2753">
        <f>IF(I2753="","",IF(COUNTIF(I$2:I2753,I2753)=1,MAX(J$1:J2752)+1,""))</f>
        <v/>
      </c>
    </row>
    <row r="2754">
      <c r="A2754">
        <f>IFERROR(--SUBSTITUTE(SUBSTITUTE(TRIM(INDEX(INDIRECT("'Выгрузка'!A2754:Z2754"),Настройки!$B$7)),",","."),".",MID(1/2,2,1)),"")</f>
        <v/>
      </c>
      <c r="B2754">
        <f>IFERROR(--SUBSTITUTE(SUBSTITUTE(TRIM(INDEX(INDIRECT("'Выгрузка'!A2754:Z2754"),Настройки!$B$9)),",","."),".",MID(1/2,2,1)),"")</f>
        <v/>
      </c>
      <c r="C2754">
        <f>TRIM(INDEX(INDIRECT("'Выгрузка'!A2754:Z2754"),Настройки!$B$8)&amp;"")</f>
        <v/>
      </c>
      <c r="D2754">
        <f>IFERROR(--SUBSTITUTE(SUBSTITUTE(TRIM(INDEX(INDIRECT("'Выгрузка'!A2754:Z2754"),Настройки!$B$10)),",","."),".",MID(1/2,2,1)),"")</f>
        <v/>
      </c>
      <c r="E2754">
        <f>IFERROR(--SUBSTITUTE(SUBSTITUTE(TRIM(INDEX(INDIRECT("'Выгрузка'!A2754:Z2754"),Настройки!$B$11)),",","."),".",MID(1/2,2,1)),"")</f>
        <v/>
      </c>
      <c r="F2754">
        <f>TRIM(INDEX(INDIRECT("'Выгрузка'!A2754:Z2754"),Настройки!$B$12)&amp;"")</f>
        <v/>
      </c>
      <c r="G2754">
        <f>IF(F2754="",0,IF(TRIM(INDEX(INDIRECT("'Выгрузка'!A2754:Z2754"),Настройки!$B$13)&amp;"")="",1,IFERROR(--SUBSTITUTE(SUBSTITUTE(TRIM(INDEX(INDIRECT("'Выгрузка'!A2754:Z2754"),Настройки!$B$13)),",","."),".",MID(1/2,2,1)),"")))</f>
        <v/>
      </c>
      <c r="H2754">
        <f>IF(F2754="",0,IF(COUNTIF(Настройки!$B$17:$B$26,F2754)&gt;0,1,IF(COUNTIF(Настройки!$C$17:$C$26,F2754)&gt;0,2,IF(COUNTIF(Настройки!$D$17:$D$26,F2754)&gt;0,3,0))))</f>
        <v/>
      </c>
      <c r="I2754">
        <f>IF(AND(ISNUMBER(A2754),ISNUMBER(B2754)),A2754*1000+B2754,"")</f>
        <v/>
      </c>
      <c r="J2754">
        <f>IF(I2754="","",IF(COUNTIF(I$2:I2754,I2754)=1,MAX(J$1:J2753)+1,""))</f>
        <v/>
      </c>
    </row>
    <row r="2755">
      <c r="A2755">
        <f>IFERROR(--SUBSTITUTE(SUBSTITUTE(TRIM(INDEX(INDIRECT("'Выгрузка'!A2755:Z2755"),Настройки!$B$7)),",","."),".",MID(1/2,2,1)),"")</f>
        <v/>
      </c>
      <c r="B2755">
        <f>IFERROR(--SUBSTITUTE(SUBSTITUTE(TRIM(INDEX(INDIRECT("'Выгрузка'!A2755:Z2755"),Настройки!$B$9)),",","."),".",MID(1/2,2,1)),"")</f>
        <v/>
      </c>
      <c r="C2755">
        <f>TRIM(INDEX(INDIRECT("'Выгрузка'!A2755:Z2755"),Настройки!$B$8)&amp;"")</f>
        <v/>
      </c>
      <c r="D2755">
        <f>IFERROR(--SUBSTITUTE(SUBSTITUTE(TRIM(INDEX(INDIRECT("'Выгрузка'!A2755:Z2755"),Настройки!$B$10)),",","."),".",MID(1/2,2,1)),"")</f>
        <v/>
      </c>
      <c r="E2755">
        <f>IFERROR(--SUBSTITUTE(SUBSTITUTE(TRIM(INDEX(INDIRECT("'Выгрузка'!A2755:Z2755"),Настройки!$B$11)),",","."),".",MID(1/2,2,1)),"")</f>
        <v/>
      </c>
      <c r="F2755">
        <f>TRIM(INDEX(INDIRECT("'Выгрузка'!A2755:Z2755"),Настройки!$B$12)&amp;"")</f>
        <v/>
      </c>
      <c r="G2755">
        <f>IF(F2755="",0,IF(TRIM(INDEX(INDIRECT("'Выгрузка'!A2755:Z2755"),Настройки!$B$13)&amp;"")="",1,IFERROR(--SUBSTITUTE(SUBSTITUTE(TRIM(INDEX(INDIRECT("'Выгрузка'!A2755:Z2755"),Настройки!$B$13)),",","."),".",MID(1/2,2,1)),"")))</f>
        <v/>
      </c>
      <c r="H2755">
        <f>IF(F2755="",0,IF(COUNTIF(Настройки!$B$17:$B$26,F2755)&gt;0,1,IF(COUNTIF(Настройки!$C$17:$C$26,F2755)&gt;0,2,IF(COUNTIF(Настройки!$D$17:$D$26,F2755)&gt;0,3,0))))</f>
        <v/>
      </c>
      <c r="I2755">
        <f>IF(AND(ISNUMBER(A2755),ISNUMBER(B2755)),A2755*1000+B2755,"")</f>
        <v/>
      </c>
      <c r="J2755">
        <f>IF(I2755="","",IF(COUNTIF(I$2:I2755,I2755)=1,MAX(J$1:J2754)+1,""))</f>
        <v/>
      </c>
    </row>
    <row r="2756">
      <c r="A2756">
        <f>IFERROR(--SUBSTITUTE(SUBSTITUTE(TRIM(INDEX(INDIRECT("'Выгрузка'!A2756:Z2756"),Настройки!$B$7)),",","."),".",MID(1/2,2,1)),"")</f>
        <v/>
      </c>
      <c r="B2756">
        <f>IFERROR(--SUBSTITUTE(SUBSTITUTE(TRIM(INDEX(INDIRECT("'Выгрузка'!A2756:Z2756"),Настройки!$B$9)),",","."),".",MID(1/2,2,1)),"")</f>
        <v/>
      </c>
      <c r="C2756">
        <f>TRIM(INDEX(INDIRECT("'Выгрузка'!A2756:Z2756"),Настройки!$B$8)&amp;"")</f>
        <v/>
      </c>
      <c r="D2756">
        <f>IFERROR(--SUBSTITUTE(SUBSTITUTE(TRIM(INDEX(INDIRECT("'Выгрузка'!A2756:Z2756"),Настройки!$B$10)),",","."),".",MID(1/2,2,1)),"")</f>
        <v/>
      </c>
      <c r="E2756">
        <f>IFERROR(--SUBSTITUTE(SUBSTITUTE(TRIM(INDEX(INDIRECT("'Выгрузка'!A2756:Z2756"),Настройки!$B$11)),",","."),".",MID(1/2,2,1)),"")</f>
        <v/>
      </c>
      <c r="F2756">
        <f>TRIM(INDEX(INDIRECT("'Выгрузка'!A2756:Z2756"),Настройки!$B$12)&amp;"")</f>
        <v/>
      </c>
      <c r="G2756">
        <f>IF(F2756="",0,IF(TRIM(INDEX(INDIRECT("'Выгрузка'!A2756:Z2756"),Настройки!$B$13)&amp;"")="",1,IFERROR(--SUBSTITUTE(SUBSTITUTE(TRIM(INDEX(INDIRECT("'Выгрузка'!A2756:Z2756"),Настройки!$B$13)),",","."),".",MID(1/2,2,1)),"")))</f>
        <v/>
      </c>
      <c r="H2756">
        <f>IF(F2756="",0,IF(COUNTIF(Настройки!$B$17:$B$26,F2756)&gt;0,1,IF(COUNTIF(Настройки!$C$17:$C$26,F2756)&gt;0,2,IF(COUNTIF(Настройки!$D$17:$D$26,F2756)&gt;0,3,0))))</f>
        <v/>
      </c>
      <c r="I2756">
        <f>IF(AND(ISNUMBER(A2756),ISNUMBER(B2756)),A2756*1000+B2756,"")</f>
        <v/>
      </c>
      <c r="J2756">
        <f>IF(I2756="","",IF(COUNTIF(I$2:I2756,I2756)=1,MAX(J$1:J2755)+1,""))</f>
        <v/>
      </c>
    </row>
    <row r="2757">
      <c r="A2757">
        <f>IFERROR(--SUBSTITUTE(SUBSTITUTE(TRIM(INDEX(INDIRECT("'Выгрузка'!A2757:Z2757"),Настройки!$B$7)),",","."),".",MID(1/2,2,1)),"")</f>
        <v/>
      </c>
      <c r="B2757">
        <f>IFERROR(--SUBSTITUTE(SUBSTITUTE(TRIM(INDEX(INDIRECT("'Выгрузка'!A2757:Z2757"),Настройки!$B$9)),",","."),".",MID(1/2,2,1)),"")</f>
        <v/>
      </c>
      <c r="C2757">
        <f>TRIM(INDEX(INDIRECT("'Выгрузка'!A2757:Z2757"),Настройки!$B$8)&amp;"")</f>
        <v/>
      </c>
      <c r="D2757">
        <f>IFERROR(--SUBSTITUTE(SUBSTITUTE(TRIM(INDEX(INDIRECT("'Выгрузка'!A2757:Z2757"),Настройки!$B$10)),",","."),".",MID(1/2,2,1)),"")</f>
        <v/>
      </c>
      <c r="E2757">
        <f>IFERROR(--SUBSTITUTE(SUBSTITUTE(TRIM(INDEX(INDIRECT("'Выгрузка'!A2757:Z2757"),Настройки!$B$11)),",","."),".",MID(1/2,2,1)),"")</f>
        <v/>
      </c>
      <c r="F2757">
        <f>TRIM(INDEX(INDIRECT("'Выгрузка'!A2757:Z2757"),Настройки!$B$12)&amp;"")</f>
        <v/>
      </c>
      <c r="G2757">
        <f>IF(F2757="",0,IF(TRIM(INDEX(INDIRECT("'Выгрузка'!A2757:Z2757"),Настройки!$B$13)&amp;"")="",1,IFERROR(--SUBSTITUTE(SUBSTITUTE(TRIM(INDEX(INDIRECT("'Выгрузка'!A2757:Z2757"),Настройки!$B$13)),",","."),".",MID(1/2,2,1)),"")))</f>
        <v/>
      </c>
      <c r="H2757">
        <f>IF(F2757="",0,IF(COUNTIF(Настройки!$B$17:$B$26,F2757)&gt;0,1,IF(COUNTIF(Настройки!$C$17:$C$26,F2757)&gt;0,2,IF(COUNTIF(Настройки!$D$17:$D$26,F2757)&gt;0,3,0))))</f>
        <v/>
      </c>
      <c r="I2757">
        <f>IF(AND(ISNUMBER(A2757),ISNUMBER(B2757)),A2757*1000+B2757,"")</f>
        <v/>
      </c>
      <c r="J2757">
        <f>IF(I2757="","",IF(COUNTIF(I$2:I2757,I2757)=1,MAX(J$1:J2756)+1,""))</f>
        <v/>
      </c>
    </row>
    <row r="2758">
      <c r="A2758">
        <f>IFERROR(--SUBSTITUTE(SUBSTITUTE(TRIM(INDEX(INDIRECT("'Выгрузка'!A2758:Z2758"),Настройки!$B$7)),",","."),".",MID(1/2,2,1)),"")</f>
        <v/>
      </c>
      <c r="B2758">
        <f>IFERROR(--SUBSTITUTE(SUBSTITUTE(TRIM(INDEX(INDIRECT("'Выгрузка'!A2758:Z2758"),Настройки!$B$9)),",","."),".",MID(1/2,2,1)),"")</f>
        <v/>
      </c>
      <c r="C2758">
        <f>TRIM(INDEX(INDIRECT("'Выгрузка'!A2758:Z2758"),Настройки!$B$8)&amp;"")</f>
        <v/>
      </c>
      <c r="D2758">
        <f>IFERROR(--SUBSTITUTE(SUBSTITUTE(TRIM(INDEX(INDIRECT("'Выгрузка'!A2758:Z2758"),Настройки!$B$10)),",","."),".",MID(1/2,2,1)),"")</f>
        <v/>
      </c>
      <c r="E2758">
        <f>IFERROR(--SUBSTITUTE(SUBSTITUTE(TRIM(INDEX(INDIRECT("'Выгрузка'!A2758:Z2758"),Настройки!$B$11)),",","."),".",MID(1/2,2,1)),"")</f>
        <v/>
      </c>
      <c r="F2758">
        <f>TRIM(INDEX(INDIRECT("'Выгрузка'!A2758:Z2758"),Настройки!$B$12)&amp;"")</f>
        <v/>
      </c>
      <c r="G2758">
        <f>IF(F2758="",0,IF(TRIM(INDEX(INDIRECT("'Выгрузка'!A2758:Z2758"),Настройки!$B$13)&amp;"")="",1,IFERROR(--SUBSTITUTE(SUBSTITUTE(TRIM(INDEX(INDIRECT("'Выгрузка'!A2758:Z2758"),Настройки!$B$13)),",","."),".",MID(1/2,2,1)),"")))</f>
        <v/>
      </c>
      <c r="H2758">
        <f>IF(F2758="",0,IF(COUNTIF(Настройки!$B$17:$B$26,F2758)&gt;0,1,IF(COUNTIF(Настройки!$C$17:$C$26,F2758)&gt;0,2,IF(COUNTIF(Настройки!$D$17:$D$26,F2758)&gt;0,3,0))))</f>
        <v/>
      </c>
      <c r="I2758">
        <f>IF(AND(ISNUMBER(A2758),ISNUMBER(B2758)),A2758*1000+B2758,"")</f>
        <v/>
      </c>
      <c r="J2758">
        <f>IF(I2758="","",IF(COUNTIF(I$2:I2758,I2758)=1,MAX(J$1:J2757)+1,""))</f>
        <v/>
      </c>
    </row>
    <row r="2759">
      <c r="A2759">
        <f>IFERROR(--SUBSTITUTE(SUBSTITUTE(TRIM(INDEX(INDIRECT("'Выгрузка'!A2759:Z2759"),Настройки!$B$7)),",","."),".",MID(1/2,2,1)),"")</f>
        <v/>
      </c>
      <c r="B2759">
        <f>IFERROR(--SUBSTITUTE(SUBSTITUTE(TRIM(INDEX(INDIRECT("'Выгрузка'!A2759:Z2759"),Настройки!$B$9)),",","."),".",MID(1/2,2,1)),"")</f>
        <v/>
      </c>
      <c r="C2759">
        <f>TRIM(INDEX(INDIRECT("'Выгрузка'!A2759:Z2759"),Настройки!$B$8)&amp;"")</f>
        <v/>
      </c>
      <c r="D2759">
        <f>IFERROR(--SUBSTITUTE(SUBSTITUTE(TRIM(INDEX(INDIRECT("'Выгрузка'!A2759:Z2759"),Настройки!$B$10)),",","."),".",MID(1/2,2,1)),"")</f>
        <v/>
      </c>
      <c r="E2759">
        <f>IFERROR(--SUBSTITUTE(SUBSTITUTE(TRIM(INDEX(INDIRECT("'Выгрузка'!A2759:Z2759"),Настройки!$B$11)),",","."),".",MID(1/2,2,1)),"")</f>
        <v/>
      </c>
      <c r="F2759">
        <f>TRIM(INDEX(INDIRECT("'Выгрузка'!A2759:Z2759"),Настройки!$B$12)&amp;"")</f>
        <v/>
      </c>
      <c r="G2759">
        <f>IF(F2759="",0,IF(TRIM(INDEX(INDIRECT("'Выгрузка'!A2759:Z2759"),Настройки!$B$13)&amp;"")="",1,IFERROR(--SUBSTITUTE(SUBSTITUTE(TRIM(INDEX(INDIRECT("'Выгрузка'!A2759:Z2759"),Настройки!$B$13)),",","."),".",MID(1/2,2,1)),"")))</f>
        <v/>
      </c>
      <c r="H2759">
        <f>IF(F2759="",0,IF(COUNTIF(Настройки!$B$17:$B$26,F2759)&gt;0,1,IF(COUNTIF(Настройки!$C$17:$C$26,F2759)&gt;0,2,IF(COUNTIF(Настройки!$D$17:$D$26,F2759)&gt;0,3,0))))</f>
        <v/>
      </c>
      <c r="I2759">
        <f>IF(AND(ISNUMBER(A2759),ISNUMBER(B2759)),A2759*1000+B2759,"")</f>
        <v/>
      </c>
      <c r="J2759">
        <f>IF(I2759="","",IF(COUNTIF(I$2:I2759,I2759)=1,MAX(J$1:J2758)+1,""))</f>
        <v/>
      </c>
    </row>
    <row r="2760">
      <c r="A2760">
        <f>IFERROR(--SUBSTITUTE(SUBSTITUTE(TRIM(INDEX(INDIRECT("'Выгрузка'!A2760:Z2760"),Настройки!$B$7)),",","."),".",MID(1/2,2,1)),"")</f>
        <v/>
      </c>
      <c r="B2760">
        <f>IFERROR(--SUBSTITUTE(SUBSTITUTE(TRIM(INDEX(INDIRECT("'Выгрузка'!A2760:Z2760"),Настройки!$B$9)),",","."),".",MID(1/2,2,1)),"")</f>
        <v/>
      </c>
      <c r="C2760">
        <f>TRIM(INDEX(INDIRECT("'Выгрузка'!A2760:Z2760"),Настройки!$B$8)&amp;"")</f>
        <v/>
      </c>
      <c r="D2760">
        <f>IFERROR(--SUBSTITUTE(SUBSTITUTE(TRIM(INDEX(INDIRECT("'Выгрузка'!A2760:Z2760"),Настройки!$B$10)),",","."),".",MID(1/2,2,1)),"")</f>
        <v/>
      </c>
      <c r="E2760">
        <f>IFERROR(--SUBSTITUTE(SUBSTITUTE(TRIM(INDEX(INDIRECT("'Выгрузка'!A2760:Z2760"),Настройки!$B$11)),",","."),".",MID(1/2,2,1)),"")</f>
        <v/>
      </c>
      <c r="F2760">
        <f>TRIM(INDEX(INDIRECT("'Выгрузка'!A2760:Z2760"),Настройки!$B$12)&amp;"")</f>
        <v/>
      </c>
      <c r="G2760">
        <f>IF(F2760="",0,IF(TRIM(INDEX(INDIRECT("'Выгрузка'!A2760:Z2760"),Настройки!$B$13)&amp;"")="",1,IFERROR(--SUBSTITUTE(SUBSTITUTE(TRIM(INDEX(INDIRECT("'Выгрузка'!A2760:Z2760"),Настройки!$B$13)),",","."),".",MID(1/2,2,1)),"")))</f>
        <v/>
      </c>
      <c r="H2760">
        <f>IF(F2760="",0,IF(COUNTIF(Настройки!$B$17:$B$26,F2760)&gt;0,1,IF(COUNTIF(Настройки!$C$17:$C$26,F2760)&gt;0,2,IF(COUNTIF(Настройки!$D$17:$D$26,F2760)&gt;0,3,0))))</f>
        <v/>
      </c>
      <c r="I2760">
        <f>IF(AND(ISNUMBER(A2760),ISNUMBER(B2760)),A2760*1000+B2760,"")</f>
        <v/>
      </c>
      <c r="J2760">
        <f>IF(I2760="","",IF(COUNTIF(I$2:I2760,I2760)=1,MAX(J$1:J2759)+1,""))</f>
        <v/>
      </c>
    </row>
    <row r="2761">
      <c r="A2761">
        <f>IFERROR(--SUBSTITUTE(SUBSTITUTE(TRIM(INDEX(INDIRECT("'Выгрузка'!A2761:Z2761"),Настройки!$B$7)),",","."),".",MID(1/2,2,1)),"")</f>
        <v/>
      </c>
      <c r="B2761">
        <f>IFERROR(--SUBSTITUTE(SUBSTITUTE(TRIM(INDEX(INDIRECT("'Выгрузка'!A2761:Z2761"),Настройки!$B$9)),",","."),".",MID(1/2,2,1)),"")</f>
        <v/>
      </c>
      <c r="C2761">
        <f>TRIM(INDEX(INDIRECT("'Выгрузка'!A2761:Z2761"),Настройки!$B$8)&amp;"")</f>
        <v/>
      </c>
      <c r="D2761">
        <f>IFERROR(--SUBSTITUTE(SUBSTITUTE(TRIM(INDEX(INDIRECT("'Выгрузка'!A2761:Z2761"),Настройки!$B$10)),",","."),".",MID(1/2,2,1)),"")</f>
        <v/>
      </c>
      <c r="E2761">
        <f>IFERROR(--SUBSTITUTE(SUBSTITUTE(TRIM(INDEX(INDIRECT("'Выгрузка'!A2761:Z2761"),Настройки!$B$11)),",","."),".",MID(1/2,2,1)),"")</f>
        <v/>
      </c>
      <c r="F2761">
        <f>TRIM(INDEX(INDIRECT("'Выгрузка'!A2761:Z2761"),Настройки!$B$12)&amp;"")</f>
        <v/>
      </c>
      <c r="G2761">
        <f>IF(F2761="",0,IF(TRIM(INDEX(INDIRECT("'Выгрузка'!A2761:Z2761"),Настройки!$B$13)&amp;"")="",1,IFERROR(--SUBSTITUTE(SUBSTITUTE(TRIM(INDEX(INDIRECT("'Выгрузка'!A2761:Z2761"),Настройки!$B$13)),",","."),".",MID(1/2,2,1)),"")))</f>
        <v/>
      </c>
      <c r="H2761">
        <f>IF(F2761="",0,IF(COUNTIF(Настройки!$B$17:$B$26,F2761)&gt;0,1,IF(COUNTIF(Настройки!$C$17:$C$26,F2761)&gt;0,2,IF(COUNTIF(Настройки!$D$17:$D$26,F2761)&gt;0,3,0))))</f>
        <v/>
      </c>
      <c r="I2761">
        <f>IF(AND(ISNUMBER(A2761),ISNUMBER(B2761)),A2761*1000+B2761,"")</f>
        <v/>
      </c>
      <c r="J2761">
        <f>IF(I2761="","",IF(COUNTIF(I$2:I2761,I2761)=1,MAX(J$1:J2760)+1,""))</f>
        <v/>
      </c>
    </row>
    <row r="2762">
      <c r="A2762">
        <f>IFERROR(--SUBSTITUTE(SUBSTITUTE(TRIM(INDEX(INDIRECT("'Выгрузка'!A2762:Z2762"),Настройки!$B$7)),",","."),".",MID(1/2,2,1)),"")</f>
        <v/>
      </c>
      <c r="B2762">
        <f>IFERROR(--SUBSTITUTE(SUBSTITUTE(TRIM(INDEX(INDIRECT("'Выгрузка'!A2762:Z2762"),Настройки!$B$9)),",","."),".",MID(1/2,2,1)),"")</f>
        <v/>
      </c>
      <c r="C2762">
        <f>TRIM(INDEX(INDIRECT("'Выгрузка'!A2762:Z2762"),Настройки!$B$8)&amp;"")</f>
        <v/>
      </c>
      <c r="D2762">
        <f>IFERROR(--SUBSTITUTE(SUBSTITUTE(TRIM(INDEX(INDIRECT("'Выгрузка'!A2762:Z2762"),Настройки!$B$10)),",","."),".",MID(1/2,2,1)),"")</f>
        <v/>
      </c>
      <c r="E2762">
        <f>IFERROR(--SUBSTITUTE(SUBSTITUTE(TRIM(INDEX(INDIRECT("'Выгрузка'!A2762:Z2762"),Настройки!$B$11)),",","."),".",MID(1/2,2,1)),"")</f>
        <v/>
      </c>
      <c r="F2762">
        <f>TRIM(INDEX(INDIRECT("'Выгрузка'!A2762:Z2762"),Настройки!$B$12)&amp;"")</f>
        <v/>
      </c>
      <c r="G2762">
        <f>IF(F2762="",0,IF(TRIM(INDEX(INDIRECT("'Выгрузка'!A2762:Z2762"),Настройки!$B$13)&amp;"")="",1,IFERROR(--SUBSTITUTE(SUBSTITUTE(TRIM(INDEX(INDIRECT("'Выгрузка'!A2762:Z2762"),Настройки!$B$13)),",","."),".",MID(1/2,2,1)),"")))</f>
        <v/>
      </c>
      <c r="H2762">
        <f>IF(F2762="",0,IF(COUNTIF(Настройки!$B$17:$B$26,F2762)&gt;0,1,IF(COUNTIF(Настройки!$C$17:$C$26,F2762)&gt;0,2,IF(COUNTIF(Настройки!$D$17:$D$26,F2762)&gt;0,3,0))))</f>
        <v/>
      </c>
      <c r="I2762">
        <f>IF(AND(ISNUMBER(A2762),ISNUMBER(B2762)),A2762*1000+B2762,"")</f>
        <v/>
      </c>
      <c r="J2762">
        <f>IF(I2762="","",IF(COUNTIF(I$2:I2762,I2762)=1,MAX(J$1:J2761)+1,""))</f>
        <v/>
      </c>
    </row>
    <row r="2763">
      <c r="A2763">
        <f>IFERROR(--SUBSTITUTE(SUBSTITUTE(TRIM(INDEX(INDIRECT("'Выгрузка'!A2763:Z2763"),Настройки!$B$7)),",","."),".",MID(1/2,2,1)),"")</f>
        <v/>
      </c>
      <c r="B2763">
        <f>IFERROR(--SUBSTITUTE(SUBSTITUTE(TRIM(INDEX(INDIRECT("'Выгрузка'!A2763:Z2763"),Настройки!$B$9)),",","."),".",MID(1/2,2,1)),"")</f>
        <v/>
      </c>
      <c r="C2763">
        <f>TRIM(INDEX(INDIRECT("'Выгрузка'!A2763:Z2763"),Настройки!$B$8)&amp;"")</f>
        <v/>
      </c>
      <c r="D2763">
        <f>IFERROR(--SUBSTITUTE(SUBSTITUTE(TRIM(INDEX(INDIRECT("'Выгрузка'!A2763:Z2763"),Настройки!$B$10)),",","."),".",MID(1/2,2,1)),"")</f>
        <v/>
      </c>
      <c r="E2763">
        <f>IFERROR(--SUBSTITUTE(SUBSTITUTE(TRIM(INDEX(INDIRECT("'Выгрузка'!A2763:Z2763"),Настройки!$B$11)),",","."),".",MID(1/2,2,1)),"")</f>
        <v/>
      </c>
      <c r="F2763">
        <f>TRIM(INDEX(INDIRECT("'Выгрузка'!A2763:Z2763"),Настройки!$B$12)&amp;"")</f>
        <v/>
      </c>
      <c r="G2763">
        <f>IF(F2763="",0,IF(TRIM(INDEX(INDIRECT("'Выгрузка'!A2763:Z2763"),Настройки!$B$13)&amp;"")="",1,IFERROR(--SUBSTITUTE(SUBSTITUTE(TRIM(INDEX(INDIRECT("'Выгрузка'!A2763:Z2763"),Настройки!$B$13)),",","."),".",MID(1/2,2,1)),"")))</f>
        <v/>
      </c>
      <c r="H2763">
        <f>IF(F2763="",0,IF(COUNTIF(Настройки!$B$17:$B$26,F2763)&gt;0,1,IF(COUNTIF(Настройки!$C$17:$C$26,F2763)&gt;0,2,IF(COUNTIF(Настройки!$D$17:$D$26,F2763)&gt;0,3,0))))</f>
        <v/>
      </c>
      <c r="I2763">
        <f>IF(AND(ISNUMBER(A2763),ISNUMBER(B2763)),A2763*1000+B2763,"")</f>
        <v/>
      </c>
      <c r="J2763">
        <f>IF(I2763="","",IF(COUNTIF(I$2:I2763,I2763)=1,MAX(J$1:J2762)+1,""))</f>
        <v/>
      </c>
    </row>
    <row r="2764">
      <c r="A2764">
        <f>IFERROR(--SUBSTITUTE(SUBSTITUTE(TRIM(INDEX(INDIRECT("'Выгрузка'!A2764:Z2764"),Настройки!$B$7)),",","."),".",MID(1/2,2,1)),"")</f>
        <v/>
      </c>
      <c r="B2764">
        <f>IFERROR(--SUBSTITUTE(SUBSTITUTE(TRIM(INDEX(INDIRECT("'Выгрузка'!A2764:Z2764"),Настройки!$B$9)),",","."),".",MID(1/2,2,1)),"")</f>
        <v/>
      </c>
      <c r="C2764">
        <f>TRIM(INDEX(INDIRECT("'Выгрузка'!A2764:Z2764"),Настройки!$B$8)&amp;"")</f>
        <v/>
      </c>
      <c r="D2764">
        <f>IFERROR(--SUBSTITUTE(SUBSTITUTE(TRIM(INDEX(INDIRECT("'Выгрузка'!A2764:Z2764"),Настройки!$B$10)),",","."),".",MID(1/2,2,1)),"")</f>
        <v/>
      </c>
      <c r="E2764">
        <f>IFERROR(--SUBSTITUTE(SUBSTITUTE(TRIM(INDEX(INDIRECT("'Выгрузка'!A2764:Z2764"),Настройки!$B$11)),",","."),".",MID(1/2,2,1)),"")</f>
        <v/>
      </c>
      <c r="F2764">
        <f>TRIM(INDEX(INDIRECT("'Выгрузка'!A2764:Z2764"),Настройки!$B$12)&amp;"")</f>
        <v/>
      </c>
      <c r="G2764">
        <f>IF(F2764="",0,IF(TRIM(INDEX(INDIRECT("'Выгрузка'!A2764:Z2764"),Настройки!$B$13)&amp;"")="",1,IFERROR(--SUBSTITUTE(SUBSTITUTE(TRIM(INDEX(INDIRECT("'Выгрузка'!A2764:Z2764"),Настройки!$B$13)),",","."),".",MID(1/2,2,1)),"")))</f>
        <v/>
      </c>
      <c r="H2764">
        <f>IF(F2764="",0,IF(COUNTIF(Настройки!$B$17:$B$26,F2764)&gt;0,1,IF(COUNTIF(Настройки!$C$17:$C$26,F2764)&gt;0,2,IF(COUNTIF(Настройки!$D$17:$D$26,F2764)&gt;0,3,0))))</f>
        <v/>
      </c>
      <c r="I2764">
        <f>IF(AND(ISNUMBER(A2764),ISNUMBER(B2764)),A2764*1000+B2764,"")</f>
        <v/>
      </c>
      <c r="J2764">
        <f>IF(I2764="","",IF(COUNTIF(I$2:I2764,I2764)=1,MAX(J$1:J2763)+1,""))</f>
        <v/>
      </c>
    </row>
    <row r="2765">
      <c r="A2765">
        <f>IFERROR(--SUBSTITUTE(SUBSTITUTE(TRIM(INDEX(INDIRECT("'Выгрузка'!A2765:Z2765"),Настройки!$B$7)),",","."),".",MID(1/2,2,1)),"")</f>
        <v/>
      </c>
      <c r="B2765">
        <f>IFERROR(--SUBSTITUTE(SUBSTITUTE(TRIM(INDEX(INDIRECT("'Выгрузка'!A2765:Z2765"),Настройки!$B$9)),",","."),".",MID(1/2,2,1)),"")</f>
        <v/>
      </c>
      <c r="C2765">
        <f>TRIM(INDEX(INDIRECT("'Выгрузка'!A2765:Z2765"),Настройки!$B$8)&amp;"")</f>
        <v/>
      </c>
      <c r="D2765">
        <f>IFERROR(--SUBSTITUTE(SUBSTITUTE(TRIM(INDEX(INDIRECT("'Выгрузка'!A2765:Z2765"),Настройки!$B$10)),",","."),".",MID(1/2,2,1)),"")</f>
        <v/>
      </c>
      <c r="E2765">
        <f>IFERROR(--SUBSTITUTE(SUBSTITUTE(TRIM(INDEX(INDIRECT("'Выгрузка'!A2765:Z2765"),Настройки!$B$11)),",","."),".",MID(1/2,2,1)),"")</f>
        <v/>
      </c>
      <c r="F2765">
        <f>TRIM(INDEX(INDIRECT("'Выгрузка'!A2765:Z2765"),Настройки!$B$12)&amp;"")</f>
        <v/>
      </c>
      <c r="G2765">
        <f>IF(F2765="",0,IF(TRIM(INDEX(INDIRECT("'Выгрузка'!A2765:Z2765"),Настройки!$B$13)&amp;"")="",1,IFERROR(--SUBSTITUTE(SUBSTITUTE(TRIM(INDEX(INDIRECT("'Выгрузка'!A2765:Z2765"),Настройки!$B$13)),",","."),".",MID(1/2,2,1)),"")))</f>
        <v/>
      </c>
      <c r="H2765">
        <f>IF(F2765="",0,IF(COUNTIF(Настройки!$B$17:$B$26,F2765)&gt;0,1,IF(COUNTIF(Настройки!$C$17:$C$26,F2765)&gt;0,2,IF(COUNTIF(Настройки!$D$17:$D$26,F2765)&gt;0,3,0))))</f>
        <v/>
      </c>
      <c r="I2765">
        <f>IF(AND(ISNUMBER(A2765),ISNUMBER(B2765)),A2765*1000+B2765,"")</f>
        <v/>
      </c>
      <c r="J2765">
        <f>IF(I2765="","",IF(COUNTIF(I$2:I2765,I2765)=1,MAX(J$1:J2764)+1,""))</f>
        <v/>
      </c>
    </row>
    <row r="2766">
      <c r="A2766">
        <f>IFERROR(--SUBSTITUTE(SUBSTITUTE(TRIM(INDEX(INDIRECT("'Выгрузка'!A2766:Z2766"),Настройки!$B$7)),",","."),".",MID(1/2,2,1)),"")</f>
        <v/>
      </c>
      <c r="B2766">
        <f>IFERROR(--SUBSTITUTE(SUBSTITUTE(TRIM(INDEX(INDIRECT("'Выгрузка'!A2766:Z2766"),Настройки!$B$9)),",","."),".",MID(1/2,2,1)),"")</f>
        <v/>
      </c>
      <c r="C2766">
        <f>TRIM(INDEX(INDIRECT("'Выгрузка'!A2766:Z2766"),Настройки!$B$8)&amp;"")</f>
        <v/>
      </c>
      <c r="D2766">
        <f>IFERROR(--SUBSTITUTE(SUBSTITUTE(TRIM(INDEX(INDIRECT("'Выгрузка'!A2766:Z2766"),Настройки!$B$10)),",","."),".",MID(1/2,2,1)),"")</f>
        <v/>
      </c>
      <c r="E2766">
        <f>IFERROR(--SUBSTITUTE(SUBSTITUTE(TRIM(INDEX(INDIRECT("'Выгрузка'!A2766:Z2766"),Настройки!$B$11)),",","."),".",MID(1/2,2,1)),"")</f>
        <v/>
      </c>
      <c r="F2766">
        <f>TRIM(INDEX(INDIRECT("'Выгрузка'!A2766:Z2766"),Настройки!$B$12)&amp;"")</f>
        <v/>
      </c>
      <c r="G2766">
        <f>IF(F2766="",0,IF(TRIM(INDEX(INDIRECT("'Выгрузка'!A2766:Z2766"),Настройки!$B$13)&amp;"")="",1,IFERROR(--SUBSTITUTE(SUBSTITUTE(TRIM(INDEX(INDIRECT("'Выгрузка'!A2766:Z2766"),Настройки!$B$13)),",","."),".",MID(1/2,2,1)),"")))</f>
        <v/>
      </c>
      <c r="H2766">
        <f>IF(F2766="",0,IF(COUNTIF(Настройки!$B$17:$B$26,F2766)&gt;0,1,IF(COUNTIF(Настройки!$C$17:$C$26,F2766)&gt;0,2,IF(COUNTIF(Настройки!$D$17:$D$26,F2766)&gt;0,3,0))))</f>
        <v/>
      </c>
      <c r="I2766">
        <f>IF(AND(ISNUMBER(A2766),ISNUMBER(B2766)),A2766*1000+B2766,"")</f>
        <v/>
      </c>
      <c r="J2766">
        <f>IF(I2766="","",IF(COUNTIF(I$2:I2766,I2766)=1,MAX(J$1:J2765)+1,""))</f>
        <v/>
      </c>
    </row>
    <row r="2767">
      <c r="A2767">
        <f>IFERROR(--SUBSTITUTE(SUBSTITUTE(TRIM(INDEX(INDIRECT("'Выгрузка'!A2767:Z2767"),Настройки!$B$7)),",","."),".",MID(1/2,2,1)),"")</f>
        <v/>
      </c>
      <c r="B2767">
        <f>IFERROR(--SUBSTITUTE(SUBSTITUTE(TRIM(INDEX(INDIRECT("'Выгрузка'!A2767:Z2767"),Настройки!$B$9)),",","."),".",MID(1/2,2,1)),"")</f>
        <v/>
      </c>
      <c r="C2767">
        <f>TRIM(INDEX(INDIRECT("'Выгрузка'!A2767:Z2767"),Настройки!$B$8)&amp;"")</f>
        <v/>
      </c>
      <c r="D2767">
        <f>IFERROR(--SUBSTITUTE(SUBSTITUTE(TRIM(INDEX(INDIRECT("'Выгрузка'!A2767:Z2767"),Настройки!$B$10)),",","."),".",MID(1/2,2,1)),"")</f>
        <v/>
      </c>
      <c r="E2767">
        <f>IFERROR(--SUBSTITUTE(SUBSTITUTE(TRIM(INDEX(INDIRECT("'Выгрузка'!A2767:Z2767"),Настройки!$B$11)),",","."),".",MID(1/2,2,1)),"")</f>
        <v/>
      </c>
      <c r="F2767">
        <f>TRIM(INDEX(INDIRECT("'Выгрузка'!A2767:Z2767"),Настройки!$B$12)&amp;"")</f>
        <v/>
      </c>
      <c r="G2767">
        <f>IF(F2767="",0,IF(TRIM(INDEX(INDIRECT("'Выгрузка'!A2767:Z2767"),Настройки!$B$13)&amp;"")="",1,IFERROR(--SUBSTITUTE(SUBSTITUTE(TRIM(INDEX(INDIRECT("'Выгрузка'!A2767:Z2767"),Настройки!$B$13)),",","."),".",MID(1/2,2,1)),"")))</f>
        <v/>
      </c>
      <c r="H2767">
        <f>IF(F2767="",0,IF(COUNTIF(Настройки!$B$17:$B$26,F2767)&gt;0,1,IF(COUNTIF(Настройки!$C$17:$C$26,F2767)&gt;0,2,IF(COUNTIF(Настройки!$D$17:$D$26,F2767)&gt;0,3,0))))</f>
        <v/>
      </c>
      <c r="I2767">
        <f>IF(AND(ISNUMBER(A2767),ISNUMBER(B2767)),A2767*1000+B2767,"")</f>
        <v/>
      </c>
      <c r="J2767">
        <f>IF(I2767="","",IF(COUNTIF(I$2:I2767,I2767)=1,MAX(J$1:J2766)+1,""))</f>
        <v/>
      </c>
    </row>
    <row r="2768">
      <c r="A2768">
        <f>IFERROR(--SUBSTITUTE(SUBSTITUTE(TRIM(INDEX(INDIRECT("'Выгрузка'!A2768:Z2768"),Настройки!$B$7)),",","."),".",MID(1/2,2,1)),"")</f>
        <v/>
      </c>
      <c r="B2768">
        <f>IFERROR(--SUBSTITUTE(SUBSTITUTE(TRIM(INDEX(INDIRECT("'Выгрузка'!A2768:Z2768"),Настройки!$B$9)),",","."),".",MID(1/2,2,1)),"")</f>
        <v/>
      </c>
      <c r="C2768">
        <f>TRIM(INDEX(INDIRECT("'Выгрузка'!A2768:Z2768"),Настройки!$B$8)&amp;"")</f>
        <v/>
      </c>
      <c r="D2768">
        <f>IFERROR(--SUBSTITUTE(SUBSTITUTE(TRIM(INDEX(INDIRECT("'Выгрузка'!A2768:Z2768"),Настройки!$B$10)),",","."),".",MID(1/2,2,1)),"")</f>
        <v/>
      </c>
      <c r="E2768">
        <f>IFERROR(--SUBSTITUTE(SUBSTITUTE(TRIM(INDEX(INDIRECT("'Выгрузка'!A2768:Z2768"),Настройки!$B$11)),",","."),".",MID(1/2,2,1)),"")</f>
        <v/>
      </c>
      <c r="F2768">
        <f>TRIM(INDEX(INDIRECT("'Выгрузка'!A2768:Z2768"),Настройки!$B$12)&amp;"")</f>
        <v/>
      </c>
      <c r="G2768">
        <f>IF(F2768="",0,IF(TRIM(INDEX(INDIRECT("'Выгрузка'!A2768:Z2768"),Настройки!$B$13)&amp;"")="",1,IFERROR(--SUBSTITUTE(SUBSTITUTE(TRIM(INDEX(INDIRECT("'Выгрузка'!A2768:Z2768"),Настройки!$B$13)),",","."),".",MID(1/2,2,1)),"")))</f>
        <v/>
      </c>
      <c r="H2768">
        <f>IF(F2768="",0,IF(COUNTIF(Настройки!$B$17:$B$26,F2768)&gt;0,1,IF(COUNTIF(Настройки!$C$17:$C$26,F2768)&gt;0,2,IF(COUNTIF(Настройки!$D$17:$D$26,F2768)&gt;0,3,0))))</f>
        <v/>
      </c>
      <c r="I2768">
        <f>IF(AND(ISNUMBER(A2768),ISNUMBER(B2768)),A2768*1000+B2768,"")</f>
        <v/>
      </c>
      <c r="J2768">
        <f>IF(I2768="","",IF(COUNTIF(I$2:I2768,I2768)=1,MAX(J$1:J2767)+1,""))</f>
        <v/>
      </c>
    </row>
    <row r="2769">
      <c r="A2769">
        <f>IFERROR(--SUBSTITUTE(SUBSTITUTE(TRIM(INDEX(INDIRECT("'Выгрузка'!A2769:Z2769"),Настройки!$B$7)),",","."),".",MID(1/2,2,1)),"")</f>
        <v/>
      </c>
      <c r="B2769">
        <f>IFERROR(--SUBSTITUTE(SUBSTITUTE(TRIM(INDEX(INDIRECT("'Выгрузка'!A2769:Z2769"),Настройки!$B$9)),",","."),".",MID(1/2,2,1)),"")</f>
        <v/>
      </c>
      <c r="C2769">
        <f>TRIM(INDEX(INDIRECT("'Выгрузка'!A2769:Z2769"),Настройки!$B$8)&amp;"")</f>
        <v/>
      </c>
      <c r="D2769">
        <f>IFERROR(--SUBSTITUTE(SUBSTITUTE(TRIM(INDEX(INDIRECT("'Выгрузка'!A2769:Z2769"),Настройки!$B$10)),",","."),".",MID(1/2,2,1)),"")</f>
        <v/>
      </c>
      <c r="E2769">
        <f>IFERROR(--SUBSTITUTE(SUBSTITUTE(TRIM(INDEX(INDIRECT("'Выгрузка'!A2769:Z2769"),Настройки!$B$11)),",","."),".",MID(1/2,2,1)),"")</f>
        <v/>
      </c>
      <c r="F2769">
        <f>TRIM(INDEX(INDIRECT("'Выгрузка'!A2769:Z2769"),Настройки!$B$12)&amp;"")</f>
        <v/>
      </c>
      <c r="G2769">
        <f>IF(F2769="",0,IF(TRIM(INDEX(INDIRECT("'Выгрузка'!A2769:Z2769"),Настройки!$B$13)&amp;"")="",1,IFERROR(--SUBSTITUTE(SUBSTITUTE(TRIM(INDEX(INDIRECT("'Выгрузка'!A2769:Z2769"),Настройки!$B$13)),",","."),".",MID(1/2,2,1)),"")))</f>
        <v/>
      </c>
      <c r="H2769">
        <f>IF(F2769="",0,IF(COUNTIF(Настройки!$B$17:$B$26,F2769)&gt;0,1,IF(COUNTIF(Настройки!$C$17:$C$26,F2769)&gt;0,2,IF(COUNTIF(Настройки!$D$17:$D$26,F2769)&gt;0,3,0))))</f>
        <v/>
      </c>
      <c r="I2769">
        <f>IF(AND(ISNUMBER(A2769),ISNUMBER(B2769)),A2769*1000+B2769,"")</f>
        <v/>
      </c>
      <c r="J2769">
        <f>IF(I2769="","",IF(COUNTIF(I$2:I2769,I2769)=1,MAX(J$1:J2768)+1,""))</f>
        <v/>
      </c>
    </row>
    <row r="2770">
      <c r="A2770">
        <f>IFERROR(--SUBSTITUTE(SUBSTITUTE(TRIM(INDEX(INDIRECT("'Выгрузка'!A2770:Z2770"),Настройки!$B$7)),",","."),".",MID(1/2,2,1)),"")</f>
        <v/>
      </c>
      <c r="B2770">
        <f>IFERROR(--SUBSTITUTE(SUBSTITUTE(TRIM(INDEX(INDIRECT("'Выгрузка'!A2770:Z2770"),Настройки!$B$9)),",","."),".",MID(1/2,2,1)),"")</f>
        <v/>
      </c>
      <c r="C2770">
        <f>TRIM(INDEX(INDIRECT("'Выгрузка'!A2770:Z2770"),Настройки!$B$8)&amp;"")</f>
        <v/>
      </c>
      <c r="D2770">
        <f>IFERROR(--SUBSTITUTE(SUBSTITUTE(TRIM(INDEX(INDIRECT("'Выгрузка'!A2770:Z2770"),Настройки!$B$10)),",","."),".",MID(1/2,2,1)),"")</f>
        <v/>
      </c>
      <c r="E2770">
        <f>IFERROR(--SUBSTITUTE(SUBSTITUTE(TRIM(INDEX(INDIRECT("'Выгрузка'!A2770:Z2770"),Настройки!$B$11)),",","."),".",MID(1/2,2,1)),"")</f>
        <v/>
      </c>
      <c r="F2770">
        <f>TRIM(INDEX(INDIRECT("'Выгрузка'!A2770:Z2770"),Настройки!$B$12)&amp;"")</f>
        <v/>
      </c>
      <c r="G2770">
        <f>IF(F2770="",0,IF(TRIM(INDEX(INDIRECT("'Выгрузка'!A2770:Z2770"),Настройки!$B$13)&amp;"")="",1,IFERROR(--SUBSTITUTE(SUBSTITUTE(TRIM(INDEX(INDIRECT("'Выгрузка'!A2770:Z2770"),Настройки!$B$13)),",","."),".",MID(1/2,2,1)),"")))</f>
        <v/>
      </c>
      <c r="H2770">
        <f>IF(F2770="",0,IF(COUNTIF(Настройки!$B$17:$B$26,F2770)&gt;0,1,IF(COUNTIF(Настройки!$C$17:$C$26,F2770)&gt;0,2,IF(COUNTIF(Настройки!$D$17:$D$26,F2770)&gt;0,3,0))))</f>
        <v/>
      </c>
      <c r="I2770">
        <f>IF(AND(ISNUMBER(A2770),ISNUMBER(B2770)),A2770*1000+B2770,"")</f>
        <v/>
      </c>
      <c r="J2770">
        <f>IF(I2770="","",IF(COUNTIF(I$2:I2770,I2770)=1,MAX(J$1:J2769)+1,""))</f>
        <v/>
      </c>
    </row>
    <row r="2771">
      <c r="A2771">
        <f>IFERROR(--SUBSTITUTE(SUBSTITUTE(TRIM(INDEX(INDIRECT("'Выгрузка'!A2771:Z2771"),Настройки!$B$7)),",","."),".",MID(1/2,2,1)),"")</f>
        <v/>
      </c>
      <c r="B2771">
        <f>IFERROR(--SUBSTITUTE(SUBSTITUTE(TRIM(INDEX(INDIRECT("'Выгрузка'!A2771:Z2771"),Настройки!$B$9)),",","."),".",MID(1/2,2,1)),"")</f>
        <v/>
      </c>
      <c r="C2771">
        <f>TRIM(INDEX(INDIRECT("'Выгрузка'!A2771:Z2771"),Настройки!$B$8)&amp;"")</f>
        <v/>
      </c>
      <c r="D2771">
        <f>IFERROR(--SUBSTITUTE(SUBSTITUTE(TRIM(INDEX(INDIRECT("'Выгрузка'!A2771:Z2771"),Настройки!$B$10)),",","."),".",MID(1/2,2,1)),"")</f>
        <v/>
      </c>
      <c r="E2771">
        <f>IFERROR(--SUBSTITUTE(SUBSTITUTE(TRIM(INDEX(INDIRECT("'Выгрузка'!A2771:Z2771"),Настройки!$B$11)),",","."),".",MID(1/2,2,1)),"")</f>
        <v/>
      </c>
      <c r="F2771">
        <f>TRIM(INDEX(INDIRECT("'Выгрузка'!A2771:Z2771"),Настройки!$B$12)&amp;"")</f>
        <v/>
      </c>
      <c r="G2771">
        <f>IF(F2771="",0,IF(TRIM(INDEX(INDIRECT("'Выгрузка'!A2771:Z2771"),Настройки!$B$13)&amp;"")="",1,IFERROR(--SUBSTITUTE(SUBSTITUTE(TRIM(INDEX(INDIRECT("'Выгрузка'!A2771:Z2771"),Настройки!$B$13)),",","."),".",MID(1/2,2,1)),"")))</f>
        <v/>
      </c>
      <c r="H2771">
        <f>IF(F2771="",0,IF(COUNTIF(Настройки!$B$17:$B$26,F2771)&gt;0,1,IF(COUNTIF(Настройки!$C$17:$C$26,F2771)&gt;0,2,IF(COUNTIF(Настройки!$D$17:$D$26,F2771)&gt;0,3,0))))</f>
        <v/>
      </c>
      <c r="I2771">
        <f>IF(AND(ISNUMBER(A2771),ISNUMBER(B2771)),A2771*1000+B2771,"")</f>
        <v/>
      </c>
      <c r="J2771">
        <f>IF(I2771="","",IF(COUNTIF(I$2:I2771,I2771)=1,MAX(J$1:J2770)+1,""))</f>
        <v/>
      </c>
    </row>
    <row r="2772">
      <c r="A2772">
        <f>IFERROR(--SUBSTITUTE(SUBSTITUTE(TRIM(INDEX(INDIRECT("'Выгрузка'!A2772:Z2772"),Настройки!$B$7)),",","."),".",MID(1/2,2,1)),"")</f>
        <v/>
      </c>
      <c r="B2772">
        <f>IFERROR(--SUBSTITUTE(SUBSTITUTE(TRIM(INDEX(INDIRECT("'Выгрузка'!A2772:Z2772"),Настройки!$B$9)),",","."),".",MID(1/2,2,1)),"")</f>
        <v/>
      </c>
      <c r="C2772">
        <f>TRIM(INDEX(INDIRECT("'Выгрузка'!A2772:Z2772"),Настройки!$B$8)&amp;"")</f>
        <v/>
      </c>
      <c r="D2772">
        <f>IFERROR(--SUBSTITUTE(SUBSTITUTE(TRIM(INDEX(INDIRECT("'Выгрузка'!A2772:Z2772"),Настройки!$B$10)),",","."),".",MID(1/2,2,1)),"")</f>
        <v/>
      </c>
      <c r="E2772">
        <f>IFERROR(--SUBSTITUTE(SUBSTITUTE(TRIM(INDEX(INDIRECT("'Выгрузка'!A2772:Z2772"),Настройки!$B$11)),",","."),".",MID(1/2,2,1)),"")</f>
        <v/>
      </c>
      <c r="F2772">
        <f>TRIM(INDEX(INDIRECT("'Выгрузка'!A2772:Z2772"),Настройки!$B$12)&amp;"")</f>
        <v/>
      </c>
      <c r="G2772">
        <f>IF(F2772="",0,IF(TRIM(INDEX(INDIRECT("'Выгрузка'!A2772:Z2772"),Настройки!$B$13)&amp;"")="",1,IFERROR(--SUBSTITUTE(SUBSTITUTE(TRIM(INDEX(INDIRECT("'Выгрузка'!A2772:Z2772"),Настройки!$B$13)),",","."),".",MID(1/2,2,1)),"")))</f>
        <v/>
      </c>
      <c r="H2772">
        <f>IF(F2772="",0,IF(COUNTIF(Настройки!$B$17:$B$26,F2772)&gt;0,1,IF(COUNTIF(Настройки!$C$17:$C$26,F2772)&gt;0,2,IF(COUNTIF(Настройки!$D$17:$D$26,F2772)&gt;0,3,0))))</f>
        <v/>
      </c>
      <c r="I2772">
        <f>IF(AND(ISNUMBER(A2772),ISNUMBER(B2772)),A2772*1000+B2772,"")</f>
        <v/>
      </c>
      <c r="J2772">
        <f>IF(I2772="","",IF(COUNTIF(I$2:I2772,I2772)=1,MAX(J$1:J2771)+1,""))</f>
        <v/>
      </c>
    </row>
    <row r="2773">
      <c r="A2773">
        <f>IFERROR(--SUBSTITUTE(SUBSTITUTE(TRIM(INDEX(INDIRECT("'Выгрузка'!A2773:Z2773"),Настройки!$B$7)),",","."),".",MID(1/2,2,1)),"")</f>
        <v/>
      </c>
      <c r="B2773">
        <f>IFERROR(--SUBSTITUTE(SUBSTITUTE(TRIM(INDEX(INDIRECT("'Выгрузка'!A2773:Z2773"),Настройки!$B$9)),",","."),".",MID(1/2,2,1)),"")</f>
        <v/>
      </c>
      <c r="C2773">
        <f>TRIM(INDEX(INDIRECT("'Выгрузка'!A2773:Z2773"),Настройки!$B$8)&amp;"")</f>
        <v/>
      </c>
      <c r="D2773">
        <f>IFERROR(--SUBSTITUTE(SUBSTITUTE(TRIM(INDEX(INDIRECT("'Выгрузка'!A2773:Z2773"),Настройки!$B$10)),",","."),".",MID(1/2,2,1)),"")</f>
        <v/>
      </c>
      <c r="E2773">
        <f>IFERROR(--SUBSTITUTE(SUBSTITUTE(TRIM(INDEX(INDIRECT("'Выгрузка'!A2773:Z2773"),Настройки!$B$11)),",","."),".",MID(1/2,2,1)),"")</f>
        <v/>
      </c>
      <c r="F2773">
        <f>TRIM(INDEX(INDIRECT("'Выгрузка'!A2773:Z2773"),Настройки!$B$12)&amp;"")</f>
        <v/>
      </c>
      <c r="G2773">
        <f>IF(F2773="",0,IF(TRIM(INDEX(INDIRECT("'Выгрузка'!A2773:Z2773"),Настройки!$B$13)&amp;"")="",1,IFERROR(--SUBSTITUTE(SUBSTITUTE(TRIM(INDEX(INDIRECT("'Выгрузка'!A2773:Z2773"),Настройки!$B$13)),",","."),".",MID(1/2,2,1)),"")))</f>
        <v/>
      </c>
      <c r="H2773">
        <f>IF(F2773="",0,IF(COUNTIF(Настройки!$B$17:$B$26,F2773)&gt;0,1,IF(COUNTIF(Настройки!$C$17:$C$26,F2773)&gt;0,2,IF(COUNTIF(Настройки!$D$17:$D$26,F2773)&gt;0,3,0))))</f>
        <v/>
      </c>
      <c r="I2773">
        <f>IF(AND(ISNUMBER(A2773),ISNUMBER(B2773)),A2773*1000+B2773,"")</f>
        <v/>
      </c>
      <c r="J2773">
        <f>IF(I2773="","",IF(COUNTIF(I$2:I2773,I2773)=1,MAX(J$1:J2772)+1,""))</f>
        <v/>
      </c>
    </row>
    <row r="2774">
      <c r="A2774">
        <f>IFERROR(--SUBSTITUTE(SUBSTITUTE(TRIM(INDEX(INDIRECT("'Выгрузка'!A2774:Z2774"),Настройки!$B$7)),",","."),".",MID(1/2,2,1)),"")</f>
        <v/>
      </c>
      <c r="B2774">
        <f>IFERROR(--SUBSTITUTE(SUBSTITUTE(TRIM(INDEX(INDIRECT("'Выгрузка'!A2774:Z2774"),Настройки!$B$9)),",","."),".",MID(1/2,2,1)),"")</f>
        <v/>
      </c>
      <c r="C2774">
        <f>TRIM(INDEX(INDIRECT("'Выгрузка'!A2774:Z2774"),Настройки!$B$8)&amp;"")</f>
        <v/>
      </c>
      <c r="D2774">
        <f>IFERROR(--SUBSTITUTE(SUBSTITUTE(TRIM(INDEX(INDIRECT("'Выгрузка'!A2774:Z2774"),Настройки!$B$10)),",","."),".",MID(1/2,2,1)),"")</f>
        <v/>
      </c>
      <c r="E2774">
        <f>IFERROR(--SUBSTITUTE(SUBSTITUTE(TRIM(INDEX(INDIRECT("'Выгрузка'!A2774:Z2774"),Настройки!$B$11)),",","."),".",MID(1/2,2,1)),"")</f>
        <v/>
      </c>
      <c r="F2774">
        <f>TRIM(INDEX(INDIRECT("'Выгрузка'!A2774:Z2774"),Настройки!$B$12)&amp;"")</f>
        <v/>
      </c>
      <c r="G2774">
        <f>IF(F2774="",0,IF(TRIM(INDEX(INDIRECT("'Выгрузка'!A2774:Z2774"),Настройки!$B$13)&amp;"")="",1,IFERROR(--SUBSTITUTE(SUBSTITUTE(TRIM(INDEX(INDIRECT("'Выгрузка'!A2774:Z2774"),Настройки!$B$13)),",","."),".",MID(1/2,2,1)),"")))</f>
        <v/>
      </c>
      <c r="H2774">
        <f>IF(F2774="",0,IF(COUNTIF(Настройки!$B$17:$B$26,F2774)&gt;0,1,IF(COUNTIF(Настройки!$C$17:$C$26,F2774)&gt;0,2,IF(COUNTIF(Настройки!$D$17:$D$26,F2774)&gt;0,3,0))))</f>
        <v/>
      </c>
      <c r="I2774">
        <f>IF(AND(ISNUMBER(A2774),ISNUMBER(B2774)),A2774*1000+B2774,"")</f>
        <v/>
      </c>
      <c r="J2774">
        <f>IF(I2774="","",IF(COUNTIF(I$2:I2774,I2774)=1,MAX(J$1:J2773)+1,""))</f>
        <v/>
      </c>
    </row>
    <row r="2775">
      <c r="A2775">
        <f>IFERROR(--SUBSTITUTE(SUBSTITUTE(TRIM(INDEX(INDIRECT("'Выгрузка'!A2775:Z2775"),Настройки!$B$7)),",","."),".",MID(1/2,2,1)),"")</f>
        <v/>
      </c>
      <c r="B2775">
        <f>IFERROR(--SUBSTITUTE(SUBSTITUTE(TRIM(INDEX(INDIRECT("'Выгрузка'!A2775:Z2775"),Настройки!$B$9)),",","."),".",MID(1/2,2,1)),"")</f>
        <v/>
      </c>
      <c r="C2775">
        <f>TRIM(INDEX(INDIRECT("'Выгрузка'!A2775:Z2775"),Настройки!$B$8)&amp;"")</f>
        <v/>
      </c>
      <c r="D2775">
        <f>IFERROR(--SUBSTITUTE(SUBSTITUTE(TRIM(INDEX(INDIRECT("'Выгрузка'!A2775:Z2775"),Настройки!$B$10)),",","."),".",MID(1/2,2,1)),"")</f>
        <v/>
      </c>
      <c r="E2775">
        <f>IFERROR(--SUBSTITUTE(SUBSTITUTE(TRIM(INDEX(INDIRECT("'Выгрузка'!A2775:Z2775"),Настройки!$B$11)),",","."),".",MID(1/2,2,1)),"")</f>
        <v/>
      </c>
      <c r="F2775">
        <f>TRIM(INDEX(INDIRECT("'Выгрузка'!A2775:Z2775"),Настройки!$B$12)&amp;"")</f>
        <v/>
      </c>
      <c r="G2775">
        <f>IF(F2775="",0,IF(TRIM(INDEX(INDIRECT("'Выгрузка'!A2775:Z2775"),Настройки!$B$13)&amp;"")="",1,IFERROR(--SUBSTITUTE(SUBSTITUTE(TRIM(INDEX(INDIRECT("'Выгрузка'!A2775:Z2775"),Настройки!$B$13)),",","."),".",MID(1/2,2,1)),"")))</f>
        <v/>
      </c>
      <c r="H2775">
        <f>IF(F2775="",0,IF(COUNTIF(Настройки!$B$17:$B$26,F2775)&gt;0,1,IF(COUNTIF(Настройки!$C$17:$C$26,F2775)&gt;0,2,IF(COUNTIF(Настройки!$D$17:$D$26,F2775)&gt;0,3,0))))</f>
        <v/>
      </c>
      <c r="I2775">
        <f>IF(AND(ISNUMBER(A2775),ISNUMBER(B2775)),A2775*1000+B2775,"")</f>
        <v/>
      </c>
      <c r="J2775">
        <f>IF(I2775="","",IF(COUNTIF(I$2:I2775,I2775)=1,MAX(J$1:J2774)+1,""))</f>
        <v/>
      </c>
    </row>
    <row r="2776">
      <c r="A2776">
        <f>IFERROR(--SUBSTITUTE(SUBSTITUTE(TRIM(INDEX(INDIRECT("'Выгрузка'!A2776:Z2776"),Настройки!$B$7)),",","."),".",MID(1/2,2,1)),"")</f>
        <v/>
      </c>
      <c r="B2776">
        <f>IFERROR(--SUBSTITUTE(SUBSTITUTE(TRIM(INDEX(INDIRECT("'Выгрузка'!A2776:Z2776"),Настройки!$B$9)),",","."),".",MID(1/2,2,1)),"")</f>
        <v/>
      </c>
      <c r="C2776">
        <f>TRIM(INDEX(INDIRECT("'Выгрузка'!A2776:Z2776"),Настройки!$B$8)&amp;"")</f>
        <v/>
      </c>
      <c r="D2776">
        <f>IFERROR(--SUBSTITUTE(SUBSTITUTE(TRIM(INDEX(INDIRECT("'Выгрузка'!A2776:Z2776"),Настройки!$B$10)),",","."),".",MID(1/2,2,1)),"")</f>
        <v/>
      </c>
      <c r="E2776">
        <f>IFERROR(--SUBSTITUTE(SUBSTITUTE(TRIM(INDEX(INDIRECT("'Выгрузка'!A2776:Z2776"),Настройки!$B$11)),",","."),".",MID(1/2,2,1)),"")</f>
        <v/>
      </c>
      <c r="F2776">
        <f>TRIM(INDEX(INDIRECT("'Выгрузка'!A2776:Z2776"),Настройки!$B$12)&amp;"")</f>
        <v/>
      </c>
      <c r="G2776">
        <f>IF(F2776="",0,IF(TRIM(INDEX(INDIRECT("'Выгрузка'!A2776:Z2776"),Настройки!$B$13)&amp;"")="",1,IFERROR(--SUBSTITUTE(SUBSTITUTE(TRIM(INDEX(INDIRECT("'Выгрузка'!A2776:Z2776"),Настройки!$B$13)),",","."),".",MID(1/2,2,1)),"")))</f>
        <v/>
      </c>
      <c r="H2776">
        <f>IF(F2776="",0,IF(COUNTIF(Настройки!$B$17:$B$26,F2776)&gt;0,1,IF(COUNTIF(Настройки!$C$17:$C$26,F2776)&gt;0,2,IF(COUNTIF(Настройки!$D$17:$D$26,F2776)&gt;0,3,0))))</f>
        <v/>
      </c>
      <c r="I2776">
        <f>IF(AND(ISNUMBER(A2776),ISNUMBER(B2776)),A2776*1000+B2776,"")</f>
        <v/>
      </c>
      <c r="J2776">
        <f>IF(I2776="","",IF(COUNTIF(I$2:I2776,I2776)=1,MAX(J$1:J2775)+1,""))</f>
        <v/>
      </c>
    </row>
    <row r="2777">
      <c r="A2777">
        <f>IFERROR(--SUBSTITUTE(SUBSTITUTE(TRIM(INDEX(INDIRECT("'Выгрузка'!A2777:Z2777"),Настройки!$B$7)),",","."),".",MID(1/2,2,1)),"")</f>
        <v/>
      </c>
      <c r="B2777">
        <f>IFERROR(--SUBSTITUTE(SUBSTITUTE(TRIM(INDEX(INDIRECT("'Выгрузка'!A2777:Z2777"),Настройки!$B$9)),",","."),".",MID(1/2,2,1)),"")</f>
        <v/>
      </c>
      <c r="C2777">
        <f>TRIM(INDEX(INDIRECT("'Выгрузка'!A2777:Z2777"),Настройки!$B$8)&amp;"")</f>
        <v/>
      </c>
      <c r="D2777">
        <f>IFERROR(--SUBSTITUTE(SUBSTITUTE(TRIM(INDEX(INDIRECT("'Выгрузка'!A2777:Z2777"),Настройки!$B$10)),",","."),".",MID(1/2,2,1)),"")</f>
        <v/>
      </c>
      <c r="E2777">
        <f>IFERROR(--SUBSTITUTE(SUBSTITUTE(TRIM(INDEX(INDIRECT("'Выгрузка'!A2777:Z2777"),Настройки!$B$11)),",","."),".",MID(1/2,2,1)),"")</f>
        <v/>
      </c>
      <c r="F2777">
        <f>TRIM(INDEX(INDIRECT("'Выгрузка'!A2777:Z2777"),Настройки!$B$12)&amp;"")</f>
        <v/>
      </c>
      <c r="G2777">
        <f>IF(F2777="",0,IF(TRIM(INDEX(INDIRECT("'Выгрузка'!A2777:Z2777"),Настройки!$B$13)&amp;"")="",1,IFERROR(--SUBSTITUTE(SUBSTITUTE(TRIM(INDEX(INDIRECT("'Выгрузка'!A2777:Z2777"),Настройки!$B$13)),",","."),".",MID(1/2,2,1)),"")))</f>
        <v/>
      </c>
      <c r="H2777">
        <f>IF(F2777="",0,IF(COUNTIF(Настройки!$B$17:$B$26,F2777)&gt;0,1,IF(COUNTIF(Настройки!$C$17:$C$26,F2777)&gt;0,2,IF(COUNTIF(Настройки!$D$17:$D$26,F2777)&gt;0,3,0))))</f>
        <v/>
      </c>
      <c r="I2777">
        <f>IF(AND(ISNUMBER(A2777),ISNUMBER(B2777)),A2777*1000+B2777,"")</f>
        <v/>
      </c>
      <c r="J2777">
        <f>IF(I2777="","",IF(COUNTIF(I$2:I2777,I2777)=1,MAX(J$1:J2776)+1,""))</f>
        <v/>
      </c>
    </row>
    <row r="2778">
      <c r="A2778">
        <f>IFERROR(--SUBSTITUTE(SUBSTITUTE(TRIM(INDEX(INDIRECT("'Выгрузка'!A2778:Z2778"),Настройки!$B$7)),",","."),".",MID(1/2,2,1)),"")</f>
        <v/>
      </c>
      <c r="B2778">
        <f>IFERROR(--SUBSTITUTE(SUBSTITUTE(TRIM(INDEX(INDIRECT("'Выгрузка'!A2778:Z2778"),Настройки!$B$9)),",","."),".",MID(1/2,2,1)),"")</f>
        <v/>
      </c>
      <c r="C2778">
        <f>TRIM(INDEX(INDIRECT("'Выгрузка'!A2778:Z2778"),Настройки!$B$8)&amp;"")</f>
        <v/>
      </c>
      <c r="D2778">
        <f>IFERROR(--SUBSTITUTE(SUBSTITUTE(TRIM(INDEX(INDIRECT("'Выгрузка'!A2778:Z2778"),Настройки!$B$10)),",","."),".",MID(1/2,2,1)),"")</f>
        <v/>
      </c>
      <c r="E2778">
        <f>IFERROR(--SUBSTITUTE(SUBSTITUTE(TRIM(INDEX(INDIRECT("'Выгрузка'!A2778:Z2778"),Настройки!$B$11)),",","."),".",MID(1/2,2,1)),"")</f>
        <v/>
      </c>
      <c r="F2778">
        <f>TRIM(INDEX(INDIRECT("'Выгрузка'!A2778:Z2778"),Настройки!$B$12)&amp;"")</f>
        <v/>
      </c>
      <c r="G2778">
        <f>IF(F2778="",0,IF(TRIM(INDEX(INDIRECT("'Выгрузка'!A2778:Z2778"),Настройки!$B$13)&amp;"")="",1,IFERROR(--SUBSTITUTE(SUBSTITUTE(TRIM(INDEX(INDIRECT("'Выгрузка'!A2778:Z2778"),Настройки!$B$13)),",","."),".",MID(1/2,2,1)),"")))</f>
        <v/>
      </c>
      <c r="H2778">
        <f>IF(F2778="",0,IF(COUNTIF(Настройки!$B$17:$B$26,F2778)&gt;0,1,IF(COUNTIF(Настройки!$C$17:$C$26,F2778)&gt;0,2,IF(COUNTIF(Настройки!$D$17:$D$26,F2778)&gt;0,3,0))))</f>
        <v/>
      </c>
      <c r="I2778">
        <f>IF(AND(ISNUMBER(A2778),ISNUMBER(B2778)),A2778*1000+B2778,"")</f>
        <v/>
      </c>
      <c r="J2778">
        <f>IF(I2778="","",IF(COUNTIF(I$2:I2778,I2778)=1,MAX(J$1:J2777)+1,""))</f>
        <v/>
      </c>
    </row>
    <row r="2779">
      <c r="A2779">
        <f>IFERROR(--SUBSTITUTE(SUBSTITUTE(TRIM(INDEX(INDIRECT("'Выгрузка'!A2779:Z2779"),Настройки!$B$7)),",","."),".",MID(1/2,2,1)),"")</f>
        <v/>
      </c>
      <c r="B2779">
        <f>IFERROR(--SUBSTITUTE(SUBSTITUTE(TRIM(INDEX(INDIRECT("'Выгрузка'!A2779:Z2779"),Настройки!$B$9)),",","."),".",MID(1/2,2,1)),"")</f>
        <v/>
      </c>
      <c r="C2779">
        <f>TRIM(INDEX(INDIRECT("'Выгрузка'!A2779:Z2779"),Настройки!$B$8)&amp;"")</f>
        <v/>
      </c>
      <c r="D2779">
        <f>IFERROR(--SUBSTITUTE(SUBSTITUTE(TRIM(INDEX(INDIRECT("'Выгрузка'!A2779:Z2779"),Настройки!$B$10)),",","."),".",MID(1/2,2,1)),"")</f>
        <v/>
      </c>
      <c r="E2779">
        <f>IFERROR(--SUBSTITUTE(SUBSTITUTE(TRIM(INDEX(INDIRECT("'Выгрузка'!A2779:Z2779"),Настройки!$B$11)),",","."),".",MID(1/2,2,1)),"")</f>
        <v/>
      </c>
      <c r="F2779">
        <f>TRIM(INDEX(INDIRECT("'Выгрузка'!A2779:Z2779"),Настройки!$B$12)&amp;"")</f>
        <v/>
      </c>
      <c r="G2779">
        <f>IF(F2779="",0,IF(TRIM(INDEX(INDIRECT("'Выгрузка'!A2779:Z2779"),Настройки!$B$13)&amp;"")="",1,IFERROR(--SUBSTITUTE(SUBSTITUTE(TRIM(INDEX(INDIRECT("'Выгрузка'!A2779:Z2779"),Настройки!$B$13)),",","."),".",MID(1/2,2,1)),"")))</f>
        <v/>
      </c>
      <c r="H2779">
        <f>IF(F2779="",0,IF(COUNTIF(Настройки!$B$17:$B$26,F2779)&gt;0,1,IF(COUNTIF(Настройки!$C$17:$C$26,F2779)&gt;0,2,IF(COUNTIF(Настройки!$D$17:$D$26,F2779)&gt;0,3,0))))</f>
        <v/>
      </c>
      <c r="I2779">
        <f>IF(AND(ISNUMBER(A2779),ISNUMBER(B2779)),A2779*1000+B2779,"")</f>
        <v/>
      </c>
      <c r="J2779">
        <f>IF(I2779="","",IF(COUNTIF(I$2:I2779,I2779)=1,MAX(J$1:J2778)+1,""))</f>
        <v/>
      </c>
    </row>
    <row r="2780">
      <c r="A2780">
        <f>IFERROR(--SUBSTITUTE(SUBSTITUTE(TRIM(INDEX(INDIRECT("'Выгрузка'!A2780:Z2780"),Настройки!$B$7)),",","."),".",MID(1/2,2,1)),"")</f>
        <v/>
      </c>
      <c r="B2780">
        <f>IFERROR(--SUBSTITUTE(SUBSTITUTE(TRIM(INDEX(INDIRECT("'Выгрузка'!A2780:Z2780"),Настройки!$B$9)),",","."),".",MID(1/2,2,1)),"")</f>
        <v/>
      </c>
      <c r="C2780">
        <f>TRIM(INDEX(INDIRECT("'Выгрузка'!A2780:Z2780"),Настройки!$B$8)&amp;"")</f>
        <v/>
      </c>
      <c r="D2780">
        <f>IFERROR(--SUBSTITUTE(SUBSTITUTE(TRIM(INDEX(INDIRECT("'Выгрузка'!A2780:Z2780"),Настройки!$B$10)),",","."),".",MID(1/2,2,1)),"")</f>
        <v/>
      </c>
      <c r="E2780">
        <f>IFERROR(--SUBSTITUTE(SUBSTITUTE(TRIM(INDEX(INDIRECT("'Выгрузка'!A2780:Z2780"),Настройки!$B$11)),",","."),".",MID(1/2,2,1)),"")</f>
        <v/>
      </c>
      <c r="F2780">
        <f>TRIM(INDEX(INDIRECT("'Выгрузка'!A2780:Z2780"),Настройки!$B$12)&amp;"")</f>
        <v/>
      </c>
      <c r="G2780">
        <f>IF(F2780="",0,IF(TRIM(INDEX(INDIRECT("'Выгрузка'!A2780:Z2780"),Настройки!$B$13)&amp;"")="",1,IFERROR(--SUBSTITUTE(SUBSTITUTE(TRIM(INDEX(INDIRECT("'Выгрузка'!A2780:Z2780"),Настройки!$B$13)),",","."),".",MID(1/2,2,1)),"")))</f>
        <v/>
      </c>
      <c r="H2780">
        <f>IF(F2780="",0,IF(COUNTIF(Настройки!$B$17:$B$26,F2780)&gt;0,1,IF(COUNTIF(Настройки!$C$17:$C$26,F2780)&gt;0,2,IF(COUNTIF(Настройки!$D$17:$D$26,F2780)&gt;0,3,0))))</f>
        <v/>
      </c>
      <c r="I2780">
        <f>IF(AND(ISNUMBER(A2780),ISNUMBER(B2780)),A2780*1000+B2780,"")</f>
        <v/>
      </c>
      <c r="J2780">
        <f>IF(I2780="","",IF(COUNTIF(I$2:I2780,I2780)=1,MAX(J$1:J2779)+1,""))</f>
        <v/>
      </c>
    </row>
    <row r="2781">
      <c r="A2781">
        <f>IFERROR(--SUBSTITUTE(SUBSTITUTE(TRIM(INDEX(INDIRECT("'Выгрузка'!A2781:Z2781"),Настройки!$B$7)),",","."),".",MID(1/2,2,1)),"")</f>
        <v/>
      </c>
      <c r="B2781">
        <f>IFERROR(--SUBSTITUTE(SUBSTITUTE(TRIM(INDEX(INDIRECT("'Выгрузка'!A2781:Z2781"),Настройки!$B$9)),",","."),".",MID(1/2,2,1)),"")</f>
        <v/>
      </c>
      <c r="C2781">
        <f>TRIM(INDEX(INDIRECT("'Выгрузка'!A2781:Z2781"),Настройки!$B$8)&amp;"")</f>
        <v/>
      </c>
      <c r="D2781">
        <f>IFERROR(--SUBSTITUTE(SUBSTITUTE(TRIM(INDEX(INDIRECT("'Выгрузка'!A2781:Z2781"),Настройки!$B$10)),",","."),".",MID(1/2,2,1)),"")</f>
        <v/>
      </c>
      <c r="E2781">
        <f>IFERROR(--SUBSTITUTE(SUBSTITUTE(TRIM(INDEX(INDIRECT("'Выгрузка'!A2781:Z2781"),Настройки!$B$11)),",","."),".",MID(1/2,2,1)),"")</f>
        <v/>
      </c>
      <c r="F2781">
        <f>TRIM(INDEX(INDIRECT("'Выгрузка'!A2781:Z2781"),Настройки!$B$12)&amp;"")</f>
        <v/>
      </c>
      <c r="G2781">
        <f>IF(F2781="",0,IF(TRIM(INDEX(INDIRECT("'Выгрузка'!A2781:Z2781"),Настройки!$B$13)&amp;"")="",1,IFERROR(--SUBSTITUTE(SUBSTITUTE(TRIM(INDEX(INDIRECT("'Выгрузка'!A2781:Z2781"),Настройки!$B$13)),",","."),".",MID(1/2,2,1)),"")))</f>
        <v/>
      </c>
      <c r="H2781">
        <f>IF(F2781="",0,IF(COUNTIF(Настройки!$B$17:$B$26,F2781)&gt;0,1,IF(COUNTIF(Настройки!$C$17:$C$26,F2781)&gt;0,2,IF(COUNTIF(Настройки!$D$17:$D$26,F2781)&gt;0,3,0))))</f>
        <v/>
      </c>
      <c r="I2781">
        <f>IF(AND(ISNUMBER(A2781),ISNUMBER(B2781)),A2781*1000+B2781,"")</f>
        <v/>
      </c>
      <c r="J2781">
        <f>IF(I2781="","",IF(COUNTIF(I$2:I2781,I2781)=1,MAX(J$1:J2780)+1,""))</f>
        <v/>
      </c>
    </row>
    <row r="2782">
      <c r="A2782">
        <f>IFERROR(--SUBSTITUTE(SUBSTITUTE(TRIM(INDEX(INDIRECT("'Выгрузка'!A2782:Z2782"),Настройки!$B$7)),",","."),".",MID(1/2,2,1)),"")</f>
        <v/>
      </c>
      <c r="B2782">
        <f>IFERROR(--SUBSTITUTE(SUBSTITUTE(TRIM(INDEX(INDIRECT("'Выгрузка'!A2782:Z2782"),Настройки!$B$9)),",","."),".",MID(1/2,2,1)),"")</f>
        <v/>
      </c>
      <c r="C2782">
        <f>TRIM(INDEX(INDIRECT("'Выгрузка'!A2782:Z2782"),Настройки!$B$8)&amp;"")</f>
        <v/>
      </c>
      <c r="D2782">
        <f>IFERROR(--SUBSTITUTE(SUBSTITUTE(TRIM(INDEX(INDIRECT("'Выгрузка'!A2782:Z2782"),Настройки!$B$10)),",","."),".",MID(1/2,2,1)),"")</f>
        <v/>
      </c>
      <c r="E2782">
        <f>IFERROR(--SUBSTITUTE(SUBSTITUTE(TRIM(INDEX(INDIRECT("'Выгрузка'!A2782:Z2782"),Настройки!$B$11)),",","."),".",MID(1/2,2,1)),"")</f>
        <v/>
      </c>
      <c r="F2782">
        <f>TRIM(INDEX(INDIRECT("'Выгрузка'!A2782:Z2782"),Настройки!$B$12)&amp;"")</f>
        <v/>
      </c>
      <c r="G2782">
        <f>IF(F2782="",0,IF(TRIM(INDEX(INDIRECT("'Выгрузка'!A2782:Z2782"),Настройки!$B$13)&amp;"")="",1,IFERROR(--SUBSTITUTE(SUBSTITUTE(TRIM(INDEX(INDIRECT("'Выгрузка'!A2782:Z2782"),Настройки!$B$13)),",","."),".",MID(1/2,2,1)),"")))</f>
        <v/>
      </c>
      <c r="H2782">
        <f>IF(F2782="",0,IF(COUNTIF(Настройки!$B$17:$B$26,F2782)&gt;0,1,IF(COUNTIF(Настройки!$C$17:$C$26,F2782)&gt;0,2,IF(COUNTIF(Настройки!$D$17:$D$26,F2782)&gt;0,3,0))))</f>
        <v/>
      </c>
      <c r="I2782">
        <f>IF(AND(ISNUMBER(A2782),ISNUMBER(B2782)),A2782*1000+B2782,"")</f>
        <v/>
      </c>
      <c r="J2782">
        <f>IF(I2782="","",IF(COUNTIF(I$2:I2782,I2782)=1,MAX(J$1:J2781)+1,""))</f>
        <v/>
      </c>
    </row>
    <row r="2783">
      <c r="A2783">
        <f>IFERROR(--SUBSTITUTE(SUBSTITUTE(TRIM(INDEX(INDIRECT("'Выгрузка'!A2783:Z2783"),Настройки!$B$7)),",","."),".",MID(1/2,2,1)),"")</f>
        <v/>
      </c>
      <c r="B2783">
        <f>IFERROR(--SUBSTITUTE(SUBSTITUTE(TRIM(INDEX(INDIRECT("'Выгрузка'!A2783:Z2783"),Настройки!$B$9)),",","."),".",MID(1/2,2,1)),"")</f>
        <v/>
      </c>
      <c r="C2783">
        <f>TRIM(INDEX(INDIRECT("'Выгрузка'!A2783:Z2783"),Настройки!$B$8)&amp;"")</f>
        <v/>
      </c>
      <c r="D2783">
        <f>IFERROR(--SUBSTITUTE(SUBSTITUTE(TRIM(INDEX(INDIRECT("'Выгрузка'!A2783:Z2783"),Настройки!$B$10)),",","."),".",MID(1/2,2,1)),"")</f>
        <v/>
      </c>
      <c r="E2783">
        <f>IFERROR(--SUBSTITUTE(SUBSTITUTE(TRIM(INDEX(INDIRECT("'Выгрузка'!A2783:Z2783"),Настройки!$B$11)),",","."),".",MID(1/2,2,1)),"")</f>
        <v/>
      </c>
      <c r="F2783">
        <f>TRIM(INDEX(INDIRECT("'Выгрузка'!A2783:Z2783"),Настройки!$B$12)&amp;"")</f>
        <v/>
      </c>
      <c r="G2783">
        <f>IF(F2783="",0,IF(TRIM(INDEX(INDIRECT("'Выгрузка'!A2783:Z2783"),Настройки!$B$13)&amp;"")="",1,IFERROR(--SUBSTITUTE(SUBSTITUTE(TRIM(INDEX(INDIRECT("'Выгрузка'!A2783:Z2783"),Настройки!$B$13)),",","."),".",MID(1/2,2,1)),"")))</f>
        <v/>
      </c>
      <c r="H2783">
        <f>IF(F2783="",0,IF(COUNTIF(Настройки!$B$17:$B$26,F2783)&gt;0,1,IF(COUNTIF(Настройки!$C$17:$C$26,F2783)&gt;0,2,IF(COUNTIF(Настройки!$D$17:$D$26,F2783)&gt;0,3,0))))</f>
        <v/>
      </c>
      <c r="I2783">
        <f>IF(AND(ISNUMBER(A2783),ISNUMBER(B2783)),A2783*1000+B2783,"")</f>
        <v/>
      </c>
      <c r="J2783">
        <f>IF(I2783="","",IF(COUNTIF(I$2:I2783,I2783)=1,MAX(J$1:J2782)+1,""))</f>
        <v/>
      </c>
    </row>
    <row r="2784">
      <c r="A2784">
        <f>IFERROR(--SUBSTITUTE(SUBSTITUTE(TRIM(INDEX(INDIRECT("'Выгрузка'!A2784:Z2784"),Настройки!$B$7)),",","."),".",MID(1/2,2,1)),"")</f>
        <v/>
      </c>
      <c r="B2784">
        <f>IFERROR(--SUBSTITUTE(SUBSTITUTE(TRIM(INDEX(INDIRECT("'Выгрузка'!A2784:Z2784"),Настройки!$B$9)),",","."),".",MID(1/2,2,1)),"")</f>
        <v/>
      </c>
      <c r="C2784">
        <f>TRIM(INDEX(INDIRECT("'Выгрузка'!A2784:Z2784"),Настройки!$B$8)&amp;"")</f>
        <v/>
      </c>
      <c r="D2784">
        <f>IFERROR(--SUBSTITUTE(SUBSTITUTE(TRIM(INDEX(INDIRECT("'Выгрузка'!A2784:Z2784"),Настройки!$B$10)),",","."),".",MID(1/2,2,1)),"")</f>
        <v/>
      </c>
      <c r="E2784">
        <f>IFERROR(--SUBSTITUTE(SUBSTITUTE(TRIM(INDEX(INDIRECT("'Выгрузка'!A2784:Z2784"),Настройки!$B$11)),",","."),".",MID(1/2,2,1)),"")</f>
        <v/>
      </c>
      <c r="F2784">
        <f>TRIM(INDEX(INDIRECT("'Выгрузка'!A2784:Z2784"),Настройки!$B$12)&amp;"")</f>
        <v/>
      </c>
      <c r="G2784">
        <f>IF(F2784="",0,IF(TRIM(INDEX(INDIRECT("'Выгрузка'!A2784:Z2784"),Настройки!$B$13)&amp;"")="",1,IFERROR(--SUBSTITUTE(SUBSTITUTE(TRIM(INDEX(INDIRECT("'Выгрузка'!A2784:Z2784"),Настройки!$B$13)),",","."),".",MID(1/2,2,1)),"")))</f>
        <v/>
      </c>
      <c r="H2784">
        <f>IF(F2784="",0,IF(COUNTIF(Настройки!$B$17:$B$26,F2784)&gt;0,1,IF(COUNTIF(Настройки!$C$17:$C$26,F2784)&gt;0,2,IF(COUNTIF(Настройки!$D$17:$D$26,F2784)&gt;0,3,0))))</f>
        <v/>
      </c>
      <c r="I2784">
        <f>IF(AND(ISNUMBER(A2784),ISNUMBER(B2784)),A2784*1000+B2784,"")</f>
        <v/>
      </c>
      <c r="J2784">
        <f>IF(I2784="","",IF(COUNTIF(I$2:I2784,I2784)=1,MAX(J$1:J2783)+1,""))</f>
        <v/>
      </c>
    </row>
    <row r="2785">
      <c r="A2785">
        <f>IFERROR(--SUBSTITUTE(SUBSTITUTE(TRIM(INDEX(INDIRECT("'Выгрузка'!A2785:Z2785"),Настройки!$B$7)),",","."),".",MID(1/2,2,1)),"")</f>
        <v/>
      </c>
      <c r="B2785">
        <f>IFERROR(--SUBSTITUTE(SUBSTITUTE(TRIM(INDEX(INDIRECT("'Выгрузка'!A2785:Z2785"),Настройки!$B$9)),",","."),".",MID(1/2,2,1)),"")</f>
        <v/>
      </c>
      <c r="C2785">
        <f>TRIM(INDEX(INDIRECT("'Выгрузка'!A2785:Z2785"),Настройки!$B$8)&amp;"")</f>
        <v/>
      </c>
      <c r="D2785">
        <f>IFERROR(--SUBSTITUTE(SUBSTITUTE(TRIM(INDEX(INDIRECT("'Выгрузка'!A2785:Z2785"),Настройки!$B$10)),",","."),".",MID(1/2,2,1)),"")</f>
        <v/>
      </c>
      <c r="E2785">
        <f>IFERROR(--SUBSTITUTE(SUBSTITUTE(TRIM(INDEX(INDIRECT("'Выгрузка'!A2785:Z2785"),Настройки!$B$11)),",","."),".",MID(1/2,2,1)),"")</f>
        <v/>
      </c>
      <c r="F2785">
        <f>TRIM(INDEX(INDIRECT("'Выгрузка'!A2785:Z2785"),Настройки!$B$12)&amp;"")</f>
        <v/>
      </c>
      <c r="G2785">
        <f>IF(F2785="",0,IF(TRIM(INDEX(INDIRECT("'Выгрузка'!A2785:Z2785"),Настройки!$B$13)&amp;"")="",1,IFERROR(--SUBSTITUTE(SUBSTITUTE(TRIM(INDEX(INDIRECT("'Выгрузка'!A2785:Z2785"),Настройки!$B$13)),",","."),".",MID(1/2,2,1)),"")))</f>
        <v/>
      </c>
      <c r="H2785">
        <f>IF(F2785="",0,IF(COUNTIF(Настройки!$B$17:$B$26,F2785)&gt;0,1,IF(COUNTIF(Настройки!$C$17:$C$26,F2785)&gt;0,2,IF(COUNTIF(Настройки!$D$17:$D$26,F2785)&gt;0,3,0))))</f>
        <v/>
      </c>
      <c r="I2785">
        <f>IF(AND(ISNUMBER(A2785),ISNUMBER(B2785)),A2785*1000+B2785,"")</f>
        <v/>
      </c>
      <c r="J2785">
        <f>IF(I2785="","",IF(COUNTIF(I$2:I2785,I2785)=1,MAX(J$1:J2784)+1,""))</f>
        <v/>
      </c>
    </row>
    <row r="2786">
      <c r="A2786">
        <f>IFERROR(--SUBSTITUTE(SUBSTITUTE(TRIM(INDEX(INDIRECT("'Выгрузка'!A2786:Z2786"),Настройки!$B$7)),",","."),".",MID(1/2,2,1)),"")</f>
        <v/>
      </c>
      <c r="B2786">
        <f>IFERROR(--SUBSTITUTE(SUBSTITUTE(TRIM(INDEX(INDIRECT("'Выгрузка'!A2786:Z2786"),Настройки!$B$9)),",","."),".",MID(1/2,2,1)),"")</f>
        <v/>
      </c>
      <c r="C2786">
        <f>TRIM(INDEX(INDIRECT("'Выгрузка'!A2786:Z2786"),Настройки!$B$8)&amp;"")</f>
        <v/>
      </c>
      <c r="D2786">
        <f>IFERROR(--SUBSTITUTE(SUBSTITUTE(TRIM(INDEX(INDIRECT("'Выгрузка'!A2786:Z2786"),Настройки!$B$10)),",","."),".",MID(1/2,2,1)),"")</f>
        <v/>
      </c>
      <c r="E2786">
        <f>IFERROR(--SUBSTITUTE(SUBSTITUTE(TRIM(INDEX(INDIRECT("'Выгрузка'!A2786:Z2786"),Настройки!$B$11)),",","."),".",MID(1/2,2,1)),"")</f>
        <v/>
      </c>
      <c r="F2786">
        <f>TRIM(INDEX(INDIRECT("'Выгрузка'!A2786:Z2786"),Настройки!$B$12)&amp;"")</f>
        <v/>
      </c>
      <c r="G2786">
        <f>IF(F2786="",0,IF(TRIM(INDEX(INDIRECT("'Выгрузка'!A2786:Z2786"),Настройки!$B$13)&amp;"")="",1,IFERROR(--SUBSTITUTE(SUBSTITUTE(TRIM(INDEX(INDIRECT("'Выгрузка'!A2786:Z2786"),Настройки!$B$13)),",","."),".",MID(1/2,2,1)),"")))</f>
        <v/>
      </c>
      <c r="H2786">
        <f>IF(F2786="",0,IF(COUNTIF(Настройки!$B$17:$B$26,F2786)&gt;0,1,IF(COUNTIF(Настройки!$C$17:$C$26,F2786)&gt;0,2,IF(COUNTIF(Настройки!$D$17:$D$26,F2786)&gt;0,3,0))))</f>
        <v/>
      </c>
      <c r="I2786">
        <f>IF(AND(ISNUMBER(A2786),ISNUMBER(B2786)),A2786*1000+B2786,"")</f>
        <v/>
      </c>
      <c r="J2786">
        <f>IF(I2786="","",IF(COUNTIF(I$2:I2786,I2786)=1,MAX(J$1:J2785)+1,""))</f>
        <v/>
      </c>
    </row>
    <row r="2787">
      <c r="A2787">
        <f>IFERROR(--SUBSTITUTE(SUBSTITUTE(TRIM(INDEX(INDIRECT("'Выгрузка'!A2787:Z2787"),Настройки!$B$7)),",","."),".",MID(1/2,2,1)),"")</f>
        <v/>
      </c>
      <c r="B2787">
        <f>IFERROR(--SUBSTITUTE(SUBSTITUTE(TRIM(INDEX(INDIRECT("'Выгрузка'!A2787:Z2787"),Настройки!$B$9)),",","."),".",MID(1/2,2,1)),"")</f>
        <v/>
      </c>
      <c r="C2787">
        <f>TRIM(INDEX(INDIRECT("'Выгрузка'!A2787:Z2787"),Настройки!$B$8)&amp;"")</f>
        <v/>
      </c>
      <c r="D2787">
        <f>IFERROR(--SUBSTITUTE(SUBSTITUTE(TRIM(INDEX(INDIRECT("'Выгрузка'!A2787:Z2787"),Настройки!$B$10)),",","."),".",MID(1/2,2,1)),"")</f>
        <v/>
      </c>
      <c r="E2787">
        <f>IFERROR(--SUBSTITUTE(SUBSTITUTE(TRIM(INDEX(INDIRECT("'Выгрузка'!A2787:Z2787"),Настройки!$B$11)),",","."),".",MID(1/2,2,1)),"")</f>
        <v/>
      </c>
      <c r="F2787">
        <f>TRIM(INDEX(INDIRECT("'Выгрузка'!A2787:Z2787"),Настройки!$B$12)&amp;"")</f>
        <v/>
      </c>
      <c r="G2787">
        <f>IF(F2787="",0,IF(TRIM(INDEX(INDIRECT("'Выгрузка'!A2787:Z2787"),Настройки!$B$13)&amp;"")="",1,IFERROR(--SUBSTITUTE(SUBSTITUTE(TRIM(INDEX(INDIRECT("'Выгрузка'!A2787:Z2787"),Настройки!$B$13)),",","."),".",MID(1/2,2,1)),"")))</f>
        <v/>
      </c>
      <c r="H2787">
        <f>IF(F2787="",0,IF(COUNTIF(Настройки!$B$17:$B$26,F2787)&gt;0,1,IF(COUNTIF(Настройки!$C$17:$C$26,F2787)&gt;0,2,IF(COUNTIF(Настройки!$D$17:$D$26,F2787)&gt;0,3,0))))</f>
        <v/>
      </c>
      <c r="I2787">
        <f>IF(AND(ISNUMBER(A2787),ISNUMBER(B2787)),A2787*1000+B2787,"")</f>
        <v/>
      </c>
      <c r="J2787">
        <f>IF(I2787="","",IF(COUNTIF(I$2:I2787,I2787)=1,MAX(J$1:J2786)+1,""))</f>
        <v/>
      </c>
    </row>
    <row r="2788">
      <c r="A2788">
        <f>IFERROR(--SUBSTITUTE(SUBSTITUTE(TRIM(INDEX(INDIRECT("'Выгрузка'!A2788:Z2788"),Настройки!$B$7)),",","."),".",MID(1/2,2,1)),"")</f>
        <v/>
      </c>
      <c r="B2788">
        <f>IFERROR(--SUBSTITUTE(SUBSTITUTE(TRIM(INDEX(INDIRECT("'Выгрузка'!A2788:Z2788"),Настройки!$B$9)),",","."),".",MID(1/2,2,1)),"")</f>
        <v/>
      </c>
      <c r="C2788">
        <f>TRIM(INDEX(INDIRECT("'Выгрузка'!A2788:Z2788"),Настройки!$B$8)&amp;"")</f>
        <v/>
      </c>
      <c r="D2788">
        <f>IFERROR(--SUBSTITUTE(SUBSTITUTE(TRIM(INDEX(INDIRECT("'Выгрузка'!A2788:Z2788"),Настройки!$B$10)),",","."),".",MID(1/2,2,1)),"")</f>
        <v/>
      </c>
      <c r="E2788">
        <f>IFERROR(--SUBSTITUTE(SUBSTITUTE(TRIM(INDEX(INDIRECT("'Выгрузка'!A2788:Z2788"),Настройки!$B$11)),",","."),".",MID(1/2,2,1)),"")</f>
        <v/>
      </c>
      <c r="F2788">
        <f>TRIM(INDEX(INDIRECT("'Выгрузка'!A2788:Z2788"),Настройки!$B$12)&amp;"")</f>
        <v/>
      </c>
      <c r="G2788">
        <f>IF(F2788="",0,IF(TRIM(INDEX(INDIRECT("'Выгрузка'!A2788:Z2788"),Настройки!$B$13)&amp;"")="",1,IFERROR(--SUBSTITUTE(SUBSTITUTE(TRIM(INDEX(INDIRECT("'Выгрузка'!A2788:Z2788"),Настройки!$B$13)),",","."),".",MID(1/2,2,1)),"")))</f>
        <v/>
      </c>
      <c r="H2788">
        <f>IF(F2788="",0,IF(COUNTIF(Настройки!$B$17:$B$26,F2788)&gt;0,1,IF(COUNTIF(Настройки!$C$17:$C$26,F2788)&gt;0,2,IF(COUNTIF(Настройки!$D$17:$D$26,F2788)&gt;0,3,0))))</f>
        <v/>
      </c>
      <c r="I2788">
        <f>IF(AND(ISNUMBER(A2788),ISNUMBER(B2788)),A2788*1000+B2788,"")</f>
        <v/>
      </c>
      <c r="J2788">
        <f>IF(I2788="","",IF(COUNTIF(I$2:I2788,I2788)=1,MAX(J$1:J2787)+1,""))</f>
        <v/>
      </c>
    </row>
    <row r="2789">
      <c r="A2789">
        <f>IFERROR(--SUBSTITUTE(SUBSTITUTE(TRIM(INDEX(INDIRECT("'Выгрузка'!A2789:Z2789"),Настройки!$B$7)),",","."),".",MID(1/2,2,1)),"")</f>
        <v/>
      </c>
      <c r="B2789">
        <f>IFERROR(--SUBSTITUTE(SUBSTITUTE(TRIM(INDEX(INDIRECT("'Выгрузка'!A2789:Z2789"),Настройки!$B$9)),",","."),".",MID(1/2,2,1)),"")</f>
        <v/>
      </c>
      <c r="C2789">
        <f>TRIM(INDEX(INDIRECT("'Выгрузка'!A2789:Z2789"),Настройки!$B$8)&amp;"")</f>
        <v/>
      </c>
      <c r="D2789">
        <f>IFERROR(--SUBSTITUTE(SUBSTITUTE(TRIM(INDEX(INDIRECT("'Выгрузка'!A2789:Z2789"),Настройки!$B$10)),",","."),".",MID(1/2,2,1)),"")</f>
        <v/>
      </c>
      <c r="E2789">
        <f>IFERROR(--SUBSTITUTE(SUBSTITUTE(TRIM(INDEX(INDIRECT("'Выгрузка'!A2789:Z2789"),Настройки!$B$11)),",","."),".",MID(1/2,2,1)),"")</f>
        <v/>
      </c>
      <c r="F2789">
        <f>TRIM(INDEX(INDIRECT("'Выгрузка'!A2789:Z2789"),Настройки!$B$12)&amp;"")</f>
        <v/>
      </c>
      <c r="G2789">
        <f>IF(F2789="",0,IF(TRIM(INDEX(INDIRECT("'Выгрузка'!A2789:Z2789"),Настройки!$B$13)&amp;"")="",1,IFERROR(--SUBSTITUTE(SUBSTITUTE(TRIM(INDEX(INDIRECT("'Выгрузка'!A2789:Z2789"),Настройки!$B$13)),",","."),".",MID(1/2,2,1)),"")))</f>
        <v/>
      </c>
      <c r="H2789">
        <f>IF(F2789="",0,IF(COUNTIF(Настройки!$B$17:$B$26,F2789)&gt;0,1,IF(COUNTIF(Настройки!$C$17:$C$26,F2789)&gt;0,2,IF(COUNTIF(Настройки!$D$17:$D$26,F2789)&gt;0,3,0))))</f>
        <v/>
      </c>
      <c r="I2789">
        <f>IF(AND(ISNUMBER(A2789),ISNUMBER(B2789)),A2789*1000+B2789,"")</f>
        <v/>
      </c>
      <c r="J2789">
        <f>IF(I2789="","",IF(COUNTIF(I$2:I2789,I2789)=1,MAX(J$1:J2788)+1,""))</f>
        <v/>
      </c>
    </row>
    <row r="2790">
      <c r="A2790">
        <f>IFERROR(--SUBSTITUTE(SUBSTITUTE(TRIM(INDEX(INDIRECT("'Выгрузка'!A2790:Z2790"),Настройки!$B$7)),",","."),".",MID(1/2,2,1)),"")</f>
        <v/>
      </c>
      <c r="B2790">
        <f>IFERROR(--SUBSTITUTE(SUBSTITUTE(TRIM(INDEX(INDIRECT("'Выгрузка'!A2790:Z2790"),Настройки!$B$9)),",","."),".",MID(1/2,2,1)),"")</f>
        <v/>
      </c>
      <c r="C2790">
        <f>TRIM(INDEX(INDIRECT("'Выгрузка'!A2790:Z2790"),Настройки!$B$8)&amp;"")</f>
        <v/>
      </c>
      <c r="D2790">
        <f>IFERROR(--SUBSTITUTE(SUBSTITUTE(TRIM(INDEX(INDIRECT("'Выгрузка'!A2790:Z2790"),Настройки!$B$10)),",","."),".",MID(1/2,2,1)),"")</f>
        <v/>
      </c>
      <c r="E2790">
        <f>IFERROR(--SUBSTITUTE(SUBSTITUTE(TRIM(INDEX(INDIRECT("'Выгрузка'!A2790:Z2790"),Настройки!$B$11)),",","."),".",MID(1/2,2,1)),"")</f>
        <v/>
      </c>
      <c r="F2790">
        <f>TRIM(INDEX(INDIRECT("'Выгрузка'!A2790:Z2790"),Настройки!$B$12)&amp;"")</f>
        <v/>
      </c>
      <c r="G2790">
        <f>IF(F2790="",0,IF(TRIM(INDEX(INDIRECT("'Выгрузка'!A2790:Z2790"),Настройки!$B$13)&amp;"")="",1,IFERROR(--SUBSTITUTE(SUBSTITUTE(TRIM(INDEX(INDIRECT("'Выгрузка'!A2790:Z2790"),Настройки!$B$13)),",","."),".",MID(1/2,2,1)),"")))</f>
        <v/>
      </c>
      <c r="H2790">
        <f>IF(F2790="",0,IF(COUNTIF(Настройки!$B$17:$B$26,F2790)&gt;0,1,IF(COUNTIF(Настройки!$C$17:$C$26,F2790)&gt;0,2,IF(COUNTIF(Настройки!$D$17:$D$26,F2790)&gt;0,3,0))))</f>
        <v/>
      </c>
      <c r="I2790">
        <f>IF(AND(ISNUMBER(A2790),ISNUMBER(B2790)),A2790*1000+B2790,"")</f>
        <v/>
      </c>
      <c r="J2790">
        <f>IF(I2790="","",IF(COUNTIF(I$2:I2790,I2790)=1,MAX(J$1:J2789)+1,""))</f>
        <v/>
      </c>
    </row>
    <row r="2791">
      <c r="A2791">
        <f>IFERROR(--SUBSTITUTE(SUBSTITUTE(TRIM(INDEX(INDIRECT("'Выгрузка'!A2791:Z2791"),Настройки!$B$7)),",","."),".",MID(1/2,2,1)),"")</f>
        <v/>
      </c>
      <c r="B2791">
        <f>IFERROR(--SUBSTITUTE(SUBSTITUTE(TRIM(INDEX(INDIRECT("'Выгрузка'!A2791:Z2791"),Настройки!$B$9)),",","."),".",MID(1/2,2,1)),"")</f>
        <v/>
      </c>
      <c r="C2791">
        <f>TRIM(INDEX(INDIRECT("'Выгрузка'!A2791:Z2791"),Настройки!$B$8)&amp;"")</f>
        <v/>
      </c>
      <c r="D2791">
        <f>IFERROR(--SUBSTITUTE(SUBSTITUTE(TRIM(INDEX(INDIRECT("'Выгрузка'!A2791:Z2791"),Настройки!$B$10)),",","."),".",MID(1/2,2,1)),"")</f>
        <v/>
      </c>
      <c r="E2791">
        <f>IFERROR(--SUBSTITUTE(SUBSTITUTE(TRIM(INDEX(INDIRECT("'Выгрузка'!A2791:Z2791"),Настройки!$B$11)),",","."),".",MID(1/2,2,1)),"")</f>
        <v/>
      </c>
      <c r="F2791">
        <f>TRIM(INDEX(INDIRECT("'Выгрузка'!A2791:Z2791"),Настройки!$B$12)&amp;"")</f>
        <v/>
      </c>
      <c r="G2791">
        <f>IF(F2791="",0,IF(TRIM(INDEX(INDIRECT("'Выгрузка'!A2791:Z2791"),Настройки!$B$13)&amp;"")="",1,IFERROR(--SUBSTITUTE(SUBSTITUTE(TRIM(INDEX(INDIRECT("'Выгрузка'!A2791:Z2791"),Настройки!$B$13)),",","."),".",MID(1/2,2,1)),"")))</f>
        <v/>
      </c>
      <c r="H2791">
        <f>IF(F2791="",0,IF(COUNTIF(Настройки!$B$17:$B$26,F2791)&gt;0,1,IF(COUNTIF(Настройки!$C$17:$C$26,F2791)&gt;0,2,IF(COUNTIF(Настройки!$D$17:$D$26,F2791)&gt;0,3,0))))</f>
        <v/>
      </c>
      <c r="I2791">
        <f>IF(AND(ISNUMBER(A2791),ISNUMBER(B2791)),A2791*1000+B2791,"")</f>
        <v/>
      </c>
      <c r="J2791">
        <f>IF(I2791="","",IF(COUNTIF(I$2:I2791,I2791)=1,MAX(J$1:J2790)+1,""))</f>
        <v/>
      </c>
    </row>
    <row r="2792">
      <c r="A2792">
        <f>IFERROR(--SUBSTITUTE(SUBSTITUTE(TRIM(INDEX(INDIRECT("'Выгрузка'!A2792:Z2792"),Настройки!$B$7)),",","."),".",MID(1/2,2,1)),"")</f>
        <v/>
      </c>
      <c r="B2792">
        <f>IFERROR(--SUBSTITUTE(SUBSTITUTE(TRIM(INDEX(INDIRECT("'Выгрузка'!A2792:Z2792"),Настройки!$B$9)),",","."),".",MID(1/2,2,1)),"")</f>
        <v/>
      </c>
      <c r="C2792">
        <f>TRIM(INDEX(INDIRECT("'Выгрузка'!A2792:Z2792"),Настройки!$B$8)&amp;"")</f>
        <v/>
      </c>
      <c r="D2792">
        <f>IFERROR(--SUBSTITUTE(SUBSTITUTE(TRIM(INDEX(INDIRECT("'Выгрузка'!A2792:Z2792"),Настройки!$B$10)),",","."),".",MID(1/2,2,1)),"")</f>
        <v/>
      </c>
      <c r="E2792">
        <f>IFERROR(--SUBSTITUTE(SUBSTITUTE(TRIM(INDEX(INDIRECT("'Выгрузка'!A2792:Z2792"),Настройки!$B$11)),",","."),".",MID(1/2,2,1)),"")</f>
        <v/>
      </c>
      <c r="F2792">
        <f>TRIM(INDEX(INDIRECT("'Выгрузка'!A2792:Z2792"),Настройки!$B$12)&amp;"")</f>
        <v/>
      </c>
      <c r="G2792">
        <f>IF(F2792="",0,IF(TRIM(INDEX(INDIRECT("'Выгрузка'!A2792:Z2792"),Настройки!$B$13)&amp;"")="",1,IFERROR(--SUBSTITUTE(SUBSTITUTE(TRIM(INDEX(INDIRECT("'Выгрузка'!A2792:Z2792"),Настройки!$B$13)),",","."),".",MID(1/2,2,1)),"")))</f>
        <v/>
      </c>
      <c r="H2792">
        <f>IF(F2792="",0,IF(COUNTIF(Настройки!$B$17:$B$26,F2792)&gt;0,1,IF(COUNTIF(Настройки!$C$17:$C$26,F2792)&gt;0,2,IF(COUNTIF(Настройки!$D$17:$D$26,F2792)&gt;0,3,0))))</f>
        <v/>
      </c>
      <c r="I2792">
        <f>IF(AND(ISNUMBER(A2792),ISNUMBER(B2792)),A2792*1000+B2792,"")</f>
        <v/>
      </c>
      <c r="J2792">
        <f>IF(I2792="","",IF(COUNTIF(I$2:I2792,I2792)=1,MAX(J$1:J2791)+1,""))</f>
        <v/>
      </c>
    </row>
    <row r="2793">
      <c r="A2793">
        <f>IFERROR(--SUBSTITUTE(SUBSTITUTE(TRIM(INDEX(INDIRECT("'Выгрузка'!A2793:Z2793"),Настройки!$B$7)),",","."),".",MID(1/2,2,1)),"")</f>
        <v/>
      </c>
      <c r="B2793">
        <f>IFERROR(--SUBSTITUTE(SUBSTITUTE(TRIM(INDEX(INDIRECT("'Выгрузка'!A2793:Z2793"),Настройки!$B$9)),",","."),".",MID(1/2,2,1)),"")</f>
        <v/>
      </c>
      <c r="C2793">
        <f>TRIM(INDEX(INDIRECT("'Выгрузка'!A2793:Z2793"),Настройки!$B$8)&amp;"")</f>
        <v/>
      </c>
      <c r="D2793">
        <f>IFERROR(--SUBSTITUTE(SUBSTITUTE(TRIM(INDEX(INDIRECT("'Выгрузка'!A2793:Z2793"),Настройки!$B$10)),",","."),".",MID(1/2,2,1)),"")</f>
        <v/>
      </c>
      <c r="E2793">
        <f>IFERROR(--SUBSTITUTE(SUBSTITUTE(TRIM(INDEX(INDIRECT("'Выгрузка'!A2793:Z2793"),Настройки!$B$11)),",","."),".",MID(1/2,2,1)),"")</f>
        <v/>
      </c>
      <c r="F2793">
        <f>TRIM(INDEX(INDIRECT("'Выгрузка'!A2793:Z2793"),Настройки!$B$12)&amp;"")</f>
        <v/>
      </c>
      <c r="G2793">
        <f>IF(F2793="",0,IF(TRIM(INDEX(INDIRECT("'Выгрузка'!A2793:Z2793"),Настройки!$B$13)&amp;"")="",1,IFERROR(--SUBSTITUTE(SUBSTITUTE(TRIM(INDEX(INDIRECT("'Выгрузка'!A2793:Z2793"),Настройки!$B$13)),",","."),".",MID(1/2,2,1)),"")))</f>
        <v/>
      </c>
      <c r="H2793">
        <f>IF(F2793="",0,IF(COUNTIF(Настройки!$B$17:$B$26,F2793)&gt;0,1,IF(COUNTIF(Настройки!$C$17:$C$26,F2793)&gt;0,2,IF(COUNTIF(Настройки!$D$17:$D$26,F2793)&gt;0,3,0))))</f>
        <v/>
      </c>
      <c r="I2793">
        <f>IF(AND(ISNUMBER(A2793),ISNUMBER(B2793)),A2793*1000+B2793,"")</f>
        <v/>
      </c>
      <c r="J2793">
        <f>IF(I2793="","",IF(COUNTIF(I$2:I2793,I2793)=1,MAX(J$1:J2792)+1,""))</f>
        <v/>
      </c>
    </row>
    <row r="2794">
      <c r="A2794">
        <f>IFERROR(--SUBSTITUTE(SUBSTITUTE(TRIM(INDEX(INDIRECT("'Выгрузка'!A2794:Z2794"),Настройки!$B$7)),",","."),".",MID(1/2,2,1)),"")</f>
        <v/>
      </c>
      <c r="B2794">
        <f>IFERROR(--SUBSTITUTE(SUBSTITUTE(TRIM(INDEX(INDIRECT("'Выгрузка'!A2794:Z2794"),Настройки!$B$9)),",","."),".",MID(1/2,2,1)),"")</f>
        <v/>
      </c>
      <c r="C2794">
        <f>TRIM(INDEX(INDIRECT("'Выгрузка'!A2794:Z2794"),Настройки!$B$8)&amp;"")</f>
        <v/>
      </c>
      <c r="D2794">
        <f>IFERROR(--SUBSTITUTE(SUBSTITUTE(TRIM(INDEX(INDIRECT("'Выгрузка'!A2794:Z2794"),Настройки!$B$10)),",","."),".",MID(1/2,2,1)),"")</f>
        <v/>
      </c>
      <c r="E2794">
        <f>IFERROR(--SUBSTITUTE(SUBSTITUTE(TRIM(INDEX(INDIRECT("'Выгрузка'!A2794:Z2794"),Настройки!$B$11)),",","."),".",MID(1/2,2,1)),"")</f>
        <v/>
      </c>
      <c r="F2794">
        <f>TRIM(INDEX(INDIRECT("'Выгрузка'!A2794:Z2794"),Настройки!$B$12)&amp;"")</f>
        <v/>
      </c>
      <c r="G2794">
        <f>IF(F2794="",0,IF(TRIM(INDEX(INDIRECT("'Выгрузка'!A2794:Z2794"),Настройки!$B$13)&amp;"")="",1,IFERROR(--SUBSTITUTE(SUBSTITUTE(TRIM(INDEX(INDIRECT("'Выгрузка'!A2794:Z2794"),Настройки!$B$13)),",","."),".",MID(1/2,2,1)),"")))</f>
        <v/>
      </c>
      <c r="H2794">
        <f>IF(F2794="",0,IF(COUNTIF(Настройки!$B$17:$B$26,F2794)&gt;0,1,IF(COUNTIF(Настройки!$C$17:$C$26,F2794)&gt;0,2,IF(COUNTIF(Настройки!$D$17:$D$26,F2794)&gt;0,3,0))))</f>
        <v/>
      </c>
      <c r="I2794">
        <f>IF(AND(ISNUMBER(A2794),ISNUMBER(B2794)),A2794*1000+B2794,"")</f>
        <v/>
      </c>
      <c r="J2794">
        <f>IF(I2794="","",IF(COUNTIF(I$2:I2794,I2794)=1,MAX(J$1:J2793)+1,""))</f>
        <v/>
      </c>
    </row>
    <row r="2795">
      <c r="A2795">
        <f>IFERROR(--SUBSTITUTE(SUBSTITUTE(TRIM(INDEX(INDIRECT("'Выгрузка'!A2795:Z2795"),Настройки!$B$7)),",","."),".",MID(1/2,2,1)),"")</f>
        <v/>
      </c>
      <c r="B2795">
        <f>IFERROR(--SUBSTITUTE(SUBSTITUTE(TRIM(INDEX(INDIRECT("'Выгрузка'!A2795:Z2795"),Настройки!$B$9)),",","."),".",MID(1/2,2,1)),"")</f>
        <v/>
      </c>
      <c r="C2795">
        <f>TRIM(INDEX(INDIRECT("'Выгрузка'!A2795:Z2795"),Настройки!$B$8)&amp;"")</f>
        <v/>
      </c>
      <c r="D2795">
        <f>IFERROR(--SUBSTITUTE(SUBSTITUTE(TRIM(INDEX(INDIRECT("'Выгрузка'!A2795:Z2795"),Настройки!$B$10)),",","."),".",MID(1/2,2,1)),"")</f>
        <v/>
      </c>
      <c r="E2795">
        <f>IFERROR(--SUBSTITUTE(SUBSTITUTE(TRIM(INDEX(INDIRECT("'Выгрузка'!A2795:Z2795"),Настройки!$B$11)),",","."),".",MID(1/2,2,1)),"")</f>
        <v/>
      </c>
      <c r="F2795">
        <f>TRIM(INDEX(INDIRECT("'Выгрузка'!A2795:Z2795"),Настройки!$B$12)&amp;"")</f>
        <v/>
      </c>
      <c r="G2795">
        <f>IF(F2795="",0,IF(TRIM(INDEX(INDIRECT("'Выгрузка'!A2795:Z2795"),Настройки!$B$13)&amp;"")="",1,IFERROR(--SUBSTITUTE(SUBSTITUTE(TRIM(INDEX(INDIRECT("'Выгрузка'!A2795:Z2795"),Настройки!$B$13)),",","."),".",MID(1/2,2,1)),"")))</f>
        <v/>
      </c>
      <c r="H2795">
        <f>IF(F2795="",0,IF(COUNTIF(Настройки!$B$17:$B$26,F2795)&gt;0,1,IF(COUNTIF(Настройки!$C$17:$C$26,F2795)&gt;0,2,IF(COUNTIF(Настройки!$D$17:$D$26,F2795)&gt;0,3,0))))</f>
        <v/>
      </c>
      <c r="I2795">
        <f>IF(AND(ISNUMBER(A2795),ISNUMBER(B2795)),A2795*1000+B2795,"")</f>
        <v/>
      </c>
      <c r="J2795">
        <f>IF(I2795="","",IF(COUNTIF(I$2:I2795,I2795)=1,MAX(J$1:J2794)+1,""))</f>
        <v/>
      </c>
    </row>
    <row r="2796">
      <c r="A2796">
        <f>IFERROR(--SUBSTITUTE(SUBSTITUTE(TRIM(INDEX(INDIRECT("'Выгрузка'!A2796:Z2796"),Настройки!$B$7)),",","."),".",MID(1/2,2,1)),"")</f>
        <v/>
      </c>
      <c r="B2796">
        <f>IFERROR(--SUBSTITUTE(SUBSTITUTE(TRIM(INDEX(INDIRECT("'Выгрузка'!A2796:Z2796"),Настройки!$B$9)),",","."),".",MID(1/2,2,1)),"")</f>
        <v/>
      </c>
      <c r="C2796">
        <f>TRIM(INDEX(INDIRECT("'Выгрузка'!A2796:Z2796"),Настройки!$B$8)&amp;"")</f>
        <v/>
      </c>
      <c r="D2796">
        <f>IFERROR(--SUBSTITUTE(SUBSTITUTE(TRIM(INDEX(INDIRECT("'Выгрузка'!A2796:Z2796"),Настройки!$B$10)),",","."),".",MID(1/2,2,1)),"")</f>
        <v/>
      </c>
      <c r="E2796">
        <f>IFERROR(--SUBSTITUTE(SUBSTITUTE(TRIM(INDEX(INDIRECT("'Выгрузка'!A2796:Z2796"),Настройки!$B$11)),",","."),".",MID(1/2,2,1)),"")</f>
        <v/>
      </c>
      <c r="F2796">
        <f>TRIM(INDEX(INDIRECT("'Выгрузка'!A2796:Z2796"),Настройки!$B$12)&amp;"")</f>
        <v/>
      </c>
      <c r="G2796">
        <f>IF(F2796="",0,IF(TRIM(INDEX(INDIRECT("'Выгрузка'!A2796:Z2796"),Настройки!$B$13)&amp;"")="",1,IFERROR(--SUBSTITUTE(SUBSTITUTE(TRIM(INDEX(INDIRECT("'Выгрузка'!A2796:Z2796"),Настройки!$B$13)),",","."),".",MID(1/2,2,1)),"")))</f>
        <v/>
      </c>
      <c r="H2796">
        <f>IF(F2796="",0,IF(COUNTIF(Настройки!$B$17:$B$26,F2796)&gt;0,1,IF(COUNTIF(Настройки!$C$17:$C$26,F2796)&gt;0,2,IF(COUNTIF(Настройки!$D$17:$D$26,F2796)&gt;0,3,0))))</f>
        <v/>
      </c>
      <c r="I2796">
        <f>IF(AND(ISNUMBER(A2796),ISNUMBER(B2796)),A2796*1000+B2796,"")</f>
        <v/>
      </c>
      <c r="J2796">
        <f>IF(I2796="","",IF(COUNTIF(I$2:I2796,I2796)=1,MAX(J$1:J2795)+1,""))</f>
        <v/>
      </c>
    </row>
    <row r="2797">
      <c r="A2797">
        <f>IFERROR(--SUBSTITUTE(SUBSTITUTE(TRIM(INDEX(INDIRECT("'Выгрузка'!A2797:Z2797"),Настройки!$B$7)),",","."),".",MID(1/2,2,1)),"")</f>
        <v/>
      </c>
      <c r="B2797">
        <f>IFERROR(--SUBSTITUTE(SUBSTITUTE(TRIM(INDEX(INDIRECT("'Выгрузка'!A2797:Z2797"),Настройки!$B$9)),",","."),".",MID(1/2,2,1)),"")</f>
        <v/>
      </c>
      <c r="C2797">
        <f>TRIM(INDEX(INDIRECT("'Выгрузка'!A2797:Z2797"),Настройки!$B$8)&amp;"")</f>
        <v/>
      </c>
      <c r="D2797">
        <f>IFERROR(--SUBSTITUTE(SUBSTITUTE(TRIM(INDEX(INDIRECT("'Выгрузка'!A2797:Z2797"),Настройки!$B$10)),",","."),".",MID(1/2,2,1)),"")</f>
        <v/>
      </c>
      <c r="E2797">
        <f>IFERROR(--SUBSTITUTE(SUBSTITUTE(TRIM(INDEX(INDIRECT("'Выгрузка'!A2797:Z2797"),Настройки!$B$11)),",","."),".",MID(1/2,2,1)),"")</f>
        <v/>
      </c>
      <c r="F2797">
        <f>TRIM(INDEX(INDIRECT("'Выгрузка'!A2797:Z2797"),Настройки!$B$12)&amp;"")</f>
        <v/>
      </c>
      <c r="G2797">
        <f>IF(F2797="",0,IF(TRIM(INDEX(INDIRECT("'Выгрузка'!A2797:Z2797"),Настройки!$B$13)&amp;"")="",1,IFERROR(--SUBSTITUTE(SUBSTITUTE(TRIM(INDEX(INDIRECT("'Выгрузка'!A2797:Z2797"),Настройки!$B$13)),",","."),".",MID(1/2,2,1)),"")))</f>
        <v/>
      </c>
      <c r="H2797">
        <f>IF(F2797="",0,IF(COUNTIF(Настройки!$B$17:$B$26,F2797)&gt;0,1,IF(COUNTIF(Настройки!$C$17:$C$26,F2797)&gt;0,2,IF(COUNTIF(Настройки!$D$17:$D$26,F2797)&gt;0,3,0))))</f>
        <v/>
      </c>
      <c r="I2797">
        <f>IF(AND(ISNUMBER(A2797),ISNUMBER(B2797)),A2797*1000+B2797,"")</f>
        <v/>
      </c>
      <c r="J2797">
        <f>IF(I2797="","",IF(COUNTIF(I$2:I2797,I2797)=1,MAX(J$1:J2796)+1,""))</f>
        <v/>
      </c>
    </row>
    <row r="2798">
      <c r="A2798">
        <f>IFERROR(--SUBSTITUTE(SUBSTITUTE(TRIM(INDEX(INDIRECT("'Выгрузка'!A2798:Z2798"),Настройки!$B$7)),",","."),".",MID(1/2,2,1)),"")</f>
        <v/>
      </c>
      <c r="B2798">
        <f>IFERROR(--SUBSTITUTE(SUBSTITUTE(TRIM(INDEX(INDIRECT("'Выгрузка'!A2798:Z2798"),Настройки!$B$9)),",","."),".",MID(1/2,2,1)),"")</f>
        <v/>
      </c>
      <c r="C2798">
        <f>TRIM(INDEX(INDIRECT("'Выгрузка'!A2798:Z2798"),Настройки!$B$8)&amp;"")</f>
        <v/>
      </c>
      <c r="D2798">
        <f>IFERROR(--SUBSTITUTE(SUBSTITUTE(TRIM(INDEX(INDIRECT("'Выгрузка'!A2798:Z2798"),Настройки!$B$10)),",","."),".",MID(1/2,2,1)),"")</f>
        <v/>
      </c>
      <c r="E2798">
        <f>IFERROR(--SUBSTITUTE(SUBSTITUTE(TRIM(INDEX(INDIRECT("'Выгрузка'!A2798:Z2798"),Настройки!$B$11)),",","."),".",MID(1/2,2,1)),"")</f>
        <v/>
      </c>
      <c r="F2798">
        <f>TRIM(INDEX(INDIRECT("'Выгрузка'!A2798:Z2798"),Настройки!$B$12)&amp;"")</f>
        <v/>
      </c>
      <c r="G2798">
        <f>IF(F2798="",0,IF(TRIM(INDEX(INDIRECT("'Выгрузка'!A2798:Z2798"),Настройки!$B$13)&amp;"")="",1,IFERROR(--SUBSTITUTE(SUBSTITUTE(TRIM(INDEX(INDIRECT("'Выгрузка'!A2798:Z2798"),Настройки!$B$13)),",","."),".",MID(1/2,2,1)),"")))</f>
        <v/>
      </c>
      <c r="H2798">
        <f>IF(F2798="",0,IF(COUNTIF(Настройки!$B$17:$B$26,F2798)&gt;0,1,IF(COUNTIF(Настройки!$C$17:$C$26,F2798)&gt;0,2,IF(COUNTIF(Настройки!$D$17:$D$26,F2798)&gt;0,3,0))))</f>
        <v/>
      </c>
      <c r="I2798">
        <f>IF(AND(ISNUMBER(A2798),ISNUMBER(B2798)),A2798*1000+B2798,"")</f>
        <v/>
      </c>
      <c r="J2798">
        <f>IF(I2798="","",IF(COUNTIF(I$2:I2798,I2798)=1,MAX(J$1:J2797)+1,""))</f>
        <v/>
      </c>
    </row>
    <row r="2799">
      <c r="A2799">
        <f>IFERROR(--SUBSTITUTE(SUBSTITUTE(TRIM(INDEX(INDIRECT("'Выгрузка'!A2799:Z2799"),Настройки!$B$7)),",","."),".",MID(1/2,2,1)),"")</f>
        <v/>
      </c>
      <c r="B2799">
        <f>IFERROR(--SUBSTITUTE(SUBSTITUTE(TRIM(INDEX(INDIRECT("'Выгрузка'!A2799:Z2799"),Настройки!$B$9)),",","."),".",MID(1/2,2,1)),"")</f>
        <v/>
      </c>
      <c r="C2799">
        <f>TRIM(INDEX(INDIRECT("'Выгрузка'!A2799:Z2799"),Настройки!$B$8)&amp;"")</f>
        <v/>
      </c>
      <c r="D2799">
        <f>IFERROR(--SUBSTITUTE(SUBSTITUTE(TRIM(INDEX(INDIRECT("'Выгрузка'!A2799:Z2799"),Настройки!$B$10)),",","."),".",MID(1/2,2,1)),"")</f>
        <v/>
      </c>
      <c r="E2799">
        <f>IFERROR(--SUBSTITUTE(SUBSTITUTE(TRIM(INDEX(INDIRECT("'Выгрузка'!A2799:Z2799"),Настройки!$B$11)),",","."),".",MID(1/2,2,1)),"")</f>
        <v/>
      </c>
      <c r="F2799">
        <f>TRIM(INDEX(INDIRECT("'Выгрузка'!A2799:Z2799"),Настройки!$B$12)&amp;"")</f>
        <v/>
      </c>
      <c r="G2799">
        <f>IF(F2799="",0,IF(TRIM(INDEX(INDIRECT("'Выгрузка'!A2799:Z2799"),Настройки!$B$13)&amp;"")="",1,IFERROR(--SUBSTITUTE(SUBSTITUTE(TRIM(INDEX(INDIRECT("'Выгрузка'!A2799:Z2799"),Настройки!$B$13)),",","."),".",MID(1/2,2,1)),"")))</f>
        <v/>
      </c>
      <c r="H2799">
        <f>IF(F2799="",0,IF(COUNTIF(Настройки!$B$17:$B$26,F2799)&gt;0,1,IF(COUNTIF(Настройки!$C$17:$C$26,F2799)&gt;0,2,IF(COUNTIF(Настройки!$D$17:$D$26,F2799)&gt;0,3,0))))</f>
        <v/>
      </c>
      <c r="I2799">
        <f>IF(AND(ISNUMBER(A2799),ISNUMBER(B2799)),A2799*1000+B2799,"")</f>
        <v/>
      </c>
      <c r="J2799">
        <f>IF(I2799="","",IF(COUNTIF(I$2:I2799,I2799)=1,MAX(J$1:J2798)+1,""))</f>
        <v/>
      </c>
    </row>
    <row r="2800">
      <c r="A2800">
        <f>IFERROR(--SUBSTITUTE(SUBSTITUTE(TRIM(INDEX(INDIRECT("'Выгрузка'!A2800:Z2800"),Настройки!$B$7)),",","."),".",MID(1/2,2,1)),"")</f>
        <v/>
      </c>
      <c r="B2800">
        <f>IFERROR(--SUBSTITUTE(SUBSTITUTE(TRIM(INDEX(INDIRECT("'Выгрузка'!A2800:Z2800"),Настройки!$B$9)),",","."),".",MID(1/2,2,1)),"")</f>
        <v/>
      </c>
      <c r="C2800">
        <f>TRIM(INDEX(INDIRECT("'Выгрузка'!A2800:Z2800"),Настройки!$B$8)&amp;"")</f>
        <v/>
      </c>
      <c r="D2800">
        <f>IFERROR(--SUBSTITUTE(SUBSTITUTE(TRIM(INDEX(INDIRECT("'Выгрузка'!A2800:Z2800"),Настройки!$B$10)),",","."),".",MID(1/2,2,1)),"")</f>
        <v/>
      </c>
      <c r="E2800">
        <f>IFERROR(--SUBSTITUTE(SUBSTITUTE(TRIM(INDEX(INDIRECT("'Выгрузка'!A2800:Z2800"),Настройки!$B$11)),",","."),".",MID(1/2,2,1)),"")</f>
        <v/>
      </c>
      <c r="F2800">
        <f>TRIM(INDEX(INDIRECT("'Выгрузка'!A2800:Z2800"),Настройки!$B$12)&amp;"")</f>
        <v/>
      </c>
      <c r="G2800">
        <f>IF(F2800="",0,IF(TRIM(INDEX(INDIRECT("'Выгрузка'!A2800:Z2800"),Настройки!$B$13)&amp;"")="",1,IFERROR(--SUBSTITUTE(SUBSTITUTE(TRIM(INDEX(INDIRECT("'Выгрузка'!A2800:Z2800"),Настройки!$B$13)),",","."),".",MID(1/2,2,1)),"")))</f>
        <v/>
      </c>
      <c r="H2800">
        <f>IF(F2800="",0,IF(COUNTIF(Настройки!$B$17:$B$26,F2800)&gt;0,1,IF(COUNTIF(Настройки!$C$17:$C$26,F2800)&gt;0,2,IF(COUNTIF(Настройки!$D$17:$D$26,F2800)&gt;0,3,0))))</f>
        <v/>
      </c>
      <c r="I2800">
        <f>IF(AND(ISNUMBER(A2800),ISNUMBER(B2800)),A2800*1000+B2800,"")</f>
        <v/>
      </c>
      <c r="J2800">
        <f>IF(I2800="","",IF(COUNTIF(I$2:I2800,I2800)=1,MAX(J$1:J2799)+1,""))</f>
        <v/>
      </c>
    </row>
    <row r="2801">
      <c r="A2801">
        <f>IFERROR(--SUBSTITUTE(SUBSTITUTE(TRIM(INDEX(INDIRECT("'Выгрузка'!A2801:Z2801"),Настройки!$B$7)),",","."),".",MID(1/2,2,1)),"")</f>
        <v/>
      </c>
      <c r="B2801">
        <f>IFERROR(--SUBSTITUTE(SUBSTITUTE(TRIM(INDEX(INDIRECT("'Выгрузка'!A2801:Z2801"),Настройки!$B$9)),",","."),".",MID(1/2,2,1)),"")</f>
        <v/>
      </c>
      <c r="C2801">
        <f>TRIM(INDEX(INDIRECT("'Выгрузка'!A2801:Z2801"),Настройки!$B$8)&amp;"")</f>
        <v/>
      </c>
      <c r="D2801">
        <f>IFERROR(--SUBSTITUTE(SUBSTITUTE(TRIM(INDEX(INDIRECT("'Выгрузка'!A2801:Z2801"),Настройки!$B$10)),",","."),".",MID(1/2,2,1)),"")</f>
        <v/>
      </c>
      <c r="E2801">
        <f>IFERROR(--SUBSTITUTE(SUBSTITUTE(TRIM(INDEX(INDIRECT("'Выгрузка'!A2801:Z2801"),Настройки!$B$11)),",","."),".",MID(1/2,2,1)),"")</f>
        <v/>
      </c>
      <c r="F2801">
        <f>TRIM(INDEX(INDIRECT("'Выгрузка'!A2801:Z2801"),Настройки!$B$12)&amp;"")</f>
        <v/>
      </c>
      <c r="G2801">
        <f>IF(F2801="",0,IF(TRIM(INDEX(INDIRECT("'Выгрузка'!A2801:Z2801"),Настройки!$B$13)&amp;"")="",1,IFERROR(--SUBSTITUTE(SUBSTITUTE(TRIM(INDEX(INDIRECT("'Выгрузка'!A2801:Z2801"),Настройки!$B$13)),",","."),".",MID(1/2,2,1)),"")))</f>
        <v/>
      </c>
      <c r="H2801">
        <f>IF(F2801="",0,IF(COUNTIF(Настройки!$B$17:$B$26,F2801)&gt;0,1,IF(COUNTIF(Настройки!$C$17:$C$26,F2801)&gt;0,2,IF(COUNTIF(Настройки!$D$17:$D$26,F2801)&gt;0,3,0))))</f>
        <v/>
      </c>
      <c r="I2801">
        <f>IF(AND(ISNUMBER(A2801),ISNUMBER(B2801)),A2801*1000+B2801,"")</f>
        <v/>
      </c>
      <c r="J2801">
        <f>IF(I2801="","",IF(COUNTIF(I$2:I2801,I2801)=1,MAX(J$1:J2800)+1,""))</f>
        <v/>
      </c>
    </row>
    <row r="2802">
      <c r="A2802">
        <f>IFERROR(--SUBSTITUTE(SUBSTITUTE(TRIM(INDEX(INDIRECT("'Выгрузка'!A2802:Z2802"),Настройки!$B$7)),",","."),".",MID(1/2,2,1)),"")</f>
        <v/>
      </c>
      <c r="B2802">
        <f>IFERROR(--SUBSTITUTE(SUBSTITUTE(TRIM(INDEX(INDIRECT("'Выгрузка'!A2802:Z2802"),Настройки!$B$9)),",","."),".",MID(1/2,2,1)),"")</f>
        <v/>
      </c>
      <c r="C2802">
        <f>TRIM(INDEX(INDIRECT("'Выгрузка'!A2802:Z2802"),Настройки!$B$8)&amp;"")</f>
        <v/>
      </c>
      <c r="D2802">
        <f>IFERROR(--SUBSTITUTE(SUBSTITUTE(TRIM(INDEX(INDIRECT("'Выгрузка'!A2802:Z2802"),Настройки!$B$10)),",","."),".",MID(1/2,2,1)),"")</f>
        <v/>
      </c>
      <c r="E2802">
        <f>IFERROR(--SUBSTITUTE(SUBSTITUTE(TRIM(INDEX(INDIRECT("'Выгрузка'!A2802:Z2802"),Настройки!$B$11)),",","."),".",MID(1/2,2,1)),"")</f>
        <v/>
      </c>
      <c r="F2802">
        <f>TRIM(INDEX(INDIRECT("'Выгрузка'!A2802:Z2802"),Настройки!$B$12)&amp;"")</f>
        <v/>
      </c>
      <c r="G2802">
        <f>IF(F2802="",0,IF(TRIM(INDEX(INDIRECT("'Выгрузка'!A2802:Z2802"),Настройки!$B$13)&amp;"")="",1,IFERROR(--SUBSTITUTE(SUBSTITUTE(TRIM(INDEX(INDIRECT("'Выгрузка'!A2802:Z2802"),Настройки!$B$13)),",","."),".",MID(1/2,2,1)),"")))</f>
        <v/>
      </c>
      <c r="H2802">
        <f>IF(F2802="",0,IF(COUNTIF(Настройки!$B$17:$B$26,F2802)&gt;0,1,IF(COUNTIF(Настройки!$C$17:$C$26,F2802)&gt;0,2,IF(COUNTIF(Настройки!$D$17:$D$26,F2802)&gt;0,3,0))))</f>
        <v/>
      </c>
      <c r="I2802">
        <f>IF(AND(ISNUMBER(A2802),ISNUMBER(B2802)),A2802*1000+B2802,"")</f>
        <v/>
      </c>
      <c r="J2802">
        <f>IF(I2802="","",IF(COUNTIF(I$2:I2802,I2802)=1,MAX(J$1:J2801)+1,""))</f>
        <v/>
      </c>
    </row>
    <row r="2803">
      <c r="A2803">
        <f>IFERROR(--SUBSTITUTE(SUBSTITUTE(TRIM(INDEX(INDIRECT("'Выгрузка'!A2803:Z2803"),Настройки!$B$7)),",","."),".",MID(1/2,2,1)),"")</f>
        <v/>
      </c>
      <c r="B2803">
        <f>IFERROR(--SUBSTITUTE(SUBSTITUTE(TRIM(INDEX(INDIRECT("'Выгрузка'!A2803:Z2803"),Настройки!$B$9)),",","."),".",MID(1/2,2,1)),"")</f>
        <v/>
      </c>
      <c r="C2803">
        <f>TRIM(INDEX(INDIRECT("'Выгрузка'!A2803:Z2803"),Настройки!$B$8)&amp;"")</f>
        <v/>
      </c>
      <c r="D2803">
        <f>IFERROR(--SUBSTITUTE(SUBSTITUTE(TRIM(INDEX(INDIRECT("'Выгрузка'!A2803:Z2803"),Настройки!$B$10)),",","."),".",MID(1/2,2,1)),"")</f>
        <v/>
      </c>
      <c r="E2803">
        <f>IFERROR(--SUBSTITUTE(SUBSTITUTE(TRIM(INDEX(INDIRECT("'Выгрузка'!A2803:Z2803"),Настройки!$B$11)),",","."),".",MID(1/2,2,1)),"")</f>
        <v/>
      </c>
      <c r="F2803">
        <f>TRIM(INDEX(INDIRECT("'Выгрузка'!A2803:Z2803"),Настройки!$B$12)&amp;"")</f>
        <v/>
      </c>
      <c r="G2803">
        <f>IF(F2803="",0,IF(TRIM(INDEX(INDIRECT("'Выгрузка'!A2803:Z2803"),Настройки!$B$13)&amp;"")="",1,IFERROR(--SUBSTITUTE(SUBSTITUTE(TRIM(INDEX(INDIRECT("'Выгрузка'!A2803:Z2803"),Настройки!$B$13)),",","."),".",MID(1/2,2,1)),"")))</f>
        <v/>
      </c>
      <c r="H2803">
        <f>IF(F2803="",0,IF(COUNTIF(Настройки!$B$17:$B$26,F2803)&gt;0,1,IF(COUNTIF(Настройки!$C$17:$C$26,F2803)&gt;0,2,IF(COUNTIF(Настройки!$D$17:$D$26,F2803)&gt;0,3,0))))</f>
        <v/>
      </c>
      <c r="I2803">
        <f>IF(AND(ISNUMBER(A2803),ISNUMBER(B2803)),A2803*1000+B2803,"")</f>
        <v/>
      </c>
      <c r="J2803">
        <f>IF(I2803="","",IF(COUNTIF(I$2:I2803,I2803)=1,MAX(J$1:J2802)+1,""))</f>
        <v/>
      </c>
    </row>
    <row r="2804">
      <c r="A2804">
        <f>IFERROR(--SUBSTITUTE(SUBSTITUTE(TRIM(INDEX(INDIRECT("'Выгрузка'!A2804:Z2804"),Настройки!$B$7)),",","."),".",MID(1/2,2,1)),"")</f>
        <v/>
      </c>
      <c r="B2804">
        <f>IFERROR(--SUBSTITUTE(SUBSTITUTE(TRIM(INDEX(INDIRECT("'Выгрузка'!A2804:Z2804"),Настройки!$B$9)),",","."),".",MID(1/2,2,1)),"")</f>
        <v/>
      </c>
      <c r="C2804">
        <f>TRIM(INDEX(INDIRECT("'Выгрузка'!A2804:Z2804"),Настройки!$B$8)&amp;"")</f>
        <v/>
      </c>
      <c r="D2804">
        <f>IFERROR(--SUBSTITUTE(SUBSTITUTE(TRIM(INDEX(INDIRECT("'Выгрузка'!A2804:Z2804"),Настройки!$B$10)),",","."),".",MID(1/2,2,1)),"")</f>
        <v/>
      </c>
      <c r="E2804">
        <f>IFERROR(--SUBSTITUTE(SUBSTITUTE(TRIM(INDEX(INDIRECT("'Выгрузка'!A2804:Z2804"),Настройки!$B$11)),",","."),".",MID(1/2,2,1)),"")</f>
        <v/>
      </c>
      <c r="F2804">
        <f>TRIM(INDEX(INDIRECT("'Выгрузка'!A2804:Z2804"),Настройки!$B$12)&amp;"")</f>
        <v/>
      </c>
      <c r="G2804">
        <f>IF(F2804="",0,IF(TRIM(INDEX(INDIRECT("'Выгрузка'!A2804:Z2804"),Настройки!$B$13)&amp;"")="",1,IFERROR(--SUBSTITUTE(SUBSTITUTE(TRIM(INDEX(INDIRECT("'Выгрузка'!A2804:Z2804"),Настройки!$B$13)),",","."),".",MID(1/2,2,1)),"")))</f>
        <v/>
      </c>
      <c r="H2804">
        <f>IF(F2804="",0,IF(COUNTIF(Настройки!$B$17:$B$26,F2804)&gt;0,1,IF(COUNTIF(Настройки!$C$17:$C$26,F2804)&gt;0,2,IF(COUNTIF(Настройки!$D$17:$D$26,F2804)&gt;0,3,0))))</f>
        <v/>
      </c>
      <c r="I2804">
        <f>IF(AND(ISNUMBER(A2804),ISNUMBER(B2804)),A2804*1000+B2804,"")</f>
        <v/>
      </c>
      <c r="J2804">
        <f>IF(I2804="","",IF(COUNTIF(I$2:I2804,I2804)=1,MAX(J$1:J2803)+1,""))</f>
        <v/>
      </c>
    </row>
    <row r="2805">
      <c r="A2805">
        <f>IFERROR(--SUBSTITUTE(SUBSTITUTE(TRIM(INDEX(INDIRECT("'Выгрузка'!A2805:Z2805"),Настройки!$B$7)),",","."),".",MID(1/2,2,1)),"")</f>
        <v/>
      </c>
      <c r="B2805">
        <f>IFERROR(--SUBSTITUTE(SUBSTITUTE(TRIM(INDEX(INDIRECT("'Выгрузка'!A2805:Z2805"),Настройки!$B$9)),",","."),".",MID(1/2,2,1)),"")</f>
        <v/>
      </c>
      <c r="C2805">
        <f>TRIM(INDEX(INDIRECT("'Выгрузка'!A2805:Z2805"),Настройки!$B$8)&amp;"")</f>
        <v/>
      </c>
      <c r="D2805">
        <f>IFERROR(--SUBSTITUTE(SUBSTITUTE(TRIM(INDEX(INDIRECT("'Выгрузка'!A2805:Z2805"),Настройки!$B$10)),",","."),".",MID(1/2,2,1)),"")</f>
        <v/>
      </c>
      <c r="E2805">
        <f>IFERROR(--SUBSTITUTE(SUBSTITUTE(TRIM(INDEX(INDIRECT("'Выгрузка'!A2805:Z2805"),Настройки!$B$11)),",","."),".",MID(1/2,2,1)),"")</f>
        <v/>
      </c>
      <c r="F2805">
        <f>TRIM(INDEX(INDIRECT("'Выгрузка'!A2805:Z2805"),Настройки!$B$12)&amp;"")</f>
        <v/>
      </c>
      <c r="G2805">
        <f>IF(F2805="",0,IF(TRIM(INDEX(INDIRECT("'Выгрузка'!A2805:Z2805"),Настройки!$B$13)&amp;"")="",1,IFERROR(--SUBSTITUTE(SUBSTITUTE(TRIM(INDEX(INDIRECT("'Выгрузка'!A2805:Z2805"),Настройки!$B$13)),",","."),".",MID(1/2,2,1)),"")))</f>
        <v/>
      </c>
      <c r="H2805">
        <f>IF(F2805="",0,IF(COUNTIF(Настройки!$B$17:$B$26,F2805)&gt;0,1,IF(COUNTIF(Настройки!$C$17:$C$26,F2805)&gt;0,2,IF(COUNTIF(Настройки!$D$17:$D$26,F2805)&gt;0,3,0))))</f>
        <v/>
      </c>
      <c r="I2805">
        <f>IF(AND(ISNUMBER(A2805),ISNUMBER(B2805)),A2805*1000+B2805,"")</f>
        <v/>
      </c>
      <c r="J2805">
        <f>IF(I2805="","",IF(COUNTIF(I$2:I2805,I2805)=1,MAX(J$1:J2804)+1,""))</f>
        <v/>
      </c>
    </row>
    <row r="2806">
      <c r="A2806">
        <f>IFERROR(--SUBSTITUTE(SUBSTITUTE(TRIM(INDEX(INDIRECT("'Выгрузка'!A2806:Z2806"),Настройки!$B$7)),",","."),".",MID(1/2,2,1)),"")</f>
        <v/>
      </c>
      <c r="B2806">
        <f>IFERROR(--SUBSTITUTE(SUBSTITUTE(TRIM(INDEX(INDIRECT("'Выгрузка'!A2806:Z2806"),Настройки!$B$9)),",","."),".",MID(1/2,2,1)),"")</f>
        <v/>
      </c>
      <c r="C2806">
        <f>TRIM(INDEX(INDIRECT("'Выгрузка'!A2806:Z2806"),Настройки!$B$8)&amp;"")</f>
        <v/>
      </c>
      <c r="D2806">
        <f>IFERROR(--SUBSTITUTE(SUBSTITUTE(TRIM(INDEX(INDIRECT("'Выгрузка'!A2806:Z2806"),Настройки!$B$10)),",","."),".",MID(1/2,2,1)),"")</f>
        <v/>
      </c>
      <c r="E2806">
        <f>IFERROR(--SUBSTITUTE(SUBSTITUTE(TRIM(INDEX(INDIRECT("'Выгрузка'!A2806:Z2806"),Настройки!$B$11)),",","."),".",MID(1/2,2,1)),"")</f>
        <v/>
      </c>
      <c r="F2806">
        <f>TRIM(INDEX(INDIRECT("'Выгрузка'!A2806:Z2806"),Настройки!$B$12)&amp;"")</f>
        <v/>
      </c>
      <c r="G2806">
        <f>IF(F2806="",0,IF(TRIM(INDEX(INDIRECT("'Выгрузка'!A2806:Z2806"),Настройки!$B$13)&amp;"")="",1,IFERROR(--SUBSTITUTE(SUBSTITUTE(TRIM(INDEX(INDIRECT("'Выгрузка'!A2806:Z2806"),Настройки!$B$13)),",","."),".",MID(1/2,2,1)),"")))</f>
        <v/>
      </c>
      <c r="H2806">
        <f>IF(F2806="",0,IF(COUNTIF(Настройки!$B$17:$B$26,F2806)&gt;0,1,IF(COUNTIF(Настройки!$C$17:$C$26,F2806)&gt;0,2,IF(COUNTIF(Настройки!$D$17:$D$26,F2806)&gt;0,3,0))))</f>
        <v/>
      </c>
      <c r="I2806">
        <f>IF(AND(ISNUMBER(A2806),ISNUMBER(B2806)),A2806*1000+B2806,"")</f>
        <v/>
      </c>
      <c r="J2806">
        <f>IF(I2806="","",IF(COUNTIF(I$2:I2806,I2806)=1,MAX(J$1:J2805)+1,""))</f>
        <v/>
      </c>
    </row>
    <row r="2807">
      <c r="A2807">
        <f>IFERROR(--SUBSTITUTE(SUBSTITUTE(TRIM(INDEX(INDIRECT("'Выгрузка'!A2807:Z2807"),Настройки!$B$7)),",","."),".",MID(1/2,2,1)),"")</f>
        <v/>
      </c>
      <c r="B2807">
        <f>IFERROR(--SUBSTITUTE(SUBSTITUTE(TRIM(INDEX(INDIRECT("'Выгрузка'!A2807:Z2807"),Настройки!$B$9)),",","."),".",MID(1/2,2,1)),"")</f>
        <v/>
      </c>
      <c r="C2807">
        <f>TRIM(INDEX(INDIRECT("'Выгрузка'!A2807:Z2807"),Настройки!$B$8)&amp;"")</f>
        <v/>
      </c>
      <c r="D2807">
        <f>IFERROR(--SUBSTITUTE(SUBSTITUTE(TRIM(INDEX(INDIRECT("'Выгрузка'!A2807:Z2807"),Настройки!$B$10)),",","."),".",MID(1/2,2,1)),"")</f>
        <v/>
      </c>
      <c r="E2807">
        <f>IFERROR(--SUBSTITUTE(SUBSTITUTE(TRIM(INDEX(INDIRECT("'Выгрузка'!A2807:Z2807"),Настройки!$B$11)),",","."),".",MID(1/2,2,1)),"")</f>
        <v/>
      </c>
      <c r="F2807">
        <f>TRIM(INDEX(INDIRECT("'Выгрузка'!A2807:Z2807"),Настройки!$B$12)&amp;"")</f>
        <v/>
      </c>
      <c r="G2807">
        <f>IF(F2807="",0,IF(TRIM(INDEX(INDIRECT("'Выгрузка'!A2807:Z2807"),Настройки!$B$13)&amp;"")="",1,IFERROR(--SUBSTITUTE(SUBSTITUTE(TRIM(INDEX(INDIRECT("'Выгрузка'!A2807:Z2807"),Настройки!$B$13)),",","."),".",MID(1/2,2,1)),"")))</f>
        <v/>
      </c>
      <c r="H2807">
        <f>IF(F2807="",0,IF(COUNTIF(Настройки!$B$17:$B$26,F2807)&gt;0,1,IF(COUNTIF(Настройки!$C$17:$C$26,F2807)&gt;0,2,IF(COUNTIF(Настройки!$D$17:$D$26,F2807)&gt;0,3,0))))</f>
        <v/>
      </c>
      <c r="I2807">
        <f>IF(AND(ISNUMBER(A2807),ISNUMBER(B2807)),A2807*1000+B2807,"")</f>
        <v/>
      </c>
      <c r="J2807">
        <f>IF(I2807="","",IF(COUNTIF(I$2:I2807,I2807)=1,MAX(J$1:J2806)+1,""))</f>
        <v/>
      </c>
    </row>
    <row r="2808">
      <c r="A2808">
        <f>IFERROR(--SUBSTITUTE(SUBSTITUTE(TRIM(INDEX(INDIRECT("'Выгрузка'!A2808:Z2808"),Настройки!$B$7)),",","."),".",MID(1/2,2,1)),"")</f>
        <v/>
      </c>
      <c r="B2808">
        <f>IFERROR(--SUBSTITUTE(SUBSTITUTE(TRIM(INDEX(INDIRECT("'Выгрузка'!A2808:Z2808"),Настройки!$B$9)),",","."),".",MID(1/2,2,1)),"")</f>
        <v/>
      </c>
      <c r="C2808">
        <f>TRIM(INDEX(INDIRECT("'Выгрузка'!A2808:Z2808"),Настройки!$B$8)&amp;"")</f>
        <v/>
      </c>
      <c r="D2808">
        <f>IFERROR(--SUBSTITUTE(SUBSTITUTE(TRIM(INDEX(INDIRECT("'Выгрузка'!A2808:Z2808"),Настройки!$B$10)),",","."),".",MID(1/2,2,1)),"")</f>
        <v/>
      </c>
      <c r="E2808">
        <f>IFERROR(--SUBSTITUTE(SUBSTITUTE(TRIM(INDEX(INDIRECT("'Выгрузка'!A2808:Z2808"),Настройки!$B$11)),",","."),".",MID(1/2,2,1)),"")</f>
        <v/>
      </c>
      <c r="F2808">
        <f>TRIM(INDEX(INDIRECT("'Выгрузка'!A2808:Z2808"),Настройки!$B$12)&amp;"")</f>
        <v/>
      </c>
      <c r="G2808">
        <f>IF(F2808="",0,IF(TRIM(INDEX(INDIRECT("'Выгрузка'!A2808:Z2808"),Настройки!$B$13)&amp;"")="",1,IFERROR(--SUBSTITUTE(SUBSTITUTE(TRIM(INDEX(INDIRECT("'Выгрузка'!A2808:Z2808"),Настройки!$B$13)),",","."),".",MID(1/2,2,1)),"")))</f>
        <v/>
      </c>
      <c r="H2808">
        <f>IF(F2808="",0,IF(COUNTIF(Настройки!$B$17:$B$26,F2808)&gt;0,1,IF(COUNTIF(Настройки!$C$17:$C$26,F2808)&gt;0,2,IF(COUNTIF(Настройки!$D$17:$D$26,F2808)&gt;0,3,0))))</f>
        <v/>
      </c>
      <c r="I2808">
        <f>IF(AND(ISNUMBER(A2808),ISNUMBER(B2808)),A2808*1000+B2808,"")</f>
        <v/>
      </c>
      <c r="J2808">
        <f>IF(I2808="","",IF(COUNTIF(I$2:I2808,I2808)=1,MAX(J$1:J2807)+1,""))</f>
        <v/>
      </c>
    </row>
    <row r="2809">
      <c r="A2809">
        <f>IFERROR(--SUBSTITUTE(SUBSTITUTE(TRIM(INDEX(INDIRECT("'Выгрузка'!A2809:Z2809"),Настройки!$B$7)),",","."),".",MID(1/2,2,1)),"")</f>
        <v/>
      </c>
      <c r="B2809">
        <f>IFERROR(--SUBSTITUTE(SUBSTITUTE(TRIM(INDEX(INDIRECT("'Выгрузка'!A2809:Z2809"),Настройки!$B$9)),",","."),".",MID(1/2,2,1)),"")</f>
        <v/>
      </c>
      <c r="C2809">
        <f>TRIM(INDEX(INDIRECT("'Выгрузка'!A2809:Z2809"),Настройки!$B$8)&amp;"")</f>
        <v/>
      </c>
      <c r="D2809">
        <f>IFERROR(--SUBSTITUTE(SUBSTITUTE(TRIM(INDEX(INDIRECT("'Выгрузка'!A2809:Z2809"),Настройки!$B$10)),",","."),".",MID(1/2,2,1)),"")</f>
        <v/>
      </c>
      <c r="E2809">
        <f>IFERROR(--SUBSTITUTE(SUBSTITUTE(TRIM(INDEX(INDIRECT("'Выгрузка'!A2809:Z2809"),Настройки!$B$11)),",","."),".",MID(1/2,2,1)),"")</f>
        <v/>
      </c>
      <c r="F2809">
        <f>TRIM(INDEX(INDIRECT("'Выгрузка'!A2809:Z2809"),Настройки!$B$12)&amp;"")</f>
        <v/>
      </c>
      <c r="G2809">
        <f>IF(F2809="",0,IF(TRIM(INDEX(INDIRECT("'Выгрузка'!A2809:Z2809"),Настройки!$B$13)&amp;"")="",1,IFERROR(--SUBSTITUTE(SUBSTITUTE(TRIM(INDEX(INDIRECT("'Выгрузка'!A2809:Z2809"),Настройки!$B$13)),",","."),".",MID(1/2,2,1)),"")))</f>
        <v/>
      </c>
      <c r="H2809">
        <f>IF(F2809="",0,IF(COUNTIF(Настройки!$B$17:$B$26,F2809)&gt;0,1,IF(COUNTIF(Настройки!$C$17:$C$26,F2809)&gt;0,2,IF(COUNTIF(Настройки!$D$17:$D$26,F2809)&gt;0,3,0))))</f>
        <v/>
      </c>
      <c r="I2809">
        <f>IF(AND(ISNUMBER(A2809),ISNUMBER(B2809)),A2809*1000+B2809,"")</f>
        <v/>
      </c>
      <c r="J2809">
        <f>IF(I2809="","",IF(COUNTIF(I$2:I2809,I2809)=1,MAX(J$1:J2808)+1,""))</f>
        <v/>
      </c>
    </row>
    <row r="2810">
      <c r="A2810">
        <f>IFERROR(--SUBSTITUTE(SUBSTITUTE(TRIM(INDEX(INDIRECT("'Выгрузка'!A2810:Z2810"),Настройки!$B$7)),",","."),".",MID(1/2,2,1)),"")</f>
        <v/>
      </c>
      <c r="B2810">
        <f>IFERROR(--SUBSTITUTE(SUBSTITUTE(TRIM(INDEX(INDIRECT("'Выгрузка'!A2810:Z2810"),Настройки!$B$9)),",","."),".",MID(1/2,2,1)),"")</f>
        <v/>
      </c>
      <c r="C2810">
        <f>TRIM(INDEX(INDIRECT("'Выгрузка'!A2810:Z2810"),Настройки!$B$8)&amp;"")</f>
        <v/>
      </c>
      <c r="D2810">
        <f>IFERROR(--SUBSTITUTE(SUBSTITUTE(TRIM(INDEX(INDIRECT("'Выгрузка'!A2810:Z2810"),Настройки!$B$10)),",","."),".",MID(1/2,2,1)),"")</f>
        <v/>
      </c>
      <c r="E2810">
        <f>IFERROR(--SUBSTITUTE(SUBSTITUTE(TRIM(INDEX(INDIRECT("'Выгрузка'!A2810:Z2810"),Настройки!$B$11)),",","."),".",MID(1/2,2,1)),"")</f>
        <v/>
      </c>
      <c r="F2810">
        <f>TRIM(INDEX(INDIRECT("'Выгрузка'!A2810:Z2810"),Настройки!$B$12)&amp;"")</f>
        <v/>
      </c>
      <c r="G2810">
        <f>IF(F2810="",0,IF(TRIM(INDEX(INDIRECT("'Выгрузка'!A2810:Z2810"),Настройки!$B$13)&amp;"")="",1,IFERROR(--SUBSTITUTE(SUBSTITUTE(TRIM(INDEX(INDIRECT("'Выгрузка'!A2810:Z2810"),Настройки!$B$13)),",","."),".",MID(1/2,2,1)),"")))</f>
        <v/>
      </c>
      <c r="H2810">
        <f>IF(F2810="",0,IF(COUNTIF(Настройки!$B$17:$B$26,F2810)&gt;0,1,IF(COUNTIF(Настройки!$C$17:$C$26,F2810)&gt;0,2,IF(COUNTIF(Настройки!$D$17:$D$26,F2810)&gt;0,3,0))))</f>
        <v/>
      </c>
      <c r="I2810">
        <f>IF(AND(ISNUMBER(A2810),ISNUMBER(B2810)),A2810*1000+B2810,"")</f>
        <v/>
      </c>
      <c r="J2810">
        <f>IF(I2810="","",IF(COUNTIF(I$2:I2810,I2810)=1,MAX(J$1:J2809)+1,""))</f>
        <v/>
      </c>
    </row>
    <row r="2811">
      <c r="A2811">
        <f>IFERROR(--SUBSTITUTE(SUBSTITUTE(TRIM(INDEX(INDIRECT("'Выгрузка'!A2811:Z2811"),Настройки!$B$7)),",","."),".",MID(1/2,2,1)),"")</f>
        <v/>
      </c>
      <c r="B2811">
        <f>IFERROR(--SUBSTITUTE(SUBSTITUTE(TRIM(INDEX(INDIRECT("'Выгрузка'!A2811:Z2811"),Настройки!$B$9)),",","."),".",MID(1/2,2,1)),"")</f>
        <v/>
      </c>
      <c r="C2811">
        <f>TRIM(INDEX(INDIRECT("'Выгрузка'!A2811:Z2811"),Настройки!$B$8)&amp;"")</f>
        <v/>
      </c>
      <c r="D2811">
        <f>IFERROR(--SUBSTITUTE(SUBSTITUTE(TRIM(INDEX(INDIRECT("'Выгрузка'!A2811:Z2811"),Настройки!$B$10)),",","."),".",MID(1/2,2,1)),"")</f>
        <v/>
      </c>
      <c r="E2811">
        <f>IFERROR(--SUBSTITUTE(SUBSTITUTE(TRIM(INDEX(INDIRECT("'Выгрузка'!A2811:Z2811"),Настройки!$B$11)),",","."),".",MID(1/2,2,1)),"")</f>
        <v/>
      </c>
      <c r="F2811">
        <f>TRIM(INDEX(INDIRECT("'Выгрузка'!A2811:Z2811"),Настройки!$B$12)&amp;"")</f>
        <v/>
      </c>
      <c r="G2811">
        <f>IF(F2811="",0,IF(TRIM(INDEX(INDIRECT("'Выгрузка'!A2811:Z2811"),Настройки!$B$13)&amp;"")="",1,IFERROR(--SUBSTITUTE(SUBSTITUTE(TRIM(INDEX(INDIRECT("'Выгрузка'!A2811:Z2811"),Настройки!$B$13)),",","."),".",MID(1/2,2,1)),"")))</f>
        <v/>
      </c>
      <c r="H2811">
        <f>IF(F2811="",0,IF(COUNTIF(Настройки!$B$17:$B$26,F2811)&gt;0,1,IF(COUNTIF(Настройки!$C$17:$C$26,F2811)&gt;0,2,IF(COUNTIF(Настройки!$D$17:$D$26,F2811)&gt;0,3,0))))</f>
        <v/>
      </c>
      <c r="I2811">
        <f>IF(AND(ISNUMBER(A2811),ISNUMBER(B2811)),A2811*1000+B2811,"")</f>
        <v/>
      </c>
      <c r="J2811">
        <f>IF(I2811="","",IF(COUNTIF(I$2:I2811,I2811)=1,MAX(J$1:J2810)+1,""))</f>
        <v/>
      </c>
    </row>
    <row r="2812">
      <c r="A2812">
        <f>IFERROR(--SUBSTITUTE(SUBSTITUTE(TRIM(INDEX(INDIRECT("'Выгрузка'!A2812:Z2812"),Настройки!$B$7)),",","."),".",MID(1/2,2,1)),"")</f>
        <v/>
      </c>
      <c r="B2812">
        <f>IFERROR(--SUBSTITUTE(SUBSTITUTE(TRIM(INDEX(INDIRECT("'Выгрузка'!A2812:Z2812"),Настройки!$B$9)),",","."),".",MID(1/2,2,1)),"")</f>
        <v/>
      </c>
      <c r="C2812">
        <f>TRIM(INDEX(INDIRECT("'Выгрузка'!A2812:Z2812"),Настройки!$B$8)&amp;"")</f>
        <v/>
      </c>
      <c r="D2812">
        <f>IFERROR(--SUBSTITUTE(SUBSTITUTE(TRIM(INDEX(INDIRECT("'Выгрузка'!A2812:Z2812"),Настройки!$B$10)),",","."),".",MID(1/2,2,1)),"")</f>
        <v/>
      </c>
      <c r="E2812">
        <f>IFERROR(--SUBSTITUTE(SUBSTITUTE(TRIM(INDEX(INDIRECT("'Выгрузка'!A2812:Z2812"),Настройки!$B$11)),",","."),".",MID(1/2,2,1)),"")</f>
        <v/>
      </c>
      <c r="F2812">
        <f>TRIM(INDEX(INDIRECT("'Выгрузка'!A2812:Z2812"),Настройки!$B$12)&amp;"")</f>
        <v/>
      </c>
      <c r="G2812">
        <f>IF(F2812="",0,IF(TRIM(INDEX(INDIRECT("'Выгрузка'!A2812:Z2812"),Настройки!$B$13)&amp;"")="",1,IFERROR(--SUBSTITUTE(SUBSTITUTE(TRIM(INDEX(INDIRECT("'Выгрузка'!A2812:Z2812"),Настройки!$B$13)),",","."),".",MID(1/2,2,1)),"")))</f>
        <v/>
      </c>
      <c r="H2812">
        <f>IF(F2812="",0,IF(COUNTIF(Настройки!$B$17:$B$26,F2812)&gt;0,1,IF(COUNTIF(Настройки!$C$17:$C$26,F2812)&gt;0,2,IF(COUNTIF(Настройки!$D$17:$D$26,F2812)&gt;0,3,0))))</f>
        <v/>
      </c>
      <c r="I2812">
        <f>IF(AND(ISNUMBER(A2812),ISNUMBER(B2812)),A2812*1000+B2812,"")</f>
        <v/>
      </c>
      <c r="J2812">
        <f>IF(I2812="","",IF(COUNTIF(I$2:I2812,I2812)=1,MAX(J$1:J2811)+1,""))</f>
        <v/>
      </c>
    </row>
    <row r="2813">
      <c r="A2813">
        <f>IFERROR(--SUBSTITUTE(SUBSTITUTE(TRIM(INDEX(INDIRECT("'Выгрузка'!A2813:Z2813"),Настройки!$B$7)),",","."),".",MID(1/2,2,1)),"")</f>
        <v/>
      </c>
      <c r="B2813">
        <f>IFERROR(--SUBSTITUTE(SUBSTITUTE(TRIM(INDEX(INDIRECT("'Выгрузка'!A2813:Z2813"),Настройки!$B$9)),",","."),".",MID(1/2,2,1)),"")</f>
        <v/>
      </c>
      <c r="C2813">
        <f>TRIM(INDEX(INDIRECT("'Выгрузка'!A2813:Z2813"),Настройки!$B$8)&amp;"")</f>
        <v/>
      </c>
      <c r="D2813">
        <f>IFERROR(--SUBSTITUTE(SUBSTITUTE(TRIM(INDEX(INDIRECT("'Выгрузка'!A2813:Z2813"),Настройки!$B$10)),",","."),".",MID(1/2,2,1)),"")</f>
        <v/>
      </c>
      <c r="E2813">
        <f>IFERROR(--SUBSTITUTE(SUBSTITUTE(TRIM(INDEX(INDIRECT("'Выгрузка'!A2813:Z2813"),Настройки!$B$11)),",","."),".",MID(1/2,2,1)),"")</f>
        <v/>
      </c>
      <c r="F2813">
        <f>TRIM(INDEX(INDIRECT("'Выгрузка'!A2813:Z2813"),Настройки!$B$12)&amp;"")</f>
        <v/>
      </c>
      <c r="G2813">
        <f>IF(F2813="",0,IF(TRIM(INDEX(INDIRECT("'Выгрузка'!A2813:Z2813"),Настройки!$B$13)&amp;"")="",1,IFERROR(--SUBSTITUTE(SUBSTITUTE(TRIM(INDEX(INDIRECT("'Выгрузка'!A2813:Z2813"),Настройки!$B$13)),",","."),".",MID(1/2,2,1)),"")))</f>
        <v/>
      </c>
      <c r="H2813">
        <f>IF(F2813="",0,IF(COUNTIF(Настройки!$B$17:$B$26,F2813)&gt;0,1,IF(COUNTIF(Настройки!$C$17:$C$26,F2813)&gt;0,2,IF(COUNTIF(Настройки!$D$17:$D$26,F2813)&gt;0,3,0))))</f>
        <v/>
      </c>
      <c r="I2813">
        <f>IF(AND(ISNUMBER(A2813),ISNUMBER(B2813)),A2813*1000+B2813,"")</f>
        <v/>
      </c>
      <c r="J2813">
        <f>IF(I2813="","",IF(COUNTIF(I$2:I2813,I2813)=1,MAX(J$1:J2812)+1,""))</f>
        <v/>
      </c>
    </row>
    <row r="2814">
      <c r="A2814">
        <f>IFERROR(--SUBSTITUTE(SUBSTITUTE(TRIM(INDEX(INDIRECT("'Выгрузка'!A2814:Z2814"),Настройки!$B$7)),",","."),".",MID(1/2,2,1)),"")</f>
        <v/>
      </c>
      <c r="B2814">
        <f>IFERROR(--SUBSTITUTE(SUBSTITUTE(TRIM(INDEX(INDIRECT("'Выгрузка'!A2814:Z2814"),Настройки!$B$9)),",","."),".",MID(1/2,2,1)),"")</f>
        <v/>
      </c>
      <c r="C2814">
        <f>TRIM(INDEX(INDIRECT("'Выгрузка'!A2814:Z2814"),Настройки!$B$8)&amp;"")</f>
        <v/>
      </c>
      <c r="D2814">
        <f>IFERROR(--SUBSTITUTE(SUBSTITUTE(TRIM(INDEX(INDIRECT("'Выгрузка'!A2814:Z2814"),Настройки!$B$10)),",","."),".",MID(1/2,2,1)),"")</f>
        <v/>
      </c>
      <c r="E2814">
        <f>IFERROR(--SUBSTITUTE(SUBSTITUTE(TRIM(INDEX(INDIRECT("'Выгрузка'!A2814:Z2814"),Настройки!$B$11)),",","."),".",MID(1/2,2,1)),"")</f>
        <v/>
      </c>
      <c r="F2814">
        <f>TRIM(INDEX(INDIRECT("'Выгрузка'!A2814:Z2814"),Настройки!$B$12)&amp;"")</f>
        <v/>
      </c>
      <c r="G2814">
        <f>IF(F2814="",0,IF(TRIM(INDEX(INDIRECT("'Выгрузка'!A2814:Z2814"),Настройки!$B$13)&amp;"")="",1,IFERROR(--SUBSTITUTE(SUBSTITUTE(TRIM(INDEX(INDIRECT("'Выгрузка'!A2814:Z2814"),Настройки!$B$13)),",","."),".",MID(1/2,2,1)),"")))</f>
        <v/>
      </c>
      <c r="H2814">
        <f>IF(F2814="",0,IF(COUNTIF(Настройки!$B$17:$B$26,F2814)&gt;0,1,IF(COUNTIF(Настройки!$C$17:$C$26,F2814)&gt;0,2,IF(COUNTIF(Настройки!$D$17:$D$26,F2814)&gt;0,3,0))))</f>
        <v/>
      </c>
      <c r="I2814">
        <f>IF(AND(ISNUMBER(A2814),ISNUMBER(B2814)),A2814*1000+B2814,"")</f>
        <v/>
      </c>
      <c r="J2814">
        <f>IF(I2814="","",IF(COUNTIF(I$2:I2814,I2814)=1,MAX(J$1:J2813)+1,""))</f>
        <v/>
      </c>
    </row>
    <row r="2815">
      <c r="A2815">
        <f>IFERROR(--SUBSTITUTE(SUBSTITUTE(TRIM(INDEX(INDIRECT("'Выгрузка'!A2815:Z2815"),Настройки!$B$7)),",","."),".",MID(1/2,2,1)),"")</f>
        <v/>
      </c>
      <c r="B2815">
        <f>IFERROR(--SUBSTITUTE(SUBSTITUTE(TRIM(INDEX(INDIRECT("'Выгрузка'!A2815:Z2815"),Настройки!$B$9)),",","."),".",MID(1/2,2,1)),"")</f>
        <v/>
      </c>
      <c r="C2815">
        <f>TRIM(INDEX(INDIRECT("'Выгрузка'!A2815:Z2815"),Настройки!$B$8)&amp;"")</f>
        <v/>
      </c>
      <c r="D2815">
        <f>IFERROR(--SUBSTITUTE(SUBSTITUTE(TRIM(INDEX(INDIRECT("'Выгрузка'!A2815:Z2815"),Настройки!$B$10)),",","."),".",MID(1/2,2,1)),"")</f>
        <v/>
      </c>
      <c r="E2815">
        <f>IFERROR(--SUBSTITUTE(SUBSTITUTE(TRIM(INDEX(INDIRECT("'Выгрузка'!A2815:Z2815"),Настройки!$B$11)),",","."),".",MID(1/2,2,1)),"")</f>
        <v/>
      </c>
      <c r="F2815">
        <f>TRIM(INDEX(INDIRECT("'Выгрузка'!A2815:Z2815"),Настройки!$B$12)&amp;"")</f>
        <v/>
      </c>
      <c r="G2815">
        <f>IF(F2815="",0,IF(TRIM(INDEX(INDIRECT("'Выгрузка'!A2815:Z2815"),Настройки!$B$13)&amp;"")="",1,IFERROR(--SUBSTITUTE(SUBSTITUTE(TRIM(INDEX(INDIRECT("'Выгрузка'!A2815:Z2815"),Настройки!$B$13)),",","."),".",MID(1/2,2,1)),"")))</f>
        <v/>
      </c>
      <c r="H2815">
        <f>IF(F2815="",0,IF(COUNTIF(Настройки!$B$17:$B$26,F2815)&gt;0,1,IF(COUNTIF(Настройки!$C$17:$C$26,F2815)&gt;0,2,IF(COUNTIF(Настройки!$D$17:$D$26,F2815)&gt;0,3,0))))</f>
        <v/>
      </c>
      <c r="I2815">
        <f>IF(AND(ISNUMBER(A2815),ISNUMBER(B2815)),A2815*1000+B2815,"")</f>
        <v/>
      </c>
      <c r="J2815">
        <f>IF(I2815="","",IF(COUNTIF(I$2:I2815,I2815)=1,MAX(J$1:J2814)+1,""))</f>
        <v/>
      </c>
    </row>
    <row r="2816">
      <c r="A2816">
        <f>IFERROR(--SUBSTITUTE(SUBSTITUTE(TRIM(INDEX(INDIRECT("'Выгрузка'!A2816:Z2816"),Настройки!$B$7)),",","."),".",MID(1/2,2,1)),"")</f>
        <v/>
      </c>
      <c r="B2816">
        <f>IFERROR(--SUBSTITUTE(SUBSTITUTE(TRIM(INDEX(INDIRECT("'Выгрузка'!A2816:Z2816"),Настройки!$B$9)),",","."),".",MID(1/2,2,1)),"")</f>
        <v/>
      </c>
      <c r="C2816">
        <f>TRIM(INDEX(INDIRECT("'Выгрузка'!A2816:Z2816"),Настройки!$B$8)&amp;"")</f>
        <v/>
      </c>
      <c r="D2816">
        <f>IFERROR(--SUBSTITUTE(SUBSTITUTE(TRIM(INDEX(INDIRECT("'Выгрузка'!A2816:Z2816"),Настройки!$B$10)),",","."),".",MID(1/2,2,1)),"")</f>
        <v/>
      </c>
      <c r="E2816">
        <f>IFERROR(--SUBSTITUTE(SUBSTITUTE(TRIM(INDEX(INDIRECT("'Выгрузка'!A2816:Z2816"),Настройки!$B$11)),",","."),".",MID(1/2,2,1)),"")</f>
        <v/>
      </c>
      <c r="F2816">
        <f>TRIM(INDEX(INDIRECT("'Выгрузка'!A2816:Z2816"),Настройки!$B$12)&amp;"")</f>
        <v/>
      </c>
      <c r="G2816">
        <f>IF(F2816="",0,IF(TRIM(INDEX(INDIRECT("'Выгрузка'!A2816:Z2816"),Настройки!$B$13)&amp;"")="",1,IFERROR(--SUBSTITUTE(SUBSTITUTE(TRIM(INDEX(INDIRECT("'Выгрузка'!A2816:Z2816"),Настройки!$B$13)),",","."),".",MID(1/2,2,1)),"")))</f>
        <v/>
      </c>
      <c r="H2816">
        <f>IF(F2816="",0,IF(COUNTIF(Настройки!$B$17:$B$26,F2816)&gt;0,1,IF(COUNTIF(Настройки!$C$17:$C$26,F2816)&gt;0,2,IF(COUNTIF(Настройки!$D$17:$D$26,F2816)&gt;0,3,0))))</f>
        <v/>
      </c>
      <c r="I2816">
        <f>IF(AND(ISNUMBER(A2816),ISNUMBER(B2816)),A2816*1000+B2816,"")</f>
        <v/>
      </c>
      <c r="J2816">
        <f>IF(I2816="","",IF(COUNTIF(I$2:I2816,I2816)=1,MAX(J$1:J2815)+1,""))</f>
        <v/>
      </c>
    </row>
    <row r="2817">
      <c r="A2817">
        <f>IFERROR(--SUBSTITUTE(SUBSTITUTE(TRIM(INDEX(INDIRECT("'Выгрузка'!A2817:Z2817"),Настройки!$B$7)),",","."),".",MID(1/2,2,1)),"")</f>
        <v/>
      </c>
      <c r="B2817">
        <f>IFERROR(--SUBSTITUTE(SUBSTITUTE(TRIM(INDEX(INDIRECT("'Выгрузка'!A2817:Z2817"),Настройки!$B$9)),",","."),".",MID(1/2,2,1)),"")</f>
        <v/>
      </c>
      <c r="C2817">
        <f>TRIM(INDEX(INDIRECT("'Выгрузка'!A2817:Z2817"),Настройки!$B$8)&amp;"")</f>
        <v/>
      </c>
      <c r="D2817">
        <f>IFERROR(--SUBSTITUTE(SUBSTITUTE(TRIM(INDEX(INDIRECT("'Выгрузка'!A2817:Z2817"),Настройки!$B$10)),",","."),".",MID(1/2,2,1)),"")</f>
        <v/>
      </c>
      <c r="E2817">
        <f>IFERROR(--SUBSTITUTE(SUBSTITUTE(TRIM(INDEX(INDIRECT("'Выгрузка'!A2817:Z2817"),Настройки!$B$11)),",","."),".",MID(1/2,2,1)),"")</f>
        <v/>
      </c>
      <c r="F2817">
        <f>TRIM(INDEX(INDIRECT("'Выгрузка'!A2817:Z2817"),Настройки!$B$12)&amp;"")</f>
        <v/>
      </c>
      <c r="G2817">
        <f>IF(F2817="",0,IF(TRIM(INDEX(INDIRECT("'Выгрузка'!A2817:Z2817"),Настройки!$B$13)&amp;"")="",1,IFERROR(--SUBSTITUTE(SUBSTITUTE(TRIM(INDEX(INDIRECT("'Выгрузка'!A2817:Z2817"),Настройки!$B$13)),",","."),".",MID(1/2,2,1)),"")))</f>
        <v/>
      </c>
      <c r="H2817">
        <f>IF(F2817="",0,IF(COUNTIF(Настройки!$B$17:$B$26,F2817)&gt;0,1,IF(COUNTIF(Настройки!$C$17:$C$26,F2817)&gt;0,2,IF(COUNTIF(Настройки!$D$17:$D$26,F2817)&gt;0,3,0))))</f>
        <v/>
      </c>
      <c r="I2817">
        <f>IF(AND(ISNUMBER(A2817),ISNUMBER(B2817)),A2817*1000+B2817,"")</f>
        <v/>
      </c>
      <c r="J2817">
        <f>IF(I2817="","",IF(COUNTIF(I$2:I2817,I2817)=1,MAX(J$1:J2816)+1,""))</f>
        <v/>
      </c>
    </row>
    <row r="2818">
      <c r="A2818">
        <f>IFERROR(--SUBSTITUTE(SUBSTITUTE(TRIM(INDEX(INDIRECT("'Выгрузка'!A2818:Z2818"),Настройки!$B$7)),",","."),".",MID(1/2,2,1)),"")</f>
        <v/>
      </c>
      <c r="B2818">
        <f>IFERROR(--SUBSTITUTE(SUBSTITUTE(TRIM(INDEX(INDIRECT("'Выгрузка'!A2818:Z2818"),Настройки!$B$9)),",","."),".",MID(1/2,2,1)),"")</f>
        <v/>
      </c>
      <c r="C2818">
        <f>TRIM(INDEX(INDIRECT("'Выгрузка'!A2818:Z2818"),Настройки!$B$8)&amp;"")</f>
        <v/>
      </c>
      <c r="D2818">
        <f>IFERROR(--SUBSTITUTE(SUBSTITUTE(TRIM(INDEX(INDIRECT("'Выгрузка'!A2818:Z2818"),Настройки!$B$10)),",","."),".",MID(1/2,2,1)),"")</f>
        <v/>
      </c>
      <c r="E2818">
        <f>IFERROR(--SUBSTITUTE(SUBSTITUTE(TRIM(INDEX(INDIRECT("'Выгрузка'!A2818:Z2818"),Настройки!$B$11)),",","."),".",MID(1/2,2,1)),"")</f>
        <v/>
      </c>
      <c r="F2818">
        <f>TRIM(INDEX(INDIRECT("'Выгрузка'!A2818:Z2818"),Настройки!$B$12)&amp;"")</f>
        <v/>
      </c>
      <c r="G2818">
        <f>IF(F2818="",0,IF(TRIM(INDEX(INDIRECT("'Выгрузка'!A2818:Z2818"),Настройки!$B$13)&amp;"")="",1,IFERROR(--SUBSTITUTE(SUBSTITUTE(TRIM(INDEX(INDIRECT("'Выгрузка'!A2818:Z2818"),Настройки!$B$13)),",","."),".",MID(1/2,2,1)),"")))</f>
        <v/>
      </c>
      <c r="H2818">
        <f>IF(F2818="",0,IF(COUNTIF(Настройки!$B$17:$B$26,F2818)&gt;0,1,IF(COUNTIF(Настройки!$C$17:$C$26,F2818)&gt;0,2,IF(COUNTIF(Настройки!$D$17:$D$26,F2818)&gt;0,3,0))))</f>
        <v/>
      </c>
      <c r="I2818">
        <f>IF(AND(ISNUMBER(A2818),ISNUMBER(B2818)),A2818*1000+B2818,"")</f>
        <v/>
      </c>
      <c r="J2818">
        <f>IF(I2818="","",IF(COUNTIF(I$2:I2818,I2818)=1,MAX(J$1:J2817)+1,""))</f>
        <v/>
      </c>
    </row>
    <row r="2819">
      <c r="A2819">
        <f>IFERROR(--SUBSTITUTE(SUBSTITUTE(TRIM(INDEX(INDIRECT("'Выгрузка'!A2819:Z2819"),Настройки!$B$7)),",","."),".",MID(1/2,2,1)),"")</f>
        <v/>
      </c>
      <c r="B2819">
        <f>IFERROR(--SUBSTITUTE(SUBSTITUTE(TRIM(INDEX(INDIRECT("'Выгрузка'!A2819:Z2819"),Настройки!$B$9)),",","."),".",MID(1/2,2,1)),"")</f>
        <v/>
      </c>
      <c r="C2819">
        <f>TRIM(INDEX(INDIRECT("'Выгрузка'!A2819:Z2819"),Настройки!$B$8)&amp;"")</f>
        <v/>
      </c>
      <c r="D2819">
        <f>IFERROR(--SUBSTITUTE(SUBSTITUTE(TRIM(INDEX(INDIRECT("'Выгрузка'!A2819:Z2819"),Настройки!$B$10)),",","."),".",MID(1/2,2,1)),"")</f>
        <v/>
      </c>
      <c r="E2819">
        <f>IFERROR(--SUBSTITUTE(SUBSTITUTE(TRIM(INDEX(INDIRECT("'Выгрузка'!A2819:Z2819"),Настройки!$B$11)),",","."),".",MID(1/2,2,1)),"")</f>
        <v/>
      </c>
      <c r="F2819">
        <f>TRIM(INDEX(INDIRECT("'Выгрузка'!A2819:Z2819"),Настройки!$B$12)&amp;"")</f>
        <v/>
      </c>
      <c r="G2819">
        <f>IF(F2819="",0,IF(TRIM(INDEX(INDIRECT("'Выгрузка'!A2819:Z2819"),Настройки!$B$13)&amp;"")="",1,IFERROR(--SUBSTITUTE(SUBSTITUTE(TRIM(INDEX(INDIRECT("'Выгрузка'!A2819:Z2819"),Настройки!$B$13)),",","."),".",MID(1/2,2,1)),"")))</f>
        <v/>
      </c>
      <c r="H2819">
        <f>IF(F2819="",0,IF(COUNTIF(Настройки!$B$17:$B$26,F2819)&gt;0,1,IF(COUNTIF(Настройки!$C$17:$C$26,F2819)&gt;0,2,IF(COUNTIF(Настройки!$D$17:$D$26,F2819)&gt;0,3,0))))</f>
        <v/>
      </c>
      <c r="I2819">
        <f>IF(AND(ISNUMBER(A2819),ISNUMBER(B2819)),A2819*1000+B2819,"")</f>
        <v/>
      </c>
      <c r="J2819">
        <f>IF(I2819="","",IF(COUNTIF(I$2:I2819,I2819)=1,MAX(J$1:J2818)+1,""))</f>
        <v/>
      </c>
    </row>
    <row r="2820">
      <c r="A2820">
        <f>IFERROR(--SUBSTITUTE(SUBSTITUTE(TRIM(INDEX(INDIRECT("'Выгрузка'!A2820:Z2820"),Настройки!$B$7)),",","."),".",MID(1/2,2,1)),"")</f>
        <v/>
      </c>
      <c r="B2820">
        <f>IFERROR(--SUBSTITUTE(SUBSTITUTE(TRIM(INDEX(INDIRECT("'Выгрузка'!A2820:Z2820"),Настройки!$B$9)),",","."),".",MID(1/2,2,1)),"")</f>
        <v/>
      </c>
      <c r="C2820">
        <f>TRIM(INDEX(INDIRECT("'Выгрузка'!A2820:Z2820"),Настройки!$B$8)&amp;"")</f>
        <v/>
      </c>
      <c r="D2820">
        <f>IFERROR(--SUBSTITUTE(SUBSTITUTE(TRIM(INDEX(INDIRECT("'Выгрузка'!A2820:Z2820"),Настройки!$B$10)),",","."),".",MID(1/2,2,1)),"")</f>
        <v/>
      </c>
      <c r="E2820">
        <f>IFERROR(--SUBSTITUTE(SUBSTITUTE(TRIM(INDEX(INDIRECT("'Выгрузка'!A2820:Z2820"),Настройки!$B$11)),",","."),".",MID(1/2,2,1)),"")</f>
        <v/>
      </c>
      <c r="F2820">
        <f>TRIM(INDEX(INDIRECT("'Выгрузка'!A2820:Z2820"),Настройки!$B$12)&amp;"")</f>
        <v/>
      </c>
      <c r="G2820">
        <f>IF(F2820="",0,IF(TRIM(INDEX(INDIRECT("'Выгрузка'!A2820:Z2820"),Настройки!$B$13)&amp;"")="",1,IFERROR(--SUBSTITUTE(SUBSTITUTE(TRIM(INDEX(INDIRECT("'Выгрузка'!A2820:Z2820"),Настройки!$B$13)),",","."),".",MID(1/2,2,1)),"")))</f>
        <v/>
      </c>
      <c r="H2820">
        <f>IF(F2820="",0,IF(COUNTIF(Настройки!$B$17:$B$26,F2820)&gt;0,1,IF(COUNTIF(Настройки!$C$17:$C$26,F2820)&gt;0,2,IF(COUNTIF(Настройки!$D$17:$D$26,F2820)&gt;0,3,0))))</f>
        <v/>
      </c>
      <c r="I2820">
        <f>IF(AND(ISNUMBER(A2820),ISNUMBER(B2820)),A2820*1000+B2820,"")</f>
        <v/>
      </c>
      <c r="J2820">
        <f>IF(I2820="","",IF(COUNTIF(I$2:I2820,I2820)=1,MAX(J$1:J2819)+1,""))</f>
        <v/>
      </c>
    </row>
    <row r="2821">
      <c r="A2821">
        <f>IFERROR(--SUBSTITUTE(SUBSTITUTE(TRIM(INDEX(INDIRECT("'Выгрузка'!A2821:Z2821"),Настройки!$B$7)),",","."),".",MID(1/2,2,1)),"")</f>
        <v/>
      </c>
      <c r="B2821">
        <f>IFERROR(--SUBSTITUTE(SUBSTITUTE(TRIM(INDEX(INDIRECT("'Выгрузка'!A2821:Z2821"),Настройки!$B$9)),",","."),".",MID(1/2,2,1)),"")</f>
        <v/>
      </c>
      <c r="C2821">
        <f>TRIM(INDEX(INDIRECT("'Выгрузка'!A2821:Z2821"),Настройки!$B$8)&amp;"")</f>
        <v/>
      </c>
      <c r="D2821">
        <f>IFERROR(--SUBSTITUTE(SUBSTITUTE(TRIM(INDEX(INDIRECT("'Выгрузка'!A2821:Z2821"),Настройки!$B$10)),",","."),".",MID(1/2,2,1)),"")</f>
        <v/>
      </c>
      <c r="E2821">
        <f>IFERROR(--SUBSTITUTE(SUBSTITUTE(TRIM(INDEX(INDIRECT("'Выгрузка'!A2821:Z2821"),Настройки!$B$11)),",","."),".",MID(1/2,2,1)),"")</f>
        <v/>
      </c>
      <c r="F2821">
        <f>TRIM(INDEX(INDIRECT("'Выгрузка'!A2821:Z2821"),Настройки!$B$12)&amp;"")</f>
        <v/>
      </c>
      <c r="G2821">
        <f>IF(F2821="",0,IF(TRIM(INDEX(INDIRECT("'Выгрузка'!A2821:Z2821"),Настройки!$B$13)&amp;"")="",1,IFERROR(--SUBSTITUTE(SUBSTITUTE(TRIM(INDEX(INDIRECT("'Выгрузка'!A2821:Z2821"),Настройки!$B$13)),",","."),".",MID(1/2,2,1)),"")))</f>
        <v/>
      </c>
      <c r="H2821">
        <f>IF(F2821="",0,IF(COUNTIF(Настройки!$B$17:$B$26,F2821)&gt;0,1,IF(COUNTIF(Настройки!$C$17:$C$26,F2821)&gt;0,2,IF(COUNTIF(Настройки!$D$17:$D$26,F2821)&gt;0,3,0))))</f>
        <v/>
      </c>
      <c r="I2821">
        <f>IF(AND(ISNUMBER(A2821),ISNUMBER(B2821)),A2821*1000+B2821,"")</f>
        <v/>
      </c>
      <c r="J2821">
        <f>IF(I2821="","",IF(COUNTIF(I$2:I2821,I2821)=1,MAX(J$1:J2820)+1,""))</f>
        <v/>
      </c>
    </row>
    <row r="2822">
      <c r="A2822">
        <f>IFERROR(--SUBSTITUTE(SUBSTITUTE(TRIM(INDEX(INDIRECT("'Выгрузка'!A2822:Z2822"),Настройки!$B$7)),",","."),".",MID(1/2,2,1)),"")</f>
        <v/>
      </c>
      <c r="B2822">
        <f>IFERROR(--SUBSTITUTE(SUBSTITUTE(TRIM(INDEX(INDIRECT("'Выгрузка'!A2822:Z2822"),Настройки!$B$9)),",","."),".",MID(1/2,2,1)),"")</f>
        <v/>
      </c>
      <c r="C2822">
        <f>TRIM(INDEX(INDIRECT("'Выгрузка'!A2822:Z2822"),Настройки!$B$8)&amp;"")</f>
        <v/>
      </c>
      <c r="D2822">
        <f>IFERROR(--SUBSTITUTE(SUBSTITUTE(TRIM(INDEX(INDIRECT("'Выгрузка'!A2822:Z2822"),Настройки!$B$10)),",","."),".",MID(1/2,2,1)),"")</f>
        <v/>
      </c>
      <c r="E2822">
        <f>IFERROR(--SUBSTITUTE(SUBSTITUTE(TRIM(INDEX(INDIRECT("'Выгрузка'!A2822:Z2822"),Настройки!$B$11)),",","."),".",MID(1/2,2,1)),"")</f>
        <v/>
      </c>
      <c r="F2822">
        <f>TRIM(INDEX(INDIRECT("'Выгрузка'!A2822:Z2822"),Настройки!$B$12)&amp;"")</f>
        <v/>
      </c>
      <c r="G2822">
        <f>IF(F2822="",0,IF(TRIM(INDEX(INDIRECT("'Выгрузка'!A2822:Z2822"),Настройки!$B$13)&amp;"")="",1,IFERROR(--SUBSTITUTE(SUBSTITUTE(TRIM(INDEX(INDIRECT("'Выгрузка'!A2822:Z2822"),Настройки!$B$13)),",","."),".",MID(1/2,2,1)),"")))</f>
        <v/>
      </c>
      <c r="H2822">
        <f>IF(F2822="",0,IF(COUNTIF(Настройки!$B$17:$B$26,F2822)&gt;0,1,IF(COUNTIF(Настройки!$C$17:$C$26,F2822)&gt;0,2,IF(COUNTIF(Настройки!$D$17:$D$26,F2822)&gt;0,3,0))))</f>
        <v/>
      </c>
      <c r="I2822">
        <f>IF(AND(ISNUMBER(A2822),ISNUMBER(B2822)),A2822*1000+B2822,"")</f>
        <v/>
      </c>
      <c r="J2822">
        <f>IF(I2822="","",IF(COUNTIF(I$2:I2822,I2822)=1,MAX(J$1:J2821)+1,""))</f>
        <v/>
      </c>
    </row>
    <row r="2823">
      <c r="A2823">
        <f>IFERROR(--SUBSTITUTE(SUBSTITUTE(TRIM(INDEX(INDIRECT("'Выгрузка'!A2823:Z2823"),Настройки!$B$7)),",","."),".",MID(1/2,2,1)),"")</f>
        <v/>
      </c>
      <c r="B2823">
        <f>IFERROR(--SUBSTITUTE(SUBSTITUTE(TRIM(INDEX(INDIRECT("'Выгрузка'!A2823:Z2823"),Настройки!$B$9)),",","."),".",MID(1/2,2,1)),"")</f>
        <v/>
      </c>
      <c r="C2823">
        <f>TRIM(INDEX(INDIRECT("'Выгрузка'!A2823:Z2823"),Настройки!$B$8)&amp;"")</f>
        <v/>
      </c>
      <c r="D2823">
        <f>IFERROR(--SUBSTITUTE(SUBSTITUTE(TRIM(INDEX(INDIRECT("'Выгрузка'!A2823:Z2823"),Настройки!$B$10)),",","."),".",MID(1/2,2,1)),"")</f>
        <v/>
      </c>
      <c r="E2823">
        <f>IFERROR(--SUBSTITUTE(SUBSTITUTE(TRIM(INDEX(INDIRECT("'Выгрузка'!A2823:Z2823"),Настройки!$B$11)),",","."),".",MID(1/2,2,1)),"")</f>
        <v/>
      </c>
      <c r="F2823">
        <f>TRIM(INDEX(INDIRECT("'Выгрузка'!A2823:Z2823"),Настройки!$B$12)&amp;"")</f>
        <v/>
      </c>
      <c r="G2823">
        <f>IF(F2823="",0,IF(TRIM(INDEX(INDIRECT("'Выгрузка'!A2823:Z2823"),Настройки!$B$13)&amp;"")="",1,IFERROR(--SUBSTITUTE(SUBSTITUTE(TRIM(INDEX(INDIRECT("'Выгрузка'!A2823:Z2823"),Настройки!$B$13)),",","."),".",MID(1/2,2,1)),"")))</f>
        <v/>
      </c>
      <c r="H2823">
        <f>IF(F2823="",0,IF(COUNTIF(Настройки!$B$17:$B$26,F2823)&gt;0,1,IF(COUNTIF(Настройки!$C$17:$C$26,F2823)&gt;0,2,IF(COUNTIF(Настройки!$D$17:$D$26,F2823)&gt;0,3,0))))</f>
        <v/>
      </c>
      <c r="I2823">
        <f>IF(AND(ISNUMBER(A2823),ISNUMBER(B2823)),A2823*1000+B2823,"")</f>
        <v/>
      </c>
      <c r="J2823">
        <f>IF(I2823="","",IF(COUNTIF(I$2:I2823,I2823)=1,MAX(J$1:J2822)+1,""))</f>
        <v/>
      </c>
    </row>
    <row r="2824">
      <c r="A2824">
        <f>IFERROR(--SUBSTITUTE(SUBSTITUTE(TRIM(INDEX(INDIRECT("'Выгрузка'!A2824:Z2824"),Настройки!$B$7)),",","."),".",MID(1/2,2,1)),"")</f>
        <v/>
      </c>
      <c r="B2824">
        <f>IFERROR(--SUBSTITUTE(SUBSTITUTE(TRIM(INDEX(INDIRECT("'Выгрузка'!A2824:Z2824"),Настройки!$B$9)),",","."),".",MID(1/2,2,1)),"")</f>
        <v/>
      </c>
      <c r="C2824">
        <f>TRIM(INDEX(INDIRECT("'Выгрузка'!A2824:Z2824"),Настройки!$B$8)&amp;"")</f>
        <v/>
      </c>
      <c r="D2824">
        <f>IFERROR(--SUBSTITUTE(SUBSTITUTE(TRIM(INDEX(INDIRECT("'Выгрузка'!A2824:Z2824"),Настройки!$B$10)),",","."),".",MID(1/2,2,1)),"")</f>
        <v/>
      </c>
      <c r="E2824">
        <f>IFERROR(--SUBSTITUTE(SUBSTITUTE(TRIM(INDEX(INDIRECT("'Выгрузка'!A2824:Z2824"),Настройки!$B$11)),",","."),".",MID(1/2,2,1)),"")</f>
        <v/>
      </c>
      <c r="F2824">
        <f>TRIM(INDEX(INDIRECT("'Выгрузка'!A2824:Z2824"),Настройки!$B$12)&amp;"")</f>
        <v/>
      </c>
      <c r="G2824">
        <f>IF(F2824="",0,IF(TRIM(INDEX(INDIRECT("'Выгрузка'!A2824:Z2824"),Настройки!$B$13)&amp;"")="",1,IFERROR(--SUBSTITUTE(SUBSTITUTE(TRIM(INDEX(INDIRECT("'Выгрузка'!A2824:Z2824"),Настройки!$B$13)),",","."),".",MID(1/2,2,1)),"")))</f>
        <v/>
      </c>
      <c r="H2824">
        <f>IF(F2824="",0,IF(COUNTIF(Настройки!$B$17:$B$26,F2824)&gt;0,1,IF(COUNTIF(Настройки!$C$17:$C$26,F2824)&gt;0,2,IF(COUNTIF(Настройки!$D$17:$D$26,F2824)&gt;0,3,0))))</f>
        <v/>
      </c>
      <c r="I2824">
        <f>IF(AND(ISNUMBER(A2824),ISNUMBER(B2824)),A2824*1000+B2824,"")</f>
        <v/>
      </c>
      <c r="J2824">
        <f>IF(I2824="","",IF(COUNTIF(I$2:I2824,I2824)=1,MAX(J$1:J2823)+1,""))</f>
        <v/>
      </c>
    </row>
    <row r="2825">
      <c r="A2825">
        <f>IFERROR(--SUBSTITUTE(SUBSTITUTE(TRIM(INDEX(INDIRECT("'Выгрузка'!A2825:Z2825"),Настройки!$B$7)),",","."),".",MID(1/2,2,1)),"")</f>
        <v/>
      </c>
      <c r="B2825">
        <f>IFERROR(--SUBSTITUTE(SUBSTITUTE(TRIM(INDEX(INDIRECT("'Выгрузка'!A2825:Z2825"),Настройки!$B$9)),",","."),".",MID(1/2,2,1)),"")</f>
        <v/>
      </c>
      <c r="C2825">
        <f>TRIM(INDEX(INDIRECT("'Выгрузка'!A2825:Z2825"),Настройки!$B$8)&amp;"")</f>
        <v/>
      </c>
      <c r="D2825">
        <f>IFERROR(--SUBSTITUTE(SUBSTITUTE(TRIM(INDEX(INDIRECT("'Выгрузка'!A2825:Z2825"),Настройки!$B$10)),",","."),".",MID(1/2,2,1)),"")</f>
        <v/>
      </c>
      <c r="E2825">
        <f>IFERROR(--SUBSTITUTE(SUBSTITUTE(TRIM(INDEX(INDIRECT("'Выгрузка'!A2825:Z2825"),Настройки!$B$11)),",","."),".",MID(1/2,2,1)),"")</f>
        <v/>
      </c>
      <c r="F2825">
        <f>TRIM(INDEX(INDIRECT("'Выгрузка'!A2825:Z2825"),Настройки!$B$12)&amp;"")</f>
        <v/>
      </c>
      <c r="G2825">
        <f>IF(F2825="",0,IF(TRIM(INDEX(INDIRECT("'Выгрузка'!A2825:Z2825"),Настройки!$B$13)&amp;"")="",1,IFERROR(--SUBSTITUTE(SUBSTITUTE(TRIM(INDEX(INDIRECT("'Выгрузка'!A2825:Z2825"),Настройки!$B$13)),",","."),".",MID(1/2,2,1)),"")))</f>
        <v/>
      </c>
      <c r="H2825">
        <f>IF(F2825="",0,IF(COUNTIF(Настройки!$B$17:$B$26,F2825)&gt;0,1,IF(COUNTIF(Настройки!$C$17:$C$26,F2825)&gt;0,2,IF(COUNTIF(Настройки!$D$17:$D$26,F2825)&gt;0,3,0))))</f>
        <v/>
      </c>
      <c r="I2825">
        <f>IF(AND(ISNUMBER(A2825),ISNUMBER(B2825)),A2825*1000+B2825,"")</f>
        <v/>
      </c>
      <c r="J2825">
        <f>IF(I2825="","",IF(COUNTIF(I$2:I2825,I2825)=1,MAX(J$1:J2824)+1,""))</f>
        <v/>
      </c>
    </row>
    <row r="2826">
      <c r="A2826">
        <f>IFERROR(--SUBSTITUTE(SUBSTITUTE(TRIM(INDEX(INDIRECT("'Выгрузка'!A2826:Z2826"),Настройки!$B$7)),",","."),".",MID(1/2,2,1)),"")</f>
        <v/>
      </c>
      <c r="B2826">
        <f>IFERROR(--SUBSTITUTE(SUBSTITUTE(TRIM(INDEX(INDIRECT("'Выгрузка'!A2826:Z2826"),Настройки!$B$9)),",","."),".",MID(1/2,2,1)),"")</f>
        <v/>
      </c>
      <c r="C2826">
        <f>TRIM(INDEX(INDIRECT("'Выгрузка'!A2826:Z2826"),Настройки!$B$8)&amp;"")</f>
        <v/>
      </c>
      <c r="D2826">
        <f>IFERROR(--SUBSTITUTE(SUBSTITUTE(TRIM(INDEX(INDIRECT("'Выгрузка'!A2826:Z2826"),Настройки!$B$10)),",","."),".",MID(1/2,2,1)),"")</f>
        <v/>
      </c>
      <c r="E2826">
        <f>IFERROR(--SUBSTITUTE(SUBSTITUTE(TRIM(INDEX(INDIRECT("'Выгрузка'!A2826:Z2826"),Настройки!$B$11)),",","."),".",MID(1/2,2,1)),"")</f>
        <v/>
      </c>
      <c r="F2826">
        <f>TRIM(INDEX(INDIRECT("'Выгрузка'!A2826:Z2826"),Настройки!$B$12)&amp;"")</f>
        <v/>
      </c>
      <c r="G2826">
        <f>IF(F2826="",0,IF(TRIM(INDEX(INDIRECT("'Выгрузка'!A2826:Z2826"),Настройки!$B$13)&amp;"")="",1,IFERROR(--SUBSTITUTE(SUBSTITUTE(TRIM(INDEX(INDIRECT("'Выгрузка'!A2826:Z2826"),Настройки!$B$13)),",","."),".",MID(1/2,2,1)),"")))</f>
        <v/>
      </c>
      <c r="H2826">
        <f>IF(F2826="",0,IF(COUNTIF(Настройки!$B$17:$B$26,F2826)&gt;0,1,IF(COUNTIF(Настройки!$C$17:$C$26,F2826)&gt;0,2,IF(COUNTIF(Настройки!$D$17:$D$26,F2826)&gt;0,3,0))))</f>
        <v/>
      </c>
      <c r="I2826">
        <f>IF(AND(ISNUMBER(A2826),ISNUMBER(B2826)),A2826*1000+B2826,"")</f>
        <v/>
      </c>
      <c r="J2826">
        <f>IF(I2826="","",IF(COUNTIF(I$2:I2826,I2826)=1,MAX(J$1:J2825)+1,""))</f>
        <v/>
      </c>
    </row>
    <row r="2827">
      <c r="A2827">
        <f>IFERROR(--SUBSTITUTE(SUBSTITUTE(TRIM(INDEX(INDIRECT("'Выгрузка'!A2827:Z2827"),Настройки!$B$7)),",","."),".",MID(1/2,2,1)),"")</f>
        <v/>
      </c>
      <c r="B2827">
        <f>IFERROR(--SUBSTITUTE(SUBSTITUTE(TRIM(INDEX(INDIRECT("'Выгрузка'!A2827:Z2827"),Настройки!$B$9)),",","."),".",MID(1/2,2,1)),"")</f>
        <v/>
      </c>
      <c r="C2827">
        <f>TRIM(INDEX(INDIRECT("'Выгрузка'!A2827:Z2827"),Настройки!$B$8)&amp;"")</f>
        <v/>
      </c>
      <c r="D2827">
        <f>IFERROR(--SUBSTITUTE(SUBSTITUTE(TRIM(INDEX(INDIRECT("'Выгрузка'!A2827:Z2827"),Настройки!$B$10)),",","."),".",MID(1/2,2,1)),"")</f>
        <v/>
      </c>
      <c r="E2827">
        <f>IFERROR(--SUBSTITUTE(SUBSTITUTE(TRIM(INDEX(INDIRECT("'Выгрузка'!A2827:Z2827"),Настройки!$B$11)),",","."),".",MID(1/2,2,1)),"")</f>
        <v/>
      </c>
      <c r="F2827">
        <f>TRIM(INDEX(INDIRECT("'Выгрузка'!A2827:Z2827"),Настройки!$B$12)&amp;"")</f>
        <v/>
      </c>
      <c r="G2827">
        <f>IF(F2827="",0,IF(TRIM(INDEX(INDIRECT("'Выгрузка'!A2827:Z2827"),Настройки!$B$13)&amp;"")="",1,IFERROR(--SUBSTITUTE(SUBSTITUTE(TRIM(INDEX(INDIRECT("'Выгрузка'!A2827:Z2827"),Настройки!$B$13)),",","."),".",MID(1/2,2,1)),"")))</f>
        <v/>
      </c>
      <c r="H2827">
        <f>IF(F2827="",0,IF(COUNTIF(Настройки!$B$17:$B$26,F2827)&gt;0,1,IF(COUNTIF(Настройки!$C$17:$C$26,F2827)&gt;0,2,IF(COUNTIF(Настройки!$D$17:$D$26,F2827)&gt;0,3,0))))</f>
        <v/>
      </c>
      <c r="I2827">
        <f>IF(AND(ISNUMBER(A2827),ISNUMBER(B2827)),A2827*1000+B2827,"")</f>
        <v/>
      </c>
      <c r="J2827">
        <f>IF(I2827="","",IF(COUNTIF(I$2:I2827,I2827)=1,MAX(J$1:J2826)+1,""))</f>
        <v/>
      </c>
    </row>
    <row r="2828">
      <c r="A2828">
        <f>IFERROR(--SUBSTITUTE(SUBSTITUTE(TRIM(INDEX(INDIRECT("'Выгрузка'!A2828:Z2828"),Настройки!$B$7)),",","."),".",MID(1/2,2,1)),"")</f>
        <v/>
      </c>
      <c r="B2828">
        <f>IFERROR(--SUBSTITUTE(SUBSTITUTE(TRIM(INDEX(INDIRECT("'Выгрузка'!A2828:Z2828"),Настройки!$B$9)),",","."),".",MID(1/2,2,1)),"")</f>
        <v/>
      </c>
      <c r="C2828">
        <f>TRIM(INDEX(INDIRECT("'Выгрузка'!A2828:Z2828"),Настройки!$B$8)&amp;"")</f>
        <v/>
      </c>
      <c r="D2828">
        <f>IFERROR(--SUBSTITUTE(SUBSTITUTE(TRIM(INDEX(INDIRECT("'Выгрузка'!A2828:Z2828"),Настройки!$B$10)),",","."),".",MID(1/2,2,1)),"")</f>
        <v/>
      </c>
      <c r="E2828">
        <f>IFERROR(--SUBSTITUTE(SUBSTITUTE(TRIM(INDEX(INDIRECT("'Выгрузка'!A2828:Z2828"),Настройки!$B$11)),",","."),".",MID(1/2,2,1)),"")</f>
        <v/>
      </c>
      <c r="F2828">
        <f>TRIM(INDEX(INDIRECT("'Выгрузка'!A2828:Z2828"),Настройки!$B$12)&amp;"")</f>
        <v/>
      </c>
      <c r="G2828">
        <f>IF(F2828="",0,IF(TRIM(INDEX(INDIRECT("'Выгрузка'!A2828:Z2828"),Настройки!$B$13)&amp;"")="",1,IFERROR(--SUBSTITUTE(SUBSTITUTE(TRIM(INDEX(INDIRECT("'Выгрузка'!A2828:Z2828"),Настройки!$B$13)),",","."),".",MID(1/2,2,1)),"")))</f>
        <v/>
      </c>
      <c r="H2828">
        <f>IF(F2828="",0,IF(COUNTIF(Настройки!$B$17:$B$26,F2828)&gt;0,1,IF(COUNTIF(Настройки!$C$17:$C$26,F2828)&gt;0,2,IF(COUNTIF(Настройки!$D$17:$D$26,F2828)&gt;0,3,0))))</f>
        <v/>
      </c>
      <c r="I2828">
        <f>IF(AND(ISNUMBER(A2828),ISNUMBER(B2828)),A2828*1000+B2828,"")</f>
        <v/>
      </c>
      <c r="J2828">
        <f>IF(I2828="","",IF(COUNTIF(I$2:I2828,I2828)=1,MAX(J$1:J2827)+1,""))</f>
        <v/>
      </c>
    </row>
    <row r="2829">
      <c r="A2829">
        <f>IFERROR(--SUBSTITUTE(SUBSTITUTE(TRIM(INDEX(INDIRECT("'Выгрузка'!A2829:Z2829"),Настройки!$B$7)),",","."),".",MID(1/2,2,1)),"")</f>
        <v/>
      </c>
      <c r="B2829">
        <f>IFERROR(--SUBSTITUTE(SUBSTITUTE(TRIM(INDEX(INDIRECT("'Выгрузка'!A2829:Z2829"),Настройки!$B$9)),",","."),".",MID(1/2,2,1)),"")</f>
        <v/>
      </c>
      <c r="C2829">
        <f>TRIM(INDEX(INDIRECT("'Выгрузка'!A2829:Z2829"),Настройки!$B$8)&amp;"")</f>
        <v/>
      </c>
      <c r="D2829">
        <f>IFERROR(--SUBSTITUTE(SUBSTITUTE(TRIM(INDEX(INDIRECT("'Выгрузка'!A2829:Z2829"),Настройки!$B$10)),",","."),".",MID(1/2,2,1)),"")</f>
        <v/>
      </c>
      <c r="E2829">
        <f>IFERROR(--SUBSTITUTE(SUBSTITUTE(TRIM(INDEX(INDIRECT("'Выгрузка'!A2829:Z2829"),Настройки!$B$11)),",","."),".",MID(1/2,2,1)),"")</f>
        <v/>
      </c>
      <c r="F2829">
        <f>TRIM(INDEX(INDIRECT("'Выгрузка'!A2829:Z2829"),Настройки!$B$12)&amp;"")</f>
        <v/>
      </c>
      <c r="G2829">
        <f>IF(F2829="",0,IF(TRIM(INDEX(INDIRECT("'Выгрузка'!A2829:Z2829"),Настройки!$B$13)&amp;"")="",1,IFERROR(--SUBSTITUTE(SUBSTITUTE(TRIM(INDEX(INDIRECT("'Выгрузка'!A2829:Z2829"),Настройки!$B$13)),",","."),".",MID(1/2,2,1)),"")))</f>
        <v/>
      </c>
      <c r="H2829">
        <f>IF(F2829="",0,IF(COUNTIF(Настройки!$B$17:$B$26,F2829)&gt;0,1,IF(COUNTIF(Настройки!$C$17:$C$26,F2829)&gt;0,2,IF(COUNTIF(Настройки!$D$17:$D$26,F2829)&gt;0,3,0))))</f>
        <v/>
      </c>
      <c r="I2829">
        <f>IF(AND(ISNUMBER(A2829),ISNUMBER(B2829)),A2829*1000+B2829,"")</f>
        <v/>
      </c>
      <c r="J2829">
        <f>IF(I2829="","",IF(COUNTIF(I$2:I2829,I2829)=1,MAX(J$1:J2828)+1,""))</f>
        <v/>
      </c>
    </row>
    <row r="2830">
      <c r="A2830">
        <f>IFERROR(--SUBSTITUTE(SUBSTITUTE(TRIM(INDEX(INDIRECT("'Выгрузка'!A2830:Z2830"),Настройки!$B$7)),",","."),".",MID(1/2,2,1)),"")</f>
        <v/>
      </c>
      <c r="B2830">
        <f>IFERROR(--SUBSTITUTE(SUBSTITUTE(TRIM(INDEX(INDIRECT("'Выгрузка'!A2830:Z2830"),Настройки!$B$9)),",","."),".",MID(1/2,2,1)),"")</f>
        <v/>
      </c>
      <c r="C2830">
        <f>TRIM(INDEX(INDIRECT("'Выгрузка'!A2830:Z2830"),Настройки!$B$8)&amp;"")</f>
        <v/>
      </c>
      <c r="D2830">
        <f>IFERROR(--SUBSTITUTE(SUBSTITUTE(TRIM(INDEX(INDIRECT("'Выгрузка'!A2830:Z2830"),Настройки!$B$10)),",","."),".",MID(1/2,2,1)),"")</f>
        <v/>
      </c>
      <c r="E2830">
        <f>IFERROR(--SUBSTITUTE(SUBSTITUTE(TRIM(INDEX(INDIRECT("'Выгрузка'!A2830:Z2830"),Настройки!$B$11)),",","."),".",MID(1/2,2,1)),"")</f>
        <v/>
      </c>
      <c r="F2830">
        <f>TRIM(INDEX(INDIRECT("'Выгрузка'!A2830:Z2830"),Настройки!$B$12)&amp;"")</f>
        <v/>
      </c>
      <c r="G2830">
        <f>IF(F2830="",0,IF(TRIM(INDEX(INDIRECT("'Выгрузка'!A2830:Z2830"),Настройки!$B$13)&amp;"")="",1,IFERROR(--SUBSTITUTE(SUBSTITUTE(TRIM(INDEX(INDIRECT("'Выгрузка'!A2830:Z2830"),Настройки!$B$13)),",","."),".",MID(1/2,2,1)),"")))</f>
        <v/>
      </c>
      <c r="H2830">
        <f>IF(F2830="",0,IF(COUNTIF(Настройки!$B$17:$B$26,F2830)&gt;0,1,IF(COUNTIF(Настройки!$C$17:$C$26,F2830)&gt;0,2,IF(COUNTIF(Настройки!$D$17:$D$26,F2830)&gt;0,3,0))))</f>
        <v/>
      </c>
      <c r="I2830">
        <f>IF(AND(ISNUMBER(A2830),ISNUMBER(B2830)),A2830*1000+B2830,"")</f>
        <v/>
      </c>
      <c r="J2830">
        <f>IF(I2830="","",IF(COUNTIF(I$2:I2830,I2830)=1,MAX(J$1:J2829)+1,""))</f>
        <v/>
      </c>
    </row>
    <row r="2831">
      <c r="A2831">
        <f>IFERROR(--SUBSTITUTE(SUBSTITUTE(TRIM(INDEX(INDIRECT("'Выгрузка'!A2831:Z2831"),Настройки!$B$7)),",","."),".",MID(1/2,2,1)),"")</f>
        <v/>
      </c>
      <c r="B2831">
        <f>IFERROR(--SUBSTITUTE(SUBSTITUTE(TRIM(INDEX(INDIRECT("'Выгрузка'!A2831:Z2831"),Настройки!$B$9)),",","."),".",MID(1/2,2,1)),"")</f>
        <v/>
      </c>
      <c r="C2831">
        <f>TRIM(INDEX(INDIRECT("'Выгрузка'!A2831:Z2831"),Настройки!$B$8)&amp;"")</f>
        <v/>
      </c>
      <c r="D2831">
        <f>IFERROR(--SUBSTITUTE(SUBSTITUTE(TRIM(INDEX(INDIRECT("'Выгрузка'!A2831:Z2831"),Настройки!$B$10)),",","."),".",MID(1/2,2,1)),"")</f>
        <v/>
      </c>
      <c r="E2831">
        <f>IFERROR(--SUBSTITUTE(SUBSTITUTE(TRIM(INDEX(INDIRECT("'Выгрузка'!A2831:Z2831"),Настройки!$B$11)),",","."),".",MID(1/2,2,1)),"")</f>
        <v/>
      </c>
      <c r="F2831">
        <f>TRIM(INDEX(INDIRECT("'Выгрузка'!A2831:Z2831"),Настройки!$B$12)&amp;"")</f>
        <v/>
      </c>
      <c r="G2831">
        <f>IF(F2831="",0,IF(TRIM(INDEX(INDIRECT("'Выгрузка'!A2831:Z2831"),Настройки!$B$13)&amp;"")="",1,IFERROR(--SUBSTITUTE(SUBSTITUTE(TRIM(INDEX(INDIRECT("'Выгрузка'!A2831:Z2831"),Настройки!$B$13)),",","."),".",MID(1/2,2,1)),"")))</f>
        <v/>
      </c>
      <c r="H2831">
        <f>IF(F2831="",0,IF(COUNTIF(Настройки!$B$17:$B$26,F2831)&gt;0,1,IF(COUNTIF(Настройки!$C$17:$C$26,F2831)&gt;0,2,IF(COUNTIF(Настройки!$D$17:$D$26,F2831)&gt;0,3,0))))</f>
        <v/>
      </c>
      <c r="I2831">
        <f>IF(AND(ISNUMBER(A2831),ISNUMBER(B2831)),A2831*1000+B2831,"")</f>
        <v/>
      </c>
      <c r="J2831">
        <f>IF(I2831="","",IF(COUNTIF(I$2:I2831,I2831)=1,MAX(J$1:J2830)+1,""))</f>
        <v/>
      </c>
    </row>
    <row r="2832">
      <c r="A2832">
        <f>IFERROR(--SUBSTITUTE(SUBSTITUTE(TRIM(INDEX(INDIRECT("'Выгрузка'!A2832:Z2832"),Настройки!$B$7)),",","."),".",MID(1/2,2,1)),"")</f>
        <v/>
      </c>
      <c r="B2832">
        <f>IFERROR(--SUBSTITUTE(SUBSTITUTE(TRIM(INDEX(INDIRECT("'Выгрузка'!A2832:Z2832"),Настройки!$B$9)),",","."),".",MID(1/2,2,1)),"")</f>
        <v/>
      </c>
      <c r="C2832">
        <f>TRIM(INDEX(INDIRECT("'Выгрузка'!A2832:Z2832"),Настройки!$B$8)&amp;"")</f>
        <v/>
      </c>
      <c r="D2832">
        <f>IFERROR(--SUBSTITUTE(SUBSTITUTE(TRIM(INDEX(INDIRECT("'Выгрузка'!A2832:Z2832"),Настройки!$B$10)),",","."),".",MID(1/2,2,1)),"")</f>
        <v/>
      </c>
      <c r="E2832">
        <f>IFERROR(--SUBSTITUTE(SUBSTITUTE(TRIM(INDEX(INDIRECT("'Выгрузка'!A2832:Z2832"),Настройки!$B$11)),",","."),".",MID(1/2,2,1)),"")</f>
        <v/>
      </c>
      <c r="F2832">
        <f>TRIM(INDEX(INDIRECT("'Выгрузка'!A2832:Z2832"),Настройки!$B$12)&amp;"")</f>
        <v/>
      </c>
      <c r="G2832">
        <f>IF(F2832="",0,IF(TRIM(INDEX(INDIRECT("'Выгрузка'!A2832:Z2832"),Настройки!$B$13)&amp;"")="",1,IFERROR(--SUBSTITUTE(SUBSTITUTE(TRIM(INDEX(INDIRECT("'Выгрузка'!A2832:Z2832"),Настройки!$B$13)),",","."),".",MID(1/2,2,1)),"")))</f>
        <v/>
      </c>
      <c r="H2832">
        <f>IF(F2832="",0,IF(COUNTIF(Настройки!$B$17:$B$26,F2832)&gt;0,1,IF(COUNTIF(Настройки!$C$17:$C$26,F2832)&gt;0,2,IF(COUNTIF(Настройки!$D$17:$D$26,F2832)&gt;0,3,0))))</f>
        <v/>
      </c>
      <c r="I2832">
        <f>IF(AND(ISNUMBER(A2832),ISNUMBER(B2832)),A2832*1000+B2832,"")</f>
        <v/>
      </c>
      <c r="J2832">
        <f>IF(I2832="","",IF(COUNTIF(I$2:I2832,I2832)=1,MAX(J$1:J2831)+1,""))</f>
        <v/>
      </c>
    </row>
    <row r="2833">
      <c r="A2833">
        <f>IFERROR(--SUBSTITUTE(SUBSTITUTE(TRIM(INDEX(INDIRECT("'Выгрузка'!A2833:Z2833"),Настройки!$B$7)),",","."),".",MID(1/2,2,1)),"")</f>
        <v/>
      </c>
      <c r="B2833">
        <f>IFERROR(--SUBSTITUTE(SUBSTITUTE(TRIM(INDEX(INDIRECT("'Выгрузка'!A2833:Z2833"),Настройки!$B$9)),",","."),".",MID(1/2,2,1)),"")</f>
        <v/>
      </c>
      <c r="C2833">
        <f>TRIM(INDEX(INDIRECT("'Выгрузка'!A2833:Z2833"),Настройки!$B$8)&amp;"")</f>
        <v/>
      </c>
      <c r="D2833">
        <f>IFERROR(--SUBSTITUTE(SUBSTITUTE(TRIM(INDEX(INDIRECT("'Выгрузка'!A2833:Z2833"),Настройки!$B$10)),",","."),".",MID(1/2,2,1)),"")</f>
        <v/>
      </c>
      <c r="E2833">
        <f>IFERROR(--SUBSTITUTE(SUBSTITUTE(TRIM(INDEX(INDIRECT("'Выгрузка'!A2833:Z2833"),Настройки!$B$11)),",","."),".",MID(1/2,2,1)),"")</f>
        <v/>
      </c>
      <c r="F2833">
        <f>TRIM(INDEX(INDIRECT("'Выгрузка'!A2833:Z2833"),Настройки!$B$12)&amp;"")</f>
        <v/>
      </c>
      <c r="G2833">
        <f>IF(F2833="",0,IF(TRIM(INDEX(INDIRECT("'Выгрузка'!A2833:Z2833"),Настройки!$B$13)&amp;"")="",1,IFERROR(--SUBSTITUTE(SUBSTITUTE(TRIM(INDEX(INDIRECT("'Выгрузка'!A2833:Z2833"),Настройки!$B$13)),",","."),".",MID(1/2,2,1)),"")))</f>
        <v/>
      </c>
      <c r="H2833">
        <f>IF(F2833="",0,IF(COUNTIF(Настройки!$B$17:$B$26,F2833)&gt;0,1,IF(COUNTIF(Настройки!$C$17:$C$26,F2833)&gt;0,2,IF(COUNTIF(Настройки!$D$17:$D$26,F2833)&gt;0,3,0))))</f>
        <v/>
      </c>
      <c r="I2833">
        <f>IF(AND(ISNUMBER(A2833),ISNUMBER(B2833)),A2833*1000+B2833,"")</f>
        <v/>
      </c>
      <c r="J2833">
        <f>IF(I2833="","",IF(COUNTIF(I$2:I2833,I2833)=1,MAX(J$1:J2832)+1,""))</f>
        <v/>
      </c>
    </row>
    <row r="2834">
      <c r="A2834">
        <f>IFERROR(--SUBSTITUTE(SUBSTITUTE(TRIM(INDEX(INDIRECT("'Выгрузка'!A2834:Z2834"),Настройки!$B$7)),",","."),".",MID(1/2,2,1)),"")</f>
        <v/>
      </c>
      <c r="B2834">
        <f>IFERROR(--SUBSTITUTE(SUBSTITUTE(TRIM(INDEX(INDIRECT("'Выгрузка'!A2834:Z2834"),Настройки!$B$9)),",","."),".",MID(1/2,2,1)),"")</f>
        <v/>
      </c>
      <c r="C2834">
        <f>TRIM(INDEX(INDIRECT("'Выгрузка'!A2834:Z2834"),Настройки!$B$8)&amp;"")</f>
        <v/>
      </c>
      <c r="D2834">
        <f>IFERROR(--SUBSTITUTE(SUBSTITUTE(TRIM(INDEX(INDIRECT("'Выгрузка'!A2834:Z2834"),Настройки!$B$10)),",","."),".",MID(1/2,2,1)),"")</f>
        <v/>
      </c>
      <c r="E2834">
        <f>IFERROR(--SUBSTITUTE(SUBSTITUTE(TRIM(INDEX(INDIRECT("'Выгрузка'!A2834:Z2834"),Настройки!$B$11)),",","."),".",MID(1/2,2,1)),"")</f>
        <v/>
      </c>
      <c r="F2834">
        <f>TRIM(INDEX(INDIRECT("'Выгрузка'!A2834:Z2834"),Настройки!$B$12)&amp;"")</f>
        <v/>
      </c>
      <c r="G2834">
        <f>IF(F2834="",0,IF(TRIM(INDEX(INDIRECT("'Выгрузка'!A2834:Z2834"),Настройки!$B$13)&amp;"")="",1,IFERROR(--SUBSTITUTE(SUBSTITUTE(TRIM(INDEX(INDIRECT("'Выгрузка'!A2834:Z2834"),Настройки!$B$13)),",","."),".",MID(1/2,2,1)),"")))</f>
        <v/>
      </c>
      <c r="H2834">
        <f>IF(F2834="",0,IF(COUNTIF(Настройки!$B$17:$B$26,F2834)&gt;0,1,IF(COUNTIF(Настройки!$C$17:$C$26,F2834)&gt;0,2,IF(COUNTIF(Настройки!$D$17:$D$26,F2834)&gt;0,3,0))))</f>
        <v/>
      </c>
      <c r="I2834">
        <f>IF(AND(ISNUMBER(A2834),ISNUMBER(B2834)),A2834*1000+B2834,"")</f>
        <v/>
      </c>
      <c r="J2834">
        <f>IF(I2834="","",IF(COUNTIF(I$2:I2834,I2834)=1,MAX(J$1:J2833)+1,""))</f>
        <v/>
      </c>
    </row>
    <row r="2835">
      <c r="A2835">
        <f>IFERROR(--SUBSTITUTE(SUBSTITUTE(TRIM(INDEX(INDIRECT("'Выгрузка'!A2835:Z2835"),Настройки!$B$7)),",","."),".",MID(1/2,2,1)),"")</f>
        <v/>
      </c>
      <c r="B2835">
        <f>IFERROR(--SUBSTITUTE(SUBSTITUTE(TRIM(INDEX(INDIRECT("'Выгрузка'!A2835:Z2835"),Настройки!$B$9)),",","."),".",MID(1/2,2,1)),"")</f>
        <v/>
      </c>
      <c r="C2835">
        <f>TRIM(INDEX(INDIRECT("'Выгрузка'!A2835:Z2835"),Настройки!$B$8)&amp;"")</f>
        <v/>
      </c>
      <c r="D2835">
        <f>IFERROR(--SUBSTITUTE(SUBSTITUTE(TRIM(INDEX(INDIRECT("'Выгрузка'!A2835:Z2835"),Настройки!$B$10)),",","."),".",MID(1/2,2,1)),"")</f>
        <v/>
      </c>
      <c r="E2835">
        <f>IFERROR(--SUBSTITUTE(SUBSTITUTE(TRIM(INDEX(INDIRECT("'Выгрузка'!A2835:Z2835"),Настройки!$B$11)),",","."),".",MID(1/2,2,1)),"")</f>
        <v/>
      </c>
      <c r="F2835">
        <f>TRIM(INDEX(INDIRECT("'Выгрузка'!A2835:Z2835"),Настройки!$B$12)&amp;"")</f>
        <v/>
      </c>
      <c r="G2835">
        <f>IF(F2835="",0,IF(TRIM(INDEX(INDIRECT("'Выгрузка'!A2835:Z2835"),Настройки!$B$13)&amp;"")="",1,IFERROR(--SUBSTITUTE(SUBSTITUTE(TRIM(INDEX(INDIRECT("'Выгрузка'!A2835:Z2835"),Настройки!$B$13)),",","."),".",MID(1/2,2,1)),"")))</f>
        <v/>
      </c>
      <c r="H2835">
        <f>IF(F2835="",0,IF(COUNTIF(Настройки!$B$17:$B$26,F2835)&gt;0,1,IF(COUNTIF(Настройки!$C$17:$C$26,F2835)&gt;0,2,IF(COUNTIF(Настройки!$D$17:$D$26,F2835)&gt;0,3,0))))</f>
        <v/>
      </c>
      <c r="I2835">
        <f>IF(AND(ISNUMBER(A2835),ISNUMBER(B2835)),A2835*1000+B2835,"")</f>
        <v/>
      </c>
      <c r="J2835">
        <f>IF(I2835="","",IF(COUNTIF(I$2:I2835,I2835)=1,MAX(J$1:J2834)+1,""))</f>
        <v/>
      </c>
    </row>
    <row r="2836">
      <c r="A2836">
        <f>IFERROR(--SUBSTITUTE(SUBSTITUTE(TRIM(INDEX(INDIRECT("'Выгрузка'!A2836:Z2836"),Настройки!$B$7)),",","."),".",MID(1/2,2,1)),"")</f>
        <v/>
      </c>
      <c r="B2836">
        <f>IFERROR(--SUBSTITUTE(SUBSTITUTE(TRIM(INDEX(INDIRECT("'Выгрузка'!A2836:Z2836"),Настройки!$B$9)),",","."),".",MID(1/2,2,1)),"")</f>
        <v/>
      </c>
      <c r="C2836">
        <f>TRIM(INDEX(INDIRECT("'Выгрузка'!A2836:Z2836"),Настройки!$B$8)&amp;"")</f>
        <v/>
      </c>
      <c r="D2836">
        <f>IFERROR(--SUBSTITUTE(SUBSTITUTE(TRIM(INDEX(INDIRECT("'Выгрузка'!A2836:Z2836"),Настройки!$B$10)),",","."),".",MID(1/2,2,1)),"")</f>
        <v/>
      </c>
      <c r="E2836">
        <f>IFERROR(--SUBSTITUTE(SUBSTITUTE(TRIM(INDEX(INDIRECT("'Выгрузка'!A2836:Z2836"),Настройки!$B$11)),",","."),".",MID(1/2,2,1)),"")</f>
        <v/>
      </c>
      <c r="F2836">
        <f>TRIM(INDEX(INDIRECT("'Выгрузка'!A2836:Z2836"),Настройки!$B$12)&amp;"")</f>
        <v/>
      </c>
      <c r="G2836">
        <f>IF(F2836="",0,IF(TRIM(INDEX(INDIRECT("'Выгрузка'!A2836:Z2836"),Настройки!$B$13)&amp;"")="",1,IFERROR(--SUBSTITUTE(SUBSTITUTE(TRIM(INDEX(INDIRECT("'Выгрузка'!A2836:Z2836"),Настройки!$B$13)),",","."),".",MID(1/2,2,1)),"")))</f>
        <v/>
      </c>
      <c r="H2836">
        <f>IF(F2836="",0,IF(COUNTIF(Настройки!$B$17:$B$26,F2836)&gt;0,1,IF(COUNTIF(Настройки!$C$17:$C$26,F2836)&gt;0,2,IF(COUNTIF(Настройки!$D$17:$D$26,F2836)&gt;0,3,0))))</f>
        <v/>
      </c>
      <c r="I2836">
        <f>IF(AND(ISNUMBER(A2836),ISNUMBER(B2836)),A2836*1000+B2836,"")</f>
        <v/>
      </c>
      <c r="J2836">
        <f>IF(I2836="","",IF(COUNTIF(I$2:I2836,I2836)=1,MAX(J$1:J2835)+1,""))</f>
        <v/>
      </c>
    </row>
    <row r="2837">
      <c r="A2837">
        <f>IFERROR(--SUBSTITUTE(SUBSTITUTE(TRIM(INDEX(INDIRECT("'Выгрузка'!A2837:Z2837"),Настройки!$B$7)),",","."),".",MID(1/2,2,1)),"")</f>
        <v/>
      </c>
      <c r="B2837">
        <f>IFERROR(--SUBSTITUTE(SUBSTITUTE(TRIM(INDEX(INDIRECT("'Выгрузка'!A2837:Z2837"),Настройки!$B$9)),",","."),".",MID(1/2,2,1)),"")</f>
        <v/>
      </c>
      <c r="C2837">
        <f>TRIM(INDEX(INDIRECT("'Выгрузка'!A2837:Z2837"),Настройки!$B$8)&amp;"")</f>
        <v/>
      </c>
      <c r="D2837">
        <f>IFERROR(--SUBSTITUTE(SUBSTITUTE(TRIM(INDEX(INDIRECT("'Выгрузка'!A2837:Z2837"),Настройки!$B$10)),",","."),".",MID(1/2,2,1)),"")</f>
        <v/>
      </c>
      <c r="E2837">
        <f>IFERROR(--SUBSTITUTE(SUBSTITUTE(TRIM(INDEX(INDIRECT("'Выгрузка'!A2837:Z2837"),Настройки!$B$11)),",","."),".",MID(1/2,2,1)),"")</f>
        <v/>
      </c>
      <c r="F2837">
        <f>TRIM(INDEX(INDIRECT("'Выгрузка'!A2837:Z2837"),Настройки!$B$12)&amp;"")</f>
        <v/>
      </c>
      <c r="G2837">
        <f>IF(F2837="",0,IF(TRIM(INDEX(INDIRECT("'Выгрузка'!A2837:Z2837"),Настройки!$B$13)&amp;"")="",1,IFERROR(--SUBSTITUTE(SUBSTITUTE(TRIM(INDEX(INDIRECT("'Выгрузка'!A2837:Z2837"),Настройки!$B$13)),",","."),".",MID(1/2,2,1)),"")))</f>
        <v/>
      </c>
      <c r="H2837">
        <f>IF(F2837="",0,IF(COUNTIF(Настройки!$B$17:$B$26,F2837)&gt;0,1,IF(COUNTIF(Настройки!$C$17:$C$26,F2837)&gt;0,2,IF(COUNTIF(Настройки!$D$17:$D$26,F2837)&gt;0,3,0))))</f>
        <v/>
      </c>
      <c r="I2837">
        <f>IF(AND(ISNUMBER(A2837),ISNUMBER(B2837)),A2837*1000+B2837,"")</f>
        <v/>
      </c>
      <c r="J2837">
        <f>IF(I2837="","",IF(COUNTIF(I$2:I2837,I2837)=1,MAX(J$1:J2836)+1,""))</f>
        <v/>
      </c>
    </row>
    <row r="2838">
      <c r="A2838">
        <f>IFERROR(--SUBSTITUTE(SUBSTITUTE(TRIM(INDEX(INDIRECT("'Выгрузка'!A2838:Z2838"),Настройки!$B$7)),",","."),".",MID(1/2,2,1)),"")</f>
        <v/>
      </c>
      <c r="B2838">
        <f>IFERROR(--SUBSTITUTE(SUBSTITUTE(TRIM(INDEX(INDIRECT("'Выгрузка'!A2838:Z2838"),Настройки!$B$9)),",","."),".",MID(1/2,2,1)),"")</f>
        <v/>
      </c>
      <c r="C2838">
        <f>TRIM(INDEX(INDIRECT("'Выгрузка'!A2838:Z2838"),Настройки!$B$8)&amp;"")</f>
        <v/>
      </c>
      <c r="D2838">
        <f>IFERROR(--SUBSTITUTE(SUBSTITUTE(TRIM(INDEX(INDIRECT("'Выгрузка'!A2838:Z2838"),Настройки!$B$10)),",","."),".",MID(1/2,2,1)),"")</f>
        <v/>
      </c>
      <c r="E2838">
        <f>IFERROR(--SUBSTITUTE(SUBSTITUTE(TRIM(INDEX(INDIRECT("'Выгрузка'!A2838:Z2838"),Настройки!$B$11)),",","."),".",MID(1/2,2,1)),"")</f>
        <v/>
      </c>
      <c r="F2838">
        <f>TRIM(INDEX(INDIRECT("'Выгрузка'!A2838:Z2838"),Настройки!$B$12)&amp;"")</f>
        <v/>
      </c>
      <c r="G2838">
        <f>IF(F2838="",0,IF(TRIM(INDEX(INDIRECT("'Выгрузка'!A2838:Z2838"),Настройки!$B$13)&amp;"")="",1,IFERROR(--SUBSTITUTE(SUBSTITUTE(TRIM(INDEX(INDIRECT("'Выгрузка'!A2838:Z2838"),Настройки!$B$13)),",","."),".",MID(1/2,2,1)),"")))</f>
        <v/>
      </c>
      <c r="H2838">
        <f>IF(F2838="",0,IF(COUNTIF(Настройки!$B$17:$B$26,F2838)&gt;0,1,IF(COUNTIF(Настройки!$C$17:$C$26,F2838)&gt;0,2,IF(COUNTIF(Настройки!$D$17:$D$26,F2838)&gt;0,3,0))))</f>
        <v/>
      </c>
      <c r="I2838">
        <f>IF(AND(ISNUMBER(A2838),ISNUMBER(B2838)),A2838*1000+B2838,"")</f>
        <v/>
      </c>
      <c r="J2838">
        <f>IF(I2838="","",IF(COUNTIF(I$2:I2838,I2838)=1,MAX(J$1:J2837)+1,""))</f>
        <v/>
      </c>
    </row>
    <row r="2839">
      <c r="A2839">
        <f>IFERROR(--SUBSTITUTE(SUBSTITUTE(TRIM(INDEX(INDIRECT("'Выгрузка'!A2839:Z2839"),Настройки!$B$7)),",","."),".",MID(1/2,2,1)),"")</f>
        <v/>
      </c>
      <c r="B2839">
        <f>IFERROR(--SUBSTITUTE(SUBSTITUTE(TRIM(INDEX(INDIRECT("'Выгрузка'!A2839:Z2839"),Настройки!$B$9)),",","."),".",MID(1/2,2,1)),"")</f>
        <v/>
      </c>
      <c r="C2839">
        <f>TRIM(INDEX(INDIRECT("'Выгрузка'!A2839:Z2839"),Настройки!$B$8)&amp;"")</f>
        <v/>
      </c>
      <c r="D2839">
        <f>IFERROR(--SUBSTITUTE(SUBSTITUTE(TRIM(INDEX(INDIRECT("'Выгрузка'!A2839:Z2839"),Настройки!$B$10)),",","."),".",MID(1/2,2,1)),"")</f>
        <v/>
      </c>
      <c r="E2839">
        <f>IFERROR(--SUBSTITUTE(SUBSTITUTE(TRIM(INDEX(INDIRECT("'Выгрузка'!A2839:Z2839"),Настройки!$B$11)),",","."),".",MID(1/2,2,1)),"")</f>
        <v/>
      </c>
      <c r="F2839">
        <f>TRIM(INDEX(INDIRECT("'Выгрузка'!A2839:Z2839"),Настройки!$B$12)&amp;"")</f>
        <v/>
      </c>
      <c r="G2839">
        <f>IF(F2839="",0,IF(TRIM(INDEX(INDIRECT("'Выгрузка'!A2839:Z2839"),Настройки!$B$13)&amp;"")="",1,IFERROR(--SUBSTITUTE(SUBSTITUTE(TRIM(INDEX(INDIRECT("'Выгрузка'!A2839:Z2839"),Настройки!$B$13)),",","."),".",MID(1/2,2,1)),"")))</f>
        <v/>
      </c>
      <c r="H2839">
        <f>IF(F2839="",0,IF(COUNTIF(Настройки!$B$17:$B$26,F2839)&gt;0,1,IF(COUNTIF(Настройки!$C$17:$C$26,F2839)&gt;0,2,IF(COUNTIF(Настройки!$D$17:$D$26,F2839)&gt;0,3,0))))</f>
        <v/>
      </c>
      <c r="I2839">
        <f>IF(AND(ISNUMBER(A2839),ISNUMBER(B2839)),A2839*1000+B2839,"")</f>
        <v/>
      </c>
      <c r="J2839">
        <f>IF(I2839="","",IF(COUNTIF(I$2:I2839,I2839)=1,MAX(J$1:J2838)+1,""))</f>
        <v/>
      </c>
    </row>
    <row r="2840">
      <c r="A2840">
        <f>IFERROR(--SUBSTITUTE(SUBSTITUTE(TRIM(INDEX(INDIRECT("'Выгрузка'!A2840:Z2840"),Настройки!$B$7)),",","."),".",MID(1/2,2,1)),"")</f>
        <v/>
      </c>
      <c r="B2840">
        <f>IFERROR(--SUBSTITUTE(SUBSTITUTE(TRIM(INDEX(INDIRECT("'Выгрузка'!A2840:Z2840"),Настройки!$B$9)),",","."),".",MID(1/2,2,1)),"")</f>
        <v/>
      </c>
      <c r="C2840">
        <f>TRIM(INDEX(INDIRECT("'Выгрузка'!A2840:Z2840"),Настройки!$B$8)&amp;"")</f>
        <v/>
      </c>
      <c r="D2840">
        <f>IFERROR(--SUBSTITUTE(SUBSTITUTE(TRIM(INDEX(INDIRECT("'Выгрузка'!A2840:Z2840"),Настройки!$B$10)),",","."),".",MID(1/2,2,1)),"")</f>
        <v/>
      </c>
      <c r="E2840">
        <f>IFERROR(--SUBSTITUTE(SUBSTITUTE(TRIM(INDEX(INDIRECT("'Выгрузка'!A2840:Z2840"),Настройки!$B$11)),",","."),".",MID(1/2,2,1)),"")</f>
        <v/>
      </c>
      <c r="F2840">
        <f>TRIM(INDEX(INDIRECT("'Выгрузка'!A2840:Z2840"),Настройки!$B$12)&amp;"")</f>
        <v/>
      </c>
      <c r="G2840">
        <f>IF(F2840="",0,IF(TRIM(INDEX(INDIRECT("'Выгрузка'!A2840:Z2840"),Настройки!$B$13)&amp;"")="",1,IFERROR(--SUBSTITUTE(SUBSTITUTE(TRIM(INDEX(INDIRECT("'Выгрузка'!A2840:Z2840"),Настройки!$B$13)),",","."),".",MID(1/2,2,1)),"")))</f>
        <v/>
      </c>
      <c r="H2840">
        <f>IF(F2840="",0,IF(COUNTIF(Настройки!$B$17:$B$26,F2840)&gt;0,1,IF(COUNTIF(Настройки!$C$17:$C$26,F2840)&gt;0,2,IF(COUNTIF(Настройки!$D$17:$D$26,F2840)&gt;0,3,0))))</f>
        <v/>
      </c>
      <c r="I2840">
        <f>IF(AND(ISNUMBER(A2840),ISNUMBER(B2840)),A2840*1000+B2840,"")</f>
        <v/>
      </c>
      <c r="J2840">
        <f>IF(I2840="","",IF(COUNTIF(I$2:I2840,I2840)=1,MAX(J$1:J2839)+1,""))</f>
        <v/>
      </c>
    </row>
    <row r="2841">
      <c r="A2841">
        <f>IFERROR(--SUBSTITUTE(SUBSTITUTE(TRIM(INDEX(INDIRECT("'Выгрузка'!A2841:Z2841"),Настройки!$B$7)),",","."),".",MID(1/2,2,1)),"")</f>
        <v/>
      </c>
      <c r="B2841">
        <f>IFERROR(--SUBSTITUTE(SUBSTITUTE(TRIM(INDEX(INDIRECT("'Выгрузка'!A2841:Z2841"),Настройки!$B$9)),",","."),".",MID(1/2,2,1)),"")</f>
        <v/>
      </c>
      <c r="C2841">
        <f>TRIM(INDEX(INDIRECT("'Выгрузка'!A2841:Z2841"),Настройки!$B$8)&amp;"")</f>
        <v/>
      </c>
      <c r="D2841">
        <f>IFERROR(--SUBSTITUTE(SUBSTITUTE(TRIM(INDEX(INDIRECT("'Выгрузка'!A2841:Z2841"),Настройки!$B$10)),",","."),".",MID(1/2,2,1)),"")</f>
        <v/>
      </c>
      <c r="E2841">
        <f>IFERROR(--SUBSTITUTE(SUBSTITUTE(TRIM(INDEX(INDIRECT("'Выгрузка'!A2841:Z2841"),Настройки!$B$11)),",","."),".",MID(1/2,2,1)),"")</f>
        <v/>
      </c>
      <c r="F2841">
        <f>TRIM(INDEX(INDIRECT("'Выгрузка'!A2841:Z2841"),Настройки!$B$12)&amp;"")</f>
        <v/>
      </c>
      <c r="G2841">
        <f>IF(F2841="",0,IF(TRIM(INDEX(INDIRECT("'Выгрузка'!A2841:Z2841"),Настройки!$B$13)&amp;"")="",1,IFERROR(--SUBSTITUTE(SUBSTITUTE(TRIM(INDEX(INDIRECT("'Выгрузка'!A2841:Z2841"),Настройки!$B$13)),",","."),".",MID(1/2,2,1)),"")))</f>
        <v/>
      </c>
      <c r="H2841">
        <f>IF(F2841="",0,IF(COUNTIF(Настройки!$B$17:$B$26,F2841)&gt;0,1,IF(COUNTIF(Настройки!$C$17:$C$26,F2841)&gt;0,2,IF(COUNTIF(Настройки!$D$17:$D$26,F2841)&gt;0,3,0))))</f>
        <v/>
      </c>
      <c r="I2841">
        <f>IF(AND(ISNUMBER(A2841),ISNUMBER(B2841)),A2841*1000+B2841,"")</f>
        <v/>
      </c>
      <c r="J2841">
        <f>IF(I2841="","",IF(COUNTIF(I$2:I2841,I2841)=1,MAX(J$1:J2840)+1,""))</f>
        <v/>
      </c>
    </row>
    <row r="2842">
      <c r="A2842">
        <f>IFERROR(--SUBSTITUTE(SUBSTITUTE(TRIM(INDEX(INDIRECT("'Выгрузка'!A2842:Z2842"),Настройки!$B$7)),",","."),".",MID(1/2,2,1)),"")</f>
        <v/>
      </c>
      <c r="B2842">
        <f>IFERROR(--SUBSTITUTE(SUBSTITUTE(TRIM(INDEX(INDIRECT("'Выгрузка'!A2842:Z2842"),Настройки!$B$9)),",","."),".",MID(1/2,2,1)),"")</f>
        <v/>
      </c>
      <c r="C2842">
        <f>TRIM(INDEX(INDIRECT("'Выгрузка'!A2842:Z2842"),Настройки!$B$8)&amp;"")</f>
        <v/>
      </c>
      <c r="D2842">
        <f>IFERROR(--SUBSTITUTE(SUBSTITUTE(TRIM(INDEX(INDIRECT("'Выгрузка'!A2842:Z2842"),Настройки!$B$10)),",","."),".",MID(1/2,2,1)),"")</f>
        <v/>
      </c>
      <c r="E2842">
        <f>IFERROR(--SUBSTITUTE(SUBSTITUTE(TRIM(INDEX(INDIRECT("'Выгрузка'!A2842:Z2842"),Настройки!$B$11)),",","."),".",MID(1/2,2,1)),"")</f>
        <v/>
      </c>
      <c r="F2842">
        <f>TRIM(INDEX(INDIRECT("'Выгрузка'!A2842:Z2842"),Настройки!$B$12)&amp;"")</f>
        <v/>
      </c>
      <c r="G2842">
        <f>IF(F2842="",0,IF(TRIM(INDEX(INDIRECT("'Выгрузка'!A2842:Z2842"),Настройки!$B$13)&amp;"")="",1,IFERROR(--SUBSTITUTE(SUBSTITUTE(TRIM(INDEX(INDIRECT("'Выгрузка'!A2842:Z2842"),Настройки!$B$13)),",","."),".",MID(1/2,2,1)),"")))</f>
        <v/>
      </c>
      <c r="H2842">
        <f>IF(F2842="",0,IF(COUNTIF(Настройки!$B$17:$B$26,F2842)&gt;0,1,IF(COUNTIF(Настройки!$C$17:$C$26,F2842)&gt;0,2,IF(COUNTIF(Настройки!$D$17:$D$26,F2842)&gt;0,3,0))))</f>
        <v/>
      </c>
      <c r="I2842">
        <f>IF(AND(ISNUMBER(A2842),ISNUMBER(B2842)),A2842*1000+B2842,"")</f>
        <v/>
      </c>
      <c r="J2842">
        <f>IF(I2842="","",IF(COUNTIF(I$2:I2842,I2842)=1,MAX(J$1:J2841)+1,""))</f>
        <v/>
      </c>
    </row>
    <row r="2843">
      <c r="A2843">
        <f>IFERROR(--SUBSTITUTE(SUBSTITUTE(TRIM(INDEX(INDIRECT("'Выгрузка'!A2843:Z2843"),Настройки!$B$7)),",","."),".",MID(1/2,2,1)),"")</f>
        <v/>
      </c>
      <c r="B2843">
        <f>IFERROR(--SUBSTITUTE(SUBSTITUTE(TRIM(INDEX(INDIRECT("'Выгрузка'!A2843:Z2843"),Настройки!$B$9)),",","."),".",MID(1/2,2,1)),"")</f>
        <v/>
      </c>
      <c r="C2843">
        <f>TRIM(INDEX(INDIRECT("'Выгрузка'!A2843:Z2843"),Настройки!$B$8)&amp;"")</f>
        <v/>
      </c>
      <c r="D2843">
        <f>IFERROR(--SUBSTITUTE(SUBSTITUTE(TRIM(INDEX(INDIRECT("'Выгрузка'!A2843:Z2843"),Настройки!$B$10)),",","."),".",MID(1/2,2,1)),"")</f>
        <v/>
      </c>
      <c r="E2843">
        <f>IFERROR(--SUBSTITUTE(SUBSTITUTE(TRIM(INDEX(INDIRECT("'Выгрузка'!A2843:Z2843"),Настройки!$B$11)),",","."),".",MID(1/2,2,1)),"")</f>
        <v/>
      </c>
      <c r="F2843">
        <f>TRIM(INDEX(INDIRECT("'Выгрузка'!A2843:Z2843"),Настройки!$B$12)&amp;"")</f>
        <v/>
      </c>
      <c r="G2843">
        <f>IF(F2843="",0,IF(TRIM(INDEX(INDIRECT("'Выгрузка'!A2843:Z2843"),Настройки!$B$13)&amp;"")="",1,IFERROR(--SUBSTITUTE(SUBSTITUTE(TRIM(INDEX(INDIRECT("'Выгрузка'!A2843:Z2843"),Настройки!$B$13)),",","."),".",MID(1/2,2,1)),"")))</f>
        <v/>
      </c>
      <c r="H2843">
        <f>IF(F2843="",0,IF(COUNTIF(Настройки!$B$17:$B$26,F2843)&gt;0,1,IF(COUNTIF(Настройки!$C$17:$C$26,F2843)&gt;0,2,IF(COUNTIF(Настройки!$D$17:$D$26,F2843)&gt;0,3,0))))</f>
        <v/>
      </c>
      <c r="I2843">
        <f>IF(AND(ISNUMBER(A2843),ISNUMBER(B2843)),A2843*1000+B2843,"")</f>
        <v/>
      </c>
      <c r="J2843">
        <f>IF(I2843="","",IF(COUNTIF(I$2:I2843,I2843)=1,MAX(J$1:J2842)+1,""))</f>
        <v/>
      </c>
    </row>
    <row r="2844">
      <c r="A2844">
        <f>IFERROR(--SUBSTITUTE(SUBSTITUTE(TRIM(INDEX(INDIRECT("'Выгрузка'!A2844:Z2844"),Настройки!$B$7)),",","."),".",MID(1/2,2,1)),"")</f>
        <v/>
      </c>
      <c r="B2844">
        <f>IFERROR(--SUBSTITUTE(SUBSTITUTE(TRIM(INDEX(INDIRECT("'Выгрузка'!A2844:Z2844"),Настройки!$B$9)),",","."),".",MID(1/2,2,1)),"")</f>
        <v/>
      </c>
      <c r="C2844">
        <f>TRIM(INDEX(INDIRECT("'Выгрузка'!A2844:Z2844"),Настройки!$B$8)&amp;"")</f>
        <v/>
      </c>
      <c r="D2844">
        <f>IFERROR(--SUBSTITUTE(SUBSTITUTE(TRIM(INDEX(INDIRECT("'Выгрузка'!A2844:Z2844"),Настройки!$B$10)),",","."),".",MID(1/2,2,1)),"")</f>
        <v/>
      </c>
      <c r="E2844">
        <f>IFERROR(--SUBSTITUTE(SUBSTITUTE(TRIM(INDEX(INDIRECT("'Выгрузка'!A2844:Z2844"),Настройки!$B$11)),",","."),".",MID(1/2,2,1)),"")</f>
        <v/>
      </c>
      <c r="F2844">
        <f>TRIM(INDEX(INDIRECT("'Выгрузка'!A2844:Z2844"),Настройки!$B$12)&amp;"")</f>
        <v/>
      </c>
      <c r="G2844">
        <f>IF(F2844="",0,IF(TRIM(INDEX(INDIRECT("'Выгрузка'!A2844:Z2844"),Настройки!$B$13)&amp;"")="",1,IFERROR(--SUBSTITUTE(SUBSTITUTE(TRIM(INDEX(INDIRECT("'Выгрузка'!A2844:Z2844"),Настройки!$B$13)),",","."),".",MID(1/2,2,1)),"")))</f>
        <v/>
      </c>
      <c r="H2844">
        <f>IF(F2844="",0,IF(COUNTIF(Настройки!$B$17:$B$26,F2844)&gt;0,1,IF(COUNTIF(Настройки!$C$17:$C$26,F2844)&gt;0,2,IF(COUNTIF(Настройки!$D$17:$D$26,F2844)&gt;0,3,0))))</f>
        <v/>
      </c>
      <c r="I2844">
        <f>IF(AND(ISNUMBER(A2844),ISNUMBER(B2844)),A2844*1000+B2844,"")</f>
        <v/>
      </c>
      <c r="J2844">
        <f>IF(I2844="","",IF(COUNTIF(I$2:I2844,I2844)=1,MAX(J$1:J2843)+1,""))</f>
        <v/>
      </c>
    </row>
    <row r="2845">
      <c r="A2845">
        <f>IFERROR(--SUBSTITUTE(SUBSTITUTE(TRIM(INDEX(INDIRECT("'Выгрузка'!A2845:Z2845"),Настройки!$B$7)),",","."),".",MID(1/2,2,1)),"")</f>
        <v/>
      </c>
      <c r="B2845">
        <f>IFERROR(--SUBSTITUTE(SUBSTITUTE(TRIM(INDEX(INDIRECT("'Выгрузка'!A2845:Z2845"),Настройки!$B$9)),",","."),".",MID(1/2,2,1)),"")</f>
        <v/>
      </c>
      <c r="C2845">
        <f>TRIM(INDEX(INDIRECT("'Выгрузка'!A2845:Z2845"),Настройки!$B$8)&amp;"")</f>
        <v/>
      </c>
      <c r="D2845">
        <f>IFERROR(--SUBSTITUTE(SUBSTITUTE(TRIM(INDEX(INDIRECT("'Выгрузка'!A2845:Z2845"),Настройки!$B$10)),",","."),".",MID(1/2,2,1)),"")</f>
        <v/>
      </c>
      <c r="E2845">
        <f>IFERROR(--SUBSTITUTE(SUBSTITUTE(TRIM(INDEX(INDIRECT("'Выгрузка'!A2845:Z2845"),Настройки!$B$11)),",","."),".",MID(1/2,2,1)),"")</f>
        <v/>
      </c>
      <c r="F2845">
        <f>TRIM(INDEX(INDIRECT("'Выгрузка'!A2845:Z2845"),Настройки!$B$12)&amp;"")</f>
        <v/>
      </c>
      <c r="G2845">
        <f>IF(F2845="",0,IF(TRIM(INDEX(INDIRECT("'Выгрузка'!A2845:Z2845"),Настройки!$B$13)&amp;"")="",1,IFERROR(--SUBSTITUTE(SUBSTITUTE(TRIM(INDEX(INDIRECT("'Выгрузка'!A2845:Z2845"),Настройки!$B$13)),",","."),".",MID(1/2,2,1)),"")))</f>
        <v/>
      </c>
      <c r="H2845">
        <f>IF(F2845="",0,IF(COUNTIF(Настройки!$B$17:$B$26,F2845)&gt;0,1,IF(COUNTIF(Настройки!$C$17:$C$26,F2845)&gt;0,2,IF(COUNTIF(Настройки!$D$17:$D$26,F2845)&gt;0,3,0))))</f>
        <v/>
      </c>
      <c r="I2845">
        <f>IF(AND(ISNUMBER(A2845),ISNUMBER(B2845)),A2845*1000+B2845,"")</f>
        <v/>
      </c>
      <c r="J2845">
        <f>IF(I2845="","",IF(COUNTIF(I$2:I2845,I2845)=1,MAX(J$1:J2844)+1,""))</f>
        <v/>
      </c>
    </row>
    <row r="2846">
      <c r="A2846">
        <f>IFERROR(--SUBSTITUTE(SUBSTITUTE(TRIM(INDEX(INDIRECT("'Выгрузка'!A2846:Z2846"),Настройки!$B$7)),",","."),".",MID(1/2,2,1)),"")</f>
        <v/>
      </c>
      <c r="B2846">
        <f>IFERROR(--SUBSTITUTE(SUBSTITUTE(TRIM(INDEX(INDIRECT("'Выгрузка'!A2846:Z2846"),Настройки!$B$9)),",","."),".",MID(1/2,2,1)),"")</f>
        <v/>
      </c>
      <c r="C2846">
        <f>TRIM(INDEX(INDIRECT("'Выгрузка'!A2846:Z2846"),Настройки!$B$8)&amp;"")</f>
        <v/>
      </c>
      <c r="D2846">
        <f>IFERROR(--SUBSTITUTE(SUBSTITUTE(TRIM(INDEX(INDIRECT("'Выгрузка'!A2846:Z2846"),Настройки!$B$10)),",","."),".",MID(1/2,2,1)),"")</f>
        <v/>
      </c>
      <c r="E2846">
        <f>IFERROR(--SUBSTITUTE(SUBSTITUTE(TRIM(INDEX(INDIRECT("'Выгрузка'!A2846:Z2846"),Настройки!$B$11)),",","."),".",MID(1/2,2,1)),"")</f>
        <v/>
      </c>
      <c r="F2846">
        <f>TRIM(INDEX(INDIRECT("'Выгрузка'!A2846:Z2846"),Настройки!$B$12)&amp;"")</f>
        <v/>
      </c>
      <c r="G2846">
        <f>IF(F2846="",0,IF(TRIM(INDEX(INDIRECT("'Выгрузка'!A2846:Z2846"),Настройки!$B$13)&amp;"")="",1,IFERROR(--SUBSTITUTE(SUBSTITUTE(TRIM(INDEX(INDIRECT("'Выгрузка'!A2846:Z2846"),Настройки!$B$13)),",","."),".",MID(1/2,2,1)),"")))</f>
        <v/>
      </c>
      <c r="H2846">
        <f>IF(F2846="",0,IF(COUNTIF(Настройки!$B$17:$B$26,F2846)&gt;0,1,IF(COUNTIF(Настройки!$C$17:$C$26,F2846)&gt;0,2,IF(COUNTIF(Настройки!$D$17:$D$26,F2846)&gt;0,3,0))))</f>
        <v/>
      </c>
      <c r="I2846">
        <f>IF(AND(ISNUMBER(A2846),ISNUMBER(B2846)),A2846*1000+B2846,"")</f>
        <v/>
      </c>
      <c r="J2846">
        <f>IF(I2846="","",IF(COUNTIF(I$2:I2846,I2846)=1,MAX(J$1:J2845)+1,""))</f>
        <v/>
      </c>
    </row>
    <row r="2847">
      <c r="A2847">
        <f>IFERROR(--SUBSTITUTE(SUBSTITUTE(TRIM(INDEX(INDIRECT("'Выгрузка'!A2847:Z2847"),Настройки!$B$7)),",","."),".",MID(1/2,2,1)),"")</f>
        <v/>
      </c>
      <c r="B2847">
        <f>IFERROR(--SUBSTITUTE(SUBSTITUTE(TRIM(INDEX(INDIRECT("'Выгрузка'!A2847:Z2847"),Настройки!$B$9)),",","."),".",MID(1/2,2,1)),"")</f>
        <v/>
      </c>
      <c r="C2847">
        <f>TRIM(INDEX(INDIRECT("'Выгрузка'!A2847:Z2847"),Настройки!$B$8)&amp;"")</f>
        <v/>
      </c>
      <c r="D2847">
        <f>IFERROR(--SUBSTITUTE(SUBSTITUTE(TRIM(INDEX(INDIRECT("'Выгрузка'!A2847:Z2847"),Настройки!$B$10)),",","."),".",MID(1/2,2,1)),"")</f>
        <v/>
      </c>
      <c r="E2847">
        <f>IFERROR(--SUBSTITUTE(SUBSTITUTE(TRIM(INDEX(INDIRECT("'Выгрузка'!A2847:Z2847"),Настройки!$B$11)),",","."),".",MID(1/2,2,1)),"")</f>
        <v/>
      </c>
      <c r="F2847">
        <f>TRIM(INDEX(INDIRECT("'Выгрузка'!A2847:Z2847"),Настройки!$B$12)&amp;"")</f>
        <v/>
      </c>
      <c r="G2847">
        <f>IF(F2847="",0,IF(TRIM(INDEX(INDIRECT("'Выгрузка'!A2847:Z2847"),Настройки!$B$13)&amp;"")="",1,IFERROR(--SUBSTITUTE(SUBSTITUTE(TRIM(INDEX(INDIRECT("'Выгрузка'!A2847:Z2847"),Настройки!$B$13)),",","."),".",MID(1/2,2,1)),"")))</f>
        <v/>
      </c>
      <c r="H2847">
        <f>IF(F2847="",0,IF(COUNTIF(Настройки!$B$17:$B$26,F2847)&gt;0,1,IF(COUNTIF(Настройки!$C$17:$C$26,F2847)&gt;0,2,IF(COUNTIF(Настройки!$D$17:$D$26,F2847)&gt;0,3,0))))</f>
        <v/>
      </c>
      <c r="I2847">
        <f>IF(AND(ISNUMBER(A2847),ISNUMBER(B2847)),A2847*1000+B2847,"")</f>
        <v/>
      </c>
      <c r="J2847">
        <f>IF(I2847="","",IF(COUNTIF(I$2:I2847,I2847)=1,MAX(J$1:J2846)+1,""))</f>
        <v/>
      </c>
    </row>
    <row r="2848">
      <c r="A2848">
        <f>IFERROR(--SUBSTITUTE(SUBSTITUTE(TRIM(INDEX(INDIRECT("'Выгрузка'!A2848:Z2848"),Настройки!$B$7)),",","."),".",MID(1/2,2,1)),"")</f>
        <v/>
      </c>
      <c r="B2848">
        <f>IFERROR(--SUBSTITUTE(SUBSTITUTE(TRIM(INDEX(INDIRECT("'Выгрузка'!A2848:Z2848"),Настройки!$B$9)),",","."),".",MID(1/2,2,1)),"")</f>
        <v/>
      </c>
      <c r="C2848">
        <f>TRIM(INDEX(INDIRECT("'Выгрузка'!A2848:Z2848"),Настройки!$B$8)&amp;"")</f>
        <v/>
      </c>
      <c r="D2848">
        <f>IFERROR(--SUBSTITUTE(SUBSTITUTE(TRIM(INDEX(INDIRECT("'Выгрузка'!A2848:Z2848"),Настройки!$B$10)),",","."),".",MID(1/2,2,1)),"")</f>
        <v/>
      </c>
      <c r="E2848">
        <f>IFERROR(--SUBSTITUTE(SUBSTITUTE(TRIM(INDEX(INDIRECT("'Выгрузка'!A2848:Z2848"),Настройки!$B$11)),",","."),".",MID(1/2,2,1)),"")</f>
        <v/>
      </c>
      <c r="F2848">
        <f>TRIM(INDEX(INDIRECT("'Выгрузка'!A2848:Z2848"),Настройки!$B$12)&amp;"")</f>
        <v/>
      </c>
      <c r="G2848">
        <f>IF(F2848="",0,IF(TRIM(INDEX(INDIRECT("'Выгрузка'!A2848:Z2848"),Настройки!$B$13)&amp;"")="",1,IFERROR(--SUBSTITUTE(SUBSTITUTE(TRIM(INDEX(INDIRECT("'Выгрузка'!A2848:Z2848"),Настройки!$B$13)),",","."),".",MID(1/2,2,1)),"")))</f>
        <v/>
      </c>
      <c r="H2848">
        <f>IF(F2848="",0,IF(COUNTIF(Настройки!$B$17:$B$26,F2848)&gt;0,1,IF(COUNTIF(Настройки!$C$17:$C$26,F2848)&gt;0,2,IF(COUNTIF(Настройки!$D$17:$D$26,F2848)&gt;0,3,0))))</f>
        <v/>
      </c>
      <c r="I2848">
        <f>IF(AND(ISNUMBER(A2848),ISNUMBER(B2848)),A2848*1000+B2848,"")</f>
        <v/>
      </c>
      <c r="J2848">
        <f>IF(I2848="","",IF(COUNTIF(I$2:I2848,I2848)=1,MAX(J$1:J2847)+1,""))</f>
        <v/>
      </c>
    </row>
    <row r="2849">
      <c r="A2849">
        <f>IFERROR(--SUBSTITUTE(SUBSTITUTE(TRIM(INDEX(INDIRECT("'Выгрузка'!A2849:Z2849"),Настройки!$B$7)),",","."),".",MID(1/2,2,1)),"")</f>
        <v/>
      </c>
      <c r="B2849">
        <f>IFERROR(--SUBSTITUTE(SUBSTITUTE(TRIM(INDEX(INDIRECT("'Выгрузка'!A2849:Z2849"),Настройки!$B$9)),",","."),".",MID(1/2,2,1)),"")</f>
        <v/>
      </c>
      <c r="C2849">
        <f>TRIM(INDEX(INDIRECT("'Выгрузка'!A2849:Z2849"),Настройки!$B$8)&amp;"")</f>
        <v/>
      </c>
      <c r="D2849">
        <f>IFERROR(--SUBSTITUTE(SUBSTITUTE(TRIM(INDEX(INDIRECT("'Выгрузка'!A2849:Z2849"),Настройки!$B$10)),",","."),".",MID(1/2,2,1)),"")</f>
        <v/>
      </c>
      <c r="E2849">
        <f>IFERROR(--SUBSTITUTE(SUBSTITUTE(TRIM(INDEX(INDIRECT("'Выгрузка'!A2849:Z2849"),Настройки!$B$11)),",","."),".",MID(1/2,2,1)),"")</f>
        <v/>
      </c>
      <c r="F2849">
        <f>TRIM(INDEX(INDIRECT("'Выгрузка'!A2849:Z2849"),Настройки!$B$12)&amp;"")</f>
        <v/>
      </c>
      <c r="G2849">
        <f>IF(F2849="",0,IF(TRIM(INDEX(INDIRECT("'Выгрузка'!A2849:Z2849"),Настройки!$B$13)&amp;"")="",1,IFERROR(--SUBSTITUTE(SUBSTITUTE(TRIM(INDEX(INDIRECT("'Выгрузка'!A2849:Z2849"),Настройки!$B$13)),",","."),".",MID(1/2,2,1)),"")))</f>
        <v/>
      </c>
      <c r="H2849">
        <f>IF(F2849="",0,IF(COUNTIF(Настройки!$B$17:$B$26,F2849)&gt;0,1,IF(COUNTIF(Настройки!$C$17:$C$26,F2849)&gt;0,2,IF(COUNTIF(Настройки!$D$17:$D$26,F2849)&gt;0,3,0))))</f>
        <v/>
      </c>
      <c r="I2849">
        <f>IF(AND(ISNUMBER(A2849),ISNUMBER(B2849)),A2849*1000+B2849,"")</f>
        <v/>
      </c>
      <c r="J2849">
        <f>IF(I2849="","",IF(COUNTIF(I$2:I2849,I2849)=1,MAX(J$1:J2848)+1,""))</f>
        <v/>
      </c>
    </row>
    <row r="2850">
      <c r="A2850">
        <f>IFERROR(--SUBSTITUTE(SUBSTITUTE(TRIM(INDEX(INDIRECT("'Выгрузка'!A2850:Z2850"),Настройки!$B$7)),",","."),".",MID(1/2,2,1)),"")</f>
        <v/>
      </c>
      <c r="B2850">
        <f>IFERROR(--SUBSTITUTE(SUBSTITUTE(TRIM(INDEX(INDIRECT("'Выгрузка'!A2850:Z2850"),Настройки!$B$9)),",","."),".",MID(1/2,2,1)),"")</f>
        <v/>
      </c>
      <c r="C2850">
        <f>TRIM(INDEX(INDIRECT("'Выгрузка'!A2850:Z2850"),Настройки!$B$8)&amp;"")</f>
        <v/>
      </c>
      <c r="D2850">
        <f>IFERROR(--SUBSTITUTE(SUBSTITUTE(TRIM(INDEX(INDIRECT("'Выгрузка'!A2850:Z2850"),Настройки!$B$10)),",","."),".",MID(1/2,2,1)),"")</f>
        <v/>
      </c>
      <c r="E2850">
        <f>IFERROR(--SUBSTITUTE(SUBSTITUTE(TRIM(INDEX(INDIRECT("'Выгрузка'!A2850:Z2850"),Настройки!$B$11)),",","."),".",MID(1/2,2,1)),"")</f>
        <v/>
      </c>
      <c r="F2850">
        <f>TRIM(INDEX(INDIRECT("'Выгрузка'!A2850:Z2850"),Настройки!$B$12)&amp;"")</f>
        <v/>
      </c>
      <c r="G2850">
        <f>IF(F2850="",0,IF(TRIM(INDEX(INDIRECT("'Выгрузка'!A2850:Z2850"),Настройки!$B$13)&amp;"")="",1,IFERROR(--SUBSTITUTE(SUBSTITUTE(TRIM(INDEX(INDIRECT("'Выгрузка'!A2850:Z2850"),Настройки!$B$13)),",","."),".",MID(1/2,2,1)),"")))</f>
        <v/>
      </c>
      <c r="H2850">
        <f>IF(F2850="",0,IF(COUNTIF(Настройки!$B$17:$B$26,F2850)&gt;0,1,IF(COUNTIF(Настройки!$C$17:$C$26,F2850)&gt;0,2,IF(COUNTIF(Настройки!$D$17:$D$26,F2850)&gt;0,3,0))))</f>
        <v/>
      </c>
      <c r="I2850">
        <f>IF(AND(ISNUMBER(A2850),ISNUMBER(B2850)),A2850*1000+B2850,"")</f>
        <v/>
      </c>
      <c r="J2850">
        <f>IF(I2850="","",IF(COUNTIF(I$2:I2850,I2850)=1,MAX(J$1:J2849)+1,""))</f>
        <v/>
      </c>
    </row>
    <row r="2851">
      <c r="A2851">
        <f>IFERROR(--SUBSTITUTE(SUBSTITUTE(TRIM(INDEX(INDIRECT("'Выгрузка'!A2851:Z2851"),Настройки!$B$7)),",","."),".",MID(1/2,2,1)),"")</f>
        <v/>
      </c>
      <c r="B2851">
        <f>IFERROR(--SUBSTITUTE(SUBSTITUTE(TRIM(INDEX(INDIRECT("'Выгрузка'!A2851:Z2851"),Настройки!$B$9)),",","."),".",MID(1/2,2,1)),"")</f>
        <v/>
      </c>
      <c r="C2851">
        <f>TRIM(INDEX(INDIRECT("'Выгрузка'!A2851:Z2851"),Настройки!$B$8)&amp;"")</f>
        <v/>
      </c>
      <c r="D2851">
        <f>IFERROR(--SUBSTITUTE(SUBSTITUTE(TRIM(INDEX(INDIRECT("'Выгрузка'!A2851:Z2851"),Настройки!$B$10)),",","."),".",MID(1/2,2,1)),"")</f>
        <v/>
      </c>
      <c r="E2851">
        <f>IFERROR(--SUBSTITUTE(SUBSTITUTE(TRIM(INDEX(INDIRECT("'Выгрузка'!A2851:Z2851"),Настройки!$B$11)),",","."),".",MID(1/2,2,1)),"")</f>
        <v/>
      </c>
      <c r="F2851">
        <f>TRIM(INDEX(INDIRECT("'Выгрузка'!A2851:Z2851"),Настройки!$B$12)&amp;"")</f>
        <v/>
      </c>
      <c r="G2851">
        <f>IF(F2851="",0,IF(TRIM(INDEX(INDIRECT("'Выгрузка'!A2851:Z2851"),Настройки!$B$13)&amp;"")="",1,IFERROR(--SUBSTITUTE(SUBSTITUTE(TRIM(INDEX(INDIRECT("'Выгрузка'!A2851:Z2851"),Настройки!$B$13)),",","."),".",MID(1/2,2,1)),"")))</f>
        <v/>
      </c>
      <c r="H2851">
        <f>IF(F2851="",0,IF(COUNTIF(Настройки!$B$17:$B$26,F2851)&gt;0,1,IF(COUNTIF(Настройки!$C$17:$C$26,F2851)&gt;0,2,IF(COUNTIF(Настройки!$D$17:$D$26,F2851)&gt;0,3,0))))</f>
        <v/>
      </c>
      <c r="I2851">
        <f>IF(AND(ISNUMBER(A2851),ISNUMBER(B2851)),A2851*1000+B2851,"")</f>
        <v/>
      </c>
      <c r="J2851">
        <f>IF(I2851="","",IF(COUNTIF(I$2:I2851,I2851)=1,MAX(J$1:J2850)+1,""))</f>
        <v/>
      </c>
    </row>
    <row r="2852">
      <c r="A2852">
        <f>IFERROR(--SUBSTITUTE(SUBSTITUTE(TRIM(INDEX(INDIRECT("'Выгрузка'!A2852:Z2852"),Настройки!$B$7)),",","."),".",MID(1/2,2,1)),"")</f>
        <v/>
      </c>
      <c r="B2852">
        <f>IFERROR(--SUBSTITUTE(SUBSTITUTE(TRIM(INDEX(INDIRECT("'Выгрузка'!A2852:Z2852"),Настройки!$B$9)),",","."),".",MID(1/2,2,1)),"")</f>
        <v/>
      </c>
      <c r="C2852">
        <f>TRIM(INDEX(INDIRECT("'Выгрузка'!A2852:Z2852"),Настройки!$B$8)&amp;"")</f>
        <v/>
      </c>
      <c r="D2852">
        <f>IFERROR(--SUBSTITUTE(SUBSTITUTE(TRIM(INDEX(INDIRECT("'Выгрузка'!A2852:Z2852"),Настройки!$B$10)),",","."),".",MID(1/2,2,1)),"")</f>
        <v/>
      </c>
      <c r="E2852">
        <f>IFERROR(--SUBSTITUTE(SUBSTITUTE(TRIM(INDEX(INDIRECT("'Выгрузка'!A2852:Z2852"),Настройки!$B$11)),",","."),".",MID(1/2,2,1)),"")</f>
        <v/>
      </c>
      <c r="F2852">
        <f>TRIM(INDEX(INDIRECT("'Выгрузка'!A2852:Z2852"),Настройки!$B$12)&amp;"")</f>
        <v/>
      </c>
      <c r="G2852">
        <f>IF(F2852="",0,IF(TRIM(INDEX(INDIRECT("'Выгрузка'!A2852:Z2852"),Настройки!$B$13)&amp;"")="",1,IFERROR(--SUBSTITUTE(SUBSTITUTE(TRIM(INDEX(INDIRECT("'Выгрузка'!A2852:Z2852"),Настройки!$B$13)),",","."),".",MID(1/2,2,1)),"")))</f>
        <v/>
      </c>
      <c r="H2852">
        <f>IF(F2852="",0,IF(COUNTIF(Настройки!$B$17:$B$26,F2852)&gt;0,1,IF(COUNTIF(Настройки!$C$17:$C$26,F2852)&gt;0,2,IF(COUNTIF(Настройки!$D$17:$D$26,F2852)&gt;0,3,0))))</f>
        <v/>
      </c>
      <c r="I2852">
        <f>IF(AND(ISNUMBER(A2852),ISNUMBER(B2852)),A2852*1000+B2852,"")</f>
        <v/>
      </c>
      <c r="J2852">
        <f>IF(I2852="","",IF(COUNTIF(I$2:I2852,I2852)=1,MAX(J$1:J2851)+1,""))</f>
        <v/>
      </c>
    </row>
    <row r="2853">
      <c r="A2853">
        <f>IFERROR(--SUBSTITUTE(SUBSTITUTE(TRIM(INDEX(INDIRECT("'Выгрузка'!A2853:Z2853"),Настройки!$B$7)),",","."),".",MID(1/2,2,1)),"")</f>
        <v/>
      </c>
      <c r="B2853">
        <f>IFERROR(--SUBSTITUTE(SUBSTITUTE(TRIM(INDEX(INDIRECT("'Выгрузка'!A2853:Z2853"),Настройки!$B$9)),",","."),".",MID(1/2,2,1)),"")</f>
        <v/>
      </c>
      <c r="C2853">
        <f>TRIM(INDEX(INDIRECT("'Выгрузка'!A2853:Z2853"),Настройки!$B$8)&amp;"")</f>
        <v/>
      </c>
      <c r="D2853">
        <f>IFERROR(--SUBSTITUTE(SUBSTITUTE(TRIM(INDEX(INDIRECT("'Выгрузка'!A2853:Z2853"),Настройки!$B$10)),",","."),".",MID(1/2,2,1)),"")</f>
        <v/>
      </c>
      <c r="E2853">
        <f>IFERROR(--SUBSTITUTE(SUBSTITUTE(TRIM(INDEX(INDIRECT("'Выгрузка'!A2853:Z2853"),Настройки!$B$11)),",","."),".",MID(1/2,2,1)),"")</f>
        <v/>
      </c>
      <c r="F2853">
        <f>TRIM(INDEX(INDIRECT("'Выгрузка'!A2853:Z2853"),Настройки!$B$12)&amp;"")</f>
        <v/>
      </c>
      <c r="G2853">
        <f>IF(F2853="",0,IF(TRIM(INDEX(INDIRECT("'Выгрузка'!A2853:Z2853"),Настройки!$B$13)&amp;"")="",1,IFERROR(--SUBSTITUTE(SUBSTITUTE(TRIM(INDEX(INDIRECT("'Выгрузка'!A2853:Z2853"),Настройки!$B$13)),",","."),".",MID(1/2,2,1)),"")))</f>
        <v/>
      </c>
      <c r="H2853">
        <f>IF(F2853="",0,IF(COUNTIF(Настройки!$B$17:$B$26,F2853)&gt;0,1,IF(COUNTIF(Настройки!$C$17:$C$26,F2853)&gt;0,2,IF(COUNTIF(Настройки!$D$17:$D$26,F2853)&gt;0,3,0))))</f>
        <v/>
      </c>
      <c r="I2853">
        <f>IF(AND(ISNUMBER(A2853),ISNUMBER(B2853)),A2853*1000+B2853,"")</f>
        <v/>
      </c>
      <c r="J2853">
        <f>IF(I2853="","",IF(COUNTIF(I$2:I2853,I2853)=1,MAX(J$1:J2852)+1,""))</f>
        <v/>
      </c>
    </row>
    <row r="2854">
      <c r="A2854">
        <f>IFERROR(--SUBSTITUTE(SUBSTITUTE(TRIM(INDEX(INDIRECT("'Выгрузка'!A2854:Z2854"),Настройки!$B$7)),",","."),".",MID(1/2,2,1)),"")</f>
        <v/>
      </c>
      <c r="B2854">
        <f>IFERROR(--SUBSTITUTE(SUBSTITUTE(TRIM(INDEX(INDIRECT("'Выгрузка'!A2854:Z2854"),Настройки!$B$9)),",","."),".",MID(1/2,2,1)),"")</f>
        <v/>
      </c>
      <c r="C2854">
        <f>TRIM(INDEX(INDIRECT("'Выгрузка'!A2854:Z2854"),Настройки!$B$8)&amp;"")</f>
        <v/>
      </c>
      <c r="D2854">
        <f>IFERROR(--SUBSTITUTE(SUBSTITUTE(TRIM(INDEX(INDIRECT("'Выгрузка'!A2854:Z2854"),Настройки!$B$10)),",","."),".",MID(1/2,2,1)),"")</f>
        <v/>
      </c>
      <c r="E2854">
        <f>IFERROR(--SUBSTITUTE(SUBSTITUTE(TRIM(INDEX(INDIRECT("'Выгрузка'!A2854:Z2854"),Настройки!$B$11)),",","."),".",MID(1/2,2,1)),"")</f>
        <v/>
      </c>
      <c r="F2854">
        <f>TRIM(INDEX(INDIRECT("'Выгрузка'!A2854:Z2854"),Настройки!$B$12)&amp;"")</f>
        <v/>
      </c>
      <c r="G2854">
        <f>IF(F2854="",0,IF(TRIM(INDEX(INDIRECT("'Выгрузка'!A2854:Z2854"),Настройки!$B$13)&amp;"")="",1,IFERROR(--SUBSTITUTE(SUBSTITUTE(TRIM(INDEX(INDIRECT("'Выгрузка'!A2854:Z2854"),Настройки!$B$13)),",","."),".",MID(1/2,2,1)),"")))</f>
        <v/>
      </c>
      <c r="H2854">
        <f>IF(F2854="",0,IF(COUNTIF(Настройки!$B$17:$B$26,F2854)&gt;0,1,IF(COUNTIF(Настройки!$C$17:$C$26,F2854)&gt;0,2,IF(COUNTIF(Настройки!$D$17:$D$26,F2854)&gt;0,3,0))))</f>
        <v/>
      </c>
      <c r="I2854">
        <f>IF(AND(ISNUMBER(A2854),ISNUMBER(B2854)),A2854*1000+B2854,"")</f>
        <v/>
      </c>
      <c r="J2854">
        <f>IF(I2854="","",IF(COUNTIF(I$2:I2854,I2854)=1,MAX(J$1:J2853)+1,""))</f>
        <v/>
      </c>
    </row>
    <row r="2855">
      <c r="A2855">
        <f>IFERROR(--SUBSTITUTE(SUBSTITUTE(TRIM(INDEX(INDIRECT("'Выгрузка'!A2855:Z2855"),Настройки!$B$7)),",","."),".",MID(1/2,2,1)),"")</f>
        <v/>
      </c>
      <c r="B2855">
        <f>IFERROR(--SUBSTITUTE(SUBSTITUTE(TRIM(INDEX(INDIRECT("'Выгрузка'!A2855:Z2855"),Настройки!$B$9)),",","."),".",MID(1/2,2,1)),"")</f>
        <v/>
      </c>
      <c r="C2855">
        <f>TRIM(INDEX(INDIRECT("'Выгрузка'!A2855:Z2855"),Настройки!$B$8)&amp;"")</f>
        <v/>
      </c>
      <c r="D2855">
        <f>IFERROR(--SUBSTITUTE(SUBSTITUTE(TRIM(INDEX(INDIRECT("'Выгрузка'!A2855:Z2855"),Настройки!$B$10)),",","."),".",MID(1/2,2,1)),"")</f>
        <v/>
      </c>
      <c r="E2855">
        <f>IFERROR(--SUBSTITUTE(SUBSTITUTE(TRIM(INDEX(INDIRECT("'Выгрузка'!A2855:Z2855"),Настройки!$B$11)),",","."),".",MID(1/2,2,1)),"")</f>
        <v/>
      </c>
      <c r="F2855">
        <f>TRIM(INDEX(INDIRECT("'Выгрузка'!A2855:Z2855"),Настройки!$B$12)&amp;"")</f>
        <v/>
      </c>
      <c r="G2855">
        <f>IF(F2855="",0,IF(TRIM(INDEX(INDIRECT("'Выгрузка'!A2855:Z2855"),Настройки!$B$13)&amp;"")="",1,IFERROR(--SUBSTITUTE(SUBSTITUTE(TRIM(INDEX(INDIRECT("'Выгрузка'!A2855:Z2855"),Настройки!$B$13)),",","."),".",MID(1/2,2,1)),"")))</f>
        <v/>
      </c>
      <c r="H2855">
        <f>IF(F2855="",0,IF(COUNTIF(Настройки!$B$17:$B$26,F2855)&gt;0,1,IF(COUNTIF(Настройки!$C$17:$C$26,F2855)&gt;0,2,IF(COUNTIF(Настройки!$D$17:$D$26,F2855)&gt;0,3,0))))</f>
        <v/>
      </c>
      <c r="I2855">
        <f>IF(AND(ISNUMBER(A2855),ISNUMBER(B2855)),A2855*1000+B2855,"")</f>
        <v/>
      </c>
      <c r="J2855">
        <f>IF(I2855="","",IF(COUNTIF(I$2:I2855,I2855)=1,MAX(J$1:J2854)+1,""))</f>
        <v/>
      </c>
    </row>
    <row r="2856">
      <c r="A2856">
        <f>IFERROR(--SUBSTITUTE(SUBSTITUTE(TRIM(INDEX(INDIRECT("'Выгрузка'!A2856:Z2856"),Настройки!$B$7)),",","."),".",MID(1/2,2,1)),"")</f>
        <v/>
      </c>
      <c r="B2856">
        <f>IFERROR(--SUBSTITUTE(SUBSTITUTE(TRIM(INDEX(INDIRECT("'Выгрузка'!A2856:Z2856"),Настройки!$B$9)),",","."),".",MID(1/2,2,1)),"")</f>
        <v/>
      </c>
      <c r="C2856">
        <f>TRIM(INDEX(INDIRECT("'Выгрузка'!A2856:Z2856"),Настройки!$B$8)&amp;"")</f>
        <v/>
      </c>
      <c r="D2856">
        <f>IFERROR(--SUBSTITUTE(SUBSTITUTE(TRIM(INDEX(INDIRECT("'Выгрузка'!A2856:Z2856"),Настройки!$B$10)),",","."),".",MID(1/2,2,1)),"")</f>
        <v/>
      </c>
      <c r="E2856">
        <f>IFERROR(--SUBSTITUTE(SUBSTITUTE(TRIM(INDEX(INDIRECT("'Выгрузка'!A2856:Z2856"),Настройки!$B$11)),",","."),".",MID(1/2,2,1)),"")</f>
        <v/>
      </c>
      <c r="F2856">
        <f>TRIM(INDEX(INDIRECT("'Выгрузка'!A2856:Z2856"),Настройки!$B$12)&amp;"")</f>
        <v/>
      </c>
      <c r="G2856">
        <f>IF(F2856="",0,IF(TRIM(INDEX(INDIRECT("'Выгрузка'!A2856:Z2856"),Настройки!$B$13)&amp;"")="",1,IFERROR(--SUBSTITUTE(SUBSTITUTE(TRIM(INDEX(INDIRECT("'Выгрузка'!A2856:Z2856"),Настройки!$B$13)),",","."),".",MID(1/2,2,1)),"")))</f>
        <v/>
      </c>
      <c r="H2856">
        <f>IF(F2856="",0,IF(COUNTIF(Настройки!$B$17:$B$26,F2856)&gt;0,1,IF(COUNTIF(Настройки!$C$17:$C$26,F2856)&gt;0,2,IF(COUNTIF(Настройки!$D$17:$D$26,F2856)&gt;0,3,0))))</f>
        <v/>
      </c>
      <c r="I2856">
        <f>IF(AND(ISNUMBER(A2856),ISNUMBER(B2856)),A2856*1000+B2856,"")</f>
        <v/>
      </c>
      <c r="J2856">
        <f>IF(I2856="","",IF(COUNTIF(I$2:I2856,I2856)=1,MAX(J$1:J2855)+1,""))</f>
        <v/>
      </c>
    </row>
    <row r="2857">
      <c r="A2857">
        <f>IFERROR(--SUBSTITUTE(SUBSTITUTE(TRIM(INDEX(INDIRECT("'Выгрузка'!A2857:Z2857"),Настройки!$B$7)),",","."),".",MID(1/2,2,1)),"")</f>
        <v/>
      </c>
      <c r="B2857">
        <f>IFERROR(--SUBSTITUTE(SUBSTITUTE(TRIM(INDEX(INDIRECT("'Выгрузка'!A2857:Z2857"),Настройки!$B$9)),",","."),".",MID(1/2,2,1)),"")</f>
        <v/>
      </c>
      <c r="C2857">
        <f>TRIM(INDEX(INDIRECT("'Выгрузка'!A2857:Z2857"),Настройки!$B$8)&amp;"")</f>
        <v/>
      </c>
      <c r="D2857">
        <f>IFERROR(--SUBSTITUTE(SUBSTITUTE(TRIM(INDEX(INDIRECT("'Выгрузка'!A2857:Z2857"),Настройки!$B$10)),",","."),".",MID(1/2,2,1)),"")</f>
        <v/>
      </c>
      <c r="E2857">
        <f>IFERROR(--SUBSTITUTE(SUBSTITUTE(TRIM(INDEX(INDIRECT("'Выгрузка'!A2857:Z2857"),Настройки!$B$11)),",","."),".",MID(1/2,2,1)),"")</f>
        <v/>
      </c>
      <c r="F2857">
        <f>TRIM(INDEX(INDIRECT("'Выгрузка'!A2857:Z2857"),Настройки!$B$12)&amp;"")</f>
        <v/>
      </c>
      <c r="G2857">
        <f>IF(F2857="",0,IF(TRIM(INDEX(INDIRECT("'Выгрузка'!A2857:Z2857"),Настройки!$B$13)&amp;"")="",1,IFERROR(--SUBSTITUTE(SUBSTITUTE(TRIM(INDEX(INDIRECT("'Выгрузка'!A2857:Z2857"),Настройки!$B$13)),",","."),".",MID(1/2,2,1)),"")))</f>
        <v/>
      </c>
      <c r="H2857">
        <f>IF(F2857="",0,IF(COUNTIF(Настройки!$B$17:$B$26,F2857)&gt;0,1,IF(COUNTIF(Настройки!$C$17:$C$26,F2857)&gt;0,2,IF(COUNTIF(Настройки!$D$17:$D$26,F2857)&gt;0,3,0))))</f>
        <v/>
      </c>
      <c r="I2857">
        <f>IF(AND(ISNUMBER(A2857),ISNUMBER(B2857)),A2857*1000+B2857,"")</f>
        <v/>
      </c>
      <c r="J2857">
        <f>IF(I2857="","",IF(COUNTIF(I$2:I2857,I2857)=1,MAX(J$1:J2856)+1,""))</f>
        <v/>
      </c>
    </row>
    <row r="2858">
      <c r="A2858">
        <f>IFERROR(--SUBSTITUTE(SUBSTITUTE(TRIM(INDEX(INDIRECT("'Выгрузка'!A2858:Z2858"),Настройки!$B$7)),",","."),".",MID(1/2,2,1)),"")</f>
        <v/>
      </c>
      <c r="B2858">
        <f>IFERROR(--SUBSTITUTE(SUBSTITUTE(TRIM(INDEX(INDIRECT("'Выгрузка'!A2858:Z2858"),Настройки!$B$9)),",","."),".",MID(1/2,2,1)),"")</f>
        <v/>
      </c>
      <c r="C2858">
        <f>TRIM(INDEX(INDIRECT("'Выгрузка'!A2858:Z2858"),Настройки!$B$8)&amp;"")</f>
        <v/>
      </c>
      <c r="D2858">
        <f>IFERROR(--SUBSTITUTE(SUBSTITUTE(TRIM(INDEX(INDIRECT("'Выгрузка'!A2858:Z2858"),Настройки!$B$10)),",","."),".",MID(1/2,2,1)),"")</f>
        <v/>
      </c>
      <c r="E2858">
        <f>IFERROR(--SUBSTITUTE(SUBSTITUTE(TRIM(INDEX(INDIRECT("'Выгрузка'!A2858:Z2858"),Настройки!$B$11)),",","."),".",MID(1/2,2,1)),"")</f>
        <v/>
      </c>
      <c r="F2858">
        <f>TRIM(INDEX(INDIRECT("'Выгрузка'!A2858:Z2858"),Настройки!$B$12)&amp;"")</f>
        <v/>
      </c>
      <c r="G2858">
        <f>IF(F2858="",0,IF(TRIM(INDEX(INDIRECT("'Выгрузка'!A2858:Z2858"),Настройки!$B$13)&amp;"")="",1,IFERROR(--SUBSTITUTE(SUBSTITUTE(TRIM(INDEX(INDIRECT("'Выгрузка'!A2858:Z2858"),Настройки!$B$13)),",","."),".",MID(1/2,2,1)),"")))</f>
        <v/>
      </c>
      <c r="H2858">
        <f>IF(F2858="",0,IF(COUNTIF(Настройки!$B$17:$B$26,F2858)&gt;0,1,IF(COUNTIF(Настройки!$C$17:$C$26,F2858)&gt;0,2,IF(COUNTIF(Настройки!$D$17:$D$26,F2858)&gt;0,3,0))))</f>
        <v/>
      </c>
      <c r="I2858">
        <f>IF(AND(ISNUMBER(A2858),ISNUMBER(B2858)),A2858*1000+B2858,"")</f>
        <v/>
      </c>
      <c r="J2858">
        <f>IF(I2858="","",IF(COUNTIF(I$2:I2858,I2858)=1,MAX(J$1:J2857)+1,""))</f>
        <v/>
      </c>
    </row>
    <row r="2859">
      <c r="A2859">
        <f>IFERROR(--SUBSTITUTE(SUBSTITUTE(TRIM(INDEX(INDIRECT("'Выгрузка'!A2859:Z2859"),Настройки!$B$7)),",","."),".",MID(1/2,2,1)),"")</f>
        <v/>
      </c>
      <c r="B2859">
        <f>IFERROR(--SUBSTITUTE(SUBSTITUTE(TRIM(INDEX(INDIRECT("'Выгрузка'!A2859:Z2859"),Настройки!$B$9)),",","."),".",MID(1/2,2,1)),"")</f>
        <v/>
      </c>
      <c r="C2859">
        <f>TRIM(INDEX(INDIRECT("'Выгрузка'!A2859:Z2859"),Настройки!$B$8)&amp;"")</f>
        <v/>
      </c>
      <c r="D2859">
        <f>IFERROR(--SUBSTITUTE(SUBSTITUTE(TRIM(INDEX(INDIRECT("'Выгрузка'!A2859:Z2859"),Настройки!$B$10)),",","."),".",MID(1/2,2,1)),"")</f>
        <v/>
      </c>
      <c r="E2859">
        <f>IFERROR(--SUBSTITUTE(SUBSTITUTE(TRIM(INDEX(INDIRECT("'Выгрузка'!A2859:Z2859"),Настройки!$B$11)),",","."),".",MID(1/2,2,1)),"")</f>
        <v/>
      </c>
      <c r="F2859">
        <f>TRIM(INDEX(INDIRECT("'Выгрузка'!A2859:Z2859"),Настройки!$B$12)&amp;"")</f>
        <v/>
      </c>
      <c r="G2859">
        <f>IF(F2859="",0,IF(TRIM(INDEX(INDIRECT("'Выгрузка'!A2859:Z2859"),Настройки!$B$13)&amp;"")="",1,IFERROR(--SUBSTITUTE(SUBSTITUTE(TRIM(INDEX(INDIRECT("'Выгрузка'!A2859:Z2859"),Настройки!$B$13)),",","."),".",MID(1/2,2,1)),"")))</f>
        <v/>
      </c>
      <c r="H2859">
        <f>IF(F2859="",0,IF(COUNTIF(Настройки!$B$17:$B$26,F2859)&gt;0,1,IF(COUNTIF(Настройки!$C$17:$C$26,F2859)&gt;0,2,IF(COUNTIF(Настройки!$D$17:$D$26,F2859)&gt;0,3,0))))</f>
        <v/>
      </c>
      <c r="I2859">
        <f>IF(AND(ISNUMBER(A2859),ISNUMBER(B2859)),A2859*1000+B2859,"")</f>
        <v/>
      </c>
      <c r="J2859">
        <f>IF(I2859="","",IF(COUNTIF(I$2:I2859,I2859)=1,MAX(J$1:J2858)+1,""))</f>
        <v/>
      </c>
    </row>
    <row r="2860">
      <c r="A2860">
        <f>IFERROR(--SUBSTITUTE(SUBSTITUTE(TRIM(INDEX(INDIRECT("'Выгрузка'!A2860:Z2860"),Настройки!$B$7)),",","."),".",MID(1/2,2,1)),"")</f>
        <v/>
      </c>
      <c r="B2860">
        <f>IFERROR(--SUBSTITUTE(SUBSTITUTE(TRIM(INDEX(INDIRECT("'Выгрузка'!A2860:Z2860"),Настройки!$B$9)),",","."),".",MID(1/2,2,1)),"")</f>
        <v/>
      </c>
      <c r="C2860">
        <f>TRIM(INDEX(INDIRECT("'Выгрузка'!A2860:Z2860"),Настройки!$B$8)&amp;"")</f>
        <v/>
      </c>
      <c r="D2860">
        <f>IFERROR(--SUBSTITUTE(SUBSTITUTE(TRIM(INDEX(INDIRECT("'Выгрузка'!A2860:Z2860"),Настройки!$B$10)),",","."),".",MID(1/2,2,1)),"")</f>
        <v/>
      </c>
      <c r="E2860">
        <f>IFERROR(--SUBSTITUTE(SUBSTITUTE(TRIM(INDEX(INDIRECT("'Выгрузка'!A2860:Z2860"),Настройки!$B$11)),",","."),".",MID(1/2,2,1)),"")</f>
        <v/>
      </c>
      <c r="F2860">
        <f>TRIM(INDEX(INDIRECT("'Выгрузка'!A2860:Z2860"),Настройки!$B$12)&amp;"")</f>
        <v/>
      </c>
      <c r="G2860">
        <f>IF(F2860="",0,IF(TRIM(INDEX(INDIRECT("'Выгрузка'!A2860:Z2860"),Настройки!$B$13)&amp;"")="",1,IFERROR(--SUBSTITUTE(SUBSTITUTE(TRIM(INDEX(INDIRECT("'Выгрузка'!A2860:Z2860"),Настройки!$B$13)),",","."),".",MID(1/2,2,1)),"")))</f>
        <v/>
      </c>
      <c r="H2860">
        <f>IF(F2860="",0,IF(COUNTIF(Настройки!$B$17:$B$26,F2860)&gt;0,1,IF(COUNTIF(Настройки!$C$17:$C$26,F2860)&gt;0,2,IF(COUNTIF(Настройки!$D$17:$D$26,F2860)&gt;0,3,0))))</f>
        <v/>
      </c>
      <c r="I2860">
        <f>IF(AND(ISNUMBER(A2860),ISNUMBER(B2860)),A2860*1000+B2860,"")</f>
        <v/>
      </c>
      <c r="J2860">
        <f>IF(I2860="","",IF(COUNTIF(I$2:I2860,I2860)=1,MAX(J$1:J2859)+1,""))</f>
        <v/>
      </c>
    </row>
    <row r="2861">
      <c r="A2861">
        <f>IFERROR(--SUBSTITUTE(SUBSTITUTE(TRIM(INDEX(INDIRECT("'Выгрузка'!A2861:Z2861"),Настройки!$B$7)),",","."),".",MID(1/2,2,1)),"")</f>
        <v/>
      </c>
      <c r="B2861">
        <f>IFERROR(--SUBSTITUTE(SUBSTITUTE(TRIM(INDEX(INDIRECT("'Выгрузка'!A2861:Z2861"),Настройки!$B$9)),",","."),".",MID(1/2,2,1)),"")</f>
        <v/>
      </c>
      <c r="C2861">
        <f>TRIM(INDEX(INDIRECT("'Выгрузка'!A2861:Z2861"),Настройки!$B$8)&amp;"")</f>
        <v/>
      </c>
      <c r="D2861">
        <f>IFERROR(--SUBSTITUTE(SUBSTITUTE(TRIM(INDEX(INDIRECT("'Выгрузка'!A2861:Z2861"),Настройки!$B$10)),",","."),".",MID(1/2,2,1)),"")</f>
        <v/>
      </c>
      <c r="E2861">
        <f>IFERROR(--SUBSTITUTE(SUBSTITUTE(TRIM(INDEX(INDIRECT("'Выгрузка'!A2861:Z2861"),Настройки!$B$11)),",","."),".",MID(1/2,2,1)),"")</f>
        <v/>
      </c>
      <c r="F2861">
        <f>TRIM(INDEX(INDIRECT("'Выгрузка'!A2861:Z2861"),Настройки!$B$12)&amp;"")</f>
        <v/>
      </c>
      <c r="G2861">
        <f>IF(F2861="",0,IF(TRIM(INDEX(INDIRECT("'Выгрузка'!A2861:Z2861"),Настройки!$B$13)&amp;"")="",1,IFERROR(--SUBSTITUTE(SUBSTITUTE(TRIM(INDEX(INDIRECT("'Выгрузка'!A2861:Z2861"),Настройки!$B$13)),",","."),".",MID(1/2,2,1)),"")))</f>
        <v/>
      </c>
      <c r="H2861">
        <f>IF(F2861="",0,IF(COUNTIF(Настройки!$B$17:$B$26,F2861)&gt;0,1,IF(COUNTIF(Настройки!$C$17:$C$26,F2861)&gt;0,2,IF(COUNTIF(Настройки!$D$17:$D$26,F2861)&gt;0,3,0))))</f>
        <v/>
      </c>
      <c r="I2861">
        <f>IF(AND(ISNUMBER(A2861),ISNUMBER(B2861)),A2861*1000+B2861,"")</f>
        <v/>
      </c>
      <c r="J2861">
        <f>IF(I2861="","",IF(COUNTIF(I$2:I2861,I2861)=1,MAX(J$1:J2860)+1,""))</f>
        <v/>
      </c>
    </row>
    <row r="2862">
      <c r="A2862">
        <f>IFERROR(--SUBSTITUTE(SUBSTITUTE(TRIM(INDEX(INDIRECT("'Выгрузка'!A2862:Z2862"),Настройки!$B$7)),",","."),".",MID(1/2,2,1)),"")</f>
        <v/>
      </c>
      <c r="B2862">
        <f>IFERROR(--SUBSTITUTE(SUBSTITUTE(TRIM(INDEX(INDIRECT("'Выгрузка'!A2862:Z2862"),Настройки!$B$9)),",","."),".",MID(1/2,2,1)),"")</f>
        <v/>
      </c>
      <c r="C2862">
        <f>TRIM(INDEX(INDIRECT("'Выгрузка'!A2862:Z2862"),Настройки!$B$8)&amp;"")</f>
        <v/>
      </c>
      <c r="D2862">
        <f>IFERROR(--SUBSTITUTE(SUBSTITUTE(TRIM(INDEX(INDIRECT("'Выгрузка'!A2862:Z2862"),Настройки!$B$10)),",","."),".",MID(1/2,2,1)),"")</f>
        <v/>
      </c>
      <c r="E2862">
        <f>IFERROR(--SUBSTITUTE(SUBSTITUTE(TRIM(INDEX(INDIRECT("'Выгрузка'!A2862:Z2862"),Настройки!$B$11)),",","."),".",MID(1/2,2,1)),"")</f>
        <v/>
      </c>
      <c r="F2862">
        <f>TRIM(INDEX(INDIRECT("'Выгрузка'!A2862:Z2862"),Настройки!$B$12)&amp;"")</f>
        <v/>
      </c>
      <c r="G2862">
        <f>IF(F2862="",0,IF(TRIM(INDEX(INDIRECT("'Выгрузка'!A2862:Z2862"),Настройки!$B$13)&amp;"")="",1,IFERROR(--SUBSTITUTE(SUBSTITUTE(TRIM(INDEX(INDIRECT("'Выгрузка'!A2862:Z2862"),Настройки!$B$13)),",","."),".",MID(1/2,2,1)),"")))</f>
        <v/>
      </c>
      <c r="H2862">
        <f>IF(F2862="",0,IF(COUNTIF(Настройки!$B$17:$B$26,F2862)&gt;0,1,IF(COUNTIF(Настройки!$C$17:$C$26,F2862)&gt;0,2,IF(COUNTIF(Настройки!$D$17:$D$26,F2862)&gt;0,3,0))))</f>
        <v/>
      </c>
      <c r="I2862">
        <f>IF(AND(ISNUMBER(A2862),ISNUMBER(B2862)),A2862*1000+B2862,"")</f>
        <v/>
      </c>
      <c r="J2862">
        <f>IF(I2862="","",IF(COUNTIF(I$2:I2862,I2862)=1,MAX(J$1:J2861)+1,""))</f>
        <v/>
      </c>
    </row>
    <row r="2863">
      <c r="A2863">
        <f>IFERROR(--SUBSTITUTE(SUBSTITUTE(TRIM(INDEX(INDIRECT("'Выгрузка'!A2863:Z2863"),Настройки!$B$7)),",","."),".",MID(1/2,2,1)),"")</f>
        <v/>
      </c>
      <c r="B2863">
        <f>IFERROR(--SUBSTITUTE(SUBSTITUTE(TRIM(INDEX(INDIRECT("'Выгрузка'!A2863:Z2863"),Настройки!$B$9)),",","."),".",MID(1/2,2,1)),"")</f>
        <v/>
      </c>
      <c r="C2863">
        <f>TRIM(INDEX(INDIRECT("'Выгрузка'!A2863:Z2863"),Настройки!$B$8)&amp;"")</f>
        <v/>
      </c>
      <c r="D2863">
        <f>IFERROR(--SUBSTITUTE(SUBSTITUTE(TRIM(INDEX(INDIRECT("'Выгрузка'!A2863:Z2863"),Настройки!$B$10)),",","."),".",MID(1/2,2,1)),"")</f>
        <v/>
      </c>
      <c r="E2863">
        <f>IFERROR(--SUBSTITUTE(SUBSTITUTE(TRIM(INDEX(INDIRECT("'Выгрузка'!A2863:Z2863"),Настройки!$B$11)),",","."),".",MID(1/2,2,1)),"")</f>
        <v/>
      </c>
      <c r="F2863">
        <f>TRIM(INDEX(INDIRECT("'Выгрузка'!A2863:Z2863"),Настройки!$B$12)&amp;"")</f>
        <v/>
      </c>
      <c r="G2863">
        <f>IF(F2863="",0,IF(TRIM(INDEX(INDIRECT("'Выгрузка'!A2863:Z2863"),Настройки!$B$13)&amp;"")="",1,IFERROR(--SUBSTITUTE(SUBSTITUTE(TRIM(INDEX(INDIRECT("'Выгрузка'!A2863:Z2863"),Настройки!$B$13)),",","."),".",MID(1/2,2,1)),"")))</f>
        <v/>
      </c>
      <c r="H2863">
        <f>IF(F2863="",0,IF(COUNTIF(Настройки!$B$17:$B$26,F2863)&gt;0,1,IF(COUNTIF(Настройки!$C$17:$C$26,F2863)&gt;0,2,IF(COUNTIF(Настройки!$D$17:$D$26,F2863)&gt;0,3,0))))</f>
        <v/>
      </c>
      <c r="I2863">
        <f>IF(AND(ISNUMBER(A2863),ISNUMBER(B2863)),A2863*1000+B2863,"")</f>
        <v/>
      </c>
      <c r="J2863">
        <f>IF(I2863="","",IF(COUNTIF(I$2:I2863,I2863)=1,MAX(J$1:J2862)+1,""))</f>
        <v/>
      </c>
    </row>
    <row r="2864">
      <c r="A2864">
        <f>IFERROR(--SUBSTITUTE(SUBSTITUTE(TRIM(INDEX(INDIRECT("'Выгрузка'!A2864:Z2864"),Настройки!$B$7)),",","."),".",MID(1/2,2,1)),"")</f>
        <v/>
      </c>
      <c r="B2864">
        <f>IFERROR(--SUBSTITUTE(SUBSTITUTE(TRIM(INDEX(INDIRECT("'Выгрузка'!A2864:Z2864"),Настройки!$B$9)),",","."),".",MID(1/2,2,1)),"")</f>
        <v/>
      </c>
      <c r="C2864">
        <f>TRIM(INDEX(INDIRECT("'Выгрузка'!A2864:Z2864"),Настройки!$B$8)&amp;"")</f>
        <v/>
      </c>
      <c r="D2864">
        <f>IFERROR(--SUBSTITUTE(SUBSTITUTE(TRIM(INDEX(INDIRECT("'Выгрузка'!A2864:Z2864"),Настройки!$B$10)),",","."),".",MID(1/2,2,1)),"")</f>
        <v/>
      </c>
      <c r="E2864">
        <f>IFERROR(--SUBSTITUTE(SUBSTITUTE(TRIM(INDEX(INDIRECT("'Выгрузка'!A2864:Z2864"),Настройки!$B$11)),",","."),".",MID(1/2,2,1)),"")</f>
        <v/>
      </c>
      <c r="F2864">
        <f>TRIM(INDEX(INDIRECT("'Выгрузка'!A2864:Z2864"),Настройки!$B$12)&amp;"")</f>
        <v/>
      </c>
      <c r="G2864">
        <f>IF(F2864="",0,IF(TRIM(INDEX(INDIRECT("'Выгрузка'!A2864:Z2864"),Настройки!$B$13)&amp;"")="",1,IFERROR(--SUBSTITUTE(SUBSTITUTE(TRIM(INDEX(INDIRECT("'Выгрузка'!A2864:Z2864"),Настройки!$B$13)),",","."),".",MID(1/2,2,1)),"")))</f>
        <v/>
      </c>
      <c r="H2864">
        <f>IF(F2864="",0,IF(COUNTIF(Настройки!$B$17:$B$26,F2864)&gt;0,1,IF(COUNTIF(Настройки!$C$17:$C$26,F2864)&gt;0,2,IF(COUNTIF(Настройки!$D$17:$D$26,F2864)&gt;0,3,0))))</f>
        <v/>
      </c>
      <c r="I2864">
        <f>IF(AND(ISNUMBER(A2864),ISNUMBER(B2864)),A2864*1000+B2864,"")</f>
        <v/>
      </c>
      <c r="J2864">
        <f>IF(I2864="","",IF(COUNTIF(I$2:I2864,I2864)=1,MAX(J$1:J2863)+1,""))</f>
        <v/>
      </c>
    </row>
    <row r="2865">
      <c r="A2865">
        <f>IFERROR(--SUBSTITUTE(SUBSTITUTE(TRIM(INDEX(INDIRECT("'Выгрузка'!A2865:Z2865"),Настройки!$B$7)),",","."),".",MID(1/2,2,1)),"")</f>
        <v/>
      </c>
      <c r="B2865">
        <f>IFERROR(--SUBSTITUTE(SUBSTITUTE(TRIM(INDEX(INDIRECT("'Выгрузка'!A2865:Z2865"),Настройки!$B$9)),",","."),".",MID(1/2,2,1)),"")</f>
        <v/>
      </c>
      <c r="C2865">
        <f>TRIM(INDEX(INDIRECT("'Выгрузка'!A2865:Z2865"),Настройки!$B$8)&amp;"")</f>
        <v/>
      </c>
      <c r="D2865">
        <f>IFERROR(--SUBSTITUTE(SUBSTITUTE(TRIM(INDEX(INDIRECT("'Выгрузка'!A2865:Z2865"),Настройки!$B$10)),",","."),".",MID(1/2,2,1)),"")</f>
        <v/>
      </c>
      <c r="E2865">
        <f>IFERROR(--SUBSTITUTE(SUBSTITUTE(TRIM(INDEX(INDIRECT("'Выгрузка'!A2865:Z2865"),Настройки!$B$11)),",","."),".",MID(1/2,2,1)),"")</f>
        <v/>
      </c>
      <c r="F2865">
        <f>TRIM(INDEX(INDIRECT("'Выгрузка'!A2865:Z2865"),Настройки!$B$12)&amp;"")</f>
        <v/>
      </c>
      <c r="G2865">
        <f>IF(F2865="",0,IF(TRIM(INDEX(INDIRECT("'Выгрузка'!A2865:Z2865"),Настройки!$B$13)&amp;"")="",1,IFERROR(--SUBSTITUTE(SUBSTITUTE(TRIM(INDEX(INDIRECT("'Выгрузка'!A2865:Z2865"),Настройки!$B$13)),",","."),".",MID(1/2,2,1)),"")))</f>
        <v/>
      </c>
      <c r="H2865">
        <f>IF(F2865="",0,IF(COUNTIF(Настройки!$B$17:$B$26,F2865)&gt;0,1,IF(COUNTIF(Настройки!$C$17:$C$26,F2865)&gt;0,2,IF(COUNTIF(Настройки!$D$17:$D$26,F2865)&gt;0,3,0))))</f>
        <v/>
      </c>
      <c r="I2865">
        <f>IF(AND(ISNUMBER(A2865),ISNUMBER(B2865)),A2865*1000+B2865,"")</f>
        <v/>
      </c>
      <c r="J2865">
        <f>IF(I2865="","",IF(COUNTIF(I$2:I2865,I2865)=1,MAX(J$1:J2864)+1,""))</f>
        <v/>
      </c>
    </row>
    <row r="2866">
      <c r="A2866">
        <f>IFERROR(--SUBSTITUTE(SUBSTITUTE(TRIM(INDEX(INDIRECT("'Выгрузка'!A2866:Z2866"),Настройки!$B$7)),",","."),".",MID(1/2,2,1)),"")</f>
        <v/>
      </c>
      <c r="B2866">
        <f>IFERROR(--SUBSTITUTE(SUBSTITUTE(TRIM(INDEX(INDIRECT("'Выгрузка'!A2866:Z2866"),Настройки!$B$9)),",","."),".",MID(1/2,2,1)),"")</f>
        <v/>
      </c>
      <c r="C2866">
        <f>TRIM(INDEX(INDIRECT("'Выгрузка'!A2866:Z2866"),Настройки!$B$8)&amp;"")</f>
        <v/>
      </c>
      <c r="D2866">
        <f>IFERROR(--SUBSTITUTE(SUBSTITUTE(TRIM(INDEX(INDIRECT("'Выгрузка'!A2866:Z2866"),Настройки!$B$10)),",","."),".",MID(1/2,2,1)),"")</f>
        <v/>
      </c>
      <c r="E2866">
        <f>IFERROR(--SUBSTITUTE(SUBSTITUTE(TRIM(INDEX(INDIRECT("'Выгрузка'!A2866:Z2866"),Настройки!$B$11)),",","."),".",MID(1/2,2,1)),"")</f>
        <v/>
      </c>
      <c r="F2866">
        <f>TRIM(INDEX(INDIRECT("'Выгрузка'!A2866:Z2866"),Настройки!$B$12)&amp;"")</f>
        <v/>
      </c>
      <c r="G2866">
        <f>IF(F2866="",0,IF(TRIM(INDEX(INDIRECT("'Выгрузка'!A2866:Z2866"),Настройки!$B$13)&amp;"")="",1,IFERROR(--SUBSTITUTE(SUBSTITUTE(TRIM(INDEX(INDIRECT("'Выгрузка'!A2866:Z2866"),Настройки!$B$13)),",","."),".",MID(1/2,2,1)),"")))</f>
        <v/>
      </c>
      <c r="H2866">
        <f>IF(F2866="",0,IF(COUNTIF(Настройки!$B$17:$B$26,F2866)&gt;0,1,IF(COUNTIF(Настройки!$C$17:$C$26,F2866)&gt;0,2,IF(COUNTIF(Настройки!$D$17:$D$26,F2866)&gt;0,3,0))))</f>
        <v/>
      </c>
      <c r="I2866">
        <f>IF(AND(ISNUMBER(A2866),ISNUMBER(B2866)),A2866*1000+B2866,"")</f>
        <v/>
      </c>
      <c r="J2866">
        <f>IF(I2866="","",IF(COUNTIF(I$2:I2866,I2866)=1,MAX(J$1:J2865)+1,""))</f>
        <v/>
      </c>
    </row>
    <row r="2867">
      <c r="A2867">
        <f>IFERROR(--SUBSTITUTE(SUBSTITUTE(TRIM(INDEX(INDIRECT("'Выгрузка'!A2867:Z2867"),Настройки!$B$7)),",","."),".",MID(1/2,2,1)),"")</f>
        <v/>
      </c>
      <c r="B2867">
        <f>IFERROR(--SUBSTITUTE(SUBSTITUTE(TRIM(INDEX(INDIRECT("'Выгрузка'!A2867:Z2867"),Настройки!$B$9)),",","."),".",MID(1/2,2,1)),"")</f>
        <v/>
      </c>
      <c r="C2867">
        <f>TRIM(INDEX(INDIRECT("'Выгрузка'!A2867:Z2867"),Настройки!$B$8)&amp;"")</f>
        <v/>
      </c>
      <c r="D2867">
        <f>IFERROR(--SUBSTITUTE(SUBSTITUTE(TRIM(INDEX(INDIRECT("'Выгрузка'!A2867:Z2867"),Настройки!$B$10)),",","."),".",MID(1/2,2,1)),"")</f>
        <v/>
      </c>
      <c r="E2867">
        <f>IFERROR(--SUBSTITUTE(SUBSTITUTE(TRIM(INDEX(INDIRECT("'Выгрузка'!A2867:Z2867"),Настройки!$B$11)),",","."),".",MID(1/2,2,1)),"")</f>
        <v/>
      </c>
      <c r="F2867">
        <f>TRIM(INDEX(INDIRECT("'Выгрузка'!A2867:Z2867"),Настройки!$B$12)&amp;"")</f>
        <v/>
      </c>
      <c r="G2867">
        <f>IF(F2867="",0,IF(TRIM(INDEX(INDIRECT("'Выгрузка'!A2867:Z2867"),Настройки!$B$13)&amp;"")="",1,IFERROR(--SUBSTITUTE(SUBSTITUTE(TRIM(INDEX(INDIRECT("'Выгрузка'!A2867:Z2867"),Настройки!$B$13)),",","."),".",MID(1/2,2,1)),"")))</f>
        <v/>
      </c>
      <c r="H2867">
        <f>IF(F2867="",0,IF(COUNTIF(Настройки!$B$17:$B$26,F2867)&gt;0,1,IF(COUNTIF(Настройки!$C$17:$C$26,F2867)&gt;0,2,IF(COUNTIF(Настройки!$D$17:$D$26,F2867)&gt;0,3,0))))</f>
        <v/>
      </c>
      <c r="I2867">
        <f>IF(AND(ISNUMBER(A2867),ISNUMBER(B2867)),A2867*1000+B2867,"")</f>
        <v/>
      </c>
      <c r="J2867">
        <f>IF(I2867="","",IF(COUNTIF(I$2:I2867,I2867)=1,MAX(J$1:J2866)+1,""))</f>
        <v/>
      </c>
    </row>
    <row r="2868">
      <c r="A2868">
        <f>IFERROR(--SUBSTITUTE(SUBSTITUTE(TRIM(INDEX(INDIRECT("'Выгрузка'!A2868:Z2868"),Настройки!$B$7)),",","."),".",MID(1/2,2,1)),"")</f>
        <v/>
      </c>
      <c r="B2868">
        <f>IFERROR(--SUBSTITUTE(SUBSTITUTE(TRIM(INDEX(INDIRECT("'Выгрузка'!A2868:Z2868"),Настройки!$B$9)),",","."),".",MID(1/2,2,1)),"")</f>
        <v/>
      </c>
      <c r="C2868">
        <f>TRIM(INDEX(INDIRECT("'Выгрузка'!A2868:Z2868"),Настройки!$B$8)&amp;"")</f>
        <v/>
      </c>
      <c r="D2868">
        <f>IFERROR(--SUBSTITUTE(SUBSTITUTE(TRIM(INDEX(INDIRECT("'Выгрузка'!A2868:Z2868"),Настройки!$B$10)),",","."),".",MID(1/2,2,1)),"")</f>
        <v/>
      </c>
      <c r="E2868">
        <f>IFERROR(--SUBSTITUTE(SUBSTITUTE(TRIM(INDEX(INDIRECT("'Выгрузка'!A2868:Z2868"),Настройки!$B$11)),",","."),".",MID(1/2,2,1)),"")</f>
        <v/>
      </c>
      <c r="F2868">
        <f>TRIM(INDEX(INDIRECT("'Выгрузка'!A2868:Z2868"),Настройки!$B$12)&amp;"")</f>
        <v/>
      </c>
      <c r="G2868">
        <f>IF(F2868="",0,IF(TRIM(INDEX(INDIRECT("'Выгрузка'!A2868:Z2868"),Настройки!$B$13)&amp;"")="",1,IFERROR(--SUBSTITUTE(SUBSTITUTE(TRIM(INDEX(INDIRECT("'Выгрузка'!A2868:Z2868"),Настройки!$B$13)),",","."),".",MID(1/2,2,1)),"")))</f>
        <v/>
      </c>
      <c r="H2868">
        <f>IF(F2868="",0,IF(COUNTIF(Настройки!$B$17:$B$26,F2868)&gt;0,1,IF(COUNTIF(Настройки!$C$17:$C$26,F2868)&gt;0,2,IF(COUNTIF(Настройки!$D$17:$D$26,F2868)&gt;0,3,0))))</f>
        <v/>
      </c>
      <c r="I2868">
        <f>IF(AND(ISNUMBER(A2868),ISNUMBER(B2868)),A2868*1000+B2868,"")</f>
        <v/>
      </c>
      <c r="J2868">
        <f>IF(I2868="","",IF(COUNTIF(I$2:I2868,I2868)=1,MAX(J$1:J2867)+1,""))</f>
        <v/>
      </c>
    </row>
    <row r="2869">
      <c r="A2869">
        <f>IFERROR(--SUBSTITUTE(SUBSTITUTE(TRIM(INDEX(INDIRECT("'Выгрузка'!A2869:Z2869"),Настройки!$B$7)),",","."),".",MID(1/2,2,1)),"")</f>
        <v/>
      </c>
      <c r="B2869">
        <f>IFERROR(--SUBSTITUTE(SUBSTITUTE(TRIM(INDEX(INDIRECT("'Выгрузка'!A2869:Z2869"),Настройки!$B$9)),",","."),".",MID(1/2,2,1)),"")</f>
        <v/>
      </c>
      <c r="C2869">
        <f>TRIM(INDEX(INDIRECT("'Выгрузка'!A2869:Z2869"),Настройки!$B$8)&amp;"")</f>
        <v/>
      </c>
      <c r="D2869">
        <f>IFERROR(--SUBSTITUTE(SUBSTITUTE(TRIM(INDEX(INDIRECT("'Выгрузка'!A2869:Z2869"),Настройки!$B$10)),",","."),".",MID(1/2,2,1)),"")</f>
        <v/>
      </c>
      <c r="E2869">
        <f>IFERROR(--SUBSTITUTE(SUBSTITUTE(TRIM(INDEX(INDIRECT("'Выгрузка'!A2869:Z2869"),Настройки!$B$11)),",","."),".",MID(1/2,2,1)),"")</f>
        <v/>
      </c>
      <c r="F2869">
        <f>TRIM(INDEX(INDIRECT("'Выгрузка'!A2869:Z2869"),Настройки!$B$12)&amp;"")</f>
        <v/>
      </c>
      <c r="G2869">
        <f>IF(F2869="",0,IF(TRIM(INDEX(INDIRECT("'Выгрузка'!A2869:Z2869"),Настройки!$B$13)&amp;"")="",1,IFERROR(--SUBSTITUTE(SUBSTITUTE(TRIM(INDEX(INDIRECT("'Выгрузка'!A2869:Z2869"),Настройки!$B$13)),",","."),".",MID(1/2,2,1)),"")))</f>
        <v/>
      </c>
      <c r="H2869">
        <f>IF(F2869="",0,IF(COUNTIF(Настройки!$B$17:$B$26,F2869)&gt;0,1,IF(COUNTIF(Настройки!$C$17:$C$26,F2869)&gt;0,2,IF(COUNTIF(Настройки!$D$17:$D$26,F2869)&gt;0,3,0))))</f>
        <v/>
      </c>
      <c r="I2869">
        <f>IF(AND(ISNUMBER(A2869),ISNUMBER(B2869)),A2869*1000+B2869,"")</f>
        <v/>
      </c>
      <c r="J2869">
        <f>IF(I2869="","",IF(COUNTIF(I$2:I2869,I2869)=1,MAX(J$1:J2868)+1,""))</f>
        <v/>
      </c>
    </row>
    <row r="2870">
      <c r="A2870">
        <f>IFERROR(--SUBSTITUTE(SUBSTITUTE(TRIM(INDEX(INDIRECT("'Выгрузка'!A2870:Z2870"),Настройки!$B$7)),",","."),".",MID(1/2,2,1)),"")</f>
        <v/>
      </c>
      <c r="B2870">
        <f>IFERROR(--SUBSTITUTE(SUBSTITUTE(TRIM(INDEX(INDIRECT("'Выгрузка'!A2870:Z2870"),Настройки!$B$9)),",","."),".",MID(1/2,2,1)),"")</f>
        <v/>
      </c>
      <c r="C2870">
        <f>TRIM(INDEX(INDIRECT("'Выгрузка'!A2870:Z2870"),Настройки!$B$8)&amp;"")</f>
        <v/>
      </c>
      <c r="D2870">
        <f>IFERROR(--SUBSTITUTE(SUBSTITUTE(TRIM(INDEX(INDIRECT("'Выгрузка'!A2870:Z2870"),Настройки!$B$10)),",","."),".",MID(1/2,2,1)),"")</f>
        <v/>
      </c>
      <c r="E2870">
        <f>IFERROR(--SUBSTITUTE(SUBSTITUTE(TRIM(INDEX(INDIRECT("'Выгрузка'!A2870:Z2870"),Настройки!$B$11)),",","."),".",MID(1/2,2,1)),"")</f>
        <v/>
      </c>
      <c r="F2870">
        <f>TRIM(INDEX(INDIRECT("'Выгрузка'!A2870:Z2870"),Настройки!$B$12)&amp;"")</f>
        <v/>
      </c>
      <c r="G2870">
        <f>IF(F2870="",0,IF(TRIM(INDEX(INDIRECT("'Выгрузка'!A2870:Z2870"),Настройки!$B$13)&amp;"")="",1,IFERROR(--SUBSTITUTE(SUBSTITUTE(TRIM(INDEX(INDIRECT("'Выгрузка'!A2870:Z2870"),Настройки!$B$13)),",","."),".",MID(1/2,2,1)),"")))</f>
        <v/>
      </c>
      <c r="H2870">
        <f>IF(F2870="",0,IF(COUNTIF(Настройки!$B$17:$B$26,F2870)&gt;0,1,IF(COUNTIF(Настройки!$C$17:$C$26,F2870)&gt;0,2,IF(COUNTIF(Настройки!$D$17:$D$26,F2870)&gt;0,3,0))))</f>
        <v/>
      </c>
      <c r="I2870">
        <f>IF(AND(ISNUMBER(A2870),ISNUMBER(B2870)),A2870*1000+B2870,"")</f>
        <v/>
      </c>
      <c r="J2870">
        <f>IF(I2870="","",IF(COUNTIF(I$2:I2870,I2870)=1,MAX(J$1:J2869)+1,""))</f>
        <v/>
      </c>
    </row>
    <row r="2871">
      <c r="A2871">
        <f>IFERROR(--SUBSTITUTE(SUBSTITUTE(TRIM(INDEX(INDIRECT("'Выгрузка'!A2871:Z2871"),Настройки!$B$7)),",","."),".",MID(1/2,2,1)),"")</f>
        <v/>
      </c>
      <c r="B2871">
        <f>IFERROR(--SUBSTITUTE(SUBSTITUTE(TRIM(INDEX(INDIRECT("'Выгрузка'!A2871:Z2871"),Настройки!$B$9)),",","."),".",MID(1/2,2,1)),"")</f>
        <v/>
      </c>
      <c r="C2871">
        <f>TRIM(INDEX(INDIRECT("'Выгрузка'!A2871:Z2871"),Настройки!$B$8)&amp;"")</f>
        <v/>
      </c>
      <c r="D2871">
        <f>IFERROR(--SUBSTITUTE(SUBSTITUTE(TRIM(INDEX(INDIRECT("'Выгрузка'!A2871:Z2871"),Настройки!$B$10)),",","."),".",MID(1/2,2,1)),"")</f>
        <v/>
      </c>
      <c r="E2871">
        <f>IFERROR(--SUBSTITUTE(SUBSTITUTE(TRIM(INDEX(INDIRECT("'Выгрузка'!A2871:Z2871"),Настройки!$B$11)),",","."),".",MID(1/2,2,1)),"")</f>
        <v/>
      </c>
      <c r="F2871">
        <f>TRIM(INDEX(INDIRECT("'Выгрузка'!A2871:Z2871"),Настройки!$B$12)&amp;"")</f>
        <v/>
      </c>
      <c r="G2871">
        <f>IF(F2871="",0,IF(TRIM(INDEX(INDIRECT("'Выгрузка'!A2871:Z2871"),Настройки!$B$13)&amp;"")="",1,IFERROR(--SUBSTITUTE(SUBSTITUTE(TRIM(INDEX(INDIRECT("'Выгрузка'!A2871:Z2871"),Настройки!$B$13)),",","."),".",MID(1/2,2,1)),"")))</f>
        <v/>
      </c>
      <c r="H2871">
        <f>IF(F2871="",0,IF(COUNTIF(Настройки!$B$17:$B$26,F2871)&gt;0,1,IF(COUNTIF(Настройки!$C$17:$C$26,F2871)&gt;0,2,IF(COUNTIF(Настройки!$D$17:$D$26,F2871)&gt;0,3,0))))</f>
        <v/>
      </c>
      <c r="I2871">
        <f>IF(AND(ISNUMBER(A2871),ISNUMBER(B2871)),A2871*1000+B2871,"")</f>
        <v/>
      </c>
      <c r="J2871">
        <f>IF(I2871="","",IF(COUNTIF(I$2:I2871,I2871)=1,MAX(J$1:J2870)+1,""))</f>
        <v/>
      </c>
    </row>
    <row r="2872">
      <c r="A2872">
        <f>IFERROR(--SUBSTITUTE(SUBSTITUTE(TRIM(INDEX(INDIRECT("'Выгрузка'!A2872:Z2872"),Настройки!$B$7)),",","."),".",MID(1/2,2,1)),"")</f>
        <v/>
      </c>
      <c r="B2872">
        <f>IFERROR(--SUBSTITUTE(SUBSTITUTE(TRIM(INDEX(INDIRECT("'Выгрузка'!A2872:Z2872"),Настройки!$B$9)),",","."),".",MID(1/2,2,1)),"")</f>
        <v/>
      </c>
      <c r="C2872">
        <f>TRIM(INDEX(INDIRECT("'Выгрузка'!A2872:Z2872"),Настройки!$B$8)&amp;"")</f>
        <v/>
      </c>
      <c r="D2872">
        <f>IFERROR(--SUBSTITUTE(SUBSTITUTE(TRIM(INDEX(INDIRECT("'Выгрузка'!A2872:Z2872"),Настройки!$B$10)),",","."),".",MID(1/2,2,1)),"")</f>
        <v/>
      </c>
      <c r="E2872">
        <f>IFERROR(--SUBSTITUTE(SUBSTITUTE(TRIM(INDEX(INDIRECT("'Выгрузка'!A2872:Z2872"),Настройки!$B$11)),",","."),".",MID(1/2,2,1)),"")</f>
        <v/>
      </c>
      <c r="F2872">
        <f>TRIM(INDEX(INDIRECT("'Выгрузка'!A2872:Z2872"),Настройки!$B$12)&amp;"")</f>
        <v/>
      </c>
      <c r="G2872">
        <f>IF(F2872="",0,IF(TRIM(INDEX(INDIRECT("'Выгрузка'!A2872:Z2872"),Настройки!$B$13)&amp;"")="",1,IFERROR(--SUBSTITUTE(SUBSTITUTE(TRIM(INDEX(INDIRECT("'Выгрузка'!A2872:Z2872"),Настройки!$B$13)),",","."),".",MID(1/2,2,1)),"")))</f>
        <v/>
      </c>
      <c r="H2872">
        <f>IF(F2872="",0,IF(COUNTIF(Настройки!$B$17:$B$26,F2872)&gt;0,1,IF(COUNTIF(Настройки!$C$17:$C$26,F2872)&gt;0,2,IF(COUNTIF(Настройки!$D$17:$D$26,F2872)&gt;0,3,0))))</f>
        <v/>
      </c>
      <c r="I2872">
        <f>IF(AND(ISNUMBER(A2872),ISNUMBER(B2872)),A2872*1000+B2872,"")</f>
        <v/>
      </c>
      <c r="J2872">
        <f>IF(I2872="","",IF(COUNTIF(I$2:I2872,I2872)=1,MAX(J$1:J2871)+1,""))</f>
        <v/>
      </c>
    </row>
    <row r="2873">
      <c r="A2873">
        <f>IFERROR(--SUBSTITUTE(SUBSTITUTE(TRIM(INDEX(INDIRECT("'Выгрузка'!A2873:Z2873"),Настройки!$B$7)),",","."),".",MID(1/2,2,1)),"")</f>
        <v/>
      </c>
      <c r="B2873">
        <f>IFERROR(--SUBSTITUTE(SUBSTITUTE(TRIM(INDEX(INDIRECT("'Выгрузка'!A2873:Z2873"),Настройки!$B$9)),",","."),".",MID(1/2,2,1)),"")</f>
        <v/>
      </c>
      <c r="C2873">
        <f>TRIM(INDEX(INDIRECT("'Выгрузка'!A2873:Z2873"),Настройки!$B$8)&amp;"")</f>
        <v/>
      </c>
      <c r="D2873">
        <f>IFERROR(--SUBSTITUTE(SUBSTITUTE(TRIM(INDEX(INDIRECT("'Выгрузка'!A2873:Z2873"),Настройки!$B$10)),",","."),".",MID(1/2,2,1)),"")</f>
        <v/>
      </c>
      <c r="E2873">
        <f>IFERROR(--SUBSTITUTE(SUBSTITUTE(TRIM(INDEX(INDIRECT("'Выгрузка'!A2873:Z2873"),Настройки!$B$11)),",","."),".",MID(1/2,2,1)),"")</f>
        <v/>
      </c>
      <c r="F2873">
        <f>TRIM(INDEX(INDIRECT("'Выгрузка'!A2873:Z2873"),Настройки!$B$12)&amp;"")</f>
        <v/>
      </c>
      <c r="G2873">
        <f>IF(F2873="",0,IF(TRIM(INDEX(INDIRECT("'Выгрузка'!A2873:Z2873"),Настройки!$B$13)&amp;"")="",1,IFERROR(--SUBSTITUTE(SUBSTITUTE(TRIM(INDEX(INDIRECT("'Выгрузка'!A2873:Z2873"),Настройки!$B$13)),",","."),".",MID(1/2,2,1)),"")))</f>
        <v/>
      </c>
      <c r="H2873">
        <f>IF(F2873="",0,IF(COUNTIF(Настройки!$B$17:$B$26,F2873)&gt;0,1,IF(COUNTIF(Настройки!$C$17:$C$26,F2873)&gt;0,2,IF(COUNTIF(Настройки!$D$17:$D$26,F2873)&gt;0,3,0))))</f>
        <v/>
      </c>
      <c r="I2873">
        <f>IF(AND(ISNUMBER(A2873),ISNUMBER(B2873)),A2873*1000+B2873,"")</f>
        <v/>
      </c>
      <c r="J2873">
        <f>IF(I2873="","",IF(COUNTIF(I$2:I2873,I2873)=1,MAX(J$1:J2872)+1,""))</f>
        <v/>
      </c>
    </row>
    <row r="2874">
      <c r="A2874">
        <f>IFERROR(--SUBSTITUTE(SUBSTITUTE(TRIM(INDEX(INDIRECT("'Выгрузка'!A2874:Z2874"),Настройки!$B$7)),",","."),".",MID(1/2,2,1)),"")</f>
        <v/>
      </c>
      <c r="B2874">
        <f>IFERROR(--SUBSTITUTE(SUBSTITUTE(TRIM(INDEX(INDIRECT("'Выгрузка'!A2874:Z2874"),Настройки!$B$9)),",","."),".",MID(1/2,2,1)),"")</f>
        <v/>
      </c>
      <c r="C2874">
        <f>TRIM(INDEX(INDIRECT("'Выгрузка'!A2874:Z2874"),Настройки!$B$8)&amp;"")</f>
        <v/>
      </c>
      <c r="D2874">
        <f>IFERROR(--SUBSTITUTE(SUBSTITUTE(TRIM(INDEX(INDIRECT("'Выгрузка'!A2874:Z2874"),Настройки!$B$10)),",","."),".",MID(1/2,2,1)),"")</f>
        <v/>
      </c>
      <c r="E2874">
        <f>IFERROR(--SUBSTITUTE(SUBSTITUTE(TRIM(INDEX(INDIRECT("'Выгрузка'!A2874:Z2874"),Настройки!$B$11)),",","."),".",MID(1/2,2,1)),"")</f>
        <v/>
      </c>
      <c r="F2874">
        <f>TRIM(INDEX(INDIRECT("'Выгрузка'!A2874:Z2874"),Настройки!$B$12)&amp;"")</f>
        <v/>
      </c>
      <c r="G2874">
        <f>IF(F2874="",0,IF(TRIM(INDEX(INDIRECT("'Выгрузка'!A2874:Z2874"),Настройки!$B$13)&amp;"")="",1,IFERROR(--SUBSTITUTE(SUBSTITUTE(TRIM(INDEX(INDIRECT("'Выгрузка'!A2874:Z2874"),Настройки!$B$13)),",","."),".",MID(1/2,2,1)),"")))</f>
        <v/>
      </c>
      <c r="H2874">
        <f>IF(F2874="",0,IF(COUNTIF(Настройки!$B$17:$B$26,F2874)&gt;0,1,IF(COUNTIF(Настройки!$C$17:$C$26,F2874)&gt;0,2,IF(COUNTIF(Настройки!$D$17:$D$26,F2874)&gt;0,3,0))))</f>
        <v/>
      </c>
      <c r="I2874">
        <f>IF(AND(ISNUMBER(A2874),ISNUMBER(B2874)),A2874*1000+B2874,"")</f>
        <v/>
      </c>
      <c r="J2874">
        <f>IF(I2874="","",IF(COUNTIF(I$2:I2874,I2874)=1,MAX(J$1:J2873)+1,""))</f>
        <v/>
      </c>
    </row>
    <row r="2875">
      <c r="A2875">
        <f>IFERROR(--SUBSTITUTE(SUBSTITUTE(TRIM(INDEX(INDIRECT("'Выгрузка'!A2875:Z2875"),Настройки!$B$7)),",","."),".",MID(1/2,2,1)),"")</f>
        <v/>
      </c>
      <c r="B2875">
        <f>IFERROR(--SUBSTITUTE(SUBSTITUTE(TRIM(INDEX(INDIRECT("'Выгрузка'!A2875:Z2875"),Настройки!$B$9)),",","."),".",MID(1/2,2,1)),"")</f>
        <v/>
      </c>
      <c r="C2875">
        <f>TRIM(INDEX(INDIRECT("'Выгрузка'!A2875:Z2875"),Настройки!$B$8)&amp;"")</f>
        <v/>
      </c>
      <c r="D2875">
        <f>IFERROR(--SUBSTITUTE(SUBSTITUTE(TRIM(INDEX(INDIRECT("'Выгрузка'!A2875:Z2875"),Настройки!$B$10)),",","."),".",MID(1/2,2,1)),"")</f>
        <v/>
      </c>
      <c r="E2875">
        <f>IFERROR(--SUBSTITUTE(SUBSTITUTE(TRIM(INDEX(INDIRECT("'Выгрузка'!A2875:Z2875"),Настройки!$B$11)),",","."),".",MID(1/2,2,1)),"")</f>
        <v/>
      </c>
      <c r="F2875">
        <f>TRIM(INDEX(INDIRECT("'Выгрузка'!A2875:Z2875"),Настройки!$B$12)&amp;"")</f>
        <v/>
      </c>
      <c r="G2875">
        <f>IF(F2875="",0,IF(TRIM(INDEX(INDIRECT("'Выгрузка'!A2875:Z2875"),Настройки!$B$13)&amp;"")="",1,IFERROR(--SUBSTITUTE(SUBSTITUTE(TRIM(INDEX(INDIRECT("'Выгрузка'!A2875:Z2875"),Настройки!$B$13)),",","."),".",MID(1/2,2,1)),"")))</f>
        <v/>
      </c>
      <c r="H2875">
        <f>IF(F2875="",0,IF(COUNTIF(Настройки!$B$17:$B$26,F2875)&gt;0,1,IF(COUNTIF(Настройки!$C$17:$C$26,F2875)&gt;0,2,IF(COUNTIF(Настройки!$D$17:$D$26,F2875)&gt;0,3,0))))</f>
        <v/>
      </c>
      <c r="I2875">
        <f>IF(AND(ISNUMBER(A2875),ISNUMBER(B2875)),A2875*1000+B2875,"")</f>
        <v/>
      </c>
      <c r="J2875">
        <f>IF(I2875="","",IF(COUNTIF(I$2:I2875,I2875)=1,MAX(J$1:J2874)+1,""))</f>
        <v/>
      </c>
    </row>
    <row r="2876">
      <c r="A2876">
        <f>IFERROR(--SUBSTITUTE(SUBSTITUTE(TRIM(INDEX(INDIRECT("'Выгрузка'!A2876:Z2876"),Настройки!$B$7)),",","."),".",MID(1/2,2,1)),"")</f>
        <v/>
      </c>
      <c r="B2876">
        <f>IFERROR(--SUBSTITUTE(SUBSTITUTE(TRIM(INDEX(INDIRECT("'Выгрузка'!A2876:Z2876"),Настройки!$B$9)),",","."),".",MID(1/2,2,1)),"")</f>
        <v/>
      </c>
      <c r="C2876">
        <f>TRIM(INDEX(INDIRECT("'Выгрузка'!A2876:Z2876"),Настройки!$B$8)&amp;"")</f>
        <v/>
      </c>
      <c r="D2876">
        <f>IFERROR(--SUBSTITUTE(SUBSTITUTE(TRIM(INDEX(INDIRECT("'Выгрузка'!A2876:Z2876"),Настройки!$B$10)),",","."),".",MID(1/2,2,1)),"")</f>
        <v/>
      </c>
      <c r="E2876">
        <f>IFERROR(--SUBSTITUTE(SUBSTITUTE(TRIM(INDEX(INDIRECT("'Выгрузка'!A2876:Z2876"),Настройки!$B$11)),",","."),".",MID(1/2,2,1)),"")</f>
        <v/>
      </c>
      <c r="F2876">
        <f>TRIM(INDEX(INDIRECT("'Выгрузка'!A2876:Z2876"),Настройки!$B$12)&amp;"")</f>
        <v/>
      </c>
      <c r="G2876">
        <f>IF(F2876="",0,IF(TRIM(INDEX(INDIRECT("'Выгрузка'!A2876:Z2876"),Настройки!$B$13)&amp;"")="",1,IFERROR(--SUBSTITUTE(SUBSTITUTE(TRIM(INDEX(INDIRECT("'Выгрузка'!A2876:Z2876"),Настройки!$B$13)),",","."),".",MID(1/2,2,1)),"")))</f>
        <v/>
      </c>
      <c r="H2876">
        <f>IF(F2876="",0,IF(COUNTIF(Настройки!$B$17:$B$26,F2876)&gt;0,1,IF(COUNTIF(Настройки!$C$17:$C$26,F2876)&gt;0,2,IF(COUNTIF(Настройки!$D$17:$D$26,F2876)&gt;0,3,0))))</f>
        <v/>
      </c>
      <c r="I2876">
        <f>IF(AND(ISNUMBER(A2876),ISNUMBER(B2876)),A2876*1000+B2876,"")</f>
        <v/>
      </c>
      <c r="J2876">
        <f>IF(I2876="","",IF(COUNTIF(I$2:I2876,I2876)=1,MAX(J$1:J2875)+1,""))</f>
        <v/>
      </c>
    </row>
    <row r="2877">
      <c r="A2877">
        <f>IFERROR(--SUBSTITUTE(SUBSTITUTE(TRIM(INDEX(INDIRECT("'Выгрузка'!A2877:Z2877"),Настройки!$B$7)),",","."),".",MID(1/2,2,1)),"")</f>
        <v/>
      </c>
      <c r="B2877">
        <f>IFERROR(--SUBSTITUTE(SUBSTITUTE(TRIM(INDEX(INDIRECT("'Выгрузка'!A2877:Z2877"),Настройки!$B$9)),",","."),".",MID(1/2,2,1)),"")</f>
        <v/>
      </c>
      <c r="C2877">
        <f>TRIM(INDEX(INDIRECT("'Выгрузка'!A2877:Z2877"),Настройки!$B$8)&amp;"")</f>
        <v/>
      </c>
      <c r="D2877">
        <f>IFERROR(--SUBSTITUTE(SUBSTITUTE(TRIM(INDEX(INDIRECT("'Выгрузка'!A2877:Z2877"),Настройки!$B$10)),",","."),".",MID(1/2,2,1)),"")</f>
        <v/>
      </c>
      <c r="E2877">
        <f>IFERROR(--SUBSTITUTE(SUBSTITUTE(TRIM(INDEX(INDIRECT("'Выгрузка'!A2877:Z2877"),Настройки!$B$11)),",","."),".",MID(1/2,2,1)),"")</f>
        <v/>
      </c>
      <c r="F2877">
        <f>TRIM(INDEX(INDIRECT("'Выгрузка'!A2877:Z2877"),Настройки!$B$12)&amp;"")</f>
        <v/>
      </c>
      <c r="G2877">
        <f>IF(F2877="",0,IF(TRIM(INDEX(INDIRECT("'Выгрузка'!A2877:Z2877"),Настройки!$B$13)&amp;"")="",1,IFERROR(--SUBSTITUTE(SUBSTITUTE(TRIM(INDEX(INDIRECT("'Выгрузка'!A2877:Z2877"),Настройки!$B$13)),",","."),".",MID(1/2,2,1)),"")))</f>
        <v/>
      </c>
      <c r="H2877">
        <f>IF(F2877="",0,IF(COUNTIF(Настройки!$B$17:$B$26,F2877)&gt;0,1,IF(COUNTIF(Настройки!$C$17:$C$26,F2877)&gt;0,2,IF(COUNTIF(Настройки!$D$17:$D$26,F2877)&gt;0,3,0))))</f>
        <v/>
      </c>
      <c r="I2877">
        <f>IF(AND(ISNUMBER(A2877),ISNUMBER(B2877)),A2877*1000+B2877,"")</f>
        <v/>
      </c>
      <c r="J2877">
        <f>IF(I2877="","",IF(COUNTIF(I$2:I2877,I2877)=1,MAX(J$1:J2876)+1,""))</f>
        <v/>
      </c>
    </row>
    <row r="2878">
      <c r="A2878">
        <f>IFERROR(--SUBSTITUTE(SUBSTITUTE(TRIM(INDEX(INDIRECT("'Выгрузка'!A2878:Z2878"),Настройки!$B$7)),",","."),".",MID(1/2,2,1)),"")</f>
        <v/>
      </c>
      <c r="B2878">
        <f>IFERROR(--SUBSTITUTE(SUBSTITUTE(TRIM(INDEX(INDIRECT("'Выгрузка'!A2878:Z2878"),Настройки!$B$9)),",","."),".",MID(1/2,2,1)),"")</f>
        <v/>
      </c>
      <c r="C2878">
        <f>TRIM(INDEX(INDIRECT("'Выгрузка'!A2878:Z2878"),Настройки!$B$8)&amp;"")</f>
        <v/>
      </c>
      <c r="D2878">
        <f>IFERROR(--SUBSTITUTE(SUBSTITUTE(TRIM(INDEX(INDIRECT("'Выгрузка'!A2878:Z2878"),Настройки!$B$10)),",","."),".",MID(1/2,2,1)),"")</f>
        <v/>
      </c>
      <c r="E2878">
        <f>IFERROR(--SUBSTITUTE(SUBSTITUTE(TRIM(INDEX(INDIRECT("'Выгрузка'!A2878:Z2878"),Настройки!$B$11)),",","."),".",MID(1/2,2,1)),"")</f>
        <v/>
      </c>
      <c r="F2878">
        <f>TRIM(INDEX(INDIRECT("'Выгрузка'!A2878:Z2878"),Настройки!$B$12)&amp;"")</f>
        <v/>
      </c>
      <c r="G2878">
        <f>IF(F2878="",0,IF(TRIM(INDEX(INDIRECT("'Выгрузка'!A2878:Z2878"),Настройки!$B$13)&amp;"")="",1,IFERROR(--SUBSTITUTE(SUBSTITUTE(TRIM(INDEX(INDIRECT("'Выгрузка'!A2878:Z2878"),Настройки!$B$13)),",","."),".",MID(1/2,2,1)),"")))</f>
        <v/>
      </c>
      <c r="H2878">
        <f>IF(F2878="",0,IF(COUNTIF(Настройки!$B$17:$B$26,F2878)&gt;0,1,IF(COUNTIF(Настройки!$C$17:$C$26,F2878)&gt;0,2,IF(COUNTIF(Настройки!$D$17:$D$26,F2878)&gt;0,3,0))))</f>
        <v/>
      </c>
      <c r="I2878">
        <f>IF(AND(ISNUMBER(A2878),ISNUMBER(B2878)),A2878*1000+B2878,"")</f>
        <v/>
      </c>
      <c r="J2878">
        <f>IF(I2878="","",IF(COUNTIF(I$2:I2878,I2878)=1,MAX(J$1:J2877)+1,""))</f>
        <v/>
      </c>
    </row>
    <row r="2879">
      <c r="A2879">
        <f>IFERROR(--SUBSTITUTE(SUBSTITUTE(TRIM(INDEX(INDIRECT("'Выгрузка'!A2879:Z2879"),Настройки!$B$7)),",","."),".",MID(1/2,2,1)),"")</f>
        <v/>
      </c>
      <c r="B2879">
        <f>IFERROR(--SUBSTITUTE(SUBSTITUTE(TRIM(INDEX(INDIRECT("'Выгрузка'!A2879:Z2879"),Настройки!$B$9)),",","."),".",MID(1/2,2,1)),"")</f>
        <v/>
      </c>
      <c r="C2879">
        <f>TRIM(INDEX(INDIRECT("'Выгрузка'!A2879:Z2879"),Настройки!$B$8)&amp;"")</f>
        <v/>
      </c>
      <c r="D2879">
        <f>IFERROR(--SUBSTITUTE(SUBSTITUTE(TRIM(INDEX(INDIRECT("'Выгрузка'!A2879:Z2879"),Настройки!$B$10)),",","."),".",MID(1/2,2,1)),"")</f>
        <v/>
      </c>
      <c r="E2879">
        <f>IFERROR(--SUBSTITUTE(SUBSTITUTE(TRIM(INDEX(INDIRECT("'Выгрузка'!A2879:Z2879"),Настройки!$B$11)),",","."),".",MID(1/2,2,1)),"")</f>
        <v/>
      </c>
      <c r="F2879">
        <f>TRIM(INDEX(INDIRECT("'Выгрузка'!A2879:Z2879"),Настройки!$B$12)&amp;"")</f>
        <v/>
      </c>
      <c r="G2879">
        <f>IF(F2879="",0,IF(TRIM(INDEX(INDIRECT("'Выгрузка'!A2879:Z2879"),Настройки!$B$13)&amp;"")="",1,IFERROR(--SUBSTITUTE(SUBSTITUTE(TRIM(INDEX(INDIRECT("'Выгрузка'!A2879:Z2879"),Настройки!$B$13)),",","."),".",MID(1/2,2,1)),"")))</f>
        <v/>
      </c>
      <c r="H2879">
        <f>IF(F2879="",0,IF(COUNTIF(Настройки!$B$17:$B$26,F2879)&gt;0,1,IF(COUNTIF(Настройки!$C$17:$C$26,F2879)&gt;0,2,IF(COUNTIF(Настройки!$D$17:$D$26,F2879)&gt;0,3,0))))</f>
        <v/>
      </c>
      <c r="I2879">
        <f>IF(AND(ISNUMBER(A2879),ISNUMBER(B2879)),A2879*1000+B2879,"")</f>
        <v/>
      </c>
      <c r="J2879">
        <f>IF(I2879="","",IF(COUNTIF(I$2:I2879,I2879)=1,MAX(J$1:J2878)+1,""))</f>
        <v/>
      </c>
    </row>
    <row r="2880">
      <c r="A2880">
        <f>IFERROR(--SUBSTITUTE(SUBSTITUTE(TRIM(INDEX(INDIRECT("'Выгрузка'!A2880:Z2880"),Настройки!$B$7)),",","."),".",MID(1/2,2,1)),"")</f>
        <v/>
      </c>
      <c r="B2880">
        <f>IFERROR(--SUBSTITUTE(SUBSTITUTE(TRIM(INDEX(INDIRECT("'Выгрузка'!A2880:Z2880"),Настройки!$B$9)),",","."),".",MID(1/2,2,1)),"")</f>
        <v/>
      </c>
      <c r="C2880">
        <f>TRIM(INDEX(INDIRECT("'Выгрузка'!A2880:Z2880"),Настройки!$B$8)&amp;"")</f>
        <v/>
      </c>
      <c r="D2880">
        <f>IFERROR(--SUBSTITUTE(SUBSTITUTE(TRIM(INDEX(INDIRECT("'Выгрузка'!A2880:Z2880"),Настройки!$B$10)),",","."),".",MID(1/2,2,1)),"")</f>
        <v/>
      </c>
      <c r="E2880">
        <f>IFERROR(--SUBSTITUTE(SUBSTITUTE(TRIM(INDEX(INDIRECT("'Выгрузка'!A2880:Z2880"),Настройки!$B$11)),",","."),".",MID(1/2,2,1)),"")</f>
        <v/>
      </c>
      <c r="F2880">
        <f>TRIM(INDEX(INDIRECT("'Выгрузка'!A2880:Z2880"),Настройки!$B$12)&amp;"")</f>
        <v/>
      </c>
      <c r="G2880">
        <f>IF(F2880="",0,IF(TRIM(INDEX(INDIRECT("'Выгрузка'!A2880:Z2880"),Настройки!$B$13)&amp;"")="",1,IFERROR(--SUBSTITUTE(SUBSTITUTE(TRIM(INDEX(INDIRECT("'Выгрузка'!A2880:Z2880"),Настройки!$B$13)),",","."),".",MID(1/2,2,1)),"")))</f>
        <v/>
      </c>
      <c r="H2880">
        <f>IF(F2880="",0,IF(COUNTIF(Настройки!$B$17:$B$26,F2880)&gt;0,1,IF(COUNTIF(Настройки!$C$17:$C$26,F2880)&gt;0,2,IF(COUNTIF(Настройки!$D$17:$D$26,F2880)&gt;0,3,0))))</f>
        <v/>
      </c>
      <c r="I2880">
        <f>IF(AND(ISNUMBER(A2880),ISNUMBER(B2880)),A2880*1000+B2880,"")</f>
        <v/>
      </c>
      <c r="J2880">
        <f>IF(I2880="","",IF(COUNTIF(I$2:I2880,I2880)=1,MAX(J$1:J2879)+1,""))</f>
        <v/>
      </c>
    </row>
    <row r="2881">
      <c r="A2881">
        <f>IFERROR(--SUBSTITUTE(SUBSTITUTE(TRIM(INDEX(INDIRECT("'Выгрузка'!A2881:Z2881"),Настройки!$B$7)),",","."),".",MID(1/2,2,1)),"")</f>
        <v/>
      </c>
      <c r="B2881">
        <f>IFERROR(--SUBSTITUTE(SUBSTITUTE(TRIM(INDEX(INDIRECT("'Выгрузка'!A2881:Z2881"),Настройки!$B$9)),",","."),".",MID(1/2,2,1)),"")</f>
        <v/>
      </c>
      <c r="C2881">
        <f>TRIM(INDEX(INDIRECT("'Выгрузка'!A2881:Z2881"),Настройки!$B$8)&amp;"")</f>
        <v/>
      </c>
      <c r="D2881">
        <f>IFERROR(--SUBSTITUTE(SUBSTITUTE(TRIM(INDEX(INDIRECT("'Выгрузка'!A2881:Z2881"),Настройки!$B$10)),",","."),".",MID(1/2,2,1)),"")</f>
        <v/>
      </c>
      <c r="E2881">
        <f>IFERROR(--SUBSTITUTE(SUBSTITUTE(TRIM(INDEX(INDIRECT("'Выгрузка'!A2881:Z2881"),Настройки!$B$11)),",","."),".",MID(1/2,2,1)),"")</f>
        <v/>
      </c>
      <c r="F2881">
        <f>TRIM(INDEX(INDIRECT("'Выгрузка'!A2881:Z2881"),Настройки!$B$12)&amp;"")</f>
        <v/>
      </c>
      <c r="G2881">
        <f>IF(F2881="",0,IF(TRIM(INDEX(INDIRECT("'Выгрузка'!A2881:Z2881"),Настройки!$B$13)&amp;"")="",1,IFERROR(--SUBSTITUTE(SUBSTITUTE(TRIM(INDEX(INDIRECT("'Выгрузка'!A2881:Z2881"),Настройки!$B$13)),",","."),".",MID(1/2,2,1)),"")))</f>
        <v/>
      </c>
      <c r="H2881">
        <f>IF(F2881="",0,IF(COUNTIF(Настройки!$B$17:$B$26,F2881)&gt;0,1,IF(COUNTIF(Настройки!$C$17:$C$26,F2881)&gt;0,2,IF(COUNTIF(Настройки!$D$17:$D$26,F2881)&gt;0,3,0))))</f>
        <v/>
      </c>
      <c r="I2881">
        <f>IF(AND(ISNUMBER(A2881),ISNUMBER(B2881)),A2881*1000+B2881,"")</f>
        <v/>
      </c>
      <c r="J2881">
        <f>IF(I2881="","",IF(COUNTIF(I$2:I2881,I2881)=1,MAX(J$1:J2880)+1,""))</f>
        <v/>
      </c>
    </row>
    <row r="2882">
      <c r="A2882">
        <f>IFERROR(--SUBSTITUTE(SUBSTITUTE(TRIM(INDEX(INDIRECT("'Выгрузка'!A2882:Z2882"),Настройки!$B$7)),",","."),".",MID(1/2,2,1)),"")</f>
        <v/>
      </c>
      <c r="B2882">
        <f>IFERROR(--SUBSTITUTE(SUBSTITUTE(TRIM(INDEX(INDIRECT("'Выгрузка'!A2882:Z2882"),Настройки!$B$9)),",","."),".",MID(1/2,2,1)),"")</f>
        <v/>
      </c>
      <c r="C2882">
        <f>TRIM(INDEX(INDIRECT("'Выгрузка'!A2882:Z2882"),Настройки!$B$8)&amp;"")</f>
        <v/>
      </c>
      <c r="D2882">
        <f>IFERROR(--SUBSTITUTE(SUBSTITUTE(TRIM(INDEX(INDIRECT("'Выгрузка'!A2882:Z2882"),Настройки!$B$10)),",","."),".",MID(1/2,2,1)),"")</f>
        <v/>
      </c>
      <c r="E2882">
        <f>IFERROR(--SUBSTITUTE(SUBSTITUTE(TRIM(INDEX(INDIRECT("'Выгрузка'!A2882:Z2882"),Настройки!$B$11)),",","."),".",MID(1/2,2,1)),"")</f>
        <v/>
      </c>
      <c r="F2882">
        <f>TRIM(INDEX(INDIRECT("'Выгрузка'!A2882:Z2882"),Настройки!$B$12)&amp;"")</f>
        <v/>
      </c>
      <c r="G2882">
        <f>IF(F2882="",0,IF(TRIM(INDEX(INDIRECT("'Выгрузка'!A2882:Z2882"),Настройки!$B$13)&amp;"")="",1,IFERROR(--SUBSTITUTE(SUBSTITUTE(TRIM(INDEX(INDIRECT("'Выгрузка'!A2882:Z2882"),Настройки!$B$13)),",","."),".",MID(1/2,2,1)),"")))</f>
        <v/>
      </c>
      <c r="H2882">
        <f>IF(F2882="",0,IF(COUNTIF(Настройки!$B$17:$B$26,F2882)&gt;0,1,IF(COUNTIF(Настройки!$C$17:$C$26,F2882)&gt;0,2,IF(COUNTIF(Настройки!$D$17:$D$26,F2882)&gt;0,3,0))))</f>
        <v/>
      </c>
      <c r="I2882">
        <f>IF(AND(ISNUMBER(A2882),ISNUMBER(B2882)),A2882*1000+B2882,"")</f>
        <v/>
      </c>
      <c r="J2882">
        <f>IF(I2882="","",IF(COUNTIF(I$2:I2882,I2882)=1,MAX(J$1:J2881)+1,""))</f>
        <v/>
      </c>
    </row>
    <row r="2883">
      <c r="A2883">
        <f>IFERROR(--SUBSTITUTE(SUBSTITUTE(TRIM(INDEX(INDIRECT("'Выгрузка'!A2883:Z2883"),Настройки!$B$7)),",","."),".",MID(1/2,2,1)),"")</f>
        <v/>
      </c>
      <c r="B2883">
        <f>IFERROR(--SUBSTITUTE(SUBSTITUTE(TRIM(INDEX(INDIRECT("'Выгрузка'!A2883:Z2883"),Настройки!$B$9)),",","."),".",MID(1/2,2,1)),"")</f>
        <v/>
      </c>
      <c r="C2883">
        <f>TRIM(INDEX(INDIRECT("'Выгрузка'!A2883:Z2883"),Настройки!$B$8)&amp;"")</f>
        <v/>
      </c>
      <c r="D2883">
        <f>IFERROR(--SUBSTITUTE(SUBSTITUTE(TRIM(INDEX(INDIRECT("'Выгрузка'!A2883:Z2883"),Настройки!$B$10)),",","."),".",MID(1/2,2,1)),"")</f>
        <v/>
      </c>
      <c r="E2883">
        <f>IFERROR(--SUBSTITUTE(SUBSTITUTE(TRIM(INDEX(INDIRECT("'Выгрузка'!A2883:Z2883"),Настройки!$B$11)),",","."),".",MID(1/2,2,1)),"")</f>
        <v/>
      </c>
      <c r="F2883">
        <f>TRIM(INDEX(INDIRECT("'Выгрузка'!A2883:Z2883"),Настройки!$B$12)&amp;"")</f>
        <v/>
      </c>
      <c r="G2883">
        <f>IF(F2883="",0,IF(TRIM(INDEX(INDIRECT("'Выгрузка'!A2883:Z2883"),Настройки!$B$13)&amp;"")="",1,IFERROR(--SUBSTITUTE(SUBSTITUTE(TRIM(INDEX(INDIRECT("'Выгрузка'!A2883:Z2883"),Настройки!$B$13)),",","."),".",MID(1/2,2,1)),"")))</f>
        <v/>
      </c>
      <c r="H2883">
        <f>IF(F2883="",0,IF(COUNTIF(Настройки!$B$17:$B$26,F2883)&gt;0,1,IF(COUNTIF(Настройки!$C$17:$C$26,F2883)&gt;0,2,IF(COUNTIF(Настройки!$D$17:$D$26,F2883)&gt;0,3,0))))</f>
        <v/>
      </c>
      <c r="I2883">
        <f>IF(AND(ISNUMBER(A2883),ISNUMBER(B2883)),A2883*1000+B2883,"")</f>
        <v/>
      </c>
      <c r="J2883">
        <f>IF(I2883="","",IF(COUNTIF(I$2:I2883,I2883)=1,MAX(J$1:J2882)+1,""))</f>
        <v/>
      </c>
    </row>
    <row r="2884">
      <c r="A2884">
        <f>IFERROR(--SUBSTITUTE(SUBSTITUTE(TRIM(INDEX(INDIRECT("'Выгрузка'!A2884:Z2884"),Настройки!$B$7)),",","."),".",MID(1/2,2,1)),"")</f>
        <v/>
      </c>
      <c r="B2884">
        <f>IFERROR(--SUBSTITUTE(SUBSTITUTE(TRIM(INDEX(INDIRECT("'Выгрузка'!A2884:Z2884"),Настройки!$B$9)),",","."),".",MID(1/2,2,1)),"")</f>
        <v/>
      </c>
      <c r="C2884">
        <f>TRIM(INDEX(INDIRECT("'Выгрузка'!A2884:Z2884"),Настройки!$B$8)&amp;"")</f>
        <v/>
      </c>
      <c r="D2884">
        <f>IFERROR(--SUBSTITUTE(SUBSTITUTE(TRIM(INDEX(INDIRECT("'Выгрузка'!A2884:Z2884"),Настройки!$B$10)),",","."),".",MID(1/2,2,1)),"")</f>
        <v/>
      </c>
      <c r="E2884">
        <f>IFERROR(--SUBSTITUTE(SUBSTITUTE(TRIM(INDEX(INDIRECT("'Выгрузка'!A2884:Z2884"),Настройки!$B$11)),",","."),".",MID(1/2,2,1)),"")</f>
        <v/>
      </c>
      <c r="F2884">
        <f>TRIM(INDEX(INDIRECT("'Выгрузка'!A2884:Z2884"),Настройки!$B$12)&amp;"")</f>
        <v/>
      </c>
      <c r="G2884">
        <f>IF(F2884="",0,IF(TRIM(INDEX(INDIRECT("'Выгрузка'!A2884:Z2884"),Настройки!$B$13)&amp;"")="",1,IFERROR(--SUBSTITUTE(SUBSTITUTE(TRIM(INDEX(INDIRECT("'Выгрузка'!A2884:Z2884"),Настройки!$B$13)),",","."),".",MID(1/2,2,1)),"")))</f>
        <v/>
      </c>
      <c r="H2884">
        <f>IF(F2884="",0,IF(COUNTIF(Настройки!$B$17:$B$26,F2884)&gt;0,1,IF(COUNTIF(Настройки!$C$17:$C$26,F2884)&gt;0,2,IF(COUNTIF(Настройки!$D$17:$D$26,F2884)&gt;0,3,0))))</f>
        <v/>
      </c>
      <c r="I2884">
        <f>IF(AND(ISNUMBER(A2884),ISNUMBER(B2884)),A2884*1000+B2884,"")</f>
        <v/>
      </c>
      <c r="J2884">
        <f>IF(I2884="","",IF(COUNTIF(I$2:I2884,I2884)=1,MAX(J$1:J2883)+1,""))</f>
        <v/>
      </c>
    </row>
    <row r="2885">
      <c r="A2885">
        <f>IFERROR(--SUBSTITUTE(SUBSTITUTE(TRIM(INDEX(INDIRECT("'Выгрузка'!A2885:Z2885"),Настройки!$B$7)),",","."),".",MID(1/2,2,1)),"")</f>
        <v/>
      </c>
      <c r="B2885">
        <f>IFERROR(--SUBSTITUTE(SUBSTITUTE(TRIM(INDEX(INDIRECT("'Выгрузка'!A2885:Z2885"),Настройки!$B$9)),",","."),".",MID(1/2,2,1)),"")</f>
        <v/>
      </c>
      <c r="C2885">
        <f>TRIM(INDEX(INDIRECT("'Выгрузка'!A2885:Z2885"),Настройки!$B$8)&amp;"")</f>
        <v/>
      </c>
      <c r="D2885">
        <f>IFERROR(--SUBSTITUTE(SUBSTITUTE(TRIM(INDEX(INDIRECT("'Выгрузка'!A2885:Z2885"),Настройки!$B$10)),",","."),".",MID(1/2,2,1)),"")</f>
        <v/>
      </c>
      <c r="E2885">
        <f>IFERROR(--SUBSTITUTE(SUBSTITUTE(TRIM(INDEX(INDIRECT("'Выгрузка'!A2885:Z2885"),Настройки!$B$11)),",","."),".",MID(1/2,2,1)),"")</f>
        <v/>
      </c>
      <c r="F2885">
        <f>TRIM(INDEX(INDIRECT("'Выгрузка'!A2885:Z2885"),Настройки!$B$12)&amp;"")</f>
        <v/>
      </c>
      <c r="G2885">
        <f>IF(F2885="",0,IF(TRIM(INDEX(INDIRECT("'Выгрузка'!A2885:Z2885"),Настройки!$B$13)&amp;"")="",1,IFERROR(--SUBSTITUTE(SUBSTITUTE(TRIM(INDEX(INDIRECT("'Выгрузка'!A2885:Z2885"),Настройки!$B$13)),",","."),".",MID(1/2,2,1)),"")))</f>
        <v/>
      </c>
      <c r="H2885">
        <f>IF(F2885="",0,IF(COUNTIF(Настройки!$B$17:$B$26,F2885)&gt;0,1,IF(COUNTIF(Настройки!$C$17:$C$26,F2885)&gt;0,2,IF(COUNTIF(Настройки!$D$17:$D$26,F2885)&gt;0,3,0))))</f>
        <v/>
      </c>
      <c r="I2885">
        <f>IF(AND(ISNUMBER(A2885),ISNUMBER(B2885)),A2885*1000+B2885,"")</f>
        <v/>
      </c>
      <c r="J2885">
        <f>IF(I2885="","",IF(COUNTIF(I$2:I2885,I2885)=1,MAX(J$1:J2884)+1,""))</f>
        <v/>
      </c>
    </row>
    <row r="2886">
      <c r="A2886">
        <f>IFERROR(--SUBSTITUTE(SUBSTITUTE(TRIM(INDEX(INDIRECT("'Выгрузка'!A2886:Z2886"),Настройки!$B$7)),",","."),".",MID(1/2,2,1)),"")</f>
        <v/>
      </c>
      <c r="B2886">
        <f>IFERROR(--SUBSTITUTE(SUBSTITUTE(TRIM(INDEX(INDIRECT("'Выгрузка'!A2886:Z2886"),Настройки!$B$9)),",","."),".",MID(1/2,2,1)),"")</f>
        <v/>
      </c>
      <c r="C2886">
        <f>TRIM(INDEX(INDIRECT("'Выгрузка'!A2886:Z2886"),Настройки!$B$8)&amp;"")</f>
        <v/>
      </c>
      <c r="D2886">
        <f>IFERROR(--SUBSTITUTE(SUBSTITUTE(TRIM(INDEX(INDIRECT("'Выгрузка'!A2886:Z2886"),Настройки!$B$10)),",","."),".",MID(1/2,2,1)),"")</f>
        <v/>
      </c>
      <c r="E2886">
        <f>IFERROR(--SUBSTITUTE(SUBSTITUTE(TRIM(INDEX(INDIRECT("'Выгрузка'!A2886:Z2886"),Настройки!$B$11)),",","."),".",MID(1/2,2,1)),"")</f>
        <v/>
      </c>
      <c r="F2886">
        <f>TRIM(INDEX(INDIRECT("'Выгрузка'!A2886:Z2886"),Настройки!$B$12)&amp;"")</f>
        <v/>
      </c>
      <c r="G2886">
        <f>IF(F2886="",0,IF(TRIM(INDEX(INDIRECT("'Выгрузка'!A2886:Z2886"),Настройки!$B$13)&amp;"")="",1,IFERROR(--SUBSTITUTE(SUBSTITUTE(TRIM(INDEX(INDIRECT("'Выгрузка'!A2886:Z2886"),Настройки!$B$13)),",","."),".",MID(1/2,2,1)),"")))</f>
        <v/>
      </c>
      <c r="H2886">
        <f>IF(F2886="",0,IF(COUNTIF(Настройки!$B$17:$B$26,F2886)&gt;0,1,IF(COUNTIF(Настройки!$C$17:$C$26,F2886)&gt;0,2,IF(COUNTIF(Настройки!$D$17:$D$26,F2886)&gt;0,3,0))))</f>
        <v/>
      </c>
      <c r="I2886">
        <f>IF(AND(ISNUMBER(A2886),ISNUMBER(B2886)),A2886*1000+B2886,"")</f>
        <v/>
      </c>
      <c r="J2886">
        <f>IF(I2886="","",IF(COUNTIF(I$2:I2886,I2886)=1,MAX(J$1:J2885)+1,""))</f>
        <v/>
      </c>
    </row>
    <row r="2887">
      <c r="A2887">
        <f>IFERROR(--SUBSTITUTE(SUBSTITUTE(TRIM(INDEX(INDIRECT("'Выгрузка'!A2887:Z2887"),Настройки!$B$7)),",","."),".",MID(1/2,2,1)),"")</f>
        <v/>
      </c>
      <c r="B2887">
        <f>IFERROR(--SUBSTITUTE(SUBSTITUTE(TRIM(INDEX(INDIRECT("'Выгрузка'!A2887:Z2887"),Настройки!$B$9)),",","."),".",MID(1/2,2,1)),"")</f>
        <v/>
      </c>
      <c r="C2887">
        <f>TRIM(INDEX(INDIRECT("'Выгрузка'!A2887:Z2887"),Настройки!$B$8)&amp;"")</f>
        <v/>
      </c>
      <c r="D2887">
        <f>IFERROR(--SUBSTITUTE(SUBSTITUTE(TRIM(INDEX(INDIRECT("'Выгрузка'!A2887:Z2887"),Настройки!$B$10)),",","."),".",MID(1/2,2,1)),"")</f>
        <v/>
      </c>
      <c r="E2887">
        <f>IFERROR(--SUBSTITUTE(SUBSTITUTE(TRIM(INDEX(INDIRECT("'Выгрузка'!A2887:Z2887"),Настройки!$B$11)),",","."),".",MID(1/2,2,1)),"")</f>
        <v/>
      </c>
      <c r="F2887">
        <f>TRIM(INDEX(INDIRECT("'Выгрузка'!A2887:Z2887"),Настройки!$B$12)&amp;"")</f>
        <v/>
      </c>
      <c r="G2887">
        <f>IF(F2887="",0,IF(TRIM(INDEX(INDIRECT("'Выгрузка'!A2887:Z2887"),Настройки!$B$13)&amp;"")="",1,IFERROR(--SUBSTITUTE(SUBSTITUTE(TRIM(INDEX(INDIRECT("'Выгрузка'!A2887:Z2887"),Настройки!$B$13)),",","."),".",MID(1/2,2,1)),"")))</f>
        <v/>
      </c>
      <c r="H2887">
        <f>IF(F2887="",0,IF(COUNTIF(Настройки!$B$17:$B$26,F2887)&gt;0,1,IF(COUNTIF(Настройки!$C$17:$C$26,F2887)&gt;0,2,IF(COUNTIF(Настройки!$D$17:$D$26,F2887)&gt;0,3,0))))</f>
        <v/>
      </c>
      <c r="I2887">
        <f>IF(AND(ISNUMBER(A2887),ISNUMBER(B2887)),A2887*1000+B2887,"")</f>
        <v/>
      </c>
      <c r="J2887">
        <f>IF(I2887="","",IF(COUNTIF(I$2:I2887,I2887)=1,MAX(J$1:J2886)+1,""))</f>
        <v/>
      </c>
    </row>
    <row r="2888">
      <c r="A2888">
        <f>IFERROR(--SUBSTITUTE(SUBSTITUTE(TRIM(INDEX(INDIRECT("'Выгрузка'!A2888:Z2888"),Настройки!$B$7)),",","."),".",MID(1/2,2,1)),"")</f>
        <v/>
      </c>
      <c r="B2888">
        <f>IFERROR(--SUBSTITUTE(SUBSTITUTE(TRIM(INDEX(INDIRECT("'Выгрузка'!A2888:Z2888"),Настройки!$B$9)),",","."),".",MID(1/2,2,1)),"")</f>
        <v/>
      </c>
      <c r="C2888">
        <f>TRIM(INDEX(INDIRECT("'Выгрузка'!A2888:Z2888"),Настройки!$B$8)&amp;"")</f>
        <v/>
      </c>
      <c r="D2888">
        <f>IFERROR(--SUBSTITUTE(SUBSTITUTE(TRIM(INDEX(INDIRECT("'Выгрузка'!A2888:Z2888"),Настройки!$B$10)),",","."),".",MID(1/2,2,1)),"")</f>
        <v/>
      </c>
      <c r="E2888">
        <f>IFERROR(--SUBSTITUTE(SUBSTITUTE(TRIM(INDEX(INDIRECT("'Выгрузка'!A2888:Z2888"),Настройки!$B$11)),",","."),".",MID(1/2,2,1)),"")</f>
        <v/>
      </c>
      <c r="F2888">
        <f>TRIM(INDEX(INDIRECT("'Выгрузка'!A2888:Z2888"),Настройки!$B$12)&amp;"")</f>
        <v/>
      </c>
      <c r="G2888">
        <f>IF(F2888="",0,IF(TRIM(INDEX(INDIRECT("'Выгрузка'!A2888:Z2888"),Настройки!$B$13)&amp;"")="",1,IFERROR(--SUBSTITUTE(SUBSTITUTE(TRIM(INDEX(INDIRECT("'Выгрузка'!A2888:Z2888"),Настройки!$B$13)),",","."),".",MID(1/2,2,1)),"")))</f>
        <v/>
      </c>
      <c r="H2888">
        <f>IF(F2888="",0,IF(COUNTIF(Настройки!$B$17:$B$26,F2888)&gt;0,1,IF(COUNTIF(Настройки!$C$17:$C$26,F2888)&gt;0,2,IF(COUNTIF(Настройки!$D$17:$D$26,F2888)&gt;0,3,0))))</f>
        <v/>
      </c>
      <c r="I2888">
        <f>IF(AND(ISNUMBER(A2888),ISNUMBER(B2888)),A2888*1000+B2888,"")</f>
        <v/>
      </c>
      <c r="J2888">
        <f>IF(I2888="","",IF(COUNTIF(I$2:I2888,I2888)=1,MAX(J$1:J2887)+1,""))</f>
        <v/>
      </c>
    </row>
    <row r="2889">
      <c r="A2889">
        <f>IFERROR(--SUBSTITUTE(SUBSTITUTE(TRIM(INDEX(INDIRECT("'Выгрузка'!A2889:Z2889"),Настройки!$B$7)),",","."),".",MID(1/2,2,1)),"")</f>
        <v/>
      </c>
      <c r="B2889">
        <f>IFERROR(--SUBSTITUTE(SUBSTITUTE(TRIM(INDEX(INDIRECT("'Выгрузка'!A2889:Z2889"),Настройки!$B$9)),",","."),".",MID(1/2,2,1)),"")</f>
        <v/>
      </c>
      <c r="C2889">
        <f>TRIM(INDEX(INDIRECT("'Выгрузка'!A2889:Z2889"),Настройки!$B$8)&amp;"")</f>
        <v/>
      </c>
      <c r="D2889">
        <f>IFERROR(--SUBSTITUTE(SUBSTITUTE(TRIM(INDEX(INDIRECT("'Выгрузка'!A2889:Z2889"),Настройки!$B$10)),",","."),".",MID(1/2,2,1)),"")</f>
        <v/>
      </c>
      <c r="E2889">
        <f>IFERROR(--SUBSTITUTE(SUBSTITUTE(TRIM(INDEX(INDIRECT("'Выгрузка'!A2889:Z2889"),Настройки!$B$11)),",","."),".",MID(1/2,2,1)),"")</f>
        <v/>
      </c>
      <c r="F2889">
        <f>TRIM(INDEX(INDIRECT("'Выгрузка'!A2889:Z2889"),Настройки!$B$12)&amp;"")</f>
        <v/>
      </c>
      <c r="G2889">
        <f>IF(F2889="",0,IF(TRIM(INDEX(INDIRECT("'Выгрузка'!A2889:Z2889"),Настройки!$B$13)&amp;"")="",1,IFERROR(--SUBSTITUTE(SUBSTITUTE(TRIM(INDEX(INDIRECT("'Выгрузка'!A2889:Z2889"),Настройки!$B$13)),",","."),".",MID(1/2,2,1)),"")))</f>
        <v/>
      </c>
      <c r="H2889">
        <f>IF(F2889="",0,IF(COUNTIF(Настройки!$B$17:$B$26,F2889)&gt;0,1,IF(COUNTIF(Настройки!$C$17:$C$26,F2889)&gt;0,2,IF(COUNTIF(Настройки!$D$17:$D$26,F2889)&gt;0,3,0))))</f>
        <v/>
      </c>
      <c r="I2889">
        <f>IF(AND(ISNUMBER(A2889),ISNUMBER(B2889)),A2889*1000+B2889,"")</f>
        <v/>
      </c>
      <c r="J2889">
        <f>IF(I2889="","",IF(COUNTIF(I$2:I2889,I2889)=1,MAX(J$1:J2888)+1,""))</f>
        <v/>
      </c>
    </row>
    <row r="2890">
      <c r="A2890">
        <f>IFERROR(--SUBSTITUTE(SUBSTITUTE(TRIM(INDEX(INDIRECT("'Выгрузка'!A2890:Z2890"),Настройки!$B$7)),",","."),".",MID(1/2,2,1)),"")</f>
        <v/>
      </c>
      <c r="B2890">
        <f>IFERROR(--SUBSTITUTE(SUBSTITUTE(TRIM(INDEX(INDIRECT("'Выгрузка'!A2890:Z2890"),Настройки!$B$9)),",","."),".",MID(1/2,2,1)),"")</f>
        <v/>
      </c>
      <c r="C2890">
        <f>TRIM(INDEX(INDIRECT("'Выгрузка'!A2890:Z2890"),Настройки!$B$8)&amp;"")</f>
        <v/>
      </c>
      <c r="D2890">
        <f>IFERROR(--SUBSTITUTE(SUBSTITUTE(TRIM(INDEX(INDIRECT("'Выгрузка'!A2890:Z2890"),Настройки!$B$10)),",","."),".",MID(1/2,2,1)),"")</f>
        <v/>
      </c>
      <c r="E2890">
        <f>IFERROR(--SUBSTITUTE(SUBSTITUTE(TRIM(INDEX(INDIRECT("'Выгрузка'!A2890:Z2890"),Настройки!$B$11)),",","."),".",MID(1/2,2,1)),"")</f>
        <v/>
      </c>
      <c r="F2890">
        <f>TRIM(INDEX(INDIRECT("'Выгрузка'!A2890:Z2890"),Настройки!$B$12)&amp;"")</f>
        <v/>
      </c>
      <c r="G2890">
        <f>IF(F2890="",0,IF(TRIM(INDEX(INDIRECT("'Выгрузка'!A2890:Z2890"),Настройки!$B$13)&amp;"")="",1,IFERROR(--SUBSTITUTE(SUBSTITUTE(TRIM(INDEX(INDIRECT("'Выгрузка'!A2890:Z2890"),Настройки!$B$13)),",","."),".",MID(1/2,2,1)),"")))</f>
        <v/>
      </c>
      <c r="H2890">
        <f>IF(F2890="",0,IF(COUNTIF(Настройки!$B$17:$B$26,F2890)&gt;0,1,IF(COUNTIF(Настройки!$C$17:$C$26,F2890)&gt;0,2,IF(COUNTIF(Настройки!$D$17:$D$26,F2890)&gt;0,3,0))))</f>
        <v/>
      </c>
      <c r="I2890">
        <f>IF(AND(ISNUMBER(A2890),ISNUMBER(B2890)),A2890*1000+B2890,"")</f>
        <v/>
      </c>
      <c r="J2890">
        <f>IF(I2890="","",IF(COUNTIF(I$2:I2890,I2890)=1,MAX(J$1:J2889)+1,""))</f>
        <v/>
      </c>
    </row>
    <row r="2891">
      <c r="A2891">
        <f>IFERROR(--SUBSTITUTE(SUBSTITUTE(TRIM(INDEX(INDIRECT("'Выгрузка'!A2891:Z2891"),Настройки!$B$7)),",","."),".",MID(1/2,2,1)),"")</f>
        <v/>
      </c>
      <c r="B2891">
        <f>IFERROR(--SUBSTITUTE(SUBSTITUTE(TRIM(INDEX(INDIRECT("'Выгрузка'!A2891:Z2891"),Настройки!$B$9)),",","."),".",MID(1/2,2,1)),"")</f>
        <v/>
      </c>
      <c r="C2891">
        <f>TRIM(INDEX(INDIRECT("'Выгрузка'!A2891:Z2891"),Настройки!$B$8)&amp;"")</f>
        <v/>
      </c>
      <c r="D2891">
        <f>IFERROR(--SUBSTITUTE(SUBSTITUTE(TRIM(INDEX(INDIRECT("'Выгрузка'!A2891:Z2891"),Настройки!$B$10)),",","."),".",MID(1/2,2,1)),"")</f>
        <v/>
      </c>
      <c r="E2891">
        <f>IFERROR(--SUBSTITUTE(SUBSTITUTE(TRIM(INDEX(INDIRECT("'Выгрузка'!A2891:Z2891"),Настройки!$B$11)),",","."),".",MID(1/2,2,1)),"")</f>
        <v/>
      </c>
      <c r="F2891">
        <f>TRIM(INDEX(INDIRECT("'Выгрузка'!A2891:Z2891"),Настройки!$B$12)&amp;"")</f>
        <v/>
      </c>
      <c r="G2891">
        <f>IF(F2891="",0,IF(TRIM(INDEX(INDIRECT("'Выгрузка'!A2891:Z2891"),Настройки!$B$13)&amp;"")="",1,IFERROR(--SUBSTITUTE(SUBSTITUTE(TRIM(INDEX(INDIRECT("'Выгрузка'!A2891:Z2891"),Настройки!$B$13)),",","."),".",MID(1/2,2,1)),"")))</f>
        <v/>
      </c>
      <c r="H2891">
        <f>IF(F2891="",0,IF(COUNTIF(Настройки!$B$17:$B$26,F2891)&gt;0,1,IF(COUNTIF(Настройки!$C$17:$C$26,F2891)&gt;0,2,IF(COUNTIF(Настройки!$D$17:$D$26,F2891)&gt;0,3,0))))</f>
        <v/>
      </c>
      <c r="I2891">
        <f>IF(AND(ISNUMBER(A2891),ISNUMBER(B2891)),A2891*1000+B2891,"")</f>
        <v/>
      </c>
      <c r="J2891">
        <f>IF(I2891="","",IF(COUNTIF(I$2:I2891,I2891)=1,MAX(J$1:J2890)+1,""))</f>
        <v/>
      </c>
    </row>
    <row r="2892">
      <c r="A2892">
        <f>IFERROR(--SUBSTITUTE(SUBSTITUTE(TRIM(INDEX(INDIRECT("'Выгрузка'!A2892:Z2892"),Настройки!$B$7)),",","."),".",MID(1/2,2,1)),"")</f>
        <v/>
      </c>
      <c r="B2892">
        <f>IFERROR(--SUBSTITUTE(SUBSTITUTE(TRIM(INDEX(INDIRECT("'Выгрузка'!A2892:Z2892"),Настройки!$B$9)),",","."),".",MID(1/2,2,1)),"")</f>
        <v/>
      </c>
      <c r="C2892">
        <f>TRIM(INDEX(INDIRECT("'Выгрузка'!A2892:Z2892"),Настройки!$B$8)&amp;"")</f>
        <v/>
      </c>
      <c r="D2892">
        <f>IFERROR(--SUBSTITUTE(SUBSTITUTE(TRIM(INDEX(INDIRECT("'Выгрузка'!A2892:Z2892"),Настройки!$B$10)),",","."),".",MID(1/2,2,1)),"")</f>
        <v/>
      </c>
      <c r="E2892">
        <f>IFERROR(--SUBSTITUTE(SUBSTITUTE(TRIM(INDEX(INDIRECT("'Выгрузка'!A2892:Z2892"),Настройки!$B$11)),",","."),".",MID(1/2,2,1)),"")</f>
        <v/>
      </c>
      <c r="F2892">
        <f>TRIM(INDEX(INDIRECT("'Выгрузка'!A2892:Z2892"),Настройки!$B$12)&amp;"")</f>
        <v/>
      </c>
      <c r="G2892">
        <f>IF(F2892="",0,IF(TRIM(INDEX(INDIRECT("'Выгрузка'!A2892:Z2892"),Настройки!$B$13)&amp;"")="",1,IFERROR(--SUBSTITUTE(SUBSTITUTE(TRIM(INDEX(INDIRECT("'Выгрузка'!A2892:Z2892"),Настройки!$B$13)),",","."),".",MID(1/2,2,1)),"")))</f>
        <v/>
      </c>
      <c r="H2892">
        <f>IF(F2892="",0,IF(COUNTIF(Настройки!$B$17:$B$26,F2892)&gt;0,1,IF(COUNTIF(Настройки!$C$17:$C$26,F2892)&gt;0,2,IF(COUNTIF(Настройки!$D$17:$D$26,F2892)&gt;0,3,0))))</f>
        <v/>
      </c>
      <c r="I2892">
        <f>IF(AND(ISNUMBER(A2892),ISNUMBER(B2892)),A2892*1000+B2892,"")</f>
        <v/>
      </c>
      <c r="J2892">
        <f>IF(I2892="","",IF(COUNTIF(I$2:I2892,I2892)=1,MAX(J$1:J2891)+1,""))</f>
        <v/>
      </c>
    </row>
    <row r="2893">
      <c r="A2893">
        <f>IFERROR(--SUBSTITUTE(SUBSTITUTE(TRIM(INDEX(INDIRECT("'Выгрузка'!A2893:Z2893"),Настройки!$B$7)),",","."),".",MID(1/2,2,1)),"")</f>
        <v/>
      </c>
      <c r="B2893">
        <f>IFERROR(--SUBSTITUTE(SUBSTITUTE(TRIM(INDEX(INDIRECT("'Выгрузка'!A2893:Z2893"),Настройки!$B$9)),",","."),".",MID(1/2,2,1)),"")</f>
        <v/>
      </c>
      <c r="C2893">
        <f>TRIM(INDEX(INDIRECT("'Выгрузка'!A2893:Z2893"),Настройки!$B$8)&amp;"")</f>
        <v/>
      </c>
      <c r="D2893">
        <f>IFERROR(--SUBSTITUTE(SUBSTITUTE(TRIM(INDEX(INDIRECT("'Выгрузка'!A2893:Z2893"),Настройки!$B$10)),",","."),".",MID(1/2,2,1)),"")</f>
        <v/>
      </c>
      <c r="E2893">
        <f>IFERROR(--SUBSTITUTE(SUBSTITUTE(TRIM(INDEX(INDIRECT("'Выгрузка'!A2893:Z2893"),Настройки!$B$11)),",","."),".",MID(1/2,2,1)),"")</f>
        <v/>
      </c>
      <c r="F2893">
        <f>TRIM(INDEX(INDIRECT("'Выгрузка'!A2893:Z2893"),Настройки!$B$12)&amp;"")</f>
        <v/>
      </c>
      <c r="G2893">
        <f>IF(F2893="",0,IF(TRIM(INDEX(INDIRECT("'Выгрузка'!A2893:Z2893"),Настройки!$B$13)&amp;"")="",1,IFERROR(--SUBSTITUTE(SUBSTITUTE(TRIM(INDEX(INDIRECT("'Выгрузка'!A2893:Z2893"),Настройки!$B$13)),",","."),".",MID(1/2,2,1)),"")))</f>
        <v/>
      </c>
      <c r="H2893">
        <f>IF(F2893="",0,IF(COUNTIF(Настройки!$B$17:$B$26,F2893)&gt;0,1,IF(COUNTIF(Настройки!$C$17:$C$26,F2893)&gt;0,2,IF(COUNTIF(Настройки!$D$17:$D$26,F2893)&gt;0,3,0))))</f>
        <v/>
      </c>
      <c r="I2893">
        <f>IF(AND(ISNUMBER(A2893),ISNUMBER(B2893)),A2893*1000+B2893,"")</f>
        <v/>
      </c>
      <c r="J2893">
        <f>IF(I2893="","",IF(COUNTIF(I$2:I2893,I2893)=1,MAX(J$1:J2892)+1,""))</f>
        <v/>
      </c>
    </row>
    <row r="2894">
      <c r="A2894">
        <f>IFERROR(--SUBSTITUTE(SUBSTITUTE(TRIM(INDEX(INDIRECT("'Выгрузка'!A2894:Z2894"),Настройки!$B$7)),",","."),".",MID(1/2,2,1)),"")</f>
        <v/>
      </c>
      <c r="B2894">
        <f>IFERROR(--SUBSTITUTE(SUBSTITUTE(TRIM(INDEX(INDIRECT("'Выгрузка'!A2894:Z2894"),Настройки!$B$9)),",","."),".",MID(1/2,2,1)),"")</f>
        <v/>
      </c>
      <c r="C2894">
        <f>TRIM(INDEX(INDIRECT("'Выгрузка'!A2894:Z2894"),Настройки!$B$8)&amp;"")</f>
        <v/>
      </c>
      <c r="D2894">
        <f>IFERROR(--SUBSTITUTE(SUBSTITUTE(TRIM(INDEX(INDIRECT("'Выгрузка'!A2894:Z2894"),Настройки!$B$10)),",","."),".",MID(1/2,2,1)),"")</f>
        <v/>
      </c>
      <c r="E2894">
        <f>IFERROR(--SUBSTITUTE(SUBSTITUTE(TRIM(INDEX(INDIRECT("'Выгрузка'!A2894:Z2894"),Настройки!$B$11)),",","."),".",MID(1/2,2,1)),"")</f>
        <v/>
      </c>
      <c r="F2894">
        <f>TRIM(INDEX(INDIRECT("'Выгрузка'!A2894:Z2894"),Настройки!$B$12)&amp;"")</f>
        <v/>
      </c>
      <c r="G2894">
        <f>IF(F2894="",0,IF(TRIM(INDEX(INDIRECT("'Выгрузка'!A2894:Z2894"),Настройки!$B$13)&amp;"")="",1,IFERROR(--SUBSTITUTE(SUBSTITUTE(TRIM(INDEX(INDIRECT("'Выгрузка'!A2894:Z2894"),Настройки!$B$13)),",","."),".",MID(1/2,2,1)),"")))</f>
        <v/>
      </c>
      <c r="H2894">
        <f>IF(F2894="",0,IF(COUNTIF(Настройки!$B$17:$B$26,F2894)&gt;0,1,IF(COUNTIF(Настройки!$C$17:$C$26,F2894)&gt;0,2,IF(COUNTIF(Настройки!$D$17:$D$26,F2894)&gt;0,3,0))))</f>
        <v/>
      </c>
      <c r="I2894">
        <f>IF(AND(ISNUMBER(A2894),ISNUMBER(B2894)),A2894*1000+B2894,"")</f>
        <v/>
      </c>
      <c r="J2894">
        <f>IF(I2894="","",IF(COUNTIF(I$2:I2894,I2894)=1,MAX(J$1:J2893)+1,""))</f>
        <v/>
      </c>
    </row>
    <row r="2895">
      <c r="A2895">
        <f>IFERROR(--SUBSTITUTE(SUBSTITUTE(TRIM(INDEX(INDIRECT("'Выгрузка'!A2895:Z2895"),Настройки!$B$7)),",","."),".",MID(1/2,2,1)),"")</f>
        <v/>
      </c>
      <c r="B2895">
        <f>IFERROR(--SUBSTITUTE(SUBSTITUTE(TRIM(INDEX(INDIRECT("'Выгрузка'!A2895:Z2895"),Настройки!$B$9)),",","."),".",MID(1/2,2,1)),"")</f>
        <v/>
      </c>
      <c r="C2895">
        <f>TRIM(INDEX(INDIRECT("'Выгрузка'!A2895:Z2895"),Настройки!$B$8)&amp;"")</f>
        <v/>
      </c>
      <c r="D2895">
        <f>IFERROR(--SUBSTITUTE(SUBSTITUTE(TRIM(INDEX(INDIRECT("'Выгрузка'!A2895:Z2895"),Настройки!$B$10)),",","."),".",MID(1/2,2,1)),"")</f>
        <v/>
      </c>
      <c r="E2895">
        <f>IFERROR(--SUBSTITUTE(SUBSTITUTE(TRIM(INDEX(INDIRECT("'Выгрузка'!A2895:Z2895"),Настройки!$B$11)),",","."),".",MID(1/2,2,1)),"")</f>
        <v/>
      </c>
      <c r="F2895">
        <f>TRIM(INDEX(INDIRECT("'Выгрузка'!A2895:Z2895"),Настройки!$B$12)&amp;"")</f>
        <v/>
      </c>
      <c r="G2895">
        <f>IF(F2895="",0,IF(TRIM(INDEX(INDIRECT("'Выгрузка'!A2895:Z2895"),Настройки!$B$13)&amp;"")="",1,IFERROR(--SUBSTITUTE(SUBSTITUTE(TRIM(INDEX(INDIRECT("'Выгрузка'!A2895:Z2895"),Настройки!$B$13)),",","."),".",MID(1/2,2,1)),"")))</f>
        <v/>
      </c>
      <c r="H2895">
        <f>IF(F2895="",0,IF(COUNTIF(Настройки!$B$17:$B$26,F2895)&gt;0,1,IF(COUNTIF(Настройки!$C$17:$C$26,F2895)&gt;0,2,IF(COUNTIF(Настройки!$D$17:$D$26,F2895)&gt;0,3,0))))</f>
        <v/>
      </c>
      <c r="I2895">
        <f>IF(AND(ISNUMBER(A2895),ISNUMBER(B2895)),A2895*1000+B2895,"")</f>
        <v/>
      </c>
      <c r="J2895">
        <f>IF(I2895="","",IF(COUNTIF(I$2:I2895,I2895)=1,MAX(J$1:J2894)+1,""))</f>
        <v/>
      </c>
    </row>
    <row r="2896">
      <c r="A2896">
        <f>IFERROR(--SUBSTITUTE(SUBSTITUTE(TRIM(INDEX(INDIRECT("'Выгрузка'!A2896:Z2896"),Настройки!$B$7)),",","."),".",MID(1/2,2,1)),"")</f>
        <v/>
      </c>
      <c r="B2896">
        <f>IFERROR(--SUBSTITUTE(SUBSTITUTE(TRIM(INDEX(INDIRECT("'Выгрузка'!A2896:Z2896"),Настройки!$B$9)),",","."),".",MID(1/2,2,1)),"")</f>
        <v/>
      </c>
      <c r="C2896">
        <f>TRIM(INDEX(INDIRECT("'Выгрузка'!A2896:Z2896"),Настройки!$B$8)&amp;"")</f>
        <v/>
      </c>
      <c r="D2896">
        <f>IFERROR(--SUBSTITUTE(SUBSTITUTE(TRIM(INDEX(INDIRECT("'Выгрузка'!A2896:Z2896"),Настройки!$B$10)),",","."),".",MID(1/2,2,1)),"")</f>
        <v/>
      </c>
      <c r="E2896">
        <f>IFERROR(--SUBSTITUTE(SUBSTITUTE(TRIM(INDEX(INDIRECT("'Выгрузка'!A2896:Z2896"),Настройки!$B$11)),",","."),".",MID(1/2,2,1)),"")</f>
        <v/>
      </c>
      <c r="F2896">
        <f>TRIM(INDEX(INDIRECT("'Выгрузка'!A2896:Z2896"),Настройки!$B$12)&amp;"")</f>
        <v/>
      </c>
      <c r="G2896">
        <f>IF(F2896="",0,IF(TRIM(INDEX(INDIRECT("'Выгрузка'!A2896:Z2896"),Настройки!$B$13)&amp;"")="",1,IFERROR(--SUBSTITUTE(SUBSTITUTE(TRIM(INDEX(INDIRECT("'Выгрузка'!A2896:Z2896"),Настройки!$B$13)),",","."),".",MID(1/2,2,1)),"")))</f>
        <v/>
      </c>
      <c r="H2896">
        <f>IF(F2896="",0,IF(COUNTIF(Настройки!$B$17:$B$26,F2896)&gt;0,1,IF(COUNTIF(Настройки!$C$17:$C$26,F2896)&gt;0,2,IF(COUNTIF(Настройки!$D$17:$D$26,F2896)&gt;0,3,0))))</f>
        <v/>
      </c>
      <c r="I2896">
        <f>IF(AND(ISNUMBER(A2896),ISNUMBER(B2896)),A2896*1000+B2896,"")</f>
        <v/>
      </c>
      <c r="J2896">
        <f>IF(I2896="","",IF(COUNTIF(I$2:I2896,I2896)=1,MAX(J$1:J2895)+1,""))</f>
        <v/>
      </c>
    </row>
    <row r="2897">
      <c r="A2897">
        <f>IFERROR(--SUBSTITUTE(SUBSTITUTE(TRIM(INDEX(INDIRECT("'Выгрузка'!A2897:Z2897"),Настройки!$B$7)),",","."),".",MID(1/2,2,1)),"")</f>
        <v/>
      </c>
      <c r="B2897">
        <f>IFERROR(--SUBSTITUTE(SUBSTITUTE(TRIM(INDEX(INDIRECT("'Выгрузка'!A2897:Z2897"),Настройки!$B$9)),",","."),".",MID(1/2,2,1)),"")</f>
        <v/>
      </c>
      <c r="C2897">
        <f>TRIM(INDEX(INDIRECT("'Выгрузка'!A2897:Z2897"),Настройки!$B$8)&amp;"")</f>
        <v/>
      </c>
      <c r="D2897">
        <f>IFERROR(--SUBSTITUTE(SUBSTITUTE(TRIM(INDEX(INDIRECT("'Выгрузка'!A2897:Z2897"),Настройки!$B$10)),",","."),".",MID(1/2,2,1)),"")</f>
        <v/>
      </c>
      <c r="E2897">
        <f>IFERROR(--SUBSTITUTE(SUBSTITUTE(TRIM(INDEX(INDIRECT("'Выгрузка'!A2897:Z2897"),Настройки!$B$11)),",","."),".",MID(1/2,2,1)),"")</f>
        <v/>
      </c>
      <c r="F2897">
        <f>TRIM(INDEX(INDIRECT("'Выгрузка'!A2897:Z2897"),Настройки!$B$12)&amp;"")</f>
        <v/>
      </c>
      <c r="G2897">
        <f>IF(F2897="",0,IF(TRIM(INDEX(INDIRECT("'Выгрузка'!A2897:Z2897"),Настройки!$B$13)&amp;"")="",1,IFERROR(--SUBSTITUTE(SUBSTITUTE(TRIM(INDEX(INDIRECT("'Выгрузка'!A2897:Z2897"),Настройки!$B$13)),",","."),".",MID(1/2,2,1)),"")))</f>
        <v/>
      </c>
      <c r="H2897">
        <f>IF(F2897="",0,IF(COUNTIF(Настройки!$B$17:$B$26,F2897)&gt;0,1,IF(COUNTIF(Настройки!$C$17:$C$26,F2897)&gt;0,2,IF(COUNTIF(Настройки!$D$17:$D$26,F2897)&gt;0,3,0))))</f>
        <v/>
      </c>
      <c r="I2897">
        <f>IF(AND(ISNUMBER(A2897),ISNUMBER(B2897)),A2897*1000+B2897,"")</f>
        <v/>
      </c>
      <c r="J2897">
        <f>IF(I2897="","",IF(COUNTIF(I$2:I2897,I2897)=1,MAX(J$1:J2896)+1,""))</f>
        <v/>
      </c>
    </row>
    <row r="2898">
      <c r="A2898">
        <f>IFERROR(--SUBSTITUTE(SUBSTITUTE(TRIM(INDEX(INDIRECT("'Выгрузка'!A2898:Z2898"),Настройки!$B$7)),",","."),".",MID(1/2,2,1)),"")</f>
        <v/>
      </c>
      <c r="B2898">
        <f>IFERROR(--SUBSTITUTE(SUBSTITUTE(TRIM(INDEX(INDIRECT("'Выгрузка'!A2898:Z2898"),Настройки!$B$9)),",","."),".",MID(1/2,2,1)),"")</f>
        <v/>
      </c>
      <c r="C2898">
        <f>TRIM(INDEX(INDIRECT("'Выгрузка'!A2898:Z2898"),Настройки!$B$8)&amp;"")</f>
        <v/>
      </c>
      <c r="D2898">
        <f>IFERROR(--SUBSTITUTE(SUBSTITUTE(TRIM(INDEX(INDIRECT("'Выгрузка'!A2898:Z2898"),Настройки!$B$10)),",","."),".",MID(1/2,2,1)),"")</f>
        <v/>
      </c>
      <c r="E2898">
        <f>IFERROR(--SUBSTITUTE(SUBSTITUTE(TRIM(INDEX(INDIRECT("'Выгрузка'!A2898:Z2898"),Настройки!$B$11)),",","."),".",MID(1/2,2,1)),"")</f>
        <v/>
      </c>
      <c r="F2898">
        <f>TRIM(INDEX(INDIRECT("'Выгрузка'!A2898:Z2898"),Настройки!$B$12)&amp;"")</f>
        <v/>
      </c>
      <c r="G2898">
        <f>IF(F2898="",0,IF(TRIM(INDEX(INDIRECT("'Выгрузка'!A2898:Z2898"),Настройки!$B$13)&amp;"")="",1,IFERROR(--SUBSTITUTE(SUBSTITUTE(TRIM(INDEX(INDIRECT("'Выгрузка'!A2898:Z2898"),Настройки!$B$13)),",","."),".",MID(1/2,2,1)),"")))</f>
        <v/>
      </c>
      <c r="H2898">
        <f>IF(F2898="",0,IF(COUNTIF(Настройки!$B$17:$B$26,F2898)&gt;0,1,IF(COUNTIF(Настройки!$C$17:$C$26,F2898)&gt;0,2,IF(COUNTIF(Настройки!$D$17:$D$26,F2898)&gt;0,3,0))))</f>
        <v/>
      </c>
      <c r="I2898">
        <f>IF(AND(ISNUMBER(A2898),ISNUMBER(B2898)),A2898*1000+B2898,"")</f>
        <v/>
      </c>
      <c r="J2898">
        <f>IF(I2898="","",IF(COUNTIF(I$2:I2898,I2898)=1,MAX(J$1:J2897)+1,""))</f>
        <v/>
      </c>
    </row>
    <row r="2899">
      <c r="A2899">
        <f>IFERROR(--SUBSTITUTE(SUBSTITUTE(TRIM(INDEX(INDIRECT("'Выгрузка'!A2899:Z2899"),Настройки!$B$7)),",","."),".",MID(1/2,2,1)),"")</f>
        <v/>
      </c>
      <c r="B2899">
        <f>IFERROR(--SUBSTITUTE(SUBSTITUTE(TRIM(INDEX(INDIRECT("'Выгрузка'!A2899:Z2899"),Настройки!$B$9)),",","."),".",MID(1/2,2,1)),"")</f>
        <v/>
      </c>
      <c r="C2899">
        <f>TRIM(INDEX(INDIRECT("'Выгрузка'!A2899:Z2899"),Настройки!$B$8)&amp;"")</f>
        <v/>
      </c>
      <c r="D2899">
        <f>IFERROR(--SUBSTITUTE(SUBSTITUTE(TRIM(INDEX(INDIRECT("'Выгрузка'!A2899:Z2899"),Настройки!$B$10)),",","."),".",MID(1/2,2,1)),"")</f>
        <v/>
      </c>
      <c r="E2899">
        <f>IFERROR(--SUBSTITUTE(SUBSTITUTE(TRIM(INDEX(INDIRECT("'Выгрузка'!A2899:Z2899"),Настройки!$B$11)),",","."),".",MID(1/2,2,1)),"")</f>
        <v/>
      </c>
      <c r="F2899">
        <f>TRIM(INDEX(INDIRECT("'Выгрузка'!A2899:Z2899"),Настройки!$B$12)&amp;"")</f>
        <v/>
      </c>
      <c r="G2899">
        <f>IF(F2899="",0,IF(TRIM(INDEX(INDIRECT("'Выгрузка'!A2899:Z2899"),Настройки!$B$13)&amp;"")="",1,IFERROR(--SUBSTITUTE(SUBSTITUTE(TRIM(INDEX(INDIRECT("'Выгрузка'!A2899:Z2899"),Настройки!$B$13)),",","."),".",MID(1/2,2,1)),"")))</f>
        <v/>
      </c>
      <c r="H2899">
        <f>IF(F2899="",0,IF(COUNTIF(Настройки!$B$17:$B$26,F2899)&gt;0,1,IF(COUNTIF(Настройки!$C$17:$C$26,F2899)&gt;0,2,IF(COUNTIF(Настройки!$D$17:$D$26,F2899)&gt;0,3,0))))</f>
        <v/>
      </c>
      <c r="I2899">
        <f>IF(AND(ISNUMBER(A2899),ISNUMBER(B2899)),A2899*1000+B2899,"")</f>
        <v/>
      </c>
      <c r="J2899">
        <f>IF(I2899="","",IF(COUNTIF(I$2:I2899,I2899)=1,MAX(J$1:J2898)+1,""))</f>
        <v/>
      </c>
    </row>
    <row r="2900">
      <c r="A2900">
        <f>IFERROR(--SUBSTITUTE(SUBSTITUTE(TRIM(INDEX(INDIRECT("'Выгрузка'!A2900:Z2900"),Настройки!$B$7)),",","."),".",MID(1/2,2,1)),"")</f>
        <v/>
      </c>
      <c r="B2900">
        <f>IFERROR(--SUBSTITUTE(SUBSTITUTE(TRIM(INDEX(INDIRECT("'Выгрузка'!A2900:Z2900"),Настройки!$B$9)),",","."),".",MID(1/2,2,1)),"")</f>
        <v/>
      </c>
      <c r="C2900">
        <f>TRIM(INDEX(INDIRECT("'Выгрузка'!A2900:Z2900"),Настройки!$B$8)&amp;"")</f>
        <v/>
      </c>
      <c r="D2900">
        <f>IFERROR(--SUBSTITUTE(SUBSTITUTE(TRIM(INDEX(INDIRECT("'Выгрузка'!A2900:Z2900"),Настройки!$B$10)),",","."),".",MID(1/2,2,1)),"")</f>
        <v/>
      </c>
      <c r="E2900">
        <f>IFERROR(--SUBSTITUTE(SUBSTITUTE(TRIM(INDEX(INDIRECT("'Выгрузка'!A2900:Z2900"),Настройки!$B$11)),",","."),".",MID(1/2,2,1)),"")</f>
        <v/>
      </c>
      <c r="F2900">
        <f>TRIM(INDEX(INDIRECT("'Выгрузка'!A2900:Z2900"),Настройки!$B$12)&amp;"")</f>
        <v/>
      </c>
      <c r="G2900">
        <f>IF(F2900="",0,IF(TRIM(INDEX(INDIRECT("'Выгрузка'!A2900:Z2900"),Настройки!$B$13)&amp;"")="",1,IFERROR(--SUBSTITUTE(SUBSTITUTE(TRIM(INDEX(INDIRECT("'Выгрузка'!A2900:Z2900"),Настройки!$B$13)),",","."),".",MID(1/2,2,1)),"")))</f>
        <v/>
      </c>
      <c r="H2900">
        <f>IF(F2900="",0,IF(COUNTIF(Настройки!$B$17:$B$26,F2900)&gt;0,1,IF(COUNTIF(Настройки!$C$17:$C$26,F2900)&gt;0,2,IF(COUNTIF(Настройки!$D$17:$D$26,F2900)&gt;0,3,0))))</f>
        <v/>
      </c>
      <c r="I2900">
        <f>IF(AND(ISNUMBER(A2900),ISNUMBER(B2900)),A2900*1000+B2900,"")</f>
        <v/>
      </c>
      <c r="J2900">
        <f>IF(I2900="","",IF(COUNTIF(I$2:I2900,I2900)=1,MAX(J$1:J2899)+1,""))</f>
        <v/>
      </c>
    </row>
    <row r="2901">
      <c r="A2901">
        <f>IFERROR(--SUBSTITUTE(SUBSTITUTE(TRIM(INDEX(INDIRECT("'Выгрузка'!A2901:Z2901"),Настройки!$B$7)),",","."),".",MID(1/2,2,1)),"")</f>
        <v/>
      </c>
      <c r="B2901">
        <f>IFERROR(--SUBSTITUTE(SUBSTITUTE(TRIM(INDEX(INDIRECT("'Выгрузка'!A2901:Z2901"),Настройки!$B$9)),",","."),".",MID(1/2,2,1)),"")</f>
        <v/>
      </c>
      <c r="C2901">
        <f>TRIM(INDEX(INDIRECT("'Выгрузка'!A2901:Z2901"),Настройки!$B$8)&amp;"")</f>
        <v/>
      </c>
      <c r="D2901">
        <f>IFERROR(--SUBSTITUTE(SUBSTITUTE(TRIM(INDEX(INDIRECT("'Выгрузка'!A2901:Z2901"),Настройки!$B$10)),",","."),".",MID(1/2,2,1)),"")</f>
        <v/>
      </c>
      <c r="E2901">
        <f>IFERROR(--SUBSTITUTE(SUBSTITUTE(TRIM(INDEX(INDIRECT("'Выгрузка'!A2901:Z2901"),Настройки!$B$11)),",","."),".",MID(1/2,2,1)),"")</f>
        <v/>
      </c>
      <c r="F2901">
        <f>TRIM(INDEX(INDIRECT("'Выгрузка'!A2901:Z2901"),Настройки!$B$12)&amp;"")</f>
        <v/>
      </c>
      <c r="G2901">
        <f>IF(F2901="",0,IF(TRIM(INDEX(INDIRECT("'Выгрузка'!A2901:Z2901"),Настройки!$B$13)&amp;"")="",1,IFERROR(--SUBSTITUTE(SUBSTITUTE(TRIM(INDEX(INDIRECT("'Выгрузка'!A2901:Z2901"),Настройки!$B$13)),",","."),".",MID(1/2,2,1)),"")))</f>
        <v/>
      </c>
      <c r="H2901">
        <f>IF(F2901="",0,IF(COUNTIF(Настройки!$B$17:$B$26,F2901)&gt;0,1,IF(COUNTIF(Настройки!$C$17:$C$26,F2901)&gt;0,2,IF(COUNTIF(Настройки!$D$17:$D$26,F2901)&gt;0,3,0))))</f>
        <v/>
      </c>
      <c r="I2901">
        <f>IF(AND(ISNUMBER(A2901),ISNUMBER(B2901)),A2901*1000+B2901,"")</f>
        <v/>
      </c>
      <c r="J2901">
        <f>IF(I2901="","",IF(COUNTIF(I$2:I2901,I2901)=1,MAX(J$1:J2900)+1,""))</f>
        <v/>
      </c>
    </row>
    <row r="2902">
      <c r="A2902">
        <f>IFERROR(--SUBSTITUTE(SUBSTITUTE(TRIM(INDEX(INDIRECT("'Выгрузка'!A2902:Z2902"),Настройки!$B$7)),",","."),".",MID(1/2,2,1)),"")</f>
        <v/>
      </c>
      <c r="B2902">
        <f>IFERROR(--SUBSTITUTE(SUBSTITUTE(TRIM(INDEX(INDIRECT("'Выгрузка'!A2902:Z2902"),Настройки!$B$9)),",","."),".",MID(1/2,2,1)),"")</f>
        <v/>
      </c>
      <c r="C2902">
        <f>TRIM(INDEX(INDIRECT("'Выгрузка'!A2902:Z2902"),Настройки!$B$8)&amp;"")</f>
        <v/>
      </c>
      <c r="D2902">
        <f>IFERROR(--SUBSTITUTE(SUBSTITUTE(TRIM(INDEX(INDIRECT("'Выгрузка'!A2902:Z2902"),Настройки!$B$10)),",","."),".",MID(1/2,2,1)),"")</f>
        <v/>
      </c>
      <c r="E2902">
        <f>IFERROR(--SUBSTITUTE(SUBSTITUTE(TRIM(INDEX(INDIRECT("'Выгрузка'!A2902:Z2902"),Настройки!$B$11)),",","."),".",MID(1/2,2,1)),"")</f>
        <v/>
      </c>
      <c r="F2902">
        <f>TRIM(INDEX(INDIRECT("'Выгрузка'!A2902:Z2902"),Настройки!$B$12)&amp;"")</f>
        <v/>
      </c>
      <c r="G2902">
        <f>IF(F2902="",0,IF(TRIM(INDEX(INDIRECT("'Выгрузка'!A2902:Z2902"),Настройки!$B$13)&amp;"")="",1,IFERROR(--SUBSTITUTE(SUBSTITUTE(TRIM(INDEX(INDIRECT("'Выгрузка'!A2902:Z2902"),Настройки!$B$13)),",","."),".",MID(1/2,2,1)),"")))</f>
        <v/>
      </c>
      <c r="H2902">
        <f>IF(F2902="",0,IF(COUNTIF(Настройки!$B$17:$B$26,F2902)&gt;0,1,IF(COUNTIF(Настройки!$C$17:$C$26,F2902)&gt;0,2,IF(COUNTIF(Настройки!$D$17:$D$26,F2902)&gt;0,3,0))))</f>
        <v/>
      </c>
      <c r="I2902">
        <f>IF(AND(ISNUMBER(A2902),ISNUMBER(B2902)),A2902*1000+B2902,"")</f>
        <v/>
      </c>
      <c r="J2902">
        <f>IF(I2902="","",IF(COUNTIF(I$2:I2902,I2902)=1,MAX(J$1:J2901)+1,""))</f>
        <v/>
      </c>
    </row>
    <row r="2903">
      <c r="A2903">
        <f>IFERROR(--SUBSTITUTE(SUBSTITUTE(TRIM(INDEX(INDIRECT("'Выгрузка'!A2903:Z2903"),Настройки!$B$7)),",","."),".",MID(1/2,2,1)),"")</f>
        <v/>
      </c>
      <c r="B2903">
        <f>IFERROR(--SUBSTITUTE(SUBSTITUTE(TRIM(INDEX(INDIRECT("'Выгрузка'!A2903:Z2903"),Настройки!$B$9)),",","."),".",MID(1/2,2,1)),"")</f>
        <v/>
      </c>
      <c r="C2903">
        <f>TRIM(INDEX(INDIRECT("'Выгрузка'!A2903:Z2903"),Настройки!$B$8)&amp;"")</f>
        <v/>
      </c>
      <c r="D2903">
        <f>IFERROR(--SUBSTITUTE(SUBSTITUTE(TRIM(INDEX(INDIRECT("'Выгрузка'!A2903:Z2903"),Настройки!$B$10)),",","."),".",MID(1/2,2,1)),"")</f>
        <v/>
      </c>
      <c r="E2903">
        <f>IFERROR(--SUBSTITUTE(SUBSTITUTE(TRIM(INDEX(INDIRECT("'Выгрузка'!A2903:Z2903"),Настройки!$B$11)),",","."),".",MID(1/2,2,1)),"")</f>
        <v/>
      </c>
      <c r="F2903">
        <f>TRIM(INDEX(INDIRECT("'Выгрузка'!A2903:Z2903"),Настройки!$B$12)&amp;"")</f>
        <v/>
      </c>
      <c r="G2903">
        <f>IF(F2903="",0,IF(TRIM(INDEX(INDIRECT("'Выгрузка'!A2903:Z2903"),Настройки!$B$13)&amp;"")="",1,IFERROR(--SUBSTITUTE(SUBSTITUTE(TRIM(INDEX(INDIRECT("'Выгрузка'!A2903:Z2903"),Настройки!$B$13)),",","."),".",MID(1/2,2,1)),"")))</f>
        <v/>
      </c>
      <c r="H2903">
        <f>IF(F2903="",0,IF(COUNTIF(Настройки!$B$17:$B$26,F2903)&gt;0,1,IF(COUNTIF(Настройки!$C$17:$C$26,F2903)&gt;0,2,IF(COUNTIF(Настройки!$D$17:$D$26,F2903)&gt;0,3,0))))</f>
        <v/>
      </c>
      <c r="I2903">
        <f>IF(AND(ISNUMBER(A2903),ISNUMBER(B2903)),A2903*1000+B2903,"")</f>
        <v/>
      </c>
      <c r="J2903">
        <f>IF(I2903="","",IF(COUNTIF(I$2:I2903,I2903)=1,MAX(J$1:J2902)+1,""))</f>
        <v/>
      </c>
    </row>
    <row r="2904">
      <c r="A2904">
        <f>IFERROR(--SUBSTITUTE(SUBSTITUTE(TRIM(INDEX(INDIRECT("'Выгрузка'!A2904:Z2904"),Настройки!$B$7)),",","."),".",MID(1/2,2,1)),"")</f>
        <v/>
      </c>
      <c r="B2904">
        <f>IFERROR(--SUBSTITUTE(SUBSTITUTE(TRIM(INDEX(INDIRECT("'Выгрузка'!A2904:Z2904"),Настройки!$B$9)),",","."),".",MID(1/2,2,1)),"")</f>
        <v/>
      </c>
      <c r="C2904">
        <f>TRIM(INDEX(INDIRECT("'Выгрузка'!A2904:Z2904"),Настройки!$B$8)&amp;"")</f>
        <v/>
      </c>
      <c r="D2904">
        <f>IFERROR(--SUBSTITUTE(SUBSTITUTE(TRIM(INDEX(INDIRECT("'Выгрузка'!A2904:Z2904"),Настройки!$B$10)),",","."),".",MID(1/2,2,1)),"")</f>
        <v/>
      </c>
      <c r="E2904">
        <f>IFERROR(--SUBSTITUTE(SUBSTITUTE(TRIM(INDEX(INDIRECT("'Выгрузка'!A2904:Z2904"),Настройки!$B$11)),",","."),".",MID(1/2,2,1)),"")</f>
        <v/>
      </c>
      <c r="F2904">
        <f>TRIM(INDEX(INDIRECT("'Выгрузка'!A2904:Z2904"),Настройки!$B$12)&amp;"")</f>
        <v/>
      </c>
      <c r="G2904">
        <f>IF(F2904="",0,IF(TRIM(INDEX(INDIRECT("'Выгрузка'!A2904:Z2904"),Настройки!$B$13)&amp;"")="",1,IFERROR(--SUBSTITUTE(SUBSTITUTE(TRIM(INDEX(INDIRECT("'Выгрузка'!A2904:Z2904"),Настройки!$B$13)),",","."),".",MID(1/2,2,1)),"")))</f>
        <v/>
      </c>
      <c r="H2904">
        <f>IF(F2904="",0,IF(COUNTIF(Настройки!$B$17:$B$26,F2904)&gt;0,1,IF(COUNTIF(Настройки!$C$17:$C$26,F2904)&gt;0,2,IF(COUNTIF(Настройки!$D$17:$D$26,F2904)&gt;0,3,0))))</f>
        <v/>
      </c>
      <c r="I2904">
        <f>IF(AND(ISNUMBER(A2904),ISNUMBER(B2904)),A2904*1000+B2904,"")</f>
        <v/>
      </c>
      <c r="J2904">
        <f>IF(I2904="","",IF(COUNTIF(I$2:I2904,I2904)=1,MAX(J$1:J2903)+1,""))</f>
        <v/>
      </c>
    </row>
    <row r="2905">
      <c r="A2905">
        <f>IFERROR(--SUBSTITUTE(SUBSTITUTE(TRIM(INDEX(INDIRECT("'Выгрузка'!A2905:Z2905"),Настройки!$B$7)),",","."),".",MID(1/2,2,1)),"")</f>
        <v/>
      </c>
      <c r="B2905">
        <f>IFERROR(--SUBSTITUTE(SUBSTITUTE(TRIM(INDEX(INDIRECT("'Выгрузка'!A2905:Z2905"),Настройки!$B$9)),",","."),".",MID(1/2,2,1)),"")</f>
        <v/>
      </c>
      <c r="C2905">
        <f>TRIM(INDEX(INDIRECT("'Выгрузка'!A2905:Z2905"),Настройки!$B$8)&amp;"")</f>
        <v/>
      </c>
      <c r="D2905">
        <f>IFERROR(--SUBSTITUTE(SUBSTITUTE(TRIM(INDEX(INDIRECT("'Выгрузка'!A2905:Z2905"),Настройки!$B$10)),",","."),".",MID(1/2,2,1)),"")</f>
        <v/>
      </c>
      <c r="E2905">
        <f>IFERROR(--SUBSTITUTE(SUBSTITUTE(TRIM(INDEX(INDIRECT("'Выгрузка'!A2905:Z2905"),Настройки!$B$11)),",","."),".",MID(1/2,2,1)),"")</f>
        <v/>
      </c>
      <c r="F2905">
        <f>TRIM(INDEX(INDIRECT("'Выгрузка'!A2905:Z2905"),Настройки!$B$12)&amp;"")</f>
        <v/>
      </c>
      <c r="G2905">
        <f>IF(F2905="",0,IF(TRIM(INDEX(INDIRECT("'Выгрузка'!A2905:Z2905"),Настройки!$B$13)&amp;"")="",1,IFERROR(--SUBSTITUTE(SUBSTITUTE(TRIM(INDEX(INDIRECT("'Выгрузка'!A2905:Z2905"),Настройки!$B$13)),",","."),".",MID(1/2,2,1)),"")))</f>
        <v/>
      </c>
      <c r="H2905">
        <f>IF(F2905="",0,IF(COUNTIF(Настройки!$B$17:$B$26,F2905)&gt;0,1,IF(COUNTIF(Настройки!$C$17:$C$26,F2905)&gt;0,2,IF(COUNTIF(Настройки!$D$17:$D$26,F2905)&gt;0,3,0))))</f>
        <v/>
      </c>
      <c r="I2905">
        <f>IF(AND(ISNUMBER(A2905),ISNUMBER(B2905)),A2905*1000+B2905,"")</f>
        <v/>
      </c>
      <c r="J2905">
        <f>IF(I2905="","",IF(COUNTIF(I$2:I2905,I2905)=1,MAX(J$1:J2904)+1,""))</f>
        <v/>
      </c>
    </row>
    <row r="2906">
      <c r="A2906">
        <f>IFERROR(--SUBSTITUTE(SUBSTITUTE(TRIM(INDEX(INDIRECT("'Выгрузка'!A2906:Z2906"),Настройки!$B$7)),",","."),".",MID(1/2,2,1)),"")</f>
        <v/>
      </c>
      <c r="B2906">
        <f>IFERROR(--SUBSTITUTE(SUBSTITUTE(TRIM(INDEX(INDIRECT("'Выгрузка'!A2906:Z2906"),Настройки!$B$9)),",","."),".",MID(1/2,2,1)),"")</f>
        <v/>
      </c>
      <c r="C2906">
        <f>TRIM(INDEX(INDIRECT("'Выгрузка'!A2906:Z2906"),Настройки!$B$8)&amp;"")</f>
        <v/>
      </c>
      <c r="D2906">
        <f>IFERROR(--SUBSTITUTE(SUBSTITUTE(TRIM(INDEX(INDIRECT("'Выгрузка'!A2906:Z2906"),Настройки!$B$10)),",","."),".",MID(1/2,2,1)),"")</f>
        <v/>
      </c>
      <c r="E2906">
        <f>IFERROR(--SUBSTITUTE(SUBSTITUTE(TRIM(INDEX(INDIRECT("'Выгрузка'!A2906:Z2906"),Настройки!$B$11)),",","."),".",MID(1/2,2,1)),"")</f>
        <v/>
      </c>
      <c r="F2906">
        <f>TRIM(INDEX(INDIRECT("'Выгрузка'!A2906:Z2906"),Настройки!$B$12)&amp;"")</f>
        <v/>
      </c>
      <c r="G2906">
        <f>IF(F2906="",0,IF(TRIM(INDEX(INDIRECT("'Выгрузка'!A2906:Z2906"),Настройки!$B$13)&amp;"")="",1,IFERROR(--SUBSTITUTE(SUBSTITUTE(TRIM(INDEX(INDIRECT("'Выгрузка'!A2906:Z2906"),Настройки!$B$13)),",","."),".",MID(1/2,2,1)),"")))</f>
        <v/>
      </c>
      <c r="H2906">
        <f>IF(F2906="",0,IF(COUNTIF(Настройки!$B$17:$B$26,F2906)&gt;0,1,IF(COUNTIF(Настройки!$C$17:$C$26,F2906)&gt;0,2,IF(COUNTIF(Настройки!$D$17:$D$26,F2906)&gt;0,3,0))))</f>
        <v/>
      </c>
      <c r="I2906">
        <f>IF(AND(ISNUMBER(A2906),ISNUMBER(B2906)),A2906*1000+B2906,"")</f>
        <v/>
      </c>
      <c r="J2906">
        <f>IF(I2906="","",IF(COUNTIF(I$2:I2906,I2906)=1,MAX(J$1:J2905)+1,""))</f>
        <v/>
      </c>
    </row>
    <row r="2907">
      <c r="A2907">
        <f>IFERROR(--SUBSTITUTE(SUBSTITUTE(TRIM(INDEX(INDIRECT("'Выгрузка'!A2907:Z2907"),Настройки!$B$7)),",","."),".",MID(1/2,2,1)),"")</f>
        <v/>
      </c>
      <c r="B2907">
        <f>IFERROR(--SUBSTITUTE(SUBSTITUTE(TRIM(INDEX(INDIRECT("'Выгрузка'!A2907:Z2907"),Настройки!$B$9)),",","."),".",MID(1/2,2,1)),"")</f>
        <v/>
      </c>
      <c r="C2907">
        <f>TRIM(INDEX(INDIRECT("'Выгрузка'!A2907:Z2907"),Настройки!$B$8)&amp;"")</f>
        <v/>
      </c>
      <c r="D2907">
        <f>IFERROR(--SUBSTITUTE(SUBSTITUTE(TRIM(INDEX(INDIRECT("'Выгрузка'!A2907:Z2907"),Настройки!$B$10)),",","."),".",MID(1/2,2,1)),"")</f>
        <v/>
      </c>
      <c r="E2907">
        <f>IFERROR(--SUBSTITUTE(SUBSTITUTE(TRIM(INDEX(INDIRECT("'Выгрузка'!A2907:Z2907"),Настройки!$B$11)),",","."),".",MID(1/2,2,1)),"")</f>
        <v/>
      </c>
      <c r="F2907">
        <f>TRIM(INDEX(INDIRECT("'Выгрузка'!A2907:Z2907"),Настройки!$B$12)&amp;"")</f>
        <v/>
      </c>
      <c r="G2907">
        <f>IF(F2907="",0,IF(TRIM(INDEX(INDIRECT("'Выгрузка'!A2907:Z2907"),Настройки!$B$13)&amp;"")="",1,IFERROR(--SUBSTITUTE(SUBSTITUTE(TRIM(INDEX(INDIRECT("'Выгрузка'!A2907:Z2907"),Настройки!$B$13)),",","."),".",MID(1/2,2,1)),"")))</f>
        <v/>
      </c>
      <c r="H2907">
        <f>IF(F2907="",0,IF(COUNTIF(Настройки!$B$17:$B$26,F2907)&gt;0,1,IF(COUNTIF(Настройки!$C$17:$C$26,F2907)&gt;0,2,IF(COUNTIF(Настройки!$D$17:$D$26,F2907)&gt;0,3,0))))</f>
        <v/>
      </c>
      <c r="I2907">
        <f>IF(AND(ISNUMBER(A2907),ISNUMBER(B2907)),A2907*1000+B2907,"")</f>
        <v/>
      </c>
      <c r="J2907">
        <f>IF(I2907="","",IF(COUNTIF(I$2:I2907,I2907)=1,MAX(J$1:J2906)+1,""))</f>
        <v/>
      </c>
    </row>
    <row r="2908">
      <c r="A2908">
        <f>IFERROR(--SUBSTITUTE(SUBSTITUTE(TRIM(INDEX(INDIRECT("'Выгрузка'!A2908:Z2908"),Настройки!$B$7)),",","."),".",MID(1/2,2,1)),"")</f>
        <v/>
      </c>
      <c r="B2908">
        <f>IFERROR(--SUBSTITUTE(SUBSTITUTE(TRIM(INDEX(INDIRECT("'Выгрузка'!A2908:Z2908"),Настройки!$B$9)),",","."),".",MID(1/2,2,1)),"")</f>
        <v/>
      </c>
      <c r="C2908">
        <f>TRIM(INDEX(INDIRECT("'Выгрузка'!A2908:Z2908"),Настройки!$B$8)&amp;"")</f>
        <v/>
      </c>
      <c r="D2908">
        <f>IFERROR(--SUBSTITUTE(SUBSTITUTE(TRIM(INDEX(INDIRECT("'Выгрузка'!A2908:Z2908"),Настройки!$B$10)),",","."),".",MID(1/2,2,1)),"")</f>
        <v/>
      </c>
      <c r="E2908">
        <f>IFERROR(--SUBSTITUTE(SUBSTITUTE(TRIM(INDEX(INDIRECT("'Выгрузка'!A2908:Z2908"),Настройки!$B$11)),",","."),".",MID(1/2,2,1)),"")</f>
        <v/>
      </c>
      <c r="F2908">
        <f>TRIM(INDEX(INDIRECT("'Выгрузка'!A2908:Z2908"),Настройки!$B$12)&amp;"")</f>
        <v/>
      </c>
      <c r="G2908">
        <f>IF(F2908="",0,IF(TRIM(INDEX(INDIRECT("'Выгрузка'!A2908:Z2908"),Настройки!$B$13)&amp;"")="",1,IFERROR(--SUBSTITUTE(SUBSTITUTE(TRIM(INDEX(INDIRECT("'Выгрузка'!A2908:Z2908"),Настройки!$B$13)),",","."),".",MID(1/2,2,1)),"")))</f>
        <v/>
      </c>
      <c r="H2908">
        <f>IF(F2908="",0,IF(COUNTIF(Настройки!$B$17:$B$26,F2908)&gt;0,1,IF(COUNTIF(Настройки!$C$17:$C$26,F2908)&gt;0,2,IF(COUNTIF(Настройки!$D$17:$D$26,F2908)&gt;0,3,0))))</f>
        <v/>
      </c>
      <c r="I2908">
        <f>IF(AND(ISNUMBER(A2908),ISNUMBER(B2908)),A2908*1000+B2908,"")</f>
        <v/>
      </c>
      <c r="J2908">
        <f>IF(I2908="","",IF(COUNTIF(I$2:I2908,I2908)=1,MAX(J$1:J2907)+1,""))</f>
        <v/>
      </c>
    </row>
    <row r="2909">
      <c r="A2909">
        <f>IFERROR(--SUBSTITUTE(SUBSTITUTE(TRIM(INDEX(INDIRECT("'Выгрузка'!A2909:Z2909"),Настройки!$B$7)),",","."),".",MID(1/2,2,1)),"")</f>
        <v/>
      </c>
      <c r="B2909">
        <f>IFERROR(--SUBSTITUTE(SUBSTITUTE(TRIM(INDEX(INDIRECT("'Выгрузка'!A2909:Z2909"),Настройки!$B$9)),",","."),".",MID(1/2,2,1)),"")</f>
        <v/>
      </c>
      <c r="C2909">
        <f>TRIM(INDEX(INDIRECT("'Выгрузка'!A2909:Z2909"),Настройки!$B$8)&amp;"")</f>
        <v/>
      </c>
      <c r="D2909">
        <f>IFERROR(--SUBSTITUTE(SUBSTITUTE(TRIM(INDEX(INDIRECT("'Выгрузка'!A2909:Z2909"),Настройки!$B$10)),",","."),".",MID(1/2,2,1)),"")</f>
        <v/>
      </c>
      <c r="E2909">
        <f>IFERROR(--SUBSTITUTE(SUBSTITUTE(TRIM(INDEX(INDIRECT("'Выгрузка'!A2909:Z2909"),Настройки!$B$11)),",","."),".",MID(1/2,2,1)),"")</f>
        <v/>
      </c>
      <c r="F2909">
        <f>TRIM(INDEX(INDIRECT("'Выгрузка'!A2909:Z2909"),Настройки!$B$12)&amp;"")</f>
        <v/>
      </c>
      <c r="G2909">
        <f>IF(F2909="",0,IF(TRIM(INDEX(INDIRECT("'Выгрузка'!A2909:Z2909"),Настройки!$B$13)&amp;"")="",1,IFERROR(--SUBSTITUTE(SUBSTITUTE(TRIM(INDEX(INDIRECT("'Выгрузка'!A2909:Z2909"),Настройки!$B$13)),",","."),".",MID(1/2,2,1)),"")))</f>
        <v/>
      </c>
      <c r="H2909">
        <f>IF(F2909="",0,IF(COUNTIF(Настройки!$B$17:$B$26,F2909)&gt;0,1,IF(COUNTIF(Настройки!$C$17:$C$26,F2909)&gt;0,2,IF(COUNTIF(Настройки!$D$17:$D$26,F2909)&gt;0,3,0))))</f>
        <v/>
      </c>
      <c r="I2909">
        <f>IF(AND(ISNUMBER(A2909),ISNUMBER(B2909)),A2909*1000+B2909,"")</f>
        <v/>
      </c>
      <c r="J2909">
        <f>IF(I2909="","",IF(COUNTIF(I$2:I2909,I2909)=1,MAX(J$1:J2908)+1,""))</f>
        <v/>
      </c>
    </row>
    <row r="2910">
      <c r="A2910">
        <f>IFERROR(--SUBSTITUTE(SUBSTITUTE(TRIM(INDEX(INDIRECT("'Выгрузка'!A2910:Z2910"),Настройки!$B$7)),",","."),".",MID(1/2,2,1)),"")</f>
        <v/>
      </c>
      <c r="B2910">
        <f>IFERROR(--SUBSTITUTE(SUBSTITUTE(TRIM(INDEX(INDIRECT("'Выгрузка'!A2910:Z2910"),Настройки!$B$9)),",","."),".",MID(1/2,2,1)),"")</f>
        <v/>
      </c>
      <c r="C2910">
        <f>TRIM(INDEX(INDIRECT("'Выгрузка'!A2910:Z2910"),Настройки!$B$8)&amp;"")</f>
        <v/>
      </c>
      <c r="D2910">
        <f>IFERROR(--SUBSTITUTE(SUBSTITUTE(TRIM(INDEX(INDIRECT("'Выгрузка'!A2910:Z2910"),Настройки!$B$10)),",","."),".",MID(1/2,2,1)),"")</f>
        <v/>
      </c>
      <c r="E2910">
        <f>IFERROR(--SUBSTITUTE(SUBSTITUTE(TRIM(INDEX(INDIRECT("'Выгрузка'!A2910:Z2910"),Настройки!$B$11)),",","."),".",MID(1/2,2,1)),"")</f>
        <v/>
      </c>
      <c r="F2910">
        <f>TRIM(INDEX(INDIRECT("'Выгрузка'!A2910:Z2910"),Настройки!$B$12)&amp;"")</f>
        <v/>
      </c>
      <c r="G2910">
        <f>IF(F2910="",0,IF(TRIM(INDEX(INDIRECT("'Выгрузка'!A2910:Z2910"),Настройки!$B$13)&amp;"")="",1,IFERROR(--SUBSTITUTE(SUBSTITUTE(TRIM(INDEX(INDIRECT("'Выгрузка'!A2910:Z2910"),Настройки!$B$13)),",","."),".",MID(1/2,2,1)),"")))</f>
        <v/>
      </c>
      <c r="H2910">
        <f>IF(F2910="",0,IF(COUNTIF(Настройки!$B$17:$B$26,F2910)&gt;0,1,IF(COUNTIF(Настройки!$C$17:$C$26,F2910)&gt;0,2,IF(COUNTIF(Настройки!$D$17:$D$26,F2910)&gt;0,3,0))))</f>
        <v/>
      </c>
      <c r="I2910">
        <f>IF(AND(ISNUMBER(A2910),ISNUMBER(B2910)),A2910*1000+B2910,"")</f>
        <v/>
      </c>
      <c r="J2910">
        <f>IF(I2910="","",IF(COUNTIF(I$2:I2910,I2910)=1,MAX(J$1:J2909)+1,""))</f>
        <v/>
      </c>
    </row>
    <row r="2911">
      <c r="A2911">
        <f>IFERROR(--SUBSTITUTE(SUBSTITUTE(TRIM(INDEX(INDIRECT("'Выгрузка'!A2911:Z2911"),Настройки!$B$7)),",","."),".",MID(1/2,2,1)),"")</f>
        <v/>
      </c>
      <c r="B2911">
        <f>IFERROR(--SUBSTITUTE(SUBSTITUTE(TRIM(INDEX(INDIRECT("'Выгрузка'!A2911:Z2911"),Настройки!$B$9)),",","."),".",MID(1/2,2,1)),"")</f>
        <v/>
      </c>
      <c r="C2911">
        <f>TRIM(INDEX(INDIRECT("'Выгрузка'!A2911:Z2911"),Настройки!$B$8)&amp;"")</f>
        <v/>
      </c>
      <c r="D2911">
        <f>IFERROR(--SUBSTITUTE(SUBSTITUTE(TRIM(INDEX(INDIRECT("'Выгрузка'!A2911:Z2911"),Настройки!$B$10)),",","."),".",MID(1/2,2,1)),"")</f>
        <v/>
      </c>
      <c r="E2911">
        <f>IFERROR(--SUBSTITUTE(SUBSTITUTE(TRIM(INDEX(INDIRECT("'Выгрузка'!A2911:Z2911"),Настройки!$B$11)),",","."),".",MID(1/2,2,1)),"")</f>
        <v/>
      </c>
      <c r="F2911">
        <f>TRIM(INDEX(INDIRECT("'Выгрузка'!A2911:Z2911"),Настройки!$B$12)&amp;"")</f>
        <v/>
      </c>
      <c r="G2911">
        <f>IF(F2911="",0,IF(TRIM(INDEX(INDIRECT("'Выгрузка'!A2911:Z2911"),Настройки!$B$13)&amp;"")="",1,IFERROR(--SUBSTITUTE(SUBSTITUTE(TRIM(INDEX(INDIRECT("'Выгрузка'!A2911:Z2911"),Настройки!$B$13)),",","."),".",MID(1/2,2,1)),"")))</f>
        <v/>
      </c>
      <c r="H2911">
        <f>IF(F2911="",0,IF(COUNTIF(Настройки!$B$17:$B$26,F2911)&gt;0,1,IF(COUNTIF(Настройки!$C$17:$C$26,F2911)&gt;0,2,IF(COUNTIF(Настройки!$D$17:$D$26,F2911)&gt;0,3,0))))</f>
        <v/>
      </c>
      <c r="I2911">
        <f>IF(AND(ISNUMBER(A2911),ISNUMBER(B2911)),A2911*1000+B2911,"")</f>
        <v/>
      </c>
      <c r="J2911">
        <f>IF(I2911="","",IF(COUNTIF(I$2:I2911,I2911)=1,MAX(J$1:J2910)+1,""))</f>
        <v/>
      </c>
    </row>
    <row r="2912">
      <c r="A2912">
        <f>IFERROR(--SUBSTITUTE(SUBSTITUTE(TRIM(INDEX(INDIRECT("'Выгрузка'!A2912:Z2912"),Настройки!$B$7)),",","."),".",MID(1/2,2,1)),"")</f>
        <v/>
      </c>
      <c r="B2912">
        <f>IFERROR(--SUBSTITUTE(SUBSTITUTE(TRIM(INDEX(INDIRECT("'Выгрузка'!A2912:Z2912"),Настройки!$B$9)),",","."),".",MID(1/2,2,1)),"")</f>
        <v/>
      </c>
      <c r="C2912">
        <f>TRIM(INDEX(INDIRECT("'Выгрузка'!A2912:Z2912"),Настройки!$B$8)&amp;"")</f>
        <v/>
      </c>
      <c r="D2912">
        <f>IFERROR(--SUBSTITUTE(SUBSTITUTE(TRIM(INDEX(INDIRECT("'Выгрузка'!A2912:Z2912"),Настройки!$B$10)),",","."),".",MID(1/2,2,1)),"")</f>
        <v/>
      </c>
      <c r="E2912">
        <f>IFERROR(--SUBSTITUTE(SUBSTITUTE(TRIM(INDEX(INDIRECT("'Выгрузка'!A2912:Z2912"),Настройки!$B$11)),",","."),".",MID(1/2,2,1)),"")</f>
        <v/>
      </c>
      <c r="F2912">
        <f>TRIM(INDEX(INDIRECT("'Выгрузка'!A2912:Z2912"),Настройки!$B$12)&amp;"")</f>
        <v/>
      </c>
      <c r="G2912">
        <f>IF(F2912="",0,IF(TRIM(INDEX(INDIRECT("'Выгрузка'!A2912:Z2912"),Настройки!$B$13)&amp;"")="",1,IFERROR(--SUBSTITUTE(SUBSTITUTE(TRIM(INDEX(INDIRECT("'Выгрузка'!A2912:Z2912"),Настройки!$B$13)),",","."),".",MID(1/2,2,1)),"")))</f>
        <v/>
      </c>
      <c r="H2912">
        <f>IF(F2912="",0,IF(COUNTIF(Настройки!$B$17:$B$26,F2912)&gt;0,1,IF(COUNTIF(Настройки!$C$17:$C$26,F2912)&gt;0,2,IF(COUNTIF(Настройки!$D$17:$D$26,F2912)&gt;0,3,0))))</f>
        <v/>
      </c>
      <c r="I2912">
        <f>IF(AND(ISNUMBER(A2912),ISNUMBER(B2912)),A2912*1000+B2912,"")</f>
        <v/>
      </c>
      <c r="J2912">
        <f>IF(I2912="","",IF(COUNTIF(I$2:I2912,I2912)=1,MAX(J$1:J2911)+1,""))</f>
        <v/>
      </c>
    </row>
    <row r="2913">
      <c r="A2913">
        <f>IFERROR(--SUBSTITUTE(SUBSTITUTE(TRIM(INDEX(INDIRECT("'Выгрузка'!A2913:Z2913"),Настройки!$B$7)),",","."),".",MID(1/2,2,1)),"")</f>
        <v/>
      </c>
      <c r="B2913">
        <f>IFERROR(--SUBSTITUTE(SUBSTITUTE(TRIM(INDEX(INDIRECT("'Выгрузка'!A2913:Z2913"),Настройки!$B$9)),",","."),".",MID(1/2,2,1)),"")</f>
        <v/>
      </c>
      <c r="C2913">
        <f>TRIM(INDEX(INDIRECT("'Выгрузка'!A2913:Z2913"),Настройки!$B$8)&amp;"")</f>
        <v/>
      </c>
      <c r="D2913">
        <f>IFERROR(--SUBSTITUTE(SUBSTITUTE(TRIM(INDEX(INDIRECT("'Выгрузка'!A2913:Z2913"),Настройки!$B$10)),",","."),".",MID(1/2,2,1)),"")</f>
        <v/>
      </c>
      <c r="E2913">
        <f>IFERROR(--SUBSTITUTE(SUBSTITUTE(TRIM(INDEX(INDIRECT("'Выгрузка'!A2913:Z2913"),Настройки!$B$11)),",","."),".",MID(1/2,2,1)),"")</f>
        <v/>
      </c>
      <c r="F2913">
        <f>TRIM(INDEX(INDIRECT("'Выгрузка'!A2913:Z2913"),Настройки!$B$12)&amp;"")</f>
        <v/>
      </c>
      <c r="G2913">
        <f>IF(F2913="",0,IF(TRIM(INDEX(INDIRECT("'Выгрузка'!A2913:Z2913"),Настройки!$B$13)&amp;"")="",1,IFERROR(--SUBSTITUTE(SUBSTITUTE(TRIM(INDEX(INDIRECT("'Выгрузка'!A2913:Z2913"),Настройки!$B$13)),",","."),".",MID(1/2,2,1)),"")))</f>
        <v/>
      </c>
      <c r="H2913">
        <f>IF(F2913="",0,IF(COUNTIF(Настройки!$B$17:$B$26,F2913)&gt;0,1,IF(COUNTIF(Настройки!$C$17:$C$26,F2913)&gt;0,2,IF(COUNTIF(Настройки!$D$17:$D$26,F2913)&gt;0,3,0))))</f>
        <v/>
      </c>
      <c r="I2913">
        <f>IF(AND(ISNUMBER(A2913),ISNUMBER(B2913)),A2913*1000+B2913,"")</f>
        <v/>
      </c>
      <c r="J2913">
        <f>IF(I2913="","",IF(COUNTIF(I$2:I2913,I2913)=1,MAX(J$1:J2912)+1,""))</f>
        <v/>
      </c>
    </row>
    <row r="2914">
      <c r="A2914">
        <f>IFERROR(--SUBSTITUTE(SUBSTITUTE(TRIM(INDEX(INDIRECT("'Выгрузка'!A2914:Z2914"),Настройки!$B$7)),",","."),".",MID(1/2,2,1)),"")</f>
        <v/>
      </c>
      <c r="B2914">
        <f>IFERROR(--SUBSTITUTE(SUBSTITUTE(TRIM(INDEX(INDIRECT("'Выгрузка'!A2914:Z2914"),Настройки!$B$9)),",","."),".",MID(1/2,2,1)),"")</f>
        <v/>
      </c>
      <c r="C2914">
        <f>TRIM(INDEX(INDIRECT("'Выгрузка'!A2914:Z2914"),Настройки!$B$8)&amp;"")</f>
        <v/>
      </c>
      <c r="D2914">
        <f>IFERROR(--SUBSTITUTE(SUBSTITUTE(TRIM(INDEX(INDIRECT("'Выгрузка'!A2914:Z2914"),Настройки!$B$10)),",","."),".",MID(1/2,2,1)),"")</f>
        <v/>
      </c>
      <c r="E2914">
        <f>IFERROR(--SUBSTITUTE(SUBSTITUTE(TRIM(INDEX(INDIRECT("'Выгрузка'!A2914:Z2914"),Настройки!$B$11)),",","."),".",MID(1/2,2,1)),"")</f>
        <v/>
      </c>
      <c r="F2914">
        <f>TRIM(INDEX(INDIRECT("'Выгрузка'!A2914:Z2914"),Настройки!$B$12)&amp;"")</f>
        <v/>
      </c>
      <c r="G2914">
        <f>IF(F2914="",0,IF(TRIM(INDEX(INDIRECT("'Выгрузка'!A2914:Z2914"),Настройки!$B$13)&amp;"")="",1,IFERROR(--SUBSTITUTE(SUBSTITUTE(TRIM(INDEX(INDIRECT("'Выгрузка'!A2914:Z2914"),Настройки!$B$13)),",","."),".",MID(1/2,2,1)),"")))</f>
        <v/>
      </c>
      <c r="H2914">
        <f>IF(F2914="",0,IF(COUNTIF(Настройки!$B$17:$B$26,F2914)&gt;0,1,IF(COUNTIF(Настройки!$C$17:$C$26,F2914)&gt;0,2,IF(COUNTIF(Настройки!$D$17:$D$26,F2914)&gt;0,3,0))))</f>
        <v/>
      </c>
      <c r="I2914">
        <f>IF(AND(ISNUMBER(A2914),ISNUMBER(B2914)),A2914*1000+B2914,"")</f>
        <v/>
      </c>
      <c r="J2914">
        <f>IF(I2914="","",IF(COUNTIF(I$2:I2914,I2914)=1,MAX(J$1:J2913)+1,""))</f>
        <v/>
      </c>
    </row>
    <row r="2915">
      <c r="A2915">
        <f>IFERROR(--SUBSTITUTE(SUBSTITUTE(TRIM(INDEX(INDIRECT("'Выгрузка'!A2915:Z2915"),Настройки!$B$7)),",","."),".",MID(1/2,2,1)),"")</f>
        <v/>
      </c>
      <c r="B2915">
        <f>IFERROR(--SUBSTITUTE(SUBSTITUTE(TRIM(INDEX(INDIRECT("'Выгрузка'!A2915:Z2915"),Настройки!$B$9)),",","."),".",MID(1/2,2,1)),"")</f>
        <v/>
      </c>
      <c r="C2915">
        <f>TRIM(INDEX(INDIRECT("'Выгрузка'!A2915:Z2915"),Настройки!$B$8)&amp;"")</f>
        <v/>
      </c>
      <c r="D2915">
        <f>IFERROR(--SUBSTITUTE(SUBSTITUTE(TRIM(INDEX(INDIRECT("'Выгрузка'!A2915:Z2915"),Настройки!$B$10)),",","."),".",MID(1/2,2,1)),"")</f>
        <v/>
      </c>
      <c r="E2915">
        <f>IFERROR(--SUBSTITUTE(SUBSTITUTE(TRIM(INDEX(INDIRECT("'Выгрузка'!A2915:Z2915"),Настройки!$B$11)),",","."),".",MID(1/2,2,1)),"")</f>
        <v/>
      </c>
      <c r="F2915">
        <f>TRIM(INDEX(INDIRECT("'Выгрузка'!A2915:Z2915"),Настройки!$B$12)&amp;"")</f>
        <v/>
      </c>
      <c r="G2915">
        <f>IF(F2915="",0,IF(TRIM(INDEX(INDIRECT("'Выгрузка'!A2915:Z2915"),Настройки!$B$13)&amp;"")="",1,IFERROR(--SUBSTITUTE(SUBSTITUTE(TRIM(INDEX(INDIRECT("'Выгрузка'!A2915:Z2915"),Настройки!$B$13)),",","."),".",MID(1/2,2,1)),"")))</f>
        <v/>
      </c>
      <c r="H2915">
        <f>IF(F2915="",0,IF(COUNTIF(Настройки!$B$17:$B$26,F2915)&gt;0,1,IF(COUNTIF(Настройки!$C$17:$C$26,F2915)&gt;0,2,IF(COUNTIF(Настройки!$D$17:$D$26,F2915)&gt;0,3,0))))</f>
        <v/>
      </c>
      <c r="I2915">
        <f>IF(AND(ISNUMBER(A2915),ISNUMBER(B2915)),A2915*1000+B2915,"")</f>
        <v/>
      </c>
      <c r="J2915">
        <f>IF(I2915="","",IF(COUNTIF(I$2:I2915,I2915)=1,MAX(J$1:J2914)+1,""))</f>
        <v/>
      </c>
    </row>
    <row r="2916">
      <c r="A2916">
        <f>IFERROR(--SUBSTITUTE(SUBSTITUTE(TRIM(INDEX(INDIRECT("'Выгрузка'!A2916:Z2916"),Настройки!$B$7)),",","."),".",MID(1/2,2,1)),"")</f>
        <v/>
      </c>
      <c r="B2916">
        <f>IFERROR(--SUBSTITUTE(SUBSTITUTE(TRIM(INDEX(INDIRECT("'Выгрузка'!A2916:Z2916"),Настройки!$B$9)),",","."),".",MID(1/2,2,1)),"")</f>
        <v/>
      </c>
      <c r="C2916">
        <f>TRIM(INDEX(INDIRECT("'Выгрузка'!A2916:Z2916"),Настройки!$B$8)&amp;"")</f>
        <v/>
      </c>
      <c r="D2916">
        <f>IFERROR(--SUBSTITUTE(SUBSTITUTE(TRIM(INDEX(INDIRECT("'Выгрузка'!A2916:Z2916"),Настройки!$B$10)),",","."),".",MID(1/2,2,1)),"")</f>
        <v/>
      </c>
      <c r="E2916">
        <f>IFERROR(--SUBSTITUTE(SUBSTITUTE(TRIM(INDEX(INDIRECT("'Выгрузка'!A2916:Z2916"),Настройки!$B$11)),",","."),".",MID(1/2,2,1)),"")</f>
        <v/>
      </c>
      <c r="F2916">
        <f>TRIM(INDEX(INDIRECT("'Выгрузка'!A2916:Z2916"),Настройки!$B$12)&amp;"")</f>
        <v/>
      </c>
      <c r="G2916">
        <f>IF(F2916="",0,IF(TRIM(INDEX(INDIRECT("'Выгрузка'!A2916:Z2916"),Настройки!$B$13)&amp;"")="",1,IFERROR(--SUBSTITUTE(SUBSTITUTE(TRIM(INDEX(INDIRECT("'Выгрузка'!A2916:Z2916"),Настройки!$B$13)),",","."),".",MID(1/2,2,1)),"")))</f>
        <v/>
      </c>
      <c r="H2916">
        <f>IF(F2916="",0,IF(COUNTIF(Настройки!$B$17:$B$26,F2916)&gt;0,1,IF(COUNTIF(Настройки!$C$17:$C$26,F2916)&gt;0,2,IF(COUNTIF(Настройки!$D$17:$D$26,F2916)&gt;0,3,0))))</f>
        <v/>
      </c>
      <c r="I2916">
        <f>IF(AND(ISNUMBER(A2916),ISNUMBER(B2916)),A2916*1000+B2916,"")</f>
        <v/>
      </c>
      <c r="J2916">
        <f>IF(I2916="","",IF(COUNTIF(I$2:I2916,I2916)=1,MAX(J$1:J2915)+1,""))</f>
        <v/>
      </c>
    </row>
    <row r="2917">
      <c r="A2917">
        <f>IFERROR(--SUBSTITUTE(SUBSTITUTE(TRIM(INDEX(INDIRECT("'Выгрузка'!A2917:Z2917"),Настройки!$B$7)),",","."),".",MID(1/2,2,1)),"")</f>
        <v/>
      </c>
      <c r="B2917">
        <f>IFERROR(--SUBSTITUTE(SUBSTITUTE(TRIM(INDEX(INDIRECT("'Выгрузка'!A2917:Z2917"),Настройки!$B$9)),",","."),".",MID(1/2,2,1)),"")</f>
        <v/>
      </c>
      <c r="C2917">
        <f>TRIM(INDEX(INDIRECT("'Выгрузка'!A2917:Z2917"),Настройки!$B$8)&amp;"")</f>
        <v/>
      </c>
      <c r="D2917">
        <f>IFERROR(--SUBSTITUTE(SUBSTITUTE(TRIM(INDEX(INDIRECT("'Выгрузка'!A2917:Z2917"),Настройки!$B$10)),",","."),".",MID(1/2,2,1)),"")</f>
        <v/>
      </c>
      <c r="E2917">
        <f>IFERROR(--SUBSTITUTE(SUBSTITUTE(TRIM(INDEX(INDIRECT("'Выгрузка'!A2917:Z2917"),Настройки!$B$11)),",","."),".",MID(1/2,2,1)),"")</f>
        <v/>
      </c>
      <c r="F2917">
        <f>TRIM(INDEX(INDIRECT("'Выгрузка'!A2917:Z2917"),Настройки!$B$12)&amp;"")</f>
        <v/>
      </c>
      <c r="G2917">
        <f>IF(F2917="",0,IF(TRIM(INDEX(INDIRECT("'Выгрузка'!A2917:Z2917"),Настройки!$B$13)&amp;"")="",1,IFERROR(--SUBSTITUTE(SUBSTITUTE(TRIM(INDEX(INDIRECT("'Выгрузка'!A2917:Z2917"),Настройки!$B$13)),",","."),".",MID(1/2,2,1)),"")))</f>
        <v/>
      </c>
      <c r="H2917">
        <f>IF(F2917="",0,IF(COUNTIF(Настройки!$B$17:$B$26,F2917)&gt;0,1,IF(COUNTIF(Настройки!$C$17:$C$26,F2917)&gt;0,2,IF(COUNTIF(Настройки!$D$17:$D$26,F2917)&gt;0,3,0))))</f>
        <v/>
      </c>
      <c r="I2917">
        <f>IF(AND(ISNUMBER(A2917),ISNUMBER(B2917)),A2917*1000+B2917,"")</f>
        <v/>
      </c>
      <c r="J2917">
        <f>IF(I2917="","",IF(COUNTIF(I$2:I2917,I2917)=1,MAX(J$1:J2916)+1,""))</f>
        <v/>
      </c>
    </row>
    <row r="2918">
      <c r="A2918">
        <f>IFERROR(--SUBSTITUTE(SUBSTITUTE(TRIM(INDEX(INDIRECT("'Выгрузка'!A2918:Z2918"),Настройки!$B$7)),",","."),".",MID(1/2,2,1)),"")</f>
        <v/>
      </c>
      <c r="B2918">
        <f>IFERROR(--SUBSTITUTE(SUBSTITUTE(TRIM(INDEX(INDIRECT("'Выгрузка'!A2918:Z2918"),Настройки!$B$9)),",","."),".",MID(1/2,2,1)),"")</f>
        <v/>
      </c>
      <c r="C2918">
        <f>TRIM(INDEX(INDIRECT("'Выгрузка'!A2918:Z2918"),Настройки!$B$8)&amp;"")</f>
        <v/>
      </c>
      <c r="D2918">
        <f>IFERROR(--SUBSTITUTE(SUBSTITUTE(TRIM(INDEX(INDIRECT("'Выгрузка'!A2918:Z2918"),Настройки!$B$10)),",","."),".",MID(1/2,2,1)),"")</f>
        <v/>
      </c>
      <c r="E2918">
        <f>IFERROR(--SUBSTITUTE(SUBSTITUTE(TRIM(INDEX(INDIRECT("'Выгрузка'!A2918:Z2918"),Настройки!$B$11)),",","."),".",MID(1/2,2,1)),"")</f>
        <v/>
      </c>
      <c r="F2918">
        <f>TRIM(INDEX(INDIRECT("'Выгрузка'!A2918:Z2918"),Настройки!$B$12)&amp;"")</f>
        <v/>
      </c>
      <c r="G2918">
        <f>IF(F2918="",0,IF(TRIM(INDEX(INDIRECT("'Выгрузка'!A2918:Z2918"),Настройки!$B$13)&amp;"")="",1,IFERROR(--SUBSTITUTE(SUBSTITUTE(TRIM(INDEX(INDIRECT("'Выгрузка'!A2918:Z2918"),Настройки!$B$13)),",","."),".",MID(1/2,2,1)),"")))</f>
        <v/>
      </c>
      <c r="H2918">
        <f>IF(F2918="",0,IF(COUNTIF(Настройки!$B$17:$B$26,F2918)&gt;0,1,IF(COUNTIF(Настройки!$C$17:$C$26,F2918)&gt;0,2,IF(COUNTIF(Настройки!$D$17:$D$26,F2918)&gt;0,3,0))))</f>
        <v/>
      </c>
      <c r="I2918">
        <f>IF(AND(ISNUMBER(A2918),ISNUMBER(B2918)),A2918*1000+B2918,"")</f>
        <v/>
      </c>
      <c r="J2918">
        <f>IF(I2918="","",IF(COUNTIF(I$2:I2918,I2918)=1,MAX(J$1:J2917)+1,""))</f>
        <v/>
      </c>
    </row>
    <row r="2919">
      <c r="A2919">
        <f>IFERROR(--SUBSTITUTE(SUBSTITUTE(TRIM(INDEX(INDIRECT("'Выгрузка'!A2919:Z2919"),Настройки!$B$7)),",","."),".",MID(1/2,2,1)),"")</f>
        <v/>
      </c>
      <c r="B2919">
        <f>IFERROR(--SUBSTITUTE(SUBSTITUTE(TRIM(INDEX(INDIRECT("'Выгрузка'!A2919:Z2919"),Настройки!$B$9)),",","."),".",MID(1/2,2,1)),"")</f>
        <v/>
      </c>
      <c r="C2919">
        <f>TRIM(INDEX(INDIRECT("'Выгрузка'!A2919:Z2919"),Настройки!$B$8)&amp;"")</f>
        <v/>
      </c>
      <c r="D2919">
        <f>IFERROR(--SUBSTITUTE(SUBSTITUTE(TRIM(INDEX(INDIRECT("'Выгрузка'!A2919:Z2919"),Настройки!$B$10)),",","."),".",MID(1/2,2,1)),"")</f>
        <v/>
      </c>
      <c r="E2919">
        <f>IFERROR(--SUBSTITUTE(SUBSTITUTE(TRIM(INDEX(INDIRECT("'Выгрузка'!A2919:Z2919"),Настройки!$B$11)),",","."),".",MID(1/2,2,1)),"")</f>
        <v/>
      </c>
      <c r="F2919">
        <f>TRIM(INDEX(INDIRECT("'Выгрузка'!A2919:Z2919"),Настройки!$B$12)&amp;"")</f>
        <v/>
      </c>
      <c r="G2919">
        <f>IF(F2919="",0,IF(TRIM(INDEX(INDIRECT("'Выгрузка'!A2919:Z2919"),Настройки!$B$13)&amp;"")="",1,IFERROR(--SUBSTITUTE(SUBSTITUTE(TRIM(INDEX(INDIRECT("'Выгрузка'!A2919:Z2919"),Настройки!$B$13)),",","."),".",MID(1/2,2,1)),"")))</f>
        <v/>
      </c>
      <c r="H2919">
        <f>IF(F2919="",0,IF(COUNTIF(Настройки!$B$17:$B$26,F2919)&gt;0,1,IF(COUNTIF(Настройки!$C$17:$C$26,F2919)&gt;0,2,IF(COUNTIF(Настройки!$D$17:$D$26,F2919)&gt;0,3,0))))</f>
        <v/>
      </c>
      <c r="I2919">
        <f>IF(AND(ISNUMBER(A2919),ISNUMBER(B2919)),A2919*1000+B2919,"")</f>
        <v/>
      </c>
      <c r="J2919">
        <f>IF(I2919="","",IF(COUNTIF(I$2:I2919,I2919)=1,MAX(J$1:J2918)+1,""))</f>
        <v/>
      </c>
    </row>
    <row r="2920">
      <c r="A2920">
        <f>IFERROR(--SUBSTITUTE(SUBSTITUTE(TRIM(INDEX(INDIRECT("'Выгрузка'!A2920:Z2920"),Настройки!$B$7)),",","."),".",MID(1/2,2,1)),"")</f>
        <v/>
      </c>
      <c r="B2920">
        <f>IFERROR(--SUBSTITUTE(SUBSTITUTE(TRIM(INDEX(INDIRECT("'Выгрузка'!A2920:Z2920"),Настройки!$B$9)),",","."),".",MID(1/2,2,1)),"")</f>
        <v/>
      </c>
      <c r="C2920">
        <f>TRIM(INDEX(INDIRECT("'Выгрузка'!A2920:Z2920"),Настройки!$B$8)&amp;"")</f>
        <v/>
      </c>
      <c r="D2920">
        <f>IFERROR(--SUBSTITUTE(SUBSTITUTE(TRIM(INDEX(INDIRECT("'Выгрузка'!A2920:Z2920"),Настройки!$B$10)),",","."),".",MID(1/2,2,1)),"")</f>
        <v/>
      </c>
      <c r="E2920">
        <f>IFERROR(--SUBSTITUTE(SUBSTITUTE(TRIM(INDEX(INDIRECT("'Выгрузка'!A2920:Z2920"),Настройки!$B$11)),",","."),".",MID(1/2,2,1)),"")</f>
        <v/>
      </c>
      <c r="F2920">
        <f>TRIM(INDEX(INDIRECT("'Выгрузка'!A2920:Z2920"),Настройки!$B$12)&amp;"")</f>
        <v/>
      </c>
      <c r="G2920">
        <f>IF(F2920="",0,IF(TRIM(INDEX(INDIRECT("'Выгрузка'!A2920:Z2920"),Настройки!$B$13)&amp;"")="",1,IFERROR(--SUBSTITUTE(SUBSTITUTE(TRIM(INDEX(INDIRECT("'Выгрузка'!A2920:Z2920"),Настройки!$B$13)),",","."),".",MID(1/2,2,1)),"")))</f>
        <v/>
      </c>
      <c r="H2920">
        <f>IF(F2920="",0,IF(COUNTIF(Настройки!$B$17:$B$26,F2920)&gt;0,1,IF(COUNTIF(Настройки!$C$17:$C$26,F2920)&gt;0,2,IF(COUNTIF(Настройки!$D$17:$D$26,F2920)&gt;0,3,0))))</f>
        <v/>
      </c>
      <c r="I2920">
        <f>IF(AND(ISNUMBER(A2920),ISNUMBER(B2920)),A2920*1000+B2920,"")</f>
        <v/>
      </c>
      <c r="J2920">
        <f>IF(I2920="","",IF(COUNTIF(I$2:I2920,I2920)=1,MAX(J$1:J2919)+1,""))</f>
        <v/>
      </c>
    </row>
    <row r="2921">
      <c r="A2921">
        <f>IFERROR(--SUBSTITUTE(SUBSTITUTE(TRIM(INDEX(INDIRECT("'Выгрузка'!A2921:Z2921"),Настройки!$B$7)),",","."),".",MID(1/2,2,1)),"")</f>
        <v/>
      </c>
      <c r="B2921">
        <f>IFERROR(--SUBSTITUTE(SUBSTITUTE(TRIM(INDEX(INDIRECT("'Выгрузка'!A2921:Z2921"),Настройки!$B$9)),",","."),".",MID(1/2,2,1)),"")</f>
        <v/>
      </c>
      <c r="C2921">
        <f>TRIM(INDEX(INDIRECT("'Выгрузка'!A2921:Z2921"),Настройки!$B$8)&amp;"")</f>
        <v/>
      </c>
      <c r="D2921">
        <f>IFERROR(--SUBSTITUTE(SUBSTITUTE(TRIM(INDEX(INDIRECT("'Выгрузка'!A2921:Z2921"),Настройки!$B$10)),",","."),".",MID(1/2,2,1)),"")</f>
        <v/>
      </c>
      <c r="E2921">
        <f>IFERROR(--SUBSTITUTE(SUBSTITUTE(TRIM(INDEX(INDIRECT("'Выгрузка'!A2921:Z2921"),Настройки!$B$11)),",","."),".",MID(1/2,2,1)),"")</f>
        <v/>
      </c>
      <c r="F2921">
        <f>TRIM(INDEX(INDIRECT("'Выгрузка'!A2921:Z2921"),Настройки!$B$12)&amp;"")</f>
        <v/>
      </c>
      <c r="G2921">
        <f>IF(F2921="",0,IF(TRIM(INDEX(INDIRECT("'Выгрузка'!A2921:Z2921"),Настройки!$B$13)&amp;"")="",1,IFERROR(--SUBSTITUTE(SUBSTITUTE(TRIM(INDEX(INDIRECT("'Выгрузка'!A2921:Z2921"),Настройки!$B$13)),",","."),".",MID(1/2,2,1)),"")))</f>
        <v/>
      </c>
      <c r="H2921">
        <f>IF(F2921="",0,IF(COUNTIF(Настройки!$B$17:$B$26,F2921)&gt;0,1,IF(COUNTIF(Настройки!$C$17:$C$26,F2921)&gt;0,2,IF(COUNTIF(Настройки!$D$17:$D$26,F2921)&gt;0,3,0))))</f>
        <v/>
      </c>
      <c r="I2921">
        <f>IF(AND(ISNUMBER(A2921),ISNUMBER(B2921)),A2921*1000+B2921,"")</f>
        <v/>
      </c>
      <c r="J2921">
        <f>IF(I2921="","",IF(COUNTIF(I$2:I2921,I2921)=1,MAX(J$1:J2920)+1,""))</f>
        <v/>
      </c>
    </row>
    <row r="2922">
      <c r="A2922">
        <f>IFERROR(--SUBSTITUTE(SUBSTITUTE(TRIM(INDEX(INDIRECT("'Выгрузка'!A2922:Z2922"),Настройки!$B$7)),",","."),".",MID(1/2,2,1)),"")</f>
        <v/>
      </c>
      <c r="B2922">
        <f>IFERROR(--SUBSTITUTE(SUBSTITUTE(TRIM(INDEX(INDIRECT("'Выгрузка'!A2922:Z2922"),Настройки!$B$9)),",","."),".",MID(1/2,2,1)),"")</f>
        <v/>
      </c>
      <c r="C2922">
        <f>TRIM(INDEX(INDIRECT("'Выгрузка'!A2922:Z2922"),Настройки!$B$8)&amp;"")</f>
        <v/>
      </c>
      <c r="D2922">
        <f>IFERROR(--SUBSTITUTE(SUBSTITUTE(TRIM(INDEX(INDIRECT("'Выгрузка'!A2922:Z2922"),Настройки!$B$10)),",","."),".",MID(1/2,2,1)),"")</f>
        <v/>
      </c>
      <c r="E2922">
        <f>IFERROR(--SUBSTITUTE(SUBSTITUTE(TRIM(INDEX(INDIRECT("'Выгрузка'!A2922:Z2922"),Настройки!$B$11)),",","."),".",MID(1/2,2,1)),"")</f>
        <v/>
      </c>
      <c r="F2922">
        <f>TRIM(INDEX(INDIRECT("'Выгрузка'!A2922:Z2922"),Настройки!$B$12)&amp;"")</f>
        <v/>
      </c>
      <c r="G2922">
        <f>IF(F2922="",0,IF(TRIM(INDEX(INDIRECT("'Выгрузка'!A2922:Z2922"),Настройки!$B$13)&amp;"")="",1,IFERROR(--SUBSTITUTE(SUBSTITUTE(TRIM(INDEX(INDIRECT("'Выгрузка'!A2922:Z2922"),Настройки!$B$13)),",","."),".",MID(1/2,2,1)),"")))</f>
        <v/>
      </c>
      <c r="H2922">
        <f>IF(F2922="",0,IF(COUNTIF(Настройки!$B$17:$B$26,F2922)&gt;0,1,IF(COUNTIF(Настройки!$C$17:$C$26,F2922)&gt;0,2,IF(COUNTIF(Настройки!$D$17:$D$26,F2922)&gt;0,3,0))))</f>
        <v/>
      </c>
      <c r="I2922">
        <f>IF(AND(ISNUMBER(A2922),ISNUMBER(B2922)),A2922*1000+B2922,"")</f>
        <v/>
      </c>
      <c r="J2922">
        <f>IF(I2922="","",IF(COUNTIF(I$2:I2922,I2922)=1,MAX(J$1:J2921)+1,""))</f>
        <v/>
      </c>
    </row>
    <row r="2923">
      <c r="A2923">
        <f>IFERROR(--SUBSTITUTE(SUBSTITUTE(TRIM(INDEX(INDIRECT("'Выгрузка'!A2923:Z2923"),Настройки!$B$7)),",","."),".",MID(1/2,2,1)),"")</f>
        <v/>
      </c>
      <c r="B2923">
        <f>IFERROR(--SUBSTITUTE(SUBSTITUTE(TRIM(INDEX(INDIRECT("'Выгрузка'!A2923:Z2923"),Настройки!$B$9)),",","."),".",MID(1/2,2,1)),"")</f>
        <v/>
      </c>
      <c r="C2923">
        <f>TRIM(INDEX(INDIRECT("'Выгрузка'!A2923:Z2923"),Настройки!$B$8)&amp;"")</f>
        <v/>
      </c>
      <c r="D2923">
        <f>IFERROR(--SUBSTITUTE(SUBSTITUTE(TRIM(INDEX(INDIRECT("'Выгрузка'!A2923:Z2923"),Настройки!$B$10)),",","."),".",MID(1/2,2,1)),"")</f>
        <v/>
      </c>
      <c r="E2923">
        <f>IFERROR(--SUBSTITUTE(SUBSTITUTE(TRIM(INDEX(INDIRECT("'Выгрузка'!A2923:Z2923"),Настройки!$B$11)),",","."),".",MID(1/2,2,1)),"")</f>
        <v/>
      </c>
      <c r="F2923">
        <f>TRIM(INDEX(INDIRECT("'Выгрузка'!A2923:Z2923"),Настройки!$B$12)&amp;"")</f>
        <v/>
      </c>
      <c r="G2923">
        <f>IF(F2923="",0,IF(TRIM(INDEX(INDIRECT("'Выгрузка'!A2923:Z2923"),Настройки!$B$13)&amp;"")="",1,IFERROR(--SUBSTITUTE(SUBSTITUTE(TRIM(INDEX(INDIRECT("'Выгрузка'!A2923:Z2923"),Настройки!$B$13)),",","."),".",MID(1/2,2,1)),"")))</f>
        <v/>
      </c>
      <c r="H2923">
        <f>IF(F2923="",0,IF(COUNTIF(Настройки!$B$17:$B$26,F2923)&gt;0,1,IF(COUNTIF(Настройки!$C$17:$C$26,F2923)&gt;0,2,IF(COUNTIF(Настройки!$D$17:$D$26,F2923)&gt;0,3,0))))</f>
        <v/>
      </c>
      <c r="I2923">
        <f>IF(AND(ISNUMBER(A2923),ISNUMBER(B2923)),A2923*1000+B2923,"")</f>
        <v/>
      </c>
      <c r="J2923">
        <f>IF(I2923="","",IF(COUNTIF(I$2:I2923,I2923)=1,MAX(J$1:J2922)+1,""))</f>
        <v/>
      </c>
    </row>
    <row r="2924">
      <c r="A2924">
        <f>IFERROR(--SUBSTITUTE(SUBSTITUTE(TRIM(INDEX(INDIRECT("'Выгрузка'!A2924:Z2924"),Настройки!$B$7)),",","."),".",MID(1/2,2,1)),"")</f>
        <v/>
      </c>
      <c r="B2924">
        <f>IFERROR(--SUBSTITUTE(SUBSTITUTE(TRIM(INDEX(INDIRECT("'Выгрузка'!A2924:Z2924"),Настройки!$B$9)),",","."),".",MID(1/2,2,1)),"")</f>
        <v/>
      </c>
      <c r="C2924">
        <f>TRIM(INDEX(INDIRECT("'Выгрузка'!A2924:Z2924"),Настройки!$B$8)&amp;"")</f>
        <v/>
      </c>
      <c r="D2924">
        <f>IFERROR(--SUBSTITUTE(SUBSTITUTE(TRIM(INDEX(INDIRECT("'Выгрузка'!A2924:Z2924"),Настройки!$B$10)),",","."),".",MID(1/2,2,1)),"")</f>
        <v/>
      </c>
      <c r="E2924">
        <f>IFERROR(--SUBSTITUTE(SUBSTITUTE(TRIM(INDEX(INDIRECT("'Выгрузка'!A2924:Z2924"),Настройки!$B$11)),",","."),".",MID(1/2,2,1)),"")</f>
        <v/>
      </c>
      <c r="F2924">
        <f>TRIM(INDEX(INDIRECT("'Выгрузка'!A2924:Z2924"),Настройки!$B$12)&amp;"")</f>
        <v/>
      </c>
      <c r="G2924">
        <f>IF(F2924="",0,IF(TRIM(INDEX(INDIRECT("'Выгрузка'!A2924:Z2924"),Настройки!$B$13)&amp;"")="",1,IFERROR(--SUBSTITUTE(SUBSTITUTE(TRIM(INDEX(INDIRECT("'Выгрузка'!A2924:Z2924"),Настройки!$B$13)),",","."),".",MID(1/2,2,1)),"")))</f>
        <v/>
      </c>
      <c r="H2924">
        <f>IF(F2924="",0,IF(COUNTIF(Настройки!$B$17:$B$26,F2924)&gt;0,1,IF(COUNTIF(Настройки!$C$17:$C$26,F2924)&gt;0,2,IF(COUNTIF(Настройки!$D$17:$D$26,F2924)&gt;0,3,0))))</f>
        <v/>
      </c>
      <c r="I2924">
        <f>IF(AND(ISNUMBER(A2924),ISNUMBER(B2924)),A2924*1000+B2924,"")</f>
        <v/>
      </c>
      <c r="J2924">
        <f>IF(I2924="","",IF(COUNTIF(I$2:I2924,I2924)=1,MAX(J$1:J2923)+1,""))</f>
        <v/>
      </c>
    </row>
    <row r="2925">
      <c r="A2925">
        <f>IFERROR(--SUBSTITUTE(SUBSTITUTE(TRIM(INDEX(INDIRECT("'Выгрузка'!A2925:Z2925"),Настройки!$B$7)),",","."),".",MID(1/2,2,1)),"")</f>
        <v/>
      </c>
      <c r="B2925">
        <f>IFERROR(--SUBSTITUTE(SUBSTITUTE(TRIM(INDEX(INDIRECT("'Выгрузка'!A2925:Z2925"),Настройки!$B$9)),",","."),".",MID(1/2,2,1)),"")</f>
        <v/>
      </c>
      <c r="C2925">
        <f>TRIM(INDEX(INDIRECT("'Выгрузка'!A2925:Z2925"),Настройки!$B$8)&amp;"")</f>
        <v/>
      </c>
      <c r="D2925">
        <f>IFERROR(--SUBSTITUTE(SUBSTITUTE(TRIM(INDEX(INDIRECT("'Выгрузка'!A2925:Z2925"),Настройки!$B$10)),",","."),".",MID(1/2,2,1)),"")</f>
        <v/>
      </c>
      <c r="E2925">
        <f>IFERROR(--SUBSTITUTE(SUBSTITUTE(TRIM(INDEX(INDIRECT("'Выгрузка'!A2925:Z2925"),Настройки!$B$11)),",","."),".",MID(1/2,2,1)),"")</f>
        <v/>
      </c>
      <c r="F2925">
        <f>TRIM(INDEX(INDIRECT("'Выгрузка'!A2925:Z2925"),Настройки!$B$12)&amp;"")</f>
        <v/>
      </c>
      <c r="G2925">
        <f>IF(F2925="",0,IF(TRIM(INDEX(INDIRECT("'Выгрузка'!A2925:Z2925"),Настройки!$B$13)&amp;"")="",1,IFERROR(--SUBSTITUTE(SUBSTITUTE(TRIM(INDEX(INDIRECT("'Выгрузка'!A2925:Z2925"),Настройки!$B$13)),",","."),".",MID(1/2,2,1)),"")))</f>
        <v/>
      </c>
      <c r="H2925">
        <f>IF(F2925="",0,IF(COUNTIF(Настройки!$B$17:$B$26,F2925)&gt;0,1,IF(COUNTIF(Настройки!$C$17:$C$26,F2925)&gt;0,2,IF(COUNTIF(Настройки!$D$17:$D$26,F2925)&gt;0,3,0))))</f>
        <v/>
      </c>
      <c r="I2925">
        <f>IF(AND(ISNUMBER(A2925),ISNUMBER(B2925)),A2925*1000+B2925,"")</f>
        <v/>
      </c>
      <c r="J2925">
        <f>IF(I2925="","",IF(COUNTIF(I$2:I2925,I2925)=1,MAX(J$1:J2924)+1,""))</f>
        <v/>
      </c>
    </row>
    <row r="2926">
      <c r="A2926">
        <f>IFERROR(--SUBSTITUTE(SUBSTITUTE(TRIM(INDEX(INDIRECT("'Выгрузка'!A2926:Z2926"),Настройки!$B$7)),",","."),".",MID(1/2,2,1)),"")</f>
        <v/>
      </c>
      <c r="B2926">
        <f>IFERROR(--SUBSTITUTE(SUBSTITUTE(TRIM(INDEX(INDIRECT("'Выгрузка'!A2926:Z2926"),Настройки!$B$9)),",","."),".",MID(1/2,2,1)),"")</f>
        <v/>
      </c>
      <c r="C2926">
        <f>TRIM(INDEX(INDIRECT("'Выгрузка'!A2926:Z2926"),Настройки!$B$8)&amp;"")</f>
        <v/>
      </c>
      <c r="D2926">
        <f>IFERROR(--SUBSTITUTE(SUBSTITUTE(TRIM(INDEX(INDIRECT("'Выгрузка'!A2926:Z2926"),Настройки!$B$10)),",","."),".",MID(1/2,2,1)),"")</f>
        <v/>
      </c>
      <c r="E2926">
        <f>IFERROR(--SUBSTITUTE(SUBSTITUTE(TRIM(INDEX(INDIRECT("'Выгрузка'!A2926:Z2926"),Настройки!$B$11)),",","."),".",MID(1/2,2,1)),"")</f>
        <v/>
      </c>
      <c r="F2926">
        <f>TRIM(INDEX(INDIRECT("'Выгрузка'!A2926:Z2926"),Настройки!$B$12)&amp;"")</f>
        <v/>
      </c>
      <c r="G2926">
        <f>IF(F2926="",0,IF(TRIM(INDEX(INDIRECT("'Выгрузка'!A2926:Z2926"),Настройки!$B$13)&amp;"")="",1,IFERROR(--SUBSTITUTE(SUBSTITUTE(TRIM(INDEX(INDIRECT("'Выгрузка'!A2926:Z2926"),Настройки!$B$13)),",","."),".",MID(1/2,2,1)),"")))</f>
        <v/>
      </c>
      <c r="H2926">
        <f>IF(F2926="",0,IF(COUNTIF(Настройки!$B$17:$B$26,F2926)&gt;0,1,IF(COUNTIF(Настройки!$C$17:$C$26,F2926)&gt;0,2,IF(COUNTIF(Настройки!$D$17:$D$26,F2926)&gt;0,3,0))))</f>
        <v/>
      </c>
      <c r="I2926">
        <f>IF(AND(ISNUMBER(A2926),ISNUMBER(B2926)),A2926*1000+B2926,"")</f>
        <v/>
      </c>
      <c r="J2926">
        <f>IF(I2926="","",IF(COUNTIF(I$2:I2926,I2926)=1,MAX(J$1:J2925)+1,""))</f>
        <v/>
      </c>
    </row>
    <row r="2927">
      <c r="A2927">
        <f>IFERROR(--SUBSTITUTE(SUBSTITUTE(TRIM(INDEX(INDIRECT("'Выгрузка'!A2927:Z2927"),Настройки!$B$7)),",","."),".",MID(1/2,2,1)),"")</f>
        <v/>
      </c>
      <c r="B2927">
        <f>IFERROR(--SUBSTITUTE(SUBSTITUTE(TRIM(INDEX(INDIRECT("'Выгрузка'!A2927:Z2927"),Настройки!$B$9)),",","."),".",MID(1/2,2,1)),"")</f>
        <v/>
      </c>
      <c r="C2927">
        <f>TRIM(INDEX(INDIRECT("'Выгрузка'!A2927:Z2927"),Настройки!$B$8)&amp;"")</f>
        <v/>
      </c>
      <c r="D2927">
        <f>IFERROR(--SUBSTITUTE(SUBSTITUTE(TRIM(INDEX(INDIRECT("'Выгрузка'!A2927:Z2927"),Настройки!$B$10)),",","."),".",MID(1/2,2,1)),"")</f>
        <v/>
      </c>
      <c r="E2927">
        <f>IFERROR(--SUBSTITUTE(SUBSTITUTE(TRIM(INDEX(INDIRECT("'Выгрузка'!A2927:Z2927"),Настройки!$B$11)),",","."),".",MID(1/2,2,1)),"")</f>
        <v/>
      </c>
      <c r="F2927">
        <f>TRIM(INDEX(INDIRECT("'Выгрузка'!A2927:Z2927"),Настройки!$B$12)&amp;"")</f>
        <v/>
      </c>
      <c r="G2927">
        <f>IF(F2927="",0,IF(TRIM(INDEX(INDIRECT("'Выгрузка'!A2927:Z2927"),Настройки!$B$13)&amp;"")="",1,IFERROR(--SUBSTITUTE(SUBSTITUTE(TRIM(INDEX(INDIRECT("'Выгрузка'!A2927:Z2927"),Настройки!$B$13)),",","."),".",MID(1/2,2,1)),"")))</f>
        <v/>
      </c>
      <c r="H2927">
        <f>IF(F2927="",0,IF(COUNTIF(Настройки!$B$17:$B$26,F2927)&gt;0,1,IF(COUNTIF(Настройки!$C$17:$C$26,F2927)&gt;0,2,IF(COUNTIF(Настройки!$D$17:$D$26,F2927)&gt;0,3,0))))</f>
        <v/>
      </c>
      <c r="I2927">
        <f>IF(AND(ISNUMBER(A2927),ISNUMBER(B2927)),A2927*1000+B2927,"")</f>
        <v/>
      </c>
      <c r="J2927">
        <f>IF(I2927="","",IF(COUNTIF(I$2:I2927,I2927)=1,MAX(J$1:J2926)+1,""))</f>
        <v/>
      </c>
    </row>
    <row r="2928">
      <c r="A2928">
        <f>IFERROR(--SUBSTITUTE(SUBSTITUTE(TRIM(INDEX(INDIRECT("'Выгрузка'!A2928:Z2928"),Настройки!$B$7)),",","."),".",MID(1/2,2,1)),"")</f>
        <v/>
      </c>
      <c r="B2928">
        <f>IFERROR(--SUBSTITUTE(SUBSTITUTE(TRIM(INDEX(INDIRECT("'Выгрузка'!A2928:Z2928"),Настройки!$B$9)),",","."),".",MID(1/2,2,1)),"")</f>
        <v/>
      </c>
      <c r="C2928">
        <f>TRIM(INDEX(INDIRECT("'Выгрузка'!A2928:Z2928"),Настройки!$B$8)&amp;"")</f>
        <v/>
      </c>
      <c r="D2928">
        <f>IFERROR(--SUBSTITUTE(SUBSTITUTE(TRIM(INDEX(INDIRECT("'Выгрузка'!A2928:Z2928"),Настройки!$B$10)),",","."),".",MID(1/2,2,1)),"")</f>
        <v/>
      </c>
      <c r="E2928">
        <f>IFERROR(--SUBSTITUTE(SUBSTITUTE(TRIM(INDEX(INDIRECT("'Выгрузка'!A2928:Z2928"),Настройки!$B$11)),",","."),".",MID(1/2,2,1)),"")</f>
        <v/>
      </c>
      <c r="F2928">
        <f>TRIM(INDEX(INDIRECT("'Выгрузка'!A2928:Z2928"),Настройки!$B$12)&amp;"")</f>
        <v/>
      </c>
      <c r="G2928">
        <f>IF(F2928="",0,IF(TRIM(INDEX(INDIRECT("'Выгрузка'!A2928:Z2928"),Настройки!$B$13)&amp;"")="",1,IFERROR(--SUBSTITUTE(SUBSTITUTE(TRIM(INDEX(INDIRECT("'Выгрузка'!A2928:Z2928"),Настройки!$B$13)),",","."),".",MID(1/2,2,1)),"")))</f>
        <v/>
      </c>
      <c r="H2928">
        <f>IF(F2928="",0,IF(COUNTIF(Настройки!$B$17:$B$26,F2928)&gt;0,1,IF(COUNTIF(Настройки!$C$17:$C$26,F2928)&gt;0,2,IF(COUNTIF(Настройки!$D$17:$D$26,F2928)&gt;0,3,0))))</f>
        <v/>
      </c>
      <c r="I2928">
        <f>IF(AND(ISNUMBER(A2928),ISNUMBER(B2928)),A2928*1000+B2928,"")</f>
        <v/>
      </c>
      <c r="J2928">
        <f>IF(I2928="","",IF(COUNTIF(I$2:I2928,I2928)=1,MAX(J$1:J2927)+1,""))</f>
        <v/>
      </c>
    </row>
    <row r="2929">
      <c r="A2929">
        <f>IFERROR(--SUBSTITUTE(SUBSTITUTE(TRIM(INDEX(INDIRECT("'Выгрузка'!A2929:Z2929"),Настройки!$B$7)),",","."),".",MID(1/2,2,1)),"")</f>
        <v/>
      </c>
      <c r="B2929">
        <f>IFERROR(--SUBSTITUTE(SUBSTITUTE(TRIM(INDEX(INDIRECT("'Выгрузка'!A2929:Z2929"),Настройки!$B$9)),",","."),".",MID(1/2,2,1)),"")</f>
        <v/>
      </c>
      <c r="C2929">
        <f>TRIM(INDEX(INDIRECT("'Выгрузка'!A2929:Z2929"),Настройки!$B$8)&amp;"")</f>
        <v/>
      </c>
      <c r="D2929">
        <f>IFERROR(--SUBSTITUTE(SUBSTITUTE(TRIM(INDEX(INDIRECT("'Выгрузка'!A2929:Z2929"),Настройки!$B$10)),",","."),".",MID(1/2,2,1)),"")</f>
        <v/>
      </c>
      <c r="E2929">
        <f>IFERROR(--SUBSTITUTE(SUBSTITUTE(TRIM(INDEX(INDIRECT("'Выгрузка'!A2929:Z2929"),Настройки!$B$11)),",","."),".",MID(1/2,2,1)),"")</f>
        <v/>
      </c>
      <c r="F2929">
        <f>TRIM(INDEX(INDIRECT("'Выгрузка'!A2929:Z2929"),Настройки!$B$12)&amp;"")</f>
        <v/>
      </c>
      <c r="G2929">
        <f>IF(F2929="",0,IF(TRIM(INDEX(INDIRECT("'Выгрузка'!A2929:Z2929"),Настройки!$B$13)&amp;"")="",1,IFERROR(--SUBSTITUTE(SUBSTITUTE(TRIM(INDEX(INDIRECT("'Выгрузка'!A2929:Z2929"),Настройки!$B$13)),",","."),".",MID(1/2,2,1)),"")))</f>
        <v/>
      </c>
      <c r="H2929">
        <f>IF(F2929="",0,IF(COUNTIF(Настройки!$B$17:$B$26,F2929)&gt;0,1,IF(COUNTIF(Настройки!$C$17:$C$26,F2929)&gt;0,2,IF(COUNTIF(Настройки!$D$17:$D$26,F2929)&gt;0,3,0))))</f>
        <v/>
      </c>
      <c r="I2929">
        <f>IF(AND(ISNUMBER(A2929),ISNUMBER(B2929)),A2929*1000+B2929,"")</f>
        <v/>
      </c>
      <c r="J2929">
        <f>IF(I2929="","",IF(COUNTIF(I$2:I2929,I2929)=1,MAX(J$1:J2928)+1,""))</f>
        <v/>
      </c>
    </row>
    <row r="2930">
      <c r="A2930">
        <f>IFERROR(--SUBSTITUTE(SUBSTITUTE(TRIM(INDEX(INDIRECT("'Выгрузка'!A2930:Z2930"),Настройки!$B$7)),",","."),".",MID(1/2,2,1)),"")</f>
        <v/>
      </c>
      <c r="B2930">
        <f>IFERROR(--SUBSTITUTE(SUBSTITUTE(TRIM(INDEX(INDIRECT("'Выгрузка'!A2930:Z2930"),Настройки!$B$9)),",","."),".",MID(1/2,2,1)),"")</f>
        <v/>
      </c>
      <c r="C2930">
        <f>TRIM(INDEX(INDIRECT("'Выгрузка'!A2930:Z2930"),Настройки!$B$8)&amp;"")</f>
        <v/>
      </c>
      <c r="D2930">
        <f>IFERROR(--SUBSTITUTE(SUBSTITUTE(TRIM(INDEX(INDIRECT("'Выгрузка'!A2930:Z2930"),Настройки!$B$10)),",","."),".",MID(1/2,2,1)),"")</f>
        <v/>
      </c>
      <c r="E2930">
        <f>IFERROR(--SUBSTITUTE(SUBSTITUTE(TRIM(INDEX(INDIRECT("'Выгрузка'!A2930:Z2930"),Настройки!$B$11)),",","."),".",MID(1/2,2,1)),"")</f>
        <v/>
      </c>
      <c r="F2930">
        <f>TRIM(INDEX(INDIRECT("'Выгрузка'!A2930:Z2930"),Настройки!$B$12)&amp;"")</f>
        <v/>
      </c>
      <c r="G2930">
        <f>IF(F2930="",0,IF(TRIM(INDEX(INDIRECT("'Выгрузка'!A2930:Z2930"),Настройки!$B$13)&amp;"")="",1,IFERROR(--SUBSTITUTE(SUBSTITUTE(TRIM(INDEX(INDIRECT("'Выгрузка'!A2930:Z2930"),Настройки!$B$13)),",","."),".",MID(1/2,2,1)),"")))</f>
        <v/>
      </c>
      <c r="H2930">
        <f>IF(F2930="",0,IF(COUNTIF(Настройки!$B$17:$B$26,F2930)&gt;0,1,IF(COUNTIF(Настройки!$C$17:$C$26,F2930)&gt;0,2,IF(COUNTIF(Настройки!$D$17:$D$26,F2930)&gt;0,3,0))))</f>
        <v/>
      </c>
      <c r="I2930">
        <f>IF(AND(ISNUMBER(A2930),ISNUMBER(B2930)),A2930*1000+B2930,"")</f>
        <v/>
      </c>
      <c r="J2930">
        <f>IF(I2930="","",IF(COUNTIF(I$2:I2930,I2930)=1,MAX(J$1:J2929)+1,""))</f>
        <v/>
      </c>
    </row>
    <row r="2931">
      <c r="A2931">
        <f>IFERROR(--SUBSTITUTE(SUBSTITUTE(TRIM(INDEX(INDIRECT("'Выгрузка'!A2931:Z2931"),Настройки!$B$7)),",","."),".",MID(1/2,2,1)),"")</f>
        <v/>
      </c>
      <c r="B2931">
        <f>IFERROR(--SUBSTITUTE(SUBSTITUTE(TRIM(INDEX(INDIRECT("'Выгрузка'!A2931:Z2931"),Настройки!$B$9)),",","."),".",MID(1/2,2,1)),"")</f>
        <v/>
      </c>
      <c r="C2931">
        <f>TRIM(INDEX(INDIRECT("'Выгрузка'!A2931:Z2931"),Настройки!$B$8)&amp;"")</f>
        <v/>
      </c>
      <c r="D2931">
        <f>IFERROR(--SUBSTITUTE(SUBSTITUTE(TRIM(INDEX(INDIRECT("'Выгрузка'!A2931:Z2931"),Настройки!$B$10)),",","."),".",MID(1/2,2,1)),"")</f>
        <v/>
      </c>
      <c r="E2931">
        <f>IFERROR(--SUBSTITUTE(SUBSTITUTE(TRIM(INDEX(INDIRECT("'Выгрузка'!A2931:Z2931"),Настройки!$B$11)),",","."),".",MID(1/2,2,1)),"")</f>
        <v/>
      </c>
      <c r="F2931">
        <f>TRIM(INDEX(INDIRECT("'Выгрузка'!A2931:Z2931"),Настройки!$B$12)&amp;"")</f>
        <v/>
      </c>
      <c r="G2931">
        <f>IF(F2931="",0,IF(TRIM(INDEX(INDIRECT("'Выгрузка'!A2931:Z2931"),Настройки!$B$13)&amp;"")="",1,IFERROR(--SUBSTITUTE(SUBSTITUTE(TRIM(INDEX(INDIRECT("'Выгрузка'!A2931:Z2931"),Настройки!$B$13)),",","."),".",MID(1/2,2,1)),"")))</f>
        <v/>
      </c>
      <c r="H2931">
        <f>IF(F2931="",0,IF(COUNTIF(Настройки!$B$17:$B$26,F2931)&gt;0,1,IF(COUNTIF(Настройки!$C$17:$C$26,F2931)&gt;0,2,IF(COUNTIF(Настройки!$D$17:$D$26,F2931)&gt;0,3,0))))</f>
        <v/>
      </c>
      <c r="I2931">
        <f>IF(AND(ISNUMBER(A2931),ISNUMBER(B2931)),A2931*1000+B2931,"")</f>
        <v/>
      </c>
      <c r="J2931">
        <f>IF(I2931="","",IF(COUNTIF(I$2:I2931,I2931)=1,MAX(J$1:J2930)+1,""))</f>
        <v/>
      </c>
    </row>
    <row r="2932">
      <c r="A2932">
        <f>IFERROR(--SUBSTITUTE(SUBSTITUTE(TRIM(INDEX(INDIRECT("'Выгрузка'!A2932:Z2932"),Настройки!$B$7)),",","."),".",MID(1/2,2,1)),"")</f>
        <v/>
      </c>
      <c r="B2932">
        <f>IFERROR(--SUBSTITUTE(SUBSTITUTE(TRIM(INDEX(INDIRECT("'Выгрузка'!A2932:Z2932"),Настройки!$B$9)),",","."),".",MID(1/2,2,1)),"")</f>
        <v/>
      </c>
      <c r="C2932">
        <f>TRIM(INDEX(INDIRECT("'Выгрузка'!A2932:Z2932"),Настройки!$B$8)&amp;"")</f>
        <v/>
      </c>
      <c r="D2932">
        <f>IFERROR(--SUBSTITUTE(SUBSTITUTE(TRIM(INDEX(INDIRECT("'Выгрузка'!A2932:Z2932"),Настройки!$B$10)),",","."),".",MID(1/2,2,1)),"")</f>
        <v/>
      </c>
      <c r="E2932">
        <f>IFERROR(--SUBSTITUTE(SUBSTITUTE(TRIM(INDEX(INDIRECT("'Выгрузка'!A2932:Z2932"),Настройки!$B$11)),",","."),".",MID(1/2,2,1)),"")</f>
        <v/>
      </c>
      <c r="F2932">
        <f>TRIM(INDEX(INDIRECT("'Выгрузка'!A2932:Z2932"),Настройки!$B$12)&amp;"")</f>
        <v/>
      </c>
      <c r="G2932">
        <f>IF(F2932="",0,IF(TRIM(INDEX(INDIRECT("'Выгрузка'!A2932:Z2932"),Настройки!$B$13)&amp;"")="",1,IFERROR(--SUBSTITUTE(SUBSTITUTE(TRIM(INDEX(INDIRECT("'Выгрузка'!A2932:Z2932"),Настройки!$B$13)),",","."),".",MID(1/2,2,1)),"")))</f>
        <v/>
      </c>
      <c r="H2932">
        <f>IF(F2932="",0,IF(COUNTIF(Настройки!$B$17:$B$26,F2932)&gt;0,1,IF(COUNTIF(Настройки!$C$17:$C$26,F2932)&gt;0,2,IF(COUNTIF(Настройки!$D$17:$D$26,F2932)&gt;0,3,0))))</f>
        <v/>
      </c>
      <c r="I2932">
        <f>IF(AND(ISNUMBER(A2932),ISNUMBER(B2932)),A2932*1000+B2932,"")</f>
        <v/>
      </c>
      <c r="J2932">
        <f>IF(I2932="","",IF(COUNTIF(I$2:I2932,I2932)=1,MAX(J$1:J2931)+1,""))</f>
        <v/>
      </c>
    </row>
    <row r="2933">
      <c r="A2933">
        <f>IFERROR(--SUBSTITUTE(SUBSTITUTE(TRIM(INDEX(INDIRECT("'Выгрузка'!A2933:Z2933"),Настройки!$B$7)),",","."),".",MID(1/2,2,1)),"")</f>
        <v/>
      </c>
      <c r="B2933">
        <f>IFERROR(--SUBSTITUTE(SUBSTITUTE(TRIM(INDEX(INDIRECT("'Выгрузка'!A2933:Z2933"),Настройки!$B$9)),",","."),".",MID(1/2,2,1)),"")</f>
        <v/>
      </c>
      <c r="C2933">
        <f>TRIM(INDEX(INDIRECT("'Выгрузка'!A2933:Z2933"),Настройки!$B$8)&amp;"")</f>
        <v/>
      </c>
      <c r="D2933">
        <f>IFERROR(--SUBSTITUTE(SUBSTITUTE(TRIM(INDEX(INDIRECT("'Выгрузка'!A2933:Z2933"),Настройки!$B$10)),",","."),".",MID(1/2,2,1)),"")</f>
        <v/>
      </c>
      <c r="E2933">
        <f>IFERROR(--SUBSTITUTE(SUBSTITUTE(TRIM(INDEX(INDIRECT("'Выгрузка'!A2933:Z2933"),Настройки!$B$11)),",","."),".",MID(1/2,2,1)),"")</f>
        <v/>
      </c>
      <c r="F2933">
        <f>TRIM(INDEX(INDIRECT("'Выгрузка'!A2933:Z2933"),Настройки!$B$12)&amp;"")</f>
        <v/>
      </c>
      <c r="G2933">
        <f>IF(F2933="",0,IF(TRIM(INDEX(INDIRECT("'Выгрузка'!A2933:Z2933"),Настройки!$B$13)&amp;"")="",1,IFERROR(--SUBSTITUTE(SUBSTITUTE(TRIM(INDEX(INDIRECT("'Выгрузка'!A2933:Z2933"),Настройки!$B$13)),",","."),".",MID(1/2,2,1)),"")))</f>
        <v/>
      </c>
      <c r="H2933">
        <f>IF(F2933="",0,IF(COUNTIF(Настройки!$B$17:$B$26,F2933)&gt;0,1,IF(COUNTIF(Настройки!$C$17:$C$26,F2933)&gt;0,2,IF(COUNTIF(Настройки!$D$17:$D$26,F2933)&gt;0,3,0))))</f>
        <v/>
      </c>
      <c r="I2933">
        <f>IF(AND(ISNUMBER(A2933),ISNUMBER(B2933)),A2933*1000+B2933,"")</f>
        <v/>
      </c>
      <c r="J2933">
        <f>IF(I2933="","",IF(COUNTIF(I$2:I2933,I2933)=1,MAX(J$1:J2932)+1,""))</f>
        <v/>
      </c>
    </row>
    <row r="2934">
      <c r="A2934">
        <f>IFERROR(--SUBSTITUTE(SUBSTITUTE(TRIM(INDEX(INDIRECT("'Выгрузка'!A2934:Z2934"),Настройки!$B$7)),",","."),".",MID(1/2,2,1)),"")</f>
        <v/>
      </c>
      <c r="B2934">
        <f>IFERROR(--SUBSTITUTE(SUBSTITUTE(TRIM(INDEX(INDIRECT("'Выгрузка'!A2934:Z2934"),Настройки!$B$9)),",","."),".",MID(1/2,2,1)),"")</f>
        <v/>
      </c>
      <c r="C2934">
        <f>TRIM(INDEX(INDIRECT("'Выгрузка'!A2934:Z2934"),Настройки!$B$8)&amp;"")</f>
        <v/>
      </c>
      <c r="D2934">
        <f>IFERROR(--SUBSTITUTE(SUBSTITUTE(TRIM(INDEX(INDIRECT("'Выгрузка'!A2934:Z2934"),Настройки!$B$10)),",","."),".",MID(1/2,2,1)),"")</f>
        <v/>
      </c>
      <c r="E2934">
        <f>IFERROR(--SUBSTITUTE(SUBSTITUTE(TRIM(INDEX(INDIRECT("'Выгрузка'!A2934:Z2934"),Настройки!$B$11)),",","."),".",MID(1/2,2,1)),"")</f>
        <v/>
      </c>
      <c r="F2934">
        <f>TRIM(INDEX(INDIRECT("'Выгрузка'!A2934:Z2934"),Настройки!$B$12)&amp;"")</f>
        <v/>
      </c>
      <c r="G2934">
        <f>IF(F2934="",0,IF(TRIM(INDEX(INDIRECT("'Выгрузка'!A2934:Z2934"),Настройки!$B$13)&amp;"")="",1,IFERROR(--SUBSTITUTE(SUBSTITUTE(TRIM(INDEX(INDIRECT("'Выгрузка'!A2934:Z2934"),Настройки!$B$13)),",","."),".",MID(1/2,2,1)),"")))</f>
        <v/>
      </c>
      <c r="H2934">
        <f>IF(F2934="",0,IF(COUNTIF(Настройки!$B$17:$B$26,F2934)&gt;0,1,IF(COUNTIF(Настройки!$C$17:$C$26,F2934)&gt;0,2,IF(COUNTIF(Настройки!$D$17:$D$26,F2934)&gt;0,3,0))))</f>
        <v/>
      </c>
      <c r="I2934">
        <f>IF(AND(ISNUMBER(A2934),ISNUMBER(B2934)),A2934*1000+B2934,"")</f>
        <v/>
      </c>
      <c r="J2934">
        <f>IF(I2934="","",IF(COUNTIF(I$2:I2934,I2934)=1,MAX(J$1:J2933)+1,""))</f>
        <v/>
      </c>
    </row>
    <row r="2935">
      <c r="A2935">
        <f>IFERROR(--SUBSTITUTE(SUBSTITUTE(TRIM(INDEX(INDIRECT("'Выгрузка'!A2935:Z2935"),Настройки!$B$7)),",","."),".",MID(1/2,2,1)),"")</f>
        <v/>
      </c>
      <c r="B2935">
        <f>IFERROR(--SUBSTITUTE(SUBSTITUTE(TRIM(INDEX(INDIRECT("'Выгрузка'!A2935:Z2935"),Настройки!$B$9)),",","."),".",MID(1/2,2,1)),"")</f>
        <v/>
      </c>
      <c r="C2935">
        <f>TRIM(INDEX(INDIRECT("'Выгрузка'!A2935:Z2935"),Настройки!$B$8)&amp;"")</f>
        <v/>
      </c>
      <c r="D2935">
        <f>IFERROR(--SUBSTITUTE(SUBSTITUTE(TRIM(INDEX(INDIRECT("'Выгрузка'!A2935:Z2935"),Настройки!$B$10)),",","."),".",MID(1/2,2,1)),"")</f>
        <v/>
      </c>
      <c r="E2935">
        <f>IFERROR(--SUBSTITUTE(SUBSTITUTE(TRIM(INDEX(INDIRECT("'Выгрузка'!A2935:Z2935"),Настройки!$B$11)),",","."),".",MID(1/2,2,1)),"")</f>
        <v/>
      </c>
      <c r="F2935">
        <f>TRIM(INDEX(INDIRECT("'Выгрузка'!A2935:Z2935"),Настройки!$B$12)&amp;"")</f>
        <v/>
      </c>
      <c r="G2935">
        <f>IF(F2935="",0,IF(TRIM(INDEX(INDIRECT("'Выгрузка'!A2935:Z2935"),Настройки!$B$13)&amp;"")="",1,IFERROR(--SUBSTITUTE(SUBSTITUTE(TRIM(INDEX(INDIRECT("'Выгрузка'!A2935:Z2935"),Настройки!$B$13)),",","."),".",MID(1/2,2,1)),"")))</f>
        <v/>
      </c>
      <c r="H2935">
        <f>IF(F2935="",0,IF(COUNTIF(Настройки!$B$17:$B$26,F2935)&gt;0,1,IF(COUNTIF(Настройки!$C$17:$C$26,F2935)&gt;0,2,IF(COUNTIF(Настройки!$D$17:$D$26,F2935)&gt;0,3,0))))</f>
        <v/>
      </c>
      <c r="I2935">
        <f>IF(AND(ISNUMBER(A2935),ISNUMBER(B2935)),A2935*1000+B2935,"")</f>
        <v/>
      </c>
      <c r="J2935">
        <f>IF(I2935="","",IF(COUNTIF(I$2:I2935,I2935)=1,MAX(J$1:J2934)+1,""))</f>
        <v/>
      </c>
    </row>
    <row r="2936">
      <c r="A2936">
        <f>IFERROR(--SUBSTITUTE(SUBSTITUTE(TRIM(INDEX(INDIRECT("'Выгрузка'!A2936:Z2936"),Настройки!$B$7)),",","."),".",MID(1/2,2,1)),"")</f>
        <v/>
      </c>
      <c r="B2936">
        <f>IFERROR(--SUBSTITUTE(SUBSTITUTE(TRIM(INDEX(INDIRECT("'Выгрузка'!A2936:Z2936"),Настройки!$B$9)),",","."),".",MID(1/2,2,1)),"")</f>
        <v/>
      </c>
      <c r="C2936">
        <f>TRIM(INDEX(INDIRECT("'Выгрузка'!A2936:Z2936"),Настройки!$B$8)&amp;"")</f>
        <v/>
      </c>
      <c r="D2936">
        <f>IFERROR(--SUBSTITUTE(SUBSTITUTE(TRIM(INDEX(INDIRECT("'Выгрузка'!A2936:Z2936"),Настройки!$B$10)),",","."),".",MID(1/2,2,1)),"")</f>
        <v/>
      </c>
      <c r="E2936">
        <f>IFERROR(--SUBSTITUTE(SUBSTITUTE(TRIM(INDEX(INDIRECT("'Выгрузка'!A2936:Z2936"),Настройки!$B$11)),",","."),".",MID(1/2,2,1)),"")</f>
        <v/>
      </c>
      <c r="F2936">
        <f>TRIM(INDEX(INDIRECT("'Выгрузка'!A2936:Z2936"),Настройки!$B$12)&amp;"")</f>
        <v/>
      </c>
      <c r="G2936">
        <f>IF(F2936="",0,IF(TRIM(INDEX(INDIRECT("'Выгрузка'!A2936:Z2936"),Настройки!$B$13)&amp;"")="",1,IFERROR(--SUBSTITUTE(SUBSTITUTE(TRIM(INDEX(INDIRECT("'Выгрузка'!A2936:Z2936"),Настройки!$B$13)),",","."),".",MID(1/2,2,1)),"")))</f>
        <v/>
      </c>
      <c r="H2936">
        <f>IF(F2936="",0,IF(COUNTIF(Настройки!$B$17:$B$26,F2936)&gt;0,1,IF(COUNTIF(Настройки!$C$17:$C$26,F2936)&gt;0,2,IF(COUNTIF(Настройки!$D$17:$D$26,F2936)&gt;0,3,0))))</f>
        <v/>
      </c>
      <c r="I2936">
        <f>IF(AND(ISNUMBER(A2936),ISNUMBER(B2936)),A2936*1000+B2936,"")</f>
        <v/>
      </c>
      <c r="J2936">
        <f>IF(I2936="","",IF(COUNTIF(I$2:I2936,I2936)=1,MAX(J$1:J2935)+1,""))</f>
        <v/>
      </c>
    </row>
    <row r="2937">
      <c r="A2937">
        <f>IFERROR(--SUBSTITUTE(SUBSTITUTE(TRIM(INDEX(INDIRECT("'Выгрузка'!A2937:Z2937"),Настройки!$B$7)),",","."),".",MID(1/2,2,1)),"")</f>
        <v/>
      </c>
      <c r="B2937">
        <f>IFERROR(--SUBSTITUTE(SUBSTITUTE(TRIM(INDEX(INDIRECT("'Выгрузка'!A2937:Z2937"),Настройки!$B$9)),",","."),".",MID(1/2,2,1)),"")</f>
        <v/>
      </c>
      <c r="C2937">
        <f>TRIM(INDEX(INDIRECT("'Выгрузка'!A2937:Z2937"),Настройки!$B$8)&amp;"")</f>
        <v/>
      </c>
      <c r="D2937">
        <f>IFERROR(--SUBSTITUTE(SUBSTITUTE(TRIM(INDEX(INDIRECT("'Выгрузка'!A2937:Z2937"),Настройки!$B$10)),",","."),".",MID(1/2,2,1)),"")</f>
        <v/>
      </c>
      <c r="E2937">
        <f>IFERROR(--SUBSTITUTE(SUBSTITUTE(TRIM(INDEX(INDIRECT("'Выгрузка'!A2937:Z2937"),Настройки!$B$11)),",","."),".",MID(1/2,2,1)),"")</f>
        <v/>
      </c>
      <c r="F2937">
        <f>TRIM(INDEX(INDIRECT("'Выгрузка'!A2937:Z2937"),Настройки!$B$12)&amp;"")</f>
        <v/>
      </c>
      <c r="G2937">
        <f>IF(F2937="",0,IF(TRIM(INDEX(INDIRECT("'Выгрузка'!A2937:Z2937"),Настройки!$B$13)&amp;"")="",1,IFERROR(--SUBSTITUTE(SUBSTITUTE(TRIM(INDEX(INDIRECT("'Выгрузка'!A2937:Z2937"),Настройки!$B$13)),",","."),".",MID(1/2,2,1)),"")))</f>
        <v/>
      </c>
      <c r="H2937">
        <f>IF(F2937="",0,IF(COUNTIF(Настройки!$B$17:$B$26,F2937)&gt;0,1,IF(COUNTIF(Настройки!$C$17:$C$26,F2937)&gt;0,2,IF(COUNTIF(Настройки!$D$17:$D$26,F2937)&gt;0,3,0))))</f>
        <v/>
      </c>
      <c r="I2937">
        <f>IF(AND(ISNUMBER(A2937),ISNUMBER(B2937)),A2937*1000+B2937,"")</f>
        <v/>
      </c>
      <c r="J2937">
        <f>IF(I2937="","",IF(COUNTIF(I$2:I2937,I2937)=1,MAX(J$1:J2936)+1,""))</f>
        <v/>
      </c>
    </row>
    <row r="2938">
      <c r="A2938">
        <f>IFERROR(--SUBSTITUTE(SUBSTITUTE(TRIM(INDEX(INDIRECT("'Выгрузка'!A2938:Z2938"),Настройки!$B$7)),",","."),".",MID(1/2,2,1)),"")</f>
        <v/>
      </c>
      <c r="B2938">
        <f>IFERROR(--SUBSTITUTE(SUBSTITUTE(TRIM(INDEX(INDIRECT("'Выгрузка'!A2938:Z2938"),Настройки!$B$9)),",","."),".",MID(1/2,2,1)),"")</f>
        <v/>
      </c>
      <c r="C2938">
        <f>TRIM(INDEX(INDIRECT("'Выгрузка'!A2938:Z2938"),Настройки!$B$8)&amp;"")</f>
        <v/>
      </c>
      <c r="D2938">
        <f>IFERROR(--SUBSTITUTE(SUBSTITUTE(TRIM(INDEX(INDIRECT("'Выгрузка'!A2938:Z2938"),Настройки!$B$10)),",","."),".",MID(1/2,2,1)),"")</f>
        <v/>
      </c>
      <c r="E2938">
        <f>IFERROR(--SUBSTITUTE(SUBSTITUTE(TRIM(INDEX(INDIRECT("'Выгрузка'!A2938:Z2938"),Настройки!$B$11)),",","."),".",MID(1/2,2,1)),"")</f>
        <v/>
      </c>
      <c r="F2938">
        <f>TRIM(INDEX(INDIRECT("'Выгрузка'!A2938:Z2938"),Настройки!$B$12)&amp;"")</f>
        <v/>
      </c>
      <c r="G2938">
        <f>IF(F2938="",0,IF(TRIM(INDEX(INDIRECT("'Выгрузка'!A2938:Z2938"),Настройки!$B$13)&amp;"")="",1,IFERROR(--SUBSTITUTE(SUBSTITUTE(TRIM(INDEX(INDIRECT("'Выгрузка'!A2938:Z2938"),Настройки!$B$13)),",","."),".",MID(1/2,2,1)),"")))</f>
        <v/>
      </c>
      <c r="H2938">
        <f>IF(F2938="",0,IF(COUNTIF(Настройки!$B$17:$B$26,F2938)&gt;0,1,IF(COUNTIF(Настройки!$C$17:$C$26,F2938)&gt;0,2,IF(COUNTIF(Настройки!$D$17:$D$26,F2938)&gt;0,3,0))))</f>
        <v/>
      </c>
      <c r="I2938">
        <f>IF(AND(ISNUMBER(A2938),ISNUMBER(B2938)),A2938*1000+B2938,"")</f>
        <v/>
      </c>
      <c r="J2938">
        <f>IF(I2938="","",IF(COUNTIF(I$2:I2938,I2938)=1,MAX(J$1:J2937)+1,""))</f>
        <v/>
      </c>
    </row>
    <row r="2939">
      <c r="A2939">
        <f>IFERROR(--SUBSTITUTE(SUBSTITUTE(TRIM(INDEX(INDIRECT("'Выгрузка'!A2939:Z2939"),Настройки!$B$7)),",","."),".",MID(1/2,2,1)),"")</f>
        <v/>
      </c>
      <c r="B2939">
        <f>IFERROR(--SUBSTITUTE(SUBSTITUTE(TRIM(INDEX(INDIRECT("'Выгрузка'!A2939:Z2939"),Настройки!$B$9)),",","."),".",MID(1/2,2,1)),"")</f>
        <v/>
      </c>
      <c r="C2939">
        <f>TRIM(INDEX(INDIRECT("'Выгрузка'!A2939:Z2939"),Настройки!$B$8)&amp;"")</f>
        <v/>
      </c>
      <c r="D2939">
        <f>IFERROR(--SUBSTITUTE(SUBSTITUTE(TRIM(INDEX(INDIRECT("'Выгрузка'!A2939:Z2939"),Настройки!$B$10)),",","."),".",MID(1/2,2,1)),"")</f>
        <v/>
      </c>
      <c r="E2939">
        <f>IFERROR(--SUBSTITUTE(SUBSTITUTE(TRIM(INDEX(INDIRECT("'Выгрузка'!A2939:Z2939"),Настройки!$B$11)),",","."),".",MID(1/2,2,1)),"")</f>
        <v/>
      </c>
      <c r="F2939">
        <f>TRIM(INDEX(INDIRECT("'Выгрузка'!A2939:Z2939"),Настройки!$B$12)&amp;"")</f>
        <v/>
      </c>
      <c r="G2939">
        <f>IF(F2939="",0,IF(TRIM(INDEX(INDIRECT("'Выгрузка'!A2939:Z2939"),Настройки!$B$13)&amp;"")="",1,IFERROR(--SUBSTITUTE(SUBSTITUTE(TRIM(INDEX(INDIRECT("'Выгрузка'!A2939:Z2939"),Настройки!$B$13)),",","."),".",MID(1/2,2,1)),"")))</f>
        <v/>
      </c>
      <c r="H2939">
        <f>IF(F2939="",0,IF(COUNTIF(Настройки!$B$17:$B$26,F2939)&gt;0,1,IF(COUNTIF(Настройки!$C$17:$C$26,F2939)&gt;0,2,IF(COUNTIF(Настройки!$D$17:$D$26,F2939)&gt;0,3,0))))</f>
        <v/>
      </c>
      <c r="I2939">
        <f>IF(AND(ISNUMBER(A2939),ISNUMBER(B2939)),A2939*1000+B2939,"")</f>
        <v/>
      </c>
      <c r="J2939">
        <f>IF(I2939="","",IF(COUNTIF(I$2:I2939,I2939)=1,MAX(J$1:J2938)+1,""))</f>
        <v/>
      </c>
    </row>
    <row r="2940">
      <c r="A2940">
        <f>IFERROR(--SUBSTITUTE(SUBSTITUTE(TRIM(INDEX(INDIRECT("'Выгрузка'!A2940:Z2940"),Настройки!$B$7)),",","."),".",MID(1/2,2,1)),"")</f>
        <v/>
      </c>
      <c r="B2940">
        <f>IFERROR(--SUBSTITUTE(SUBSTITUTE(TRIM(INDEX(INDIRECT("'Выгрузка'!A2940:Z2940"),Настройки!$B$9)),",","."),".",MID(1/2,2,1)),"")</f>
        <v/>
      </c>
      <c r="C2940">
        <f>TRIM(INDEX(INDIRECT("'Выгрузка'!A2940:Z2940"),Настройки!$B$8)&amp;"")</f>
        <v/>
      </c>
      <c r="D2940">
        <f>IFERROR(--SUBSTITUTE(SUBSTITUTE(TRIM(INDEX(INDIRECT("'Выгрузка'!A2940:Z2940"),Настройки!$B$10)),",","."),".",MID(1/2,2,1)),"")</f>
        <v/>
      </c>
      <c r="E2940">
        <f>IFERROR(--SUBSTITUTE(SUBSTITUTE(TRIM(INDEX(INDIRECT("'Выгрузка'!A2940:Z2940"),Настройки!$B$11)),",","."),".",MID(1/2,2,1)),"")</f>
        <v/>
      </c>
      <c r="F2940">
        <f>TRIM(INDEX(INDIRECT("'Выгрузка'!A2940:Z2940"),Настройки!$B$12)&amp;"")</f>
        <v/>
      </c>
      <c r="G2940">
        <f>IF(F2940="",0,IF(TRIM(INDEX(INDIRECT("'Выгрузка'!A2940:Z2940"),Настройки!$B$13)&amp;"")="",1,IFERROR(--SUBSTITUTE(SUBSTITUTE(TRIM(INDEX(INDIRECT("'Выгрузка'!A2940:Z2940"),Настройки!$B$13)),",","."),".",MID(1/2,2,1)),"")))</f>
        <v/>
      </c>
      <c r="H2940">
        <f>IF(F2940="",0,IF(COUNTIF(Настройки!$B$17:$B$26,F2940)&gt;0,1,IF(COUNTIF(Настройки!$C$17:$C$26,F2940)&gt;0,2,IF(COUNTIF(Настройки!$D$17:$D$26,F2940)&gt;0,3,0))))</f>
        <v/>
      </c>
      <c r="I2940">
        <f>IF(AND(ISNUMBER(A2940),ISNUMBER(B2940)),A2940*1000+B2940,"")</f>
        <v/>
      </c>
      <c r="J2940">
        <f>IF(I2940="","",IF(COUNTIF(I$2:I2940,I2940)=1,MAX(J$1:J2939)+1,""))</f>
        <v/>
      </c>
    </row>
    <row r="2941">
      <c r="A2941">
        <f>IFERROR(--SUBSTITUTE(SUBSTITUTE(TRIM(INDEX(INDIRECT("'Выгрузка'!A2941:Z2941"),Настройки!$B$7)),",","."),".",MID(1/2,2,1)),"")</f>
        <v/>
      </c>
      <c r="B2941">
        <f>IFERROR(--SUBSTITUTE(SUBSTITUTE(TRIM(INDEX(INDIRECT("'Выгрузка'!A2941:Z2941"),Настройки!$B$9)),",","."),".",MID(1/2,2,1)),"")</f>
        <v/>
      </c>
      <c r="C2941">
        <f>TRIM(INDEX(INDIRECT("'Выгрузка'!A2941:Z2941"),Настройки!$B$8)&amp;"")</f>
        <v/>
      </c>
      <c r="D2941">
        <f>IFERROR(--SUBSTITUTE(SUBSTITUTE(TRIM(INDEX(INDIRECT("'Выгрузка'!A2941:Z2941"),Настройки!$B$10)),",","."),".",MID(1/2,2,1)),"")</f>
        <v/>
      </c>
      <c r="E2941">
        <f>IFERROR(--SUBSTITUTE(SUBSTITUTE(TRIM(INDEX(INDIRECT("'Выгрузка'!A2941:Z2941"),Настройки!$B$11)),",","."),".",MID(1/2,2,1)),"")</f>
        <v/>
      </c>
      <c r="F2941">
        <f>TRIM(INDEX(INDIRECT("'Выгрузка'!A2941:Z2941"),Настройки!$B$12)&amp;"")</f>
        <v/>
      </c>
      <c r="G2941">
        <f>IF(F2941="",0,IF(TRIM(INDEX(INDIRECT("'Выгрузка'!A2941:Z2941"),Настройки!$B$13)&amp;"")="",1,IFERROR(--SUBSTITUTE(SUBSTITUTE(TRIM(INDEX(INDIRECT("'Выгрузка'!A2941:Z2941"),Настройки!$B$13)),",","."),".",MID(1/2,2,1)),"")))</f>
        <v/>
      </c>
      <c r="H2941">
        <f>IF(F2941="",0,IF(COUNTIF(Настройки!$B$17:$B$26,F2941)&gt;0,1,IF(COUNTIF(Настройки!$C$17:$C$26,F2941)&gt;0,2,IF(COUNTIF(Настройки!$D$17:$D$26,F2941)&gt;0,3,0))))</f>
        <v/>
      </c>
      <c r="I2941">
        <f>IF(AND(ISNUMBER(A2941),ISNUMBER(B2941)),A2941*1000+B2941,"")</f>
        <v/>
      </c>
      <c r="J2941">
        <f>IF(I2941="","",IF(COUNTIF(I$2:I2941,I2941)=1,MAX(J$1:J2940)+1,""))</f>
        <v/>
      </c>
    </row>
    <row r="2942">
      <c r="A2942">
        <f>IFERROR(--SUBSTITUTE(SUBSTITUTE(TRIM(INDEX(INDIRECT("'Выгрузка'!A2942:Z2942"),Настройки!$B$7)),",","."),".",MID(1/2,2,1)),"")</f>
        <v/>
      </c>
      <c r="B2942">
        <f>IFERROR(--SUBSTITUTE(SUBSTITUTE(TRIM(INDEX(INDIRECT("'Выгрузка'!A2942:Z2942"),Настройки!$B$9)),",","."),".",MID(1/2,2,1)),"")</f>
        <v/>
      </c>
      <c r="C2942">
        <f>TRIM(INDEX(INDIRECT("'Выгрузка'!A2942:Z2942"),Настройки!$B$8)&amp;"")</f>
        <v/>
      </c>
      <c r="D2942">
        <f>IFERROR(--SUBSTITUTE(SUBSTITUTE(TRIM(INDEX(INDIRECT("'Выгрузка'!A2942:Z2942"),Настройки!$B$10)),",","."),".",MID(1/2,2,1)),"")</f>
        <v/>
      </c>
      <c r="E2942">
        <f>IFERROR(--SUBSTITUTE(SUBSTITUTE(TRIM(INDEX(INDIRECT("'Выгрузка'!A2942:Z2942"),Настройки!$B$11)),",","."),".",MID(1/2,2,1)),"")</f>
        <v/>
      </c>
      <c r="F2942">
        <f>TRIM(INDEX(INDIRECT("'Выгрузка'!A2942:Z2942"),Настройки!$B$12)&amp;"")</f>
        <v/>
      </c>
      <c r="G2942">
        <f>IF(F2942="",0,IF(TRIM(INDEX(INDIRECT("'Выгрузка'!A2942:Z2942"),Настройки!$B$13)&amp;"")="",1,IFERROR(--SUBSTITUTE(SUBSTITUTE(TRIM(INDEX(INDIRECT("'Выгрузка'!A2942:Z2942"),Настройки!$B$13)),",","."),".",MID(1/2,2,1)),"")))</f>
        <v/>
      </c>
      <c r="H2942">
        <f>IF(F2942="",0,IF(COUNTIF(Настройки!$B$17:$B$26,F2942)&gt;0,1,IF(COUNTIF(Настройки!$C$17:$C$26,F2942)&gt;0,2,IF(COUNTIF(Настройки!$D$17:$D$26,F2942)&gt;0,3,0))))</f>
        <v/>
      </c>
      <c r="I2942">
        <f>IF(AND(ISNUMBER(A2942),ISNUMBER(B2942)),A2942*1000+B2942,"")</f>
        <v/>
      </c>
      <c r="J2942">
        <f>IF(I2942="","",IF(COUNTIF(I$2:I2942,I2942)=1,MAX(J$1:J2941)+1,""))</f>
        <v/>
      </c>
    </row>
    <row r="2943">
      <c r="A2943">
        <f>IFERROR(--SUBSTITUTE(SUBSTITUTE(TRIM(INDEX(INDIRECT("'Выгрузка'!A2943:Z2943"),Настройки!$B$7)),",","."),".",MID(1/2,2,1)),"")</f>
        <v/>
      </c>
      <c r="B2943">
        <f>IFERROR(--SUBSTITUTE(SUBSTITUTE(TRIM(INDEX(INDIRECT("'Выгрузка'!A2943:Z2943"),Настройки!$B$9)),",","."),".",MID(1/2,2,1)),"")</f>
        <v/>
      </c>
      <c r="C2943">
        <f>TRIM(INDEX(INDIRECT("'Выгрузка'!A2943:Z2943"),Настройки!$B$8)&amp;"")</f>
        <v/>
      </c>
      <c r="D2943">
        <f>IFERROR(--SUBSTITUTE(SUBSTITUTE(TRIM(INDEX(INDIRECT("'Выгрузка'!A2943:Z2943"),Настройки!$B$10)),",","."),".",MID(1/2,2,1)),"")</f>
        <v/>
      </c>
      <c r="E2943">
        <f>IFERROR(--SUBSTITUTE(SUBSTITUTE(TRIM(INDEX(INDIRECT("'Выгрузка'!A2943:Z2943"),Настройки!$B$11)),",","."),".",MID(1/2,2,1)),"")</f>
        <v/>
      </c>
      <c r="F2943">
        <f>TRIM(INDEX(INDIRECT("'Выгрузка'!A2943:Z2943"),Настройки!$B$12)&amp;"")</f>
        <v/>
      </c>
      <c r="G2943">
        <f>IF(F2943="",0,IF(TRIM(INDEX(INDIRECT("'Выгрузка'!A2943:Z2943"),Настройки!$B$13)&amp;"")="",1,IFERROR(--SUBSTITUTE(SUBSTITUTE(TRIM(INDEX(INDIRECT("'Выгрузка'!A2943:Z2943"),Настройки!$B$13)),",","."),".",MID(1/2,2,1)),"")))</f>
        <v/>
      </c>
      <c r="H2943">
        <f>IF(F2943="",0,IF(COUNTIF(Настройки!$B$17:$B$26,F2943)&gt;0,1,IF(COUNTIF(Настройки!$C$17:$C$26,F2943)&gt;0,2,IF(COUNTIF(Настройки!$D$17:$D$26,F2943)&gt;0,3,0))))</f>
        <v/>
      </c>
      <c r="I2943">
        <f>IF(AND(ISNUMBER(A2943),ISNUMBER(B2943)),A2943*1000+B2943,"")</f>
        <v/>
      </c>
      <c r="J2943">
        <f>IF(I2943="","",IF(COUNTIF(I$2:I2943,I2943)=1,MAX(J$1:J2942)+1,""))</f>
        <v/>
      </c>
    </row>
    <row r="2944">
      <c r="A2944">
        <f>IFERROR(--SUBSTITUTE(SUBSTITUTE(TRIM(INDEX(INDIRECT("'Выгрузка'!A2944:Z2944"),Настройки!$B$7)),",","."),".",MID(1/2,2,1)),"")</f>
        <v/>
      </c>
      <c r="B2944">
        <f>IFERROR(--SUBSTITUTE(SUBSTITUTE(TRIM(INDEX(INDIRECT("'Выгрузка'!A2944:Z2944"),Настройки!$B$9)),",","."),".",MID(1/2,2,1)),"")</f>
        <v/>
      </c>
      <c r="C2944">
        <f>TRIM(INDEX(INDIRECT("'Выгрузка'!A2944:Z2944"),Настройки!$B$8)&amp;"")</f>
        <v/>
      </c>
      <c r="D2944">
        <f>IFERROR(--SUBSTITUTE(SUBSTITUTE(TRIM(INDEX(INDIRECT("'Выгрузка'!A2944:Z2944"),Настройки!$B$10)),",","."),".",MID(1/2,2,1)),"")</f>
        <v/>
      </c>
      <c r="E2944">
        <f>IFERROR(--SUBSTITUTE(SUBSTITUTE(TRIM(INDEX(INDIRECT("'Выгрузка'!A2944:Z2944"),Настройки!$B$11)),",","."),".",MID(1/2,2,1)),"")</f>
        <v/>
      </c>
      <c r="F2944">
        <f>TRIM(INDEX(INDIRECT("'Выгрузка'!A2944:Z2944"),Настройки!$B$12)&amp;"")</f>
        <v/>
      </c>
      <c r="G2944">
        <f>IF(F2944="",0,IF(TRIM(INDEX(INDIRECT("'Выгрузка'!A2944:Z2944"),Настройки!$B$13)&amp;"")="",1,IFERROR(--SUBSTITUTE(SUBSTITUTE(TRIM(INDEX(INDIRECT("'Выгрузка'!A2944:Z2944"),Настройки!$B$13)),",","."),".",MID(1/2,2,1)),"")))</f>
        <v/>
      </c>
      <c r="H2944">
        <f>IF(F2944="",0,IF(COUNTIF(Настройки!$B$17:$B$26,F2944)&gt;0,1,IF(COUNTIF(Настройки!$C$17:$C$26,F2944)&gt;0,2,IF(COUNTIF(Настройки!$D$17:$D$26,F2944)&gt;0,3,0))))</f>
        <v/>
      </c>
      <c r="I2944">
        <f>IF(AND(ISNUMBER(A2944),ISNUMBER(B2944)),A2944*1000+B2944,"")</f>
        <v/>
      </c>
      <c r="J2944">
        <f>IF(I2944="","",IF(COUNTIF(I$2:I2944,I2944)=1,MAX(J$1:J2943)+1,""))</f>
        <v/>
      </c>
    </row>
    <row r="2945">
      <c r="A2945">
        <f>IFERROR(--SUBSTITUTE(SUBSTITUTE(TRIM(INDEX(INDIRECT("'Выгрузка'!A2945:Z2945"),Настройки!$B$7)),",","."),".",MID(1/2,2,1)),"")</f>
        <v/>
      </c>
      <c r="B2945">
        <f>IFERROR(--SUBSTITUTE(SUBSTITUTE(TRIM(INDEX(INDIRECT("'Выгрузка'!A2945:Z2945"),Настройки!$B$9)),",","."),".",MID(1/2,2,1)),"")</f>
        <v/>
      </c>
      <c r="C2945">
        <f>TRIM(INDEX(INDIRECT("'Выгрузка'!A2945:Z2945"),Настройки!$B$8)&amp;"")</f>
        <v/>
      </c>
      <c r="D2945">
        <f>IFERROR(--SUBSTITUTE(SUBSTITUTE(TRIM(INDEX(INDIRECT("'Выгрузка'!A2945:Z2945"),Настройки!$B$10)),",","."),".",MID(1/2,2,1)),"")</f>
        <v/>
      </c>
      <c r="E2945">
        <f>IFERROR(--SUBSTITUTE(SUBSTITUTE(TRIM(INDEX(INDIRECT("'Выгрузка'!A2945:Z2945"),Настройки!$B$11)),",","."),".",MID(1/2,2,1)),"")</f>
        <v/>
      </c>
      <c r="F2945">
        <f>TRIM(INDEX(INDIRECT("'Выгрузка'!A2945:Z2945"),Настройки!$B$12)&amp;"")</f>
        <v/>
      </c>
      <c r="G2945">
        <f>IF(F2945="",0,IF(TRIM(INDEX(INDIRECT("'Выгрузка'!A2945:Z2945"),Настройки!$B$13)&amp;"")="",1,IFERROR(--SUBSTITUTE(SUBSTITUTE(TRIM(INDEX(INDIRECT("'Выгрузка'!A2945:Z2945"),Настройки!$B$13)),",","."),".",MID(1/2,2,1)),"")))</f>
        <v/>
      </c>
      <c r="H2945">
        <f>IF(F2945="",0,IF(COUNTIF(Настройки!$B$17:$B$26,F2945)&gt;0,1,IF(COUNTIF(Настройки!$C$17:$C$26,F2945)&gt;0,2,IF(COUNTIF(Настройки!$D$17:$D$26,F2945)&gt;0,3,0))))</f>
        <v/>
      </c>
      <c r="I2945">
        <f>IF(AND(ISNUMBER(A2945),ISNUMBER(B2945)),A2945*1000+B2945,"")</f>
        <v/>
      </c>
      <c r="J2945">
        <f>IF(I2945="","",IF(COUNTIF(I$2:I2945,I2945)=1,MAX(J$1:J2944)+1,""))</f>
        <v/>
      </c>
    </row>
    <row r="2946">
      <c r="A2946">
        <f>IFERROR(--SUBSTITUTE(SUBSTITUTE(TRIM(INDEX(INDIRECT("'Выгрузка'!A2946:Z2946"),Настройки!$B$7)),",","."),".",MID(1/2,2,1)),"")</f>
        <v/>
      </c>
      <c r="B2946">
        <f>IFERROR(--SUBSTITUTE(SUBSTITUTE(TRIM(INDEX(INDIRECT("'Выгрузка'!A2946:Z2946"),Настройки!$B$9)),",","."),".",MID(1/2,2,1)),"")</f>
        <v/>
      </c>
      <c r="C2946">
        <f>TRIM(INDEX(INDIRECT("'Выгрузка'!A2946:Z2946"),Настройки!$B$8)&amp;"")</f>
        <v/>
      </c>
      <c r="D2946">
        <f>IFERROR(--SUBSTITUTE(SUBSTITUTE(TRIM(INDEX(INDIRECT("'Выгрузка'!A2946:Z2946"),Настройки!$B$10)),",","."),".",MID(1/2,2,1)),"")</f>
        <v/>
      </c>
      <c r="E2946">
        <f>IFERROR(--SUBSTITUTE(SUBSTITUTE(TRIM(INDEX(INDIRECT("'Выгрузка'!A2946:Z2946"),Настройки!$B$11)),",","."),".",MID(1/2,2,1)),"")</f>
        <v/>
      </c>
      <c r="F2946">
        <f>TRIM(INDEX(INDIRECT("'Выгрузка'!A2946:Z2946"),Настройки!$B$12)&amp;"")</f>
        <v/>
      </c>
      <c r="G2946">
        <f>IF(F2946="",0,IF(TRIM(INDEX(INDIRECT("'Выгрузка'!A2946:Z2946"),Настройки!$B$13)&amp;"")="",1,IFERROR(--SUBSTITUTE(SUBSTITUTE(TRIM(INDEX(INDIRECT("'Выгрузка'!A2946:Z2946"),Настройки!$B$13)),",","."),".",MID(1/2,2,1)),"")))</f>
        <v/>
      </c>
      <c r="H2946">
        <f>IF(F2946="",0,IF(COUNTIF(Настройки!$B$17:$B$26,F2946)&gt;0,1,IF(COUNTIF(Настройки!$C$17:$C$26,F2946)&gt;0,2,IF(COUNTIF(Настройки!$D$17:$D$26,F2946)&gt;0,3,0))))</f>
        <v/>
      </c>
      <c r="I2946">
        <f>IF(AND(ISNUMBER(A2946),ISNUMBER(B2946)),A2946*1000+B2946,"")</f>
        <v/>
      </c>
      <c r="J2946">
        <f>IF(I2946="","",IF(COUNTIF(I$2:I2946,I2946)=1,MAX(J$1:J2945)+1,""))</f>
        <v/>
      </c>
    </row>
    <row r="2947">
      <c r="A2947">
        <f>IFERROR(--SUBSTITUTE(SUBSTITUTE(TRIM(INDEX(INDIRECT("'Выгрузка'!A2947:Z2947"),Настройки!$B$7)),",","."),".",MID(1/2,2,1)),"")</f>
        <v/>
      </c>
      <c r="B2947">
        <f>IFERROR(--SUBSTITUTE(SUBSTITUTE(TRIM(INDEX(INDIRECT("'Выгрузка'!A2947:Z2947"),Настройки!$B$9)),",","."),".",MID(1/2,2,1)),"")</f>
        <v/>
      </c>
      <c r="C2947">
        <f>TRIM(INDEX(INDIRECT("'Выгрузка'!A2947:Z2947"),Настройки!$B$8)&amp;"")</f>
        <v/>
      </c>
      <c r="D2947">
        <f>IFERROR(--SUBSTITUTE(SUBSTITUTE(TRIM(INDEX(INDIRECT("'Выгрузка'!A2947:Z2947"),Настройки!$B$10)),",","."),".",MID(1/2,2,1)),"")</f>
        <v/>
      </c>
      <c r="E2947">
        <f>IFERROR(--SUBSTITUTE(SUBSTITUTE(TRIM(INDEX(INDIRECT("'Выгрузка'!A2947:Z2947"),Настройки!$B$11)),",","."),".",MID(1/2,2,1)),"")</f>
        <v/>
      </c>
      <c r="F2947">
        <f>TRIM(INDEX(INDIRECT("'Выгрузка'!A2947:Z2947"),Настройки!$B$12)&amp;"")</f>
        <v/>
      </c>
      <c r="G2947">
        <f>IF(F2947="",0,IF(TRIM(INDEX(INDIRECT("'Выгрузка'!A2947:Z2947"),Настройки!$B$13)&amp;"")="",1,IFERROR(--SUBSTITUTE(SUBSTITUTE(TRIM(INDEX(INDIRECT("'Выгрузка'!A2947:Z2947"),Настройки!$B$13)),",","."),".",MID(1/2,2,1)),"")))</f>
        <v/>
      </c>
      <c r="H2947">
        <f>IF(F2947="",0,IF(COUNTIF(Настройки!$B$17:$B$26,F2947)&gt;0,1,IF(COUNTIF(Настройки!$C$17:$C$26,F2947)&gt;0,2,IF(COUNTIF(Настройки!$D$17:$D$26,F2947)&gt;0,3,0))))</f>
        <v/>
      </c>
      <c r="I2947">
        <f>IF(AND(ISNUMBER(A2947),ISNUMBER(B2947)),A2947*1000+B2947,"")</f>
        <v/>
      </c>
      <c r="J2947">
        <f>IF(I2947="","",IF(COUNTIF(I$2:I2947,I2947)=1,MAX(J$1:J2946)+1,""))</f>
        <v/>
      </c>
    </row>
    <row r="2948">
      <c r="A2948">
        <f>IFERROR(--SUBSTITUTE(SUBSTITUTE(TRIM(INDEX(INDIRECT("'Выгрузка'!A2948:Z2948"),Настройки!$B$7)),",","."),".",MID(1/2,2,1)),"")</f>
        <v/>
      </c>
      <c r="B2948">
        <f>IFERROR(--SUBSTITUTE(SUBSTITUTE(TRIM(INDEX(INDIRECT("'Выгрузка'!A2948:Z2948"),Настройки!$B$9)),",","."),".",MID(1/2,2,1)),"")</f>
        <v/>
      </c>
      <c r="C2948">
        <f>TRIM(INDEX(INDIRECT("'Выгрузка'!A2948:Z2948"),Настройки!$B$8)&amp;"")</f>
        <v/>
      </c>
      <c r="D2948">
        <f>IFERROR(--SUBSTITUTE(SUBSTITUTE(TRIM(INDEX(INDIRECT("'Выгрузка'!A2948:Z2948"),Настройки!$B$10)),",","."),".",MID(1/2,2,1)),"")</f>
        <v/>
      </c>
      <c r="E2948">
        <f>IFERROR(--SUBSTITUTE(SUBSTITUTE(TRIM(INDEX(INDIRECT("'Выгрузка'!A2948:Z2948"),Настройки!$B$11)),",","."),".",MID(1/2,2,1)),"")</f>
        <v/>
      </c>
      <c r="F2948">
        <f>TRIM(INDEX(INDIRECT("'Выгрузка'!A2948:Z2948"),Настройки!$B$12)&amp;"")</f>
        <v/>
      </c>
      <c r="G2948">
        <f>IF(F2948="",0,IF(TRIM(INDEX(INDIRECT("'Выгрузка'!A2948:Z2948"),Настройки!$B$13)&amp;"")="",1,IFERROR(--SUBSTITUTE(SUBSTITUTE(TRIM(INDEX(INDIRECT("'Выгрузка'!A2948:Z2948"),Настройки!$B$13)),",","."),".",MID(1/2,2,1)),"")))</f>
        <v/>
      </c>
      <c r="H2948">
        <f>IF(F2948="",0,IF(COUNTIF(Настройки!$B$17:$B$26,F2948)&gt;0,1,IF(COUNTIF(Настройки!$C$17:$C$26,F2948)&gt;0,2,IF(COUNTIF(Настройки!$D$17:$D$26,F2948)&gt;0,3,0))))</f>
        <v/>
      </c>
      <c r="I2948">
        <f>IF(AND(ISNUMBER(A2948),ISNUMBER(B2948)),A2948*1000+B2948,"")</f>
        <v/>
      </c>
      <c r="J2948">
        <f>IF(I2948="","",IF(COUNTIF(I$2:I2948,I2948)=1,MAX(J$1:J2947)+1,""))</f>
        <v/>
      </c>
    </row>
    <row r="2949">
      <c r="A2949">
        <f>IFERROR(--SUBSTITUTE(SUBSTITUTE(TRIM(INDEX(INDIRECT("'Выгрузка'!A2949:Z2949"),Настройки!$B$7)),",","."),".",MID(1/2,2,1)),"")</f>
        <v/>
      </c>
      <c r="B2949">
        <f>IFERROR(--SUBSTITUTE(SUBSTITUTE(TRIM(INDEX(INDIRECT("'Выгрузка'!A2949:Z2949"),Настройки!$B$9)),",","."),".",MID(1/2,2,1)),"")</f>
        <v/>
      </c>
      <c r="C2949">
        <f>TRIM(INDEX(INDIRECT("'Выгрузка'!A2949:Z2949"),Настройки!$B$8)&amp;"")</f>
        <v/>
      </c>
      <c r="D2949">
        <f>IFERROR(--SUBSTITUTE(SUBSTITUTE(TRIM(INDEX(INDIRECT("'Выгрузка'!A2949:Z2949"),Настройки!$B$10)),",","."),".",MID(1/2,2,1)),"")</f>
        <v/>
      </c>
      <c r="E2949">
        <f>IFERROR(--SUBSTITUTE(SUBSTITUTE(TRIM(INDEX(INDIRECT("'Выгрузка'!A2949:Z2949"),Настройки!$B$11)),",","."),".",MID(1/2,2,1)),"")</f>
        <v/>
      </c>
      <c r="F2949">
        <f>TRIM(INDEX(INDIRECT("'Выгрузка'!A2949:Z2949"),Настройки!$B$12)&amp;"")</f>
        <v/>
      </c>
      <c r="G2949">
        <f>IF(F2949="",0,IF(TRIM(INDEX(INDIRECT("'Выгрузка'!A2949:Z2949"),Настройки!$B$13)&amp;"")="",1,IFERROR(--SUBSTITUTE(SUBSTITUTE(TRIM(INDEX(INDIRECT("'Выгрузка'!A2949:Z2949"),Настройки!$B$13)),",","."),".",MID(1/2,2,1)),"")))</f>
        <v/>
      </c>
      <c r="H2949">
        <f>IF(F2949="",0,IF(COUNTIF(Настройки!$B$17:$B$26,F2949)&gt;0,1,IF(COUNTIF(Настройки!$C$17:$C$26,F2949)&gt;0,2,IF(COUNTIF(Настройки!$D$17:$D$26,F2949)&gt;0,3,0))))</f>
        <v/>
      </c>
      <c r="I2949">
        <f>IF(AND(ISNUMBER(A2949),ISNUMBER(B2949)),A2949*1000+B2949,"")</f>
        <v/>
      </c>
      <c r="J2949">
        <f>IF(I2949="","",IF(COUNTIF(I$2:I2949,I2949)=1,MAX(J$1:J2948)+1,""))</f>
        <v/>
      </c>
    </row>
    <row r="2950">
      <c r="A2950">
        <f>IFERROR(--SUBSTITUTE(SUBSTITUTE(TRIM(INDEX(INDIRECT("'Выгрузка'!A2950:Z2950"),Настройки!$B$7)),",","."),".",MID(1/2,2,1)),"")</f>
        <v/>
      </c>
      <c r="B2950">
        <f>IFERROR(--SUBSTITUTE(SUBSTITUTE(TRIM(INDEX(INDIRECT("'Выгрузка'!A2950:Z2950"),Настройки!$B$9)),",","."),".",MID(1/2,2,1)),"")</f>
        <v/>
      </c>
      <c r="C2950">
        <f>TRIM(INDEX(INDIRECT("'Выгрузка'!A2950:Z2950"),Настройки!$B$8)&amp;"")</f>
        <v/>
      </c>
      <c r="D2950">
        <f>IFERROR(--SUBSTITUTE(SUBSTITUTE(TRIM(INDEX(INDIRECT("'Выгрузка'!A2950:Z2950"),Настройки!$B$10)),",","."),".",MID(1/2,2,1)),"")</f>
        <v/>
      </c>
      <c r="E2950">
        <f>IFERROR(--SUBSTITUTE(SUBSTITUTE(TRIM(INDEX(INDIRECT("'Выгрузка'!A2950:Z2950"),Настройки!$B$11)),",","."),".",MID(1/2,2,1)),"")</f>
        <v/>
      </c>
      <c r="F2950">
        <f>TRIM(INDEX(INDIRECT("'Выгрузка'!A2950:Z2950"),Настройки!$B$12)&amp;"")</f>
        <v/>
      </c>
      <c r="G2950">
        <f>IF(F2950="",0,IF(TRIM(INDEX(INDIRECT("'Выгрузка'!A2950:Z2950"),Настройки!$B$13)&amp;"")="",1,IFERROR(--SUBSTITUTE(SUBSTITUTE(TRIM(INDEX(INDIRECT("'Выгрузка'!A2950:Z2950"),Настройки!$B$13)),",","."),".",MID(1/2,2,1)),"")))</f>
        <v/>
      </c>
      <c r="H2950">
        <f>IF(F2950="",0,IF(COUNTIF(Настройки!$B$17:$B$26,F2950)&gt;0,1,IF(COUNTIF(Настройки!$C$17:$C$26,F2950)&gt;0,2,IF(COUNTIF(Настройки!$D$17:$D$26,F2950)&gt;0,3,0))))</f>
        <v/>
      </c>
      <c r="I2950">
        <f>IF(AND(ISNUMBER(A2950),ISNUMBER(B2950)),A2950*1000+B2950,"")</f>
        <v/>
      </c>
      <c r="J2950">
        <f>IF(I2950="","",IF(COUNTIF(I$2:I2950,I2950)=1,MAX(J$1:J2949)+1,""))</f>
        <v/>
      </c>
    </row>
    <row r="2951">
      <c r="A2951">
        <f>IFERROR(--SUBSTITUTE(SUBSTITUTE(TRIM(INDEX(INDIRECT("'Выгрузка'!A2951:Z2951"),Настройки!$B$7)),",","."),".",MID(1/2,2,1)),"")</f>
        <v/>
      </c>
      <c r="B2951">
        <f>IFERROR(--SUBSTITUTE(SUBSTITUTE(TRIM(INDEX(INDIRECT("'Выгрузка'!A2951:Z2951"),Настройки!$B$9)),",","."),".",MID(1/2,2,1)),"")</f>
        <v/>
      </c>
      <c r="C2951">
        <f>TRIM(INDEX(INDIRECT("'Выгрузка'!A2951:Z2951"),Настройки!$B$8)&amp;"")</f>
        <v/>
      </c>
      <c r="D2951">
        <f>IFERROR(--SUBSTITUTE(SUBSTITUTE(TRIM(INDEX(INDIRECT("'Выгрузка'!A2951:Z2951"),Настройки!$B$10)),",","."),".",MID(1/2,2,1)),"")</f>
        <v/>
      </c>
      <c r="E2951">
        <f>IFERROR(--SUBSTITUTE(SUBSTITUTE(TRIM(INDEX(INDIRECT("'Выгрузка'!A2951:Z2951"),Настройки!$B$11)),",","."),".",MID(1/2,2,1)),"")</f>
        <v/>
      </c>
      <c r="F2951">
        <f>TRIM(INDEX(INDIRECT("'Выгрузка'!A2951:Z2951"),Настройки!$B$12)&amp;"")</f>
        <v/>
      </c>
      <c r="G2951">
        <f>IF(F2951="",0,IF(TRIM(INDEX(INDIRECT("'Выгрузка'!A2951:Z2951"),Настройки!$B$13)&amp;"")="",1,IFERROR(--SUBSTITUTE(SUBSTITUTE(TRIM(INDEX(INDIRECT("'Выгрузка'!A2951:Z2951"),Настройки!$B$13)),",","."),".",MID(1/2,2,1)),"")))</f>
        <v/>
      </c>
      <c r="H2951">
        <f>IF(F2951="",0,IF(COUNTIF(Настройки!$B$17:$B$26,F2951)&gt;0,1,IF(COUNTIF(Настройки!$C$17:$C$26,F2951)&gt;0,2,IF(COUNTIF(Настройки!$D$17:$D$26,F2951)&gt;0,3,0))))</f>
        <v/>
      </c>
      <c r="I2951">
        <f>IF(AND(ISNUMBER(A2951),ISNUMBER(B2951)),A2951*1000+B2951,"")</f>
        <v/>
      </c>
      <c r="J2951">
        <f>IF(I2951="","",IF(COUNTIF(I$2:I2951,I2951)=1,MAX(J$1:J2950)+1,""))</f>
        <v/>
      </c>
    </row>
    <row r="2952">
      <c r="A2952">
        <f>IFERROR(--SUBSTITUTE(SUBSTITUTE(TRIM(INDEX(INDIRECT("'Выгрузка'!A2952:Z2952"),Настройки!$B$7)),",","."),".",MID(1/2,2,1)),"")</f>
        <v/>
      </c>
      <c r="B2952">
        <f>IFERROR(--SUBSTITUTE(SUBSTITUTE(TRIM(INDEX(INDIRECT("'Выгрузка'!A2952:Z2952"),Настройки!$B$9)),",","."),".",MID(1/2,2,1)),"")</f>
        <v/>
      </c>
      <c r="C2952">
        <f>TRIM(INDEX(INDIRECT("'Выгрузка'!A2952:Z2952"),Настройки!$B$8)&amp;"")</f>
        <v/>
      </c>
      <c r="D2952">
        <f>IFERROR(--SUBSTITUTE(SUBSTITUTE(TRIM(INDEX(INDIRECT("'Выгрузка'!A2952:Z2952"),Настройки!$B$10)),",","."),".",MID(1/2,2,1)),"")</f>
        <v/>
      </c>
      <c r="E2952">
        <f>IFERROR(--SUBSTITUTE(SUBSTITUTE(TRIM(INDEX(INDIRECT("'Выгрузка'!A2952:Z2952"),Настройки!$B$11)),",","."),".",MID(1/2,2,1)),"")</f>
        <v/>
      </c>
      <c r="F2952">
        <f>TRIM(INDEX(INDIRECT("'Выгрузка'!A2952:Z2952"),Настройки!$B$12)&amp;"")</f>
        <v/>
      </c>
      <c r="G2952">
        <f>IF(F2952="",0,IF(TRIM(INDEX(INDIRECT("'Выгрузка'!A2952:Z2952"),Настройки!$B$13)&amp;"")="",1,IFERROR(--SUBSTITUTE(SUBSTITUTE(TRIM(INDEX(INDIRECT("'Выгрузка'!A2952:Z2952"),Настройки!$B$13)),",","."),".",MID(1/2,2,1)),"")))</f>
        <v/>
      </c>
      <c r="H2952">
        <f>IF(F2952="",0,IF(COUNTIF(Настройки!$B$17:$B$26,F2952)&gt;0,1,IF(COUNTIF(Настройки!$C$17:$C$26,F2952)&gt;0,2,IF(COUNTIF(Настройки!$D$17:$D$26,F2952)&gt;0,3,0))))</f>
        <v/>
      </c>
      <c r="I2952">
        <f>IF(AND(ISNUMBER(A2952),ISNUMBER(B2952)),A2952*1000+B2952,"")</f>
        <v/>
      </c>
      <c r="J2952">
        <f>IF(I2952="","",IF(COUNTIF(I$2:I2952,I2952)=1,MAX(J$1:J2951)+1,""))</f>
        <v/>
      </c>
    </row>
    <row r="2953">
      <c r="A2953">
        <f>IFERROR(--SUBSTITUTE(SUBSTITUTE(TRIM(INDEX(INDIRECT("'Выгрузка'!A2953:Z2953"),Настройки!$B$7)),",","."),".",MID(1/2,2,1)),"")</f>
        <v/>
      </c>
      <c r="B2953">
        <f>IFERROR(--SUBSTITUTE(SUBSTITUTE(TRIM(INDEX(INDIRECT("'Выгрузка'!A2953:Z2953"),Настройки!$B$9)),",","."),".",MID(1/2,2,1)),"")</f>
        <v/>
      </c>
      <c r="C2953">
        <f>TRIM(INDEX(INDIRECT("'Выгрузка'!A2953:Z2953"),Настройки!$B$8)&amp;"")</f>
        <v/>
      </c>
      <c r="D2953">
        <f>IFERROR(--SUBSTITUTE(SUBSTITUTE(TRIM(INDEX(INDIRECT("'Выгрузка'!A2953:Z2953"),Настройки!$B$10)),",","."),".",MID(1/2,2,1)),"")</f>
        <v/>
      </c>
      <c r="E2953">
        <f>IFERROR(--SUBSTITUTE(SUBSTITUTE(TRIM(INDEX(INDIRECT("'Выгрузка'!A2953:Z2953"),Настройки!$B$11)),",","."),".",MID(1/2,2,1)),"")</f>
        <v/>
      </c>
      <c r="F2953">
        <f>TRIM(INDEX(INDIRECT("'Выгрузка'!A2953:Z2953"),Настройки!$B$12)&amp;"")</f>
        <v/>
      </c>
      <c r="G2953">
        <f>IF(F2953="",0,IF(TRIM(INDEX(INDIRECT("'Выгрузка'!A2953:Z2953"),Настройки!$B$13)&amp;"")="",1,IFERROR(--SUBSTITUTE(SUBSTITUTE(TRIM(INDEX(INDIRECT("'Выгрузка'!A2953:Z2953"),Настройки!$B$13)),",","."),".",MID(1/2,2,1)),"")))</f>
        <v/>
      </c>
      <c r="H2953">
        <f>IF(F2953="",0,IF(COUNTIF(Настройки!$B$17:$B$26,F2953)&gt;0,1,IF(COUNTIF(Настройки!$C$17:$C$26,F2953)&gt;0,2,IF(COUNTIF(Настройки!$D$17:$D$26,F2953)&gt;0,3,0))))</f>
        <v/>
      </c>
      <c r="I2953">
        <f>IF(AND(ISNUMBER(A2953),ISNUMBER(B2953)),A2953*1000+B2953,"")</f>
        <v/>
      </c>
      <c r="J2953">
        <f>IF(I2953="","",IF(COUNTIF(I$2:I2953,I2953)=1,MAX(J$1:J2952)+1,""))</f>
        <v/>
      </c>
    </row>
    <row r="2954">
      <c r="A2954">
        <f>IFERROR(--SUBSTITUTE(SUBSTITUTE(TRIM(INDEX(INDIRECT("'Выгрузка'!A2954:Z2954"),Настройки!$B$7)),",","."),".",MID(1/2,2,1)),"")</f>
        <v/>
      </c>
      <c r="B2954">
        <f>IFERROR(--SUBSTITUTE(SUBSTITUTE(TRIM(INDEX(INDIRECT("'Выгрузка'!A2954:Z2954"),Настройки!$B$9)),",","."),".",MID(1/2,2,1)),"")</f>
        <v/>
      </c>
      <c r="C2954">
        <f>TRIM(INDEX(INDIRECT("'Выгрузка'!A2954:Z2954"),Настройки!$B$8)&amp;"")</f>
        <v/>
      </c>
      <c r="D2954">
        <f>IFERROR(--SUBSTITUTE(SUBSTITUTE(TRIM(INDEX(INDIRECT("'Выгрузка'!A2954:Z2954"),Настройки!$B$10)),",","."),".",MID(1/2,2,1)),"")</f>
        <v/>
      </c>
      <c r="E2954">
        <f>IFERROR(--SUBSTITUTE(SUBSTITUTE(TRIM(INDEX(INDIRECT("'Выгрузка'!A2954:Z2954"),Настройки!$B$11)),",","."),".",MID(1/2,2,1)),"")</f>
        <v/>
      </c>
      <c r="F2954">
        <f>TRIM(INDEX(INDIRECT("'Выгрузка'!A2954:Z2954"),Настройки!$B$12)&amp;"")</f>
        <v/>
      </c>
      <c r="G2954">
        <f>IF(F2954="",0,IF(TRIM(INDEX(INDIRECT("'Выгрузка'!A2954:Z2954"),Настройки!$B$13)&amp;"")="",1,IFERROR(--SUBSTITUTE(SUBSTITUTE(TRIM(INDEX(INDIRECT("'Выгрузка'!A2954:Z2954"),Настройки!$B$13)),",","."),".",MID(1/2,2,1)),"")))</f>
        <v/>
      </c>
      <c r="H2954">
        <f>IF(F2954="",0,IF(COUNTIF(Настройки!$B$17:$B$26,F2954)&gt;0,1,IF(COUNTIF(Настройки!$C$17:$C$26,F2954)&gt;0,2,IF(COUNTIF(Настройки!$D$17:$D$26,F2954)&gt;0,3,0))))</f>
        <v/>
      </c>
      <c r="I2954">
        <f>IF(AND(ISNUMBER(A2954),ISNUMBER(B2954)),A2954*1000+B2954,"")</f>
        <v/>
      </c>
      <c r="J2954">
        <f>IF(I2954="","",IF(COUNTIF(I$2:I2954,I2954)=1,MAX(J$1:J2953)+1,""))</f>
        <v/>
      </c>
    </row>
    <row r="2955">
      <c r="A2955">
        <f>IFERROR(--SUBSTITUTE(SUBSTITUTE(TRIM(INDEX(INDIRECT("'Выгрузка'!A2955:Z2955"),Настройки!$B$7)),",","."),".",MID(1/2,2,1)),"")</f>
        <v/>
      </c>
      <c r="B2955">
        <f>IFERROR(--SUBSTITUTE(SUBSTITUTE(TRIM(INDEX(INDIRECT("'Выгрузка'!A2955:Z2955"),Настройки!$B$9)),",","."),".",MID(1/2,2,1)),"")</f>
        <v/>
      </c>
      <c r="C2955">
        <f>TRIM(INDEX(INDIRECT("'Выгрузка'!A2955:Z2955"),Настройки!$B$8)&amp;"")</f>
        <v/>
      </c>
      <c r="D2955">
        <f>IFERROR(--SUBSTITUTE(SUBSTITUTE(TRIM(INDEX(INDIRECT("'Выгрузка'!A2955:Z2955"),Настройки!$B$10)),",","."),".",MID(1/2,2,1)),"")</f>
        <v/>
      </c>
      <c r="E2955">
        <f>IFERROR(--SUBSTITUTE(SUBSTITUTE(TRIM(INDEX(INDIRECT("'Выгрузка'!A2955:Z2955"),Настройки!$B$11)),",","."),".",MID(1/2,2,1)),"")</f>
        <v/>
      </c>
      <c r="F2955">
        <f>TRIM(INDEX(INDIRECT("'Выгрузка'!A2955:Z2955"),Настройки!$B$12)&amp;"")</f>
        <v/>
      </c>
      <c r="G2955">
        <f>IF(F2955="",0,IF(TRIM(INDEX(INDIRECT("'Выгрузка'!A2955:Z2955"),Настройки!$B$13)&amp;"")="",1,IFERROR(--SUBSTITUTE(SUBSTITUTE(TRIM(INDEX(INDIRECT("'Выгрузка'!A2955:Z2955"),Настройки!$B$13)),",","."),".",MID(1/2,2,1)),"")))</f>
        <v/>
      </c>
      <c r="H2955">
        <f>IF(F2955="",0,IF(COUNTIF(Настройки!$B$17:$B$26,F2955)&gt;0,1,IF(COUNTIF(Настройки!$C$17:$C$26,F2955)&gt;0,2,IF(COUNTIF(Настройки!$D$17:$D$26,F2955)&gt;0,3,0))))</f>
        <v/>
      </c>
      <c r="I2955">
        <f>IF(AND(ISNUMBER(A2955),ISNUMBER(B2955)),A2955*1000+B2955,"")</f>
        <v/>
      </c>
      <c r="J2955">
        <f>IF(I2955="","",IF(COUNTIF(I$2:I2955,I2955)=1,MAX(J$1:J2954)+1,""))</f>
        <v/>
      </c>
    </row>
    <row r="2956">
      <c r="A2956">
        <f>IFERROR(--SUBSTITUTE(SUBSTITUTE(TRIM(INDEX(INDIRECT("'Выгрузка'!A2956:Z2956"),Настройки!$B$7)),",","."),".",MID(1/2,2,1)),"")</f>
        <v/>
      </c>
      <c r="B2956">
        <f>IFERROR(--SUBSTITUTE(SUBSTITUTE(TRIM(INDEX(INDIRECT("'Выгрузка'!A2956:Z2956"),Настройки!$B$9)),",","."),".",MID(1/2,2,1)),"")</f>
        <v/>
      </c>
      <c r="C2956">
        <f>TRIM(INDEX(INDIRECT("'Выгрузка'!A2956:Z2956"),Настройки!$B$8)&amp;"")</f>
        <v/>
      </c>
      <c r="D2956">
        <f>IFERROR(--SUBSTITUTE(SUBSTITUTE(TRIM(INDEX(INDIRECT("'Выгрузка'!A2956:Z2956"),Настройки!$B$10)),",","."),".",MID(1/2,2,1)),"")</f>
        <v/>
      </c>
      <c r="E2956">
        <f>IFERROR(--SUBSTITUTE(SUBSTITUTE(TRIM(INDEX(INDIRECT("'Выгрузка'!A2956:Z2956"),Настройки!$B$11)),",","."),".",MID(1/2,2,1)),"")</f>
        <v/>
      </c>
      <c r="F2956">
        <f>TRIM(INDEX(INDIRECT("'Выгрузка'!A2956:Z2956"),Настройки!$B$12)&amp;"")</f>
        <v/>
      </c>
      <c r="G2956">
        <f>IF(F2956="",0,IF(TRIM(INDEX(INDIRECT("'Выгрузка'!A2956:Z2956"),Настройки!$B$13)&amp;"")="",1,IFERROR(--SUBSTITUTE(SUBSTITUTE(TRIM(INDEX(INDIRECT("'Выгрузка'!A2956:Z2956"),Настройки!$B$13)),",","."),".",MID(1/2,2,1)),"")))</f>
        <v/>
      </c>
      <c r="H2956">
        <f>IF(F2956="",0,IF(COUNTIF(Настройки!$B$17:$B$26,F2956)&gt;0,1,IF(COUNTIF(Настройки!$C$17:$C$26,F2956)&gt;0,2,IF(COUNTIF(Настройки!$D$17:$D$26,F2956)&gt;0,3,0))))</f>
        <v/>
      </c>
      <c r="I2956">
        <f>IF(AND(ISNUMBER(A2956),ISNUMBER(B2956)),A2956*1000+B2956,"")</f>
        <v/>
      </c>
      <c r="J2956">
        <f>IF(I2956="","",IF(COUNTIF(I$2:I2956,I2956)=1,MAX(J$1:J2955)+1,""))</f>
        <v/>
      </c>
    </row>
    <row r="2957">
      <c r="A2957">
        <f>IFERROR(--SUBSTITUTE(SUBSTITUTE(TRIM(INDEX(INDIRECT("'Выгрузка'!A2957:Z2957"),Настройки!$B$7)),",","."),".",MID(1/2,2,1)),"")</f>
        <v/>
      </c>
      <c r="B2957">
        <f>IFERROR(--SUBSTITUTE(SUBSTITUTE(TRIM(INDEX(INDIRECT("'Выгрузка'!A2957:Z2957"),Настройки!$B$9)),",","."),".",MID(1/2,2,1)),"")</f>
        <v/>
      </c>
      <c r="C2957">
        <f>TRIM(INDEX(INDIRECT("'Выгрузка'!A2957:Z2957"),Настройки!$B$8)&amp;"")</f>
        <v/>
      </c>
      <c r="D2957">
        <f>IFERROR(--SUBSTITUTE(SUBSTITUTE(TRIM(INDEX(INDIRECT("'Выгрузка'!A2957:Z2957"),Настройки!$B$10)),",","."),".",MID(1/2,2,1)),"")</f>
        <v/>
      </c>
      <c r="E2957">
        <f>IFERROR(--SUBSTITUTE(SUBSTITUTE(TRIM(INDEX(INDIRECT("'Выгрузка'!A2957:Z2957"),Настройки!$B$11)),",","."),".",MID(1/2,2,1)),"")</f>
        <v/>
      </c>
      <c r="F2957">
        <f>TRIM(INDEX(INDIRECT("'Выгрузка'!A2957:Z2957"),Настройки!$B$12)&amp;"")</f>
        <v/>
      </c>
      <c r="G2957">
        <f>IF(F2957="",0,IF(TRIM(INDEX(INDIRECT("'Выгрузка'!A2957:Z2957"),Настройки!$B$13)&amp;"")="",1,IFERROR(--SUBSTITUTE(SUBSTITUTE(TRIM(INDEX(INDIRECT("'Выгрузка'!A2957:Z2957"),Настройки!$B$13)),",","."),".",MID(1/2,2,1)),"")))</f>
        <v/>
      </c>
      <c r="H2957">
        <f>IF(F2957="",0,IF(COUNTIF(Настройки!$B$17:$B$26,F2957)&gt;0,1,IF(COUNTIF(Настройки!$C$17:$C$26,F2957)&gt;0,2,IF(COUNTIF(Настройки!$D$17:$D$26,F2957)&gt;0,3,0))))</f>
        <v/>
      </c>
      <c r="I2957">
        <f>IF(AND(ISNUMBER(A2957),ISNUMBER(B2957)),A2957*1000+B2957,"")</f>
        <v/>
      </c>
      <c r="J2957">
        <f>IF(I2957="","",IF(COUNTIF(I$2:I2957,I2957)=1,MAX(J$1:J2956)+1,""))</f>
        <v/>
      </c>
    </row>
    <row r="2958">
      <c r="A2958">
        <f>IFERROR(--SUBSTITUTE(SUBSTITUTE(TRIM(INDEX(INDIRECT("'Выгрузка'!A2958:Z2958"),Настройки!$B$7)),",","."),".",MID(1/2,2,1)),"")</f>
        <v/>
      </c>
      <c r="B2958">
        <f>IFERROR(--SUBSTITUTE(SUBSTITUTE(TRIM(INDEX(INDIRECT("'Выгрузка'!A2958:Z2958"),Настройки!$B$9)),",","."),".",MID(1/2,2,1)),"")</f>
        <v/>
      </c>
      <c r="C2958">
        <f>TRIM(INDEX(INDIRECT("'Выгрузка'!A2958:Z2958"),Настройки!$B$8)&amp;"")</f>
        <v/>
      </c>
      <c r="D2958">
        <f>IFERROR(--SUBSTITUTE(SUBSTITUTE(TRIM(INDEX(INDIRECT("'Выгрузка'!A2958:Z2958"),Настройки!$B$10)),",","."),".",MID(1/2,2,1)),"")</f>
        <v/>
      </c>
      <c r="E2958">
        <f>IFERROR(--SUBSTITUTE(SUBSTITUTE(TRIM(INDEX(INDIRECT("'Выгрузка'!A2958:Z2958"),Настройки!$B$11)),",","."),".",MID(1/2,2,1)),"")</f>
        <v/>
      </c>
      <c r="F2958">
        <f>TRIM(INDEX(INDIRECT("'Выгрузка'!A2958:Z2958"),Настройки!$B$12)&amp;"")</f>
        <v/>
      </c>
      <c r="G2958">
        <f>IF(F2958="",0,IF(TRIM(INDEX(INDIRECT("'Выгрузка'!A2958:Z2958"),Настройки!$B$13)&amp;"")="",1,IFERROR(--SUBSTITUTE(SUBSTITUTE(TRIM(INDEX(INDIRECT("'Выгрузка'!A2958:Z2958"),Настройки!$B$13)),",","."),".",MID(1/2,2,1)),"")))</f>
        <v/>
      </c>
      <c r="H2958">
        <f>IF(F2958="",0,IF(COUNTIF(Настройки!$B$17:$B$26,F2958)&gt;0,1,IF(COUNTIF(Настройки!$C$17:$C$26,F2958)&gt;0,2,IF(COUNTIF(Настройки!$D$17:$D$26,F2958)&gt;0,3,0))))</f>
        <v/>
      </c>
      <c r="I2958">
        <f>IF(AND(ISNUMBER(A2958),ISNUMBER(B2958)),A2958*1000+B2958,"")</f>
        <v/>
      </c>
      <c r="J2958">
        <f>IF(I2958="","",IF(COUNTIF(I$2:I2958,I2958)=1,MAX(J$1:J2957)+1,""))</f>
        <v/>
      </c>
    </row>
    <row r="2959">
      <c r="A2959">
        <f>IFERROR(--SUBSTITUTE(SUBSTITUTE(TRIM(INDEX(INDIRECT("'Выгрузка'!A2959:Z2959"),Настройки!$B$7)),",","."),".",MID(1/2,2,1)),"")</f>
        <v/>
      </c>
      <c r="B2959">
        <f>IFERROR(--SUBSTITUTE(SUBSTITUTE(TRIM(INDEX(INDIRECT("'Выгрузка'!A2959:Z2959"),Настройки!$B$9)),",","."),".",MID(1/2,2,1)),"")</f>
        <v/>
      </c>
      <c r="C2959">
        <f>TRIM(INDEX(INDIRECT("'Выгрузка'!A2959:Z2959"),Настройки!$B$8)&amp;"")</f>
        <v/>
      </c>
      <c r="D2959">
        <f>IFERROR(--SUBSTITUTE(SUBSTITUTE(TRIM(INDEX(INDIRECT("'Выгрузка'!A2959:Z2959"),Настройки!$B$10)),",","."),".",MID(1/2,2,1)),"")</f>
        <v/>
      </c>
      <c r="E2959">
        <f>IFERROR(--SUBSTITUTE(SUBSTITUTE(TRIM(INDEX(INDIRECT("'Выгрузка'!A2959:Z2959"),Настройки!$B$11)),",","."),".",MID(1/2,2,1)),"")</f>
        <v/>
      </c>
      <c r="F2959">
        <f>TRIM(INDEX(INDIRECT("'Выгрузка'!A2959:Z2959"),Настройки!$B$12)&amp;"")</f>
        <v/>
      </c>
      <c r="G2959">
        <f>IF(F2959="",0,IF(TRIM(INDEX(INDIRECT("'Выгрузка'!A2959:Z2959"),Настройки!$B$13)&amp;"")="",1,IFERROR(--SUBSTITUTE(SUBSTITUTE(TRIM(INDEX(INDIRECT("'Выгрузка'!A2959:Z2959"),Настройки!$B$13)),",","."),".",MID(1/2,2,1)),"")))</f>
        <v/>
      </c>
      <c r="H2959">
        <f>IF(F2959="",0,IF(COUNTIF(Настройки!$B$17:$B$26,F2959)&gt;0,1,IF(COUNTIF(Настройки!$C$17:$C$26,F2959)&gt;0,2,IF(COUNTIF(Настройки!$D$17:$D$26,F2959)&gt;0,3,0))))</f>
        <v/>
      </c>
      <c r="I2959">
        <f>IF(AND(ISNUMBER(A2959),ISNUMBER(B2959)),A2959*1000+B2959,"")</f>
        <v/>
      </c>
      <c r="J2959">
        <f>IF(I2959="","",IF(COUNTIF(I$2:I2959,I2959)=1,MAX(J$1:J2958)+1,""))</f>
        <v/>
      </c>
    </row>
    <row r="2960">
      <c r="A2960">
        <f>IFERROR(--SUBSTITUTE(SUBSTITUTE(TRIM(INDEX(INDIRECT("'Выгрузка'!A2960:Z2960"),Настройки!$B$7)),",","."),".",MID(1/2,2,1)),"")</f>
        <v/>
      </c>
      <c r="B2960">
        <f>IFERROR(--SUBSTITUTE(SUBSTITUTE(TRIM(INDEX(INDIRECT("'Выгрузка'!A2960:Z2960"),Настройки!$B$9)),",","."),".",MID(1/2,2,1)),"")</f>
        <v/>
      </c>
      <c r="C2960">
        <f>TRIM(INDEX(INDIRECT("'Выгрузка'!A2960:Z2960"),Настройки!$B$8)&amp;"")</f>
        <v/>
      </c>
      <c r="D2960">
        <f>IFERROR(--SUBSTITUTE(SUBSTITUTE(TRIM(INDEX(INDIRECT("'Выгрузка'!A2960:Z2960"),Настройки!$B$10)),",","."),".",MID(1/2,2,1)),"")</f>
        <v/>
      </c>
      <c r="E2960">
        <f>IFERROR(--SUBSTITUTE(SUBSTITUTE(TRIM(INDEX(INDIRECT("'Выгрузка'!A2960:Z2960"),Настройки!$B$11)),",","."),".",MID(1/2,2,1)),"")</f>
        <v/>
      </c>
      <c r="F2960">
        <f>TRIM(INDEX(INDIRECT("'Выгрузка'!A2960:Z2960"),Настройки!$B$12)&amp;"")</f>
        <v/>
      </c>
      <c r="G2960">
        <f>IF(F2960="",0,IF(TRIM(INDEX(INDIRECT("'Выгрузка'!A2960:Z2960"),Настройки!$B$13)&amp;"")="",1,IFERROR(--SUBSTITUTE(SUBSTITUTE(TRIM(INDEX(INDIRECT("'Выгрузка'!A2960:Z2960"),Настройки!$B$13)),",","."),".",MID(1/2,2,1)),"")))</f>
        <v/>
      </c>
      <c r="H2960">
        <f>IF(F2960="",0,IF(COUNTIF(Настройки!$B$17:$B$26,F2960)&gt;0,1,IF(COUNTIF(Настройки!$C$17:$C$26,F2960)&gt;0,2,IF(COUNTIF(Настройки!$D$17:$D$26,F2960)&gt;0,3,0))))</f>
        <v/>
      </c>
      <c r="I2960">
        <f>IF(AND(ISNUMBER(A2960),ISNUMBER(B2960)),A2960*1000+B2960,"")</f>
        <v/>
      </c>
      <c r="J2960">
        <f>IF(I2960="","",IF(COUNTIF(I$2:I2960,I2960)=1,MAX(J$1:J2959)+1,""))</f>
        <v/>
      </c>
    </row>
    <row r="2961">
      <c r="A2961">
        <f>IFERROR(--SUBSTITUTE(SUBSTITUTE(TRIM(INDEX(INDIRECT("'Выгрузка'!A2961:Z2961"),Настройки!$B$7)),",","."),".",MID(1/2,2,1)),"")</f>
        <v/>
      </c>
      <c r="B2961">
        <f>IFERROR(--SUBSTITUTE(SUBSTITUTE(TRIM(INDEX(INDIRECT("'Выгрузка'!A2961:Z2961"),Настройки!$B$9)),",","."),".",MID(1/2,2,1)),"")</f>
        <v/>
      </c>
      <c r="C2961">
        <f>TRIM(INDEX(INDIRECT("'Выгрузка'!A2961:Z2961"),Настройки!$B$8)&amp;"")</f>
        <v/>
      </c>
      <c r="D2961">
        <f>IFERROR(--SUBSTITUTE(SUBSTITUTE(TRIM(INDEX(INDIRECT("'Выгрузка'!A2961:Z2961"),Настройки!$B$10)),",","."),".",MID(1/2,2,1)),"")</f>
        <v/>
      </c>
      <c r="E2961">
        <f>IFERROR(--SUBSTITUTE(SUBSTITUTE(TRIM(INDEX(INDIRECT("'Выгрузка'!A2961:Z2961"),Настройки!$B$11)),",","."),".",MID(1/2,2,1)),"")</f>
        <v/>
      </c>
      <c r="F2961">
        <f>TRIM(INDEX(INDIRECT("'Выгрузка'!A2961:Z2961"),Настройки!$B$12)&amp;"")</f>
        <v/>
      </c>
      <c r="G2961">
        <f>IF(F2961="",0,IF(TRIM(INDEX(INDIRECT("'Выгрузка'!A2961:Z2961"),Настройки!$B$13)&amp;"")="",1,IFERROR(--SUBSTITUTE(SUBSTITUTE(TRIM(INDEX(INDIRECT("'Выгрузка'!A2961:Z2961"),Настройки!$B$13)),",","."),".",MID(1/2,2,1)),"")))</f>
        <v/>
      </c>
      <c r="H2961">
        <f>IF(F2961="",0,IF(COUNTIF(Настройки!$B$17:$B$26,F2961)&gt;0,1,IF(COUNTIF(Настройки!$C$17:$C$26,F2961)&gt;0,2,IF(COUNTIF(Настройки!$D$17:$D$26,F2961)&gt;0,3,0))))</f>
        <v/>
      </c>
      <c r="I2961">
        <f>IF(AND(ISNUMBER(A2961),ISNUMBER(B2961)),A2961*1000+B2961,"")</f>
        <v/>
      </c>
      <c r="J2961">
        <f>IF(I2961="","",IF(COUNTIF(I$2:I2961,I2961)=1,MAX(J$1:J2960)+1,""))</f>
        <v/>
      </c>
    </row>
    <row r="2962">
      <c r="A2962">
        <f>IFERROR(--SUBSTITUTE(SUBSTITUTE(TRIM(INDEX(INDIRECT("'Выгрузка'!A2962:Z2962"),Настройки!$B$7)),",","."),".",MID(1/2,2,1)),"")</f>
        <v/>
      </c>
      <c r="B2962">
        <f>IFERROR(--SUBSTITUTE(SUBSTITUTE(TRIM(INDEX(INDIRECT("'Выгрузка'!A2962:Z2962"),Настройки!$B$9)),",","."),".",MID(1/2,2,1)),"")</f>
        <v/>
      </c>
      <c r="C2962">
        <f>TRIM(INDEX(INDIRECT("'Выгрузка'!A2962:Z2962"),Настройки!$B$8)&amp;"")</f>
        <v/>
      </c>
      <c r="D2962">
        <f>IFERROR(--SUBSTITUTE(SUBSTITUTE(TRIM(INDEX(INDIRECT("'Выгрузка'!A2962:Z2962"),Настройки!$B$10)),",","."),".",MID(1/2,2,1)),"")</f>
        <v/>
      </c>
      <c r="E2962">
        <f>IFERROR(--SUBSTITUTE(SUBSTITUTE(TRIM(INDEX(INDIRECT("'Выгрузка'!A2962:Z2962"),Настройки!$B$11)),",","."),".",MID(1/2,2,1)),"")</f>
        <v/>
      </c>
      <c r="F2962">
        <f>TRIM(INDEX(INDIRECT("'Выгрузка'!A2962:Z2962"),Настройки!$B$12)&amp;"")</f>
        <v/>
      </c>
      <c r="G2962">
        <f>IF(F2962="",0,IF(TRIM(INDEX(INDIRECT("'Выгрузка'!A2962:Z2962"),Настройки!$B$13)&amp;"")="",1,IFERROR(--SUBSTITUTE(SUBSTITUTE(TRIM(INDEX(INDIRECT("'Выгрузка'!A2962:Z2962"),Настройки!$B$13)),",","."),".",MID(1/2,2,1)),"")))</f>
        <v/>
      </c>
      <c r="H2962">
        <f>IF(F2962="",0,IF(COUNTIF(Настройки!$B$17:$B$26,F2962)&gt;0,1,IF(COUNTIF(Настройки!$C$17:$C$26,F2962)&gt;0,2,IF(COUNTIF(Настройки!$D$17:$D$26,F2962)&gt;0,3,0))))</f>
        <v/>
      </c>
      <c r="I2962">
        <f>IF(AND(ISNUMBER(A2962),ISNUMBER(B2962)),A2962*1000+B2962,"")</f>
        <v/>
      </c>
      <c r="J2962">
        <f>IF(I2962="","",IF(COUNTIF(I$2:I2962,I2962)=1,MAX(J$1:J2961)+1,""))</f>
        <v/>
      </c>
    </row>
    <row r="2963">
      <c r="A2963">
        <f>IFERROR(--SUBSTITUTE(SUBSTITUTE(TRIM(INDEX(INDIRECT("'Выгрузка'!A2963:Z2963"),Настройки!$B$7)),",","."),".",MID(1/2,2,1)),"")</f>
        <v/>
      </c>
      <c r="B2963">
        <f>IFERROR(--SUBSTITUTE(SUBSTITUTE(TRIM(INDEX(INDIRECT("'Выгрузка'!A2963:Z2963"),Настройки!$B$9)),",","."),".",MID(1/2,2,1)),"")</f>
        <v/>
      </c>
      <c r="C2963">
        <f>TRIM(INDEX(INDIRECT("'Выгрузка'!A2963:Z2963"),Настройки!$B$8)&amp;"")</f>
        <v/>
      </c>
      <c r="D2963">
        <f>IFERROR(--SUBSTITUTE(SUBSTITUTE(TRIM(INDEX(INDIRECT("'Выгрузка'!A2963:Z2963"),Настройки!$B$10)),",","."),".",MID(1/2,2,1)),"")</f>
        <v/>
      </c>
      <c r="E2963">
        <f>IFERROR(--SUBSTITUTE(SUBSTITUTE(TRIM(INDEX(INDIRECT("'Выгрузка'!A2963:Z2963"),Настройки!$B$11)),",","."),".",MID(1/2,2,1)),"")</f>
        <v/>
      </c>
      <c r="F2963">
        <f>TRIM(INDEX(INDIRECT("'Выгрузка'!A2963:Z2963"),Настройки!$B$12)&amp;"")</f>
        <v/>
      </c>
      <c r="G2963">
        <f>IF(F2963="",0,IF(TRIM(INDEX(INDIRECT("'Выгрузка'!A2963:Z2963"),Настройки!$B$13)&amp;"")="",1,IFERROR(--SUBSTITUTE(SUBSTITUTE(TRIM(INDEX(INDIRECT("'Выгрузка'!A2963:Z2963"),Настройки!$B$13)),",","."),".",MID(1/2,2,1)),"")))</f>
        <v/>
      </c>
      <c r="H2963">
        <f>IF(F2963="",0,IF(COUNTIF(Настройки!$B$17:$B$26,F2963)&gt;0,1,IF(COUNTIF(Настройки!$C$17:$C$26,F2963)&gt;0,2,IF(COUNTIF(Настройки!$D$17:$D$26,F2963)&gt;0,3,0))))</f>
        <v/>
      </c>
      <c r="I2963">
        <f>IF(AND(ISNUMBER(A2963),ISNUMBER(B2963)),A2963*1000+B2963,"")</f>
        <v/>
      </c>
      <c r="J2963">
        <f>IF(I2963="","",IF(COUNTIF(I$2:I2963,I2963)=1,MAX(J$1:J2962)+1,""))</f>
        <v/>
      </c>
    </row>
    <row r="2964">
      <c r="A2964">
        <f>IFERROR(--SUBSTITUTE(SUBSTITUTE(TRIM(INDEX(INDIRECT("'Выгрузка'!A2964:Z2964"),Настройки!$B$7)),",","."),".",MID(1/2,2,1)),"")</f>
        <v/>
      </c>
      <c r="B2964">
        <f>IFERROR(--SUBSTITUTE(SUBSTITUTE(TRIM(INDEX(INDIRECT("'Выгрузка'!A2964:Z2964"),Настройки!$B$9)),",","."),".",MID(1/2,2,1)),"")</f>
        <v/>
      </c>
      <c r="C2964">
        <f>TRIM(INDEX(INDIRECT("'Выгрузка'!A2964:Z2964"),Настройки!$B$8)&amp;"")</f>
        <v/>
      </c>
      <c r="D2964">
        <f>IFERROR(--SUBSTITUTE(SUBSTITUTE(TRIM(INDEX(INDIRECT("'Выгрузка'!A2964:Z2964"),Настройки!$B$10)),",","."),".",MID(1/2,2,1)),"")</f>
        <v/>
      </c>
      <c r="E2964">
        <f>IFERROR(--SUBSTITUTE(SUBSTITUTE(TRIM(INDEX(INDIRECT("'Выгрузка'!A2964:Z2964"),Настройки!$B$11)),",","."),".",MID(1/2,2,1)),"")</f>
        <v/>
      </c>
      <c r="F2964">
        <f>TRIM(INDEX(INDIRECT("'Выгрузка'!A2964:Z2964"),Настройки!$B$12)&amp;"")</f>
        <v/>
      </c>
      <c r="G2964">
        <f>IF(F2964="",0,IF(TRIM(INDEX(INDIRECT("'Выгрузка'!A2964:Z2964"),Настройки!$B$13)&amp;"")="",1,IFERROR(--SUBSTITUTE(SUBSTITUTE(TRIM(INDEX(INDIRECT("'Выгрузка'!A2964:Z2964"),Настройки!$B$13)),",","."),".",MID(1/2,2,1)),"")))</f>
        <v/>
      </c>
      <c r="H2964">
        <f>IF(F2964="",0,IF(COUNTIF(Настройки!$B$17:$B$26,F2964)&gt;0,1,IF(COUNTIF(Настройки!$C$17:$C$26,F2964)&gt;0,2,IF(COUNTIF(Настройки!$D$17:$D$26,F2964)&gt;0,3,0))))</f>
        <v/>
      </c>
      <c r="I2964">
        <f>IF(AND(ISNUMBER(A2964),ISNUMBER(B2964)),A2964*1000+B2964,"")</f>
        <v/>
      </c>
      <c r="J2964">
        <f>IF(I2964="","",IF(COUNTIF(I$2:I2964,I2964)=1,MAX(J$1:J2963)+1,""))</f>
        <v/>
      </c>
    </row>
    <row r="2965">
      <c r="A2965">
        <f>IFERROR(--SUBSTITUTE(SUBSTITUTE(TRIM(INDEX(INDIRECT("'Выгрузка'!A2965:Z2965"),Настройки!$B$7)),",","."),".",MID(1/2,2,1)),"")</f>
        <v/>
      </c>
      <c r="B2965">
        <f>IFERROR(--SUBSTITUTE(SUBSTITUTE(TRIM(INDEX(INDIRECT("'Выгрузка'!A2965:Z2965"),Настройки!$B$9)),",","."),".",MID(1/2,2,1)),"")</f>
        <v/>
      </c>
      <c r="C2965">
        <f>TRIM(INDEX(INDIRECT("'Выгрузка'!A2965:Z2965"),Настройки!$B$8)&amp;"")</f>
        <v/>
      </c>
      <c r="D2965">
        <f>IFERROR(--SUBSTITUTE(SUBSTITUTE(TRIM(INDEX(INDIRECT("'Выгрузка'!A2965:Z2965"),Настройки!$B$10)),",","."),".",MID(1/2,2,1)),"")</f>
        <v/>
      </c>
      <c r="E2965">
        <f>IFERROR(--SUBSTITUTE(SUBSTITUTE(TRIM(INDEX(INDIRECT("'Выгрузка'!A2965:Z2965"),Настройки!$B$11)),",","."),".",MID(1/2,2,1)),"")</f>
        <v/>
      </c>
      <c r="F2965">
        <f>TRIM(INDEX(INDIRECT("'Выгрузка'!A2965:Z2965"),Настройки!$B$12)&amp;"")</f>
        <v/>
      </c>
      <c r="G2965">
        <f>IF(F2965="",0,IF(TRIM(INDEX(INDIRECT("'Выгрузка'!A2965:Z2965"),Настройки!$B$13)&amp;"")="",1,IFERROR(--SUBSTITUTE(SUBSTITUTE(TRIM(INDEX(INDIRECT("'Выгрузка'!A2965:Z2965"),Настройки!$B$13)),",","."),".",MID(1/2,2,1)),"")))</f>
        <v/>
      </c>
      <c r="H2965">
        <f>IF(F2965="",0,IF(COUNTIF(Настройки!$B$17:$B$26,F2965)&gt;0,1,IF(COUNTIF(Настройки!$C$17:$C$26,F2965)&gt;0,2,IF(COUNTIF(Настройки!$D$17:$D$26,F2965)&gt;0,3,0))))</f>
        <v/>
      </c>
      <c r="I2965">
        <f>IF(AND(ISNUMBER(A2965),ISNUMBER(B2965)),A2965*1000+B2965,"")</f>
        <v/>
      </c>
      <c r="J2965">
        <f>IF(I2965="","",IF(COUNTIF(I$2:I2965,I2965)=1,MAX(J$1:J2964)+1,""))</f>
        <v/>
      </c>
    </row>
    <row r="2966">
      <c r="A2966">
        <f>IFERROR(--SUBSTITUTE(SUBSTITUTE(TRIM(INDEX(INDIRECT("'Выгрузка'!A2966:Z2966"),Настройки!$B$7)),",","."),".",MID(1/2,2,1)),"")</f>
        <v/>
      </c>
      <c r="B2966">
        <f>IFERROR(--SUBSTITUTE(SUBSTITUTE(TRIM(INDEX(INDIRECT("'Выгрузка'!A2966:Z2966"),Настройки!$B$9)),",","."),".",MID(1/2,2,1)),"")</f>
        <v/>
      </c>
      <c r="C2966">
        <f>TRIM(INDEX(INDIRECT("'Выгрузка'!A2966:Z2966"),Настройки!$B$8)&amp;"")</f>
        <v/>
      </c>
      <c r="D2966">
        <f>IFERROR(--SUBSTITUTE(SUBSTITUTE(TRIM(INDEX(INDIRECT("'Выгрузка'!A2966:Z2966"),Настройки!$B$10)),",","."),".",MID(1/2,2,1)),"")</f>
        <v/>
      </c>
      <c r="E2966">
        <f>IFERROR(--SUBSTITUTE(SUBSTITUTE(TRIM(INDEX(INDIRECT("'Выгрузка'!A2966:Z2966"),Настройки!$B$11)),",","."),".",MID(1/2,2,1)),"")</f>
        <v/>
      </c>
      <c r="F2966">
        <f>TRIM(INDEX(INDIRECT("'Выгрузка'!A2966:Z2966"),Настройки!$B$12)&amp;"")</f>
        <v/>
      </c>
      <c r="G2966">
        <f>IF(F2966="",0,IF(TRIM(INDEX(INDIRECT("'Выгрузка'!A2966:Z2966"),Настройки!$B$13)&amp;"")="",1,IFERROR(--SUBSTITUTE(SUBSTITUTE(TRIM(INDEX(INDIRECT("'Выгрузка'!A2966:Z2966"),Настройки!$B$13)),",","."),".",MID(1/2,2,1)),"")))</f>
        <v/>
      </c>
      <c r="H2966">
        <f>IF(F2966="",0,IF(COUNTIF(Настройки!$B$17:$B$26,F2966)&gt;0,1,IF(COUNTIF(Настройки!$C$17:$C$26,F2966)&gt;0,2,IF(COUNTIF(Настройки!$D$17:$D$26,F2966)&gt;0,3,0))))</f>
        <v/>
      </c>
      <c r="I2966">
        <f>IF(AND(ISNUMBER(A2966),ISNUMBER(B2966)),A2966*1000+B2966,"")</f>
        <v/>
      </c>
      <c r="J2966">
        <f>IF(I2966="","",IF(COUNTIF(I$2:I2966,I2966)=1,MAX(J$1:J2965)+1,""))</f>
        <v/>
      </c>
    </row>
    <row r="2967">
      <c r="A2967">
        <f>IFERROR(--SUBSTITUTE(SUBSTITUTE(TRIM(INDEX(INDIRECT("'Выгрузка'!A2967:Z2967"),Настройки!$B$7)),",","."),".",MID(1/2,2,1)),"")</f>
        <v/>
      </c>
      <c r="B2967">
        <f>IFERROR(--SUBSTITUTE(SUBSTITUTE(TRIM(INDEX(INDIRECT("'Выгрузка'!A2967:Z2967"),Настройки!$B$9)),",","."),".",MID(1/2,2,1)),"")</f>
        <v/>
      </c>
      <c r="C2967">
        <f>TRIM(INDEX(INDIRECT("'Выгрузка'!A2967:Z2967"),Настройки!$B$8)&amp;"")</f>
        <v/>
      </c>
      <c r="D2967">
        <f>IFERROR(--SUBSTITUTE(SUBSTITUTE(TRIM(INDEX(INDIRECT("'Выгрузка'!A2967:Z2967"),Настройки!$B$10)),",","."),".",MID(1/2,2,1)),"")</f>
        <v/>
      </c>
      <c r="E2967">
        <f>IFERROR(--SUBSTITUTE(SUBSTITUTE(TRIM(INDEX(INDIRECT("'Выгрузка'!A2967:Z2967"),Настройки!$B$11)),",","."),".",MID(1/2,2,1)),"")</f>
        <v/>
      </c>
      <c r="F2967">
        <f>TRIM(INDEX(INDIRECT("'Выгрузка'!A2967:Z2967"),Настройки!$B$12)&amp;"")</f>
        <v/>
      </c>
      <c r="G2967">
        <f>IF(F2967="",0,IF(TRIM(INDEX(INDIRECT("'Выгрузка'!A2967:Z2967"),Настройки!$B$13)&amp;"")="",1,IFERROR(--SUBSTITUTE(SUBSTITUTE(TRIM(INDEX(INDIRECT("'Выгрузка'!A2967:Z2967"),Настройки!$B$13)),",","."),".",MID(1/2,2,1)),"")))</f>
        <v/>
      </c>
      <c r="H2967">
        <f>IF(F2967="",0,IF(COUNTIF(Настройки!$B$17:$B$26,F2967)&gt;0,1,IF(COUNTIF(Настройки!$C$17:$C$26,F2967)&gt;0,2,IF(COUNTIF(Настройки!$D$17:$D$26,F2967)&gt;0,3,0))))</f>
        <v/>
      </c>
      <c r="I2967">
        <f>IF(AND(ISNUMBER(A2967),ISNUMBER(B2967)),A2967*1000+B2967,"")</f>
        <v/>
      </c>
      <c r="J2967">
        <f>IF(I2967="","",IF(COUNTIF(I$2:I2967,I2967)=1,MAX(J$1:J2966)+1,""))</f>
        <v/>
      </c>
    </row>
    <row r="2968">
      <c r="A2968">
        <f>IFERROR(--SUBSTITUTE(SUBSTITUTE(TRIM(INDEX(INDIRECT("'Выгрузка'!A2968:Z2968"),Настройки!$B$7)),",","."),".",MID(1/2,2,1)),"")</f>
        <v/>
      </c>
      <c r="B2968">
        <f>IFERROR(--SUBSTITUTE(SUBSTITUTE(TRIM(INDEX(INDIRECT("'Выгрузка'!A2968:Z2968"),Настройки!$B$9)),",","."),".",MID(1/2,2,1)),"")</f>
        <v/>
      </c>
      <c r="C2968">
        <f>TRIM(INDEX(INDIRECT("'Выгрузка'!A2968:Z2968"),Настройки!$B$8)&amp;"")</f>
        <v/>
      </c>
      <c r="D2968">
        <f>IFERROR(--SUBSTITUTE(SUBSTITUTE(TRIM(INDEX(INDIRECT("'Выгрузка'!A2968:Z2968"),Настройки!$B$10)),",","."),".",MID(1/2,2,1)),"")</f>
        <v/>
      </c>
      <c r="E2968">
        <f>IFERROR(--SUBSTITUTE(SUBSTITUTE(TRIM(INDEX(INDIRECT("'Выгрузка'!A2968:Z2968"),Настройки!$B$11)),",","."),".",MID(1/2,2,1)),"")</f>
        <v/>
      </c>
      <c r="F2968">
        <f>TRIM(INDEX(INDIRECT("'Выгрузка'!A2968:Z2968"),Настройки!$B$12)&amp;"")</f>
        <v/>
      </c>
      <c r="G2968">
        <f>IF(F2968="",0,IF(TRIM(INDEX(INDIRECT("'Выгрузка'!A2968:Z2968"),Настройки!$B$13)&amp;"")="",1,IFERROR(--SUBSTITUTE(SUBSTITUTE(TRIM(INDEX(INDIRECT("'Выгрузка'!A2968:Z2968"),Настройки!$B$13)),",","."),".",MID(1/2,2,1)),"")))</f>
        <v/>
      </c>
      <c r="H2968">
        <f>IF(F2968="",0,IF(COUNTIF(Настройки!$B$17:$B$26,F2968)&gt;0,1,IF(COUNTIF(Настройки!$C$17:$C$26,F2968)&gt;0,2,IF(COUNTIF(Настройки!$D$17:$D$26,F2968)&gt;0,3,0))))</f>
        <v/>
      </c>
      <c r="I2968">
        <f>IF(AND(ISNUMBER(A2968),ISNUMBER(B2968)),A2968*1000+B2968,"")</f>
        <v/>
      </c>
      <c r="J2968">
        <f>IF(I2968="","",IF(COUNTIF(I$2:I2968,I2968)=1,MAX(J$1:J2967)+1,""))</f>
        <v/>
      </c>
    </row>
    <row r="2969">
      <c r="A2969">
        <f>IFERROR(--SUBSTITUTE(SUBSTITUTE(TRIM(INDEX(INDIRECT("'Выгрузка'!A2969:Z2969"),Настройки!$B$7)),",","."),".",MID(1/2,2,1)),"")</f>
        <v/>
      </c>
      <c r="B2969">
        <f>IFERROR(--SUBSTITUTE(SUBSTITUTE(TRIM(INDEX(INDIRECT("'Выгрузка'!A2969:Z2969"),Настройки!$B$9)),",","."),".",MID(1/2,2,1)),"")</f>
        <v/>
      </c>
      <c r="C2969">
        <f>TRIM(INDEX(INDIRECT("'Выгрузка'!A2969:Z2969"),Настройки!$B$8)&amp;"")</f>
        <v/>
      </c>
      <c r="D2969">
        <f>IFERROR(--SUBSTITUTE(SUBSTITUTE(TRIM(INDEX(INDIRECT("'Выгрузка'!A2969:Z2969"),Настройки!$B$10)),",","."),".",MID(1/2,2,1)),"")</f>
        <v/>
      </c>
      <c r="E2969">
        <f>IFERROR(--SUBSTITUTE(SUBSTITUTE(TRIM(INDEX(INDIRECT("'Выгрузка'!A2969:Z2969"),Настройки!$B$11)),",","."),".",MID(1/2,2,1)),"")</f>
        <v/>
      </c>
      <c r="F2969">
        <f>TRIM(INDEX(INDIRECT("'Выгрузка'!A2969:Z2969"),Настройки!$B$12)&amp;"")</f>
        <v/>
      </c>
      <c r="G2969">
        <f>IF(F2969="",0,IF(TRIM(INDEX(INDIRECT("'Выгрузка'!A2969:Z2969"),Настройки!$B$13)&amp;"")="",1,IFERROR(--SUBSTITUTE(SUBSTITUTE(TRIM(INDEX(INDIRECT("'Выгрузка'!A2969:Z2969"),Настройки!$B$13)),",","."),".",MID(1/2,2,1)),"")))</f>
        <v/>
      </c>
      <c r="H2969">
        <f>IF(F2969="",0,IF(COUNTIF(Настройки!$B$17:$B$26,F2969)&gt;0,1,IF(COUNTIF(Настройки!$C$17:$C$26,F2969)&gt;0,2,IF(COUNTIF(Настройки!$D$17:$D$26,F2969)&gt;0,3,0))))</f>
        <v/>
      </c>
      <c r="I2969">
        <f>IF(AND(ISNUMBER(A2969),ISNUMBER(B2969)),A2969*1000+B2969,"")</f>
        <v/>
      </c>
      <c r="J2969">
        <f>IF(I2969="","",IF(COUNTIF(I$2:I2969,I2969)=1,MAX(J$1:J2968)+1,""))</f>
        <v/>
      </c>
    </row>
    <row r="2970">
      <c r="A2970">
        <f>IFERROR(--SUBSTITUTE(SUBSTITUTE(TRIM(INDEX(INDIRECT("'Выгрузка'!A2970:Z2970"),Настройки!$B$7)),",","."),".",MID(1/2,2,1)),"")</f>
        <v/>
      </c>
      <c r="B2970">
        <f>IFERROR(--SUBSTITUTE(SUBSTITUTE(TRIM(INDEX(INDIRECT("'Выгрузка'!A2970:Z2970"),Настройки!$B$9)),",","."),".",MID(1/2,2,1)),"")</f>
        <v/>
      </c>
      <c r="C2970">
        <f>TRIM(INDEX(INDIRECT("'Выгрузка'!A2970:Z2970"),Настройки!$B$8)&amp;"")</f>
        <v/>
      </c>
      <c r="D2970">
        <f>IFERROR(--SUBSTITUTE(SUBSTITUTE(TRIM(INDEX(INDIRECT("'Выгрузка'!A2970:Z2970"),Настройки!$B$10)),",","."),".",MID(1/2,2,1)),"")</f>
        <v/>
      </c>
      <c r="E2970">
        <f>IFERROR(--SUBSTITUTE(SUBSTITUTE(TRIM(INDEX(INDIRECT("'Выгрузка'!A2970:Z2970"),Настройки!$B$11)),",","."),".",MID(1/2,2,1)),"")</f>
        <v/>
      </c>
      <c r="F2970">
        <f>TRIM(INDEX(INDIRECT("'Выгрузка'!A2970:Z2970"),Настройки!$B$12)&amp;"")</f>
        <v/>
      </c>
      <c r="G2970">
        <f>IF(F2970="",0,IF(TRIM(INDEX(INDIRECT("'Выгрузка'!A2970:Z2970"),Настройки!$B$13)&amp;"")="",1,IFERROR(--SUBSTITUTE(SUBSTITUTE(TRIM(INDEX(INDIRECT("'Выгрузка'!A2970:Z2970"),Настройки!$B$13)),",","."),".",MID(1/2,2,1)),"")))</f>
        <v/>
      </c>
      <c r="H2970">
        <f>IF(F2970="",0,IF(COUNTIF(Настройки!$B$17:$B$26,F2970)&gt;0,1,IF(COUNTIF(Настройки!$C$17:$C$26,F2970)&gt;0,2,IF(COUNTIF(Настройки!$D$17:$D$26,F2970)&gt;0,3,0))))</f>
        <v/>
      </c>
      <c r="I2970">
        <f>IF(AND(ISNUMBER(A2970),ISNUMBER(B2970)),A2970*1000+B2970,"")</f>
        <v/>
      </c>
      <c r="J2970">
        <f>IF(I2970="","",IF(COUNTIF(I$2:I2970,I2970)=1,MAX(J$1:J2969)+1,""))</f>
        <v/>
      </c>
    </row>
    <row r="2971">
      <c r="A2971">
        <f>IFERROR(--SUBSTITUTE(SUBSTITUTE(TRIM(INDEX(INDIRECT("'Выгрузка'!A2971:Z2971"),Настройки!$B$7)),",","."),".",MID(1/2,2,1)),"")</f>
        <v/>
      </c>
      <c r="B2971">
        <f>IFERROR(--SUBSTITUTE(SUBSTITUTE(TRIM(INDEX(INDIRECT("'Выгрузка'!A2971:Z2971"),Настройки!$B$9)),",","."),".",MID(1/2,2,1)),"")</f>
        <v/>
      </c>
      <c r="C2971">
        <f>TRIM(INDEX(INDIRECT("'Выгрузка'!A2971:Z2971"),Настройки!$B$8)&amp;"")</f>
        <v/>
      </c>
      <c r="D2971">
        <f>IFERROR(--SUBSTITUTE(SUBSTITUTE(TRIM(INDEX(INDIRECT("'Выгрузка'!A2971:Z2971"),Настройки!$B$10)),",","."),".",MID(1/2,2,1)),"")</f>
        <v/>
      </c>
      <c r="E2971">
        <f>IFERROR(--SUBSTITUTE(SUBSTITUTE(TRIM(INDEX(INDIRECT("'Выгрузка'!A2971:Z2971"),Настройки!$B$11)),",","."),".",MID(1/2,2,1)),"")</f>
        <v/>
      </c>
      <c r="F2971">
        <f>TRIM(INDEX(INDIRECT("'Выгрузка'!A2971:Z2971"),Настройки!$B$12)&amp;"")</f>
        <v/>
      </c>
      <c r="G2971">
        <f>IF(F2971="",0,IF(TRIM(INDEX(INDIRECT("'Выгрузка'!A2971:Z2971"),Настройки!$B$13)&amp;"")="",1,IFERROR(--SUBSTITUTE(SUBSTITUTE(TRIM(INDEX(INDIRECT("'Выгрузка'!A2971:Z2971"),Настройки!$B$13)),",","."),".",MID(1/2,2,1)),"")))</f>
        <v/>
      </c>
      <c r="H2971">
        <f>IF(F2971="",0,IF(COUNTIF(Настройки!$B$17:$B$26,F2971)&gt;0,1,IF(COUNTIF(Настройки!$C$17:$C$26,F2971)&gt;0,2,IF(COUNTIF(Настройки!$D$17:$D$26,F2971)&gt;0,3,0))))</f>
        <v/>
      </c>
      <c r="I2971">
        <f>IF(AND(ISNUMBER(A2971),ISNUMBER(B2971)),A2971*1000+B2971,"")</f>
        <v/>
      </c>
      <c r="J2971">
        <f>IF(I2971="","",IF(COUNTIF(I$2:I2971,I2971)=1,MAX(J$1:J2970)+1,""))</f>
        <v/>
      </c>
    </row>
    <row r="2972">
      <c r="A2972">
        <f>IFERROR(--SUBSTITUTE(SUBSTITUTE(TRIM(INDEX(INDIRECT("'Выгрузка'!A2972:Z2972"),Настройки!$B$7)),",","."),".",MID(1/2,2,1)),"")</f>
        <v/>
      </c>
      <c r="B2972">
        <f>IFERROR(--SUBSTITUTE(SUBSTITUTE(TRIM(INDEX(INDIRECT("'Выгрузка'!A2972:Z2972"),Настройки!$B$9)),",","."),".",MID(1/2,2,1)),"")</f>
        <v/>
      </c>
      <c r="C2972">
        <f>TRIM(INDEX(INDIRECT("'Выгрузка'!A2972:Z2972"),Настройки!$B$8)&amp;"")</f>
        <v/>
      </c>
      <c r="D2972">
        <f>IFERROR(--SUBSTITUTE(SUBSTITUTE(TRIM(INDEX(INDIRECT("'Выгрузка'!A2972:Z2972"),Настройки!$B$10)),",","."),".",MID(1/2,2,1)),"")</f>
        <v/>
      </c>
      <c r="E2972">
        <f>IFERROR(--SUBSTITUTE(SUBSTITUTE(TRIM(INDEX(INDIRECT("'Выгрузка'!A2972:Z2972"),Настройки!$B$11)),",","."),".",MID(1/2,2,1)),"")</f>
        <v/>
      </c>
      <c r="F2972">
        <f>TRIM(INDEX(INDIRECT("'Выгрузка'!A2972:Z2972"),Настройки!$B$12)&amp;"")</f>
        <v/>
      </c>
      <c r="G2972">
        <f>IF(F2972="",0,IF(TRIM(INDEX(INDIRECT("'Выгрузка'!A2972:Z2972"),Настройки!$B$13)&amp;"")="",1,IFERROR(--SUBSTITUTE(SUBSTITUTE(TRIM(INDEX(INDIRECT("'Выгрузка'!A2972:Z2972"),Настройки!$B$13)),",","."),".",MID(1/2,2,1)),"")))</f>
        <v/>
      </c>
      <c r="H2972">
        <f>IF(F2972="",0,IF(COUNTIF(Настройки!$B$17:$B$26,F2972)&gt;0,1,IF(COUNTIF(Настройки!$C$17:$C$26,F2972)&gt;0,2,IF(COUNTIF(Настройки!$D$17:$D$26,F2972)&gt;0,3,0))))</f>
        <v/>
      </c>
      <c r="I2972">
        <f>IF(AND(ISNUMBER(A2972),ISNUMBER(B2972)),A2972*1000+B2972,"")</f>
        <v/>
      </c>
      <c r="J2972">
        <f>IF(I2972="","",IF(COUNTIF(I$2:I2972,I2972)=1,MAX(J$1:J2971)+1,""))</f>
        <v/>
      </c>
    </row>
    <row r="2973">
      <c r="A2973">
        <f>IFERROR(--SUBSTITUTE(SUBSTITUTE(TRIM(INDEX(INDIRECT("'Выгрузка'!A2973:Z2973"),Настройки!$B$7)),",","."),".",MID(1/2,2,1)),"")</f>
        <v/>
      </c>
      <c r="B2973">
        <f>IFERROR(--SUBSTITUTE(SUBSTITUTE(TRIM(INDEX(INDIRECT("'Выгрузка'!A2973:Z2973"),Настройки!$B$9)),",","."),".",MID(1/2,2,1)),"")</f>
        <v/>
      </c>
      <c r="C2973">
        <f>TRIM(INDEX(INDIRECT("'Выгрузка'!A2973:Z2973"),Настройки!$B$8)&amp;"")</f>
        <v/>
      </c>
      <c r="D2973">
        <f>IFERROR(--SUBSTITUTE(SUBSTITUTE(TRIM(INDEX(INDIRECT("'Выгрузка'!A2973:Z2973"),Настройки!$B$10)),",","."),".",MID(1/2,2,1)),"")</f>
        <v/>
      </c>
      <c r="E2973">
        <f>IFERROR(--SUBSTITUTE(SUBSTITUTE(TRIM(INDEX(INDIRECT("'Выгрузка'!A2973:Z2973"),Настройки!$B$11)),",","."),".",MID(1/2,2,1)),"")</f>
        <v/>
      </c>
      <c r="F2973">
        <f>TRIM(INDEX(INDIRECT("'Выгрузка'!A2973:Z2973"),Настройки!$B$12)&amp;"")</f>
        <v/>
      </c>
      <c r="G2973">
        <f>IF(F2973="",0,IF(TRIM(INDEX(INDIRECT("'Выгрузка'!A2973:Z2973"),Настройки!$B$13)&amp;"")="",1,IFERROR(--SUBSTITUTE(SUBSTITUTE(TRIM(INDEX(INDIRECT("'Выгрузка'!A2973:Z2973"),Настройки!$B$13)),",","."),".",MID(1/2,2,1)),"")))</f>
        <v/>
      </c>
      <c r="H2973">
        <f>IF(F2973="",0,IF(COUNTIF(Настройки!$B$17:$B$26,F2973)&gt;0,1,IF(COUNTIF(Настройки!$C$17:$C$26,F2973)&gt;0,2,IF(COUNTIF(Настройки!$D$17:$D$26,F2973)&gt;0,3,0))))</f>
        <v/>
      </c>
      <c r="I2973">
        <f>IF(AND(ISNUMBER(A2973),ISNUMBER(B2973)),A2973*1000+B2973,"")</f>
        <v/>
      </c>
      <c r="J2973">
        <f>IF(I2973="","",IF(COUNTIF(I$2:I2973,I2973)=1,MAX(J$1:J2972)+1,""))</f>
        <v/>
      </c>
    </row>
    <row r="2974">
      <c r="A2974">
        <f>IFERROR(--SUBSTITUTE(SUBSTITUTE(TRIM(INDEX(INDIRECT("'Выгрузка'!A2974:Z2974"),Настройки!$B$7)),",","."),".",MID(1/2,2,1)),"")</f>
        <v/>
      </c>
      <c r="B2974">
        <f>IFERROR(--SUBSTITUTE(SUBSTITUTE(TRIM(INDEX(INDIRECT("'Выгрузка'!A2974:Z2974"),Настройки!$B$9)),",","."),".",MID(1/2,2,1)),"")</f>
        <v/>
      </c>
      <c r="C2974">
        <f>TRIM(INDEX(INDIRECT("'Выгрузка'!A2974:Z2974"),Настройки!$B$8)&amp;"")</f>
        <v/>
      </c>
      <c r="D2974">
        <f>IFERROR(--SUBSTITUTE(SUBSTITUTE(TRIM(INDEX(INDIRECT("'Выгрузка'!A2974:Z2974"),Настройки!$B$10)),",","."),".",MID(1/2,2,1)),"")</f>
        <v/>
      </c>
      <c r="E2974">
        <f>IFERROR(--SUBSTITUTE(SUBSTITUTE(TRIM(INDEX(INDIRECT("'Выгрузка'!A2974:Z2974"),Настройки!$B$11)),",","."),".",MID(1/2,2,1)),"")</f>
        <v/>
      </c>
      <c r="F2974">
        <f>TRIM(INDEX(INDIRECT("'Выгрузка'!A2974:Z2974"),Настройки!$B$12)&amp;"")</f>
        <v/>
      </c>
      <c r="G2974">
        <f>IF(F2974="",0,IF(TRIM(INDEX(INDIRECT("'Выгрузка'!A2974:Z2974"),Настройки!$B$13)&amp;"")="",1,IFERROR(--SUBSTITUTE(SUBSTITUTE(TRIM(INDEX(INDIRECT("'Выгрузка'!A2974:Z2974"),Настройки!$B$13)),",","."),".",MID(1/2,2,1)),"")))</f>
        <v/>
      </c>
      <c r="H2974">
        <f>IF(F2974="",0,IF(COUNTIF(Настройки!$B$17:$B$26,F2974)&gt;0,1,IF(COUNTIF(Настройки!$C$17:$C$26,F2974)&gt;0,2,IF(COUNTIF(Настройки!$D$17:$D$26,F2974)&gt;0,3,0))))</f>
        <v/>
      </c>
      <c r="I2974">
        <f>IF(AND(ISNUMBER(A2974),ISNUMBER(B2974)),A2974*1000+B2974,"")</f>
        <v/>
      </c>
      <c r="J2974">
        <f>IF(I2974="","",IF(COUNTIF(I$2:I2974,I2974)=1,MAX(J$1:J2973)+1,""))</f>
        <v/>
      </c>
    </row>
    <row r="2975">
      <c r="A2975">
        <f>IFERROR(--SUBSTITUTE(SUBSTITUTE(TRIM(INDEX(INDIRECT("'Выгрузка'!A2975:Z2975"),Настройки!$B$7)),",","."),".",MID(1/2,2,1)),"")</f>
        <v/>
      </c>
      <c r="B2975">
        <f>IFERROR(--SUBSTITUTE(SUBSTITUTE(TRIM(INDEX(INDIRECT("'Выгрузка'!A2975:Z2975"),Настройки!$B$9)),",","."),".",MID(1/2,2,1)),"")</f>
        <v/>
      </c>
      <c r="C2975">
        <f>TRIM(INDEX(INDIRECT("'Выгрузка'!A2975:Z2975"),Настройки!$B$8)&amp;"")</f>
        <v/>
      </c>
      <c r="D2975">
        <f>IFERROR(--SUBSTITUTE(SUBSTITUTE(TRIM(INDEX(INDIRECT("'Выгрузка'!A2975:Z2975"),Настройки!$B$10)),",","."),".",MID(1/2,2,1)),"")</f>
        <v/>
      </c>
      <c r="E2975">
        <f>IFERROR(--SUBSTITUTE(SUBSTITUTE(TRIM(INDEX(INDIRECT("'Выгрузка'!A2975:Z2975"),Настройки!$B$11)),",","."),".",MID(1/2,2,1)),"")</f>
        <v/>
      </c>
      <c r="F2975">
        <f>TRIM(INDEX(INDIRECT("'Выгрузка'!A2975:Z2975"),Настройки!$B$12)&amp;"")</f>
        <v/>
      </c>
      <c r="G2975">
        <f>IF(F2975="",0,IF(TRIM(INDEX(INDIRECT("'Выгрузка'!A2975:Z2975"),Настройки!$B$13)&amp;"")="",1,IFERROR(--SUBSTITUTE(SUBSTITUTE(TRIM(INDEX(INDIRECT("'Выгрузка'!A2975:Z2975"),Настройки!$B$13)),",","."),".",MID(1/2,2,1)),"")))</f>
        <v/>
      </c>
      <c r="H2975">
        <f>IF(F2975="",0,IF(COUNTIF(Настройки!$B$17:$B$26,F2975)&gt;0,1,IF(COUNTIF(Настройки!$C$17:$C$26,F2975)&gt;0,2,IF(COUNTIF(Настройки!$D$17:$D$26,F2975)&gt;0,3,0))))</f>
        <v/>
      </c>
      <c r="I2975">
        <f>IF(AND(ISNUMBER(A2975),ISNUMBER(B2975)),A2975*1000+B2975,"")</f>
        <v/>
      </c>
      <c r="J2975">
        <f>IF(I2975="","",IF(COUNTIF(I$2:I2975,I2975)=1,MAX(J$1:J2974)+1,""))</f>
        <v/>
      </c>
    </row>
    <row r="2976">
      <c r="A2976">
        <f>IFERROR(--SUBSTITUTE(SUBSTITUTE(TRIM(INDEX(INDIRECT("'Выгрузка'!A2976:Z2976"),Настройки!$B$7)),",","."),".",MID(1/2,2,1)),"")</f>
        <v/>
      </c>
      <c r="B2976">
        <f>IFERROR(--SUBSTITUTE(SUBSTITUTE(TRIM(INDEX(INDIRECT("'Выгрузка'!A2976:Z2976"),Настройки!$B$9)),",","."),".",MID(1/2,2,1)),"")</f>
        <v/>
      </c>
      <c r="C2976">
        <f>TRIM(INDEX(INDIRECT("'Выгрузка'!A2976:Z2976"),Настройки!$B$8)&amp;"")</f>
        <v/>
      </c>
      <c r="D2976">
        <f>IFERROR(--SUBSTITUTE(SUBSTITUTE(TRIM(INDEX(INDIRECT("'Выгрузка'!A2976:Z2976"),Настройки!$B$10)),",","."),".",MID(1/2,2,1)),"")</f>
        <v/>
      </c>
      <c r="E2976">
        <f>IFERROR(--SUBSTITUTE(SUBSTITUTE(TRIM(INDEX(INDIRECT("'Выгрузка'!A2976:Z2976"),Настройки!$B$11)),",","."),".",MID(1/2,2,1)),"")</f>
        <v/>
      </c>
      <c r="F2976">
        <f>TRIM(INDEX(INDIRECT("'Выгрузка'!A2976:Z2976"),Настройки!$B$12)&amp;"")</f>
        <v/>
      </c>
      <c r="G2976">
        <f>IF(F2976="",0,IF(TRIM(INDEX(INDIRECT("'Выгрузка'!A2976:Z2976"),Настройки!$B$13)&amp;"")="",1,IFERROR(--SUBSTITUTE(SUBSTITUTE(TRIM(INDEX(INDIRECT("'Выгрузка'!A2976:Z2976"),Настройки!$B$13)),",","."),".",MID(1/2,2,1)),"")))</f>
        <v/>
      </c>
      <c r="H2976">
        <f>IF(F2976="",0,IF(COUNTIF(Настройки!$B$17:$B$26,F2976)&gt;0,1,IF(COUNTIF(Настройки!$C$17:$C$26,F2976)&gt;0,2,IF(COUNTIF(Настройки!$D$17:$D$26,F2976)&gt;0,3,0))))</f>
        <v/>
      </c>
      <c r="I2976">
        <f>IF(AND(ISNUMBER(A2976),ISNUMBER(B2976)),A2976*1000+B2976,"")</f>
        <v/>
      </c>
      <c r="J2976">
        <f>IF(I2976="","",IF(COUNTIF(I$2:I2976,I2976)=1,MAX(J$1:J2975)+1,""))</f>
        <v/>
      </c>
    </row>
    <row r="2977">
      <c r="A2977">
        <f>IFERROR(--SUBSTITUTE(SUBSTITUTE(TRIM(INDEX(INDIRECT("'Выгрузка'!A2977:Z2977"),Настройки!$B$7)),",","."),".",MID(1/2,2,1)),"")</f>
        <v/>
      </c>
      <c r="B2977">
        <f>IFERROR(--SUBSTITUTE(SUBSTITUTE(TRIM(INDEX(INDIRECT("'Выгрузка'!A2977:Z2977"),Настройки!$B$9)),",","."),".",MID(1/2,2,1)),"")</f>
        <v/>
      </c>
      <c r="C2977">
        <f>TRIM(INDEX(INDIRECT("'Выгрузка'!A2977:Z2977"),Настройки!$B$8)&amp;"")</f>
        <v/>
      </c>
      <c r="D2977">
        <f>IFERROR(--SUBSTITUTE(SUBSTITUTE(TRIM(INDEX(INDIRECT("'Выгрузка'!A2977:Z2977"),Настройки!$B$10)),",","."),".",MID(1/2,2,1)),"")</f>
        <v/>
      </c>
      <c r="E2977">
        <f>IFERROR(--SUBSTITUTE(SUBSTITUTE(TRIM(INDEX(INDIRECT("'Выгрузка'!A2977:Z2977"),Настройки!$B$11)),",","."),".",MID(1/2,2,1)),"")</f>
        <v/>
      </c>
      <c r="F2977">
        <f>TRIM(INDEX(INDIRECT("'Выгрузка'!A2977:Z2977"),Настройки!$B$12)&amp;"")</f>
        <v/>
      </c>
      <c r="G2977">
        <f>IF(F2977="",0,IF(TRIM(INDEX(INDIRECT("'Выгрузка'!A2977:Z2977"),Настройки!$B$13)&amp;"")="",1,IFERROR(--SUBSTITUTE(SUBSTITUTE(TRIM(INDEX(INDIRECT("'Выгрузка'!A2977:Z2977"),Настройки!$B$13)),",","."),".",MID(1/2,2,1)),"")))</f>
        <v/>
      </c>
      <c r="H2977">
        <f>IF(F2977="",0,IF(COUNTIF(Настройки!$B$17:$B$26,F2977)&gt;0,1,IF(COUNTIF(Настройки!$C$17:$C$26,F2977)&gt;0,2,IF(COUNTIF(Настройки!$D$17:$D$26,F2977)&gt;0,3,0))))</f>
        <v/>
      </c>
      <c r="I2977">
        <f>IF(AND(ISNUMBER(A2977),ISNUMBER(B2977)),A2977*1000+B2977,"")</f>
        <v/>
      </c>
      <c r="J2977">
        <f>IF(I2977="","",IF(COUNTIF(I$2:I2977,I2977)=1,MAX(J$1:J2976)+1,""))</f>
        <v/>
      </c>
    </row>
    <row r="2978">
      <c r="A2978">
        <f>IFERROR(--SUBSTITUTE(SUBSTITUTE(TRIM(INDEX(INDIRECT("'Выгрузка'!A2978:Z2978"),Настройки!$B$7)),",","."),".",MID(1/2,2,1)),"")</f>
        <v/>
      </c>
      <c r="B2978">
        <f>IFERROR(--SUBSTITUTE(SUBSTITUTE(TRIM(INDEX(INDIRECT("'Выгрузка'!A2978:Z2978"),Настройки!$B$9)),",","."),".",MID(1/2,2,1)),"")</f>
        <v/>
      </c>
      <c r="C2978">
        <f>TRIM(INDEX(INDIRECT("'Выгрузка'!A2978:Z2978"),Настройки!$B$8)&amp;"")</f>
        <v/>
      </c>
      <c r="D2978">
        <f>IFERROR(--SUBSTITUTE(SUBSTITUTE(TRIM(INDEX(INDIRECT("'Выгрузка'!A2978:Z2978"),Настройки!$B$10)),",","."),".",MID(1/2,2,1)),"")</f>
        <v/>
      </c>
      <c r="E2978">
        <f>IFERROR(--SUBSTITUTE(SUBSTITUTE(TRIM(INDEX(INDIRECT("'Выгрузка'!A2978:Z2978"),Настройки!$B$11)),",","."),".",MID(1/2,2,1)),"")</f>
        <v/>
      </c>
      <c r="F2978">
        <f>TRIM(INDEX(INDIRECT("'Выгрузка'!A2978:Z2978"),Настройки!$B$12)&amp;"")</f>
        <v/>
      </c>
      <c r="G2978">
        <f>IF(F2978="",0,IF(TRIM(INDEX(INDIRECT("'Выгрузка'!A2978:Z2978"),Настройки!$B$13)&amp;"")="",1,IFERROR(--SUBSTITUTE(SUBSTITUTE(TRIM(INDEX(INDIRECT("'Выгрузка'!A2978:Z2978"),Настройки!$B$13)),",","."),".",MID(1/2,2,1)),"")))</f>
        <v/>
      </c>
      <c r="H2978">
        <f>IF(F2978="",0,IF(COUNTIF(Настройки!$B$17:$B$26,F2978)&gt;0,1,IF(COUNTIF(Настройки!$C$17:$C$26,F2978)&gt;0,2,IF(COUNTIF(Настройки!$D$17:$D$26,F2978)&gt;0,3,0))))</f>
        <v/>
      </c>
      <c r="I2978">
        <f>IF(AND(ISNUMBER(A2978),ISNUMBER(B2978)),A2978*1000+B2978,"")</f>
        <v/>
      </c>
      <c r="J2978">
        <f>IF(I2978="","",IF(COUNTIF(I$2:I2978,I2978)=1,MAX(J$1:J2977)+1,""))</f>
        <v/>
      </c>
    </row>
    <row r="2979">
      <c r="A2979">
        <f>IFERROR(--SUBSTITUTE(SUBSTITUTE(TRIM(INDEX(INDIRECT("'Выгрузка'!A2979:Z2979"),Настройки!$B$7)),",","."),".",MID(1/2,2,1)),"")</f>
        <v/>
      </c>
      <c r="B2979">
        <f>IFERROR(--SUBSTITUTE(SUBSTITUTE(TRIM(INDEX(INDIRECT("'Выгрузка'!A2979:Z2979"),Настройки!$B$9)),",","."),".",MID(1/2,2,1)),"")</f>
        <v/>
      </c>
      <c r="C2979">
        <f>TRIM(INDEX(INDIRECT("'Выгрузка'!A2979:Z2979"),Настройки!$B$8)&amp;"")</f>
        <v/>
      </c>
      <c r="D2979">
        <f>IFERROR(--SUBSTITUTE(SUBSTITUTE(TRIM(INDEX(INDIRECT("'Выгрузка'!A2979:Z2979"),Настройки!$B$10)),",","."),".",MID(1/2,2,1)),"")</f>
        <v/>
      </c>
      <c r="E2979">
        <f>IFERROR(--SUBSTITUTE(SUBSTITUTE(TRIM(INDEX(INDIRECT("'Выгрузка'!A2979:Z2979"),Настройки!$B$11)),",","."),".",MID(1/2,2,1)),"")</f>
        <v/>
      </c>
      <c r="F2979">
        <f>TRIM(INDEX(INDIRECT("'Выгрузка'!A2979:Z2979"),Настройки!$B$12)&amp;"")</f>
        <v/>
      </c>
      <c r="G2979">
        <f>IF(F2979="",0,IF(TRIM(INDEX(INDIRECT("'Выгрузка'!A2979:Z2979"),Настройки!$B$13)&amp;"")="",1,IFERROR(--SUBSTITUTE(SUBSTITUTE(TRIM(INDEX(INDIRECT("'Выгрузка'!A2979:Z2979"),Настройки!$B$13)),",","."),".",MID(1/2,2,1)),"")))</f>
        <v/>
      </c>
      <c r="H2979">
        <f>IF(F2979="",0,IF(COUNTIF(Настройки!$B$17:$B$26,F2979)&gt;0,1,IF(COUNTIF(Настройки!$C$17:$C$26,F2979)&gt;0,2,IF(COUNTIF(Настройки!$D$17:$D$26,F2979)&gt;0,3,0))))</f>
        <v/>
      </c>
      <c r="I2979">
        <f>IF(AND(ISNUMBER(A2979),ISNUMBER(B2979)),A2979*1000+B2979,"")</f>
        <v/>
      </c>
      <c r="J2979">
        <f>IF(I2979="","",IF(COUNTIF(I$2:I2979,I2979)=1,MAX(J$1:J2978)+1,""))</f>
        <v/>
      </c>
    </row>
    <row r="2980">
      <c r="A2980">
        <f>IFERROR(--SUBSTITUTE(SUBSTITUTE(TRIM(INDEX(INDIRECT("'Выгрузка'!A2980:Z2980"),Настройки!$B$7)),",","."),".",MID(1/2,2,1)),"")</f>
        <v/>
      </c>
      <c r="B2980">
        <f>IFERROR(--SUBSTITUTE(SUBSTITUTE(TRIM(INDEX(INDIRECT("'Выгрузка'!A2980:Z2980"),Настройки!$B$9)),",","."),".",MID(1/2,2,1)),"")</f>
        <v/>
      </c>
      <c r="C2980">
        <f>TRIM(INDEX(INDIRECT("'Выгрузка'!A2980:Z2980"),Настройки!$B$8)&amp;"")</f>
        <v/>
      </c>
      <c r="D2980">
        <f>IFERROR(--SUBSTITUTE(SUBSTITUTE(TRIM(INDEX(INDIRECT("'Выгрузка'!A2980:Z2980"),Настройки!$B$10)),",","."),".",MID(1/2,2,1)),"")</f>
        <v/>
      </c>
      <c r="E2980">
        <f>IFERROR(--SUBSTITUTE(SUBSTITUTE(TRIM(INDEX(INDIRECT("'Выгрузка'!A2980:Z2980"),Настройки!$B$11)),",","."),".",MID(1/2,2,1)),"")</f>
        <v/>
      </c>
      <c r="F2980">
        <f>TRIM(INDEX(INDIRECT("'Выгрузка'!A2980:Z2980"),Настройки!$B$12)&amp;"")</f>
        <v/>
      </c>
      <c r="G2980">
        <f>IF(F2980="",0,IF(TRIM(INDEX(INDIRECT("'Выгрузка'!A2980:Z2980"),Настройки!$B$13)&amp;"")="",1,IFERROR(--SUBSTITUTE(SUBSTITUTE(TRIM(INDEX(INDIRECT("'Выгрузка'!A2980:Z2980"),Настройки!$B$13)),",","."),".",MID(1/2,2,1)),"")))</f>
        <v/>
      </c>
      <c r="H2980">
        <f>IF(F2980="",0,IF(COUNTIF(Настройки!$B$17:$B$26,F2980)&gt;0,1,IF(COUNTIF(Настройки!$C$17:$C$26,F2980)&gt;0,2,IF(COUNTIF(Настройки!$D$17:$D$26,F2980)&gt;0,3,0))))</f>
        <v/>
      </c>
      <c r="I2980">
        <f>IF(AND(ISNUMBER(A2980),ISNUMBER(B2980)),A2980*1000+B2980,"")</f>
        <v/>
      </c>
      <c r="J2980">
        <f>IF(I2980="","",IF(COUNTIF(I$2:I2980,I2980)=1,MAX(J$1:J2979)+1,""))</f>
        <v/>
      </c>
    </row>
    <row r="2981">
      <c r="A2981">
        <f>IFERROR(--SUBSTITUTE(SUBSTITUTE(TRIM(INDEX(INDIRECT("'Выгрузка'!A2981:Z2981"),Настройки!$B$7)),",","."),".",MID(1/2,2,1)),"")</f>
        <v/>
      </c>
      <c r="B2981">
        <f>IFERROR(--SUBSTITUTE(SUBSTITUTE(TRIM(INDEX(INDIRECT("'Выгрузка'!A2981:Z2981"),Настройки!$B$9)),",","."),".",MID(1/2,2,1)),"")</f>
        <v/>
      </c>
      <c r="C2981">
        <f>TRIM(INDEX(INDIRECT("'Выгрузка'!A2981:Z2981"),Настройки!$B$8)&amp;"")</f>
        <v/>
      </c>
      <c r="D2981">
        <f>IFERROR(--SUBSTITUTE(SUBSTITUTE(TRIM(INDEX(INDIRECT("'Выгрузка'!A2981:Z2981"),Настройки!$B$10)),",","."),".",MID(1/2,2,1)),"")</f>
        <v/>
      </c>
      <c r="E2981">
        <f>IFERROR(--SUBSTITUTE(SUBSTITUTE(TRIM(INDEX(INDIRECT("'Выгрузка'!A2981:Z2981"),Настройки!$B$11)),",","."),".",MID(1/2,2,1)),"")</f>
        <v/>
      </c>
      <c r="F2981">
        <f>TRIM(INDEX(INDIRECT("'Выгрузка'!A2981:Z2981"),Настройки!$B$12)&amp;"")</f>
        <v/>
      </c>
      <c r="G2981">
        <f>IF(F2981="",0,IF(TRIM(INDEX(INDIRECT("'Выгрузка'!A2981:Z2981"),Настройки!$B$13)&amp;"")="",1,IFERROR(--SUBSTITUTE(SUBSTITUTE(TRIM(INDEX(INDIRECT("'Выгрузка'!A2981:Z2981"),Настройки!$B$13)),",","."),".",MID(1/2,2,1)),"")))</f>
        <v/>
      </c>
      <c r="H2981">
        <f>IF(F2981="",0,IF(COUNTIF(Настройки!$B$17:$B$26,F2981)&gt;0,1,IF(COUNTIF(Настройки!$C$17:$C$26,F2981)&gt;0,2,IF(COUNTIF(Настройки!$D$17:$D$26,F2981)&gt;0,3,0))))</f>
        <v/>
      </c>
      <c r="I2981">
        <f>IF(AND(ISNUMBER(A2981),ISNUMBER(B2981)),A2981*1000+B2981,"")</f>
        <v/>
      </c>
      <c r="J2981">
        <f>IF(I2981="","",IF(COUNTIF(I$2:I2981,I2981)=1,MAX(J$1:J2980)+1,""))</f>
        <v/>
      </c>
    </row>
    <row r="2982">
      <c r="A2982">
        <f>IFERROR(--SUBSTITUTE(SUBSTITUTE(TRIM(INDEX(INDIRECT("'Выгрузка'!A2982:Z2982"),Настройки!$B$7)),",","."),".",MID(1/2,2,1)),"")</f>
        <v/>
      </c>
      <c r="B2982">
        <f>IFERROR(--SUBSTITUTE(SUBSTITUTE(TRIM(INDEX(INDIRECT("'Выгрузка'!A2982:Z2982"),Настройки!$B$9)),",","."),".",MID(1/2,2,1)),"")</f>
        <v/>
      </c>
      <c r="C2982">
        <f>TRIM(INDEX(INDIRECT("'Выгрузка'!A2982:Z2982"),Настройки!$B$8)&amp;"")</f>
        <v/>
      </c>
      <c r="D2982">
        <f>IFERROR(--SUBSTITUTE(SUBSTITUTE(TRIM(INDEX(INDIRECT("'Выгрузка'!A2982:Z2982"),Настройки!$B$10)),",","."),".",MID(1/2,2,1)),"")</f>
        <v/>
      </c>
      <c r="E2982">
        <f>IFERROR(--SUBSTITUTE(SUBSTITUTE(TRIM(INDEX(INDIRECT("'Выгрузка'!A2982:Z2982"),Настройки!$B$11)),",","."),".",MID(1/2,2,1)),"")</f>
        <v/>
      </c>
      <c r="F2982">
        <f>TRIM(INDEX(INDIRECT("'Выгрузка'!A2982:Z2982"),Настройки!$B$12)&amp;"")</f>
        <v/>
      </c>
      <c r="G2982">
        <f>IF(F2982="",0,IF(TRIM(INDEX(INDIRECT("'Выгрузка'!A2982:Z2982"),Настройки!$B$13)&amp;"")="",1,IFERROR(--SUBSTITUTE(SUBSTITUTE(TRIM(INDEX(INDIRECT("'Выгрузка'!A2982:Z2982"),Настройки!$B$13)),",","."),".",MID(1/2,2,1)),"")))</f>
        <v/>
      </c>
      <c r="H2982">
        <f>IF(F2982="",0,IF(COUNTIF(Настройки!$B$17:$B$26,F2982)&gt;0,1,IF(COUNTIF(Настройки!$C$17:$C$26,F2982)&gt;0,2,IF(COUNTIF(Настройки!$D$17:$D$26,F2982)&gt;0,3,0))))</f>
        <v/>
      </c>
      <c r="I2982">
        <f>IF(AND(ISNUMBER(A2982),ISNUMBER(B2982)),A2982*1000+B2982,"")</f>
        <v/>
      </c>
      <c r="J2982">
        <f>IF(I2982="","",IF(COUNTIF(I$2:I2982,I2982)=1,MAX(J$1:J2981)+1,""))</f>
        <v/>
      </c>
    </row>
    <row r="2983">
      <c r="A2983">
        <f>IFERROR(--SUBSTITUTE(SUBSTITUTE(TRIM(INDEX(INDIRECT("'Выгрузка'!A2983:Z2983"),Настройки!$B$7)),",","."),".",MID(1/2,2,1)),"")</f>
        <v/>
      </c>
      <c r="B2983">
        <f>IFERROR(--SUBSTITUTE(SUBSTITUTE(TRIM(INDEX(INDIRECT("'Выгрузка'!A2983:Z2983"),Настройки!$B$9)),",","."),".",MID(1/2,2,1)),"")</f>
        <v/>
      </c>
      <c r="C2983">
        <f>TRIM(INDEX(INDIRECT("'Выгрузка'!A2983:Z2983"),Настройки!$B$8)&amp;"")</f>
        <v/>
      </c>
      <c r="D2983">
        <f>IFERROR(--SUBSTITUTE(SUBSTITUTE(TRIM(INDEX(INDIRECT("'Выгрузка'!A2983:Z2983"),Настройки!$B$10)),",","."),".",MID(1/2,2,1)),"")</f>
        <v/>
      </c>
      <c r="E2983">
        <f>IFERROR(--SUBSTITUTE(SUBSTITUTE(TRIM(INDEX(INDIRECT("'Выгрузка'!A2983:Z2983"),Настройки!$B$11)),",","."),".",MID(1/2,2,1)),"")</f>
        <v/>
      </c>
      <c r="F2983">
        <f>TRIM(INDEX(INDIRECT("'Выгрузка'!A2983:Z2983"),Настройки!$B$12)&amp;"")</f>
        <v/>
      </c>
      <c r="G2983">
        <f>IF(F2983="",0,IF(TRIM(INDEX(INDIRECT("'Выгрузка'!A2983:Z2983"),Настройки!$B$13)&amp;"")="",1,IFERROR(--SUBSTITUTE(SUBSTITUTE(TRIM(INDEX(INDIRECT("'Выгрузка'!A2983:Z2983"),Настройки!$B$13)),",","."),".",MID(1/2,2,1)),"")))</f>
        <v/>
      </c>
      <c r="H2983">
        <f>IF(F2983="",0,IF(COUNTIF(Настройки!$B$17:$B$26,F2983)&gt;0,1,IF(COUNTIF(Настройки!$C$17:$C$26,F2983)&gt;0,2,IF(COUNTIF(Настройки!$D$17:$D$26,F2983)&gt;0,3,0))))</f>
        <v/>
      </c>
      <c r="I2983">
        <f>IF(AND(ISNUMBER(A2983),ISNUMBER(B2983)),A2983*1000+B2983,"")</f>
        <v/>
      </c>
      <c r="J2983">
        <f>IF(I2983="","",IF(COUNTIF(I$2:I2983,I2983)=1,MAX(J$1:J2982)+1,""))</f>
        <v/>
      </c>
    </row>
    <row r="2984">
      <c r="A2984">
        <f>IFERROR(--SUBSTITUTE(SUBSTITUTE(TRIM(INDEX(INDIRECT("'Выгрузка'!A2984:Z2984"),Настройки!$B$7)),",","."),".",MID(1/2,2,1)),"")</f>
        <v/>
      </c>
      <c r="B2984">
        <f>IFERROR(--SUBSTITUTE(SUBSTITUTE(TRIM(INDEX(INDIRECT("'Выгрузка'!A2984:Z2984"),Настройки!$B$9)),",","."),".",MID(1/2,2,1)),"")</f>
        <v/>
      </c>
      <c r="C2984">
        <f>TRIM(INDEX(INDIRECT("'Выгрузка'!A2984:Z2984"),Настройки!$B$8)&amp;"")</f>
        <v/>
      </c>
      <c r="D2984">
        <f>IFERROR(--SUBSTITUTE(SUBSTITUTE(TRIM(INDEX(INDIRECT("'Выгрузка'!A2984:Z2984"),Настройки!$B$10)),",","."),".",MID(1/2,2,1)),"")</f>
        <v/>
      </c>
      <c r="E2984">
        <f>IFERROR(--SUBSTITUTE(SUBSTITUTE(TRIM(INDEX(INDIRECT("'Выгрузка'!A2984:Z2984"),Настройки!$B$11)),",","."),".",MID(1/2,2,1)),"")</f>
        <v/>
      </c>
      <c r="F2984">
        <f>TRIM(INDEX(INDIRECT("'Выгрузка'!A2984:Z2984"),Настройки!$B$12)&amp;"")</f>
        <v/>
      </c>
      <c r="G2984">
        <f>IF(F2984="",0,IF(TRIM(INDEX(INDIRECT("'Выгрузка'!A2984:Z2984"),Настройки!$B$13)&amp;"")="",1,IFERROR(--SUBSTITUTE(SUBSTITUTE(TRIM(INDEX(INDIRECT("'Выгрузка'!A2984:Z2984"),Настройки!$B$13)),",","."),".",MID(1/2,2,1)),"")))</f>
        <v/>
      </c>
      <c r="H2984">
        <f>IF(F2984="",0,IF(COUNTIF(Настройки!$B$17:$B$26,F2984)&gt;0,1,IF(COUNTIF(Настройки!$C$17:$C$26,F2984)&gt;0,2,IF(COUNTIF(Настройки!$D$17:$D$26,F2984)&gt;0,3,0))))</f>
        <v/>
      </c>
      <c r="I2984">
        <f>IF(AND(ISNUMBER(A2984),ISNUMBER(B2984)),A2984*1000+B2984,"")</f>
        <v/>
      </c>
      <c r="J2984">
        <f>IF(I2984="","",IF(COUNTIF(I$2:I2984,I2984)=1,MAX(J$1:J2983)+1,""))</f>
        <v/>
      </c>
    </row>
    <row r="2985">
      <c r="A2985">
        <f>IFERROR(--SUBSTITUTE(SUBSTITUTE(TRIM(INDEX(INDIRECT("'Выгрузка'!A2985:Z2985"),Настройки!$B$7)),",","."),".",MID(1/2,2,1)),"")</f>
        <v/>
      </c>
      <c r="B2985">
        <f>IFERROR(--SUBSTITUTE(SUBSTITUTE(TRIM(INDEX(INDIRECT("'Выгрузка'!A2985:Z2985"),Настройки!$B$9)),",","."),".",MID(1/2,2,1)),"")</f>
        <v/>
      </c>
      <c r="C2985">
        <f>TRIM(INDEX(INDIRECT("'Выгрузка'!A2985:Z2985"),Настройки!$B$8)&amp;"")</f>
        <v/>
      </c>
      <c r="D2985">
        <f>IFERROR(--SUBSTITUTE(SUBSTITUTE(TRIM(INDEX(INDIRECT("'Выгрузка'!A2985:Z2985"),Настройки!$B$10)),",","."),".",MID(1/2,2,1)),"")</f>
        <v/>
      </c>
      <c r="E2985">
        <f>IFERROR(--SUBSTITUTE(SUBSTITUTE(TRIM(INDEX(INDIRECT("'Выгрузка'!A2985:Z2985"),Настройки!$B$11)),",","."),".",MID(1/2,2,1)),"")</f>
        <v/>
      </c>
      <c r="F2985">
        <f>TRIM(INDEX(INDIRECT("'Выгрузка'!A2985:Z2985"),Настройки!$B$12)&amp;"")</f>
        <v/>
      </c>
      <c r="G2985">
        <f>IF(F2985="",0,IF(TRIM(INDEX(INDIRECT("'Выгрузка'!A2985:Z2985"),Настройки!$B$13)&amp;"")="",1,IFERROR(--SUBSTITUTE(SUBSTITUTE(TRIM(INDEX(INDIRECT("'Выгрузка'!A2985:Z2985"),Настройки!$B$13)),",","."),".",MID(1/2,2,1)),"")))</f>
        <v/>
      </c>
      <c r="H2985">
        <f>IF(F2985="",0,IF(COUNTIF(Настройки!$B$17:$B$26,F2985)&gt;0,1,IF(COUNTIF(Настройки!$C$17:$C$26,F2985)&gt;0,2,IF(COUNTIF(Настройки!$D$17:$D$26,F2985)&gt;0,3,0))))</f>
        <v/>
      </c>
      <c r="I2985">
        <f>IF(AND(ISNUMBER(A2985),ISNUMBER(B2985)),A2985*1000+B2985,"")</f>
        <v/>
      </c>
      <c r="J2985">
        <f>IF(I2985="","",IF(COUNTIF(I$2:I2985,I2985)=1,MAX(J$1:J2984)+1,""))</f>
        <v/>
      </c>
    </row>
    <row r="2986">
      <c r="A2986">
        <f>IFERROR(--SUBSTITUTE(SUBSTITUTE(TRIM(INDEX(INDIRECT("'Выгрузка'!A2986:Z2986"),Настройки!$B$7)),",","."),".",MID(1/2,2,1)),"")</f>
        <v/>
      </c>
      <c r="B2986">
        <f>IFERROR(--SUBSTITUTE(SUBSTITUTE(TRIM(INDEX(INDIRECT("'Выгрузка'!A2986:Z2986"),Настройки!$B$9)),",","."),".",MID(1/2,2,1)),"")</f>
        <v/>
      </c>
      <c r="C2986">
        <f>TRIM(INDEX(INDIRECT("'Выгрузка'!A2986:Z2986"),Настройки!$B$8)&amp;"")</f>
        <v/>
      </c>
      <c r="D2986">
        <f>IFERROR(--SUBSTITUTE(SUBSTITUTE(TRIM(INDEX(INDIRECT("'Выгрузка'!A2986:Z2986"),Настройки!$B$10)),",","."),".",MID(1/2,2,1)),"")</f>
        <v/>
      </c>
      <c r="E2986">
        <f>IFERROR(--SUBSTITUTE(SUBSTITUTE(TRIM(INDEX(INDIRECT("'Выгрузка'!A2986:Z2986"),Настройки!$B$11)),",","."),".",MID(1/2,2,1)),"")</f>
        <v/>
      </c>
      <c r="F2986">
        <f>TRIM(INDEX(INDIRECT("'Выгрузка'!A2986:Z2986"),Настройки!$B$12)&amp;"")</f>
        <v/>
      </c>
      <c r="G2986">
        <f>IF(F2986="",0,IF(TRIM(INDEX(INDIRECT("'Выгрузка'!A2986:Z2986"),Настройки!$B$13)&amp;"")="",1,IFERROR(--SUBSTITUTE(SUBSTITUTE(TRIM(INDEX(INDIRECT("'Выгрузка'!A2986:Z2986"),Настройки!$B$13)),",","."),".",MID(1/2,2,1)),"")))</f>
        <v/>
      </c>
      <c r="H2986">
        <f>IF(F2986="",0,IF(COUNTIF(Настройки!$B$17:$B$26,F2986)&gt;0,1,IF(COUNTIF(Настройки!$C$17:$C$26,F2986)&gt;0,2,IF(COUNTIF(Настройки!$D$17:$D$26,F2986)&gt;0,3,0))))</f>
        <v/>
      </c>
      <c r="I2986">
        <f>IF(AND(ISNUMBER(A2986),ISNUMBER(B2986)),A2986*1000+B2986,"")</f>
        <v/>
      </c>
      <c r="J2986">
        <f>IF(I2986="","",IF(COUNTIF(I$2:I2986,I2986)=1,MAX(J$1:J2985)+1,""))</f>
        <v/>
      </c>
    </row>
    <row r="2987">
      <c r="A2987">
        <f>IFERROR(--SUBSTITUTE(SUBSTITUTE(TRIM(INDEX(INDIRECT("'Выгрузка'!A2987:Z2987"),Настройки!$B$7)),",","."),".",MID(1/2,2,1)),"")</f>
        <v/>
      </c>
      <c r="B2987">
        <f>IFERROR(--SUBSTITUTE(SUBSTITUTE(TRIM(INDEX(INDIRECT("'Выгрузка'!A2987:Z2987"),Настройки!$B$9)),",","."),".",MID(1/2,2,1)),"")</f>
        <v/>
      </c>
      <c r="C2987">
        <f>TRIM(INDEX(INDIRECT("'Выгрузка'!A2987:Z2987"),Настройки!$B$8)&amp;"")</f>
        <v/>
      </c>
      <c r="D2987">
        <f>IFERROR(--SUBSTITUTE(SUBSTITUTE(TRIM(INDEX(INDIRECT("'Выгрузка'!A2987:Z2987"),Настройки!$B$10)),",","."),".",MID(1/2,2,1)),"")</f>
        <v/>
      </c>
      <c r="E2987">
        <f>IFERROR(--SUBSTITUTE(SUBSTITUTE(TRIM(INDEX(INDIRECT("'Выгрузка'!A2987:Z2987"),Настройки!$B$11)),",","."),".",MID(1/2,2,1)),"")</f>
        <v/>
      </c>
      <c r="F2987">
        <f>TRIM(INDEX(INDIRECT("'Выгрузка'!A2987:Z2987"),Настройки!$B$12)&amp;"")</f>
        <v/>
      </c>
      <c r="G2987">
        <f>IF(F2987="",0,IF(TRIM(INDEX(INDIRECT("'Выгрузка'!A2987:Z2987"),Настройки!$B$13)&amp;"")="",1,IFERROR(--SUBSTITUTE(SUBSTITUTE(TRIM(INDEX(INDIRECT("'Выгрузка'!A2987:Z2987"),Настройки!$B$13)),",","."),".",MID(1/2,2,1)),"")))</f>
        <v/>
      </c>
      <c r="H2987">
        <f>IF(F2987="",0,IF(COUNTIF(Настройки!$B$17:$B$26,F2987)&gt;0,1,IF(COUNTIF(Настройки!$C$17:$C$26,F2987)&gt;0,2,IF(COUNTIF(Настройки!$D$17:$D$26,F2987)&gt;0,3,0))))</f>
        <v/>
      </c>
      <c r="I2987">
        <f>IF(AND(ISNUMBER(A2987),ISNUMBER(B2987)),A2987*1000+B2987,"")</f>
        <v/>
      </c>
      <c r="J2987">
        <f>IF(I2987="","",IF(COUNTIF(I$2:I2987,I2987)=1,MAX(J$1:J2986)+1,""))</f>
        <v/>
      </c>
    </row>
    <row r="2988">
      <c r="A2988">
        <f>IFERROR(--SUBSTITUTE(SUBSTITUTE(TRIM(INDEX(INDIRECT("'Выгрузка'!A2988:Z2988"),Настройки!$B$7)),",","."),".",MID(1/2,2,1)),"")</f>
        <v/>
      </c>
      <c r="B2988">
        <f>IFERROR(--SUBSTITUTE(SUBSTITUTE(TRIM(INDEX(INDIRECT("'Выгрузка'!A2988:Z2988"),Настройки!$B$9)),",","."),".",MID(1/2,2,1)),"")</f>
        <v/>
      </c>
      <c r="C2988">
        <f>TRIM(INDEX(INDIRECT("'Выгрузка'!A2988:Z2988"),Настройки!$B$8)&amp;"")</f>
        <v/>
      </c>
      <c r="D2988">
        <f>IFERROR(--SUBSTITUTE(SUBSTITUTE(TRIM(INDEX(INDIRECT("'Выгрузка'!A2988:Z2988"),Настройки!$B$10)),",","."),".",MID(1/2,2,1)),"")</f>
        <v/>
      </c>
      <c r="E2988">
        <f>IFERROR(--SUBSTITUTE(SUBSTITUTE(TRIM(INDEX(INDIRECT("'Выгрузка'!A2988:Z2988"),Настройки!$B$11)),",","."),".",MID(1/2,2,1)),"")</f>
        <v/>
      </c>
      <c r="F2988">
        <f>TRIM(INDEX(INDIRECT("'Выгрузка'!A2988:Z2988"),Настройки!$B$12)&amp;"")</f>
        <v/>
      </c>
      <c r="G2988">
        <f>IF(F2988="",0,IF(TRIM(INDEX(INDIRECT("'Выгрузка'!A2988:Z2988"),Настройки!$B$13)&amp;"")="",1,IFERROR(--SUBSTITUTE(SUBSTITUTE(TRIM(INDEX(INDIRECT("'Выгрузка'!A2988:Z2988"),Настройки!$B$13)),",","."),".",MID(1/2,2,1)),"")))</f>
        <v/>
      </c>
      <c r="H2988">
        <f>IF(F2988="",0,IF(COUNTIF(Настройки!$B$17:$B$26,F2988)&gt;0,1,IF(COUNTIF(Настройки!$C$17:$C$26,F2988)&gt;0,2,IF(COUNTIF(Настройки!$D$17:$D$26,F2988)&gt;0,3,0))))</f>
        <v/>
      </c>
      <c r="I2988">
        <f>IF(AND(ISNUMBER(A2988),ISNUMBER(B2988)),A2988*1000+B2988,"")</f>
        <v/>
      </c>
      <c r="J2988">
        <f>IF(I2988="","",IF(COUNTIF(I$2:I2988,I2988)=1,MAX(J$1:J2987)+1,""))</f>
        <v/>
      </c>
    </row>
    <row r="2989">
      <c r="A2989">
        <f>IFERROR(--SUBSTITUTE(SUBSTITUTE(TRIM(INDEX(INDIRECT("'Выгрузка'!A2989:Z2989"),Настройки!$B$7)),",","."),".",MID(1/2,2,1)),"")</f>
        <v/>
      </c>
      <c r="B2989">
        <f>IFERROR(--SUBSTITUTE(SUBSTITUTE(TRIM(INDEX(INDIRECT("'Выгрузка'!A2989:Z2989"),Настройки!$B$9)),",","."),".",MID(1/2,2,1)),"")</f>
        <v/>
      </c>
      <c r="C2989">
        <f>TRIM(INDEX(INDIRECT("'Выгрузка'!A2989:Z2989"),Настройки!$B$8)&amp;"")</f>
        <v/>
      </c>
      <c r="D2989">
        <f>IFERROR(--SUBSTITUTE(SUBSTITUTE(TRIM(INDEX(INDIRECT("'Выгрузка'!A2989:Z2989"),Настройки!$B$10)),",","."),".",MID(1/2,2,1)),"")</f>
        <v/>
      </c>
      <c r="E2989">
        <f>IFERROR(--SUBSTITUTE(SUBSTITUTE(TRIM(INDEX(INDIRECT("'Выгрузка'!A2989:Z2989"),Настройки!$B$11)),",","."),".",MID(1/2,2,1)),"")</f>
        <v/>
      </c>
      <c r="F2989">
        <f>TRIM(INDEX(INDIRECT("'Выгрузка'!A2989:Z2989"),Настройки!$B$12)&amp;"")</f>
        <v/>
      </c>
      <c r="G2989">
        <f>IF(F2989="",0,IF(TRIM(INDEX(INDIRECT("'Выгрузка'!A2989:Z2989"),Настройки!$B$13)&amp;"")="",1,IFERROR(--SUBSTITUTE(SUBSTITUTE(TRIM(INDEX(INDIRECT("'Выгрузка'!A2989:Z2989"),Настройки!$B$13)),",","."),".",MID(1/2,2,1)),"")))</f>
        <v/>
      </c>
      <c r="H2989">
        <f>IF(F2989="",0,IF(COUNTIF(Настройки!$B$17:$B$26,F2989)&gt;0,1,IF(COUNTIF(Настройки!$C$17:$C$26,F2989)&gt;0,2,IF(COUNTIF(Настройки!$D$17:$D$26,F2989)&gt;0,3,0))))</f>
        <v/>
      </c>
      <c r="I2989">
        <f>IF(AND(ISNUMBER(A2989),ISNUMBER(B2989)),A2989*1000+B2989,"")</f>
        <v/>
      </c>
      <c r="J2989">
        <f>IF(I2989="","",IF(COUNTIF(I$2:I2989,I2989)=1,MAX(J$1:J2988)+1,""))</f>
        <v/>
      </c>
    </row>
    <row r="2990">
      <c r="A2990">
        <f>IFERROR(--SUBSTITUTE(SUBSTITUTE(TRIM(INDEX(INDIRECT("'Выгрузка'!A2990:Z2990"),Настройки!$B$7)),",","."),".",MID(1/2,2,1)),"")</f>
        <v/>
      </c>
      <c r="B2990">
        <f>IFERROR(--SUBSTITUTE(SUBSTITUTE(TRIM(INDEX(INDIRECT("'Выгрузка'!A2990:Z2990"),Настройки!$B$9)),",","."),".",MID(1/2,2,1)),"")</f>
        <v/>
      </c>
      <c r="C2990">
        <f>TRIM(INDEX(INDIRECT("'Выгрузка'!A2990:Z2990"),Настройки!$B$8)&amp;"")</f>
        <v/>
      </c>
      <c r="D2990">
        <f>IFERROR(--SUBSTITUTE(SUBSTITUTE(TRIM(INDEX(INDIRECT("'Выгрузка'!A2990:Z2990"),Настройки!$B$10)),",","."),".",MID(1/2,2,1)),"")</f>
        <v/>
      </c>
      <c r="E2990">
        <f>IFERROR(--SUBSTITUTE(SUBSTITUTE(TRIM(INDEX(INDIRECT("'Выгрузка'!A2990:Z2990"),Настройки!$B$11)),",","."),".",MID(1/2,2,1)),"")</f>
        <v/>
      </c>
      <c r="F2990">
        <f>TRIM(INDEX(INDIRECT("'Выгрузка'!A2990:Z2990"),Настройки!$B$12)&amp;"")</f>
        <v/>
      </c>
      <c r="G2990">
        <f>IF(F2990="",0,IF(TRIM(INDEX(INDIRECT("'Выгрузка'!A2990:Z2990"),Настройки!$B$13)&amp;"")="",1,IFERROR(--SUBSTITUTE(SUBSTITUTE(TRIM(INDEX(INDIRECT("'Выгрузка'!A2990:Z2990"),Настройки!$B$13)),",","."),".",MID(1/2,2,1)),"")))</f>
        <v/>
      </c>
      <c r="H2990">
        <f>IF(F2990="",0,IF(COUNTIF(Настройки!$B$17:$B$26,F2990)&gt;0,1,IF(COUNTIF(Настройки!$C$17:$C$26,F2990)&gt;0,2,IF(COUNTIF(Настройки!$D$17:$D$26,F2990)&gt;0,3,0))))</f>
        <v/>
      </c>
      <c r="I2990">
        <f>IF(AND(ISNUMBER(A2990),ISNUMBER(B2990)),A2990*1000+B2990,"")</f>
        <v/>
      </c>
      <c r="J2990">
        <f>IF(I2990="","",IF(COUNTIF(I$2:I2990,I2990)=1,MAX(J$1:J2989)+1,""))</f>
        <v/>
      </c>
    </row>
    <row r="2991">
      <c r="A2991">
        <f>IFERROR(--SUBSTITUTE(SUBSTITUTE(TRIM(INDEX(INDIRECT("'Выгрузка'!A2991:Z2991"),Настройки!$B$7)),",","."),".",MID(1/2,2,1)),"")</f>
        <v/>
      </c>
      <c r="B2991">
        <f>IFERROR(--SUBSTITUTE(SUBSTITUTE(TRIM(INDEX(INDIRECT("'Выгрузка'!A2991:Z2991"),Настройки!$B$9)),",","."),".",MID(1/2,2,1)),"")</f>
        <v/>
      </c>
      <c r="C2991">
        <f>TRIM(INDEX(INDIRECT("'Выгрузка'!A2991:Z2991"),Настройки!$B$8)&amp;"")</f>
        <v/>
      </c>
      <c r="D2991">
        <f>IFERROR(--SUBSTITUTE(SUBSTITUTE(TRIM(INDEX(INDIRECT("'Выгрузка'!A2991:Z2991"),Настройки!$B$10)),",","."),".",MID(1/2,2,1)),"")</f>
        <v/>
      </c>
      <c r="E2991">
        <f>IFERROR(--SUBSTITUTE(SUBSTITUTE(TRIM(INDEX(INDIRECT("'Выгрузка'!A2991:Z2991"),Настройки!$B$11)),",","."),".",MID(1/2,2,1)),"")</f>
        <v/>
      </c>
      <c r="F2991">
        <f>TRIM(INDEX(INDIRECT("'Выгрузка'!A2991:Z2991"),Настройки!$B$12)&amp;"")</f>
        <v/>
      </c>
      <c r="G2991">
        <f>IF(F2991="",0,IF(TRIM(INDEX(INDIRECT("'Выгрузка'!A2991:Z2991"),Настройки!$B$13)&amp;"")="",1,IFERROR(--SUBSTITUTE(SUBSTITUTE(TRIM(INDEX(INDIRECT("'Выгрузка'!A2991:Z2991"),Настройки!$B$13)),",","."),".",MID(1/2,2,1)),"")))</f>
        <v/>
      </c>
      <c r="H2991">
        <f>IF(F2991="",0,IF(COUNTIF(Настройки!$B$17:$B$26,F2991)&gt;0,1,IF(COUNTIF(Настройки!$C$17:$C$26,F2991)&gt;0,2,IF(COUNTIF(Настройки!$D$17:$D$26,F2991)&gt;0,3,0))))</f>
        <v/>
      </c>
      <c r="I2991">
        <f>IF(AND(ISNUMBER(A2991),ISNUMBER(B2991)),A2991*1000+B2991,"")</f>
        <v/>
      </c>
      <c r="J2991">
        <f>IF(I2991="","",IF(COUNTIF(I$2:I2991,I2991)=1,MAX(J$1:J2990)+1,""))</f>
        <v/>
      </c>
    </row>
    <row r="2992">
      <c r="A2992">
        <f>IFERROR(--SUBSTITUTE(SUBSTITUTE(TRIM(INDEX(INDIRECT("'Выгрузка'!A2992:Z2992"),Настройки!$B$7)),",","."),".",MID(1/2,2,1)),"")</f>
        <v/>
      </c>
      <c r="B2992">
        <f>IFERROR(--SUBSTITUTE(SUBSTITUTE(TRIM(INDEX(INDIRECT("'Выгрузка'!A2992:Z2992"),Настройки!$B$9)),",","."),".",MID(1/2,2,1)),"")</f>
        <v/>
      </c>
      <c r="C2992">
        <f>TRIM(INDEX(INDIRECT("'Выгрузка'!A2992:Z2992"),Настройки!$B$8)&amp;"")</f>
        <v/>
      </c>
      <c r="D2992">
        <f>IFERROR(--SUBSTITUTE(SUBSTITUTE(TRIM(INDEX(INDIRECT("'Выгрузка'!A2992:Z2992"),Настройки!$B$10)),",","."),".",MID(1/2,2,1)),"")</f>
        <v/>
      </c>
      <c r="E2992">
        <f>IFERROR(--SUBSTITUTE(SUBSTITUTE(TRIM(INDEX(INDIRECT("'Выгрузка'!A2992:Z2992"),Настройки!$B$11)),",","."),".",MID(1/2,2,1)),"")</f>
        <v/>
      </c>
      <c r="F2992">
        <f>TRIM(INDEX(INDIRECT("'Выгрузка'!A2992:Z2992"),Настройки!$B$12)&amp;"")</f>
        <v/>
      </c>
      <c r="G2992">
        <f>IF(F2992="",0,IF(TRIM(INDEX(INDIRECT("'Выгрузка'!A2992:Z2992"),Настройки!$B$13)&amp;"")="",1,IFERROR(--SUBSTITUTE(SUBSTITUTE(TRIM(INDEX(INDIRECT("'Выгрузка'!A2992:Z2992"),Настройки!$B$13)),",","."),".",MID(1/2,2,1)),"")))</f>
        <v/>
      </c>
      <c r="H2992">
        <f>IF(F2992="",0,IF(COUNTIF(Настройки!$B$17:$B$26,F2992)&gt;0,1,IF(COUNTIF(Настройки!$C$17:$C$26,F2992)&gt;0,2,IF(COUNTIF(Настройки!$D$17:$D$26,F2992)&gt;0,3,0))))</f>
        <v/>
      </c>
      <c r="I2992">
        <f>IF(AND(ISNUMBER(A2992),ISNUMBER(B2992)),A2992*1000+B2992,"")</f>
        <v/>
      </c>
      <c r="J2992">
        <f>IF(I2992="","",IF(COUNTIF(I$2:I2992,I2992)=1,MAX(J$1:J2991)+1,""))</f>
        <v/>
      </c>
    </row>
    <row r="2993">
      <c r="A2993">
        <f>IFERROR(--SUBSTITUTE(SUBSTITUTE(TRIM(INDEX(INDIRECT("'Выгрузка'!A2993:Z2993"),Настройки!$B$7)),",","."),".",MID(1/2,2,1)),"")</f>
        <v/>
      </c>
      <c r="B2993">
        <f>IFERROR(--SUBSTITUTE(SUBSTITUTE(TRIM(INDEX(INDIRECT("'Выгрузка'!A2993:Z2993"),Настройки!$B$9)),",","."),".",MID(1/2,2,1)),"")</f>
        <v/>
      </c>
      <c r="C2993">
        <f>TRIM(INDEX(INDIRECT("'Выгрузка'!A2993:Z2993"),Настройки!$B$8)&amp;"")</f>
        <v/>
      </c>
      <c r="D2993">
        <f>IFERROR(--SUBSTITUTE(SUBSTITUTE(TRIM(INDEX(INDIRECT("'Выгрузка'!A2993:Z2993"),Настройки!$B$10)),",","."),".",MID(1/2,2,1)),"")</f>
        <v/>
      </c>
      <c r="E2993">
        <f>IFERROR(--SUBSTITUTE(SUBSTITUTE(TRIM(INDEX(INDIRECT("'Выгрузка'!A2993:Z2993"),Настройки!$B$11)),",","."),".",MID(1/2,2,1)),"")</f>
        <v/>
      </c>
      <c r="F2993">
        <f>TRIM(INDEX(INDIRECT("'Выгрузка'!A2993:Z2993"),Настройки!$B$12)&amp;"")</f>
        <v/>
      </c>
      <c r="G2993">
        <f>IF(F2993="",0,IF(TRIM(INDEX(INDIRECT("'Выгрузка'!A2993:Z2993"),Настройки!$B$13)&amp;"")="",1,IFERROR(--SUBSTITUTE(SUBSTITUTE(TRIM(INDEX(INDIRECT("'Выгрузка'!A2993:Z2993"),Настройки!$B$13)),",","."),".",MID(1/2,2,1)),"")))</f>
        <v/>
      </c>
      <c r="H2993">
        <f>IF(F2993="",0,IF(COUNTIF(Настройки!$B$17:$B$26,F2993)&gt;0,1,IF(COUNTIF(Настройки!$C$17:$C$26,F2993)&gt;0,2,IF(COUNTIF(Настройки!$D$17:$D$26,F2993)&gt;0,3,0))))</f>
        <v/>
      </c>
      <c r="I2993">
        <f>IF(AND(ISNUMBER(A2993),ISNUMBER(B2993)),A2993*1000+B2993,"")</f>
        <v/>
      </c>
      <c r="J2993">
        <f>IF(I2993="","",IF(COUNTIF(I$2:I2993,I2993)=1,MAX(J$1:J2992)+1,""))</f>
        <v/>
      </c>
    </row>
    <row r="2994">
      <c r="A2994">
        <f>IFERROR(--SUBSTITUTE(SUBSTITUTE(TRIM(INDEX(INDIRECT("'Выгрузка'!A2994:Z2994"),Настройки!$B$7)),",","."),".",MID(1/2,2,1)),"")</f>
        <v/>
      </c>
      <c r="B2994">
        <f>IFERROR(--SUBSTITUTE(SUBSTITUTE(TRIM(INDEX(INDIRECT("'Выгрузка'!A2994:Z2994"),Настройки!$B$9)),",","."),".",MID(1/2,2,1)),"")</f>
        <v/>
      </c>
      <c r="C2994">
        <f>TRIM(INDEX(INDIRECT("'Выгрузка'!A2994:Z2994"),Настройки!$B$8)&amp;"")</f>
        <v/>
      </c>
      <c r="D2994">
        <f>IFERROR(--SUBSTITUTE(SUBSTITUTE(TRIM(INDEX(INDIRECT("'Выгрузка'!A2994:Z2994"),Настройки!$B$10)),",","."),".",MID(1/2,2,1)),"")</f>
        <v/>
      </c>
      <c r="E2994">
        <f>IFERROR(--SUBSTITUTE(SUBSTITUTE(TRIM(INDEX(INDIRECT("'Выгрузка'!A2994:Z2994"),Настройки!$B$11)),",","."),".",MID(1/2,2,1)),"")</f>
        <v/>
      </c>
      <c r="F2994">
        <f>TRIM(INDEX(INDIRECT("'Выгрузка'!A2994:Z2994"),Настройки!$B$12)&amp;"")</f>
        <v/>
      </c>
      <c r="G2994">
        <f>IF(F2994="",0,IF(TRIM(INDEX(INDIRECT("'Выгрузка'!A2994:Z2994"),Настройки!$B$13)&amp;"")="",1,IFERROR(--SUBSTITUTE(SUBSTITUTE(TRIM(INDEX(INDIRECT("'Выгрузка'!A2994:Z2994"),Настройки!$B$13)),",","."),".",MID(1/2,2,1)),"")))</f>
        <v/>
      </c>
      <c r="H2994">
        <f>IF(F2994="",0,IF(COUNTIF(Настройки!$B$17:$B$26,F2994)&gt;0,1,IF(COUNTIF(Настройки!$C$17:$C$26,F2994)&gt;0,2,IF(COUNTIF(Настройки!$D$17:$D$26,F2994)&gt;0,3,0))))</f>
        <v/>
      </c>
      <c r="I2994">
        <f>IF(AND(ISNUMBER(A2994),ISNUMBER(B2994)),A2994*1000+B2994,"")</f>
        <v/>
      </c>
      <c r="J2994">
        <f>IF(I2994="","",IF(COUNTIF(I$2:I2994,I2994)=1,MAX(J$1:J2993)+1,""))</f>
        <v/>
      </c>
    </row>
    <row r="2995">
      <c r="A2995">
        <f>IFERROR(--SUBSTITUTE(SUBSTITUTE(TRIM(INDEX(INDIRECT("'Выгрузка'!A2995:Z2995"),Настройки!$B$7)),",","."),".",MID(1/2,2,1)),"")</f>
        <v/>
      </c>
      <c r="B2995">
        <f>IFERROR(--SUBSTITUTE(SUBSTITUTE(TRIM(INDEX(INDIRECT("'Выгрузка'!A2995:Z2995"),Настройки!$B$9)),",","."),".",MID(1/2,2,1)),"")</f>
        <v/>
      </c>
      <c r="C2995">
        <f>TRIM(INDEX(INDIRECT("'Выгрузка'!A2995:Z2995"),Настройки!$B$8)&amp;"")</f>
        <v/>
      </c>
      <c r="D2995">
        <f>IFERROR(--SUBSTITUTE(SUBSTITUTE(TRIM(INDEX(INDIRECT("'Выгрузка'!A2995:Z2995"),Настройки!$B$10)),",","."),".",MID(1/2,2,1)),"")</f>
        <v/>
      </c>
      <c r="E2995">
        <f>IFERROR(--SUBSTITUTE(SUBSTITUTE(TRIM(INDEX(INDIRECT("'Выгрузка'!A2995:Z2995"),Настройки!$B$11)),",","."),".",MID(1/2,2,1)),"")</f>
        <v/>
      </c>
      <c r="F2995">
        <f>TRIM(INDEX(INDIRECT("'Выгрузка'!A2995:Z2995"),Настройки!$B$12)&amp;"")</f>
        <v/>
      </c>
      <c r="G2995">
        <f>IF(F2995="",0,IF(TRIM(INDEX(INDIRECT("'Выгрузка'!A2995:Z2995"),Настройки!$B$13)&amp;"")="",1,IFERROR(--SUBSTITUTE(SUBSTITUTE(TRIM(INDEX(INDIRECT("'Выгрузка'!A2995:Z2995"),Настройки!$B$13)),",","."),".",MID(1/2,2,1)),"")))</f>
        <v/>
      </c>
      <c r="H2995">
        <f>IF(F2995="",0,IF(COUNTIF(Настройки!$B$17:$B$26,F2995)&gt;0,1,IF(COUNTIF(Настройки!$C$17:$C$26,F2995)&gt;0,2,IF(COUNTIF(Настройки!$D$17:$D$26,F2995)&gt;0,3,0))))</f>
        <v/>
      </c>
      <c r="I2995">
        <f>IF(AND(ISNUMBER(A2995),ISNUMBER(B2995)),A2995*1000+B2995,"")</f>
        <v/>
      </c>
      <c r="J2995">
        <f>IF(I2995="","",IF(COUNTIF(I$2:I2995,I2995)=1,MAX(J$1:J2994)+1,""))</f>
        <v/>
      </c>
    </row>
    <row r="2996">
      <c r="A2996">
        <f>IFERROR(--SUBSTITUTE(SUBSTITUTE(TRIM(INDEX(INDIRECT("'Выгрузка'!A2996:Z2996"),Настройки!$B$7)),",","."),".",MID(1/2,2,1)),"")</f>
        <v/>
      </c>
      <c r="B2996">
        <f>IFERROR(--SUBSTITUTE(SUBSTITUTE(TRIM(INDEX(INDIRECT("'Выгрузка'!A2996:Z2996"),Настройки!$B$9)),",","."),".",MID(1/2,2,1)),"")</f>
        <v/>
      </c>
      <c r="C2996">
        <f>TRIM(INDEX(INDIRECT("'Выгрузка'!A2996:Z2996"),Настройки!$B$8)&amp;"")</f>
        <v/>
      </c>
      <c r="D2996">
        <f>IFERROR(--SUBSTITUTE(SUBSTITUTE(TRIM(INDEX(INDIRECT("'Выгрузка'!A2996:Z2996"),Настройки!$B$10)),",","."),".",MID(1/2,2,1)),"")</f>
        <v/>
      </c>
      <c r="E2996">
        <f>IFERROR(--SUBSTITUTE(SUBSTITUTE(TRIM(INDEX(INDIRECT("'Выгрузка'!A2996:Z2996"),Настройки!$B$11)),",","."),".",MID(1/2,2,1)),"")</f>
        <v/>
      </c>
      <c r="F2996">
        <f>TRIM(INDEX(INDIRECT("'Выгрузка'!A2996:Z2996"),Настройки!$B$12)&amp;"")</f>
        <v/>
      </c>
      <c r="G2996">
        <f>IF(F2996="",0,IF(TRIM(INDEX(INDIRECT("'Выгрузка'!A2996:Z2996"),Настройки!$B$13)&amp;"")="",1,IFERROR(--SUBSTITUTE(SUBSTITUTE(TRIM(INDEX(INDIRECT("'Выгрузка'!A2996:Z2996"),Настройки!$B$13)),",","."),".",MID(1/2,2,1)),"")))</f>
        <v/>
      </c>
      <c r="H2996">
        <f>IF(F2996="",0,IF(COUNTIF(Настройки!$B$17:$B$26,F2996)&gt;0,1,IF(COUNTIF(Настройки!$C$17:$C$26,F2996)&gt;0,2,IF(COUNTIF(Настройки!$D$17:$D$26,F2996)&gt;0,3,0))))</f>
        <v/>
      </c>
      <c r="I2996">
        <f>IF(AND(ISNUMBER(A2996),ISNUMBER(B2996)),A2996*1000+B2996,"")</f>
        <v/>
      </c>
      <c r="J2996">
        <f>IF(I2996="","",IF(COUNTIF(I$2:I2996,I2996)=1,MAX(J$1:J2995)+1,""))</f>
        <v/>
      </c>
    </row>
    <row r="2997">
      <c r="A2997">
        <f>IFERROR(--SUBSTITUTE(SUBSTITUTE(TRIM(INDEX(INDIRECT("'Выгрузка'!A2997:Z2997"),Настройки!$B$7)),",","."),".",MID(1/2,2,1)),"")</f>
        <v/>
      </c>
      <c r="B2997">
        <f>IFERROR(--SUBSTITUTE(SUBSTITUTE(TRIM(INDEX(INDIRECT("'Выгрузка'!A2997:Z2997"),Настройки!$B$9)),",","."),".",MID(1/2,2,1)),"")</f>
        <v/>
      </c>
      <c r="C2997">
        <f>TRIM(INDEX(INDIRECT("'Выгрузка'!A2997:Z2997"),Настройки!$B$8)&amp;"")</f>
        <v/>
      </c>
      <c r="D2997">
        <f>IFERROR(--SUBSTITUTE(SUBSTITUTE(TRIM(INDEX(INDIRECT("'Выгрузка'!A2997:Z2997"),Настройки!$B$10)),",","."),".",MID(1/2,2,1)),"")</f>
        <v/>
      </c>
      <c r="E2997">
        <f>IFERROR(--SUBSTITUTE(SUBSTITUTE(TRIM(INDEX(INDIRECT("'Выгрузка'!A2997:Z2997"),Настройки!$B$11)),",","."),".",MID(1/2,2,1)),"")</f>
        <v/>
      </c>
      <c r="F2997">
        <f>TRIM(INDEX(INDIRECT("'Выгрузка'!A2997:Z2997"),Настройки!$B$12)&amp;"")</f>
        <v/>
      </c>
      <c r="G2997">
        <f>IF(F2997="",0,IF(TRIM(INDEX(INDIRECT("'Выгрузка'!A2997:Z2997"),Настройки!$B$13)&amp;"")="",1,IFERROR(--SUBSTITUTE(SUBSTITUTE(TRIM(INDEX(INDIRECT("'Выгрузка'!A2997:Z2997"),Настройки!$B$13)),",","."),".",MID(1/2,2,1)),"")))</f>
        <v/>
      </c>
      <c r="H2997">
        <f>IF(F2997="",0,IF(COUNTIF(Настройки!$B$17:$B$26,F2997)&gt;0,1,IF(COUNTIF(Настройки!$C$17:$C$26,F2997)&gt;0,2,IF(COUNTIF(Настройки!$D$17:$D$26,F2997)&gt;0,3,0))))</f>
        <v/>
      </c>
      <c r="I2997">
        <f>IF(AND(ISNUMBER(A2997),ISNUMBER(B2997)),A2997*1000+B2997,"")</f>
        <v/>
      </c>
      <c r="J2997">
        <f>IF(I2997="","",IF(COUNTIF(I$2:I2997,I2997)=1,MAX(J$1:J2996)+1,""))</f>
        <v/>
      </c>
    </row>
    <row r="2998">
      <c r="A2998">
        <f>IFERROR(--SUBSTITUTE(SUBSTITUTE(TRIM(INDEX(INDIRECT("'Выгрузка'!A2998:Z2998"),Настройки!$B$7)),",","."),".",MID(1/2,2,1)),"")</f>
        <v/>
      </c>
      <c r="B2998">
        <f>IFERROR(--SUBSTITUTE(SUBSTITUTE(TRIM(INDEX(INDIRECT("'Выгрузка'!A2998:Z2998"),Настройки!$B$9)),",","."),".",MID(1/2,2,1)),"")</f>
        <v/>
      </c>
      <c r="C2998">
        <f>TRIM(INDEX(INDIRECT("'Выгрузка'!A2998:Z2998"),Настройки!$B$8)&amp;"")</f>
        <v/>
      </c>
      <c r="D2998">
        <f>IFERROR(--SUBSTITUTE(SUBSTITUTE(TRIM(INDEX(INDIRECT("'Выгрузка'!A2998:Z2998"),Настройки!$B$10)),",","."),".",MID(1/2,2,1)),"")</f>
        <v/>
      </c>
      <c r="E2998">
        <f>IFERROR(--SUBSTITUTE(SUBSTITUTE(TRIM(INDEX(INDIRECT("'Выгрузка'!A2998:Z2998"),Настройки!$B$11)),",","."),".",MID(1/2,2,1)),"")</f>
        <v/>
      </c>
      <c r="F2998">
        <f>TRIM(INDEX(INDIRECT("'Выгрузка'!A2998:Z2998"),Настройки!$B$12)&amp;"")</f>
        <v/>
      </c>
      <c r="G2998">
        <f>IF(F2998="",0,IF(TRIM(INDEX(INDIRECT("'Выгрузка'!A2998:Z2998"),Настройки!$B$13)&amp;"")="",1,IFERROR(--SUBSTITUTE(SUBSTITUTE(TRIM(INDEX(INDIRECT("'Выгрузка'!A2998:Z2998"),Настройки!$B$13)),",","."),".",MID(1/2,2,1)),"")))</f>
        <v/>
      </c>
      <c r="H2998">
        <f>IF(F2998="",0,IF(COUNTIF(Настройки!$B$17:$B$26,F2998)&gt;0,1,IF(COUNTIF(Настройки!$C$17:$C$26,F2998)&gt;0,2,IF(COUNTIF(Настройки!$D$17:$D$26,F2998)&gt;0,3,0))))</f>
        <v/>
      </c>
      <c r="I2998">
        <f>IF(AND(ISNUMBER(A2998),ISNUMBER(B2998)),A2998*1000+B2998,"")</f>
        <v/>
      </c>
      <c r="J2998">
        <f>IF(I2998="","",IF(COUNTIF(I$2:I2998,I2998)=1,MAX(J$1:J2997)+1,""))</f>
        <v/>
      </c>
    </row>
    <row r="2999">
      <c r="A2999">
        <f>IFERROR(--SUBSTITUTE(SUBSTITUTE(TRIM(INDEX(INDIRECT("'Выгрузка'!A2999:Z2999"),Настройки!$B$7)),",","."),".",MID(1/2,2,1)),"")</f>
        <v/>
      </c>
      <c r="B2999">
        <f>IFERROR(--SUBSTITUTE(SUBSTITUTE(TRIM(INDEX(INDIRECT("'Выгрузка'!A2999:Z2999"),Настройки!$B$9)),",","."),".",MID(1/2,2,1)),"")</f>
        <v/>
      </c>
      <c r="C2999">
        <f>TRIM(INDEX(INDIRECT("'Выгрузка'!A2999:Z2999"),Настройки!$B$8)&amp;"")</f>
        <v/>
      </c>
      <c r="D2999">
        <f>IFERROR(--SUBSTITUTE(SUBSTITUTE(TRIM(INDEX(INDIRECT("'Выгрузка'!A2999:Z2999"),Настройки!$B$10)),",","."),".",MID(1/2,2,1)),"")</f>
        <v/>
      </c>
      <c r="E2999">
        <f>IFERROR(--SUBSTITUTE(SUBSTITUTE(TRIM(INDEX(INDIRECT("'Выгрузка'!A2999:Z2999"),Настройки!$B$11)),",","."),".",MID(1/2,2,1)),"")</f>
        <v/>
      </c>
      <c r="F2999">
        <f>TRIM(INDEX(INDIRECT("'Выгрузка'!A2999:Z2999"),Настройки!$B$12)&amp;"")</f>
        <v/>
      </c>
      <c r="G2999">
        <f>IF(F2999="",0,IF(TRIM(INDEX(INDIRECT("'Выгрузка'!A2999:Z2999"),Настройки!$B$13)&amp;"")="",1,IFERROR(--SUBSTITUTE(SUBSTITUTE(TRIM(INDEX(INDIRECT("'Выгрузка'!A2999:Z2999"),Настройки!$B$13)),",","."),".",MID(1/2,2,1)),"")))</f>
        <v/>
      </c>
      <c r="H2999">
        <f>IF(F2999="",0,IF(COUNTIF(Настройки!$B$17:$B$26,F2999)&gt;0,1,IF(COUNTIF(Настройки!$C$17:$C$26,F2999)&gt;0,2,IF(COUNTIF(Настройки!$D$17:$D$26,F2999)&gt;0,3,0))))</f>
        <v/>
      </c>
      <c r="I2999">
        <f>IF(AND(ISNUMBER(A2999),ISNUMBER(B2999)),A2999*1000+B2999,"")</f>
        <v/>
      </c>
      <c r="J2999">
        <f>IF(I2999="","",IF(COUNTIF(I$2:I2999,I2999)=1,MAX(J$1:J2998)+1,""))</f>
        <v/>
      </c>
    </row>
    <row r="3000">
      <c r="A3000">
        <f>IFERROR(--SUBSTITUTE(SUBSTITUTE(TRIM(INDEX(INDIRECT("'Выгрузка'!A3000:Z3000"),Настройки!$B$7)),",","."),".",MID(1/2,2,1)),"")</f>
        <v/>
      </c>
      <c r="B3000">
        <f>IFERROR(--SUBSTITUTE(SUBSTITUTE(TRIM(INDEX(INDIRECT("'Выгрузка'!A3000:Z3000"),Настройки!$B$9)),",","."),".",MID(1/2,2,1)),"")</f>
        <v/>
      </c>
      <c r="C3000">
        <f>TRIM(INDEX(INDIRECT("'Выгрузка'!A3000:Z3000"),Настройки!$B$8)&amp;"")</f>
        <v/>
      </c>
      <c r="D3000">
        <f>IFERROR(--SUBSTITUTE(SUBSTITUTE(TRIM(INDEX(INDIRECT("'Выгрузка'!A3000:Z3000"),Настройки!$B$10)),",","."),".",MID(1/2,2,1)),"")</f>
        <v/>
      </c>
      <c r="E3000">
        <f>IFERROR(--SUBSTITUTE(SUBSTITUTE(TRIM(INDEX(INDIRECT("'Выгрузка'!A3000:Z3000"),Настройки!$B$11)),",","."),".",MID(1/2,2,1)),"")</f>
        <v/>
      </c>
      <c r="F3000">
        <f>TRIM(INDEX(INDIRECT("'Выгрузка'!A3000:Z3000"),Настройки!$B$12)&amp;"")</f>
        <v/>
      </c>
      <c r="G3000">
        <f>IF(F3000="",0,IF(TRIM(INDEX(INDIRECT("'Выгрузка'!A3000:Z3000"),Настройки!$B$13)&amp;"")="",1,IFERROR(--SUBSTITUTE(SUBSTITUTE(TRIM(INDEX(INDIRECT("'Выгрузка'!A3000:Z3000"),Настройки!$B$13)),",","."),".",MID(1/2,2,1)),"")))</f>
        <v/>
      </c>
      <c r="H3000">
        <f>IF(F3000="",0,IF(COUNTIF(Настройки!$B$17:$B$26,F3000)&gt;0,1,IF(COUNTIF(Настройки!$C$17:$C$26,F3000)&gt;0,2,IF(COUNTIF(Настройки!$D$17:$D$26,F3000)&gt;0,3,0))))</f>
        <v/>
      </c>
      <c r="I3000">
        <f>IF(AND(ISNUMBER(A3000),ISNUMBER(B3000)),A3000*1000+B3000,"")</f>
        <v/>
      </c>
      <c r="J3000">
        <f>IF(I3000="","",IF(COUNTIF(I$2:I3000,I3000)=1,MAX(J$1:J2999)+1,""))</f>
        <v/>
      </c>
    </row>
    <row r="3001">
      <c r="A3001">
        <f>IFERROR(--SUBSTITUTE(SUBSTITUTE(TRIM(INDEX(INDIRECT("'Выгрузка'!A3001:Z3001"),Настройки!$B$7)),",","."),".",MID(1/2,2,1)),"")</f>
        <v/>
      </c>
      <c r="B3001">
        <f>IFERROR(--SUBSTITUTE(SUBSTITUTE(TRIM(INDEX(INDIRECT("'Выгрузка'!A3001:Z3001"),Настройки!$B$9)),",","."),".",MID(1/2,2,1)),"")</f>
        <v/>
      </c>
      <c r="C3001">
        <f>TRIM(INDEX(INDIRECT("'Выгрузка'!A3001:Z3001"),Настройки!$B$8)&amp;"")</f>
        <v/>
      </c>
      <c r="D3001">
        <f>IFERROR(--SUBSTITUTE(SUBSTITUTE(TRIM(INDEX(INDIRECT("'Выгрузка'!A3001:Z3001"),Настройки!$B$10)),",","."),".",MID(1/2,2,1)),"")</f>
        <v/>
      </c>
      <c r="E3001">
        <f>IFERROR(--SUBSTITUTE(SUBSTITUTE(TRIM(INDEX(INDIRECT("'Выгрузка'!A3001:Z3001"),Настройки!$B$11)),",","."),".",MID(1/2,2,1)),"")</f>
        <v/>
      </c>
      <c r="F3001">
        <f>TRIM(INDEX(INDIRECT("'Выгрузка'!A3001:Z3001"),Настройки!$B$12)&amp;"")</f>
        <v/>
      </c>
      <c r="G3001">
        <f>IF(F3001="",0,IF(TRIM(INDEX(INDIRECT("'Выгрузка'!A3001:Z3001"),Настройки!$B$13)&amp;"")="",1,IFERROR(--SUBSTITUTE(SUBSTITUTE(TRIM(INDEX(INDIRECT("'Выгрузка'!A3001:Z3001"),Настройки!$B$13)),",","."),".",MID(1/2,2,1)),"")))</f>
        <v/>
      </c>
      <c r="H3001">
        <f>IF(F3001="",0,IF(COUNTIF(Настройки!$B$17:$B$26,F3001)&gt;0,1,IF(COUNTIF(Настройки!$C$17:$C$26,F3001)&gt;0,2,IF(COUNTIF(Настройки!$D$17:$D$26,F3001)&gt;0,3,0))))</f>
        <v/>
      </c>
      <c r="I3001">
        <f>IF(AND(ISNUMBER(A3001),ISNUMBER(B3001)),A3001*1000+B3001,"")</f>
        <v/>
      </c>
      <c r="J3001">
        <f>IF(I3001="","",IF(COUNTIF(I$2:I3001,I3001)=1,MAX(J$1:J3000)+1,""))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2" t="inlineStr">
        <is>
          <t>ID</t>
        </is>
      </c>
      <c r="B1" s="2" t="inlineStr">
        <is>
          <t>Этаж</t>
        </is>
      </c>
      <c r="C1" s="2" t="inlineStr">
        <is>
          <t>Номер</t>
        </is>
      </c>
      <c r="D1" s="2" t="inlineStr">
        <is>
          <t>Тип</t>
        </is>
      </c>
      <c r="E1" s="2" t="inlineStr">
        <is>
          <t>Sобщ</t>
        </is>
      </c>
      <c r="F1" s="2" t="inlineStr">
        <is>
          <t>Sж</t>
        </is>
      </c>
      <c r="G1" s="2" t="inlineStr">
        <is>
          <t>Комнаты</t>
        </is>
      </c>
      <c r="H1" s="2" t="inlineStr">
        <is>
          <t>СУ</t>
        </is>
      </c>
      <c r="I1" s="2" t="inlineStr">
        <is>
          <t>Уборная</t>
        </is>
      </c>
      <c r="J1" s="2" t="inlineStr">
        <is>
          <t>Гардеробная</t>
        </is>
      </c>
      <c r="K1" s="2" t="inlineStr">
        <is>
          <t>Ключ</t>
        </is>
      </c>
      <c r="L1" s="2" t="inlineStr">
        <is>
          <t>строка</t>
        </is>
      </c>
    </row>
    <row r="2">
      <c r="A2">
        <f>IF($L2="","",B2&amp;"."&amp;C2&amp;"-"&amp;D2&amp;"-"&amp;H2&amp;"."&amp;I2&amp;"."&amp;J2)</f>
        <v/>
      </c>
      <c r="B2">
        <f>IF($L2="","",INDEX(Расчет!$A$2:$A$3001,$L2))</f>
        <v/>
      </c>
      <c r="C2">
        <f>IF($L2="","",INDEX(Расчет!$B$2:$B$3001,$L2))</f>
        <v/>
      </c>
      <c r="D2">
        <f>IF($L2="","",IF(ISNUMBER(FIND("(",INDEX(Расчет!$C$2:$C$3001,$L2))),SUBSTITUTE(MID(INDEX(Расчет!$C$2:$C$3001,$L2),FIND("(",INDEX(Расчет!$C$2:$C$3001,$L2))+1,99),")",""),INDEX(Расчет!$C$2:$C$3001,$L2)))</f>
        <v/>
      </c>
      <c r="E2">
        <f>IF($L2="","",INDEX(Расчет!$D$2:$D$3001,$L2))</f>
        <v/>
      </c>
      <c r="F2">
        <f>IF($L2="","",INDEX(Расчет!$E$2:$E$3001,$L2))</f>
        <v/>
      </c>
      <c r="G2">
        <f>IF($L2="","",IFERROR(--LEFT(INDEX(Расчет!$C$2:$C$3001,$L2),FIND("(",INDEX(Расчет!$C$2:$C$3001,$L2))-1),IFERROR(--LEFT(INDEX(Расчет!$C$2:$C$3001,$L2),1),"")))</f>
        <v/>
      </c>
      <c r="H2">
        <f>IF($L2="","",SUMIFS(Расчет!$G$2:$G$3001,Расчет!$I$2:$I$3001,$K2,Расчет!$H$2:$H$3001,1))</f>
        <v/>
      </c>
      <c r="I2">
        <f>IF($L2="","",SUMIFS(Расчет!$G$2:$G$3001,Расчет!$I$2:$I$3001,$K2,Расчет!$H$2:$H$3001,2))</f>
        <v/>
      </c>
      <c r="J2">
        <f>IF($L2="","",SUMIFS(Расчет!$G$2:$G$3001,Расчет!$I$2:$I$3001,$K2,Расчет!$H$2:$H$3001,3))</f>
        <v/>
      </c>
      <c r="K2">
        <f>IF($L2="","",INDEX(Расчет!$I$2:$I$3001,$L2))</f>
        <v/>
      </c>
      <c r="L2">
        <f>IFERROR(MATCH(ROW()-1,Расчет!$J$2:$J$3001,0),"")</f>
        <v/>
      </c>
    </row>
    <row r="3">
      <c r="A3">
        <f>IF($L3="","",B3&amp;"."&amp;C3&amp;"-"&amp;D3&amp;"-"&amp;H3&amp;"."&amp;I3&amp;"."&amp;J3)</f>
        <v/>
      </c>
      <c r="B3">
        <f>IF($L3="","",INDEX(Расчет!$A$2:$A$3001,$L3))</f>
        <v/>
      </c>
      <c r="C3">
        <f>IF($L3="","",INDEX(Расчет!$B$2:$B$3001,$L3))</f>
        <v/>
      </c>
      <c r="D3">
        <f>IF($L3="","",IF(ISNUMBER(FIND("(",INDEX(Расчет!$C$2:$C$3001,$L3))),SUBSTITUTE(MID(INDEX(Расчет!$C$2:$C$3001,$L3),FIND("(",INDEX(Расчет!$C$2:$C$3001,$L3))+1,99),")",""),INDEX(Расчет!$C$2:$C$3001,$L3)))</f>
        <v/>
      </c>
      <c r="E3">
        <f>IF($L3="","",INDEX(Расчет!$D$2:$D$3001,$L3))</f>
        <v/>
      </c>
      <c r="F3">
        <f>IF($L3="","",INDEX(Расчет!$E$2:$E$3001,$L3))</f>
        <v/>
      </c>
      <c r="G3">
        <f>IF($L3="","",IFERROR(--LEFT(INDEX(Расчет!$C$2:$C$3001,$L3),FIND("(",INDEX(Расчет!$C$2:$C$3001,$L3))-1),IFERROR(--LEFT(INDEX(Расчет!$C$2:$C$3001,$L3),1),"")))</f>
        <v/>
      </c>
      <c r="H3">
        <f>IF($L3="","",SUMIFS(Расчет!$G$2:$G$3001,Расчет!$I$2:$I$3001,$K3,Расчет!$H$2:$H$3001,1))</f>
        <v/>
      </c>
      <c r="I3">
        <f>IF($L3="","",SUMIFS(Расчет!$G$2:$G$3001,Расчет!$I$2:$I$3001,$K3,Расчет!$H$2:$H$3001,2))</f>
        <v/>
      </c>
      <c r="J3">
        <f>IF($L3="","",SUMIFS(Расчет!$G$2:$G$3001,Расчет!$I$2:$I$3001,$K3,Расчет!$H$2:$H$3001,3))</f>
        <v/>
      </c>
      <c r="K3">
        <f>IF($L3="","",INDEX(Расчет!$I$2:$I$3001,$L3))</f>
        <v/>
      </c>
      <c r="L3">
        <f>IFERROR(MATCH(ROW()-1,Расчет!$J$2:$J$3001,0),"")</f>
        <v/>
      </c>
    </row>
    <row r="4">
      <c r="A4">
        <f>IF($L4="","",B4&amp;"."&amp;C4&amp;"-"&amp;D4&amp;"-"&amp;H4&amp;"."&amp;I4&amp;"."&amp;J4)</f>
        <v/>
      </c>
      <c r="B4">
        <f>IF($L4="","",INDEX(Расчет!$A$2:$A$3001,$L4))</f>
        <v/>
      </c>
      <c r="C4">
        <f>IF($L4="","",INDEX(Расчет!$B$2:$B$3001,$L4))</f>
        <v/>
      </c>
      <c r="D4">
        <f>IF($L4="","",IF(ISNUMBER(FIND("(",INDEX(Расчет!$C$2:$C$3001,$L4))),SUBSTITUTE(MID(INDEX(Расчет!$C$2:$C$3001,$L4),FIND("(",INDEX(Расчет!$C$2:$C$3001,$L4))+1,99),")",""),INDEX(Расчет!$C$2:$C$3001,$L4)))</f>
        <v/>
      </c>
      <c r="E4">
        <f>IF($L4="","",INDEX(Расчет!$D$2:$D$3001,$L4))</f>
        <v/>
      </c>
      <c r="F4">
        <f>IF($L4="","",INDEX(Расчет!$E$2:$E$3001,$L4))</f>
        <v/>
      </c>
      <c r="G4">
        <f>IF($L4="","",IFERROR(--LEFT(INDEX(Расчет!$C$2:$C$3001,$L4),FIND("(",INDEX(Расчет!$C$2:$C$3001,$L4))-1),IFERROR(--LEFT(INDEX(Расчет!$C$2:$C$3001,$L4),1),"")))</f>
        <v/>
      </c>
      <c r="H4">
        <f>IF($L4="","",SUMIFS(Расчет!$G$2:$G$3001,Расчет!$I$2:$I$3001,$K4,Расчет!$H$2:$H$3001,1))</f>
        <v/>
      </c>
      <c r="I4">
        <f>IF($L4="","",SUMIFS(Расчет!$G$2:$G$3001,Расчет!$I$2:$I$3001,$K4,Расчет!$H$2:$H$3001,2))</f>
        <v/>
      </c>
      <c r="J4">
        <f>IF($L4="","",SUMIFS(Расчет!$G$2:$G$3001,Расчет!$I$2:$I$3001,$K4,Расчет!$H$2:$H$3001,3))</f>
        <v/>
      </c>
      <c r="K4">
        <f>IF($L4="","",INDEX(Расчет!$I$2:$I$3001,$L4))</f>
        <v/>
      </c>
      <c r="L4">
        <f>IFERROR(MATCH(ROW()-1,Расчет!$J$2:$J$3001,0),"")</f>
        <v/>
      </c>
    </row>
    <row r="5">
      <c r="A5">
        <f>IF($L5="","",B5&amp;"."&amp;C5&amp;"-"&amp;D5&amp;"-"&amp;H5&amp;"."&amp;I5&amp;"."&amp;J5)</f>
        <v/>
      </c>
      <c r="B5">
        <f>IF($L5="","",INDEX(Расчет!$A$2:$A$3001,$L5))</f>
        <v/>
      </c>
      <c r="C5">
        <f>IF($L5="","",INDEX(Расчет!$B$2:$B$3001,$L5))</f>
        <v/>
      </c>
      <c r="D5">
        <f>IF($L5="","",IF(ISNUMBER(FIND("(",INDEX(Расчет!$C$2:$C$3001,$L5))),SUBSTITUTE(MID(INDEX(Расчет!$C$2:$C$3001,$L5),FIND("(",INDEX(Расчет!$C$2:$C$3001,$L5))+1,99),")",""),INDEX(Расчет!$C$2:$C$3001,$L5)))</f>
        <v/>
      </c>
      <c r="E5">
        <f>IF($L5="","",INDEX(Расчет!$D$2:$D$3001,$L5))</f>
        <v/>
      </c>
      <c r="F5">
        <f>IF($L5="","",INDEX(Расчет!$E$2:$E$3001,$L5))</f>
        <v/>
      </c>
      <c r="G5">
        <f>IF($L5="","",IFERROR(--LEFT(INDEX(Расчет!$C$2:$C$3001,$L5),FIND("(",INDEX(Расчет!$C$2:$C$3001,$L5))-1),IFERROR(--LEFT(INDEX(Расчет!$C$2:$C$3001,$L5),1),"")))</f>
        <v/>
      </c>
      <c r="H5">
        <f>IF($L5="","",SUMIFS(Расчет!$G$2:$G$3001,Расчет!$I$2:$I$3001,$K5,Расчет!$H$2:$H$3001,1))</f>
        <v/>
      </c>
      <c r="I5">
        <f>IF($L5="","",SUMIFS(Расчет!$G$2:$G$3001,Расчет!$I$2:$I$3001,$K5,Расчет!$H$2:$H$3001,2))</f>
        <v/>
      </c>
      <c r="J5">
        <f>IF($L5="","",SUMIFS(Расчет!$G$2:$G$3001,Расчет!$I$2:$I$3001,$K5,Расчет!$H$2:$H$3001,3))</f>
        <v/>
      </c>
      <c r="K5">
        <f>IF($L5="","",INDEX(Расчет!$I$2:$I$3001,$L5))</f>
        <v/>
      </c>
      <c r="L5">
        <f>IFERROR(MATCH(ROW()-1,Расчет!$J$2:$J$3001,0),"")</f>
        <v/>
      </c>
    </row>
    <row r="6">
      <c r="A6">
        <f>IF($L6="","",B6&amp;"."&amp;C6&amp;"-"&amp;D6&amp;"-"&amp;H6&amp;"."&amp;I6&amp;"."&amp;J6)</f>
        <v/>
      </c>
      <c r="B6">
        <f>IF($L6="","",INDEX(Расчет!$A$2:$A$3001,$L6))</f>
        <v/>
      </c>
      <c r="C6">
        <f>IF($L6="","",INDEX(Расчет!$B$2:$B$3001,$L6))</f>
        <v/>
      </c>
      <c r="D6">
        <f>IF($L6="","",IF(ISNUMBER(FIND("(",INDEX(Расчет!$C$2:$C$3001,$L6))),SUBSTITUTE(MID(INDEX(Расчет!$C$2:$C$3001,$L6),FIND("(",INDEX(Расчет!$C$2:$C$3001,$L6))+1,99),")",""),INDEX(Расчет!$C$2:$C$3001,$L6)))</f>
        <v/>
      </c>
      <c r="E6">
        <f>IF($L6="","",INDEX(Расчет!$D$2:$D$3001,$L6))</f>
        <v/>
      </c>
      <c r="F6">
        <f>IF($L6="","",INDEX(Расчет!$E$2:$E$3001,$L6))</f>
        <v/>
      </c>
      <c r="G6">
        <f>IF($L6="","",IFERROR(--LEFT(INDEX(Расчет!$C$2:$C$3001,$L6),FIND("(",INDEX(Расчет!$C$2:$C$3001,$L6))-1),IFERROR(--LEFT(INDEX(Расчет!$C$2:$C$3001,$L6),1),"")))</f>
        <v/>
      </c>
      <c r="H6">
        <f>IF($L6="","",SUMIFS(Расчет!$G$2:$G$3001,Расчет!$I$2:$I$3001,$K6,Расчет!$H$2:$H$3001,1))</f>
        <v/>
      </c>
      <c r="I6">
        <f>IF($L6="","",SUMIFS(Расчет!$G$2:$G$3001,Расчет!$I$2:$I$3001,$K6,Расчет!$H$2:$H$3001,2))</f>
        <v/>
      </c>
      <c r="J6">
        <f>IF($L6="","",SUMIFS(Расчет!$G$2:$G$3001,Расчет!$I$2:$I$3001,$K6,Расчет!$H$2:$H$3001,3))</f>
        <v/>
      </c>
      <c r="K6">
        <f>IF($L6="","",INDEX(Расчет!$I$2:$I$3001,$L6))</f>
        <v/>
      </c>
      <c r="L6">
        <f>IFERROR(MATCH(ROW()-1,Расчет!$J$2:$J$3001,0),"")</f>
        <v/>
      </c>
    </row>
    <row r="7">
      <c r="A7">
        <f>IF($L7="","",B7&amp;"."&amp;C7&amp;"-"&amp;D7&amp;"-"&amp;H7&amp;"."&amp;I7&amp;"."&amp;J7)</f>
        <v/>
      </c>
      <c r="B7">
        <f>IF($L7="","",INDEX(Расчет!$A$2:$A$3001,$L7))</f>
        <v/>
      </c>
      <c r="C7">
        <f>IF($L7="","",INDEX(Расчет!$B$2:$B$3001,$L7))</f>
        <v/>
      </c>
      <c r="D7">
        <f>IF($L7="","",IF(ISNUMBER(FIND("(",INDEX(Расчет!$C$2:$C$3001,$L7))),SUBSTITUTE(MID(INDEX(Расчет!$C$2:$C$3001,$L7),FIND("(",INDEX(Расчет!$C$2:$C$3001,$L7))+1,99),")",""),INDEX(Расчет!$C$2:$C$3001,$L7)))</f>
        <v/>
      </c>
      <c r="E7">
        <f>IF($L7="","",INDEX(Расчет!$D$2:$D$3001,$L7))</f>
        <v/>
      </c>
      <c r="F7">
        <f>IF($L7="","",INDEX(Расчет!$E$2:$E$3001,$L7))</f>
        <v/>
      </c>
      <c r="G7">
        <f>IF($L7="","",IFERROR(--LEFT(INDEX(Расчет!$C$2:$C$3001,$L7),FIND("(",INDEX(Расчет!$C$2:$C$3001,$L7))-1),IFERROR(--LEFT(INDEX(Расчет!$C$2:$C$3001,$L7),1),"")))</f>
        <v/>
      </c>
      <c r="H7">
        <f>IF($L7="","",SUMIFS(Расчет!$G$2:$G$3001,Расчет!$I$2:$I$3001,$K7,Расчет!$H$2:$H$3001,1))</f>
        <v/>
      </c>
      <c r="I7">
        <f>IF($L7="","",SUMIFS(Расчет!$G$2:$G$3001,Расчет!$I$2:$I$3001,$K7,Расчет!$H$2:$H$3001,2))</f>
        <v/>
      </c>
      <c r="J7">
        <f>IF($L7="","",SUMIFS(Расчет!$G$2:$G$3001,Расчет!$I$2:$I$3001,$K7,Расчет!$H$2:$H$3001,3))</f>
        <v/>
      </c>
      <c r="K7">
        <f>IF($L7="","",INDEX(Расчет!$I$2:$I$3001,$L7))</f>
        <v/>
      </c>
      <c r="L7">
        <f>IFERROR(MATCH(ROW()-1,Расчет!$J$2:$J$3001,0),"")</f>
        <v/>
      </c>
    </row>
    <row r="8">
      <c r="A8">
        <f>IF($L8="","",B8&amp;"."&amp;C8&amp;"-"&amp;D8&amp;"-"&amp;H8&amp;"."&amp;I8&amp;"."&amp;J8)</f>
        <v/>
      </c>
      <c r="B8">
        <f>IF($L8="","",INDEX(Расчет!$A$2:$A$3001,$L8))</f>
        <v/>
      </c>
      <c r="C8">
        <f>IF($L8="","",INDEX(Расчет!$B$2:$B$3001,$L8))</f>
        <v/>
      </c>
      <c r="D8">
        <f>IF($L8="","",IF(ISNUMBER(FIND("(",INDEX(Расчет!$C$2:$C$3001,$L8))),SUBSTITUTE(MID(INDEX(Расчет!$C$2:$C$3001,$L8),FIND("(",INDEX(Расчет!$C$2:$C$3001,$L8))+1,99),")",""),INDEX(Расчет!$C$2:$C$3001,$L8)))</f>
        <v/>
      </c>
      <c r="E8">
        <f>IF($L8="","",INDEX(Расчет!$D$2:$D$3001,$L8))</f>
        <v/>
      </c>
      <c r="F8">
        <f>IF($L8="","",INDEX(Расчет!$E$2:$E$3001,$L8))</f>
        <v/>
      </c>
      <c r="G8">
        <f>IF($L8="","",IFERROR(--LEFT(INDEX(Расчет!$C$2:$C$3001,$L8),FIND("(",INDEX(Расчет!$C$2:$C$3001,$L8))-1),IFERROR(--LEFT(INDEX(Расчет!$C$2:$C$3001,$L8),1),"")))</f>
        <v/>
      </c>
      <c r="H8">
        <f>IF($L8="","",SUMIFS(Расчет!$G$2:$G$3001,Расчет!$I$2:$I$3001,$K8,Расчет!$H$2:$H$3001,1))</f>
        <v/>
      </c>
      <c r="I8">
        <f>IF($L8="","",SUMIFS(Расчет!$G$2:$G$3001,Расчет!$I$2:$I$3001,$K8,Расчет!$H$2:$H$3001,2))</f>
        <v/>
      </c>
      <c r="J8">
        <f>IF($L8="","",SUMIFS(Расчет!$G$2:$G$3001,Расчет!$I$2:$I$3001,$K8,Расчет!$H$2:$H$3001,3))</f>
        <v/>
      </c>
      <c r="K8">
        <f>IF($L8="","",INDEX(Расчет!$I$2:$I$3001,$L8))</f>
        <v/>
      </c>
      <c r="L8">
        <f>IFERROR(MATCH(ROW()-1,Расчет!$J$2:$J$3001,0),"")</f>
        <v/>
      </c>
    </row>
    <row r="9">
      <c r="A9">
        <f>IF($L9="","",B9&amp;"."&amp;C9&amp;"-"&amp;D9&amp;"-"&amp;H9&amp;"."&amp;I9&amp;"."&amp;J9)</f>
        <v/>
      </c>
      <c r="B9">
        <f>IF($L9="","",INDEX(Расчет!$A$2:$A$3001,$L9))</f>
        <v/>
      </c>
      <c r="C9">
        <f>IF($L9="","",INDEX(Расчет!$B$2:$B$3001,$L9))</f>
        <v/>
      </c>
      <c r="D9">
        <f>IF($L9="","",IF(ISNUMBER(FIND("(",INDEX(Расчет!$C$2:$C$3001,$L9))),SUBSTITUTE(MID(INDEX(Расчет!$C$2:$C$3001,$L9),FIND("(",INDEX(Расчет!$C$2:$C$3001,$L9))+1,99),")",""),INDEX(Расчет!$C$2:$C$3001,$L9)))</f>
        <v/>
      </c>
      <c r="E9">
        <f>IF($L9="","",INDEX(Расчет!$D$2:$D$3001,$L9))</f>
        <v/>
      </c>
      <c r="F9">
        <f>IF($L9="","",INDEX(Расчет!$E$2:$E$3001,$L9))</f>
        <v/>
      </c>
      <c r="G9">
        <f>IF($L9="","",IFERROR(--LEFT(INDEX(Расчет!$C$2:$C$3001,$L9),FIND("(",INDEX(Расчет!$C$2:$C$3001,$L9))-1),IFERROR(--LEFT(INDEX(Расчет!$C$2:$C$3001,$L9),1),"")))</f>
        <v/>
      </c>
      <c r="H9">
        <f>IF($L9="","",SUMIFS(Расчет!$G$2:$G$3001,Расчет!$I$2:$I$3001,$K9,Расчет!$H$2:$H$3001,1))</f>
        <v/>
      </c>
      <c r="I9">
        <f>IF($L9="","",SUMIFS(Расчет!$G$2:$G$3001,Расчет!$I$2:$I$3001,$K9,Расчет!$H$2:$H$3001,2))</f>
        <v/>
      </c>
      <c r="J9">
        <f>IF($L9="","",SUMIFS(Расчет!$G$2:$G$3001,Расчет!$I$2:$I$3001,$K9,Расчет!$H$2:$H$3001,3))</f>
        <v/>
      </c>
      <c r="K9">
        <f>IF($L9="","",INDEX(Расчет!$I$2:$I$3001,$L9))</f>
        <v/>
      </c>
      <c r="L9">
        <f>IFERROR(MATCH(ROW()-1,Расчет!$J$2:$J$3001,0),"")</f>
        <v/>
      </c>
    </row>
    <row r="10">
      <c r="A10">
        <f>IF($L10="","",B10&amp;"."&amp;C10&amp;"-"&amp;D10&amp;"-"&amp;H10&amp;"."&amp;I10&amp;"."&amp;J10)</f>
        <v/>
      </c>
      <c r="B10">
        <f>IF($L10="","",INDEX(Расчет!$A$2:$A$3001,$L10))</f>
        <v/>
      </c>
      <c r="C10">
        <f>IF($L10="","",INDEX(Расчет!$B$2:$B$3001,$L10))</f>
        <v/>
      </c>
      <c r="D10">
        <f>IF($L10="","",IF(ISNUMBER(FIND("(",INDEX(Расчет!$C$2:$C$3001,$L10))),SUBSTITUTE(MID(INDEX(Расчет!$C$2:$C$3001,$L10),FIND("(",INDEX(Расчет!$C$2:$C$3001,$L10))+1,99),")",""),INDEX(Расчет!$C$2:$C$3001,$L10)))</f>
        <v/>
      </c>
      <c r="E10">
        <f>IF($L10="","",INDEX(Расчет!$D$2:$D$3001,$L10))</f>
        <v/>
      </c>
      <c r="F10">
        <f>IF($L10="","",INDEX(Расчет!$E$2:$E$3001,$L10))</f>
        <v/>
      </c>
      <c r="G10">
        <f>IF($L10="","",IFERROR(--LEFT(INDEX(Расчет!$C$2:$C$3001,$L10),FIND("(",INDEX(Расчет!$C$2:$C$3001,$L10))-1),IFERROR(--LEFT(INDEX(Расчет!$C$2:$C$3001,$L10),1),"")))</f>
        <v/>
      </c>
      <c r="H10">
        <f>IF($L10="","",SUMIFS(Расчет!$G$2:$G$3001,Расчет!$I$2:$I$3001,$K10,Расчет!$H$2:$H$3001,1))</f>
        <v/>
      </c>
      <c r="I10">
        <f>IF($L10="","",SUMIFS(Расчет!$G$2:$G$3001,Расчет!$I$2:$I$3001,$K10,Расчет!$H$2:$H$3001,2))</f>
        <v/>
      </c>
      <c r="J10">
        <f>IF($L10="","",SUMIFS(Расчет!$G$2:$G$3001,Расчет!$I$2:$I$3001,$K10,Расчет!$H$2:$H$3001,3))</f>
        <v/>
      </c>
      <c r="K10">
        <f>IF($L10="","",INDEX(Расчет!$I$2:$I$3001,$L10))</f>
        <v/>
      </c>
      <c r="L10">
        <f>IFERROR(MATCH(ROW()-1,Расчет!$J$2:$J$3001,0),"")</f>
        <v/>
      </c>
    </row>
    <row r="11">
      <c r="A11">
        <f>IF($L11="","",B11&amp;"."&amp;C11&amp;"-"&amp;D11&amp;"-"&amp;H11&amp;"."&amp;I11&amp;"."&amp;J11)</f>
        <v/>
      </c>
      <c r="B11">
        <f>IF($L11="","",INDEX(Расчет!$A$2:$A$3001,$L11))</f>
        <v/>
      </c>
      <c r="C11">
        <f>IF($L11="","",INDEX(Расчет!$B$2:$B$3001,$L11))</f>
        <v/>
      </c>
      <c r="D11">
        <f>IF($L11="","",IF(ISNUMBER(FIND("(",INDEX(Расчет!$C$2:$C$3001,$L11))),SUBSTITUTE(MID(INDEX(Расчет!$C$2:$C$3001,$L11),FIND("(",INDEX(Расчет!$C$2:$C$3001,$L11))+1,99),")",""),INDEX(Расчет!$C$2:$C$3001,$L11)))</f>
        <v/>
      </c>
      <c r="E11">
        <f>IF($L11="","",INDEX(Расчет!$D$2:$D$3001,$L11))</f>
        <v/>
      </c>
      <c r="F11">
        <f>IF($L11="","",INDEX(Расчет!$E$2:$E$3001,$L11))</f>
        <v/>
      </c>
      <c r="G11">
        <f>IF($L11="","",IFERROR(--LEFT(INDEX(Расчет!$C$2:$C$3001,$L11),FIND("(",INDEX(Расчет!$C$2:$C$3001,$L11))-1),IFERROR(--LEFT(INDEX(Расчет!$C$2:$C$3001,$L11),1),"")))</f>
        <v/>
      </c>
      <c r="H11">
        <f>IF($L11="","",SUMIFS(Расчет!$G$2:$G$3001,Расчет!$I$2:$I$3001,$K11,Расчет!$H$2:$H$3001,1))</f>
        <v/>
      </c>
      <c r="I11">
        <f>IF($L11="","",SUMIFS(Расчет!$G$2:$G$3001,Расчет!$I$2:$I$3001,$K11,Расчет!$H$2:$H$3001,2))</f>
        <v/>
      </c>
      <c r="J11">
        <f>IF($L11="","",SUMIFS(Расчет!$G$2:$G$3001,Расчет!$I$2:$I$3001,$K11,Расчет!$H$2:$H$3001,3))</f>
        <v/>
      </c>
      <c r="K11">
        <f>IF($L11="","",INDEX(Расчет!$I$2:$I$3001,$L11))</f>
        <v/>
      </c>
      <c r="L11">
        <f>IFERROR(MATCH(ROW()-1,Расчет!$J$2:$J$3001,0),"")</f>
        <v/>
      </c>
    </row>
    <row r="12">
      <c r="A12">
        <f>IF($L12="","",B12&amp;"."&amp;C12&amp;"-"&amp;D12&amp;"-"&amp;H12&amp;"."&amp;I12&amp;"."&amp;J12)</f>
        <v/>
      </c>
      <c r="B12">
        <f>IF($L12="","",INDEX(Расчет!$A$2:$A$3001,$L12))</f>
        <v/>
      </c>
      <c r="C12">
        <f>IF($L12="","",INDEX(Расчет!$B$2:$B$3001,$L12))</f>
        <v/>
      </c>
      <c r="D12">
        <f>IF($L12="","",IF(ISNUMBER(FIND("(",INDEX(Расчет!$C$2:$C$3001,$L12))),SUBSTITUTE(MID(INDEX(Расчет!$C$2:$C$3001,$L12),FIND("(",INDEX(Расчет!$C$2:$C$3001,$L12))+1,99),")",""),INDEX(Расчет!$C$2:$C$3001,$L12)))</f>
        <v/>
      </c>
      <c r="E12">
        <f>IF($L12="","",INDEX(Расчет!$D$2:$D$3001,$L12))</f>
        <v/>
      </c>
      <c r="F12">
        <f>IF($L12="","",INDEX(Расчет!$E$2:$E$3001,$L12))</f>
        <v/>
      </c>
      <c r="G12">
        <f>IF($L12="","",IFERROR(--LEFT(INDEX(Расчет!$C$2:$C$3001,$L12),FIND("(",INDEX(Расчет!$C$2:$C$3001,$L12))-1),IFERROR(--LEFT(INDEX(Расчет!$C$2:$C$3001,$L12),1),"")))</f>
        <v/>
      </c>
      <c r="H12">
        <f>IF($L12="","",SUMIFS(Расчет!$G$2:$G$3001,Расчет!$I$2:$I$3001,$K12,Расчет!$H$2:$H$3001,1))</f>
        <v/>
      </c>
      <c r="I12">
        <f>IF($L12="","",SUMIFS(Расчет!$G$2:$G$3001,Расчет!$I$2:$I$3001,$K12,Расчет!$H$2:$H$3001,2))</f>
        <v/>
      </c>
      <c r="J12">
        <f>IF($L12="","",SUMIFS(Расчет!$G$2:$G$3001,Расчет!$I$2:$I$3001,$K12,Расчет!$H$2:$H$3001,3))</f>
        <v/>
      </c>
      <c r="K12">
        <f>IF($L12="","",INDEX(Расчет!$I$2:$I$3001,$L12))</f>
        <v/>
      </c>
      <c r="L12">
        <f>IFERROR(MATCH(ROW()-1,Расчет!$J$2:$J$3001,0),"")</f>
        <v/>
      </c>
    </row>
    <row r="13">
      <c r="A13">
        <f>IF($L13="","",B13&amp;"."&amp;C13&amp;"-"&amp;D13&amp;"-"&amp;H13&amp;"."&amp;I13&amp;"."&amp;J13)</f>
        <v/>
      </c>
      <c r="B13">
        <f>IF($L13="","",INDEX(Расчет!$A$2:$A$3001,$L13))</f>
        <v/>
      </c>
      <c r="C13">
        <f>IF($L13="","",INDEX(Расчет!$B$2:$B$3001,$L13))</f>
        <v/>
      </c>
      <c r="D13">
        <f>IF($L13="","",IF(ISNUMBER(FIND("(",INDEX(Расчет!$C$2:$C$3001,$L13))),SUBSTITUTE(MID(INDEX(Расчет!$C$2:$C$3001,$L13),FIND("(",INDEX(Расчет!$C$2:$C$3001,$L13))+1,99),")",""),INDEX(Расчет!$C$2:$C$3001,$L13)))</f>
        <v/>
      </c>
      <c r="E13">
        <f>IF($L13="","",INDEX(Расчет!$D$2:$D$3001,$L13))</f>
        <v/>
      </c>
      <c r="F13">
        <f>IF($L13="","",INDEX(Расчет!$E$2:$E$3001,$L13))</f>
        <v/>
      </c>
      <c r="G13">
        <f>IF($L13="","",IFERROR(--LEFT(INDEX(Расчет!$C$2:$C$3001,$L13),FIND("(",INDEX(Расчет!$C$2:$C$3001,$L13))-1),IFERROR(--LEFT(INDEX(Расчет!$C$2:$C$3001,$L13),1),"")))</f>
        <v/>
      </c>
      <c r="H13">
        <f>IF($L13="","",SUMIFS(Расчет!$G$2:$G$3001,Расчет!$I$2:$I$3001,$K13,Расчет!$H$2:$H$3001,1))</f>
        <v/>
      </c>
      <c r="I13">
        <f>IF($L13="","",SUMIFS(Расчет!$G$2:$G$3001,Расчет!$I$2:$I$3001,$K13,Расчет!$H$2:$H$3001,2))</f>
        <v/>
      </c>
      <c r="J13">
        <f>IF($L13="","",SUMIFS(Расчет!$G$2:$G$3001,Расчет!$I$2:$I$3001,$K13,Расчет!$H$2:$H$3001,3))</f>
        <v/>
      </c>
      <c r="K13">
        <f>IF($L13="","",INDEX(Расчет!$I$2:$I$3001,$L13))</f>
        <v/>
      </c>
      <c r="L13">
        <f>IFERROR(MATCH(ROW()-1,Расчет!$J$2:$J$3001,0),"")</f>
        <v/>
      </c>
    </row>
    <row r="14">
      <c r="A14">
        <f>IF($L14="","",B14&amp;"."&amp;C14&amp;"-"&amp;D14&amp;"-"&amp;H14&amp;"."&amp;I14&amp;"."&amp;J14)</f>
        <v/>
      </c>
      <c r="B14">
        <f>IF($L14="","",INDEX(Расчет!$A$2:$A$3001,$L14))</f>
        <v/>
      </c>
      <c r="C14">
        <f>IF($L14="","",INDEX(Расчет!$B$2:$B$3001,$L14))</f>
        <v/>
      </c>
      <c r="D14">
        <f>IF($L14="","",IF(ISNUMBER(FIND("(",INDEX(Расчет!$C$2:$C$3001,$L14))),SUBSTITUTE(MID(INDEX(Расчет!$C$2:$C$3001,$L14),FIND("(",INDEX(Расчет!$C$2:$C$3001,$L14))+1,99),")",""),INDEX(Расчет!$C$2:$C$3001,$L14)))</f>
        <v/>
      </c>
      <c r="E14">
        <f>IF($L14="","",INDEX(Расчет!$D$2:$D$3001,$L14))</f>
        <v/>
      </c>
      <c r="F14">
        <f>IF($L14="","",INDEX(Расчет!$E$2:$E$3001,$L14))</f>
        <v/>
      </c>
      <c r="G14">
        <f>IF($L14="","",IFERROR(--LEFT(INDEX(Расчет!$C$2:$C$3001,$L14),FIND("(",INDEX(Расчет!$C$2:$C$3001,$L14))-1),IFERROR(--LEFT(INDEX(Расчет!$C$2:$C$3001,$L14),1),"")))</f>
        <v/>
      </c>
      <c r="H14">
        <f>IF($L14="","",SUMIFS(Расчет!$G$2:$G$3001,Расчет!$I$2:$I$3001,$K14,Расчет!$H$2:$H$3001,1))</f>
        <v/>
      </c>
      <c r="I14">
        <f>IF($L14="","",SUMIFS(Расчет!$G$2:$G$3001,Расчет!$I$2:$I$3001,$K14,Расчет!$H$2:$H$3001,2))</f>
        <v/>
      </c>
      <c r="J14">
        <f>IF($L14="","",SUMIFS(Расчет!$G$2:$G$3001,Расчет!$I$2:$I$3001,$K14,Расчет!$H$2:$H$3001,3))</f>
        <v/>
      </c>
      <c r="K14">
        <f>IF($L14="","",INDEX(Расчет!$I$2:$I$3001,$L14))</f>
        <v/>
      </c>
      <c r="L14">
        <f>IFERROR(MATCH(ROW()-1,Расчет!$J$2:$J$3001,0),"")</f>
        <v/>
      </c>
    </row>
    <row r="15">
      <c r="A15">
        <f>IF($L15="","",B15&amp;"."&amp;C15&amp;"-"&amp;D15&amp;"-"&amp;H15&amp;"."&amp;I15&amp;"."&amp;J15)</f>
        <v/>
      </c>
      <c r="B15">
        <f>IF($L15="","",INDEX(Расчет!$A$2:$A$3001,$L15))</f>
        <v/>
      </c>
      <c r="C15">
        <f>IF($L15="","",INDEX(Расчет!$B$2:$B$3001,$L15))</f>
        <v/>
      </c>
      <c r="D15">
        <f>IF($L15="","",IF(ISNUMBER(FIND("(",INDEX(Расчет!$C$2:$C$3001,$L15))),SUBSTITUTE(MID(INDEX(Расчет!$C$2:$C$3001,$L15),FIND("(",INDEX(Расчет!$C$2:$C$3001,$L15))+1,99),")",""),INDEX(Расчет!$C$2:$C$3001,$L15)))</f>
        <v/>
      </c>
      <c r="E15">
        <f>IF($L15="","",INDEX(Расчет!$D$2:$D$3001,$L15))</f>
        <v/>
      </c>
      <c r="F15">
        <f>IF($L15="","",INDEX(Расчет!$E$2:$E$3001,$L15))</f>
        <v/>
      </c>
      <c r="G15">
        <f>IF($L15="","",IFERROR(--LEFT(INDEX(Расчет!$C$2:$C$3001,$L15),FIND("(",INDEX(Расчет!$C$2:$C$3001,$L15))-1),IFERROR(--LEFT(INDEX(Расчет!$C$2:$C$3001,$L15),1),"")))</f>
        <v/>
      </c>
      <c r="H15">
        <f>IF($L15="","",SUMIFS(Расчет!$G$2:$G$3001,Расчет!$I$2:$I$3001,$K15,Расчет!$H$2:$H$3001,1))</f>
        <v/>
      </c>
      <c r="I15">
        <f>IF($L15="","",SUMIFS(Расчет!$G$2:$G$3001,Расчет!$I$2:$I$3001,$K15,Расчет!$H$2:$H$3001,2))</f>
        <v/>
      </c>
      <c r="J15">
        <f>IF($L15="","",SUMIFS(Расчет!$G$2:$G$3001,Расчет!$I$2:$I$3001,$K15,Расчет!$H$2:$H$3001,3))</f>
        <v/>
      </c>
      <c r="K15">
        <f>IF($L15="","",INDEX(Расчет!$I$2:$I$3001,$L15))</f>
        <v/>
      </c>
      <c r="L15">
        <f>IFERROR(MATCH(ROW()-1,Расчет!$J$2:$J$3001,0),"")</f>
        <v/>
      </c>
    </row>
    <row r="16">
      <c r="A16">
        <f>IF($L16="","",B16&amp;"."&amp;C16&amp;"-"&amp;D16&amp;"-"&amp;H16&amp;"."&amp;I16&amp;"."&amp;J16)</f>
        <v/>
      </c>
      <c r="B16">
        <f>IF($L16="","",INDEX(Расчет!$A$2:$A$3001,$L16))</f>
        <v/>
      </c>
      <c r="C16">
        <f>IF($L16="","",INDEX(Расчет!$B$2:$B$3001,$L16))</f>
        <v/>
      </c>
      <c r="D16">
        <f>IF($L16="","",IF(ISNUMBER(FIND("(",INDEX(Расчет!$C$2:$C$3001,$L16))),SUBSTITUTE(MID(INDEX(Расчет!$C$2:$C$3001,$L16),FIND("(",INDEX(Расчет!$C$2:$C$3001,$L16))+1,99),")",""),INDEX(Расчет!$C$2:$C$3001,$L16)))</f>
        <v/>
      </c>
      <c r="E16">
        <f>IF($L16="","",INDEX(Расчет!$D$2:$D$3001,$L16))</f>
        <v/>
      </c>
      <c r="F16">
        <f>IF($L16="","",INDEX(Расчет!$E$2:$E$3001,$L16))</f>
        <v/>
      </c>
      <c r="G16">
        <f>IF($L16="","",IFERROR(--LEFT(INDEX(Расчет!$C$2:$C$3001,$L16),FIND("(",INDEX(Расчет!$C$2:$C$3001,$L16))-1),IFERROR(--LEFT(INDEX(Расчет!$C$2:$C$3001,$L16),1),"")))</f>
        <v/>
      </c>
      <c r="H16">
        <f>IF($L16="","",SUMIFS(Расчет!$G$2:$G$3001,Расчет!$I$2:$I$3001,$K16,Расчет!$H$2:$H$3001,1))</f>
        <v/>
      </c>
      <c r="I16">
        <f>IF($L16="","",SUMIFS(Расчет!$G$2:$G$3001,Расчет!$I$2:$I$3001,$K16,Расчет!$H$2:$H$3001,2))</f>
        <v/>
      </c>
      <c r="J16">
        <f>IF($L16="","",SUMIFS(Расчет!$G$2:$G$3001,Расчет!$I$2:$I$3001,$K16,Расчет!$H$2:$H$3001,3))</f>
        <v/>
      </c>
      <c r="K16">
        <f>IF($L16="","",INDEX(Расчет!$I$2:$I$3001,$L16))</f>
        <v/>
      </c>
      <c r="L16">
        <f>IFERROR(MATCH(ROW()-1,Расчет!$J$2:$J$3001,0),"")</f>
        <v/>
      </c>
    </row>
    <row r="17">
      <c r="A17">
        <f>IF($L17="","",B17&amp;"."&amp;C17&amp;"-"&amp;D17&amp;"-"&amp;H17&amp;"."&amp;I17&amp;"."&amp;J17)</f>
        <v/>
      </c>
      <c r="B17">
        <f>IF($L17="","",INDEX(Расчет!$A$2:$A$3001,$L17))</f>
        <v/>
      </c>
      <c r="C17">
        <f>IF($L17="","",INDEX(Расчет!$B$2:$B$3001,$L17))</f>
        <v/>
      </c>
      <c r="D17">
        <f>IF($L17="","",IF(ISNUMBER(FIND("(",INDEX(Расчет!$C$2:$C$3001,$L17))),SUBSTITUTE(MID(INDEX(Расчет!$C$2:$C$3001,$L17),FIND("(",INDEX(Расчет!$C$2:$C$3001,$L17))+1,99),")",""),INDEX(Расчет!$C$2:$C$3001,$L17)))</f>
        <v/>
      </c>
      <c r="E17">
        <f>IF($L17="","",INDEX(Расчет!$D$2:$D$3001,$L17))</f>
        <v/>
      </c>
      <c r="F17">
        <f>IF($L17="","",INDEX(Расчет!$E$2:$E$3001,$L17))</f>
        <v/>
      </c>
      <c r="G17">
        <f>IF($L17="","",IFERROR(--LEFT(INDEX(Расчет!$C$2:$C$3001,$L17),FIND("(",INDEX(Расчет!$C$2:$C$3001,$L17))-1),IFERROR(--LEFT(INDEX(Расчет!$C$2:$C$3001,$L17),1),"")))</f>
        <v/>
      </c>
      <c r="H17">
        <f>IF($L17="","",SUMIFS(Расчет!$G$2:$G$3001,Расчет!$I$2:$I$3001,$K17,Расчет!$H$2:$H$3001,1))</f>
        <v/>
      </c>
      <c r="I17">
        <f>IF($L17="","",SUMIFS(Расчет!$G$2:$G$3001,Расчет!$I$2:$I$3001,$K17,Расчет!$H$2:$H$3001,2))</f>
        <v/>
      </c>
      <c r="J17">
        <f>IF($L17="","",SUMIFS(Расчет!$G$2:$G$3001,Расчет!$I$2:$I$3001,$K17,Расчет!$H$2:$H$3001,3))</f>
        <v/>
      </c>
      <c r="K17">
        <f>IF($L17="","",INDEX(Расчет!$I$2:$I$3001,$L17))</f>
        <v/>
      </c>
      <c r="L17">
        <f>IFERROR(MATCH(ROW()-1,Расчет!$J$2:$J$3001,0),"")</f>
        <v/>
      </c>
    </row>
    <row r="18">
      <c r="A18">
        <f>IF($L18="","",B18&amp;"."&amp;C18&amp;"-"&amp;D18&amp;"-"&amp;H18&amp;"."&amp;I18&amp;"."&amp;J18)</f>
        <v/>
      </c>
      <c r="B18">
        <f>IF($L18="","",INDEX(Расчет!$A$2:$A$3001,$L18))</f>
        <v/>
      </c>
      <c r="C18">
        <f>IF($L18="","",INDEX(Расчет!$B$2:$B$3001,$L18))</f>
        <v/>
      </c>
      <c r="D18">
        <f>IF($L18="","",IF(ISNUMBER(FIND("(",INDEX(Расчет!$C$2:$C$3001,$L18))),SUBSTITUTE(MID(INDEX(Расчет!$C$2:$C$3001,$L18),FIND("(",INDEX(Расчет!$C$2:$C$3001,$L18))+1,99),")",""),INDEX(Расчет!$C$2:$C$3001,$L18)))</f>
        <v/>
      </c>
      <c r="E18">
        <f>IF($L18="","",INDEX(Расчет!$D$2:$D$3001,$L18))</f>
        <v/>
      </c>
      <c r="F18">
        <f>IF($L18="","",INDEX(Расчет!$E$2:$E$3001,$L18))</f>
        <v/>
      </c>
      <c r="G18">
        <f>IF($L18="","",IFERROR(--LEFT(INDEX(Расчет!$C$2:$C$3001,$L18),FIND("(",INDEX(Расчет!$C$2:$C$3001,$L18))-1),IFERROR(--LEFT(INDEX(Расчет!$C$2:$C$3001,$L18),1),"")))</f>
        <v/>
      </c>
      <c r="H18">
        <f>IF($L18="","",SUMIFS(Расчет!$G$2:$G$3001,Расчет!$I$2:$I$3001,$K18,Расчет!$H$2:$H$3001,1))</f>
        <v/>
      </c>
      <c r="I18">
        <f>IF($L18="","",SUMIFS(Расчет!$G$2:$G$3001,Расчет!$I$2:$I$3001,$K18,Расчет!$H$2:$H$3001,2))</f>
        <v/>
      </c>
      <c r="J18">
        <f>IF($L18="","",SUMIFS(Расчет!$G$2:$G$3001,Расчет!$I$2:$I$3001,$K18,Расчет!$H$2:$H$3001,3))</f>
        <v/>
      </c>
      <c r="K18">
        <f>IF($L18="","",INDEX(Расчет!$I$2:$I$3001,$L18))</f>
        <v/>
      </c>
      <c r="L18">
        <f>IFERROR(MATCH(ROW()-1,Расчет!$J$2:$J$3001,0),"")</f>
        <v/>
      </c>
    </row>
    <row r="19">
      <c r="A19">
        <f>IF($L19="","",B19&amp;"."&amp;C19&amp;"-"&amp;D19&amp;"-"&amp;H19&amp;"."&amp;I19&amp;"."&amp;J19)</f>
        <v/>
      </c>
      <c r="B19">
        <f>IF($L19="","",INDEX(Расчет!$A$2:$A$3001,$L19))</f>
        <v/>
      </c>
      <c r="C19">
        <f>IF($L19="","",INDEX(Расчет!$B$2:$B$3001,$L19))</f>
        <v/>
      </c>
      <c r="D19">
        <f>IF($L19="","",IF(ISNUMBER(FIND("(",INDEX(Расчет!$C$2:$C$3001,$L19))),SUBSTITUTE(MID(INDEX(Расчет!$C$2:$C$3001,$L19),FIND("(",INDEX(Расчет!$C$2:$C$3001,$L19))+1,99),")",""),INDEX(Расчет!$C$2:$C$3001,$L19)))</f>
        <v/>
      </c>
      <c r="E19">
        <f>IF($L19="","",INDEX(Расчет!$D$2:$D$3001,$L19))</f>
        <v/>
      </c>
      <c r="F19">
        <f>IF($L19="","",INDEX(Расчет!$E$2:$E$3001,$L19))</f>
        <v/>
      </c>
      <c r="G19">
        <f>IF($L19="","",IFERROR(--LEFT(INDEX(Расчет!$C$2:$C$3001,$L19),FIND("(",INDEX(Расчет!$C$2:$C$3001,$L19))-1),IFERROR(--LEFT(INDEX(Расчет!$C$2:$C$3001,$L19),1),"")))</f>
        <v/>
      </c>
      <c r="H19">
        <f>IF($L19="","",SUMIFS(Расчет!$G$2:$G$3001,Расчет!$I$2:$I$3001,$K19,Расчет!$H$2:$H$3001,1))</f>
        <v/>
      </c>
      <c r="I19">
        <f>IF($L19="","",SUMIFS(Расчет!$G$2:$G$3001,Расчет!$I$2:$I$3001,$K19,Расчет!$H$2:$H$3001,2))</f>
        <v/>
      </c>
      <c r="J19">
        <f>IF($L19="","",SUMIFS(Расчет!$G$2:$G$3001,Расчет!$I$2:$I$3001,$K19,Расчет!$H$2:$H$3001,3))</f>
        <v/>
      </c>
      <c r="K19">
        <f>IF($L19="","",INDEX(Расчет!$I$2:$I$3001,$L19))</f>
        <v/>
      </c>
      <c r="L19">
        <f>IFERROR(MATCH(ROW()-1,Расчет!$J$2:$J$3001,0),"")</f>
        <v/>
      </c>
    </row>
    <row r="20">
      <c r="A20">
        <f>IF($L20="","",B20&amp;"."&amp;C20&amp;"-"&amp;D20&amp;"-"&amp;H20&amp;"."&amp;I20&amp;"."&amp;J20)</f>
        <v/>
      </c>
      <c r="B20">
        <f>IF($L20="","",INDEX(Расчет!$A$2:$A$3001,$L20))</f>
        <v/>
      </c>
      <c r="C20">
        <f>IF($L20="","",INDEX(Расчет!$B$2:$B$3001,$L20))</f>
        <v/>
      </c>
      <c r="D20">
        <f>IF($L20="","",IF(ISNUMBER(FIND("(",INDEX(Расчет!$C$2:$C$3001,$L20))),SUBSTITUTE(MID(INDEX(Расчет!$C$2:$C$3001,$L20),FIND("(",INDEX(Расчет!$C$2:$C$3001,$L20))+1,99),")",""),INDEX(Расчет!$C$2:$C$3001,$L20)))</f>
        <v/>
      </c>
      <c r="E20">
        <f>IF($L20="","",INDEX(Расчет!$D$2:$D$3001,$L20))</f>
        <v/>
      </c>
      <c r="F20">
        <f>IF($L20="","",INDEX(Расчет!$E$2:$E$3001,$L20))</f>
        <v/>
      </c>
      <c r="G20">
        <f>IF($L20="","",IFERROR(--LEFT(INDEX(Расчет!$C$2:$C$3001,$L20),FIND("(",INDEX(Расчет!$C$2:$C$3001,$L20))-1),IFERROR(--LEFT(INDEX(Расчет!$C$2:$C$3001,$L20),1),"")))</f>
        <v/>
      </c>
      <c r="H20">
        <f>IF($L20="","",SUMIFS(Расчет!$G$2:$G$3001,Расчет!$I$2:$I$3001,$K20,Расчет!$H$2:$H$3001,1))</f>
        <v/>
      </c>
      <c r="I20">
        <f>IF($L20="","",SUMIFS(Расчет!$G$2:$G$3001,Расчет!$I$2:$I$3001,$K20,Расчет!$H$2:$H$3001,2))</f>
        <v/>
      </c>
      <c r="J20">
        <f>IF($L20="","",SUMIFS(Расчет!$G$2:$G$3001,Расчет!$I$2:$I$3001,$K20,Расчет!$H$2:$H$3001,3))</f>
        <v/>
      </c>
      <c r="K20">
        <f>IF($L20="","",INDEX(Расчет!$I$2:$I$3001,$L20))</f>
        <v/>
      </c>
      <c r="L20">
        <f>IFERROR(MATCH(ROW()-1,Расчет!$J$2:$J$3001,0),"")</f>
        <v/>
      </c>
    </row>
    <row r="21">
      <c r="A21">
        <f>IF($L21="","",B21&amp;"."&amp;C21&amp;"-"&amp;D21&amp;"-"&amp;H21&amp;"."&amp;I21&amp;"."&amp;J21)</f>
        <v/>
      </c>
      <c r="B21">
        <f>IF($L21="","",INDEX(Расчет!$A$2:$A$3001,$L21))</f>
        <v/>
      </c>
      <c r="C21">
        <f>IF($L21="","",INDEX(Расчет!$B$2:$B$3001,$L21))</f>
        <v/>
      </c>
      <c r="D21">
        <f>IF($L21="","",IF(ISNUMBER(FIND("(",INDEX(Расчет!$C$2:$C$3001,$L21))),SUBSTITUTE(MID(INDEX(Расчет!$C$2:$C$3001,$L21),FIND("(",INDEX(Расчет!$C$2:$C$3001,$L21))+1,99),")",""),INDEX(Расчет!$C$2:$C$3001,$L21)))</f>
        <v/>
      </c>
      <c r="E21">
        <f>IF($L21="","",INDEX(Расчет!$D$2:$D$3001,$L21))</f>
        <v/>
      </c>
      <c r="F21">
        <f>IF($L21="","",INDEX(Расчет!$E$2:$E$3001,$L21))</f>
        <v/>
      </c>
      <c r="G21">
        <f>IF($L21="","",IFERROR(--LEFT(INDEX(Расчет!$C$2:$C$3001,$L21),FIND("(",INDEX(Расчет!$C$2:$C$3001,$L21))-1),IFERROR(--LEFT(INDEX(Расчет!$C$2:$C$3001,$L21),1),"")))</f>
        <v/>
      </c>
      <c r="H21">
        <f>IF($L21="","",SUMIFS(Расчет!$G$2:$G$3001,Расчет!$I$2:$I$3001,$K21,Расчет!$H$2:$H$3001,1))</f>
        <v/>
      </c>
      <c r="I21">
        <f>IF($L21="","",SUMIFS(Расчет!$G$2:$G$3001,Расчет!$I$2:$I$3001,$K21,Расчет!$H$2:$H$3001,2))</f>
        <v/>
      </c>
      <c r="J21">
        <f>IF($L21="","",SUMIFS(Расчет!$G$2:$G$3001,Расчет!$I$2:$I$3001,$K21,Расчет!$H$2:$H$3001,3))</f>
        <v/>
      </c>
      <c r="K21">
        <f>IF($L21="","",INDEX(Расчет!$I$2:$I$3001,$L21))</f>
        <v/>
      </c>
      <c r="L21">
        <f>IFERROR(MATCH(ROW()-1,Расчет!$J$2:$J$3001,0),"")</f>
        <v/>
      </c>
    </row>
    <row r="22">
      <c r="A22">
        <f>IF($L22="","",B22&amp;"."&amp;C22&amp;"-"&amp;D22&amp;"-"&amp;H22&amp;"."&amp;I22&amp;"."&amp;J22)</f>
        <v/>
      </c>
      <c r="B22">
        <f>IF($L22="","",INDEX(Расчет!$A$2:$A$3001,$L22))</f>
        <v/>
      </c>
      <c r="C22">
        <f>IF($L22="","",INDEX(Расчет!$B$2:$B$3001,$L22))</f>
        <v/>
      </c>
      <c r="D22">
        <f>IF($L22="","",IF(ISNUMBER(FIND("(",INDEX(Расчет!$C$2:$C$3001,$L22))),SUBSTITUTE(MID(INDEX(Расчет!$C$2:$C$3001,$L22),FIND("(",INDEX(Расчет!$C$2:$C$3001,$L22))+1,99),")",""),INDEX(Расчет!$C$2:$C$3001,$L22)))</f>
        <v/>
      </c>
      <c r="E22">
        <f>IF($L22="","",INDEX(Расчет!$D$2:$D$3001,$L22))</f>
        <v/>
      </c>
      <c r="F22">
        <f>IF($L22="","",INDEX(Расчет!$E$2:$E$3001,$L22))</f>
        <v/>
      </c>
      <c r="G22">
        <f>IF($L22="","",IFERROR(--LEFT(INDEX(Расчет!$C$2:$C$3001,$L22),FIND("(",INDEX(Расчет!$C$2:$C$3001,$L22))-1),IFERROR(--LEFT(INDEX(Расчет!$C$2:$C$3001,$L22),1),"")))</f>
        <v/>
      </c>
      <c r="H22">
        <f>IF($L22="","",SUMIFS(Расчет!$G$2:$G$3001,Расчет!$I$2:$I$3001,$K22,Расчет!$H$2:$H$3001,1))</f>
        <v/>
      </c>
      <c r="I22">
        <f>IF($L22="","",SUMIFS(Расчет!$G$2:$G$3001,Расчет!$I$2:$I$3001,$K22,Расчет!$H$2:$H$3001,2))</f>
        <v/>
      </c>
      <c r="J22">
        <f>IF($L22="","",SUMIFS(Расчет!$G$2:$G$3001,Расчет!$I$2:$I$3001,$K22,Расчет!$H$2:$H$3001,3))</f>
        <v/>
      </c>
      <c r="K22">
        <f>IF($L22="","",INDEX(Расчет!$I$2:$I$3001,$L22))</f>
        <v/>
      </c>
      <c r="L22">
        <f>IFERROR(MATCH(ROW()-1,Расчет!$J$2:$J$3001,0),"")</f>
        <v/>
      </c>
    </row>
    <row r="23">
      <c r="A23">
        <f>IF($L23="","",B23&amp;"."&amp;C23&amp;"-"&amp;D23&amp;"-"&amp;H23&amp;"."&amp;I23&amp;"."&amp;J23)</f>
        <v/>
      </c>
      <c r="B23">
        <f>IF($L23="","",INDEX(Расчет!$A$2:$A$3001,$L23))</f>
        <v/>
      </c>
      <c r="C23">
        <f>IF($L23="","",INDEX(Расчет!$B$2:$B$3001,$L23))</f>
        <v/>
      </c>
      <c r="D23">
        <f>IF($L23="","",IF(ISNUMBER(FIND("(",INDEX(Расчет!$C$2:$C$3001,$L23))),SUBSTITUTE(MID(INDEX(Расчет!$C$2:$C$3001,$L23),FIND("(",INDEX(Расчет!$C$2:$C$3001,$L23))+1,99),")",""),INDEX(Расчет!$C$2:$C$3001,$L23)))</f>
        <v/>
      </c>
      <c r="E23">
        <f>IF($L23="","",INDEX(Расчет!$D$2:$D$3001,$L23))</f>
        <v/>
      </c>
      <c r="F23">
        <f>IF($L23="","",INDEX(Расчет!$E$2:$E$3001,$L23))</f>
        <v/>
      </c>
      <c r="G23">
        <f>IF($L23="","",IFERROR(--LEFT(INDEX(Расчет!$C$2:$C$3001,$L23),FIND("(",INDEX(Расчет!$C$2:$C$3001,$L23))-1),IFERROR(--LEFT(INDEX(Расчет!$C$2:$C$3001,$L23),1),"")))</f>
        <v/>
      </c>
      <c r="H23">
        <f>IF($L23="","",SUMIFS(Расчет!$G$2:$G$3001,Расчет!$I$2:$I$3001,$K23,Расчет!$H$2:$H$3001,1))</f>
        <v/>
      </c>
      <c r="I23">
        <f>IF($L23="","",SUMIFS(Расчет!$G$2:$G$3001,Расчет!$I$2:$I$3001,$K23,Расчет!$H$2:$H$3001,2))</f>
        <v/>
      </c>
      <c r="J23">
        <f>IF($L23="","",SUMIFS(Расчет!$G$2:$G$3001,Расчет!$I$2:$I$3001,$K23,Расчет!$H$2:$H$3001,3))</f>
        <v/>
      </c>
      <c r="K23">
        <f>IF($L23="","",INDEX(Расчет!$I$2:$I$3001,$L23))</f>
        <v/>
      </c>
      <c r="L23">
        <f>IFERROR(MATCH(ROW()-1,Расчет!$J$2:$J$3001,0),"")</f>
        <v/>
      </c>
    </row>
    <row r="24">
      <c r="A24">
        <f>IF($L24="","",B24&amp;"."&amp;C24&amp;"-"&amp;D24&amp;"-"&amp;H24&amp;"."&amp;I24&amp;"."&amp;J24)</f>
        <v/>
      </c>
      <c r="B24">
        <f>IF($L24="","",INDEX(Расчет!$A$2:$A$3001,$L24))</f>
        <v/>
      </c>
      <c r="C24">
        <f>IF($L24="","",INDEX(Расчет!$B$2:$B$3001,$L24))</f>
        <v/>
      </c>
      <c r="D24">
        <f>IF($L24="","",IF(ISNUMBER(FIND("(",INDEX(Расчет!$C$2:$C$3001,$L24))),SUBSTITUTE(MID(INDEX(Расчет!$C$2:$C$3001,$L24),FIND("(",INDEX(Расчет!$C$2:$C$3001,$L24))+1,99),")",""),INDEX(Расчет!$C$2:$C$3001,$L24)))</f>
        <v/>
      </c>
      <c r="E24">
        <f>IF($L24="","",INDEX(Расчет!$D$2:$D$3001,$L24))</f>
        <v/>
      </c>
      <c r="F24">
        <f>IF($L24="","",INDEX(Расчет!$E$2:$E$3001,$L24))</f>
        <v/>
      </c>
      <c r="G24">
        <f>IF($L24="","",IFERROR(--LEFT(INDEX(Расчет!$C$2:$C$3001,$L24),FIND("(",INDEX(Расчет!$C$2:$C$3001,$L24))-1),IFERROR(--LEFT(INDEX(Расчет!$C$2:$C$3001,$L24),1),"")))</f>
        <v/>
      </c>
      <c r="H24">
        <f>IF($L24="","",SUMIFS(Расчет!$G$2:$G$3001,Расчет!$I$2:$I$3001,$K24,Расчет!$H$2:$H$3001,1))</f>
        <v/>
      </c>
      <c r="I24">
        <f>IF($L24="","",SUMIFS(Расчет!$G$2:$G$3001,Расчет!$I$2:$I$3001,$K24,Расчет!$H$2:$H$3001,2))</f>
        <v/>
      </c>
      <c r="J24">
        <f>IF($L24="","",SUMIFS(Расчет!$G$2:$G$3001,Расчет!$I$2:$I$3001,$K24,Расчет!$H$2:$H$3001,3))</f>
        <v/>
      </c>
      <c r="K24">
        <f>IF($L24="","",INDEX(Расчет!$I$2:$I$3001,$L24))</f>
        <v/>
      </c>
      <c r="L24">
        <f>IFERROR(MATCH(ROW()-1,Расчет!$J$2:$J$3001,0),"")</f>
        <v/>
      </c>
    </row>
    <row r="25">
      <c r="A25">
        <f>IF($L25="","",B25&amp;"."&amp;C25&amp;"-"&amp;D25&amp;"-"&amp;H25&amp;"."&amp;I25&amp;"."&amp;J25)</f>
        <v/>
      </c>
      <c r="B25">
        <f>IF($L25="","",INDEX(Расчет!$A$2:$A$3001,$L25))</f>
        <v/>
      </c>
      <c r="C25">
        <f>IF($L25="","",INDEX(Расчет!$B$2:$B$3001,$L25))</f>
        <v/>
      </c>
      <c r="D25">
        <f>IF($L25="","",IF(ISNUMBER(FIND("(",INDEX(Расчет!$C$2:$C$3001,$L25))),SUBSTITUTE(MID(INDEX(Расчет!$C$2:$C$3001,$L25),FIND("(",INDEX(Расчет!$C$2:$C$3001,$L25))+1,99),")",""),INDEX(Расчет!$C$2:$C$3001,$L25)))</f>
        <v/>
      </c>
      <c r="E25">
        <f>IF($L25="","",INDEX(Расчет!$D$2:$D$3001,$L25))</f>
        <v/>
      </c>
      <c r="F25">
        <f>IF($L25="","",INDEX(Расчет!$E$2:$E$3001,$L25))</f>
        <v/>
      </c>
      <c r="G25">
        <f>IF($L25="","",IFERROR(--LEFT(INDEX(Расчет!$C$2:$C$3001,$L25),FIND("(",INDEX(Расчет!$C$2:$C$3001,$L25))-1),IFERROR(--LEFT(INDEX(Расчет!$C$2:$C$3001,$L25),1),"")))</f>
        <v/>
      </c>
      <c r="H25">
        <f>IF($L25="","",SUMIFS(Расчет!$G$2:$G$3001,Расчет!$I$2:$I$3001,$K25,Расчет!$H$2:$H$3001,1))</f>
        <v/>
      </c>
      <c r="I25">
        <f>IF($L25="","",SUMIFS(Расчет!$G$2:$G$3001,Расчет!$I$2:$I$3001,$K25,Расчет!$H$2:$H$3001,2))</f>
        <v/>
      </c>
      <c r="J25">
        <f>IF($L25="","",SUMIFS(Расчет!$G$2:$G$3001,Расчет!$I$2:$I$3001,$K25,Расчет!$H$2:$H$3001,3))</f>
        <v/>
      </c>
      <c r="K25">
        <f>IF($L25="","",INDEX(Расчет!$I$2:$I$3001,$L25))</f>
        <v/>
      </c>
      <c r="L25">
        <f>IFERROR(MATCH(ROW()-1,Расчет!$J$2:$J$3001,0),"")</f>
        <v/>
      </c>
    </row>
    <row r="26">
      <c r="A26">
        <f>IF($L26="","",B26&amp;"."&amp;C26&amp;"-"&amp;D26&amp;"-"&amp;H26&amp;"."&amp;I26&amp;"."&amp;J26)</f>
        <v/>
      </c>
      <c r="B26">
        <f>IF($L26="","",INDEX(Расчет!$A$2:$A$3001,$L26))</f>
        <v/>
      </c>
      <c r="C26">
        <f>IF($L26="","",INDEX(Расчет!$B$2:$B$3001,$L26))</f>
        <v/>
      </c>
      <c r="D26">
        <f>IF($L26="","",IF(ISNUMBER(FIND("(",INDEX(Расчет!$C$2:$C$3001,$L26))),SUBSTITUTE(MID(INDEX(Расчет!$C$2:$C$3001,$L26),FIND("(",INDEX(Расчет!$C$2:$C$3001,$L26))+1,99),")",""),INDEX(Расчет!$C$2:$C$3001,$L26)))</f>
        <v/>
      </c>
      <c r="E26">
        <f>IF($L26="","",INDEX(Расчет!$D$2:$D$3001,$L26))</f>
        <v/>
      </c>
      <c r="F26">
        <f>IF($L26="","",INDEX(Расчет!$E$2:$E$3001,$L26))</f>
        <v/>
      </c>
      <c r="G26">
        <f>IF($L26="","",IFERROR(--LEFT(INDEX(Расчет!$C$2:$C$3001,$L26),FIND("(",INDEX(Расчет!$C$2:$C$3001,$L26))-1),IFERROR(--LEFT(INDEX(Расчет!$C$2:$C$3001,$L26),1),"")))</f>
        <v/>
      </c>
      <c r="H26">
        <f>IF($L26="","",SUMIFS(Расчет!$G$2:$G$3001,Расчет!$I$2:$I$3001,$K26,Расчет!$H$2:$H$3001,1))</f>
        <v/>
      </c>
      <c r="I26">
        <f>IF($L26="","",SUMIFS(Расчет!$G$2:$G$3001,Расчет!$I$2:$I$3001,$K26,Расчет!$H$2:$H$3001,2))</f>
        <v/>
      </c>
      <c r="J26">
        <f>IF($L26="","",SUMIFS(Расчет!$G$2:$G$3001,Расчет!$I$2:$I$3001,$K26,Расчет!$H$2:$H$3001,3))</f>
        <v/>
      </c>
      <c r="K26">
        <f>IF($L26="","",INDEX(Расчет!$I$2:$I$3001,$L26))</f>
        <v/>
      </c>
      <c r="L26">
        <f>IFERROR(MATCH(ROW()-1,Расчет!$J$2:$J$3001,0),"")</f>
        <v/>
      </c>
    </row>
    <row r="27">
      <c r="A27">
        <f>IF($L27="","",B27&amp;"."&amp;C27&amp;"-"&amp;D27&amp;"-"&amp;H27&amp;"."&amp;I27&amp;"."&amp;J27)</f>
        <v/>
      </c>
      <c r="B27">
        <f>IF($L27="","",INDEX(Расчет!$A$2:$A$3001,$L27))</f>
        <v/>
      </c>
      <c r="C27">
        <f>IF($L27="","",INDEX(Расчет!$B$2:$B$3001,$L27))</f>
        <v/>
      </c>
      <c r="D27">
        <f>IF($L27="","",IF(ISNUMBER(FIND("(",INDEX(Расчет!$C$2:$C$3001,$L27))),SUBSTITUTE(MID(INDEX(Расчет!$C$2:$C$3001,$L27),FIND("(",INDEX(Расчет!$C$2:$C$3001,$L27))+1,99),")",""),INDEX(Расчет!$C$2:$C$3001,$L27)))</f>
        <v/>
      </c>
      <c r="E27">
        <f>IF($L27="","",INDEX(Расчет!$D$2:$D$3001,$L27))</f>
        <v/>
      </c>
      <c r="F27">
        <f>IF($L27="","",INDEX(Расчет!$E$2:$E$3001,$L27))</f>
        <v/>
      </c>
      <c r="G27">
        <f>IF($L27="","",IFERROR(--LEFT(INDEX(Расчет!$C$2:$C$3001,$L27),FIND("(",INDEX(Расчет!$C$2:$C$3001,$L27))-1),IFERROR(--LEFT(INDEX(Расчет!$C$2:$C$3001,$L27),1),"")))</f>
        <v/>
      </c>
      <c r="H27">
        <f>IF($L27="","",SUMIFS(Расчет!$G$2:$G$3001,Расчет!$I$2:$I$3001,$K27,Расчет!$H$2:$H$3001,1))</f>
        <v/>
      </c>
      <c r="I27">
        <f>IF($L27="","",SUMIFS(Расчет!$G$2:$G$3001,Расчет!$I$2:$I$3001,$K27,Расчет!$H$2:$H$3001,2))</f>
        <v/>
      </c>
      <c r="J27">
        <f>IF($L27="","",SUMIFS(Расчет!$G$2:$G$3001,Расчет!$I$2:$I$3001,$K27,Расчет!$H$2:$H$3001,3))</f>
        <v/>
      </c>
      <c r="K27">
        <f>IF($L27="","",INDEX(Расчет!$I$2:$I$3001,$L27))</f>
        <v/>
      </c>
      <c r="L27">
        <f>IFERROR(MATCH(ROW()-1,Расчет!$J$2:$J$3001,0),"")</f>
        <v/>
      </c>
    </row>
    <row r="28">
      <c r="A28">
        <f>IF($L28="","",B28&amp;"."&amp;C28&amp;"-"&amp;D28&amp;"-"&amp;H28&amp;"."&amp;I28&amp;"."&amp;J28)</f>
        <v/>
      </c>
      <c r="B28">
        <f>IF($L28="","",INDEX(Расчет!$A$2:$A$3001,$L28))</f>
        <v/>
      </c>
      <c r="C28">
        <f>IF($L28="","",INDEX(Расчет!$B$2:$B$3001,$L28))</f>
        <v/>
      </c>
      <c r="D28">
        <f>IF($L28="","",IF(ISNUMBER(FIND("(",INDEX(Расчет!$C$2:$C$3001,$L28))),SUBSTITUTE(MID(INDEX(Расчет!$C$2:$C$3001,$L28),FIND("(",INDEX(Расчет!$C$2:$C$3001,$L28))+1,99),")",""),INDEX(Расчет!$C$2:$C$3001,$L28)))</f>
        <v/>
      </c>
      <c r="E28">
        <f>IF($L28="","",INDEX(Расчет!$D$2:$D$3001,$L28))</f>
        <v/>
      </c>
      <c r="F28">
        <f>IF($L28="","",INDEX(Расчет!$E$2:$E$3001,$L28))</f>
        <v/>
      </c>
      <c r="G28">
        <f>IF($L28="","",IFERROR(--LEFT(INDEX(Расчет!$C$2:$C$3001,$L28),FIND("(",INDEX(Расчет!$C$2:$C$3001,$L28))-1),IFERROR(--LEFT(INDEX(Расчет!$C$2:$C$3001,$L28),1),"")))</f>
        <v/>
      </c>
      <c r="H28">
        <f>IF($L28="","",SUMIFS(Расчет!$G$2:$G$3001,Расчет!$I$2:$I$3001,$K28,Расчет!$H$2:$H$3001,1))</f>
        <v/>
      </c>
      <c r="I28">
        <f>IF($L28="","",SUMIFS(Расчет!$G$2:$G$3001,Расчет!$I$2:$I$3001,$K28,Расчет!$H$2:$H$3001,2))</f>
        <v/>
      </c>
      <c r="J28">
        <f>IF($L28="","",SUMIFS(Расчет!$G$2:$G$3001,Расчет!$I$2:$I$3001,$K28,Расчет!$H$2:$H$3001,3))</f>
        <v/>
      </c>
      <c r="K28">
        <f>IF($L28="","",INDEX(Расчет!$I$2:$I$3001,$L28))</f>
        <v/>
      </c>
      <c r="L28">
        <f>IFERROR(MATCH(ROW()-1,Расчет!$J$2:$J$3001,0),"")</f>
        <v/>
      </c>
    </row>
    <row r="29">
      <c r="A29">
        <f>IF($L29="","",B29&amp;"."&amp;C29&amp;"-"&amp;D29&amp;"-"&amp;H29&amp;"."&amp;I29&amp;"."&amp;J29)</f>
        <v/>
      </c>
      <c r="B29">
        <f>IF($L29="","",INDEX(Расчет!$A$2:$A$3001,$L29))</f>
        <v/>
      </c>
      <c r="C29">
        <f>IF($L29="","",INDEX(Расчет!$B$2:$B$3001,$L29))</f>
        <v/>
      </c>
      <c r="D29">
        <f>IF($L29="","",IF(ISNUMBER(FIND("(",INDEX(Расчет!$C$2:$C$3001,$L29))),SUBSTITUTE(MID(INDEX(Расчет!$C$2:$C$3001,$L29),FIND("(",INDEX(Расчет!$C$2:$C$3001,$L29))+1,99),")",""),INDEX(Расчет!$C$2:$C$3001,$L29)))</f>
        <v/>
      </c>
      <c r="E29">
        <f>IF($L29="","",INDEX(Расчет!$D$2:$D$3001,$L29))</f>
        <v/>
      </c>
      <c r="F29">
        <f>IF($L29="","",INDEX(Расчет!$E$2:$E$3001,$L29))</f>
        <v/>
      </c>
      <c r="G29">
        <f>IF($L29="","",IFERROR(--LEFT(INDEX(Расчет!$C$2:$C$3001,$L29),FIND("(",INDEX(Расчет!$C$2:$C$3001,$L29))-1),IFERROR(--LEFT(INDEX(Расчет!$C$2:$C$3001,$L29),1),"")))</f>
        <v/>
      </c>
      <c r="H29">
        <f>IF($L29="","",SUMIFS(Расчет!$G$2:$G$3001,Расчет!$I$2:$I$3001,$K29,Расчет!$H$2:$H$3001,1))</f>
        <v/>
      </c>
      <c r="I29">
        <f>IF($L29="","",SUMIFS(Расчет!$G$2:$G$3001,Расчет!$I$2:$I$3001,$K29,Расчет!$H$2:$H$3001,2))</f>
        <v/>
      </c>
      <c r="J29">
        <f>IF($L29="","",SUMIFS(Расчет!$G$2:$G$3001,Расчет!$I$2:$I$3001,$K29,Расчет!$H$2:$H$3001,3))</f>
        <v/>
      </c>
      <c r="K29">
        <f>IF($L29="","",INDEX(Расчет!$I$2:$I$3001,$L29))</f>
        <v/>
      </c>
      <c r="L29">
        <f>IFERROR(MATCH(ROW()-1,Расчет!$J$2:$J$3001,0),"")</f>
        <v/>
      </c>
    </row>
    <row r="30">
      <c r="A30">
        <f>IF($L30="","",B30&amp;"."&amp;C30&amp;"-"&amp;D30&amp;"-"&amp;H30&amp;"."&amp;I30&amp;"."&amp;J30)</f>
        <v/>
      </c>
      <c r="B30">
        <f>IF($L30="","",INDEX(Расчет!$A$2:$A$3001,$L30))</f>
        <v/>
      </c>
      <c r="C30">
        <f>IF($L30="","",INDEX(Расчет!$B$2:$B$3001,$L30))</f>
        <v/>
      </c>
      <c r="D30">
        <f>IF($L30="","",IF(ISNUMBER(FIND("(",INDEX(Расчет!$C$2:$C$3001,$L30))),SUBSTITUTE(MID(INDEX(Расчет!$C$2:$C$3001,$L30),FIND("(",INDEX(Расчет!$C$2:$C$3001,$L30))+1,99),")",""),INDEX(Расчет!$C$2:$C$3001,$L30)))</f>
        <v/>
      </c>
      <c r="E30">
        <f>IF($L30="","",INDEX(Расчет!$D$2:$D$3001,$L30))</f>
        <v/>
      </c>
      <c r="F30">
        <f>IF($L30="","",INDEX(Расчет!$E$2:$E$3001,$L30))</f>
        <v/>
      </c>
      <c r="G30">
        <f>IF($L30="","",IFERROR(--LEFT(INDEX(Расчет!$C$2:$C$3001,$L30),FIND("(",INDEX(Расчет!$C$2:$C$3001,$L30))-1),IFERROR(--LEFT(INDEX(Расчет!$C$2:$C$3001,$L30),1),"")))</f>
        <v/>
      </c>
      <c r="H30">
        <f>IF($L30="","",SUMIFS(Расчет!$G$2:$G$3001,Расчет!$I$2:$I$3001,$K30,Расчет!$H$2:$H$3001,1))</f>
        <v/>
      </c>
      <c r="I30">
        <f>IF($L30="","",SUMIFS(Расчет!$G$2:$G$3001,Расчет!$I$2:$I$3001,$K30,Расчет!$H$2:$H$3001,2))</f>
        <v/>
      </c>
      <c r="J30">
        <f>IF($L30="","",SUMIFS(Расчет!$G$2:$G$3001,Расчет!$I$2:$I$3001,$K30,Расчет!$H$2:$H$3001,3))</f>
        <v/>
      </c>
      <c r="K30">
        <f>IF($L30="","",INDEX(Расчет!$I$2:$I$3001,$L30))</f>
        <v/>
      </c>
      <c r="L30">
        <f>IFERROR(MATCH(ROW()-1,Расчет!$J$2:$J$3001,0),"")</f>
        <v/>
      </c>
    </row>
    <row r="31">
      <c r="A31">
        <f>IF($L31="","",B31&amp;"."&amp;C31&amp;"-"&amp;D31&amp;"-"&amp;H31&amp;"."&amp;I31&amp;"."&amp;J31)</f>
        <v/>
      </c>
      <c r="B31">
        <f>IF($L31="","",INDEX(Расчет!$A$2:$A$3001,$L31))</f>
        <v/>
      </c>
      <c r="C31">
        <f>IF($L31="","",INDEX(Расчет!$B$2:$B$3001,$L31))</f>
        <v/>
      </c>
      <c r="D31">
        <f>IF($L31="","",IF(ISNUMBER(FIND("(",INDEX(Расчет!$C$2:$C$3001,$L31))),SUBSTITUTE(MID(INDEX(Расчет!$C$2:$C$3001,$L31),FIND("(",INDEX(Расчет!$C$2:$C$3001,$L31))+1,99),")",""),INDEX(Расчет!$C$2:$C$3001,$L31)))</f>
        <v/>
      </c>
      <c r="E31">
        <f>IF($L31="","",INDEX(Расчет!$D$2:$D$3001,$L31))</f>
        <v/>
      </c>
      <c r="F31">
        <f>IF($L31="","",INDEX(Расчет!$E$2:$E$3001,$L31))</f>
        <v/>
      </c>
      <c r="G31">
        <f>IF($L31="","",IFERROR(--LEFT(INDEX(Расчет!$C$2:$C$3001,$L31),FIND("(",INDEX(Расчет!$C$2:$C$3001,$L31))-1),IFERROR(--LEFT(INDEX(Расчет!$C$2:$C$3001,$L31),1),"")))</f>
        <v/>
      </c>
      <c r="H31">
        <f>IF($L31="","",SUMIFS(Расчет!$G$2:$G$3001,Расчет!$I$2:$I$3001,$K31,Расчет!$H$2:$H$3001,1))</f>
        <v/>
      </c>
      <c r="I31">
        <f>IF($L31="","",SUMIFS(Расчет!$G$2:$G$3001,Расчет!$I$2:$I$3001,$K31,Расчет!$H$2:$H$3001,2))</f>
        <v/>
      </c>
      <c r="J31">
        <f>IF($L31="","",SUMIFS(Расчет!$G$2:$G$3001,Расчет!$I$2:$I$3001,$K31,Расчет!$H$2:$H$3001,3))</f>
        <v/>
      </c>
      <c r="K31">
        <f>IF($L31="","",INDEX(Расчет!$I$2:$I$3001,$L31))</f>
        <v/>
      </c>
      <c r="L31">
        <f>IFERROR(MATCH(ROW()-1,Расчет!$J$2:$J$3001,0),"")</f>
        <v/>
      </c>
    </row>
    <row r="32">
      <c r="A32">
        <f>IF($L32="","",B32&amp;"."&amp;C32&amp;"-"&amp;D32&amp;"-"&amp;H32&amp;"."&amp;I32&amp;"."&amp;J32)</f>
        <v/>
      </c>
      <c r="B32">
        <f>IF($L32="","",INDEX(Расчет!$A$2:$A$3001,$L32))</f>
        <v/>
      </c>
      <c r="C32">
        <f>IF($L32="","",INDEX(Расчет!$B$2:$B$3001,$L32))</f>
        <v/>
      </c>
      <c r="D32">
        <f>IF($L32="","",IF(ISNUMBER(FIND("(",INDEX(Расчет!$C$2:$C$3001,$L32))),SUBSTITUTE(MID(INDEX(Расчет!$C$2:$C$3001,$L32),FIND("(",INDEX(Расчет!$C$2:$C$3001,$L32))+1,99),")",""),INDEX(Расчет!$C$2:$C$3001,$L32)))</f>
        <v/>
      </c>
      <c r="E32">
        <f>IF($L32="","",INDEX(Расчет!$D$2:$D$3001,$L32))</f>
        <v/>
      </c>
      <c r="F32">
        <f>IF($L32="","",INDEX(Расчет!$E$2:$E$3001,$L32))</f>
        <v/>
      </c>
      <c r="G32">
        <f>IF($L32="","",IFERROR(--LEFT(INDEX(Расчет!$C$2:$C$3001,$L32),FIND("(",INDEX(Расчет!$C$2:$C$3001,$L32))-1),IFERROR(--LEFT(INDEX(Расчет!$C$2:$C$3001,$L32),1),"")))</f>
        <v/>
      </c>
      <c r="H32">
        <f>IF($L32="","",SUMIFS(Расчет!$G$2:$G$3001,Расчет!$I$2:$I$3001,$K32,Расчет!$H$2:$H$3001,1))</f>
        <v/>
      </c>
      <c r="I32">
        <f>IF($L32="","",SUMIFS(Расчет!$G$2:$G$3001,Расчет!$I$2:$I$3001,$K32,Расчет!$H$2:$H$3001,2))</f>
        <v/>
      </c>
      <c r="J32">
        <f>IF($L32="","",SUMIFS(Расчет!$G$2:$G$3001,Расчет!$I$2:$I$3001,$K32,Расчет!$H$2:$H$3001,3))</f>
        <v/>
      </c>
      <c r="K32">
        <f>IF($L32="","",INDEX(Расчет!$I$2:$I$3001,$L32))</f>
        <v/>
      </c>
      <c r="L32">
        <f>IFERROR(MATCH(ROW()-1,Расчет!$J$2:$J$3001,0),"")</f>
        <v/>
      </c>
    </row>
    <row r="33">
      <c r="A33">
        <f>IF($L33="","",B33&amp;"."&amp;C33&amp;"-"&amp;D33&amp;"-"&amp;H33&amp;"."&amp;I33&amp;"."&amp;J33)</f>
        <v/>
      </c>
      <c r="B33">
        <f>IF($L33="","",INDEX(Расчет!$A$2:$A$3001,$L33))</f>
        <v/>
      </c>
      <c r="C33">
        <f>IF($L33="","",INDEX(Расчет!$B$2:$B$3001,$L33))</f>
        <v/>
      </c>
      <c r="D33">
        <f>IF($L33="","",IF(ISNUMBER(FIND("(",INDEX(Расчет!$C$2:$C$3001,$L33))),SUBSTITUTE(MID(INDEX(Расчет!$C$2:$C$3001,$L33),FIND("(",INDEX(Расчет!$C$2:$C$3001,$L33))+1,99),")",""),INDEX(Расчет!$C$2:$C$3001,$L33)))</f>
        <v/>
      </c>
      <c r="E33">
        <f>IF($L33="","",INDEX(Расчет!$D$2:$D$3001,$L33))</f>
        <v/>
      </c>
      <c r="F33">
        <f>IF($L33="","",INDEX(Расчет!$E$2:$E$3001,$L33))</f>
        <v/>
      </c>
      <c r="G33">
        <f>IF($L33="","",IFERROR(--LEFT(INDEX(Расчет!$C$2:$C$3001,$L33),FIND("(",INDEX(Расчет!$C$2:$C$3001,$L33))-1),IFERROR(--LEFT(INDEX(Расчет!$C$2:$C$3001,$L33),1),"")))</f>
        <v/>
      </c>
      <c r="H33">
        <f>IF($L33="","",SUMIFS(Расчет!$G$2:$G$3001,Расчет!$I$2:$I$3001,$K33,Расчет!$H$2:$H$3001,1))</f>
        <v/>
      </c>
      <c r="I33">
        <f>IF($L33="","",SUMIFS(Расчет!$G$2:$G$3001,Расчет!$I$2:$I$3001,$K33,Расчет!$H$2:$H$3001,2))</f>
        <v/>
      </c>
      <c r="J33">
        <f>IF($L33="","",SUMIFS(Расчет!$G$2:$G$3001,Расчет!$I$2:$I$3001,$K33,Расчет!$H$2:$H$3001,3))</f>
        <v/>
      </c>
      <c r="K33">
        <f>IF($L33="","",INDEX(Расчет!$I$2:$I$3001,$L33))</f>
        <v/>
      </c>
      <c r="L33">
        <f>IFERROR(MATCH(ROW()-1,Расчет!$J$2:$J$3001,0),"")</f>
        <v/>
      </c>
    </row>
    <row r="34">
      <c r="A34">
        <f>IF($L34="","",B34&amp;"."&amp;C34&amp;"-"&amp;D34&amp;"-"&amp;H34&amp;"."&amp;I34&amp;"."&amp;J34)</f>
        <v/>
      </c>
      <c r="B34">
        <f>IF($L34="","",INDEX(Расчет!$A$2:$A$3001,$L34))</f>
        <v/>
      </c>
      <c r="C34">
        <f>IF($L34="","",INDEX(Расчет!$B$2:$B$3001,$L34))</f>
        <v/>
      </c>
      <c r="D34">
        <f>IF($L34="","",IF(ISNUMBER(FIND("(",INDEX(Расчет!$C$2:$C$3001,$L34))),SUBSTITUTE(MID(INDEX(Расчет!$C$2:$C$3001,$L34),FIND("(",INDEX(Расчет!$C$2:$C$3001,$L34))+1,99),")",""),INDEX(Расчет!$C$2:$C$3001,$L34)))</f>
        <v/>
      </c>
      <c r="E34">
        <f>IF($L34="","",INDEX(Расчет!$D$2:$D$3001,$L34))</f>
        <v/>
      </c>
      <c r="F34">
        <f>IF($L34="","",INDEX(Расчет!$E$2:$E$3001,$L34))</f>
        <v/>
      </c>
      <c r="G34">
        <f>IF($L34="","",IFERROR(--LEFT(INDEX(Расчет!$C$2:$C$3001,$L34),FIND("(",INDEX(Расчет!$C$2:$C$3001,$L34))-1),IFERROR(--LEFT(INDEX(Расчет!$C$2:$C$3001,$L34),1),"")))</f>
        <v/>
      </c>
      <c r="H34">
        <f>IF($L34="","",SUMIFS(Расчет!$G$2:$G$3001,Расчет!$I$2:$I$3001,$K34,Расчет!$H$2:$H$3001,1))</f>
        <v/>
      </c>
      <c r="I34">
        <f>IF($L34="","",SUMIFS(Расчет!$G$2:$G$3001,Расчет!$I$2:$I$3001,$K34,Расчет!$H$2:$H$3001,2))</f>
        <v/>
      </c>
      <c r="J34">
        <f>IF($L34="","",SUMIFS(Расчет!$G$2:$G$3001,Расчет!$I$2:$I$3001,$K34,Расчет!$H$2:$H$3001,3))</f>
        <v/>
      </c>
      <c r="K34">
        <f>IF($L34="","",INDEX(Расчет!$I$2:$I$3001,$L34))</f>
        <v/>
      </c>
      <c r="L34">
        <f>IFERROR(MATCH(ROW()-1,Расчет!$J$2:$J$3001,0),"")</f>
        <v/>
      </c>
    </row>
    <row r="35">
      <c r="A35">
        <f>IF($L35="","",B35&amp;"."&amp;C35&amp;"-"&amp;D35&amp;"-"&amp;H35&amp;"."&amp;I35&amp;"."&amp;J35)</f>
        <v/>
      </c>
      <c r="B35">
        <f>IF($L35="","",INDEX(Расчет!$A$2:$A$3001,$L35))</f>
        <v/>
      </c>
      <c r="C35">
        <f>IF($L35="","",INDEX(Расчет!$B$2:$B$3001,$L35))</f>
        <v/>
      </c>
      <c r="D35">
        <f>IF($L35="","",IF(ISNUMBER(FIND("(",INDEX(Расчет!$C$2:$C$3001,$L35))),SUBSTITUTE(MID(INDEX(Расчет!$C$2:$C$3001,$L35),FIND("(",INDEX(Расчет!$C$2:$C$3001,$L35))+1,99),")",""),INDEX(Расчет!$C$2:$C$3001,$L35)))</f>
        <v/>
      </c>
      <c r="E35">
        <f>IF($L35="","",INDEX(Расчет!$D$2:$D$3001,$L35))</f>
        <v/>
      </c>
      <c r="F35">
        <f>IF($L35="","",INDEX(Расчет!$E$2:$E$3001,$L35))</f>
        <v/>
      </c>
      <c r="G35">
        <f>IF($L35="","",IFERROR(--LEFT(INDEX(Расчет!$C$2:$C$3001,$L35),FIND("(",INDEX(Расчет!$C$2:$C$3001,$L35))-1),IFERROR(--LEFT(INDEX(Расчет!$C$2:$C$3001,$L35),1),"")))</f>
        <v/>
      </c>
      <c r="H35">
        <f>IF($L35="","",SUMIFS(Расчет!$G$2:$G$3001,Расчет!$I$2:$I$3001,$K35,Расчет!$H$2:$H$3001,1))</f>
        <v/>
      </c>
      <c r="I35">
        <f>IF($L35="","",SUMIFS(Расчет!$G$2:$G$3001,Расчет!$I$2:$I$3001,$K35,Расчет!$H$2:$H$3001,2))</f>
        <v/>
      </c>
      <c r="J35">
        <f>IF($L35="","",SUMIFS(Расчет!$G$2:$G$3001,Расчет!$I$2:$I$3001,$K35,Расчет!$H$2:$H$3001,3))</f>
        <v/>
      </c>
      <c r="K35">
        <f>IF($L35="","",INDEX(Расчет!$I$2:$I$3001,$L35))</f>
        <v/>
      </c>
      <c r="L35">
        <f>IFERROR(MATCH(ROW()-1,Расчет!$J$2:$J$3001,0),"")</f>
        <v/>
      </c>
    </row>
    <row r="36">
      <c r="A36">
        <f>IF($L36="","",B36&amp;"."&amp;C36&amp;"-"&amp;D36&amp;"-"&amp;H36&amp;"."&amp;I36&amp;"."&amp;J36)</f>
        <v/>
      </c>
      <c r="B36">
        <f>IF($L36="","",INDEX(Расчет!$A$2:$A$3001,$L36))</f>
        <v/>
      </c>
      <c r="C36">
        <f>IF($L36="","",INDEX(Расчет!$B$2:$B$3001,$L36))</f>
        <v/>
      </c>
      <c r="D36">
        <f>IF($L36="","",IF(ISNUMBER(FIND("(",INDEX(Расчет!$C$2:$C$3001,$L36))),SUBSTITUTE(MID(INDEX(Расчет!$C$2:$C$3001,$L36),FIND("(",INDEX(Расчет!$C$2:$C$3001,$L36))+1,99),")",""),INDEX(Расчет!$C$2:$C$3001,$L36)))</f>
        <v/>
      </c>
      <c r="E36">
        <f>IF($L36="","",INDEX(Расчет!$D$2:$D$3001,$L36))</f>
        <v/>
      </c>
      <c r="F36">
        <f>IF($L36="","",INDEX(Расчет!$E$2:$E$3001,$L36))</f>
        <v/>
      </c>
      <c r="G36">
        <f>IF($L36="","",IFERROR(--LEFT(INDEX(Расчет!$C$2:$C$3001,$L36),FIND("(",INDEX(Расчет!$C$2:$C$3001,$L36))-1),IFERROR(--LEFT(INDEX(Расчет!$C$2:$C$3001,$L36),1),"")))</f>
        <v/>
      </c>
      <c r="H36">
        <f>IF($L36="","",SUMIFS(Расчет!$G$2:$G$3001,Расчет!$I$2:$I$3001,$K36,Расчет!$H$2:$H$3001,1))</f>
        <v/>
      </c>
      <c r="I36">
        <f>IF($L36="","",SUMIFS(Расчет!$G$2:$G$3001,Расчет!$I$2:$I$3001,$K36,Расчет!$H$2:$H$3001,2))</f>
        <v/>
      </c>
      <c r="J36">
        <f>IF($L36="","",SUMIFS(Расчет!$G$2:$G$3001,Расчет!$I$2:$I$3001,$K36,Расчет!$H$2:$H$3001,3))</f>
        <v/>
      </c>
      <c r="K36">
        <f>IF($L36="","",INDEX(Расчет!$I$2:$I$3001,$L36))</f>
        <v/>
      </c>
      <c r="L36">
        <f>IFERROR(MATCH(ROW()-1,Расчет!$J$2:$J$3001,0),"")</f>
        <v/>
      </c>
    </row>
    <row r="37">
      <c r="A37">
        <f>IF($L37="","",B37&amp;"."&amp;C37&amp;"-"&amp;D37&amp;"-"&amp;H37&amp;"."&amp;I37&amp;"."&amp;J37)</f>
        <v/>
      </c>
      <c r="B37">
        <f>IF($L37="","",INDEX(Расчет!$A$2:$A$3001,$L37))</f>
        <v/>
      </c>
      <c r="C37">
        <f>IF($L37="","",INDEX(Расчет!$B$2:$B$3001,$L37))</f>
        <v/>
      </c>
      <c r="D37">
        <f>IF($L37="","",IF(ISNUMBER(FIND("(",INDEX(Расчет!$C$2:$C$3001,$L37))),SUBSTITUTE(MID(INDEX(Расчет!$C$2:$C$3001,$L37),FIND("(",INDEX(Расчет!$C$2:$C$3001,$L37))+1,99),")",""),INDEX(Расчет!$C$2:$C$3001,$L37)))</f>
        <v/>
      </c>
      <c r="E37">
        <f>IF($L37="","",INDEX(Расчет!$D$2:$D$3001,$L37))</f>
        <v/>
      </c>
      <c r="F37">
        <f>IF($L37="","",INDEX(Расчет!$E$2:$E$3001,$L37))</f>
        <v/>
      </c>
      <c r="G37">
        <f>IF($L37="","",IFERROR(--LEFT(INDEX(Расчет!$C$2:$C$3001,$L37),FIND("(",INDEX(Расчет!$C$2:$C$3001,$L37))-1),IFERROR(--LEFT(INDEX(Расчет!$C$2:$C$3001,$L37),1),"")))</f>
        <v/>
      </c>
      <c r="H37">
        <f>IF($L37="","",SUMIFS(Расчет!$G$2:$G$3001,Расчет!$I$2:$I$3001,$K37,Расчет!$H$2:$H$3001,1))</f>
        <v/>
      </c>
      <c r="I37">
        <f>IF($L37="","",SUMIFS(Расчет!$G$2:$G$3001,Расчет!$I$2:$I$3001,$K37,Расчет!$H$2:$H$3001,2))</f>
        <v/>
      </c>
      <c r="J37">
        <f>IF($L37="","",SUMIFS(Расчет!$G$2:$G$3001,Расчет!$I$2:$I$3001,$K37,Расчет!$H$2:$H$3001,3))</f>
        <v/>
      </c>
      <c r="K37">
        <f>IF($L37="","",INDEX(Расчет!$I$2:$I$3001,$L37))</f>
        <v/>
      </c>
      <c r="L37">
        <f>IFERROR(MATCH(ROW()-1,Расчет!$J$2:$J$3001,0),"")</f>
        <v/>
      </c>
    </row>
    <row r="38">
      <c r="A38">
        <f>IF($L38="","",B38&amp;"."&amp;C38&amp;"-"&amp;D38&amp;"-"&amp;H38&amp;"."&amp;I38&amp;"."&amp;J38)</f>
        <v/>
      </c>
      <c r="B38">
        <f>IF($L38="","",INDEX(Расчет!$A$2:$A$3001,$L38))</f>
        <v/>
      </c>
      <c r="C38">
        <f>IF($L38="","",INDEX(Расчет!$B$2:$B$3001,$L38))</f>
        <v/>
      </c>
      <c r="D38">
        <f>IF($L38="","",IF(ISNUMBER(FIND("(",INDEX(Расчет!$C$2:$C$3001,$L38))),SUBSTITUTE(MID(INDEX(Расчет!$C$2:$C$3001,$L38),FIND("(",INDEX(Расчет!$C$2:$C$3001,$L38))+1,99),")",""),INDEX(Расчет!$C$2:$C$3001,$L38)))</f>
        <v/>
      </c>
      <c r="E38">
        <f>IF($L38="","",INDEX(Расчет!$D$2:$D$3001,$L38))</f>
        <v/>
      </c>
      <c r="F38">
        <f>IF($L38="","",INDEX(Расчет!$E$2:$E$3001,$L38))</f>
        <v/>
      </c>
      <c r="G38">
        <f>IF($L38="","",IFERROR(--LEFT(INDEX(Расчет!$C$2:$C$3001,$L38),FIND("(",INDEX(Расчет!$C$2:$C$3001,$L38))-1),IFERROR(--LEFT(INDEX(Расчет!$C$2:$C$3001,$L38),1),"")))</f>
        <v/>
      </c>
      <c r="H38">
        <f>IF($L38="","",SUMIFS(Расчет!$G$2:$G$3001,Расчет!$I$2:$I$3001,$K38,Расчет!$H$2:$H$3001,1))</f>
        <v/>
      </c>
      <c r="I38">
        <f>IF($L38="","",SUMIFS(Расчет!$G$2:$G$3001,Расчет!$I$2:$I$3001,$K38,Расчет!$H$2:$H$3001,2))</f>
        <v/>
      </c>
      <c r="J38">
        <f>IF($L38="","",SUMIFS(Расчет!$G$2:$G$3001,Расчет!$I$2:$I$3001,$K38,Расчет!$H$2:$H$3001,3))</f>
        <v/>
      </c>
      <c r="K38">
        <f>IF($L38="","",INDEX(Расчет!$I$2:$I$3001,$L38))</f>
        <v/>
      </c>
      <c r="L38">
        <f>IFERROR(MATCH(ROW()-1,Расчет!$J$2:$J$3001,0),"")</f>
        <v/>
      </c>
    </row>
    <row r="39">
      <c r="A39">
        <f>IF($L39="","",B39&amp;"."&amp;C39&amp;"-"&amp;D39&amp;"-"&amp;H39&amp;"."&amp;I39&amp;"."&amp;J39)</f>
        <v/>
      </c>
      <c r="B39">
        <f>IF($L39="","",INDEX(Расчет!$A$2:$A$3001,$L39))</f>
        <v/>
      </c>
      <c r="C39">
        <f>IF($L39="","",INDEX(Расчет!$B$2:$B$3001,$L39))</f>
        <v/>
      </c>
      <c r="D39">
        <f>IF($L39="","",IF(ISNUMBER(FIND("(",INDEX(Расчет!$C$2:$C$3001,$L39))),SUBSTITUTE(MID(INDEX(Расчет!$C$2:$C$3001,$L39),FIND("(",INDEX(Расчет!$C$2:$C$3001,$L39))+1,99),")",""),INDEX(Расчет!$C$2:$C$3001,$L39)))</f>
        <v/>
      </c>
      <c r="E39">
        <f>IF($L39="","",INDEX(Расчет!$D$2:$D$3001,$L39))</f>
        <v/>
      </c>
      <c r="F39">
        <f>IF($L39="","",INDEX(Расчет!$E$2:$E$3001,$L39))</f>
        <v/>
      </c>
      <c r="G39">
        <f>IF($L39="","",IFERROR(--LEFT(INDEX(Расчет!$C$2:$C$3001,$L39),FIND("(",INDEX(Расчет!$C$2:$C$3001,$L39))-1),IFERROR(--LEFT(INDEX(Расчет!$C$2:$C$3001,$L39),1),"")))</f>
        <v/>
      </c>
      <c r="H39">
        <f>IF($L39="","",SUMIFS(Расчет!$G$2:$G$3001,Расчет!$I$2:$I$3001,$K39,Расчет!$H$2:$H$3001,1))</f>
        <v/>
      </c>
      <c r="I39">
        <f>IF($L39="","",SUMIFS(Расчет!$G$2:$G$3001,Расчет!$I$2:$I$3001,$K39,Расчет!$H$2:$H$3001,2))</f>
        <v/>
      </c>
      <c r="J39">
        <f>IF($L39="","",SUMIFS(Расчет!$G$2:$G$3001,Расчет!$I$2:$I$3001,$K39,Расчет!$H$2:$H$3001,3))</f>
        <v/>
      </c>
      <c r="K39">
        <f>IF($L39="","",INDEX(Расчет!$I$2:$I$3001,$L39))</f>
        <v/>
      </c>
      <c r="L39">
        <f>IFERROR(MATCH(ROW()-1,Расчет!$J$2:$J$3001,0),"")</f>
        <v/>
      </c>
    </row>
    <row r="40">
      <c r="A40">
        <f>IF($L40="","",B40&amp;"."&amp;C40&amp;"-"&amp;D40&amp;"-"&amp;H40&amp;"."&amp;I40&amp;"."&amp;J40)</f>
        <v/>
      </c>
      <c r="B40">
        <f>IF($L40="","",INDEX(Расчет!$A$2:$A$3001,$L40))</f>
        <v/>
      </c>
      <c r="C40">
        <f>IF($L40="","",INDEX(Расчет!$B$2:$B$3001,$L40))</f>
        <v/>
      </c>
      <c r="D40">
        <f>IF($L40="","",IF(ISNUMBER(FIND("(",INDEX(Расчет!$C$2:$C$3001,$L40))),SUBSTITUTE(MID(INDEX(Расчет!$C$2:$C$3001,$L40),FIND("(",INDEX(Расчет!$C$2:$C$3001,$L40))+1,99),")",""),INDEX(Расчет!$C$2:$C$3001,$L40)))</f>
        <v/>
      </c>
      <c r="E40">
        <f>IF($L40="","",INDEX(Расчет!$D$2:$D$3001,$L40))</f>
        <v/>
      </c>
      <c r="F40">
        <f>IF($L40="","",INDEX(Расчет!$E$2:$E$3001,$L40))</f>
        <v/>
      </c>
      <c r="G40">
        <f>IF($L40="","",IFERROR(--LEFT(INDEX(Расчет!$C$2:$C$3001,$L40),FIND("(",INDEX(Расчет!$C$2:$C$3001,$L40))-1),IFERROR(--LEFT(INDEX(Расчет!$C$2:$C$3001,$L40),1),"")))</f>
        <v/>
      </c>
      <c r="H40">
        <f>IF($L40="","",SUMIFS(Расчет!$G$2:$G$3001,Расчет!$I$2:$I$3001,$K40,Расчет!$H$2:$H$3001,1))</f>
        <v/>
      </c>
      <c r="I40">
        <f>IF($L40="","",SUMIFS(Расчет!$G$2:$G$3001,Расчет!$I$2:$I$3001,$K40,Расчет!$H$2:$H$3001,2))</f>
        <v/>
      </c>
      <c r="J40">
        <f>IF($L40="","",SUMIFS(Расчет!$G$2:$G$3001,Расчет!$I$2:$I$3001,$K40,Расчет!$H$2:$H$3001,3))</f>
        <v/>
      </c>
      <c r="K40">
        <f>IF($L40="","",INDEX(Расчет!$I$2:$I$3001,$L40))</f>
        <v/>
      </c>
      <c r="L40">
        <f>IFERROR(MATCH(ROW()-1,Расчет!$J$2:$J$3001,0),"")</f>
        <v/>
      </c>
    </row>
    <row r="41">
      <c r="A41">
        <f>IF($L41="","",B41&amp;"."&amp;C41&amp;"-"&amp;D41&amp;"-"&amp;H41&amp;"."&amp;I41&amp;"."&amp;J41)</f>
        <v/>
      </c>
      <c r="B41">
        <f>IF($L41="","",INDEX(Расчет!$A$2:$A$3001,$L41))</f>
        <v/>
      </c>
      <c r="C41">
        <f>IF($L41="","",INDEX(Расчет!$B$2:$B$3001,$L41))</f>
        <v/>
      </c>
      <c r="D41">
        <f>IF($L41="","",IF(ISNUMBER(FIND("(",INDEX(Расчет!$C$2:$C$3001,$L41))),SUBSTITUTE(MID(INDEX(Расчет!$C$2:$C$3001,$L41),FIND("(",INDEX(Расчет!$C$2:$C$3001,$L41))+1,99),")",""),INDEX(Расчет!$C$2:$C$3001,$L41)))</f>
        <v/>
      </c>
      <c r="E41">
        <f>IF($L41="","",INDEX(Расчет!$D$2:$D$3001,$L41))</f>
        <v/>
      </c>
      <c r="F41">
        <f>IF($L41="","",INDEX(Расчет!$E$2:$E$3001,$L41))</f>
        <v/>
      </c>
      <c r="G41">
        <f>IF($L41="","",IFERROR(--LEFT(INDEX(Расчет!$C$2:$C$3001,$L41),FIND("(",INDEX(Расчет!$C$2:$C$3001,$L41))-1),IFERROR(--LEFT(INDEX(Расчет!$C$2:$C$3001,$L41),1),"")))</f>
        <v/>
      </c>
      <c r="H41">
        <f>IF($L41="","",SUMIFS(Расчет!$G$2:$G$3001,Расчет!$I$2:$I$3001,$K41,Расчет!$H$2:$H$3001,1))</f>
        <v/>
      </c>
      <c r="I41">
        <f>IF($L41="","",SUMIFS(Расчет!$G$2:$G$3001,Расчет!$I$2:$I$3001,$K41,Расчет!$H$2:$H$3001,2))</f>
        <v/>
      </c>
      <c r="J41">
        <f>IF($L41="","",SUMIFS(Расчет!$G$2:$G$3001,Расчет!$I$2:$I$3001,$K41,Расчет!$H$2:$H$3001,3))</f>
        <v/>
      </c>
      <c r="K41">
        <f>IF($L41="","",INDEX(Расчет!$I$2:$I$3001,$L41))</f>
        <v/>
      </c>
      <c r="L41">
        <f>IFERROR(MATCH(ROW()-1,Расчет!$J$2:$J$3001,0),"")</f>
        <v/>
      </c>
    </row>
    <row r="42">
      <c r="A42">
        <f>IF($L42="","",B42&amp;"."&amp;C42&amp;"-"&amp;D42&amp;"-"&amp;H42&amp;"."&amp;I42&amp;"."&amp;J42)</f>
        <v/>
      </c>
      <c r="B42">
        <f>IF($L42="","",INDEX(Расчет!$A$2:$A$3001,$L42))</f>
        <v/>
      </c>
      <c r="C42">
        <f>IF($L42="","",INDEX(Расчет!$B$2:$B$3001,$L42))</f>
        <v/>
      </c>
      <c r="D42">
        <f>IF($L42="","",IF(ISNUMBER(FIND("(",INDEX(Расчет!$C$2:$C$3001,$L42))),SUBSTITUTE(MID(INDEX(Расчет!$C$2:$C$3001,$L42),FIND("(",INDEX(Расчет!$C$2:$C$3001,$L42))+1,99),")",""),INDEX(Расчет!$C$2:$C$3001,$L42)))</f>
        <v/>
      </c>
      <c r="E42">
        <f>IF($L42="","",INDEX(Расчет!$D$2:$D$3001,$L42))</f>
        <v/>
      </c>
      <c r="F42">
        <f>IF($L42="","",INDEX(Расчет!$E$2:$E$3001,$L42))</f>
        <v/>
      </c>
      <c r="G42">
        <f>IF($L42="","",IFERROR(--LEFT(INDEX(Расчет!$C$2:$C$3001,$L42),FIND("(",INDEX(Расчет!$C$2:$C$3001,$L42))-1),IFERROR(--LEFT(INDEX(Расчет!$C$2:$C$3001,$L42),1),"")))</f>
        <v/>
      </c>
      <c r="H42">
        <f>IF($L42="","",SUMIFS(Расчет!$G$2:$G$3001,Расчет!$I$2:$I$3001,$K42,Расчет!$H$2:$H$3001,1))</f>
        <v/>
      </c>
      <c r="I42">
        <f>IF($L42="","",SUMIFS(Расчет!$G$2:$G$3001,Расчет!$I$2:$I$3001,$K42,Расчет!$H$2:$H$3001,2))</f>
        <v/>
      </c>
      <c r="J42">
        <f>IF($L42="","",SUMIFS(Расчет!$G$2:$G$3001,Расчет!$I$2:$I$3001,$K42,Расчет!$H$2:$H$3001,3))</f>
        <v/>
      </c>
      <c r="K42">
        <f>IF($L42="","",INDEX(Расчет!$I$2:$I$3001,$L42))</f>
        <v/>
      </c>
      <c r="L42">
        <f>IFERROR(MATCH(ROW()-1,Расчет!$J$2:$J$3001,0),"")</f>
        <v/>
      </c>
    </row>
    <row r="43">
      <c r="A43">
        <f>IF($L43="","",B43&amp;"."&amp;C43&amp;"-"&amp;D43&amp;"-"&amp;H43&amp;"."&amp;I43&amp;"."&amp;J43)</f>
        <v/>
      </c>
      <c r="B43">
        <f>IF($L43="","",INDEX(Расчет!$A$2:$A$3001,$L43))</f>
        <v/>
      </c>
      <c r="C43">
        <f>IF($L43="","",INDEX(Расчет!$B$2:$B$3001,$L43))</f>
        <v/>
      </c>
      <c r="D43">
        <f>IF($L43="","",IF(ISNUMBER(FIND("(",INDEX(Расчет!$C$2:$C$3001,$L43))),SUBSTITUTE(MID(INDEX(Расчет!$C$2:$C$3001,$L43),FIND("(",INDEX(Расчет!$C$2:$C$3001,$L43))+1,99),")",""),INDEX(Расчет!$C$2:$C$3001,$L43)))</f>
        <v/>
      </c>
      <c r="E43">
        <f>IF($L43="","",INDEX(Расчет!$D$2:$D$3001,$L43))</f>
        <v/>
      </c>
      <c r="F43">
        <f>IF($L43="","",INDEX(Расчет!$E$2:$E$3001,$L43))</f>
        <v/>
      </c>
      <c r="G43">
        <f>IF($L43="","",IFERROR(--LEFT(INDEX(Расчет!$C$2:$C$3001,$L43),FIND("(",INDEX(Расчет!$C$2:$C$3001,$L43))-1),IFERROR(--LEFT(INDEX(Расчет!$C$2:$C$3001,$L43),1),"")))</f>
        <v/>
      </c>
      <c r="H43">
        <f>IF($L43="","",SUMIFS(Расчет!$G$2:$G$3001,Расчет!$I$2:$I$3001,$K43,Расчет!$H$2:$H$3001,1))</f>
        <v/>
      </c>
      <c r="I43">
        <f>IF($L43="","",SUMIFS(Расчет!$G$2:$G$3001,Расчет!$I$2:$I$3001,$K43,Расчет!$H$2:$H$3001,2))</f>
        <v/>
      </c>
      <c r="J43">
        <f>IF($L43="","",SUMIFS(Расчет!$G$2:$G$3001,Расчет!$I$2:$I$3001,$K43,Расчет!$H$2:$H$3001,3))</f>
        <v/>
      </c>
      <c r="K43">
        <f>IF($L43="","",INDEX(Расчет!$I$2:$I$3001,$L43))</f>
        <v/>
      </c>
      <c r="L43">
        <f>IFERROR(MATCH(ROW()-1,Расчет!$J$2:$J$3001,0),"")</f>
        <v/>
      </c>
    </row>
    <row r="44">
      <c r="A44">
        <f>IF($L44="","",B44&amp;"."&amp;C44&amp;"-"&amp;D44&amp;"-"&amp;H44&amp;"."&amp;I44&amp;"."&amp;J44)</f>
        <v/>
      </c>
      <c r="B44">
        <f>IF($L44="","",INDEX(Расчет!$A$2:$A$3001,$L44))</f>
        <v/>
      </c>
      <c r="C44">
        <f>IF($L44="","",INDEX(Расчет!$B$2:$B$3001,$L44))</f>
        <v/>
      </c>
      <c r="D44">
        <f>IF($L44="","",IF(ISNUMBER(FIND("(",INDEX(Расчет!$C$2:$C$3001,$L44))),SUBSTITUTE(MID(INDEX(Расчет!$C$2:$C$3001,$L44),FIND("(",INDEX(Расчет!$C$2:$C$3001,$L44))+1,99),")",""),INDEX(Расчет!$C$2:$C$3001,$L44)))</f>
        <v/>
      </c>
      <c r="E44">
        <f>IF($L44="","",INDEX(Расчет!$D$2:$D$3001,$L44))</f>
        <v/>
      </c>
      <c r="F44">
        <f>IF($L44="","",INDEX(Расчет!$E$2:$E$3001,$L44))</f>
        <v/>
      </c>
      <c r="G44">
        <f>IF($L44="","",IFERROR(--LEFT(INDEX(Расчет!$C$2:$C$3001,$L44),FIND("(",INDEX(Расчет!$C$2:$C$3001,$L44))-1),IFERROR(--LEFT(INDEX(Расчет!$C$2:$C$3001,$L44),1),"")))</f>
        <v/>
      </c>
      <c r="H44">
        <f>IF($L44="","",SUMIFS(Расчет!$G$2:$G$3001,Расчет!$I$2:$I$3001,$K44,Расчет!$H$2:$H$3001,1))</f>
        <v/>
      </c>
      <c r="I44">
        <f>IF($L44="","",SUMIFS(Расчет!$G$2:$G$3001,Расчет!$I$2:$I$3001,$K44,Расчет!$H$2:$H$3001,2))</f>
        <v/>
      </c>
      <c r="J44">
        <f>IF($L44="","",SUMIFS(Расчет!$G$2:$G$3001,Расчет!$I$2:$I$3001,$K44,Расчет!$H$2:$H$3001,3))</f>
        <v/>
      </c>
      <c r="K44">
        <f>IF($L44="","",INDEX(Расчет!$I$2:$I$3001,$L44))</f>
        <v/>
      </c>
      <c r="L44">
        <f>IFERROR(MATCH(ROW()-1,Расчет!$J$2:$J$3001,0),"")</f>
        <v/>
      </c>
    </row>
    <row r="45">
      <c r="A45">
        <f>IF($L45="","",B45&amp;"."&amp;C45&amp;"-"&amp;D45&amp;"-"&amp;H45&amp;"."&amp;I45&amp;"."&amp;J45)</f>
        <v/>
      </c>
      <c r="B45">
        <f>IF($L45="","",INDEX(Расчет!$A$2:$A$3001,$L45))</f>
        <v/>
      </c>
      <c r="C45">
        <f>IF($L45="","",INDEX(Расчет!$B$2:$B$3001,$L45))</f>
        <v/>
      </c>
      <c r="D45">
        <f>IF($L45="","",IF(ISNUMBER(FIND("(",INDEX(Расчет!$C$2:$C$3001,$L45))),SUBSTITUTE(MID(INDEX(Расчет!$C$2:$C$3001,$L45),FIND("(",INDEX(Расчет!$C$2:$C$3001,$L45))+1,99),")",""),INDEX(Расчет!$C$2:$C$3001,$L45)))</f>
        <v/>
      </c>
      <c r="E45">
        <f>IF($L45="","",INDEX(Расчет!$D$2:$D$3001,$L45))</f>
        <v/>
      </c>
      <c r="F45">
        <f>IF($L45="","",INDEX(Расчет!$E$2:$E$3001,$L45))</f>
        <v/>
      </c>
      <c r="G45">
        <f>IF($L45="","",IFERROR(--LEFT(INDEX(Расчет!$C$2:$C$3001,$L45),FIND("(",INDEX(Расчет!$C$2:$C$3001,$L45))-1),IFERROR(--LEFT(INDEX(Расчет!$C$2:$C$3001,$L45),1),"")))</f>
        <v/>
      </c>
      <c r="H45">
        <f>IF($L45="","",SUMIFS(Расчет!$G$2:$G$3001,Расчет!$I$2:$I$3001,$K45,Расчет!$H$2:$H$3001,1))</f>
        <v/>
      </c>
      <c r="I45">
        <f>IF($L45="","",SUMIFS(Расчет!$G$2:$G$3001,Расчет!$I$2:$I$3001,$K45,Расчет!$H$2:$H$3001,2))</f>
        <v/>
      </c>
      <c r="J45">
        <f>IF($L45="","",SUMIFS(Расчет!$G$2:$G$3001,Расчет!$I$2:$I$3001,$K45,Расчет!$H$2:$H$3001,3))</f>
        <v/>
      </c>
      <c r="K45">
        <f>IF($L45="","",INDEX(Расчет!$I$2:$I$3001,$L45))</f>
        <v/>
      </c>
      <c r="L45">
        <f>IFERROR(MATCH(ROW()-1,Расчет!$J$2:$J$3001,0),"")</f>
        <v/>
      </c>
    </row>
    <row r="46">
      <c r="A46">
        <f>IF($L46="","",B46&amp;"."&amp;C46&amp;"-"&amp;D46&amp;"-"&amp;H46&amp;"."&amp;I46&amp;"."&amp;J46)</f>
        <v/>
      </c>
      <c r="B46">
        <f>IF($L46="","",INDEX(Расчет!$A$2:$A$3001,$L46))</f>
        <v/>
      </c>
      <c r="C46">
        <f>IF($L46="","",INDEX(Расчет!$B$2:$B$3001,$L46))</f>
        <v/>
      </c>
      <c r="D46">
        <f>IF($L46="","",IF(ISNUMBER(FIND("(",INDEX(Расчет!$C$2:$C$3001,$L46))),SUBSTITUTE(MID(INDEX(Расчет!$C$2:$C$3001,$L46),FIND("(",INDEX(Расчет!$C$2:$C$3001,$L46))+1,99),")",""),INDEX(Расчет!$C$2:$C$3001,$L46)))</f>
        <v/>
      </c>
      <c r="E46">
        <f>IF($L46="","",INDEX(Расчет!$D$2:$D$3001,$L46))</f>
        <v/>
      </c>
      <c r="F46">
        <f>IF($L46="","",INDEX(Расчет!$E$2:$E$3001,$L46))</f>
        <v/>
      </c>
      <c r="G46">
        <f>IF($L46="","",IFERROR(--LEFT(INDEX(Расчет!$C$2:$C$3001,$L46),FIND("(",INDEX(Расчет!$C$2:$C$3001,$L46))-1),IFERROR(--LEFT(INDEX(Расчет!$C$2:$C$3001,$L46),1),"")))</f>
        <v/>
      </c>
      <c r="H46">
        <f>IF($L46="","",SUMIFS(Расчет!$G$2:$G$3001,Расчет!$I$2:$I$3001,$K46,Расчет!$H$2:$H$3001,1))</f>
        <v/>
      </c>
      <c r="I46">
        <f>IF($L46="","",SUMIFS(Расчет!$G$2:$G$3001,Расчет!$I$2:$I$3001,$K46,Расчет!$H$2:$H$3001,2))</f>
        <v/>
      </c>
      <c r="J46">
        <f>IF($L46="","",SUMIFS(Расчет!$G$2:$G$3001,Расчет!$I$2:$I$3001,$K46,Расчет!$H$2:$H$3001,3))</f>
        <v/>
      </c>
      <c r="K46">
        <f>IF($L46="","",INDEX(Расчет!$I$2:$I$3001,$L46))</f>
        <v/>
      </c>
      <c r="L46">
        <f>IFERROR(MATCH(ROW()-1,Расчет!$J$2:$J$3001,0),"")</f>
        <v/>
      </c>
    </row>
    <row r="47">
      <c r="A47">
        <f>IF($L47="","",B47&amp;"."&amp;C47&amp;"-"&amp;D47&amp;"-"&amp;H47&amp;"."&amp;I47&amp;"."&amp;J47)</f>
        <v/>
      </c>
      <c r="B47">
        <f>IF($L47="","",INDEX(Расчет!$A$2:$A$3001,$L47))</f>
        <v/>
      </c>
      <c r="C47">
        <f>IF($L47="","",INDEX(Расчет!$B$2:$B$3001,$L47))</f>
        <v/>
      </c>
      <c r="D47">
        <f>IF($L47="","",IF(ISNUMBER(FIND("(",INDEX(Расчет!$C$2:$C$3001,$L47))),SUBSTITUTE(MID(INDEX(Расчет!$C$2:$C$3001,$L47),FIND("(",INDEX(Расчет!$C$2:$C$3001,$L47))+1,99),")",""),INDEX(Расчет!$C$2:$C$3001,$L47)))</f>
        <v/>
      </c>
      <c r="E47">
        <f>IF($L47="","",INDEX(Расчет!$D$2:$D$3001,$L47))</f>
        <v/>
      </c>
      <c r="F47">
        <f>IF($L47="","",INDEX(Расчет!$E$2:$E$3001,$L47))</f>
        <v/>
      </c>
      <c r="G47">
        <f>IF($L47="","",IFERROR(--LEFT(INDEX(Расчет!$C$2:$C$3001,$L47),FIND("(",INDEX(Расчет!$C$2:$C$3001,$L47))-1),IFERROR(--LEFT(INDEX(Расчет!$C$2:$C$3001,$L47),1),"")))</f>
        <v/>
      </c>
      <c r="H47">
        <f>IF($L47="","",SUMIFS(Расчет!$G$2:$G$3001,Расчет!$I$2:$I$3001,$K47,Расчет!$H$2:$H$3001,1))</f>
        <v/>
      </c>
      <c r="I47">
        <f>IF($L47="","",SUMIFS(Расчет!$G$2:$G$3001,Расчет!$I$2:$I$3001,$K47,Расчет!$H$2:$H$3001,2))</f>
        <v/>
      </c>
      <c r="J47">
        <f>IF($L47="","",SUMIFS(Расчет!$G$2:$G$3001,Расчет!$I$2:$I$3001,$K47,Расчет!$H$2:$H$3001,3))</f>
        <v/>
      </c>
      <c r="K47">
        <f>IF($L47="","",INDEX(Расчет!$I$2:$I$3001,$L47))</f>
        <v/>
      </c>
      <c r="L47">
        <f>IFERROR(MATCH(ROW()-1,Расчет!$J$2:$J$3001,0),"")</f>
        <v/>
      </c>
    </row>
    <row r="48">
      <c r="A48">
        <f>IF($L48="","",B48&amp;"."&amp;C48&amp;"-"&amp;D48&amp;"-"&amp;H48&amp;"."&amp;I48&amp;"."&amp;J48)</f>
        <v/>
      </c>
      <c r="B48">
        <f>IF($L48="","",INDEX(Расчет!$A$2:$A$3001,$L48))</f>
        <v/>
      </c>
      <c r="C48">
        <f>IF($L48="","",INDEX(Расчет!$B$2:$B$3001,$L48))</f>
        <v/>
      </c>
      <c r="D48">
        <f>IF($L48="","",IF(ISNUMBER(FIND("(",INDEX(Расчет!$C$2:$C$3001,$L48))),SUBSTITUTE(MID(INDEX(Расчет!$C$2:$C$3001,$L48),FIND("(",INDEX(Расчет!$C$2:$C$3001,$L48))+1,99),")",""),INDEX(Расчет!$C$2:$C$3001,$L48)))</f>
        <v/>
      </c>
      <c r="E48">
        <f>IF($L48="","",INDEX(Расчет!$D$2:$D$3001,$L48))</f>
        <v/>
      </c>
      <c r="F48">
        <f>IF($L48="","",INDEX(Расчет!$E$2:$E$3001,$L48))</f>
        <v/>
      </c>
      <c r="G48">
        <f>IF($L48="","",IFERROR(--LEFT(INDEX(Расчет!$C$2:$C$3001,$L48),FIND("(",INDEX(Расчет!$C$2:$C$3001,$L48))-1),IFERROR(--LEFT(INDEX(Расчет!$C$2:$C$3001,$L48),1),"")))</f>
        <v/>
      </c>
      <c r="H48">
        <f>IF($L48="","",SUMIFS(Расчет!$G$2:$G$3001,Расчет!$I$2:$I$3001,$K48,Расчет!$H$2:$H$3001,1))</f>
        <v/>
      </c>
      <c r="I48">
        <f>IF($L48="","",SUMIFS(Расчет!$G$2:$G$3001,Расчет!$I$2:$I$3001,$K48,Расчет!$H$2:$H$3001,2))</f>
        <v/>
      </c>
      <c r="J48">
        <f>IF($L48="","",SUMIFS(Расчет!$G$2:$G$3001,Расчет!$I$2:$I$3001,$K48,Расчет!$H$2:$H$3001,3))</f>
        <v/>
      </c>
      <c r="K48">
        <f>IF($L48="","",INDEX(Расчет!$I$2:$I$3001,$L48))</f>
        <v/>
      </c>
      <c r="L48">
        <f>IFERROR(MATCH(ROW()-1,Расчет!$J$2:$J$3001,0),"")</f>
        <v/>
      </c>
    </row>
    <row r="49">
      <c r="A49">
        <f>IF($L49="","",B49&amp;"."&amp;C49&amp;"-"&amp;D49&amp;"-"&amp;H49&amp;"."&amp;I49&amp;"."&amp;J49)</f>
        <v/>
      </c>
      <c r="B49">
        <f>IF($L49="","",INDEX(Расчет!$A$2:$A$3001,$L49))</f>
        <v/>
      </c>
      <c r="C49">
        <f>IF($L49="","",INDEX(Расчет!$B$2:$B$3001,$L49))</f>
        <v/>
      </c>
      <c r="D49">
        <f>IF($L49="","",IF(ISNUMBER(FIND("(",INDEX(Расчет!$C$2:$C$3001,$L49))),SUBSTITUTE(MID(INDEX(Расчет!$C$2:$C$3001,$L49),FIND("(",INDEX(Расчет!$C$2:$C$3001,$L49))+1,99),")",""),INDEX(Расчет!$C$2:$C$3001,$L49)))</f>
        <v/>
      </c>
      <c r="E49">
        <f>IF($L49="","",INDEX(Расчет!$D$2:$D$3001,$L49))</f>
        <v/>
      </c>
      <c r="F49">
        <f>IF($L49="","",INDEX(Расчет!$E$2:$E$3001,$L49))</f>
        <v/>
      </c>
      <c r="G49">
        <f>IF($L49="","",IFERROR(--LEFT(INDEX(Расчет!$C$2:$C$3001,$L49),FIND("(",INDEX(Расчет!$C$2:$C$3001,$L49))-1),IFERROR(--LEFT(INDEX(Расчет!$C$2:$C$3001,$L49),1),"")))</f>
        <v/>
      </c>
      <c r="H49">
        <f>IF($L49="","",SUMIFS(Расчет!$G$2:$G$3001,Расчет!$I$2:$I$3001,$K49,Расчет!$H$2:$H$3001,1))</f>
        <v/>
      </c>
      <c r="I49">
        <f>IF($L49="","",SUMIFS(Расчет!$G$2:$G$3001,Расчет!$I$2:$I$3001,$K49,Расчет!$H$2:$H$3001,2))</f>
        <v/>
      </c>
      <c r="J49">
        <f>IF($L49="","",SUMIFS(Расчет!$G$2:$G$3001,Расчет!$I$2:$I$3001,$K49,Расчет!$H$2:$H$3001,3))</f>
        <v/>
      </c>
      <c r="K49">
        <f>IF($L49="","",INDEX(Расчет!$I$2:$I$3001,$L49))</f>
        <v/>
      </c>
      <c r="L49">
        <f>IFERROR(MATCH(ROW()-1,Расчет!$J$2:$J$3001,0),"")</f>
        <v/>
      </c>
    </row>
    <row r="50">
      <c r="A50">
        <f>IF($L50="","",B50&amp;"."&amp;C50&amp;"-"&amp;D50&amp;"-"&amp;H50&amp;"."&amp;I50&amp;"."&amp;J50)</f>
        <v/>
      </c>
      <c r="B50">
        <f>IF($L50="","",INDEX(Расчет!$A$2:$A$3001,$L50))</f>
        <v/>
      </c>
      <c r="C50">
        <f>IF($L50="","",INDEX(Расчет!$B$2:$B$3001,$L50))</f>
        <v/>
      </c>
      <c r="D50">
        <f>IF($L50="","",IF(ISNUMBER(FIND("(",INDEX(Расчет!$C$2:$C$3001,$L50))),SUBSTITUTE(MID(INDEX(Расчет!$C$2:$C$3001,$L50),FIND("(",INDEX(Расчет!$C$2:$C$3001,$L50))+1,99),")",""),INDEX(Расчет!$C$2:$C$3001,$L50)))</f>
        <v/>
      </c>
      <c r="E50">
        <f>IF($L50="","",INDEX(Расчет!$D$2:$D$3001,$L50))</f>
        <v/>
      </c>
      <c r="F50">
        <f>IF($L50="","",INDEX(Расчет!$E$2:$E$3001,$L50))</f>
        <v/>
      </c>
      <c r="G50">
        <f>IF($L50="","",IFERROR(--LEFT(INDEX(Расчет!$C$2:$C$3001,$L50),FIND("(",INDEX(Расчет!$C$2:$C$3001,$L50))-1),IFERROR(--LEFT(INDEX(Расчет!$C$2:$C$3001,$L50),1),"")))</f>
        <v/>
      </c>
      <c r="H50">
        <f>IF($L50="","",SUMIFS(Расчет!$G$2:$G$3001,Расчет!$I$2:$I$3001,$K50,Расчет!$H$2:$H$3001,1))</f>
        <v/>
      </c>
      <c r="I50">
        <f>IF($L50="","",SUMIFS(Расчет!$G$2:$G$3001,Расчет!$I$2:$I$3001,$K50,Расчет!$H$2:$H$3001,2))</f>
        <v/>
      </c>
      <c r="J50">
        <f>IF($L50="","",SUMIFS(Расчет!$G$2:$G$3001,Расчет!$I$2:$I$3001,$K50,Расчет!$H$2:$H$3001,3))</f>
        <v/>
      </c>
      <c r="K50">
        <f>IF($L50="","",INDEX(Расчет!$I$2:$I$3001,$L50))</f>
        <v/>
      </c>
      <c r="L50">
        <f>IFERROR(MATCH(ROW()-1,Расчет!$J$2:$J$3001,0),"")</f>
        <v/>
      </c>
    </row>
    <row r="51">
      <c r="A51">
        <f>IF($L51="","",B51&amp;"."&amp;C51&amp;"-"&amp;D51&amp;"-"&amp;H51&amp;"."&amp;I51&amp;"."&amp;J51)</f>
        <v/>
      </c>
      <c r="B51">
        <f>IF($L51="","",INDEX(Расчет!$A$2:$A$3001,$L51))</f>
        <v/>
      </c>
      <c r="C51">
        <f>IF($L51="","",INDEX(Расчет!$B$2:$B$3001,$L51))</f>
        <v/>
      </c>
      <c r="D51">
        <f>IF($L51="","",IF(ISNUMBER(FIND("(",INDEX(Расчет!$C$2:$C$3001,$L51))),SUBSTITUTE(MID(INDEX(Расчет!$C$2:$C$3001,$L51),FIND("(",INDEX(Расчет!$C$2:$C$3001,$L51))+1,99),")",""),INDEX(Расчет!$C$2:$C$3001,$L51)))</f>
        <v/>
      </c>
      <c r="E51">
        <f>IF($L51="","",INDEX(Расчет!$D$2:$D$3001,$L51))</f>
        <v/>
      </c>
      <c r="F51">
        <f>IF($L51="","",INDEX(Расчет!$E$2:$E$3001,$L51))</f>
        <v/>
      </c>
      <c r="G51">
        <f>IF($L51="","",IFERROR(--LEFT(INDEX(Расчет!$C$2:$C$3001,$L51),FIND("(",INDEX(Расчет!$C$2:$C$3001,$L51))-1),IFERROR(--LEFT(INDEX(Расчет!$C$2:$C$3001,$L51),1),"")))</f>
        <v/>
      </c>
      <c r="H51">
        <f>IF($L51="","",SUMIFS(Расчет!$G$2:$G$3001,Расчет!$I$2:$I$3001,$K51,Расчет!$H$2:$H$3001,1))</f>
        <v/>
      </c>
      <c r="I51">
        <f>IF($L51="","",SUMIFS(Расчет!$G$2:$G$3001,Расчет!$I$2:$I$3001,$K51,Расчет!$H$2:$H$3001,2))</f>
        <v/>
      </c>
      <c r="J51">
        <f>IF($L51="","",SUMIFS(Расчет!$G$2:$G$3001,Расчет!$I$2:$I$3001,$K51,Расчет!$H$2:$H$3001,3))</f>
        <v/>
      </c>
      <c r="K51">
        <f>IF($L51="","",INDEX(Расчет!$I$2:$I$3001,$L51))</f>
        <v/>
      </c>
      <c r="L51">
        <f>IFERROR(MATCH(ROW()-1,Расчет!$J$2:$J$3001,0),"")</f>
        <v/>
      </c>
    </row>
    <row r="52">
      <c r="A52">
        <f>IF($L52="","",B52&amp;"."&amp;C52&amp;"-"&amp;D52&amp;"-"&amp;H52&amp;"."&amp;I52&amp;"."&amp;J52)</f>
        <v/>
      </c>
      <c r="B52">
        <f>IF($L52="","",INDEX(Расчет!$A$2:$A$3001,$L52))</f>
        <v/>
      </c>
      <c r="C52">
        <f>IF($L52="","",INDEX(Расчет!$B$2:$B$3001,$L52))</f>
        <v/>
      </c>
      <c r="D52">
        <f>IF($L52="","",IF(ISNUMBER(FIND("(",INDEX(Расчет!$C$2:$C$3001,$L52))),SUBSTITUTE(MID(INDEX(Расчет!$C$2:$C$3001,$L52),FIND("(",INDEX(Расчет!$C$2:$C$3001,$L52))+1,99),")",""),INDEX(Расчет!$C$2:$C$3001,$L52)))</f>
        <v/>
      </c>
      <c r="E52">
        <f>IF($L52="","",INDEX(Расчет!$D$2:$D$3001,$L52))</f>
        <v/>
      </c>
      <c r="F52">
        <f>IF($L52="","",INDEX(Расчет!$E$2:$E$3001,$L52))</f>
        <v/>
      </c>
      <c r="G52">
        <f>IF($L52="","",IFERROR(--LEFT(INDEX(Расчет!$C$2:$C$3001,$L52),FIND("(",INDEX(Расчет!$C$2:$C$3001,$L52))-1),IFERROR(--LEFT(INDEX(Расчет!$C$2:$C$3001,$L52),1),"")))</f>
        <v/>
      </c>
      <c r="H52">
        <f>IF($L52="","",SUMIFS(Расчет!$G$2:$G$3001,Расчет!$I$2:$I$3001,$K52,Расчет!$H$2:$H$3001,1))</f>
        <v/>
      </c>
      <c r="I52">
        <f>IF($L52="","",SUMIFS(Расчет!$G$2:$G$3001,Расчет!$I$2:$I$3001,$K52,Расчет!$H$2:$H$3001,2))</f>
        <v/>
      </c>
      <c r="J52">
        <f>IF($L52="","",SUMIFS(Расчет!$G$2:$G$3001,Расчет!$I$2:$I$3001,$K52,Расчет!$H$2:$H$3001,3))</f>
        <v/>
      </c>
      <c r="K52">
        <f>IF($L52="","",INDEX(Расчет!$I$2:$I$3001,$L52))</f>
        <v/>
      </c>
      <c r="L52">
        <f>IFERROR(MATCH(ROW()-1,Расчет!$J$2:$J$3001,0),"")</f>
        <v/>
      </c>
    </row>
    <row r="53">
      <c r="A53">
        <f>IF($L53="","",B53&amp;"."&amp;C53&amp;"-"&amp;D53&amp;"-"&amp;H53&amp;"."&amp;I53&amp;"."&amp;J53)</f>
        <v/>
      </c>
      <c r="B53">
        <f>IF($L53="","",INDEX(Расчет!$A$2:$A$3001,$L53))</f>
        <v/>
      </c>
      <c r="C53">
        <f>IF($L53="","",INDEX(Расчет!$B$2:$B$3001,$L53))</f>
        <v/>
      </c>
      <c r="D53">
        <f>IF($L53="","",IF(ISNUMBER(FIND("(",INDEX(Расчет!$C$2:$C$3001,$L53))),SUBSTITUTE(MID(INDEX(Расчет!$C$2:$C$3001,$L53),FIND("(",INDEX(Расчет!$C$2:$C$3001,$L53))+1,99),")",""),INDEX(Расчет!$C$2:$C$3001,$L53)))</f>
        <v/>
      </c>
      <c r="E53">
        <f>IF($L53="","",INDEX(Расчет!$D$2:$D$3001,$L53))</f>
        <v/>
      </c>
      <c r="F53">
        <f>IF($L53="","",INDEX(Расчет!$E$2:$E$3001,$L53))</f>
        <v/>
      </c>
      <c r="G53">
        <f>IF($L53="","",IFERROR(--LEFT(INDEX(Расчет!$C$2:$C$3001,$L53),FIND("(",INDEX(Расчет!$C$2:$C$3001,$L53))-1),IFERROR(--LEFT(INDEX(Расчет!$C$2:$C$3001,$L53),1),"")))</f>
        <v/>
      </c>
      <c r="H53">
        <f>IF($L53="","",SUMIFS(Расчет!$G$2:$G$3001,Расчет!$I$2:$I$3001,$K53,Расчет!$H$2:$H$3001,1))</f>
        <v/>
      </c>
      <c r="I53">
        <f>IF($L53="","",SUMIFS(Расчет!$G$2:$G$3001,Расчет!$I$2:$I$3001,$K53,Расчет!$H$2:$H$3001,2))</f>
        <v/>
      </c>
      <c r="J53">
        <f>IF($L53="","",SUMIFS(Расчет!$G$2:$G$3001,Расчет!$I$2:$I$3001,$K53,Расчет!$H$2:$H$3001,3))</f>
        <v/>
      </c>
      <c r="K53">
        <f>IF($L53="","",INDEX(Расчет!$I$2:$I$3001,$L53))</f>
        <v/>
      </c>
      <c r="L53">
        <f>IFERROR(MATCH(ROW()-1,Расчет!$J$2:$J$3001,0),"")</f>
        <v/>
      </c>
    </row>
    <row r="54">
      <c r="A54">
        <f>IF($L54="","",B54&amp;"."&amp;C54&amp;"-"&amp;D54&amp;"-"&amp;H54&amp;"."&amp;I54&amp;"."&amp;J54)</f>
        <v/>
      </c>
      <c r="B54">
        <f>IF($L54="","",INDEX(Расчет!$A$2:$A$3001,$L54))</f>
        <v/>
      </c>
      <c r="C54">
        <f>IF($L54="","",INDEX(Расчет!$B$2:$B$3001,$L54))</f>
        <v/>
      </c>
      <c r="D54">
        <f>IF($L54="","",IF(ISNUMBER(FIND("(",INDEX(Расчет!$C$2:$C$3001,$L54))),SUBSTITUTE(MID(INDEX(Расчет!$C$2:$C$3001,$L54),FIND("(",INDEX(Расчет!$C$2:$C$3001,$L54))+1,99),")",""),INDEX(Расчет!$C$2:$C$3001,$L54)))</f>
        <v/>
      </c>
      <c r="E54">
        <f>IF($L54="","",INDEX(Расчет!$D$2:$D$3001,$L54))</f>
        <v/>
      </c>
      <c r="F54">
        <f>IF($L54="","",INDEX(Расчет!$E$2:$E$3001,$L54))</f>
        <v/>
      </c>
      <c r="G54">
        <f>IF($L54="","",IFERROR(--LEFT(INDEX(Расчет!$C$2:$C$3001,$L54),FIND("(",INDEX(Расчет!$C$2:$C$3001,$L54))-1),IFERROR(--LEFT(INDEX(Расчет!$C$2:$C$3001,$L54),1),"")))</f>
        <v/>
      </c>
      <c r="H54">
        <f>IF($L54="","",SUMIFS(Расчет!$G$2:$G$3001,Расчет!$I$2:$I$3001,$K54,Расчет!$H$2:$H$3001,1))</f>
        <v/>
      </c>
      <c r="I54">
        <f>IF($L54="","",SUMIFS(Расчет!$G$2:$G$3001,Расчет!$I$2:$I$3001,$K54,Расчет!$H$2:$H$3001,2))</f>
        <v/>
      </c>
      <c r="J54">
        <f>IF($L54="","",SUMIFS(Расчет!$G$2:$G$3001,Расчет!$I$2:$I$3001,$K54,Расчет!$H$2:$H$3001,3))</f>
        <v/>
      </c>
      <c r="K54">
        <f>IF($L54="","",INDEX(Расчет!$I$2:$I$3001,$L54))</f>
        <v/>
      </c>
      <c r="L54">
        <f>IFERROR(MATCH(ROW()-1,Расчет!$J$2:$J$3001,0),"")</f>
        <v/>
      </c>
    </row>
    <row r="55">
      <c r="A55">
        <f>IF($L55="","",B55&amp;"."&amp;C55&amp;"-"&amp;D55&amp;"-"&amp;H55&amp;"."&amp;I55&amp;"."&amp;J55)</f>
        <v/>
      </c>
      <c r="B55">
        <f>IF($L55="","",INDEX(Расчет!$A$2:$A$3001,$L55))</f>
        <v/>
      </c>
      <c r="C55">
        <f>IF($L55="","",INDEX(Расчет!$B$2:$B$3001,$L55))</f>
        <v/>
      </c>
      <c r="D55">
        <f>IF($L55="","",IF(ISNUMBER(FIND("(",INDEX(Расчет!$C$2:$C$3001,$L55))),SUBSTITUTE(MID(INDEX(Расчет!$C$2:$C$3001,$L55),FIND("(",INDEX(Расчет!$C$2:$C$3001,$L55))+1,99),")",""),INDEX(Расчет!$C$2:$C$3001,$L55)))</f>
        <v/>
      </c>
      <c r="E55">
        <f>IF($L55="","",INDEX(Расчет!$D$2:$D$3001,$L55))</f>
        <v/>
      </c>
      <c r="F55">
        <f>IF($L55="","",INDEX(Расчет!$E$2:$E$3001,$L55))</f>
        <v/>
      </c>
      <c r="G55">
        <f>IF($L55="","",IFERROR(--LEFT(INDEX(Расчет!$C$2:$C$3001,$L55),FIND("(",INDEX(Расчет!$C$2:$C$3001,$L55))-1),IFERROR(--LEFT(INDEX(Расчет!$C$2:$C$3001,$L55),1),"")))</f>
        <v/>
      </c>
      <c r="H55">
        <f>IF($L55="","",SUMIFS(Расчет!$G$2:$G$3001,Расчет!$I$2:$I$3001,$K55,Расчет!$H$2:$H$3001,1))</f>
        <v/>
      </c>
      <c r="I55">
        <f>IF($L55="","",SUMIFS(Расчет!$G$2:$G$3001,Расчет!$I$2:$I$3001,$K55,Расчет!$H$2:$H$3001,2))</f>
        <v/>
      </c>
      <c r="J55">
        <f>IF($L55="","",SUMIFS(Расчет!$G$2:$G$3001,Расчет!$I$2:$I$3001,$K55,Расчет!$H$2:$H$3001,3))</f>
        <v/>
      </c>
      <c r="K55">
        <f>IF($L55="","",INDEX(Расчет!$I$2:$I$3001,$L55))</f>
        <v/>
      </c>
      <c r="L55">
        <f>IFERROR(MATCH(ROW()-1,Расчет!$J$2:$J$3001,0),"")</f>
        <v/>
      </c>
    </row>
    <row r="56">
      <c r="A56">
        <f>IF($L56="","",B56&amp;"."&amp;C56&amp;"-"&amp;D56&amp;"-"&amp;H56&amp;"."&amp;I56&amp;"."&amp;J56)</f>
        <v/>
      </c>
      <c r="B56">
        <f>IF($L56="","",INDEX(Расчет!$A$2:$A$3001,$L56))</f>
        <v/>
      </c>
      <c r="C56">
        <f>IF($L56="","",INDEX(Расчет!$B$2:$B$3001,$L56))</f>
        <v/>
      </c>
      <c r="D56">
        <f>IF($L56="","",IF(ISNUMBER(FIND("(",INDEX(Расчет!$C$2:$C$3001,$L56))),SUBSTITUTE(MID(INDEX(Расчет!$C$2:$C$3001,$L56),FIND("(",INDEX(Расчет!$C$2:$C$3001,$L56))+1,99),")",""),INDEX(Расчет!$C$2:$C$3001,$L56)))</f>
        <v/>
      </c>
      <c r="E56">
        <f>IF($L56="","",INDEX(Расчет!$D$2:$D$3001,$L56))</f>
        <v/>
      </c>
      <c r="F56">
        <f>IF($L56="","",INDEX(Расчет!$E$2:$E$3001,$L56))</f>
        <v/>
      </c>
      <c r="G56">
        <f>IF($L56="","",IFERROR(--LEFT(INDEX(Расчет!$C$2:$C$3001,$L56),FIND("(",INDEX(Расчет!$C$2:$C$3001,$L56))-1),IFERROR(--LEFT(INDEX(Расчет!$C$2:$C$3001,$L56),1),"")))</f>
        <v/>
      </c>
      <c r="H56">
        <f>IF($L56="","",SUMIFS(Расчет!$G$2:$G$3001,Расчет!$I$2:$I$3001,$K56,Расчет!$H$2:$H$3001,1))</f>
        <v/>
      </c>
      <c r="I56">
        <f>IF($L56="","",SUMIFS(Расчет!$G$2:$G$3001,Расчет!$I$2:$I$3001,$K56,Расчет!$H$2:$H$3001,2))</f>
        <v/>
      </c>
      <c r="J56">
        <f>IF($L56="","",SUMIFS(Расчет!$G$2:$G$3001,Расчет!$I$2:$I$3001,$K56,Расчет!$H$2:$H$3001,3))</f>
        <v/>
      </c>
      <c r="K56">
        <f>IF($L56="","",INDEX(Расчет!$I$2:$I$3001,$L56))</f>
        <v/>
      </c>
      <c r="L56">
        <f>IFERROR(MATCH(ROW()-1,Расчет!$J$2:$J$3001,0),"")</f>
        <v/>
      </c>
    </row>
    <row r="57">
      <c r="A57">
        <f>IF($L57="","",B57&amp;"."&amp;C57&amp;"-"&amp;D57&amp;"-"&amp;H57&amp;"."&amp;I57&amp;"."&amp;J57)</f>
        <v/>
      </c>
      <c r="B57">
        <f>IF($L57="","",INDEX(Расчет!$A$2:$A$3001,$L57))</f>
        <v/>
      </c>
      <c r="C57">
        <f>IF($L57="","",INDEX(Расчет!$B$2:$B$3001,$L57))</f>
        <v/>
      </c>
      <c r="D57">
        <f>IF($L57="","",IF(ISNUMBER(FIND("(",INDEX(Расчет!$C$2:$C$3001,$L57))),SUBSTITUTE(MID(INDEX(Расчет!$C$2:$C$3001,$L57),FIND("(",INDEX(Расчет!$C$2:$C$3001,$L57))+1,99),")",""),INDEX(Расчет!$C$2:$C$3001,$L57)))</f>
        <v/>
      </c>
      <c r="E57">
        <f>IF($L57="","",INDEX(Расчет!$D$2:$D$3001,$L57))</f>
        <v/>
      </c>
      <c r="F57">
        <f>IF($L57="","",INDEX(Расчет!$E$2:$E$3001,$L57))</f>
        <v/>
      </c>
      <c r="G57">
        <f>IF($L57="","",IFERROR(--LEFT(INDEX(Расчет!$C$2:$C$3001,$L57),FIND("(",INDEX(Расчет!$C$2:$C$3001,$L57))-1),IFERROR(--LEFT(INDEX(Расчет!$C$2:$C$3001,$L57),1),"")))</f>
        <v/>
      </c>
      <c r="H57">
        <f>IF($L57="","",SUMIFS(Расчет!$G$2:$G$3001,Расчет!$I$2:$I$3001,$K57,Расчет!$H$2:$H$3001,1))</f>
        <v/>
      </c>
      <c r="I57">
        <f>IF($L57="","",SUMIFS(Расчет!$G$2:$G$3001,Расчет!$I$2:$I$3001,$K57,Расчет!$H$2:$H$3001,2))</f>
        <v/>
      </c>
      <c r="J57">
        <f>IF($L57="","",SUMIFS(Расчет!$G$2:$G$3001,Расчет!$I$2:$I$3001,$K57,Расчет!$H$2:$H$3001,3))</f>
        <v/>
      </c>
      <c r="K57">
        <f>IF($L57="","",INDEX(Расчет!$I$2:$I$3001,$L57))</f>
        <v/>
      </c>
      <c r="L57">
        <f>IFERROR(MATCH(ROW()-1,Расчет!$J$2:$J$3001,0),"")</f>
        <v/>
      </c>
    </row>
    <row r="58">
      <c r="A58">
        <f>IF($L58="","",B58&amp;"."&amp;C58&amp;"-"&amp;D58&amp;"-"&amp;H58&amp;"."&amp;I58&amp;"."&amp;J58)</f>
        <v/>
      </c>
      <c r="B58">
        <f>IF($L58="","",INDEX(Расчет!$A$2:$A$3001,$L58))</f>
        <v/>
      </c>
      <c r="C58">
        <f>IF($L58="","",INDEX(Расчет!$B$2:$B$3001,$L58))</f>
        <v/>
      </c>
      <c r="D58">
        <f>IF($L58="","",IF(ISNUMBER(FIND("(",INDEX(Расчет!$C$2:$C$3001,$L58))),SUBSTITUTE(MID(INDEX(Расчет!$C$2:$C$3001,$L58),FIND("(",INDEX(Расчет!$C$2:$C$3001,$L58))+1,99),")",""),INDEX(Расчет!$C$2:$C$3001,$L58)))</f>
        <v/>
      </c>
      <c r="E58">
        <f>IF($L58="","",INDEX(Расчет!$D$2:$D$3001,$L58))</f>
        <v/>
      </c>
      <c r="F58">
        <f>IF($L58="","",INDEX(Расчет!$E$2:$E$3001,$L58))</f>
        <v/>
      </c>
      <c r="G58">
        <f>IF($L58="","",IFERROR(--LEFT(INDEX(Расчет!$C$2:$C$3001,$L58),FIND("(",INDEX(Расчет!$C$2:$C$3001,$L58))-1),IFERROR(--LEFT(INDEX(Расчет!$C$2:$C$3001,$L58),1),"")))</f>
        <v/>
      </c>
      <c r="H58">
        <f>IF($L58="","",SUMIFS(Расчет!$G$2:$G$3001,Расчет!$I$2:$I$3001,$K58,Расчет!$H$2:$H$3001,1))</f>
        <v/>
      </c>
      <c r="I58">
        <f>IF($L58="","",SUMIFS(Расчет!$G$2:$G$3001,Расчет!$I$2:$I$3001,$K58,Расчет!$H$2:$H$3001,2))</f>
        <v/>
      </c>
      <c r="J58">
        <f>IF($L58="","",SUMIFS(Расчет!$G$2:$G$3001,Расчет!$I$2:$I$3001,$K58,Расчет!$H$2:$H$3001,3))</f>
        <v/>
      </c>
      <c r="K58">
        <f>IF($L58="","",INDEX(Расчет!$I$2:$I$3001,$L58))</f>
        <v/>
      </c>
      <c r="L58">
        <f>IFERROR(MATCH(ROW()-1,Расчет!$J$2:$J$3001,0),"")</f>
        <v/>
      </c>
    </row>
    <row r="59">
      <c r="A59">
        <f>IF($L59="","",B59&amp;"."&amp;C59&amp;"-"&amp;D59&amp;"-"&amp;H59&amp;"."&amp;I59&amp;"."&amp;J59)</f>
        <v/>
      </c>
      <c r="B59">
        <f>IF($L59="","",INDEX(Расчет!$A$2:$A$3001,$L59))</f>
        <v/>
      </c>
      <c r="C59">
        <f>IF($L59="","",INDEX(Расчет!$B$2:$B$3001,$L59))</f>
        <v/>
      </c>
      <c r="D59">
        <f>IF($L59="","",IF(ISNUMBER(FIND("(",INDEX(Расчет!$C$2:$C$3001,$L59))),SUBSTITUTE(MID(INDEX(Расчет!$C$2:$C$3001,$L59),FIND("(",INDEX(Расчет!$C$2:$C$3001,$L59))+1,99),")",""),INDEX(Расчет!$C$2:$C$3001,$L59)))</f>
        <v/>
      </c>
      <c r="E59">
        <f>IF($L59="","",INDEX(Расчет!$D$2:$D$3001,$L59))</f>
        <v/>
      </c>
      <c r="F59">
        <f>IF($L59="","",INDEX(Расчет!$E$2:$E$3001,$L59))</f>
        <v/>
      </c>
      <c r="G59">
        <f>IF($L59="","",IFERROR(--LEFT(INDEX(Расчет!$C$2:$C$3001,$L59),FIND("(",INDEX(Расчет!$C$2:$C$3001,$L59))-1),IFERROR(--LEFT(INDEX(Расчет!$C$2:$C$3001,$L59),1),"")))</f>
        <v/>
      </c>
      <c r="H59">
        <f>IF($L59="","",SUMIFS(Расчет!$G$2:$G$3001,Расчет!$I$2:$I$3001,$K59,Расчет!$H$2:$H$3001,1))</f>
        <v/>
      </c>
      <c r="I59">
        <f>IF($L59="","",SUMIFS(Расчет!$G$2:$G$3001,Расчет!$I$2:$I$3001,$K59,Расчет!$H$2:$H$3001,2))</f>
        <v/>
      </c>
      <c r="J59">
        <f>IF($L59="","",SUMIFS(Расчет!$G$2:$G$3001,Расчет!$I$2:$I$3001,$K59,Расчет!$H$2:$H$3001,3))</f>
        <v/>
      </c>
      <c r="K59">
        <f>IF($L59="","",INDEX(Расчет!$I$2:$I$3001,$L59))</f>
        <v/>
      </c>
      <c r="L59">
        <f>IFERROR(MATCH(ROW()-1,Расчет!$J$2:$J$3001,0),"")</f>
        <v/>
      </c>
    </row>
    <row r="60">
      <c r="A60">
        <f>IF($L60="","",B60&amp;"."&amp;C60&amp;"-"&amp;D60&amp;"-"&amp;H60&amp;"."&amp;I60&amp;"."&amp;J60)</f>
        <v/>
      </c>
      <c r="B60">
        <f>IF($L60="","",INDEX(Расчет!$A$2:$A$3001,$L60))</f>
        <v/>
      </c>
      <c r="C60">
        <f>IF($L60="","",INDEX(Расчет!$B$2:$B$3001,$L60))</f>
        <v/>
      </c>
      <c r="D60">
        <f>IF($L60="","",IF(ISNUMBER(FIND("(",INDEX(Расчет!$C$2:$C$3001,$L60))),SUBSTITUTE(MID(INDEX(Расчет!$C$2:$C$3001,$L60),FIND("(",INDEX(Расчет!$C$2:$C$3001,$L60))+1,99),")",""),INDEX(Расчет!$C$2:$C$3001,$L60)))</f>
        <v/>
      </c>
      <c r="E60">
        <f>IF($L60="","",INDEX(Расчет!$D$2:$D$3001,$L60))</f>
        <v/>
      </c>
      <c r="F60">
        <f>IF($L60="","",INDEX(Расчет!$E$2:$E$3001,$L60))</f>
        <v/>
      </c>
      <c r="G60">
        <f>IF($L60="","",IFERROR(--LEFT(INDEX(Расчет!$C$2:$C$3001,$L60),FIND("(",INDEX(Расчет!$C$2:$C$3001,$L60))-1),IFERROR(--LEFT(INDEX(Расчет!$C$2:$C$3001,$L60),1),"")))</f>
        <v/>
      </c>
      <c r="H60">
        <f>IF($L60="","",SUMIFS(Расчет!$G$2:$G$3001,Расчет!$I$2:$I$3001,$K60,Расчет!$H$2:$H$3001,1))</f>
        <v/>
      </c>
      <c r="I60">
        <f>IF($L60="","",SUMIFS(Расчет!$G$2:$G$3001,Расчет!$I$2:$I$3001,$K60,Расчет!$H$2:$H$3001,2))</f>
        <v/>
      </c>
      <c r="J60">
        <f>IF($L60="","",SUMIFS(Расчет!$G$2:$G$3001,Расчет!$I$2:$I$3001,$K60,Расчет!$H$2:$H$3001,3))</f>
        <v/>
      </c>
      <c r="K60">
        <f>IF($L60="","",INDEX(Расчет!$I$2:$I$3001,$L60))</f>
        <v/>
      </c>
      <c r="L60">
        <f>IFERROR(MATCH(ROW()-1,Расчет!$J$2:$J$3001,0),"")</f>
        <v/>
      </c>
    </row>
    <row r="61">
      <c r="A61">
        <f>IF($L61="","",B61&amp;"."&amp;C61&amp;"-"&amp;D61&amp;"-"&amp;H61&amp;"."&amp;I61&amp;"."&amp;J61)</f>
        <v/>
      </c>
      <c r="B61">
        <f>IF($L61="","",INDEX(Расчет!$A$2:$A$3001,$L61))</f>
        <v/>
      </c>
      <c r="C61">
        <f>IF($L61="","",INDEX(Расчет!$B$2:$B$3001,$L61))</f>
        <v/>
      </c>
      <c r="D61">
        <f>IF($L61="","",IF(ISNUMBER(FIND("(",INDEX(Расчет!$C$2:$C$3001,$L61))),SUBSTITUTE(MID(INDEX(Расчет!$C$2:$C$3001,$L61),FIND("(",INDEX(Расчет!$C$2:$C$3001,$L61))+1,99),")",""),INDEX(Расчет!$C$2:$C$3001,$L61)))</f>
        <v/>
      </c>
      <c r="E61">
        <f>IF($L61="","",INDEX(Расчет!$D$2:$D$3001,$L61))</f>
        <v/>
      </c>
      <c r="F61">
        <f>IF($L61="","",INDEX(Расчет!$E$2:$E$3001,$L61))</f>
        <v/>
      </c>
      <c r="G61">
        <f>IF($L61="","",IFERROR(--LEFT(INDEX(Расчет!$C$2:$C$3001,$L61),FIND("(",INDEX(Расчет!$C$2:$C$3001,$L61))-1),IFERROR(--LEFT(INDEX(Расчет!$C$2:$C$3001,$L61),1),"")))</f>
        <v/>
      </c>
      <c r="H61">
        <f>IF($L61="","",SUMIFS(Расчет!$G$2:$G$3001,Расчет!$I$2:$I$3001,$K61,Расчет!$H$2:$H$3001,1))</f>
        <v/>
      </c>
      <c r="I61">
        <f>IF($L61="","",SUMIFS(Расчет!$G$2:$G$3001,Расчет!$I$2:$I$3001,$K61,Расчет!$H$2:$H$3001,2))</f>
        <v/>
      </c>
      <c r="J61">
        <f>IF($L61="","",SUMIFS(Расчет!$G$2:$G$3001,Расчет!$I$2:$I$3001,$K61,Расчет!$H$2:$H$3001,3))</f>
        <v/>
      </c>
      <c r="K61">
        <f>IF($L61="","",INDEX(Расчет!$I$2:$I$3001,$L61))</f>
        <v/>
      </c>
      <c r="L61">
        <f>IFERROR(MATCH(ROW()-1,Расчет!$J$2:$J$3001,0),"")</f>
        <v/>
      </c>
    </row>
    <row r="62">
      <c r="A62">
        <f>IF($L62="","",B62&amp;"."&amp;C62&amp;"-"&amp;D62&amp;"-"&amp;H62&amp;"."&amp;I62&amp;"."&amp;J62)</f>
        <v/>
      </c>
      <c r="B62">
        <f>IF($L62="","",INDEX(Расчет!$A$2:$A$3001,$L62))</f>
        <v/>
      </c>
      <c r="C62">
        <f>IF($L62="","",INDEX(Расчет!$B$2:$B$3001,$L62))</f>
        <v/>
      </c>
      <c r="D62">
        <f>IF($L62="","",IF(ISNUMBER(FIND("(",INDEX(Расчет!$C$2:$C$3001,$L62))),SUBSTITUTE(MID(INDEX(Расчет!$C$2:$C$3001,$L62),FIND("(",INDEX(Расчет!$C$2:$C$3001,$L62))+1,99),")",""),INDEX(Расчет!$C$2:$C$3001,$L62)))</f>
        <v/>
      </c>
      <c r="E62">
        <f>IF($L62="","",INDEX(Расчет!$D$2:$D$3001,$L62))</f>
        <v/>
      </c>
      <c r="F62">
        <f>IF($L62="","",INDEX(Расчет!$E$2:$E$3001,$L62))</f>
        <v/>
      </c>
      <c r="G62">
        <f>IF($L62="","",IFERROR(--LEFT(INDEX(Расчет!$C$2:$C$3001,$L62),FIND("(",INDEX(Расчет!$C$2:$C$3001,$L62))-1),IFERROR(--LEFT(INDEX(Расчет!$C$2:$C$3001,$L62),1),"")))</f>
        <v/>
      </c>
      <c r="H62">
        <f>IF($L62="","",SUMIFS(Расчет!$G$2:$G$3001,Расчет!$I$2:$I$3001,$K62,Расчет!$H$2:$H$3001,1))</f>
        <v/>
      </c>
      <c r="I62">
        <f>IF($L62="","",SUMIFS(Расчет!$G$2:$G$3001,Расчет!$I$2:$I$3001,$K62,Расчет!$H$2:$H$3001,2))</f>
        <v/>
      </c>
      <c r="J62">
        <f>IF($L62="","",SUMIFS(Расчет!$G$2:$G$3001,Расчет!$I$2:$I$3001,$K62,Расчет!$H$2:$H$3001,3))</f>
        <v/>
      </c>
      <c r="K62">
        <f>IF($L62="","",INDEX(Расчет!$I$2:$I$3001,$L62))</f>
        <v/>
      </c>
      <c r="L62">
        <f>IFERROR(MATCH(ROW()-1,Расчет!$J$2:$J$3001,0),"")</f>
        <v/>
      </c>
    </row>
    <row r="63">
      <c r="A63">
        <f>IF($L63="","",B63&amp;"."&amp;C63&amp;"-"&amp;D63&amp;"-"&amp;H63&amp;"."&amp;I63&amp;"."&amp;J63)</f>
        <v/>
      </c>
      <c r="B63">
        <f>IF($L63="","",INDEX(Расчет!$A$2:$A$3001,$L63))</f>
        <v/>
      </c>
      <c r="C63">
        <f>IF($L63="","",INDEX(Расчет!$B$2:$B$3001,$L63))</f>
        <v/>
      </c>
      <c r="D63">
        <f>IF($L63="","",IF(ISNUMBER(FIND("(",INDEX(Расчет!$C$2:$C$3001,$L63))),SUBSTITUTE(MID(INDEX(Расчет!$C$2:$C$3001,$L63),FIND("(",INDEX(Расчет!$C$2:$C$3001,$L63))+1,99),")",""),INDEX(Расчет!$C$2:$C$3001,$L63)))</f>
        <v/>
      </c>
      <c r="E63">
        <f>IF($L63="","",INDEX(Расчет!$D$2:$D$3001,$L63))</f>
        <v/>
      </c>
      <c r="F63">
        <f>IF($L63="","",INDEX(Расчет!$E$2:$E$3001,$L63))</f>
        <v/>
      </c>
      <c r="G63">
        <f>IF($L63="","",IFERROR(--LEFT(INDEX(Расчет!$C$2:$C$3001,$L63),FIND("(",INDEX(Расчет!$C$2:$C$3001,$L63))-1),IFERROR(--LEFT(INDEX(Расчет!$C$2:$C$3001,$L63),1),"")))</f>
        <v/>
      </c>
      <c r="H63">
        <f>IF($L63="","",SUMIFS(Расчет!$G$2:$G$3001,Расчет!$I$2:$I$3001,$K63,Расчет!$H$2:$H$3001,1))</f>
        <v/>
      </c>
      <c r="I63">
        <f>IF($L63="","",SUMIFS(Расчет!$G$2:$G$3001,Расчет!$I$2:$I$3001,$K63,Расчет!$H$2:$H$3001,2))</f>
        <v/>
      </c>
      <c r="J63">
        <f>IF($L63="","",SUMIFS(Расчет!$G$2:$G$3001,Расчет!$I$2:$I$3001,$K63,Расчет!$H$2:$H$3001,3))</f>
        <v/>
      </c>
      <c r="K63">
        <f>IF($L63="","",INDEX(Расчет!$I$2:$I$3001,$L63))</f>
        <v/>
      </c>
      <c r="L63">
        <f>IFERROR(MATCH(ROW()-1,Расчет!$J$2:$J$3001,0),"")</f>
        <v/>
      </c>
    </row>
    <row r="64">
      <c r="A64">
        <f>IF($L64="","",B64&amp;"."&amp;C64&amp;"-"&amp;D64&amp;"-"&amp;H64&amp;"."&amp;I64&amp;"."&amp;J64)</f>
        <v/>
      </c>
      <c r="B64">
        <f>IF($L64="","",INDEX(Расчет!$A$2:$A$3001,$L64))</f>
        <v/>
      </c>
      <c r="C64">
        <f>IF($L64="","",INDEX(Расчет!$B$2:$B$3001,$L64))</f>
        <v/>
      </c>
      <c r="D64">
        <f>IF($L64="","",IF(ISNUMBER(FIND("(",INDEX(Расчет!$C$2:$C$3001,$L64))),SUBSTITUTE(MID(INDEX(Расчет!$C$2:$C$3001,$L64),FIND("(",INDEX(Расчет!$C$2:$C$3001,$L64))+1,99),")",""),INDEX(Расчет!$C$2:$C$3001,$L64)))</f>
        <v/>
      </c>
      <c r="E64">
        <f>IF($L64="","",INDEX(Расчет!$D$2:$D$3001,$L64))</f>
        <v/>
      </c>
      <c r="F64">
        <f>IF($L64="","",INDEX(Расчет!$E$2:$E$3001,$L64))</f>
        <v/>
      </c>
      <c r="G64">
        <f>IF($L64="","",IFERROR(--LEFT(INDEX(Расчет!$C$2:$C$3001,$L64),FIND("(",INDEX(Расчет!$C$2:$C$3001,$L64))-1),IFERROR(--LEFT(INDEX(Расчет!$C$2:$C$3001,$L64),1),"")))</f>
        <v/>
      </c>
      <c r="H64">
        <f>IF($L64="","",SUMIFS(Расчет!$G$2:$G$3001,Расчет!$I$2:$I$3001,$K64,Расчет!$H$2:$H$3001,1))</f>
        <v/>
      </c>
      <c r="I64">
        <f>IF($L64="","",SUMIFS(Расчет!$G$2:$G$3001,Расчет!$I$2:$I$3001,$K64,Расчет!$H$2:$H$3001,2))</f>
        <v/>
      </c>
      <c r="J64">
        <f>IF($L64="","",SUMIFS(Расчет!$G$2:$G$3001,Расчет!$I$2:$I$3001,$K64,Расчет!$H$2:$H$3001,3))</f>
        <v/>
      </c>
      <c r="K64">
        <f>IF($L64="","",INDEX(Расчет!$I$2:$I$3001,$L64))</f>
        <v/>
      </c>
      <c r="L64">
        <f>IFERROR(MATCH(ROW()-1,Расчет!$J$2:$J$3001,0),"")</f>
        <v/>
      </c>
    </row>
    <row r="65">
      <c r="A65">
        <f>IF($L65="","",B65&amp;"."&amp;C65&amp;"-"&amp;D65&amp;"-"&amp;H65&amp;"."&amp;I65&amp;"."&amp;J65)</f>
        <v/>
      </c>
      <c r="B65">
        <f>IF($L65="","",INDEX(Расчет!$A$2:$A$3001,$L65))</f>
        <v/>
      </c>
      <c r="C65">
        <f>IF($L65="","",INDEX(Расчет!$B$2:$B$3001,$L65))</f>
        <v/>
      </c>
      <c r="D65">
        <f>IF($L65="","",IF(ISNUMBER(FIND("(",INDEX(Расчет!$C$2:$C$3001,$L65))),SUBSTITUTE(MID(INDEX(Расчет!$C$2:$C$3001,$L65),FIND("(",INDEX(Расчет!$C$2:$C$3001,$L65))+1,99),")",""),INDEX(Расчет!$C$2:$C$3001,$L65)))</f>
        <v/>
      </c>
      <c r="E65">
        <f>IF($L65="","",INDEX(Расчет!$D$2:$D$3001,$L65))</f>
        <v/>
      </c>
      <c r="F65">
        <f>IF($L65="","",INDEX(Расчет!$E$2:$E$3001,$L65))</f>
        <v/>
      </c>
      <c r="G65">
        <f>IF($L65="","",IFERROR(--LEFT(INDEX(Расчет!$C$2:$C$3001,$L65),FIND("(",INDEX(Расчет!$C$2:$C$3001,$L65))-1),IFERROR(--LEFT(INDEX(Расчет!$C$2:$C$3001,$L65),1),"")))</f>
        <v/>
      </c>
      <c r="H65">
        <f>IF($L65="","",SUMIFS(Расчет!$G$2:$G$3001,Расчет!$I$2:$I$3001,$K65,Расчет!$H$2:$H$3001,1))</f>
        <v/>
      </c>
      <c r="I65">
        <f>IF($L65="","",SUMIFS(Расчет!$G$2:$G$3001,Расчет!$I$2:$I$3001,$K65,Расчет!$H$2:$H$3001,2))</f>
        <v/>
      </c>
      <c r="J65">
        <f>IF($L65="","",SUMIFS(Расчет!$G$2:$G$3001,Расчет!$I$2:$I$3001,$K65,Расчет!$H$2:$H$3001,3))</f>
        <v/>
      </c>
      <c r="K65">
        <f>IF($L65="","",INDEX(Расчет!$I$2:$I$3001,$L65))</f>
        <v/>
      </c>
      <c r="L65">
        <f>IFERROR(MATCH(ROW()-1,Расчет!$J$2:$J$3001,0),"")</f>
        <v/>
      </c>
    </row>
    <row r="66">
      <c r="A66">
        <f>IF($L66="","",B66&amp;"."&amp;C66&amp;"-"&amp;D66&amp;"-"&amp;H66&amp;"."&amp;I66&amp;"."&amp;J66)</f>
        <v/>
      </c>
      <c r="B66">
        <f>IF($L66="","",INDEX(Расчет!$A$2:$A$3001,$L66))</f>
        <v/>
      </c>
      <c r="C66">
        <f>IF($L66="","",INDEX(Расчет!$B$2:$B$3001,$L66))</f>
        <v/>
      </c>
      <c r="D66">
        <f>IF($L66="","",IF(ISNUMBER(FIND("(",INDEX(Расчет!$C$2:$C$3001,$L66))),SUBSTITUTE(MID(INDEX(Расчет!$C$2:$C$3001,$L66),FIND("(",INDEX(Расчет!$C$2:$C$3001,$L66))+1,99),")",""),INDEX(Расчет!$C$2:$C$3001,$L66)))</f>
        <v/>
      </c>
      <c r="E66">
        <f>IF($L66="","",INDEX(Расчет!$D$2:$D$3001,$L66))</f>
        <v/>
      </c>
      <c r="F66">
        <f>IF($L66="","",INDEX(Расчет!$E$2:$E$3001,$L66))</f>
        <v/>
      </c>
      <c r="G66">
        <f>IF($L66="","",IFERROR(--LEFT(INDEX(Расчет!$C$2:$C$3001,$L66),FIND("(",INDEX(Расчет!$C$2:$C$3001,$L66))-1),IFERROR(--LEFT(INDEX(Расчет!$C$2:$C$3001,$L66),1),"")))</f>
        <v/>
      </c>
      <c r="H66">
        <f>IF($L66="","",SUMIFS(Расчет!$G$2:$G$3001,Расчет!$I$2:$I$3001,$K66,Расчет!$H$2:$H$3001,1))</f>
        <v/>
      </c>
      <c r="I66">
        <f>IF($L66="","",SUMIFS(Расчет!$G$2:$G$3001,Расчет!$I$2:$I$3001,$K66,Расчет!$H$2:$H$3001,2))</f>
        <v/>
      </c>
      <c r="J66">
        <f>IF($L66="","",SUMIFS(Расчет!$G$2:$G$3001,Расчет!$I$2:$I$3001,$K66,Расчет!$H$2:$H$3001,3))</f>
        <v/>
      </c>
      <c r="K66">
        <f>IF($L66="","",INDEX(Расчет!$I$2:$I$3001,$L66))</f>
        <v/>
      </c>
      <c r="L66">
        <f>IFERROR(MATCH(ROW()-1,Расчет!$J$2:$J$3001,0),"")</f>
        <v/>
      </c>
    </row>
    <row r="67">
      <c r="A67">
        <f>IF($L67="","",B67&amp;"."&amp;C67&amp;"-"&amp;D67&amp;"-"&amp;H67&amp;"."&amp;I67&amp;"."&amp;J67)</f>
        <v/>
      </c>
      <c r="B67">
        <f>IF($L67="","",INDEX(Расчет!$A$2:$A$3001,$L67))</f>
        <v/>
      </c>
      <c r="C67">
        <f>IF($L67="","",INDEX(Расчет!$B$2:$B$3001,$L67))</f>
        <v/>
      </c>
      <c r="D67">
        <f>IF($L67="","",IF(ISNUMBER(FIND("(",INDEX(Расчет!$C$2:$C$3001,$L67))),SUBSTITUTE(MID(INDEX(Расчет!$C$2:$C$3001,$L67),FIND("(",INDEX(Расчет!$C$2:$C$3001,$L67))+1,99),")",""),INDEX(Расчет!$C$2:$C$3001,$L67)))</f>
        <v/>
      </c>
      <c r="E67">
        <f>IF($L67="","",INDEX(Расчет!$D$2:$D$3001,$L67))</f>
        <v/>
      </c>
      <c r="F67">
        <f>IF($L67="","",INDEX(Расчет!$E$2:$E$3001,$L67))</f>
        <v/>
      </c>
      <c r="G67">
        <f>IF($L67="","",IFERROR(--LEFT(INDEX(Расчет!$C$2:$C$3001,$L67),FIND("(",INDEX(Расчет!$C$2:$C$3001,$L67))-1),IFERROR(--LEFT(INDEX(Расчет!$C$2:$C$3001,$L67),1),"")))</f>
        <v/>
      </c>
      <c r="H67">
        <f>IF($L67="","",SUMIFS(Расчет!$G$2:$G$3001,Расчет!$I$2:$I$3001,$K67,Расчет!$H$2:$H$3001,1))</f>
        <v/>
      </c>
      <c r="I67">
        <f>IF($L67="","",SUMIFS(Расчет!$G$2:$G$3001,Расчет!$I$2:$I$3001,$K67,Расчет!$H$2:$H$3001,2))</f>
        <v/>
      </c>
      <c r="J67">
        <f>IF($L67="","",SUMIFS(Расчет!$G$2:$G$3001,Расчет!$I$2:$I$3001,$K67,Расчет!$H$2:$H$3001,3))</f>
        <v/>
      </c>
      <c r="K67">
        <f>IF($L67="","",INDEX(Расчет!$I$2:$I$3001,$L67))</f>
        <v/>
      </c>
      <c r="L67">
        <f>IFERROR(MATCH(ROW()-1,Расчет!$J$2:$J$3001,0),"")</f>
        <v/>
      </c>
    </row>
    <row r="68">
      <c r="A68">
        <f>IF($L68="","",B68&amp;"."&amp;C68&amp;"-"&amp;D68&amp;"-"&amp;H68&amp;"."&amp;I68&amp;"."&amp;J68)</f>
        <v/>
      </c>
      <c r="B68">
        <f>IF($L68="","",INDEX(Расчет!$A$2:$A$3001,$L68))</f>
        <v/>
      </c>
      <c r="C68">
        <f>IF($L68="","",INDEX(Расчет!$B$2:$B$3001,$L68))</f>
        <v/>
      </c>
      <c r="D68">
        <f>IF($L68="","",IF(ISNUMBER(FIND("(",INDEX(Расчет!$C$2:$C$3001,$L68))),SUBSTITUTE(MID(INDEX(Расчет!$C$2:$C$3001,$L68),FIND("(",INDEX(Расчет!$C$2:$C$3001,$L68))+1,99),")",""),INDEX(Расчет!$C$2:$C$3001,$L68)))</f>
        <v/>
      </c>
      <c r="E68">
        <f>IF($L68="","",INDEX(Расчет!$D$2:$D$3001,$L68))</f>
        <v/>
      </c>
      <c r="F68">
        <f>IF($L68="","",INDEX(Расчет!$E$2:$E$3001,$L68))</f>
        <v/>
      </c>
      <c r="G68">
        <f>IF($L68="","",IFERROR(--LEFT(INDEX(Расчет!$C$2:$C$3001,$L68),FIND("(",INDEX(Расчет!$C$2:$C$3001,$L68))-1),IFERROR(--LEFT(INDEX(Расчет!$C$2:$C$3001,$L68),1),"")))</f>
        <v/>
      </c>
      <c r="H68">
        <f>IF($L68="","",SUMIFS(Расчет!$G$2:$G$3001,Расчет!$I$2:$I$3001,$K68,Расчет!$H$2:$H$3001,1))</f>
        <v/>
      </c>
      <c r="I68">
        <f>IF($L68="","",SUMIFS(Расчет!$G$2:$G$3001,Расчет!$I$2:$I$3001,$K68,Расчет!$H$2:$H$3001,2))</f>
        <v/>
      </c>
      <c r="J68">
        <f>IF($L68="","",SUMIFS(Расчет!$G$2:$G$3001,Расчет!$I$2:$I$3001,$K68,Расчет!$H$2:$H$3001,3))</f>
        <v/>
      </c>
      <c r="K68">
        <f>IF($L68="","",INDEX(Расчет!$I$2:$I$3001,$L68))</f>
        <v/>
      </c>
      <c r="L68">
        <f>IFERROR(MATCH(ROW()-1,Расчет!$J$2:$J$3001,0),"")</f>
        <v/>
      </c>
    </row>
    <row r="69">
      <c r="A69">
        <f>IF($L69="","",B69&amp;"."&amp;C69&amp;"-"&amp;D69&amp;"-"&amp;H69&amp;"."&amp;I69&amp;"."&amp;J69)</f>
        <v/>
      </c>
      <c r="B69">
        <f>IF($L69="","",INDEX(Расчет!$A$2:$A$3001,$L69))</f>
        <v/>
      </c>
      <c r="C69">
        <f>IF($L69="","",INDEX(Расчет!$B$2:$B$3001,$L69))</f>
        <v/>
      </c>
      <c r="D69">
        <f>IF($L69="","",IF(ISNUMBER(FIND("(",INDEX(Расчет!$C$2:$C$3001,$L69))),SUBSTITUTE(MID(INDEX(Расчет!$C$2:$C$3001,$L69),FIND("(",INDEX(Расчет!$C$2:$C$3001,$L69))+1,99),")",""),INDEX(Расчет!$C$2:$C$3001,$L69)))</f>
        <v/>
      </c>
      <c r="E69">
        <f>IF($L69="","",INDEX(Расчет!$D$2:$D$3001,$L69))</f>
        <v/>
      </c>
      <c r="F69">
        <f>IF($L69="","",INDEX(Расчет!$E$2:$E$3001,$L69))</f>
        <v/>
      </c>
      <c r="G69">
        <f>IF($L69="","",IFERROR(--LEFT(INDEX(Расчет!$C$2:$C$3001,$L69),FIND("(",INDEX(Расчет!$C$2:$C$3001,$L69))-1),IFERROR(--LEFT(INDEX(Расчет!$C$2:$C$3001,$L69),1),"")))</f>
        <v/>
      </c>
      <c r="H69">
        <f>IF($L69="","",SUMIFS(Расчет!$G$2:$G$3001,Расчет!$I$2:$I$3001,$K69,Расчет!$H$2:$H$3001,1))</f>
        <v/>
      </c>
      <c r="I69">
        <f>IF($L69="","",SUMIFS(Расчет!$G$2:$G$3001,Расчет!$I$2:$I$3001,$K69,Расчет!$H$2:$H$3001,2))</f>
        <v/>
      </c>
      <c r="J69">
        <f>IF($L69="","",SUMIFS(Расчет!$G$2:$G$3001,Расчет!$I$2:$I$3001,$K69,Расчет!$H$2:$H$3001,3))</f>
        <v/>
      </c>
      <c r="K69">
        <f>IF($L69="","",INDEX(Расчет!$I$2:$I$3001,$L69))</f>
        <v/>
      </c>
      <c r="L69">
        <f>IFERROR(MATCH(ROW()-1,Расчет!$J$2:$J$3001,0),"")</f>
        <v/>
      </c>
    </row>
    <row r="70">
      <c r="A70">
        <f>IF($L70="","",B70&amp;"."&amp;C70&amp;"-"&amp;D70&amp;"-"&amp;H70&amp;"."&amp;I70&amp;"."&amp;J70)</f>
        <v/>
      </c>
      <c r="B70">
        <f>IF($L70="","",INDEX(Расчет!$A$2:$A$3001,$L70))</f>
        <v/>
      </c>
      <c r="C70">
        <f>IF($L70="","",INDEX(Расчет!$B$2:$B$3001,$L70))</f>
        <v/>
      </c>
      <c r="D70">
        <f>IF($L70="","",IF(ISNUMBER(FIND("(",INDEX(Расчет!$C$2:$C$3001,$L70))),SUBSTITUTE(MID(INDEX(Расчет!$C$2:$C$3001,$L70),FIND("(",INDEX(Расчет!$C$2:$C$3001,$L70))+1,99),")",""),INDEX(Расчет!$C$2:$C$3001,$L70)))</f>
        <v/>
      </c>
      <c r="E70">
        <f>IF($L70="","",INDEX(Расчет!$D$2:$D$3001,$L70))</f>
        <v/>
      </c>
      <c r="F70">
        <f>IF($L70="","",INDEX(Расчет!$E$2:$E$3001,$L70))</f>
        <v/>
      </c>
      <c r="G70">
        <f>IF($L70="","",IFERROR(--LEFT(INDEX(Расчет!$C$2:$C$3001,$L70),FIND("(",INDEX(Расчет!$C$2:$C$3001,$L70))-1),IFERROR(--LEFT(INDEX(Расчет!$C$2:$C$3001,$L70),1),"")))</f>
        <v/>
      </c>
      <c r="H70">
        <f>IF($L70="","",SUMIFS(Расчет!$G$2:$G$3001,Расчет!$I$2:$I$3001,$K70,Расчет!$H$2:$H$3001,1))</f>
        <v/>
      </c>
      <c r="I70">
        <f>IF($L70="","",SUMIFS(Расчет!$G$2:$G$3001,Расчет!$I$2:$I$3001,$K70,Расчет!$H$2:$H$3001,2))</f>
        <v/>
      </c>
      <c r="J70">
        <f>IF($L70="","",SUMIFS(Расчет!$G$2:$G$3001,Расчет!$I$2:$I$3001,$K70,Расчет!$H$2:$H$3001,3))</f>
        <v/>
      </c>
      <c r="K70">
        <f>IF($L70="","",INDEX(Расчет!$I$2:$I$3001,$L70))</f>
        <v/>
      </c>
      <c r="L70">
        <f>IFERROR(MATCH(ROW()-1,Расчет!$J$2:$J$3001,0),"")</f>
        <v/>
      </c>
    </row>
    <row r="71">
      <c r="A71">
        <f>IF($L71="","",B71&amp;"."&amp;C71&amp;"-"&amp;D71&amp;"-"&amp;H71&amp;"."&amp;I71&amp;"."&amp;J71)</f>
        <v/>
      </c>
      <c r="B71">
        <f>IF($L71="","",INDEX(Расчет!$A$2:$A$3001,$L71))</f>
        <v/>
      </c>
      <c r="C71">
        <f>IF($L71="","",INDEX(Расчет!$B$2:$B$3001,$L71))</f>
        <v/>
      </c>
      <c r="D71">
        <f>IF($L71="","",IF(ISNUMBER(FIND("(",INDEX(Расчет!$C$2:$C$3001,$L71))),SUBSTITUTE(MID(INDEX(Расчет!$C$2:$C$3001,$L71),FIND("(",INDEX(Расчет!$C$2:$C$3001,$L71))+1,99),")",""),INDEX(Расчет!$C$2:$C$3001,$L71)))</f>
        <v/>
      </c>
      <c r="E71">
        <f>IF($L71="","",INDEX(Расчет!$D$2:$D$3001,$L71))</f>
        <v/>
      </c>
      <c r="F71">
        <f>IF($L71="","",INDEX(Расчет!$E$2:$E$3001,$L71))</f>
        <v/>
      </c>
      <c r="G71">
        <f>IF($L71="","",IFERROR(--LEFT(INDEX(Расчет!$C$2:$C$3001,$L71),FIND("(",INDEX(Расчет!$C$2:$C$3001,$L71))-1),IFERROR(--LEFT(INDEX(Расчет!$C$2:$C$3001,$L71),1),"")))</f>
        <v/>
      </c>
      <c r="H71">
        <f>IF($L71="","",SUMIFS(Расчет!$G$2:$G$3001,Расчет!$I$2:$I$3001,$K71,Расчет!$H$2:$H$3001,1))</f>
        <v/>
      </c>
      <c r="I71">
        <f>IF($L71="","",SUMIFS(Расчет!$G$2:$G$3001,Расчет!$I$2:$I$3001,$K71,Расчет!$H$2:$H$3001,2))</f>
        <v/>
      </c>
      <c r="J71">
        <f>IF($L71="","",SUMIFS(Расчет!$G$2:$G$3001,Расчет!$I$2:$I$3001,$K71,Расчет!$H$2:$H$3001,3))</f>
        <v/>
      </c>
      <c r="K71">
        <f>IF($L71="","",INDEX(Расчет!$I$2:$I$3001,$L71))</f>
        <v/>
      </c>
      <c r="L71">
        <f>IFERROR(MATCH(ROW()-1,Расчет!$J$2:$J$3001,0),"")</f>
        <v/>
      </c>
    </row>
    <row r="72">
      <c r="A72">
        <f>IF($L72="","",B72&amp;"."&amp;C72&amp;"-"&amp;D72&amp;"-"&amp;H72&amp;"."&amp;I72&amp;"."&amp;J72)</f>
        <v/>
      </c>
      <c r="B72">
        <f>IF($L72="","",INDEX(Расчет!$A$2:$A$3001,$L72))</f>
        <v/>
      </c>
      <c r="C72">
        <f>IF($L72="","",INDEX(Расчет!$B$2:$B$3001,$L72))</f>
        <v/>
      </c>
      <c r="D72">
        <f>IF($L72="","",IF(ISNUMBER(FIND("(",INDEX(Расчет!$C$2:$C$3001,$L72))),SUBSTITUTE(MID(INDEX(Расчет!$C$2:$C$3001,$L72),FIND("(",INDEX(Расчет!$C$2:$C$3001,$L72))+1,99),")",""),INDEX(Расчет!$C$2:$C$3001,$L72)))</f>
        <v/>
      </c>
      <c r="E72">
        <f>IF($L72="","",INDEX(Расчет!$D$2:$D$3001,$L72))</f>
        <v/>
      </c>
      <c r="F72">
        <f>IF($L72="","",INDEX(Расчет!$E$2:$E$3001,$L72))</f>
        <v/>
      </c>
      <c r="G72">
        <f>IF($L72="","",IFERROR(--LEFT(INDEX(Расчет!$C$2:$C$3001,$L72),FIND("(",INDEX(Расчет!$C$2:$C$3001,$L72))-1),IFERROR(--LEFT(INDEX(Расчет!$C$2:$C$3001,$L72),1),"")))</f>
        <v/>
      </c>
      <c r="H72">
        <f>IF($L72="","",SUMIFS(Расчет!$G$2:$G$3001,Расчет!$I$2:$I$3001,$K72,Расчет!$H$2:$H$3001,1))</f>
        <v/>
      </c>
      <c r="I72">
        <f>IF($L72="","",SUMIFS(Расчет!$G$2:$G$3001,Расчет!$I$2:$I$3001,$K72,Расчет!$H$2:$H$3001,2))</f>
        <v/>
      </c>
      <c r="J72">
        <f>IF($L72="","",SUMIFS(Расчет!$G$2:$G$3001,Расчет!$I$2:$I$3001,$K72,Расчет!$H$2:$H$3001,3))</f>
        <v/>
      </c>
      <c r="K72">
        <f>IF($L72="","",INDEX(Расчет!$I$2:$I$3001,$L72))</f>
        <v/>
      </c>
      <c r="L72">
        <f>IFERROR(MATCH(ROW()-1,Расчет!$J$2:$J$3001,0),"")</f>
        <v/>
      </c>
    </row>
    <row r="73">
      <c r="A73">
        <f>IF($L73="","",B73&amp;"."&amp;C73&amp;"-"&amp;D73&amp;"-"&amp;H73&amp;"."&amp;I73&amp;"."&amp;J73)</f>
        <v/>
      </c>
      <c r="B73">
        <f>IF($L73="","",INDEX(Расчет!$A$2:$A$3001,$L73))</f>
        <v/>
      </c>
      <c r="C73">
        <f>IF($L73="","",INDEX(Расчет!$B$2:$B$3001,$L73))</f>
        <v/>
      </c>
      <c r="D73">
        <f>IF($L73="","",IF(ISNUMBER(FIND("(",INDEX(Расчет!$C$2:$C$3001,$L73))),SUBSTITUTE(MID(INDEX(Расчет!$C$2:$C$3001,$L73),FIND("(",INDEX(Расчет!$C$2:$C$3001,$L73))+1,99),")",""),INDEX(Расчет!$C$2:$C$3001,$L73)))</f>
        <v/>
      </c>
      <c r="E73">
        <f>IF($L73="","",INDEX(Расчет!$D$2:$D$3001,$L73))</f>
        <v/>
      </c>
      <c r="F73">
        <f>IF($L73="","",INDEX(Расчет!$E$2:$E$3001,$L73))</f>
        <v/>
      </c>
      <c r="G73">
        <f>IF($L73="","",IFERROR(--LEFT(INDEX(Расчет!$C$2:$C$3001,$L73),FIND("(",INDEX(Расчет!$C$2:$C$3001,$L73))-1),IFERROR(--LEFT(INDEX(Расчет!$C$2:$C$3001,$L73),1),"")))</f>
        <v/>
      </c>
      <c r="H73">
        <f>IF($L73="","",SUMIFS(Расчет!$G$2:$G$3001,Расчет!$I$2:$I$3001,$K73,Расчет!$H$2:$H$3001,1))</f>
        <v/>
      </c>
      <c r="I73">
        <f>IF($L73="","",SUMIFS(Расчет!$G$2:$G$3001,Расчет!$I$2:$I$3001,$K73,Расчет!$H$2:$H$3001,2))</f>
        <v/>
      </c>
      <c r="J73">
        <f>IF($L73="","",SUMIFS(Расчет!$G$2:$G$3001,Расчет!$I$2:$I$3001,$K73,Расчет!$H$2:$H$3001,3))</f>
        <v/>
      </c>
      <c r="K73">
        <f>IF($L73="","",INDEX(Расчет!$I$2:$I$3001,$L73))</f>
        <v/>
      </c>
      <c r="L73">
        <f>IFERROR(MATCH(ROW()-1,Расчет!$J$2:$J$3001,0),"")</f>
        <v/>
      </c>
    </row>
    <row r="74">
      <c r="A74">
        <f>IF($L74="","",B74&amp;"."&amp;C74&amp;"-"&amp;D74&amp;"-"&amp;H74&amp;"."&amp;I74&amp;"."&amp;J74)</f>
        <v/>
      </c>
      <c r="B74">
        <f>IF($L74="","",INDEX(Расчет!$A$2:$A$3001,$L74))</f>
        <v/>
      </c>
      <c r="C74">
        <f>IF($L74="","",INDEX(Расчет!$B$2:$B$3001,$L74))</f>
        <v/>
      </c>
      <c r="D74">
        <f>IF($L74="","",IF(ISNUMBER(FIND("(",INDEX(Расчет!$C$2:$C$3001,$L74))),SUBSTITUTE(MID(INDEX(Расчет!$C$2:$C$3001,$L74),FIND("(",INDEX(Расчет!$C$2:$C$3001,$L74))+1,99),")",""),INDEX(Расчет!$C$2:$C$3001,$L74)))</f>
        <v/>
      </c>
      <c r="E74">
        <f>IF($L74="","",INDEX(Расчет!$D$2:$D$3001,$L74))</f>
        <v/>
      </c>
      <c r="F74">
        <f>IF($L74="","",INDEX(Расчет!$E$2:$E$3001,$L74))</f>
        <v/>
      </c>
      <c r="G74">
        <f>IF($L74="","",IFERROR(--LEFT(INDEX(Расчет!$C$2:$C$3001,$L74),FIND("(",INDEX(Расчет!$C$2:$C$3001,$L74))-1),IFERROR(--LEFT(INDEX(Расчет!$C$2:$C$3001,$L74),1),"")))</f>
        <v/>
      </c>
      <c r="H74">
        <f>IF($L74="","",SUMIFS(Расчет!$G$2:$G$3001,Расчет!$I$2:$I$3001,$K74,Расчет!$H$2:$H$3001,1))</f>
        <v/>
      </c>
      <c r="I74">
        <f>IF($L74="","",SUMIFS(Расчет!$G$2:$G$3001,Расчет!$I$2:$I$3001,$K74,Расчет!$H$2:$H$3001,2))</f>
        <v/>
      </c>
      <c r="J74">
        <f>IF($L74="","",SUMIFS(Расчет!$G$2:$G$3001,Расчет!$I$2:$I$3001,$K74,Расчет!$H$2:$H$3001,3))</f>
        <v/>
      </c>
      <c r="K74">
        <f>IF($L74="","",INDEX(Расчет!$I$2:$I$3001,$L74))</f>
        <v/>
      </c>
      <c r="L74">
        <f>IFERROR(MATCH(ROW()-1,Расчет!$J$2:$J$3001,0),"")</f>
        <v/>
      </c>
    </row>
    <row r="75">
      <c r="A75">
        <f>IF($L75="","",B75&amp;"."&amp;C75&amp;"-"&amp;D75&amp;"-"&amp;H75&amp;"."&amp;I75&amp;"."&amp;J75)</f>
        <v/>
      </c>
      <c r="B75">
        <f>IF($L75="","",INDEX(Расчет!$A$2:$A$3001,$L75))</f>
        <v/>
      </c>
      <c r="C75">
        <f>IF($L75="","",INDEX(Расчет!$B$2:$B$3001,$L75))</f>
        <v/>
      </c>
      <c r="D75">
        <f>IF($L75="","",IF(ISNUMBER(FIND("(",INDEX(Расчет!$C$2:$C$3001,$L75))),SUBSTITUTE(MID(INDEX(Расчет!$C$2:$C$3001,$L75),FIND("(",INDEX(Расчет!$C$2:$C$3001,$L75))+1,99),")",""),INDEX(Расчет!$C$2:$C$3001,$L75)))</f>
        <v/>
      </c>
      <c r="E75">
        <f>IF($L75="","",INDEX(Расчет!$D$2:$D$3001,$L75))</f>
        <v/>
      </c>
      <c r="F75">
        <f>IF($L75="","",INDEX(Расчет!$E$2:$E$3001,$L75))</f>
        <v/>
      </c>
      <c r="G75">
        <f>IF($L75="","",IFERROR(--LEFT(INDEX(Расчет!$C$2:$C$3001,$L75),FIND("(",INDEX(Расчет!$C$2:$C$3001,$L75))-1),IFERROR(--LEFT(INDEX(Расчет!$C$2:$C$3001,$L75),1),"")))</f>
        <v/>
      </c>
      <c r="H75">
        <f>IF($L75="","",SUMIFS(Расчет!$G$2:$G$3001,Расчет!$I$2:$I$3001,$K75,Расчет!$H$2:$H$3001,1))</f>
        <v/>
      </c>
      <c r="I75">
        <f>IF($L75="","",SUMIFS(Расчет!$G$2:$G$3001,Расчет!$I$2:$I$3001,$K75,Расчет!$H$2:$H$3001,2))</f>
        <v/>
      </c>
      <c r="J75">
        <f>IF($L75="","",SUMIFS(Расчет!$G$2:$G$3001,Расчет!$I$2:$I$3001,$K75,Расчет!$H$2:$H$3001,3))</f>
        <v/>
      </c>
      <c r="K75">
        <f>IF($L75="","",INDEX(Расчет!$I$2:$I$3001,$L75))</f>
        <v/>
      </c>
      <c r="L75">
        <f>IFERROR(MATCH(ROW()-1,Расчет!$J$2:$J$3001,0),"")</f>
        <v/>
      </c>
    </row>
    <row r="76">
      <c r="A76">
        <f>IF($L76="","",B76&amp;"."&amp;C76&amp;"-"&amp;D76&amp;"-"&amp;H76&amp;"."&amp;I76&amp;"."&amp;J76)</f>
        <v/>
      </c>
      <c r="B76">
        <f>IF($L76="","",INDEX(Расчет!$A$2:$A$3001,$L76))</f>
        <v/>
      </c>
      <c r="C76">
        <f>IF($L76="","",INDEX(Расчет!$B$2:$B$3001,$L76))</f>
        <v/>
      </c>
      <c r="D76">
        <f>IF($L76="","",IF(ISNUMBER(FIND("(",INDEX(Расчет!$C$2:$C$3001,$L76))),SUBSTITUTE(MID(INDEX(Расчет!$C$2:$C$3001,$L76),FIND("(",INDEX(Расчет!$C$2:$C$3001,$L76))+1,99),")",""),INDEX(Расчет!$C$2:$C$3001,$L76)))</f>
        <v/>
      </c>
      <c r="E76">
        <f>IF($L76="","",INDEX(Расчет!$D$2:$D$3001,$L76))</f>
        <v/>
      </c>
      <c r="F76">
        <f>IF($L76="","",INDEX(Расчет!$E$2:$E$3001,$L76))</f>
        <v/>
      </c>
      <c r="G76">
        <f>IF($L76="","",IFERROR(--LEFT(INDEX(Расчет!$C$2:$C$3001,$L76),FIND("(",INDEX(Расчет!$C$2:$C$3001,$L76))-1),IFERROR(--LEFT(INDEX(Расчет!$C$2:$C$3001,$L76),1),"")))</f>
        <v/>
      </c>
      <c r="H76">
        <f>IF($L76="","",SUMIFS(Расчет!$G$2:$G$3001,Расчет!$I$2:$I$3001,$K76,Расчет!$H$2:$H$3001,1))</f>
        <v/>
      </c>
      <c r="I76">
        <f>IF($L76="","",SUMIFS(Расчет!$G$2:$G$3001,Расчет!$I$2:$I$3001,$K76,Расчет!$H$2:$H$3001,2))</f>
        <v/>
      </c>
      <c r="J76">
        <f>IF($L76="","",SUMIFS(Расчет!$G$2:$G$3001,Расчет!$I$2:$I$3001,$K76,Расчет!$H$2:$H$3001,3))</f>
        <v/>
      </c>
      <c r="K76">
        <f>IF($L76="","",INDEX(Расчет!$I$2:$I$3001,$L76))</f>
        <v/>
      </c>
      <c r="L76">
        <f>IFERROR(MATCH(ROW()-1,Расчет!$J$2:$J$3001,0),"")</f>
        <v/>
      </c>
    </row>
    <row r="77">
      <c r="A77">
        <f>IF($L77="","",B77&amp;"."&amp;C77&amp;"-"&amp;D77&amp;"-"&amp;H77&amp;"."&amp;I77&amp;"."&amp;J77)</f>
        <v/>
      </c>
      <c r="B77">
        <f>IF($L77="","",INDEX(Расчет!$A$2:$A$3001,$L77))</f>
        <v/>
      </c>
      <c r="C77">
        <f>IF($L77="","",INDEX(Расчет!$B$2:$B$3001,$L77))</f>
        <v/>
      </c>
      <c r="D77">
        <f>IF($L77="","",IF(ISNUMBER(FIND("(",INDEX(Расчет!$C$2:$C$3001,$L77))),SUBSTITUTE(MID(INDEX(Расчет!$C$2:$C$3001,$L77),FIND("(",INDEX(Расчет!$C$2:$C$3001,$L77))+1,99),")",""),INDEX(Расчет!$C$2:$C$3001,$L77)))</f>
        <v/>
      </c>
      <c r="E77">
        <f>IF($L77="","",INDEX(Расчет!$D$2:$D$3001,$L77))</f>
        <v/>
      </c>
      <c r="F77">
        <f>IF($L77="","",INDEX(Расчет!$E$2:$E$3001,$L77))</f>
        <v/>
      </c>
      <c r="G77">
        <f>IF($L77="","",IFERROR(--LEFT(INDEX(Расчет!$C$2:$C$3001,$L77),FIND("(",INDEX(Расчет!$C$2:$C$3001,$L77))-1),IFERROR(--LEFT(INDEX(Расчет!$C$2:$C$3001,$L77),1),"")))</f>
        <v/>
      </c>
      <c r="H77">
        <f>IF($L77="","",SUMIFS(Расчет!$G$2:$G$3001,Расчет!$I$2:$I$3001,$K77,Расчет!$H$2:$H$3001,1))</f>
        <v/>
      </c>
      <c r="I77">
        <f>IF($L77="","",SUMIFS(Расчет!$G$2:$G$3001,Расчет!$I$2:$I$3001,$K77,Расчет!$H$2:$H$3001,2))</f>
        <v/>
      </c>
      <c r="J77">
        <f>IF($L77="","",SUMIFS(Расчет!$G$2:$G$3001,Расчет!$I$2:$I$3001,$K77,Расчет!$H$2:$H$3001,3))</f>
        <v/>
      </c>
      <c r="K77">
        <f>IF($L77="","",INDEX(Расчет!$I$2:$I$3001,$L77))</f>
        <v/>
      </c>
      <c r="L77">
        <f>IFERROR(MATCH(ROW()-1,Расчет!$J$2:$J$3001,0),"")</f>
        <v/>
      </c>
    </row>
    <row r="78">
      <c r="A78">
        <f>IF($L78="","",B78&amp;"."&amp;C78&amp;"-"&amp;D78&amp;"-"&amp;H78&amp;"."&amp;I78&amp;"."&amp;J78)</f>
        <v/>
      </c>
      <c r="B78">
        <f>IF($L78="","",INDEX(Расчет!$A$2:$A$3001,$L78))</f>
        <v/>
      </c>
      <c r="C78">
        <f>IF($L78="","",INDEX(Расчет!$B$2:$B$3001,$L78))</f>
        <v/>
      </c>
      <c r="D78">
        <f>IF($L78="","",IF(ISNUMBER(FIND("(",INDEX(Расчет!$C$2:$C$3001,$L78))),SUBSTITUTE(MID(INDEX(Расчет!$C$2:$C$3001,$L78),FIND("(",INDEX(Расчет!$C$2:$C$3001,$L78))+1,99),")",""),INDEX(Расчет!$C$2:$C$3001,$L78)))</f>
        <v/>
      </c>
      <c r="E78">
        <f>IF($L78="","",INDEX(Расчет!$D$2:$D$3001,$L78))</f>
        <v/>
      </c>
      <c r="F78">
        <f>IF($L78="","",INDEX(Расчет!$E$2:$E$3001,$L78))</f>
        <v/>
      </c>
      <c r="G78">
        <f>IF($L78="","",IFERROR(--LEFT(INDEX(Расчет!$C$2:$C$3001,$L78),FIND("(",INDEX(Расчет!$C$2:$C$3001,$L78))-1),IFERROR(--LEFT(INDEX(Расчет!$C$2:$C$3001,$L78),1),"")))</f>
        <v/>
      </c>
      <c r="H78">
        <f>IF($L78="","",SUMIFS(Расчет!$G$2:$G$3001,Расчет!$I$2:$I$3001,$K78,Расчет!$H$2:$H$3001,1))</f>
        <v/>
      </c>
      <c r="I78">
        <f>IF($L78="","",SUMIFS(Расчет!$G$2:$G$3001,Расчет!$I$2:$I$3001,$K78,Расчет!$H$2:$H$3001,2))</f>
        <v/>
      </c>
      <c r="J78">
        <f>IF($L78="","",SUMIFS(Расчет!$G$2:$G$3001,Расчет!$I$2:$I$3001,$K78,Расчет!$H$2:$H$3001,3))</f>
        <v/>
      </c>
      <c r="K78">
        <f>IF($L78="","",INDEX(Расчет!$I$2:$I$3001,$L78))</f>
        <v/>
      </c>
      <c r="L78">
        <f>IFERROR(MATCH(ROW()-1,Расчет!$J$2:$J$3001,0),"")</f>
        <v/>
      </c>
    </row>
    <row r="79">
      <c r="A79">
        <f>IF($L79="","",B79&amp;"."&amp;C79&amp;"-"&amp;D79&amp;"-"&amp;H79&amp;"."&amp;I79&amp;"."&amp;J79)</f>
        <v/>
      </c>
      <c r="B79">
        <f>IF($L79="","",INDEX(Расчет!$A$2:$A$3001,$L79))</f>
        <v/>
      </c>
      <c r="C79">
        <f>IF($L79="","",INDEX(Расчет!$B$2:$B$3001,$L79))</f>
        <v/>
      </c>
      <c r="D79">
        <f>IF($L79="","",IF(ISNUMBER(FIND("(",INDEX(Расчет!$C$2:$C$3001,$L79))),SUBSTITUTE(MID(INDEX(Расчет!$C$2:$C$3001,$L79),FIND("(",INDEX(Расчет!$C$2:$C$3001,$L79))+1,99),")",""),INDEX(Расчет!$C$2:$C$3001,$L79)))</f>
        <v/>
      </c>
      <c r="E79">
        <f>IF($L79="","",INDEX(Расчет!$D$2:$D$3001,$L79))</f>
        <v/>
      </c>
      <c r="F79">
        <f>IF($L79="","",INDEX(Расчет!$E$2:$E$3001,$L79))</f>
        <v/>
      </c>
      <c r="G79">
        <f>IF($L79="","",IFERROR(--LEFT(INDEX(Расчет!$C$2:$C$3001,$L79),FIND("(",INDEX(Расчет!$C$2:$C$3001,$L79))-1),IFERROR(--LEFT(INDEX(Расчет!$C$2:$C$3001,$L79),1),"")))</f>
        <v/>
      </c>
      <c r="H79">
        <f>IF($L79="","",SUMIFS(Расчет!$G$2:$G$3001,Расчет!$I$2:$I$3001,$K79,Расчет!$H$2:$H$3001,1))</f>
        <v/>
      </c>
      <c r="I79">
        <f>IF($L79="","",SUMIFS(Расчет!$G$2:$G$3001,Расчет!$I$2:$I$3001,$K79,Расчет!$H$2:$H$3001,2))</f>
        <v/>
      </c>
      <c r="J79">
        <f>IF($L79="","",SUMIFS(Расчет!$G$2:$G$3001,Расчет!$I$2:$I$3001,$K79,Расчет!$H$2:$H$3001,3))</f>
        <v/>
      </c>
      <c r="K79">
        <f>IF($L79="","",INDEX(Расчет!$I$2:$I$3001,$L79))</f>
        <v/>
      </c>
      <c r="L79">
        <f>IFERROR(MATCH(ROW()-1,Расчет!$J$2:$J$3001,0),"")</f>
        <v/>
      </c>
    </row>
    <row r="80">
      <c r="A80">
        <f>IF($L80="","",B80&amp;"."&amp;C80&amp;"-"&amp;D80&amp;"-"&amp;H80&amp;"."&amp;I80&amp;"."&amp;J80)</f>
        <v/>
      </c>
      <c r="B80">
        <f>IF($L80="","",INDEX(Расчет!$A$2:$A$3001,$L80))</f>
        <v/>
      </c>
      <c r="C80">
        <f>IF($L80="","",INDEX(Расчет!$B$2:$B$3001,$L80))</f>
        <v/>
      </c>
      <c r="D80">
        <f>IF($L80="","",IF(ISNUMBER(FIND("(",INDEX(Расчет!$C$2:$C$3001,$L80))),SUBSTITUTE(MID(INDEX(Расчет!$C$2:$C$3001,$L80),FIND("(",INDEX(Расчет!$C$2:$C$3001,$L80))+1,99),")",""),INDEX(Расчет!$C$2:$C$3001,$L80)))</f>
        <v/>
      </c>
      <c r="E80">
        <f>IF($L80="","",INDEX(Расчет!$D$2:$D$3001,$L80))</f>
        <v/>
      </c>
      <c r="F80">
        <f>IF($L80="","",INDEX(Расчет!$E$2:$E$3001,$L80))</f>
        <v/>
      </c>
      <c r="G80">
        <f>IF($L80="","",IFERROR(--LEFT(INDEX(Расчет!$C$2:$C$3001,$L80),FIND("(",INDEX(Расчет!$C$2:$C$3001,$L80))-1),IFERROR(--LEFT(INDEX(Расчет!$C$2:$C$3001,$L80),1),"")))</f>
        <v/>
      </c>
      <c r="H80">
        <f>IF($L80="","",SUMIFS(Расчет!$G$2:$G$3001,Расчет!$I$2:$I$3001,$K80,Расчет!$H$2:$H$3001,1))</f>
        <v/>
      </c>
      <c r="I80">
        <f>IF($L80="","",SUMIFS(Расчет!$G$2:$G$3001,Расчет!$I$2:$I$3001,$K80,Расчет!$H$2:$H$3001,2))</f>
        <v/>
      </c>
      <c r="J80">
        <f>IF($L80="","",SUMIFS(Расчет!$G$2:$G$3001,Расчет!$I$2:$I$3001,$K80,Расчет!$H$2:$H$3001,3))</f>
        <v/>
      </c>
      <c r="K80">
        <f>IF($L80="","",INDEX(Расчет!$I$2:$I$3001,$L80))</f>
        <v/>
      </c>
      <c r="L80">
        <f>IFERROR(MATCH(ROW()-1,Расчет!$J$2:$J$3001,0),"")</f>
        <v/>
      </c>
    </row>
    <row r="81">
      <c r="A81">
        <f>IF($L81="","",B81&amp;"."&amp;C81&amp;"-"&amp;D81&amp;"-"&amp;H81&amp;"."&amp;I81&amp;"."&amp;J81)</f>
        <v/>
      </c>
      <c r="B81">
        <f>IF($L81="","",INDEX(Расчет!$A$2:$A$3001,$L81))</f>
        <v/>
      </c>
      <c r="C81">
        <f>IF($L81="","",INDEX(Расчет!$B$2:$B$3001,$L81))</f>
        <v/>
      </c>
      <c r="D81">
        <f>IF($L81="","",IF(ISNUMBER(FIND("(",INDEX(Расчет!$C$2:$C$3001,$L81))),SUBSTITUTE(MID(INDEX(Расчет!$C$2:$C$3001,$L81),FIND("(",INDEX(Расчет!$C$2:$C$3001,$L81))+1,99),")",""),INDEX(Расчет!$C$2:$C$3001,$L81)))</f>
        <v/>
      </c>
      <c r="E81">
        <f>IF($L81="","",INDEX(Расчет!$D$2:$D$3001,$L81))</f>
        <v/>
      </c>
      <c r="F81">
        <f>IF($L81="","",INDEX(Расчет!$E$2:$E$3001,$L81))</f>
        <v/>
      </c>
      <c r="G81">
        <f>IF($L81="","",IFERROR(--LEFT(INDEX(Расчет!$C$2:$C$3001,$L81),FIND("(",INDEX(Расчет!$C$2:$C$3001,$L81))-1),IFERROR(--LEFT(INDEX(Расчет!$C$2:$C$3001,$L81),1),"")))</f>
        <v/>
      </c>
      <c r="H81">
        <f>IF($L81="","",SUMIFS(Расчет!$G$2:$G$3001,Расчет!$I$2:$I$3001,$K81,Расчет!$H$2:$H$3001,1))</f>
        <v/>
      </c>
      <c r="I81">
        <f>IF($L81="","",SUMIFS(Расчет!$G$2:$G$3001,Расчет!$I$2:$I$3001,$K81,Расчет!$H$2:$H$3001,2))</f>
        <v/>
      </c>
      <c r="J81">
        <f>IF($L81="","",SUMIFS(Расчет!$G$2:$G$3001,Расчет!$I$2:$I$3001,$K81,Расчет!$H$2:$H$3001,3))</f>
        <v/>
      </c>
      <c r="K81">
        <f>IF($L81="","",INDEX(Расчет!$I$2:$I$3001,$L81))</f>
        <v/>
      </c>
      <c r="L81">
        <f>IFERROR(MATCH(ROW()-1,Расчет!$J$2:$J$3001,0),"")</f>
        <v/>
      </c>
    </row>
    <row r="82">
      <c r="A82">
        <f>IF($L82="","",B82&amp;"."&amp;C82&amp;"-"&amp;D82&amp;"-"&amp;H82&amp;"."&amp;I82&amp;"."&amp;J82)</f>
        <v/>
      </c>
      <c r="B82">
        <f>IF($L82="","",INDEX(Расчет!$A$2:$A$3001,$L82))</f>
        <v/>
      </c>
      <c r="C82">
        <f>IF($L82="","",INDEX(Расчет!$B$2:$B$3001,$L82))</f>
        <v/>
      </c>
      <c r="D82">
        <f>IF($L82="","",IF(ISNUMBER(FIND("(",INDEX(Расчет!$C$2:$C$3001,$L82))),SUBSTITUTE(MID(INDEX(Расчет!$C$2:$C$3001,$L82),FIND("(",INDEX(Расчет!$C$2:$C$3001,$L82))+1,99),")",""),INDEX(Расчет!$C$2:$C$3001,$L82)))</f>
        <v/>
      </c>
      <c r="E82">
        <f>IF($L82="","",INDEX(Расчет!$D$2:$D$3001,$L82))</f>
        <v/>
      </c>
      <c r="F82">
        <f>IF($L82="","",INDEX(Расчет!$E$2:$E$3001,$L82))</f>
        <v/>
      </c>
      <c r="G82">
        <f>IF($L82="","",IFERROR(--LEFT(INDEX(Расчет!$C$2:$C$3001,$L82),FIND("(",INDEX(Расчет!$C$2:$C$3001,$L82))-1),IFERROR(--LEFT(INDEX(Расчет!$C$2:$C$3001,$L82),1),"")))</f>
        <v/>
      </c>
      <c r="H82">
        <f>IF($L82="","",SUMIFS(Расчет!$G$2:$G$3001,Расчет!$I$2:$I$3001,$K82,Расчет!$H$2:$H$3001,1))</f>
        <v/>
      </c>
      <c r="I82">
        <f>IF($L82="","",SUMIFS(Расчет!$G$2:$G$3001,Расчет!$I$2:$I$3001,$K82,Расчет!$H$2:$H$3001,2))</f>
        <v/>
      </c>
      <c r="J82">
        <f>IF($L82="","",SUMIFS(Расчет!$G$2:$G$3001,Расчет!$I$2:$I$3001,$K82,Расчет!$H$2:$H$3001,3))</f>
        <v/>
      </c>
      <c r="K82">
        <f>IF($L82="","",INDEX(Расчет!$I$2:$I$3001,$L82))</f>
        <v/>
      </c>
      <c r="L82">
        <f>IFERROR(MATCH(ROW()-1,Расчет!$J$2:$J$3001,0),"")</f>
        <v/>
      </c>
    </row>
    <row r="83">
      <c r="A83">
        <f>IF($L83="","",B83&amp;"."&amp;C83&amp;"-"&amp;D83&amp;"-"&amp;H83&amp;"."&amp;I83&amp;"."&amp;J83)</f>
        <v/>
      </c>
      <c r="B83">
        <f>IF($L83="","",INDEX(Расчет!$A$2:$A$3001,$L83))</f>
        <v/>
      </c>
      <c r="C83">
        <f>IF($L83="","",INDEX(Расчет!$B$2:$B$3001,$L83))</f>
        <v/>
      </c>
      <c r="D83">
        <f>IF($L83="","",IF(ISNUMBER(FIND("(",INDEX(Расчет!$C$2:$C$3001,$L83))),SUBSTITUTE(MID(INDEX(Расчет!$C$2:$C$3001,$L83),FIND("(",INDEX(Расчет!$C$2:$C$3001,$L83))+1,99),")",""),INDEX(Расчет!$C$2:$C$3001,$L83)))</f>
        <v/>
      </c>
      <c r="E83">
        <f>IF($L83="","",INDEX(Расчет!$D$2:$D$3001,$L83))</f>
        <v/>
      </c>
      <c r="F83">
        <f>IF($L83="","",INDEX(Расчет!$E$2:$E$3001,$L83))</f>
        <v/>
      </c>
      <c r="G83">
        <f>IF($L83="","",IFERROR(--LEFT(INDEX(Расчет!$C$2:$C$3001,$L83),FIND("(",INDEX(Расчет!$C$2:$C$3001,$L83))-1),IFERROR(--LEFT(INDEX(Расчет!$C$2:$C$3001,$L83),1),"")))</f>
        <v/>
      </c>
      <c r="H83">
        <f>IF($L83="","",SUMIFS(Расчет!$G$2:$G$3001,Расчет!$I$2:$I$3001,$K83,Расчет!$H$2:$H$3001,1))</f>
        <v/>
      </c>
      <c r="I83">
        <f>IF($L83="","",SUMIFS(Расчет!$G$2:$G$3001,Расчет!$I$2:$I$3001,$K83,Расчет!$H$2:$H$3001,2))</f>
        <v/>
      </c>
      <c r="J83">
        <f>IF($L83="","",SUMIFS(Расчет!$G$2:$G$3001,Расчет!$I$2:$I$3001,$K83,Расчет!$H$2:$H$3001,3))</f>
        <v/>
      </c>
      <c r="K83">
        <f>IF($L83="","",INDEX(Расчет!$I$2:$I$3001,$L83))</f>
        <v/>
      </c>
      <c r="L83">
        <f>IFERROR(MATCH(ROW()-1,Расчет!$J$2:$J$3001,0),"")</f>
        <v/>
      </c>
    </row>
    <row r="84">
      <c r="A84">
        <f>IF($L84="","",B84&amp;"."&amp;C84&amp;"-"&amp;D84&amp;"-"&amp;H84&amp;"."&amp;I84&amp;"."&amp;J84)</f>
        <v/>
      </c>
      <c r="B84">
        <f>IF($L84="","",INDEX(Расчет!$A$2:$A$3001,$L84))</f>
        <v/>
      </c>
      <c r="C84">
        <f>IF($L84="","",INDEX(Расчет!$B$2:$B$3001,$L84))</f>
        <v/>
      </c>
      <c r="D84">
        <f>IF($L84="","",IF(ISNUMBER(FIND("(",INDEX(Расчет!$C$2:$C$3001,$L84))),SUBSTITUTE(MID(INDEX(Расчет!$C$2:$C$3001,$L84),FIND("(",INDEX(Расчет!$C$2:$C$3001,$L84))+1,99),")",""),INDEX(Расчет!$C$2:$C$3001,$L84)))</f>
        <v/>
      </c>
      <c r="E84">
        <f>IF($L84="","",INDEX(Расчет!$D$2:$D$3001,$L84))</f>
        <v/>
      </c>
      <c r="F84">
        <f>IF($L84="","",INDEX(Расчет!$E$2:$E$3001,$L84))</f>
        <v/>
      </c>
      <c r="G84">
        <f>IF($L84="","",IFERROR(--LEFT(INDEX(Расчет!$C$2:$C$3001,$L84),FIND("(",INDEX(Расчет!$C$2:$C$3001,$L84))-1),IFERROR(--LEFT(INDEX(Расчет!$C$2:$C$3001,$L84),1),"")))</f>
        <v/>
      </c>
      <c r="H84">
        <f>IF($L84="","",SUMIFS(Расчет!$G$2:$G$3001,Расчет!$I$2:$I$3001,$K84,Расчет!$H$2:$H$3001,1))</f>
        <v/>
      </c>
      <c r="I84">
        <f>IF($L84="","",SUMIFS(Расчет!$G$2:$G$3001,Расчет!$I$2:$I$3001,$K84,Расчет!$H$2:$H$3001,2))</f>
        <v/>
      </c>
      <c r="J84">
        <f>IF($L84="","",SUMIFS(Расчет!$G$2:$G$3001,Расчет!$I$2:$I$3001,$K84,Расчет!$H$2:$H$3001,3))</f>
        <v/>
      </c>
      <c r="K84">
        <f>IF($L84="","",INDEX(Расчет!$I$2:$I$3001,$L84))</f>
        <v/>
      </c>
      <c r="L84">
        <f>IFERROR(MATCH(ROW()-1,Расчет!$J$2:$J$3001,0),"")</f>
        <v/>
      </c>
    </row>
    <row r="85">
      <c r="A85">
        <f>IF($L85="","",B85&amp;"."&amp;C85&amp;"-"&amp;D85&amp;"-"&amp;H85&amp;"."&amp;I85&amp;"."&amp;J85)</f>
        <v/>
      </c>
      <c r="B85">
        <f>IF($L85="","",INDEX(Расчет!$A$2:$A$3001,$L85))</f>
        <v/>
      </c>
      <c r="C85">
        <f>IF($L85="","",INDEX(Расчет!$B$2:$B$3001,$L85))</f>
        <v/>
      </c>
      <c r="D85">
        <f>IF($L85="","",IF(ISNUMBER(FIND("(",INDEX(Расчет!$C$2:$C$3001,$L85))),SUBSTITUTE(MID(INDEX(Расчет!$C$2:$C$3001,$L85),FIND("(",INDEX(Расчет!$C$2:$C$3001,$L85))+1,99),")",""),INDEX(Расчет!$C$2:$C$3001,$L85)))</f>
        <v/>
      </c>
      <c r="E85">
        <f>IF($L85="","",INDEX(Расчет!$D$2:$D$3001,$L85))</f>
        <v/>
      </c>
      <c r="F85">
        <f>IF($L85="","",INDEX(Расчет!$E$2:$E$3001,$L85))</f>
        <v/>
      </c>
      <c r="G85">
        <f>IF($L85="","",IFERROR(--LEFT(INDEX(Расчет!$C$2:$C$3001,$L85),FIND("(",INDEX(Расчет!$C$2:$C$3001,$L85))-1),IFERROR(--LEFT(INDEX(Расчет!$C$2:$C$3001,$L85),1),"")))</f>
        <v/>
      </c>
      <c r="H85">
        <f>IF($L85="","",SUMIFS(Расчет!$G$2:$G$3001,Расчет!$I$2:$I$3001,$K85,Расчет!$H$2:$H$3001,1))</f>
        <v/>
      </c>
      <c r="I85">
        <f>IF($L85="","",SUMIFS(Расчет!$G$2:$G$3001,Расчет!$I$2:$I$3001,$K85,Расчет!$H$2:$H$3001,2))</f>
        <v/>
      </c>
      <c r="J85">
        <f>IF($L85="","",SUMIFS(Расчет!$G$2:$G$3001,Расчет!$I$2:$I$3001,$K85,Расчет!$H$2:$H$3001,3))</f>
        <v/>
      </c>
      <c r="K85">
        <f>IF($L85="","",INDEX(Расчет!$I$2:$I$3001,$L85))</f>
        <v/>
      </c>
      <c r="L85">
        <f>IFERROR(MATCH(ROW()-1,Расчет!$J$2:$J$3001,0),"")</f>
        <v/>
      </c>
    </row>
    <row r="86">
      <c r="A86">
        <f>IF($L86="","",B86&amp;"."&amp;C86&amp;"-"&amp;D86&amp;"-"&amp;H86&amp;"."&amp;I86&amp;"."&amp;J86)</f>
        <v/>
      </c>
      <c r="B86">
        <f>IF($L86="","",INDEX(Расчет!$A$2:$A$3001,$L86))</f>
        <v/>
      </c>
      <c r="C86">
        <f>IF($L86="","",INDEX(Расчет!$B$2:$B$3001,$L86))</f>
        <v/>
      </c>
      <c r="D86">
        <f>IF($L86="","",IF(ISNUMBER(FIND("(",INDEX(Расчет!$C$2:$C$3001,$L86))),SUBSTITUTE(MID(INDEX(Расчет!$C$2:$C$3001,$L86),FIND("(",INDEX(Расчет!$C$2:$C$3001,$L86))+1,99),")",""),INDEX(Расчет!$C$2:$C$3001,$L86)))</f>
        <v/>
      </c>
      <c r="E86">
        <f>IF($L86="","",INDEX(Расчет!$D$2:$D$3001,$L86))</f>
        <v/>
      </c>
      <c r="F86">
        <f>IF($L86="","",INDEX(Расчет!$E$2:$E$3001,$L86))</f>
        <v/>
      </c>
      <c r="G86">
        <f>IF($L86="","",IFERROR(--LEFT(INDEX(Расчет!$C$2:$C$3001,$L86),FIND("(",INDEX(Расчет!$C$2:$C$3001,$L86))-1),IFERROR(--LEFT(INDEX(Расчет!$C$2:$C$3001,$L86),1),"")))</f>
        <v/>
      </c>
      <c r="H86">
        <f>IF($L86="","",SUMIFS(Расчет!$G$2:$G$3001,Расчет!$I$2:$I$3001,$K86,Расчет!$H$2:$H$3001,1))</f>
        <v/>
      </c>
      <c r="I86">
        <f>IF($L86="","",SUMIFS(Расчет!$G$2:$G$3001,Расчет!$I$2:$I$3001,$K86,Расчет!$H$2:$H$3001,2))</f>
        <v/>
      </c>
      <c r="J86">
        <f>IF($L86="","",SUMIFS(Расчет!$G$2:$G$3001,Расчет!$I$2:$I$3001,$K86,Расчет!$H$2:$H$3001,3))</f>
        <v/>
      </c>
      <c r="K86">
        <f>IF($L86="","",INDEX(Расчет!$I$2:$I$3001,$L86))</f>
        <v/>
      </c>
      <c r="L86">
        <f>IFERROR(MATCH(ROW()-1,Расчет!$J$2:$J$3001,0),"")</f>
        <v/>
      </c>
    </row>
    <row r="87">
      <c r="A87">
        <f>IF($L87="","",B87&amp;"."&amp;C87&amp;"-"&amp;D87&amp;"-"&amp;H87&amp;"."&amp;I87&amp;"."&amp;J87)</f>
        <v/>
      </c>
      <c r="B87">
        <f>IF($L87="","",INDEX(Расчет!$A$2:$A$3001,$L87))</f>
        <v/>
      </c>
      <c r="C87">
        <f>IF($L87="","",INDEX(Расчет!$B$2:$B$3001,$L87))</f>
        <v/>
      </c>
      <c r="D87">
        <f>IF($L87="","",IF(ISNUMBER(FIND("(",INDEX(Расчет!$C$2:$C$3001,$L87))),SUBSTITUTE(MID(INDEX(Расчет!$C$2:$C$3001,$L87),FIND("(",INDEX(Расчет!$C$2:$C$3001,$L87))+1,99),")",""),INDEX(Расчет!$C$2:$C$3001,$L87)))</f>
        <v/>
      </c>
      <c r="E87">
        <f>IF($L87="","",INDEX(Расчет!$D$2:$D$3001,$L87))</f>
        <v/>
      </c>
      <c r="F87">
        <f>IF($L87="","",INDEX(Расчет!$E$2:$E$3001,$L87))</f>
        <v/>
      </c>
      <c r="G87">
        <f>IF($L87="","",IFERROR(--LEFT(INDEX(Расчет!$C$2:$C$3001,$L87),FIND("(",INDEX(Расчет!$C$2:$C$3001,$L87))-1),IFERROR(--LEFT(INDEX(Расчет!$C$2:$C$3001,$L87),1),"")))</f>
        <v/>
      </c>
      <c r="H87">
        <f>IF($L87="","",SUMIFS(Расчет!$G$2:$G$3001,Расчет!$I$2:$I$3001,$K87,Расчет!$H$2:$H$3001,1))</f>
        <v/>
      </c>
      <c r="I87">
        <f>IF($L87="","",SUMIFS(Расчет!$G$2:$G$3001,Расчет!$I$2:$I$3001,$K87,Расчет!$H$2:$H$3001,2))</f>
        <v/>
      </c>
      <c r="J87">
        <f>IF($L87="","",SUMIFS(Расчет!$G$2:$G$3001,Расчет!$I$2:$I$3001,$K87,Расчет!$H$2:$H$3001,3))</f>
        <v/>
      </c>
      <c r="K87">
        <f>IF($L87="","",INDEX(Расчет!$I$2:$I$3001,$L87))</f>
        <v/>
      </c>
      <c r="L87">
        <f>IFERROR(MATCH(ROW()-1,Расчет!$J$2:$J$3001,0),"")</f>
        <v/>
      </c>
    </row>
    <row r="88">
      <c r="A88">
        <f>IF($L88="","",B88&amp;"."&amp;C88&amp;"-"&amp;D88&amp;"-"&amp;H88&amp;"."&amp;I88&amp;"."&amp;J88)</f>
        <v/>
      </c>
      <c r="B88">
        <f>IF($L88="","",INDEX(Расчет!$A$2:$A$3001,$L88))</f>
        <v/>
      </c>
      <c r="C88">
        <f>IF($L88="","",INDEX(Расчет!$B$2:$B$3001,$L88))</f>
        <v/>
      </c>
      <c r="D88">
        <f>IF($L88="","",IF(ISNUMBER(FIND("(",INDEX(Расчет!$C$2:$C$3001,$L88))),SUBSTITUTE(MID(INDEX(Расчет!$C$2:$C$3001,$L88),FIND("(",INDEX(Расчет!$C$2:$C$3001,$L88))+1,99),")",""),INDEX(Расчет!$C$2:$C$3001,$L88)))</f>
        <v/>
      </c>
      <c r="E88">
        <f>IF($L88="","",INDEX(Расчет!$D$2:$D$3001,$L88))</f>
        <v/>
      </c>
      <c r="F88">
        <f>IF($L88="","",INDEX(Расчет!$E$2:$E$3001,$L88))</f>
        <v/>
      </c>
      <c r="G88">
        <f>IF($L88="","",IFERROR(--LEFT(INDEX(Расчет!$C$2:$C$3001,$L88),FIND("(",INDEX(Расчет!$C$2:$C$3001,$L88))-1),IFERROR(--LEFT(INDEX(Расчет!$C$2:$C$3001,$L88),1),"")))</f>
        <v/>
      </c>
      <c r="H88">
        <f>IF($L88="","",SUMIFS(Расчет!$G$2:$G$3001,Расчет!$I$2:$I$3001,$K88,Расчет!$H$2:$H$3001,1))</f>
        <v/>
      </c>
      <c r="I88">
        <f>IF($L88="","",SUMIFS(Расчет!$G$2:$G$3001,Расчет!$I$2:$I$3001,$K88,Расчет!$H$2:$H$3001,2))</f>
        <v/>
      </c>
      <c r="J88">
        <f>IF($L88="","",SUMIFS(Расчет!$G$2:$G$3001,Расчет!$I$2:$I$3001,$K88,Расчет!$H$2:$H$3001,3))</f>
        <v/>
      </c>
      <c r="K88">
        <f>IF($L88="","",INDEX(Расчет!$I$2:$I$3001,$L88))</f>
        <v/>
      </c>
      <c r="L88">
        <f>IFERROR(MATCH(ROW()-1,Расчет!$J$2:$J$3001,0),"")</f>
        <v/>
      </c>
    </row>
    <row r="89">
      <c r="A89">
        <f>IF($L89="","",B89&amp;"."&amp;C89&amp;"-"&amp;D89&amp;"-"&amp;H89&amp;"."&amp;I89&amp;"."&amp;J89)</f>
        <v/>
      </c>
      <c r="B89">
        <f>IF($L89="","",INDEX(Расчет!$A$2:$A$3001,$L89))</f>
        <v/>
      </c>
      <c r="C89">
        <f>IF($L89="","",INDEX(Расчет!$B$2:$B$3001,$L89))</f>
        <v/>
      </c>
      <c r="D89">
        <f>IF($L89="","",IF(ISNUMBER(FIND("(",INDEX(Расчет!$C$2:$C$3001,$L89))),SUBSTITUTE(MID(INDEX(Расчет!$C$2:$C$3001,$L89),FIND("(",INDEX(Расчет!$C$2:$C$3001,$L89))+1,99),")",""),INDEX(Расчет!$C$2:$C$3001,$L89)))</f>
        <v/>
      </c>
      <c r="E89">
        <f>IF($L89="","",INDEX(Расчет!$D$2:$D$3001,$L89))</f>
        <v/>
      </c>
      <c r="F89">
        <f>IF($L89="","",INDEX(Расчет!$E$2:$E$3001,$L89))</f>
        <v/>
      </c>
      <c r="G89">
        <f>IF($L89="","",IFERROR(--LEFT(INDEX(Расчет!$C$2:$C$3001,$L89),FIND("(",INDEX(Расчет!$C$2:$C$3001,$L89))-1),IFERROR(--LEFT(INDEX(Расчет!$C$2:$C$3001,$L89),1),"")))</f>
        <v/>
      </c>
      <c r="H89">
        <f>IF($L89="","",SUMIFS(Расчет!$G$2:$G$3001,Расчет!$I$2:$I$3001,$K89,Расчет!$H$2:$H$3001,1))</f>
        <v/>
      </c>
      <c r="I89">
        <f>IF($L89="","",SUMIFS(Расчет!$G$2:$G$3001,Расчет!$I$2:$I$3001,$K89,Расчет!$H$2:$H$3001,2))</f>
        <v/>
      </c>
      <c r="J89">
        <f>IF($L89="","",SUMIFS(Расчет!$G$2:$G$3001,Расчет!$I$2:$I$3001,$K89,Расчет!$H$2:$H$3001,3))</f>
        <v/>
      </c>
      <c r="K89">
        <f>IF($L89="","",INDEX(Расчет!$I$2:$I$3001,$L89))</f>
        <v/>
      </c>
      <c r="L89">
        <f>IFERROR(MATCH(ROW()-1,Расчет!$J$2:$J$3001,0),"")</f>
        <v/>
      </c>
    </row>
    <row r="90">
      <c r="A90">
        <f>IF($L90="","",B90&amp;"."&amp;C90&amp;"-"&amp;D90&amp;"-"&amp;H90&amp;"."&amp;I90&amp;"."&amp;J90)</f>
        <v/>
      </c>
      <c r="B90">
        <f>IF($L90="","",INDEX(Расчет!$A$2:$A$3001,$L90))</f>
        <v/>
      </c>
      <c r="C90">
        <f>IF($L90="","",INDEX(Расчет!$B$2:$B$3001,$L90))</f>
        <v/>
      </c>
      <c r="D90">
        <f>IF($L90="","",IF(ISNUMBER(FIND("(",INDEX(Расчет!$C$2:$C$3001,$L90))),SUBSTITUTE(MID(INDEX(Расчет!$C$2:$C$3001,$L90),FIND("(",INDEX(Расчет!$C$2:$C$3001,$L90))+1,99),")",""),INDEX(Расчет!$C$2:$C$3001,$L90)))</f>
        <v/>
      </c>
      <c r="E90">
        <f>IF($L90="","",INDEX(Расчет!$D$2:$D$3001,$L90))</f>
        <v/>
      </c>
      <c r="F90">
        <f>IF($L90="","",INDEX(Расчет!$E$2:$E$3001,$L90))</f>
        <v/>
      </c>
      <c r="G90">
        <f>IF($L90="","",IFERROR(--LEFT(INDEX(Расчет!$C$2:$C$3001,$L90),FIND("(",INDEX(Расчет!$C$2:$C$3001,$L90))-1),IFERROR(--LEFT(INDEX(Расчет!$C$2:$C$3001,$L90),1),"")))</f>
        <v/>
      </c>
      <c r="H90">
        <f>IF($L90="","",SUMIFS(Расчет!$G$2:$G$3001,Расчет!$I$2:$I$3001,$K90,Расчет!$H$2:$H$3001,1))</f>
        <v/>
      </c>
      <c r="I90">
        <f>IF($L90="","",SUMIFS(Расчет!$G$2:$G$3001,Расчет!$I$2:$I$3001,$K90,Расчет!$H$2:$H$3001,2))</f>
        <v/>
      </c>
      <c r="J90">
        <f>IF($L90="","",SUMIFS(Расчет!$G$2:$G$3001,Расчет!$I$2:$I$3001,$K90,Расчет!$H$2:$H$3001,3))</f>
        <v/>
      </c>
      <c r="K90">
        <f>IF($L90="","",INDEX(Расчет!$I$2:$I$3001,$L90))</f>
        <v/>
      </c>
      <c r="L90">
        <f>IFERROR(MATCH(ROW()-1,Расчет!$J$2:$J$3001,0),"")</f>
        <v/>
      </c>
    </row>
    <row r="91">
      <c r="A91">
        <f>IF($L91="","",B91&amp;"."&amp;C91&amp;"-"&amp;D91&amp;"-"&amp;H91&amp;"."&amp;I91&amp;"."&amp;J91)</f>
        <v/>
      </c>
      <c r="B91">
        <f>IF($L91="","",INDEX(Расчет!$A$2:$A$3001,$L91))</f>
        <v/>
      </c>
      <c r="C91">
        <f>IF($L91="","",INDEX(Расчет!$B$2:$B$3001,$L91))</f>
        <v/>
      </c>
      <c r="D91">
        <f>IF($L91="","",IF(ISNUMBER(FIND("(",INDEX(Расчет!$C$2:$C$3001,$L91))),SUBSTITUTE(MID(INDEX(Расчет!$C$2:$C$3001,$L91),FIND("(",INDEX(Расчет!$C$2:$C$3001,$L91))+1,99),")",""),INDEX(Расчет!$C$2:$C$3001,$L91)))</f>
        <v/>
      </c>
      <c r="E91">
        <f>IF($L91="","",INDEX(Расчет!$D$2:$D$3001,$L91))</f>
        <v/>
      </c>
      <c r="F91">
        <f>IF($L91="","",INDEX(Расчет!$E$2:$E$3001,$L91))</f>
        <v/>
      </c>
      <c r="G91">
        <f>IF($L91="","",IFERROR(--LEFT(INDEX(Расчет!$C$2:$C$3001,$L91),FIND("(",INDEX(Расчет!$C$2:$C$3001,$L91))-1),IFERROR(--LEFT(INDEX(Расчет!$C$2:$C$3001,$L91),1),"")))</f>
        <v/>
      </c>
      <c r="H91">
        <f>IF($L91="","",SUMIFS(Расчет!$G$2:$G$3001,Расчет!$I$2:$I$3001,$K91,Расчет!$H$2:$H$3001,1))</f>
        <v/>
      </c>
      <c r="I91">
        <f>IF($L91="","",SUMIFS(Расчет!$G$2:$G$3001,Расчет!$I$2:$I$3001,$K91,Расчет!$H$2:$H$3001,2))</f>
        <v/>
      </c>
      <c r="J91">
        <f>IF($L91="","",SUMIFS(Расчет!$G$2:$G$3001,Расчет!$I$2:$I$3001,$K91,Расчет!$H$2:$H$3001,3))</f>
        <v/>
      </c>
      <c r="K91">
        <f>IF($L91="","",INDEX(Расчет!$I$2:$I$3001,$L91))</f>
        <v/>
      </c>
      <c r="L91">
        <f>IFERROR(MATCH(ROW()-1,Расчет!$J$2:$J$3001,0),"")</f>
        <v/>
      </c>
    </row>
    <row r="92">
      <c r="A92">
        <f>IF($L92="","",B92&amp;"."&amp;C92&amp;"-"&amp;D92&amp;"-"&amp;H92&amp;"."&amp;I92&amp;"."&amp;J92)</f>
        <v/>
      </c>
      <c r="B92">
        <f>IF($L92="","",INDEX(Расчет!$A$2:$A$3001,$L92))</f>
        <v/>
      </c>
      <c r="C92">
        <f>IF($L92="","",INDEX(Расчет!$B$2:$B$3001,$L92))</f>
        <v/>
      </c>
      <c r="D92">
        <f>IF($L92="","",IF(ISNUMBER(FIND("(",INDEX(Расчет!$C$2:$C$3001,$L92))),SUBSTITUTE(MID(INDEX(Расчет!$C$2:$C$3001,$L92),FIND("(",INDEX(Расчет!$C$2:$C$3001,$L92))+1,99),")",""),INDEX(Расчет!$C$2:$C$3001,$L92)))</f>
        <v/>
      </c>
      <c r="E92">
        <f>IF($L92="","",INDEX(Расчет!$D$2:$D$3001,$L92))</f>
        <v/>
      </c>
      <c r="F92">
        <f>IF($L92="","",INDEX(Расчет!$E$2:$E$3001,$L92))</f>
        <v/>
      </c>
      <c r="G92">
        <f>IF($L92="","",IFERROR(--LEFT(INDEX(Расчет!$C$2:$C$3001,$L92),FIND("(",INDEX(Расчет!$C$2:$C$3001,$L92))-1),IFERROR(--LEFT(INDEX(Расчет!$C$2:$C$3001,$L92),1),"")))</f>
        <v/>
      </c>
      <c r="H92">
        <f>IF($L92="","",SUMIFS(Расчет!$G$2:$G$3001,Расчет!$I$2:$I$3001,$K92,Расчет!$H$2:$H$3001,1))</f>
        <v/>
      </c>
      <c r="I92">
        <f>IF($L92="","",SUMIFS(Расчет!$G$2:$G$3001,Расчет!$I$2:$I$3001,$K92,Расчет!$H$2:$H$3001,2))</f>
        <v/>
      </c>
      <c r="J92">
        <f>IF($L92="","",SUMIFS(Расчет!$G$2:$G$3001,Расчет!$I$2:$I$3001,$K92,Расчет!$H$2:$H$3001,3))</f>
        <v/>
      </c>
      <c r="K92">
        <f>IF($L92="","",INDEX(Расчет!$I$2:$I$3001,$L92))</f>
        <v/>
      </c>
      <c r="L92">
        <f>IFERROR(MATCH(ROW()-1,Расчет!$J$2:$J$3001,0),"")</f>
        <v/>
      </c>
    </row>
    <row r="93">
      <c r="A93">
        <f>IF($L93="","",B93&amp;"."&amp;C93&amp;"-"&amp;D93&amp;"-"&amp;H93&amp;"."&amp;I93&amp;"."&amp;J93)</f>
        <v/>
      </c>
      <c r="B93">
        <f>IF($L93="","",INDEX(Расчет!$A$2:$A$3001,$L93))</f>
        <v/>
      </c>
      <c r="C93">
        <f>IF($L93="","",INDEX(Расчет!$B$2:$B$3001,$L93))</f>
        <v/>
      </c>
      <c r="D93">
        <f>IF($L93="","",IF(ISNUMBER(FIND("(",INDEX(Расчет!$C$2:$C$3001,$L93))),SUBSTITUTE(MID(INDEX(Расчет!$C$2:$C$3001,$L93),FIND("(",INDEX(Расчет!$C$2:$C$3001,$L93))+1,99),")",""),INDEX(Расчет!$C$2:$C$3001,$L93)))</f>
        <v/>
      </c>
      <c r="E93">
        <f>IF($L93="","",INDEX(Расчет!$D$2:$D$3001,$L93))</f>
        <v/>
      </c>
      <c r="F93">
        <f>IF($L93="","",INDEX(Расчет!$E$2:$E$3001,$L93))</f>
        <v/>
      </c>
      <c r="G93">
        <f>IF($L93="","",IFERROR(--LEFT(INDEX(Расчет!$C$2:$C$3001,$L93),FIND("(",INDEX(Расчет!$C$2:$C$3001,$L93))-1),IFERROR(--LEFT(INDEX(Расчет!$C$2:$C$3001,$L93),1),"")))</f>
        <v/>
      </c>
      <c r="H93">
        <f>IF($L93="","",SUMIFS(Расчет!$G$2:$G$3001,Расчет!$I$2:$I$3001,$K93,Расчет!$H$2:$H$3001,1))</f>
        <v/>
      </c>
      <c r="I93">
        <f>IF($L93="","",SUMIFS(Расчет!$G$2:$G$3001,Расчет!$I$2:$I$3001,$K93,Расчет!$H$2:$H$3001,2))</f>
        <v/>
      </c>
      <c r="J93">
        <f>IF($L93="","",SUMIFS(Расчет!$G$2:$G$3001,Расчет!$I$2:$I$3001,$K93,Расчет!$H$2:$H$3001,3))</f>
        <v/>
      </c>
      <c r="K93">
        <f>IF($L93="","",INDEX(Расчет!$I$2:$I$3001,$L93))</f>
        <v/>
      </c>
      <c r="L93">
        <f>IFERROR(MATCH(ROW()-1,Расчет!$J$2:$J$3001,0),"")</f>
        <v/>
      </c>
    </row>
    <row r="94">
      <c r="A94">
        <f>IF($L94="","",B94&amp;"."&amp;C94&amp;"-"&amp;D94&amp;"-"&amp;H94&amp;"."&amp;I94&amp;"."&amp;J94)</f>
        <v/>
      </c>
      <c r="B94">
        <f>IF($L94="","",INDEX(Расчет!$A$2:$A$3001,$L94))</f>
        <v/>
      </c>
      <c r="C94">
        <f>IF($L94="","",INDEX(Расчет!$B$2:$B$3001,$L94))</f>
        <v/>
      </c>
      <c r="D94">
        <f>IF($L94="","",IF(ISNUMBER(FIND("(",INDEX(Расчет!$C$2:$C$3001,$L94))),SUBSTITUTE(MID(INDEX(Расчет!$C$2:$C$3001,$L94),FIND("(",INDEX(Расчет!$C$2:$C$3001,$L94))+1,99),")",""),INDEX(Расчет!$C$2:$C$3001,$L94)))</f>
        <v/>
      </c>
      <c r="E94">
        <f>IF($L94="","",INDEX(Расчет!$D$2:$D$3001,$L94))</f>
        <v/>
      </c>
      <c r="F94">
        <f>IF($L94="","",INDEX(Расчет!$E$2:$E$3001,$L94))</f>
        <v/>
      </c>
      <c r="G94">
        <f>IF($L94="","",IFERROR(--LEFT(INDEX(Расчет!$C$2:$C$3001,$L94),FIND("(",INDEX(Расчет!$C$2:$C$3001,$L94))-1),IFERROR(--LEFT(INDEX(Расчет!$C$2:$C$3001,$L94),1),"")))</f>
        <v/>
      </c>
      <c r="H94">
        <f>IF($L94="","",SUMIFS(Расчет!$G$2:$G$3001,Расчет!$I$2:$I$3001,$K94,Расчет!$H$2:$H$3001,1))</f>
        <v/>
      </c>
      <c r="I94">
        <f>IF($L94="","",SUMIFS(Расчет!$G$2:$G$3001,Расчет!$I$2:$I$3001,$K94,Расчет!$H$2:$H$3001,2))</f>
        <v/>
      </c>
      <c r="J94">
        <f>IF($L94="","",SUMIFS(Расчет!$G$2:$G$3001,Расчет!$I$2:$I$3001,$K94,Расчет!$H$2:$H$3001,3))</f>
        <v/>
      </c>
      <c r="K94">
        <f>IF($L94="","",INDEX(Расчет!$I$2:$I$3001,$L94))</f>
        <v/>
      </c>
      <c r="L94">
        <f>IFERROR(MATCH(ROW()-1,Расчет!$J$2:$J$3001,0),"")</f>
        <v/>
      </c>
    </row>
    <row r="95">
      <c r="A95">
        <f>IF($L95="","",B95&amp;"."&amp;C95&amp;"-"&amp;D95&amp;"-"&amp;H95&amp;"."&amp;I95&amp;"."&amp;J95)</f>
        <v/>
      </c>
      <c r="B95">
        <f>IF($L95="","",INDEX(Расчет!$A$2:$A$3001,$L95))</f>
        <v/>
      </c>
      <c r="C95">
        <f>IF($L95="","",INDEX(Расчет!$B$2:$B$3001,$L95))</f>
        <v/>
      </c>
      <c r="D95">
        <f>IF($L95="","",IF(ISNUMBER(FIND("(",INDEX(Расчет!$C$2:$C$3001,$L95))),SUBSTITUTE(MID(INDEX(Расчет!$C$2:$C$3001,$L95),FIND("(",INDEX(Расчет!$C$2:$C$3001,$L95))+1,99),")",""),INDEX(Расчет!$C$2:$C$3001,$L95)))</f>
        <v/>
      </c>
      <c r="E95">
        <f>IF($L95="","",INDEX(Расчет!$D$2:$D$3001,$L95))</f>
        <v/>
      </c>
      <c r="F95">
        <f>IF($L95="","",INDEX(Расчет!$E$2:$E$3001,$L95))</f>
        <v/>
      </c>
      <c r="G95">
        <f>IF($L95="","",IFERROR(--LEFT(INDEX(Расчет!$C$2:$C$3001,$L95),FIND("(",INDEX(Расчет!$C$2:$C$3001,$L95))-1),IFERROR(--LEFT(INDEX(Расчет!$C$2:$C$3001,$L95),1),"")))</f>
        <v/>
      </c>
      <c r="H95">
        <f>IF($L95="","",SUMIFS(Расчет!$G$2:$G$3001,Расчет!$I$2:$I$3001,$K95,Расчет!$H$2:$H$3001,1))</f>
        <v/>
      </c>
      <c r="I95">
        <f>IF($L95="","",SUMIFS(Расчет!$G$2:$G$3001,Расчет!$I$2:$I$3001,$K95,Расчет!$H$2:$H$3001,2))</f>
        <v/>
      </c>
      <c r="J95">
        <f>IF($L95="","",SUMIFS(Расчет!$G$2:$G$3001,Расчет!$I$2:$I$3001,$K95,Расчет!$H$2:$H$3001,3))</f>
        <v/>
      </c>
      <c r="K95">
        <f>IF($L95="","",INDEX(Расчет!$I$2:$I$3001,$L95))</f>
        <v/>
      </c>
      <c r="L95">
        <f>IFERROR(MATCH(ROW()-1,Расчет!$J$2:$J$3001,0),"")</f>
        <v/>
      </c>
    </row>
    <row r="96">
      <c r="A96">
        <f>IF($L96="","",B96&amp;"."&amp;C96&amp;"-"&amp;D96&amp;"-"&amp;H96&amp;"."&amp;I96&amp;"."&amp;J96)</f>
        <v/>
      </c>
      <c r="B96">
        <f>IF($L96="","",INDEX(Расчет!$A$2:$A$3001,$L96))</f>
        <v/>
      </c>
      <c r="C96">
        <f>IF($L96="","",INDEX(Расчет!$B$2:$B$3001,$L96))</f>
        <v/>
      </c>
      <c r="D96">
        <f>IF($L96="","",IF(ISNUMBER(FIND("(",INDEX(Расчет!$C$2:$C$3001,$L96))),SUBSTITUTE(MID(INDEX(Расчет!$C$2:$C$3001,$L96),FIND("(",INDEX(Расчет!$C$2:$C$3001,$L96))+1,99),")",""),INDEX(Расчет!$C$2:$C$3001,$L96)))</f>
        <v/>
      </c>
      <c r="E96">
        <f>IF($L96="","",INDEX(Расчет!$D$2:$D$3001,$L96))</f>
        <v/>
      </c>
      <c r="F96">
        <f>IF($L96="","",INDEX(Расчет!$E$2:$E$3001,$L96))</f>
        <v/>
      </c>
      <c r="G96">
        <f>IF($L96="","",IFERROR(--LEFT(INDEX(Расчет!$C$2:$C$3001,$L96),FIND("(",INDEX(Расчет!$C$2:$C$3001,$L96))-1),IFERROR(--LEFT(INDEX(Расчет!$C$2:$C$3001,$L96),1),"")))</f>
        <v/>
      </c>
      <c r="H96">
        <f>IF($L96="","",SUMIFS(Расчет!$G$2:$G$3001,Расчет!$I$2:$I$3001,$K96,Расчет!$H$2:$H$3001,1))</f>
        <v/>
      </c>
      <c r="I96">
        <f>IF($L96="","",SUMIFS(Расчет!$G$2:$G$3001,Расчет!$I$2:$I$3001,$K96,Расчет!$H$2:$H$3001,2))</f>
        <v/>
      </c>
      <c r="J96">
        <f>IF($L96="","",SUMIFS(Расчет!$G$2:$G$3001,Расчет!$I$2:$I$3001,$K96,Расчет!$H$2:$H$3001,3))</f>
        <v/>
      </c>
      <c r="K96">
        <f>IF($L96="","",INDEX(Расчет!$I$2:$I$3001,$L96))</f>
        <v/>
      </c>
      <c r="L96">
        <f>IFERROR(MATCH(ROW()-1,Расчет!$J$2:$J$3001,0),"")</f>
        <v/>
      </c>
    </row>
    <row r="97">
      <c r="A97">
        <f>IF($L97="","",B97&amp;"."&amp;C97&amp;"-"&amp;D97&amp;"-"&amp;H97&amp;"."&amp;I97&amp;"."&amp;J97)</f>
        <v/>
      </c>
      <c r="B97">
        <f>IF($L97="","",INDEX(Расчет!$A$2:$A$3001,$L97))</f>
        <v/>
      </c>
      <c r="C97">
        <f>IF($L97="","",INDEX(Расчет!$B$2:$B$3001,$L97))</f>
        <v/>
      </c>
      <c r="D97">
        <f>IF($L97="","",IF(ISNUMBER(FIND("(",INDEX(Расчет!$C$2:$C$3001,$L97))),SUBSTITUTE(MID(INDEX(Расчет!$C$2:$C$3001,$L97),FIND("(",INDEX(Расчет!$C$2:$C$3001,$L97))+1,99),")",""),INDEX(Расчет!$C$2:$C$3001,$L97)))</f>
        <v/>
      </c>
      <c r="E97">
        <f>IF($L97="","",INDEX(Расчет!$D$2:$D$3001,$L97))</f>
        <v/>
      </c>
      <c r="F97">
        <f>IF($L97="","",INDEX(Расчет!$E$2:$E$3001,$L97))</f>
        <v/>
      </c>
      <c r="G97">
        <f>IF($L97="","",IFERROR(--LEFT(INDEX(Расчет!$C$2:$C$3001,$L97),FIND("(",INDEX(Расчет!$C$2:$C$3001,$L97))-1),IFERROR(--LEFT(INDEX(Расчет!$C$2:$C$3001,$L97),1),"")))</f>
        <v/>
      </c>
      <c r="H97">
        <f>IF($L97="","",SUMIFS(Расчет!$G$2:$G$3001,Расчет!$I$2:$I$3001,$K97,Расчет!$H$2:$H$3001,1))</f>
        <v/>
      </c>
      <c r="I97">
        <f>IF($L97="","",SUMIFS(Расчет!$G$2:$G$3001,Расчет!$I$2:$I$3001,$K97,Расчет!$H$2:$H$3001,2))</f>
        <v/>
      </c>
      <c r="J97">
        <f>IF($L97="","",SUMIFS(Расчет!$G$2:$G$3001,Расчет!$I$2:$I$3001,$K97,Расчет!$H$2:$H$3001,3))</f>
        <v/>
      </c>
      <c r="K97">
        <f>IF($L97="","",INDEX(Расчет!$I$2:$I$3001,$L97))</f>
        <v/>
      </c>
      <c r="L97">
        <f>IFERROR(MATCH(ROW()-1,Расчет!$J$2:$J$3001,0),"")</f>
        <v/>
      </c>
    </row>
    <row r="98">
      <c r="A98">
        <f>IF($L98="","",B98&amp;"."&amp;C98&amp;"-"&amp;D98&amp;"-"&amp;H98&amp;"."&amp;I98&amp;"."&amp;J98)</f>
        <v/>
      </c>
      <c r="B98">
        <f>IF($L98="","",INDEX(Расчет!$A$2:$A$3001,$L98))</f>
        <v/>
      </c>
      <c r="C98">
        <f>IF($L98="","",INDEX(Расчет!$B$2:$B$3001,$L98))</f>
        <v/>
      </c>
      <c r="D98">
        <f>IF($L98="","",IF(ISNUMBER(FIND("(",INDEX(Расчет!$C$2:$C$3001,$L98))),SUBSTITUTE(MID(INDEX(Расчет!$C$2:$C$3001,$L98),FIND("(",INDEX(Расчет!$C$2:$C$3001,$L98))+1,99),")",""),INDEX(Расчет!$C$2:$C$3001,$L98)))</f>
        <v/>
      </c>
      <c r="E98">
        <f>IF($L98="","",INDEX(Расчет!$D$2:$D$3001,$L98))</f>
        <v/>
      </c>
      <c r="F98">
        <f>IF($L98="","",INDEX(Расчет!$E$2:$E$3001,$L98))</f>
        <v/>
      </c>
      <c r="G98">
        <f>IF($L98="","",IFERROR(--LEFT(INDEX(Расчет!$C$2:$C$3001,$L98),FIND("(",INDEX(Расчет!$C$2:$C$3001,$L98))-1),IFERROR(--LEFT(INDEX(Расчет!$C$2:$C$3001,$L98),1),"")))</f>
        <v/>
      </c>
      <c r="H98">
        <f>IF($L98="","",SUMIFS(Расчет!$G$2:$G$3001,Расчет!$I$2:$I$3001,$K98,Расчет!$H$2:$H$3001,1))</f>
        <v/>
      </c>
      <c r="I98">
        <f>IF($L98="","",SUMIFS(Расчет!$G$2:$G$3001,Расчет!$I$2:$I$3001,$K98,Расчет!$H$2:$H$3001,2))</f>
        <v/>
      </c>
      <c r="J98">
        <f>IF($L98="","",SUMIFS(Расчет!$G$2:$G$3001,Расчет!$I$2:$I$3001,$K98,Расчет!$H$2:$H$3001,3))</f>
        <v/>
      </c>
      <c r="K98">
        <f>IF($L98="","",INDEX(Расчет!$I$2:$I$3001,$L98))</f>
        <v/>
      </c>
      <c r="L98">
        <f>IFERROR(MATCH(ROW()-1,Расчет!$J$2:$J$3001,0),"")</f>
        <v/>
      </c>
    </row>
    <row r="99">
      <c r="A99">
        <f>IF($L99="","",B99&amp;"."&amp;C99&amp;"-"&amp;D99&amp;"-"&amp;H99&amp;"."&amp;I99&amp;"."&amp;J99)</f>
        <v/>
      </c>
      <c r="B99">
        <f>IF($L99="","",INDEX(Расчет!$A$2:$A$3001,$L99))</f>
        <v/>
      </c>
      <c r="C99">
        <f>IF($L99="","",INDEX(Расчет!$B$2:$B$3001,$L99))</f>
        <v/>
      </c>
      <c r="D99">
        <f>IF($L99="","",IF(ISNUMBER(FIND("(",INDEX(Расчет!$C$2:$C$3001,$L99))),SUBSTITUTE(MID(INDEX(Расчет!$C$2:$C$3001,$L99),FIND("(",INDEX(Расчет!$C$2:$C$3001,$L99))+1,99),")",""),INDEX(Расчет!$C$2:$C$3001,$L99)))</f>
        <v/>
      </c>
      <c r="E99">
        <f>IF($L99="","",INDEX(Расчет!$D$2:$D$3001,$L99))</f>
        <v/>
      </c>
      <c r="F99">
        <f>IF($L99="","",INDEX(Расчет!$E$2:$E$3001,$L99))</f>
        <v/>
      </c>
      <c r="G99">
        <f>IF($L99="","",IFERROR(--LEFT(INDEX(Расчет!$C$2:$C$3001,$L99),FIND("(",INDEX(Расчет!$C$2:$C$3001,$L99))-1),IFERROR(--LEFT(INDEX(Расчет!$C$2:$C$3001,$L99),1),"")))</f>
        <v/>
      </c>
      <c r="H99">
        <f>IF($L99="","",SUMIFS(Расчет!$G$2:$G$3001,Расчет!$I$2:$I$3001,$K99,Расчет!$H$2:$H$3001,1))</f>
        <v/>
      </c>
      <c r="I99">
        <f>IF($L99="","",SUMIFS(Расчет!$G$2:$G$3001,Расчет!$I$2:$I$3001,$K99,Расчет!$H$2:$H$3001,2))</f>
        <v/>
      </c>
      <c r="J99">
        <f>IF($L99="","",SUMIFS(Расчет!$G$2:$G$3001,Расчет!$I$2:$I$3001,$K99,Расчет!$H$2:$H$3001,3))</f>
        <v/>
      </c>
      <c r="K99">
        <f>IF($L99="","",INDEX(Расчет!$I$2:$I$3001,$L99))</f>
        <v/>
      </c>
      <c r="L99">
        <f>IFERROR(MATCH(ROW()-1,Расчет!$J$2:$J$3001,0),"")</f>
        <v/>
      </c>
    </row>
    <row r="100">
      <c r="A100">
        <f>IF($L100="","",B100&amp;"."&amp;C100&amp;"-"&amp;D100&amp;"-"&amp;H100&amp;"."&amp;I100&amp;"."&amp;J100)</f>
        <v/>
      </c>
      <c r="B100">
        <f>IF($L100="","",INDEX(Расчет!$A$2:$A$3001,$L100))</f>
        <v/>
      </c>
      <c r="C100">
        <f>IF($L100="","",INDEX(Расчет!$B$2:$B$3001,$L100))</f>
        <v/>
      </c>
      <c r="D100">
        <f>IF($L100="","",IF(ISNUMBER(FIND("(",INDEX(Расчет!$C$2:$C$3001,$L100))),SUBSTITUTE(MID(INDEX(Расчет!$C$2:$C$3001,$L100),FIND("(",INDEX(Расчет!$C$2:$C$3001,$L100))+1,99),")",""),INDEX(Расчет!$C$2:$C$3001,$L100)))</f>
        <v/>
      </c>
      <c r="E100">
        <f>IF($L100="","",INDEX(Расчет!$D$2:$D$3001,$L100))</f>
        <v/>
      </c>
      <c r="F100">
        <f>IF($L100="","",INDEX(Расчет!$E$2:$E$3001,$L100))</f>
        <v/>
      </c>
      <c r="G100">
        <f>IF($L100="","",IFERROR(--LEFT(INDEX(Расчет!$C$2:$C$3001,$L100),FIND("(",INDEX(Расчет!$C$2:$C$3001,$L100))-1),IFERROR(--LEFT(INDEX(Расчет!$C$2:$C$3001,$L100),1),"")))</f>
        <v/>
      </c>
      <c r="H100">
        <f>IF($L100="","",SUMIFS(Расчет!$G$2:$G$3001,Расчет!$I$2:$I$3001,$K100,Расчет!$H$2:$H$3001,1))</f>
        <v/>
      </c>
      <c r="I100">
        <f>IF($L100="","",SUMIFS(Расчет!$G$2:$G$3001,Расчет!$I$2:$I$3001,$K100,Расчет!$H$2:$H$3001,2))</f>
        <v/>
      </c>
      <c r="J100">
        <f>IF($L100="","",SUMIFS(Расчет!$G$2:$G$3001,Расчет!$I$2:$I$3001,$K100,Расчет!$H$2:$H$3001,3))</f>
        <v/>
      </c>
      <c r="K100">
        <f>IF($L100="","",INDEX(Расчет!$I$2:$I$3001,$L100))</f>
        <v/>
      </c>
      <c r="L100">
        <f>IFERROR(MATCH(ROW()-1,Расчет!$J$2:$J$3001,0),"")</f>
        <v/>
      </c>
    </row>
    <row r="101">
      <c r="A101">
        <f>IF($L101="","",B101&amp;"."&amp;C101&amp;"-"&amp;D101&amp;"-"&amp;H101&amp;"."&amp;I101&amp;"."&amp;J101)</f>
        <v/>
      </c>
      <c r="B101">
        <f>IF($L101="","",INDEX(Расчет!$A$2:$A$3001,$L101))</f>
        <v/>
      </c>
      <c r="C101">
        <f>IF($L101="","",INDEX(Расчет!$B$2:$B$3001,$L101))</f>
        <v/>
      </c>
      <c r="D101">
        <f>IF($L101="","",IF(ISNUMBER(FIND("(",INDEX(Расчет!$C$2:$C$3001,$L101))),SUBSTITUTE(MID(INDEX(Расчет!$C$2:$C$3001,$L101),FIND("(",INDEX(Расчет!$C$2:$C$3001,$L101))+1,99),")",""),INDEX(Расчет!$C$2:$C$3001,$L101)))</f>
        <v/>
      </c>
      <c r="E101">
        <f>IF($L101="","",INDEX(Расчет!$D$2:$D$3001,$L101))</f>
        <v/>
      </c>
      <c r="F101">
        <f>IF($L101="","",INDEX(Расчет!$E$2:$E$3001,$L101))</f>
        <v/>
      </c>
      <c r="G101">
        <f>IF($L101="","",IFERROR(--LEFT(INDEX(Расчет!$C$2:$C$3001,$L101),FIND("(",INDEX(Расчет!$C$2:$C$3001,$L101))-1),IFERROR(--LEFT(INDEX(Расчет!$C$2:$C$3001,$L101),1),"")))</f>
        <v/>
      </c>
      <c r="H101">
        <f>IF($L101="","",SUMIFS(Расчет!$G$2:$G$3001,Расчет!$I$2:$I$3001,$K101,Расчет!$H$2:$H$3001,1))</f>
        <v/>
      </c>
      <c r="I101">
        <f>IF($L101="","",SUMIFS(Расчет!$G$2:$G$3001,Расчет!$I$2:$I$3001,$K101,Расчет!$H$2:$H$3001,2))</f>
        <v/>
      </c>
      <c r="J101">
        <f>IF($L101="","",SUMIFS(Расчет!$G$2:$G$3001,Расчет!$I$2:$I$3001,$K101,Расчет!$H$2:$H$3001,3))</f>
        <v/>
      </c>
      <c r="K101">
        <f>IF($L101="","",INDEX(Расчет!$I$2:$I$3001,$L101))</f>
        <v/>
      </c>
      <c r="L101">
        <f>IFERROR(MATCH(ROW()-1,Расчет!$J$2:$J$3001,0),"")</f>
        <v/>
      </c>
    </row>
    <row r="102">
      <c r="A102">
        <f>IF($L102="","",B102&amp;"."&amp;C102&amp;"-"&amp;D102&amp;"-"&amp;H102&amp;"."&amp;I102&amp;"."&amp;J102)</f>
        <v/>
      </c>
      <c r="B102">
        <f>IF($L102="","",INDEX(Расчет!$A$2:$A$3001,$L102))</f>
        <v/>
      </c>
      <c r="C102">
        <f>IF($L102="","",INDEX(Расчет!$B$2:$B$3001,$L102))</f>
        <v/>
      </c>
      <c r="D102">
        <f>IF($L102="","",IF(ISNUMBER(FIND("(",INDEX(Расчет!$C$2:$C$3001,$L102))),SUBSTITUTE(MID(INDEX(Расчет!$C$2:$C$3001,$L102),FIND("(",INDEX(Расчет!$C$2:$C$3001,$L102))+1,99),")",""),INDEX(Расчет!$C$2:$C$3001,$L102)))</f>
        <v/>
      </c>
      <c r="E102">
        <f>IF($L102="","",INDEX(Расчет!$D$2:$D$3001,$L102))</f>
        <v/>
      </c>
      <c r="F102">
        <f>IF($L102="","",INDEX(Расчет!$E$2:$E$3001,$L102))</f>
        <v/>
      </c>
      <c r="G102">
        <f>IF($L102="","",IFERROR(--LEFT(INDEX(Расчет!$C$2:$C$3001,$L102),FIND("(",INDEX(Расчет!$C$2:$C$3001,$L102))-1),IFERROR(--LEFT(INDEX(Расчет!$C$2:$C$3001,$L102),1),"")))</f>
        <v/>
      </c>
      <c r="H102">
        <f>IF($L102="","",SUMIFS(Расчет!$G$2:$G$3001,Расчет!$I$2:$I$3001,$K102,Расчет!$H$2:$H$3001,1))</f>
        <v/>
      </c>
      <c r="I102">
        <f>IF($L102="","",SUMIFS(Расчет!$G$2:$G$3001,Расчет!$I$2:$I$3001,$K102,Расчет!$H$2:$H$3001,2))</f>
        <v/>
      </c>
      <c r="J102">
        <f>IF($L102="","",SUMIFS(Расчет!$G$2:$G$3001,Расчет!$I$2:$I$3001,$K102,Расчет!$H$2:$H$3001,3))</f>
        <v/>
      </c>
      <c r="K102">
        <f>IF($L102="","",INDEX(Расчет!$I$2:$I$3001,$L102))</f>
        <v/>
      </c>
      <c r="L102">
        <f>IFERROR(MATCH(ROW()-1,Расчет!$J$2:$J$3001,0),"")</f>
        <v/>
      </c>
    </row>
    <row r="103">
      <c r="A103">
        <f>IF($L103="","",B103&amp;"."&amp;C103&amp;"-"&amp;D103&amp;"-"&amp;H103&amp;"."&amp;I103&amp;"."&amp;J103)</f>
        <v/>
      </c>
      <c r="B103">
        <f>IF($L103="","",INDEX(Расчет!$A$2:$A$3001,$L103))</f>
        <v/>
      </c>
      <c r="C103">
        <f>IF($L103="","",INDEX(Расчет!$B$2:$B$3001,$L103))</f>
        <v/>
      </c>
      <c r="D103">
        <f>IF($L103="","",IF(ISNUMBER(FIND("(",INDEX(Расчет!$C$2:$C$3001,$L103))),SUBSTITUTE(MID(INDEX(Расчет!$C$2:$C$3001,$L103),FIND("(",INDEX(Расчет!$C$2:$C$3001,$L103))+1,99),")",""),INDEX(Расчет!$C$2:$C$3001,$L103)))</f>
        <v/>
      </c>
      <c r="E103">
        <f>IF($L103="","",INDEX(Расчет!$D$2:$D$3001,$L103))</f>
        <v/>
      </c>
      <c r="F103">
        <f>IF($L103="","",INDEX(Расчет!$E$2:$E$3001,$L103))</f>
        <v/>
      </c>
      <c r="G103">
        <f>IF($L103="","",IFERROR(--LEFT(INDEX(Расчет!$C$2:$C$3001,$L103),FIND("(",INDEX(Расчет!$C$2:$C$3001,$L103))-1),IFERROR(--LEFT(INDEX(Расчет!$C$2:$C$3001,$L103),1),"")))</f>
        <v/>
      </c>
      <c r="H103">
        <f>IF($L103="","",SUMIFS(Расчет!$G$2:$G$3001,Расчет!$I$2:$I$3001,$K103,Расчет!$H$2:$H$3001,1))</f>
        <v/>
      </c>
      <c r="I103">
        <f>IF($L103="","",SUMIFS(Расчет!$G$2:$G$3001,Расчет!$I$2:$I$3001,$K103,Расчет!$H$2:$H$3001,2))</f>
        <v/>
      </c>
      <c r="J103">
        <f>IF($L103="","",SUMIFS(Расчет!$G$2:$G$3001,Расчет!$I$2:$I$3001,$K103,Расчет!$H$2:$H$3001,3))</f>
        <v/>
      </c>
      <c r="K103">
        <f>IF($L103="","",INDEX(Расчет!$I$2:$I$3001,$L103))</f>
        <v/>
      </c>
      <c r="L103">
        <f>IFERROR(MATCH(ROW()-1,Расчет!$J$2:$J$3001,0),"")</f>
        <v/>
      </c>
    </row>
    <row r="104">
      <c r="A104">
        <f>IF($L104="","",B104&amp;"."&amp;C104&amp;"-"&amp;D104&amp;"-"&amp;H104&amp;"."&amp;I104&amp;"."&amp;J104)</f>
        <v/>
      </c>
      <c r="B104">
        <f>IF($L104="","",INDEX(Расчет!$A$2:$A$3001,$L104))</f>
        <v/>
      </c>
      <c r="C104">
        <f>IF($L104="","",INDEX(Расчет!$B$2:$B$3001,$L104))</f>
        <v/>
      </c>
      <c r="D104">
        <f>IF($L104="","",IF(ISNUMBER(FIND("(",INDEX(Расчет!$C$2:$C$3001,$L104))),SUBSTITUTE(MID(INDEX(Расчет!$C$2:$C$3001,$L104),FIND("(",INDEX(Расчет!$C$2:$C$3001,$L104))+1,99),")",""),INDEX(Расчет!$C$2:$C$3001,$L104)))</f>
        <v/>
      </c>
      <c r="E104">
        <f>IF($L104="","",INDEX(Расчет!$D$2:$D$3001,$L104))</f>
        <v/>
      </c>
      <c r="F104">
        <f>IF($L104="","",INDEX(Расчет!$E$2:$E$3001,$L104))</f>
        <v/>
      </c>
      <c r="G104">
        <f>IF($L104="","",IFERROR(--LEFT(INDEX(Расчет!$C$2:$C$3001,$L104),FIND("(",INDEX(Расчет!$C$2:$C$3001,$L104))-1),IFERROR(--LEFT(INDEX(Расчет!$C$2:$C$3001,$L104),1),"")))</f>
        <v/>
      </c>
      <c r="H104">
        <f>IF($L104="","",SUMIFS(Расчет!$G$2:$G$3001,Расчет!$I$2:$I$3001,$K104,Расчет!$H$2:$H$3001,1))</f>
        <v/>
      </c>
      <c r="I104">
        <f>IF($L104="","",SUMIFS(Расчет!$G$2:$G$3001,Расчет!$I$2:$I$3001,$K104,Расчет!$H$2:$H$3001,2))</f>
        <v/>
      </c>
      <c r="J104">
        <f>IF($L104="","",SUMIFS(Расчет!$G$2:$G$3001,Расчет!$I$2:$I$3001,$K104,Расчет!$H$2:$H$3001,3))</f>
        <v/>
      </c>
      <c r="K104">
        <f>IF($L104="","",INDEX(Расчет!$I$2:$I$3001,$L104))</f>
        <v/>
      </c>
      <c r="L104">
        <f>IFERROR(MATCH(ROW()-1,Расчет!$J$2:$J$3001,0),"")</f>
        <v/>
      </c>
    </row>
    <row r="105">
      <c r="A105">
        <f>IF($L105="","",B105&amp;"."&amp;C105&amp;"-"&amp;D105&amp;"-"&amp;H105&amp;"."&amp;I105&amp;"."&amp;J105)</f>
        <v/>
      </c>
      <c r="B105">
        <f>IF($L105="","",INDEX(Расчет!$A$2:$A$3001,$L105))</f>
        <v/>
      </c>
      <c r="C105">
        <f>IF($L105="","",INDEX(Расчет!$B$2:$B$3001,$L105))</f>
        <v/>
      </c>
      <c r="D105">
        <f>IF($L105="","",IF(ISNUMBER(FIND("(",INDEX(Расчет!$C$2:$C$3001,$L105))),SUBSTITUTE(MID(INDEX(Расчет!$C$2:$C$3001,$L105),FIND("(",INDEX(Расчет!$C$2:$C$3001,$L105))+1,99),")",""),INDEX(Расчет!$C$2:$C$3001,$L105)))</f>
        <v/>
      </c>
      <c r="E105">
        <f>IF($L105="","",INDEX(Расчет!$D$2:$D$3001,$L105))</f>
        <v/>
      </c>
      <c r="F105">
        <f>IF($L105="","",INDEX(Расчет!$E$2:$E$3001,$L105))</f>
        <v/>
      </c>
      <c r="G105">
        <f>IF($L105="","",IFERROR(--LEFT(INDEX(Расчет!$C$2:$C$3001,$L105),FIND("(",INDEX(Расчет!$C$2:$C$3001,$L105))-1),IFERROR(--LEFT(INDEX(Расчет!$C$2:$C$3001,$L105),1),"")))</f>
        <v/>
      </c>
      <c r="H105">
        <f>IF($L105="","",SUMIFS(Расчет!$G$2:$G$3001,Расчет!$I$2:$I$3001,$K105,Расчет!$H$2:$H$3001,1))</f>
        <v/>
      </c>
      <c r="I105">
        <f>IF($L105="","",SUMIFS(Расчет!$G$2:$G$3001,Расчет!$I$2:$I$3001,$K105,Расчет!$H$2:$H$3001,2))</f>
        <v/>
      </c>
      <c r="J105">
        <f>IF($L105="","",SUMIFS(Расчет!$G$2:$G$3001,Расчет!$I$2:$I$3001,$K105,Расчет!$H$2:$H$3001,3))</f>
        <v/>
      </c>
      <c r="K105">
        <f>IF($L105="","",INDEX(Расчет!$I$2:$I$3001,$L105))</f>
        <v/>
      </c>
      <c r="L105">
        <f>IFERROR(MATCH(ROW()-1,Расчет!$J$2:$J$3001,0),"")</f>
        <v/>
      </c>
    </row>
    <row r="106">
      <c r="A106">
        <f>IF($L106="","",B106&amp;"."&amp;C106&amp;"-"&amp;D106&amp;"-"&amp;H106&amp;"."&amp;I106&amp;"."&amp;J106)</f>
        <v/>
      </c>
      <c r="B106">
        <f>IF($L106="","",INDEX(Расчет!$A$2:$A$3001,$L106))</f>
        <v/>
      </c>
      <c r="C106">
        <f>IF($L106="","",INDEX(Расчет!$B$2:$B$3001,$L106))</f>
        <v/>
      </c>
      <c r="D106">
        <f>IF($L106="","",IF(ISNUMBER(FIND("(",INDEX(Расчет!$C$2:$C$3001,$L106))),SUBSTITUTE(MID(INDEX(Расчет!$C$2:$C$3001,$L106),FIND("(",INDEX(Расчет!$C$2:$C$3001,$L106))+1,99),")",""),INDEX(Расчет!$C$2:$C$3001,$L106)))</f>
        <v/>
      </c>
      <c r="E106">
        <f>IF($L106="","",INDEX(Расчет!$D$2:$D$3001,$L106))</f>
        <v/>
      </c>
      <c r="F106">
        <f>IF($L106="","",INDEX(Расчет!$E$2:$E$3001,$L106))</f>
        <v/>
      </c>
      <c r="G106">
        <f>IF($L106="","",IFERROR(--LEFT(INDEX(Расчет!$C$2:$C$3001,$L106),FIND("(",INDEX(Расчет!$C$2:$C$3001,$L106))-1),IFERROR(--LEFT(INDEX(Расчет!$C$2:$C$3001,$L106),1),"")))</f>
        <v/>
      </c>
      <c r="H106">
        <f>IF($L106="","",SUMIFS(Расчет!$G$2:$G$3001,Расчет!$I$2:$I$3001,$K106,Расчет!$H$2:$H$3001,1))</f>
        <v/>
      </c>
      <c r="I106">
        <f>IF($L106="","",SUMIFS(Расчет!$G$2:$G$3001,Расчет!$I$2:$I$3001,$K106,Расчет!$H$2:$H$3001,2))</f>
        <v/>
      </c>
      <c r="J106">
        <f>IF($L106="","",SUMIFS(Расчет!$G$2:$G$3001,Расчет!$I$2:$I$3001,$K106,Расчет!$H$2:$H$3001,3))</f>
        <v/>
      </c>
      <c r="K106">
        <f>IF($L106="","",INDEX(Расчет!$I$2:$I$3001,$L106))</f>
        <v/>
      </c>
      <c r="L106">
        <f>IFERROR(MATCH(ROW()-1,Расчет!$J$2:$J$3001,0),"")</f>
        <v/>
      </c>
    </row>
    <row r="107">
      <c r="A107">
        <f>IF($L107="","",B107&amp;"."&amp;C107&amp;"-"&amp;D107&amp;"-"&amp;H107&amp;"."&amp;I107&amp;"."&amp;J107)</f>
        <v/>
      </c>
      <c r="B107">
        <f>IF($L107="","",INDEX(Расчет!$A$2:$A$3001,$L107))</f>
        <v/>
      </c>
      <c r="C107">
        <f>IF($L107="","",INDEX(Расчет!$B$2:$B$3001,$L107))</f>
        <v/>
      </c>
      <c r="D107">
        <f>IF($L107="","",IF(ISNUMBER(FIND("(",INDEX(Расчет!$C$2:$C$3001,$L107))),SUBSTITUTE(MID(INDEX(Расчет!$C$2:$C$3001,$L107),FIND("(",INDEX(Расчет!$C$2:$C$3001,$L107))+1,99),")",""),INDEX(Расчет!$C$2:$C$3001,$L107)))</f>
        <v/>
      </c>
      <c r="E107">
        <f>IF($L107="","",INDEX(Расчет!$D$2:$D$3001,$L107))</f>
        <v/>
      </c>
      <c r="F107">
        <f>IF($L107="","",INDEX(Расчет!$E$2:$E$3001,$L107))</f>
        <v/>
      </c>
      <c r="G107">
        <f>IF($L107="","",IFERROR(--LEFT(INDEX(Расчет!$C$2:$C$3001,$L107),FIND("(",INDEX(Расчет!$C$2:$C$3001,$L107))-1),IFERROR(--LEFT(INDEX(Расчет!$C$2:$C$3001,$L107),1),"")))</f>
        <v/>
      </c>
      <c r="H107">
        <f>IF($L107="","",SUMIFS(Расчет!$G$2:$G$3001,Расчет!$I$2:$I$3001,$K107,Расчет!$H$2:$H$3001,1))</f>
        <v/>
      </c>
      <c r="I107">
        <f>IF($L107="","",SUMIFS(Расчет!$G$2:$G$3001,Расчет!$I$2:$I$3001,$K107,Расчет!$H$2:$H$3001,2))</f>
        <v/>
      </c>
      <c r="J107">
        <f>IF($L107="","",SUMIFS(Расчет!$G$2:$G$3001,Расчет!$I$2:$I$3001,$K107,Расчет!$H$2:$H$3001,3))</f>
        <v/>
      </c>
      <c r="K107">
        <f>IF($L107="","",INDEX(Расчет!$I$2:$I$3001,$L107))</f>
        <v/>
      </c>
      <c r="L107">
        <f>IFERROR(MATCH(ROW()-1,Расчет!$J$2:$J$3001,0),"")</f>
        <v/>
      </c>
    </row>
    <row r="108">
      <c r="A108">
        <f>IF($L108="","",B108&amp;"."&amp;C108&amp;"-"&amp;D108&amp;"-"&amp;H108&amp;"."&amp;I108&amp;"."&amp;J108)</f>
        <v/>
      </c>
      <c r="B108">
        <f>IF($L108="","",INDEX(Расчет!$A$2:$A$3001,$L108))</f>
        <v/>
      </c>
      <c r="C108">
        <f>IF($L108="","",INDEX(Расчет!$B$2:$B$3001,$L108))</f>
        <v/>
      </c>
      <c r="D108">
        <f>IF($L108="","",IF(ISNUMBER(FIND("(",INDEX(Расчет!$C$2:$C$3001,$L108))),SUBSTITUTE(MID(INDEX(Расчет!$C$2:$C$3001,$L108),FIND("(",INDEX(Расчет!$C$2:$C$3001,$L108))+1,99),")",""),INDEX(Расчет!$C$2:$C$3001,$L108)))</f>
        <v/>
      </c>
      <c r="E108">
        <f>IF($L108="","",INDEX(Расчет!$D$2:$D$3001,$L108))</f>
        <v/>
      </c>
      <c r="F108">
        <f>IF($L108="","",INDEX(Расчет!$E$2:$E$3001,$L108))</f>
        <v/>
      </c>
      <c r="G108">
        <f>IF($L108="","",IFERROR(--LEFT(INDEX(Расчет!$C$2:$C$3001,$L108),FIND("(",INDEX(Расчет!$C$2:$C$3001,$L108))-1),IFERROR(--LEFT(INDEX(Расчет!$C$2:$C$3001,$L108),1),"")))</f>
        <v/>
      </c>
      <c r="H108">
        <f>IF($L108="","",SUMIFS(Расчет!$G$2:$G$3001,Расчет!$I$2:$I$3001,$K108,Расчет!$H$2:$H$3001,1))</f>
        <v/>
      </c>
      <c r="I108">
        <f>IF($L108="","",SUMIFS(Расчет!$G$2:$G$3001,Расчет!$I$2:$I$3001,$K108,Расчет!$H$2:$H$3001,2))</f>
        <v/>
      </c>
      <c r="J108">
        <f>IF($L108="","",SUMIFS(Расчет!$G$2:$G$3001,Расчет!$I$2:$I$3001,$K108,Расчет!$H$2:$H$3001,3))</f>
        <v/>
      </c>
      <c r="K108">
        <f>IF($L108="","",INDEX(Расчет!$I$2:$I$3001,$L108))</f>
        <v/>
      </c>
      <c r="L108">
        <f>IFERROR(MATCH(ROW()-1,Расчет!$J$2:$J$3001,0),"")</f>
        <v/>
      </c>
    </row>
    <row r="109">
      <c r="A109">
        <f>IF($L109="","",B109&amp;"."&amp;C109&amp;"-"&amp;D109&amp;"-"&amp;H109&amp;"."&amp;I109&amp;"."&amp;J109)</f>
        <v/>
      </c>
      <c r="B109">
        <f>IF($L109="","",INDEX(Расчет!$A$2:$A$3001,$L109))</f>
        <v/>
      </c>
      <c r="C109">
        <f>IF($L109="","",INDEX(Расчет!$B$2:$B$3001,$L109))</f>
        <v/>
      </c>
      <c r="D109">
        <f>IF($L109="","",IF(ISNUMBER(FIND("(",INDEX(Расчет!$C$2:$C$3001,$L109))),SUBSTITUTE(MID(INDEX(Расчет!$C$2:$C$3001,$L109),FIND("(",INDEX(Расчет!$C$2:$C$3001,$L109))+1,99),")",""),INDEX(Расчет!$C$2:$C$3001,$L109)))</f>
        <v/>
      </c>
      <c r="E109">
        <f>IF($L109="","",INDEX(Расчет!$D$2:$D$3001,$L109))</f>
        <v/>
      </c>
      <c r="F109">
        <f>IF($L109="","",INDEX(Расчет!$E$2:$E$3001,$L109))</f>
        <v/>
      </c>
      <c r="G109">
        <f>IF($L109="","",IFERROR(--LEFT(INDEX(Расчет!$C$2:$C$3001,$L109),FIND("(",INDEX(Расчет!$C$2:$C$3001,$L109))-1),IFERROR(--LEFT(INDEX(Расчет!$C$2:$C$3001,$L109),1),"")))</f>
        <v/>
      </c>
      <c r="H109">
        <f>IF($L109="","",SUMIFS(Расчет!$G$2:$G$3001,Расчет!$I$2:$I$3001,$K109,Расчет!$H$2:$H$3001,1))</f>
        <v/>
      </c>
      <c r="I109">
        <f>IF($L109="","",SUMIFS(Расчет!$G$2:$G$3001,Расчет!$I$2:$I$3001,$K109,Расчет!$H$2:$H$3001,2))</f>
        <v/>
      </c>
      <c r="J109">
        <f>IF($L109="","",SUMIFS(Расчет!$G$2:$G$3001,Расчет!$I$2:$I$3001,$K109,Расчет!$H$2:$H$3001,3))</f>
        <v/>
      </c>
      <c r="K109">
        <f>IF($L109="","",INDEX(Расчет!$I$2:$I$3001,$L109))</f>
        <v/>
      </c>
      <c r="L109">
        <f>IFERROR(MATCH(ROW()-1,Расчет!$J$2:$J$3001,0),"")</f>
        <v/>
      </c>
    </row>
    <row r="110">
      <c r="A110">
        <f>IF($L110="","",B110&amp;"."&amp;C110&amp;"-"&amp;D110&amp;"-"&amp;H110&amp;"."&amp;I110&amp;"."&amp;J110)</f>
        <v/>
      </c>
      <c r="B110">
        <f>IF($L110="","",INDEX(Расчет!$A$2:$A$3001,$L110))</f>
        <v/>
      </c>
      <c r="C110">
        <f>IF($L110="","",INDEX(Расчет!$B$2:$B$3001,$L110))</f>
        <v/>
      </c>
      <c r="D110">
        <f>IF($L110="","",IF(ISNUMBER(FIND("(",INDEX(Расчет!$C$2:$C$3001,$L110))),SUBSTITUTE(MID(INDEX(Расчет!$C$2:$C$3001,$L110),FIND("(",INDEX(Расчет!$C$2:$C$3001,$L110))+1,99),")",""),INDEX(Расчет!$C$2:$C$3001,$L110)))</f>
        <v/>
      </c>
      <c r="E110">
        <f>IF($L110="","",INDEX(Расчет!$D$2:$D$3001,$L110))</f>
        <v/>
      </c>
      <c r="F110">
        <f>IF($L110="","",INDEX(Расчет!$E$2:$E$3001,$L110))</f>
        <v/>
      </c>
      <c r="G110">
        <f>IF($L110="","",IFERROR(--LEFT(INDEX(Расчет!$C$2:$C$3001,$L110),FIND("(",INDEX(Расчет!$C$2:$C$3001,$L110))-1),IFERROR(--LEFT(INDEX(Расчет!$C$2:$C$3001,$L110),1),"")))</f>
        <v/>
      </c>
      <c r="H110">
        <f>IF($L110="","",SUMIFS(Расчет!$G$2:$G$3001,Расчет!$I$2:$I$3001,$K110,Расчет!$H$2:$H$3001,1))</f>
        <v/>
      </c>
      <c r="I110">
        <f>IF($L110="","",SUMIFS(Расчет!$G$2:$G$3001,Расчет!$I$2:$I$3001,$K110,Расчет!$H$2:$H$3001,2))</f>
        <v/>
      </c>
      <c r="J110">
        <f>IF($L110="","",SUMIFS(Расчет!$G$2:$G$3001,Расчет!$I$2:$I$3001,$K110,Расчет!$H$2:$H$3001,3))</f>
        <v/>
      </c>
      <c r="K110">
        <f>IF($L110="","",INDEX(Расчет!$I$2:$I$3001,$L110))</f>
        <v/>
      </c>
      <c r="L110">
        <f>IFERROR(MATCH(ROW()-1,Расчет!$J$2:$J$3001,0),"")</f>
        <v/>
      </c>
    </row>
    <row r="111">
      <c r="A111">
        <f>IF($L111="","",B111&amp;"."&amp;C111&amp;"-"&amp;D111&amp;"-"&amp;H111&amp;"."&amp;I111&amp;"."&amp;J111)</f>
        <v/>
      </c>
      <c r="B111">
        <f>IF($L111="","",INDEX(Расчет!$A$2:$A$3001,$L111))</f>
        <v/>
      </c>
      <c r="C111">
        <f>IF($L111="","",INDEX(Расчет!$B$2:$B$3001,$L111))</f>
        <v/>
      </c>
      <c r="D111">
        <f>IF($L111="","",IF(ISNUMBER(FIND("(",INDEX(Расчет!$C$2:$C$3001,$L111))),SUBSTITUTE(MID(INDEX(Расчет!$C$2:$C$3001,$L111),FIND("(",INDEX(Расчет!$C$2:$C$3001,$L111))+1,99),")",""),INDEX(Расчет!$C$2:$C$3001,$L111)))</f>
        <v/>
      </c>
      <c r="E111">
        <f>IF($L111="","",INDEX(Расчет!$D$2:$D$3001,$L111))</f>
        <v/>
      </c>
      <c r="F111">
        <f>IF($L111="","",INDEX(Расчет!$E$2:$E$3001,$L111))</f>
        <v/>
      </c>
      <c r="G111">
        <f>IF($L111="","",IFERROR(--LEFT(INDEX(Расчет!$C$2:$C$3001,$L111),FIND("(",INDEX(Расчет!$C$2:$C$3001,$L111))-1),IFERROR(--LEFT(INDEX(Расчет!$C$2:$C$3001,$L111),1),"")))</f>
        <v/>
      </c>
      <c r="H111">
        <f>IF($L111="","",SUMIFS(Расчет!$G$2:$G$3001,Расчет!$I$2:$I$3001,$K111,Расчет!$H$2:$H$3001,1))</f>
        <v/>
      </c>
      <c r="I111">
        <f>IF($L111="","",SUMIFS(Расчет!$G$2:$G$3001,Расчет!$I$2:$I$3001,$K111,Расчет!$H$2:$H$3001,2))</f>
        <v/>
      </c>
      <c r="J111">
        <f>IF($L111="","",SUMIFS(Расчет!$G$2:$G$3001,Расчет!$I$2:$I$3001,$K111,Расчет!$H$2:$H$3001,3))</f>
        <v/>
      </c>
      <c r="K111">
        <f>IF($L111="","",INDEX(Расчет!$I$2:$I$3001,$L111))</f>
        <v/>
      </c>
      <c r="L111">
        <f>IFERROR(MATCH(ROW()-1,Расчет!$J$2:$J$3001,0),"")</f>
        <v/>
      </c>
    </row>
    <row r="112">
      <c r="A112">
        <f>IF($L112="","",B112&amp;"."&amp;C112&amp;"-"&amp;D112&amp;"-"&amp;H112&amp;"."&amp;I112&amp;"."&amp;J112)</f>
        <v/>
      </c>
      <c r="B112">
        <f>IF($L112="","",INDEX(Расчет!$A$2:$A$3001,$L112))</f>
        <v/>
      </c>
      <c r="C112">
        <f>IF($L112="","",INDEX(Расчет!$B$2:$B$3001,$L112))</f>
        <v/>
      </c>
      <c r="D112">
        <f>IF($L112="","",IF(ISNUMBER(FIND("(",INDEX(Расчет!$C$2:$C$3001,$L112))),SUBSTITUTE(MID(INDEX(Расчет!$C$2:$C$3001,$L112),FIND("(",INDEX(Расчет!$C$2:$C$3001,$L112))+1,99),")",""),INDEX(Расчет!$C$2:$C$3001,$L112)))</f>
        <v/>
      </c>
      <c r="E112">
        <f>IF($L112="","",INDEX(Расчет!$D$2:$D$3001,$L112))</f>
        <v/>
      </c>
      <c r="F112">
        <f>IF($L112="","",INDEX(Расчет!$E$2:$E$3001,$L112))</f>
        <v/>
      </c>
      <c r="G112">
        <f>IF($L112="","",IFERROR(--LEFT(INDEX(Расчет!$C$2:$C$3001,$L112),FIND("(",INDEX(Расчет!$C$2:$C$3001,$L112))-1),IFERROR(--LEFT(INDEX(Расчет!$C$2:$C$3001,$L112),1),"")))</f>
        <v/>
      </c>
      <c r="H112">
        <f>IF($L112="","",SUMIFS(Расчет!$G$2:$G$3001,Расчет!$I$2:$I$3001,$K112,Расчет!$H$2:$H$3001,1))</f>
        <v/>
      </c>
      <c r="I112">
        <f>IF($L112="","",SUMIFS(Расчет!$G$2:$G$3001,Расчет!$I$2:$I$3001,$K112,Расчет!$H$2:$H$3001,2))</f>
        <v/>
      </c>
      <c r="J112">
        <f>IF($L112="","",SUMIFS(Расчет!$G$2:$G$3001,Расчет!$I$2:$I$3001,$K112,Расчет!$H$2:$H$3001,3))</f>
        <v/>
      </c>
      <c r="K112">
        <f>IF($L112="","",INDEX(Расчет!$I$2:$I$3001,$L112))</f>
        <v/>
      </c>
      <c r="L112">
        <f>IFERROR(MATCH(ROW()-1,Расчет!$J$2:$J$3001,0),"")</f>
        <v/>
      </c>
    </row>
    <row r="113">
      <c r="A113">
        <f>IF($L113="","",B113&amp;"."&amp;C113&amp;"-"&amp;D113&amp;"-"&amp;H113&amp;"."&amp;I113&amp;"."&amp;J113)</f>
        <v/>
      </c>
      <c r="B113">
        <f>IF($L113="","",INDEX(Расчет!$A$2:$A$3001,$L113))</f>
        <v/>
      </c>
      <c r="C113">
        <f>IF($L113="","",INDEX(Расчет!$B$2:$B$3001,$L113))</f>
        <v/>
      </c>
      <c r="D113">
        <f>IF($L113="","",IF(ISNUMBER(FIND("(",INDEX(Расчет!$C$2:$C$3001,$L113))),SUBSTITUTE(MID(INDEX(Расчет!$C$2:$C$3001,$L113),FIND("(",INDEX(Расчет!$C$2:$C$3001,$L113))+1,99),")",""),INDEX(Расчет!$C$2:$C$3001,$L113)))</f>
        <v/>
      </c>
      <c r="E113">
        <f>IF($L113="","",INDEX(Расчет!$D$2:$D$3001,$L113))</f>
        <v/>
      </c>
      <c r="F113">
        <f>IF($L113="","",INDEX(Расчет!$E$2:$E$3001,$L113))</f>
        <v/>
      </c>
      <c r="G113">
        <f>IF($L113="","",IFERROR(--LEFT(INDEX(Расчет!$C$2:$C$3001,$L113),FIND("(",INDEX(Расчет!$C$2:$C$3001,$L113))-1),IFERROR(--LEFT(INDEX(Расчет!$C$2:$C$3001,$L113),1),"")))</f>
        <v/>
      </c>
      <c r="H113">
        <f>IF($L113="","",SUMIFS(Расчет!$G$2:$G$3001,Расчет!$I$2:$I$3001,$K113,Расчет!$H$2:$H$3001,1))</f>
        <v/>
      </c>
      <c r="I113">
        <f>IF($L113="","",SUMIFS(Расчет!$G$2:$G$3001,Расчет!$I$2:$I$3001,$K113,Расчет!$H$2:$H$3001,2))</f>
        <v/>
      </c>
      <c r="J113">
        <f>IF($L113="","",SUMIFS(Расчет!$G$2:$G$3001,Расчет!$I$2:$I$3001,$K113,Расчет!$H$2:$H$3001,3))</f>
        <v/>
      </c>
      <c r="K113">
        <f>IF($L113="","",INDEX(Расчет!$I$2:$I$3001,$L113))</f>
        <v/>
      </c>
      <c r="L113">
        <f>IFERROR(MATCH(ROW()-1,Расчет!$J$2:$J$3001,0),"")</f>
        <v/>
      </c>
    </row>
    <row r="114">
      <c r="A114">
        <f>IF($L114="","",B114&amp;"."&amp;C114&amp;"-"&amp;D114&amp;"-"&amp;H114&amp;"."&amp;I114&amp;"."&amp;J114)</f>
        <v/>
      </c>
      <c r="B114">
        <f>IF($L114="","",INDEX(Расчет!$A$2:$A$3001,$L114))</f>
        <v/>
      </c>
      <c r="C114">
        <f>IF($L114="","",INDEX(Расчет!$B$2:$B$3001,$L114))</f>
        <v/>
      </c>
      <c r="D114">
        <f>IF($L114="","",IF(ISNUMBER(FIND("(",INDEX(Расчет!$C$2:$C$3001,$L114))),SUBSTITUTE(MID(INDEX(Расчет!$C$2:$C$3001,$L114),FIND("(",INDEX(Расчет!$C$2:$C$3001,$L114))+1,99),")",""),INDEX(Расчет!$C$2:$C$3001,$L114)))</f>
        <v/>
      </c>
      <c r="E114">
        <f>IF($L114="","",INDEX(Расчет!$D$2:$D$3001,$L114))</f>
        <v/>
      </c>
      <c r="F114">
        <f>IF($L114="","",INDEX(Расчет!$E$2:$E$3001,$L114))</f>
        <v/>
      </c>
      <c r="G114">
        <f>IF($L114="","",IFERROR(--LEFT(INDEX(Расчет!$C$2:$C$3001,$L114),FIND("(",INDEX(Расчет!$C$2:$C$3001,$L114))-1),IFERROR(--LEFT(INDEX(Расчет!$C$2:$C$3001,$L114),1),"")))</f>
        <v/>
      </c>
      <c r="H114">
        <f>IF($L114="","",SUMIFS(Расчет!$G$2:$G$3001,Расчет!$I$2:$I$3001,$K114,Расчет!$H$2:$H$3001,1))</f>
        <v/>
      </c>
      <c r="I114">
        <f>IF($L114="","",SUMIFS(Расчет!$G$2:$G$3001,Расчет!$I$2:$I$3001,$K114,Расчет!$H$2:$H$3001,2))</f>
        <v/>
      </c>
      <c r="J114">
        <f>IF($L114="","",SUMIFS(Расчет!$G$2:$G$3001,Расчет!$I$2:$I$3001,$K114,Расчет!$H$2:$H$3001,3))</f>
        <v/>
      </c>
      <c r="K114">
        <f>IF($L114="","",INDEX(Расчет!$I$2:$I$3001,$L114))</f>
        <v/>
      </c>
      <c r="L114">
        <f>IFERROR(MATCH(ROW()-1,Расчет!$J$2:$J$3001,0),"")</f>
        <v/>
      </c>
    </row>
    <row r="115">
      <c r="A115">
        <f>IF($L115="","",B115&amp;"."&amp;C115&amp;"-"&amp;D115&amp;"-"&amp;H115&amp;"."&amp;I115&amp;"."&amp;J115)</f>
        <v/>
      </c>
      <c r="B115">
        <f>IF($L115="","",INDEX(Расчет!$A$2:$A$3001,$L115))</f>
        <v/>
      </c>
      <c r="C115">
        <f>IF($L115="","",INDEX(Расчет!$B$2:$B$3001,$L115))</f>
        <v/>
      </c>
      <c r="D115">
        <f>IF($L115="","",IF(ISNUMBER(FIND("(",INDEX(Расчет!$C$2:$C$3001,$L115))),SUBSTITUTE(MID(INDEX(Расчет!$C$2:$C$3001,$L115),FIND("(",INDEX(Расчет!$C$2:$C$3001,$L115))+1,99),")",""),INDEX(Расчет!$C$2:$C$3001,$L115)))</f>
        <v/>
      </c>
      <c r="E115">
        <f>IF($L115="","",INDEX(Расчет!$D$2:$D$3001,$L115))</f>
        <v/>
      </c>
      <c r="F115">
        <f>IF($L115="","",INDEX(Расчет!$E$2:$E$3001,$L115))</f>
        <v/>
      </c>
      <c r="G115">
        <f>IF($L115="","",IFERROR(--LEFT(INDEX(Расчет!$C$2:$C$3001,$L115),FIND("(",INDEX(Расчет!$C$2:$C$3001,$L115))-1),IFERROR(--LEFT(INDEX(Расчет!$C$2:$C$3001,$L115),1),"")))</f>
        <v/>
      </c>
      <c r="H115">
        <f>IF($L115="","",SUMIFS(Расчет!$G$2:$G$3001,Расчет!$I$2:$I$3001,$K115,Расчет!$H$2:$H$3001,1))</f>
        <v/>
      </c>
      <c r="I115">
        <f>IF($L115="","",SUMIFS(Расчет!$G$2:$G$3001,Расчет!$I$2:$I$3001,$K115,Расчет!$H$2:$H$3001,2))</f>
        <v/>
      </c>
      <c r="J115">
        <f>IF($L115="","",SUMIFS(Расчет!$G$2:$G$3001,Расчет!$I$2:$I$3001,$K115,Расчет!$H$2:$H$3001,3))</f>
        <v/>
      </c>
      <c r="K115">
        <f>IF($L115="","",INDEX(Расчет!$I$2:$I$3001,$L115))</f>
        <v/>
      </c>
      <c r="L115">
        <f>IFERROR(MATCH(ROW()-1,Расчет!$J$2:$J$3001,0),"")</f>
        <v/>
      </c>
    </row>
    <row r="116">
      <c r="A116">
        <f>IF($L116="","",B116&amp;"."&amp;C116&amp;"-"&amp;D116&amp;"-"&amp;H116&amp;"."&amp;I116&amp;"."&amp;J116)</f>
        <v/>
      </c>
      <c r="B116">
        <f>IF($L116="","",INDEX(Расчет!$A$2:$A$3001,$L116))</f>
        <v/>
      </c>
      <c r="C116">
        <f>IF($L116="","",INDEX(Расчет!$B$2:$B$3001,$L116))</f>
        <v/>
      </c>
      <c r="D116">
        <f>IF($L116="","",IF(ISNUMBER(FIND("(",INDEX(Расчет!$C$2:$C$3001,$L116))),SUBSTITUTE(MID(INDEX(Расчет!$C$2:$C$3001,$L116),FIND("(",INDEX(Расчет!$C$2:$C$3001,$L116))+1,99),")",""),INDEX(Расчет!$C$2:$C$3001,$L116)))</f>
        <v/>
      </c>
      <c r="E116">
        <f>IF($L116="","",INDEX(Расчет!$D$2:$D$3001,$L116))</f>
        <v/>
      </c>
      <c r="F116">
        <f>IF($L116="","",INDEX(Расчет!$E$2:$E$3001,$L116))</f>
        <v/>
      </c>
      <c r="G116">
        <f>IF($L116="","",IFERROR(--LEFT(INDEX(Расчет!$C$2:$C$3001,$L116),FIND("(",INDEX(Расчет!$C$2:$C$3001,$L116))-1),IFERROR(--LEFT(INDEX(Расчет!$C$2:$C$3001,$L116),1),"")))</f>
        <v/>
      </c>
      <c r="H116">
        <f>IF($L116="","",SUMIFS(Расчет!$G$2:$G$3001,Расчет!$I$2:$I$3001,$K116,Расчет!$H$2:$H$3001,1))</f>
        <v/>
      </c>
      <c r="I116">
        <f>IF($L116="","",SUMIFS(Расчет!$G$2:$G$3001,Расчет!$I$2:$I$3001,$K116,Расчет!$H$2:$H$3001,2))</f>
        <v/>
      </c>
      <c r="J116">
        <f>IF($L116="","",SUMIFS(Расчет!$G$2:$G$3001,Расчет!$I$2:$I$3001,$K116,Расчет!$H$2:$H$3001,3))</f>
        <v/>
      </c>
      <c r="K116">
        <f>IF($L116="","",INDEX(Расчет!$I$2:$I$3001,$L116))</f>
        <v/>
      </c>
      <c r="L116">
        <f>IFERROR(MATCH(ROW()-1,Расчет!$J$2:$J$3001,0),"")</f>
        <v/>
      </c>
    </row>
    <row r="117">
      <c r="A117">
        <f>IF($L117="","",B117&amp;"."&amp;C117&amp;"-"&amp;D117&amp;"-"&amp;H117&amp;"."&amp;I117&amp;"."&amp;J117)</f>
        <v/>
      </c>
      <c r="B117">
        <f>IF($L117="","",INDEX(Расчет!$A$2:$A$3001,$L117))</f>
        <v/>
      </c>
      <c r="C117">
        <f>IF($L117="","",INDEX(Расчет!$B$2:$B$3001,$L117))</f>
        <v/>
      </c>
      <c r="D117">
        <f>IF($L117="","",IF(ISNUMBER(FIND("(",INDEX(Расчет!$C$2:$C$3001,$L117))),SUBSTITUTE(MID(INDEX(Расчет!$C$2:$C$3001,$L117),FIND("(",INDEX(Расчет!$C$2:$C$3001,$L117))+1,99),")",""),INDEX(Расчет!$C$2:$C$3001,$L117)))</f>
        <v/>
      </c>
      <c r="E117">
        <f>IF($L117="","",INDEX(Расчет!$D$2:$D$3001,$L117))</f>
        <v/>
      </c>
      <c r="F117">
        <f>IF($L117="","",INDEX(Расчет!$E$2:$E$3001,$L117))</f>
        <v/>
      </c>
      <c r="G117">
        <f>IF($L117="","",IFERROR(--LEFT(INDEX(Расчет!$C$2:$C$3001,$L117),FIND("(",INDEX(Расчет!$C$2:$C$3001,$L117))-1),IFERROR(--LEFT(INDEX(Расчет!$C$2:$C$3001,$L117),1),"")))</f>
        <v/>
      </c>
      <c r="H117">
        <f>IF($L117="","",SUMIFS(Расчет!$G$2:$G$3001,Расчет!$I$2:$I$3001,$K117,Расчет!$H$2:$H$3001,1))</f>
        <v/>
      </c>
      <c r="I117">
        <f>IF($L117="","",SUMIFS(Расчет!$G$2:$G$3001,Расчет!$I$2:$I$3001,$K117,Расчет!$H$2:$H$3001,2))</f>
        <v/>
      </c>
      <c r="J117">
        <f>IF($L117="","",SUMIFS(Расчет!$G$2:$G$3001,Расчет!$I$2:$I$3001,$K117,Расчет!$H$2:$H$3001,3))</f>
        <v/>
      </c>
      <c r="K117">
        <f>IF($L117="","",INDEX(Расчет!$I$2:$I$3001,$L117))</f>
        <v/>
      </c>
      <c r="L117">
        <f>IFERROR(MATCH(ROW()-1,Расчет!$J$2:$J$3001,0),"")</f>
        <v/>
      </c>
    </row>
    <row r="118">
      <c r="A118">
        <f>IF($L118="","",B118&amp;"."&amp;C118&amp;"-"&amp;D118&amp;"-"&amp;H118&amp;"."&amp;I118&amp;"."&amp;J118)</f>
        <v/>
      </c>
      <c r="B118">
        <f>IF($L118="","",INDEX(Расчет!$A$2:$A$3001,$L118))</f>
        <v/>
      </c>
      <c r="C118">
        <f>IF($L118="","",INDEX(Расчет!$B$2:$B$3001,$L118))</f>
        <v/>
      </c>
      <c r="D118">
        <f>IF($L118="","",IF(ISNUMBER(FIND("(",INDEX(Расчет!$C$2:$C$3001,$L118))),SUBSTITUTE(MID(INDEX(Расчет!$C$2:$C$3001,$L118),FIND("(",INDEX(Расчет!$C$2:$C$3001,$L118))+1,99),")",""),INDEX(Расчет!$C$2:$C$3001,$L118)))</f>
        <v/>
      </c>
      <c r="E118">
        <f>IF($L118="","",INDEX(Расчет!$D$2:$D$3001,$L118))</f>
        <v/>
      </c>
      <c r="F118">
        <f>IF($L118="","",INDEX(Расчет!$E$2:$E$3001,$L118))</f>
        <v/>
      </c>
      <c r="G118">
        <f>IF($L118="","",IFERROR(--LEFT(INDEX(Расчет!$C$2:$C$3001,$L118),FIND("(",INDEX(Расчет!$C$2:$C$3001,$L118))-1),IFERROR(--LEFT(INDEX(Расчет!$C$2:$C$3001,$L118),1),"")))</f>
        <v/>
      </c>
      <c r="H118">
        <f>IF($L118="","",SUMIFS(Расчет!$G$2:$G$3001,Расчет!$I$2:$I$3001,$K118,Расчет!$H$2:$H$3001,1))</f>
        <v/>
      </c>
      <c r="I118">
        <f>IF($L118="","",SUMIFS(Расчет!$G$2:$G$3001,Расчет!$I$2:$I$3001,$K118,Расчет!$H$2:$H$3001,2))</f>
        <v/>
      </c>
      <c r="J118">
        <f>IF($L118="","",SUMIFS(Расчет!$G$2:$G$3001,Расчет!$I$2:$I$3001,$K118,Расчет!$H$2:$H$3001,3))</f>
        <v/>
      </c>
      <c r="K118">
        <f>IF($L118="","",INDEX(Расчет!$I$2:$I$3001,$L118))</f>
        <v/>
      </c>
      <c r="L118">
        <f>IFERROR(MATCH(ROW()-1,Расчет!$J$2:$J$3001,0),"")</f>
        <v/>
      </c>
    </row>
    <row r="119">
      <c r="A119">
        <f>IF($L119="","",B119&amp;"."&amp;C119&amp;"-"&amp;D119&amp;"-"&amp;H119&amp;"."&amp;I119&amp;"."&amp;J119)</f>
        <v/>
      </c>
      <c r="B119">
        <f>IF($L119="","",INDEX(Расчет!$A$2:$A$3001,$L119))</f>
        <v/>
      </c>
      <c r="C119">
        <f>IF($L119="","",INDEX(Расчет!$B$2:$B$3001,$L119))</f>
        <v/>
      </c>
      <c r="D119">
        <f>IF($L119="","",IF(ISNUMBER(FIND("(",INDEX(Расчет!$C$2:$C$3001,$L119))),SUBSTITUTE(MID(INDEX(Расчет!$C$2:$C$3001,$L119),FIND("(",INDEX(Расчет!$C$2:$C$3001,$L119))+1,99),")",""),INDEX(Расчет!$C$2:$C$3001,$L119)))</f>
        <v/>
      </c>
      <c r="E119">
        <f>IF($L119="","",INDEX(Расчет!$D$2:$D$3001,$L119))</f>
        <v/>
      </c>
      <c r="F119">
        <f>IF($L119="","",INDEX(Расчет!$E$2:$E$3001,$L119))</f>
        <v/>
      </c>
      <c r="G119">
        <f>IF($L119="","",IFERROR(--LEFT(INDEX(Расчет!$C$2:$C$3001,$L119),FIND("(",INDEX(Расчет!$C$2:$C$3001,$L119))-1),IFERROR(--LEFT(INDEX(Расчет!$C$2:$C$3001,$L119),1),"")))</f>
        <v/>
      </c>
      <c r="H119">
        <f>IF($L119="","",SUMIFS(Расчет!$G$2:$G$3001,Расчет!$I$2:$I$3001,$K119,Расчет!$H$2:$H$3001,1))</f>
        <v/>
      </c>
      <c r="I119">
        <f>IF($L119="","",SUMIFS(Расчет!$G$2:$G$3001,Расчет!$I$2:$I$3001,$K119,Расчет!$H$2:$H$3001,2))</f>
        <v/>
      </c>
      <c r="J119">
        <f>IF($L119="","",SUMIFS(Расчет!$G$2:$G$3001,Расчет!$I$2:$I$3001,$K119,Расчет!$H$2:$H$3001,3))</f>
        <v/>
      </c>
      <c r="K119">
        <f>IF($L119="","",INDEX(Расчет!$I$2:$I$3001,$L119))</f>
        <v/>
      </c>
      <c r="L119">
        <f>IFERROR(MATCH(ROW()-1,Расчет!$J$2:$J$3001,0),"")</f>
        <v/>
      </c>
    </row>
    <row r="120">
      <c r="A120">
        <f>IF($L120="","",B120&amp;"."&amp;C120&amp;"-"&amp;D120&amp;"-"&amp;H120&amp;"."&amp;I120&amp;"."&amp;J120)</f>
        <v/>
      </c>
      <c r="B120">
        <f>IF($L120="","",INDEX(Расчет!$A$2:$A$3001,$L120))</f>
        <v/>
      </c>
      <c r="C120">
        <f>IF($L120="","",INDEX(Расчет!$B$2:$B$3001,$L120))</f>
        <v/>
      </c>
      <c r="D120">
        <f>IF($L120="","",IF(ISNUMBER(FIND("(",INDEX(Расчет!$C$2:$C$3001,$L120))),SUBSTITUTE(MID(INDEX(Расчет!$C$2:$C$3001,$L120),FIND("(",INDEX(Расчет!$C$2:$C$3001,$L120))+1,99),")",""),INDEX(Расчет!$C$2:$C$3001,$L120)))</f>
        <v/>
      </c>
      <c r="E120">
        <f>IF($L120="","",INDEX(Расчет!$D$2:$D$3001,$L120))</f>
        <v/>
      </c>
      <c r="F120">
        <f>IF($L120="","",INDEX(Расчет!$E$2:$E$3001,$L120))</f>
        <v/>
      </c>
      <c r="G120">
        <f>IF($L120="","",IFERROR(--LEFT(INDEX(Расчет!$C$2:$C$3001,$L120),FIND("(",INDEX(Расчет!$C$2:$C$3001,$L120))-1),IFERROR(--LEFT(INDEX(Расчет!$C$2:$C$3001,$L120),1),"")))</f>
        <v/>
      </c>
      <c r="H120">
        <f>IF($L120="","",SUMIFS(Расчет!$G$2:$G$3001,Расчет!$I$2:$I$3001,$K120,Расчет!$H$2:$H$3001,1))</f>
        <v/>
      </c>
      <c r="I120">
        <f>IF($L120="","",SUMIFS(Расчет!$G$2:$G$3001,Расчет!$I$2:$I$3001,$K120,Расчет!$H$2:$H$3001,2))</f>
        <v/>
      </c>
      <c r="J120">
        <f>IF($L120="","",SUMIFS(Расчет!$G$2:$G$3001,Расчет!$I$2:$I$3001,$K120,Расчет!$H$2:$H$3001,3))</f>
        <v/>
      </c>
      <c r="K120">
        <f>IF($L120="","",INDEX(Расчет!$I$2:$I$3001,$L120))</f>
        <v/>
      </c>
      <c r="L120">
        <f>IFERROR(MATCH(ROW()-1,Расчет!$J$2:$J$3001,0),"")</f>
        <v/>
      </c>
    </row>
    <row r="121">
      <c r="A121">
        <f>IF($L121="","",B121&amp;"."&amp;C121&amp;"-"&amp;D121&amp;"-"&amp;H121&amp;"."&amp;I121&amp;"."&amp;J121)</f>
        <v/>
      </c>
      <c r="B121">
        <f>IF($L121="","",INDEX(Расчет!$A$2:$A$3001,$L121))</f>
        <v/>
      </c>
      <c r="C121">
        <f>IF($L121="","",INDEX(Расчет!$B$2:$B$3001,$L121))</f>
        <v/>
      </c>
      <c r="D121">
        <f>IF($L121="","",IF(ISNUMBER(FIND("(",INDEX(Расчет!$C$2:$C$3001,$L121))),SUBSTITUTE(MID(INDEX(Расчет!$C$2:$C$3001,$L121),FIND("(",INDEX(Расчет!$C$2:$C$3001,$L121))+1,99),")",""),INDEX(Расчет!$C$2:$C$3001,$L121)))</f>
        <v/>
      </c>
      <c r="E121">
        <f>IF($L121="","",INDEX(Расчет!$D$2:$D$3001,$L121))</f>
        <v/>
      </c>
      <c r="F121">
        <f>IF($L121="","",INDEX(Расчет!$E$2:$E$3001,$L121))</f>
        <v/>
      </c>
      <c r="G121">
        <f>IF($L121="","",IFERROR(--LEFT(INDEX(Расчет!$C$2:$C$3001,$L121),FIND("(",INDEX(Расчет!$C$2:$C$3001,$L121))-1),IFERROR(--LEFT(INDEX(Расчет!$C$2:$C$3001,$L121),1),"")))</f>
        <v/>
      </c>
      <c r="H121">
        <f>IF($L121="","",SUMIFS(Расчет!$G$2:$G$3001,Расчет!$I$2:$I$3001,$K121,Расчет!$H$2:$H$3001,1))</f>
        <v/>
      </c>
      <c r="I121">
        <f>IF($L121="","",SUMIFS(Расчет!$G$2:$G$3001,Расчет!$I$2:$I$3001,$K121,Расчет!$H$2:$H$3001,2))</f>
        <v/>
      </c>
      <c r="J121">
        <f>IF($L121="","",SUMIFS(Расчет!$G$2:$G$3001,Расчет!$I$2:$I$3001,$K121,Расчет!$H$2:$H$3001,3))</f>
        <v/>
      </c>
      <c r="K121">
        <f>IF($L121="","",INDEX(Расчет!$I$2:$I$3001,$L121))</f>
        <v/>
      </c>
      <c r="L121">
        <f>IFERROR(MATCH(ROW()-1,Расчет!$J$2:$J$3001,0),"")</f>
        <v/>
      </c>
    </row>
    <row r="122">
      <c r="A122">
        <f>IF($L122="","",B122&amp;"."&amp;C122&amp;"-"&amp;D122&amp;"-"&amp;H122&amp;"."&amp;I122&amp;"."&amp;J122)</f>
        <v/>
      </c>
      <c r="B122">
        <f>IF($L122="","",INDEX(Расчет!$A$2:$A$3001,$L122))</f>
        <v/>
      </c>
      <c r="C122">
        <f>IF($L122="","",INDEX(Расчет!$B$2:$B$3001,$L122))</f>
        <v/>
      </c>
      <c r="D122">
        <f>IF($L122="","",IF(ISNUMBER(FIND("(",INDEX(Расчет!$C$2:$C$3001,$L122))),SUBSTITUTE(MID(INDEX(Расчет!$C$2:$C$3001,$L122),FIND("(",INDEX(Расчет!$C$2:$C$3001,$L122))+1,99),")",""),INDEX(Расчет!$C$2:$C$3001,$L122)))</f>
        <v/>
      </c>
      <c r="E122">
        <f>IF($L122="","",INDEX(Расчет!$D$2:$D$3001,$L122))</f>
        <v/>
      </c>
      <c r="F122">
        <f>IF($L122="","",INDEX(Расчет!$E$2:$E$3001,$L122))</f>
        <v/>
      </c>
      <c r="G122">
        <f>IF($L122="","",IFERROR(--LEFT(INDEX(Расчет!$C$2:$C$3001,$L122),FIND("(",INDEX(Расчет!$C$2:$C$3001,$L122))-1),IFERROR(--LEFT(INDEX(Расчет!$C$2:$C$3001,$L122),1),"")))</f>
        <v/>
      </c>
      <c r="H122">
        <f>IF($L122="","",SUMIFS(Расчет!$G$2:$G$3001,Расчет!$I$2:$I$3001,$K122,Расчет!$H$2:$H$3001,1))</f>
        <v/>
      </c>
      <c r="I122">
        <f>IF($L122="","",SUMIFS(Расчет!$G$2:$G$3001,Расчет!$I$2:$I$3001,$K122,Расчет!$H$2:$H$3001,2))</f>
        <v/>
      </c>
      <c r="J122">
        <f>IF($L122="","",SUMIFS(Расчет!$G$2:$G$3001,Расчет!$I$2:$I$3001,$K122,Расчет!$H$2:$H$3001,3))</f>
        <v/>
      </c>
      <c r="K122">
        <f>IF($L122="","",INDEX(Расчет!$I$2:$I$3001,$L122))</f>
        <v/>
      </c>
      <c r="L122">
        <f>IFERROR(MATCH(ROW()-1,Расчет!$J$2:$J$3001,0),"")</f>
        <v/>
      </c>
    </row>
    <row r="123">
      <c r="A123">
        <f>IF($L123="","",B123&amp;"."&amp;C123&amp;"-"&amp;D123&amp;"-"&amp;H123&amp;"."&amp;I123&amp;"."&amp;J123)</f>
        <v/>
      </c>
      <c r="B123">
        <f>IF($L123="","",INDEX(Расчет!$A$2:$A$3001,$L123))</f>
        <v/>
      </c>
      <c r="C123">
        <f>IF($L123="","",INDEX(Расчет!$B$2:$B$3001,$L123))</f>
        <v/>
      </c>
      <c r="D123">
        <f>IF($L123="","",IF(ISNUMBER(FIND("(",INDEX(Расчет!$C$2:$C$3001,$L123))),SUBSTITUTE(MID(INDEX(Расчет!$C$2:$C$3001,$L123),FIND("(",INDEX(Расчет!$C$2:$C$3001,$L123))+1,99),")",""),INDEX(Расчет!$C$2:$C$3001,$L123)))</f>
        <v/>
      </c>
      <c r="E123">
        <f>IF($L123="","",INDEX(Расчет!$D$2:$D$3001,$L123))</f>
        <v/>
      </c>
      <c r="F123">
        <f>IF($L123="","",INDEX(Расчет!$E$2:$E$3001,$L123))</f>
        <v/>
      </c>
      <c r="G123">
        <f>IF($L123="","",IFERROR(--LEFT(INDEX(Расчет!$C$2:$C$3001,$L123),FIND("(",INDEX(Расчет!$C$2:$C$3001,$L123))-1),IFERROR(--LEFT(INDEX(Расчет!$C$2:$C$3001,$L123),1),"")))</f>
        <v/>
      </c>
      <c r="H123">
        <f>IF($L123="","",SUMIFS(Расчет!$G$2:$G$3001,Расчет!$I$2:$I$3001,$K123,Расчет!$H$2:$H$3001,1))</f>
        <v/>
      </c>
      <c r="I123">
        <f>IF($L123="","",SUMIFS(Расчет!$G$2:$G$3001,Расчет!$I$2:$I$3001,$K123,Расчет!$H$2:$H$3001,2))</f>
        <v/>
      </c>
      <c r="J123">
        <f>IF($L123="","",SUMIFS(Расчет!$G$2:$G$3001,Расчет!$I$2:$I$3001,$K123,Расчет!$H$2:$H$3001,3))</f>
        <v/>
      </c>
      <c r="K123">
        <f>IF($L123="","",INDEX(Расчет!$I$2:$I$3001,$L123))</f>
        <v/>
      </c>
      <c r="L123">
        <f>IFERROR(MATCH(ROW()-1,Расчет!$J$2:$J$3001,0),"")</f>
        <v/>
      </c>
    </row>
    <row r="124">
      <c r="A124">
        <f>IF($L124="","",B124&amp;"."&amp;C124&amp;"-"&amp;D124&amp;"-"&amp;H124&amp;"."&amp;I124&amp;"."&amp;J124)</f>
        <v/>
      </c>
      <c r="B124">
        <f>IF($L124="","",INDEX(Расчет!$A$2:$A$3001,$L124))</f>
        <v/>
      </c>
      <c r="C124">
        <f>IF($L124="","",INDEX(Расчет!$B$2:$B$3001,$L124))</f>
        <v/>
      </c>
      <c r="D124">
        <f>IF($L124="","",IF(ISNUMBER(FIND("(",INDEX(Расчет!$C$2:$C$3001,$L124))),SUBSTITUTE(MID(INDEX(Расчет!$C$2:$C$3001,$L124),FIND("(",INDEX(Расчет!$C$2:$C$3001,$L124))+1,99),")",""),INDEX(Расчет!$C$2:$C$3001,$L124)))</f>
        <v/>
      </c>
      <c r="E124">
        <f>IF($L124="","",INDEX(Расчет!$D$2:$D$3001,$L124))</f>
        <v/>
      </c>
      <c r="F124">
        <f>IF($L124="","",INDEX(Расчет!$E$2:$E$3001,$L124))</f>
        <v/>
      </c>
      <c r="G124">
        <f>IF($L124="","",IFERROR(--LEFT(INDEX(Расчет!$C$2:$C$3001,$L124),FIND("(",INDEX(Расчет!$C$2:$C$3001,$L124))-1),IFERROR(--LEFT(INDEX(Расчет!$C$2:$C$3001,$L124),1),"")))</f>
        <v/>
      </c>
      <c r="H124">
        <f>IF($L124="","",SUMIFS(Расчет!$G$2:$G$3001,Расчет!$I$2:$I$3001,$K124,Расчет!$H$2:$H$3001,1))</f>
        <v/>
      </c>
      <c r="I124">
        <f>IF($L124="","",SUMIFS(Расчет!$G$2:$G$3001,Расчет!$I$2:$I$3001,$K124,Расчет!$H$2:$H$3001,2))</f>
        <v/>
      </c>
      <c r="J124">
        <f>IF($L124="","",SUMIFS(Расчет!$G$2:$G$3001,Расчет!$I$2:$I$3001,$K124,Расчет!$H$2:$H$3001,3))</f>
        <v/>
      </c>
      <c r="K124">
        <f>IF($L124="","",INDEX(Расчет!$I$2:$I$3001,$L124))</f>
        <v/>
      </c>
      <c r="L124">
        <f>IFERROR(MATCH(ROW()-1,Расчет!$J$2:$J$3001,0),"")</f>
        <v/>
      </c>
    </row>
    <row r="125">
      <c r="A125">
        <f>IF($L125="","",B125&amp;"."&amp;C125&amp;"-"&amp;D125&amp;"-"&amp;H125&amp;"."&amp;I125&amp;"."&amp;J125)</f>
        <v/>
      </c>
      <c r="B125">
        <f>IF($L125="","",INDEX(Расчет!$A$2:$A$3001,$L125))</f>
        <v/>
      </c>
      <c r="C125">
        <f>IF($L125="","",INDEX(Расчет!$B$2:$B$3001,$L125))</f>
        <v/>
      </c>
      <c r="D125">
        <f>IF($L125="","",IF(ISNUMBER(FIND("(",INDEX(Расчет!$C$2:$C$3001,$L125))),SUBSTITUTE(MID(INDEX(Расчет!$C$2:$C$3001,$L125),FIND("(",INDEX(Расчет!$C$2:$C$3001,$L125))+1,99),")",""),INDEX(Расчет!$C$2:$C$3001,$L125)))</f>
        <v/>
      </c>
      <c r="E125">
        <f>IF($L125="","",INDEX(Расчет!$D$2:$D$3001,$L125))</f>
        <v/>
      </c>
      <c r="F125">
        <f>IF($L125="","",INDEX(Расчет!$E$2:$E$3001,$L125))</f>
        <v/>
      </c>
      <c r="G125">
        <f>IF($L125="","",IFERROR(--LEFT(INDEX(Расчет!$C$2:$C$3001,$L125),FIND("(",INDEX(Расчет!$C$2:$C$3001,$L125))-1),IFERROR(--LEFT(INDEX(Расчет!$C$2:$C$3001,$L125),1),"")))</f>
        <v/>
      </c>
      <c r="H125">
        <f>IF($L125="","",SUMIFS(Расчет!$G$2:$G$3001,Расчет!$I$2:$I$3001,$K125,Расчет!$H$2:$H$3001,1))</f>
        <v/>
      </c>
      <c r="I125">
        <f>IF($L125="","",SUMIFS(Расчет!$G$2:$G$3001,Расчет!$I$2:$I$3001,$K125,Расчет!$H$2:$H$3001,2))</f>
        <v/>
      </c>
      <c r="J125">
        <f>IF($L125="","",SUMIFS(Расчет!$G$2:$G$3001,Расчет!$I$2:$I$3001,$K125,Расчет!$H$2:$H$3001,3))</f>
        <v/>
      </c>
      <c r="K125">
        <f>IF($L125="","",INDEX(Расчет!$I$2:$I$3001,$L125))</f>
        <v/>
      </c>
      <c r="L125">
        <f>IFERROR(MATCH(ROW()-1,Расчет!$J$2:$J$3001,0),"")</f>
        <v/>
      </c>
    </row>
    <row r="126">
      <c r="A126">
        <f>IF($L126="","",B126&amp;"."&amp;C126&amp;"-"&amp;D126&amp;"-"&amp;H126&amp;"."&amp;I126&amp;"."&amp;J126)</f>
        <v/>
      </c>
      <c r="B126">
        <f>IF($L126="","",INDEX(Расчет!$A$2:$A$3001,$L126))</f>
        <v/>
      </c>
      <c r="C126">
        <f>IF($L126="","",INDEX(Расчет!$B$2:$B$3001,$L126))</f>
        <v/>
      </c>
      <c r="D126">
        <f>IF($L126="","",IF(ISNUMBER(FIND("(",INDEX(Расчет!$C$2:$C$3001,$L126))),SUBSTITUTE(MID(INDEX(Расчет!$C$2:$C$3001,$L126),FIND("(",INDEX(Расчет!$C$2:$C$3001,$L126))+1,99),")",""),INDEX(Расчет!$C$2:$C$3001,$L126)))</f>
        <v/>
      </c>
      <c r="E126">
        <f>IF($L126="","",INDEX(Расчет!$D$2:$D$3001,$L126))</f>
        <v/>
      </c>
      <c r="F126">
        <f>IF($L126="","",INDEX(Расчет!$E$2:$E$3001,$L126))</f>
        <v/>
      </c>
      <c r="G126">
        <f>IF($L126="","",IFERROR(--LEFT(INDEX(Расчет!$C$2:$C$3001,$L126),FIND("(",INDEX(Расчет!$C$2:$C$3001,$L126))-1),IFERROR(--LEFT(INDEX(Расчет!$C$2:$C$3001,$L126),1),"")))</f>
        <v/>
      </c>
      <c r="H126">
        <f>IF($L126="","",SUMIFS(Расчет!$G$2:$G$3001,Расчет!$I$2:$I$3001,$K126,Расчет!$H$2:$H$3001,1))</f>
        <v/>
      </c>
      <c r="I126">
        <f>IF($L126="","",SUMIFS(Расчет!$G$2:$G$3001,Расчет!$I$2:$I$3001,$K126,Расчет!$H$2:$H$3001,2))</f>
        <v/>
      </c>
      <c r="J126">
        <f>IF($L126="","",SUMIFS(Расчет!$G$2:$G$3001,Расчет!$I$2:$I$3001,$K126,Расчет!$H$2:$H$3001,3))</f>
        <v/>
      </c>
      <c r="K126">
        <f>IF($L126="","",INDEX(Расчет!$I$2:$I$3001,$L126))</f>
        <v/>
      </c>
      <c r="L126">
        <f>IFERROR(MATCH(ROW()-1,Расчет!$J$2:$J$3001,0),"")</f>
        <v/>
      </c>
    </row>
    <row r="127">
      <c r="A127">
        <f>IF($L127="","",B127&amp;"."&amp;C127&amp;"-"&amp;D127&amp;"-"&amp;H127&amp;"."&amp;I127&amp;"."&amp;J127)</f>
        <v/>
      </c>
      <c r="B127">
        <f>IF($L127="","",INDEX(Расчет!$A$2:$A$3001,$L127))</f>
        <v/>
      </c>
      <c r="C127">
        <f>IF($L127="","",INDEX(Расчет!$B$2:$B$3001,$L127))</f>
        <v/>
      </c>
      <c r="D127">
        <f>IF($L127="","",IF(ISNUMBER(FIND("(",INDEX(Расчет!$C$2:$C$3001,$L127))),SUBSTITUTE(MID(INDEX(Расчет!$C$2:$C$3001,$L127),FIND("(",INDEX(Расчет!$C$2:$C$3001,$L127))+1,99),")",""),INDEX(Расчет!$C$2:$C$3001,$L127)))</f>
        <v/>
      </c>
      <c r="E127">
        <f>IF($L127="","",INDEX(Расчет!$D$2:$D$3001,$L127))</f>
        <v/>
      </c>
      <c r="F127">
        <f>IF($L127="","",INDEX(Расчет!$E$2:$E$3001,$L127))</f>
        <v/>
      </c>
      <c r="G127">
        <f>IF($L127="","",IFERROR(--LEFT(INDEX(Расчет!$C$2:$C$3001,$L127),FIND("(",INDEX(Расчет!$C$2:$C$3001,$L127))-1),IFERROR(--LEFT(INDEX(Расчет!$C$2:$C$3001,$L127),1),"")))</f>
        <v/>
      </c>
      <c r="H127">
        <f>IF($L127="","",SUMIFS(Расчет!$G$2:$G$3001,Расчет!$I$2:$I$3001,$K127,Расчет!$H$2:$H$3001,1))</f>
        <v/>
      </c>
      <c r="I127">
        <f>IF($L127="","",SUMIFS(Расчет!$G$2:$G$3001,Расчет!$I$2:$I$3001,$K127,Расчет!$H$2:$H$3001,2))</f>
        <v/>
      </c>
      <c r="J127">
        <f>IF($L127="","",SUMIFS(Расчет!$G$2:$G$3001,Расчет!$I$2:$I$3001,$K127,Расчет!$H$2:$H$3001,3))</f>
        <v/>
      </c>
      <c r="K127">
        <f>IF($L127="","",INDEX(Расчет!$I$2:$I$3001,$L127))</f>
        <v/>
      </c>
      <c r="L127">
        <f>IFERROR(MATCH(ROW()-1,Расчет!$J$2:$J$3001,0),"")</f>
        <v/>
      </c>
    </row>
    <row r="128">
      <c r="A128">
        <f>IF($L128="","",B128&amp;"."&amp;C128&amp;"-"&amp;D128&amp;"-"&amp;H128&amp;"."&amp;I128&amp;"."&amp;J128)</f>
        <v/>
      </c>
      <c r="B128">
        <f>IF($L128="","",INDEX(Расчет!$A$2:$A$3001,$L128))</f>
        <v/>
      </c>
      <c r="C128">
        <f>IF($L128="","",INDEX(Расчет!$B$2:$B$3001,$L128))</f>
        <v/>
      </c>
      <c r="D128">
        <f>IF($L128="","",IF(ISNUMBER(FIND("(",INDEX(Расчет!$C$2:$C$3001,$L128))),SUBSTITUTE(MID(INDEX(Расчет!$C$2:$C$3001,$L128),FIND("(",INDEX(Расчет!$C$2:$C$3001,$L128))+1,99),")",""),INDEX(Расчет!$C$2:$C$3001,$L128)))</f>
        <v/>
      </c>
      <c r="E128">
        <f>IF($L128="","",INDEX(Расчет!$D$2:$D$3001,$L128))</f>
        <v/>
      </c>
      <c r="F128">
        <f>IF($L128="","",INDEX(Расчет!$E$2:$E$3001,$L128))</f>
        <v/>
      </c>
      <c r="G128">
        <f>IF($L128="","",IFERROR(--LEFT(INDEX(Расчет!$C$2:$C$3001,$L128),FIND("(",INDEX(Расчет!$C$2:$C$3001,$L128))-1),IFERROR(--LEFT(INDEX(Расчет!$C$2:$C$3001,$L128),1),"")))</f>
        <v/>
      </c>
      <c r="H128">
        <f>IF($L128="","",SUMIFS(Расчет!$G$2:$G$3001,Расчет!$I$2:$I$3001,$K128,Расчет!$H$2:$H$3001,1))</f>
        <v/>
      </c>
      <c r="I128">
        <f>IF($L128="","",SUMIFS(Расчет!$G$2:$G$3001,Расчет!$I$2:$I$3001,$K128,Расчет!$H$2:$H$3001,2))</f>
        <v/>
      </c>
      <c r="J128">
        <f>IF($L128="","",SUMIFS(Расчет!$G$2:$G$3001,Расчет!$I$2:$I$3001,$K128,Расчет!$H$2:$H$3001,3))</f>
        <v/>
      </c>
      <c r="K128">
        <f>IF($L128="","",INDEX(Расчет!$I$2:$I$3001,$L128))</f>
        <v/>
      </c>
      <c r="L128">
        <f>IFERROR(MATCH(ROW()-1,Расчет!$J$2:$J$3001,0),"")</f>
        <v/>
      </c>
    </row>
    <row r="129">
      <c r="A129">
        <f>IF($L129="","",B129&amp;"."&amp;C129&amp;"-"&amp;D129&amp;"-"&amp;H129&amp;"."&amp;I129&amp;"."&amp;J129)</f>
        <v/>
      </c>
      <c r="B129">
        <f>IF($L129="","",INDEX(Расчет!$A$2:$A$3001,$L129))</f>
        <v/>
      </c>
      <c r="C129">
        <f>IF($L129="","",INDEX(Расчет!$B$2:$B$3001,$L129))</f>
        <v/>
      </c>
      <c r="D129">
        <f>IF($L129="","",IF(ISNUMBER(FIND("(",INDEX(Расчет!$C$2:$C$3001,$L129))),SUBSTITUTE(MID(INDEX(Расчет!$C$2:$C$3001,$L129),FIND("(",INDEX(Расчет!$C$2:$C$3001,$L129))+1,99),")",""),INDEX(Расчет!$C$2:$C$3001,$L129)))</f>
        <v/>
      </c>
      <c r="E129">
        <f>IF($L129="","",INDEX(Расчет!$D$2:$D$3001,$L129))</f>
        <v/>
      </c>
      <c r="F129">
        <f>IF($L129="","",INDEX(Расчет!$E$2:$E$3001,$L129))</f>
        <v/>
      </c>
      <c r="G129">
        <f>IF($L129="","",IFERROR(--LEFT(INDEX(Расчет!$C$2:$C$3001,$L129),FIND("(",INDEX(Расчет!$C$2:$C$3001,$L129))-1),IFERROR(--LEFT(INDEX(Расчет!$C$2:$C$3001,$L129),1),"")))</f>
        <v/>
      </c>
      <c r="H129">
        <f>IF($L129="","",SUMIFS(Расчет!$G$2:$G$3001,Расчет!$I$2:$I$3001,$K129,Расчет!$H$2:$H$3001,1))</f>
        <v/>
      </c>
      <c r="I129">
        <f>IF($L129="","",SUMIFS(Расчет!$G$2:$G$3001,Расчет!$I$2:$I$3001,$K129,Расчет!$H$2:$H$3001,2))</f>
        <v/>
      </c>
      <c r="J129">
        <f>IF($L129="","",SUMIFS(Расчет!$G$2:$G$3001,Расчет!$I$2:$I$3001,$K129,Расчет!$H$2:$H$3001,3))</f>
        <v/>
      </c>
      <c r="K129">
        <f>IF($L129="","",INDEX(Расчет!$I$2:$I$3001,$L129))</f>
        <v/>
      </c>
      <c r="L129">
        <f>IFERROR(MATCH(ROW()-1,Расчет!$J$2:$J$3001,0),"")</f>
        <v/>
      </c>
    </row>
    <row r="130">
      <c r="A130">
        <f>IF($L130="","",B130&amp;"."&amp;C130&amp;"-"&amp;D130&amp;"-"&amp;H130&amp;"."&amp;I130&amp;"."&amp;J130)</f>
        <v/>
      </c>
      <c r="B130">
        <f>IF($L130="","",INDEX(Расчет!$A$2:$A$3001,$L130))</f>
        <v/>
      </c>
      <c r="C130">
        <f>IF($L130="","",INDEX(Расчет!$B$2:$B$3001,$L130))</f>
        <v/>
      </c>
      <c r="D130">
        <f>IF($L130="","",IF(ISNUMBER(FIND("(",INDEX(Расчет!$C$2:$C$3001,$L130))),SUBSTITUTE(MID(INDEX(Расчет!$C$2:$C$3001,$L130),FIND("(",INDEX(Расчет!$C$2:$C$3001,$L130))+1,99),")",""),INDEX(Расчет!$C$2:$C$3001,$L130)))</f>
        <v/>
      </c>
      <c r="E130">
        <f>IF($L130="","",INDEX(Расчет!$D$2:$D$3001,$L130))</f>
        <v/>
      </c>
      <c r="F130">
        <f>IF($L130="","",INDEX(Расчет!$E$2:$E$3001,$L130))</f>
        <v/>
      </c>
      <c r="G130">
        <f>IF($L130="","",IFERROR(--LEFT(INDEX(Расчет!$C$2:$C$3001,$L130),FIND("(",INDEX(Расчет!$C$2:$C$3001,$L130))-1),IFERROR(--LEFT(INDEX(Расчет!$C$2:$C$3001,$L130),1),"")))</f>
        <v/>
      </c>
      <c r="H130">
        <f>IF($L130="","",SUMIFS(Расчет!$G$2:$G$3001,Расчет!$I$2:$I$3001,$K130,Расчет!$H$2:$H$3001,1))</f>
        <v/>
      </c>
      <c r="I130">
        <f>IF($L130="","",SUMIFS(Расчет!$G$2:$G$3001,Расчет!$I$2:$I$3001,$K130,Расчет!$H$2:$H$3001,2))</f>
        <v/>
      </c>
      <c r="J130">
        <f>IF($L130="","",SUMIFS(Расчет!$G$2:$G$3001,Расчет!$I$2:$I$3001,$K130,Расчет!$H$2:$H$3001,3))</f>
        <v/>
      </c>
      <c r="K130">
        <f>IF($L130="","",INDEX(Расчет!$I$2:$I$3001,$L130))</f>
        <v/>
      </c>
      <c r="L130">
        <f>IFERROR(MATCH(ROW()-1,Расчет!$J$2:$J$3001,0),"")</f>
        <v/>
      </c>
    </row>
    <row r="131">
      <c r="A131">
        <f>IF($L131="","",B131&amp;"."&amp;C131&amp;"-"&amp;D131&amp;"-"&amp;H131&amp;"."&amp;I131&amp;"."&amp;J131)</f>
        <v/>
      </c>
      <c r="B131">
        <f>IF($L131="","",INDEX(Расчет!$A$2:$A$3001,$L131))</f>
        <v/>
      </c>
      <c r="C131">
        <f>IF($L131="","",INDEX(Расчет!$B$2:$B$3001,$L131))</f>
        <v/>
      </c>
      <c r="D131">
        <f>IF($L131="","",IF(ISNUMBER(FIND("(",INDEX(Расчет!$C$2:$C$3001,$L131))),SUBSTITUTE(MID(INDEX(Расчет!$C$2:$C$3001,$L131),FIND("(",INDEX(Расчет!$C$2:$C$3001,$L131))+1,99),")",""),INDEX(Расчет!$C$2:$C$3001,$L131)))</f>
        <v/>
      </c>
      <c r="E131">
        <f>IF($L131="","",INDEX(Расчет!$D$2:$D$3001,$L131))</f>
        <v/>
      </c>
      <c r="F131">
        <f>IF($L131="","",INDEX(Расчет!$E$2:$E$3001,$L131))</f>
        <v/>
      </c>
      <c r="G131">
        <f>IF($L131="","",IFERROR(--LEFT(INDEX(Расчет!$C$2:$C$3001,$L131),FIND("(",INDEX(Расчет!$C$2:$C$3001,$L131))-1),IFERROR(--LEFT(INDEX(Расчет!$C$2:$C$3001,$L131),1),"")))</f>
        <v/>
      </c>
      <c r="H131">
        <f>IF($L131="","",SUMIFS(Расчет!$G$2:$G$3001,Расчет!$I$2:$I$3001,$K131,Расчет!$H$2:$H$3001,1))</f>
        <v/>
      </c>
      <c r="I131">
        <f>IF($L131="","",SUMIFS(Расчет!$G$2:$G$3001,Расчет!$I$2:$I$3001,$K131,Расчет!$H$2:$H$3001,2))</f>
        <v/>
      </c>
      <c r="J131">
        <f>IF($L131="","",SUMIFS(Расчет!$G$2:$G$3001,Расчет!$I$2:$I$3001,$K131,Расчет!$H$2:$H$3001,3))</f>
        <v/>
      </c>
      <c r="K131">
        <f>IF($L131="","",INDEX(Расчет!$I$2:$I$3001,$L131))</f>
        <v/>
      </c>
      <c r="L131">
        <f>IFERROR(MATCH(ROW()-1,Расчет!$J$2:$J$3001,0),"")</f>
        <v/>
      </c>
    </row>
    <row r="132">
      <c r="A132">
        <f>IF($L132="","",B132&amp;"."&amp;C132&amp;"-"&amp;D132&amp;"-"&amp;H132&amp;"."&amp;I132&amp;"."&amp;J132)</f>
        <v/>
      </c>
      <c r="B132">
        <f>IF($L132="","",INDEX(Расчет!$A$2:$A$3001,$L132))</f>
        <v/>
      </c>
      <c r="C132">
        <f>IF($L132="","",INDEX(Расчет!$B$2:$B$3001,$L132))</f>
        <v/>
      </c>
      <c r="D132">
        <f>IF($L132="","",IF(ISNUMBER(FIND("(",INDEX(Расчет!$C$2:$C$3001,$L132))),SUBSTITUTE(MID(INDEX(Расчет!$C$2:$C$3001,$L132),FIND("(",INDEX(Расчет!$C$2:$C$3001,$L132))+1,99),")",""),INDEX(Расчет!$C$2:$C$3001,$L132)))</f>
        <v/>
      </c>
      <c r="E132">
        <f>IF($L132="","",INDEX(Расчет!$D$2:$D$3001,$L132))</f>
        <v/>
      </c>
      <c r="F132">
        <f>IF($L132="","",INDEX(Расчет!$E$2:$E$3001,$L132))</f>
        <v/>
      </c>
      <c r="G132">
        <f>IF($L132="","",IFERROR(--LEFT(INDEX(Расчет!$C$2:$C$3001,$L132),FIND("(",INDEX(Расчет!$C$2:$C$3001,$L132))-1),IFERROR(--LEFT(INDEX(Расчет!$C$2:$C$3001,$L132),1),"")))</f>
        <v/>
      </c>
      <c r="H132">
        <f>IF($L132="","",SUMIFS(Расчет!$G$2:$G$3001,Расчет!$I$2:$I$3001,$K132,Расчет!$H$2:$H$3001,1))</f>
        <v/>
      </c>
      <c r="I132">
        <f>IF($L132="","",SUMIFS(Расчет!$G$2:$G$3001,Расчет!$I$2:$I$3001,$K132,Расчет!$H$2:$H$3001,2))</f>
        <v/>
      </c>
      <c r="J132">
        <f>IF($L132="","",SUMIFS(Расчет!$G$2:$G$3001,Расчет!$I$2:$I$3001,$K132,Расчет!$H$2:$H$3001,3))</f>
        <v/>
      </c>
      <c r="K132">
        <f>IF($L132="","",INDEX(Расчет!$I$2:$I$3001,$L132))</f>
        <v/>
      </c>
      <c r="L132">
        <f>IFERROR(MATCH(ROW()-1,Расчет!$J$2:$J$3001,0),"")</f>
        <v/>
      </c>
    </row>
    <row r="133">
      <c r="A133">
        <f>IF($L133="","",B133&amp;"."&amp;C133&amp;"-"&amp;D133&amp;"-"&amp;H133&amp;"."&amp;I133&amp;"."&amp;J133)</f>
        <v/>
      </c>
      <c r="B133">
        <f>IF($L133="","",INDEX(Расчет!$A$2:$A$3001,$L133))</f>
        <v/>
      </c>
      <c r="C133">
        <f>IF($L133="","",INDEX(Расчет!$B$2:$B$3001,$L133))</f>
        <v/>
      </c>
      <c r="D133">
        <f>IF($L133="","",IF(ISNUMBER(FIND("(",INDEX(Расчет!$C$2:$C$3001,$L133))),SUBSTITUTE(MID(INDEX(Расчет!$C$2:$C$3001,$L133),FIND("(",INDEX(Расчет!$C$2:$C$3001,$L133))+1,99),")",""),INDEX(Расчет!$C$2:$C$3001,$L133)))</f>
        <v/>
      </c>
      <c r="E133">
        <f>IF($L133="","",INDEX(Расчет!$D$2:$D$3001,$L133))</f>
        <v/>
      </c>
      <c r="F133">
        <f>IF($L133="","",INDEX(Расчет!$E$2:$E$3001,$L133))</f>
        <v/>
      </c>
      <c r="G133">
        <f>IF($L133="","",IFERROR(--LEFT(INDEX(Расчет!$C$2:$C$3001,$L133),FIND("(",INDEX(Расчет!$C$2:$C$3001,$L133))-1),IFERROR(--LEFT(INDEX(Расчет!$C$2:$C$3001,$L133),1),"")))</f>
        <v/>
      </c>
      <c r="H133">
        <f>IF($L133="","",SUMIFS(Расчет!$G$2:$G$3001,Расчет!$I$2:$I$3001,$K133,Расчет!$H$2:$H$3001,1))</f>
        <v/>
      </c>
      <c r="I133">
        <f>IF($L133="","",SUMIFS(Расчет!$G$2:$G$3001,Расчет!$I$2:$I$3001,$K133,Расчет!$H$2:$H$3001,2))</f>
        <v/>
      </c>
      <c r="J133">
        <f>IF($L133="","",SUMIFS(Расчет!$G$2:$G$3001,Расчет!$I$2:$I$3001,$K133,Расчет!$H$2:$H$3001,3))</f>
        <v/>
      </c>
      <c r="K133">
        <f>IF($L133="","",INDEX(Расчет!$I$2:$I$3001,$L133))</f>
        <v/>
      </c>
      <c r="L133">
        <f>IFERROR(MATCH(ROW()-1,Расчет!$J$2:$J$3001,0),"")</f>
        <v/>
      </c>
    </row>
    <row r="134">
      <c r="A134">
        <f>IF($L134="","",B134&amp;"."&amp;C134&amp;"-"&amp;D134&amp;"-"&amp;H134&amp;"."&amp;I134&amp;"."&amp;J134)</f>
        <v/>
      </c>
      <c r="B134">
        <f>IF($L134="","",INDEX(Расчет!$A$2:$A$3001,$L134))</f>
        <v/>
      </c>
      <c r="C134">
        <f>IF($L134="","",INDEX(Расчет!$B$2:$B$3001,$L134))</f>
        <v/>
      </c>
      <c r="D134">
        <f>IF($L134="","",IF(ISNUMBER(FIND("(",INDEX(Расчет!$C$2:$C$3001,$L134))),SUBSTITUTE(MID(INDEX(Расчет!$C$2:$C$3001,$L134),FIND("(",INDEX(Расчет!$C$2:$C$3001,$L134))+1,99),")",""),INDEX(Расчет!$C$2:$C$3001,$L134)))</f>
        <v/>
      </c>
      <c r="E134">
        <f>IF($L134="","",INDEX(Расчет!$D$2:$D$3001,$L134))</f>
        <v/>
      </c>
      <c r="F134">
        <f>IF($L134="","",INDEX(Расчет!$E$2:$E$3001,$L134))</f>
        <v/>
      </c>
      <c r="G134">
        <f>IF($L134="","",IFERROR(--LEFT(INDEX(Расчет!$C$2:$C$3001,$L134),FIND("(",INDEX(Расчет!$C$2:$C$3001,$L134))-1),IFERROR(--LEFT(INDEX(Расчет!$C$2:$C$3001,$L134),1),"")))</f>
        <v/>
      </c>
      <c r="H134">
        <f>IF($L134="","",SUMIFS(Расчет!$G$2:$G$3001,Расчет!$I$2:$I$3001,$K134,Расчет!$H$2:$H$3001,1))</f>
        <v/>
      </c>
      <c r="I134">
        <f>IF($L134="","",SUMIFS(Расчет!$G$2:$G$3001,Расчет!$I$2:$I$3001,$K134,Расчет!$H$2:$H$3001,2))</f>
        <v/>
      </c>
      <c r="J134">
        <f>IF($L134="","",SUMIFS(Расчет!$G$2:$G$3001,Расчет!$I$2:$I$3001,$K134,Расчет!$H$2:$H$3001,3))</f>
        <v/>
      </c>
      <c r="K134">
        <f>IF($L134="","",INDEX(Расчет!$I$2:$I$3001,$L134))</f>
        <v/>
      </c>
      <c r="L134">
        <f>IFERROR(MATCH(ROW()-1,Расчет!$J$2:$J$3001,0),"")</f>
        <v/>
      </c>
    </row>
    <row r="135">
      <c r="A135">
        <f>IF($L135="","",B135&amp;"."&amp;C135&amp;"-"&amp;D135&amp;"-"&amp;H135&amp;"."&amp;I135&amp;"."&amp;J135)</f>
        <v/>
      </c>
      <c r="B135">
        <f>IF($L135="","",INDEX(Расчет!$A$2:$A$3001,$L135))</f>
        <v/>
      </c>
      <c r="C135">
        <f>IF($L135="","",INDEX(Расчет!$B$2:$B$3001,$L135))</f>
        <v/>
      </c>
      <c r="D135">
        <f>IF($L135="","",IF(ISNUMBER(FIND("(",INDEX(Расчет!$C$2:$C$3001,$L135))),SUBSTITUTE(MID(INDEX(Расчет!$C$2:$C$3001,$L135),FIND("(",INDEX(Расчет!$C$2:$C$3001,$L135))+1,99),")",""),INDEX(Расчет!$C$2:$C$3001,$L135)))</f>
        <v/>
      </c>
      <c r="E135">
        <f>IF($L135="","",INDEX(Расчет!$D$2:$D$3001,$L135))</f>
        <v/>
      </c>
      <c r="F135">
        <f>IF($L135="","",INDEX(Расчет!$E$2:$E$3001,$L135))</f>
        <v/>
      </c>
      <c r="G135">
        <f>IF($L135="","",IFERROR(--LEFT(INDEX(Расчет!$C$2:$C$3001,$L135),FIND("(",INDEX(Расчет!$C$2:$C$3001,$L135))-1),IFERROR(--LEFT(INDEX(Расчет!$C$2:$C$3001,$L135),1),"")))</f>
        <v/>
      </c>
      <c r="H135">
        <f>IF($L135="","",SUMIFS(Расчет!$G$2:$G$3001,Расчет!$I$2:$I$3001,$K135,Расчет!$H$2:$H$3001,1))</f>
        <v/>
      </c>
      <c r="I135">
        <f>IF($L135="","",SUMIFS(Расчет!$G$2:$G$3001,Расчет!$I$2:$I$3001,$K135,Расчет!$H$2:$H$3001,2))</f>
        <v/>
      </c>
      <c r="J135">
        <f>IF($L135="","",SUMIFS(Расчет!$G$2:$G$3001,Расчет!$I$2:$I$3001,$K135,Расчет!$H$2:$H$3001,3))</f>
        <v/>
      </c>
      <c r="K135">
        <f>IF($L135="","",INDEX(Расчет!$I$2:$I$3001,$L135))</f>
        <v/>
      </c>
      <c r="L135">
        <f>IFERROR(MATCH(ROW()-1,Расчет!$J$2:$J$3001,0),"")</f>
        <v/>
      </c>
    </row>
    <row r="136">
      <c r="A136">
        <f>IF($L136="","",B136&amp;"."&amp;C136&amp;"-"&amp;D136&amp;"-"&amp;H136&amp;"."&amp;I136&amp;"."&amp;J136)</f>
        <v/>
      </c>
      <c r="B136">
        <f>IF($L136="","",INDEX(Расчет!$A$2:$A$3001,$L136))</f>
        <v/>
      </c>
      <c r="C136">
        <f>IF($L136="","",INDEX(Расчет!$B$2:$B$3001,$L136))</f>
        <v/>
      </c>
      <c r="D136">
        <f>IF($L136="","",IF(ISNUMBER(FIND("(",INDEX(Расчет!$C$2:$C$3001,$L136))),SUBSTITUTE(MID(INDEX(Расчет!$C$2:$C$3001,$L136),FIND("(",INDEX(Расчет!$C$2:$C$3001,$L136))+1,99),")",""),INDEX(Расчет!$C$2:$C$3001,$L136)))</f>
        <v/>
      </c>
      <c r="E136">
        <f>IF($L136="","",INDEX(Расчет!$D$2:$D$3001,$L136))</f>
        <v/>
      </c>
      <c r="F136">
        <f>IF($L136="","",INDEX(Расчет!$E$2:$E$3001,$L136))</f>
        <v/>
      </c>
      <c r="G136">
        <f>IF($L136="","",IFERROR(--LEFT(INDEX(Расчет!$C$2:$C$3001,$L136),FIND("(",INDEX(Расчет!$C$2:$C$3001,$L136))-1),IFERROR(--LEFT(INDEX(Расчет!$C$2:$C$3001,$L136),1),"")))</f>
        <v/>
      </c>
      <c r="H136">
        <f>IF($L136="","",SUMIFS(Расчет!$G$2:$G$3001,Расчет!$I$2:$I$3001,$K136,Расчет!$H$2:$H$3001,1))</f>
        <v/>
      </c>
      <c r="I136">
        <f>IF($L136="","",SUMIFS(Расчет!$G$2:$G$3001,Расчет!$I$2:$I$3001,$K136,Расчет!$H$2:$H$3001,2))</f>
        <v/>
      </c>
      <c r="J136">
        <f>IF($L136="","",SUMIFS(Расчет!$G$2:$G$3001,Расчет!$I$2:$I$3001,$K136,Расчет!$H$2:$H$3001,3))</f>
        <v/>
      </c>
      <c r="K136">
        <f>IF($L136="","",INDEX(Расчет!$I$2:$I$3001,$L136))</f>
        <v/>
      </c>
      <c r="L136">
        <f>IFERROR(MATCH(ROW()-1,Расчет!$J$2:$J$3001,0),"")</f>
        <v/>
      </c>
    </row>
    <row r="137">
      <c r="A137">
        <f>IF($L137="","",B137&amp;"."&amp;C137&amp;"-"&amp;D137&amp;"-"&amp;H137&amp;"."&amp;I137&amp;"."&amp;J137)</f>
        <v/>
      </c>
      <c r="B137">
        <f>IF($L137="","",INDEX(Расчет!$A$2:$A$3001,$L137))</f>
        <v/>
      </c>
      <c r="C137">
        <f>IF($L137="","",INDEX(Расчет!$B$2:$B$3001,$L137))</f>
        <v/>
      </c>
      <c r="D137">
        <f>IF($L137="","",IF(ISNUMBER(FIND("(",INDEX(Расчет!$C$2:$C$3001,$L137))),SUBSTITUTE(MID(INDEX(Расчет!$C$2:$C$3001,$L137),FIND("(",INDEX(Расчет!$C$2:$C$3001,$L137))+1,99),")",""),INDEX(Расчет!$C$2:$C$3001,$L137)))</f>
        <v/>
      </c>
      <c r="E137">
        <f>IF($L137="","",INDEX(Расчет!$D$2:$D$3001,$L137))</f>
        <v/>
      </c>
      <c r="F137">
        <f>IF($L137="","",INDEX(Расчет!$E$2:$E$3001,$L137))</f>
        <v/>
      </c>
      <c r="G137">
        <f>IF($L137="","",IFERROR(--LEFT(INDEX(Расчет!$C$2:$C$3001,$L137),FIND("(",INDEX(Расчет!$C$2:$C$3001,$L137))-1),IFERROR(--LEFT(INDEX(Расчет!$C$2:$C$3001,$L137),1),"")))</f>
        <v/>
      </c>
      <c r="H137">
        <f>IF($L137="","",SUMIFS(Расчет!$G$2:$G$3001,Расчет!$I$2:$I$3001,$K137,Расчет!$H$2:$H$3001,1))</f>
        <v/>
      </c>
      <c r="I137">
        <f>IF($L137="","",SUMIFS(Расчет!$G$2:$G$3001,Расчет!$I$2:$I$3001,$K137,Расчет!$H$2:$H$3001,2))</f>
        <v/>
      </c>
      <c r="J137">
        <f>IF($L137="","",SUMIFS(Расчет!$G$2:$G$3001,Расчет!$I$2:$I$3001,$K137,Расчет!$H$2:$H$3001,3))</f>
        <v/>
      </c>
      <c r="K137">
        <f>IF($L137="","",INDEX(Расчет!$I$2:$I$3001,$L137))</f>
        <v/>
      </c>
      <c r="L137">
        <f>IFERROR(MATCH(ROW()-1,Расчет!$J$2:$J$3001,0),"")</f>
        <v/>
      </c>
    </row>
    <row r="138">
      <c r="A138">
        <f>IF($L138="","",B138&amp;"."&amp;C138&amp;"-"&amp;D138&amp;"-"&amp;H138&amp;"."&amp;I138&amp;"."&amp;J138)</f>
        <v/>
      </c>
      <c r="B138">
        <f>IF($L138="","",INDEX(Расчет!$A$2:$A$3001,$L138))</f>
        <v/>
      </c>
      <c r="C138">
        <f>IF($L138="","",INDEX(Расчет!$B$2:$B$3001,$L138))</f>
        <v/>
      </c>
      <c r="D138">
        <f>IF($L138="","",IF(ISNUMBER(FIND("(",INDEX(Расчет!$C$2:$C$3001,$L138))),SUBSTITUTE(MID(INDEX(Расчет!$C$2:$C$3001,$L138),FIND("(",INDEX(Расчет!$C$2:$C$3001,$L138))+1,99),")",""),INDEX(Расчет!$C$2:$C$3001,$L138)))</f>
        <v/>
      </c>
      <c r="E138">
        <f>IF($L138="","",INDEX(Расчет!$D$2:$D$3001,$L138))</f>
        <v/>
      </c>
      <c r="F138">
        <f>IF($L138="","",INDEX(Расчет!$E$2:$E$3001,$L138))</f>
        <v/>
      </c>
      <c r="G138">
        <f>IF($L138="","",IFERROR(--LEFT(INDEX(Расчет!$C$2:$C$3001,$L138),FIND("(",INDEX(Расчет!$C$2:$C$3001,$L138))-1),IFERROR(--LEFT(INDEX(Расчет!$C$2:$C$3001,$L138),1),"")))</f>
        <v/>
      </c>
      <c r="H138">
        <f>IF($L138="","",SUMIFS(Расчет!$G$2:$G$3001,Расчет!$I$2:$I$3001,$K138,Расчет!$H$2:$H$3001,1))</f>
        <v/>
      </c>
      <c r="I138">
        <f>IF($L138="","",SUMIFS(Расчет!$G$2:$G$3001,Расчет!$I$2:$I$3001,$K138,Расчет!$H$2:$H$3001,2))</f>
        <v/>
      </c>
      <c r="J138">
        <f>IF($L138="","",SUMIFS(Расчет!$G$2:$G$3001,Расчет!$I$2:$I$3001,$K138,Расчет!$H$2:$H$3001,3))</f>
        <v/>
      </c>
      <c r="K138">
        <f>IF($L138="","",INDEX(Расчет!$I$2:$I$3001,$L138))</f>
        <v/>
      </c>
      <c r="L138">
        <f>IFERROR(MATCH(ROW()-1,Расчет!$J$2:$J$3001,0),"")</f>
        <v/>
      </c>
    </row>
    <row r="139">
      <c r="A139">
        <f>IF($L139="","",B139&amp;"."&amp;C139&amp;"-"&amp;D139&amp;"-"&amp;H139&amp;"."&amp;I139&amp;"."&amp;J139)</f>
        <v/>
      </c>
      <c r="B139">
        <f>IF($L139="","",INDEX(Расчет!$A$2:$A$3001,$L139))</f>
        <v/>
      </c>
      <c r="C139">
        <f>IF($L139="","",INDEX(Расчет!$B$2:$B$3001,$L139))</f>
        <v/>
      </c>
      <c r="D139">
        <f>IF($L139="","",IF(ISNUMBER(FIND("(",INDEX(Расчет!$C$2:$C$3001,$L139))),SUBSTITUTE(MID(INDEX(Расчет!$C$2:$C$3001,$L139),FIND("(",INDEX(Расчет!$C$2:$C$3001,$L139))+1,99),")",""),INDEX(Расчет!$C$2:$C$3001,$L139)))</f>
        <v/>
      </c>
      <c r="E139">
        <f>IF($L139="","",INDEX(Расчет!$D$2:$D$3001,$L139))</f>
        <v/>
      </c>
      <c r="F139">
        <f>IF($L139="","",INDEX(Расчет!$E$2:$E$3001,$L139))</f>
        <v/>
      </c>
      <c r="G139">
        <f>IF($L139="","",IFERROR(--LEFT(INDEX(Расчет!$C$2:$C$3001,$L139),FIND("(",INDEX(Расчет!$C$2:$C$3001,$L139))-1),IFERROR(--LEFT(INDEX(Расчет!$C$2:$C$3001,$L139),1),"")))</f>
        <v/>
      </c>
      <c r="H139">
        <f>IF($L139="","",SUMIFS(Расчет!$G$2:$G$3001,Расчет!$I$2:$I$3001,$K139,Расчет!$H$2:$H$3001,1))</f>
        <v/>
      </c>
      <c r="I139">
        <f>IF($L139="","",SUMIFS(Расчет!$G$2:$G$3001,Расчет!$I$2:$I$3001,$K139,Расчет!$H$2:$H$3001,2))</f>
        <v/>
      </c>
      <c r="J139">
        <f>IF($L139="","",SUMIFS(Расчет!$G$2:$G$3001,Расчет!$I$2:$I$3001,$K139,Расчет!$H$2:$H$3001,3))</f>
        <v/>
      </c>
      <c r="K139">
        <f>IF($L139="","",INDEX(Расчет!$I$2:$I$3001,$L139))</f>
        <v/>
      </c>
      <c r="L139">
        <f>IFERROR(MATCH(ROW()-1,Расчет!$J$2:$J$3001,0),"")</f>
        <v/>
      </c>
    </row>
    <row r="140">
      <c r="A140">
        <f>IF($L140="","",B140&amp;"."&amp;C140&amp;"-"&amp;D140&amp;"-"&amp;H140&amp;"."&amp;I140&amp;"."&amp;J140)</f>
        <v/>
      </c>
      <c r="B140">
        <f>IF($L140="","",INDEX(Расчет!$A$2:$A$3001,$L140))</f>
        <v/>
      </c>
      <c r="C140">
        <f>IF($L140="","",INDEX(Расчет!$B$2:$B$3001,$L140))</f>
        <v/>
      </c>
      <c r="D140">
        <f>IF($L140="","",IF(ISNUMBER(FIND("(",INDEX(Расчет!$C$2:$C$3001,$L140))),SUBSTITUTE(MID(INDEX(Расчет!$C$2:$C$3001,$L140),FIND("(",INDEX(Расчет!$C$2:$C$3001,$L140))+1,99),")",""),INDEX(Расчет!$C$2:$C$3001,$L140)))</f>
        <v/>
      </c>
      <c r="E140">
        <f>IF($L140="","",INDEX(Расчет!$D$2:$D$3001,$L140))</f>
        <v/>
      </c>
      <c r="F140">
        <f>IF($L140="","",INDEX(Расчет!$E$2:$E$3001,$L140))</f>
        <v/>
      </c>
      <c r="G140">
        <f>IF($L140="","",IFERROR(--LEFT(INDEX(Расчет!$C$2:$C$3001,$L140),FIND("(",INDEX(Расчет!$C$2:$C$3001,$L140))-1),IFERROR(--LEFT(INDEX(Расчет!$C$2:$C$3001,$L140),1),"")))</f>
        <v/>
      </c>
      <c r="H140">
        <f>IF($L140="","",SUMIFS(Расчет!$G$2:$G$3001,Расчет!$I$2:$I$3001,$K140,Расчет!$H$2:$H$3001,1))</f>
        <v/>
      </c>
      <c r="I140">
        <f>IF($L140="","",SUMIFS(Расчет!$G$2:$G$3001,Расчет!$I$2:$I$3001,$K140,Расчет!$H$2:$H$3001,2))</f>
        <v/>
      </c>
      <c r="J140">
        <f>IF($L140="","",SUMIFS(Расчет!$G$2:$G$3001,Расчет!$I$2:$I$3001,$K140,Расчет!$H$2:$H$3001,3))</f>
        <v/>
      </c>
      <c r="K140">
        <f>IF($L140="","",INDEX(Расчет!$I$2:$I$3001,$L140))</f>
        <v/>
      </c>
      <c r="L140">
        <f>IFERROR(MATCH(ROW()-1,Расчет!$J$2:$J$3001,0),"")</f>
        <v/>
      </c>
    </row>
    <row r="141">
      <c r="A141">
        <f>IF($L141="","",B141&amp;"."&amp;C141&amp;"-"&amp;D141&amp;"-"&amp;H141&amp;"."&amp;I141&amp;"."&amp;J141)</f>
        <v/>
      </c>
      <c r="B141">
        <f>IF($L141="","",INDEX(Расчет!$A$2:$A$3001,$L141))</f>
        <v/>
      </c>
      <c r="C141">
        <f>IF($L141="","",INDEX(Расчет!$B$2:$B$3001,$L141))</f>
        <v/>
      </c>
      <c r="D141">
        <f>IF($L141="","",IF(ISNUMBER(FIND("(",INDEX(Расчет!$C$2:$C$3001,$L141))),SUBSTITUTE(MID(INDEX(Расчет!$C$2:$C$3001,$L141),FIND("(",INDEX(Расчет!$C$2:$C$3001,$L141))+1,99),")",""),INDEX(Расчет!$C$2:$C$3001,$L141)))</f>
        <v/>
      </c>
      <c r="E141">
        <f>IF($L141="","",INDEX(Расчет!$D$2:$D$3001,$L141))</f>
        <v/>
      </c>
      <c r="F141">
        <f>IF($L141="","",INDEX(Расчет!$E$2:$E$3001,$L141))</f>
        <v/>
      </c>
      <c r="G141">
        <f>IF($L141="","",IFERROR(--LEFT(INDEX(Расчет!$C$2:$C$3001,$L141),FIND("(",INDEX(Расчет!$C$2:$C$3001,$L141))-1),IFERROR(--LEFT(INDEX(Расчет!$C$2:$C$3001,$L141),1),"")))</f>
        <v/>
      </c>
      <c r="H141">
        <f>IF($L141="","",SUMIFS(Расчет!$G$2:$G$3001,Расчет!$I$2:$I$3001,$K141,Расчет!$H$2:$H$3001,1))</f>
        <v/>
      </c>
      <c r="I141">
        <f>IF($L141="","",SUMIFS(Расчет!$G$2:$G$3001,Расчет!$I$2:$I$3001,$K141,Расчет!$H$2:$H$3001,2))</f>
        <v/>
      </c>
      <c r="J141">
        <f>IF($L141="","",SUMIFS(Расчет!$G$2:$G$3001,Расчет!$I$2:$I$3001,$K141,Расчет!$H$2:$H$3001,3))</f>
        <v/>
      </c>
      <c r="K141">
        <f>IF($L141="","",INDEX(Расчет!$I$2:$I$3001,$L141))</f>
        <v/>
      </c>
      <c r="L141">
        <f>IFERROR(MATCH(ROW()-1,Расчет!$J$2:$J$3001,0),"")</f>
        <v/>
      </c>
    </row>
    <row r="142">
      <c r="A142">
        <f>IF($L142="","",B142&amp;"."&amp;C142&amp;"-"&amp;D142&amp;"-"&amp;H142&amp;"."&amp;I142&amp;"."&amp;J142)</f>
        <v/>
      </c>
      <c r="B142">
        <f>IF($L142="","",INDEX(Расчет!$A$2:$A$3001,$L142))</f>
        <v/>
      </c>
      <c r="C142">
        <f>IF($L142="","",INDEX(Расчет!$B$2:$B$3001,$L142))</f>
        <v/>
      </c>
      <c r="D142">
        <f>IF($L142="","",IF(ISNUMBER(FIND("(",INDEX(Расчет!$C$2:$C$3001,$L142))),SUBSTITUTE(MID(INDEX(Расчет!$C$2:$C$3001,$L142),FIND("(",INDEX(Расчет!$C$2:$C$3001,$L142))+1,99),")",""),INDEX(Расчет!$C$2:$C$3001,$L142)))</f>
        <v/>
      </c>
      <c r="E142">
        <f>IF($L142="","",INDEX(Расчет!$D$2:$D$3001,$L142))</f>
        <v/>
      </c>
      <c r="F142">
        <f>IF($L142="","",INDEX(Расчет!$E$2:$E$3001,$L142))</f>
        <v/>
      </c>
      <c r="G142">
        <f>IF($L142="","",IFERROR(--LEFT(INDEX(Расчет!$C$2:$C$3001,$L142),FIND("(",INDEX(Расчет!$C$2:$C$3001,$L142))-1),IFERROR(--LEFT(INDEX(Расчет!$C$2:$C$3001,$L142),1),"")))</f>
        <v/>
      </c>
      <c r="H142">
        <f>IF($L142="","",SUMIFS(Расчет!$G$2:$G$3001,Расчет!$I$2:$I$3001,$K142,Расчет!$H$2:$H$3001,1))</f>
        <v/>
      </c>
      <c r="I142">
        <f>IF($L142="","",SUMIFS(Расчет!$G$2:$G$3001,Расчет!$I$2:$I$3001,$K142,Расчет!$H$2:$H$3001,2))</f>
        <v/>
      </c>
      <c r="J142">
        <f>IF($L142="","",SUMIFS(Расчет!$G$2:$G$3001,Расчет!$I$2:$I$3001,$K142,Расчет!$H$2:$H$3001,3))</f>
        <v/>
      </c>
      <c r="K142">
        <f>IF($L142="","",INDEX(Расчет!$I$2:$I$3001,$L142))</f>
        <v/>
      </c>
      <c r="L142">
        <f>IFERROR(MATCH(ROW()-1,Расчет!$J$2:$J$3001,0),"")</f>
        <v/>
      </c>
    </row>
    <row r="143">
      <c r="A143">
        <f>IF($L143="","",B143&amp;"."&amp;C143&amp;"-"&amp;D143&amp;"-"&amp;H143&amp;"."&amp;I143&amp;"."&amp;J143)</f>
        <v/>
      </c>
      <c r="B143">
        <f>IF($L143="","",INDEX(Расчет!$A$2:$A$3001,$L143))</f>
        <v/>
      </c>
      <c r="C143">
        <f>IF($L143="","",INDEX(Расчет!$B$2:$B$3001,$L143))</f>
        <v/>
      </c>
      <c r="D143">
        <f>IF($L143="","",IF(ISNUMBER(FIND("(",INDEX(Расчет!$C$2:$C$3001,$L143))),SUBSTITUTE(MID(INDEX(Расчет!$C$2:$C$3001,$L143),FIND("(",INDEX(Расчет!$C$2:$C$3001,$L143))+1,99),")",""),INDEX(Расчет!$C$2:$C$3001,$L143)))</f>
        <v/>
      </c>
      <c r="E143">
        <f>IF($L143="","",INDEX(Расчет!$D$2:$D$3001,$L143))</f>
        <v/>
      </c>
      <c r="F143">
        <f>IF($L143="","",INDEX(Расчет!$E$2:$E$3001,$L143))</f>
        <v/>
      </c>
      <c r="G143">
        <f>IF($L143="","",IFERROR(--LEFT(INDEX(Расчет!$C$2:$C$3001,$L143),FIND("(",INDEX(Расчет!$C$2:$C$3001,$L143))-1),IFERROR(--LEFT(INDEX(Расчет!$C$2:$C$3001,$L143),1),"")))</f>
        <v/>
      </c>
      <c r="H143">
        <f>IF($L143="","",SUMIFS(Расчет!$G$2:$G$3001,Расчет!$I$2:$I$3001,$K143,Расчет!$H$2:$H$3001,1))</f>
        <v/>
      </c>
      <c r="I143">
        <f>IF($L143="","",SUMIFS(Расчет!$G$2:$G$3001,Расчет!$I$2:$I$3001,$K143,Расчет!$H$2:$H$3001,2))</f>
        <v/>
      </c>
      <c r="J143">
        <f>IF($L143="","",SUMIFS(Расчет!$G$2:$G$3001,Расчет!$I$2:$I$3001,$K143,Расчет!$H$2:$H$3001,3))</f>
        <v/>
      </c>
      <c r="K143">
        <f>IF($L143="","",INDEX(Расчет!$I$2:$I$3001,$L143))</f>
        <v/>
      </c>
      <c r="L143">
        <f>IFERROR(MATCH(ROW()-1,Расчет!$J$2:$J$3001,0),"")</f>
        <v/>
      </c>
    </row>
    <row r="144">
      <c r="A144">
        <f>IF($L144="","",B144&amp;"."&amp;C144&amp;"-"&amp;D144&amp;"-"&amp;H144&amp;"."&amp;I144&amp;"."&amp;J144)</f>
        <v/>
      </c>
      <c r="B144">
        <f>IF($L144="","",INDEX(Расчет!$A$2:$A$3001,$L144))</f>
        <v/>
      </c>
      <c r="C144">
        <f>IF($L144="","",INDEX(Расчет!$B$2:$B$3001,$L144))</f>
        <v/>
      </c>
      <c r="D144">
        <f>IF($L144="","",IF(ISNUMBER(FIND("(",INDEX(Расчет!$C$2:$C$3001,$L144))),SUBSTITUTE(MID(INDEX(Расчет!$C$2:$C$3001,$L144),FIND("(",INDEX(Расчет!$C$2:$C$3001,$L144))+1,99),")",""),INDEX(Расчет!$C$2:$C$3001,$L144)))</f>
        <v/>
      </c>
      <c r="E144">
        <f>IF($L144="","",INDEX(Расчет!$D$2:$D$3001,$L144))</f>
        <v/>
      </c>
      <c r="F144">
        <f>IF($L144="","",INDEX(Расчет!$E$2:$E$3001,$L144))</f>
        <v/>
      </c>
      <c r="G144">
        <f>IF($L144="","",IFERROR(--LEFT(INDEX(Расчет!$C$2:$C$3001,$L144),FIND("(",INDEX(Расчет!$C$2:$C$3001,$L144))-1),IFERROR(--LEFT(INDEX(Расчет!$C$2:$C$3001,$L144),1),"")))</f>
        <v/>
      </c>
      <c r="H144">
        <f>IF($L144="","",SUMIFS(Расчет!$G$2:$G$3001,Расчет!$I$2:$I$3001,$K144,Расчет!$H$2:$H$3001,1))</f>
        <v/>
      </c>
      <c r="I144">
        <f>IF($L144="","",SUMIFS(Расчет!$G$2:$G$3001,Расчет!$I$2:$I$3001,$K144,Расчет!$H$2:$H$3001,2))</f>
        <v/>
      </c>
      <c r="J144">
        <f>IF($L144="","",SUMIFS(Расчет!$G$2:$G$3001,Расчет!$I$2:$I$3001,$K144,Расчет!$H$2:$H$3001,3))</f>
        <v/>
      </c>
      <c r="K144">
        <f>IF($L144="","",INDEX(Расчет!$I$2:$I$3001,$L144))</f>
        <v/>
      </c>
      <c r="L144">
        <f>IFERROR(MATCH(ROW()-1,Расчет!$J$2:$J$3001,0),"")</f>
        <v/>
      </c>
    </row>
    <row r="145">
      <c r="A145">
        <f>IF($L145="","",B145&amp;"."&amp;C145&amp;"-"&amp;D145&amp;"-"&amp;H145&amp;"."&amp;I145&amp;"."&amp;J145)</f>
        <v/>
      </c>
      <c r="B145">
        <f>IF($L145="","",INDEX(Расчет!$A$2:$A$3001,$L145))</f>
        <v/>
      </c>
      <c r="C145">
        <f>IF($L145="","",INDEX(Расчет!$B$2:$B$3001,$L145))</f>
        <v/>
      </c>
      <c r="D145">
        <f>IF($L145="","",IF(ISNUMBER(FIND("(",INDEX(Расчет!$C$2:$C$3001,$L145))),SUBSTITUTE(MID(INDEX(Расчет!$C$2:$C$3001,$L145),FIND("(",INDEX(Расчет!$C$2:$C$3001,$L145))+1,99),")",""),INDEX(Расчет!$C$2:$C$3001,$L145)))</f>
        <v/>
      </c>
      <c r="E145">
        <f>IF($L145="","",INDEX(Расчет!$D$2:$D$3001,$L145))</f>
        <v/>
      </c>
      <c r="F145">
        <f>IF($L145="","",INDEX(Расчет!$E$2:$E$3001,$L145))</f>
        <v/>
      </c>
      <c r="G145">
        <f>IF($L145="","",IFERROR(--LEFT(INDEX(Расчет!$C$2:$C$3001,$L145),FIND("(",INDEX(Расчет!$C$2:$C$3001,$L145))-1),IFERROR(--LEFT(INDEX(Расчет!$C$2:$C$3001,$L145),1),"")))</f>
        <v/>
      </c>
      <c r="H145">
        <f>IF($L145="","",SUMIFS(Расчет!$G$2:$G$3001,Расчет!$I$2:$I$3001,$K145,Расчет!$H$2:$H$3001,1))</f>
        <v/>
      </c>
      <c r="I145">
        <f>IF($L145="","",SUMIFS(Расчет!$G$2:$G$3001,Расчет!$I$2:$I$3001,$K145,Расчет!$H$2:$H$3001,2))</f>
        <v/>
      </c>
      <c r="J145">
        <f>IF($L145="","",SUMIFS(Расчет!$G$2:$G$3001,Расчет!$I$2:$I$3001,$K145,Расчет!$H$2:$H$3001,3))</f>
        <v/>
      </c>
      <c r="K145">
        <f>IF($L145="","",INDEX(Расчет!$I$2:$I$3001,$L145))</f>
        <v/>
      </c>
      <c r="L145">
        <f>IFERROR(MATCH(ROW()-1,Расчет!$J$2:$J$3001,0),"")</f>
        <v/>
      </c>
    </row>
    <row r="146">
      <c r="A146">
        <f>IF($L146="","",B146&amp;"."&amp;C146&amp;"-"&amp;D146&amp;"-"&amp;H146&amp;"."&amp;I146&amp;"."&amp;J146)</f>
        <v/>
      </c>
      <c r="B146">
        <f>IF($L146="","",INDEX(Расчет!$A$2:$A$3001,$L146))</f>
        <v/>
      </c>
      <c r="C146">
        <f>IF($L146="","",INDEX(Расчет!$B$2:$B$3001,$L146))</f>
        <v/>
      </c>
      <c r="D146">
        <f>IF($L146="","",IF(ISNUMBER(FIND("(",INDEX(Расчет!$C$2:$C$3001,$L146))),SUBSTITUTE(MID(INDEX(Расчет!$C$2:$C$3001,$L146),FIND("(",INDEX(Расчет!$C$2:$C$3001,$L146))+1,99),")",""),INDEX(Расчет!$C$2:$C$3001,$L146)))</f>
        <v/>
      </c>
      <c r="E146">
        <f>IF($L146="","",INDEX(Расчет!$D$2:$D$3001,$L146))</f>
        <v/>
      </c>
      <c r="F146">
        <f>IF($L146="","",INDEX(Расчет!$E$2:$E$3001,$L146))</f>
        <v/>
      </c>
      <c r="G146">
        <f>IF($L146="","",IFERROR(--LEFT(INDEX(Расчет!$C$2:$C$3001,$L146),FIND("(",INDEX(Расчет!$C$2:$C$3001,$L146))-1),IFERROR(--LEFT(INDEX(Расчет!$C$2:$C$3001,$L146),1),"")))</f>
        <v/>
      </c>
      <c r="H146">
        <f>IF($L146="","",SUMIFS(Расчет!$G$2:$G$3001,Расчет!$I$2:$I$3001,$K146,Расчет!$H$2:$H$3001,1))</f>
        <v/>
      </c>
      <c r="I146">
        <f>IF($L146="","",SUMIFS(Расчет!$G$2:$G$3001,Расчет!$I$2:$I$3001,$K146,Расчет!$H$2:$H$3001,2))</f>
        <v/>
      </c>
      <c r="J146">
        <f>IF($L146="","",SUMIFS(Расчет!$G$2:$G$3001,Расчет!$I$2:$I$3001,$K146,Расчет!$H$2:$H$3001,3))</f>
        <v/>
      </c>
      <c r="K146">
        <f>IF($L146="","",INDEX(Расчет!$I$2:$I$3001,$L146))</f>
        <v/>
      </c>
      <c r="L146">
        <f>IFERROR(MATCH(ROW()-1,Расчет!$J$2:$J$3001,0),"")</f>
        <v/>
      </c>
    </row>
    <row r="147">
      <c r="A147">
        <f>IF($L147="","",B147&amp;"."&amp;C147&amp;"-"&amp;D147&amp;"-"&amp;H147&amp;"."&amp;I147&amp;"."&amp;J147)</f>
        <v/>
      </c>
      <c r="B147">
        <f>IF($L147="","",INDEX(Расчет!$A$2:$A$3001,$L147))</f>
        <v/>
      </c>
      <c r="C147">
        <f>IF($L147="","",INDEX(Расчет!$B$2:$B$3001,$L147))</f>
        <v/>
      </c>
      <c r="D147">
        <f>IF($L147="","",IF(ISNUMBER(FIND("(",INDEX(Расчет!$C$2:$C$3001,$L147))),SUBSTITUTE(MID(INDEX(Расчет!$C$2:$C$3001,$L147),FIND("(",INDEX(Расчет!$C$2:$C$3001,$L147))+1,99),")",""),INDEX(Расчет!$C$2:$C$3001,$L147)))</f>
        <v/>
      </c>
      <c r="E147">
        <f>IF($L147="","",INDEX(Расчет!$D$2:$D$3001,$L147))</f>
        <v/>
      </c>
      <c r="F147">
        <f>IF($L147="","",INDEX(Расчет!$E$2:$E$3001,$L147))</f>
        <v/>
      </c>
      <c r="G147">
        <f>IF($L147="","",IFERROR(--LEFT(INDEX(Расчет!$C$2:$C$3001,$L147),FIND("(",INDEX(Расчет!$C$2:$C$3001,$L147))-1),IFERROR(--LEFT(INDEX(Расчет!$C$2:$C$3001,$L147),1),"")))</f>
        <v/>
      </c>
      <c r="H147">
        <f>IF($L147="","",SUMIFS(Расчет!$G$2:$G$3001,Расчет!$I$2:$I$3001,$K147,Расчет!$H$2:$H$3001,1))</f>
        <v/>
      </c>
      <c r="I147">
        <f>IF($L147="","",SUMIFS(Расчет!$G$2:$G$3001,Расчет!$I$2:$I$3001,$K147,Расчет!$H$2:$H$3001,2))</f>
        <v/>
      </c>
      <c r="J147">
        <f>IF($L147="","",SUMIFS(Расчет!$G$2:$G$3001,Расчет!$I$2:$I$3001,$K147,Расчет!$H$2:$H$3001,3))</f>
        <v/>
      </c>
      <c r="K147">
        <f>IF($L147="","",INDEX(Расчет!$I$2:$I$3001,$L147))</f>
        <v/>
      </c>
      <c r="L147">
        <f>IFERROR(MATCH(ROW()-1,Расчет!$J$2:$J$3001,0),"")</f>
        <v/>
      </c>
    </row>
    <row r="148">
      <c r="A148">
        <f>IF($L148="","",B148&amp;"."&amp;C148&amp;"-"&amp;D148&amp;"-"&amp;H148&amp;"."&amp;I148&amp;"."&amp;J148)</f>
        <v/>
      </c>
      <c r="B148">
        <f>IF($L148="","",INDEX(Расчет!$A$2:$A$3001,$L148))</f>
        <v/>
      </c>
      <c r="C148">
        <f>IF($L148="","",INDEX(Расчет!$B$2:$B$3001,$L148))</f>
        <v/>
      </c>
      <c r="D148">
        <f>IF($L148="","",IF(ISNUMBER(FIND("(",INDEX(Расчет!$C$2:$C$3001,$L148))),SUBSTITUTE(MID(INDEX(Расчет!$C$2:$C$3001,$L148),FIND("(",INDEX(Расчет!$C$2:$C$3001,$L148))+1,99),")",""),INDEX(Расчет!$C$2:$C$3001,$L148)))</f>
        <v/>
      </c>
      <c r="E148">
        <f>IF($L148="","",INDEX(Расчет!$D$2:$D$3001,$L148))</f>
        <v/>
      </c>
      <c r="F148">
        <f>IF($L148="","",INDEX(Расчет!$E$2:$E$3001,$L148))</f>
        <v/>
      </c>
      <c r="G148">
        <f>IF($L148="","",IFERROR(--LEFT(INDEX(Расчет!$C$2:$C$3001,$L148),FIND("(",INDEX(Расчет!$C$2:$C$3001,$L148))-1),IFERROR(--LEFT(INDEX(Расчет!$C$2:$C$3001,$L148),1),"")))</f>
        <v/>
      </c>
      <c r="H148">
        <f>IF($L148="","",SUMIFS(Расчет!$G$2:$G$3001,Расчет!$I$2:$I$3001,$K148,Расчет!$H$2:$H$3001,1))</f>
        <v/>
      </c>
      <c r="I148">
        <f>IF($L148="","",SUMIFS(Расчет!$G$2:$G$3001,Расчет!$I$2:$I$3001,$K148,Расчет!$H$2:$H$3001,2))</f>
        <v/>
      </c>
      <c r="J148">
        <f>IF($L148="","",SUMIFS(Расчет!$G$2:$G$3001,Расчет!$I$2:$I$3001,$K148,Расчет!$H$2:$H$3001,3))</f>
        <v/>
      </c>
      <c r="K148">
        <f>IF($L148="","",INDEX(Расчет!$I$2:$I$3001,$L148))</f>
        <v/>
      </c>
      <c r="L148">
        <f>IFERROR(MATCH(ROW()-1,Расчет!$J$2:$J$3001,0),"")</f>
        <v/>
      </c>
    </row>
    <row r="149">
      <c r="A149">
        <f>IF($L149="","",B149&amp;"."&amp;C149&amp;"-"&amp;D149&amp;"-"&amp;H149&amp;"."&amp;I149&amp;"."&amp;J149)</f>
        <v/>
      </c>
      <c r="B149">
        <f>IF($L149="","",INDEX(Расчет!$A$2:$A$3001,$L149))</f>
        <v/>
      </c>
      <c r="C149">
        <f>IF($L149="","",INDEX(Расчет!$B$2:$B$3001,$L149))</f>
        <v/>
      </c>
      <c r="D149">
        <f>IF($L149="","",IF(ISNUMBER(FIND("(",INDEX(Расчет!$C$2:$C$3001,$L149))),SUBSTITUTE(MID(INDEX(Расчет!$C$2:$C$3001,$L149),FIND("(",INDEX(Расчет!$C$2:$C$3001,$L149))+1,99),")",""),INDEX(Расчет!$C$2:$C$3001,$L149)))</f>
        <v/>
      </c>
      <c r="E149">
        <f>IF($L149="","",INDEX(Расчет!$D$2:$D$3001,$L149))</f>
        <v/>
      </c>
      <c r="F149">
        <f>IF($L149="","",INDEX(Расчет!$E$2:$E$3001,$L149))</f>
        <v/>
      </c>
      <c r="G149">
        <f>IF($L149="","",IFERROR(--LEFT(INDEX(Расчет!$C$2:$C$3001,$L149),FIND("(",INDEX(Расчет!$C$2:$C$3001,$L149))-1),IFERROR(--LEFT(INDEX(Расчет!$C$2:$C$3001,$L149),1),"")))</f>
        <v/>
      </c>
      <c r="H149">
        <f>IF($L149="","",SUMIFS(Расчет!$G$2:$G$3001,Расчет!$I$2:$I$3001,$K149,Расчет!$H$2:$H$3001,1))</f>
        <v/>
      </c>
      <c r="I149">
        <f>IF($L149="","",SUMIFS(Расчет!$G$2:$G$3001,Расчет!$I$2:$I$3001,$K149,Расчет!$H$2:$H$3001,2))</f>
        <v/>
      </c>
      <c r="J149">
        <f>IF($L149="","",SUMIFS(Расчет!$G$2:$G$3001,Расчет!$I$2:$I$3001,$K149,Расчет!$H$2:$H$3001,3))</f>
        <v/>
      </c>
      <c r="K149">
        <f>IF($L149="","",INDEX(Расчет!$I$2:$I$3001,$L149))</f>
        <v/>
      </c>
      <c r="L149">
        <f>IFERROR(MATCH(ROW()-1,Расчет!$J$2:$J$3001,0),"")</f>
        <v/>
      </c>
    </row>
    <row r="150">
      <c r="A150">
        <f>IF($L150="","",B150&amp;"."&amp;C150&amp;"-"&amp;D150&amp;"-"&amp;H150&amp;"."&amp;I150&amp;"."&amp;J150)</f>
        <v/>
      </c>
      <c r="B150">
        <f>IF($L150="","",INDEX(Расчет!$A$2:$A$3001,$L150))</f>
        <v/>
      </c>
      <c r="C150">
        <f>IF($L150="","",INDEX(Расчет!$B$2:$B$3001,$L150))</f>
        <v/>
      </c>
      <c r="D150">
        <f>IF($L150="","",IF(ISNUMBER(FIND("(",INDEX(Расчет!$C$2:$C$3001,$L150))),SUBSTITUTE(MID(INDEX(Расчет!$C$2:$C$3001,$L150),FIND("(",INDEX(Расчет!$C$2:$C$3001,$L150))+1,99),")",""),INDEX(Расчет!$C$2:$C$3001,$L150)))</f>
        <v/>
      </c>
      <c r="E150">
        <f>IF($L150="","",INDEX(Расчет!$D$2:$D$3001,$L150))</f>
        <v/>
      </c>
      <c r="F150">
        <f>IF($L150="","",INDEX(Расчет!$E$2:$E$3001,$L150))</f>
        <v/>
      </c>
      <c r="G150">
        <f>IF($L150="","",IFERROR(--LEFT(INDEX(Расчет!$C$2:$C$3001,$L150),FIND("(",INDEX(Расчет!$C$2:$C$3001,$L150))-1),IFERROR(--LEFT(INDEX(Расчет!$C$2:$C$3001,$L150),1),"")))</f>
        <v/>
      </c>
      <c r="H150">
        <f>IF($L150="","",SUMIFS(Расчет!$G$2:$G$3001,Расчет!$I$2:$I$3001,$K150,Расчет!$H$2:$H$3001,1))</f>
        <v/>
      </c>
      <c r="I150">
        <f>IF($L150="","",SUMIFS(Расчет!$G$2:$G$3001,Расчет!$I$2:$I$3001,$K150,Расчет!$H$2:$H$3001,2))</f>
        <v/>
      </c>
      <c r="J150">
        <f>IF($L150="","",SUMIFS(Расчет!$G$2:$G$3001,Расчет!$I$2:$I$3001,$K150,Расчет!$H$2:$H$3001,3))</f>
        <v/>
      </c>
      <c r="K150">
        <f>IF($L150="","",INDEX(Расчет!$I$2:$I$3001,$L150))</f>
        <v/>
      </c>
      <c r="L150">
        <f>IFERROR(MATCH(ROW()-1,Расчет!$J$2:$J$3001,0),"")</f>
        <v/>
      </c>
    </row>
    <row r="151">
      <c r="A151">
        <f>IF($L151="","",B151&amp;"."&amp;C151&amp;"-"&amp;D151&amp;"-"&amp;H151&amp;"."&amp;I151&amp;"."&amp;J151)</f>
        <v/>
      </c>
      <c r="B151">
        <f>IF($L151="","",INDEX(Расчет!$A$2:$A$3001,$L151))</f>
        <v/>
      </c>
      <c r="C151">
        <f>IF($L151="","",INDEX(Расчет!$B$2:$B$3001,$L151))</f>
        <v/>
      </c>
      <c r="D151">
        <f>IF($L151="","",IF(ISNUMBER(FIND("(",INDEX(Расчет!$C$2:$C$3001,$L151))),SUBSTITUTE(MID(INDEX(Расчет!$C$2:$C$3001,$L151),FIND("(",INDEX(Расчет!$C$2:$C$3001,$L151))+1,99),")",""),INDEX(Расчет!$C$2:$C$3001,$L151)))</f>
        <v/>
      </c>
      <c r="E151">
        <f>IF($L151="","",INDEX(Расчет!$D$2:$D$3001,$L151))</f>
        <v/>
      </c>
      <c r="F151">
        <f>IF($L151="","",INDEX(Расчет!$E$2:$E$3001,$L151))</f>
        <v/>
      </c>
      <c r="G151">
        <f>IF($L151="","",IFERROR(--LEFT(INDEX(Расчет!$C$2:$C$3001,$L151),FIND("(",INDEX(Расчет!$C$2:$C$3001,$L151))-1),IFERROR(--LEFT(INDEX(Расчет!$C$2:$C$3001,$L151),1),"")))</f>
        <v/>
      </c>
      <c r="H151">
        <f>IF($L151="","",SUMIFS(Расчет!$G$2:$G$3001,Расчет!$I$2:$I$3001,$K151,Расчет!$H$2:$H$3001,1))</f>
        <v/>
      </c>
      <c r="I151">
        <f>IF($L151="","",SUMIFS(Расчет!$G$2:$G$3001,Расчет!$I$2:$I$3001,$K151,Расчет!$H$2:$H$3001,2))</f>
        <v/>
      </c>
      <c r="J151">
        <f>IF($L151="","",SUMIFS(Расчет!$G$2:$G$3001,Расчет!$I$2:$I$3001,$K151,Расчет!$H$2:$H$3001,3))</f>
        <v/>
      </c>
      <c r="K151">
        <f>IF($L151="","",INDEX(Расчет!$I$2:$I$3001,$L151))</f>
        <v/>
      </c>
      <c r="L151">
        <f>IFERROR(MATCH(ROW()-1,Расчет!$J$2:$J$3001,0),"")</f>
        <v/>
      </c>
    </row>
    <row r="152">
      <c r="A152">
        <f>IF($L152="","",B152&amp;"."&amp;C152&amp;"-"&amp;D152&amp;"-"&amp;H152&amp;"."&amp;I152&amp;"."&amp;J152)</f>
        <v/>
      </c>
      <c r="B152">
        <f>IF($L152="","",INDEX(Расчет!$A$2:$A$3001,$L152))</f>
        <v/>
      </c>
      <c r="C152">
        <f>IF($L152="","",INDEX(Расчет!$B$2:$B$3001,$L152))</f>
        <v/>
      </c>
      <c r="D152">
        <f>IF($L152="","",IF(ISNUMBER(FIND("(",INDEX(Расчет!$C$2:$C$3001,$L152))),SUBSTITUTE(MID(INDEX(Расчет!$C$2:$C$3001,$L152),FIND("(",INDEX(Расчет!$C$2:$C$3001,$L152))+1,99),")",""),INDEX(Расчет!$C$2:$C$3001,$L152)))</f>
        <v/>
      </c>
      <c r="E152">
        <f>IF($L152="","",INDEX(Расчет!$D$2:$D$3001,$L152))</f>
        <v/>
      </c>
      <c r="F152">
        <f>IF($L152="","",INDEX(Расчет!$E$2:$E$3001,$L152))</f>
        <v/>
      </c>
      <c r="G152">
        <f>IF($L152="","",IFERROR(--LEFT(INDEX(Расчет!$C$2:$C$3001,$L152),FIND("(",INDEX(Расчет!$C$2:$C$3001,$L152))-1),IFERROR(--LEFT(INDEX(Расчет!$C$2:$C$3001,$L152),1),"")))</f>
        <v/>
      </c>
      <c r="H152">
        <f>IF($L152="","",SUMIFS(Расчет!$G$2:$G$3001,Расчет!$I$2:$I$3001,$K152,Расчет!$H$2:$H$3001,1))</f>
        <v/>
      </c>
      <c r="I152">
        <f>IF($L152="","",SUMIFS(Расчет!$G$2:$G$3001,Расчет!$I$2:$I$3001,$K152,Расчет!$H$2:$H$3001,2))</f>
        <v/>
      </c>
      <c r="J152">
        <f>IF($L152="","",SUMIFS(Расчет!$G$2:$G$3001,Расчет!$I$2:$I$3001,$K152,Расчет!$H$2:$H$3001,3))</f>
        <v/>
      </c>
      <c r="K152">
        <f>IF($L152="","",INDEX(Расчет!$I$2:$I$3001,$L152))</f>
        <v/>
      </c>
      <c r="L152">
        <f>IFERROR(MATCH(ROW()-1,Расчет!$J$2:$J$3001,0),"")</f>
        <v/>
      </c>
    </row>
    <row r="153">
      <c r="A153">
        <f>IF($L153="","",B153&amp;"."&amp;C153&amp;"-"&amp;D153&amp;"-"&amp;H153&amp;"."&amp;I153&amp;"."&amp;J153)</f>
        <v/>
      </c>
      <c r="B153">
        <f>IF($L153="","",INDEX(Расчет!$A$2:$A$3001,$L153))</f>
        <v/>
      </c>
      <c r="C153">
        <f>IF($L153="","",INDEX(Расчет!$B$2:$B$3001,$L153))</f>
        <v/>
      </c>
      <c r="D153">
        <f>IF($L153="","",IF(ISNUMBER(FIND("(",INDEX(Расчет!$C$2:$C$3001,$L153))),SUBSTITUTE(MID(INDEX(Расчет!$C$2:$C$3001,$L153),FIND("(",INDEX(Расчет!$C$2:$C$3001,$L153))+1,99),")",""),INDEX(Расчет!$C$2:$C$3001,$L153)))</f>
        <v/>
      </c>
      <c r="E153">
        <f>IF($L153="","",INDEX(Расчет!$D$2:$D$3001,$L153))</f>
        <v/>
      </c>
      <c r="F153">
        <f>IF($L153="","",INDEX(Расчет!$E$2:$E$3001,$L153))</f>
        <v/>
      </c>
      <c r="G153">
        <f>IF($L153="","",IFERROR(--LEFT(INDEX(Расчет!$C$2:$C$3001,$L153),FIND("(",INDEX(Расчет!$C$2:$C$3001,$L153))-1),IFERROR(--LEFT(INDEX(Расчет!$C$2:$C$3001,$L153),1),"")))</f>
        <v/>
      </c>
      <c r="H153">
        <f>IF($L153="","",SUMIFS(Расчет!$G$2:$G$3001,Расчет!$I$2:$I$3001,$K153,Расчет!$H$2:$H$3001,1))</f>
        <v/>
      </c>
      <c r="I153">
        <f>IF($L153="","",SUMIFS(Расчет!$G$2:$G$3001,Расчет!$I$2:$I$3001,$K153,Расчет!$H$2:$H$3001,2))</f>
        <v/>
      </c>
      <c r="J153">
        <f>IF($L153="","",SUMIFS(Расчет!$G$2:$G$3001,Расчет!$I$2:$I$3001,$K153,Расчет!$H$2:$H$3001,3))</f>
        <v/>
      </c>
      <c r="K153">
        <f>IF($L153="","",INDEX(Расчет!$I$2:$I$3001,$L153))</f>
        <v/>
      </c>
      <c r="L153">
        <f>IFERROR(MATCH(ROW()-1,Расчет!$J$2:$J$3001,0),"")</f>
        <v/>
      </c>
    </row>
    <row r="154">
      <c r="A154">
        <f>IF($L154="","",B154&amp;"."&amp;C154&amp;"-"&amp;D154&amp;"-"&amp;H154&amp;"."&amp;I154&amp;"."&amp;J154)</f>
        <v/>
      </c>
      <c r="B154">
        <f>IF($L154="","",INDEX(Расчет!$A$2:$A$3001,$L154))</f>
        <v/>
      </c>
      <c r="C154">
        <f>IF($L154="","",INDEX(Расчет!$B$2:$B$3001,$L154))</f>
        <v/>
      </c>
      <c r="D154">
        <f>IF($L154="","",IF(ISNUMBER(FIND("(",INDEX(Расчет!$C$2:$C$3001,$L154))),SUBSTITUTE(MID(INDEX(Расчет!$C$2:$C$3001,$L154),FIND("(",INDEX(Расчет!$C$2:$C$3001,$L154))+1,99),")",""),INDEX(Расчет!$C$2:$C$3001,$L154)))</f>
        <v/>
      </c>
      <c r="E154">
        <f>IF($L154="","",INDEX(Расчет!$D$2:$D$3001,$L154))</f>
        <v/>
      </c>
      <c r="F154">
        <f>IF($L154="","",INDEX(Расчет!$E$2:$E$3001,$L154))</f>
        <v/>
      </c>
      <c r="G154">
        <f>IF($L154="","",IFERROR(--LEFT(INDEX(Расчет!$C$2:$C$3001,$L154),FIND("(",INDEX(Расчет!$C$2:$C$3001,$L154))-1),IFERROR(--LEFT(INDEX(Расчет!$C$2:$C$3001,$L154),1),"")))</f>
        <v/>
      </c>
      <c r="H154">
        <f>IF($L154="","",SUMIFS(Расчет!$G$2:$G$3001,Расчет!$I$2:$I$3001,$K154,Расчет!$H$2:$H$3001,1))</f>
        <v/>
      </c>
      <c r="I154">
        <f>IF($L154="","",SUMIFS(Расчет!$G$2:$G$3001,Расчет!$I$2:$I$3001,$K154,Расчет!$H$2:$H$3001,2))</f>
        <v/>
      </c>
      <c r="J154">
        <f>IF($L154="","",SUMIFS(Расчет!$G$2:$G$3001,Расчет!$I$2:$I$3001,$K154,Расчет!$H$2:$H$3001,3))</f>
        <v/>
      </c>
      <c r="K154">
        <f>IF($L154="","",INDEX(Расчет!$I$2:$I$3001,$L154))</f>
        <v/>
      </c>
      <c r="L154">
        <f>IFERROR(MATCH(ROW()-1,Расчет!$J$2:$J$3001,0),"")</f>
        <v/>
      </c>
    </row>
    <row r="155">
      <c r="A155">
        <f>IF($L155="","",B155&amp;"."&amp;C155&amp;"-"&amp;D155&amp;"-"&amp;H155&amp;"."&amp;I155&amp;"."&amp;J155)</f>
        <v/>
      </c>
      <c r="B155">
        <f>IF($L155="","",INDEX(Расчет!$A$2:$A$3001,$L155))</f>
        <v/>
      </c>
      <c r="C155">
        <f>IF($L155="","",INDEX(Расчет!$B$2:$B$3001,$L155))</f>
        <v/>
      </c>
      <c r="D155">
        <f>IF($L155="","",IF(ISNUMBER(FIND("(",INDEX(Расчет!$C$2:$C$3001,$L155))),SUBSTITUTE(MID(INDEX(Расчет!$C$2:$C$3001,$L155),FIND("(",INDEX(Расчет!$C$2:$C$3001,$L155))+1,99),")",""),INDEX(Расчет!$C$2:$C$3001,$L155)))</f>
        <v/>
      </c>
      <c r="E155">
        <f>IF($L155="","",INDEX(Расчет!$D$2:$D$3001,$L155))</f>
        <v/>
      </c>
      <c r="F155">
        <f>IF($L155="","",INDEX(Расчет!$E$2:$E$3001,$L155))</f>
        <v/>
      </c>
      <c r="G155">
        <f>IF($L155="","",IFERROR(--LEFT(INDEX(Расчет!$C$2:$C$3001,$L155),FIND("(",INDEX(Расчет!$C$2:$C$3001,$L155))-1),IFERROR(--LEFT(INDEX(Расчет!$C$2:$C$3001,$L155),1),"")))</f>
        <v/>
      </c>
      <c r="H155">
        <f>IF($L155="","",SUMIFS(Расчет!$G$2:$G$3001,Расчет!$I$2:$I$3001,$K155,Расчет!$H$2:$H$3001,1))</f>
        <v/>
      </c>
      <c r="I155">
        <f>IF($L155="","",SUMIFS(Расчет!$G$2:$G$3001,Расчет!$I$2:$I$3001,$K155,Расчет!$H$2:$H$3001,2))</f>
        <v/>
      </c>
      <c r="J155">
        <f>IF($L155="","",SUMIFS(Расчет!$G$2:$G$3001,Расчет!$I$2:$I$3001,$K155,Расчет!$H$2:$H$3001,3))</f>
        <v/>
      </c>
      <c r="K155">
        <f>IF($L155="","",INDEX(Расчет!$I$2:$I$3001,$L155))</f>
        <v/>
      </c>
      <c r="L155">
        <f>IFERROR(MATCH(ROW()-1,Расчет!$J$2:$J$3001,0),"")</f>
        <v/>
      </c>
    </row>
    <row r="156">
      <c r="A156">
        <f>IF($L156="","",B156&amp;"."&amp;C156&amp;"-"&amp;D156&amp;"-"&amp;H156&amp;"."&amp;I156&amp;"."&amp;J156)</f>
        <v/>
      </c>
      <c r="B156">
        <f>IF($L156="","",INDEX(Расчет!$A$2:$A$3001,$L156))</f>
        <v/>
      </c>
      <c r="C156">
        <f>IF($L156="","",INDEX(Расчет!$B$2:$B$3001,$L156))</f>
        <v/>
      </c>
      <c r="D156">
        <f>IF($L156="","",IF(ISNUMBER(FIND("(",INDEX(Расчет!$C$2:$C$3001,$L156))),SUBSTITUTE(MID(INDEX(Расчет!$C$2:$C$3001,$L156),FIND("(",INDEX(Расчет!$C$2:$C$3001,$L156))+1,99),")",""),INDEX(Расчет!$C$2:$C$3001,$L156)))</f>
        <v/>
      </c>
      <c r="E156">
        <f>IF($L156="","",INDEX(Расчет!$D$2:$D$3001,$L156))</f>
        <v/>
      </c>
      <c r="F156">
        <f>IF($L156="","",INDEX(Расчет!$E$2:$E$3001,$L156))</f>
        <v/>
      </c>
      <c r="G156">
        <f>IF($L156="","",IFERROR(--LEFT(INDEX(Расчет!$C$2:$C$3001,$L156),FIND("(",INDEX(Расчет!$C$2:$C$3001,$L156))-1),IFERROR(--LEFT(INDEX(Расчет!$C$2:$C$3001,$L156),1),"")))</f>
        <v/>
      </c>
      <c r="H156">
        <f>IF($L156="","",SUMIFS(Расчет!$G$2:$G$3001,Расчет!$I$2:$I$3001,$K156,Расчет!$H$2:$H$3001,1))</f>
        <v/>
      </c>
      <c r="I156">
        <f>IF($L156="","",SUMIFS(Расчет!$G$2:$G$3001,Расчет!$I$2:$I$3001,$K156,Расчет!$H$2:$H$3001,2))</f>
        <v/>
      </c>
      <c r="J156">
        <f>IF($L156="","",SUMIFS(Расчет!$G$2:$G$3001,Расчет!$I$2:$I$3001,$K156,Расчет!$H$2:$H$3001,3))</f>
        <v/>
      </c>
      <c r="K156">
        <f>IF($L156="","",INDEX(Расчет!$I$2:$I$3001,$L156))</f>
        <v/>
      </c>
      <c r="L156">
        <f>IFERROR(MATCH(ROW()-1,Расчет!$J$2:$J$3001,0),"")</f>
        <v/>
      </c>
    </row>
    <row r="157">
      <c r="A157">
        <f>IF($L157="","",B157&amp;"."&amp;C157&amp;"-"&amp;D157&amp;"-"&amp;H157&amp;"."&amp;I157&amp;"."&amp;J157)</f>
        <v/>
      </c>
      <c r="B157">
        <f>IF($L157="","",INDEX(Расчет!$A$2:$A$3001,$L157))</f>
        <v/>
      </c>
      <c r="C157">
        <f>IF($L157="","",INDEX(Расчет!$B$2:$B$3001,$L157))</f>
        <v/>
      </c>
      <c r="D157">
        <f>IF($L157="","",IF(ISNUMBER(FIND("(",INDEX(Расчет!$C$2:$C$3001,$L157))),SUBSTITUTE(MID(INDEX(Расчет!$C$2:$C$3001,$L157),FIND("(",INDEX(Расчет!$C$2:$C$3001,$L157))+1,99),")",""),INDEX(Расчет!$C$2:$C$3001,$L157)))</f>
        <v/>
      </c>
      <c r="E157">
        <f>IF($L157="","",INDEX(Расчет!$D$2:$D$3001,$L157))</f>
        <v/>
      </c>
      <c r="F157">
        <f>IF($L157="","",INDEX(Расчет!$E$2:$E$3001,$L157))</f>
        <v/>
      </c>
      <c r="G157">
        <f>IF($L157="","",IFERROR(--LEFT(INDEX(Расчет!$C$2:$C$3001,$L157),FIND("(",INDEX(Расчет!$C$2:$C$3001,$L157))-1),IFERROR(--LEFT(INDEX(Расчет!$C$2:$C$3001,$L157),1),"")))</f>
        <v/>
      </c>
      <c r="H157">
        <f>IF($L157="","",SUMIFS(Расчет!$G$2:$G$3001,Расчет!$I$2:$I$3001,$K157,Расчет!$H$2:$H$3001,1))</f>
        <v/>
      </c>
      <c r="I157">
        <f>IF($L157="","",SUMIFS(Расчет!$G$2:$G$3001,Расчет!$I$2:$I$3001,$K157,Расчет!$H$2:$H$3001,2))</f>
        <v/>
      </c>
      <c r="J157">
        <f>IF($L157="","",SUMIFS(Расчет!$G$2:$G$3001,Расчет!$I$2:$I$3001,$K157,Расчет!$H$2:$H$3001,3))</f>
        <v/>
      </c>
      <c r="K157">
        <f>IF($L157="","",INDEX(Расчет!$I$2:$I$3001,$L157))</f>
        <v/>
      </c>
      <c r="L157">
        <f>IFERROR(MATCH(ROW()-1,Расчет!$J$2:$J$3001,0),"")</f>
        <v/>
      </c>
    </row>
    <row r="158">
      <c r="A158">
        <f>IF($L158="","",B158&amp;"."&amp;C158&amp;"-"&amp;D158&amp;"-"&amp;H158&amp;"."&amp;I158&amp;"."&amp;J158)</f>
        <v/>
      </c>
      <c r="B158">
        <f>IF($L158="","",INDEX(Расчет!$A$2:$A$3001,$L158))</f>
        <v/>
      </c>
      <c r="C158">
        <f>IF($L158="","",INDEX(Расчет!$B$2:$B$3001,$L158))</f>
        <v/>
      </c>
      <c r="D158">
        <f>IF($L158="","",IF(ISNUMBER(FIND("(",INDEX(Расчет!$C$2:$C$3001,$L158))),SUBSTITUTE(MID(INDEX(Расчет!$C$2:$C$3001,$L158),FIND("(",INDEX(Расчет!$C$2:$C$3001,$L158))+1,99),")",""),INDEX(Расчет!$C$2:$C$3001,$L158)))</f>
        <v/>
      </c>
      <c r="E158">
        <f>IF($L158="","",INDEX(Расчет!$D$2:$D$3001,$L158))</f>
        <v/>
      </c>
      <c r="F158">
        <f>IF($L158="","",INDEX(Расчет!$E$2:$E$3001,$L158))</f>
        <v/>
      </c>
      <c r="G158">
        <f>IF($L158="","",IFERROR(--LEFT(INDEX(Расчет!$C$2:$C$3001,$L158),FIND("(",INDEX(Расчет!$C$2:$C$3001,$L158))-1),IFERROR(--LEFT(INDEX(Расчет!$C$2:$C$3001,$L158),1),"")))</f>
        <v/>
      </c>
      <c r="H158">
        <f>IF($L158="","",SUMIFS(Расчет!$G$2:$G$3001,Расчет!$I$2:$I$3001,$K158,Расчет!$H$2:$H$3001,1))</f>
        <v/>
      </c>
      <c r="I158">
        <f>IF($L158="","",SUMIFS(Расчет!$G$2:$G$3001,Расчет!$I$2:$I$3001,$K158,Расчет!$H$2:$H$3001,2))</f>
        <v/>
      </c>
      <c r="J158">
        <f>IF($L158="","",SUMIFS(Расчет!$G$2:$G$3001,Расчет!$I$2:$I$3001,$K158,Расчет!$H$2:$H$3001,3))</f>
        <v/>
      </c>
      <c r="K158">
        <f>IF($L158="","",INDEX(Расчет!$I$2:$I$3001,$L158))</f>
        <v/>
      </c>
      <c r="L158">
        <f>IFERROR(MATCH(ROW()-1,Расчет!$J$2:$J$3001,0),"")</f>
        <v/>
      </c>
    </row>
    <row r="159">
      <c r="A159">
        <f>IF($L159="","",B159&amp;"."&amp;C159&amp;"-"&amp;D159&amp;"-"&amp;H159&amp;"."&amp;I159&amp;"."&amp;J159)</f>
        <v/>
      </c>
      <c r="B159">
        <f>IF($L159="","",INDEX(Расчет!$A$2:$A$3001,$L159))</f>
        <v/>
      </c>
      <c r="C159">
        <f>IF($L159="","",INDEX(Расчет!$B$2:$B$3001,$L159))</f>
        <v/>
      </c>
      <c r="D159">
        <f>IF($L159="","",IF(ISNUMBER(FIND("(",INDEX(Расчет!$C$2:$C$3001,$L159))),SUBSTITUTE(MID(INDEX(Расчет!$C$2:$C$3001,$L159),FIND("(",INDEX(Расчет!$C$2:$C$3001,$L159))+1,99),")",""),INDEX(Расчет!$C$2:$C$3001,$L159)))</f>
        <v/>
      </c>
      <c r="E159">
        <f>IF($L159="","",INDEX(Расчет!$D$2:$D$3001,$L159))</f>
        <v/>
      </c>
      <c r="F159">
        <f>IF($L159="","",INDEX(Расчет!$E$2:$E$3001,$L159))</f>
        <v/>
      </c>
      <c r="G159">
        <f>IF($L159="","",IFERROR(--LEFT(INDEX(Расчет!$C$2:$C$3001,$L159),FIND("(",INDEX(Расчет!$C$2:$C$3001,$L159))-1),IFERROR(--LEFT(INDEX(Расчет!$C$2:$C$3001,$L159),1),"")))</f>
        <v/>
      </c>
      <c r="H159">
        <f>IF($L159="","",SUMIFS(Расчет!$G$2:$G$3001,Расчет!$I$2:$I$3001,$K159,Расчет!$H$2:$H$3001,1))</f>
        <v/>
      </c>
      <c r="I159">
        <f>IF($L159="","",SUMIFS(Расчет!$G$2:$G$3001,Расчет!$I$2:$I$3001,$K159,Расчет!$H$2:$H$3001,2))</f>
        <v/>
      </c>
      <c r="J159">
        <f>IF($L159="","",SUMIFS(Расчет!$G$2:$G$3001,Расчет!$I$2:$I$3001,$K159,Расчет!$H$2:$H$3001,3))</f>
        <v/>
      </c>
      <c r="K159">
        <f>IF($L159="","",INDEX(Расчет!$I$2:$I$3001,$L159))</f>
        <v/>
      </c>
      <c r="L159">
        <f>IFERROR(MATCH(ROW()-1,Расчет!$J$2:$J$3001,0),"")</f>
        <v/>
      </c>
    </row>
    <row r="160">
      <c r="A160">
        <f>IF($L160="","",B160&amp;"."&amp;C160&amp;"-"&amp;D160&amp;"-"&amp;H160&amp;"."&amp;I160&amp;"."&amp;J160)</f>
        <v/>
      </c>
      <c r="B160">
        <f>IF($L160="","",INDEX(Расчет!$A$2:$A$3001,$L160))</f>
        <v/>
      </c>
      <c r="C160">
        <f>IF($L160="","",INDEX(Расчет!$B$2:$B$3001,$L160))</f>
        <v/>
      </c>
      <c r="D160">
        <f>IF($L160="","",IF(ISNUMBER(FIND("(",INDEX(Расчет!$C$2:$C$3001,$L160))),SUBSTITUTE(MID(INDEX(Расчет!$C$2:$C$3001,$L160),FIND("(",INDEX(Расчет!$C$2:$C$3001,$L160))+1,99),")",""),INDEX(Расчет!$C$2:$C$3001,$L160)))</f>
        <v/>
      </c>
      <c r="E160">
        <f>IF($L160="","",INDEX(Расчет!$D$2:$D$3001,$L160))</f>
        <v/>
      </c>
      <c r="F160">
        <f>IF($L160="","",INDEX(Расчет!$E$2:$E$3001,$L160))</f>
        <v/>
      </c>
      <c r="G160">
        <f>IF($L160="","",IFERROR(--LEFT(INDEX(Расчет!$C$2:$C$3001,$L160),FIND("(",INDEX(Расчет!$C$2:$C$3001,$L160))-1),IFERROR(--LEFT(INDEX(Расчет!$C$2:$C$3001,$L160),1),"")))</f>
        <v/>
      </c>
      <c r="H160">
        <f>IF($L160="","",SUMIFS(Расчет!$G$2:$G$3001,Расчет!$I$2:$I$3001,$K160,Расчет!$H$2:$H$3001,1))</f>
        <v/>
      </c>
      <c r="I160">
        <f>IF($L160="","",SUMIFS(Расчет!$G$2:$G$3001,Расчет!$I$2:$I$3001,$K160,Расчет!$H$2:$H$3001,2))</f>
        <v/>
      </c>
      <c r="J160">
        <f>IF($L160="","",SUMIFS(Расчет!$G$2:$G$3001,Расчет!$I$2:$I$3001,$K160,Расчет!$H$2:$H$3001,3))</f>
        <v/>
      </c>
      <c r="K160">
        <f>IF($L160="","",INDEX(Расчет!$I$2:$I$3001,$L160))</f>
        <v/>
      </c>
      <c r="L160">
        <f>IFERROR(MATCH(ROW()-1,Расчет!$J$2:$J$3001,0),"")</f>
        <v/>
      </c>
    </row>
    <row r="161">
      <c r="A161">
        <f>IF($L161="","",B161&amp;"."&amp;C161&amp;"-"&amp;D161&amp;"-"&amp;H161&amp;"."&amp;I161&amp;"."&amp;J161)</f>
        <v/>
      </c>
      <c r="B161">
        <f>IF($L161="","",INDEX(Расчет!$A$2:$A$3001,$L161))</f>
        <v/>
      </c>
      <c r="C161">
        <f>IF($L161="","",INDEX(Расчет!$B$2:$B$3001,$L161))</f>
        <v/>
      </c>
      <c r="D161">
        <f>IF($L161="","",IF(ISNUMBER(FIND("(",INDEX(Расчет!$C$2:$C$3001,$L161))),SUBSTITUTE(MID(INDEX(Расчет!$C$2:$C$3001,$L161),FIND("(",INDEX(Расчет!$C$2:$C$3001,$L161))+1,99),")",""),INDEX(Расчет!$C$2:$C$3001,$L161)))</f>
        <v/>
      </c>
      <c r="E161">
        <f>IF($L161="","",INDEX(Расчет!$D$2:$D$3001,$L161))</f>
        <v/>
      </c>
      <c r="F161">
        <f>IF($L161="","",INDEX(Расчет!$E$2:$E$3001,$L161))</f>
        <v/>
      </c>
      <c r="G161">
        <f>IF($L161="","",IFERROR(--LEFT(INDEX(Расчет!$C$2:$C$3001,$L161),FIND("(",INDEX(Расчет!$C$2:$C$3001,$L161))-1),IFERROR(--LEFT(INDEX(Расчет!$C$2:$C$3001,$L161),1),"")))</f>
        <v/>
      </c>
      <c r="H161">
        <f>IF($L161="","",SUMIFS(Расчет!$G$2:$G$3001,Расчет!$I$2:$I$3001,$K161,Расчет!$H$2:$H$3001,1))</f>
        <v/>
      </c>
      <c r="I161">
        <f>IF($L161="","",SUMIFS(Расчет!$G$2:$G$3001,Расчет!$I$2:$I$3001,$K161,Расчет!$H$2:$H$3001,2))</f>
        <v/>
      </c>
      <c r="J161">
        <f>IF($L161="","",SUMIFS(Расчет!$G$2:$G$3001,Расчет!$I$2:$I$3001,$K161,Расчет!$H$2:$H$3001,3))</f>
        <v/>
      </c>
      <c r="K161">
        <f>IF($L161="","",INDEX(Расчет!$I$2:$I$3001,$L161))</f>
        <v/>
      </c>
      <c r="L161">
        <f>IFERROR(MATCH(ROW()-1,Расчет!$J$2:$J$3001,0),"")</f>
        <v/>
      </c>
    </row>
    <row r="162">
      <c r="A162">
        <f>IF($L162="","",B162&amp;"."&amp;C162&amp;"-"&amp;D162&amp;"-"&amp;H162&amp;"."&amp;I162&amp;"."&amp;J162)</f>
        <v/>
      </c>
      <c r="B162">
        <f>IF($L162="","",INDEX(Расчет!$A$2:$A$3001,$L162))</f>
        <v/>
      </c>
      <c r="C162">
        <f>IF($L162="","",INDEX(Расчет!$B$2:$B$3001,$L162))</f>
        <v/>
      </c>
      <c r="D162">
        <f>IF($L162="","",IF(ISNUMBER(FIND("(",INDEX(Расчет!$C$2:$C$3001,$L162))),SUBSTITUTE(MID(INDEX(Расчет!$C$2:$C$3001,$L162),FIND("(",INDEX(Расчет!$C$2:$C$3001,$L162))+1,99),")",""),INDEX(Расчет!$C$2:$C$3001,$L162)))</f>
        <v/>
      </c>
      <c r="E162">
        <f>IF($L162="","",INDEX(Расчет!$D$2:$D$3001,$L162))</f>
        <v/>
      </c>
      <c r="F162">
        <f>IF($L162="","",INDEX(Расчет!$E$2:$E$3001,$L162))</f>
        <v/>
      </c>
      <c r="G162">
        <f>IF($L162="","",IFERROR(--LEFT(INDEX(Расчет!$C$2:$C$3001,$L162),FIND("(",INDEX(Расчет!$C$2:$C$3001,$L162))-1),IFERROR(--LEFT(INDEX(Расчет!$C$2:$C$3001,$L162),1),"")))</f>
        <v/>
      </c>
      <c r="H162">
        <f>IF($L162="","",SUMIFS(Расчет!$G$2:$G$3001,Расчет!$I$2:$I$3001,$K162,Расчет!$H$2:$H$3001,1))</f>
        <v/>
      </c>
      <c r="I162">
        <f>IF($L162="","",SUMIFS(Расчет!$G$2:$G$3001,Расчет!$I$2:$I$3001,$K162,Расчет!$H$2:$H$3001,2))</f>
        <v/>
      </c>
      <c r="J162">
        <f>IF($L162="","",SUMIFS(Расчет!$G$2:$G$3001,Расчет!$I$2:$I$3001,$K162,Расчет!$H$2:$H$3001,3))</f>
        <v/>
      </c>
      <c r="K162">
        <f>IF($L162="","",INDEX(Расчет!$I$2:$I$3001,$L162))</f>
        <v/>
      </c>
      <c r="L162">
        <f>IFERROR(MATCH(ROW()-1,Расчет!$J$2:$J$3001,0),"")</f>
        <v/>
      </c>
    </row>
    <row r="163">
      <c r="A163">
        <f>IF($L163="","",B163&amp;"."&amp;C163&amp;"-"&amp;D163&amp;"-"&amp;H163&amp;"."&amp;I163&amp;"."&amp;J163)</f>
        <v/>
      </c>
      <c r="B163">
        <f>IF($L163="","",INDEX(Расчет!$A$2:$A$3001,$L163))</f>
        <v/>
      </c>
      <c r="C163">
        <f>IF($L163="","",INDEX(Расчет!$B$2:$B$3001,$L163))</f>
        <v/>
      </c>
      <c r="D163">
        <f>IF($L163="","",IF(ISNUMBER(FIND("(",INDEX(Расчет!$C$2:$C$3001,$L163))),SUBSTITUTE(MID(INDEX(Расчет!$C$2:$C$3001,$L163),FIND("(",INDEX(Расчет!$C$2:$C$3001,$L163))+1,99),")",""),INDEX(Расчет!$C$2:$C$3001,$L163)))</f>
        <v/>
      </c>
      <c r="E163">
        <f>IF($L163="","",INDEX(Расчет!$D$2:$D$3001,$L163))</f>
        <v/>
      </c>
      <c r="F163">
        <f>IF($L163="","",INDEX(Расчет!$E$2:$E$3001,$L163))</f>
        <v/>
      </c>
      <c r="G163">
        <f>IF($L163="","",IFERROR(--LEFT(INDEX(Расчет!$C$2:$C$3001,$L163),FIND("(",INDEX(Расчет!$C$2:$C$3001,$L163))-1),IFERROR(--LEFT(INDEX(Расчет!$C$2:$C$3001,$L163),1),"")))</f>
        <v/>
      </c>
      <c r="H163">
        <f>IF($L163="","",SUMIFS(Расчет!$G$2:$G$3001,Расчет!$I$2:$I$3001,$K163,Расчет!$H$2:$H$3001,1))</f>
        <v/>
      </c>
      <c r="I163">
        <f>IF($L163="","",SUMIFS(Расчет!$G$2:$G$3001,Расчет!$I$2:$I$3001,$K163,Расчет!$H$2:$H$3001,2))</f>
        <v/>
      </c>
      <c r="J163">
        <f>IF($L163="","",SUMIFS(Расчет!$G$2:$G$3001,Расчет!$I$2:$I$3001,$K163,Расчет!$H$2:$H$3001,3))</f>
        <v/>
      </c>
      <c r="K163">
        <f>IF($L163="","",INDEX(Расчет!$I$2:$I$3001,$L163))</f>
        <v/>
      </c>
      <c r="L163">
        <f>IFERROR(MATCH(ROW()-1,Расчет!$J$2:$J$3001,0),"")</f>
        <v/>
      </c>
    </row>
    <row r="164">
      <c r="A164">
        <f>IF($L164="","",B164&amp;"."&amp;C164&amp;"-"&amp;D164&amp;"-"&amp;H164&amp;"."&amp;I164&amp;"."&amp;J164)</f>
        <v/>
      </c>
      <c r="B164">
        <f>IF($L164="","",INDEX(Расчет!$A$2:$A$3001,$L164))</f>
        <v/>
      </c>
      <c r="C164">
        <f>IF($L164="","",INDEX(Расчет!$B$2:$B$3001,$L164))</f>
        <v/>
      </c>
      <c r="D164">
        <f>IF($L164="","",IF(ISNUMBER(FIND("(",INDEX(Расчет!$C$2:$C$3001,$L164))),SUBSTITUTE(MID(INDEX(Расчет!$C$2:$C$3001,$L164),FIND("(",INDEX(Расчет!$C$2:$C$3001,$L164))+1,99),")",""),INDEX(Расчет!$C$2:$C$3001,$L164)))</f>
        <v/>
      </c>
      <c r="E164">
        <f>IF($L164="","",INDEX(Расчет!$D$2:$D$3001,$L164))</f>
        <v/>
      </c>
      <c r="F164">
        <f>IF($L164="","",INDEX(Расчет!$E$2:$E$3001,$L164))</f>
        <v/>
      </c>
      <c r="G164">
        <f>IF($L164="","",IFERROR(--LEFT(INDEX(Расчет!$C$2:$C$3001,$L164),FIND("(",INDEX(Расчет!$C$2:$C$3001,$L164))-1),IFERROR(--LEFT(INDEX(Расчет!$C$2:$C$3001,$L164),1),"")))</f>
        <v/>
      </c>
      <c r="H164">
        <f>IF($L164="","",SUMIFS(Расчет!$G$2:$G$3001,Расчет!$I$2:$I$3001,$K164,Расчет!$H$2:$H$3001,1))</f>
        <v/>
      </c>
      <c r="I164">
        <f>IF($L164="","",SUMIFS(Расчет!$G$2:$G$3001,Расчет!$I$2:$I$3001,$K164,Расчет!$H$2:$H$3001,2))</f>
        <v/>
      </c>
      <c r="J164">
        <f>IF($L164="","",SUMIFS(Расчет!$G$2:$G$3001,Расчет!$I$2:$I$3001,$K164,Расчет!$H$2:$H$3001,3))</f>
        <v/>
      </c>
      <c r="K164">
        <f>IF($L164="","",INDEX(Расчет!$I$2:$I$3001,$L164))</f>
        <v/>
      </c>
      <c r="L164">
        <f>IFERROR(MATCH(ROW()-1,Расчет!$J$2:$J$3001,0),"")</f>
        <v/>
      </c>
    </row>
    <row r="165">
      <c r="A165">
        <f>IF($L165="","",B165&amp;"."&amp;C165&amp;"-"&amp;D165&amp;"-"&amp;H165&amp;"."&amp;I165&amp;"."&amp;J165)</f>
        <v/>
      </c>
      <c r="B165">
        <f>IF($L165="","",INDEX(Расчет!$A$2:$A$3001,$L165))</f>
        <v/>
      </c>
      <c r="C165">
        <f>IF($L165="","",INDEX(Расчет!$B$2:$B$3001,$L165))</f>
        <v/>
      </c>
      <c r="D165">
        <f>IF($L165="","",IF(ISNUMBER(FIND("(",INDEX(Расчет!$C$2:$C$3001,$L165))),SUBSTITUTE(MID(INDEX(Расчет!$C$2:$C$3001,$L165),FIND("(",INDEX(Расчет!$C$2:$C$3001,$L165))+1,99),")",""),INDEX(Расчет!$C$2:$C$3001,$L165)))</f>
        <v/>
      </c>
      <c r="E165">
        <f>IF($L165="","",INDEX(Расчет!$D$2:$D$3001,$L165))</f>
        <v/>
      </c>
      <c r="F165">
        <f>IF($L165="","",INDEX(Расчет!$E$2:$E$3001,$L165))</f>
        <v/>
      </c>
      <c r="G165">
        <f>IF($L165="","",IFERROR(--LEFT(INDEX(Расчет!$C$2:$C$3001,$L165),FIND("(",INDEX(Расчет!$C$2:$C$3001,$L165))-1),IFERROR(--LEFT(INDEX(Расчет!$C$2:$C$3001,$L165),1),"")))</f>
        <v/>
      </c>
      <c r="H165">
        <f>IF($L165="","",SUMIFS(Расчет!$G$2:$G$3001,Расчет!$I$2:$I$3001,$K165,Расчет!$H$2:$H$3001,1))</f>
        <v/>
      </c>
      <c r="I165">
        <f>IF($L165="","",SUMIFS(Расчет!$G$2:$G$3001,Расчет!$I$2:$I$3001,$K165,Расчет!$H$2:$H$3001,2))</f>
        <v/>
      </c>
      <c r="J165">
        <f>IF($L165="","",SUMIFS(Расчет!$G$2:$G$3001,Расчет!$I$2:$I$3001,$K165,Расчет!$H$2:$H$3001,3))</f>
        <v/>
      </c>
      <c r="K165">
        <f>IF($L165="","",INDEX(Расчет!$I$2:$I$3001,$L165))</f>
        <v/>
      </c>
      <c r="L165">
        <f>IFERROR(MATCH(ROW()-1,Расчет!$J$2:$J$3001,0),"")</f>
        <v/>
      </c>
    </row>
    <row r="166">
      <c r="A166">
        <f>IF($L166="","",B166&amp;"."&amp;C166&amp;"-"&amp;D166&amp;"-"&amp;H166&amp;"."&amp;I166&amp;"."&amp;J166)</f>
        <v/>
      </c>
      <c r="B166">
        <f>IF($L166="","",INDEX(Расчет!$A$2:$A$3001,$L166))</f>
        <v/>
      </c>
      <c r="C166">
        <f>IF($L166="","",INDEX(Расчет!$B$2:$B$3001,$L166))</f>
        <v/>
      </c>
      <c r="D166">
        <f>IF($L166="","",IF(ISNUMBER(FIND("(",INDEX(Расчет!$C$2:$C$3001,$L166))),SUBSTITUTE(MID(INDEX(Расчет!$C$2:$C$3001,$L166),FIND("(",INDEX(Расчет!$C$2:$C$3001,$L166))+1,99),")",""),INDEX(Расчет!$C$2:$C$3001,$L166)))</f>
        <v/>
      </c>
      <c r="E166">
        <f>IF($L166="","",INDEX(Расчет!$D$2:$D$3001,$L166))</f>
        <v/>
      </c>
      <c r="F166">
        <f>IF($L166="","",INDEX(Расчет!$E$2:$E$3001,$L166))</f>
        <v/>
      </c>
      <c r="G166">
        <f>IF($L166="","",IFERROR(--LEFT(INDEX(Расчет!$C$2:$C$3001,$L166),FIND("(",INDEX(Расчет!$C$2:$C$3001,$L166))-1),IFERROR(--LEFT(INDEX(Расчет!$C$2:$C$3001,$L166),1),"")))</f>
        <v/>
      </c>
      <c r="H166">
        <f>IF($L166="","",SUMIFS(Расчет!$G$2:$G$3001,Расчет!$I$2:$I$3001,$K166,Расчет!$H$2:$H$3001,1))</f>
        <v/>
      </c>
      <c r="I166">
        <f>IF($L166="","",SUMIFS(Расчет!$G$2:$G$3001,Расчет!$I$2:$I$3001,$K166,Расчет!$H$2:$H$3001,2))</f>
        <v/>
      </c>
      <c r="J166">
        <f>IF($L166="","",SUMIFS(Расчет!$G$2:$G$3001,Расчет!$I$2:$I$3001,$K166,Расчет!$H$2:$H$3001,3))</f>
        <v/>
      </c>
      <c r="K166">
        <f>IF($L166="","",INDEX(Расчет!$I$2:$I$3001,$L166))</f>
        <v/>
      </c>
      <c r="L166">
        <f>IFERROR(MATCH(ROW()-1,Расчет!$J$2:$J$3001,0),"")</f>
        <v/>
      </c>
    </row>
    <row r="167">
      <c r="A167">
        <f>IF($L167="","",B167&amp;"."&amp;C167&amp;"-"&amp;D167&amp;"-"&amp;H167&amp;"."&amp;I167&amp;"."&amp;J167)</f>
        <v/>
      </c>
      <c r="B167">
        <f>IF($L167="","",INDEX(Расчет!$A$2:$A$3001,$L167))</f>
        <v/>
      </c>
      <c r="C167">
        <f>IF($L167="","",INDEX(Расчет!$B$2:$B$3001,$L167))</f>
        <v/>
      </c>
      <c r="D167">
        <f>IF($L167="","",IF(ISNUMBER(FIND("(",INDEX(Расчет!$C$2:$C$3001,$L167))),SUBSTITUTE(MID(INDEX(Расчет!$C$2:$C$3001,$L167),FIND("(",INDEX(Расчет!$C$2:$C$3001,$L167))+1,99),")",""),INDEX(Расчет!$C$2:$C$3001,$L167)))</f>
        <v/>
      </c>
      <c r="E167">
        <f>IF($L167="","",INDEX(Расчет!$D$2:$D$3001,$L167))</f>
        <v/>
      </c>
      <c r="F167">
        <f>IF($L167="","",INDEX(Расчет!$E$2:$E$3001,$L167))</f>
        <v/>
      </c>
      <c r="G167">
        <f>IF($L167="","",IFERROR(--LEFT(INDEX(Расчет!$C$2:$C$3001,$L167),FIND("(",INDEX(Расчет!$C$2:$C$3001,$L167))-1),IFERROR(--LEFT(INDEX(Расчет!$C$2:$C$3001,$L167),1),"")))</f>
        <v/>
      </c>
      <c r="H167">
        <f>IF($L167="","",SUMIFS(Расчет!$G$2:$G$3001,Расчет!$I$2:$I$3001,$K167,Расчет!$H$2:$H$3001,1))</f>
        <v/>
      </c>
      <c r="I167">
        <f>IF($L167="","",SUMIFS(Расчет!$G$2:$G$3001,Расчет!$I$2:$I$3001,$K167,Расчет!$H$2:$H$3001,2))</f>
        <v/>
      </c>
      <c r="J167">
        <f>IF($L167="","",SUMIFS(Расчет!$G$2:$G$3001,Расчет!$I$2:$I$3001,$K167,Расчет!$H$2:$H$3001,3))</f>
        <v/>
      </c>
      <c r="K167">
        <f>IF($L167="","",INDEX(Расчет!$I$2:$I$3001,$L167))</f>
        <v/>
      </c>
      <c r="L167">
        <f>IFERROR(MATCH(ROW()-1,Расчет!$J$2:$J$3001,0),"")</f>
        <v/>
      </c>
    </row>
    <row r="168">
      <c r="A168">
        <f>IF($L168="","",B168&amp;"."&amp;C168&amp;"-"&amp;D168&amp;"-"&amp;H168&amp;"."&amp;I168&amp;"."&amp;J168)</f>
        <v/>
      </c>
      <c r="B168">
        <f>IF($L168="","",INDEX(Расчет!$A$2:$A$3001,$L168))</f>
        <v/>
      </c>
      <c r="C168">
        <f>IF($L168="","",INDEX(Расчет!$B$2:$B$3001,$L168))</f>
        <v/>
      </c>
      <c r="D168">
        <f>IF($L168="","",IF(ISNUMBER(FIND("(",INDEX(Расчет!$C$2:$C$3001,$L168))),SUBSTITUTE(MID(INDEX(Расчет!$C$2:$C$3001,$L168),FIND("(",INDEX(Расчет!$C$2:$C$3001,$L168))+1,99),")",""),INDEX(Расчет!$C$2:$C$3001,$L168)))</f>
        <v/>
      </c>
      <c r="E168">
        <f>IF($L168="","",INDEX(Расчет!$D$2:$D$3001,$L168))</f>
        <v/>
      </c>
      <c r="F168">
        <f>IF($L168="","",INDEX(Расчет!$E$2:$E$3001,$L168))</f>
        <v/>
      </c>
      <c r="G168">
        <f>IF($L168="","",IFERROR(--LEFT(INDEX(Расчет!$C$2:$C$3001,$L168),FIND("(",INDEX(Расчет!$C$2:$C$3001,$L168))-1),IFERROR(--LEFT(INDEX(Расчет!$C$2:$C$3001,$L168),1),"")))</f>
        <v/>
      </c>
      <c r="H168">
        <f>IF($L168="","",SUMIFS(Расчет!$G$2:$G$3001,Расчет!$I$2:$I$3001,$K168,Расчет!$H$2:$H$3001,1))</f>
        <v/>
      </c>
      <c r="I168">
        <f>IF($L168="","",SUMIFS(Расчет!$G$2:$G$3001,Расчет!$I$2:$I$3001,$K168,Расчет!$H$2:$H$3001,2))</f>
        <v/>
      </c>
      <c r="J168">
        <f>IF($L168="","",SUMIFS(Расчет!$G$2:$G$3001,Расчет!$I$2:$I$3001,$K168,Расчет!$H$2:$H$3001,3))</f>
        <v/>
      </c>
      <c r="K168">
        <f>IF($L168="","",INDEX(Расчет!$I$2:$I$3001,$L168))</f>
        <v/>
      </c>
      <c r="L168">
        <f>IFERROR(MATCH(ROW()-1,Расчет!$J$2:$J$3001,0),"")</f>
        <v/>
      </c>
    </row>
    <row r="169">
      <c r="A169">
        <f>IF($L169="","",B169&amp;"."&amp;C169&amp;"-"&amp;D169&amp;"-"&amp;H169&amp;"."&amp;I169&amp;"."&amp;J169)</f>
        <v/>
      </c>
      <c r="B169">
        <f>IF($L169="","",INDEX(Расчет!$A$2:$A$3001,$L169))</f>
        <v/>
      </c>
      <c r="C169">
        <f>IF($L169="","",INDEX(Расчет!$B$2:$B$3001,$L169))</f>
        <v/>
      </c>
      <c r="D169">
        <f>IF($L169="","",IF(ISNUMBER(FIND("(",INDEX(Расчет!$C$2:$C$3001,$L169))),SUBSTITUTE(MID(INDEX(Расчет!$C$2:$C$3001,$L169),FIND("(",INDEX(Расчет!$C$2:$C$3001,$L169))+1,99),")",""),INDEX(Расчет!$C$2:$C$3001,$L169)))</f>
        <v/>
      </c>
      <c r="E169">
        <f>IF($L169="","",INDEX(Расчет!$D$2:$D$3001,$L169))</f>
        <v/>
      </c>
      <c r="F169">
        <f>IF($L169="","",INDEX(Расчет!$E$2:$E$3001,$L169))</f>
        <v/>
      </c>
      <c r="G169">
        <f>IF($L169="","",IFERROR(--LEFT(INDEX(Расчет!$C$2:$C$3001,$L169),FIND("(",INDEX(Расчет!$C$2:$C$3001,$L169))-1),IFERROR(--LEFT(INDEX(Расчет!$C$2:$C$3001,$L169),1),"")))</f>
        <v/>
      </c>
      <c r="H169">
        <f>IF($L169="","",SUMIFS(Расчет!$G$2:$G$3001,Расчет!$I$2:$I$3001,$K169,Расчет!$H$2:$H$3001,1))</f>
        <v/>
      </c>
      <c r="I169">
        <f>IF($L169="","",SUMIFS(Расчет!$G$2:$G$3001,Расчет!$I$2:$I$3001,$K169,Расчет!$H$2:$H$3001,2))</f>
        <v/>
      </c>
      <c r="J169">
        <f>IF($L169="","",SUMIFS(Расчет!$G$2:$G$3001,Расчет!$I$2:$I$3001,$K169,Расчет!$H$2:$H$3001,3))</f>
        <v/>
      </c>
      <c r="K169">
        <f>IF($L169="","",INDEX(Расчет!$I$2:$I$3001,$L169))</f>
        <v/>
      </c>
      <c r="L169">
        <f>IFERROR(MATCH(ROW()-1,Расчет!$J$2:$J$3001,0),"")</f>
        <v/>
      </c>
    </row>
    <row r="170">
      <c r="A170">
        <f>IF($L170="","",B170&amp;"."&amp;C170&amp;"-"&amp;D170&amp;"-"&amp;H170&amp;"."&amp;I170&amp;"."&amp;J170)</f>
        <v/>
      </c>
      <c r="B170">
        <f>IF($L170="","",INDEX(Расчет!$A$2:$A$3001,$L170))</f>
        <v/>
      </c>
      <c r="C170">
        <f>IF($L170="","",INDEX(Расчет!$B$2:$B$3001,$L170))</f>
        <v/>
      </c>
      <c r="D170">
        <f>IF($L170="","",IF(ISNUMBER(FIND("(",INDEX(Расчет!$C$2:$C$3001,$L170))),SUBSTITUTE(MID(INDEX(Расчет!$C$2:$C$3001,$L170),FIND("(",INDEX(Расчет!$C$2:$C$3001,$L170))+1,99),")",""),INDEX(Расчет!$C$2:$C$3001,$L170)))</f>
        <v/>
      </c>
      <c r="E170">
        <f>IF($L170="","",INDEX(Расчет!$D$2:$D$3001,$L170))</f>
        <v/>
      </c>
      <c r="F170">
        <f>IF($L170="","",INDEX(Расчет!$E$2:$E$3001,$L170))</f>
        <v/>
      </c>
      <c r="G170">
        <f>IF($L170="","",IFERROR(--LEFT(INDEX(Расчет!$C$2:$C$3001,$L170),FIND("(",INDEX(Расчет!$C$2:$C$3001,$L170))-1),IFERROR(--LEFT(INDEX(Расчет!$C$2:$C$3001,$L170),1),"")))</f>
        <v/>
      </c>
      <c r="H170">
        <f>IF($L170="","",SUMIFS(Расчет!$G$2:$G$3001,Расчет!$I$2:$I$3001,$K170,Расчет!$H$2:$H$3001,1))</f>
        <v/>
      </c>
      <c r="I170">
        <f>IF($L170="","",SUMIFS(Расчет!$G$2:$G$3001,Расчет!$I$2:$I$3001,$K170,Расчет!$H$2:$H$3001,2))</f>
        <v/>
      </c>
      <c r="J170">
        <f>IF($L170="","",SUMIFS(Расчет!$G$2:$G$3001,Расчет!$I$2:$I$3001,$K170,Расчет!$H$2:$H$3001,3))</f>
        <v/>
      </c>
      <c r="K170">
        <f>IF($L170="","",INDEX(Расчет!$I$2:$I$3001,$L170))</f>
        <v/>
      </c>
      <c r="L170">
        <f>IFERROR(MATCH(ROW()-1,Расчет!$J$2:$J$3001,0),"")</f>
        <v/>
      </c>
    </row>
    <row r="171">
      <c r="A171">
        <f>IF($L171="","",B171&amp;"."&amp;C171&amp;"-"&amp;D171&amp;"-"&amp;H171&amp;"."&amp;I171&amp;"."&amp;J171)</f>
        <v/>
      </c>
      <c r="B171">
        <f>IF($L171="","",INDEX(Расчет!$A$2:$A$3001,$L171))</f>
        <v/>
      </c>
      <c r="C171">
        <f>IF($L171="","",INDEX(Расчет!$B$2:$B$3001,$L171))</f>
        <v/>
      </c>
      <c r="D171">
        <f>IF($L171="","",IF(ISNUMBER(FIND("(",INDEX(Расчет!$C$2:$C$3001,$L171))),SUBSTITUTE(MID(INDEX(Расчет!$C$2:$C$3001,$L171),FIND("(",INDEX(Расчет!$C$2:$C$3001,$L171))+1,99),")",""),INDEX(Расчет!$C$2:$C$3001,$L171)))</f>
        <v/>
      </c>
      <c r="E171">
        <f>IF($L171="","",INDEX(Расчет!$D$2:$D$3001,$L171))</f>
        <v/>
      </c>
      <c r="F171">
        <f>IF($L171="","",INDEX(Расчет!$E$2:$E$3001,$L171))</f>
        <v/>
      </c>
      <c r="G171">
        <f>IF($L171="","",IFERROR(--LEFT(INDEX(Расчет!$C$2:$C$3001,$L171),FIND("(",INDEX(Расчет!$C$2:$C$3001,$L171))-1),IFERROR(--LEFT(INDEX(Расчет!$C$2:$C$3001,$L171),1),"")))</f>
        <v/>
      </c>
      <c r="H171">
        <f>IF($L171="","",SUMIFS(Расчет!$G$2:$G$3001,Расчет!$I$2:$I$3001,$K171,Расчет!$H$2:$H$3001,1))</f>
        <v/>
      </c>
      <c r="I171">
        <f>IF($L171="","",SUMIFS(Расчет!$G$2:$G$3001,Расчет!$I$2:$I$3001,$K171,Расчет!$H$2:$H$3001,2))</f>
        <v/>
      </c>
      <c r="J171">
        <f>IF($L171="","",SUMIFS(Расчет!$G$2:$G$3001,Расчет!$I$2:$I$3001,$K171,Расчет!$H$2:$H$3001,3))</f>
        <v/>
      </c>
      <c r="K171">
        <f>IF($L171="","",INDEX(Расчет!$I$2:$I$3001,$L171))</f>
        <v/>
      </c>
      <c r="L171">
        <f>IFERROR(MATCH(ROW()-1,Расчет!$J$2:$J$3001,0),"")</f>
        <v/>
      </c>
    </row>
    <row r="172">
      <c r="A172">
        <f>IF($L172="","",B172&amp;"."&amp;C172&amp;"-"&amp;D172&amp;"-"&amp;H172&amp;"."&amp;I172&amp;"."&amp;J172)</f>
        <v/>
      </c>
      <c r="B172">
        <f>IF($L172="","",INDEX(Расчет!$A$2:$A$3001,$L172))</f>
        <v/>
      </c>
      <c r="C172">
        <f>IF($L172="","",INDEX(Расчет!$B$2:$B$3001,$L172))</f>
        <v/>
      </c>
      <c r="D172">
        <f>IF($L172="","",IF(ISNUMBER(FIND("(",INDEX(Расчет!$C$2:$C$3001,$L172))),SUBSTITUTE(MID(INDEX(Расчет!$C$2:$C$3001,$L172),FIND("(",INDEX(Расчет!$C$2:$C$3001,$L172))+1,99),")",""),INDEX(Расчет!$C$2:$C$3001,$L172)))</f>
        <v/>
      </c>
      <c r="E172">
        <f>IF($L172="","",INDEX(Расчет!$D$2:$D$3001,$L172))</f>
        <v/>
      </c>
      <c r="F172">
        <f>IF($L172="","",INDEX(Расчет!$E$2:$E$3001,$L172))</f>
        <v/>
      </c>
      <c r="G172">
        <f>IF($L172="","",IFERROR(--LEFT(INDEX(Расчет!$C$2:$C$3001,$L172),FIND("(",INDEX(Расчет!$C$2:$C$3001,$L172))-1),IFERROR(--LEFT(INDEX(Расчет!$C$2:$C$3001,$L172),1),"")))</f>
        <v/>
      </c>
      <c r="H172">
        <f>IF($L172="","",SUMIFS(Расчет!$G$2:$G$3001,Расчет!$I$2:$I$3001,$K172,Расчет!$H$2:$H$3001,1))</f>
        <v/>
      </c>
      <c r="I172">
        <f>IF($L172="","",SUMIFS(Расчет!$G$2:$G$3001,Расчет!$I$2:$I$3001,$K172,Расчет!$H$2:$H$3001,2))</f>
        <v/>
      </c>
      <c r="J172">
        <f>IF($L172="","",SUMIFS(Расчет!$G$2:$G$3001,Расчет!$I$2:$I$3001,$K172,Расчет!$H$2:$H$3001,3))</f>
        <v/>
      </c>
      <c r="K172">
        <f>IF($L172="","",INDEX(Расчет!$I$2:$I$3001,$L172))</f>
        <v/>
      </c>
      <c r="L172">
        <f>IFERROR(MATCH(ROW()-1,Расчет!$J$2:$J$3001,0),"")</f>
        <v/>
      </c>
    </row>
    <row r="173">
      <c r="A173">
        <f>IF($L173="","",B173&amp;"."&amp;C173&amp;"-"&amp;D173&amp;"-"&amp;H173&amp;"."&amp;I173&amp;"."&amp;J173)</f>
        <v/>
      </c>
      <c r="B173">
        <f>IF($L173="","",INDEX(Расчет!$A$2:$A$3001,$L173))</f>
        <v/>
      </c>
      <c r="C173">
        <f>IF($L173="","",INDEX(Расчет!$B$2:$B$3001,$L173))</f>
        <v/>
      </c>
      <c r="D173">
        <f>IF($L173="","",IF(ISNUMBER(FIND("(",INDEX(Расчет!$C$2:$C$3001,$L173))),SUBSTITUTE(MID(INDEX(Расчет!$C$2:$C$3001,$L173),FIND("(",INDEX(Расчет!$C$2:$C$3001,$L173))+1,99),")",""),INDEX(Расчет!$C$2:$C$3001,$L173)))</f>
        <v/>
      </c>
      <c r="E173">
        <f>IF($L173="","",INDEX(Расчет!$D$2:$D$3001,$L173))</f>
        <v/>
      </c>
      <c r="F173">
        <f>IF($L173="","",INDEX(Расчет!$E$2:$E$3001,$L173))</f>
        <v/>
      </c>
      <c r="G173">
        <f>IF($L173="","",IFERROR(--LEFT(INDEX(Расчет!$C$2:$C$3001,$L173),FIND("(",INDEX(Расчет!$C$2:$C$3001,$L173))-1),IFERROR(--LEFT(INDEX(Расчет!$C$2:$C$3001,$L173),1),"")))</f>
        <v/>
      </c>
      <c r="H173">
        <f>IF($L173="","",SUMIFS(Расчет!$G$2:$G$3001,Расчет!$I$2:$I$3001,$K173,Расчет!$H$2:$H$3001,1))</f>
        <v/>
      </c>
      <c r="I173">
        <f>IF($L173="","",SUMIFS(Расчет!$G$2:$G$3001,Расчет!$I$2:$I$3001,$K173,Расчет!$H$2:$H$3001,2))</f>
        <v/>
      </c>
      <c r="J173">
        <f>IF($L173="","",SUMIFS(Расчет!$G$2:$G$3001,Расчет!$I$2:$I$3001,$K173,Расчет!$H$2:$H$3001,3))</f>
        <v/>
      </c>
      <c r="K173">
        <f>IF($L173="","",INDEX(Расчет!$I$2:$I$3001,$L173))</f>
        <v/>
      </c>
      <c r="L173">
        <f>IFERROR(MATCH(ROW()-1,Расчет!$J$2:$J$3001,0),"")</f>
        <v/>
      </c>
    </row>
    <row r="174">
      <c r="A174">
        <f>IF($L174="","",B174&amp;"."&amp;C174&amp;"-"&amp;D174&amp;"-"&amp;H174&amp;"."&amp;I174&amp;"."&amp;J174)</f>
        <v/>
      </c>
      <c r="B174">
        <f>IF($L174="","",INDEX(Расчет!$A$2:$A$3001,$L174))</f>
        <v/>
      </c>
      <c r="C174">
        <f>IF($L174="","",INDEX(Расчет!$B$2:$B$3001,$L174))</f>
        <v/>
      </c>
      <c r="D174">
        <f>IF($L174="","",IF(ISNUMBER(FIND("(",INDEX(Расчет!$C$2:$C$3001,$L174))),SUBSTITUTE(MID(INDEX(Расчет!$C$2:$C$3001,$L174),FIND("(",INDEX(Расчет!$C$2:$C$3001,$L174))+1,99),")",""),INDEX(Расчет!$C$2:$C$3001,$L174)))</f>
        <v/>
      </c>
      <c r="E174">
        <f>IF($L174="","",INDEX(Расчет!$D$2:$D$3001,$L174))</f>
        <v/>
      </c>
      <c r="F174">
        <f>IF($L174="","",INDEX(Расчет!$E$2:$E$3001,$L174))</f>
        <v/>
      </c>
      <c r="G174">
        <f>IF($L174="","",IFERROR(--LEFT(INDEX(Расчет!$C$2:$C$3001,$L174),FIND("(",INDEX(Расчет!$C$2:$C$3001,$L174))-1),IFERROR(--LEFT(INDEX(Расчет!$C$2:$C$3001,$L174),1),"")))</f>
        <v/>
      </c>
      <c r="H174">
        <f>IF($L174="","",SUMIFS(Расчет!$G$2:$G$3001,Расчет!$I$2:$I$3001,$K174,Расчет!$H$2:$H$3001,1))</f>
        <v/>
      </c>
      <c r="I174">
        <f>IF($L174="","",SUMIFS(Расчет!$G$2:$G$3001,Расчет!$I$2:$I$3001,$K174,Расчет!$H$2:$H$3001,2))</f>
        <v/>
      </c>
      <c r="J174">
        <f>IF($L174="","",SUMIFS(Расчет!$G$2:$G$3001,Расчет!$I$2:$I$3001,$K174,Расчет!$H$2:$H$3001,3))</f>
        <v/>
      </c>
      <c r="K174">
        <f>IF($L174="","",INDEX(Расчет!$I$2:$I$3001,$L174))</f>
        <v/>
      </c>
      <c r="L174">
        <f>IFERROR(MATCH(ROW()-1,Расчет!$J$2:$J$3001,0),"")</f>
        <v/>
      </c>
    </row>
    <row r="175">
      <c r="A175">
        <f>IF($L175="","",B175&amp;"."&amp;C175&amp;"-"&amp;D175&amp;"-"&amp;H175&amp;"."&amp;I175&amp;"."&amp;J175)</f>
        <v/>
      </c>
      <c r="B175">
        <f>IF($L175="","",INDEX(Расчет!$A$2:$A$3001,$L175))</f>
        <v/>
      </c>
      <c r="C175">
        <f>IF($L175="","",INDEX(Расчет!$B$2:$B$3001,$L175))</f>
        <v/>
      </c>
      <c r="D175">
        <f>IF($L175="","",IF(ISNUMBER(FIND("(",INDEX(Расчет!$C$2:$C$3001,$L175))),SUBSTITUTE(MID(INDEX(Расчет!$C$2:$C$3001,$L175),FIND("(",INDEX(Расчет!$C$2:$C$3001,$L175))+1,99),")",""),INDEX(Расчет!$C$2:$C$3001,$L175)))</f>
        <v/>
      </c>
      <c r="E175">
        <f>IF($L175="","",INDEX(Расчет!$D$2:$D$3001,$L175))</f>
        <v/>
      </c>
      <c r="F175">
        <f>IF($L175="","",INDEX(Расчет!$E$2:$E$3001,$L175))</f>
        <v/>
      </c>
      <c r="G175">
        <f>IF($L175="","",IFERROR(--LEFT(INDEX(Расчет!$C$2:$C$3001,$L175),FIND("(",INDEX(Расчет!$C$2:$C$3001,$L175))-1),IFERROR(--LEFT(INDEX(Расчет!$C$2:$C$3001,$L175),1),"")))</f>
        <v/>
      </c>
      <c r="H175">
        <f>IF($L175="","",SUMIFS(Расчет!$G$2:$G$3001,Расчет!$I$2:$I$3001,$K175,Расчет!$H$2:$H$3001,1))</f>
        <v/>
      </c>
      <c r="I175">
        <f>IF($L175="","",SUMIFS(Расчет!$G$2:$G$3001,Расчет!$I$2:$I$3001,$K175,Расчет!$H$2:$H$3001,2))</f>
        <v/>
      </c>
      <c r="J175">
        <f>IF($L175="","",SUMIFS(Расчет!$G$2:$G$3001,Расчет!$I$2:$I$3001,$K175,Расчет!$H$2:$H$3001,3))</f>
        <v/>
      </c>
      <c r="K175">
        <f>IF($L175="","",INDEX(Расчет!$I$2:$I$3001,$L175))</f>
        <v/>
      </c>
      <c r="L175">
        <f>IFERROR(MATCH(ROW()-1,Расчет!$J$2:$J$3001,0),"")</f>
        <v/>
      </c>
    </row>
    <row r="176">
      <c r="A176">
        <f>IF($L176="","",B176&amp;"."&amp;C176&amp;"-"&amp;D176&amp;"-"&amp;H176&amp;"."&amp;I176&amp;"."&amp;J176)</f>
        <v/>
      </c>
      <c r="B176">
        <f>IF($L176="","",INDEX(Расчет!$A$2:$A$3001,$L176))</f>
        <v/>
      </c>
      <c r="C176">
        <f>IF($L176="","",INDEX(Расчет!$B$2:$B$3001,$L176))</f>
        <v/>
      </c>
      <c r="D176">
        <f>IF($L176="","",IF(ISNUMBER(FIND("(",INDEX(Расчет!$C$2:$C$3001,$L176))),SUBSTITUTE(MID(INDEX(Расчет!$C$2:$C$3001,$L176),FIND("(",INDEX(Расчет!$C$2:$C$3001,$L176))+1,99),")",""),INDEX(Расчет!$C$2:$C$3001,$L176)))</f>
        <v/>
      </c>
      <c r="E176">
        <f>IF($L176="","",INDEX(Расчет!$D$2:$D$3001,$L176))</f>
        <v/>
      </c>
      <c r="F176">
        <f>IF($L176="","",INDEX(Расчет!$E$2:$E$3001,$L176))</f>
        <v/>
      </c>
      <c r="G176">
        <f>IF($L176="","",IFERROR(--LEFT(INDEX(Расчет!$C$2:$C$3001,$L176),FIND("(",INDEX(Расчет!$C$2:$C$3001,$L176))-1),IFERROR(--LEFT(INDEX(Расчет!$C$2:$C$3001,$L176),1),"")))</f>
        <v/>
      </c>
      <c r="H176">
        <f>IF($L176="","",SUMIFS(Расчет!$G$2:$G$3001,Расчет!$I$2:$I$3001,$K176,Расчет!$H$2:$H$3001,1))</f>
        <v/>
      </c>
      <c r="I176">
        <f>IF($L176="","",SUMIFS(Расчет!$G$2:$G$3001,Расчет!$I$2:$I$3001,$K176,Расчет!$H$2:$H$3001,2))</f>
        <v/>
      </c>
      <c r="J176">
        <f>IF($L176="","",SUMIFS(Расчет!$G$2:$G$3001,Расчет!$I$2:$I$3001,$K176,Расчет!$H$2:$H$3001,3))</f>
        <v/>
      </c>
      <c r="K176">
        <f>IF($L176="","",INDEX(Расчет!$I$2:$I$3001,$L176))</f>
        <v/>
      </c>
      <c r="L176">
        <f>IFERROR(MATCH(ROW()-1,Расчет!$J$2:$J$3001,0),"")</f>
        <v/>
      </c>
    </row>
    <row r="177">
      <c r="A177">
        <f>IF($L177="","",B177&amp;"."&amp;C177&amp;"-"&amp;D177&amp;"-"&amp;H177&amp;"."&amp;I177&amp;"."&amp;J177)</f>
        <v/>
      </c>
      <c r="B177">
        <f>IF($L177="","",INDEX(Расчет!$A$2:$A$3001,$L177))</f>
        <v/>
      </c>
      <c r="C177">
        <f>IF($L177="","",INDEX(Расчет!$B$2:$B$3001,$L177))</f>
        <v/>
      </c>
      <c r="D177">
        <f>IF($L177="","",IF(ISNUMBER(FIND("(",INDEX(Расчет!$C$2:$C$3001,$L177))),SUBSTITUTE(MID(INDEX(Расчет!$C$2:$C$3001,$L177),FIND("(",INDEX(Расчет!$C$2:$C$3001,$L177))+1,99),")",""),INDEX(Расчет!$C$2:$C$3001,$L177)))</f>
        <v/>
      </c>
      <c r="E177">
        <f>IF($L177="","",INDEX(Расчет!$D$2:$D$3001,$L177))</f>
        <v/>
      </c>
      <c r="F177">
        <f>IF($L177="","",INDEX(Расчет!$E$2:$E$3001,$L177))</f>
        <v/>
      </c>
      <c r="G177">
        <f>IF($L177="","",IFERROR(--LEFT(INDEX(Расчет!$C$2:$C$3001,$L177),FIND("(",INDEX(Расчет!$C$2:$C$3001,$L177))-1),IFERROR(--LEFT(INDEX(Расчет!$C$2:$C$3001,$L177),1),"")))</f>
        <v/>
      </c>
      <c r="H177">
        <f>IF($L177="","",SUMIFS(Расчет!$G$2:$G$3001,Расчет!$I$2:$I$3001,$K177,Расчет!$H$2:$H$3001,1))</f>
        <v/>
      </c>
      <c r="I177">
        <f>IF($L177="","",SUMIFS(Расчет!$G$2:$G$3001,Расчет!$I$2:$I$3001,$K177,Расчет!$H$2:$H$3001,2))</f>
        <v/>
      </c>
      <c r="J177">
        <f>IF($L177="","",SUMIFS(Расчет!$G$2:$G$3001,Расчет!$I$2:$I$3001,$K177,Расчет!$H$2:$H$3001,3))</f>
        <v/>
      </c>
      <c r="K177">
        <f>IF($L177="","",INDEX(Расчет!$I$2:$I$3001,$L177))</f>
        <v/>
      </c>
      <c r="L177">
        <f>IFERROR(MATCH(ROW()-1,Расчет!$J$2:$J$3001,0),"")</f>
        <v/>
      </c>
    </row>
    <row r="178">
      <c r="A178">
        <f>IF($L178="","",B178&amp;"."&amp;C178&amp;"-"&amp;D178&amp;"-"&amp;H178&amp;"."&amp;I178&amp;"."&amp;J178)</f>
        <v/>
      </c>
      <c r="B178">
        <f>IF($L178="","",INDEX(Расчет!$A$2:$A$3001,$L178))</f>
        <v/>
      </c>
      <c r="C178">
        <f>IF($L178="","",INDEX(Расчет!$B$2:$B$3001,$L178))</f>
        <v/>
      </c>
      <c r="D178">
        <f>IF($L178="","",IF(ISNUMBER(FIND("(",INDEX(Расчет!$C$2:$C$3001,$L178))),SUBSTITUTE(MID(INDEX(Расчет!$C$2:$C$3001,$L178),FIND("(",INDEX(Расчет!$C$2:$C$3001,$L178))+1,99),")",""),INDEX(Расчет!$C$2:$C$3001,$L178)))</f>
        <v/>
      </c>
      <c r="E178">
        <f>IF($L178="","",INDEX(Расчет!$D$2:$D$3001,$L178))</f>
        <v/>
      </c>
      <c r="F178">
        <f>IF($L178="","",INDEX(Расчет!$E$2:$E$3001,$L178))</f>
        <v/>
      </c>
      <c r="G178">
        <f>IF($L178="","",IFERROR(--LEFT(INDEX(Расчет!$C$2:$C$3001,$L178),FIND("(",INDEX(Расчет!$C$2:$C$3001,$L178))-1),IFERROR(--LEFT(INDEX(Расчет!$C$2:$C$3001,$L178),1),"")))</f>
        <v/>
      </c>
      <c r="H178">
        <f>IF($L178="","",SUMIFS(Расчет!$G$2:$G$3001,Расчет!$I$2:$I$3001,$K178,Расчет!$H$2:$H$3001,1))</f>
        <v/>
      </c>
      <c r="I178">
        <f>IF($L178="","",SUMIFS(Расчет!$G$2:$G$3001,Расчет!$I$2:$I$3001,$K178,Расчет!$H$2:$H$3001,2))</f>
        <v/>
      </c>
      <c r="J178">
        <f>IF($L178="","",SUMIFS(Расчет!$G$2:$G$3001,Расчет!$I$2:$I$3001,$K178,Расчет!$H$2:$H$3001,3))</f>
        <v/>
      </c>
      <c r="K178">
        <f>IF($L178="","",INDEX(Расчет!$I$2:$I$3001,$L178))</f>
        <v/>
      </c>
      <c r="L178">
        <f>IFERROR(MATCH(ROW()-1,Расчет!$J$2:$J$3001,0),"")</f>
        <v/>
      </c>
    </row>
    <row r="179">
      <c r="A179">
        <f>IF($L179="","",B179&amp;"."&amp;C179&amp;"-"&amp;D179&amp;"-"&amp;H179&amp;"."&amp;I179&amp;"."&amp;J179)</f>
        <v/>
      </c>
      <c r="B179">
        <f>IF($L179="","",INDEX(Расчет!$A$2:$A$3001,$L179))</f>
        <v/>
      </c>
      <c r="C179">
        <f>IF($L179="","",INDEX(Расчет!$B$2:$B$3001,$L179))</f>
        <v/>
      </c>
      <c r="D179">
        <f>IF($L179="","",IF(ISNUMBER(FIND("(",INDEX(Расчет!$C$2:$C$3001,$L179))),SUBSTITUTE(MID(INDEX(Расчет!$C$2:$C$3001,$L179),FIND("(",INDEX(Расчет!$C$2:$C$3001,$L179))+1,99),")",""),INDEX(Расчет!$C$2:$C$3001,$L179)))</f>
        <v/>
      </c>
      <c r="E179">
        <f>IF($L179="","",INDEX(Расчет!$D$2:$D$3001,$L179))</f>
        <v/>
      </c>
      <c r="F179">
        <f>IF($L179="","",INDEX(Расчет!$E$2:$E$3001,$L179))</f>
        <v/>
      </c>
      <c r="G179">
        <f>IF($L179="","",IFERROR(--LEFT(INDEX(Расчет!$C$2:$C$3001,$L179),FIND("(",INDEX(Расчет!$C$2:$C$3001,$L179))-1),IFERROR(--LEFT(INDEX(Расчет!$C$2:$C$3001,$L179),1),"")))</f>
        <v/>
      </c>
      <c r="H179">
        <f>IF($L179="","",SUMIFS(Расчет!$G$2:$G$3001,Расчет!$I$2:$I$3001,$K179,Расчет!$H$2:$H$3001,1))</f>
        <v/>
      </c>
      <c r="I179">
        <f>IF($L179="","",SUMIFS(Расчет!$G$2:$G$3001,Расчет!$I$2:$I$3001,$K179,Расчет!$H$2:$H$3001,2))</f>
        <v/>
      </c>
      <c r="J179">
        <f>IF($L179="","",SUMIFS(Расчет!$G$2:$G$3001,Расчет!$I$2:$I$3001,$K179,Расчет!$H$2:$H$3001,3))</f>
        <v/>
      </c>
      <c r="K179">
        <f>IF($L179="","",INDEX(Расчет!$I$2:$I$3001,$L179))</f>
        <v/>
      </c>
      <c r="L179">
        <f>IFERROR(MATCH(ROW()-1,Расчет!$J$2:$J$3001,0),"")</f>
        <v/>
      </c>
    </row>
    <row r="180">
      <c r="A180">
        <f>IF($L180="","",B180&amp;"."&amp;C180&amp;"-"&amp;D180&amp;"-"&amp;H180&amp;"."&amp;I180&amp;"."&amp;J180)</f>
        <v/>
      </c>
      <c r="B180">
        <f>IF($L180="","",INDEX(Расчет!$A$2:$A$3001,$L180))</f>
        <v/>
      </c>
      <c r="C180">
        <f>IF($L180="","",INDEX(Расчет!$B$2:$B$3001,$L180))</f>
        <v/>
      </c>
      <c r="D180">
        <f>IF($L180="","",IF(ISNUMBER(FIND("(",INDEX(Расчет!$C$2:$C$3001,$L180))),SUBSTITUTE(MID(INDEX(Расчет!$C$2:$C$3001,$L180),FIND("(",INDEX(Расчет!$C$2:$C$3001,$L180))+1,99),")",""),INDEX(Расчет!$C$2:$C$3001,$L180)))</f>
        <v/>
      </c>
      <c r="E180">
        <f>IF($L180="","",INDEX(Расчет!$D$2:$D$3001,$L180))</f>
        <v/>
      </c>
      <c r="F180">
        <f>IF($L180="","",INDEX(Расчет!$E$2:$E$3001,$L180))</f>
        <v/>
      </c>
      <c r="G180">
        <f>IF($L180="","",IFERROR(--LEFT(INDEX(Расчет!$C$2:$C$3001,$L180),FIND("(",INDEX(Расчет!$C$2:$C$3001,$L180))-1),IFERROR(--LEFT(INDEX(Расчет!$C$2:$C$3001,$L180),1),"")))</f>
        <v/>
      </c>
      <c r="H180">
        <f>IF($L180="","",SUMIFS(Расчет!$G$2:$G$3001,Расчет!$I$2:$I$3001,$K180,Расчет!$H$2:$H$3001,1))</f>
        <v/>
      </c>
      <c r="I180">
        <f>IF($L180="","",SUMIFS(Расчет!$G$2:$G$3001,Расчет!$I$2:$I$3001,$K180,Расчет!$H$2:$H$3001,2))</f>
        <v/>
      </c>
      <c r="J180">
        <f>IF($L180="","",SUMIFS(Расчет!$G$2:$G$3001,Расчет!$I$2:$I$3001,$K180,Расчет!$H$2:$H$3001,3))</f>
        <v/>
      </c>
      <c r="K180">
        <f>IF($L180="","",INDEX(Расчет!$I$2:$I$3001,$L180))</f>
        <v/>
      </c>
      <c r="L180">
        <f>IFERROR(MATCH(ROW()-1,Расчет!$J$2:$J$3001,0),"")</f>
        <v/>
      </c>
    </row>
    <row r="181">
      <c r="A181">
        <f>IF($L181="","",B181&amp;"."&amp;C181&amp;"-"&amp;D181&amp;"-"&amp;H181&amp;"."&amp;I181&amp;"."&amp;J181)</f>
        <v/>
      </c>
      <c r="B181">
        <f>IF($L181="","",INDEX(Расчет!$A$2:$A$3001,$L181))</f>
        <v/>
      </c>
      <c r="C181">
        <f>IF($L181="","",INDEX(Расчет!$B$2:$B$3001,$L181))</f>
        <v/>
      </c>
      <c r="D181">
        <f>IF($L181="","",IF(ISNUMBER(FIND("(",INDEX(Расчет!$C$2:$C$3001,$L181))),SUBSTITUTE(MID(INDEX(Расчет!$C$2:$C$3001,$L181),FIND("(",INDEX(Расчет!$C$2:$C$3001,$L181))+1,99),")",""),INDEX(Расчет!$C$2:$C$3001,$L181)))</f>
        <v/>
      </c>
      <c r="E181">
        <f>IF($L181="","",INDEX(Расчет!$D$2:$D$3001,$L181))</f>
        <v/>
      </c>
      <c r="F181">
        <f>IF($L181="","",INDEX(Расчет!$E$2:$E$3001,$L181))</f>
        <v/>
      </c>
      <c r="G181">
        <f>IF($L181="","",IFERROR(--LEFT(INDEX(Расчет!$C$2:$C$3001,$L181),FIND("(",INDEX(Расчет!$C$2:$C$3001,$L181))-1),IFERROR(--LEFT(INDEX(Расчет!$C$2:$C$3001,$L181),1),"")))</f>
        <v/>
      </c>
      <c r="H181">
        <f>IF($L181="","",SUMIFS(Расчет!$G$2:$G$3001,Расчет!$I$2:$I$3001,$K181,Расчет!$H$2:$H$3001,1))</f>
        <v/>
      </c>
      <c r="I181">
        <f>IF($L181="","",SUMIFS(Расчет!$G$2:$G$3001,Расчет!$I$2:$I$3001,$K181,Расчет!$H$2:$H$3001,2))</f>
        <v/>
      </c>
      <c r="J181">
        <f>IF($L181="","",SUMIFS(Расчет!$G$2:$G$3001,Расчет!$I$2:$I$3001,$K181,Расчет!$H$2:$H$3001,3))</f>
        <v/>
      </c>
      <c r="K181">
        <f>IF($L181="","",INDEX(Расчет!$I$2:$I$3001,$L181))</f>
        <v/>
      </c>
      <c r="L181">
        <f>IFERROR(MATCH(ROW()-1,Расчет!$J$2:$J$3001,0),"")</f>
        <v/>
      </c>
    </row>
    <row r="182">
      <c r="A182">
        <f>IF($L182="","",B182&amp;"."&amp;C182&amp;"-"&amp;D182&amp;"-"&amp;H182&amp;"."&amp;I182&amp;"."&amp;J182)</f>
        <v/>
      </c>
      <c r="B182">
        <f>IF($L182="","",INDEX(Расчет!$A$2:$A$3001,$L182))</f>
        <v/>
      </c>
      <c r="C182">
        <f>IF($L182="","",INDEX(Расчет!$B$2:$B$3001,$L182))</f>
        <v/>
      </c>
      <c r="D182">
        <f>IF($L182="","",IF(ISNUMBER(FIND("(",INDEX(Расчет!$C$2:$C$3001,$L182))),SUBSTITUTE(MID(INDEX(Расчет!$C$2:$C$3001,$L182),FIND("(",INDEX(Расчет!$C$2:$C$3001,$L182))+1,99),")",""),INDEX(Расчет!$C$2:$C$3001,$L182)))</f>
        <v/>
      </c>
      <c r="E182">
        <f>IF($L182="","",INDEX(Расчет!$D$2:$D$3001,$L182))</f>
        <v/>
      </c>
      <c r="F182">
        <f>IF($L182="","",INDEX(Расчет!$E$2:$E$3001,$L182))</f>
        <v/>
      </c>
      <c r="G182">
        <f>IF($L182="","",IFERROR(--LEFT(INDEX(Расчет!$C$2:$C$3001,$L182),FIND("(",INDEX(Расчет!$C$2:$C$3001,$L182))-1),IFERROR(--LEFT(INDEX(Расчет!$C$2:$C$3001,$L182),1),"")))</f>
        <v/>
      </c>
      <c r="H182">
        <f>IF($L182="","",SUMIFS(Расчет!$G$2:$G$3001,Расчет!$I$2:$I$3001,$K182,Расчет!$H$2:$H$3001,1))</f>
        <v/>
      </c>
      <c r="I182">
        <f>IF($L182="","",SUMIFS(Расчет!$G$2:$G$3001,Расчет!$I$2:$I$3001,$K182,Расчет!$H$2:$H$3001,2))</f>
        <v/>
      </c>
      <c r="J182">
        <f>IF($L182="","",SUMIFS(Расчет!$G$2:$G$3001,Расчет!$I$2:$I$3001,$K182,Расчет!$H$2:$H$3001,3))</f>
        <v/>
      </c>
      <c r="K182">
        <f>IF($L182="","",INDEX(Расчет!$I$2:$I$3001,$L182))</f>
        <v/>
      </c>
      <c r="L182">
        <f>IFERROR(MATCH(ROW()-1,Расчет!$J$2:$J$3001,0),"")</f>
        <v/>
      </c>
    </row>
    <row r="183">
      <c r="A183">
        <f>IF($L183="","",B183&amp;"."&amp;C183&amp;"-"&amp;D183&amp;"-"&amp;H183&amp;"."&amp;I183&amp;"."&amp;J183)</f>
        <v/>
      </c>
      <c r="B183">
        <f>IF($L183="","",INDEX(Расчет!$A$2:$A$3001,$L183))</f>
        <v/>
      </c>
      <c r="C183">
        <f>IF($L183="","",INDEX(Расчет!$B$2:$B$3001,$L183))</f>
        <v/>
      </c>
      <c r="D183">
        <f>IF($L183="","",IF(ISNUMBER(FIND("(",INDEX(Расчет!$C$2:$C$3001,$L183))),SUBSTITUTE(MID(INDEX(Расчет!$C$2:$C$3001,$L183),FIND("(",INDEX(Расчет!$C$2:$C$3001,$L183))+1,99),")",""),INDEX(Расчет!$C$2:$C$3001,$L183)))</f>
        <v/>
      </c>
      <c r="E183">
        <f>IF($L183="","",INDEX(Расчет!$D$2:$D$3001,$L183))</f>
        <v/>
      </c>
      <c r="F183">
        <f>IF($L183="","",INDEX(Расчет!$E$2:$E$3001,$L183))</f>
        <v/>
      </c>
      <c r="G183">
        <f>IF($L183="","",IFERROR(--LEFT(INDEX(Расчет!$C$2:$C$3001,$L183),FIND("(",INDEX(Расчет!$C$2:$C$3001,$L183))-1),IFERROR(--LEFT(INDEX(Расчет!$C$2:$C$3001,$L183),1),"")))</f>
        <v/>
      </c>
      <c r="H183">
        <f>IF($L183="","",SUMIFS(Расчет!$G$2:$G$3001,Расчет!$I$2:$I$3001,$K183,Расчет!$H$2:$H$3001,1))</f>
        <v/>
      </c>
      <c r="I183">
        <f>IF($L183="","",SUMIFS(Расчет!$G$2:$G$3001,Расчет!$I$2:$I$3001,$K183,Расчет!$H$2:$H$3001,2))</f>
        <v/>
      </c>
      <c r="J183">
        <f>IF($L183="","",SUMIFS(Расчет!$G$2:$G$3001,Расчет!$I$2:$I$3001,$K183,Расчет!$H$2:$H$3001,3))</f>
        <v/>
      </c>
      <c r="K183">
        <f>IF($L183="","",INDEX(Расчет!$I$2:$I$3001,$L183))</f>
        <v/>
      </c>
      <c r="L183">
        <f>IFERROR(MATCH(ROW()-1,Расчет!$J$2:$J$3001,0),"")</f>
        <v/>
      </c>
    </row>
    <row r="184">
      <c r="A184">
        <f>IF($L184="","",B184&amp;"."&amp;C184&amp;"-"&amp;D184&amp;"-"&amp;H184&amp;"."&amp;I184&amp;"."&amp;J184)</f>
        <v/>
      </c>
      <c r="B184">
        <f>IF($L184="","",INDEX(Расчет!$A$2:$A$3001,$L184))</f>
        <v/>
      </c>
      <c r="C184">
        <f>IF($L184="","",INDEX(Расчет!$B$2:$B$3001,$L184))</f>
        <v/>
      </c>
      <c r="D184">
        <f>IF($L184="","",IF(ISNUMBER(FIND("(",INDEX(Расчет!$C$2:$C$3001,$L184))),SUBSTITUTE(MID(INDEX(Расчет!$C$2:$C$3001,$L184),FIND("(",INDEX(Расчет!$C$2:$C$3001,$L184))+1,99),")",""),INDEX(Расчет!$C$2:$C$3001,$L184)))</f>
        <v/>
      </c>
      <c r="E184">
        <f>IF($L184="","",INDEX(Расчет!$D$2:$D$3001,$L184))</f>
        <v/>
      </c>
      <c r="F184">
        <f>IF($L184="","",INDEX(Расчет!$E$2:$E$3001,$L184))</f>
        <v/>
      </c>
      <c r="G184">
        <f>IF($L184="","",IFERROR(--LEFT(INDEX(Расчет!$C$2:$C$3001,$L184),FIND("(",INDEX(Расчет!$C$2:$C$3001,$L184))-1),IFERROR(--LEFT(INDEX(Расчет!$C$2:$C$3001,$L184),1),"")))</f>
        <v/>
      </c>
      <c r="H184">
        <f>IF($L184="","",SUMIFS(Расчет!$G$2:$G$3001,Расчет!$I$2:$I$3001,$K184,Расчет!$H$2:$H$3001,1))</f>
        <v/>
      </c>
      <c r="I184">
        <f>IF($L184="","",SUMIFS(Расчет!$G$2:$G$3001,Расчет!$I$2:$I$3001,$K184,Расчет!$H$2:$H$3001,2))</f>
        <v/>
      </c>
      <c r="J184">
        <f>IF($L184="","",SUMIFS(Расчет!$G$2:$G$3001,Расчет!$I$2:$I$3001,$K184,Расчет!$H$2:$H$3001,3))</f>
        <v/>
      </c>
      <c r="K184">
        <f>IF($L184="","",INDEX(Расчет!$I$2:$I$3001,$L184))</f>
        <v/>
      </c>
      <c r="L184">
        <f>IFERROR(MATCH(ROW()-1,Расчет!$J$2:$J$3001,0),"")</f>
        <v/>
      </c>
    </row>
    <row r="185">
      <c r="A185">
        <f>IF($L185="","",B185&amp;"."&amp;C185&amp;"-"&amp;D185&amp;"-"&amp;H185&amp;"."&amp;I185&amp;"."&amp;J185)</f>
        <v/>
      </c>
      <c r="B185">
        <f>IF($L185="","",INDEX(Расчет!$A$2:$A$3001,$L185))</f>
        <v/>
      </c>
      <c r="C185">
        <f>IF($L185="","",INDEX(Расчет!$B$2:$B$3001,$L185))</f>
        <v/>
      </c>
      <c r="D185">
        <f>IF($L185="","",IF(ISNUMBER(FIND("(",INDEX(Расчет!$C$2:$C$3001,$L185))),SUBSTITUTE(MID(INDEX(Расчет!$C$2:$C$3001,$L185),FIND("(",INDEX(Расчет!$C$2:$C$3001,$L185))+1,99),")",""),INDEX(Расчет!$C$2:$C$3001,$L185)))</f>
        <v/>
      </c>
      <c r="E185">
        <f>IF($L185="","",INDEX(Расчет!$D$2:$D$3001,$L185))</f>
        <v/>
      </c>
      <c r="F185">
        <f>IF($L185="","",INDEX(Расчет!$E$2:$E$3001,$L185))</f>
        <v/>
      </c>
      <c r="G185">
        <f>IF($L185="","",IFERROR(--LEFT(INDEX(Расчет!$C$2:$C$3001,$L185),FIND("(",INDEX(Расчет!$C$2:$C$3001,$L185))-1),IFERROR(--LEFT(INDEX(Расчет!$C$2:$C$3001,$L185),1),"")))</f>
        <v/>
      </c>
      <c r="H185">
        <f>IF($L185="","",SUMIFS(Расчет!$G$2:$G$3001,Расчет!$I$2:$I$3001,$K185,Расчет!$H$2:$H$3001,1))</f>
        <v/>
      </c>
      <c r="I185">
        <f>IF($L185="","",SUMIFS(Расчет!$G$2:$G$3001,Расчет!$I$2:$I$3001,$K185,Расчет!$H$2:$H$3001,2))</f>
        <v/>
      </c>
      <c r="J185">
        <f>IF($L185="","",SUMIFS(Расчет!$G$2:$G$3001,Расчет!$I$2:$I$3001,$K185,Расчет!$H$2:$H$3001,3))</f>
        <v/>
      </c>
      <c r="K185">
        <f>IF($L185="","",INDEX(Расчет!$I$2:$I$3001,$L185))</f>
        <v/>
      </c>
      <c r="L185">
        <f>IFERROR(MATCH(ROW()-1,Расчет!$J$2:$J$3001,0),"")</f>
        <v/>
      </c>
    </row>
    <row r="186">
      <c r="A186">
        <f>IF($L186="","",B186&amp;"."&amp;C186&amp;"-"&amp;D186&amp;"-"&amp;H186&amp;"."&amp;I186&amp;"."&amp;J186)</f>
        <v/>
      </c>
      <c r="B186">
        <f>IF($L186="","",INDEX(Расчет!$A$2:$A$3001,$L186))</f>
        <v/>
      </c>
      <c r="C186">
        <f>IF($L186="","",INDEX(Расчет!$B$2:$B$3001,$L186))</f>
        <v/>
      </c>
      <c r="D186">
        <f>IF($L186="","",IF(ISNUMBER(FIND("(",INDEX(Расчет!$C$2:$C$3001,$L186))),SUBSTITUTE(MID(INDEX(Расчет!$C$2:$C$3001,$L186),FIND("(",INDEX(Расчет!$C$2:$C$3001,$L186))+1,99),")",""),INDEX(Расчет!$C$2:$C$3001,$L186)))</f>
        <v/>
      </c>
      <c r="E186">
        <f>IF($L186="","",INDEX(Расчет!$D$2:$D$3001,$L186))</f>
        <v/>
      </c>
      <c r="F186">
        <f>IF($L186="","",INDEX(Расчет!$E$2:$E$3001,$L186))</f>
        <v/>
      </c>
      <c r="G186">
        <f>IF($L186="","",IFERROR(--LEFT(INDEX(Расчет!$C$2:$C$3001,$L186),FIND("(",INDEX(Расчет!$C$2:$C$3001,$L186))-1),IFERROR(--LEFT(INDEX(Расчет!$C$2:$C$3001,$L186),1),"")))</f>
        <v/>
      </c>
      <c r="H186">
        <f>IF($L186="","",SUMIFS(Расчет!$G$2:$G$3001,Расчет!$I$2:$I$3001,$K186,Расчет!$H$2:$H$3001,1))</f>
        <v/>
      </c>
      <c r="I186">
        <f>IF($L186="","",SUMIFS(Расчет!$G$2:$G$3001,Расчет!$I$2:$I$3001,$K186,Расчет!$H$2:$H$3001,2))</f>
        <v/>
      </c>
      <c r="J186">
        <f>IF($L186="","",SUMIFS(Расчет!$G$2:$G$3001,Расчет!$I$2:$I$3001,$K186,Расчет!$H$2:$H$3001,3))</f>
        <v/>
      </c>
      <c r="K186">
        <f>IF($L186="","",INDEX(Расчет!$I$2:$I$3001,$L186))</f>
        <v/>
      </c>
      <c r="L186">
        <f>IFERROR(MATCH(ROW()-1,Расчет!$J$2:$J$3001,0),"")</f>
        <v/>
      </c>
    </row>
    <row r="187">
      <c r="A187">
        <f>IF($L187="","",B187&amp;"."&amp;C187&amp;"-"&amp;D187&amp;"-"&amp;H187&amp;"."&amp;I187&amp;"."&amp;J187)</f>
        <v/>
      </c>
      <c r="B187">
        <f>IF($L187="","",INDEX(Расчет!$A$2:$A$3001,$L187))</f>
        <v/>
      </c>
      <c r="C187">
        <f>IF($L187="","",INDEX(Расчет!$B$2:$B$3001,$L187))</f>
        <v/>
      </c>
      <c r="D187">
        <f>IF($L187="","",IF(ISNUMBER(FIND("(",INDEX(Расчет!$C$2:$C$3001,$L187))),SUBSTITUTE(MID(INDEX(Расчет!$C$2:$C$3001,$L187),FIND("(",INDEX(Расчет!$C$2:$C$3001,$L187))+1,99),")",""),INDEX(Расчет!$C$2:$C$3001,$L187)))</f>
        <v/>
      </c>
      <c r="E187">
        <f>IF($L187="","",INDEX(Расчет!$D$2:$D$3001,$L187))</f>
        <v/>
      </c>
      <c r="F187">
        <f>IF($L187="","",INDEX(Расчет!$E$2:$E$3001,$L187))</f>
        <v/>
      </c>
      <c r="G187">
        <f>IF($L187="","",IFERROR(--LEFT(INDEX(Расчет!$C$2:$C$3001,$L187),FIND("(",INDEX(Расчет!$C$2:$C$3001,$L187))-1),IFERROR(--LEFT(INDEX(Расчет!$C$2:$C$3001,$L187),1),"")))</f>
        <v/>
      </c>
      <c r="H187">
        <f>IF($L187="","",SUMIFS(Расчет!$G$2:$G$3001,Расчет!$I$2:$I$3001,$K187,Расчет!$H$2:$H$3001,1))</f>
        <v/>
      </c>
      <c r="I187">
        <f>IF($L187="","",SUMIFS(Расчет!$G$2:$G$3001,Расчет!$I$2:$I$3001,$K187,Расчет!$H$2:$H$3001,2))</f>
        <v/>
      </c>
      <c r="J187">
        <f>IF($L187="","",SUMIFS(Расчет!$G$2:$G$3001,Расчет!$I$2:$I$3001,$K187,Расчет!$H$2:$H$3001,3))</f>
        <v/>
      </c>
      <c r="K187">
        <f>IF($L187="","",INDEX(Расчет!$I$2:$I$3001,$L187))</f>
        <v/>
      </c>
      <c r="L187">
        <f>IFERROR(MATCH(ROW()-1,Расчет!$J$2:$J$3001,0),"")</f>
        <v/>
      </c>
    </row>
    <row r="188">
      <c r="A188">
        <f>IF($L188="","",B188&amp;"."&amp;C188&amp;"-"&amp;D188&amp;"-"&amp;H188&amp;"."&amp;I188&amp;"."&amp;J188)</f>
        <v/>
      </c>
      <c r="B188">
        <f>IF($L188="","",INDEX(Расчет!$A$2:$A$3001,$L188))</f>
        <v/>
      </c>
      <c r="C188">
        <f>IF($L188="","",INDEX(Расчет!$B$2:$B$3001,$L188))</f>
        <v/>
      </c>
      <c r="D188">
        <f>IF($L188="","",IF(ISNUMBER(FIND("(",INDEX(Расчет!$C$2:$C$3001,$L188))),SUBSTITUTE(MID(INDEX(Расчет!$C$2:$C$3001,$L188),FIND("(",INDEX(Расчет!$C$2:$C$3001,$L188))+1,99),")",""),INDEX(Расчет!$C$2:$C$3001,$L188)))</f>
        <v/>
      </c>
      <c r="E188">
        <f>IF($L188="","",INDEX(Расчет!$D$2:$D$3001,$L188))</f>
        <v/>
      </c>
      <c r="F188">
        <f>IF($L188="","",INDEX(Расчет!$E$2:$E$3001,$L188))</f>
        <v/>
      </c>
      <c r="G188">
        <f>IF($L188="","",IFERROR(--LEFT(INDEX(Расчет!$C$2:$C$3001,$L188),FIND("(",INDEX(Расчет!$C$2:$C$3001,$L188))-1),IFERROR(--LEFT(INDEX(Расчет!$C$2:$C$3001,$L188),1),"")))</f>
        <v/>
      </c>
      <c r="H188">
        <f>IF($L188="","",SUMIFS(Расчет!$G$2:$G$3001,Расчет!$I$2:$I$3001,$K188,Расчет!$H$2:$H$3001,1))</f>
        <v/>
      </c>
      <c r="I188">
        <f>IF($L188="","",SUMIFS(Расчет!$G$2:$G$3001,Расчет!$I$2:$I$3001,$K188,Расчет!$H$2:$H$3001,2))</f>
        <v/>
      </c>
      <c r="J188">
        <f>IF($L188="","",SUMIFS(Расчет!$G$2:$G$3001,Расчет!$I$2:$I$3001,$K188,Расчет!$H$2:$H$3001,3))</f>
        <v/>
      </c>
      <c r="K188">
        <f>IF($L188="","",INDEX(Расчет!$I$2:$I$3001,$L188))</f>
        <v/>
      </c>
      <c r="L188">
        <f>IFERROR(MATCH(ROW()-1,Расчет!$J$2:$J$3001,0),"")</f>
        <v/>
      </c>
    </row>
    <row r="189">
      <c r="A189">
        <f>IF($L189="","",B189&amp;"."&amp;C189&amp;"-"&amp;D189&amp;"-"&amp;H189&amp;"."&amp;I189&amp;"."&amp;J189)</f>
        <v/>
      </c>
      <c r="B189">
        <f>IF($L189="","",INDEX(Расчет!$A$2:$A$3001,$L189))</f>
        <v/>
      </c>
      <c r="C189">
        <f>IF($L189="","",INDEX(Расчет!$B$2:$B$3001,$L189))</f>
        <v/>
      </c>
      <c r="D189">
        <f>IF($L189="","",IF(ISNUMBER(FIND("(",INDEX(Расчет!$C$2:$C$3001,$L189))),SUBSTITUTE(MID(INDEX(Расчет!$C$2:$C$3001,$L189),FIND("(",INDEX(Расчет!$C$2:$C$3001,$L189))+1,99),")",""),INDEX(Расчет!$C$2:$C$3001,$L189)))</f>
        <v/>
      </c>
      <c r="E189">
        <f>IF($L189="","",INDEX(Расчет!$D$2:$D$3001,$L189))</f>
        <v/>
      </c>
      <c r="F189">
        <f>IF($L189="","",INDEX(Расчет!$E$2:$E$3001,$L189))</f>
        <v/>
      </c>
      <c r="G189">
        <f>IF($L189="","",IFERROR(--LEFT(INDEX(Расчет!$C$2:$C$3001,$L189),FIND("(",INDEX(Расчет!$C$2:$C$3001,$L189))-1),IFERROR(--LEFT(INDEX(Расчет!$C$2:$C$3001,$L189),1),"")))</f>
        <v/>
      </c>
      <c r="H189">
        <f>IF($L189="","",SUMIFS(Расчет!$G$2:$G$3001,Расчет!$I$2:$I$3001,$K189,Расчет!$H$2:$H$3001,1))</f>
        <v/>
      </c>
      <c r="I189">
        <f>IF($L189="","",SUMIFS(Расчет!$G$2:$G$3001,Расчет!$I$2:$I$3001,$K189,Расчет!$H$2:$H$3001,2))</f>
        <v/>
      </c>
      <c r="J189">
        <f>IF($L189="","",SUMIFS(Расчет!$G$2:$G$3001,Расчет!$I$2:$I$3001,$K189,Расчет!$H$2:$H$3001,3))</f>
        <v/>
      </c>
      <c r="K189">
        <f>IF($L189="","",INDEX(Расчет!$I$2:$I$3001,$L189))</f>
        <v/>
      </c>
      <c r="L189">
        <f>IFERROR(MATCH(ROW()-1,Расчет!$J$2:$J$3001,0),"")</f>
        <v/>
      </c>
    </row>
    <row r="190">
      <c r="A190">
        <f>IF($L190="","",B190&amp;"."&amp;C190&amp;"-"&amp;D190&amp;"-"&amp;H190&amp;"."&amp;I190&amp;"."&amp;J190)</f>
        <v/>
      </c>
      <c r="B190">
        <f>IF($L190="","",INDEX(Расчет!$A$2:$A$3001,$L190))</f>
        <v/>
      </c>
      <c r="C190">
        <f>IF($L190="","",INDEX(Расчет!$B$2:$B$3001,$L190))</f>
        <v/>
      </c>
      <c r="D190">
        <f>IF($L190="","",IF(ISNUMBER(FIND("(",INDEX(Расчет!$C$2:$C$3001,$L190))),SUBSTITUTE(MID(INDEX(Расчет!$C$2:$C$3001,$L190),FIND("(",INDEX(Расчет!$C$2:$C$3001,$L190))+1,99),")",""),INDEX(Расчет!$C$2:$C$3001,$L190)))</f>
        <v/>
      </c>
      <c r="E190">
        <f>IF($L190="","",INDEX(Расчет!$D$2:$D$3001,$L190))</f>
        <v/>
      </c>
      <c r="F190">
        <f>IF($L190="","",INDEX(Расчет!$E$2:$E$3001,$L190))</f>
        <v/>
      </c>
      <c r="G190">
        <f>IF($L190="","",IFERROR(--LEFT(INDEX(Расчет!$C$2:$C$3001,$L190),FIND("(",INDEX(Расчет!$C$2:$C$3001,$L190))-1),IFERROR(--LEFT(INDEX(Расчет!$C$2:$C$3001,$L190),1),"")))</f>
        <v/>
      </c>
      <c r="H190">
        <f>IF($L190="","",SUMIFS(Расчет!$G$2:$G$3001,Расчет!$I$2:$I$3001,$K190,Расчет!$H$2:$H$3001,1))</f>
        <v/>
      </c>
      <c r="I190">
        <f>IF($L190="","",SUMIFS(Расчет!$G$2:$G$3001,Расчет!$I$2:$I$3001,$K190,Расчет!$H$2:$H$3001,2))</f>
        <v/>
      </c>
      <c r="J190">
        <f>IF($L190="","",SUMIFS(Расчет!$G$2:$G$3001,Расчет!$I$2:$I$3001,$K190,Расчет!$H$2:$H$3001,3))</f>
        <v/>
      </c>
      <c r="K190">
        <f>IF($L190="","",INDEX(Расчет!$I$2:$I$3001,$L190))</f>
        <v/>
      </c>
      <c r="L190">
        <f>IFERROR(MATCH(ROW()-1,Расчет!$J$2:$J$3001,0),"")</f>
        <v/>
      </c>
    </row>
    <row r="191">
      <c r="A191">
        <f>IF($L191="","",B191&amp;"."&amp;C191&amp;"-"&amp;D191&amp;"-"&amp;H191&amp;"."&amp;I191&amp;"."&amp;J191)</f>
        <v/>
      </c>
      <c r="B191">
        <f>IF($L191="","",INDEX(Расчет!$A$2:$A$3001,$L191))</f>
        <v/>
      </c>
      <c r="C191">
        <f>IF($L191="","",INDEX(Расчет!$B$2:$B$3001,$L191))</f>
        <v/>
      </c>
      <c r="D191">
        <f>IF($L191="","",IF(ISNUMBER(FIND("(",INDEX(Расчет!$C$2:$C$3001,$L191))),SUBSTITUTE(MID(INDEX(Расчет!$C$2:$C$3001,$L191),FIND("(",INDEX(Расчет!$C$2:$C$3001,$L191))+1,99),")",""),INDEX(Расчет!$C$2:$C$3001,$L191)))</f>
        <v/>
      </c>
      <c r="E191">
        <f>IF($L191="","",INDEX(Расчет!$D$2:$D$3001,$L191))</f>
        <v/>
      </c>
      <c r="F191">
        <f>IF($L191="","",INDEX(Расчет!$E$2:$E$3001,$L191))</f>
        <v/>
      </c>
      <c r="G191">
        <f>IF($L191="","",IFERROR(--LEFT(INDEX(Расчет!$C$2:$C$3001,$L191),FIND("(",INDEX(Расчет!$C$2:$C$3001,$L191))-1),IFERROR(--LEFT(INDEX(Расчет!$C$2:$C$3001,$L191),1),"")))</f>
        <v/>
      </c>
      <c r="H191">
        <f>IF($L191="","",SUMIFS(Расчет!$G$2:$G$3001,Расчет!$I$2:$I$3001,$K191,Расчет!$H$2:$H$3001,1))</f>
        <v/>
      </c>
      <c r="I191">
        <f>IF($L191="","",SUMIFS(Расчет!$G$2:$G$3001,Расчет!$I$2:$I$3001,$K191,Расчет!$H$2:$H$3001,2))</f>
        <v/>
      </c>
      <c r="J191">
        <f>IF($L191="","",SUMIFS(Расчет!$G$2:$G$3001,Расчет!$I$2:$I$3001,$K191,Расчет!$H$2:$H$3001,3))</f>
        <v/>
      </c>
      <c r="K191">
        <f>IF($L191="","",INDEX(Расчет!$I$2:$I$3001,$L191))</f>
        <v/>
      </c>
      <c r="L191">
        <f>IFERROR(MATCH(ROW()-1,Расчет!$J$2:$J$3001,0),"")</f>
        <v/>
      </c>
    </row>
    <row r="192">
      <c r="A192">
        <f>IF($L192="","",B192&amp;"."&amp;C192&amp;"-"&amp;D192&amp;"-"&amp;H192&amp;"."&amp;I192&amp;"."&amp;J192)</f>
        <v/>
      </c>
      <c r="B192">
        <f>IF($L192="","",INDEX(Расчет!$A$2:$A$3001,$L192))</f>
        <v/>
      </c>
      <c r="C192">
        <f>IF($L192="","",INDEX(Расчет!$B$2:$B$3001,$L192))</f>
        <v/>
      </c>
      <c r="D192">
        <f>IF($L192="","",IF(ISNUMBER(FIND("(",INDEX(Расчет!$C$2:$C$3001,$L192))),SUBSTITUTE(MID(INDEX(Расчет!$C$2:$C$3001,$L192),FIND("(",INDEX(Расчет!$C$2:$C$3001,$L192))+1,99),")",""),INDEX(Расчет!$C$2:$C$3001,$L192)))</f>
        <v/>
      </c>
      <c r="E192">
        <f>IF($L192="","",INDEX(Расчет!$D$2:$D$3001,$L192))</f>
        <v/>
      </c>
      <c r="F192">
        <f>IF($L192="","",INDEX(Расчет!$E$2:$E$3001,$L192))</f>
        <v/>
      </c>
      <c r="G192">
        <f>IF($L192="","",IFERROR(--LEFT(INDEX(Расчет!$C$2:$C$3001,$L192),FIND("(",INDEX(Расчет!$C$2:$C$3001,$L192))-1),IFERROR(--LEFT(INDEX(Расчет!$C$2:$C$3001,$L192),1),"")))</f>
        <v/>
      </c>
      <c r="H192">
        <f>IF($L192="","",SUMIFS(Расчет!$G$2:$G$3001,Расчет!$I$2:$I$3001,$K192,Расчет!$H$2:$H$3001,1))</f>
        <v/>
      </c>
      <c r="I192">
        <f>IF($L192="","",SUMIFS(Расчет!$G$2:$G$3001,Расчет!$I$2:$I$3001,$K192,Расчет!$H$2:$H$3001,2))</f>
        <v/>
      </c>
      <c r="J192">
        <f>IF($L192="","",SUMIFS(Расчет!$G$2:$G$3001,Расчет!$I$2:$I$3001,$K192,Расчет!$H$2:$H$3001,3))</f>
        <v/>
      </c>
      <c r="K192">
        <f>IF($L192="","",INDEX(Расчет!$I$2:$I$3001,$L192))</f>
        <v/>
      </c>
      <c r="L192">
        <f>IFERROR(MATCH(ROW()-1,Расчет!$J$2:$J$3001,0),"")</f>
        <v/>
      </c>
    </row>
    <row r="193">
      <c r="A193">
        <f>IF($L193="","",B193&amp;"."&amp;C193&amp;"-"&amp;D193&amp;"-"&amp;H193&amp;"."&amp;I193&amp;"."&amp;J193)</f>
        <v/>
      </c>
      <c r="B193">
        <f>IF($L193="","",INDEX(Расчет!$A$2:$A$3001,$L193))</f>
        <v/>
      </c>
      <c r="C193">
        <f>IF($L193="","",INDEX(Расчет!$B$2:$B$3001,$L193))</f>
        <v/>
      </c>
      <c r="D193">
        <f>IF($L193="","",IF(ISNUMBER(FIND("(",INDEX(Расчет!$C$2:$C$3001,$L193))),SUBSTITUTE(MID(INDEX(Расчет!$C$2:$C$3001,$L193),FIND("(",INDEX(Расчет!$C$2:$C$3001,$L193))+1,99),")",""),INDEX(Расчет!$C$2:$C$3001,$L193)))</f>
        <v/>
      </c>
      <c r="E193">
        <f>IF($L193="","",INDEX(Расчет!$D$2:$D$3001,$L193))</f>
        <v/>
      </c>
      <c r="F193">
        <f>IF($L193="","",INDEX(Расчет!$E$2:$E$3001,$L193))</f>
        <v/>
      </c>
      <c r="G193">
        <f>IF($L193="","",IFERROR(--LEFT(INDEX(Расчет!$C$2:$C$3001,$L193),FIND("(",INDEX(Расчет!$C$2:$C$3001,$L193))-1),IFERROR(--LEFT(INDEX(Расчет!$C$2:$C$3001,$L193),1),"")))</f>
        <v/>
      </c>
      <c r="H193">
        <f>IF($L193="","",SUMIFS(Расчет!$G$2:$G$3001,Расчет!$I$2:$I$3001,$K193,Расчет!$H$2:$H$3001,1))</f>
        <v/>
      </c>
      <c r="I193">
        <f>IF($L193="","",SUMIFS(Расчет!$G$2:$G$3001,Расчет!$I$2:$I$3001,$K193,Расчет!$H$2:$H$3001,2))</f>
        <v/>
      </c>
      <c r="J193">
        <f>IF($L193="","",SUMIFS(Расчет!$G$2:$G$3001,Расчет!$I$2:$I$3001,$K193,Расчет!$H$2:$H$3001,3))</f>
        <v/>
      </c>
      <c r="K193">
        <f>IF($L193="","",INDEX(Расчет!$I$2:$I$3001,$L193))</f>
        <v/>
      </c>
      <c r="L193">
        <f>IFERROR(MATCH(ROW()-1,Расчет!$J$2:$J$3001,0),"")</f>
        <v/>
      </c>
    </row>
    <row r="194">
      <c r="A194">
        <f>IF($L194="","",B194&amp;"."&amp;C194&amp;"-"&amp;D194&amp;"-"&amp;H194&amp;"."&amp;I194&amp;"."&amp;J194)</f>
        <v/>
      </c>
      <c r="B194">
        <f>IF($L194="","",INDEX(Расчет!$A$2:$A$3001,$L194))</f>
        <v/>
      </c>
      <c r="C194">
        <f>IF($L194="","",INDEX(Расчет!$B$2:$B$3001,$L194))</f>
        <v/>
      </c>
      <c r="D194">
        <f>IF($L194="","",IF(ISNUMBER(FIND("(",INDEX(Расчет!$C$2:$C$3001,$L194))),SUBSTITUTE(MID(INDEX(Расчет!$C$2:$C$3001,$L194),FIND("(",INDEX(Расчет!$C$2:$C$3001,$L194))+1,99),")",""),INDEX(Расчет!$C$2:$C$3001,$L194)))</f>
        <v/>
      </c>
      <c r="E194">
        <f>IF($L194="","",INDEX(Расчет!$D$2:$D$3001,$L194))</f>
        <v/>
      </c>
      <c r="F194">
        <f>IF($L194="","",INDEX(Расчет!$E$2:$E$3001,$L194))</f>
        <v/>
      </c>
      <c r="G194">
        <f>IF($L194="","",IFERROR(--LEFT(INDEX(Расчет!$C$2:$C$3001,$L194),FIND("(",INDEX(Расчет!$C$2:$C$3001,$L194))-1),IFERROR(--LEFT(INDEX(Расчет!$C$2:$C$3001,$L194),1),"")))</f>
        <v/>
      </c>
      <c r="H194">
        <f>IF($L194="","",SUMIFS(Расчет!$G$2:$G$3001,Расчет!$I$2:$I$3001,$K194,Расчет!$H$2:$H$3001,1))</f>
        <v/>
      </c>
      <c r="I194">
        <f>IF($L194="","",SUMIFS(Расчет!$G$2:$G$3001,Расчет!$I$2:$I$3001,$K194,Расчет!$H$2:$H$3001,2))</f>
        <v/>
      </c>
      <c r="J194">
        <f>IF($L194="","",SUMIFS(Расчет!$G$2:$G$3001,Расчет!$I$2:$I$3001,$K194,Расчет!$H$2:$H$3001,3))</f>
        <v/>
      </c>
      <c r="K194">
        <f>IF($L194="","",INDEX(Расчет!$I$2:$I$3001,$L194))</f>
        <v/>
      </c>
      <c r="L194">
        <f>IFERROR(MATCH(ROW()-1,Расчет!$J$2:$J$3001,0),"")</f>
        <v/>
      </c>
    </row>
    <row r="195">
      <c r="A195">
        <f>IF($L195="","",B195&amp;"."&amp;C195&amp;"-"&amp;D195&amp;"-"&amp;H195&amp;"."&amp;I195&amp;"."&amp;J195)</f>
        <v/>
      </c>
      <c r="B195">
        <f>IF($L195="","",INDEX(Расчет!$A$2:$A$3001,$L195))</f>
        <v/>
      </c>
      <c r="C195">
        <f>IF($L195="","",INDEX(Расчет!$B$2:$B$3001,$L195))</f>
        <v/>
      </c>
      <c r="D195">
        <f>IF($L195="","",IF(ISNUMBER(FIND("(",INDEX(Расчет!$C$2:$C$3001,$L195))),SUBSTITUTE(MID(INDEX(Расчет!$C$2:$C$3001,$L195),FIND("(",INDEX(Расчет!$C$2:$C$3001,$L195))+1,99),")",""),INDEX(Расчет!$C$2:$C$3001,$L195)))</f>
        <v/>
      </c>
      <c r="E195">
        <f>IF($L195="","",INDEX(Расчет!$D$2:$D$3001,$L195))</f>
        <v/>
      </c>
      <c r="F195">
        <f>IF($L195="","",INDEX(Расчет!$E$2:$E$3001,$L195))</f>
        <v/>
      </c>
      <c r="G195">
        <f>IF($L195="","",IFERROR(--LEFT(INDEX(Расчет!$C$2:$C$3001,$L195),FIND("(",INDEX(Расчет!$C$2:$C$3001,$L195))-1),IFERROR(--LEFT(INDEX(Расчет!$C$2:$C$3001,$L195),1),"")))</f>
        <v/>
      </c>
      <c r="H195">
        <f>IF($L195="","",SUMIFS(Расчет!$G$2:$G$3001,Расчет!$I$2:$I$3001,$K195,Расчет!$H$2:$H$3001,1))</f>
        <v/>
      </c>
      <c r="I195">
        <f>IF($L195="","",SUMIFS(Расчет!$G$2:$G$3001,Расчет!$I$2:$I$3001,$K195,Расчет!$H$2:$H$3001,2))</f>
        <v/>
      </c>
      <c r="J195">
        <f>IF($L195="","",SUMIFS(Расчет!$G$2:$G$3001,Расчет!$I$2:$I$3001,$K195,Расчет!$H$2:$H$3001,3))</f>
        <v/>
      </c>
      <c r="K195">
        <f>IF($L195="","",INDEX(Расчет!$I$2:$I$3001,$L195))</f>
        <v/>
      </c>
      <c r="L195">
        <f>IFERROR(MATCH(ROW()-1,Расчет!$J$2:$J$3001,0),"")</f>
        <v/>
      </c>
    </row>
    <row r="196">
      <c r="A196">
        <f>IF($L196="","",B196&amp;"."&amp;C196&amp;"-"&amp;D196&amp;"-"&amp;H196&amp;"."&amp;I196&amp;"."&amp;J196)</f>
        <v/>
      </c>
      <c r="B196">
        <f>IF($L196="","",INDEX(Расчет!$A$2:$A$3001,$L196))</f>
        <v/>
      </c>
      <c r="C196">
        <f>IF($L196="","",INDEX(Расчет!$B$2:$B$3001,$L196))</f>
        <v/>
      </c>
      <c r="D196">
        <f>IF($L196="","",IF(ISNUMBER(FIND("(",INDEX(Расчет!$C$2:$C$3001,$L196))),SUBSTITUTE(MID(INDEX(Расчет!$C$2:$C$3001,$L196),FIND("(",INDEX(Расчет!$C$2:$C$3001,$L196))+1,99),")",""),INDEX(Расчет!$C$2:$C$3001,$L196)))</f>
        <v/>
      </c>
      <c r="E196">
        <f>IF($L196="","",INDEX(Расчет!$D$2:$D$3001,$L196))</f>
        <v/>
      </c>
      <c r="F196">
        <f>IF($L196="","",INDEX(Расчет!$E$2:$E$3001,$L196))</f>
        <v/>
      </c>
      <c r="G196">
        <f>IF($L196="","",IFERROR(--LEFT(INDEX(Расчет!$C$2:$C$3001,$L196),FIND("(",INDEX(Расчет!$C$2:$C$3001,$L196))-1),IFERROR(--LEFT(INDEX(Расчет!$C$2:$C$3001,$L196),1),"")))</f>
        <v/>
      </c>
      <c r="H196">
        <f>IF($L196="","",SUMIFS(Расчет!$G$2:$G$3001,Расчет!$I$2:$I$3001,$K196,Расчет!$H$2:$H$3001,1))</f>
        <v/>
      </c>
      <c r="I196">
        <f>IF($L196="","",SUMIFS(Расчет!$G$2:$G$3001,Расчет!$I$2:$I$3001,$K196,Расчет!$H$2:$H$3001,2))</f>
        <v/>
      </c>
      <c r="J196">
        <f>IF($L196="","",SUMIFS(Расчет!$G$2:$G$3001,Расчет!$I$2:$I$3001,$K196,Расчет!$H$2:$H$3001,3))</f>
        <v/>
      </c>
      <c r="K196">
        <f>IF($L196="","",INDEX(Расчет!$I$2:$I$3001,$L196))</f>
        <v/>
      </c>
      <c r="L196">
        <f>IFERROR(MATCH(ROW()-1,Расчет!$J$2:$J$3001,0),"")</f>
        <v/>
      </c>
    </row>
    <row r="197">
      <c r="A197">
        <f>IF($L197="","",B197&amp;"."&amp;C197&amp;"-"&amp;D197&amp;"-"&amp;H197&amp;"."&amp;I197&amp;"."&amp;J197)</f>
        <v/>
      </c>
      <c r="B197">
        <f>IF($L197="","",INDEX(Расчет!$A$2:$A$3001,$L197))</f>
        <v/>
      </c>
      <c r="C197">
        <f>IF($L197="","",INDEX(Расчет!$B$2:$B$3001,$L197))</f>
        <v/>
      </c>
      <c r="D197">
        <f>IF($L197="","",IF(ISNUMBER(FIND("(",INDEX(Расчет!$C$2:$C$3001,$L197))),SUBSTITUTE(MID(INDEX(Расчет!$C$2:$C$3001,$L197),FIND("(",INDEX(Расчет!$C$2:$C$3001,$L197))+1,99),")",""),INDEX(Расчет!$C$2:$C$3001,$L197)))</f>
        <v/>
      </c>
      <c r="E197">
        <f>IF($L197="","",INDEX(Расчет!$D$2:$D$3001,$L197))</f>
        <v/>
      </c>
      <c r="F197">
        <f>IF($L197="","",INDEX(Расчет!$E$2:$E$3001,$L197))</f>
        <v/>
      </c>
      <c r="G197">
        <f>IF($L197="","",IFERROR(--LEFT(INDEX(Расчет!$C$2:$C$3001,$L197),FIND("(",INDEX(Расчет!$C$2:$C$3001,$L197))-1),IFERROR(--LEFT(INDEX(Расчет!$C$2:$C$3001,$L197),1),"")))</f>
        <v/>
      </c>
      <c r="H197">
        <f>IF($L197="","",SUMIFS(Расчет!$G$2:$G$3001,Расчет!$I$2:$I$3001,$K197,Расчет!$H$2:$H$3001,1))</f>
        <v/>
      </c>
      <c r="I197">
        <f>IF($L197="","",SUMIFS(Расчет!$G$2:$G$3001,Расчет!$I$2:$I$3001,$K197,Расчет!$H$2:$H$3001,2))</f>
        <v/>
      </c>
      <c r="J197">
        <f>IF($L197="","",SUMIFS(Расчет!$G$2:$G$3001,Расчет!$I$2:$I$3001,$K197,Расчет!$H$2:$H$3001,3))</f>
        <v/>
      </c>
      <c r="K197">
        <f>IF($L197="","",INDEX(Расчет!$I$2:$I$3001,$L197))</f>
        <v/>
      </c>
      <c r="L197">
        <f>IFERROR(MATCH(ROW()-1,Расчет!$J$2:$J$3001,0),"")</f>
        <v/>
      </c>
    </row>
    <row r="198">
      <c r="A198">
        <f>IF($L198="","",B198&amp;"."&amp;C198&amp;"-"&amp;D198&amp;"-"&amp;H198&amp;"."&amp;I198&amp;"."&amp;J198)</f>
        <v/>
      </c>
      <c r="B198">
        <f>IF($L198="","",INDEX(Расчет!$A$2:$A$3001,$L198))</f>
        <v/>
      </c>
      <c r="C198">
        <f>IF($L198="","",INDEX(Расчет!$B$2:$B$3001,$L198))</f>
        <v/>
      </c>
      <c r="D198">
        <f>IF($L198="","",IF(ISNUMBER(FIND("(",INDEX(Расчет!$C$2:$C$3001,$L198))),SUBSTITUTE(MID(INDEX(Расчет!$C$2:$C$3001,$L198),FIND("(",INDEX(Расчет!$C$2:$C$3001,$L198))+1,99),")",""),INDEX(Расчет!$C$2:$C$3001,$L198)))</f>
        <v/>
      </c>
      <c r="E198">
        <f>IF($L198="","",INDEX(Расчет!$D$2:$D$3001,$L198))</f>
        <v/>
      </c>
      <c r="F198">
        <f>IF($L198="","",INDEX(Расчет!$E$2:$E$3001,$L198))</f>
        <v/>
      </c>
      <c r="G198">
        <f>IF($L198="","",IFERROR(--LEFT(INDEX(Расчет!$C$2:$C$3001,$L198),FIND("(",INDEX(Расчет!$C$2:$C$3001,$L198))-1),IFERROR(--LEFT(INDEX(Расчет!$C$2:$C$3001,$L198),1),"")))</f>
        <v/>
      </c>
      <c r="H198">
        <f>IF($L198="","",SUMIFS(Расчет!$G$2:$G$3001,Расчет!$I$2:$I$3001,$K198,Расчет!$H$2:$H$3001,1))</f>
        <v/>
      </c>
      <c r="I198">
        <f>IF($L198="","",SUMIFS(Расчет!$G$2:$G$3001,Расчет!$I$2:$I$3001,$K198,Расчет!$H$2:$H$3001,2))</f>
        <v/>
      </c>
      <c r="J198">
        <f>IF($L198="","",SUMIFS(Расчет!$G$2:$G$3001,Расчет!$I$2:$I$3001,$K198,Расчет!$H$2:$H$3001,3))</f>
        <v/>
      </c>
      <c r="K198">
        <f>IF($L198="","",INDEX(Расчет!$I$2:$I$3001,$L198))</f>
        <v/>
      </c>
      <c r="L198">
        <f>IFERROR(MATCH(ROW()-1,Расчет!$J$2:$J$3001,0),"")</f>
        <v/>
      </c>
    </row>
    <row r="199">
      <c r="A199">
        <f>IF($L199="","",B199&amp;"."&amp;C199&amp;"-"&amp;D199&amp;"-"&amp;H199&amp;"."&amp;I199&amp;"."&amp;J199)</f>
        <v/>
      </c>
      <c r="B199">
        <f>IF($L199="","",INDEX(Расчет!$A$2:$A$3001,$L199))</f>
        <v/>
      </c>
      <c r="C199">
        <f>IF($L199="","",INDEX(Расчет!$B$2:$B$3001,$L199))</f>
        <v/>
      </c>
      <c r="D199">
        <f>IF($L199="","",IF(ISNUMBER(FIND("(",INDEX(Расчет!$C$2:$C$3001,$L199))),SUBSTITUTE(MID(INDEX(Расчет!$C$2:$C$3001,$L199),FIND("(",INDEX(Расчет!$C$2:$C$3001,$L199))+1,99),")",""),INDEX(Расчет!$C$2:$C$3001,$L199)))</f>
        <v/>
      </c>
      <c r="E199">
        <f>IF($L199="","",INDEX(Расчет!$D$2:$D$3001,$L199))</f>
        <v/>
      </c>
      <c r="F199">
        <f>IF($L199="","",INDEX(Расчет!$E$2:$E$3001,$L199))</f>
        <v/>
      </c>
      <c r="G199">
        <f>IF($L199="","",IFERROR(--LEFT(INDEX(Расчет!$C$2:$C$3001,$L199),FIND("(",INDEX(Расчет!$C$2:$C$3001,$L199))-1),IFERROR(--LEFT(INDEX(Расчет!$C$2:$C$3001,$L199),1),"")))</f>
        <v/>
      </c>
      <c r="H199">
        <f>IF($L199="","",SUMIFS(Расчет!$G$2:$G$3001,Расчет!$I$2:$I$3001,$K199,Расчет!$H$2:$H$3001,1))</f>
        <v/>
      </c>
      <c r="I199">
        <f>IF($L199="","",SUMIFS(Расчет!$G$2:$G$3001,Расчет!$I$2:$I$3001,$K199,Расчет!$H$2:$H$3001,2))</f>
        <v/>
      </c>
      <c r="J199">
        <f>IF($L199="","",SUMIFS(Расчет!$G$2:$G$3001,Расчет!$I$2:$I$3001,$K199,Расчет!$H$2:$H$3001,3))</f>
        <v/>
      </c>
      <c r="K199">
        <f>IF($L199="","",INDEX(Расчет!$I$2:$I$3001,$L199))</f>
        <v/>
      </c>
      <c r="L199">
        <f>IFERROR(MATCH(ROW()-1,Расчет!$J$2:$J$3001,0),"")</f>
        <v/>
      </c>
    </row>
    <row r="200">
      <c r="A200">
        <f>IF($L200="","",B200&amp;"."&amp;C200&amp;"-"&amp;D200&amp;"-"&amp;H200&amp;"."&amp;I200&amp;"."&amp;J200)</f>
        <v/>
      </c>
      <c r="B200">
        <f>IF($L200="","",INDEX(Расчет!$A$2:$A$3001,$L200))</f>
        <v/>
      </c>
      <c r="C200">
        <f>IF($L200="","",INDEX(Расчет!$B$2:$B$3001,$L200))</f>
        <v/>
      </c>
      <c r="D200">
        <f>IF($L200="","",IF(ISNUMBER(FIND("(",INDEX(Расчет!$C$2:$C$3001,$L200))),SUBSTITUTE(MID(INDEX(Расчет!$C$2:$C$3001,$L200),FIND("(",INDEX(Расчет!$C$2:$C$3001,$L200))+1,99),")",""),INDEX(Расчет!$C$2:$C$3001,$L200)))</f>
        <v/>
      </c>
      <c r="E200">
        <f>IF($L200="","",INDEX(Расчет!$D$2:$D$3001,$L200))</f>
        <v/>
      </c>
      <c r="F200">
        <f>IF($L200="","",INDEX(Расчет!$E$2:$E$3001,$L200))</f>
        <v/>
      </c>
      <c r="G200">
        <f>IF($L200="","",IFERROR(--LEFT(INDEX(Расчет!$C$2:$C$3001,$L200),FIND("(",INDEX(Расчет!$C$2:$C$3001,$L200))-1),IFERROR(--LEFT(INDEX(Расчет!$C$2:$C$3001,$L200),1),"")))</f>
        <v/>
      </c>
      <c r="H200">
        <f>IF($L200="","",SUMIFS(Расчет!$G$2:$G$3001,Расчет!$I$2:$I$3001,$K200,Расчет!$H$2:$H$3001,1))</f>
        <v/>
      </c>
      <c r="I200">
        <f>IF($L200="","",SUMIFS(Расчет!$G$2:$G$3001,Расчет!$I$2:$I$3001,$K200,Расчет!$H$2:$H$3001,2))</f>
        <v/>
      </c>
      <c r="J200">
        <f>IF($L200="","",SUMIFS(Расчет!$G$2:$G$3001,Расчет!$I$2:$I$3001,$K200,Расчет!$H$2:$H$3001,3))</f>
        <v/>
      </c>
      <c r="K200">
        <f>IF($L200="","",INDEX(Расчет!$I$2:$I$3001,$L200))</f>
        <v/>
      </c>
      <c r="L200">
        <f>IFERROR(MATCH(ROW()-1,Расчет!$J$2:$J$3001,0),"")</f>
        <v/>
      </c>
    </row>
    <row r="201">
      <c r="A201">
        <f>IF($L201="","",B201&amp;"."&amp;C201&amp;"-"&amp;D201&amp;"-"&amp;H201&amp;"."&amp;I201&amp;"."&amp;J201)</f>
        <v/>
      </c>
      <c r="B201">
        <f>IF($L201="","",INDEX(Расчет!$A$2:$A$3001,$L201))</f>
        <v/>
      </c>
      <c r="C201">
        <f>IF($L201="","",INDEX(Расчет!$B$2:$B$3001,$L201))</f>
        <v/>
      </c>
      <c r="D201">
        <f>IF($L201="","",IF(ISNUMBER(FIND("(",INDEX(Расчет!$C$2:$C$3001,$L201))),SUBSTITUTE(MID(INDEX(Расчет!$C$2:$C$3001,$L201),FIND("(",INDEX(Расчет!$C$2:$C$3001,$L201))+1,99),")",""),INDEX(Расчет!$C$2:$C$3001,$L201)))</f>
        <v/>
      </c>
      <c r="E201">
        <f>IF($L201="","",INDEX(Расчет!$D$2:$D$3001,$L201))</f>
        <v/>
      </c>
      <c r="F201">
        <f>IF($L201="","",INDEX(Расчет!$E$2:$E$3001,$L201))</f>
        <v/>
      </c>
      <c r="G201">
        <f>IF($L201="","",IFERROR(--LEFT(INDEX(Расчет!$C$2:$C$3001,$L201),FIND("(",INDEX(Расчет!$C$2:$C$3001,$L201))-1),IFERROR(--LEFT(INDEX(Расчет!$C$2:$C$3001,$L201),1),"")))</f>
        <v/>
      </c>
      <c r="H201">
        <f>IF($L201="","",SUMIFS(Расчет!$G$2:$G$3001,Расчет!$I$2:$I$3001,$K201,Расчет!$H$2:$H$3001,1))</f>
        <v/>
      </c>
      <c r="I201">
        <f>IF($L201="","",SUMIFS(Расчет!$G$2:$G$3001,Расчет!$I$2:$I$3001,$K201,Расчет!$H$2:$H$3001,2))</f>
        <v/>
      </c>
      <c r="J201">
        <f>IF($L201="","",SUMIFS(Расчет!$G$2:$G$3001,Расчет!$I$2:$I$3001,$K201,Расчет!$H$2:$H$3001,3))</f>
        <v/>
      </c>
      <c r="K201">
        <f>IF($L201="","",INDEX(Расчет!$I$2:$I$3001,$L201))</f>
        <v/>
      </c>
      <c r="L201">
        <f>IFERROR(MATCH(ROW()-1,Расчет!$J$2:$J$3001,0),"")</f>
        <v/>
      </c>
    </row>
    <row r="202">
      <c r="A202">
        <f>IF($L202="","",B202&amp;"."&amp;C202&amp;"-"&amp;D202&amp;"-"&amp;H202&amp;"."&amp;I202&amp;"."&amp;J202)</f>
        <v/>
      </c>
      <c r="B202">
        <f>IF($L202="","",INDEX(Расчет!$A$2:$A$3001,$L202))</f>
        <v/>
      </c>
      <c r="C202">
        <f>IF($L202="","",INDEX(Расчет!$B$2:$B$3001,$L202))</f>
        <v/>
      </c>
      <c r="D202">
        <f>IF($L202="","",IF(ISNUMBER(FIND("(",INDEX(Расчет!$C$2:$C$3001,$L202))),SUBSTITUTE(MID(INDEX(Расчет!$C$2:$C$3001,$L202),FIND("(",INDEX(Расчет!$C$2:$C$3001,$L202))+1,99),")",""),INDEX(Расчет!$C$2:$C$3001,$L202)))</f>
        <v/>
      </c>
      <c r="E202">
        <f>IF($L202="","",INDEX(Расчет!$D$2:$D$3001,$L202))</f>
        <v/>
      </c>
      <c r="F202">
        <f>IF($L202="","",INDEX(Расчет!$E$2:$E$3001,$L202))</f>
        <v/>
      </c>
      <c r="G202">
        <f>IF($L202="","",IFERROR(--LEFT(INDEX(Расчет!$C$2:$C$3001,$L202),FIND("(",INDEX(Расчет!$C$2:$C$3001,$L202))-1),IFERROR(--LEFT(INDEX(Расчет!$C$2:$C$3001,$L202),1),"")))</f>
        <v/>
      </c>
      <c r="H202">
        <f>IF($L202="","",SUMIFS(Расчет!$G$2:$G$3001,Расчет!$I$2:$I$3001,$K202,Расчет!$H$2:$H$3001,1))</f>
        <v/>
      </c>
      <c r="I202">
        <f>IF($L202="","",SUMIFS(Расчет!$G$2:$G$3001,Расчет!$I$2:$I$3001,$K202,Расчет!$H$2:$H$3001,2))</f>
        <v/>
      </c>
      <c r="J202">
        <f>IF($L202="","",SUMIFS(Расчет!$G$2:$G$3001,Расчет!$I$2:$I$3001,$K202,Расчет!$H$2:$H$3001,3))</f>
        <v/>
      </c>
      <c r="K202">
        <f>IF($L202="","",INDEX(Расчет!$I$2:$I$3001,$L202))</f>
        <v/>
      </c>
      <c r="L202">
        <f>IFERROR(MATCH(ROW()-1,Расчет!$J$2:$J$3001,0),"")</f>
        <v/>
      </c>
    </row>
    <row r="203">
      <c r="A203">
        <f>IF($L203="","",B203&amp;"."&amp;C203&amp;"-"&amp;D203&amp;"-"&amp;H203&amp;"."&amp;I203&amp;"."&amp;J203)</f>
        <v/>
      </c>
      <c r="B203">
        <f>IF($L203="","",INDEX(Расчет!$A$2:$A$3001,$L203))</f>
        <v/>
      </c>
      <c r="C203">
        <f>IF($L203="","",INDEX(Расчет!$B$2:$B$3001,$L203))</f>
        <v/>
      </c>
      <c r="D203">
        <f>IF($L203="","",IF(ISNUMBER(FIND("(",INDEX(Расчет!$C$2:$C$3001,$L203))),SUBSTITUTE(MID(INDEX(Расчет!$C$2:$C$3001,$L203),FIND("(",INDEX(Расчет!$C$2:$C$3001,$L203))+1,99),")",""),INDEX(Расчет!$C$2:$C$3001,$L203)))</f>
        <v/>
      </c>
      <c r="E203">
        <f>IF($L203="","",INDEX(Расчет!$D$2:$D$3001,$L203))</f>
        <v/>
      </c>
      <c r="F203">
        <f>IF($L203="","",INDEX(Расчет!$E$2:$E$3001,$L203))</f>
        <v/>
      </c>
      <c r="G203">
        <f>IF($L203="","",IFERROR(--LEFT(INDEX(Расчет!$C$2:$C$3001,$L203),FIND("(",INDEX(Расчет!$C$2:$C$3001,$L203))-1),IFERROR(--LEFT(INDEX(Расчет!$C$2:$C$3001,$L203),1),"")))</f>
        <v/>
      </c>
      <c r="H203">
        <f>IF($L203="","",SUMIFS(Расчет!$G$2:$G$3001,Расчет!$I$2:$I$3001,$K203,Расчет!$H$2:$H$3001,1))</f>
        <v/>
      </c>
      <c r="I203">
        <f>IF($L203="","",SUMIFS(Расчет!$G$2:$G$3001,Расчет!$I$2:$I$3001,$K203,Расчет!$H$2:$H$3001,2))</f>
        <v/>
      </c>
      <c r="J203">
        <f>IF($L203="","",SUMIFS(Расчет!$G$2:$G$3001,Расчет!$I$2:$I$3001,$K203,Расчет!$H$2:$H$3001,3))</f>
        <v/>
      </c>
      <c r="K203">
        <f>IF($L203="","",INDEX(Расчет!$I$2:$I$3001,$L203))</f>
        <v/>
      </c>
      <c r="L203">
        <f>IFERROR(MATCH(ROW()-1,Расчет!$J$2:$J$3001,0),"")</f>
        <v/>
      </c>
    </row>
    <row r="204">
      <c r="A204">
        <f>IF($L204="","",B204&amp;"."&amp;C204&amp;"-"&amp;D204&amp;"-"&amp;H204&amp;"."&amp;I204&amp;"."&amp;J204)</f>
        <v/>
      </c>
      <c r="B204">
        <f>IF($L204="","",INDEX(Расчет!$A$2:$A$3001,$L204))</f>
        <v/>
      </c>
      <c r="C204">
        <f>IF($L204="","",INDEX(Расчет!$B$2:$B$3001,$L204))</f>
        <v/>
      </c>
      <c r="D204">
        <f>IF($L204="","",IF(ISNUMBER(FIND("(",INDEX(Расчет!$C$2:$C$3001,$L204))),SUBSTITUTE(MID(INDEX(Расчет!$C$2:$C$3001,$L204),FIND("(",INDEX(Расчет!$C$2:$C$3001,$L204))+1,99),")",""),INDEX(Расчет!$C$2:$C$3001,$L204)))</f>
        <v/>
      </c>
      <c r="E204">
        <f>IF($L204="","",INDEX(Расчет!$D$2:$D$3001,$L204))</f>
        <v/>
      </c>
      <c r="F204">
        <f>IF($L204="","",INDEX(Расчет!$E$2:$E$3001,$L204))</f>
        <v/>
      </c>
      <c r="G204">
        <f>IF($L204="","",IFERROR(--LEFT(INDEX(Расчет!$C$2:$C$3001,$L204),FIND("(",INDEX(Расчет!$C$2:$C$3001,$L204))-1),IFERROR(--LEFT(INDEX(Расчет!$C$2:$C$3001,$L204),1),"")))</f>
        <v/>
      </c>
      <c r="H204">
        <f>IF($L204="","",SUMIFS(Расчет!$G$2:$G$3001,Расчет!$I$2:$I$3001,$K204,Расчет!$H$2:$H$3001,1))</f>
        <v/>
      </c>
      <c r="I204">
        <f>IF($L204="","",SUMIFS(Расчет!$G$2:$G$3001,Расчет!$I$2:$I$3001,$K204,Расчет!$H$2:$H$3001,2))</f>
        <v/>
      </c>
      <c r="J204">
        <f>IF($L204="","",SUMIFS(Расчет!$G$2:$G$3001,Расчет!$I$2:$I$3001,$K204,Расчет!$H$2:$H$3001,3))</f>
        <v/>
      </c>
      <c r="K204">
        <f>IF($L204="","",INDEX(Расчет!$I$2:$I$3001,$L204))</f>
        <v/>
      </c>
      <c r="L204">
        <f>IFERROR(MATCH(ROW()-1,Расчет!$J$2:$J$3001,0),"")</f>
        <v/>
      </c>
    </row>
    <row r="205">
      <c r="A205">
        <f>IF($L205="","",B205&amp;"."&amp;C205&amp;"-"&amp;D205&amp;"-"&amp;H205&amp;"."&amp;I205&amp;"."&amp;J205)</f>
        <v/>
      </c>
      <c r="B205">
        <f>IF($L205="","",INDEX(Расчет!$A$2:$A$3001,$L205))</f>
        <v/>
      </c>
      <c r="C205">
        <f>IF($L205="","",INDEX(Расчет!$B$2:$B$3001,$L205))</f>
        <v/>
      </c>
      <c r="D205">
        <f>IF($L205="","",IF(ISNUMBER(FIND("(",INDEX(Расчет!$C$2:$C$3001,$L205))),SUBSTITUTE(MID(INDEX(Расчет!$C$2:$C$3001,$L205),FIND("(",INDEX(Расчет!$C$2:$C$3001,$L205))+1,99),")",""),INDEX(Расчет!$C$2:$C$3001,$L205)))</f>
        <v/>
      </c>
      <c r="E205">
        <f>IF($L205="","",INDEX(Расчет!$D$2:$D$3001,$L205))</f>
        <v/>
      </c>
      <c r="F205">
        <f>IF($L205="","",INDEX(Расчет!$E$2:$E$3001,$L205))</f>
        <v/>
      </c>
      <c r="G205">
        <f>IF($L205="","",IFERROR(--LEFT(INDEX(Расчет!$C$2:$C$3001,$L205),FIND("(",INDEX(Расчет!$C$2:$C$3001,$L205))-1),IFERROR(--LEFT(INDEX(Расчет!$C$2:$C$3001,$L205),1),"")))</f>
        <v/>
      </c>
      <c r="H205">
        <f>IF($L205="","",SUMIFS(Расчет!$G$2:$G$3001,Расчет!$I$2:$I$3001,$K205,Расчет!$H$2:$H$3001,1))</f>
        <v/>
      </c>
      <c r="I205">
        <f>IF($L205="","",SUMIFS(Расчет!$G$2:$G$3001,Расчет!$I$2:$I$3001,$K205,Расчет!$H$2:$H$3001,2))</f>
        <v/>
      </c>
      <c r="J205">
        <f>IF($L205="","",SUMIFS(Расчет!$G$2:$G$3001,Расчет!$I$2:$I$3001,$K205,Расчет!$H$2:$H$3001,3))</f>
        <v/>
      </c>
      <c r="K205">
        <f>IF($L205="","",INDEX(Расчет!$I$2:$I$3001,$L205))</f>
        <v/>
      </c>
      <c r="L205">
        <f>IFERROR(MATCH(ROW()-1,Расчет!$J$2:$J$3001,0),"")</f>
        <v/>
      </c>
    </row>
    <row r="206">
      <c r="A206">
        <f>IF($L206="","",B206&amp;"."&amp;C206&amp;"-"&amp;D206&amp;"-"&amp;H206&amp;"."&amp;I206&amp;"."&amp;J206)</f>
        <v/>
      </c>
      <c r="B206">
        <f>IF($L206="","",INDEX(Расчет!$A$2:$A$3001,$L206))</f>
        <v/>
      </c>
      <c r="C206">
        <f>IF($L206="","",INDEX(Расчет!$B$2:$B$3001,$L206))</f>
        <v/>
      </c>
      <c r="D206">
        <f>IF($L206="","",IF(ISNUMBER(FIND("(",INDEX(Расчет!$C$2:$C$3001,$L206))),SUBSTITUTE(MID(INDEX(Расчет!$C$2:$C$3001,$L206),FIND("(",INDEX(Расчет!$C$2:$C$3001,$L206))+1,99),")",""),INDEX(Расчет!$C$2:$C$3001,$L206)))</f>
        <v/>
      </c>
      <c r="E206">
        <f>IF($L206="","",INDEX(Расчет!$D$2:$D$3001,$L206))</f>
        <v/>
      </c>
      <c r="F206">
        <f>IF($L206="","",INDEX(Расчет!$E$2:$E$3001,$L206))</f>
        <v/>
      </c>
      <c r="G206">
        <f>IF($L206="","",IFERROR(--LEFT(INDEX(Расчет!$C$2:$C$3001,$L206),FIND("(",INDEX(Расчет!$C$2:$C$3001,$L206))-1),IFERROR(--LEFT(INDEX(Расчет!$C$2:$C$3001,$L206),1),"")))</f>
        <v/>
      </c>
      <c r="H206">
        <f>IF($L206="","",SUMIFS(Расчет!$G$2:$G$3001,Расчет!$I$2:$I$3001,$K206,Расчет!$H$2:$H$3001,1))</f>
        <v/>
      </c>
      <c r="I206">
        <f>IF($L206="","",SUMIFS(Расчет!$G$2:$G$3001,Расчет!$I$2:$I$3001,$K206,Расчет!$H$2:$H$3001,2))</f>
        <v/>
      </c>
      <c r="J206">
        <f>IF($L206="","",SUMIFS(Расчет!$G$2:$G$3001,Расчет!$I$2:$I$3001,$K206,Расчет!$H$2:$H$3001,3))</f>
        <v/>
      </c>
      <c r="K206">
        <f>IF($L206="","",INDEX(Расчет!$I$2:$I$3001,$L206))</f>
        <v/>
      </c>
      <c r="L206">
        <f>IFERROR(MATCH(ROW()-1,Расчет!$J$2:$J$3001,0),"")</f>
        <v/>
      </c>
    </row>
    <row r="207">
      <c r="A207">
        <f>IF($L207="","",B207&amp;"."&amp;C207&amp;"-"&amp;D207&amp;"-"&amp;H207&amp;"."&amp;I207&amp;"."&amp;J207)</f>
        <v/>
      </c>
      <c r="B207">
        <f>IF($L207="","",INDEX(Расчет!$A$2:$A$3001,$L207))</f>
        <v/>
      </c>
      <c r="C207">
        <f>IF($L207="","",INDEX(Расчет!$B$2:$B$3001,$L207))</f>
        <v/>
      </c>
      <c r="D207">
        <f>IF($L207="","",IF(ISNUMBER(FIND("(",INDEX(Расчет!$C$2:$C$3001,$L207))),SUBSTITUTE(MID(INDEX(Расчет!$C$2:$C$3001,$L207),FIND("(",INDEX(Расчет!$C$2:$C$3001,$L207))+1,99),")",""),INDEX(Расчет!$C$2:$C$3001,$L207)))</f>
        <v/>
      </c>
      <c r="E207">
        <f>IF($L207="","",INDEX(Расчет!$D$2:$D$3001,$L207))</f>
        <v/>
      </c>
      <c r="F207">
        <f>IF($L207="","",INDEX(Расчет!$E$2:$E$3001,$L207))</f>
        <v/>
      </c>
      <c r="G207">
        <f>IF($L207="","",IFERROR(--LEFT(INDEX(Расчет!$C$2:$C$3001,$L207),FIND("(",INDEX(Расчет!$C$2:$C$3001,$L207))-1),IFERROR(--LEFT(INDEX(Расчет!$C$2:$C$3001,$L207),1),"")))</f>
        <v/>
      </c>
      <c r="H207">
        <f>IF($L207="","",SUMIFS(Расчет!$G$2:$G$3001,Расчет!$I$2:$I$3001,$K207,Расчет!$H$2:$H$3001,1))</f>
        <v/>
      </c>
      <c r="I207">
        <f>IF($L207="","",SUMIFS(Расчет!$G$2:$G$3001,Расчет!$I$2:$I$3001,$K207,Расчет!$H$2:$H$3001,2))</f>
        <v/>
      </c>
      <c r="J207">
        <f>IF($L207="","",SUMIFS(Расчет!$G$2:$G$3001,Расчет!$I$2:$I$3001,$K207,Расчет!$H$2:$H$3001,3))</f>
        <v/>
      </c>
      <c r="K207">
        <f>IF($L207="","",INDEX(Расчет!$I$2:$I$3001,$L207))</f>
        <v/>
      </c>
      <c r="L207">
        <f>IFERROR(MATCH(ROW()-1,Расчет!$J$2:$J$3001,0),"")</f>
        <v/>
      </c>
    </row>
    <row r="208">
      <c r="A208">
        <f>IF($L208="","",B208&amp;"."&amp;C208&amp;"-"&amp;D208&amp;"-"&amp;H208&amp;"."&amp;I208&amp;"."&amp;J208)</f>
        <v/>
      </c>
      <c r="B208">
        <f>IF($L208="","",INDEX(Расчет!$A$2:$A$3001,$L208))</f>
        <v/>
      </c>
      <c r="C208">
        <f>IF($L208="","",INDEX(Расчет!$B$2:$B$3001,$L208))</f>
        <v/>
      </c>
      <c r="D208">
        <f>IF($L208="","",IF(ISNUMBER(FIND("(",INDEX(Расчет!$C$2:$C$3001,$L208))),SUBSTITUTE(MID(INDEX(Расчет!$C$2:$C$3001,$L208),FIND("(",INDEX(Расчет!$C$2:$C$3001,$L208))+1,99),")",""),INDEX(Расчет!$C$2:$C$3001,$L208)))</f>
        <v/>
      </c>
      <c r="E208">
        <f>IF($L208="","",INDEX(Расчет!$D$2:$D$3001,$L208))</f>
        <v/>
      </c>
      <c r="F208">
        <f>IF($L208="","",INDEX(Расчет!$E$2:$E$3001,$L208))</f>
        <v/>
      </c>
      <c r="G208">
        <f>IF($L208="","",IFERROR(--LEFT(INDEX(Расчет!$C$2:$C$3001,$L208),FIND("(",INDEX(Расчет!$C$2:$C$3001,$L208))-1),IFERROR(--LEFT(INDEX(Расчет!$C$2:$C$3001,$L208),1),"")))</f>
        <v/>
      </c>
      <c r="H208">
        <f>IF($L208="","",SUMIFS(Расчет!$G$2:$G$3001,Расчет!$I$2:$I$3001,$K208,Расчет!$H$2:$H$3001,1))</f>
        <v/>
      </c>
      <c r="I208">
        <f>IF($L208="","",SUMIFS(Расчет!$G$2:$G$3001,Расчет!$I$2:$I$3001,$K208,Расчет!$H$2:$H$3001,2))</f>
        <v/>
      </c>
      <c r="J208">
        <f>IF($L208="","",SUMIFS(Расчет!$G$2:$G$3001,Расчет!$I$2:$I$3001,$K208,Расчет!$H$2:$H$3001,3))</f>
        <v/>
      </c>
      <c r="K208">
        <f>IF($L208="","",INDEX(Расчет!$I$2:$I$3001,$L208))</f>
        <v/>
      </c>
      <c r="L208">
        <f>IFERROR(MATCH(ROW()-1,Расчет!$J$2:$J$3001,0),"")</f>
        <v/>
      </c>
    </row>
    <row r="209">
      <c r="A209">
        <f>IF($L209="","",B209&amp;"."&amp;C209&amp;"-"&amp;D209&amp;"-"&amp;H209&amp;"."&amp;I209&amp;"."&amp;J209)</f>
        <v/>
      </c>
      <c r="B209">
        <f>IF($L209="","",INDEX(Расчет!$A$2:$A$3001,$L209))</f>
        <v/>
      </c>
      <c r="C209">
        <f>IF($L209="","",INDEX(Расчет!$B$2:$B$3001,$L209))</f>
        <v/>
      </c>
      <c r="D209">
        <f>IF($L209="","",IF(ISNUMBER(FIND("(",INDEX(Расчет!$C$2:$C$3001,$L209))),SUBSTITUTE(MID(INDEX(Расчет!$C$2:$C$3001,$L209),FIND("(",INDEX(Расчет!$C$2:$C$3001,$L209))+1,99),")",""),INDEX(Расчет!$C$2:$C$3001,$L209)))</f>
        <v/>
      </c>
      <c r="E209">
        <f>IF($L209="","",INDEX(Расчет!$D$2:$D$3001,$L209))</f>
        <v/>
      </c>
      <c r="F209">
        <f>IF($L209="","",INDEX(Расчет!$E$2:$E$3001,$L209))</f>
        <v/>
      </c>
      <c r="G209">
        <f>IF($L209="","",IFERROR(--LEFT(INDEX(Расчет!$C$2:$C$3001,$L209),FIND("(",INDEX(Расчет!$C$2:$C$3001,$L209))-1),IFERROR(--LEFT(INDEX(Расчет!$C$2:$C$3001,$L209),1),"")))</f>
        <v/>
      </c>
      <c r="H209">
        <f>IF($L209="","",SUMIFS(Расчет!$G$2:$G$3001,Расчет!$I$2:$I$3001,$K209,Расчет!$H$2:$H$3001,1))</f>
        <v/>
      </c>
      <c r="I209">
        <f>IF($L209="","",SUMIFS(Расчет!$G$2:$G$3001,Расчет!$I$2:$I$3001,$K209,Расчет!$H$2:$H$3001,2))</f>
        <v/>
      </c>
      <c r="J209">
        <f>IF($L209="","",SUMIFS(Расчет!$G$2:$G$3001,Расчет!$I$2:$I$3001,$K209,Расчет!$H$2:$H$3001,3))</f>
        <v/>
      </c>
      <c r="K209">
        <f>IF($L209="","",INDEX(Расчет!$I$2:$I$3001,$L209))</f>
        <v/>
      </c>
      <c r="L209">
        <f>IFERROR(MATCH(ROW()-1,Расчет!$J$2:$J$3001,0),"")</f>
        <v/>
      </c>
    </row>
    <row r="210">
      <c r="A210">
        <f>IF($L210="","",B210&amp;"."&amp;C210&amp;"-"&amp;D210&amp;"-"&amp;H210&amp;"."&amp;I210&amp;"."&amp;J210)</f>
        <v/>
      </c>
      <c r="B210">
        <f>IF($L210="","",INDEX(Расчет!$A$2:$A$3001,$L210))</f>
        <v/>
      </c>
      <c r="C210">
        <f>IF($L210="","",INDEX(Расчет!$B$2:$B$3001,$L210))</f>
        <v/>
      </c>
      <c r="D210">
        <f>IF($L210="","",IF(ISNUMBER(FIND("(",INDEX(Расчет!$C$2:$C$3001,$L210))),SUBSTITUTE(MID(INDEX(Расчет!$C$2:$C$3001,$L210),FIND("(",INDEX(Расчет!$C$2:$C$3001,$L210))+1,99),")",""),INDEX(Расчет!$C$2:$C$3001,$L210)))</f>
        <v/>
      </c>
      <c r="E210">
        <f>IF($L210="","",INDEX(Расчет!$D$2:$D$3001,$L210))</f>
        <v/>
      </c>
      <c r="F210">
        <f>IF($L210="","",INDEX(Расчет!$E$2:$E$3001,$L210))</f>
        <v/>
      </c>
      <c r="G210">
        <f>IF($L210="","",IFERROR(--LEFT(INDEX(Расчет!$C$2:$C$3001,$L210),FIND("(",INDEX(Расчет!$C$2:$C$3001,$L210))-1),IFERROR(--LEFT(INDEX(Расчет!$C$2:$C$3001,$L210),1),"")))</f>
        <v/>
      </c>
      <c r="H210">
        <f>IF($L210="","",SUMIFS(Расчет!$G$2:$G$3001,Расчет!$I$2:$I$3001,$K210,Расчет!$H$2:$H$3001,1))</f>
        <v/>
      </c>
      <c r="I210">
        <f>IF($L210="","",SUMIFS(Расчет!$G$2:$G$3001,Расчет!$I$2:$I$3001,$K210,Расчет!$H$2:$H$3001,2))</f>
        <v/>
      </c>
      <c r="J210">
        <f>IF($L210="","",SUMIFS(Расчет!$G$2:$G$3001,Расчет!$I$2:$I$3001,$K210,Расчет!$H$2:$H$3001,3))</f>
        <v/>
      </c>
      <c r="K210">
        <f>IF($L210="","",INDEX(Расчет!$I$2:$I$3001,$L210))</f>
        <v/>
      </c>
      <c r="L210">
        <f>IFERROR(MATCH(ROW()-1,Расчет!$J$2:$J$3001,0),"")</f>
        <v/>
      </c>
    </row>
    <row r="211">
      <c r="A211">
        <f>IF($L211="","",B211&amp;"."&amp;C211&amp;"-"&amp;D211&amp;"-"&amp;H211&amp;"."&amp;I211&amp;"."&amp;J211)</f>
        <v/>
      </c>
      <c r="B211">
        <f>IF($L211="","",INDEX(Расчет!$A$2:$A$3001,$L211))</f>
        <v/>
      </c>
      <c r="C211">
        <f>IF($L211="","",INDEX(Расчет!$B$2:$B$3001,$L211))</f>
        <v/>
      </c>
      <c r="D211">
        <f>IF($L211="","",IF(ISNUMBER(FIND("(",INDEX(Расчет!$C$2:$C$3001,$L211))),SUBSTITUTE(MID(INDEX(Расчет!$C$2:$C$3001,$L211),FIND("(",INDEX(Расчет!$C$2:$C$3001,$L211))+1,99),")",""),INDEX(Расчет!$C$2:$C$3001,$L211)))</f>
        <v/>
      </c>
      <c r="E211">
        <f>IF($L211="","",INDEX(Расчет!$D$2:$D$3001,$L211))</f>
        <v/>
      </c>
      <c r="F211">
        <f>IF($L211="","",INDEX(Расчет!$E$2:$E$3001,$L211))</f>
        <v/>
      </c>
      <c r="G211">
        <f>IF($L211="","",IFERROR(--LEFT(INDEX(Расчет!$C$2:$C$3001,$L211),FIND("(",INDEX(Расчет!$C$2:$C$3001,$L211))-1),IFERROR(--LEFT(INDEX(Расчет!$C$2:$C$3001,$L211),1),"")))</f>
        <v/>
      </c>
      <c r="H211">
        <f>IF($L211="","",SUMIFS(Расчет!$G$2:$G$3001,Расчет!$I$2:$I$3001,$K211,Расчет!$H$2:$H$3001,1))</f>
        <v/>
      </c>
      <c r="I211">
        <f>IF($L211="","",SUMIFS(Расчет!$G$2:$G$3001,Расчет!$I$2:$I$3001,$K211,Расчет!$H$2:$H$3001,2))</f>
        <v/>
      </c>
      <c r="J211">
        <f>IF($L211="","",SUMIFS(Расчет!$G$2:$G$3001,Расчет!$I$2:$I$3001,$K211,Расчет!$H$2:$H$3001,3))</f>
        <v/>
      </c>
      <c r="K211">
        <f>IF($L211="","",INDEX(Расчет!$I$2:$I$3001,$L211))</f>
        <v/>
      </c>
      <c r="L211">
        <f>IFERROR(MATCH(ROW()-1,Расчет!$J$2:$J$3001,0),"")</f>
        <v/>
      </c>
    </row>
    <row r="212">
      <c r="A212">
        <f>IF($L212="","",B212&amp;"."&amp;C212&amp;"-"&amp;D212&amp;"-"&amp;H212&amp;"."&amp;I212&amp;"."&amp;J212)</f>
        <v/>
      </c>
      <c r="B212">
        <f>IF($L212="","",INDEX(Расчет!$A$2:$A$3001,$L212))</f>
        <v/>
      </c>
      <c r="C212">
        <f>IF($L212="","",INDEX(Расчет!$B$2:$B$3001,$L212))</f>
        <v/>
      </c>
      <c r="D212">
        <f>IF($L212="","",IF(ISNUMBER(FIND("(",INDEX(Расчет!$C$2:$C$3001,$L212))),SUBSTITUTE(MID(INDEX(Расчет!$C$2:$C$3001,$L212),FIND("(",INDEX(Расчет!$C$2:$C$3001,$L212))+1,99),")",""),INDEX(Расчет!$C$2:$C$3001,$L212)))</f>
        <v/>
      </c>
      <c r="E212">
        <f>IF($L212="","",INDEX(Расчет!$D$2:$D$3001,$L212))</f>
        <v/>
      </c>
      <c r="F212">
        <f>IF($L212="","",INDEX(Расчет!$E$2:$E$3001,$L212))</f>
        <v/>
      </c>
      <c r="G212">
        <f>IF($L212="","",IFERROR(--LEFT(INDEX(Расчет!$C$2:$C$3001,$L212),FIND("(",INDEX(Расчет!$C$2:$C$3001,$L212))-1),IFERROR(--LEFT(INDEX(Расчет!$C$2:$C$3001,$L212),1),"")))</f>
        <v/>
      </c>
      <c r="H212">
        <f>IF($L212="","",SUMIFS(Расчет!$G$2:$G$3001,Расчет!$I$2:$I$3001,$K212,Расчет!$H$2:$H$3001,1))</f>
        <v/>
      </c>
      <c r="I212">
        <f>IF($L212="","",SUMIFS(Расчет!$G$2:$G$3001,Расчет!$I$2:$I$3001,$K212,Расчет!$H$2:$H$3001,2))</f>
        <v/>
      </c>
      <c r="J212">
        <f>IF($L212="","",SUMIFS(Расчет!$G$2:$G$3001,Расчет!$I$2:$I$3001,$K212,Расчет!$H$2:$H$3001,3))</f>
        <v/>
      </c>
      <c r="K212">
        <f>IF($L212="","",INDEX(Расчет!$I$2:$I$3001,$L212))</f>
        <v/>
      </c>
      <c r="L212">
        <f>IFERROR(MATCH(ROW()-1,Расчет!$J$2:$J$3001,0),"")</f>
        <v/>
      </c>
    </row>
    <row r="213">
      <c r="A213">
        <f>IF($L213="","",B213&amp;"."&amp;C213&amp;"-"&amp;D213&amp;"-"&amp;H213&amp;"."&amp;I213&amp;"."&amp;J213)</f>
        <v/>
      </c>
      <c r="B213">
        <f>IF($L213="","",INDEX(Расчет!$A$2:$A$3001,$L213))</f>
        <v/>
      </c>
      <c r="C213">
        <f>IF($L213="","",INDEX(Расчет!$B$2:$B$3001,$L213))</f>
        <v/>
      </c>
      <c r="D213">
        <f>IF($L213="","",IF(ISNUMBER(FIND("(",INDEX(Расчет!$C$2:$C$3001,$L213))),SUBSTITUTE(MID(INDEX(Расчет!$C$2:$C$3001,$L213),FIND("(",INDEX(Расчет!$C$2:$C$3001,$L213))+1,99),")",""),INDEX(Расчет!$C$2:$C$3001,$L213)))</f>
        <v/>
      </c>
      <c r="E213">
        <f>IF($L213="","",INDEX(Расчет!$D$2:$D$3001,$L213))</f>
        <v/>
      </c>
      <c r="F213">
        <f>IF($L213="","",INDEX(Расчет!$E$2:$E$3001,$L213))</f>
        <v/>
      </c>
      <c r="G213">
        <f>IF($L213="","",IFERROR(--LEFT(INDEX(Расчет!$C$2:$C$3001,$L213),FIND("(",INDEX(Расчет!$C$2:$C$3001,$L213))-1),IFERROR(--LEFT(INDEX(Расчет!$C$2:$C$3001,$L213),1),"")))</f>
        <v/>
      </c>
      <c r="H213">
        <f>IF($L213="","",SUMIFS(Расчет!$G$2:$G$3001,Расчет!$I$2:$I$3001,$K213,Расчет!$H$2:$H$3001,1))</f>
        <v/>
      </c>
      <c r="I213">
        <f>IF($L213="","",SUMIFS(Расчет!$G$2:$G$3001,Расчет!$I$2:$I$3001,$K213,Расчет!$H$2:$H$3001,2))</f>
        <v/>
      </c>
      <c r="J213">
        <f>IF($L213="","",SUMIFS(Расчет!$G$2:$G$3001,Расчет!$I$2:$I$3001,$K213,Расчет!$H$2:$H$3001,3))</f>
        <v/>
      </c>
      <c r="K213">
        <f>IF($L213="","",INDEX(Расчет!$I$2:$I$3001,$L213))</f>
        <v/>
      </c>
      <c r="L213">
        <f>IFERROR(MATCH(ROW()-1,Расчет!$J$2:$J$3001,0),"")</f>
        <v/>
      </c>
    </row>
    <row r="214">
      <c r="A214">
        <f>IF($L214="","",B214&amp;"."&amp;C214&amp;"-"&amp;D214&amp;"-"&amp;H214&amp;"."&amp;I214&amp;"."&amp;J214)</f>
        <v/>
      </c>
      <c r="B214">
        <f>IF($L214="","",INDEX(Расчет!$A$2:$A$3001,$L214))</f>
        <v/>
      </c>
      <c r="C214">
        <f>IF($L214="","",INDEX(Расчет!$B$2:$B$3001,$L214))</f>
        <v/>
      </c>
      <c r="D214">
        <f>IF($L214="","",IF(ISNUMBER(FIND("(",INDEX(Расчет!$C$2:$C$3001,$L214))),SUBSTITUTE(MID(INDEX(Расчет!$C$2:$C$3001,$L214),FIND("(",INDEX(Расчет!$C$2:$C$3001,$L214))+1,99),")",""),INDEX(Расчет!$C$2:$C$3001,$L214)))</f>
        <v/>
      </c>
      <c r="E214">
        <f>IF($L214="","",INDEX(Расчет!$D$2:$D$3001,$L214))</f>
        <v/>
      </c>
      <c r="F214">
        <f>IF($L214="","",INDEX(Расчет!$E$2:$E$3001,$L214))</f>
        <v/>
      </c>
      <c r="G214">
        <f>IF($L214="","",IFERROR(--LEFT(INDEX(Расчет!$C$2:$C$3001,$L214),FIND("(",INDEX(Расчет!$C$2:$C$3001,$L214))-1),IFERROR(--LEFT(INDEX(Расчет!$C$2:$C$3001,$L214),1),"")))</f>
        <v/>
      </c>
      <c r="H214">
        <f>IF($L214="","",SUMIFS(Расчет!$G$2:$G$3001,Расчет!$I$2:$I$3001,$K214,Расчет!$H$2:$H$3001,1))</f>
        <v/>
      </c>
      <c r="I214">
        <f>IF($L214="","",SUMIFS(Расчет!$G$2:$G$3001,Расчет!$I$2:$I$3001,$K214,Расчет!$H$2:$H$3001,2))</f>
        <v/>
      </c>
      <c r="J214">
        <f>IF($L214="","",SUMIFS(Расчет!$G$2:$G$3001,Расчет!$I$2:$I$3001,$K214,Расчет!$H$2:$H$3001,3))</f>
        <v/>
      </c>
      <c r="K214">
        <f>IF($L214="","",INDEX(Расчет!$I$2:$I$3001,$L214))</f>
        <v/>
      </c>
      <c r="L214">
        <f>IFERROR(MATCH(ROW()-1,Расчет!$J$2:$J$3001,0),"")</f>
        <v/>
      </c>
    </row>
    <row r="215">
      <c r="A215">
        <f>IF($L215="","",B215&amp;"."&amp;C215&amp;"-"&amp;D215&amp;"-"&amp;H215&amp;"."&amp;I215&amp;"."&amp;J215)</f>
        <v/>
      </c>
      <c r="B215">
        <f>IF($L215="","",INDEX(Расчет!$A$2:$A$3001,$L215))</f>
        <v/>
      </c>
      <c r="C215">
        <f>IF($L215="","",INDEX(Расчет!$B$2:$B$3001,$L215))</f>
        <v/>
      </c>
      <c r="D215">
        <f>IF($L215="","",IF(ISNUMBER(FIND("(",INDEX(Расчет!$C$2:$C$3001,$L215))),SUBSTITUTE(MID(INDEX(Расчет!$C$2:$C$3001,$L215),FIND("(",INDEX(Расчет!$C$2:$C$3001,$L215))+1,99),")",""),INDEX(Расчет!$C$2:$C$3001,$L215)))</f>
        <v/>
      </c>
      <c r="E215">
        <f>IF($L215="","",INDEX(Расчет!$D$2:$D$3001,$L215))</f>
        <v/>
      </c>
      <c r="F215">
        <f>IF($L215="","",INDEX(Расчет!$E$2:$E$3001,$L215))</f>
        <v/>
      </c>
      <c r="G215">
        <f>IF($L215="","",IFERROR(--LEFT(INDEX(Расчет!$C$2:$C$3001,$L215),FIND("(",INDEX(Расчет!$C$2:$C$3001,$L215))-1),IFERROR(--LEFT(INDEX(Расчет!$C$2:$C$3001,$L215),1),"")))</f>
        <v/>
      </c>
      <c r="H215">
        <f>IF($L215="","",SUMIFS(Расчет!$G$2:$G$3001,Расчет!$I$2:$I$3001,$K215,Расчет!$H$2:$H$3001,1))</f>
        <v/>
      </c>
      <c r="I215">
        <f>IF($L215="","",SUMIFS(Расчет!$G$2:$G$3001,Расчет!$I$2:$I$3001,$K215,Расчет!$H$2:$H$3001,2))</f>
        <v/>
      </c>
      <c r="J215">
        <f>IF($L215="","",SUMIFS(Расчет!$G$2:$G$3001,Расчет!$I$2:$I$3001,$K215,Расчет!$H$2:$H$3001,3))</f>
        <v/>
      </c>
      <c r="K215">
        <f>IF($L215="","",INDEX(Расчет!$I$2:$I$3001,$L215))</f>
        <v/>
      </c>
      <c r="L215">
        <f>IFERROR(MATCH(ROW()-1,Расчет!$J$2:$J$3001,0),"")</f>
        <v/>
      </c>
    </row>
    <row r="216">
      <c r="A216">
        <f>IF($L216="","",B216&amp;"."&amp;C216&amp;"-"&amp;D216&amp;"-"&amp;H216&amp;"."&amp;I216&amp;"."&amp;J216)</f>
        <v/>
      </c>
      <c r="B216">
        <f>IF($L216="","",INDEX(Расчет!$A$2:$A$3001,$L216))</f>
        <v/>
      </c>
      <c r="C216">
        <f>IF($L216="","",INDEX(Расчет!$B$2:$B$3001,$L216))</f>
        <v/>
      </c>
      <c r="D216">
        <f>IF($L216="","",IF(ISNUMBER(FIND("(",INDEX(Расчет!$C$2:$C$3001,$L216))),SUBSTITUTE(MID(INDEX(Расчет!$C$2:$C$3001,$L216),FIND("(",INDEX(Расчет!$C$2:$C$3001,$L216))+1,99),")",""),INDEX(Расчет!$C$2:$C$3001,$L216)))</f>
        <v/>
      </c>
      <c r="E216">
        <f>IF($L216="","",INDEX(Расчет!$D$2:$D$3001,$L216))</f>
        <v/>
      </c>
      <c r="F216">
        <f>IF($L216="","",INDEX(Расчет!$E$2:$E$3001,$L216))</f>
        <v/>
      </c>
      <c r="G216">
        <f>IF($L216="","",IFERROR(--LEFT(INDEX(Расчет!$C$2:$C$3001,$L216),FIND("(",INDEX(Расчет!$C$2:$C$3001,$L216))-1),IFERROR(--LEFT(INDEX(Расчет!$C$2:$C$3001,$L216),1),"")))</f>
        <v/>
      </c>
      <c r="H216">
        <f>IF($L216="","",SUMIFS(Расчет!$G$2:$G$3001,Расчет!$I$2:$I$3001,$K216,Расчет!$H$2:$H$3001,1))</f>
        <v/>
      </c>
      <c r="I216">
        <f>IF($L216="","",SUMIFS(Расчет!$G$2:$G$3001,Расчет!$I$2:$I$3001,$K216,Расчет!$H$2:$H$3001,2))</f>
        <v/>
      </c>
      <c r="J216">
        <f>IF($L216="","",SUMIFS(Расчет!$G$2:$G$3001,Расчет!$I$2:$I$3001,$K216,Расчет!$H$2:$H$3001,3))</f>
        <v/>
      </c>
      <c r="K216">
        <f>IF($L216="","",INDEX(Расчет!$I$2:$I$3001,$L216))</f>
        <v/>
      </c>
      <c r="L216">
        <f>IFERROR(MATCH(ROW()-1,Расчет!$J$2:$J$3001,0),"")</f>
        <v/>
      </c>
    </row>
    <row r="217">
      <c r="A217">
        <f>IF($L217="","",B217&amp;"."&amp;C217&amp;"-"&amp;D217&amp;"-"&amp;H217&amp;"."&amp;I217&amp;"."&amp;J217)</f>
        <v/>
      </c>
      <c r="B217">
        <f>IF($L217="","",INDEX(Расчет!$A$2:$A$3001,$L217))</f>
        <v/>
      </c>
      <c r="C217">
        <f>IF($L217="","",INDEX(Расчет!$B$2:$B$3001,$L217))</f>
        <v/>
      </c>
      <c r="D217">
        <f>IF($L217="","",IF(ISNUMBER(FIND("(",INDEX(Расчет!$C$2:$C$3001,$L217))),SUBSTITUTE(MID(INDEX(Расчет!$C$2:$C$3001,$L217),FIND("(",INDEX(Расчет!$C$2:$C$3001,$L217))+1,99),")",""),INDEX(Расчет!$C$2:$C$3001,$L217)))</f>
        <v/>
      </c>
      <c r="E217">
        <f>IF($L217="","",INDEX(Расчет!$D$2:$D$3001,$L217))</f>
        <v/>
      </c>
      <c r="F217">
        <f>IF($L217="","",INDEX(Расчет!$E$2:$E$3001,$L217))</f>
        <v/>
      </c>
      <c r="G217">
        <f>IF($L217="","",IFERROR(--LEFT(INDEX(Расчет!$C$2:$C$3001,$L217),FIND("(",INDEX(Расчет!$C$2:$C$3001,$L217))-1),IFERROR(--LEFT(INDEX(Расчет!$C$2:$C$3001,$L217),1),"")))</f>
        <v/>
      </c>
      <c r="H217">
        <f>IF($L217="","",SUMIFS(Расчет!$G$2:$G$3001,Расчет!$I$2:$I$3001,$K217,Расчет!$H$2:$H$3001,1))</f>
        <v/>
      </c>
      <c r="I217">
        <f>IF($L217="","",SUMIFS(Расчет!$G$2:$G$3001,Расчет!$I$2:$I$3001,$K217,Расчет!$H$2:$H$3001,2))</f>
        <v/>
      </c>
      <c r="J217">
        <f>IF($L217="","",SUMIFS(Расчет!$G$2:$G$3001,Расчет!$I$2:$I$3001,$K217,Расчет!$H$2:$H$3001,3))</f>
        <v/>
      </c>
      <c r="K217">
        <f>IF($L217="","",INDEX(Расчет!$I$2:$I$3001,$L217))</f>
        <v/>
      </c>
      <c r="L217">
        <f>IFERROR(MATCH(ROW()-1,Расчет!$J$2:$J$3001,0),"")</f>
        <v/>
      </c>
    </row>
    <row r="218">
      <c r="A218">
        <f>IF($L218="","",B218&amp;"."&amp;C218&amp;"-"&amp;D218&amp;"-"&amp;H218&amp;"."&amp;I218&amp;"."&amp;J218)</f>
        <v/>
      </c>
      <c r="B218">
        <f>IF($L218="","",INDEX(Расчет!$A$2:$A$3001,$L218))</f>
        <v/>
      </c>
      <c r="C218">
        <f>IF($L218="","",INDEX(Расчет!$B$2:$B$3001,$L218))</f>
        <v/>
      </c>
      <c r="D218">
        <f>IF($L218="","",IF(ISNUMBER(FIND("(",INDEX(Расчет!$C$2:$C$3001,$L218))),SUBSTITUTE(MID(INDEX(Расчет!$C$2:$C$3001,$L218),FIND("(",INDEX(Расчет!$C$2:$C$3001,$L218))+1,99),")",""),INDEX(Расчет!$C$2:$C$3001,$L218)))</f>
        <v/>
      </c>
      <c r="E218">
        <f>IF($L218="","",INDEX(Расчет!$D$2:$D$3001,$L218))</f>
        <v/>
      </c>
      <c r="F218">
        <f>IF($L218="","",INDEX(Расчет!$E$2:$E$3001,$L218))</f>
        <v/>
      </c>
      <c r="G218">
        <f>IF($L218="","",IFERROR(--LEFT(INDEX(Расчет!$C$2:$C$3001,$L218),FIND("(",INDEX(Расчет!$C$2:$C$3001,$L218))-1),IFERROR(--LEFT(INDEX(Расчет!$C$2:$C$3001,$L218),1),"")))</f>
        <v/>
      </c>
      <c r="H218">
        <f>IF($L218="","",SUMIFS(Расчет!$G$2:$G$3001,Расчет!$I$2:$I$3001,$K218,Расчет!$H$2:$H$3001,1))</f>
        <v/>
      </c>
      <c r="I218">
        <f>IF($L218="","",SUMIFS(Расчет!$G$2:$G$3001,Расчет!$I$2:$I$3001,$K218,Расчет!$H$2:$H$3001,2))</f>
        <v/>
      </c>
      <c r="J218">
        <f>IF($L218="","",SUMIFS(Расчет!$G$2:$G$3001,Расчет!$I$2:$I$3001,$K218,Расчет!$H$2:$H$3001,3))</f>
        <v/>
      </c>
      <c r="K218">
        <f>IF($L218="","",INDEX(Расчет!$I$2:$I$3001,$L218))</f>
        <v/>
      </c>
      <c r="L218">
        <f>IFERROR(MATCH(ROW()-1,Расчет!$J$2:$J$3001,0),"")</f>
        <v/>
      </c>
    </row>
    <row r="219">
      <c r="A219">
        <f>IF($L219="","",B219&amp;"."&amp;C219&amp;"-"&amp;D219&amp;"-"&amp;H219&amp;"."&amp;I219&amp;"."&amp;J219)</f>
        <v/>
      </c>
      <c r="B219">
        <f>IF($L219="","",INDEX(Расчет!$A$2:$A$3001,$L219))</f>
        <v/>
      </c>
      <c r="C219">
        <f>IF($L219="","",INDEX(Расчет!$B$2:$B$3001,$L219))</f>
        <v/>
      </c>
      <c r="D219">
        <f>IF($L219="","",IF(ISNUMBER(FIND("(",INDEX(Расчет!$C$2:$C$3001,$L219))),SUBSTITUTE(MID(INDEX(Расчет!$C$2:$C$3001,$L219),FIND("(",INDEX(Расчет!$C$2:$C$3001,$L219))+1,99),")",""),INDEX(Расчет!$C$2:$C$3001,$L219)))</f>
        <v/>
      </c>
      <c r="E219">
        <f>IF($L219="","",INDEX(Расчет!$D$2:$D$3001,$L219))</f>
        <v/>
      </c>
      <c r="F219">
        <f>IF($L219="","",INDEX(Расчет!$E$2:$E$3001,$L219))</f>
        <v/>
      </c>
      <c r="G219">
        <f>IF($L219="","",IFERROR(--LEFT(INDEX(Расчет!$C$2:$C$3001,$L219),FIND("(",INDEX(Расчет!$C$2:$C$3001,$L219))-1),IFERROR(--LEFT(INDEX(Расчет!$C$2:$C$3001,$L219),1),"")))</f>
        <v/>
      </c>
      <c r="H219">
        <f>IF($L219="","",SUMIFS(Расчет!$G$2:$G$3001,Расчет!$I$2:$I$3001,$K219,Расчет!$H$2:$H$3001,1))</f>
        <v/>
      </c>
      <c r="I219">
        <f>IF($L219="","",SUMIFS(Расчет!$G$2:$G$3001,Расчет!$I$2:$I$3001,$K219,Расчет!$H$2:$H$3001,2))</f>
        <v/>
      </c>
      <c r="J219">
        <f>IF($L219="","",SUMIFS(Расчет!$G$2:$G$3001,Расчет!$I$2:$I$3001,$K219,Расчет!$H$2:$H$3001,3))</f>
        <v/>
      </c>
      <c r="K219">
        <f>IF($L219="","",INDEX(Расчет!$I$2:$I$3001,$L219))</f>
        <v/>
      </c>
      <c r="L219">
        <f>IFERROR(MATCH(ROW()-1,Расчет!$J$2:$J$3001,0),"")</f>
        <v/>
      </c>
    </row>
    <row r="220">
      <c r="A220">
        <f>IF($L220="","",B220&amp;"."&amp;C220&amp;"-"&amp;D220&amp;"-"&amp;H220&amp;"."&amp;I220&amp;"."&amp;J220)</f>
        <v/>
      </c>
      <c r="B220">
        <f>IF($L220="","",INDEX(Расчет!$A$2:$A$3001,$L220))</f>
        <v/>
      </c>
      <c r="C220">
        <f>IF($L220="","",INDEX(Расчет!$B$2:$B$3001,$L220))</f>
        <v/>
      </c>
      <c r="D220">
        <f>IF($L220="","",IF(ISNUMBER(FIND("(",INDEX(Расчет!$C$2:$C$3001,$L220))),SUBSTITUTE(MID(INDEX(Расчет!$C$2:$C$3001,$L220),FIND("(",INDEX(Расчет!$C$2:$C$3001,$L220))+1,99),")",""),INDEX(Расчет!$C$2:$C$3001,$L220)))</f>
        <v/>
      </c>
      <c r="E220">
        <f>IF($L220="","",INDEX(Расчет!$D$2:$D$3001,$L220))</f>
        <v/>
      </c>
      <c r="F220">
        <f>IF($L220="","",INDEX(Расчет!$E$2:$E$3001,$L220))</f>
        <v/>
      </c>
      <c r="G220">
        <f>IF($L220="","",IFERROR(--LEFT(INDEX(Расчет!$C$2:$C$3001,$L220),FIND("(",INDEX(Расчет!$C$2:$C$3001,$L220))-1),IFERROR(--LEFT(INDEX(Расчет!$C$2:$C$3001,$L220),1),"")))</f>
        <v/>
      </c>
      <c r="H220">
        <f>IF($L220="","",SUMIFS(Расчет!$G$2:$G$3001,Расчет!$I$2:$I$3001,$K220,Расчет!$H$2:$H$3001,1))</f>
        <v/>
      </c>
      <c r="I220">
        <f>IF($L220="","",SUMIFS(Расчет!$G$2:$G$3001,Расчет!$I$2:$I$3001,$K220,Расчет!$H$2:$H$3001,2))</f>
        <v/>
      </c>
      <c r="J220">
        <f>IF($L220="","",SUMIFS(Расчет!$G$2:$G$3001,Расчет!$I$2:$I$3001,$K220,Расчет!$H$2:$H$3001,3))</f>
        <v/>
      </c>
      <c r="K220">
        <f>IF($L220="","",INDEX(Расчет!$I$2:$I$3001,$L220))</f>
        <v/>
      </c>
      <c r="L220">
        <f>IFERROR(MATCH(ROW()-1,Расчет!$J$2:$J$3001,0),"")</f>
        <v/>
      </c>
    </row>
    <row r="221">
      <c r="A221">
        <f>IF($L221="","",B221&amp;"."&amp;C221&amp;"-"&amp;D221&amp;"-"&amp;H221&amp;"."&amp;I221&amp;"."&amp;J221)</f>
        <v/>
      </c>
      <c r="B221">
        <f>IF($L221="","",INDEX(Расчет!$A$2:$A$3001,$L221))</f>
        <v/>
      </c>
      <c r="C221">
        <f>IF($L221="","",INDEX(Расчет!$B$2:$B$3001,$L221))</f>
        <v/>
      </c>
      <c r="D221">
        <f>IF($L221="","",IF(ISNUMBER(FIND("(",INDEX(Расчет!$C$2:$C$3001,$L221))),SUBSTITUTE(MID(INDEX(Расчет!$C$2:$C$3001,$L221),FIND("(",INDEX(Расчет!$C$2:$C$3001,$L221))+1,99),")",""),INDEX(Расчет!$C$2:$C$3001,$L221)))</f>
        <v/>
      </c>
      <c r="E221">
        <f>IF($L221="","",INDEX(Расчет!$D$2:$D$3001,$L221))</f>
        <v/>
      </c>
      <c r="F221">
        <f>IF($L221="","",INDEX(Расчет!$E$2:$E$3001,$L221))</f>
        <v/>
      </c>
      <c r="G221">
        <f>IF($L221="","",IFERROR(--LEFT(INDEX(Расчет!$C$2:$C$3001,$L221),FIND("(",INDEX(Расчет!$C$2:$C$3001,$L221))-1),IFERROR(--LEFT(INDEX(Расчет!$C$2:$C$3001,$L221),1),"")))</f>
        <v/>
      </c>
      <c r="H221">
        <f>IF($L221="","",SUMIFS(Расчет!$G$2:$G$3001,Расчет!$I$2:$I$3001,$K221,Расчет!$H$2:$H$3001,1))</f>
        <v/>
      </c>
      <c r="I221">
        <f>IF($L221="","",SUMIFS(Расчет!$G$2:$G$3001,Расчет!$I$2:$I$3001,$K221,Расчет!$H$2:$H$3001,2))</f>
        <v/>
      </c>
      <c r="J221">
        <f>IF($L221="","",SUMIFS(Расчет!$G$2:$G$3001,Расчет!$I$2:$I$3001,$K221,Расчет!$H$2:$H$3001,3))</f>
        <v/>
      </c>
      <c r="K221">
        <f>IF($L221="","",INDEX(Расчет!$I$2:$I$3001,$L221))</f>
        <v/>
      </c>
      <c r="L221">
        <f>IFERROR(MATCH(ROW()-1,Расчет!$J$2:$J$3001,0),"")</f>
        <v/>
      </c>
    </row>
    <row r="222">
      <c r="A222">
        <f>IF($L222="","",B222&amp;"."&amp;C222&amp;"-"&amp;D222&amp;"-"&amp;H222&amp;"."&amp;I222&amp;"."&amp;J222)</f>
        <v/>
      </c>
      <c r="B222">
        <f>IF($L222="","",INDEX(Расчет!$A$2:$A$3001,$L222))</f>
        <v/>
      </c>
      <c r="C222">
        <f>IF($L222="","",INDEX(Расчет!$B$2:$B$3001,$L222))</f>
        <v/>
      </c>
      <c r="D222">
        <f>IF($L222="","",IF(ISNUMBER(FIND("(",INDEX(Расчет!$C$2:$C$3001,$L222))),SUBSTITUTE(MID(INDEX(Расчет!$C$2:$C$3001,$L222),FIND("(",INDEX(Расчет!$C$2:$C$3001,$L222))+1,99),")",""),INDEX(Расчет!$C$2:$C$3001,$L222)))</f>
        <v/>
      </c>
      <c r="E222">
        <f>IF($L222="","",INDEX(Расчет!$D$2:$D$3001,$L222))</f>
        <v/>
      </c>
      <c r="F222">
        <f>IF($L222="","",INDEX(Расчет!$E$2:$E$3001,$L222))</f>
        <v/>
      </c>
      <c r="G222">
        <f>IF($L222="","",IFERROR(--LEFT(INDEX(Расчет!$C$2:$C$3001,$L222),FIND("(",INDEX(Расчет!$C$2:$C$3001,$L222))-1),IFERROR(--LEFT(INDEX(Расчет!$C$2:$C$3001,$L222),1),"")))</f>
        <v/>
      </c>
      <c r="H222">
        <f>IF($L222="","",SUMIFS(Расчет!$G$2:$G$3001,Расчет!$I$2:$I$3001,$K222,Расчет!$H$2:$H$3001,1))</f>
        <v/>
      </c>
      <c r="I222">
        <f>IF($L222="","",SUMIFS(Расчет!$G$2:$G$3001,Расчет!$I$2:$I$3001,$K222,Расчет!$H$2:$H$3001,2))</f>
        <v/>
      </c>
      <c r="J222">
        <f>IF($L222="","",SUMIFS(Расчет!$G$2:$G$3001,Расчет!$I$2:$I$3001,$K222,Расчет!$H$2:$H$3001,3))</f>
        <v/>
      </c>
      <c r="K222">
        <f>IF($L222="","",INDEX(Расчет!$I$2:$I$3001,$L222))</f>
        <v/>
      </c>
      <c r="L222">
        <f>IFERROR(MATCH(ROW()-1,Расчет!$J$2:$J$3001,0),"")</f>
        <v/>
      </c>
    </row>
    <row r="223">
      <c r="A223">
        <f>IF($L223="","",B223&amp;"."&amp;C223&amp;"-"&amp;D223&amp;"-"&amp;H223&amp;"."&amp;I223&amp;"."&amp;J223)</f>
        <v/>
      </c>
      <c r="B223">
        <f>IF($L223="","",INDEX(Расчет!$A$2:$A$3001,$L223))</f>
        <v/>
      </c>
      <c r="C223">
        <f>IF($L223="","",INDEX(Расчет!$B$2:$B$3001,$L223))</f>
        <v/>
      </c>
      <c r="D223">
        <f>IF($L223="","",IF(ISNUMBER(FIND("(",INDEX(Расчет!$C$2:$C$3001,$L223))),SUBSTITUTE(MID(INDEX(Расчет!$C$2:$C$3001,$L223),FIND("(",INDEX(Расчет!$C$2:$C$3001,$L223))+1,99),")",""),INDEX(Расчет!$C$2:$C$3001,$L223)))</f>
        <v/>
      </c>
      <c r="E223">
        <f>IF($L223="","",INDEX(Расчет!$D$2:$D$3001,$L223))</f>
        <v/>
      </c>
      <c r="F223">
        <f>IF($L223="","",INDEX(Расчет!$E$2:$E$3001,$L223))</f>
        <v/>
      </c>
      <c r="G223">
        <f>IF($L223="","",IFERROR(--LEFT(INDEX(Расчет!$C$2:$C$3001,$L223),FIND("(",INDEX(Расчет!$C$2:$C$3001,$L223))-1),IFERROR(--LEFT(INDEX(Расчет!$C$2:$C$3001,$L223),1),"")))</f>
        <v/>
      </c>
      <c r="H223">
        <f>IF($L223="","",SUMIFS(Расчет!$G$2:$G$3001,Расчет!$I$2:$I$3001,$K223,Расчет!$H$2:$H$3001,1))</f>
        <v/>
      </c>
      <c r="I223">
        <f>IF($L223="","",SUMIFS(Расчет!$G$2:$G$3001,Расчет!$I$2:$I$3001,$K223,Расчет!$H$2:$H$3001,2))</f>
        <v/>
      </c>
      <c r="J223">
        <f>IF($L223="","",SUMIFS(Расчет!$G$2:$G$3001,Расчет!$I$2:$I$3001,$K223,Расчет!$H$2:$H$3001,3))</f>
        <v/>
      </c>
      <c r="K223">
        <f>IF($L223="","",INDEX(Расчет!$I$2:$I$3001,$L223))</f>
        <v/>
      </c>
      <c r="L223">
        <f>IFERROR(MATCH(ROW()-1,Расчет!$J$2:$J$3001,0),"")</f>
        <v/>
      </c>
    </row>
    <row r="224">
      <c r="A224">
        <f>IF($L224="","",B224&amp;"."&amp;C224&amp;"-"&amp;D224&amp;"-"&amp;H224&amp;"."&amp;I224&amp;"."&amp;J224)</f>
        <v/>
      </c>
      <c r="B224">
        <f>IF($L224="","",INDEX(Расчет!$A$2:$A$3001,$L224))</f>
        <v/>
      </c>
      <c r="C224">
        <f>IF($L224="","",INDEX(Расчет!$B$2:$B$3001,$L224))</f>
        <v/>
      </c>
      <c r="D224">
        <f>IF($L224="","",IF(ISNUMBER(FIND("(",INDEX(Расчет!$C$2:$C$3001,$L224))),SUBSTITUTE(MID(INDEX(Расчет!$C$2:$C$3001,$L224),FIND("(",INDEX(Расчет!$C$2:$C$3001,$L224))+1,99),")",""),INDEX(Расчет!$C$2:$C$3001,$L224)))</f>
        <v/>
      </c>
      <c r="E224">
        <f>IF($L224="","",INDEX(Расчет!$D$2:$D$3001,$L224))</f>
        <v/>
      </c>
      <c r="F224">
        <f>IF($L224="","",INDEX(Расчет!$E$2:$E$3001,$L224))</f>
        <v/>
      </c>
      <c r="G224">
        <f>IF($L224="","",IFERROR(--LEFT(INDEX(Расчет!$C$2:$C$3001,$L224),FIND("(",INDEX(Расчет!$C$2:$C$3001,$L224))-1),IFERROR(--LEFT(INDEX(Расчет!$C$2:$C$3001,$L224),1),"")))</f>
        <v/>
      </c>
      <c r="H224">
        <f>IF($L224="","",SUMIFS(Расчет!$G$2:$G$3001,Расчет!$I$2:$I$3001,$K224,Расчет!$H$2:$H$3001,1))</f>
        <v/>
      </c>
      <c r="I224">
        <f>IF($L224="","",SUMIFS(Расчет!$G$2:$G$3001,Расчет!$I$2:$I$3001,$K224,Расчет!$H$2:$H$3001,2))</f>
        <v/>
      </c>
      <c r="J224">
        <f>IF($L224="","",SUMIFS(Расчет!$G$2:$G$3001,Расчет!$I$2:$I$3001,$K224,Расчет!$H$2:$H$3001,3))</f>
        <v/>
      </c>
      <c r="K224">
        <f>IF($L224="","",INDEX(Расчет!$I$2:$I$3001,$L224))</f>
        <v/>
      </c>
      <c r="L224">
        <f>IFERROR(MATCH(ROW()-1,Расчет!$J$2:$J$3001,0),"")</f>
        <v/>
      </c>
    </row>
    <row r="225">
      <c r="A225">
        <f>IF($L225="","",B225&amp;"."&amp;C225&amp;"-"&amp;D225&amp;"-"&amp;H225&amp;"."&amp;I225&amp;"."&amp;J225)</f>
        <v/>
      </c>
      <c r="B225">
        <f>IF($L225="","",INDEX(Расчет!$A$2:$A$3001,$L225))</f>
        <v/>
      </c>
      <c r="C225">
        <f>IF($L225="","",INDEX(Расчет!$B$2:$B$3001,$L225))</f>
        <v/>
      </c>
      <c r="D225">
        <f>IF($L225="","",IF(ISNUMBER(FIND("(",INDEX(Расчет!$C$2:$C$3001,$L225))),SUBSTITUTE(MID(INDEX(Расчет!$C$2:$C$3001,$L225),FIND("(",INDEX(Расчет!$C$2:$C$3001,$L225))+1,99),")",""),INDEX(Расчет!$C$2:$C$3001,$L225)))</f>
        <v/>
      </c>
      <c r="E225">
        <f>IF($L225="","",INDEX(Расчет!$D$2:$D$3001,$L225))</f>
        <v/>
      </c>
      <c r="F225">
        <f>IF($L225="","",INDEX(Расчет!$E$2:$E$3001,$L225))</f>
        <v/>
      </c>
      <c r="G225">
        <f>IF($L225="","",IFERROR(--LEFT(INDEX(Расчет!$C$2:$C$3001,$L225),FIND("(",INDEX(Расчет!$C$2:$C$3001,$L225))-1),IFERROR(--LEFT(INDEX(Расчет!$C$2:$C$3001,$L225),1),"")))</f>
        <v/>
      </c>
      <c r="H225">
        <f>IF($L225="","",SUMIFS(Расчет!$G$2:$G$3001,Расчет!$I$2:$I$3001,$K225,Расчет!$H$2:$H$3001,1))</f>
        <v/>
      </c>
      <c r="I225">
        <f>IF($L225="","",SUMIFS(Расчет!$G$2:$G$3001,Расчет!$I$2:$I$3001,$K225,Расчет!$H$2:$H$3001,2))</f>
        <v/>
      </c>
      <c r="J225">
        <f>IF($L225="","",SUMIFS(Расчет!$G$2:$G$3001,Расчет!$I$2:$I$3001,$K225,Расчет!$H$2:$H$3001,3))</f>
        <v/>
      </c>
      <c r="K225">
        <f>IF($L225="","",INDEX(Расчет!$I$2:$I$3001,$L225))</f>
        <v/>
      </c>
      <c r="L225">
        <f>IFERROR(MATCH(ROW()-1,Расчет!$J$2:$J$3001,0),"")</f>
        <v/>
      </c>
    </row>
    <row r="226">
      <c r="A226">
        <f>IF($L226="","",B226&amp;"."&amp;C226&amp;"-"&amp;D226&amp;"-"&amp;H226&amp;"."&amp;I226&amp;"."&amp;J226)</f>
        <v/>
      </c>
      <c r="B226">
        <f>IF($L226="","",INDEX(Расчет!$A$2:$A$3001,$L226))</f>
        <v/>
      </c>
      <c r="C226">
        <f>IF($L226="","",INDEX(Расчет!$B$2:$B$3001,$L226))</f>
        <v/>
      </c>
      <c r="D226">
        <f>IF($L226="","",IF(ISNUMBER(FIND("(",INDEX(Расчет!$C$2:$C$3001,$L226))),SUBSTITUTE(MID(INDEX(Расчет!$C$2:$C$3001,$L226),FIND("(",INDEX(Расчет!$C$2:$C$3001,$L226))+1,99),")",""),INDEX(Расчет!$C$2:$C$3001,$L226)))</f>
        <v/>
      </c>
      <c r="E226">
        <f>IF($L226="","",INDEX(Расчет!$D$2:$D$3001,$L226))</f>
        <v/>
      </c>
      <c r="F226">
        <f>IF($L226="","",INDEX(Расчет!$E$2:$E$3001,$L226))</f>
        <v/>
      </c>
      <c r="G226">
        <f>IF($L226="","",IFERROR(--LEFT(INDEX(Расчет!$C$2:$C$3001,$L226),FIND("(",INDEX(Расчет!$C$2:$C$3001,$L226))-1),IFERROR(--LEFT(INDEX(Расчет!$C$2:$C$3001,$L226),1),"")))</f>
        <v/>
      </c>
      <c r="H226">
        <f>IF($L226="","",SUMIFS(Расчет!$G$2:$G$3001,Расчет!$I$2:$I$3001,$K226,Расчет!$H$2:$H$3001,1))</f>
        <v/>
      </c>
      <c r="I226">
        <f>IF($L226="","",SUMIFS(Расчет!$G$2:$G$3001,Расчет!$I$2:$I$3001,$K226,Расчет!$H$2:$H$3001,2))</f>
        <v/>
      </c>
      <c r="J226">
        <f>IF($L226="","",SUMIFS(Расчет!$G$2:$G$3001,Расчет!$I$2:$I$3001,$K226,Расчет!$H$2:$H$3001,3))</f>
        <v/>
      </c>
      <c r="K226">
        <f>IF($L226="","",INDEX(Расчет!$I$2:$I$3001,$L226))</f>
        <v/>
      </c>
      <c r="L226">
        <f>IFERROR(MATCH(ROW()-1,Расчет!$J$2:$J$3001,0),"")</f>
        <v/>
      </c>
    </row>
    <row r="227">
      <c r="A227">
        <f>IF($L227="","",B227&amp;"."&amp;C227&amp;"-"&amp;D227&amp;"-"&amp;H227&amp;"."&amp;I227&amp;"."&amp;J227)</f>
        <v/>
      </c>
      <c r="B227">
        <f>IF($L227="","",INDEX(Расчет!$A$2:$A$3001,$L227))</f>
        <v/>
      </c>
      <c r="C227">
        <f>IF($L227="","",INDEX(Расчет!$B$2:$B$3001,$L227))</f>
        <v/>
      </c>
      <c r="D227">
        <f>IF($L227="","",IF(ISNUMBER(FIND("(",INDEX(Расчет!$C$2:$C$3001,$L227))),SUBSTITUTE(MID(INDEX(Расчет!$C$2:$C$3001,$L227),FIND("(",INDEX(Расчет!$C$2:$C$3001,$L227))+1,99),")",""),INDEX(Расчет!$C$2:$C$3001,$L227)))</f>
        <v/>
      </c>
      <c r="E227">
        <f>IF($L227="","",INDEX(Расчет!$D$2:$D$3001,$L227))</f>
        <v/>
      </c>
      <c r="F227">
        <f>IF($L227="","",INDEX(Расчет!$E$2:$E$3001,$L227))</f>
        <v/>
      </c>
      <c r="G227">
        <f>IF($L227="","",IFERROR(--LEFT(INDEX(Расчет!$C$2:$C$3001,$L227),FIND("(",INDEX(Расчет!$C$2:$C$3001,$L227))-1),IFERROR(--LEFT(INDEX(Расчет!$C$2:$C$3001,$L227),1),"")))</f>
        <v/>
      </c>
      <c r="H227">
        <f>IF($L227="","",SUMIFS(Расчет!$G$2:$G$3001,Расчет!$I$2:$I$3001,$K227,Расчет!$H$2:$H$3001,1))</f>
        <v/>
      </c>
      <c r="I227">
        <f>IF($L227="","",SUMIFS(Расчет!$G$2:$G$3001,Расчет!$I$2:$I$3001,$K227,Расчет!$H$2:$H$3001,2))</f>
        <v/>
      </c>
      <c r="J227">
        <f>IF($L227="","",SUMIFS(Расчет!$G$2:$G$3001,Расчет!$I$2:$I$3001,$K227,Расчет!$H$2:$H$3001,3))</f>
        <v/>
      </c>
      <c r="K227">
        <f>IF($L227="","",INDEX(Расчет!$I$2:$I$3001,$L227))</f>
        <v/>
      </c>
      <c r="L227">
        <f>IFERROR(MATCH(ROW()-1,Расчет!$J$2:$J$3001,0),"")</f>
        <v/>
      </c>
    </row>
    <row r="228">
      <c r="A228">
        <f>IF($L228="","",B228&amp;"."&amp;C228&amp;"-"&amp;D228&amp;"-"&amp;H228&amp;"."&amp;I228&amp;"."&amp;J228)</f>
        <v/>
      </c>
      <c r="B228">
        <f>IF($L228="","",INDEX(Расчет!$A$2:$A$3001,$L228))</f>
        <v/>
      </c>
      <c r="C228">
        <f>IF($L228="","",INDEX(Расчет!$B$2:$B$3001,$L228))</f>
        <v/>
      </c>
      <c r="D228">
        <f>IF($L228="","",IF(ISNUMBER(FIND("(",INDEX(Расчет!$C$2:$C$3001,$L228))),SUBSTITUTE(MID(INDEX(Расчет!$C$2:$C$3001,$L228),FIND("(",INDEX(Расчет!$C$2:$C$3001,$L228))+1,99),")",""),INDEX(Расчет!$C$2:$C$3001,$L228)))</f>
        <v/>
      </c>
      <c r="E228">
        <f>IF($L228="","",INDEX(Расчет!$D$2:$D$3001,$L228))</f>
        <v/>
      </c>
      <c r="F228">
        <f>IF($L228="","",INDEX(Расчет!$E$2:$E$3001,$L228))</f>
        <v/>
      </c>
      <c r="G228">
        <f>IF($L228="","",IFERROR(--LEFT(INDEX(Расчет!$C$2:$C$3001,$L228),FIND("(",INDEX(Расчет!$C$2:$C$3001,$L228))-1),IFERROR(--LEFT(INDEX(Расчет!$C$2:$C$3001,$L228),1),"")))</f>
        <v/>
      </c>
      <c r="H228">
        <f>IF($L228="","",SUMIFS(Расчет!$G$2:$G$3001,Расчет!$I$2:$I$3001,$K228,Расчет!$H$2:$H$3001,1))</f>
        <v/>
      </c>
      <c r="I228">
        <f>IF($L228="","",SUMIFS(Расчет!$G$2:$G$3001,Расчет!$I$2:$I$3001,$K228,Расчет!$H$2:$H$3001,2))</f>
        <v/>
      </c>
      <c r="J228">
        <f>IF($L228="","",SUMIFS(Расчет!$G$2:$G$3001,Расчет!$I$2:$I$3001,$K228,Расчет!$H$2:$H$3001,3))</f>
        <v/>
      </c>
      <c r="K228">
        <f>IF($L228="","",INDEX(Расчет!$I$2:$I$3001,$L228))</f>
        <v/>
      </c>
      <c r="L228">
        <f>IFERROR(MATCH(ROW()-1,Расчет!$J$2:$J$3001,0),"")</f>
        <v/>
      </c>
    </row>
    <row r="229">
      <c r="A229">
        <f>IF($L229="","",B229&amp;"."&amp;C229&amp;"-"&amp;D229&amp;"-"&amp;H229&amp;"."&amp;I229&amp;"."&amp;J229)</f>
        <v/>
      </c>
      <c r="B229">
        <f>IF($L229="","",INDEX(Расчет!$A$2:$A$3001,$L229))</f>
        <v/>
      </c>
      <c r="C229">
        <f>IF($L229="","",INDEX(Расчет!$B$2:$B$3001,$L229))</f>
        <v/>
      </c>
      <c r="D229">
        <f>IF($L229="","",IF(ISNUMBER(FIND("(",INDEX(Расчет!$C$2:$C$3001,$L229))),SUBSTITUTE(MID(INDEX(Расчет!$C$2:$C$3001,$L229),FIND("(",INDEX(Расчет!$C$2:$C$3001,$L229))+1,99),")",""),INDEX(Расчет!$C$2:$C$3001,$L229)))</f>
        <v/>
      </c>
      <c r="E229">
        <f>IF($L229="","",INDEX(Расчет!$D$2:$D$3001,$L229))</f>
        <v/>
      </c>
      <c r="F229">
        <f>IF($L229="","",INDEX(Расчет!$E$2:$E$3001,$L229))</f>
        <v/>
      </c>
      <c r="G229">
        <f>IF($L229="","",IFERROR(--LEFT(INDEX(Расчет!$C$2:$C$3001,$L229),FIND("(",INDEX(Расчет!$C$2:$C$3001,$L229))-1),IFERROR(--LEFT(INDEX(Расчет!$C$2:$C$3001,$L229),1),"")))</f>
        <v/>
      </c>
      <c r="H229">
        <f>IF($L229="","",SUMIFS(Расчет!$G$2:$G$3001,Расчет!$I$2:$I$3001,$K229,Расчет!$H$2:$H$3001,1))</f>
        <v/>
      </c>
      <c r="I229">
        <f>IF($L229="","",SUMIFS(Расчет!$G$2:$G$3001,Расчет!$I$2:$I$3001,$K229,Расчет!$H$2:$H$3001,2))</f>
        <v/>
      </c>
      <c r="J229">
        <f>IF($L229="","",SUMIFS(Расчет!$G$2:$G$3001,Расчет!$I$2:$I$3001,$K229,Расчет!$H$2:$H$3001,3))</f>
        <v/>
      </c>
      <c r="K229">
        <f>IF($L229="","",INDEX(Расчет!$I$2:$I$3001,$L229))</f>
        <v/>
      </c>
      <c r="L229">
        <f>IFERROR(MATCH(ROW()-1,Расчет!$J$2:$J$3001,0),"")</f>
        <v/>
      </c>
    </row>
    <row r="230">
      <c r="A230">
        <f>IF($L230="","",B230&amp;"."&amp;C230&amp;"-"&amp;D230&amp;"-"&amp;H230&amp;"."&amp;I230&amp;"."&amp;J230)</f>
        <v/>
      </c>
      <c r="B230">
        <f>IF($L230="","",INDEX(Расчет!$A$2:$A$3001,$L230))</f>
        <v/>
      </c>
      <c r="C230">
        <f>IF($L230="","",INDEX(Расчет!$B$2:$B$3001,$L230))</f>
        <v/>
      </c>
      <c r="D230">
        <f>IF($L230="","",IF(ISNUMBER(FIND("(",INDEX(Расчет!$C$2:$C$3001,$L230))),SUBSTITUTE(MID(INDEX(Расчет!$C$2:$C$3001,$L230),FIND("(",INDEX(Расчет!$C$2:$C$3001,$L230))+1,99),")",""),INDEX(Расчет!$C$2:$C$3001,$L230)))</f>
        <v/>
      </c>
      <c r="E230">
        <f>IF($L230="","",INDEX(Расчет!$D$2:$D$3001,$L230))</f>
        <v/>
      </c>
      <c r="F230">
        <f>IF($L230="","",INDEX(Расчет!$E$2:$E$3001,$L230))</f>
        <v/>
      </c>
      <c r="G230">
        <f>IF($L230="","",IFERROR(--LEFT(INDEX(Расчет!$C$2:$C$3001,$L230),FIND("(",INDEX(Расчет!$C$2:$C$3001,$L230))-1),IFERROR(--LEFT(INDEX(Расчет!$C$2:$C$3001,$L230),1),"")))</f>
        <v/>
      </c>
      <c r="H230">
        <f>IF($L230="","",SUMIFS(Расчет!$G$2:$G$3001,Расчет!$I$2:$I$3001,$K230,Расчет!$H$2:$H$3001,1))</f>
        <v/>
      </c>
      <c r="I230">
        <f>IF($L230="","",SUMIFS(Расчет!$G$2:$G$3001,Расчет!$I$2:$I$3001,$K230,Расчет!$H$2:$H$3001,2))</f>
        <v/>
      </c>
      <c r="J230">
        <f>IF($L230="","",SUMIFS(Расчет!$G$2:$G$3001,Расчет!$I$2:$I$3001,$K230,Расчет!$H$2:$H$3001,3))</f>
        <v/>
      </c>
      <c r="K230">
        <f>IF($L230="","",INDEX(Расчет!$I$2:$I$3001,$L230))</f>
        <v/>
      </c>
      <c r="L230">
        <f>IFERROR(MATCH(ROW()-1,Расчет!$J$2:$J$3001,0),"")</f>
        <v/>
      </c>
    </row>
    <row r="231">
      <c r="A231">
        <f>IF($L231="","",B231&amp;"."&amp;C231&amp;"-"&amp;D231&amp;"-"&amp;H231&amp;"."&amp;I231&amp;"."&amp;J231)</f>
        <v/>
      </c>
      <c r="B231">
        <f>IF($L231="","",INDEX(Расчет!$A$2:$A$3001,$L231))</f>
        <v/>
      </c>
      <c r="C231">
        <f>IF($L231="","",INDEX(Расчет!$B$2:$B$3001,$L231))</f>
        <v/>
      </c>
      <c r="D231">
        <f>IF($L231="","",IF(ISNUMBER(FIND("(",INDEX(Расчет!$C$2:$C$3001,$L231))),SUBSTITUTE(MID(INDEX(Расчет!$C$2:$C$3001,$L231),FIND("(",INDEX(Расчет!$C$2:$C$3001,$L231))+1,99),")",""),INDEX(Расчет!$C$2:$C$3001,$L231)))</f>
        <v/>
      </c>
      <c r="E231">
        <f>IF($L231="","",INDEX(Расчет!$D$2:$D$3001,$L231))</f>
        <v/>
      </c>
      <c r="F231">
        <f>IF($L231="","",INDEX(Расчет!$E$2:$E$3001,$L231))</f>
        <v/>
      </c>
      <c r="G231">
        <f>IF($L231="","",IFERROR(--LEFT(INDEX(Расчет!$C$2:$C$3001,$L231),FIND("(",INDEX(Расчет!$C$2:$C$3001,$L231))-1),IFERROR(--LEFT(INDEX(Расчет!$C$2:$C$3001,$L231),1),"")))</f>
        <v/>
      </c>
      <c r="H231">
        <f>IF($L231="","",SUMIFS(Расчет!$G$2:$G$3001,Расчет!$I$2:$I$3001,$K231,Расчет!$H$2:$H$3001,1))</f>
        <v/>
      </c>
      <c r="I231">
        <f>IF($L231="","",SUMIFS(Расчет!$G$2:$G$3001,Расчет!$I$2:$I$3001,$K231,Расчет!$H$2:$H$3001,2))</f>
        <v/>
      </c>
      <c r="J231">
        <f>IF($L231="","",SUMIFS(Расчет!$G$2:$G$3001,Расчет!$I$2:$I$3001,$K231,Расчет!$H$2:$H$3001,3))</f>
        <v/>
      </c>
      <c r="K231">
        <f>IF($L231="","",INDEX(Расчет!$I$2:$I$3001,$L231))</f>
        <v/>
      </c>
      <c r="L231">
        <f>IFERROR(MATCH(ROW()-1,Расчет!$J$2:$J$3001,0),"")</f>
        <v/>
      </c>
    </row>
    <row r="232">
      <c r="A232">
        <f>IF($L232="","",B232&amp;"."&amp;C232&amp;"-"&amp;D232&amp;"-"&amp;H232&amp;"."&amp;I232&amp;"."&amp;J232)</f>
        <v/>
      </c>
      <c r="B232">
        <f>IF($L232="","",INDEX(Расчет!$A$2:$A$3001,$L232))</f>
        <v/>
      </c>
      <c r="C232">
        <f>IF($L232="","",INDEX(Расчет!$B$2:$B$3001,$L232))</f>
        <v/>
      </c>
      <c r="D232">
        <f>IF($L232="","",IF(ISNUMBER(FIND("(",INDEX(Расчет!$C$2:$C$3001,$L232))),SUBSTITUTE(MID(INDEX(Расчет!$C$2:$C$3001,$L232),FIND("(",INDEX(Расчет!$C$2:$C$3001,$L232))+1,99),")",""),INDEX(Расчет!$C$2:$C$3001,$L232)))</f>
        <v/>
      </c>
      <c r="E232">
        <f>IF($L232="","",INDEX(Расчет!$D$2:$D$3001,$L232))</f>
        <v/>
      </c>
      <c r="F232">
        <f>IF($L232="","",INDEX(Расчет!$E$2:$E$3001,$L232))</f>
        <v/>
      </c>
      <c r="G232">
        <f>IF($L232="","",IFERROR(--LEFT(INDEX(Расчет!$C$2:$C$3001,$L232),FIND("(",INDEX(Расчет!$C$2:$C$3001,$L232))-1),IFERROR(--LEFT(INDEX(Расчет!$C$2:$C$3001,$L232),1),"")))</f>
        <v/>
      </c>
      <c r="H232">
        <f>IF($L232="","",SUMIFS(Расчет!$G$2:$G$3001,Расчет!$I$2:$I$3001,$K232,Расчет!$H$2:$H$3001,1))</f>
        <v/>
      </c>
      <c r="I232">
        <f>IF($L232="","",SUMIFS(Расчет!$G$2:$G$3001,Расчет!$I$2:$I$3001,$K232,Расчет!$H$2:$H$3001,2))</f>
        <v/>
      </c>
      <c r="J232">
        <f>IF($L232="","",SUMIFS(Расчет!$G$2:$G$3001,Расчет!$I$2:$I$3001,$K232,Расчет!$H$2:$H$3001,3))</f>
        <v/>
      </c>
      <c r="K232">
        <f>IF($L232="","",INDEX(Расчет!$I$2:$I$3001,$L232))</f>
        <v/>
      </c>
      <c r="L232">
        <f>IFERROR(MATCH(ROW()-1,Расчет!$J$2:$J$3001,0),"")</f>
        <v/>
      </c>
    </row>
    <row r="233">
      <c r="A233">
        <f>IF($L233="","",B233&amp;"."&amp;C233&amp;"-"&amp;D233&amp;"-"&amp;H233&amp;"."&amp;I233&amp;"."&amp;J233)</f>
        <v/>
      </c>
      <c r="B233">
        <f>IF($L233="","",INDEX(Расчет!$A$2:$A$3001,$L233))</f>
        <v/>
      </c>
      <c r="C233">
        <f>IF($L233="","",INDEX(Расчет!$B$2:$B$3001,$L233))</f>
        <v/>
      </c>
      <c r="D233">
        <f>IF($L233="","",IF(ISNUMBER(FIND("(",INDEX(Расчет!$C$2:$C$3001,$L233))),SUBSTITUTE(MID(INDEX(Расчет!$C$2:$C$3001,$L233),FIND("(",INDEX(Расчет!$C$2:$C$3001,$L233))+1,99),")",""),INDEX(Расчет!$C$2:$C$3001,$L233)))</f>
        <v/>
      </c>
      <c r="E233">
        <f>IF($L233="","",INDEX(Расчет!$D$2:$D$3001,$L233))</f>
        <v/>
      </c>
      <c r="F233">
        <f>IF($L233="","",INDEX(Расчет!$E$2:$E$3001,$L233))</f>
        <v/>
      </c>
      <c r="G233">
        <f>IF($L233="","",IFERROR(--LEFT(INDEX(Расчет!$C$2:$C$3001,$L233),FIND("(",INDEX(Расчет!$C$2:$C$3001,$L233))-1),IFERROR(--LEFT(INDEX(Расчет!$C$2:$C$3001,$L233),1),"")))</f>
        <v/>
      </c>
      <c r="H233">
        <f>IF($L233="","",SUMIFS(Расчет!$G$2:$G$3001,Расчет!$I$2:$I$3001,$K233,Расчет!$H$2:$H$3001,1))</f>
        <v/>
      </c>
      <c r="I233">
        <f>IF($L233="","",SUMIFS(Расчет!$G$2:$G$3001,Расчет!$I$2:$I$3001,$K233,Расчет!$H$2:$H$3001,2))</f>
        <v/>
      </c>
      <c r="J233">
        <f>IF($L233="","",SUMIFS(Расчет!$G$2:$G$3001,Расчет!$I$2:$I$3001,$K233,Расчет!$H$2:$H$3001,3))</f>
        <v/>
      </c>
      <c r="K233">
        <f>IF($L233="","",INDEX(Расчет!$I$2:$I$3001,$L233))</f>
        <v/>
      </c>
      <c r="L233">
        <f>IFERROR(MATCH(ROW()-1,Расчет!$J$2:$J$3001,0),"")</f>
        <v/>
      </c>
    </row>
    <row r="234">
      <c r="A234">
        <f>IF($L234="","",B234&amp;"."&amp;C234&amp;"-"&amp;D234&amp;"-"&amp;H234&amp;"."&amp;I234&amp;"."&amp;J234)</f>
        <v/>
      </c>
      <c r="B234">
        <f>IF($L234="","",INDEX(Расчет!$A$2:$A$3001,$L234))</f>
        <v/>
      </c>
      <c r="C234">
        <f>IF($L234="","",INDEX(Расчет!$B$2:$B$3001,$L234))</f>
        <v/>
      </c>
      <c r="D234">
        <f>IF($L234="","",IF(ISNUMBER(FIND("(",INDEX(Расчет!$C$2:$C$3001,$L234))),SUBSTITUTE(MID(INDEX(Расчет!$C$2:$C$3001,$L234),FIND("(",INDEX(Расчет!$C$2:$C$3001,$L234))+1,99),")",""),INDEX(Расчет!$C$2:$C$3001,$L234)))</f>
        <v/>
      </c>
      <c r="E234">
        <f>IF($L234="","",INDEX(Расчет!$D$2:$D$3001,$L234))</f>
        <v/>
      </c>
      <c r="F234">
        <f>IF($L234="","",INDEX(Расчет!$E$2:$E$3001,$L234))</f>
        <v/>
      </c>
      <c r="G234">
        <f>IF($L234="","",IFERROR(--LEFT(INDEX(Расчет!$C$2:$C$3001,$L234),FIND("(",INDEX(Расчет!$C$2:$C$3001,$L234))-1),IFERROR(--LEFT(INDEX(Расчет!$C$2:$C$3001,$L234),1),"")))</f>
        <v/>
      </c>
      <c r="H234">
        <f>IF($L234="","",SUMIFS(Расчет!$G$2:$G$3001,Расчет!$I$2:$I$3001,$K234,Расчет!$H$2:$H$3001,1))</f>
        <v/>
      </c>
      <c r="I234">
        <f>IF($L234="","",SUMIFS(Расчет!$G$2:$G$3001,Расчет!$I$2:$I$3001,$K234,Расчет!$H$2:$H$3001,2))</f>
        <v/>
      </c>
      <c r="J234">
        <f>IF($L234="","",SUMIFS(Расчет!$G$2:$G$3001,Расчет!$I$2:$I$3001,$K234,Расчет!$H$2:$H$3001,3))</f>
        <v/>
      </c>
      <c r="K234">
        <f>IF($L234="","",INDEX(Расчет!$I$2:$I$3001,$L234))</f>
        <v/>
      </c>
      <c r="L234">
        <f>IFERROR(MATCH(ROW()-1,Расчет!$J$2:$J$3001,0),"")</f>
        <v/>
      </c>
    </row>
    <row r="235">
      <c r="A235">
        <f>IF($L235="","",B235&amp;"."&amp;C235&amp;"-"&amp;D235&amp;"-"&amp;H235&amp;"."&amp;I235&amp;"."&amp;J235)</f>
        <v/>
      </c>
      <c r="B235">
        <f>IF($L235="","",INDEX(Расчет!$A$2:$A$3001,$L235))</f>
        <v/>
      </c>
      <c r="C235">
        <f>IF($L235="","",INDEX(Расчет!$B$2:$B$3001,$L235))</f>
        <v/>
      </c>
      <c r="D235">
        <f>IF($L235="","",IF(ISNUMBER(FIND("(",INDEX(Расчет!$C$2:$C$3001,$L235))),SUBSTITUTE(MID(INDEX(Расчет!$C$2:$C$3001,$L235),FIND("(",INDEX(Расчет!$C$2:$C$3001,$L235))+1,99),")",""),INDEX(Расчет!$C$2:$C$3001,$L235)))</f>
        <v/>
      </c>
      <c r="E235">
        <f>IF($L235="","",INDEX(Расчет!$D$2:$D$3001,$L235))</f>
        <v/>
      </c>
      <c r="F235">
        <f>IF($L235="","",INDEX(Расчет!$E$2:$E$3001,$L235))</f>
        <v/>
      </c>
      <c r="G235">
        <f>IF($L235="","",IFERROR(--LEFT(INDEX(Расчет!$C$2:$C$3001,$L235),FIND("(",INDEX(Расчет!$C$2:$C$3001,$L235))-1),IFERROR(--LEFT(INDEX(Расчет!$C$2:$C$3001,$L235),1),"")))</f>
        <v/>
      </c>
      <c r="H235">
        <f>IF($L235="","",SUMIFS(Расчет!$G$2:$G$3001,Расчет!$I$2:$I$3001,$K235,Расчет!$H$2:$H$3001,1))</f>
        <v/>
      </c>
      <c r="I235">
        <f>IF($L235="","",SUMIFS(Расчет!$G$2:$G$3001,Расчет!$I$2:$I$3001,$K235,Расчет!$H$2:$H$3001,2))</f>
        <v/>
      </c>
      <c r="J235">
        <f>IF($L235="","",SUMIFS(Расчет!$G$2:$G$3001,Расчет!$I$2:$I$3001,$K235,Расчет!$H$2:$H$3001,3))</f>
        <v/>
      </c>
      <c r="K235">
        <f>IF($L235="","",INDEX(Расчет!$I$2:$I$3001,$L235))</f>
        <v/>
      </c>
      <c r="L235">
        <f>IFERROR(MATCH(ROW()-1,Расчет!$J$2:$J$3001,0),"")</f>
        <v/>
      </c>
    </row>
    <row r="236">
      <c r="A236">
        <f>IF($L236="","",B236&amp;"."&amp;C236&amp;"-"&amp;D236&amp;"-"&amp;H236&amp;"."&amp;I236&amp;"."&amp;J236)</f>
        <v/>
      </c>
      <c r="B236">
        <f>IF($L236="","",INDEX(Расчет!$A$2:$A$3001,$L236))</f>
        <v/>
      </c>
      <c r="C236">
        <f>IF($L236="","",INDEX(Расчет!$B$2:$B$3001,$L236))</f>
        <v/>
      </c>
      <c r="D236">
        <f>IF($L236="","",IF(ISNUMBER(FIND("(",INDEX(Расчет!$C$2:$C$3001,$L236))),SUBSTITUTE(MID(INDEX(Расчет!$C$2:$C$3001,$L236),FIND("(",INDEX(Расчет!$C$2:$C$3001,$L236))+1,99),")",""),INDEX(Расчет!$C$2:$C$3001,$L236)))</f>
        <v/>
      </c>
      <c r="E236">
        <f>IF($L236="","",INDEX(Расчет!$D$2:$D$3001,$L236))</f>
        <v/>
      </c>
      <c r="F236">
        <f>IF($L236="","",INDEX(Расчет!$E$2:$E$3001,$L236))</f>
        <v/>
      </c>
      <c r="G236">
        <f>IF($L236="","",IFERROR(--LEFT(INDEX(Расчет!$C$2:$C$3001,$L236),FIND("(",INDEX(Расчет!$C$2:$C$3001,$L236))-1),IFERROR(--LEFT(INDEX(Расчет!$C$2:$C$3001,$L236),1),"")))</f>
        <v/>
      </c>
      <c r="H236">
        <f>IF($L236="","",SUMIFS(Расчет!$G$2:$G$3001,Расчет!$I$2:$I$3001,$K236,Расчет!$H$2:$H$3001,1))</f>
        <v/>
      </c>
      <c r="I236">
        <f>IF($L236="","",SUMIFS(Расчет!$G$2:$G$3001,Расчет!$I$2:$I$3001,$K236,Расчет!$H$2:$H$3001,2))</f>
        <v/>
      </c>
      <c r="J236">
        <f>IF($L236="","",SUMIFS(Расчет!$G$2:$G$3001,Расчет!$I$2:$I$3001,$K236,Расчет!$H$2:$H$3001,3))</f>
        <v/>
      </c>
      <c r="K236">
        <f>IF($L236="","",INDEX(Расчет!$I$2:$I$3001,$L236))</f>
        <v/>
      </c>
      <c r="L236">
        <f>IFERROR(MATCH(ROW()-1,Расчет!$J$2:$J$3001,0),"")</f>
        <v/>
      </c>
    </row>
    <row r="237">
      <c r="A237">
        <f>IF($L237="","",B237&amp;"."&amp;C237&amp;"-"&amp;D237&amp;"-"&amp;H237&amp;"."&amp;I237&amp;"."&amp;J237)</f>
        <v/>
      </c>
      <c r="B237">
        <f>IF($L237="","",INDEX(Расчет!$A$2:$A$3001,$L237))</f>
        <v/>
      </c>
      <c r="C237">
        <f>IF($L237="","",INDEX(Расчет!$B$2:$B$3001,$L237))</f>
        <v/>
      </c>
      <c r="D237">
        <f>IF($L237="","",IF(ISNUMBER(FIND("(",INDEX(Расчет!$C$2:$C$3001,$L237))),SUBSTITUTE(MID(INDEX(Расчет!$C$2:$C$3001,$L237),FIND("(",INDEX(Расчет!$C$2:$C$3001,$L237))+1,99),")",""),INDEX(Расчет!$C$2:$C$3001,$L237)))</f>
        <v/>
      </c>
      <c r="E237">
        <f>IF($L237="","",INDEX(Расчет!$D$2:$D$3001,$L237))</f>
        <v/>
      </c>
      <c r="F237">
        <f>IF($L237="","",INDEX(Расчет!$E$2:$E$3001,$L237))</f>
        <v/>
      </c>
      <c r="G237">
        <f>IF($L237="","",IFERROR(--LEFT(INDEX(Расчет!$C$2:$C$3001,$L237),FIND("(",INDEX(Расчет!$C$2:$C$3001,$L237))-1),IFERROR(--LEFT(INDEX(Расчет!$C$2:$C$3001,$L237),1),"")))</f>
        <v/>
      </c>
      <c r="H237">
        <f>IF($L237="","",SUMIFS(Расчет!$G$2:$G$3001,Расчет!$I$2:$I$3001,$K237,Расчет!$H$2:$H$3001,1))</f>
        <v/>
      </c>
      <c r="I237">
        <f>IF($L237="","",SUMIFS(Расчет!$G$2:$G$3001,Расчет!$I$2:$I$3001,$K237,Расчет!$H$2:$H$3001,2))</f>
        <v/>
      </c>
      <c r="J237">
        <f>IF($L237="","",SUMIFS(Расчет!$G$2:$G$3001,Расчет!$I$2:$I$3001,$K237,Расчет!$H$2:$H$3001,3))</f>
        <v/>
      </c>
      <c r="K237">
        <f>IF($L237="","",INDEX(Расчет!$I$2:$I$3001,$L237))</f>
        <v/>
      </c>
      <c r="L237">
        <f>IFERROR(MATCH(ROW()-1,Расчет!$J$2:$J$3001,0),"")</f>
        <v/>
      </c>
    </row>
    <row r="238">
      <c r="A238">
        <f>IF($L238="","",B238&amp;"."&amp;C238&amp;"-"&amp;D238&amp;"-"&amp;H238&amp;"."&amp;I238&amp;"."&amp;J238)</f>
        <v/>
      </c>
      <c r="B238">
        <f>IF($L238="","",INDEX(Расчет!$A$2:$A$3001,$L238))</f>
        <v/>
      </c>
      <c r="C238">
        <f>IF($L238="","",INDEX(Расчет!$B$2:$B$3001,$L238))</f>
        <v/>
      </c>
      <c r="D238">
        <f>IF($L238="","",IF(ISNUMBER(FIND("(",INDEX(Расчет!$C$2:$C$3001,$L238))),SUBSTITUTE(MID(INDEX(Расчет!$C$2:$C$3001,$L238),FIND("(",INDEX(Расчет!$C$2:$C$3001,$L238))+1,99),")",""),INDEX(Расчет!$C$2:$C$3001,$L238)))</f>
        <v/>
      </c>
      <c r="E238">
        <f>IF($L238="","",INDEX(Расчет!$D$2:$D$3001,$L238))</f>
        <v/>
      </c>
      <c r="F238">
        <f>IF($L238="","",INDEX(Расчет!$E$2:$E$3001,$L238))</f>
        <v/>
      </c>
      <c r="G238">
        <f>IF($L238="","",IFERROR(--LEFT(INDEX(Расчет!$C$2:$C$3001,$L238),FIND("(",INDEX(Расчет!$C$2:$C$3001,$L238))-1),IFERROR(--LEFT(INDEX(Расчет!$C$2:$C$3001,$L238),1),"")))</f>
        <v/>
      </c>
      <c r="H238">
        <f>IF($L238="","",SUMIFS(Расчет!$G$2:$G$3001,Расчет!$I$2:$I$3001,$K238,Расчет!$H$2:$H$3001,1))</f>
        <v/>
      </c>
      <c r="I238">
        <f>IF($L238="","",SUMIFS(Расчет!$G$2:$G$3001,Расчет!$I$2:$I$3001,$K238,Расчет!$H$2:$H$3001,2))</f>
        <v/>
      </c>
      <c r="J238">
        <f>IF($L238="","",SUMIFS(Расчет!$G$2:$G$3001,Расчет!$I$2:$I$3001,$K238,Расчет!$H$2:$H$3001,3))</f>
        <v/>
      </c>
      <c r="K238">
        <f>IF($L238="","",INDEX(Расчет!$I$2:$I$3001,$L238))</f>
        <v/>
      </c>
      <c r="L238">
        <f>IFERROR(MATCH(ROW()-1,Расчет!$J$2:$J$3001,0),"")</f>
        <v/>
      </c>
    </row>
    <row r="239">
      <c r="A239">
        <f>IF($L239="","",B239&amp;"."&amp;C239&amp;"-"&amp;D239&amp;"-"&amp;H239&amp;"."&amp;I239&amp;"."&amp;J239)</f>
        <v/>
      </c>
      <c r="B239">
        <f>IF($L239="","",INDEX(Расчет!$A$2:$A$3001,$L239))</f>
        <v/>
      </c>
      <c r="C239">
        <f>IF($L239="","",INDEX(Расчет!$B$2:$B$3001,$L239))</f>
        <v/>
      </c>
      <c r="D239">
        <f>IF($L239="","",IF(ISNUMBER(FIND("(",INDEX(Расчет!$C$2:$C$3001,$L239))),SUBSTITUTE(MID(INDEX(Расчет!$C$2:$C$3001,$L239),FIND("(",INDEX(Расчет!$C$2:$C$3001,$L239))+1,99),")",""),INDEX(Расчет!$C$2:$C$3001,$L239)))</f>
        <v/>
      </c>
      <c r="E239">
        <f>IF($L239="","",INDEX(Расчет!$D$2:$D$3001,$L239))</f>
        <v/>
      </c>
      <c r="F239">
        <f>IF($L239="","",INDEX(Расчет!$E$2:$E$3001,$L239))</f>
        <v/>
      </c>
      <c r="G239">
        <f>IF($L239="","",IFERROR(--LEFT(INDEX(Расчет!$C$2:$C$3001,$L239),FIND("(",INDEX(Расчет!$C$2:$C$3001,$L239))-1),IFERROR(--LEFT(INDEX(Расчет!$C$2:$C$3001,$L239),1),"")))</f>
        <v/>
      </c>
      <c r="H239">
        <f>IF($L239="","",SUMIFS(Расчет!$G$2:$G$3001,Расчет!$I$2:$I$3001,$K239,Расчет!$H$2:$H$3001,1))</f>
        <v/>
      </c>
      <c r="I239">
        <f>IF($L239="","",SUMIFS(Расчет!$G$2:$G$3001,Расчет!$I$2:$I$3001,$K239,Расчет!$H$2:$H$3001,2))</f>
        <v/>
      </c>
      <c r="J239">
        <f>IF($L239="","",SUMIFS(Расчет!$G$2:$G$3001,Расчет!$I$2:$I$3001,$K239,Расчет!$H$2:$H$3001,3))</f>
        <v/>
      </c>
      <c r="K239">
        <f>IF($L239="","",INDEX(Расчет!$I$2:$I$3001,$L239))</f>
        <v/>
      </c>
      <c r="L239">
        <f>IFERROR(MATCH(ROW()-1,Расчет!$J$2:$J$3001,0),"")</f>
        <v/>
      </c>
    </row>
    <row r="240">
      <c r="A240">
        <f>IF($L240="","",B240&amp;"."&amp;C240&amp;"-"&amp;D240&amp;"-"&amp;H240&amp;"."&amp;I240&amp;"."&amp;J240)</f>
        <v/>
      </c>
      <c r="B240">
        <f>IF($L240="","",INDEX(Расчет!$A$2:$A$3001,$L240))</f>
        <v/>
      </c>
      <c r="C240">
        <f>IF($L240="","",INDEX(Расчет!$B$2:$B$3001,$L240))</f>
        <v/>
      </c>
      <c r="D240">
        <f>IF($L240="","",IF(ISNUMBER(FIND("(",INDEX(Расчет!$C$2:$C$3001,$L240))),SUBSTITUTE(MID(INDEX(Расчет!$C$2:$C$3001,$L240),FIND("(",INDEX(Расчет!$C$2:$C$3001,$L240))+1,99),")",""),INDEX(Расчет!$C$2:$C$3001,$L240)))</f>
        <v/>
      </c>
      <c r="E240">
        <f>IF($L240="","",INDEX(Расчет!$D$2:$D$3001,$L240))</f>
        <v/>
      </c>
      <c r="F240">
        <f>IF($L240="","",INDEX(Расчет!$E$2:$E$3001,$L240))</f>
        <v/>
      </c>
      <c r="G240">
        <f>IF($L240="","",IFERROR(--LEFT(INDEX(Расчет!$C$2:$C$3001,$L240),FIND("(",INDEX(Расчет!$C$2:$C$3001,$L240))-1),IFERROR(--LEFT(INDEX(Расчет!$C$2:$C$3001,$L240),1),"")))</f>
        <v/>
      </c>
      <c r="H240">
        <f>IF($L240="","",SUMIFS(Расчет!$G$2:$G$3001,Расчет!$I$2:$I$3001,$K240,Расчет!$H$2:$H$3001,1))</f>
        <v/>
      </c>
      <c r="I240">
        <f>IF($L240="","",SUMIFS(Расчет!$G$2:$G$3001,Расчет!$I$2:$I$3001,$K240,Расчет!$H$2:$H$3001,2))</f>
        <v/>
      </c>
      <c r="J240">
        <f>IF($L240="","",SUMIFS(Расчет!$G$2:$G$3001,Расчет!$I$2:$I$3001,$K240,Расчет!$H$2:$H$3001,3))</f>
        <v/>
      </c>
      <c r="K240">
        <f>IF($L240="","",INDEX(Расчет!$I$2:$I$3001,$L240))</f>
        <v/>
      </c>
      <c r="L240">
        <f>IFERROR(MATCH(ROW()-1,Расчет!$J$2:$J$3001,0),"")</f>
        <v/>
      </c>
    </row>
    <row r="241">
      <c r="A241">
        <f>IF($L241="","",B241&amp;"."&amp;C241&amp;"-"&amp;D241&amp;"-"&amp;H241&amp;"."&amp;I241&amp;"."&amp;J241)</f>
        <v/>
      </c>
      <c r="B241">
        <f>IF($L241="","",INDEX(Расчет!$A$2:$A$3001,$L241))</f>
        <v/>
      </c>
      <c r="C241">
        <f>IF($L241="","",INDEX(Расчет!$B$2:$B$3001,$L241))</f>
        <v/>
      </c>
      <c r="D241">
        <f>IF($L241="","",IF(ISNUMBER(FIND("(",INDEX(Расчет!$C$2:$C$3001,$L241))),SUBSTITUTE(MID(INDEX(Расчет!$C$2:$C$3001,$L241),FIND("(",INDEX(Расчет!$C$2:$C$3001,$L241))+1,99),")",""),INDEX(Расчет!$C$2:$C$3001,$L241)))</f>
        <v/>
      </c>
      <c r="E241">
        <f>IF($L241="","",INDEX(Расчет!$D$2:$D$3001,$L241))</f>
        <v/>
      </c>
      <c r="F241">
        <f>IF($L241="","",INDEX(Расчет!$E$2:$E$3001,$L241))</f>
        <v/>
      </c>
      <c r="G241">
        <f>IF($L241="","",IFERROR(--LEFT(INDEX(Расчет!$C$2:$C$3001,$L241),FIND("(",INDEX(Расчет!$C$2:$C$3001,$L241))-1),IFERROR(--LEFT(INDEX(Расчет!$C$2:$C$3001,$L241),1),"")))</f>
        <v/>
      </c>
      <c r="H241">
        <f>IF($L241="","",SUMIFS(Расчет!$G$2:$G$3001,Расчет!$I$2:$I$3001,$K241,Расчет!$H$2:$H$3001,1))</f>
        <v/>
      </c>
      <c r="I241">
        <f>IF($L241="","",SUMIFS(Расчет!$G$2:$G$3001,Расчет!$I$2:$I$3001,$K241,Расчет!$H$2:$H$3001,2))</f>
        <v/>
      </c>
      <c r="J241">
        <f>IF($L241="","",SUMIFS(Расчет!$G$2:$G$3001,Расчет!$I$2:$I$3001,$K241,Расчет!$H$2:$H$3001,3))</f>
        <v/>
      </c>
      <c r="K241">
        <f>IF($L241="","",INDEX(Расчет!$I$2:$I$3001,$L241))</f>
        <v/>
      </c>
      <c r="L241">
        <f>IFERROR(MATCH(ROW()-1,Расчет!$J$2:$J$3001,0),"")</f>
        <v/>
      </c>
    </row>
    <row r="242">
      <c r="A242">
        <f>IF($L242="","",B242&amp;"."&amp;C242&amp;"-"&amp;D242&amp;"-"&amp;H242&amp;"."&amp;I242&amp;"."&amp;J242)</f>
        <v/>
      </c>
      <c r="B242">
        <f>IF($L242="","",INDEX(Расчет!$A$2:$A$3001,$L242))</f>
        <v/>
      </c>
      <c r="C242">
        <f>IF($L242="","",INDEX(Расчет!$B$2:$B$3001,$L242))</f>
        <v/>
      </c>
      <c r="D242">
        <f>IF($L242="","",IF(ISNUMBER(FIND("(",INDEX(Расчет!$C$2:$C$3001,$L242))),SUBSTITUTE(MID(INDEX(Расчет!$C$2:$C$3001,$L242),FIND("(",INDEX(Расчет!$C$2:$C$3001,$L242))+1,99),")",""),INDEX(Расчет!$C$2:$C$3001,$L242)))</f>
        <v/>
      </c>
      <c r="E242">
        <f>IF($L242="","",INDEX(Расчет!$D$2:$D$3001,$L242))</f>
        <v/>
      </c>
      <c r="F242">
        <f>IF($L242="","",INDEX(Расчет!$E$2:$E$3001,$L242))</f>
        <v/>
      </c>
      <c r="G242">
        <f>IF($L242="","",IFERROR(--LEFT(INDEX(Расчет!$C$2:$C$3001,$L242),FIND("(",INDEX(Расчет!$C$2:$C$3001,$L242))-1),IFERROR(--LEFT(INDEX(Расчет!$C$2:$C$3001,$L242),1),"")))</f>
        <v/>
      </c>
      <c r="H242">
        <f>IF($L242="","",SUMIFS(Расчет!$G$2:$G$3001,Расчет!$I$2:$I$3001,$K242,Расчет!$H$2:$H$3001,1))</f>
        <v/>
      </c>
      <c r="I242">
        <f>IF($L242="","",SUMIFS(Расчет!$G$2:$G$3001,Расчет!$I$2:$I$3001,$K242,Расчет!$H$2:$H$3001,2))</f>
        <v/>
      </c>
      <c r="J242">
        <f>IF($L242="","",SUMIFS(Расчет!$G$2:$G$3001,Расчет!$I$2:$I$3001,$K242,Расчет!$H$2:$H$3001,3))</f>
        <v/>
      </c>
      <c r="K242">
        <f>IF($L242="","",INDEX(Расчет!$I$2:$I$3001,$L242))</f>
        <v/>
      </c>
      <c r="L242">
        <f>IFERROR(MATCH(ROW()-1,Расчет!$J$2:$J$3001,0),"")</f>
        <v/>
      </c>
    </row>
    <row r="243">
      <c r="A243">
        <f>IF($L243="","",B243&amp;"."&amp;C243&amp;"-"&amp;D243&amp;"-"&amp;H243&amp;"."&amp;I243&amp;"."&amp;J243)</f>
        <v/>
      </c>
      <c r="B243">
        <f>IF($L243="","",INDEX(Расчет!$A$2:$A$3001,$L243))</f>
        <v/>
      </c>
      <c r="C243">
        <f>IF($L243="","",INDEX(Расчет!$B$2:$B$3001,$L243))</f>
        <v/>
      </c>
      <c r="D243">
        <f>IF($L243="","",IF(ISNUMBER(FIND("(",INDEX(Расчет!$C$2:$C$3001,$L243))),SUBSTITUTE(MID(INDEX(Расчет!$C$2:$C$3001,$L243),FIND("(",INDEX(Расчет!$C$2:$C$3001,$L243))+1,99),")",""),INDEX(Расчет!$C$2:$C$3001,$L243)))</f>
        <v/>
      </c>
      <c r="E243">
        <f>IF($L243="","",INDEX(Расчет!$D$2:$D$3001,$L243))</f>
        <v/>
      </c>
      <c r="F243">
        <f>IF($L243="","",INDEX(Расчет!$E$2:$E$3001,$L243))</f>
        <v/>
      </c>
      <c r="G243">
        <f>IF($L243="","",IFERROR(--LEFT(INDEX(Расчет!$C$2:$C$3001,$L243),FIND("(",INDEX(Расчет!$C$2:$C$3001,$L243))-1),IFERROR(--LEFT(INDEX(Расчет!$C$2:$C$3001,$L243),1),"")))</f>
        <v/>
      </c>
      <c r="H243">
        <f>IF($L243="","",SUMIFS(Расчет!$G$2:$G$3001,Расчет!$I$2:$I$3001,$K243,Расчет!$H$2:$H$3001,1))</f>
        <v/>
      </c>
      <c r="I243">
        <f>IF($L243="","",SUMIFS(Расчет!$G$2:$G$3001,Расчет!$I$2:$I$3001,$K243,Расчет!$H$2:$H$3001,2))</f>
        <v/>
      </c>
      <c r="J243">
        <f>IF($L243="","",SUMIFS(Расчет!$G$2:$G$3001,Расчет!$I$2:$I$3001,$K243,Расчет!$H$2:$H$3001,3))</f>
        <v/>
      </c>
      <c r="K243">
        <f>IF($L243="","",INDEX(Расчет!$I$2:$I$3001,$L243))</f>
        <v/>
      </c>
      <c r="L243">
        <f>IFERROR(MATCH(ROW()-1,Расчет!$J$2:$J$3001,0),"")</f>
        <v/>
      </c>
    </row>
    <row r="244">
      <c r="A244">
        <f>IF($L244="","",B244&amp;"."&amp;C244&amp;"-"&amp;D244&amp;"-"&amp;H244&amp;"."&amp;I244&amp;"."&amp;J244)</f>
        <v/>
      </c>
      <c r="B244">
        <f>IF($L244="","",INDEX(Расчет!$A$2:$A$3001,$L244))</f>
        <v/>
      </c>
      <c r="C244">
        <f>IF($L244="","",INDEX(Расчет!$B$2:$B$3001,$L244))</f>
        <v/>
      </c>
      <c r="D244">
        <f>IF($L244="","",IF(ISNUMBER(FIND("(",INDEX(Расчет!$C$2:$C$3001,$L244))),SUBSTITUTE(MID(INDEX(Расчет!$C$2:$C$3001,$L244),FIND("(",INDEX(Расчет!$C$2:$C$3001,$L244))+1,99),")",""),INDEX(Расчет!$C$2:$C$3001,$L244)))</f>
        <v/>
      </c>
      <c r="E244">
        <f>IF($L244="","",INDEX(Расчет!$D$2:$D$3001,$L244))</f>
        <v/>
      </c>
      <c r="F244">
        <f>IF($L244="","",INDEX(Расчет!$E$2:$E$3001,$L244))</f>
        <v/>
      </c>
      <c r="G244">
        <f>IF($L244="","",IFERROR(--LEFT(INDEX(Расчет!$C$2:$C$3001,$L244),FIND("(",INDEX(Расчет!$C$2:$C$3001,$L244))-1),IFERROR(--LEFT(INDEX(Расчет!$C$2:$C$3001,$L244),1),"")))</f>
        <v/>
      </c>
      <c r="H244">
        <f>IF($L244="","",SUMIFS(Расчет!$G$2:$G$3001,Расчет!$I$2:$I$3001,$K244,Расчет!$H$2:$H$3001,1))</f>
        <v/>
      </c>
      <c r="I244">
        <f>IF($L244="","",SUMIFS(Расчет!$G$2:$G$3001,Расчет!$I$2:$I$3001,$K244,Расчет!$H$2:$H$3001,2))</f>
        <v/>
      </c>
      <c r="J244">
        <f>IF($L244="","",SUMIFS(Расчет!$G$2:$G$3001,Расчет!$I$2:$I$3001,$K244,Расчет!$H$2:$H$3001,3))</f>
        <v/>
      </c>
      <c r="K244">
        <f>IF($L244="","",INDEX(Расчет!$I$2:$I$3001,$L244))</f>
        <v/>
      </c>
      <c r="L244">
        <f>IFERROR(MATCH(ROW()-1,Расчет!$J$2:$J$3001,0),"")</f>
        <v/>
      </c>
    </row>
    <row r="245">
      <c r="A245">
        <f>IF($L245="","",B245&amp;"."&amp;C245&amp;"-"&amp;D245&amp;"-"&amp;H245&amp;"."&amp;I245&amp;"."&amp;J245)</f>
        <v/>
      </c>
      <c r="B245">
        <f>IF($L245="","",INDEX(Расчет!$A$2:$A$3001,$L245))</f>
        <v/>
      </c>
      <c r="C245">
        <f>IF($L245="","",INDEX(Расчет!$B$2:$B$3001,$L245))</f>
        <v/>
      </c>
      <c r="D245">
        <f>IF($L245="","",IF(ISNUMBER(FIND("(",INDEX(Расчет!$C$2:$C$3001,$L245))),SUBSTITUTE(MID(INDEX(Расчет!$C$2:$C$3001,$L245),FIND("(",INDEX(Расчет!$C$2:$C$3001,$L245))+1,99),")",""),INDEX(Расчет!$C$2:$C$3001,$L245)))</f>
        <v/>
      </c>
      <c r="E245">
        <f>IF($L245="","",INDEX(Расчет!$D$2:$D$3001,$L245))</f>
        <v/>
      </c>
      <c r="F245">
        <f>IF($L245="","",INDEX(Расчет!$E$2:$E$3001,$L245))</f>
        <v/>
      </c>
      <c r="G245">
        <f>IF($L245="","",IFERROR(--LEFT(INDEX(Расчет!$C$2:$C$3001,$L245),FIND("(",INDEX(Расчет!$C$2:$C$3001,$L245))-1),IFERROR(--LEFT(INDEX(Расчет!$C$2:$C$3001,$L245),1),"")))</f>
        <v/>
      </c>
      <c r="H245">
        <f>IF($L245="","",SUMIFS(Расчет!$G$2:$G$3001,Расчет!$I$2:$I$3001,$K245,Расчет!$H$2:$H$3001,1))</f>
        <v/>
      </c>
      <c r="I245">
        <f>IF($L245="","",SUMIFS(Расчет!$G$2:$G$3001,Расчет!$I$2:$I$3001,$K245,Расчет!$H$2:$H$3001,2))</f>
        <v/>
      </c>
      <c r="J245">
        <f>IF($L245="","",SUMIFS(Расчет!$G$2:$G$3001,Расчет!$I$2:$I$3001,$K245,Расчет!$H$2:$H$3001,3))</f>
        <v/>
      </c>
      <c r="K245">
        <f>IF($L245="","",INDEX(Расчет!$I$2:$I$3001,$L245))</f>
        <v/>
      </c>
      <c r="L245">
        <f>IFERROR(MATCH(ROW()-1,Расчет!$J$2:$J$3001,0),"")</f>
        <v/>
      </c>
    </row>
    <row r="246">
      <c r="A246">
        <f>IF($L246="","",B246&amp;"."&amp;C246&amp;"-"&amp;D246&amp;"-"&amp;H246&amp;"."&amp;I246&amp;"."&amp;J246)</f>
        <v/>
      </c>
      <c r="B246">
        <f>IF($L246="","",INDEX(Расчет!$A$2:$A$3001,$L246))</f>
        <v/>
      </c>
      <c r="C246">
        <f>IF($L246="","",INDEX(Расчет!$B$2:$B$3001,$L246))</f>
        <v/>
      </c>
      <c r="D246">
        <f>IF($L246="","",IF(ISNUMBER(FIND("(",INDEX(Расчет!$C$2:$C$3001,$L246))),SUBSTITUTE(MID(INDEX(Расчет!$C$2:$C$3001,$L246),FIND("(",INDEX(Расчет!$C$2:$C$3001,$L246))+1,99),")",""),INDEX(Расчет!$C$2:$C$3001,$L246)))</f>
        <v/>
      </c>
      <c r="E246">
        <f>IF($L246="","",INDEX(Расчет!$D$2:$D$3001,$L246))</f>
        <v/>
      </c>
      <c r="F246">
        <f>IF($L246="","",INDEX(Расчет!$E$2:$E$3001,$L246))</f>
        <v/>
      </c>
      <c r="G246">
        <f>IF($L246="","",IFERROR(--LEFT(INDEX(Расчет!$C$2:$C$3001,$L246),FIND("(",INDEX(Расчет!$C$2:$C$3001,$L246))-1),IFERROR(--LEFT(INDEX(Расчет!$C$2:$C$3001,$L246),1),"")))</f>
        <v/>
      </c>
      <c r="H246">
        <f>IF($L246="","",SUMIFS(Расчет!$G$2:$G$3001,Расчет!$I$2:$I$3001,$K246,Расчет!$H$2:$H$3001,1))</f>
        <v/>
      </c>
      <c r="I246">
        <f>IF($L246="","",SUMIFS(Расчет!$G$2:$G$3001,Расчет!$I$2:$I$3001,$K246,Расчет!$H$2:$H$3001,2))</f>
        <v/>
      </c>
      <c r="J246">
        <f>IF($L246="","",SUMIFS(Расчет!$G$2:$G$3001,Расчет!$I$2:$I$3001,$K246,Расчет!$H$2:$H$3001,3))</f>
        <v/>
      </c>
      <c r="K246">
        <f>IF($L246="","",INDEX(Расчет!$I$2:$I$3001,$L246))</f>
        <v/>
      </c>
      <c r="L246">
        <f>IFERROR(MATCH(ROW()-1,Расчет!$J$2:$J$3001,0),"")</f>
        <v/>
      </c>
    </row>
    <row r="247">
      <c r="A247">
        <f>IF($L247="","",B247&amp;"."&amp;C247&amp;"-"&amp;D247&amp;"-"&amp;H247&amp;"."&amp;I247&amp;"."&amp;J247)</f>
        <v/>
      </c>
      <c r="B247">
        <f>IF($L247="","",INDEX(Расчет!$A$2:$A$3001,$L247))</f>
        <v/>
      </c>
      <c r="C247">
        <f>IF($L247="","",INDEX(Расчет!$B$2:$B$3001,$L247))</f>
        <v/>
      </c>
      <c r="D247">
        <f>IF($L247="","",IF(ISNUMBER(FIND("(",INDEX(Расчет!$C$2:$C$3001,$L247))),SUBSTITUTE(MID(INDEX(Расчет!$C$2:$C$3001,$L247),FIND("(",INDEX(Расчет!$C$2:$C$3001,$L247))+1,99),")",""),INDEX(Расчет!$C$2:$C$3001,$L247)))</f>
        <v/>
      </c>
      <c r="E247">
        <f>IF($L247="","",INDEX(Расчет!$D$2:$D$3001,$L247))</f>
        <v/>
      </c>
      <c r="F247">
        <f>IF($L247="","",INDEX(Расчет!$E$2:$E$3001,$L247))</f>
        <v/>
      </c>
      <c r="G247">
        <f>IF($L247="","",IFERROR(--LEFT(INDEX(Расчет!$C$2:$C$3001,$L247),FIND("(",INDEX(Расчет!$C$2:$C$3001,$L247))-1),IFERROR(--LEFT(INDEX(Расчет!$C$2:$C$3001,$L247),1),"")))</f>
        <v/>
      </c>
      <c r="H247">
        <f>IF($L247="","",SUMIFS(Расчет!$G$2:$G$3001,Расчет!$I$2:$I$3001,$K247,Расчет!$H$2:$H$3001,1))</f>
        <v/>
      </c>
      <c r="I247">
        <f>IF($L247="","",SUMIFS(Расчет!$G$2:$G$3001,Расчет!$I$2:$I$3001,$K247,Расчет!$H$2:$H$3001,2))</f>
        <v/>
      </c>
      <c r="J247">
        <f>IF($L247="","",SUMIFS(Расчет!$G$2:$G$3001,Расчет!$I$2:$I$3001,$K247,Расчет!$H$2:$H$3001,3))</f>
        <v/>
      </c>
      <c r="K247">
        <f>IF($L247="","",INDEX(Расчет!$I$2:$I$3001,$L247))</f>
        <v/>
      </c>
      <c r="L247">
        <f>IFERROR(MATCH(ROW()-1,Расчет!$J$2:$J$3001,0),"")</f>
        <v/>
      </c>
    </row>
    <row r="248">
      <c r="A248">
        <f>IF($L248="","",B248&amp;"."&amp;C248&amp;"-"&amp;D248&amp;"-"&amp;H248&amp;"."&amp;I248&amp;"."&amp;J248)</f>
        <v/>
      </c>
      <c r="B248">
        <f>IF($L248="","",INDEX(Расчет!$A$2:$A$3001,$L248))</f>
        <v/>
      </c>
      <c r="C248">
        <f>IF($L248="","",INDEX(Расчет!$B$2:$B$3001,$L248))</f>
        <v/>
      </c>
      <c r="D248">
        <f>IF($L248="","",IF(ISNUMBER(FIND("(",INDEX(Расчет!$C$2:$C$3001,$L248))),SUBSTITUTE(MID(INDEX(Расчет!$C$2:$C$3001,$L248),FIND("(",INDEX(Расчет!$C$2:$C$3001,$L248))+1,99),")",""),INDEX(Расчет!$C$2:$C$3001,$L248)))</f>
        <v/>
      </c>
      <c r="E248">
        <f>IF($L248="","",INDEX(Расчет!$D$2:$D$3001,$L248))</f>
        <v/>
      </c>
      <c r="F248">
        <f>IF($L248="","",INDEX(Расчет!$E$2:$E$3001,$L248))</f>
        <v/>
      </c>
      <c r="G248">
        <f>IF($L248="","",IFERROR(--LEFT(INDEX(Расчет!$C$2:$C$3001,$L248),FIND("(",INDEX(Расчет!$C$2:$C$3001,$L248))-1),IFERROR(--LEFT(INDEX(Расчет!$C$2:$C$3001,$L248),1),"")))</f>
        <v/>
      </c>
      <c r="H248">
        <f>IF($L248="","",SUMIFS(Расчет!$G$2:$G$3001,Расчет!$I$2:$I$3001,$K248,Расчет!$H$2:$H$3001,1))</f>
        <v/>
      </c>
      <c r="I248">
        <f>IF($L248="","",SUMIFS(Расчет!$G$2:$G$3001,Расчет!$I$2:$I$3001,$K248,Расчет!$H$2:$H$3001,2))</f>
        <v/>
      </c>
      <c r="J248">
        <f>IF($L248="","",SUMIFS(Расчет!$G$2:$G$3001,Расчет!$I$2:$I$3001,$K248,Расчет!$H$2:$H$3001,3))</f>
        <v/>
      </c>
      <c r="K248">
        <f>IF($L248="","",INDEX(Расчет!$I$2:$I$3001,$L248))</f>
        <v/>
      </c>
      <c r="L248">
        <f>IFERROR(MATCH(ROW()-1,Расчет!$J$2:$J$3001,0),"")</f>
        <v/>
      </c>
    </row>
    <row r="249">
      <c r="A249">
        <f>IF($L249="","",B249&amp;"."&amp;C249&amp;"-"&amp;D249&amp;"-"&amp;H249&amp;"."&amp;I249&amp;"."&amp;J249)</f>
        <v/>
      </c>
      <c r="B249">
        <f>IF($L249="","",INDEX(Расчет!$A$2:$A$3001,$L249))</f>
        <v/>
      </c>
      <c r="C249">
        <f>IF($L249="","",INDEX(Расчет!$B$2:$B$3001,$L249))</f>
        <v/>
      </c>
      <c r="D249">
        <f>IF($L249="","",IF(ISNUMBER(FIND("(",INDEX(Расчет!$C$2:$C$3001,$L249))),SUBSTITUTE(MID(INDEX(Расчет!$C$2:$C$3001,$L249),FIND("(",INDEX(Расчет!$C$2:$C$3001,$L249))+1,99),")",""),INDEX(Расчет!$C$2:$C$3001,$L249)))</f>
        <v/>
      </c>
      <c r="E249">
        <f>IF($L249="","",INDEX(Расчет!$D$2:$D$3001,$L249))</f>
        <v/>
      </c>
      <c r="F249">
        <f>IF($L249="","",INDEX(Расчет!$E$2:$E$3001,$L249))</f>
        <v/>
      </c>
      <c r="G249">
        <f>IF($L249="","",IFERROR(--LEFT(INDEX(Расчет!$C$2:$C$3001,$L249),FIND("(",INDEX(Расчет!$C$2:$C$3001,$L249))-1),IFERROR(--LEFT(INDEX(Расчет!$C$2:$C$3001,$L249),1),"")))</f>
        <v/>
      </c>
      <c r="H249">
        <f>IF($L249="","",SUMIFS(Расчет!$G$2:$G$3001,Расчет!$I$2:$I$3001,$K249,Расчет!$H$2:$H$3001,1))</f>
        <v/>
      </c>
      <c r="I249">
        <f>IF($L249="","",SUMIFS(Расчет!$G$2:$G$3001,Расчет!$I$2:$I$3001,$K249,Расчет!$H$2:$H$3001,2))</f>
        <v/>
      </c>
      <c r="J249">
        <f>IF($L249="","",SUMIFS(Расчет!$G$2:$G$3001,Расчет!$I$2:$I$3001,$K249,Расчет!$H$2:$H$3001,3))</f>
        <v/>
      </c>
      <c r="K249">
        <f>IF($L249="","",INDEX(Расчет!$I$2:$I$3001,$L249))</f>
        <v/>
      </c>
      <c r="L249">
        <f>IFERROR(MATCH(ROW()-1,Расчет!$J$2:$J$3001,0),"")</f>
        <v/>
      </c>
    </row>
    <row r="250">
      <c r="A250">
        <f>IF($L250="","",B250&amp;"."&amp;C250&amp;"-"&amp;D250&amp;"-"&amp;H250&amp;"."&amp;I250&amp;"."&amp;J250)</f>
        <v/>
      </c>
      <c r="B250">
        <f>IF($L250="","",INDEX(Расчет!$A$2:$A$3001,$L250))</f>
        <v/>
      </c>
      <c r="C250">
        <f>IF($L250="","",INDEX(Расчет!$B$2:$B$3001,$L250))</f>
        <v/>
      </c>
      <c r="D250">
        <f>IF($L250="","",IF(ISNUMBER(FIND("(",INDEX(Расчет!$C$2:$C$3001,$L250))),SUBSTITUTE(MID(INDEX(Расчет!$C$2:$C$3001,$L250),FIND("(",INDEX(Расчет!$C$2:$C$3001,$L250))+1,99),")",""),INDEX(Расчет!$C$2:$C$3001,$L250)))</f>
        <v/>
      </c>
      <c r="E250">
        <f>IF($L250="","",INDEX(Расчет!$D$2:$D$3001,$L250))</f>
        <v/>
      </c>
      <c r="F250">
        <f>IF($L250="","",INDEX(Расчет!$E$2:$E$3001,$L250))</f>
        <v/>
      </c>
      <c r="G250">
        <f>IF($L250="","",IFERROR(--LEFT(INDEX(Расчет!$C$2:$C$3001,$L250),FIND("(",INDEX(Расчет!$C$2:$C$3001,$L250))-1),IFERROR(--LEFT(INDEX(Расчет!$C$2:$C$3001,$L250),1),"")))</f>
        <v/>
      </c>
      <c r="H250">
        <f>IF($L250="","",SUMIFS(Расчет!$G$2:$G$3001,Расчет!$I$2:$I$3001,$K250,Расчет!$H$2:$H$3001,1))</f>
        <v/>
      </c>
      <c r="I250">
        <f>IF($L250="","",SUMIFS(Расчет!$G$2:$G$3001,Расчет!$I$2:$I$3001,$K250,Расчет!$H$2:$H$3001,2))</f>
        <v/>
      </c>
      <c r="J250">
        <f>IF($L250="","",SUMIFS(Расчет!$G$2:$G$3001,Расчет!$I$2:$I$3001,$K250,Расчет!$H$2:$H$3001,3))</f>
        <v/>
      </c>
      <c r="K250">
        <f>IF($L250="","",INDEX(Расчет!$I$2:$I$3001,$L250))</f>
        <v/>
      </c>
      <c r="L250">
        <f>IFERROR(MATCH(ROW()-1,Расчет!$J$2:$J$3001,0),"")</f>
        <v/>
      </c>
    </row>
    <row r="251">
      <c r="A251">
        <f>IF($L251="","",B251&amp;"."&amp;C251&amp;"-"&amp;D251&amp;"-"&amp;H251&amp;"."&amp;I251&amp;"."&amp;J251)</f>
        <v/>
      </c>
      <c r="B251">
        <f>IF($L251="","",INDEX(Расчет!$A$2:$A$3001,$L251))</f>
        <v/>
      </c>
      <c r="C251">
        <f>IF($L251="","",INDEX(Расчет!$B$2:$B$3001,$L251))</f>
        <v/>
      </c>
      <c r="D251">
        <f>IF($L251="","",IF(ISNUMBER(FIND("(",INDEX(Расчет!$C$2:$C$3001,$L251))),SUBSTITUTE(MID(INDEX(Расчет!$C$2:$C$3001,$L251),FIND("(",INDEX(Расчет!$C$2:$C$3001,$L251))+1,99),")",""),INDEX(Расчет!$C$2:$C$3001,$L251)))</f>
        <v/>
      </c>
      <c r="E251">
        <f>IF($L251="","",INDEX(Расчет!$D$2:$D$3001,$L251))</f>
        <v/>
      </c>
      <c r="F251">
        <f>IF($L251="","",INDEX(Расчет!$E$2:$E$3001,$L251))</f>
        <v/>
      </c>
      <c r="G251">
        <f>IF($L251="","",IFERROR(--LEFT(INDEX(Расчет!$C$2:$C$3001,$L251),FIND("(",INDEX(Расчет!$C$2:$C$3001,$L251))-1),IFERROR(--LEFT(INDEX(Расчет!$C$2:$C$3001,$L251),1),"")))</f>
        <v/>
      </c>
      <c r="H251">
        <f>IF($L251="","",SUMIFS(Расчет!$G$2:$G$3001,Расчет!$I$2:$I$3001,$K251,Расчет!$H$2:$H$3001,1))</f>
        <v/>
      </c>
      <c r="I251">
        <f>IF($L251="","",SUMIFS(Расчет!$G$2:$G$3001,Расчет!$I$2:$I$3001,$K251,Расчет!$H$2:$H$3001,2))</f>
        <v/>
      </c>
      <c r="J251">
        <f>IF($L251="","",SUMIFS(Расчет!$G$2:$G$3001,Расчет!$I$2:$I$3001,$K251,Расчет!$H$2:$H$3001,3))</f>
        <v/>
      </c>
      <c r="K251">
        <f>IF($L251="","",INDEX(Расчет!$I$2:$I$3001,$L251))</f>
        <v/>
      </c>
      <c r="L251">
        <f>IFERROR(MATCH(ROW()-1,Расчет!$J$2:$J$3001,0),"")</f>
        <v/>
      </c>
    </row>
    <row r="252">
      <c r="A252">
        <f>IF($L252="","",B252&amp;"."&amp;C252&amp;"-"&amp;D252&amp;"-"&amp;H252&amp;"."&amp;I252&amp;"."&amp;J252)</f>
        <v/>
      </c>
      <c r="B252">
        <f>IF($L252="","",INDEX(Расчет!$A$2:$A$3001,$L252))</f>
        <v/>
      </c>
      <c r="C252">
        <f>IF($L252="","",INDEX(Расчет!$B$2:$B$3001,$L252))</f>
        <v/>
      </c>
      <c r="D252">
        <f>IF($L252="","",IF(ISNUMBER(FIND("(",INDEX(Расчет!$C$2:$C$3001,$L252))),SUBSTITUTE(MID(INDEX(Расчет!$C$2:$C$3001,$L252),FIND("(",INDEX(Расчет!$C$2:$C$3001,$L252))+1,99),")",""),INDEX(Расчет!$C$2:$C$3001,$L252)))</f>
        <v/>
      </c>
      <c r="E252">
        <f>IF($L252="","",INDEX(Расчет!$D$2:$D$3001,$L252))</f>
        <v/>
      </c>
      <c r="F252">
        <f>IF($L252="","",INDEX(Расчет!$E$2:$E$3001,$L252))</f>
        <v/>
      </c>
      <c r="G252">
        <f>IF($L252="","",IFERROR(--LEFT(INDEX(Расчет!$C$2:$C$3001,$L252),FIND("(",INDEX(Расчет!$C$2:$C$3001,$L252))-1),IFERROR(--LEFT(INDEX(Расчет!$C$2:$C$3001,$L252),1),"")))</f>
        <v/>
      </c>
      <c r="H252">
        <f>IF($L252="","",SUMIFS(Расчет!$G$2:$G$3001,Расчет!$I$2:$I$3001,$K252,Расчет!$H$2:$H$3001,1))</f>
        <v/>
      </c>
      <c r="I252">
        <f>IF($L252="","",SUMIFS(Расчет!$G$2:$G$3001,Расчет!$I$2:$I$3001,$K252,Расчет!$H$2:$H$3001,2))</f>
        <v/>
      </c>
      <c r="J252">
        <f>IF($L252="","",SUMIFS(Расчет!$G$2:$G$3001,Расчет!$I$2:$I$3001,$K252,Расчет!$H$2:$H$3001,3))</f>
        <v/>
      </c>
      <c r="K252">
        <f>IF($L252="","",INDEX(Расчет!$I$2:$I$3001,$L252))</f>
        <v/>
      </c>
      <c r="L252">
        <f>IFERROR(MATCH(ROW()-1,Расчет!$J$2:$J$3001,0),"")</f>
        <v/>
      </c>
    </row>
    <row r="253">
      <c r="A253">
        <f>IF($L253="","",B253&amp;"."&amp;C253&amp;"-"&amp;D253&amp;"-"&amp;H253&amp;"."&amp;I253&amp;"."&amp;J253)</f>
        <v/>
      </c>
      <c r="B253">
        <f>IF($L253="","",INDEX(Расчет!$A$2:$A$3001,$L253))</f>
        <v/>
      </c>
      <c r="C253">
        <f>IF($L253="","",INDEX(Расчет!$B$2:$B$3001,$L253))</f>
        <v/>
      </c>
      <c r="D253">
        <f>IF($L253="","",IF(ISNUMBER(FIND("(",INDEX(Расчет!$C$2:$C$3001,$L253))),SUBSTITUTE(MID(INDEX(Расчет!$C$2:$C$3001,$L253),FIND("(",INDEX(Расчет!$C$2:$C$3001,$L253))+1,99),")",""),INDEX(Расчет!$C$2:$C$3001,$L253)))</f>
        <v/>
      </c>
      <c r="E253">
        <f>IF($L253="","",INDEX(Расчет!$D$2:$D$3001,$L253))</f>
        <v/>
      </c>
      <c r="F253">
        <f>IF($L253="","",INDEX(Расчет!$E$2:$E$3001,$L253))</f>
        <v/>
      </c>
      <c r="G253">
        <f>IF($L253="","",IFERROR(--LEFT(INDEX(Расчет!$C$2:$C$3001,$L253),FIND("(",INDEX(Расчет!$C$2:$C$3001,$L253))-1),IFERROR(--LEFT(INDEX(Расчет!$C$2:$C$3001,$L253),1),"")))</f>
        <v/>
      </c>
      <c r="H253">
        <f>IF($L253="","",SUMIFS(Расчет!$G$2:$G$3001,Расчет!$I$2:$I$3001,$K253,Расчет!$H$2:$H$3001,1))</f>
        <v/>
      </c>
      <c r="I253">
        <f>IF($L253="","",SUMIFS(Расчет!$G$2:$G$3001,Расчет!$I$2:$I$3001,$K253,Расчет!$H$2:$H$3001,2))</f>
        <v/>
      </c>
      <c r="J253">
        <f>IF($L253="","",SUMIFS(Расчет!$G$2:$G$3001,Расчет!$I$2:$I$3001,$K253,Расчет!$H$2:$H$3001,3))</f>
        <v/>
      </c>
      <c r="K253">
        <f>IF($L253="","",INDEX(Расчет!$I$2:$I$3001,$L253))</f>
        <v/>
      </c>
      <c r="L253">
        <f>IFERROR(MATCH(ROW()-1,Расчет!$J$2:$J$3001,0),"")</f>
        <v/>
      </c>
    </row>
    <row r="254">
      <c r="A254">
        <f>IF($L254="","",B254&amp;"."&amp;C254&amp;"-"&amp;D254&amp;"-"&amp;H254&amp;"."&amp;I254&amp;"."&amp;J254)</f>
        <v/>
      </c>
      <c r="B254">
        <f>IF($L254="","",INDEX(Расчет!$A$2:$A$3001,$L254))</f>
        <v/>
      </c>
      <c r="C254">
        <f>IF($L254="","",INDEX(Расчет!$B$2:$B$3001,$L254))</f>
        <v/>
      </c>
      <c r="D254">
        <f>IF($L254="","",IF(ISNUMBER(FIND("(",INDEX(Расчет!$C$2:$C$3001,$L254))),SUBSTITUTE(MID(INDEX(Расчет!$C$2:$C$3001,$L254),FIND("(",INDEX(Расчет!$C$2:$C$3001,$L254))+1,99),")",""),INDEX(Расчет!$C$2:$C$3001,$L254)))</f>
        <v/>
      </c>
      <c r="E254">
        <f>IF($L254="","",INDEX(Расчет!$D$2:$D$3001,$L254))</f>
        <v/>
      </c>
      <c r="F254">
        <f>IF($L254="","",INDEX(Расчет!$E$2:$E$3001,$L254))</f>
        <v/>
      </c>
      <c r="G254">
        <f>IF($L254="","",IFERROR(--LEFT(INDEX(Расчет!$C$2:$C$3001,$L254),FIND("(",INDEX(Расчет!$C$2:$C$3001,$L254))-1),IFERROR(--LEFT(INDEX(Расчет!$C$2:$C$3001,$L254),1),"")))</f>
        <v/>
      </c>
      <c r="H254">
        <f>IF($L254="","",SUMIFS(Расчет!$G$2:$G$3001,Расчет!$I$2:$I$3001,$K254,Расчет!$H$2:$H$3001,1))</f>
        <v/>
      </c>
      <c r="I254">
        <f>IF($L254="","",SUMIFS(Расчет!$G$2:$G$3001,Расчет!$I$2:$I$3001,$K254,Расчет!$H$2:$H$3001,2))</f>
        <v/>
      </c>
      <c r="J254">
        <f>IF($L254="","",SUMIFS(Расчет!$G$2:$G$3001,Расчет!$I$2:$I$3001,$K254,Расчет!$H$2:$H$3001,3))</f>
        <v/>
      </c>
      <c r="K254">
        <f>IF($L254="","",INDEX(Расчет!$I$2:$I$3001,$L254))</f>
        <v/>
      </c>
      <c r="L254">
        <f>IFERROR(MATCH(ROW()-1,Расчет!$J$2:$J$3001,0),"")</f>
        <v/>
      </c>
    </row>
    <row r="255">
      <c r="A255">
        <f>IF($L255="","",B255&amp;"."&amp;C255&amp;"-"&amp;D255&amp;"-"&amp;H255&amp;"."&amp;I255&amp;"."&amp;J255)</f>
        <v/>
      </c>
      <c r="B255">
        <f>IF($L255="","",INDEX(Расчет!$A$2:$A$3001,$L255))</f>
        <v/>
      </c>
      <c r="C255">
        <f>IF($L255="","",INDEX(Расчет!$B$2:$B$3001,$L255))</f>
        <v/>
      </c>
      <c r="D255">
        <f>IF($L255="","",IF(ISNUMBER(FIND("(",INDEX(Расчет!$C$2:$C$3001,$L255))),SUBSTITUTE(MID(INDEX(Расчет!$C$2:$C$3001,$L255),FIND("(",INDEX(Расчет!$C$2:$C$3001,$L255))+1,99),")",""),INDEX(Расчет!$C$2:$C$3001,$L255)))</f>
        <v/>
      </c>
      <c r="E255">
        <f>IF($L255="","",INDEX(Расчет!$D$2:$D$3001,$L255))</f>
        <v/>
      </c>
      <c r="F255">
        <f>IF($L255="","",INDEX(Расчет!$E$2:$E$3001,$L255))</f>
        <v/>
      </c>
      <c r="G255">
        <f>IF($L255="","",IFERROR(--LEFT(INDEX(Расчет!$C$2:$C$3001,$L255),FIND("(",INDEX(Расчет!$C$2:$C$3001,$L255))-1),IFERROR(--LEFT(INDEX(Расчет!$C$2:$C$3001,$L255),1),"")))</f>
        <v/>
      </c>
      <c r="H255">
        <f>IF($L255="","",SUMIFS(Расчет!$G$2:$G$3001,Расчет!$I$2:$I$3001,$K255,Расчет!$H$2:$H$3001,1))</f>
        <v/>
      </c>
      <c r="I255">
        <f>IF($L255="","",SUMIFS(Расчет!$G$2:$G$3001,Расчет!$I$2:$I$3001,$K255,Расчет!$H$2:$H$3001,2))</f>
        <v/>
      </c>
      <c r="J255">
        <f>IF($L255="","",SUMIFS(Расчет!$G$2:$G$3001,Расчет!$I$2:$I$3001,$K255,Расчет!$H$2:$H$3001,3))</f>
        <v/>
      </c>
      <c r="K255">
        <f>IF($L255="","",INDEX(Расчет!$I$2:$I$3001,$L255))</f>
        <v/>
      </c>
      <c r="L255">
        <f>IFERROR(MATCH(ROW()-1,Расчет!$J$2:$J$3001,0),"")</f>
        <v/>
      </c>
    </row>
    <row r="256">
      <c r="A256">
        <f>IF($L256="","",B256&amp;"."&amp;C256&amp;"-"&amp;D256&amp;"-"&amp;H256&amp;"."&amp;I256&amp;"."&amp;J256)</f>
        <v/>
      </c>
      <c r="B256">
        <f>IF($L256="","",INDEX(Расчет!$A$2:$A$3001,$L256))</f>
        <v/>
      </c>
      <c r="C256">
        <f>IF($L256="","",INDEX(Расчет!$B$2:$B$3001,$L256))</f>
        <v/>
      </c>
      <c r="D256">
        <f>IF($L256="","",IF(ISNUMBER(FIND("(",INDEX(Расчет!$C$2:$C$3001,$L256))),SUBSTITUTE(MID(INDEX(Расчет!$C$2:$C$3001,$L256),FIND("(",INDEX(Расчет!$C$2:$C$3001,$L256))+1,99),")",""),INDEX(Расчет!$C$2:$C$3001,$L256)))</f>
        <v/>
      </c>
      <c r="E256">
        <f>IF($L256="","",INDEX(Расчет!$D$2:$D$3001,$L256))</f>
        <v/>
      </c>
      <c r="F256">
        <f>IF($L256="","",INDEX(Расчет!$E$2:$E$3001,$L256))</f>
        <v/>
      </c>
      <c r="G256">
        <f>IF($L256="","",IFERROR(--LEFT(INDEX(Расчет!$C$2:$C$3001,$L256),FIND("(",INDEX(Расчет!$C$2:$C$3001,$L256))-1),IFERROR(--LEFT(INDEX(Расчет!$C$2:$C$3001,$L256),1),"")))</f>
        <v/>
      </c>
      <c r="H256">
        <f>IF($L256="","",SUMIFS(Расчет!$G$2:$G$3001,Расчет!$I$2:$I$3001,$K256,Расчет!$H$2:$H$3001,1))</f>
        <v/>
      </c>
      <c r="I256">
        <f>IF($L256="","",SUMIFS(Расчет!$G$2:$G$3001,Расчет!$I$2:$I$3001,$K256,Расчет!$H$2:$H$3001,2))</f>
        <v/>
      </c>
      <c r="J256">
        <f>IF($L256="","",SUMIFS(Расчет!$G$2:$G$3001,Расчет!$I$2:$I$3001,$K256,Расчет!$H$2:$H$3001,3))</f>
        <v/>
      </c>
      <c r="K256">
        <f>IF($L256="","",INDEX(Расчет!$I$2:$I$3001,$L256))</f>
        <v/>
      </c>
      <c r="L256">
        <f>IFERROR(MATCH(ROW()-1,Расчет!$J$2:$J$3001,0),"")</f>
        <v/>
      </c>
    </row>
    <row r="257">
      <c r="A257">
        <f>IF($L257="","",B257&amp;"."&amp;C257&amp;"-"&amp;D257&amp;"-"&amp;H257&amp;"."&amp;I257&amp;"."&amp;J257)</f>
        <v/>
      </c>
      <c r="B257">
        <f>IF($L257="","",INDEX(Расчет!$A$2:$A$3001,$L257))</f>
        <v/>
      </c>
      <c r="C257">
        <f>IF($L257="","",INDEX(Расчет!$B$2:$B$3001,$L257))</f>
        <v/>
      </c>
      <c r="D257">
        <f>IF($L257="","",IF(ISNUMBER(FIND("(",INDEX(Расчет!$C$2:$C$3001,$L257))),SUBSTITUTE(MID(INDEX(Расчет!$C$2:$C$3001,$L257),FIND("(",INDEX(Расчет!$C$2:$C$3001,$L257))+1,99),")",""),INDEX(Расчет!$C$2:$C$3001,$L257)))</f>
        <v/>
      </c>
      <c r="E257">
        <f>IF($L257="","",INDEX(Расчет!$D$2:$D$3001,$L257))</f>
        <v/>
      </c>
      <c r="F257">
        <f>IF($L257="","",INDEX(Расчет!$E$2:$E$3001,$L257))</f>
        <v/>
      </c>
      <c r="G257">
        <f>IF($L257="","",IFERROR(--LEFT(INDEX(Расчет!$C$2:$C$3001,$L257),FIND("(",INDEX(Расчет!$C$2:$C$3001,$L257))-1),IFERROR(--LEFT(INDEX(Расчет!$C$2:$C$3001,$L257),1),"")))</f>
        <v/>
      </c>
      <c r="H257">
        <f>IF($L257="","",SUMIFS(Расчет!$G$2:$G$3001,Расчет!$I$2:$I$3001,$K257,Расчет!$H$2:$H$3001,1))</f>
        <v/>
      </c>
      <c r="I257">
        <f>IF($L257="","",SUMIFS(Расчет!$G$2:$G$3001,Расчет!$I$2:$I$3001,$K257,Расчет!$H$2:$H$3001,2))</f>
        <v/>
      </c>
      <c r="J257">
        <f>IF($L257="","",SUMIFS(Расчет!$G$2:$G$3001,Расчет!$I$2:$I$3001,$K257,Расчет!$H$2:$H$3001,3))</f>
        <v/>
      </c>
      <c r="K257">
        <f>IF($L257="","",INDEX(Расчет!$I$2:$I$3001,$L257))</f>
        <v/>
      </c>
      <c r="L257">
        <f>IFERROR(MATCH(ROW()-1,Расчет!$J$2:$J$3001,0),"")</f>
        <v/>
      </c>
    </row>
    <row r="258">
      <c r="A258">
        <f>IF($L258="","",B258&amp;"."&amp;C258&amp;"-"&amp;D258&amp;"-"&amp;H258&amp;"."&amp;I258&amp;"."&amp;J258)</f>
        <v/>
      </c>
      <c r="B258">
        <f>IF($L258="","",INDEX(Расчет!$A$2:$A$3001,$L258))</f>
        <v/>
      </c>
      <c r="C258">
        <f>IF($L258="","",INDEX(Расчет!$B$2:$B$3001,$L258))</f>
        <v/>
      </c>
      <c r="D258">
        <f>IF($L258="","",IF(ISNUMBER(FIND("(",INDEX(Расчет!$C$2:$C$3001,$L258))),SUBSTITUTE(MID(INDEX(Расчет!$C$2:$C$3001,$L258),FIND("(",INDEX(Расчет!$C$2:$C$3001,$L258))+1,99),")",""),INDEX(Расчет!$C$2:$C$3001,$L258)))</f>
        <v/>
      </c>
      <c r="E258">
        <f>IF($L258="","",INDEX(Расчет!$D$2:$D$3001,$L258))</f>
        <v/>
      </c>
      <c r="F258">
        <f>IF($L258="","",INDEX(Расчет!$E$2:$E$3001,$L258))</f>
        <v/>
      </c>
      <c r="G258">
        <f>IF($L258="","",IFERROR(--LEFT(INDEX(Расчет!$C$2:$C$3001,$L258),FIND("(",INDEX(Расчет!$C$2:$C$3001,$L258))-1),IFERROR(--LEFT(INDEX(Расчет!$C$2:$C$3001,$L258),1),"")))</f>
        <v/>
      </c>
      <c r="H258">
        <f>IF($L258="","",SUMIFS(Расчет!$G$2:$G$3001,Расчет!$I$2:$I$3001,$K258,Расчет!$H$2:$H$3001,1))</f>
        <v/>
      </c>
      <c r="I258">
        <f>IF($L258="","",SUMIFS(Расчет!$G$2:$G$3001,Расчет!$I$2:$I$3001,$K258,Расчет!$H$2:$H$3001,2))</f>
        <v/>
      </c>
      <c r="J258">
        <f>IF($L258="","",SUMIFS(Расчет!$G$2:$G$3001,Расчет!$I$2:$I$3001,$K258,Расчет!$H$2:$H$3001,3))</f>
        <v/>
      </c>
      <c r="K258">
        <f>IF($L258="","",INDEX(Расчет!$I$2:$I$3001,$L258))</f>
        <v/>
      </c>
      <c r="L258">
        <f>IFERROR(MATCH(ROW()-1,Расчет!$J$2:$J$3001,0),"")</f>
        <v/>
      </c>
    </row>
    <row r="259">
      <c r="A259">
        <f>IF($L259="","",B259&amp;"."&amp;C259&amp;"-"&amp;D259&amp;"-"&amp;H259&amp;"."&amp;I259&amp;"."&amp;J259)</f>
        <v/>
      </c>
      <c r="B259">
        <f>IF($L259="","",INDEX(Расчет!$A$2:$A$3001,$L259))</f>
        <v/>
      </c>
      <c r="C259">
        <f>IF($L259="","",INDEX(Расчет!$B$2:$B$3001,$L259))</f>
        <v/>
      </c>
      <c r="D259">
        <f>IF($L259="","",IF(ISNUMBER(FIND("(",INDEX(Расчет!$C$2:$C$3001,$L259))),SUBSTITUTE(MID(INDEX(Расчет!$C$2:$C$3001,$L259),FIND("(",INDEX(Расчет!$C$2:$C$3001,$L259))+1,99),")",""),INDEX(Расчет!$C$2:$C$3001,$L259)))</f>
        <v/>
      </c>
      <c r="E259">
        <f>IF($L259="","",INDEX(Расчет!$D$2:$D$3001,$L259))</f>
        <v/>
      </c>
      <c r="F259">
        <f>IF($L259="","",INDEX(Расчет!$E$2:$E$3001,$L259))</f>
        <v/>
      </c>
      <c r="G259">
        <f>IF($L259="","",IFERROR(--LEFT(INDEX(Расчет!$C$2:$C$3001,$L259),FIND("(",INDEX(Расчет!$C$2:$C$3001,$L259))-1),IFERROR(--LEFT(INDEX(Расчет!$C$2:$C$3001,$L259),1),"")))</f>
        <v/>
      </c>
      <c r="H259">
        <f>IF($L259="","",SUMIFS(Расчет!$G$2:$G$3001,Расчет!$I$2:$I$3001,$K259,Расчет!$H$2:$H$3001,1))</f>
        <v/>
      </c>
      <c r="I259">
        <f>IF($L259="","",SUMIFS(Расчет!$G$2:$G$3001,Расчет!$I$2:$I$3001,$K259,Расчет!$H$2:$H$3001,2))</f>
        <v/>
      </c>
      <c r="J259">
        <f>IF($L259="","",SUMIFS(Расчет!$G$2:$G$3001,Расчет!$I$2:$I$3001,$K259,Расчет!$H$2:$H$3001,3))</f>
        <v/>
      </c>
      <c r="K259">
        <f>IF($L259="","",INDEX(Расчет!$I$2:$I$3001,$L259))</f>
        <v/>
      </c>
      <c r="L259">
        <f>IFERROR(MATCH(ROW()-1,Расчет!$J$2:$J$3001,0),"")</f>
        <v/>
      </c>
    </row>
    <row r="260">
      <c r="A260">
        <f>IF($L260="","",B260&amp;"."&amp;C260&amp;"-"&amp;D260&amp;"-"&amp;H260&amp;"."&amp;I260&amp;"."&amp;J260)</f>
        <v/>
      </c>
      <c r="B260">
        <f>IF($L260="","",INDEX(Расчет!$A$2:$A$3001,$L260))</f>
        <v/>
      </c>
      <c r="C260">
        <f>IF($L260="","",INDEX(Расчет!$B$2:$B$3001,$L260))</f>
        <v/>
      </c>
      <c r="D260">
        <f>IF($L260="","",IF(ISNUMBER(FIND("(",INDEX(Расчет!$C$2:$C$3001,$L260))),SUBSTITUTE(MID(INDEX(Расчет!$C$2:$C$3001,$L260),FIND("(",INDEX(Расчет!$C$2:$C$3001,$L260))+1,99),")",""),INDEX(Расчет!$C$2:$C$3001,$L260)))</f>
        <v/>
      </c>
      <c r="E260">
        <f>IF($L260="","",INDEX(Расчет!$D$2:$D$3001,$L260))</f>
        <v/>
      </c>
      <c r="F260">
        <f>IF($L260="","",INDEX(Расчет!$E$2:$E$3001,$L260))</f>
        <v/>
      </c>
      <c r="G260">
        <f>IF($L260="","",IFERROR(--LEFT(INDEX(Расчет!$C$2:$C$3001,$L260),FIND("(",INDEX(Расчет!$C$2:$C$3001,$L260))-1),IFERROR(--LEFT(INDEX(Расчет!$C$2:$C$3001,$L260),1),"")))</f>
        <v/>
      </c>
      <c r="H260">
        <f>IF($L260="","",SUMIFS(Расчет!$G$2:$G$3001,Расчет!$I$2:$I$3001,$K260,Расчет!$H$2:$H$3001,1))</f>
        <v/>
      </c>
      <c r="I260">
        <f>IF($L260="","",SUMIFS(Расчет!$G$2:$G$3001,Расчет!$I$2:$I$3001,$K260,Расчет!$H$2:$H$3001,2))</f>
        <v/>
      </c>
      <c r="J260">
        <f>IF($L260="","",SUMIFS(Расчет!$G$2:$G$3001,Расчет!$I$2:$I$3001,$K260,Расчет!$H$2:$H$3001,3))</f>
        <v/>
      </c>
      <c r="K260">
        <f>IF($L260="","",INDEX(Расчет!$I$2:$I$3001,$L260))</f>
        <v/>
      </c>
      <c r="L260">
        <f>IFERROR(MATCH(ROW()-1,Расчет!$J$2:$J$3001,0),"")</f>
        <v/>
      </c>
    </row>
    <row r="261">
      <c r="A261">
        <f>IF($L261="","",B261&amp;"."&amp;C261&amp;"-"&amp;D261&amp;"-"&amp;H261&amp;"."&amp;I261&amp;"."&amp;J261)</f>
        <v/>
      </c>
      <c r="B261">
        <f>IF($L261="","",INDEX(Расчет!$A$2:$A$3001,$L261))</f>
        <v/>
      </c>
      <c r="C261">
        <f>IF($L261="","",INDEX(Расчет!$B$2:$B$3001,$L261))</f>
        <v/>
      </c>
      <c r="D261">
        <f>IF($L261="","",IF(ISNUMBER(FIND("(",INDEX(Расчет!$C$2:$C$3001,$L261))),SUBSTITUTE(MID(INDEX(Расчет!$C$2:$C$3001,$L261),FIND("(",INDEX(Расчет!$C$2:$C$3001,$L261))+1,99),")",""),INDEX(Расчет!$C$2:$C$3001,$L261)))</f>
        <v/>
      </c>
      <c r="E261">
        <f>IF($L261="","",INDEX(Расчет!$D$2:$D$3001,$L261))</f>
        <v/>
      </c>
      <c r="F261">
        <f>IF($L261="","",INDEX(Расчет!$E$2:$E$3001,$L261))</f>
        <v/>
      </c>
      <c r="G261">
        <f>IF($L261="","",IFERROR(--LEFT(INDEX(Расчет!$C$2:$C$3001,$L261),FIND("(",INDEX(Расчет!$C$2:$C$3001,$L261))-1),IFERROR(--LEFT(INDEX(Расчет!$C$2:$C$3001,$L261),1),"")))</f>
        <v/>
      </c>
      <c r="H261">
        <f>IF($L261="","",SUMIFS(Расчет!$G$2:$G$3001,Расчет!$I$2:$I$3001,$K261,Расчет!$H$2:$H$3001,1))</f>
        <v/>
      </c>
      <c r="I261">
        <f>IF($L261="","",SUMIFS(Расчет!$G$2:$G$3001,Расчет!$I$2:$I$3001,$K261,Расчет!$H$2:$H$3001,2))</f>
        <v/>
      </c>
      <c r="J261">
        <f>IF($L261="","",SUMIFS(Расчет!$G$2:$G$3001,Расчет!$I$2:$I$3001,$K261,Расчет!$H$2:$H$3001,3))</f>
        <v/>
      </c>
      <c r="K261">
        <f>IF($L261="","",INDEX(Расчет!$I$2:$I$3001,$L261))</f>
        <v/>
      </c>
      <c r="L261">
        <f>IFERROR(MATCH(ROW()-1,Расчет!$J$2:$J$3001,0),"")</f>
        <v/>
      </c>
    </row>
    <row r="262">
      <c r="A262">
        <f>IF($L262="","",B262&amp;"."&amp;C262&amp;"-"&amp;D262&amp;"-"&amp;H262&amp;"."&amp;I262&amp;"."&amp;J262)</f>
        <v/>
      </c>
      <c r="B262">
        <f>IF($L262="","",INDEX(Расчет!$A$2:$A$3001,$L262))</f>
        <v/>
      </c>
      <c r="C262">
        <f>IF($L262="","",INDEX(Расчет!$B$2:$B$3001,$L262))</f>
        <v/>
      </c>
      <c r="D262">
        <f>IF($L262="","",IF(ISNUMBER(FIND("(",INDEX(Расчет!$C$2:$C$3001,$L262))),SUBSTITUTE(MID(INDEX(Расчет!$C$2:$C$3001,$L262),FIND("(",INDEX(Расчет!$C$2:$C$3001,$L262))+1,99),")",""),INDEX(Расчет!$C$2:$C$3001,$L262)))</f>
        <v/>
      </c>
      <c r="E262">
        <f>IF($L262="","",INDEX(Расчет!$D$2:$D$3001,$L262))</f>
        <v/>
      </c>
      <c r="F262">
        <f>IF($L262="","",INDEX(Расчет!$E$2:$E$3001,$L262))</f>
        <v/>
      </c>
      <c r="G262">
        <f>IF($L262="","",IFERROR(--LEFT(INDEX(Расчет!$C$2:$C$3001,$L262),FIND("(",INDEX(Расчет!$C$2:$C$3001,$L262))-1),IFERROR(--LEFT(INDEX(Расчет!$C$2:$C$3001,$L262),1),"")))</f>
        <v/>
      </c>
      <c r="H262">
        <f>IF($L262="","",SUMIFS(Расчет!$G$2:$G$3001,Расчет!$I$2:$I$3001,$K262,Расчет!$H$2:$H$3001,1))</f>
        <v/>
      </c>
      <c r="I262">
        <f>IF($L262="","",SUMIFS(Расчет!$G$2:$G$3001,Расчет!$I$2:$I$3001,$K262,Расчет!$H$2:$H$3001,2))</f>
        <v/>
      </c>
      <c r="J262">
        <f>IF($L262="","",SUMIFS(Расчет!$G$2:$G$3001,Расчет!$I$2:$I$3001,$K262,Расчет!$H$2:$H$3001,3))</f>
        <v/>
      </c>
      <c r="K262">
        <f>IF($L262="","",INDEX(Расчет!$I$2:$I$3001,$L262))</f>
        <v/>
      </c>
      <c r="L262">
        <f>IFERROR(MATCH(ROW()-1,Расчет!$J$2:$J$3001,0),"")</f>
        <v/>
      </c>
    </row>
    <row r="263">
      <c r="A263">
        <f>IF($L263="","",B263&amp;"."&amp;C263&amp;"-"&amp;D263&amp;"-"&amp;H263&amp;"."&amp;I263&amp;"."&amp;J263)</f>
        <v/>
      </c>
      <c r="B263">
        <f>IF($L263="","",INDEX(Расчет!$A$2:$A$3001,$L263))</f>
        <v/>
      </c>
      <c r="C263">
        <f>IF($L263="","",INDEX(Расчет!$B$2:$B$3001,$L263))</f>
        <v/>
      </c>
      <c r="D263">
        <f>IF($L263="","",IF(ISNUMBER(FIND("(",INDEX(Расчет!$C$2:$C$3001,$L263))),SUBSTITUTE(MID(INDEX(Расчет!$C$2:$C$3001,$L263),FIND("(",INDEX(Расчет!$C$2:$C$3001,$L263))+1,99),")",""),INDEX(Расчет!$C$2:$C$3001,$L263)))</f>
        <v/>
      </c>
      <c r="E263">
        <f>IF($L263="","",INDEX(Расчет!$D$2:$D$3001,$L263))</f>
        <v/>
      </c>
      <c r="F263">
        <f>IF($L263="","",INDEX(Расчет!$E$2:$E$3001,$L263))</f>
        <v/>
      </c>
      <c r="G263">
        <f>IF($L263="","",IFERROR(--LEFT(INDEX(Расчет!$C$2:$C$3001,$L263),FIND("(",INDEX(Расчет!$C$2:$C$3001,$L263))-1),IFERROR(--LEFT(INDEX(Расчет!$C$2:$C$3001,$L263),1),"")))</f>
        <v/>
      </c>
      <c r="H263">
        <f>IF($L263="","",SUMIFS(Расчет!$G$2:$G$3001,Расчет!$I$2:$I$3001,$K263,Расчет!$H$2:$H$3001,1))</f>
        <v/>
      </c>
      <c r="I263">
        <f>IF($L263="","",SUMIFS(Расчет!$G$2:$G$3001,Расчет!$I$2:$I$3001,$K263,Расчет!$H$2:$H$3001,2))</f>
        <v/>
      </c>
      <c r="J263">
        <f>IF($L263="","",SUMIFS(Расчет!$G$2:$G$3001,Расчет!$I$2:$I$3001,$K263,Расчет!$H$2:$H$3001,3))</f>
        <v/>
      </c>
      <c r="K263">
        <f>IF($L263="","",INDEX(Расчет!$I$2:$I$3001,$L263))</f>
        <v/>
      </c>
      <c r="L263">
        <f>IFERROR(MATCH(ROW()-1,Расчет!$J$2:$J$3001,0),"")</f>
        <v/>
      </c>
    </row>
    <row r="264">
      <c r="A264">
        <f>IF($L264="","",B264&amp;"."&amp;C264&amp;"-"&amp;D264&amp;"-"&amp;H264&amp;"."&amp;I264&amp;"."&amp;J264)</f>
        <v/>
      </c>
      <c r="B264">
        <f>IF($L264="","",INDEX(Расчет!$A$2:$A$3001,$L264))</f>
        <v/>
      </c>
      <c r="C264">
        <f>IF($L264="","",INDEX(Расчет!$B$2:$B$3001,$L264))</f>
        <v/>
      </c>
      <c r="D264">
        <f>IF($L264="","",IF(ISNUMBER(FIND("(",INDEX(Расчет!$C$2:$C$3001,$L264))),SUBSTITUTE(MID(INDEX(Расчет!$C$2:$C$3001,$L264),FIND("(",INDEX(Расчет!$C$2:$C$3001,$L264))+1,99),")",""),INDEX(Расчет!$C$2:$C$3001,$L264)))</f>
        <v/>
      </c>
      <c r="E264">
        <f>IF($L264="","",INDEX(Расчет!$D$2:$D$3001,$L264))</f>
        <v/>
      </c>
      <c r="F264">
        <f>IF($L264="","",INDEX(Расчет!$E$2:$E$3001,$L264))</f>
        <v/>
      </c>
      <c r="G264">
        <f>IF($L264="","",IFERROR(--LEFT(INDEX(Расчет!$C$2:$C$3001,$L264),FIND("(",INDEX(Расчет!$C$2:$C$3001,$L264))-1),IFERROR(--LEFT(INDEX(Расчет!$C$2:$C$3001,$L264),1),"")))</f>
        <v/>
      </c>
      <c r="H264">
        <f>IF($L264="","",SUMIFS(Расчет!$G$2:$G$3001,Расчет!$I$2:$I$3001,$K264,Расчет!$H$2:$H$3001,1))</f>
        <v/>
      </c>
      <c r="I264">
        <f>IF($L264="","",SUMIFS(Расчет!$G$2:$G$3001,Расчет!$I$2:$I$3001,$K264,Расчет!$H$2:$H$3001,2))</f>
        <v/>
      </c>
      <c r="J264">
        <f>IF($L264="","",SUMIFS(Расчет!$G$2:$G$3001,Расчет!$I$2:$I$3001,$K264,Расчет!$H$2:$H$3001,3))</f>
        <v/>
      </c>
      <c r="K264">
        <f>IF($L264="","",INDEX(Расчет!$I$2:$I$3001,$L264))</f>
        <v/>
      </c>
      <c r="L264">
        <f>IFERROR(MATCH(ROW()-1,Расчет!$J$2:$J$3001,0),"")</f>
        <v/>
      </c>
    </row>
    <row r="265">
      <c r="A265">
        <f>IF($L265="","",B265&amp;"."&amp;C265&amp;"-"&amp;D265&amp;"-"&amp;H265&amp;"."&amp;I265&amp;"."&amp;J265)</f>
        <v/>
      </c>
      <c r="B265">
        <f>IF($L265="","",INDEX(Расчет!$A$2:$A$3001,$L265))</f>
        <v/>
      </c>
      <c r="C265">
        <f>IF($L265="","",INDEX(Расчет!$B$2:$B$3001,$L265))</f>
        <v/>
      </c>
      <c r="D265">
        <f>IF($L265="","",IF(ISNUMBER(FIND("(",INDEX(Расчет!$C$2:$C$3001,$L265))),SUBSTITUTE(MID(INDEX(Расчет!$C$2:$C$3001,$L265),FIND("(",INDEX(Расчет!$C$2:$C$3001,$L265))+1,99),")",""),INDEX(Расчет!$C$2:$C$3001,$L265)))</f>
        <v/>
      </c>
      <c r="E265">
        <f>IF($L265="","",INDEX(Расчет!$D$2:$D$3001,$L265))</f>
        <v/>
      </c>
      <c r="F265">
        <f>IF($L265="","",INDEX(Расчет!$E$2:$E$3001,$L265))</f>
        <v/>
      </c>
      <c r="G265">
        <f>IF($L265="","",IFERROR(--LEFT(INDEX(Расчет!$C$2:$C$3001,$L265),FIND("(",INDEX(Расчет!$C$2:$C$3001,$L265))-1),IFERROR(--LEFT(INDEX(Расчет!$C$2:$C$3001,$L265),1),"")))</f>
        <v/>
      </c>
      <c r="H265">
        <f>IF($L265="","",SUMIFS(Расчет!$G$2:$G$3001,Расчет!$I$2:$I$3001,$K265,Расчет!$H$2:$H$3001,1))</f>
        <v/>
      </c>
      <c r="I265">
        <f>IF($L265="","",SUMIFS(Расчет!$G$2:$G$3001,Расчет!$I$2:$I$3001,$K265,Расчет!$H$2:$H$3001,2))</f>
        <v/>
      </c>
      <c r="J265">
        <f>IF($L265="","",SUMIFS(Расчет!$G$2:$G$3001,Расчет!$I$2:$I$3001,$K265,Расчет!$H$2:$H$3001,3))</f>
        <v/>
      </c>
      <c r="K265">
        <f>IF($L265="","",INDEX(Расчет!$I$2:$I$3001,$L265))</f>
        <v/>
      </c>
      <c r="L265">
        <f>IFERROR(MATCH(ROW()-1,Расчет!$J$2:$J$3001,0),"")</f>
        <v/>
      </c>
    </row>
    <row r="266">
      <c r="A266">
        <f>IF($L266="","",B266&amp;"."&amp;C266&amp;"-"&amp;D266&amp;"-"&amp;H266&amp;"."&amp;I266&amp;"."&amp;J266)</f>
        <v/>
      </c>
      <c r="B266">
        <f>IF($L266="","",INDEX(Расчет!$A$2:$A$3001,$L266))</f>
        <v/>
      </c>
      <c r="C266">
        <f>IF($L266="","",INDEX(Расчет!$B$2:$B$3001,$L266))</f>
        <v/>
      </c>
      <c r="D266">
        <f>IF($L266="","",IF(ISNUMBER(FIND("(",INDEX(Расчет!$C$2:$C$3001,$L266))),SUBSTITUTE(MID(INDEX(Расчет!$C$2:$C$3001,$L266),FIND("(",INDEX(Расчет!$C$2:$C$3001,$L266))+1,99),")",""),INDEX(Расчет!$C$2:$C$3001,$L266)))</f>
        <v/>
      </c>
      <c r="E266">
        <f>IF($L266="","",INDEX(Расчет!$D$2:$D$3001,$L266))</f>
        <v/>
      </c>
      <c r="F266">
        <f>IF($L266="","",INDEX(Расчет!$E$2:$E$3001,$L266))</f>
        <v/>
      </c>
      <c r="G266">
        <f>IF($L266="","",IFERROR(--LEFT(INDEX(Расчет!$C$2:$C$3001,$L266),FIND("(",INDEX(Расчет!$C$2:$C$3001,$L266))-1),IFERROR(--LEFT(INDEX(Расчет!$C$2:$C$3001,$L266),1),"")))</f>
        <v/>
      </c>
      <c r="H266">
        <f>IF($L266="","",SUMIFS(Расчет!$G$2:$G$3001,Расчет!$I$2:$I$3001,$K266,Расчет!$H$2:$H$3001,1))</f>
        <v/>
      </c>
      <c r="I266">
        <f>IF($L266="","",SUMIFS(Расчет!$G$2:$G$3001,Расчет!$I$2:$I$3001,$K266,Расчет!$H$2:$H$3001,2))</f>
        <v/>
      </c>
      <c r="J266">
        <f>IF($L266="","",SUMIFS(Расчет!$G$2:$G$3001,Расчет!$I$2:$I$3001,$K266,Расчет!$H$2:$H$3001,3))</f>
        <v/>
      </c>
      <c r="K266">
        <f>IF($L266="","",INDEX(Расчет!$I$2:$I$3001,$L266))</f>
        <v/>
      </c>
      <c r="L266">
        <f>IFERROR(MATCH(ROW()-1,Расчет!$J$2:$J$3001,0),"")</f>
        <v/>
      </c>
    </row>
    <row r="267">
      <c r="A267">
        <f>IF($L267="","",B267&amp;"."&amp;C267&amp;"-"&amp;D267&amp;"-"&amp;H267&amp;"."&amp;I267&amp;"."&amp;J267)</f>
        <v/>
      </c>
      <c r="B267">
        <f>IF($L267="","",INDEX(Расчет!$A$2:$A$3001,$L267))</f>
        <v/>
      </c>
      <c r="C267">
        <f>IF($L267="","",INDEX(Расчет!$B$2:$B$3001,$L267))</f>
        <v/>
      </c>
      <c r="D267">
        <f>IF($L267="","",IF(ISNUMBER(FIND("(",INDEX(Расчет!$C$2:$C$3001,$L267))),SUBSTITUTE(MID(INDEX(Расчет!$C$2:$C$3001,$L267),FIND("(",INDEX(Расчет!$C$2:$C$3001,$L267))+1,99),")",""),INDEX(Расчет!$C$2:$C$3001,$L267)))</f>
        <v/>
      </c>
      <c r="E267">
        <f>IF($L267="","",INDEX(Расчет!$D$2:$D$3001,$L267))</f>
        <v/>
      </c>
      <c r="F267">
        <f>IF($L267="","",INDEX(Расчет!$E$2:$E$3001,$L267))</f>
        <v/>
      </c>
      <c r="G267">
        <f>IF($L267="","",IFERROR(--LEFT(INDEX(Расчет!$C$2:$C$3001,$L267),FIND("(",INDEX(Расчет!$C$2:$C$3001,$L267))-1),IFERROR(--LEFT(INDEX(Расчет!$C$2:$C$3001,$L267),1),"")))</f>
        <v/>
      </c>
      <c r="H267">
        <f>IF($L267="","",SUMIFS(Расчет!$G$2:$G$3001,Расчет!$I$2:$I$3001,$K267,Расчет!$H$2:$H$3001,1))</f>
        <v/>
      </c>
      <c r="I267">
        <f>IF($L267="","",SUMIFS(Расчет!$G$2:$G$3001,Расчет!$I$2:$I$3001,$K267,Расчет!$H$2:$H$3001,2))</f>
        <v/>
      </c>
      <c r="J267">
        <f>IF($L267="","",SUMIFS(Расчет!$G$2:$G$3001,Расчет!$I$2:$I$3001,$K267,Расчет!$H$2:$H$3001,3))</f>
        <v/>
      </c>
      <c r="K267">
        <f>IF($L267="","",INDEX(Расчет!$I$2:$I$3001,$L267))</f>
        <v/>
      </c>
      <c r="L267">
        <f>IFERROR(MATCH(ROW()-1,Расчет!$J$2:$J$3001,0),"")</f>
        <v/>
      </c>
    </row>
    <row r="268">
      <c r="A268">
        <f>IF($L268="","",B268&amp;"."&amp;C268&amp;"-"&amp;D268&amp;"-"&amp;H268&amp;"."&amp;I268&amp;"."&amp;J268)</f>
        <v/>
      </c>
      <c r="B268">
        <f>IF($L268="","",INDEX(Расчет!$A$2:$A$3001,$L268))</f>
        <v/>
      </c>
      <c r="C268">
        <f>IF($L268="","",INDEX(Расчет!$B$2:$B$3001,$L268))</f>
        <v/>
      </c>
      <c r="D268">
        <f>IF($L268="","",IF(ISNUMBER(FIND("(",INDEX(Расчет!$C$2:$C$3001,$L268))),SUBSTITUTE(MID(INDEX(Расчет!$C$2:$C$3001,$L268),FIND("(",INDEX(Расчет!$C$2:$C$3001,$L268))+1,99),")",""),INDEX(Расчет!$C$2:$C$3001,$L268)))</f>
        <v/>
      </c>
      <c r="E268">
        <f>IF($L268="","",INDEX(Расчет!$D$2:$D$3001,$L268))</f>
        <v/>
      </c>
      <c r="F268">
        <f>IF($L268="","",INDEX(Расчет!$E$2:$E$3001,$L268))</f>
        <v/>
      </c>
      <c r="G268">
        <f>IF($L268="","",IFERROR(--LEFT(INDEX(Расчет!$C$2:$C$3001,$L268),FIND("(",INDEX(Расчет!$C$2:$C$3001,$L268))-1),IFERROR(--LEFT(INDEX(Расчет!$C$2:$C$3001,$L268),1),"")))</f>
        <v/>
      </c>
      <c r="H268">
        <f>IF($L268="","",SUMIFS(Расчет!$G$2:$G$3001,Расчет!$I$2:$I$3001,$K268,Расчет!$H$2:$H$3001,1))</f>
        <v/>
      </c>
      <c r="I268">
        <f>IF($L268="","",SUMIFS(Расчет!$G$2:$G$3001,Расчет!$I$2:$I$3001,$K268,Расчет!$H$2:$H$3001,2))</f>
        <v/>
      </c>
      <c r="J268">
        <f>IF($L268="","",SUMIFS(Расчет!$G$2:$G$3001,Расчет!$I$2:$I$3001,$K268,Расчет!$H$2:$H$3001,3))</f>
        <v/>
      </c>
      <c r="K268">
        <f>IF($L268="","",INDEX(Расчет!$I$2:$I$3001,$L268))</f>
        <v/>
      </c>
      <c r="L268">
        <f>IFERROR(MATCH(ROW()-1,Расчет!$J$2:$J$3001,0),"")</f>
        <v/>
      </c>
    </row>
    <row r="269">
      <c r="A269">
        <f>IF($L269="","",B269&amp;"."&amp;C269&amp;"-"&amp;D269&amp;"-"&amp;H269&amp;"."&amp;I269&amp;"."&amp;J269)</f>
        <v/>
      </c>
      <c r="B269">
        <f>IF($L269="","",INDEX(Расчет!$A$2:$A$3001,$L269))</f>
        <v/>
      </c>
      <c r="C269">
        <f>IF($L269="","",INDEX(Расчет!$B$2:$B$3001,$L269))</f>
        <v/>
      </c>
      <c r="D269">
        <f>IF($L269="","",IF(ISNUMBER(FIND("(",INDEX(Расчет!$C$2:$C$3001,$L269))),SUBSTITUTE(MID(INDEX(Расчет!$C$2:$C$3001,$L269),FIND("(",INDEX(Расчет!$C$2:$C$3001,$L269))+1,99),")",""),INDEX(Расчет!$C$2:$C$3001,$L269)))</f>
        <v/>
      </c>
      <c r="E269">
        <f>IF($L269="","",INDEX(Расчет!$D$2:$D$3001,$L269))</f>
        <v/>
      </c>
      <c r="F269">
        <f>IF($L269="","",INDEX(Расчет!$E$2:$E$3001,$L269))</f>
        <v/>
      </c>
      <c r="G269">
        <f>IF($L269="","",IFERROR(--LEFT(INDEX(Расчет!$C$2:$C$3001,$L269),FIND("(",INDEX(Расчет!$C$2:$C$3001,$L269))-1),IFERROR(--LEFT(INDEX(Расчет!$C$2:$C$3001,$L269),1),"")))</f>
        <v/>
      </c>
      <c r="H269">
        <f>IF($L269="","",SUMIFS(Расчет!$G$2:$G$3001,Расчет!$I$2:$I$3001,$K269,Расчет!$H$2:$H$3001,1))</f>
        <v/>
      </c>
      <c r="I269">
        <f>IF($L269="","",SUMIFS(Расчет!$G$2:$G$3001,Расчет!$I$2:$I$3001,$K269,Расчет!$H$2:$H$3001,2))</f>
        <v/>
      </c>
      <c r="J269">
        <f>IF($L269="","",SUMIFS(Расчет!$G$2:$G$3001,Расчет!$I$2:$I$3001,$K269,Расчет!$H$2:$H$3001,3))</f>
        <v/>
      </c>
      <c r="K269">
        <f>IF($L269="","",INDEX(Расчет!$I$2:$I$3001,$L269))</f>
        <v/>
      </c>
      <c r="L269">
        <f>IFERROR(MATCH(ROW()-1,Расчет!$J$2:$J$3001,0),"")</f>
        <v/>
      </c>
    </row>
    <row r="270">
      <c r="A270">
        <f>IF($L270="","",B270&amp;"."&amp;C270&amp;"-"&amp;D270&amp;"-"&amp;H270&amp;"."&amp;I270&amp;"."&amp;J270)</f>
        <v/>
      </c>
      <c r="B270">
        <f>IF($L270="","",INDEX(Расчет!$A$2:$A$3001,$L270))</f>
        <v/>
      </c>
      <c r="C270">
        <f>IF($L270="","",INDEX(Расчет!$B$2:$B$3001,$L270))</f>
        <v/>
      </c>
      <c r="D270">
        <f>IF($L270="","",IF(ISNUMBER(FIND("(",INDEX(Расчет!$C$2:$C$3001,$L270))),SUBSTITUTE(MID(INDEX(Расчет!$C$2:$C$3001,$L270),FIND("(",INDEX(Расчет!$C$2:$C$3001,$L270))+1,99),")",""),INDEX(Расчет!$C$2:$C$3001,$L270)))</f>
        <v/>
      </c>
      <c r="E270">
        <f>IF($L270="","",INDEX(Расчет!$D$2:$D$3001,$L270))</f>
        <v/>
      </c>
      <c r="F270">
        <f>IF($L270="","",INDEX(Расчет!$E$2:$E$3001,$L270))</f>
        <v/>
      </c>
      <c r="G270">
        <f>IF($L270="","",IFERROR(--LEFT(INDEX(Расчет!$C$2:$C$3001,$L270),FIND("(",INDEX(Расчет!$C$2:$C$3001,$L270))-1),IFERROR(--LEFT(INDEX(Расчет!$C$2:$C$3001,$L270),1),"")))</f>
        <v/>
      </c>
      <c r="H270">
        <f>IF($L270="","",SUMIFS(Расчет!$G$2:$G$3001,Расчет!$I$2:$I$3001,$K270,Расчет!$H$2:$H$3001,1))</f>
        <v/>
      </c>
      <c r="I270">
        <f>IF($L270="","",SUMIFS(Расчет!$G$2:$G$3001,Расчет!$I$2:$I$3001,$K270,Расчет!$H$2:$H$3001,2))</f>
        <v/>
      </c>
      <c r="J270">
        <f>IF($L270="","",SUMIFS(Расчет!$G$2:$G$3001,Расчет!$I$2:$I$3001,$K270,Расчет!$H$2:$H$3001,3))</f>
        <v/>
      </c>
      <c r="K270">
        <f>IF($L270="","",INDEX(Расчет!$I$2:$I$3001,$L270))</f>
        <v/>
      </c>
      <c r="L270">
        <f>IFERROR(MATCH(ROW()-1,Расчет!$J$2:$J$3001,0),"")</f>
        <v/>
      </c>
    </row>
    <row r="271">
      <c r="A271">
        <f>IF($L271="","",B271&amp;"."&amp;C271&amp;"-"&amp;D271&amp;"-"&amp;H271&amp;"."&amp;I271&amp;"."&amp;J271)</f>
        <v/>
      </c>
      <c r="B271">
        <f>IF($L271="","",INDEX(Расчет!$A$2:$A$3001,$L271))</f>
        <v/>
      </c>
      <c r="C271">
        <f>IF($L271="","",INDEX(Расчет!$B$2:$B$3001,$L271))</f>
        <v/>
      </c>
      <c r="D271">
        <f>IF($L271="","",IF(ISNUMBER(FIND("(",INDEX(Расчет!$C$2:$C$3001,$L271))),SUBSTITUTE(MID(INDEX(Расчет!$C$2:$C$3001,$L271),FIND("(",INDEX(Расчет!$C$2:$C$3001,$L271))+1,99),")",""),INDEX(Расчет!$C$2:$C$3001,$L271)))</f>
        <v/>
      </c>
      <c r="E271">
        <f>IF($L271="","",INDEX(Расчет!$D$2:$D$3001,$L271))</f>
        <v/>
      </c>
      <c r="F271">
        <f>IF($L271="","",INDEX(Расчет!$E$2:$E$3001,$L271))</f>
        <v/>
      </c>
      <c r="G271">
        <f>IF($L271="","",IFERROR(--LEFT(INDEX(Расчет!$C$2:$C$3001,$L271),FIND("(",INDEX(Расчет!$C$2:$C$3001,$L271))-1),IFERROR(--LEFT(INDEX(Расчет!$C$2:$C$3001,$L271),1),"")))</f>
        <v/>
      </c>
      <c r="H271">
        <f>IF($L271="","",SUMIFS(Расчет!$G$2:$G$3001,Расчет!$I$2:$I$3001,$K271,Расчет!$H$2:$H$3001,1))</f>
        <v/>
      </c>
      <c r="I271">
        <f>IF($L271="","",SUMIFS(Расчет!$G$2:$G$3001,Расчет!$I$2:$I$3001,$K271,Расчет!$H$2:$H$3001,2))</f>
        <v/>
      </c>
      <c r="J271">
        <f>IF($L271="","",SUMIFS(Расчет!$G$2:$G$3001,Расчет!$I$2:$I$3001,$K271,Расчет!$H$2:$H$3001,3))</f>
        <v/>
      </c>
      <c r="K271">
        <f>IF($L271="","",INDEX(Расчет!$I$2:$I$3001,$L271))</f>
        <v/>
      </c>
      <c r="L271">
        <f>IFERROR(MATCH(ROW()-1,Расчет!$J$2:$J$3001,0),"")</f>
        <v/>
      </c>
    </row>
    <row r="272">
      <c r="A272">
        <f>IF($L272="","",B272&amp;"."&amp;C272&amp;"-"&amp;D272&amp;"-"&amp;H272&amp;"."&amp;I272&amp;"."&amp;J272)</f>
        <v/>
      </c>
      <c r="B272">
        <f>IF($L272="","",INDEX(Расчет!$A$2:$A$3001,$L272))</f>
        <v/>
      </c>
      <c r="C272">
        <f>IF($L272="","",INDEX(Расчет!$B$2:$B$3001,$L272))</f>
        <v/>
      </c>
      <c r="D272">
        <f>IF($L272="","",IF(ISNUMBER(FIND("(",INDEX(Расчет!$C$2:$C$3001,$L272))),SUBSTITUTE(MID(INDEX(Расчет!$C$2:$C$3001,$L272),FIND("(",INDEX(Расчет!$C$2:$C$3001,$L272))+1,99),")",""),INDEX(Расчет!$C$2:$C$3001,$L272)))</f>
        <v/>
      </c>
      <c r="E272">
        <f>IF($L272="","",INDEX(Расчет!$D$2:$D$3001,$L272))</f>
        <v/>
      </c>
      <c r="F272">
        <f>IF($L272="","",INDEX(Расчет!$E$2:$E$3001,$L272))</f>
        <v/>
      </c>
      <c r="G272">
        <f>IF($L272="","",IFERROR(--LEFT(INDEX(Расчет!$C$2:$C$3001,$L272),FIND("(",INDEX(Расчет!$C$2:$C$3001,$L272))-1),IFERROR(--LEFT(INDEX(Расчет!$C$2:$C$3001,$L272),1),"")))</f>
        <v/>
      </c>
      <c r="H272">
        <f>IF($L272="","",SUMIFS(Расчет!$G$2:$G$3001,Расчет!$I$2:$I$3001,$K272,Расчет!$H$2:$H$3001,1))</f>
        <v/>
      </c>
      <c r="I272">
        <f>IF($L272="","",SUMIFS(Расчет!$G$2:$G$3001,Расчет!$I$2:$I$3001,$K272,Расчет!$H$2:$H$3001,2))</f>
        <v/>
      </c>
      <c r="J272">
        <f>IF($L272="","",SUMIFS(Расчет!$G$2:$G$3001,Расчет!$I$2:$I$3001,$K272,Расчет!$H$2:$H$3001,3))</f>
        <v/>
      </c>
      <c r="K272">
        <f>IF($L272="","",INDEX(Расчет!$I$2:$I$3001,$L272))</f>
        <v/>
      </c>
      <c r="L272">
        <f>IFERROR(MATCH(ROW()-1,Расчет!$J$2:$J$3001,0),"")</f>
        <v/>
      </c>
    </row>
    <row r="273">
      <c r="A273">
        <f>IF($L273="","",B273&amp;"."&amp;C273&amp;"-"&amp;D273&amp;"-"&amp;H273&amp;"."&amp;I273&amp;"."&amp;J273)</f>
        <v/>
      </c>
      <c r="B273">
        <f>IF($L273="","",INDEX(Расчет!$A$2:$A$3001,$L273))</f>
        <v/>
      </c>
      <c r="C273">
        <f>IF($L273="","",INDEX(Расчет!$B$2:$B$3001,$L273))</f>
        <v/>
      </c>
      <c r="D273">
        <f>IF($L273="","",IF(ISNUMBER(FIND("(",INDEX(Расчет!$C$2:$C$3001,$L273))),SUBSTITUTE(MID(INDEX(Расчет!$C$2:$C$3001,$L273),FIND("(",INDEX(Расчет!$C$2:$C$3001,$L273))+1,99),")",""),INDEX(Расчет!$C$2:$C$3001,$L273)))</f>
        <v/>
      </c>
      <c r="E273">
        <f>IF($L273="","",INDEX(Расчет!$D$2:$D$3001,$L273))</f>
        <v/>
      </c>
      <c r="F273">
        <f>IF($L273="","",INDEX(Расчет!$E$2:$E$3001,$L273))</f>
        <v/>
      </c>
      <c r="G273">
        <f>IF($L273="","",IFERROR(--LEFT(INDEX(Расчет!$C$2:$C$3001,$L273),FIND("(",INDEX(Расчет!$C$2:$C$3001,$L273))-1),IFERROR(--LEFT(INDEX(Расчет!$C$2:$C$3001,$L273),1),"")))</f>
        <v/>
      </c>
      <c r="H273">
        <f>IF($L273="","",SUMIFS(Расчет!$G$2:$G$3001,Расчет!$I$2:$I$3001,$K273,Расчет!$H$2:$H$3001,1))</f>
        <v/>
      </c>
      <c r="I273">
        <f>IF($L273="","",SUMIFS(Расчет!$G$2:$G$3001,Расчет!$I$2:$I$3001,$K273,Расчет!$H$2:$H$3001,2))</f>
        <v/>
      </c>
      <c r="J273">
        <f>IF($L273="","",SUMIFS(Расчет!$G$2:$G$3001,Расчет!$I$2:$I$3001,$K273,Расчет!$H$2:$H$3001,3))</f>
        <v/>
      </c>
      <c r="K273">
        <f>IF($L273="","",INDEX(Расчет!$I$2:$I$3001,$L273))</f>
        <v/>
      </c>
      <c r="L273">
        <f>IFERROR(MATCH(ROW()-1,Расчет!$J$2:$J$3001,0),"")</f>
        <v/>
      </c>
    </row>
    <row r="274">
      <c r="A274">
        <f>IF($L274="","",B274&amp;"."&amp;C274&amp;"-"&amp;D274&amp;"-"&amp;H274&amp;"."&amp;I274&amp;"."&amp;J274)</f>
        <v/>
      </c>
      <c r="B274">
        <f>IF($L274="","",INDEX(Расчет!$A$2:$A$3001,$L274))</f>
        <v/>
      </c>
      <c r="C274">
        <f>IF($L274="","",INDEX(Расчет!$B$2:$B$3001,$L274))</f>
        <v/>
      </c>
      <c r="D274">
        <f>IF($L274="","",IF(ISNUMBER(FIND("(",INDEX(Расчет!$C$2:$C$3001,$L274))),SUBSTITUTE(MID(INDEX(Расчет!$C$2:$C$3001,$L274),FIND("(",INDEX(Расчет!$C$2:$C$3001,$L274))+1,99),")",""),INDEX(Расчет!$C$2:$C$3001,$L274)))</f>
        <v/>
      </c>
      <c r="E274">
        <f>IF($L274="","",INDEX(Расчет!$D$2:$D$3001,$L274))</f>
        <v/>
      </c>
      <c r="F274">
        <f>IF($L274="","",INDEX(Расчет!$E$2:$E$3001,$L274))</f>
        <v/>
      </c>
      <c r="G274">
        <f>IF($L274="","",IFERROR(--LEFT(INDEX(Расчет!$C$2:$C$3001,$L274),FIND("(",INDEX(Расчет!$C$2:$C$3001,$L274))-1),IFERROR(--LEFT(INDEX(Расчет!$C$2:$C$3001,$L274),1),"")))</f>
        <v/>
      </c>
      <c r="H274">
        <f>IF($L274="","",SUMIFS(Расчет!$G$2:$G$3001,Расчет!$I$2:$I$3001,$K274,Расчет!$H$2:$H$3001,1))</f>
        <v/>
      </c>
      <c r="I274">
        <f>IF($L274="","",SUMIFS(Расчет!$G$2:$G$3001,Расчет!$I$2:$I$3001,$K274,Расчет!$H$2:$H$3001,2))</f>
        <v/>
      </c>
      <c r="J274">
        <f>IF($L274="","",SUMIFS(Расчет!$G$2:$G$3001,Расчет!$I$2:$I$3001,$K274,Расчет!$H$2:$H$3001,3))</f>
        <v/>
      </c>
      <c r="K274">
        <f>IF($L274="","",INDEX(Расчет!$I$2:$I$3001,$L274))</f>
        <v/>
      </c>
      <c r="L274">
        <f>IFERROR(MATCH(ROW()-1,Расчет!$J$2:$J$3001,0),"")</f>
        <v/>
      </c>
    </row>
    <row r="275">
      <c r="A275">
        <f>IF($L275="","",B275&amp;"."&amp;C275&amp;"-"&amp;D275&amp;"-"&amp;H275&amp;"."&amp;I275&amp;"."&amp;J275)</f>
        <v/>
      </c>
      <c r="B275">
        <f>IF($L275="","",INDEX(Расчет!$A$2:$A$3001,$L275))</f>
        <v/>
      </c>
      <c r="C275">
        <f>IF($L275="","",INDEX(Расчет!$B$2:$B$3001,$L275))</f>
        <v/>
      </c>
      <c r="D275">
        <f>IF($L275="","",IF(ISNUMBER(FIND("(",INDEX(Расчет!$C$2:$C$3001,$L275))),SUBSTITUTE(MID(INDEX(Расчет!$C$2:$C$3001,$L275),FIND("(",INDEX(Расчет!$C$2:$C$3001,$L275))+1,99),")",""),INDEX(Расчет!$C$2:$C$3001,$L275)))</f>
        <v/>
      </c>
      <c r="E275">
        <f>IF($L275="","",INDEX(Расчет!$D$2:$D$3001,$L275))</f>
        <v/>
      </c>
      <c r="F275">
        <f>IF($L275="","",INDEX(Расчет!$E$2:$E$3001,$L275))</f>
        <v/>
      </c>
      <c r="G275">
        <f>IF($L275="","",IFERROR(--LEFT(INDEX(Расчет!$C$2:$C$3001,$L275),FIND("(",INDEX(Расчет!$C$2:$C$3001,$L275))-1),IFERROR(--LEFT(INDEX(Расчет!$C$2:$C$3001,$L275),1),"")))</f>
        <v/>
      </c>
      <c r="H275">
        <f>IF($L275="","",SUMIFS(Расчет!$G$2:$G$3001,Расчет!$I$2:$I$3001,$K275,Расчет!$H$2:$H$3001,1))</f>
        <v/>
      </c>
      <c r="I275">
        <f>IF($L275="","",SUMIFS(Расчет!$G$2:$G$3001,Расчет!$I$2:$I$3001,$K275,Расчет!$H$2:$H$3001,2))</f>
        <v/>
      </c>
      <c r="J275">
        <f>IF($L275="","",SUMIFS(Расчет!$G$2:$G$3001,Расчет!$I$2:$I$3001,$K275,Расчет!$H$2:$H$3001,3))</f>
        <v/>
      </c>
      <c r="K275">
        <f>IF($L275="","",INDEX(Расчет!$I$2:$I$3001,$L275))</f>
        <v/>
      </c>
      <c r="L275">
        <f>IFERROR(MATCH(ROW()-1,Расчет!$J$2:$J$3001,0),"")</f>
        <v/>
      </c>
    </row>
    <row r="276">
      <c r="A276">
        <f>IF($L276="","",B276&amp;"."&amp;C276&amp;"-"&amp;D276&amp;"-"&amp;H276&amp;"."&amp;I276&amp;"."&amp;J276)</f>
        <v/>
      </c>
      <c r="B276">
        <f>IF($L276="","",INDEX(Расчет!$A$2:$A$3001,$L276))</f>
        <v/>
      </c>
      <c r="C276">
        <f>IF($L276="","",INDEX(Расчет!$B$2:$B$3001,$L276))</f>
        <v/>
      </c>
      <c r="D276">
        <f>IF($L276="","",IF(ISNUMBER(FIND("(",INDEX(Расчет!$C$2:$C$3001,$L276))),SUBSTITUTE(MID(INDEX(Расчет!$C$2:$C$3001,$L276),FIND("(",INDEX(Расчет!$C$2:$C$3001,$L276))+1,99),")",""),INDEX(Расчет!$C$2:$C$3001,$L276)))</f>
        <v/>
      </c>
      <c r="E276">
        <f>IF($L276="","",INDEX(Расчет!$D$2:$D$3001,$L276))</f>
        <v/>
      </c>
      <c r="F276">
        <f>IF($L276="","",INDEX(Расчет!$E$2:$E$3001,$L276))</f>
        <v/>
      </c>
      <c r="G276">
        <f>IF($L276="","",IFERROR(--LEFT(INDEX(Расчет!$C$2:$C$3001,$L276),FIND("(",INDEX(Расчет!$C$2:$C$3001,$L276))-1),IFERROR(--LEFT(INDEX(Расчет!$C$2:$C$3001,$L276),1),"")))</f>
        <v/>
      </c>
      <c r="H276">
        <f>IF($L276="","",SUMIFS(Расчет!$G$2:$G$3001,Расчет!$I$2:$I$3001,$K276,Расчет!$H$2:$H$3001,1))</f>
        <v/>
      </c>
      <c r="I276">
        <f>IF($L276="","",SUMIFS(Расчет!$G$2:$G$3001,Расчет!$I$2:$I$3001,$K276,Расчет!$H$2:$H$3001,2))</f>
        <v/>
      </c>
      <c r="J276">
        <f>IF($L276="","",SUMIFS(Расчет!$G$2:$G$3001,Расчет!$I$2:$I$3001,$K276,Расчет!$H$2:$H$3001,3))</f>
        <v/>
      </c>
      <c r="K276">
        <f>IF($L276="","",INDEX(Расчет!$I$2:$I$3001,$L276))</f>
        <v/>
      </c>
      <c r="L276">
        <f>IFERROR(MATCH(ROW()-1,Расчет!$J$2:$J$3001,0),"")</f>
        <v/>
      </c>
    </row>
    <row r="277">
      <c r="A277">
        <f>IF($L277="","",B277&amp;"."&amp;C277&amp;"-"&amp;D277&amp;"-"&amp;H277&amp;"."&amp;I277&amp;"."&amp;J277)</f>
        <v/>
      </c>
      <c r="B277">
        <f>IF($L277="","",INDEX(Расчет!$A$2:$A$3001,$L277))</f>
        <v/>
      </c>
      <c r="C277">
        <f>IF($L277="","",INDEX(Расчет!$B$2:$B$3001,$L277))</f>
        <v/>
      </c>
      <c r="D277">
        <f>IF($L277="","",IF(ISNUMBER(FIND("(",INDEX(Расчет!$C$2:$C$3001,$L277))),SUBSTITUTE(MID(INDEX(Расчет!$C$2:$C$3001,$L277),FIND("(",INDEX(Расчет!$C$2:$C$3001,$L277))+1,99),")",""),INDEX(Расчет!$C$2:$C$3001,$L277)))</f>
        <v/>
      </c>
      <c r="E277">
        <f>IF($L277="","",INDEX(Расчет!$D$2:$D$3001,$L277))</f>
        <v/>
      </c>
      <c r="F277">
        <f>IF($L277="","",INDEX(Расчет!$E$2:$E$3001,$L277))</f>
        <v/>
      </c>
      <c r="G277">
        <f>IF($L277="","",IFERROR(--LEFT(INDEX(Расчет!$C$2:$C$3001,$L277),FIND("(",INDEX(Расчет!$C$2:$C$3001,$L277))-1),IFERROR(--LEFT(INDEX(Расчет!$C$2:$C$3001,$L277),1),"")))</f>
        <v/>
      </c>
      <c r="H277">
        <f>IF($L277="","",SUMIFS(Расчет!$G$2:$G$3001,Расчет!$I$2:$I$3001,$K277,Расчет!$H$2:$H$3001,1))</f>
        <v/>
      </c>
      <c r="I277">
        <f>IF($L277="","",SUMIFS(Расчет!$G$2:$G$3001,Расчет!$I$2:$I$3001,$K277,Расчет!$H$2:$H$3001,2))</f>
        <v/>
      </c>
      <c r="J277">
        <f>IF($L277="","",SUMIFS(Расчет!$G$2:$G$3001,Расчет!$I$2:$I$3001,$K277,Расчет!$H$2:$H$3001,3))</f>
        <v/>
      </c>
      <c r="K277">
        <f>IF($L277="","",INDEX(Расчет!$I$2:$I$3001,$L277))</f>
        <v/>
      </c>
      <c r="L277">
        <f>IFERROR(MATCH(ROW()-1,Расчет!$J$2:$J$3001,0),"")</f>
        <v/>
      </c>
    </row>
    <row r="278">
      <c r="A278">
        <f>IF($L278="","",B278&amp;"."&amp;C278&amp;"-"&amp;D278&amp;"-"&amp;H278&amp;"."&amp;I278&amp;"."&amp;J278)</f>
        <v/>
      </c>
      <c r="B278">
        <f>IF($L278="","",INDEX(Расчет!$A$2:$A$3001,$L278))</f>
        <v/>
      </c>
      <c r="C278">
        <f>IF($L278="","",INDEX(Расчет!$B$2:$B$3001,$L278))</f>
        <v/>
      </c>
      <c r="D278">
        <f>IF($L278="","",IF(ISNUMBER(FIND("(",INDEX(Расчет!$C$2:$C$3001,$L278))),SUBSTITUTE(MID(INDEX(Расчет!$C$2:$C$3001,$L278),FIND("(",INDEX(Расчет!$C$2:$C$3001,$L278))+1,99),")",""),INDEX(Расчет!$C$2:$C$3001,$L278)))</f>
        <v/>
      </c>
      <c r="E278">
        <f>IF($L278="","",INDEX(Расчет!$D$2:$D$3001,$L278))</f>
        <v/>
      </c>
      <c r="F278">
        <f>IF($L278="","",INDEX(Расчет!$E$2:$E$3001,$L278))</f>
        <v/>
      </c>
      <c r="G278">
        <f>IF($L278="","",IFERROR(--LEFT(INDEX(Расчет!$C$2:$C$3001,$L278),FIND("(",INDEX(Расчет!$C$2:$C$3001,$L278))-1),IFERROR(--LEFT(INDEX(Расчет!$C$2:$C$3001,$L278),1),"")))</f>
        <v/>
      </c>
      <c r="H278">
        <f>IF($L278="","",SUMIFS(Расчет!$G$2:$G$3001,Расчет!$I$2:$I$3001,$K278,Расчет!$H$2:$H$3001,1))</f>
        <v/>
      </c>
      <c r="I278">
        <f>IF($L278="","",SUMIFS(Расчет!$G$2:$G$3001,Расчет!$I$2:$I$3001,$K278,Расчет!$H$2:$H$3001,2))</f>
        <v/>
      </c>
      <c r="J278">
        <f>IF($L278="","",SUMIFS(Расчет!$G$2:$G$3001,Расчет!$I$2:$I$3001,$K278,Расчет!$H$2:$H$3001,3))</f>
        <v/>
      </c>
      <c r="K278">
        <f>IF($L278="","",INDEX(Расчет!$I$2:$I$3001,$L278))</f>
        <v/>
      </c>
      <c r="L278">
        <f>IFERROR(MATCH(ROW()-1,Расчет!$J$2:$J$3001,0),"")</f>
        <v/>
      </c>
    </row>
    <row r="279">
      <c r="A279">
        <f>IF($L279="","",B279&amp;"."&amp;C279&amp;"-"&amp;D279&amp;"-"&amp;H279&amp;"."&amp;I279&amp;"."&amp;J279)</f>
        <v/>
      </c>
      <c r="B279">
        <f>IF($L279="","",INDEX(Расчет!$A$2:$A$3001,$L279))</f>
        <v/>
      </c>
      <c r="C279">
        <f>IF($L279="","",INDEX(Расчет!$B$2:$B$3001,$L279))</f>
        <v/>
      </c>
      <c r="D279">
        <f>IF($L279="","",IF(ISNUMBER(FIND("(",INDEX(Расчет!$C$2:$C$3001,$L279))),SUBSTITUTE(MID(INDEX(Расчет!$C$2:$C$3001,$L279),FIND("(",INDEX(Расчет!$C$2:$C$3001,$L279))+1,99),")",""),INDEX(Расчет!$C$2:$C$3001,$L279)))</f>
        <v/>
      </c>
      <c r="E279">
        <f>IF($L279="","",INDEX(Расчет!$D$2:$D$3001,$L279))</f>
        <v/>
      </c>
      <c r="F279">
        <f>IF($L279="","",INDEX(Расчет!$E$2:$E$3001,$L279))</f>
        <v/>
      </c>
      <c r="G279">
        <f>IF($L279="","",IFERROR(--LEFT(INDEX(Расчет!$C$2:$C$3001,$L279),FIND("(",INDEX(Расчет!$C$2:$C$3001,$L279))-1),IFERROR(--LEFT(INDEX(Расчет!$C$2:$C$3001,$L279),1),"")))</f>
        <v/>
      </c>
      <c r="H279">
        <f>IF($L279="","",SUMIFS(Расчет!$G$2:$G$3001,Расчет!$I$2:$I$3001,$K279,Расчет!$H$2:$H$3001,1))</f>
        <v/>
      </c>
      <c r="I279">
        <f>IF($L279="","",SUMIFS(Расчет!$G$2:$G$3001,Расчет!$I$2:$I$3001,$K279,Расчет!$H$2:$H$3001,2))</f>
        <v/>
      </c>
      <c r="J279">
        <f>IF($L279="","",SUMIFS(Расчет!$G$2:$G$3001,Расчет!$I$2:$I$3001,$K279,Расчет!$H$2:$H$3001,3))</f>
        <v/>
      </c>
      <c r="K279">
        <f>IF($L279="","",INDEX(Расчет!$I$2:$I$3001,$L279))</f>
        <v/>
      </c>
      <c r="L279">
        <f>IFERROR(MATCH(ROW()-1,Расчет!$J$2:$J$3001,0),"")</f>
        <v/>
      </c>
    </row>
    <row r="280">
      <c r="A280">
        <f>IF($L280="","",B280&amp;"."&amp;C280&amp;"-"&amp;D280&amp;"-"&amp;H280&amp;"."&amp;I280&amp;"."&amp;J280)</f>
        <v/>
      </c>
      <c r="B280">
        <f>IF($L280="","",INDEX(Расчет!$A$2:$A$3001,$L280))</f>
        <v/>
      </c>
      <c r="C280">
        <f>IF($L280="","",INDEX(Расчет!$B$2:$B$3001,$L280))</f>
        <v/>
      </c>
      <c r="D280">
        <f>IF($L280="","",IF(ISNUMBER(FIND("(",INDEX(Расчет!$C$2:$C$3001,$L280))),SUBSTITUTE(MID(INDEX(Расчет!$C$2:$C$3001,$L280),FIND("(",INDEX(Расчет!$C$2:$C$3001,$L280))+1,99),")",""),INDEX(Расчет!$C$2:$C$3001,$L280)))</f>
        <v/>
      </c>
      <c r="E280">
        <f>IF($L280="","",INDEX(Расчет!$D$2:$D$3001,$L280))</f>
        <v/>
      </c>
      <c r="F280">
        <f>IF($L280="","",INDEX(Расчет!$E$2:$E$3001,$L280))</f>
        <v/>
      </c>
      <c r="G280">
        <f>IF($L280="","",IFERROR(--LEFT(INDEX(Расчет!$C$2:$C$3001,$L280),FIND("(",INDEX(Расчет!$C$2:$C$3001,$L280))-1),IFERROR(--LEFT(INDEX(Расчет!$C$2:$C$3001,$L280),1),"")))</f>
        <v/>
      </c>
      <c r="H280">
        <f>IF($L280="","",SUMIFS(Расчет!$G$2:$G$3001,Расчет!$I$2:$I$3001,$K280,Расчет!$H$2:$H$3001,1))</f>
        <v/>
      </c>
      <c r="I280">
        <f>IF($L280="","",SUMIFS(Расчет!$G$2:$G$3001,Расчет!$I$2:$I$3001,$K280,Расчет!$H$2:$H$3001,2))</f>
        <v/>
      </c>
      <c r="J280">
        <f>IF($L280="","",SUMIFS(Расчет!$G$2:$G$3001,Расчет!$I$2:$I$3001,$K280,Расчет!$H$2:$H$3001,3))</f>
        <v/>
      </c>
      <c r="K280">
        <f>IF($L280="","",INDEX(Расчет!$I$2:$I$3001,$L280))</f>
        <v/>
      </c>
      <c r="L280">
        <f>IFERROR(MATCH(ROW()-1,Расчет!$J$2:$J$3001,0),"")</f>
        <v/>
      </c>
    </row>
    <row r="281">
      <c r="A281">
        <f>IF($L281="","",B281&amp;"."&amp;C281&amp;"-"&amp;D281&amp;"-"&amp;H281&amp;"."&amp;I281&amp;"."&amp;J281)</f>
        <v/>
      </c>
      <c r="B281">
        <f>IF($L281="","",INDEX(Расчет!$A$2:$A$3001,$L281))</f>
        <v/>
      </c>
      <c r="C281">
        <f>IF($L281="","",INDEX(Расчет!$B$2:$B$3001,$L281))</f>
        <v/>
      </c>
      <c r="D281">
        <f>IF($L281="","",IF(ISNUMBER(FIND("(",INDEX(Расчет!$C$2:$C$3001,$L281))),SUBSTITUTE(MID(INDEX(Расчет!$C$2:$C$3001,$L281),FIND("(",INDEX(Расчет!$C$2:$C$3001,$L281))+1,99),")",""),INDEX(Расчет!$C$2:$C$3001,$L281)))</f>
        <v/>
      </c>
      <c r="E281">
        <f>IF($L281="","",INDEX(Расчет!$D$2:$D$3001,$L281))</f>
        <v/>
      </c>
      <c r="F281">
        <f>IF($L281="","",INDEX(Расчет!$E$2:$E$3001,$L281))</f>
        <v/>
      </c>
      <c r="G281">
        <f>IF($L281="","",IFERROR(--LEFT(INDEX(Расчет!$C$2:$C$3001,$L281),FIND("(",INDEX(Расчет!$C$2:$C$3001,$L281))-1),IFERROR(--LEFT(INDEX(Расчет!$C$2:$C$3001,$L281),1),"")))</f>
        <v/>
      </c>
      <c r="H281">
        <f>IF($L281="","",SUMIFS(Расчет!$G$2:$G$3001,Расчет!$I$2:$I$3001,$K281,Расчет!$H$2:$H$3001,1))</f>
        <v/>
      </c>
      <c r="I281">
        <f>IF($L281="","",SUMIFS(Расчет!$G$2:$G$3001,Расчет!$I$2:$I$3001,$K281,Расчет!$H$2:$H$3001,2))</f>
        <v/>
      </c>
      <c r="J281">
        <f>IF($L281="","",SUMIFS(Расчет!$G$2:$G$3001,Расчет!$I$2:$I$3001,$K281,Расчет!$H$2:$H$3001,3))</f>
        <v/>
      </c>
      <c r="K281">
        <f>IF($L281="","",INDEX(Расчет!$I$2:$I$3001,$L281))</f>
        <v/>
      </c>
      <c r="L281">
        <f>IFERROR(MATCH(ROW()-1,Расчет!$J$2:$J$3001,0),"")</f>
        <v/>
      </c>
    </row>
    <row r="282">
      <c r="A282">
        <f>IF($L282="","",B282&amp;"."&amp;C282&amp;"-"&amp;D282&amp;"-"&amp;H282&amp;"."&amp;I282&amp;"."&amp;J282)</f>
        <v/>
      </c>
      <c r="B282">
        <f>IF($L282="","",INDEX(Расчет!$A$2:$A$3001,$L282))</f>
        <v/>
      </c>
      <c r="C282">
        <f>IF($L282="","",INDEX(Расчет!$B$2:$B$3001,$L282))</f>
        <v/>
      </c>
      <c r="D282">
        <f>IF($L282="","",IF(ISNUMBER(FIND("(",INDEX(Расчет!$C$2:$C$3001,$L282))),SUBSTITUTE(MID(INDEX(Расчет!$C$2:$C$3001,$L282),FIND("(",INDEX(Расчет!$C$2:$C$3001,$L282))+1,99),")",""),INDEX(Расчет!$C$2:$C$3001,$L282)))</f>
        <v/>
      </c>
      <c r="E282">
        <f>IF($L282="","",INDEX(Расчет!$D$2:$D$3001,$L282))</f>
        <v/>
      </c>
      <c r="F282">
        <f>IF($L282="","",INDEX(Расчет!$E$2:$E$3001,$L282))</f>
        <v/>
      </c>
      <c r="G282">
        <f>IF($L282="","",IFERROR(--LEFT(INDEX(Расчет!$C$2:$C$3001,$L282),FIND("(",INDEX(Расчет!$C$2:$C$3001,$L282))-1),IFERROR(--LEFT(INDEX(Расчет!$C$2:$C$3001,$L282),1),"")))</f>
        <v/>
      </c>
      <c r="H282">
        <f>IF($L282="","",SUMIFS(Расчет!$G$2:$G$3001,Расчет!$I$2:$I$3001,$K282,Расчет!$H$2:$H$3001,1))</f>
        <v/>
      </c>
      <c r="I282">
        <f>IF($L282="","",SUMIFS(Расчет!$G$2:$G$3001,Расчет!$I$2:$I$3001,$K282,Расчет!$H$2:$H$3001,2))</f>
        <v/>
      </c>
      <c r="J282">
        <f>IF($L282="","",SUMIFS(Расчет!$G$2:$G$3001,Расчет!$I$2:$I$3001,$K282,Расчет!$H$2:$H$3001,3))</f>
        <v/>
      </c>
      <c r="K282">
        <f>IF($L282="","",INDEX(Расчет!$I$2:$I$3001,$L282))</f>
        <v/>
      </c>
      <c r="L282">
        <f>IFERROR(MATCH(ROW()-1,Расчет!$J$2:$J$3001,0),"")</f>
        <v/>
      </c>
    </row>
    <row r="283">
      <c r="A283">
        <f>IF($L283="","",B283&amp;"."&amp;C283&amp;"-"&amp;D283&amp;"-"&amp;H283&amp;"."&amp;I283&amp;"."&amp;J283)</f>
        <v/>
      </c>
      <c r="B283">
        <f>IF($L283="","",INDEX(Расчет!$A$2:$A$3001,$L283))</f>
        <v/>
      </c>
      <c r="C283">
        <f>IF($L283="","",INDEX(Расчет!$B$2:$B$3001,$L283))</f>
        <v/>
      </c>
      <c r="D283">
        <f>IF($L283="","",IF(ISNUMBER(FIND("(",INDEX(Расчет!$C$2:$C$3001,$L283))),SUBSTITUTE(MID(INDEX(Расчет!$C$2:$C$3001,$L283),FIND("(",INDEX(Расчет!$C$2:$C$3001,$L283))+1,99),")",""),INDEX(Расчет!$C$2:$C$3001,$L283)))</f>
        <v/>
      </c>
      <c r="E283">
        <f>IF($L283="","",INDEX(Расчет!$D$2:$D$3001,$L283))</f>
        <v/>
      </c>
      <c r="F283">
        <f>IF($L283="","",INDEX(Расчет!$E$2:$E$3001,$L283))</f>
        <v/>
      </c>
      <c r="G283">
        <f>IF($L283="","",IFERROR(--LEFT(INDEX(Расчет!$C$2:$C$3001,$L283),FIND("(",INDEX(Расчет!$C$2:$C$3001,$L283))-1),IFERROR(--LEFT(INDEX(Расчет!$C$2:$C$3001,$L283),1),"")))</f>
        <v/>
      </c>
      <c r="H283">
        <f>IF($L283="","",SUMIFS(Расчет!$G$2:$G$3001,Расчет!$I$2:$I$3001,$K283,Расчет!$H$2:$H$3001,1))</f>
        <v/>
      </c>
      <c r="I283">
        <f>IF($L283="","",SUMIFS(Расчет!$G$2:$G$3001,Расчет!$I$2:$I$3001,$K283,Расчет!$H$2:$H$3001,2))</f>
        <v/>
      </c>
      <c r="J283">
        <f>IF($L283="","",SUMIFS(Расчет!$G$2:$G$3001,Расчет!$I$2:$I$3001,$K283,Расчет!$H$2:$H$3001,3))</f>
        <v/>
      </c>
      <c r="K283">
        <f>IF($L283="","",INDEX(Расчет!$I$2:$I$3001,$L283))</f>
        <v/>
      </c>
      <c r="L283">
        <f>IFERROR(MATCH(ROW()-1,Расчет!$J$2:$J$3001,0),"")</f>
        <v/>
      </c>
    </row>
    <row r="284">
      <c r="A284">
        <f>IF($L284="","",B284&amp;"."&amp;C284&amp;"-"&amp;D284&amp;"-"&amp;H284&amp;"."&amp;I284&amp;"."&amp;J284)</f>
        <v/>
      </c>
      <c r="B284">
        <f>IF($L284="","",INDEX(Расчет!$A$2:$A$3001,$L284))</f>
        <v/>
      </c>
      <c r="C284">
        <f>IF($L284="","",INDEX(Расчет!$B$2:$B$3001,$L284))</f>
        <v/>
      </c>
      <c r="D284">
        <f>IF($L284="","",IF(ISNUMBER(FIND("(",INDEX(Расчет!$C$2:$C$3001,$L284))),SUBSTITUTE(MID(INDEX(Расчет!$C$2:$C$3001,$L284),FIND("(",INDEX(Расчет!$C$2:$C$3001,$L284))+1,99),")",""),INDEX(Расчет!$C$2:$C$3001,$L284)))</f>
        <v/>
      </c>
      <c r="E284">
        <f>IF($L284="","",INDEX(Расчет!$D$2:$D$3001,$L284))</f>
        <v/>
      </c>
      <c r="F284">
        <f>IF($L284="","",INDEX(Расчет!$E$2:$E$3001,$L284))</f>
        <v/>
      </c>
      <c r="G284">
        <f>IF($L284="","",IFERROR(--LEFT(INDEX(Расчет!$C$2:$C$3001,$L284),FIND("(",INDEX(Расчет!$C$2:$C$3001,$L284))-1),IFERROR(--LEFT(INDEX(Расчет!$C$2:$C$3001,$L284),1),"")))</f>
        <v/>
      </c>
      <c r="H284">
        <f>IF($L284="","",SUMIFS(Расчет!$G$2:$G$3001,Расчет!$I$2:$I$3001,$K284,Расчет!$H$2:$H$3001,1))</f>
        <v/>
      </c>
      <c r="I284">
        <f>IF($L284="","",SUMIFS(Расчет!$G$2:$G$3001,Расчет!$I$2:$I$3001,$K284,Расчет!$H$2:$H$3001,2))</f>
        <v/>
      </c>
      <c r="J284">
        <f>IF($L284="","",SUMIFS(Расчет!$G$2:$G$3001,Расчет!$I$2:$I$3001,$K284,Расчет!$H$2:$H$3001,3))</f>
        <v/>
      </c>
      <c r="K284">
        <f>IF($L284="","",INDEX(Расчет!$I$2:$I$3001,$L284))</f>
        <v/>
      </c>
      <c r="L284">
        <f>IFERROR(MATCH(ROW()-1,Расчет!$J$2:$J$3001,0),"")</f>
        <v/>
      </c>
    </row>
    <row r="285">
      <c r="A285">
        <f>IF($L285="","",B285&amp;"."&amp;C285&amp;"-"&amp;D285&amp;"-"&amp;H285&amp;"."&amp;I285&amp;"."&amp;J285)</f>
        <v/>
      </c>
      <c r="B285">
        <f>IF($L285="","",INDEX(Расчет!$A$2:$A$3001,$L285))</f>
        <v/>
      </c>
      <c r="C285">
        <f>IF($L285="","",INDEX(Расчет!$B$2:$B$3001,$L285))</f>
        <v/>
      </c>
      <c r="D285">
        <f>IF($L285="","",IF(ISNUMBER(FIND("(",INDEX(Расчет!$C$2:$C$3001,$L285))),SUBSTITUTE(MID(INDEX(Расчет!$C$2:$C$3001,$L285),FIND("(",INDEX(Расчет!$C$2:$C$3001,$L285))+1,99),")",""),INDEX(Расчет!$C$2:$C$3001,$L285)))</f>
        <v/>
      </c>
      <c r="E285">
        <f>IF($L285="","",INDEX(Расчет!$D$2:$D$3001,$L285))</f>
        <v/>
      </c>
      <c r="F285">
        <f>IF($L285="","",INDEX(Расчет!$E$2:$E$3001,$L285))</f>
        <v/>
      </c>
      <c r="G285">
        <f>IF($L285="","",IFERROR(--LEFT(INDEX(Расчет!$C$2:$C$3001,$L285),FIND("(",INDEX(Расчет!$C$2:$C$3001,$L285))-1),IFERROR(--LEFT(INDEX(Расчет!$C$2:$C$3001,$L285),1),"")))</f>
        <v/>
      </c>
      <c r="H285">
        <f>IF($L285="","",SUMIFS(Расчет!$G$2:$G$3001,Расчет!$I$2:$I$3001,$K285,Расчет!$H$2:$H$3001,1))</f>
        <v/>
      </c>
      <c r="I285">
        <f>IF($L285="","",SUMIFS(Расчет!$G$2:$G$3001,Расчет!$I$2:$I$3001,$K285,Расчет!$H$2:$H$3001,2))</f>
        <v/>
      </c>
      <c r="J285">
        <f>IF($L285="","",SUMIFS(Расчет!$G$2:$G$3001,Расчет!$I$2:$I$3001,$K285,Расчет!$H$2:$H$3001,3))</f>
        <v/>
      </c>
      <c r="K285">
        <f>IF($L285="","",INDEX(Расчет!$I$2:$I$3001,$L285))</f>
        <v/>
      </c>
      <c r="L285">
        <f>IFERROR(MATCH(ROW()-1,Расчет!$J$2:$J$3001,0),"")</f>
        <v/>
      </c>
    </row>
    <row r="286">
      <c r="A286">
        <f>IF($L286="","",B286&amp;"."&amp;C286&amp;"-"&amp;D286&amp;"-"&amp;H286&amp;"."&amp;I286&amp;"."&amp;J286)</f>
        <v/>
      </c>
      <c r="B286">
        <f>IF($L286="","",INDEX(Расчет!$A$2:$A$3001,$L286))</f>
        <v/>
      </c>
      <c r="C286">
        <f>IF($L286="","",INDEX(Расчет!$B$2:$B$3001,$L286))</f>
        <v/>
      </c>
      <c r="D286">
        <f>IF($L286="","",IF(ISNUMBER(FIND("(",INDEX(Расчет!$C$2:$C$3001,$L286))),SUBSTITUTE(MID(INDEX(Расчет!$C$2:$C$3001,$L286),FIND("(",INDEX(Расчет!$C$2:$C$3001,$L286))+1,99),")",""),INDEX(Расчет!$C$2:$C$3001,$L286)))</f>
        <v/>
      </c>
      <c r="E286">
        <f>IF($L286="","",INDEX(Расчет!$D$2:$D$3001,$L286))</f>
        <v/>
      </c>
      <c r="F286">
        <f>IF($L286="","",INDEX(Расчет!$E$2:$E$3001,$L286))</f>
        <v/>
      </c>
      <c r="G286">
        <f>IF($L286="","",IFERROR(--LEFT(INDEX(Расчет!$C$2:$C$3001,$L286),FIND("(",INDEX(Расчет!$C$2:$C$3001,$L286))-1),IFERROR(--LEFT(INDEX(Расчет!$C$2:$C$3001,$L286),1),"")))</f>
        <v/>
      </c>
      <c r="H286">
        <f>IF($L286="","",SUMIFS(Расчет!$G$2:$G$3001,Расчет!$I$2:$I$3001,$K286,Расчет!$H$2:$H$3001,1))</f>
        <v/>
      </c>
      <c r="I286">
        <f>IF($L286="","",SUMIFS(Расчет!$G$2:$G$3001,Расчет!$I$2:$I$3001,$K286,Расчет!$H$2:$H$3001,2))</f>
        <v/>
      </c>
      <c r="J286">
        <f>IF($L286="","",SUMIFS(Расчет!$G$2:$G$3001,Расчет!$I$2:$I$3001,$K286,Расчет!$H$2:$H$3001,3))</f>
        <v/>
      </c>
      <c r="K286">
        <f>IF($L286="","",INDEX(Расчет!$I$2:$I$3001,$L286))</f>
        <v/>
      </c>
      <c r="L286">
        <f>IFERROR(MATCH(ROW()-1,Расчет!$J$2:$J$3001,0),"")</f>
        <v/>
      </c>
    </row>
    <row r="287">
      <c r="A287">
        <f>IF($L287="","",B287&amp;"."&amp;C287&amp;"-"&amp;D287&amp;"-"&amp;H287&amp;"."&amp;I287&amp;"."&amp;J287)</f>
        <v/>
      </c>
      <c r="B287">
        <f>IF($L287="","",INDEX(Расчет!$A$2:$A$3001,$L287))</f>
        <v/>
      </c>
      <c r="C287">
        <f>IF($L287="","",INDEX(Расчет!$B$2:$B$3001,$L287))</f>
        <v/>
      </c>
      <c r="D287">
        <f>IF($L287="","",IF(ISNUMBER(FIND("(",INDEX(Расчет!$C$2:$C$3001,$L287))),SUBSTITUTE(MID(INDEX(Расчет!$C$2:$C$3001,$L287),FIND("(",INDEX(Расчет!$C$2:$C$3001,$L287))+1,99),")",""),INDEX(Расчет!$C$2:$C$3001,$L287)))</f>
        <v/>
      </c>
      <c r="E287">
        <f>IF($L287="","",INDEX(Расчет!$D$2:$D$3001,$L287))</f>
        <v/>
      </c>
      <c r="F287">
        <f>IF($L287="","",INDEX(Расчет!$E$2:$E$3001,$L287))</f>
        <v/>
      </c>
      <c r="G287">
        <f>IF($L287="","",IFERROR(--LEFT(INDEX(Расчет!$C$2:$C$3001,$L287),FIND("(",INDEX(Расчет!$C$2:$C$3001,$L287))-1),IFERROR(--LEFT(INDEX(Расчет!$C$2:$C$3001,$L287),1),"")))</f>
        <v/>
      </c>
      <c r="H287">
        <f>IF($L287="","",SUMIFS(Расчет!$G$2:$G$3001,Расчет!$I$2:$I$3001,$K287,Расчет!$H$2:$H$3001,1))</f>
        <v/>
      </c>
      <c r="I287">
        <f>IF($L287="","",SUMIFS(Расчет!$G$2:$G$3001,Расчет!$I$2:$I$3001,$K287,Расчет!$H$2:$H$3001,2))</f>
        <v/>
      </c>
      <c r="J287">
        <f>IF($L287="","",SUMIFS(Расчет!$G$2:$G$3001,Расчет!$I$2:$I$3001,$K287,Расчет!$H$2:$H$3001,3))</f>
        <v/>
      </c>
      <c r="K287">
        <f>IF($L287="","",INDEX(Расчет!$I$2:$I$3001,$L287))</f>
        <v/>
      </c>
      <c r="L287">
        <f>IFERROR(MATCH(ROW()-1,Расчет!$J$2:$J$3001,0),"")</f>
        <v/>
      </c>
    </row>
    <row r="288">
      <c r="A288">
        <f>IF($L288="","",B288&amp;"."&amp;C288&amp;"-"&amp;D288&amp;"-"&amp;H288&amp;"."&amp;I288&amp;"."&amp;J288)</f>
        <v/>
      </c>
      <c r="B288">
        <f>IF($L288="","",INDEX(Расчет!$A$2:$A$3001,$L288))</f>
        <v/>
      </c>
      <c r="C288">
        <f>IF($L288="","",INDEX(Расчет!$B$2:$B$3001,$L288))</f>
        <v/>
      </c>
      <c r="D288">
        <f>IF($L288="","",IF(ISNUMBER(FIND("(",INDEX(Расчет!$C$2:$C$3001,$L288))),SUBSTITUTE(MID(INDEX(Расчет!$C$2:$C$3001,$L288),FIND("(",INDEX(Расчет!$C$2:$C$3001,$L288))+1,99),")",""),INDEX(Расчет!$C$2:$C$3001,$L288)))</f>
        <v/>
      </c>
      <c r="E288">
        <f>IF($L288="","",INDEX(Расчет!$D$2:$D$3001,$L288))</f>
        <v/>
      </c>
      <c r="F288">
        <f>IF($L288="","",INDEX(Расчет!$E$2:$E$3001,$L288))</f>
        <v/>
      </c>
      <c r="G288">
        <f>IF($L288="","",IFERROR(--LEFT(INDEX(Расчет!$C$2:$C$3001,$L288),FIND("(",INDEX(Расчет!$C$2:$C$3001,$L288))-1),IFERROR(--LEFT(INDEX(Расчет!$C$2:$C$3001,$L288),1),"")))</f>
        <v/>
      </c>
      <c r="H288">
        <f>IF($L288="","",SUMIFS(Расчет!$G$2:$G$3001,Расчет!$I$2:$I$3001,$K288,Расчет!$H$2:$H$3001,1))</f>
        <v/>
      </c>
      <c r="I288">
        <f>IF($L288="","",SUMIFS(Расчет!$G$2:$G$3001,Расчет!$I$2:$I$3001,$K288,Расчет!$H$2:$H$3001,2))</f>
        <v/>
      </c>
      <c r="J288">
        <f>IF($L288="","",SUMIFS(Расчет!$G$2:$G$3001,Расчет!$I$2:$I$3001,$K288,Расчет!$H$2:$H$3001,3))</f>
        <v/>
      </c>
      <c r="K288">
        <f>IF($L288="","",INDEX(Расчет!$I$2:$I$3001,$L288))</f>
        <v/>
      </c>
      <c r="L288">
        <f>IFERROR(MATCH(ROW()-1,Расчет!$J$2:$J$3001,0),"")</f>
        <v/>
      </c>
    </row>
    <row r="289">
      <c r="A289">
        <f>IF($L289="","",B289&amp;"."&amp;C289&amp;"-"&amp;D289&amp;"-"&amp;H289&amp;"."&amp;I289&amp;"."&amp;J289)</f>
        <v/>
      </c>
      <c r="B289">
        <f>IF($L289="","",INDEX(Расчет!$A$2:$A$3001,$L289))</f>
        <v/>
      </c>
      <c r="C289">
        <f>IF($L289="","",INDEX(Расчет!$B$2:$B$3001,$L289))</f>
        <v/>
      </c>
      <c r="D289">
        <f>IF($L289="","",IF(ISNUMBER(FIND("(",INDEX(Расчет!$C$2:$C$3001,$L289))),SUBSTITUTE(MID(INDEX(Расчет!$C$2:$C$3001,$L289),FIND("(",INDEX(Расчет!$C$2:$C$3001,$L289))+1,99),")",""),INDEX(Расчет!$C$2:$C$3001,$L289)))</f>
        <v/>
      </c>
      <c r="E289">
        <f>IF($L289="","",INDEX(Расчет!$D$2:$D$3001,$L289))</f>
        <v/>
      </c>
      <c r="F289">
        <f>IF($L289="","",INDEX(Расчет!$E$2:$E$3001,$L289))</f>
        <v/>
      </c>
      <c r="G289">
        <f>IF($L289="","",IFERROR(--LEFT(INDEX(Расчет!$C$2:$C$3001,$L289),FIND("(",INDEX(Расчет!$C$2:$C$3001,$L289))-1),IFERROR(--LEFT(INDEX(Расчет!$C$2:$C$3001,$L289),1),"")))</f>
        <v/>
      </c>
      <c r="H289">
        <f>IF($L289="","",SUMIFS(Расчет!$G$2:$G$3001,Расчет!$I$2:$I$3001,$K289,Расчет!$H$2:$H$3001,1))</f>
        <v/>
      </c>
      <c r="I289">
        <f>IF($L289="","",SUMIFS(Расчет!$G$2:$G$3001,Расчет!$I$2:$I$3001,$K289,Расчет!$H$2:$H$3001,2))</f>
        <v/>
      </c>
      <c r="J289">
        <f>IF($L289="","",SUMIFS(Расчет!$G$2:$G$3001,Расчет!$I$2:$I$3001,$K289,Расчет!$H$2:$H$3001,3))</f>
        <v/>
      </c>
      <c r="K289">
        <f>IF($L289="","",INDEX(Расчет!$I$2:$I$3001,$L289))</f>
        <v/>
      </c>
      <c r="L289">
        <f>IFERROR(MATCH(ROW()-1,Расчет!$J$2:$J$3001,0),"")</f>
        <v/>
      </c>
    </row>
    <row r="290">
      <c r="A290">
        <f>IF($L290="","",B290&amp;"."&amp;C290&amp;"-"&amp;D290&amp;"-"&amp;H290&amp;"."&amp;I290&amp;"."&amp;J290)</f>
        <v/>
      </c>
      <c r="B290">
        <f>IF($L290="","",INDEX(Расчет!$A$2:$A$3001,$L290))</f>
        <v/>
      </c>
      <c r="C290">
        <f>IF($L290="","",INDEX(Расчет!$B$2:$B$3001,$L290))</f>
        <v/>
      </c>
      <c r="D290">
        <f>IF($L290="","",IF(ISNUMBER(FIND("(",INDEX(Расчет!$C$2:$C$3001,$L290))),SUBSTITUTE(MID(INDEX(Расчет!$C$2:$C$3001,$L290),FIND("(",INDEX(Расчет!$C$2:$C$3001,$L290))+1,99),")",""),INDEX(Расчет!$C$2:$C$3001,$L290)))</f>
        <v/>
      </c>
      <c r="E290">
        <f>IF($L290="","",INDEX(Расчет!$D$2:$D$3001,$L290))</f>
        <v/>
      </c>
      <c r="F290">
        <f>IF($L290="","",INDEX(Расчет!$E$2:$E$3001,$L290))</f>
        <v/>
      </c>
      <c r="G290">
        <f>IF($L290="","",IFERROR(--LEFT(INDEX(Расчет!$C$2:$C$3001,$L290),FIND("(",INDEX(Расчет!$C$2:$C$3001,$L290))-1),IFERROR(--LEFT(INDEX(Расчет!$C$2:$C$3001,$L290),1),"")))</f>
        <v/>
      </c>
      <c r="H290">
        <f>IF($L290="","",SUMIFS(Расчет!$G$2:$G$3001,Расчет!$I$2:$I$3001,$K290,Расчет!$H$2:$H$3001,1))</f>
        <v/>
      </c>
      <c r="I290">
        <f>IF($L290="","",SUMIFS(Расчет!$G$2:$G$3001,Расчет!$I$2:$I$3001,$K290,Расчет!$H$2:$H$3001,2))</f>
        <v/>
      </c>
      <c r="J290">
        <f>IF($L290="","",SUMIFS(Расчет!$G$2:$G$3001,Расчет!$I$2:$I$3001,$K290,Расчет!$H$2:$H$3001,3))</f>
        <v/>
      </c>
      <c r="K290">
        <f>IF($L290="","",INDEX(Расчет!$I$2:$I$3001,$L290))</f>
        <v/>
      </c>
      <c r="L290">
        <f>IFERROR(MATCH(ROW()-1,Расчет!$J$2:$J$3001,0),"")</f>
        <v/>
      </c>
    </row>
    <row r="291">
      <c r="A291">
        <f>IF($L291="","",B291&amp;"."&amp;C291&amp;"-"&amp;D291&amp;"-"&amp;H291&amp;"."&amp;I291&amp;"."&amp;J291)</f>
        <v/>
      </c>
      <c r="B291">
        <f>IF($L291="","",INDEX(Расчет!$A$2:$A$3001,$L291))</f>
        <v/>
      </c>
      <c r="C291">
        <f>IF($L291="","",INDEX(Расчет!$B$2:$B$3001,$L291))</f>
        <v/>
      </c>
      <c r="D291">
        <f>IF($L291="","",IF(ISNUMBER(FIND("(",INDEX(Расчет!$C$2:$C$3001,$L291))),SUBSTITUTE(MID(INDEX(Расчет!$C$2:$C$3001,$L291),FIND("(",INDEX(Расчет!$C$2:$C$3001,$L291))+1,99),")",""),INDEX(Расчет!$C$2:$C$3001,$L291)))</f>
        <v/>
      </c>
      <c r="E291">
        <f>IF($L291="","",INDEX(Расчет!$D$2:$D$3001,$L291))</f>
        <v/>
      </c>
      <c r="F291">
        <f>IF($L291="","",INDEX(Расчет!$E$2:$E$3001,$L291))</f>
        <v/>
      </c>
      <c r="G291">
        <f>IF($L291="","",IFERROR(--LEFT(INDEX(Расчет!$C$2:$C$3001,$L291),FIND("(",INDEX(Расчет!$C$2:$C$3001,$L291))-1),IFERROR(--LEFT(INDEX(Расчет!$C$2:$C$3001,$L291),1),"")))</f>
        <v/>
      </c>
      <c r="H291">
        <f>IF($L291="","",SUMIFS(Расчет!$G$2:$G$3001,Расчет!$I$2:$I$3001,$K291,Расчет!$H$2:$H$3001,1))</f>
        <v/>
      </c>
      <c r="I291">
        <f>IF($L291="","",SUMIFS(Расчет!$G$2:$G$3001,Расчет!$I$2:$I$3001,$K291,Расчет!$H$2:$H$3001,2))</f>
        <v/>
      </c>
      <c r="J291">
        <f>IF($L291="","",SUMIFS(Расчет!$G$2:$G$3001,Расчет!$I$2:$I$3001,$K291,Расчет!$H$2:$H$3001,3))</f>
        <v/>
      </c>
      <c r="K291">
        <f>IF($L291="","",INDEX(Расчет!$I$2:$I$3001,$L291))</f>
        <v/>
      </c>
      <c r="L291">
        <f>IFERROR(MATCH(ROW()-1,Расчет!$J$2:$J$3001,0),"")</f>
        <v/>
      </c>
    </row>
    <row r="292">
      <c r="A292">
        <f>IF($L292="","",B292&amp;"."&amp;C292&amp;"-"&amp;D292&amp;"-"&amp;H292&amp;"."&amp;I292&amp;"."&amp;J292)</f>
        <v/>
      </c>
      <c r="B292">
        <f>IF($L292="","",INDEX(Расчет!$A$2:$A$3001,$L292))</f>
        <v/>
      </c>
      <c r="C292">
        <f>IF($L292="","",INDEX(Расчет!$B$2:$B$3001,$L292))</f>
        <v/>
      </c>
      <c r="D292">
        <f>IF($L292="","",IF(ISNUMBER(FIND("(",INDEX(Расчет!$C$2:$C$3001,$L292))),SUBSTITUTE(MID(INDEX(Расчет!$C$2:$C$3001,$L292),FIND("(",INDEX(Расчет!$C$2:$C$3001,$L292))+1,99),")",""),INDEX(Расчет!$C$2:$C$3001,$L292)))</f>
        <v/>
      </c>
      <c r="E292">
        <f>IF($L292="","",INDEX(Расчет!$D$2:$D$3001,$L292))</f>
        <v/>
      </c>
      <c r="F292">
        <f>IF($L292="","",INDEX(Расчет!$E$2:$E$3001,$L292))</f>
        <v/>
      </c>
      <c r="G292">
        <f>IF($L292="","",IFERROR(--LEFT(INDEX(Расчет!$C$2:$C$3001,$L292),FIND("(",INDEX(Расчет!$C$2:$C$3001,$L292))-1),IFERROR(--LEFT(INDEX(Расчет!$C$2:$C$3001,$L292),1),"")))</f>
        <v/>
      </c>
      <c r="H292">
        <f>IF($L292="","",SUMIFS(Расчет!$G$2:$G$3001,Расчет!$I$2:$I$3001,$K292,Расчет!$H$2:$H$3001,1))</f>
        <v/>
      </c>
      <c r="I292">
        <f>IF($L292="","",SUMIFS(Расчет!$G$2:$G$3001,Расчет!$I$2:$I$3001,$K292,Расчет!$H$2:$H$3001,2))</f>
        <v/>
      </c>
      <c r="J292">
        <f>IF($L292="","",SUMIFS(Расчет!$G$2:$G$3001,Расчет!$I$2:$I$3001,$K292,Расчет!$H$2:$H$3001,3))</f>
        <v/>
      </c>
      <c r="K292">
        <f>IF($L292="","",INDEX(Расчет!$I$2:$I$3001,$L292))</f>
        <v/>
      </c>
      <c r="L292">
        <f>IFERROR(MATCH(ROW()-1,Расчет!$J$2:$J$3001,0),"")</f>
        <v/>
      </c>
    </row>
    <row r="293">
      <c r="A293">
        <f>IF($L293="","",B293&amp;"."&amp;C293&amp;"-"&amp;D293&amp;"-"&amp;H293&amp;"."&amp;I293&amp;"."&amp;J293)</f>
        <v/>
      </c>
      <c r="B293">
        <f>IF($L293="","",INDEX(Расчет!$A$2:$A$3001,$L293))</f>
        <v/>
      </c>
      <c r="C293">
        <f>IF($L293="","",INDEX(Расчет!$B$2:$B$3001,$L293))</f>
        <v/>
      </c>
      <c r="D293">
        <f>IF($L293="","",IF(ISNUMBER(FIND("(",INDEX(Расчет!$C$2:$C$3001,$L293))),SUBSTITUTE(MID(INDEX(Расчет!$C$2:$C$3001,$L293),FIND("(",INDEX(Расчет!$C$2:$C$3001,$L293))+1,99),")",""),INDEX(Расчет!$C$2:$C$3001,$L293)))</f>
        <v/>
      </c>
      <c r="E293">
        <f>IF($L293="","",INDEX(Расчет!$D$2:$D$3001,$L293))</f>
        <v/>
      </c>
      <c r="F293">
        <f>IF($L293="","",INDEX(Расчет!$E$2:$E$3001,$L293))</f>
        <v/>
      </c>
      <c r="G293">
        <f>IF($L293="","",IFERROR(--LEFT(INDEX(Расчет!$C$2:$C$3001,$L293),FIND("(",INDEX(Расчет!$C$2:$C$3001,$L293))-1),IFERROR(--LEFT(INDEX(Расчет!$C$2:$C$3001,$L293),1),"")))</f>
        <v/>
      </c>
      <c r="H293">
        <f>IF($L293="","",SUMIFS(Расчет!$G$2:$G$3001,Расчет!$I$2:$I$3001,$K293,Расчет!$H$2:$H$3001,1))</f>
        <v/>
      </c>
      <c r="I293">
        <f>IF($L293="","",SUMIFS(Расчет!$G$2:$G$3001,Расчет!$I$2:$I$3001,$K293,Расчет!$H$2:$H$3001,2))</f>
        <v/>
      </c>
      <c r="J293">
        <f>IF($L293="","",SUMIFS(Расчет!$G$2:$G$3001,Расчет!$I$2:$I$3001,$K293,Расчет!$H$2:$H$3001,3))</f>
        <v/>
      </c>
      <c r="K293">
        <f>IF($L293="","",INDEX(Расчет!$I$2:$I$3001,$L293))</f>
        <v/>
      </c>
      <c r="L293">
        <f>IFERROR(MATCH(ROW()-1,Расчет!$J$2:$J$3001,0),"")</f>
        <v/>
      </c>
    </row>
    <row r="294">
      <c r="A294">
        <f>IF($L294="","",B294&amp;"."&amp;C294&amp;"-"&amp;D294&amp;"-"&amp;H294&amp;"."&amp;I294&amp;"."&amp;J294)</f>
        <v/>
      </c>
      <c r="B294">
        <f>IF($L294="","",INDEX(Расчет!$A$2:$A$3001,$L294))</f>
        <v/>
      </c>
      <c r="C294">
        <f>IF($L294="","",INDEX(Расчет!$B$2:$B$3001,$L294))</f>
        <v/>
      </c>
      <c r="D294">
        <f>IF($L294="","",IF(ISNUMBER(FIND("(",INDEX(Расчет!$C$2:$C$3001,$L294))),SUBSTITUTE(MID(INDEX(Расчет!$C$2:$C$3001,$L294),FIND("(",INDEX(Расчет!$C$2:$C$3001,$L294))+1,99),")",""),INDEX(Расчет!$C$2:$C$3001,$L294)))</f>
        <v/>
      </c>
      <c r="E294">
        <f>IF($L294="","",INDEX(Расчет!$D$2:$D$3001,$L294))</f>
        <v/>
      </c>
      <c r="F294">
        <f>IF($L294="","",INDEX(Расчет!$E$2:$E$3001,$L294))</f>
        <v/>
      </c>
      <c r="G294">
        <f>IF($L294="","",IFERROR(--LEFT(INDEX(Расчет!$C$2:$C$3001,$L294),FIND("(",INDEX(Расчет!$C$2:$C$3001,$L294))-1),IFERROR(--LEFT(INDEX(Расчет!$C$2:$C$3001,$L294),1),"")))</f>
        <v/>
      </c>
      <c r="H294">
        <f>IF($L294="","",SUMIFS(Расчет!$G$2:$G$3001,Расчет!$I$2:$I$3001,$K294,Расчет!$H$2:$H$3001,1))</f>
        <v/>
      </c>
      <c r="I294">
        <f>IF($L294="","",SUMIFS(Расчет!$G$2:$G$3001,Расчет!$I$2:$I$3001,$K294,Расчет!$H$2:$H$3001,2))</f>
        <v/>
      </c>
      <c r="J294">
        <f>IF($L294="","",SUMIFS(Расчет!$G$2:$G$3001,Расчет!$I$2:$I$3001,$K294,Расчет!$H$2:$H$3001,3))</f>
        <v/>
      </c>
      <c r="K294">
        <f>IF($L294="","",INDEX(Расчет!$I$2:$I$3001,$L294))</f>
        <v/>
      </c>
      <c r="L294">
        <f>IFERROR(MATCH(ROW()-1,Расчет!$J$2:$J$3001,0),"")</f>
        <v/>
      </c>
    </row>
    <row r="295">
      <c r="A295">
        <f>IF($L295="","",B295&amp;"."&amp;C295&amp;"-"&amp;D295&amp;"-"&amp;H295&amp;"."&amp;I295&amp;"."&amp;J295)</f>
        <v/>
      </c>
      <c r="B295">
        <f>IF($L295="","",INDEX(Расчет!$A$2:$A$3001,$L295))</f>
        <v/>
      </c>
      <c r="C295">
        <f>IF($L295="","",INDEX(Расчет!$B$2:$B$3001,$L295))</f>
        <v/>
      </c>
      <c r="D295">
        <f>IF($L295="","",IF(ISNUMBER(FIND("(",INDEX(Расчет!$C$2:$C$3001,$L295))),SUBSTITUTE(MID(INDEX(Расчет!$C$2:$C$3001,$L295),FIND("(",INDEX(Расчет!$C$2:$C$3001,$L295))+1,99),")",""),INDEX(Расчет!$C$2:$C$3001,$L295)))</f>
        <v/>
      </c>
      <c r="E295">
        <f>IF($L295="","",INDEX(Расчет!$D$2:$D$3001,$L295))</f>
        <v/>
      </c>
      <c r="F295">
        <f>IF($L295="","",INDEX(Расчет!$E$2:$E$3001,$L295))</f>
        <v/>
      </c>
      <c r="G295">
        <f>IF($L295="","",IFERROR(--LEFT(INDEX(Расчет!$C$2:$C$3001,$L295),FIND("(",INDEX(Расчет!$C$2:$C$3001,$L295))-1),IFERROR(--LEFT(INDEX(Расчет!$C$2:$C$3001,$L295),1),"")))</f>
        <v/>
      </c>
      <c r="H295">
        <f>IF($L295="","",SUMIFS(Расчет!$G$2:$G$3001,Расчет!$I$2:$I$3001,$K295,Расчет!$H$2:$H$3001,1))</f>
        <v/>
      </c>
      <c r="I295">
        <f>IF($L295="","",SUMIFS(Расчет!$G$2:$G$3001,Расчет!$I$2:$I$3001,$K295,Расчет!$H$2:$H$3001,2))</f>
        <v/>
      </c>
      <c r="J295">
        <f>IF($L295="","",SUMIFS(Расчет!$G$2:$G$3001,Расчет!$I$2:$I$3001,$K295,Расчет!$H$2:$H$3001,3))</f>
        <v/>
      </c>
      <c r="K295">
        <f>IF($L295="","",INDEX(Расчет!$I$2:$I$3001,$L295))</f>
        <v/>
      </c>
      <c r="L295">
        <f>IFERROR(MATCH(ROW()-1,Расчет!$J$2:$J$3001,0),"")</f>
        <v/>
      </c>
    </row>
    <row r="296">
      <c r="A296">
        <f>IF($L296="","",B296&amp;"."&amp;C296&amp;"-"&amp;D296&amp;"-"&amp;H296&amp;"."&amp;I296&amp;"."&amp;J296)</f>
        <v/>
      </c>
      <c r="B296">
        <f>IF($L296="","",INDEX(Расчет!$A$2:$A$3001,$L296))</f>
        <v/>
      </c>
      <c r="C296">
        <f>IF($L296="","",INDEX(Расчет!$B$2:$B$3001,$L296))</f>
        <v/>
      </c>
      <c r="D296">
        <f>IF($L296="","",IF(ISNUMBER(FIND("(",INDEX(Расчет!$C$2:$C$3001,$L296))),SUBSTITUTE(MID(INDEX(Расчет!$C$2:$C$3001,$L296),FIND("(",INDEX(Расчет!$C$2:$C$3001,$L296))+1,99),")",""),INDEX(Расчет!$C$2:$C$3001,$L296)))</f>
        <v/>
      </c>
      <c r="E296">
        <f>IF($L296="","",INDEX(Расчет!$D$2:$D$3001,$L296))</f>
        <v/>
      </c>
      <c r="F296">
        <f>IF($L296="","",INDEX(Расчет!$E$2:$E$3001,$L296))</f>
        <v/>
      </c>
      <c r="G296">
        <f>IF($L296="","",IFERROR(--LEFT(INDEX(Расчет!$C$2:$C$3001,$L296),FIND("(",INDEX(Расчет!$C$2:$C$3001,$L296))-1),IFERROR(--LEFT(INDEX(Расчет!$C$2:$C$3001,$L296),1),"")))</f>
        <v/>
      </c>
      <c r="H296">
        <f>IF($L296="","",SUMIFS(Расчет!$G$2:$G$3001,Расчет!$I$2:$I$3001,$K296,Расчет!$H$2:$H$3001,1))</f>
        <v/>
      </c>
      <c r="I296">
        <f>IF($L296="","",SUMIFS(Расчет!$G$2:$G$3001,Расчет!$I$2:$I$3001,$K296,Расчет!$H$2:$H$3001,2))</f>
        <v/>
      </c>
      <c r="J296">
        <f>IF($L296="","",SUMIFS(Расчет!$G$2:$G$3001,Расчет!$I$2:$I$3001,$K296,Расчет!$H$2:$H$3001,3))</f>
        <v/>
      </c>
      <c r="K296">
        <f>IF($L296="","",INDEX(Расчет!$I$2:$I$3001,$L296))</f>
        <v/>
      </c>
      <c r="L296">
        <f>IFERROR(MATCH(ROW()-1,Расчет!$J$2:$J$3001,0),"")</f>
        <v/>
      </c>
    </row>
    <row r="297">
      <c r="A297">
        <f>IF($L297="","",B297&amp;"."&amp;C297&amp;"-"&amp;D297&amp;"-"&amp;H297&amp;"."&amp;I297&amp;"."&amp;J297)</f>
        <v/>
      </c>
      <c r="B297">
        <f>IF($L297="","",INDEX(Расчет!$A$2:$A$3001,$L297))</f>
        <v/>
      </c>
      <c r="C297">
        <f>IF($L297="","",INDEX(Расчет!$B$2:$B$3001,$L297))</f>
        <v/>
      </c>
      <c r="D297">
        <f>IF($L297="","",IF(ISNUMBER(FIND("(",INDEX(Расчет!$C$2:$C$3001,$L297))),SUBSTITUTE(MID(INDEX(Расчет!$C$2:$C$3001,$L297),FIND("(",INDEX(Расчет!$C$2:$C$3001,$L297))+1,99),")",""),INDEX(Расчет!$C$2:$C$3001,$L297)))</f>
        <v/>
      </c>
      <c r="E297">
        <f>IF($L297="","",INDEX(Расчет!$D$2:$D$3001,$L297))</f>
        <v/>
      </c>
      <c r="F297">
        <f>IF($L297="","",INDEX(Расчет!$E$2:$E$3001,$L297))</f>
        <v/>
      </c>
      <c r="G297">
        <f>IF($L297="","",IFERROR(--LEFT(INDEX(Расчет!$C$2:$C$3001,$L297),FIND("(",INDEX(Расчет!$C$2:$C$3001,$L297))-1),IFERROR(--LEFT(INDEX(Расчет!$C$2:$C$3001,$L297),1),"")))</f>
        <v/>
      </c>
      <c r="H297">
        <f>IF($L297="","",SUMIFS(Расчет!$G$2:$G$3001,Расчет!$I$2:$I$3001,$K297,Расчет!$H$2:$H$3001,1))</f>
        <v/>
      </c>
      <c r="I297">
        <f>IF($L297="","",SUMIFS(Расчет!$G$2:$G$3001,Расчет!$I$2:$I$3001,$K297,Расчет!$H$2:$H$3001,2))</f>
        <v/>
      </c>
      <c r="J297">
        <f>IF($L297="","",SUMIFS(Расчет!$G$2:$G$3001,Расчет!$I$2:$I$3001,$K297,Расчет!$H$2:$H$3001,3))</f>
        <v/>
      </c>
      <c r="K297">
        <f>IF($L297="","",INDEX(Расчет!$I$2:$I$3001,$L297))</f>
        <v/>
      </c>
      <c r="L297">
        <f>IFERROR(MATCH(ROW()-1,Расчет!$J$2:$J$3001,0),"")</f>
        <v/>
      </c>
    </row>
    <row r="298">
      <c r="A298">
        <f>IF($L298="","",B298&amp;"."&amp;C298&amp;"-"&amp;D298&amp;"-"&amp;H298&amp;"."&amp;I298&amp;"."&amp;J298)</f>
        <v/>
      </c>
      <c r="B298">
        <f>IF($L298="","",INDEX(Расчет!$A$2:$A$3001,$L298))</f>
        <v/>
      </c>
      <c r="C298">
        <f>IF($L298="","",INDEX(Расчет!$B$2:$B$3001,$L298))</f>
        <v/>
      </c>
      <c r="D298">
        <f>IF($L298="","",IF(ISNUMBER(FIND("(",INDEX(Расчет!$C$2:$C$3001,$L298))),SUBSTITUTE(MID(INDEX(Расчет!$C$2:$C$3001,$L298),FIND("(",INDEX(Расчет!$C$2:$C$3001,$L298))+1,99),")",""),INDEX(Расчет!$C$2:$C$3001,$L298)))</f>
        <v/>
      </c>
      <c r="E298">
        <f>IF($L298="","",INDEX(Расчет!$D$2:$D$3001,$L298))</f>
        <v/>
      </c>
      <c r="F298">
        <f>IF($L298="","",INDEX(Расчет!$E$2:$E$3001,$L298))</f>
        <v/>
      </c>
      <c r="G298">
        <f>IF($L298="","",IFERROR(--LEFT(INDEX(Расчет!$C$2:$C$3001,$L298),FIND("(",INDEX(Расчет!$C$2:$C$3001,$L298))-1),IFERROR(--LEFT(INDEX(Расчет!$C$2:$C$3001,$L298),1),"")))</f>
        <v/>
      </c>
      <c r="H298">
        <f>IF($L298="","",SUMIFS(Расчет!$G$2:$G$3001,Расчет!$I$2:$I$3001,$K298,Расчет!$H$2:$H$3001,1))</f>
        <v/>
      </c>
      <c r="I298">
        <f>IF($L298="","",SUMIFS(Расчет!$G$2:$G$3001,Расчет!$I$2:$I$3001,$K298,Расчет!$H$2:$H$3001,2))</f>
        <v/>
      </c>
      <c r="J298">
        <f>IF($L298="","",SUMIFS(Расчет!$G$2:$G$3001,Расчет!$I$2:$I$3001,$K298,Расчет!$H$2:$H$3001,3))</f>
        <v/>
      </c>
      <c r="K298">
        <f>IF($L298="","",INDEX(Расчет!$I$2:$I$3001,$L298))</f>
        <v/>
      </c>
      <c r="L298">
        <f>IFERROR(MATCH(ROW()-1,Расчет!$J$2:$J$3001,0),"")</f>
        <v/>
      </c>
    </row>
    <row r="299">
      <c r="A299">
        <f>IF($L299="","",B299&amp;"."&amp;C299&amp;"-"&amp;D299&amp;"-"&amp;H299&amp;"."&amp;I299&amp;"."&amp;J299)</f>
        <v/>
      </c>
      <c r="B299">
        <f>IF($L299="","",INDEX(Расчет!$A$2:$A$3001,$L299))</f>
        <v/>
      </c>
      <c r="C299">
        <f>IF($L299="","",INDEX(Расчет!$B$2:$B$3001,$L299))</f>
        <v/>
      </c>
      <c r="D299">
        <f>IF($L299="","",IF(ISNUMBER(FIND("(",INDEX(Расчет!$C$2:$C$3001,$L299))),SUBSTITUTE(MID(INDEX(Расчет!$C$2:$C$3001,$L299),FIND("(",INDEX(Расчет!$C$2:$C$3001,$L299))+1,99),")",""),INDEX(Расчет!$C$2:$C$3001,$L299)))</f>
        <v/>
      </c>
      <c r="E299">
        <f>IF($L299="","",INDEX(Расчет!$D$2:$D$3001,$L299))</f>
        <v/>
      </c>
      <c r="F299">
        <f>IF($L299="","",INDEX(Расчет!$E$2:$E$3001,$L299))</f>
        <v/>
      </c>
      <c r="G299">
        <f>IF($L299="","",IFERROR(--LEFT(INDEX(Расчет!$C$2:$C$3001,$L299),FIND("(",INDEX(Расчет!$C$2:$C$3001,$L299))-1),IFERROR(--LEFT(INDEX(Расчет!$C$2:$C$3001,$L299),1),"")))</f>
        <v/>
      </c>
      <c r="H299">
        <f>IF($L299="","",SUMIFS(Расчет!$G$2:$G$3001,Расчет!$I$2:$I$3001,$K299,Расчет!$H$2:$H$3001,1))</f>
        <v/>
      </c>
      <c r="I299">
        <f>IF($L299="","",SUMIFS(Расчет!$G$2:$G$3001,Расчет!$I$2:$I$3001,$K299,Расчет!$H$2:$H$3001,2))</f>
        <v/>
      </c>
      <c r="J299">
        <f>IF($L299="","",SUMIFS(Расчет!$G$2:$G$3001,Расчет!$I$2:$I$3001,$K299,Расчет!$H$2:$H$3001,3))</f>
        <v/>
      </c>
      <c r="K299">
        <f>IF($L299="","",INDEX(Расчет!$I$2:$I$3001,$L299))</f>
        <v/>
      </c>
      <c r="L299">
        <f>IFERROR(MATCH(ROW()-1,Расчет!$J$2:$J$3001,0),"")</f>
        <v/>
      </c>
    </row>
    <row r="300">
      <c r="A300">
        <f>IF($L300="","",B300&amp;"."&amp;C300&amp;"-"&amp;D300&amp;"-"&amp;H300&amp;"."&amp;I300&amp;"."&amp;J300)</f>
        <v/>
      </c>
      <c r="B300">
        <f>IF($L300="","",INDEX(Расчет!$A$2:$A$3001,$L300))</f>
        <v/>
      </c>
      <c r="C300">
        <f>IF($L300="","",INDEX(Расчет!$B$2:$B$3001,$L300))</f>
        <v/>
      </c>
      <c r="D300">
        <f>IF($L300="","",IF(ISNUMBER(FIND("(",INDEX(Расчет!$C$2:$C$3001,$L300))),SUBSTITUTE(MID(INDEX(Расчет!$C$2:$C$3001,$L300),FIND("(",INDEX(Расчет!$C$2:$C$3001,$L300))+1,99),")",""),INDEX(Расчет!$C$2:$C$3001,$L300)))</f>
        <v/>
      </c>
      <c r="E300">
        <f>IF($L300="","",INDEX(Расчет!$D$2:$D$3001,$L300))</f>
        <v/>
      </c>
      <c r="F300">
        <f>IF($L300="","",INDEX(Расчет!$E$2:$E$3001,$L300))</f>
        <v/>
      </c>
      <c r="G300">
        <f>IF($L300="","",IFERROR(--LEFT(INDEX(Расчет!$C$2:$C$3001,$L300),FIND("(",INDEX(Расчет!$C$2:$C$3001,$L300))-1),IFERROR(--LEFT(INDEX(Расчет!$C$2:$C$3001,$L300),1),"")))</f>
        <v/>
      </c>
      <c r="H300">
        <f>IF($L300="","",SUMIFS(Расчет!$G$2:$G$3001,Расчет!$I$2:$I$3001,$K300,Расчет!$H$2:$H$3001,1))</f>
        <v/>
      </c>
      <c r="I300">
        <f>IF($L300="","",SUMIFS(Расчет!$G$2:$G$3001,Расчет!$I$2:$I$3001,$K300,Расчет!$H$2:$H$3001,2))</f>
        <v/>
      </c>
      <c r="J300">
        <f>IF($L300="","",SUMIFS(Расчет!$G$2:$G$3001,Расчет!$I$2:$I$3001,$K300,Расчет!$H$2:$H$3001,3))</f>
        <v/>
      </c>
      <c r="K300">
        <f>IF($L300="","",INDEX(Расчет!$I$2:$I$3001,$L300))</f>
        <v/>
      </c>
      <c r="L300">
        <f>IFERROR(MATCH(ROW()-1,Расчет!$J$2:$J$3001,0),"")</f>
        <v/>
      </c>
    </row>
    <row r="301">
      <c r="A301">
        <f>IF($L301="","",B301&amp;"."&amp;C301&amp;"-"&amp;D301&amp;"-"&amp;H301&amp;"."&amp;I301&amp;"."&amp;J301)</f>
        <v/>
      </c>
      <c r="B301">
        <f>IF($L301="","",INDEX(Расчет!$A$2:$A$3001,$L301))</f>
        <v/>
      </c>
      <c r="C301">
        <f>IF($L301="","",INDEX(Расчет!$B$2:$B$3001,$L301))</f>
        <v/>
      </c>
      <c r="D301">
        <f>IF($L301="","",IF(ISNUMBER(FIND("(",INDEX(Расчет!$C$2:$C$3001,$L301))),SUBSTITUTE(MID(INDEX(Расчет!$C$2:$C$3001,$L301),FIND("(",INDEX(Расчет!$C$2:$C$3001,$L301))+1,99),")",""),INDEX(Расчет!$C$2:$C$3001,$L301)))</f>
        <v/>
      </c>
      <c r="E301">
        <f>IF($L301="","",INDEX(Расчет!$D$2:$D$3001,$L301))</f>
        <v/>
      </c>
      <c r="F301">
        <f>IF($L301="","",INDEX(Расчет!$E$2:$E$3001,$L301))</f>
        <v/>
      </c>
      <c r="G301">
        <f>IF($L301="","",IFERROR(--LEFT(INDEX(Расчет!$C$2:$C$3001,$L301),FIND("(",INDEX(Расчет!$C$2:$C$3001,$L301))-1),IFERROR(--LEFT(INDEX(Расчет!$C$2:$C$3001,$L301),1),"")))</f>
        <v/>
      </c>
      <c r="H301">
        <f>IF($L301="","",SUMIFS(Расчет!$G$2:$G$3001,Расчет!$I$2:$I$3001,$K301,Расчет!$H$2:$H$3001,1))</f>
        <v/>
      </c>
      <c r="I301">
        <f>IF($L301="","",SUMIFS(Расчет!$G$2:$G$3001,Расчет!$I$2:$I$3001,$K301,Расчет!$H$2:$H$3001,2))</f>
        <v/>
      </c>
      <c r="J301">
        <f>IF($L301="","",SUMIFS(Расчет!$G$2:$G$3001,Расчет!$I$2:$I$3001,$K301,Расчет!$H$2:$H$3001,3))</f>
        <v/>
      </c>
      <c r="K301">
        <f>IF($L301="","",INDEX(Расчет!$I$2:$I$3001,$L301))</f>
        <v/>
      </c>
      <c r="L301">
        <f>IFERROR(MATCH(ROW()-1,Расчет!$J$2:$J$3001,0),"")</f>
        <v/>
      </c>
    </row>
    <row r="302">
      <c r="A302">
        <f>IF($L302="","",B302&amp;"."&amp;C302&amp;"-"&amp;D302&amp;"-"&amp;H302&amp;"."&amp;I302&amp;"."&amp;J302)</f>
        <v/>
      </c>
      <c r="B302">
        <f>IF($L302="","",INDEX(Расчет!$A$2:$A$3001,$L302))</f>
        <v/>
      </c>
      <c r="C302">
        <f>IF($L302="","",INDEX(Расчет!$B$2:$B$3001,$L302))</f>
        <v/>
      </c>
      <c r="D302">
        <f>IF($L302="","",IF(ISNUMBER(FIND("(",INDEX(Расчет!$C$2:$C$3001,$L302))),SUBSTITUTE(MID(INDEX(Расчет!$C$2:$C$3001,$L302),FIND("(",INDEX(Расчет!$C$2:$C$3001,$L302))+1,99),")",""),INDEX(Расчет!$C$2:$C$3001,$L302)))</f>
        <v/>
      </c>
      <c r="E302">
        <f>IF($L302="","",INDEX(Расчет!$D$2:$D$3001,$L302))</f>
        <v/>
      </c>
      <c r="F302">
        <f>IF($L302="","",INDEX(Расчет!$E$2:$E$3001,$L302))</f>
        <v/>
      </c>
      <c r="G302">
        <f>IF($L302="","",IFERROR(--LEFT(INDEX(Расчет!$C$2:$C$3001,$L302),FIND("(",INDEX(Расчет!$C$2:$C$3001,$L302))-1),IFERROR(--LEFT(INDEX(Расчет!$C$2:$C$3001,$L302),1),"")))</f>
        <v/>
      </c>
      <c r="H302">
        <f>IF($L302="","",SUMIFS(Расчет!$G$2:$G$3001,Расчет!$I$2:$I$3001,$K302,Расчет!$H$2:$H$3001,1))</f>
        <v/>
      </c>
      <c r="I302">
        <f>IF($L302="","",SUMIFS(Расчет!$G$2:$G$3001,Расчет!$I$2:$I$3001,$K302,Расчет!$H$2:$H$3001,2))</f>
        <v/>
      </c>
      <c r="J302">
        <f>IF($L302="","",SUMIFS(Расчет!$G$2:$G$3001,Расчет!$I$2:$I$3001,$K302,Расчет!$H$2:$H$3001,3))</f>
        <v/>
      </c>
      <c r="K302">
        <f>IF($L302="","",INDEX(Расчет!$I$2:$I$3001,$L302))</f>
        <v/>
      </c>
      <c r="L302">
        <f>IFERROR(MATCH(ROW()-1,Расчет!$J$2:$J$3001,0),"")</f>
        <v/>
      </c>
    </row>
    <row r="303">
      <c r="A303">
        <f>IF($L303="","",B303&amp;"."&amp;C303&amp;"-"&amp;D303&amp;"-"&amp;H303&amp;"."&amp;I303&amp;"."&amp;J303)</f>
        <v/>
      </c>
      <c r="B303">
        <f>IF($L303="","",INDEX(Расчет!$A$2:$A$3001,$L303))</f>
        <v/>
      </c>
      <c r="C303">
        <f>IF($L303="","",INDEX(Расчет!$B$2:$B$3001,$L303))</f>
        <v/>
      </c>
      <c r="D303">
        <f>IF($L303="","",IF(ISNUMBER(FIND("(",INDEX(Расчет!$C$2:$C$3001,$L303))),SUBSTITUTE(MID(INDEX(Расчет!$C$2:$C$3001,$L303),FIND("(",INDEX(Расчет!$C$2:$C$3001,$L303))+1,99),")",""),INDEX(Расчет!$C$2:$C$3001,$L303)))</f>
        <v/>
      </c>
      <c r="E303">
        <f>IF($L303="","",INDEX(Расчет!$D$2:$D$3001,$L303))</f>
        <v/>
      </c>
      <c r="F303">
        <f>IF($L303="","",INDEX(Расчет!$E$2:$E$3001,$L303))</f>
        <v/>
      </c>
      <c r="G303">
        <f>IF($L303="","",IFERROR(--LEFT(INDEX(Расчет!$C$2:$C$3001,$L303),FIND("(",INDEX(Расчет!$C$2:$C$3001,$L303))-1),IFERROR(--LEFT(INDEX(Расчет!$C$2:$C$3001,$L303),1),"")))</f>
        <v/>
      </c>
      <c r="H303">
        <f>IF($L303="","",SUMIFS(Расчет!$G$2:$G$3001,Расчет!$I$2:$I$3001,$K303,Расчет!$H$2:$H$3001,1))</f>
        <v/>
      </c>
      <c r="I303">
        <f>IF($L303="","",SUMIFS(Расчет!$G$2:$G$3001,Расчет!$I$2:$I$3001,$K303,Расчет!$H$2:$H$3001,2))</f>
        <v/>
      </c>
      <c r="J303">
        <f>IF($L303="","",SUMIFS(Расчет!$G$2:$G$3001,Расчет!$I$2:$I$3001,$K303,Расчет!$H$2:$H$3001,3))</f>
        <v/>
      </c>
      <c r="K303">
        <f>IF($L303="","",INDEX(Расчет!$I$2:$I$3001,$L303))</f>
        <v/>
      </c>
      <c r="L303">
        <f>IFERROR(MATCH(ROW()-1,Расчет!$J$2:$J$3001,0),"")</f>
        <v/>
      </c>
    </row>
    <row r="304">
      <c r="A304">
        <f>IF($L304="","",B304&amp;"."&amp;C304&amp;"-"&amp;D304&amp;"-"&amp;H304&amp;"."&amp;I304&amp;"."&amp;J304)</f>
        <v/>
      </c>
      <c r="B304">
        <f>IF($L304="","",INDEX(Расчет!$A$2:$A$3001,$L304))</f>
        <v/>
      </c>
      <c r="C304">
        <f>IF($L304="","",INDEX(Расчет!$B$2:$B$3001,$L304))</f>
        <v/>
      </c>
      <c r="D304">
        <f>IF($L304="","",IF(ISNUMBER(FIND("(",INDEX(Расчет!$C$2:$C$3001,$L304))),SUBSTITUTE(MID(INDEX(Расчет!$C$2:$C$3001,$L304),FIND("(",INDEX(Расчет!$C$2:$C$3001,$L304))+1,99),")",""),INDEX(Расчет!$C$2:$C$3001,$L304)))</f>
        <v/>
      </c>
      <c r="E304">
        <f>IF($L304="","",INDEX(Расчет!$D$2:$D$3001,$L304))</f>
        <v/>
      </c>
      <c r="F304">
        <f>IF($L304="","",INDEX(Расчет!$E$2:$E$3001,$L304))</f>
        <v/>
      </c>
      <c r="G304">
        <f>IF($L304="","",IFERROR(--LEFT(INDEX(Расчет!$C$2:$C$3001,$L304),FIND("(",INDEX(Расчет!$C$2:$C$3001,$L304))-1),IFERROR(--LEFT(INDEX(Расчет!$C$2:$C$3001,$L304),1),"")))</f>
        <v/>
      </c>
      <c r="H304">
        <f>IF($L304="","",SUMIFS(Расчет!$G$2:$G$3001,Расчет!$I$2:$I$3001,$K304,Расчет!$H$2:$H$3001,1))</f>
        <v/>
      </c>
      <c r="I304">
        <f>IF($L304="","",SUMIFS(Расчет!$G$2:$G$3001,Расчет!$I$2:$I$3001,$K304,Расчет!$H$2:$H$3001,2))</f>
        <v/>
      </c>
      <c r="J304">
        <f>IF($L304="","",SUMIFS(Расчет!$G$2:$G$3001,Расчет!$I$2:$I$3001,$K304,Расчет!$H$2:$H$3001,3))</f>
        <v/>
      </c>
      <c r="K304">
        <f>IF($L304="","",INDEX(Расчет!$I$2:$I$3001,$L304))</f>
        <v/>
      </c>
      <c r="L304">
        <f>IFERROR(MATCH(ROW()-1,Расчет!$J$2:$J$3001,0),"")</f>
        <v/>
      </c>
    </row>
    <row r="305">
      <c r="A305">
        <f>IF($L305="","",B305&amp;"."&amp;C305&amp;"-"&amp;D305&amp;"-"&amp;H305&amp;"."&amp;I305&amp;"."&amp;J305)</f>
        <v/>
      </c>
      <c r="B305">
        <f>IF($L305="","",INDEX(Расчет!$A$2:$A$3001,$L305))</f>
        <v/>
      </c>
      <c r="C305">
        <f>IF($L305="","",INDEX(Расчет!$B$2:$B$3001,$L305))</f>
        <v/>
      </c>
      <c r="D305">
        <f>IF($L305="","",IF(ISNUMBER(FIND("(",INDEX(Расчет!$C$2:$C$3001,$L305))),SUBSTITUTE(MID(INDEX(Расчет!$C$2:$C$3001,$L305),FIND("(",INDEX(Расчет!$C$2:$C$3001,$L305))+1,99),")",""),INDEX(Расчет!$C$2:$C$3001,$L305)))</f>
        <v/>
      </c>
      <c r="E305">
        <f>IF($L305="","",INDEX(Расчет!$D$2:$D$3001,$L305))</f>
        <v/>
      </c>
      <c r="F305">
        <f>IF($L305="","",INDEX(Расчет!$E$2:$E$3001,$L305))</f>
        <v/>
      </c>
      <c r="G305">
        <f>IF($L305="","",IFERROR(--LEFT(INDEX(Расчет!$C$2:$C$3001,$L305),FIND("(",INDEX(Расчет!$C$2:$C$3001,$L305))-1),IFERROR(--LEFT(INDEX(Расчет!$C$2:$C$3001,$L305),1),"")))</f>
        <v/>
      </c>
      <c r="H305">
        <f>IF($L305="","",SUMIFS(Расчет!$G$2:$G$3001,Расчет!$I$2:$I$3001,$K305,Расчет!$H$2:$H$3001,1))</f>
        <v/>
      </c>
      <c r="I305">
        <f>IF($L305="","",SUMIFS(Расчет!$G$2:$G$3001,Расчет!$I$2:$I$3001,$K305,Расчет!$H$2:$H$3001,2))</f>
        <v/>
      </c>
      <c r="J305">
        <f>IF($L305="","",SUMIFS(Расчет!$G$2:$G$3001,Расчет!$I$2:$I$3001,$K305,Расчет!$H$2:$H$3001,3))</f>
        <v/>
      </c>
      <c r="K305">
        <f>IF($L305="","",INDEX(Расчет!$I$2:$I$3001,$L305))</f>
        <v/>
      </c>
      <c r="L305">
        <f>IFERROR(MATCH(ROW()-1,Расчет!$J$2:$J$3001,0),"")</f>
        <v/>
      </c>
    </row>
    <row r="306">
      <c r="A306">
        <f>IF($L306="","",B306&amp;"."&amp;C306&amp;"-"&amp;D306&amp;"-"&amp;H306&amp;"."&amp;I306&amp;"."&amp;J306)</f>
        <v/>
      </c>
      <c r="B306">
        <f>IF($L306="","",INDEX(Расчет!$A$2:$A$3001,$L306))</f>
        <v/>
      </c>
      <c r="C306">
        <f>IF($L306="","",INDEX(Расчет!$B$2:$B$3001,$L306))</f>
        <v/>
      </c>
      <c r="D306">
        <f>IF($L306="","",IF(ISNUMBER(FIND("(",INDEX(Расчет!$C$2:$C$3001,$L306))),SUBSTITUTE(MID(INDEX(Расчет!$C$2:$C$3001,$L306),FIND("(",INDEX(Расчет!$C$2:$C$3001,$L306))+1,99),")",""),INDEX(Расчет!$C$2:$C$3001,$L306)))</f>
        <v/>
      </c>
      <c r="E306">
        <f>IF($L306="","",INDEX(Расчет!$D$2:$D$3001,$L306))</f>
        <v/>
      </c>
      <c r="F306">
        <f>IF($L306="","",INDEX(Расчет!$E$2:$E$3001,$L306))</f>
        <v/>
      </c>
      <c r="G306">
        <f>IF($L306="","",IFERROR(--LEFT(INDEX(Расчет!$C$2:$C$3001,$L306),FIND("(",INDEX(Расчет!$C$2:$C$3001,$L306))-1),IFERROR(--LEFT(INDEX(Расчет!$C$2:$C$3001,$L306),1),"")))</f>
        <v/>
      </c>
      <c r="H306">
        <f>IF($L306="","",SUMIFS(Расчет!$G$2:$G$3001,Расчет!$I$2:$I$3001,$K306,Расчет!$H$2:$H$3001,1))</f>
        <v/>
      </c>
      <c r="I306">
        <f>IF($L306="","",SUMIFS(Расчет!$G$2:$G$3001,Расчет!$I$2:$I$3001,$K306,Расчет!$H$2:$H$3001,2))</f>
        <v/>
      </c>
      <c r="J306">
        <f>IF($L306="","",SUMIFS(Расчет!$G$2:$G$3001,Расчет!$I$2:$I$3001,$K306,Расчет!$H$2:$H$3001,3))</f>
        <v/>
      </c>
      <c r="K306">
        <f>IF($L306="","",INDEX(Расчет!$I$2:$I$3001,$L306))</f>
        <v/>
      </c>
      <c r="L306">
        <f>IFERROR(MATCH(ROW()-1,Расчет!$J$2:$J$3001,0),"")</f>
        <v/>
      </c>
    </row>
    <row r="307">
      <c r="A307">
        <f>IF($L307="","",B307&amp;"."&amp;C307&amp;"-"&amp;D307&amp;"-"&amp;H307&amp;"."&amp;I307&amp;"."&amp;J307)</f>
        <v/>
      </c>
      <c r="B307">
        <f>IF($L307="","",INDEX(Расчет!$A$2:$A$3001,$L307))</f>
        <v/>
      </c>
      <c r="C307">
        <f>IF($L307="","",INDEX(Расчет!$B$2:$B$3001,$L307))</f>
        <v/>
      </c>
      <c r="D307">
        <f>IF($L307="","",IF(ISNUMBER(FIND("(",INDEX(Расчет!$C$2:$C$3001,$L307))),SUBSTITUTE(MID(INDEX(Расчет!$C$2:$C$3001,$L307),FIND("(",INDEX(Расчет!$C$2:$C$3001,$L307))+1,99),")",""),INDEX(Расчет!$C$2:$C$3001,$L307)))</f>
        <v/>
      </c>
      <c r="E307">
        <f>IF($L307="","",INDEX(Расчет!$D$2:$D$3001,$L307))</f>
        <v/>
      </c>
      <c r="F307">
        <f>IF($L307="","",INDEX(Расчет!$E$2:$E$3001,$L307))</f>
        <v/>
      </c>
      <c r="G307">
        <f>IF($L307="","",IFERROR(--LEFT(INDEX(Расчет!$C$2:$C$3001,$L307),FIND("(",INDEX(Расчет!$C$2:$C$3001,$L307))-1),IFERROR(--LEFT(INDEX(Расчет!$C$2:$C$3001,$L307),1),"")))</f>
        <v/>
      </c>
      <c r="H307">
        <f>IF($L307="","",SUMIFS(Расчет!$G$2:$G$3001,Расчет!$I$2:$I$3001,$K307,Расчет!$H$2:$H$3001,1))</f>
        <v/>
      </c>
      <c r="I307">
        <f>IF($L307="","",SUMIFS(Расчет!$G$2:$G$3001,Расчет!$I$2:$I$3001,$K307,Расчет!$H$2:$H$3001,2))</f>
        <v/>
      </c>
      <c r="J307">
        <f>IF($L307="","",SUMIFS(Расчет!$G$2:$G$3001,Расчет!$I$2:$I$3001,$K307,Расчет!$H$2:$H$3001,3))</f>
        <v/>
      </c>
      <c r="K307">
        <f>IF($L307="","",INDEX(Расчет!$I$2:$I$3001,$L307))</f>
        <v/>
      </c>
      <c r="L307">
        <f>IFERROR(MATCH(ROW()-1,Расчет!$J$2:$J$3001,0),"")</f>
        <v/>
      </c>
    </row>
    <row r="308">
      <c r="A308">
        <f>IF($L308="","",B308&amp;"."&amp;C308&amp;"-"&amp;D308&amp;"-"&amp;H308&amp;"."&amp;I308&amp;"."&amp;J308)</f>
        <v/>
      </c>
      <c r="B308">
        <f>IF($L308="","",INDEX(Расчет!$A$2:$A$3001,$L308))</f>
        <v/>
      </c>
      <c r="C308">
        <f>IF($L308="","",INDEX(Расчет!$B$2:$B$3001,$L308))</f>
        <v/>
      </c>
      <c r="D308">
        <f>IF($L308="","",IF(ISNUMBER(FIND("(",INDEX(Расчет!$C$2:$C$3001,$L308))),SUBSTITUTE(MID(INDEX(Расчет!$C$2:$C$3001,$L308),FIND("(",INDEX(Расчет!$C$2:$C$3001,$L308))+1,99),")",""),INDEX(Расчет!$C$2:$C$3001,$L308)))</f>
        <v/>
      </c>
      <c r="E308">
        <f>IF($L308="","",INDEX(Расчет!$D$2:$D$3001,$L308))</f>
        <v/>
      </c>
      <c r="F308">
        <f>IF($L308="","",INDEX(Расчет!$E$2:$E$3001,$L308))</f>
        <v/>
      </c>
      <c r="G308">
        <f>IF($L308="","",IFERROR(--LEFT(INDEX(Расчет!$C$2:$C$3001,$L308),FIND("(",INDEX(Расчет!$C$2:$C$3001,$L308))-1),IFERROR(--LEFT(INDEX(Расчет!$C$2:$C$3001,$L308),1),"")))</f>
        <v/>
      </c>
      <c r="H308">
        <f>IF($L308="","",SUMIFS(Расчет!$G$2:$G$3001,Расчет!$I$2:$I$3001,$K308,Расчет!$H$2:$H$3001,1))</f>
        <v/>
      </c>
      <c r="I308">
        <f>IF($L308="","",SUMIFS(Расчет!$G$2:$G$3001,Расчет!$I$2:$I$3001,$K308,Расчет!$H$2:$H$3001,2))</f>
        <v/>
      </c>
      <c r="J308">
        <f>IF($L308="","",SUMIFS(Расчет!$G$2:$G$3001,Расчет!$I$2:$I$3001,$K308,Расчет!$H$2:$H$3001,3))</f>
        <v/>
      </c>
      <c r="K308">
        <f>IF($L308="","",INDEX(Расчет!$I$2:$I$3001,$L308))</f>
        <v/>
      </c>
      <c r="L308">
        <f>IFERROR(MATCH(ROW()-1,Расчет!$J$2:$J$3001,0),"")</f>
        <v/>
      </c>
    </row>
    <row r="309">
      <c r="A309">
        <f>IF($L309="","",B309&amp;"."&amp;C309&amp;"-"&amp;D309&amp;"-"&amp;H309&amp;"."&amp;I309&amp;"."&amp;J309)</f>
        <v/>
      </c>
      <c r="B309">
        <f>IF($L309="","",INDEX(Расчет!$A$2:$A$3001,$L309))</f>
        <v/>
      </c>
      <c r="C309">
        <f>IF($L309="","",INDEX(Расчет!$B$2:$B$3001,$L309))</f>
        <v/>
      </c>
      <c r="D309">
        <f>IF($L309="","",IF(ISNUMBER(FIND("(",INDEX(Расчет!$C$2:$C$3001,$L309))),SUBSTITUTE(MID(INDEX(Расчет!$C$2:$C$3001,$L309),FIND("(",INDEX(Расчет!$C$2:$C$3001,$L309))+1,99),")",""),INDEX(Расчет!$C$2:$C$3001,$L309)))</f>
        <v/>
      </c>
      <c r="E309">
        <f>IF($L309="","",INDEX(Расчет!$D$2:$D$3001,$L309))</f>
        <v/>
      </c>
      <c r="F309">
        <f>IF($L309="","",INDEX(Расчет!$E$2:$E$3001,$L309))</f>
        <v/>
      </c>
      <c r="G309">
        <f>IF($L309="","",IFERROR(--LEFT(INDEX(Расчет!$C$2:$C$3001,$L309),FIND("(",INDEX(Расчет!$C$2:$C$3001,$L309))-1),IFERROR(--LEFT(INDEX(Расчет!$C$2:$C$3001,$L309),1),"")))</f>
        <v/>
      </c>
      <c r="H309">
        <f>IF($L309="","",SUMIFS(Расчет!$G$2:$G$3001,Расчет!$I$2:$I$3001,$K309,Расчет!$H$2:$H$3001,1))</f>
        <v/>
      </c>
      <c r="I309">
        <f>IF($L309="","",SUMIFS(Расчет!$G$2:$G$3001,Расчет!$I$2:$I$3001,$K309,Расчет!$H$2:$H$3001,2))</f>
        <v/>
      </c>
      <c r="J309">
        <f>IF($L309="","",SUMIFS(Расчет!$G$2:$G$3001,Расчет!$I$2:$I$3001,$K309,Расчет!$H$2:$H$3001,3))</f>
        <v/>
      </c>
      <c r="K309">
        <f>IF($L309="","",INDEX(Расчет!$I$2:$I$3001,$L309))</f>
        <v/>
      </c>
      <c r="L309">
        <f>IFERROR(MATCH(ROW()-1,Расчет!$J$2:$J$3001,0),"")</f>
        <v/>
      </c>
    </row>
    <row r="310">
      <c r="A310">
        <f>IF($L310="","",B310&amp;"."&amp;C310&amp;"-"&amp;D310&amp;"-"&amp;H310&amp;"."&amp;I310&amp;"."&amp;J310)</f>
        <v/>
      </c>
      <c r="B310">
        <f>IF($L310="","",INDEX(Расчет!$A$2:$A$3001,$L310))</f>
        <v/>
      </c>
      <c r="C310">
        <f>IF($L310="","",INDEX(Расчет!$B$2:$B$3001,$L310))</f>
        <v/>
      </c>
      <c r="D310">
        <f>IF($L310="","",IF(ISNUMBER(FIND("(",INDEX(Расчет!$C$2:$C$3001,$L310))),SUBSTITUTE(MID(INDEX(Расчет!$C$2:$C$3001,$L310),FIND("(",INDEX(Расчет!$C$2:$C$3001,$L310))+1,99),")",""),INDEX(Расчет!$C$2:$C$3001,$L310)))</f>
        <v/>
      </c>
      <c r="E310">
        <f>IF($L310="","",INDEX(Расчет!$D$2:$D$3001,$L310))</f>
        <v/>
      </c>
      <c r="F310">
        <f>IF($L310="","",INDEX(Расчет!$E$2:$E$3001,$L310))</f>
        <v/>
      </c>
      <c r="G310">
        <f>IF($L310="","",IFERROR(--LEFT(INDEX(Расчет!$C$2:$C$3001,$L310),FIND("(",INDEX(Расчет!$C$2:$C$3001,$L310))-1),IFERROR(--LEFT(INDEX(Расчет!$C$2:$C$3001,$L310),1),"")))</f>
        <v/>
      </c>
      <c r="H310">
        <f>IF($L310="","",SUMIFS(Расчет!$G$2:$G$3001,Расчет!$I$2:$I$3001,$K310,Расчет!$H$2:$H$3001,1))</f>
        <v/>
      </c>
      <c r="I310">
        <f>IF($L310="","",SUMIFS(Расчет!$G$2:$G$3001,Расчет!$I$2:$I$3001,$K310,Расчет!$H$2:$H$3001,2))</f>
        <v/>
      </c>
      <c r="J310">
        <f>IF($L310="","",SUMIFS(Расчет!$G$2:$G$3001,Расчет!$I$2:$I$3001,$K310,Расчет!$H$2:$H$3001,3))</f>
        <v/>
      </c>
      <c r="K310">
        <f>IF($L310="","",INDEX(Расчет!$I$2:$I$3001,$L310))</f>
        <v/>
      </c>
      <c r="L310">
        <f>IFERROR(MATCH(ROW()-1,Расчет!$J$2:$J$3001,0),"")</f>
        <v/>
      </c>
    </row>
    <row r="311">
      <c r="A311">
        <f>IF($L311="","",B311&amp;"."&amp;C311&amp;"-"&amp;D311&amp;"-"&amp;H311&amp;"."&amp;I311&amp;"."&amp;J311)</f>
        <v/>
      </c>
      <c r="B311">
        <f>IF($L311="","",INDEX(Расчет!$A$2:$A$3001,$L311))</f>
        <v/>
      </c>
      <c r="C311">
        <f>IF($L311="","",INDEX(Расчет!$B$2:$B$3001,$L311))</f>
        <v/>
      </c>
      <c r="D311">
        <f>IF($L311="","",IF(ISNUMBER(FIND("(",INDEX(Расчет!$C$2:$C$3001,$L311))),SUBSTITUTE(MID(INDEX(Расчет!$C$2:$C$3001,$L311),FIND("(",INDEX(Расчет!$C$2:$C$3001,$L311))+1,99),")",""),INDEX(Расчет!$C$2:$C$3001,$L311)))</f>
        <v/>
      </c>
      <c r="E311">
        <f>IF($L311="","",INDEX(Расчет!$D$2:$D$3001,$L311))</f>
        <v/>
      </c>
      <c r="F311">
        <f>IF($L311="","",INDEX(Расчет!$E$2:$E$3001,$L311))</f>
        <v/>
      </c>
      <c r="G311">
        <f>IF($L311="","",IFERROR(--LEFT(INDEX(Расчет!$C$2:$C$3001,$L311),FIND("(",INDEX(Расчет!$C$2:$C$3001,$L311))-1),IFERROR(--LEFT(INDEX(Расчет!$C$2:$C$3001,$L311),1),"")))</f>
        <v/>
      </c>
      <c r="H311">
        <f>IF($L311="","",SUMIFS(Расчет!$G$2:$G$3001,Расчет!$I$2:$I$3001,$K311,Расчет!$H$2:$H$3001,1))</f>
        <v/>
      </c>
      <c r="I311">
        <f>IF($L311="","",SUMIFS(Расчет!$G$2:$G$3001,Расчет!$I$2:$I$3001,$K311,Расчет!$H$2:$H$3001,2))</f>
        <v/>
      </c>
      <c r="J311">
        <f>IF($L311="","",SUMIFS(Расчет!$G$2:$G$3001,Расчет!$I$2:$I$3001,$K311,Расчет!$H$2:$H$3001,3))</f>
        <v/>
      </c>
      <c r="K311">
        <f>IF($L311="","",INDEX(Расчет!$I$2:$I$3001,$L311))</f>
        <v/>
      </c>
      <c r="L311">
        <f>IFERROR(MATCH(ROW()-1,Расчет!$J$2:$J$3001,0),"")</f>
        <v/>
      </c>
    </row>
    <row r="312">
      <c r="A312">
        <f>IF($L312="","",B312&amp;"."&amp;C312&amp;"-"&amp;D312&amp;"-"&amp;H312&amp;"."&amp;I312&amp;"."&amp;J312)</f>
        <v/>
      </c>
      <c r="B312">
        <f>IF($L312="","",INDEX(Расчет!$A$2:$A$3001,$L312))</f>
        <v/>
      </c>
      <c r="C312">
        <f>IF($L312="","",INDEX(Расчет!$B$2:$B$3001,$L312))</f>
        <v/>
      </c>
      <c r="D312">
        <f>IF($L312="","",IF(ISNUMBER(FIND("(",INDEX(Расчет!$C$2:$C$3001,$L312))),SUBSTITUTE(MID(INDEX(Расчет!$C$2:$C$3001,$L312),FIND("(",INDEX(Расчет!$C$2:$C$3001,$L312))+1,99),")",""),INDEX(Расчет!$C$2:$C$3001,$L312)))</f>
        <v/>
      </c>
      <c r="E312">
        <f>IF($L312="","",INDEX(Расчет!$D$2:$D$3001,$L312))</f>
        <v/>
      </c>
      <c r="F312">
        <f>IF($L312="","",INDEX(Расчет!$E$2:$E$3001,$L312))</f>
        <v/>
      </c>
      <c r="G312">
        <f>IF($L312="","",IFERROR(--LEFT(INDEX(Расчет!$C$2:$C$3001,$L312),FIND("(",INDEX(Расчет!$C$2:$C$3001,$L312))-1),IFERROR(--LEFT(INDEX(Расчет!$C$2:$C$3001,$L312),1),"")))</f>
        <v/>
      </c>
      <c r="H312">
        <f>IF($L312="","",SUMIFS(Расчет!$G$2:$G$3001,Расчет!$I$2:$I$3001,$K312,Расчет!$H$2:$H$3001,1))</f>
        <v/>
      </c>
      <c r="I312">
        <f>IF($L312="","",SUMIFS(Расчет!$G$2:$G$3001,Расчет!$I$2:$I$3001,$K312,Расчет!$H$2:$H$3001,2))</f>
        <v/>
      </c>
      <c r="J312">
        <f>IF($L312="","",SUMIFS(Расчет!$G$2:$G$3001,Расчет!$I$2:$I$3001,$K312,Расчет!$H$2:$H$3001,3))</f>
        <v/>
      </c>
      <c r="K312">
        <f>IF($L312="","",INDEX(Расчет!$I$2:$I$3001,$L312))</f>
        <v/>
      </c>
      <c r="L312">
        <f>IFERROR(MATCH(ROW()-1,Расчет!$J$2:$J$3001,0),"")</f>
        <v/>
      </c>
    </row>
    <row r="313">
      <c r="A313">
        <f>IF($L313="","",B313&amp;"."&amp;C313&amp;"-"&amp;D313&amp;"-"&amp;H313&amp;"."&amp;I313&amp;"."&amp;J313)</f>
        <v/>
      </c>
      <c r="B313">
        <f>IF($L313="","",INDEX(Расчет!$A$2:$A$3001,$L313))</f>
        <v/>
      </c>
      <c r="C313">
        <f>IF($L313="","",INDEX(Расчет!$B$2:$B$3001,$L313))</f>
        <v/>
      </c>
      <c r="D313">
        <f>IF($L313="","",IF(ISNUMBER(FIND("(",INDEX(Расчет!$C$2:$C$3001,$L313))),SUBSTITUTE(MID(INDEX(Расчет!$C$2:$C$3001,$L313),FIND("(",INDEX(Расчет!$C$2:$C$3001,$L313))+1,99),")",""),INDEX(Расчет!$C$2:$C$3001,$L313)))</f>
        <v/>
      </c>
      <c r="E313">
        <f>IF($L313="","",INDEX(Расчет!$D$2:$D$3001,$L313))</f>
        <v/>
      </c>
      <c r="F313">
        <f>IF($L313="","",INDEX(Расчет!$E$2:$E$3001,$L313))</f>
        <v/>
      </c>
      <c r="G313">
        <f>IF($L313="","",IFERROR(--LEFT(INDEX(Расчет!$C$2:$C$3001,$L313),FIND("(",INDEX(Расчет!$C$2:$C$3001,$L313))-1),IFERROR(--LEFT(INDEX(Расчет!$C$2:$C$3001,$L313),1),"")))</f>
        <v/>
      </c>
      <c r="H313">
        <f>IF($L313="","",SUMIFS(Расчет!$G$2:$G$3001,Расчет!$I$2:$I$3001,$K313,Расчет!$H$2:$H$3001,1))</f>
        <v/>
      </c>
      <c r="I313">
        <f>IF($L313="","",SUMIFS(Расчет!$G$2:$G$3001,Расчет!$I$2:$I$3001,$K313,Расчет!$H$2:$H$3001,2))</f>
        <v/>
      </c>
      <c r="J313">
        <f>IF($L313="","",SUMIFS(Расчет!$G$2:$G$3001,Расчет!$I$2:$I$3001,$K313,Расчет!$H$2:$H$3001,3))</f>
        <v/>
      </c>
      <c r="K313">
        <f>IF($L313="","",INDEX(Расчет!$I$2:$I$3001,$L313))</f>
        <v/>
      </c>
      <c r="L313">
        <f>IFERROR(MATCH(ROW()-1,Расчет!$J$2:$J$3001,0),"")</f>
        <v/>
      </c>
    </row>
    <row r="314">
      <c r="A314">
        <f>IF($L314="","",B314&amp;"."&amp;C314&amp;"-"&amp;D314&amp;"-"&amp;H314&amp;"."&amp;I314&amp;"."&amp;J314)</f>
        <v/>
      </c>
      <c r="B314">
        <f>IF($L314="","",INDEX(Расчет!$A$2:$A$3001,$L314))</f>
        <v/>
      </c>
      <c r="C314">
        <f>IF($L314="","",INDEX(Расчет!$B$2:$B$3001,$L314))</f>
        <v/>
      </c>
      <c r="D314">
        <f>IF($L314="","",IF(ISNUMBER(FIND("(",INDEX(Расчет!$C$2:$C$3001,$L314))),SUBSTITUTE(MID(INDEX(Расчет!$C$2:$C$3001,$L314),FIND("(",INDEX(Расчет!$C$2:$C$3001,$L314))+1,99),")",""),INDEX(Расчет!$C$2:$C$3001,$L314)))</f>
        <v/>
      </c>
      <c r="E314">
        <f>IF($L314="","",INDEX(Расчет!$D$2:$D$3001,$L314))</f>
        <v/>
      </c>
      <c r="F314">
        <f>IF($L314="","",INDEX(Расчет!$E$2:$E$3001,$L314))</f>
        <v/>
      </c>
      <c r="G314">
        <f>IF($L314="","",IFERROR(--LEFT(INDEX(Расчет!$C$2:$C$3001,$L314),FIND("(",INDEX(Расчет!$C$2:$C$3001,$L314))-1),IFERROR(--LEFT(INDEX(Расчет!$C$2:$C$3001,$L314),1),"")))</f>
        <v/>
      </c>
      <c r="H314">
        <f>IF($L314="","",SUMIFS(Расчет!$G$2:$G$3001,Расчет!$I$2:$I$3001,$K314,Расчет!$H$2:$H$3001,1))</f>
        <v/>
      </c>
      <c r="I314">
        <f>IF($L314="","",SUMIFS(Расчет!$G$2:$G$3001,Расчет!$I$2:$I$3001,$K314,Расчет!$H$2:$H$3001,2))</f>
        <v/>
      </c>
      <c r="J314">
        <f>IF($L314="","",SUMIFS(Расчет!$G$2:$G$3001,Расчет!$I$2:$I$3001,$K314,Расчет!$H$2:$H$3001,3))</f>
        <v/>
      </c>
      <c r="K314">
        <f>IF($L314="","",INDEX(Расчет!$I$2:$I$3001,$L314))</f>
        <v/>
      </c>
      <c r="L314">
        <f>IFERROR(MATCH(ROW()-1,Расчет!$J$2:$J$3001,0),"")</f>
        <v/>
      </c>
    </row>
    <row r="315">
      <c r="A315">
        <f>IF($L315="","",B315&amp;"."&amp;C315&amp;"-"&amp;D315&amp;"-"&amp;H315&amp;"."&amp;I315&amp;"."&amp;J315)</f>
        <v/>
      </c>
      <c r="B315">
        <f>IF($L315="","",INDEX(Расчет!$A$2:$A$3001,$L315))</f>
        <v/>
      </c>
      <c r="C315">
        <f>IF($L315="","",INDEX(Расчет!$B$2:$B$3001,$L315))</f>
        <v/>
      </c>
      <c r="D315">
        <f>IF($L315="","",IF(ISNUMBER(FIND("(",INDEX(Расчет!$C$2:$C$3001,$L315))),SUBSTITUTE(MID(INDEX(Расчет!$C$2:$C$3001,$L315),FIND("(",INDEX(Расчет!$C$2:$C$3001,$L315))+1,99),")",""),INDEX(Расчет!$C$2:$C$3001,$L315)))</f>
        <v/>
      </c>
      <c r="E315">
        <f>IF($L315="","",INDEX(Расчет!$D$2:$D$3001,$L315))</f>
        <v/>
      </c>
      <c r="F315">
        <f>IF($L315="","",INDEX(Расчет!$E$2:$E$3001,$L315))</f>
        <v/>
      </c>
      <c r="G315">
        <f>IF($L315="","",IFERROR(--LEFT(INDEX(Расчет!$C$2:$C$3001,$L315),FIND("(",INDEX(Расчет!$C$2:$C$3001,$L315))-1),IFERROR(--LEFT(INDEX(Расчет!$C$2:$C$3001,$L315),1),"")))</f>
        <v/>
      </c>
      <c r="H315">
        <f>IF($L315="","",SUMIFS(Расчет!$G$2:$G$3001,Расчет!$I$2:$I$3001,$K315,Расчет!$H$2:$H$3001,1))</f>
        <v/>
      </c>
      <c r="I315">
        <f>IF($L315="","",SUMIFS(Расчет!$G$2:$G$3001,Расчет!$I$2:$I$3001,$K315,Расчет!$H$2:$H$3001,2))</f>
        <v/>
      </c>
      <c r="J315">
        <f>IF($L315="","",SUMIFS(Расчет!$G$2:$G$3001,Расчет!$I$2:$I$3001,$K315,Расчет!$H$2:$H$3001,3))</f>
        <v/>
      </c>
      <c r="K315">
        <f>IF($L315="","",INDEX(Расчет!$I$2:$I$3001,$L315))</f>
        <v/>
      </c>
      <c r="L315">
        <f>IFERROR(MATCH(ROW()-1,Расчет!$J$2:$J$3001,0),"")</f>
        <v/>
      </c>
    </row>
    <row r="316">
      <c r="A316">
        <f>IF($L316="","",B316&amp;"."&amp;C316&amp;"-"&amp;D316&amp;"-"&amp;H316&amp;"."&amp;I316&amp;"."&amp;J316)</f>
        <v/>
      </c>
      <c r="B316">
        <f>IF($L316="","",INDEX(Расчет!$A$2:$A$3001,$L316))</f>
        <v/>
      </c>
      <c r="C316">
        <f>IF($L316="","",INDEX(Расчет!$B$2:$B$3001,$L316))</f>
        <v/>
      </c>
      <c r="D316">
        <f>IF($L316="","",IF(ISNUMBER(FIND("(",INDEX(Расчет!$C$2:$C$3001,$L316))),SUBSTITUTE(MID(INDEX(Расчет!$C$2:$C$3001,$L316),FIND("(",INDEX(Расчет!$C$2:$C$3001,$L316))+1,99),")",""),INDEX(Расчет!$C$2:$C$3001,$L316)))</f>
        <v/>
      </c>
      <c r="E316">
        <f>IF($L316="","",INDEX(Расчет!$D$2:$D$3001,$L316))</f>
        <v/>
      </c>
      <c r="F316">
        <f>IF($L316="","",INDEX(Расчет!$E$2:$E$3001,$L316))</f>
        <v/>
      </c>
      <c r="G316">
        <f>IF($L316="","",IFERROR(--LEFT(INDEX(Расчет!$C$2:$C$3001,$L316),FIND("(",INDEX(Расчет!$C$2:$C$3001,$L316))-1),IFERROR(--LEFT(INDEX(Расчет!$C$2:$C$3001,$L316),1),"")))</f>
        <v/>
      </c>
      <c r="H316">
        <f>IF($L316="","",SUMIFS(Расчет!$G$2:$G$3001,Расчет!$I$2:$I$3001,$K316,Расчет!$H$2:$H$3001,1))</f>
        <v/>
      </c>
      <c r="I316">
        <f>IF($L316="","",SUMIFS(Расчет!$G$2:$G$3001,Расчет!$I$2:$I$3001,$K316,Расчет!$H$2:$H$3001,2))</f>
        <v/>
      </c>
      <c r="J316">
        <f>IF($L316="","",SUMIFS(Расчет!$G$2:$G$3001,Расчет!$I$2:$I$3001,$K316,Расчет!$H$2:$H$3001,3))</f>
        <v/>
      </c>
      <c r="K316">
        <f>IF($L316="","",INDEX(Расчет!$I$2:$I$3001,$L316))</f>
        <v/>
      </c>
      <c r="L316">
        <f>IFERROR(MATCH(ROW()-1,Расчет!$J$2:$J$3001,0),"")</f>
        <v/>
      </c>
    </row>
    <row r="317">
      <c r="A317">
        <f>IF($L317="","",B317&amp;"."&amp;C317&amp;"-"&amp;D317&amp;"-"&amp;H317&amp;"."&amp;I317&amp;"."&amp;J317)</f>
        <v/>
      </c>
      <c r="B317">
        <f>IF($L317="","",INDEX(Расчет!$A$2:$A$3001,$L317))</f>
        <v/>
      </c>
      <c r="C317">
        <f>IF($L317="","",INDEX(Расчет!$B$2:$B$3001,$L317))</f>
        <v/>
      </c>
      <c r="D317">
        <f>IF($L317="","",IF(ISNUMBER(FIND("(",INDEX(Расчет!$C$2:$C$3001,$L317))),SUBSTITUTE(MID(INDEX(Расчет!$C$2:$C$3001,$L317),FIND("(",INDEX(Расчет!$C$2:$C$3001,$L317))+1,99),")",""),INDEX(Расчет!$C$2:$C$3001,$L317)))</f>
        <v/>
      </c>
      <c r="E317">
        <f>IF($L317="","",INDEX(Расчет!$D$2:$D$3001,$L317))</f>
        <v/>
      </c>
      <c r="F317">
        <f>IF($L317="","",INDEX(Расчет!$E$2:$E$3001,$L317))</f>
        <v/>
      </c>
      <c r="G317">
        <f>IF($L317="","",IFERROR(--LEFT(INDEX(Расчет!$C$2:$C$3001,$L317),FIND("(",INDEX(Расчет!$C$2:$C$3001,$L317))-1),IFERROR(--LEFT(INDEX(Расчет!$C$2:$C$3001,$L317),1),"")))</f>
        <v/>
      </c>
      <c r="H317">
        <f>IF($L317="","",SUMIFS(Расчет!$G$2:$G$3001,Расчет!$I$2:$I$3001,$K317,Расчет!$H$2:$H$3001,1))</f>
        <v/>
      </c>
      <c r="I317">
        <f>IF($L317="","",SUMIFS(Расчет!$G$2:$G$3001,Расчет!$I$2:$I$3001,$K317,Расчет!$H$2:$H$3001,2))</f>
        <v/>
      </c>
      <c r="J317">
        <f>IF($L317="","",SUMIFS(Расчет!$G$2:$G$3001,Расчет!$I$2:$I$3001,$K317,Расчет!$H$2:$H$3001,3))</f>
        <v/>
      </c>
      <c r="K317">
        <f>IF($L317="","",INDEX(Расчет!$I$2:$I$3001,$L317))</f>
        <v/>
      </c>
      <c r="L317">
        <f>IFERROR(MATCH(ROW()-1,Расчет!$J$2:$J$3001,0),"")</f>
        <v/>
      </c>
    </row>
    <row r="318">
      <c r="A318">
        <f>IF($L318="","",B318&amp;"."&amp;C318&amp;"-"&amp;D318&amp;"-"&amp;H318&amp;"."&amp;I318&amp;"."&amp;J318)</f>
        <v/>
      </c>
      <c r="B318">
        <f>IF($L318="","",INDEX(Расчет!$A$2:$A$3001,$L318))</f>
        <v/>
      </c>
      <c r="C318">
        <f>IF($L318="","",INDEX(Расчет!$B$2:$B$3001,$L318))</f>
        <v/>
      </c>
      <c r="D318">
        <f>IF($L318="","",IF(ISNUMBER(FIND("(",INDEX(Расчет!$C$2:$C$3001,$L318))),SUBSTITUTE(MID(INDEX(Расчет!$C$2:$C$3001,$L318),FIND("(",INDEX(Расчет!$C$2:$C$3001,$L318))+1,99),")",""),INDEX(Расчет!$C$2:$C$3001,$L318)))</f>
        <v/>
      </c>
      <c r="E318">
        <f>IF($L318="","",INDEX(Расчет!$D$2:$D$3001,$L318))</f>
        <v/>
      </c>
      <c r="F318">
        <f>IF($L318="","",INDEX(Расчет!$E$2:$E$3001,$L318))</f>
        <v/>
      </c>
      <c r="G318">
        <f>IF($L318="","",IFERROR(--LEFT(INDEX(Расчет!$C$2:$C$3001,$L318),FIND("(",INDEX(Расчет!$C$2:$C$3001,$L318))-1),IFERROR(--LEFT(INDEX(Расчет!$C$2:$C$3001,$L318),1),"")))</f>
        <v/>
      </c>
      <c r="H318">
        <f>IF($L318="","",SUMIFS(Расчет!$G$2:$G$3001,Расчет!$I$2:$I$3001,$K318,Расчет!$H$2:$H$3001,1))</f>
        <v/>
      </c>
      <c r="I318">
        <f>IF($L318="","",SUMIFS(Расчет!$G$2:$G$3001,Расчет!$I$2:$I$3001,$K318,Расчет!$H$2:$H$3001,2))</f>
        <v/>
      </c>
      <c r="J318">
        <f>IF($L318="","",SUMIFS(Расчет!$G$2:$G$3001,Расчет!$I$2:$I$3001,$K318,Расчет!$H$2:$H$3001,3))</f>
        <v/>
      </c>
      <c r="K318">
        <f>IF($L318="","",INDEX(Расчет!$I$2:$I$3001,$L318))</f>
        <v/>
      </c>
      <c r="L318">
        <f>IFERROR(MATCH(ROW()-1,Расчет!$J$2:$J$3001,0),"")</f>
        <v/>
      </c>
    </row>
    <row r="319">
      <c r="A319">
        <f>IF($L319="","",B319&amp;"."&amp;C319&amp;"-"&amp;D319&amp;"-"&amp;H319&amp;"."&amp;I319&amp;"."&amp;J319)</f>
        <v/>
      </c>
      <c r="B319">
        <f>IF($L319="","",INDEX(Расчет!$A$2:$A$3001,$L319))</f>
        <v/>
      </c>
      <c r="C319">
        <f>IF($L319="","",INDEX(Расчет!$B$2:$B$3001,$L319))</f>
        <v/>
      </c>
      <c r="D319">
        <f>IF($L319="","",IF(ISNUMBER(FIND("(",INDEX(Расчет!$C$2:$C$3001,$L319))),SUBSTITUTE(MID(INDEX(Расчет!$C$2:$C$3001,$L319),FIND("(",INDEX(Расчет!$C$2:$C$3001,$L319))+1,99),")",""),INDEX(Расчет!$C$2:$C$3001,$L319)))</f>
        <v/>
      </c>
      <c r="E319">
        <f>IF($L319="","",INDEX(Расчет!$D$2:$D$3001,$L319))</f>
        <v/>
      </c>
      <c r="F319">
        <f>IF($L319="","",INDEX(Расчет!$E$2:$E$3001,$L319))</f>
        <v/>
      </c>
      <c r="G319">
        <f>IF($L319="","",IFERROR(--LEFT(INDEX(Расчет!$C$2:$C$3001,$L319),FIND("(",INDEX(Расчет!$C$2:$C$3001,$L319))-1),IFERROR(--LEFT(INDEX(Расчет!$C$2:$C$3001,$L319),1),"")))</f>
        <v/>
      </c>
      <c r="H319">
        <f>IF($L319="","",SUMIFS(Расчет!$G$2:$G$3001,Расчет!$I$2:$I$3001,$K319,Расчет!$H$2:$H$3001,1))</f>
        <v/>
      </c>
      <c r="I319">
        <f>IF($L319="","",SUMIFS(Расчет!$G$2:$G$3001,Расчет!$I$2:$I$3001,$K319,Расчет!$H$2:$H$3001,2))</f>
        <v/>
      </c>
      <c r="J319">
        <f>IF($L319="","",SUMIFS(Расчет!$G$2:$G$3001,Расчет!$I$2:$I$3001,$K319,Расчет!$H$2:$H$3001,3))</f>
        <v/>
      </c>
      <c r="K319">
        <f>IF($L319="","",INDEX(Расчет!$I$2:$I$3001,$L319))</f>
        <v/>
      </c>
      <c r="L319">
        <f>IFERROR(MATCH(ROW()-1,Расчет!$J$2:$J$3001,0),"")</f>
        <v/>
      </c>
    </row>
    <row r="320">
      <c r="A320">
        <f>IF($L320="","",B320&amp;"."&amp;C320&amp;"-"&amp;D320&amp;"-"&amp;H320&amp;"."&amp;I320&amp;"."&amp;J320)</f>
        <v/>
      </c>
      <c r="B320">
        <f>IF($L320="","",INDEX(Расчет!$A$2:$A$3001,$L320))</f>
        <v/>
      </c>
      <c r="C320">
        <f>IF($L320="","",INDEX(Расчет!$B$2:$B$3001,$L320))</f>
        <v/>
      </c>
      <c r="D320">
        <f>IF($L320="","",IF(ISNUMBER(FIND("(",INDEX(Расчет!$C$2:$C$3001,$L320))),SUBSTITUTE(MID(INDEX(Расчет!$C$2:$C$3001,$L320),FIND("(",INDEX(Расчет!$C$2:$C$3001,$L320))+1,99),")",""),INDEX(Расчет!$C$2:$C$3001,$L320)))</f>
        <v/>
      </c>
      <c r="E320">
        <f>IF($L320="","",INDEX(Расчет!$D$2:$D$3001,$L320))</f>
        <v/>
      </c>
      <c r="F320">
        <f>IF($L320="","",INDEX(Расчет!$E$2:$E$3001,$L320))</f>
        <v/>
      </c>
      <c r="G320">
        <f>IF($L320="","",IFERROR(--LEFT(INDEX(Расчет!$C$2:$C$3001,$L320),FIND("(",INDEX(Расчет!$C$2:$C$3001,$L320))-1),IFERROR(--LEFT(INDEX(Расчет!$C$2:$C$3001,$L320),1),"")))</f>
        <v/>
      </c>
      <c r="H320">
        <f>IF($L320="","",SUMIFS(Расчет!$G$2:$G$3001,Расчет!$I$2:$I$3001,$K320,Расчет!$H$2:$H$3001,1))</f>
        <v/>
      </c>
      <c r="I320">
        <f>IF($L320="","",SUMIFS(Расчет!$G$2:$G$3001,Расчет!$I$2:$I$3001,$K320,Расчет!$H$2:$H$3001,2))</f>
        <v/>
      </c>
      <c r="J320">
        <f>IF($L320="","",SUMIFS(Расчет!$G$2:$G$3001,Расчет!$I$2:$I$3001,$K320,Расчет!$H$2:$H$3001,3))</f>
        <v/>
      </c>
      <c r="K320">
        <f>IF($L320="","",INDEX(Расчет!$I$2:$I$3001,$L320))</f>
        <v/>
      </c>
      <c r="L320">
        <f>IFERROR(MATCH(ROW()-1,Расчет!$J$2:$J$3001,0),"")</f>
        <v/>
      </c>
    </row>
    <row r="321">
      <c r="A321">
        <f>IF($L321="","",B321&amp;"."&amp;C321&amp;"-"&amp;D321&amp;"-"&amp;H321&amp;"."&amp;I321&amp;"."&amp;J321)</f>
        <v/>
      </c>
      <c r="B321">
        <f>IF($L321="","",INDEX(Расчет!$A$2:$A$3001,$L321))</f>
        <v/>
      </c>
      <c r="C321">
        <f>IF($L321="","",INDEX(Расчет!$B$2:$B$3001,$L321))</f>
        <v/>
      </c>
      <c r="D321">
        <f>IF($L321="","",IF(ISNUMBER(FIND("(",INDEX(Расчет!$C$2:$C$3001,$L321))),SUBSTITUTE(MID(INDEX(Расчет!$C$2:$C$3001,$L321),FIND("(",INDEX(Расчет!$C$2:$C$3001,$L321))+1,99),")",""),INDEX(Расчет!$C$2:$C$3001,$L321)))</f>
        <v/>
      </c>
      <c r="E321">
        <f>IF($L321="","",INDEX(Расчет!$D$2:$D$3001,$L321))</f>
        <v/>
      </c>
      <c r="F321">
        <f>IF($L321="","",INDEX(Расчет!$E$2:$E$3001,$L321))</f>
        <v/>
      </c>
      <c r="G321">
        <f>IF($L321="","",IFERROR(--LEFT(INDEX(Расчет!$C$2:$C$3001,$L321),FIND("(",INDEX(Расчет!$C$2:$C$3001,$L321))-1),IFERROR(--LEFT(INDEX(Расчет!$C$2:$C$3001,$L321),1),"")))</f>
        <v/>
      </c>
      <c r="H321">
        <f>IF($L321="","",SUMIFS(Расчет!$G$2:$G$3001,Расчет!$I$2:$I$3001,$K321,Расчет!$H$2:$H$3001,1))</f>
        <v/>
      </c>
      <c r="I321">
        <f>IF($L321="","",SUMIFS(Расчет!$G$2:$G$3001,Расчет!$I$2:$I$3001,$K321,Расчет!$H$2:$H$3001,2))</f>
        <v/>
      </c>
      <c r="J321">
        <f>IF($L321="","",SUMIFS(Расчет!$G$2:$G$3001,Расчет!$I$2:$I$3001,$K321,Расчет!$H$2:$H$3001,3))</f>
        <v/>
      </c>
      <c r="K321">
        <f>IF($L321="","",INDEX(Расчет!$I$2:$I$3001,$L321))</f>
        <v/>
      </c>
      <c r="L321">
        <f>IFERROR(MATCH(ROW()-1,Расчет!$J$2:$J$3001,0),"")</f>
        <v/>
      </c>
    </row>
    <row r="322">
      <c r="A322">
        <f>IF($L322="","",B322&amp;"."&amp;C322&amp;"-"&amp;D322&amp;"-"&amp;H322&amp;"."&amp;I322&amp;"."&amp;J322)</f>
        <v/>
      </c>
      <c r="B322">
        <f>IF($L322="","",INDEX(Расчет!$A$2:$A$3001,$L322))</f>
        <v/>
      </c>
      <c r="C322">
        <f>IF($L322="","",INDEX(Расчет!$B$2:$B$3001,$L322))</f>
        <v/>
      </c>
      <c r="D322">
        <f>IF($L322="","",IF(ISNUMBER(FIND("(",INDEX(Расчет!$C$2:$C$3001,$L322))),SUBSTITUTE(MID(INDEX(Расчет!$C$2:$C$3001,$L322),FIND("(",INDEX(Расчет!$C$2:$C$3001,$L322))+1,99),")",""),INDEX(Расчет!$C$2:$C$3001,$L322)))</f>
        <v/>
      </c>
      <c r="E322">
        <f>IF($L322="","",INDEX(Расчет!$D$2:$D$3001,$L322))</f>
        <v/>
      </c>
      <c r="F322">
        <f>IF($L322="","",INDEX(Расчет!$E$2:$E$3001,$L322))</f>
        <v/>
      </c>
      <c r="G322">
        <f>IF($L322="","",IFERROR(--LEFT(INDEX(Расчет!$C$2:$C$3001,$L322),FIND("(",INDEX(Расчет!$C$2:$C$3001,$L322))-1),IFERROR(--LEFT(INDEX(Расчет!$C$2:$C$3001,$L322),1),"")))</f>
        <v/>
      </c>
      <c r="H322">
        <f>IF($L322="","",SUMIFS(Расчет!$G$2:$G$3001,Расчет!$I$2:$I$3001,$K322,Расчет!$H$2:$H$3001,1))</f>
        <v/>
      </c>
      <c r="I322">
        <f>IF($L322="","",SUMIFS(Расчет!$G$2:$G$3001,Расчет!$I$2:$I$3001,$K322,Расчет!$H$2:$H$3001,2))</f>
        <v/>
      </c>
      <c r="J322">
        <f>IF($L322="","",SUMIFS(Расчет!$G$2:$G$3001,Расчет!$I$2:$I$3001,$K322,Расчет!$H$2:$H$3001,3))</f>
        <v/>
      </c>
      <c r="K322">
        <f>IF($L322="","",INDEX(Расчет!$I$2:$I$3001,$L322))</f>
        <v/>
      </c>
      <c r="L322">
        <f>IFERROR(MATCH(ROW()-1,Расчет!$J$2:$J$3001,0),"")</f>
        <v/>
      </c>
    </row>
    <row r="323">
      <c r="A323">
        <f>IF($L323="","",B323&amp;"."&amp;C323&amp;"-"&amp;D323&amp;"-"&amp;H323&amp;"."&amp;I323&amp;"."&amp;J323)</f>
        <v/>
      </c>
      <c r="B323">
        <f>IF($L323="","",INDEX(Расчет!$A$2:$A$3001,$L323))</f>
        <v/>
      </c>
      <c r="C323">
        <f>IF($L323="","",INDEX(Расчет!$B$2:$B$3001,$L323))</f>
        <v/>
      </c>
      <c r="D323">
        <f>IF($L323="","",IF(ISNUMBER(FIND("(",INDEX(Расчет!$C$2:$C$3001,$L323))),SUBSTITUTE(MID(INDEX(Расчет!$C$2:$C$3001,$L323),FIND("(",INDEX(Расчет!$C$2:$C$3001,$L323))+1,99),")",""),INDEX(Расчет!$C$2:$C$3001,$L323)))</f>
        <v/>
      </c>
      <c r="E323">
        <f>IF($L323="","",INDEX(Расчет!$D$2:$D$3001,$L323))</f>
        <v/>
      </c>
      <c r="F323">
        <f>IF($L323="","",INDEX(Расчет!$E$2:$E$3001,$L323))</f>
        <v/>
      </c>
      <c r="G323">
        <f>IF($L323="","",IFERROR(--LEFT(INDEX(Расчет!$C$2:$C$3001,$L323),FIND("(",INDEX(Расчет!$C$2:$C$3001,$L323))-1),IFERROR(--LEFT(INDEX(Расчет!$C$2:$C$3001,$L323),1),"")))</f>
        <v/>
      </c>
      <c r="H323">
        <f>IF($L323="","",SUMIFS(Расчет!$G$2:$G$3001,Расчет!$I$2:$I$3001,$K323,Расчет!$H$2:$H$3001,1))</f>
        <v/>
      </c>
      <c r="I323">
        <f>IF($L323="","",SUMIFS(Расчет!$G$2:$G$3001,Расчет!$I$2:$I$3001,$K323,Расчет!$H$2:$H$3001,2))</f>
        <v/>
      </c>
      <c r="J323">
        <f>IF($L323="","",SUMIFS(Расчет!$G$2:$G$3001,Расчет!$I$2:$I$3001,$K323,Расчет!$H$2:$H$3001,3))</f>
        <v/>
      </c>
      <c r="K323">
        <f>IF($L323="","",INDEX(Расчет!$I$2:$I$3001,$L323))</f>
        <v/>
      </c>
      <c r="L323">
        <f>IFERROR(MATCH(ROW()-1,Расчет!$J$2:$J$3001,0),"")</f>
        <v/>
      </c>
    </row>
    <row r="324">
      <c r="A324">
        <f>IF($L324="","",B324&amp;"."&amp;C324&amp;"-"&amp;D324&amp;"-"&amp;H324&amp;"."&amp;I324&amp;"."&amp;J324)</f>
        <v/>
      </c>
      <c r="B324">
        <f>IF($L324="","",INDEX(Расчет!$A$2:$A$3001,$L324))</f>
        <v/>
      </c>
      <c r="C324">
        <f>IF($L324="","",INDEX(Расчет!$B$2:$B$3001,$L324))</f>
        <v/>
      </c>
      <c r="D324">
        <f>IF($L324="","",IF(ISNUMBER(FIND("(",INDEX(Расчет!$C$2:$C$3001,$L324))),SUBSTITUTE(MID(INDEX(Расчет!$C$2:$C$3001,$L324),FIND("(",INDEX(Расчет!$C$2:$C$3001,$L324))+1,99),")",""),INDEX(Расчет!$C$2:$C$3001,$L324)))</f>
        <v/>
      </c>
      <c r="E324">
        <f>IF($L324="","",INDEX(Расчет!$D$2:$D$3001,$L324))</f>
        <v/>
      </c>
      <c r="F324">
        <f>IF($L324="","",INDEX(Расчет!$E$2:$E$3001,$L324))</f>
        <v/>
      </c>
      <c r="G324">
        <f>IF($L324="","",IFERROR(--LEFT(INDEX(Расчет!$C$2:$C$3001,$L324),FIND("(",INDEX(Расчет!$C$2:$C$3001,$L324))-1),IFERROR(--LEFT(INDEX(Расчет!$C$2:$C$3001,$L324),1),"")))</f>
        <v/>
      </c>
      <c r="H324">
        <f>IF($L324="","",SUMIFS(Расчет!$G$2:$G$3001,Расчет!$I$2:$I$3001,$K324,Расчет!$H$2:$H$3001,1))</f>
        <v/>
      </c>
      <c r="I324">
        <f>IF($L324="","",SUMIFS(Расчет!$G$2:$G$3001,Расчет!$I$2:$I$3001,$K324,Расчет!$H$2:$H$3001,2))</f>
        <v/>
      </c>
      <c r="J324">
        <f>IF($L324="","",SUMIFS(Расчет!$G$2:$G$3001,Расчет!$I$2:$I$3001,$K324,Расчет!$H$2:$H$3001,3))</f>
        <v/>
      </c>
      <c r="K324">
        <f>IF($L324="","",INDEX(Расчет!$I$2:$I$3001,$L324))</f>
        <v/>
      </c>
      <c r="L324">
        <f>IFERROR(MATCH(ROW()-1,Расчет!$J$2:$J$3001,0),"")</f>
        <v/>
      </c>
    </row>
    <row r="325">
      <c r="A325">
        <f>IF($L325="","",B325&amp;"."&amp;C325&amp;"-"&amp;D325&amp;"-"&amp;H325&amp;"."&amp;I325&amp;"."&amp;J325)</f>
        <v/>
      </c>
      <c r="B325">
        <f>IF($L325="","",INDEX(Расчет!$A$2:$A$3001,$L325))</f>
        <v/>
      </c>
      <c r="C325">
        <f>IF($L325="","",INDEX(Расчет!$B$2:$B$3001,$L325))</f>
        <v/>
      </c>
      <c r="D325">
        <f>IF($L325="","",IF(ISNUMBER(FIND("(",INDEX(Расчет!$C$2:$C$3001,$L325))),SUBSTITUTE(MID(INDEX(Расчет!$C$2:$C$3001,$L325),FIND("(",INDEX(Расчет!$C$2:$C$3001,$L325))+1,99),")",""),INDEX(Расчет!$C$2:$C$3001,$L325)))</f>
        <v/>
      </c>
      <c r="E325">
        <f>IF($L325="","",INDEX(Расчет!$D$2:$D$3001,$L325))</f>
        <v/>
      </c>
      <c r="F325">
        <f>IF($L325="","",INDEX(Расчет!$E$2:$E$3001,$L325))</f>
        <v/>
      </c>
      <c r="G325">
        <f>IF($L325="","",IFERROR(--LEFT(INDEX(Расчет!$C$2:$C$3001,$L325),FIND("(",INDEX(Расчет!$C$2:$C$3001,$L325))-1),IFERROR(--LEFT(INDEX(Расчет!$C$2:$C$3001,$L325),1),"")))</f>
        <v/>
      </c>
      <c r="H325">
        <f>IF($L325="","",SUMIFS(Расчет!$G$2:$G$3001,Расчет!$I$2:$I$3001,$K325,Расчет!$H$2:$H$3001,1))</f>
        <v/>
      </c>
      <c r="I325">
        <f>IF($L325="","",SUMIFS(Расчет!$G$2:$G$3001,Расчет!$I$2:$I$3001,$K325,Расчет!$H$2:$H$3001,2))</f>
        <v/>
      </c>
      <c r="J325">
        <f>IF($L325="","",SUMIFS(Расчет!$G$2:$G$3001,Расчет!$I$2:$I$3001,$K325,Расчет!$H$2:$H$3001,3))</f>
        <v/>
      </c>
      <c r="K325">
        <f>IF($L325="","",INDEX(Расчет!$I$2:$I$3001,$L325))</f>
        <v/>
      </c>
      <c r="L325">
        <f>IFERROR(MATCH(ROW()-1,Расчет!$J$2:$J$3001,0),"")</f>
        <v/>
      </c>
    </row>
    <row r="326">
      <c r="A326">
        <f>IF($L326="","",B326&amp;"."&amp;C326&amp;"-"&amp;D326&amp;"-"&amp;H326&amp;"."&amp;I326&amp;"."&amp;J326)</f>
        <v/>
      </c>
      <c r="B326">
        <f>IF($L326="","",INDEX(Расчет!$A$2:$A$3001,$L326))</f>
        <v/>
      </c>
      <c r="C326">
        <f>IF($L326="","",INDEX(Расчет!$B$2:$B$3001,$L326))</f>
        <v/>
      </c>
      <c r="D326">
        <f>IF($L326="","",IF(ISNUMBER(FIND("(",INDEX(Расчет!$C$2:$C$3001,$L326))),SUBSTITUTE(MID(INDEX(Расчет!$C$2:$C$3001,$L326),FIND("(",INDEX(Расчет!$C$2:$C$3001,$L326))+1,99),")",""),INDEX(Расчет!$C$2:$C$3001,$L326)))</f>
        <v/>
      </c>
      <c r="E326">
        <f>IF($L326="","",INDEX(Расчет!$D$2:$D$3001,$L326))</f>
        <v/>
      </c>
      <c r="F326">
        <f>IF($L326="","",INDEX(Расчет!$E$2:$E$3001,$L326))</f>
        <v/>
      </c>
      <c r="G326">
        <f>IF($L326="","",IFERROR(--LEFT(INDEX(Расчет!$C$2:$C$3001,$L326),FIND("(",INDEX(Расчет!$C$2:$C$3001,$L326))-1),IFERROR(--LEFT(INDEX(Расчет!$C$2:$C$3001,$L326),1),"")))</f>
        <v/>
      </c>
      <c r="H326">
        <f>IF($L326="","",SUMIFS(Расчет!$G$2:$G$3001,Расчет!$I$2:$I$3001,$K326,Расчет!$H$2:$H$3001,1))</f>
        <v/>
      </c>
      <c r="I326">
        <f>IF($L326="","",SUMIFS(Расчет!$G$2:$G$3001,Расчет!$I$2:$I$3001,$K326,Расчет!$H$2:$H$3001,2))</f>
        <v/>
      </c>
      <c r="J326">
        <f>IF($L326="","",SUMIFS(Расчет!$G$2:$G$3001,Расчет!$I$2:$I$3001,$K326,Расчет!$H$2:$H$3001,3))</f>
        <v/>
      </c>
      <c r="K326">
        <f>IF($L326="","",INDEX(Расчет!$I$2:$I$3001,$L326))</f>
        <v/>
      </c>
      <c r="L326">
        <f>IFERROR(MATCH(ROW()-1,Расчет!$J$2:$J$3001,0),"")</f>
        <v/>
      </c>
    </row>
    <row r="327">
      <c r="A327">
        <f>IF($L327="","",B327&amp;"."&amp;C327&amp;"-"&amp;D327&amp;"-"&amp;H327&amp;"."&amp;I327&amp;"."&amp;J327)</f>
        <v/>
      </c>
      <c r="B327">
        <f>IF($L327="","",INDEX(Расчет!$A$2:$A$3001,$L327))</f>
        <v/>
      </c>
      <c r="C327">
        <f>IF($L327="","",INDEX(Расчет!$B$2:$B$3001,$L327))</f>
        <v/>
      </c>
      <c r="D327">
        <f>IF($L327="","",IF(ISNUMBER(FIND("(",INDEX(Расчет!$C$2:$C$3001,$L327))),SUBSTITUTE(MID(INDEX(Расчет!$C$2:$C$3001,$L327),FIND("(",INDEX(Расчет!$C$2:$C$3001,$L327))+1,99),")",""),INDEX(Расчет!$C$2:$C$3001,$L327)))</f>
        <v/>
      </c>
      <c r="E327">
        <f>IF($L327="","",INDEX(Расчет!$D$2:$D$3001,$L327))</f>
        <v/>
      </c>
      <c r="F327">
        <f>IF($L327="","",INDEX(Расчет!$E$2:$E$3001,$L327))</f>
        <v/>
      </c>
      <c r="G327">
        <f>IF($L327="","",IFERROR(--LEFT(INDEX(Расчет!$C$2:$C$3001,$L327),FIND("(",INDEX(Расчет!$C$2:$C$3001,$L327))-1),IFERROR(--LEFT(INDEX(Расчет!$C$2:$C$3001,$L327),1),"")))</f>
        <v/>
      </c>
      <c r="H327">
        <f>IF($L327="","",SUMIFS(Расчет!$G$2:$G$3001,Расчет!$I$2:$I$3001,$K327,Расчет!$H$2:$H$3001,1))</f>
        <v/>
      </c>
      <c r="I327">
        <f>IF($L327="","",SUMIFS(Расчет!$G$2:$G$3001,Расчет!$I$2:$I$3001,$K327,Расчет!$H$2:$H$3001,2))</f>
        <v/>
      </c>
      <c r="J327">
        <f>IF($L327="","",SUMIFS(Расчет!$G$2:$G$3001,Расчет!$I$2:$I$3001,$K327,Расчет!$H$2:$H$3001,3))</f>
        <v/>
      </c>
      <c r="K327">
        <f>IF($L327="","",INDEX(Расчет!$I$2:$I$3001,$L327))</f>
        <v/>
      </c>
      <c r="L327">
        <f>IFERROR(MATCH(ROW()-1,Расчет!$J$2:$J$3001,0),"")</f>
        <v/>
      </c>
    </row>
    <row r="328">
      <c r="A328">
        <f>IF($L328="","",B328&amp;"."&amp;C328&amp;"-"&amp;D328&amp;"-"&amp;H328&amp;"."&amp;I328&amp;"."&amp;J328)</f>
        <v/>
      </c>
      <c r="B328">
        <f>IF($L328="","",INDEX(Расчет!$A$2:$A$3001,$L328))</f>
        <v/>
      </c>
      <c r="C328">
        <f>IF($L328="","",INDEX(Расчет!$B$2:$B$3001,$L328))</f>
        <v/>
      </c>
      <c r="D328">
        <f>IF($L328="","",IF(ISNUMBER(FIND("(",INDEX(Расчет!$C$2:$C$3001,$L328))),SUBSTITUTE(MID(INDEX(Расчет!$C$2:$C$3001,$L328),FIND("(",INDEX(Расчет!$C$2:$C$3001,$L328))+1,99),")",""),INDEX(Расчет!$C$2:$C$3001,$L328)))</f>
        <v/>
      </c>
      <c r="E328">
        <f>IF($L328="","",INDEX(Расчет!$D$2:$D$3001,$L328))</f>
        <v/>
      </c>
      <c r="F328">
        <f>IF($L328="","",INDEX(Расчет!$E$2:$E$3001,$L328))</f>
        <v/>
      </c>
      <c r="G328">
        <f>IF($L328="","",IFERROR(--LEFT(INDEX(Расчет!$C$2:$C$3001,$L328),FIND("(",INDEX(Расчет!$C$2:$C$3001,$L328))-1),IFERROR(--LEFT(INDEX(Расчет!$C$2:$C$3001,$L328),1),"")))</f>
        <v/>
      </c>
      <c r="H328">
        <f>IF($L328="","",SUMIFS(Расчет!$G$2:$G$3001,Расчет!$I$2:$I$3001,$K328,Расчет!$H$2:$H$3001,1))</f>
        <v/>
      </c>
      <c r="I328">
        <f>IF($L328="","",SUMIFS(Расчет!$G$2:$G$3001,Расчет!$I$2:$I$3001,$K328,Расчет!$H$2:$H$3001,2))</f>
        <v/>
      </c>
      <c r="J328">
        <f>IF($L328="","",SUMIFS(Расчет!$G$2:$G$3001,Расчет!$I$2:$I$3001,$K328,Расчет!$H$2:$H$3001,3))</f>
        <v/>
      </c>
      <c r="K328">
        <f>IF($L328="","",INDEX(Расчет!$I$2:$I$3001,$L328))</f>
        <v/>
      </c>
      <c r="L328">
        <f>IFERROR(MATCH(ROW()-1,Расчет!$J$2:$J$3001,0),"")</f>
        <v/>
      </c>
    </row>
    <row r="329">
      <c r="A329">
        <f>IF($L329="","",B329&amp;"."&amp;C329&amp;"-"&amp;D329&amp;"-"&amp;H329&amp;"."&amp;I329&amp;"."&amp;J329)</f>
        <v/>
      </c>
      <c r="B329">
        <f>IF($L329="","",INDEX(Расчет!$A$2:$A$3001,$L329))</f>
        <v/>
      </c>
      <c r="C329">
        <f>IF($L329="","",INDEX(Расчет!$B$2:$B$3001,$L329))</f>
        <v/>
      </c>
      <c r="D329">
        <f>IF($L329="","",IF(ISNUMBER(FIND("(",INDEX(Расчет!$C$2:$C$3001,$L329))),SUBSTITUTE(MID(INDEX(Расчет!$C$2:$C$3001,$L329),FIND("(",INDEX(Расчет!$C$2:$C$3001,$L329))+1,99),")",""),INDEX(Расчет!$C$2:$C$3001,$L329)))</f>
        <v/>
      </c>
      <c r="E329">
        <f>IF($L329="","",INDEX(Расчет!$D$2:$D$3001,$L329))</f>
        <v/>
      </c>
      <c r="F329">
        <f>IF($L329="","",INDEX(Расчет!$E$2:$E$3001,$L329))</f>
        <v/>
      </c>
      <c r="G329">
        <f>IF($L329="","",IFERROR(--LEFT(INDEX(Расчет!$C$2:$C$3001,$L329),FIND("(",INDEX(Расчет!$C$2:$C$3001,$L329))-1),IFERROR(--LEFT(INDEX(Расчет!$C$2:$C$3001,$L329),1),"")))</f>
        <v/>
      </c>
      <c r="H329">
        <f>IF($L329="","",SUMIFS(Расчет!$G$2:$G$3001,Расчет!$I$2:$I$3001,$K329,Расчет!$H$2:$H$3001,1))</f>
        <v/>
      </c>
      <c r="I329">
        <f>IF($L329="","",SUMIFS(Расчет!$G$2:$G$3001,Расчет!$I$2:$I$3001,$K329,Расчет!$H$2:$H$3001,2))</f>
        <v/>
      </c>
      <c r="J329">
        <f>IF($L329="","",SUMIFS(Расчет!$G$2:$G$3001,Расчет!$I$2:$I$3001,$K329,Расчет!$H$2:$H$3001,3))</f>
        <v/>
      </c>
      <c r="K329">
        <f>IF($L329="","",INDEX(Расчет!$I$2:$I$3001,$L329))</f>
        <v/>
      </c>
      <c r="L329">
        <f>IFERROR(MATCH(ROW()-1,Расчет!$J$2:$J$3001,0),"")</f>
        <v/>
      </c>
    </row>
    <row r="330">
      <c r="A330">
        <f>IF($L330="","",B330&amp;"."&amp;C330&amp;"-"&amp;D330&amp;"-"&amp;H330&amp;"."&amp;I330&amp;"."&amp;J330)</f>
        <v/>
      </c>
      <c r="B330">
        <f>IF($L330="","",INDEX(Расчет!$A$2:$A$3001,$L330))</f>
        <v/>
      </c>
      <c r="C330">
        <f>IF($L330="","",INDEX(Расчет!$B$2:$B$3001,$L330))</f>
        <v/>
      </c>
      <c r="D330">
        <f>IF($L330="","",IF(ISNUMBER(FIND("(",INDEX(Расчет!$C$2:$C$3001,$L330))),SUBSTITUTE(MID(INDEX(Расчет!$C$2:$C$3001,$L330),FIND("(",INDEX(Расчет!$C$2:$C$3001,$L330))+1,99),")",""),INDEX(Расчет!$C$2:$C$3001,$L330)))</f>
        <v/>
      </c>
      <c r="E330">
        <f>IF($L330="","",INDEX(Расчет!$D$2:$D$3001,$L330))</f>
        <v/>
      </c>
      <c r="F330">
        <f>IF($L330="","",INDEX(Расчет!$E$2:$E$3001,$L330))</f>
        <v/>
      </c>
      <c r="G330">
        <f>IF($L330="","",IFERROR(--LEFT(INDEX(Расчет!$C$2:$C$3001,$L330),FIND("(",INDEX(Расчет!$C$2:$C$3001,$L330))-1),IFERROR(--LEFT(INDEX(Расчет!$C$2:$C$3001,$L330),1),"")))</f>
        <v/>
      </c>
      <c r="H330">
        <f>IF($L330="","",SUMIFS(Расчет!$G$2:$G$3001,Расчет!$I$2:$I$3001,$K330,Расчет!$H$2:$H$3001,1))</f>
        <v/>
      </c>
      <c r="I330">
        <f>IF($L330="","",SUMIFS(Расчет!$G$2:$G$3001,Расчет!$I$2:$I$3001,$K330,Расчет!$H$2:$H$3001,2))</f>
        <v/>
      </c>
      <c r="J330">
        <f>IF($L330="","",SUMIFS(Расчет!$G$2:$G$3001,Расчет!$I$2:$I$3001,$K330,Расчет!$H$2:$H$3001,3))</f>
        <v/>
      </c>
      <c r="K330">
        <f>IF($L330="","",INDEX(Расчет!$I$2:$I$3001,$L330))</f>
        <v/>
      </c>
      <c r="L330">
        <f>IFERROR(MATCH(ROW()-1,Расчет!$J$2:$J$3001,0),"")</f>
        <v/>
      </c>
    </row>
    <row r="331">
      <c r="A331">
        <f>IF($L331="","",B331&amp;"."&amp;C331&amp;"-"&amp;D331&amp;"-"&amp;H331&amp;"."&amp;I331&amp;"."&amp;J331)</f>
        <v/>
      </c>
      <c r="B331">
        <f>IF($L331="","",INDEX(Расчет!$A$2:$A$3001,$L331))</f>
        <v/>
      </c>
      <c r="C331">
        <f>IF($L331="","",INDEX(Расчет!$B$2:$B$3001,$L331))</f>
        <v/>
      </c>
      <c r="D331">
        <f>IF($L331="","",IF(ISNUMBER(FIND("(",INDEX(Расчет!$C$2:$C$3001,$L331))),SUBSTITUTE(MID(INDEX(Расчет!$C$2:$C$3001,$L331),FIND("(",INDEX(Расчет!$C$2:$C$3001,$L331))+1,99),")",""),INDEX(Расчет!$C$2:$C$3001,$L331)))</f>
        <v/>
      </c>
      <c r="E331">
        <f>IF($L331="","",INDEX(Расчет!$D$2:$D$3001,$L331))</f>
        <v/>
      </c>
      <c r="F331">
        <f>IF($L331="","",INDEX(Расчет!$E$2:$E$3001,$L331))</f>
        <v/>
      </c>
      <c r="G331">
        <f>IF($L331="","",IFERROR(--LEFT(INDEX(Расчет!$C$2:$C$3001,$L331),FIND("(",INDEX(Расчет!$C$2:$C$3001,$L331))-1),IFERROR(--LEFT(INDEX(Расчет!$C$2:$C$3001,$L331),1),"")))</f>
        <v/>
      </c>
      <c r="H331">
        <f>IF($L331="","",SUMIFS(Расчет!$G$2:$G$3001,Расчет!$I$2:$I$3001,$K331,Расчет!$H$2:$H$3001,1))</f>
        <v/>
      </c>
      <c r="I331">
        <f>IF($L331="","",SUMIFS(Расчет!$G$2:$G$3001,Расчет!$I$2:$I$3001,$K331,Расчет!$H$2:$H$3001,2))</f>
        <v/>
      </c>
      <c r="J331">
        <f>IF($L331="","",SUMIFS(Расчет!$G$2:$G$3001,Расчет!$I$2:$I$3001,$K331,Расчет!$H$2:$H$3001,3))</f>
        <v/>
      </c>
      <c r="K331">
        <f>IF($L331="","",INDEX(Расчет!$I$2:$I$3001,$L331))</f>
        <v/>
      </c>
      <c r="L331">
        <f>IFERROR(MATCH(ROW()-1,Расчет!$J$2:$J$3001,0),"")</f>
        <v/>
      </c>
    </row>
    <row r="332">
      <c r="A332">
        <f>IF($L332="","",B332&amp;"."&amp;C332&amp;"-"&amp;D332&amp;"-"&amp;H332&amp;"."&amp;I332&amp;"."&amp;J332)</f>
        <v/>
      </c>
      <c r="B332">
        <f>IF($L332="","",INDEX(Расчет!$A$2:$A$3001,$L332))</f>
        <v/>
      </c>
      <c r="C332">
        <f>IF($L332="","",INDEX(Расчет!$B$2:$B$3001,$L332))</f>
        <v/>
      </c>
      <c r="D332">
        <f>IF($L332="","",IF(ISNUMBER(FIND("(",INDEX(Расчет!$C$2:$C$3001,$L332))),SUBSTITUTE(MID(INDEX(Расчет!$C$2:$C$3001,$L332),FIND("(",INDEX(Расчет!$C$2:$C$3001,$L332))+1,99),")",""),INDEX(Расчет!$C$2:$C$3001,$L332)))</f>
        <v/>
      </c>
      <c r="E332">
        <f>IF($L332="","",INDEX(Расчет!$D$2:$D$3001,$L332))</f>
        <v/>
      </c>
      <c r="F332">
        <f>IF($L332="","",INDEX(Расчет!$E$2:$E$3001,$L332))</f>
        <v/>
      </c>
      <c r="G332">
        <f>IF($L332="","",IFERROR(--LEFT(INDEX(Расчет!$C$2:$C$3001,$L332),FIND("(",INDEX(Расчет!$C$2:$C$3001,$L332))-1),IFERROR(--LEFT(INDEX(Расчет!$C$2:$C$3001,$L332),1),"")))</f>
        <v/>
      </c>
      <c r="H332">
        <f>IF($L332="","",SUMIFS(Расчет!$G$2:$G$3001,Расчет!$I$2:$I$3001,$K332,Расчет!$H$2:$H$3001,1))</f>
        <v/>
      </c>
      <c r="I332">
        <f>IF($L332="","",SUMIFS(Расчет!$G$2:$G$3001,Расчет!$I$2:$I$3001,$K332,Расчет!$H$2:$H$3001,2))</f>
        <v/>
      </c>
      <c r="J332">
        <f>IF($L332="","",SUMIFS(Расчет!$G$2:$G$3001,Расчет!$I$2:$I$3001,$K332,Расчет!$H$2:$H$3001,3))</f>
        <v/>
      </c>
      <c r="K332">
        <f>IF($L332="","",INDEX(Расчет!$I$2:$I$3001,$L332))</f>
        <v/>
      </c>
      <c r="L332">
        <f>IFERROR(MATCH(ROW()-1,Расчет!$J$2:$J$3001,0),"")</f>
        <v/>
      </c>
    </row>
    <row r="333">
      <c r="A333">
        <f>IF($L333="","",B333&amp;"."&amp;C333&amp;"-"&amp;D333&amp;"-"&amp;H333&amp;"."&amp;I333&amp;"."&amp;J333)</f>
        <v/>
      </c>
      <c r="B333">
        <f>IF($L333="","",INDEX(Расчет!$A$2:$A$3001,$L333))</f>
        <v/>
      </c>
      <c r="C333">
        <f>IF($L333="","",INDEX(Расчет!$B$2:$B$3001,$L333))</f>
        <v/>
      </c>
      <c r="D333">
        <f>IF($L333="","",IF(ISNUMBER(FIND("(",INDEX(Расчет!$C$2:$C$3001,$L333))),SUBSTITUTE(MID(INDEX(Расчет!$C$2:$C$3001,$L333),FIND("(",INDEX(Расчет!$C$2:$C$3001,$L333))+1,99),")",""),INDEX(Расчет!$C$2:$C$3001,$L333)))</f>
        <v/>
      </c>
      <c r="E333">
        <f>IF($L333="","",INDEX(Расчет!$D$2:$D$3001,$L333))</f>
        <v/>
      </c>
      <c r="F333">
        <f>IF($L333="","",INDEX(Расчет!$E$2:$E$3001,$L333))</f>
        <v/>
      </c>
      <c r="G333">
        <f>IF($L333="","",IFERROR(--LEFT(INDEX(Расчет!$C$2:$C$3001,$L333),FIND("(",INDEX(Расчет!$C$2:$C$3001,$L333))-1),IFERROR(--LEFT(INDEX(Расчет!$C$2:$C$3001,$L333),1),"")))</f>
        <v/>
      </c>
      <c r="H333">
        <f>IF($L333="","",SUMIFS(Расчет!$G$2:$G$3001,Расчет!$I$2:$I$3001,$K333,Расчет!$H$2:$H$3001,1))</f>
        <v/>
      </c>
      <c r="I333">
        <f>IF($L333="","",SUMIFS(Расчет!$G$2:$G$3001,Расчет!$I$2:$I$3001,$K333,Расчет!$H$2:$H$3001,2))</f>
        <v/>
      </c>
      <c r="J333">
        <f>IF($L333="","",SUMIFS(Расчет!$G$2:$G$3001,Расчет!$I$2:$I$3001,$K333,Расчет!$H$2:$H$3001,3))</f>
        <v/>
      </c>
      <c r="K333">
        <f>IF($L333="","",INDEX(Расчет!$I$2:$I$3001,$L333))</f>
        <v/>
      </c>
      <c r="L333">
        <f>IFERROR(MATCH(ROW()-1,Расчет!$J$2:$J$3001,0),"")</f>
        <v/>
      </c>
    </row>
    <row r="334">
      <c r="A334">
        <f>IF($L334="","",B334&amp;"."&amp;C334&amp;"-"&amp;D334&amp;"-"&amp;H334&amp;"."&amp;I334&amp;"."&amp;J334)</f>
        <v/>
      </c>
      <c r="B334">
        <f>IF($L334="","",INDEX(Расчет!$A$2:$A$3001,$L334))</f>
        <v/>
      </c>
      <c r="C334">
        <f>IF($L334="","",INDEX(Расчет!$B$2:$B$3001,$L334))</f>
        <v/>
      </c>
      <c r="D334">
        <f>IF($L334="","",IF(ISNUMBER(FIND("(",INDEX(Расчет!$C$2:$C$3001,$L334))),SUBSTITUTE(MID(INDEX(Расчет!$C$2:$C$3001,$L334),FIND("(",INDEX(Расчет!$C$2:$C$3001,$L334))+1,99),")",""),INDEX(Расчет!$C$2:$C$3001,$L334)))</f>
        <v/>
      </c>
      <c r="E334">
        <f>IF($L334="","",INDEX(Расчет!$D$2:$D$3001,$L334))</f>
        <v/>
      </c>
      <c r="F334">
        <f>IF($L334="","",INDEX(Расчет!$E$2:$E$3001,$L334))</f>
        <v/>
      </c>
      <c r="G334">
        <f>IF($L334="","",IFERROR(--LEFT(INDEX(Расчет!$C$2:$C$3001,$L334),FIND("(",INDEX(Расчет!$C$2:$C$3001,$L334))-1),IFERROR(--LEFT(INDEX(Расчет!$C$2:$C$3001,$L334),1),"")))</f>
        <v/>
      </c>
      <c r="H334">
        <f>IF($L334="","",SUMIFS(Расчет!$G$2:$G$3001,Расчет!$I$2:$I$3001,$K334,Расчет!$H$2:$H$3001,1))</f>
        <v/>
      </c>
      <c r="I334">
        <f>IF($L334="","",SUMIFS(Расчет!$G$2:$G$3001,Расчет!$I$2:$I$3001,$K334,Расчет!$H$2:$H$3001,2))</f>
        <v/>
      </c>
      <c r="J334">
        <f>IF($L334="","",SUMIFS(Расчет!$G$2:$G$3001,Расчет!$I$2:$I$3001,$K334,Расчет!$H$2:$H$3001,3))</f>
        <v/>
      </c>
      <c r="K334">
        <f>IF($L334="","",INDEX(Расчет!$I$2:$I$3001,$L334))</f>
        <v/>
      </c>
      <c r="L334">
        <f>IFERROR(MATCH(ROW()-1,Расчет!$J$2:$J$3001,0),"")</f>
        <v/>
      </c>
    </row>
    <row r="335">
      <c r="A335">
        <f>IF($L335="","",B335&amp;"."&amp;C335&amp;"-"&amp;D335&amp;"-"&amp;H335&amp;"."&amp;I335&amp;"."&amp;J335)</f>
        <v/>
      </c>
      <c r="B335">
        <f>IF($L335="","",INDEX(Расчет!$A$2:$A$3001,$L335))</f>
        <v/>
      </c>
      <c r="C335">
        <f>IF($L335="","",INDEX(Расчет!$B$2:$B$3001,$L335))</f>
        <v/>
      </c>
      <c r="D335">
        <f>IF($L335="","",IF(ISNUMBER(FIND("(",INDEX(Расчет!$C$2:$C$3001,$L335))),SUBSTITUTE(MID(INDEX(Расчет!$C$2:$C$3001,$L335),FIND("(",INDEX(Расчет!$C$2:$C$3001,$L335))+1,99),")",""),INDEX(Расчет!$C$2:$C$3001,$L335)))</f>
        <v/>
      </c>
      <c r="E335">
        <f>IF($L335="","",INDEX(Расчет!$D$2:$D$3001,$L335))</f>
        <v/>
      </c>
      <c r="F335">
        <f>IF($L335="","",INDEX(Расчет!$E$2:$E$3001,$L335))</f>
        <v/>
      </c>
      <c r="G335">
        <f>IF($L335="","",IFERROR(--LEFT(INDEX(Расчет!$C$2:$C$3001,$L335),FIND("(",INDEX(Расчет!$C$2:$C$3001,$L335))-1),IFERROR(--LEFT(INDEX(Расчет!$C$2:$C$3001,$L335),1),"")))</f>
        <v/>
      </c>
      <c r="H335">
        <f>IF($L335="","",SUMIFS(Расчет!$G$2:$G$3001,Расчет!$I$2:$I$3001,$K335,Расчет!$H$2:$H$3001,1))</f>
        <v/>
      </c>
      <c r="I335">
        <f>IF($L335="","",SUMIFS(Расчет!$G$2:$G$3001,Расчет!$I$2:$I$3001,$K335,Расчет!$H$2:$H$3001,2))</f>
        <v/>
      </c>
      <c r="J335">
        <f>IF($L335="","",SUMIFS(Расчет!$G$2:$G$3001,Расчет!$I$2:$I$3001,$K335,Расчет!$H$2:$H$3001,3))</f>
        <v/>
      </c>
      <c r="K335">
        <f>IF($L335="","",INDEX(Расчет!$I$2:$I$3001,$L335))</f>
        <v/>
      </c>
      <c r="L335">
        <f>IFERROR(MATCH(ROW()-1,Расчет!$J$2:$J$3001,0),"")</f>
        <v/>
      </c>
    </row>
    <row r="336">
      <c r="A336">
        <f>IF($L336="","",B336&amp;"."&amp;C336&amp;"-"&amp;D336&amp;"-"&amp;H336&amp;"."&amp;I336&amp;"."&amp;J336)</f>
        <v/>
      </c>
      <c r="B336">
        <f>IF($L336="","",INDEX(Расчет!$A$2:$A$3001,$L336))</f>
        <v/>
      </c>
      <c r="C336">
        <f>IF($L336="","",INDEX(Расчет!$B$2:$B$3001,$L336))</f>
        <v/>
      </c>
      <c r="D336">
        <f>IF($L336="","",IF(ISNUMBER(FIND("(",INDEX(Расчет!$C$2:$C$3001,$L336))),SUBSTITUTE(MID(INDEX(Расчет!$C$2:$C$3001,$L336),FIND("(",INDEX(Расчет!$C$2:$C$3001,$L336))+1,99),")",""),INDEX(Расчет!$C$2:$C$3001,$L336)))</f>
        <v/>
      </c>
      <c r="E336">
        <f>IF($L336="","",INDEX(Расчет!$D$2:$D$3001,$L336))</f>
        <v/>
      </c>
      <c r="F336">
        <f>IF($L336="","",INDEX(Расчет!$E$2:$E$3001,$L336))</f>
        <v/>
      </c>
      <c r="G336">
        <f>IF($L336="","",IFERROR(--LEFT(INDEX(Расчет!$C$2:$C$3001,$L336),FIND("(",INDEX(Расчет!$C$2:$C$3001,$L336))-1),IFERROR(--LEFT(INDEX(Расчет!$C$2:$C$3001,$L336),1),"")))</f>
        <v/>
      </c>
      <c r="H336">
        <f>IF($L336="","",SUMIFS(Расчет!$G$2:$G$3001,Расчет!$I$2:$I$3001,$K336,Расчет!$H$2:$H$3001,1))</f>
        <v/>
      </c>
      <c r="I336">
        <f>IF($L336="","",SUMIFS(Расчет!$G$2:$G$3001,Расчет!$I$2:$I$3001,$K336,Расчет!$H$2:$H$3001,2))</f>
        <v/>
      </c>
      <c r="J336">
        <f>IF($L336="","",SUMIFS(Расчет!$G$2:$G$3001,Расчет!$I$2:$I$3001,$K336,Расчет!$H$2:$H$3001,3))</f>
        <v/>
      </c>
      <c r="K336">
        <f>IF($L336="","",INDEX(Расчет!$I$2:$I$3001,$L336))</f>
        <v/>
      </c>
      <c r="L336">
        <f>IFERROR(MATCH(ROW()-1,Расчет!$J$2:$J$3001,0),"")</f>
        <v/>
      </c>
    </row>
    <row r="337">
      <c r="A337">
        <f>IF($L337="","",B337&amp;"."&amp;C337&amp;"-"&amp;D337&amp;"-"&amp;H337&amp;"."&amp;I337&amp;"."&amp;J337)</f>
        <v/>
      </c>
      <c r="B337">
        <f>IF($L337="","",INDEX(Расчет!$A$2:$A$3001,$L337))</f>
        <v/>
      </c>
      <c r="C337">
        <f>IF($L337="","",INDEX(Расчет!$B$2:$B$3001,$L337))</f>
        <v/>
      </c>
      <c r="D337">
        <f>IF($L337="","",IF(ISNUMBER(FIND("(",INDEX(Расчет!$C$2:$C$3001,$L337))),SUBSTITUTE(MID(INDEX(Расчет!$C$2:$C$3001,$L337),FIND("(",INDEX(Расчет!$C$2:$C$3001,$L337))+1,99),")",""),INDEX(Расчет!$C$2:$C$3001,$L337)))</f>
        <v/>
      </c>
      <c r="E337">
        <f>IF($L337="","",INDEX(Расчет!$D$2:$D$3001,$L337))</f>
        <v/>
      </c>
      <c r="F337">
        <f>IF($L337="","",INDEX(Расчет!$E$2:$E$3001,$L337))</f>
        <v/>
      </c>
      <c r="G337">
        <f>IF($L337="","",IFERROR(--LEFT(INDEX(Расчет!$C$2:$C$3001,$L337),FIND("(",INDEX(Расчет!$C$2:$C$3001,$L337))-1),IFERROR(--LEFT(INDEX(Расчет!$C$2:$C$3001,$L337),1),"")))</f>
        <v/>
      </c>
      <c r="H337">
        <f>IF($L337="","",SUMIFS(Расчет!$G$2:$G$3001,Расчет!$I$2:$I$3001,$K337,Расчет!$H$2:$H$3001,1))</f>
        <v/>
      </c>
      <c r="I337">
        <f>IF($L337="","",SUMIFS(Расчет!$G$2:$G$3001,Расчет!$I$2:$I$3001,$K337,Расчет!$H$2:$H$3001,2))</f>
        <v/>
      </c>
      <c r="J337">
        <f>IF($L337="","",SUMIFS(Расчет!$G$2:$G$3001,Расчет!$I$2:$I$3001,$K337,Расчет!$H$2:$H$3001,3))</f>
        <v/>
      </c>
      <c r="K337">
        <f>IF($L337="","",INDEX(Расчет!$I$2:$I$3001,$L337))</f>
        <v/>
      </c>
      <c r="L337">
        <f>IFERROR(MATCH(ROW()-1,Расчет!$J$2:$J$3001,0),"")</f>
        <v/>
      </c>
    </row>
    <row r="338">
      <c r="A338">
        <f>IF($L338="","",B338&amp;"."&amp;C338&amp;"-"&amp;D338&amp;"-"&amp;H338&amp;"."&amp;I338&amp;"."&amp;J338)</f>
        <v/>
      </c>
      <c r="B338">
        <f>IF($L338="","",INDEX(Расчет!$A$2:$A$3001,$L338))</f>
        <v/>
      </c>
      <c r="C338">
        <f>IF($L338="","",INDEX(Расчет!$B$2:$B$3001,$L338))</f>
        <v/>
      </c>
      <c r="D338">
        <f>IF($L338="","",IF(ISNUMBER(FIND("(",INDEX(Расчет!$C$2:$C$3001,$L338))),SUBSTITUTE(MID(INDEX(Расчет!$C$2:$C$3001,$L338),FIND("(",INDEX(Расчет!$C$2:$C$3001,$L338))+1,99),")",""),INDEX(Расчет!$C$2:$C$3001,$L338)))</f>
        <v/>
      </c>
      <c r="E338">
        <f>IF($L338="","",INDEX(Расчет!$D$2:$D$3001,$L338))</f>
        <v/>
      </c>
      <c r="F338">
        <f>IF($L338="","",INDEX(Расчет!$E$2:$E$3001,$L338))</f>
        <v/>
      </c>
      <c r="G338">
        <f>IF($L338="","",IFERROR(--LEFT(INDEX(Расчет!$C$2:$C$3001,$L338),FIND("(",INDEX(Расчет!$C$2:$C$3001,$L338))-1),IFERROR(--LEFT(INDEX(Расчет!$C$2:$C$3001,$L338),1),"")))</f>
        <v/>
      </c>
      <c r="H338">
        <f>IF($L338="","",SUMIFS(Расчет!$G$2:$G$3001,Расчет!$I$2:$I$3001,$K338,Расчет!$H$2:$H$3001,1))</f>
        <v/>
      </c>
      <c r="I338">
        <f>IF($L338="","",SUMIFS(Расчет!$G$2:$G$3001,Расчет!$I$2:$I$3001,$K338,Расчет!$H$2:$H$3001,2))</f>
        <v/>
      </c>
      <c r="J338">
        <f>IF($L338="","",SUMIFS(Расчет!$G$2:$G$3001,Расчет!$I$2:$I$3001,$K338,Расчет!$H$2:$H$3001,3))</f>
        <v/>
      </c>
      <c r="K338">
        <f>IF($L338="","",INDEX(Расчет!$I$2:$I$3001,$L338))</f>
        <v/>
      </c>
      <c r="L338">
        <f>IFERROR(MATCH(ROW()-1,Расчет!$J$2:$J$3001,0),"")</f>
        <v/>
      </c>
    </row>
    <row r="339">
      <c r="A339">
        <f>IF($L339="","",B339&amp;"."&amp;C339&amp;"-"&amp;D339&amp;"-"&amp;H339&amp;"."&amp;I339&amp;"."&amp;J339)</f>
        <v/>
      </c>
      <c r="B339">
        <f>IF($L339="","",INDEX(Расчет!$A$2:$A$3001,$L339))</f>
        <v/>
      </c>
      <c r="C339">
        <f>IF($L339="","",INDEX(Расчет!$B$2:$B$3001,$L339))</f>
        <v/>
      </c>
      <c r="D339">
        <f>IF($L339="","",IF(ISNUMBER(FIND("(",INDEX(Расчет!$C$2:$C$3001,$L339))),SUBSTITUTE(MID(INDEX(Расчет!$C$2:$C$3001,$L339),FIND("(",INDEX(Расчет!$C$2:$C$3001,$L339))+1,99),")",""),INDEX(Расчет!$C$2:$C$3001,$L339)))</f>
        <v/>
      </c>
      <c r="E339">
        <f>IF($L339="","",INDEX(Расчет!$D$2:$D$3001,$L339))</f>
        <v/>
      </c>
      <c r="F339">
        <f>IF($L339="","",INDEX(Расчет!$E$2:$E$3001,$L339))</f>
        <v/>
      </c>
      <c r="G339">
        <f>IF($L339="","",IFERROR(--LEFT(INDEX(Расчет!$C$2:$C$3001,$L339),FIND("(",INDEX(Расчет!$C$2:$C$3001,$L339))-1),IFERROR(--LEFT(INDEX(Расчет!$C$2:$C$3001,$L339),1),"")))</f>
        <v/>
      </c>
      <c r="H339">
        <f>IF($L339="","",SUMIFS(Расчет!$G$2:$G$3001,Расчет!$I$2:$I$3001,$K339,Расчет!$H$2:$H$3001,1))</f>
        <v/>
      </c>
      <c r="I339">
        <f>IF($L339="","",SUMIFS(Расчет!$G$2:$G$3001,Расчет!$I$2:$I$3001,$K339,Расчет!$H$2:$H$3001,2))</f>
        <v/>
      </c>
      <c r="J339">
        <f>IF($L339="","",SUMIFS(Расчет!$G$2:$G$3001,Расчет!$I$2:$I$3001,$K339,Расчет!$H$2:$H$3001,3))</f>
        <v/>
      </c>
      <c r="K339">
        <f>IF($L339="","",INDEX(Расчет!$I$2:$I$3001,$L339))</f>
        <v/>
      </c>
      <c r="L339">
        <f>IFERROR(MATCH(ROW()-1,Расчет!$J$2:$J$3001,0),"")</f>
        <v/>
      </c>
    </row>
    <row r="340">
      <c r="A340">
        <f>IF($L340="","",B340&amp;"."&amp;C340&amp;"-"&amp;D340&amp;"-"&amp;H340&amp;"."&amp;I340&amp;"."&amp;J340)</f>
        <v/>
      </c>
      <c r="B340">
        <f>IF($L340="","",INDEX(Расчет!$A$2:$A$3001,$L340))</f>
        <v/>
      </c>
      <c r="C340">
        <f>IF($L340="","",INDEX(Расчет!$B$2:$B$3001,$L340))</f>
        <v/>
      </c>
      <c r="D340">
        <f>IF($L340="","",IF(ISNUMBER(FIND("(",INDEX(Расчет!$C$2:$C$3001,$L340))),SUBSTITUTE(MID(INDEX(Расчет!$C$2:$C$3001,$L340),FIND("(",INDEX(Расчет!$C$2:$C$3001,$L340))+1,99),")",""),INDEX(Расчет!$C$2:$C$3001,$L340)))</f>
        <v/>
      </c>
      <c r="E340">
        <f>IF($L340="","",INDEX(Расчет!$D$2:$D$3001,$L340))</f>
        <v/>
      </c>
      <c r="F340">
        <f>IF($L340="","",INDEX(Расчет!$E$2:$E$3001,$L340))</f>
        <v/>
      </c>
      <c r="G340">
        <f>IF($L340="","",IFERROR(--LEFT(INDEX(Расчет!$C$2:$C$3001,$L340),FIND("(",INDEX(Расчет!$C$2:$C$3001,$L340))-1),IFERROR(--LEFT(INDEX(Расчет!$C$2:$C$3001,$L340),1),"")))</f>
        <v/>
      </c>
      <c r="H340">
        <f>IF($L340="","",SUMIFS(Расчет!$G$2:$G$3001,Расчет!$I$2:$I$3001,$K340,Расчет!$H$2:$H$3001,1))</f>
        <v/>
      </c>
      <c r="I340">
        <f>IF($L340="","",SUMIFS(Расчет!$G$2:$G$3001,Расчет!$I$2:$I$3001,$K340,Расчет!$H$2:$H$3001,2))</f>
        <v/>
      </c>
      <c r="J340">
        <f>IF($L340="","",SUMIFS(Расчет!$G$2:$G$3001,Расчет!$I$2:$I$3001,$K340,Расчет!$H$2:$H$3001,3))</f>
        <v/>
      </c>
      <c r="K340">
        <f>IF($L340="","",INDEX(Расчет!$I$2:$I$3001,$L340))</f>
        <v/>
      </c>
      <c r="L340">
        <f>IFERROR(MATCH(ROW()-1,Расчет!$J$2:$J$3001,0),"")</f>
        <v/>
      </c>
    </row>
    <row r="341">
      <c r="A341">
        <f>IF($L341="","",B341&amp;"."&amp;C341&amp;"-"&amp;D341&amp;"-"&amp;H341&amp;"."&amp;I341&amp;"."&amp;J341)</f>
        <v/>
      </c>
      <c r="B341">
        <f>IF($L341="","",INDEX(Расчет!$A$2:$A$3001,$L341))</f>
        <v/>
      </c>
      <c r="C341">
        <f>IF($L341="","",INDEX(Расчет!$B$2:$B$3001,$L341))</f>
        <v/>
      </c>
      <c r="D341">
        <f>IF($L341="","",IF(ISNUMBER(FIND("(",INDEX(Расчет!$C$2:$C$3001,$L341))),SUBSTITUTE(MID(INDEX(Расчет!$C$2:$C$3001,$L341),FIND("(",INDEX(Расчет!$C$2:$C$3001,$L341))+1,99),")",""),INDEX(Расчет!$C$2:$C$3001,$L341)))</f>
        <v/>
      </c>
      <c r="E341">
        <f>IF($L341="","",INDEX(Расчет!$D$2:$D$3001,$L341))</f>
        <v/>
      </c>
      <c r="F341">
        <f>IF($L341="","",INDEX(Расчет!$E$2:$E$3001,$L341))</f>
        <v/>
      </c>
      <c r="G341">
        <f>IF($L341="","",IFERROR(--LEFT(INDEX(Расчет!$C$2:$C$3001,$L341),FIND("(",INDEX(Расчет!$C$2:$C$3001,$L341))-1),IFERROR(--LEFT(INDEX(Расчет!$C$2:$C$3001,$L341),1),"")))</f>
        <v/>
      </c>
      <c r="H341">
        <f>IF($L341="","",SUMIFS(Расчет!$G$2:$G$3001,Расчет!$I$2:$I$3001,$K341,Расчет!$H$2:$H$3001,1))</f>
        <v/>
      </c>
      <c r="I341">
        <f>IF($L341="","",SUMIFS(Расчет!$G$2:$G$3001,Расчет!$I$2:$I$3001,$K341,Расчет!$H$2:$H$3001,2))</f>
        <v/>
      </c>
      <c r="J341">
        <f>IF($L341="","",SUMIFS(Расчет!$G$2:$G$3001,Расчет!$I$2:$I$3001,$K341,Расчет!$H$2:$H$3001,3))</f>
        <v/>
      </c>
      <c r="K341">
        <f>IF($L341="","",INDEX(Расчет!$I$2:$I$3001,$L341))</f>
        <v/>
      </c>
      <c r="L341">
        <f>IFERROR(MATCH(ROW()-1,Расчет!$J$2:$J$3001,0),"")</f>
        <v/>
      </c>
    </row>
    <row r="342">
      <c r="A342">
        <f>IF($L342="","",B342&amp;"."&amp;C342&amp;"-"&amp;D342&amp;"-"&amp;H342&amp;"."&amp;I342&amp;"."&amp;J342)</f>
        <v/>
      </c>
      <c r="B342">
        <f>IF($L342="","",INDEX(Расчет!$A$2:$A$3001,$L342))</f>
        <v/>
      </c>
      <c r="C342">
        <f>IF($L342="","",INDEX(Расчет!$B$2:$B$3001,$L342))</f>
        <v/>
      </c>
      <c r="D342">
        <f>IF($L342="","",IF(ISNUMBER(FIND("(",INDEX(Расчет!$C$2:$C$3001,$L342))),SUBSTITUTE(MID(INDEX(Расчет!$C$2:$C$3001,$L342),FIND("(",INDEX(Расчет!$C$2:$C$3001,$L342))+1,99),")",""),INDEX(Расчет!$C$2:$C$3001,$L342)))</f>
        <v/>
      </c>
      <c r="E342">
        <f>IF($L342="","",INDEX(Расчет!$D$2:$D$3001,$L342))</f>
        <v/>
      </c>
      <c r="F342">
        <f>IF($L342="","",INDEX(Расчет!$E$2:$E$3001,$L342))</f>
        <v/>
      </c>
      <c r="G342">
        <f>IF($L342="","",IFERROR(--LEFT(INDEX(Расчет!$C$2:$C$3001,$L342),FIND("(",INDEX(Расчет!$C$2:$C$3001,$L342))-1),IFERROR(--LEFT(INDEX(Расчет!$C$2:$C$3001,$L342),1),"")))</f>
        <v/>
      </c>
      <c r="H342">
        <f>IF($L342="","",SUMIFS(Расчет!$G$2:$G$3001,Расчет!$I$2:$I$3001,$K342,Расчет!$H$2:$H$3001,1))</f>
        <v/>
      </c>
      <c r="I342">
        <f>IF($L342="","",SUMIFS(Расчет!$G$2:$G$3001,Расчет!$I$2:$I$3001,$K342,Расчет!$H$2:$H$3001,2))</f>
        <v/>
      </c>
      <c r="J342">
        <f>IF($L342="","",SUMIFS(Расчет!$G$2:$G$3001,Расчет!$I$2:$I$3001,$K342,Расчет!$H$2:$H$3001,3))</f>
        <v/>
      </c>
      <c r="K342">
        <f>IF($L342="","",INDEX(Расчет!$I$2:$I$3001,$L342))</f>
        <v/>
      </c>
      <c r="L342">
        <f>IFERROR(MATCH(ROW()-1,Расчет!$J$2:$J$3001,0),"")</f>
        <v/>
      </c>
    </row>
    <row r="343">
      <c r="A343">
        <f>IF($L343="","",B343&amp;"."&amp;C343&amp;"-"&amp;D343&amp;"-"&amp;H343&amp;"."&amp;I343&amp;"."&amp;J343)</f>
        <v/>
      </c>
      <c r="B343">
        <f>IF($L343="","",INDEX(Расчет!$A$2:$A$3001,$L343))</f>
        <v/>
      </c>
      <c r="C343">
        <f>IF($L343="","",INDEX(Расчет!$B$2:$B$3001,$L343))</f>
        <v/>
      </c>
      <c r="D343">
        <f>IF($L343="","",IF(ISNUMBER(FIND("(",INDEX(Расчет!$C$2:$C$3001,$L343))),SUBSTITUTE(MID(INDEX(Расчет!$C$2:$C$3001,$L343),FIND("(",INDEX(Расчет!$C$2:$C$3001,$L343))+1,99),")",""),INDEX(Расчет!$C$2:$C$3001,$L343)))</f>
        <v/>
      </c>
      <c r="E343">
        <f>IF($L343="","",INDEX(Расчет!$D$2:$D$3001,$L343))</f>
        <v/>
      </c>
      <c r="F343">
        <f>IF($L343="","",INDEX(Расчет!$E$2:$E$3001,$L343))</f>
        <v/>
      </c>
      <c r="G343">
        <f>IF($L343="","",IFERROR(--LEFT(INDEX(Расчет!$C$2:$C$3001,$L343),FIND("(",INDEX(Расчет!$C$2:$C$3001,$L343))-1),IFERROR(--LEFT(INDEX(Расчет!$C$2:$C$3001,$L343),1),"")))</f>
        <v/>
      </c>
      <c r="H343">
        <f>IF($L343="","",SUMIFS(Расчет!$G$2:$G$3001,Расчет!$I$2:$I$3001,$K343,Расчет!$H$2:$H$3001,1))</f>
        <v/>
      </c>
      <c r="I343">
        <f>IF($L343="","",SUMIFS(Расчет!$G$2:$G$3001,Расчет!$I$2:$I$3001,$K343,Расчет!$H$2:$H$3001,2))</f>
        <v/>
      </c>
      <c r="J343">
        <f>IF($L343="","",SUMIFS(Расчет!$G$2:$G$3001,Расчет!$I$2:$I$3001,$K343,Расчет!$H$2:$H$3001,3))</f>
        <v/>
      </c>
      <c r="K343">
        <f>IF($L343="","",INDEX(Расчет!$I$2:$I$3001,$L343))</f>
        <v/>
      </c>
      <c r="L343">
        <f>IFERROR(MATCH(ROW()-1,Расчет!$J$2:$J$3001,0),"")</f>
        <v/>
      </c>
    </row>
    <row r="344">
      <c r="A344">
        <f>IF($L344="","",B344&amp;"."&amp;C344&amp;"-"&amp;D344&amp;"-"&amp;H344&amp;"."&amp;I344&amp;"."&amp;J344)</f>
        <v/>
      </c>
      <c r="B344">
        <f>IF($L344="","",INDEX(Расчет!$A$2:$A$3001,$L344))</f>
        <v/>
      </c>
      <c r="C344">
        <f>IF($L344="","",INDEX(Расчет!$B$2:$B$3001,$L344))</f>
        <v/>
      </c>
      <c r="D344">
        <f>IF($L344="","",IF(ISNUMBER(FIND("(",INDEX(Расчет!$C$2:$C$3001,$L344))),SUBSTITUTE(MID(INDEX(Расчет!$C$2:$C$3001,$L344),FIND("(",INDEX(Расчет!$C$2:$C$3001,$L344))+1,99),")",""),INDEX(Расчет!$C$2:$C$3001,$L344)))</f>
        <v/>
      </c>
      <c r="E344">
        <f>IF($L344="","",INDEX(Расчет!$D$2:$D$3001,$L344))</f>
        <v/>
      </c>
      <c r="F344">
        <f>IF($L344="","",INDEX(Расчет!$E$2:$E$3001,$L344))</f>
        <v/>
      </c>
      <c r="G344">
        <f>IF($L344="","",IFERROR(--LEFT(INDEX(Расчет!$C$2:$C$3001,$L344),FIND("(",INDEX(Расчет!$C$2:$C$3001,$L344))-1),IFERROR(--LEFT(INDEX(Расчет!$C$2:$C$3001,$L344),1),"")))</f>
        <v/>
      </c>
      <c r="H344">
        <f>IF($L344="","",SUMIFS(Расчет!$G$2:$G$3001,Расчет!$I$2:$I$3001,$K344,Расчет!$H$2:$H$3001,1))</f>
        <v/>
      </c>
      <c r="I344">
        <f>IF($L344="","",SUMIFS(Расчет!$G$2:$G$3001,Расчет!$I$2:$I$3001,$K344,Расчет!$H$2:$H$3001,2))</f>
        <v/>
      </c>
      <c r="J344">
        <f>IF($L344="","",SUMIFS(Расчет!$G$2:$G$3001,Расчет!$I$2:$I$3001,$K344,Расчет!$H$2:$H$3001,3))</f>
        <v/>
      </c>
      <c r="K344">
        <f>IF($L344="","",INDEX(Расчет!$I$2:$I$3001,$L344))</f>
        <v/>
      </c>
      <c r="L344">
        <f>IFERROR(MATCH(ROW()-1,Расчет!$J$2:$J$3001,0),"")</f>
        <v/>
      </c>
    </row>
    <row r="345">
      <c r="A345">
        <f>IF($L345="","",B345&amp;"."&amp;C345&amp;"-"&amp;D345&amp;"-"&amp;H345&amp;"."&amp;I345&amp;"."&amp;J345)</f>
        <v/>
      </c>
      <c r="B345">
        <f>IF($L345="","",INDEX(Расчет!$A$2:$A$3001,$L345))</f>
        <v/>
      </c>
      <c r="C345">
        <f>IF($L345="","",INDEX(Расчет!$B$2:$B$3001,$L345))</f>
        <v/>
      </c>
      <c r="D345">
        <f>IF($L345="","",IF(ISNUMBER(FIND("(",INDEX(Расчет!$C$2:$C$3001,$L345))),SUBSTITUTE(MID(INDEX(Расчет!$C$2:$C$3001,$L345),FIND("(",INDEX(Расчет!$C$2:$C$3001,$L345))+1,99),")",""),INDEX(Расчет!$C$2:$C$3001,$L345)))</f>
        <v/>
      </c>
      <c r="E345">
        <f>IF($L345="","",INDEX(Расчет!$D$2:$D$3001,$L345))</f>
        <v/>
      </c>
      <c r="F345">
        <f>IF($L345="","",INDEX(Расчет!$E$2:$E$3001,$L345))</f>
        <v/>
      </c>
      <c r="G345">
        <f>IF($L345="","",IFERROR(--LEFT(INDEX(Расчет!$C$2:$C$3001,$L345),FIND("(",INDEX(Расчет!$C$2:$C$3001,$L345))-1),IFERROR(--LEFT(INDEX(Расчет!$C$2:$C$3001,$L345),1),"")))</f>
        <v/>
      </c>
      <c r="H345">
        <f>IF($L345="","",SUMIFS(Расчет!$G$2:$G$3001,Расчет!$I$2:$I$3001,$K345,Расчет!$H$2:$H$3001,1))</f>
        <v/>
      </c>
      <c r="I345">
        <f>IF($L345="","",SUMIFS(Расчет!$G$2:$G$3001,Расчет!$I$2:$I$3001,$K345,Расчет!$H$2:$H$3001,2))</f>
        <v/>
      </c>
      <c r="J345">
        <f>IF($L345="","",SUMIFS(Расчет!$G$2:$G$3001,Расчет!$I$2:$I$3001,$K345,Расчет!$H$2:$H$3001,3))</f>
        <v/>
      </c>
      <c r="K345">
        <f>IF($L345="","",INDEX(Расчет!$I$2:$I$3001,$L345))</f>
        <v/>
      </c>
      <c r="L345">
        <f>IFERROR(MATCH(ROW()-1,Расчет!$J$2:$J$3001,0),"")</f>
        <v/>
      </c>
    </row>
    <row r="346">
      <c r="A346">
        <f>IF($L346="","",B346&amp;"."&amp;C346&amp;"-"&amp;D346&amp;"-"&amp;H346&amp;"."&amp;I346&amp;"."&amp;J346)</f>
        <v/>
      </c>
      <c r="B346">
        <f>IF($L346="","",INDEX(Расчет!$A$2:$A$3001,$L346))</f>
        <v/>
      </c>
      <c r="C346">
        <f>IF($L346="","",INDEX(Расчет!$B$2:$B$3001,$L346))</f>
        <v/>
      </c>
      <c r="D346">
        <f>IF($L346="","",IF(ISNUMBER(FIND("(",INDEX(Расчет!$C$2:$C$3001,$L346))),SUBSTITUTE(MID(INDEX(Расчет!$C$2:$C$3001,$L346),FIND("(",INDEX(Расчет!$C$2:$C$3001,$L346))+1,99),")",""),INDEX(Расчет!$C$2:$C$3001,$L346)))</f>
        <v/>
      </c>
      <c r="E346">
        <f>IF($L346="","",INDEX(Расчет!$D$2:$D$3001,$L346))</f>
        <v/>
      </c>
      <c r="F346">
        <f>IF($L346="","",INDEX(Расчет!$E$2:$E$3001,$L346))</f>
        <v/>
      </c>
      <c r="G346">
        <f>IF($L346="","",IFERROR(--LEFT(INDEX(Расчет!$C$2:$C$3001,$L346),FIND("(",INDEX(Расчет!$C$2:$C$3001,$L346))-1),IFERROR(--LEFT(INDEX(Расчет!$C$2:$C$3001,$L346),1),"")))</f>
        <v/>
      </c>
      <c r="H346">
        <f>IF($L346="","",SUMIFS(Расчет!$G$2:$G$3001,Расчет!$I$2:$I$3001,$K346,Расчет!$H$2:$H$3001,1))</f>
        <v/>
      </c>
      <c r="I346">
        <f>IF($L346="","",SUMIFS(Расчет!$G$2:$G$3001,Расчет!$I$2:$I$3001,$K346,Расчет!$H$2:$H$3001,2))</f>
        <v/>
      </c>
      <c r="J346">
        <f>IF($L346="","",SUMIFS(Расчет!$G$2:$G$3001,Расчет!$I$2:$I$3001,$K346,Расчет!$H$2:$H$3001,3))</f>
        <v/>
      </c>
      <c r="K346">
        <f>IF($L346="","",INDEX(Расчет!$I$2:$I$3001,$L346))</f>
        <v/>
      </c>
      <c r="L346">
        <f>IFERROR(MATCH(ROW()-1,Расчет!$J$2:$J$3001,0),"")</f>
        <v/>
      </c>
    </row>
    <row r="347">
      <c r="A347">
        <f>IF($L347="","",B347&amp;"."&amp;C347&amp;"-"&amp;D347&amp;"-"&amp;H347&amp;"."&amp;I347&amp;"."&amp;J347)</f>
        <v/>
      </c>
      <c r="B347">
        <f>IF($L347="","",INDEX(Расчет!$A$2:$A$3001,$L347))</f>
        <v/>
      </c>
      <c r="C347">
        <f>IF($L347="","",INDEX(Расчет!$B$2:$B$3001,$L347))</f>
        <v/>
      </c>
      <c r="D347">
        <f>IF($L347="","",IF(ISNUMBER(FIND("(",INDEX(Расчет!$C$2:$C$3001,$L347))),SUBSTITUTE(MID(INDEX(Расчет!$C$2:$C$3001,$L347),FIND("(",INDEX(Расчет!$C$2:$C$3001,$L347))+1,99),")",""),INDEX(Расчет!$C$2:$C$3001,$L347)))</f>
        <v/>
      </c>
      <c r="E347">
        <f>IF($L347="","",INDEX(Расчет!$D$2:$D$3001,$L347))</f>
        <v/>
      </c>
      <c r="F347">
        <f>IF($L347="","",INDEX(Расчет!$E$2:$E$3001,$L347))</f>
        <v/>
      </c>
      <c r="G347">
        <f>IF($L347="","",IFERROR(--LEFT(INDEX(Расчет!$C$2:$C$3001,$L347),FIND("(",INDEX(Расчет!$C$2:$C$3001,$L347))-1),IFERROR(--LEFT(INDEX(Расчет!$C$2:$C$3001,$L347),1),"")))</f>
        <v/>
      </c>
      <c r="H347">
        <f>IF($L347="","",SUMIFS(Расчет!$G$2:$G$3001,Расчет!$I$2:$I$3001,$K347,Расчет!$H$2:$H$3001,1))</f>
        <v/>
      </c>
      <c r="I347">
        <f>IF($L347="","",SUMIFS(Расчет!$G$2:$G$3001,Расчет!$I$2:$I$3001,$K347,Расчет!$H$2:$H$3001,2))</f>
        <v/>
      </c>
      <c r="J347">
        <f>IF($L347="","",SUMIFS(Расчет!$G$2:$G$3001,Расчет!$I$2:$I$3001,$K347,Расчет!$H$2:$H$3001,3))</f>
        <v/>
      </c>
      <c r="K347">
        <f>IF($L347="","",INDEX(Расчет!$I$2:$I$3001,$L347))</f>
        <v/>
      </c>
      <c r="L347">
        <f>IFERROR(MATCH(ROW()-1,Расчет!$J$2:$J$3001,0),"")</f>
        <v/>
      </c>
    </row>
    <row r="348">
      <c r="A348">
        <f>IF($L348="","",B348&amp;"."&amp;C348&amp;"-"&amp;D348&amp;"-"&amp;H348&amp;"."&amp;I348&amp;"."&amp;J348)</f>
        <v/>
      </c>
      <c r="B348">
        <f>IF($L348="","",INDEX(Расчет!$A$2:$A$3001,$L348))</f>
        <v/>
      </c>
      <c r="C348">
        <f>IF($L348="","",INDEX(Расчет!$B$2:$B$3001,$L348))</f>
        <v/>
      </c>
      <c r="D348">
        <f>IF($L348="","",IF(ISNUMBER(FIND("(",INDEX(Расчет!$C$2:$C$3001,$L348))),SUBSTITUTE(MID(INDEX(Расчет!$C$2:$C$3001,$L348),FIND("(",INDEX(Расчет!$C$2:$C$3001,$L348))+1,99),")",""),INDEX(Расчет!$C$2:$C$3001,$L348)))</f>
        <v/>
      </c>
      <c r="E348">
        <f>IF($L348="","",INDEX(Расчет!$D$2:$D$3001,$L348))</f>
        <v/>
      </c>
      <c r="F348">
        <f>IF($L348="","",INDEX(Расчет!$E$2:$E$3001,$L348))</f>
        <v/>
      </c>
      <c r="G348">
        <f>IF($L348="","",IFERROR(--LEFT(INDEX(Расчет!$C$2:$C$3001,$L348),FIND("(",INDEX(Расчет!$C$2:$C$3001,$L348))-1),IFERROR(--LEFT(INDEX(Расчет!$C$2:$C$3001,$L348),1),"")))</f>
        <v/>
      </c>
      <c r="H348">
        <f>IF($L348="","",SUMIFS(Расчет!$G$2:$G$3001,Расчет!$I$2:$I$3001,$K348,Расчет!$H$2:$H$3001,1))</f>
        <v/>
      </c>
      <c r="I348">
        <f>IF($L348="","",SUMIFS(Расчет!$G$2:$G$3001,Расчет!$I$2:$I$3001,$K348,Расчет!$H$2:$H$3001,2))</f>
        <v/>
      </c>
      <c r="J348">
        <f>IF($L348="","",SUMIFS(Расчет!$G$2:$G$3001,Расчет!$I$2:$I$3001,$K348,Расчет!$H$2:$H$3001,3))</f>
        <v/>
      </c>
      <c r="K348">
        <f>IF($L348="","",INDEX(Расчет!$I$2:$I$3001,$L348))</f>
        <v/>
      </c>
      <c r="L348">
        <f>IFERROR(MATCH(ROW()-1,Расчет!$J$2:$J$3001,0),"")</f>
        <v/>
      </c>
    </row>
    <row r="349">
      <c r="A349">
        <f>IF($L349="","",B349&amp;"."&amp;C349&amp;"-"&amp;D349&amp;"-"&amp;H349&amp;"."&amp;I349&amp;"."&amp;J349)</f>
        <v/>
      </c>
      <c r="B349">
        <f>IF($L349="","",INDEX(Расчет!$A$2:$A$3001,$L349))</f>
        <v/>
      </c>
      <c r="C349">
        <f>IF($L349="","",INDEX(Расчет!$B$2:$B$3001,$L349))</f>
        <v/>
      </c>
      <c r="D349">
        <f>IF($L349="","",IF(ISNUMBER(FIND("(",INDEX(Расчет!$C$2:$C$3001,$L349))),SUBSTITUTE(MID(INDEX(Расчет!$C$2:$C$3001,$L349),FIND("(",INDEX(Расчет!$C$2:$C$3001,$L349))+1,99),")",""),INDEX(Расчет!$C$2:$C$3001,$L349)))</f>
        <v/>
      </c>
      <c r="E349">
        <f>IF($L349="","",INDEX(Расчет!$D$2:$D$3001,$L349))</f>
        <v/>
      </c>
      <c r="F349">
        <f>IF($L349="","",INDEX(Расчет!$E$2:$E$3001,$L349))</f>
        <v/>
      </c>
      <c r="G349">
        <f>IF($L349="","",IFERROR(--LEFT(INDEX(Расчет!$C$2:$C$3001,$L349),FIND("(",INDEX(Расчет!$C$2:$C$3001,$L349))-1),IFERROR(--LEFT(INDEX(Расчет!$C$2:$C$3001,$L349),1),"")))</f>
        <v/>
      </c>
      <c r="H349">
        <f>IF($L349="","",SUMIFS(Расчет!$G$2:$G$3001,Расчет!$I$2:$I$3001,$K349,Расчет!$H$2:$H$3001,1))</f>
        <v/>
      </c>
      <c r="I349">
        <f>IF($L349="","",SUMIFS(Расчет!$G$2:$G$3001,Расчет!$I$2:$I$3001,$K349,Расчет!$H$2:$H$3001,2))</f>
        <v/>
      </c>
      <c r="J349">
        <f>IF($L349="","",SUMIFS(Расчет!$G$2:$G$3001,Расчет!$I$2:$I$3001,$K349,Расчет!$H$2:$H$3001,3))</f>
        <v/>
      </c>
      <c r="K349">
        <f>IF($L349="","",INDEX(Расчет!$I$2:$I$3001,$L349))</f>
        <v/>
      </c>
      <c r="L349">
        <f>IFERROR(MATCH(ROW()-1,Расчет!$J$2:$J$3001,0),"")</f>
        <v/>
      </c>
    </row>
    <row r="350">
      <c r="A350">
        <f>IF($L350="","",B350&amp;"."&amp;C350&amp;"-"&amp;D350&amp;"-"&amp;H350&amp;"."&amp;I350&amp;"."&amp;J350)</f>
        <v/>
      </c>
      <c r="B350">
        <f>IF($L350="","",INDEX(Расчет!$A$2:$A$3001,$L350))</f>
        <v/>
      </c>
      <c r="C350">
        <f>IF($L350="","",INDEX(Расчет!$B$2:$B$3001,$L350))</f>
        <v/>
      </c>
      <c r="D350">
        <f>IF($L350="","",IF(ISNUMBER(FIND("(",INDEX(Расчет!$C$2:$C$3001,$L350))),SUBSTITUTE(MID(INDEX(Расчет!$C$2:$C$3001,$L350),FIND("(",INDEX(Расчет!$C$2:$C$3001,$L350))+1,99),")",""),INDEX(Расчет!$C$2:$C$3001,$L350)))</f>
        <v/>
      </c>
      <c r="E350">
        <f>IF($L350="","",INDEX(Расчет!$D$2:$D$3001,$L350))</f>
        <v/>
      </c>
      <c r="F350">
        <f>IF($L350="","",INDEX(Расчет!$E$2:$E$3001,$L350))</f>
        <v/>
      </c>
      <c r="G350">
        <f>IF($L350="","",IFERROR(--LEFT(INDEX(Расчет!$C$2:$C$3001,$L350),FIND("(",INDEX(Расчет!$C$2:$C$3001,$L350))-1),IFERROR(--LEFT(INDEX(Расчет!$C$2:$C$3001,$L350),1),"")))</f>
        <v/>
      </c>
      <c r="H350">
        <f>IF($L350="","",SUMIFS(Расчет!$G$2:$G$3001,Расчет!$I$2:$I$3001,$K350,Расчет!$H$2:$H$3001,1))</f>
        <v/>
      </c>
      <c r="I350">
        <f>IF($L350="","",SUMIFS(Расчет!$G$2:$G$3001,Расчет!$I$2:$I$3001,$K350,Расчет!$H$2:$H$3001,2))</f>
        <v/>
      </c>
      <c r="J350">
        <f>IF($L350="","",SUMIFS(Расчет!$G$2:$G$3001,Расчет!$I$2:$I$3001,$K350,Расчет!$H$2:$H$3001,3))</f>
        <v/>
      </c>
      <c r="K350">
        <f>IF($L350="","",INDEX(Расчет!$I$2:$I$3001,$L350))</f>
        <v/>
      </c>
      <c r="L350">
        <f>IFERROR(MATCH(ROW()-1,Расчет!$J$2:$J$3001,0),"")</f>
        <v/>
      </c>
    </row>
    <row r="351">
      <c r="A351">
        <f>IF($L351="","",B351&amp;"."&amp;C351&amp;"-"&amp;D351&amp;"-"&amp;H351&amp;"."&amp;I351&amp;"."&amp;J351)</f>
        <v/>
      </c>
      <c r="B351">
        <f>IF($L351="","",INDEX(Расчет!$A$2:$A$3001,$L351))</f>
        <v/>
      </c>
      <c r="C351">
        <f>IF($L351="","",INDEX(Расчет!$B$2:$B$3001,$L351))</f>
        <v/>
      </c>
      <c r="D351">
        <f>IF($L351="","",IF(ISNUMBER(FIND("(",INDEX(Расчет!$C$2:$C$3001,$L351))),SUBSTITUTE(MID(INDEX(Расчет!$C$2:$C$3001,$L351),FIND("(",INDEX(Расчет!$C$2:$C$3001,$L351))+1,99),")",""),INDEX(Расчет!$C$2:$C$3001,$L351)))</f>
        <v/>
      </c>
      <c r="E351">
        <f>IF($L351="","",INDEX(Расчет!$D$2:$D$3001,$L351))</f>
        <v/>
      </c>
      <c r="F351">
        <f>IF($L351="","",INDEX(Расчет!$E$2:$E$3001,$L351))</f>
        <v/>
      </c>
      <c r="G351">
        <f>IF($L351="","",IFERROR(--LEFT(INDEX(Расчет!$C$2:$C$3001,$L351),FIND("(",INDEX(Расчет!$C$2:$C$3001,$L351))-1),IFERROR(--LEFT(INDEX(Расчет!$C$2:$C$3001,$L351),1),"")))</f>
        <v/>
      </c>
      <c r="H351">
        <f>IF($L351="","",SUMIFS(Расчет!$G$2:$G$3001,Расчет!$I$2:$I$3001,$K351,Расчет!$H$2:$H$3001,1))</f>
        <v/>
      </c>
      <c r="I351">
        <f>IF($L351="","",SUMIFS(Расчет!$G$2:$G$3001,Расчет!$I$2:$I$3001,$K351,Расчет!$H$2:$H$3001,2))</f>
        <v/>
      </c>
      <c r="J351">
        <f>IF($L351="","",SUMIFS(Расчет!$G$2:$G$3001,Расчет!$I$2:$I$3001,$K351,Расчет!$H$2:$H$3001,3))</f>
        <v/>
      </c>
      <c r="K351">
        <f>IF($L351="","",INDEX(Расчет!$I$2:$I$3001,$L351))</f>
        <v/>
      </c>
      <c r="L351">
        <f>IFERROR(MATCH(ROW()-1,Расчет!$J$2:$J$3001,0),"")</f>
        <v/>
      </c>
    </row>
    <row r="352">
      <c r="A352">
        <f>IF($L352="","",B352&amp;"."&amp;C352&amp;"-"&amp;D352&amp;"-"&amp;H352&amp;"."&amp;I352&amp;"."&amp;J352)</f>
        <v/>
      </c>
      <c r="B352">
        <f>IF($L352="","",INDEX(Расчет!$A$2:$A$3001,$L352))</f>
        <v/>
      </c>
      <c r="C352">
        <f>IF($L352="","",INDEX(Расчет!$B$2:$B$3001,$L352))</f>
        <v/>
      </c>
      <c r="D352">
        <f>IF($L352="","",IF(ISNUMBER(FIND("(",INDEX(Расчет!$C$2:$C$3001,$L352))),SUBSTITUTE(MID(INDEX(Расчет!$C$2:$C$3001,$L352),FIND("(",INDEX(Расчет!$C$2:$C$3001,$L352))+1,99),")",""),INDEX(Расчет!$C$2:$C$3001,$L352)))</f>
        <v/>
      </c>
      <c r="E352">
        <f>IF($L352="","",INDEX(Расчет!$D$2:$D$3001,$L352))</f>
        <v/>
      </c>
      <c r="F352">
        <f>IF($L352="","",INDEX(Расчет!$E$2:$E$3001,$L352))</f>
        <v/>
      </c>
      <c r="G352">
        <f>IF($L352="","",IFERROR(--LEFT(INDEX(Расчет!$C$2:$C$3001,$L352),FIND("(",INDEX(Расчет!$C$2:$C$3001,$L352))-1),IFERROR(--LEFT(INDEX(Расчет!$C$2:$C$3001,$L352),1),"")))</f>
        <v/>
      </c>
      <c r="H352">
        <f>IF($L352="","",SUMIFS(Расчет!$G$2:$G$3001,Расчет!$I$2:$I$3001,$K352,Расчет!$H$2:$H$3001,1))</f>
        <v/>
      </c>
      <c r="I352">
        <f>IF($L352="","",SUMIFS(Расчет!$G$2:$G$3001,Расчет!$I$2:$I$3001,$K352,Расчет!$H$2:$H$3001,2))</f>
        <v/>
      </c>
      <c r="J352">
        <f>IF($L352="","",SUMIFS(Расчет!$G$2:$G$3001,Расчет!$I$2:$I$3001,$K352,Расчет!$H$2:$H$3001,3))</f>
        <v/>
      </c>
      <c r="K352">
        <f>IF($L352="","",INDEX(Расчет!$I$2:$I$3001,$L352))</f>
        <v/>
      </c>
      <c r="L352">
        <f>IFERROR(MATCH(ROW()-1,Расчет!$J$2:$J$3001,0),"")</f>
        <v/>
      </c>
    </row>
    <row r="353">
      <c r="A353">
        <f>IF($L353="","",B353&amp;"."&amp;C353&amp;"-"&amp;D353&amp;"-"&amp;H353&amp;"."&amp;I353&amp;"."&amp;J353)</f>
        <v/>
      </c>
      <c r="B353">
        <f>IF($L353="","",INDEX(Расчет!$A$2:$A$3001,$L353))</f>
        <v/>
      </c>
      <c r="C353">
        <f>IF($L353="","",INDEX(Расчет!$B$2:$B$3001,$L353))</f>
        <v/>
      </c>
      <c r="D353">
        <f>IF($L353="","",IF(ISNUMBER(FIND("(",INDEX(Расчет!$C$2:$C$3001,$L353))),SUBSTITUTE(MID(INDEX(Расчет!$C$2:$C$3001,$L353),FIND("(",INDEX(Расчет!$C$2:$C$3001,$L353))+1,99),")",""),INDEX(Расчет!$C$2:$C$3001,$L353)))</f>
        <v/>
      </c>
      <c r="E353">
        <f>IF($L353="","",INDEX(Расчет!$D$2:$D$3001,$L353))</f>
        <v/>
      </c>
      <c r="F353">
        <f>IF($L353="","",INDEX(Расчет!$E$2:$E$3001,$L353))</f>
        <v/>
      </c>
      <c r="G353">
        <f>IF($L353="","",IFERROR(--LEFT(INDEX(Расчет!$C$2:$C$3001,$L353),FIND("(",INDEX(Расчет!$C$2:$C$3001,$L353))-1),IFERROR(--LEFT(INDEX(Расчет!$C$2:$C$3001,$L353),1),"")))</f>
        <v/>
      </c>
      <c r="H353">
        <f>IF($L353="","",SUMIFS(Расчет!$G$2:$G$3001,Расчет!$I$2:$I$3001,$K353,Расчет!$H$2:$H$3001,1))</f>
        <v/>
      </c>
      <c r="I353">
        <f>IF($L353="","",SUMIFS(Расчет!$G$2:$G$3001,Расчет!$I$2:$I$3001,$K353,Расчет!$H$2:$H$3001,2))</f>
        <v/>
      </c>
      <c r="J353">
        <f>IF($L353="","",SUMIFS(Расчет!$G$2:$G$3001,Расчет!$I$2:$I$3001,$K353,Расчет!$H$2:$H$3001,3))</f>
        <v/>
      </c>
      <c r="K353">
        <f>IF($L353="","",INDEX(Расчет!$I$2:$I$3001,$L353))</f>
        <v/>
      </c>
      <c r="L353">
        <f>IFERROR(MATCH(ROW()-1,Расчет!$J$2:$J$3001,0),"")</f>
        <v/>
      </c>
    </row>
    <row r="354">
      <c r="A354">
        <f>IF($L354="","",B354&amp;"."&amp;C354&amp;"-"&amp;D354&amp;"-"&amp;H354&amp;"."&amp;I354&amp;"."&amp;J354)</f>
        <v/>
      </c>
      <c r="B354">
        <f>IF($L354="","",INDEX(Расчет!$A$2:$A$3001,$L354))</f>
        <v/>
      </c>
      <c r="C354">
        <f>IF($L354="","",INDEX(Расчет!$B$2:$B$3001,$L354))</f>
        <v/>
      </c>
      <c r="D354">
        <f>IF($L354="","",IF(ISNUMBER(FIND("(",INDEX(Расчет!$C$2:$C$3001,$L354))),SUBSTITUTE(MID(INDEX(Расчет!$C$2:$C$3001,$L354),FIND("(",INDEX(Расчет!$C$2:$C$3001,$L354))+1,99),")",""),INDEX(Расчет!$C$2:$C$3001,$L354)))</f>
        <v/>
      </c>
      <c r="E354">
        <f>IF($L354="","",INDEX(Расчет!$D$2:$D$3001,$L354))</f>
        <v/>
      </c>
      <c r="F354">
        <f>IF($L354="","",INDEX(Расчет!$E$2:$E$3001,$L354))</f>
        <v/>
      </c>
      <c r="G354">
        <f>IF($L354="","",IFERROR(--LEFT(INDEX(Расчет!$C$2:$C$3001,$L354),FIND("(",INDEX(Расчет!$C$2:$C$3001,$L354))-1),IFERROR(--LEFT(INDEX(Расчет!$C$2:$C$3001,$L354),1),"")))</f>
        <v/>
      </c>
      <c r="H354">
        <f>IF($L354="","",SUMIFS(Расчет!$G$2:$G$3001,Расчет!$I$2:$I$3001,$K354,Расчет!$H$2:$H$3001,1))</f>
        <v/>
      </c>
      <c r="I354">
        <f>IF($L354="","",SUMIFS(Расчет!$G$2:$G$3001,Расчет!$I$2:$I$3001,$K354,Расчет!$H$2:$H$3001,2))</f>
        <v/>
      </c>
      <c r="J354">
        <f>IF($L354="","",SUMIFS(Расчет!$G$2:$G$3001,Расчет!$I$2:$I$3001,$K354,Расчет!$H$2:$H$3001,3))</f>
        <v/>
      </c>
      <c r="K354">
        <f>IF($L354="","",INDEX(Расчет!$I$2:$I$3001,$L354))</f>
        <v/>
      </c>
      <c r="L354">
        <f>IFERROR(MATCH(ROW()-1,Расчет!$J$2:$J$3001,0),"")</f>
        <v/>
      </c>
    </row>
    <row r="355">
      <c r="A355">
        <f>IF($L355="","",B355&amp;"."&amp;C355&amp;"-"&amp;D355&amp;"-"&amp;H355&amp;"."&amp;I355&amp;"."&amp;J355)</f>
        <v/>
      </c>
      <c r="B355">
        <f>IF($L355="","",INDEX(Расчет!$A$2:$A$3001,$L355))</f>
        <v/>
      </c>
      <c r="C355">
        <f>IF($L355="","",INDEX(Расчет!$B$2:$B$3001,$L355))</f>
        <v/>
      </c>
      <c r="D355">
        <f>IF($L355="","",IF(ISNUMBER(FIND("(",INDEX(Расчет!$C$2:$C$3001,$L355))),SUBSTITUTE(MID(INDEX(Расчет!$C$2:$C$3001,$L355),FIND("(",INDEX(Расчет!$C$2:$C$3001,$L355))+1,99),")",""),INDEX(Расчет!$C$2:$C$3001,$L355)))</f>
        <v/>
      </c>
      <c r="E355">
        <f>IF($L355="","",INDEX(Расчет!$D$2:$D$3001,$L355))</f>
        <v/>
      </c>
      <c r="F355">
        <f>IF($L355="","",INDEX(Расчет!$E$2:$E$3001,$L355))</f>
        <v/>
      </c>
      <c r="G355">
        <f>IF($L355="","",IFERROR(--LEFT(INDEX(Расчет!$C$2:$C$3001,$L355),FIND("(",INDEX(Расчет!$C$2:$C$3001,$L355))-1),IFERROR(--LEFT(INDEX(Расчет!$C$2:$C$3001,$L355),1),"")))</f>
        <v/>
      </c>
      <c r="H355">
        <f>IF($L355="","",SUMIFS(Расчет!$G$2:$G$3001,Расчет!$I$2:$I$3001,$K355,Расчет!$H$2:$H$3001,1))</f>
        <v/>
      </c>
      <c r="I355">
        <f>IF($L355="","",SUMIFS(Расчет!$G$2:$G$3001,Расчет!$I$2:$I$3001,$K355,Расчет!$H$2:$H$3001,2))</f>
        <v/>
      </c>
      <c r="J355">
        <f>IF($L355="","",SUMIFS(Расчет!$G$2:$G$3001,Расчет!$I$2:$I$3001,$K355,Расчет!$H$2:$H$3001,3))</f>
        <v/>
      </c>
      <c r="K355">
        <f>IF($L355="","",INDEX(Расчет!$I$2:$I$3001,$L355))</f>
        <v/>
      </c>
      <c r="L355">
        <f>IFERROR(MATCH(ROW()-1,Расчет!$J$2:$J$3001,0),"")</f>
        <v/>
      </c>
    </row>
    <row r="356">
      <c r="A356">
        <f>IF($L356="","",B356&amp;"."&amp;C356&amp;"-"&amp;D356&amp;"-"&amp;H356&amp;"."&amp;I356&amp;"."&amp;J356)</f>
        <v/>
      </c>
      <c r="B356">
        <f>IF($L356="","",INDEX(Расчет!$A$2:$A$3001,$L356))</f>
        <v/>
      </c>
      <c r="C356">
        <f>IF($L356="","",INDEX(Расчет!$B$2:$B$3001,$L356))</f>
        <v/>
      </c>
      <c r="D356">
        <f>IF($L356="","",IF(ISNUMBER(FIND("(",INDEX(Расчет!$C$2:$C$3001,$L356))),SUBSTITUTE(MID(INDEX(Расчет!$C$2:$C$3001,$L356),FIND("(",INDEX(Расчет!$C$2:$C$3001,$L356))+1,99),")",""),INDEX(Расчет!$C$2:$C$3001,$L356)))</f>
        <v/>
      </c>
      <c r="E356">
        <f>IF($L356="","",INDEX(Расчет!$D$2:$D$3001,$L356))</f>
        <v/>
      </c>
      <c r="F356">
        <f>IF($L356="","",INDEX(Расчет!$E$2:$E$3001,$L356))</f>
        <v/>
      </c>
      <c r="G356">
        <f>IF($L356="","",IFERROR(--LEFT(INDEX(Расчет!$C$2:$C$3001,$L356),FIND("(",INDEX(Расчет!$C$2:$C$3001,$L356))-1),IFERROR(--LEFT(INDEX(Расчет!$C$2:$C$3001,$L356),1),"")))</f>
        <v/>
      </c>
      <c r="H356">
        <f>IF($L356="","",SUMIFS(Расчет!$G$2:$G$3001,Расчет!$I$2:$I$3001,$K356,Расчет!$H$2:$H$3001,1))</f>
        <v/>
      </c>
      <c r="I356">
        <f>IF($L356="","",SUMIFS(Расчет!$G$2:$G$3001,Расчет!$I$2:$I$3001,$K356,Расчет!$H$2:$H$3001,2))</f>
        <v/>
      </c>
      <c r="J356">
        <f>IF($L356="","",SUMIFS(Расчет!$G$2:$G$3001,Расчет!$I$2:$I$3001,$K356,Расчет!$H$2:$H$3001,3))</f>
        <v/>
      </c>
      <c r="K356">
        <f>IF($L356="","",INDEX(Расчет!$I$2:$I$3001,$L356))</f>
        <v/>
      </c>
      <c r="L356">
        <f>IFERROR(MATCH(ROW()-1,Расчет!$J$2:$J$3001,0),"")</f>
        <v/>
      </c>
    </row>
    <row r="357">
      <c r="A357">
        <f>IF($L357="","",B357&amp;"."&amp;C357&amp;"-"&amp;D357&amp;"-"&amp;H357&amp;"."&amp;I357&amp;"."&amp;J357)</f>
        <v/>
      </c>
      <c r="B357">
        <f>IF($L357="","",INDEX(Расчет!$A$2:$A$3001,$L357))</f>
        <v/>
      </c>
      <c r="C357">
        <f>IF($L357="","",INDEX(Расчет!$B$2:$B$3001,$L357))</f>
        <v/>
      </c>
      <c r="D357">
        <f>IF($L357="","",IF(ISNUMBER(FIND("(",INDEX(Расчет!$C$2:$C$3001,$L357))),SUBSTITUTE(MID(INDEX(Расчет!$C$2:$C$3001,$L357),FIND("(",INDEX(Расчет!$C$2:$C$3001,$L357))+1,99),")",""),INDEX(Расчет!$C$2:$C$3001,$L357)))</f>
        <v/>
      </c>
      <c r="E357">
        <f>IF($L357="","",INDEX(Расчет!$D$2:$D$3001,$L357))</f>
        <v/>
      </c>
      <c r="F357">
        <f>IF($L357="","",INDEX(Расчет!$E$2:$E$3001,$L357))</f>
        <v/>
      </c>
      <c r="G357">
        <f>IF($L357="","",IFERROR(--LEFT(INDEX(Расчет!$C$2:$C$3001,$L357),FIND("(",INDEX(Расчет!$C$2:$C$3001,$L357))-1),IFERROR(--LEFT(INDEX(Расчет!$C$2:$C$3001,$L357),1),"")))</f>
        <v/>
      </c>
      <c r="H357">
        <f>IF($L357="","",SUMIFS(Расчет!$G$2:$G$3001,Расчет!$I$2:$I$3001,$K357,Расчет!$H$2:$H$3001,1))</f>
        <v/>
      </c>
      <c r="I357">
        <f>IF($L357="","",SUMIFS(Расчет!$G$2:$G$3001,Расчет!$I$2:$I$3001,$K357,Расчет!$H$2:$H$3001,2))</f>
        <v/>
      </c>
      <c r="J357">
        <f>IF($L357="","",SUMIFS(Расчет!$G$2:$G$3001,Расчет!$I$2:$I$3001,$K357,Расчет!$H$2:$H$3001,3))</f>
        <v/>
      </c>
      <c r="K357">
        <f>IF($L357="","",INDEX(Расчет!$I$2:$I$3001,$L357))</f>
        <v/>
      </c>
      <c r="L357">
        <f>IFERROR(MATCH(ROW()-1,Расчет!$J$2:$J$3001,0),"")</f>
        <v/>
      </c>
    </row>
    <row r="358">
      <c r="A358">
        <f>IF($L358="","",B358&amp;"."&amp;C358&amp;"-"&amp;D358&amp;"-"&amp;H358&amp;"."&amp;I358&amp;"."&amp;J358)</f>
        <v/>
      </c>
      <c r="B358">
        <f>IF($L358="","",INDEX(Расчет!$A$2:$A$3001,$L358))</f>
        <v/>
      </c>
      <c r="C358">
        <f>IF($L358="","",INDEX(Расчет!$B$2:$B$3001,$L358))</f>
        <v/>
      </c>
      <c r="D358">
        <f>IF($L358="","",IF(ISNUMBER(FIND("(",INDEX(Расчет!$C$2:$C$3001,$L358))),SUBSTITUTE(MID(INDEX(Расчет!$C$2:$C$3001,$L358),FIND("(",INDEX(Расчет!$C$2:$C$3001,$L358))+1,99),")",""),INDEX(Расчет!$C$2:$C$3001,$L358)))</f>
        <v/>
      </c>
      <c r="E358">
        <f>IF($L358="","",INDEX(Расчет!$D$2:$D$3001,$L358))</f>
        <v/>
      </c>
      <c r="F358">
        <f>IF($L358="","",INDEX(Расчет!$E$2:$E$3001,$L358))</f>
        <v/>
      </c>
      <c r="G358">
        <f>IF($L358="","",IFERROR(--LEFT(INDEX(Расчет!$C$2:$C$3001,$L358),FIND("(",INDEX(Расчет!$C$2:$C$3001,$L358))-1),IFERROR(--LEFT(INDEX(Расчет!$C$2:$C$3001,$L358),1),"")))</f>
        <v/>
      </c>
      <c r="H358">
        <f>IF($L358="","",SUMIFS(Расчет!$G$2:$G$3001,Расчет!$I$2:$I$3001,$K358,Расчет!$H$2:$H$3001,1))</f>
        <v/>
      </c>
      <c r="I358">
        <f>IF($L358="","",SUMIFS(Расчет!$G$2:$G$3001,Расчет!$I$2:$I$3001,$K358,Расчет!$H$2:$H$3001,2))</f>
        <v/>
      </c>
      <c r="J358">
        <f>IF($L358="","",SUMIFS(Расчет!$G$2:$G$3001,Расчет!$I$2:$I$3001,$K358,Расчет!$H$2:$H$3001,3))</f>
        <v/>
      </c>
      <c r="K358">
        <f>IF($L358="","",INDEX(Расчет!$I$2:$I$3001,$L358))</f>
        <v/>
      </c>
      <c r="L358">
        <f>IFERROR(MATCH(ROW()-1,Расчет!$J$2:$J$3001,0),"")</f>
        <v/>
      </c>
    </row>
    <row r="359">
      <c r="A359">
        <f>IF($L359="","",B359&amp;"."&amp;C359&amp;"-"&amp;D359&amp;"-"&amp;H359&amp;"."&amp;I359&amp;"."&amp;J359)</f>
        <v/>
      </c>
      <c r="B359">
        <f>IF($L359="","",INDEX(Расчет!$A$2:$A$3001,$L359))</f>
        <v/>
      </c>
      <c r="C359">
        <f>IF($L359="","",INDEX(Расчет!$B$2:$B$3001,$L359))</f>
        <v/>
      </c>
      <c r="D359">
        <f>IF($L359="","",IF(ISNUMBER(FIND("(",INDEX(Расчет!$C$2:$C$3001,$L359))),SUBSTITUTE(MID(INDEX(Расчет!$C$2:$C$3001,$L359),FIND("(",INDEX(Расчет!$C$2:$C$3001,$L359))+1,99),")",""),INDEX(Расчет!$C$2:$C$3001,$L359)))</f>
        <v/>
      </c>
      <c r="E359">
        <f>IF($L359="","",INDEX(Расчет!$D$2:$D$3001,$L359))</f>
        <v/>
      </c>
      <c r="F359">
        <f>IF($L359="","",INDEX(Расчет!$E$2:$E$3001,$L359))</f>
        <v/>
      </c>
      <c r="G359">
        <f>IF($L359="","",IFERROR(--LEFT(INDEX(Расчет!$C$2:$C$3001,$L359),FIND("(",INDEX(Расчет!$C$2:$C$3001,$L359))-1),IFERROR(--LEFT(INDEX(Расчет!$C$2:$C$3001,$L359),1),"")))</f>
        <v/>
      </c>
      <c r="H359">
        <f>IF($L359="","",SUMIFS(Расчет!$G$2:$G$3001,Расчет!$I$2:$I$3001,$K359,Расчет!$H$2:$H$3001,1))</f>
        <v/>
      </c>
      <c r="I359">
        <f>IF($L359="","",SUMIFS(Расчет!$G$2:$G$3001,Расчет!$I$2:$I$3001,$K359,Расчет!$H$2:$H$3001,2))</f>
        <v/>
      </c>
      <c r="J359">
        <f>IF($L359="","",SUMIFS(Расчет!$G$2:$G$3001,Расчет!$I$2:$I$3001,$K359,Расчет!$H$2:$H$3001,3))</f>
        <v/>
      </c>
      <c r="K359">
        <f>IF($L359="","",INDEX(Расчет!$I$2:$I$3001,$L359))</f>
        <v/>
      </c>
      <c r="L359">
        <f>IFERROR(MATCH(ROW()-1,Расчет!$J$2:$J$3001,0),"")</f>
        <v/>
      </c>
    </row>
    <row r="360">
      <c r="A360">
        <f>IF($L360="","",B360&amp;"."&amp;C360&amp;"-"&amp;D360&amp;"-"&amp;H360&amp;"."&amp;I360&amp;"."&amp;J360)</f>
        <v/>
      </c>
      <c r="B360">
        <f>IF($L360="","",INDEX(Расчет!$A$2:$A$3001,$L360))</f>
        <v/>
      </c>
      <c r="C360">
        <f>IF($L360="","",INDEX(Расчет!$B$2:$B$3001,$L360))</f>
        <v/>
      </c>
      <c r="D360">
        <f>IF($L360="","",IF(ISNUMBER(FIND("(",INDEX(Расчет!$C$2:$C$3001,$L360))),SUBSTITUTE(MID(INDEX(Расчет!$C$2:$C$3001,$L360),FIND("(",INDEX(Расчет!$C$2:$C$3001,$L360))+1,99),")",""),INDEX(Расчет!$C$2:$C$3001,$L360)))</f>
        <v/>
      </c>
      <c r="E360">
        <f>IF($L360="","",INDEX(Расчет!$D$2:$D$3001,$L360))</f>
        <v/>
      </c>
      <c r="F360">
        <f>IF($L360="","",INDEX(Расчет!$E$2:$E$3001,$L360))</f>
        <v/>
      </c>
      <c r="G360">
        <f>IF($L360="","",IFERROR(--LEFT(INDEX(Расчет!$C$2:$C$3001,$L360),FIND("(",INDEX(Расчет!$C$2:$C$3001,$L360))-1),IFERROR(--LEFT(INDEX(Расчет!$C$2:$C$3001,$L360),1),"")))</f>
        <v/>
      </c>
      <c r="H360">
        <f>IF($L360="","",SUMIFS(Расчет!$G$2:$G$3001,Расчет!$I$2:$I$3001,$K360,Расчет!$H$2:$H$3001,1))</f>
        <v/>
      </c>
      <c r="I360">
        <f>IF($L360="","",SUMIFS(Расчет!$G$2:$G$3001,Расчет!$I$2:$I$3001,$K360,Расчет!$H$2:$H$3001,2))</f>
        <v/>
      </c>
      <c r="J360">
        <f>IF($L360="","",SUMIFS(Расчет!$G$2:$G$3001,Расчет!$I$2:$I$3001,$K360,Расчет!$H$2:$H$3001,3))</f>
        <v/>
      </c>
      <c r="K360">
        <f>IF($L360="","",INDEX(Расчет!$I$2:$I$3001,$L360))</f>
        <v/>
      </c>
      <c r="L360">
        <f>IFERROR(MATCH(ROW()-1,Расчет!$J$2:$J$3001,0),"")</f>
        <v/>
      </c>
    </row>
    <row r="361">
      <c r="A361">
        <f>IF($L361="","",B361&amp;"."&amp;C361&amp;"-"&amp;D361&amp;"-"&amp;H361&amp;"."&amp;I361&amp;"."&amp;J361)</f>
        <v/>
      </c>
      <c r="B361">
        <f>IF($L361="","",INDEX(Расчет!$A$2:$A$3001,$L361))</f>
        <v/>
      </c>
      <c r="C361">
        <f>IF($L361="","",INDEX(Расчет!$B$2:$B$3001,$L361))</f>
        <v/>
      </c>
      <c r="D361">
        <f>IF($L361="","",IF(ISNUMBER(FIND("(",INDEX(Расчет!$C$2:$C$3001,$L361))),SUBSTITUTE(MID(INDEX(Расчет!$C$2:$C$3001,$L361),FIND("(",INDEX(Расчет!$C$2:$C$3001,$L361))+1,99),")",""),INDEX(Расчет!$C$2:$C$3001,$L361)))</f>
        <v/>
      </c>
      <c r="E361">
        <f>IF($L361="","",INDEX(Расчет!$D$2:$D$3001,$L361))</f>
        <v/>
      </c>
      <c r="F361">
        <f>IF($L361="","",INDEX(Расчет!$E$2:$E$3001,$L361))</f>
        <v/>
      </c>
      <c r="G361">
        <f>IF($L361="","",IFERROR(--LEFT(INDEX(Расчет!$C$2:$C$3001,$L361),FIND("(",INDEX(Расчет!$C$2:$C$3001,$L361))-1),IFERROR(--LEFT(INDEX(Расчет!$C$2:$C$3001,$L361),1),"")))</f>
        <v/>
      </c>
      <c r="H361">
        <f>IF($L361="","",SUMIFS(Расчет!$G$2:$G$3001,Расчет!$I$2:$I$3001,$K361,Расчет!$H$2:$H$3001,1))</f>
        <v/>
      </c>
      <c r="I361">
        <f>IF($L361="","",SUMIFS(Расчет!$G$2:$G$3001,Расчет!$I$2:$I$3001,$K361,Расчет!$H$2:$H$3001,2))</f>
        <v/>
      </c>
      <c r="J361">
        <f>IF($L361="","",SUMIFS(Расчет!$G$2:$G$3001,Расчет!$I$2:$I$3001,$K361,Расчет!$H$2:$H$3001,3))</f>
        <v/>
      </c>
      <c r="K361">
        <f>IF($L361="","",INDEX(Расчет!$I$2:$I$3001,$L361))</f>
        <v/>
      </c>
      <c r="L361">
        <f>IFERROR(MATCH(ROW()-1,Расчет!$J$2:$J$3001,0),"")</f>
        <v/>
      </c>
    </row>
    <row r="362">
      <c r="A362">
        <f>IF($L362="","",B362&amp;"."&amp;C362&amp;"-"&amp;D362&amp;"-"&amp;H362&amp;"."&amp;I362&amp;"."&amp;J362)</f>
        <v/>
      </c>
      <c r="B362">
        <f>IF($L362="","",INDEX(Расчет!$A$2:$A$3001,$L362))</f>
        <v/>
      </c>
      <c r="C362">
        <f>IF($L362="","",INDEX(Расчет!$B$2:$B$3001,$L362))</f>
        <v/>
      </c>
      <c r="D362">
        <f>IF($L362="","",IF(ISNUMBER(FIND("(",INDEX(Расчет!$C$2:$C$3001,$L362))),SUBSTITUTE(MID(INDEX(Расчет!$C$2:$C$3001,$L362),FIND("(",INDEX(Расчет!$C$2:$C$3001,$L362))+1,99),")",""),INDEX(Расчет!$C$2:$C$3001,$L362)))</f>
        <v/>
      </c>
      <c r="E362">
        <f>IF($L362="","",INDEX(Расчет!$D$2:$D$3001,$L362))</f>
        <v/>
      </c>
      <c r="F362">
        <f>IF($L362="","",INDEX(Расчет!$E$2:$E$3001,$L362))</f>
        <v/>
      </c>
      <c r="G362">
        <f>IF($L362="","",IFERROR(--LEFT(INDEX(Расчет!$C$2:$C$3001,$L362),FIND("(",INDEX(Расчет!$C$2:$C$3001,$L362))-1),IFERROR(--LEFT(INDEX(Расчет!$C$2:$C$3001,$L362),1),"")))</f>
        <v/>
      </c>
      <c r="H362">
        <f>IF($L362="","",SUMIFS(Расчет!$G$2:$G$3001,Расчет!$I$2:$I$3001,$K362,Расчет!$H$2:$H$3001,1))</f>
        <v/>
      </c>
      <c r="I362">
        <f>IF($L362="","",SUMIFS(Расчет!$G$2:$G$3001,Расчет!$I$2:$I$3001,$K362,Расчет!$H$2:$H$3001,2))</f>
        <v/>
      </c>
      <c r="J362">
        <f>IF($L362="","",SUMIFS(Расчет!$G$2:$G$3001,Расчет!$I$2:$I$3001,$K362,Расчет!$H$2:$H$3001,3))</f>
        <v/>
      </c>
      <c r="K362">
        <f>IF($L362="","",INDEX(Расчет!$I$2:$I$3001,$L362))</f>
        <v/>
      </c>
      <c r="L362">
        <f>IFERROR(MATCH(ROW()-1,Расчет!$J$2:$J$3001,0),"")</f>
        <v/>
      </c>
    </row>
    <row r="363">
      <c r="A363">
        <f>IF($L363="","",B363&amp;"."&amp;C363&amp;"-"&amp;D363&amp;"-"&amp;H363&amp;"."&amp;I363&amp;"."&amp;J363)</f>
        <v/>
      </c>
      <c r="B363">
        <f>IF($L363="","",INDEX(Расчет!$A$2:$A$3001,$L363))</f>
        <v/>
      </c>
      <c r="C363">
        <f>IF($L363="","",INDEX(Расчет!$B$2:$B$3001,$L363))</f>
        <v/>
      </c>
      <c r="D363">
        <f>IF($L363="","",IF(ISNUMBER(FIND("(",INDEX(Расчет!$C$2:$C$3001,$L363))),SUBSTITUTE(MID(INDEX(Расчет!$C$2:$C$3001,$L363),FIND("(",INDEX(Расчет!$C$2:$C$3001,$L363))+1,99),")",""),INDEX(Расчет!$C$2:$C$3001,$L363)))</f>
        <v/>
      </c>
      <c r="E363">
        <f>IF($L363="","",INDEX(Расчет!$D$2:$D$3001,$L363))</f>
        <v/>
      </c>
      <c r="F363">
        <f>IF($L363="","",INDEX(Расчет!$E$2:$E$3001,$L363))</f>
        <v/>
      </c>
      <c r="G363">
        <f>IF($L363="","",IFERROR(--LEFT(INDEX(Расчет!$C$2:$C$3001,$L363),FIND("(",INDEX(Расчет!$C$2:$C$3001,$L363))-1),IFERROR(--LEFT(INDEX(Расчет!$C$2:$C$3001,$L363),1),"")))</f>
        <v/>
      </c>
      <c r="H363">
        <f>IF($L363="","",SUMIFS(Расчет!$G$2:$G$3001,Расчет!$I$2:$I$3001,$K363,Расчет!$H$2:$H$3001,1))</f>
        <v/>
      </c>
      <c r="I363">
        <f>IF($L363="","",SUMIFS(Расчет!$G$2:$G$3001,Расчет!$I$2:$I$3001,$K363,Расчет!$H$2:$H$3001,2))</f>
        <v/>
      </c>
      <c r="J363">
        <f>IF($L363="","",SUMIFS(Расчет!$G$2:$G$3001,Расчет!$I$2:$I$3001,$K363,Расчет!$H$2:$H$3001,3))</f>
        <v/>
      </c>
      <c r="K363">
        <f>IF($L363="","",INDEX(Расчет!$I$2:$I$3001,$L363))</f>
        <v/>
      </c>
      <c r="L363">
        <f>IFERROR(MATCH(ROW()-1,Расчет!$J$2:$J$3001,0),"")</f>
        <v/>
      </c>
    </row>
    <row r="364">
      <c r="A364">
        <f>IF($L364="","",B364&amp;"."&amp;C364&amp;"-"&amp;D364&amp;"-"&amp;H364&amp;"."&amp;I364&amp;"."&amp;J364)</f>
        <v/>
      </c>
      <c r="B364">
        <f>IF($L364="","",INDEX(Расчет!$A$2:$A$3001,$L364))</f>
        <v/>
      </c>
      <c r="C364">
        <f>IF($L364="","",INDEX(Расчет!$B$2:$B$3001,$L364))</f>
        <v/>
      </c>
      <c r="D364">
        <f>IF($L364="","",IF(ISNUMBER(FIND("(",INDEX(Расчет!$C$2:$C$3001,$L364))),SUBSTITUTE(MID(INDEX(Расчет!$C$2:$C$3001,$L364),FIND("(",INDEX(Расчет!$C$2:$C$3001,$L364))+1,99),")",""),INDEX(Расчет!$C$2:$C$3001,$L364)))</f>
        <v/>
      </c>
      <c r="E364">
        <f>IF($L364="","",INDEX(Расчет!$D$2:$D$3001,$L364))</f>
        <v/>
      </c>
      <c r="F364">
        <f>IF($L364="","",INDEX(Расчет!$E$2:$E$3001,$L364))</f>
        <v/>
      </c>
      <c r="G364">
        <f>IF($L364="","",IFERROR(--LEFT(INDEX(Расчет!$C$2:$C$3001,$L364),FIND("(",INDEX(Расчет!$C$2:$C$3001,$L364))-1),IFERROR(--LEFT(INDEX(Расчет!$C$2:$C$3001,$L364),1),"")))</f>
        <v/>
      </c>
      <c r="H364">
        <f>IF($L364="","",SUMIFS(Расчет!$G$2:$G$3001,Расчет!$I$2:$I$3001,$K364,Расчет!$H$2:$H$3001,1))</f>
        <v/>
      </c>
      <c r="I364">
        <f>IF($L364="","",SUMIFS(Расчет!$G$2:$G$3001,Расчет!$I$2:$I$3001,$K364,Расчет!$H$2:$H$3001,2))</f>
        <v/>
      </c>
      <c r="J364">
        <f>IF($L364="","",SUMIFS(Расчет!$G$2:$G$3001,Расчет!$I$2:$I$3001,$K364,Расчет!$H$2:$H$3001,3))</f>
        <v/>
      </c>
      <c r="K364">
        <f>IF($L364="","",INDEX(Расчет!$I$2:$I$3001,$L364))</f>
        <v/>
      </c>
      <c r="L364">
        <f>IFERROR(MATCH(ROW()-1,Расчет!$J$2:$J$3001,0),"")</f>
        <v/>
      </c>
    </row>
    <row r="365">
      <c r="A365">
        <f>IF($L365="","",B365&amp;"."&amp;C365&amp;"-"&amp;D365&amp;"-"&amp;H365&amp;"."&amp;I365&amp;"."&amp;J365)</f>
        <v/>
      </c>
      <c r="B365">
        <f>IF($L365="","",INDEX(Расчет!$A$2:$A$3001,$L365))</f>
        <v/>
      </c>
      <c r="C365">
        <f>IF($L365="","",INDEX(Расчет!$B$2:$B$3001,$L365))</f>
        <v/>
      </c>
      <c r="D365">
        <f>IF($L365="","",IF(ISNUMBER(FIND("(",INDEX(Расчет!$C$2:$C$3001,$L365))),SUBSTITUTE(MID(INDEX(Расчет!$C$2:$C$3001,$L365),FIND("(",INDEX(Расчет!$C$2:$C$3001,$L365))+1,99),")",""),INDEX(Расчет!$C$2:$C$3001,$L365)))</f>
        <v/>
      </c>
      <c r="E365">
        <f>IF($L365="","",INDEX(Расчет!$D$2:$D$3001,$L365))</f>
        <v/>
      </c>
      <c r="F365">
        <f>IF($L365="","",INDEX(Расчет!$E$2:$E$3001,$L365))</f>
        <v/>
      </c>
      <c r="G365">
        <f>IF($L365="","",IFERROR(--LEFT(INDEX(Расчет!$C$2:$C$3001,$L365),FIND("(",INDEX(Расчет!$C$2:$C$3001,$L365))-1),IFERROR(--LEFT(INDEX(Расчет!$C$2:$C$3001,$L365),1),"")))</f>
        <v/>
      </c>
      <c r="H365">
        <f>IF($L365="","",SUMIFS(Расчет!$G$2:$G$3001,Расчет!$I$2:$I$3001,$K365,Расчет!$H$2:$H$3001,1))</f>
        <v/>
      </c>
      <c r="I365">
        <f>IF($L365="","",SUMIFS(Расчет!$G$2:$G$3001,Расчет!$I$2:$I$3001,$K365,Расчет!$H$2:$H$3001,2))</f>
        <v/>
      </c>
      <c r="J365">
        <f>IF($L365="","",SUMIFS(Расчет!$G$2:$G$3001,Расчет!$I$2:$I$3001,$K365,Расчет!$H$2:$H$3001,3))</f>
        <v/>
      </c>
      <c r="K365">
        <f>IF($L365="","",INDEX(Расчет!$I$2:$I$3001,$L365))</f>
        <v/>
      </c>
      <c r="L365">
        <f>IFERROR(MATCH(ROW()-1,Расчет!$J$2:$J$3001,0),"")</f>
        <v/>
      </c>
    </row>
    <row r="366">
      <c r="A366">
        <f>IF($L366="","",B366&amp;"."&amp;C366&amp;"-"&amp;D366&amp;"-"&amp;H366&amp;"."&amp;I366&amp;"."&amp;J366)</f>
        <v/>
      </c>
      <c r="B366">
        <f>IF($L366="","",INDEX(Расчет!$A$2:$A$3001,$L366))</f>
        <v/>
      </c>
      <c r="C366">
        <f>IF($L366="","",INDEX(Расчет!$B$2:$B$3001,$L366))</f>
        <v/>
      </c>
      <c r="D366">
        <f>IF($L366="","",IF(ISNUMBER(FIND("(",INDEX(Расчет!$C$2:$C$3001,$L366))),SUBSTITUTE(MID(INDEX(Расчет!$C$2:$C$3001,$L366),FIND("(",INDEX(Расчет!$C$2:$C$3001,$L366))+1,99),")",""),INDEX(Расчет!$C$2:$C$3001,$L366)))</f>
        <v/>
      </c>
      <c r="E366">
        <f>IF($L366="","",INDEX(Расчет!$D$2:$D$3001,$L366))</f>
        <v/>
      </c>
      <c r="F366">
        <f>IF($L366="","",INDEX(Расчет!$E$2:$E$3001,$L366))</f>
        <v/>
      </c>
      <c r="G366">
        <f>IF($L366="","",IFERROR(--LEFT(INDEX(Расчет!$C$2:$C$3001,$L366),FIND("(",INDEX(Расчет!$C$2:$C$3001,$L366))-1),IFERROR(--LEFT(INDEX(Расчет!$C$2:$C$3001,$L366),1),"")))</f>
        <v/>
      </c>
      <c r="H366">
        <f>IF($L366="","",SUMIFS(Расчет!$G$2:$G$3001,Расчет!$I$2:$I$3001,$K366,Расчет!$H$2:$H$3001,1))</f>
        <v/>
      </c>
      <c r="I366">
        <f>IF($L366="","",SUMIFS(Расчет!$G$2:$G$3001,Расчет!$I$2:$I$3001,$K366,Расчет!$H$2:$H$3001,2))</f>
        <v/>
      </c>
      <c r="J366">
        <f>IF($L366="","",SUMIFS(Расчет!$G$2:$G$3001,Расчет!$I$2:$I$3001,$K366,Расчет!$H$2:$H$3001,3))</f>
        <v/>
      </c>
      <c r="K366">
        <f>IF($L366="","",INDEX(Расчет!$I$2:$I$3001,$L366))</f>
        <v/>
      </c>
      <c r="L366">
        <f>IFERROR(MATCH(ROW()-1,Расчет!$J$2:$J$3001,0),"")</f>
        <v/>
      </c>
    </row>
    <row r="367">
      <c r="A367">
        <f>IF($L367="","",B367&amp;"."&amp;C367&amp;"-"&amp;D367&amp;"-"&amp;H367&amp;"."&amp;I367&amp;"."&amp;J367)</f>
        <v/>
      </c>
      <c r="B367">
        <f>IF($L367="","",INDEX(Расчет!$A$2:$A$3001,$L367))</f>
        <v/>
      </c>
      <c r="C367">
        <f>IF($L367="","",INDEX(Расчет!$B$2:$B$3001,$L367))</f>
        <v/>
      </c>
      <c r="D367">
        <f>IF($L367="","",IF(ISNUMBER(FIND("(",INDEX(Расчет!$C$2:$C$3001,$L367))),SUBSTITUTE(MID(INDEX(Расчет!$C$2:$C$3001,$L367),FIND("(",INDEX(Расчет!$C$2:$C$3001,$L367))+1,99),")",""),INDEX(Расчет!$C$2:$C$3001,$L367)))</f>
        <v/>
      </c>
      <c r="E367">
        <f>IF($L367="","",INDEX(Расчет!$D$2:$D$3001,$L367))</f>
        <v/>
      </c>
      <c r="F367">
        <f>IF($L367="","",INDEX(Расчет!$E$2:$E$3001,$L367))</f>
        <v/>
      </c>
      <c r="G367">
        <f>IF($L367="","",IFERROR(--LEFT(INDEX(Расчет!$C$2:$C$3001,$L367),FIND("(",INDEX(Расчет!$C$2:$C$3001,$L367))-1),IFERROR(--LEFT(INDEX(Расчет!$C$2:$C$3001,$L367),1),"")))</f>
        <v/>
      </c>
      <c r="H367">
        <f>IF($L367="","",SUMIFS(Расчет!$G$2:$G$3001,Расчет!$I$2:$I$3001,$K367,Расчет!$H$2:$H$3001,1))</f>
        <v/>
      </c>
      <c r="I367">
        <f>IF($L367="","",SUMIFS(Расчет!$G$2:$G$3001,Расчет!$I$2:$I$3001,$K367,Расчет!$H$2:$H$3001,2))</f>
        <v/>
      </c>
      <c r="J367">
        <f>IF($L367="","",SUMIFS(Расчет!$G$2:$G$3001,Расчет!$I$2:$I$3001,$K367,Расчет!$H$2:$H$3001,3))</f>
        <v/>
      </c>
      <c r="K367">
        <f>IF($L367="","",INDEX(Расчет!$I$2:$I$3001,$L367))</f>
        <v/>
      </c>
      <c r="L367">
        <f>IFERROR(MATCH(ROW()-1,Расчет!$J$2:$J$3001,0),"")</f>
        <v/>
      </c>
    </row>
    <row r="368">
      <c r="A368">
        <f>IF($L368="","",B368&amp;"."&amp;C368&amp;"-"&amp;D368&amp;"-"&amp;H368&amp;"."&amp;I368&amp;"."&amp;J368)</f>
        <v/>
      </c>
      <c r="B368">
        <f>IF($L368="","",INDEX(Расчет!$A$2:$A$3001,$L368))</f>
        <v/>
      </c>
      <c r="C368">
        <f>IF($L368="","",INDEX(Расчет!$B$2:$B$3001,$L368))</f>
        <v/>
      </c>
      <c r="D368">
        <f>IF($L368="","",IF(ISNUMBER(FIND("(",INDEX(Расчет!$C$2:$C$3001,$L368))),SUBSTITUTE(MID(INDEX(Расчет!$C$2:$C$3001,$L368),FIND("(",INDEX(Расчет!$C$2:$C$3001,$L368))+1,99),")",""),INDEX(Расчет!$C$2:$C$3001,$L368)))</f>
        <v/>
      </c>
      <c r="E368">
        <f>IF($L368="","",INDEX(Расчет!$D$2:$D$3001,$L368))</f>
        <v/>
      </c>
      <c r="F368">
        <f>IF($L368="","",INDEX(Расчет!$E$2:$E$3001,$L368))</f>
        <v/>
      </c>
      <c r="G368">
        <f>IF($L368="","",IFERROR(--LEFT(INDEX(Расчет!$C$2:$C$3001,$L368),FIND("(",INDEX(Расчет!$C$2:$C$3001,$L368))-1),IFERROR(--LEFT(INDEX(Расчет!$C$2:$C$3001,$L368),1),"")))</f>
        <v/>
      </c>
      <c r="H368">
        <f>IF($L368="","",SUMIFS(Расчет!$G$2:$G$3001,Расчет!$I$2:$I$3001,$K368,Расчет!$H$2:$H$3001,1))</f>
        <v/>
      </c>
      <c r="I368">
        <f>IF($L368="","",SUMIFS(Расчет!$G$2:$G$3001,Расчет!$I$2:$I$3001,$K368,Расчет!$H$2:$H$3001,2))</f>
        <v/>
      </c>
      <c r="J368">
        <f>IF($L368="","",SUMIFS(Расчет!$G$2:$G$3001,Расчет!$I$2:$I$3001,$K368,Расчет!$H$2:$H$3001,3))</f>
        <v/>
      </c>
      <c r="K368">
        <f>IF($L368="","",INDEX(Расчет!$I$2:$I$3001,$L368))</f>
        <v/>
      </c>
      <c r="L368">
        <f>IFERROR(MATCH(ROW()-1,Расчет!$J$2:$J$3001,0),"")</f>
        <v/>
      </c>
    </row>
    <row r="369">
      <c r="A369">
        <f>IF($L369="","",B369&amp;"."&amp;C369&amp;"-"&amp;D369&amp;"-"&amp;H369&amp;"."&amp;I369&amp;"."&amp;J369)</f>
        <v/>
      </c>
      <c r="B369">
        <f>IF($L369="","",INDEX(Расчет!$A$2:$A$3001,$L369))</f>
        <v/>
      </c>
      <c r="C369">
        <f>IF($L369="","",INDEX(Расчет!$B$2:$B$3001,$L369))</f>
        <v/>
      </c>
      <c r="D369">
        <f>IF($L369="","",IF(ISNUMBER(FIND("(",INDEX(Расчет!$C$2:$C$3001,$L369))),SUBSTITUTE(MID(INDEX(Расчет!$C$2:$C$3001,$L369),FIND("(",INDEX(Расчет!$C$2:$C$3001,$L369))+1,99),")",""),INDEX(Расчет!$C$2:$C$3001,$L369)))</f>
        <v/>
      </c>
      <c r="E369">
        <f>IF($L369="","",INDEX(Расчет!$D$2:$D$3001,$L369))</f>
        <v/>
      </c>
      <c r="F369">
        <f>IF($L369="","",INDEX(Расчет!$E$2:$E$3001,$L369))</f>
        <v/>
      </c>
      <c r="G369">
        <f>IF($L369="","",IFERROR(--LEFT(INDEX(Расчет!$C$2:$C$3001,$L369),FIND("(",INDEX(Расчет!$C$2:$C$3001,$L369))-1),IFERROR(--LEFT(INDEX(Расчет!$C$2:$C$3001,$L369),1),"")))</f>
        <v/>
      </c>
      <c r="H369">
        <f>IF($L369="","",SUMIFS(Расчет!$G$2:$G$3001,Расчет!$I$2:$I$3001,$K369,Расчет!$H$2:$H$3001,1))</f>
        <v/>
      </c>
      <c r="I369">
        <f>IF($L369="","",SUMIFS(Расчет!$G$2:$G$3001,Расчет!$I$2:$I$3001,$K369,Расчет!$H$2:$H$3001,2))</f>
        <v/>
      </c>
      <c r="J369">
        <f>IF($L369="","",SUMIFS(Расчет!$G$2:$G$3001,Расчет!$I$2:$I$3001,$K369,Расчет!$H$2:$H$3001,3))</f>
        <v/>
      </c>
      <c r="K369">
        <f>IF($L369="","",INDEX(Расчет!$I$2:$I$3001,$L369))</f>
        <v/>
      </c>
      <c r="L369">
        <f>IFERROR(MATCH(ROW()-1,Расчет!$J$2:$J$3001,0),"")</f>
        <v/>
      </c>
    </row>
    <row r="370">
      <c r="A370">
        <f>IF($L370="","",B370&amp;"."&amp;C370&amp;"-"&amp;D370&amp;"-"&amp;H370&amp;"."&amp;I370&amp;"."&amp;J370)</f>
        <v/>
      </c>
      <c r="B370">
        <f>IF($L370="","",INDEX(Расчет!$A$2:$A$3001,$L370))</f>
        <v/>
      </c>
      <c r="C370">
        <f>IF($L370="","",INDEX(Расчет!$B$2:$B$3001,$L370))</f>
        <v/>
      </c>
      <c r="D370">
        <f>IF($L370="","",IF(ISNUMBER(FIND("(",INDEX(Расчет!$C$2:$C$3001,$L370))),SUBSTITUTE(MID(INDEX(Расчет!$C$2:$C$3001,$L370),FIND("(",INDEX(Расчет!$C$2:$C$3001,$L370))+1,99),")",""),INDEX(Расчет!$C$2:$C$3001,$L370)))</f>
        <v/>
      </c>
      <c r="E370">
        <f>IF($L370="","",INDEX(Расчет!$D$2:$D$3001,$L370))</f>
        <v/>
      </c>
      <c r="F370">
        <f>IF($L370="","",INDEX(Расчет!$E$2:$E$3001,$L370))</f>
        <v/>
      </c>
      <c r="G370">
        <f>IF($L370="","",IFERROR(--LEFT(INDEX(Расчет!$C$2:$C$3001,$L370),FIND("(",INDEX(Расчет!$C$2:$C$3001,$L370))-1),IFERROR(--LEFT(INDEX(Расчет!$C$2:$C$3001,$L370),1),"")))</f>
        <v/>
      </c>
      <c r="H370">
        <f>IF($L370="","",SUMIFS(Расчет!$G$2:$G$3001,Расчет!$I$2:$I$3001,$K370,Расчет!$H$2:$H$3001,1))</f>
        <v/>
      </c>
      <c r="I370">
        <f>IF($L370="","",SUMIFS(Расчет!$G$2:$G$3001,Расчет!$I$2:$I$3001,$K370,Расчет!$H$2:$H$3001,2))</f>
        <v/>
      </c>
      <c r="J370">
        <f>IF($L370="","",SUMIFS(Расчет!$G$2:$G$3001,Расчет!$I$2:$I$3001,$K370,Расчет!$H$2:$H$3001,3))</f>
        <v/>
      </c>
      <c r="K370">
        <f>IF($L370="","",INDEX(Расчет!$I$2:$I$3001,$L370))</f>
        <v/>
      </c>
      <c r="L370">
        <f>IFERROR(MATCH(ROW()-1,Расчет!$J$2:$J$3001,0),"")</f>
        <v/>
      </c>
    </row>
    <row r="371">
      <c r="A371">
        <f>IF($L371="","",B371&amp;"."&amp;C371&amp;"-"&amp;D371&amp;"-"&amp;H371&amp;"."&amp;I371&amp;"."&amp;J371)</f>
        <v/>
      </c>
      <c r="B371">
        <f>IF($L371="","",INDEX(Расчет!$A$2:$A$3001,$L371))</f>
        <v/>
      </c>
      <c r="C371">
        <f>IF($L371="","",INDEX(Расчет!$B$2:$B$3001,$L371))</f>
        <v/>
      </c>
      <c r="D371">
        <f>IF($L371="","",IF(ISNUMBER(FIND("(",INDEX(Расчет!$C$2:$C$3001,$L371))),SUBSTITUTE(MID(INDEX(Расчет!$C$2:$C$3001,$L371),FIND("(",INDEX(Расчет!$C$2:$C$3001,$L371))+1,99),")",""),INDEX(Расчет!$C$2:$C$3001,$L371)))</f>
        <v/>
      </c>
      <c r="E371">
        <f>IF($L371="","",INDEX(Расчет!$D$2:$D$3001,$L371))</f>
        <v/>
      </c>
      <c r="F371">
        <f>IF($L371="","",INDEX(Расчет!$E$2:$E$3001,$L371))</f>
        <v/>
      </c>
      <c r="G371">
        <f>IF($L371="","",IFERROR(--LEFT(INDEX(Расчет!$C$2:$C$3001,$L371),FIND("(",INDEX(Расчет!$C$2:$C$3001,$L371))-1),IFERROR(--LEFT(INDEX(Расчет!$C$2:$C$3001,$L371),1),"")))</f>
        <v/>
      </c>
      <c r="H371">
        <f>IF($L371="","",SUMIFS(Расчет!$G$2:$G$3001,Расчет!$I$2:$I$3001,$K371,Расчет!$H$2:$H$3001,1))</f>
        <v/>
      </c>
      <c r="I371">
        <f>IF($L371="","",SUMIFS(Расчет!$G$2:$G$3001,Расчет!$I$2:$I$3001,$K371,Расчет!$H$2:$H$3001,2))</f>
        <v/>
      </c>
      <c r="J371">
        <f>IF($L371="","",SUMIFS(Расчет!$G$2:$G$3001,Расчет!$I$2:$I$3001,$K371,Расчет!$H$2:$H$3001,3))</f>
        <v/>
      </c>
      <c r="K371">
        <f>IF($L371="","",INDEX(Расчет!$I$2:$I$3001,$L371))</f>
        <v/>
      </c>
      <c r="L371">
        <f>IFERROR(MATCH(ROW()-1,Расчет!$J$2:$J$3001,0),"")</f>
        <v/>
      </c>
    </row>
    <row r="372">
      <c r="A372">
        <f>IF($L372="","",B372&amp;"."&amp;C372&amp;"-"&amp;D372&amp;"-"&amp;H372&amp;"."&amp;I372&amp;"."&amp;J372)</f>
        <v/>
      </c>
      <c r="B372">
        <f>IF($L372="","",INDEX(Расчет!$A$2:$A$3001,$L372))</f>
        <v/>
      </c>
      <c r="C372">
        <f>IF($L372="","",INDEX(Расчет!$B$2:$B$3001,$L372))</f>
        <v/>
      </c>
      <c r="D372">
        <f>IF($L372="","",IF(ISNUMBER(FIND("(",INDEX(Расчет!$C$2:$C$3001,$L372))),SUBSTITUTE(MID(INDEX(Расчет!$C$2:$C$3001,$L372),FIND("(",INDEX(Расчет!$C$2:$C$3001,$L372))+1,99),")",""),INDEX(Расчет!$C$2:$C$3001,$L372)))</f>
        <v/>
      </c>
      <c r="E372">
        <f>IF($L372="","",INDEX(Расчет!$D$2:$D$3001,$L372))</f>
        <v/>
      </c>
      <c r="F372">
        <f>IF($L372="","",INDEX(Расчет!$E$2:$E$3001,$L372))</f>
        <v/>
      </c>
      <c r="G372">
        <f>IF($L372="","",IFERROR(--LEFT(INDEX(Расчет!$C$2:$C$3001,$L372),FIND("(",INDEX(Расчет!$C$2:$C$3001,$L372))-1),IFERROR(--LEFT(INDEX(Расчет!$C$2:$C$3001,$L372),1),"")))</f>
        <v/>
      </c>
      <c r="H372">
        <f>IF($L372="","",SUMIFS(Расчет!$G$2:$G$3001,Расчет!$I$2:$I$3001,$K372,Расчет!$H$2:$H$3001,1))</f>
        <v/>
      </c>
      <c r="I372">
        <f>IF($L372="","",SUMIFS(Расчет!$G$2:$G$3001,Расчет!$I$2:$I$3001,$K372,Расчет!$H$2:$H$3001,2))</f>
        <v/>
      </c>
      <c r="J372">
        <f>IF($L372="","",SUMIFS(Расчет!$G$2:$G$3001,Расчет!$I$2:$I$3001,$K372,Расчет!$H$2:$H$3001,3))</f>
        <v/>
      </c>
      <c r="K372">
        <f>IF($L372="","",INDEX(Расчет!$I$2:$I$3001,$L372))</f>
        <v/>
      </c>
      <c r="L372">
        <f>IFERROR(MATCH(ROW()-1,Расчет!$J$2:$J$3001,0),"")</f>
        <v/>
      </c>
    </row>
    <row r="373">
      <c r="A373">
        <f>IF($L373="","",B373&amp;"."&amp;C373&amp;"-"&amp;D373&amp;"-"&amp;H373&amp;"."&amp;I373&amp;"."&amp;J373)</f>
        <v/>
      </c>
      <c r="B373">
        <f>IF($L373="","",INDEX(Расчет!$A$2:$A$3001,$L373))</f>
        <v/>
      </c>
      <c r="C373">
        <f>IF($L373="","",INDEX(Расчет!$B$2:$B$3001,$L373))</f>
        <v/>
      </c>
      <c r="D373">
        <f>IF($L373="","",IF(ISNUMBER(FIND("(",INDEX(Расчет!$C$2:$C$3001,$L373))),SUBSTITUTE(MID(INDEX(Расчет!$C$2:$C$3001,$L373),FIND("(",INDEX(Расчет!$C$2:$C$3001,$L373))+1,99),")",""),INDEX(Расчет!$C$2:$C$3001,$L373)))</f>
        <v/>
      </c>
      <c r="E373">
        <f>IF($L373="","",INDEX(Расчет!$D$2:$D$3001,$L373))</f>
        <v/>
      </c>
      <c r="F373">
        <f>IF($L373="","",INDEX(Расчет!$E$2:$E$3001,$L373))</f>
        <v/>
      </c>
      <c r="G373">
        <f>IF($L373="","",IFERROR(--LEFT(INDEX(Расчет!$C$2:$C$3001,$L373),FIND("(",INDEX(Расчет!$C$2:$C$3001,$L373))-1),IFERROR(--LEFT(INDEX(Расчет!$C$2:$C$3001,$L373),1),"")))</f>
        <v/>
      </c>
      <c r="H373">
        <f>IF($L373="","",SUMIFS(Расчет!$G$2:$G$3001,Расчет!$I$2:$I$3001,$K373,Расчет!$H$2:$H$3001,1))</f>
        <v/>
      </c>
      <c r="I373">
        <f>IF($L373="","",SUMIFS(Расчет!$G$2:$G$3001,Расчет!$I$2:$I$3001,$K373,Расчет!$H$2:$H$3001,2))</f>
        <v/>
      </c>
      <c r="J373">
        <f>IF($L373="","",SUMIFS(Расчет!$G$2:$G$3001,Расчет!$I$2:$I$3001,$K373,Расчет!$H$2:$H$3001,3))</f>
        <v/>
      </c>
      <c r="K373">
        <f>IF($L373="","",INDEX(Расчет!$I$2:$I$3001,$L373))</f>
        <v/>
      </c>
      <c r="L373">
        <f>IFERROR(MATCH(ROW()-1,Расчет!$J$2:$J$3001,0),"")</f>
        <v/>
      </c>
    </row>
    <row r="374">
      <c r="A374">
        <f>IF($L374="","",B374&amp;"."&amp;C374&amp;"-"&amp;D374&amp;"-"&amp;H374&amp;"."&amp;I374&amp;"."&amp;J374)</f>
        <v/>
      </c>
      <c r="B374">
        <f>IF($L374="","",INDEX(Расчет!$A$2:$A$3001,$L374))</f>
        <v/>
      </c>
      <c r="C374">
        <f>IF($L374="","",INDEX(Расчет!$B$2:$B$3001,$L374))</f>
        <v/>
      </c>
      <c r="D374">
        <f>IF($L374="","",IF(ISNUMBER(FIND("(",INDEX(Расчет!$C$2:$C$3001,$L374))),SUBSTITUTE(MID(INDEX(Расчет!$C$2:$C$3001,$L374),FIND("(",INDEX(Расчет!$C$2:$C$3001,$L374))+1,99),")",""),INDEX(Расчет!$C$2:$C$3001,$L374)))</f>
        <v/>
      </c>
      <c r="E374">
        <f>IF($L374="","",INDEX(Расчет!$D$2:$D$3001,$L374))</f>
        <v/>
      </c>
      <c r="F374">
        <f>IF($L374="","",INDEX(Расчет!$E$2:$E$3001,$L374))</f>
        <v/>
      </c>
      <c r="G374">
        <f>IF($L374="","",IFERROR(--LEFT(INDEX(Расчет!$C$2:$C$3001,$L374),FIND("(",INDEX(Расчет!$C$2:$C$3001,$L374))-1),IFERROR(--LEFT(INDEX(Расчет!$C$2:$C$3001,$L374),1),"")))</f>
        <v/>
      </c>
      <c r="H374">
        <f>IF($L374="","",SUMIFS(Расчет!$G$2:$G$3001,Расчет!$I$2:$I$3001,$K374,Расчет!$H$2:$H$3001,1))</f>
        <v/>
      </c>
      <c r="I374">
        <f>IF($L374="","",SUMIFS(Расчет!$G$2:$G$3001,Расчет!$I$2:$I$3001,$K374,Расчет!$H$2:$H$3001,2))</f>
        <v/>
      </c>
      <c r="J374">
        <f>IF($L374="","",SUMIFS(Расчет!$G$2:$G$3001,Расчет!$I$2:$I$3001,$K374,Расчет!$H$2:$H$3001,3))</f>
        <v/>
      </c>
      <c r="K374">
        <f>IF($L374="","",INDEX(Расчет!$I$2:$I$3001,$L374))</f>
        <v/>
      </c>
      <c r="L374">
        <f>IFERROR(MATCH(ROW()-1,Расчет!$J$2:$J$3001,0),"")</f>
        <v/>
      </c>
    </row>
    <row r="375">
      <c r="A375">
        <f>IF($L375="","",B375&amp;"."&amp;C375&amp;"-"&amp;D375&amp;"-"&amp;H375&amp;"."&amp;I375&amp;"."&amp;J375)</f>
        <v/>
      </c>
      <c r="B375">
        <f>IF($L375="","",INDEX(Расчет!$A$2:$A$3001,$L375))</f>
        <v/>
      </c>
      <c r="C375">
        <f>IF($L375="","",INDEX(Расчет!$B$2:$B$3001,$L375))</f>
        <v/>
      </c>
      <c r="D375">
        <f>IF($L375="","",IF(ISNUMBER(FIND("(",INDEX(Расчет!$C$2:$C$3001,$L375))),SUBSTITUTE(MID(INDEX(Расчет!$C$2:$C$3001,$L375),FIND("(",INDEX(Расчет!$C$2:$C$3001,$L375))+1,99),")",""),INDEX(Расчет!$C$2:$C$3001,$L375)))</f>
        <v/>
      </c>
      <c r="E375">
        <f>IF($L375="","",INDEX(Расчет!$D$2:$D$3001,$L375))</f>
        <v/>
      </c>
      <c r="F375">
        <f>IF($L375="","",INDEX(Расчет!$E$2:$E$3001,$L375))</f>
        <v/>
      </c>
      <c r="G375">
        <f>IF($L375="","",IFERROR(--LEFT(INDEX(Расчет!$C$2:$C$3001,$L375),FIND("(",INDEX(Расчет!$C$2:$C$3001,$L375))-1),IFERROR(--LEFT(INDEX(Расчет!$C$2:$C$3001,$L375),1),"")))</f>
        <v/>
      </c>
      <c r="H375">
        <f>IF($L375="","",SUMIFS(Расчет!$G$2:$G$3001,Расчет!$I$2:$I$3001,$K375,Расчет!$H$2:$H$3001,1))</f>
        <v/>
      </c>
      <c r="I375">
        <f>IF($L375="","",SUMIFS(Расчет!$G$2:$G$3001,Расчет!$I$2:$I$3001,$K375,Расчет!$H$2:$H$3001,2))</f>
        <v/>
      </c>
      <c r="J375">
        <f>IF($L375="","",SUMIFS(Расчет!$G$2:$G$3001,Расчет!$I$2:$I$3001,$K375,Расчет!$H$2:$H$3001,3))</f>
        <v/>
      </c>
      <c r="K375">
        <f>IF($L375="","",INDEX(Расчет!$I$2:$I$3001,$L375))</f>
        <v/>
      </c>
      <c r="L375">
        <f>IFERROR(MATCH(ROW()-1,Расчет!$J$2:$J$3001,0),"")</f>
        <v/>
      </c>
    </row>
    <row r="376">
      <c r="A376">
        <f>IF($L376="","",B376&amp;"."&amp;C376&amp;"-"&amp;D376&amp;"-"&amp;H376&amp;"."&amp;I376&amp;"."&amp;J376)</f>
        <v/>
      </c>
      <c r="B376">
        <f>IF($L376="","",INDEX(Расчет!$A$2:$A$3001,$L376))</f>
        <v/>
      </c>
      <c r="C376">
        <f>IF($L376="","",INDEX(Расчет!$B$2:$B$3001,$L376))</f>
        <v/>
      </c>
      <c r="D376">
        <f>IF($L376="","",IF(ISNUMBER(FIND("(",INDEX(Расчет!$C$2:$C$3001,$L376))),SUBSTITUTE(MID(INDEX(Расчет!$C$2:$C$3001,$L376),FIND("(",INDEX(Расчет!$C$2:$C$3001,$L376))+1,99),")",""),INDEX(Расчет!$C$2:$C$3001,$L376)))</f>
        <v/>
      </c>
      <c r="E376">
        <f>IF($L376="","",INDEX(Расчет!$D$2:$D$3001,$L376))</f>
        <v/>
      </c>
      <c r="F376">
        <f>IF($L376="","",INDEX(Расчет!$E$2:$E$3001,$L376))</f>
        <v/>
      </c>
      <c r="G376">
        <f>IF($L376="","",IFERROR(--LEFT(INDEX(Расчет!$C$2:$C$3001,$L376),FIND("(",INDEX(Расчет!$C$2:$C$3001,$L376))-1),IFERROR(--LEFT(INDEX(Расчет!$C$2:$C$3001,$L376),1),"")))</f>
        <v/>
      </c>
      <c r="H376">
        <f>IF($L376="","",SUMIFS(Расчет!$G$2:$G$3001,Расчет!$I$2:$I$3001,$K376,Расчет!$H$2:$H$3001,1))</f>
        <v/>
      </c>
      <c r="I376">
        <f>IF($L376="","",SUMIFS(Расчет!$G$2:$G$3001,Расчет!$I$2:$I$3001,$K376,Расчет!$H$2:$H$3001,2))</f>
        <v/>
      </c>
      <c r="J376">
        <f>IF($L376="","",SUMIFS(Расчет!$G$2:$G$3001,Расчет!$I$2:$I$3001,$K376,Расчет!$H$2:$H$3001,3))</f>
        <v/>
      </c>
      <c r="K376">
        <f>IF($L376="","",INDEX(Расчет!$I$2:$I$3001,$L376))</f>
        <v/>
      </c>
      <c r="L376">
        <f>IFERROR(MATCH(ROW()-1,Расчет!$J$2:$J$3001,0),"")</f>
        <v/>
      </c>
    </row>
    <row r="377">
      <c r="A377">
        <f>IF($L377="","",B377&amp;"."&amp;C377&amp;"-"&amp;D377&amp;"-"&amp;H377&amp;"."&amp;I377&amp;"."&amp;J377)</f>
        <v/>
      </c>
      <c r="B377">
        <f>IF($L377="","",INDEX(Расчет!$A$2:$A$3001,$L377))</f>
        <v/>
      </c>
      <c r="C377">
        <f>IF($L377="","",INDEX(Расчет!$B$2:$B$3001,$L377))</f>
        <v/>
      </c>
      <c r="D377">
        <f>IF($L377="","",IF(ISNUMBER(FIND("(",INDEX(Расчет!$C$2:$C$3001,$L377))),SUBSTITUTE(MID(INDEX(Расчет!$C$2:$C$3001,$L377),FIND("(",INDEX(Расчет!$C$2:$C$3001,$L377))+1,99),")",""),INDEX(Расчет!$C$2:$C$3001,$L377)))</f>
        <v/>
      </c>
      <c r="E377">
        <f>IF($L377="","",INDEX(Расчет!$D$2:$D$3001,$L377))</f>
        <v/>
      </c>
      <c r="F377">
        <f>IF($L377="","",INDEX(Расчет!$E$2:$E$3001,$L377))</f>
        <v/>
      </c>
      <c r="G377">
        <f>IF($L377="","",IFERROR(--LEFT(INDEX(Расчет!$C$2:$C$3001,$L377),FIND("(",INDEX(Расчет!$C$2:$C$3001,$L377))-1),IFERROR(--LEFT(INDEX(Расчет!$C$2:$C$3001,$L377),1),"")))</f>
        <v/>
      </c>
      <c r="H377">
        <f>IF($L377="","",SUMIFS(Расчет!$G$2:$G$3001,Расчет!$I$2:$I$3001,$K377,Расчет!$H$2:$H$3001,1))</f>
        <v/>
      </c>
      <c r="I377">
        <f>IF($L377="","",SUMIFS(Расчет!$G$2:$G$3001,Расчет!$I$2:$I$3001,$K377,Расчет!$H$2:$H$3001,2))</f>
        <v/>
      </c>
      <c r="J377">
        <f>IF($L377="","",SUMIFS(Расчет!$G$2:$G$3001,Расчет!$I$2:$I$3001,$K377,Расчет!$H$2:$H$3001,3))</f>
        <v/>
      </c>
      <c r="K377">
        <f>IF($L377="","",INDEX(Расчет!$I$2:$I$3001,$L377))</f>
        <v/>
      </c>
      <c r="L377">
        <f>IFERROR(MATCH(ROW()-1,Расчет!$J$2:$J$3001,0),"")</f>
        <v/>
      </c>
    </row>
    <row r="378">
      <c r="A378">
        <f>IF($L378="","",B378&amp;"."&amp;C378&amp;"-"&amp;D378&amp;"-"&amp;H378&amp;"."&amp;I378&amp;"."&amp;J378)</f>
        <v/>
      </c>
      <c r="B378">
        <f>IF($L378="","",INDEX(Расчет!$A$2:$A$3001,$L378))</f>
        <v/>
      </c>
      <c r="C378">
        <f>IF($L378="","",INDEX(Расчет!$B$2:$B$3001,$L378))</f>
        <v/>
      </c>
      <c r="D378">
        <f>IF($L378="","",IF(ISNUMBER(FIND("(",INDEX(Расчет!$C$2:$C$3001,$L378))),SUBSTITUTE(MID(INDEX(Расчет!$C$2:$C$3001,$L378),FIND("(",INDEX(Расчет!$C$2:$C$3001,$L378))+1,99),")",""),INDEX(Расчет!$C$2:$C$3001,$L378)))</f>
        <v/>
      </c>
      <c r="E378">
        <f>IF($L378="","",INDEX(Расчет!$D$2:$D$3001,$L378))</f>
        <v/>
      </c>
      <c r="F378">
        <f>IF($L378="","",INDEX(Расчет!$E$2:$E$3001,$L378))</f>
        <v/>
      </c>
      <c r="G378">
        <f>IF($L378="","",IFERROR(--LEFT(INDEX(Расчет!$C$2:$C$3001,$L378),FIND("(",INDEX(Расчет!$C$2:$C$3001,$L378))-1),IFERROR(--LEFT(INDEX(Расчет!$C$2:$C$3001,$L378),1),"")))</f>
        <v/>
      </c>
      <c r="H378">
        <f>IF($L378="","",SUMIFS(Расчет!$G$2:$G$3001,Расчет!$I$2:$I$3001,$K378,Расчет!$H$2:$H$3001,1))</f>
        <v/>
      </c>
      <c r="I378">
        <f>IF($L378="","",SUMIFS(Расчет!$G$2:$G$3001,Расчет!$I$2:$I$3001,$K378,Расчет!$H$2:$H$3001,2))</f>
        <v/>
      </c>
      <c r="J378">
        <f>IF($L378="","",SUMIFS(Расчет!$G$2:$G$3001,Расчет!$I$2:$I$3001,$K378,Расчет!$H$2:$H$3001,3))</f>
        <v/>
      </c>
      <c r="K378">
        <f>IF($L378="","",INDEX(Расчет!$I$2:$I$3001,$L378))</f>
        <v/>
      </c>
      <c r="L378">
        <f>IFERROR(MATCH(ROW()-1,Расчет!$J$2:$J$3001,0),"")</f>
        <v/>
      </c>
    </row>
    <row r="379">
      <c r="A379">
        <f>IF($L379="","",B379&amp;"."&amp;C379&amp;"-"&amp;D379&amp;"-"&amp;H379&amp;"."&amp;I379&amp;"."&amp;J379)</f>
        <v/>
      </c>
      <c r="B379">
        <f>IF($L379="","",INDEX(Расчет!$A$2:$A$3001,$L379))</f>
        <v/>
      </c>
      <c r="C379">
        <f>IF($L379="","",INDEX(Расчет!$B$2:$B$3001,$L379))</f>
        <v/>
      </c>
      <c r="D379">
        <f>IF($L379="","",IF(ISNUMBER(FIND("(",INDEX(Расчет!$C$2:$C$3001,$L379))),SUBSTITUTE(MID(INDEX(Расчет!$C$2:$C$3001,$L379),FIND("(",INDEX(Расчет!$C$2:$C$3001,$L379))+1,99),")",""),INDEX(Расчет!$C$2:$C$3001,$L379)))</f>
        <v/>
      </c>
      <c r="E379">
        <f>IF($L379="","",INDEX(Расчет!$D$2:$D$3001,$L379))</f>
        <v/>
      </c>
      <c r="F379">
        <f>IF($L379="","",INDEX(Расчет!$E$2:$E$3001,$L379))</f>
        <v/>
      </c>
      <c r="G379">
        <f>IF($L379="","",IFERROR(--LEFT(INDEX(Расчет!$C$2:$C$3001,$L379),FIND("(",INDEX(Расчет!$C$2:$C$3001,$L379))-1),IFERROR(--LEFT(INDEX(Расчет!$C$2:$C$3001,$L379),1),"")))</f>
        <v/>
      </c>
      <c r="H379">
        <f>IF($L379="","",SUMIFS(Расчет!$G$2:$G$3001,Расчет!$I$2:$I$3001,$K379,Расчет!$H$2:$H$3001,1))</f>
        <v/>
      </c>
      <c r="I379">
        <f>IF($L379="","",SUMIFS(Расчет!$G$2:$G$3001,Расчет!$I$2:$I$3001,$K379,Расчет!$H$2:$H$3001,2))</f>
        <v/>
      </c>
      <c r="J379">
        <f>IF($L379="","",SUMIFS(Расчет!$G$2:$G$3001,Расчет!$I$2:$I$3001,$K379,Расчет!$H$2:$H$3001,3))</f>
        <v/>
      </c>
      <c r="K379">
        <f>IF($L379="","",INDEX(Расчет!$I$2:$I$3001,$L379))</f>
        <v/>
      </c>
      <c r="L379">
        <f>IFERROR(MATCH(ROW()-1,Расчет!$J$2:$J$3001,0),"")</f>
        <v/>
      </c>
    </row>
    <row r="380">
      <c r="A380">
        <f>IF($L380="","",B380&amp;"."&amp;C380&amp;"-"&amp;D380&amp;"-"&amp;H380&amp;"."&amp;I380&amp;"."&amp;J380)</f>
        <v/>
      </c>
      <c r="B380">
        <f>IF($L380="","",INDEX(Расчет!$A$2:$A$3001,$L380))</f>
        <v/>
      </c>
      <c r="C380">
        <f>IF($L380="","",INDEX(Расчет!$B$2:$B$3001,$L380))</f>
        <v/>
      </c>
      <c r="D380">
        <f>IF($L380="","",IF(ISNUMBER(FIND("(",INDEX(Расчет!$C$2:$C$3001,$L380))),SUBSTITUTE(MID(INDEX(Расчет!$C$2:$C$3001,$L380),FIND("(",INDEX(Расчет!$C$2:$C$3001,$L380))+1,99),")",""),INDEX(Расчет!$C$2:$C$3001,$L380)))</f>
        <v/>
      </c>
      <c r="E380">
        <f>IF($L380="","",INDEX(Расчет!$D$2:$D$3001,$L380))</f>
        <v/>
      </c>
      <c r="F380">
        <f>IF($L380="","",INDEX(Расчет!$E$2:$E$3001,$L380))</f>
        <v/>
      </c>
      <c r="G380">
        <f>IF($L380="","",IFERROR(--LEFT(INDEX(Расчет!$C$2:$C$3001,$L380),FIND("(",INDEX(Расчет!$C$2:$C$3001,$L380))-1),IFERROR(--LEFT(INDEX(Расчет!$C$2:$C$3001,$L380),1),"")))</f>
        <v/>
      </c>
      <c r="H380">
        <f>IF($L380="","",SUMIFS(Расчет!$G$2:$G$3001,Расчет!$I$2:$I$3001,$K380,Расчет!$H$2:$H$3001,1))</f>
        <v/>
      </c>
      <c r="I380">
        <f>IF($L380="","",SUMIFS(Расчет!$G$2:$G$3001,Расчет!$I$2:$I$3001,$K380,Расчет!$H$2:$H$3001,2))</f>
        <v/>
      </c>
      <c r="J380">
        <f>IF($L380="","",SUMIFS(Расчет!$G$2:$G$3001,Расчет!$I$2:$I$3001,$K380,Расчет!$H$2:$H$3001,3))</f>
        <v/>
      </c>
      <c r="K380">
        <f>IF($L380="","",INDEX(Расчет!$I$2:$I$3001,$L380))</f>
        <v/>
      </c>
      <c r="L380">
        <f>IFERROR(MATCH(ROW()-1,Расчет!$J$2:$J$3001,0),"")</f>
        <v/>
      </c>
    </row>
    <row r="381">
      <c r="A381">
        <f>IF($L381="","",B381&amp;"."&amp;C381&amp;"-"&amp;D381&amp;"-"&amp;H381&amp;"."&amp;I381&amp;"."&amp;J381)</f>
        <v/>
      </c>
      <c r="B381">
        <f>IF($L381="","",INDEX(Расчет!$A$2:$A$3001,$L381))</f>
        <v/>
      </c>
      <c r="C381">
        <f>IF($L381="","",INDEX(Расчет!$B$2:$B$3001,$L381))</f>
        <v/>
      </c>
      <c r="D381">
        <f>IF($L381="","",IF(ISNUMBER(FIND("(",INDEX(Расчет!$C$2:$C$3001,$L381))),SUBSTITUTE(MID(INDEX(Расчет!$C$2:$C$3001,$L381),FIND("(",INDEX(Расчет!$C$2:$C$3001,$L381))+1,99),")",""),INDEX(Расчет!$C$2:$C$3001,$L381)))</f>
        <v/>
      </c>
      <c r="E381">
        <f>IF($L381="","",INDEX(Расчет!$D$2:$D$3001,$L381))</f>
        <v/>
      </c>
      <c r="F381">
        <f>IF($L381="","",INDEX(Расчет!$E$2:$E$3001,$L381))</f>
        <v/>
      </c>
      <c r="G381">
        <f>IF($L381="","",IFERROR(--LEFT(INDEX(Расчет!$C$2:$C$3001,$L381),FIND("(",INDEX(Расчет!$C$2:$C$3001,$L381))-1),IFERROR(--LEFT(INDEX(Расчет!$C$2:$C$3001,$L381),1),"")))</f>
        <v/>
      </c>
      <c r="H381">
        <f>IF($L381="","",SUMIFS(Расчет!$G$2:$G$3001,Расчет!$I$2:$I$3001,$K381,Расчет!$H$2:$H$3001,1))</f>
        <v/>
      </c>
      <c r="I381">
        <f>IF($L381="","",SUMIFS(Расчет!$G$2:$G$3001,Расчет!$I$2:$I$3001,$K381,Расчет!$H$2:$H$3001,2))</f>
        <v/>
      </c>
      <c r="J381">
        <f>IF($L381="","",SUMIFS(Расчет!$G$2:$G$3001,Расчет!$I$2:$I$3001,$K381,Расчет!$H$2:$H$3001,3))</f>
        <v/>
      </c>
      <c r="K381">
        <f>IF($L381="","",INDEX(Расчет!$I$2:$I$3001,$L381))</f>
        <v/>
      </c>
      <c r="L381">
        <f>IFERROR(MATCH(ROW()-1,Расчет!$J$2:$J$3001,0),"")</f>
        <v/>
      </c>
    </row>
    <row r="382">
      <c r="A382">
        <f>IF($L382="","",B382&amp;"."&amp;C382&amp;"-"&amp;D382&amp;"-"&amp;H382&amp;"."&amp;I382&amp;"."&amp;J382)</f>
        <v/>
      </c>
      <c r="B382">
        <f>IF($L382="","",INDEX(Расчет!$A$2:$A$3001,$L382))</f>
        <v/>
      </c>
      <c r="C382">
        <f>IF($L382="","",INDEX(Расчет!$B$2:$B$3001,$L382))</f>
        <v/>
      </c>
      <c r="D382">
        <f>IF($L382="","",IF(ISNUMBER(FIND("(",INDEX(Расчет!$C$2:$C$3001,$L382))),SUBSTITUTE(MID(INDEX(Расчет!$C$2:$C$3001,$L382),FIND("(",INDEX(Расчет!$C$2:$C$3001,$L382))+1,99),")",""),INDEX(Расчет!$C$2:$C$3001,$L382)))</f>
        <v/>
      </c>
      <c r="E382">
        <f>IF($L382="","",INDEX(Расчет!$D$2:$D$3001,$L382))</f>
        <v/>
      </c>
      <c r="F382">
        <f>IF($L382="","",INDEX(Расчет!$E$2:$E$3001,$L382))</f>
        <v/>
      </c>
      <c r="G382">
        <f>IF($L382="","",IFERROR(--LEFT(INDEX(Расчет!$C$2:$C$3001,$L382),FIND("(",INDEX(Расчет!$C$2:$C$3001,$L382))-1),IFERROR(--LEFT(INDEX(Расчет!$C$2:$C$3001,$L382),1),"")))</f>
        <v/>
      </c>
      <c r="H382">
        <f>IF($L382="","",SUMIFS(Расчет!$G$2:$G$3001,Расчет!$I$2:$I$3001,$K382,Расчет!$H$2:$H$3001,1))</f>
        <v/>
      </c>
      <c r="I382">
        <f>IF($L382="","",SUMIFS(Расчет!$G$2:$G$3001,Расчет!$I$2:$I$3001,$K382,Расчет!$H$2:$H$3001,2))</f>
        <v/>
      </c>
      <c r="J382">
        <f>IF($L382="","",SUMIFS(Расчет!$G$2:$G$3001,Расчет!$I$2:$I$3001,$K382,Расчет!$H$2:$H$3001,3))</f>
        <v/>
      </c>
      <c r="K382">
        <f>IF($L382="","",INDEX(Расчет!$I$2:$I$3001,$L382))</f>
        <v/>
      </c>
      <c r="L382">
        <f>IFERROR(MATCH(ROW()-1,Расчет!$J$2:$J$3001,0),"")</f>
        <v/>
      </c>
    </row>
    <row r="383">
      <c r="A383">
        <f>IF($L383="","",B383&amp;"."&amp;C383&amp;"-"&amp;D383&amp;"-"&amp;H383&amp;"."&amp;I383&amp;"."&amp;J383)</f>
        <v/>
      </c>
      <c r="B383">
        <f>IF($L383="","",INDEX(Расчет!$A$2:$A$3001,$L383))</f>
        <v/>
      </c>
      <c r="C383">
        <f>IF($L383="","",INDEX(Расчет!$B$2:$B$3001,$L383))</f>
        <v/>
      </c>
      <c r="D383">
        <f>IF($L383="","",IF(ISNUMBER(FIND("(",INDEX(Расчет!$C$2:$C$3001,$L383))),SUBSTITUTE(MID(INDEX(Расчет!$C$2:$C$3001,$L383),FIND("(",INDEX(Расчет!$C$2:$C$3001,$L383))+1,99),")",""),INDEX(Расчет!$C$2:$C$3001,$L383)))</f>
        <v/>
      </c>
      <c r="E383">
        <f>IF($L383="","",INDEX(Расчет!$D$2:$D$3001,$L383))</f>
        <v/>
      </c>
      <c r="F383">
        <f>IF($L383="","",INDEX(Расчет!$E$2:$E$3001,$L383))</f>
        <v/>
      </c>
      <c r="G383">
        <f>IF($L383="","",IFERROR(--LEFT(INDEX(Расчет!$C$2:$C$3001,$L383),FIND("(",INDEX(Расчет!$C$2:$C$3001,$L383))-1),IFERROR(--LEFT(INDEX(Расчет!$C$2:$C$3001,$L383),1),"")))</f>
        <v/>
      </c>
      <c r="H383">
        <f>IF($L383="","",SUMIFS(Расчет!$G$2:$G$3001,Расчет!$I$2:$I$3001,$K383,Расчет!$H$2:$H$3001,1))</f>
        <v/>
      </c>
      <c r="I383">
        <f>IF($L383="","",SUMIFS(Расчет!$G$2:$G$3001,Расчет!$I$2:$I$3001,$K383,Расчет!$H$2:$H$3001,2))</f>
        <v/>
      </c>
      <c r="J383">
        <f>IF($L383="","",SUMIFS(Расчет!$G$2:$G$3001,Расчет!$I$2:$I$3001,$K383,Расчет!$H$2:$H$3001,3))</f>
        <v/>
      </c>
      <c r="K383">
        <f>IF($L383="","",INDEX(Расчет!$I$2:$I$3001,$L383))</f>
        <v/>
      </c>
      <c r="L383">
        <f>IFERROR(MATCH(ROW()-1,Расчет!$J$2:$J$3001,0),"")</f>
        <v/>
      </c>
    </row>
    <row r="384">
      <c r="A384">
        <f>IF($L384="","",B384&amp;"."&amp;C384&amp;"-"&amp;D384&amp;"-"&amp;H384&amp;"."&amp;I384&amp;"."&amp;J384)</f>
        <v/>
      </c>
      <c r="B384">
        <f>IF($L384="","",INDEX(Расчет!$A$2:$A$3001,$L384))</f>
        <v/>
      </c>
      <c r="C384">
        <f>IF($L384="","",INDEX(Расчет!$B$2:$B$3001,$L384))</f>
        <v/>
      </c>
      <c r="D384">
        <f>IF($L384="","",IF(ISNUMBER(FIND("(",INDEX(Расчет!$C$2:$C$3001,$L384))),SUBSTITUTE(MID(INDEX(Расчет!$C$2:$C$3001,$L384),FIND("(",INDEX(Расчет!$C$2:$C$3001,$L384))+1,99),")",""),INDEX(Расчет!$C$2:$C$3001,$L384)))</f>
        <v/>
      </c>
      <c r="E384">
        <f>IF($L384="","",INDEX(Расчет!$D$2:$D$3001,$L384))</f>
        <v/>
      </c>
      <c r="F384">
        <f>IF($L384="","",INDEX(Расчет!$E$2:$E$3001,$L384))</f>
        <v/>
      </c>
      <c r="G384">
        <f>IF($L384="","",IFERROR(--LEFT(INDEX(Расчет!$C$2:$C$3001,$L384),FIND("(",INDEX(Расчет!$C$2:$C$3001,$L384))-1),IFERROR(--LEFT(INDEX(Расчет!$C$2:$C$3001,$L384),1),"")))</f>
        <v/>
      </c>
      <c r="H384">
        <f>IF($L384="","",SUMIFS(Расчет!$G$2:$G$3001,Расчет!$I$2:$I$3001,$K384,Расчет!$H$2:$H$3001,1))</f>
        <v/>
      </c>
      <c r="I384">
        <f>IF($L384="","",SUMIFS(Расчет!$G$2:$G$3001,Расчет!$I$2:$I$3001,$K384,Расчет!$H$2:$H$3001,2))</f>
        <v/>
      </c>
      <c r="J384">
        <f>IF($L384="","",SUMIFS(Расчет!$G$2:$G$3001,Расчет!$I$2:$I$3001,$K384,Расчет!$H$2:$H$3001,3))</f>
        <v/>
      </c>
      <c r="K384">
        <f>IF($L384="","",INDEX(Расчет!$I$2:$I$3001,$L384))</f>
        <v/>
      </c>
      <c r="L384">
        <f>IFERROR(MATCH(ROW()-1,Расчет!$J$2:$J$3001,0),"")</f>
        <v/>
      </c>
    </row>
    <row r="385">
      <c r="A385">
        <f>IF($L385="","",B385&amp;"."&amp;C385&amp;"-"&amp;D385&amp;"-"&amp;H385&amp;"."&amp;I385&amp;"."&amp;J385)</f>
        <v/>
      </c>
      <c r="B385">
        <f>IF($L385="","",INDEX(Расчет!$A$2:$A$3001,$L385))</f>
        <v/>
      </c>
      <c r="C385">
        <f>IF($L385="","",INDEX(Расчет!$B$2:$B$3001,$L385))</f>
        <v/>
      </c>
      <c r="D385">
        <f>IF($L385="","",IF(ISNUMBER(FIND("(",INDEX(Расчет!$C$2:$C$3001,$L385))),SUBSTITUTE(MID(INDEX(Расчет!$C$2:$C$3001,$L385),FIND("(",INDEX(Расчет!$C$2:$C$3001,$L385))+1,99),")",""),INDEX(Расчет!$C$2:$C$3001,$L385)))</f>
        <v/>
      </c>
      <c r="E385">
        <f>IF($L385="","",INDEX(Расчет!$D$2:$D$3001,$L385))</f>
        <v/>
      </c>
      <c r="F385">
        <f>IF($L385="","",INDEX(Расчет!$E$2:$E$3001,$L385))</f>
        <v/>
      </c>
      <c r="G385">
        <f>IF($L385="","",IFERROR(--LEFT(INDEX(Расчет!$C$2:$C$3001,$L385),FIND("(",INDEX(Расчет!$C$2:$C$3001,$L385))-1),IFERROR(--LEFT(INDEX(Расчет!$C$2:$C$3001,$L385),1),"")))</f>
        <v/>
      </c>
      <c r="H385">
        <f>IF($L385="","",SUMIFS(Расчет!$G$2:$G$3001,Расчет!$I$2:$I$3001,$K385,Расчет!$H$2:$H$3001,1))</f>
        <v/>
      </c>
      <c r="I385">
        <f>IF($L385="","",SUMIFS(Расчет!$G$2:$G$3001,Расчет!$I$2:$I$3001,$K385,Расчет!$H$2:$H$3001,2))</f>
        <v/>
      </c>
      <c r="J385">
        <f>IF($L385="","",SUMIFS(Расчет!$G$2:$G$3001,Расчет!$I$2:$I$3001,$K385,Расчет!$H$2:$H$3001,3))</f>
        <v/>
      </c>
      <c r="K385">
        <f>IF($L385="","",INDEX(Расчет!$I$2:$I$3001,$L385))</f>
        <v/>
      </c>
      <c r="L385">
        <f>IFERROR(MATCH(ROW()-1,Расчет!$J$2:$J$3001,0),"")</f>
        <v/>
      </c>
    </row>
    <row r="386">
      <c r="A386">
        <f>IF($L386="","",B386&amp;"."&amp;C386&amp;"-"&amp;D386&amp;"-"&amp;H386&amp;"."&amp;I386&amp;"."&amp;J386)</f>
        <v/>
      </c>
      <c r="B386">
        <f>IF($L386="","",INDEX(Расчет!$A$2:$A$3001,$L386))</f>
        <v/>
      </c>
      <c r="C386">
        <f>IF($L386="","",INDEX(Расчет!$B$2:$B$3001,$L386))</f>
        <v/>
      </c>
      <c r="D386">
        <f>IF($L386="","",IF(ISNUMBER(FIND("(",INDEX(Расчет!$C$2:$C$3001,$L386))),SUBSTITUTE(MID(INDEX(Расчет!$C$2:$C$3001,$L386),FIND("(",INDEX(Расчет!$C$2:$C$3001,$L386))+1,99),")",""),INDEX(Расчет!$C$2:$C$3001,$L386)))</f>
        <v/>
      </c>
      <c r="E386">
        <f>IF($L386="","",INDEX(Расчет!$D$2:$D$3001,$L386))</f>
        <v/>
      </c>
      <c r="F386">
        <f>IF($L386="","",INDEX(Расчет!$E$2:$E$3001,$L386))</f>
        <v/>
      </c>
      <c r="G386">
        <f>IF($L386="","",IFERROR(--LEFT(INDEX(Расчет!$C$2:$C$3001,$L386),FIND("(",INDEX(Расчет!$C$2:$C$3001,$L386))-1),IFERROR(--LEFT(INDEX(Расчет!$C$2:$C$3001,$L386),1),"")))</f>
        <v/>
      </c>
      <c r="H386">
        <f>IF($L386="","",SUMIFS(Расчет!$G$2:$G$3001,Расчет!$I$2:$I$3001,$K386,Расчет!$H$2:$H$3001,1))</f>
        <v/>
      </c>
      <c r="I386">
        <f>IF($L386="","",SUMIFS(Расчет!$G$2:$G$3001,Расчет!$I$2:$I$3001,$K386,Расчет!$H$2:$H$3001,2))</f>
        <v/>
      </c>
      <c r="J386">
        <f>IF($L386="","",SUMIFS(Расчет!$G$2:$G$3001,Расчет!$I$2:$I$3001,$K386,Расчет!$H$2:$H$3001,3))</f>
        <v/>
      </c>
      <c r="K386">
        <f>IF($L386="","",INDEX(Расчет!$I$2:$I$3001,$L386))</f>
        <v/>
      </c>
      <c r="L386">
        <f>IFERROR(MATCH(ROW()-1,Расчет!$J$2:$J$3001,0),"")</f>
        <v/>
      </c>
    </row>
    <row r="387">
      <c r="A387">
        <f>IF($L387="","",B387&amp;"."&amp;C387&amp;"-"&amp;D387&amp;"-"&amp;H387&amp;"."&amp;I387&amp;"."&amp;J387)</f>
        <v/>
      </c>
      <c r="B387">
        <f>IF($L387="","",INDEX(Расчет!$A$2:$A$3001,$L387))</f>
        <v/>
      </c>
      <c r="C387">
        <f>IF($L387="","",INDEX(Расчет!$B$2:$B$3001,$L387))</f>
        <v/>
      </c>
      <c r="D387">
        <f>IF($L387="","",IF(ISNUMBER(FIND("(",INDEX(Расчет!$C$2:$C$3001,$L387))),SUBSTITUTE(MID(INDEX(Расчет!$C$2:$C$3001,$L387),FIND("(",INDEX(Расчет!$C$2:$C$3001,$L387))+1,99),")",""),INDEX(Расчет!$C$2:$C$3001,$L387)))</f>
        <v/>
      </c>
      <c r="E387">
        <f>IF($L387="","",INDEX(Расчет!$D$2:$D$3001,$L387))</f>
        <v/>
      </c>
      <c r="F387">
        <f>IF($L387="","",INDEX(Расчет!$E$2:$E$3001,$L387))</f>
        <v/>
      </c>
      <c r="G387">
        <f>IF($L387="","",IFERROR(--LEFT(INDEX(Расчет!$C$2:$C$3001,$L387),FIND("(",INDEX(Расчет!$C$2:$C$3001,$L387))-1),IFERROR(--LEFT(INDEX(Расчет!$C$2:$C$3001,$L387),1),"")))</f>
        <v/>
      </c>
      <c r="H387">
        <f>IF($L387="","",SUMIFS(Расчет!$G$2:$G$3001,Расчет!$I$2:$I$3001,$K387,Расчет!$H$2:$H$3001,1))</f>
        <v/>
      </c>
      <c r="I387">
        <f>IF($L387="","",SUMIFS(Расчет!$G$2:$G$3001,Расчет!$I$2:$I$3001,$K387,Расчет!$H$2:$H$3001,2))</f>
        <v/>
      </c>
      <c r="J387">
        <f>IF($L387="","",SUMIFS(Расчет!$G$2:$G$3001,Расчет!$I$2:$I$3001,$K387,Расчет!$H$2:$H$3001,3))</f>
        <v/>
      </c>
      <c r="K387">
        <f>IF($L387="","",INDEX(Расчет!$I$2:$I$3001,$L387))</f>
        <v/>
      </c>
      <c r="L387">
        <f>IFERROR(MATCH(ROW()-1,Расчет!$J$2:$J$3001,0),"")</f>
        <v/>
      </c>
    </row>
    <row r="388">
      <c r="A388">
        <f>IF($L388="","",B388&amp;"."&amp;C388&amp;"-"&amp;D388&amp;"-"&amp;H388&amp;"."&amp;I388&amp;"."&amp;J388)</f>
        <v/>
      </c>
      <c r="B388">
        <f>IF($L388="","",INDEX(Расчет!$A$2:$A$3001,$L388))</f>
        <v/>
      </c>
      <c r="C388">
        <f>IF($L388="","",INDEX(Расчет!$B$2:$B$3001,$L388))</f>
        <v/>
      </c>
      <c r="D388">
        <f>IF($L388="","",IF(ISNUMBER(FIND("(",INDEX(Расчет!$C$2:$C$3001,$L388))),SUBSTITUTE(MID(INDEX(Расчет!$C$2:$C$3001,$L388),FIND("(",INDEX(Расчет!$C$2:$C$3001,$L388))+1,99),")",""),INDEX(Расчет!$C$2:$C$3001,$L388)))</f>
        <v/>
      </c>
      <c r="E388">
        <f>IF($L388="","",INDEX(Расчет!$D$2:$D$3001,$L388))</f>
        <v/>
      </c>
      <c r="F388">
        <f>IF($L388="","",INDEX(Расчет!$E$2:$E$3001,$L388))</f>
        <v/>
      </c>
      <c r="G388">
        <f>IF($L388="","",IFERROR(--LEFT(INDEX(Расчет!$C$2:$C$3001,$L388),FIND("(",INDEX(Расчет!$C$2:$C$3001,$L388))-1),IFERROR(--LEFT(INDEX(Расчет!$C$2:$C$3001,$L388),1),"")))</f>
        <v/>
      </c>
      <c r="H388">
        <f>IF($L388="","",SUMIFS(Расчет!$G$2:$G$3001,Расчет!$I$2:$I$3001,$K388,Расчет!$H$2:$H$3001,1))</f>
        <v/>
      </c>
      <c r="I388">
        <f>IF($L388="","",SUMIFS(Расчет!$G$2:$G$3001,Расчет!$I$2:$I$3001,$K388,Расчет!$H$2:$H$3001,2))</f>
        <v/>
      </c>
      <c r="J388">
        <f>IF($L388="","",SUMIFS(Расчет!$G$2:$G$3001,Расчет!$I$2:$I$3001,$K388,Расчет!$H$2:$H$3001,3))</f>
        <v/>
      </c>
      <c r="K388">
        <f>IF($L388="","",INDEX(Расчет!$I$2:$I$3001,$L388))</f>
        <v/>
      </c>
      <c r="L388">
        <f>IFERROR(MATCH(ROW()-1,Расчет!$J$2:$J$3001,0),"")</f>
        <v/>
      </c>
    </row>
    <row r="389">
      <c r="A389">
        <f>IF($L389="","",B389&amp;"."&amp;C389&amp;"-"&amp;D389&amp;"-"&amp;H389&amp;"."&amp;I389&amp;"."&amp;J389)</f>
        <v/>
      </c>
      <c r="B389">
        <f>IF($L389="","",INDEX(Расчет!$A$2:$A$3001,$L389))</f>
        <v/>
      </c>
      <c r="C389">
        <f>IF($L389="","",INDEX(Расчет!$B$2:$B$3001,$L389))</f>
        <v/>
      </c>
      <c r="D389">
        <f>IF($L389="","",IF(ISNUMBER(FIND("(",INDEX(Расчет!$C$2:$C$3001,$L389))),SUBSTITUTE(MID(INDEX(Расчет!$C$2:$C$3001,$L389),FIND("(",INDEX(Расчет!$C$2:$C$3001,$L389))+1,99),")",""),INDEX(Расчет!$C$2:$C$3001,$L389)))</f>
        <v/>
      </c>
      <c r="E389">
        <f>IF($L389="","",INDEX(Расчет!$D$2:$D$3001,$L389))</f>
        <v/>
      </c>
      <c r="F389">
        <f>IF($L389="","",INDEX(Расчет!$E$2:$E$3001,$L389))</f>
        <v/>
      </c>
      <c r="G389">
        <f>IF($L389="","",IFERROR(--LEFT(INDEX(Расчет!$C$2:$C$3001,$L389),FIND("(",INDEX(Расчет!$C$2:$C$3001,$L389))-1),IFERROR(--LEFT(INDEX(Расчет!$C$2:$C$3001,$L389),1),"")))</f>
        <v/>
      </c>
      <c r="H389">
        <f>IF($L389="","",SUMIFS(Расчет!$G$2:$G$3001,Расчет!$I$2:$I$3001,$K389,Расчет!$H$2:$H$3001,1))</f>
        <v/>
      </c>
      <c r="I389">
        <f>IF($L389="","",SUMIFS(Расчет!$G$2:$G$3001,Расчет!$I$2:$I$3001,$K389,Расчет!$H$2:$H$3001,2))</f>
        <v/>
      </c>
      <c r="J389">
        <f>IF($L389="","",SUMIFS(Расчет!$G$2:$G$3001,Расчет!$I$2:$I$3001,$K389,Расчет!$H$2:$H$3001,3))</f>
        <v/>
      </c>
      <c r="K389">
        <f>IF($L389="","",INDEX(Расчет!$I$2:$I$3001,$L389))</f>
        <v/>
      </c>
      <c r="L389">
        <f>IFERROR(MATCH(ROW()-1,Расчет!$J$2:$J$3001,0),"")</f>
        <v/>
      </c>
    </row>
    <row r="390">
      <c r="A390">
        <f>IF($L390="","",B390&amp;"."&amp;C390&amp;"-"&amp;D390&amp;"-"&amp;H390&amp;"."&amp;I390&amp;"."&amp;J390)</f>
        <v/>
      </c>
      <c r="B390">
        <f>IF($L390="","",INDEX(Расчет!$A$2:$A$3001,$L390))</f>
        <v/>
      </c>
      <c r="C390">
        <f>IF($L390="","",INDEX(Расчет!$B$2:$B$3001,$L390))</f>
        <v/>
      </c>
      <c r="D390">
        <f>IF($L390="","",IF(ISNUMBER(FIND("(",INDEX(Расчет!$C$2:$C$3001,$L390))),SUBSTITUTE(MID(INDEX(Расчет!$C$2:$C$3001,$L390),FIND("(",INDEX(Расчет!$C$2:$C$3001,$L390))+1,99),")",""),INDEX(Расчет!$C$2:$C$3001,$L390)))</f>
        <v/>
      </c>
      <c r="E390">
        <f>IF($L390="","",INDEX(Расчет!$D$2:$D$3001,$L390))</f>
        <v/>
      </c>
      <c r="F390">
        <f>IF($L390="","",INDEX(Расчет!$E$2:$E$3001,$L390))</f>
        <v/>
      </c>
      <c r="G390">
        <f>IF($L390="","",IFERROR(--LEFT(INDEX(Расчет!$C$2:$C$3001,$L390),FIND("(",INDEX(Расчет!$C$2:$C$3001,$L390))-1),IFERROR(--LEFT(INDEX(Расчет!$C$2:$C$3001,$L390),1),"")))</f>
        <v/>
      </c>
      <c r="H390">
        <f>IF($L390="","",SUMIFS(Расчет!$G$2:$G$3001,Расчет!$I$2:$I$3001,$K390,Расчет!$H$2:$H$3001,1))</f>
        <v/>
      </c>
      <c r="I390">
        <f>IF($L390="","",SUMIFS(Расчет!$G$2:$G$3001,Расчет!$I$2:$I$3001,$K390,Расчет!$H$2:$H$3001,2))</f>
        <v/>
      </c>
      <c r="J390">
        <f>IF($L390="","",SUMIFS(Расчет!$G$2:$G$3001,Расчет!$I$2:$I$3001,$K390,Расчет!$H$2:$H$3001,3))</f>
        <v/>
      </c>
      <c r="K390">
        <f>IF($L390="","",INDEX(Расчет!$I$2:$I$3001,$L390))</f>
        <v/>
      </c>
      <c r="L390">
        <f>IFERROR(MATCH(ROW()-1,Расчет!$J$2:$J$3001,0),"")</f>
        <v/>
      </c>
    </row>
    <row r="391">
      <c r="A391">
        <f>IF($L391="","",B391&amp;"."&amp;C391&amp;"-"&amp;D391&amp;"-"&amp;H391&amp;"."&amp;I391&amp;"."&amp;J391)</f>
        <v/>
      </c>
      <c r="B391">
        <f>IF($L391="","",INDEX(Расчет!$A$2:$A$3001,$L391))</f>
        <v/>
      </c>
      <c r="C391">
        <f>IF($L391="","",INDEX(Расчет!$B$2:$B$3001,$L391))</f>
        <v/>
      </c>
      <c r="D391">
        <f>IF($L391="","",IF(ISNUMBER(FIND("(",INDEX(Расчет!$C$2:$C$3001,$L391))),SUBSTITUTE(MID(INDEX(Расчет!$C$2:$C$3001,$L391),FIND("(",INDEX(Расчет!$C$2:$C$3001,$L391))+1,99),")",""),INDEX(Расчет!$C$2:$C$3001,$L391)))</f>
        <v/>
      </c>
      <c r="E391">
        <f>IF($L391="","",INDEX(Расчет!$D$2:$D$3001,$L391))</f>
        <v/>
      </c>
      <c r="F391">
        <f>IF($L391="","",INDEX(Расчет!$E$2:$E$3001,$L391))</f>
        <v/>
      </c>
      <c r="G391">
        <f>IF($L391="","",IFERROR(--LEFT(INDEX(Расчет!$C$2:$C$3001,$L391),FIND("(",INDEX(Расчет!$C$2:$C$3001,$L391))-1),IFERROR(--LEFT(INDEX(Расчет!$C$2:$C$3001,$L391),1),"")))</f>
        <v/>
      </c>
      <c r="H391">
        <f>IF($L391="","",SUMIFS(Расчет!$G$2:$G$3001,Расчет!$I$2:$I$3001,$K391,Расчет!$H$2:$H$3001,1))</f>
        <v/>
      </c>
      <c r="I391">
        <f>IF($L391="","",SUMIFS(Расчет!$G$2:$G$3001,Расчет!$I$2:$I$3001,$K391,Расчет!$H$2:$H$3001,2))</f>
        <v/>
      </c>
      <c r="J391">
        <f>IF($L391="","",SUMIFS(Расчет!$G$2:$G$3001,Расчет!$I$2:$I$3001,$K391,Расчет!$H$2:$H$3001,3))</f>
        <v/>
      </c>
      <c r="K391">
        <f>IF($L391="","",INDEX(Расчет!$I$2:$I$3001,$L391))</f>
        <v/>
      </c>
      <c r="L391">
        <f>IFERROR(MATCH(ROW()-1,Расчет!$J$2:$J$3001,0),"")</f>
        <v/>
      </c>
    </row>
    <row r="392">
      <c r="A392">
        <f>IF($L392="","",B392&amp;"."&amp;C392&amp;"-"&amp;D392&amp;"-"&amp;H392&amp;"."&amp;I392&amp;"."&amp;J392)</f>
        <v/>
      </c>
      <c r="B392">
        <f>IF($L392="","",INDEX(Расчет!$A$2:$A$3001,$L392))</f>
        <v/>
      </c>
      <c r="C392">
        <f>IF($L392="","",INDEX(Расчет!$B$2:$B$3001,$L392))</f>
        <v/>
      </c>
      <c r="D392">
        <f>IF($L392="","",IF(ISNUMBER(FIND("(",INDEX(Расчет!$C$2:$C$3001,$L392))),SUBSTITUTE(MID(INDEX(Расчет!$C$2:$C$3001,$L392),FIND("(",INDEX(Расчет!$C$2:$C$3001,$L392))+1,99),")",""),INDEX(Расчет!$C$2:$C$3001,$L392)))</f>
        <v/>
      </c>
      <c r="E392">
        <f>IF($L392="","",INDEX(Расчет!$D$2:$D$3001,$L392))</f>
        <v/>
      </c>
      <c r="F392">
        <f>IF($L392="","",INDEX(Расчет!$E$2:$E$3001,$L392))</f>
        <v/>
      </c>
      <c r="G392">
        <f>IF($L392="","",IFERROR(--LEFT(INDEX(Расчет!$C$2:$C$3001,$L392),FIND("(",INDEX(Расчет!$C$2:$C$3001,$L392))-1),IFERROR(--LEFT(INDEX(Расчет!$C$2:$C$3001,$L392),1),"")))</f>
        <v/>
      </c>
      <c r="H392">
        <f>IF($L392="","",SUMIFS(Расчет!$G$2:$G$3001,Расчет!$I$2:$I$3001,$K392,Расчет!$H$2:$H$3001,1))</f>
        <v/>
      </c>
      <c r="I392">
        <f>IF($L392="","",SUMIFS(Расчет!$G$2:$G$3001,Расчет!$I$2:$I$3001,$K392,Расчет!$H$2:$H$3001,2))</f>
        <v/>
      </c>
      <c r="J392">
        <f>IF($L392="","",SUMIFS(Расчет!$G$2:$G$3001,Расчет!$I$2:$I$3001,$K392,Расчет!$H$2:$H$3001,3))</f>
        <v/>
      </c>
      <c r="K392">
        <f>IF($L392="","",INDEX(Расчет!$I$2:$I$3001,$L392))</f>
        <v/>
      </c>
      <c r="L392">
        <f>IFERROR(MATCH(ROW()-1,Расчет!$J$2:$J$3001,0),"")</f>
        <v/>
      </c>
    </row>
    <row r="393">
      <c r="A393">
        <f>IF($L393="","",B393&amp;"."&amp;C393&amp;"-"&amp;D393&amp;"-"&amp;H393&amp;"."&amp;I393&amp;"."&amp;J393)</f>
        <v/>
      </c>
      <c r="B393">
        <f>IF($L393="","",INDEX(Расчет!$A$2:$A$3001,$L393))</f>
        <v/>
      </c>
      <c r="C393">
        <f>IF($L393="","",INDEX(Расчет!$B$2:$B$3001,$L393))</f>
        <v/>
      </c>
      <c r="D393">
        <f>IF($L393="","",IF(ISNUMBER(FIND("(",INDEX(Расчет!$C$2:$C$3001,$L393))),SUBSTITUTE(MID(INDEX(Расчет!$C$2:$C$3001,$L393),FIND("(",INDEX(Расчет!$C$2:$C$3001,$L393))+1,99),")",""),INDEX(Расчет!$C$2:$C$3001,$L393)))</f>
        <v/>
      </c>
      <c r="E393">
        <f>IF($L393="","",INDEX(Расчет!$D$2:$D$3001,$L393))</f>
        <v/>
      </c>
      <c r="F393">
        <f>IF($L393="","",INDEX(Расчет!$E$2:$E$3001,$L393))</f>
        <v/>
      </c>
      <c r="G393">
        <f>IF($L393="","",IFERROR(--LEFT(INDEX(Расчет!$C$2:$C$3001,$L393),FIND("(",INDEX(Расчет!$C$2:$C$3001,$L393))-1),IFERROR(--LEFT(INDEX(Расчет!$C$2:$C$3001,$L393),1),"")))</f>
        <v/>
      </c>
      <c r="H393">
        <f>IF($L393="","",SUMIFS(Расчет!$G$2:$G$3001,Расчет!$I$2:$I$3001,$K393,Расчет!$H$2:$H$3001,1))</f>
        <v/>
      </c>
      <c r="I393">
        <f>IF($L393="","",SUMIFS(Расчет!$G$2:$G$3001,Расчет!$I$2:$I$3001,$K393,Расчет!$H$2:$H$3001,2))</f>
        <v/>
      </c>
      <c r="J393">
        <f>IF($L393="","",SUMIFS(Расчет!$G$2:$G$3001,Расчет!$I$2:$I$3001,$K393,Расчет!$H$2:$H$3001,3))</f>
        <v/>
      </c>
      <c r="K393">
        <f>IF($L393="","",INDEX(Расчет!$I$2:$I$3001,$L393))</f>
        <v/>
      </c>
      <c r="L393">
        <f>IFERROR(MATCH(ROW()-1,Расчет!$J$2:$J$3001,0),"")</f>
        <v/>
      </c>
    </row>
    <row r="394">
      <c r="A394">
        <f>IF($L394="","",B394&amp;"."&amp;C394&amp;"-"&amp;D394&amp;"-"&amp;H394&amp;"."&amp;I394&amp;"."&amp;J394)</f>
        <v/>
      </c>
      <c r="B394">
        <f>IF($L394="","",INDEX(Расчет!$A$2:$A$3001,$L394))</f>
        <v/>
      </c>
      <c r="C394">
        <f>IF($L394="","",INDEX(Расчет!$B$2:$B$3001,$L394))</f>
        <v/>
      </c>
      <c r="D394">
        <f>IF($L394="","",IF(ISNUMBER(FIND("(",INDEX(Расчет!$C$2:$C$3001,$L394))),SUBSTITUTE(MID(INDEX(Расчет!$C$2:$C$3001,$L394),FIND("(",INDEX(Расчет!$C$2:$C$3001,$L394))+1,99),")",""),INDEX(Расчет!$C$2:$C$3001,$L394)))</f>
        <v/>
      </c>
      <c r="E394">
        <f>IF($L394="","",INDEX(Расчет!$D$2:$D$3001,$L394))</f>
        <v/>
      </c>
      <c r="F394">
        <f>IF($L394="","",INDEX(Расчет!$E$2:$E$3001,$L394))</f>
        <v/>
      </c>
      <c r="G394">
        <f>IF($L394="","",IFERROR(--LEFT(INDEX(Расчет!$C$2:$C$3001,$L394),FIND("(",INDEX(Расчет!$C$2:$C$3001,$L394))-1),IFERROR(--LEFT(INDEX(Расчет!$C$2:$C$3001,$L394),1),"")))</f>
        <v/>
      </c>
      <c r="H394">
        <f>IF($L394="","",SUMIFS(Расчет!$G$2:$G$3001,Расчет!$I$2:$I$3001,$K394,Расчет!$H$2:$H$3001,1))</f>
        <v/>
      </c>
      <c r="I394">
        <f>IF($L394="","",SUMIFS(Расчет!$G$2:$G$3001,Расчет!$I$2:$I$3001,$K394,Расчет!$H$2:$H$3001,2))</f>
        <v/>
      </c>
      <c r="J394">
        <f>IF($L394="","",SUMIFS(Расчет!$G$2:$G$3001,Расчет!$I$2:$I$3001,$K394,Расчет!$H$2:$H$3001,3))</f>
        <v/>
      </c>
      <c r="K394">
        <f>IF($L394="","",INDEX(Расчет!$I$2:$I$3001,$L394))</f>
        <v/>
      </c>
      <c r="L394">
        <f>IFERROR(MATCH(ROW()-1,Расчет!$J$2:$J$3001,0),"")</f>
        <v/>
      </c>
    </row>
    <row r="395">
      <c r="A395">
        <f>IF($L395="","",B395&amp;"."&amp;C395&amp;"-"&amp;D395&amp;"-"&amp;H395&amp;"."&amp;I395&amp;"."&amp;J395)</f>
        <v/>
      </c>
      <c r="B395">
        <f>IF($L395="","",INDEX(Расчет!$A$2:$A$3001,$L395))</f>
        <v/>
      </c>
      <c r="C395">
        <f>IF($L395="","",INDEX(Расчет!$B$2:$B$3001,$L395))</f>
        <v/>
      </c>
      <c r="D395">
        <f>IF($L395="","",IF(ISNUMBER(FIND("(",INDEX(Расчет!$C$2:$C$3001,$L395))),SUBSTITUTE(MID(INDEX(Расчет!$C$2:$C$3001,$L395),FIND("(",INDEX(Расчет!$C$2:$C$3001,$L395))+1,99),")",""),INDEX(Расчет!$C$2:$C$3001,$L395)))</f>
        <v/>
      </c>
      <c r="E395">
        <f>IF($L395="","",INDEX(Расчет!$D$2:$D$3001,$L395))</f>
        <v/>
      </c>
      <c r="F395">
        <f>IF($L395="","",INDEX(Расчет!$E$2:$E$3001,$L395))</f>
        <v/>
      </c>
      <c r="G395">
        <f>IF($L395="","",IFERROR(--LEFT(INDEX(Расчет!$C$2:$C$3001,$L395),FIND("(",INDEX(Расчет!$C$2:$C$3001,$L395))-1),IFERROR(--LEFT(INDEX(Расчет!$C$2:$C$3001,$L395),1),"")))</f>
        <v/>
      </c>
      <c r="H395">
        <f>IF($L395="","",SUMIFS(Расчет!$G$2:$G$3001,Расчет!$I$2:$I$3001,$K395,Расчет!$H$2:$H$3001,1))</f>
        <v/>
      </c>
      <c r="I395">
        <f>IF($L395="","",SUMIFS(Расчет!$G$2:$G$3001,Расчет!$I$2:$I$3001,$K395,Расчет!$H$2:$H$3001,2))</f>
        <v/>
      </c>
      <c r="J395">
        <f>IF($L395="","",SUMIFS(Расчет!$G$2:$G$3001,Расчет!$I$2:$I$3001,$K395,Расчет!$H$2:$H$3001,3))</f>
        <v/>
      </c>
      <c r="K395">
        <f>IF($L395="","",INDEX(Расчет!$I$2:$I$3001,$L395))</f>
        <v/>
      </c>
      <c r="L395">
        <f>IFERROR(MATCH(ROW()-1,Расчет!$J$2:$J$3001,0),"")</f>
        <v/>
      </c>
    </row>
    <row r="396">
      <c r="A396">
        <f>IF($L396="","",B396&amp;"."&amp;C396&amp;"-"&amp;D396&amp;"-"&amp;H396&amp;"."&amp;I396&amp;"."&amp;J396)</f>
        <v/>
      </c>
      <c r="B396">
        <f>IF($L396="","",INDEX(Расчет!$A$2:$A$3001,$L396))</f>
        <v/>
      </c>
      <c r="C396">
        <f>IF($L396="","",INDEX(Расчет!$B$2:$B$3001,$L396))</f>
        <v/>
      </c>
      <c r="D396">
        <f>IF($L396="","",IF(ISNUMBER(FIND("(",INDEX(Расчет!$C$2:$C$3001,$L396))),SUBSTITUTE(MID(INDEX(Расчет!$C$2:$C$3001,$L396),FIND("(",INDEX(Расчет!$C$2:$C$3001,$L396))+1,99),")",""),INDEX(Расчет!$C$2:$C$3001,$L396)))</f>
        <v/>
      </c>
      <c r="E396">
        <f>IF($L396="","",INDEX(Расчет!$D$2:$D$3001,$L396))</f>
        <v/>
      </c>
      <c r="F396">
        <f>IF($L396="","",INDEX(Расчет!$E$2:$E$3001,$L396))</f>
        <v/>
      </c>
      <c r="G396">
        <f>IF($L396="","",IFERROR(--LEFT(INDEX(Расчет!$C$2:$C$3001,$L396),FIND("(",INDEX(Расчет!$C$2:$C$3001,$L396))-1),IFERROR(--LEFT(INDEX(Расчет!$C$2:$C$3001,$L396),1),"")))</f>
        <v/>
      </c>
      <c r="H396">
        <f>IF($L396="","",SUMIFS(Расчет!$G$2:$G$3001,Расчет!$I$2:$I$3001,$K396,Расчет!$H$2:$H$3001,1))</f>
        <v/>
      </c>
      <c r="I396">
        <f>IF($L396="","",SUMIFS(Расчет!$G$2:$G$3001,Расчет!$I$2:$I$3001,$K396,Расчет!$H$2:$H$3001,2))</f>
        <v/>
      </c>
      <c r="J396">
        <f>IF($L396="","",SUMIFS(Расчет!$G$2:$G$3001,Расчет!$I$2:$I$3001,$K396,Расчет!$H$2:$H$3001,3))</f>
        <v/>
      </c>
      <c r="K396">
        <f>IF($L396="","",INDEX(Расчет!$I$2:$I$3001,$L396))</f>
        <v/>
      </c>
      <c r="L396">
        <f>IFERROR(MATCH(ROW()-1,Расчет!$J$2:$J$3001,0),"")</f>
        <v/>
      </c>
    </row>
    <row r="397">
      <c r="A397">
        <f>IF($L397="","",B397&amp;"."&amp;C397&amp;"-"&amp;D397&amp;"-"&amp;H397&amp;"."&amp;I397&amp;"."&amp;J397)</f>
        <v/>
      </c>
      <c r="B397">
        <f>IF($L397="","",INDEX(Расчет!$A$2:$A$3001,$L397))</f>
        <v/>
      </c>
      <c r="C397">
        <f>IF($L397="","",INDEX(Расчет!$B$2:$B$3001,$L397))</f>
        <v/>
      </c>
      <c r="D397">
        <f>IF($L397="","",IF(ISNUMBER(FIND("(",INDEX(Расчет!$C$2:$C$3001,$L397))),SUBSTITUTE(MID(INDEX(Расчет!$C$2:$C$3001,$L397),FIND("(",INDEX(Расчет!$C$2:$C$3001,$L397))+1,99),")",""),INDEX(Расчет!$C$2:$C$3001,$L397)))</f>
        <v/>
      </c>
      <c r="E397">
        <f>IF($L397="","",INDEX(Расчет!$D$2:$D$3001,$L397))</f>
        <v/>
      </c>
      <c r="F397">
        <f>IF($L397="","",INDEX(Расчет!$E$2:$E$3001,$L397))</f>
        <v/>
      </c>
      <c r="G397">
        <f>IF($L397="","",IFERROR(--LEFT(INDEX(Расчет!$C$2:$C$3001,$L397),FIND("(",INDEX(Расчет!$C$2:$C$3001,$L397))-1),IFERROR(--LEFT(INDEX(Расчет!$C$2:$C$3001,$L397),1),"")))</f>
        <v/>
      </c>
      <c r="H397">
        <f>IF($L397="","",SUMIFS(Расчет!$G$2:$G$3001,Расчет!$I$2:$I$3001,$K397,Расчет!$H$2:$H$3001,1))</f>
        <v/>
      </c>
      <c r="I397">
        <f>IF($L397="","",SUMIFS(Расчет!$G$2:$G$3001,Расчет!$I$2:$I$3001,$K397,Расчет!$H$2:$H$3001,2))</f>
        <v/>
      </c>
      <c r="J397">
        <f>IF($L397="","",SUMIFS(Расчет!$G$2:$G$3001,Расчет!$I$2:$I$3001,$K397,Расчет!$H$2:$H$3001,3))</f>
        <v/>
      </c>
      <c r="K397">
        <f>IF($L397="","",INDEX(Расчет!$I$2:$I$3001,$L397))</f>
        <v/>
      </c>
      <c r="L397">
        <f>IFERROR(MATCH(ROW()-1,Расчет!$J$2:$J$3001,0),"")</f>
        <v/>
      </c>
    </row>
    <row r="398">
      <c r="A398">
        <f>IF($L398="","",B398&amp;"."&amp;C398&amp;"-"&amp;D398&amp;"-"&amp;H398&amp;"."&amp;I398&amp;"."&amp;J398)</f>
        <v/>
      </c>
      <c r="B398">
        <f>IF($L398="","",INDEX(Расчет!$A$2:$A$3001,$L398))</f>
        <v/>
      </c>
      <c r="C398">
        <f>IF($L398="","",INDEX(Расчет!$B$2:$B$3001,$L398))</f>
        <v/>
      </c>
      <c r="D398">
        <f>IF($L398="","",IF(ISNUMBER(FIND("(",INDEX(Расчет!$C$2:$C$3001,$L398))),SUBSTITUTE(MID(INDEX(Расчет!$C$2:$C$3001,$L398),FIND("(",INDEX(Расчет!$C$2:$C$3001,$L398))+1,99),")",""),INDEX(Расчет!$C$2:$C$3001,$L398)))</f>
        <v/>
      </c>
      <c r="E398">
        <f>IF($L398="","",INDEX(Расчет!$D$2:$D$3001,$L398))</f>
        <v/>
      </c>
      <c r="F398">
        <f>IF($L398="","",INDEX(Расчет!$E$2:$E$3001,$L398))</f>
        <v/>
      </c>
      <c r="G398">
        <f>IF($L398="","",IFERROR(--LEFT(INDEX(Расчет!$C$2:$C$3001,$L398),FIND("(",INDEX(Расчет!$C$2:$C$3001,$L398))-1),IFERROR(--LEFT(INDEX(Расчет!$C$2:$C$3001,$L398),1),"")))</f>
        <v/>
      </c>
      <c r="H398">
        <f>IF($L398="","",SUMIFS(Расчет!$G$2:$G$3001,Расчет!$I$2:$I$3001,$K398,Расчет!$H$2:$H$3001,1))</f>
        <v/>
      </c>
      <c r="I398">
        <f>IF($L398="","",SUMIFS(Расчет!$G$2:$G$3001,Расчет!$I$2:$I$3001,$K398,Расчет!$H$2:$H$3001,2))</f>
        <v/>
      </c>
      <c r="J398">
        <f>IF($L398="","",SUMIFS(Расчет!$G$2:$G$3001,Расчет!$I$2:$I$3001,$K398,Расчет!$H$2:$H$3001,3))</f>
        <v/>
      </c>
      <c r="K398">
        <f>IF($L398="","",INDEX(Расчет!$I$2:$I$3001,$L398))</f>
        <v/>
      </c>
      <c r="L398">
        <f>IFERROR(MATCH(ROW()-1,Расчет!$J$2:$J$3001,0),"")</f>
        <v/>
      </c>
    </row>
    <row r="399">
      <c r="A399">
        <f>IF($L399="","",B399&amp;"."&amp;C399&amp;"-"&amp;D399&amp;"-"&amp;H399&amp;"."&amp;I399&amp;"."&amp;J399)</f>
        <v/>
      </c>
      <c r="B399">
        <f>IF($L399="","",INDEX(Расчет!$A$2:$A$3001,$L399))</f>
        <v/>
      </c>
      <c r="C399">
        <f>IF($L399="","",INDEX(Расчет!$B$2:$B$3001,$L399))</f>
        <v/>
      </c>
      <c r="D399">
        <f>IF($L399="","",IF(ISNUMBER(FIND("(",INDEX(Расчет!$C$2:$C$3001,$L399))),SUBSTITUTE(MID(INDEX(Расчет!$C$2:$C$3001,$L399),FIND("(",INDEX(Расчет!$C$2:$C$3001,$L399))+1,99),")",""),INDEX(Расчет!$C$2:$C$3001,$L399)))</f>
        <v/>
      </c>
      <c r="E399">
        <f>IF($L399="","",INDEX(Расчет!$D$2:$D$3001,$L399))</f>
        <v/>
      </c>
      <c r="F399">
        <f>IF($L399="","",INDEX(Расчет!$E$2:$E$3001,$L399))</f>
        <v/>
      </c>
      <c r="G399">
        <f>IF($L399="","",IFERROR(--LEFT(INDEX(Расчет!$C$2:$C$3001,$L399),FIND("(",INDEX(Расчет!$C$2:$C$3001,$L399))-1),IFERROR(--LEFT(INDEX(Расчет!$C$2:$C$3001,$L399),1),"")))</f>
        <v/>
      </c>
      <c r="H399">
        <f>IF($L399="","",SUMIFS(Расчет!$G$2:$G$3001,Расчет!$I$2:$I$3001,$K399,Расчет!$H$2:$H$3001,1))</f>
        <v/>
      </c>
      <c r="I399">
        <f>IF($L399="","",SUMIFS(Расчет!$G$2:$G$3001,Расчет!$I$2:$I$3001,$K399,Расчет!$H$2:$H$3001,2))</f>
        <v/>
      </c>
      <c r="J399">
        <f>IF($L399="","",SUMIFS(Расчет!$G$2:$G$3001,Расчет!$I$2:$I$3001,$K399,Расчет!$H$2:$H$3001,3))</f>
        <v/>
      </c>
      <c r="K399">
        <f>IF($L399="","",INDEX(Расчет!$I$2:$I$3001,$L399))</f>
        <v/>
      </c>
      <c r="L399">
        <f>IFERROR(MATCH(ROW()-1,Расчет!$J$2:$J$3001,0),"")</f>
        <v/>
      </c>
    </row>
    <row r="400">
      <c r="A400">
        <f>IF($L400="","",B400&amp;"."&amp;C400&amp;"-"&amp;D400&amp;"-"&amp;H400&amp;"."&amp;I400&amp;"."&amp;J400)</f>
        <v/>
      </c>
      <c r="B400">
        <f>IF($L400="","",INDEX(Расчет!$A$2:$A$3001,$L400))</f>
        <v/>
      </c>
      <c r="C400">
        <f>IF($L400="","",INDEX(Расчет!$B$2:$B$3001,$L400))</f>
        <v/>
      </c>
      <c r="D400">
        <f>IF($L400="","",IF(ISNUMBER(FIND("(",INDEX(Расчет!$C$2:$C$3001,$L400))),SUBSTITUTE(MID(INDEX(Расчет!$C$2:$C$3001,$L400),FIND("(",INDEX(Расчет!$C$2:$C$3001,$L400))+1,99),")",""),INDEX(Расчет!$C$2:$C$3001,$L400)))</f>
        <v/>
      </c>
      <c r="E400">
        <f>IF($L400="","",INDEX(Расчет!$D$2:$D$3001,$L400))</f>
        <v/>
      </c>
      <c r="F400">
        <f>IF($L400="","",INDEX(Расчет!$E$2:$E$3001,$L400))</f>
        <v/>
      </c>
      <c r="G400">
        <f>IF($L400="","",IFERROR(--LEFT(INDEX(Расчет!$C$2:$C$3001,$L400),FIND("(",INDEX(Расчет!$C$2:$C$3001,$L400))-1),IFERROR(--LEFT(INDEX(Расчет!$C$2:$C$3001,$L400),1),"")))</f>
        <v/>
      </c>
      <c r="H400">
        <f>IF($L400="","",SUMIFS(Расчет!$G$2:$G$3001,Расчет!$I$2:$I$3001,$K400,Расчет!$H$2:$H$3001,1))</f>
        <v/>
      </c>
      <c r="I400">
        <f>IF($L400="","",SUMIFS(Расчет!$G$2:$G$3001,Расчет!$I$2:$I$3001,$K400,Расчет!$H$2:$H$3001,2))</f>
        <v/>
      </c>
      <c r="J400">
        <f>IF($L400="","",SUMIFS(Расчет!$G$2:$G$3001,Расчет!$I$2:$I$3001,$K400,Расчет!$H$2:$H$3001,3))</f>
        <v/>
      </c>
      <c r="K400">
        <f>IF($L400="","",INDEX(Расчет!$I$2:$I$3001,$L400))</f>
        <v/>
      </c>
      <c r="L400">
        <f>IFERROR(MATCH(ROW()-1,Расчет!$J$2:$J$3001,0),"")</f>
        <v/>
      </c>
    </row>
    <row r="401">
      <c r="A401">
        <f>IF($L401="","",B401&amp;"."&amp;C401&amp;"-"&amp;D401&amp;"-"&amp;H401&amp;"."&amp;I401&amp;"."&amp;J401)</f>
        <v/>
      </c>
      <c r="B401">
        <f>IF($L401="","",INDEX(Расчет!$A$2:$A$3001,$L401))</f>
        <v/>
      </c>
      <c r="C401">
        <f>IF($L401="","",INDEX(Расчет!$B$2:$B$3001,$L401))</f>
        <v/>
      </c>
      <c r="D401">
        <f>IF($L401="","",IF(ISNUMBER(FIND("(",INDEX(Расчет!$C$2:$C$3001,$L401))),SUBSTITUTE(MID(INDEX(Расчет!$C$2:$C$3001,$L401),FIND("(",INDEX(Расчет!$C$2:$C$3001,$L401))+1,99),")",""),INDEX(Расчет!$C$2:$C$3001,$L401)))</f>
        <v/>
      </c>
      <c r="E401">
        <f>IF($L401="","",INDEX(Расчет!$D$2:$D$3001,$L401))</f>
        <v/>
      </c>
      <c r="F401">
        <f>IF($L401="","",INDEX(Расчет!$E$2:$E$3001,$L401))</f>
        <v/>
      </c>
      <c r="G401">
        <f>IF($L401="","",IFERROR(--LEFT(INDEX(Расчет!$C$2:$C$3001,$L401),FIND("(",INDEX(Расчет!$C$2:$C$3001,$L401))-1),IFERROR(--LEFT(INDEX(Расчет!$C$2:$C$3001,$L401),1),"")))</f>
        <v/>
      </c>
      <c r="H401">
        <f>IF($L401="","",SUMIFS(Расчет!$G$2:$G$3001,Расчет!$I$2:$I$3001,$K401,Расчет!$H$2:$H$3001,1))</f>
        <v/>
      </c>
      <c r="I401">
        <f>IF($L401="","",SUMIFS(Расчет!$G$2:$G$3001,Расчет!$I$2:$I$3001,$K401,Расчет!$H$2:$H$3001,2))</f>
        <v/>
      </c>
      <c r="J401">
        <f>IF($L401="","",SUMIFS(Расчет!$G$2:$G$3001,Расчет!$I$2:$I$3001,$K401,Расчет!$H$2:$H$3001,3))</f>
        <v/>
      </c>
      <c r="K401">
        <f>IF($L401="","",INDEX(Расчет!$I$2:$I$3001,$L401))</f>
        <v/>
      </c>
      <c r="L401">
        <f>IFERROR(MATCH(ROW()-1,Расчет!$J$2:$J$3001,0),"")</f>
        <v/>
      </c>
    </row>
    <row r="402">
      <c r="A402">
        <f>IF($L402="","",B402&amp;"."&amp;C402&amp;"-"&amp;D402&amp;"-"&amp;H402&amp;"."&amp;I402&amp;"."&amp;J402)</f>
        <v/>
      </c>
      <c r="B402">
        <f>IF($L402="","",INDEX(Расчет!$A$2:$A$3001,$L402))</f>
        <v/>
      </c>
      <c r="C402">
        <f>IF($L402="","",INDEX(Расчет!$B$2:$B$3001,$L402))</f>
        <v/>
      </c>
      <c r="D402">
        <f>IF($L402="","",IF(ISNUMBER(FIND("(",INDEX(Расчет!$C$2:$C$3001,$L402))),SUBSTITUTE(MID(INDEX(Расчет!$C$2:$C$3001,$L402),FIND("(",INDEX(Расчет!$C$2:$C$3001,$L402))+1,99),")",""),INDEX(Расчет!$C$2:$C$3001,$L402)))</f>
        <v/>
      </c>
      <c r="E402">
        <f>IF($L402="","",INDEX(Расчет!$D$2:$D$3001,$L402))</f>
        <v/>
      </c>
      <c r="F402">
        <f>IF($L402="","",INDEX(Расчет!$E$2:$E$3001,$L402))</f>
        <v/>
      </c>
      <c r="G402">
        <f>IF($L402="","",IFERROR(--LEFT(INDEX(Расчет!$C$2:$C$3001,$L402),FIND("(",INDEX(Расчет!$C$2:$C$3001,$L402))-1),IFERROR(--LEFT(INDEX(Расчет!$C$2:$C$3001,$L402),1),"")))</f>
        <v/>
      </c>
      <c r="H402">
        <f>IF($L402="","",SUMIFS(Расчет!$G$2:$G$3001,Расчет!$I$2:$I$3001,$K402,Расчет!$H$2:$H$3001,1))</f>
        <v/>
      </c>
      <c r="I402">
        <f>IF($L402="","",SUMIFS(Расчет!$G$2:$G$3001,Расчет!$I$2:$I$3001,$K402,Расчет!$H$2:$H$3001,2))</f>
        <v/>
      </c>
      <c r="J402">
        <f>IF($L402="","",SUMIFS(Расчет!$G$2:$G$3001,Расчет!$I$2:$I$3001,$K402,Расчет!$H$2:$H$3001,3))</f>
        <v/>
      </c>
      <c r="K402">
        <f>IF($L402="","",INDEX(Расчет!$I$2:$I$3001,$L402))</f>
        <v/>
      </c>
      <c r="L402">
        <f>IFERROR(MATCH(ROW()-1,Расчет!$J$2:$J$3001,0),"")</f>
        <v/>
      </c>
    </row>
    <row r="403">
      <c r="A403">
        <f>IF($L403="","",B403&amp;"."&amp;C403&amp;"-"&amp;D403&amp;"-"&amp;H403&amp;"."&amp;I403&amp;"."&amp;J403)</f>
        <v/>
      </c>
      <c r="B403">
        <f>IF($L403="","",INDEX(Расчет!$A$2:$A$3001,$L403))</f>
        <v/>
      </c>
      <c r="C403">
        <f>IF($L403="","",INDEX(Расчет!$B$2:$B$3001,$L403))</f>
        <v/>
      </c>
      <c r="D403">
        <f>IF($L403="","",IF(ISNUMBER(FIND("(",INDEX(Расчет!$C$2:$C$3001,$L403))),SUBSTITUTE(MID(INDEX(Расчет!$C$2:$C$3001,$L403),FIND("(",INDEX(Расчет!$C$2:$C$3001,$L403))+1,99),")",""),INDEX(Расчет!$C$2:$C$3001,$L403)))</f>
        <v/>
      </c>
      <c r="E403">
        <f>IF($L403="","",INDEX(Расчет!$D$2:$D$3001,$L403))</f>
        <v/>
      </c>
      <c r="F403">
        <f>IF($L403="","",INDEX(Расчет!$E$2:$E$3001,$L403))</f>
        <v/>
      </c>
      <c r="G403">
        <f>IF($L403="","",IFERROR(--LEFT(INDEX(Расчет!$C$2:$C$3001,$L403),FIND("(",INDEX(Расчет!$C$2:$C$3001,$L403))-1),IFERROR(--LEFT(INDEX(Расчет!$C$2:$C$3001,$L403),1),"")))</f>
        <v/>
      </c>
      <c r="H403">
        <f>IF($L403="","",SUMIFS(Расчет!$G$2:$G$3001,Расчет!$I$2:$I$3001,$K403,Расчет!$H$2:$H$3001,1))</f>
        <v/>
      </c>
      <c r="I403">
        <f>IF($L403="","",SUMIFS(Расчет!$G$2:$G$3001,Расчет!$I$2:$I$3001,$K403,Расчет!$H$2:$H$3001,2))</f>
        <v/>
      </c>
      <c r="J403">
        <f>IF($L403="","",SUMIFS(Расчет!$G$2:$G$3001,Расчет!$I$2:$I$3001,$K403,Расчет!$H$2:$H$3001,3))</f>
        <v/>
      </c>
      <c r="K403">
        <f>IF($L403="","",INDEX(Расчет!$I$2:$I$3001,$L403))</f>
        <v/>
      </c>
      <c r="L403">
        <f>IFERROR(MATCH(ROW()-1,Расчет!$J$2:$J$3001,0),"")</f>
        <v/>
      </c>
    </row>
    <row r="404">
      <c r="A404">
        <f>IF($L404="","",B404&amp;"."&amp;C404&amp;"-"&amp;D404&amp;"-"&amp;H404&amp;"."&amp;I404&amp;"."&amp;J404)</f>
        <v/>
      </c>
      <c r="B404">
        <f>IF($L404="","",INDEX(Расчет!$A$2:$A$3001,$L404))</f>
        <v/>
      </c>
      <c r="C404">
        <f>IF($L404="","",INDEX(Расчет!$B$2:$B$3001,$L404))</f>
        <v/>
      </c>
      <c r="D404">
        <f>IF($L404="","",IF(ISNUMBER(FIND("(",INDEX(Расчет!$C$2:$C$3001,$L404))),SUBSTITUTE(MID(INDEX(Расчет!$C$2:$C$3001,$L404),FIND("(",INDEX(Расчет!$C$2:$C$3001,$L404))+1,99),")",""),INDEX(Расчет!$C$2:$C$3001,$L404)))</f>
        <v/>
      </c>
      <c r="E404">
        <f>IF($L404="","",INDEX(Расчет!$D$2:$D$3001,$L404))</f>
        <v/>
      </c>
      <c r="F404">
        <f>IF($L404="","",INDEX(Расчет!$E$2:$E$3001,$L404))</f>
        <v/>
      </c>
      <c r="G404">
        <f>IF($L404="","",IFERROR(--LEFT(INDEX(Расчет!$C$2:$C$3001,$L404),FIND("(",INDEX(Расчет!$C$2:$C$3001,$L404))-1),IFERROR(--LEFT(INDEX(Расчет!$C$2:$C$3001,$L404),1),"")))</f>
        <v/>
      </c>
      <c r="H404">
        <f>IF($L404="","",SUMIFS(Расчет!$G$2:$G$3001,Расчет!$I$2:$I$3001,$K404,Расчет!$H$2:$H$3001,1))</f>
        <v/>
      </c>
      <c r="I404">
        <f>IF($L404="","",SUMIFS(Расчет!$G$2:$G$3001,Расчет!$I$2:$I$3001,$K404,Расчет!$H$2:$H$3001,2))</f>
        <v/>
      </c>
      <c r="J404">
        <f>IF($L404="","",SUMIFS(Расчет!$G$2:$G$3001,Расчет!$I$2:$I$3001,$K404,Расчет!$H$2:$H$3001,3))</f>
        <v/>
      </c>
      <c r="K404">
        <f>IF($L404="","",INDEX(Расчет!$I$2:$I$3001,$L404))</f>
        <v/>
      </c>
      <c r="L404">
        <f>IFERROR(MATCH(ROW()-1,Расчет!$J$2:$J$3001,0),"")</f>
        <v/>
      </c>
    </row>
    <row r="405">
      <c r="A405">
        <f>IF($L405="","",B405&amp;"."&amp;C405&amp;"-"&amp;D405&amp;"-"&amp;H405&amp;"."&amp;I405&amp;"."&amp;J405)</f>
        <v/>
      </c>
      <c r="B405">
        <f>IF($L405="","",INDEX(Расчет!$A$2:$A$3001,$L405))</f>
        <v/>
      </c>
      <c r="C405">
        <f>IF($L405="","",INDEX(Расчет!$B$2:$B$3001,$L405))</f>
        <v/>
      </c>
      <c r="D405">
        <f>IF($L405="","",IF(ISNUMBER(FIND("(",INDEX(Расчет!$C$2:$C$3001,$L405))),SUBSTITUTE(MID(INDEX(Расчет!$C$2:$C$3001,$L405),FIND("(",INDEX(Расчет!$C$2:$C$3001,$L405))+1,99),")",""),INDEX(Расчет!$C$2:$C$3001,$L405)))</f>
        <v/>
      </c>
      <c r="E405">
        <f>IF($L405="","",INDEX(Расчет!$D$2:$D$3001,$L405))</f>
        <v/>
      </c>
      <c r="F405">
        <f>IF($L405="","",INDEX(Расчет!$E$2:$E$3001,$L405))</f>
        <v/>
      </c>
      <c r="G405">
        <f>IF($L405="","",IFERROR(--LEFT(INDEX(Расчет!$C$2:$C$3001,$L405),FIND("(",INDEX(Расчет!$C$2:$C$3001,$L405))-1),IFERROR(--LEFT(INDEX(Расчет!$C$2:$C$3001,$L405),1),"")))</f>
        <v/>
      </c>
      <c r="H405">
        <f>IF($L405="","",SUMIFS(Расчет!$G$2:$G$3001,Расчет!$I$2:$I$3001,$K405,Расчет!$H$2:$H$3001,1))</f>
        <v/>
      </c>
      <c r="I405">
        <f>IF($L405="","",SUMIFS(Расчет!$G$2:$G$3001,Расчет!$I$2:$I$3001,$K405,Расчет!$H$2:$H$3001,2))</f>
        <v/>
      </c>
      <c r="J405">
        <f>IF($L405="","",SUMIFS(Расчет!$G$2:$G$3001,Расчет!$I$2:$I$3001,$K405,Расчет!$H$2:$H$3001,3))</f>
        <v/>
      </c>
      <c r="K405">
        <f>IF($L405="","",INDEX(Расчет!$I$2:$I$3001,$L405))</f>
        <v/>
      </c>
      <c r="L405">
        <f>IFERROR(MATCH(ROW()-1,Расчет!$J$2:$J$3001,0),"")</f>
        <v/>
      </c>
    </row>
    <row r="406">
      <c r="A406">
        <f>IF($L406="","",B406&amp;"."&amp;C406&amp;"-"&amp;D406&amp;"-"&amp;H406&amp;"."&amp;I406&amp;"."&amp;J406)</f>
        <v/>
      </c>
      <c r="B406">
        <f>IF($L406="","",INDEX(Расчет!$A$2:$A$3001,$L406))</f>
        <v/>
      </c>
      <c r="C406">
        <f>IF($L406="","",INDEX(Расчет!$B$2:$B$3001,$L406))</f>
        <v/>
      </c>
      <c r="D406">
        <f>IF($L406="","",IF(ISNUMBER(FIND("(",INDEX(Расчет!$C$2:$C$3001,$L406))),SUBSTITUTE(MID(INDEX(Расчет!$C$2:$C$3001,$L406),FIND("(",INDEX(Расчет!$C$2:$C$3001,$L406))+1,99),")",""),INDEX(Расчет!$C$2:$C$3001,$L406)))</f>
        <v/>
      </c>
      <c r="E406">
        <f>IF($L406="","",INDEX(Расчет!$D$2:$D$3001,$L406))</f>
        <v/>
      </c>
      <c r="F406">
        <f>IF($L406="","",INDEX(Расчет!$E$2:$E$3001,$L406))</f>
        <v/>
      </c>
      <c r="G406">
        <f>IF($L406="","",IFERROR(--LEFT(INDEX(Расчет!$C$2:$C$3001,$L406),FIND("(",INDEX(Расчет!$C$2:$C$3001,$L406))-1),IFERROR(--LEFT(INDEX(Расчет!$C$2:$C$3001,$L406),1),"")))</f>
        <v/>
      </c>
      <c r="H406">
        <f>IF($L406="","",SUMIFS(Расчет!$G$2:$G$3001,Расчет!$I$2:$I$3001,$K406,Расчет!$H$2:$H$3001,1))</f>
        <v/>
      </c>
      <c r="I406">
        <f>IF($L406="","",SUMIFS(Расчет!$G$2:$G$3001,Расчет!$I$2:$I$3001,$K406,Расчет!$H$2:$H$3001,2))</f>
        <v/>
      </c>
      <c r="J406">
        <f>IF($L406="","",SUMIFS(Расчет!$G$2:$G$3001,Расчет!$I$2:$I$3001,$K406,Расчет!$H$2:$H$3001,3))</f>
        <v/>
      </c>
      <c r="K406">
        <f>IF($L406="","",INDEX(Расчет!$I$2:$I$3001,$L406))</f>
        <v/>
      </c>
      <c r="L406">
        <f>IFERROR(MATCH(ROW()-1,Расчет!$J$2:$J$3001,0),"")</f>
        <v/>
      </c>
    </row>
    <row r="407">
      <c r="A407">
        <f>IF($L407="","",B407&amp;"."&amp;C407&amp;"-"&amp;D407&amp;"-"&amp;H407&amp;"."&amp;I407&amp;"."&amp;J407)</f>
        <v/>
      </c>
      <c r="B407">
        <f>IF($L407="","",INDEX(Расчет!$A$2:$A$3001,$L407))</f>
        <v/>
      </c>
      <c r="C407">
        <f>IF($L407="","",INDEX(Расчет!$B$2:$B$3001,$L407))</f>
        <v/>
      </c>
      <c r="D407">
        <f>IF($L407="","",IF(ISNUMBER(FIND("(",INDEX(Расчет!$C$2:$C$3001,$L407))),SUBSTITUTE(MID(INDEX(Расчет!$C$2:$C$3001,$L407),FIND("(",INDEX(Расчет!$C$2:$C$3001,$L407))+1,99),")",""),INDEX(Расчет!$C$2:$C$3001,$L407)))</f>
        <v/>
      </c>
      <c r="E407">
        <f>IF($L407="","",INDEX(Расчет!$D$2:$D$3001,$L407))</f>
        <v/>
      </c>
      <c r="F407">
        <f>IF($L407="","",INDEX(Расчет!$E$2:$E$3001,$L407))</f>
        <v/>
      </c>
      <c r="G407">
        <f>IF($L407="","",IFERROR(--LEFT(INDEX(Расчет!$C$2:$C$3001,$L407),FIND("(",INDEX(Расчет!$C$2:$C$3001,$L407))-1),IFERROR(--LEFT(INDEX(Расчет!$C$2:$C$3001,$L407),1),"")))</f>
        <v/>
      </c>
      <c r="H407">
        <f>IF($L407="","",SUMIFS(Расчет!$G$2:$G$3001,Расчет!$I$2:$I$3001,$K407,Расчет!$H$2:$H$3001,1))</f>
        <v/>
      </c>
      <c r="I407">
        <f>IF($L407="","",SUMIFS(Расчет!$G$2:$G$3001,Расчет!$I$2:$I$3001,$K407,Расчет!$H$2:$H$3001,2))</f>
        <v/>
      </c>
      <c r="J407">
        <f>IF($L407="","",SUMIFS(Расчет!$G$2:$G$3001,Расчет!$I$2:$I$3001,$K407,Расчет!$H$2:$H$3001,3))</f>
        <v/>
      </c>
      <c r="K407">
        <f>IF($L407="","",INDEX(Расчет!$I$2:$I$3001,$L407))</f>
        <v/>
      </c>
      <c r="L407">
        <f>IFERROR(MATCH(ROW()-1,Расчет!$J$2:$J$3001,0),"")</f>
        <v/>
      </c>
    </row>
    <row r="408">
      <c r="A408">
        <f>IF($L408="","",B408&amp;"."&amp;C408&amp;"-"&amp;D408&amp;"-"&amp;H408&amp;"."&amp;I408&amp;"."&amp;J408)</f>
        <v/>
      </c>
      <c r="B408">
        <f>IF($L408="","",INDEX(Расчет!$A$2:$A$3001,$L408))</f>
        <v/>
      </c>
      <c r="C408">
        <f>IF($L408="","",INDEX(Расчет!$B$2:$B$3001,$L408))</f>
        <v/>
      </c>
      <c r="D408">
        <f>IF($L408="","",IF(ISNUMBER(FIND("(",INDEX(Расчет!$C$2:$C$3001,$L408))),SUBSTITUTE(MID(INDEX(Расчет!$C$2:$C$3001,$L408),FIND("(",INDEX(Расчет!$C$2:$C$3001,$L408))+1,99),")",""),INDEX(Расчет!$C$2:$C$3001,$L408)))</f>
        <v/>
      </c>
      <c r="E408">
        <f>IF($L408="","",INDEX(Расчет!$D$2:$D$3001,$L408))</f>
        <v/>
      </c>
      <c r="F408">
        <f>IF($L408="","",INDEX(Расчет!$E$2:$E$3001,$L408))</f>
        <v/>
      </c>
      <c r="G408">
        <f>IF($L408="","",IFERROR(--LEFT(INDEX(Расчет!$C$2:$C$3001,$L408),FIND("(",INDEX(Расчет!$C$2:$C$3001,$L408))-1),IFERROR(--LEFT(INDEX(Расчет!$C$2:$C$3001,$L408),1),"")))</f>
        <v/>
      </c>
      <c r="H408">
        <f>IF($L408="","",SUMIFS(Расчет!$G$2:$G$3001,Расчет!$I$2:$I$3001,$K408,Расчет!$H$2:$H$3001,1))</f>
        <v/>
      </c>
      <c r="I408">
        <f>IF($L408="","",SUMIFS(Расчет!$G$2:$G$3001,Расчет!$I$2:$I$3001,$K408,Расчет!$H$2:$H$3001,2))</f>
        <v/>
      </c>
      <c r="J408">
        <f>IF($L408="","",SUMIFS(Расчет!$G$2:$G$3001,Расчет!$I$2:$I$3001,$K408,Расчет!$H$2:$H$3001,3))</f>
        <v/>
      </c>
      <c r="K408">
        <f>IF($L408="","",INDEX(Расчет!$I$2:$I$3001,$L408))</f>
        <v/>
      </c>
      <c r="L408">
        <f>IFERROR(MATCH(ROW()-1,Расчет!$J$2:$J$3001,0),"")</f>
        <v/>
      </c>
    </row>
    <row r="409">
      <c r="A409">
        <f>IF($L409="","",B409&amp;"."&amp;C409&amp;"-"&amp;D409&amp;"-"&amp;H409&amp;"."&amp;I409&amp;"."&amp;J409)</f>
        <v/>
      </c>
      <c r="B409">
        <f>IF($L409="","",INDEX(Расчет!$A$2:$A$3001,$L409))</f>
        <v/>
      </c>
      <c r="C409">
        <f>IF($L409="","",INDEX(Расчет!$B$2:$B$3001,$L409))</f>
        <v/>
      </c>
      <c r="D409">
        <f>IF($L409="","",IF(ISNUMBER(FIND("(",INDEX(Расчет!$C$2:$C$3001,$L409))),SUBSTITUTE(MID(INDEX(Расчет!$C$2:$C$3001,$L409),FIND("(",INDEX(Расчет!$C$2:$C$3001,$L409))+1,99),")",""),INDEX(Расчет!$C$2:$C$3001,$L409)))</f>
        <v/>
      </c>
      <c r="E409">
        <f>IF($L409="","",INDEX(Расчет!$D$2:$D$3001,$L409))</f>
        <v/>
      </c>
      <c r="F409">
        <f>IF($L409="","",INDEX(Расчет!$E$2:$E$3001,$L409))</f>
        <v/>
      </c>
      <c r="G409">
        <f>IF($L409="","",IFERROR(--LEFT(INDEX(Расчет!$C$2:$C$3001,$L409),FIND("(",INDEX(Расчет!$C$2:$C$3001,$L409))-1),IFERROR(--LEFT(INDEX(Расчет!$C$2:$C$3001,$L409),1),"")))</f>
        <v/>
      </c>
      <c r="H409">
        <f>IF($L409="","",SUMIFS(Расчет!$G$2:$G$3001,Расчет!$I$2:$I$3001,$K409,Расчет!$H$2:$H$3001,1))</f>
        <v/>
      </c>
      <c r="I409">
        <f>IF($L409="","",SUMIFS(Расчет!$G$2:$G$3001,Расчет!$I$2:$I$3001,$K409,Расчет!$H$2:$H$3001,2))</f>
        <v/>
      </c>
      <c r="J409">
        <f>IF($L409="","",SUMIFS(Расчет!$G$2:$G$3001,Расчет!$I$2:$I$3001,$K409,Расчет!$H$2:$H$3001,3))</f>
        <v/>
      </c>
      <c r="K409">
        <f>IF($L409="","",INDEX(Расчет!$I$2:$I$3001,$L409))</f>
        <v/>
      </c>
      <c r="L409">
        <f>IFERROR(MATCH(ROW()-1,Расчет!$J$2:$J$3001,0),"")</f>
        <v/>
      </c>
    </row>
    <row r="410">
      <c r="A410">
        <f>IF($L410="","",B410&amp;"."&amp;C410&amp;"-"&amp;D410&amp;"-"&amp;H410&amp;"."&amp;I410&amp;"."&amp;J410)</f>
        <v/>
      </c>
      <c r="B410">
        <f>IF($L410="","",INDEX(Расчет!$A$2:$A$3001,$L410))</f>
        <v/>
      </c>
      <c r="C410">
        <f>IF($L410="","",INDEX(Расчет!$B$2:$B$3001,$L410))</f>
        <v/>
      </c>
      <c r="D410">
        <f>IF($L410="","",IF(ISNUMBER(FIND("(",INDEX(Расчет!$C$2:$C$3001,$L410))),SUBSTITUTE(MID(INDEX(Расчет!$C$2:$C$3001,$L410),FIND("(",INDEX(Расчет!$C$2:$C$3001,$L410))+1,99),")",""),INDEX(Расчет!$C$2:$C$3001,$L410)))</f>
        <v/>
      </c>
      <c r="E410">
        <f>IF($L410="","",INDEX(Расчет!$D$2:$D$3001,$L410))</f>
        <v/>
      </c>
      <c r="F410">
        <f>IF($L410="","",INDEX(Расчет!$E$2:$E$3001,$L410))</f>
        <v/>
      </c>
      <c r="G410">
        <f>IF($L410="","",IFERROR(--LEFT(INDEX(Расчет!$C$2:$C$3001,$L410),FIND("(",INDEX(Расчет!$C$2:$C$3001,$L410))-1),IFERROR(--LEFT(INDEX(Расчет!$C$2:$C$3001,$L410),1),"")))</f>
        <v/>
      </c>
      <c r="H410">
        <f>IF($L410="","",SUMIFS(Расчет!$G$2:$G$3001,Расчет!$I$2:$I$3001,$K410,Расчет!$H$2:$H$3001,1))</f>
        <v/>
      </c>
      <c r="I410">
        <f>IF($L410="","",SUMIFS(Расчет!$G$2:$G$3001,Расчет!$I$2:$I$3001,$K410,Расчет!$H$2:$H$3001,2))</f>
        <v/>
      </c>
      <c r="J410">
        <f>IF($L410="","",SUMIFS(Расчет!$G$2:$G$3001,Расчет!$I$2:$I$3001,$K410,Расчет!$H$2:$H$3001,3))</f>
        <v/>
      </c>
      <c r="K410">
        <f>IF($L410="","",INDEX(Расчет!$I$2:$I$3001,$L410))</f>
        <v/>
      </c>
      <c r="L410">
        <f>IFERROR(MATCH(ROW()-1,Расчет!$J$2:$J$3001,0),"")</f>
        <v/>
      </c>
    </row>
    <row r="411">
      <c r="A411">
        <f>IF($L411="","",B411&amp;"."&amp;C411&amp;"-"&amp;D411&amp;"-"&amp;H411&amp;"."&amp;I411&amp;"."&amp;J411)</f>
        <v/>
      </c>
      <c r="B411">
        <f>IF($L411="","",INDEX(Расчет!$A$2:$A$3001,$L411))</f>
        <v/>
      </c>
      <c r="C411">
        <f>IF($L411="","",INDEX(Расчет!$B$2:$B$3001,$L411))</f>
        <v/>
      </c>
      <c r="D411">
        <f>IF($L411="","",IF(ISNUMBER(FIND("(",INDEX(Расчет!$C$2:$C$3001,$L411))),SUBSTITUTE(MID(INDEX(Расчет!$C$2:$C$3001,$L411),FIND("(",INDEX(Расчет!$C$2:$C$3001,$L411))+1,99),")",""),INDEX(Расчет!$C$2:$C$3001,$L411)))</f>
        <v/>
      </c>
      <c r="E411">
        <f>IF($L411="","",INDEX(Расчет!$D$2:$D$3001,$L411))</f>
        <v/>
      </c>
      <c r="F411">
        <f>IF($L411="","",INDEX(Расчет!$E$2:$E$3001,$L411))</f>
        <v/>
      </c>
      <c r="G411">
        <f>IF($L411="","",IFERROR(--LEFT(INDEX(Расчет!$C$2:$C$3001,$L411),FIND("(",INDEX(Расчет!$C$2:$C$3001,$L411))-1),IFERROR(--LEFT(INDEX(Расчет!$C$2:$C$3001,$L411),1),"")))</f>
        <v/>
      </c>
      <c r="H411">
        <f>IF($L411="","",SUMIFS(Расчет!$G$2:$G$3001,Расчет!$I$2:$I$3001,$K411,Расчет!$H$2:$H$3001,1))</f>
        <v/>
      </c>
      <c r="I411">
        <f>IF($L411="","",SUMIFS(Расчет!$G$2:$G$3001,Расчет!$I$2:$I$3001,$K411,Расчет!$H$2:$H$3001,2))</f>
        <v/>
      </c>
      <c r="J411">
        <f>IF($L411="","",SUMIFS(Расчет!$G$2:$G$3001,Расчет!$I$2:$I$3001,$K411,Расчет!$H$2:$H$3001,3))</f>
        <v/>
      </c>
      <c r="K411">
        <f>IF($L411="","",INDEX(Расчет!$I$2:$I$3001,$L411))</f>
        <v/>
      </c>
      <c r="L411">
        <f>IFERROR(MATCH(ROW()-1,Расчет!$J$2:$J$3001,0),"")</f>
        <v/>
      </c>
    </row>
    <row r="412">
      <c r="A412">
        <f>IF($L412="","",B412&amp;"."&amp;C412&amp;"-"&amp;D412&amp;"-"&amp;H412&amp;"."&amp;I412&amp;"."&amp;J412)</f>
        <v/>
      </c>
      <c r="B412">
        <f>IF($L412="","",INDEX(Расчет!$A$2:$A$3001,$L412))</f>
        <v/>
      </c>
      <c r="C412">
        <f>IF($L412="","",INDEX(Расчет!$B$2:$B$3001,$L412))</f>
        <v/>
      </c>
      <c r="D412">
        <f>IF($L412="","",IF(ISNUMBER(FIND("(",INDEX(Расчет!$C$2:$C$3001,$L412))),SUBSTITUTE(MID(INDEX(Расчет!$C$2:$C$3001,$L412),FIND("(",INDEX(Расчет!$C$2:$C$3001,$L412))+1,99),")",""),INDEX(Расчет!$C$2:$C$3001,$L412)))</f>
        <v/>
      </c>
      <c r="E412">
        <f>IF($L412="","",INDEX(Расчет!$D$2:$D$3001,$L412))</f>
        <v/>
      </c>
      <c r="F412">
        <f>IF($L412="","",INDEX(Расчет!$E$2:$E$3001,$L412))</f>
        <v/>
      </c>
      <c r="G412">
        <f>IF($L412="","",IFERROR(--LEFT(INDEX(Расчет!$C$2:$C$3001,$L412),FIND("(",INDEX(Расчет!$C$2:$C$3001,$L412))-1),IFERROR(--LEFT(INDEX(Расчет!$C$2:$C$3001,$L412),1),"")))</f>
        <v/>
      </c>
      <c r="H412">
        <f>IF($L412="","",SUMIFS(Расчет!$G$2:$G$3001,Расчет!$I$2:$I$3001,$K412,Расчет!$H$2:$H$3001,1))</f>
        <v/>
      </c>
      <c r="I412">
        <f>IF($L412="","",SUMIFS(Расчет!$G$2:$G$3001,Расчет!$I$2:$I$3001,$K412,Расчет!$H$2:$H$3001,2))</f>
        <v/>
      </c>
      <c r="J412">
        <f>IF($L412="","",SUMIFS(Расчет!$G$2:$G$3001,Расчет!$I$2:$I$3001,$K412,Расчет!$H$2:$H$3001,3))</f>
        <v/>
      </c>
      <c r="K412">
        <f>IF($L412="","",INDEX(Расчет!$I$2:$I$3001,$L412))</f>
        <v/>
      </c>
      <c r="L412">
        <f>IFERROR(MATCH(ROW()-1,Расчет!$J$2:$J$3001,0),"")</f>
        <v/>
      </c>
    </row>
    <row r="413">
      <c r="A413">
        <f>IF($L413="","",B413&amp;"."&amp;C413&amp;"-"&amp;D413&amp;"-"&amp;H413&amp;"."&amp;I413&amp;"."&amp;J413)</f>
        <v/>
      </c>
      <c r="B413">
        <f>IF($L413="","",INDEX(Расчет!$A$2:$A$3001,$L413))</f>
        <v/>
      </c>
      <c r="C413">
        <f>IF($L413="","",INDEX(Расчет!$B$2:$B$3001,$L413))</f>
        <v/>
      </c>
      <c r="D413">
        <f>IF($L413="","",IF(ISNUMBER(FIND("(",INDEX(Расчет!$C$2:$C$3001,$L413))),SUBSTITUTE(MID(INDEX(Расчет!$C$2:$C$3001,$L413),FIND("(",INDEX(Расчет!$C$2:$C$3001,$L413))+1,99),")",""),INDEX(Расчет!$C$2:$C$3001,$L413)))</f>
        <v/>
      </c>
      <c r="E413">
        <f>IF($L413="","",INDEX(Расчет!$D$2:$D$3001,$L413))</f>
        <v/>
      </c>
      <c r="F413">
        <f>IF($L413="","",INDEX(Расчет!$E$2:$E$3001,$L413))</f>
        <v/>
      </c>
      <c r="G413">
        <f>IF($L413="","",IFERROR(--LEFT(INDEX(Расчет!$C$2:$C$3001,$L413),FIND("(",INDEX(Расчет!$C$2:$C$3001,$L413))-1),IFERROR(--LEFT(INDEX(Расчет!$C$2:$C$3001,$L413),1),"")))</f>
        <v/>
      </c>
      <c r="H413">
        <f>IF($L413="","",SUMIFS(Расчет!$G$2:$G$3001,Расчет!$I$2:$I$3001,$K413,Расчет!$H$2:$H$3001,1))</f>
        <v/>
      </c>
      <c r="I413">
        <f>IF($L413="","",SUMIFS(Расчет!$G$2:$G$3001,Расчет!$I$2:$I$3001,$K413,Расчет!$H$2:$H$3001,2))</f>
        <v/>
      </c>
      <c r="J413">
        <f>IF($L413="","",SUMIFS(Расчет!$G$2:$G$3001,Расчет!$I$2:$I$3001,$K413,Расчет!$H$2:$H$3001,3))</f>
        <v/>
      </c>
      <c r="K413">
        <f>IF($L413="","",INDEX(Расчет!$I$2:$I$3001,$L413))</f>
        <v/>
      </c>
      <c r="L413">
        <f>IFERROR(MATCH(ROW()-1,Расчет!$J$2:$J$3001,0),"")</f>
        <v/>
      </c>
    </row>
    <row r="414">
      <c r="A414">
        <f>IF($L414="","",B414&amp;"."&amp;C414&amp;"-"&amp;D414&amp;"-"&amp;H414&amp;"."&amp;I414&amp;"."&amp;J414)</f>
        <v/>
      </c>
      <c r="B414">
        <f>IF($L414="","",INDEX(Расчет!$A$2:$A$3001,$L414))</f>
        <v/>
      </c>
      <c r="C414">
        <f>IF($L414="","",INDEX(Расчет!$B$2:$B$3001,$L414))</f>
        <v/>
      </c>
      <c r="D414">
        <f>IF($L414="","",IF(ISNUMBER(FIND("(",INDEX(Расчет!$C$2:$C$3001,$L414))),SUBSTITUTE(MID(INDEX(Расчет!$C$2:$C$3001,$L414),FIND("(",INDEX(Расчет!$C$2:$C$3001,$L414))+1,99),")",""),INDEX(Расчет!$C$2:$C$3001,$L414)))</f>
        <v/>
      </c>
      <c r="E414">
        <f>IF($L414="","",INDEX(Расчет!$D$2:$D$3001,$L414))</f>
        <v/>
      </c>
      <c r="F414">
        <f>IF($L414="","",INDEX(Расчет!$E$2:$E$3001,$L414))</f>
        <v/>
      </c>
      <c r="G414">
        <f>IF($L414="","",IFERROR(--LEFT(INDEX(Расчет!$C$2:$C$3001,$L414),FIND("(",INDEX(Расчет!$C$2:$C$3001,$L414))-1),IFERROR(--LEFT(INDEX(Расчет!$C$2:$C$3001,$L414),1),"")))</f>
        <v/>
      </c>
      <c r="H414">
        <f>IF($L414="","",SUMIFS(Расчет!$G$2:$G$3001,Расчет!$I$2:$I$3001,$K414,Расчет!$H$2:$H$3001,1))</f>
        <v/>
      </c>
      <c r="I414">
        <f>IF($L414="","",SUMIFS(Расчет!$G$2:$G$3001,Расчет!$I$2:$I$3001,$K414,Расчет!$H$2:$H$3001,2))</f>
        <v/>
      </c>
      <c r="J414">
        <f>IF($L414="","",SUMIFS(Расчет!$G$2:$G$3001,Расчет!$I$2:$I$3001,$K414,Расчет!$H$2:$H$3001,3))</f>
        <v/>
      </c>
      <c r="K414">
        <f>IF($L414="","",INDEX(Расчет!$I$2:$I$3001,$L414))</f>
        <v/>
      </c>
      <c r="L414">
        <f>IFERROR(MATCH(ROW()-1,Расчет!$J$2:$J$3001,0),"")</f>
        <v/>
      </c>
    </row>
    <row r="415">
      <c r="A415">
        <f>IF($L415="","",B415&amp;"."&amp;C415&amp;"-"&amp;D415&amp;"-"&amp;H415&amp;"."&amp;I415&amp;"."&amp;J415)</f>
        <v/>
      </c>
      <c r="B415">
        <f>IF($L415="","",INDEX(Расчет!$A$2:$A$3001,$L415))</f>
        <v/>
      </c>
      <c r="C415">
        <f>IF($L415="","",INDEX(Расчет!$B$2:$B$3001,$L415))</f>
        <v/>
      </c>
      <c r="D415">
        <f>IF($L415="","",IF(ISNUMBER(FIND("(",INDEX(Расчет!$C$2:$C$3001,$L415))),SUBSTITUTE(MID(INDEX(Расчет!$C$2:$C$3001,$L415),FIND("(",INDEX(Расчет!$C$2:$C$3001,$L415))+1,99),")",""),INDEX(Расчет!$C$2:$C$3001,$L415)))</f>
        <v/>
      </c>
      <c r="E415">
        <f>IF($L415="","",INDEX(Расчет!$D$2:$D$3001,$L415))</f>
        <v/>
      </c>
      <c r="F415">
        <f>IF($L415="","",INDEX(Расчет!$E$2:$E$3001,$L415))</f>
        <v/>
      </c>
      <c r="G415">
        <f>IF($L415="","",IFERROR(--LEFT(INDEX(Расчет!$C$2:$C$3001,$L415),FIND("(",INDEX(Расчет!$C$2:$C$3001,$L415))-1),IFERROR(--LEFT(INDEX(Расчет!$C$2:$C$3001,$L415),1),"")))</f>
        <v/>
      </c>
      <c r="H415">
        <f>IF($L415="","",SUMIFS(Расчет!$G$2:$G$3001,Расчет!$I$2:$I$3001,$K415,Расчет!$H$2:$H$3001,1))</f>
        <v/>
      </c>
      <c r="I415">
        <f>IF($L415="","",SUMIFS(Расчет!$G$2:$G$3001,Расчет!$I$2:$I$3001,$K415,Расчет!$H$2:$H$3001,2))</f>
        <v/>
      </c>
      <c r="J415">
        <f>IF($L415="","",SUMIFS(Расчет!$G$2:$G$3001,Расчет!$I$2:$I$3001,$K415,Расчет!$H$2:$H$3001,3))</f>
        <v/>
      </c>
      <c r="K415">
        <f>IF($L415="","",INDEX(Расчет!$I$2:$I$3001,$L415))</f>
        <v/>
      </c>
      <c r="L415">
        <f>IFERROR(MATCH(ROW()-1,Расчет!$J$2:$J$3001,0),"")</f>
        <v/>
      </c>
    </row>
    <row r="416">
      <c r="A416">
        <f>IF($L416="","",B416&amp;"."&amp;C416&amp;"-"&amp;D416&amp;"-"&amp;H416&amp;"."&amp;I416&amp;"."&amp;J416)</f>
        <v/>
      </c>
      <c r="B416">
        <f>IF($L416="","",INDEX(Расчет!$A$2:$A$3001,$L416))</f>
        <v/>
      </c>
      <c r="C416">
        <f>IF($L416="","",INDEX(Расчет!$B$2:$B$3001,$L416))</f>
        <v/>
      </c>
      <c r="D416">
        <f>IF($L416="","",IF(ISNUMBER(FIND("(",INDEX(Расчет!$C$2:$C$3001,$L416))),SUBSTITUTE(MID(INDEX(Расчет!$C$2:$C$3001,$L416),FIND("(",INDEX(Расчет!$C$2:$C$3001,$L416))+1,99),")",""),INDEX(Расчет!$C$2:$C$3001,$L416)))</f>
        <v/>
      </c>
      <c r="E416">
        <f>IF($L416="","",INDEX(Расчет!$D$2:$D$3001,$L416))</f>
        <v/>
      </c>
      <c r="F416">
        <f>IF($L416="","",INDEX(Расчет!$E$2:$E$3001,$L416))</f>
        <v/>
      </c>
      <c r="G416">
        <f>IF($L416="","",IFERROR(--LEFT(INDEX(Расчет!$C$2:$C$3001,$L416),FIND("(",INDEX(Расчет!$C$2:$C$3001,$L416))-1),IFERROR(--LEFT(INDEX(Расчет!$C$2:$C$3001,$L416),1),"")))</f>
        <v/>
      </c>
      <c r="H416">
        <f>IF($L416="","",SUMIFS(Расчет!$G$2:$G$3001,Расчет!$I$2:$I$3001,$K416,Расчет!$H$2:$H$3001,1))</f>
        <v/>
      </c>
      <c r="I416">
        <f>IF($L416="","",SUMIFS(Расчет!$G$2:$G$3001,Расчет!$I$2:$I$3001,$K416,Расчет!$H$2:$H$3001,2))</f>
        <v/>
      </c>
      <c r="J416">
        <f>IF($L416="","",SUMIFS(Расчет!$G$2:$G$3001,Расчет!$I$2:$I$3001,$K416,Расчет!$H$2:$H$3001,3))</f>
        <v/>
      </c>
      <c r="K416">
        <f>IF($L416="","",INDEX(Расчет!$I$2:$I$3001,$L416))</f>
        <v/>
      </c>
      <c r="L416">
        <f>IFERROR(MATCH(ROW()-1,Расчет!$J$2:$J$3001,0),"")</f>
        <v/>
      </c>
    </row>
    <row r="417">
      <c r="A417">
        <f>IF($L417="","",B417&amp;"."&amp;C417&amp;"-"&amp;D417&amp;"-"&amp;H417&amp;"."&amp;I417&amp;"."&amp;J417)</f>
        <v/>
      </c>
      <c r="B417">
        <f>IF($L417="","",INDEX(Расчет!$A$2:$A$3001,$L417))</f>
        <v/>
      </c>
      <c r="C417">
        <f>IF($L417="","",INDEX(Расчет!$B$2:$B$3001,$L417))</f>
        <v/>
      </c>
      <c r="D417">
        <f>IF($L417="","",IF(ISNUMBER(FIND("(",INDEX(Расчет!$C$2:$C$3001,$L417))),SUBSTITUTE(MID(INDEX(Расчет!$C$2:$C$3001,$L417),FIND("(",INDEX(Расчет!$C$2:$C$3001,$L417))+1,99),")",""),INDEX(Расчет!$C$2:$C$3001,$L417)))</f>
        <v/>
      </c>
      <c r="E417">
        <f>IF($L417="","",INDEX(Расчет!$D$2:$D$3001,$L417))</f>
        <v/>
      </c>
      <c r="F417">
        <f>IF($L417="","",INDEX(Расчет!$E$2:$E$3001,$L417))</f>
        <v/>
      </c>
      <c r="G417">
        <f>IF($L417="","",IFERROR(--LEFT(INDEX(Расчет!$C$2:$C$3001,$L417),FIND("(",INDEX(Расчет!$C$2:$C$3001,$L417))-1),IFERROR(--LEFT(INDEX(Расчет!$C$2:$C$3001,$L417),1),"")))</f>
        <v/>
      </c>
      <c r="H417">
        <f>IF($L417="","",SUMIFS(Расчет!$G$2:$G$3001,Расчет!$I$2:$I$3001,$K417,Расчет!$H$2:$H$3001,1))</f>
        <v/>
      </c>
      <c r="I417">
        <f>IF($L417="","",SUMIFS(Расчет!$G$2:$G$3001,Расчет!$I$2:$I$3001,$K417,Расчет!$H$2:$H$3001,2))</f>
        <v/>
      </c>
      <c r="J417">
        <f>IF($L417="","",SUMIFS(Расчет!$G$2:$G$3001,Расчет!$I$2:$I$3001,$K417,Расчет!$H$2:$H$3001,3))</f>
        <v/>
      </c>
      <c r="K417">
        <f>IF($L417="","",INDEX(Расчет!$I$2:$I$3001,$L417))</f>
        <v/>
      </c>
      <c r="L417">
        <f>IFERROR(MATCH(ROW()-1,Расчет!$J$2:$J$3001,0),"")</f>
        <v/>
      </c>
    </row>
    <row r="418">
      <c r="A418">
        <f>IF($L418="","",B418&amp;"."&amp;C418&amp;"-"&amp;D418&amp;"-"&amp;H418&amp;"."&amp;I418&amp;"."&amp;J418)</f>
        <v/>
      </c>
      <c r="B418">
        <f>IF($L418="","",INDEX(Расчет!$A$2:$A$3001,$L418))</f>
        <v/>
      </c>
      <c r="C418">
        <f>IF($L418="","",INDEX(Расчет!$B$2:$B$3001,$L418))</f>
        <v/>
      </c>
      <c r="D418">
        <f>IF($L418="","",IF(ISNUMBER(FIND("(",INDEX(Расчет!$C$2:$C$3001,$L418))),SUBSTITUTE(MID(INDEX(Расчет!$C$2:$C$3001,$L418),FIND("(",INDEX(Расчет!$C$2:$C$3001,$L418))+1,99),")",""),INDEX(Расчет!$C$2:$C$3001,$L418)))</f>
        <v/>
      </c>
      <c r="E418">
        <f>IF($L418="","",INDEX(Расчет!$D$2:$D$3001,$L418))</f>
        <v/>
      </c>
      <c r="F418">
        <f>IF($L418="","",INDEX(Расчет!$E$2:$E$3001,$L418))</f>
        <v/>
      </c>
      <c r="G418">
        <f>IF($L418="","",IFERROR(--LEFT(INDEX(Расчет!$C$2:$C$3001,$L418),FIND("(",INDEX(Расчет!$C$2:$C$3001,$L418))-1),IFERROR(--LEFT(INDEX(Расчет!$C$2:$C$3001,$L418),1),"")))</f>
        <v/>
      </c>
      <c r="H418">
        <f>IF($L418="","",SUMIFS(Расчет!$G$2:$G$3001,Расчет!$I$2:$I$3001,$K418,Расчет!$H$2:$H$3001,1))</f>
        <v/>
      </c>
      <c r="I418">
        <f>IF($L418="","",SUMIFS(Расчет!$G$2:$G$3001,Расчет!$I$2:$I$3001,$K418,Расчет!$H$2:$H$3001,2))</f>
        <v/>
      </c>
      <c r="J418">
        <f>IF($L418="","",SUMIFS(Расчет!$G$2:$G$3001,Расчет!$I$2:$I$3001,$K418,Расчет!$H$2:$H$3001,3))</f>
        <v/>
      </c>
      <c r="K418">
        <f>IF($L418="","",INDEX(Расчет!$I$2:$I$3001,$L418))</f>
        <v/>
      </c>
      <c r="L418">
        <f>IFERROR(MATCH(ROW()-1,Расчет!$J$2:$J$3001,0),"")</f>
        <v/>
      </c>
    </row>
    <row r="419">
      <c r="A419">
        <f>IF($L419="","",B419&amp;"."&amp;C419&amp;"-"&amp;D419&amp;"-"&amp;H419&amp;"."&amp;I419&amp;"."&amp;J419)</f>
        <v/>
      </c>
      <c r="B419">
        <f>IF($L419="","",INDEX(Расчет!$A$2:$A$3001,$L419))</f>
        <v/>
      </c>
      <c r="C419">
        <f>IF($L419="","",INDEX(Расчет!$B$2:$B$3001,$L419))</f>
        <v/>
      </c>
      <c r="D419">
        <f>IF($L419="","",IF(ISNUMBER(FIND("(",INDEX(Расчет!$C$2:$C$3001,$L419))),SUBSTITUTE(MID(INDEX(Расчет!$C$2:$C$3001,$L419),FIND("(",INDEX(Расчет!$C$2:$C$3001,$L419))+1,99),")",""),INDEX(Расчет!$C$2:$C$3001,$L419)))</f>
        <v/>
      </c>
      <c r="E419">
        <f>IF($L419="","",INDEX(Расчет!$D$2:$D$3001,$L419))</f>
        <v/>
      </c>
      <c r="F419">
        <f>IF($L419="","",INDEX(Расчет!$E$2:$E$3001,$L419))</f>
        <v/>
      </c>
      <c r="G419">
        <f>IF($L419="","",IFERROR(--LEFT(INDEX(Расчет!$C$2:$C$3001,$L419),FIND("(",INDEX(Расчет!$C$2:$C$3001,$L419))-1),IFERROR(--LEFT(INDEX(Расчет!$C$2:$C$3001,$L419),1),"")))</f>
        <v/>
      </c>
      <c r="H419">
        <f>IF($L419="","",SUMIFS(Расчет!$G$2:$G$3001,Расчет!$I$2:$I$3001,$K419,Расчет!$H$2:$H$3001,1))</f>
        <v/>
      </c>
      <c r="I419">
        <f>IF($L419="","",SUMIFS(Расчет!$G$2:$G$3001,Расчет!$I$2:$I$3001,$K419,Расчет!$H$2:$H$3001,2))</f>
        <v/>
      </c>
      <c r="J419">
        <f>IF($L419="","",SUMIFS(Расчет!$G$2:$G$3001,Расчет!$I$2:$I$3001,$K419,Расчет!$H$2:$H$3001,3))</f>
        <v/>
      </c>
      <c r="K419">
        <f>IF($L419="","",INDEX(Расчет!$I$2:$I$3001,$L419))</f>
        <v/>
      </c>
      <c r="L419">
        <f>IFERROR(MATCH(ROW()-1,Расчет!$J$2:$J$3001,0),"")</f>
        <v/>
      </c>
    </row>
    <row r="420">
      <c r="A420">
        <f>IF($L420="","",B420&amp;"."&amp;C420&amp;"-"&amp;D420&amp;"-"&amp;H420&amp;"."&amp;I420&amp;"."&amp;J420)</f>
        <v/>
      </c>
      <c r="B420">
        <f>IF($L420="","",INDEX(Расчет!$A$2:$A$3001,$L420))</f>
        <v/>
      </c>
      <c r="C420">
        <f>IF($L420="","",INDEX(Расчет!$B$2:$B$3001,$L420))</f>
        <v/>
      </c>
      <c r="D420">
        <f>IF($L420="","",IF(ISNUMBER(FIND("(",INDEX(Расчет!$C$2:$C$3001,$L420))),SUBSTITUTE(MID(INDEX(Расчет!$C$2:$C$3001,$L420),FIND("(",INDEX(Расчет!$C$2:$C$3001,$L420))+1,99),")",""),INDEX(Расчет!$C$2:$C$3001,$L420)))</f>
        <v/>
      </c>
      <c r="E420">
        <f>IF($L420="","",INDEX(Расчет!$D$2:$D$3001,$L420))</f>
        <v/>
      </c>
      <c r="F420">
        <f>IF($L420="","",INDEX(Расчет!$E$2:$E$3001,$L420))</f>
        <v/>
      </c>
      <c r="G420">
        <f>IF($L420="","",IFERROR(--LEFT(INDEX(Расчет!$C$2:$C$3001,$L420),FIND("(",INDEX(Расчет!$C$2:$C$3001,$L420))-1),IFERROR(--LEFT(INDEX(Расчет!$C$2:$C$3001,$L420),1),"")))</f>
        <v/>
      </c>
      <c r="H420">
        <f>IF($L420="","",SUMIFS(Расчет!$G$2:$G$3001,Расчет!$I$2:$I$3001,$K420,Расчет!$H$2:$H$3001,1))</f>
        <v/>
      </c>
      <c r="I420">
        <f>IF($L420="","",SUMIFS(Расчет!$G$2:$G$3001,Расчет!$I$2:$I$3001,$K420,Расчет!$H$2:$H$3001,2))</f>
        <v/>
      </c>
      <c r="J420">
        <f>IF($L420="","",SUMIFS(Расчет!$G$2:$G$3001,Расчет!$I$2:$I$3001,$K420,Расчет!$H$2:$H$3001,3))</f>
        <v/>
      </c>
      <c r="K420">
        <f>IF($L420="","",INDEX(Расчет!$I$2:$I$3001,$L420))</f>
        <v/>
      </c>
      <c r="L420">
        <f>IFERROR(MATCH(ROW()-1,Расчет!$J$2:$J$3001,0),"")</f>
        <v/>
      </c>
    </row>
    <row r="421">
      <c r="A421">
        <f>IF($L421="","",B421&amp;"."&amp;C421&amp;"-"&amp;D421&amp;"-"&amp;H421&amp;"."&amp;I421&amp;"."&amp;J421)</f>
        <v/>
      </c>
      <c r="B421">
        <f>IF($L421="","",INDEX(Расчет!$A$2:$A$3001,$L421))</f>
        <v/>
      </c>
      <c r="C421">
        <f>IF($L421="","",INDEX(Расчет!$B$2:$B$3001,$L421))</f>
        <v/>
      </c>
      <c r="D421">
        <f>IF($L421="","",IF(ISNUMBER(FIND("(",INDEX(Расчет!$C$2:$C$3001,$L421))),SUBSTITUTE(MID(INDEX(Расчет!$C$2:$C$3001,$L421),FIND("(",INDEX(Расчет!$C$2:$C$3001,$L421))+1,99),")",""),INDEX(Расчет!$C$2:$C$3001,$L421)))</f>
        <v/>
      </c>
      <c r="E421">
        <f>IF($L421="","",INDEX(Расчет!$D$2:$D$3001,$L421))</f>
        <v/>
      </c>
      <c r="F421">
        <f>IF($L421="","",INDEX(Расчет!$E$2:$E$3001,$L421))</f>
        <v/>
      </c>
      <c r="G421">
        <f>IF($L421="","",IFERROR(--LEFT(INDEX(Расчет!$C$2:$C$3001,$L421),FIND("(",INDEX(Расчет!$C$2:$C$3001,$L421))-1),IFERROR(--LEFT(INDEX(Расчет!$C$2:$C$3001,$L421),1),"")))</f>
        <v/>
      </c>
      <c r="H421">
        <f>IF($L421="","",SUMIFS(Расчет!$G$2:$G$3001,Расчет!$I$2:$I$3001,$K421,Расчет!$H$2:$H$3001,1))</f>
        <v/>
      </c>
      <c r="I421">
        <f>IF($L421="","",SUMIFS(Расчет!$G$2:$G$3001,Расчет!$I$2:$I$3001,$K421,Расчет!$H$2:$H$3001,2))</f>
        <v/>
      </c>
      <c r="J421">
        <f>IF($L421="","",SUMIFS(Расчет!$G$2:$G$3001,Расчет!$I$2:$I$3001,$K421,Расчет!$H$2:$H$3001,3))</f>
        <v/>
      </c>
      <c r="K421">
        <f>IF($L421="","",INDEX(Расчет!$I$2:$I$3001,$L421))</f>
        <v/>
      </c>
      <c r="L421">
        <f>IFERROR(MATCH(ROW()-1,Расчет!$J$2:$J$3001,0),"")</f>
        <v/>
      </c>
    </row>
    <row r="422">
      <c r="A422">
        <f>IF($L422="","",B422&amp;"."&amp;C422&amp;"-"&amp;D422&amp;"-"&amp;H422&amp;"."&amp;I422&amp;"."&amp;J422)</f>
        <v/>
      </c>
      <c r="B422">
        <f>IF($L422="","",INDEX(Расчет!$A$2:$A$3001,$L422))</f>
        <v/>
      </c>
      <c r="C422">
        <f>IF($L422="","",INDEX(Расчет!$B$2:$B$3001,$L422))</f>
        <v/>
      </c>
      <c r="D422">
        <f>IF($L422="","",IF(ISNUMBER(FIND("(",INDEX(Расчет!$C$2:$C$3001,$L422))),SUBSTITUTE(MID(INDEX(Расчет!$C$2:$C$3001,$L422),FIND("(",INDEX(Расчет!$C$2:$C$3001,$L422))+1,99),")",""),INDEX(Расчет!$C$2:$C$3001,$L422)))</f>
        <v/>
      </c>
      <c r="E422">
        <f>IF($L422="","",INDEX(Расчет!$D$2:$D$3001,$L422))</f>
        <v/>
      </c>
      <c r="F422">
        <f>IF($L422="","",INDEX(Расчет!$E$2:$E$3001,$L422))</f>
        <v/>
      </c>
      <c r="G422">
        <f>IF($L422="","",IFERROR(--LEFT(INDEX(Расчет!$C$2:$C$3001,$L422),FIND("(",INDEX(Расчет!$C$2:$C$3001,$L422))-1),IFERROR(--LEFT(INDEX(Расчет!$C$2:$C$3001,$L422),1),"")))</f>
        <v/>
      </c>
      <c r="H422">
        <f>IF($L422="","",SUMIFS(Расчет!$G$2:$G$3001,Расчет!$I$2:$I$3001,$K422,Расчет!$H$2:$H$3001,1))</f>
        <v/>
      </c>
      <c r="I422">
        <f>IF($L422="","",SUMIFS(Расчет!$G$2:$G$3001,Расчет!$I$2:$I$3001,$K422,Расчет!$H$2:$H$3001,2))</f>
        <v/>
      </c>
      <c r="J422">
        <f>IF($L422="","",SUMIFS(Расчет!$G$2:$G$3001,Расчет!$I$2:$I$3001,$K422,Расчет!$H$2:$H$3001,3))</f>
        <v/>
      </c>
      <c r="K422">
        <f>IF($L422="","",INDEX(Расчет!$I$2:$I$3001,$L422))</f>
        <v/>
      </c>
      <c r="L422">
        <f>IFERROR(MATCH(ROW()-1,Расчет!$J$2:$J$3001,0),"")</f>
        <v/>
      </c>
    </row>
    <row r="423">
      <c r="A423">
        <f>IF($L423="","",B423&amp;"."&amp;C423&amp;"-"&amp;D423&amp;"-"&amp;H423&amp;"."&amp;I423&amp;"."&amp;J423)</f>
        <v/>
      </c>
      <c r="B423">
        <f>IF($L423="","",INDEX(Расчет!$A$2:$A$3001,$L423))</f>
        <v/>
      </c>
      <c r="C423">
        <f>IF($L423="","",INDEX(Расчет!$B$2:$B$3001,$L423))</f>
        <v/>
      </c>
      <c r="D423">
        <f>IF($L423="","",IF(ISNUMBER(FIND("(",INDEX(Расчет!$C$2:$C$3001,$L423))),SUBSTITUTE(MID(INDEX(Расчет!$C$2:$C$3001,$L423),FIND("(",INDEX(Расчет!$C$2:$C$3001,$L423))+1,99),")",""),INDEX(Расчет!$C$2:$C$3001,$L423)))</f>
        <v/>
      </c>
      <c r="E423">
        <f>IF($L423="","",INDEX(Расчет!$D$2:$D$3001,$L423))</f>
        <v/>
      </c>
      <c r="F423">
        <f>IF($L423="","",INDEX(Расчет!$E$2:$E$3001,$L423))</f>
        <v/>
      </c>
      <c r="G423">
        <f>IF($L423="","",IFERROR(--LEFT(INDEX(Расчет!$C$2:$C$3001,$L423),FIND("(",INDEX(Расчет!$C$2:$C$3001,$L423))-1),IFERROR(--LEFT(INDEX(Расчет!$C$2:$C$3001,$L423),1),"")))</f>
        <v/>
      </c>
      <c r="H423">
        <f>IF($L423="","",SUMIFS(Расчет!$G$2:$G$3001,Расчет!$I$2:$I$3001,$K423,Расчет!$H$2:$H$3001,1))</f>
        <v/>
      </c>
      <c r="I423">
        <f>IF($L423="","",SUMIFS(Расчет!$G$2:$G$3001,Расчет!$I$2:$I$3001,$K423,Расчет!$H$2:$H$3001,2))</f>
        <v/>
      </c>
      <c r="J423">
        <f>IF($L423="","",SUMIFS(Расчет!$G$2:$G$3001,Расчет!$I$2:$I$3001,$K423,Расчет!$H$2:$H$3001,3))</f>
        <v/>
      </c>
      <c r="K423">
        <f>IF($L423="","",INDEX(Расчет!$I$2:$I$3001,$L423))</f>
        <v/>
      </c>
      <c r="L423">
        <f>IFERROR(MATCH(ROW()-1,Расчет!$J$2:$J$3001,0),"")</f>
        <v/>
      </c>
    </row>
    <row r="424">
      <c r="A424">
        <f>IF($L424="","",B424&amp;"."&amp;C424&amp;"-"&amp;D424&amp;"-"&amp;H424&amp;"."&amp;I424&amp;"."&amp;J424)</f>
        <v/>
      </c>
      <c r="B424">
        <f>IF($L424="","",INDEX(Расчет!$A$2:$A$3001,$L424))</f>
        <v/>
      </c>
      <c r="C424">
        <f>IF($L424="","",INDEX(Расчет!$B$2:$B$3001,$L424))</f>
        <v/>
      </c>
      <c r="D424">
        <f>IF($L424="","",IF(ISNUMBER(FIND("(",INDEX(Расчет!$C$2:$C$3001,$L424))),SUBSTITUTE(MID(INDEX(Расчет!$C$2:$C$3001,$L424),FIND("(",INDEX(Расчет!$C$2:$C$3001,$L424))+1,99),")",""),INDEX(Расчет!$C$2:$C$3001,$L424)))</f>
        <v/>
      </c>
      <c r="E424">
        <f>IF($L424="","",INDEX(Расчет!$D$2:$D$3001,$L424))</f>
        <v/>
      </c>
      <c r="F424">
        <f>IF($L424="","",INDEX(Расчет!$E$2:$E$3001,$L424))</f>
        <v/>
      </c>
      <c r="G424">
        <f>IF($L424="","",IFERROR(--LEFT(INDEX(Расчет!$C$2:$C$3001,$L424),FIND("(",INDEX(Расчет!$C$2:$C$3001,$L424))-1),IFERROR(--LEFT(INDEX(Расчет!$C$2:$C$3001,$L424),1),"")))</f>
        <v/>
      </c>
      <c r="H424">
        <f>IF($L424="","",SUMIFS(Расчет!$G$2:$G$3001,Расчет!$I$2:$I$3001,$K424,Расчет!$H$2:$H$3001,1))</f>
        <v/>
      </c>
      <c r="I424">
        <f>IF($L424="","",SUMIFS(Расчет!$G$2:$G$3001,Расчет!$I$2:$I$3001,$K424,Расчет!$H$2:$H$3001,2))</f>
        <v/>
      </c>
      <c r="J424">
        <f>IF($L424="","",SUMIFS(Расчет!$G$2:$G$3001,Расчет!$I$2:$I$3001,$K424,Расчет!$H$2:$H$3001,3))</f>
        <v/>
      </c>
      <c r="K424">
        <f>IF($L424="","",INDEX(Расчет!$I$2:$I$3001,$L424))</f>
        <v/>
      </c>
      <c r="L424">
        <f>IFERROR(MATCH(ROW()-1,Расчет!$J$2:$J$3001,0),"")</f>
        <v/>
      </c>
    </row>
    <row r="425">
      <c r="A425">
        <f>IF($L425="","",B425&amp;"."&amp;C425&amp;"-"&amp;D425&amp;"-"&amp;H425&amp;"."&amp;I425&amp;"."&amp;J425)</f>
        <v/>
      </c>
      <c r="B425">
        <f>IF($L425="","",INDEX(Расчет!$A$2:$A$3001,$L425))</f>
        <v/>
      </c>
      <c r="C425">
        <f>IF($L425="","",INDEX(Расчет!$B$2:$B$3001,$L425))</f>
        <v/>
      </c>
      <c r="D425">
        <f>IF($L425="","",IF(ISNUMBER(FIND("(",INDEX(Расчет!$C$2:$C$3001,$L425))),SUBSTITUTE(MID(INDEX(Расчет!$C$2:$C$3001,$L425),FIND("(",INDEX(Расчет!$C$2:$C$3001,$L425))+1,99),")",""),INDEX(Расчет!$C$2:$C$3001,$L425)))</f>
        <v/>
      </c>
      <c r="E425">
        <f>IF($L425="","",INDEX(Расчет!$D$2:$D$3001,$L425))</f>
        <v/>
      </c>
      <c r="F425">
        <f>IF($L425="","",INDEX(Расчет!$E$2:$E$3001,$L425))</f>
        <v/>
      </c>
      <c r="G425">
        <f>IF($L425="","",IFERROR(--LEFT(INDEX(Расчет!$C$2:$C$3001,$L425),FIND("(",INDEX(Расчет!$C$2:$C$3001,$L425))-1),IFERROR(--LEFT(INDEX(Расчет!$C$2:$C$3001,$L425),1),"")))</f>
        <v/>
      </c>
      <c r="H425">
        <f>IF($L425="","",SUMIFS(Расчет!$G$2:$G$3001,Расчет!$I$2:$I$3001,$K425,Расчет!$H$2:$H$3001,1))</f>
        <v/>
      </c>
      <c r="I425">
        <f>IF($L425="","",SUMIFS(Расчет!$G$2:$G$3001,Расчет!$I$2:$I$3001,$K425,Расчет!$H$2:$H$3001,2))</f>
        <v/>
      </c>
      <c r="J425">
        <f>IF($L425="","",SUMIFS(Расчет!$G$2:$G$3001,Расчет!$I$2:$I$3001,$K425,Расчет!$H$2:$H$3001,3))</f>
        <v/>
      </c>
      <c r="K425">
        <f>IF($L425="","",INDEX(Расчет!$I$2:$I$3001,$L425))</f>
        <v/>
      </c>
      <c r="L425">
        <f>IFERROR(MATCH(ROW()-1,Расчет!$J$2:$J$3001,0),"")</f>
        <v/>
      </c>
    </row>
    <row r="426">
      <c r="A426">
        <f>IF($L426="","",B426&amp;"."&amp;C426&amp;"-"&amp;D426&amp;"-"&amp;H426&amp;"."&amp;I426&amp;"."&amp;J426)</f>
        <v/>
      </c>
      <c r="B426">
        <f>IF($L426="","",INDEX(Расчет!$A$2:$A$3001,$L426))</f>
        <v/>
      </c>
      <c r="C426">
        <f>IF($L426="","",INDEX(Расчет!$B$2:$B$3001,$L426))</f>
        <v/>
      </c>
      <c r="D426">
        <f>IF($L426="","",IF(ISNUMBER(FIND("(",INDEX(Расчет!$C$2:$C$3001,$L426))),SUBSTITUTE(MID(INDEX(Расчет!$C$2:$C$3001,$L426),FIND("(",INDEX(Расчет!$C$2:$C$3001,$L426))+1,99),")",""),INDEX(Расчет!$C$2:$C$3001,$L426)))</f>
        <v/>
      </c>
      <c r="E426">
        <f>IF($L426="","",INDEX(Расчет!$D$2:$D$3001,$L426))</f>
        <v/>
      </c>
      <c r="F426">
        <f>IF($L426="","",INDEX(Расчет!$E$2:$E$3001,$L426))</f>
        <v/>
      </c>
      <c r="G426">
        <f>IF($L426="","",IFERROR(--LEFT(INDEX(Расчет!$C$2:$C$3001,$L426),FIND("(",INDEX(Расчет!$C$2:$C$3001,$L426))-1),IFERROR(--LEFT(INDEX(Расчет!$C$2:$C$3001,$L426),1),"")))</f>
        <v/>
      </c>
      <c r="H426">
        <f>IF($L426="","",SUMIFS(Расчет!$G$2:$G$3001,Расчет!$I$2:$I$3001,$K426,Расчет!$H$2:$H$3001,1))</f>
        <v/>
      </c>
      <c r="I426">
        <f>IF($L426="","",SUMIFS(Расчет!$G$2:$G$3001,Расчет!$I$2:$I$3001,$K426,Расчет!$H$2:$H$3001,2))</f>
        <v/>
      </c>
      <c r="J426">
        <f>IF($L426="","",SUMIFS(Расчет!$G$2:$G$3001,Расчет!$I$2:$I$3001,$K426,Расчет!$H$2:$H$3001,3))</f>
        <v/>
      </c>
      <c r="K426">
        <f>IF($L426="","",INDEX(Расчет!$I$2:$I$3001,$L426))</f>
        <v/>
      </c>
      <c r="L426">
        <f>IFERROR(MATCH(ROW()-1,Расчет!$J$2:$J$3001,0),"")</f>
        <v/>
      </c>
    </row>
    <row r="427">
      <c r="A427">
        <f>IF($L427="","",B427&amp;"."&amp;C427&amp;"-"&amp;D427&amp;"-"&amp;H427&amp;"."&amp;I427&amp;"."&amp;J427)</f>
        <v/>
      </c>
      <c r="B427">
        <f>IF($L427="","",INDEX(Расчет!$A$2:$A$3001,$L427))</f>
        <v/>
      </c>
      <c r="C427">
        <f>IF($L427="","",INDEX(Расчет!$B$2:$B$3001,$L427))</f>
        <v/>
      </c>
      <c r="D427">
        <f>IF($L427="","",IF(ISNUMBER(FIND("(",INDEX(Расчет!$C$2:$C$3001,$L427))),SUBSTITUTE(MID(INDEX(Расчет!$C$2:$C$3001,$L427),FIND("(",INDEX(Расчет!$C$2:$C$3001,$L427))+1,99),")",""),INDEX(Расчет!$C$2:$C$3001,$L427)))</f>
        <v/>
      </c>
      <c r="E427">
        <f>IF($L427="","",INDEX(Расчет!$D$2:$D$3001,$L427))</f>
        <v/>
      </c>
      <c r="F427">
        <f>IF($L427="","",INDEX(Расчет!$E$2:$E$3001,$L427))</f>
        <v/>
      </c>
      <c r="G427">
        <f>IF($L427="","",IFERROR(--LEFT(INDEX(Расчет!$C$2:$C$3001,$L427),FIND("(",INDEX(Расчет!$C$2:$C$3001,$L427))-1),IFERROR(--LEFT(INDEX(Расчет!$C$2:$C$3001,$L427),1),"")))</f>
        <v/>
      </c>
      <c r="H427">
        <f>IF($L427="","",SUMIFS(Расчет!$G$2:$G$3001,Расчет!$I$2:$I$3001,$K427,Расчет!$H$2:$H$3001,1))</f>
        <v/>
      </c>
      <c r="I427">
        <f>IF($L427="","",SUMIFS(Расчет!$G$2:$G$3001,Расчет!$I$2:$I$3001,$K427,Расчет!$H$2:$H$3001,2))</f>
        <v/>
      </c>
      <c r="J427">
        <f>IF($L427="","",SUMIFS(Расчет!$G$2:$G$3001,Расчет!$I$2:$I$3001,$K427,Расчет!$H$2:$H$3001,3))</f>
        <v/>
      </c>
      <c r="K427">
        <f>IF($L427="","",INDEX(Расчет!$I$2:$I$3001,$L427))</f>
        <v/>
      </c>
      <c r="L427">
        <f>IFERROR(MATCH(ROW()-1,Расчет!$J$2:$J$3001,0),"")</f>
        <v/>
      </c>
    </row>
    <row r="428">
      <c r="A428">
        <f>IF($L428="","",B428&amp;"."&amp;C428&amp;"-"&amp;D428&amp;"-"&amp;H428&amp;"."&amp;I428&amp;"."&amp;J428)</f>
        <v/>
      </c>
      <c r="B428">
        <f>IF($L428="","",INDEX(Расчет!$A$2:$A$3001,$L428))</f>
        <v/>
      </c>
      <c r="C428">
        <f>IF($L428="","",INDEX(Расчет!$B$2:$B$3001,$L428))</f>
        <v/>
      </c>
      <c r="D428">
        <f>IF($L428="","",IF(ISNUMBER(FIND("(",INDEX(Расчет!$C$2:$C$3001,$L428))),SUBSTITUTE(MID(INDEX(Расчет!$C$2:$C$3001,$L428),FIND("(",INDEX(Расчет!$C$2:$C$3001,$L428))+1,99),")",""),INDEX(Расчет!$C$2:$C$3001,$L428)))</f>
        <v/>
      </c>
      <c r="E428">
        <f>IF($L428="","",INDEX(Расчет!$D$2:$D$3001,$L428))</f>
        <v/>
      </c>
      <c r="F428">
        <f>IF($L428="","",INDEX(Расчет!$E$2:$E$3001,$L428))</f>
        <v/>
      </c>
      <c r="G428">
        <f>IF($L428="","",IFERROR(--LEFT(INDEX(Расчет!$C$2:$C$3001,$L428),FIND("(",INDEX(Расчет!$C$2:$C$3001,$L428))-1),IFERROR(--LEFT(INDEX(Расчет!$C$2:$C$3001,$L428),1),"")))</f>
        <v/>
      </c>
      <c r="H428">
        <f>IF($L428="","",SUMIFS(Расчет!$G$2:$G$3001,Расчет!$I$2:$I$3001,$K428,Расчет!$H$2:$H$3001,1))</f>
        <v/>
      </c>
      <c r="I428">
        <f>IF($L428="","",SUMIFS(Расчет!$G$2:$G$3001,Расчет!$I$2:$I$3001,$K428,Расчет!$H$2:$H$3001,2))</f>
        <v/>
      </c>
      <c r="J428">
        <f>IF($L428="","",SUMIFS(Расчет!$G$2:$G$3001,Расчет!$I$2:$I$3001,$K428,Расчет!$H$2:$H$3001,3))</f>
        <v/>
      </c>
      <c r="K428">
        <f>IF($L428="","",INDEX(Расчет!$I$2:$I$3001,$L428))</f>
        <v/>
      </c>
      <c r="L428">
        <f>IFERROR(MATCH(ROW()-1,Расчет!$J$2:$J$3001,0),"")</f>
        <v/>
      </c>
    </row>
    <row r="429">
      <c r="A429">
        <f>IF($L429="","",B429&amp;"."&amp;C429&amp;"-"&amp;D429&amp;"-"&amp;H429&amp;"."&amp;I429&amp;"."&amp;J429)</f>
        <v/>
      </c>
      <c r="B429">
        <f>IF($L429="","",INDEX(Расчет!$A$2:$A$3001,$L429))</f>
        <v/>
      </c>
      <c r="C429">
        <f>IF($L429="","",INDEX(Расчет!$B$2:$B$3001,$L429))</f>
        <v/>
      </c>
      <c r="D429">
        <f>IF($L429="","",IF(ISNUMBER(FIND("(",INDEX(Расчет!$C$2:$C$3001,$L429))),SUBSTITUTE(MID(INDEX(Расчет!$C$2:$C$3001,$L429),FIND("(",INDEX(Расчет!$C$2:$C$3001,$L429))+1,99),")",""),INDEX(Расчет!$C$2:$C$3001,$L429)))</f>
        <v/>
      </c>
      <c r="E429">
        <f>IF($L429="","",INDEX(Расчет!$D$2:$D$3001,$L429))</f>
        <v/>
      </c>
      <c r="F429">
        <f>IF($L429="","",INDEX(Расчет!$E$2:$E$3001,$L429))</f>
        <v/>
      </c>
      <c r="G429">
        <f>IF($L429="","",IFERROR(--LEFT(INDEX(Расчет!$C$2:$C$3001,$L429),FIND("(",INDEX(Расчет!$C$2:$C$3001,$L429))-1),IFERROR(--LEFT(INDEX(Расчет!$C$2:$C$3001,$L429),1),"")))</f>
        <v/>
      </c>
      <c r="H429">
        <f>IF($L429="","",SUMIFS(Расчет!$G$2:$G$3001,Расчет!$I$2:$I$3001,$K429,Расчет!$H$2:$H$3001,1))</f>
        <v/>
      </c>
      <c r="I429">
        <f>IF($L429="","",SUMIFS(Расчет!$G$2:$G$3001,Расчет!$I$2:$I$3001,$K429,Расчет!$H$2:$H$3001,2))</f>
        <v/>
      </c>
      <c r="J429">
        <f>IF($L429="","",SUMIFS(Расчет!$G$2:$G$3001,Расчет!$I$2:$I$3001,$K429,Расчет!$H$2:$H$3001,3))</f>
        <v/>
      </c>
      <c r="K429">
        <f>IF($L429="","",INDEX(Расчет!$I$2:$I$3001,$L429))</f>
        <v/>
      </c>
      <c r="L429">
        <f>IFERROR(MATCH(ROW()-1,Расчет!$J$2:$J$3001,0),"")</f>
        <v/>
      </c>
    </row>
    <row r="430">
      <c r="A430">
        <f>IF($L430="","",B430&amp;"."&amp;C430&amp;"-"&amp;D430&amp;"-"&amp;H430&amp;"."&amp;I430&amp;"."&amp;J430)</f>
        <v/>
      </c>
      <c r="B430">
        <f>IF($L430="","",INDEX(Расчет!$A$2:$A$3001,$L430))</f>
        <v/>
      </c>
      <c r="C430">
        <f>IF($L430="","",INDEX(Расчет!$B$2:$B$3001,$L430))</f>
        <v/>
      </c>
      <c r="D430">
        <f>IF($L430="","",IF(ISNUMBER(FIND("(",INDEX(Расчет!$C$2:$C$3001,$L430))),SUBSTITUTE(MID(INDEX(Расчет!$C$2:$C$3001,$L430),FIND("(",INDEX(Расчет!$C$2:$C$3001,$L430))+1,99),")",""),INDEX(Расчет!$C$2:$C$3001,$L430)))</f>
        <v/>
      </c>
      <c r="E430">
        <f>IF($L430="","",INDEX(Расчет!$D$2:$D$3001,$L430))</f>
        <v/>
      </c>
      <c r="F430">
        <f>IF($L430="","",INDEX(Расчет!$E$2:$E$3001,$L430))</f>
        <v/>
      </c>
      <c r="G430">
        <f>IF($L430="","",IFERROR(--LEFT(INDEX(Расчет!$C$2:$C$3001,$L430),FIND("(",INDEX(Расчет!$C$2:$C$3001,$L430))-1),IFERROR(--LEFT(INDEX(Расчет!$C$2:$C$3001,$L430),1),"")))</f>
        <v/>
      </c>
      <c r="H430">
        <f>IF($L430="","",SUMIFS(Расчет!$G$2:$G$3001,Расчет!$I$2:$I$3001,$K430,Расчет!$H$2:$H$3001,1))</f>
        <v/>
      </c>
      <c r="I430">
        <f>IF($L430="","",SUMIFS(Расчет!$G$2:$G$3001,Расчет!$I$2:$I$3001,$K430,Расчет!$H$2:$H$3001,2))</f>
        <v/>
      </c>
      <c r="J430">
        <f>IF($L430="","",SUMIFS(Расчет!$G$2:$G$3001,Расчет!$I$2:$I$3001,$K430,Расчет!$H$2:$H$3001,3))</f>
        <v/>
      </c>
      <c r="K430">
        <f>IF($L430="","",INDEX(Расчет!$I$2:$I$3001,$L430))</f>
        <v/>
      </c>
      <c r="L430">
        <f>IFERROR(MATCH(ROW()-1,Расчет!$J$2:$J$3001,0),"")</f>
        <v/>
      </c>
    </row>
    <row r="431">
      <c r="A431">
        <f>IF($L431="","",B431&amp;"."&amp;C431&amp;"-"&amp;D431&amp;"-"&amp;H431&amp;"."&amp;I431&amp;"."&amp;J431)</f>
        <v/>
      </c>
      <c r="B431">
        <f>IF($L431="","",INDEX(Расчет!$A$2:$A$3001,$L431))</f>
        <v/>
      </c>
      <c r="C431">
        <f>IF($L431="","",INDEX(Расчет!$B$2:$B$3001,$L431))</f>
        <v/>
      </c>
      <c r="D431">
        <f>IF($L431="","",IF(ISNUMBER(FIND("(",INDEX(Расчет!$C$2:$C$3001,$L431))),SUBSTITUTE(MID(INDEX(Расчет!$C$2:$C$3001,$L431),FIND("(",INDEX(Расчет!$C$2:$C$3001,$L431))+1,99),")",""),INDEX(Расчет!$C$2:$C$3001,$L431)))</f>
        <v/>
      </c>
      <c r="E431">
        <f>IF($L431="","",INDEX(Расчет!$D$2:$D$3001,$L431))</f>
        <v/>
      </c>
      <c r="F431">
        <f>IF($L431="","",INDEX(Расчет!$E$2:$E$3001,$L431))</f>
        <v/>
      </c>
      <c r="G431">
        <f>IF($L431="","",IFERROR(--LEFT(INDEX(Расчет!$C$2:$C$3001,$L431),FIND("(",INDEX(Расчет!$C$2:$C$3001,$L431))-1),IFERROR(--LEFT(INDEX(Расчет!$C$2:$C$3001,$L431),1),"")))</f>
        <v/>
      </c>
      <c r="H431">
        <f>IF($L431="","",SUMIFS(Расчет!$G$2:$G$3001,Расчет!$I$2:$I$3001,$K431,Расчет!$H$2:$H$3001,1))</f>
        <v/>
      </c>
      <c r="I431">
        <f>IF($L431="","",SUMIFS(Расчет!$G$2:$G$3001,Расчет!$I$2:$I$3001,$K431,Расчет!$H$2:$H$3001,2))</f>
        <v/>
      </c>
      <c r="J431">
        <f>IF($L431="","",SUMIFS(Расчет!$G$2:$G$3001,Расчет!$I$2:$I$3001,$K431,Расчет!$H$2:$H$3001,3))</f>
        <v/>
      </c>
      <c r="K431">
        <f>IF($L431="","",INDEX(Расчет!$I$2:$I$3001,$L431))</f>
        <v/>
      </c>
      <c r="L431">
        <f>IFERROR(MATCH(ROW()-1,Расчет!$J$2:$J$3001,0),"")</f>
        <v/>
      </c>
    </row>
    <row r="432">
      <c r="A432">
        <f>IF($L432="","",B432&amp;"."&amp;C432&amp;"-"&amp;D432&amp;"-"&amp;H432&amp;"."&amp;I432&amp;"."&amp;J432)</f>
        <v/>
      </c>
      <c r="B432">
        <f>IF($L432="","",INDEX(Расчет!$A$2:$A$3001,$L432))</f>
        <v/>
      </c>
      <c r="C432">
        <f>IF($L432="","",INDEX(Расчет!$B$2:$B$3001,$L432))</f>
        <v/>
      </c>
      <c r="D432">
        <f>IF($L432="","",IF(ISNUMBER(FIND("(",INDEX(Расчет!$C$2:$C$3001,$L432))),SUBSTITUTE(MID(INDEX(Расчет!$C$2:$C$3001,$L432),FIND("(",INDEX(Расчет!$C$2:$C$3001,$L432))+1,99),")",""),INDEX(Расчет!$C$2:$C$3001,$L432)))</f>
        <v/>
      </c>
      <c r="E432">
        <f>IF($L432="","",INDEX(Расчет!$D$2:$D$3001,$L432))</f>
        <v/>
      </c>
      <c r="F432">
        <f>IF($L432="","",INDEX(Расчет!$E$2:$E$3001,$L432))</f>
        <v/>
      </c>
      <c r="G432">
        <f>IF($L432="","",IFERROR(--LEFT(INDEX(Расчет!$C$2:$C$3001,$L432),FIND("(",INDEX(Расчет!$C$2:$C$3001,$L432))-1),IFERROR(--LEFT(INDEX(Расчет!$C$2:$C$3001,$L432),1),"")))</f>
        <v/>
      </c>
      <c r="H432">
        <f>IF($L432="","",SUMIFS(Расчет!$G$2:$G$3001,Расчет!$I$2:$I$3001,$K432,Расчет!$H$2:$H$3001,1))</f>
        <v/>
      </c>
      <c r="I432">
        <f>IF($L432="","",SUMIFS(Расчет!$G$2:$G$3001,Расчет!$I$2:$I$3001,$K432,Расчет!$H$2:$H$3001,2))</f>
        <v/>
      </c>
      <c r="J432">
        <f>IF($L432="","",SUMIFS(Расчет!$G$2:$G$3001,Расчет!$I$2:$I$3001,$K432,Расчет!$H$2:$H$3001,3))</f>
        <v/>
      </c>
      <c r="K432">
        <f>IF($L432="","",INDEX(Расчет!$I$2:$I$3001,$L432))</f>
        <v/>
      </c>
      <c r="L432">
        <f>IFERROR(MATCH(ROW()-1,Расчет!$J$2:$J$3001,0),"")</f>
        <v/>
      </c>
    </row>
    <row r="433">
      <c r="A433">
        <f>IF($L433="","",B433&amp;"."&amp;C433&amp;"-"&amp;D433&amp;"-"&amp;H433&amp;"."&amp;I433&amp;"."&amp;J433)</f>
        <v/>
      </c>
      <c r="B433">
        <f>IF($L433="","",INDEX(Расчет!$A$2:$A$3001,$L433))</f>
        <v/>
      </c>
      <c r="C433">
        <f>IF($L433="","",INDEX(Расчет!$B$2:$B$3001,$L433))</f>
        <v/>
      </c>
      <c r="D433">
        <f>IF($L433="","",IF(ISNUMBER(FIND("(",INDEX(Расчет!$C$2:$C$3001,$L433))),SUBSTITUTE(MID(INDEX(Расчет!$C$2:$C$3001,$L433),FIND("(",INDEX(Расчет!$C$2:$C$3001,$L433))+1,99),")",""),INDEX(Расчет!$C$2:$C$3001,$L433)))</f>
        <v/>
      </c>
      <c r="E433">
        <f>IF($L433="","",INDEX(Расчет!$D$2:$D$3001,$L433))</f>
        <v/>
      </c>
      <c r="F433">
        <f>IF($L433="","",INDEX(Расчет!$E$2:$E$3001,$L433))</f>
        <v/>
      </c>
      <c r="G433">
        <f>IF($L433="","",IFERROR(--LEFT(INDEX(Расчет!$C$2:$C$3001,$L433),FIND("(",INDEX(Расчет!$C$2:$C$3001,$L433))-1),IFERROR(--LEFT(INDEX(Расчет!$C$2:$C$3001,$L433),1),"")))</f>
        <v/>
      </c>
      <c r="H433">
        <f>IF($L433="","",SUMIFS(Расчет!$G$2:$G$3001,Расчет!$I$2:$I$3001,$K433,Расчет!$H$2:$H$3001,1))</f>
        <v/>
      </c>
      <c r="I433">
        <f>IF($L433="","",SUMIFS(Расчет!$G$2:$G$3001,Расчет!$I$2:$I$3001,$K433,Расчет!$H$2:$H$3001,2))</f>
        <v/>
      </c>
      <c r="J433">
        <f>IF($L433="","",SUMIFS(Расчет!$G$2:$G$3001,Расчет!$I$2:$I$3001,$K433,Расчет!$H$2:$H$3001,3))</f>
        <v/>
      </c>
      <c r="K433">
        <f>IF($L433="","",INDEX(Расчет!$I$2:$I$3001,$L433))</f>
        <v/>
      </c>
      <c r="L433">
        <f>IFERROR(MATCH(ROW()-1,Расчет!$J$2:$J$3001,0),"")</f>
        <v/>
      </c>
    </row>
    <row r="434">
      <c r="A434">
        <f>IF($L434="","",B434&amp;"."&amp;C434&amp;"-"&amp;D434&amp;"-"&amp;H434&amp;"."&amp;I434&amp;"."&amp;J434)</f>
        <v/>
      </c>
      <c r="B434">
        <f>IF($L434="","",INDEX(Расчет!$A$2:$A$3001,$L434))</f>
        <v/>
      </c>
      <c r="C434">
        <f>IF($L434="","",INDEX(Расчет!$B$2:$B$3001,$L434))</f>
        <v/>
      </c>
      <c r="D434">
        <f>IF($L434="","",IF(ISNUMBER(FIND("(",INDEX(Расчет!$C$2:$C$3001,$L434))),SUBSTITUTE(MID(INDEX(Расчет!$C$2:$C$3001,$L434),FIND("(",INDEX(Расчет!$C$2:$C$3001,$L434))+1,99),")",""),INDEX(Расчет!$C$2:$C$3001,$L434)))</f>
        <v/>
      </c>
      <c r="E434">
        <f>IF($L434="","",INDEX(Расчет!$D$2:$D$3001,$L434))</f>
        <v/>
      </c>
      <c r="F434">
        <f>IF($L434="","",INDEX(Расчет!$E$2:$E$3001,$L434))</f>
        <v/>
      </c>
      <c r="G434">
        <f>IF($L434="","",IFERROR(--LEFT(INDEX(Расчет!$C$2:$C$3001,$L434),FIND("(",INDEX(Расчет!$C$2:$C$3001,$L434))-1),IFERROR(--LEFT(INDEX(Расчет!$C$2:$C$3001,$L434),1),"")))</f>
        <v/>
      </c>
      <c r="H434">
        <f>IF($L434="","",SUMIFS(Расчет!$G$2:$G$3001,Расчет!$I$2:$I$3001,$K434,Расчет!$H$2:$H$3001,1))</f>
        <v/>
      </c>
      <c r="I434">
        <f>IF($L434="","",SUMIFS(Расчет!$G$2:$G$3001,Расчет!$I$2:$I$3001,$K434,Расчет!$H$2:$H$3001,2))</f>
        <v/>
      </c>
      <c r="J434">
        <f>IF($L434="","",SUMIFS(Расчет!$G$2:$G$3001,Расчет!$I$2:$I$3001,$K434,Расчет!$H$2:$H$3001,3))</f>
        <v/>
      </c>
      <c r="K434">
        <f>IF($L434="","",INDEX(Расчет!$I$2:$I$3001,$L434))</f>
        <v/>
      </c>
      <c r="L434">
        <f>IFERROR(MATCH(ROW()-1,Расчет!$J$2:$J$3001,0),"")</f>
        <v/>
      </c>
    </row>
    <row r="435">
      <c r="A435">
        <f>IF($L435="","",B435&amp;"."&amp;C435&amp;"-"&amp;D435&amp;"-"&amp;H435&amp;"."&amp;I435&amp;"."&amp;J435)</f>
        <v/>
      </c>
      <c r="B435">
        <f>IF($L435="","",INDEX(Расчет!$A$2:$A$3001,$L435))</f>
        <v/>
      </c>
      <c r="C435">
        <f>IF($L435="","",INDEX(Расчет!$B$2:$B$3001,$L435))</f>
        <v/>
      </c>
      <c r="D435">
        <f>IF($L435="","",IF(ISNUMBER(FIND("(",INDEX(Расчет!$C$2:$C$3001,$L435))),SUBSTITUTE(MID(INDEX(Расчет!$C$2:$C$3001,$L435),FIND("(",INDEX(Расчет!$C$2:$C$3001,$L435))+1,99),")",""),INDEX(Расчет!$C$2:$C$3001,$L435)))</f>
        <v/>
      </c>
      <c r="E435">
        <f>IF($L435="","",INDEX(Расчет!$D$2:$D$3001,$L435))</f>
        <v/>
      </c>
      <c r="F435">
        <f>IF($L435="","",INDEX(Расчет!$E$2:$E$3001,$L435))</f>
        <v/>
      </c>
      <c r="G435">
        <f>IF($L435="","",IFERROR(--LEFT(INDEX(Расчет!$C$2:$C$3001,$L435),FIND("(",INDEX(Расчет!$C$2:$C$3001,$L435))-1),IFERROR(--LEFT(INDEX(Расчет!$C$2:$C$3001,$L435),1),"")))</f>
        <v/>
      </c>
      <c r="H435">
        <f>IF($L435="","",SUMIFS(Расчет!$G$2:$G$3001,Расчет!$I$2:$I$3001,$K435,Расчет!$H$2:$H$3001,1))</f>
        <v/>
      </c>
      <c r="I435">
        <f>IF($L435="","",SUMIFS(Расчет!$G$2:$G$3001,Расчет!$I$2:$I$3001,$K435,Расчет!$H$2:$H$3001,2))</f>
        <v/>
      </c>
      <c r="J435">
        <f>IF($L435="","",SUMIFS(Расчет!$G$2:$G$3001,Расчет!$I$2:$I$3001,$K435,Расчет!$H$2:$H$3001,3))</f>
        <v/>
      </c>
      <c r="K435">
        <f>IF($L435="","",INDEX(Расчет!$I$2:$I$3001,$L435))</f>
        <v/>
      </c>
      <c r="L435">
        <f>IFERROR(MATCH(ROW()-1,Расчет!$J$2:$J$3001,0),"")</f>
        <v/>
      </c>
    </row>
    <row r="436">
      <c r="A436">
        <f>IF($L436="","",B436&amp;"."&amp;C436&amp;"-"&amp;D436&amp;"-"&amp;H436&amp;"."&amp;I436&amp;"."&amp;J436)</f>
        <v/>
      </c>
      <c r="B436">
        <f>IF($L436="","",INDEX(Расчет!$A$2:$A$3001,$L436))</f>
        <v/>
      </c>
      <c r="C436">
        <f>IF($L436="","",INDEX(Расчет!$B$2:$B$3001,$L436))</f>
        <v/>
      </c>
      <c r="D436">
        <f>IF($L436="","",IF(ISNUMBER(FIND("(",INDEX(Расчет!$C$2:$C$3001,$L436))),SUBSTITUTE(MID(INDEX(Расчет!$C$2:$C$3001,$L436),FIND("(",INDEX(Расчет!$C$2:$C$3001,$L436))+1,99),")",""),INDEX(Расчет!$C$2:$C$3001,$L436)))</f>
        <v/>
      </c>
      <c r="E436">
        <f>IF($L436="","",INDEX(Расчет!$D$2:$D$3001,$L436))</f>
        <v/>
      </c>
      <c r="F436">
        <f>IF($L436="","",INDEX(Расчет!$E$2:$E$3001,$L436))</f>
        <v/>
      </c>
      <c r="G436">
        <f>IF($L436="","",IFERROR(--LEFT(INDEX(Расчет!$C$2:$C$3001,$L436),FIND("(",INDEX(Расчет!$C$2:$C$3001,$L436))-1),IFERROR(--LEFT(INDEX(Расчет!$C$2:$C$3001,$L436),1),"")))</f>
        <v/>
      </c>
      <c r="H436">
        <f>IF($L436="","",SUMIFS(Расчет!$G$2:$G$3001,Расчет!$I$2:$I$3001,$K436,Расчет!$H$2:$H$3001,1))</f>
        <v/>
      </c>
      <c r="I436">
        <f>IF($L436="","",SUMIFS(Расчет!$G$2:$G$3001,Расчет!$I$2:$I$3001,$K436,Расчет!$H$2:$H$3001,2))</f>
        <v/>
      </c>
      <c r="J436">
        <f>IF($L436="","",SUMIFS(Расчет!$G$2:$G$3001,Расчет!$I$2:$I$3001,$K436,Расчет!$H$2:$H$3001,3))</f>
        <v/>
      </c>
      <c r="K436">
        <f>IF($L436="","",INDEX(Расчет!$I$2:$I$3001,$L436))</f>
        <v/>
      </c>
      <c r="L436">
        <f>IFERROR(MATCH(ROW()-1,Расчет!$J$2:$J$3001,0),"")</f>
        <v/>
      </c>
    </row>
    <row r="437">
      <c r="A437">
        <f>IF($L437="","",B437&amp;"."&amp;C437&amp;"-"&amp;D437&amp;"-"&amp;H437&amp;"."&amp;I437&amp;"."&amp;J437)</f>
        <v/>
      </c>
      <c r="B437">
        <f>IF($L437="","",INDEX(Расчет!$A$2:$A$3001,$L437))</f>
        <v/>
      </c>
      <c r="C437">
        <f>IF($L437="","",INDEX(Расчет!$B$2:$B$3001,$L437))</f>
        <v/>
      </c>
      <c r="D437">
        <f>IF($L437="","",IF(ISNUMBER(FIND("(",INDEX(Расчет!$C$2:$C$3001,$L437))),SUBSTITUTE(MID(INDEX(Расчет!$C$2:$C$3001,$L437),FIND("(",INDEX(Расчет!$C$2:$C$3001,$L437))+1,99),")",""),INDEX(Расчет!$C$2:$C$3001,$L437)))</f>
        <v/>
      </c>
      <c r="E437">
        <f>IF($L437="","",INDEX(Расчет!$D$2:$D$3001,$L437))</f>
        <v/>
      </c>
      <c r="F437">
        <f>IF($L437="","",INDEX(Расчет!$E$2:$E$3001,$L437))</f>
        <v/>
      </c>
      <c r="G437">
        <f>IF($L437="","",IFERROR(--LEFT(INDEX(Расчет!$C$2:$C$3001,$L437),FIND("(",INDEX(Расчет!$C$2:$C$3001,$L437))-1),IFERROR(--LEFT(INDEX(Расчет!$C$2:$C$3001,$L437),1),"")))</f>
        <v/>
      </c>
      <c r="H437">
        <f>IF($L437="","",SUMIFS(Расчет!$G$2:$G$3001,Расчет!$I$2:$I$3001,$K437,Расчет!$H$2:$H$3001,1))</f>
        <v/>
      </c>
      <c r="I437">
        <f>IF($L437="","",SUMIFS(Расчет!$G$2:$G$3001,Расчет!$I$2:$I$3001,$K437,Расчет!$H$2:$H$3001,2))</f>
        <v/>
      </c>
      <c r="J437">
        <f>IF($L437="","",SUMIFS(Расчет!$G$2:$G$3001,Расчет!$I$2:$I$3001,$K437,Расчет!$H$2:$H$3001,3))</f>
        <v/>
      </c>
      <c r="K437">
        <f>IF($L437="","",INDEX(Расчет!$I$2:$I$3001,$L437))</f>
        <v/>
      </c>
      <c r="L437">
        <f>IFERROR(MATCH(ROW()-1,Расчет!$J$2:$J$3001,0),"")</f>
        <v/>
      </c>
    </row>
    <row r="438">
      <c r="A438">
        <f>IF($L438="","",B438&amp;"."&amp;C438&amp;"-"&amp;D438&amp;"-"&amp;H438&amp;"."&amp;I438&amp;"."&amp;J438)</f>
        <v/>
      </c>
      <c r="B438">
        <f>IF($L438="","",INDEX(Расчет!$A$2:$A$3001,$L438))</f>
        <v/>
      </c>
      <c r="C438">
        <f>IF($L438="","",INDEX(Расчет!$B$2:$B$3001,$L438))</f>
        <v/>
      </c>
      <c r="D438">
        <f>IF($L438="","",IF(ISNUMBER(FIND("(",INDEX(Расчет!$C$2:$C$3001,$L438))),SUBSTITUTE(MID(INDEX(Расчет!$C$2:$C$3001,$L438),FIND("(",INDEX(Расчет!$C$2:$C$3001,$L438))+1,99),")",""),INDEX(Расчет!$C$2:$C$3001,$L438)))</f>
        <v/>
      </c>
      <c r="E438">
        <f>IF($L438="","",INDEX(Расчет!$D$2:$D$3001,$L438))</f>
        <v/>
      </c>
      <c r="F438">
        <f>IF($L438="","",INDEX(Расчет!$E$2:$E$3001,$L438))</f>
        <v/>
      </c>
      <c r="G438">
        <f>IF($L438="","",IFERROR(--LEFT(INDEX(Расчет!$C$2:$C$3001,$L438),FIND("(",INDEX(Расчет!$C$2:$C$3001,$L438))-1),IFERROR(--LEFT(INDEX(Расчет!$C$2:$C$3001,$L438),1),"")))</f>
        <v/>
      </c>
      <c r="H438">
        <f>IF($L438="","",SUMIFS(Расчет!$G$2:$G$3001,Расчет!$I$2:$I$3001,$K438,Расчет!$H$2:$H$3001,1))</f>
        <v/>
      </c>
      <c r="I438">
        <f>IF($L438="","",SUMIFS(Расчет!$G$2:$G$3001,Расчет!$I$2:$I$3001,$K438,Расчет!$H$2:$H$3001,2))</f>
        <v/>
      </c>
      <c r="J438">
        <f>IF($L438="","",SUMIFS(Расчет!$G$2:$G$3001,Расчет!$I$2:$I$3001,$K438,Расчет!$H$2:$H$3001,3))</f>
        <v/>
      </c>
      <c r="K438">
        <f>IF($L438="","",INDEX(Расчет!$I$2:$I$3001,$L438))</f>
        <v/>
      </c>
      <c r="L438">
        <f>IFERROR(MATCH(ROW()-1,Расчет!$J$2:$J$3001,0),"")</f>
        <v/>
      </c>
    </row>
    <row r="439">
      <c r="A439">
        <f>IF($L439="","",B439&amp;"."&amp;C439&amp;"-"&amp;D439&amp;"-"&amp;H439&amp;"."&amp;I439&amp;"."&amp;J439)</f>
        <v/>
      </c>
      <c r="B439">
        <f>IF($L439="","",INDEX(Расчет!$A$2:$A$3001,$L439))</f>
        <v/>
      </c>
      <c r="C439">
        <f>IF($L439="","",INDEX(Расчет!$B$2:$B$3001,$L439))</f>
        <v/>
      </c>
      <c r="D439">
        <f>IF($L439="","",IF(ISNUMBER(FIND("(",INDEX(Расчет!$C$2:$C$3001,$L439))),SUBSTITUTE(MID(INDEX(Расчет!$C$2:$C$3001,$L439),FIND("(",INDEX(Расчет!$C$2:$C$3001,$L439))+1,99),")",""),INDEX(Расчет!$C$2:$C$3001,$L439)))</f>
        <v/>
      </c>
      <c r="E439">
        <f>IF($L439="","",INDEX(Расчет!$D$2:$D$3001,$L439))</f>
        <v/>
      </c>
      <c r="F439">
        <f>IF($L439="","",INDEX(Расчет!$E$2:$E$3001,$L439))</f>
        <v/>
      </c>
      <c r="G439">
        <f>IF($L439="","",IFERROR(--LEFT(INDEX(Расчет!$C$2:$C$3001,$L439),FIND("(",INDEX(Расчет!$C$2:$C$3001,$L439))-1),IFERROR(--LEFT(INDEX(Расчет!$C$2:$C$3001,$L439),1),"")))</f>
        <v/>
      </c>
      <c r="H439">
        <f>IF($L439="","",SUMIFS(Расчет!$G$2:$G$3001,Расчет!$I$2:$I$3001,$K439,Расчет!$H$2:$H$3001,1))</f>
        <v/>
      </c>
      <c r="I439">
        <f>IF($L439="","",SUMIFS(Расчет!$G$2:$G$3001,Расчет!$I$2:$I$3001,$K439,Расчет!$H$2:$H$3001,2))</f>
        <v/>
      </c>
      <c r="J439">
        <f>IF($L439="","",SUMIFS(Расчет!$G$2:$G$3001,Расчет!$I$2:$I$3001,$K439,Расчет!$H$2:$H$3001,3))</f>
        <v/>
      </c>
      <c r="K439">
        <f>IF($L439="","",INDEX(Расчет!$I$2:$I$3001,$L439))</f>
        <v/>
      </c>
      <c r="L439">
        <f>IFERROR(MATCH(ROW()-1,Расчет!$J$2:$J$3001,0),"")</f>
        <v/>
      </c>
    </row>
    <row r="440">
      <c r="A440">
        <f>IF($L440="","",B440&amp;"."&amp;C440&amp;"-"&amp;D440&amp;"-"&amp;H440&amp;"."&amp;I440&amp;"."&amp;J440)</f>
        <v/>
      </c>
      <c r="B440">
        <f>IF($L440="","",INDEX(Расчет!$A$2:$A$3001,$L440))</f>
        <v/>
      </c>
      <c r="C440">
        <f>IF($L440="","",INDEX(Расчет!$B$2:$B$3001,$L440))</f>
        <v/>
      </c>
      <c r="D440">
        <f>IF($L440="","",IF(ISNUMBER(FIND("(",INDEX(Расчет!$C$2:$C$3001,$L440))),SUBSTITUTE(MID(INDEX(Расчет!$C$2:$C$3001,$L440),FIND("(",INDEX(Расчет!$C$2:$C$3001,$L440))+1,99),")",""),INDEX(Расчет!$C$2:$C$3001,$L440)))</f>
        <v/>
      </c>
      <c r="E440">
        <f>IF($L440="","",INDEX(Расчет!$D$2:$D$3001,$L440))</f>
        <v/>
      </c>
      <c r="F440">
        <f>IF($L440="","",INDEX(Расчет!$E$2:$E$3001,$L440))</f>
        <v/>
      </c>
      <c r="G440">
        <f>IF($L440="","",IFERROR(--LEFT(INDEX(Расчет!$C$2:$C$3001,$L440),FIND("(",INDEX(Расчет!$C$2:$C$3001,$L440))-1),IFERROR(--LEFT(INDEX(Расчет!$C$2:$C$3001,$L440),1),"")))</f>
        <v/>
      </c>
      <c r="H440">
        <f>IF($L440="","",SUMIFS(Расчет!$G$2:$G$3001,Расчет!$I$2:$I$3001,$K440,Расчет!$H$2:$H$3001,1))</f>
        <v/>
      </c>
      <c r="I440">
        <f>IF($L440="","",SUMIFS(Расчет!$G$2:$G$3001,Расчет!$I$2:$I$3001,$K440,Расчет!$H$2:$H$3001,2))</f>
        <v/>
      </c>
      <c r="J440">
        <f>IF($L440="","",SUMIFS(Расчет!$G$2:$G$3001,Расчет!$I$2:$I$3001,$K440,Расчет!$H$2:$H$3001,3))</f>
        <v/>
      </c>
      <c r="K440">
        <f>IF($L440="","",INDEX(Расчет!$I$2:$I$3001,$L440))</f>
        <v/>
      </c>
      <c r="L440">
        <f>IFERROR(MATCH(ROW()-1,Расчет!$J$2:$J$3001,0),"")</f>
        <v/>
      </c>
    </row>
    <row r="441">
      <c r="A441">
        <f>IF($L441="","",B441&amp;"."&amp;C441&amp;"-"&amp;D441&amp;"-"&amp;H441&amp;"."&amp;I441&amp;"."&amp;J441)</f>
        <v/>
      </c>
      <c r="B441">
        <f>IF($L441="","",INDEX(Расчет!$A$2:$A$3001,$L441))</f>
        <v/>
      </c>
      <c r="C441">
        <f>IF($L441="","",INDEX(Расчет!$B$2:$B$3001,$L441))</f>
        <v/>
      </c>
      <c r="D441">
        <f>IF($L441="","",IF(ISNUMBER(FIND("(",INDEX(Расчет!$C$2:$C$3001,$L441))),SUBSTITUTE(MID(INDEX(Расчет!$C$2:$C$3001,$L441),FIND("(",INDEX(Расчет!$C$2:$C$3001,$L441))+1,99),")",""),INDEX(Расчет!$C$2:$C$3001,$L441)))</f>
        <v/>
      </c>
      <c r="E441">
        <f>IF($L441="","",INDEX(Расчет!$D$2:$D$3001,$L441))</f>
        <v/>
      </c>
      <c r="F441">
        <f>IF($L441="","",INDEX(Расчет!$E$2:$E$3001,$L441))</f>
        <v/>
      </c>
      <c r="G441">
        <f>IF($L441="","",IFERROR(--LEFT(INDEX(Расчет!$C$2:$C$3001,$L441),FIND("(",INDEX(Расчет!$C$2:$C$3001,$L441))-1),IFERROR(--LEFT(INDEX(Расчет!$C$2:$C$3001,$L441),1),"")))</f>
        <v/>
      </c>
      <c r="H441">
        <f>IF($L441="","",SUMIFS(Расчет!$G$2:$G$3001,Расчет!$I$2:$I$3001,$K441,Расчет!$H$2:$H$3001,1))</f>
        <v/>
      </c>
      <c r="I441">
        <f>IF($L441="","",SUMIFS(Расчет!$G$2:$G$3001,Расчет!$I$2:$I$3001,$K441,Расчет!$H$2:$H$3001,2))</f>
        <v/>
      </c>
      <c r="J441">
        <f>IF($L441="","",SUMIFS(Расчет!$G$2:$G$3001,Расчет!$I$2:$I$3001,$K441,Расчет!$H$2:$H$3001,3))</f>
        <v/>
      </c>
      <c r="K441">
        <f>IF($L441="","",INDEX(Расчет!$I$2:$I$3001,$L441))</f>
        <v/>
      </c>
      <c r="L441">
        <f>IFERROR(MATCH(ROW()-1,Расчет!$J$2:$J$3001,0),"")</f>
        <v/>
      </c>
    </row>
    <row r="442">
      <c r="A442">
        <f>IF($L442="","",B442&amp;"."&amp;C442&amp;"-"&amp;D442&amp;"-"&amp;H442&amp;"."&amp;I442&amp;"."&amp;J442)</f>
        <v/>
      </c>
      <c r="B442">
        <f>IF($L442="","",INDEX(Расчет!$A$2:$A$3001,$L442))</f>
        <v/>
      </c>
      <c r="C442">
        <f>IF($L442="","",INDEX(Расчет!$B$2:$B$3001,$L442))</f>
        <v/>
      </c>
      <c r="D442">
        <f>IF($L442="","",IF(ISNUMBER(FIND("(",INDEX(Расчет!$C$2:$C$3001,$L442))),SUBSTITUTE(MID(INDEX(Расчет!$C$2:$C$3001,$L442),FIND("(",INDEX(Расчет!$C$2:$C$3001,$L442))+1,99),")",""),INDEX(Расчет!$C$2:$C$3001,$L442)))</f>
        <v/>
      </c>
      <c r="E442">
        <f>IF($L442="","",INDEX(Расчет!$D$2:$D$3001,$L442))</f>
        <v/>
      </c>
      <c r="F442">
        <f>IF($L442="","",INDEX(Расчет!$E$2:$E$3001,$L442))</f>
        <v/>
      </c>
      <c r="G442">
        <f>IF($L442="","",IFERROR(--LEFT(INDEX(Расчет!$C$2:$C$3001,$L442),FIND("(",INDEX(Расчет!$C$2:$C$3001,$L442))-1),IFERROR(--LEFT(INDEX(Расчет!$C$2:$C$3001,$L442),1),"")))</f>
        <v/>
      </c>
      <c r="H442">
        <f>IF($L442="","",SUMIFS(Расчет!$G$2:$G$3001,Расчет!$I$2:$I$3001,$K442,Расчет!$H$2:$H$3001,1))</f>
        <v/>
      </c>
      <c r="I442">
        <f>IF($L442="","",SUMIFS(Расчет!$G$2:$G$3001,Расчет!$I$2:$I$3001,$K442,Расчет!$H$2:$H$3001,2))</f>
        <v/>
      </c>
      <c r="J442">
        <f>IF($L442="","",SUMIFS(Расчет!$G$2:$G$3001,Расчет!$I$2:$I$3001,$K442,Расчет!$H$2:$H$3001,3))</f>
        <v/>
      </c>
      <c r="K442">
        <f>IF($L442="","",INDEX(Расчет!$I$2:$I$3001,$L442))</f>
        <v/>
      </c>
      <c r="L442">
        <f>IFERROR(MATCH(ROW()-1,Расчет!$J$2:$J$3001,0),"")</f>
        <v/>
      </c>
    </row>
    <row r="443">
      <c r="A443">
        <f>IF($L443="","",B443&amp;"."&amp;C443&amp;"-"&amp;D443&amp;"-"&amp;H443&amp;"."&amp;I443&amp;"."&amp;J443)</f>
        <v/>
      </c>
      <c r="B443">
        <f>IF($L443="","",INDEX(Расчет!$A$2:$A$3001,$L443))</f>
        <v/>
      </c>
      <c r="C443">
        <f>IF($L443="","",INDEX(Расчет!$B$2:$B$3001,$L443))</f>
        <v/>
      </c>
      <c r="D443">
        <f>IF($L443="","",IF(ISNUMBER(FIND("(",INDEX(Расчет!$C$2:$C$3001,$L443))),SUBSTITUTE(MID(INDEX(Расчет!$C$2:$C$3001,$L443),FIND("(",INDEX(Расчет!$C$2:$C$3001,$L443))+1,99),")",""),INDEX(Расчет!$C$2:$C$3001,$L443)))</f>
        <v/>
      </c>
      <c r="E443">
        <f>IF($L443="","",INDEX(Расчет!$D$2:$D$3001,$L443))</f>
        <v/>
      </c>
      <c r="F443">
        <f>IF($L443="","",INDEX(Расчет!$E$2:$E$3001,$L443))</f>
        <v/>
      </c>
      <c r="G443">
        <f>IF($L443="","",IFERROR(--LEFT(INDEX(Расчет!$C$2:$C$3001,$L443),FIND("(",INDEX(Расчет!$C$2:$C$3001,$L443))-1),IFERROR(--LEFT(INDEX(Расчет!$C$2:$C$3001,$L443),1),"")))</f>
        <v/>
      </c>
      <c r="H443">
        <f>IF($L443="","",SUMIFS(Расчет!$G$2:$G$3001,Расчет!$I$2:$I$3001,$K443,Расчет!$H$2:$H$3001,1))</f>
        <v/>
      </c>
      <c r="I443">
        <f>IF($L443="","",SUMIFS(Расчет!$G$2:$G$3001,Расчет!$I$2:$I$3001,$K443,Расчет!$H$2:$H$3001,2))</f>
        <v/>
      </c>
      <c r="J443">
        <f>IF($L443="","",SUMIFS(Расчет!$G$2:$G$3001,Расчет!$I$2:$I$3001,$K443,Расчет!$H$2:$H$3001,3))</f>
        <v/>
      </c>
      <c r="K443">
        <f>IF($L443="","",INDEX(Расчет!$I$2:$I$3001,$L443))</f>
        <v/>
      </c>
      <c r="L443">
        <f>IFERROR(MATCH(ROW()-1,Расчет!$J$2:$J$3001,0),"")</f>
        <v/>
      </c>
    </row>
    <row r="444">
      <c r="A444">
        <f>IF($L444="","",B444&amp;"."&amp;C444&amp;"-"&amp;D444&amp;"-"&amp;H444&amp;"."&amp;I444&amp;"."&amp;J444)</f>
        <v/>
      </c>
      <c r="B444">
        <f>IF($L444="","",INDEX(Расчет!$A$2:$A$3001,$L444))</f>
        <v/>
      </c>
      <c r="C444">
        <f>IF($L444="","",INDEX(Расчет!$B$2:$B$3001,$L444))</f>
        <v/>
      </c>
      <c r="D444">
        <f>IF($L444="","",IF(ISNUMBER(FIND("(",INDEX(Расчет!$C$2:$C$3001,$L444))),SUBSTITUTE(MID(INDEX(Расчет!$C$2:$C$3001,$L444),FIND("(",INDEX(Расчет!$C$2:$C$3001,$L444))+1,99),")",""),INDEX(Расчет!$C$2:$C$3001,$L444)))</f>
        <v/>
      </c>
      <c r="E444">
        <f>IF($L444="","",INDEX(Расчет!$D$2:$D$3001,$L444))</f>
        <v/>
      </c>
      <c r="F444">
        <f>IF($L444="","",INDEX(Расчет!$E$2:$E$3001,$L444))</f>
        <v/>
      </c>
      <c r="G444">
        <f>IF($L444="","",IFERROR(--LEFT(INDEX(Расчет!$C$2:$C$3001,$L444),FIND("(",INDEX(Расчет!$C$2:$C$3001,$L444))-1),IFERROR(--LEFT(INDEX(Расчет!$C$2:$C$3001,$L444),1),"")))</f>
        <v/>
      </c>
      <c r="H444">
        <f>IF($L444="","",SUMIFS(Расчет!$G$2:$G$3001,Расчет!$I$2:$I$3001,$K444,Расчет!$H$2:$H$3001,1))</f>
        <v/>
      </c>
      <c r="I444">
        <f>IF($L444="","",SUMIFS(Расчет!$G$2:$G$3001,Расчет!$I$2:$I$3001,$K444,Расчет!$H$2:$H$3001,2))</f>
        <v/>
      </c>
      <c r="J444">
        <f>IF($L444="","",SUMIFS(Расчет!$G$2:$G$3001,Расчет!$I$2:$I$3001,$K444,Расчет!$H$2:$H$3001,3))</f>
        <v/>
      </c>
      <c r="K444">
        <f>IF($L444="","",INDEX(Расчет!$I$2:$I$3001,$L444))</f>
        <v/>
      </c>
      <c r="L444">
        <f>IFERROR(MATCH(ROW()-1,Расчет!$J$2:$J$3001,0),"")</f>
        <v/>
      </c>
    </row>
    <row r="445">
      <c r="A445">
        <f>IF($L445="","",B445&amp;"."&amp;C445&amp;"-"&amp;D445&amp;"-"&amp;H445&amp;"."&amp;I445&amp;"."&amp;J445)</f>
        <v/>
      </c>
      <c r="B445">
        <f>IF($L445="","",INDEX(Расчет!$A$2:$A$3001,$L445))</f>
        <v/>
      </c>
      <c r="C445">
        <f>IF($L445="","",INDEX(Расчет!$B$2:$B$3001,$L445))</f>
        <v/>
      </c>
      <c r="D445">
        <f>IF($L445="","",IF(ISNUMBER(FIND("(",INDEX(Расчет!$C$2:$C$3001,$L445))),SUBSTITUTE(MID(INDEX(Расчет!$C$2:$C$3001,$L445),FIND("(",INDEX(Расчет!$C$2:$C$3001,$L445))+1,99),")",""),INDEX(Расчет!$C$2:$C$3001,$L445)))</f>
        <v/>
      </c>
      <c r="E445">
        <f>IF($L445="","",INDEX(Расчет!$D$2:$D$3001,$L445))</f>
        <v/>
      </c>
      <c r="F445">
        <f>IF($L445="","",INDEX(Расчет!$E$2:$E$3001,$L445))</f>
        <v/>
      </c>
      <c r="G445">
        <f>IF($L445="","",IFERROR(--LEFT(INDEX(Расчет!$C$2:$C$3001,$L445),FIND("(",INDEX(Расчет!$C$2:$C$3001,$L445))-1),IFERROR(--LEFT(INDEX(Расчет!$C$2:$C$3001,$L445),1),"")))</f>
        <v/>
      </c>
      <c r="H445">
        <f>IF($L445="","",SUMIFS(Расчет!$G$2:$G$3001,Расчет!$I$2:$I$3001,$K445,Расчет!$H$2:$H$3001,1))</f>
        <v/>
      </c>
      <c r="I445">
        <f>IF($L445="","",SUMIFS(Расчет!$G$2:$G$3001,Расчет!$I$2:$I$3001,$K445,Расчет!$H$2:$H$3001,2))</f>
        <v/>
      </c>
      <c r="J445">
        <f>IF($L445="","",SUMIFS(Расчет!$G$2:$G$3001,Расчет!$I$2:$I$3001,$K445,Расчет!$H$2:$H$3001,3))</f>
        <v/>
      </c>
      <c r="K445">
        <f>IF($L445="","",INDEX(Расчет!$I$2:$I$3001,$L445))</f>
        <v/>
      </c>
      <c r="L445">
        <f>IFERROR(MATCH(ROW()-1,Расчет!$J$2:$J$3001,0),"")</f>
        <v/>
      </c>
    </row>
    <row r="446">
      <c r="A446">
        <f>IF($L446="","",B446&amp;"."&amp;C446&amp;"-"&amp;D446&amp;"-"&amp;H446&amp;"."&amp;I446&amp;"."&amp;J446)</f>
        <v/>
      </c>
      <c r="B446">
        <f>IF($L446="","",INDEX(Расчет!$A$2:$A$3001,$L446))</f>
        <v/>
      </c>
      <c r="C446">
        <f>IF($L446="","",INDEX(Расчет!$B$2:$B$3001,$L446))</f>
        <v/>
      </c>
      <c r="D446">
        <f>IF($L446="","",IF(ISNUMBER(FIND("(",INDEX(Расчет!$C$2:$C$3001,$L446))),SUBSTITUTE(MID(INDEX(Расчет!$C$2:$C$3001,$L446),FIND("(",INDEX(Расчет!$C$2:$C$3001,$L446))+1,99),")",""),INDEX(Расчет!$C$2:$C$3001,$L446)))</f>
        <v/>
      </c>
      <c r="E446">
        <f>IF($L446="","",INDEX(Расчет!$D$2:$D$3001,$L446))</f>
        <v/>
      </c>
      <c r="F446">
        <f>IF($L446="","",INDEX(Расчет!$E$2:$E$3001,$L446))</f>
        <v/>
      </c>
      <c r="G446">
        <f>IF($L446="","",IFERROR(--LEFT(INDEX(Расчет!$C$2:$C$3001,$L446),FIND("(",INDEX(Расчет!$C$2:$C$3001,$L446))-1),IFERROR(--LEFT(INDEX(Расчет!$C$2:$C$3001,$L446),1),"")))</f>
        <v/>
      </c>
      <c r="H446">
        <f>IF($L446="","",SUMIFS(Расчет!$G$2:$G$3001,Расчет!$I$2:$I$3001,$K446,Расчет!$H$2:$H$3001,1))</f>
        <v/>
      </c>
      <c r="I446">
        <f>IF($L446="","",SUMIFS(Расчет!$G$2:$G$3001,Расчет!$I$2:$I$3001,$K446,Расчет!$H$2:$H$3001,2))</f>
        <v/>
      </c>
      <c r="J446">
        <f>IF($L446="","",SUMIFS(Расчет!$G$2:$G$3001,Расчет!$I$2:$I$3001,$K446,Расчет!$H$2:$H$3001,3))</f>
        <v/>
      </c>
      <c r="K446">
        <f>IF($L446="","",INDEX(Расчет!$I$2:$I$3001,$L446))</f>
        <v/>
      </c>
      <c r="L446">
        <f>IFERROR(MATCH(ROW()-1,Расчет!$J$2:$J$3001,0),"")</f>
        <v/>
      </c>
    </row>
    <row r="447">
      <c r="A447">
        <f>IF($L447="","",B447&amp;"."&amp;C447&amp;"-"&amp;D447&amp;"-"&amp;H447&amp;"."&amp;I447&amp;"."&amp;J447)</f>
        <v/>
      </c>
      <c r="B447">
        <f>IF($L447="","",INDEX(Расчет!$A$2:$A$3001,$L447))</f>
        <v/>
      </c>
      <c r="C447">
        <f>IF($L447="","",INDEX(Расчет!$B$2:$B$3001,$L447))</f>
        <v/>
      </c>
      <c r="D447">
        <f>IF($L447="","",IF(ISNUMBER(FIND("(",INDEX(Расчет!$C$2:$C$3001,$L447))),SUBSTITUTE(MID(INDEX(Расчет!$C$2:$C$3001,$L447),FIND("(",INDEX(Расчет!$C$2:$C$3001,$L447))+1,99),")",""),INDEX(Расчет!$C$2:$C$3001,$L447)))</f>
        <v/>
      </c>
      <c r="E447">
        <f>IF($L447="","",INDEX(Расчет!$D$2:$D$3001,$L447))</f>
        <v/>
      </c>
      <c r="F447">
        <f>IF($L447="","",INDEX(Расчет!$E$2:$E$3001,$L447))</f>
        <v/>
      </c>
      <c r="G447">
        <f>IF($L447="","",IFERROR(--LEFT(INDEX(Расчет!$C$2:$C$3001,$L447),FIND("(",INDEX(Расчет!$C$2:$C$3001,$L447))-1),IFERROR(--LEFT(INDEX(Расчет!$C$2:$C$3001,$L447),1),"")))</f>
        <v/>
      </c>
      <c r="H447">
        <f>IF($L447="","",SUMIFS(Расчет!$G$2:$G$3001,Расчет!$I$2:$I$3001,$K447,Расчет!$H$2:$H$3001,1))</f>
        <v/>
      </c>
      <c r="I447">
        <f>IF($L447="","",SUMIFS(Расчет!$G$2:$G$3001,Расчет!$I$2:$I$3001,$K447,Расчет!$H$2:$H$3001,2))</f>
        <v/>
      </c>
      <c r="J447">
        <f>IF($L447="","",SUMIFS(Расчет!$G$2:$G$3001,Расчет!$I$2:$I$3001,$K447,Расчет!$H$2:$H$3001,3))</f>
        <v/>
      </c>
      <c r="K447">
        <f>IF($L447="","",INDEX(Расчет!$I$2:$I$3001,$L447))</f>
        <v/>
      </c>
      <c r="L447">
        <f>IFERROR(MATCH(ROW()-1,Расчет!$J$2:$J$3001,0),"")</f>
        <v/>
      </c>
    </row>
    <row r="448">
      <c r="A448">
        <f>IF($L448="","",B448&amp;"."&amp;C448&amp;"-"&amp;D448&amp;"-"&amp;H448&amp;"."&amp;I448&amp;"."&amp;J448)</f>
        <v/>
      </c>
      <c r="B448">
        <f>IF($L448="","",INDEX(Расчет!$A$2:$A$3001,$L448))</f>
        <v/>
      </c>
      <c r="C448">
        <f>IF($L448="","",INDEX(Расчет!$B$2:$B$3001,$L448))</f>
        <v/>
      </c>
      <c r="D448">
        <f>IF($L448="","",IF(ISNUMBER(FIND("(",INDEX(Расчет!$C$2:$C$3001,$L448))),SUBSTITUTE(MID(INDEX(Расчет!$C$2:$C$3001,$L448),FIND("(",INDEX(Расчет!$C$2:$C$3001,$L448))+1,99),")",""),INDEX(Расчет!$C$2:$C$3001,$L448)))</f>
        <v/>
      </c>
      <c r="E448">
        <f>IF($L448="","",INDEX(Расчет!$D$2:$D$3001,$L448))</f>
        <v/>
      </c>
      <c r="F448">
        <f>IF($L448="","",INDEX(Расчет!$E$2:$E$3001,$L448))</f>
        <v/>
      </c>
      <c r="G448">
        <f>IF($L448="","",IFERROR(--LEFT(INDEX(Расчет!$C$2:$C$3001,$L448),FIND("(",INDEX(Расчет!$C$2:$C$3001,$L448))-1),IFERROR(--LEFT(INDEX(Расчет!$C$2:$C$3001,$L448),1),"")))</f>
        <v/>
      </c>
      <c r="H448">
        <f>IF($L448="","",SUMIFS(Расчет!$G$2:$G$3001,Расчет!$I$2:$I$3001,$K448,Расчет!$H$2:$H$3001,1))</f>
        <v/>
      </c>
      <c r="I448">
        <f>IF($L448="","",SUMIFS(Расчет!$G$2:$G$3001,Расчет!$I$2:$I$3001,$K448,Расчет!$H$2:$H$3001,2))</f>
        <v/>
      </c>
      <c r="J448">
        <f>IF($L448="","",SUMIFS(Расчет!$G$2:$G$3001,Расчет!$I$2:$I$3001,$K448,Расчет!$H$2:$H$3001,3))</f>
        <v/>
      </c>
      <c r="K448">
        <f>IF($L448="","",INDEX(Расчет!$I$2:$I$3001,$L448))</f>
        <v/>
      </c>
      <c r="L448">
        <f>IFERROR(MATCH(ROW()-1,Расчет!$J$2:$J$3001,0),"")</f>
        <v/>
      </c>
    </row>
    <row r="449">
      <c r="A449">
        <f>IF($L449="","",B449&amp;"."&amp;C449&amp;"-"&amp;D449&amp;"-"&amp;H449&amp;"."&amp;I449&amp;"."&amp;J449)</f>
        <v/>
      </c>
      <c r="B449">
        <f>IF($L449="","",INDEX(Расчет!$A$2:$A$3001,$L449))</f>
        <v/>
      </c>
      <c r="C449">
        <f>IF($L449="","",INDEX(Расчет!$B$2:$B$3001,$L449))</f>
        <v/>
      </c>
      <c r="D449">
        <f>IF($L449="","",IF(ISNUMBER(FIND("(",INDEX(Расчет!$C$2:$C$3001,$L449))),SUBSTITUTE(MID(INDEX(Расчет!$C$2:$C$3001,$L449),FIND("(",INDEX(Расчет!$C$2:$C$3001,$L449))+1,99),")",""),INDEX(Расчет!$C$2:$C$3001,$L449)))</f>
        <v/>
      </c>
      <c r="E449">
        <f>IF($L449="","",INDEX(Расчет!$D$2:$D$3001,$L449))</f>
        <v/>
      </c>
      <c r="F449">
        <f>IF($L449="","",INDEX(Расчет!$E$2:$E$3001,$L449))</f>
        <v/>
      </c>
      <c r="G449">
        <f>IF($L449="","",IFERROR(--LEFT(INDEX(Расчет!$C$2:$C$3001,$L449),FIND("(",INDEX(Расчет!$C$2:$C$3001,$L449))-1),IFERROR(--LEFT(INDEX(Расчет!$C$2:$C$3001,$L449),1),"")))</f>
        <v/>
      </c>
      <c r="H449">
        <f>IF($L449="","",SUMIFS(Расчет!$G$2:$G$3001,Расчет!$I$2:$I$3001,$K449,Расчет!$H$2:$H$3001,1))</f>
        <v/>
      </c>
      <c r="I449">
        <f>IF($L449="","",SUMIFS(Расчет!$G$2:$G$3001,Расчет!$I$2:$I$3001,$K449,Расчет!$H$2:$H$3001,2))</f>
        <v/>
      </c>
      <c r="J449">
        <f>IF($L449="","",SUMIFS(Расчет!$G$2:$G$3001,Расчет!$I$2:$I$3001,$K449,Расчет!$H$2:$H$3001,3))</f>
        <v/>
      </c>
      <c r="K449">
        <f>IF($L449="","",INDEX(Расчет!$I$2:$I$3001,$L449))</f>
        <v/>
      </c>
      <c r="L449">
        <f>IFERROR(MATCH(ROW()-1,Расчет!$J$2:$J$3001,0),"")</f>
        <v/>
      </c>
    </row>
    <row r="450">
      <c r="A450">
        <f>IF($L450="","",B450&amp;"."&amp;C450&amp;"-"&amp;D450&amp;"-"&amp;H450&amp;"."&amp;I450&amp;"."&amp;J450)</f>
        <v/>
      </c>
      <c r="B450">
        <f>IF($L450="","",INDEX(Расчет!$A$2:$A$3001,$L450))</f>
        <v/>
      </c>
      <c r="C450">
        <f>IF($L450="","",INDEX(Расчет!$B$2:$B$3001,$L450))</f>
        <v/>
      </c>
      <c r="D450">
        <f>IF($L450="","",IF(ISNUMBER(FIND("(",INDEX(Расчет!$C$2:$C$3001,$L450))),SUBSTITUTE(MID(INDEX(Расчет!$C$2:$C$3001,$L450),FIND("(",INDEX(Расчет!$C$2:$C$3001,$L450))+1,99),")",""),INDEX(Расчет!$C$2:$C$3001,$L450)))</f>
        <v/>
      </c>
      <c r="E450">
        <f>IF($L450="","",INDEX(Расчет!$D$2:$D$3001,$L450))</f>
        <v/>
      </c>
      <c r="F450">
        <f>IF($L450="","",INDEX(Расчет!$E$2:$E$3001,$L450))</f>
        <v/>
      </c>
      <c r="G450">
        <f>IF($L450="","",IFERROR(--LEFT(INDEX(Расчет!$C$2:$C$3001,$L450),FIND("(",INDEX(Расчет!$C$2:$C$3001,$L450))-1),IFERROR(--LEFT(INDEX(Расчет!$C$2:$C$3001,$L450),1),"")))</f>
        <v/>
      </c>
      <c r="H450">
        <f>IF($L450="","",SUMIFS(Расчет!$G$2:$G$3001,Расчет!$I$2:$I$3001,$K450,Расчет!$H$2:$H$3001,1))</f>
        <v/>
      </c>
      <c r="I450">
        <f>IF($L450="","",SUMIFS(Расчет!$G$2:$G$3001,Расчет!$I$2:$I$3001,$K450,Расчет!$H$2:$H$3001,2))</f>
        <v/>
      </c>
      <c r="J450">
        <f>IF($L450="","",SUMIFS(Расчет!$G$2:$G$3001,Расчет!$I$2:$I$3001,$K450,Расчет!$H$2:$H$3001,3))</f>
        <v/>
      </c>
      <c r="K450">
        <f>IF($L450="","",INDEX(Расчет!$I$2:$I$3001,$L450))</f>
        <v/>
      </c>
      <c r="L450">
        <f>IFERROR(MATCH(ROW()-1,Расчет!$J$2:$J$3001,0),"")</f>
        <v/>
      </c>
    </row>
    <row r="451">
      <c r="A451">
        <f>IF($L451="","",B451&amp;"."&amp;C451&amp;"-"&amp;D451&amp;"-"&amp;H451&amp;"."&amp;I451&amp;"."&amp;J451)</f>
        <v/>
      </c>
      <c r="B451">
        <f>IF($L451="","",INDEX(Расчет!$A$2:$A$3001,$L451))</f>
        <v/>
      </c>
      <c r="C451">
        <f>IF($L451="","",INDEX(Расчет!$B$2:$B$3001,$L451))</f>
        <v/>
      </c>
      <c r="D451">
        <f>IF($L451="","",IF(ISNUMBER(FIND("(",INDEX(Расчет!$C$2:$C$3001,$L451))),SUBSTITUTE(MID(INDEX(Расчет!$C$2:$C$3001,$L451),FIND("(",INDEX(Расчет!$C$2:$C$3001,$L451))+1,99),")",""),INDEX(Расчет!$C$2:$C$3001,$L451)))</f>
        <v/>
      </c>
      <c r="E451">
        <f>IF($L451="","",INDEX(Расчет!$D$2:$D$3001,$L451))</f>
        <v/>
      </c>
      <c r="F451">
        <f>IF($L451="","",INDEX(Расчет!$E$2:$E$3001,$L451))</f>
        <v/>
      </c>
      <c r="G451">
        <f>IF($L451="","",IFERROR(--LEFT(INDEX(Расчет!$C$2:$C$3001,$L451),FIND("(",INDEX(Расчет!$C$2:$C$3001,$L451))-1),IFERROR(--LEFT(INDEX(Расчет!$C$2:$C$3001,$L451),1),"")))</f>
        <v/>
      </c>
      <c r="H451">
        <f>IF($L451="","",SUMIFS(Расчет!$G$2:$G$3001,Расчет!$I$2:$I$3001,$K451,Расчет!$H$2:$H$3001,1))</f>
        <v/>
      </c>
      <c r="I451">
        <f>IF($L451="","",SUMIFS(Расчет!$G$2:$G$3001,Расчет!$I$2:$I$3001,$K451,Расчет!$H$2:$H$3001,2))</f>
        <v/>
      </c>
      <c r="J451">
        <f>IF($L451="","",SUMIFS(Расчет!$G$2:$G$3001,Расчет!$I$2:$I$3001,$K451,Расчет!$H$2:$H$3001,3))</f>
        <v/>
      </c>
      <c r="K451">
        <f>IF($L451="","",INDEX(Расчет!$I$2:$I$3001,$L451))</f>
        <v/>
      </c>
      <c r="L451">
        <f>IFERROR(MATCH(ROW()-1,Расчет!$J$2:$J$3001,0),"")</f>
        <v/>
      </c>
    </row>
    <row r="452">
      <c r="A452">
        <f>IF($L452="","",B452&amp;"."&amp;C452&amp;"-"&amp;D452&amp;"-"&amp;H452&amp;"."&amp;I452&amp;"."&amp;J452)</f>
        <v/>
      </c>
      <c r="B452">
        <f>IF($L452="","",INDEX(Расчет!$A$2:$A$3001,$L452))</f>
        <v/>
      </c>
      <c r="C452">
        <f>IF($L452="","",INDEX(Расчет!$B$2:$B$3001,$L452))</f>
        <v/>
      </c>
      <c r="D452">
        <f>IF($L452="","",IF(ISNUMBER(FIND("(",INDEX(Расчет!$C$2:$C$3001,$L452))),SUBSTITUTE(MID(INDEX(Расчет!$C$2:$C$3001,$L452),FIND("(",INDEX(Расчет!$C$2:$C$3001,$L452))+1,99),")",""),INDEX(Расчет!$C$2:$C$3001,$L452)))</f>
        <v/>
      </c>
      <c r="E452">
        <f>IF($L452="","",INDEX(Расчет!$D$2:$D$3001,$L452))</f>
        <v/>
      </c>
      <c r="F452">
        <f>IF($L452="","",INDEX(Расчет!$E$2:$E$3001,$L452))</f>
        <v/>
      </c>
      <c r="G452">
        <f>IF($L452="","",IFERROR(--LEFT(INDEX(Расчет!$C$2:$C$3001,$L452),FIND("(",INDEX(Расчет!$C$2:$C$3001,$L452))-1),IFERROR(--LEFT(INDEX(Расчет!$C$2:$C$3001,$L452),1),"")))</f>
        <v/>
      </c>
      <c r="H452">
        <f>IF($L452="","",SUMIFS(Расчет!$G$2:$G$3001,Расчет!$I$2:$I$3001,$K452,Расчет!$H$2:$H$3001,1))</f>
        <v/>
      </c>
      <c r="I452">
        <f>IF($L452="","",SUMIFS(Расчет!$G$2:$G$3001,Расчет!$I$2:$I$3001,$K452,Расчет!$H$2:$H$3001,2))</f>
        <v/>
      </c>
      <c r="J452">
        <f>IF($L452="","",SUMIFS(Расчет!$G$2:$G$3001,Расчет!$I$2:$I$3001,$K452,Расчет!$H$2:$H$3001,3))</f>
        <v/>
      </c>
      <c r="K452">
        <f>IF($L452="","",INDEX(Расчет!$I$2:$I$3001,$L452))</f>
        <v/>
      </c>
      <c r="L452">
        <f>IFERROR(MATCH(ROW()-1,Расчет!$J$2:$J$3001,0),"")</f>
        <v/>
      </c>
    </row>
    <row r="453">
      <c r="A453">
        <f>IF($L453="","",B453&amp;"."&amp;C453&amp;"-"&amp;D453&amp;"-"&amp;H453&amp;"."&amp;I453&amp;"."&amp;J453)</f>
        <v/>
      </c>
      <c r="B453">
        <f>IF($L453="","",INDEX(Расчет!$A$2:$A$3001,$L453))</f>
        <v/>
      </c>
      <c r="C453">
        <f>IF($L453="","",INDEX(Расчет!$B$2:$B$3001,$L453))</f>
        <v/>
      </c>
      <c r="D453">
        <f>IF($L453="","",IF(ISNUMBER(FIND("(",INDEX(Расчет!$C$2:$C$3001,$L453))),SUBSTITUTE(MID(INDEX(Расчет!$C$2:$C$3001,$L453),FIND("(",INDEX(Расчет!$C$2:$C$3001,$L453))+1,99),")",""),INDEX(Расчет!$C$2:$C$3001,$L453)))</f>
        <v/>
      </c>
      <c r="E453">
        <f>IF($L453="","",INDEX(Расчет!$D$2:$D$3001,$L453))</f>
        <v/>
      </c>
      <c r="F453">
        <f>IF($L453="","",INDEX(Расчет!$E$2:$E$3001,$L453))</f>
        <v/>
      </c>
      <c r="G453">
        <f>IF($L453="","",IFERROR(--LEFT(INDEX(Расчет!$C$2:$C$3001,$L453),FIND("(",INDEX(Расчет!$C$2:$C$3001,$L453))-1),IFERROR(--LEFT(INDEX(Расчет!$C$2:$C$3001,$L453),1),"")))</f>
        <v/>
      </c>
      <c r="H453">
        <f>IF($L453="","",SUMIFS(Расчет!$G$2:$G$3001,Расчет!$I$2:$I$3001,$K453,Расчет!$H$2:$H$3001,1))</f>
        <v/>
      </c>
      <c r="I453">
        <f>IF($L453="","",SUMIFS(Расчет!$G$2:$G$3001,Расчет!$I$2:$I$3001,$K453,Расчет!$H$2:$H$3001,2))</f>
        <v/>
      </c>
      <c r="J453">
        <f>IF($L453="","",SUMIFS(Расчет!$G$2:$G$3001,Расчет!$I$2:$I$3001,$K453,Расчет!$H$2:$H$3001,3))</f>
        <v/>
      </c>
      <c r="K453">
        <f>IF($L453="","",INDEX(Расчет!$I$2:$I$3001,$L453))</f>
        <v/>
      </c>
      <c r="L453">
        <f>IFERROR(MATCH(ROW()-1,Расчет!$J$2:$J$3001,0),"")</f>
        <v/>
      </c>
    </row>
    <row r="454">
      <c r="A454">
        <f>IF($L454="","",B454&amp;"."&amp;C454&amp;"-"&amp;D454&amp;"-"&amp;H454&amp;"."&amp;I454&amp;"."&amp;J454)</f>
        <v/>
      </c>
      <c r="B454">
        <f>IF($L454="","",INDEX(Расчет!$A$2:$A$3001,$L454))</f>
        <v/>
      </c>
      <c r="C454">
        <f>IF($L454="","",INDEX(Расчет!$B$2:$B$3001,$L454))</f>
        <v/>
      </c>
      <c r="D454">
        <f>IF($L454="","",IF(ISNUMBER(FIND("(",INDEX(Расчет!$C$2:$C$3001,$L454))),SUBSTITUTE(MID(INDEX(Расчет!$C$2:$C$3001,$L454),FIND("(",INDEX(Расчет!$C$2:$C$3001,$L454))+1,99),")",""),INDEX(Расчет!$C$2:$C$3001,$L454)))</f>
        <v/>
      </c>
      <c r="E454">
        <f>IF($L454="","",INDEX(Расчет!$D$2:$D$3001,$L454))</f>
        <v/>
      </c>
      <c r="F454">
        <f>IF($L454="","",INDEX(Расчет!$E$2:$E$3001,$L454))</f>
        <v/>
      </c>
      <c r="G454">
        <f>IF($L454="","",IFERROR(--LEFT(INDEX(Расчет!$C$2:$C$3001,$L454),FIND("(",INDEX(Расчет!$C$2:$C$3001,$L454))-1),IFERROR(--LEFT(INDEX(Расчет!$C$2:$C$3001,$L454),1),"")))</f>
        <v/>
      </c>
      <c r="H454">
        <f>IF($L454="","",SUMIFS(Расчет!$G$2:$G$3001,Расчет!$I$2:$I$3001,$K454,Расчет!$H$2:$H$3001,1))</f>
        <v/>
      </c>
      <c r="I454">
        <f>IF($L454="","",SUMIFS(Расчет!$G$2:$G$3001,Расчет!$I$2:$I$3001,$K454,Расчет!$H$2:$H$3001,2))</f>
        <v/>
      </c>
      <c r="J454">
        <f>IF($L454="","",SUMIFS(Расчет!$G$2:$G$3001,Расчет!$I$2:$I$3001,$K454,Расчет!$H$2:$H$3001,3))</f>
        <v/>
      </c>
      <c r="K454">
        <f>IF($L454="","",INDEX(Расчет!$I$2:$I$3001,$L454))</f>
        <v/>
      </c>
      <c r="L454">
        <f>IFERROR(MATCH(ROW()-1,Расчет!$J$2:$J$3001,0),"")</f>
        <v/>
      </c>
    </row>
    <row r="455">
      <c r="A455">
        <f>IF($L455="","",B455&amp;"."&amp;C455&amp;"-"&amp;D455&amp;"-"&amp;H455&amp;"."&amp;I455&amp;"."&amp;J455)</f>
        <v/>
      </c>
      <c r="B455">
        <f>IF($L455="","",INDEX(Расчет!$A$2:$A$3001,$L455))</f>
        <v/>
      </c>
      <c r="C455">
        <f>IF($L455="","",INDEX(Расчет!$B$2:$B$3001,$L455))</f>
        <v/>
      </c>
      <c r="D455">
        <f>IF($L455="","",IF(ISNUMBER(FIND("(",INDEX(Расчет!$C$2:$C$3001,$L455))),SUBSTITUTE(MID(INDEX(Расчет!$C$2:$C$3001,$L455),FIND("(",INDEX(Расчет!$C$2:$C$3001,$L455))+1,99),")",""),INDEX(Расчет!$C$2:$C$3001,$L455)))</f>
        <v/>
      </c>
      <c r="E455">
        <f>IF($L455="","",INDEX(Расчет!$D$2:$D$3001,$L455))</f>
        <v/>
      </c>
      <c r="F455">
        <f>IF($L455="","",INDEX(Расчет!$E$2:$E$3001,$L455))</f>
        <v/>
      </c>
      <c r="G455">
        <f>IF($L455="","",IFERROR(--LEFT(INDEX(Расчет!$C$2:$C$3001,$L455),FIND("(",INDEX(Расчет!$C$2:$C$3001,$L455))-1),IFERROR(--LEFT(INDEX(Расчет!$C$2:$C$3001,$L455),1),"")))</f>
        <v/>
      </c>
      <c r="H455">
        <f>IF($L455="","",SUMIFS(Расчет!$G$2:$G$3001,Расчет!$I$2:$I$3001,$K455,Расчет!$H$2:$H$3001,1))</f>
        <v/>
      </c>
      <c r="I455">
        <f>IF($L455="","",SUMIFS(Расчет!$G$2:$G$3001,Расчет!$I$2:$I$3001,$K455,Расчет!$H$2:$H$3001,2))</f>
        <v/>
      </c>
      <c r="J455">
        <f>IF($L455="","",SUMIFS(Расчет!$G$2:$G$3001,Расчет!$I$2:$I$3001,$K455,Расчет!$H$2:$H$3001,3))</f>
        <v/>
      </c>
      <c r="K455">
        <f>IF($L455="","",INDEX(Расчет!$I$2:$I$3001,$L455))</f>
        <v/>
      </c>
      <c r="L455">
        <f>IFERROR(MATCH(ROW()-1,Расчет!$J$2:$J$3001,0),"")</f>
        <v/>
      </c>
    </row>
    <row r="456">
      <c r="A456">
        <f>IF($L456="","",B456&amp;"."&amp;C456&amp;"-"&amp;D456&amp;"-"&amp;H456&amp;"."&amp;I456&amp;"."&amp;J456)</f>
        <v/>
      </c>
      <c r="B456">
        <f>IF($L456="","",INDEX(Расчет!$A$2:$A$3001,$L456))</f>
        <v/>
      </c>
      <c r="C456">
        <f>IF($L456="","",INDEX(Расчет!$B$2:$B$3001,$L456))</f>
        <v/>
      </c>
      <c r="D456">
        <f>IF($L456="","",IF(ISNUMBER(FIND("(",INDEX(Расчет!$C$2:$C$3001,$L456))),SUBSTITUTE(MID(INDEX(Расчет!$C$2:$C$3001,$L456),FIND("(",INDEX(Расчет!$C$2:$C$3001,$L456))+1,99),")",""),INDEX(Расчет!$C$2:$C$3001,$L456)))</f>
        <v/>
      </c>
      <c r="E456">
        <f>IF($L456="","",INDEX(Расчет!$D$2:$D$3001,$L456))</f>
        <v/>
      </c>
      <c r="F456">
        <f>IF($L456="","",INDEX(Расчет!$E$2:$E$3001,$L456))</f>
        <v/>
      </c>
      <c r="G456">
        <f>IF($L456="","",IFERROR(--LEFT(INDEX(Расчет!$C$2:$C$3001,$L456),FIND("(",INDEX(Расчет!$C$2:$C$3001,$L456))-1),IFERROR(--LEFT(INDEX(Расчет!$C$2:$C$3001,$L456),1),"")))</f>
        <v/>
      </c>
      <c r="H456">
        <f>IF($L456="","",SUMIFS(Расчет!$G$2:$G$3001,Расчет!$I$2:$I$3001,$K456,Расчет!$H$2:$H$3001,1))</f>
        <v/>
      </c>
      <c r="I456">
        <f>IF($L456="","",SUMIFS(Расчет!$G$2:$G$3001,Расчет!$I$2:$I$3001,$K456,Расчет!$H$2:$H$3001,2))</f>
        <v/>
      </c>
      <c r="J456">
        <f>IF($L456="","",SUMIFS(Расчет!$G$2:$G$3001,Расчет!$I$2:$I$3001,$K456,Расчет!$H$2:$H$3001,3))</f>
        <v/>
      </c>
      <c r="K456">
        <f>IF($L456="","",INDEX(Расчет!$I$2:$I$3001,$L456))</f>
        <v/>
      </c>
      <c r="L456">
        <f>IFERROR(MATCH(ROW()-1,Расчет!$J$2:$J$3001,0),"")</f>
        <v/>
      </c>
    </row>
    <row r="457">
      <c r="A457">
        <f>IF($L457="","",B457&amp;"."&amp;C457&amp;"-"&amp;D457&amp;"-"&amp;H457&amp;"."&amp;I457&amp;"."&amp;J457)</f>
        <v/>
      </c>
      <c r="B457">
        <f>IF($L457="","",INDEX(Расчет!$A$2:$A$3001,$L457))</f>
        <v/>
      </c>
      <c r="C457">
        <f>IF($L457="","",INDEX(Расчет!$B$2:$B$3001,$L457))</f>
        <v/>
      </c>
      <c r="D457">
        <f>IF($L457="","",IF(ISNUMBER(FIND("(",INDEX(Расчет!$C$2:$C$3001,$L457))),SUBSTITUTE(MID(INDEX(Расчет!$C$2:$C$3001,$L457),FIND("(",INDEX(Расчет!$C$2:$C$3001,$L457))+1,99),")",""),INDEX(Расчет!$C$2:$C$3001,$L457)))</f>
        <v/>
      </c>
      <c r="E457">
        <f>IF($L457="","",INDEX(Расчет!$D$2:$D$3001,$L457))</f>
        <v/>
      </c>
      <c r="F457">
        <f>IF($L457="","",INDEX(Расчет!$E$2:$E$3001,$L457))</f>
        <v/>
      </c>
      <c r="G457">
        <f>IF($L457="","",IFERROR(--LEFT(INDEX(Расчет!$C$2:$C$3001,$L457),FIND("(",INDEX(Расчет!$C$2:$C$3001,$L457))-1),IFERROR(--LEFT(INDEX(Расчет!$C$2:$C$3001,$L457),1),"")))</f>
        <v/>
      </c>
      <c r="H457">
        <f>IF($L457="","",SUMIFS(Расчет!$G$2:$G$3001,Расчет!$I$2:$I$3001,$K457,Расчет!$H$2:$H$3001,1))</f>
        <v/>
      </c>
      <c r="I457">
        <f>IF($L457="","",SUMIFS(Расчет!$G$2:$G$3001,Расчет!$I$2:$I$3001,$K457,Расчет!$H$2:$H$3001,2))</f>
        <v/>
      </c>
      <c r="J457">
        <f>IF($L457="","",SUMIFS(Расчет!$G$2:$G$3001,Расчет!$I$2:$I$3001,$K457,Расчет!$H$2:$H$3001,3))</f>
        <v/>
      </c>
      <c r="K457">
        <f>IF($L457="","",INDEX(Расчет!$I$2:$I$3001,$L457))</f>
        <v/>
      </c>
      <c r="L457">
        <f>IFERROR(MATCH(ROW()-1,Расчет!$J$2:$J$3001,0),"")</f>
        <v/>
      </c>
    </row>
    <row r="458">
      <c r="A458">
        <f>IF($L458="","",B458&amp;"."&amp;C458&amp;"-"&amp;D458&amp;"-"&amp;H458&amp;"."&amp;I458&amp;"."&amp;J458)</f>
        <v/>
      </c>
      <c r="B458">
        <f>IF($L458="","",INDEX(Расчет!$A$2:$A$3001,$L458))</f>
        <v/>
      </c>
      <c r="C458">
        <f>IF($L458="","",INDEX(Расчет!$B$2:$B$3001,$L458))</f>
        <v/>
      </c>
      <c r="D458">
        <f>IF($L458="","",IF(ISNUMBER(FIND("(",INDEX(Расчет!$C$2:$C$3001,$L458))),SUBSTITUTE(MID(INDEX(Расчет!$C$2:$C$3001,$L458),FIND("(",INDEX(Расчет!$C$2:$C$3001,$L458))+1,99),")",""),INDEX(Расчет!$C$2:$C$3001,$L458)))</f>
        <v/>
      </c>
      <c r="E458">
        <f>IF($L458="","",INDEX(Расчет!$D$2:$D$3001,$L458))</f>
        <v/>
      </c>
      <c r="F458">
        <f>IF($L458="","",INDEX(Расчет!$E$2:$E$3001,$L458))</f>
        <v/>
      </c>
      <c r="G458">
        <f>IF($L458="","",IFERROR(--LEFT(INDEX(Расчет!$C$2:$C$3001,$L458),FIND("(",INDEX(Расчет!$C$2:$C$3001,$L458))-1),IFERROR(--LEFT(INDEX(Расчет!$C$2:$C$3001,$L458),1),"")))</f>
        <v/>
      </c>
      <c r="H458">
        <f>IF($L458="","",SUMIFS(Расчет!$G$2:$G$3001,Расчет!$I$2:$I$3001,$K458,Расчет!$H$2:$H$3001,1))</f>
        <v/>
      </c>
      <c r="I458">
        <f>IF($L458="","",SUMIFS(Расчет!$G$2:$G$3001,Расчет!$I$2:$I$3001,$K458,Расчет!$H$2:$H$3001,2))</f>
        <v/>
      </c>
      <c r="J458">
        <f>IF($L458="","",SUMIFS(Расчет!$G$2:$G$3001,Расчет!$I$2:$I$3001,$K458,Расчет!$H$2:$H$3001,3))</f>
        <v/>
      </c>
      <c r="K458">
        <f>IF($L458="","",INDEX(Расчет!$I$2:$I$3001,$L458))</f>
        <v/>
      </c>
      <c r="L458">
        <f>IFERROR(MATCH(ROW()-1,Расчет!$J$2:$J$3001,0),"")</f>
        <v/>
      </c>
    </row>
    <row r="459">
      <c r="A459">
        <f>IF($L459="","",B459&amp;"."&amp;C459&amp;"-"&amp;D459&amp;"-"&amp;H459&amp;"."&amp;I459&amp;"."&amp;J459)</f>
        <v/>
      </c>
      <c r="B459">
        <f>IF($L459="","",INDEX(Расчет!$A$2:$A$3001,$L459))</f>
        <v/>
      </c>
      <c r="C459">
        <f>IF($L459="","",INDEX(Расчет!$B$2:$B$3001,$L459))</f>
        <v/>
      </c>
      <c r="D459">
        <f>IF($L459="","",IF(ISNUMBER(FIND("(",INDEX(Расчет!$C$2:$C$3001,$L459))),SUBSTITUTE(MID(INDEX(Расчет!$C$2:$C$3001,$L459),FIND("(",INDEX(Расчет!$C$2:$C$3001,$L459))+1,99),")",""),INDEX(Расчет!$C$2:$C$3001,$L459)))</f>
        <v/>
      </c>
      <c r="E459">
        <f>IF($L459="","",INDEX(Расчет!$D$2:$D$3001,$L459))</f>
        <v/>
      </c>
      <c r="F459">
        <f>IF($L459="","",INDEX(Расчет!$E$2:$E$3001,$L459))</f>
        <v/>
      </c>
      <c r="G459">
        <f>IF($L459="","",IFERROR(--LEFT(INDEX(Расчет!$C$2:$C$3001,$L459),FIND("(",INDEX(Расчет!$C$2:$C$3001,$L459))-1),IFERROR(--LEFT(INDEX(Расчет!$C$2:$C$3001,$L459),1),"")))</f>
        <v/>
      </c>
      <c r="H459">
        <f>IF($L459="","",SUMIFS(Расчет!$G$2:$G$3001,Расчет!$I$2:$I$3001,$K459,Расчет!$H$2:$H$3001,1))</f>
        <v/>
      </c>
      <c r="I459">
        <f>IF($L459="","",SUMIFS(Расчет!$G$2:$G$3001,Расчет!$I$2:$I$3001,$K459,Расчет!$H$2:$H$3001,2))</f>
        <v/>
      </c>
      <c r="J459">
        <f>IF($L459="","",SUMIFS(Расчет!$G$2:$G$3001,Расчет!$I$2:$I$3001,$K459,Расчет!$H$2:$H$3001,3))</f>
        <v/>
      </c>
      <c r="K459">
        <f>IF($L459="","",INDEX(Расчет!$I$2:$I$3001,$L459))</f>
        <v/>
      </c>
      <c r="L459">
        <f>IFERROR(MATCH(ROW()-1,Расчет!$J$2:$J$3001,0),"")</f>
        <v/>
      </c>
    </row>
    <row r="460">
      <c r="A460">
        <f>IF($L460="","",B460&amp;"."&amp;C460&amp;"-"&amp;D460&amp;"-"&amp;H460&amp;"."&amp;I460&amp;"."&amp;J460)</f>
        <v/>
      </c>
      <c r="B460">
        <f>IF($L460="","",INDEX(Расчет!$A$2:$A$3001,$L460))</f>
        <v/>
      </c>
      <c r="C460">
        <f>IF($L460="","",INDEX(Расчет!$B$2:$B$3001,$L460))</f>
        <v/>
      </c>
      <c r="D460">
        <f>IF($L460="","",IF(ISNUMBER(FIND("(",INDEX(Расчет!$C$2:$C$3001,$L460))),SUBSTITUTE(MID(INDEX(Расчет!$C$2:$C$3001,$L460),FIND("(",INDEX(Расчет!$C$2:$C$3001,$L460))+1,99),")",""),INDEX(Расчет!$C$2:$C$3001,$L460)))</f>
        <v/>
      </c>
      <c r="E460">
        <f>IF($L460="","",INDEX(Расчет!$D$2:$D$3001,$L460))</f>
        <v/>
      </c>
      <c r="F460">
        <f>IF($L460="","",INDEX(Расчет!$E$2:$E$3001,$L460))</f>
        <v/>
      </c>
      <c r="G460">
        <f>IF($L460="","",IFERROR(--LEFT(INDEX(Расчет!$C$2:$C$3001,$L460),FIND("(",INDEX(Расчет!$C$2:$C$3001,$L460))-1),IFERROR(--LEFT(INDEX(Расчет!$C$2:$C$3001,$L460),1),"")))</f>
        <v/>
      </c>
      <c r="H460">
        <f>IF($L460="","",SUMIFS(Расчет!$G$2:$G$3001,Расчет!$I$2:$I$3001,$K460,Расчет!$H$2:$H$3001,1))</f>
        <v/>
      </c>
      <c r="I460">
        <f>IF($L460="","",SUMIFS(Расчет!$G$2:$G$3001,Расчет!$I$2:$I$3001,$K460,Расчет!$H$2:$H$3001,2))</f>
        <v/>
      </c>
      <c r="J460">
        <f>IF($L460="","",SUMIFS(Расчет!$G$2:$G$3001,Расчет!$I$2:$I$3001,$K460,Расчет!$H$2:$H$3001,3))</f>
        <v/>
      </c>
      <c r="K460">
        <f>IF($L460="","",INDEX(Расчет!$I$2:$I$3001,$L460))</f>
        <v/>
      </c>
      <c r="L460">
        <f>IFERROR(MATCH(ROW()-1,Расчет!$J$2:$J$3001,0),"")</f>
        <v/>
      </c>
    </row>
    <row r="461">
      <c r="A461">
        <f>IF($L461="","",B461&amp;"."&amp;C461&amp;"-"&amp;D461&amp;"-"&amp;H461&amp;"."&amp;I461&amp;"."&amp;J461)</f>
        <v/>
      </c>
      <c r="B461">
        <f>IF($L461="","",INDEX(Расчет!$A$2:$A$3001,$L461))</f>
        <v/>
      </c>
      <c r="C461">
        <f>IF($L461="","",INDEX(Расчет!$B$2:$B$3001,$L461))</f>
        <v/>
      </c>
      <c r="D461">
        <f>IF($L461="","",IF(ISNUMBER(FIND("(",INDEX(Расчет!$C$2:$C$3001,$L461))),SUBSTITUTE(MID(INDEX(Расчет!$C$2:$C$3001,$L461),FIND("(",INDEX(Расчет!$C$2:$C$3001,$L461))+1,99),")",""),INDEX(Расчет!$C$2:$C$3001,$L461)))</f>
        <v/>
      </c>
      <c r="E461">
        <f>IF($L461="","",INDEX(Расчет!$D$2:$D$3001,$L461))</f>
        <v/>
      </c>
      <c r="F461">
        <f>IF($L461="","",INDEX(Расчет!$E$2:$E$3001,$L461))</f>
        <v/>
      </c>
      <c r="G461">
        <f>IF($L461="","",IFERROR(--LEFT(INDEX(Расчет!$C$2:$C$3001,$L461),FIND("(",INDEX(Расчет!$C$2:$C$3001,$L461))-1),IFERROR(--LEFT(INDEX(Расчет!$C$2:$C$3001,$L461),1),"")))</f>
        <v/>
      </c>
      <c r="H461">
        <f>IF($L461="","",SUMIFS(Расчет!$G$2:$G$3001,Расчет!$I$2:$I$3001,$K461,Расчет!$H$2:$H$3001,1))</f>
        <v/>
      </c>
      <c r="I461">
        <f>IF($L461="","",SUMIFS(Расчет!$G$2:$G$3001,Расчет!$I$2:$I$3001,$K461,Расчет!$H$2:$H$3001,2))</f>
        <v/>
      </c>
      <c r="J461">
        <f>IF($L461="","",SUMIFS(Расчет!$G$2:$G$3001,Расчет!$I$2:$I$3001,$K461,Расчет!$H$2:$H$3001,3))</f>
        <v/>
      </c>
      <c r="K461">
        <f>IF($L461="","",INDEX(Расчет!$I$2:$I$3001,$L461))</f>
        <v/>
      </c>
      <c r="L461">
        <f>IFERROR(MATCH(ROW()-1,Расчет!$J$2:$J$3001,0),"")</f>
        <v/>
      </c>
    </row>
    <row r="462">
      <c r="A462">
        <f>IF($L462="","",B462&amp;"."&amp;C462&amp;"-"&amp;D462&amp;"-"&amp;H462&amp;"."&amp;I462&amp;"."&amp;J462)</f>
        <v/>
      </c>
      <c r="B462">
        <f>IF($L462="","",INDEX(Расчет!$A$2:$A$3001,$L462))</f>
        <v/>
      </c>
      <c r="C462">
        <f>IF($L462="","",INDEX(Расчет!$B$2:$B$3001,$L462))</f>
        <v/>
      </c>
      <c r="D462">
        <f>IF($L462="","",IF(ISNUMBER(FIND("(",INDEX(Расчет!$C$2:$C$3001,$L462))),SUBSTITUTE(MID(INDEX(Расчет!$C$2:$C$3001,$L462),FIND("(",INDEX(Расчет!$C$2:$C$3001,$L462))+1,99),")",""),INDEX(Расчет!$C$2:$C$3001,$L462)))</f>
        <v/>
      </c>
      <c r="E462">
        <f>IF($L462="","",INDEX(Расчет!$D$2:$D$3001,$L462))</f>
        <v/>
      </c>
      <c r="F462">
        <f>IF($L462="","",INDEX(Расчет!$E$2:$E$3001,$L462))</f>
        <v/>
      </c>
      <c r="G462">
        <f>IF($L462="","",IFERROR(--LEFT(INDEX(Расчет!$C$2:$C$3001,$L462),FIND("(",INDEX(Расчет!$C$2:$C$3001,$L462))-1),IFERROR(--LEFT(INDEX(Расчет!$C$2:$C$3001,$L462),1),"")))</f>
        <v/>
      </c>
      <c r="H462">
        <f>IF($L462="","",SUMIFS(Расчет!$G$2:$G$3001,Расчет!$I$2:$I$3001,$K462,Расчет!$H$2:$H$3001,1))</f>
        <v/>
      </c>
      <c r="I462">
        <f>IF($L462="","",SUMIFS(Расчет!$G$2:$G$3001,Расчет!$I$2:$I$3001,$K462,Расчет!$H$2:$H$3001,2))</f>
        <v/>
      </c>
      <c r="J462">
        <f>IF($L462="","",SUMIFS(Расчет!$G$2:$G$3001,Расчет!$I$2:$I$3001,$K462,Расчет!$H$2:$H$3001,3))</f>
        <v/>
      </c>
      <c r="K462">
        <f>IF($L462="","",INDEX(Расчет!$I$2:$I$3001,$L462))</f>
        <v/>
      </c>
      <c r="L462">
        <f>IFERROR(MATCH(ROW()-1,Расчет!$J$2:$J$3001,0),"")</f>
        <v/>
      </c>
    </row>
    <row r="463">
      <c r="A463">
        <f>IF($L463="","",B463&amp;"."&amp;C463&amp;"-"&amp;D463&amp;"-"&amp;H463&amp;"."&amp;I463&amp;"."&amp;J463)</f>
        <v/>
      </c>
      <c r="B463">
        <f>IF($L463="","",INDEX(Расчет!$A$2:$A$3001,$L463))</f>
        <v/>
      </c>
      <c r="C463">
        <f>IF($L463="","",INDEX(Расчет!$B$2:$B$3001,$L463))</f>
        <v/>
      </c>
      <c r="D463">
        <f>IF($L463="","",IF(ISNUMBER(FIND("(",INDEX(Расчет!$C$2:$C$3001,$L463))),SUBSTITUTE(MID(INDEX(Расчет!$C$2:$C$3001,$L463),FIND("(",INDEX(Расчет!$C$2:$C$3001,$L463))+1,99),")",""),INDEX(Расчет!$C$2:$C$3001,$L463)))</f>
        <v/>
      </c>
      <c r="E463">
        <f>IF($L463="","",INDEX(Расчет!$D$2:$D$3001,$L463))</f>
        <v/>
      </c>
      <c r="F463">
        <f>IF($L463="","",INDEX(Расчет!$E$2:$E$3001,$L463))</f>
        <v/>
      </c>
      <c r="G463">
        <f>IF($L463="","",IFERROR(--LEFT(INDEX(Расчет!$C$2:$C$3001,$L463),FIND("(",INDEX(Расчет!$C$2:$C$3001,$L463))-1),IFERROR(--LEFT(INDEX(Расчет!$C$2:$C$3001,$L463),1),"")))</f>
        <v/>
      </c>
      <c r="H463">
        <f>IF($L463="","",SUMIFS(Расчет!$G$2:$G$3001,Расчет!$I$2:$I$3001,$K463,Расчет!$H$2:$H$3001,1))</f>
        <v/>
      </c>
      <c r="I463">
        <f>IF($L463="","",SUMIFS(Расчет!$G$2:$G$3001,Расчет!$I$2:$I$3001,$K463,Расчет!$H$2:$H$3001,2))</f>
        <v/>
      </c>
      <c r="J463">
        <f>IF($L463="","",SUMIFS(Расчет!$G$2:$G$3001,Расчет!$I$2:$I$3001,$K463,Расчет!$H$2:$H$3001,3))</f>
        <v/>
      </c>
      <c r="K463">
        <f>IF($L463="","",INDEX(Расчет!$I$2:$I$3001,$L463))</f>
        <v/>
      </c>
      <c r="L463">
        <f>IFERROR(MATCH(ROW()-1,Расчет!$J$2:$J$3001,0),"")</f>
        <v/>
      </c>
    </row>
    <row r="464">
      <c r="A464">
        <f>IF($L464="","",B464&amp;"."&amp;C464&amp;"-"&amp;D464&amp;"-"&amp;H464&amp;"."&amp;I464&amp;"."&amp;J464)</f>
        <v/>
      </c>
      <c r="B464">
        <f>IF($L464="","",INDEX(Расчет!$A$2:$A$3001,$L464))</f>
        <v/>
      </c>
      <c r="C464">
        <f>IF($L464="","",INDEX(Расчет!$B$2:$B$3001,$L464))</f>
        <v/>
      </c>
      <c r="D464">
        <f>IF($L464="","",IF(ISNUMBER(FIND("(",INDEX(Расчет!$C$2:$C$3001,$L464))),SUBSTITUTE(MID(INDEX(Расчет!$C$2:$C$3001,$L464),FIND("(",INDEX(Расчет!$C$2:$C$3001,$L464))+1,99),")",""),INDEX(Расчет!$C$2:$C$3001,$L464)))</f>
        <v/>
      </c>
      <c r="E464">
        <f>IF($L464="","",INDEX(Расчет!$D$2:$D$3001,$L464))</f>
        <v/>
      </c>
      <c r="F464">
        <f>IF($L464="","",INDEX(Расчет!$E$2:$E$3001,$L464))</f>
        <v/>
      </c>
      <c r="G464">
        <f>IF($L464="","",IFERROR(--LEFT(INDEX(Расчет!$C$2:$C$3001,$L464),FIND("(",INDEX(Расчет!$C$2:$C$3001,$L464))-1),IFERROR(--LEFT(INDEX(Расчет!$C$2:$C$3001,$L464),1),"")))</f>
        <v/>
      </c>
      <c r="H464">
        <f>IF($L464="","",SUMIFS(Расчет!$G$2:$G$3001,Расчет!$I$2:$I$3001,$K464,Расчет!$H$2:$H$3001,1))</f>
        <v/>
      </c>
      <c r="I464">
        <f>IF($L464="","",SUMIFS(Расчет!$G$2:$G$3001,Расчет!$I$2:$I$3001,$K464,Расчет!$H$2:$H$3001,2))</f>
        <v/>
      </c>
      <c r="J464">
        <f>IF($L464="","",SUMIFS(Расчет!$G$2:$G$3001,Расчет!$I$2:$I$3001,$K464,Расчет!$H$2:$H$3001,3))</f>
        <v/>
      </c>
      <c r="K464">
        <f>IF($L464="","",INDEX(Расчет!$I$2:$I$3001,$L464))</f>
        <v/>
      </c>
      <c r="L464">
        <f>IFERROR(MATCH(ROW()-1,Расчет!$J$2:$J$3001,0),"")</f>
        <v/>
      </c>
    </row>
    <row r="465">
      <c r="A465">
        <f>IF($L465="","",B465&amp;"."&amp;C465&amp;"-"&amp;D465&amp;"-"&amp;H465&amp;"."&amp;I465&amp;"."&amp;J465)</f>
        <v/>
      </c>
      <c r="B465">
        <f>IF($L465="","",INDEX(Расчет!$A$2:$A$3001,$L465))</f>
        <v/>
      </c>
      <c r="C465">
        <f>IF($L465="","",INDEX(Расчет!$B$2:$B$3001,$L465))</f>
        <v/>
      </c>
      <c r="D465">
        <f>IF($L465="","",IF(ISNUMBER(FIND("(",INDEX(Расчет!$C$2:$C$3001,$L465))),SUBSTITUTE(MID(INDEX(Расчет!$C$2:$C$3001,$L465),FIND("(",INDEX(Расчет!$C$2:$C$3001,$L465))+1,99),")",""),INDEX(Расчет!$C$2:$C$3001,$L465)))</f>
        <v/>
      </c>
      <c r="E465">
        <f>IF($L465="","",INDEX(Расчет!$D$2:$D$3001,$L465))</f>
        <v/>
      </c>
      <c r="F465">
        <f>IF($L465="","",INDEX(Расчет!$E$2:$E$3001,$L465))</f>
        <v/>
      </c>
      <c r="G465">
        <f>IF($L465="","",IFERROR(--LEFT(INDEX(Расчет!$C$2:$C$3001,$L465),FIND("(",INDEX(Расчет!$C$2:$C$3001,$L465))-1),IFERROR(--LEFT(INDEX(Расчет!$C$2:$C$3001,$L465),1),"")))</f>
        <v/>
      </c>
      <c r="H465">
        <f>IF($L465="","",SUMIFS(Расчет!$G$2:$G$3001,Расчет!$I$2:$I$3001,$K465,Расчет!$H$2:$H$3001,1))</f>
        <v/>
      </c>
      <c r="I465">
        <f>IF($L465="","",SUMIFS(Расчет!$G$2:$G$3001,Расчет!$I$2:$I$3001,$K465,Расчет!$H$2:$H$3001,2))</f>
        <v/>
      </c>
      <c r="J465">
        <f>IF($L465="","",SUMIFS(Расчет!$G$2:$G$3001,Расчет!$I$2:$I$3001,$K465,Расчет!$H$2:$H$3001,3))</f>
        <v/>
      </c>
      <c r="K465">
        <f>IF($L465="","",INDEX(Расчет!$I$2:$I$3001,$L465))</f>
        <v/>
      </c>
      <c r="L465">
        <f>IFERROR(MATCH(ROW()-1,Расчет!$J$2:$J$3001,0),"")</f>
        <v/>
      </c>
    </row>
    <row r="466">
      <c r="A466">
        <f>IF($L466="","",B466&amp;"."&amp;C466&amp;"-"&amp;D466&amp;"-"&amp;H466&amp;"."&amp;I466&amp;"."&amp;J466)</f>
        <v/>
      </c>
      <c r="B466">
        <f>IF($L466="","",INDEX(Расчет!$A$2:$A$3001,$L466))</f>
        <v/>
      </c>
      <c r="C466">
        <f>IF($L466="","",INDEX(Расчет!$B$2:$B$3001,$L466))</f>
        <v/>
      </c>
      <c r="D466">
        <f>IF($L466="","",IF(ISNUMBER(FIND("(",INDEX(Расчет!$C$2:$C$3001,$L466))),SUBSTITUTE(MID(INDEX(Расчет!$C$2:$C$3001,$L466),FIND("(",INDEX(Расчет!$C$2:$C$3001,$L466))+1,99),")",""),INDEX(Расчет!$C$2:$C$3001,$L466)))</f>
        <v/>
      </c>
      <c r="E466">
        <f>IF($L466="","",INDEX(Расчет!$D$2:$D$3001,$L466))</f>
        <v/>
      </c>
      <c r="F466">
        <f>IF($L466="","",INDEX(Расчет!$E$2:$E$3001,$L466))</f>
        <v/>
      </c>
      <c r="G466">
        <f>IF($L466="","",IFERROR(--LEFT(INDEX(Расчет!$C$2:$C$3001,$L466),FIND("(",INDEX(Расчет!$C$2:$C$3001,$L466))-1),IFERROR(--LEFT(INDEX(Расчет!$C$2:$C$3001,$L466),1),"")))</f>
        <v/>
      </c>
      <c r="H466">
        <f>IF($L466="","",SUMIFS(Расчет!$G$2:$G$3001,Расчет!$I$2:$I$3001,$K466,Расчет!$H$2:$H$3001,1))</f>
        <v/>
      </c>
      <c r="I466">
        <f>IF($L466="","",SUMIFS(Расчет!$G$2:$G$3001,Расчет!$I$2:$I$3001,$K466,Расчет!$H$2:$H$3001,2))</f>
        <v/>
      </c>
      <c r="J466">
        <f>IF($L466="","",SUMIFS(Расчет!$G$2:$G$3001,Расчет!$I$2:$I$3001,$K466,Расчет!$H$2:$H$3001,3))</f>
        <v/>
      </c>
      <c r="K466">
        <f>IF($L466="","",INDEX(Расчет!$I$2:$I$3001,$L466))</f>
        <v/>
      </c>
      <c r="L466">
        <f>IFERROR(MATCH(ROW()-1,Расчет!$J$2:$J$3001,0),"")</f>
        <v/>
      </c>
    </row>
    <row r="467">
      <c r="A467">
        <f>IF($L467="","",B467&amp;"."&amp;C467&amp;"-"&amp;D467&amp;"-"&amp;H467&amp;"."&amp;I467&amp;"."&amp;J467)</f>
        <v/>
      </c>
      <c r="B467">
        <f>IF($L467="","",INDEX(Расчет!$A$2:$A$3001,$L467))</f>
        <v/>
      </c>
      <c r="C467">
        <f>IF($L467="","",INDEX(Расчет!$B$2:$B$3001,$L467))</f>
        <v/>
      </c>
      <c r="D467">
        <f>IF($L467="","",IF(ISNUMBER(FIND("(",INDEX(Расчет!$C$2:$C$3001,$L467))),SUBSTITUTE(MID(INDEX(Расчет!$C$2:$C$3001,$L467),FIND("(",INDEX(Расчет!$C$2:$C$3001,$L467))+1,99),")",""),INDEX(Расчет!$C$2:$C$3001,$L467)))</f>
        <v/>
      </c>
      <c r="E467">
        <f>IF($L467="","",INDEX(Расчет!$D$2:$D$3001,$L467))</f>
        <v/>
      </c>
      <c r="F467">
        <f>IF($L467="","",INDEX(Расчет!$E$2:$E$3001,$L467))</f>
        <v/>
      </c>
      <c r="G467">
        <f>IF($L467="","",IFERROR(--LEFT(INDEX(Расчет!$C$2:$C$3001,$L467),FIND("(",INDEX(Расчет!$C$2:$C$3001,$L467))-1),IFERROR(--LEFT(INDEX(Расчет!$C$2:$C$3001,$L467),1),"")))</f>
        <v/>
      </c>
      <c r="H467">
        <f>IF($L467="","",SUMIFS(Расчет!$G$2:$G$3001,Расчет!$I$2:$I$3001,$K467,Расчет!$H$2:$H$3001,1))</f>
        <v/>
      </c>
      <c r="I467">
        <f>IF($L467="","",SUMIFS(Расчет!$G$2:$G$3001,Расчет!$I$2:$I$3001,$K467,Расчет!$H$2:$H$3001,2))</f>
        <v/>
      </c>
      <c r="J467">
        <f>IF($L467="","",SUMIFS(Расчет!$G$2:$G$3001,Расчет!$I$2:$I$3001,$K467,Расчет!$H$2:$H$3001,3))</f>
        <v/>
      </c>
      <c r="K467">
        <f>IF($L467="","",INDEX(Расчет!$I$2:$I$3001,$L467))</f>
        <v/>
      </c>
      <c r="L467">
        <f>IFERROR(MATCH(ROW()-1,Расчет!$J$2:$J$3001,0),"")</f>
        <v/>
      </c>
    </row>
    <row r="468">
      <c r="A468">
        <f>IF($L468="","",B468&amp;"."&amp;C468&amp;"-"&amp;D468&amp;"-"&amp;H468&amp;"."&amp;I468&amp;"."&amp;J468)</f>
        <v/>
      </c>
      <c r="B468">
        <f>IF($L468="","",INDEX(Расчет!$A$2:$A$3001,$L468))</f>
        <v/>
      </c>
      <c r="C468">
        <f>IF($L468="","",INDEX(Расчет!$B$2:$B$3001,$L468))</f>
        <v/>
      </c>
      <c r="D468">
        <f>IF($L468="","",IF(ISNUMBER(FIND("(",INDEX(Расчет!$C$2:$C$3001,$L468))),SUBSTITUTE(MID(INDEX(Расчет!$C$2:$C$3001,$L468),FIND("(",INDEX(Расчет!$C$2:$C$3001,$L468))+1,99),")",""),INDEX(Расчет!$C$2:$C$3001,$L468)))</f>
        <v/>
      </c>
      <c r="E468">
        <f>IF($L468="","",INDEX(Расчет!$D$2:$D$3001,$L468))</f>
        <v/>
      </c>
      <c r="F468">
        <f>IF($L468="","",INDEX(Расчет!$E$2:$E$3001,$L468))</f>
        <v/>
      </c>
      <c r="G468">
        <f>IF($L468="","",IFERROR(--LEFT(INDEX(Расчет!$C$2:$C$3001,$L468),FIND("(",INDEX(Расчет!$C$2:$C$3001,$L468))-1),IFERROR(--LEFT(INDEX(Расчет!$C$2:$C$3001,$L468),1),"")))</f>
        <v/>
      </c>
      <c r="H468">
        <f>IF($L468="","",SUMIFS(Расчет!$G$2:$G$3001,Расчет!$I$2:$I$3001,$K468,Расчет!$H$2:$H$3001,1))</f>
        <v/>
      </c>
      <c r="I468">
        <f>IF($L468="","",SUMIFS(Расчет!$G$2:$G$3001,Расчет!$I$2:$I$3001,$K468,Расчет!$H$2:$H$3001,2))</f>
        <v/>
      </c>
      <c r="J468">
        <f>IF($L468="","",SUMIFS(Расчет!$G$2:$G$3001,Расчет!$I$2:$I$3001,$K468,Расчет!$H$2:$H$3001,3))</f>
        <v/>
      </c>
      <c r="K468">
        <f>IF($L468="","",INDEX(Расчет!$I$2:$I$3001,$L468))</f>
        <v/>
      </c>
      <c r="L468">
        <f>IFERROR(MATCH(ROW()-1,Расчет!$J$2:$J$3001,0),"")</f>
        <v/>
      </c>
    </row>
    <row r="469">
      <c r="A469">
        <f>IF($L469="","",B469&amp;"."&amp;C469&amp;"-"&amp;D469&amp;"-"&amp;H469&amp;"."&amp;I469&amp;"."&amp;J469)</f>
        <v/>
      </c>
      <c r="B469">
        <f>IF($L469="","",INDEX(Расчет!$A$2:$A$3001,$L469))</f>
        <v/>
      </c>
      <c r="C469">
        <f>IF($L469="","",INDEX(Расчет!$B$2:$B$3001,$L469))</f>
        <v/>
      </c>
      <c r="D469">
        <f>IF($L469="","",IF(ISNUMBER(FIND("(",INDEX(Расчет!$C$2:$C$3001,$L469))),SUBSTITUTE(MID(INDEX(Расчет!$C$2:$C$3001,$L469),FIND("(",INDEX(Расчет!$C$2:$C$3001,$L469))+1,99),")",""),INDEX(Расчет!$C$2:$C$3001,$L469)))</f>
        <v/>
      </c>
      <c r="E469">
        <f>IF($L469="","",INDEX(Расчет!$D$2:$D$3001,$L469))</f>
        <v/>
      </c>
      <c r="F469">
        <f>IF($L469="","",INDEX(Расчет!$E$2:$E$3001,$L469))</f>
        <v/>
      </c>
      <c r="G469">
        <f>IF($L469="","",IFERROR(--LEFT(INDEX(Расчет!$C$2:$C$3001,$L469),FIND("(",INDEX(Расчет!$C$2:$C$3001,$L469))-1),IFERROR(--LEFT(INDEX(Расчет!$C$2:$C$3001,$L469),1),"")))</f>
        <v/>
      </c>
      <c r="H469">
        <f>IF($L469="","",SUMIFS(Расчет!$G$2:$G$3001,Расчет!$I$2:$I$3001,$K469,Расчет!$H$2:$H$3001,1))</f>
        <v/>
      </c>
      <c r="I469">
        <f>IF($L469="","",SUMIFS(Расчет!$G$2:$G$3001,Расчет!$I$2:$I$3001,$K469,Расчет!$H$2:$H$3001,2))</f>
        <v/>
      </c>
      <c r="J469">
        <f>IF($L469="","",SUMIFS(Расчет!$G$2:$G$3001,Расчет!$I$2:$I$3001,$K469,Расчет!$H$2:$H$3001,3))</f>
        <v/>
      </c>
      <c r="K469">
        <f>IF($L469="","",INDEX(Расчет!$I$2:$I$3001,$L469))</f>
        <v/>
      </c>
      <c r="L469">
        <f>IFERROR(MATCH(ROW()-1,Расчет!$J$2:$J$3001,0),"")</f>
        <v/>
      </c>
    </row>
    <row r="470">
      <c r="A470">
        <f>IF($L470="","",B470&amp;"."&amp;C470&amp;"-"&amp;D470&amp;"-"&amp;H470&amp;"."&amp;I470&amp;"."&amp;J470)</f>
        <v/>
      </c>
      <c r="B470">
        <f>IF($L470="","",INDEX(Расчет!$A$2:$A$3001,$L470))</f>
        <v/>
      </c>
      <c r="C470">
        <f>IF($L470="","",INDEX(Расчет!$B$2:$B$3001,$L470))</f>
        <v/>
      </c>
      <c r="D470">
        <f>IF($L470="","",IF(ISNUMBER(FIND("(",INDEX(Расчет!$C$2:$C$3001,$L470))),SUBSTITUTE(MID(INDEX(Расчет!$C$2:$C$3001,$L470),FIND("(",INDEX(Расчет!$C$2:$C$3001,$L470))+1,99),")",""),INDEX(Расчет!$C$2:$C$3001,$L470)))</f>
        <v/>
      </c>
      <c r="E470">
        <f>IF($L470="","",INDEX(Расчет!$D$2:$D$3001,$L470))</f>
        <v/>
      </c>
      <c r="F470">
        <f>IF($L470="","",INDEX(Расчет!$E$2:$E$3001,$L470))</f>
        <v/>
      </c>
      <c r="G470">
        <f>IF($L470="","",IFERROR(--LEFT(INDEX(Расчет!$C$2:$C$3001,$L470),FIND("(",INDEX(Расчет!$C$2:$C$3001,$L470))-1),IFERROR(--LEFT(INDEX(Расчет!$C$2:$C$3001,$L470),1),"")))</f>
        <v/>
      </c>
      <c r="H470">
        <f>IF($L470="","",SUMIFS(Расчет!$G$2:$G$3001,Расчет!$I$2:$I$3001,$K470,Расчет!$H$2:$H$3001,1))</f>
        <v/>
      </c>
      <c r="I470">
        <f>IF($L470="","",SUMIFS(Расчет!$G$2:$G$3001,Расчет!$I$2:$I$3001,$K470,Расчет!$H$2:$H$3001,2))</f>
        <v/>
      </c>
      <c r="J470">
        <f>IF($L470="","",SUMIFS(Расчет!$G$2:$G$3001,Расчет!$I$2:$I$3001,$K470,Расчет!$H$2:$H$3001,3))</f>
        <v/>
      </c>
      <c r="K470">
        <f>IF($L470="","",INDEX(Расчет!$I$2:$I$3001,$L470))</f>
        <v/>
      </c>
      <c r="L470">
        <f>IFERROR(MATCH(ROW()-1,Расчет!$J$2:$J$3001,0),"")</f>
        <v/>
      </c>
    </row>
    <row r="471">
      <c r="A471">
        <f>IF($L471="","",B471&amp;"."&amp;C471&amp;"-"&amp;D471&amp;"-"&amp;H471&amp;"."&amp;I471&amp;"."&amp;J471)</f>
        <v/>
      </c>
      <c r="B471">
        <f>IF($L471="","",INDEX(Расчет!$A$2:$A$3001,$L471))</f>
        <v/>
      </c>
      <c r="C471">
        <f>IF($L471="","",INDEX(Расчет!$B$2:$B$3001,$L471))</f>
        <v/>
      </c>
      <c r="D471">
        <f>IF($L471="","",IF(ISNUMBER(FIND("(",INDEX(Расчет!$C$2:$C$3001,$L471))),SUBSTITUTE(MID(INDEX(Расчет!$C$2:$C$3001,$L471),FIND("(",INDEX(Расчет!$C$2:$C$3001,$L471))+1,99),")",""),INDEX(Расчет!$C$2:$C$3001,$L471)))</f>
        <v/>
      </c>
      <c r="E471">
        <f>IF($L471="","",INDEX(Расчет!$D$2:$D$3001,$L471))</f>
        <v/>
      </c>
      <c r="F471">
        <f>IF($L471="","",INDEX(Расчет!$E$2:$E$3001,$L471))</f>
        <v/>
      </c>
      <c r="G471">
        <f>IF($L471="","",IFERROR(--LEFT(INDEX(Расчет!$C$2:$C$3001,$L471),FIND("(",INDEX(Расчет!$C$2:$C$3001,$L471))-1),IFERROR(--LEFT(INDEX(Расчет!$C$2:$C$3001,$L471),1),"")))</f>
        <v/>
      </c>
      <c r="H471">
        <f>IF($L471="","",SUMIFS(Расчет!$G$2:$G$3001,Расчет!$I$2:$I$3001,$K471,Расчет!$H$2:$H$3001,1))</f>
        <v/>
      </c>
      <c r="I471">
        <f>IF($L471="","",SUMIFS(Расчет!$G$2:$G$3001,Расчет!$I$2:$I$3001,$K471,Расчет!$H$2:$H$3001,2))</f>
        <v/>
      </c>
      <c r="J471">
        <f>IF($L471="","",SUMIFS(Расчет!$G$2:$G$3001,Расчет!$I$2:$I$3001,$K471,Расчет!$H$2:$H$3001,3))</f>
        <v/>
      </c>
      <c r="K471">
        <f>IF($L471="","",INDEX(Расчет!$I$2:$I$3001,$L471))</f>
        <v/>
      </c>
      <c r="L471">
        <f>IFERROR(MATCH(ROW()-1,Расчет!$J$2:$J$3001,0),"")</f>
        <v/>
      </c>
    </row>
    <row r="472">
      <c r="A472">
        <f>IF($L472="","",B472&amp;"."&amp;C472&amp;"-"&amp;D472&amp;"-"&amp;H472&amp;"."&amp;I472&amp;"."&amp;J472)</f>
        <v/>
      </c>
      <c r="B472">
        <f>IF($L472="","",INDEX(Расчет!$A$2:$A$3001,$L472))</f>
        <v/>
      </c>
      <c r="C472">
        <f>IF($L472="","",INDEX(Расчет!$B$2:$B$3001,$L472))</f>
        <v/>
      </c>
      <c r="D472">
        <f>IF($L472="","",IF(ISNUMBER(FIND("(",INDEX(Расчет!$C$2:$C$3001,$L472))),SUBSTITUTE(MID(INDEX(Расчет!$C$2:$C$3001,$L472),FIND("(",INDEX(Расчет!$C$2:$C$3001,$L472))+1,99),")",""),INDEX(Расчет!$C$2:$C$3001,$L472)))</f>
        <v/>
      </c>
      <c r="E472">
        <f>IF($L472="","",INDEX(Расчет!$D$2:$D$3001,$L472))</f>
        <v/>
      </c>
      <c r="F472">
        <f>IF($L472="","",INDEX(Расчет!$E$2:$E$3001,$L472))</f>
        <v/>
      </c>
      <c r="G472">
        <f>IF($L472="","",IFERROR(--LEFT(INDEX(Расчет!$C$2:$C$3001,$L472),FIND("(",INDEX(Расчет!$C$2:$C$3001,$L472))-1),IFERROR(--LEFT(INDEX(Расчет!$C$2:$C$3001,$L472),1),"")))</f>
        <v/>
      </c>
      <c r="H472">
        <f>IF($L472="","",SUMIFS(Расчет!$G$2:$G$3001,Расчет!$I$2:$I$3001,$K472,Расчет!$H$2:$H$3001,1))</f>
        <v/>
      </c>
      <c r="I472">
        <f>IF($L472="","",SUMIFS(Расчет!$G$2:$G$3001,Расчет!$I$2:$I$3001,$K472,Расчет!$H$2:$H$3001,2))</f>
        <v/>
      </c>
      <c r="J472">
        <f>IF($L472="","",SUMIFS(Расчет!$G$2:$G$3001,Расчет!$I$2:$I$3001,$K472,Расчет!$H$2:$H$3001,3))</f>
        <v/>
      </c>
      <c r="K472">
        <f>IF($L472="","",INDEX(Расчет!$I$2:$I$3001,$L472))</f>
        <v/>
      </c>
      <c r="L472">
        <f>IFERROR(MATCH(ROW()-1,Расчет!$J$2:$J$3001,0),"")</f>
        <v/>
      </c>
    </row>
    <row r="473">
      <c r="A473">
        <f>IF($L473="","",B473&amp;"."&amp;C473&amp;"-"&amp;D473&amp;"-"&amp;H473&amp;"."&amp;I473&amp;"."&amp;J473)</f>
        <v/>
      </c>
      <c r="B473">
        <f>IF($L473="","",INDEX(Расчет!$A$2:$A$3001,$L473))</f>
        <v/>
      </c>
      <c r="C473">
        <f>IF($L473="","",INDEX(Расчет!$B$2:$B$3001,$L473))</f>
        <v/>
      </c>
      <c r="D473">
        <f>IF($L473="","",IF(ISNUMBER(FIND("(",INDEX(Расчет!$C$2:$C$3001,$L473))),SUBSTITUTE(MID(INDEX(Расчет!$C$2:$C$3001,$L473),FIND("(",INDEX(Расчет!$C$2:$C$3001,$L473))+1,99),")",""),INDEX(Расчет!$C$2:$C$3001,$L473)))</f>
        <v/>
      </c>
      <c r="E473">
        <f>IF($L473="","",INDEX(Расчет!$D$2:$D$3001,$L473))</f>
        <v/>
      </c>
      <c r="F473">
        <f>IF($L473="","",INDEX(Расчет!$E$2:$E$3001,$L473))</f>
        <v/>
      </c>
      <c r="G473">
        <f>IF($L473="","",IFERROR(--LEFT(INDEX(Расчет!$C$2:$C$3001,$L473),FIND("(",INDEX(Расчет!$C$2:$C$3001,$L473))-1),IFERROR(--LEFT(INDEX(Расчет!$C$2:$C$3001,$L473),1),"")))</f>
        <v/>
      </c>
      <c r="H473">
        <f>IF($L473="","",SUMIFS(Расчет!$G$2:$G$3001,Расчет!$I$2:$I$3001,$K473,Расчет!$H$2:$H$3001,1))</f>
        <v/>
      </c>
      <c r="I473">
        <f>IF($L473="","",SUMIFS(Расчет!$G$2:$G$3001,Расчет!$I$2:$I$3001,$K473,Расчет!$H$2:$H$3001,2))</f>
        <v/>
      </c>
      <c r="J473">
        <f>IF($L473="","",SUMIFS(Расчет!$G$2:$G$3001,Расчет!$I$2:$I$3001,$K473,Расчет!$H$2:$H$3001,3))</f>
        <v/>
      </c>
      <c r="K473">
        <f>IF($L473="","",INDEX(Расчет!$I$2:$I$3001,$L473))</f>
        <v/>
      </c>
      <c r="L473">
        <f>IFERROR(MATCH(ROW()-1,Расчет!$J$2:$J$3001,0),"")</f>
        <v/>
      </c>
    </row>
    <row r="474">
      <c r="A474">
        <f>IF($L474="","",B474&amp;"."&amp;C474&amp;"-"&amp;D474&amp;"-"&amp;H474&amp;"."&amp;I474&amp;"."&amp;J474)</f>
        <v/>
      </c>
      <c r="B474">
        <f>IF($L474="","",INDEX(Расчет!$A$2:$A$3001,$L474))</f>
        <v/>
      </c>
      <c r="C474">
        <f>IF($L474="","",INDEX(Расчет!$B$2:$B$3001,$L474))</f>
        <v/>
      </c>
      <c r="D474">
        <f>IF($L474="","",IF(ISNUMBER(FIND("(",INDEX(Расчет!$C$2:$C$3001,$L474))),SUBSTITUTE(MID(INDEX(Расчет!$C$2:$C$3001,$L474),FIND("(",INDEX(Расчет!$C$2:$C$3001,$L474))+1,99),")",""),INDEX(Расчет!$C$2:$C$3001,$L474)))</f>
        <v/>
      </c>
      <c r="E474">
        <f>IF($L474="","",INDEX(Расчет!$D$2:$D$3001,$L474))</f>
        <v/>
      </c>
      <c r="F474">
        <f>IF($L474="","",INDEX(Расчет!$E$2:$E$3001,$L474))</f>
        <v/>
      </c>
      <c r="G474">
        <f>IF($L474="","",IFERROR(--LEFT(INDEX(Расчет!$C$2:$C$3001,$L474),FIND("(",INDEX(Расчет!$C$2:$C$3001,$L474))-1),IFERROR(--LEFT(INDEX(Расчет!$C$2:$C$3001,$L474),1),"")))</f>
        <v/>
      </c>
      <c r="H474">
        <f>IF($L474="","",SUMIFS(Расчет!$G$2:$G$3001,Расчет!$I$2:$I$3001,$K474,Расчет!$H$2:$H$3001,1))</f>
        <v/>
      </c>
      <c r="I474">
        <f>IF($L474="","",SUMIFS(Расчет!$G$2:$G$3001,Расчет!$I$2:$I$3001,$K474,Расчет!$H$2:$H$3001,2))</f>
        <v/>
      </c>
      <c r="J474">
        <f>IF($L474="","",SUMIFS(Расчет!$G$2:$G$3001,Расчет!$I$2:$I$3001,$K474,Расчет!$H$2:$H$3001,3))</f>
        <v/>
      </c>
      <c r="K474">
        <f>IF($L474="","",INDEX(Расчет!$I$2:$I$3001,$L474))</f>
        <v/>
      </c>
      <c r="L474">
        <f>IFERROR(MATCH(ROW()-1,Расчет!$J$2:$J$3001,0),"")</f>
        <v/>
      </c>
    </row>
    <row r="475">
      <c r="A475">
        <f>IF($L475="","",B475&amp;"."&amp;C475&amp;"-"&amp;D475&amp;"-"&amp;H475&amp;"."&amp;I475&amp;"."&amp;J475)</f>
        <v/>
      </c>
      <c r="B475">
        <f>IF($L475="","",INDEX(Расчет!$A$2:$A$3001,$L475))</f>
        <v/>
      </c>
      <c r="C475">
        <f>IF($L475="","",INDEX(Расчет!$B$2:$B$3001,$L475))</f>
        <v/>
      </c>
      <c r="D475">
        <f>IF($L475="","",IF(ISNUMBER(FIND("(",INDEX(Расчет!$C$2:$C$3001,$L475))),SUBSTITUTE(MID(INDEX(Расчет!$C$2:$C$3001,$L475),FIND("(",INDEX(Расчет!$C$2:$C$3001,$L475))+1,99),")",""),INDEX(Расчет!$C$2:$C$3001,$L475)))</f>
        <v/>
      </c>
      <c r="E475">
        <f>IF($L475="","",INDEX(Расчет!$D$2:$D$3001,$L475))</f>
        <v/>
      </c>
      <c r="F475">
        <f>IF($L475="","",INDEX(Расчет!$E$2:$E$3001,$L475))</f>
        <v/>
      </c>
      <c r="G475">
        <f>IF($L475="","",IFERROR(--LEFT(INDEX(Расчет!$C$2:$C$3001,$L475),FIND("(",INDEX(Расчет!$C$2:$C$3001,$L475))-1),IFERROR(--LEFT(INDEX(Расчет!$C$2:$C$3001,$L475),1),"")))</f>
        <v/>
      </c>
      <c r="H475">
        <f>IF($L475="","",SUMIFS(Расчет!$G$2:$G$3001,Расчет!$I$2:$I$3001,$K475,Расчет!$H$2:$H$3001,1))</f>
        <v/>
      </c>
      <c r="I475">
        <f>IF($L475="","",SUMIFS(Расчет!$G$2:$G$3001,Расчет!$I$2:$I$3001,$K475,Расчет!$H$2:$H$3001,2))</f>
        <v/>
      </c>
      <c r="J475">
        <f>IF($L475="","",SUMIFS(Расчет!$G$2:$G$3001,Расчет!$I$2:$I$3001,$K475,Расчет!$H$2:$H$3001,3))</f>
        <v/>
      </c>
      <c r="K475">
        <f>IF($L475="","",INDEX(Расчет!$I$2:$I$3001,$L475))</f>
        <v/>
      </c>
      <c r="L475">
        <f>IFERROR(MATCH(ROW()-1,Расчет!$J$2:$J$3001,0),"")</f>
        <v/>
      </c>
    </row>
    <row r="476">
      <c r="A476">
        <f>IF($L476="","",B476&amp;"."&amp;C476&amp;"-"&amp;D476&amp;"-"&amp;H476&amp;"."&amp;I476&amp;"."&amp;J476)</f>
        <v/>
      </c>
      <c r="B476">
        <f>IF($L476="","",INDEX(Расчет!$A$2:$A$3001,$L476))</f>
        <v/>
      </c>
      <c r="C476">
        <f>IF($L476="","",INDEX(Расчет!$B$2:$B$3001,$L476))</f>
        <v/>
      </c>
      <c r="D476">
        <f>IF($L476="","",IF(ISNUMBER(FIND("(",INDEX(Расчет!$C$2:$C$3001,$L476))),SUBSTITUTE(MID(INDEX(Расчет!$C$2:$C$3001,$L476),FIND("(",INDEX(Расчет!$C$2:$C$3001,$L476))+1,99),")",""),INDEX(Расчет!$C$2:$C$3001,$L476)))</f>
        <v/>
      </c>
      <c r="E476">
        <f>IF($L476="","",INDEX(Расчет!$D$2:$D$3001,$L476))</f>
        <v/>
      </c>
      <c r="F476">
        <f>IF($L476="","",INDEX(Расчет!$E$2:$E$3001,$L476))</f>
        <v/>
      </c>
      <c r="G476">
        <f>IF($L476="","",IFERROR(--LEFT(INDEX(Расчет!$C$2:$C$3001,$L476),FIND("(",INDEX(Расчет!$C$2:$C$3001,$L476))-1),IFERROR(--LEFT(INDEX(Расчет!$C$2:$C$3001,$L476),1),"")))</f>
        <v/>
      </c>
      <c r="H476">
        <f>IF($L476="","",SUMIFS(Расчет!$G$2:$G$3001,Расчет!$I$2:$I$3001,$K476,Расчет!$H$2:$H$3001,1))</f>
        <v/>
      </c>
      <c r="I476">
        <f>IF($L476="","",SUMIFS(Расчет!$G$2:$G$3001,Расчет!$I$2:$I$3001,$K476,Расчет!$H$2:$H$3001,2))</f>
        <v/>
      </c>
      <c r="J476">
        <f>IF($L476="","",SUMIFS(Расчет!$G$2:$G$3001,Расчет!$I$2:$I$3001,$K476,Расчет!$H$2:$H$3001,3))</f>
        <v/>
      </c>
      <c r="K476">
        <f>IF($L476="","",INDEX(Расчет!$I$2:$I$3001,$L476))</f>
        <v/>
      </c>
      <c r="L476">
        <f>IFERROR(MATCH(ROW()-1,Расчет!$J$2:$J$3001,0),"")</f>
        <v/>
      </c>
    </row>
    <row r="477">
      <c r="A477">
        <f>IF($L477="","",B477&amp;"."&amp;C477&amp;"-"&amp;D477&amp;"-"&amp;H477&amp;"."&amp;I477&amp;"."&amp;J477)</f>
        <v/>
      </c>
      <c r="B477">
        <f>IF($L477="","",INDEX(Расчет!$A$2:$A$3001,$L477))</f>
        <v/>
      </c>
      <c r="C477">
        <f>IF($L477="","",INDEX(Расчет!$B$2:$B$3001,$L477))</f>
        <v/>
      </c>
      <c r="D477">
        <f>IF($L477="","",IF(ISNUMBER(FIND("(",INDEX(Расчет!$C$2:$C$3001,$L477))),SUBSTITUTE(MID(INDEX(Расчет!$C$2:$C$3001,$L477),FIND("(",INDEX(Расчет!$C$2:$C$3001,$L477))+1,99),")",""),INDEX(Расчет!$C$2:$C$3001,$L477)))</f>
        <v/>
      </c>
      <c r="E477">
        <f>IF($L477="","",INDEX(Расчет!$D$2:$D$3001,$L477))</f>
        <v/>
      </c>
      <c r="F477">
        <f>IF($L477="","",INDEX(Расчет!$E$2:$E$3001,$L477))</f>
        <v/>
      </c>
      <c r="G477">
        <f>IF($L477="","",IFERROR(--LEFT(INDEX(Расчет!$C$2:$C$3001,$L477),FIND("(",INDEX(Расчет!$C$2:$C$3001,$L477))-1),IFERROR(--LEFT(INDEX(Расчет!$C$2:$C$3001,$L477),1),"")))</f>
        <v/>
      </c>
      <c r="H477">
        <f>IF($L477="","",SUMIFS(Расчет!$G$2:$G$3001,Расчет!$I$2:$I$3001,$K477,Расчет!$H$2:$H$3001,1))</f>
        <v/>
      </c>
      <c r="I477">
        <f>IF($L477="","",SUMIFS(Расчет!$G$2:$G$3001,Расчет!$I$2:$I$3001,$K477,Расчет!$H$2:$H$3001,2))</f>
        <v/>
      </c>
      <c r="J477">
        <f>IF($L477="","",SUMIFS(Расчет!$G$2:$G$3001,Расчет!$I$2:$I$3001,$K477,Расчет!$H$2:$H$3001,3))</f>
        <v/>
      </c>
      <c r="K477">
        <f>IF($L477="","",INDEX(Расчет!$I$2:$I$3001,$L477))</f>
        <v/>
      </c>
      <c r="L477">
        <f>IFERROR(MATCH(ROW()-1,Расчет!$J$2:$J$3001,0),"")</f>
        <v/>
      </c>
    </row>
    <row r="478">
      <c r="A478">
        <f>IF($L478="","",B478&amp;"."&amp;C478&amp;"-"&amp;D478&amp;"-"&amp;H478&amp;"."&amp;I478&amp;"."&amp;J478)</f>
        <v/>
      </c>
      <c r="B478">
        <f>IF($L478="","",INDEX(Расчет!$A$2:$A$3001,$L478))</f>
        <v/>
      </c>
      <c r="C478">
        <f>IF($L478="","",INDEX(Расчет!$B$2:$B$3001,$L478))</f>
        <v/>
      </c>
      <c r="D478">
        <f>IF($L478="","",IF(ISNUMBER(FIND("(",INDEX(Расчет!$C$2:$C$3001,$L478))),SUBSTITUTE(MID(INDEX(Расчет!$C$2:$C$3001,$L478),FIND("(",INDEX(Расчет!$C$2:$C$3001,$L478))+1,99),")",""),INDEX(Расчет!$C$2:$C$3001,$L478)))</f>
        <v/>
      </c>
      <c r="E478">
        <f>IF($L478="","",INDEX(Расчет!$D$2:$D$3001,$L478))</f>
        <v/>
      </c>
      <c r="F478">
        <f>IF($L478="","",INDEX(Расчет!$E$2:$E$3001,$L478))</f>
        <v/>
      </c>
      <c r="G478">
        <f>IF($L478="","",IFERROR(--LEFT(INDEX(Расчет!$C$2:$C$3001,$L478),FIND("(",INDEX(Расчет!$C$2:$C$3001,$L478))-1),IFERROR(--LEFT(INDEX(Расчет!$C$2:$C$3001,$L478),1),"")))</f>
        <v/>
      </c>
      <c r="H478">
        <f>IF($L478="","",SUMIFS(Расчет!$G$2:$G$3001,Расчет!$I$2:$I$3001,$K478,Расчет!$H$2:$H$3001,1))</f>
        <v/>
      </c>
      <c r="I478">
        <f>IF($L478="","",SUMIFS(Расчет!$G$2:$G$3001,Расчет!$I$2:$I$3001,$K478,Расчет!$H$2:$H$3001,2))</f>
        <v/>
      </c>
      <c r="J478">
        <f>IF($L478="","",SUMIFS(Расчет!$G$2:$G$3001,Расчет!$I$2:$I$3001,$K478,Расчет!$H$2:$H$3001,3))</f>
        <v/>
      </c>
      <c r="K478">
        <f>IF($L478="","",INDEX(Расчет!$I$2:$I$3001,$L478))</f>
        <v/>
      </c>
      <c r="L478">
        <f>IFERROR(MATCH(ROW()-1,Расчет!$J$2:$J$3001,0),"")</f>
        <v/>
      </c>
    </row>
    <row r="479">
      <c r="A479">
        <f>IF($L479="","",B479&amp;"."&amp;C479&amp;"-"&amp;D479&amp;"-"&amp;H479&amp;"."&amp;I479&amp;"."&amp;J479)</f>
        <v/>
      </c>
      <c r="B479">
        <f>IF($L479="","",INDEX(Расчет!$A$2:$A$3001,$L479))</f>
        <v/>
      </c>
      <c r="C479">
        <f>IF($L479="","",INDEX(Расчет!$B$2:$B$3001,$L479))</f>
        <v/>
      </c>
      <c r="D479">
        <f>IF($L479="","",IF(ISNUMBER(FIND("(",INDEX(Расчет!$C$2:$C$3001,$L479))),SUBSTITUTE(MID(INDEX(Расчет!$C$2:$C$3001,$L479),FIND("(",INDEX(Расчет!$C$2:$C$3001,$L479))+1,99),")",""),INDEX(Расчет!$C$2:$C$3001,$L479)))</f>
        <v/>
      </c>
      <c r="E479">
        <f>IF($L479="","",INDEX(Расчет!$D$2:$D$3001,$L479))</f>
        <v/>
      </c>
      <c r="F479">
        <f>IF($L479="","",INDEX(Расчет!$E$2:$E$3001,$L479))</f>
        <v/>
      </c>
      <c r="G479">
        <f>IF($L479="","",IFERROR(--LEFT(INDEX(Расчет!$C$2:$C$3001,$L479),FIND("(",INDEX(Расчет!$C$2:$C$3001,$L479))-1),IFERROR(--LEFT(INDEX(Расчет!$C$2:$C$3001,$L479),1),"")))</f>
        <v/>
      </c>
      <c r="H479">
        <f>IF($L479="","",SUMIFS(Расчет!$G$2:$G$3001,Расчет!$I$2:$I$3001,$K479,Расчет!$H$2:$H$3001,1))</f>
        <v/>
      </c>
      <c r="I479">
        <f>IF($L479="","",SUMIFS(Расчет!$G$2:$G$3001,Расчет!$I$2:$I$3001,$K479,Расчет!$H$2:$H$3001,2))</f>
        <v/>
      </c>
      <c r="J479">
        <f>IF($L479="","",SUMIFS(Расчет!$G$2:$G$3001,Расчет!$I$2:$I$3001,$K479,Расчет!$H$2:$H$3001,3))</f>
        <v/>
      </c>
      <c r="K479">
        <f>IF($L479="","",INDEX(Расчет!$I$2:$I$3001,$L479))</f>
        <v/>
      </c>
      <c r="L479">
        <f>IFERROR(MATCH(ROW()-1,Расчет!$J$2:$J$3001,0),"")</f>
        <v/>
      </c>
    </row>
    <row r="480">
      <c r="A480">
        <f>IF($L480="","",B480&amp;"."&amp;C480&amp;"-"&amp;D480&amp;"-"&amp;H480&amp;"."&amp;I480&amp;"."&amp;J480)</f>
        <v/>
      </c>
      <c r="B480">
        <f>IF($L480="","",INDEX(Расчет!$A$2:$A$3001,$L480))</f>
        <v/>
      </c>
      <c r="C480">
        <f>IF($L480="","",INDEX(Расчет!$B$2:$B$3001,$L480))</f>
        <v/>
      </c>
      <c r="D480">
        <f>IF($L480="","",IF(ISNUMBER(FIND("(",INDEX(Расчет!$C$2:$C$3001,$L480))),SUBSTITUTE(MID(INDEX(Расчет!$C$2:$C$3001,$L480),FIND("(",INDEX(Расчет!$C$2:$C$3001,$L480))+1,99),")",""),INDEX(Расчет!$C$2:$C$3001,$L480)))</f>
        <v/>
      </c>
      <c r="E480">
        <f>IF($L480="","",INDEX(Расчет!$D$2:$D$3001,$L480))</f>
        <v/>
      </c>
      <c r="F480">
        <f>IF($L480="","",INDEX(Расчет!$E$2:$E$3001,$L480))</f>
        <v/>
      </c>
      <c r="G480">
        <f>IF($L480="","",IFERROR(--LEFT(INDEX(Расчет!$C$2:$C$3001,$L480),FIND("(",INDEX(Расчет!$C$2:$C$3001,$L480))-1),IFERROR(--LEFT(INDEX(Расчет!$C$2:$C$3001,$L480),1),"")))</f>
        <v/>
      </c>
      <c r="H480">
        <f>IF($L480="","",SUMIFS(Расчет!$G$2:$G$3001,Расчет!$I$2:$I$3001,$K480,Расчет!$H$2:$H$3001,1))</f>
        <v/>
      </c>
      <c r="I480">
        <f>IF($L480="","",SUMIFS(Расчет!$G$2:$G$3001,Расчет!$I$2:$I$3001,$K480,Расчет!$H$2:$H$3001,2))</f>
        <v/>
      </c>
      <c r="J480">
        <f>IF($L480="","",SUMIFS(Расчет!$G$2:$G$3001,Расчет!$I$2:$I$3001,$K480,Расчет!$H$2:$H$3001,3))</f>
        <v/>
      </c>
      <c r="K480">
        <f>IF($L480="","",INDEX(Расчет!$I$2:$I$3001,$L480))</f>
        <v/>
      </c>
      <c r="L480">
        <f>IFERROR(MATCH(ROW()-1,Расчет!$J$2:$J$3001,0),"")</f>
        <v/>
      </c>
    </row>
    <row r="481">
      <c r="A481">
        <f>IF($L481="","",B481&amp;"."&amp;C481&amp;"-"&amp;D481&amp;"-"&amp;H481&amp;"."&amp;I481&amp;"."&amp;J481)</f>
        <v/>
      </c>
      <c r="B481">
        <f>IF($L481="","",INDEX(Расчет!$A$2:$A$3001,$L481))</f>
        <v/>
      </c>
      <c r="C481">
        <f>IF($L481="","",INDEX(Расчет!$B$2:$B$3001,$L481))</f>
        <v/>
      </c>
      <c r="D481">
        <f>IF($L481="","",IF(ISNUMBER(FIND("(",INDEX(Расчет!$C$2:$C$3001,$L481))),SUBSTITUTE(MID(INDEX(Расчет!$C$2:$C$3001,$L481),FIND("(",INDEX(Расчет!$C$2:$C$3001,$L481))+1,99),")",""),INDEX(Расчет!$C$2:$C$3001,$L481)))</f>
        <v/>
      </c>
      <c r="E481">
        <f>IF($L481="","",INDEX(Расчет!$D$2:$D$3001,$L481))</f>
        <v/>
      </c>
      <c r="F481">
        <f>IF($L481="","",INDEX(Расчет!$E$2:$E$3001,$L481))</f>
        <v/>
      </c>
      <c r="G481">
        <f>IF($L481="","",IFERROR(--LEFT(INDEX(Расчет!$C$2:$C$3001,$L481),FIND("(",INDEX(Расчет!$C$2:$C$3001,$L481))-1),IFERROR(--LEFT(INDEX(Расчет!$C$2:$C$3001,$L481),1),"")))</f>
        <v/>
      </c>
      <c r="H481">
        <f>IF($L481="","",SUMIFS(Расчет!$G$2:$G$3001,Расчет!$I$2:$I$3001,$K481,Расчет!$H$2:$H$3001,1))</f>
        <v/>
      </c>
      <c r="I481">
        <f>IF($L481="","",SUMIFS(Расчет!$G$2:$G$3001,Расчет!$I$2:$I$3001,$K481,Расчет!$H$2:$H$3001,2))</f>
        <v/>
      </c>
      <c r="J481">
        <f>IF($L481="","",SUMIFS(Расчет!$G$2:$G$3001,Расчет!$I$2:$I$3001,$K481,Расчет!$H$2:$H$3001,3))</f>
        <v/>
      </c>
      <c r="K481">
        <f>IF($L481="","",INDEX(Расчет!$I$2:$I$3001,$L481))</f>
        <v/>
      </c>
      <c r="L481">
        <f>IFERROR(MATCH(ROW()-1,Расчет!$J$2:$J$3001,0),"")</f>
        <v/>
      </c>
    </row>
    <row r="482">
      <c r="A482">
        <f>IF($L482="","",B482&amp;"."&amp;C482&amp;"-"&amp;D482&amp;"-"&amp;H482&amp;"."&amp;I482&amp;"."&amp;J482)</f>
        <v/>
      </c>
      <c r="B482">
        <f>IF($L482="","",INDEX(Расчет!$A$2:$A$3001,$L482))</f>
        <v/>
      </c>
      <c r="C482">
        <f>IF($L482="","",INDEX(Расчет!$B$2:$B$3001,$L482))</f>
        <v/>
      </c>
      <c r="D482">
        <f>IF($L482="","",IF(ISNUMBER(FIND("(",INDEX(Расчет!$C$2:$C$3001,$L482))),SUBSTITUTE(MID(INDEX(Расчет!$C$2:$C$3001,$L482),FIND("(",INDEX(Расчет!$C$2:$C$3001,$L482))+1,99),")",""),INDEX(Расчет!$C$2:$C$3001,$L482)))</f>
        <v/>
      </c>
      <c r="E482">
        <f>IF($L482="","",INDEX(Расчет!$D$2:$D$3001,$L482))</f>
        <v/>
      </c>
      <c r="F482">
        <f>IF($L482="","",INDEX(Расчет!$E$2:$E$3001,$L482))</f>
        <v/>
      </c>
      <c r="G482">
        <f>IF($L482="","",IFERROR(--LEFT(INDEX(Расчет!$C$2:$C$3001,$L482),FIND("(",INDEX(Расчет!$C$2:$C$3001,$L482))-1),IFERROR(--LEFT(INDEX(Расчет!$C$2:$C$3001,$L482),1),"")))</f>
        <v/>
      </c>
      <c r="H482">
        <f>IF($L482="","",SUMIFS(Расчет!$G$2:$G$3001,Расчет!$I$2:$I$3001,$K482,Расчет!$H$2:$H$3001,1))</f>
        <v/>
      </c>
      <c r="I482">
        <f>IF($L482="","",SUMIFS(Расчет!$G$2:$G$3001,Расчет!$I$2:$I$3001,$K482,Расчет!$H$2:$H$3001,2))</f>
        <v/>
      </c>
      <c r="J482">
        <f>IF($L482="","",SUMIFS(Расчет!$G$2:$G$3001,Расчет!$I$2:$I$3001,$K482,Расчет!$H$2:$H$3001,3))</f>
        <v/>
      </c>
      <c r="K482">
        <f>IF($L482="","",INDEX(Расчет!$I$2:$I$3001,$L482))</f>
        <v/>
      </c>
      <c r="L482">
        <f>IFERROR(MATCH(ROW()-1,Расчет!$J$2:$J$3001,0),"")</f>
        <v/>
      </c>
    </row>
    <row r="483">
      <c r="A483">
        <f>IF($L483="","",B483&amp;"."&amp;C483&amp;"-"&amp;D483&amp;"-"&amp;H483&amp;"."&amp;I483&amp;"."&amp;J483)</f>
        <v/>
      </c>
      <c r="B483">
        <f>IF($L483="","",INDEX(Расчет!$A$2:$A$3001,$L483))</f>
        <v/>
      </c>
      <c r="C483">
        <f>IF($L483="","",INDEX(Расчет!$B$2:$B$3001,$L483))</f>
        <v/>
      </c>
      <c r="D483">
        <f>IF($L483="","",IF(ISNUMBER(FIND("(",INDEX(Расчет!$C$2:$C$3001,$L483))),SUBSTITUTE(MID(INDEX(Расчет!$C$2:$C$3001,$L483),FIND("(",INDEX(Расчет!$C$2:$C$3001,$L483))+1,99),")",""),INDEX(Расчет!$C$2:$C$3001,$L483)))</f>
        <v/>
      </c>
      <c r="E483">
        <f>IF($L483="","",INDEX(Расчет!$D$2:$D$3001,$L483))</f>
        <v/>
      </c>
      <c r="F483">
        <f>IF($L483="","",INDEX(Расчет!$E$2:$E$3001,$L483))</f>
        <v/>
      </c>
      <c r="G483">
        <f>IF($L483="","",IFERROR(--LEFT(INDEX(Расчет!$C$2:$C$3001,$L483),FIND("(",INDEX(Расчет!$C$2:$C$3001,$L483))-1),IFERROR(--LEFT(INDEX(Расчет!$C$2:$C$3001,$L483),1),"")))</f>
        <v/>
      </c>
      <c r="H483">
        <f>IF($L483="","",SUMIFS(Расчет!$G$2:$G$3001,Расчет!$I$2:$I$3001,$K483,Расчет!$H$2:$H$3001,1))</f>
        <v/>
      </c>
      <c r="I483">
        <f>IF($L483="","",SUMIFS(Расчет!$G$2:$G$3001,Расчет!$I$2:$I$3001,$K483,Расчет!$H$2:$H$3001,2))</f>
        <v/>
      </c>
      <c r="J483">
        <f>IF($L483="","",SUMIFS(Расчет!$G$2:$G$3001,Расчет!$I$2:$I$3001,$K483,Расчет!$H$2:$H$3001,3))</f>
        <v/>
      </c>
      <c r="K483">
        <f>IF($L483="","",INDEX(Расчет!$I$2:$I$3001,$L483))</f>
        <v/>
      </c>
      <c r="L483">
        <f>IFERROR(MATCH(ROW()-1,Расчет!$J$2:$J$3001,0),"")</f>
        <v/>
      </c>
    </row>
    <row r="484">
      <c r="A484">
        <f>IF($L484="","",B484&amp;"."&amp;C484&amp;"-"&amp;D484&amp;"-"&amp;H484&amp;"."&amp;I484&amp;"."&amp;J484)</f>
        <v/>
      </c>
      <c r="B484">
        <f>IF($L484="","",INDEX(Расчет!$A$2:$A$3001,$L484))</f>
        <v/>
      </c>
      <c r="C484">
        <f>IF($L484="","",INDEX(Расчет!$B$2:$B$3001,$L484))</f>
        <v/>
      </c>
      <c r="D484">
        <f>IF($L484="","",IF(ISNUMBER(FIND("(",INDEX(Расчет!$C$2:$C$3001,$L484))),SUBSTITUTE(MID(INDEX(Расчет!$C$2:$C$3001,$L484),FIND("(",INDEX(Расчет!$C$2:$C$3001,$L484))+1,99),")",""),INDEX(Расчет!$C$2:$C$3001,$L484)))</f>
        <v/>
      </c>
      <c r="E484">
        <f>IF($L484="","",INDEX(Расчет!$D$2:$D$3001,$L484))</f>
        <v/>
      </c>
      <c r="F484">
        <f>IF($L484="","",INDEX(Расчет!$E$2:$E$3001,$L484))</f>
        <v/>
      </c>
      <c r="G484">
        <f>IF($L484="","",IFERROR(--LEFT(INDEX(Расчет!$C$2:$C$3001,$L484),FIND("(",INDEX(Расчет!$C$2:$C$3001,$L484))-1),IFERROR(--LEFT(INDEX(Расчет!$C$2:$C$3001,$L484),1),"")))</f>
        <v/>
      </c>
      <c r="H484">
        <f>IF($L484="","",SUMIFS(Расчет!$G$2:$G$3001,Расчет!$I$2:$I$3001,$K484,Расчет!$H$2:$H$3001,1))</f>
        <v/>
      </c>
      <c r="I484">
        <f>IF($L484="","",SUMIFS(Расчет!$G$2:$G$3001,Расчет!$I$2:$I$3001,$K484,Расчет!$H$2:$H$3001,2))</f>
        <v/>
      </c>
      <c r="J484">
        <f>IF($L484="","",SUMIFS(Расчет!$G$2:$G$3001,Расчет!$I$2:$I$3001,$K484,Расчет!$H$2:$H$3001,3))</f>
        <v/>
      </c>
      <c r="K484">
        <f>IF($L484="","",INDEX(Расчет!$I$2:$I$3001,$L484))</f>
        <v/>
      </c>
      <c r="L484">
        <f>IFERROR(MATCH(ROW()-1,Расчет!$J$2:$J$3001,0),"")</f>
        <v/>
      </c>
    </row>
    <row r="485">
      <c r="A485">
        <f>IF($L485="","",B485&amp;"."&amp;C485&amp;"-"&amp;D485&amp;"-"&amp;H485&amp;"."&amp;I485&amp;"."&amp;J485)</f>
        <v/>
      </c>
      <c r="B485">
        <f>IF($L485="","",INDEX(Расчет!$A$2:$A$3001,$L485))</f>
        <v/>
      </c>
      <c r="C485">
        <f>IF($L485="","",INDEX(Расчет!$B$2:$B$3001,$L485))</f>
        <v/>
      </c>
      <c r="D485">
        <f>IF($L485="","",IF(ISNUMBER(FIND("(",INDEX(Расчет!$C$2:$C$3001,$L485))),SUBSTITUTE(MID(INDEX(Расчет!$C$2:$C$3001,$L485),FIND("(",INDEX(Расчет!$C$2:$C$3001,$L485))+1,99),")",""),INDEX(Расчет!$C$2:$C$3001,$L485)))</f>
        <v/>
      </c>
      <c r="E485">
        <f>IF($L485="","",INDEX(Расчет!$D$2:$D$3001,$L485))</f>
        <v/>
      </c>
      <c r="F485">
        <f>IF($L485="","",INDEX(Расчет!$E$2:$E$3001,$L485))</f>
        <v/>
      </c>
      <c r="G485">
        <f>IF($L485="","",IFERROR(--LEFT(INDEX(Расчет!$C$2:$C$3001,$L485),FIND("(",INDEX(Расчет!$C$2:$C$3001,$L485))-1),IFERROR(--LEFT(INDEX(Расчет!$C$2:$C$3001,$L485),1),"")))</f>
        <v/>
      </c>
      <c r="H485">
        <f>IF($L485="","",SUMIFS(Расчет!$G$2:$G$3001,Расчет!$I$2:$I$3001,$K485,Расчет!$H$2:$H$3001,1))</f>
        <v/>
      </c>
      <c r="I485">
        <f>IF($L485="","",SUMIFS(Расчет!$G$2:$G$3001,Расчет!$I$2:$I$3001,$K485,Расчет!$H$2:$H$3001,2))</f>
        <v/>
      </c>
      <c r="J485">
        <f>IF($L485="","",SUMIFS(Расчет!$G$2:$G$3001,Расчет!$I$2:$I$3001,$K485,Расчет!$H$2:$H$3001,3))</f>
        <v/>
      </c>
      <c r="K485">
        <f>IF($L485="","",INDEX(Расчет!$I$2:$I$3001,$L485))</f>
        <v/>
      </c>
      <c r="L485">
        <f>IFERROR(MATCH(ROW()-1,Расчет!$J$2:$J$3001,0),"")</f>
        <v/>
      </c>
    </row>
    <row r="486">
      <c r="A486">
        <f>IF($L486="","",B486&amp;"."&amp;C486&amp;"-"&amp;D486&amp;"-"&amp;H486&amp;"."&amp;I486&amp;"."&amp;J486)</f>
        <v/>
      </c>
      <c r="B486">
        <f>IF($L486="","",INDEX(Расчет!$A$2:$A$3001,$L486))</f>
        <v/>
      </c>
      <c r="C486">
        <f>IF($L486="","",INDEX(Расчет!$B$2:$B$3001,$L486))</f>
        <v/>
      </c>
      <c r="D486">
        <f>IF($L486="","",IF(ISNUMBER(FIND("(",INDEX(Расчет!$C$2:$C$3001,$L486))),SUBSTITUTE(MID(INDEX(Расчет!$C$2:$C$3001,$L486),FIND("(",INDEX(Расчет!$C$2:$C$3001,$L486))+1,99),")",""),INDEX(Расчет!$C$2:$C$3001,$L486)))</f>
        <v/>
      </c>
      <c r="E486">
        <f>IF($L486="","",INDEX(Расчет!$D$2:$D$3001,$L486))</f>
        <v/>
      </c>
      <c r="F486">
        <f>IF($L486="","",INDEX(Расчет!$E$2:$E$3001,$L486))</f>
        <v/>
      </c>
      <c r="G486">
        <f>IF($L486="","",IFERROR(--LEFT(INDEX(Расчет!$C$2:$C$3001,$L486),FIND("(",INDEX(Расчет!$C$2:$C$3001,$L486))-1),IFERROR(--LEFT(INDEX(Расчет!$C$2:$C$3001,$L486),1),"")))</f>
        <v/>
      </c>
      <c r="H486">
        <f>IF($L486="","",SUMIFS(Расчет!$G$2:$G$3001,Расчет!$I$2:$I$3001,$K486,Расчет!$H$2:$H$3001,1))</f>
        <v/>
      </c>
      <c r="I486">
        <f>IF($L486="","",SUMIFS(Расчет!$G$2:$G$3001,Расчет!$I$2:$I$3001,$K486,Расчет!$H$2:$H$3001,2))</f>
        <v/>
      </c>
      <c r="J486">
        <f>IF($L486="","",SUMIFS(Расчет!$G$2:$G$3001,Расчет!$I$2:$I$3001,$K486,Расчет!$H$2:$H$3001,3))</f>
        <v/>
      </c>
      <c r="K486">
        <f>IF($L486="","",INDEX(Расчет!$I$2:$I$3001,$L486))</f>
        <v/>
      </c>
      <c r="L486">
        <f>IFERROR(MATCH(ROW()-1,Расчет!$J$2:$J$3001,0),"")</f>
        <v/>
      </c>
    </row>
    <row r="487">
      <c r="A487">
        <f>IF($L487="","",B487&amp;"."&amp;C487&amp;"-"&amp;D487&amp;"-"&amp;H487&amp;"."&amp;I487&amp;"."&amp;J487)</f>
        <v/>
      </c>
      <c r="B487">
        <f>IF($L487="","",INDEX(Расчет!$A$2:$A$3001,$L487))</f>
        <v/>
      </c>
      <c r="C487">
        <f>IF($L487="","",INDEX(Расчет!$B$2:$B$3001,$L487))</f>
        <v/>
      </c>
      <c r="D487">
        <f>IF($L487="","",IF(ISNUMBER(FIND("(",INDEX(Расчет!$C$2:$C$3001,$L487))),SUBSTITUTE(MID(INDEX(Расчет!$C$2:$C$3001,$L487),FIND("(",INDEX(Расчет!$C$2:$C$3001,$L487))+1,99),")",""),INDEX(Расчет!$C$2:$C$3001,$L487)))</f>
        <v/>
      </c>
      <c r="E487">
        <f>IF($L487="","",INDEX(Расчет!$D$2:$D$3001,$L487))</f>
        <v/>
      </c>
      <c r="F487">
        <f>IF($L487="","",INDEX(Расчет!$E$2:$E$3001,$L487))</f>
        <v/>
      </c>
      <c r="G487">
        <f>IF($L487="","",IFERROR(--LEFT(INDEX(Расчет!$C$2:$C$3001,$L487),FIND("(",INDEX(Расчет!$C$2:$C$3001,$L487))-1),IFERROR(--LEFT(INDEX(Расчет!$C$2:$C$3001,$L487),1),"")))</f>
        <v/>
      </c>
      <c r="H487">
        <f>IF($L487="","",SUMIFS(Расчет!$G$2:$G$3001,Расчет!$I$2:$I$3001,$K487,Расчет!$H$2:$H$3001,1))</f>
        <v/>
      </c>
      <c r="I487">
        <f>IF($L487="","",SUMIFS(Расчет!$G$2:$G$3001,Расчет!$I$2:$I$3001,$K487,Расчет!$H$2:$H$3001,2))</f>
        <v/>
      </c>
      <c r="J487">
        <f>IF($L487="","",SUMIFS(Расчет!$G$2:$G$3001,Расчет!$I$2:$I$3001,$K487,Расчет!$H$2:$H$3001,3))</f>
        <v/>
      </c>
      <c r="K487">
        <f>IF($L487="","",INDEX(Расчет!$I$2:$I$3001,$L487))</f>
        <v/>
      </c>
      <c r="L487">
        <f>IFERROR(MATCH(ROW()-1,Расчет!$J$2:$J$3001,0),"")</f>
        <v/>
      </c>
    </row>
    <row r="488">
      <c r="A488">
        <f>IF($L488="","",B488&amp;"."&amp;C488&amp;"-"&amp;D488&amp;"-"&amp;H488&amp;"."&amp;I488&amp;"."&amp;J488)</f>
        <v/>
      </c>
      <c r="B488">
        <f>IF($L488="","",INDEX(Расчет!$A$2:$A$3001,$L488))</f>
        <v/>
      </c>
      <c r="C488">
        <f>IF($L488="","",INDEX(Расчет!$B$2:$B$3001,$L488))</f>
        <v/>
      </c>
      <c r="D488">
        <f>IF($L488="","",IF(ISNUMBER(FIND("(",INDEX(Расчет!$C$2:$C$3001,$L488))),SUBSTITUTE(MID(INDEX(Расчет!$C$2:$C$3001,$L488),FIND("(",INDEX(Расчет!$C$2:$C$3001,$L488))+1,99),")",""),INDEX(Расчет!$C$2:$C$3001,$L488)))</f>
        <v/>
      </c>
      <c r="E488">
        <f>IF($L488="","",INDEX(Расчет!$D$2:$D$3001,$L488))</f>
        <v/>
      </c>
      <c r="F488">
        <f>IF($L488="","",INDEX(Расчет!$E$2:$E$3001,$L488))</f>
        <v/>
      </c>
      <c r="G488">
        <f>IF($L488="","",IFERROR(--LEFT(INDEX(Расчет!$C$2:$C$3001,$L488),FIND("(",INDEX(Расчет!$C$2:$C$3001,$L488))-1),IFERROR(--LEFT(INDEX(Расчет!$C$2:$C$3001,$L488),1),"")))</f>
        <v/>
      </c>
      <c r="H488">
        <f>IF($L488="","",SUMIFS(Расчет!$G$2:$G$3001,Расчет!$I$2:$I$3001,$K488,Расчет!$H$2:$H$3001,1))</f>
        <v/>
      </c>
      <c r="I488">
        <f>IF($L488="","",SUMIFS(Расчет!$G$2:$G$3001,Расчет!$I$2:$I$3001,$K488,Расчет!$H$2:$H$3001,2))</f>
        <v/>
      </c>
      <c r="J488">
        <f>IF($L488="","",SUMIFS(Расчет!$G$2:$G$3001,Расчет!$I$2:$I$3001,$K488,Расчет!$H$2:$H$3001,3))</f>
        <v/>
      </c>
      <c r="K488">
        <f>IF($L488="","",INDEX(Расчет!$I$2:$I$3001,$L488))</f>
        <v/>
      </c>
      <c r="L488">
        <f>IFERROR(MATCH(ROW()-1,Расчет!$J$2:$J$3001,0),"")</f>
        <v/>
      </c>
    </row>
    <row r="489">
      <c r="A489">
        <f>IF($L489="","",B489&amp;"."&amp;C489&amp;"-"&amp;D489&amp;"-"&amp;H489&amp;"."&amp;I489&amp;"."&amp;J489)</f>
        <v/>
      </c>
      <c r="B489">
        <f>IF($L489="","",INDEX(Расчет!$A$2:$A$3001,$L489))</f>
        <v/>
      </c>
      <c r="C489">
        <f>IF($L489="","",INDEX(Расчет!$B$2:$B$3001,$L489))</f>
        <v/>
      </c>
      <c r="D489">
        <f>IF($L489="","",IF(ISNUMBER(FIND("(",INDEX(Расчет!$C$2:$C$3001,$L489))),SUBSTITUTE(MID(INDEX(Расчет!$C$2:$C$3001,$L489),FIND("(",INDEX(Расчет!$C$2:$C$3001,$L489))+1,99),")",""),INDEX(Расчет!$C$2:$C$3001,$L489)))</f>
        <v/>
      </c>
      <c r="E489">
        <f>IF($L489="","",INDEX(Расчет!$D$2:$D$3001,$L489))</f>
        <v/>
      </c>
      <c r="F489">
        <f>IF($L489="","",INDEX(Расчет!$E$2:$E$3001,$L489))</f>
        <v/>
      </c>
      <c r="G489">
        <f>IF($L489="","",IFERROR(--LEFT(INDEX(Расчет!$C$2:$C$3001,$L489),FIND("(",INDEX(Расчет!$C$2:$C$3001,$L489))-1),IFERROR(--LEFT(INDEX(Расчет!$C$2:$C$3001,$L489),1),"")))</f>
        <v/>
      </c>
      <c r="H489">
        <f>IF($L489="","",SUMIFS(Расчет!$G$2:$G$3001,Расчет!$I$2:$I$3001,$K489,Расчет!$H$2:$H$3001,1))</f>
        <v/>
      </c>
      <c r="I489">
        <f>IF($L489="","",SUMIFS(Расчет!$G$2:$G$3001,Расчет!$I$2:$I$3001,$K489,Расчет!$H$2:$H$3001,2))</f>
        <v/>
      </c>
      <c r="J489">
        <f>IF($L489="","",SUMIFS(Расчет!$G$2:$G$3001,Расчет!$I$2:$I$3001,$K489,Расчет!$H$2:$H$3001,3))</f>
        <v/>
      </c>
      <c r="K489">
        <f>IF($L489="","",INDEX(Расчет!$I$2:$I$3001,$L489))</f>
        <v/>
      </c>
      <c r="L489">
        <f>IFERROR(MATCH(ROW()-1,Расчет!$J$2:$J$3001,0),"")</f>
        <v/>
      </c>
    </row>
    <row r="490">
      <c r="A490">
        <f>IF($L490="","",B490&amp;"."&amp;C490&amp;"-"&amp;D490&amp;"-"&amp;H490&amp;"."&amp;I490&amp;"."&amp;J490)</f>
        <v/>
      </c>
      <c r="B490">
        <f>IF($L490="","",INDEX(Расчет!$A$2:$A$3001,$L490))</f>
        <v/>
      </c>
      <c r="C490">
        <f>IF($L490="","",INDEX(Расчет!$B$2:$B$3001,$L490))</f>
        <v/>
      </c>
      <c r="D490">
        <f>IF($L490="","",IF(ISNUMBER(FIND("(",INDEX(Расчет!$C$2:$C$3001,$L490))),SUBSTITUTE(MID(INDEX(Расчет!$C$2:$C$3001,$L490),FIND("(",INDEX(Расчет!$C$2:$C$3001,$L490))+1,99),")",""),INDEX(Расчет!$C$2:$C$3001,$L490)))</f>
        <v/>
      </c>
      <c r="E490">
        <f>IF($L490="","",INDEX(Расчет!$D$2:$D$3001,$L490))</f>
        <v/>
      </c>
      <c r="F490">
        <f>IF($L490="","",INDEX(Расчет!$E$2:$E$3001,$L490))</f>
        <v/>
      </c>
      <c r="G490">
        <f>IF($L490="","",IFERROR(--LEFT(INDEX(Расчет!$C$2:$C$3001,$L490),FIND("(",INDEX(Расчет!$C$2:$C$3001,$L490))-1),IFERROR(--LEFT(INDEX(Расчет!$C$2:$C$3001,$L490),1),"")))</f>
        <v/>
      </c>
      <c r="H490">
        <f>IF($L490="","",SUMIFS(Расчет!$G$2:$G$3001,Расчет!$I$2:$I$3001,$K490,Расчет!$H$2:$H$3001,1))</f>
        <v/>
      </c>
      <c r="I490">
        <f>IF($L490="","",SUMIFS(Расчет!$G$2:$G$3001,Расчет!$I$2:$I$3001,$K490,Расчет!$H$2:$H$3001,2))</f>
        <v/>
      </c>
      <c r="J490">
        <f>IF($L490="","",SUMIFS(Расчет!$G$2:$G$3001,Расчет!$I$2:$I$3001,$K490,Расчет!$H$2:$H$3001,3))</f>
        <v/>
      </c>
      <c r="K490">
        <f>IF($L490="","",INDEX(Расчет!$I$2:$I$3001,$L490))</f>
        <v/>
      </c>
      <c r="L490">
        <f>IFERROR(MATCH(ROW()-1,Расчет!$J$2:$J$3001,0),"")</f>
        <v/>
      </c>
    </row>
    <row r="491">
      <c r="A491">
        <f>IF($L491="","",B491&amp;"."&amp;C491&amp;"-"&amp;D491&amp;"-"&amp;H491&amp;"."&amp;I491&amp;"."&amp;J491)</f>
        <v/>
      </c>
      <c r="B491">
        <f>IF($L491="","",INDEX(Расчет!$A$2:$A$3001,$L491))</f>
        <v/>
      </c>
      <c r="C491">
        <f>IF($L491="","",INDEX(Расчет!$B$2:$B$3001,$L491))</f>
        <v/>
      </c>
      <c r="D491">
        <f>IF($L491="","",IF(ISNUMBER(FIND("(",INDEX(Расчет!$C$2:$C$3001,$L491))),SUBSTITUTE(MID(INDEX(Расчет!$C$2:$C$3001,$L491),FIND("(",INDEX(Расчет!$C$2:$C$3001,$L491))+1,99),")",""),INDEX(Расчет!$C$2:$C$3001,$L491)))</f>
        <v/>
      </c>
      <c r="E491">
        <f>IF($L491="","",INDEX(Расчет!$D$2:$D$3001,$L491))</f>
        <v/>
      </c>
      <c r="F491">
        <f>IF($L491="","",INDEX(Расчет!$E$2:$E$3001,$L491))</f>
        <v/>
      </c>
      <c r="G491">
        <f>IF($L491="","",IFERROR(--LEFT(INDEX(Расчет!$C$2:$C$3001,$L491),FIND("(",INDEX(Расчет!$C$2:$C$3001,$L491))-1),IFERROR(--LEFT(INDEX(Расчет!$C$2:$C$3001,$L491),1),"")))</f>
        <v/>
      </c>
      <c r="H491">
        <f>IF($L491="","",SUMIFS(Расчет!$G$2:$G$3001,Расчет!$I$2:$I$3001,$K491,Расчет!$H$2:$H$3001,1))</f>
        <v/>
      </c>
      <c r="I491">
        <f>IF($L491="","",SUMIFS(Расчет!$G$2:$G$3001,Расчет!$I$2:$I$3001,$K491,Расчет!$H$2:$H$3001,2))</f>
        <v/>
      </c>
      <c r="J491">
        <f>IF($L491="","",SUMIFS(Расчет!$G$2:$G$3001,Расчет!$I$2:$I$3001,$K491,Расчет!$H$2:$H$3001,3))</f>
        <v/>
      </c>
      <c r="K491">
        <f>IF($L491="","",INDEX(Расчет!$I$2:$I$3001,$L491))</f>
        <v/>
      </c>
      <c r="L491">
        <f>IFERROR(MATCH(ROW()-1,Расчет!$J$2:$J$3001,0),"")</f>
        <v/>
      </c>
    </row>
    <row r="492">
      <c r="A492">
        <f>IF($L492="","",B492&amp;"."&amp;C492&amp;"-"&amp;D492&amp;"-"&amp;H492&amp;"."&amp;I492&amp;"."&amp;J492)</f>
        <v/>
      </c>
      <c r="B492">
        <f>IF($L492="","",INDEX(Расчет!$A$2:$A$3001,$L492))</f>
        <v/>
      </c>
      <c r="C492">
        <f>IF($L492="","",INDEX(Расчет!$B$2:$B$3001,$L492))</f>
        <v/>
      </c>
      <c r="D492">
        <f>IF($L492="","",IF(ISNUMBER(FIND("(",INDEX(Расчет!$C$2:$C$3001,$L492))),SUBSTITUTE(MID(INDEX(Расчет!$C$2:$C$3001,$L492),FIND("(",INDEX(Расчет!$C$2:$C$3001,$L492))+1,99),")",""),INDEX(Расчет!$C$2:$C$3001,$L492)))</f>
        <v/>
      </c>
      <c r="E492">
        <f>IF($L492="","",INDEX(Расчет!$D$2:$D$3001,$L492))</f>
        <v/>
      </c>
      <c r="F492">
        <f>IF($L492="","",INDEX(Расчет!$E$2:$E$3001,$L492))</f>
        <v/>
      </c>
      <c r="G492">
        <f>IF($L492="","",IFERROR(--LEFT(INDEX(Расчет!$C$2:$C$3001,$L492),FIND("(",INDEX(Расчет!$C$2:$C$3001,$L492))-1),IFERROR(--LEFT(INDEX(Расчет!$C$2:$C$3001,$L492),1),"")))</f>
        <v/>
      </c>
      <c r="H492">
        <f>IF($L492="","",SUMIFS(Расчет!$G$2:$G$3001,Расчет!$I$2:$I$3001,$K492,Расчет!$H$2:$H$3001,1))</f>
        <v/>
      </c>
      <c r="I492">
        <f>IF($L492="","",SUMIFS(Расчет!$G$2:$G$3001,Расчет!$I$2:$I$3001,$K492,Расчет!$H$2:$H$3001,2))</f>
        <v/>
      </c>
      <c r="J492">
        <f>IF($L492="","",SUMIFS(Расчет!$G$2:$G$3001,Расчет!$I$2:$I$3001,$K492,Расчет!$H$2:$H$3001,3))</f>
        <v/>
      </c>
      <c r="K492">
        <f>IF($L492="","",INDEX(Расчет!$I$2:$I$3001,$L492))</f>
        <v/>
      </c>
      <c r="L492">
        <f>IFERROR(MATCH(ROW()-1,Расчет!$J$2:$J$3001,0),"")</f>
        <v/>
      </c>
    </row>
    <row r="493">
      <c r="A493">
        <f>IF($L493="","",B493&amp;"."&amp;C493&amp;"-"&amp;D493&amp;"-"&amp;H493&amp;"."&amp;I493&amp;"."&amp;J493)</f>
        <v/>
      </c>
      <c r="B493">
        <f>IF($L493="","",INDEX(Расчет!$A$2:$A$3001,$L493))</f>
        <v/>
      </c>
      <c r="C493">
        <f>IF($L493="","",INDEX(Расчет!$B$2:$B$3001,$L493))</f>
        <v/>
      </c>
      <c r="D493">
        <f>IF($L493="","",IF(ISNUMBER(FIND("(",INDEX(Расчет!$C$2:$C$3001,$L493))),SUBSTITUTE(MID(INDEX(Расчет!$C$2:$C$3001,$L493),FIND("(",INDEX(Расчет!$C$2:$C$3001,$L493))+1,99),")",""),INDEX(Расчет!$C$2:$C$3001,$L493)))</f>
        <v/>
      </c>
      <c r="E493">
        <f>IF($L493="","",INDEX(Расчет!$D$2:$D$3001,$L493))</f>
        <v/>
      </c>
      <c r="F493">
        <f>IF($L493="","",INDEX(Расчет!$E$2:$E$3001,$L493))</f>
        <v/>
      </c>
      <c r="G493">
        <f>IF($L493="","",IFERROR(--LEFT(INDEX(Расчет!$C$2:$C$3001,$L493),FIND("(",INDEX(Расчет!$C$2:$C$3001,$L493))-1),IFERROR(--LEFT(INDEX(Расчет!$C$2:$C$3001,$L493),1),"")))</f>
        <v/>
      </c>
      <c r="H493">
        <f>IF($L493="","",SUMIFS(Расчет!$G$2:$G$3001,Расчет!$I$2:$I$3001,$K493,Расчет!$H$2:$H$3001,1))</f>
        <v/>
      </c>
      <c r="I493">
        <f>IF($L493="","",SUMIFS(Расчет!$G$2:$G$3001,Расчет!$I$2:$I$3001,$K493,Расчет!$H$2:$H$3001,2))</f>
        <v/>
      </c>
      <c r="J493">
        <f>IF($L493="","",SUMIFS(Расчет!$G$2:$G$3001,Расчет!$I$2:$I$3001,$K493,Расчет!$H$2:$H$3001,3))</f>
        <v/>
      </c>
      <c r="K493">
        <f>IF($L493="","",INDEX(Расчет!$I$2:$I$3001,$L493))</f>
        <v/>
      </c>
      <c r="L493">
        <f>IFERROR(MATCH(ROW()-1,Расчет!$J$2:$J$3001,0),"")</f>
        <v/>
      </c>
    </row>
    <row r="494">
      <c r="A494">
        <f>IF($L494="","",B494&amp;"."&amp;C494&amp;"-"&amp;D494&amp;"-"&amp;H494&amp;"."&amp;I494&amp;"."&amp;J494)</f>
        <v/>
      </c>
      <c r="B494">
        <f>IF($L494="","",INDEX(Расчет!$A$2:$A$3001,$L494))</f>
        <v/>
      </c>
      <c r="C494">
        <f>IF($L494="","",INDEX(Расчет!$B$2:$B$3001,$L494))</f>
        <v/>
      </c>
      <c r="D494">
        <f>IF($L494="","",IF(ISNUMBER(FIND("(",INDEX(Расчет!$C$2:$C$3001,$L494))),SUBSTITUTE(MID(INDEX(Расчет!$C$2:$C$3001,$L494),FIND("(",INDEX(Расчет!$C$2:$C$3001,$L494))+1,99),")",""),INDEX(Расчет!$C$2:$C$3001,$L494)))</f>
        <v/>
      </c>
      <c r="E494">
        <f>IF($L494="","",INDEX(Расчет!$D$2:$D$3001,$L494))</f>
        <v/>
      </c>
      <c r="F494">
        <f>IF($L494="","",INDEX(Расчет!$E$2:$E$3001,$L494))</f>
        <v/>
      </c>
      <c r="G494">
        <f>IF($L494="","",IFERROR(--LEFT(INDEX(Расчет!$C$2:$C$3001,$L494),FIND("(",INDEX(Расчет!$C$2:$C$3001,$L494))-1),IFERROR(--LEFT(INDEX(Расчет!$C$2:$C$3001,$L494),1),"")))</f>
        <v/>
      </c>
      <c r="H494">
        <f>IF($L494="","",SUMIFS(Расчет!$G$2:$G$3001,Расчет!$I$2:$I$3001,$K494,Расчет!$H$2:$H$3001,1))</f>
        <v/>
      </c>
      <c r="I494">
        <f>IF($L494="","",SUMIFS(Расчет!$G$2:$G$3001,Расчет!$I$2:$I$3001,$K494,Расчет!$H$2:$H$3001,2))</f>
        <v/>
      </c>
      <c r="J494">
        <f>IF($L494="","",SUMIFS(Расчет!$G$2:$G$3001,Расчет!$I$2:$I$3001,$K494,Расчет!$H$2:$H$3001,3))</f>
        <v/>
      </c>
      <c r="K494">
        <f>IF($L494="","",INDEX(Расчет!$I$2:$I$3001,$L494))</f>
        <v/>
      </c>
      <c r="L494">
        <f>IFERROR(MATCH(ROW()-1,Расчет!$J$2:$J$3001,0),"")</f>
        <v/>
      </c>
    </row>
    <row r="495">
      <c r="A495">
        <f>IF($L495="","",B495&amp;"."&amp;C495&amp;"-"&amp;D495&amp;"-"&amp;H495&amp;"."&amp;I495&amp;"."&amp;J495)</f>
        <v/>
      </c>
      <c r="B495">
        <f>IF($L495="","",INDEX(Расчет!$A$2:$A$3001,$L495))</f>
        <v/>
      </c>
      <c r="C495">
        <f>IF($L495="","",INDEX(Расчет!$B$2:$B$3001,$L495))</f>
        <v/>
      </c>
      <c r="D495">
        <f>IF($L495="","",IF(ISNUMBER(FIND("(",INDEX(Расчет!$C$2:$C$3001,$L495))),SUBSTITUTE(MID(INDEX(Расчет!$C$2:$C$3001,$L495),FIND("(",INDEX(Расчет!$C$2:$C$3001,$L495))+1,99),")",""),INDEX(Расчет!$C$2:$C$3001,$L495)))</f>
        <v/>
      </c>
      <c r="E495">
        <f>IF($L495="","",INDEX(Расчет!$D$2:$D$3001,$L495))</f>
        <v/>
      </c>
      <c r="F495">
        <f>IF($L495="","",INDEX(Расчет!$E$2:$E$3001,$L495))</f>
        <v/>
      </c>
      <c r="G495">
        <f>IF($L495="","",IFERROR(--LEFT(INDEX(Расчет!$C$2:$C$3001,$L495),FIND("(",INDEX(Расчет!$C$2:$C$3001,$L495))-1),IFERROR(--LEFT(INDEX(Расчет!$C$2:$C$3001,$L495),1),"")))</f>
        <v/>
      </c>
      <c r="H495">
        <f>IF($L495="","",SUMIFS(Расчет!$G$2:$G$3001,Расчет!$I$2:$I$3001,$K495,Расчет!$H$2:$H$3001,1))</f>
        <v/>
      </c>
      <c r="I495">
        <f>IF($L495="","",SUMIFS(Расчет!$G$2:$G$3001,Расчет!$I$2:$I$3001,$K495,Расчет!$H$2:$H$3001,2))</f>
        <v/>
      </c>
      <c r="J495">
        <f>IF($L495="","",SUMIFS(Расчет!$G$2:$G$3001,Расчет!$I$2:$I$3001,$K495,Расчет!$H$2:$H$3001,3))</f>
        <v/>
      </c>
      <c r="K495">
        <f>IF($L495="","",INDEX(Расчет!$I$2:$I$3001,$L495))</f>
        <v/>
      </c>
      <c r="L495">
        <f>IFERROR(MATCH(ROW()-1,Расчет!$J$2:$J$3001,0),"")</f>
        <v/>
      </c>
    </row>
    <row r="496">
      <c r="A496">
        <f>IF($L496="","",B496&amp;"."&amp;C496&amp;"-"&amp;D496&amp;"-"&amp;H496&amp;"."&amp;I496&amp;"."&amp;J496)</f>
        <v/>
      </c>
      <c r="B496">
        <f>IF($L496="","",INDEX(Расчет!$A$2:$A$3001,$L496))</f>
        <v/>
      </c>
      <c r="C496">
        <f>IF($L496="","",INDEX(Расчет!$B$2:$B$3001,$L496))</f>
        <v/>
      </c>
      <c r="D496">
        <f>IF($L496="","",IF(ISNUMBER(FIND("(",INDEX(Расчет!$C$2:$C$3001,$L496))),SUBSTITUTE(MID(INDEX(Расчет!$C$2:$C$3001,$L496),FIND("(",INDEX(Расчет!$C$2:$C$3001,$L496))+1,99),")",""),INDEX(Расчет!$C$2:$C$3001,$L496)))</f>
        <v/>
      </c>
      <c r="E496">
        <f>IF($L496="","",INDEX(Расчет!$D$2:$D$3001,$L496))</f>
        <v/>
      </c>
      <c r="F496">
        <f>IF($L496="","",INDEX(Расчет!$E$2:$E$3001,$L496))</f>
        <v/>
      </c>
      <c r="G496">
        <f>IF($L496="","",IFERROR(--LEFT(INDEX(Расчет!$C$2:$C$3001,$L496),FIND("(",INDEX(Расчет!$C$2:$C$3001,$L496))-1),IFERROR(--LEFT(INDEX(Расчет!$C$2:$C$3001,$L496),1),"")))</f>
        <v/>
      </c>
      <c r="H496">
        <f>IF($L496="","",SUMIFS(Расчет!$G$2:$G$3001,Расчет!$I$2:$I$3001,$K496,Расчет!$H$2:$H$3001,1))</f>
        <v/>
      </c>
      <c r="I496">
        <f>IF($L496="","",SUMIFS(Расчет!$G$2:$G$3001,Расчет!$I$2:$I$3001,$K496,Расчет!$H$2:$H$3001,2))</f>
        <v/>
      </c>
      <c r="J496">
        <f>IF($L496="","",SUMIFS(Расчет!$G$2:$G$3001,Расчет!$I$2:$I$3001,$K496,Расчет!$H$2:$H$3001,3))</f>
        <v/>
      </c>
      <c r="K496">
        <f>IF($L496="","",INDEX(Расчет!$I$2:$I$3001,$L496))</f>
        <v/>
      </c>
      <c r="L496">
        <f>IFERROR(MATCH(ROW()-1,Расчет!$J$2:$J$3001,0),"")</f>
        <v/>
      </c>
    </row>
    <row r="497">
      <c r="A497">
        <f>IF($L497="","",B497&amp;"."&amp;C497&amp;"-"&amp;D497&amp;"-"&amp;H497&amp;"."&amp;I497&amp;"."&amp;J497)</f>
        <v/>
      </c>
      <c r="B497">
        <f>IF($L497="","",INDEX(Расчет!$A$2:$A$3001,$L497))</f>
        <v/>
      </c>
      <c r="C497">
        <f>IF($L497="","",INDEX(Расчет!$B$2:$B$3001,$L497))</f>
        <v/>
      </c>
      <c r="D497">
        <f>IF($L497="","",IF(ISNUMBER(FIND("(",INDEX(Расчет!$C$2:$C$3001,$L497))),SUBSTITUTE(MID(INDEX(Расчет!$C$2:$C$3001,$L497),FIND("(",INDEX(Расчет!$C$2:$C$3001,$L497))+1,99),")",""),INDEX(Расчет!$C$2:$C$3001,$L497)))</f>
        <v/>
      </c>
      <c r="E497">
        <f>IF($L497="","",INDEX(Расчет!$D$2:$D$3001,$L497))</f>
        <v/>
      </c>
      <c r="F497">
        <f>IF($L497="","",INDEX(Расчет!$E$2:$E$3001,$L497))</f>
        <v/>
      </c>
      <c r="G497">
        <f>IF($L497="","",IFERROR(--LEFT(INDEX(Расчет!$C$2:$C$3001,$L497),FIND("(",INDEX(Расчет!$C$2:$C$3001,$L497))-1),IFERROR(--LEFT(INDEX(Расчет!$C$2:$C$3001,$L497),1),"")))</f>
        <v/>
      </c>
      <c r="H497">
        <f>IF($L497="","",SUMIFS(Расчет!$G$2:$G$3001,Расчет!$I$2:$I$3001,$K497,Расчет!$H$2:$H$3001,1))</f>
        <v/>
      </c>
      <c r="I497">
        <f>IF($L497="","",SUMIFS(Расчет!$G$2:$G$3001,Расчет!$I$2:$I$3001,$K497,Расчет!$H$2:$H$3001,2))</f>
        <v/>
      </c>
      <c r="J497">
        <f>IF($L497="","",SUMIFS(Расчет!$G$2:$G$3001,Расчет!$I$2:$I$3001,$K497,Расчет!$H$2:$H$3001,3))</f>
        <v/>
      </c>
      <c r="K497">
        <f>IF($L497="","",INDEX(Расчет!$I$2:$I$3001,$L497))</f>
        <v/>
      </c>
      <c r="L497">
        <f>IFERROR(MATCH(ROW()-1,Расчет!$J$2:$J$3001,0),"")</f>
        <v/>
      </c>
    </row>
    <row r="498">
      <c r="A498">
        <f>IF($L498="","",B498&amp;"."&amp;C498&amp;"-"&amp;D498&amp;"-"&amp;H498&amp;"."&amp;I498&amp;"."&amp;J498)</f>
        <v/>
      </c>
      <c r="B498">
        <f>IF($L498="","",INDEX(Расчет!$A$2:$A$3001,$L498))</f>
        <v/>
      </c>
      <c r="C498">
        <f>IF($L498="","",INDEX(Расчет!$B$2:$B$3001,$L498))</f>
        <v/>
      </c>
      <c r="D498">
        <f>IF($L498="","",IF(ISNUMBER(FIND("(",INDEX(Расчет!$C$2:$C$3001,$L498))),SUBSTITUTE(MID(INDEX(Расчет!$C$2:$C$3001,$L498),FIND("(",INDEX(Расчет!$C$2:$C$3001,$L498))+1,99),")",""),INDEX(Расчет!$C$2:$C$3001,$L498)))</f>
        <v/>
      </c>
      <c r="E498">
        <f>IF($L498="","",INDEX(Расчет!$D$2:$D$3001,$L498))</f>
        <v/>
      </c>
      <c r="F498">
        <f>IF($L498="","",INDEX(Расчет!$E$2:$E$3001,$L498))</f>
        <v/>
      </c>
      <c r="G498">
        <f>IF($L498="","",IFERROR(--LEFT(INDEX(Расчет!$C$2:$C$3001,$L498),FIND("(",INDEX(Расчет!$C$2:$C$3001,$L498))-1),IFERROR(--LEFT(INDEX(Расчет!$C$2:$C$3001,$L498),1),"")))</f>
        <v/>
      </c>
      <c r="H498">
        <f>IF($L498="","",SUMIFS(Расчет!$G$2:$G$3001,Расчет!$I$2:$I$3001,$K498,Расчет!$H$2:$H$3001,1))</f>
        <v/>
      </c>
      <c r="I498">
        <f>IF($L498="","",SUMIFS(Расчет!$G$2:$G$3001,Расчет!$I$2:$I$3001,$K498,Расчет!$H$2:$H$3001,2))</f>
        <v/>
      </c>
      <c r="J498">
        <f>IF($L498="","",SUMIFS(Расчет!$G$2:$G$3001,Расчет!$I$2:$I$3001,$K498,Расчет!$H$2:$H$3001,3))</f>
        <v/>
      </c>
      <c r="K498">
        <f>IF($L498="","",INDEX(Расчет!$I$2:$I$3001,$L498))</f>
        <v/>
      </c>
      <c r="L498">
        <f>IFERROR(MATCH(ROW()-1,Расчет!$J$2:$J$3001,0),"")</f>
        <v/>
      </c>
    </row>
    <row r="499">
      <c r="A499">
        <f>IF($L499="","",B499&amp;"."&amp;C499&amp;"-"&amp;D499&amp;"-"&amp;H499&amp;"."&amp;I499&amp;"."&amp;J499)</f>
        <v/>
      </c>
      <c r="B499">
        <f>IF($L499="","",INDEX(Расчет!$A$2:$A$3001,$L499))</f>
        <v/>
      </c>
      <c r="C499">
        <f>IF($L499="","",INDEX(Расчет!$B$2:$B$3001,$L499))</f>
        <v/>
      </c>
      <c r="D499">
        <f>IF($L499="","",IF(ISNUMBER(FIND("(",INDEX(Расчет!$C$2:$C$3001,$L499))),SUBSTITUTE(MID(INDEX(Расчет!$C$2:$C$3001,$L499),FIND("(",INDEX(Расчет!$C$2:$C$3001,$L499))+1,99),")",""),INDEX(Расчет!$C$2:$C$3001,$L499)))</f>
        <v/>
      </c>
      <c r="E499">
        <f>IF($L499="","",INDEX(Расчет!$D$2:$D$3001,$L499))</f>
        <v/>
      </c>
      <c r="F499">
        <f>IF($L499="","",INDEX(Расчет!$E$2:$E$3001,$L499))</f>
        <v/>
      </c>
      <c r="G499">
        <f>IF($L499="","",IFERROR(--LEFT(INDEX(Расчет!$C$2:$C$3001,$L499),FIND("(",INDEX(Расчет!$C$2:$C$3001,$L499))-1),IFERROR(--LEFT(INDEX(Расчет!$C$2:$C$3001,$L499),1),"")))</f>
        <v/>
      </c>
      <c r="H499">
        <f>IF($L499="","",SUMIFS(Расчет!$G$2:$G$3001,Расчет!$I$2:$I$3001,$K499,Расчет!$H$2:$H$3001,1))</f>
        <v/>
      </c>
      <c r="I499">
        <f>IF($L499="","",SUMIFS(Расчет!$G$2:$G$3001,Расчет!$I$2:$I$3001,$K499,Расчет!$H$2:$H$3001,2))</f>
        <v/>
      </c>
      <c r="J499">
        <f>IF($L499="","",SUMIFS(Расчет!$G$2:$G$3001,Расчет!$I$2:$I$3001,$K499,Расчет!$H$2:$H$3001,3))</f>
        <v/>
      </c>
      <c r="K499">
        <f>IF($L499="","",INDEX(Расчет!$I$2:$I$3001,$L499))</f>
        <v/>
      </c>
      <c r="L499">
        <f>IFERROR(MATCH(ROW()-1,Расчет!$J$2:$J$3001,0),"")</f>
        <v/>
      </c>
    </row>
    <row r="500">
      <c r="A500">
        <f>IF($L500="","",B500&amp;"."&amp;C500&amp;"-"&amp;D500&amp;"-"&amp;H500&amp;"."&amp;I500&amp;"."&amp;J500)</f>
        <v/>
      </c>
      <c r="B500">
        <f>IF($L500="","",INDEX(Расчет!$A$2:$A$3001,$L500))</f>
        <v/>
      </c>
      <c r="C500">
        <f>IF($L500="","",INDEX(Расчет!$B$2:$B$3001,$L500))</f>
        <v/>
      </c>
      <c r="D500">
        <f>IF($L500="","",IF(ISNUMBER(FIND("(",INDEX(Расчет!$C$2:$C$3001,$L500))),SUBSTITUTE(MID(INDEX(Расчет!$C$2:$C$3001,$L500),FIND("(",INDEX(Расчет!$C$2:$C$3001,$L500))+1,99),")",""),INDEX(Расчет!$C$2:$C$3001,$L500)))</f>
        <v/>
      </c>
      <c r="E500">
        <f>IF($L500="","",INDEX(Расчет!$D$2:$D$3001,$L500))</f>
        <v/>
      </c>
      <c r="F500">
        <f>IF($L500="","",INDEX(Расчет!$E$2:$E$3001,$L500))</f>
        <v/>
      </c>
      <c r="G500">
        <f>IF($L500="","",IFERROR(--LEFT(INDEX(Расчет!$C$2:$C$3001,$L500),FIND("(",INDEX(Расчет!$C$2:$C$3001,$L500))-1),IFERROR(--LEFT(INDEX(Расчет!$C$2:$C$3001,$L500),1),"")))</f>
        <v/>
      </c>
      <c r="H500">
        <f>IF($L500="","",SUMIFS(Расчет!$G$2:$G$3001,Расчет!$I$2:$I$3001,$K500,Расчет!$H$2:$H$3001,1))</f>
        <v/>
      </c>
      <c r="I500">
        <f>IF($L500="","",SUMIFS(Расчет!$G$2:$G$3001,Расчет!$I$2:$I$3001,$K500,Расчет!$H$2:$H$3001,2))</f>
        <v/>
      </c>
      <c r="J500">
        <f>IF($L500="","",SUMIFS(Расчет!$G$2:$G$3001,Расчет!$I$2:$I$3001,$K500,Расчет!$H$2:$H$3001,3))</f>
        <v/>
      </c>
      <c r="K500">
        <f>IF($L500="","",INDEX(Расчет!$I$2:$I$3001,$L500))</f>
        <v/>
      </c>
      <c r="L500">
        <f>IFERROR(MATCH(ROW()-1,Расчет!$J$2:$J$3001,0),"")</f>
        <v/>
      </c>
    </row>
    <row r="501">
      <c r="A501">
        <f>IF($L501="","",B501&amp;"."&amp;C501&amp;"-"&amp;D501&amp;"-"&amp;H501&amp;"."&amp;I501&amp;"."&amp;J501)</f>
        <v/>
      </c>
      <c r="B501">
        <f>IF($L501="","",INDEX(Расчет!$A$2:$A$3001,$L501))</f>
        <v/>
      </c>
      <c r="C501">
        <f>IF($L501="","",INDEX(Расчет!$B$2:$B$3001,$L501))</f>
        <v/>
      </c>
      <c r="D501">
        <f>IF($L501="","",IF(ISNUMBER(FIND("(",INDEX(Расчет!$C$2:$C$3001,$L501))),SUBSTITUTE(MID(INDEX(Расчет!$C$2:$C$3001,$L501),FIND("(",INDEX(Расчет!$C$2:$C$3001,$L501))+1,99),")",""),INDEX(Расчет!$C$2:$C$3001,$L501)))</f>
        <v/>
      </c>
      <c r="E501">
        <f>IF($L501="","",INDEX(Расчет!$D$2:$D$3001,$L501))</f>
        <v/>
      </c>
      <c r="F501">
        <f>IF($L501="","",INDEX(Расчет!$E$2:$E$3001,$L501))</f>
        <v/>
      </c>
      <c r="G501">
        <f>IF($L501="","",IFERROR(--LEFT(INDEX(Расчет!$C$2:$C$3001,$L501),FIND("(",INDEX(Расчет!$C$2:$C$3001,$L501))-1),IFERROR(--LEFT(INDEX(Расчет!$C$2:$C$3001,$L501),1),"")))</f>
        <v/>
      </c>
      <c r="H501">
        <f>IF($L501="","",SUMIFS(Расчет!$G$2:$G$3001,Расчет!$I$2:$I$3001,$K501,Расчет!$H$2:$H$3001,1))</f>
        <v/>
      </c>
      <c r="I501">
        <f>IF($L501="","",SUMIFS(Расчет!$G$2:$G$3001,Расчет!$I$2:$I$3001,$K501,Расчет!$H$2:$H$3001,2))</f>
        <v/>
      </c>
      <c r="J501">
        <f>IF($L501="","",SUMIFS(Расчет!$G$2:$G$3001,Расчет!$I$2:$I$3001,$K501,Расчет!$H$2:$H$3001,3))</f>
        <v/>
      </c>
      <c r="K501">
        <f>IF($L501="","",INDEX(Расчет!$I$2:$I$3001,$L501))</f>
        <v/>
      </c>
      <c r="L501">
        <f>IFERROR(MATCH(ROW()-1,Расчет!$J$2:$J$3001,0),"")</f>
        <v/>
      </c>
    </row>
    <row r="502">
      <c r="A502">
        <f>IF($L502="","",B502&amp;"."&amp;C502&amp;"-"&amp;D502&amp;"-"&amp;H502&amp;"."&amp;I502&amp;"."&amp;J502)</f>
        <v/>
      </c>
      <c r="B502">
        <f>IF($L502="","",INDEX(Расчет!$A$2:$A$3001,$L502))</f>
        <v/>
      </c>
      <c r="C502">
        <f>IF($L502="","",INDEX(Расчет!$B$2:$B$3001,$L502))</f>
        <v/>
      </c>
      <c r="D502">
        <f>IF($L502="","",IF(ISNUMBER(FIND("(",INDEX(Расчет!$C$2:$C$3001,$L502))),SUBSTITUTE(MID(INDEX(Расчет!$C$2:$C$3001,$L502),FIND("(",INDEX(Расчет!$C$2:$C$3001,$L502))+1,99),")",""),INDEX(Расчет!$C$2:$C$3001,$L502)))</f>
        <v/>
      </c>
      <c r="E502">
        <f>IF($L502="","",INDEX(Расчет!$D$2:$D$3001,$L502))</f>
        <v/>
      </c>
      <c r="F502">
        <f>IF($L502="","",INDEX(Расчет!$E$2:$E$3001,$L502))</f>
        <v/>
      </c>
      <c r="G502">
        <f>IF($L502="","",IFERROR(--LEFT(INDEX(Расчет!$C$2:$C$3001,$L502),FIND("(",INDEX(Расчет!$C$2:$C$3001,$L502))-1),IFERROR(--LEFT(INDEX(Расчет!$C$2:$C$3001,$L502),1),"")))</f>
        <v/>
      </c>
      <c r="H502">
        <f>IF($L502="","",SUMIFS(Расчет!$G$2:$G$3001,Расчет!$I$2:$I$3001,$K502,Расчет!$H$2:$H$3001,1))</f>
        <v/>
      </c>
      <c r="I502">
        <f>IF($L502="","",SUMIFS(Расчет!$G$2:$G$3001,Расчет!$I$2:$I$3001,$K502,Расчет!$H$2:$H$3001,2))</f>
        <v/>
      </c>
      <c r="J502">
        <f>IF($L502="","",SUMIFS(Расчет!$G$2:$G$3001,Расчет!$I$2:$I$3001,$K502,Расчет!$H$2:$H$3001,3))</f>
        <v/>
      </c>
      <c r="K502">
        <f>IF($L502="","",INDEX(Расчет!$I$2:$I$3001,$L502))</f>
        <v/>
      </c>
      <c r="L502">
        <f>IFERROR(MATCH(ROW()-1,Расчет!$J$2:$J$3001,0),"")</f>
        <v/>
      </c>
    </row>
    <row r="503">
      <c r="A503">
        <f>IF($L503="","",B503&amp;"."&amp;C503&amp;"-"&amp;D503&amp;"-"&amp;H503&amp;"."&amp;I503&amp;"."&amp;J503)</f>
        <v/>
      </c>
      <c r="B503">
        <f>IF($L503="","",INDEX(Расчет!$A$2:$A$3001,$L503))</f>
        <v/>
      </c>
      <c r="C503">
        <f>IF($L503="","",INDEX(Расчет!$B$2:$B$3001,$L503))</f>
        <v/>
      </c>
      <c r="D503">
        <f>IF($L503="","",IF(ISNUMBER(FIND("(",INDEX(Расчет!$C$2:$C$3001,$L503))),SUBSTITUTE(MID(INDEX(Расчет!$C$2:$C$3001,$L503),FIND("(",INDEX(Расчет!$C$2:$C$3001,$L503))+1,99),")",""),INDEX(Расчет!$C$2:$C$3001,$L503)))</f>
        <v/>
      </c>
      <c r="E503">
        <f>IF($L503="","",INDEX(Расчет!$D$2:$D$3001,$L503))</f>
        <v/>
      </c>
      <c r="F503">
        <f>IF($L503="","",INDEX(Расчет!$E$2:$E$3001,$L503))</f>
        <v/>
      </c>
      <c r="G503">
        <f>IF($L503="","",IFERROR(--LEFT(INDEX(Расчет!$C$2:$C$3001,$L503),FIND("(",INDEX(Расчет!$C$2:$C$3001,$L503))-1),IFERROR(--LEFT(INDEX(Расчет!$C$2:$C$3001,$L503),1),"")))</f>
        <v/>
      </c>
      <c r="H503">
        <f>IF($L503="","",SUMIFS(Расчет!$G$2:$G$3001,Расчет!$I$2:$I$3001,$K503,Расчет!$H$2:$H$3001,1))</f>
        <v/>
      </c>
      <c r="I503">
        <f>IF($L503="","",SUMIFS(Расчет!$G$2:$G$3001,Расчет!$I$2:$I$3001,$K503,Расчет!$H$2:$H$3001,2))</f>
        <v/>
      </c>
      <c r="J503">
        <f>IF($L503="","",SUMIFS(Расчет!$G$2:$G$3001,Расчет!$I$2:$I$3001,$K503,Расчет!$H$2:$H$3001,3))</f>
        <v/>
      </c>
      <c r="K503">
        <f>IF($L503="","",INDEX(Расчет!$I$2:$I$3001,$L503))</f>
        <v/>
      </c>
      <c r="L503">
        <f>IFERROR(MATCH(ROW()-1,Расчет!$J$2:$J$3001,0),"")</f>
        <v/>
      </c>
    </row>
    <row r="504">
      <c r="A504">
        <f>IF($L504="","",B504&amp;"."&amp;C504&amp;"-"&amp;D504&amp;"-"&amp;H504&amp;"."&amp;I504&amp;"."&amp;J504)</f>
        <v/>
      </c>
      <c r="B504">
        <f>IF($L504="","",INDEX(Расчет!$A$2:$A$3001,$L504))</f>
        <v/>
      </c>
      <c r="C504">
        <f>IF($L504="","",INDEX(Расчет!$B$2:$B$3001,$L504))</f>
        <v/>
      </c>
      <c r="D504">
        <f>IF($L504="","",IF(ISNUMBER(FIND("(",INDEX(Расчет!$C$2:$C$3001,$L504))),SUBSTITUTE(MID(INDEX(Расчет!$C$2:$C$3001,$L504),FIND("(",INDEX(Расчет!$C$2:$C$3001,$L504))+1,99),")",""),INDEX(Расчет!$C$2:$C$3001,$L504)))</f>
        <v/>
      </c>
      <c r="E504">
        <f>IF($L504="","",INDEX(Расчет!$D$2:$D$3001,$L504))</f>
        <v/>
      </c>
      <c r="F504">
        <f>IF($L504="","",INDEX(Расчет!$E$2:$E$3001,$L504))</f>
        <v/>
      </c>
      <c r="G504">
        <f>IF($L504="","",IFERROR(--LEFT(INDEX(Расчет!$C$2:$C$3001,$L504),FIND("(",INDEX(Расчет!$C$2:$C$3001,$L504))-1),IFERROR(--LEFT(INDEX(Расчет!$C$2:$C$3001,$L504),1),"")))</f>
        <v/>
      </c>
      <c r="H504">
        <f>IF($L504="","",SUMIFS(Расчет!$G$2:$G$3001,Расчет!$I$2:$I$3001,$K504,Расчет!$H$2:$H$3001,1))</f>
        <v/>
      </c>
      <c r="I504">
        <f>IF($L504="","",SUMIFS(Расчет!$G$2:$G$3001,Расчет!$I$2:$I$3001,$K504,Расчет!$H$2:$H$3001,2))</f>
        <v/>
      </c>
      <c r="J504">
        <f>IF($L504="","",SUMIFS(Расчет!$G$2:$G$3001,Расчет!$I$2:$I$3001,$K504,Расчет!$H$2:$H$3001,3))</f>
        <v/>
      </c>
      <c r="K504">
        <f>IF($L504="","",INDEX(Расчет!$I$2:$I$3001,$L504))</f>
        <v/>
      </c>
      <c r="L504">
        <f>IFERROR(MATCH(ROW()-1,Расчет!$J$2:$J$3001,0),"")</f>
        <v/>
      </c>
    </row>
    <row r="505">
      <c r="A505">
        <f>IF($L505="","",B505&amp;"."&amp;C505&amp;"-"&amp;D505&amp;"-"&amp;H505&amp;"."&amp;I505&amp;"."&amp;J505)</f>
        <v/>
      </c>
      <c r="B505">
        <f>IF($L505="","",INDEX(Расчет!$A$2:$A$3001,$L505))</f>
        <v/>
      </c>
      <c r="C505">
        <f>IF($L505="","",INDEX(Расчет!$B$2:$B$3001,$L505))</f>
        <v/>
      </c>
      <c r="D505">
        <f>IF($L505="","",IF(ISNUMBER(FIND("(",INDEX(Расчет!$C$2:$C$3001,$L505))),SUBSTITUTE(MID(INDEX(Расчет!$C$2:$C$3001,$L505),FIND("(",INDEX(Расчет!$C$2:$C$3001,$L505))+1,99),")",""),INDEX(Расчет!$C$2:$C$3001,$L505)))</f>
        <v/>
      </c>
      <c r="E505">
        <f>IF($L505="","",INDEX(Расчет!$D$2:$D$3001,$L505))</f>
        <v/>
      </c>
      <c r="F505">
        <f>IF($L505="","",INDEX(Расчет!$E$2:$E$3001,$L505))</f>
        <v/>
      </c>
      <c r="G505">
        <f>IF($L505="","",IFERROR(--LEFT(INDEX(Расчет!$C$2:$C$3001,$L505),FIND("(",INDEX(Расчет!$C$2:$C$3001,$L505))-1),IFERROR(--LEFT(INDEX(Расчет!$C$2:$C$3001,$L505),1),"")))</f>
        <v/>
      </c>
      <c r="H505">
        <f>IF($L505="","",SUMIFS(Расчет!$G$2:$G$3001,Расчет!$I$2:$I$3001,$K505,Расчет!$H$2:$H$3001,1))</f>
        <v/>
      </c>
      <c r="I505">
        <f>IF($L505="","",SUMIFS(Расчет!$G$2:$G$3001,Расчет!$I$2:$I$3001,$K505,Расчет!$H$2:$H$3001,2))</f>
        <v/>
      </c>
      <c r="J505">
        <f>IF($L505="","",SUMIFS(Расчет!$G$2:$G$3001,Расчет!$I$2:$I$3001,$K505,Расчет!$H$2:$H$3001,3))</f>
        <v/>
      </c>
      <c r="K505">
        <f>IF($L505="","",INDEX(Расчет!$I$2:$I$3001,$L505))</f>
        <v/>
      </c>
      <c r="L505">
        <f>IFERROR(MATCH(ROW()-1,Расчет!$J$2:$J$3001,0),"")</f>
        <v/>
      </c>
    </row>
    <row r="506">
      <c r="A506">
        <f>IF($L506="","",B506&amp;"."&amp;C506&amp;"-"&amp;D506&amp;"-"&amp;H506&amp;"."&amp;I506&amp;"."&amp;J506)</f>
        <v/>
      </c>
      <c r="B506">
        <f>IF($L506="","",INDEX(Расчет!$A$2:$A$3001,$L506))</f>
        <v/>
      </c>
      <c r="C506">
        <f>IF($L506="","",INDEX(Расчет!$B$2:$B$3001,$L506))</f>
        <v/>
      </c>
      <c r="D506">
        <f>IF($L506="","",IF(ISNUMBER(FIND("(",INDEX(Расчет!$C$2:$C$3001,$L506))),SUBSTITUTE(MID(INDEX(Расчет!$C$2:$C$3001,$L506),FIND("(",INDEX(Расчет!$C$2:$C$3001,$L506))+1,99),")",""),INDEX(Расчет!$C$2:$C$3001,$L506)))</f>
        <v/>
      </c>
      <c r="E506">
        <f>IF($L506="","",INDEX(Расчет!$D$2:$D$3001,$L506))</f>
        <v/>
      </c>
      <c r="F506">
        <f>IF($L506="","",INDEX(Расчет!$E$2:$E$3001,$L506))</f>
        <v/>
      </c>
      <c r="G506">
        <f>IF($L506="","",IFERROR(--LEFT(INDEX(Расчет!$C$2:$C$3001,$L506),FIND("(",INDEX(Расчет!$C$2:$C$3001,$L506))-1),IFERROR(--LEFT(INDEX(Расчет!$C$2:$C$3001,$L506),1),"")))</f>
        <v/>
      </c>
      <c r="H506">
        <f>IF($L506="","",SUMIFS(Расчет!$G$2:$G$3001,Расчет!$I$2:$I$3001,$K506,Расчет!$H$2:$H$3001,1))</f>
        <v/>
      </c>
      <c r="I506">
        <f>IF($L506="","",SUMIFS(Расчет!$G$2:$G$3001,Расчет!$I$2:$I$3001,$K506,Расчет!$H$2:$H$3001,2))</f>
        <v/>
      </c>
      <c r="J506">
        <f>IF($L506="","",SUMIFS(Расчет!$G$2:$G$3001,Расчет!$I$2:$I$3001,$K506,Расчет!$H$2:$H$3001,3))</f>
        <v/>
      </c>
      <c r="K506">
        <f>IF($L506="","",INDEX(Расчет!$I$2:$I$3001,$L506))</f>
        <v/>
      </c>
      <c r="L506">
        <f>IFERROR(MATCH(ROW()-1,Расчет!$J$2:$J$3001,0),"")</f>
        <v/>
      </c>
    </row>
    <row r="507">
      <c r="A507">
        <f>IF($L507="","",B507&amp;"."&amp;C507&amp;"-"&amp;D507&amp;"-"&amp;H507&amp;"."&amp;I507&amp;"."&amp;J507)</f>
        <v/>
      </c>
      <c r="B507">
        <f>IF($L507="","",INDEX(Расчет!$A$2:$A$3001,$L507))</f>
        <v/>
      </c>
      <c r="C507">
        <f>IF($L507="","",INDEX(Расчет!$B$2:$B$3001,$L507))</f>
        <v/>
      </c>
      <c r="D507">
        <f>IF($L507="","",IF(ISNUMBER(FIND("(",INDEX(Расчет!$C$2:$C$3001,$L507))),SUBSTITUTE(MID(INDEX(Расчет!$C$2:$C$3001,$L507),FIND("(",INDEX(Расчет!$C$2:$C$3001,$L507))+1,99),")",""),INDEX(Расчет!$C$2:$C$3001,$L507)))</f>
        <v/>
      </c>
      <c r="E507">
        <f>IF($L507="","",INDEX(Расчет!$D$2:$D$3001,$L507))</f>
        <v/>
      </c>
      <c r="F507">
        <f>IF($L507="","",INDEX(Расчет!$E$2:$E$3001,$L507))</f>
        <v/>
      </c>
      <c r="G507">
        <f>IF($L507="","",IFERROR(--LEFT(INDEX(Расчет!$C$2:$C$3001,$L507),FIND("(",INDEX(Расчет!$C$2:$C$3001,$L507))-1),IFERROR(--LEFT(INDEX(Расчет!$C$2:$C$3001,$L507),1),"")))</f>
        <v/>
      </c>
      <c r="H507">
        <f>IF($L507="","",SUMIFS(Расчет!$G$2:$G$3001,Расчет!$I$2:$I$3001,$K507,Расчет!$H$2:$H$3001,1))</f>
        <v/>
      </c>
      <c r="I507">
        <f>IF($L507="","",SUMIFS(Расчет!$G$2:$G$3001,Расчет!$I$2:$I$3001,$K507,Расчет!$H$2:$H$3001,2))</f>
        <v/>
      </c>
      <c r="J507">
        <f>IF($L507="","",SUMIFS(Расчет!$G$2:$G$3001,Расчет!$I$2:$I$3001,$K507,Расчет!$H$2:$H$3001,3))</f>
        <v/>
      </c>
      <c r="K507">
        <f>IF($L507="","",INDEX(Расчет!$I$2:$I$3001,$L507))</f>
        <v/>
      </c>
      <c r="L507">
        <f>IFERROR(MATCH(ROW()-1,Расчет!$J$2:$J$3001,0),"")</f>
        <v/>
      </c>
    </row>
    <row r="508">
      <c r="A508">
        <f>IF($L508="","",B508&amp;"."&amp;C508&amp;"-"&amp;D508&amp;"-"&amp;H508&amp;"."&amp;I508&amp;"."&amp;J508)</f>
        <v/>
      </c>
      <c r="B508">
        <f>IF($L508="","",INDEX(Расчет!$A$2:$A$3001,$L508))</f>
        <v/>
      </c>
      <c r="C508">
        <f>IF($L508="","",INDEX(Расчет!$B$2:$B$3001,$L508))</f>
        <v/>
      </c>
      <c r="D508">
        <f>IF($L508="","",IF(ISNUMBER(FIND("(",INDEX(Расчет!$C$2:$C$3001,$L508))),SUBSTITUTE(MID(INDEX(Расчет!$C$2:$C$3001,$L508),FIND("(",INDEX(Расчет!$C$2:$C$3001,$L508))+1,99),")",""),INDEX(Расчет!$C$2:$C$3001,$L508)))</f>
        <v/>
      </c>
      <c r="E508">
        <f>IF($L508="","",INDEX(Расчет!$D$2:$D$3001,$L508))</f>
        <v/>
      </c>
      <c r="F508">
        <f>IF($L508="","",INDEX(Расчет!$E$2:$E$3001,$L508))</f>
        <v/>
      </c>
      <c r="G508">
        <f>IF($L508="","",IFERROR(--LEFT(INDEX(Расчет!$C$2:$C$3001,$L508),FIND("(",INDEX(Расчет!$C$2:$C$3001,$L508))-1),IFERROR(--LEFT(INDEX(Расчет!$C$2:$C$3001,$L508),1),"")))</f>
        <v/>
      </c>
      <c r="H508">
        <f>IF($L508="","",SUMIFS(Расчет!$G$2:$G$3001,Расчет!$I$2:$I$3001,$K508,Расчет!$H$2:$H$3001,1))</f>
        <v/>
      </c>
      <c r="I508">
        <f>IF($L508="","",SUMIFS(Расчет!$G$2:$G$3001,Расчет!$I$2:$I$3001,$K508,Расчет!$H$2:$H$3001,2))</f>
        <v/>
      </c>
      <c r="J508">
        <f>IF($L508="","",SUMIFS(Расчет!$G$2:$G$3001,Расчет!$I$2:$I$3001,$K508,Расчет!$H$2:$H$3001,3))</f>
        <v/>
      </c>
      <c r="K508">
        <f>IF($L508="","",INDEX(Расчет!$I$2:$I$3001,$L508))</f>
        <v/>
      </c>
      <c r="L508">
        <f>IFERROR(MATCH(ROW()-1,Расчет!$J$2:$J$3001,0),"")</f>
        <v/>
      </c>
    </row>
    <row r="509">
      <c r="A509">
        <f>IF($L509="","",B509&amp;"."&amp;C509&amp;"-"&amp;D509&amp;"-"&amp;H509&amp;"."&amp;I509&amp;"."&amp;J509)</f>
        <v/>
      </c>
      <c r="B509">
        <f>IF($L509="","",INDEX(Расчет!$A$2:$A$3001,$L509))</f>
        <v/>
      </c>
      <c r="C509">
        <f>IF($L509="","",INDEX(Расчет!$B$2:$B$3001,$L509))</f>
        <v/>
      </c>
      <c r="D509">
        <f>IF($L509="","",IF(ISNUMBER(FIND("(",INDEX(Расчет!$C$2:$C$3001,$L509))),SUBSTITUTE(MID(INDEX(Расчет!$C$2:$C$3001,$L509),FIND("(",INDEX(Расчет!$C$2:$C$3001,$L509))+1,99),")",""),INDEX(Расчет!$C$2:$C$3001,$L509)))</f>
        <v/>
      </c>
      <c r="E509">
        <f>IF($L509="","",INDEX(Расчет!$D$2:$D$3001,$L509))</f>
        <v/>
      </c>
      <c r="F509">
        <f>IF($L509="","",INDEX(Расчет!$E$2:$E$3001,$L509))</f>
        <v/>
      </c>
      <c r="G509">
        <f>IF($L509="","",IFERROR(--LEFT(INDEX(Расчет!$C$2:$C$3001,$L509),FIND("(",INDEX(Расчет!$C$2:$C$3001,$L509))-1),IFERROR(--LEFT(INDEX(Расчет!$C$2:$C$3001,$L509),1),"")))</f>
        <v/>
      </c>
      <c r="H509">
        <f>IF($L509="","",SUMIFS(Расчет!$G$2:$G$3001,Расчет!$I$2:$I$3001,$K509,Расчет!$H$2:$H$3001,1))</f>
        <v/>
      </c>
      <c r="I509">
        <f>IF($L509="","",SUMIFS(Расчет!$G$2:$G$3001,Расчет!$I$2:$I$3001,$K509,Расчет!$H$2:$H$3001,2))</f>
        <v/>
      </c>
      <c r="J509">
        <f>IF($L509="","",SUMIFS(Расчет!$G$2:$G$3001,Расчет!$I$2:$I$3001,$K509,Расчет!$H$2:$H$3001,3))</f>
        <v/>
      </c>
      <c r="K509">
        <f>IF($L509="","",INDEX(Расчет!$I$2:$I$3001,$L509))</f>
        <v/>
      </c>
      <c r="L509">
        <f>IFERROR(MATCH(ROW()-1,Расчет!$J$2:$J$3001,0),"")</f>
        <v/>
      </c>
    </row>
    <row r="510">
      <c r="A510">
        <f>IF($L510="","",B510&amp;"."&amp;C510&amp;"-"&amp;D510&amp;"-"&amp;H510&amp;"."&amp;I510&amp;"."&amp;J510)</f>
        <v/>
      </c>
      <c r="B510">
        <f>IF($L510="","",INDEX(Расчет!$A$2:$A$3001,$L510))</f>
        <v/>
      </c>
      <c r="C510">
        <f>IF($L510="","",INDEX(Расчет!$B$2:$B$3001,$L510))</f>
        <v/>
      </c>
      <c r="D510">
        <f>IF($L510="","",IF(ISNUMBER(FIND("(",INDEX(Расчет!$C$2:$C$3001,$L510))),SUBSTITUTE(MID(INDEX(Расчет!$C$2:$C$3001,$L510),FIND("(",INDEX(Расчет!$C$2:$C$3001,$L510))+1,99),")",""),INDEX(Расчет!$C$2:$C$3001,$L510)))</f>
        <v/>
      </c>
      <c r="E510">
        <f>IF($L510="","",INDEX(Расчет!$D$2:$D$3001,$L510))</f>
        <v/>
      </c>
      <c r="F510">
        <f>IF($L510="","",INDEX(Расчет!$E$2:$E$3001,$L510))</f>
        <v/>
      </c>
      <c r="G510">
        <f>IF($L510="","",IFERROR(--LEFT(INDEX(Расчет!$C$2:$C$3001,$L510),FIND("(",INDEX(Расчет!$C$2:$C$3001,$L510))-1),IFERROR(--LEFT(INDEX(Расчет!$C$2:$C$3001,$L510),1),"")))</f>
        <v/>
      </c>
      <c r="H510">
        <f>IF($L510="","",SUMIFS(Расчет!$G$2:$G$3001,Расчет!$I$2:$I$3001,$K510,Расчет!$H$2:$H$3001,1))</f>
        <v/>
      </c>
      <c r="I510">
        <f>IF($L510="","",SUMIFS(Расчет!$G$2:$G$3001,Расчет!$I$2:$I$3001,$K510,Расчет!$H$2:$H$3001,2))</f>
        <v/>
      </c>
      <c r="J510">
        <f>IF($L510="","",SUMIFS(Расчет!$G$2:$G$3001,Расчет!$I$2:$I$3001,$K510,Расчет!$H$2:$H$3001,3))</f>
        <v/>
      </c>
      <c r="K510">
        <f>IF($L510="","",INDEX(Расчет!$I$2:$I$3001,$L510))</f>
        <v/>
      </c>
      <c r="L510">
        <f>IFERROR(MATCH(ROW()-1,Расчет!$J$2:$J$3001,0),"")</f>
        <v/>
      </c>
    </row>
    <row r="511">
      <c r="A511">
        <f>IF($L511="","",B511&amp;"."&amp;C511&amp;"-"&amp;D511&amp;"-"&amp;H511&amp;"."&amp;I511&amp;"."&amp;J511)</f>
        <v/>
      </c>
      <c r="B511">
        <f>IF($L511="","",INDEX(Расчет!$A$2:$A$3001,$L511))</f>
        <v/>
      </c>
      <c r="C511">
        <f>IF($L511="","",INDEX(Расчет!$B$2:$B$3001,$L511))</f>
        <v/>
      </c>
      <c r="D511">
        <f>IF($L511="","",IF(ISNUMBER(FIND("(",INDEX(Расчет!$C$2:$C$3001,$L511))),SUBSTITUTE(MID(INDEX(Расчет!$C$2:$C$3001,$L511),FIND("(",INDEX(Расчет!$C$2:$C$3001,$L511))+1,99),")",""),INDEX(Расчет!$C$2:$C$3001,$L511)))</f>
        <v/>
      </c>
      <c r="E511">
        <f>IF($L511="","",INDEX(Расчет!$D$2:$D$3001,$L511))</f>
        <v/>
      </c>
      <c r="F511">
        <f>IF($L511="","",INDEX(Расчет!$E$2:$E$3001,$L511))</f>
        <v/>
      </c>
      <c r="G511">
        <f>IF($L511="","",IFERROR(--LEFT(INDEX(Расчет!$C$2:$C$3001,$L511),FIND("(",INDEX(Расчет!$C$2:$C$3001,$L511))-1),IFERROR(--LEFT(INDEX(Расчет!$C$2:$C$3001,$L511),1),"")))</f>
        <v/>
      </c>
      <c r="H511">
        <f>IF($L511="","",SUMIFS(Расчет!$G$2:$G$3001,Расчет!$I$2:$I$3001,$K511,Расчет!$H$2:$H$3001,1))</f>
        <v/>
      </c>
      <c r="I511">
        <f>IF($L511="","",SUMIFS(Расчет!$G$2:$G$3001,Расчет!$I$2:$I$3001,$K511,Расчет!$H$2:$H$3001,2))</f>
        <v/>
      </c>
      <c r="J511">
        <f>IF($L511="","",SUMIFS(Расчет!$G$2:$G$3001,Расчет!$I$2:$I$3001,$K511,Расчет!$H$2:$H$3001,3))</f>
        <v/>
      </c>
      <c r="K511">
        <f>IF($L511="","",INDEX(Расчет!$I$2:$I$3001,$L511))</f>
        <v/>
      </c>
      <c r="L511">
        <f>IFERROR(MATCH(ROW()-1,Расчет!$J$2:$J$3001,0),"")</f>
        <v/>
      </c>
    </row>
    <row r="512">
      <c r="A512">
        <f>IF($L512="","",B512&amp;"."&amp;C512&amp;"-"&amp;D512&amp;"-"&amp;H512&amp;"."&amp;I512&amp;"."&amp;J512)</f>
        <v/>
      </c>
      <c r="B512">
        <f>IF($L512="","",INDEX(Расчет!$A$2:$A$3001,$L512))</f>
        <v/>
      </c>
      <c r="C512">
        <f>IF($L512="","",INDEX(Расчет!$B$2:$B$3001,$L512))</f>
        <v/>
      </c>
      <c r="D512">
        <f>IF($L512="","",IF(ISNUMBER(FIND("(",INDEX(Расчет!$C$2:$C$3001,$L512))),SUBSTITUTE(MID(INDEX(Расчет!$C$2:$C$3001,$L512),FIND("(",INDEX(Расчет!$C$2:$C$3001,$L512))+1,99),")",""),INDEX(Расчет!$C$2:$C$3001,$L512)))</f>
        <v/>
      </c>
      <c r="E512">
        <f>IF($L512="","",INDEX(Расчет!$D$2:$D$3001,$L512))</f>
        <v/>
      </c>
      <c r="F512">
        <f>IF($L512="","",INDEX(Расчет!$E$2:$E$3001,$L512))</f>
        <v/>
      </c>
      <c r="G512">
        <f>IF($L512="","",IFERROR(--LEFT(INDEX(Расчет!$C$2:$C$3001,$L512),FIND("(",INDEX(Расчет!$C$2:$C$3001,$L512))-1),IFERROR(--LEFT(INDEX(Расчет!$C$2:$C$3001,$L512),1),"")))</f>
        <v/>
      </c>
      <c r="H512">
        <f>IF($L512="","",SUMIFS(Расчет!$G$2:$G$3001,Расчет!$I$2:$I$3001,$K512,Расчет!$H$2:$H$3001,1))</f>
        <v/>
      </c>
      <c r="I512">
        <f>IF($L512="","",SUMIFS(Расчет!$G$2:$G$3001,Расчет!$I$2:$I$3001,$K512,Расчет!$H$2:$H$3001,2))</f>
        <v/>
      </c>
      <c r="J512">
        <f>IF($L512="","",SUMIFS(Расчет!$G$2:$G$3001,Расчет!$I$2:$I$3001,$K512,Расчет!$H$2:$H$3001,3))</f>
        <v/>
      </c>
      <c r="K512">
        <f>IF($L512="","",INDEX(Расчет!$I$2:$I$3001,$L512))</f>
        <v/>
      </c>
      <c r="L512">
        <f>IFERROR(MATCH(ROW()-1,Расчет!$J$2:$J$3001,0),"")</f>
        <v/>
      </c>
    </row>
    <row r="513">
      <c r="A513">
        <f>IF($L513="","",B513&amp;"."&amp;C513&amp;"-"&amp;D513&amp;"-"&amp;H513&amp;"."&amp;I513&amp;"."&amp;J513)</f>
        <v/>
      </c>
      <c r="B513">
        <f>IF($L513="","",INDEX(Расчет!$A$2:$A$3001,$L513))</f>
        <v/>
      </c>
      <c r="C513">
        <f>IF($L513="","",INDEX(Расчет!$B$2:$B$3001,$L513))</f>
        <v/>
      </c>
      <c r="D513">
        <f>IF($L513="","",IF(ISNUMBER(FIND("(",INDEX(Расчет!$C$2:$C$3001,$L513))),SUBSTITUTE(MID(INDEX(Расчет!$C$2:$C$3001,$L513),FIND("(",INDEX(Расчет!$C$2:$C$3001,$L513))+1,99),")",""),INDEX(Расчет!$C$2:$C$3001,$L513)))</f>
        <v/>
      </c>
      <c r="E513">
        <f>IF($L513="","",INDEX(Расчет!$D$2:$D$3001,$L513))</f>
        <v/>
      </c>
      <c r="F513">
        <f>IF($L513="","",INDEX(Расчет!$E$2:$E$3001,$L513))</f>
        <v/>
      </c>
      <c r="G513">
        <f>IF($L513="","",IFERROR(--LEFT(INDEX(Расчет!$C$2:$C$3001,$L513),FIND("(",INDEX(Расчет!$C$2:$C$3001,$L513))-1),IFERROR(--LEFT(INDEX(Расчет!$C$2:$C$3001,$L513),1),"")))</f>
        <v/>
      </c>
      <c r="H513">
        <f>IF($L513="","",SUMIFS(Расчет!$G$2:$G$3001,Расчет!$I$2:$I$3001,$K513,Расчет!$H$2:$H$3001,1))</f>
        <v/>
      </c>
      <c r="I513">
        <f>IF($L513="","",SUMIFS(Расчет!$G$2:$G$3001,Расчет!$I$2:$I$3001,$K513,Расчет!$H$2:$H$3001,2))</f>
        <v/>
      </c>
      <c r="J513">
        <f>IF($L513="","",SUMIFS(Расчет!$G$2:$G$3001,Расчет!$I$2:$I$3001,$K513,Расчет!$H$2:$H$3001,3))</f>
        <v/>
      </c>
      <c r="K513">
        <f>IF($L513="","",INDEX(Расчет!$I$2:$I$3001,$L513))</f>
        <v/>
      </c>
      <c r="L513">
        <f>IFERROR(MATCH(ROW()-1,Расчет!$J$2:$J$3001,0),"")</f>
        <v/>
      </c>
    </row>
    <row r="514">
      <c r="A514">
        <f>IF($L514="","",B514&amp;"."&amp;C514&amp;"-"&amp;D514&amp;"-"&amp;H514&amp;"."&amp;I514&amp;"."&amp;J514)</f>
        <v/>
      </c>
      <c r="B514">
        <f>IF($L514="","",INDEX(Расчет!$A$2:$A$3001,$L514))</f>
        <v/>
      </c>
      <c r="C514">
        <f>IF($L514="","",INDEX(Расчет!$B$2:$B$3001,$L514))</f>
        <v/>
      </c>
      <c r="D514">
        <f>IF($L514="","",IF(ISNUMBER(FIND("(",INDEX(Расчет!$C$2:$C$3001,$L514))),SUBSTITUTE(MID(INDEX(Расчет!$C$2:$C$3001,$L514),FIND("(",INDEX(Расчет!$C$2:$C$3001,$L514))+1,99),")",""),INDEX(Расчет!$C$2:$C$3001,$L514)))</f>
        <v/>
      </c>
      <c r="E514">
        <f>IF($L514="","",INDEX(Расчет!$D$2:$D$3001,$L514))</f>
        <v/>
      </c>
      <c r="F514">
        <f>IF($L514="","",INDEX(Расчет!$E$2:$E$3001,$L514))</f>
        <v/>
      </c>
      <c r="G514">
        <f>IF($L514="","",IFERROR(--LEFT(INDEX(Расчет!$C$2:$C$3001,$L514),FIND("(",INDEX(Расчет!$C$2:$C$3001,$L514))-1),IFERROR(--LEFT(INDEX(Расчет!$C$2:$C$3001,$L514),1),"")))</f>
        <v/>
      </c>
      <c r="H514">
        <f>IF($L514="","",SUMIFS(Расчет!$G$2:$G$3001,Расчет!$I$2:$I$3001,$K514,Расчет!$H$2:$H$3001,1))</f>
        <v/>
      </c>
      <c r="I514">
        <f>IF($L514="","",SUMIFS(Расчет!$G$2:$G$3001,Расчет!$I$2:$I$3001,$K514,Расчет!$H$2:$H$3001,2))</f>
        <v/>
      </c>
      <c r="J514">
        <f>IF($L514="","",SUMIFS(Расчет!$G$2:$G$3001,Расчет!$I$2:$I$3001,$K514,Расчет!$H$2:$H$3001,3))</f>
        <v/>
      </c>
      <c r="K514">
        <f>IF($L514="","",INDEX(Расчет!$I$2:$I$3001,$L514))</f>
        <v/>
      </c>
      <c r="L514">
        <f>IFERROR(MATCH(ROW()-1,Расчет!$J$2:$J$3001,0),"")</f>
        <v/>
      </c>
    </row>
    <row r="515">
      <c r="A515">
        <f>IF($L515="","",B515&amp;"."&amp;C515&amp;"-"&amp;D515&amp;"-"&amp;H515&amp;"."&amp;I515&amp;"."&amp;J515)</f>
        <v/>
      </c>
      <c r="B515">
        <f>IF($L515="","",INDEX(Расчет!$A$2:$A$3001,$L515))</f>
        <v/>
      </c>
      <c r="C515">
        <f>IF($L515="","",INDEX(Расчет!$B$2:$B$3001,$L515))</f>
        <v/>
      </c>
      <c r="D515">
        <f>IF($L515="","",IF(ISNUMBER(FIND("(",INDEX(Расчет!$C$2:$C$3001,$L515))),SUBSTITUTE(MID(INDEX(Расчет!$C$2:$C$3001,$L515),FIND("(",INDEX(Расчет!$C$2:$C$3001,$L515))+1,99),")",""),INDEX(Расчет!$C$2:$C$3001,$L515)))</f>
        <v/>
      </c>
      <c r="E515">
        <f>IF($L515="","",INDEX(Расчет!$D$2:$D$3001,$L515))</f>
        <v/>
      </c>
      <c r="F515">
        <f>IF($L515="","",INDEX(Расчет!$E$2:$E$3001,$L515))</f>
        <v/>
      </c>
      <c r="G515">
        <f>IF($L515="","",IFERROR(--LEFT(INDEX(Расчет!$C$2:$C$3001,$L515),FIND("(",INDEX(Расчет!$C$2:$C$3001,$L515))-1),IFERROR(--LEFT(INDEX(Расчет!$C$2:$C$3001,$L515),1),"")))</f>
        <v/>
      </c>
      <c r="H515">
        <f>IF($L515="","",SUMIFS(Расчет!$G$2:$G$3001,Расчет!$I$2:$I$3001,$K515,Расчет!$H$2:$H$3001,1))</f>
        <v/>
      </c>
      <c r="I515">
        <f>IF($L515="","",SUMIFS(Расчет!$G$2:$G$3001,Расчет!$I$2:$I$3001,$K515,Расчет!$H$2:$H$3001,2))</f>
        <v/>
      </c>
      <c r="J515">
        <f>IF($L515="","",SUMIFS(Расчет!$G$2:$G$3001,Расчет!$I$2:$I$3001,$K515,Расчет!$H$2:$H$3001,3))</f>
        <v/>
      </c>
      <c r="K515">
        <f>IF($L515="","",INDEX(Расчет!$I$2:$I$3001,$L515))</f>
        <v/>
      </c>
      <c r="L515">
        <f>IFERROR(MATCH(ROW()-1,Расчет!$J$2:$J$3001,0),"")</f>
        <v/>
      </c>
    </row>
    <row r="516">
      <c r="A516">
        <f>IF($L516="","",B516&amp;"."&amp;C516&amp;"-"&amp;D516&amp;"-"&amp;H516&amp;"."&amp;I516&amp;"."&amp;J516)</f>
        <v/>
      </c>
      <c r="B516">
        <f>IF($L516="","",INDEX(Расчет!$A$2:$A$3001,$L516))</f>
        <v/>
      </c>
      <c r="C516">
        <f>IF($L516="","",INDEX(Расчет!$B$2:$B$3001,$L516))</f>
        <v/>
      </c>
      <c r="D516">
        <f>IF($L516="","",IF(ISNUMBER(FIND("(",INDEX(Расчет!$C$2:$C$3001,$L516))),SUBSTITUTE(MID(INDEX(Расчет!$C$2:$C$3001,$L516),FIND("(",INDEX(Расчет!$C$2:$C$3001,$L516))+1,99),")",""),INDEX(Расчет!$C$2:$C$3001,$L516)))</f>
        <v/>
      </c>
      <c r="E516">
        <f>IF($L516="","",INDEX(Расчет!$D$2:$D$3001,$L516))</f>
        <v/>
      </c>
      <c r="F516">
        <f>IF($L516="","",INDEX(Расчет!$E$2:$E$3001,$L516))</f>
        <v/>
      </c>
      <c r="G516">
        <f>IF($L516="","",IFERROR(--LEFT(INDEX(Расчет!$C$2:$C$3001,$L516),FIND("(",INDEX(Расчет!$C$2:$C$3001,$L516))-1),IFERROR(--LEFT(INDEX(Расчет!$C$2:$C$3001,$L516),1),"")))</f>
        <v/>
      </c>
      <c r="H516">
        <f>IF($L516="","",SUMIFS(Расчет!$G$2:$G$3001,Расчет!$I$2:$I$3001,$K516,Расчет!$H$2:$H$3001,1))</f>
        <v/>
      </c>
      <c r="I516">
        <f>IF($L516="","",SUMIFS(Расчет!$G$2:$G$3001,Расчет!$I$2:$I$3001,$K516,Расчет!$H$2:$H$3001,2))</f>
        <v/>
      </c>
      <c r="J516">
        <f>IF($L516="","",SUMIFS(Расчет!$G$2:$G$3001,Расчет!$I$2:$I$3001,$K516,Расчет!$H$2:$H$3001,3))</f>
        <v/>
      </c>
      <c r="K516">
        <f>IF($L516="","",INDEX(Расчет!$I$2:$I$3001,$L516))</f>
        <v/>
      </c>
      <c r="L516">
        <f>IFERROR(MATCH(ROW()-1,Расчет!$J$2:$J$3001,0),"")</f>
        <v/>
      </c>
    </row>
    <row r="517">
      <c r="A517">
        <f>IF($L517="","",B517&amp;"."&amp;C517&amp;"-"&amp;D517&amp;"-"&amp;H517&amp;"."&amp;I517&amp;"."&amp;J517)</f>
        <v/>
      </c>
      <c r="B517">
        <f>IF($L517="","",INDEX(Расчет!$A$2:$A$3001,$L517))</f>
        <v/>
      </c>
      <c r="C517">
        <f>IF($L517="","",INDEX(Расчет!$B$2:$B$3001,$L517))</f>
        <v/>
      </c>
      <c r="D517">
        <f>IF($L517="","",IF(ISNUMBER(FIND("(",INDEX(Расчет!$C$2:$C$3001,$L517))),SUBSTITUTE(MID(INDEX(Расчет!$C$2:$C$3001,$L517),FIND("(",INDEX(Расчет!$C$2:$C$3001,$L517))+1,99),")",""),INDEX(Расчет!$C$2:$C$3001,$L517)))</f>
        <v/>
      </c>
      <c r="E517">
        <f>IF($L517="","",INDEX(Расчет!$D$2:$D$3001,$L517))</f>
        <v/>
      </c>
      <c r="F517">
        <f>IF($L517="","",INDEX(Расчет!$E$2:$E$3001,$L517))</f>
        <v/>
      </c>
      <c r="G517">
        <f>IF($L517="","",IFERROR(--LEFT(INDEX(Расчет!$C$2:$C$3001,$L517),FIND("(",INDEX(Расчет!$C$2:$C$3001,$L517))-1),IFERROR(--LEFT(INDEX(Расчет!$C$2:$C$3001,$L517),1),"")))</f>
        <v/>
      </c>
      <c r="H517">
        <f>IF($L517="","",SUMIFS(Расчет!$G$2:$G$3001,Расчет!$I$2:$I$3001,$K517,Расчет!$H$2:$H$3001,1))</f>
        <v/>
      </c>
      <c r="I517">
        <f>IF($L517="","",SUMIFS(Расчет!$G$2:$G$3001,Расчет!$I$2:$I$3001,$K517,Расчет!$H$2:$H$3001,2))</f>
        <v/>
      </c>
      <c r="J517">
        <f>IF($L517="","",SUMIFS(Расчет!$G$2:$G$3001,Расчет!$I$2:$I$3001,$K517,Расчет!$H$2:$H$3001,3))</f>
        <v/>
      </c>
      <c r="K517">
        <f>IF($L517="","",INDEX(Расчет!$I$2:$I$3001,$L517))</f>
        <v/>
      </c>
      <c r="L517">
        <f>IFERROR(MATCH(ROW()-1,Расчет!$J$2:$J$3001,0),"")</f>
        <v/>
      </c>
    </row>
    <row r="518">
      <c r="A518">
        <f>IF($L518="","",B518&amp;"."&amp;C518&amp;"-"&amp;D518&amp;"-"&amp;H518&amp;"."&amp;I518&amp;"."&amp;J518)</f>
        <v/>
      </c>
      <c r="B518">
        <f>IF($L518="","",INDEX(Расчет!$A$2:$A$3001,$L518))</f>
        <v/>
      </c>
      <c r="C518">
        <f>IF($L518="","",INDEX(Расчет!$B$2:$B$3001,$L518))</f>
        <v/>
      </c>
      <c r="D518">
        <f>IF($L518="","",IF(ISNUMBER(FIND("(",INDEX(Расчет!$C$2:$C$3001,$L518))),SUBSTITUTE(MID(INDEX(Расчет!$C$2:$C$3001,$L518),FIND("(",INDEX(Расчет!$C$2:$C$3001,$L518))+1,99),")",""),INDEX(Расчет!$C$2:$C$3001,$L518)))</f>
        <v/>
      </c>
      <c r="E518">
        <f>IF($L518="","",INDEX(Расчет!$D$2:$D$3001,$L518))</f>
        <v/>
      </c>
      <c r="F518">
        <f>IF($L518="","",INDEX(Расчет!$E$2:$E$3001,$L518))</f>
        <v/>
      </c>
      <c r="G518">
        <f>IF($L518="","",IFERROR(--LEFT(INDEX(Расчет!$C$2:$C$3001,$L518),FIND("(",INDEX(Расчет!$C$2:$C$3001,$L518))-1),IFERROR(--LEFT(INDEX(Расчет!$C$2:$C$3001,$L518),1),"")))</f>
        <v/>
      </c>
      <c r="H518">
        <f>IF($L518="","",SUMIFS(Расчет!$G$2:$G$3001,Расчет!$I$2:$I$3001,$K518,Расчет!$H$2:$H$3001,1))</f>
        <v/>
      </c>
      <c r="I518">
        <f>IF($L518="","",SUMIFS(Расчет!$G$2:$G$3001,Расчет!$I$2:$I$3001,$K518,Расчет!$H$2:$H$3001,2))</f>
        <v/>
      </c>
      <c r="J518">
        <f>IF($L518="","",SUMIFS(Расчет!$G$2:$G$3001,Расчет!$I$2:$I$3001,$K518,Расчет!$H$2:$H$3001,3))</f>
        <v/>
      </c>
      <c r="K518">
        <f>IF($L518="","",INDEX(Расчет!$I$2:$I$3001,$L518))</f>
        <v/>
      </c>
      <c r="L518">
        <f>IFERROR(MATCH(ROW()-1,Расчет!$J$2:$J$3001,0),"")</f>
        <v/>
      </c>
    </row>
    <row r="519">
      <c r="A519">
        <f>IF($L519="","",B519&amp;"."&amp;C519&amp;"-"&amp;D519&amp;"-"&amp;H519&amp;"."&amp;I519&amp;"."&amp;J519)</f>
        <v/>
      </c>
      <c r="B519">
        <f>IF($L519="","",INDEX(Расчет!$A$2:$A$3001,$L519))</f>
        <v/>
      </c>
      <c r="C519">
        <f>IF($L519="","",INDEX(Расчет!$B$2:$B$3001,$L519))</f>
        <v/>
      </c>
      <c r="D519">
        <f>IF($L519="","",IF(ISNUMBER(FIND("(",INDEX(Расчет!$C$2:$C$3001,$L519))),SUBSTITUTE(MID(INDEX(Расчет!$C$2:$C$3001,$L519),FIND("(",INDEX(Расчет!$C$2:$C$3001,$L519))+1,99),")",""),INDEX(Расчет!$C$2:$C$3001,$L519)))</f>
        <v/>
      </c>
      <c r="E519">
        <f>IF($L519="","",INDEX(Расчет!$D$2:$D$3001,$L519))</f>
        <v/>
      </c>
      <c r="F519">
        <f>IF($L519="","",INDEX(Расчет!$E$2:$E$3001,$L519))</f>
        <v/>
      </c>
      <c r="G519">
        <f>IF($L519="","",IFERROR(--LEFT(INDEX(Расчет!$C$2:$C$3001,$L519),FIND("(",INDEX(Расчет!$C$2:$C$3001,$L519))-1),IFERROR(--LEFT(INDEX(Расчет!$C$2:$C$3001,$L519),1),"")))</f>
        <v/>
      </c>
      <c r="H519">
        <f>IF($L519="","",SUMIFS(Расчет!$G$2:$G$3001,Расчет!$I$2:$I$3001,$K519,Расчет!$H$2:$H$3001,1))</f>
        <v/>
      </c>
      <c r="I519">
        <f>IF($L519="","",SUMIFS(Расчет!$G$2:$G$3001,Расчет!$I$2:$I$3001,$K519,Расчет!$H$2:$H$3001,2))</f>
        <v/>
      </c>
      <c r="J519">
        <f>IF($L519="","",SUMIFS(Расчет!$G$2:$G$3001,Расчет!$I$2:$I$3001,$K519,Расчет!$H$2:$H$3001,3))</f>
        <v/>
      </c>
      <c r="K519">
        <f>IF($L519="","",INDEX(Расчет!$I$2:$I$3001,$L519))</f>
        <v/>
      </c>
      <c r="L519">
        <f>IFERROR(MATCH(ROW()-1,Расчет!$J$2:$J$3001,0),"")</f>
        <v/>
      </c>
    </row>
    <row r="520">
      <c r="A520">
        <f>IF($L520="","",B520&amp;"."&amp;C520&amp;"-"&amp;D520&amp;"-"&amp;H520&amp;"."&amp;I520&amp;"."&amp;J520)</f>
        <v/>
      </c>
      <c r="B520">
        <f>IF($L520="","",INDEX(Расчет!$A$2:$A$3001,$L520))</f>
        <v/>
      </c>
      <c r="C520">
        <f>IF($L520="","",INDEX(Расчет!$B$2:$B$3001,$L520))</f>
        <v/>
      </c>
      <c r="D520">
        <f>IF($L520="","",IF(ISNUMBER(FIND("(",INDEX(Расчет!$C$2:$C$3001,$L520))),SUBSTITUTE(MID(INDEX(Расчет!$C$2:$C$3001,$L520),FIND("(",INDEX(Расчет!$C$2:$C$3001,$L520))+1,99),")",""),INDEX(Расчет!$C$2:$C$3001,$L520)))</f>
        <v/>
      </c>
      <c r="E520">
        <f>IF($L520="","",INDEX(Расчет!$D$2:$D$3001,$L520))</f>
        <v/>
      </c>
      <c r="F520">
        <f>IF($L520="","",INDEX(Расчет!$E$2:$E$3001,$L520))</f>
        <v/>
      </c>
      <c r="G520">
        <f>IF($L520="","",IFERROR(--LEFT(INDEX(Расчет!$C$2:$C$3001,$L520),FIND("(",INDEX(Расчет!$C$2:$C$3001,$L520))-1),IFERROR(--LEFT(INDEX(Расчет!$C$2:$C$3001,$L520),1),"")))</f>
        <v/>
      </c>
      <c r="H520">
        <f>IF($L520="","",SUMIFS(Расчет!$G$2:$G$3001,Расчет!$I$2:$I$3001,$K520,Расчет!$H$2:$H$3001,1))</f>
        <v/>
      </c>
      <c r="I520">
        <f>IF($L520="","",SUMIFS(Расчет!$G$2:$G$3001,Расчет!$I$2:$I$3001,$K520,Расчет!$H$2:$H$3001,2))</f>
        <v/>
      </c>
      <c r="J520">
        <f>IF($L520="","",SUMIFS(Расчет!$G$2:$G$3001,Расчет!$I$2:$I$3001,$K520,Расчет!$H$2:$H$3001,3))</f>
        <v/>
      </c>
      <c r="K520">
        <f>IF($L520="","",INDEX(Расчет!$I$2:$I$3001,$L520))</f>
        <v/>
      </c>
      <c r="L520">
        <f>IFERROR(MATCH(ROW()-1,Расчет!$J$2:$J$3001,0),"")</f>
        <v/>
      </c>
    </row>
    <row r="521">
      <c r="A521">
        <f>IF($L521="","",B521&amp;"."&amp;C521&amp;"-"&amp;D521&amp;"-"&amp;H521&amp;"."&amp;I521&amp;"."&amp;J521)</f>
        <v/>
      </c>
      <c r="B521">
        <f>IF($L521="","",INDEX(Расчет!$A$2:$A$3001,$L521))</f>
        <v/>
      </c>
      <c r="C521">
        <f>IF($L521="","",INDEX(Расчет!$B$2:$B$3001,$L521))</f>
        <v/>
      </c>
      <c r="D521">
        <f>IF($L521="","",IF(ISNUMBER(FIND("(",INDEX(Расчет!$C$2:$C$3001,$L521))),SUBSTITUTE(MID(INDEX(Расчет!$C$2:$C$3001,$L521),FIND("(",INDEX(Расчет!$C$2:$C$3001,$L521))+1,99),")",""),INDEX(Расчет!$C$2:$C$3001,$L521)))</f>
        <v/>
      </c>
      <c r="E521">
        <f>IF($L521="","",INDEX(Расчет!$D$2:$D$3001,$L521))</f>
        <v/>
      </c>
      <c r="F521">
        <f>IF($L521="","",INDEX(Расчет!$E$2:$E$3001,$L521))</f>
        <v/>
      </c>
      <c r="G521">
        <f>IF($L521="","",IFERROR(--LEFT(INDEX(Расчет!$C$2:$C$3001,$L521),FIND("(",INDEX(Расчет!$C$2:$C$3001,$L521))-1),IFERROR(--LEFT(INDEX(Расчет!$C$2:$C$3001,$L521),1),"")))</f>
        <v/>
      </c>
      <c r="H521">
        <f>IF($L521="","",SUMIFS(Расчет!$G$2:$G$3001,Расчет!$I$2:$I$3001,$K521,Расчет!$H$2:$H$3001,1))</f>
        <v/>
      </c>
      <c r="I521">
        <f>IF($L521="","",SUMIFS(Расчет!$G$2:$G$3001,Расчет!$I$2:$I$3001,$K521,Расчет!$H$2:$H$3001,2))</f>
        <v/>
      </c>
      <c r="J521">
        <f>IF($L521="","",SUMIFS(Расчет!$G$2:$G$3001,Расчет!$I$2:$I$3001,$K521,Расчет!$H$2:$H$3001,3))</f>
        <v/>
      </c>
      <c r="K521">
        <f>IF($L521="","",INDEX(Расчет!$I$2:$I$3001,$L521))</f>
        <v/>
      </c>
      <c r="L521">
        <f>IFERROR(MATCH(ROW()-1,Расчет!$J$2:$J$3001,0),"")</f>
        <v/>
      </c>
    </row>
    <row r="522">
      <c r="A522">
        <f>IF($L522="","",B522&amp;"."&amp;C522&amp;"-"&amp;D522&amp;"-"&amp;H522&amp;"."&amp;I522&amp;"."&amp;J522)</f>
        <v/>
      </c>
      <c r="B522">
        <f>IF($L522="","",INDEX(Расчет!$A$2:$A$3001,$L522))</f>
        <v/>
      </c>
      <c r="C522">
        <f>IF($L522="","",INDEX(Расчет!$B$2:$B$3001,$L522))</f>
        <v/>
      </c>
      <c r="D522">
        <f>IF($L522="","",IF(ISNUMBER(FIND("(",INDEX(Расчет!$C$2:$C$3001,$L522))),SUBSTITUTE(MID(INDEX(Расчет!$C$2:$C$3001,$L522),FIND("(",INDEX(Расчет!$C$2:$C$3001,$L522))+1,99),")",""),INDEX(Расчет!$C$2:$C$3001,$L522)))</f>
        <v/>
      </c>
      <c r="E522">
        <f>IF($L522="","",INDEX(Расчет!$D$2:$D$3001,$L522))</f>
        <v/>
      </c>
      <c r="F522">
        <f>IF($L522="","",INDEX(Расчет!$E$2:$E$3001,$L522))</f>
        <v/>
      </c>
      <c r="G522">
        <f>IF($L522="","",IFERROR(--LEFT(INDEX(Расчет!$C$2:$C$3001,$L522),FIND("(",INDEX(Расчет!$C$2:$C$3001,$L522))-1),IFERROR(--LEFT(INDEX(Расчет!$C$2:$C$3001,$L522),1),"")))</f>
        <v/>
      </c>
      <c r="H522">
        <f>IF($L522="","",SUMIFS(Расчет!$G$2:$G$3001,Расчет!$I$2:$I$3001,$K522,Расчет!$H$2:$H$3001,1))</f>
        <v/>
      </c>
      <c r="I522">
        <f>IF($L522="","",SUMIFS(Расчет!$G$2:$G$3001,Расчет!$I$2:$I$3001,$K522,Расчет!$H$2:$H$3001,2))</f>
        <v/>
      </c>
      <c r="J522">
        <f>IF($L522="","",SUMIFS(Расчет!$G$2:$G$3001,Расчет!$I$2:$I$3001,$K522,Расчет!$H$2:$H$3001,3))</f>
        <v/>
      </c>
      <c r="K522">
        <f>IF($L522="","",INDEX(Расчет!$I$2:$I$3001,$L522))</f>
        <v/>
      </c>
      <c r="L522">
        <f>IFERROR(MATCH(ROW()-1,Расчет!$J$2:$J$3001,0),"")</f>
        <v/>
      </c>
    </row>
    <row r="523">
      <c r="A523">
        <f>IF($L523="","",B523&amp;"."&amp;C523&amp;"-"&amp;D523&amp;"-"&amp;H523&amp;"."&amp;I523&amp;"."&amp;J523)</f>
        <v/>
      </c>
      <c r="B523">
        <f>IF($L523="","",INDEX(Расчет!$A$2:$A$3001,$L523))</f>
        <v/>
      </c>
      <c r="C523">
        <f>IF($L523="","",INDEX(Расчет!$B$2:$B$3001,$L523))</f>
        <v/>
      </c>
      <c r="D523">
        <f>IF($L523="","",IF(ISNUMBER(FIND("(",INDEX(Расчет!$C$2:$C$3001,$L523))),SUBSTITUTE(MID(INDEX(Расчет!$C$2:$C$3001,$L523),FIND("(",INDEX(Расчет!$C$2:$C$3001,$L523))+1,99),")",""),INDEX(Расчет!$C$2:$C$3001,$L523)))</f>
        <v/>
      </c>
      <c r="E523">
        <f>IF($L523="","",INDEX(Расчет!$D$2:$D$3001,$L523))</f>
        <v/>
      </c>
      <c r="F523">
        <f>IF($L523="","",INDEX(Расчет!$E$2:$E$3001,$L523))</f>
        <v/>
      </c>
      <c r="G523">
        <f>IF($L523="","",IFERROR(--LEFT(INDEX(Расчет!$C$2:$C$3001,$L523),FIND("(",INDEX(Расчет!$C$2:$C$3001,$L523))-1),IFERROR(--LEFT(INDEX(Расчет!$C$2:$C$3001,$L523),1),"")))</f>
        <v/>
      </c>
      <c r="H523">
        <f>IF($L523="","",SUMIFS(Расчет!$G$2:$G$3001,Расчет!$I$2:$I$3001,$K523,Расчет!$H$2:$H$3001,1))</f>
        <v/>
      </c>
      <c r="I523">
        <f>IF($L523="","",SUMIFS(Расчет!$G$2:$G$3001,Расчет!$I$2:$I$3001,$K523,Расчет!$H$2:$H$3001,2))</f>
        <v/>
      </c>
      <c r="J523">
        <f>IF($L523="","",SUMIFS(Расчет!$G$2:$G$3001,Расчет!$I$2:$I$3001,$K523,Расчет!$H$2:$H$3001,3))</f>
        <v/>
      </c>
      <c r="K523">
        <f>IF($L523="","",INDEX(Расчет!$I$2:$I$3001,$L523))</f>
        <v/>
      </c>
      <c r="L523">
        <f>IFERROR(MATCH(ROW()-1,Расчет!$J$2:$J$3001,0),"")</f>
        <v/>
      </c>
    </row>
    <row r="524">
      <c r="A524">
        <f>IF($L524="","",B524&amp;"."&amp;C524&amp;"-"&amp;D524&amp;"-"&amp;H524&amp;"."&amp;I524&amp;"."&amp;J524)</f>
        <v/>
      </c>
      <c r="B524">
        <f>IF($L524="","",INDEX(Расчет!$A$2:$A$3001,$L524))</f>
        <v/>
      </c>
      <c r="C524">
        <f>IF($L524="","",INDEX(Расчет!$B$2:$B$3001,$L524))</f>
        <v/>
      </c>
      <c r="D524">
        <f>IF($L524="","",IF(ISNUMBER(FIND("(",INDEX(Расчет!$C$2:$C$3001,$L524))),SUBSTITUTE(MID(INDEX(Расчет!$C$2:$C$3001,$L524),FIND("(",INDEX(Расчет!$C$2:$C$3001,$L524))+1,99),")",""),INDEX(Расчет!$C$2:$C$3001,$L524)))</f>
        <v/>
      </c>
      <c r="E524">
        <f>IF($L524="","",INDEX(Расчет!$D$2:$D$3001,$L524))</f>
        <v/>
      </c>
      <c r="F524">
        <f>IF($L524="","",INDEX(Расчет!$E$2:$E$3001,$L524))</f>
        <v/>
      </c>
      <c r="G524">
        <f>IF($L524="","",IFERROR(--LEFT(INDEX(Расчет!$C$2:$C$3001,$L524),FIND("(",INDEX(Расчет!$C$2:$C$3001,$L524))-1),IFERROR(--LEFT(INDEX(Расчет!$C$2:$C$3001,$L524),1),"")))</f>
        <v/>
      </c>
      <c r="H524">
        <f>IF($L524="","",SUMIFS(Расчет!$G$2:$G$3001,Расчет!$I$2:$I$3001,$K524,Расчет!$H$2:$H$3001,1))</f>
        <v/>
      </c>
      <c r="I524">
        <f>IF($L524="","",SUMIFS(Расчет!$G$2:$G$3001,Расчет!$I$2:$I$3001,$K524,Расчет!$H$2:$H$3001,2))</f>
        <v/>
      </c>
      <c r="J524">
        <f>IF($L524="","",SUMIFS(Расчет!$G$2:$G$3001,Расчет!$I$2:$I$3001,$K524,Расчет!$H$2:$H$3001,3))</f>
        <v/>
      </c>
      <c r="K524">
        <f>IF($L524="","",INDEX(Расчет!$I$2:$I$3001,$L524))</f>
        <v/>
      </c>
      <c r="L524">
        <f>IFERROR(MATCH(ROW()-1,Расчет!$J$2:$J$3001,0),"")</f>
        <v/>
      </c>
    </row>
    <row r="525">
      <c r="A525">
        <f>IF($L525="","",B525&amp;"."&amp;C525&amp;"-"&amp;D525&amp;"-"&amp;H525&amp;"."&amp;I525&amp;"."&amp;J525)</f>
        <v/>
      </c>
      <c r="B525">
        <f>IF($L525="","",INDEX(Расчет!$A$2:$A$3001,$L525))</f>
        <v/>
      </c>
      <c r="C525">
        <f>IF($L525="","",INDEX(Расчет!$B$2:$B$3001,$L525))</f>
        <v/>
      </c>
      <c r="D525">
        <f>IF($L525="","",IF(ISNUMBER(FIND("(",INDEX(Расчет!$C$2:$C$3001,$L525))),SUBSTITUTE(MID(INDEX(Расчет!$C$2:$C$3001,$L525),FIND("(",INDEX(Расчет!$C$2:$C$3001,$L525))+1,99),")",""),INDEX(Расчет!$C$2:$C$3001,$L525)))</f>
        <v/>
      </c>
      <c r="E525">
        <f>IF($L525="","",INDEX(Расчет!$D$2:$D$3001,$L525))</f>
        <v/>
      </c>
      <c r="F525">
        <f>IF($L525="","",INDEX(Расчет!$E$2:$E$3001,$L525))</f>
        <v/>
      </c>
      <c r="G525">
        <f>IF($L525="","",IFERROR(--LEFT(INDEX(Расчет!$C$2:$C$3001,$L525),FIND("(",INDEX(Расчет!$C$2:$C$3001,$L525))-1),IFERROR(--LEFT(INDEX(Расчет!$C$2:$C$3001,$L525),1),"")))</f>
        <v/>
      </c>
      <c r="H525">
        <f>IF($L525="","",SUMIFS(Расчет!$G$2:$G$3001,Расчет!$I$2:$I$3001,$K525,Расчет!$H$2:$H$3001,1))</f>
        <v/>
      </c>
      <c r="I525">
        <f>IF($L525="","",SUMIFS(Расчет!$G$2:$G$3001,Расчет!$I$2:$I$3001,$K525,Расчет!$H$2:$H$3001,2))</f>
        <v/>
      </c>
      <c r="J525">
        <f>IF($L525="","",SUMIFS(Расчет!$G$2:$G$3001,Расчет!$I$2:$I$3001,$K525,Расчет!$H$2:$H$3001,3))</f>
        <v/>
      </c>
      <c r="K525">
        <f>IF($L525="","",INDEX(Расчет!$I$2:$I$3001,$L525))</f>
        <v/>
      </c>
      <c r="L525">
        <f>IFERROR(MATCH(ROW()-1,Расчет!$J$2:$J$3001,0),"")</f>
        <v/>
      </c>
    </row>
    <row r="526">
      <c r="A526">
        <f>IF($L526="","",B526&amp;"."&amp;C526&amp;"-"&amp;D526&amp;"-"&amp;H526&amp;"."&amp;I526&amp;"."&amp;J526)</f>
        <v/>
      </c>
      <c r="B526">
        <f>IF($L526="","",INDEX(Расчет!$A$2:$A$3001,$L526))</f>
        <v/>
      </c>
      <c r="C526">
        <f>IF($L526="","",INDEX(Расчет!$B$2:$B$3001,$L526))</f>
        <v/>
      </c>
      <c r="D526">
        <f>IF($L526="","",IF(ISNUMBER(FIND("(",INDEX(Расчет!$C$2:$C$3001,$L526))),SUBSTITUTE(MID(INDEX(Расчет!$C$2:$C$3001,$L526),FIND("(",INDEX(Расчет!$C$2:$C$3001,$L526))+1,99),")",""),INDEX(Расчет!$C$2:$C$3001,$L526)))</f>
        <v/>
      </c>
      <c r="E526">
        <f>IF($L526="","",INDEX(Расчет!$D$2:$D$3001,$L526))</f>
        <v/>
      </c>
      <c r="F526">
        <f>IF($L526="","",INDEX(Расчет!$E$2:$E$3001,$L526))</f>
        <v/>
      </c>
      <c r="G526">
        <f>IF($L526="","",IFERROR(--LEFT(INDEX(Расчет!$C$2:$C$3001,$L526),FIND("(",INDEX(Расчет!$C$2:$C$3001,$L526))-1),IFERROR(--LEFT(INDEX(Расчет!$C$2:$C$3001,$L526),1),"")))</f>
        <v/>
      </c>
      <c r="H526">
        <f>IF($L526="","",SUMIFS(Расчет!$G$2:$G$3001,Расчет!$I$2:$I$3001,$K526,Расчет!$H$2:$H$3001,1))</f>
        <v/>
      </c>
      <c r="I526">
        <f>IF($L526="","",SUMIFS(Расчет!$G$2:$G$3001,Расчет!$I$2:$I$3001,$K526,Расчет!$H$2:$H$3001,2))</f>
        <v/>
      </c>
      <c r="J526">
        <f>IF($L526="","",SUMIFS(Расчет!$G$2:$G$3001,Расчет!$I$2:$I$3001,$K526,Расчет!$H$2:$H$3001,3))</f>
        <v/>
      </c>
      <c r="K526">
        <f>IF($L526="","",INDEX(Расчет!$I$2:$I$3001,$L526))</f>
        <v/>
      </c>
      <c r="L526">
        <f>IFERROR(MATCH(ROW()-1,Расчет!$J$2:$J$3001,0),"")</f>
        <v/>
      </c>
    </row>
    <row r="527">
      <c r="A527">
        <f>IF($L527="","",B527&amp;"."&amp;C527&amp;"-"&amp;D527&amp;"-"&amp;H527&amp;"."&amp;I527&amp;"."&amp;J527)</f>
        <v/>
      </c>
      <c r="B527">
        <f>IF($L527="","",INDEX(Расчет!$A$2:$A$3001,$L527))</f>
        <v/>
      </c>
      <c r="C527">
        <f>IF($L527="","",INDEX(Расчет!$B$2:$B$3001,$L527))</f>
        <v/>
      </c>
      <c r="D527">
        <f>IF($L527="","",IF(ISNUMBER(FIND("(",INDEX(Расчет!$C$2:$C$3001,$L527))),SUBSTITUTE(MID(INDEX(Расчет!$C$2:$C$3001,$L527),FIND("(",INDEX(Расчет!$C$2:$C$3001,$L527))+1,99),")",""),INDEX(Расчет!$C$2:$C$3001,$L527)))</f>
        <v/>
      </c>
      <c r="E527">
        <f>IF($L527="","",INDEX(Расчет!$D$2:$D$3001,$L527))</f>
        <v/>
      </c>
      <c r="F527">
        <f>IF($L527="","",INDEX(Расчет!$E$2:$E$3001,$L527))</f>
        <v/>
      </c>
      <c r="G527">
        <f>IF($L527="","",IFERROR(--LEFT(INDEX(Расчет!$C$2:$C$3001,$L527),FIND("(",INDEX(Расчет!$C$2:$C$3001,$L527))-1),IFERROR(--LEFT(INDEX(Расчет!$C$2:$C$3001,$L527),1),"")))</f>
        <v/>
      </c>
      <c r="H527">
        <f>IF($L527="","",SUMIFS(Расчет!$G$2:$G$3001,Расчет!$I$2:$I$3001,$K527,Расчет!$H$2:$H$3001,1))</f>
        <v/>
      </c>
      <c r="I527">
        <f>IF($L527="","",SUMIFS(Расчет!$G$2:$G$3001,Расчет!$I$2:$I$3001,$K527,Расчет!$H$2:$H$3001,2))</f>
        <v/>
      </c>
      <c r="J527">
        <f>IF($L527="","",SUMIFS(Расчет!$G$2:$G$3001,Расчет!$I$2:$I$3001,$K527,Расчет!$H$2:$H$3001,3))</f>
        <v/>
      </c>
      <c r="K527">
        <f>IF($L527="","",INDEX(Расчет!$I$2:$I$3001,$L527))</f>
        <v/>
      </c>
      <c r="L527">
        <f>IFERROR(MATCH(ROW()-1,Расчет!$J$2:$J$3001,0),"")</f>
        <v/>
      </c>
    </row>
    <row r="528">
      <c r="A528">
        <f>IF($L528="","",B528&amp;"."&amp;C528&amp;"-"&amp;D528&amp;"-"&amp;H528&amp;"."&amp;I528&amp;"."&amp;J528)</f>
        <v/>
      </c>
      <c r="B528">
        <f>IF($L528="","",INDEX(Расчет!$A$2:$A$3001,$L528))</f>
        <v/>
      </c>
      <c r="C528">
        <f>IF($L528="","",INDEX(Расчет!$B$2:$B$3001,$L528))</f>
        <v/>
      </c>
      <c r="D528">
        <f>IF($L528="","",IF(ISNUMBER(FIND("(",INDEX(Расчет!$C$2:$C$3001,$L528))),SUBSTITUTE(MID(INDEX(Расчет!$C$2:$C$3001,$L528),FIND("(",INDEX(Расчет!$C$2:$C$3001,$L528))+1,99),")",""),INDEX(Расчет!$C$2:$C$3001,$L528)))</f>
        <v/>
      </c>
      <c r="E528">
        <f>IF($L528="","",INDEX(Расчет!$D$2:$D$3001,$L528))</f>
        <v/>
      </c>
      <c r="F528">
        <f>IF($L528="","",INDEX(Расчет!$E$2:$E$3001,$L528))</f>
        <v/>
      </c>
      <c r="G528">
        <f>IF($L528="","",IFERROR(--LEFT(INDEX(Расчет!$C$2:$C$3001,$L528),FIND("(",INDEX(Расчет!$C$2:$C$3001,$L528))-1),IFERROR(--LEFT(INDEX(Расчет!$C$2:$C$3001,$L528),1),"")))</f>
        <v/>
      </c>
      <c r="H528">
        <f>IF($L528="","",SUMIFS(Расчет!$G$2:$G$3001,Расчет!$I$2:$I$3001,$K528,Расчет!$H$2:$H$3001,1))</f>
        <v/>
      </c>
      <c r="I528">
        <f>IF($L528="","",SUMIFS(Расчет!$G$2:$G$3001,Расчет!$I$2:$I$3001,$K528,Расчет!$H$2:$H$3001,2))</f>
        <v/>
      </c>
      <c r="J528">
        <f>IF($L528="","",SUMIFS(Расчет!$G$2:$G$3001,Расчет!$I$2:$I$3001,$K528,Расчет!$H$2:$H$3001,3))</f>
        <v/>
      </c>
      <c r="K528">
        <f>IF($L528="","",INDEX(Расчет!$I$2:$I$3001,$L528))</f>
        <v/>
      </c>
      <c r="L528">
        <f>IFERROR(MATCH(ROW()-1,Расчет!$J$2:$J$3001,0),"")</f>
        <v/>
      </c>
    </row>
    <row r="529">
      <c r="A529">
        <f>IF($L529="","",B529&amp;"."&amp;C529&amp;"-"&amp;D529&amp;"-"&amp;H529&amp;"."&amp;I529&amp;"."&amp;J529)</f>
        <v/>
      </c>
      <c r="B529">
        <f>IF($L529="","",INDEX(Расчет!$A$2:$A$3001,$L529))</f>
        <v/>
      </c>
      <c r="C529">
        <f>IF($L529="","",INDEX(Расчет!$B$2:$B$3001,$L529))</f>
        <v/>
      </c>
      <c r="D529">
        <f>IF($L529="","",IF(ISNUMBER(FIND("(",INDEX(Расчет!$C$2:$C$3001,$L529))),SUBSTITUTE(MID(INDEX(Расчет!$C$2:$C$3001,$L529),FIND("(",INDEX(Расчет!$C$2:$C$3001,$L529))+1,99),")",""),INDEX(Расчет!$C$2:$C$3001,$L529)))</f>
        <v/>
      </c>
      <c r="E529">
        <f>IF($L529="","",INDEX(Расчет!$D$2:$D$3001,$L529))</f>
        <v/>
      </c>
      <c r="F529">
        <f>IF($L529="","",INDEX(Расчет!$E$2:$E$3001,$L529))</f>
        <v/>
      </c>
      <c r="G529">
        <f>IF($L529="","",IFERROR(--LEFT(INDEX(Расчет!$C$2:$C$3001,$L529),FIND("(",INDEX(Расчет!$C$2:$C$3001,$L529))-1),IFERROR(--LEFT(INDEX(Расчет!$C$2:$C$3001,$L529),1),"")))</f>
        <v/>
      </c>
      <c r="H529">
        <f>IF($L529="","",SUMIFS(Расчет!$G$2:$G$3001,Расчет!$I$2:$I$3001,$K529,Расчет!$H$2:$H$3001,1))</f>
        <v/>
      </c>
      <c r="I529">
        <f>IF($L529="","",SUMIFS(Расчет!$G$2:$G$3001,Расчет!$I$2:$I$3001,$K529,Расчет!$H$2:$H$3001,2))</f>
        <v/>
      </c>
      <c r="J529">
        <f>IF($L529="","",SUMIFS(Расчет!$G$2:$G$3001,Расчет!$I$2:$I$3001,$K529,Расчет!$H$2:$H$3001,3))</f>
        <v/>
      </c>
      <c r="K529">
        <f>IF($L529="","",INDEX(Расчет!$I$2:$I$3001,$L529))</f>
        <v/>
      </c>
      <c r="L529">
        <f>IFERROR(MATCH(ROW()-1,Расчет!$J$2:$J$3001,0),"")</f>
        <v/>
      </c>
    </row>
    <row r="530">
      <c r="A530">
        <f>IF($L530="","",B530&amp;"."&amp;C530&amp;"-"&amp;D530&amp;"-"&amp;H530&amp;"."&amp;I530&amp;"."&amp;J530)</f>
        <v/>
      </c>
      <c r="B530">
        <f>IF($L530="","",INDEX(Расчет!$A$2:$A$3001,$L530))</f>
        <v/>
      </c>
      <c r="C530">
        <f>IF($L530="","",INDEX(Расчет!$B$2:$B$3001,$L530))</f>
        <v/>
      </c>
      <c r="D530">
        <f>IF($L530="","",IF(ISNUMBER(FIND("(",INDEX(Расчет!$C$2:$C$3001,$L530))),SUBSTITUTE(MID(INDEX(Расчет!$C$2:$C$3001,$L530),FIND("(",INDEX(Расчет!$C$2:$C$3001,$L530))+1,99),")",""),INDEX(Расчет!$C$2:$C$3001,$L530)))</f>
        <v/>
      </c>
      <c r="E530">
        <f>IF($L530="","",INDEX(Расчет!$D$2:$D$3001,$L530))</f>
        <v/>
      </c>
      <c r="F530">
        <f>IF($L530="","",INDEX(Расчет!$E$2:$E$3001,$L530))</f>
        <v/>
      </c>
      <c r="G530">
        <f>IF($L530="","",IFERROR(--LEFT(INDEX(Расчет!$C$2:$C$3001,$L530),FIND("(",INDEX(Расчет!$C$2:$C$3001,$L530))-1),IFERROR(--LEFT(INDEX(Расчет!$C$2:$C$3001,$L530),1),"")))</f>
        <v/>
      </c>
      <c r="H530">
        <f>IF($L530="","",SUMIFS(Расчет!$G$2:$G$3001,Расчет!$I$2:$I$3001,$K530,Расчет!$H$2:$H$3001,1))</f>
        <v/>
      </c>
      <c r="I530">
        <f>IF($L530="","",SUMIFS(Расчет!$G$2:$G$3001,Расчет!$I$2:$I$3001,$K530,Расчет!$H$2:$H$3001,2))</f>
        <v/>
      </c>
      <c r="J530">
        <f>IF($L530="","",SUMIFS(Расчет!$G$2:$G$3001,Расчет!$I$2:$I$3001,$K530,Расчет!$H$2:$H$3001,3))</f>
        <v/>
      </c>
      <c r="K530">
        <f>IF($L530="","",INDEX(Расчет!$I$2:$I$3001,$L530))</f>
        <v/>
      </c>
      <c r="L530">
        <f>IFERROR(MATCH(ROW()-1,Расчет!$J$2:$J$3001,0),"")</f>
        <v/>
      </c>
    </row>
    <row r="531">
      <c r="A531">
        <f>IF($L531="","",B531&amp;"."&amp;C531&amp;"-"&amp;D531&amp;"-"&amp;H531&amp;"."&amp;I531&amp;"."&amp;J531)</f>
        <v/>
      </c>
      <c r="B531">
        <f>IF($L531="","",INDEX(Расчет!$A$2:$A$3001,$L531))</f>
        <v/>
      </c>
      <c r="C531">
        <f>IF($L531="","",INDEX(Расчет!$B$2:$B$3001,$L531))</f>
        <v/>
      </c>
      <c r="D531">
        <f>IF($L531="","",IF(ISNUMBER(FIND("(",INDEX(Расчет!$C$2:$C$3001,$L531))),SUBSTITUTE(MID(INDEX(Расчет!$C$2:$C$3001,$L531),FIND("(",INDEX(Расчет!$C$2:$C$3001,$L531))+1,99),")",""),INDEX(Расчет!$C$2:$C$3001,$L531)))</f>
        <v/>
      </c>
      <c r="E531">
        <f>IF($L531="","",INDEX(Расчет!$D$2:$D$3001,$L531))</f>
        <v/>
      </c>
      <c r="F531">
        <f>IF($L531="","",INDEX(Расчет!$E$2:$E$3001,$L531))</f>
        <v/>
      </c>
      <c r="G531">
        <f>IF($L531="","",IFERROR(--LEFT(INDEX(Расчет!$C$2:$C$3001,$L531),FIND("(",INDEX(Расчет!$C$2:$C$3001,$L531))-1),IFERROR(--LEFT(INDEX(Расчет!$C$2:$C$3001,$L531),1),"")))</f>
        <v/>
      </c>
      <c r="H531">
        <f>IF($L531="","",SUMIFS(Расчет!$G$2:$G$3001,Расчет!$I$2:$I$3001,$K531,Расчет!$H$2:$H$3001,1))</f>
        <v/>
      </c>
      <c r="I531">
        <f>IF($L531="","",SUMIFS(Расчет!$G$2:$G$3001,Расчет!$I$2:$I$3001,$K531,Расчет!$H$2:$H$3001,2))</f>
        <v/>
      </c>
      <c r="J531">
        <f>IF($L531="","",SUMIFS(Расчет!$G$2:$G$3001,Расчет!$I$2:$I$3001,$K531,Расчет!$H$2:$H$3001,3))</f>
        <v/>
      </c>
      <c r="K531">
        <f>IF($L531="","",INDEX(Расчет!$I$2:$I$3001,$L531))</f>
        <v/>
      </c>
      <c r="L531">
        <f>IFERROR(MATCH(ROW()-1,Расчет!$J$2:$J$3001,0),"")</f>
        <v/>
      </c>
    </row>
    <row r="532">
      <c r="A532">
        <f>IF($L532="","",B532&amp;"."&amp;C532&amp;"-"&amp;D532&amp;"-"&amp;H532&amp;"."&amp;I532&amp;"."&amp;J532)</f>
        <v/>
      </c>
      <c r="B532">
        <f>IF($L532="","",INDEX(Расчет!$A$2:$A$3001,$L532))</f>
        <v/>
      </c>
      <c r="C532">
        <f>IF($L532="","",INDEX(Расчет!$B$2:$B$3001,$L532))</f>
        <v/>
      </c>
      <c r="D532">
        <f>IF($L532="","",IF(ISNUMBER(FIND("(",INDEX(Расчет!$C$2:$C$3001,$L532))),SUBSTITUTE(MID(INDEX(Расчет!$C$2:$C$3001,$L532),FIND("(",INDEX(Расчет!$C$2:$C$3001,$L532))+1,99),")",""),INDEX(Расчет!$C$2:$C$3001,$L532)))</f>
        <v/>
      </c>
      <c r="E532">
        <f>IF($L532="","",INDEX(Расчет!$D$2:$D$3001,$L532))</f>
        <v/>
      </c>
      <c r="F532">
        <f>IF($L532="","",INDEX(Расчет!$E$2:$E$3001,$L532))</f>
        <v/>
      </c>
      <c r="G532">
        <f>IF($L532="","",IFERROR(--LEFT(INDEX(Расчет!$C$2:$C$3001,$L532),FIND("(",INDEX(Расчет!$C$2:$C$3001,$L532))-1),IFERROR(--LEFT(INDEX(Расчет!$C$2:$C$3001,$L532),1),"")))</f>
        <v/>
      </c>
      <c r="H532">
        <f>IF($L532="","",SUMIFS(Расчет!$G$2:$G$3001,Расчет!$I$2:$I$3001,$K532,Расчет!$H$2:$H$3001,1))</f>
        <v/>
      </c>
      <c r="I532">
        <f>IF($L532="","",SUMIFS(Расчет!$G$2:$G$3001,Расчет!$I$2:$I$3001,$K532,Расчет!$H$2:$H$3001,2))</f>
        <v/>
      </c>
      <c r="J532">
        <f>IF($L532="","",SUMIFS(Расчет!$G$2:$G$3001,Расчет!$I$2:$I$3001,$K532,Расчет!$H$2:$H$3001,3))</f>
        <v/>
      </c>
      <c r="K532">
        <f>IF($L532="","",INDEX(Расчет!$I$2:$I$3001,$L532))</f>
        <v/>
      </c>
      <c r="L532">
        <f>IFERROR(MATCH(ROW()-1,Расчет!$J$2:$J$3001,0),"")</f>
        <v/>
      </c>
    </row>
    <row r="533">
      <c r="A533">
        <f>IF($L533="","",B533&amp;"."&amp;C533&amp;"-"&amp;D533&amp;"-"&amp;H533&amp;"."&amp;I533&amp;"."&amp;J533)</f>
        <v/>
      </c>
      <c r="B533">
        <f>IF($L533="","",INDEX(Расчет!$A$2:$A$3001,$L533))</f>
        <v/>
      </c>
      <c r="C533">
        <f>IF($L533="","",INDEX(Расчет!$B$2:$B$3001,$L533))</f>
        <v/>
      </c>
      <c r="D533">
        <f>IF($L533="","",IF(ISNUMBER(FIND("(",INDEX(Расчет!$C$2:$C$3001,$L533))),SUBSTITUTE(MID(INDEX(Расчет!$C$2:$C$3001,$L533),FIND("(",INDEX(Расчет!$C$2:$C$3001,$L533))+1,99),")",""),INDEX(Расчет!$C$2:$C$3001,$L533)))</f>
        <v/>
      </c>
      <c r="E533">
        <f>IF($L533="","",INDEX(Расчет!$D$2:$D$3001,$L533))</f>
        <v/>
      </c>
      <c r="F533">
        <f>IF($L533="","",INDEX(Расчет!$E$2:$E$3001,$L533))</f>
        <v/>
      </c>
      <c r="G533">
        <f>IF($L533="","",IFERROR(--LEFT(INDEX(Расчет!$C$2:$C$3001,$L533),FIND("(",INDEX(Расчет!$C$2:$C$3001,$L533))-1),IFERROR(--LEFT(INDEX(Расчет!$C$2:$C$3001,$L533),1),"")))</f>
        <v/>
      </c>
      <c r="H533">
        <f>IF($L533="","",SUMIFS(Расчет!$G$2:$G$3001,Расчет!$I$2:$I$3001,$K533,Расчет!$H$2:$H$3001,1))</f>
        <v/>
      </c>
      <c r="I533">
        <f>IF($L533="","",SUMIFS(Расчет!$G$2:$G$3001,Расчет!$I$2:$I$3001,$K533,Расчет!$H$2:$H$3001,2))</f>
        <v/>
      </c>
      <c r="J533">
        <f>IF($L533="","",SUMIFS(Расчет!$G$2:$G$3001,Расчет!$I$2:$I$3001,$K533,Расчет!$H$2:$H$3001,3))</f>
        <v/>
      </c>
      <c r="K533">
        <f>IF($L533="","",INDEX(Расчет!$I$2:$I$3001,$L533))</f>
        <v/>
      </c>
      <c r="L533">
        <f>IFERROR(MATCH(ROW()-1,Расчет!$J$2:$J$3001,0),"")</f>
        <v/>
      </c>
    </row>
    <row r="534">
      <c r="A534">
        <f>IF($L534="","",B534&amp;"."&amp;C534&amp;"-"&amp;D534&amp;"-"&amp;H534&amp;"."&amp;I534&amp;"."&amp;J534)</f>
        <v/>
      </c>
      <c r="B534">
        <f>IF($L534="","",INDEX(Расчет!$A$2:$A$3001,$L534))</f>
        <v/>
      </c>
      <c r="C534">
        <f>IF($L534="","",INDEX(Расчет!$B$2:$B$3001,$L534))</f>
        <v/>
      </c>
      <c r="D534">
        <f>IF($L534="","",IF(ISNUMBER(FIND("(",INDEX(Расчет!$C$2:$C$3001,$L534))),SUBSTITUTE(MID(INDEX(Расчет!$C$2:$C$3001,$L534),FIND("(",INDEX(Расчет!$C$2:$C$3001,$L534))+1,99),")",""),INDEX(Расчет!$C$2:$C$3001,$L534)))</f>
        <v/>
      </c>
      <c r="E534">
        <f>IF($L534="","",INDEX(Расчет!$D$2:$D$3001,$L534))</f>
        <v/>
      </c>
      <c r="F534">
        <f>IF($L534="","",INDEX(Расчет!$E$2:$E$3001,$L534))</f>
        <v/>
      </c>
      <c r="G534">
        <f>IF($L534="","",IFERROR(--LEFT(INDEX(Расчет!$C$2:$C$3001,$L534),FIND("(",INDEX(Расчет!$C$2:$C$3001,$L534))-1),IFERROR(--LEFT(INDEX(Расчет!$C$2:$C$3001,$L534),1),"")))</f>
        <v/>
      </c>
      <c r="H534">
        <f>IF($L534="","",SUMIFS(Расчет!$G$2:$G$3001,Расчет!$I$2:$I$3001,$K534,Расчет!$H$2:$H$3001,1))</f>
        <v/>
      </c>
      <c r="I534">
        <f>IF($L534="","",SUMIFS(Расчет!$G$2:$G$3001,Расчет!$I$2:$I$3001,$K534,Расчет!$H$2:$H$3001,2))</f>
        <v/>
      </c>
      <c r="J534">
        <f>IF($L534="","",SUMIFS(Расчет!$G$2:$G$3001,Расчет!$I$2:$I$3001,$K534,Расчет!$H$2:$H$3001,3))</f>
        <v/>
      </c>
      <c r="K534">
        <f>IF($L534="","",INDEX(Расчет!$I$2:$I$3001,$L534))</f>
        <v/>
      </c>
      <c r="L534">
        <f>IFERROR(MATCH(ROW()-1,Расчет!$J$2:$J$3001,0),"")</f>
        <v/>
      </c>
    </row>
    <row r="535">
      <c r="A535">
        <f>IF($L535="","",B535&amp;"."&amp;C535&amp;"-"&amp;D535&amp;"-"&amp;H535&amp;"."&amp;I535&amp;"."&amp;J535)</f>
        <v/>
      </c>
      <c r="B535">
        <f>IF($L535="","",INDEX(Расчет!$A$2:$A$3001,$L535))</f>
        <v/>
      </c>
      <c r="C535">
        <f>IF($L535="","",INDEX(Расчет!$B$2:$B$3001,$L535))</f>
        <v/>
      </c>
      <c r="D535">
        <f>IF($L535="","",IF(ISNUMBER(FIND("(",INDEX(Расчет!$C$2:$C$3001,$L535))),SUBSTITUTE(MID(INDEX(Расчет!$C$2:$C$3001,$L535),FIND("(",INDEX(Расчет!$C$2:$C$3001,$L535))+1,99),")",""),INDEX(Расчет!$C$2:$C$3001,$L535)))</f>
        <v/>
      </c>
      <c r="E535">
        <f>IF($L535="","",INDEX(Расчет!$D$2:$D$3001,$L535))</f>
        <v/>
      </c>
      <c r="F535">
        <f>IF($L535="","",INDEX(Расчет!$E$2:$E$3001,$L535))</f>
        <v/>
      </c>
      <c r="G535">
        <f>IF($L535="","",IFERROR(--LEFT(INDEX(Расчет!$C$2:$C$3001,$L535),FIND("(",INDEX(Расчет!$C$2:$C$3001,$L535))-1),IFERROR(--LEFT(INDEX(Расчет!$C$2:$C$3001,$L535),1),"")))</f>
        <v/>
      </c>
      <c r="H535">
        <f>IF($L535="","",SUMIFS(Расчет!$G$2:$G$3001,Расчет!$I$2:$I$3001,$K535,Расчет!$H$2:$H$3001,1))</f>
        <v/>
      </c>
      <c r="I535">
        <f>IF($L535="","",SUMIFS(Расчет!$G$2:$G$3001,Расчет!$I$2:$I$3001,$K535,Расчет!$H$2:$H$3001,2))</f>
        <v/>
      </c>
      <c r="J535">
        <f>IF($L535="","",SUMIFS(Расчет!$G$2:$G$3001,Расчет!$I$2:$I$3001,$K535,Расчет!$H$2:$H$3001,3))</f>
        <v/>
      </c>
      <c r="K535">
        <f>IF($L535="","",INDEX(Расчет!$I$2:$I$3001,$L535))</f>
        <v/>
      </c>
      <c r="L535">
        <f>IFERROR(MATCH(ROW()-1,Расчет!$J$2:$J$3001,0),"")</f>
        <v/>
      </c>
    </row>
    <row r="536">
      <c r="A536">
        <f>IF($L536="","",B536&amp;"."&amp;C536&amp;"-"&amp;D536&amp;"-"&amp;H536&amp;"."&amp;I536&amp;"."&amp;J536)</f>
        <v/>
      </c>
      <c r="B536">
        <f>IF($L536="","",INDEX(Расчет!$A$2:$A$3001,$L536))</f>
        <v/>
      </c>
      <c r="C536">
        <f>IF($L536="","",INDEX(Расчет!$B$2:$B$3001,$L536))</f>
        <v/>
      </c>
      <c r="D536">
        <f>IF($L536="","",IF(ISNUMBER(FIND("(",INDEX(Расчет!$C$2:$C$3001,$L536))),SUBSTITUTE(MID(INDEX(Расчет!$C$2:$C$3001,$L536),FIND("(",INDEX(Расчет!$C$2:$C$3001,$L536))+1,99),")",""),INDEX(Расчет!$C$2:$C$3001,$L536)))</f>
        <v/>
      </c>
      <c r="E536">
        <f>IF($L536="","",INDEX(Расчет!$D$2:$D$3001,$L536))</f>
        <v/>
      </c>
      <c r="F536">
        <f>IF($L536="","",INDEX(Расчет!$E$2:$E$3001,$L536))</f>
        <v/>
      </c>
      <c r="G536">
        <f>IF($L536="","",IFERROR(--LEFT(INDEX(Расчет!$C$2:$C$3001,$L536),FIND("(",INDEX(Расчет!$C$2:$C$3001,$L536))-1),IFERROR(--LEFT(INDEX(Расчет!$C$2:$C$3001,$L536),1),"")))</f>
        <v/>
      </c>
      <c r="H536">
        <f>IF($L536="","",SUMIFS(Расчет!$G$2:$G$3001,Расчет!$I$2:$I$3001,$K536,Расчет!$H$2:$H$3001,1))</f>
        <v/>
      </c>
      <c r="I536">
        <f>IF($L536="","",SUMIFS(Расчет!$G$2:$G$3001,Расчет!$I$2:$I$3001,$K536,Расчет!$H$2:$H$3001,2))</f>
        <v/>
      </c>
      <c r="J536">
        <f>IF($L536="","",SUMIFS(Расчет!$G$2:$G$3001,Расчет!$I$2:$I$3001,$K536,Расчет!$H$2:$H$3001,3))</f>
        <v/>
      </c>
      <c r="K536">
        <f>IF($L536="","",INDEX(Расчет!$I$2:$I$3001,$L536))</f>
        <v/>
      </c>
      <c r="L536">
        <f>IFERROR(MATCH(ROW()-1,Расчет!$J$2:$J$3001,0),"")</f>
        <v/>
      </c>
    </row>
    <row r="537">
      <c r="A537">
        <f>IF($L537="","",B537&amp;"."&amp;C537&amp;"-"&amp;D537&amp;"-"&amp;H537&amp;"."&amp;I537&amp;"."&amp;J537)</f>
        <v/>
      </c>
      <c r="B537">
        <f>IF($L537="","",INDEX(Расчет!$A$2:$A$3001,$L537))</f>
        <v/>
      </c>
      <c r="C537">
        <f>IF($L537="","",INDEX(Расчет!$B$2:$B$3001,$L537))</f>
        <v/>
      </c>
      <c r="D537">
        <f>IF($L537="","",IF(ISNUMBER(FIND("(",INDEX(Расчет!$C$2:$C$3001,$L537))),SUBSTITUTE(MID(INDEX(Расчет!$C$2:$C$3001,$L537),FIND("(",INDEX(Расчет!$C$2:$C$3001,$L537))+1,99),")",""),INDEX(Расчет!$C$2:$C$3001,$L537)))</f>
        <v/>
      </c>
      <c r="E537">
        <f>IF($L537="","",INDEX(Расчет!$D$2:$D$3001,$L537))</f>
        <v/>
      </c>
      <c r="F537">
        <f>IF($L537="","",INDEX(Расчет!$E$2:$E$3001,$L537))</f>
        <v/>
      </c>
      <c r="G537">
        <f>IF($L537="","",IFERROR(--LEFT(INDEX(Расчет!$C$2:$C$3001,$L537),FIND("(",INDEX(Расчет!$C$2:$C$3001,$L537))-1),IFERROR(--LEFT(INDEX(Расчет!$C$2:$C$3001,$L537),1),"")))</f>
        <v/>
      </c>
      <c r="H537">
        <f>IF($L537="","",SUMIFS(Расчет!$G$2:$G$3001,Расчет!$I$2:$I$3001,$K537,Расчет!$H$2:$H$3001,1))</f>
        <v/>
      </c>
      <c r="I537">
        <f>IF($L537="","",SUMIFS(Расчет!$G$2:$G$3001,Расчет!$I$2:$I$3001,$K537,Расчет!$H$2:$H$3001,2))</f>
        <v/>
      </c>
      <c r="J537">
        <f>IF($L537="","",SUMIFS(Расчет!$G$2:$G$3001,Расчет!$I$2:$I$3001,$K537,Расчет!$H$2:$H$3001,3))</f>
        <v/>
      </c>
      <c r="K537">
        <f>IF($L537="","",INDEX(Расчет!$I$2:$I$3001,$L537))</f>
        <v/>
      </c>
      <c r="L537">
        <f>IFERROR(MATCH(ROW()-1,Расчет!$J$2:$J$3001,0),"")</f>
        <v/>
      </c>
    </row>
    <row r="538">
      <c r="A538">
        <f>IF($L538="","",B538&amp;"."&amp;C538&amp;"-"&amp;D538&amp;"-"&amp;H538&amp;"."&amp;I538&amp;"."&amp;J538)</f>
        <v/>
      </c>
      <c r="B538">
        <f>IF($L538="","",INDEX(Расчет!$A$2:$A$3001,$L538))</f>
        <v/>
      </c>
      <c r="C538">
        <f>IF($L538="","",INDEX(Расчет!$B$2:$B$3001,$L538))</f>
        <v/>
      </c>
      <c r="D538">
        <f>IF($L538="","",IF(ISNUMBER(FIND("(",INDEX(Расчет!$C$2:$C$3001,$L538))),SUBSTITUTE(MID(INDEX(Расчет!$C$2:$C$3001,$L538),FIND("(",INDEX(Расчет!$C$2:$C$3001,$L538))+1,99),")",""),INDEX(Расчет!$C$2:$C$3001,$L538)))</f>
        <v/>
      </c>
      <c r="E538">
        <f>IF($L538="","",INDEX(Расчет!$D$2:$D$3001,$L538))</f>
        <v/>
      </c>
      <c r="F538">
        <f>IF($L538="","",INDEX(Расчет!$E$2:$E$3001,$L538))</f>
        <v/>
      </c>
      <c r="G538">
        <f>IF($L538="","",IFERROR(--LEFT(INDEX(Расчет!$C$2:$C$3001,$L538),FIND("(",INDEX(Расчет!$C$2:$C$3001,$L538))-1),IFERROR(--LEFT(INDEX(Расчет!$C$2:$C$3001,$L538),1),"")))</f>
        <v/>
      </c>
      <c r="H538">
        <f>IF($L538="","",SUMIFS(Расчет!$G$2:$G$3001,Расчет!$I$2:$I$3001,$K538,Расчет!$H$2:$H$3001,1))</f>
        <v/>
      </c>
      <c r="I538">
        <f>IF($L538="","",SUMIFS(Расчет!$G$2:$G$3001,Расчет!$I$2:$I$3001,$K538,Расчет!$H$2:$H$3001,2))</f>
        <v/>
      </c>
      <c r="J538">
        <f>IF($L538="","",SUMIFS(Расчет!$G$2:$G$3001,Расчет!$I$2:$I$3001,$K538,Расчет!$H$2:$H$3001,3))</f>
        <v/>
      </c>
      <c r="K538">
        <f>IF($L538="","",INDEX(Расчет!$I$2:$I$3001,$L538))</f>
        <v/>
      </c>
      <c r="L538">
        <f>IFERROR(MATCH(ROW()-1,Расчет!$J$2:$J$3001,0),"")</f>
        <v/>
      </c>
    </row>
    <row r="539">
      <c r="A539">
        <f>IF($L539="","",B539&amp;"."&amp;C539&amp;"-"&amp;D539&amp;"-"&amp;H539&amp;"."&amp;I539&amp;"."&amp;J539)</f>
        <v/>
      </c>
      <c r="B539">
        <f>IF($L539="","",INDEX(Расчет!$A$2:$A$3001,$L539))</f>
        <v/>
      </c>
      <c r="C539">
        <f>IF($L539="","",INDEX(Расчет!$B$2:$B$3001,$L539))</f>
        <v/>
      </c>
      <c r="D539">
        <f>IF($L539="","",IF(ISNUMBER(FIND("(",INDEX(Расчет!$C$2:$C$3001,$L539))),SUBSTITUTE(MID(INDEX(Расчет!$C$2:$C$3001,$L539),FIND("(",INDEX(Расчет!$C$2:$C$3001,$L539))+1,99),")",""),INDEX(Расчет!$C$2:$C$3001,$L539)))</f>
        <v/>
      </c>
      <c r="E539">
        <f>IF($L539="","",INDEX(Расчет!$D$2:$D$3001,$L539))</f>
        <v/>
      </c>
      <c r="F539">
        <f>IF($L539="","",INDEX(Расчет!$E$2:$E$3001,$L539))</f>
        <v/>
      </c>
      <c r="G539">
        <f>IF($L539="","",IFERROR(--LEFT(INDEX(Расчет!$C$2:$C$3001,$L539),FIND("(",INDEX(Расчет!$C$2:$C$3001,$L539))-1),IFERROR(--LEFT(INDEX(Расчет!$C$2:$C$3001,$L539),1),"")))</f>
        <v/>
      </c>
      <c r="H539">
        <f>IF($L539="","",SUMIFS(Расчет!$G$2:$G$3001,Расчет!$I$2:$I$3001,$K539,Расчет!$H$2:$H$3001,1))</f>
        <v/>
      </c>
      <c r="I539">
        <f>IF($L539="","",SUMIFS(Расчет!$G$2:$G$3001,Расчет!$I$2:$I$3001,$K539,Расчет!$H$2:$H$3001,2))</f>
        <v/>
      </c>
      <c r="J539">
        <f>IF($L539="","",SUMIFS(Расчет!$G$2:$G$3001,Расчет!$I$2:$I$3001,$K539,Расчет!$H$2:$H$3001,3))</f>
        <v/>
      </c>
      <c r="K539">
        <f>IF($L539="","",INDEX(Расчет!$I$2:$I$3001,$L539))</f>
        <v/>
      </c>
      <c r="L539">
        <f>IFERROR(MATCH(ROW()-1,Расчет!$J$2:$J$3001,0),"")</f>
        <v/>
      </c>
    </row>
    <row r="540">
      <c r="A540">
        <f>IF($L540="","",B540&amp;"."&amp;C540&amp;"-"&amp;D540&amp;"-"&amp;H540&amp;"."&amp;I540&amp;"."&amp;J540)</f>
        <v/>
      </c>
      <c r="B540">
        <f>IF($L540="","",INDEX(Расчет!$A$2:$A$3001,$L540))</f>
        <v/>
      </c>
      <c r="C540">
        <f>IF($L540="","",INDEX(Расчет!$B$2:$B$3001,$L540))</f>
        <v/>
      </c>
      <c r="D540">
        <f>IF($L540="","",IF(ISNUMBER(FIND("(",INDEX(Расчет!$C$2:$C$3001,$L540))),SUBSTITUTE(MID(INDEX(Расчет!$C$2:$C$3001,$L540),FIND("(",INDEX(Расчет!$C$2:$C$3001,$L540))+1,99),")",""),INDEX(Расчет!$C$2:$C$3001,$L540)))</f>
        <v/>
      </c>
      <c r="E540">
        <f>IF($L540="","",INDEX(Расчет!$D$2:$D$3001,$L540))</f>
        <v/>
      </c>
      <c r="F540">
        <f>IF($L540="","",INDEX(Расчет!$E$2:$E$3001,$L540))</f>
        <v/>
      </c>
      <c r="G540">
        <f>IF($L540="","",IFERROR(--LEFT(INDEX(Расчет!$C$2:$C$3001,$L540),FIND("(",INDEX(Расчет!$C$2:$C$3001,$L540))-1),IFERROR(--LEFT(INDEX(Расчет!$C$2:$C$3001,$L540),1),"")))</f>
        <v/>
      </c>
      <c r="H540">
        <f>IF($L540="","",SUMIFS(Расчет!$G$2:$G$3001,Расчет!$I$2:$I$3001,$K540,Расчет!$H$2:$H$3001,1))</f>
        <v/>
      </c>
      <c r="I540">
        <f>IF($L540="","",SUMIFS(Расчет!$G$2:$G$3001,Расчет!$I$2:$I$3001,$K540,Расчет!$H$2:$H$3001,2))</f>
        <v/>
      </c>
      <c r="J540">
        <f>IF($L540="","",SUMIFS(Расчет!$G$2:$G$3001,Расчет!$I$2:$I$3001,$K540,Расчет!$H$2:$H$3001,3))</f>
        <v/>
      </c>
      <c r="K540">
        <f>IF($L540="","",INDEX(Расчет!$I$2:$I$3001,$L540))</f>
        <v/>
      </c>
      <c r="L540">
        <f>IFERROR(MATCH(ROW()-1,Расчет!$J$2:$J$3001,0),"")</f>
        <v/>
      </c>
    </row>
    <row r="541">
      <c r="A541">
        <f>IF($L541="","",B541&amp;"."&amp;C541&amp;"-"&amp;D541&amp;"-"&amp;H541&amp;"."&amp;I541&amp;"."&amp;J541)</f>
        <v/>
      </c>
      <c r="B541">
        <f>IF($L541="","",INDEX(Расчет!$A$2:$A$3001,$L541))</f>
        <v/>
      </c>
      <c r="C541">
        <f>IF($L541="","",INDEX(Расчет!$B$2:$B$3001,$L541))</f>
        <v/>
      </c>
      <c r="D541">
        <f>IF($L541="","",IF(ISNUMBER(FIND("(",INDEX(Расчет!$C$2:$C$3001,$L541))),SUBSTITUTE(MID(INDEX(Расчет!$C$2:$C$3001,$L541),FIND("(",INDEX(Расчет!$C$2:$C$3001,$L541))+1,99),")",""),INDEX(Расчет!$C$2:$C$3001,$L541)))</f>
        <v/>
      </c>
      <c r="E541">
        <f>IF($L541="","",INDEX(Расчет!$D$2:$D$3001,$L541))</f>
        <v/>
      </c>
      <c r="F541">
        <f>IF($L541="","",INDEX(Расчет!$E$2:$E$3001,$L541))</f>
        <v/>
      </c>
      <c r="G541">
        <f>IF($L541="","",IFERROR(--LEFT(INDEX(Расчет!$C$2:$C$3001,$L541),FIND("(",INDEX(Расчет!$C$2:$C$3001,$L541))-1),IFERROR(--LEFT(INDEX(Расчет!$C$2:$C$3001,$L541),1),"")))</f>
        <v/>
      </c>
      <c r="H541">
        <f>IF($L541="","",SUMIFS(Расчет!$G$2:$G$3001,Расчет!$I$2:$I$3001,$K541,Расчет!$H$2:$H$3001,1))</f>
        <v/>
      </c>
      <c r="I541">
        <f>IF($L541="","",SUMIFS(Расчет!$G$2:$G$3001,Расчет!$I$2:$I$3001,$K541,Расчет!$H$2:$H$3001,2))</f>
        <v/>
      </c>
      <c r="J541">
        <f>IF($L541="","",SUMIFS(Расчет!$G$2:$G$3001,Расчет!$I$2:$I$3001,$K541,Расчет!$H$2:$H$3001,3))</f>
        <v/>
      </c>
      <c r="K541">
        <f>IF($L541="","",INDEX(Расчет!$I$2:$I$3001,$L541))</f>
        <v/>
      </c>
      <c r="L541">
        <f>IFERROR(MATCH(ROW()-1,Расчет!$J$2:$J$3001,0),"")</f>
        <v/>
      </c>
    </row>
    <row r="542">
      <c r="A542">
        <f>IF($L542="","",B542&amp;"."&amp;C542&amp;"-"&amp;D542&amp;"-"&amp;H542&amp;"."&amp;I542&amp;"."&amp;J542)</f>
        <v/>
      </c>
      <c r="B542">
        <f>IF($L542="","",INDEX(Расчет!$A$2:$A$3001,$L542))</f>
        <v/>
      </c>
      <c r="C542">
        <f>IF($L542="","",INDEX(Расчет!$B$2:$B$3001,$L542))</f>
        <v/>
      </c>
      <c r="D542">
        <f>IF($L542="","",IF(ISNUMBER(FIND("(",INDEX(Расчет!$C$2:$C$3001,$L542))),SUBSTITUTE(MID(INDEX(Расчет!$C$2:$C$3001,$L542),FIND("(",INDEX(Расчет!$C$2:$C$3001,$L542))+1,99),")",""),INDEX(Расчет!$C$2:$C$3001,$L542)))</f>
        <v/>
      </c>
      <c r="E542">
        <f>IF($L542="","",INDEX(Расчет!$D$2:$D$3001,$L542))</f>
        <v/>
      </c>
      <c r="F542">
        <f>IF($L542="","",INDEX(Расчет!$E$2:$E$3001,$L542))</f>
        <v/>
      </c>
      <c r="G542">
        <f>IF($L542="","",IFERROR(--LEFT(INDEX(Расчет!$C$2:$C$3001,$L542),FIND("(",INDEX(Расчет!$C$2:$C$3001,$L542))-1),IFERROR(--LEFT(INDEX(Расчет!$C$2:$C$3001,$L542),1),"")))</f>
        <v/>
      </c>
      <c r="H542">
        <f>IF($L542="","",SUMIFS(Расчет!$G$2:$G$3001,Расчет!$I$2:$I$3001,$K542,Расчет!$H$2:$H$3001,1))</f>
        <v/>
      </c>
      <c r="I542">
        <f>IF($L542="","",SUMIFS(Расчет!$G$2:$G$3001,Расчет!$I$2:$I$3001,$K542,Расчет!$H$2:$H$3001,2))</f>
        <v/>
      </c>
      <c r="J542">
        <f>IF($L542="","",SUMIFS(Расчет!$G$2:$G$3001,Расчет!$I$2:$I$3001,$K542,Расчет!$H$2:$H$3001,3))</f>
        <v/>
      </c>
      <c r="K542">
        <f>IF($L542="","",INDEX(Расчет!$I$2:$I$3001,$L542))</f>
        <v/>
      </c>
      <c r="L542">
        <f>IFERROR(MATCH(ROW()-1,Расчет!$J$2:$J$3001,0),"")</f>
        <v/>
      </c>
    </row>
    <row r="543">
      <c r="A543">
        <f>IF($L543="","",B543&amp;"."&amp;C543&amp;"-"&amp;D543&amp;"-"&amp;H543&amp;"."&amp;I543&amp;"."&amp;J543)</f>
        <v/>
      </c>
      <c r="B543">
        <f>IF($L543="","",INDEX(Расчет!$A$2:$A$3001,$L543))</f>
        <v/>
      </c>
      <c r="C543">
        <f>IF($L543="","",INDEX(Расчет!$B$2:$B$3001,$L543))</f>
        <v/>
      </c>
      <c r="D543">
        <f>IF($L543="","",IF(ISNUMBER(FIND("(",INDEX(Расчет!$C$2:$C$3001,$L543))),SUBSTITUTE(MID(INDEX(Расчет!$C$2:$C$3001,$L543),FIND("(",INDEX(Расчет!$C$2:$C$3001,$L543))+1,99),")",""),INDEX(Расчет!$C$2:$C$3001,$L543)))</f>
        <v/>
      </c>
      <c r="E543">
        <f>IF($L543="","",INDEX(Расчет!$D$2:$D$3001,$L543))</f>
        <v/>
      </c>
      <c r="F543">
        <f>IF($L543="","",INDEX(Расчет!$E$2:$E$3001,$L543))</f>
        <v/>
      </c>
      <c r="G543">
        <f>IF($L543="","",IFERROR(--LEFT(INDEX(Расчет!$C$2:$C$3001,$L543),FIND("(",INDEX(Расчет!$C$2:$C$3001,$L543))-1),IFERROR(--LEFT(INDEX(Расчет!$C$2:$C$3001,$L543),1),"")))</f>
        <v/>
      </c>
      <c r="H543">
        <f>IF($L543="","",SUMIFS(Расчет!$G$2:$G$3001,Расчет!$I$2:$I$3001,$K543,Расчет!$H$2:$H$3001,1))</f>
        <v/>
      </c>
      <c r="I543">
        <f>IF($L543="","",SUMIFS(Расчет!$G$2:$G$3001,Расчет!$I$2:$I$3001,$K543,Расчет!$H$2:$H$3001,2))</f>
        <v/>
      </c>
      <c r="J543">
        <f>IF($L543="","",SUMIFS(Расчет!$G$2:$G$3001,Расчет!$I$2:$I$3001,$K543,Расчет!$H$2:$H$3001,3))</f>
        <v/>
      </c>
      <c r="K543">
        <f>IF($L543="","",INDEX(Расчет!$I$2:$I$3001,$L543))</f>
        <v/>
      </c>
      <c r="L543">
        <f>IFERROR(MATCH(ROW()-1,Расчет!$J$2:$J$3001,0),"")</f>
        <v/>
      </c>
    </row>
    <row r="544">
      <c r="A544">
        <f>IF($L544="","",B544&amp;"."&amp;C544&amp;"-"&amp;D544&amp;"-"&amp;H544&amp;"."&amp;I544&amp;"."&amp;J544)</f>
        <v/>
      </c>
      <c r="B544">
        <f>IF($L544="","",INDEX(Расчет!$A$2:$A$3001,$L544))</f>
        <v/>
      </c>
      <c r="C544">
        <f>IF($L544="","",INDEX(Расчет!$B$2:$B$3001,$L544))</f>
        <v/>
      </c>
      <c r="D544">
        <f>IF($L544="","",IF(ISNUMBER(FIND("(",INDEX(Расчет!$C$2:$C$3001,$L544))),SUBSTITUTE(MID(INDEX(Расчет!$C$2:$C$3001,$L544),FIND("(",INDEX(Расчет!$C$2:$C$3001,$L544))+1,99),")",""),INDEX(Расчет!$C$2:$C$3001,$L544)))</f>
        <v/>
      </c>
      <c r="E544">
        <f>IF($L544="","",INDEX(Расчет!$D$2:$D$3001,$L544))</f>
        <v/>
      </c>
      <c r="F544">
        <f>IF($L544="","",INDEX(Расчет!$E$2:$E$3001,$L544))</f>
        <v/>
      </c>
      <c r="G544">
        <f>IF($L544="","",IFERROR(--LEFT(INDEX(Расчет!$C$2:$C$3001,$L544),FIND("(",INDEX(Расчет!$C$2:$C$3001,$L544))-1),IFERROR(--LEFT(INDEX(Расчет!$C$2:$C$3001,$L544),1),"")))</f>
        <v/>
      </c>
      <c r="H544">
        <f>IF($L544="","",SUMIFS(Расчет!$G$2:$G$3001,Расчет!$I$2:$I$3001,$K544,Расчет!$H$2:$H$3001,1))</f>
        <v/>
      </c>
      <c r="I544">
        <f>IF($L544="","",SUMIFS(Расчет!$G$2:$G$3001,Расчет!$I$2:$I$3001,$K544,Расчет!$H$2:$H$3001,2))</f>
        <v/>
      </c>
      <c r="J544">
        <f>IF($L544="","",SUMIFS(Расчет!$G$2:$G$3001,Расчет!$I$2:$I$3001,$K544,Расчет!$H$2:$H$3001,3))</f>
        <v/>
      </c>
      <c r="K544">
        <f>IF($L544="","",INDEX(Расчет!$I$2:$I$3001,$L544))</f>
        <v/>
      </c>
      <c r="L544">
        <f>IFERROR(MATCH(ROW()-1,Расчет!$J$2:$J$3001,0),"")</f>
        <v/>
      </c>
    </row>
    <row r="545">
      <c r="A545">
        <f>IF($L545="","",B545&amp;"."&amp;C545&amp;"-"&amp;D545&amp;"-"&amp;H545&amp;"."&amp;I545&amp;"."&amp;J545)</f>
        <v/>
      </c>
      <c r="B545">
        <f>IF($L545="","",INDEX(Расчет!$A$2:$A$3001,$L545))</f>
        <v/>
      </c>
      <c r="C545">
        <f>IF($L545="","",INDEX(Расчет!$B$2:$B$3001,$L545))</f>
        <v/>
      </c>
      <c r="D545">
        <f>IF($L545="","",IF(ISNUMBER(FIND("(",INDEX(Расчет!$C$2:$C$3001,$L545))),SUBSTITUTE(MID(INDEX(Расчет!$C$2:$C$3001,$L545),FIND("(",INDEX(Расчет!$C$2:$C$3001,$L545))+1,99),")",""),INDEX(Расчет!$C$2:$C$3001,$L545)))</f>
        <v/>
      </c>
      <c r="E545">
        <f>IF($L545="","",INDEX(Расчет!$D$2:$D$3001,$L545))</f>
        <v/>
      </c>
      <c r="F545">
        <f>IF($L545="","",INDEX(Расчет!$E$2:$E$3001,$L545))</f>
        <v/>
      </c>
      <c r="G545">
        <f>IF($L545="","",IFERROR(--LEFT(INDEX(Расчет!$C$2:$C$3001,$L545),FIND("(",INDEX(Расчет!$C$2:$C$3001,$L545))-1),IFERROR(--LEFT(INDEX(Расчет!$C$2:$C$3001,$L545),1),"")))</f>
        <v/>
      </c>
      <c r="H545">
        <f>IF($L545="","",SUMIFS(Расчет!$G$2:$G$3001,Расчет!$I$2:$I$3001,$K545,Расчет!$H$2:$H$3001,1))</f>
        <v/>
      </c>
      <c r="I545">
        <f>IF($L545="","",SUMIFS(Расчет!$G$2:$G$3001,Расчет!$I$2:$I$3001,$K545,Расчет!$H$2:$H$3001,2))</f>
        <v/>
      </c>
      <c r="J545">
        <f>IF($L545="","",SUMIFS(Расчет!$G$2:$G$3001,Расчет!$I$2:$I$3001,$K545,Расчет!$H$2:$H$3001,3))</f>
        <v/>
      </c>
      <c r="K545">
        <f>IF($L545="","",INDEX(Расчет!$I$2:$I$3001,$L545))</f>
        <v/>
      </c>
      <c r="L545">
        <f>IFERROR(MATCH(ROW()-1,Расчет!$J$2:$J$3001,0),"")</f>
        <v/>
      </c>
    </row>
    <row r="546">
      <c r="A546">
        <f>IF($L546="","",B546&amp;"."&amp;C546&amp;"-"&amp;D546&amp;"-"&amp;H546&amp;"."&amp;I546&amp;"."&amp;J546)</f>
        <v/>
      </c>
      <c r="B546">
        <f>IF($L546="","",INDEX(Расчет!$A$2:$A$3001,$L546))</f>
        <v/>
      </c>
      <c r="C546">
        <f>IF($L546="","",INDEX(Расчет!$B$2:$B$3001,$L546))</f>
        <v/>
      </c>
      <c r="D546">
        <f>IF($L546="","",IF(ISNUMBER(FIND("(",INDEX(Расчет!$C$2:$C$3001,$L546))),SUBSTITUTE(MID(INDEX(Расчет!$C$2:$C$3001,$L546),FIND("(",INDEX(Расчет!$C$2:$C$3001,$L546))+1,99),")",""),INDEX(Расчет!$C$2:$C$3001,$L546)))</f>
        <v/>
      </c>
      <c r="E546">
        <f>IF($L546="","",INDEX(Расчет!$D$2:$D$3001,$L546))</f>
        <v/>
      </c>
      <c r="F546">
        <f>IF($L546="","",INDEX(Расчет!$E$2:$E$3001,$L546))</f>
        <v/>
      </c>
      <c r="G546">
        <f>IF($L546="","",IFERROR(--LEFT(INDEX(Расчет!$C$2:$C$3001,$L546),FIND("(",INDEX(Расчет!$C$2:$C$3001,$L546))-1),IFERROR(--LEFT(INDEX(Расчет!$C$2:$C$3001,$L546),1),"")))</f>
        <v/>
      </c>
      <c r="H546">
        <f>IF($L546="","",SUMIFS(Расчет!$G$2:$G$3001,Расчет!$I$2:$I$3001,$K546,Расчет!$H$2:$H$3001,1))</f>
        <v/>
      </c>
      <c r="I546">
        <f>IF($L546="","",SUMIFS(Расчет!$G$2:$G$3001,Расчет!$I$2:$I$3001,$K546,Расчет!$H$2:$H$3001,2))</f>
        <v/>
      </c>
      <c r="J546">
        <f>IF($L546="","",SUMIFS(Расчет!$G$2:$G$3001,Расчет!$I$2:$I$3001,$K546,Расчет!$H$2:$H$3001,3))</f>
        <v/>
      </c>
      <c r="K546">
        <f>IF($L546="","",INDEX(Расчет!$I$2:$I$3001,$L546))</f>
        <v/>
      </c>
      <c r="L546">
        <f>IFERROR(MATCH(ROW()-1,Расчет!$J$2:$J$3001,0),"")</f>
        <v/>
      </c>
    </row>
    <row r="547">
      <c r="A547">
        <f>IF($L547="","",B547&amp;"."&amp;C547&amp;"-"&amp;D547&amp;"-"&amp;H547&amp;"."&amp;I547&amp;"."&amp;J547)</f>
        <v/>
      </c>
      <c r="B547">
        <f>IF($L547="","",INDEX(Расчет!$A$2:$A$3001,$L547))</f>
        <v/>
      </c>
      <c r="C547">
        <f>IF($L547="","",INDEX(Расчет!$B$2:$B$3001,$L547))</f>
        <v/>
      </c>
      <c r="D547">
        <f>IF($L547="","",IF(ISNUMBER(FIND("(",INDEX(Расчет!$C$2:$C$3001,$L547))),SUBSTITUTE(MID(INDEX(Расчет!$C$2:$C$3001,$L547),FIND("(",INDEX(Расчет!$C$2:$C$3001,$L547))+1,99),")",""),INDEX(Расчет!$C$2:$C$3001,$L547)))</f>
        <v/>
      </c>
      <c r="E547">
        <f>IF($L547="","",INDEX(Расчет!$D$2:$D$3001,$L547))</f>
        <v/>
      </c>
      <c r="F547">
        <f>IF($L547="","",INDEX(Расчет!$E$2:$E$3001,$L547))</f>
        <v/>
      </c>
      <c r="G547">
        <f>IF($L547="","",IFERROR(--LEFT(INDEX(Расчет!$C$2:$C$3001,$L547),FIND("(",INDEX(Расчет!$C$2:$C$3001,$L547))-1),IFERROR(--LEFT(INDEX(Расчет!$C$2:$C$3001,$L547),1),"")))</f>
        <v/>
      </c>
      <c r="H547">
        <f>IF($L547="","",SUMIFS(Расчет!$G$2:$G$3001,Расчет!$I$2:$I$3001,$K547,Расчет!$H$2:$H$3001,1))</f>
        <v/>
      </c>
      <c r="I547">
        <f>IF($L547="","",SUMIFS(Расчет!$G$2:$G$3001,Расчет!$I$2:$I$3001,$K547,Расчет!$H$2:$H$3001,2))</f>
        <v/>
      </c>
      <c r="J547">
        <f>IF($L547="","",SUMIFS(Расчет!$G$2:$G$3001,Расчет!$I$2:$I$3001,$K547,Расчет!$H$2:$H$3001,3))</f>
        <v/>
      </c>
      <c r="K547">
        <f>IF($L547="","",INDEX(Расчет!$I$2:$I$3001,$L547))</f>
        <v/>
      </c>
      <c r="L547">
        <f>IFERROR(MATCH(ROW()-1,Расчет!$J$2:$J$3001,0),"")</f>
        <v/>
      </c>
    </row>
    <row r="548">
      <c r="A548">
        <f>IF($L548="","",B548&amp;"."&amp;C548&amp;"-"&amp;D548&amp;"-"&amp;H548&amp;"."&amp;I548&amp;"."&amp;J548)</f>
        <v/>
      </c>
      <c r="B548">
        <f>IF($L548="","",INDEX(Расчет!$A$2:$A$3001,$L548))</f>
        <v/>
      </c>
      <c r="C548">
        <f>IF($L548="","",INDEX(Расчет!$B$2:$B$3001,$L548))</f>
        <v/>
      </c>
      <c r="D548">
        <f>IF($L548="","",IF(ISNUMBER(FIND("(",INDEX(Расчет!$C$2:$C$3001,$L548))),SUBSTITUTE(MID(INDEX(Расчет!$C$2:$C$3001,$L548),FIND("(",INDEX(Расчет!$C$2:$C$3001,$L548))+1,99),")",""),INDEX(Расчет!$C$2:$C$3001,$L548)))</f>
        <v/>
      </c>
      <c r="E548">
        <f>IF($L548="","",INDEX(Расчет!$D$2:$D$3001,$L548))</f>
        <v/>
      </c>
      <c r="F548">
        <f>IF($L548="","",INDEX(Расчет!$E$2:$E$3001,$L548))</f>
        <v/>
      </c>
      <c r="G548">
        <f>IF($L548="","",IFERROR(--LEFT(INDEX(Расчет!$C$2:$C$3001,$L548),FIND("(",INDEX(Расчет!$C$2:$C$3001,$L548))-1),IFERROR(--LEFT(INDEX(Расчет!$C$2:$C$3001,$L548),1),"")))</f>
        <v/>
      </c>
      <c r="H548">
        <f>IF($L548="","",SUMIFS(Расчет!$G$2:$G$3001,Расчет!$I$2:$I$3001,$K548,Расчет!$H$2:$H$3001,1))</f>
        <v/>
      </c>
      <c r="I548">
        <f>IF($L548="","",SUMIFS(Расчет!$G$2:$G$3001,Расчет!$I$2:$I$3001,$K548,Расчет!$H$2:$H$3001,2))</f>
        <v/>
      </c>
      <c r="J548">
        <f>IF($L548="","",SUMIFS(Расчет!$G$2:$G$3001,Расчет!$I$2:$I$3001,$K548,Расчет!$H$2:$H$3001,3))</f>
        <v/>
      </c>
      <c r="K548">
        <f>IF($L548="","",INDEX(Расчет!$I$2:$I$3001,$L548))</f>
        <v/>
      </c>
      <c r="L548">
        <f>IFERROR(MATCH(ROW()-1,Расчет!$J$2:$J$3001,0),"")</f>
        <v/>
      </c>
    </row>
    <row r="549">
      <c r="A549">
        <f>IF($L549="","",B549&amp;"."&amp;C549&amp;"-"&amp;D549&amp;"-"&amp;H549&amp;"."&amp;I549&amp;"."&amp;J549)</f>
        <v/>
      </c>
      <c r="B549">
        <f>IF($L549="","",INDEX(Расчет!$A$2:$A$3001,$L549))</f>
        <v/>
      </c>
      <c r="C549">
        <f>IF($L549="","",INDEX(Расчет!$B$2:$B$3001,$L549))</f>
        <v/>
      </c>
      <c r="D549">
        <f>IF($L549="","",IF(ISNUMBER(FIND("(",INDEX(Расчет!$C$2:$C$3001,$L549))),SUBSTITUTE(MID(INDEX(Расчет!$C$2:$C$3001,$L549),FIND("(",INDEX(Расчет!$C$2:$C$3001,$L549))+1,99),")",""),INDEX(Расчет!$C$2:$C$3001,$L549)))</f>
        <v/>
      </c>
      <c r="E549">
        <f>IF($L549="","",INDEX(Расчет!$D$2:$D$3001,$L549))</f>
        <v/>
      </c>
      <c r="F549">
        <f>IF($L549="","",INDEX(Расчет!$E$2:$E$3001,$L549))</f>
        <v/>
      </c>
      <c r="G549">
        <f>IF($L549="","",IFERROR(--LEFT(INDEX(Расчет!$C$2:$C$3001,$L549),FIND("(",INDEX(Расчет!$C$2:$C$3001,$L549))-1),IFERROR(--LEFT(INDEX(Расчет!$C$2:$C$3001,$L549),1),"")))</f>
        <v/>
      </c>
      <c r="H549">
        <f>IF($L549="","",SUMIFS(Расчет!$G$2:$G$3001,Расчет!$I$2:$I$3001,$K549,Расчет!$H$2:$H$3001,1))</f>
        <v/>
      </c>
      <c r="I549">
        <f>IF($L549="","",SUMIFS(Расчет!$G$2:$G$3001,Расчет!$I$2:$I$3001,$K549,Расчет!$H$2:$H$3001,2))</f>
        <v/>
      </c>
      <c r="J549">
        <f>IF($L549="","",SUMIFS(Расчет!$G$2:$G$3001,Расчет!$I$2:$I$3001,$K549,Расчет!$H$2:$H$3001,3))</f>
        <v/>
      </c>
      <c r="K549">
        <f>IF($L549="","",INDEX(Расчет!$I$2:$I$3001,$L549))</f>
        <v/>
      </c>
      <c r="L549">
        <f>IFERROR(MATCH(ROW()-1,Расчет!$J$2:$J$3001,0),"")</f>
        <v/>
      </c>
    </row>
    <row r="550">
      <c r="A550">
        <f>IF($L550="","",B550&amp;"."&amp;C550&amp;"-"&amp;D550&amp;"-"&amp;H550&amp;"."&amp;I550&amp;"."&amp;J550)</f>
        <v/>
      </c>
      <c r="B550">
        <f>IF($L550="","",INDEX(Расчет!$A$2:$A$3001,$L550))</f>
        <v/>
      </c>
      <c r="C550">
        <f>IF($L550="","",INDEX(Расчет!$B$2:$B$3001,$L550))</f>
        <v/>
      </c>
      <c r="D550">
        <f>IF($L550="","",IF(ISNUMBER(FIND("(",INDEX(Расчет!$C$2:$C$3001,$L550))),SUBSTITUTE(MID(INDEX(Расчет!$C$2:$C$3001,$L550),FIND("(",INDEX(Расчет!$C$2:$C$3001,$L550))+1,99),")",""),INDEX(Расчет!$C$2:$C$3001,$L550)))</f>
        <v/>
      </c>
      <c r="E550">
        <f>IF($L550="","",INDEX(Расчет!$D$2:$D$3001,$L550))</f>
        <v/>
      </c>
      <c r="F550">
        <f>IF($L550="","",INDEX(Расчет!$E$2:$E$3001,$L550))</f>
        <v/>
      </c>
      <c r="G550">
        <f>IF($L550="","",IFERROR(--LEFT(INDEX(Расчет!$C$2:$C$3001,$L550),FIND("(",INDEX(Расчет!$C$2:$C$3001,$L550))-1),IFERROR(--LEFT(INDEX(Расчет!$C$2:$C$3001,$L550),1),"")))</f>
        <v/>
      </c>
      <c r="H550">
        <f>IF($L550="","",SUMIFS(Расчет!$G$2:$G$3001,Расчет!$I$2:$I$3001,$K550,Расчет!$H$2:$H$3001,1))</f>
        <v/>
      </c>
      <c r="I550">
        <f>IF($L550="","",SUMIFS(Расчет!$G$2:$G$3001,Расчет!$I$2:$I$3001,$K550,Расчет!$H$2:$H$3001,2))</f>
        <v/>
      </c>
      <c r="J550">
        <f>IF($L550="","",SUMIFS(Расчет!$G$2:$G$3001,Расчет!$I$2:$I$3001,$K550,Расчет!$H$2:$H$3001,3))</f>
        <v/>
      </c>
      <c r="K550">
        <f>IF($L550="","",INDEX(Расчет!$I$2:$I$3001,$L550))</f>
        <v/>
      </c>
      <c r="L550">
        <f>IFERROR(MATCH(ROW()-1,Расчет!$J$2:$J$3001,0),"")</f>
        <v/>
      </c>
    </row>
    <row r="551">
      <c r="A551">
        <f>IF($L551="","",B551&amp;"."&amp;C551&amp;"-"&amp;D551&amp;"-"&amp;H551&amp;"."&amp;I551&amp;"."&amp;J551)</f>
        <v/>
      </c>
      <c r="B551">
        <f>IF($L551="","",INDEX(Расчет!$A$2:$A$3001,$L551))</f>
        <v/>
      </c>
      <c r="C551">
        <f>IF($L551="","",INDEX(Расчет!$B$2:$B$3001,$L551))</f>
        <v/>
      </c>
      <c r="D551">
        <f>IF($L551="","",IF(ISNUMBER(FIND("(",INDEX(Расчет!$C$2:$C$3001,$L551))),SUBSTITUTE(MID(INDEX(Расчет!$C$2:$C$3001,$L551),FIND("(",INDEX(Расчет!$C$2:$C$3001,$L551))+1,99),")",""),INDEX(Расчет!$C$2:$C$3001,$L551)))</f>
        <v/>
      </c>
      <c r="E551">
        <f>IF($L551="","",INDEX(Расчет!$D$2:$D$3001,$L551))</f>
        <v/>
      </c>
      <c r="F551">
        <f>IF($L551="","",INDEX(Расчет!$E$2:$E$3001,$L551))</f>
        <v/>
      </c>
      <c r="G551">
        <f>IF($L551="","",IFERROR(--LEFT(INDEX(Расчет!$C$2:$C$3001,$L551),FIND("(",INDEX(Расчет!$C$2:$C$3001,$L551))-1),IFERROR(--LEFT(INDEX(Расчет!$C$2:$C$3001,$L551),1),"")))</f>
        <v/>
      </c>
      <c r="H551">
        <f>IF($L551="","",SUMIFS(Расчет!$G$2:$G$3001,Расчет!$I$2:$I$3001,$K551,Расчет!$H$2:$H$3001,1))</f>
        <v/>
      </c>
      <c r="I551">
        <f>IF($L551="","",SUMIFS(Расчет!$G$2:$G$3001,Расчет!$I$2:$I$3001,$K551,Расчет!$H$2:$H$3001,2))</f>
        <v/>
      </c>
      <c r="J551">
        <f>IF($L551="","",SUMIFS(Расчет!$G$2:$G$3001,Расчет!$I$2:$I$3001,$K551,Расчет!$H$2:$H$3001,3))</f>
        <v/>
      </c>
      <c r="K551">
        <f>IF($L551="","",INDEX(Расчет!$I$2:$I$3001,$L551))</f>
        <v/>
      </c>
      <c r="L551">
        <f>IFERROR(MATCH(ROW()-1,Расчет!$J$2:$J$3001,0),"")</f>
        <v/>
      </c>
    </row>
    <row r="552">
      <c r="A552">
        <f>IF($L552="","",B552&amp;"."&amp;C552&amp;"-"&amp;D552&amp;"-"&amp;H552&amp;"."&amp;I552&amp;"."&amp;J552)</f>
        <v/>
      </c>
      <c r="B552">
        <f>IF($L552="","",INDEX(Расчет!$A$2:$A$3001,$L552))</f>
        <v/>
      </c>
      <c r="C552">
        <f>IF($L552="","",INDEX(Расчет!$B$2:$B$3001,$L552))</f>
        <v/>
      </c>
      <c r="D552">
        <f>IF($L552="","",IF(ISNUMBER(FIND("(",INDEX(Расчет!$C$2:$C$3001,$L552))),SUBSTITUTE(MID(INDEX(Расчет!$C$2:$C$3001,$L552),FIND("(",INDEX(Расчет!$C$2:$C$3001,$L552))+1,99),")",""),INDEX(Расчет!$C$2:$C$3001,$L552)))</f>
        <v/>
      </c>
      <c r="E552">
        <f>IF($L552="","",INDEX(Расчет!$D$2:$D$3001,$L552))</f>
        <v/>
      </c>
      <c r="F552">
        <f>IF($L552="","",INDEX(Расчет!$E$2:$E$3001,$L552))</f>
        <v/>
      </c>
      <c r="G552">
        <f>IF($L552="","",IFERROR(--LEFT(INDEX(Расчет!$C$2:$C$3001,$L552),FIND("(",INDEX(Расчет!$C$2:$C$3001,$L552))-1),IFERROR(--LEFT(INDEX(Расчет!$C$2:$C$3001,$L552),1),"")))</f>
        <v/>
      </c>
      <c r="H552">
        <f>IF($L552="","",SUMIFS(Расчет!$G$2:$G$3001,Расчет!$I$2:$I$3001,$K552,Расчет!$H$2:$H$3001,1))</f>
        <v/>
      </c>
      <c r="I552">
        <f>IF($L552="","",SUMIFS(Расчет!$G$2:$G$3001,Расчет!$I$2:$I$3001,$K552,Расчет!$H$2:$H$3001,2))</f>
        <v/>
      </c>
      <c r="J552">
        <f>IF($L552="","",SUMIFS(Расчет!$G$2:$G$3001,Расчет!$I$2:$I$3001,$K552,Расчет!$H$2:$H$3001,3))</f>
        <v/>
      </c>
      <c r="K552">
        <f>IF($L552="","",INDEX(Расчет!$I$2:$I$3001,$L552))</f>
        <v/>
      </c>
      <c r="L552">
        <f>IFERROR(MATCH(ROW()-1,Расчет!$J$2:$J$3001,0),"")</f>
        <v/>
      </c>
    </row>
    <row r="553">
      <c r="A553">
        <f>IF($L553="","",B553&amp;"."&amp;C553&amp;"-"&amp;D553&amp;"-"&amp;H553&amp;"."&amp;I553&amp;"."&amp;J553)</f>
        <v/>
      </c>
      <c r="B553">
        <f>IF($L553="","",INDEX(Расчет!$A$2:$A$3001,$L553))</f>
        <v/>
      </c>
      <c r="C553">
        <f>IF($L553="","",INDEX(Расчет!$B$2:$B$3001,$L553))</f>
        <v/>
      </c>
      <c r="D553">
        <f>IF($L553="","",IF(ISNUMBER(FIND("(",INDEX(Расчет!$C$2:$C$3001,$L553))),SUBSTITUTE(MID(INDEX(Расчет!$C$2:$C$3001,$L553),FIND("(",INDEX(Расчет!$C$2:$C$3001,$L553))+1,99),")",""),INDEX(Расчет!$C$2:$C$3001,$L553)))</f>
        <v/>
      </c>
      <c r="E553">
        <f>IF($L553="","",INDEX(Расчет!$D$2:$D$3001,$L553))</f>
        <v/>
      </c>
      <c r="F553">
        <f>IF($L553="","",INDEX(Расчет!$E$2:$E$3001,$L553))</f>
        <v/>
      </c>
      <c r="G553">
        <f>IF($L553="","",IFERROR(--LEFT(INDEX(Расчет!$C$2:$C$3001,$L553),FIND("(",INDEX(Расчет!$C$2:$C$3001,$L553))-1),IFERROR(--LEFT(INDEX(Расчет!$C$2:$C$3001,$L553),1),"")))</f>
        <v/>
      </c>
      <c r="H553">
        <f>IF($L553="","",SUMIFS(Расчет!$G$2:$G$3001,Расчет!$I$2:$I$3001,$K553,Расчет!$H$2:$H$3001,1))</f>
        <v/>
      </c>
      <c r="I553">
        <f>IF($L553="","",SUMIFS(Расчет!$G$2:$G$3001,Расчет!$I$2:$I$3001,$K553,Расчет!$H$2:$H$3001,2))</f>
        <v/>
      </c>
      <c r="J553">
        <f>IF($L553="","",SUMIFS(Расчет!$G$2:$G$3001,Расчет!$I$2:$I$3001,$K553,Расчет!$H$2:$H$3001,3))</f>
        <v/>
      </c>
      <c r="K553">
        <f>IF($L553="","",INDEX(Расчет!$I$2:$I$3001,$L553))</f>
        <v/>
      </c>
      <c r="L553">
        <f>IFERROR(MATCH(ROW()-1,Расчет!$J$2:$J$3001,0),"")</f>
        <v/>
      </c>
    </row>
    <row r="554">
      <c r="A554">
        <f>IF($L554="","",B554&amp;"."&amp;C554&amp;"-"&amp;D554&amp;"-"&amp;H554&amp;"."&amp;I554&amp;"."&amp;J554)</f>
        <v/>
      </c>
      <c r="B554">
        <f>IF($L554="","",INDEX(Расчет!$A$2:$A$3001,$L554))</f>
        <v/>
      </c>
      <c r="C554">
        <f>IF($L554="","",INDEX(Расчет!$B$2:$B$3001,$L554))</f>
        <v/>
      </c>
      <c r="D554">
        <f>IF($L554="","",IF(ISNUMBER(FIND("(",INDEX(Расчет!$C$2:$C$3001,$L554))),SUBSTITUTE(MID(INDEX(Расчет!$C$2:$C$3001,$L554),FIND("(",INDEX(Расчет!$C$2:$C$3001,$L554))+1,99),")",""),INDEX(Расчет!$C$2:$C$3001,$L554)))</f>
        <v/>
      </c>
      <c r="E554">
        <f>IF($L554="","",INDEX(Расчет!$D$2:$D$3001,$L554))</f>
        <v/>
      </c>
      <c r="F554">
        <f>IF($L554="","",INDEX(Расчет!$E$2:$E$3001,$L554))</f>
        <v/>
      </c>
      <c r="G554">
        <f>IF($L554="","",IFERROR(--LEFT(INDEX(Расчет!$C$2:$C$3001,$L554),FIND("(",INDEX(Расчет!$C$2:$C$3001,$L554))-1),IFERROR(--LEFT(INDEX(Расчет!$C$2:$C$3001,$L554),1),"")))</f>
        <v/>
      </c>
      <c r="H554">
        <f>IF($L554="","",SUMIFS(Расчет!$G$2:$G$3001,Расчет!$I$2:$I$3001,$K554,Расчет!$H$2:$H$3001,1))</f>
        <v/>
      </c>
      <c r="I554">
        <f>IF($L554="","",SUMIFS(Расчет!$G$2:$G$3001,Расчет!$I$2:$I$3001,$K554,Расчет!$H$2:$H$3001,2))</f>
        <v/>
      </c>
      <c r="J554">
        <f>IF($L554="","",SUMIFS(Расчет!$G$2:$G$3001,Расчет!$I$2:$I$3001,$K554,Расчет!$H$2:$H$3001,3))</f>
        <v/>
      </c>
      <c r="K554">
        <f>IF($L554="","",INDEX(Расчет!$I$2:$I$3001,$L554))</f>
        <v/>
      </c>
      <c r="L554">
        <f>IFERROR(MATCH(ROW()-1,Расчет!$J$2:$J$3001,0),"")</f>
        <v/>
      </c>
    </row>
    <row r="555">
      <c r="A555">
        <f>IF($L555="","",B555&amp;"."&amp;C555&amp;"-"&amp;D555&amp;"-"&amp;H555&amp;"."&amp;I555&amp;"."&amp;J555)</f>
        <v/>
      </c>
      <c r="B555">
        <f>IF($L555="","",INDEX(Расчет!$A$2:$A$3001,$L555))</f>
        <v/>
      </c>
      <c r="C555">
        <f>IF($L555="","",INDEX(Расчет!$B$2:$B$3001,$L555))</f>
        <v/>
      </c>
      <c r="D555">
        <f>IF($L555="","",IF(ISNUMBER(FIND("(",INDEX(Расчет!$C$2:$C$3001,$L555))),SUBSTITUTE(MID(INDEX(Расчет!$C$2:$C$3001,$L555),FIND("(",INDEX(Расчет!$C$2:$C$3001,$L555))+1,99),")",""),INDEX(Расчет!$C$2:$C$3001,$L555)))</f>
        <v/>
      </c>
      <c r="E555">
        <f>IF($L555="","",INDEX(Расчет!$D$2:$D$3001,$L555))</f>
        <v/>
      </c>
      <c r="F555">
        <f>IF($L555="","",INDEX(Расчет!$E$2:$E$3001,$L555))</f>
        <v/>
      </c>
      <c r="G555">
        <f>IF($L555="","",IFERROR(--LEFT(INDEX(Расчет!$C$2:$C$3001,$L555),FIND("(",INDEX(Расчет!$C$2:$C$3001,$L555))-1),IFERROR(--LEFT(INDEX(Расчет!$C$2:$C$3001,$L555),1),"")))</f>
        <v/>
      </c>
      <c r="H555">
        <f>IF($L555="","",SUMIFS(Расчет!$G$2:$G$3001,Расчет!$I$2:$I$3001,$K555,Расчет!$H$2:$H$3001,1))</f>
        <v/>
      </c>
      <c r="I555">
        <f>IF($L555="","",SUMIFS(Расчет!$G$2:$G$3001,Расчет!$I$2:$I$3001,$K555,Расчет!$H$2:$H$3001,2))</f>
        <v/>
      </c>
      <c r="J555">
        <f>IF($L555="","",SUMIFS(Расчет!$G$2:$G$3001,Расчет!$I$2:$I$3001,$K555,Расчет!$H$2:$H$3001,3))</f>
        <v/>
      </c>
      <c r="K555">
        <f>IF($L555="","",INDEX(Расчет!$I$2:$I$3001,$L555))</f>
        <v/>
      </c>
      <c r="L555">
        <f>IFERROR(MATCH(ROW()-1,Расчет!$J$2:$J$3001,0),"")</f>
        <v/>
      </c>
    </row>
    <row r="556">
      <c r="A556">
        <f>IF($L556="","",B556&amp;"."&amp;C556&amp;"-"&amp;D556&amp;"-"&amp;H556&amp;"."&amp;I556&amp;"."&amp;J556)</f>
        <v/>
      </c>
      <c r="B556">
        <f>IF($L556="","",INDEX(Расчет!$A$2:$A$3001,$L556))</f>
        <v/>
      </c>
      <c r="C556">
        <f>IF($L556="","",INDEX(Расчет!$B$2:$B$3001,$L556))</f>
        <v/>
      </c>
      <c r="D556">
        <f>IF($L556="","",IF(ISNUMBER(FIND("(",INDEX(Расчет!$C$2:$C$3001,$L556))),SUBSTITUTE(MID(INDEX(Расчет!$C$2:$C$3001,$L556),FIND("(",INDEX(Расчет!$C$2:$C$3001,$L556))+1,99),")",""),INDEX(Расчет!$C$2:$C$3001,$L556)))</f>
        <v/>
      </c>
      <c r="E556">
        <f>IF($L556="","",INDEX(Расчет!$D$2:$D$3001,$L556))</f>
        <v/>
      </c>
      <c r="F556">
        <f>IF($L556="","",INDEX(Расчет!$E$2:$E$3001,$L556))</f>
        <v/>
      </c>
      <c r="G556">
        <f>IF($L556="","",IFERROR(--LEFT(INDEX(Расчет!$C$2:$C$3001,$L556),FIND("(",INDEX(Расчет!$C$2:$C$3001,$L556))-1),IFERROR(--LEFT(INDEX(Расчет!$C$2:$C$3001,$L556),1),"")))</f>
        <v/>
      </c>
      <c r="H556">
        <f>IF($L556="","",SUMIFS(Расчет!$G$2:$G$3001,Расчет!$I$2:$I$3001,$K556,Расчет!$H$2:$H$3001,1))</f>
        <v/>
      </c>
      <c r="I556">
        <f>IF($L556="","",SUMIFS(Расчет!$G$2:$G$3001,Расчет!$I$2:$I$3001,$K556,Расчет!$H$2:$H$3001,2))</f>
        <v/>
      </c>
      <c r="J556">
        <f>IF($L556="","",SUMIFS(Расчет!$G$2:$G$3001,Расчет!$I$2:$I$3001,$K556,Расчет!$H$2:$H$3001,3))</f>
        <v/>
      </c>
      <c r="K556">
        <f>IF($L556="","",INDEX(Расчет!$I$2:$I$3001,$L556))</f>
        <v/>
      </c>
      <c r="L556">
        <f>IFERROR(MATCH(ROW()-1,Расчет!$J$2:$J$3001,0),"")</f>
        <v/>
      </c>
    </row>
    <row r="557">
      <c r="A557">
        <f>IF($L557="","",B557&amp;"."&amp;C557&amp;"-"&amp;D557&amp;"-"&amp;H557&amp;"."&amp;I557&amp;"."&amp;J557)</f>
        <v/>
      </c>
      <c r="B557">
        <f>IF($L557="","",INDEX(Расчет!$A$2:$A$3001,$L557))</f>
        <v/>
      </c>
      <c r="C557">
        <f>IF($L557="","",INDEX(Расчет!$B$2:$B$3001,$L557))</f>
        <v/>
      </c>
      <c r="D557">
        <f>IF($L557="","",IF(ISNUMBER(FIND("(",INDEX(Расчет!$C$2:$C$3001,$L557))),SUBSTITUTE(MID(INDEX(Расчет!$C$2:$C$3001,$L557),FIND("(",INDEX(Расчет!$C$2:$C$3001,$L557))+1,99),")",""),INDEX(Расчет!$C$2:$C$3001,$L557)))</f>
        <v/>
      </c>
      <c r="E557">
        <f>IF($L557="","",INDEX(Расчет!$D$2:$D$3001,$L557))</f>
        <v/>
      </c>
      <c r="F557">
        <f>IF($L557="","",INDEX(Расчет!$E$2:$E$3001,$L557))</f>
        <v/>
      </c>
      <c r="G557">
        <f>IF($L557="","",IFERROR(--LEFT(INDEX(Расчет!$C$2:$C$3001,$L557),FIND("(",INDEX(Расчет!$C$2:$C$3001,$L557))-1),IFERROR(--LEFT(INDEX(Расчет!$C$2:$C$3001,$L557),1),"")))</f>
        <v/>
      </c>
      <c r="H557">
        <f>IF($L557="","",SUMIFS(Расчет!$G$2:$G$3001,Расчет!$I$2:$I$3001,$K557,Расчет!$H$2:$H$3001,1))</f>
        <v/>
      </c>
      <c r="I557">
        <f>IF($L557="","",SUMIFS(Расчет!$G$2:$G$3001,Расчет!$I$2:$I$3001,$K557,Расчет!$H$2:$H$3001,2))</f>
        <v/>
      </c>
      <c r="J557">
        <f>IF($L557="","",SUMIFS(Расчет!$G$2:$G$3001,Расчет!$I$2:$I$3001,$K557,Расчет!$H$2:$H$3001,3))</f>
        <v/>
      </c>
      <c r="K557">
        <f>IF($L557="","",INDEX(Расчет!$I$2:$I$3001,$L557))</f>
        <v/>
      </c>
      <c r="L557">
        <f>IFERROR(MATCH(ROW()-1,Расчет!$J$2:$J$3001,0),"")</f>
        <v/>
      </c>
    </row>
    <row r="558">
      <c r="A558">
        <f>IF($L558="","",B558&amp;"."&amp;C558&amp;"-"&amp;D558&amp;"-"&amp;H558&amp;"."&amp;I558&amp;"."&amp;J558)</f>
        <v/>
      </c>
      <c r="B558">
        <f>IF($L558="","",INDEX(Расчет!$A$2:$A$3001,$L558))</f>
        <v/>
      </c>
      <c r="C558">
        <f>IF($L558="","",INDEX(Расчет!$B$2:$B$3001,$L558))</f>
        <v/>
      </c>
      <c r="D558">
        <f>IF($L558="","",IF(ISNUMBER(FIND("(",INDEX(Расчет!$C$2:$C$3001,$L558))),SUBSTITUTE(MID(INDEX(Расчет!$C$2:$C$3001,$L558),FIND("(",INDEX(Расчет!$C$2:$C$3001,$L558))+1,99),")",""),INDEX(Расчет!$C$2:$C$3001,$L558)))</f>
        <v/>
      </c>
      <c r="E558">
        <f>IF($L558="","",INDEX(Расчет!$D$2:$D$3001,$L558))</f>
        <v/>
      </c>
      <c r="F558">
        <f>IF($L558="","",INDEX(Расчет!$E$2:$E$3001,$L558))</f>
        <v/>
      </c>
      <c r="G558">
        <f>IF($L558="","",IFERROR(--LEFT(INDEX(Расчет!$C$2:$C$3001,$L558),FIND("(",INDEX(Расчет!$C$2:$C$3001,$L558))-1),IFERROR(--LEFT(INDEX(Расчет!$C$2:$C$3001,$L558),1),"")))</f>
        <v/>
      </c>
      <c r="H558">
        <f>IF($L558="","",SUMIFS(Расчет!$G$2:$G$3001,Расчет!$I$2:$I$3001,$K558,Расчет!$H$2:$H$3001,1))</f>
        <v/>
      </c>
      <c r="I558">
        <f>IF($L558="","",SUMIFS(Расчет!$G$2:$G$3001,Расчет!$I$2:$I$3001,$K558,Расчет!$H$2:$H$3001,2))</f>
        <v/>
      </c>
      <c r="J558">
        <f>IF($L558="","",SUMIFS(Расчет!$G$2:$G$3001,Расчет!$I$2:$I$3001,$K558,Расчет!$H$2:$H$3001,3))</f>
        <v/>
      </c>
      <c r="K558">
        <f>IF($L558="","",INDEX(Расчет!$I$2:$I$3001,$L558))</f>
        <v/>
      </c>
      <c r="L558">
        <f>IFERROR(MATCH(ROW()-1,Расчет!$J$2:$J$3001,0),"")</f>
        <v/>
      </c>
    </row>
    <row r="559">
      <c r="A559">
        <f>IF($L559="","",B559&amp;"."&amp;C559&amp;"-"&amp;D559&amp;"-"&amp;H559&amp;"."&amp;I559&amp;"."&amp;J559)</f>
        <v/>
      </c>
      <c r="B559">
        <f>IF($L559="","",INDEX(Расчет!$A$2:$A$3001,$L559))</f>
        <v/>
      </c>
      <c r="C559">
        <f>IF($L559="","",INDEX(Расчет!$B$2:$B$3001,$L559))</f>
        <v/>
      </c>
      <c r="D559">
        <f>IF($L559="","",IF(ISNUMBER(FIND("(",INDEX(Расчет!$C$2:$C$3001,$L559))),SUBSTITUTE(MID(INDEX(Расчет!$C$2:$C$3001,$L559),FIND("(",INDEX(Расчет!$C$2:$C$3001,$L559))+1,99),")",""),INDEX(Расчет!$C$2:$C$3001,$L559)))</f>
        <v/>
      </c>
      <c r="E559">
        <f>IF($L559="","",INDEX(Расчет!$D$2:$D$3001,$L559))</f>
        <v/>
      </c>
      <c r="F559">
        <f>IF($L559="","",INDEX(Расчет!$E$2:$E$3001,$L559))</f>
        <v/>
      </c>
      <c r="G559">
        <f>IF($L559="","",IFERROR(--LEFT(INDEX(Расчет!$C$2:$C$3001,$L559),FIND("(",INDEX(Расчет!$C$2:$C$3001,$L559))-1),IFERROR(--LEFT(INDEX(Расчет!$C$2:$C$3001,$L559),1),"")))</f>
        <v/>
      </c>
      <c r="H559">
        <f>IF($L559="","",SUMIFS(Расчет!$G$2:$G$3001,Расчет!$I$2:$I$3001,$K559,Расчет!$H$2:$H$3001,1))</f>
        <v/>
      </c>
      <c r="I559">
        <f>IF($L559="","",SUMIFS(Расчет!$G$2:$G$3001,Расчет!$I$2:$I$3001,$K559,Расчет!$H$2:$H$3001,2))</f>
        <v/>
      </c>
      <c r="J559">
        <f>IF($L559="","",SUMIFS(Расчет!$G$2:$G$3001,Расчет!$I$2:$I$3001,$K559,Расчет!$H$2:$H$3001,3))</f>
        <v/>
      </c>
      <c r="K559">
        <f>IF($L559="","",INDEX(Расчет!$I$2:$I$3001,$L559))</f>
        <v/>
      </c>
      <c r="L559">
        <f>IFERROR(MATCH(ROW()-1,Расчет!$J$2:$J$3001,0),"")</f>
        <v/>
      </c>
    </row>
    <row r="560">
      <c r="A560">
        <f>IF($L560="","",B560&amp;"."&amp;C560&amp;"-"&amp;D560&amp;"-"&amp;H560&amp;"."&amp;I560&amp;"."&amp;J560)</f>
        <v/>
      </c>
      <c r="B560">
        <f>IF($L560="","",INDEX(Расчет!$A$2:$A$3001,$L560))</f>
        <v/>
      </c>
      <c r="C560">
        <f>IF($L560="","",INDEX(Расчет!$B$2:$B$3001,$L560))</f>
        <v/>
      </c>
      <c r="D560">
        <f>IF($L560="","",IF(ISNUMBER(FIND("(",INDEX(Расчет!$C$2:$C$3001,$L560))),SUBSTITUTE(MID(INDEX(Расчет!$C$2:$C$3001,$L560),FIND("(",INDEX(Расчет!$C$2:$C$3001,$L560))+1,99),")",""),INDEX(Расчет!$C$2:$C$3001,$L560)))</f>
        <v/>
      </c>
      <c r="E560">
        <f>IF($L560="","",INDEX(Расчет!$D$2:$D$3001,$L560))</f>
        <v/>
      </c>
      <c r="F560">
        <f>IF($L560="","",INDEX(Расчет!$E$2:$E$3001,$L560))</f>
        <v/>
      </c>
      <c r="G560">
        <f>IF($L560="","",IFERROR(--LEFT(INDEX(Расчет!$C$2:$C$3001,$L560),FIND("(",INDEX(Расчет!$C$2:$C$3001,$L560))-1),IFERROR(--LEFT(INDEX(Расчет!$C$2:$C$3001,$L560),1),"")))</f>
        <v/>
      </c>
      <c r="H560">
        <f>IF($L560="","",SUMIFS(Расчет!$G$2:$G$3001,Расчет!$I$2:$I$3001,$K560,Расчет!$H$2:$H$3001,1))</f>
        <v/>
      </c>
      <c r="I560">
        <f>IF($L560="","",SUMIFS(Расчет!$G$2:$G$3001,Расчет!$I$2:$I$3001,$K560,Расчет!$H$2:$H$3001,2))</f>
        <v/>
      </c>
      <c r="J560">
        <f>IF($L560="","",SUMIFS(Расчет!$G$2:$G$3001,Расчет!$I$2:$I$3001,$K560,Расчет!$H$2:$H$3001,3))</f>
        <v/>
      </c>
      <c r="K560">
        <f>IF($L560="","",INDEX(Расчет!$I$2:$I$3001,$L560))</f>
        <v/>
      </c>
      <c r="L560">
        <f>IFERROR(MATCH(ROW()-1,Расчет!$J$2:$J$3001,0),"")</f>
        <v/>
      </c>
    </row>
    <row r="561">
      <c r="A561">
        <f>IF($L561="","",B561&amp;"."&amp;C561&amp;"-"&amp;D561&amp;"-"&amp;H561&amp;"."&amp;I561&amp;"."&amp;J561)</f>
        <v/>
      </c>
      <c r="B561">
        <f>IF($L561="","",INDEX(Расчет!$A$2:$A$3001,$L561))</f>
        <v/>
      </c>
      <c r="C561">
        <f>IF($L561="","",INDEX(Расчет!$B$2:$B$3001,$L561))</f>
        <v/>
      </c>
      <c r="D561">
        <f>IF($L561="","",IF(ISNUMBER(FIND("(",INDEX(Расчет!$C$2:$C$3001,$L561))),SUBSTITUTE(MID(INDEX(Расчет!$C$2:$C$3001,$L561),FIND("(",INDEX(Расчет!$C$2:$C$3001,$L561))+1,99),")",""),INDEX(Расчет!$C$2:$C$3001,$L561)))</f>
        <v/>
      </c>
      <c r="E561">
        <f>IF($L561="","",INDEX(Расчет!$D$2:$D$3001,$L561))</f>
        <v/>
      </c>
      <c r="F561">
        <f>IF($L561="","",INDEX(Расчет!$E$2:$E$3001,$L561))</f>
        <v/>
      </c>
      <c r="G561">
        <f>IF($L561="","",IFERROR(--LEFT(INDEX(Расчет!$C$2:$C$3001,$L561),FIND("(",INDEX(Расчет!$C$2:$C$3001,$L561))-1),IFERROR(--LEFT(INDEX(Расчет!$C$2:$C$3001,$L561),1),"")))</f>
        <v/>
      </c>
      <c r="H561">
        <f>IF($L561="","",SUMIFS(Расчет!$G$2:$G$3001,Расчет!$I$2:$I$3001,$K561,Расчет!$H$2:$H$3001,1))</f>
        <v/>
      </c>
      <c r="I561">
        <f>IF($L561="","",SUMIFS(Расчет!$G$2:$G$3001,Расчет!$I$2:$I$3001,$K561,Расчет!$H$2:$H$3001,2))</f>
        <v/>
      </c>
      <c r="J561">
        <f>IF($L561="","",SUMIFS(Расчет!$G$2:$G$3001,Расчет!$I$2:$I$3001,$K561,Расчет!$H$2:$H$3001,3))</f>
        <v/>
      </c>
      <c r="K561">
        <f>IF($L561="","",INDEX(Расчет!$I$2:$I$3001,$L561))</f>
        <v/>
      </c>
      <c r="L561">
        <f>IFERROR(MATCH(ROW()-1,Расчет!$J$2:$J$3001,0),"")</f>
        <v/>
      </c>
    </row>
    <row r="562">
      <c r="A562">
        <f>IF($L562="","",B562&amp;"."&amp;C562&amp;"-"&amp;D562&amp;"-"&amp;H562&amp;"."&amp;I562&amp;"."&amp;J562)</f>
        <v/>
      </c>
      <c r="B562">
        <f>IF($L562="","",INDEX(Расчет!$A$2:$A$3001,$L562))</f>
        <v/>
      </c>
      <c r="C562">
        <f>IF($L562="","",INDEX(Расчет!$B$2:$B$3001,$L562))</f>
        <v/>
      </c>
      <c r="D562">
        <f>IF($L562="","",IF(ISNUMBER(FIND("(",INDEX(Расчет!$C$2:$C$3001,$L562))),SUBSTITUTE(MID(INDEX(Расчет!$C$2:$C$3001,$L562),FIND("(",INDEX(Расчет!$C$2:$C$3001,$L562))+1,99),")",""),INDEX(Расчет!$C$2:$C$3001,$L562)))</f>
        <v/>
      </c>
      <c r="E562">
        <f>IF($L562="","",INDEX(Расчет!$D$2:$D$3001,$L562))</f>
        <v/>
      </c>
      <c r="F562">
        <f>IF($L562="","",INDEX(Расчет!$E$2:$E$3001,$L562))</f>
        <v/>
      </c>
      <c r="G562">
        <f>IF($L562="","",IFERROR(--LEFT(INDEX(Расчет!$C$2:$C$3001,$L562),FIND("(",INDEX(Расчет!$C$2:$C$3001,$L562))-1),IFERROR(--LEFT(INDEX(Расчет!$C$2:$C$3001,$L562),1),"")))</f>
        <v/>
      </c>
      <c r="H562">
        <f>IF($L562="","",SUMIFS(Расчет!$G$2:$G$3001,Расчет!$I$2:$I$3001,$K562,Расчет!$H$2:$H$3001,1))</f>
        <v/>
      </c>
      <c r="I562">
        <f>IF($L562="","",SUMIFS(Расчет!$G$2:$G$3001,Расчет!$I$2:$I$3001,$K562,Расчет!$H$2:$H$3001,2))</f>
        <v/>
      </c>
      <c r="J562">
        <f>IF($L562="","",SUMIFS(Расчет!$G$2:$G$3001,Расчет!$I$2:$I$3001,$K562,Расчет!$H$2:$H$3001,3))</f>
        <v/>
      </c>
      <c r="K562">
        <f>IF($L562="","",INDEX(Расчет!$I$2:$I$3001,$L562))</f>
        <v/>
      </c>
      <c r="L562">
        <f>IFERROR(MATCH(ROW()-1,Расчет!$J$2:$J$3001,0),"")</f>
        <v/>
      </c>
    </row>
    <row r="563">
      <c r="A563">
        <f>IF($L563="","",B563&amp;"."&amp;C563&amp;"-"&amp;D563&amp;"-"&amp;H563&amp;"."&amp;I563&amp;"."&amp;J563)</f>
        <v/>
      </c>
      <c r="B563">
        <f>IF($L563="","",INDEX(Расчет!$A$2:$A$3001,$L563))</f>
        <v/>
      </c>
      <c r="C563">
        <f>IF($L563="","",INDEX(Расчет!$B$2:$B$3001,$L563))</f>
        <v/>
      </c>
      <c r="D563">
        <f>IF($L563="","",IF(ISNUMBER(FIND("(",INDEX(Расчет!$C$2:$C$3001,$L563))),SUBSTITUTE(MID(INDEX(Расчет!$C$2:$C$3001,$L563),FIND("(",INDEX(Расчет!$C$2:$C$3001,$L563))+1,99),")",""),INDEX(Расчет!$C$2:$C$3001,$L563)))</f>
        <v/>
      </c>
      <c r="E563">
        <f>IF($L563="","",INDEX(Расчет!$D$2:$D$3001,$L563))</f>
        <v/>
      </c>
      <c r="F563">
        <f>IF($L563="","",INDEX(Расчет!$E$2:$E$3001,$L563))</f>
        <v/>
      </c>
      <c r="G563">
        <f>IF($L563="","",IFERROR(--LEFT(INDEX(Расчет!$C$2:$C$3001,$L563),FIND("(",INDEX(Расчет!$C$2:$C$3001,$L563))-1),IFERROR(--LEFT(INDEX(Расчет!$C$2:$C$3001,$L563),1),"")))</f>
        <v/>
      </c>
      <c r="H563">
        <f>IF($L563="","",SUMIFS(Расчет!$G$2:$G$3001,Расчет!$I$2:$I$3001,$K563,Расчет!$H$2:$H$3001,1))</f>
        <v/>
      </c>
      <c r="I563">
        <f>IF($L563="","",SUMIFS(Расчет!$G$2:$G$3001,Расчет!$I$2:$I$3001,$K563,Расчет!$H$2:$H$3001,2))</f>
        <v/>
      </c>
      <c r="J563">
        <f>IF($L563="","",SUMIFS(Расчет!$G$2:$G$3001,Расчет!$I$2:$I$3001,$K563,Расчет!$H$2:$H$3001,3))</f>
        <v/>
      </c>
      <c r="K563">
        <f>IF($L563="","",INDEX(Расчет!$I$2:$I$3001,$L563))</f>
        <v/>
      </c>
      <c r="L563">
        <f>IFERROR(MATCH(ROW()-1,Расчет!$J$2:$J$3001,0),"")</f>
        <v/>
      </c>
    </row>
    <row r="564">
      <c r="A564">
        <f>IF($L564="","",B564&amp;"."&amp;C564&amp;"-"&amp;D564&amp;"-"&amp;H564&amp;"."&amp;I564&amp;"."&amp;J564)</f>
        <v/>
      </c>
      <c r="B564">
        <f>IF($L564="","",INDEX(Расчет!$A$2:$A$3001,$L564))</f>
        <v/>
      </c>
      <c r="C564">
        <f>IF($L564="","",INDEX(Расчет!$B$2:$B$3001,$L564))</f>
        <v/>
      </c>
      <c r="D564">
        <f>IF($L564="","",IF(ISNUMBER(FIND("(",INDEX(Расчет!$C$2:$C$3001,$L564))),SUBSTITUTE(MID(INDEX(Расчет!$C$2:$C$3001,$L564),FIND("(",INDEX(Расчет!$C$2:$C$3001,$L564))+1,99),")",""),INDEX(Расчет!$C$2:$C$3001,$L564)))</f>
        <v/>
      </c>
      <c r="E564">
        <f>IF($L564="","",INDEX(Расчет!$D$2:$D$3001,$L564))</f>
        <v/>
      </c>
      <c r="F564">
        <f>IF($L564="","",INDEX(Расчет!$E$2:$E$3001,$L564))</f>
        <v/>
      </c>
      <c r="G564">
        <f>IF($L564="","",IFERROR(--LEFT(INDEX(Расчет!$C$2:$C$3001,$L564),FIND("(",INDEX(Расчет!$C$2:$C$3001,$L564))-1),IFERROR(--LEFT(INDEX(Расчет!$C$2:$C$3001,$L564),1),"")))</f>
        <v/>
      </c>
      <c r="H564">
        <f>IF($L564="","",SUMIFS(Расчет!$G$2:$G$3001,Расчет!$I$2:$I$3001,$K564,Расчет!$H$2:$H$3001,1))</f>
        <v/>
      </c>
      <c r="I564">
        <f>IF($L564="","",SUMIFS(Расчет!$G$2:$G$3001,Расчет!$I$2:$I$3001,$K564,Расчет!$H$2:$H$3001,2))</f>
        <v/>
      </c>
      <c r="J564">
        <f>IF($L564="","",SUMIFS(Расчет!$G$2:$G$3001,Расчет!$I$2:$I$3001,$K564,Расчет!$H$2:$H$3001,3))</f>
        <v/>
      </c>
      <c r="K564">
        <f>IF($L564="","",INDEX(Расчет!$I$2:$I$3001,$L564))</f>
        <v/>
      </c>
      <c r="L564">
        <f>IFERROR(MATCH(ROW()-1,Расчет!$J$2:$J$3001,0),"")</f>
        <v/>
      </c>
    </row>
    <row r="565">
      <c r="A565">
        <f>IF($L565="","",B565&amp;"."&amp;C565&amp;"-"&amp;D565&amp;"-"&amp;H565&amp;"."&amp;I565&amp;"."&amp;J565)</f>
        <v/>
      </c>
      <c r="B565">
        <f>IF($L565="","",INDEX(Расчет!$A$2:$A$3001,$L565))</f>
        <v/>
      </c>
      <c r="C565">
        <f>IF($L565="","",INDEX(Расчет!$B$2:$B$3001,$L565))</f>
        <v/>
      </c>
      <c r="D565">
        <f>IF($L565="","",IF(ISNUMBER(FIND("(",INDEX(Расчет!$C$2:$C$3001,$L565))),SUBSTITUTE(MID(INDEX(Расчет!$C$2:$C$3001,$L565),FIND("(",INDEX(Расчет!$C$2:$C$3001,$L565))+1,99),")",""),INDEX(Расчет!$C$2:$C$3001,$L565)))</f>
        <v/>
      </c>
      <c r="E565">
        <f>IF($L565="","",INDEX(Расчет!$D$2:$D$3001,$L565))</f>
        <v/>
      </c>
      <c r="F565">
        <f>IF($L565="","",INDEX(Расчет!$E$2:$E$3001,$L565))</f>
        <v/>
      </c>
      <c r="G565">
        <f>IF($L565="","",IFERROR(--LEFT(INDEX(Расчет!$C$2:$C$3001,$L565),FIND("(",INDEX(Расчет!$C$2:$C$3001,$L565))-1),IFERROR(--LEFT(INDEX(Расчет!$C$2:$C$3001,$L565),1),"")))</f>
        <v/>
      </c>
      <c r="H565">
        <f>IF($L565="","",SUMIFS(Расчет!$G$2:$G$3001,Расчет!$I$2:$I$3001,$K565,Расчет!$H$2:$H$3001,1))</f>
        <v/>
      </c>
      <c r="I565">
        <f>IF($L565="","",SUMIFS(Расчет!$G$2:$G$3001,Расчет!$I$2:$I$3001,$K565,Расчет!$H$2:$H$3001,2))</f>
        <v/>
      </c>
      <c r="J565">
        <f>IF($L565="","",SUMIFS(Расчет!$G$2:$G$3001,Расчет!$I$2:$I$3001,$K565,Расчет!$H$2:$H$3001,3))</f>
        <v/>
      </c>
      <c r="K565">
        <f>IF($L565="","",INDEX(Расчет!$I$2:$I$3001,$L565))</f>
        <v/>
      </c>
      <c r="L565">
        <f>IFERROR(MATCH(ROW()-1,Расчет!$J$2:$J$3001,0),"")</f>
        <v/>
      </c>
    </row>
    <row r="566">
      <c r="A566">
        <f>IF($L566="","",B566&amp;"."&amp;C566&amp;"-"&amp;D566&amp;"-"&amp;H566&amp;"."&amp;I566&amp;"."&amp;J566)</f>
        <v/>
      </c>
      <c r="B566">
        <f>IF($L566="","",INDEX(Расчет!$A$2:$A$3001,$L566))</f>
        <v/>
      </c>
      <c r="C566">
        <f>IF($L566="","",INDEX(Расчет!$B$2:$B$3001,$L566))</f>
        <v/>
      </c>
      <c r="D566">
        <f>IF($L566="","",IF(ISNUMBER(FIND("(",INDEX(Расчет!$C$2:$C$3001,$L566))),SUBSTITUTE(MID(INDEX(Расчет!$C$2:$C$3001,$L566),FIND("(",INDEX(Расчет!$C$2:$C$3001,$L566))+1,99),")",""),INDEX(Расчет!$C$2:$C$3001,$L566)))</f>
        <v/>
      </c>
      <c r="E566">
        <f>IF($L566="","",INDEX(Расчет!$D$2:$D$3001,$L566))</f>
        <v/>
      </c>
      <c r="F566">
        <f>IF($L566="","",INDEX(Расчет!$E$2:$E$3001,$L566))</f>
        <v/>
      </c>
      <c r="G566">
        <f>IF($L566="","",IFERROR(--LEFT(INDEX(Расчет!$C$2:$C$3001,$L566),FIND("(",INDEX(Расчет!$C$2:$C$3001,$L566))-1),IFERROR(--LEFT(INDEX(Расчет!$C$2:$C$3001,$L566),1),"")))</f>
        <v/>
      </c>
      <c r="H566">
        <f>IF($L566="","",SUMIFS(Расчет!$G$2:$G$3001,Расчет!$I$2:$I$3001,$K566,Расчет!$H$2:$H$3001,1))</f>
        <v/>
      </c>
      <c r="I566">
        <f>IF($L566="","",SUMIFS(Расчет!$G$2:$G$3001,Расчет!$I$2:$I$3001,$K566,Расчет!$H$2:$H$3001,2))</f>
        <v/>
      </c>
      <c r="J566">
        <f>IF($L566="","",SUMIFS(Расчет!$G$2:$G$3001,Расчет!$I$2:$I$3001,$K566,Расчет!$H$2:$H$3001,3))</f>
        <v/>
      </c>
      <c r="K566">
        <f>IF($L566="","",INDEX(Расчет!$I$2:$I$3001,$L566))</f>
        <v/>
      </c>
      <c r="L566">
        <f>IFERROR(MATCH(ROW()-1,Расчет!$J$2:$J$3001,0),"")</f>
        <v/>
      </c>
    </row>
    <row r="567">
      <c r="A567">
        <f>IF($L567="","",B567&amp;"."&amp;C567&amp;"-"&amp;D567&amp;"-"&amp;H567&amp;"."&amp;I567&amp;"."&amp;J567)</f>
        <v/>
      </c>
      <c r="B567">
        <f>IF($L567="","",INDEX(Расчет!$A$2:$A$3001,$L567))</f>
        <v/>
      </c>
      <c r="C567">
        <f>IF($L567="","",INDEX(Расчет!$B$2:$B$3001,$L567))</f>
        <v/>
      </c>
      <c r="D567">
        <f>IF($L567="","",IF(ISNUMBER(FIND("(",INDEX(Расчет!$C$2:$C$3001,$L567))),SUBSTITUTE(MID(INDEX(Расчет!$C$2:$C$3001,$L567),FIND("(",INDEX(Расчет!$C$2:$C$3001,$L567))+1,99),")",""),INDEX(Расчет!$C$2:$C$3001,$L567)))</f>
        <v/>
      </c>
      <c r="E567">
        <f>IF($L567="","",INDEX(Расчет!$D$2:$D$3001,$L567))</f>
        <v/>
      </c>
      <c r="F567">
        <f>IF($L567="","",INDEX(Расчет!$E$2:$E$3001,$L567))</f>
        <v/>
      </c>
      <c r="G567">
        <f>IF($L567="","",IFERROR(--LEFT(INDEX(Расчет!$C$2:$C$3001,$L567),FIND("(",INDEX(Расчет!$C$2:$C$3001,$L567))-1),IFERROR(--LEFT(INDEX(Расчет!$C$2:$C$3001,$L567),1),"")))</f>
        <v/>
      </c>
      <c r="H567">
        <f>IF($L567="","",SUMIFS(Расчет!$G$2:$G$3001,Расчет!$I$2:$I$3001,$K567,Расчет!$H$2:$H$3001,1))</f>
        <v/>
      </c>
      <c r="I567">
        <f>IF($L567="","",SUMIFS(Расчет!$G$2:$G$3001,Расчет!$I$2:$I$3001,$K567,Расчет!$H$2:$H$3001,2))</f>
        <v/>
      </c>
      <c r="J567">
        <f>IF($L567="","",SUMIFS(Расчет!$G$2:$G$3001,Расчет!$I$2:$I$3001,$K567,Расчет!$H$2:$H$3001,3))</f>
        <v/>
      </c>
      <c r="K567">
        <f>IF($L567="","",INDEX(Расчет!$I$2:$I$3001,$L567))</f>
        <v/>
      </c>
      <c r="L567">
        <f>IFERROR(MATCH(ROW()-1,Расчет!$J$2:$J$3001,0),"")</f>
        <v/>
      </c>
    </row>
    <row r="568">
      <c r="A568">
        <f>IF($L568="","",B568&amp;"."&amp;C568&amp;"-"&amp;D568&amp;"-"&amp;H568&amp;"."&amp;I568&amp;"."&amp;J568)</f>
        <v/>
      </c>
      <c r="B568">
        <f>IF($L568="","",INDEX(Расчет!$A$2:$A$3001,$L568))</f>
        <v/>
      </c>
      <c r="C568">
        <f>IF($L568="","",INDEX(Расчет!$B$2:$B$3001,$L568))</f>
        <v/>
      </c>
      <c r="D568">
        <f>IF($L568="","",IF(ISNUMBER(FIND("(",INDEX(Расчет!$C$2:$C$3001,$L568))),SUBSTITUTE(MID(INDEX(Расчет!$C$2:$C$3001,$L568),FIND("(",INDEX(Расчет!$C$2:$C$3001,$L568))+1,99),")",""),INDEX(Расчет!$C$2:$C$3001,$L568)))</f>
        <v/>
      </c>
      <c r="E568">
        <f>IF($L568="","",INDEX(Расчет!$D$2:$D$3001,$L568))</f>
        <v/>
      </c>
      <c r="F568">
        <f>IF($L568="","",INDEX(Расчет!$E$2:$E$3001,$L568))</f>
        <v/>
      </c>
      <c r="G568">
        <f>IF($L568="","",IFERROR(--LEFT(INDEX(Расчет!$C$2:$C$3001,$L568),FIND("(",INDEX(Расчет!$C$2:$C$3001,$L568))-1),IFERROR(--LEFT(INDEX(Расчет!$C$2:$C$3001,$L568),1),"")))</f>
        <v/>
      </c>
      <c r="H568">
        <f>IF($L568="","",SUMIFS(Расчет!$G$2:$G$3001,Расчет!$I$2:$I$3001,$K568,Расчет!$H$2:$H$3001,1))</f>
        <v/>
      </c>
      <c r="I568">
        <f>IF($L568="","",SUMIFS(Расчет!$G$2:$G$3001,Расчет!$I$2:$I$3001,$K568,Расчет!$H$2:$H$3001,2))</f>
        <v/>
      </c>
      <c r="J568">
        <f>IF($L568="","",SUMIFS(Расчет!$G$2:$G$3001,Расчет!$I$2:$I$3001,$K568,Расчет!$H$2:$H$3001,3))</f>
        <v/>
      </c>
      <c r="K568">
        <f>IF($L568="","",INDEX(Расчет!$I$2:$I$3001,$L568))</f>
        <v/>
      </c>
      <c r="L568">
        <f>IFERROR(MATCH(ROW()-1,Расчет!$J$2:$J$3001,0),"")</f>
        <v/>
      </c>
    </row>
    <row r="569">
      <c r="A569">
        <f>IF($L569="","",B569&amp;"."&amp;C569&amp;"-"&amp;D569&amp;"-"&amp;H569&amp;"."&amp;I569&amp;"."&amp;J569)</f>
        <v/>
      </c>
      <c r="B569">
        <f>IF($L569="","",INDEX(Расчет!$A$2:$A$3001,$L569))</f>
        <v/>
      </c>
      <c r="C569">
        <f>IF($L569="","",INDEX(Расчет!$B$2:$B$3001,$L569))</f>
        <v/>
      </c>
      <c r="D569">
        <f>IF($L569="","",IF(ISNUMBER(FIND("(",INDEX(Расчет!$C$2:$C$3001,$L569))),SUBSTITUTE(MID(INDEX(Расчет!$C$2:$C$3001,$L569),FIND("(",INDEX(Расчет!$C$2:$C$3001,$L569))+1,99),")",""),INDEX(Расчет!$C$2:$C$3001,$L569)))</f>
        <v/>
      </c>
      <c r="E569">
        <f>IF($L569="","",INDEX(Расчет!$D$2:$D$3001,$L569))</f>
        <v/>
      </c>
      <c r="F569">
        <f>IF($L569="","",INDEX(Расчет!$E$2:$E$3001,$L569))</f>
        <v/>
      </c>
      <c r="G569">
        <f>IF($L569="","",IFERROR(--LEFT(INDEX(Расчет!$C$2:$C$3001,$L569),FIND("(",INDEX(Расчет!$C$2:$C$3001,$L569))-1),IFERROR(--LEFT(INDEX(Расчет!$C$2:$C$3001,$L569),1),"")))</f>
        <v/>
      </c>
      <c r="H569">
        <f>IF($L569="","",SUMIFS(Расчет!$G$2:$G$3001,Расчет!$I$2:$I$3001,$K569,Расчет!$H$2:$H$3001,1))</f>
        <v/>
      </c>
      <c r="I569">
        <f>IF($L569="","",SUMIFS(Расчет!$G$2:$G$3001,Расчет!$I$2:$I$3001,$K569,Расчет!$H$2:$H$3001,2))</f>
        <v/>
      </c>
      <c r="J569">
        <f>IF($L569="","",SUMIFS(Расчет!$G$2:$G$3001,Расчет!$I$2:$I$3001,$K569,Расчет!$H$2:$H$3001,3))</f>
        <v/>
      </c>
      <c r="K569">
        <f>IF($L569="","",INDEX(Расчет!$I$2:$I$3001,$L569))</f>
        <v/>
      </c>
      <c r="L569">
        <f>IFERROR(MATCH(ROW()-1,Расчет!$J$2:$J$3001,0),"")</f>
        <v/>
      </c>
    </row>
    <row r="570">
      <c r="A570">
        <f>IF($L570="","",B570&amp;"."&amp;C570&amp;"-"&amp;D570&amp;"-"&amp;H570&amp;"."&amp;I570&amp;"."&amp;J570)</f>
        <v/>
      </c>
      <c r="B570">
        <f>IF($L570="","",INDEX(Расчет!$A$2:$A$3001,$L570))</f>
        <v/>
      </c>
      <c r="C570">
        <f>IF($L570="","",INDEX(Расчет!$B$2:$B$3001,$L570))</f>
        <v/>
      </c>
      <c r="D570">
        <f>IF($L570="","",IF(ISNUMBER(FIND("(",INDEX(Расчет!$C$2:$C$3001,$L570))),SUBSTITUTE(MID(INDEX(Расчет!$C$2:$C$3001,$L570),FIND("(",INDEX(Расчет!$C$2:$C$3001,$L570))+1,99),")",""),INDEX(Расчет!$C$2:$C$3001,$L570)))</f>
        <v/>
      </c>
      <c r="E570">
        <f>IF($L570="","",INDEX(Расчет!$D$2:$D$3001,$L570))</f>
        <v/>
      </c>
      <c r="F570">
        <f>IF($L570="","",INDEX(Расчет!$E$2:$E$3001,$L570))</f>
        <v/>
      </c>
      <c r="G570">
        <f>IF($L570="","",IFERROR(--LEFT(INDEX(Расчет!$C$2:$C$3001,$L570),FIND("(",INDEX(Расчет!$C$2:$C$3001,$L570))-1),IFERROR(--LEFT(INDEX(Расчет!$C$2:$C$3001,$L570),1),"")))</f>
        <v/>
      </c>
      <c r="H570">
        <f>IF($L570="","",SUMIFS(Расчет!$G$2:$G$3001,Расчет!$I$2:$I$3001,$K570,Расчет!$H$2:$H$3001,1))</f>
        <v/>
      </c>
      <c r="I570">
        <f>IF($L570="","",SUMIFS(Расчет!$G$2:$G$3001,Расчет!$I$2:$I$3001,$K570,Расчет!$H$2:$H$3001,2))</f>
        <v/>
      </c>
      <c r="J570">
        <f>IF($L570="","",SUMIFS(Расчет!$G$2:$G$3001,Расчет!$I$2:$I$3001,$K570,Расчет!$H$2:$H$3001,3))</f>
        <v/>
      </c>
      <c r="K570">
        <f>IF($L570="","",INDEX(Расчет!$I$2:$I$3001,$L570))</f>
        <v/>
      </c>
      <c r="L570">
        <f>IFERROR(MATCH(ROW()-1,Расчет!$J$2:$J$3001,0),"")</f>
        <v/>
      </c>
    </row>
    <row r="571">
      <c r="A571">
        <f>IF($L571="","",B571&amp;"."&amp;C571&amp;"-"&amp;D571&amp;"-"&amp;H571&amp;"."&amp;I571&amp;"."&amp;J571)</f>
        <v/>
      </c>
      <c r="B571">
        <f>IF($L571="","",INDEX(Расчет!$A$2:$A$3001,$L571))</f>
        <v/>
      </c>
      <c r="C571">
        <f>IF($L571="","",INDEX(Расчет!$B$2:$B$3001,$L571))</f>
        <v/>
      </c>
      <c r="D571">
        <f>IF($L571="","",IF(ISNUMBER(FIND("(",INDEX(Расчет!$C$2:$C$3001,$L571))),SUBSTITUTE(MID(INDEX(Расчет!$C$2:$C$3001,$L571),FIND("(",INDEX(Расчет!$C$2:$C$3001,$L571))+1,99),")",""),INDEX(Расчет!$C$2:$C$3001,$L571)))</f>
        <v/>
      </c>
      <c r="E571">
        <f>IF($L571="","",INDEX(Расчет!$D$2:$D$3001,$L571))</f>
        <v/>
      </c>
      <c r="F571">
        <f>IF($L571="","",INDEX(Расчет!$E$2:$E$3001,$L571))</f>
        <v/>
      </c>
      <c r="G571">
        <f>IF($L571="","",IFERROR(--LEFT(INDEX(Расчет!$C$2:$C$3001,$L571),FIND("(",INDEX(Расчет!$C$2:$C$3001,$L571))-1),IFERROR(--LEFT(INDEX(Расчет!$C$2:$C$3001,$L571),1),"")))</f>
        <v/>
      </c>
      <c r="H571">
        <f>IF($L571="","",SUMIFS(Расчет!$G$2:$G$3001,Расчет!$I$2:$I$3001,$K571,Расчет!$H$2:$H$3001,1))</f>
        <v/>
      </c>
      <c r="I571">
        <f>IF($L571="","",SUMIFS(Расчет!$G$2:$G$3001,Расчет!$I$2:$I$3001,$K571,Расчет!$H$2:$H$3001,2))</f>
        <v/>
      </c>
      <c r="J571">
        <f>IF($L571="","",SUMIFS(Расчет!$G$2:$G$3001,Расчет!$I$2:$I$3001,$K571,Расчет!$H$2:$H$3001,3))</f>
        <v/>
      </c>
      <c r="K571">
        <f>IF($L571="","",INDEX(Расчет!$I$2:$I$3001,$L571))</f>
        <v/>
      </c>
      <c r="L571">
        <f>IFERROR(MATCH(ROW()-1,Расчет!$J$2:$J$3001,0),"")</f>
        <v/>
      </c>
    </row>
    <row r="572">
      <c r="A572">
        <f>IF($L572="","",B572&amp;"."&amp;C572&amp;"-"&amp;D572&amp;"-"&amp;H572&amp;"."&amp;I572&amp;"."&amp;J572)</f>
        <v/>
      </c>
      <c r="B572">
        <f>IF($L572="","",INDEX(Расчет!$A$2:$A$3001,$L572))</f>
        <v/>
      </c>
      <c r="C572">
        <f>IF($L572="","",INDEX(Расчет!$B$2:$B$3001,$L572))</f>
        <v/>
      </c>
      <c r="D572">
        <f>IF($L572="","",IF(ISNUMBER(FIND("(",INDEX(Расчет!$C$2:$C$3001,$L572))),SUBSTITUTE(MID(INDEX(Расчет!$C$2:$C$3001,$L572),FIND("(",INDEX(Расчет!$C$2:$C$3001,$L572))+1,99),")",""),INDEX(Расчет!$C$2:$C$3001,$L572)))</f>
        <v/>
      </c>
      <c r="E572">
        <f>IF($L572="","",INDEX(Расчет!$D$2:$D$3001,$L572))</f>
        <v/>
      </c>
      <c r="F572">
        <f>IF($L572="","",INDEX(Расчет!$E$2:$E$3001,$L572))</f>
        <v/>
      </c>
      <c r="G572">
        <f>IF($L572="","",IFERROR(--LEFT(INDEX(Расчет!$C$2:$C$3001,$L572),FIND("(",INDEX(Расчет!$C$2:$C$3001,$L572))-1),IFERROR(--LEFT(INDEX(Расчет!$C$2:$C$3001,$L572),1),"")))</f>
        <v/>
      </c>
      <c r="H572">
        <f>IF($L572="","",SUMIFS(Расчет!$G$2:$G$3001,Расчет!$I$2:$I$3001,$K572,Расчет!$H$2:$H$3001,1))</f>
        <v/>
      </c>
      <c r="I572">
        <f>IF($L572="","",SUMIFS(Расчет!$G$2:$G$3001,Расчет!$I$2:$I$3001,$K572,Расчет!$H$2:$H$3001,2))</f>
        <v/>
      </c>
      <c r="J572">
        <f>IF($L572="","",SUMIFS(Расчет!$G$2:$G$3001,Расчет!$I$2:$I$3001,$K572,Расчет!$H$2:$H$3001,3))</f>
        <v/>
      </c>
      <c r="K572">
        <f>IF($L572="","",INDEX(Расчет!$I$2:$I$3001,$L572))</f>
        <v/>
      </c>
      <c r="L572">
        <f>IFERROR(MATCH(ROW()-1,Расчет!$J$2:$J$3001,0),"")</f>
        <v/>
      </c>
    </row>
    <row r="573">
      <c r="A573">
        <f>IF($L573="","",B573&amp;"."&amp;C573&amp;"-"&amp;D573&amp;"-"&amp;H573&amp;"."&amp;I573&amp;"."&amp;J573)</f>
        <v/>
      </c>
      <c r="B573">
        <f>IF($L573="","",INDEX(Расчет!$A$2:$A$3001,$L573))</f>
        <v/>
      </c>
      <c r="C573">
        <f>IF($L573="","",INDEX(Расчет!$B$2:$B$3001,$L573))</f>
        <v/>
      </c>
      <c r="D573">
        <f>IF($L573="","",IF(ISNUMBER(FIND("(",INDEX(Расчет!$C$2:$C$3001,$L573))),SUBSTITUTE(MID(INDEX(Расчет!$C$2:$C$3001,$L573),FIND("(",INDEX(Расчет!$C$2:$C$3001,$L573))+1,99),")",""),INDEX(Расчет!$C$2:$C$3001,$L573)))</f>
        <v/>
      </c>
      <c r="E573">
        <f>IF($L573="","",INDEX(Расчет!$D$2:$D$3001,$L573))</f>
        <v/>
      </c>
      <c r="F573">
        <f>IF($L573="","",INDEX(Расчет!$E$2:$E$3001,$L573))</f>
        <v/>
      </c>
      <c r="G573">
        <f>IF($L573="","",IFERROR(--LEFT(INDEX(Расчет!$C$2:$C$3001,$L573),FIND("(",INDEX(Расчет!$C$2:$C$3001,$L573))-1),IFERROR(--LEFT(INDEX(Расчет!$C$2:$C$3001,$L573),1),"")))</f>
        <v/>
      </c>
      <c r="H573">
        <f>IF($L573="","",SUMIFS(Расчет!$G$2:$G$3001,Расчет!$I$2:$I$3001,$K573,Расчет!$H$2:$H$3001,1))</f>
        <v/>
      </c>
      <c r="I573">
        <f>IF($L573="","",SUMIFS(Расчет!$G$2:$G$3001,Расчет!$I$2:$I$3001,$K573,Расчет!$H$2:$H$3001,2))</f>
        <v/>
      </c>
      <c r="J573">
        <f>IF($L573="","",SUMIFS(Расчет!$G$2:$G$3001,Расчет!$I$2:$I$3001,$K573,Расчет!$H$2:$H$3001,3))</f>
        <v/>
      </c>
      <c r="K573">
        <f>IF($L573="","",INDEX(Расчет!$I$2:$I$3001,$L573))</f>
        <v/>
      </c>
      <c r="L573">
        <f>IFERROR(MATCH(ROW()-1,Расчет!$J$2:$J$3001,0),"")</f>
        <v/>
      </c>
    </row>
    <row r="574">
      <c r="A574">
        <f>IF($L574="","",B574&amp;"."&amp;C574&amp;"-"&amp;D574&amp;"-"&amp;H574&amp;"."&amp;I574&amp;"."&amp;J574)</f>
        <v/>
      </c>
      <c r="B574">
        <f>IF($L574="","",INDEX(Расчет!$A$2:$A$3001,$L574))</f>
        <v/>
      </c>
      <c r="C574">
        <f>IF($L574="","",INDEX(Расчет!$B$2:$B$3001,$L574))</f>
        <v/>
      </c>
      <c r="D574">
        <f>IF($L574="","",IF(ISNUMBER(FIND("(",INDEX(Расчет!$C$2:$C$3001,$L574))),SUBSTITUTE(MID(INDEX(Расчет!$C$2:$C$3001,$L574),FIND("(",INDEX(Расчет!$C$2:$C$3001,$L574))+1,99),")",""),INDEX(Расчет!$C$2:$C$3001,$L574)))</f>
        <v/>
      </c>
      <c r="E574">
        <f>IF($L574="","",INDEX(Расчет!$D$2:$D$3001,$L574))</f>
        <v/>
      </c>
      <c r="F574">
        <f>IF($L574="","",INDEX(Расчет!$E$2:$E$3001,$L574))</f>
        <v/>
      </c>
      <c r="G574">
        <f>IF($L574="","",IFERROR(--LEFT(INDEX(Расчет!$C$2:$C$3001,$L574),FIND("(",INDEX(Расчет!$C$2:$C$3001,$L574))-1),IFERROR(--LEFT(INDEX(Расчет!$C$2:$C$3001,$L574),1),"")))</f>
        <v/>
      </c>
      <c r="H574">
        <f>IF($L574="","",SUMIFS(Расчет!$G$2:$G$3001,Расчет!$I$2:$I$3001,$K574,Расчет!$H$2:$H$3001,1))</f>
        <v/>
      </c>
      <c r="I574">
        <f>IF($L574="","",SUMIFS(Расчет!$G$2:$G$3001,Расчет!$I$2:$I$3001,$K574,Расчет!$H$2:$H$3001,2))</f>
        <v/>
      </c>
      <c r="J574">
        <f>IF($L574="","",SUMIFS(Расчет!$G$2:$G$3001,Расчет!$I$2:$I$3001,$K574,Расчет!$H$2:$H$3001,3))</f>
        <v/>
      </c>
      <c r="K574">
        <f>IF($L574="","",INDEX(Расчет!$I$2:$I$3001,$L574))</f>
        <v/>
      </c>
      <c r="L574">
        <f>IFERROR(MATCH(ROW()-1,Расчет!$J$2:$J$3001,0),"")</f>
        <v/>
      </c>
    </row>
    <row r="575">
      <c r="A575">
        <f>IF($L575="","",B575&amp;"."&amp;C575&amp;"-"&amp;D575&amp;"-"&amp;H575&amp;"."&amp;I575&amp;"."&amp;J575)</f>
        <v/>
      </c>
      <c r="B575">
        <f>IF($L575="","",INDEX(Расчет!$A$2:$A$3001,$L575))</f>
        <v/>
      </c>
      <c r="C575">
        <f>IF($L575="","",INDEX(Расчет!$B$2:$B$3001,$L575))</f>
        <v/>
      </c>
      <c r="D575">
        <f>IF($L575="","",IF(ISNUMBER(FIND("(",INDEX(Расчет!$C$2:$C$3001,$L575))),SUBSTITUTE(MID(INDEX(Расчет!$C$2:$C$3001,$L575),FIND("(",INDEX(Расчет!$C$2:$C$3001,$L575))+1,99),")",""),INDEX(Расчет!$C$2:$C$3001,$L575)))</f>
        <v/>
      </c>
      <c r="E575">
        <f>IF($L575="","",INDEX(Расчет!$D$2:$D$3001,$L575))</f>
        <v/>
      </c>
      <c r="F575">
        <f>IF($L575="","",INDEX(Расчет!$E$2:$E$3001,$L575))</f>
        <v/>
      </c>
      <c r="G575">
        <f>IF($L575="","",IFERROR(--LEFT(INDEX(Расчет!$C$2:$C$3001,$L575),FIND("(",INDEX(Расчет!$C$2:$C$3001,$L575))-1),IFERROR(--LEFT(INDEX(Расчет!$C$2:$C$3001,$L575),1),"")))</f>
        <v/>
      </c>
      <c r="H575">
        <f>IF($L575="","",SUMIFS(Расчет!$G$2:$G$3001,Расчет!$I$2:$I$3001,$K575,Расчет!$H$2:$H$3001,1))</f>
        <v/>
      </c>
      <c r="I575">
        <f>IF($L575="","",SUMIFS(Расчет!$G$2:$G$3001,Расчет!$I$2:$I$3001,$K575,Расчет!$H$2:$H$3001,2))</f>
        <v/>
      </c>
      <c r="J575">
        <f>IF($L575="","",SUMIFS(Расчет!$G$2:$G$3001,Расчет!$I$2:$I$3001,$K575,Расчет!$H$2:$H$3001,3))</f>
        <v/>
      </c>
      <c r="K575">
        <f>IF($L575="","",INDEX(Расчет!$I$2:$I$3001,$L575))</f>
        <v/>
      </c>
      <c r="L575">
        <f>IFERROR(MATCH(ROW()-1,Расчет!$J$2:$J$3001,0),"")</f>
        <v/>
      </c>
    </row>
    <row r="576">
      <c r="A576">
        <f>IF($L576="","",B576&amp;"."&amp;C576&amp;"-"&amp;D576&amp;"-"&amp;H576&amp;"."&amp;I576&amp;"."&amp;J576)</f>
        <v/>
      </c>
      <c r="B576">
        <f>IF($L576="","",INDEX(Расчет!$A$2:$A$3001,$L576))</f>
        <v/>
      </c>
      <c r="C576">
        <f>IF($L576="","",INDEX(Расчет!$B$2:$B$3001,$L576))</f>
        <v/>
      </c>
      <c r="D576">
        <f>IF($L576="","",IF(ISNUMBER(FIND("(",INDEX(Расчет!$C$2:$C$3001,$L576))),SUBSTITUTE(MID(INDEX(Расчет!$C$2:$C$3001,$L576),FIND("(",INDEX(Расчет!$C$2:$C$3001,$L576))+1,99),")",""),INDEX(Расчет!$C$2:$C$3001,$L576)))</f>
        <v/>
      </c>
      <c r="E576">
        <f>IF($L576="","",INDEX(Расчет!$D$2:$D$3001,$L576))</f>
        <v/>
      </c>
      <c r="F576">
        <f>IF($L576="","",INDEX(Расчет!$E$2:$E$3001,$L576))</f>
        <v/>
      </c>
      <c r="G576">
        <f>IF($L576="","",IFERROR(--LEFT(INDEX(Расчет!$C$2:$C$3001,$L576),FIND("(",INDEX(Расчет!$C$2:$C$3001,$L576))-1),IFERROR(--LEFT(INDEX(Расчет!$C$2:$C$3001,$L576),1),"")))</f>
        <v/>
      </c>
      <c r="H576">
        <f>IF($L576="","",SUMIFS(Расчет!$G$2:$G$3001,Расчет!$I$2:$I$3001,$K576,Расчет!$H$2:$H$3001,1))</f>
        <v/>
      </c>
      <c r="I576">
        <f>IF($L576="","",SUMIFS(Расчет!$G$2:$G$3001,Расчет!$I$2:$I$3001,$K576,Расчет!$H$2:$H$3001,2))</f>
        <v/>
      </c>
      <c r="J576">
        <f>IF($L576="","",SUMIFS(Расчет!$G$2:$G$3001,Расчет!$I$2:$I$3001,$K576,Расчет!$H$2:$H$3001,3))</f>
        <v/>
      </c>
      <c r="K576">
        <f>IF($L576="","",INDEX(Расчет!$I$2:$I$3001,$L576))</f>
        <v/>
      </c>
      <c r="L576">
        <f>IFERROR(MATCH(ROW()-1,Расчет!$J$2:$J$3001,0),"")</f>
        <v/>
      </c>
    </row>
    <row r="577">
      <c r="A577">
        <f>IF($L577="","",B577&amp;"."&amp;C577&amp;"-"&amp;D577&amp;"-"&amp;H577&amp;"."&amp;I577&amp;"."&amp;J577)</f>
        <v/>
      </c>
      <c r="B577">
        <f>IF($L577="","",INDEX(Расчет!$A$2:$A$3001,$L577))</f>
        <v/>
      </c>
      <c r="C577">
        <f>IF($L577="","",INDEX(Расчет!$B$2:$B$3001,$L577))</f>
        <v/>
      </c>
      <c r="D577">
        <f>IF($L577="","",IF(ISNUMBER(FIND("(",INDEX(Расчет!$C$2:$C$3001,$L577))),SUBSTITUTE(MID(INDEX(Расчет!$C$2:$C$3001,$L577),FIND("(",INDEX(Расчет!$C$2:$C$3001,$L577))+1,99),")",""),INDEX(Расчет!$C$2:$C$3001,$L577)))</f>
        <v/>
      </c>
      <c r="E577">
        <f>IF($L577="","",INDEX(Расчет!$D$2:$D$3001,$L577))</f>
        <v/>
      </c>
      <c r="F577">
        <f>IF($L577="","",INDEX(Расчет!$E$2:$E$3001,$L577))</f>
        <v/>
      </c>
      <c r="G577">
        <f>IF($L577="","",IFERROR(--LEFT(INDEX(Расчет!$C$2:$C$3001,$L577),FIND("(",INDEX(Расчет!$C$2:$C$3001,$L577))-1),IFERROR(--LEFT(INDEX(Расчет!$C$2:$C$3001,$L577),1),"")))</f>
        <v/>
      </c>
      <c r="H577">
        <f>IF($L577="","",SUMIFS(Расчет!$G$2:$G$3001,Расчет!$I$2:$I$3001,$K577,Расчет!$H$2:$H$3001,1))</f>
        <v/>
      </c>
      <c r="I577">
        <f>IF($L577="","",SUMIFS(Расчет!$G$2:$G$3001,Расчет!$I$2:$I$3001,$K577,Расчет!$H$2:$H$3001,2))</f>
        <v/>
      </c>
      <c r="J577">
        <f>IF($L577="","",SUMIFS(Расчет!$G$2:$G$3001,Расчет!$I$2:$I$3001,$K577,Расчет!$H$2:$H$3001,3))</f>
        <v/>
      </c>
      <c r="K577">
        <f>IF($L577="","",INDEX(Расчет!$I$2:$I$3001,$L577))</f>
        <v/>
      </c>
      <c r="L577">
        <f>IFERROR(MATCH(ROW()-1,Расчет!$J$2:$J$3001,0),"")</f>
        <v/>
      </c>
    </row>
    <row r="578">
      <c r="A578">
        <f>IF($L578="","",B578&amp;"."&amp;C578&amp;"-"&amp;D578&amp;"-"&amp;H578&amp;"."&amp;I578&amp;"."&amp;J578)</f>
        <v/>
      </c>
      <c r="B578">
        <f>IF($L578="","",INDEX(Расчет!$A$2:$A$3001,$L578))</f>
        <v/>
      </c>
      <c r="C578">
        <f>IF($L578="","",INDEX(Расчет!$B$2:$B$3001,$L578))</f>
        <v/>
      </c>
      <c r="D578">
        <f>IF($L578="","",IF(ISNUMBER(FIND("(",INDEX(Расчет!$C$2:$C$3001,$L578))),SUBSTITUTE(MID(INDEX(Расчет!$C$2:$C$3001,$L578),FIND("(",INDEX(Расчет!$C$2:$C$3001,$L578))+1,99),")",""),INDEX(Расчет!$C$2:$C$3001,$L578)))</f>
        <v/>
      </c>
      <c r="E578">
        <f>IF($L578="","",INDEX(Расчет!$D$2:$D$3001,$L578))</f>
        <v/>
      </c>
      <c r="F578">
        <f>IF($L578="","",INDEX(Расчет!$E$2:$E$3001,$L578))</f>
        <v/>
      </c>
      <c r="G578">
        <f>IF($L578="","",IFERROR(--LEFT(INDEX(Расчет!$C$2:$C$3001,$L578),FIND("(",INDEX(Расчет!$C$2:$C$3001,$L578))-1),IFERROR(--LEFT(INDEX(Расчет!$C$2:$C$3001,$L578),1),"")))</f>
        <v/>
      </c>
      <c r="H578">
        <f>IF($L578="","",SUMIFS(Расчет!$G$2:$G$3001,Расчет!$I$2:$I$3001,$K578,Расчет!$H$2:$H$3001,1))</f>
        <v/>
      </c>
      <c r="I578">
        <f>IF($L578="","",SUMIFS(Расчет!$G$2:$G$3001,Расчет!$I$2:$I$3001,$K578,Расчет!$H$2:$H$3001,2))</f>
        <v/>
      </c>
      <c r="J578">
        <f>IF($L578="","",SUMIFS(Расчет!$G$2:$G$3001,Расчет!$I$2:$I$3001,$K578,Расчет!$H$2:$H$3001,3))</f>
        <v/>
      </c>
      <c r="K578">
        <f>IF($L578="","",INDEX(Расчет!$I$2:$I$3001,$L578))</f>
        <v/>
      </c>
      <c r="L578">
        <f>IFERROR(MATCH(ROW()-1,Расчет!$J$2:$J$3001,0),"")</f>
        <v/>
      </c>
    </row>
    <row r="579">
      <c r="A579">
        <f>IF($L579="","",B579&amp;"."&amp;C579&amp;"-"&amp;D579&amp;"-"&amp;H579&amp;"."&amp;I579&amp;"."&amp;J579)</f>
        <v/>
      </c>
      <c r="B579">
        <f>IF($L579="","",INDEX(Расчет!$A$2:$A$3001,$L579))</f>
        <v/>
      </c>
      <c r="C579">
        <f>IF($L579="","",INDEX(Расчет!$B$2:$B$3001,$L579))</f>
        <v/>
      </c>
      <c r="D579">
        <f>IF($L579="","",IF(ISNUMBER(FIND("(",INDEX(Расчет!$C$2:$C$3001,$L579))),SUBSTITUTE(MID(INDEX(Расчет!$C$2:$C$3001,$L579),FIND("(",INDEX(Расчет!$C$2:$C$3001,$L579))+1,99),")",""),INDEX(Расчет!$C$2:$C$3001,$L579)))</f>
        <v/>
      </c>
      <c r="E579">
        <f>IF($L579="","",INDEX(Расчет!$D$2:$D$3001,$L579))</f>
        <v/>
      </c>
      <c r="F579">
        <f>IF($L579="","",INDEX(Расчет!$E$2:$E$3001,$L579))</f>
        <v/>
      </c>
      <c r="G579">
        <f>IF($L579="","",IFERROR(--LEFT(INDEX(Расчет!$C$2:$C$3001,$L579),FIND("(",INDEX(Расчет!$C$2:$C$3001,$L579))-1),IFERROR(--LEFT(INDEX(Расчет!$C$2:$C$3001,$L579),1),"")))</f>
        <v/>
      </c>
      <c r="H579">
        <f>IF($L579="","",SUMIFS(Расчет!$G$2:$G$3001,Расчет!$I$2:$I$3001,$K579,Расчет!$H$2:$H$3001,1))</f>
        <v/>
      </c>
      <c r="I579">
        <f>IF($L579="","",SUMIFS(Расчет!$G$2:$G$3001,Расчет!$I$2:$I$3001,$K579,Расчет!$H$2:$H$3001,2))</f>
        <v/>
      </c>
      <c r="J579">
        <f>IF($L579="","",SUMIFS(Расчет!$G$2:$G$3001,Расчет!$I$2:$I$3001,$K579,Расчет!$H$2:$H$3001,3))</f>
        <v/>
      </c>
      <c r="K579">
        <f>IF($L579="","",INDEX(Расчет!$I$2:$I$3001,$L579))</f>
        <v/>
      </c>
      <c r="L579">
        <f>IFERROR(MATCH(ROW()-1,Расчет!$J$2:$J$3001,0),"")</f>
        <v/>
      </c>
    </row>
    <row r="580">
      <c r="A580">
        <f>IF($L580="","",B580&amp;"."&amp;C580&amp;"-"&amp;D580&amp;"-"&amp;H580&amp;"."&amp;I580&amp;"."&amp;J580)</f>
        <v/>
      </c>
      <c r="B580">
        <f>IF($L580="","",INDEX(Расчет!$A$2:$A$3001,$L580))</f>
        <v/>
      </c>
      <c r="C580">
        <f>IF($L580="","",INDEX(Расчет!$B$2:$B$3001,$L580))</f>
        <v/>
      </c>
      <c r="D580">
        <f>IF($L580="","",IF(ISNUMBER(FIND("(",INDEX(Расчет!$C$2:$C$3001,$L580))),SUBSTITUTE(MID(INDEX(Расчет!$C$2:$C$3001,$L580),FIND("(",INDEX(Расчет!$C$2:$C$3001,$L580))+1,99),")",""),INDEX(Расчет!$C$2:$C$3001,$L580)))</f>
        <v/>
      </c>
      <c r="E580">
        <f>IF($L580="","",INDEX(Расчет!$D$2:$D$3001,$L580))</f>
        <v/>
      </c>
      <c r="F580">
        <f>IF($L580="","",INDEX(Расчет!$E$2:$E$3001,$L580))</f>
        <v/>
      </c>
      <c r="G580">
        <f>IF($L580="","",IFERROR(--LEFT(INDEX(Расчет!$C$2:$C$3001,$L580),FIND("(",INDEX(Расчет!$C$2:$C$3001,$L580))-1),IFERROR(--LEFT(INDEX(Расчет!$C$2:$C$3001,$L580),1),"")))</f>
        <v/>
      </c>
      <c r="H580">
        <f>IF($L580="","",SUMIFS(Расчет!$G$2:$G$3001,Расчет!$I$2:$I$3001,$K580,Расчет!$H$2:$H$3001,1))</f>
        <v/>
      </c>
      <c r="I580">
        <f>IF($L580="","",SUMIFS(Расчет!$G$2:$G$3001,Расчет!$I$2:$I$3001,$K580,Расчет!$H$2:$H$3001,2))</f>
        <v/>
      </c>
      <c r="J580">
        <f>IF($L580="","",SUMIFS(Расчет!$G$2:$G$3001,Расчет!$I$2:$I$3001,$K580,Расчет!$H$2:$H$3001,3))</f>
        <v/>
      </c>
      <c r="K580">
        <f>IF($L580="","",INDEX(Расчет!$I$2:$I$3001,$L580))</f>
        <v/>
      </c>
      <c r="L580">
        <f>IFERROR(MATCH(ROW()-1,Расчет!$J$2:$J$3001,0),"")</f>
        <v/>
      </c>
    </row>
    <row r="581">
      <c r="A581">
        <f>IF($L581="","",B581&amp;"."&amp;C581&amp;"-"&amp;D581&amp;"-"&amp;H581&amp;"."&amp;I581&amp;"."&amp;J581)</f>
        <v/>
      </c>
      <c r="B581">
        <f>IF($L581="","",INDEX(Расчет!$A$2:$A$3001,$L581))</f>
        <v/>
      </c>
      <c r="C581">
        <f>IF($L581="","",INDEX(Расчет!$B$2:$B$3001,$L581))</f>
        <v/>
      </c>
      <c r="D581">
        <f>IF($L581="","",IF(ISNUMBER(FIND("(",INDEX(Расчет!$C$2:$C$3001,$L581))),SUBSTITUTE(MID(INDEX(Расчет!$C$2:$C$3001,$L581),FIND("(",INDEX(Расчет!$C$2:$C$3001,$L581))+1,99),")",""),INDEX(Расчет!$C$2:$C$3001,$L581)))</f>
        <v/>
      </c>
      <c r="E581">
        <f>IF($L581="","",INDEX(Расчет!$D$2:$D$3001,$L581))</f>
        <v/>
      </c>
      <c r="F581">
        <f>IF($L581="","",INDEX(Расчет!$E$2:$E$3001,$L581))</f>
        <v/>
      </c>
      <c r="G581">
        <f>IF($L581="","",IFERROR(--LEFT(INDEX(Расчет!$C$2:$C$3001,$L581),FIND("(",INDEX(Расчет!$C$2:$C$3001,$L581))-1),IFERROR(--LEFT(INDEX(Расчет!$C$2:$C$3001,$L581),1),"")))</f>
        <v/>
      </c>
      <c r="H581">
        <f>IF($L581="","",SUMIFS(Расчет!$G$2:$G$3001,Расчет!$I$2:$I$3001,$K581,Расчет!$H$2:$H$3001,1))</f>
        <v/>
      </c>
      <c r="I581">
        <f>IF($L581="","",SUMIFS(Расчет!$G$2:$G$3001,Расчет!$I$2:$I$3001,$K581,Расчет!$H$2:$H$3001,2))</f>
        <v/>
      </c>
      <c r="J581">
        <f>IF($L581="","",SUMIFS(Расчет!$G$2:$G$3001,Расчет!$I$2:$I$3001,$K581,Расчет!$H$2:$H$3001,3))</f>
        <v/>
      </c>
      <c r="K581">
        <f>IF($L581="","",INDEX(Расчет!$I$2:$I$3001,$L581))</f>
        <v/>
      </c>
      <c r="L581">
        <f>IFERROR(MATCH(ROW()-1,Расчет!$J$2:$J$3001,0),"")</f>
        <v/>
      </c>
    </row>
    <row r="582">
      <c r="A582">
        <f>IF($L582="","",B582&amp;"."&amp;C582&amp;"-"&amp;D582&amp;"-"&amp;H582&amp;"."&amp;I582&amp;"."&amp;J582)</f>
        <v/>
      </c>
      <c r="B582">
        <f>IF($L582="","",INDEX(Расчет!$A$2:$A$3001,$L582))</f>
        <v/>
      </c>
      <c r="C582">
        <f>IF($L582="","",INDEX(Расчет!$B$2:$B$3001,$L582))</f>
        <v/>
      </c>
      <c r="D582">
        <f>IF($L582="","",IF(ISNUMBER(FIND("(",INDEX(Расчет!$C$2:$C$3001,$L582))),SUBSTITUTE(MID(INDEX(Расчет!$C$2:$C$3001,$L582),FIND("(",INDEX(Расчет!$C$2:$C$3001,$L582))+1,99),")",""),INDEX(Расчет!$C$2:$C$3001,$L582)))</f>
        <v/>
      </c>
      <c r="E582">
        <f>IF($L582="","",INDEX(Расчет!$D$2:$D$3001,$L582))</f>
        <v/>
      </c>
      <c r="F582">
        <f>IF($L582="","",INDEX(Расчет!$E$2:$E$3001,$L582))</f>
        <v/>
      </c>
      <c r="G582">
        <f>IF($L582="","",IFERROR(--LEFT(INDEX(Расчет!$C$2:$C$3001,$L582),FIND("(",INDEX(Расчет!$C$2:$C$3001,$L582))-1),IFERROR(--LEFT(INDEX(Расчет!$C$2:$C$3001,$L582),1),"")))</f>
        <v/>
      </c>
      <c r="H582">
        <f>IF($L582="","",SUMIFS(Расчет!$G$2:$G$3001,Расчет!$I$2:$I$3001,$K582,Расчет!$H$2:$H$3001,1))</f>
        <v/>
      </c>
      <c r="I582">
        <f>IF($L582="","",SUMIFS(Расчет!$G$2:$G$3001,Расчет!$I$2:$I$3001,$K582,Расчет!$H$2:$H$3001,2))</f>
        <v/>
      </c>
      <c r="J582">
        <f>IF($L582="","",SUMIFS(Расчет!$G$2:$G$3001,Расчет!$I$2:$I$3001,$K582,Расчет!$H$2:$H$3001,3))</f>
        <v/>
      </c>
      <c r="K582">
        <f>IF($L582="","",INDEX(Расчет!$I$2:$I$3001,$L582))</f>
        <v/>
      </c>
      <c r="L582">
        <f>IFERROR(MATCH(ROW()-1,Расчет!$J$2:$J$3001,0),"")</f>
        <v/>
      </c>
    </row>
    <row r="583">
      <c r="A583">
        <f>IF($L583="","",B583&amp;"."&amp;C583&amp;"-"&amp;D583&amp;"-"&amp;H583&amp;"."&amp;I583&amp;"."&amp;J583)</f>
        <v/>
      </c>
      <c r="B583">
        <f>IF($L583="","",INDEX(Расчет!$A$2:$A$3001,$L583))</f>
        <v/>
      </c>
      <c r="C583">
        <f>IF($L583="","",INDEX(Расчет!$B$2:$B$3001,$L583))</f>
        <v/>
      </c>
      <c r="D583">
        <f>IF($L583="","",IF(ISNUMBER(FIND("(",INDEX(Расчет!$C$2:$C$3001,$L583))),SUBSTITUTE(MID(INDEX(Расчет!$C$2:$C$3001,$L583),FIND("(",INDEX(Расчет!$C$2:$C$3001,$L583))+1,99),")",""),INDEX(Расчет!$C$2:$C$3001,$L583)))</f>
        <v/>
      </c>
      <c r="E583">
        <f>IF($L583="","",INDEX(Расчет!$D$2:$D$3001,$L583))</f>
        <v/>
      </c>
      <c r="F583">
        <f>IF($L583="","",INDEX(Расчет!$E$2:$E$3001,$L583))</f>
        <v/>
      </c>
      <c r="G583">
        <f>IF($L583="","",IFERROR(--LEFT(INDEX(Расчет!$C$2:$C$3001,$L583),FIND("(",INDEX(Расчет!$C$2:$C$3001,$L583))-1),IFERROR(--LEFT(INDEX(Расчет!$C$2:$C$3001,$L583),1),"")))</f>
        <v/>
      </c>
      <c r="H583">
        <f>IF($L583="","",SUMIFS(Расчет!$G$2:$G$3001,Расчет!$I$2:$I$3001,$K583,Расчет!$H$2:$H$3001,1))</f>
        <v/>
      </c>
      <c r="I583">
        <f>IF($L583="","",SUMIFS(Расчет!$G$2:$G$3001,Расчет!$I$2:$I$3001,$K583,Расчет!$H$2:$H$3001,2))</f>
        <v/>
      </c>
      <c r="J583">
        <f>IF($L583="","",SUMIFS(Расчет!$G$2:$G$3001,Расчет!$I$2:$I$3001,$K583,Расчет!$H$2:$H$3001,3))</f>
        <v/>
      </c>
      <c r="K583">
        <f>IF($L583="","",INDEX(Расчет!$I$2:$I$3001,$L583))</f>
        <v/>
      </c>
      <c r="L583">
        <f>IFERROR(MATCH(ROW()-1,Расчет!$J$2:$J$3001,0),"")</f>
        <v/>
      </c>
    </row>
    <row r="584">
      <c r="A584">
        <f>IF($L584="","",B584&amp;"."&amp;C584&amp;"-"&amp;D584&amp;"-"&amp;H584&amp;"."&amp;I584&amp;"."&amp;J584)</f>
        <v/>
      </c>
      <c r="B584">
        <f>IF($L584="","",INDEX(Расчет!$A$2:$A$3001,$L584))</f>
        <v/>
      </c>
      <c r="C584">
        <f>IF($L584="","",INDEX(Расчет!$B$2:$B$3001,$L584))</f>
        <v/>
      </c>
      <c r="D584">
        <f>IF($L584="","",IF(ISNUMBER(FIND("(",INDEX(Расчет!$C$2:$C$3001,$L584))),SUBSTITUTE(MID(INDEX(Расчет!$C$2:$C$3001,$L584),FIND("(",INDEX(Расчет!$C$2:$C$3001,$L584))+1,99),")",""),INDEX(Расчет!$C$2:$C$3001,$L584)))</f>
        <v/>
      </c>
      <c r="E584">
        <f>IF($L584="","",INDEX(Расчет!$D$2:$D$3001,$L584))</f>
        <v/>
      </c>
      <c r="F584">
        <f>IF($L584="","",INDEX(Расчет!$E$2:$E$3001,$L584))</f>
        <v/>
      </c>
      <c r="G584">
        <f>IF($L584="","",IFERROR(--LEFT(INDEX(Расчет!$C$2:$C$3001,$L584),FIND("(",INDEX(Расчет!$C$2:$C$3001,$L584))-1),IFERROR(--LEFT(INDEX(Расчет!$C$2:$C$3001,$L584),1),"")))</f>
        <v/>
      </c>
      <c r="H584">
        <f>IF($L584="","",SUMIFS(Расчет!$G$2:$G$3001,Расчет!$I$2:$I$3001,$K584,Расчет!$H$2:$H$3001,1))</f>
        <v/>
      </c>
      <c r="I584">
        <f>IF($L584="","",SUMIFS(Расчет!$G$2:$G$3001,Расчет!$I$2:$I$3001,$K584,Расчет!$H$2:$H$3001,2))</f>
        <v/>
      </c>
      <c r="J584">
        <f>IF($L584="","",SUMIFS(Расчет!$G$2:$G$3001,Расчет!$I$2:$I$3001,$K584,Расчет!$H$2:$H$3001,3))</f>
        <v/>
      </c>
      <c r="K584">
        <f>IF($L584="","",INDEX(Расчет!$I$2:$I$3001,$L584))</f>
        <v/>
      </c>
      <c r="L584">
        <f>IFERROR(MATCH(ROW()-1,Расчет!$J$2:$J$3001,0),"")</f>
        <v/>
      </c>
    </row>
    <row r="585">
      <c r="A585">
        <f>IF($L585="","",B585&amp;"."&amp;C585&amp;"-"&amp;D585&amp;"-"&amp;H585&amp;"."&amp;I585&amp;"."&amp;J585)</f>
        <v/>
      </c>
      <c r="B585">
        <f>IF($L585="","",INDEX(Расчет!$A$2:$A$3001,$L585))</f>
        <v/>
      </c>
      <c r="C585">
        <f>IF($L585="","",INDEX(Расчет!$B$2:$B$3001,$L585))</f>
        <v/>
      </c>
      <c r="D585">
        <f>IF($L585="","",IF(ISNUMBER(FIND("(",INDEX(Расчет!$C$2:$C$3001,$L585))),SUBSTITUTE(MID(INDEX(Расчет!$C$2:$C$3001,$L585),FIND("(",INDEX(Расчет!$C$2:$C$3001,$L585))+1,99),")",""),INDEX(Расчет!$C$2:$C$3001,$L585)))</f>
        <v/>
      </c>
      <c r="E585">
        <f>IF($L585="","",INDEX(Расчет!$D$2:$D$3001,$L585))</f>
        <v/>
      </c>
      <c r="F585">
        <f>IF($L585="","",INDEX(Расчет!$E$2:$E$3001,$L585))</f>
        <v/>
      </c>
      <c r="G585">
        <f>IF($L585="","",IFERROR(--LEFT(INDEX(Расчет!$C$2:$C$3001,$L585),FIND("(",INDEX(Расчет!$C$2:$C$3001,$L585))-1),IFERROR(--LEFT(INDEX(Расчет!$C$2:$C$3001,$L585),1),"")))</f>
        <v/>
      </c>
      <c r="H585">
        <f>IF($L585="","",SUMIFS(Расчет!$G$2:$G$3001,Расчет!$I$2:$I$3001,$K585,Расчет!$H$2:$H$3001,1))</f>
        <v/>
      </c>
      <c r="I585">
        <f>IF($L585="","",SUMIFS(Расчет!$G$2:$G$3001,Расчет!$I$2:$I$3001,$K585,Расчет!$H$2:$H$3001,2))</f>
        <v/>
      </c>
      <c r="J585">
        <f>IF($L585="","",SUMIFS(Расчет!$G$2:$G$3001,Расчет!$I$2:$I$3001,$K585,Расчет!$H$2:$H$3001,3))</f>
        <v/>
      </c>
      <c r="K585">
        <f>IF($L585="","",INDEX(Расчет!$I$2:$I$3001,$L585))</f>
        <v/>
      </c>
      <c r="L585">
        <f>IFERROR(MATCH(ROW()-1,Расчет!$J$2:$J$3001,0),"")</f>
        <v/>
      </c>
    </row>
    <row r="586">
      <c r="A586">
        <f>IF($L586="","",B586&amp;"."&amp;C586&amp;"-"&amp;D586&amp;"-"&amp;H586&amp;"."&amp;I586&amp;"."&amp;J586)</f>
        <v/>
      </c>
      <c r="B586">
        <f>IF($L586="","",INDEX(Расчет!$A$2:$A$3001,$L586))</f>
        <v/>
      </c>
      <c r="C586">
        <f>IF($L586="","",INDEX(Расчет!$B$2:$B$3001,$L586))</f>
        <v/>
      </c>
      <c r="D586">
        <f>IF($L586="","",IF(ISNUMBER(FIND("(",INDEX(Расчет!$C$2:$C$3001,$L586))),SUBSTITUTE(MID(INDEX(Расчет!$C$2:$C$3001,$L586),FIND("(",INDEX(Расчет!$C$2:$C$3001,$L586))+1,99),")",""),INDEX(Расчет!$C$2:$C$3001,$L586)))</f>
        <v/>
      </c>
      <c r="E586">
        <f>IF($L586="","",INDEX(Расчет!$D$2:$D$3001,$L586))</f>
        <v/>
      </c>
      <c r="F586">
        <f>IF($L586="","",INDEX(Расчет!$E$2:$E$3001,$L586))</f>
        <v/>
      </c>
      <c r="G586">
        <f>IF($L586="","",IFERROR(--LEFT(INDEX(Расчет!$C$2:$C$3001,$L586),FIND("(",INDEX(Расчет!$C$2:$C$3001,$L586))-1),IFERROR(--LEFT(INDEX(Расчет!$C$2:$C$3001,$L586),1),"")))</f>
        <v/>
      </c>
      <c r="H586">
        <f>IF($L586="","",SUMIFS(Расчет!$G$2:$G$3001,Расчет!$I$2:$I$3001,$K586,Расчет!$H$2:$H$3001,1))</f>
        <v/>
      </c>
      <c r="I586">
        <f>IF($L586="","",SUMIFS(Расчет!$G$2:$G$3001,Расчет!$I$2:$I$3001,$K586,Расчет!$H$2:$H$3001,2))</f>
        <v/>
      </c>
      <c r="J586">
        <f>IF($L586="","",SUMIFS(Расчет!$G$2:$G$3001,Расчет!$I$2:$I$3001,$K586,Расчет!$H$2:$H$3001,3))</f>
        <v/>
      </c>
      <c r="K586">
        <f>IF($L586="","",INDEX(Расчет!$I$2:$I$3001,$L586))</f>
        <v/>
      </c>
      <c r="L586">
        <f>IFERROR(MATCH(ROW()-1,Расчет!$J$2:$J$3001,0),"")</f>
        <v/>
      </c>
    </row>
    <row r="587">
      <c r="A587">
        <f>IF($L587="","",B587&amp;"."&amp;C587&amp;"-"&amp;D587&amp;"-"&amp;H587&amp;"."&amp;I587&amp;"."&amp;J587)</f>
        <v/>
      </c>
      <c r="B587">
        <f>IF($L587="","",INDEX(Расчет!$A$2:$A$3001,$L587))</f>
        <v/>
      </c>
      <c r="C587">
        <f>IF($L587="","",INDEX(Расчет!$B$2:$B$3001,$L587))</f>
        <v/>
      </c>
      <c r="D587">
        <f>IF($L587="","",IF(ISNUMBER(FIND("(",INDEX(Расчет!$C$2:$C$3001,$L587))),SUBSTITUTE(MID(INDEX(Расчет!$C$2:$C$3001,$L587),FIND("(",INDEX(Расчет!$C$2:$C$3001,$L587))+1,99),")",""),INDEX(Расчет!$C$2:$C$3001,$L587)))</f>
        <v/>
      </c>
      <c r="E587">
        <f>IF($L587="","",INDEX(Расчет!$D$2:$D$3001,$L587))</f>
        <v/>
      </c>
      <c r="F587">
        <f>IF($L587="","",INDEX(Расчет!$E$2:$E$3001,$L587))</f>
        <v/>
      </c>
      <c r="G587">
        <f>IF($L587="","",IFERROR(--LEFT(INDEX(Расчет!$C$2:$C$3001,$L587),FIND("(",INDEX(Расчет!$C$2:$C$3001,$L587))-1),IFERROR(--LEFT(INDEX(Расчет!$C$2:$C$3001,$L587),1),"")))</f>
        <v/>
      </c>
      <c r="H587">
        <f>IF($L587="","",SUMIFS(Расчет!$G$2:$G$3001,Расчет!$I$2:$I$3001,$K587,Расчет!$H$2:$H$3001,1))</f>
        <v/>
      </c>
      <c r="I587">
        <f>IF($L587="","",SUMIFS(Расчет!$G$2:$G$3001,Расчет!$I$2:$I$3001,$K587,Расчет!$H$2:$H$3001,2))</f>
        <v/>
      </c>
      <c r="J587">
        <f>IF($L587="","",SUMIFS(Расчет!$G$2:$G$3001,Расчет!$I$2:$I$3001,$K587,Расчет!$H$2:$H$3001,3))</f>
        <v/>
      </c>
      <c r="K587">
        <f>IF($L587="","",INDEX(Расчет!$I$2:$I$3001,$L587))</f>
        <v/>
      </c>
      <c r="L587">
        <f>IFERROR(MATCH(ROW()-1,Расчет!$J$2:$J$3001,0),"")</f>
        <v/>
      </c>
    </row>
    <row r="588">
      <c r="A588">
        <f>IF($L588="","",B588&amp;"."&amp;C588&amp;"-"&amp;D588&amp;"-"&amp;H588&amp;"."&amp;I588&amp;"."&amp;J588)</f>
        <v/>
      </c>
      <c r="B588">
        <f>IF($L588="","",INDEX(Расчет!$A$2:$A$3001,$L588))</f>
        <v/>
      </c>
      <c r="C588">
        <f>IF($L588="","",INDEX(Расчет!$B$2:$B$3001,$L588))</f>
        <v/>
      </c>
      <c r="D588">
        <f>IF($L588="","",IF(ISNUMBER(FIND("(",INDEX(Расчет!$C$2:$C$3001,$L588))),SUBSTITUTE(MID(INDEX(Расчет!$C$2:$C$3001,$L588),FIND("(",INDEX(Расчет!$C$2:$C$3001,$L588))+1,99),")",""),INDEX(Расчет!$C$2:$C$3001,$L588)))</f>
        <v/>
      </c>
      <c r="E588">
        <f>IF($L588="","",INDEX(Расчет!$D$2:$D$3001,$L588))</f>
        <v/>
      </c>
      <c r="F588">
        <f>IF($L588="","",INDEX(Расчет!$E$2:$E$3001,$L588))</f>
        <v/>
      </c>
      <c r="G588">
        <f>IF($L588="","",IFERROR(--LEFT(INDEX(Расчет!$C$2:$C$3001,$L588),FIND("(",INDEX(Расчет!$C$2:$C$3001,$L588))-1),IFERROR(--LEFT(INDEX(Расчет!$C$2:$C$3001,$L588),1),"")))</f>
        <v/>
      </c>
      <c r="H588">
        <f>IF($L588="","",SUMIFS(Расчет!$G$2:$G$3001,Расчет!$I$2:$I$3001,$K588,Расчет!$H$2:$H$3001,1))</f>
        <v/>
      </c>
      <c r="I588">
        <f>IF($L588="","",SUMIFS(Расчет!$G$2:$G$3001,Расчет!$I$2:$I$3001,$K588,Расчет!$H$2:$H$3001,2))</f>
        <v/>
      </c>
      <c r="J588">
        <f>IF($L588="","",SUMIFS(Расчет!$G$2:$G$3001,Расчет!$I$2:$I$3001,$K588,Расчет!$H$2:$H$3001,3))</f>
        <v/>
      </c>
      <c r="K588">
        <f>IF($L588="","",INDEX(Расчет!$I$2:$I$3001,$L588))</f>
        <v/>
      </c>
      <c r="L588">
        <f>IFERROR(MATCH(ROW()-1,Расчет!$J$2:$J$3001,0),"")</f>
        <v/>
      </c>
    </row>
    <row r="589">
      <c r="A589">
        <f>IF($L589="","",B589&amp;"."&amp;C589&amp;"-"&amp;D589&amp;"-"&amp;H589&amp;"."&amp;I589&amp;"."&amp;J589)</f>
        <v/>
      </c>
      <c r="B589">
        <f>IF($L589="","",INDEX(Расчет!$A$2:$A$3001,$L589))</f>
        <v/>
      </c>
      <c r="C589">
        <f>IF($L589="","",INDEX(Расчет!$B$2:$B$3001,$L589))</f>
        <v/>
      </c>
      <c r="D589">
        <f>IF($L589="","",IF(ISNUMBER(FIND("(",INDEX(Расчет!$C$2:$C$3001,$L589))),SUBSTITUTE(MID(INDEX(Расчет!$C$2:$C$3001,$L589),FIND("(",INDEX(Расчет!$C$2:$C$3001,$L589))+1,99),")",""),INDEX(Расчет!$C$2:$C$3001,$L589)))</f>
        <v/>
      </c>
      <c r="E589">
        <f>IF($L589="","",INDEX(Расчет!$D$2:$D$3001,$L589))</f>
        <v/>
      </c>
      <c r="F589">
        <f>IF($L589="","",INDEX(Расчет!$E$2:$E$3001,$L589))</f>
        <v/>
      </c>
      <c r="G589">
        <f>IF($L589="","",IFERROR(--LEFT(INDEX(Расчет!$C$2:$C$3001,$L589),FIND("(",INDEX(Расчет!$C$2:$C$3001,$L589))-1),IFERROR(--LEFT(INDEX(Расчет!$C$2:$C$3001,$L589),1),"")))</f>
        <v/>
      </c>
      <c r="H589">
        <f>IF($L589="","",SUMIFS(Расчет!$G$2:$G$3001,Расчет!$I$2:$I$3001,$K589,Расчет!$H$2:$H$3001,1))</f>
        <v/>
      </c>
      <c r="I589">
        <f>IF($L589="","",SUMIFS(Расчет!$G$2:$G$3001,Расчет!$I$2:$I$3001,$K589,Расчет!$H$2:$H$3001,2))</f>
        <v/>
      </c>
      <c r="J589">
        <f>IF($L589="","",SUMIFS(Расчет!$G$2:$G$3001,Расчет!$I$2:$I$3001,$K589,Расчет!$H$2:$H$3001,3))</f>
        <v/>
      </c>
      <c r="K589">
        <f>IF($L589="","",INDEX(Расчет!$I$2:$I$3001,$L589))</f>
        <v/>
      </c>
      <c r="L589">
        <f>IFERROR(MATCH(ROW()-1,Расчет!$J$2:$J$3001,0),"")</f>
        <v/>
      </c>
    </row>
    <row r="590">
      <c r="A590">
        <f>IF($L590="","",B590&amp;"."&amp;C590&amp;"-"&amp;D590&amp;"-"&amp;H590&amp;"."&amp;I590&amp;"."&amp;J590)</f>
        <v/>
      </c>
      <c r="B590">
        <f>IF($L590="","",INDEX(Расчет!$A$2:$A$3001,$L590))</f>
        <v/>
      </c>
      <c r="C590">
        <f>IF($L590="","",INDEX(Расчет!$B$2:$B$3001,$L590))</f>
        <v/>
      </c>
      <c r="D590">
        <f>IF($L590="","",IF(ISNUMBER(FIND("(",INDEX(Расчет!$C$2:$C$3001,$L590))),SUBSTITUTE(MID(INDEX(Расчет!$C$2:$C$3001,$L590),FIND("(",INDEX(Расчет!$C$2:$C$3001,$L590))+1,99),")",""),INDEX(Расчет!$C$2:$C$3001,$L590)))</f>
        <v/>
      </c>
      <c r="E590">
        <f>IF($L590="","",INDEX(Расчет!$D$2:$D$3001,$L590))</f>
        <v/>
      </c>
      <c r="F590">
        <f>IF($L590="","",INDEX(Расчет!$E$2:$E$3001,$L590))</f>
        <v/>
      </c>
      <c r="G590">
        <f>IF($L590="","",IFERROR(--LEFT(INDEX(Расчет!$C$2:$C$3001,$L590),FIND("(",INDEX(Расчет!$C$2:$C$3001,$L590))-1),IFERROR(--LEFT(INDEX(Расчет!$C$2:$C$3001,$L590),1),"")))</f>
        <v/>
      </c>
      <c r="H590">
        <f>IF($L590="","",SUMIFS(Расчет!$G$2:$G$3001,Расчет!$I$2:$I$3001,$K590,Расчет!$H$2:$H$3001,1))</f>
        <v/>
      </c>
      <c r="I590">
        <f>IF($L590="","",SUMIFS(Расчет!$G$2:$G$3001,Расчет!$I$2:$I$3001,$K590,Расчет!$H$2:$H$3001,2))</f>
        <v/>
      </c>
      <c r="J590">
        <f>IF($L590="","",SUMIFS(Расчет!$G$2:$G$3001,Расчет!$I$2:$I$3001,$K590,Расчет!$H$2:$H$3001,3))</f>
        <v/>
      </c>
      <c r="K590">
        <f>IF($L590="","",INDEX(Расчет!$I$2:$I$3001,$L590))</f>
        <v/>
      </c>
      <c r="L590">
        <f>IFERROR(MATCH(ROW()-1,Расчет!$J$2:$J$3001,0),"")</f>
        <v/>
      </c>
    </row>
    <row r="591">
      <c r="A591">
        <f>IF($L591="","",B591&amp;"."&amp;C591&amp;"-"&amp;D591&amp;"-"&amp;H591&amp;"."&amp;I591&amp;"."&amp;J591)</f>
        <v/>
      </c>
      <c r="B591">
        <f>IF($L591="","",INDEX(Расчет!$A$2:$A$3001,$L591))</f>
        <v/>
      </c>
      <c r="C591">
        <f>IF($L591="","",INDEX(Расчет!$B$2:$B$3001,$L591))</f>
        <v/>
      </c>
      <c r="D591">
        <f>IF($L591="","",IF(ISNUMBER(FIND("(",INDEX(Расчет!$C$2:$C$3001,$L591))),SUBSTITUTE(MID(INDEX(Расчет!$C$2:$C$3001,$L591),FIND("(",INDEX(Расчет!$C$2:$C$3001,$L591))+1,99),")",""),INDEX(Расчет!$C$2:$C$3001,$L591)))</f>
        <v/>
      </c>
      <c r="E591">
        <f>IF($L591="","",INDEX(Расчет!$D$2:$D$3001,$L591))</f>
        <v/>
      </c>
      <c r="F591">
        <f>IF($L591="","",INDEX(Расчет!$E$2:$E$3001,$L591))</f>
        <v/>
      </c>
      <c r="G591">
        <f>IF($L591="","",IFERROR(--LEFT(INDEX(Расчет!$C$2:$C$3001,$L591),FIND("(",INDEX(Расчет!$C$2:$C$3001,$L591))-1),IFERROR(--LEFT(INDEX(Расчет!$C$2:$C$3001,$L591),1),"")))</f>
        <v/>
      </c>
      <c r="H591">
        <f>IF($L591="","",SUMIFS(Расчет!$G$2:$G$3001,Расчет!$I$2:$I$3001,$K591,Расчет!$H$2:$H$3001,1))</f>
        <v/>
      </c>
      <c r="I591">
        <f>IF($L591="","",SUMIFS(Расчет!$G$2:$G$3001,Расчет!$I$2:$I$3001,$K591,Расчет!$H$2:$H$3001,2))</f>
        <v/>
      </c>
      <c r="J591">
        <f>IF($L591="","",SUMIFS(Расчет!$G$2:$G$3001,Расчет!$I$2:$I$3001,$K591,Расчет!$H$2:$H$3001,3))</f>
        <v/>
      </c>
      <c r="K591">
        <f>IF($L591="","",INDEX(Расчет!$I$2:$I$3001,$L591))</f>
        <v/>
      </c>
      <c r="L591">
        <f>IFERROR(MATCH(ROW()-1,Расчет!$J$2:$J$3001,0),"")</f>
        <v/>
      </c>
    </row>
    <row r="592">
      <c r="A592">
        <f>IF($L592="","",B592&amp;"."&amp;C592&amp;"-"&amp;D592&amp;"-"&amp;H592&amp;"."&amp;I592&amp;"."&amp;J592)</f>
        <v/>
      </c>
      <c r="B592">
        <f>IF($L592="","",INDEX(Расчет!$A$2:$A$3001,$L592))</f>
        <v/>
      </c>
      <c r="C592">
        <f>IF($L592="","",INDEX(Расчет!$B$2:$B$3001,$L592))</f>
        <v/>
      </c>
      <c r="D592">
        <f>IF($L592="","",IF(ISNUMBER(FIND("(",INDEX(Расчет!$C$2:$C$3001,$L592))),SUBSTITUTE(MID(INDEX(Расчет!$C$2:$C$3001,$L592),FIND("(",INDEX(Расчет!$C$2:$C$3001,$L592))+1,99),")",""),INDEX(Расчет!$C$2:$C$3001,$L592)))</f>
        <v/>
      </c>
      <c r="E592">
        <f>IF($L592="","",INDEX(Расчет!$D$2:$D$3001,$L592))</f>
        <v/>
      </c>
      <c r="F592">
        <f>IF($L592="","",INDEX(Расчет!$E$2:$E$3001,$L592))</f>
        <v/>
      </c>
      <c r="G592">
        <f>IF($L592="","",IFERROR(--LEFT(INDEX(Расчет!$C$2:$C$3001,$L592),FIND("(",INDEX(Расчет!$C$2:$C$3001,$L592))-1),IFERROR(--LEFT(INDEX(Расчет!$C$2:$C$3001,$L592),1),"")))</f>
        <v/>
      </c>
      <c r="H592">
        <f>IF($L592="","",SUMIFS(Расчет!$G$2:$G$3001,Расчет!$I$2:$I$3001,$K592,Расчет!$H$2:$H$3001,1))</f>
        <v/>
      </c>
      <c r="I592">
        <f>IF($L592="","",SUMIFS(Расчет!$G$2:$G$3001,Расчет!$I$2:$I$3001,$K592,Расчет!$H$2:$H$3001,2))</f>
        <v/>
      </c>
      <c r="J592">
        <f>IF($L592="","",SUMIFS(Расчет!$G$2:$G$3001,Расчет!$I$2:$I$3001,$K592,Расчет!$H$2:$H$3001,3))</f>
        <v/>
      </c>
      <c r="K592">
        <f>IF($L592="","",INDEX(Расчет!$I$2:$I$3001,$L592))</f>
        <v/>
      </c>
      <c r="L592">
        <f>IFERROR(MATCH(ROW()-1,Расчет!$J$2:$J$3001,0),"")</f>
        <v/>
      </c>
    </row>
    <row r="593">
      <c r="A593">
        <f>IF($L593="","",B593&amp;"."&amp;C593&amp;"-"&amp;D593&amp;"-"&amp;H593&amp;"."&amp;I593&amp;"."&amp;J593)</f>
        <v/>
      </c>
      <c r="B593">
        <f>IF($L593="","",INDEX(Расчет!$A$2:$A$3001,$L593))</f>
        <v/>
      </c>
      <c r="C593">
        <f>IF($L593="","",INDEX(Расчет!$B$2:$B$3001,$L593))</f>
        <v/>
      </c>
      <c r="D593">
        <f>IF($L593="","",IF(ISNUMBER(FIND("(",INDEX(Расчет!$C$2:$C$3001,$L593))),SUBSTITUTE(MID(INDEX(Расчет!$C$2:$C$3001,$L593),FIND("(",INDEX(Расчет!$C$2:$C$3001,$L593))+1,99),")",""),INDEX(Расчет!$C$2:$C$3001,$L593)))</f>
        <v/>
      </c>
      <c r="E593">
        <f>IF($L593="","",INDEX(Расчет!$D$2:$D$3001,$L593))</f>
        <v/>
      </c>
      <c r="F593">
        <f>IF($L593="","",INDEX(Расчет!$E$2:$E$3001,$L593))</f>
        <v/>
      </c>
      <c r="G593">
        <f>IF($L593="","",IFERROR(--LEFT(INDEX(Расчет!$C$2:$C$3001,$L593),FIND("(",INDEX(Расчет!$C$2:$C$3001,$L593))-1),IFERROR(--LEFT(INDEX(Расчет!$C$2:$C$3001,$L593),1),"")))</f>
        <v/>
      </c>
      <c r="H593">
        <f>IF($L593="","",SUMIFS(Расчет!$G$2:$G$3001,Расчет!$I$2:$I$3001,$K593,Расчет!$H$2:$H$3001,1))</f>
        <v/>
      </c>
      <c r="I593">
        <f>IF($L593="","",SUMIFS(Расчет!$G$2:$G$3001,Расчет!$I$2:$I$3001,$K593,Расчет!$H$2:$H$3001,2))</f>
        <v/>
      </c>
      <c r="J593">
        <f>IF($L593="","",SUMIFS(Расчет!$G$2:$G$3001,Расчет!$I$2:$I$3001,$K593,Расчет!$H$2:$H$3001,3))</f>
        <v/>
      </c>
      <c r="K593">
        <f>IF($L593="","",INDEX(Расчет!$I$2:$I$3001,$L593))</f>
        <v/>
      </c>
      <c r="L593">
        <f>IFERROR(MATCH(ROW()-1,Расчет!$J$2:$J$3001,0),"")</f>
        <v/>
      </c>
    </row>
    <row r="594">
      <c r="A594">
        <f>IF($L594="","",B594&amp;"."&amp;C594&amp;"-"&amp;D594&amp;"-"&amp;H594&amp;"."&amp;I594&amp;"."&amp;J594)</f>
        <v/>
      </c>
      <c r="B594">
        <f>IF($L594="","",INDEX(Расчет!$A$2:$A$3001,$L594))</f>
        <v/>
      </c>
      <c r="C594">
        <f>IF($L594="","",INDEX(Расчет!$B$2:$B$3001,$L594))</f>
        <v/>
      </c>
      <c r="D594">
        <f>IF($L594="","",IF(ISNUMBER(FIND("(",INDEX(Расчет!$C$2:$C$3001,$L594))),SUBSTITUTE(MID(INDEX(Расчет!$C$2:$C$3001,$L594),FIND("(",INDEX(Расчет!$C$2:$C$3001,$L594))+1,99),")",""),INDEX(Расчет!$C$2:$C$3001,$L594)))</f>
        <v/>
      </c>
      <c r="E594">
        <f>IF($L594="","",INDEX(Расчет!$D$2:$D$3001,$L594))</f>
        <v/>
      </c>
      <c r="F594">
        <f>IF($L594="","",INDEX(Расчет!$E$2:$E$3001,$L594))</f>
        <v/>
      </c>
      <c r="G594">
        <f>IF($L594="","",IFERROR(--LEFT(INDEX(Расчет!$C$2:$C$3001,$L594),FIND("(",INDEX(Расчет!$C$2:$C$3001,$L594))-1),IFERROR(--LEFT(INDEX(Расчет!$C$2:$C$3001,$L594),1),"")))</f>
        <v/>
      </c>
      <c r="H594">
        <f>IF($L594="","",SUMIFS(Расчет!$G$2:$G$3001,Расчет!$I$2:$I$3001,$K594,Расчет!$H$2:$H$3001,1))</f>
        <v/>
      </c>
      <c r="I594">
        <f>IF($L594="","",SUMIFS(Расчет!$G$2:$G$3001,Расчет!$I$2:$I$3001,$K594,Расчет!$H$2:$H$3001,2))</f>
        <v/>
      </c>
      <c r="J594">
        <f>IF($L594="","",SUMIFS(Расчет!$G$2:$G$3001,Расчет!$I$2:$I$3001,$K594,Расчет!$H$2:$H$3001,3))</f>
        <v/>
      </c>
      <c r="K594">
        <f>IF($L594="","",INDEX(Расчет!$I$2:$I$3001,$L594))</f>
        <v/>
      </c>
      <c r="L594">
        <f>IFERROR(MATCH(ROW()-1,Расчет!$J$2:$J$3001,0),"")</f>
        <v/>
      </c>
    </row>
    <row r="595">
      <c r="A595">
        <f>IF($L595="","",B595&amp;"."&amp;C595&amp;"-"&amp;D595&amp;"-"&amp;H595&amp;"."&amp;I595&amp;"."&amp;J595)</f>
        <v/>
      </c>
      <c r="B595">
        <f>IF($L595="","",INDEX(Расчет!$A$2:$A$3001,$L595))</f>
        <v/>
      </c>
      <c r="C595">
        <f>IF($L595="","",INDEX(Расчет!$B$2:$B$3001,$L595))</f>
        <v/>
      </c>
      <c r="D595">
        <f>IF($L595="","",IF(ISNUMBER(FIND("(",INDEX(Расчет!$C$2:$C$3001,$L595))),SUBSTITUTE(MID(INDEX(Расчет!$C$2:$C$3001,$L595),FIND("(",INDEX(Расчет!$C$2:$C$3001,$L595))+1,99),")",""),INDEX(Расчет!$C$2:$C$3001,$L595)))</f>
        <v/>
      </c>
      <c r="E595">
        <f>IF($L595="","",INDEX(Расчет!$D$2:$D$3001,$L595))</f>
        <v/>
      </c>
      <c r="F595">
        <f>IF($L595="","",INDEX(Расчет!$E$2:$E$3001,$L595))</f>
        <v/>
      </c>
      <c r="G595">
        <f>IF($L595="","",IFERROR(--LEFT(INDEX(Расчет!$C$2:$C$3001,$L595),FIND("(",INDEX(Расчет!$C$2:$C$3001,$L595))-1),IFERROR(--LEFT(INDEX(Расчет!$C$2:$C$3001,$L595),1),"")))</f>
        <v/>
      </c>
      <c r="H595">
        <f>IF($L595="","",SUMIFS(Расчет!$G$2:$G$3001,Расчет!$I$2:$I$3001,$K595,Расчет!$H$2:$H$3001,1))</f>
        <v/>
      </c>
      <c r="I595">
        <f>IF($L595="","",SUMIFS(Расчет!$G$2:$G$3001,Расчет!$I$2:$I$3001,$K595,Расчет!$H$2:$H$3001,2))</f>
        <v/>
      </c>
      <c r="J595">
        <f>IF($L595="","",SUMIFS(Расчет!$G$2:$G$3001,Расчет!$I$2:$I$3001,$K595,Расчет!$H$2:$H$3001,3))</f>
        <v/>
      </c>
      <c r="K595">
        <f>IF($L595="","",INDEX(Расчет!$I$2:$I$3001,$L595))</f>
        <v/>
      </c>
      <c r="L595">
        <f>IFERROR(MATCH(ROW()-1,Расчет!$J$2:$J$3001,0),"")</f>
        <v/>
      </c>
    </row>
    <row r="596">
      <c r="A596">
        <f>IF($L596="","",B596&amp;"."&amp;C596&amp;"-"&amp;D596&amp;"-"&amp;H596&amp;"."&amp;I596&amp;"."&amp;J596)</f>
        <v/>
      </c>
      <c r="B596">
        <f>IF($L596="","",INDEX(Расчет!$A$2:$A$3001,$L596))</f>
        <v/>
      </c>
      <c r="C596">
        <f>IF($L596="","",INDEX(Расчет!$B$2:$B$3001,$L596))</f>
        <v/>
      </c>
      <c r="D596">
        <f>IF($L596="","",IF(ISNUMBER(FIND("(",INDEX(Расчет!$C$2:$C$3001,$L596))),SUBSTITUTE(MID(INDEX(Расчет!$C$2:$C$3001,$L596),FIND("(",INDEX(Расчет!$C$2:$C$3001,$L596))+1,99),")",""),INDEX(Расчет!$C$2:$C$3001,$L596)))</f>
        <v/>
      </c>
      <c r="E596">
        <f>IF($L596="","",INDEX(Расчет!$D$2:$D$3001,$L596))</f>
        <v/>
      </c>
      <c r="F596">
        <f>IF($L596="","",INDEX(Расчет!$E$2:$E$3001,$L596))</f>
        <v/>
      </c>
      <c r="G596">
        <f>IF($L596="","",IFERROR(--LEFT(INDEX(Расчет!$C$2:$C$3001,$L596),FIND("(",INDEX(Расчет!$C$2:$C$3001,$L596))-1),IFERROR(--LEFT(INDEX(Расчет!$C$2:$C$3001,$L596),1),"")))</f>
        <v/>
      </c>
      <c r="H596">
        <f>IF($L596="","",SUMIFS(Расчет!$G$2:$G$3001,Расчет!$I$2:$I$3001,$K596,Расчет!$H$2:$H$3001,1))</f>
        <v/>
      </c>
      <c r="I596">
        <f>IF($L596="","",SUMIFS(Расчет!$G$2:$G$3001,Расчет!$I$2:$I$3001,$K596,Расчет!$H$2:$H$3001,2))</f>
        <v/>
      </c>
      <c r="J596">
        <f>IF($L596="","",SUMIFS(Расчет!$G$2:$G$3001,Расчет!$I$2:$I$3001,$K596,Расчет!$H$2:$H$3001,3))</f>
        <v/>
      </c>
      <c r="K596">
        <f>IF($L596="","",INDEX(Расчет!$I$2:$I$3001,$L596))</f>
        <v/>
      </c>
      <c r="L596">
        <f>IFERROR(MATCH(ROW()-1,Расчет!$J$2:$J$3001,0),"")</f>
        <v/>
      </c>
    </row>
    <row r="597">
      <c r="A597">
        <f>IF($L597="","",B597&amp;"."&amp;C597&amp;"-"&amp;D597&amp;"-"&amp;H597&amp;"."&amp;I597&amp;"."&amp;J597)</f>
        <v/>
      </c>
      <c r="B597">
        <f>IF($L597="","",INDEX(Расчет!$A$2:$A$3001,$L597))</f>
        <v/>
      </c>
      <c r="C597">
        <f>IF($L597="","",INDEX(Расчет!$B$2:$B$3001,$L597))</f>
        <v/>
      </c>
      <c r="D597">
        <f>IF($L597="","",IF(ISNUMBER(FIND("(",INDEX(Расчет!$C$2:$C$3001,$L597))),SUBSTITUTE(MID(INDEX(Расчет!$C$2:$C$3001,$L597),FIND("(",INDEX(Расчет!$C$2:$C$3001,$L597))+1,99),")",""),INDEX(Расчет!$C$2:$C$3001,$L597)))</f>
        <v/>
      </c>
      <c r="E597">
        <f>IF($L597="","",INDEX(Расчет!$D$2:$D$3001,$L597))</f>
        <v/>
      </c>
      <c r="F597">
        <f>IF($L597="","",INDEX(Расчет!$E$2:$E$3001,$L597))</f>
        <v/>
      </c>
      <c r="G597">
        <f>IF($L597="","",IFERROR(--LEFT(INDEX(Расчет!$C$2:$C$3001,$L597),FIND("(",INDEX(Расчет!$C$2:$C$3001,$L597))-1),IFERROR(--LEFT(INDEX(Расчет!$C$2:$C$3001,$L597),1),"")))</f>
        <v/>
      </c>
      <c r="H597">
        <f>IF($L597="","",SUMIFS(Расчет!$G$2:$G$3001,Расчет!$I$2:$I$3001,$K597,Расчет!$H$2:$H$3001,1))</f>
        <v/>
      </c>
      <c r="I597">
        <f>IF($L597="","",SUMIFS(Расчет!$G$2:$G$3001,Расчет!$I$2:$I$3001,$K597,Расчет!$H$2:$H$3001,2))</f>
        <v/>
      </c>
      <c r="J597">
        <f>IF($L597="","",SUMIFS(Расчет!$G$2:$G$3001,Расчет!$I$2:$I$3001,$K597,Расчет!$H$2:$H$3001,3))</f>
        <v/>
      </c>
      <c r="K597">
        <f>IF($L597="","",INDEX(Расчет!$I$2:$I$3001,$L597))</f>
        <v/>
      </c>
      <c r="L597">
        <f>IFERROR(MATCH(ROW()-1,Расчет!$J$2:$J$3001,0),"")</f>
        <v/>
      </c>
    </row>
    <row r="598">
      <c r="A598">
        <f>IF($L598="","",B598&amp;"."&amp;C598&amp;"-"&amp;D598&amp;"-"&amp;H598&amp;"."&amp;I598&amp;"."&amp;J598)</f>
        <v/>
      </c>
      <c r="B598">
        <f>IF($L598="","",INDEX(Расчет!$A$2:$A$3001,$L598))</f>
        <v/>
      </c>
      <c r="C598">
        <f>IF($L598="","",INDEX(Расчет!$B$2:$B$3001,$L598))</f>
        <v/>
      </c>
      <c r="D598">
        <f>IF($L598="","",IF(ISNUMBER(FIND("(",INDEX(Расчет!$C$2:$C$3001,$L598))),SUBSTITUTE(MID(INDEX(Расчет!$C$2:$C$3001,$L598),FIND("(",INDEX(Расчет!$C$2:$C$3001,$L598))+1,99),")",""),INDEX(Расчет!$C$2:$C$3001,$L598)))</f>
        <v/>
      </c>
      <c r="E598">
        <f>IF($L598="","",INDEX(Расчет!$D$2:$D$3001,$L598))</f>
        <v/>
      </c>
      <c r="F598">
        <f>IF($L598="","",INDEX(Расчет!$E$2:$E$3001,$L598))</f>
        <v/>
      </c>
      <c r="G598">
        <f>IF($L598="","",IFERROR(--LEFT(INDEX(Расчет!$C$2:$C$3001,$L598),FIND("(",INDEX(Расчет!$C$2:$C$3001,$L598))-1),IFERROR(--LEFT(INDEX(Расчет!$C$2:$C$3001,$L598),1),"")))</f>
        <v/>
      </c>
      <c r="H598">
        <f>IF($L598="","",SUMIFS(Расчет!$G$2:$G$3001,Расчет!$I$2:$I$3001,$K598,Расчет!$H$2:$H$3001,1))</f>
        <v/>
      </c>
      <c r="I598">
        <f>IF($L598="","",SUMIFS(Расчет!$G$2:$G$3001,Расчет!$I$2:$I$3001,$K598,Расчет!$H$2:$H$3001,2))</f>
        <v/>
      </c>
      <c r="J598">
        <f>IF($L598="","",SUMIFS(Расчет!$G$2:$G$3001,Расчет!$I$2:$I$3001,$K598,Расчет!$H$2:$H$3001,3))</f>
        <v/>
      </c>
      <c r="K598">
        <f>IF($L598="","",INDEX(Расчет!$I$2:$I$3001,$L598))</f>
        <v/>
      </c>
      <c r="L598">
        <f>IFERROR(MATCH(ROW()-1,Расчет!$J$2:$J$3001,0),"")</f>
        <v/>
      </c>
    </row>
    <row r="599">
      <c r="A599">
        <f>IF($L599="","",B599&amp;"."&amp;C599&amp;"-"&amp;D599&amp;"-"&amp;H599&amp;"."&amp;I599&amp;"."&amp;J599)</f>
        <v/>
      </c>
      <c r="B599">
        <f>IF($L599="","",INDEX(Расчет!$A$2:$A$3001,$L599))</f>
        <v/>
      </c>
      <c r="C599">
        <f>IF($L599="","",INDEX(Расчет!$B$2:$B$3001,$L599))</f>
        <v/>
      </c>
      <c r="D599">
        <f>IF($L599="","",IF(ISNUMBER(FIND("(",INDEX(Расчет!$C$2:$C$3001,$L599))),SUBSTITUTE(MID(INDEX(Расчет!$C$2:$C$3001,$L599),FIND("(",INDEX(Расчет!$C$2:$C$3001,$L599))+1,99),")",""),INDEX(Расчет!$C$2:$C$3001,$L599)))</f>
        <v/>
      </c>
      <c r="E599">
        <f>IF($L599="","",INDEX(Расчет!$D$2:$D$3001,$L599))</f>
        <v/>
      </c>
      <c r="F599">
        <f>IF($L599="","",INDEX(Расчет!$E$2:$E$3001,$L599))</f>
        <v/>
      </c>
      <c r="G599">
        <f>IF($L599="","",IFERROR(--LEFT(INDEX(Расчет!$C$2:$C$3001,$L599),FIND("(",INDEX(Расчет!$C$2:$C$3001,$L599))-1),IFERROR(--LEFT(INDEX(Расчет!$C$2:$C$3001,$L599),1),"")))</f>
        <v/>
      </c>
      <c r="H599">
        <f>IF($L599="","",SUMIFS(Расчет!$G$2:$G$3001,Расчет!$I$2:$I$3001,$K599,Расчет!$H$2:$H$3001,1))</f>
        <v/>
      </c>
      <c r="I599">
        <f>IF($L599="","",SUMIFS(Расчет!$G$2:$G$3001,Расчет!$I$2:$I$3001,$K599,Расчет!$H$2:$H$3001,2))</f>
        <v/>
      </c>
      <c r="J599">
        <f>IF($L599="","",SUMIFS(Расчет!$G$2:$G$3001,Расчет!$I$2:$I$3001,$K599,Расчет!$H$2:$H$3001,3))</f>
        <v/>
      </c>
      <c r="K599">
        <f>IF($L599="","",INDEX(Расчет!$I$2:$I$3001,$L599))</f>
        <v/>
      </c>
      <c r="L599">
        <f>IFERROR(MATCH(ROW()-1,Расчет!$J$2:$J$3001,0),"")</f>
        <v/>
      </c>
    </row>
    <row r="600">
      <c r="A600">
        <f>IF($L600="","",B600&amp;"."&amp;C600&amp;"-"&amp;D600&amp;"-"&amp;H600&amp;"."&amp;I600&amp;"."&amp;J600)</f>
        <v/>
      </c>
      <c r="B600">
        <f>IF($L600="","",INDEX(Расчет!$A$2:$A$3001,$L600))</f>
        <v/>
      </c>
      <c r="C600">
        <f>IF($L600="","",INDEX(Расчет!$B$2:$B$3001,$L600))</f>
        <v/>
      </c>
      <c r="D600">
        <f>IF($L600="","",IF(ISNUMBER(FIND("(",INDEX(Расчет!$C$2:$C$3001,$L600))),SUBSTITUTE(MID(INDEX(Расчет!$C$2:$C$3001,$L600),FIND("(",INDEX(Расчет!$C$2:$C$3001,$L600))+1,99),")",""),INDEX(Расчет!$C$2:$C$3001,$L600)))</f>
        <v/>
      </c>
      <c r="E600">
        <f>IF($L600="","",INDEX(Расчет!$D$2:$D$3001,$L600))</f>
        <v/>
      </c>
      <c r="F600">
        <f>IF($L600="","",INDEX(Расчет!$E$2:$E$3001,$L600))</f>
        <v/>
      </c>
      <c r="G600">
        <f>IF($L600="","",IFERROR(--LEFT(INDEX(Расчет!$C$2:$C$3001,$L600),FIND("(",INDEX(Расчет!$C$2:$C$3001,$L600))-1),IFERROR(--LEFT(INDEX(Расчет!$C$2:$C$3001,$L600),1),"")))</f>
        <v/>
      </c>
      <c r="H600">
        <f>IF($L600="","",SUMIFS(Расчет!$G$2:$G$3001,Расчет!$I$2:$I$3001,$K600,Расчет!$H$2:$H$3001,1))</f>
        <v/>
      </c>
      <c r="I600">
        <f>IF($L600="","",SUMIFS(Расчет!$G$2:$G$3001,Расчет!$I$2:$I$3001,$K600,Расчет!$H$2:$H$3001,2))</f>
        <v/>
      </c>
      <c r="J600">
        <f>IF($L600="","",SUMIFS(Расчет!$G$2:$G$3001,Расчет!$I$2:$I$3001,$K600,Расчет!$H$2:$H$3001,3))</f>
        <v/>
      </c>
      <c r="K600">
        <f>IF($L600="","",INDEX(Расчет!$I$2:$I$3001,$L600))</f>
        <v/>
      </c>
      <c r="L600">
        <f>IFERROR(MATCH(ROW()-1,Расчет!$J$2:$J$3001,0),"")</f>
        <v/>
      </c>
    </row>
    <row r="601">
      <c r="A601">
        <f>IF($L601="","",B601&amp;"."&amp;C601&amp;"-"&amp;D601&amp;"-"&amp;H601&amp;"."&amp;I601&amp;"."&amp;J601)</f>
        <v/>
      </c>
      <c r="B601">
        <f>IF($L601="","",INDEX(Расчет!$A$2:$A$3001,$L601))</f>
        <v/>
      </c>
      <c r="C601">
        <f>IF($L601="","",INDEX(Расчет!$B$2:$B$3001,$L601))</f>
        <v/>
      </c>
      <c r="D601">
        <f>IF($L601="","",IF(ISNUMBER(FIND("(",INDEX(Расчет!$C$2:$C$3001,$L601))),SUBSTITUTE(MID(INDEX(Расчет!$C$2:$C$3001,$L601),FIND("(",INDEX(Расчет!$C$2:$C$3001,$L601))+1,99),")",""),INDEX(Расчет!$C$2:$C$3001,$L601)))</f>
        <v/>
      </c>
      <c r="E601">
        <f>IF($L601="","",INDEX(Расчет!$D$2:$D$3001,$L601))</f>
        <v/>
      </c>
      <c r="F601">
        <f>IF($L601="","",INDEX(Расчет!$E$2:$E$3001,$L601))</f>
        <v/>
      </c>
      <c r="G601">
        <f>IF($L601="","",IFERROR(--LEFT(INDEX(Расчет!$C$2:$C$3001,$L601),FIND("(",INDEX(Расчет!$C$2:$C$3001,$L601))-1),IFERROR(--LEFT(INDEX(Расчет!$C$2:$C$3001,$L601),1),"")))</f>
        <v/>
      </c>
      <c r="H601">
        <f>IF($L601="","",SUMIFS(Расчет!$G$2:$G$3001,Расчет!$I$2:$I$3001,$K601,Расчет!$H$2:$H$3001,1))</f>
        <v/>
      </c>
      <c r="I601">
        <f>IF($L601="","",SUMIFS(Расчет!$G$2:$G$3001,Расчет!$I$2:$I$3001,$K601,Расчет!$H$2:$H$3001,2))</f>
        <v/>
      </c>
      <c r="J601">
        <f>IF($L601="","",SUMIFS(Расчет!$G$2:$G$3001,Расчет!$I$2:$I$3001,$K601,Расчет!$H$2:$H$3001,3))</f>
        <v/>
      </c>
      <c r="K601">
        <f>IF($L601="","",INDEX(Расчет!$I$2:$I$3001,$L601))</f>
        <v/>
      </c>
      <c r="L601">
        <f>IFERROR(MATCH(ROW()-1,Расчет!$J$2:$J$3001,0),"")</f>
        <v/>
      </c>
    </row>
    <row r="602">
      <c r="A602">
        <f>IF($L602="","",B602&amp;"."&amp;C602&amp;"-"&amp;D602&amp;"-"&amp;H602&amp;"."&amp;I602&amp;"."&amp;J602)</f>
        <v/>
      </c>
      <c r="B602">
        <f>IF($L602="","",INDEX(Расчет!$A$2:$A$3001,$L602))</f>
        <v/>
      </c>
      <c r="C602">
        <f>IF($L602="","",INDEX(Расчет!$B$2:$B$3001,$L602))</f>
        <v/>
      </c>
      <c r="D602">
        <f>IF($L602="","",IF(ISNUMBER(FIND("(",INDEX(Расчет!$C$2:$C$3001,$L602))),SUBSTITUTE(MID(INDEX(Расчет!$C$2:$C$3001,$L602),FIND("(",INDEX(Расчет!$C$2:$C$3001,$L602))+1,99),")",""),INDEX(Расчет!$C$2:$C$3001,$L602)))</f>
        <v/>
      </c>
      <c r="E602">
        <f>IF($L602="","",INDEX(Расчет!$D$2:$D$3001,$L602))</f>
        <v/>
      </c>
      <c r="F602">
        <f>IF($L602="","",INDEX(Расчет!$E$2:$E$3001,$L602))</f>
        <v/>
      </c>
      <c r="G602">
        <f>IF($L602="","",IFERROR(--LEFT(INDEX(Расчет!$C$2:$C$3001,$L602),FIND("(",INDEX(Расчет!$C$2:$C$3001,$L602))-1),IFERROR(--LEFT(INDEX(Расчет!$C$2:$C$3001,$L602),1),"")))</f>
        <v/>
      </c>
      <c r="H602">
        <f>IF($L602="","",SUMIFS(Расчет!$G$2:$G$3001,Расчет!$I$2:$I$3001,$K602,Расчет!$H$2:$H$3001,1))</f>
        <v/>
      </c>
      <c r="I602">
        <f>IF($L602="","",SUMIFS(Расчет!$G$2:$G$3001,Расчет!$I$2:$I$3001,$K602,Расчет!$H$2:$H$3001,2))</f>
        <v/>
      </c>
      <c r="J602">
        <f>IF($L602="","",SUMIFS(Расчет!$G$2:$G$3001,Расчет!$I$2:$I$3001,$K602,Расчет!$H$2:$H$3001,3))</f>
        <v/>
      </c>
      <c r="K602">
        <f>IF($L602="","",INDEX(Расчет!$I$2:$I$3001,$L602))</f>
        <v/>
      </c>
      <c r="L602">
        <f>IFERROR(MATCH(ROW()-1,Расчет!$J$2:$J$3001,0),"")</f>
        <v/>
      </c>
    </row>
    <row r="603">
      <c r="A603">
        <f>IF($L603="","",B603&amp;"."&amp;C603&amp;"-"&amp;D603&amp;"-"&amp;H603&amp;"."&amp;I603&amp;"."&amp;J603)</f>
        <v/>
      </c>
      <c r="B603">
        <f>IF($L603="","",INDEX(Расчет!$A$2:$A$3001,$L603))</f>
        <v/>
      </c>
      <c r="C603">
        <f>IF($L603="","",INDEX(Расчет!$B$2:$B$3001,$L603))</f>
        <v/>
      </c>
      <c r="D603">
        <f>IF($L603="","",IF(ISNUMBER(FIND("(",INDEX(Расчет!$C$2:$C$3001,$L603))),SUBSTITUTE(MID(INDEX(Расчет!$C$2:$C$3001,$L603),FIND("(",INDEX(Расчет!$C$2:$C$3001,$L603))+1,99),")",""),INDEX(Расчет!$C$2:$C$3001,$L603)))</f>
        <v/>
      </c>
      <c r="E603">
        <f>IF($L603="","",INDEX(Расчет!$D$2:$D$3001,$L603))</f>
        <v/>
      </c>
      <c r="F603">
        <f>IF($L603="","",INDEX(Расчет!$E$2:$E$3001,$L603))</f>
        <v/>
      </c>
      <c r="G603">
        <f>IF($L603="","",IFERROR(--LEFT(INDEX(Расчет!$C$2:$C$3001,$L603),FIND("(",INDEX(Расчет!$C$2:$C$3001,$L603))-1),IFERROR(--LEFT(INDEX(Расчет!$C$2:$C$3001,$L603),1),"")))</f>
        <v/>
      </c>
      <c r="H603">
        <f>IF($L603="","",SUMIFS(Расчет!$G$2:$G$3001,Расчет!$I$2:$I$3001,$K603,Расчет!$H$2:$H$3001,1))</f>
        <v/>
      </c>
      <c r="I603">
        <f>IF($L603="","",SUMIFS(Расчет!$G$2:$G$3001,Расчет!$I$2:$I$3001,$K603,Расчет!$H$2:$H$3001,2))</f>
        <v/>
      </c>
      <c r="J603">
        <f>IF($L603="","",SUMIFS(Расчет!$G$2:$G$3001,Расчет!$I$2:$I$3001,$K603,Расчет!$H$2:$H$3001,3))</f>
        <v/>
      </c>
      <c r="K603">
        <f>IF($L603="","",INDEX(Расчет!$I$2:$I$3001,$L603))</f>
        <v/>
      </c>
      <c r="L603">
        <f>IFERROR(MATCH(ROW()-1,Расчет!$J$2:$J$3001,0),"")</f>
        <v/>
      </c>
    </row>
    <row r="604">
      <c r="A604">
        <f>IF($L604="","",B604&amp;"."&amp;C604&amp;"-"&amp;D604&amp;"-"&amp;H604&amp;"."&amp;I604&amp;"."&amp;J604)</f>
        <v/>
      </c>
      <c r="B604">
        <f>IF($L604="","",INDEX(Расчет!$A$2:$A$3001,$L604))</f>
        <v/>
      </c>
      <c r="C604">
        <f>IF($L604="","",INDEX(Расчет!$B$2:$B$3001,$L604))</f>
        <v/>
      </c>
      <c r="D604">
        <f>IF($L604="","",IF(ISNUMBER(FIND("(",INDEX(Расчет!$C$2:$C$3001,$L604))),SUBSTITUTE(MID(INDEX(Расчет!$C$2:$C$3001,$L604),FIND("(",INDEX(Расчет!$C$2:$C$3001,$L604))+1,99),")",""),INDEX(Расчет!$C$2:$C$3001,$L604)))</f>
        <v/>
      </c>
      <c r="E604">
        <f>IF($L604="","",INDEX(Расчет!$D$2:$D$3001,$L604))</f>
        <v/>
      </c>
      <c r="F604">
        <f>IF($L604="","",INDEX(Расчет!$E$2:$E$3001,$L604))</f>
        <v/>
      </c>
      <c r="G604">
        <f>IF($L604="","",IFERROR(--LEFT(INDEX(Расчет!$C$2:$C$3001,$L604),FIND("(",INDEX(Расчет!$C$2:$C$3001,$L604))-1),IFERROR(--LEFT(INDEX(Расчет!$C$2:$C$3001,$L604),1),"")))</f>
        <v/>
      </c>
      <c r="H604">
        <f>IF($L604="","",SUMIFS(Расчет!$G$2:$G$3001,Расчет!$I$2:$I$3001,$K604,Расчет!$H$2:$H$3001,1))</f>
        <v/>
      </c>
      <c r="I604">
        <f>IF($L604="","",SUMIFS(Расчет!$G$2:$G$3001,Расчет!$I$2:$I$3001,$K604,Расчет!$H$2:$H$3001,2))</f>
        <v/>
      </c>
      <c r="J604">
        <f>IF($L604="","",SUMIFS(Расчет!$G$2:$G$3001,Расчет!$I$2:$I$3001,$K604,Расчет!$H$2:$H$3001,3))</f>
        <v/>
      </c>
      <c r="K604">
        <f>IF($L604="","",INDEX(Расчет!$I$2:$I$3001,$L604))</f>
        <v/>
      </c>
      <c r="L604">
        <f>IFERROR(MATCH(ROW()-1,Расчет!$J$2:$J$3001,0),"")</f>
        <v/>
      </c>
    </row>
    <row r="605">
      <c r="A605">
        <f>IF($L605="","",B605&amp;"."&amp;C605&amp;"-"&amp;D605&amp;"-"&amp;H605&amp;"."&amp;I605&amp;"."&amp;J605)</f>
        <v/>
      </c>
      <c r="B605">
        <f>IF($L605="","",INDEX(Расчет!$A$2:$A$3001,$L605))</f>
        <v/>
      </c>
      <c r="C605">
        <f>IF($L605="","",INDEX(Расчет!$B$2:$B$3001,$L605))</f>
        <v/>
      </c>
      <c r="D605">
        <f>IF($L605="","",IF(ISNUMBER(FIND("(",INDEX(Расчет!$C$2:$C$3001,$L605))),SUBSTITUTE(MID(INDEX(Расчет!$C$2:$C$3001,$L605),FIND("(",INDEX(Расчет!$C$2:$C$3001,$L605))+1,99),")",""),INDEX(Расчет!$C$2:$C$3001,$L605)))</f>
        <v/>
      </c>
      <c r="E605">
        <f>IF($L605="","",INDEX(Расчет!$D$2:$D$3001,$L605))</f>
        <v/>
      </c>
      <c r="F605">
        <f>IF($L605="","",INDEX(Расчет!$E$2:$E$3001,$L605))</f>
        <v/>
      </c>
      <c r="G605">
        <f>IF($L605="","",IFERROR(--LEFT(INDEX(Расчет!$C$2:$C$3001,$L605),FIND("(",INDEX(Расчет!$C$2:$C$3001,$L605))-1),IFERROR(--LEFT(INDEX(Расчет!$C$2:$C$3001,$L605),1),"")))</f>
        <v/>
      </c>
      <c r="H605">
        <f>IF($L605="","",SUMIFS(Расчет!$G$2:$G$3001,Расчет!$I$2:$I$3001,$K605,Расчет!$H$2:$H$3001,1))</f>
        <v/>
      </c>
      <c r="I605">
        <f>IF($L605="","",SUMIFS(Расчет!$G$2:$G$3001,Расчет!$I$2:$I$3001,$K605,Расчет!$H$2:$H$3001,2))</f>
        <v/>
      </c>
      <c r="J605">
        <f>IF($L605="","",SUMIFS(Расчет!$G$2:$G$3001,Расчет!$I$2:$I$3001,$K605,Расчет!$H$2:$H$3001,3))</f>
        <v/>
      </c>
      <c r="K605">
        <f>IF($L605="","",INDEX(Расчет!$I$2:$I$3001,$L605))</f>
        <v/>
      </c>
      <c r="L605">
        <f>IFERROR(MATCH(ROW()-1,Расчет!$J$2:$J$3001,0),"")</f>
        <v/>
      </c>
    </row>
    <row r="606">
      <c r="A606">
        <f>IF($L606="","",B606&amp;"."&amp;C606&amp;"-"&amp;D606&amp;"-"&amp;H606&amp;"."&amp;I606&amp;"."&amp;J606)</f>
        <v/>
      </c>
      <c r="B606">
        <f>IF($L606="","",INDEX(Расчет!$A$2:$A$3001,$L606))</f>
        <v/>
      </c>
      <c r="C606">
        <f>IF($L606="","",INDEX(Расчет!$B$2:$B$3001,$L606))</f>
        <v/>
      </c>
      <c r="D606">
        <f>IF($L606="","",IF(ISNUMBER(FIND("(",INDEX(Расчет!$C$2:$C$3001,$L606))),SUBSTITUTE(MID(INDEX(Расчет!$C$2:$C$3001,$L606),FIND("(",INDEX(Расчет!$C$2:$C$3001,$L606))+1,99),")",""),INDEX(Расчет!$C$2:$C$3001,$L606)))</f>
        <v/>
      </c>
      <c r="E606">
        <f>IF($L606="","",INDEX(Расчет!$D$2:$D$3001,$L606))</f>
        <v/>
      </c>
      <c r="F606">
        <f>IF($L606="","",INDEX(Расчет!$E$2:$E$3001,$L606))</f>
        <v/>
      </c>
      <c r="G606">
        <f>IF($L606="","",IFERROR(--LEFT(INDEX(Расчет!$C$2:$C$3001,$L606),FIND("(",INDEX(Расчет!$C$2:$C$3001,$L606))-1),IFERROR(--LEFT(INDEX(Расчет!$C$2:$C$3001,$L606),1),"")))</f>
        <v/>
      </c>
      <c r="H606">
        <f>IF($L606="","",SUMIFS(Расчет!$G$2:$G$3001,Расчет!$I$2:$I$3001,$K606,Расчет!$H$2:$H$3001,1))</f>
        <v/>
      </c>
      <c r="I606">
        <f>IF($L606="","",SUMIFS(Расчет!$G$2:$G$3001,Расчет!$I$2:$I$3001,$K606,Расчет!$H$2:$H$3001,2))</f>
        <v/>
      </c>
      <c r="J606">
        <f>IF($L606="","",SUMIFS(Расчет!$G$2:$G$3001,Расчет!$I$2:$I$3001,$K606,Расчет!$H$2:$H$3001,3))</f>
        <v/>
      </c>
      <c r="K606">
        <f>IF($L606="","",INDEX(Расчет!$I$2:$I$3001,$L606))</f>
        <v/>
      </c>
      <c r="L606">
        <f>IFERROR(MATCH(ROW()-1,Расчет!$J$2:$J$3001,0),"")</f>
        <v/>
      </c>
    </row>
    <row r="607">
      <c r="A607">
        <f>IF($L607="","",B607&amp;"."&amp;C607&amp;"-"&amp;D607&amp;"-"&amp;H607&amp;"."&amp;I607&amp;"."&amp;J607)</f>
        <v/>
      </c>
      <c r="B607">
        <f>IF($L607="","",INDEX(Расчет!$A$2:$A$3001,$L607))</f>
        <v/>
      </c>
      <c r="C607">
        <f>IF($L607="","",INDEX(Расчет!$B$2:$B$3001,$L607))</f>
        <v/>
      </c>
      <c r="D607">
        <f>IF($L607="","",IF(ISNUMBER(FIND("(",INDEX(Расчет!$C$2:$C$3001,$L607))),SUBSTITUTE(MID(INDEX(Расчет!$C$2:$C$3001,$L607),FIND("(",INDEX(Расчет!$C$2:$C$3001,$L607))+1,99),")",""),INDEX(Расчет!$C$2:$C$3001,$L607)))</f>
        <v/>
      </c>
      <c r="E607">
        <f>IF($L607="","",INDEX(Расчет!$D$2:$D$3001,$L607))</f>
        <v/>
      </c>
      <c r="F607">
        <f>IF($L607="","",INDEX(Расчет!$E$2:$E$3001,$L607))</f>
        <v/>
      </c>
      <c r="G607">
        <f>IF($L607="","",IFERROR(--LEFT(INDEX(Расчет!$C$2:$C$3001,$L607),FIND("(",INDEX(Расчет!$C$2:$C$3001,$L607))-1),IFERROR(--LEFT(INDEX(Расчет!$C$2:$C$3001,$L607),1),"")))</f>
        <v/>
      </c>
      <c r="H607">
        <f>IF($L607="","",SUMIFS(Расчет!$G$2:$G$3001,Расчет!$I$2:$I$3001,$K607,Расчет!$H$2:$H$3001,1))</f>
        <v/>
      </c>
      <c r="I607">
        <f>IF($L607="","",SUMIFS(Расчет!$G$2:$G$3001,Расчет!$I$2:$I$3001,$K607,Расчет!$H$2:$H$3001,2))</f>
        <v/>
      </c>
      <c r="J607">
        <f>IF($L607="","",SUMIFS(Расчет!$G$2:$G$3001,Расчет!$I$2:$I$3001,$K607,Расчет!$H$2:$H$3001,3))</f>
        <v/>
      </c>
      <c r="K607">
        <f>IF($L607="","",INDEX(Расчет!$I$2:$I$3001,$L607))</f>
        <v/>
      </c>
      <c r="L607">
        <f>IFERROR(MATCH(ROW()-1,Расчет!$J$2:$J$3001,0),"")</f>
        <v/>
      </c>
    </row>
    <row r="608">
      <c r="A608">
        <f>IF($L608="","",B608&amp;"."&amp;C608&amp;"-"&amp;D608&amp;"-"&amp;H608&amp;"."&amp;I608&amp;"."&amp;J608)</f>
        <v/>
      </c>
      <c r="B608">
        <f>IF($L608="","",INDEX(Расчет!$A$2:$A$3001,$L608))</f>
        <v/>
      </c>
      <c r="C608">
        <f>IF($L608="","",INDEX(Расчет!$B$2:$B$3001,$L608))</f>
        <v/>
      </c>
      <c r="D608">
        <f>IF($L608="","",IF(ISNUMBER(FIND("(",INDEX(Расчет!$C$2:$C$3001,$L608))),SUBSTITUTE(MID(INDEX(Расчет!$C$2:$C$3001,$L608),FIND("(",INDEX(Расчет!$C$2:$C$3001,$L608))+1,99),")",""),INDEX(Расчет!$C$2:$C$3001,$L608)))</f>
        <v/>
      </c>
      <c r="E608">
        <f>IF($L608="","",INDEX(Расчет!$D$2:$D$3001,$L608))</f>
        <v/>
      </c>
      <c r="F608">
        <f>IF($L608="","",INDEX(Расчет!$E$2:$E$3001,$L608))</f>
        <v/>
      </c>
      <c r="G608">
        <f>IF($L608="","",IFERROR(--LEFT(INDEX(Расчет!$C$2:$C$3001,$L608),FIND("(",INDEX(Расчет!$C$2:$C$3001,$L608))-1),IFERROR(--LEFT(INDEX(Расчет!$C$2:$C$3001,$L608),1),"")))</f>
        <v/>
      </c>
      <c r="H608">
        <f>IF($L608="","",SUMIFS(Расчет!$G$2:$G$3001,Расчет!$I$2:$I$3001,$K608,Расчет!$H$2:$H$3001,1))</f>
        <v/>
      </c>
      <c r="I608">
        <f>IF($L608="","",SUMIFS(Расчет!$G$2:$G$3001,Расчет!$I$2:$I$3001,$K608,Расчет!$H$2:$H$3001,2))</f>
        <v/>
      </c>
      <c r="J608">
        <f>IF($L608="","",SUMIFS(Расчет!$G$2:$G$3001,Расчет!$I$2:$I$3001,$K608,Расчет!$H$2:$H$3001,3))</f>
        <v/>
      </c>
      <c r="K608">
        <f>IF($L608="","",INDEX(Расчет!$I$2:$I$3001,$L608))</f>
        <v/>
      </c>
      <c r="L608">
        <f>IFERROR(MATCH(ROW()-1,Расчет!$J$2:$J$3001,0),"")</f>
        <v/>
      </c>
    </row>
    <row r="609">
      <c r="A609">
        <f>IF($L609="","",B609&amp;"."&amp;C609&amp;"-"&amp;D609&amp;"-"&amp;H609&amp;"."&amp;I609&amp;"."&amp;J609)</f>
        <v/>
      </c>
      <c r="B609">
        <f>IF($L609="","",INDEX(Расчет!$A$2:$A$3001,$L609))</f>
        <v/>
      </c>
      <c r="C609">
        <f>IF($L609="","",INDEX(Расчет!$B$2:$B$3001,$L609))</f>
        <v/>
      </c>
      <c r="D609">
        <f>IF($L609="","",IF(ISNUMBER(FIND("(",INDEX(Расчет!$C$2:$C$3001,$L609))),SUBSTITUTE(MID(INDEX(Расчет!$C$2:$C$3001,$L609),FIND("(",INDEX(Расчет!$C$2:$C$3001,$L609))+1,99),")",""),INDEX(Расчет!$C$2:$C$3001,$L609)))</f>
        <v/>
      </c>
      <c r="E609">
        <f>IF($L609="","",INDEX(Расчет!$D$2:$D$3001,$L609))</f>
        <v/>
      </c>
      <c r="F609">
        <f>IF($L609="","",INDEX(Расчет!$E$2:$E$3001,$L609))</f>
        <v/>
      </c>
      <c r="G609">
        <f>IF($L609="","",IFERROR(--LEFT(INDEX(Расчет!$C$2:$C$3001,$L609),FIND("(",INDEX(Расчет!$C$2:$C$3001,$L609))-1),IFERROR(--LEFT(INDEX(Расчет!$C$2:$C$3001,$L609),1),"")))</f>
        <v/>
      </c>
      <c r="H609">
        <f>IF($L609="","",SUMIFS(Расчет!$G$2:$G$3001,Расчет!$I$2:$I$3001,$K609,Расчет!$H$2:$H$3001,1))</f>
        <v/>
      </c>
      <c r="I609">
        <f>IF($L609="","",SUMIFS(Расчет!$G$2:$G$3001,Расчет!$I$2:$I$3001,$K609,Расчет!$H$2:$H$3001,2))</f>
        <v/>
      </c>
      <c r="J609">
        <f>IF($L609="","",SUMIFS(Расчет!$G$2:$G$3001,Расчет!$I$2:$I$3001,$K609,Расчет!$H$2:$H$3001,3))</f>
        <v/>
      </c>
      <c r="K609">
        <f>IF($L609="","",INDEX(Расчет!$I$2:$I$3001,$L609))</f>
        <v/>
      </c>
      <c r="L609">
        <f>IFERROR(MATCH(ROW()-1,Расчет!$J$2:$J$3001,0),"")</f>
        <v/>
      </c>
    </row>
    <row r="610">
      <c r="A610">
        <f>IF($L610="","",B610&amp;"."&amp;C610&amp;"-"&amp;D610&amp;"-"&amp;H610&amp;"."&amp;I610&amp;"."&amp;J610)</f>
        <v/>
      </c>
      <c r="B610">
        <f>IF($L610="","",INDEX(Расчет!$A$2:$A$3001,$L610))</f>
        <v/>
      </c>
      <c r="C610">
        <f>IF($L610="","",INDEX(Расчет!$B$2:$B$3001,$L610))</f>
        <v/>
      </c>
      <c r="D610">
        <f>IF($L610="","",IF(ISNUMBER(FIND("(",INDEX(Расчет!$C$2:$C$3001,$L610))),SUBSTITUTE(MID(INDEX(Расчет!$C$2:$C$3001,$L610),FIND("(",INDEX(Расчет!$C$2:$C$3001,$L610))+1,99),")",""),INDEX(Расчет!$C$2:$C$3001,$L610)))</f>
        <v/>
      </c>
      <c r="E610">
        <f>IF($L610="","",INDEX(Расчет!$D$2:$D$3001,$L610))</f>
        <v/>
      </c>
      <c r="F610">
        <f>IF($L610="","",INDEX(Расчет!$E$2:$E$3001,$L610))</f>
        <v/>
      </c>
      <c r="G610">
        <f>IF($L610="","",IFERROR(--LEFT(INDEX(Расчет!$C$2:$C$3001,$L610),FIND("(",INDEX(Расчет!$C$2:$C$3001,$L610))-1),IFERROR(--LEFT(INDEX(Расчет!$C$2:$C$3001,$L610),1),"")))</f>
        <v/>
      </c>
      <c r="H610">
        <f>IF($L610="","",SUMIFS(Расчет!$G$2:$G$3001,Расчет!$I$2:$I$3001,$K610,Расчет!$H$2:$H$3001,1))</f>
        <v/>
      </c>
      <c r="I610">
        <f>IF($L610="","",SUMIFS(Расчет!$G$2:$G$3001,Расчет!$I$2:$I$3001,$K610,Расчет!$H$2:$H$3001,2))</f>
        <v/>
      </c>
      <c r="J610">
        <f>IF($L610="","",SUMIFS(Расчет!$G$2:$G$3001,Расчет!$I$2:$I$3001,$K610,Расчет!$H$2:$H$3001,3))</f>
        <v/>
      </c>
      <c r="K610">
        <f>IF($L610="","",INDEX(Расчет!$I$2:$I$3001,$L610))</f>
        <v/>
      </c>
      <c r="L610">
        <f>IFERROR(MATCH(ROW()-1,Расчет!$J$2:$J$3001,0),"")</f>
        <v/>
      </c>
    </row>
    <row r="611">
      <c r="A611">
        <f>IF($L611="","",B611&amp;"."&amp;C611&amp;"-"&amp;D611&amp;"-"&amp;H611&amp;"."&amp;I611&amp;"."&amp;J611)</f>
        <v/>
      </c>
      <c r="B611">
        <f>IF($L611="","",INDEX(Расчет!$A$2:$A$3001,$L611))</f>
        <v/>
      </c>
      <c r="C611">
        <f>IF($L611="","",INDEX(Расчет!$B$2:$B$3001,$L611))</f>
        <v/>
      </c>
      <c r="D611">
        <f>IF($L611="","",IF(ISNUMBER(FIND("(",INDEX(Расчет!$C$2:$C$3001,$L611))),SUBSTITUTE(MID(INDEX(Расчет!$C$2:$C$3001,$L611),FIND("(",INDEX(Расчет!$C$2:$C$3001,$L611))+1,99),")",""),INDEX(Расчет!$C$2:$C$3001,$L611)))</f>
        <v/>
      </c>
      <c r="E611">
        <f>IF($L611="","",INDEX(Расчет!$D$2:$D$3001,$L611))</f>
        <v/>
      </c>
      <c r="F611">
        <f>IF($L611="","",INDEX(Расчет!$E$2:$E$3001,$L611))</f>
        <v/>
      </c>
      <c r="G611">
        <f>IF($L611="","",IFERROR(--LEFT(INDEX(Расчет!$C$2:$C$3001,$L611),FIND("(",INDEX(Расчет!$C$2:$C$3001,$L611))-1),IFERROR(--LEFT(INDEX(Расчет!$C$2:$C$3001,$L611),1),"")))</f>
        <v/>
      </c>
      <c r="H611">
        <f>IF($L611="","",SUMIFS(Расчет!$G$2:$G$3001,Расчет!$I$2:$I$3001,$K611,Расчет!$H$2:$H$3001,1))</f>
        <v/>
      </c>
      <c r="I611">
        <f>IF($L611="","",SUMIFS(Расчет!$G$2:$G$3001,Расчет!$I$2:$I$3001,$K611,Расчет!$H$2:$H$3001,2))</f>
        <v/>
      </c>
      <c r="J611">
        <f>IF($L611="","",SUMIFS(Расчет!$G$2:$G$3001,Расчет!$I$2:$I$3001,$K611,Расчет!$H$2:$H$3001,3))</f>
        <v/>
      </c>
      <c r="K611">
        <f>IF($L611="","",INDEX(Расчет!$I$2:$I$3001,$L611))</f>
        <v/>
      </c>
      <c r="L611">
        <f>IFERROR(MATCH(ROW()-1,Расчет!$J$2:$J$3001,0),"")</f>
        <v/>
      </c>
    </row>
    <row r="612">
      <c r="A612">
        <f>IF($L612="","",B612&amp;"."&amp;C612&amp;"-"&amp;D612&amp;"-"&amp;H612&amp;"."&amp;I612&amp;"."&amp;J612)</f>
        <v/>
      </c>
      <c r="B612">
        <f>IF($L612="","",INDEX(Расчет!$A$2:$A$3001,$L612))</f>
        <v/>
      </c>
      <c r="C612">
        <f>IF($L612="","",INDEX(Расчет!$B$2:$B$3001,$L612))</f>
        <v/>
      </c>
      <c r="D612">
        <f>IF($L612="","",IF(ISNUMBER(FIND("(",INDEX(Расчет!$C$2:$C$3001,$L612))),SUBSTITUTE(MID(INDEX(Расчет!$C$2:$C$3001,$L612),FIND("(",INDEX(Расчет!$C$2:$C$3001,$L612))+1,99),")",""),INDEX(Расчет!$C$2:$C$3001,$L612)))</f>
        <v/>
      </c>
      <c r="E612">
        <f>IF($L612="","",INDEX(Расчет!$D$2:$D$3001,$L612))</f>
        <v/>
      </c>
      <c r="F612">
        <f>IF($L612="","",INDEX(Расчет!$E$2:$E$3001,$L612))</f>
        <v/>
      </c>
      <c r="G612">
        <f>IF($L612="","",IFERROR(--LEFT(INDEX(Расчет!$C$2:$C$3001,$L612),FIND("(",INDEX(Расчет!$C$2:$C$3001,$L612))-1),IFERROR(--LEFT(INDEX(Расчет!$C$2:$C$3001,$L612),1),"")))</f>
        <v/>
      </c>
      <c r="H612">
        <f>IF($L612="","",SUMIFS(Расчет!$G$2:$G$3001,Расчет!$I$2:$I$3001,$K612,Расчет!$H$2:$H$3001,1))</f>
        <v/>
      </c>
      <c r="I612">
        <f>IF($L612="","",SUMIFS(Расчет!$G$2:$G$3001,Расчет!$I$2:$I$3001,$K612,Расчет!$H$2:$H$3001,2))</f>
        <v/>
      </c>
      <c r="J612">
        <f>IF($L612="","",SUMIFS(Расчет!$G$2:$G$3001,Расчет!$I$2:$I$3001,$K612,Расчет!$H$2:$H$3001,3))</f>
        <v/>
      </c>
      <c r="K612">
        <f>IF($L612="","",INDEX(Расчет!$I$2:$I$3001,$L612))</f>
        <v/>
      </c>
      <c r="L612">
        <f>IFERROR(MATCH(ROW()-1,Расчет!$J$2:$J$3001,0),"")</f>
        <v/>
      </c>
    </row>
    <row r="613">
      <c r="A613">
        <f>IF($L613="","",B613&amp;"."&amp;C613&amp;"-"&amp;D613&amp;"-"&amp;H613&amp;"."&amp;I613&amp;"."&amp;J613)</f>
        <v/>
      </c>
      <c r="B613">
        <f>IF($L613="","",INDEX(Расчет!$A$2:$A$3001,$L613))</f>
        <v/>
      </c>
      <c r="C613">
        <f>IF($L613="","",INDEX(Расчет!$B$2:$B$3001,$L613))</f>
        <v/>
      </c>
      <c r="D613">
        <f>IF($L613="","",IF(ISNUMBER(FIND("(",INDEX(Расчет!$C$2:$C$3001,$L613))),SUBSTITUTE(MID(INDEX(Расчет!$C$2:$C$3001,$L613),FIND("(",INDEX(Расчет!$C$2:$C$3001,$L613))+1,99),")",""),INDEX(Расчет!$C$2:$C$3001,$L613)))</f>
        <v/>
      </c>
      <c r="E613">
        <f>IF($L613="","",INDEX(Расчет!$D$2:$D$3001,$L613))</f>
        <v/>
      </c>
      <c r="F613">
        <f>IF($L613="","",INDEX(Расчет!$E$2:$E$3001,$L613))</f>
        <v/>
      </c>
      <c r="G613">
        <f>IF($L613="","",IFERROR(--LEFT(INDEX(Расчет!$C$2:$C$3001,$L613),FIND("(",INDEX(Расчет!$C$2:$C$3001,$L613))-1),IFERROR(--LEFT(INDEX(Расчет!$C$2:$C$3001,$L613),1),"")))</f>
        <v/>
      </c>
      <c r="H613">
        <f>IF($L613="","",SUMIFS(Расчет!$G$2:$G$3001,Расчет!$I$2:$I$3001,$K613,Расчет!$H$2:$H$3001,1))</f>
        <v/>
      </c>
      <c r="I613">
        <f>IF($L613="","",SUMIFS(Расчет!$G$2:$G$3001,Расчет!$I$2:$I$3001,$K613,Расчет!$H$2:$H$3001,2))</f>
        <v/>
      </c>
      <c r="J613">
        <f>IF($L613="","",SUMIFS(Расчет!$G$2:$G$3001,Расчет!$I$2:$I$3001,$K613,Расчет!$H$2:$H$3001,3))</f>
        <v/>
      </c>
      <c r="K613">
        <f>IF($L613="","",INDEX(Расчет!$I$2:$I$3001,$L613))</f>
        <v/>
      </c>
      <c r="L613">
        <f>IFERROR(MATCH(ROW()-1,Расчет!$J$2:$J$3001,0),"")</f>
        <v/>
      </c>
    </row>
    <row r="614">
      <c r="A614">
        <f>IF($L614="","",B614&amp;"."&amp;C614&amp;"-"&amp;D614&amp;"-"&amp;H614&amp;"."&amp;I614&amp;"."&amp;J614)</f>
        <v/>
      </c>
      <c r="B614">
        <f>IF($L614="","",INDEX(Расчет!$A$2:$A$3001,$L614))</f>
        <v/>
      </c>
      <c r="C614">
        <f>IF($L614="","",INDEX(Расчет!$B$2:$B$3001,$L614))</f>
        <v/>
      </c>
      <c r="D614">
        <f>IF($L614="","",IF(ISNUMBER(FIND("(",INDEX(Расчет!$C$2:$C$3001,$L614))),SUBSTITUTE(MID(INDEX(Расчет!$C$2:$C$3001,$L614),FIND("(",INDEX(Расчет!$C$2:$C$3001,$L614))+1,99),")",""),INDEX(Расчет!$C$2:$C$3001,$L614)))</f>
        <v/>
      </c>
      <c r="E614">
        <f>IF($L614="","",INDEX(Расчет!$D$2:$D$3001,$L614))</f>
        <v/>
      </c>
      <c r="F614">
        <f>IF($L614="","",INDEX(Расчет!$E$2:$E$3001,$L614))</f>
        <v/>
      </c>
      <c r="G614">
        <f>IF($L614="","",IFERROR(--LEFT(INDEX(Расчет!$C$2:$C$3001,$L614),FIND("(",INDEX(Расчет!$C$2:$C$3001,$L614))-1),IFERROR(--LEFT(INDEX(Расчет!$C$2:$C$3001,$L614),1),"")))</f>
        <v/>
      </c>
      <c r="H614">
        <f>IF($L614="","",SUMIFS(Расчет!$G$2:$G$3001,Расчет!$I$2:$I$3001,$K614,Расчет!$H$2:$H$3001,1))</f>
        <v/>
      </c>
      <c r="I614">
        <f>IF($L614="","",SUMIFS(Расчет!$G$2:$G$3001,Расчет!$I$2:$I$3001,$K614,Расчет!$H$2:$H$3001,2))</f>
        <v/>
      </c>
      <c r="J614">
        <f>IF($L614="","",SUMIFS(Расчет!$G$2:$G$3001,Расчет!$I$2:$I$3001,$K614,Расчет!$H$2:$H$3001,3))</f>
        <v/>
      </c>
      <c r="K614">
        <f>IF($L614="","",INDEX(Расчет!$I$2:$I$3001,$L614))</f>
        <v/>
      </c>
      <c r="L614">
        <f>IFERROR(MATCH(ROW()-1,Расчет!$J$2:$J$3001,0),"")</f>
        <v/>
      </c>
    </row>
    <row r="615">
      <c r="A615">
        <f>IF($L615="","",B615&amp;"."&amp;C615&amp;"-"&amp;D615&amp;"-"&amp;H615&amp;"."&amp;I615&amp;"."&amp;J615)</f>
        <v/>
      </c>
      <c r="B615">
        <f>IF($L615="","",INDEX(Расчет!$A$2:$A$3001,$L615))</f>
        <v/>
      </c>
      <c r="C615">
        <f>IF($L615="","",INDEX(Расчет!$B$2:$B$3001,$L615))</f>
        <v/>
      </c>
      <c r="D615">
        <f>IF($L615="","",IF(ISNUMBER(FIND("(",INDEX(Расчет!$C$2:$C$3001,$L615))),SUBSTITUTE(MID(INDEX(Расчет!$C$2:$C$3001,$L615),FIND("(",INDEX(Расчет!$C$2:$C$3001,$L615))+1,99),")",""),INDEX(Расчет!$C$2:$C$3001,$L615)))</f>
        <v/>
      </c>
      <c r="E615">
        <f>IF($L615="","",INDEX(Расчет!$D$2:$D$3001,$L615))</f>
        <v/>
      </c>
      <c r="F615">
        <f>IF($L615="","",INDEX(Расчет!$E$2:$E$3001,$L615))</f>
        <v/>
      </c>
      <c r="G615">
        <f>IF($L615="","",IFERROR(--LEFT(INDEX(Расчет!$C$2:$C$3001,$L615),FIND("(",INDEX(Расчет!$C$2:$C$3001,$L615))-1),IFERROR(--LEFT(INDEX(Расчет!$C$2:$C$3001,$L615),1),"")))</f>
        <v/>
      </c>
      <c r="H615">
        <f>IF($L615="","",SUMIFS(Расчет!$G$2:$G$3001,Расчет!$I$2:$I$3001,$K615,Расчет!$H$2:$H$3001,1))</f>
        <v/>
      </c>
      <c r="I615">
        <f>IF($L615="","",SUMIFS(Расчет!$G$2:$G$3001,Расчет!$I$2:$I$3001,$K615,Расчет!$H$2:$H$3001,2))</f>
        <v/>
      </c>
      <c r="J615">
        <f>IF($L615="","",SUMIFS(Расчет!$G$2:$G$3001,Расчет!$I$2:$I$3001,$K615,Расчет!$H$2:$H$3001,3))</f>
        <v/>
      </c>
      <c r="K615">
        <f>IF($L615="","",INDEX(Расчет!$I$2:$I$3001,$L615))</f>
        <v/>
      </c>
      <c r="L615">
        <f>IFERROR(MATCH(ROW()-1,Расчет!$J$2:$J$3001,0),"")</f>
        <v/>
      </c>
    </row>
    <row r="616">
      <c r="A616">
        <f>IF($L616="","",B616&amp;"."&amp;C616&amp;"-"&amp;D616&amp;"-"&amp;H616&amp;"."&amp;I616&amp;"."&amp;J616)</f>
        <v/>
      </c>
      <c r="B616">
        <f>IF($L616="","",INDEX(Расчет!$A$2:$A$3001,$L616))</f>
        <v/>
      </c>
      <c r="C616">
        <f>IF($L616="","",INDEX(Расчет!$B$2:$B$3001,$L616))</f>
        <v/>
      </c>
      <c r="D616">
        <f>IF($L616="","",IF(ISNUMBER(FIND("(",INDEX(Расчет!$C$2:$C$3001,$L616))),SUBSTITUTE(MID(INDEX(Расчет!$C$2:$C$3001,$L616),FIND("(",INDEX(Расчет!$C$2:$C$3001,$L616))+1,99),")",""),INDEX(Расчет!$C$2:$C$3001,$L616)))</f>
        <v/>
      </c>
      <c r="E616">
        <f>IF($L616="","",INDEX(Расчет!$D$2:$D$3001,$L616))</f>
        <v/>
      </c>
      <c r="F616">
        <f>IF($L616="","",INDEX(Расчет!$E$2:$E$3001,$L616))</f>
        <v/>
      </c>
      <c r="G616">
        <f>IF($L616="","",IFERROR(--LEFT(INDEX(Расчет!$C$2:$C$3001,$L616),FIND("(",INDEX(Расчет!$C$2:$C$3001,$L616))-1),IFERROR(--LEFT(INDEX(Расчет!$C$2:$C$3001,$L616),1),"")))</f>
        <v/>
      </c>
      <c r="H616">
        <f>IF($L616="","",SUMIFS(Расчет!$G$2:$G$3001,Расчет!$I$2:$I$3001,$K616,Расчет!$H$2:$H$3001,1))</f>
        <v/>
      </c>
      <c r="I616">
        <f>IF($L616="","",SUMIFS(Расчет!$G$2:$G$3001,Расчет!$I$2:$I$3001,$K616,Расчет!$H$2:$H$3001,2))</f>
        <v/>
      </c>
      <c r="J616">
        <f>IF($L616="","",SUMIFS(Расчет!$G$2:$G$3001,Расчет!$I$2:$I$3001,$K616,Расчет!$H$2:$H$3001,3))</f>
        <v/>
      </c>
      <c r="K616">
        <f>IF($L616="","",INDEX(Расчет!$I$2:$I$3001,$L616))</f>
        <v/>
      </c>
      <c r="L616">
        <f>IFERROR(MATCH(ROW()-1,Расчет!$J$2:$J$3001,0),"")</f>
        <v/>
      </c>
    </row>
    <row r="617">
      <c r="A617">
        <f>IF($L617="","",B617&amp;"."&amp;C617&amp;"-"&amp;D617&amp;"-"&amp;H617&amp;"."&amp;I617&amp;"."&amp;J617)</f>
        <v/>
      </c>
      <c r="B617">
        <f>IF($L617="","",INDEX(Расчет!$A$2:$A$3001,$L617))</f>
        <v/>
      </c>
      <c r="C617">
        <f>IF($L617="","",INDEX(Расчет!$B$2:$B$3001,$L617))</f>
        <v/>
      </c>
      <c r="D617">
        <f>IF($L617="","",IF(ISNUMBER(FIND("(",INDEX(Расчет!$C$2:$C$3001,$L617))),SUBSTITUTE(MID(INDEX(Расчет!$C$2:$C$3001,$L617),FIND("(",INDEX(Расчет!$C$2:$C$3001,$L617))+1,99),")",""),INDEX(Расчет!$C$2:$C$3001,$L617)))</f>
        <v/>
      </c>
      <c r="E617">
        <f>IF($L617="","",INDEX(Расчет!$D$2:$D$3001,$L617))</f>
        <v/>
      </c>
      <c r="F617">
        <f>IF($L617="","",INDEX(Расчет!$E$2:$E$3001,$L617))</f>
        <v/>
      </c>
      <c r="G617">
        <f>IF($L617="","",IFERROR(--LEFT(INDEX(Расчет!$C$2:$C$3001,$L617),FIND("(",INDEX(Расчет!$C$2:$C$3001,$L617))-1),IFERROR(--LEFT(INDEX(Расчет!$C$2:$C$3001,$L617),1),"")))</f>
        <v/>
      </c>
      <c r="H617">
        <f>IF($L617="","",SUMIFS(Расчет!$G$2:$G$3001,Расчет!$I$2:$I$3001,$K617,Расчет!$H$2:$H$3001,1))</f>
        <v/>
      </c>
      <c r="I617">
        <f>IF($L617="","",SUMIFS(Расчет!$G$2:$G$3001,Расчет!$I$2:$I$3001,$K617,Расчет!$H$2:$H$3001,2))</f>
        <v/>
      </c>
      <c r="J617">
        <f>IF($L617="","",SUMIFS(Расчет!$G$2:$G$3001,Расчет!$I$2:$I$3001,$K617,Расчет!$H$2:$H$3001,3))</f>
        <v/>
      </c>
      <c r="K617">
        <f>IF($L617="","",INDEX(Расчет!$I$2:$I$3001,$L617))</f>
        <v/>
      </c>
      <c r="L617">
        <f>IFERROR(MATCH(ROW()-1,Расчет!$J$2:$J$3001,0),"")</f>
        <v/>
      </c>
    </row>
    <row r="618">
      <c r="A618">
        <f>IF($L618="","",B618&amp;"."&amp;C618&amp;"-"&amp;D618&amp;"-"&amp;H618&amp;"."&amp;I618&amp;"."&amp;J618)</f>
        <v/>
      </c>
      <c r="B618">
        <f>IF($L618="","",INDEX(Расчет!$A$2:$A$3001,$L618))</f>
        <v/>
      </c>
      <c r="C618">
        <f>IF($L618="","",INDEX(Расчет!$B$2:$B$3001,$L618))</f>
        <v/>
      </c>
      <c r="D618">
        <f>IF($L618="","",IF(ISNUMBER(FIND("(",INDEX(Расчет!$C$2:$C$3001,$L618))),SUBSTITUTE(MID(INDEX(Расчет!$C$2:$C$3001,$L618),FIND("(",INDEX(Расчет!$C$2:$C$3001,$L618))+1,99),")",""),INDEX(Расчет!$C$2:$C$3001,$L618)))</f>
        <v/>
      </c>
      <c r="E618">
        <f>IF($L618="","",INDEX(Расчет!$D$2:$D$3001,$L618))</f>
        <v/>
      </c>
      <c r="F618">
        <f>IF($L618="","",INDEX(Расчет!$E$2:$E$3001,$L618))</f>
        <v/>
      </c>
      <c r="G618">
        <f>IF($L618="","",IFERROR(--LEFT(INDEX(Расчет!$C$2:$C$3001,$L618),FIND("(",INDEX(Расчет!$C$2:$C$3001,$L618))-1),IFERROR(--LEFT(INDEX(Расчет!$C$2:$C$3001,$L618),1),"")))</f>
        <v/>
      </c>
      <c r="H618">
        <f>IF($L618="","",SUMIFS(Расчет!$G$2:$G$3001,Расчет!$I$2:$I$3001,$K618,Расчет!$H$2:$H$3001,1))</f>
        <v/>
      </c>
      <c r="I618">
        <f>IF($L618="","",SUMIFS(Расчет!$G$2:$G$3001,Расчет!$I$2:$I$3001,$K618,Расчет!$H$2:$H$3001,2))</f>
        <v/>
      </c>
      <c r="J618">
        <f>IF($L618="","",SUMIFS(Расчет!$G$2:$G$3001,Расчет!$I$2:$I$3001,$K618,Расчет!$H$2:$H$3001,3))</f>
        <v/>
      </c>
      <c r="K618">
        <f>IF($L618="","",INDEX(Расчет!$I$2:$I$3001,$L618))</f>
        <v/>
      </c>
      <c r="L618">
        <f>IFERROR(MATCH(ROW()-1,Расчет!$J$2:$J$3001,0),"")</f>
        <v/>
      </c>
    </row>
    <row r="619">
      <c r="A619">
        <f>IF($L619="","",B619&amp;"."&amp;C619&amp;"-"&amp;D619&amp;"-"&amp;H619&amp;"."&amp;I619&amp;"."&amp;J619)</f>
        <v/>
      </c>
      <c r="B619">
        <f>IF($L619="","",INDEX(Расчет!$A$2:$A$3001,$L619))</f>
        <v/>
      </c>
      <c r="C619">
        <f>IF($L619="","",INDEX(Расчет!$B$2:$B$3001,$L619))</f>
        <v/>
      </c>
      <c r="D619">
        <f>IF($L619="","",IF(ISNUMBER(FIND("(",INDEX(Расчет!$C$2:$C$3001,$L619))),SUBSTITUTE(MID(INDEX(Расчет!$C$2:$C$3001,$L619),FIND("(",INDEX(Расчет!$C$2:$C$3001,$L619))+1,99),")",""),INDEX(Расчет!$C$2:$C$3001,$L619)))</f>
        <v/>
      </c>
      <c r="E619">
        <f>IF($L619="","",INDEX(Расчет!$D$2:$D$3001,$L619))</f>
        <v/>
      </c>
      <c r="F619">
        <f>IF($L619="","",INDEX(Расчет!$E$2:$E$3001,$L619))</f>
        <v/>
      </c>
      <c r="G619">
        <f>IF($L619="","",IFERROR(--LEFT(INDEX(Расчет!$C$2:$C$3001,$L619),FIND("(",INDEX(Расчет!$C$2:$C$3001,$L619))-1),IFERROR(--LEFT(INDEX(Расчет!$C$2:$C$3001,$L619),1),"")))</f>
        <v/>
      </c>
      <c r="H619">
        <f>IF($L619="","",SUMIFS(Расчет!$G$2:$G$3001,Расчет!$I$2:$I$3001,$K619,Расчет!$H$2:$H$3001,1))</f>
        <v/>
      </c>
      <c r="I619">
        <f>IF($L619="","",SUMIFS(Расчет!$G$2:$G$3001,Расчет!$I$2:$I$3001,$K619,Расчет!$H$2:$H$3001,2))</f>
        <v/>
      </c>
      <c r="J619">
        <f>IF($L619="","",SUMIFS(Расчет!$G$2:$G$3001,Расчет!$I$2:$I$3001,$K619,Расчет!$H$2:$H$3001,3))</f>
        <v/>
      </c>
      <c r="K619">
        <f>IF($L619="","",INDEX(Расчет!$I$2:$I$3001,$L619))</f>
        <v/>
      </c>
      <c r="L619">
        <f>IFERROR(MATCH(ROW()-1,Расчет!$J$2:$J$3001,0),"")</f>
        <v/>
      </c>
    </row>
    <row r="620">
      <c r="A620">
        <f>IF($L620="","",B620&amp;"."&amp;C620&amp;"-"&amp;D620&amp;"-"&amp;H620&amp;"."&amp;I620&amp;"."&amp;J620)</f>
        <v/>
      </c>
      <c r="B620">
        <f>IF($L620="","",INDEX(Расчет!$A$2:$A$3001,$L620))</f>
        <v/>
      </c>
      <c r="C620">
        <f>IF($L620="","",INDEX(Расчет!$B$2:$B$3001,$L620))</f>
        <v/>
      </c>
      <c r="D620">
        <f>IF($L620="","",IF(ISNUMBER(FIND("(",INDEX(Расчет!$C$2:$C$3001,$L620))),SUBSTITUTE(MID(INDEX(Расчет!$C$2:$C$3001,$L620),FIND("(",INDEX(Расчет!$C$2:$C$3001,$L620))+1,99),")",""),INDEX(Расчет!$C$2:$C$3001,$L620)))</f>
        <v/>
      </c>
      <c r="E620">
        <f>IF($L620="","",INDEX(Расчет!$D$2:$D$3001,$L620))</f>
        <v/>
      </c>
      <c r="F620">
        <f>IF($L620="","",INDEX(Расчет!$E$2:$E$3001,$L620))</f>
        <v/>
      </c>
      <c r="G620">
        <f>IF($L620="","",IFERROR(--LEFT(INDEX(Расчет!$C$2:$C$3001,$L620),FIND("(",INDEX(Расчет!$C$2:$C$3001,$L620))-1),IFERROR(--LEFT(INDEX(Расчет!$C$2:$C$3001,$L620),1),"")))</f>
        <v/>
      </c>
      <c r="H620">
        <f>IF($L620="","",SUMIFS(Расчет!$G$2:$G$3001,Расчет!$I$2:$I$3001,$K620,Расчет!$H$2:$H$3001,1))</f>
        <v/>
      </c>
      <c r="I620">
        <f>IF($L620="","",SUMIFS(Расчет!$G$2:$G$3001,Расчет!$I$2:$I$3001,$K620,Расчет!$H$2:$H$3001,2))</f>
        <v/>
      </c>
      <c r="J620">
        <f>IF($L620="","",SUMIFS(Расчет!$G$2:$G$3001,Расчет!$I$2:$I$3001,$K620,Расчет!$H$2:$H$3001,3))</f>
        <v/>
      </c>
      <c r="K620">
        <f>IF($L620="","",INDEX(Расчет!$I$2:$I$3001,$L620))</f>
        <v/>
      </c>
      <c r="L620">
        <f>IFERROR(MATCH(ROW()-1,Расчет!$J$2:$J$3001,0),"")</f>
        <v/>
      </c>
    </row>
    <row r="621">
      <c r="A621">
        <f>IF($L621="","",B621&amp;"."&amp;C621&amp;"-"&amp;D621&amp;"-"&amp;H621&amp;"."&amp;I621&amp;"."&amp;J621)</f>
        <v/>
      </c>
      <c r="B621">
        <f>IF($L621="","",INDEX(Расчет!$A$2:$A$3001,$L621))</f>
        <v/>
      </c>
      <c r="C621">
        <f>IF($L621="","",INDEX(Расчет!$B$2:$B$3001,$L621))</f>
        <v/>
      </c>
      <c r="D621">
        <f>IF($L621="","",IF(ISNUMBER(FIND("(",INDEX(Расчет!$C$2:$C$3001,$L621))),SUBSTITUTE(MID(INDEX(Расчет!$C$2:$C$3001,$L621),FIND("(",INDEX(Расчет!$C$2:$C$3001,$L621))+1,99),")",""),INDEX(Расчет!$C$2:$C$3001,$L621)))</f>
        <v/>
      </c>
      <c r="E621">
        <f>IF($L621="","",INDEX(Расчет!$D$2:$D$3001,$L621))</f>
        <v/>
      </c>
      <c r="F621">
        <f>IF($L621="","",INDEX(Расчет!$E$2:$E$3001,$L621))</f>
        <v/>
      </c>
      <c r="G621">
        <f>IF($L621="","",IFERROR(--LEFT(INDEX(Расчет!$C$2:$C$3001,$L621),FIND("(",INDEX(Расчет!$C$2:$C$3001,$L621))-1),IFERROR(--LEFT(INDEX(Расчет!$C$2:$C$3001,$L621),1),"")))</f>
        <v/>
      </c>
      <c r="H621">
        <f>IF($L621="","",SUMIFS(Расчет!$G$2:$G$3001,Расчет!$I$2:$I$3001,$K621,Расчет!$H$2:$H$3001,1))</f>
        <v/>
      </c>
      <c r="I621">
        <f>IF($L621="","",SUMIFS(Расчет!$G$2:$G$3001,Расчет!$I$2:$I$3001,$K621,Расчет!$H$2:$H$3001,2))</f>
        <v/>
      </c>
      <c r="J621">
        <f>IF($L621="","",SUMIFS(Расчет!$G$2:$G$3001,Расчет!$I$2:$I$3001,$K621,Расчет!$H$2:$H$3001,3))</f>
        <v/>
      </c>
      <c r="K621">
        <f>IF($L621="","",INDEX(Расчет!$I$2:$I$3001,$L621))</f>
        <v/>
      </c>
      <c r="L621">
        <f>IFERROR(MATCH(ROW()-1,Расчет!$J$2:$J$3001,0),"")</f>
        <v/>
      </c>
    </row>
    <row r="622">
      <c r="A622">
        <f>IF($L622="","",B622&amp;"."&amp;C622&amp;"-"&amp;D622&amp;"-"&amp;H622&amp;"."&amp;I622&amp;"."&amp;J622)</f>
        <v/>
      </c>
      <c r="B622">
        <f>IF($L622="","",INDEX(Расчет!$A$2:$A$3001,$L622))</f>
        <v/>
      </c>
      <c r="C622">
        <f>IF($L622="","",INDEX(Расчет!$B$2:$B$3001,$L622))</f>
        <v/>
      </c>
      <c r="D622">
        <f>IF($L622="","",IF(ISNUMBER(FIND("(",INDEX(Расчет!$C$2:$C$3001,$L622))),SUBSTITUTE(MID(INDEX(Расчет!$C$2:$C$3001,$L622),FIND("(",INDEX(Расчет!$C$2:$C$3001,$L622))+1,99),")",""),INDEX(Расчет!$C$2:$C$3001,$L622)))</f>
        <v/>
      </c>
      <c r="E622">
        <f>IF($L622="","",INDEX(Расчет!$D$2:$D$3001,$L622))</f>
        <v/>
      </c>
      <c r="F622">
        <f>IF($L622="","",INDEX(Расчет!$E$2:$E$3001,$L622))</f>
        <v/>
      </c>
      <c r="G622">
        <f>IF($L622="","",IFERROR(--LEFT(INDEX(Расчет!$C$2:$C$3001,$L622),FIND("(",INDEX(Расчет!$C$2:$C$3001,$L622))-1),IFERROR(--LEFT(INDEX(Расчет!$C$2:$C$3001,$L622),1),"")))</f>
        <v/>
      </c>
      <c r="H622">
        <f>IF($L622="","",SUMIFS(Расчет!$G$2:$G$3001,Расчет!$I$2:$I$3001,$K622,Расчет!$H$2:$H$3001,1))</f>
        <v/>
      </c>
      <c r="I622">
        <f>IF($L622="","",SUMIFS(Расчет!$G$2:$G$3001,Расчет!$I$2:$I$3001,$K622,Расчет!$H$2:$H$3001,2))</f>
        <v/>
      </c>
      <c r="J622">
        <f>IF($L622="","",SUMIFS(Расчет!$G$2:$G$3001,Расчет!$I$2:$I$3001,$K622,Расчет!$H$2:$H$3001,3))</f>
        <v/>
      </c>
      <c r="K622">
        <f>IF($L622="","",INDEX(Расчет!$I$2:$I$3001,$L622))</f>
        <v/>
      </c>
      <c r="L622">
        <f>IFERROR(MATCH(ROW()-1,Расчет!$J$2:$J$3001,0),"")</f>
        <v/>
      </c>
    </row>
    <row r="623">
      <c r="A623">
        <f>IF($L623="","",B623&amp;"."&amp;C623&amp;"-"&amp;D623&amp;"-"&amp;H623&amp;"."&amp;I623&amp;"."&amp;J623)</f>
        <v/>
      </c>
      <c r="B623">
        <f>IF($L623="","",INDEX(Расчет!$A$2:$A$3001,$L623))</f>
        <v/>
      </c>
      <c r="C623">
        <f>IF($L623="","",INDEX(Расчет!$B$2:$B$3001,$L623))</f>
        <v/>
      </c>
      <c r="D623">
        <f>IF($L623="","",IF(ISNUMBER(FIND("(",INDEX(Расчет!$C$2:$C$3001,$L623))),SUBSTITUTE(MID(INDEX(Расчет!$C$2:$C$3001,$L623),FIND("(",INDEX(Расчет!$C$2:$C$3001,$L623))+1,99),")",""),INDEX(Расчет!$C$2:$C$3001,$L623)))</f>
        <v/>
      </c>
      <c r="E623">
        <f>IF($L623="","",INDEX(Расчет!$D$2:$D$3001,$L623))</f>
        <v/>
      </c>
      <c r="F623">
        <f>IF($L623="","",INDEX(Расчет!$E$2:$E$3001,$L623))</f>
        <v/>
      </c>
      <c r="G623">
        <f>IF($L623="","",IFERROR(--LEFT(INDEX(Расчет!$C$2:$C$3001,$L623),FIND("(",INDEX(Расчет!$C$2:$C$3001,$L623))-1),IFERROR(--LEFT(INDEX(Расчет!$C$2:$C$3001,$L623),1),"")))</f>
        <v/>
      </c>
      <c r="H623">
        <f>IF($L623="","",SUMIFS(Расчет!$G$2:$G$3001,Расчет!$I$2:$I$3001,$K623,Расчет!$H$2:$H$3001,1))</f>
        <v/>
      </c>
      <c r="I623">
        <f>IF($L623="","",SUMIFS(Расчет!$G$2:$G$3001,Расчет!$I$2:$I$3001,$K623,Расчет!$H$2:$H$3001,2))</f>
        <v/>
      </c>
      <c r="J623">
        <f>IF($L623="","",SUMIFS(Расчет!$G$2:$G$3001,Расчет!$I$2:$I$3001,$K623,Расчет!$H$2:$H$3001,3))</f>
        <v/>
      </c>
      <c r="K623">
        <f>IF($L623="","",INDEX(Расчет!$I$2:$I$3001,$L623))</f>
        <v/>
      </c>
      <c r="L623">
        <f>IFERROR(MATCH(ROW()-1,Расчет!$J$2:$J$3001,0),"")</f>
        <v/>
      </c>
    </row>
    <row r="624">
      <c r="A624">
        <f>IF($L624="","",B624&amp;"."&amp;C624&amp;"-"&amp;D624&amp;"-"&amp;H624&amp;"."&amp;I624&amp;"."&amp;J624)</f>
        <v/>
      </c>
      <c r="B624">
        <f>IF($L624="","",INDEX(Расчет!$A$2:$A$3001,$L624))</f>
        <v/>
      </c>
      <c r="C624">
        <f>IF($L624="","",INDEX(Расчет!$B$2:$B$3001,$L624))</f>
        <v/>
      </c>
      <c r="D624">
        <f>IF($L624="","",IF(ISNUMBER(FIND("(",INDEX(Расчет!$C$2:$C$3001,$L624))),SUBSTITUTE(MID(INDEX(Расчет!$C$2:$C$3001,$L624),FIND("(",INDEX(Расчет!$C$2:$C$3001,$L624))+1,99),")",""),INDEX(Расчет!$C$2:$C$3001,$L624)))</f>
        <v/>
      </c>
      <c r="E624">
        <f>IF($L624="","",INDEX(Расчет!$D$2:$D$3001,$L624))</f>
        <v/>
      </c>
      <c r="F624">
        <f>IF($L624="","",INDEX(Расчет!$E$2:$E$3001,$L624))</f>
        <v/>
      </c>
      <c r="G624">
        <f>IF($L624="","",IFERROR(--LEFT(INDEX(Расчет!$C$2:$C$3001,$L624),FIND("(",INDEX(Расчет!$C$2:$C$3001,$L624))-1),IFERROR(--LEFT(INDEX(Расчет!$C$2:$C$3001,$L624),1),"")))</f>
        <v/>
      </c>
      <c r="H624">
        <f>IF($L624="","",SUMIFS(Расчет!$G$2:$G$3001,Расчет!$I$2:$I$3001,$K624,Расчет!$H$2:$H$3001,1))</f>
        <v/>
      </c>
      <c r="I624">
        <f>IF($L624="","",SUMIFS(Расчет!$G$2:$G$3001,Расчет!$I$2:$I$3001,$K624,Расчет!$H$2:$H$3001,2))</f>
        <v/>
      </c>
      <c r="J624">
        <f>IF($L624="","",SUMIFS(Расчет!$G$2:$G$3001,Расчет!$I$2:$I$3001,$K624,Расчет!$H$2:$H$3001,3))</f>
        <v/>
      </c>
      <c r="K624">
        <f>IF($L624="","",INDEX(Расчет!$I$2:$I$3001,$L624))</f>
        <v/>
      </c>
      <c r="L624">
        <f>IFERROR(MATCH(ROW()-1,Расчет!$J$2:$J$3001,0),"")</f>
        <v/>
      </c>
    </row>
    <row r="625">
      <c r="A625">
        <f>IF($L625="","",B625&amp;"."&amp;C625&amp;"-"&amp;D625&amp;"-"&amp;H625&amp;"."&amp;I625&amp;"."&amp;J625)</f>
        <v/>
      </c>
      <c r="B625">
        <f>IF($L625="","",INDEX(Расчет!$A$2:$A$3001,$L625))</f>
        <v/>
      </c>
      <c r="C625">
        <f>IF($L625="","",INDEX(Расчет!$B$2:$B$3001,$L625))</f>
        <v/>
      </c>
      <c r="D625">
        <f>IF($L625="","",IF(ISNUMBER(FIND("(",INDEX(Расчет!$C$2:$C$3001,$L625))),SUBSTITUTE(MID(INDEX(Расчет!$C$2:$C$3001,$L625),FIND("(",INDEX(Расчет!$C$2:$C$3001,$L625))+1,99),")",""),INDEX(Расчет!$C$2:$C$3001,$L625)))</f>
        <v/>
      </c>
      <c r="E625">
        <f>IF($L625="","",INDEX(Расчет!$D$2:$D$3001,$L625))</f>
        <v/>
      </c>
      <c r="F625">
        <f>IF($L625="","",INDEX(Расчет!$E$2:$E$3001,$L625))</f>
        <v/>
      </c>
      <c r="G625">
        <f>IF($L625="","",IFERROR(--LEFT(INDEX(Расчет!$C$2:$C$3001,$L625),FIND("(",INDEX(Расчет!$C$2:$C$3001,$L625))-1),IFERROR(--LEFT(INDEX(Расчет!$C$2:$C$3001,$L625),1),"")))</f>
        <v/>
      </c>
      <c r="H625">
        <f>IF($L625="","",SUMIFS(Расчет!$G$2:$G$3001,Расчет!$I$2:$I$3001,$K625,Расчет!$H$2:$H$3001,1))</f>
        <v/>
      </c>
      <c r="I625">
        <f>IF($L625="","",SUMIFS(Расчет!$G$2:$G$3001,Расчет!$I$2:$I$3001,$K625,Расчет!$H$2:$H$3001,2))</f>
        <v/>
      </c>
      <c r="J625">
        <f>IF($L625="","",SUMIFS(Расчет!$G$2:$G$3001,Расчет!$I$2:$I$3001,$K625,Расчет!$H$2:$H$3001,3))</f>
        <v/>
      </c>
      <c r="K625">
        <f>IF($L625="","",INDEX(Расчет!$I$2:$I$3001,$L625))</f>
        <v/>
      </c>
      <c r="L625">
        <f>IFERROR(MATCH(ROW()-1,Расчет!$J$2:$J$3001,0),"")</f>
        <v/>
      </c>
    </row>
    <row r="626">
      <c r="A626">
        <f>IF($L626="","",B626&amp;"."&amp;C626&amp;"-"&amp;D626&amp;"-"&amp;H626&amp;"."&amp;I626&amp;"."&amp;J626)</f>
        <v/>
      </c>
      <c r="B626">
        <f>IF($L626="","",INDEX(Расчет!$A$2:$A$3001,$L626))</f>
        <v/>
      </c>
      <c r="C626">
        <f>IF($L626="","",INDEX(Расчет!$B$2:$B$3001,$L626))</f>
        <v/>
      </c>
      <c r="D626">
        <f>IF($L626="","",IF(ISNUMBER(FIND("(",INDEX(Расчет!$C$2:$C$3001,$L626))),SUBSTITUTE(MID(INDEX(Расчет!$C$2:$C$3001,$L626),FIND("(",INDEX(Расчет!$C$2:$C$3001,$L626))+1,99),")",""),INDEX(Расчет!$C$2:$C$3001,$L626)))</f>
        <v/>
      </c>
      <c r="E626">
        <f>IF($L626="","",INDEX(Расчет!$D$2:$D$3001,$L626))</f>
        <v/>
      </c>
      <c r="F626">
        <f>IF($L626="","",INDEX(Расчет!$E$2:$E$3001,$L626))</f>
        <v/>
      </c>
      <c r="G626">
        <f>IF($L626="","",IFERROR(--LEFT(INDEX(Расчет!$C$2:$C$3001,$L626),FIND("(",INDEX(Расчет!$C$2:$C$3001,$L626))-1),IFERROR(--LEFT(INDEX(Расчет!$C$2:$C$3001,$L626),1),"")))</f>
        <v/>
      </c>
      <c r="H626">
        <f>IF($L626="","",SUMIFS(Расчет!$G$2:$G$3001,Расчет!$I$2:$I$3001,$K626,Расчет!$H$2:$H$3001,1))</f>
        <v/>
      </c>
      <c r="I626">
        <f>IF($L626="","",SUMIFS(Расчет!$G$2:$G$3001,Расчет!$I$2:$I$3001,$K626,Расчет!$H$2:$H$3001,2))</f>
        <v/>
      </c>
      <c r="J626">
        <f>IF($L626="","",SUMIFS(Расчет!$G$2:$G$3001,Расчет!$I$2:$I$3001,$K626,Расчет!$H$2:$H$3001,3))</f>
        <v/>
      </c>
      <c r="K626">
        <f>IF($L626="","",INDEX(Расчет!$I$2:$I$3001,$L626))</f>
        <v/>
      </c>
      <c r="L626">
        <f>IFERROR(MATCH(ROW()-1,Расчет!$J$2:$J$3001,0),"")</f>
        <v/>
      </c>
    </row>
    <row r="627">
      <c r="A627">
        <f>IF($L627="","",B627&amp;"."&amp;C627&amp;"-"&amp;D627&amp;"-"&amp;H627&amp;"."&amp;I627&amp;"."&amp;J627)</f>
        <v/>
      </c>
      <c r="B627">
        <f>IF($L627="","",INDEX(Расчет!$A$2:$A$3001,$L627))</f>
        <v/>
      </c>
      <c r="C627">
        <f>IF($L627="","",INDEX(Расчет!$B$2:$B$3001,$L627))</f>
        <v/>
      </c>
      <c r="D627">
        <f>IF($L627="","",IF(ISNUMBER(FIND("(",INDEX(Расчет!$C$2:$C$3001,$L627))),SUBSTITUTE(MID(INDEX(Расчет!$C$2:$C$3001,$L627),FIND("(",INDEX(Расчет!$C$2:$C$3001,$L627))+1,99),")",""),INDEX(Расчет!$C$2:$C$3001,$L627)))</f>
        <v/>
      </c>
      <c r="E627">
        <f>IF($L627="","",INDEX(Расчет!$D$2:$D$3001,$L627))</f>
        <v/>
      </c>
      <c r="F627">
        <f>IF($L627="","",INDEX(Расчет!$E$2:$E$3001,$L627))</f>
        <v/>
      </c>
      <c r="G627">
        <f>IF($L627="","",IFERROR(--LEFT(INDEX(Расчет!$C$2:$C$3001,$L627),FIND("(",INDEX(Расчет!$C$2:$C$3001,$L627))-1),IFERROR(--LEFT(INDEX(Расчет!$C$2:$C$3001,$L627),1),"")))</f>
        <v/>
      </c>
      <c r="H627">
        <f>IF($L627="","",SUMIFS(Расчет!$G$2:$G$3001,Расчет!$I$2:$I$3001,$K627,Расчет!$H$2:$H$3001,1))</f>
        <v/>
      </c>
      <c r="I627">
        <f>IF($L627="","",SUMIFS(Расчет!$G$2:$G$3001,Расчет!$I$2:$I$3001,$K627,Расчет!$H$2:$H$3001,2))</f>
        <v/>
      </c>
      <c r="J627">
        <f>IF($L627="","",SUMIFS(Расчет!$G$2:$G$3001,Расчет!$I$2:$I$3001,$K627,Расчет!$H$2:$H$3001,3))</f>
        <v/>
      </c>
      <c r="K627">
        <f>IF($L627="","",INDEX(Расчет!$I$2:$I$3001,$L627))</f>
        <v/>
      </c>
      <c r="L627">
        <f>IFERROR(MATCH(ROW()-1,Расчет!$J$2:$J$3001,0),"")</f>
        <v/>
      </c>
    </row>
    <row r="628">
      <c r="A628">
        <f>IF($L628="","",B628&amp;"."&amp;C628&amp;"-"&amp;D628&amp;"-"&amp;H628&amp;"."&amp;I628&amp;"."&amp;J628)</f>
        <v/>
      </c>
      <c r="B628">
        <f>IF($L628="","",INDEX(Расчет!$A$2:$A$3001,$L628))</f>
        <v/>
      </c>
      <c r="C628">
        <f>IF($L628="","",INDEX(Расчет!$B$2:$B$3001,$L628))</f>
        <v/>
      </c>
      <c r="D628">
        <f>IF($L628="","",IF(ISNUMBER(FIND("(",INDEX(Расчет!$C$2:$C$3001,$L628))),SUBSTITUTE(MID(INDEX(Расчет!$C$2:$C$3001,$L628),FIND("(",INDEX(Расчет!$C$2:$C$3001,$L628))+1,99),")",""),INDEX(Расчет!$C$2:$C$3001,$L628)))</f>
        <v/>
      </c>
      <c r="E628">
        <f>IF($L628="","",INDEX(Расчет!$D$2:$D$3001,$L628))</f>
        <v/>
      </c>
      <c r="F628">
        <f>IF($L628="","",INDEX(Расчет!$E$2:$E$3001,$L628))</f>
        <v/>
      </c>
      <c r="G628">
        <f>IF($L628="","",IFERROR(--LEFT(INDEX(Расчет!$C$2:$C$3001,$L628),FIND("(",INDEX(Расчет!$C$2:$C$3001,$L628))-1),IFERROR(--LEFT(INDEX(Расчет!$C$2:$C$3001,$L628),1),"")))</f>
        <v/>
      </c>
      <c r="H628">
        <f>IF($L628="","",SUMIFS(Расчет!$G$2:$G$3001,Расчет!$I$2:$I$3001,$K628,Расчет!$H$2:$H$3001,1))</f>
        <v/>
      </c>
      <c r="I628">
        <f>IF($L628="","",SUMIFS(Расчет!$G$2:$G$3001,Расчет!$I$2:$I$3001,$K628,Расчет!$H$2:$H$3001,2))</f>
        <v/>
      </c>
      <c r="J628">
        <f>IF($L628="","",SUMIFS(Расчет!$G$2:$G$3001,Расчет!$I$2:$I$3001,$K628,Расчет!$H$2:$H$3001,3))</f>
        <v/>
      </c>
      <c r="K628">
        <f>IF($L628="","",INDEX(Расчет!$I$2:$I$3001,$L628))</f>
        <v/>
      </c>
      <c r="L628">
        <f>IFERROR(MATCH(ROW()-1,Расчет!$J$2:$J$3001,0),"")</f>
        <v/>
      </c>
    </row>
    <row r="629">
      <c r="A629">
        <f>IF($L629="","",B629&amp;"."&amp;C629&amp;"-"&amp;D629&amp;"-"&amp;H629&amp;"."&amp;I629&amp;"."&amp;J629)</f>
        <v/>
      </c>
      <c r="B629">
        <f>IF($L629="","",INDEX(Расчет!$A$2:$A$3001,$L629))</f>
        <v/>
      </c>
      <c r="C629">
        <f>IF($L629="","",INDEX(Расчет!$B$2:$B$3001,$L629))</f>
        <v/>
      </c>
      <c r="D629">
        <f>IF($L629="","",IF(ISNUMBER(FIND("(",INDEX(Расчет!$C$2:$C$3001,$L629))),SUBSTITUTE(MID(INDEX(Расчет!$C$2:$C$3001,$L629),FIND("(",INDEX(Расчет!$C$2:$C$3001,$L629))+1,99),")",""),INDEX(Расчет!$C$2:$C$3001,$L629)))</f>
        <v/>
      </c>
      <c r="E629">
        <f>IF($L629="","",INDEX(Расчет!$D$2:$D$3001,$L629))</f>
        <v/>
      </c>
      <c r="F629">
        <f>IF($L629="","",INDEX(Расчет!$E$2:$E$3001,$L629))</f>
        <v/>
      </c>
      <c r="G629">
        <f>IF($L629="","",IFERROR(--LEFT(INDEX(Расчет!$C$2:$C$3001,$L629),FIND("(",INDEX(Расчет!$C$2:$C$3001,$L629))-1),IFERROR(--LEFT(INDEX(Расчет!$C$2:$C$3001,$L629),1),"")))</f>
        <v/>
      </c>
      <c r="H629">
        <f>IF($L629="","",SUMIFS(Расчет!$G$2:$G$3001,Расчет!$I$2:$I$3001,$K629,Расчет!$H$2:$H$3001,1))</f>
        <v/>
      </c>
      <c r="I629">
        <f>IF($L629="","",SUMIFS(Расчет!$G$2:$G$3001,Расчет!$I$2:$I$3001,$K629,Расчет!$H$2:$H$3001,2))</f>
        <v/>
      </c>
      <c r="J629">
        <f>IF($L629="","",SUMIFS(Расчет!$G$2:$G$3001,Расчет!$I$2:$I$3001,$K629,Расчет!$H$2:$H$3001,3))</f>
        <v/>
      </c>
      <c r="K629">
        <f>IF($L629="","",INDEX(Расчет!$I$2:$I$3001,$L629))</f>
        <v/>
      </c>
      <c r="L629">
        <f>IFERROR(MATCH(ROW()-1,Расчет!$J$2:$J$3001,0),"")</f>
        <v/>
      </c>
    </row>
    <row r="630">
      <c r="A630">
        <f>IF($L630="","",B630&amp;"."&amp;C630&amp;"-"&amp;D630&amp;"-"&amp;H630&amp;"."&amp;I630&amp;"."&amp;J630)</f>
        <v/>
      </c>
      <c r="B630">
        <f>IF($L630="","",INDEX(Расчет!$A$2:$A$3001,$L630))</f>
        <v/>
      </c>
      <c r="C630">
        <f>IF($L630="","",INDEX(Расчет!$B$2:$B$3001,$L630))</f>
        <v/>
      </c>
      <c r="D630">
        <f>IF($L630="","",IF(ISNUMBER(FIND("(",INDEX(Расчет!$C$2:$C$3001,$L630))),SUBSTITUTE(MID(INDEX(Расчет!$C$2:$C$3001,$L630),FIND("(",INDEX(Расчет!$C$2:$C$3001,$L630))+1,99),")",""),INDEX(Расчет!$C$2:$C$3001,$L630)))</f>
        <v/>
      </c>
      <c r="E630">
        <f>IF($L630="","",INDEX(Расчет!$D$2:$D$3001,$L630))</f>
        <v/>
      </c>
      <c r="F630">
        <f>IF($L630="","",INDEX(Расчет!$E$2:$E$3001,$L630))</f>
        <v/>
      </c>
      <c r="G630">
        <f>IF($L630="","",IFERROR(--LEFT(INDEX(Расчет!$C$2:$C$3001,$L630),FIND("(",INDEX(Расчет!$C$2:$C$3001,$L630))-1),IFERROR(--LEFT(INDEX(Расчет!$C$2:$C$3001,$L630),1),"")))</f>
        <v/>
      </c>
      <c r="H630">
        <f>IF($L630="","",SUMIFS(Расчет!$G$2:$G$3001,Расчет!$I$2:$I$3001,$K630,Расчет!$H$2:$H$3001,1))</f>
        <v/>
      </c>
      <c r="I630">
        <f>IF($L630="","",SUMIFS(Расчет!$G$2:$G$3001,Расчет!$I$2:$I$3001,$K630,Расчет!$H$2:$H$3001,2))</f>
        <v/>
      </c>
      <c r="J630">
        <f>IF($L630="","",SUMIFS(Расчет!$G$2:$G$3001,Расчет!$I$2:$I$3001,$K630,Расчет!$H$2:$H$3001,3))</f>
        <v/>
      </c>
      <c r="K630">
        <f>IF($L630="","",INDEX(Расчет!$I$2:$I$3001,$L630))</f>
        <v/>
      </c>
      <c r="L630">
        <f>IFERROR(MATCH(ROW()-1,Расчет!$J$2:$J$3001,0),"")</f>
        <v/>
      </c>
    </row>
    <row r="631">
      <c r="A631">
        <f>IF($L631="","",B631&amp;"."&amp;C631&amp;"-"&amp;D631&amp;"-"&amp;H631&amp;"."&amp;I631&amp;"."&amp;J631)</f>
        <v/>
      </c>
      <c r="B631">
        <f>IF($L631="","",INDEX(Расчет!$A$2:$A$3001,$L631))</f>
        <v/>
      </c>
      <c r="C631">
        <f>IF($L631="","",INDEX(Расчет!$B$2:$B$3001,$L631))</f>
        <v/>
      </c>
      <c r="D631">
        <f>IF($L631="","",IF(ISNUMBER(FIND("(",INDEX(Расчет!$C$2:$C$3001,$L631))),SUBSTITUTE(MID(INDEX(Расчет!$C$2:$C$3001,$L631),FIND("(",INDEX(Расчет!$C$2:$C$3001,$L631))+1,99),")",""),INDEX(Расчет!$C$2:$C$3001,$L631)))</f>
        <v/>
      </c>
      <c r="E631">
        <f>IF($L631="","",INDEX(Расчет!$D$2:$D$3001,$L631))</f>
        <v/>
      </c>
      <c r="F631">
        <f>IF($L631="","",INDEX(Расчет!$E$2:$E$3001,$L631))</f>
        <v/>
      </c>
      <c r="G631">
        <f>IF($L631="","",IFERROR(--LEFT(INDEX(Расчет!$C$2:$C$3001,$L631),FIND("(",INDEX(Расчет!$C$2:$C$3001,$L631))-1),IFERROR(--LEFT(INDEX(Расчет!$C$2:$C$3001,$L631),1),"")))</f>
        <v/>
      </c>
      <c r="H631">
        <f>IF($L631="","",SUMIFS(Расчет!$G$2:$G$3001,Расчет!$I$2:$I$3001,$K631,Расчет!$H$2:$H$3001,1))</f>
        <v/>
      </c>
      <c r="I631">
        <f>IF($L631="","",SUMIFS(Расчет!$G$2:$G$3001,Расчет!$I$2:$I$3001,$K631,Расчет!$H$2:$H$3001,2))</f>
        <v/>
      </c>
      <c r="J631">
        <f>IF($L631="","",SUMIFS(Расчет!$G$2:$G$3001,Расчет!$I$2:$I$3001,$K631,Расчет!$H$2:$H$3001,3))</f>
        <v/>
      </c>
      <c r="K631">
        <f>IF($L631="","",INDEX(Расчет!$I$2:$I$3001,$L631))</f>
        <v/>
      </c>
      <c r="L631">
        <f>IFERROR(MATCH(ROW()-1,Расчет!$J$2:$J$3001,0),"")</f>
        <v/>
      </c>
    </row>
    <row r="632">
      <c r="A632">
        <f>IF($L632="","",B632&amp;"."&amp;C632&amp;"-"&amp;D632&amp;"-"&amp;H632&amp;"."&amp;I632&amp;"."&amp;J632)</f>
        <v/>
      </c>
      <c r="B632">
        <f>IF($L632="","",INDEX(Расчет!$A$2:$A$3001,$L632))</f>
        <v/>
      </c>
      <c r="C632">
        <f>IF($L632="","",INDEX(Расчет!$B$2:$B$3001,$L632))</f>
        <v/>
      </c>
      <c r="D632">
        <f>IF($L632="","",IF(ISNUMBER(FIND("(",INDEX(Расчет!$C$2:$C$3001,$L632))),SUBSTITUTE(MID(INDEX(Расчет!$C$2:$C$3001,$L632),FIND("(",INDEX(Расчет!$C$2:$C$3001,$L632))+1,99),")",""),INDEX(Расчет!$C$2:$C$3001,$L632)))</f>
        <v/>
      </c>
      <c r="E632">
        <f>IF($L632="","",INDEX(Расчет!$D$2:$D$3001,$L632))</f>
        <v/>
      </c>
      <c r="F632">
        <f>IF($L632="","",INDEX(Расчет!$E$2:$E$3001,$L632))</f>
        <v/>
      </c>
      <c r="G632">
        <f>IF($L632="","",IFERROR(--LEFT(INDEX(Расчет!$C$2:$C$3001,$L632),FIND("(",INDEX(Расчет!$C$2:$C$3001,$L632))-1),IFERROR(--LEFT(INDEX(Расчет!$C$2:$C$3001,$L632),1),"")))</f>
        <v/>
      </c>
      <c r="H632">
        <f>IF($L632="","",SUMIFS(Расчет!$G$2:$G$3001,Расчет!$I$2:$I$3001,$K632,Расчет!$H$2:$H$3001,1))</f>
        <v/>
      </c>
      <c r="I632">
        <f>IF($L632="","",SUMIFS(Расчет!$G$2:$G$3001,Расчет!$I$2:$I$3001,$K632,Расчет!$H$2:$H$3001,2))</f>
        <v/>
      </c>
      <c r="J632">
        <f>IF($L632="","",SUMIFS(Расчет!$G$2:$G$3001,Расчет!$I$2:$I$3001,$K632,Расчет!$H$2:$H$3001,3))</f>
        <v/>
      </c>
      <c r="K632">
        <f>IF($L632="","",INDEX(Расчет!$I$2:$I$3001,$L632))</f>
        <v/>
      </c>
      <c r="L632">
        <f>IFERROR(MATCH(ROW()-1,Расчет!$J$2:$J$3001,0),"")</f>
        <v/>
      </c>
    </row>
    <row r="633">
      <c r="A633">
        <f>IF($L633="","",B633&amp;"."&amp;C633&amp;"-"&amp;D633&amp;"-"&amp;H633&amp;"."&amp;I633&amp;"."&amp;J633)</f>
        <v/>
      </c>
      <c r="B633">
        <f>IF($L633="","",INDEX(Расчет!$A$2:$A$3001,$L633))</f>
        <v/>
      </c>
      <c r="C633">
        <f>IF($L633="","",INDEX(Расчет!$B$2:$B$3001,$L633))</f>
        <v/>
      </c>
      <c r="D633">
        <f>IF($L633="","",IF(ISNUMBER(FIND("(",INDEX(Расчет!$C$2:$C$3001,$L633))),SUBSTITUTE(MID(INDEX(Расчет!$C$2:$C$3001,$L633),FIND("(",INDEX(Расчет!$C$2:$C$3001,$L633))+1,99),")",""),INDEX(Расчет!$C$2:$C$3001,$L633)))</f>
        <v/>
      </c>
      <c r="E633">
        <f>IF($L633="","",INDEX(Расчет!$D$2:$D$3001,$L633))</f>
        <v/>
      </c>
      <c r="F633">
        <f>IF($L633="","",INDEX(Расчет!$E$2:$E$3001,$L633))</f>
        <v/>
      </c>
      <c r="G633">
        <f>IF($L633="","",IFERROR(--LEFT(INDEX(Расчет!$C$2:$C$3001,$L633),FIND("(",INDEX(Расчет!$C$2:$C$3001,$L633))-1),IFERROR(--LEFT(INDEX(Расчет!$C$2:$C$3001,$L633),1),"")))</f>
        <v/>
      </c>
      <c r="H633">
        <f>IF($L633="","",SUMIFS(Расчет!$G$2:$G$3001,Расчет!$I$2:$I$3001,$K633,Расчет!$H$2:$H$3001,1))</f>
        <v/>
      </c>
      <c r="I633">
        <f>IF($L633="","",SUMIFS(Расчет!$G$2:$G$3001,Расчет!$I$2:$I$3001,$K633,Расчет!$H$2:$H$3001,2))</f>
        <v/>
      </c>
      <c r="J633">
        <f>IF($L633="","",SUMIFS(Расчет!$G$2:$G$3001,Расчет!$I$2:$I$3001,$K633,Расчет!$H$2:$H$3001,3))</f>
        <v/>
      </c>
      <c r="K633">
        <f>IF($L633="","",INDEX(Расчет!$I$2:$I$3001,$L633))</f>
        <v/>
      </c>
      <c r="L633">
        <f>IFERROR(MATCH(ROW()-1,Расчет!$J$2:$J$3001,0),"")</f>
        <v/>
      </c>
    </row>
    <row r="634">
      <c r="A634">
        <f>IF($L634="","",B634&amp;"."&amp;C634&amp;"-"&amp;D634&amp;"-"&amp;H634&amp;"."&amp;I634&amp;"."&amp;J634)</f>
        <v/>
      </c>
      <c r="B634">
        <f>IF($L634="","",INDEX(Расчет!$A$2:$A$3001,$L634))</f>
        <v/>
      </c>
      <c r="C634">
        <f>IF($L634="","",INDEX(Расчет!$B$2:$B$3001,$L634))</f>
        <v/>
      </c>
      <c r="D634">
        <f>IF($L634="","",IF(ISNUMBER(FIND("(",INDEX(Расчет!$C$2:$C$3001,$L634))),SUBSTITUTE(MID(INDEX(Расчет!$C$2:$C$3001,$L634),FIND("(",INDEX(Расчет!$C$2:$C$3001,$L634))+1,99),")",""),INDEX(Расчет!$C$2:$C$3001,$L634)))</f>
        <v/>
      </c>
      <c r="E634">
        <f>IF($L634="","",INDEX(Расчет!$D$2:$D$3001,$L634))</f>
        <v/>
      </c>
      <c r="F634">
        <f>IF($L634="","",INDEX(Расчет!$E$2:$E$3001,$L634))</f>
        <v/>
      </c>
      <c r="G634">
        <f>IF($L634="","",IFERROR(--LEFT(INDEX(Расчет!$C$2:$C$3001,$L634),FIND("(",INDEX(Расчет!$C$2:$C$3001,$L634))-1),IFERROR(--LEFT(INDEX(Расчет!$C$2:$C$3001,$L634),1),"")))</f>
        <v/>
      </c>
      <c r="H634">
        <f>IF($L634="","",SUMIFS(Расчет!$G$2:$G$3001,Расчет!$I$2:$I$3001,$K634,Расчет!$H$2:$H$3001,1))</f>
        <v/>
      </c>
      <c r="I634">
        <f>IF($L634="","",SUMIFS(Расчет!$G$2:$G$3001,Расчет!$I$2:$I$3001,$K634,Расчет!$H$2:$H$3001,2))</f>
        <v/>
      </c>
      <c r="J634">
        <f>IF($L634="","",SUMIFS(Расчет!$G$2:$G$3001,Расчет!$I$2:$I$3001,$K634,Расчет!$H$2:$H$3001,3))</f>
        <v/>
      </c>
      <c r="K634">
        <f>IF($L634="","",INDEX(Расчет!$I$2:$I$3001,$L634))</f>
        <v/>
      </c>
      <c r="L634">
        <f>IFERROR(MATCH(ROW()-1,Расчет!$J$2:$J$3001,0),"")</f>
        <v/>
      </c>
    </row>
    <row r="635">
      <c r="A635">
        <f>IF($L635="","",B635&amp;"."&amp;C635&amp;"-"&amp;D635&amp;"-"&amp;H635&amp;"."&amp;I635&amp;"."&amp;J635)</f>
        <v/>
      </c>
      <c r="B635">
        <f>IF($L635="","",INDEX(Расчет!$A$2:$A$3001,$L635))</f>
        <v/>
      </c>
      <c r="C635">
        <f>IF($L635="","",INDEX(Расчет!$B$2:$B$3001,$L635))</f>
        <v/>
      </c>
      <c r="D635">
        <f>IF($L635="","",IF(ISNUMBER(FIND("(",INDEX(Расчет!$C$2:$C$3001,$L635))),SUBSTITUTE(MID(INDEX(Расчет!$C$2:$C$3001,$L635),FIND("(",INDEX(Расчет!$C$2:$C$3001,$L635))+1,99),")",""),INDEX(Расчет!$C$2:$C$3001,$L635)))</f>
        <v/>
      </c>
      <c r="E635">
        <f>IF($L635="","",INDEX(Расчет!$D$2:$D$3001,$L635))</f>
        <v/>
      </c>
      <c r="F635">
        <f>IF($L635="","",INDEX(Расчет!$E$2:$E$3001,$L635))</f>
        <v/>
      </c>
      <c r="G635">
        <f>IF($L635="","",IFERROR(--LEFT(INDEX(Расчет!$C$2:$C$3001,$L635),FIND("(",INDEX(Расчет!$C$2:$C$3001,$L635))-1),IFERROR(--LEFT(INDEX(Расчет!$C$2:$C$3001,$L635),1),"")))</f>
        <v/>
      </c>
      <c r="H635">
        <f>IF($L635="","",SUMIFS(Расчет!$G$2:$G$3001,Расчет!$I$2:$I$3001,$K635,Расчет!$H$2:$H$3001,1))</f>
        <v/>
      </c>
      <c r="I635">
        <f>IF($L635="","",SUMIFS(Расчет!$G$2:$G$3001,Расчет!$I$2:$I$3001,$K635,Расчет!$H$2:$H$3001,2))</f>
        <v/>
      </c>
      <c r="J635">
        <f>IF($L635="","",SUMIFS(Расчет!$G$2:$G$3001,Расчет!$I$2:$I$3001,$K635,Расчет!$H$2:$H$3001,3))</f>
        <v/>
      </c>
      <c r="K635">
        <f>IF($L635="","",INDEX(Расчет!$I$2:$I$3001,$L635))</f>
        <v/>
      </c>
      <c r="L635">
        <f>IFERROR(MATCH(ROW()-1,Расчет!$J$2:$J$3001,0),"")</f>
        <v/>
      </c>
    </row>
    <row r="636">
      <c r="A636">
        <f>IF($L636="","",B636&amp;"."&amp;C636&amp;"-"&amp;D636&amp;"-"&amp;H636&amp;"."&amp;I636&amp;"."&amp;J636)</f>
        <v/>
      </c>
      <c r="B636">
        <f>IF($L636="","",INDEX(Расчет!$A$2:$A$3001,$L636))</f>
        <v/>
      </c>
      <c r="C636">
        <f>IF($L636="","",INDEX(Расчет!$B$2:$B$3001,$L636))</f>
        <v/>
      </c>
      <c r="D636">
        <f>IF($L636="","",IF(ISNUMBER(FIND("(",INDEX(Расчет!$C$2:$C$3001,$L636))),SUBSTITUTE(MID(INDEX(Расчет!$C$2:$C$3001,$L636),FIND("(",INDEX(Расчет!$C$2:$C$3001,$L636))+1,99),")",""),INDEX(Расчет!$C$2:$C$3001,$L636)))</f>
        <v/>
      </c>
      <c r="E636">
        <f>IF($L636="","",INDEX(Расчет!$D$2:$D$3001,$L636))</f>
        <v/>
      </c>
      <c r="F636">
        <f>IF($L636="","",INDEX(Расчет!$E$2:$E$3001,$L636))</f>
        <v/>
      </c>
      <c r="G636">
        <f>IF($L636="","",IFERROR(--LEFT(INDEX(Расчет!$C$2:$C$3001,$L636),FIND("(",INDEX(Расчет!$C$2:$C$3001,$L636))-1),IFERROR(--LEFT(INDEX(Расчет!$C$2:$C$3001,$L636),1),"")))</f>
        <v/>
      </c>
      <c r="H636">
        <f>IF($L636="","",SUMIFS(Расчет!$G$2:$G$3001,Расчет!$I$2:$I$3001,$K636,Расчет!$H$2:$H$3001,1))</f>
        <v/>
      </c>
      <c r="I636">
        <f>IF($L636="","",SUMIFS(Расчет!$G$2:$G$3001,Расчет!$I$2:$I$3001,$K636,Расчет!$H$2:$H$3001,2))</f>
        <v/>
      </c>
      <c r="J636">
        <f>IF($L636="","",SUMIFS(Расчет!$G$2:$G$3001,Расчет!$I$2:$I$3001,$K636,Расчет!$H$2:$H$3001,3))</f>
        <v/>
      </c>
      <c r="K636">
        <f>IF($L636="","",INDEX(Расчет!$I$2:$I$3001,$L636))</f>
        <v/>
      </c>
      <c r="L636">
        <f>IFERROR(MATCH(ROW()-1,Расчет!$J$2:$J$3001,0),"")</f>
        <v/>
      </c>
    </row>
    <row r="637">
      <c r="A637">
        <f>IF($L637="","",B637&amp;"."&amp;C637&amp;"-"&amp;D637&amp;"-"&amp;H637&amp;"."&amp;I637&amp;"."&amp;J637)</f>
        <v/>
      </c>
      <c r="B637">
        <f>IF($L637="","",INDEX(Расчет!$A$2:$A$3001,$L637))</f>
        <v/>
      </c>
      <c r="C637">
        <f>IF($L637="","",INDEX(Расчет!$B$2:$B$3001,$L637))</f>
        <v/>
      </c>
      <c r="D637">
        <f>IF($L637="","",IF(ISNUMBER(FIND("(",INDEX(Расчет!$C$2:$C$3001,$L637))),SUBSTITUTE(MID(INDEX(Расчет!$C$2:$C$3001,$L637),FIND("(",INDEX(Расчет!$C$2:$C$3001,$L637))+1,99),")",""),INDEX(Расчет!$C$2:$C$3001,$L637)))</f>
        <v/>
      </c>
      <c r="E637">
        <f>IF($L637="","",INDEX(Расчет!$D$2:$D$3001,$L637))</f>
        <v/>
      </c>
      <c r="F637">
        <f>IF($L637="","",INDEX(Расчет!$E$2:$E$3001,$L637))</f>
        <v/>
      </c>
      <c r="G637">
        <f>IF($L637="","",IFERROR(--LEFT(INDEX(Расчет!$C$2:$C$3001,$L637),FIND("(",INDEX(Расчет!$C$2:$C$3001,$L637))-1),IFERROR(--LEFT(INDEX(Расчет!$C$2:$C$3001,$L637),1),"")))</f>
        <v/>
      </c>
      <c r="H637">
        <f>IF($L637="","",SUMIFS(Расчет!$G$2:$G$3001,Расчет!$I$2:$I$3001,$K637,Расчет!$H$2:$H$3001,1))</f>
        <v/>
      </c>
      <c r="I637">
        <f>IF($L637="","",SUMIFS(Расчет!$G$2:$G$3001,Расчет!$I$2:$I$3001,$K637,Расчет!$H$2:$H$3001,2))</f>
        <v/>
      </c>
      <c r="J637">
        <f>IF($L637="","",SUMIFS(Расчет!$G$2:$G$3001,Расчет!$I$2:$I$3001,$K637,Расчет!$H$2:$H$3001,3))</f>
        <v/>
      </c>
      <c r="K637">
        <f>IF($L637="","",INDEX(Расчет!$I$2:$I$3001,$L637))</f>
        <v/>
      </c>
      <c r="L637">
        <f>IFERROR(MATCH(ROW()-1,Расчет!$J$2:$J$3001,0),"")</f>
        <v/>
      </c>
    </row>
    <row r="638">
      <c r="A638">
        <f>IF($L638="","",B638&amp;"."&amp;C638&amp;"-"&amp;D638&amp;"-"&amp;H638&amp;"."&amp;I638&amp;"."&amp;J638)</f>
        <v/>
      </c>
      <c r="B638">
        <f>IF($L638="","",INDEX(Расчет!$A$2:$A$3001,$L638))</f>
        <v/>
      </c>
      <c r="C638">
        <f>IF($L638="","",INDEX(Расчет!$B$2:$B$3001,$L638))</f>
        <v/>
      </c>
      <c r="D638">
        <f>IF($L638="","",IF(ISNUMBER(FIND("(",INDEX(Расчет!$C$2:$C$3001,$L638))),SUBSTITUTE(MID(INDEX(Расчет!$C$2:$C$3001,$L638),FIND("(",INDEX(Расчет!$C$2:$C$3001,$L638))+1,99),")",""),INDEX(Расчет!$C$2:$C$3001,$L638)))</f>
        <v/>
      </c>
      <c r="E638">
        <f>IF($L638="","",INDEX(Расчет!$D$2:$D$3001,$L638))</f>
        <v/>
      </c>
      <c r="F638">
        <f>IF($L638="","",INDEX(Расчет!$E$2:$E$3001,$L638))</f>
        <v/>
      </c>
      <c r="G638">
        <f>IF($L638="","",IFERROR(--LEFT(INDEX(Расчет!$C$2:$C$3001,$L638),FIND("(",INDEX(Расчет!$C$2:$C$3001,$L638))-1),IFERROR(--LEFT(INDEX(Расчет!$C$2:$C$3001,$L638),1),"")))</f>
        <v/>
      </c>
      <c r="H638">
        <f>IF($L638="","",SUMIFS(Расчет!$G$2:$G$3001,Расчет!$I$2:$I$3001,$K638,Расчет!$H$2:$H$3001,1))</f>
        <v/>
      </c>
      <c r="I638">
        <f>IF($L638="","",SUMIFS(Расчет!$G$2:$G$3001,Расчет!$I$2:$I$3001,$K638,Расчет!$H$2:$H$3001,2))</f>
        <v/>
      </c>
      <c r="J638">
        <f>IF($L638="","",SUMIFS(Расчет!$G$2:$G$3001,Расчет!$I$2:$I$3001,$K638,Расчет!$H$2:$H$3001,3))</f>
        <v/>
      </c>
      <c r="K638">
        <f>IF($L638="","",INDEX(Расчет!$I$2:$I$3001,$L638))</f>
        <v/>
      </c>
      <c r="L638">
        <f>IFERROR(MATCH(ROW()-1,Расчет!$J$2:$J$3001,0),"")</f>
        <v/>
      </c>
    </row>
    <row r="639">
      <c r="A639">
        <f>IF($L639="","",B639&amp;"."&amp;C639&amp;"-"&amp;D639&amp;"-"&amp;H639&amp;"."&amp;I639&amp;"."&amp;J639)</f>
        <v/>
      </c>
      <c r="B639">
        <f>IF($L639="","",INDEX(Расчет!$A$2:$A$3001,$L639))</f>
        <v/>
      </c>
      <c r="C639">
        <f>IF($L639="","",INDEX(Расчет!$B$2:$B$3001,$L639))</f>
        <v/>
      </c>
      <c r="D639">
        <f>IF($L639="","",IF(ISNUMBER(FIND("(",INDEX(Расчет!$C$2:$C$3001,$L639))),SUBSTITUTE(MID(INDEX(Расчет!$C$2:$C$3001,$L639),FIND("(",INDEX(Расчет!$C$2:$C$3001,$L639))+1,99),")",""),INDEX(Расчет!$C$2:$C$3001,$L639)))</f>
        <v/>
      </c>
      <c r="E639">
        <f>IF($L639="","",INDEX(Расчет!$D$2:$D$3001,$L639))</f>
        <v/>
      </c>
      <c r="F639">
        <f>IF($L639="","",INDEX(Расчет!$E$2:$E$3001,$L639))</f>
        <v/>
      </c>
      <c r="G639">
        <f>IF($L639="","",IFERROR(--LEFT(INDEX(Расчет!$C$2:$C$3001,$L639),FIND("(",INDEX(Расчет!$C$2:$C$3001,$L639))-1),IFERROR(--LEFT(INDEX(Расчет!$C$2:$C$3001,$L639),1),"")))</f>
        <v/>
      </c>
      <c r="H639">
        <f>IF($L639="","",SUMIFS(Расчет!$G$2:$G$3001,Расчет!$I$2:$I$3001,$K639,Расчет!$H$2:$H$3001,1))</f>
        <v/>
      </c>
      <c r="I639">
        <f>IF($L639="","",SUMIFS(Расчет!$G$2:$G$3001,Расчет!$I$2:$I$3001,$K639,Расчет!$H$2:$H$3001,2))</f>
        <v/>
      </c>
      <c r="J639">
        <f>IF($L639="","",SUMIFS(Расчет!$G$2:$G$3001,Расчет!$I$2:$I$3001,$K639,Расчет!$H$2:$H$3001,3))</f>
        <v/>
      </c>
      <c r="K639">
        <f>IF($L639="","",INDEX(Расчет!$I$2:$I$3001,$L639))</f>
        <v/>
      </c>
      <c r="L639">
        <f>IFERROR(MATCH(ROW()-1,Расчет!$J$2:$J$3001,0),"")</f>
        <v/>
      </c>
    </row>
    <row r="640">
      <c r="A640">
        <f>IF($L640="","",B640&amp;"."&amp;C640&amp;"-"&amp;D640&amp;"-"&amp;H640&amp;"."&amp;I640&amp;"."&amp;J640)</f>
        <v/>
      </c>
      <c r="B640">
        <f>IF($L640="","",INDEX(Расчет!$A$2:$A$3001,$L640))</f>
        <v/>
      </c>
      <c r="C640">
        <f>IF($L640="","",INDEX(Расчет!$B$2:$B$3001,$L640))</f>
        <v/>
      </c>
      <c r="D640">
        <f>IF($L640="","",IF(ISNUMBER(FIND("(",INDEX(Расчет!$C$2:$C$3001,$L640))),SUBSTITUTE(MID(INDEX(Расчет!$C$2:$C$3001,$L640),FIND("(",INDEX(Расчет!$C$2:$C$3001,$L640))+1,99),")",""),INDEX(Расчет!$C$2:$C$3001,$L640)))</f>
        <v/>
      </c>
      <c r="E640">
        <f>IF($L640="","",INDEX(Расчет!$D$2:$D$3001,$L640))</f>
        <v/>
      </c>
      <c r="F640">
        <f>IF($L640="","",INDEX(Расчет!$E$2:$E$3001,$L640))</f>
        <v/>
      </c>
      <c r="G640">
        <f>IF($L640="","",IFERROR(--LEFT(INDEX(Расчет!$C$2:$C$3001,$L640),FIND("(",INDEX(Расчет!$C$2:$C$3001,$L640))-1),IFERROR(--LEFT(INDEX(Расчет!$C$2:$C$3001,$L640),1),"")))</f>
        <v/>
      </c>
      <c r="H640">
        <f>IF($L640="","",SUMIFS(Расчет!$G$2:$G$3001,Расчет!$I$2:$I$3001,$K640,Расчет!$H$2:$H$3001,1))</f>
        <v/>
      </c>
      <c r="I640">
        <f>IF($L640="","",SUMIFS(Расчет!$G$2:$G$3001,Расчет!$I$2:$I$3001,$K640,Расчет!$H$2:$H$3001,2))</f>
        <v/>
      </c>
      <c r="J640">
        <f>IF($L640="","",SUMIFS(Расчет!$G$2:$G$3001,Расчет!$I$2:$I$3001,$K640,Расчет!$H$2:$H$3001,3))</f>
        <v/>
      </c>
      <c r="K640">
        <f>IF($L640="","",INDEX(Расчет!$I$2:$I$3001,$L640))</f>
        <v/>
      </c>
      <c r="L640">
        <f>IFERROR(MATCH(ROW()-1,Расчет!$J$2:$J$3001,0),"")</f>
        <v/>
      </c>
    </row>
    <row r="641">
      <c r="A641">
        <f>IF($L641="","",B641&amp;"."&amp;C641&amp;"-"&amp;D641&amp;"-"&amp;H641&amp;"."&amp;I641&amp;"."&amp;J641)</f>
        <v/>
      </c>
      <c r="B641">
        <f>IF($L641="","",INDEX(Расчет!$A$2:$A$3001,$L641))</f>
        <v/>
      </c>
      <c r="C641">
        <f>IF($L641="","",INDEX(Расчет!$B$2:$B$3001,$L641))</f>
        <v/>
      </c>
      <c r="D641">
        <f>IF($L641="","",IF(ISNUMBER(FIND("(",INDEX(Расчет!$C$2:$C$3001,$L641))),SUBSTITUTE(MID(INDEX(Расчет!$C$2:$C$3001,$L641),FIND("(",INDEX(Расчет!$C$2:$C$3001,$L641))+1,99),")",""),INDEX(Расчет!$C$2:$C$3001,$L641)))</f>
        <v/>
      </c>
      <c r="E641">
        <f>IF($L641="","",INDEX(Расчет!$D$2:$D$3001,$L641))</f>
        <v/>
      </c>
      <c r="F641">
        <f>IF($L641="","",INDEX(Расчет!$E$2:$E$3001,$L641))</f>
        <v/>
      </c>
      <c r="G641">
        <f>IF($L641="","",IFERROR(--LEFT(INDEX(Расчет!$C$2:$C$3001,$L641),FIND("(",INDEX(Расчет!$C$2:$C$3001,$L641))-1),IFERROR(--LEFT(INDEX(Расчет!$C$2:$C$3001,$L641),1),"")))</f>
        <v/>
      </c>
      <c r="H641">
        <f>IF($L641="","",SUMIFS(Расчет!$G$2:$G$3001,Расчет!$I$2:$I$3001,$K641,Расчет!$H$2:$H$3001,1))</f>
        <v/>
      </c>
      <c r="I641">
        <f>IF($L641="","",SUMIFS(Расчет!$G$2:$G$3001,Расчет!$I$2:$I$3001,$K641,Расчет!$H$2:$H$3001,2))</f>
        <v/>
      </c>
      <c r="J641">
        <f>IF($L641="","",SUMIFS(Расчет!$G$2:$G$3001,Расчет!$I$2:$I$3001,$K641,Расчет!$H$2:$H$3001,3))</f>
        <v/>
      </c>
      <c r="K641">
        <f>IF($L641="","",INDEX(Расчет!$I$2:$I$3001,$L641))</f>
        <v/>
      </c>
      <c r="L641">
        <f>IFERROR(MATCH(ROW()-1,Расчет!$J$2:$J$3001,0),"")</f>
        <v/>
      </c>
    </row>
    <row r="642">
      <c r="A642">
        <f>IF($L642="","",B642&amp;"."&amp;C642&amp;"-"&amp;D642&amp;"-"&amp;H642&amp;"."&amp;I642&amp;"."&amp;J642)</f>
        <v/>
      </c>
      <c r="B642">
        <f>IF($L642="","",INDEX(Расчет!$A$2:$A$3001,$L642))</f>
        <v/>
      </c>
      <c r="C642">
        <f>IF($L642="","",INDEX(Расчет!$B$2:$B$3001,$L642))</f>
        <v/>
      </c>
      <c r="D642">
        <f>IF($L642="","",IF(ISNUMBER(FIND("(",INDEX(Расчет!$C$2:$C$3001,$L642))),SUBSTITUTE(MID(INDEX(Расчет!$C$2:$C$3001,$L642),FIND("(",INDEX(Расчет!$C$2:$C$3001,$L642))+1,99),")",""),INDEX(Расчет!$C$2:$C$3001,$L642)))</f>
        <v/>
      </c>
      <c r="E642">
        <f>IF($L642="","",INDEX(Расчет!$D$2:$D$3001,$L642))</f>
        <v/>
      </c>
      <c r="F642">
        <f>IF($L642="","",INDEX(Расчет!$E$2:$E$3001,$L642))</f>
        <v/>
      </c>
      <c r="G642">
        <f>IF($L642="","",IFERROR(--LEFT(INDEX(Расчет!$C$2:$C$3001,$L642),FIND("(",INDEX(Расчет!$C$2:$C$3001,$L642))-1),IFERROR(--LEFT(INDEX(Расчет!$C$2:$C$3001,$L642),1),"")))</f>
        <v/>
      </c>
      <c r="H642">
        <f>IF($L642="","",SUMIFS(Расчет!$G$2:$G$3001,Расчет!$I$2:$I$3001,$K642,Расчет!$H$2:$H$3001,1))</f>
        <v/>
      </c>
      <c r="I642">
        <f>IF($L642="","",SUMIFS(Расчет!$G$2:$G$3001,Расчет!$I$2:$I$3001,$K642,Расчет!$H$2:$H$3001,2))</f>
        <v/>
      </c>
      <c r="J642">
        <f>IF($L642="","",SUMIFS(Расчет!$G$2:$G$3001,Расчет!$I$2:$I$3001,$K642,Расчет!$H$2:$H$3001,3))</f>
        <v/>
      </c>
      <c r="K642">
        <f>IF($L642="","",INDEX(Расчет!$I$2:$I$3001,$L642))</f>
        <v/>
      </c>
      <c r="L642">
        <f>IFERROR(MATCH(ROW()-1,Расчет!$J$2:$J$3001,0),"")</f>
        <v/>
      </c>
    </row>
    <row r="643">
      <c r="A643">
        <f>IF($L643="","",B643&amp;"."&amp;C643&amp;"-"&amp;D643&amp;"-"&amp;H643&amp;"."&amp;I643&amp;"."&amp;J643)</f>
        <v/>
      </c>
      <c r="B643">
        <f>IF($L643="","",INDEX(Расчет!$A$2:$A$3001,$L643))</f>
        <v/>
      </c>
      <c r="C643">
        <f>IF($L643="","",INDEX(Расчет!$B$2:$B$3001,$L643))</f>
        <v/>
      </c>
      <c r="D643">
        <f>IF($L643="","",IF(ISNUMBER(FIND("(",INDEX(Расчет!$C$2:$C$3001,$L643))),SUBSTITUTE(MID(INDEX(Расчет!$C$2:$C$3001,$L643),FIND("(",INDEX(Расчет!$C$2:$C$3001,$L643))+1,99),")",""),INDEX(Расчет!$C$2:$C$3001,$L643)))</f>
        <v/>
      </c>
      <c r="E643">
        <f>IF($L643="","",INDEX(Расчет!$D$2:$D$3001,$L643))</f>
        <v/>
      </c>
      <c r="F643">
        <f>IF($L643="","",INDEX(Расчет!$E$2:$E$3001,$L643))</f>
        <v/>
      </c>
      <c r="G643">
        <f>IF($L643="","",IFERROR(--LEFT(INDEX(Расчет!$C$2:$C$3001,$L643),FIND("(",INDEX(Расчет!$C$2:$C$3001,$L643))-1),IFERROR(--LEFT(INDEX(Расчет!$C$2:$C$3001,$L643),1),"")))</f>
        <v/>
      </c>
      <c r="H643">
        <f>IF($L643="","",SUMIFS(Расчет!$G$2:$G$3001,Расчет!$I$2:$I$3001,$K643,Расчет!$H$2:$H$3001,1))</f>
        <v/>
      </c>
      <c r="I643">
        <f>IF($L643="","",SUMIFS(Расчет!$G$2:$G$3001,Расчет!$I$2:$I$3001,$K643,Расчет!$H$2:$H$3001,2))</f>
        <v/>
      </c>
      <c r="J643">
        <f>IF($L643="","",SUMIFS(Расчет!$G$2:$G$3001,Расчет!$I$2:$I$3001,$K643,Расчет!$H$2:$H$3001,3))</f>
        <v/>
      </c>
      <c r="K643">
        <f>IF($L643="","",INDEX(Расчет!$I$2:$I$3001,$L643))</f>
        <v/>
      </c>
      <c r="L643">
        <f>IFERROR(MATCH(ROW()-1,Расчет!$J$2:$J$3001,0),"")</f>
        <v/>
      </c>
    </row>
    <row r="644">
      <c r="A644">
        <f>IF($L644="","",B644&amp;"."&amp;C644&amp;"-"&amp;D644&amp;"-"&amp;H644&amp;"."&amp;I644&amp;"."&amp;J644)</f>
        <v/>
      </c>
      <c r="B644">
        <f>IF($L644="","",INDEX(Расчет!$A$2:$A$3001,$L644))</f>
        <v/>
      </c>
      <c r="C644">
        <f>IF($L644="","",INDEX(Расчет!$B$2:$B$3001,$L644))</f>
        <v/>
      </c>
      <c r="D644">
        <f>IF($L644="","",IF(ISNUMBER(FIND("(",INDEX(Расчет!$C$2:$C$3001,$L644))),SUBSTITUTE(MID(INDEX(Расчет!$C$2:$C$3001,$L644),FIND("(",INDEX(Расчет!$C$2:$C$3001,$L644))+1,99),")",""),INDEX(Расчет!$C$2:$C$3001,$L644)))</f>
        <v/>
      </c>
      <c r="E644">
        <f>IF($L644="","",INDEX(Расчет!$D$2:$D$3001,$L644))</f>
        <v/>
      </c>
      <c r="F644">
        <f>IF($L644="","",INDEX(Расчет!$E$2:$E$3001,$L644))</f>
        <v/>
      </c>
      <c r="G644">
        <f>IF($L644="","",IFERROR(--LEFT(INDEX(Расчет!$C$2:$C$3001,$L644),FIND("(",INDEX(Расчет!$C$2:$C$3001,$L644))-1),IFERROR(--LEFT(INDEX(Расчет!$C$2:$C$3001,$L644),1),"")))</f>
        <v/>
      </c>
      <c r="H644">
        <f>IF($L644="","",SUMIFS(Расчет!$G$2:$G$3001,Расчет!$I$2:$I$3001,$K644,Расчет!$H$2:$H$3001,1))</f>
        <v/>
      </c>
      <c r="I644">
        <f>IF($L644="","",SUMIFS(Расчет!$G$2:$G$3001,Расчет!$I$2:$I$3001,$K644,Расчет!$H$2:$H$3001,2))</f>
        <v/>
      </c>
      <c r="J644">
        <f>IF($L644="","",SUMIFS(Расчет!$G$2:$G$3001,Расчет!$I$2:$I$3001,$K644,Расчет!$H$2:$H$3001,3))</f>
        <v/>
      </c>
      <c r="K644">
        <f>IF($L644="","",INDEX(Расчет!$I$2:$I$3001,$L644))</f>
        <v/>
      </c>
      <c r="L644">
        <f>IFERROR(MATCH(ROW()-1,Расчет!$J$2:$J$3001,0),"")</f>
        <v/>
      </c>
    </row>
    <row r="645">
      <c r="A645">
        <f>IF($L645="","",B645&amp;"."&amp;C645&amp;"-"&amp;D645&amp;"-"&amp;H645&amp;"."&amp;I645&amp;"."&amp;J645)</f>
        <v/>
      </c>
      <c r="B645">
        <f>IF($L645="","",INDEX(Расчет!$A$2:$A$3001,$L645))</f>
        <v/>
      </c>
      <c r="C645">
        <f>IF($L645="","",INDEX(Расчет!$B$2:$B$3001,$L645))</f>
        <v/>
      </c>
      <c r="D645">
        <f>IF($L645="","",IF(ISNUMBER(FIND("(",INDEX(Расчет!$C$2:$C$3001,$L645))),SUBSTITUTE(MID(INDEX(Расчет!$C$2:$C$3001,$L645),FIND("(",INDEX(Расчет!$C$2:$C$3001,$L645))+1,99),")",""),INDEX(Расчет!$C$2:$C$3001,$L645)))</f>
        <v/>
      </c>
      <c r="E645">
        <f>IF($L645="","",INDEX(Расчет!$D$2:$D$3001,$L645))</f>
        <v/>
      </c>
      <c r="F645">
        <f>IF($L645="","",INDEX(Расчет!$E$2:$E$3001,$L645))</f>
        <v/>
      </c>
      <c r="G645">
        <f>IF($L645="","",IFERROR(--LEFT(INDEX(Расчет!$C$2:$C$3001,$L645),FIND("(",INDEX(Расчет!$C$2:$C$3001,$L645))-1),IFERROR(--LEFT(INDEX(Расчет!$C$2:$C$3001,$L645),1),"")))</f>
        <v/>
      </c>
      <c r="H645">
        <f>IF($L645="","",SUMIFS(Расчет!$G$2:$G$3001,Расчет!$I$2:$I$3001,$K645,Расчет!$H$2:$H$3001,1))</f>
        <v/>
      </c>
      <c r="I645">
        <f>IF($L645="","",SUMIFS(Расчет!$G$2:$G$3001,Расчет!$I$2:$I$3001,$K645,Расчет!$H$2:$H$3001,2))</f>
        <v/>
      </c>
      <c r="J645">
        <f>IF($L645="","",SUMIFS(Расчет!$G$2:$G$3001,Расчет!$I$2:$I$3001,$K645,Расчет!$H$2:$H$3001,3))</f>
        <v/>
      </c>
      <c r="K645">
        <f>IF($L645="","",INDEX(Расчет!$I$2:$I$3001,$L645))</f>
        <v/>
      </c>
      <c r="L645">
        <f>IFERROR(MATCH(ROW()-1,Расчет!$J$2:$J$3001,0),"")</f>
        <v/>
      </c>
    </row>
    <row r="646">
      <c r="A646">
        <f>IF($L646="","",B646&amp;"."&amp;C646&amp;"-"&amp;D646&amp;"-"&amp;H646&amp;"."&amp;I646&amp;"."&amp;J646)</f>
        <v/>
      </c>
      <c r="B646">
        <f>IF($L646="","",INDEX(Расчет!$A$2:$A$3001,$L646))</f>
        <v/>
      </c>
      <c r="C646">
        <f>IF($L646="","",INDEX(Расчет!$B$2:$B$3001,$L646))</f>
        <v/>
      </c>
      <c r="D646">
        <f>IF($L646="","",IF(ISNUMBER(FIND("(",INDEX(Расчет!$C$2:$C$3001,$L646))),SUBSTITUTE(MID(INDEX(Расчет!$C$2:$C$3001,$L646),FIND("(",INDEX(Расчет!$C$2:$C$3001,$L646))+1,99),")",""),INDEX(Расчет!$C$2:$C$3001,$L646)))</f>
        <v/>
      </c>
      <c r="E646">
        <f>IF($L646="","",INDEX(Расчет!$D$2:$D$3001,$L646))</f>
        <v/>
      </c>
      <c r="F646">
        <f>IF($L646="","",INDEX(Расчет!$E$2:$E$3001,$L646))</f>
        <v/>
      </c>
      <c r="G646">
        <f>IF($L646="","",IFERROR(--LEFT(INDEX(Расчет!$C$2:$C$3001,$L646),FIND("(",INDEX(Расчет!$C$2:$C$3001,$L646))-1),IFERROR(--LEFT(INDEX(Расчет!$C$2:$C$3001,$L646),1),"")))</f>
        <v/>
      </c>
      <c r="H646">
        <f>IF($L646="","",SUMIFS(Расчет!$G$2:$G$3001,Расчет!$I$2:$I$3001,$K646,Расчет!$H$2:$H$3001,1))</f>
        <v/>
      </c>
      <c r="I646">
        <f>IF($L646="","",SUMIFS(Расчет!$G$2:$G$3001,Расчет!$I$2:$I$3001,$K646,Расчет!$H$2:$H$3001,2))</f>
        <v/>
      </c>
      <c r="J646">
        <f>IF($L646="","",SUMIFS(Расчет!$G$2:$G$3001,Расчет!$I$2:$I$3001,$K646,Расчет!$H$2:$H$3001,3))</f>
        <v/>
      </c>
      <c r="K646">
        <f>IF($L646="","",INDEX(Расчет!$I$2:$I$3001,$L646))</f>
        <v/>
      </c>
      <c r="L646">
        <f>IFERROR(MATCH(ROW()-1,Расчет!$J$2:$J$3001,0),"")</f>
        <v/>
      </c>
    </row>
    <row r="647">
      <c r="A647">
        <f>IF($L647="","",B647&amp;"."&amp;C647&amp;"-"&amp;D647&amp;"-"&amp;H647&amp;"."&amp;I647&amp;"."&amp;J647)</f>
        <v/>
      </c>
      <c r="B647">
        <f>IF($L647="","",INDEX(Расчет!$A$2:$A$3001,$L647))</f>
        <v/>
      </c>
      <c r="C647">
        <f>IF($L647="","",INDEX(Расчет!$B$2:$B$3001,$L647))</f>
        <v/>
      </c>
      <c r="D647">
        <f>IF($L647="","",IF(ISNUMBER(FIND("(",INDEX(Расчет!$C$2:$C$3001,$L647))),SUBSTITUTE(MID(INDEX(Расчет!$C$2:$C$3001,$L647),FIND("(",INDEX(Расчет!$C$2:$C$3001,$L647))+1,99),")",""),INDEX(Расчет!$C$2:$C$3001,$L647)))</f>
        <v/>
      </c>
      <c r="E647">
        <f>IF($L647="","",INDEX(Расчет!$D$2:$D$3001,$L647))</f>
        <v/>
      </c>
      <c r="F647">
        <f>IF($L647="","",INDEX(Расчет!$E$2:$E$3001,$L647))</f>
        <v/>
      </c>
      <c r="G647">
        <f>IF($L647="","",IFERROR(--LEFT(INDEX(Расчет!$C$2:$C$3001,$L647),FIND("(",INDEX(Расчет!$C$2:$C$3001,$L647))-1),IFERROR(--LEFT(INDEX(Расчет!$C$2:$C$3001,$L647),1),"")))</f>
        <v/>
      </c>
      <c r="H647">
        <f>IF($L647="","",SUMIFS(Расчет!$G$2:$G$3001,Расчет!$I$2:$I$3001,$K647,Расчет!$H$2:$H$3001,1))</f>
        <v/>
      </c>
      <c r="I647">
        <f>IF($L647="","",SUMIFS(Расчет!$G$2:$G$3001,Расчет!$I$2:$I$3001,$K647,Расчет!$H$2:$H$3001,2))</f>
        <v/>
      </c>
      <c r="J647">
        <f>IF($L647="","",SUMIFS(Расчет!$G$2:$G$3001,Расчет!$I$2:$I$3001,$K647,Расчет!$H$2:$H$3001,3))</f>
        <v/>
      </c>
      <c r="K647">
        <f>IF($L647="","",INDEX(Расчет!$I$2:$I$3001,$L647))</f>
        <v/>
      </c>
      <c r="L647">
        <f>IFERROR(MATCH(ROW()-1,Расчет!$J$2:$J$3001,0),"")</f>
        <v/>
      </c>
    </row>
    <row r="648">
      <c r="A648">
        <f>IF($L648="","",B648&amp;"."&amp;C648&amp;"-"&amp;D648&amp;"-"&amp;H648&amp;"."&amp;I648&amp;"."&amp;J648)</f>
        <v/>
      </c>
      <c r="B648">
        <f>IF($L648="","",INDEX(Расчет!$A$2:$A$3001,$L648))</f>
        <v/>
      </c>
      <c r="C648">
        <f>IF($L648="","",INDEX(Расчет!$B$2:$B$3001,$L648))</f>
        <v/>
      </c>
      <c r="D648">
        <f>IF($L648="","",IF(ISNUMBER(FIND("(",INDEX(Расчет!$C$2:$C$3001,$L648))),SUBSTITUTE(MID(INDEX(Расчет!$C$2:$C$3001,$L648),FIND("(",INDEX(Расчет!$C$2:$C$3001,$L648))+1,99),")",""),INDEX(Расчет!$C$2:$C$3001,$L648)))</f>
        <v/>
      </c>
      <c r="E648">
        <f>IF($L648="","",INDEX(Расчет!$D$2:$D$3001,$L648))</f>
        <v/>
      </c>
      <c r="F648">
        <f>IF($L648="","",INDEX(Расчет!$E$2:$E$3001,$L648))</f>
        <v/>
      </c>
      <c r="G648">
        <f>IF($L648="","",IFERROR(--LEFT(INDEX(Расчет!$C$2:$C$3001,$L648),FIND("(",INDEX(Расчет!$C$2:$C$3001,$L648))-1),IFERROR(--LEFT(INDEX(Расчет!$C$2:$C$3001,$L648),1),"")))</f>
        <v/>
      </c>
      <c r="H648">
        <f>IF($L648="","",SUMIFS(Расчет!$G$2:$G$3001,Расчет!$I$2:$I$3001,$K648,Расчет!$H$2:$H$3001,1))</f>
        <v/>
      </c>
      <c r="I648">
        <f>IF($L648="","",SUMIFS(Расчет!$G$2:$G$3001,Расчет!$I$2:$I$3001,$K648,Расчет!$H$2:$H$3001,2))</f>
        <v/>
      </c>
      <c r="J648">
        <f>IF($L648="","",SUMIFS(Расчет!$G$2:$G$3001,Расчет!$I$2:$I$3001,$K648,Расчет!$H$2:$H$3001,3))</f>
        <v/>
      </c>
      <c r="K648">
        <f>IF($L648="","",INDEX(Расчет!$I$2:$I$3001,$L648))</f>
        <v/>
      </c>
      <c r="L648">
        <f>IFERROR(MATCH(ROW()-1,Расчет!$J$2:$J$3001,0),"")</f>
        <v/>
      </c>
    </row>
    <row r="649">
      <c r="A649">
        <f>IF($L649="","",B649&amp;"."&amp;C649&amp;"-"&amp;D649&amp;"-"&amp;H649&amp;"."&amp;I649&amp;"."&amp;J649)</f>
        <v/>
      </c>
      <c r="B649">
        <f>IF($L649="","",INDEX(Расчет!$A$2:$A$3001,$L649))</f>
        <v/>
      </c>
      <c r="C649">
        <f>IF($L649="","",INDEX(Расчет!$B$2:$B$3001,$L649))</f>
        <v/>
      </c>
      <c r="D649">
        <f>IF($L649="","",IF(ISNUMBER(FIND("(",INDEX(Расчет!$C$2:$C$3001,$L649))),SUBSTITUTE(MID(INDEX(Расчет!$C$2:$C$3001,$L649),FIND("(",INDEX(Расчет!$C$2:$C$3001,$L649))+1,99),")",""),INDEX(Расчет!$C$2:$C$3001,$L649)))</f>
        <v/>
      </c>
      <c r="E649">
        <f>IF($L649="","",INDEX(Расчет!$D$2:$D$3001,$L649))</f>
        <v/>
      </c>
      <c r="F649">
        <f>IF($L649="","",INDEX(Расчет!$E$2:$E$3001,$L649))</f>
        <v/>
      </c>
      <c r="G649">
        <f>IF($L649="","",IFERROR(--LEFT(INDEX(Расчет!$C$2:$C$3001,$L649),FIND("(",INDEX(Расчет!$C$2:$C$3001,$L649))-1),IFERROR(--LEFT(INDEX(Расчет!$C$2:$C$3001,$L649),1),"")))</f>
        <v/>
      </c>
      <c r="H649">
        <f>IF($L649="","",SUMIFS(Расчет!$G$2:$G$3001,Расчет!$I$2:$I$3001,$K649,Расчет!$H$2:$H$3001,1))</f>
        <v/>
      </c>
      <c r="I649">
        <f>IF($L649="","",SUMIFS(Расчет!$G$2:$G$3001,Расчет!$I$2:$I$3001,$K649,Расчет!$H$2:$H$3001,2))</f>
        <v/>
      </c>
      <c r="J649">
        <f>IF($L649="","",SUMIFS(Расчет!$G$2:$G$3001,Расчет!$I$2:$I$3001,$K649,Расчет!$H$2:$H$3001,3))</f>
        <v/>
      </c>
      <c r="K649">
        <f>IF($L649="","",INDEX(Расчет!$I$2:$I$3001,$L649))</f>
        <v/>
      </c>
      <c r="L649">
        <f>IFERROR(MATCH(ROW()-1,Расчет!$J$2:$J$3001,0),"")</f>
        <v/>
      </c>
    </row>
    <row r="650">
      <c r="A650">
        <f>IF($L650="","",B650&amp;"."&amp;C650&amp;"-"&amp;D650&amp;"-"&amp;H650&amp;"."&amp;I650&amp;"."&amp;J650)</f>
        <v/>
      </c>
      <c r="B650">
        <f>IF($L650="","",INDEX(Расчет!$A$2:$A$3001,$L650))</f>
        <v/>
      </c>
      <c r="C650">
        <f>IF($L650="","",INDEX(Расчет!$B$2:$B$3001,$L650))</f>
        <v/>
      </c>
      <c r="D650">
        <f>IF($L650="","",IF(ISNUMBER(FIND("(",INDEX(Расчет!$C$2:$C$3001,$L650))),SUBSTITUTE(MID(INDEX(Расчет!$C$2:$C$3001,$L650),FIND("(",INDEX(Расчет!$C$2:$C$3001,$L650))+1,99),")",""),INDEX(Расчет!$C$2:$C$3001,$L650)))</f>
        <v/>
      </c>
      <c r="E650">
        <f>IF($L650="","",INDEX(Расчет!$D$2:$D$3001,$L650))</f>
        <v/>
      </c>
      <c r="F650">
        <f>IF($L650="","",INDEX(Расчет!$E$2:$E$3001,$L650))</f>
        <v/>
      </c>
      <c r="G650">
        <f>IF($L650="","",IFERROR(--LEFT(INDEX(Расчет!$C$2:$C$3001,$L650),FIND("(",INDEX(Расчет!$C$2:$C$3001,$L650))-1),IFERROR(--LEFT(INDEX(Расчет!$C$2:$C$3001,$L650),1),"")))</f>
        <v/>
      </c>
      <c r="H650">
        <f>IF($L650="","",SUMIFS(Расчет!$G$2:$G$3001,Расчет!$I$2:$I$3001,$K650,Расчет!$H$2:$H$3001,1))</f>
        <v/>
      </c>
      <c r="I650">
        <f>IF($L650="","",SUMIFS(Расчет!$G$2:$G$3001,Расчет!$I$2:$I$3001,$K650,Расчет!$H$2:$H$3001,2))</f>
        <v/>
      </c>
      <c r="J650">
        <f>IF($L650="","",SUMIFS(Расчет!$G$2:$G$3001,Расчет!$I$2:$I$3001,$K650,Расчет!$H$2:$H$3001,3))</f>
        <v/>
      </c>
      <c r="K650">
        <f>IF($L650="","",INDEX(Расчет!$I$2:$I$3001,$L650))</f>
        <v/>
      </c>
      <c r="L650">
        <f>IFERROR(MATCH(ROW()-1,Расчет!$J$2:$J$3001,0),"")</f>
        <v/>
      </c>
    </row>
    <row r="651">
      <c r="A651">
        <f>IF($L651="","",B651&amp;"."&amp;C651&amp;"-"&amp;D651&amp;"-"&amp;H651&amp;"."&amp;I651&amp;"."&amp;J651)</f>
        <v/>
      </c>
      <c r="B651">
        <f>IF($L651="","",INDEX(Расчет!$A$2:$A$3001,$L651))</f>
        <v/>
      </c>
      <c r="C651">
        <f>IF($L651="","",INDEX(Расчет!$B$2:$B$3001,$L651))</f>
        <v/>
      </c>
      <c r="D651">
        <f>IF($L651="","",IF(ISNUMBER(FIND("(",INDEX(Расчет!$C$2:$C$3001,$L651))),SUBSTITUTE(MID(INDEX(Расчет!$C$2:$C$3001,$L651),FIND("(",INDEX(Расчет!$C$2:$C$3001,$L651))+1,99),")",""),INDEX(Расчет!$C$2:$C$3001,$L651)))</f>
        <v/>
      </c>
      <c r="E651">
        <f>IF($L651="","",INDEX(Расчет!$D$2:$D$3001,$L651))</f>
        <v/>
      </c>
      <c r="F651">
        <f>IF($L651="","",INDEX(Расчет!$E$2:$E$3001,$L651))</f>
        <v/>
      </c>
      <c r="G651">
        <f>IF($L651="","",IFERROR(--LEFT(INDEX(Расчет!$C$2:$C$3001,$L651),FIND("(",INDEX(Расчет!$C$2:$C$3001,$L651))-1),IFERROR(--LEFT(INDEX(Расчет!$C$2:$C$3001,$L651),1),"")))</f>
        <v/>
      </c>
      <c r="H651">
        <f>IF($L651="","",SUMIFS(Расчет!$G$2:$G$3001,Расчет!$I$2:$I$3001,$K651,Расчет!$H$2:$H$3001,1))</f>
        <v/>
      </c>
      <c r="I651">
        <f>IF($L651="","",SUMIFS(Расчет!$G$2:$G$3001,Расчет!$I$2:$I$3001,$K651,Расчет!$H$2:$H$3001,2))</f>
        <v/>
      </c>
      <c r="J651">
        <f>IF($L651="","",SUMIFS(Расчет!$G$2:$G$3001,Расчет!$I$2:$I$3001,$K651,Расчет!$H$2:$H$3001,3))</f>
        <v/>
      </c>
      <c r="K651">
        <f>IF($L651="","",INDEX(Расчет!$I$2:$I$3001,$L651))</f>
        <v/>
      </c>
      <c r="L651">
        <f>IFERROR(MATCH(ROW()-1,Расчет!$J$2:$J$3001,0),"")</f>
        <v/>
      </c>
    </row>
    <row r="652">
      <c r="A652">
        <f>IF($L652="","",B652&amp;"."&amp;C652&amp;"-"&amp;D652&amp;"-"&amp;H652&amp;"."&amp;I652&amp;"."&amp;J652)</f>
        <v/>
      </c>
      <c r="B652">
        <f>IF($L652="","",INDEX(Расчет!$A$2:$A$3001,$L652))</f>
        <v/>
      </c>
      <c r="C652">
        <f>IF($L652="","",INDEX(Расчет!$B$2:$B$3001,$L652))</f>
        <v/>
      </c>
      <c r="D652">
        <f>IF($L652="","",IF(ISNUMBER(FIND("(",INDEX(Расчет!$C$2:$C$3001,$L652))),SUBSTITUTE(MID(INDEX(Расчет!$C$2:$C$3001,$L652),FIND("(",INDEX(Расчет!$C$2:$C$3001,$L652))+1,99),")",""),INDEX(Расчет!$C$2:$C$3001,$L652)))</f>
        <v/>
      </c>
      <c r="E652">
        <f>IF($L652="","",INDEX(Расчет!$D$2:$D$3001,$L652))</f>
        <v/>
      </c>
      <c r="F652">
        <f>IF($L652="","",INDEX(Расчет!$E$2:$E$3001,$L652))</f>
        <v/>
      </c>
      <c r="G652">
        <f>IF($L652="","",IFERROR(--LEFT(INDEX(Расчет!$C$2:$C$3001,$L652),FIND("(",INDEX(Расчет!$C$2:$C$3001,$L652))-1),IFERROR(--LEFT(INDEX(Расчет!$C$2:$C$3001,$L652),1),"")))</f>
        <v/>
      </c>
      <c r="H652">
        <f>IF($L652="","",SUMIFS(Расчет!$G$2:$G$3001,Расчет!$I$2:$I$3001,$K652,Расчет!$H$2:$H$3001,1))</f>
        <v/>
      </c>
      <c r="I652">
        <f>IF($L652="","",SUMIFS(Расчет!$G$2:$G$3001,Расчет!$I$2:$I$3001,$K652,Расчет!$H$2:$H$3001,2))</f>
        <v/>
      </c>
      <c r="J652">
        <f>IF($L652="","",SUMIFS(Расчет!$G$2:$G$3001,Расчет!$I$2:$I$3001,$K652,Расчет!$H$2:$H$3001,3))</f>
        <v/>
      </c>
      <c r="K652">
        <f>IF($L652="","",INDEX(Расчет!$I$2:$I$3001,$L652))</f>
        <v/>
      </c>
      <c r="L652">
        <f>IFERROR(MATCH(ROW()-1,Расчет!$J$2:$J$3001,0),"")</f>
        <v/>
      </c>
    </row>
    <row r="653">
      <c r="A653">
        <f>IF($L653="","",B653&amp;"."&amp;C653&amp;"-"&amp;D653&amp;"-"&amp;H653&amp;"."&amp;I653&amp;"."&amp;J653)</f>
        <v/>
      </c>
      <c r="B653">
        <f>IF($L653="","",INDEX(Расчет!$A$2:$A$3001,$L653))</f>
        <v/>
      </c>
      <c r="C653">
        <f>IF($L653="","",INDEX(Расчет!$B$2:$B$3001,$L653))</f>
        <v/>
      </c>
      <c r="D653">
        <f>IF($L653="","",IF(ISNUMBER(FIND("(",INDEX(Расчет!$C$2:$C$3001,$L653))),SUBSTITUTE(MID(INDEX(Расчет!$C$2:$C$3001,$L653),FIND("(",INDEX(Расчет!$C$2:$C$3001,$L653))+1,99),")",""),INDEX(Расчет!$C$2:$C$3001,$L653)))</f>
        <v/>
      </c>
      <c r="E653">
        <f>IF($L653="","",INDEX(Расчет!$D$2:$D$3001,$L653))</f>
        <v/>
      </c>
      <c r="F653">
        <f>IF($L653="","",INDEX(Расчет!$E$2:$E$3001,$L653))</f>
        <v/>
      </c>
      <c r="G653">
        <f>IF($L653="","",IFERROR(--LEFT(INDEX(Расчет!$C$2:$C$3001,$L653),FIND("(",INDEX(Расчет!$C$2:$C$3001,$L653))-1),IFERROR(--LEFT(INDEX(Расчет!$C$2:$C$3001,$L653),1),"")))</f>
        <v/>
      </c>
      <c r="H653">
        <f>IF($L653="","",SUMIFS(Расчет!$G$2:$G$3001,Расчет!$I$2:$I$3001,$K653,Расчет!$H$2:$H$3001,1))</f>
        <v/>
      </c>
      <c r="I653">
        <f>IF($L653="","",SUMIFS(Расчет!$G$2:$G$3001,Расчет!$I$2:$I$3001,$K653,Расчет!$H$2:$H$3001,2))</f>
        <v/>
      </c>
      <c r="J653">
        <f>IF($L653="","",SUMIFS(Расчет!$G$2:$G$3001,Расчет!$I$2:$I$3001,$K653,Расчет!$H$2:$H$3001,3))</f>
        <v/>
      </c>
      <c r="K653">
        <f>IF($L653="","",INDEX(Расчет!$I$2:$I$3001,$L653))</f>
        <v/>
      </c>
      <c r="L653">
        <f>IFERROR(MATCH(ROW()-1,Расчет!$J$2:$J$3001,0),"")</f>
        <v/>
      </c>
    </row>
    <row r="654">
      <c r="A654">
        <f>IF($L654="","",B654&amp;"."&amp;C654&amp;"-"&amp;D654&amp;"-"&amp;H654&amp;"."&amp;I654&amp;"."&amp;J654)</f>
        <v/>
      </c>
      <c r="B654">
        <f>IF($L654="","",INDEX(Расчет!$A$2:$A$3001,$L654))</f>
        <v/>
      </c>
      <c r="C654">
        <f>IF($L654="","",INDEX(Расчет!$B$2:$B$3001,$L654))</f>
        <v/>
      </c>
      <c r="D654">
        <f>IF($L654="","",IF(ISNUMBER(FIND("(",INDEX(Расчет!$C$2:$C$3001,$L654))),SUBSTITUTE(MID(INDEX(Расчет!$C$2:$C$3001,$L654),FIND("(",INDEX(Расчет!$C$2:$C$3001,$L654))+1,99),")",""),INDEX(Расчет!$C$2:$C$3001,$L654)))</f>
        <v/>
      </c>
      <c r="E654">
        <f>IF($L654="","",INDEX(Расчет!$D$2:$D$3001,$L654))</f>
        <v/>
      </c>
      <c r="F654">
        <f>IF($L654="","",INDEX(Расчет!$E$2:$E$3001,$L654))</f>
        <v/>
      </c>
      <c r="G654">
        <f>IF($L654="","",IFERROR(--LEFT(INDEX(Расчет!$C$2:$C$3001,$L654),FIND("(",INDEX(Расчет!$C$2:$C$3001,$L654))-1),IFERROR(--LEFT(INDEX(Расчет!$C$2:$C$3001,$L654),1),"")))</f>
        <v/>
      </c>
      <c r="H654">
        <f>IF($L654="","",SUMIFS(Расчет!$G$2:$G$3001,Расчет!$I$2:$I$3001,$K654,Расчет!$H$2:$H$3001,1))</f>
        <v/>
      </c>
      <c r="I654">
        <f>IF($L654="","",SUMIFS(Расчет!$G$2:$G$3001,Расчет!$I$2:$I$3001,$K654,Расчет!$H$2:$H$3001,2))</f>
        <v/>
      </c>
      <c r="J654">
        <f>IF($L654="","",SUMIFS(Расчет!$G$2:$G$3001,Расчет!$I$2:$I$3001,$K654,Расчет!$H$2:$H$3001,3))</f>
        <v/>
      </c>
      <c r="K654">
        <f>IF($L654="","",INDEX(Расчет!$I$2:$I$3001,$L654))</f>
        <v/>
      </c>
      <c r="L654">
        <f>IFERROR(MATCH(ROW()-1,Расчет!$J$2:$J$3001,0),"")</f>
        <v/>
      </c>
    </row>
    <row r="655">
      <c r="A655">
        <f>IF($L655="","",B655&amp;"."&amp;C655&amp;"-"&amp;D655&amp;"-"&amp;H655&amp;"."&amp;I655&amp;"."&amp;J655)</f>
        <v/>
      </c>
      <c r="B655">
        <f>IF($L655="","",INDEX(Расчет!$A$2:$A$3001,$L655))</f>
        <v/>
      </c>
      <c r="C655">
        <f>IF($L655="","",INDEX(Расчет!$B$2:$B$3001,$L655))</f>
        <v/>
      </c>
      <c r="D655">
        <f>IF($L655="","",IF(ISNUMBER(FIND("(",INDEX(Расчет!$C$2:$C$3001,$L655))),SUBSTITUTE(MID(INDEX(Расчет!$C$2:$C$3001,$L655),FIND("(",INDEX(Расчет!$C$2:$C$3001,$L655))+1,99),")",""),INDEX(Расчет!$C$2:$C$3001,$L655)))</f>
        <v/>
      </c>
      <c r="E655">
        <f>IF($L655="","",INDEX(Расчет!$D$2:$D$3001,$L655))</f>
        <v/>
      </c>
      <c r="F655">
        <f>IF($L655="","",INDEX(Расчет!$E$2:$E$3001,$L655))</f>
        <v/>
      </c>
      <c r="G655">
        <f>IF($L655="","",IFERROR(--LEFT(INDEX(Расчет!$C$2:$C$3001,$L655),FIND("(",INDEX(Расчет!$C$2:$C$3001,$L655))-1),IFERROR(--LEFT(INDEX(Расчет!$C$2:$C$3001,$L655),1),"")))</f>
        <v/>
      </c>
      <c r="H655">
        <f>IF($L655="","",SUMIFS(Расчет!$G$2:$G$3001,Расчет!$I$2:$I$3001,$K655,Расчет!$H$2:$H$3001,1))</f>
        <v/>
      </c>
      <c r="I655">
        <f>IF($L655="","",SUMIFS(Расчет!$G$2:$G$3001,Расчет!$I$2:$I$3001,$K655,Расчет!$H$2:$H$3001,2))</f>
        <v/>
      </c>
      <c r="J655">
        <f>IF($L655="","",SUMIFS(Расчет!$G$2:$G$3001,Расчет!$I$2:$I$3001,$K655,Расчет!$H$2:$H$3001,3))</f>
        <v/>
      </c>
      <c r="K655">
        <f>IF($L655="","",INDEX(Расчет!$I$2:$I$3001,$L655))</f>
        <v/>
      </c>
      <c r="L655">
        <f>IFERROR(MATCH(ROW()-1,Расчет!$J$2:$J$3001,0),"")</f>
        <v/>
      </c>
    </row>
    <row r="656">
      <c r="A656">
        <f>IF($L656="","",B656&amp;"."&amp;C656&amp;"-"&amp;D656&amp;"-"&amp;H656&amp;"."&amp;I656&amp;"."&amp;J656)</f>
        <v/>
      </c>
      <c r="B656">
        <f>IF($L656="","",INDEX(Расчет!$A$2:$A$3001,$L656))</f>
        <v/>
      </c>
      <c r="C656">
        <f>IF($L656="","",INDEX(Расчет!$B$2:$B$3001,$L656))</f>
        <v/>
      </c>
      <c r="D656">
        <f>IF($L656="","",IF(ISNUMBER(FIND("(",INDEX(Расчет!$C$2:$C$3001,$L656))),SUBSTITUTE(MID(INDEX(Расчет!$C$2:$C$3001,$L656),FIND("(",INDEX(Расчет!$C$2:$C$3001,$L656))+1,99),")",""),INDEX(Расчет!$C$2:$C$3001,$L656)))</f>
        <v/>
      </c>
      <c r="E656">
        <f>IF($L656="","",INDEX(Расчет!$D$2:$D$3001,$L656))</f>
        <v/>
      </c>
      <c r="F656">
        <f>IF($L656="","",INDEX(Расчет!$E$2:$E$3001,$L656))</f>
        <v/>
      </c>
      <c r="G656">
        <f>IF($L656="","",IFERROR(--LEFT(INDEX(Расчет!$C$2:$C$3001,$L656),FIND("(",INDEX(Расчет!$C$2:$C$3001,$L656))-1),IFERROR(--LEFT(INDEX(Расчет!$C$2:$C$3001,$L656),1),"")))</f>
        <v/>
      </c>
      <c r="H656">
        <f>IF($L656="","",SUMIFS(Расчет!$G$2:$G$3001,Расчет!$I$2:$I$3001,$K656,Расчет!$H$2:$H$3001,1))</f>
        <v/>
      </c>
      <c r="I656">
        <f>IF($L656="","",SUMIFS(Расчет!$G$2:$G$3001,Расчет!$I$2:$I$3001,$K656,Расчет!$H$2:$H$3001,2))</f>
        <v/>
      </c>
      <c r="J656">
        <f>IF($L656="","",SUMIFS(Расчет!$G$2:$G$3001,Расчет!$I$2:$I$3001,$K656,Расчет!$H$2:$H$3001,3))</f>
        <v/>
      </c>
      <c r="K656">
        <f>IF($L656="","",INDEX(Расчет!$I$2:$I$3001,$L656))</f>
        <v/>
      </c>
      <c r="L656">
        <f>IFERROR(MATCH(ROW()-1,Расчет!$J$2:$J$3001,0),"")</f>
        <v/>
      </c>
    </row>
    <row r="657">
      <c r="A657">
        <f>IF($L657="","",B657&amp;"."&amp;C657&amp;"-"&amp;D657&amp;"-"&amp;H657&amp;"."&amp;I657&amp;"."&amp;J657)</f>
        <v/>
      </c>
      <c r="B657">
        <f>IF($L657="","",INDEX(Расчет!$A$2:$A$3001,$L657))</f>
        <v/>
      </c>
      <c r="C657">
        <f>IF($L657="","",INDEX(Расчет!$B$2:$B$3001,$L657))</f>
        <v/>
      </c>
      <c r="D657">
        <f>IF($L657="","",IF(ISNUMBER(FIND("(",INDEX(Расчет!$C$2:$C$3001,$L657))),SUBSTITUTE(MID(INDEX(Расчет!$C$2:$C$3001,$L657),FIND("(",INDEX(Расчет!$C$2:$C$3001,$L657))+1,99),")",""),INDEX(Расчет!$C$2:$C$3001,$L657)))</f>
        <v/>
      </c>
      <c r="E657">
        <f>IF($L657="","",INDEX(Расчет!$D$2:$D$3001,$L657))</f>
        <v/>
      </c>
      <c r="F657">
        <f>IF($L657="","",INDEX(Расчет!$E$2:$E$3001,$L657))</f>
        <v/>
      </c>
      <c r="G657">
        <f>IF($L657="","",IFERROR(--LEFT(INDEX(Расчет!$C$2:$C$3001,$L657),FIND("(",INDEX(Расчет!$C$2:$C$3001,$L657))-1),IFERROR(--LEFT(INDEX(Расчет!$C$2:$C$3001,$L657),1),"")))</f>
        <v/>
      </c>
      <c r="H657">
        <f>IF($L657="","",SUMIFS(Расчет!$G$2:$G$3001,Расчет!$I$2:$I$3001,$K657,Расчет!$H$2:$H$3001,1))</f>
        <v/>
      </c>
      <c r="I657">
        <f>IF($L657="","",SUMIFS(Расчет!$G$2:$G$3001,Расчет!$I$2:$I$3001,$K657,Расчет!$H$2:$H$3001,2))</f>
        <v/>
      </c>
      <c r="J657">
        <f>IF($L657="","",SUMIFS(Расчет!$G$2:$G$3001,Расчет!$I$2:$I$3001,$K657,Расчет!$H$2:$H$3001,3))</f>
        <v/>
      </c>
      <c r="K657">
        <f>IF($L657="","",INDEX(Расчет!$I$2:$I$3001,$L657))</f>
        <v/>
      </c>
      <c r="L657">
        <f>IFERROR(MATCH(ROW()-1,Расчет!$J$2:$J$3001,0),"")</f>
        <v/>
      </c>
    </row>
    <row r="658">
      <c r="A658">
        <f>IF($L658="","",B658&amp;"."&amp;C658&amp;"-"&amp;D658&amp;"-"&amp;H658&amp;"."&amp;I658&amp;"."&amp;J658)</f>
        <v/>
      </c>
      <c r="B658">
        <f>IF($L658="","",INDEX(Расчет!$A$2:$A$3001,$L658))</f>
        <v/>
      </c>
      <c r="C658">
        <f>IF($L658="","",INDEX(Расчет!$B$2:$B$3001,$L658))</f>
        <v/>
      </c>
      <c r="D658">
        <f>IF($L658="","",IF(ISNUMBER(FIND("(",INDEX(Расчет!$C$2:$C$3001,$L658))),SUBSTITUTE(MID(INDEX(Расчет!$C$2:$C$3001,$L658),FIND("(",INDEX(Расчет!$C$2:$C$3001,$L658))+1,99),")",""),INDEX(Расчет!$C$2:$C$3001,$L658)))</f>
        <v/>
      </c>
      <c r="E658">
        <f>IF($L658="","",INDEX(Расчет!$D$2:$D$3001,$L658))</f>
        <v/>
      </c>
      <c r="F658">
        <f>IF($L658="","",INDEX(Расчет!$E$2:$E$3001,$L658))</f>
        <v/>
      </c>
      <c r="G658">
        <f>IF($L658="","",IFERROR(--LEFT(INDEX(Расчет!$C$2:$C$3001,$L658),FIND("(",INDEX(Расчет!$C$2:$C$3001,$L658))-1),IFERROR(--LEFT(INDEX(Расчет!$C$2:$C$3001,$L658),1),"")))</f>
        <v/>
      </c>
      <c r="H658">
        <f>IF($L658="","",SUMIFS(Расчет!$G$2:$G$3001,Расчет!$I$2:$I$3001,$K658,Расчет!$H$2:$H$3001,1))</f>
        <v/>
      </c>
      <c r="I658">
        <f>IF($L658="","",SUMIFS(Расчет!$G$2:$G$3001,Расчет!$I$2:$I$3001,$K658,Расчет!$H$2:$H$3001,2))</f>
        <v/>
      </c>
      <c r="J658">
        <f>IF($L658="","",SUMIFS(Расчет!$G$2:$G$3001,Расчет!$I$2:$I$3001,$K658,Расчет!$H$2:$H$3001,3))</f>
        <v/>
      </c>
      <c r="K658">
        <f>IF($L658="","",INDEX(Расчет!$I$2:$I$3001,$L658))</f>
        <v/>
      </c>
      <c r="L658">
        <f>IFERROR(MATCH(ROW()-1,Расчет!$J$2:$J$3001,0),"")</f>
        <v/>
      </c>
    </row>
    <row r="659">
      <c r="A659">
        <f>IF($L659="","",B659&amp;"."&amp;C659&amp;"-"&amp;D659&amp;"-"&amp;H659&amp;"."&amp;I659&amp;"."&amp;J659)</f>
        <v/>
      </c>
      <c r="B659">
        <f>IF($L659="","",INDEX(Расчет!$A$2:$A$3001,$L659))</f>
        <v/>
      </c>
      <c r="C659">
        <f>IF($L659="","",INDEX(Расчет!$B$2:$B$3001,$L659))</f>
        <v/>
      </c>
      <c r="D659">
        <f>IF($L659="","",IF(ISNUMBER(FIND("(",INDEX(Расчет!$C$2:$C$3001,$L659))),SUBSTITUTE(MID(INDEX(Расчет!$C$2:$C$3001,$L659),FIND("(",INDEX(Расчет!$C$2:$C$3001,$L659))+1,99),")",""),INDEX(Расчет!$C$2:$C$3001,$L659)))</f>
        <v/>
      </c>
      <c r="E659">
        <f>IF($L659="","",INDEX(Расчет!$D$2:$D$3001,$L659))</f>
        <v/>
      </c>
      <c r="F659">
        <f>IF($L659="","",INDEX(Расчет!$E$2:$E$3001,$L659))</f>
        <v/>
      </c>
      <c r="G659">
        <f>IF($L659="","",IFERROR(--LEFT(INDEX(Расчет!$C$2:$C$3001,$L659),FIND("(",INDEX(Расчет!$C$2:$C$3001,$L659))-1),IFERROR(--LEFT(INDEX(Расчет!$C$2:$C$3001,$L659),1),"")))</f>
        <v/>
      </c>
      <c r="H659">
        <f>IF($L659="","",SUMIFS(Расчет!$G$2:$G$3001,Расчет!$I$2:$I$3001,$K659,Расчет!$H$2:$H$3001,1))</f>
        <v/>
      </c>
      <c r="I659">
        <f>IF($L659="","",SUMIFS(Расчет!$G$2:$G$3001,Расчет!$I$2:$I$3001,$K659,Расчет!$H$2:$H$3001,2))</f>
        <v/>
      </c>
      <c r="J659">
        <f>IF($L659="","",SUMIFS(Расчет!$G$2:$G$3001,Расчет!$I$2:$I$3001,$K659,Расчет!$H$2:$H$3001,3))</f>
        <v/>
      </c>
      <c r="K659">
        <f>IF($L659="","",INDEX(Расчет!$I$2:$I$3001,$L659))</f>
        <v/>
      </c>
      <c r="L659">
        <f>IFERROR(MATCH(ROW()-1,Расчет!$J$2:$J$3001,0),"")</f>
        <v/>
      </c>
    </row>
    <row r="660">
      <c r="A660">
        <f>IF($L660="","",B660&amp;"."&amp;C660&amp;"-"&amp;D660&amp;"-"&amp;H660&amp;"."&amp;I660&amp;"."&amp;J660)</f>
        <v/>
      </c>
      <c r="B660">
        <f>IF($L660="","",INDEX(Расчет!$A$2:$A$3001,$L660))</f>
        <v/>
      </c>
      <c r="C660">
        <f>IF($L660="","",INDEX(Расчет!$B$2:$B$3001,$L660))</f>
        <v/>
      </c>
      <c r="D660">
        <f>IF($L660="","",IF(ISNUMBER(FIND("(",INDEX(Расчет!$C$2:$C$3001,$L660))),SUBSTITUTE(MID(INDEX(Расчет!$C$2:$C$3001,$L660),FIND("(",INDEX(Расчет!$C$2:$C$3001,$L660))+1,99),")",""),INDEX(Расчет!$C$2:$C$3001,$L660)))</f>
        <v/>
      </c>
      <c r="E660">
        <f>IF($L660="","",INDEX(Расчет!$D$2:$D$3001,$L660))</f>
        <v/>
      </c>
      <c r="F660">
        <f>IF($L660="","",INDEX(Расчет!$E$2:$E$3001,$L660))</f>
        <v/>
      </c>
      <c r="G660">
        <f>IF($L660="","",IFERROR(--LEFT(INDEX(Расчет!$C$2:$C$3001,$L660),FIND("(",INDEX(Расчет!$C$2:$C$3001,$L660))-1),IFERROR(--LEFT(INDEX(Расчет!$C$2:$C$3001,$L660),1),"")))</f>
        <v/>
      </c>
      <c r="H660">
        <f>IF($L660="","",SUMIFS(Расчет!$G$2:$G$3001,Расчет!$I$2:$I$3001,$K660,Расчет!$H$2:$H$3001,1))</f>
        <v/>
      </c>
      <c r="I660">
        <f>IF($L660="","",SUMIFS(Расчет!$G$2:$G$3001,Расчет!$I$2:$I$3001,$K660,Расчет!$H$2:$H$3001,2))</f>
        <v/>
      </c>
      <c r="J660">
        <f>IF($L660="","",SUMIFS(Расчет!$G$2:$G$3001,Расчет!$I$2:$I$3001,$K660,Расчет!$H$2:$H$3001,3))</f>
        <v/>
      </c>
      <c r="K660">
        <f>IF($L660="","",INDEX(Расчет!$I$2:$I$3001,$L660))</f>
        <v/>
      </c>
      <c r="L660">
        <f>IFERROR(MATCH(ROW()-1,Расчет!$J$2:$J$3001,0),"")</f>
        <v/>
      </c>
    </row>
    <row r="661">
      <c r="A661">
        <f>IF($L661="","",B661&amp;"."&amp;C661&amp;"-"&amp;D661&amp;"-"&amp;H661&amp;"."&amp;I661&amp;"."&amp;J661)</f>
        <v/>
      </c>
      <c r="B661">
        <f>IF($L661="","",INDEX(Расчет!$A$2:$A$3001,$L661))</f>
        <v/>
      </c>
      <c r="C661">
        <f>IF($L661="","",INDEX(Расчет!$B$2:$B$3001,$L661))</f>
        <v/>
      </c>
      <c r="D661">
        <f>IF($L661="","",IF(ISNUMBER(FIND("(",INDEX(Расчет!$C$2:$C$3001,$L661))),SUBSTITUTE(MID(INDEX(Расчет!$C$2:$C$3001,$L661),FIND("(",INDEX(Расчет!$C$2:$C$3001,$L661))+1,99),")",""),INDEX(Расчет!$C$2:$C$3001,$L661)))</f>
        <v/>
      </c>
      <c r="E661">
        <f>IF($L661="","",INDEX(Расчет!$D$2:$D$3001,$L661))</f>
        <v/>
      </c>
      <c r="F661">
        <f>IF($L661="","",INDEX(Расчет!$E$2:$E$3001,$L661))</f>
        <v/>
      </c>
      <c r="G661">
        <f>IF($L661="","",IFERROR(--LEFT(INDEX(Расчет!$C$2:$C$3001,$L661),FIND("(",INDEX(Расчет!$C$2:$C$3001,$L661))-1),IFERROR(--LEFT(INDEX(Расчет!$C$2:$C$3001,$L661),1),"")))</f>
        <v/>
      </c>
      <c r="H661">
        <f>IF($L661="","",SUMIFS(Расчет!$G$2:$G$3001,Расчет!$I$2:$I$3001,$K661,Расчет!$H$2:$H$3001,1))</f>
        <v/>
      </c>
      <c r="I661">
        <f>IF($L661="","",SUMIFS(Расчет!$G$2:$G$3001,Расчет!$I$2:$I$3001,$K661,Расчет!$H$2:$H$3001,2))</f>
        <v/>
      </c>
      <c r="J661">
        <f>IF($L661="","",SUMIFS(Расчет!$G$2:$G$3001,Расчет!$I$2:$I$3001,$K661,Расчет!$H$2:$H$3001,3))</f>
        <v/>
      </c>
      <c r="K661">
        <f>IF($L661="","",INDEX(Расчет!$I$2:$I$3001,$L661))</f>
        <v/>
      </c>
      <c r="L661">
        <f>IFERROR(MATCH(ROW()-1,Расчет!$J$2:$J$3001,0),"")</f>
        <v/>
      </c>
    </row>
    <row r="662">
      <c r="A662">
        <f>IF($L662="","",B662&amp;"."&amp;C662&amp;"-"&amp;D662&amp;"-"&amp;H662&amp;"."&amp;I662&amp;"."&amp;J662)</f>
        <v/>
      </c>
      <c r="B662">
        <f>IF($L662="","",INDEX(Расчет!$A$2:$A$3001,$L662))</f>
        <v/>
      </c>
      <c r="C662">
        <f>IF($L662="","",INDEX(Расчет!$B$2:$B$3001,$L662))</f>
        <v/>
      </c>
      <c r="D662">
        <f>IF($L662="","",IF(ISNUMBER(FIND("(",INDEX(Расчет!$C$2:$C$3001,$L662))),SUBSTITUTE(MID(INDEX(Расчет!$C$2:$C$3001,$L662),FIND("(",INDEX(Расчет!$C$2:$C$3001,$L662))+1,99),")",""),INDEX(Расчет!$C$2:$C$3001,$L662)))</f>
        <v/>
      </c>
      <c r="E662">
        <f>IF($L662="","",INDEX(Расчет!$D$2:$D$3001,$L662))</f>
        <v/>
      </c>
      <c r="F662">
        <f>IF($L662="","",INDEX(Расчет!$E$2:$E$3001,$L662))</f>
        <v/>
      </c>
      <c r="G662">
        <f>IF($L662="","",IFERROR(--LEFT(INDEX(Расчет!$C$2:$C$3001,$L662),FIND("(",INDEX(Расчет!$C$2:$C$3001,$L662))-1),IFERROR(--LEFT(INDEX(Расчет!$C$2:$C$3001,$L662),1),"")))</f>
        <v/>
      </c>
      <c r="H662">
        <f>IF($L662="","",SUMIFS(Расчет!$G$2:$G$3001,Расчет!$I$2:$I$3001,$K662,Расчет!$H$2:$H$3001,1))</f>
        <v/>
      </c>
      <c r="I662">
        <f>IF($L662="","",SUMIFS(Расчет!$G$2:$G$3001,Расчет!$I$2:$I$3001,$K662,Расчет!$H$2:$H$3001,2))</f>
        <v/>
      </c>
      <c r="J662">
        <f>IF($L662="","",SUMIFS(Расчет!$G$2:$G$3001,Расчет!$I$2:$I$3001,$K662,Расчет!$H$2:$H$3001,3))</f>
        <v/>
      </c>
      <c r="K662">
        <f>IF($L662="","",INDEX(Расчет!$I$2:$I$3001,$L662))</f>
        <v/>
      </c>
      <c r="L662">
        <f>IFERROR(MATCH(ROW()-1,Расчет!$J$2:$J$3001,0),"")</f>
        <v/>
      </c>
    </row>
    <row r="663">
      <c r="A663">
        <f>IF($L663="","",B663&amp;"."&amp;C663&amp;"-"&amp;D663&amp;"-"&amp;H663&amp;"."&amp;I663&amp;"."&amp;J663)</f>
        <v/>
      </c>
      <c r="B663">
        <f>IF($L663="","",INDEX(Расчет!$A$2:$A$3001,$L663))</f>
        <v/>
      </c>
      <c r="C663">
        <f>IF($L663="","",INDEX(Расчет!$B$2:$B$3001,$L663))</f>
        <v/>
      </c>
      <c r="D663">
        <f>IF($L663="","",IF(ISNUMBER(FIND("(",INDEX(Расчет!$C$2:$C$3001,$L663))),SUBSTITUTE(MID(INDEX(Расчет!$C$2:$C$3001,$L663),FIND("(",INDEX(Расчет!$C$2:$C$3001,$L663))+1,99),")",""),INDEX(Расчет!$C$2:$C$3001,$L663)))</f>
        <v/>
      </c>
      <c r="E663">
        <f>IF($L663="","",INDEX(Расчет!$D$2:$D$3001,$L663))</f>
        <v/>
      </c>
      <c r="F663">
        <f>IF($L663="","",INDEX(Расчет!$E$2:$E$3001,$L663))</f>
        <v/>
      </c>
      <c r="G663">
        <f>IF($L663="","",IFERROR(--LEFT(INDEX(Расчет!$C$2:$C$3001,$L663),FIND("(",INDEX(Расчет!$C$2:$C$3001,$L663))-1),IFERROR(--LEFT(INDEX(Расчет!$C$2:$C$3001,$L663),1),"")))</f>
        <v/>
      </c>
      <c r="H663">
        <f>IF($L663="","",SUMIFS(Расчет!$G$2:$G$3001,Расчет!$I$2:$I$3001,$K663,Расчет!$H$2:$H$3001,1))</f>
        <v/>
      </c>
      <c r="I663">
        <f>IF($L663="","",SUMIFS(Расчет!$G$2:$G$3001,Расчет!$I$2:$I$3001,$K663,Расчет!$H$2:$H$3001,2))</f>
        <v/>
      </c>
      <c r="J663">
        <f>IF($L663="","",SUMIFS(Расчет!$G$2:$G$3001,Расчет!$I$2:$I$3001,$K663,Расчет!$H$2:$H$3001,3))</f>
        <v/>
      </c>
      <c r="K663">
        <f>IF($L663="","",INDEX(Расчет!$I$2:$I$3001,$L663))</f>
        <v/>
      </c>
      <c r="L663">
        <f>IFERROR(MATCH(ROW()-1,Расчет!$J$2:$J$3001,0),"")</f>
        <v/>
      </c>
    </row>
    <row r="664">
      <c r="A664">
        <f>IF($L664="","",B664&amp;"."&amp;C664&amp;"-"&amp;D664&amp;"-"&amp;H664&amp;"."&amp;I664&amp;"."&amp;J664)</f>
        <v/>
      </c>
      <c r="B664">
        <f>IF($L664="","",INDEX(Расчет!$A$2:$A$3001,$L664))</f>
        <v/>
      </c>
      <c r="C664">
        <f>IF($L664="","",INDEX(Расчет!$B$2:$B$3001,$L664))</f>
        <v/>
      </c>
      <c r="D664">
        <f>IF($L664="","",IF(ISNUMBER(FIND("(",INDEX(Расчет!$C$2:$C$3001,$L664))),SUBSTITUTE(MID(INDEX(Расчет!$C$2:$C$3001,$L664),FIND("(",INDEX(Расчет!$C$2:$C$3001,$L664))+1,99),")",""),INDEX(Расчет!$C$2:$C$3001,$L664)))</f>
        <v/>
      </c>
      <c r="E664">
        <f>IF($L664="","",INDEX(Расчет!$D$2:$D$3001,$L664))</f>
        <v/>
      </c>
      <c r="F664">
        <f>IF($L664="","",INDEX(Расчет!$E$2:$E$3001,$L664))</f>
        <v/>
      </c>
      <c r="G664">
        <f>IF($L664="","",IFERROR(--LEFT(INDEX(Расчет!$C$2:$C$3001,$L664),FIND("(",INDEX(Расчет!$C$2:$C$3001,$L664))-1),IFERROR(--LEFT(INDEX(Расчет!$C$2:$C$3001,$L664),1),"")))</f>
        <v/>
      </c>
      <c r="H664">
        <f>IF($L664="","",SUMIFS(Расчет!$G$2:$G$3001,Расчет!$I$2:$I$3001,$K664,Расчет!$H$2:$H$3001,1))</f>
        <v/>
      </c>
      <c r="I664">
        <f>IF($L664="","",SUMIFS(Расчет!$G$2:$G$3001,Расчет!$I$2:$I$3001,$K664,Расчет!$H$2:$H$3001,2))</f>
        <v/>
      </c>
      <c r="J664">
        <f>IF($L664="","",SUMIFS(Расчет!$G$2:$G$3001,Расчет!$I$2:$I$3001,$K664,Расчет!$H$2:$H$3001,3))</f>
        <v/>
      </c>
      <c r="K664">
        <f>IF($L664="","",INDEX(Расчет!$I$2:$I$3001,$L664))</f>
        <v/>
      </c>
      <c r="L664">
        <f>IFERROR(MATCH(ROW()-1,Расчет!$J$2:$J$3001,0),"")</f>
        <v/>
      </c>
    </row>
    <row r="665">
      <c r="A665">
        <f>IF($L665="","",B665&amp;"."&amp;C665&amp;"-"&amp;D665&amp;"-"&amp;H665&amp;"."&amp;I665&amp;"."&amp;J665)</f>
        <v/>
      </c>
      <c r="B665">
        <f>IF($L665="","",INDEX(Расчет!$A$2:$A$3001,$L665))</f>
        <v/>
      </c>
      <c r="C665">
        <f>IF($L665="","",INDEX(Расчет!$B$2:$B$3001,$L665))</f>
        <v/>
      </c>
      <c r="D665">
        <f>IF($L665="","",IF(ISNUMBER(FIND("(",INDEX(Расчет!$C$2:$C$3001,$L665))),SUBSTITUTE(MID(INDEX(Расчет!$C$2:$C$3001,$L665),FIND("(",INDEX(Расчет!$C$2:$C$3001,$L665))+1,99),")",""),INDEX(Расчет!$C$2:$C$3001,$L665)))</f>
        <v/>
      </c>
      <c r="E665">
        <f>IF($L665="","",INDEX(Расчет!$D$2:$D$3001,$L665))</f>
        <v/>
      </c>
      <c r="F665">
        <f>IF($L665="","",INDEX(Расчет!$E$2:$E$3001,$L665))</f>
        <v/>
      </c>
      <c r="G665">
        <f>IF($L665="","",IFERROR(--LEFT(INDEX(Расчет!$C$2:$C$3001,$L665),FIND("(",INDEX(Расчет!$C$2:$C$3001,$L665))-1),IFERROR(--LEFT(INDEX(Расчет!$C$2:$C$3001,$L665),1),"")))</f>
        <v/>
      </c>
      <c r="H665">
        <f>IF($L665="","",SUMIFS(Расчет!$G$2:$G$3001,Расчет!$I$2:$I$3001,$K665,Расчет!$H$2:$H$3001,1))</f>
        <v/>
      </c>
      <c r="I665">
        <f>IF($L665="","",SUMIFS(Расчет!$G$2:$G$3001,Расчет!$I$2:$I$3001,$K665,Расчет!$H$2:$H$3001,2))</f>
        <v/>
      </c>
      <c r="J665">
        <f>IF($L665="","",SUMIFS(Расчет!$G$2:$G$3001,Расчет!$I$2:$I$3001,$K665,Расчет!$H$2:$H$3001,3))</f>
        <v/>
      </c>
      <c r="K665">
        <f>IF($L665="","",INDEX(Расчет!$I$2:$I$3001,$L665))</f>
        <v/>
      </c>
      <c r="L665">
        <f>IFERROR(MATCH(ROW()-1,Расчет!$J$2:$J$3001,0),"")</f>
        <v/>
      </c>
    </row>
    <row r="666">
      <c r="A666">
        <f>IF($L666="","",B666&amp;"."&amp;C666&amp;"-"&amp;D666&amp;"-"&amp;H666&amp;"."&amp;I666&amp;"."&amp;J666)</f>
        <v/>
      </c>
      <c r="B666">
        <f>IF($L666="","",INDEX(Расчет!$A$2:$A$3001,$L666))</f>
        <v/>
      </c>
      <c r="C666">
        <f>IF($L666="","",INDEX(Расчет!$B$2:$B$3001,$L666))</f>
        <v/>
      </c>
      <c r="D666">
        <f>IF($L666="","",IF(ISNUMBER(FIND("(",INDEX(Расчет!$C$2:$C$3001,$L666))),SUBSTITUTE(MID(INDEX(Расчет!$C$2:$C$3001,$L666),FIND("(",INDEX(Расчет!$C$2:$C$3001,$L666))+1,99),")",""),INDEX(Расчет!$C$2:$C$3001,$L666)))</f>
        <v/>
      </c>
      <c r="E666">
        <f>IF($L666="","",INDEX(Расчет!$D$2:$D$3001,$L666))</f>
        <v/>
      </c>
      <c r="F666">
        <f>IF($L666="","",INDEX(Расчет!$E$2:$E$3001,$L666))</f>
        <v/>
      </c>
      <c r="G666">
        <f>IF($L666="","",IFERROR(--LEFT(INDEX(Расчет!$C$2:$C$3001,$L666),FIND("(",INDEX(Расчет!$C$2:$C$3001,$L666))-1),IFERROR(--LEFT(INDEX(Расчет!$C$2:$C$3001,$L666),1),"")))</f>
        <v/>
      </c>
      <c r="H666">
        <f>IF($L666="","",SUMIFS(Расчет!$G$2:$G$3001,Расчет!$I$2:$I$3001,$K666,Расчет!$H$2:$H$3001,1))</f>
        <v/>
      </c>
      <c r="I666">
        <f>IF($L666="","",SUMIFS(Расчет!$G$2:$G$3001,Расчет!$I$2:$I$3001,$K666,Расчет!$H$2:$H$3001,2))</f>
        <v/>
      </c>
      <c r="J666">
        <f>IF($L666="","",SUMIFS(Расчет!$G$2:$G$3001,Расчет!$I$2:$I$3001,$K666,Расчет!$H$2:$H$3001,3))</f>
        <v/>
      </c>
      <c r="K666">
        <f>IF($L666="","",INDEX(Расчет!$I$2:$I$3001,$L666))</f>
        <v/>
      </c>
      <c r="L666">
        <f>IFERROR(MATCH(ROW()-1,Расчет!$J$2:$J$3001,0),"")</f>
        <v/>
      </c>
    </row>
    <row r="667">
      <c r="A667">
        <f>IF($L667="","",B667&amp;"."&amp;C667&amp;"-"&amp;D667&amp;"-"&amp;H667&amp;"."&amp;I667&amp;"."&amp;J667)</f>
        <v/>
      </c>
      <c r="B667">
        <f>IF($L667="","",INDEX(Расчет!$A$2:$A$3001,$L667))</f>
        <v/>
      </c>
      <c r="C667">
        <f>IF($L667="","",INDEX(Расчет!$B$2:$B$3001,$L667))</f>
        <v/>
      </c>
      <c r="D667">
        <f>IF($L667="","",IF(ISNUMBER(FIND("(",INDEX(Расчет!$C$2:$C$3001,$L667))),SUBSTITUTE(MID(INDEX(Расчет!$C$2:$C$3001,$L667),FIND("(",INDEX(Расчет!$C$2:$C$3001,$L667))+1,99),")",""),INDEX(Расчет!$C$2:$C$3001,$L667)))</f>
        <v/>
      </c>
      <c r="E667">
        <f>IF($L667="","",INDEX(Расчет!$D$2:$D$3001,$L667))</f>
        <v/>
      </c>
      <c r="F667">
        <f>IF($L667="","",INDEX(Расчет!$E$2:$E$3001,$L667))</f>
        <v/>
      </c>
      <c r="G667">
        <f>IF($L667="","",IFERROR(--LEFT(INDEX(Расчет!$C$2:$C$3001,$L667),FIND("(",INDEX(Расчет!$C$2:$C$3001,$L667))-1),IFERROR(--LEFT(INDEX(Расчет!$C$2:$C$3001,$L667),1),"")))</f>
        <v/>
      </c>
      <c r="H667">
        <f>IF($L667="","",SUMIFS(Расчет!$G$2:$G$3001,Расчет!$I$2:$I$3001,$K667,Расчет!$H$2:$H$3001,1))</f>
        <v/>
      </c>
      <c r="I667">
        <f>IF($L667="","",SUMIFS(Расчет!$G$2:$G$3001,Расчет!$I$2:$I$3001,$K667,Расчет!$H$2:$H$3001,2))</f>
        <v/>
      </c>
      <c r="J667">
        <f>IF($L667="","",SUMIFS(Расчет!$G$2:$G$3001,Расчет!$I$2:$I$3001,$K667,Расчет!$H$2:$H$3001,3))</f>
        <v/>
      </c>
      <c r="K667">
        <f>IF($L667="","",INDEX(Расчет!$I$2:$I$3001,$L667))</f>
        <v/>
      </c>
      <c r="L667">
        <f>IFERROR(MATCH(ROW()-1,Расчет!$J$2:$J$3001,0),"")</f>
        <v/>
      </c>
    </row>
    <row r="668">
      <c r="A668">
        <f>IF($L668="","",B668&amp;"."&amp;C668&amp;"-"&amp;D668&amp;"-"&amp;H668&amp;"."&amp;I668&amp;"."&amp;J668)</f>
        <v/>
      </c>
      <c r="B668">
        <f>IF($L668="","",INDEX(Расчет!$A$2:$A$3001,$L668))</f>
        <v/>
      </c>
      <c r="C668">
        <f>IF($L668="","",INDEX(Расчет!$B$2:$B$3001,$L668))</f>
        <v/>
      </c>
      <c r="D668">
        <f>IF($L668="","",IF(ISNUMBER(FIND("(",INDEX(Расчет!$C$2:$C$3001,$L668))),SUBSTITUTE(MID(INDEX(Расчет!$C$2:$C$3001,$L668),FIND("(",INDEX(Расчет!$C$2:$C$3001,$L668))+1,99),")",""),INDEX(Расчет!$C$2:$C$3001,$L668)))</f>
        <v/>
      </c>
      <c r="E668">
        <f>IF($L668="","",INDEX(Расчет!$D$2:$D$3001,$L668))</f>
        <v/>
      </c>
      <c r="F668">
        <f>IF($L668="","",INDEX(Расчет!$E$2:$E$3001,$L668))</f>
        <v/>
      </c>
      <c r="G668">
        <f>IF($L668="","",IFERROR(--LEFT(INDEX(Расчет!$C$2:$C$3001,$L668),FIND("(",INDEX(Расчет!$C$2:$C$3001,$L668))-1),IFERROR(--LEFT(INDEX(Расчет!$C$2:$C$3001,$L668),1),"")))</f>
        <v/>
      </c>
      <c r="H668">
        <f>IF($L668="","",SUMIFS(Расчет!$G$2:$G$3001,Расчет!$I$2:$I$3001,$K668,Расчет!$H$2:$H$3001,1))</f>
        <v/>
      </c>
      <c r="I668">
        <f>IF($L668="","",SUMIFS(Расчет!$G$2:$G$3001,Расчет!$I$2:$I$3001,$K668,Расчет!$H$2:$H$3001,2))</f>
        <v/>
      </c>
      <c r="J668">
        <f>IF($L668="","",SUMIFS(Расчет!$G$2:$G$3001,Расчет!$I$2:$I$3001,$K668,Расчет!$H$2:$H$3001,3))</f>
        <v/>
      </c>
      <c r="K668">
        <f>IF($L668="","",INDEX(Расчет!$I$2:$I$3001,$L668))</f>
        <v/>
      </c>
      <c r="L668">
        <f>IFERROR(MATCH(ROW()-1,Расчет!$J$2:$J$3001,0),"")</f>
        <v/>
      </c>
    </row>
    <row r="669">
      <c r="A669">
        <f>IF($L669="","",B669&amp;"."&amp;C669&amp;"-"&amp;D669&amp;"-"&amp;H669&amp;"."&amp;I669&amp;"."&amp;J669)</f>
        <v/>
      </c>
      <c r="B669">
        <f>IF($L669="","",INDEX(Расчет!$A$2:$A$3001,$L669))</f>
        <v/>
      </c>
      <c r="C669">
        <f>IF($L669="","",INDEX(Расчет!$B$2:$B$3001,$L669))</f>
        <v/>
      </c>
      <c r="D669">
        <f>IF($L669="","",IF(ISNUMBER(FIND("(",INDEX(Расчет!$C$2:$C$3001,$L669))),SUBSTITUTE(MID(INDEX(Расчет!$C$2:$C$3001,$L669),FIND("(",INDEX(Расчет!$C$2:$C$3001,$L669))+1,99),")",""),INDEX(Расчет!$C$2:$C$3001,$L669)))</f>
        <v/>
      </c>
      <c r="E669">
        <f>IF($L669="","",INDEX(Расчет!$D$2:$D$3001,$L669))</f>
        <v/>
      </c>
      <c r="F669">
        <f>IF($L669="","",INDEX(Расчет!$E$2:$E$3001,$L669))</f>
        <v/>
      </c>
      <c r="G669">
        <f>IF($L669="","",IFERROR(--LEFT(INDEX(Расчет!$C$2:$C$3001,$L669),FIND("(",INDEX(Расчет!$C$2:$C$3001,$L669))-1),IFERROR(--LEFT(INDEX(Расчет!$C$2:$C$3001,$L669),1),"")))</f>
        <v/>
      </c>
      <c r="H669">
        <f>IF($L669="","",SUMIFS(Расчет!$G$2:$G$3001,Расчет!$I$2:$I$3001,$K669,Расчет!$H$2:$H$3001,1))</f>
        <v/>
      </c>
      <c r="I669">
        <f>IF($L669="","",SUMIFS(Расчет!$G$2:$G$3001,Расчет!$I$2:$I$3001,$K669,Расчет!$H$2:$H$3001,2))</f>
        <v/>
      </c>
      <c r="J669">
        <f>IF($L669="","",SUMIFS(Расчет!$G$2:$G$3001,Расчет!$I$2:$I$3001,$K669,Расчет!$H$2:$H$3001,3))</f>
        <v/>
      </c>
      <c r="K669">
        <f>IF($L669="","",INDEX(Расчет!$I$2:$I$3001,$L669))</f>
        <v/>
      </c>
      <c r="L669">
        <f>IFERROR(MATCH(ROW()-1,Расчет!$J$2:$J$3001,0),"")</f>
        <v/>
      </c>
    </row>
    <row r="670">
      <c r="A670">
        <f>IF($L670="","",B670&amp;"."&amp;C670&amp;"-"&amp;D670&amp;"-"&amp;H670&amp;"."&amp;I670&amp;"."&amp;J670)</f>
        <v/>
      </c>
      <c r="B670">
        <f>IF($L670="","",INDEX(Расчет!$A$2:$A$3001,$L670))</f>
        <v/>
      </c>
      <c r="C670">
        <f>IF($L670="","",INDEX(Расчет!$B$2:$B$3001,$L670))</f>
        <v/>
      </c>
      <c r="D670">
        <f>IF($L670="","",IF(ISNUMBER(FIND("(",INDEX(Расчет!$C$2:$C$3001,$L670))),SUBSTITUTE(MID(INDEX(Расчет!$C$2:$C$3001,$L670),FIND("(",INDEX(Расчет!$C$2:$C$3001,$L670))+1,99),")",""),INDEX(Расчет!$C$2:$C$3001,$L670)))</f>
        <v/>
      </c>
      <c r="E670">
        <f>IF($L670="","",INDEX(Расчет!$D$2:$D$3001,$L670))</f>
        <v/>
      </c>
      <c r="F670">
        <f>IF($L670="","",INDEX(Расчет!$E$2:$E$3001,$L670))</f>
        <v/>
      </c>
      <c r="G670">
        <f>IF($L670="","",IFERROR(--LEFT(INDEX(Расчет!$C$2:$C$3001,$L670),FIND("(",INDEX(Расчет!$C$2:$C$3001,$L670))-1),IFERROR(--LEFT(INDEX(Расчет!$C$2:$C$3001,$L670),1),"")))</f>
        <v/>
      </c>
      <c r="H670">
        <f>IF($L670="","",SUMIFS(Расчет!$G$2:$G$3001,Расчет!$I$2:$I$3001,$K670,Расчет!$H$2:$H$3001,1))</f>
        <v/>
      </c>
      <c r="I670">
        <f>IF($L670="","",SUMIFS(Расчет!$G$2:$G$3001,Расчет!$I$2:$I$3001,$K670,Расчет!$H$2:$H$3001,2))</f>
        <v/>
      </c>
      <c r="J670">
        <f>IF($L670="","",SUMIFS(Расчет!$G$2:$G$3001,Расчет!$I$2:$I$3001,$K670,Расчет!$H$2:$H$3001,3))</f>
        <v/>
      </c>
      <c r="K670">
        <f>IF($L670="","",INDEX(Расчет!$I$2:$I$3001,$L670))</f>
        <v/>
      </c>
      <c r="L670">
        <f>IFERROR(MATCH(ROW()-1,Расчет!$J$2:$J$3001,0),"")</f>
        <v/>
      </c>
    </row>
    <row r="671">
      <c r="A671">
        <f>IF($L671="","",B671&amp;"."&amp;C671&amp;"-"&amp;D671&amp;"-"&amp;H671&amp;"."&amp;I671&amp;"."&amp;J671)</f>
        <v/>
      </c>
      <c r="B671">
        <f>IF($L671="","",INDEX(Расчет!$A$2:$A$3001,$L671))</f>
        <v/>
      </c>
      <c r="C671">
        <f>IF($L671="","",INDEX(Расчет!$B$2:$B$3001,$L671))</f>
        <v/>
      </c>
      <c r="D671">
        <f>IF($L671="","",IF(ISNUMBER(FIND("(",INDEX(Расчет!$C$2:$C$3001,$L671))),SUBSTITUTE(MID(INDEX(Расчет!$C$2:$C$3001,$L671),FIND("(",INDEX(Расчет!$C$2:$C$3001,$L671))+1,99),")",""),INDEX(Расчет!$C$2:$C$3001,$L671)))</f>
        <v/>
      </c>
      <c r="E671">
        <f>IF($L671="","",INDEX(Расчет!$D$2:$D$3001,$L671))</f>
        <v/>
      </c>
      <c r="F671">
        <f>IF($L671="","",INDEX(Расчет!$E$2:$E$3001,$L671))</f>
        <v/>
      </c>
      <c r="G671">
        <f>IF($L671="","",IFERROR(--LEFT(INDEX(Расчет!$C$2:$C$3001,$L671),FIND("(",INDEX(Расчет!$C$2:$C$3001,$L671))-1),IFERROR(--LEFT(INDEX(Расчет!$C$2:$C$3001,$L671),1),"")))</f>
        <v/>
      </c>
      <c r="H671">
        <f>IF($L671="","",SUMIFS(Расчет!$G$2:$G$3001,Расчет!$I$2:$I$3001,$K671,Расчет!$H$2:$H$3001,1))</f>
        <v/>
      </c>
      <c r="I671">
        <f>IF($L671="","",SUMIFS(Расчет!$G$2:$G$3001,Расчет!$I$2:$I$3001,$K671,Расчет!$H$2:$H$3001,2))</f>
        <v/>
      </c>
      <c r="J671">
        <f>IF($L671="","",SUMIFS(Расчет!$G$2:$G$3001,Расчет!$I$2:$I$3001,$K671,Расчет!$H$2:$H$3001,3))</f>
        <v/>
      </c>
      <c r="K671">
        <f>IF($L671="","",INDEX(Расчет!$I$2:$I$3001,$L671))</f>
        <v/>
      </c>
      <c r="L671">
        <f>IFERROR(MATCH(ROW()-1,Расчет!$J$2:$J$3001,0),"")</f>
        <v/>
      </c>
    </row>
    <row r="672">
      <c r="A672">
        <f>IF($L672="","",B672&amp;"."&amp;C672&amp;"-"&amp;D672&amp;"-"&amp;H672&amp;"."&amp;I672&amp;"."&amp;J672)</f>
        <v/>
      </c>
      <c r="B672">
        <f>IF($L672="","",INDEX(Расчет!$A$2:$A$3001,$L672))</f>
        <v/>
      </c>
      <c r="C672">
        <f>IF($L672="","",INDEX(Расчет!$B$2:$B$3001,$L672))</f>
        <v/>
      </c>
      <c r="D672">
        <f>IF($L672="","",IF(ISNUMBER(FIND("(",INDEX(Расчет!$C$2:$C$3001,$L672))),SUBSTITUTE(MID(INDEX(Расчет!$C$2:$C$3001,$L672),FIND("(",INDEX(Расчет!$C$2:$C$3001,$L672))+1,99),")",""),INDEX(Расчет!$C$2:$C$3001,$L672)))</f>
        <v/>
      </c>
      <c r="E672">
        <f>IF($L672="","",INDEX(Расчет!$D$2:$D$3001,$L672))</f>
        <v/>
      </c>
      <c r="F672">
        <f>IF($L672="","",INDEX(Расчет!$E$2:$E$3001,$L672))</f>
        <v/>
      </c>
      <c r="G672">
        <f>IF($L672="","",IFERROR(--LEFT(INDEX(Расчет!$C$2:$C$3001,$L672),FIND("(",INDEX(Расчет!$C$2:$C$3001,$L672))-1),IFERROR(--LEFT(INDEX(Расчет!$C$2:$C$3001,$L672),1),"")))</f>
        <v/>
      </c>
      <c r="H672">
        <f>IF($L672="","",SUMIFS(Расчет!$G$2:$G$3001,Расчет!$I$2:$I$3001,$K672,Расчет!$H$2:$H$3001,1))</f>
        <v/>
      </c>
      <c r="I672">
        <f>IF($L672="","",SUMIFS(Расчет!$G$2:$G$3001,Расчет!$I$2:$I$3001,$K672,Расчет!$H$2:$H$3001,2))</f>
        <v/>
      </c>
      <c r="J672">
        <f>IF($L672="","",SUMIFS(Расчет!$G$2:$G$3001,Расчет!$I$2:$I$3001,$K672,Расчет!$H$2:$H$3001,3))</f>
        <v/>
      </c>
      <c r="K672">
        <f>IF($L672="","",INDEX(Расчет!$I$2:$I$3001,$L672))</f>
        <v/>
      </c>
      <c r="L672">
        <f>IFERROR(MATCH(ROW()-1,Расчет!$J$2:$J$3001,0),"")</f>
        <v/>
      </c>
    </row>
    <row r="673">
      <c r="A673">
        <f>IF($L673="","",B673&amp;"."&amp;C673&amp;"-"&amp;D673&amp;"-"&amp;H673&amp;"."&amp;I673&amp;"."&amp;J673)</f>
        <v/>
      </c>
      <c r="B673">
        <f>IF($L673="","",INDEX(Расчет!$A$2:$A$3001,$L673))</f>
        <v/>
      </c>
      <c r="C673">
        <f>IF($L673="","",INDEX(Расчет!$B$2:$B$3001,$L673))</f>
        <v/>
      </c>
      <c r="D673">
        <f>IF($L673="","",IF(ISNUMBER(FIND("(",INDEX(Расчет!$C$2:$C$3001,$L673))),SUBSTITUTE(MID(INDEX(Расчет!$C$2:$C$3001,$L673),FIND("(",INDEX(Расчет!$C$2:$C$3001,$L673))+1,99),")",""),INDEX(Расчет!$C$2:$C$3001,$L673)))</f>
        <v/>
      </c>
      <c r="E673">
        <f>IF($L673="","",INDEX(Расчет!$D$2:$D$3001,$L673))</f>
        <v/>
      </c>
      <c r="F673">
        <f>IF($L673="","",INDEX(Расчет!$E$2:$E$3001,$L673))</f>
        <v/>
      </c>
      <c r="G673">
        <f>IF($L673="","",IFERROR(--LEFT(INDEX(Расчет!$C$2:$C$3001,$L673),FIND("(",INDEX(Расчет!$C$2:$C$3001,$L673))-1),IFERROR(--LEFT(INDEX(Расчет!$C$2:$C$3001,$L673),1),"")))</f>
        <v/>
      </c>
      <c r="H673">
        <f>IF($L673="","",SUMIFS(Расчет!$G$2:$G$3001,Расчет!$I$2:$I$3001,$K673,Расчет!$H$2:$H$3001,1))</f>
        <v/>
      </c>
      <c r="I673">
        <f>IF($L673="","",SUMIFS(Расчет!$G$2:$G$3001,Расчет!$I$2:$I$3001,$K673,Расчет!$H$2:$H$3001,2))</f>
        <v/>
      </c>
      <c r="J673">
        <f>IF($L673="","",SUMIFS(Расчет!$G$2:$G$3001,Расчет!$I$2:$I$3001,$K673,Расчет!$H$2:$H$3001,3))</f>
        <v/>
      </c>
      <c r="K673">
        <f>IF($L673="","",INDEX(Расчет!$I$2:$I$3001,$L673))</f>
        <v/>
      </c>
      <c r="L673">
        <f>IFERROR(MATCH(ROW()-1,Расчет!$J$2:$J$3001,0),"")</f>
        <v/>
      </c>
    </row>
    <row r="674">
      <c r="A674">
        <f>IF($L674="","",B674&amp;"."&amp;C674&amp;"-"&amp;D674&amp;"-"&amp;H674&amp;"."&amp;I674&amp;"."&amp;J674)</f>
        <v/>
      </c>
      <c r="B674">
        <f>IF($L674="","",INDEX(Расчет!$A$2:$A$3001,$L674))</f>
        <v/>
      </c>
      <c r="C674">
        <f>IF($L674="","",INDEX(Расчет!$B$2:$B$3001,$L674))</f>
        <v/>
      </c>
      <c r="D674">
        <f>IF($L674="","",IF(ISNUMBER(FIND("(",INDEX(Расчет!$C$2:$C$3001,$L674))),SUBSTITUTE(MID(INDEX(Расчет!$C$2:$C$3001,$L674),FIND("(",INDEX(Расчет!$C$2:$C$3001,$L674))+1,99),")",""),INDEX(Расчет!$C$2:$C$3001,$L674)))</f>
        <v/>
      </c>
      <c r="E674">
        <f>IF($L674="","",INDEX(Расчет!$D$2:$D$3001,$L674))</f>
        <v/>
      </c>
      <c r="F674">
        <f>IF($L674="","",INDEX(Расчет!$E$2:$E$3001,$L674))</f>
        <v/>
      </c>
      <c r="G674">
        <f>IF($L674="","",IFERROR(--LEFT(INDEX(Расчет!$C$2:$C$3001,$L674),FIND("(",INDEX(Расчет!$C$2:$C$3001,$L674))-1),IFERROR(--LEFT(INDEX(Расчет!$C$2:$C$3001,$L674),1),"")))</f>
        <v/>
      </c>
      <c r="H674">
        <f>IF($L674="","",SUMIFS(Расчет!$G$2:$G$3001,Расчет!$I$2:$I$3001,$K674,Расчет!$H$2:$H$3001,1))</f>
        <v/>
      </c>
      <c r="I674">
        <f>IF($L674="","",SUMIFS(Расчет!$G$2:$G$3001,Расчет!$I$2:$I$3001,$K674,Расчет!$H$2:$H$3001,2))</f>
        <v/>
      </c>
      <c r="J674">
        <f>IF($L674="","",SUMIFS(Расчет!$G$2:$G$3001,Расчет!$I$2:$I$3001,$K674,Расчет!$H$2:$H$3001,3))</f>
        <v/>
      </c>
      <c r="K674">
        <f>IF($L674="","",INDEX(Расчет!$I$2:$I$3001,$L674))</f>
        <v/>
      </c>
      <c r="L674">
        <f>IFERROR(MATCH(ROW()-1,Расчет!$J$2:$J$3001,0),"")</f>
        <v/>
      </c>
    </row>
    <row r="675">
      <c r="A675">
        <f>IF($L675="","",B675&amp;"."&amp;C675&amp;"-"&amp;D675&amp;"-"&amp;H675&amp;"."&amp;I675&amp;"."&amp;J675)</f>
        <v/>
      </c>
      <c r="B675">
        <f>IF($L675="","",INDEX(Расчет!$A$2:$A$3001,$L675))</f>
        <v/>
      </c>
      <c r="C675">
        <f>IF($L675="","",INDEX(Расчет!$B$2:$B$3001,$L675))</f>
        <v/>
      </c>
      <c r="D675">
        <f>IF($L675="","",IF(ISNUMBER(FIND("(",INDEX(Расчет!$C$2:$C$3001,$L675))),SUBSTITUTE(MID(INDEX(Расчет!$C$2:$C$3001,$L675),FIND("(",INDEX(Расчет!$C$2:$C$3001,$L675))+1,99),")",""),INDEX(Расчет!$C$2:$C$3001,$L675)))</f>
        <v/>
      </c>
      <c r="E675">
        <f>IF($L675="","",INDEX(Расчет!$D$2:$D$3001,$L675))</f>
        <v/>
      </c>
      <c r="F675">
        <f>IF($L675="","",INDEX(Расчет!$E$2:$E$3001,$L675))</f>
        <v/>
      </c>
      <c r="G675">
        <f>IF($L675="","",IFERROR(--LEFT(INDEX(Расчет!$C$2:$C$3001,$L675),FIND("(",INDEX(Расчет!$C$2:$C$3001,$L675))-1),IFERROR(--LEFT(INDEX(Расчет!$C$2:$C$3001,$L675),1),"")))</f>
        <v/>
      </c>
      <c r="H675">
        <f>IF($L675="","",SUMIFS(Расчет!$G$2:$G$3001,Расчет!$I$2:$I$3001,$K675,Расчет!$H$2:$H$3001,1))</f>
        <v/>
      </c>
      <c r="I675">
        <f>IF($L675="","",SUMIFS(Расчет!$G$2:$G$3001,Расчет!$I$2:$I$3001,$K675,Расчет!$H$2:$H$3001,2))</f>
        <v/>
      </c>
      <c r="J675">
        <f>IF($L675="","",SUMIFS(Расчет!$G$2:$G$3001,Расчет!$I$2:$I$3001,$K675,Расчет!$H$2:$H$3001,3))</f>
        <v/>
      </c>
      <c r="K675">
        <f>IF($L675="","",INDEX(Расчет!$I$2:$I$3001,$L675))</f>
        <v/>
      </c>
      <c r="L675">
        <f>IFERROR(MATCH(ROW()-1,Расчет!$J$2:$J$3001,0),"")</f>
        <v/>
      </c>
    </row>
    <row r="676">
      <c r="A676">
        <f>IF($L676="","",B676&amp;"."&amp;C676&amp;"-"&amp;D676&amp;"-"&amp;H676&amp;"."&amp;I676&amp;"."&amp;J676)</f>
        <v/>
      </c>
      <c r="B676">
        <f>IF($L676="","",INDEX(Расчет!$A$2:$A$3001,$L676))</f>
        <v/>
      </c>
      <c r="C676">
        <f>IF($L676="","",INDEX(Расчет!$B$2:$B$3001,$L676))</f>
        <v/>
      </c>
      <c r="D676">
        <f>IF($L676="","",IF(ISNUMBER(FIND("(",INDEX(Расчет!$C$2:$C$3001,$L676))),SUBSTITUTE(MID(INDEX(Расчет!$C$2:$C$3001,$L676),FIND("(",INDEX(Расчет!$C$2:$C$3001,$L676))+1,99),")",""),INDEX(Расчет!$C$2:$C$3001,$L676)))</f>
        <v/>
      </c>
      <c r="E676">
        <f>IF($L676="","",INDEX(Расчет!$D$2:$D$3001,$L676))</f>
        <v/>
      </c>
      <c r="F676">
        <f>IF($L676="","",INDEX(Расчет!$E$2:$E$3001,$L676))</f>
        <v/>
      </c>
      <c r="G676">
        <f>IF($L676="","",IFERROR(--LEFT(INDEX(Расчет!$C$2:$C$3001,$L676),FIND("(",INDEX(Расчет!$C$2:$C$3001,$L676))-1),IFERROR(--LEFT(INDEX(Расчет!$C$2:$C$3001,$L676),1),"")))</f>
        <v/>
      </c>
      <c r="H676">
        <f>IF($L676="","",SUMIFS(Расчет!$G$2:$G$3001,Расчет!$I$2:$I$3001,$K676,Расчет!$H$2:$H$3001,1))</f>
        <v/>
      </c>
      <c r="I676">
        <f>IF($L676="","",SUMIFS(Расчет!$G$2:$G$3001,Расчет!$I$2:$I$3001,$K676,Расчет!$H$2:$H$3001,2))</f>
        <v/>
      </c>
      <c r="J676">
        <f>IF($L676="","",SUMIFS(Расчет!$G$2:$G$3001,Расчет!$I$2:$I$3001,$K676,Расчет!$H$2:$H$3001,3))</f>
        <v/>
      </c>
      <c r="K676">
        <f>IF($L676="","",INDEX(Расчет!$I$2:$I$3001,$L676))</f>
        <v/>
      </c>
      <c r="L676">
        <f>IFERROR(MATCH(ROW()-1,Расчет!$J$2:$J$3001,0),"")</f>
        <v/>
      </c>
    </row>
    <row r="677">
      <c r="A677">
        <f>IF($L677="","",B677&amp;"."&amp;C677&amp;"-"&amp;D677&amp;"-"&amp;H677&amp;"."&amp;I677&amp;"."&amp;J677)</f>
        <v/>
      </c>
      <c r="B677">
        <f>IF($L677="","",INDEX(Расчет!$A$2:$A$3001,$L677))</f>
        <v/>
      </c>
      <c r="C677">
        <f>IF($L677="","",INDEX(Расчет!$B$2:$B$3001,$L677))</f>
        <v/>
      </c>
      <c r="D677">
        <f>IF($L677="","",IF(ISNUMBER(FIND("(",INDEX(Расчет!$C$2:$C$3001,$L677))),SUBSTITUTE(MID(INDEX(Расчет!$C$2:$C$3001,$L677),FIND("(",INDEX(Расчет!$C$2:$C$3001,$L677))+1,99),")",""),INDEX(Расчет!$C$2:$C$3001,$L677)))</f>
        <v/>
      </c>
      <c r="E677">
        <f>IF($L677="","",INDEX(Расчет!$D$2:$D$3001,$L677))</f>
        <v/>
      </c>
      <c r="F677">
        <f>IF($L677="","",INDEX(Расчет!$E$2:$E$3001,$L677))</f>
        <v/>
      </c>
      <c r="G677">
        <f>IF($L677="","",IFERROR(--LEFT(INDEX(Расчет!$C$2:$C$3001,$L677),FIND("(",INDEX(Расчет!$C$2:$C$3001,$L677))-1),IFERROR(--LEFT(INDEX(Расчет!$C$2:$C$3001,$L677),1),"")))</f>
        <v/>
      </c>
      <c r="H677">
        <f>IF($L677="","",SUMIFS(Расчет!$G$2:$G$3001,Расчет!$I$2:$I$3001,$K677,Расчет!$H$2:$H$3001,1))</f>
        <v/>
      </c>
      <c r="I677">
        <f>IF($L677="","",SUMIFS(Расчет!$G$2:$G$3001,Расчет!$I$2:$I$3001,$K677,Расчет!$H$2:$H$3001,2))</f>
        <v/>
      </c>
      <c r="J677">
        <f>IF($L677="","",SUMIFS(Расчет!$G$2:$G$3001,Расчет!$I$2:$I$3001,$K677,Расчет!$H$2:$H$3001,3))</f>
        <v/>
      </c>
      <c r="K677">
        <f>IF($L677="","",INDEX(Расчет!$I$2:$I$3001,$L677))</f>
        <v/>
      </c>
      <c r="L677">
        <f>IFERROR(MATCH(ROW()-1,Расчет!$J$2:$J$3001,0),"")</f>
        <v/>
      </c>
    </row>
    <row r="678">
      <c r="A678">
        <f>IF($L678="","",B678&amp;"."&amp;C678&amp;"-"&amp;D678&amp;"-"&amp;H678&amp;"."&amp;I678&amp;"."&amp;J678)</f>
        <v/>
      </c>
      <c r="B678">
        <f>IF($L678="","",INDEX(Расчет!$A$2:$A$3001,$L678))</f>
        <v/>
      </c>
      <c r="C678">
        <f>IF($L678="","",INDEX(Расчет!$B$2:$B$3001,$L678))</f>
        <v/>
      </c>
      <c r="D678">
        <f>IF($L678="","",IF(ISNUMBER(FIND("(",INDEX(Расчет!$C$2:$C$3001,$L678))),SUBSTITUTE(MID(INDEX(Расчет!$C$2:$C$3001,$L678),FIND("(",INDEX(Расчет!$C$2:$C$3001,$L678))+1,99),")",""),INDEX(Расчет!$C$2:$C$3001,$L678)))</f>
        <v/>
      </c>
      <c r="E678">
        <f>IF($L678="","",INDEX(Расчет!$D$2:$D$3001,$L678))</f>
        <v/>
      </c>
      <c r="F678">
        <f>IF($L678="","",INDEX(Расчет!$E$2:$E$3001,$L678))</f>
        <v/>
      </c>
      <c r="G678">
        <f>IF($L678="","",IFERROR(--LEFT(INDEX(Расчет!$C$2:$C$3001,$L678),FIND("(",INDEX(Расчет!$C$2:$C$3001,$L678))-1),IFERROR(--LEFT(INDEX(Расчет!$C$2:$C$3001,$L678),1),"")))</f>
        <v/>
      </c>
      <c r="H678">
        <f>IF($L678="","",SUMIFS(Расчет!$G$2:$G$3001,Расчет!$I$2:$I$3001,$K678,Расчет!$H$2:$H$3001,1))</f>
        <v/>
      </c>
      <c r="I678">
        <f>IF($L678="","",SUMIFS(Расчет!$G$2:$G$3001,Расчет!$I$2:$I$3001,$K678,Расчет!$H$2:$H$3001,2))</f>
        <v/>
      </c>
      <c r="J678">
        <f>IF($L678="","",SUMIFS(Расчет!$G$2:$G$3001,Расчет!$I$2:$I$3001,$K678,Расчет!$H$2:$H$3001,3))</f>
        <v/>
      </c>
      <c r="K678">
        <f>IF($L678="","",INDEX(Расчет!$I$2:$I$3001,$L678))</f>
        <v/>
      </c>
      <c r="L678">
        <f>IFERROR(MATCH(ROW()-1,Расчет!$J$2:$J$3001,0),"")</f>
        <v/>
      </c>
    </row>
    <row r="679">
      <c r="A679">
        <f>IF($L679="","",B679&amp;"."&amp;C679&amp;"-"&amp;D679&amp;"-"&amp;H679&amp;"."&amp;I679&amp;"."&amp;J679)</f>
        <v/>
      </c>
      <c r="B679">
        <f>IF($L679="","",INDEX(Расчет!$A$2:$A$3001,$L679))</f>
        <v/>
      </c>
      <c r="C679">
        <f>IF($L679="","",INDEX(Расчет!$B$2:$B$3001,$L679))</f>
        <v/>
      </c>
      <c r="D679">
        <f>IF($L679="","",IF(ISNUMBER(FIND("(",INDEX(Расчет!$C$2:$C$3001,$L679))),SUBSTITUTE(MID(INDEX(Расчет!$C$2:$C$3001,$L679),FIND("(",INDEX(Расчет!$C$2:$C$3001,$L679))+1,99),")",""),INDEX(Расчет!$C$2:$C$3001,$L679)))</f>
        <v/>
      </c>
      <c r="E679">
        <f>IF($L679="","",INDEX(Расчет!$D$2:$D$3001,$L679))</f>
        <v/>
      </c>
      <c r="F679">
        <f>IF($L679="","",INDEX(Расчет!$E$2:$E$3001,$L679))</f>
        <v/>
      </c>
      <c r="G679">
        <f>IF($L679="","",IFERROR(--LEFT(INDEX(Расчет!$C$2:$C$3001,$L679),FIND("(",INDEX(Расчет!$C$2:$C$3001,$L679))-1),IFERROR(--LEFT(INDEX(Расчет!$C$2:$C$3001,$L679),1),"")))</f>
        <v/>
      </c>
      <c r="H679">
        <f>IF($L679="","",SUMIFS(Расчет!$G$2:$G$3001,Расчет!$I$2:$I$3001,$K679,Расчет!$H$2:$H$3001,1))</f>
        <v/>
      </c>
      <c r="I679">
        <f>IF($L679="","",SUMIFS(Расчет!$G$2:$G$3001,Расчет!$I$2:$I$3001,$K679,Расчет!$H$2:$H$3001,2))</f>
        <v/>
      </c>
      <c r="J679">
        <f>IF($L679="","",SUMIFS(Расчет!$G$2:$G$3001,Расчет!$I$2:$I$3001,$K679,Расчет!$H$2:$H$3001,3))</f>
        <v/>
      </c>
      <c r="K679">
        <f>IF($L679="","",INDEX(Расчет!$I$2:$I$3001,$L679))</f>
        <v/>
      </c>
      <c r="L679">
        <f>IFERROR(MATCH(ROW()-1,Расчет!$J$2:$J$3001,0),"")</f>
        <v/>
      </c>
    </row>
    <row r="680">
      <c r="A680">
        <f>IF($L680="","",B680&amp;"."&amp;C680&amp;"-"&amp;D680&amp;"-"&amp;H680&amp;"."&amp;I680&amp;"."&amp;J680)</f>
        <v/>
      </c>
      <c r="B680">
        <f>IF($L680="","",INDEX(Расчет!$A$2:$A$3001,$L680))</f>
        <v/>
      </c>
      <c r="C680">
        <f>IF($L680="","",INDEX(Расчет!$B$2:$B$3001,$L680))</f>
        <v/>
      </c>
      <c r="D680">
        <f>IF($L680="","",IF(ISNUMBER(FIND("(",INDEX(Расчет!$C$2:$C$3001,$L680))),SUBSTITUTE(MID(INDEX(Расчет!$C$2:$C$3001,$L680),FIND("(",INDEX(Расчет!$C$2:$C$3001,$L680))+1,99),")",""),INDEX(Расчет!$C$2:$C$3001,$L680)))</f>
        <v/>
      </c>
      <c r="E680">
        <f>IF($L680="","",INDEX(Расчет!$D$2:$D$3001,$L680))</f>
        <v/>
      </c>
      <c r="F680">
        <f>IF($L680="","",INDEX(Расчет!$E$2:$E$3001,$L680))</f>
        <v/>
      </c>
      <c r="G680">
        <f>IF($L680="","",IFERROR(--LEFT(INDEX(Расчет!$C$2:$C$3001,$L680),FIND("(",INDEX(Расчет!$C$2:$C$3001,$L680))-1),IFERROR(--LEFT(INDEX(Расчет!$C$2:$C$3001,$L680),1),"")))</f>
        <v/>
      </c>
      <c r="H680">
        <f>IF($L680="","",SUMIFS(Расчет!$G$2:$G$3001,Расчет!$I$2:$I$3001,$K680,Расчет!$H$2:$H$3001,1))</f>
        <v/>
      </c>
      <c r="I680">
        <f>IF($L680="","",SUMIFS(Расчет!$G$2:$G$3001,Расчет!$I$2:$I$3001,$K680,Расчет!$H$2:$H$3001,2))</f>
        <v/>
      </c>
      <c r="J680">
        <f>IF($L680="","",SUMIFS(Расчет!$G$2:$G$3001,Расчет!$I$2:$I$3001,$K680,Расчет!$H$2:$H$3001,3))</f>
        <v/>
      </c>
      <c r="K680">
        <f>IF($L680="","",INDEX(Расчет!$I$2:$I$3001,$L680))</f>
        <v/>
      </c>
      <c r="L680">
        <f>IFERROR(MATCH(ROW()-1,Расчет!$J$2:$J$3001,0),"")</f>
        <v/>
      </c>
    </row>
    <row r="681">
      <c r="A681">
        <f>IF($L681="","",B681&amp;"."&amp;C681&amp;"-"&amp;D681&amp;"-"&amp;H681&amp;"."&amp;I681&amp;"."&amp;J681)</f>
        <v/>
      </c>
      <c r="B681">
        <f>IF($L681="","",INDEX(Расчет!$A$2:$A$3001,$L681))</f>
        <v/>
      </c>
      <c r="C681">
        <f>IF($L681="","",INDEX(Расчет!$B$2:$B$3001,$L681))</f>
        <v/>
      </c>
      <c r="D681">
        <f>IF($L681="","",IF(ISNUMBER(FIND("(",INDEX(Расчет!$C$2:$C$3001,$L681))),SUBSTITUTE(MID(INDEX(Расчет!$C$2:$C$3001,$L681),FIND("(",INDEX(Расчет!$C$2:$C$3001,$L681))+1,99),")",""),INDEX(Расчет!$C$2:$C$3001,$L681)))</f>
        <v/>
      </c>
      <c r="E681">
        <f>IF($L681="","",INDEX(Расчет!$D$2:$D$3001,$L681))</f>
        <v/>
      </c>
      <c r="F681">
        <f>IF($L681="","",INDEX(Расчет!$E$2:$E$3001,$L681))</f>
        <v/>
      </c>
      <c r="G681">
        <f>IF($L681="","",IFERROR(--LEFT(INDEX(Расчет!$C$2:$C$3001,$L681),FIND("(",INDEX(Расчет!$C$2:$C$3001,$L681))-1),IFERROR(--LEFT(INDEX(Расчет!$C$2:$C$3001,$L681),1),"")))</f>
        <v/>
      </c>
      <c r="H681">
        <f>IF($L681="","",SUMIFS(Расчет!$G$2:$G$3001,Расчет!$I$2:$I$3001,$K681,Расчет!$H$2:$H$3001,1))</f>
        <v/>
      </c>
      <c r="I681">
        <f>IF($L681="","",SUMIFS(Расчет!$G$2:$G$3001,Расчет!$I$2:$I$3001,$K681,Расчет!$H$2:$H$3001,2))</f>
        <v/>
      </c>
      <c r="J681">
        <f>IF($L681="","",SUMIFS(Расчет!$G$2:$G$3001,Расчет!$I$2:$I$3001,$K681,Расчет!$H$2:$H$3001,3))</f>
        <v/>
      </c>
      <c r="K681">
        <f>IF($L681="","",INDEX(Расчет!$I$2:$I$3001,$L681))</f>
        <v/>
      </c>
      <c r="L681">
        <f>IFERROR(MATCH(ROW()-1,Расчет!$J$2:$J$3001,0),"")</f>
        <v/>
      </c>
    </row>
    <row r="682">
      <c r="A682">
        <f>IF($L682="","",B682&amp;"."&amp;C682&amp;"-"&amp;D682&amp;"-"&amp;H682&amp;"."&amp;I682&amp;"."&amp;J682)</f>
        <v/>
      </c>
      <c r="B682">
        <f>IF($L682="","",INDEX(Расчет!$A$2:$A$3001,$L682))</f>
        <v/>
      </c>
      <c r="C682">
        <f>IF($L682="","",INDEX(Расчет!$B$2:$B$3001,$L682))</f>
        <v/>
      </c>
      <c r="D682">
        <f>IF($L682="","",IF(ISNUMBER(FIND("(",INDEX(Расчет!$C$2:$C$3001,$L682))),SUBSTITUTE(MID(INDEX(Расчет!$C$2:$C$3001,$L682),FIND("(",INDEX(Расчет!$C$2:$C$3001,$L682))+1,99),")",""),INDEX(Расчет!$C$2:$C$3001,$L682)))</f>
        <v/>
      </c>
      <c r="E682">
        <f>IF($L682="","",INDEX(Расчет!$D$2:$D$3001,$L682))</f>
        <v/>
      </c>
      <c r="F682">
        <f>IF($L682="","",INDEX(Расчет!$E$2:$E$3001,$L682))</f>
        <v/>
      </c>
      <c r="G682">
        <f>IF($L682="","",IFERROR(--LEFT(INDEX(Расчет!$C$2:$C$3001,$L682),FIND("(",INDEX(Расчет!$C$2:$C$3001,$L682))-1),IFERROR(--LEFT(INDEX(Расчет!$C$2:$C$3001,$L682),1),"")))</f>
        <v/>
      </c>
      <c r="H682">
        <f>IF($L682="","",SUMIFS(Расчет!$G$2:$G$3001,Расчет!$I$2:$I$3001,$K682,Расчет!$H$2:$H$3001,1))</f>
        <v/>
      </c>
      <c r="I682">
        <f>IF($L682="","",SUMIFS(Расчет!$G$2:$G$3001,Расчет!$I$2:$I$3001,$K682,Расчет!$H$2:$H$3001,2))</f>
        <v/>
      </c>
      <c r="J682">
        <f>IF($L682="","",SUMIFS(Расчет!$G$2:$G$3001,Расчет!$I$2:$I$3001,$K682,Расчет!$H$2:$H$3001,3))</f>
        <v/>
      </c>
      <c r="K682">
        <f>IF($L682="","",INDEX(Расчет!$I$2:$I$3001,$L682))</f>
        <v/>
      </c>
      <c r="L682">
        <f>IFERROR(MATCH(ROW()-1,Расчет!$J$2:$J$3001,0),"")</f>
        <v/>
      </c>
    </row>
    <row r="683">
      <c r="A683">
        <f>IF($L683="","",B683&amp;"."&amp;C683&amp;"-"&amp;D683&amp;"-"&amp;H683&amp;"."&amp;I683&amp;"."&amp;J683)</f>
        <v/>
      </c>
      <c r="B683">
        <f>IF($L683="","",INDEX(Расчет!$A$2:$A$3001,$L683))</f>
        <v/>
      </c>
      <c r="C683">
        <f>IF($L683="","",INDEX(Расчет!$B$2:$B$3001,$L683))</f>
        <v/>
      </c>
      <c r="D683">
        <f>IF($L683="","",IF(ISNUMBER(FIND("(",INDEX(Расчет!$C$2:$C$3001,$L683))),SUBSTITUTE(MID(INDEX(Расчет!$C$2:$C$3001,$L683),FIND("(",INDEX(Расчет!$C$2:$C$3001,$L683))+1,99),")",""),INDEX(Расчет!$C$2:$C$3001,$L683)))</f>
        <v/>
      </c>
      <c r="E683">
        <f>IF($L683="","",INDEX(Расчет!$D$2:$D$3001,$L683))</f>
        <v/>
      </c>
      <c r="F683">
        <f>IF($L683="","",INDEX(Расчет!$E$2:$E$3001,$L683))</f>
        <v/>
      </c>
      <c r="G683">
        <f>IF($L683="","",IFERROR(--LEFT(INDEX(Расчет!$C$2:$C$3001,$L683),FIND("(",INDEX(Расчет!$C$2:$C$3001,$L683))-1),IFERROR(--LEFT(INDEX(Расчет!$C$2:$C$3001,$L683),1),"")))</f>
        <v/>
      </c>
      <c r="H683">
        <f>IF($L683="","",SUMIFS(Расчет!$G$2:$G$3001,Расчет!$I$2:$I$3001,$K683,Расчет!$H$2:$H$3001,1))</f>
        <v/>
      </c>
      <c r="I683">
        <f>IF($L683="","",SUMIFS(Расчет!$G$2:$G$3001,Расчет!$I$2:$I$3001,$K683,Расчет!$H$2:$H$3001,2))</f>
        <v/>
      </c>
      <c r="J683">
        <f>IF($L683="","",SUMIFS(Расчет!$G$2:$G$3001,Расчет!$I$2:$I$3001,$K683,Расчет!$H$2:$H$3001,3))</f>
        <v/>
      </c>
      <c r="K683">
        <f>IF($L683="","",INDEX(Расчет!$I$2:$I$3001,$L683))</f>
        <v/>
      </c>
      <c r="L683">
        <f>IFERROR(MATCH(ROW()-1,Расчет!$J$2:$J$3001,0),"")</f>
        <v/>
      </c>
    </row>
    <row r="684">
      <c r="A684">
        <f>IF($L684="","",B684&amp;"."&amp;C684&amp;"-"&amp;D684&amp;"-"&amp;H684&amp;"."&amp;I684&amp;"."&amp;J684)</f>
        <v/>
      </c>
      <c r="B684">
        <f>IF($L684="","",INDEX(Расчет!$A$2:$A$3001,$L684))</f>
        <v/>
      </c>
      <c r="C684">
        <f>IF($L684="","",INDEX(Расчет!$B$2:$B$3001,$L684))</f>
        <v/>
      </c>
      <c r="D684">
        <f>IF($L684="","",IF(ISNUMBER(FIND("(",INDEX(Расчет!$C$2:$C$3001,$L684))),SUBSTITUTE(MID(INDEX(Расчет!$C$2:$C$3001,$L684),FIND("(",INDEX(Расчет!$C$2:$C$3001,$L684))+1,99),")",""),INDEX(Расчет!$C$2:$C$3001,$L684)))</f>
        <v/>
      </c>
      <c r="E684">
        <f>IF($L684="","",INDEX(Расчет!$D$2:$D$3001,$L684))</f>
        <v/>
      </c>
      <c r="F684">
        <f>IF($L684="","",INDEX(Расчет!$E$2:$E$3001,$L684))</f>
        <v/>
      </c>
      <c r="G684">
        <f>IF($L684="","",IFERROR(--LEFT(INDEX(Расчет!$C$2:$C$3001,$L684),FIND("(",INDEX(Расчет!$C$2:$C$3001,$L684))-1),IFERROR(--LEFT(INDEX(Расчет!$C$2:$C$3001,$L684),1),"")))</f>
        <v/>
      </c>
      <c r="H684">
        <f>IF($L684="","",SUMIFS(Расчет!$G$2:$G$3001,Расчет!$I$2:$I$3001,$K684,Расчет!$H$2:$H$3001,1))</f>
        <v/>
      </c>
      <c r="I684">
        <f>IF($L684="","",SUMIFS(Расчет!$G$2:$G$3001,Расчет!$I$2:$I$3001,$K684,Расчет!$H$2:$H$3001,2))</f>
        <v/>
      </c>
      <c r="J684">
        <f>IF($L684="","",SUMIFS(Расчет!$G$2:$G$3001,Расчет!$I$2:$I$3001,$K684,Расчет!$H$2:$H$3001,3))</f>
        <v/>
      </c>
      <c r="K684">
        <f>IF($L684="","",INDEX(Расчет!$I$2:$I$3001,$L684))</f>
        <v/>
      </c>
      <c r="L684">
        <f>IFERROR(MATCH(ROW()-1,Расчет!$J$2:$J$3001,0),"")</f>
        <v/>
      </c>
    </row>
    <row r="685">
      <c r="A685">
        <f>IF($L685="","",B685&amp;"."&amp;C685&amp;"-"&amp;D685&amp;"-"&amp;H685&amp;"."&amp;I685&amp;"."&amp;J685)</f>
        <v/>
      </c>
      <c r="B685">
        <f>IF($L685="","",INDEX(Расчет!$A$2:$A$3001,$L685))</f>
        <v/>
      </c>
      <c r="C685">
        <f>IF($L685="","",INDEX(Расчет!$B$2:$B$3001,$L685))</f>
        <v/>
      </c>
      <c r="D685">
        <f>IF($L685="","",IF(ISNUMBER(FIND("(",INDEX(Расчет!$C$2:$C$3001,$L685))),SUBSTITUTE(MID(INDEX(Расчет!$C$2:$C$3001,$L685),FIND("(",INDEX(Расчет!$C$2:$C$3001,$L685))+1,99),")",""),INDEX(Расчет!$C$2:$C$3001,$L685)))</f>
        <v/>
      </c>
      <c r="E685">
        <f>IF($L685="","",INDEX(Расчет!$D$2:$D$3001,$L685))</f>
        <v/>
      </c>
      <c r="F685">
        <f>IF($L685="","",INDEX(Расчет!$E$2:$E$3001,$L685))</f>
        <v/>
      </c>
      <c r="G685">
        <f>IF($L685="","",IFERROR(--LEFT(INDEX(Расчет!$C$2:$C$3001,$L685),FIND("(",INDEX(Расчет!$C$2:$C$3001,$L685))-1),IFERROR(--LEFT(INDEX(Расчет!$C$2:$C$3001,$L685),1),"")))</f>
        <v/>
      </c>
      <c r="H685">
        <f>IF($L685="","",SUMIFS(Расчет!$G$2:$G$3001,Расчет!$I$2:$I$3001,$K685,Расчет!$H$2:$H$3001,1))</f>
        <v/>
      </c>
      <c r="I685">
        <f>IF($L685="","",SUMIFS(Расчет!$G$2:$G$3001,Расчет!$I$2:$I$3001,$K685,Расчет!$H$2:$H$3001,2))</f>
        <v/>
      </c>
      <c r="J685">
        <f>IF($L685="","",SUMIFS(Расчет!$G$2:$G$3001,Расчет!$I$2:$I$3001,$K685,Расчет!$H$2:$H$3001,3))</f>
        <v/>
      </c>
      <c r="K685">
        <f>IF($L685="","",INDEX(Расчет!$I$2:$I$3001,$L685))</f>
        <v/>
      </c>
      <c r="L685">
        <f>IFERROR(MATCH(ROW()-1,Расчет!$J$2:$J$3001,0),"")</f>
        <v/>
      </c>
    </row>
    <row r="686">
      <c r="A686">
        <f>IF($L686="","",B686&amp;"."&amp;C686&amp;"-"&amp;D686&amp;"-"&amp;H686&amp;"."&amp;I686&amp;"."&amp;J686)</f>
        <v/>
      </c>
      <c r="B686">
        <f>IF($L686="","",INDEX(Расчет!$A$2:$A$3001,$L686))</f>
        <v/>
      </c>
      <c r="C686">
        <f>IF($L686="","",INDEX(Расчет!$B$2:$B$3001,$L686))</f>
        <v/>
      </c>
      <c r="D686">
        <f>IF($L686="","",IF(ISNUMBER(FIND("(",INDEX(Расчет!$C$2:$C$3001,$L686))),SUBSTITUTE(MID(INDEX(Расчет!$C$2:$C$3001,$L686),FIND("(",INDEX(Расчет!$C$2:$C$3001,$L686))+1,99),")",""),INDEX(Расчет!$C$2:$C$3001,$L686)))</f>
        <v/>
      </c>
      <c r="E686">
        <f>IF($L686="","",INDEX(Расчет!$D$2:$D$3001,$L686))</f>
        <v/>
      </c>
      <c r="F686">
        <f>IF($L686="","",INDEX(Расчет!$E$2:$E$3001,$L686))</f>
        <v/>
      </c>
      <c r="G686">
        <f>IF($L686="","",IFERROR(--LEFT(INDEX(Расчет!$C$2:$C$3001,$L686),FIND("(",INDEX(Расчет!$C$2:$C$3001,$L686))-1),IFERROR(--LEFT(INDEX(Расчет!$C$2:$C$3001,$L686),1),"")))</f>
        <v/>
      </c>
      <c r="H686">
        <f>IF($L686="","",SUMIFS(Расчет!$G$2:$G$3001,Расчет!$I$2:$I$3001,$K686,Расчет!$H$2:$H$3001,1))</f>
        <v/>
      </c>
      <c r="I686">
        <f>IF($L686="","",SUMIFS(Расчет!$G$2:$G$3001,Расчет!$I$2:$I$3001,$K686,Расчет!$H$2:$H$3001,2))</f>
        <v/>
      </c>
      <c r="J686">
        <f>IF($L686="","",SUMIFS(Расчет!$G$2:$G$3001,Расчет!$I$2:$I$3001,$K686,Расчет!$H$2:$H$3001,3))</f>
        <v/>
      </c>
      <c r="K686">
        <f>IF($L686="","",INDEX(Расчет!$I$2:$I$3001,$L686))</f>
        <v/>
      </c>
      <c r="L686">
        <f>IFERROR(MATCH(ROW()-1,Расчет!$J$2:$J$3001,0),"")</f>
        <v/>
      </c>
    </row>
    <row r="687">
      <c r="A687">
        <f>IF($L687="","",B687&amp;"."&amp;C687&amp;"-"&amp;D687&amp;"-"&amp;H687&amp;"."&amp;I687&amp;"."&amp;J687)</f>
        <v/>
      </c>
      <c r="B687">
        <f>IF($L687="","",INDEX(Расчет!$A$2:$A$3001,$L687))</f>
        <v/>
      </c>
      <c r="C687">
        <f>IF($L687="","",INDEX(Расчет!$B$2:$B$3001,$L687))</f>
        <v/>
      </c>
      <c r="D687">
        <f>IF($L687="","",IF(ISNUMBER(FIND("(",INDEX(Расчет!$C$2:$C$3001,$L687))),SUBSTITUTE(MID(INDEX(Расчет!$C$2:$C$3001,$L687),FIND("(",INDEX(Расчет!$C$2:$C$3001,$L687))+1,99),")",""),INDEX(Расчет!$C$2:$C$3001,$L687)))</f>
        <v/>
      </c>
      <c r="E687">
        <f>IF($L687="","",INDEX(Расчет!$D$2:$D$3001,$L687))</f>
        <v/>
      </c>
      <c r="F687">
        <f>IF($L687="","",INDEX(Расчет!$E$2:$E$3001,$L687))</f>
        <v/>
      </c>
      <c r="G687">
        <f>IF($L687="","",IFERROR(--LEFT(INDEX(Расчет!$C$2:$C$3001,$L687),FIND("(",INDEX(Расчет!$C$2:$C$3001,$L687))-1),IFERROR(--LEFT(INDEX(Расчет!$C$2:$C$3001,$L687),1),"")))</f>
        <v/>
      </c>
      <c r="H687">
        <f>IF($L687="","",SUMIFS(Расчет!$G$2:$G$3001,Расчет!$I$2:$I$3001,$K687,Расчет!$H$2:$H$3001,1))</f>
        <v/>
      </c>
      <c r="I687">
        <f>IF($L687="","",SUMIFS(Расчет!$G$2:$G$3001,Расчет!$I$2:$I$3001,$K687,Расчет!$H$2:$H$3001,2))</f>
        <v/>
      </c>
      <c r="J687">
        <f>IF($L687="","",SUMIFS(Расчет!$G$2:$G$3001,Расчет!$I$2:$I$3001,$K687,Расчет!$H$2:$H$3001,3))</f>
        <v/>
      </c>
      <c r="K687">
        <f>IF($L687="","",INDEX(Расчет!$I$2:$I$3001,$L687))</f>
        <v/>
      </c>
      <c r="L687">
        <f>IFERROR(MATCH(ROW()-1,Расчет!$J$2:$J$3001,0),"")</f>
        <v/>
      </c>
    </row>
    <row r="688">
      <c r="A688">
        <f>IF($L688="","",B688&amp;"."&amp;C688&amp;"-"&amp;D688&amp;"-"&amp;H688&amp;"."&amp;I688&amp;"."&amp;J688)</f>
        <v/>
      </c>
      <c r="B688">
        <f>IF($L688="","",INDEX(Расчет!$A$2:$A$3001,$L688))</f>
        <v/>
      </c>
      <c r="C688">
        <f>IF($L688="","",INDEX(Расчет!$B$2:$B$3001,$L688))</f>
        <v/>
      </c>
      <c r="D688">
        <f>IF($L688="","",IF(ISNUMBER(FIND("(",INDEX(Расчет!$C$2:$C$3001,$L688))),SUBSTITUTE(MID(INDEX(Расчет!$C$2:$C$3001,$L688),FIND("(",INDEX(Расчет!$C$2:$C$3001,$L688))+1,99),")",""),INDEX(Расчет!$C$2:$C$3001,$L688)))</f>
        <v/>
      </c>
      <c r="E688">
        <f>IF($L688="","",INDEX(Расчет!$D$2:$D$3001,$L688))</f>
        <v/>
      </c>
      <c r="F688">
        <f>IF($L688="","",INDEX(Расчет!$E$2:$E$3001,$L688))</f>
        <v/>
      </c>
      <c r="G688">
        <f>IF($L688="","",IFERROR(--LEFT(INDEX(Расчет!$C$2:$C$3001,$L688),FIND("(",INDEX(Расчет!$C$2:$C$3001,$L688))-1),IFERROR(--LEFT(INDEX(Расчет!$C$2:$C$3001,$L688),1),"")))</f>
        <v/>
      </c>
      <c r="H688">
        <f>IF($L688="","",SUMIFS(Расчет!$G$2:$G$3001,Расчет!$I$2:$I$3001,$K688,Расчет!$H$2:$H$3001,1))</f>
        <v/>
      </c>
      <c r="I688">
        <f>IF($L688="","",SUMIFS(Расчет!$G$2:$G$3001,Расчет!$I$2:$I$3001,$K688,Расчет!$H$2:$H$3001,2))</f>
        <v/>
      </c>
      <c r="J688">
        <f>IF($L688="","",SUMIFS(Расчет!$G$2:$G$3001,Расчет!$I$2:$I$3001,$K688,Расчет!$H$2:$H$3001,3))</f>
        <v/>
      </c>
      <c r="K688">
        <f>IF($L688="","",INDEX(Расчет!$I$2:$I$3001,$L688))</f>
        <v/>
      </c>
      <c r="L688">
        <f>IFERROR(MATCH(ROW()-1,Расчет!$J$2:$J$3001,0),"")</f>
        <v/>
      </c>
    </row>
    <row r="689">
      <c r="A689">
        <f>IF($L689="","",B689&amp;"."&amp;C689&amp;"-"&amp;D689&amp;"-"&amp;H689&amp;"."&amp;I689&amp;"."&amp;J689)</f>
        <v/>
      </c>
      <c r="B689">
        <f>IF($L689="","",INDEX(Расчет!$A$2:$A$3001,$L689))</f>
        <v/>
      </c>
      <c r="C689">
        <f>IF($L689="","",INDEX(Расчет!$B$2:$B$3001,$L689))</f>
        <v/>
      </c>
      <c r="D689">
        <f>IF($L689="","",IF(ISNUMBER(FIND("(",INDEX(Расчет!$C$2:$C$3001,$L689))),SUBSTITUTE(MID(INDEX(Расчет!$C$2:$C$3001,$L689),FIND("(",INDEX(Расчет!$C$2:$C$3001,$L689))+1,99),")",""),INDEX(Расчет!$C$2:$C$3001,$L689)))</f>
        <v/>
      </c>
      <c r="E689">
        <f>IF($L689="","",INDEX(Расчет!$D$2:$D$3001,$L689))</f>
        <v/>
      </c>
      <c r="F689">
        <f>IF($L689="","",INDEX(Расчет!$E$2:$E$3001,$L689))</f>
        <v/>
      </c>
      <c r="G689">
        <f>IF($L689="","",IFERROR(--LEFT(INDEX(Расчет!$C$2:$C$3001,$L689),FIND("(",INDEX(Расчет!$C$2:$C$3001,$L689))-1),IFERROR(--LEFT(INDEX(Расчет!$C$2:$C$3001,$L689),1),"")))</f>
        <v/>
      </c>
      <c r="H689">
        <f>IF($L689="","",SUMIFS(Расчет!$G$2:$G$3001,Расчет!$I$2:$I$3001,$K689,Расчет!$H$2:$H$3001,1))</f>
        <v/>
      </c>
      <c r="I689">
        <f>IF($L689="","",SUMIFS(Расчет!$G$2:$G$3001,Расчет!$I$2:$I$3001,$K689,Расчет!$H$2:$H$3001,2))</f>
        <v/>
      </c>
      <c r="J689">
        <f>IF($L689="","",SUMIFS(Расчет!$G$2:$G$3001,Расчет!$I$2:$I$3001,$K689,Расчет!$H$2:$H$3001,3))</f>
        <v/>
      </c>
      <c r="K689">
        <f>IF($L689="","",INDEX(Расчет!$I$2:$I$3001,$L689))</f>
        <v/>
      </c>
      <c r="L689">
        <f>IFERROR(MATCH(ROW()-1,Расчет!$J$2:$J$3001,0),"")</f>
        <v/>
      </c>
    </row>
    <row r="690">
      <c r="A690">
        <f>IF($L690="","",B690&amp;"."&amp;C690&amp;"-"&amp;D690&amp;"-"&amp;H690&amp;"."&amp;I690&amp;"."&amp;J690)</f>
        <v/>
      </c>
      <c r="B690">
        <f>IF($L690="","",INDEX(Расчет!$A$2:$A$3001,$L690))</f>
        <v/>
      </c>
      <c r="C690">
        <f>IF($L690="","",INDEX(Расчет!$B$2:$B$3001,$L690))</f>
        <v/>
      </c>
      <c r="D690">
        <f>IF($L690="","",IF(ISNUMBER(FIND("(",INDEX(Расчет!$C$2:$C$3001,$L690))),SUBSTITUTE(MID(INDEX(Расчет!$C$2:$C$3001,$L690),FIND("(",INDEX(Расчет!$C$2:$C$3001,$L690))+1,99),")",""),INDEX(Расчет!$C$2:$C$3001,$L690)))</f>
        <v/>
      </c>
      <c r="E690">
        <f>IF($L690="","",INDEX(Расчет!$D$2:$D$3001,$L690))</f>
        <v/>
      </c>
      <c r="F690">
        <f>IF($L690="","",INDEX(Расчет!$E$2:$E$3001,$L690))</f>
        <v/>
      </c>
      <c r="G690">
        <f>IF($L690="","",IFERROR(--LEFT(INDEX(Расчет!$C$2:$C$3001,$L690),FIND("(",INDEX(Расчет!$C$2:$C$3001,$L690))-1),IFERROR(--LEFT(INDEX(Расчет!$C$2:$C$3001,$L690),1),"")))</f>
        <v/>
      </c>
      <c r="H690">
        <f>IF($L690="","",SUMIFS(Расчет!$G$2:$G$3001,Расчет!$I$2:$I$3001,$K690,Расчет!$H$2:$H$3001,1))</f>
        <v/>
      </c>
      <c r="I690">
        <f>IF($L690="","",SUMIFS(Расчет!$G$2:$G$3001,Расчет!$I$2:$I$3001,$K690,Расчет!$H$2:$H$3001,2))</f>
        <v/>
      </c>
      <c r="J690">
        <f>IF($L690="","",SUMIFS(Расчет!$G$2:$G$3001,Расчет!$I$2:$I$3001,$K690,Расчет!$H$2:$H$3001,3))</f>
        <v/>
      </c>
      <c r="K690">
        <f>IF($L690="","",INDEX(Расчет!$I$2:$I$3001,$L690))</f>
        <v/>
      </c>
      <c r="L690">
        <f>IFERROR(MATCH(ROW()-1,Расчет!$J$2:$J$3001,0),"")</f>
        <v/>
      </c>
    </row>
    <row r="691">
      <c r="A691">
        <f>IF($L691="","",B691&amp;"."&amp;C691&amp;"-"&amp;D691&amp;"-"&amp;H691&amp;"."&amp;I691&amp;"."&amp;J691)</f>
        <v/>
      </c>
      <c r="B691">
        <f>IF($L691="","",INDEX(Расчет!$A$2:$A$3001,$L691))</f>
        <v/>
      </c>
      <c r="C691">
        <f>IF($L691="","",INDEX(Расчет!$B$2:$B$3001,$L691))</f>
        <v/>
      </c>
      <c r="D691">
        <f>IF($L691="","",IF(ISNUMBER(FIND("(",INDEX(Расчет!$C$2:$C$3001,$L691))),SUBSTITUTE(MID(INDEX(Расчет!$C$2:$C$3001,$L691),FIND("(",INDEX(Расчет!$C$2:$C$3001,$L691))+1,99),")",""),INDEX(Расчет!$C$2:$C$3001,$L691)))</f>
        <v/>
      </c>
      <c r="E691">
        <f>IF($L691="","",INDEX(Расчет!$D$2:$D$3001,$L691))</f>
        <v/>
      </c>
      <c r="F691">
        <f>IF($L691="","",INDEX(Расчет!$E$2:$E$3001,$L691))</f>
        <v/>
      </c>
      <c r="G691">
        <f>IF($L691="","",IFERROR(--LEFT(INDEX(Расчет!$C$2:$C$3001,$L691),FIND("(",INDEX(Расчет!$C$2:$C$3001,$L691))-1),IFERROR(--LEFT(INDEX(Расчет!$C$2:$C$3001,$L691),1),"")))</f>
        <v/>
      </c>
      <c r="H691">
        <f>IF($L691="","",SUMIFS(Расчет!$G$2:$G$3001,Расчет!$I$2:$I$3001,$K691,Расчет!$H$2:$H$3001,1))</f>
        <v/>
      </c>
      <c r="I691">
        <f>IF($L691="","",SUMIFS(Расчет!$G$2:$G$3001,Расчет!$I$2:$I$3001,$K691,Расчет!$H$2:$H$3001,2))</f>
        <v/>
      </c>
      <c r="J691">
        <f>IF($L691="","",SUMIFS(Расчет!$G$2:$G$3001,Расчет!$I$2:$I$3001,$K691,Расчет!$H$2:$H$3001,3))</f>
        <v/>
      </c>
      <c r="K691">
        <f>IF($L691="","",INDEX(Расчет!$I$2:$I$3001,$L691))</f>
        <v/>
      </c>
      <c r="L691">
        <f>IFERROR(MATCH(ROW()-1,Расчет!$J$2:$J$3001,0),"")</f>
        <v/>
      </c>
    </row>
    <row r="692">
      <c r="A692">
        <f>IF($L692="","",B692&amp;"."&amp;C692&amp;"-"&amp;D692&amp;"-"&amp;H692&amp;"."&amp;I692&amp;"."&amp;J692)</f>
        <v/>
      </c>
      <c r="B692">
        <f>IF($L692="","",INDEX(Расчет!$A$2:$A$3001,$L692))</f>
        <v/>
      </c>
      <c r="C692">
        <f>IF($L692="","",INDEX(Расчет!$B$2:$B$3001,$L692))</f>
        <v/>
      </c>
      <c r="D692">
        <f>IF($L692="","",IF(ISNUMBER(FIND("(",INDEX(Расчет!$C$2:$C$3001,$L692))),SUBSTITUTE(MID(INDEX(Расчет!$C$2:$C$3001,$L692),FIND("(",INDEX(Расчет!$C$2:$C$3001,$L692))+1,99),")",""),INDEX(Расчет!$C$2:$C$3001,$L692)))</f>
        <v/>
      </c>
      <c r="E692">
        <f>IF($L692="","",INDEX(Расчет!$D$2:$D$3001,$L692))</f>
        <v/>
      </c>
      <c r="F692">
        <f>IF($L692="","",INDEX(Расчет!$E$2:$E$3001,$L692))</f>
        <v/>
      </c>
      <c r="G692">
        <f>IF($L692="","",IFERROR(--LEFT(INDEX(Расчет!$C$2:$C$3001,$L692),FIND("(",INDEX(Расчет!$C$2:$C$3001,$L692))-1),IFERROR(--LEFT(INDEX(Расчет!$C$2:$C$3001,$L692),1),"")))</f>
        <v/>
      </c>
      <c r="H692">
        <f>IF($L692="","",SUMIFS(Расчет!$G$2:$G$3001,Расчет!$I$2:$I$3001,$K692,Расчет!$H$2:$H$3001,1))</f>
        <v/>
      </c>
      <c r="I692">
        <f>IF($L692="","",SUMIFS(Расчет!$G$2:$G$3001,Расчет!$I$2:$I$3001,$K692,Расчет!$H$2:$H$3001,2))</f>
        <v/>
      </c>
      <c r="J692">
        <f>IF($L692="","",SUMIFS(Расчет!$G$2:$G$3001,Расчет!$I$2:$I$3001,$K692,Расчет!$H$2:$H$3001,3))</f>
        <v/>
      </c>
      <c r="K692">
        <f>IF($L692="","",INDEX(Расчет!$I$2:$I$3001,$L692))</f>
        <v/>
      </c>
      <c r="L692">
        <f>IFERROR(MATCH(ROW()-1,Расчет!$J$2:$J$3001,0),"")</f>
        <v/>
      </c>
    </row>
    <row r="693">
      <c r="A693">
        <f>IF($L693="","",B693&amp;"."&amp;C693&amp;"-"&amp;D693&amp;"-"&amp;H693&amp;"."&amp;I693&amp;"."&amp;J693)</f>
        <v/>
      </c>
      <c r="B693">
        <f>IF($L693="","",INDEX(Расчет!$A$2:$A$3001,$L693))</f>
        <v/>
      </c>
      <c r="C693">
        <f>IF($L693="","",INDEX(Расчет!$B$2:$B$3001,$L693))</f>
        <v/>
      </c>
      <c r="D693">
        <f>IF($L693="","",IF(ISNUMBER(FIND("(",INDEX(Расчет!$C$2:$C$3001,$L693))),SUBSTITUTE(MID(INDEX(Расчет!$C$2:$C$3001,$L693),FIND("(",INDEX(Расчет!$C$2:$C$3001,$L693))+1,99),")",""),INDEX(Расчет!$C$2:$C$3001,$L693)))</f>
        <v/>
      </c>
      <c r="E693">
        <f>IF($L693="","",INDEX(Расчет!$D$2:$D$3001,$L693))</f>
        <v/>
      </c>
      <c r="F693">
        <f>IF($L693="","",INDEX(Расчет!$E$2:$E$3001,$L693))</f>
        <v/>
      </c>
      <c r="G693">
        <f>IF($L693="","",IFERROR(--LEFT(INDEX(Расчет!$C$2:$C$3001,$L693),FIND("(",INDEX(Расчет!$C$2:$C$3001,$L693))-1),IFERROR(--LEFT(INDEX(Расчет!$C$2:$C$3001,$L693),1),"")))</f>
        <v/>
      </c>
      <c r="H693">
        <f>IF($L693="","",SUMIFS(Расчет!$G$2:$G$3001,Расчет!$I$2:$I$3001,$K693,Расчет!$H$2:$H$3001,1))</f>
        <v/>
      </c>
      <c r="I693">
        <f>IF($L693="","",SUMIFS(Расчет!$G$2:$G$3001,Расчет!$I$2:$I$3001,$K693,Расчет!$H$2:$H$3001,2))</f>
        <v/>
      </c>
      <c r="J693">
        <f>IF($L693="","",SUMIFS(Расчет!$G$2:$G$3001,Расчет!$I$2:$I$3001,$K693,Расчет!$H$2:$H$3001,3))</f>
        <v/>
      </c>
      <c r="K693">
        <f>IF($L693="","",INDEX(Расчет!$I$2:$I$3001,$L693))</f>
        <v/>
      </c>
      <c r="L693">
        <f>IFERROR(MATCH(ROW()-1,Расчет!$J$2:$J$3001,0),"")</f>
        <v/>
      </c>
    </row>
    <row r="694">
      <c r="A694">
        <f>IF($L694="","",B694&amp;"."&amp;C694&amp;"-"&amp;D694&amp;"-"&amp;H694&amp;"."&amp;I694&amp;"."&amp;J694)</f>
        <v/>
      </c>
      <c r="B694">
        <f>IF($L694="","",INDEX(Расчет!$A$2:$A$3001,$L694))</f>
        <v/>
      </c>
      <c r="C694">
        <f>IF($L694="","",INDEX(Расчет!$B$2:$B$3001,$L694))</f>
        <v/>
      </c>
      <c r="D694">
        <f>IF($L694="","",IF(ISNUMBER(FIND("(",INDEX(Расчет!$C$2:$C$3001,$L694))),SUBSTITUTE(MID(INDEX(Расчет!$C$2:$C$3001,$L694),FIND("(",INDEX(Расчет!$C$2:$C$3001,$L694))+1,99),")",""),INDEX(Расчет!$C$2:$C$3001,$L694)))</f>
        <v/>
      </c>
      <c r="E694">
        <f>IF($L694="","",INDEX(Расчет!$D$2:$D$3001,$L694))</f>
        <v/>
      </c>
      <c r="F694">
        <f>IF($L694="","",INDEX(Расчет!$E$2:$E$3001,$L694))</f>
        <v/>
      </c>
      <c r="G694">
        <f>IF($L694="","",IFERROR(--LEFT(INDEX(Расчет!$C$2:$C$3001,$L694),FIND("(",INDEX(Расчет!$C$2:$C$3001,$L694))-1),IFERROR(--LEFT(INDEX(Расчет!$C$2:$C$3001,$L694),1),"")))</f>
        <v/>
      </c>
      <c r="H694">
        <f>IF($L694="","",SUMIFS(Расчет!$G$2:$G$3001,Расчет!$I$2:$I$3001,$K694,Расчет!$H$2:$H$3001,1))</f>
        <v/>
      </c>
      <c r="I694">
        <f>IF($L694="","",SUMIFS(Расчет!$G$2:$G$3001,Расчет!$I$2:$I$3001,$K694,Расчет!$H$2:$H$3001,2))</f>
        <v/>
      </c>
      <c r="J694">
        <f>IF($L694="","",SUMIFS(Расчет!$G$2:$G$3001,Расчет!$I$2:$I$3001,$K694,Расчет!$H$2:$H$3001,3))</f>
        <v/>
      </c>
      <c r="K694">
        <f>IF($L694="","",INDEX(Расчет!$I$2:$I$3001,$L694))</f>
        <v/>
      </c>
      <c r="L694">
        <f>IFERROR(MATCH(ROW()-1,Расчет!$J$2:$J$3001,0),"")</f>
        <v/>
      </c>
    </row>
    <row r="695">
      <c r="A695">
        <f>IF($L695="","",B695&amp;"."&amp;C695&amp;"-"&amp;D695&amp;"-"&amp;H695&amp;"."&amp;I695&amp;"."&amp;J695)</f>
        <v/>
      </c>
      <c r="B695">
        <f>IF($L695="","",INDEX(Расчет!$A$2:$A$3001,$L695))</f>
        <v/>
      </c>
      <c r="C695">
        <f>IF($L695="","",INDEX(Расчет!$B$2:$B$3001,$L695))</f>
        <v/>
      </c>
      <c r="D695">
        <f>IF($L695="","",IF(ISNUMBER(FIND("(",INDEX(Расчет!$C$2:$C$3001,$L695))),SUBSTITUTE(MID(INDEX(Расчет!$C$2:$C$3001,$L695),FIND("(",INDEX(Расчет!$C$2:$C$3001,$L695))+1,99),")",""),INDEX(Расчет!$C$2:$C$3001,$L695)))</f>
        <v/>
      </c>
      <c r="E695">
        <f>IF($L695="","",INDEX(Расчет!$D$2:$D$3001,$L695))</f>
        <v/>
      </c>
      <c r="F695">
        <f>IF($L695="","",INDEX(Расчет!$E$2:$E$3001,$L695))</f>
        <v/>
      </c>
      <c r="G695">
        <f>IF($L695="","",IFERROR(--LEFT(INDEX(Расчет!$C$2:$C$3001,$L695),FIND("(",INDEX(Расчет!$C$2:$C$3001,$L695))-1),IFERROR(--LEFT(INDEX(Расчет!$C$2:$C$3001,$L695),1),"")))</f>
        <v/>
      </c>
      <c r="H695">
        <f>IF($L695="","",SUMIFS(Расчет!$G$2:$G$3001,Расчет!$I$2:$I$3001,$K695,Расчет!$H$2:$H$3001,1))</f>
        <v/>
      </c>
      <c r="I695">
        <f>IF($L695="","",SUMIFS(Расчет!$G$2:$G$3001,Расчет!$I$2:$I$3001,$K695,Расчет!$H$2:$H$3001,2))</f>
        <v/>
      </c>
      <c r="J695">
        <f>IF($L695="","",SUMIFS(Расчет!$G$2:$G$3001,Расчет!$I$2:$I$3001,$K695,Расчет!$H$2:$H$3001,3))</f>
        <v/>
      </c>
      <c r="K695">
        <f>IF($L695="","",INDEX(Расчет!$I$2:$I$3001,$L695))</f>
        <v/>
      </c>
      <c r="L695">
        <f>IFERROR(MATCH(ROW()-1,Расчет!$J$2:$J$3001,0),"")</f>
        <v/>
      </c>
    </row>
    <row r="696">
      <c r="A696">
        <f>IF($L696="","",B696&amp;"."&amp;C696&amp;"-"&amp;D696&amp;"-"&amp;H696&amp;"."&amp;I696&amp;"."&amp;J696)</f>
        <v/>
      </c>
      <c r="B696">
        <f>IF($L696="","",INDEX(Расчет!$A$2:$A$3001,$L696))</f>
        <v/>
      </c>
      <c r="C696">
        <f>IF($L696="","",INDEX(Расчет!$B$2:$B$3001,$L696))</f>
        <v/>
      </c>
      <c r="D696">
        <f>IF($L696="","",IF(ISNUMBER(FIND("(",INDEX(Расчет!$C$2:$C$3001,$L696))),SUBSTITUTE(MID(INDEX(Расчет!$C$2:$C$3001,$L696),FIND("(",INDEX(Расчет!$C$2:$C$3001,$L696))+1,99),")",""),INDEX(Расчет!$C$2:$C$3001,$L696)))</f>
        <v/>
      </c>
      <c r="E696">
        <f>IF($L696="","",INDEX(Расчет!$D$2:$D$3001,$L696))</f>
        <v/>
      </c>
      <c r="F696">
        <f>IF($L696="","",INDEX(Расчет!$E$2:$E$3001,$L696))</f>
        <v/>
      </c>
      <c r="G696">
        <f>IF($L696="","",IFERROR(--LEFT(INDEX(Расчет!$C$2:$C$3001,$L696),FIND("(",INDEX(Расчет!$C$2:$C$3001,$L696))-1),IFERROR(--LEFT(INDEX(Расчет!$C$2:$C$3001,$L696),1),"")))</f>
        <v/>
      </c>
      <c r="H696">
        <f>IF($L696="","",SUMIFS(Расчет!$G$2:$G$3001,Расчет!$I$2:$I$3001,$K696,Расчет!$H$2:$H$3001,1))</f>
        <v/>
      </c>
      <c r="I696">
        <f>IF($L696="","",SUMIFS(Расчет!$G$2:$G$3001,Расчет!$I$2:$I$3001,$K696,Расчет!$H$2:$H$3001,2))</f>
        <v/>
      </c>
      <c r="J696">
        <f>IF($L696="","",SUMIFS(Расчет!$G$2:$G$3001,Расчет!$I$2:$I$3001,$K696,Расчет!$H$2:$H$3001,3))</f>
        <v/>
      </c>
      <c r="K696">
        <f>IF($L696="","",INDEX(Расчет!$I$2:$I$3001,$L696))</f>
        <v/>
      </c>
      <c r="L696">
        <f>IFERROR(MATCH(ROW()-1,Расчет!$J$2:$J$3001,0),"")</f>
        <v/>
      </c>
    </row>
    <row r="697">
      <c r="A697">
        <f>IF($L697="","",B697&amp;"."&amp;C697&amp;"-"&amp;D697&amp;"-"&amp;H697&amp;"."&amp;I697&amp;"."&amp;J697)</f>
        <v/>
      </c>
      <c r="B697">
        <f>IF($L697="","",INDEX(Расчет!$A$2:$A$3001,$L697))</f>
        <v/>
      </c>
      <c r="C697">
        <f>IF($L697="","",INDEX(Расчет!$B$2:$B$3001,$L697))</f>
        <v/>
      </c>
      <c r="D697">
        <f>IF($L697="","",IF(ISNUMBER(FIND("(",INDEX(Расчет!$C$2:$C$3001,$L697))),SUBSTITUTE(MID(INDEX(Расчет!$C$2:$C$3001,$L697),FIND("(",INDEX(Расчет!$C$2:$C$3001,$L697))+1,99),")",""),INDEX(Расчет!$C$2:$C$3001,$L697)))</f>
        <v/>
      </c>
      <c r="E697">
        <f>IF($L697="","",INDEX(Расчет!$D$2:$D$3001,$L697))</f>
        <v/>
      </c>
      <c r="F697">
        <f>IF($L697="","",INDEX(Расчет!$E$2:$E$3001,$L697))</f>
        <v/>
      </c>
      <c r="G697">
        <f>IF($L697="","",IFERROR(--LEFT(INDEX(Расчет!$C$2:$C$3001,$L697),FIND("(",INDEX(Расчет!$C$2:$C$3001,$L697))-1),IFERROR(--LEFT(INDEX(Расчет!$C$2:$C$3001,$L697),1),"")))</f>
        <v/>
      </c>
      <c r="H697">
        <f>IF($L697="","",SUMIFS(Расчет!$G$2:$G$3001,Расчет!$I$2:$I$3001,$K697,Расчет!$H$2:$H$3001,1))</f>
        <v/>
      </c>
      <c r="I697">
        <f>IF($L697="","",SUMIFS(Расчет!$G$2:$G$3001,Расчет!$I$2:$I$3001,$K697,Расчет!$H$2:$H$3001,2))</f>
        <v/>
      </c>
      <c r="J697">
        <f>IF($L697="","",SUMIFS(Расчет!$G$2:$G$3001,Расчет!$I$2:$I$3001,$K697,Расчет!$H$2:$H$3001,3))</f>
        <v/>
      </c>
      <c r="K697">
        <f>IF($L697="","",INDEX(Расчет!$I$2:$I$3001,$L697))</f>
        <v/>
      </c>
      <c r="L697">
        <f>IFERROR(MATCH(ROW()-1,Расчет!$J$2:$J$3001,0),"")</f>
        <v/>
      </c>
    </row>
    <row r="698">
      <c r="A698">
        <f>IF($L698="","",B698&amp;"."&amp;C698&amp;"-"&amp;D698&amp;"-"&amp;H698&amp;"."&amp;I698&amp;"."&amp;J698)</f>
        <v/>
      </c>
      <c r="B698">
        <f>IF($L698="","",INDEX(Расчет!$A$2:$A$3001,$L698))</f>
        <v/>
      </c>
      <c r="C698">
        <f>IF($L698="","",INDEX(Расчет!$B$2:$B$3001,$L698))</f>
        <v/>
      </c>
      <c r="D698">
        <f>IF($L698="","",IF(ISNUMBER(FIND("(",INDEX(Расчет!$C$2:$C$3001,$L698))),SUBSTITUTE(MID(INDEX(Расчет!$C$2:$C$3001,$L698),FIND("(",INDEX(Расчет!$C$2:$C$3001,$L698))+1,99),")",""),INDEX(Расчет!$C$2:$C$3001,$L698)))</f>
        <v/>
      </c>
      <c r="E698">
        <f>IF($L698="","",INDEX(Расчет!$D$2:$D$3001,$L698))</f>
        <v/>
      </c>
      <c r="F698">
        <f>IF($L698="","",INDEX(Расчет!$E$2:$E$3001,$L698))</f>
        <v/>
      </c>
      <c r="G698">
        <f>IF($L698="","",IFERROR(--LEFT(INDEX(Расчет!$C$2:$C$3001,$L698),FIND("(",INDEX(Расчет!$C$2:$C$3001,$L698))-1),IFERROR(--LEFT(INDEX(Расчет!$C$2:$C$3001,$L698),1),"")))</f>
        <v/>
      </c>
      <c r="H698">
        <f>IF($L698="","",SUMIFS(Расчет!$G$2:$G$3001,Расчет!$I$2:$I$3001,$K698,Расчет!$H$2:$H$3001,1))</f>
        <v/>
      </c>
      <c r="I698">
        <f>IF($L698="","",SUMIFS(Расчет!$G$2:$G$3001,Расчет!$I$2:$I$3001,$K698,Расчет!$H$2:$H$3001,2))</f>
        <v/>
      </c>
      <c r="J698">
        <f>IF($L698="","",SUMIFS(Расчет!$G$2:$G$3001,Расчет!$I$2:$I$3001,$K698,Расчет!$H$2:$H$3001,3))</f>
        <v/>
      </c>
      <c r="K698">
        <f>IF($L698="","",INDEX(Расчет!$I$2:$I$3001,$L698))</f>
        <v/>
      </c>
      <c r="L698">
        <f>IFERROR(MATCH(ROW()-1,Расчет!$J$2:$J$3001,0),"")</f>
        <v/>
      </c>
    </row>
    <row r="699">
      <c r="A699">
        <f>IF($L699="","",B699&amp;"."&amp;C699&amp;"-"&amp;D699&amp;"-"&amp;H699&amp;"."&amp;I699&amp;"."&amp;J699)</f>
        <v/>
      </c>
      <c r="B699">
        <f>IF($L699="","",INDEX(Расчет!$A$2:$A$3001,$L699))</f>
        <v/>
      </c>
      <c r="C699">
        <f>IF($L699="","",INDEX(Расчет!$B$2:$B$3001,$L699))</f>
        <v/>
      </c>
      <c r="D699">
        <f>IF($L699="","",IF(ISNUMBER(FIND("(",INDEX(Расчет!$C$2:$C$3001,$L699))),SUBSTITUTE(MID(INDEX(Расчет!$C$2:$C$3001,$L699),FIND("(",INDEX(Расчет!$C$2:$C$3001,$L699))+1,99),")",""),INDEX(Расчет!$C$2:$C$3001,$L699)))</f>
        <v/>
      </c>
      <c r="E699">
        <f>IF($L699="","",INDEX(Расчет!$D$2:$D$3001,$L699))</f>
        <v/>
      </c>
      <c r="F699">
        <f>IF($L699="","",INDEX(Расчет!$E$2:$E$3001,$L699))</f>
        <v/>
      </c>
      <c r="G699">
        <f>IF($L699="","",IFERROR(--LEFT(INDEX(Расчет!$C$2:$C$3001,$L699),FIND("(",INDEX(Расчет!$C$2:$C$3001,$L699))-1),IFERROR(--LEFT(INDEX(Расчет!$C$2:$C$3001,$L699),1),"")))</f>
        <v/>
      </c>
      <c r="H699">
        <f>IF($L699="","",SUMIFS(Расчет!$G$2:$G$3001,Расчет!$I$2:$I$3001,$K699,Расчет!$H$2:$H$3001,1))</f>
        <v/>
      </c>
      <c r="I699">
        <f>IF($L699="","",SUMIFS(Расчет!$G$2:$G$3001,Расчет!$I$2:$I$3001,$K699,Расчет!$H$2:$H$3001,2))</f>
        <v/>
      </c>
      <c r="J699">
        <f>IF($L699="","",SUMIFS(Расчет!$G$2:$G$3001,Расчет!$I$2:$I$3001,$K699,Расчет!$H$2:$H$3001,3))</f>
        <v/>
      </c>
      <c r="K699">
        <f>IF($L699="","",INDEX(Расчет!$I$2:$I$3001,$L699))</f>
        <v/>
      </c>
      <c r="L699">
        <f>IFERROR(MATCH(ROW()-1,Расчет!$J$2:$J$3001,0),"")</f>
        <v/>
      </c>
    </row>
    <row r="700">
      <c r="A700">
        <f>IF($L700="","",B700&amp;"."&amp;C700&amp;"-"&amp;D700&amp;"-"&amp;H700&amp;"."&amp;I700&amp;"."&amp;J700)</f>
        <v/>
      </c>
      <c r="B700">
        <f>IF($L700="","",INDEX(Расчет!$A$2:$A$3001,$L700))</f>
        <v/>
      </c>
      <c r="C700">
        <f>IF($L700="","",INDEX(Расчет!$B$2:$B$3001,$L700))</f>
        <v/>
      </c>
      <c r="D700">
        <f>IF($L700="","",IF(ISNUMBER(FIND("(",INDEX(Расчет!$C$2:$C$3001,$L700))),SUBSTITUTE(MID(INDEX(Расчет!$C$2:$C$3001,$L700),FIND("(",INDEX(Расчет!$C$2:$C$3001,$L700))+1,99),")",""),INDEX(Расчет!$C$2:$C$3001,$L700)))</f>
        <v/>
      </c>
      <c r="E700">
        <f>IF($L700="","",INDEX(Расчет!$D$2:$D$3001,$L700))</f>
        <v/>
      </c>
      <c r="F700">
        <f>IF($L700="","",INDEX(Расчет!$E$2:$E$3001,$L700))</f>
        <v/>
      </c>
      <c r="G700">
        <f>IF($L700="","",IFERROR(--LEFT(INDEX(Расчет!$C$2:$C$3001,$L700),FIND("(",INDEX(Расчет!$C$2:$C$3001,$L700))-1),IFERROR(--LEFT(INDEX(Расчет!$C$2:$C$3001,$L700),1),"")))</f>
        <v/>
      </c>
      <c r="H700">
        <f>IF($L700="","",SUMIFS(Расчет!$G$2:$G$3001,Расчет!$I$2:$I$3001,$K700,Расчет!$H$2:$H$3001,1))</f>
        <v/>
      </c>
      <c r="I700">
        <f>IF($L700="","",SUMIFS(Расчет!$G$2:$G$3001,Расчет!$I$2:$I$3001,$K700,Расчет!$H$2:$H$3001,2))</f>
        <v/>
      </c>
      <c r="J700">
        <f>IF($L700="","",SUMIFS(Расчет!$G$2:$G$3001,Расчет!$I$2:$I$3001,$K700,Расчет!$H$2:$H$3001,3))</f>
        <v/>
      </c>
      <c r="K700">
        <f>IF($L700="","",INDEX(Расчет!$I$2:$I$3001,$L700))</f>
        <v/>
      </c>
      <c r="L700">
        <f>IFERROR(MATCH(ROW()-1,Расчет!$J$2:$J$3001,0),"")</f>
        <v/>
      </c>
    </row>
    <row r="701">
      <c r="A701">
        <f>IF($L701="","",B701&amp;"."&amp;C701&amp;"-"&amp;D701&amp;"-"&amp;H701&amp;"."&amp;I701&amp;"."&amp;J701)</f>
        <v/>
      </c>
      <c r="B701">
        <f>IF($L701="","",INDEX(Расчет!$A$2:$A$3001,$L701))</f>
        <v/>
      </c>
      <c r="C701">
        <f>IF($L701="","",INDEX(Расчет!$B$2:$B$3001,$L701))</f>
        <v/>
      </c>
      <c r="D701">
        <f>IF($L701="","",IF(ISNUMBER(FIND("(",INDEX(Расчет!$C$2:$C$3001,$L701))),SUBSTITUTE(MID(INDEX(Расчет!$C$2:$C$3001,$L701),FIND("(",INDEX(Расчет!$C$2:$C$3001,$L701))+1,99),")",""),INDEX(Расчет!$C$2:$C$3001,$L701)))</f>
        <v/>
      </c>
      <c r="E701">
        <f>IF($L701="","",INDEX(Расчет!$D$2:$D$3001,$L701))</f>
        <v/>
      </c>
      <c r="F701">
        <f>IF($L701="","",INDEX(Расчет!$E$2:$E$3001,$L701))</f>
        <v/>
      </c>
      <c r="G701">
        <f>IF($L701="","",IFERROR(--LEFT(INDEX(Расчет!$C$2:$C$3001,$L701),FIND("(",INDEX(Расчет!$C$2:$C$3001,$L701))-1),IFERROR(--LEFT(INDEX(Расчет!$C$2:$C$3001,$L701),1),"")))</f>
        <v/>
      </c>
      <c r="H701">
        <f>IF($L701="","",SUMIFS(Расчет!$G$2:$G$3001,Расчет!$I$2:$I$3001,$K701,Расчет!$H$2:$H$3001,1))</f>
        <v/>
      </c>
      <c r="I701">
        <f>IF($L701="","",SUMIFS(Расчет!$G$2:$G$3001,Расчет!$I$2:$I$3001,$K701,Расчет!$H$2:$H$3001,2))</f>
        <v/>
      </c>
      <c r="J701">
        <f>IF($L701="","",SUMIFS(Расчет!$G$2:$G$3001,Расчет!$I$2:$I$3001,$K701,Расчет!$H$2:$H$3001,3))</f>
        <v/>
      </c>
      <c r="K701">
        <f>IF($L701="","",INDEX(Расчет!$I$2:$I$3001,$L701))</f>
        <v/>
      </c>
      <c r="L701">
        <f>IFERROR(MATCH(ROW()-1,Расчет!$J$2:$J$3001,0),"")</f>
        <v/>
      </c>
    </row>
    <row r="702">
      <c r="A702">
        <f>IF($L702="","",B702&amp;"."&amp;C702&amp;"-"&amp;D702&amp;"-"&amp;H702&amp;"."&amp;I702&amp;"."&amp;J702)</f>
        <v/>
      </c>
      <c r="B702">
        <f>IF($L702="","",INDEX(Расчет!$A$2:$A$3001,$L702))</f>
        <v/>
      </c>
      <c r="C702">
        <f>IF($L702="","",INDEX(Расчет!$B$2:$B$3001,$L702))</f>
        <v/>
      </c>
      <c r="D702">
        <f>IF($L702="","",IF(ISNUMBER(FIND("(",INDEX(Расчет!$C$2:$C$3001,$L702))),SUBSTITUTE(MID(INDEX(Расчет!$C$2:$C$3001,$L702),FIND("(",INDEX(Расчет!$C$2:$C$3001,$L702))+1,99),")",""),INDEX(Расчет!$C$2:$C$3001,$L702)))</f>
        <v/>
      </c>
      <c r="E702">
        <f>IF($L702="","",INDEX(Расчет!$D$2:$D$3001,$L702))</f>
        <v/>
      </c>
      <c r="F702">
        <f>IF($L702="","",INDEX(Расчет!$E$2:$E$3001,$L702))</f>
        <v/>
      </c>
      <c r="G702">
        <f>IF($L702="","",IFERROR(--LEFT(INDEX(Расчет!$C$2:$C$3001,$L702),FIND("(",INDEX(Расчет!$C$2:$C$3001,$L702))-1),IFERROR(--LEFT(INDEX(Расчет!$C$2:$C$3001,$L702),1),"")))</f>
        <v/>
      </c>
      <c r="H702">
        <f>IF($L702="","",SUMIFS(Расчет!$G$2:$G$3001,Расчет!$I$2:$I$3001,$K702,Расчет!$H$2:$H$3001,1))</f>
        <v/>
      </c>
      <c r="I702">
        <f>IF($L702="","",SUMIFS(Расчет!$G$2:$G$3001,Расчет!$I$2:$I$3001,$K702,Расчет!$H$2:$H$3001,2))</f>
        <v/>
      </c>
      <c r="J702">
        <f>IF($L702="","",SUMIFS(Расчет!$G$2:$G$3001,Расчет!$I$2:$I$3001,$K702,Расчет!$H$2:$H$3001,3))</f>
        <v/>
      </c>
      <c r="K702">
        <f>IF($L702="","",INDEX(Расчет!$I$2:$I$3001,$L702))</f>
        <v/>
      </c>
      <c r="L702">
        <f>IFERROR(MATCH(ROW()-1,Расчет!$J$2:$J$3001,0),"")</f>
        <v/>
      </c>
    </row>
    <row r="703">
      <c r="A703">
        <f>IF($L703="","",B703&amp;"."&amp;C703&amp;"-"&amp;D703&amp;"-"&amp;H703&amp;"."&amp;I703&amp;"."&amp;J703)</f>
        <v/>
      </c>
      <c r="B703">
        <f>IF($L703="","",INDEX(Расчет!$A$2:$A$3001,$L703))</f>
        <v/>
      </c>
      <c r="C703">
        <f>IF($L703="","",INDEX(Расчет!$B$2:$B$3001,$L703))</f>
        <v/>
      </c>
      <c r="D703">
        <f>IF($L703="","",IF(ISNUMBER(FIND("(",INDEX(Расчет!$C$2:$C$3001,$L703))),SUBSTITUTE(MID(INDEX(Расчет!$C$2:$C$3001,$L703),FIND("(",INDEX(Расчет!$C$2:$C$3001,$L703))+1,99),")",""),INDEX(Расчет!$C$2:$C$3001,$L703)))</f>
        <v/>
      </c>
      <c r="E703">
        <f>IF($L703="","",INDEX(Расчет!$D$2:$D$3001,$L703))</f>
        <v/>
      </c>
      <c r="F703">
        <f>IF($L703="","",INDEX(Расчет!$E$2:$E$3001,$L703))</f>
        <v/>
      </c>
      <c r="G703">
        <f>IF($L703="","",IFERROR(--LEFT(INDEX(Расчет!$C$2:$C$3001,$L703),FIND("(",INDEX(Расчет!$C$2:$C$3001,$L703))-1),IFERROR(--LEFT(INDEX(Расчет!$C$2:$C$3001,$L703),1),"")))</f>
        <v/>
      </c>
      <c r="H703">
        <f>IF($L703="","",SUMIFS(Расчет!$G$2:$G$3001,Расчет!$I$2:$I$3001,$K703,Расчет!$H$2:$H$3001,1))</f>
        <v/>
      </c>
      <c r="I703">
        <f>IF($L703="","",SUMIFS(Расчет!$G$2:$G$3001,Расчет!$I$2:$I$3001,$K703,Расчет!$H$2:$H$3001,2))</f>
        <v/>
      </c>
      <c r="J703">
        <f>IF($L703="","",SUMIFS(Расчет!$G$2:$G$3001,Расчет!$I$2:$I$3001,$K703,Расчет!$H$2:$H$3001,3))</f>
        <v/>
      </c>
      <c r="K703">
        <f>IF($L703="","",INDEX(Расчет!$I$2:$I$3001,$L703))</f>
        <v/>
      </c>
      <c r="L703">
        <f>IFERROR(MATCH(ROW()-1,Расчет!$J$2:$J$3001,0),"")</f>
        <v/>
      </c>
    </row>
    <row r="704">
      <c r="A704">
        <f>IF($L704="","",B704&amp;"."&amp;C704&amp;"-"&amp;D704&amp;"-"&amp;H704&amp;"."&amp;I704&amp;"."&amp;J704)</f>
        <v/>
      </c>
      <c r="B704">
        <f>IF($L704="","",INDEX(Расчет!$A$2:$A$3001,$L704))</f>
        <v/>
      </c>
      <c r="C704">
        <f>IF($L704="","",INDEX(Расчет!$B$2:$B$3001,$L704))</f>
        <v/>
      </c>
      <c r="D704">
        <f>IF($L704="","",IF(ISNUMBER(FIND("(",INDEX(Расчет!$C$2:$C$3001,$L704))),SUBSTITUTE(MID(INDEX(Расчет!$C$2:$C$3001,$L704),FIND("(",INDEX(Расчет!$C$2:$C$3001,$L704))+1,99),")",""),INDEX(Расчет!$C$2:$C$3001,$L704)))</f>
        <v/>
      </c>
      <c r="E704">
        <f>IF($L704="","",INDEX(Расчет!$D$2:$D$3001,$L704))</f>
        <v/>
      </c>
      <c r="F704">
        <f>IF($L704="","",INDEX(Расчет!$E$2:$E$3001,$L704))</f>
        <v/>
      </c>
      <c r="G704">
        <f>IF($L704="","",IFERROR(--LEFT(INDEX(Расчет!$C$2:$C$3001,$L704),FIND("(",INDEX(Расчет!$C$2:$C$3001,$L704))-1),IFERROR(--LEFT(INDEX(Расчет!$C$2:$C$3001,$L704),1),"")))</f>
        <v/>
      </c>
      <c r="H704">
        <f>IF($L704="","",SUMIFS(Расчет!$G$2:$G$3001,Расчет!$I$2:$I$3001,$K704,Расчет!$H$2:$H$3001,1))</f>
        <v/>
      </c>
      <c r="I704">
        <f>IF($L704="","",SUMIFS(Расчет!$G$2:$G$3001,Расчет!$I$2:$I$3001,$K704,Расчет!$H$2:$H$3001,2))</f>
        <v/>
      </c>
      <c r="J704">
        <f>IF($L704="","",SUMIFS(Расчет!$G$2:$G$3001,Расчет!$I$2:$I$3001,$K704,Расчет!$H$2:$H$3001,3))</f>
        <v/>
      </c>
      <c r="K704">
        <f>IF($L704="","",INDEX(Расчет!$I$2:$I$3001,$L704))</f>
        <v/>
      </c>
      <c r="L704">
        <f>IFERROR(MATCH(ROW()-1,Расчет!$J$2:$J$3001,0),"")</f>
        <v/>
      </c>
    </row>
    <row r="705">
      <c r="A705">
        <f>IF($L705="","",B705&amp;"."&amp;C705&amp;"-"&amp;D705&amp;"-"&amp;H705&amp;"."&amp;I705&amp;"."&amp;J705)</f>
        <v/>
      </c>
      <c r="B705">
        <f>IF($L705="","",INDEX(Расчет!$A$2:$A$3001,$L705))</f>
        <v/>
      </c>
      <c r="C705">
        <f>IF($L705="","",INDEX(Расчет!$B$2:$B$3001,$L705))</f>
        <v/>
      </c>
      <c r="D705">
        <f>IF($L705="","",IF(ISNUMBER(FIND("(",INDEX(Расчет!$C$2:$C$3001,$L705))),SUBSTITUTE(MID(INDEX(Расчет!$C$2:$C$3001,$L705),FIND("(",INDEX(Расчет!$C$2:$C$3001,$L705))+1,99),")",""),INDEX(Расчет!$C$2:$C$3001,$L705)))</f>
        <v/>
      </c>
      <c r="E705">
        <f>IF($L705="","",INDEX(Расчет!$D$2:$D$3001,$L705))</f>
        <v/>
      </c>
      <c r="F705">
        <f>IF($L705="","",INDEX(Расчет!$E$2:$E$3001,$L705))</f>
        <v/>
      </c>
      <c r="G705">
        <f>IF($L705="","",IFERROR(--LEFT(INDEX(Расчет!$C$2:$C$3001,$L705),FIND("(",INDEX(Расчет!$C$2:$C$3001,$L705))-1),IFERROR(--LEFT(INDEX(Расчет!$C$2:$C$3001,$L705),1),"")))</f>
        <v/>
      </c>
      <c r="H705">
        <f>IF($L705="","",SUMIFS(Расчет!$G$2:$G$3001,Расчет!$I$2:$I$3001,$K705,Расчет!$H$2:$H$3001,1))</f>
        <v/>
      </c>
      <c r="I705">
        <f>IF($L705="","",SUMIFS(Расчет!$G$2:$G$3001,Расчет!$I$2:$I$3001,$K705,Расчет!$H$2:$H$3001,2))</f>
        <v/>
      </c>
      <c r="J705">
        <f>IF($L705="","",SUMIFS(Расчет!$G$2:$G$3001,Расчет!$I$2:$I$3001,$K705,Расчет!$H$2:$H$3001,3))</f>
        <v/>
      </c>
      <c r="K705">
        <f>IF($L705="","",INDEX(Расчет!$I$2:$I$3001,$L705))</f>
        <v/>
      </c>
      <c r="L705">
        <f>IFERROR(MATCH(ROW()-1,Расчет!$J$2:$J$3001,0),"")</f>
        <v/>
      </c>
    </row>
    <row r="706">
      <c r="A706">
        <f>IF($L706="","",B706&amp;"."&amp;C706&amp;"-"&amp;D706&amp;"-"&amp;H706&amp;"."&amp;I706&amp;"."&amp;J706)</f>
        <v/>
      </c>
      <c r="B706">
        <f>IF($L706="","",INDEX(Расчет!$A$2:$A$3001,$L706))</f>
        <v/>
      </c>
      <c r="C706">
        <f>IF($L706="","",INDEX(Расчет!$B$2:$B$3001,$L706))</f>
        <v/>
      </c>
      <c r="D706">
        <f>IF($L706="","",IF(ISNUMBER(FIND("(",INDEX(Расчет!$C$2:$C$3001,$L706))),SUBSTITUTE(MID(INDEX(Расчет!$C$2:$C$3001,$L706),FIND("(",INDEX(Расчет!$C$2:$C$3001,$L706))+1,99),")",""),INDEX(Расчет!$C$2:$C$3001,$L706)))</f>
        <v/>
      </c>
      <c r="E706">
        <f>IF($L706="","",INDEX(Расчет!$D$2:$D$3001,$L706))</f>
        <v/>
      </c>
      <c r="F706">
        <f>IF($L706="","",INDEX(Расчет!$E$2:$E$3001,$L706))</f>
        <v/>
      </c>
      <c r="G706">
        <f>IF($L706="","",IFERROR(--LEFT(INDEX(Расчет!$C$2:$C$3001,$L706),FIND("(",INDEX(Расчет!$C$2:$C$3001,$L706))-1),IFERROR(--LEFT(INDEX(Расчет!$C$2:$C$3001,$L706),1),"")))</f>
        <v/>
      </c>
      <c r="H706">
        <f>IF($L706="","",SUMIFS(Расчет!$G$2:$G$3001,Расчет!$I$2:$I$3001,$K706,Расчет!$H$2:$H$3001,1))</f>
        <v/>
      </c>
      <c r="I706">
        <f>IF($L706="","",SUMIFS(Расчет!$G$2:$G$3001,Расчет!$I$2:$I$3001,$K706,Расчет!$H$2:$H$3001,2))</f>
        <v/>
      </c>
      <c r="J706">
        <f>IF($L706="","",SUMIFS(Расчет!$G$2:$G$3001,Расчет!$I$2:$I$3001,$K706,Расчет!$H$2:$H$3001,3))</f>
        <v/>
      </c>
      <c r="K706">
        <f>IF($L706="","",INDEX(Расчет!$I$2:$I$3001,$L706))</f>
        <v/>
      </c>
      <c r="L706">
        <f>IFERROR(MATCH(ROW()-1,Расчет!$J$2:$J$3001,0),"")</f>
        <v/>
      </c>
    </row>
    <row r="707">
      <c r="A707">
        <f>IF($L707="","",B707&amp;"."&amp;C707&amp;"-"&amp;D707&amp;"-"&amp;H707&amp;"."&amp;I707&amp;"."&amp;J707)</f>
        <v/>
      </c>
      <c r="B707">
        <f>IF($L707="","",INDEX(Расчет!$A$2:$A$3001,$L707))</f>
        <v/>
      </c>
      <c r="C707">
        <f>IF($L707="","",INDEX(Расчет!$B$2:$B$3001,$L707))</f>
        <v/>
      </c>
      <c r="D707">
        <f>IF($L707="","",IF(ISNUMBER(FIND("(",INDEX(Расчет!$C$2:$C$3001,$L707))),SUBSTITUTE(MID(INDEX(Расчет!$C$2:$C$3001,$L707),FIND("(",INDEX(Расчет!$C$2:$C$3001,$L707))+1,99),")",""),INDEX(Расчет!$C$2:$C$3001,$L707)))</f>
        <v/>
      </c>
      <c r="E707">
        <f>IF($L707="","",INDEX(Расчет!$D$2:$D$3001,$L707))</f>
        <v/>
      </c>
      <c r="F707">
        <f>IF($L707="","",INDEX(Расчет!$E$2:$E$3001,$L707))</f>
        <v/>
      </c>
      <c r="G707">
        <f>IF($L707="","",IFERROR(--LEFT(INDEX(Расчет!$C$2:$C$3001,$L707),FIND("(",INDEX(Расчет!$C$2:$C$3001,$L707))-1),IFERROR(--LEFT(INDEX(Расчет!$C$2:$C$3001,$L707),1),"")))</f>
        <v/>
      </c>
      <c r="H707">
        <f>IF($L707="","",SUMIFS(Расчет!$G$2:$G$3001,Расчет!$I$2:$I$3001,$K707,Расчет!$H$2:$H$3001,1))</f>
        <v/>
      </c>
      <c r="I707">
        <f>IF($L707="","",SUMIFS(Расчет!$G$2:$G$3001,Расчет!$I$2:$I$3001,$K707,Расчет!$H$2:$H$3001,2))</f>
        <v/>
      </c>
      <c r="J707">
        <f>IF($L707="","",SUMIFS(Расчет!$G$2:$G$3001,Расчет!$I$2:$I$3001,$K707,Расчет!$H$2:$H$3001,3))</f>
        <v/>
      </c>
      <c r="K707">
        <f>IF($L707="","",INDEX(Расчет!$I$2:$I$3001,$L707))</f>
        <v/>
      </c>
      <c r="L707">
        <f>IFERROR(MATCH(ROW()-1,Расчет!$J$2:$J$3001,0),"")</f>
        <v/>
      </c>
    </row>
    <row r="708">
      <c r="A708">
        <f>IF($L708="","",B708&amp;"."&amp;C708&amp;"-"&amp;D708&amp;"-"&amp;H708&amp;"."&amp;I708&amp;"."&amp;J708)</f>
        <v/>
      </c>
      <c r="B708">
        <f>IF($L708="","",INDEX(Расчет!$A$2:$A$3001,$L708))</f>
        <v/>
      </c>
      <c r="C708">
        <f>IF($L708="","",INDEX(Расчет!$B$2:$B$3001,$L708))</f>
        <v/>
      </c>
      <c r="D708">
        <f>IF($L708="","",IF(ISNUMBER(FIND("(",INDEX(Расчет!$C$2:$C$3001,$L708))),SUBSTITUTE(MID(INDEX(Расчет!$C$2:$C$3001,$L708),FIND("(",INDEX(Расчет!$C$2:$C$3001,$L708))+1,99),")",""),INDEX(Расчет!$C$2:$C$3001,$L708)))</f>
        <v/>
      </c>
      <c r="E708">
        <f>IF($L708="","",INDEX(Расчет!$D$2:$D$3001,$L708))</f>
        <v/>
      </c>
      <c r="F708">
        <f>IF($L708="","",INDEX(Расчет!$E$2:$E$3001,$L708))</f>
        <v/>
      </c>
      <c r="G708">
        <f>IF($L708="","",IFERROR(--LEFT(INDEX(Расчет!$C$2:$C$3001,$L708),FIND("(",INDEX(Расчет!$C$2:$C$3001,$L708))-1),IFERROR(--LEFT(INDEX(Расчет!$C$2:$C$3001,$L708),1),"")))</f>
        <v/>
      </c>
      <c r="H708">
        <f>IF($L708="","",SUMIFS(Расчет!$G$2:$G$3001,Расчет!$I$2:$I$3001,$K708,Расчет!$H$2:$H$3001,1))</f>
        <v/>
      </c>
      <c r="I708">
        <f>IF($L708="","",SUMIFS(Расчет!$G$2:$G$3001,Расчет!$I$2:$I$3001,$K708,Расчет!$H$2:$H$3001,2))</f>
        <v/>
      </c>
      <c r="J708">
        <f>IF($L708="","",SUMIFS(Расчет!$G$2:$G$3001,Расчет!$I$2:$I$3001,$K708,Расчет!$H$2:$H$3001,3))</f>
        <v/>
      </c>
      <c r="K708">
        <f>IF($L708="","",INDEX(Расчет!$I$2:$I$3001,$L708))</f>
        <v/>
      </c>
      <c r="L708">
        <f>IFERROR(MATCH(ROW()-1,Расчет!$J$2:$J$3001,0),"")</f>
        <v/>
      </c>
    </row>
    <row r="709">
      <c r="A709">
        <f>IF($L709="","",B709&amp;"."&amp;C709&amp;"-"&amp;D709&amp;"-"&amp;H709&amp;"."&amp;I709&amp;"."&amp;J709)</f>
        <v/>
      </c>
      <c r="B709">
        <f>IF($L709="","",INDEX(Расчет!$A$2:$A$3001,$L709))</f>
        <v/>
      </c>
      <c r="C709">
        <f>IF($L709="","",INDEX(Расчет!$B$2:$B$3001,$L709))</f>
        <v/>
      </c>
      <c r="D709">
        <f>IF($L709="","",IF(ISNUMBER(FIND("(",INDEX(Расчет!$C$2:$C$3001,$L709))),SUBSTITUTE(MID(INDEX(Расчет!$C$2:$C$3001,$L709),FIND("(",INDEX(Расчет!$C$2:$C$3001,$L709))+1,99),")",""),INDEX(Расчет!$C$2:$C$3001,$L709)))</f>
        <v/>
      </c>
      <c r="E709">
        <f>IF($L709="","",INDEX(Расчет!$D$2:$D$3001,$L709))</f>
        <v/>
      </c>
      <c r="F709">
        <f>IF($L709="","",INDEX(Расчет!$E$2:$E$3001,$L709))</f>
        <v/>
      </c>
      <c r="G709">
        <f>IF($L709="","",IFERROR(--LEFT(INDEX(Расчет!$C$2:$C$3001,$L709),FIND("(",INDEX(Расчет!$C$2:$C$3001,$L709))-1),IFERROR(--LEFT(INDEX(Расчет!$C$2:$C$3001,$L709),1),"")))</f>
        <v/>
      </c>
      <c r="H709">
        <f>IF($L709="","",SUMIFS(Расчет!$G$2:$G$3001,Расчет!$I$2:$I$3001,$K709,Расчет!$H$2:$H$3001,1))</f>
        <v/>
      </c>
      <c r="I709">
        <f>IF($L709="","",SUMIFS(Расчет!$G$2:$G$3001,Расчет!$I$2:$I$3001,$K709,Расчет!$H$2:$H$3001,2))</f>
        <v/>
      </c>
      <c r="J709">
        <f>IF($L709="","",SUMIFS(Расчет!$G$2:$G$3001,Расчет!$I$2:$I$3001,$K709,Расчет!$H$2:$H$3001,3))</f>
        <v/>
      </c>
      <c r="K709">
        <f>IF($L709="","",INDEX(Расчет!$I$2:$I$3001,$L709))</f>
        <v/>
      </c>
      <c r="L709">
        <f>IFERROR(MATCH(ROW()-1,Расчет!$J$2:$J$3001,0),"")</f>
        <v/>
      </c>
    </row>
    <row r="710">
      <c r="A710">
        <f>IF($L710="","",B710&amp;"."&amp;C710&amp;"-"&amp;D710&amp;"-"&amp;H710&amp;"."&amp;I710&amp;"."&amp;J710)</f>
        <v/>
      </c>
      <c r="B710">
        <f>IF($L710="","",INDEX(Расчет!$A$2:$A$3001,$L710))</f>
        <v/>
      </c>
      <c r="C710">
        <f>IF($L710="","",INDEX(Расчет!$B$2:$B$3001,$L710))</f>
        <v/>
      </c>
      <c r="D710">
        <f>IF($L710="","",IF(ISNUMBER(FIND("(",INDEX(Расчет!$C$2:$C$3001,$L710))),SUBSTITUTE(MID(INDEX(Расчет!$C$2:$C$3001,$L710),FIND("(",INDEX(Расчет!$C$2:$C$3001,$L710))+1,99),")",""),INDEX(Расчет!$C$2:$C$3001,$L710)))</f>
        <v/>
      </c>
      <c r="E710">
        <f>IF($L710="","",INDEX(Расчет!$D$2:$D$3001,$L710))</f>
        <v/>
      </c>
      <c r="F710">
        <f>IF($L710="","",INDEX(Расчет!$E$2:$E$3001,$L710))</f>
        <v/>
      </c>
      <c r="G710">
        <f>IF($L710="","",IFERROR(--LEFT(INDEX(Расчет!$C$2:$C$3001,$L710),FIND("(",INDEX(Расчет!$C$2:$C$3001,$L710))-1),IFERROR(--LEFT(INDEX(Расчет!$C$2:$C$3001,$L710),1),"")))</f>
        <v/>
      </c>
      <c r="H710">
        <f>IF($L710="","",SUMIFS(Расчет!$G$2:$G$3001,Расчет!$I$2:$I$3001,$K710,Расчет!$H$2:$H$3001,1))</f>
        <v/>
      </c>
      <c r="I710">
        <f>IF($L710="","",SUMIFS(Расчет!$G$2:$G$3001,Расчет!$I$2:$I$3001,$K710,Расчет!$H$2:$H$3001,2))</f>
        <v/>
      </c>
      <c r="J710">
        <f>IF($L710="","",SUMIFS(Расчет!$G$2:$G$3001,Расчет!$I$2:$I$3001,$K710,Расчет!$H$2:$H$3001,3))</f>
        <v/>
      </c>
      <c r="K710">
        <f>IF($L710="","",INDEX(Расчет!$I$2:$I$3001,$L710))</f>
        <v/>
      </c>
      <c r="L710">
        <f>IFERROR(MATCH(ROW()-1,Расчет!$J$2:$J$3001,0),"")</f>
        <v/>
      </c>
    </row>
    <row r="711">
      <c r="A711">
        <f>IF($L711="","",B711&amp;"."&amp;C711&amp;"-"&amp;D711&amp;"-"&amp;H711&amp;"."&amp;I711&amp;"."&amp;J711)</f>
        <v/>
      </c>
      <c r="B711">
        <f>IF($L711="","",INDEX(Расчет!$A$2:$A$3001,$L711))</f>
        <v/>
      </c>
      <c r="C711">
        <f>IF($L711="","",INDEX(Расчет!$B$2:$B$3001,$L711))</f>
        <v/>
      </c>
      <c r="D711">
        <f>IF($L711="","",IF(ISNUMBER(FIND("(",INDEX(Расчет!$C$2:$C$3001,$L711))),SUBSTITUTE(MID(INDEX(Расчет!$C$2:$C$3001,$L711),FIND("(",INDEX(Расчет!$C$2:$C$3001,$L711))+1,99),")",""),INDEX(Расчет!$C$2:$C$3001,$L711)))</f>
        <v/>
      </c>
      <c r="E711">
        <f>IF($L711="","",INDEX(Расчет!$D$2:$D$3001,$L711))</f>
        <v/>
      </c>
      <c r="F711">
        <f>IF($L711="","",INDEX(Расчет!$E$2:$E$3001,$L711))</f>
        <v/>
      </c>
      <c r="G711">
        <f>IF($L711="","",IFERROR(--LEFT(INDEX(Расчет!$C$2:$C$3001,$L711),FIND("(",INDEX(Расчет!$C$2:$C$3001,$L711))-1),IFERROR(--LEFT(INDEX(Расчет!$C$2:$C$3001,$L711),1),"")))</f>
        <v/>
      </c>
      <c r="H711">
        <f>IF($L711="","",SUMIFS(Расчет!$G$2:$G$3001,Расчет!$I$2:$I$3001,$K711,Расчет!$H$2:$H$3001,1))</f>
        <v/>
      </c>
      <c r="I711">
        <f>IF($L711="","",SUMIFS(Расчет!$G$2:$G$3001,Расчет!$I$2:$I$3001,$K711,Расчет!$H$2:$H$3001,2))</f>
        <v/>
      </c>
      <c r="J711">
        <f>IF($L711="","",SUMIFS(Расчет!$G$2:$G$3001,Расчет!$I$2:$I$3001,$K711,Расчет!$H$2:$H$3001,3))</f>
        <v/>
      </c>
      <c r="K711">
        <f>IF($L711="","",INDEX(Расчет!$I$2:$I$3001,$L711))</f>
        <v/>
      </c>
      <c r="L711">
        <f>IFERROR(MATCH(ROW()-1,Расчет!$J$2:$J$3001,0),"")</f>
        <v/>
      </c>
    </row>
    <row r="712">
      <c r="A712">
        <f>IF($L712="","",B712&amp;"."&amp;C712&amp;"-"&amp;D712&amp;"-"&amp;H712&amp;"."&amp;I712&amp;"."&amp;J712)</f>
        <v/>
      </c>
      <c r="B712">
        <f>IF($L712="","",INDEX(Расчет!$A$2:$A$3001,$L712))</f>
        <v/>
      </c>
      <c r="C712">
        <f>IF($L712="","",INDEX(Расчет!$B$2:$B$3001,$L712))</f>
        <v/>
      </c>
      <c r="D712">
        <f>IF($L712="","",IF(ISNUMBER(FIND("(",INDEX(Расчет!$C$2:$C$3001,$L712))),SUBSTITUTE(MID(INDEX(Расчет!$C$2:$C$3001,$L712),FIND("(",INDEX(Расчет!$C$2:$C$3001,$L712))+1,99),")",""),INDEX(Расчет!$C$2:$C$3001,$L712)))</f>
        <v/>
      </c>
      <c r="E712">
        <f>IF($L712="","",INDEX(Расчет!$D$2:$D$3001,$L712))</f>
        <v/>
      </c>
      <c r="F712">
        <f>IF($L712="","",INDEX(Расчет!$E$2:$E$3001,$L712))</f>
        <v/>
      </c>
      <c r="G712">
        <f>IF($L712="","",IFERROR(--LEFT(INDEX(Расчет!$C$2:$C$3001,$L712),FIND("(",INDEX(Расчет!$C$2:$C$3001,$L712))-1),IFERROR(--LEFT(INDEX(Расчет!$C$2:$C$3001,$L712),1),"")))</f>
        <v/>
      </c>
      <c r="H712">
        <f>IF($L712="","",SUMIFS(Расчет!$G$2:$G$3001,Расчет!$I$2:$I$3001,$K712,Расчет!$H$2:$H$3001,1))</f>
        <v/>
      </c>
      <c r="I712">
        <f>IF($L712="","",SUMIFS(Расчет!$G$2:$G$3001,Расчет!$I$2:$I$3001,$K712,Расчет!$H$2:$H$3001,2))</f>
        <v/>
      </c>
      <c r="J712">
        <f>IF($L712="","",SUMIFS(Расчет!$G$2:$G$3001,Расчет!$I$2:$I$3001,$K712,Расчет!$H$2:$H$3001,3))</f>
        <v/>
      </c>
      <c r="K712">
        <f>IF($L712="","",INDEX(Расчет!$I$2:$I$3001,$L712))</f>
        <v/>
      </c>
      <c r="L712">
        <f>IFERROR(MATCH(ROW()-1,Расчет!$J$2:$J$3001,0),"")</f>
        <v/>
      </c>
    </row>
    <row r="713">
      <c r="A713">
        <f>IF($L713="","",B713&amp;"."&amp;C713&amp;"-"&amp;D713&amp;"-"&amp;H713&amp;"."&amp;I713&amp;"."&amp;J713)</f>
        <v/>
      </c>
      <c r="B713">
        <f>IF($L713="","",INDEX(Расчет!$A$2:$A$3001,$L713))</f>
        <v/>
      </c>
      <c r="C713">
        <f>IF($L713="","",INDEX(Расчет!$B$2:$B$3001,$L713))</f>
        <v/>
      </c>
      <c r="D713">
        <f>IF($L713="","",IF(ISNUMBER(FIND("(",INDEX(Расчет!$C$2:$C$3001,$L713))),SUBSTITUTE(MID(INDEX(Расчет!$C$2:$C$3001,$L713),FIND("(",INDEX(Расчет!$C$2:$C$3001,$L713))+1,99),")",""),INDEX(Расчет!$C$2:$C$3001,$L713)))</f>
        <v/>
      </c>
      <c r="E713">
        <f>IF($L713="","",INDEX(Расчет!$D$2:$D$3001,$L713))</f>
        <v/>
      </c>
      <c r="F713">
        <f>IF($L713="","",INDEX(Расчет!$E$2:$E$3001,$L713))</f>
        <v/>
      </c>
      <c r="G713">
        <f>IF($L713="","",IFERROR(--LEFT(INDEX(Расчет!$C$2:$C$3001,$L713),FIND("(",INDEX(Расчет!$C$2:$C$3001,$L713))-1),IFERROR(--LEFT(INDEX(Расчет!$C$2:$C$3001,$L713),1),"")))</f>
        <v/>
      </c>
      <c r="H713">
        <f>IF($L713="","",SUMIFS(Расчет!$G$2:$G$3001,Расчет!$I$2:$I$3001,$K713,Расчет!$H$2:$H$3001,1))</f>
        <v/>
      </c>
      <c r="I713">
        <f>IF($L713="","",SUMIFS(Расчет!$G$2:$G$3001,Расчет!$I$2:$I$3001,$K713,Расчет!$H$2:$H$3001,2))</f>
        <v/>
      </c>
      <c r="J713">
        <f>IF($L713="","",SUMIFS(Расчет!$G$2:$G$3001,Расчет!$I$2:$I$3001,$K713,Расчет!$H$2:$H$3001,3))</f>
        <v/>
      </c>
      <c r="K713">
        <f>IF($L713="","",INDEX(Расчет!$I$2:$I$3001,$L713))</f>
        <v/>
      </c>
      <c r="L713">
        <f>IFERROR(MATCH(ROW()-1,Расчет!$J$2:$J$3001,0),"")</f>
        <v/>
      </c>
    </row>
    <row r="714">
      <c r="A714">
        <f>IF($L714="","",B714&amp;"."&amp;C714&amp;"-"&amp;D714&amp;"-"&amp;H714&amp;"."&amp;I714&amp;"."&amp;J714)</f>
        <v/>
      </c>
      <c r="B714">
        <f>IF($L714="","",INDEX(Расчет!$A$2:$A$3001,$L714))</f>
        <v/>
      </c>
      <c r="C714">
        <f>IF($L714="","",INDEX(Расчет!$B$2:$B$3001,$L714))</f>
        <v/>
      </c>
      <c r="D714">
        <f>IF($L714="","",IF(ISNUMBER(FIND("(",INDEX(Расчет!$C$2:$C$3001,$L714))),SUBSTITUTE(MID(INDEX(Расчет!$C$2:$C$3001,$L714),FIND("(",INDEX(Расчет!$C$2:$C$3001,$L714))+1,99),")",""),INDEX(Расчет!$C$2:$C$3001,$L714)))</f>
        <v/>
      </c>
      <c r="E714">
        <f>IF($L714="","",INDEX(Расчет!$D$2:$D$3001,$L714))</f>
        <v/>
      </c>
      <c r="F714">
        <f>IF($L714="","",INDEX(Расчет!$E$2:$E$3001,$L714))</f>
        <v/>
      </c>
      <c r="G714">
        <f>IF($L714="","",IFERROR(--LEFT(INDEX(Расчет!$C$2:$C$3001,$L714),FIND("(",INDEX(Расчет!$C$2:$C$3001,$L714))-1),IFERROR(--LEFT(INDEX(Расчет!$C$2:$C$3001,$L714),1),"")))</f>
        <v/>
      </c>
      <c r="H714">
        <f>IF($L714="","",SUMIFS(Расчет!$G$2:$G$3001,Расчет!$I$2:$I$3001,$K714,Расчет!$H$2:$H$3001,1))</f>
        <v/>
      </c>
      <c r="I714">
        <f>IF($L714="","",SUMIFS(Расчет!$G$2:$G$3001,Расчет!$I$2:$I$3001,$K714,Расчет!$H$2:$H$3001,2))</f>
        <v/>
      </c>
      <c r="J714">
        <f>IF($L714="","",SUMIFS(Расчет!$G$2:$G$3001,Расчет!$I$2:$I$3001,$K714,Расчет!$H$2:$H$3001,3))</f>
        <v/>
      </c>
      <c r="K714">
        <f>IF($L714="","",INDEX(Расчет!$I$2:$I$3001,$L714))</f>
        <v/>
      </c>
      <c r="L714">
        <f>IFERROR(MATCH(ROW()-1,Расчет!$J$2:$J$3001,0),"")</f>
        <v/>
      </c>
    </row>
    <row r="715">
      <c r="A715">
        <f>IF($L715="","",B715&amp;"."&amp;C715&amp;"-"&amp;D715&amp;"-"&amp;H715&amp;"."&amp;I715&amp;"."&amp;J715)</f>
        <v/>
      </c>
      <c r="B715">
        <f>IF($L715="","",INDEX(Расчет!$A$2:$A$3001,$L715))</f>
        <v/>
      </c>
      <c r="C715">
        <f>IF($L715="","",INDEX(Расчет!$B$2:$B$3001,$L715))</f>
        <v/>
      </c>
      <c r="D715">
        <f>IF($L715="","",IF(ISNUMBER(FIND("(",INDEX(Расчет!$C$2:$C$3001,$L715))),SUBSTITUTE(MID(INDEX(Расчет!$C$2:$C$3001,$L715),FIND("(",INDEX(Расчет!$C$2:$C$3001,$L715))+1,99),")",""),INDEX(Расчет!$C$2:$C$3001,$L715)))</f>
        <v/>
      </c>
      <c r="E715">
        <f>IF($L715="","",INDEX(Расчет!$D$2:$D$3001,$L715))</f>
        <v/>
      </c>
      <c r="F715">
        <f>IF($L715="","",INDEX(Расчет!$E$2:$E$3001,$L715))</f>
        <v/>
      </c>
      <c r="G715">
        <f>IF($L715="","",IFERROR(--LEFT(INDEX(Расчет!$C$2:$C$3001,$L715),FIND("(",INDEX(Расчет!$C$2:$C$3001,$L715))-1),IFERROR(--LEFT(INDEX(Расчет!$C$2:$C$3001,$L715),1),"")))</f>
        <v/>
      </c>
      <c r="H715">
        <f>IF($L715="","",SUMIFS(Расчет!$G$2:$G$3001,Расчет!$I$2:$I$3001,$K715,Расчет!$H$2:$H$3001,1))</f>
        <v/>
      </c>
      <c r="I715">
        <f>IF($L715="","",SUMIFS(Расчет!$G$2:$G$3001,Расчет!$I$2:$I$3001,$K715,Расчет!$H$2:$H$3001,2))</f>
        <v/>
      </c>
      <c r="J715">
        <f>IF($L715="","",SUMIFS(Расчет!$G$2:$G$3001,Расчет!$I$2:$I$3001,$K715,Расчет!$H$2:$H$3001,3))</f>
        <v/>
      </c>
      <c r="K715">
        <f>IF($L715="","",INDEX(Расчет!$I$2:$I$3001,$L715))</f>
        <v/>
      </c>
      <c r="L715">
        <f>IFERROR(MATCH(ROW()-1,Расчет!$J$2:$J$3001,0),"")</f>
        <v/>
      </c>
    </row>
    <row r="716">
      <c r="A716">
        <f>IF($L716="","",B716&amp;"."&amp;C716&amp;"-"&amp;D716&amp;"-"&amp;H716&amp;"."&amp;I716&amp;"."&amp;J716)</f>
        <v/>
      </c>
      <c r="B716">
        <f>IF($L716="","",INDEX(Расчет!$A$2:$A$3001,$L716))</f>
        <v/>
      </c>
      <c r="C716">
        <f>IF($L716="","",INDEX(Расчет!$B$2:$B$3001,$L716))</f>
        <v/>
      </c>
      <c r="D716">
        <f>IF($L716="","",IF(ISNUMBER(FIND("(",INDEX(Расчет!$C$2:$C$3001,$L716))),SUBSTITUTE(MID(INDEX(Расчет!$C$2:$C$3001,$L716),FIND("(",INDEX(Расчет!$C$2:$C$3001,$L716))+1,99),")",""),INDEX(Расчет!$C$2:$C$3001,$L716)))</f>
        <v/>
      </c>
      <c r="E716">
        <f>IF($L716="","",INDEX(Расчет!$D$2:$D$3001,$L716))</f>
        <v/>
      </c>
      <c r="F716">
        <f>IF($L716="","",INDEX(Расчет!$E$2:$E$3001,$L716))</f>
        <v/>
      </c>
      <c r="G716">
        <f>IF($L716="","",IFERROR(--LEFT(INDEX(Расчет!$C$2:$C$3001,$L716),FIND("(",INDEX(Расчет!$C$2:$C$3001,$L716))-1),IFERROR(--LEFT(INDEX(Расчет!$C$2:$C$3001,$L716),1),"")))</f>
        <v/>
      </c>
      <c r="H716">
        <f>IF($L716="","",SUMIFS(Расчет!$G$2:$G$3001,Расчет!$I$2:$I$3001,$K716,Расчет!$H$2:$H$3001,1))</f>
        <v/>
      </c>
      <c r="I716">
        <f>IF($L716="","",SUMIFS(Расчет!$G$2:$G$3001,Расчет!$I$2:$I$3001,$K716,Расчет!$H$2:$H$3001,2))</f>
        <v/>
      </c>
      <c r="J716">
        <f>IF($L716="","",SUMIFS(Расчет!$G$2:$G$3001,Расчет!$I$2:$I$3001,$K716,Расчет!$H$2:$H$3001,3))</f>
        <v/>
      </c>
      <c r="K716">
        <f>IF($L716="","",INDEX(Расчет!$I$2:$I$3001,$L716))</f>
        <v/>
      </c>
      <c r="L716">
        <f>IFERROR(MATCH(ROW()-1,Расчет!$J$2:$J$3001,0),"")</f>
        <v/>
      </c>
    </row>
    <row r="717">
      <c r="A717">
        <f>IF($L717="","",B717&amp;"."&amp;C717&amp;"-"&amp;D717&amp;"-"&amp;H717&amp;"."&amp;I717&amp;"."&amp;J717)</f>
        <v/>
      </c>
      <c r="B717">
        <f>IF($L717="","",INDEX(Расчет!$A$2:$A$3001,$L717))</f>
        <v/>
      </c>
      <c r="C717">
        <f>IF($L717="","",INDEX(Расчет!$B$2:$B$3001,$L717))</f>
        <v/>
      </c>
      <c r="D717">
        <f>IF($L717="","",IF(ISNUMBER(FIND("(",INDEX(Расчет!$C$2:$C$3001,$L717))),SUBSTITUTE(MID(INDEX(Расчет!$C$2:$C$3001,$L717),FIND("(",INDEX(Расчет!$C$2:$C$3001,$L717))+1,99),")",""),INDEX(Расчет!$C$2:$C$3001,$L717)))</f>
        <v/>
      </c>
      <c r="E717">
        <f>IF($L717="","",INDEX(Расчет!$D$2:$D$3001,$L717))</f>
        <v/>
      </c>
      <c r="F717">
        <f>IF($L717="","",INDEX(Расчет!$E$2:$E$3001,$L717))</f>
        <v/>
      </c>
      <c r="G717">
        <f>IF($L717="","",IFERROR(--LEFT(INDEX(Расчет!$C$2:$C$3001,$L717),FIND("(",INDEX(Расчет!$C$2:$C$3001,$L717))-1),IFERROR(--LEFT(INDEX(Расчет!$C$2:$C$3001,$L717),1),"")))</f>
        <v/>
      </c>
      <c r="H717">
        <f>IF($L717="","",SUMIFS(Расчет!$G$2:$G$3001,Расчет!$I$2:$I$3001,$K717,Расчет!$H$2:$H$3001,1))</f>
        <v/>
      </c>
      <c r="I717">
        <f>IF($L717="","",SUMIFS(Расчет!$G$2:$G$3001,Расчет!$I$2:$I$3001,$K717,Расчет!$H$2:$H$3001,2))</f>
        <v/>
      </c>
      <c r="J717">
        <f>IF($L717="","",SUMIFS(Расчет!$G$2:$G$3001,Расчет!$I$2:$I$3001,$K717,Расчет!$H$2:$H$3001,3))</f>
        <v/>
      </c>
      <c r="K717">
        <f>IF($L717="","",INDEX(Расчет!$I$2:$I$3001,$L717))</f>
        <v/>
      </c>
      <c r="L717">
        <f>IFERROR(MATCH(ROW()-1,Расчет!$J$2:$J$3001,0),"")</f>
        <v/>
      </c>
    </row>
    <row r="718">
      <c r="A718">
        <f>IF($L718="","",B718&amp;"."&amp;C718&amp;"-"&amp;D718&amp;"-"&amp;H718&amp;"."&amp;I718&amp;"."&amp;J718)</f>
        <v/>
      </c>
      <c r="B718">
        <f>IF($L718="","",INDEX(Расчет!$A$2:$A$3001,$L718))</f>
        <v/>
      </c>
      <c r="C718">
        <f>IF($L718="","",INDEX(Расчет!$B$2:$B$3001,$L718))</f>
        <v/>
      </c>
      <c r="D718">
        <f>IF($L718="","",IF(ISNUMBER(FIND("(",INDEX(Расчет!$C$2:$C$3001,$L718))),SUBSTITUTE(MID(INDEX(Расчет!$C$2:$C$3001,$L718),FIND("(",INDEX(Расчет!$C$2:$C$3001,$L718))+1,99),")",""),INDEX(Расчет!$C$2:$C$3001,$L718)))</f>
        <v/>
      </c>
      <c r="E718">
        <f>IF($L718="","",INDEX(Расчет!$D$2:$D$3001,$L718))</f>
        <v/>
      </c>
      <c r="F718">
        <f>IF($L718="","",INDEX(Расчет!$E$2:$E$3001,$L718))</f>
        <v/>
      </c>
      <c r="G718">
        <f>IF($L718="","",IFERROR(--LEFT(INDEX(Расчет!$C$2:$C$3001,$L718),FIND("(",INDEX(Расчет!$C$2:$C$3001,$L718))-1),IFERROR(--LEFT(INDEX(Расчет!$C$2:$C$3001,$L718),1),"")))</f>
        <v/>
      </c>
      <c r="H718">
        <f>IF($L718="","",SUMIFS(Расчет!$G$2:$G$3001,Расчет!$I$2:$I$3001,$K718,Расчет!$H$2:$H$3001,1))</f>
        <v/>
      </c>
      <c r="I718">
        <f>IF($L718="","",SUMIFS(Расчет!$G$2:$G$3001,Расчет!$I$2:$I$3001,$K718,Расчет!$H$2:$H$3001,2))</f>
        <v/>
      </c>
      <c r="J718">
        <f>IF($L718="","",SUMIFS(Расчет!$G$2:$G$3001,Расчет!$I$2:$I$3001,$K718,Расчет!$H$2:$H$3001,3))</f>
        <v/>
      </c>
      <c r="K718">
        <f>IF($L718="","",INDEX(Расчет!$I$2:$I$3001,$L718))</f>
        <v/>
      </c>
      <c r="L718">
        <f>IFERROR(MATCH(ROW()-1,Расчет!$J$2:$J$3001,0),"")</f>
        <v/>
      </c>
    </row>
    <row r="719">
      <c r="A719">
        <f>IF($L719="","",B719&amp;"."&amp;C719&amp;"-"&amp;D719&amp;"-"&amp;H719&amp;"."&amp;I719&amp;"."&amp;J719)</f>
        <v/>
      </c>
      <c r="B719">
        <f>IF($L719="","",INDEX(Расчет!$A$2:$A$3001,$L719))</f>
        <v/>
      </c>
      <c r="C719">
        <f>IF($L719="","",INDEX(Расчет!$B$2:$B$3001,$L719))</f>
        <v/>
      </c>
      <c r="D719">
        <f>IF($L719="","",IF(ISNUMBER(FIND("(",INDEX(Расчет!$C$2:$C$3001,$L719))),SUBSTITUTE(MID(INDEX(Расчет!$C$2:$C$3001,$L719),FIND("(",INDEX(Расчет!$C$2:$C$3001,$L719))+1,99),")",""),INDEX(Расчет!$C$2:$C$3001,$L719)))</f>
        <v/>
      </c>
      <c r="E719">
        <f>IF($L719="","",INDEX(Расчет!$D$2:$D$3001,$L719))</f>
        <v/>
      </c>
      <c r="F719">
        <f>IF($L719="","",INDEX(Расчет!$E$2:$E$3001,$L719))</f>
        <v/>
      </c>
      <c r="G719">
        <f>IF($L719="","",IFERROR(--LEFT(INDEX(Расчет!$C$2:$C$3001,$L719),FIND("(",INDEX(Расчет!$C$2:$C$3001,$L719))-1),IFERROR(--LEFT(INDEX(Расчет!$C$2:$C$3001,$L719),1),"")))</f>
        <v/>
      </c>
      <c r="H719">
        <f>IF($L719="","",SUMIFS(Расчет!$G$2:$G$3001,Расчет!$I$2:$I$3001,$K719,Расчет!$H$2:$H$3001,1))</f>
        <v/>
      </c>
      <c r="I719">
        <f>IF($L719="","",SUMIFS(Расчет!$G$2:$G$3001,Расчет!$I$2:$I$3001,$K719,Расчет!$H$2:$H$3001,2))</f>
        <v/>
      </c>
      <c r="J719">
        <f>IF($L719="","",SUMIFS(Расчет!$G$2:$G$3001,Расчет!$I$2:$I$3001,$K719,Расчет!$H$2:$H$3001,3))</f>
        <v/>
      </c>
      <c r="K719">
        <f>IF($L719="","",INDEX(Расчет!$I$2:$I$3001,$L719))</f>
        <v/>
      </c>
      <c r="L719">
        <f>IFERROR(MATCH(ROW()-1,Расчет!$J$2:$J$3001,0),"")</f>
        <v/>
      </c>
    </row>
    <row r="720">
      <c r="A720">
        <f>IF($L720="","",B720&amp;"."&amp;C720&amp;"-"&amp;D720&amp;"-"&amp;H720&amp;"."&amp;I720&amp;"."&amp;J720)</f>
        <v/>
      </c>
      <c r="B720">
        <f>IF($L720="","",INDEX(Расчет!$A$2:$A$3001,$L720))</f>
        <v/>
      </c>
      <c r="C720">
        <f>IF($L720="","",INDEX(Расчет!$B$2:$B$3001,$L720))</f>
        <v/>
      </c>
      <c r="D720">
        <f>IF($L720="","",IF(ISNUMBER(FIND("(",INDEX(Расчет!$C$2:$C$3001,$L720))),SUBSTITUTE(MID(INDEX(Расчет!$C$2:$C$3001,$L720),FIND("(",INDEX(Расчет!$C$2:$C$3001,$L720))+1,99),")",""),INDEX(Расчет!$C$2:$C$3001,$L720)))</f>
        <v/>
      </c>
      <c r="E720">
        <f>IF($L720="","",INDEX(Расчет!$D$2:$D$3001,$L720))</f>
        <v/>
      </c>
      <c r="F720">
        <f>IF($L720="","",INDEX(Расчет!$E$2:$E$3001,$L720))</f>
        <v/>
      </c>
      <c r="G720">
        <f>IF($L720="","",IFERROR(--LEFT(INDEX(Расчет!$C$2:$C$3001,$L720),FIND("(",INDEX(Расчет!$C$2:$C$3001,$L720))-1),IFERROR(--LEFT(INDEX(Расчет!$C$2:$C$3001,$L720),1),"")))</f>
        <v/>
      </c>
      <c r="H720">
        <f>IF($L720="","",SUMIFS(Расчет!$G$2:$G$3001,Расчет!$I$2:$I$3001,$K720,Расчет!$H$2:$H$3001,1))</f>
        <v/>
      </c>
      <c r="I720">
        <f>IF($L720="","",SUMIFS(Расчет!$G$2:$G$3001,Расчет!$I$2:$I$3001,$K720,Расчет!$H$2:$H$3001,2))</f>
        <v/>
      </c>
      <c r="J720">
        <f>IF($L720="","",SUMIFS(Расчет!$G$2:$G$3001,Расчет!$I$2:$I$3001,$K720,Расчет!$H$2:$H$3001,3))</f>
        <v/>
      </c>
      <c r="K720">
        <f>IF($L720="","",INDEX(Расчет!$I$2:$I$3001,$L720))</f>
        <v/>
      </c>
      <c r="L720">
        <f>IFERROR(MATCH(ROW()-1,Расчет!$J$2:$J$3001,0),"")</f>
        <v/>
      </c>
    </row>
    <row r="721">
      <c r="A721">
        <f>IF($L721="","",B721&amp;"."&amp;C721&amp;"-"&amp;D721&amp;"-"&amp;H721&amp;"."&amp;I721&amp;"."&amp;J721)</f>
        <v/>
      </c>
      <c r="B721">
        <f>IF($L721="","",INDEX(Расчет!$A$2:$A$3001,$L721))</f>
        <v/>
      </c>
      <c r="C721">
        <f>IF($L721="","",INDEX(Расчет!$B$2:$B$3001,$L721))</f>
        <v/>
      </c>
      <c r="D721">
        <f>IF($L721="","",IF(ISNUMBER(FIND("(",INDEX(Расчет!$C$2:$C$3001,$L721))),SUBSTITUTE(MID(INDEX(Расчет!$C$2:$C$3001,$L721),FIND("(",INDEX(Расчет!$C$2:$C$3001,$L721))+1,99),")",""),INDEX(Расчет!$C$2:$C$3001,$L721)))</f>
        <v/>
      </c>
      <c r="E721">
        <f>IF($L721="","",INDEX(Расчет!$D$2:$D$3001,$L721))</f>
        <v/>
      </c>
      <c r="F721">
        <f>IF($L721="","",INDEX(Расчет!$E$2:$E$3001,$L721))</f>
        <v/>
      </c>
      <c r="G721">
        <f>IF($L721="","",IFERROR(--LEFT(INDEX(Расчет!$C$2:$C$3001,$L721),FIND("(",INDEX(Расчет!$C$2:$C$3001,$L721))-1),IFERROR(--LEFT(INDEX(Расчет!$C$2:$C$3001,$L721),1),"")))</f>
        <v/>
      </c>
      <c r="H721">
        <f>IF($L721="","",SUMIFS(Расчет!$G$2:$G$3001,Расчет!$I$2:$I$3001,$K721,Расчет!$H$2:$H$3001,1))</f>
        <v/>
      </c>
      <c r="I721">
        <f>IF($L721="","",SUMIFS(Расчет!$G$2:$G$3001,Расчет!$I$2:$I$3001,$K721,Расчет!$H$2:$H$3001,2))</f>
        <v/>
      </c>
      <c r="J721">
        <f>IF($L721="","",SUMIFS(Расчет!$G$2:$G$3001,Расчет!$I$2:$I$3001,$K721,Расчет!$H$2:$H$3001,3))</f>
        <v/>
      </c>
      <c r="K721">
        <f>IF($L721="","",INDEX(Расчет!$I$2:$I$3001,$L721))</f>
        <v/>
      </c>
      <c r="L721">
        <f>IFERROR(MATCH(ROW()-1,Расчет!$J$2:$J$3001,0),"")</f>
        <v/>
      </c>
    </row>
    <row r="722">
      <c r="A722">
        <f>IF($L722="","",B722&amp;"."&amp;C722&amp;"-"&amp;D722&amp;"-"&amp;H722&amp;"."&amp;I722&amp;"."&amp;J722)</f>
        <v/>
      </c>
      <c r="B722">
        <f>IF($L722="","",INDEX(Расчет!$A$2:$A$3001,$L722))</f>
        <v/>
      </c>
      <c r="C722">
        <f>IF($L722="","",INDEX(Расчет!$B$2:$B$3001,$L722))</f>
        <v/>
      </c>
      <c r="D722">
        <f>IF($L722="","",IF(ISNUMBER(FIND("(",INDEX(Расчет!$C$2:$C$3001,$L722))),SUBSTITUTE(MID(INDEX(Расчет!$C$2:$C$3001,$L722),FIND("(",INDEX(Расчет!$C$2:$C$3001,$L722))+1,99),")",""),INDEX(Расчет!$C$2:$C$3001,$L722)))</f>
        <v/>
      </c>
      <c r="E722">
        <f>IF($L722="","",INDEX(Расчет!$D$2:$D$3001,$L722))</f>
        <v/>
      </c>
      <c r="F722">
        <f>IF($L722="","",INDEX(Расчет!$E$2:$E$3001,$L722))</f>
        <v/>
      </c>
      <c r="G722">
        <f>IF($L722="","",IFERROR(--LEFT(INDEX(Расчет!$C$2:$C$3001,$L722),FIND("(",INDEX(Расчет!$C$2:$C$3001,$L722))-1),IFERROR(--LEFT(INDEX(Расчет!$C$2:$C$3001,$L722),1),"")))</f>
        <v/>
      </c>
      <c r="H722">
        <f>IF($L722="","",SUMIFS(Расчет!$G$2:$G$3001,Расчет!$I$2:$I$3001,$K722,Расчет!$H$2:$H$3001,1))</f>
        <v/>
      </c>
      <c r="I722">
        <f>IF($L722="","",SUMIFS(Расчет!$G$2:$G$3001,Расчет!$I$2:$I$3001,$K722,Расчет!$H$2:$H$3001,2))</f>
        <v/>
      </c>
      <c r="J722">
        <f>IF($L722="","",SUMIFS(Расчет!$G$2:$G$3001,Расчет!$I$2:$I$3001,$K722,Расчет!$H$2:$H$3001,3))</f>
        <v/>
      </c>
      <c r="K722">
        <f>IF($L722="","",INDEX(Расчет!$I$2:$I$3001,$L722))</f>
        <v/>
      </c>
      <c r="L722">
        <f>IFERROR(MATCH(ROW()-1,Расчет!$J$2:$J$3001,0),"")</f>
        <v/>
      </c>
    </row>
    <row r="723">
      <c r="A723">
        <f>IF($L723="","",B723&amp;"."&amp;C723&amp;"-"&amp;D723&amp;"-"&amp;H723&amp;"."&amp;I723&amp;"."&amp;J723)</f>
        <v/>
      </c>
      <c r="B723">
        <f>IF($L723="","",INDEX(Расчет!$A$2:$A$3001,$L723))</f>
        <v/>
      </c>
      <c r="C723">
        <f>IF($L723="","",INDEX(Расчет!$B$2:$B$3001,$L723))</f>
        <v/>
      </c>
      <c r="D723">
        <f>IF($L723="","",IF(ISNUMBER(FIND("(",INDEX(Расчет!$C$2:$C$3001,$L723))),SUBSTITUTE(MID(INDEX(Расчет!$C$2:$C$3001,$L723),FIND("(",INDEX(Расчет!$C$2:$C$3001,$L723))+1,99),")",""),INDEX(Расчет!$C$2:$C$3001,$L723)))</f>
        <v/>
      </c>
      <c r="E723">
        <f>IF($L723="","",INDEX(Расчет!$D$2:$D$3001,$L723))</f>
        <v/>
      </c>
      <c r="F723">
        <f>IF($L723="","",INDEX(Расчет!$E$2:$E$3001,$L723))</f>
        <v/>
      </c>
      <c r="G723">
        <f>IF($L723="","",IFERROR(--LEFT(INDEX(Расчет!$C$2:$C$3001,$L723),FIND("(",INDEX(Расчет!$C$2:$C$3001,$L723))-1),IFERROR(--LEFT(INDEX(Расчет!$C$2:$C$3001,$L723),1),"")))</f>
        <v/>
      </c>
      <c r="H723">
        <f>IF($L723="","",SUMIFS(Расчет!$G$2:$G$3001,Расчет!$I$2:$I$3001,$K723,Расчет!$H$2:$H$3001,1))</f>
        <v/>
      </c>
      <c r="I723">
        <f>IF($L723="","",SUMIFS(Расчет!$G$2:$G$3001,Расчет!$I$2:$I$3001,$K723,Расчет!$H$2:$H$3001,2))</f>
        <v/>
      </c>
      <c r="J723">
        <f>IF($L723="","",SUMIFS(Расчет!$G$2:$G$3001,Расчет!$I$2:$I$3001,$K723,Расчет!$H$2:$H$3001,3))</f>
        <v/>
      </c>
      <c r="K723">
        <f>IF($L723="","",INDEX(Расчет!$I$2:$I$3001,$L723))</f>
        <v/>
      </c>
      <c r="L723">
        <f>IFERROR(MATCH(ROW()-1,Расчет!$J$2:$J$3001,0),"")</f>
        <v/>
      </c>
    </row>
    <row r="724">
      <c r="A724">
        <f>IF($L724="","",B724&amp;"."&amp;C724&amp;"-"&amp;D724&amp;"-"&amp;H724&amp;"."&amp;I724&amp;"."&amp;J724)</f>
        <v/>
      </c>
      <c r="B724">
        <f>IF($L724="","",INDEX(Расчет!$A$2:$A$3001,$L724))</f>
        <v/>
      </c>
      <c r="C724">
        <f>IF($L724="","",INDEX(Расчет!$B$2:$B$3001,$L724))</f>
        <v/>
      </c>
      <c r="D724">
        <f>IF($L724="","",IF(ISNUMBER(FIND("(",INDEX(Расчет!$C$2:$C$3001,$L724))),SUBSTITUTE(MID(INDEX(Расчет!$C$2:$C$3001,$L724),FIND("(",INDEX(Расчет!$C$2:$C$3001,$L724))+1,99),")",""),INDEX(Расчет!$C$2:$C$3001,$L724)))</f>
        <v/>
      </c>
      <c r="E724">
        <f>IF($L724="","",INDEX(Расчет!$D$2:$D$3001,$L724))</f>
        <v/>
      </c>
      <c r="F724">
        <f>IF($L724="","",INDEX(Расчет!$E$2:$E$3001,$L724))</f>
        <v/>
      </c>
      <c r="G724">
        <f>IF($L724="","",IFERROR(--LEFT(INDEX(Расчет!$C$2:$C$3001,$L724),FIND("(",INDEX(Расчет!$C$2:$C$3001,$L724))-1),IFERROR(--LEFT(INDEX(Расчет!$C$2:$C$3001,$L724),1),"")))</f>
        <v/>
      </c>
      <c r="H724">
        <f>IF($L724="","",SUMIFS(Расчет!$G$2:$G$3001,Расчет!$I$2:$I$3001,$K724,Расчет!$H$2:$H$3001,1))</f>
        <v/>
      </c>
      <c r="I724">
        <f>IF($L724="","",SUMIFS(Расчет!$G$2:$G$3001,Расчет!$I$2:$I$3001,$K724,Расчет!$H$2:$H$3001,2))</f>
        <v/>
      </c>
      <c r="J724">
        <f>IF($L724="","",SUMIFS(Расчет!$G$2:$G$3001,Расчет!$I$2:$I$3001,$K724,Расчет!$H$2:$H$3001,3))</f>
        <v/>
      </c>
      <c r="K724">
        <f>IF($L724="","",INDEX(Расчет!$I$2:$I$3001,$L724))</f>
        <v/>
      </c>
      <c r="L724">
        <f>IFERROR(MATCH(ROW()-1,Расчет!$J$2:$J$3001,0),"")</f>
        <v/>
      </c>
    </row>
    <row r="725">
      <c r="A725">
        <f>IF($L725="","",B725&amp;"."&amp;C725&amp;"-"&amp;D725&amp;"-"&amp;H725&amp;"."&amp;I725&amp;"."&amp;J725)</f>
        <v/>
      </c>
      <c r="B725">
        <f>IF($L725="","",INDEX(Расчет!$A$2:$A$3001,$L725))</f>
        <v/>
      </c>
      <c r="C725">
        <f>IF($L725="","",INDEX(Расчет!$B$2:$B$3001,$L725))</f>
        <v/>
      </c>
      <c r="D725">
        <f>IF($L725="","",IF(ISNUMBER(FIND("(",INDEX(Расчет!$C$2:$C$3001,$L725))),SUBSTITUTE(MID(INDEX(Расчет!$C$2:$C$3001,$L725),FIND("(",INDEX(Расчет!$C$2:$C$3001,$L725))+1,99),")",""),INDEX(Расчет!$C$2:$C$3001,$L725)))</f>
        <v/>
      </c>
      <c r="E725">
        <f>IF($L725="","",INDEX(Расчет!$D$2:$D$3001,$L725))</f>
        <v/>
      </c>
      <c r="F725">
        <f>IF($L725="","",INDEX(Расчет!$E$2:$E$3001,$L725))</f>
        <v/>
      </c>
      <c r="G725">
        <f>IF($L725="","",IFERROR(--LEFT(INDEX(Расчет!$C$2:$C$3001,$L725),FIND("(",INDEX(Расчет!$C$2:$C$3001,$L725))-1),IFERROR(--LEFT(INDEX(Расчет!$C$2:$C$3001,$L725),1),"")))</f>
        <v/>
      </c>
      <c r="H725">
        <f>IF($L725="","",SUMIFS(Расчет!$G$2:$G$3001,Расчет!$I$2:$I$3001,$K725,Расчет!$H$2:$H$3001,1))</f>
        <v/>
      </c>
      <c r="I725">
        <f>IF($L725="","",SUMIFS(Расчет!$G$2:$G$3001,Расчет!$I$2:$I$3001,$K725,Расчет!$H$2:$H$3001,2))</f>
        <v/>
      </c>
      <c r="J725">
        <f>IF($L725="","",SUMIFS(Расчет!$G$2:$G$3001,Расчет!$I$2:$I$3001,$K725,Расчет!$H$2:$H$3001,3))</f>
        <v/>
      </c>
      <c r="K725">
        <f>IF($L725="","",INDEX(Расчет!$I$2:$I$3001,$L725))</f>
        <v/>
      </c>
      <c r="L725">
        <f>IFERROR(MATCH(ROW()-1,Расчет!$J$2:$J$3001,0),"")</f>
        <v/>
      </c>
    </row>
    <row r="726">
      <c r="A726">
        <f>IF($L726="","",B726&amp;"."&amp;C726&amp;"-"&amp;D726&amp;"-"&amp;H726&amp;"."&amp;I726&amp;"."&amp;J726)</f>
        <v/>
      </c>
      <c r="B726">
        <f>IF($L726="","",INDEX(Расчет!$A$2:$A$3001,$L726))</f>
        <v/>
      </c>
      <c r="C726">
        <f>IF($L726="","",INDEX(Расчет!$B$2:$B$3001,$L726))</f>
        <v/>
      </c>
      <c r="D726">
        <f>IF($L726="","",IF(ISNUMBER(FIND("(",INDEX(Расчет!$C$2:$C$3001,$L726))),SUBSTITUTE(MID(INDEX(Расчет!$C$2:$C$3001,$L726),FIND("(",INDEX(Расчет!$C$2:$C$3001,$L726))+1,99),")",""),INDEX(Расчет!$C$2:$C$3001,$L726)))</f>
        <v/>
      </c>
      <c r="E726">
        <f>IF($L726="","",INDEX(Расчет!$D$2:$D$3001,$L726))</f>
        <v/>
      </c>
      <c r="F726">
        <f>IF($L726="","",INDEX(Расчет!$E$2:$E$3001,$L726))</f>
        <v/>
      </c>
      <c r="G726">
        <f>IF($L726="","",IFERROR(--LEFT(INDEX(Расчет!$C$2:$C$3001,$L726),FIND("(",INDEX(Расчет!$C$2:$C$3001,$L726))-1),IFERROR(--LEFT(INDEX(Расчет!$C$2:$C$3001,$L726),1),"")))</f>
        <v/>
      </c>
      <c r="H726">
        <f>IF($L726="","",SUMIFS(Расчет!$G$2:$G$3001,Расчет!$I$2:$I$3001,$K726,Расчет!$H$2:$H$3001,1))</f>
        <v/>
      </c>
      <c r="I726">
        <f>IF($L726="","",SUMIFS(Расчет!$G$2:$G$3001,Расчет!$I$2:$I$3001,$K726,Расчет!$H$2:$H$3001,2))</f>
        <v/>
      </c>
      <c r="J726">
        <f>IF($L726="","",SUMIFS(Расчет!$G$2:$G$3001,Расчет!$I$2:$I$3001,$K726,Расчет!$H$2:$H$3001,3))</f>
        <v/>
      </c>
      <c r="K726">
        <f>IF($L726="","",INDEX(Расчет!$I$2:$I$3001,$L726))</f>
        <v/>
      </c>
      <c r="L726">
        <f>IFERROR(MATCH(ROW()-1,Расчет!$J$2:$J$3001,0),"")</f>
        <v/>
      </c>
    </row>
    <row r="727">
      <c r="A727">
        <f>IF($L727="","",B727&amp;"."&amp;C727&amp;"-"&amp;D727&amp;"-"&amp;H727&amp;"."&amp;I727&amp;"."&amp;J727)</f>
        <v/>
      </c>
      <c r="B727">
        <f>IF($L727="","",INDEX(Расчет!$A$2:$A$3001,$L727))</f>
        <v/>
      </c>
      <c r="C727">
        <f>IF($L727="","",INDEX(Расчет!$B$2:$B$3001,$L727))</f>
        <v/>
      </c>
      <c r="D727">
        <f>IF($L727="","",IF(ISNUMBER(FIND("(",INDEX(Расчет!$C$2:$C$3001,$L727))),SUBSTITUTE(MID(INDEX(Расчет!$C$2:$C$3001,$L727),FIND("(",INDEX(Расчет!$C$2:$C$3001,$L727))+1,99),")",""),INDEX(Расчет!$C$2:$C$3001,$L727)))</f>
        <v/>
      </c>
      <c r="E727">
        <f>IF($L727="","",INDEX(Расчет!$D$2:$D$3001,$L727))</f>
        <v/>
      </c>
      <c r="F727">
        <f>IF($L727="","",INDEX(Расчет!$E$2:$E$3001,$L727))</f>
        <v/>
      </c>
      <c r="G727">
        <f>IF($L727="","",IFERROR(--LEFT(INDEX(Расчет!$C$2:$C$3001,$L727),FIND("(",INDEX(Расчет!$C$2:$C$3001,$L727))-1),IFERROR(--LEFT(INDEX(Расчет!$C$2:$C$3001,$L727),1),"")))</f>
        <v/>
      </c>
      <c r="H727">
        <f>IF($L727="","",SUMIFS(Расчет!$G$2:$G$3001,Расчет!$I$2:$I$3001,$K727,Расчет!$H$2:$H$3001,1))</f>
        <v/>
      </c>
      <c r="I727">
        <f>IF($L727="","",SUMIFS(Расчет!$G$2:$G$3001,Расчет!$I$2:$I$3001,$K727,Расчет!$H$2:$H$3001,2))</f>
        <v/>
      </c>
      <c r="J727">
        <f>IF($L727="","",SUMIFS(Расчет!$G$2:$G$3001,Расчет!$I$2:$I$3001,$K727,Расчет!$H$2:$H$3001,3))</f>
        <v/>
      </c>
      <c r="K727">
        <f>IF($L727="","",INDEX(Расчет!$I$2:$I$3001,$L727))</f>
        <v/>
      </c>
      <c r="L727">
        <f>IFERROR(MATCH(ROW()-1,Расчет!$J$2:$J$3001,0),"")</f>
        <v/>
      </c>
    </row>
    <row r="728">
      <c r="A728">
        <f>IF($L728="","",B728&amp;"."&amp;C728&amp;"-"&amp;D728&amp;"-"&amp;H728&amp;"."&amp;I728&amp;"."&amp;J728)</f>
        <v/>
      </c>
      <c r="B728">
        <f>IF($L728="","",INDEX(Расчет!$A$2:$A$3001,$L728))</f>
        <v/>
      </c>
      <c r="C728">
        <f>IF($L728="","",INDEX(Расчет!$B$2:$B$3001,$L728))</f>
        <v/>
      </c>
      <c r="D728">
        <f>IF($L728="","",IF(ISNUMBER(FIND("(",INDEX(Расчет!$C$2:$C$3001,$L728))),SUBSTITUTE(MID(INDEX(Расчет!$C$2:$C$3001,$L728),FIND("(",INDEX(Расчет!$C$2:$C$3001,$L728))+1,99),")",""),INDEX(Расчет!$C$2:$C$3001,$L728)))</f>
        <v/>
      </c>
      <c r="E728">
        <f>IF($L728="","",INDEX(Расчет!$D$2:$D$3001,$L728))</f>
        <v/>
      </c>
      <c r="F728">
        <f>IF($L728="","",INDEX(Расчет!$E$2:$E$3001,$L728))</f>
        <v/>
      </c>
      <c r="G728">
        <f>IF($L728="","",IFERROR(--LEFT(INDEX(Расчет!$C$2:$C$3001,$L728),FIND("(",INDEX(Расчет!$C$2:$C$3001,$L728))-1),IFERROR(--LEFT(INDEX(Расчет!$C$2:$C$3001,$L728),1),"")))</f>
        <v/>
      </c>
      <c r="H728">
        <f>IF($L728="","",SUMIFS(Расчет!$G$2:$G$3001,Расчет!$I$2:$I$3001,$K728,Расчет!$H$2:$H$3001,1))</f>
        <v/>
      </c>
      <c r="I728">
        <f>IF($L728="","",SUMIFS(Расчет!$G$2:$G$3001,Расчет!$I$2:$I$3001,$K728,Расчет!$H$2:$H$3001,2))</f>
        <v/>
      </c>
      <c r="J728">
        <f>IF($L728="","",SUMIFS(Расчет!$G$2:$G$3001,Расчет!$I$2:$I$3001,$K728,Расчет!$H$2:$H$3001,3))</f>
        <v/>
      </c>
      <c r="K728">
        <f>IF($L728="","",INDEX(Расчет!$I$2:$I$3001,$L728))</f>
        <v/>
      </c>
      <c r="L728">
        <f>IFERROR(MATCH(ROW()-1,Расчет!$J$2:$J$3001,0),"")</f>
        <v/>
      </c>
    </row>
    <row r="729">
      <c r="A729">
        <f>IF($L729="","",B729&amp;"."&amp;C729&amp;"-"&amp;D729&amp;"-"&amp;H729&amp;"."&amp;I729&amp;"."&amp;J729)</f>
        <v/>
      </c>
      <c r="B729">
        <f>IF($L729="","",INDEX(Расчет!$A$2:$A$3001,$L729))</f>
        <v/>
      </c>
      <c r="C729">
        <f>IF($L729="","",INDEX(Расчет!$B$2:$B$3001,$L729))</f>
        <v/>
      </c>
      <c r="D729">
        <f>IF($L729="","",IF(ISNUMBER(FIND("(",INDEX(Расчет!$C$2:$C$3001,$L729))),SUBSTITUTE(MID(INDEX(Расчет!$C$2:$C$3001,$L729),FIND("(",INDEX(Расчет!$C$2:$C$3001,$L729))+1,99),")",""),INDEX(Расчет!$C$2:$C$3001,$L729)))</f>
        <v/>
      </c>
      <c r="E729">
        <f>IF($L729="","",INDEX(Расчет!$D$2:$D$3001,$L729))</f>
        <v/>
      </c>
      <c r="F729">
        <f>IF($L729="","",INDEX(Расчет!$E$2:$E$3001,$L729))</f>
        <v/>
      </c>
      <c r="G729">
        <f>IF($L729="","",IFERROR(--LEFT(INDEX(Расчет!$C$2:$C$3001,$L729),FIND("(",INDEX(Расчет!$C$2:$C$3001,$L729))-1),IFERROR(--LEFT(INDEX(Расчет!$C$2:$C$3001,$L729),1),"")))</f>
        <v/>
      </c>
      <c r="H729">
        <f>IF($L729="","",SUMIFS(Расчет!$G$2:$G$3001,Расчет!$I$2:$I$3001,$K729,Расчет!$H$2:$H$3001,1))</f>
        <v/>
      </c>
      <c r="I729">
        <f>IF($L729="","",SUMIFS(Расчет!$G$2:$G$3001,Расчет!$I$2:$I$3001,$K729,Расчет!$H$2:$H$3001,2))</f>
        <v/>
      </c>
      <c r="J729">
        <f>IF($L729="","",SUMIFS(Расчет!$G$2:$G$3001,Расчет!$I$2:$I$3001,$K729,Расчет!$H$2:$H$3001,3))</f>
        <v/>
      </c>
      <c r="K729">
        <f>IF($L729="","",INDEX(Расчет!$I$2:$I$3001,$L729))</f>
        <v/>
      </c>
      <c r="L729">
        <f>IFERROR(MATCH(ROW()-1,Расчет!$J$2:$J$3001,0),"")</f>
        <v/>
      </c>
    </row>
    <row r="730">
      <c r="A730">
        <f>IF($L730="","",B730&amp;"."&amp;C730&amp;"-"&amp;D730&amp;"-"&amp;H730&amp;"."&amp;I730&amp;"."&amp;J730)</f>
        <v/>
      </c>
      <c r="B730">
        <f>IF($L730="","",INDEX(Расчет!$A$2:$A$3001,$L730))</f>
        <v/>
      </c>
      <c r="C730">
        <f>IF($L730="","",INDEX(Расчет!$B$2:$B$3001,$L730))</f>
        <v/>
      </c>
      <c r="D730">
        <f>IF($L730="","",IF(ISNUMBER(FIND("(",INDEX(Расчет!$C$2:$C$3001,$L730))),SUBSTITUTE(MID(INDEX(Расчет!$C$2:$C$3001,$L730),FIND("(",INDEX(Расчет!$C$2:$C$3001,$L730))+1,99),")",""),INDEX(Расчет!$C$2:$C$3001,$L730)))</f>
        <v/>
      </c>
      <c r="E730">
        <f>IF($L730="","",INDEX(Расчет!$D$2:$D$3001,$L730))</f>
        <v/>
      </c>
      <c r="F730">
        <f>IF($L730="","",INDEX(Расчет!$E$2:$E$3001,$L730))</f>
        <v/>
      </c>
      <c r="G730">
        <f>IF($L730="","",IFERROR(--LEFT(INDEX(Расчет!$C$2:$C$3001,$L730),FIND("(",INDEX(Расчет!$C$2:$C$3001,$L730))-1),IFERROR(--LEFT(INDEX(Расчет!$C$2:$C$3001,$L730),1),"")))</f>
        <v/>
      </c>
      <c r="H730">
        <f>IF($L730="","",SUMIFS(Расчет!$G$2:$G$3001,Расчет!$I$2:$I$3001,$K730,Расчет!$H$2:$H$3001,1))</f>
        <v/>
      </c>
      <c r="I730">
        <f>IF($L730="","",SUMIFS(Расчет!$G$2:$G$3001,Расчет!$I$2:$I$3001,$K730,Расчет!$H$2:$H$3001,2))</f>
        <v/>
      </c>
      <c r="J730">
        <f>IF($L730="","",SUMIFS(Расчет!$G$2:$G$3001,Расчет!$I$2:$I$3001,$K730,Расчет!$H$2:$H$3001,3))</f>
        <v/>
      </c>
      <c r="K730">
        <f>IF($L730="","",INDEX(Расчет!$I$2:$I$3001,$L730))</f>
        <v/>
      </c>
      <c r="L730">
        <f>IFERROR(MATCH(ROW()-1,Расчет!$J$2:$J$3001,0),"")</f>
        <v/>
      </c>
    </row>
    <row r="731">
      <c r="A731">
        <f>IF($L731="","",B731&amp;"."&amp;C731&amp;"-"&amp;D731&amp;"-"&amp;H731&amp;"."&amp;I731&amp;"."&amp;J731)</f>
        <v/>
      </c>
      <c r="B731">
        <f>IF($L731="","",INDEX(Расчет!$A$2:$A$3001,$L731))</f>
        <v/>
      </c>
      <c r="C731">
        <f>IF($L731="","",INDEX(Расчет!$B$2:$B$3001,$L731))</f>
        <v/>
      </c>
      <c r="D731">
        <f>IF($L731="","",IF(ISNUMBER(FIND("(",INDEX(Расчет!$C$2:$C$3001,$L731))),SUBSTITUTE(MID(INDEX(Расчет!$C$2:$C$3001,$L731),FIND("(",INDEX(Расчет!$C$2:$C$3001,$L731))+1,99),")",""),INDEX(Расчет!$C$2:$C$3001,$L731)))</f>
        <v/>
      </c>
      <c r="E731">
        <f>IF($L731="","",INDEX(Расчет!$D$2:$D$3001,$L731))</f>
        <v/>
      </c>
      <c r="F731">
        <f>IF($L731="","",INDEX(Расчет!$E$2:$E$3001,$L731))</f>
        <v/>
      </c>
      <c r="G731">
        <f>IF($L731="","",IFERROR(--LEFT(INDEX(Расчет!$C$2:$C$3001,$L731),FIND("(",INDEX(Расчет!$C$2:$C$3001,$L731))-1),IFERROR(--LEFT(INDEX(Расчет!$C$2:$C$3001,$L731),1),"")))</f>
        <v/>
      </c>
      <c r="H731">
        <f>IF($L731="","",SUMIFS(Расчет!$G$2:$G$3001,Расчет!$I$2:$I$3001,$K731,Расчет!$H$2:$H$3001,1))</f>
        <v/>
      </c>
      <c r="I731">
        <f>IF($L731="","",SUMIFS(Расчет!$G$2:$G$3001,Расчет!$I$2:$I$3001,$K731,Расчет!$H$2:$H$3001,2))</f>
        <v/>
      </c>
      <c r="J731">
        <f>IF($L731="","",SUMIFS(Расчет!$G$2:$G$3001,Расчет!$I$2:$I$3001,$K731,Расчет!$H$2:$H$3001,3))</f>
        <v/>
      </c>
      <c r="K731">
        <f>IF($L731="","",INDEX(Расчет!$I$2:$I$3001,$L731))</f>
        <v/>
      </c>
      <c r="L731">
        <f>IFERROR(MATCH(ROW()-1,Расчет!$J$2:$J$3001,0),"")</f>
        <v/>
      </c>
    </row>
    <row r="732">
      <c r="A732">
        <f>IF($L732="","",B732&amp;"."&amp;C732&amp;"-"&amp;D732&amp;"-"&amp;H732&amp;"."&amp;I732&amp;"."&amp;J732)</f>
        <v/>
      </c>
      <c r="B732">
        <f>IF($L732="","",INDEX(Расчет!$A$2:$A$3001,$L732))</f>
        <v/>
      </c>
      <c r="C732">
        <f>IF($L732="","",INDEX(Расчет!$B$2:$B$3001,$L732))</f>
        <v/>
      </c>
      <c r="D732">
        <f>IF($L732="","",IF(ISNUMBER(FIND("(",INDEX(Расчет!$C$2:$C$3001,$L732))),SUBSTITUTE(MID(INDEX(Расчет!$C$2:$C$3001,$L732),FIND("(",INDEX(Расчет!$C$2:$C$3001,$L732))+1,99),")",""),INDEX(Расчет!$C$2:$C$3001,$L732)))</f>
        <v/>
      </c>
      <c r="E732">
        <f>IF($L732="","",INDEX(Расчет!$D$2:$D$3001,$L732))</f>
        <v/>
      </c>
      <c r="F732">
        <f>IF($L732="","",INDEX(Расчет!$E$2:$E$3001,$L732))</f>
        <v/>
      </c>
      <c r="G732">
        <f>IF($L732="","",IFERROR(--LEFT(INDEX(Расчет!$C$2:$C$3001,$L732),FIND("(",INDEX(Расчет!$C$2:$C$3001,$L732))-1),IFERROR(--LEFT(INDEX(Расчет!$C$2:$C$3001,$L732),1),"")))</f>
        <v/>
      </c>
      <c r="H732">
        <f>IF($L732="","",SUMIFS(Расчет!$G$2:$G$3001,Расчет!$I$2:$I$3001,$K732,Расчет!$H$2:$H$3001,1))</f>
        <v/>
      </c>
      <c r="I732">
        <f>IF($L732="","",SUMIFS(Расчет!$G$2:$G$3001,Расчет!$I$2:$I$3001,$K732,Расчет!$H$2:$H$3001,2))</f>
        <v/>
      </c>
      <c r="J732">
        <f>IF($L732="","",SUMIFS(Расчет!$G$2:$G$3001,Расчет!$I$2:$I$3001,$K732,Расчет!$H$2:$H$3001,3))</f>
        <v/>
      </c>
      <c r="K732">
        <f>IF($L732="","",INDEX(Расчет!$I$2:$I$3001,$L732))</f>
        <v/>
      </c>
      <c r="L732">
        <f>IFERROR(MATCH(ROW()-1,Расчет!$J$2:$J$3001,0),"")</f>
        <v/>
      </c>
    </row>
    <row r="733">
      <c r="A733">
        <f>IF($L733="","",B733&amp;"."&amp;C733&amp;"-"&amp;D733&amp;"-"&amp;H733&amp;"."&amp;I733&amp;"."&amp;J733)</f>
        <v/>
      </c>
      <c r="B733">
        <f>IF($L733="","",INDEX(Расчет!$A$2:$A$3001,$L733))</f>
        <v/>
      </c>
      <c r="C733">
        <f>IF($L733="","",INDEX(Расчет!$B$2:$B$3001,$L733))</f>
        <v/>
      </c>
      <c r="D733">
        <f>IF($L733="","",IF(ISNUMBER(FIND("(",INDEX(Расчет!$C$2:$C$3001,$L733))),SUBSTITUTE(MID(INDEX(Расчет!$C$2:$C$3001,$L733),FIND("(",INDEX(Расчет!$C$2:$C$3001,$L733))+1,99),")",""),INDEX(Расчет!$C$2:$C$3001,$L733)))</f>
        <v/>
      </c>
      <c r="E733">
        <f>IF($L733="","",INDEX(Расчет!$D$2:$D$3001,$L733))</f>
        <v/>
      </c>
      <c r="F733">
        <f>IF($L733="","",INDEX(Расчет!$E$2:$E$3001,$L733))</f>
        <v/>
      </c>
      <c r="G733">
        <f>IF($L733="","",IFERROR(--LEFT(INDEX(Расчет!$C$2:$C$3001,$L733),FIND("(",INDEX(Расчет!$C$2:$C$3001,$L733))-1),IFERROR(--LEFT(INDEX(Расчет!$C$2:$C$3001,$L733),1),"")))</f>
        <v/>
      </c>
      <c r="H733">
        <f>IF($L733="","",SUMIFS(Расчет!$G$2:$G$3001,Расчет!$I$2:$I$3001,$K733,Расчет!$H$2:$H$3001,1))</f>
        <v/>
      </c>
      <c r="I733">
        <f>IF($L733="","",SUMIFS(Расчет!$G$2:$G$3001,Расчет!$I$2:$I$3001,$K733,Расчет!$H$2:$H$3001,2))</f>
        <v/>
      </c>
      <c r="J733">
        <f>IF($L733="","",SUMIFS(Расчет!$G$2:$G$3001,Расчет!$I$2:$I$3001,$K733,Расчет!$H$2:$H$3001,3))</f>
        <v/>
      </c>
      <c r="K733">
        <f>IF($L733="","",INDEX(Расчет!$I$2:$I$3001,$L733))</f>
        <v/>
      </c>
      <c r="L733">
        <f>IFERROR(MATCH(ROW()-1,Расчет!$J$2:$J$3001,0),"")</f>
        <v/>
      </c>
    </row>
    <row r="734">
      <c r="A734">
        <f>IF($L734="","",B734&amp;"."&amp;C734&amp;"-"&amp;D734&amp;"-"&amp;H734&amp;"."&amp;I734&amp;"."&amp;J734)</f>
        <v/>
      </c>
      <c r="B734">
        <f>IF($L734="","",INDEX(Расчет!$A$2:$A$3001,$L734))</f>
        <v/>
      </c>
      <c r="C734">
        <f>IF($L734="","",INDEX(Расчет!$B$2:$B$3001,$L734))</f>
        <v/>
      </c>
      <c r="D734">
        <f>IF($L734="","",IF(ISNUMBER(FIND("(",INDEX(Расчет!$C$2:$C$3001,$L734))),SUBSTITUTE(MID(INDEX(Расчет!$C$2:$C$3001,$L734),FIND("(",INDEX(Расчет!$C$2:$C$3001,$L734))+1,99),")",""),INDEX(Расчет!$C$2:$C$3001,$L734)))</f>
        <v/>
      </c>
      <c r="E734">
        <f>IF($L734="","",INDEX(Расчет!$D$2:$D$3001,$L734))</f>
        <v/>
      </c>
      <c r="F734">
        <f>IF($L734="","",INDEX(Расчет!$E$2:$E$3001,$L734))</f>
        <v/>
      </c>
      <c r="G734">
        <f>IF($L734="","",IFERROR(--LEFT(INDEX(Расчет!$C$2:$C$3001,$L734),FIND("(",INDEX(Расчет!$C$2:$C$3001,$L734))-1),IFERROR(--LEFT(INDEX(Расчет!$C$2:$C$3001,$L734),1),"")))</f>
        <v/>
      </c>
      <c r="H734">
        <f>IF($L734="","",SUMIFS(Расчет!$G$2:$G$3001,Расчет!$I$2:$I$3001,$K734,Расчет!$H$2:$H$3001,1))</f>
        <v/>
      </c>
      <c r="I734">
        <f>IF($L734="","",SUMIFS(Расчет!$G$2:$G$3001,Расчет!$I$2:$I$3001,$K734,Расчет!$H$2:$H$3001,2))</f>
        <v/>
      </c>
      <c r="J734">
        <f>IF($L734="","",SUMIFS(Расчет!$G$2:$G$3001,Расчет!$I$2:$I$3001,$K734,Расчет!$H$2:$H$3001,3))</f>
        <v/>
      </c>
      <c r="K734">
        <f>IF($L734="","",INDEX(Расчет!$I$2:$I$3001,$L734))</f>
        <v/>
      </c>
      <c r="L734">
        <f>IFERROR(MATCH(ROW()-1,Расчет!$J$2:$J$3001,0),"")</f>
        <v/>
      </c>
    </row>
    <row r="735">
      <c r="A735">
        <f>IF($L735="","",B735&amp;"."&amp;C735&amp;"-"&amp;D735&amp;"-"&amp;H735&amp;"."&amp;I735&amp;"."&amp;J735)</f>
        <v/>
      </c>
      <c r="B735">
        <f>IF($L735="","",INDEX(Расчет!$A$2:$A$3001,$L735))</f>
        <v/>
      </c>
      <c r="C735">
        <f>IF($L735="","",INDEX(Расчет!$B$2:$B$3001,$L735))</f>
        <v/>
      </c>
      <c r="D735">
        <f>IF($L735="","",IF(ISNUMBER(FIND("(",INDEX(Расчет!$C$2:$C$3001,$L735))),SUBSTITUTE(MID(INDEX(Расчет!$C$2:$C$3001,$L735),FIND("(",INDEX(Расчет!$C$2:$C$3001,$L735))+1,99),")",""),INDEX(Расчет!$C$2:$C$3001,$L735)))</f>
        <v/>
      </c>
      <c r="E735">
        <f>IF($L735="","",INDEX(Расчет!$D$2:$D$3001,$L735))</f>
        <v/>
      </c>
      <c r="F735">
        <f>IF($L735="","",INDEX(Расчет!$E$2:$E$3001,$L735))</f>
        <v/>
      </c>
      <c r="G735">
        <f>IF($L735="","",IFERROR(--LEFT(INDEX(Расчет!$C$2:$C$3001,$L735),FIND("(",INDEX(Расчет!$C$2:$C$3001,$L735))-1),IFERROR(--LEFT(INDEX(Расчет!$C$2:$C$3001,$L735),1),"")))</f>
        <v/>
      </c>
      <c r="H735">
        <f>IF($L735="","",SUMIFS(Расчет!$G$2:$G$3001,Расчет!$I$2:$I$3001,$K735,Расчет!$H$2:$H$3001,1))</f>
        <v/>
      </c>
      <c r="I735">
        <f>IF($L735="","",SUMIFS(Расчет!$G$2:$G$3001,Расчет!$I$2:$I$3001,$K735,Расчет!$H$2:$H$3001,2))</f>
        <v/>
      </c>
      <c r="J735">
        <f>IF($L735="","",SUMIFS(Расчет!$G$2:$G$3001,Расчет!$I$2:$I$3001,$K735,Расчет!$H$2:$H$3001,3))</f>
        <v/>
      </c>
      <c r="K735">
        <f>IF($L735="","",INDEX(Расчет!$I$2:$I$3001,$L735))</f>
        <v/>
      </c>
      <c r="L735">
        <f>IFERROR(MATCH(ROW()-1,Расчет!$J$2:$J$3001,0),"")</f>
        <v/>
      </c>
    </row>
    <row r="736">
      <c r="A736">
        <f>IF($L736="","",B736&amp;"."&amp;C736&amp;"-"&amp;D736&amp;"-"&amp;H736&amp;"."&amp;I736&amp;"."&amp;J736)</f>
        <v/>
      </c>
      <c r="B736">
        <f>IF($L736="","",INDEX(Расчет!$A$2:$A$3001,$L736))</f>
        <v/>
      </c>
      <c r="C736">
        <f>IF($L736="","",INDEX(Расчет!$B$2:$B$3001,$L736))</f>
        <v/>
      </c>
      <c r="D736">
        <f>IF($L736="","",IF(ISNUMBER(FIND("(",INDEX(Расчет!$C$2:$C$3001,$L736))),SUBSTITUTE(MID(INDEX(Расчет!$C$2:$C$3001,$L736),FIND("(",INDEX(Расчет!$C$2:$C$3001,$L736))+1,99),")",""),INDEX(Расчет!$C$2:$C$3001,$L736)))</f>
        <v/>
      </c>
      <c r="E736">
        <f>IF($L736="","",INDEX(Расчет!$D$2:$D$3001,$L736))</f>
        <v/>
      </c>
      <c r="F736">
        <f>IF($L736="","",INDEX(Расчет!$E$2:$E$3001,$L736))</f>
        <v/>
      </c>
      <c r="G736">
        <f>IF($L736="","",IFERROR(--LEFT(INDEX(Расчет!$C$2:$C$3001,$L736),FIND("(",INDEX(Расчет!$C$2:$C$3001,$L736))-1),IFERROR(--LEFT(INDEX(Расчет!$C$2:$C$3001,$L736),1),"")))</f>
        <v/>
      </c>
      <c r="H736">
        <f>IF($L736="","",SUMIFS(Расчет!$G$2:$G$3001,Расчет!$I$2:$I$3001,$K736,Расчет!$H$2:$H$3001,1))</f>
        <v/>
      </c>
      <c r="I736">
        <f>IF($L736="","",SUMIFS(Расчет!$G$2:$G$3001,Расчет!$I$2:$I$3001,$K736,Расчет!$H$2:$H$3001,2))</f>
        <v/>
      </c>
      <c r="J736">
        <f>IF($L736="","",SUMIFS(Расчет!$G$2:$G$3001,Расчет!$I$2:$I$3001,$K736,Расчет!$H$2:$H$3001,3))</f>
        <v/>
      </c>
      <c r="K736">
        <f>IF($L736="","",INDEX(Расчет!$I$2:$I$3001,$L736))</f>
        <v/>
      </c>
      <c r="L736">
        <f>IFERROR(MATCH(ROW()-1,Расчет!$J$2:$J$3001,0),"")</f>
        <v/>
      </c>
    </row>
    <row r="737">
      <c r="A737">
        <f>IF($L737="","",B737&amp;"."&amp;C737&amp;"-"&amp;D737&amp;"-"&amp;H737&amp;"."&amp;I737&amp;"."&amp;J737)</f>
        <v/>
      </c>
      <c r="B737">
        <f>IF($L737="","",INDEX(Расчет!$A$2:$A$3001,$L737))</f>
        <v/>
      </c>
      <c r="C737">
        <f>IF($L737="","",INDEX(Расчет!$B$2:$B$3001,$L737))</f>
        <v/>
      </c>
      <c r="D737">
        <f>IF($L737="","",IF(ISNUMBER(FIND("(",INDEX(Расчет!$C$2:$C$3001,$L737))),SUBSTITUTE(MID(INDEX(Расчет!$C$2:$C$3001,$L737),FIND("(",INDEX(Расчет!$C$2:$C$3001,$L737))+1,99),")",""),INDEX(Расчет!$C$2:$C$3001,$L737)))</f>
        <v/>
      </c>
      <c r="E737">
        <f>IF($L737="","",INDEX(Расчет!$D$2:$D$3001,$L737))</f>
        <v/>
      </c>
      <c r="F737">
        <f>IF($L737="","",INDEX(Расчет!$E$2:$E$3001,$L737))</f>
        <v/>
      </c>
      <c r="G737">
        <f>IF($L737="","",IFERROR(--LEFT(INDEX(Расчет!$C$2:$C$3001,$L737),FIND("(",INDEX(Расчет!$C$2:$C$3001,$L737))-1),IFERROR(--LEFT(INDEX(Расчет!$C$2:$C$3001,$L737),1),"")))</f>
        <v/>
      </c>
      <c r="H737">
        <f>IF($L737="","",SUMIFS(Расчет!$G$2:$G$3001,Расчет!$I$2:$I$3001,$K737,Расчет!$H$2:$H$3001,1))</f>
        <v/>
      </c>
      <c r="I737">
        <f>IF($L737="","",SUMIFS(Расчет!$G$2:$G$3001,Расчет!$I$2:$I$3001,$K737,Расчет!$H$2:$H$3001,2))</f>
        <v/>
      </c>
      <c r="J737">
        <f>IF($L737="","",SUMIFS(Расчет!$G$2:$G$3001,Расчет!$I$2:$I$3001,$K737,Расчет!$H$2:$H$3001,3))</f>
        <v/>
      </c>
      <c r="K737">
        <f>IF($L737="","",INDEX(Расчет!$I$2:$I$3001,$L737))</f>
        <v/>
      </c>
      <c r="L737">
        <f>IFERROR(MATCH(ROW()-1,Расчет!$J$2:$J$3001,0),"")</f>
        <v/>
      </c>
    </row>
    <row r="738">
      <c r="A738">
        <f>IF($L738="","",B738&amp;"."&amp;C738&amp;"-"&amp;D738&amp;"-"&amp;H738&amp;"."&amp;I738&amp;"."&amp;J738)</f>
        <v/>
      </c>
      <c r="B738">
        <f>IF($L738="","",INDEX(Расчет!$A$2:$A$3001,$L738))</f>
        <v/>
      </c>
      <c r="C738">
        <f>IF($L738="","",INDEX(Расчет!$B$2:$B$3001,$L738))</f>
        <v/>
      </c>
      <c r="D738">
        <f>IF($L738="","",IF(ISNUMBER(FIND("(",INDEX(Расчет!$C$2:$C$3001,$L738))),SUBSTITUTE(MID(INDEX(Расчет!$C$2:$C$3001,$L738),FIND("(",INDEX(Расчет!$C$2:$C$3001,$L738))+1,99),")",""),INDEX(Расчет!$C$2:$C$3001,$L738)))</f>
        <v/>
      </c>
      <c r="E738">
        <f>IF($L738="","",INDEX(Расчет!$D$2:$D$3001,$L738))</f>
        <v/>
      </c>
      <c r="F738">
        <f>IF($L738="","",INDEX(Расчет!$E$2:$E$3001,$L738))</f>
        <v/>
      </c>
      <c r="G738">
        <f>IF($L738="","",IFERROR(--LEFT(INDEX(Расчет!$C$2:$C$3001,$L738),FIND("(",INDEX(Расчет!$C$2:$C$3001,$L738))-1),IFERROR(--LEFT(INDEX(Расчет!$C$2:$C$3001,$L738),1),"")))</f>
        <v/>
      </c>
      <c r="H738">
        <f>IF($L738="","",SUMIFS(Расчет!$G$2:$G$3001,Расчет!$I$2:$I$3001,$K738,Расчет!$H$2:$H$3001,1))</f>
        <v/>
      </c>
      <c r="I738">
        <f>IF($L738="","",SUMIFS(Расчет!$G$2:$G$3001,Расчет!$I$2:$I$3001,$K738,Расчет!$H$2:$H$3001,2))</f>
        <v/>
      </c>
      <c r="J738">
        <f>IF($L738="","",SUMIFS(Расчет!$G$2:$G$3001,Расчет!$I$2:$I$3001,$K738,Расчет!$H$2:$H$3001,3))</f>
        <v/>
      </c>
      <c r="K738">
        <f>IF($L738="","",INDEX(Расчет!$I$2:$I$3001,$L738))</f>
        <v/>
      </c>
      <c r="L738">
        <f>IFERROR(MATCH(ROW()-1,Расчет!$J$2:$J$3001,0),"")</f>
        <v/>
      </c>
    </row>
    <row r="739">
      <c r="A739">
        <f>IF($L739="","",B739&amp;"."&amp;C739&amp;"-"&amp;D739&amp;"-"&amp;H739&amp;"."&amp;I739&amp;"."&amp;J739)</f>
        <v/>
      </c>
      <c r="B739">
        <f>IF($L739="","",INDEX(Расчет!$A$2:$A$3001,$L739))</f>
        <v/>
      </c>
      <c r="C739">
        <f>IF($L739="","",INDEX(Расчет!$B$2:$B$3001,$L739))</f>
        <v/>
      </c>
      <c r="D739">
        <f>IF($L739="","",IF(ISNUMBER(FIND("(",INDEX(Расчет!$C$2:$C$3001,$L739))),SUBSTITUTE(MID(INDEX(Расчет!$C$2:$C$3001,$L739),FIND("(",INDEX(Расчет!$C$2:$C$3001,$L739))+1,99),")",""),INDEX(Расчет!$C$2:$C$3001,$L739)))</f>
        <v/>
      </c>
      <c r="E739">
        <f>IF($L739="","",INDEX(Расчет!$D$2:$D$3001,$L739))</f>
        <v/>
      </c>
      <c r="F739">
        <f>IF($L739="","",INDEX(Расчет!$E$2:$E$3001,$L739))</f>
        <v/>
      </c>
      <c r="G739">
        <f>IF($L739="","",IFERROR(--LEFT(INDEX(Расчет!$C$2:$C$3001,$L739),FIND("(",INDEX(Расчет!$C$2:$C$3001,$L739))-1),IFERROR(--LEFT(INDEX(Расчет!$C$2:$C$3001,$L739),1),"")))</f>
        <v/>
      </c>
      <c r="H739">
        <f>IF($L739="","",SUMIFS(Расчет!$G$2:$G$3001,Расчет!$I$2:$I$3001,$K739,Расчет!$H$2:$H$3001,1))</f>
        <v/>
      </c>
      <c r="I739">
        <f>IF($L739="","",SUMIFS(Расчет!$G$2:$G$3001,Расчет!$I$2:$I$3001,$K739,Расчет!$H$2:$H$3001,2))</f>
        <v/>
      </c>
      <c r="J739">
        <f>IF($L739="","",SUMIFS(Расчет!$G$2:$G$3001,Расчет!$I$2:$I$3001,$K739,Расчет!$H$2:$H$3001,3))</f>
        <v/>
      </c>
      <c r="K739">
        <f>IF($L739="","",INDEX(Расчет!$I$2:$I$3001,$L739))</f>
        <v/>
      </c>
      <c r="L739">
        <f>IFERROR(MATCH(ROW()-1,Расчет!$J$2:$J$3001,0),"")</f>
        <v/>
      </c>
    </row>
    <row r="740">
      <c r="A740">
        <f>IF($L740="","",B740&amp;"."&amp;C740&amp;"-"&amp;D740&amp;"-"&amp;H740&amp;"."&amp;I740&amp;"."&amp;J740)</f>
        <v/>
      </c>
      <c r="B740">
        <f>IF($L740="","",INDEX(Расчет!$A$2:$A$3001,$L740))</f>
        <v/>
      </c>
      <c r="C740">
        <f>IF($L740="","",INDEX(Расчет!$B$2:$B$3001,$L740))</f>
        <v/>
      </c>
      <c r="D740">
        <f>IF($L740="","",IF(ISNUMBER(FIND("(",INDEX(Расчет!$C$2:$C$3001,$L740))),SUBSTITUTE(MID(INDEX(Расчет!$C$2:$C$3001,$L740),FIND("(",INDEX(Расчет!$C$2:$C$3001,$L740))+1,99),")",""),INDEX(Расчет!$C$2:$C$3001,$L740)))</f>
        <v/>
      </c>
      <c r="E740">
        <f>IF($L740="","",INDEX(Расчет!$D$2:$D$3001,$L740))</f>
        <v/>
      </c>
      <c r="F740">
        <f>IF($L740="","",INDEX(Расчет!$E$2:$E$3001,$L740))</f>
        <v/>
      </c>
      <c r="G740">
        <f>IF($L740="","",IFERROR(--LEFT(INDEX(Расчет!$C$2:$C$3001,$L740),FIND("(",INDEX(Расчет!$C$2:$C$3001,$L740))-1),IFERROR(--LEFT(INDEX(Расчет!$C$2:$C$3001,$L740),1),"")))</f>
        <v/>
      </c>
      <c r="H740">
        <f>IF($L740="","",SUMIFS(Расчет!$G$2:$G$3001,Расчет!$I$2:$I$3001,$K740,Расчет!$H$2:$H$3001,1))</f>
        <v/>
      </c>
      <c r="I740">
        <f>IF($L740="","",SUMIFS(Расчет!$G$2:$G$3001,Расчет!$I$2:$I$3001,$K740,Расчет!$H$2:$H$3001,2))</f>
        <v/>
      </c>
      <c r="J740">
        <f>IF($L740="","",SUMIFS(Расчет!$G$2:$G$3001,Расчет!$I$2:$I$3001,$K740,Расчет!$H$2:$H$3001,3))</f>
        <v/>
      </c>
      <c r="K740">
        <f>IF($L740="","",INDEX(Расчет!$I$2:$I$3001,$L740))</f>
        <v/>
      </c>
      <c r="L740">
        <f>IFERROR(MATCH(ROW()-1,Расчет!$J$2:$J$3001,0),"")</f>
        <v/>
      </c>
    </row>
    <row r="741">
      <c r="A741">
        <f>IF($L741="","",B741&amp;"."&amp;C741&amp;"-"&amp;D741&amp;"-"&amp;H741&amp;"."&amp;I741&amp;"."&amp;J741)</f>
        <v/>
      </c>
      <c r="B741">
        <f>IF($L741="","",INDEX(Расчет!$A$2:$A$3001,$L741))</f>
        <v/>
      </c>
      <c r="C741">
        <f>IF($L741="","",INDEX(Расчет!$B$2:$B$3001,$L741))</f>
        <v/>
      </c>
      <c r="D741">
        <f>IF($L741="","",IF(ISNUMBER(FIND("(",INDEX(Расчет!$C$2:$C$3001,$L741))),SUBSTITUTE(MID(INDEX(Расчет!$C$2:$C$3001,$L741),FIND("(",INDEX(Расчет!$C$2:$C$3001,$L741))+1,99),")",""),INDEX(Расчет!$C$2:$C$3001,$L741)))</f>
        <v/>
      </c>
      <c r="E741">
        <f>IF($L741="","",INDEX(Расчет!$D$2:$D$3001,$L741))</f>
        <v/>
      </c>
      <c r="F741">
        <f>IF($L741="","",INDEX(Расчет!$E$2:$E$3001,$L741))</f>
        <v/>
      </c>
      <c r="G741">
        <f>IF($L741="","",IFERROR(--LEFT(INDEX(Расчет!$C$2:$C$3001,$L741),FIND("(",INDEX(Расчет!$C$2:$C$3001,$L741))-1),IFERROR(--LEFT(INDEX(Расчет!$C$2:$C$3001,$L741),1),"")))</f>
        <v/>
      </c>
      <c r="H741">
        <f>IF($L741="","",SUMIFS(Расчет!$G$2:$G$3001,Расчет!$I$2:$I$3001,$K741,Расчет!$H$2:$H$3001,1))</f>
        <v/>
      </c>
      <c r="I741">
        <f>IF($L741="","",SUMIFS(Расчет!$G$2:$G$3001,Расчет!$I$2:$I$3001,$K741,Расчет!$H$2:$H$3001,2))</f>
        <v/>
      </c>
      <c r="J741">
        <f>IF($L741="","",SUMIFS(Расчет!$G$2:$G$3001,Расчет!$I$2:$I$3001,$K741,Расчет!$H$2:$H$3001,3))</f>
        <v/>
      </c>
      <c r="K741">
        <f>IF($L741="","",INDEX(Расчет!$I$2:$I$3001,$L741))</f>
        <v/>
      </c>
      <c r="L741">
        <f>IFERROR(MATCH(ROW()-1,Расчет!$J$2:$J$3001,0),"")</f>
        <v/>
      </c>
    </row>
    <row r="742">
      <c r="A742">
        <f>IF($L742="","",B742&amp;"."&amp;C742&amp;"-"&amp;D742&amp;"-"&amp;H742&amp;"."&amp;I742&amp;"."&amp;J742)</f>
        <v/>
      </c>
      <c r="B742">
        <f>IF($L742="","",INDEX(Расчет!$A$2:$A$3001,$L742))</f>
        <v/>
      </c>
      <c r="C742">
        <f>IF($L742="","",INDEX(Расчет!$B$2:$B$3001,$L742))</f>
        <v/>
      </c>
      <c r="D742">
        <f>IF($L742="","",IF(ISNUMBER(FIND("(",INDEX(Расчет!$C$2:$C$3001,$L742))),SUBSTITUTE(MID(INDEX(Расчет!$C$2:$C$3001,$L742),FIND("(",INDEX(Расчет!$C$2:$C$3001,$L742))+1,99),")",""),INDEX(Расчет!$C$2:$C$3001,$L742)))</f>
        <v/>
      </c>
      <c r="E742">
        <f>IF($L742="","",INDEX(Расчет!$D$2:$D$3001,$L742))</f>
        <v/>
      </c>
      <c r="F742">
        <f>IF($L742="","",INDEX(Расчет!$E$2:$E$3001,$L742))</f>
        <v/>
      </c>
      <c r="G742">
        <f>IF($L742="","",IFERROR(--LEFT(INDEX(Расчет!$C$2:$C$3001,$L742),FIND("(",INDEX(Расчет!$C$2:$C$3001,$L742))-1),IFERROR(--LEFT(INDEX(Расчет!$C$2:$C$3001,$L742),1),"")))</f>
        <v/>
      </c>
      <c r="H742">
        <f>IF($L742="","",SUMIFS(Расчет!$G$2:$G$3001,Расчет!$I$2:$I$3001,$K742,Расчет!$H$2:$H$3001,1))</f>
        <v/>
      </c>
      <c r="I742">
        <f>IF($L742="","",SUMIFS(Расчет!$G$2:$G$3001,Расчет!$I$2:$I$3001,$K742,Расчет!$H$2:$H$3001,2))</f>
        <v/>
      </c>
      <c r="J742">
        <f>IF($L742="","",SUMIFS(Расчет!$G$2:$G$3001,Расчет!$I$2:$I$3001,$K742,Расчет!$H$2:$H$3001,3))</f>
        <v/>
      </c>
      <c r="K742">
        <f>IF($L742="","",INDEX(Расчет!$I$2:$I$3001,$L742))</f>
        <v/>
      </c>
      <c r="L742">
        <f>IFERROR(MATCH(ROW()-1,Расчет!$J$2:$J$3001,0),"")</f>
        <v/>
      </c>
    </row>
    <row r="743">
      <c r="A743">
        <f>IF($L743="","",B743&amp;"."&amp;C743&amp;"-"&amp;D743&amp;"-"&amp;H743&amp;"."&amp;I743&amp;"."&amp;J743)</f>
        <v/>
      </c>
      <c r="B743">
        <f>IF($L743="","",INDEX(Расчет!$A$2:$A$3001,$L743))</f>
        <v/>
      </c>
      <c r="C743">
        <f>IF($L743="","",INDEX(Расчет!$B$2:$B$3001,$L743))</f>
        <v/>
      </c>
      <c r="D743">
        <f>IF($L743="","",IF(ISNUMBER(FIND("(",INDEX(Расчет!$C$2:$C$3001,$L743))),SUBSTITUTE(MID(INDEX(Расчет!$C$2:$C$3001,$L743),FIND("(",INDEX(Расчет!$C$2:$C$3001,$L743))+1,99),")",""),INDEX(Расчет!$C$2:$C$3001,$L743)))</f>
        <v/>
      </c>
      <c r="E743">
        <f>IF($L743="","",INDEX(Расчет!$D$2:$D$3001,$L743))</f>
        <v/>
      </c>
      <c r="F743">
        <f>IF($L743="","",INDEX(Расчет!$E$2:$E$3001,$L743))</f>
        <v/>
      </c>
      <c r="G743">
        <f>IF($L743="","",IFERROR(--LEFT(INDEX(Расчет!$C$2:$C$3001,$L743),FIND("(",INDEX(Расчет!$C$2:$C$3001,$L743))-1),IFERROR(--LEFT(INDEX(Расчет!$C$2:$C$3001,$L743),1),"")))</f>
        <v/>
      </c>
      <c r="H743">
        <f>IF($L743="","",SUMIFS(Расчет!$G$2:$G$3001,Расчет!$I$2:$I$3001,$K743,Расчет!$H$2:$H$3001,1))</f>
        <v/>
      </c>
      <c r="I743">
        <f>IF($L743="","",SUMIFS(Расчет!$G$2:$G$3001,Расчет!$I$2:$I$3001,$K743,Расчет!$H$2:$H$3001,2))</f>
        <v/>
      </c>
      <c r="J743">
        <f>IF($L743="","",SUMIFS(Расчет!$G$2:$G$3001,Расчет!$I$2:$I$3001,$K743,Расчет!$H$2:$H$3001,3))</f>
        <v/>
      </c>
      <c r="K743">
        <f>IF($L743="","",INDEX(Расчет!$I$2:$I$3001,$L743))</f>
        <v/>
      </c>
      <c r="L743">
        <f>IFERROR(MATCH(ROW()-1,Расчет!$J$2:$J$3001,0),"")</f>
        <v/>
      </c>
    </row>
    <row r="744">
      <c r="A744">
        <f>IF($L744="","",B744&amp;"."&amp;C744&amp;"-"&amp;D744&amp;"-"&amp;H744&amp;"."&amp;I744&amp;"."&amp;J744)</f>
        <v/>
      </c>
      <c r="B744">
        <f>IF($L744="","",INDEX(Расчет!$A$2:$A$3001,$L744))</f>
        <v/>
      </c>
      <c r="C744">
        <f>IF($L744="","",INDEX(Расчет!$B$2:$B$3001,$L744))</f>
        <v/>
      </c>
      <c r="D744">
        <f>IF($L744="","",IF(ISNUMBER(FIND("(",INDEX(Расчет!$C$2:$C$3001,$L744))),SUBSTITUTE(MID(INDEX(Расчет!$C$2:$C$3001,$L744),FIND("(",INDEX(Расчет!$C$2:$C$3001,$L744))+1,99),")",""),INDEX(Расчет!$C$2:$C$3001,$L744)))</f>
        <v/>
      </c>
      <c r="E744">
        <f>IF($L744="","",INDEX(Расчет!$D$2:$D$3001,$L744))</f>
        <v/>
      </c>
      <c r="F744">
        <f>IF($L744="","",INDEX(Расчет!$E$2:$E$3001,$L744))</f>
        <v/>
      </c>
      <c r="G744">
        <f>IF($L744="","",IFERROR(--LEFT(INDEX(Расчет!$C$2:$C$3001,$L744),FIND("(",INDEX(Расчет!$C$2:$C$3001,$L744))-1),IFERROR(--LEFT(INDEX(Расчет!$C$2:$C$3001,$L744),1),"")))</f>
        <v/>
      </c>
      <c r="H744">
        <f>IF($L744="","",SUMIFS(Расчет!$G$2:$G$3001,Расчет!$I$2:$I$3001,$K744,Расчет!$H$2:$H$3001,1))</f>
        <v/>
      </c>
      <c r="I744">
        <f>IF($L744="","",SUMIFS(Расчет!$G$2:$G$3001,Расчет!$I$2:$I$3001,$K744,Расчет!$H$2:$H$3001,2))</f>
        <v/>
      </c>
      <c r="J744">
        <f>IF($L744="","",SUMIFS(Расчет!$G$2:$G$3001,Расчет!$I$2:$I$3001,$K744,Расчет!$H$2:$H$3001,3))</f>
        <v/>
      </c>
      <c r="K744">
        <f>IF($L744="","",INDEX(Расчет!$I$2:$I$3001,$L744))</f>
        <v/>
      </c>
      <c r="L744">
        <f>IFERROR(MATCH(ROW()-1,Расчет!$J$2:$J$3001,0),"")</f>
        <v/>
      </c>
    </row>
    <row r="745">
      <c r="A745">
        <f>IF($L745="","",B745&amp;"."&amp;C745&amp;"-"&amp;D745&amp;"-"&amp;H745&amp;"."&amp;I745&amp;"."&amp;J745)</f>
        <v/>
      </c>
      <c r="B745">
        <f>IF($L745="","",INDEX(Расчет!$A$2:$A$3001,$L745))</f>
        <v/>
      </c>
      <c r="C745">
        <f>IF($L745="","",INDEX(Расчет!$B$2:$B$3001,$L745))</f>
        <v/>
      </c>
      <c r="D745">
        <f>IF($L745="","",IF(ISNUMBER(FIND("(",INDEX(Расчет!$C$2:$C$3001,$L745))),SUBSTITUTE(MID(INDEX(Расчет!$C$2:$C$3001,$L745),FIND("(",INDEX(Расчет!$C$2:$C$3001,$L745))+1,99),")",""),INDEX(Расчет!$C$2:$C$3001,$L745)))</f>
        <v/>
      </c>
      <c r="E745">
        <f>IF($L745="","",INDEX(Расчет!$D$2:$D$3001,$L745))</f>
        <v/>
      </c>
      <c r="F745">
        <f>IF($L745="","",INDEX(Расчет!$E$2:$E$3001,$L745))</f>
        <v/>
      </c>
      <c r="G745">
        <f>IF($L745="","",IFERROR(--LEFT(INDEX(Расчет!$C$2:$C$3001,$L745),FIND("(",INDEX(Расчет!$C$2:$C$3001,$L745))-1),IFERROR(--LEFT(INDEX(Расчет!$C$2:$C$3001,$L745),1),"")))</f>
        <v/>
      </c>
      <c r="H745">
        <f>IF($L745="","",SUMIFS(Расчет!$G$2:$G$3001,Расчет!$I$2:$I$3001,$K745,Расчет!$H$2:$H$3001,1))</f>
        <v/>
      </c>
      <c r="I745">
        <f>IF($L745="","",SUMIFS(Расчет!$G$2:$G$3001,Расчет!$I$2:$I$3001,$K745,Расчет!$H$2:$H$3001,2))</f>
        <v/>
      </c>
      <c r="J745">
        <f>IF($L745="","",SUMIFS(Расчет!$G$2:$G$3001,Расчет!$I$2:$I$3001,$K745,Расчет!$H$2:$H$3001,3))</f>
        <v/>
      </c>
      <c r="K745">
        <f>IF($L745="","",INDEX(Расчет!$I$2:$I$3001,$L745))</f>
        <v/>
      </c>
      <c r="L745">
        <f>IFERROR(MATCH(ROW()-1,Расчет!$J$2:$J$3001,0),"")</f>
        <v/>
      </c>
    </row>
    <row r="746">
      <c r="A746">
        <f>IF($L746="","",B746&amp;"."&amp;C746&amp;"-"&amp;D746&amp;"-"&amp;H746&amp;"."&amp;I746&amp;"."&amp;J746)</f>
        <v/>
      </c>
      <c r="B746">
        <f>IF($L746="","",INDEX(Расчет!$A$2:$A$3001,$L746))</f>
        <v/>
      </c>
      <c r="C746">
        <f>IF($L746="","",INDEX(Расчет!$B$2:$B$3001,$L746))</f>
        <v/>
      </c>
      <c r="D746">
        <f>IF($L746="","",IF(ISNUMBER(FIND("(",INDEX(Расчет!$C$2:$C$3001,$L746))),SUBSTITUTE(MID(INDEX(Расчет!$C$2:$C$3001,$L746),FIND("(",INDEX(Расчет!$C$2:$C$3001,$L746))+1,99),")",""),INDEX(Расчет!$C$2:$C$3001,$L746)))</f>
        <v/>
      </c>
      <c r="E746">
        <f>IF($L746="","",INDEX(Расчет!$D$2:$D$3001,$L746))</f>
        <v/>
      </c>
      <c r="F746">
        <f>IF($L746="","",INDEX(Расчет!$E$2:$E$3001,$L746))</f>
        <v/>
      </c>
      <c r="G746">
        <f>IF($L746="","",IFERROR(--LEFT(INDEX(Расчет!$C$2:$C$3001,$L746),FIND("(",INDEX(Расчет!$C$2:$C$3001,$L746))-1),IFERROR(--LEFT(INDEX(Расчет!$C$2:$C$3001,$L746),1),"")))</f>
        <v/>
      </c>
      <c r="H746">
        <f>IF($L746="","",SUMIFS(Расчет!$G$2:$G$3001,Расчет!$I$2:$I$3001,$K746,Расчет!$H$2:$H$3001,1))</f>
        <v/>
      </c>
      <c r="I746">
        <f>IF($L746="","",SUMIFS(Расчет!$G$2:$G$3001,Расчет!$I$2:$I$3001,$K746,Расчет!$H$2:$H$3001,2))</f>
        <v/>
      </c>
      <c r="J746">
        <f>IF($L746="","",SUMIFS(Расчет!$G$2:$G$3001,Расчет!$I$2:$I$3001,$K746,Расчет!$H$2:$H$3001,3))</f>
        <v/>
      </c>
      <c r="K746">
        <f>IF($L746="","",INDEX(Расчет!$I$2:$I$3001,$L746))</f>
        <v/>
      </c>
      <c r="L746">
        <f>IFERROR(MATCH(ROW()-1,Расчет!$J$2:$J$3001,0),"")</f>
        <v/>
      </c>
    </row>
    <row r="747">
      <c r="A747">
        <f>IF($L747="","",B747&amp;"."&amp;C747&amp;"-"&amp;D747&amp;"-"&amp;H747&amp;"."&amp;I747&amp;"."&amp;J747)</f>
        <v/>
      </c>
      <c r="B747">
        <f>IF($L747="","",INDEX(Расчет!$A$2:$A$3001,$L747))</f>
        <v/>
      </c>
      <c r="C747">
        <f>IF($L747="","",INDEX(Расчет!$B$2:$B$3001,$L747))</f>
        <v/>
      </c>
      <c r="D747">
        <f>IF($L747="","",IF(ISNUMBER(FIND("(",INDEX(Расчет!$C$2:$C$3001,$L747))),SUBSTITUTE(MID(INDEX(Расчет!$C$2:$C$3001,$L747),FIND("(",INDEX(Расчет!$C$2:$C$3001,$L747))+1,99),")",""),INDEX(Расчет!$C$2:$C$3001,$L747)))</f>
        <v/>
      </c>
      <c r="E747">
        <f>IF($L747="","",INDEX(Расчет!$D$2:$D$3001,$L747))</f>
        <v/>
      </c>
      <c r="F747">
        <f>IF($L747="","",INDEX(Расчет!$E$2:$E$3001,$L747))</f>
        <v/>
      </c>
      <c r="G747">
        <f>IF($L747="","",IFERROR(--LEFT(INDEX(Расчет!$C$2:$C$3001,$L747),FIND("(",INDEX(Расчет!$C$2:$C$3001,$L747))-1),IFERROR(--LEFT(INDEX(Расчет!$C$2:$C$3001,$L747),1),"")))</f>
        <v/>
      </c>
      <c r="H747">
        <f>IF($L747="","",SUMIFS(Расчет!$G$2:$G$3001,Расчет!$I$2:$I$3001,$K747,Расчет!$H$2:$H$3001,1))</f>
        <v/>
      </c>
      <c r="I747">
        <f>IF($L747="","",SUMIFS(Расчет!$G$2:$G$3001,Расчет!$I$2:$I$3001,$K747,Расчет!$H$2:$H$3001,2))</f>
        <v/>
      </c>
      <c r="J747">
        <f>IF($L747="","",SUMIFS(Расчет!$G$2:$G$3001,Расчет!$I$2:$I$3001,$K747,Расчет!$H$2:$H$3001,3))</f>
        <v/>
      </c>
      <c r="K747">
        <f>IF($L747="","",INDEX(Расчет!$I$2:$I$3001,$L747))</f>
        <v/>
      </c>
      <c r="L747">
        <f>IFERROR(MATCH(ROW()-1,Расчет!$J$2:$J$3001,0),"")</f>
        <v/>
      </c>
    </row>
    <row r="748">
      <c r="A748">
        <f>IF($L748="","",B748&amp;"."&amp;C748&amp;"-"&amp;D748&amp;"-"&amp;H748&amp;"."&amp;I748&amp;"."&amp;J748)</f>
        <v/>
      </c>
      <c r="B748">
        <f>IF($L748="","",INDEX(Расчет!$A$2:$A$3001,$L748))</f>
        <v/>
      </c>
      <c r="C748">
        <f>IF($L748="","",INDEX(Расчет!$B$2:$B$3001,$L748))</f>
        <v/>
      </c>
      <c r="D748">
        <f>IF($L748="","",IF(ISNUMBER(FIND("(",INDEX(Расчет!$C$2:$C$3001,$L748))),SUBSTITUTE(MID(INDEX(Расчет!$C$2:$C$3001,$L748),FIND("(",INDEX(Расчет!$C$2:$C$3001,$L748))+1,99),")",""),INDEX(Расчет!$C$2:$C$3001,$L748)))</f>
        <v/>
      </c>
      <c r="E748">
        <f>IF($L748="","",INDEX(Расчет!$D$2:$D$3001,$L748))</f>
        <v/>
      </c>
      <c r="F748">
        <f>IF($L748="","",INDEX(Расчет!$E$2:$E$3001,$L748))</f>
        <v/>
      </c>
      <c r="G748">
        <f>IF($L748="","",IFERROR(--LEFT(INDEX(Расчет!$C$2:$C$3001,$L748),FIND("(",INDEX(Расчет!$C$2:$C$3001,$L748))-1),IFERROR(--LEFT(INDEX(Расчет!$C$2:$C$3001,$L748),1),"")))</f>
        <v/>
      </c>
      <c r="H748">
        <f>IF($L748="","",SUMIFS(Расчет!$G$2:$G$3001,Расчет!$I$2:$I$3001,$K748,Расчет!$H$2:$H$3001,1))</f>
        <v/>
      </c>
      <c r="I748">
        <f>IF($L748="","",SUMIFS(Расчет!$G$2:$G$3001,Расчет!$I$2:$I$3001,$K748,Расчет!$H$2:$H$3001,2))</f>
        <v/>
      </c>
      <c r="J748">
        <f>IF($L748="","",SUMIFS(Расчет!$G$2:$G$3001,Расчет!$I$2:$I$3001,$K748,Расчет!$H$2:$H$3001,3))</f>
        <v/>
      </c>
      <c r="K748">
        <f>IF($L748="","",INDEX(Расчет!$I$2:$I$3001,$L748))</f>
        <v/>
      </c>
      <c r="L748">
        <f>IFERROR(MATCH(ROW()-1,Расчет!$J$2:$J$3001,0),"")</f>
        <v/>
      </c>
    </row>
    <row r="749">
      <c r="A749">
        <f>IF($L749="","",B749&amp;"."&amp;C749&amp;"-"&amp;D749&amp;"-"&amp;H749&amp;"."&amp;I749&amp;"."&amp;J749)</f>
        <v/>
      </c>
      <c r="B749">
        <f>IF($L749="","",INDEX(Расчет!$A$2:$A$3001,$L749))</f>
        <v/>
      </c>
      <c r="C749">
        <f>IF($L749="","",INDEX(Расчет!$B$2:$B$3001,$L749))</f>
        <v/>
      </c>
      <c r="D749">
        <f>IF($L749="","",IF(ISNUMBER(FIND("(",INDEX(Расчет!$C$2:$C$3001,$L749))),SUBSTITUTE(MID(INDEX(Расчет!$C$2:$C$3001,$L749),FIND("(",INDEX(Расчет!$C$2:$C$3001,$L749))+1,99),")",""),INDEX(Расчет!$C$2:$C$3001,$L749)))</f>
        <v/>
      </c>
      <c r="E749">
        <f>IF($L749="","",INDEX(Расчет!$D$2:$D$3001,$L749))</f>
        <v/>
      </c>
      <c r="F749">
        <f>IF($L749="","",INDEX(Расчет!$E$2:$E$3001,$L749))</f>
        <v/>
      </c>
      <c r="G749">
        <f>IF($L749="","",IFERROR(--LEFT(INDEX(Расчет!$C$2:$C$3001,$L749),FIND("(",INDEX(Расчет!$C$2:$C$3001,$L749))-1),IFERROR(--LEFT(INDEX(Расчет!$C$2:$C$3001,$L749),1),"")))</f>
        <v/>
      </c>
      <c r="H749">
        <f>IF($L749="","",SUMIFS(Расчет!$G$2:$G$3001,Расчет!$I$2:$I$3001,$K749,Расчет!$H$2:$H$3001,1))</f>
        <v/>
      </c>
      <c r="I749">
        <f>IF($L749="","",SUMIFS(Расчет!$G$2:$G$3001,Расчет!$I$2:$I$3001,$K749,Расчет!$H$2:$H$3001,2))</f>
        <v/>
      </c>
      <c r="J749">
        <f>IF($L749="","",SUMIFS(Расчет!$G$2:$G$3001,Расчет!$I$2:$I$3001,$K749,Расчет!$H$2:$H$3001,3))</f>
        <v/>
      </c>
      <c r="K749">
        <f>IF($L749="","",INDEX(Расчет!$I$2:$I$3001,$L749))</f>
        <v/>
      </c>
      <c r="L749">
        <f>IFERROR(MATCH(ROW()-1,Расчет!$J$2:$J$3001,0),"")</f>
        <v/>
      </c>
    </row>
    <row r="750">
      <c r="A750">
        <f>IF($L750="","",B750&amp;"."&amp;C750&amp;"-"&amp;D750&amp;"-"&amp;H750&amp;"."&amp;I750&amp;"."&amp;J750)</f>
        <v/>
      </c>
      <c r="B750">
        <f>IF($L750="","",INDEX(Расчет!$A$2:$A$3001,$L750))</f>
        <v/>
      </c>
      <c r="C750">
        <f>IF($L750="","",INDEX(Расчет!$B$2:$B$3001,$L750))</f>
        <v/>
      </c>
      <c r="D750">
        <f>IF($L750="","",IF(ISNUMBER(FIND("(",INDEX(Расчет!$C$2:$C$3001,$L750))),SUBSTITUTE(MID(INDEX(Расчет!$C$2:$C$3001,$L750),FIND("(",INDEX(Расчет!$C$2:$C$3001,$L750))+1,99),")",""),INDEX(Расчет!$C$2:$C$3001,$L750)))</f>
        <v/>
      </c>
      <c r="E750">
        <f>IF($L750="","",INDEX(Расчет!$D$2:$D$3001,$L750))</f>
        <v/>
      </c>
      <c r="F750">
        <f>IF($L750="","",INDEX(Расчет!$E$2:$E$3001,$L750))</f>
        <v/>
      </c>
      <c r="G750">
        <f>IF($L750="","",IFERROR(--LEFT(INDEX(Расчет!$C$2:$C$3001,$L750),FIND("(",INDEX(Расчет!$C$2:$C$3001,$L750))-1),IFERROR(--LEFT(INDEX(Расчет!$C$2:$C$3001,$L750),1),"")))</f>
        <v/>
      </c>
      <c r="H750">
        <f>IF($L750="","",SUMIFS(Расчет!$G$2:$G$3001,Расчет!$I$2:$I$3001,$K750,Расчет!$H$2:$H$3001,1))</f>
        <v/>
      </c>
      <c r="I750">
        <f>IF($L750="","",SUMIFS(Расчет!$G$2:$G$3001,Расчет!$I$2:$I$3001,$K750,Расчет!$H$2:$H$3001,2))</f>
        <v/>
      </c>
      <c r="J750">
        <f>IF($L750="","",SUMIFS(Расчет!$G$2:$G$3001,Расчет!$I$2:$I$3001,$K750,Расчет!$H$2:$H$3001,3))</f>
        <v/>
      </c>
      <c r="K750">
        <f>IF($L750="","",INDEX(Расчет!$I$2:$I$3001,$L750))</f>
        <v/>
      </c>
      <c r="L750">
        <f>IFERROR(MATCH(ROW()-1,Расчет!$J$2:$J$3001,0),"")</f>
        <v/>
      </c>
    </row>
    <row r="751">
      <c r="A751">
        <f>IF($L751="","",B751&amp;"."&amp;C751&amp;"-"&amp;D751&amp;"-"&amp;H751&amp;"."&amp;I751&amp;"."&amp;J751)</f>
        <v/>
      </c>
      <c r="B751">
        <f>IF($L751="","",INDEX(Расчет!$A$2:$A$3001,$L751))</f>
        <v/>
      </c>
      <c r="C751">
        <f>IF($L751="","",INDEX(Расчет!$B$2:$B$3001,$L751))</f>
        <v/>
      </c>
      <c r="D751">
        <f>IF($L751="","",IF(ISNUMBER(FIND("(",INDEX(Расчет!$C$2:$C$3001,$L751))),SUBSTITUTE(MID(INDEX(Расчет!$C$2:$C$3001,$L751),FIND("(",INDEX(Расчет!$C$2:$C$3001,$L751))+1,99),")",""),INDEX(Расчет!$C$2:$C$3001,$L751)))</f>
        <v/>
      </c>
      <c r="E751">
        <f>IF($L751="","",INDEX(Расчет!$D$2:$D$3001,$L751))</f>
        <v/>
      </c>
      <c r="F751">
        <f>IF($L751="","",INDEX(Расчет!$E$2:$E$3001,$L751))</f>
        <v/>
      </c>
      <c r="G751">
        <f>IF($L751="","",IFERROR(--LEFT(INDEX(Расчет!$C$2:$C$3001,$L751),FIND("(",INDEX(Расчет!$C$2:$C$3001,$L751))-1),IFERROR(--LEFT(INDEX(Расчет!$C$2:$C$3001,$L751),1),"")))</f>
        <v/>
      </c>
      <c r="H751">
        <f>IF($L751="","",SUMIFS(Расчет!$G$2:$G$3001,Расчет!$I$2:$I$3001,$K751,Расчет!$H$2:$H$3001,1))</f>
        <v/>
      </c>
      <c r="I751">
        <f>IF($L751="","",SUMIFS(Расчет!$G$2:$G$3001,Расчет!$I$2:$I$3001,$K751,Расчет!$H$2:$H$3001,2))</f>
        <v/>
      </c>
      <c r="J751">
        <f>IF($L751="","",SUMIFS(Расчет!$G$2:$G$3001,Расчет!$I$2:$I$3001,$K751,Расчет!$H$2:$H$3001,3))</f>
        <v/>
      </c>
      <c r="K751">
        <f>IF($L751="","",INDEX(Расчет!$I$2:$I$3001,$L751))</f>
        <v/>
      </c>
      <c r="L751">
        <f>IFERROR(MATCH(ROW()-1,Расчет!$J$2:$J$3001,0),"")</f>
        <v/>
      </c>
    </row>
    <row r="752">
      <c r="A752">
        <f>IF($L752="","",B752&amp;"."&amp;C752&amp;"-"&amp;D752&amp;"-"&amp;H752&amp;"."&amp;I752&amp;"."&amp;J752)</f>
        <v/>
      </c>
      <c r="B752">
        <f>IF($L752="","",INDEX(Расчет!$A$2:$A$3001,$L752))</f>
        <v/>
      </c>
      <c r="C752">
        <f>IF($L752="","",INDEX(Расчет!$B$2:$B$3001,$L752))</f>
        <v/>
      </c>
      <c r="D752">
        <f>IF($L752="","",IF(ISNUMBER(FIND("(",INDEX(Расчет!$C$2:$C$3001,$L752))),SUBSTITUTE(MID(INDEX(Расчет!$C$2:$C$3001,$L752),FIND("(",INDEX(Расчет!$C$2:$C$3001,$L752))+1,99),")",""),INDEX(Расчет!$C$2:$C$3001,$L752)))</f>
        <v/>
      </c>
      <c r="E752">
        <f>IF($L752="","",INDEX(Расчет!$D$2:$D$3001,$L752))</f>
        <v/>
      </c>
      <c r="F752">
        <f>IF($L752="","",INDEX(Расчет!$E$2:$E$3001,$L752))</f>
        <v/>
      </c>
      <c r="G752">
        <f>IF($L752="","",IFERROR(--LEFT(INDEX(Расчет!$C$2:$C$3001,$L752),FIND("(",INDEX(Расчет!$C$2:$C$3001,$L752))-1),IFERROR(--LEFT(INDEX(Расчет!$C$2:$C$3001,$L752),1),"")))</f>
        <v/>
      </c>
      <c r="H752">
        <f>IF($L752="","",SUMIFS(Расчет!$G$2:$G$3001,Расчет!$I$2:$I$3001,$K752,Расчет!$H$2:$H$3001,1))</f>
        <v/>
      </c>
      <c r="I752">
        <f>IF($L752="","",SUMIFS(Расчет!$G$2:$G$3001,Расчет!$I$2:$I$3001,$K752,Расчет!$H$2:$H$3001,2))</f>
        <v/>
      </c>
      <c r="J752">
        <f>IF($L752="","",SUMIFS(Расчет!$G$2:$G$3001,Расчет!$I$2:$I$3001,$K752,Расчет!$H$2:$H$3001,3))</f>
        <v/>
      </c>
      <c r="K752">
        <f>IF($L752="","",INDEX(Расчет!$I$2:$I$3001,$L752))</f>
        <v/>
      </c>
      <c r="L752">
        <f>IFERROR(MATCH(ROW()-1,Расчет!$J$2:$J$3001,0),"")</f>
        <v/>
      </c>
    </row>
    <row r="753">
      <c r="A753">
        <f>IF($L753="","",B753&amp;"."&amp;C753&amp;"-"&amp;D753&amp;"-"&amp;H753&amp;"."&amp;I753&amp;"."&amp;J753)</f>
        <v/>
      </c>
      <c r="B753">
        <f>IF($L753="","",INDEX(Расчет!$A$2:$A$3001,$L753))</f>
        <v/>
      </c>
      <c r="C753">
        <f>IF($L753="","",INDEX(Расчет!$B$2:$B$3001,$L753))</f>
        <v/>
      </c>
      <c r="D753">
        <f>IF($L753="","",IF(ISNUMBER(FIND("(",INDEX(Расчет!$C$2:$C$3001,$L753))),SUBSTITUTE(MID(INDEX(Расчет!$C$2:$C$3001,$L753),FIND("(",INDEX(Расчет!$C$2:$C$3001,$L753))+1,99),")",""),INDEX(Расчет!$C$2:$C$3001,$L753)))</f>
        <v/>
      </c>
      <c r="E753">
        <f>IF($L753="","",INDEX(Расчет!$D$2:$D$3001,$L753))</f>
        <v/>
      </c>
      <c r="F753">
        <f>IF($L753="","",INDEX(Расчет!$E$2:$E$3001,$L753))</f>
        <v/>
      </c>
      <c r="G753">
        <f>IF($L753="","",IFERROR(--LEFT(INDEX(Расчет!$C$2:$C$3001,$L753),FIND("(",INDEX(Расчет!$C$2:$C$3001,$L753))-1),IFERROR(--LEFT(INDEX(Расчет!$C$2:$C$3001,$L753),1),"")))</f>
        <v/>
      </c>
      <c r="H753">
        <f>IF($L753="","",SUMIFS(Расчет!$G$2:$G$3001,Расчет!$I$2:$I$3001,$K753,Расчет!$H$2:$H$3001,1))</f>
        <v/>
      </c>
      <c r="I753">
        <f>IF($L753="","",SUMIFS(Расчет!$G$2:$G$3001,Расчет!$I$2:$I$3001,$K753,Расчет!$H$2:$H$3001,2))</f>
        <v/>
      </c>
      <c r="J753">
        <f>IF($L753="","",SUMIFS(Расчет!$G$2:$G$3001,Расчет!$I$2:$I$3001,$K753,Расчет!$H$2:$H$3001,3))</f>
        <v/>
      </c>
      <c r="K753">
        <f>IF($L753="","",INDEX(Расчет!$I$2:$I$3001,$L753))</f>
        <v/>
      </c>
      <c r="L753">
        <f>IFERROR(MATCH(ROW()-1,Расчет!$J$2:$J$3001,0),"")</f>
        <v/>
      </c>
    </row>
    <row r="754">
      <c r="A754">
        <f>IF($L754="","",B754&amp;"."&amp;C754&amp;"-"&amp;D754&amp;"-"&amp;H754&amp;"."&amp;I754&amp;"."&amp;J754)</f>
        <v/>
      </c>
      <c r="B754">
        <f>IF($L754="","",INDEX(Расчет!$A$2:$A$3001,$L754))</f>
        <v/>
      </c>
      <c r="C754">
        <f>IF($L754="","",INDEX(Расчет!$B$2:$B$3001,$L754))</f>
        <v/>
      </c>
      <c r="D754">
        <f>IF($L754="","",IF(ISNUMBER(FIND("(",INDEX(Расчет!$C$2:$C$3001,$L754))),SUBSTITUTE(MID(INDEX(Расчет!$C$2:$C$3001,$L754),FIND("(",INDEX(Расчет!$C$2:$C$3001,$L754))+1,99),")",""),INDEX(Расчет!$C$2:$C$3001,$L754)))</f>
        <v/>
      </c>
      <c r="E754">
        <f>IF($L754="","",INDEX(Расчет!$D$2:$D$3001,$L754))</f>
        <v/>
      </c>
      <c r="F754">
        <f>IF($L754="","",INDEX(Расчет!$E$2:$E$3001,$L754))</f>
        <v/>
      </c>
      <c r="G754">
        <f>IF($L754="","",IFERROR(--LEFT(INDEX(Расчет!$C$2:$C$3001,$L754),FIND("(",INDEX(Расчет!$C$2:$C$3001,$L754))-1),IFERROR(--LEFT(INDEX(Расчет!$C$2:$C$3001,$L754),1),"")))</f>
        <v/>
      </c>
      <c r="H754">
        <f>IF($L754="","",SUMIFS(Расчет!$G$2:$G$3001,Расчет!$I$2:$I$3001,$K754,Расчет!$H$2:$H$3001,1))</f>
        <v/>
      </c>
      <c r="I754">
        <f>IF($L754="","",SUMIFS(Расчет!$G$2:$G$3001,Расчет!$I$2:$I$3001,$K754,Расчет!$H$2:$H$3001,2))</f>
        <v/>
      </c>
      <c r="J754">
        <f>IF($L754="","",SUMIFS(Расчет!$G$2:$G$3001,Расчет!$I$2:$I$3001,$K754,Расчет!$H$2:$H$3001,3))</f>
        <v/>
      </c>
      <c r="K754">
        <f>IF($L754="","",INDEX(Расчет!$I$2:$I$3001,$L754))</f>
        <v/>
      </c>
      <c r="L754">
        <f>IFERROR(MATCH(ROW()-1,Расчет!$J$2:$J$3001,0),"")</f>
        <v/>
      </c>
    </row>
    <row r="755">
      <c r="A755">
        <f>IF($L755="","",B755&amp;"."&amp;C755&amp;"-"&amp;D755&amp;"-"&amp;H755&amp;"."&amp;I755&amp;"."&amp;J755)</f>
        <v/>
      </c>
      <c r="B755">
        <f>IF($L755="","",INDEX(Расчет!$A$2:$A$3001,$L755))</f>
        <v/>
      </c>
      <c r="C755">
        <f>IF($L755="","",INDEX(Расчет!$B$2:$B$3001,$L755))</f>
        <v/>
      </c>
      <c r="D755">
        <f>IF($L755="","",IF(ISNUMBER(FIND("(",INDEX(Расчет!$C$2:$C$3001,$L755))),SUBSTITUTE(MID(INDEX(Расчет!$C$2:$C$3001,$L755),FIND("(",INDEX(Расчет!$C$2:$C$3001,$L755))+1,99),")",""),INDEX(Расчет!$C$2:$C$3001,$L755)))</f>
        <v/>
      </c>
      <c r="E755">
        <f>IF($L755="","",INDEX(Расчет!$D$2:$D$3001,$L755))</f>
        <v/>
      </c>
      <c r="F755">
        <f>IF($L755="","",INDEX(Расчет!$E$2:$E$3001,$L755))</f>
        <v/>
      </c>
      <c r="G755">
        <f>IF($L755="","",IFERROR(--LEFT(INDEX(Расчет!$C$2:$C$3001,$L755),FIND("(",INDEX(Расчет!$C$2:$C$3001,$L755))-1),IFERROR(--LEFT(INDEX(Расчет!$C$2:$C$3001,$L755),1),"")))</f>
        <v/>
      </c>
      <c r="H755">
        <f>IF($L755="","",SUMIFS(Расчет!$G$2:$G$3001,Расчет!$I$2:$I$3001,$K755,Расчет!$H$2:$H$3001,1))</f>
        <v/>
      </c>
      <c r="I755">
        <f>IF($L755="","",SUMIFS(Расчет!$G$2:$G$3001,Расчет!$I$2:$I$3001,$K755,Расчет!$H$2:$H$3001,2))</f>
        <v/>
      </c>
      <c r="J755">
        <f>IF($L755="","",SUMIFS(Расчет!$G$2:$G$3001,Расчет!$I$2:$I$3001,$K755,Расчет!$H$2:$H$3001,3))</f>
        <v/>
      </c>
      <c r="K755">
        <f>IF($L755="","",INDEX(Расчет!$I$2:$I$3001,$L755))</f>
        <v/>
      </c>
      <c r="L755">
        <f>IFERROR(MATCH(ROW()-1,Расчет!$J$2:$J$3001,0),"")</f>
        <v/>
      </c>
    </row>
    <row r="756">
      <c r="A756">
        <f>IF($L756="","",B756&amp;"."&amp;C756&amp;"-"&amp;D756&amp;"-"&amp;H756&amp;"."&amp;I756&amp;"."&amp;J756)</f>
        <v/>
      </c>
      <c r="B756">
        <f>IF($L756="","",INDEX(Расчет!$A$2:$A$3001,$L756))</f>
        <v/>
      </c>
      <c r="C756">
        <f>IF($L756="","",INDEX(Расчет!$B$2:$B$3001,$L756))</f>
        <v/>
      </c>
      <c r="D756">
        <f>IF($L756="","",IF(ISNUMBER(FIND("(",INDEX(Расчет!$C$2:$C$3001,$L756))),SUBSTITUTE(MID(INDEX(Расчет!$C$2:$C$3001,$L756),FIND("(",INDEX(Расчет!$C$2:$C$3001,$L756))+1,99),")",""),INDEX(Расчет!$C$2:$C$3001,$L756)))</f>
        <v/>
      </c>
      <c r="E756">
        <f>IF($L756="","",INDEX(Расчет!$D$2:$D$3001,$L756))</f>
        <v/>
      </c>
      <c r="F756">
        <f>IF($L756="","",INDEX(Расчет!$E$2:$E$3001,$L756))</f>
        <v/>
      </c>
      <c r="G756">
        <f>IF($L756="","",IFERROR(--LEFT(INDEX(Расчет!$C$2:$C$3001,$L756),FIND("(",INDEX(Расчет!$C$2:$C$3001,$L756))-1),IFERROR(--LEFT(INDEX(Расчет!$C$2:$C$3001,$L756),1),"")))</f>
        <v/>
      </c>
      <c r="H756">
        <f>IF($L756="","",SUMIFS(Расчет!$G$2:$G$3001,Расчет!$I$2:$I$3001,$K756,Расчет!$H$2:$H$3001,1))</f>
        <v/>
      </c>
      <c r="I756">
        <f>IF($L756="","",SUMIFS(Расчет!$G$2:$G$3001,Расчет!$I$2:$I$3001,$K756,Расчет!$H$2:$H$3001,2))</f>
        <v/>
      </c>
      <c r="J756">
        <f>IF($L756="","",SUMIFS(Расчет!$G$2:$G$3001,Расчет!$I$2:$I$3001,$K756,Расчет!$H$2:$H$3001,3))</f>
        <v/>
      </c>
      <c r="K756">
        <f>IF($L756="","",INDEX(Расчет!$I$2:$I$3001,$L756))</f>
        <v/>
      </c>
      <c r="L756">
        <f>IFERROR(MATCH(ROW()-1,Расчет!$J$2:$J$3001,0),"")</f>
        <v/>
      </c>
    </row>
    <row r="757">
      <c r="A757">
        <f>IF($L757="","",B757&amp;"."&amp;C757&amp;"-"&amp;D757&amp;"-"&amp;H757&amp;"."&amp;I757&amp;"."&amp;J757)</f>
        <v/>
      </c>
      <c r="B757">
        <f>IF($L757="","",INDEX(Расчет!$A$2:$A$3001,$L757))</f>
        <v/>
      </c>
      <c r="C757">
        <f>IF($L757="","",INDEX(Расчет!$B$2:$B$3001,$L757))</f>
        <v/>
      </c>
      <c r="D757">
        <f>IF($L757="","",IF(ISNUMBER(FIND("(",INDEX(Расчет!$C$2:$C$3001,$L757))),SUBSTITUTE(MID(INDEX(Расчет!$C$2:$C$3001,$L757),FIND("(",INDEX(Расчет!$C$2:$C$3001,$L757))+1,99),")",""),INDEX(Расчет!$C$2:$C$3001,$L757)))</f>
        <v/>
      </c>
      <c r="E757">
        <f>IF($L757="","",INDEX(Расчет!$D$2:$D$3001,$L757))</f>
        <v/>
      </c>
      <c r="F757">
        <f>IF($L757="","",INDEX(Расчет!$E$2:$E$3001,$L757))</f>
        <v/>
      </c>
      <c r="G757">
        <f>IF($L757="","",IFERROR(--LEFT(INDEX(Расчет!$C$2:$C$3001,$L757),FIND("(",INDEX(Расчет!$C$2:$C$3001,$L757))-1),IFERROR(--LEFT(INDEX(Расчет!$C$2:$C$3001,$L757),1),"")))</f>
        <v/>
      </c>
      <c r="H757">
        <f>IF($L757="","",SUMIFS(Расчет!$G$2:$G$3001,Расчет!$I$2:$I$3001,$K757,Расчет!$H$2:$H$3001,1))</f>
        <v/>
      </c>
      <c r="I757">
        <f>IF($L757="","",SUMIFS(Расчет!$G$2:$G$3001,Расчет!$I$2:$I$3001,$K757,Расчет!$H$2:$H$3001,2))</f>
        <v/>
      </c>
      <c r="J757">
        <f>IF($L757="","",SUMIFS(Расчет!$G$2:$G$3001,Расчет!$I$2:$I$3001,$K757,Расчет!$H$2:$H$3001,3))</f>
        <v/>
      </c>
      <c r="K757">
        <f>IF($L757="","",INDEX(Расчет!$I$2:$I$3001,$L757))</f>
        <v/>
      </c>
      <c r="L757">
        <f>IFERROR(MATCH(ROW()-1,Расчет!$J$2:$J$3001,0),"")</f>
        <v/>
      </c>
    </row>
    <row r="758">
      <c r="A758">
        <f>IF($L758="","",B758&amp;"."&amp;C758&amp;"-"&amp;D758&amp;"-"&amp;H758&amp;"."&amp;I758&amp;"."&amp;J758)</f>
        <v/>
      </c>
      <c r="B758">
        <f>IF($L758="","",INDEX(Расчет!$A$2:$A$3001,$L758))</f>
        <v/>
      </c>
      <c r="C758">
        <f>IF($L758="","",INDEX(Расчет!$B$2:$B$3001,$L758))</f>
        <v/>
      </c>
      <c r="D758">
        <f>IF($L758="","",IF(ISNUMBER(FIND("(",INDEX(Расчет!$C$2:$C$3001,$L758))),SUBSTITUTE(MID(INDEX(Расчет!$C$2:$C$3001,$L758),FIND("(",INDEX(Расчет!$C$2:$C$3001,$L758))+1,99),")",""),INDEX(Расчет!$C$2:$C$3001,$L758)))</f>
        <v/>
      </c>
      <c r="E758">
        <f>IF($L758="","",INDEX(Расчет!$D$2:$D$3001,$L758))</f>
        <v/>
      </c>
      <c r="F758">
        <f>IF($L758="","",INDEX(Расчет!$E$2:$E$3001,$L758))</f>
        <v/>
      </c>
      <c r="G758">
        <f>IF($L758="","",IFERROR(--LEFT(INDEX(Расчет!$C$2:$C$3001,$L758),FIND("(",INDEX(Расчет!$C$2:$C$3001,$L758))-1),IFERROR(--LEFT(INDEX(Расчет!$C$2:$C$3001,$L758),1),"")))</f>
        <v/>
      </c>
      <c r="H758">
        <f>IF($L758="","",SUMIFS(Расчет!$G$2:$G$3001,Расчет!$I$2:$I$3001,$K758,Расчет!$H$2:$H$3001,1))</f>
        <v/>
      </c>
      <c r="I758">
        <f>IF($L758="","",SUMIFS(Расчет!$G$2:$G$3001,Расчет!$I$2:$I$3001,$K758,Расчет!$H$2:$H$3001,2))</f>
        <v/>
      </c>
      <c r="J758">
        <f>IF($L758="","",SUMIFS(Расчет!$G$2:$G$3001,Расчет!$I$2:$I$3001,$K758,Расчет!$H$2:$H$3001,3))</f>
        <v/>
      </c>
      <c r="K758">
        <f>IF($L758="","",INDEX(Расчет!$I$2:$I$3001,$L758))</f>
        <v/>
      </c>
      <c r="L758">
        <f>IFERROR(MATCH(ROW()-1,Расчет!$J$2:$J$3001,0),"")</f>
        <v/>
      </c>
    </row>
    <row r="759">
      <c r="A759">
        <f>IF($L759="","",B759&amp;"."&amp;C759&amp;"-"&amp;D759&amp;"-"&amp;H759&amp;"."&amp;I759&amp;"."&amp;J759)</f>
        <v/>
      </c>
      <c r="B759">
        <f>IF($L759="","",INDEX(Расчет!$A$2:$A$3001,$L759))</f>
        <v/>
      </c>
      <c r="C759">
        <f>IF($L759="","",INDEX(Расчет!$B$2:$B$3001,$L759))</f>
        <v/>
      </c>
      <c r="D759">
        <f>IF($L759="","",IF(ISNUMBER(FIND("(",INDEX(Расчет!$C$2:$C$3001,$L759))),SUBSTITUTE(MID(INDEX(Расчет!$C$2:$C$3001,$L759),FIND("(",INDEX(Расчет!$C$2:$C$3001,$L759))+1,99),")",""),INDEX(Расчет!$C$2:$C$3001,$L759)))</f>
        <v/>
      </c>
      <c r="E759">
        <f>IF($L759="","",INDEX(Расчет!$D$2:$D$3001,$L759))</f>
        <v/>
      </c>
      <c r="F759">
        <f>IF($L759="","",INDEX(Расчет!$E$2:$E$3001,$L759))</f>
        <v/>
      </c>
      <c r="G759">
        <f>IF($L759="","",IFERROR(--LEFT(INDEX(Расчет!$C$2:$C$3001,$L759),FIND("(",INDEX(Расчет!$C$2:$C$3001,$L759))-1),IFERROR(--LEFT(INDEX(Расчет!$C$2:$C$3001,$L759),1),"")))</f>
        <v/>
      </c>
      <c r="H759">
        <f>IF($L759="","",SUMIFS(Расчет!$G$2:$G$3001,Расчет!$I$2:$I$3001,$K759,Расчет!$H$2:$H$3001,1))</f>
        <v/>
      </c>
      <c r="I759">
        <f>IF($L759="","",SUMIFS(Расчет!$G$2:$G$3001,Расчет!$I$2:$I$3001,$K759,Расчет!$H$2:$H$3001,2))</f>
        <v/>
      </c>
      <c r="J759">
        <f>IF($L759="","",SUMIFS(Расчет!$G$2:$G$3001,Расчет!$I$2:$I$3001,$K759,Расчет!$H$2:$H$3001,3))</f>
        <v/>
      </c>
      <c r="K759">
        <f>IF($L759="","",INDEX(Расчет!$I$2:$I$3001,$L759))</f>
        <v/>
      </c>
      <c r="L759">
        <f>IFERROR(MATCH(ROW()-1,Расчет!$J$2:$J$3001,0),"")</f>
        <v/>
      </c>
    </row>
    <row r="760">
      <c r="A760">
        <f>IF($L760="","",B760&amp;"."&amp;C760&amp;"-"&amp;D760&amp;"-"&amp;H760&amp;"."&amp;I760&amp;"."&amp;J760)</f>
        <v/>
      </c>
      <c r="B760">
        <f>IF($L760="","",INDEX(Расчет!$A$2:$A$3001,$L760))</f>
        <v/>
      </c>
      <c r="C760">
        <f>IF($L760="","",INDEX(Расчет!$B$2:$B$3001,$L760))</f>
        <v/>
      </c>
      <c r="D760">
        <f>IF($L760="","",IF(ISNUMBER(FIND("(",INDEX(Расчет!$C$2:$C$3001,$L760))),SUBSTITUTE(MID(INDEX(Расчет!$C$2:$C$3001,$L760),FIND("(",INDEX(Расчет!$C$2:$C$3001,$L760))+1,99),")",""),INDEX(Расчет!$C$2:$C$3001,$L760)))</f>
        <v/>
      </c>
      <c r="E760">
        <f>IF($L760="","",INDEX(Расчет!$D$2:$D$3001,$L760))</f>
        <v/>
      </c>
      <c r="F760">
        <f>IF($L760="","",INDEX(Расчет!$E$2:$E$3001,$L760))</f>
        <v/>
      </c>
      <c r="G760">
        <f>IF($L760="","",IFERROR(--LEFT(INDEX(Расчет!$C$2:$C$3001,$L760),FIND("(",INDEX(Расчет!$C$2:$C$3001,$L760))-1),IFERROR(--LEFT(INDEX(Расчет!$C$2:$C$3001,$L760),1),"")))</f>
        <v/>
      </c>
      <c r="H760">
        <f>IF($L760="","",SUMIFS(Расчет!$G$2:$G$3001,Расчет!$I$2:$I$3001,$K760,Расчет!$H$2:$H$3001,1))</f>
        <v/>
      </c>
      <c r="I760">
        <f>IF($L760="","",SUMIFS(Расчет!$G$2:$G$3001,Расчет!$I$2:$I$3001,$K760,Расчет!$H$2:$H$3001,2))</f>
        <v/>
      </c>
      <c r="J760">
        <f>IF($L760="","",SUMIFS(Расчет!$G$2:$G$3001,Расчет!$I$2:$I$3001,$K760,Расчет!$H$2:$H$3001,3))</f>
        <v/>
      </c>
      <c r="K760">
        <f>IF($L760="","",INDEX(Расчет!$I$2:$I$3001,$L760))</f>
        <v/>
      </c>
      <c r="L760">
        <f>IFERROR(MATCH(ROW()-1,Расчет!$J$2:$J$3001,0),"")</f>
        <v/>
      </c>
    </row>
    <row r="761">
      <c r="A761">
        <f>IF($L761="","",B761&amp;"."&amp;C761&amp;"-"&amp;D761&amp;"-"&amp;H761&amp;"."&amp;I761&amp;"."&amp;J761)</f>
        <v/>
      </c>
      <c r="B761">
        <f>IF($L761="","",INDEX(Расчет!$A$2:$A$3001,$L761))</f>
        <v/>
      </c>
      <c r="C761">
        <f>IF($L761="","",INDEX(Расчет!$B$2:$B$3001,$L761))</f>
        <v/>
      </c>
      <c r="D761">
        <f>IF($L761="","",IF(ISNUMBER(FIND("(",INDEX(Расчет!$C$2:$C$3001,$L761))),SUBSTITUTE(MID(INDEX(Расчет!$C$2:$C$3001,$L761),FIND("(",INDEX(Расчет!$C$2:$C$3001,$L761))+1,99),")",""),INDEX(Расчет!$C$2:$C$3001,$L761)))</f>
        <v/>
      </c>
      <c r="E761">
        <f>IF($L761="","",INDEX(Расчет!$D$2:$D$3001,$L761))</f>
        <v/>
      </c>
      <c r="F761">
        <f>IF($L761="","",INDEX(Расчет!$E$2:$E$3001,$L761))</f>
        <v/>
      </c>
      <c r="G761">
        <f>IF($L761="","",IFERROR(--LEFT(INDEX(Расчет!$C$2:$C$3001,$L761),FIND("(",INDEX(Расчет!$C$2:$C$3001,$L761))-1),IFERROR(--LEFT(INDEX(Расчет!$C$2:$C$3001,$L761),1),"")))</f>
        <v/>
      </c>
      <c r="H761">
        <f>IF($L761="","",SUMIFS(Расчет!$G$2:$G$3001,Расчет!$I$2:$I$3001,$K761,Расчет!$H$2:$H$3001,1))</f>
        <v/>
      </c>
      <c r="I761">
        <f>IF($L761="","",SUMIFS(Расчет!$G$2:$G$3001,Расчет!$I$2:$I$3001,$K761,Расчет!$H$2:$H$3001,2))</f>
        <v/>
      </c>
      <c r="J761">
        <f>IF($L761="","",SUMIFS(Расчет!$G$2:$G$3001,Расчет!$I$2:$I$3001,$K761,Расчет!$H$2:$H$3001,3))</f>
        <v/>
      </c>
      <c r="K761">
        <f>IF($L761="","",INDEX(Расчет!$I$2:$I$3001,$L761))</f>
        <v/>
      </c>
      <c r="L761">
        <f>IFERROR(MATCH(ROW()-1,Расчет!$J$2:$J$3001,0),"")</f>
        <v/>
      </c>
    </row>
    <row r="762">
      <c r="A762">
        <f>IF($L762="","",B762&amp;"."&amp;C762&amp;"-"&amp;D762&amp;"-"&amp;H762&amp;"."&amp;I762&amp;"."&amp;J762)</f>
        <v/>
      </c>
      <c r="B762">
        <f>IF($L762="","",INDEX(Расчет!$A$2:$A$3001,$L762))</f>
        <v/>
      </c>
      <c r="C762">
        <f>IF($L762="","",INDEX(Расчет!$B$2:$B$3001,$L762))</f>
        <v/>
      </c>
      <c r="D762">
        <f>IF($L762="","",IF(ISNUMBER(FIND("(",INDEX(Расчет!$C$2:$C$3001,$L762))),SUBSTITUTE(MID(INDEX(Расчет!$C$2:$C$3001,$L762),FIND("(",INDEX(Расчет!$C$2:$C$3001,$L762))+1,99),")",""),INDEX(Расчет!$C$2:$C$3001,$L762)))</f>
        <v/>
      </c>
      <c r="E762">
        <f>IF($L762="","",INDEX(Расчет!$D$2:$D$3001,$L762))</f>
        <v/>
      </c>
      <c r="F762">
        <f>IF($L762="","",INDEX(Расчет!$E$2:$E$3001,$L762))</f>
        <v/>
      </c>
      <c r="G762">
        <f>IF($L762="","",IFERROR(--LEFT(INDEX(Расчет!$C$2:$C$3001,$L762),FIND("(",INDEX(Расчет!$C$2:$C$3001,$L762))-1),IFERROR(--LEFT(INDEX(Расчет!$C$2:$C$3001,$L762),1),"")))</f>
        <v/>
      </c>
      <c r="H762">
        <f>IF($L762="","",SUMIFS(Расчет!$G$2:$G$3001,Расчет!$I$2:$I$3001,$K762,Расчет!$H$2:$H$3001,1))</f>
        <v/>
      </c>
      <c r="I762">
        <f>IF($L762="","",SUMIFS(Расчет!$G$2:$G$3001,Расчет!$I$2:$I$3001,$K762,Расчет!$H$2:$H$3001,2))</f>
        <v/>
      </c>
      <c r="J762">
        <f>IF($L762="","",SUMIFS(Расчет!$G$2:$G$3001,Расчет!$I$2:$I$3001,$K762,Расчет!$H$2:$H$3001,3))</f>
        <v/>
      </c>
      <c r="K762">
        <f>IF($L762="","",INDEX(Расчет!$I$2:$I$3001,$L762))</f>
        <v/>
      </c>
      <c r="L762">
        <f>IFERROR(MATCH(ROW()-1,Расчет!$J$2:$J$3001,0),"")</f>
        <v/>
      </c>
    </row>
    <row r="763">
      <c r="A763">
        <f>IF($L763="","",B763&amp;"."&amp;C763&amp;"-"&amp;D763&amp;"-"&amp;H763&amp;"."&amp;I763&amp;"."&amp;J763)</f>
        <v/>
      </c>
      <c r="B763">
        <f>IF($L763="","",INDEX(Расчет!$A$2:$A$3001,$L763))</f>
        <v/>
      </c>
      <c r="C763">
        <f>IF($L763="","",INDEX(Расчет!$B$2:$B$3001,$L763))</f>
        <v/>
      </c>
      <c r="D763">
        <f>IF($L763="","",IF(ISNUMBER(FIND("(",INDEX(Расчет!$C$2:$C$3001,$L763))),SUBSTITUTE(MID(INDEX(Расчет!$C$2:$C$3001,$L763),FIND("(",INDEX(Расчет!$C$2:$C$3001,$L763))+1,99),")",""),INDEX(Расчет!$C$2:$C$3001,$L763)))</f>
        <v/>
      </c>
      <c r="E763">
        <f>IF($L763="","",INDEX(Расчет!$D$2:$D$3001,$L763))</f>
        <v/>
      </c>
      <c r="F763">
        <f>IF($L763="","",INDEX(Расчет!$E$2:$E$3001,$L763))</f>
        <v/>
      </c>
      <c r="G763">
        <f>IF($L763="","",IFERROR(--LEFT(INDEX(Расчет!$C$2:$C$3001,$L763),FIND("(",INDEX(Расчет!$C$2:$C$3001,$L763))-1),IFERROR(--LEFT(INDEX(Расчет!$C$2:$C$3001,$L763),1),"")))</f>
        <v/>
      </c>
      <c r="H763">
        <f>IF($L763="","",SUMIFS(Расчет!$G$2:$G$3001,Расчет!$I$2:$I$3001,$K763,Расчет!$H$2:$H$3001,1))</f>
        <v/>
      </c>
      <c r="I763">
        <f>IF($L763="","",SUMIFS(Расчет!$G$2:$G$3001,Расчет!$I$2:$I$3001,$K763,Расчет!$H$2:$H$3001,2))</f>
        <v/>
      </c>
      <c r="J763">
        <f>IF($L763="","",SUMIFS(Расчет!$G$2:$G$3001,Расчет!$I$2:$I$3001,$K763,Расчет!$H$2:$H$3001,3))</f>
        <v/>
      </c>
      <c r="K763">
        <f>IF($L763="","",INDEX(Расчет!$I$2:$I$3001,$L763))</f>
        <v/>
      </c>
      <c r="L763">
        <f>IFERROR(MATCH(ROW()-1,Расчет!$J$2:$J$3001,0),"")</f>
        <v/>
      </c>
    </row>
    <row r="764">
      <c r="A764">
        <f>IF($L764="","",B764&amp;"."&amp;C764&amp;"-"&amp;D764&amp;"-"&amp;H764&amp;"."&amp;I764&amp;"."&amp;J764)</f>
        <v/>
      </c>
      <c r="B764">
        <f>IF($L764="","",INDEX(Расчет!$A$2:$A$3001,$L764))</f>
        <v/>
      </c>
      <c r="C764">
        <f>IF($L764="","",INDEX(Расчет!$B$2:$B$3001,$L764))</f>
        <v/>
      </c>
      <c r="D764">
        <f>IF($L764="","",IF(ISNUMBER(FIND("(",INDEX(Расчет!$C$2:$C$3001,$L764))),SUBSTITUTE(MID(INDEX(Расчет!$C$2:$C$3001,$L764),FIND("(",INDEX(Расчет!$C$2:$C$3001,$L764))+1,99),")",""),INDEX(Расчет!$C$2:$C$3001,$L764)))</f>
        <v/>
      </c>
      <c r="E764">
        <f>IF($L764="","",INDEX(Расчет!$D$2:$D$3001,$L764))</f>
        <v/>
      </c>
      <c r="F764">
        <f>IF($L764="","",INDEX(Расчет!$E$2:$E$3001,$L764))</f>
        <v/>
      </c>
      <c r="G764">
        <f>IF($L764="","",IFERROR(--LEFT(INDEX(Расчет!$C$2:$C$3001,$L764),FIND("(",INDEX(Расчет!$C$2:$C$3001,$L764))-1),IFERROR(--LEFT(INDEX(Расчет!$C$2:$C$3001,$L764),1),"")))</f>
        <v/>
      </c>
      <c r="H764">
        <f>IF($L764="","",SUMIFS(Расчет!$G$2:$G$3001,Расчет!$I$2:$I$3001,$K764,Расчет!$H$2:$H$3001,1))</f>
        <v/>
      </c>
      <c r="I764">
        <f>IF($L764="","",SUMIFS(Расчет!$G$2:$G$3001,Расчет!$I$2:$I$3001,$K764,Расчет!$H$2:$H$3001,2))</f>
        <v/>
      </c>
      <c r="J764">
        <f>IF($L764="","",SUMIFS(Расчет!$G$2:$G$3001,Расчет!$I$2:$I$3001,$K764,Расчет!$H$2:$H$3001,3))</f>
        <v/>
      </c>
      <c r="K764">
        <f>IF($L764="","",INDEX(Расчет!$I$2:$I$3001,$L764))</f>
        <v/>
      </c>
      <c r="L764">
        <f>IFERROR(MATCH(ROW()-1,Расчет!$J$2:$J$3001,0),"")</f>
        <v/>
      </c>
    </row>
    <row r="765">
      <c r="A765">
        <f>IF($L765="","",B765&amp;"."&amp;C765&amp;"-"&amp;D765&amp;"-"&amp;H765&amp;"."&amp;I765&amp;"."&amp;J765)</f>
        <v/>
      </c>
      <c r="B765">
        <f>IF($L765="","",INDEX(Расчет!$A$2:$A$3001,$L765))</f>
        <v/>
      </c>
      <c r="C765">
        <f>IF($L765="","",INDEX(Расчет!$B$2:$B$3001,$L765))</f>
        <v/>
      </c>
      <c r="D765">
        <f>IF($L765="","",IF(ISNUMBER(FIND("(",INDEX(Расчет!$C$2:$C$3001,$L765))),SUBSTITUTE(MID(INDEX(Расчет!$C$2:$C$3001,$L765),FIND("(",INDEX(Расчет!$C$2:$C$3001,$L765))+1,99),")",""),INDEX(Расчет!$C$2:$C$3001,$L765)))</f>
        <v/>
      </c>
      <c r="E765">
        <f>IF($L765="","",INDEX(Расчет!$D$2:$D$3001,$L765))</f>
        <v/>
      </c>
      <c r="F765">
        <f>IF($L765="","",INDEX(Расчет!$E$2:$E$3001,$L765))</f>
        <v/>
      </c>
      <c r="G765">
        <f>IF($L765="","",IFERROR(--LEFT(INDEX(Расчет!$C$2:$C$3001,$L765),FIND("(",INDEX(Расчет!$C$2:$C$3001,$L765))-1),IFERROR(--LEFT(INDEX(Расчет!$C$2:$C$3001,$L765),1),"")))</f>
        <v/>
      </c>
      <c r="H765">
        <f>IF($L765="","",SUMIFS(Расчет!$G$2:$G$3001,Расчет!$I$2:$I$3001,$K765,Расчет!$H$2:$H$3001,1))</f>
        <v/>
      </c>
      <c r="I765">
        <f>IF($L765="","",SUMIFS(Расчет!$G$2:$G$3001,Расчет!$I$2:$I$3001,$K765,Расчет!$H$2:$H$3001,2))</f>
        <v/>
      </c>
      <c r="J765">
        <f>IF($L765="","",SUMIFS(Расчет!$G$2:$G$3001,Расчет!$I$2:$I$3001,$K765,Расчет!$H$2:$H$3001,3))</f>
        <v/>
      </c>
      <c r="K765">
        <f>IF($L765="","",INDEX(Расчет!$I$2:$I$3001,$L765))</f>
        <v/>
      </c>
      <c r="L765">
        <f>IFERROR(MATCH(ROW()-1,Расчет!$J$2:$J$3001,0),"")</f>
        <v/>
      </c>
    </row>
    <row r="766">
      <c r="A766">
        <f>IF($L766="","",B766&amp;"."&amp;C766&amp;"-"&amp;D766&amp;"-"&amp;H766&amp;"."&amp;I766&amp;"."&amp;J766)</f>
        <v/>
      </c>
      <c r="B766">
        <f>IF($L766="","",INDEX(Расчет!$A$2:$A$3001,$L766))</f>
        <v/>
      </c>
      <c r="C766">
        <f>IF($L766="","",INDEX(Расчет!$B$2:$B$3001,$L766))</f>
        <v/>
      </c>
      <c r="D766">
        <f>IF($L766="","",IF(ISNUMBER(FIND("(",INDEX(Расчет!$C$2:$C$3001,$L766))),SUBSTITUTE(MID(INDEX(Расчет!$C$2:$C$3001,$L766),FIND("(",INDEX(Расчет!$C$2:$C$3001,$L766))+1,99),")",""),INDEX(Расчет!$C$2:$C$3001,$L766)))</f>
        <v/>
      </c>
      <c r="E766">
        <f>IF($L766="","",INDEX(Расчет!$D$2:$D$3001,$L766))</f>
        <v/>
      </c>
      <c r="F766">
        <f>IF($L766="","",INDEX(Расчет!$E$2:$E$3001,$L766))</f>
        <v/>
      </c>
      <c r="G766">
        <f>IF($L766="","",IFERROR(--LEFT(INDEX(Расчет!$C$2:$C$3001,$L766),FIND("(",INDEX(Расчет!$C$2:$C$3001,$L766))-1),IFERROR(--LEFT(INDEX(Расчет!$C$2:$C$3001,$L766),1),"")))</f>
        <v/>
      </c>
      <c r="H766">
        <f>IF($L766="","",SUMIFS(Расчет!$G$2:$G$3001,Расчет!$I$2:$I$3001,$K766,Расчет!$H$2:$H$3001,1))</f>
        <v/>
      </c>
      <c r="I766">
        <f>IF($L766="","",SUMIFS(Расчет!$G$2:$G$3001,Расчет!$I$2:$I$3001,$K766,Расчет!$H$2:$H$3001,2))</f>
        <v/>
      </c>
      <c r="J766">
        <f>IF($L766="","",SUMIFS(Расчет!$G$2:$G$3001,Расчет!$I$2:$I$3001,$K766,Расчет!$H$2:$H$3001,3))</f>
        <v/>
      </c>
      <c r="K766">
        <f>IF($L766="","",INDEX(Расчет!$I$2:$I$3001,$L766))</f>
        <v/>
      </c>
      <c r="L766">
        <f>IFERROR(MATCH(ROW()-1,Расчет!$J$2:$J$3001,0),"")</f>
        <v/>
      </c>
    </row>
    <row r="767">
      <c r="A767">
        <f>IF($L767="","",B767&amp;"."&amp;C767&amp;"-"&amp;D767&amp;"-"&amp;H767&amp;"."&amp;I767&amp;"."&amp;J767)</f>
        <v/>
      </c>
      <c r="B767">
        <f>IF($L767="","",INDEX(Расчет!$A$2:$A$3001,$L767))</f>
        <v/>
      </c>
      <c r="C767">
        <f>IF($L767="","",INDEX(Расчет!$B$2:$B$3001,$L767))</f>
        <v/>
      </c>
      <c r="D767">
        <f>IF($L767="","",IF(ISNUMBER(FIND("(",INDEX(Расчет!$C$2:$C$3001,$L767))),SUBSTITUTE(MID(INDEX(Расчет!$C$2:$C$3001,$L767),FIND("(",INDEX(Расчет!$C$2:$C$3001,$L767))+1,99),")",""),INDEX(Расчет!$C$2:$C$3001,$L767)))</f>
        <v/>
      </c>
      <c r="E767">
        <f>IF($L767="","",INDEX(Расчет!$D$2:$D$3001,$L767))</f>
        <v/>
      </c>
      <c r="F767">
        <f>IF($L767="","",INDEX(Расчет!$E$2:$E$3001,$L767))</f>
        <v/>
      </c>
      <c r="G767">
        <f>IF($L767="","",IFERROR(--LEFT(INDEX(Расчет!$C$2:$C$3001,$L767),FIND("(",INDEX(Расчет!$C$2:$C$3001,$L767))-1),IFERROR(--LEFT(INDEX(Расчет!$C$2:$C$3001,$L767),1),"")))</f>
        <v/>
      </c>
      <c r="H767">
        <f>IF($L767="","",SUMIFS(Расчет!$G$2:$G$3001,Расчет!$I$2:$I$3001,$K767,Расчет!$H$2:$H$3001,1))</f>
        <v/>
      </c>
      <c r="I767">
        <f>IF($L767="","",SUMIFS(Расчет!$G$2:$G$3001,Расчет!$I$2:$I$3001,$K767,Расчет!$H$2:$H$3001,2))</f>
        <v/>
      </c>
      <c r="J767">
        <f>IF($L767="","",SUMIFS(Расчет!$G$2:$G$3001,Расчет!$I$2:$I$3001,$K767,Расчет!$H$2:$H$3001,3))</f>
        <v/>
      </c>
      <c r="K767">
        <f>IF($L767="","",INDEX(Расчет!$I$2:$I$3001,$L767))</f>
        <v/>
      </c>
      <c r="L767">
        <f>IFERROR(MATCH(ROW()-1,Расчет!$J$2:$J$3001,0),"")</f>
        <v/>
      </c>
    </row>
    <row r="768">
      <c r="A768">
        <f>IF($L768="","",B768&amp;"."&amp;C768&amp;"-"&amp;D768&amp;"-"&amp;H768&amp;"."&amp;I768&amp;"."&amp;J768)</f>
        <v/>
      </c>
      <c r="B768">
        <f>IF($L768="","",INDEX(Расчет!$A$2:$A$3001,$L768))</f>
        <v/>
      </c>
      <c r="C768">
        <f>IF($L768="","",INDEX(Расчет!$B$2:$B$3001,$L768))</f>
        <v/>
      </c>
      <c r="D768">
        <f>IF($L768="","",IF(ISNUMBER(FIND("(",INDEX(Расчет!$C$2:$C$3001,$L768))),SUBSTITUTE(MID(INDEX(Расчет!$C$2:$C$3001,$L768),FIND("(",INDEX(Расчет!$C$2:$C$3001,$L768))+1,99),")",""),INDEX(Расчет!$C$2:$C$3001,$L768)))</f>
        <v/>
      </c>
      <c r="E768">
        <f>IF($L768="","",INDEX(Расчет!$D$2:$D$3001,$L768))</f>
        <v/>
      </c>
      <c r="F768">
        <f>IF($L768="","",INDEX(Расчет!$E$2:$E$3001,$L768))</f>
        <v/>
      </c>
      <c r="G768">
        <f>IF($L768="","",IFERROR(--LEFT(INDEX(Расчет!$C$2:$C$3001,$L768),FIND("(",INDEX(Расчет!$C$2:$C$3001,$L768))-1),IFERROR(--LEFT(INDEX(Расчет!$C$2:$C$3001,$L768),1),"")))</f>
        <v/>
      </c>
      <c r="H768">
        <f>IF($L768="","",SUMIFS(Расчет!$G$2:$G$3001,Расчет!$I$2:$I$3001,$K768,Расчет!$H$2:$H$3001,1))</f>
        <v/>
      </c>
      <c r="I768">
        <f>IF($L768="","",SUMIFS(Расчет!$G$2:$G$3001,Расчет!$I$2:$I$3001,$K768,Расчет!$H$2:$H$3001,2))</f>
        <v/>
      </c>
      <c r="J768">
        <f>IF($L768="","",SUMIFS(Расчет!$G$2:$G$3001,Расчет!$I$2:$I$3001,$K768,Расчет!$H$2:$H$3001,3))</f>
        <v/>
      </c>
      <c r="K768">
        <f>IF($L768="","",INDEX(Расчет!$I$2:$I$3001,$L768))</f>
        <v/>
      </c>
      <c r="L768">
        <f>IFERROR(MATCH(ROW()-1,Расчет!$J$2:$J$3001,0),"")</f>
        <v/>
      </c>
    </row>
    <row r="769">
      <c r="A769">
        <f>IF($L769="","",B769&amp;"."&amp;C769&amp;"-"&amp;D769&amp;"-"&amp;H769&amp;"."&amp;I769&amp;"."&amp;J769)</f>
        <v/>
      </c>
      <c r="B769">
        <f>IF($L769="","",INDEX(Расчет!$A$2:$A$3001,$L769))</f>
        <v/>
      </c>
      <c r="C769">
        <f>IF($L769="","",INDEX(Расчет!$B$2:$B$3001,$L769))</f>
        <v/>
      </c>
      <c r="D769">
        <f>IF($L769="","",IF(ISNUMBER(FIND("(",INDEX(Расчет!$C$2:$C$3001,$L769))),SUBSTITUTE(MID(INDEX(Расчет!$C$2:$C$3001,$L769),FIND("(",INDEX(Расчет!$C$2:$C$3001,$L769))+1,99),")",""),INDEX(Расчет!$C$2:$C$3001,$L769)))</f>
        <v/>
      </c>
      <c r="E769">
        <f>IF($L769="","",INDEX(Расчет!$D$2:$D$3001,$L769))</f>
        <v/>
      </c>
      <c r="F769">
        <f>IF($L769="","",INDEX(Расчет!$E$2:$E$3001,$L769))</f>
        <v/>
      </c>
      <c r="G769">
        <f>IF($L769="","",IFERROR(--LEFT(INDEX(Расчет!$C$2:$C$3001,$L769),FIND("(",INDEX(Расчет!$C$2:$C$3001,$L769))-1),IFERROR(--LEFT(INDEX(Расчет!$C$2:$C$3001,$L769),1),"")))</f>
        <v/>
      </c>
      <c r="H769">
        <f>IF($L769="","",SUMIFS(Расчет!$G$2:$G$3001,Расчет!$I$2:$I$3001,$K769,Расчет!$H$2:$H$3001,1))</f>
        <v/>
      </c>
      <c r="I769">
        <f>IF($L769="","",SUMIFS(Расчет!$G$2:$G$3001,Расчет!$I$2:$I$3001,$K769,Расчет!$H$2:$H$3001,2))</f>
        <v/>
      </c>
      <c r="J769">
        <f>IF($L769="","",SUMIFS(Расчет!$G$2:$G$3001,Расчет!$I$2:$I$3001,$K769,Расчет!$H$2:$H$3001,3))</f>
        <v/>
      </c>
      <c r="K769">
        <f>IF($L769="","",INDEX(Расчет!$I$2:$I$3001,$L769))</f>
        <v/>
      </c>
      <c r="L769">
        <f>IFERROR(MATCH(ROW()-1,Расчет!$J$2:$J$3001,0),"")</f>
        <v/>
      </c>
    </row>
    <row r="770">
      <c r="A770">
        <f>IF($L770="","",B770&amp;"."&amp;C770&amp;"-"&amp;D770&amp;"-"&amp;H770&amp;"."&amp;I770&amp;"."&amp;J770)</f>
        <v/>
      </c>
      <c r="B770">
        <f>IF($L770="","",INDEX(Расчет!$A$2:$A$3001,$L770))</f>
        <v/>
      </c>
      <c r="C770">
        <f>IF($L770="","",INDEX(Расчет!$B$2:$B$3001,$L770))</f>
        <v/>
      </c>
      <c r="D770">
        <f>IF($L770="","",IF(ISNUMBER(FIND("(",INDEX(Расчет!$C$2:$C$3001,$L770))),SUBSTITUTE(MID(INDEX(Расчет!$C$2:$C$3001,$L770),FIND("(",INDEX(Расчет!$C$2:$C$3001,$L770))+1,99),")",""),INDEX(Расчет!$C$2:$C$3001,$L770)))</f>
        <v/>
      </c>
      <c r="E770">
        <f>IF($L770="","",INDEX(Расчет!$D$2:$D$3001,$L770))</f>
        <v/>
      </c>
      <c r="F770">
        <f>IF($L770="","",INDEX(Расчет!$E$2:$E$3001,$L770))</f>
        <v/>
      </c>
      <c r="G770">
        <f>IF($L770="","",IFERROR(--LEFT(INDEX(Расчет!$C$2:$C$3001,$L770),FIND("(",INDEX(Расчет!$C$2:$C$3001,$L770))-1),IFERROR(--LEFT(INDEX(Расчет!$C$2:$C$3001,$L770),1),"")))</f>
        <v/>
      </c>
      <c r="H770">
        <f>IF($L770="","",SUMIFS(Расчет!$G$2:$G$3001,Расчет!$I$2:$I$3001,$K770,Расчет!$H$2:$H$3001,1))</f>
        <v/>
      </c>
      <c r="I770">
        <f>IF($L770="","",SUMIFS(Расчет!$G$2:$G$3001,Расчет!$I$2:$I$3001,$K770,Расчет!$H$2:$H$3001,2))</f>
        <v/>
      </c>
      <c r="J770">
        <f>IF($L770="","",SUMIFS(Расчет!$G$2:$G$3001,Расчет!$I$2:$I$3001,$K770,Расчет!$H$2:$H$3001,3))</f>
        <v/>
      </c>
      <c r="K770">
        <f>IF($L770="","",INDEX(Расчет!$I$2:$I$3001,$L770))</f>
        <v/>
      </c>
      <c r="L770">
        <f>IFERROR(MATCH(ROW()-1,Расчет!$J$2:$J$3001,0),"")</f>
        <v/>
      </c>
    </row>
    <row r="771">
      <c r="A771">
        <f>IF($L771="","",B771&amp;"."&amp;C771&amp;"-"&amp;D771&amp;"-"&amp;H771&amp;"."&amp;I771&amp;"."&amp;J771)</f>
        <v/>
      </c>
      <c r="B771">
        <f>IF($L771="","",INDEX(Расчет!$A$2:$A$3001,$L771))</f>
        <v/>
      </c>
      <c r="C771">
        <f>IF($L771="","",INDEX(Расчет!$B$2:$B$3001,$L771))</f>
        <v/>
      </c>
      <c r="D771">
        <f>IF($L771="","",IF(ISNUMBER(FIND("(",INDEX(Расчет!$C$2:$C$3001,$L771))),SUBSTITUTE(MID(INDEX(Расчет!$C$2:$C$3001,$L771),FIND("(",INDEX(Расчет!$C$2:$C$3001,$L771))+1,99),")",""),INDEX(Расчет!$C$2:$C$3001,$L771)))</f>
        <v/>
      </c>
      <c r="E771">
        <f>IF($L771="","",INDEX(Расчет!$D$2:$D$3001,$L771))</f>
        <v/>
      </c>
      <c r="F771">
        <f>IF($L771="","",INDEX(Расчет!$E$2:$E$3001,$L771))</f>
        <v/>
      </c>
      <c r="G771">
        <f>IF($L771="","",IFERROR(--LEFT(INDEX(Расчет!$C$2:$C$3001,$L771),FIND("(",INDEX(Расчет!$C$2:$C$3001,$L771))-1),IFERROR(--LEFT(INDEX(Расчет!$C$2:$C$3001,$L771),1),"")))</f>
        <v/>
      </c>
      <c r="H771">
        <f>IF($L771="","",SUMIFS(Расчет!$G$2:$G$3001,Расчет!$I$2:$I$3001,$K771,Расчет!$H$2:$H$3001,1))</f>
        <v/>
      </c>
      <c r="I771">
        <f>IF($L771="","",SUMIFS(Расчет!$G$2:$G$3001,Расчет!$I$2:$I$3001,$K771,Расчет!$H$2:$H$3001,2))</f>
        <v/>
      </c>
      <c r="J771">
        <f>IF($L771="","",SUMIFS(Расчет!$G$2:$G$3001,Расчет!$I$2:$I$3001,$K771,Расчет!$H$2:$H$3001,3))</f>
        <v/>
      </c>
      <c r="K771">
        <f>IF($L771="","",INDEX(Расчет!$I$2:$I$3001,$L771))</f>
        <v/>
      </c>
      <c r="L771">
        <f>IFERROR(MATCH(ROW()-1,Расчет!$J$2:$J$3001,0),"")</f>
        <v/>
      </c>
    </row>
    <row r="772">
      <c r="A772">
        <f>IF($L772="","",B772&amp;"."&amp;C772&amp;"-"&amp;D772&amp;"-"&amp;H772&amp;"."&amp;I772&amp;"."&amp;J772)</f>
        <v/>
      </c>
      <c r="B772">
        <f>IF($L772="","",INDEX(Расчет!$A$2:$A$3001,$L772))</f>
        <v/>
      </c>
      <c r="C772">
        <f>IF($L772="","",INDEX(Расчет!$B$2:$B$3001,$L772))</f>
        <v/>
      </c>
      <c r="D772">
        <f>IF($L772="","",IF(ISNUMBER(FIND("(",INDEX(Расчет!$C$2:$C$3001,$L772))),SUBSTITUTE(MID(INDEX(Расчет!$C$2:$C$3001,$L772),FIND("(",INDEX(Расчет!$C$2:$C$3001,$L772))+1,99),")",""),INDEX(Расчет!$C$2:$C$3001,$L772)))</f>
        <v/>
      </c>
      <c r="E772">
        <f>IF($L772="","",INDEX(Расчет!$D$2:$D$3001,$L772))</f>
        <v/>
      </c>
      <c r="F772">
        <f>IF($L772="","",INDEX(Расчет!$E$2:$E$3001,$L772))</f>
        <v/>
      </c>
      <c r="G772">
        <f>IF($L772="","",IFERROR(--LEFT(INDEX(Расчет!$C$2:$C$3001,$L772),FIND("(",INDEX(Расчет!$C$2:$C$3001,$L772))-1),IFERROR(--LEFT(INDEX(Расчет!$C$2:$C$3001,$L772),1),"")))</f>
        <v/>
      </c>
      <c r="H772">
        <f>IF($L772="","",SUMIFS(Расчет!$G$2:$G$3001,Расчет!$I$2:$I$3001,$K772,Расчет!$H$2:$H$3001,1))</f>
        <v/>
      </c>
      <c r="I772">
        <f>IF($L772="","",SUMIFS(Расчет!$G$2:$G$3001,Расчет!$I$2:$I$3001,$K772,Расчет!$H$2:$H$3001,2))</f>
        <v/>
      </c>
      <c r="J772">
        <f>IF($L772="","",SUMIFS(Расчет!$G$2:$G$3001,Расчет!$I$2:$I$3001,$K772,Расчет!$H$2:$H$3001,3))</f>
        <v/>
      </c>
      <c r="K772">
        <f>IF($L772="","",INDEX(Расчет!$I$2:$I$3001,$L772))</f>
        <v/>
      </c>
      <c r="L772">
        <f>IFERROR(MATCH(ROW()-1,Расчет!$J$2:$J$3001,0),"")</f>
        <v/>
      </c>
    </row>
    <row r="773">
      <c r="A773">
        <f>IF($L773="","",B773&amp;"."&amp;C773&amp;"-"&amp;D773&amp;"-"&amp;H773&amp;"."&amp;I773&amp;"."&amp;J773)</f>
        <v/>
      </c>
      <c r="B773">
        <f>IF($L773="","",INDEX(Расчет!$A$2:$A$3001,$L773))</f>
        <v/>
      </c>
      <c r="C773">
        <f>IF($L773="","",INDEX(Расчет!$B$2:$B$3001,$L773))</f>
        <v/>
      </c>
      <c r="D773">
        <f>IF($L773="","",IF(ISNUMBER(FIND("(",INDEX(Расчет!$C$2:$C$3001,$L773))),SUBSTITUTE(MID(INDEX(Расчет!$C$2:$C$3001,$L773),FIND("(",INDEX(Расчет!$C$2:$C$3001,$L773))+1,99),")",""),INDEX(Расчет!$C$2:$C$3001,$L773)))</f>
        <v/>
      </c>
      <c r="E773">
        <f>IF($L773="","",INDEX(Расчет!$D$2:$D$3001,$L773))</f>
        <v/>
      </c>
      <c r="F773">
        <f>IF($L773="","",INDEX(Расчет!$E$2:$E$3001,$L773))</f>
        <v/>
      </c>
      <c r="G773">
        <f>IF($L773="","",IFERROR(--LEFT(INDEX(Расчет!$C$2:$C$3001,$L773),FIND("(",INDEX(Расчет!$C$2:$C$3001,$L773))-1),IFERROR(--LEFT(INDEX(Расчет!$C$2:$C$3001,$L773),1),"")))</f>
        <v/>
      </c>
      <c r="H773">
        <f>IF($L773="","",SUMIFS(Расчет!$G$2:$G$3001,Расчет!$I$2:$I$3001,$K773,Расчет!$H$2:$H$3001,1))</f>
        <v/>
      </c>
      <c r="I773">
        <f>IF($L773="","",SUMIFS(Расчет!$G$2:$G$3001,Расчет!$I$2:$I$3001,$K773,Расчет!$H$2:$H$3001,2))</f>
        <v/>
      </c>
      <c r="J773">
        <f>IF($L773="","",SUMIFS(Расчет!$G$2:$G$3001,Расчет!$I$2:$I$3001,$K773,Расчет!$H$2:$H$3001,3))</f>
        <v/>
      </c>
      <c r="K773">
        <f>IF($L773="","",INDEX(Расчет!$I$2:$I$3001,$L773))</f>
        <v/>
      </c>
      <c r="L773">
        <f>IFERROR(MATCH(ROW()-1,Расчет!$J$2:$J$3001,0),"")</f>
        <v/>
      </c>
    </row>
    <row r="774">
      <c r="A774">
        <f>IF($L774="","",B774&amp;"."&amp;C774&amp;"-"&amp;D774&amp;"-"&amp;H774&amp;"."&amp;I774&amp;"."&amp;J774)</f>
        <v/>
      </c>
      <c r="B774">
        <f>IF($L774="","",INDEX(Расчет!$A$2:$A$3001,$L774))</f>
        <v/>
      </c>
      <c r="C774">
        <f>IF($L774="","",INDEX(Расчет!$B$2:$B$3001,$L774))</f>
        <v/>
      </c>
      <c r="D774">
        <f>IF($L774="","",IF(ISNUMBER(FIND("(",INDEX(Расчет!$C$2:$C$3001,$L774))),SUBSTITUTE(MID(INDEX(Расчет!$C$2:$C$3001,$L774),FIND("(",INDEX(Расчет!$C$2:$C$3001,$L774))+1,99),")",""),INDEX(Расчет!$C$2:$C$3001,$L774)))</f>
        <v/>
      </c>
      <c r="E774">
        <f>IF($L774="","",INDEX(Расчет!$D$2:$D$3001,$L774))</f>
        <v/>
      </c>
      <c r="F774">
        <f>IF($L774="","",INDEX(Расчет!$E$2:$E$3001,$L774))</f>
        <v/>
      </c>
      <c r="G774">
        <f>IF($L774="","",IFERROR(--LEFT(INDEX(Расчет!$C$2:$C$3001,$L774),FIND("(",INDEX(Расчет!$C$2:$C$3001,$L774))-1),IFERROR(--LEFT(INDEX(Расчет!$C$2:$C$3001,$L774),1),"")))</f>
        <v/>
      </c>
      <c r="H774">
        <f>IF($L774="","",SUMIFS(Расчет!$G$2:$G$3001,Расчет!$I$2:$I$3001,$K774,Расчет!$H$2:$H$3001,1))</f>
        <v/>
      </c>
      <c r="I774">
        <f>IF($L774="","",SUMIFS(Расчет!$G$2:$G$3001,Расчет!$I$2:$I$3001,$K774,Расчет!$H$2:$H$3001,2))</f>
        <v/>
      </c>
      <c r="J774">
        <f>IF($L774="","",SUMIFS(Расчет!$G$2:$G$3001,Расчет!$I$2:$I$3001,$K774,Расчет!$H$2:$H$3001,3))</f>
        <v/>
      </c>
      <c r="K774">
        <f>IF($L774="","",INDEX(Расчет!$I$2:$I$3001,$L774))</f>
        <v/>
      </c>
      <c r="L774">
        <f>IFERROR(MATCH(ROW()-1,Расчет!$J$2:$J$3001,0),"")</f>
        <v/>
      </c>
    </row>
    <row r="775">
      <c r="A775">
        <f>IF($L775="","",B775&amp;"."&amp;C775&amp;"-"&amp;D775&amp;"-"&amp;H775&amp;"."&amp;I775&amp;"."&amp;J775)</f>
        <v/>
      </c>
      <c r="B775">
        <f>IF($L775="","",INDEX(Расчет!$A$2:$A$3001,$L775))</f>
        <v/>
      </c>
      <c r="C775">
        <f>IF($L775="","",INDEX(Расчет!$B$2:$B$3001,$L775))</f>
        <v/>
      </c>
      <c r="D775">
        <f>IF($L775="","",IF(ISNUMBER(FIND("(",INDEX(Расчет!$C$2:$C$3001,$L775))),SUBSTITUTE(MID(INDEX(Расчет!$C$2:$C$3001,$L775),FIND("(",INDEX(Расчет!$C$2:$C$3001,$L775))+1,99),")",""),INDEX(Расчет!$C$2:$C$3001,$L775)))</f>
        <v/>
      </c>
      <c r="E775">
        <f>IF($L775="","",INDEX(Расчет!$D$2:$D$3001,$L775))</f>
        <v/>
      </c>
      <c r="F775">
        <f>IF($L775="","",INDEX(Расчет!$E$2:$E$3001,$L775))</f>
        <v/>
      </c>
      <c r="G775">
        <f>IF($L775="","",IFERROR(--LEFT(INDEX(Расчет!$C$2:$C$3001,$L775),FIND("(",INDEX(Расчет!$C$2:$C$3001,$L775))-1),IFERROR(--LEFT(INDEX(Расчет!$C$2:$C$3001,$L775),1),"")))</f>
        <v/>
      </c>
      <c r="H775">
        <f>IF($L775="","",SUMIFS(Расчет!$G$2:$G$3001,Расчет!$I$2:$I$3001,$K775,Расчет!$H$2:$H$3001,1))</f>
        <v/>
      </c>
      <c r="I775">
        <f>IF($L775="","",SUMIFS(Расчет!$G$2:$G$3001,Расчет!$I$2:$I$3001,$K775,Расчет!$H$2:$H$3001,2))</f>
        <v/>
      </c>
      <c r="J775">
        <f>IF($L775="","",SUMIFS(Расчет!$G$2:$G$3001,Расчет!$I$2:$I$3001,$K775,Расчет!$H$2:$H$3001,3))</f>
        <v/>
      </c>
      <c r="K775">
        <f>IF($L775="","",INDEX(Расчет!$I$2:$I$3001,$L775))</f>
        <v/>
      </c>
      <c r="L775">
        <f>IFERROR(MATCH(ROW()-1,Расчет!$J$2:$J$3001,0),"")</f>
        <v/>
      </c>
    </row>
    <row r="776">
      <c r="A776">
        <f>IF($L776="","",B776&amp;"."&amp;C776&amp;"-"&amp;D776&amp;"-"&amp;H776&amp;"."&amp;I776&amp;"."&amp;J776)</f>
        <v/>
      </c>
      <c r="B776">
        <f>IF($L776="","",INDEX(Расчет!$A$2:$A$3001,$L776))</f>
        <v/>
      </c>
      <c r="C776">
        <f>IF($L776="","",INDEX(Расчет!$B$2:$B$3001,$L776))</f>
        <v/>
      </c>
      <c r="D776">
        <f>IF($L776="","",IF(ISNUMBER(FIND("(",INDEX(Расчет!$C$2:$C$3001,$L776))),SUBSTITUTE(MID(INDEX(Расчет!$C$2:$C$3001,$L776),FIND("(",INDEX(Расчет!$C$2:$C$3001,$L776))+1,99),")",""),INDEX(Расчет!$C$2:$C$3001,$L776)))</f>
        <v/>
      </c>
      <c r="E776">
        <f>IF($L776="","",INDEX(Расчет!$D$2:$D$3001,$L776))</f>
        <v/>
      </c>
      <c r="F776">
        <f>IF($L776="","",INDEX(Расчет!$E$2:$E$3001,$L776))</f>
        <v/>
      </c>
      <c r="G776">
        <f>IF($L776="","",IFERROR(--LEFT(INDEX(Расчет!$C$2:$C$3001,$L776),FIND("(",INDEX(Расчет!$C$2:$C$3001,$L776))-1),IFERROR(--LEFT(INDEX(Расчет!$C$2:$C$3001,$L776),1),"")))</f>
        <v/>
      </c>
      <c r="H776">
        <f>IF($L776="","",SUMIFS(Расчет!$G$2:$G$3001,Расчет!$I$2:$I$3001,$K776,Расчет!$H$2:$H$3001,1))</f>
        <v/>
      </c>
      <c r="I776">
        <f>IF($L776="","",SUMIFS(Расчет!$G$2:$G$3001,Расчет!$I$2:$I$3001,$K776,Расчет!$H$2:$H$3001,2))</f>
        <v/>
      </c>
      <c r="J776">
        <f>IF($L776="","",SUMIFS(Расчет!$G$2:$G$3001,Расчет!$I$2:$I$3001,$K776,Расчет!$H$2:$H$3001,3))</f>
        <v/>
      </c>
      <c r="K776">
        <f>IF($L776="","",INDEX(Расчет!$I$2:$I$3001,$L776))</f>
        <v/>
      </c>
      <c r="L776">
        <f>IFERROR(MATCH(ROW()-1,Расчет!$J$2:$J$3001,0),"")</f>
        <v/>
      </c>
    </row>
    <row r="777">
      <c r="A777">
        <f>IF($L777="","",B777&amp;"."&amp;C777&amp;"-"&amp;D777&amp;"-"&amp;H777&amp;"."&amp;I777&amp;"."&amp;J777)</f>
        <v/>
      </c>
      <c r="B777">
        <f>IF($L777="","",INDEX(Расчет!$A$2:$A$3001,$L777))</f>
        <v/>
      </c>
      <c r="C777">
        <f>IF($L777="","",INDEX(Расчет!$B$2:$B$3001,$L777))</f>
        <v/>
      </c>
      <c r="D777">
        <f>IF($L777="","",IF(ISNUMBER(FIND("(",INDEX(Расчет!$C$2:$C$3001,$L777))),SUBSTITUTE(MID(INDEX(Расчет!$C$2:$C$3001,$L777),FIND("(",INDEX(Расчет!$C$2:$C$3001,$L777))+1,99),")",""),INDEX(Расчет!$C$2:$C$3001,$L777)))</f>
        <v/>
      </c>
      <c r="E777">
        <f>IF($L777="","",INDEX(Расчет!$D$2:$D$3001,$L777))</f>
        <v/>
      </c>
      <c r="F777">
        <f>IF($L777="","",INDEX(Расчет!$E$2:$E$3001,$L777))</f>
        <v/>
      </c>
      <c r="G777">
        <f>IF($L777="","",IFERROR(--LEFT(INDEX(Расчет!$C$2:$C$3001,$L777),FIND("(",INDEX(Расчет!$C$2:$C$3001,$L777))-1),IFERROR(--LEFT(INDEX(Расчет!$C$2:$C$3001,$L777),1),"")))</f>
        <v/>
      </c>
      <c r="H777">
        <f>IF($L777="","",SUMIFS(Расчет!$G$2:$G$3001,Расчет!$I$2:$I$3001,$K777,Расчет!$H$2:$H$3001,1))</f>
        <v/>
      </c>
      <c r="I777">
        <f>IF($L777="","",SUMIFS(Расчет!$G$2:$G$3001,Расчет!$I$2:$I$3001,$K777,Расчет!$H$2:$H$3001,2))</f>
        <v/>
      </c>
      <c r="J777">
        <f>IF($L777="","",SUMIFS(Расчет!$G$2:$G$3001,Расчет!$I$2:$I$3001,$K777,Расчет!$H$2:$H$3001,3))</f>
        <v/>
      </c>
      <c r="K777">
        <f>IF($L777="","",INDEX(Расчет!$I$2:$I$3001,$L777))</f>
        <v/>
      </c>
      <c r="L777">
        <f>IFERROR(MATCH(ROW()-1,Расчет!$J$2:$J$3001,0),"")</f>
        <v/>
      </c>
    </row>
    <row r="778">
      <c r="A778">
        <f>IF($L778="","",B778&amp;"."&amp;C778&amp;"-"&amp;D778&amp;"-"&amp;H778&amp;"."&amp;I778&amp;"."&amp;J778)</f>
        <v/>
      </c>
      <c r="B778">
        <f>IF($L778="","",INDEX(Расчет!$A$2:$A$3001,$L778))</f>
        <v/>
      </c>
      <c r="C778">
        <f>IF($L778="","",INDEX(Расчет!$B$2:$B$3001,$L778))</f>
        <v/>
      </c>
      <c r="D778">
        <f>IF($L778="","",IF(ISNUMBER(FIND("(",INDEX(Расчет!$C$2:$C$3001,$L778))),SUBSTITUTE(MID(INDEX(Расчет!$C$2:$C$3001,$L778),FIND("(",INDEX(Расчет!$C$2:$C$3001,$L778))+1,99),")",""),INDEX(Расчет!$C$2:$C$3001,$L778)))</f>
        <v/>
      </c>
      <c r="E778">
        <f>IF($L778="","",INDEX(Расчет!$D$2:$D$3001,$L778))</f>
        <v/>
      </c>
      <c r="F778">
        <f>IF($L778="","",INDEX(Расчет!$E$2:$E$3001,$L778))</f>
        <v/>
      </c>
      <c r="G778">
        <f>IF($L778="","",IFERROR(--LEFT(INDEX(Расчет!$C$2:$C$3001,$L778),FIND("(",INDEX(Расчет!$C$2:$C$3001,$L778))-1),IFERROR(--LEFT(INDEX(Расчет!$C$2:$C$3001,$L778),1),"")))</f>
        <v/>
      </c>
      <c r="H778">
        <f>IF($L778="","",SUMIFS(Расчет!$G$2:$G$3001,Расчет!$I$2:$I$3001,$K778,Расчет!$H$2:$H$3001,1))</f>
        <v/>
      </c>
      <c r="I778">
        <f>IF($L778="","",SUMIFS(Расчет!$G$2:$G$3001,Расчет!$I$2:$I$3001,$K778,Расчет!$H$2:$H$3001,2))</f>
        <v/>
      </c>
      <c r="J778">
        <f>IF($L778="","",SUMIFS(Расчет!$G$2:$G$3001,Расчет!$I$2:$I$3001,$K778,Расчет!$H$2:$H$3001,3))</f>
        <v/>
      </c>
      <c r="K778">
        <f>IF($L778="","",INDEX(Расчет!$I$2:$I$3001,$L778))</f>
        <v/>
      </c>
      <c r="L778">
        <f>IFERROR(MATCH(ROW()-1,Расчет!$J$2:$J$3001,0),"")</f>
        <v/>
      </c>
    </row>
    <row r="779">
      <c r="A779">
        <f>IF($L779="","",B779&amp;"."&amp;C779&amp;"-"&amp;D779&amp;"-"&amp;H779&amp;"."&amp;I779&amp;"."&amp;J779)</f>
        <v/>
      </c>
      <c r="B779">
        <f>IF($L779="","",INDEX(Расчет!$A$2:$A$3001,$L779))</f>
        <v/>
      </c>
      <c r="C779">
        <f>IF($L779="","",INDEX(Расчет!$B$2:$B$3001,$L779))</f>
        <v/>
      </c>
      <c r="D779">
        <f>IF($L779="","",IF(ISNUMBER(FIND("(",INDEX(Расчет!$C$2:$C$3001,$L779))),SUBSTITUTE(MID(INDEX(Расчет!$C$2:$C$3001,$L779),FIND("(",INDEX(Расчет!$C$2:$C$3001,$L779))+1,99),")",""),INDEX(Расчет!$C$2:$C$3001,$L779)))</f>
        <v/>
      </c>
      <c r="E779">
        <f>IF($L779="","",INDEX(Расчет!$D$2:$D$3001,$L779))</f>
        <v/>
      </c>
      <c r="F779">
        <f>IF($L779="","",INDEX(Расчет!$E$2:$E$3001,$L779))</f>
        <v/>
      </c>
      <c r="G779">
        <f>IF($L779="","",IFERROR(--LEFT(INDEX(Расчет!$C$2:$C$3001,$L779),FIND("(",INDEX(Расчет!$C$2:$C$3001,$L779))-1),IFERROR(--LEFT(INDEX(Расчет!$C$2:$C$3001,$L779),1),"")))</f>
        <v/>
      </c>
      <c r="H779">
        <f>IF($L779="","",SUMIFS(Расчет!$G$2:$G$3001,Расчет!$I$2:$I$3001,$K779,Расчет!$H$2:$H$3001,1))</f>
        <v/>
      </c>
      <c r="I779">
        <f>IF($L779="","",SUMIFS(Расчет!$G$2:$G$3001,Расчет!$I$2:$I$3001,$K779,Расчет!$H$2:$H$3001,2))</f>
        <v/>
      </c>
      <c r="J779">
        <f>IF($L779="","",SUMIFS(Расчет!$G$2:$G$3001,Расчет!$I$2:$I$3001,$K779,Расчет!$H$2:$H$3001,3))</f>
        <v/>
      </c>
      <c r="K779">
        <f>IF($L779="","",INDEX(Расчет!$I$2:$I$3001,$L779))</f>
        <v/>
      </c>
      <c r="L779">
        <f>IFERROR(MATCH(ROW()-1,Расчет!$J$2:$J$3001,0),"")</f>
        <v/>
      </c>
    </row>
    <row r="780">
      <c r="A780">
        <f>IF($L780="","",B780&amp;"."&amp;C780&amp;"-"&amp;D780&amp;"-"&amp;H780&amp;"."&amp;I780&amp;"."&amp;J780)</f>
        <v/>
      </c>
      <c r="B780">
        <f>IF($L780="","",INDEX(Расчет!$A$2:$A$3001,$L780))</f>
        <v/>
      </c>
      <c r="C780">
        <f>IF($L780="","",INDEX(Расчет!$B$2:$B$3001,$L780))</f>
        <v/>
      </c>
      <c r="D780">
        <f>IF($L780="","",IF(ISNUMBER(FIND("(",INDEX(Расчет!$C$2:$C$3001,$L780))),SUBSTITUTE(MID(INDEX(Расчет!$C$2:$C$3001,$L780),FIND("(",INDEX(Расчет!$C$2:$C$3001,$L780))+1,99),")",""),INDEX(Расчет!$C$2:$C$3001,$L780)))</f>
        <v/>
      </c>
      <c r="E780">
        <f>IF($L780="","",INDEX(Расчет!$D$2:$D$3001,$L780))</f>
        <v/>
      </c>
      <c r="F780">
        <f>IF($L780="","",INDEX(Расчет!$E$2:$E$3001,$L780))</f>
        <v/>
      </c>
      <c r="G780">
        <f>IF($L780="","",IFERROR(--LEFT(INDEX(Расчет!$C$2:$C$3001,$L780),FIND("(",INDEX(Расчет!$C$2:$C$3001,$L780))-1),IFERROR(--LEFT(INDEX(Расчет!$C$2:$C$3001,$L780),1),"")))</f>
        <v/>
      </c>
      <c r="H780">
        <f>IF($L780="","",SUMIFS(Расчет!$G$2:$G$3001,Расчет!$I$2:$I$3001,$K780,Расчет!$H$2:$H$3001,1))</f>
        <v/>
      </c>
      <c r="I780">
        <f>IF($L780="","",SUMIFS(Расчет!$G$2:$G$3001,Расчет!$I$2:$I$3001,$K780,Расчет!$H$2:$H$3001,2))</f>
        <v/>
      </c>
      <c r="J780">
        <f>IF($L780="","",SUMIFS(Расчет!$G$2:$G$3001,Расчет!$I$2:$I$3001,$K780,Расчет!$H$2:$H$3001,3))</f>
        <v/>
      </c>
      <c r="K780">
        <f>IF($L780="","",INDEX(Расчет!$I$2:$I$3001,$L780))</f>
        <v/>
      </c>
      <c r="L780">
        <f>IFERROR(MATCH(ROW()-1,Расчет!$J$2:$J$3001,0),"")</f>
        <v/>
      </c>
    </row>
    <row r="781">
      <c r="A781">
        <f>IF($L781="","",B781&amp;"."&amp;C781&amp;"-"&amp;D781&amp;"-"&amp;H781&amp;"."&amp;I781&amp;"."&amp;J781)</f>
        <v/>
      </c>
      <c r="B781">
        <f>IF($L781="","",INDEX(Расчет!$A$2:$A$3001,$L781))</f>
        <v/>
      </c>
      <c r="C781">
        <f>IF($L781="","",INDEX(Расчет!$B$2:$B$3001,$L781))</f>
        <v/>
      </c>
      <c r="D781">
        <f>IF($L781="","",IF(ISNUMBER(FIND("(",INDEX(Расчет!$C$2:$C$3001,$L781))),SUBSTITUTE(MID(INDEX(Расчет!$C$2:$C$3001,$L781),FIND("(",INDEX(Расчет!$C$2:$C$3001,$L781))+1,99),")",""),INDEX(Расчет!$C$2:$C$3001,$L781)))</f>
        <v/>
      </c>
      <c r="E781">
        <f>IF($L781="","",INDEX(Расчет!$D$2:$D$3001,$L781))</f>
        <v/>
      </c>
      <c r="F781">
        <f>IF($L781="","",INDEX(Расчет!$E$2:$E$3001,$L781))</f>
        <v/>
      </c>
      <c r="G781">
        <f>IF($L781="","",IFERROR(--LEFT(INDEX(Расчет!$C$2:$C$3001,$L781),FIND("(",INDEX(Расчет!$C$2:$C$3001,$L781))-1),IFERROR(--LEFT(INDEX(Расчет!$C$2:$C$3001,$L781),1),"")))</f>
        <v/>
      </c>
      <c r="H781">
        <f>IF($L781="","",SUMIFS(Расчет!$G$2:$G$3001,Расчет!$I$2:$I$3001,$K781,Расчет!$H$2:$H$3001,1))</f>
        <v/>
      </c>
      <c r="I781">
        <f>IF($L781="","",SUMIFS(Расчет!$G$2:$G$3001,Расчет!$I$2:$I$3001,$K781,Расчет!$H$2:$H$3001,2))</f>
        <v/>
      </c>
      <c r="J781">
        <f>IF($L781="","",SUMIFS(Расчет!$G$2:$G$3001,Расчет!$I$2:$I$3001,$K781,Расчет!$H$2:$H$3001,3))</f>
        <v/>
      </c>
      <c r="K781">
        <f>IF($L781="","",INDEX(Расчет!$I$2:$I$3001,$L781))</f>
        <v/>
      </c>
      <c r="L781">
        <f>IFERROR(MATCH(ROW()-1,Расчет!$J$2:$J$3001,0),"")</f>
        <v/>
      </c>
    </row>
    <row r="782">
      <c r="A782">
        <f>IF($L782="","",B782&amp;"."&amp;C782&amp;"-"&amp;D782&amp;"-"&amp;H782&amp;"."&amp;I782&amp;"."&amp;J782)</f>
        <v/>
      </c>
      <c r="B782">
        <f>IF($L782="","",INDEX(Расчет!$A$2:$A$3001,$L782))</f>
        <v/>
      </c>
      <c r="C782">
        <f>IF($L782="","",INDEX(Расчет!$B$2:$B$3001,$L782))</f>
        <v/>
      </c>
      <c r="D782">
        <f>IF($L782="","",IF(ISNUMBER(FIND("(",INDEX(Расчет!$C$2:$C$3001,$L782))),SUBSTITUTE(MID(INDEX(Расчет!$C$2:$C$3001,$L782),FIND("(",INDEX(Расчет!$C$2:$C$3001,$L782))+1,99),")",""),INDEX(Расчет!$C$2:$C$3001,$L782)))</f>
        <v/>
      </c>
      <c r="E782">
        <f>IF($L782="","",INDEX(Расчет!$D$2:$D$3001,$L782))</f>
        <v/>
      </c>
      <c r="F782">
        <f>IF($L782="","",INDEX(Расчет!$E$2:$E$3001,$L782))</f>
        <v/>
      </c>
      <c r="G782">
        <f>IF($L782="","",IFERROR(--LEFT(INDEX(Расчет!$C$2:$C$3001,$L782),FIND("(",INDEX(Расчет!$C$2:$C$3001,$L782))-1),IFERROR(--LEFT(INDEX(Расчет!$C$2:$C$3001,$L782),1),"")))</f>
        <v/>
      </c>
      <c r="H782">
        <f>IF($L782="","",SUMIFS(Расчет!$G$2:$G$3001,Расчет!$I$2:$I$3001,$K782,Расчет!$H$2:$H$3001,1))</f>
        <v/>
      </c>
      <c r="I782">
        <f>IF($L782="","",SUMIFS(Расчет!$G$2:$G$3001,Расчет!$I$2:$I$3001,$K782,Расчет!$H$2:$H$3001,2))</f>
        <v/>
      </c>
      <c r="J782">
        <f>IF($L782="","",SUMIFS(Расчет!$G$2:$G$3001,Расчет!$I$2:$I$3001,$K782,Расчет!$H$2:$H$3001,3))</f>
        <v/>
      </c>
      <c r="K782">
        <f>IF($L782="","",INDEX(Расчет!$I$2:$I$3001,$L782))</f>
        <v/>
      </c>
      <c r="L782">
        <f>IFERROR(MATCH(ROW()-1,Расчет!$J$2:$J$3001,0),"")</f>
        <v/>
      </c>
    </row>
    <row r="783">
      <c r="A783">
        <f>IF($L783="","",B783&amp;"."&amp;C783&amp;"-"&amp;D783&amp;"-"&amp;H783&amp;"."&amp;I783&amp;"."&amp;J783)</f>
        <v/>
      </c>
      <c r="B783">
        <f>IF($L783="","",INDEX(Расчет!$A$2:$A$3001,$L783))</f>
        <v/>
      </c>
      <c r="C783">
        <f>IF($L783="","",INDEX(Расчет!$B$2:$B$3001,$L783))</f>
        <v/>
      </c>
      <c r="D783">
        <f>IF($L783="","",IF(ISNUMBER(FIND("(",INDEX(Расчет!$C$2:$C$3001,$L783))),SUBSTITUTE(MID(INDEX(Расчет!$C$2:$C$3001,$L783),FIND("(",INDEX(Расчет!$C$2:$C$3001,$L783))+1,99),")",""),INDEX(Расчет!$C$2:$C$3001,$L783)))</f>
        <v/>
      </c>
      <c r="E783">
        <f>IF($L783="","",INDEX(Расчет!$D$2:$D$3001,$L783))</f>
        <v/>
      </c>
      <c r="F783">
        <f>IF($L783="","",INDEX(Расчет!$E$2:$E$3001,$L783))</f>
        <v/>
      </c>
      <c r="G783">
        <f>IF($L783="","",IFERROR(--LEFT(INDEX(Расчет!$C$2:$C$3001,$L783),FIND("(",INDEX(Расчет!$C$2:$C$3001,$L783))-1),IFERROR(--LEFT(INDEX(Расчет!$C$2:$C$3001,$L783),1),"")))</f>
        <v/>
      </c>
      <c r="H783">
        <f>IF($L783="","",SUMIFS(Расчет!$G$2:$G$3001,Расчет!$I$2:$I$3001,$K783,Расчет!$H$2:$H$3001,1))</f>
        <v/>
      </c>
      <c r="I783">
        <f>IF($L783="","",SUMIFS(Расчет!$G$2:$G$3001,Расчет!$I$2:$I$3001,$K783,Расчет!$H$2:$H$3001,2))</f>
        <v/>
      </c>
      <c r="J783">
        <f>IF($L783="","",SUMIFS(Расчет!$G$2:$G$3001,Расчет!$I$2:$I$3001,$K783,Расчет!$H$2:$H$3001,3))</f>
        <v/>
      </c>
      <c r="K783">
        <f>IF($L783="","",INDEX(Расчет!$I$2:$I$3001,$L783))</f>
        <v/>
      </c>
      <c r="L783">
        <f>IFERROR(MATCH(ROW()-1,Расчет!$J$2:$J$3001,0),"")</f>
        <v/>
      </c>
    </row>
    <row r="784">
      <c r="A784">
        <f>IF($L784="","",B784&amp;"."&amp;C784&amp;"-"&amp;D784&amp;"-"&amp;H784&amp;"."&amp;I784&amp;"."&amp;J784)</f>
        <v/>
      </c>
      <c r="B784">
        <f>IF($L784="","",INDEX(Расчет!$A$2:$A$3001,$L784))</f>
        <v/>
      </c>
      <c r="C784">
        <f>IF($L784="","",INDEX(Расчет!$B$2:$B$3001,$L784))</f>
        <v/>
      </c>
      <c r="D784">
        <f>IF($L784="","",IF(ISNUMBER(FIND("(",INDEX(Расчет!$C$2:$C$3001,$L784))),SUBSTITUTE(MID(INDEX(Расчет!$C$2:$C$3001,$L784),FIND("(",INDEX(Расчет!$C$2:$C$3001,$L784))+1,99),")",""),INDEX(Расчет!$C$2:$C$3001,$L784)))</f>
        <v/>
      </c>
      <c r="E784">
        <f>IF($L784="","",INDEX(Расчет!$D$2:$D$3001,$L784))</f>
        <v/>
      </c>
      <c r="F784">
        <f>IF($L784="","",INDEX(Расчет!$E$2:$E$3001,$L784))</f>
        <v/>
      </c>
      <c r="G784">
        <f>IF($L784="","",IFERROR(--LEFT(INDEX(Расчет!$C$2:$C$3001,$L784),FIND("(",INDEX(Расчет!$C$2:$C$3001,$L784))-1),IFERROR(--LEFT(INDEX(Расчет!$C$2:$C$3001,$L784),1),"")))</f>
        <v/>
      </c>
      <c r="H784">
        <f>IF($L784="","",SUMIFS(Расчет!$G$2:$G$3001,Расчет!$I$2:$I$3001,$K784,Расчет!$H$2:$H$3001,1))</f>
        <v/>
      </c>
      <c r="I784">
        <f>IF($L784="","",SUMIFS(Расчет!$G$2:$G$3001,Расчет!$I$2:$I$3001,$K784,Расчет!$H$2:$H$3001,2))</f>
        <v/>
      </c>
      <c r="J784">
        <f>IF($L784="","",SUMIFS(Расчет!$G$2:$G$3001,Расчет!$I$2:$I$3001,$K784,Расчет!$H$2:$H$3001,3))</f>
        <v/>
      </c>
      <c r="K784">
        <f>IF($L784="","",INDEX(Расчет!$I$2:$I$3001,$L784))</f>
        <v/>
      </c>
      <c r="L784">
        <f>IFERROR(MATCH(ROW()-1,Расчет!$J$2:$J$3001,0),"")</f>
        <v/>
      </c>
    </row>
    <row r="785">
      <c r="A785">
        <f>IF($L785="","",B785&amp;"."&amp;C785&amp;"-"&amp;D785&amp;"-"&amp;H785&amp;"."&amp;I785&amp;"."&amp;J785)</f>
        <v/>
      </c>
      <c r="B785">
        <f>IF($L785="","",INDEX(Расчет!$A$2:$A$3001,$L785))</f>
        <v/>
      </c>
      <c r="C785">
        <f>IF($L785="","",INDEX(Расчет!$B$2:$B$3001,$L785))</f>
        <v/>
      </c>
      <c r="D785">
        <f>IF($L785="","",IF(ISNUMBER(FIND("(",INDEX(Расчет!$C$2:$C$3001,$L785))),SUBSTITUTE(MID(INDEX(Расчет!$C$2:$C$3001,$L785),FIND("(",INDEX(Расчет!$C$2:$C$3001,$L785))+1,99),")",""),INDEX(Расчет!$C$2:$C$3001,$L785)))</f>
        <v/>
      </c>
      <c r="E785">
        <f>IF($L785="","",INDEX(Расчет!$D$2:$D$3001,$L785))</f>
        <v/>
      </c>
      <c r="F785">
        <f>IF($L785="","",INDEX(Расчет!$E$2:$E$3001,$L785))</f>
        <v/>
      </c>
      <c r="G785">
        <f>IF($L785="","",IFERROR(--LEFT(INDEX(Расчет!$C$2:$C$3001,$L785),FIND("(",INDEX(Расчет!$C$2:$C$3001,$L785))-1),IFERROR(--LEFT(INDEX(Расчет!$C$2:$C$3001,$L785),1),"")))</f>
        <v/>
      </c>
      <c r="H785">
        <f>IF($L785="","",SUMIFS(Расчет!$G$2:$G$3001,Расчет!$I$2:$I$3001,$K785,Расчет!$H$2:$H$3001,1))</f>
        <v/>
      </c>
      <c r="I785">
        <f>IF($L785="","",SUMIFS(Расчет!$G$2:$G$3001,Расчет!$I$2:$I$3001,$K785,Расчет!$H$2:$H$3001,2))</f>
        <v/>
      </c>
      <c r="J785">
        <f>IF($L785="","",SUMIFS(Расчет!$G$2:$G$3001,Расчет!$I$2:$I$3001,$K785,Расчет!$H$2:$H$3001,3))</f>
        <v/>
      </c>
      <c r="K785">
        <f>IF($L785="","",INDEX(Расчет!$I$2:$I$3001,$L785))</f>
        <v/>
      </c>
      <c r="L785">
        <f>IFERROR(MATCH(ROW()-1,Расчет!$J$2:$J$3001,0),"")</f>
        <v/>
      </c>
    </row>
    <row r="786">
      <c r="A786">
        <f>IF($L786="","",B786&amp;"."&amp;C786&amp;"-"&amp;D786&amp;"-"&amp;H786&amp;"."&amp;I786&amp;"."&amp;J786)</f>
        <v/>
      </c>
      <c r="B786">
        <f>IF($L786="","",INDEX(Расчет!$A$2:$A$3001,$L786))</f>
        <v/>
      </c>
      <c r="C786">
        <f>IF($L786="","",INDEX(Расчет!$B$2:$B$3001,$L786))</f>
        <v/>
      </c>
      <c r="D786">
        <f>IF($L786="","",IF(ISNUMBER(FIND("(",INDEX(Расчет!$C$2:$C$3001,$L786))),SUBSTITUTE(MID(INDEX(Расчет!$C$2:$C$3001,$L786),FIND("(",INDEX(Расчет!$C$2:$C$3001,$L786))+1,99),")",""),INDEX(Расчет!$C$2:$C$3001,$L786)))</f>
        <v/>
      </c>
      <c r="E786">
        <f>IF($L786="","",INDEX(Расчет!$D$2:$D$3001,$L786))</f>
        <v/>
      </c>
      <c r="F786">
        <f>IF($L786="","",INDEX(Расчет!$E$2:$E$3001,$L786))</f>
        <v/>
      </c>
      <c r="G786">
        <f>IF($L786="","",IFERROR(--LEFT(INDEX(Расчет!$C$2:$C$3001,$L786),FIND("(",INDEX(Расчет!$C$2:$C$3001,$L786))-1),IFERROR(--LEFT(INDEX(Расчет!$C$2:$C$3001,$L786),1),"")))</f>
        <v/>
      </c>
      <c r="H786">
        <f>IF($L786="","",SUMIFS(Расчет!$G$2:$G$3001,Расчет!$I$2:$I$3001,$K786,Расчет!$H$2:$H$3001,1))</f>
        <v/>
      </c>
      <c r="I786">
        <f>IF($L786="","",SUMIFS(Расчет!$G$2:$G$3001,Расчет!$I$2:$I$3001,$K786,Расчет!$H$2:$H$3001,2))</f>
        <v/>
      </c>
      <c r="J786">
        <f>IF($L786="","",SUMIFS(Расчет!$G$2:$G$3001,Расчет!$I$2:$I$3001,$K786,Расчет!$H$2:$H$3001,3))</f>
        <v/>
      </c>
      <c r="K786">
        <f>IF($L786="","",INDEX(Расчет!$I$2:$I$3001,$L786))</f>
        <v/>
      </c>
      <c r="L786">
        <f>IFERROR(MATCH(ROW()-1,Расчет!$J$2:$J$3001,0),"")</f>
        <v/>
      </c>
    </row>
    <row r="787">
      <c r="A787">
        <f>IF($L787="","",B787&amp;"."&amp;C787&amp;"-"&amp;D787&amp;"-"&amp;H787&amp;"."&amp;I787&amp;"."&amp;J787)</f>
        <v/>
      </c>
      <c r="B787">
        <f>IF($L787="","",INDEX(Расчет!$A$2:$A$3001,$L787))</f>
        <v/>
      </c>
      <c r="C787">
        <f>IF($L787="","",INDEX(Расчет!$B$2:$B$3001,$L787))</f>
        <v/>
      </c>
      <c r="D787">
        <f>IF($L787="","",IF(ISNUMBER(FIND("(",INDEX(Расчет!$C$2:$C$3001,$L787))),SUBSTITUTE(MID(INDEX(Расчет!$C$2:$C$3001,$L787),FIND("(",INDEX(Расчет!$C$2:$C$3001,$L787))+1,99),")",""),INDEX(Расчет!$C$2:$C$3001,$L787)))</f>
        <v/>
      </c>
      <c r="E787">
        <f>IF($L787="","",INDEX(Расчет!$D$2:$D$3001,$L787))</f>
        <v/>
      </c>
      <c r="F787">
        <f>IF($L787="","",INDEX(Расчет!$E$2:$E$3001,$L787))</f>
        <v/>
      </c>
      <c r="G787">
        <f>IF($L787="","",IFERROR(--LEFT(INDEX(Расчет!$C$2:$C$3001,$L787),FIND("(",INDEX(Расчет!$C$2:$C$3001,$L787))-1),IFERROR(--LEFT(INDEX(Расчет!$C$2:$C$3001,$L787),1),"")))</f>
        <v/>
      </c>
      <c r="H787">
        <f>IF($L787="","",SUMIFS(Расчет!$G$2:$G$3001,Расчет!$I$2:$I$3001,$K787,Расчет!$H$2:$H$3001,1))</f>
        <v/>
      </c>
      <c r="I787">
        <f>IF($L787="","",SUMIFS(Расчет!$G$2:$G$3001,Расчет!$I$2:$I$3001,$K787,Расчет!$H$2:$H$3001,2))</f>
        <v/>
      </c>
      <c r="J787">
        <f>IF($L787="","",SUMIFS(Расчет!$G$2:$G$3001,Расчет!$I$2:$I$3001,$K787,Расчет!$H$2:$H$3001,3))</f>
        <v/>
      </c>
      <c r="K787">
        <f>IF($L787="","",INDEX(Расчет!$I$2:$I$3001,$L787))</f>
        <v/>
      </c>
      <c r="L787">
        <f>IFERROR(MATCH(ROW()-1,Расчет!$J$2:$J$3001,0),"")</f>
        <v/>
      </c>
    </row>
    <row r="788">
      <c r="A788">
        <f>IF($L788="","",B788&amp;"."&amp;C788&amp;"-"&amp;D788&amp;"-"&amp;H788&amp;"."&amp;I788&amp;"."&amp;J788)</f>
        <v/>
      </c>
      <c r="B788">
        <f>IF($L788="","",INDEX(Расчет!$A$2:$A$3001,$L788))</f>
        <v/>
      </c>
      <c r="C788">
        <f>IF($L788="","",INDEX(Расчет!$B$2:$B$3001,$L788))</f>
        <v/>
      </c>
      <c r="D788">
        <f>IF($L788="","",IF(ISNUMBER(FIND("(",INDEX(Расчет!$C$2:$C$3001,$L788))),SUBSTITUTE(MID(INDEX(Расчет!$C$2:$C$3001,$L788),FIND("(",INDEX(Расчет!$C$2:$C$3001,$L788))+1,99),")",""),INDEX(Расчет!$C$2:$C$3001,$L788)))</f>
        <v/>
      </c>
      <c r="E788">
        <f>IF($L788="","",INDEX(Расчет!$D$2:$D$3001,$L788))</f>
        <v/>
      </c>
      <c r="F788">
        <f>IF($L788="","",INDEX(Расчет!$E$2:$E$3001,$L788))</f>
        <v/>
      </c>
      <c r="G788">
        <f>IF($L788="","",IFERROR(--LEFT(INDEX(Расчет!$C$2:$C$3001,$L788),FIND("(",INDEX(Расчет!$C$2:$C$3001,$L788))-1),IFERROR(--LEFT(INDEX(Расчет!$C$2:$C$3001,$L788),1),"")))</f>
        <v/>
      </c>
      <c r="H788">
        <f>IF($L788="","",SUMIFS(Расчет!$G$2:$G$3001,Расчет!$I$2:$I$3001,$K788,Расчет!$H$2:$H$3001,1))</f>
        <v/>
      </c>
      <c r="I788">
        <f>IF($L788="","",SUMIFS(Расчет!$G$2:$G$3001,Расчет!$I$2:$I$3001,$K788,Расчет!$H$2:$H$3001,2))</f>
        <v/>
      </c>
      <c r="J788">
        <f>IF($L788="","",SUMIFS(Расчет!$G$2:$G$3001,Расчет!$I$2:$I$3001,$K788,Расчет!$H$2:$H$3001,3))</f>
        <v/>
      </c>
      <c r="K788">
        <f>IF($L788="","",INDEX(Расчет!$I$2:$I$3001,$L788))</f>
        <v/>
      </c>
      <c r="L788">
        <f>IFERROR(MATCH(ROW()-1,Расчет!$J$2:$J$3001,0),"")</f>
        <v/>
      </c>
    </row>
    <row r="789">
      <c r="A789">
        <f>IF($L789="","",B789&amp;"."&amp;C789&amp;"-"&amp;D789&amp;"-"&amp;H789&amp;"."&amp;I789&amp;"."&amp;J789)</f>
        <v/>
      </c>
      <c r="B789">
        <f>IF($L789="","",INDEX(Расчет!$A$2:$A$3001,$L789))</f>
        <v/>
      </c>
      <c r="C789">
        <f>IF($L789="","",INDEX(Расчет!$B$2:$B$3001,$L789))</f>
        <v/>
      </c>
      <c r="D789">
        <f>IF($L789="","",IF(ISNUMBER(FIND("(",INDEX(Расчет!$C$2:$C$3001,$L789))),SUBSTITUTE(MID(INDEX(Расчет!$C$2:$C$3001,$L789),FIND("(",INDEX(Расчет!$C$2:$C$3001,$L789))+1,99),")",""),INDEX(Расчет!$C$2:$C$3001,$L789)))</f>
        <v/>
      </c>
      <c r="E789">
        <f>IF($L789="","",INDEX(Расчет!$D$2:$D$3001,$L789))</f>
        <v/>
      </c>
      <c r="F789">
        <f>IF($L789="","",INDEX(Расчет!$E$2:$E$3001,$L789))</f>
        <v/>
      </c>
      <c r="G789">
        <f>IF($L789="","",IFERROR(--LEFT(INDEX(Расчет!$C$2:$C$3001,$L789),FIND("(",INDEX(Расчет!$C$2:$C$3001,$L789))-1),IFERROR(--LEFT(INDEX(Расчет!$C$2:$C$3001,$L789),1),"")))</f>
        <v/>
      </c>
      <c r="H789">
        <f>IF($L789="","",SUMIFS(Расчет!$G$2:$G$3001,Расчет!$I$2:$I$3001,$K789,Расчет!$H$2:$H$3001,1))</f>
        <v/>
      </c>
      <c r="I789">
        <f>IF($L789="","",SUMIFS(Расчет!$G$2:$G$3001,Расчет!$I$2:$I$3001,$K789,Расчет!$H$2:$H$3001,2))</f>
        <v/>
      </c>
      <c r="J789">
        <f>IF($L789="","",SUMIFS(Расчет!$G$2:$G$3001,Расчет!$I$2:$I$3001,$K789,Расчет!$H$2:$H$3001,3))</f>
        <v/>
      </c>
      <c r="K789">
        <f>IF($L789="","",INDEX(Расчет!$I$2:$I$3001,$L789))</f>
        <v/>
      </c>
      <c r="L789">
        <f>IFERROR(MATCH(ROW()-1,Расчет!$J$2:$J$3001,0),"")</f>
        <v/>
      </c>
    </row>
    <row r="790">
      <c r="A790">
        <f>IF($L790="","",B790&amp;"."&amp;C790&amp;"-"&amp;D790&amp;"-"&amp;H790&amp;"."&amp;I790&amp;"."&amp;J790)</f>
        <v/>
      </c>
      <c r="B790">
        <f>IF($L790="","",INDEX(Расчет!$A$2:$A$3001,$L790))</f>
        <v/>
      </c>
      <c r="C790">
        <f>IF($L790="","",INDEX(Расчет!$B$2:$B$3001,$L790))</f>
        <v/>
      </c>
      <c r="D790">
        <f>IF($L790="","",IF(ISNUMBER(FIND("(",INDEX(Расчет!$C$2:$C$3001,$L790))),SUBSTITUTE(MID(INDEX(Расчет!$C$2:$C$3001,$L790),FIND("(",INDEX(Расчет!$C$2:$C$3001,$L790))+1,99),")",""),INDEX(Расчет!$C$2:$C$3001,$L790)))</f>
        <v/>
      </c>
      <c r="E790">
        <f>IF($L790="","",INDEX(Расчет!$D$2:$D$3001,$L790))</f>
        <v/>
      </c>
      <c r="F790">
        <f>IF($L790="","",INDEX(Расчет!$E$2:$E$3001,$L790))</f>
        <v/>
      </c>
      <c r="G790">
        <f>IF($L790="","",IFERROR(--LEFT(INDEX(Расчет!$C$2:$C$3001,$L790),FIND("(",INDEX(Расчет!$C$2:$C$3001,$L790))-1),IFERROR(--LEFT(INDEX(Расчет!$C$2:$C$3001,$L790),1),"")))</f>
        <v/>
      </c>
      <c r="H790">
        <f>IF($L790="","",SUMIFS(Расчет!$G$2:$G$3001,Расчет!$I$2:$I$3001,$K790,Расчет!$H$2:$H$3001,1))</f>
        <v/>
      </c>
      <c r="I790">
        <f>IF($L790="","",SUMIFS(Расчет!$G$2:$G$3001,Расчет!$I$2:$I$3001,$K790,Расчет!$H$2:$H$3001,2))</f>
        <v/>
      </c>
      <c r="J790">
        <f>IF($L790="","",SUMIFS(Расчет!$G$2:$G$3001,Расчет!$I$2:$I$3001,$K790,Расчет!$H$2:$H$3001,3))</f>
        <v/>
      </c>
      <c r="K790">
        <f>IF($L790="","",INDEX(Расчет!$I$2:$I$3001,$L790))</f>
        <v/>
      </c>
      <c r="L790">
        <f>IFERROR(MATCH(ROW()-1,Расчет!$J$2:$J$3001,0),"")</f>
        <v/>
      </c>
    </row>
    <row r="791">
      <c r="A791">
        <f>IF($L791="","",B791&amp;"."&amp;C791&amp;"-"&amp;D791&amp;"-"&amp;H791&amp;"."&amp;I791&amp;"."&amp;J791)</f>
        <v/>
      </c>
      <c r="B791">
        <f>IF($L791="","",INDEX(Расчет!$A$2:$A$3001,$L791))</f>
        <v/>
      </c>
      <c r="C791">
        <f>IF($L791="","",INDEX(Расчет!$B$2:$B$3001,$L791))</f>
        <v/>
      </c>
      <c r="D791">
        <f>IF($L791="","",IF(ISNUMBER(FIND("(",INDEX(Расчет!$C$2:$C$3001,$L791))),SUBSTITUTE(MID(INDEX(Расчет!$C$2:$C$3001,$L791),FIND("(",INDEX(Расчет!$C$2:$C$3001,$L791))+1,99),")",""),INDEX(Расчет!$C$2:$C$3001,$L791)))</f>
        <v/>
      </c>
      <c r="E791">
        <f>IF($L791="","",INDEX(Расчет!$D$2:$D$3001,$L791))</f>
        <v/>
      </c>
      <c r="F791">
        <f>IF($L791="","",INDEX(Расчет!$E$2:$E$3001,$L791))</f>
        <v/>
      </c>
      <c r="G791">
        <f>IF($L791="","",IFERROR(--LEFT(INDEX(Расчет!$C$2:$C$3001,$L791),FIND("(",INDEX(Расчет!$C$2:$C$3001,$L791))-1),IFERROR(--LEFT(INDEX(Расчет!$C$2:$C$3001,$L791),1),"")))</f>
        <v/>
      </c>
      <c r="H791">
        <f>IF($L791="","",SUMIFS(Расчет!$G$2:$G$3001,Расчет!$I$2:$I$3001,$K791,Расчет!$H$2:$H$3001,1))</f>
        <v/>
      </c>
      <c r="I791">
        <f>IF($L791="","",SUMIFS(Расчет!$G$2:$G$3001,Расчет!$I$2:$I$3001,$K791,Расчет!$H$2:$H$3001,2))</f>
        <v/>
      </c>
      <c r="J791">
        <f>IF($L791="","",SUMIFS(Расчет!$G$2:$G$3001,Расчет!$I$2:$I$3001,$K791,Расчет!$H$2:$H$3001,3))</f>
        <v/>
      </c>
      <c r="K791">
        <f>IF($L791="","",INDEX(Расчет!$I$2:$I$3001,$L791))</f>
        <v/>
      </c>
      <c r="L791">
        <f>IFERROR(MATCH(ROW()-1,Расчет!$J$2:$J$3001,0),"")</f>
        <v/>
      </c>
    </row>
    <row r="792">
      <c r="A792">
        <f>IF($L792="","",B792&amp;"."&amp;C792&amp;"-"&amp;D792&amp;"-"&amp;H792&amp;"."&amp;I792&amp;"."&amp;J792)</f>
        <v/>
      </c>
      <c r="B792">
        <f>IF($L792="","",INDEX(Расчет!$A$2:$A$3001,$L792))</f>
        <v/>
      </c>
      <c r="C792">
        <f>IF($L792="","",INDEX(Расчет!$B$2:$B$3001,$L792))</f>
        <v/>
      </c>
      <c r="D792">
        <f>IF($L792="","",IF(ISNUMBER(FIND("(",INDEX(Расчет!$C$2:$C$3001,$L792))),SUBSTITUTE(MID(INDEX(Расчет!$C$2:$C$3001,$L792),FIND("(",INDEX(Расчет!$C$2:$C$3001,$L792))+1,99),")",""),INDEX(Расчет!$C$2:$C$3001,$L792)))</f>
        <v/>
      </c>
      <c r="E792">
        <f>IF($L792="","",INDEX(Расчет!$D$2:$D$3001,$L792))</f>
        <v/>
      </c>
      <c r="F792">
        <f>IF($L792="","",INDEX(Расчет!$E$2:$E$3001,$L792))</f>
        <v/>
      </c>
      <c r="G792">
        <f>IF($L792="","",IFERROR(--LEFT(INDEX(Расчет!$C$2:$C$3001,$L792),FIND("(",INDEX(Расчет!$C$2:$C$3001,$L792))-1),IFERROR(--LEFT(INDEX(Расчет!$C$2:$C$3001,$L792),1),"")))</f>
        <v/>
      </c>
      <c r="H792">
        <f>IF($L792="","",SUMIFS(Расчет!$G$2:$G$3001,Расчет!$I$2:$I$3001,$K792,Расчет!$H$2:$H$3001,1))</f>
        <v/>
      </c>
      <c r="I792">
        <f>IF($L792="","",SUMIFS(Расчет!$G$2:$G$3001,Расчет!$I$2:$I$3001,$K792,Расчет!$H$2:$H$3001,2))</f>
        <v/>
      </c>
      <c r="J792">
        <f>IF($L792="","",SUMIFS(Расчет!$G$2:$G$3001,Расчет!$I$2:$I$3001,$K792,Расчет!$H$2:$H$3001,3))</f>
        <v/>
      </c>
      <c r="K792">
        <f>IF($L792="","",INDEX(Расчет!$I$2:$I$3001,$L792))</f>
        <v/>
      </c>
      <c r="L792">
        <f>IFERROR(MATCH(ROW()-1,Расчет!$J$2:$J$3001,0),"")</f>
        <v/>
      </c>
    </row>
    <row r="793">
      <c r="A793">
        <f>IF($L793="","",B793&amp;"."&amp;C793&amp;"-"&amp;D793&amp;"-"&amp;H793&amp;"."&amp;I793&amp;"."&amp;J793)</f>
        <v/>
      </c>
      <c r="B793">
        <f>IF($L793="","",INDEX(Расчет!$A$2:$A$3001,$L793))</f>
        <v/>
      </c>
      <c r="C793">
        <f>IF($L793="","",INDEX(Расчет!$B$2:$B$3001,$L793))</f>
        <v/>
      </c>
      <c r="D793">
        <f>IF($L793="","",IF(ISNUMBER(FIND("(",INDEX(Расчет!$C$2:$C$3001,$L793))),SUBSTITUTE(MID(INDEX(Расчет!$C$2:$C$3001,$L793),FIND("(",INDEX(Расчет!$C$2:$C$3001,$L793))+1,99),")",""),INDEX(Расчет!$C$2:$C$3001,$L793)))</f>
        <v/>
      </c>
      <c r="E793">
        <f>IF($L793="","",INDEX(Расчет!$D$2:$D$3001,$L793))</f>
        <v/>
      </c>
      <c r="F793">
        <f>IF($L793="","",INDEX(Расчет!$E$2:$E$3001,$L793))</f>
        <v/>
      </c>
      <c r="G793">
        <f>IF($L793="","",IFERROR(--LEFT(INDEX(Расчет!$C$2:$C$3001,$L793),FIND("(",INDEX(Расчет!$C$2:$C$3001,$L793))-1),IFERROR(--LEFT(INDEX(Расчет!$C$2:$C$3001,$L793),1),"")))</f>
        <v/>
      </c>
      <c r="H793">
        <f>IF($L793="","",SUMIFS(Расчет!$G$2:$G$3001,Расчет!$I$2:$I$3001,$K793,Расчет!$H$2:$H$3001,1))</f>
        <v/>
      </c>
      <c r="I793">
        <f>IF($L793="","",SUMIFS(Расчет!$G$2:$G$3001,Расчет!$I$2:$I$3001,$K793,Расчет!$H$2:$H$3001,2))</f>
        <v/>
      </c>
      <c r="J793">
        <f>IF($L793="","",SUMIFS(Расчет!$G$2:$G$3001,Расчет!$I$2:$I$3001,$K793,Расчет!$H$2:$H$3001,3))</f>
        <v/>
      </c>
      <c r="K793">
        <f>IF($L793="","",INDEX(Расчет!$I$2:$I$3001,$L793))</f>
        <v/>
      </c>
      <c r="L793">
        <f>IFERROR(MATCH(ROW()-1,Расчет!$J$2:$J$3001,0),"")</f>
        <v/>
      </c>
    </row>
    <row r="794">
      <c r="A794">
        <f>IF($L794="","",B794&amp;"."&amp;C794&amp;"-"&amp;D794&amp;"-"&amp;H794&amp;"."&amp;I794&amp;"."&amp;J794)</f>
        <v/>
      </c>
      <c r="B794">
        <f>IF($L794="","",INDEX(Расчет!$A$2:$A$3001,$L794))</f>
        <v/>
      </c>
      <c r="C794">
        <f>IF($L794="","",INDEX(Расчет!$B$2:$B$3001,$L794))</f>
        <v/>
      </c>
      <c r="D794">
        <f>IF($L794="","",IF(ISNUMBER(FIND("(",INDEX(Расчет!$C$2:$C$3001,$L794))),SUBSTITUTE(MID(INDEX(Расчет!$C$2:$C$3001,$L794),FIND("(",INDEX(Расчет!$C$2:$C$3001,$L794))+1,99),")",""),INDEX(Расчет!$C$2:$C$3001,$L794)))</f>
        <v/>
      </c>
      <c r="E794">
        <f>IF($L794="","",INDEX(Расчет!$D$2:$D$3001,$L794))</f>
        <v/>
      </c>
      <c r="F794">
        <f>IF($L794="","",INDEX(Расчет!$E$2:$E$3001,$L794))</f>
        <v/>
      </c>
      <c r="G794">
        <f>IF($L794="","",IFERROR(--LEFT(INDEX(Расчет!$C$2:$C$3001,$L794),FIND("(",INDEX(Расчет!$C$2:$C$3001,$L794))-1),IFERROR(--LEFT(INDEX(Расчет!$C$2:$C$3001,$L794),1),"")))</f>
        <v/>
      </c>
      <c r="H794">
        <f>IF($L794="","",SUMIFS(Расчет!$G$2:$G$3001,Расчет!$I$2:$I$3001,$K794,Расчет!$H$2:$H$3001,1))</f>
        <v/>
      </c>
      <c r="I794">
        <f>IF($L794="","",SUMIFS(Расчет!$G$2:$G$3001,Расчет!$I$2:$I$3001,$K794,Расчет!$H$2:$H$3001,2))</f>
        <v/>
      </c>
      <c r="J794">
        <f>IF($L794="","",SUMIFS(Расчет!$G$2:$G$3001,Расчет!$I$2:$I$3001,$K794,Расчет!$H$2:$H$3001,3))</f>
        <v/>
      </c>
      <c r="K794">
        <f>IF($L794="","",INDEX(Расчет!$I$2:$I$3001,$L794))</f>
        <v/>
      </c>
      <c r="L794">
        <f>IFERROR(MATCH(ROW()-1,Расчет!$J$2:$J$3001,0),"")</f>
        <v/>
      </c>
    </row>
    <row r="795">
      <c r="A795">
        <f>IF($L795="","",B795&amp;"."&amp;C795&amp;"-"&amp;D795&amp;"-"&amp;H795&amp;"."&amp;I795&amp;"."&amp;J795)</f>
        <v/>
      </c>
      <c r="B795">
        <f>IF($L795="","",INDEX(Расчет!$A$2:$A$3001,$L795))</f>
        <v/>
      </c>
      <c r="C795">
        <f>IF($L795="","",INDEX(Расчет!$B$2:$B$3001,$L795))</f>
        <v/>
      </c>
      <c r="D795">
        <f>IF($L795="","",IF(ISNUMBER(FIND("(",INDEX(Расчет!$C$2:$C$3001,$L795))),SUBSTITUTE(MID(INDEX(Расчет!$C$2:$C$3001,$L795),FIND("(",INDEX(Расчет!$C$2:$C$3001,$L795))+1,99),")",""),INDEX(Расчет!$C$2:$C$3001,$L795)))</f>
        <v/>
      </c>
      <c r="E795">
        <f>IF($L795="","",INDEX(Расчет!$D$2:$D$3001,$L795))</f>
        <v/>
      </c>
      <c r="F795">
        <f>IF($L795="","",INDEX(Расчет!$E$2:$E$3001,$L795))</f>
        <v/>
      </c>
      <c r="G795">
        <f>IF($L795="","",IFERROR(--LEFT(INDEX(Расчет!$C$2:$C$3001,$L795),FIND("(",INDEX(Расчет!$C$2:$C$3001,$L795))-1),IFERROR(--LEFT(INDEX(Расчет!$C$2:$C$3001,$L795),1),"")))</f>
        <v/>
      </c>
      <c r="H795">
        <f>IF($L795="","",SUMIFS(Расчет!$G$2:$G$3001,Расчет!$I$2:$I$3001,$K795,Расчет!$H$2:$H$3001,1))</f>
        <v/>
      </c>
      <c r="I795">
        <f>IF($L795="","",SUMIFS(Расчет!$G$2:$G$3001,Расчет!$I$2:$I$3001,$K795,Расчет!$H$2:$H$3001,2))</f>
        <v/>
      </c>
      <c r="J795">
        <f>IF($L795="","",SUMIFS(Расчет!$G$2:$G$3001,Расчет!$I$2:$I$3001,$K795,Расчет!$H$2:$H$3001,3))</f>
        <v/>
      </c>
      <c r="K795">
        <f>IF($L795="","",INDEX(Расчет!$I$2:$I$3001,$L795))</f>
        <v/>
      </c>
      <c r="L795">
        <f>IFERROR(MATCH(ROW()-1,Расчет!$J$2:$J$3001,0),"")</f>
        <v/>
      </c>
    </row>
    <row r="796">
      <c r="A796">
        <f>IF($L796="","",B796&amp;"."&amp;C796&amp;"-"&amp;D796&amp;"-"&amp;H796&amp;"."&amp;I796&amp;"."&amp;J796)</f>
        <v/>
      </c>
      <c r="B796">
        <f>IF($L796="","",INDEX(Расчет!$A$2:$A$3001,$L796))</f>
        <v/>
      </c>
      <c r="C796">
        <f>IF($L796="","",INDEX(Расчет!$B$2:$B$3001,$L796))</f>
        <v/>
      </c>
      <c r="D796">
        <f>IF($L796="","",IF(ISNUMBER(FIND("(",INDEX(Расчет!$C$2:$C$3001,$L796))),SUBSTITUTE(MID(INDEX(Расчет!$C$2:$C$3001,$L796),FIND("(",INDEX(Расчет!$C$2:$C$3001,$L796))+1,99),")",""),INDEX(Расчет!$C$2:$C$3001,$L796)))</f>
        <v/>
      </c>
      <c r="E796">
        <f>IF($L796="","",INDEX(Расчет!$D$2:$D$3001,$L796))</f>
        <v/>
      </c>
      <c r="F796">
        <f>IF($L796="","",INDEX(Расчет!$E$2:$E$3001,$L796))</f>
        <v/>
      </c>
      <c r="G796">
        <f>IF($L796="","",IFERROR(--LEFT(INDEX(Расчет!$C$2:$C$3001,$L796),FIND("(",INDEX(Расчет!$C$2:$C$3001,$L796))-1),IFERROR(--LEFT(INDEX(Расчет!$C$2:$C$3001,$L796),1),"")))</f>
        <v/>
      </c>
      <c r="H796">
        <f>IF($L796="","",SUMIFS(Расчет!$G$2:$G$3001,Расчет!$I$2:$I$3001,$K796,Расчет!$H$2:$H$3001,1))</f>
        <v/>
      </c>
      <c r="I796">
        <f>IF($L796="","",SUMIFS(Расчет!$G$2:$G$3001,Расчет!$I$2:$I$3001,$K796,Расчет!$H$2:$H$3001,2))</f>
        <v/>
      </c>
      <c r="J796">
        <f>IF($L796="","",SUMIFS(Расчет!$G$2:$G$3001,Расчет!$I$2:$I$3001,$K796,Расчет!$H$2:$H$3001,3))</f>
        <v/>
      </c>
      <c r="K796">
        <f>IF($L796="","",INDEX(Расчет!$I$2:$I$3001,$L796))</f>
        <v/>
      </c>
      <c r="L796">
        <f>IFERROR(MATCH(ROW()-1,Расчет!$J$2:$J$3001,0),"")</f>
        <v/>
      </c>
    </row>
    <row r="797">
      <c r="A797">
        <f>IF($L797="","",B797&amp;"."&amp;C797&amp;"-"&amp;D797&amp;"-"&amp;H797&amp;"."&amp;I797&amp;"."&amp;J797)</f>
        <v/>
      </c>
      <c r="B797">
        <f>IF($L797="","",INDEX(Расчет!$A$2:$A$3001,$L797))</f>
        <v/>
      </c>
      <c r="C797">
        <f>IF($L797="","",INDEX(Расчет!$B$2:$B$3001,$L797))</f>
        <v/>
      </c>
      <c r="D797">
        <f>IF($L797="","",IF(ISNUMBER(FIND("(",INDEX(Расчет!$C$2:$C$3001,$L797))),SUBSTITUTE(MID(INDEX(Расчет!$C$2:$C$3001,$L797),FIND("(",INDEX(Расчет!$C$2:$C$3001,$L797))+1,99),")",""),INDEX(Расчет!$C$2:$C$3001,$L797)))</f>
        <v/>
      </c>
      <c r="E797">
        <f>IF($L797="","",INDEX(Расчет!$D$2:$D$3001,$L797))</f>
        <v/>
      </c>
      <c r="F797">
        <f>IF($L797="","",INDEX(Расчет!$E$2:$E$3001,$L797))</f>
        <v/>
      </c>
      <c r="G797">
        <f>IF($L797="","",IFERROR(--LEFT(INDEX(Расчет!$C$2:$C$3001,$L797),FIND("(",INDEX(Расчет!$C$2:$C$3001,$L797))-1),IFERROR(--LEFT(INDEX(Расчет!$C$2:$C$3001,$L797),1),"")))</f>
        <v/>
      </c>
      <c r="H797">
        <f>IF($L797="","",SUMIFS(Расчет!$G$2:$G$3001,Расчет!$I$2:$I$3001,$K797,Расчет!$H$2:$H$3001,1))</f>
        <v/>
      </c>
      <c r="I797">
        <f>IF($L797="","",SUMIFS(Расчет!$G$2:$G$3001,Расчет!$I$2:$I$3001,$K797,Расчет!$H$2:$H$3001,2))</f>
        <v/>
      </c>
      <c r="J797">
        <f>IF($L797="","",SUMIFS(Расчет!$G$2:$G$3001,Расчет!$I$2:$I$3001,$K797,Расчет!$H$2:$H$3001,3))</f>
        <v/>
      </c>
      <c r="K797">
        <f>IF($L797="","",INDEX(Расчет!$I$2:$I$3001,$L797))</f>
        <v/>
      </c>
      <c r="L797">
        <f>IFERROR(MATCH(ROW()-1,Расчет!$J$2:$J$3001,0),"")</f>
        <v/>
      </c>
    </row>
    <row r="798">
      <c r="A798">
        <f>IF($L798="","",B798&amp;"."&amp;C798&amp;"-"&amp;D798&amp;"-"&amp;H798&amp;"."&amp;I798&amp;"."&amp;J798)</f>
        <v/>
      </c>
      <c r="B798">
        <f>IF($L798="","",INDEX(Расчет!$A$2:$A$3001,$L798))</f>
        <v/>
      </c>
      <c r="C798">
        <f>IF($L798="","",INDEX(Расчет!$B$2:$B$3001,$L798))</f>
        <v/>
      </c>
      <c r="D798">
        <f>IF($L798="","",IF(ISNUMBER(FIND("(",INDEX(Расчет!$C$2:$C$3001,$L798))),SUBSTITUTE(MID(INDEX(Расчет!$C$2:$C$3001,$L798),FIND("(",INDEX(Расчет!$C$2:$C$3001,$L798))+1,99),")",""),INDEX(Расчет!$C$2:$C$3001,$L798)))</f>
        <v/>
      </c>
      <c r="E798">
        <f>IF($L798="","",INDEX(Расчет!$D$2:$D$3001,$L798))</f>
        <v/>
      </c>
      <c r="F798">
        <f>IF($L798="","",INDEX(Расчет!$E$2:$E$3001,$L798))</f>
        <v/>
      </c>
      <c r="G798">
        <f>IF($L798="","",IFERROR(--LEFT(INDEX(Расчет!$C$2:$C$3001,$L798),FIND("(",INDEX(Расчет!$C$2:$C$3001,$L798))-1),IFERROR(--LEFT(INDEX(Расчет!$C$2:$C$3001,$L798),1),"")))</f>
        <v/>
      </c>
      <c r="H798">
        <f>IF($L798="","",SUMIFS(Расчет!$G$2:$G$3001,Расчет!$I$2:$I$3001,$K798,Расчет!$H$2:$H$3001,1))</f>
        <v/>
      </c>
      <c r="I798">
        <f>IF($L798="","",SUMIFS(Расчет!$G$2:$G$3001,Расчет!$I$2:$I$3001,$K798,Расчет!$H$2:$H$3001,2))</f>
        <v/>
      </c>
      <c r="J798">
        <f>IF($L798="","",SUMIFS(Расчет!$G$2:$G$3001,Расчет!$I$2:$I$3001,$K798,Расчет!$H$2:$H$3001,3))</f>
        <v/>
      </c>
      <c r="K798">
        <f>IF($L798="","",INDEX(Расчет!$I$2:$I$3001,$L798))</f>
        <v/>
      </c>
      <c r="L798">
        <f>IFERROR(MATCH(ROW()-1,Расчет!$J$2:$J$3001,0),"")</f>
        <v/>
      </c>
    </row>
    <row r="799">
      <c r="A799">
        <f>IF($L799="","",B799&amp;"."&amp;C799&amp;"-"&amp;D799&amp;"-"&amp;H799&amp;"."&amp;I799&amp;"."&amp;J799)</f>
        <v/>
      </c>
      <c r="B799">
        <f>IF($L799="","",INDEX(Расчет!$A$2:$A$3001,$L799))</f>
        <v/>
      </c>
      <c r="C799">
        <f>IF($L799="","",INDEX(Расчет!$B$2:$B$3001,$L799))</f>
        <v/>
      </c>
      <c r="D799">
        <f>IF($L799="","",IF(ISNUMBER(FIND("(",INDEX(Расчет!$C$2:$C$3001,$L799))),SUBSTITUTE(MID(INDEX(Расчет!$C$2:$C$3001,$L799),FIND("(",INDEX(Расчет!$C$2:$C$3001,$L799))+1,99),")",""),INDEX(Расчет!$C$2:$C$3001,$L799)))</f>
        <v/>
      </c>
      <c r="E799">
        <f>IF($L799="","",INDEX(Расчет!$D$2:$D$3001,$L799))</f>
        <v/>
      </c>
      <c r="F799">
        <f>IF($L799="","",INDEX(Расчет!$E$2:$E$3001,$L799))</f>
        <v/>
      </c>
      <c r="G799">
        <f>IF($L799="","",IFERROR(--LEFT(INDEX(Расчет!$C$2:$C$3001,$L799),FIND("(",INDEX(Расчет!$C$2:$C$3001,$L799))-1),IFERROR(--LEFT(INDEX(Расчет!$C$2:$C$3001,$L799),1),"")))</f>
        <v/>
      </c>
      <c r="H799">
        <f>IF($L799="","",SUMIFS(Расчет!$G$2:$G$3001,Расчет!$I$2:$I$3001,$K799,Расчет!$H$2:$H$3001,1))</f>
        <v/>
      </c>
      <c r="I799">
        <f>IF($L799="","",SUMIFS(Расчет!$G$2:$G$3001,Расчет!$I$2:$I$3001,$K799,Расчет!$H$2:$H$3001,2))</f>
        <v/>
      </c>
      <c r="J799">
        <f>IF($L799="","",SUMIFS(Расчет!$G$2:$G$3001,Расчет!$I$2:$I$3001,$K799,Расчет!$H$2:$H$3001,3))</f>
        <v/>
      </c>
      <c r="K799">
        <f>IF($L799="","",INDEX(Расчет!$I$2:$I$3001,$L799))</f>
        <v/>
      </c>
      <c r="L799">
        <f>IFERROR(MATCH(ROW()-1,Расчет!$J$2:$J$3001,0),"")</f>
        <v/>
      </c>
    </row>
    <row r="800">
      <c r="A800">
        <f>IF($L800="","",B800&amp;"."&amp;C800&amp;"-"&amp;D800&amp;"-"&amp;H800&amp;"."&amp;I800&amp;"."&amp;J800)</f>
        <v/>
      </c>
      <c r="B800">
        <f>IF($L800="","",INDEX(Расчет!$A$2:$A$3001,$L800))</f>
        <v/>
      </c>
      <c r="C800">
        <f>IF($L800="","",INDEX(Расчет!$B$2:$B$3001,$L800))</f>
        <v/>
      </c>
      <c r="D800">
        <f>IF($L800="","",IF(ISNUMBER(FIND("(",INDEX(Расчет!$C$2:$C$3001,$L800))),SUBSTITUTE(MID(INDEX(Расчет!$C$2:$C$3001,$L800),FIND("(",INDEX(Расчет!$C$2:$C$3001,$L800))+1,99),")",""),INDEX(Расчет!$C$2:$C$3001,$L800)))</f>
        <v/>
      </c>
      <c r="E800">
        <f>IF($L800="","",INDEX(Расчет!$D$2:$D$3001,$L800))</f>
        <v/>
      </c>
      <c r="F800">
        <f>IF($L800="","",INDEX(Расчет!$E$2:$E$3001,$L800))</f>
        <v/>
      </c>
      <c r="G800">
        <f>IF($L800="","",IFERROR(--LEFT(INDEX(Расчет!$C$2:$C$3001,$L800),FIND("(",INDEX(Расчет!$C$2:$C$3001,$L800))-1),IFERROR(--LEFT(INDEX(Расчет!$C$2:$C$3001,$L800),1),"")))</f>
        <v/>
      </c>
      <c r="H800">
        <f>IF($L800="","",SUMIFS(Расчет!$G$2:$G$3001,Расчет!$I$2:$I$3001,$K800,Расчет!$H$2:$H$3001,1))</f>
        <v/>
      </c>
      <c r="I800">
        <f>IF($L800="","",SUMIFS(Расчет!$G$2:$G$3001,Расчет!$I$2:$I$3001,$K800,Расчет!$H$2:$H$3001,2))</f>
        <v/>
      </c>
      <c r="J800">
        <f>IF($L800="","",SUMIFS(Расчет!$G$2:$G$3001,Расчет!$I$2:$I$3001,$K800,Расчет!$H$2:$H$3001,3))</f>
        <v/>
      </c>
      <c r="K800">
        <f>IF($L800="","",INDEX(Расчет!$I$2:$I$3001,$L800))</f>
        <v/>
      </c>
      <c r="L800">
        <f>IFERROR(MATCH(ROW()-1,Расчет!$J$2:$J$3001,0),"")</f>
        <v/>
      </c>
    </row>
    <row r="801">
      <c r="A801">
        <f>IF($L801="","",B801&amp;"."&amp;C801&amp;"-"&amp;D801&amp;"-"&amp;H801&amp;"."&amp;I801&amp;"."&amp;J801)</f>
        <v/>
      </c>
      <c r="B801">
        <f>IF($L801="","",INDEX(Расчет!$A$2:$A$3001,$L801))</f>
        <v/>
      </c>
      <c r="C801">
        <f>IF($L801="","",INDEX(Расчет!$B$2:$B$3001,$L801))</f>
        <v/>
      </c>
      <c r="D801">
        <f>IF($L801="","",IF(ISNUMBER(FIND("(",INDEX(Расчет!$C$2:$C$3001,$L801))),SUBSTITUTE(MID(INDEX(Расчет!$C$2:$C$3001,$L801),FIND("(",INDEX(Расчет!$C$2:$C$3001,$L801))+1,99),")",""),INDEX(Расчет!$C$2:$C$3001,$L801)))</f>
        <v/>
      </c>
      <c r="E801">
        <f>IF($L801="","",INDEX(Расчет!$D$2:$D$3001,$L801))</f>
        <v/>
      </c>
      <c r="F801">
        <f>IF($L801="","",INDEX(Расчет!$E$2:$E$3001,$L801))</f>
        <v/>
      </c>
      <c r="G801">
        <f>IF($L801="","",IFERROR(--LEFT(INDEX(Расчет!$C$2:$C$3001,$L801),FIND("(",INDEX(Расчет!$C$2:$C$3001,$L801))-1),IFERROR(--LEFT(INDEX(Расчет!$C$2:$C$3001,$L801),1),"")))</f>
        <v/>
      </c>
      <c r="H801">
        <f>IF($L801="","",SUMIFS(Расчет!$G$2:$G$3001,Расчет!$I$2:$I$3001,$K801,Расчет!$H$2:$H$3001,1))</f>
        <v/>
      </c>
      <c r="I801">
        <f>IF($L801="","",SUMIFS(Расчет!$G$2:$G$3001,Расчет!$I$2:$I$3001,$K801,Расчет!$H$2:$H$3001,2))</f>
        <v/>
      </c>
      <c r="J801">
        <f>IF($L801="","",SUMIFS(Расчет!$G$2:$G$3001,Расчет!$I$2:$I$3001,$K801,Расчет!$H$2:$H$3001,3))</f>
        <v/>
      </c>
      <c r="K801">
        <f>IF($L801="","",INDEX(Расчет!$I$2:$I$3001,$L801))</f>
        <v/>
      </c>
      <c r="L801">
        <f>IFERROR(MATCH(ROW()-1,Расчет!$J$2:$J$3001,0),"")</f>
        <v/>
      </c>
    </row>
    <row r="802">
      <c r="A802">
        <f>IF($L802="","",B802&amp;"."&amp;C802&amp;"-"&amp;D802&amp;"-"&amp;H802&amp;"."&amp;I802&amp;"."&amp;J802)</f>
        <v/>
      </c>
      <c r="B802">
        <f>IF($L802="","",INDEX(Расчет!$A$2:$A$3001,$L802))</f>
        <v/>
      </c>
      <c r="C802">
        <f>IF($L802="","",INDEX(Расчет!$B$2:$B$3001,$L802))</f>
        <v/>
      </c>
      <c r="D802">
        <f>IF($L802="","",IF(ISNUMBER(FIND("(",INDEX(Расчет!$C$2:$C$3001,$L802))),SUBSTITUTE(MID(INDEX(Расчет!$C$2:$C$3001,$L802),FIND("(",INDEX(Расчет!$C$2:$C$3001,$L802))+1,99),")",""),INDEX(Расчет!$C$2:$C$3001,$L802)))</f>
        <v/>
      </c>
      <c r="E802">
        <f>IF($L802="","",INDEX(Расчет!$D$2:$D$3001,$L802))</f>
        <v/>
      </c>
      <c r="F802">
        <f>IF($L802="","",INDEX(Расчет!$E$2:$E$3001,$L802))</f>
        <v/>
      </c>
      <c r="G802">
        <f>IF($L802="","",IFERROR(--LEFT(INDEX(Расчет!$C$2:$C$3001,$L802),FIND("(",INDEX(Расчет!$C$2:$C$3001,$L802))-1),IFERROR(--LEFT(INDEX(Расчет!$C$2:$C$3001,$L802),1),"")))</f>
        <v/>
      </c>
      <c r="H802">
        <f>IF($L802="","",SUMIFS(Расчет!$G$2:$G$3001,Расчет!$I$2:$I$3001,$K802,Расчет!$H$2:$H$3001,1))</f>
        <v/>
      </c>
      <c r="I802">
        <f>IF($L802="","",SUMIFS(Расчет!$G$2:$G$3001,Расчет!$I$2:$I$3001,$K802,Расчет!$H$2:$H$3001,2))</f>
        <v/>
      </c>
      <c r="J802">
        <f>IF($L802="","",SUMIFS(Расчет!$G$2:$G$3001,Расчет!$I$2:$I$3001,$K802,Расчет!$H$2:$H$3001,3))</f>
        <v/>
      </c>
      <c r="K802">
        <f>IF($L802="","",INDEX(Расчет!$I$2:$I$3001,$L802))</f>
        <v/>
      </c>
      <c r="L802">
        <f>IFERROR(MATCH(ROW()-1,Расчет!$J$2:$J$3001,0),"")</f>
        <v/>
      </c>
    </row>
    <row r="803">
      <c r="A803">
        <f>IF($L803="","",B803&amp;"."&amp;C803&amp;"-"&amp;D803&amp;"-"&amp;H803&amp;"."&amp;I803&amp;"."&amp;J803)</f>
        <v/>
      </c>
      <c r="B803">
        <f>IF($L803="","",INDEX(Расчет!$A$2:$A$3001,$L803))</f>
        <v/>
      </c>
      <c r="C803">
        <f>IF($L803="","",INDEX(Расчет!$B$2:$B$3001,$L803))</f>
        <v/>
      </c>
      <c r="D803">
        <f>IF($L803="","",IF(ISNUMBER(FIND("(",INDEX(Расчет!$C$2:$C$3001,$L803))),SUBSTITUTE(MID(INDEX(Расчет!$C$2:$C$3001,$L803),FIND("(",INDEX(Расчет!$C$2:$C$3001,$L803))+1,99),")",""),INDEX(Расчет!$C$2:$C$3001,$L803)))</f>
        <v/>
      </c>
      <c r="E803">
        <f>IF($L803="","",INDEX(Расчет!$D$2:$D$3001,$L803))</f>
        <v/>
      </c>
      <c r="F803">
        <f>IF($L803="","",INDEX(Расчет!$E$2:$E$3001,$L803))</f>
        <v/>
      </c>
      <c r="G803">
        <f>IF($L803="","",IFERROR(--LEFT(INDEX(Расчет!$C$2:$C$3001,$L803),FIND("(",INDEX(Расчет!$C$2:$C$3001,$L803))-1),IFERROR(--LEFT(INDEX(Расчет!$C$2:$C$3001,$L803),1),"")))</f>
        <v/>
      </c>
      <c r="H803">
        <f>IF($L803="","",SUMIFS(Расчет!$G$2:$G$3001,Расчет!$I$2:$I$3001,$K803,Расчет!$H$2:$H$3001,1))</f>
        <v/>
      </c>
      <c r="I803">
        <f>IF($L803="","",SUMIFS(Расчет!$G$2:$G$3001,Расчет!$I$2:$I$3001,$K803,Расчет!$H$2:$H$3001,2))</f>
        <v/>
      </c>
      <c r="J803">
        <f>IF($L803="","",SUMIFS(Расчет!$G$2:$G$3001,Расчет!$I$2:$I$3001,$K803,Расчет!$H$2:$H$3001,3))</f>
        <v/>
      </c>
      <c r="K803">
        <f>IF($L803="","",INDEX(Расчет!$I$2:$I$3001,$L803))</f>
        <v/>
      </c>
      <c r="L803">
        <f>IFERROR(MATCH(ROW()-1,Расчет!$J$2:$J$3001,0),"")</f>
        <v/>
      </c>
    </row>
    <row r="804">
      <c r="A804">
        <f>IF($L804="","",B804&amp;"."&amp;C804&amp;"-"&amp;D804&amp;"-"&amp;H804&amp;"."&amp;I804&amp;"."&amp;J804)</f>
        <v/>
      </c>
      <c r="B804">
        <f>IF($L804="","",INDEX(Расчет!$A$2:$A$3001,$L804))</f>
        <v/>
      </c>
      <c r="C804">
        <f>IF($L804="","",INDEX(Расчет!$B$2:$B$3001,$L804))</f>
        <v/>
      </c>
      <c r="D804">
        <f>IF($L804="","",IF(ISNUMBER(FIND("(",INDEX(Расчет!$C$2:$C$3001,$L804))),SUBSTITUTE(MID(INDEX(Расчет!$C$2:$C$3001,$L804),FIND("(",INDEX(Расчет!$C$2:$C$3001,$L804))+1,99),")",""),INDEX(Расчет!$C$2:$C$3001,$L804)))</f>
        <v/>
      </c>
      <c r="E804">
        <f>IF($L804="","",INDEX(Расчет!$D$2:$D$3001,$L804))</f>
        <v/>
      </c>
      <c r="F804">
        <f>IF($L804="","",INDEX(Расчет!$E$2:$E$3001,$L804))</f>
        <v/>
      </c>
      <c r="G804">
        <f>IF($L804="","",IFERROR(--LEFT(INDEX(Расчет!$C$2:$C$3001,$L804),FIND("(",INDEX(Расчет!$C$2:$C$3001,$L804))-1),IFERROR(--LEFT(INDEX(Расчет!$C$2:$C$3001,$L804),1),"")))</f>
        <v/>
      </c>
      <c r="H804">
        <f>IF($L804="","",SUMIFS(Расчет!$G$2:$G$3001,Расчет!$I$2:$I$3001,$K804,Расчет!$H$2:$H$3001,1))</f>
        <v/>
      </c>
      <c r="I804">
        <f>IF($L804="","",SUMIFS(Расчет!$G$2:$G$3001,Расчет!$I$2:$I$3001,$K804,Расчет!$H$2:$H$3001,2))</f>
        <v/>
      </c>
      <c r="J804">
        <f>IF($L804="","",SUMIFS(Расчет!$G$2:$G$3001,Расчет!$I$2:$I$3001,$K804,Расчет!$H$2:$H$3001,3))</f>
        <v/>
      </c>
      <c r="K804">
        <f>IF($L804="","",INDEX(Расчет!$I$2:$I$3001,$L804))</f>
        <v/>
      </c>
      <c r="L804">
        <f>IFERROR(MATCH(ROW()-1,Расчет!$J$2:$J$3001,0),"")</f>
        <v/>
      </c>
    </row>
    <row r="805">
      <c r="A805">
        <f>IF($L805="","",B805&amp;"."&amp;C805&amp;"-"&amp;D805&amp;"-"&amp;H805&amp;"."&amp;I805&amp;"."&amp;J805)</f>
        <v/>
      </c>
      <c r="B805">
        <f>IF($L805="","",INDEX(Расчет!$A$2:$A$3001,$L805))</f>
        <v/>
      </c>
      <c r="C805">
        <f>IF($L805="","",INDEX(Расчет!$B$2:$B$3001,$L805))</f>
        <v/>
      </c>
      <c r="D805">
        <f>IF($L805="","",IF(ISNUMBER(FIND("(",INDEX(Расчет!$C$2:$C$3001,$L805))),SUBSTITUTE(MID(INDEX(Расчет!$C$2:$C$3001,$L805),FIND("(",INDEX(Расчет!$C$2:$C$3001,$L805))+1,99),")",""),INDEX(Расчет!$C$2:$C$3001,$L805)))</f>
        <v/>
      </c>
      <c r="E805">
        <f>IF($L805="","",INDEX(Расчет!$D$2:$D$3001,$L805))</f>
        <v/>
      </c>
      <c r="F805">
        <f>IF($L805="","",INDEX(Расчет!$E$2:$E$3001,$L805))</f>
        <v/>
      </c>
      <c r="G805">
        <f>IF($L805="","",IFERROR(--LEFT(INDEX(Расчет!$C$2:$C$3001,$L805),FIND("(",INDEX(Расчет!$C$2:$C$3001,$L805))-1),IFERROR(--LEFT(INDEX(Расчет!$C$2:$C$3001,$L805),1),"")))</f>
        <v/>
      </c>
      <c r="H805">
        <f>IF($L805="","",SUMIFS(Расчет!$G$2:$G$3001,Расчет!$I$2:$I$3001,$K805,Расчет!$H$2:$H$3001,1))</f>
        <v/>
      </c>
      <c r="I805">
        <f>IF($L805="","",SUMIFS(Расчет!$G$2:$G$3001,Расчет!$I$2:$I$3001,$K805,Расчет!$H$2:$H$3001,2))</f>
        <v/>
      </c>
      <c r="J805">
        <f>IF($L805="","",SUMIFS(Расчет!$G$2:$G$3001,Расчет!$I$2:$I$3001,$K805,Расчет!$H$2:$H$3001,3))</f>
        <v/>
      </c>
      <c r="K805">
        <f>IF($L805="","",INDEX(Расчет!$I$2:$I$3001,$L805))</f>
        <v/>
      </c>
      <c r="L805">
        <f>IFERROR(MATCH(ROW()-1,Расчет!$J$2:$J$3001,0),"")</f>
        <v/>
      </c>
    </row>
    <row r="806">
      <c r="A806">
        <f>IF($L806="","",B806&amp;"."&amp;C806&amp;"-"&amp;D806&amp;"-"&amp;H806&amp;"."&amp;I806&amp;"."&amp;J806)</f>
        <v/>
      </c>
      <c r="B806">
        <f>IF($L806="","",INDEX(Расчет!$A$2:$A$3001,$L806))</f>
        <v/>
      </c>
      <c r="C806">
        <f>IF($L806="","",INDEX(Расчет!$B$2:$B$3001,$L806))</f>
        <v/>
      </c>
      <c r="D806">
        <f>IF($L806="","",IF(ISNUMBER(FIND("(",INDEX(Расчет!$C$2:$C$3001,$L806))),SUBSTITUTE(MID(INDEX(Расчет!$C$2:$C$3001,$L806),FIND("(",INDEX(Расчет!$C$2:$C$3001,$L806))+1,99),")",""),INDEX(Расчет!$C$2:$C$3001,$L806)))</f>
        <v/>
      </c>
      <c r="E806">
        <f>IF($L806="","",INDEX(Расчет!$D$2:$D$3001,$L806))</f>
        <v/>
      </c>
      <c r="F806">
        <f>IF($L806="","",INDEX(Расчет!$E$2:$E$3001,$L806))</f>
        <v/>
      </c>
      <c r="G806">
        <f>IF($L806="","",IFERROR(--LEFT(INDEX(Расчет!$C$2:$C$3001,$L806),FIND("(",INDEX(Расчет!$C$2:$C$3001,$L806))-1),IFERROR(--LEFT(INDEX(Расчет!$C$2:$C$3001,$L806),1),"")))</f>
        <v/>
      </c>
      <c r="H806">
        <f>IF($L806="","",SUMIFS(Расчет!$G$2:$G$3001,Расчет!$I$2:$I$3001,$K806,Расчет!$H$2:$H$3001,1))</f>
        <v/>
      </c>
      <c r="I806">
        <f>IF($L806="","",SUMIFS(Расчет!$G$2:$G$3001,Расчет!$I$2:$I$3001,$K806,Расчет!$H$2:$H$3001,2))</f>
        <v/>
      </c>
      <c r="J806">
        <f>IF($L806="","",SUMIFS(Расчет!$G$2:$G$3001,Расчет!$I$2:$I$3001,$K806,Расчет!$H$2:$H$3001,3))</f>
        <v/>
      </c>
      <c r="K806">
        <f>IF($L806="","",INDEX(Расчет!$I$2:$I$3001,$L806))</f>
        <v/>
      </c>
      <c r="L806">
        <f>IFERROR(MATCH(ROW()-1,Расчет!$J$2:$J$3001,0),"")</f>
        <v/>
      </c>
    </row>
    <row r="807">
      <c r="A807">
        <f>IF($L807="","",B807&amp;"."&amp;C807&amp;"-"&amp;D807&amp;"-"&amp;H807&amp;"."&amp;I807&amp;"."&amp;J807)</f>
        <v/>
      </c>
      <c r="B807">
        <f>IF($L807="","",INDEX(Расчет!$A$2:$A$3001,$L807))</f>
        <v/>
      </c>
      <c r="C807">
        <f>IF($L807="","",INDEX(Расчет!$B$2:$B$3001,$L807))</f>
        <v/>
      </c>
      <c r="D807">
        <f>IF($L807="","",IF(ISNUMBER(FIND("(",INDEX(Расчет!$C$2:$C$3001,$L807))),SUBSTITUTE(MID(INDEX(Расчет!$C$2:$C$3001,$L807),FIND("(",INDEX(Расчет!$C$2:$C$3001,$L807))+1,99),")",""),INDEX(Расчет!$C$2:$C$3001,$L807)))</f>
        <v/>
      </c>
      <c r="E807">
        <f>IF($L807="","",INDEX(Расчет!$D$2:$D$3001,$L807))</f>
        <v/>
      </c>
      <c r="F807">
        <f>IF($L807="","",INDEX(Расчет!$E$2:$E$3001,$L807))</f>
        <v/>
      </c>
      <c r="G807">
        <f>IF($L807="","",IFERROR(--LEFT(INDEX(Расчет!$C$2:$C$3001,$L807),FIND("(",INDEX(Расчет!$C$2:$C$3001,$L807))-1),IFERROR(--LEFT(INDEX(Расчет!$C$2:$C$3001,$L807),1),"")))</f>
        <v/>
      </c>
      <c r="H807">
        <f>IF($L807="","",SUMIFS(Расчет!$G$2:$G$3001,Расчет!$I$2:$I$3001,$K807,Расчет!$H$2:$H$3001,1))</f>
        <v/>
      </c>
      <c r="I807">
        <f>IF($L807="","",SUMIFS(Расчет!$G$2:$G$3001,Расчет!$I$2:$I$3001,$K807,Расчет!$H$2:$H$3001,2))</f>
        <v/>
      </c>
      <c r="J807">
        <f>IF($L807="","",SUMIFS(Расчет!$G$2:$G$3001,Расчет!$I$2:$I$3001,$K807,Расчет!$H$2:$H$3001,3))</f>
        <v/>
      </c>
      <c r="K807">
        <f>IF($L807="","",INDEX(Расчет!$I$2:$I$3001,$L807))</f>
        <v/>
      </c>
      <c r="L807">
        <f>IFERROR(MATCH(ROW()-1,Расчет!$J$2:$J$3001,0),"")</f>
        <v/>
      </c>
    </row>
    <row r="808">
      <c r="A808">
        <f>IF($L808="","",B808&amp;"."&amp;C808&amp;"-"&amp;D808&amp;"-"&amp;H808&amp;"."&amp;I808&amp;"."&amp;J808)</f>
        <v/>
      </c>
      <c r="B808">
        <f>IF($L808="","",INDEX(Расчет!$A$2:$A$3001,$L808))</f>
        <v/>
      </c>
      <c r="C808">
        <f>IF($L808="","",INDEX(Расчет!$B$2:$B$3001,$L808))</f>
        <v/>
      </c>
      <c r="D808">
        <f>IF($L808="","",IF(ISNUMBER(FIND("(",INDEX(Расчет!$C$2:$C$3001,$L808))),SUBSTITUTE(MID(INDEX(Расчет!$C$2:$C$3001,$L808),FIND("(",INDEX(Расчет!$C$2:$C$3001,$L808))+1,99),")",""),INDEX(Расчет!$C$2:$C$3001,$L808)))</f>
        <v/>
      </c>
      <c r="E808">
        <f>IF($L808="","",INDEX(Расчет!$D$2:$D$3001,$L808))</f>
        <v/>
      </c>
      <c r="F808">
        <f>IF($L808="","",INDEX(Расчет!$E$2:$E$3001,$L808))</f>
        <v/>
      </c>
      <c r="G808">
        <f>IF($L808="","",IFERROR(--LEFT(INDEX(Расчет!$C$2:$C$3001,$L808),FIND("(",INDEX(Расчет!$C$2:$C$3001,$L808))-1),IFERROR(--LEFT(INDEX(Расчет!$C$2:$C$3001,$L808),1),"")))</f>
        <v/>
      </c>
      <c r="H808">
        <f>IF($L808="","",SUMIFS(Расчет!$G$2:$G$3001,Расчет!$I$2:$I$3001,$K808,Расчет!$H$2:$H$3001,1))</f>
        <v/>
      </c>
      <c r="I808">
        <f>IF($L808="","",SUMIFS(Расчет!$G$2:$G$3001,Расчет!$I$2:$I$3001,$K808,Расчет!$H$2:$H$3001,2))</f>
        <v/>
      </c>
      <c r="J808">
        <f>IF($L808="","",SUMIFS(Расчет!$G$2:$G$3001,Расчет!$I$2:$I$3001,$K808,Расчет!$H$2:$H$3001,3))</f>
        <v/>
      </c>
      <c r="K808">
        <f>IF($L808="","",INDEX(Расчет!$I$2:$I$3001,$L808))</f>
        <v/>
      </c>
      <c r="L808">
        <f>IFERROR(MATCH(ROW()-1,Расчет!$J$2:$J$3001,0),"")</f>
        <v/>
      </c>
    </row>
    <row r="809">
      <c r="A809">
        <f>IF($L809="","",B809&amp;"."&amp;C809&amp;"-"&amp;D809&amp;"-"&amp;H809&amp;"."&amp;I809&amp;"."&amp;J809)</f>
        <v/>
      </c>
      <c r="B809">
        <f>IF($L809="","",INDEX(Расчет!$A$2:$A$3001,$L809))</f>
        <v/>
      </c>
      <c r="C809">
        <f>IF($L809="","",INDEX(Расчет!$B$2:$B$3001,$L809))</f>
        <v/>
      </c>
      <c r="D809">
        <f>IF($L809="","",IF(ISNUMBER(FIND("(",INDEX(Расчет!$C$2:$C$3001,$L809))),SUBSTITUTE(MID(INDEX(Расчет!$C$2:$C$3001,$L809),FIND("(",INDEX(Расчет!$C$2:$C$3001,$L809))+1,99),")",""),INDEX(Расчет!$C$2:$C$3001,$L809)))</f>
        <v/>
      </c>
      <c r="E809">
        <f>IF($L809="","",INDEX(Расчет!$D$2:$D$3001,$L809))</f>
        <v/>
      </c>
      <c r="F809">
        <f>IF($L809="","",INDEX(Расчет!$E$2:$E$3001,$L809))</f>
        <v/>
      </c>
      <c r="G809">
        <f>IF($L809="","",IFERROR(--LEFT(INDEX(Расчет!$C$2:$C$3001,$L809),FIND("(",INDEX(Расчет!$C$2:$C$3001,$L809))-1),IFERROR(--LEFT(INDEX(Расчет!$C$2:$C$3001,$L809),1),"")))</f>
        <v/>
      </c>
      <c r="H809">
        <f>IF($L809="","",SUMIFS(Расчет!$G$2:$G$3001,Расчет!$I$2:$I$3001,$K809,Расчет!$H$2:$H$3001,1))</f>
        <v/>
      </c>
      <c r="I809">
        <f>IF($L809="","",SUMIFS(Расчет!$G$2:$G$3001,Расчет!$I$2:$I$3001,$K809,Расчет!$H$2:$H$3001,2))</f>
        <v/>
      </c>
      <c r="J809">
        <f>IF($L809="","",SUMIFS(Расчет!$G$2:$G$3001,Расчет!$I$2:$I$3001,$K809,Расчет!$H$2:$H$3001,3))</f>
        <v/>
      </c>
      <c r="K809">
        <f>IF($L809="","",INDEX(Расчет!$I$2:$I$3001,$L809))</f>
        <v/>
      </c>
      <c r="L809">
        <f>IFERROR(MATCH(ROW()-1,Расчет!$J$2:$J$3001,0),"")</f>
        <v/>
      </c>
    </row>
    <row r="810">
      <c r="A810">
        <f>IF($L810="","",B810&amp;"."&amp;C810&amp;"-"&amp;D810&amp;"-"&amp;H810&amp;"."&amp;I810&amp;"."&amp;J810)</f>
        <v/>
      </c>
      <c r="B810">
        <f>IF($L810="","",INDEX(Расчет!$A$2:$A$3001,$L810))</f>
        <v/>
      </c>
      <c r="C810">
        <f>IF($L810="","",INDEX(Расчет!$B$2:$B$3001,$L810))</f>
        <v/>
      </c>
      <c r="D810">
        <f>IF($L810="","",IF(ISNUMBER(FIND("(",INDEX(Расчет!$C$2:$C$3001,$L810))),SUBSTITUTE(MID(INDEX(Расчет!$C$2:$C$3001,$L810),FIND("(",INDEX(Расчет!$C$2:$C$3001,$L810))+1,99),")",""),INDEX(Расчет!$C$2:$C$3001,$L810)))</f>
        <v/>
      </c>
      <c r="E810">
        <f>IF($L810="","",INDEX(Расчет!$D$2:$D$3001,$L810))</f>
        <v/>
      </c>
      <c r="F810">
        <f>IF($L810="","",INDEX(Расчет!$E$2:$E$3001,$L810))</f>
        <v/>
      </c>
      <c r="G810">
        <f>IF($L810="","",IFERROR(--LEFT(INDEX(Расчет!$C$2:$C$3001,$L810),FIND("(",INDEX(Расчет!$C$2:$C$3001,$L810))-1),IFERROR(--LEFT(INDEX(Расчет!$C$2:$C$3001,$L810),1),"")))</f>
        <v/>
      </c>
      <c r="H810">
        <f>IF($L810="","",SUMIFS(Расчет!$G$2:$G$3001,Расчет!$I$2:$I$3001,$K810,Расчет!$H$2:$H$3001,1))</f>
        <v/>
      </c>
      <c r="I810">
        <f>IF($L810="","",SUMIFS(Расчет!$G$2:$G$3001,Расчет!$I$2:$I$3001,$K810,Расчет!$H$2:$H$3001,2))</f>
        <v/>
      </c>
      <c r="J810">
        <f>IF($L810="","",SUMIFS(Расчет!$G$2:$G$3001,Расчет!$I$2:$I$3001,$K810,Расчет!$H$2:$H$3001,3))</f>
        <v/>
      </c>
      <c r="K810">
        <f>IF($L810="","",INDEX(Расчет!$I$2:$I$3001,$L810))</f>
        <v/>
      </c>
      <c r="L810">
        <f>IFERROR(MATCH(ROW()-1,Расчет!$J$2:$J$3001,0),"")</f>
        <v/>
      </c>
    </row>
    <row r="811">
      <c r="A811">
        <f>IF($L811="","",B811&amp;"."&amp;C811&amp;"-"&amp;D811&amp;"-"&amp;H811&amp;"."&amp;I811&amp;"."&amp;J811)</f>
        <v/>
      </c>
      <c r="B811">
        <f>IF($L811="","",INDEX(Расчет!$A$2:$A$3001,$L811))</f>
        <v/>
      </c>
      <c r="C811">
        <f>IF($L811="","",INDEX(Расчет!$B$2:$B$3001,$L811))</f>
        <v/>
      </c>
      <c r="D811">
        <f>IF($L811="","",IF(ISNUMBER(FIND("(",INDEX(Расчет!$C$2:$C$3001,$L811))),SUBSTITUTE(MID(INDEX(Расчет!$C$2:$C$3001,$L811),FIND("(",INDEX(Расчет!$C$2:$C$3001,$L811))+1,99),")",""),INDEX(Расчет!$C$2:$C$3001,$L811)))</f>
        <v/>
      </c>
      <c r="E811">
        <f>IF($L811="","",INDEX(Расчет!$D$2:$D$3001,$L811))</f>
        <v/>
      </c>
      <c r="F811">
        <f>IF($L811="","",INDEX(Расчет!$E$2:$E$3001,$L811))</f>
        <v/>
      </c>
      <c r="G811">
        <f>IF($L811="","",IFERROR(--LEFT(INDEX(Расчет!$C$2:$C$3001,$L811),FIND("(",INDEX(Расчет!$C$2:$C$3001,$L811))-1),IFERROR(--LEFT(INDEX(Расчет!$C$2:$C$3001,$L811),1),"")))</f>
        <v/>
      </c>
      <c r="H811">
        <f>IF($L811="","",SUMIFS(Расчет!$G$2:$G$3001,Расчет!$I$2:$I$3001,$K811,Расчет!$H$2:$H$3001,1))</f>
        <v/>
      </c>
      <c r="I811">
        <f>IF($L811="","",SUMIFS(Расчет!$G$2:$G$3001,Расчет!$I$2:$I$3001,$K811,Расчет!$H$2:$H$3001,2))</f>
        <v/>
      </c>
      <c r="J811">
        <f>IF($L811="","",SUMIFS(Расчет!$G$2:$G$3001,Расчет!$I$2:$I$3001,$K811,Расчет!$H$2:$H$3001,3))</f>
        <v/>
      </c>
      <c r="K811">
        <f>IF($L811="","",INDEX(Расчет!$I$2:$I$3001,$L811))</f>
        <v/>
      </c>
      <c r="L811">
        <f>IFERROR(MATCH(ROW()-1,Расчет!$J$2:$J$3001,0),"")</f>
        <v/>
      </c>
    </row>
    <row r="812">
      <c r="A812">
        <f>IF($L812="","",B812&amp;"."&amp;C812&amp;"-"&amp;D812&amp;"-"&amp;H812&amp;"."&amp;I812&amp;"."&amp;J812)</f>
        <v/>
      </c>
      <c r="B812">
        <f>IF($L812="","",INDEX(Расчет!$A$2:$A$3001,$L812))</f>
        <v/>
      </c>
      <c r="C812">
        <f>IF($L812="","",INDEX(Расчет!$B$2:$B$3001,$L812))</f>
        <v/>
      </c>
      <c r="D812">
        <f>IF($L812="","",IF(ISNUMBER(FIND("(",INDEX(Расчет!$C$2:$C$3001,$L812))),SUBSTITUTE(MID(INDEX(Расчет!$C$2:$C$3001,$L812),FIND("(",INDEX(Расчет!$C$2:$C$3001,$L812))+1,99),")",""),INDEX(Расчет!$C$2:$C$3001,$L812)))</f>
        <v/>
      </c>
      <c r="E812">
        <f>IF($L812="","",INDEX(Расчет!$D$2:$D$3001,$L812))</f>
        <v/>
      </c>
      <c r="F812">
        <f>IF($L812="","",INDEX(Расчет!$E$2:$E$3001,$L812))</f>
        <v/>
      </c>
      <c r="G812">
        <f>IF($L812="","",IFERROR(--LEFT(INDEX(Расчет!$C$2:$C$3001,$L812),FIND("(",INDEX(Расчет!$C$2:$C$3001,$L812))-1),IFERROR(--LEFT(INDEX(Расчет!$C$2:$C$3001,$L812),1),"")))</f>
        <v/>
      </c>
      <c r="H812">
        <f>IF($L812="","",SUMIFS(Расчет!$G$2:$G$3001,Расчет!$I$2:$I$3001,$K812,Расчет!$H$2:$H$3001,1))</f>
        <v/>
      </c>
      <c r="I812">
        <f>IF($L812="","",SUMIFS(Расчет!$G$2:$G$3001,Расчет!$I$2:$I$3001,$K812,Расчет!$H$2:$H$3001,2))</f>
        <v/>
      </c>
      <c r="J812">
        <f>IF($L812="","",SUMIFS(Расчет!$G$2:$G$3001,Расчет!$I$2:$I$3001,$K812,Расчет!$H$2:$H$3001,3))</f>
        <v/>
      </c>
      <c r="K812">
        <f>IF($L812="","",INDEX(Расчет!$I$2:$I$3001,$L812))</f>
        <v/>
      </c>
      <c r="L812">
        <f>IFERROR(MATCH(ROW()-1,Расчет!$J$2:$J$3001,0),"")</f>
        <v/>
      </c>
    </row>
    <row r="813">
      <c r="A813">
        <f>IF($L813="","",B813&amp;"."&amp;C813&amp;"-"&amp;D813&amp;"-"&amp;H813&amp;"."&amp;I813&amp;"."&amp;J813)</f>
        <v/>
      </c>
      <c r="B813">
        <f>IF($L813="","",INDEX(Расчет!$A$2:$A$3001,$L813))</f>
        <v/>
      </c>
      <c r="C813">
        <f>IF($L813="","",INDEX(Расчет!$B$2:$B$3001,$L813))</f>
        <v/>
      </c>
      <c r="D813">
        <f>IF($L813="","",IF(ISNUMBER(FIND("(",INDEX(Расчет!$C$2:$C$3001,$L813))),SUBSTITUTE(MID(INDEX(Расчет!$C$2:$C$3001,$L813),FIND("(",INDEX(Расчет!$C$2:$C$3001,$L813))+1,99),")",""),INDEX(Расчет!$C$2:$C$3001,$L813)))</f>
        <v/>
      </c>
      <c r="E813">
        <f>IF($L813="","",INDEX(Расчет!$D$2:$D$3001,$L813))</f>
        <v/>
      </c>
      <c r="F813">
        <f>IF($L813="","",INDEX(Расчет!$E$2:$E$3001,$L813))</f>
        <v/>
      </c>
      <c r="G813">
        <f>IF($L813="","",IFERROR(--LEFT(INDEX(Расчет!$C$2:$C$3001,$L813),FIND("(",INDEX(Расчет!$C$2:$C$3001,$L813))-1),IFERROR(--LEFT(INDEX(Расчет!$C$2:$C$3001,$L813),1),"")))</f>
        <v/>
      </c>
      <c r="H813">
        <f>IF($L813="","",SUMIFS(Расчет!$G$2:$G$3001,Расчет!$I$2:$I$3001,$K813,Расчет!$H$2:$H$3001,1))</f>
        <v/>
      </c>
      <c r="I813">
        <f>IF($L813="","",SUMIFS(Расчет!$G$2:$G$3001,Расчет!$I$2:$I$3001,$K813,Расчет!$H$2:$H$3001,2))</f>
        <v/>
      </c>
      <c r="J813">
        <f>IF($L813="","",SUMIFS(Расчет!$G$2:$G$3001,Расчет!$I$2:$I$3001,$K813,Расчет!$H$2:$H$3001,3))</f>
        <v/>
      </c>
      <c r="K813">
        <f>IF($L813="","",INDEX(Расчет!$I$2:$I$3001,$L813))</f>
        <v/>
      </c>
      <c r="L813">
        <f>IFERROR(MATCH(ROW()-1,Расчет!$J$2:$J$3001,0),"")</f>
        <v/>
      </c>
    </row>
    <row r="814">
      <c r="A814">
        <f>IF($L814="","",B814&amp;"."&amp;C814&amp;"-"&amp;D814&amp;"-"&amp;H814&amp;"."&amp;I814&amp;"."&amp;J814)</f>
        <v/>
      </c>
      <c r="B814">
        <f>IF($L814="","",INDEX(Расчет!$A$2:$A$3001,$L814))</f>
        <v/>
      </c>
      <c r="C814">
        <f>IF($L814="","",INDEX(Расчет!$B$2:$B$3001,$L814))</f>
        <v/>
      </c>
      <c r="D814">
        <f>IF($L814="","",IF(ISNUMBER(FIND("(",INDEX(Расчет!$C$2:$C$3001,$L814))),SUBSTITUTE(MID(INDEX(Расчет!$C$2:$C$3001,$L814),FIND("(",INDEX(Расчет!$C$2:$C$3001,$L814))+1,99),")",""),INDEX(Расчет!$C$2:$C$3001,$L814)))</f>
        <v/>
      </c>
      <c r="E814">
        <f>IF($L814="","",INDEX(Расчет!$D$2:$D$3001,$L814))</f>
        <v/>
      </c>
      <c r="F814">
        <f>IF($L814="","",INDEX(Расчет!$E$2:$E$3001,$L814))</f>
        <v/>
      </c>
      <c r="G814">
        <f>IF($L814="","",IFERROR(--LEFT(INDEX(Расчет!$C$2:$C$3001,$L814),FIND("(",INDEX(Расчет!$C$2:$C$3001,$L814))-1),IFERROR(--LEFT(INDEX(Расчет!$C$2:$C$3001,$L814),1),"")))</f>
        <v/>
      </c>
      <c r="H814">
        <f>IF($L814="","",SUMIFS(Расчет!$G$2:$G$3001,Расчет!$I$2:$I$3001,$K814,Расчет!$H$2:$H$3001,1))</f>
        <v/>
      </c>
      <c r="I814">
        <f>IF($L814="","",SUMIFS(Расчет!$G$2:$G$3001,Расчет!$I$2:$I$3001,$K814,Расчет!$H$2:$H$3001,2))</f>
        <v/>
      </c>
      <c r="J814">
        <f>IF($L814="","",SUMIFS(Расчет!$G$2:$G$3001,Расчет!$I$2:$I$3001,$K814,Расчет!$H$2:$H$3001,3))</f>
        <v/>
      </c>
      <c r="K814">
        <f>IF($L814="","",INDEX(Расчет!$I$2:$I$3001,$L814))</f>
        <v/>
      </c>
      <c r="L814">
        <f>IFERROR(MATCH(ROW()-1,Расчет!$J$2:$J$3001,0),"")</f>
        <v/>
      </c>
    </row>
    <row r="815">
      <c r="A815">
        <f>IF($L815="","",B815&amp;"."&amp;C815&amp;"-"&amp;D815&amp;"-"&amp;H815&amp;"."&amp;I815&amp;"."&amp;J815)</f>
        <v/>
      </c>
      <c r="B815">
        <f>IF($L815="","",INDEX(Расчет!$A$2:$A$3001,$L815))</f>
        <v/>
      </c>
      <c r="C815">
        <f>IF($L815="","",INDEX(Расчет!$B$2:$B$3001,$L815))</f>
        <v/>
      </c>
      <c r="D815">
        <f>IF($L815="","",IF(ISNUMBER(FIND("(",INDEX(Расчет!$C$2:$C$3001,$L815))),SUBSTITUTE(MID(INDEX(Расчет!$C$2:$C$3001,$L815),FIND("(",INDEX(Расчет!$C$2:$C$3001,$L815))+1,99),")",""),INDEX(Расчет!$C$2:$C$3001,$L815)))</f>
        <v/>
      </c>
      <c r="E815">
        <f>IF($L815="","",INDEX(Расчет!$D$2:$D$3001,$L815))</f>
        <v/>
      </c>
      <c r="F815">
        <f>IF($L815="","",INDEX(Расчет!$E$2:$E$3001,$L815))</f>
        <v/>
      </c>
      <c r="G815">
        <f>IF($L815="","",IFERROR(--LEFT(INDEX(Расчет!$C$2:$C$3001,$L815),FIND("(",INDEX(Расчет!$C$2:$C$3001,$L815))-1),IFERROR(--LEFT(INDEX(Расчет!$C$2:$C$3001,$L815),1),"")))</f>
        <v/>
      </c>
      <c r="H815">
        <f>IF($L815="","",SUMIFS(Расчет!$G$2:$G$3001,Расчет!$I$2:$I$3001,$K815,Расчет!$H$2:$H$3001,1))</f>
        <v/>
      </c>
      <c r="I815">
        <f>IF($L815="","",SUMIFS(Расчет!$G$2:$G$3001,Расчет!$I$2:$I$3001,$K815,Расчет!$H$2:$H$3001,2))</f>
        <v/>
      </c>
      <c r="J815">
        <f>IF($L815="","",SUMIFS(Расчет!$G$2:$G$3001,Расчет!$I$2:$I$3001,$K815,Расчет!$H$2:$H$3001,3))</f>
        <v/>
      </c>
      <c r="K815">
        <f>IF($L815="","",INDEX(Расчет!$I$2:$I$3001,$L815))</f>
        <v/>
      </c>
      <c r="L815">
        <f>IFERROR(MATCH(ROW()-1,Расчет!$J$2:$J$3001,0),"")</f>
        <v/>
      </c>
    </row>
    <row r="816">
      <c r="A816">
        <f>IF($L816="","",B816&amp;"."&amp;C816&amp;"-"&amp;D816&amp;"-"&amp;H816&amp;"."&amp;I816&amp;"."&amp;J816)</f>
        <v/>
      </c>
      <c r="B816">
        <f>IF($L816="","",INDEX(Расчет!$A$2:$A$3001,$L816))</f>
        <v/>
      </c>
      <c r="C816">
        <f>IF($L816="","",INDEX(Расчет!$B$2:$B$3001,$L816))</f>
        <v/>
      </c>
      <c r="D816">
        <f>IF($L816="","",IF(ISNUMBER(FIND("(",INDEX(Расчет!$C$2:$C$3001,$L816))),SUBSTITUTE(MID(INDEX(Расчет!$C$2:$C$3001,$L816),FIND("(",INDEX(Расчет!$C$2:$C$3001,$L816))+1,99),")",""),INDEX(Расчет!$C$2:$C$3001,$L816)))</f>
        <v/>
      </c>
      <c r="E816">
        <f>IF($L816="","",INDEX(Расчет!$D$2:$D$3001,$L816))</f>
        <v/>
      </c>
      <c r="F816">
        <f>IF($L816="","",INDEX(Расчет!$E$2:$E$3001,$L816))</f>
        <v/>
      </c>
      <c r="G816">
        <f>IF($L816="","",IFERROR(--LEFT(INDEX(Расчет!$C$2:$C$3001,$L816),FIND("(",INDEX(Расчет!$C$2:$C$3001,$L816))-1),IFERROR(--LEFT(INDEX(Расчет!$C$2:$C$3001,$L816),1),"")))</f>
        <v/>
      </c>
      <c r="H816">
        <f>IF($L816="","",SUMIFS(Расчет!$G$2:$G$3001,Расчет!$I$2:$I$3001,$K816,Расчет!$H$2:$H$3001,1))</f>
        <v/>
      </c>
      <c r="I816">
        <f>IF($L816="","",SUMIFS(Расчет!$G$2:$G$3001,Расчет!$I$2:$I$3001,$K816,Расчет!$H$2:$H$3001,2))</f>
        <v/>
      </c>
      <c r="J816">
        <f>IF($L816="","",SUMIFS(Расчет!$G$2:$G$3001,Расчет!$I$2:$I$3001,$K816,Расчет!$H$2:$H$3001,3))</f>
        <v/>
      </c>
      <c r="K816">
        <f>IF($L816="","",INDEX(Расчет!$I$2:$I$3001,$L816))</f>
        <v/>
      </c>
      <c r="L816">
        <f>IFERROR(MATCH(ROW()-1,Расчет!$J$2:$J$3001,0),"")</f>
        <v/>
      </c>
    </row>
    <row r="817">
      <c r="A817">
        <f>IF($L817="","",B817&amp;"."&amp;C817&amp;"-"&amp;D817&amp;"-"&amp;H817&amp;"."&amp;I817&amp;"."&amp;J817)</f>
        <v/>
      </c>
      <c r="B817">
        <f>IF($L817="","",INDEX(Расчет!$A$2:$A$3001,$L817))</f>
        <v/>
      </c>
      <c r="C817">
        <f>IF($L817="","",INDEX(Расчет!$B$2:$B$3001,$L817))</f>
        <v/>
      </c>
      <c r="D817">
        <f>IF($L817="","",IF(ISNUMBER(FIND("(",INDEX(Расчет!$C$2:$C$3001,$L817))),SUBSTITUTE(MID(INDEX(Расчет!$C$2:$C$3001,$L817),FIND("(",INDEX(Расчет!$C$2:$C$3001,$L817))+1,99),")",""),INDEX(Расчет!$C$2:$C$3001,$L817)))</f>
        <v/>
      </c>
      <c r="E817">
        <f>IF($L817="","",INDEX(Расчет!$D$2:$D$3001,$L817))</f>
        <v/>
      </c>
      <c r="F817">
        <f>IF($L817="","",INDEX(Расчет!$E$2:$E$3001,$L817))</f>
        <v/>
      </c>
      <c r="G817">
        <f>IF($L817="","",IFERROR(--LEFT(INDEX(Расчет!$C$2:$C$3001,$L817),FIND("(",INDEX(Расчет!$C$2:$C$3001,$L817))-1),IFERROR(--LEFT(INDEX(Расчет!$C$2:$C$3001,$L817),1),"")))</f>
        <v/>
      </c>
      <c r="H817">
        <f>IF($L817="","",SUMIFS(Расчет!$G$2:$G$3001,Расчет!$I$2:$I$3001,$K817,Расчет!$H$2:$H$3001,1))</f>
        <v/>
      </c>
      <c r="I817">
        <f>IF($L817="","",SUMIFS(Расчет!$G$2:$G$3001,Расчет!$I$2:$I$3001,$K817,Расчет!$H$2:$H$3001,2))</f>
        <v/>
      </c>
      <c r="J817">
        <f>IF($L817="","",SUMIFS(Расчет!$G$2:$G$3001,Расчет!$I$2:$I$3001,$K817,Расчет!$H$2:$H$3001,3))</f>
        <v/>
      </c>
      <c r="K817">
        <f>IF($L817="","",INDEX(Расчет!$I$2:$I$3001,$L817))</f>
        <v/>
      </c>
      <c r="L817">
        <f>IFERROR(MATCH(ROW()-1,Расчет!$J$2:$J$3001,0),"")</f>
        <v/>
      </c>
    </row>
    <row r="818">
      <c r="A818">
        <f>IF($L818="","",B818&amp;"."&amp;C818&amp;"-"&amp;D818&amp;"-"&amp;H818&amp;"."&amp;I818&amp;"."&amp;J818)</f>
        <v/>
      </c>
      <c r="B818">
        <f>IF($L818="","",INDEX(Расчет!$A$2:$A$3001,$L818))</f>
        <v/>
      </c>
      <c r="C818">
        <f>IF($L818="","",INDEX(Расчет!$B$2:$B$3001,$L818))</f>
        <v/>
      </c>
      <c r="D818">
        <f>IF($L818="","",IF(ISNUMBER(FIND("(",INDEX(Расчет!$C$2:$C$3001,$L818))),SUBSTITUTE(MID(INDEX(Расчет!$C$2:$C$3001,$L818),FIND("(",INDEX(Расчет!$C$2:$C$3001,$L818))+1,99),")",""),INDEX(Расчет!$C$2:$C$3001,$L818)))</f>
        <v/>
      </c>
      <c r="E818">
        <f>IF($L818="","",INDEX(Расчет!$D$2:$D$3001,$L818))</f>
        <v/>
      </c>
      <c r="F818">
        <f>IF($L818="","",INDEX(Расчет!$E$2:$E$3001,$L818))</f>
        <v/>
      </c>
      <c r="G818">
        <f>IF($L818="","",IFERROR(--LEFT(INDEX(Расчет!$C$2:$C$3001,$L818),FIND("(",INDEX(Расчет!$C$2:$C$3001,$L818))-1),IFERROR(--LEFT(INDEX(Расчет!$C$2:$C$3001,$L818),1),"")))</f>
        <v/>
      </c>
      <c r="H818">
        <f>IF($L818="","",SUMIFS(Расчет!$G$2:$G$3001,Расчет!$I$2:$I$3001,$K818,Расчет!$H$2:$H$3001,1))</f>
        <v/>
      </c>
      <c r="I818">
        <f>IF($L818="","",SUMIFS(Расчет!$G$2:$G$3001,Расчет!$I$2:$I$3001,$K818,Расчет!$H$2:$H$3001,2))</f>
        <v/>
      </c>
      <c r="J818">
        <f>IF($L818="","",SUMIFS(Расчет!$G$2:$G$3001,Расчет!$I$2:$I$3001,$K818,Расчет!$H$2:$H$3001,3))</f>
        <v/>
      </c>
      <c r="K818">
        <f>IF($L818="","",INDEX(Расчет!$I$2:$I$3001,$L818))</f>
        <v/>
      </c>
      <c r="L818">
        <f>IFERROR(MATCH(ROW()-1,Расчет!$J$2:$J$3001,0),"")</f>
        <v/>
      </c>
    </row>
    <row r="819">
      <c r="A819">
        <f>IF($L819="","",B819&amp;"."&amp;C819&amp;"-"&amp;D819&amp;"-"&amp;H819&amp;"."&amp;I819&amp;"."&amp;J819)</f>
        <v/>
      </c>
      <c r="B819">
        <f>IF($L819="","",INDEX(Расчет!$A$2:$A$3001,$L819))</f>
        <v/>
      </c>
      <c r="C819">
        <f>IF($L819="","",INDEX(Расчет!$B$2:$B$3001,$L819))</f>
        <v/>
      </c>
      <c r="D819">
        <f>IF($L819="","",IF(ISNUMBER(FIND("(",INDEX(Расчет!$C$2:$C$3001,$L819))),SUBSTITUTE(MID(INDEX(Расчет!$C$2:$C$3001,$L819),FIND("(",INDEX(Расчет!$C$2:$C$3001,$L819))+1,99),")",""),INDEX(Расчет!$C$2:$C$3001,$L819)))</f>
        <v/>
      </c>
      <c r="E819">
        <f>IF($L819="","",INDEX(Расчет!$D$2:$D$3001,$L819))</f>
        <v/>
      </c>
      <c r="F819">
        <f>IF($L819="","",INDEX(Расчет!$E$2:$E$3001,$L819))</f>
        <v/>
      </c>
      <c r="G819">
        <f>IF($L819="","",IFERROR(--LEFT(INDEX(Расчет!$C$2:$C$3001,$L819),FIND("(",INDEX(Расчет!$C$2:$C$3001,$L819))-1),IFERROR(--LEFT(INDEX(Расчет!$C$2:$C$3001,$L819),1),"")))</f>
        <v/>
      </c>
      <c r="H819">
        <f>IF($L819="","",SUMIFS(Расчет!$G$2:$G$3001,Расчет!$I$2:$I$3001,$K819,Расчет!$H$2:$H$3001,1))</f>
        <v/>
      </c>
      <c r="I819">
        <f>IF($L819="","",SUMIFS(Расчет!$G$2:$G$3001,Расчет!$I$2:$I$3001,$K819,Расчет!$H$2:$H$3001,2))</f>
        <v/>
      </c>
      <c r="J819">
        <f>IF($L819="","",SUMIFS(Расчет!$G$2:$G$3001,Расчет!$I$2:$I$3001,$K819,Расчет!$H$2:$H$3001,3))</f>
        <v/>
      </c>
      <c r="K819">
        <f>IF($L819="","",INDEX(Расчет!$I$2:$I$3001,$L819))</f>
        <v/>
      </c>
      <c r="L819">
        <f>IFERROR(MATCH(ROW()-1,Расчет!$J$2:$J$3001,0),"")</f>
        <v/>
      </c>
    </row>
    <row r="820">
      <c r="A820">
        <f>IF($L820="","",B820&amp;"."&amp;C820&amp;"-"&amp;D820&amp;"-"&amp;H820&amp;"."&amp;I820&amp;"."&amp;J820)</f>
        <v/>
      </c>
      <c r="B820">
        <f>IF($L820="","",INDEX(Расчет!$A$2:$A$3001,$L820))</f>
        <v/>
      </c>
      <c r="C820">
        <f>IF($L820="","",INDEX(Расчет!$B$2:$B$3001,$L820))</f>
        <v/>
      </c>
      <c r="D820">
        <f>IF($L820="","",IF(ISNUMBER(FIND("(",INDEX(Расчет!$C$2:$C$3001,$L820))),SUBSTITUTE(MID(INDEX(Расчет!$C$2:$C$3001,$L820),FIND("(",INDEX(Расчет!$C$2:$C$3001,$L820))+1,99),")",""),INDEX(Расчет!$C$2:$C$3001,$L820)))</f>
        <v/>
      </c>
      <c r="E820">
        <f>IF($L820="","",INDEX(Расчет!$D$2:$D$3001,$L820))</f>
        <v/>
      </c>
      <c r="F820">
        <f>IF($L820="","",INDEX(Расчет!$E$2:$E$3001,$L820))</f>
        <v/>
      </c>
      <c r="G820">
        <f>IF($L820="","",IFERROR(--LEFT(INDEX(Расчет!$C$2:$C$3001,$L820),FIND("(",INDEX(Расчет!$C$2:$C$3001,$L820))-1),IFERROR(--LEFT(INDEX(Расчет!$C$2:$C$3001,$L820),1),"")))</f>
        <v/>
      </c>
      <c r="H820">
        <f>IF($L820="","",SUMIFS(Расчет!$G$2:$G$3001,Расчет!$I$2:$I$3001,$K820,Расчет!$H$2:$H$3001,1))</f>
        <v/>
      </c>
      <c r="I820">
        <f>IF($L820="","",SUMIFS(Расчет!$G$2:$G$3001,Расчет!$I$2:$I$3001,$K820,Расчет!$H$2:$H$3001,2))</f>
        <v/>
      </c>
      <c r="J820">
        <f>IF($L820="","",SUMIFS(Расчет!$G$2:$G$3001,Расчет!$I$2:$I$3001,$K820,Расчет!$H$2:$H$3001,3))</f>
        <v/>
      </c>
      <c r="K820">
        <f>IF($L820="","",INDEX(Расчет!$I$2:$I$3001,$L820))</f>
        <v/>
      </c>
      <c r="L820">
        <f>IFERROR(MATCH(ROW()-1,Расчет!$J$2:$J$3001,0),"")</f>
        <v/>
      </c>
    </row>
    <row r="821">
      <c r="A821">
        <f>IF($L821="","",B821&amp;"."&amp;C821&amp;"-"&amp;D821&amp;"-"&amp;H821&amp;"."&amp;I821&amp;"."&amp;J821)</f>
        <v/>
      </c>
      <c r="B821">
        <f>IF($L821="","",INDEX(Расчет!$A$2:$A$3001,$L821))</f>
        <v/>
      </c>
      <c r="C821">
        <f>IF($L821="","",INDEX(Расчет!$B$2:$B$3001,$L821))</f>
        <v/>
      </c>
      <c r="D821">
        <f>IF($L821="","",IF(ISNUMBER(FIND("(",INDEX(Расчет!$C$2:$C$3001,$L821))),SUBSTITUTE(MID(INDEX(Расчет!$C$2:$C$3001,$L821),FIND("(",INDEX(Расчет!$C$2:$C$3001,$L821))+1,99),")",""),INDEX(Расчет!$C$2:$C$3001,$L821)))</f>
        <v/>
      </c>
      <c r="E821">
        <f>IF($L821="","",INDEX(Расчет!$D$2:$D$3001,$L821))</f>
        <v/>
      </c>
      <c r="F821">
        <f>IF($L821="","",INDEX(Расчет!$E$2:$E$3001,$L821))</f>
        <v/>
      </c>
      <c r="G821">
        <f>IF($L821="","",IFERROR(--LEFT(INDEX(Расчет!$C$2:$C$3001,$L821),FIND("(",INDEX(Расчет!$C$2:$C$3001,$L821))-1),IFERROR(--LEFT(INDEX(Расчет!$C$2:$C$3001,$L821),1),"")))</f>
        <v/>
      </c>
      <c r="H821">
        <f>IF($L821="","",SUMIFS(Расчет!$G$2:$G$3001,Расчет!$I$2:$I$3001,$K821,Расчет!$H$2:$H$3001,1))</f>
        <v/>
      </c>
      <c r="I821">
        <f>IF($L821="","",SUMIFS(Расчет!$G$2:$G$3001,Расчет!$I$2:$I$3001,$K821,Расчет!$H$2:$H$3001,2))</f>
        <v/>
      </c>
      <c r="J821">
        <f>IF($L821="","",SUMIFS(Расчет!$G$2:$G$3001,Расчет!$I$2:$I$3001,$K821,Расчет!$H$2:$H$3001,3))</f>
        <v/>
      </c>
      <c r="K821">
        <f>IF($L821="","",INDEX(Расчет!$I$2:$I$3001,$L821))</f>
        <v/>
      </c>
      <c r="L821">
        <f>IFERROR(MATCH(ROW()-1,Расчет!$J$2:$J$3001,0),"")</f>
        <v/>
      </c>
    </row>
    <row r="822">
      <c r="A822">
        <f>IF($L822="","",B822&amp;"."&amp;C822&amp;"-"&amp;D822&amp;"-"&amp;H822&amp;"."&amp;I822&amp;"."&amp;J822)</f>
        <v/>
      </c>
      <c r="B822">
        <f>IF($L822="","",INDEX(Расчет!$A$2:$A$3001,$L822))</f>
        <v/>
      </c>
      <c r="C822">
        <f>IF($L822="","",INDEX(Расчет!$B$2:$B$3001,$L822))</f>
        <v/>
      </c>
      <c r="D822">
        <f>IF($L822="","",IF(ISNUMBER(FIND("(",INDEX(Расчет!$C$2:$C$3001,$L822))),SUBSTITUTE(MID(INDEX(Расчет!$C$2:$C$3001,$L822),FIND("(",INDEX(Расчет!$C$2:$C$3001,$L822))+1,99),")",""),INDEX(Расчет!$C$2:$C$3001,$L822)))</f>
        <v/>
      </c>
      <c r="E822">
        <f>IF($L822="","",INDEX(Расчет!$D$2:$D$3001,$L822))</f>
        <v/>
      </c>
      <c r="F822">
        <f>IF($L822="","",INDEX(Расчет!$E$2:$E$3001,$L822))</f>
        <v/>
      </c>
      <c r="G822">
        <f>IF($L822="","",IFERROR(--LEFT(INDEX(Расчет!$C$2:$C$3001,$L822),FIND("(",INDEX(Расчет!$C$2:$C$3001,$L822))-1),IFERROR(--LEFT(INDEX(Расчет!$C$2:$C$3001,$L822),1),"")))</f>
        <v/>
      </c>
      <c r="H822">
        <f>IF($L822="","",SUMIFS(Расчет!$G$2:$G$3001,Расчет!$I$2:$I$3001,$K822,Расчет!$H$2:$H$3001,1))</f>
        <v/>
      </c>
      <c r="I822">
        <f>IF($L822="","",SUMIFS(Расчет!$G$2:$G$3001,Расчет!$I$2:$I$3001,$K822,Расчет!$H$2:$H$3001,2))</f>
        <v/>
      </c>
      <c r="J822">
        <f>IF($L822="","",SUMIFS(Расчет!$G$2:$G$3001,Расчет!$I$2:$I$3001,$K822,Расчет!$H$2:$H$3001,3))</f>
        <v/>
      </c>
      <c r="K822">
        <f>IF($L822="","",INDEX(Расчет!$I$2:$I$3001,$L822))</f>
        <v/>
      </c>
      <c r="L822">
        <f>IFERROR(MATCH(ROW()-1,Расчет!$J$2:$J$3001,0),"")</f>
        <v/>
      </c>
    </row>
    <row r="823">
      <c r="A823">
        <f>IF($L823="","",B823&amp;"."&amp;C823&amp;"-"&amp;D823&amp;"-"&amp;H823&amp;"."&amp;I823&amp;"."&amp;J823)</f>
        <v/>
      </c>
      <c r="B823">
        <f>IF($L823="","",INDEX(Расчет!$A$2:$A$3001,$L823))</f>
        <v/>
      </c>
      <c r="C823">
        <f>IF($L823="","",INDEX(Расчет!$B$2:$B$3001,$L823))</f>
        <v/>
      </c>
      <c r="D823">
        <f>IF($L823="","",IF(ISNUMBER(FIND("(",INDEX(Расчет!$C$2:$C$3001,$L823))),SUBSTITUTE(MID(INDEX(Расчет!$C$2:$C$3001,$L823),FIND("(",INDEX(Расчет!$C$2:$C$3001,$L823))+1,99),")",""),INDEX(Расчет!$C$2:$C$3001,$L823)))</f>
        <v/>
      </c>
      <c r="E823">
        <f>IF($L823="","",INDEX(Расчет!$D$2:$D$3001,$L823))</f>
        <v/>
      </c>
      <c r="F823">
        <f>IF($L823="","",INDEX(Расчет!$E$2:$E$3001,$L823))</f>
        <v/>
      </c>
      <c r="G823">
        <f>IF($L823="","",IFERROR(--LEFT(INDEX(Расчет!$C$2:$C$3001,$L823),FIND("(",INDEX(Расчет!$C$2:$C$3001,$L823))-1),IFERROR(--LEFT(INDEX(Расчет!$C$2:$C$3001,$L823),1),"")))</f>
        <v/>
      </c>
      <c r="H823">
        <f>IF($L823="","",SUMIFS(Расчет!$G$2:$G$3001,Расчет!$I$2:$I$3001,$K823,Расчет!$H$2:$H$3001,1))</f>
        <v/>
      </c>
      <c r="I823">
        <f>IF($L823="","",SUMIFS(Расчет!$G$2:$G$3001,Расчет!$I$2:$I$3001,$K823,Расчет!$H$2:$H$3001,2))</f>
        <v/>
      </c>
      <c r="J823">
        <f>IF($L823="","",SUMIFS(Расчет!$G$2:$G$3001,Расчет!$I$2:$I$3001,$K823,Расчет!$H$2:$H$3001,3))</f>
        <v/>
      </c>
      <c r="K823">
        <f>IF($L823="","",INDEX(Расчет!$I$2:$I$3001,$L823))</f>
        <v/>
      </c>
      <c r="L823">
        <f>IFERROR(MATCH(ROW()-1,Расчет!$J$2:$J$3001,0),"")</f>
        <v/>
      </c>
    </row>
    <row r="824">
      <c r="A824">
        <f>IF($L824="","",B824&amp;"."&amp;C824&amp;"-"&amp;D824&amp;"-"&amp;H824&amp;"."&amp;I824&amp;"."&amp;J824)</f>
        <v/>
      </c>
      <c r="B824">
        <f>IF($L824="","",INDEX(Расчет!$A$2:$A$3001,$L824))</f>
        <v/>
      </c>
      <c r="C824">
        <f>IF($L824="","",INDEX(Расчет!$B$2:$B$3001,$L824))</f>
        <v/>
      </c>
      <c r="D824">
        <f>IF($L824="","",IF(ISNUMBER(FIND("(",INDEX(Расчет!$C$2:$C$3001,$L824))),SUBSTITUTE(MID(INDEX(Расчет!$C$2:$C$3001,$L824),FIND("(",INDEX(Расчет!$C$2:$C$3001,$L824))+1,99),")",""),INDEX(Расчет!$C$2:$C$3001,$L824)))</f>
        <v/>
      </c>
      <c r="E824">
        <f>IF($L824="","",INDEX(Расчет!$D$2:$D$3001,$L824))</f>
        <v/>
      </c>
      <c r="F824">
        <f>IF($L824="","",INDEX(Расчет!$E$2:$E$3001,$L824))</f>
        <v/>
      </c>
      <c r="G824">
        <f>IF($L824="","",IFERROR(--LEFT(INDEX(Расчет!$C$2:$C$3001,$L824),FIND("(",INDEX(Расчет!$C$2:$C$3001,$L824))-1),IFERROR(--LEFT(INDEX(Расчет!$C$2:$C$3001,$L824),1),"")))</f>
        <v/>
      </c>
      <c r="H824">
        <f>IF($L824="","",SUMIFS(Расчет!$G$2:$G$3001,Расчет!$I$2:$I$3001,$K824,Расчет!$H$2:$H$3001,1))</f>
        <v/>
      </c>
      <c r="I824">
        <f>IF($L824="","",SUMIFS(Расчет!$G$2:$G$3001,Расчет!$I$2:$I$3001,$K824,Расчет!$H$2:$H$3001,2))</f>
        <v/>
      </c>
      <c r="J824">
        <f>IF($L824="","",SUMIFS(Расчет!$G$2:$G$3001,Расчет!$I$2:$I$3001,$K824,Расчет!$H$2:$H$3001,3))</f>
        <v/>
      </c>
      <c r="K824">
        <f>IF($L824="","",INDEX(Расчет!$I$2:$I$3001,$L824))</f>
        <v/>
      </c>
      <c r="L824">
        <f>IFERROR(MATCH(ROW()-1,Расчет!$J$2:$J$3001,0),"")</f>
        <v/>
      </c>
    </row>
    <row r="825">
      <c r="A825">
        <f>IF($L825="","",B825&amp;"."&amp;C825&amp;"-"&amp;D825&amp;"-"&amp;H825&amp;"."&amp;I825&amp;"."&amp;J825)</f>
        <v/>
      </c>
      <c r="B825">
        <f>IF($L825="","",INDEX(Расчет!$A$2:$A$3001,$L825))</f>
        <v/>
      </c>
      <c r="C825">
        <f>IF($L825="","",INDEX(Расчет!$B$2:$B$3001,$L825))</f>
        <v/>
      </c>
      <c r="D825">
        <f>IF($L825="","",IF(ISNUMBER(FIND("(",INDEX(Расчет!$C$2:$C$3001,$L825))),SUBSTITUTE(MID(INDEX(Расчет!$C$2:$C$3001,$L825),FIND("(",INDEX(Расчет!$C$2:$C$3001,$L825))+1,99),")",""),INDEX(Расчет!$C$2:$C$3001,$L825)))</f>
        <v/>
      </c>
      <c r="E825">
        <f>IF($L825="","",INDEX(Расчет!$D$2:$D$3001,$L825))</f>
        <v/>
      </c>
      <c r="F825">
        <f>IF($L825="","",INDEX(Расчет!$E$2:$E$3001,$L825))</f>
        <v/>
      </c>
      <c r="G825">
        <f>IF($L825="","",IFERROR(--LEFT(INDEX(Расчет!$C$2:$C$3001,$L825),FIND("(",INDEX(Расчет!$C$2:$C$3001,$L825))-1),IFERROR(--LEFT(INDEX(Расчет!$C$2:$C$3001,$L825),1),"")))</f>
        <v/>
      </c>
      <c r="H825">
        <f>IF($L825="","",SUMIFS(Расчет!$G$2:$G$3001,Расчет!$I$2:$I$3001,$K825,Расчет!$H$2:$H$3001,1))</f>
        <v/>
      </c>
      <c r="I825">
        <f>IF($L825="","",SUMIFS(Расчет!$G$2:$G$3001,Расчет!$I$2:$I$3001,$K825,Расчет!$H$2:$H$3001,2))</f>
        <v/>
      </c>
      <c r="J825">
        <f>IF($L825="","",SUMIFS(Расчет!$G$2:$G$3001,Расчет!$I$2:$I$3001,$K825,Расчет!$H$2:$H$3001,3))</f>
        <v/>
      </c>
      <c r="K825">
        <f>IF($L825="","",INDEX(Расчет!$I$2:$I$3001,$L825))</f>
        <v/>
      </c>
      <c r="L825">
        <f>IFERROR(MATCH(ROW()-1,Расчет!$J$2:$J$3001,0),"")</f>
        <v/>
      </c>
    </row>
    <row r="826">
      <c r="A826">
        <f>IF($L826="","",B826&amp;"."&amp;C826&amp;"-"&amp;D826&amp;"-"&amp;H826&amp;"."&amp;I826&amp;"."&amp;J826)</f>
        <v/>
      </c>
      <c r="B826">
        <f>IF($L826="","",INDEX(Расчет!$A$2:$A$3001,$L826))</f>
        <v/>
      </c>
      <c r="C826">
        <f>IF($L826="","",INDEX(Расчет!$B$2:$B$3001,$L826))</f>
        <v/>
      </c>
      <c r="D826">
        <f>IF($L826="","",IF(ISNUMBER(FIND("(",INDEX(Расчет!$C$2:$C$3001,$L826))),SUBSTITUTE(MID(INDEX(Расчет!$C$2:$C$3001,$L826),FIND("(",INDEX(Расчет!$C$2:$C$3001,$L826))+1,99),")",""),INDEX(Расчет!$C$2:$C$3001,$L826)))</f>
        <v/>
      </c>
      <c r="E826">
        <f>IF($L826="","",INDEX(Расчет!$D$2:$D$3001,$L826))</f>
        <v/>
      </c>
      <c r="F826">
        <f>IF($L826="","",INDEX(Расчет!$E$2:$E$3001,$L826))</f>
        <v/>
      </c>
      <c r="G826">
        <f>IF($L826="","",IFERROR(--LEFT(INDEX(Расчет!$C$2:$C$3001,$L826),FIND("(",INDEX(Расчет!$C$2:$C$3001,$L826))-1),IFERROR(--LEFT(INDEX(Расчет!$C$2:$C$3001,$L826),1),"")))</f>
        <v/>
      </c>
      <c r="H826">
        <f>IF($L826="","",SUMIFS(Расчет!$G$2:$G$3001,Расчет!$I$2:$I$3001,$K826,Расчет!$H$2:$H$3001,1))</f>
        <v/>
      </c>
      <c r="I826">
        <f>IF($L826="","",SUMIFS(Расчет!$G$2:$G$3001,Расчет!$I$2:$I$3001,$K826,Расчет!$H$2:$H$3001,2))</f>
        <v/>
      </c>
      <c r="J826">
        <f>IF($L826="","",SUMIFS(Расчет!$G$2:$G$3001,Расчет!$I$2:$I$3001,$K826,Расчет!$H$2:$H$3001,3))</f>
        <v/>
      </c>
      <c r="K826">
        <f>IF($L826="","",INDEX(Расчет!$I$2:$I$3001,$L826))</f>
        <v/>
      </c>
      <c r="L826">
        <f>IFERROR(MATCH(ROW()-1,Расчет!$J$2:$J$3001,0),"")</f>
        <v/>
      </c>
    </row>
    <row r="827">
      <c r="A827">
        <f>IF($L827="","",B827&amp;"."&amp;C827&amp;"-"&amp;D827&amp;"-"&amp;H827&amp;"."&amp;I827&amp;"."&amp;J827)</f>
        <v/>
      </c>
      <c r="B827">
        <f>IF($L827="","",INDEX(Расчет!$A$2:$A$3001,$L827))</f>
        <v/>
      </c>
      <c r="C827">
        <f>IF($L827="","",INDEX(Расчет!$B$2:$B$3001,$L827))</f>
        <v/>
      </c>
      <c r="D827">
        <f>IF($L827="","",IF(ISNUMBER(FIND("(",INDEX(Расчет!$C$2:$C$3001,$L827))),SUBSTITUTE(MID(INDEX(Расчет!$C$2:$C$3001,$L827),FIND("(",INDEX(Расчет!$C$2:$C$3001,$L827))+1,99),")",""),INDEX(Расчет!$C$2:$C$3001,$L827)))</f>
        <v/>
      </c>
      <c r="E827">
        <f>IF($L827="","",INDEX(Расчет!$D$2:$D$3001,$L827))</f>
        <v/>
      </c>
      <c r="F827">
        <f>IF($L827="","",INDEX(Расчет!$E$2:$E$3001,$L827))</f>
        <v/>
      </c>
      <c r="G827">
        <f>IF($L827="","",IFERROR(--LEFT(INDEX(Расчет!$C$2:$C$3001,$L827),FIND("(",INDEX(Расчет!$C$2:$C$3001,$L827))-1),IFERROR(--LEFT(INDEX(Расчет!$C$2:$C$3001,$L827),1),"")))</f>
        <v/>
      </c>
      <c r="H827">
        <f>IF($L827="","",SUMIFS(Расчет!$G$2:$G$3001,Расчет!$I$2:$I$3001,$K827,Расчет!$H$2:$H$3001,1))</f>
        <v/>
      </c>
      <c r="I827">
        <f>IF($L827="","",SUMIFS(Расчет!$G$2:$G$3001,Расчет!$I$2:$I$3001,$K827,Расчет!$H$2:$H$3001,2))</f>
        <v/>
      </c>
      <c r="J827">
        <f>IF($L827="","",SUMIFS(Расчет!$G$2:$G$3001,Расчет!$I$2:$I$3001,$K827,Расчет!$H$2:$H$3001,3))</f>
        <v/>
      </c>
      <c r="K827">
        <f>IF($L827="","",INDEX(Расчет!$I$2:$I$3001,$L827))</f>
        <v/>
      </c>
      <c r="L827">
        <f>IFERROR(MATCH(ROW()-1,Расчет!$J$2:$J$3001,0),"")</f>
        <v/>
      </c>
    </row>
    <row r="828">
      <c r="A828">
        <f>IF($L828="","",B828&amp;"."&amp;C828&amp;"-"&amp;D828&amp;"-"&amp;H828&amp;"."&amp;I828&amp;"."&amp;J828)</f>
        <v/>
      </c>
      <c r="B828">
        <f>IF($L828="","",INDEX(Расчет!$A$2:$A$3001,$L828))</f>
        <v/>
      </c>
      <c r="C828">
        <f>IF($L828="","",INDEX(Расчет!$B$2:$B$3001,$L828))</f>
        <v/>
      </c>
      <c r="D828">
        <f>IF($L828="","",IF(ISNUMBER(FIND("(",INDEX(Расчет!$C$2:$C$3001,$L828))),SUBSTITUTE(MID(INDEX(Расчет!$C$2:$C$3001,$L828),FIND("(",INDEX(Расчет!$C$2:$C$3001,$L828))+1,99),")",""),INDEX(Расчет!$C$2:$C$3001,$L828)))</f>
        <v/>
      </c>
      <c r="E828">
        <f>IF($L828="","",INDEX(Расчет!$D$2:$D$3001,$L828))</f>
        <v/>
      </c>
      <c r="F828">
        <f>IF($L828="","",INDEX(Расчет!$E$2:$E$3001,$L828))</f>
        <v/>
      </c>
      <c r="G828">
        <f>IF($L828="","",IFERROR(--LEFT(INDEX(Расчет!$C$2:$C$3001,$L828),FIND("(",INDEX(Расчет!$C$2:$C$3001,$L828))-1),IFERROR(--LEFT(INDEX(Расчет!$C$2:$C$3001,$L828),1),"")))</f>
        <v/>
      </c>
      <c r="H828">
        <f>IF($L828="","",SUMIFS(Расчет!$G$2:$G$3001,Расчет!$I$2:$I$3001,$K828,Расчет!$H$2:$H$3001,1))</f>
        <v/>
      </c>
      <c r="I828">
        <f>IF($L828="","",SUMIFS(Расчет!$G$2:$G$3001,Расчет!$I$2:$I$3001,$K828,Расчет!$H$2:$H$3001,2))</f>
        <v/>
      </c>
      <c r="J828">
        <f>IF($L828="","",SUMIFS(Расчет!$G$2:$G$3001,Расчет!$I$2:$I$3001,$K828,Расчет!$H$2:$H$3001,3))</f>
        <v/>
      </c>
      <c r="K828">
        <f>IF($L828="","",INDEX(Расчет!$I$2:$I$3001,$L828))</f>
        <v/>
      </c>
      <c r="L828">
        <f>IFERROR(MATCH(ROW()-1,Расчет!$J$2:$J$3001,0),"")</f>
        <v/>
      </c>
    </row>
    <row r="829">
      <c r="A829">
        <f>IF($L829="","",B829&amp;"."&amp;C829&amp;"-"&amp;D829&amp;"-"&amp;H829&amp;"."&amp;I829&amp;"."&amp;J829)</f>
        <v/>
      </c>
      <c r="B829">
        <f>IF($L829="","",INDEX(Расчет!$A$2:$A$3001,$L829))</f>
        <v/>
      </c>
      <c r="C829">
        <f>IF($L829="","",INDEX(Расчет!$B$2:$B$3001,$L829))</f>
        <v/>
      </c>
      <c r="D829">
        <f>IF($L829="","",IF(ISNUMBER(FIND("(",INDEX(Расчет!$C$2:$C$3001,$L829))),SUBSTITUTE(MID(INDEX(Расчет!$C$2:$C$3001,$L829),FIND("(",INDEX(Расчет!$C$2:$C$3001,$L829))+1,99),")",""),INDEX(Расчет!$C$2:$C$3001,$L829)))</f>
        <v/>
      </c>
      <c r="E829">
        <f>IF($L829="","",INDEX(Расчет!$D$2:$D$3001,$L829))</f>
        <v/>
      </c>
      <c r="F829">
        <f>IF($L829="","",INDEX(Расчет!$E$2:$E$3001,$L829))</f>
        <v/>
      </c>
      <c r="G829">
        <f>IF($L829="","",IFERROR(--LEFT(INDEX(Расчет!$C$2:$C$3001,$L829),FIND("(",INDEX(Расчет!$C$2:$C$3001,$L829))-1),IFERROR(--LEFT(INDEX(Расчет!$C$2:$C$3001,$L829),1),"")))</f>
        <v/>
      </c>
      <c r="H829">
        <f>IF($L829="","",SUMIFS(Расчет!$G$2:$G$3001,Расчет!$I$2:$I$3001,$K829,Расчет!$H$2:$H$3001,1))</f>
        <v/>
      </c>
      <c r="I829">
        <f>IF($L829="","",SUMIFS(Расчет!$G$2:$G$3001,Расчет!$I$2:$I$3001,$K829,Расчет!$H$2:$H$3001,2))</f>
        <v/>
      </c>
      <c r="J829">
        <f>IF($L829="","",SUMIFS(Расчет!$G$2:$G$3001,Расчет!$I$2:$I$3001,$K829,Расчет!$H$2:$H$3001,3))</f>
        <v/>
      </c>
      <c r="K829">
        <f>IF($L829="","",INDEX(Расчет!$I$2:$I$3001,$L829))</f>
        <v/>
      </c>
      <c r="L829">
        <f>IFERROR(MATCH(ROW()-1,Расчет!$J$2:$J$3001,0),"")</f>
        <v/>
      </c>
    </row>
    <row r="830">
      <c r="A830">
        <f>IF($L830="","",B830&amp;"."&amp;C830&amp;"-"&amp;D830&amp;"-"&amp;H830&amp;"."&amp;I830&amp;"."&amp;J830)</f>
        <v/>
      </c>
      <c r="B830">
        <f>IF($L830="","",INDEX(Расчет!$A$2:$A$3001,$L830))</f>
        <v/>
      </c>
      <c r="C830">
        <f>IF($L830="","",INDEX(Расчет!$B$2:$B$3001,$L830))</f>
        <v/>
      </c>
      <c r="D830">
        <f>IF($L830="","",IF(ISNUMBER(FIND("(",INDEX(Расчет!$C$2:$C$3001,$L830))),SUBSTITUTE(MID(INDEX(Расчет!$C$2:$C$3001,$L830),FIND("(",INDEX(Расчет!$C$2:$C$3001,$L830))+1,99),")",""),INDEX(Расчет!$C$2:$C$3001,$L830)))</f>
        <v/>
      </c>
      <c r="E830">
        <f>IF($L830="","",INDEX(Расчет!$D$2:$D$3001,$L830))</f>
        <v/>
      </c>
      <c r="F830">
        <f>IF($L830="","",INDEX(Расчет!$E$2:$E$3001,$L830))</f>
        <v/>
      </c>
      <c r="G830">
        <f>IF($L830="","",IFERROR(--LEFT(INDEX(Расчет!$C$2:$C$3001,$L830),FIND("(",INDEX(Расчет!$C$2:$C$3001,$L830))-1),IFERROR(--LEFT(INDEX(Расчет!$C$2:$C$3001,$L830),1),"")))</f>
        <v/>
      </c>
      <c r="H830">
        <f>IF($L830="","",SUMIFS(Расчет!$G$2:$G$3001,Расчет!$I$2:$I$3001,$K830,Расчет!$H$2:$H$3001,1))</f>
        <v/>
      </c>
      <c r="I830">
        <f>IF($L830="","",SUMIFS(Расчет!$G$2:$G$3001,Расчет!$I$2:$I$3001,$K830,Расчет!$H$2:$H$3001,2))</f>
        <v/>
      </c>
      <c r="J830">
        <f>IF($L830="","",SUMIFS(Расчет!$G$2:$G$3001,Расчет!$I$2:$I$3001,$K830,Расчет!$H$2:$H$3001,3))</f>
        <v/>
      </c>
      <c r="K830">
        <f>IF($L830="","",INDEX(Расчет!$I$2:$I$3001,$L830))</f>
        <v/>
      </c>
      <c r="L830">
        <f>IFERROR(MATCH(ROW()-1,Расчет!$J$2:$J$3001,0),"")</f>
        <v/>
      </c>
    </row>
    <row r="831">
      <c r="A831">
        <f>IF($L831="","",B831&amp;"."&amp;C831&amp;"-"&amp;D831&amp;"-"&amp;H831&amp;"."&amp;I831&amp;"."&amp;J831)</f>
        <v/>
      </c>
      <c r="B831">
        <f>IF($L831="","",INDEX(Расчет!$A$2:$A$3001,$L831))</f>
        <v/>
      </c>
      <c r="C831">
        <f>IF($L831="","",INDEX(Расчет!$B$2:$B$3001,$L831))</f>
        <v/>
      </c>
      <c r="D831">
        <f>IF($L831="","",IF(ISNUMBER(FIND("(",INDEX(Расчет!$C$2:$C$3001,$L831))),SUBSTITUTE(MID(INDEX(Расчет!$C$2:$C$3001,$L831),FIND("(",INDEX(Расчет!$C$2:$C$3001,$L831))+1,99),")",""),INDEX(Расчет!$C$2:$C$3001,$L831)))</f>
        <v/>
      </c>
      <c r="E831">
        <f>IF($L831="","",INDEX(Расчет!$D$2:$D$3001,$L831))</f>
        <v/>
      </c>
      <c r="F831">
        <f>IF($L831="","",INDEX(Расчет!$E$2:$E$3001,$L831))</f>
        <v/>
      </c>
      <c r="G831">
        <f>IF($L831="","",IFERROR(--LEFT(INDEX(Расчет!$C$2:$C$3001,$L831),FIND("(",INDEX(Расчет!$C$2:$C$3001,$L831))-1),IFERROR(--LEFT(INDEX(Расчет!$C$2:$C$3001,$L831),1),"")))</f>
        <v/>
      </c>
      <c r="H831">
        <f>IF($L831="","",SUMIFS(Расчет!$G$2:$G$3001,Расчет!$I$2:$I$3001,$K831,Расчет!$H$2:$H$3001,1))</f>
        <v/>
      </c>
      <c r="I831">
        <f>IF($L831="","",SUMIFS(Расчет!$G$2:$G$3001,Расчет!$I$2:$I$3001,$K831,Расчет!$H$2:$H$3001,2))</f>
        <v/>
      </c>
      <c r="J831">
        <f>IF($L831="","",SUMIFS(Расчет!$G$2:$G$3001,Расчет!$I$2:$I$3001,$K831,Расчет!$H$2:$H$3001,3))</f>
        <v/>
      </c>
      <c r="K831">
        <f>IF($L831="","",INDEX(Расчет!$I$2:$I$3001,$L831))</f>
        <v/>
      </c>
      <c r="L831">
        <f>IFERROR(MATCH(ROW()-1,Расчет!$J$2:$J$3001,0),"")</f>
        <v/>
      </c>
    </row>
    <row r="832">
      <c r="A832">
        <f>IF($L832="","",B832&amp;"."&amp;C832&amp;"-"&amp;D832&amp;"-"&amp;H832&amp;"."&amp;I832&amp;"."&amp;J832)</f>
        <v/>
      </c>
      <c r="B832">
        <f>IF($L832="","",INDEX(Расчет!$A$2:$A$3001,$L832))</f>
        <v/>
      </c>
      <c r="C832">
        <f>IF($L832="","",INDEX(Расчет!$B$2:$B$3001,$L832))</f>
        <v/>
      </c>
      <c r="D832">
        <f>IF($L832="","",IF(ISNUMBER(FIND("(",INDEX(Расчет!$C$2:$C$3001,$L832))),SUBSTITUTE(MID(INDEX(Расчет!$C$2:$C$3001,$L832),FIND("(",INDEX(Расчет!$C$2:$C$3001,$L832))+1,99),")",""),INDEX(Расчет!$C$2:$C$3001,$L832)))</f>
        <v/>
      </c>
      <c r="E832">
        <f>IF($L832="","",INDEX(Расчет!$D$2:$D$3001,$L832))</f>
        <v/>
      </c>
      <c r="F832">
        <f>IF($L832="","",INDEX(Расчет!$E$2:$E$3001,$L832))</f>
        <v/>
      </c>
      <c r="G832">
        <f>IF($L832="","",IFERROR(--LEFT(INDEX(Расчет!$C$2:$C$3001,$L832),FIND("(",INDEX(Расчет!$C$2:$C$3001,$L832))-1),IFERROR(--LEFT(INDEX(Расчет!$C$2:$C$3001,$L832),1),"")))</f>
        <v/>
      </c>
      <c r="H832">
        <f>IF($L832="","",SUMIFS(Расчет!$G$2:$G$3001,Расчет!$I$2:$I$3001,$K832,Расчет!$H$2:$H$3001,1))</f>
        <v/>
      </c>
      <c r="I832">
        <f>IF($L832="","",SUMIFS(Расчет!$G$2:$G$3001,Расчет!$I$2:$I$3001,$K832,Расчет!$H$2:$H$3001,2))</f>
        <v/>
      </c>
      <c r="J832">
        <f>IF($L832="","",SUMIFS(Расчет!$G$2:$G$3001,Расчет!$I$2:$I$3001,$K832,Расчет!$H$2:$H$3001,3))</f>
        <v/>
      </c>
      <c r="K832">
        <f>IF($L832="","",INDEX(Расчет!$I$2:$I$3001,$L832))</f>
        <v/>
      </c>
      <c r="L832">
        <f>IFERROR(MATCH(ROW()-1,Расчет!$J$2:$J$3001,0),"")</f>
        <v/>
      </c>
    </row>
    <row r="833">
      <c r="A833">
        <f>IF($L833="","",B833&amp;"."&amp;C833&amp;"-"&amp;D833&amp;"-"&amp;H833&amp;"."&amp;I833&amp;"."&amp;J833)</f>
        <v/>
      </c>
      <c r="B833">
        <f>IF($L833="","",INDEX(Расчет!$A$2:$A$3001,$L833))</f>
        <v/>
      </c>
      <c r="C833">
        <f>IF($L833="","",INDEX(Расчет!$B$2:$B$3001,$L833))</f>
        <v/>
      </c>
      <c r="D833">
        <f>IF($L833="","",IF(ISNUMBER(FIND("(",INDEX(Расчет!$C$2:$C$3001,$L833))),SUBSTITUTE(MID(INDEX(Расчет!$C$2:$C$3001,$L833),FIND("(",INDEX(Расчет!$C$2:$C$3001,$L833))+1,99),")",""),INDEX(Расчет!$C$2:$C$3001,$L833)))</f>
        <v/>
      </c>
      <c r="E833">
        <f>IF($L833="","",INDEX(Расчет!$D$2:$D$3001,$L833))</f>
        <v/>
      </c>
      <c r="F833">
        <f>IF($L833="","",INDEX(Расчет!$E$2:$E$3001,$L833))</f>
        <v/>
      </c>
      <c r="G833">
        <f>IF($L833="","",IFERROR(--LEFT(INDEX(Расчет!$C$2:$C$3001,$L833),FIND("(",INDEX(Расчет!$C$2:$C$3001,$L833))-1),IFERROR(--LEFT(INDEX(Расчет!$C$2:$C$3001,$L833),1),"")))</f>
        <v/>
      </c>
      <c r="H833">
        <f>IF($L833="","",SUMIFS(Расчет!$G$2:$G$3001,Расчет!$I$2:$I$3001,$K833,Расчет!$H$2:$H$3001,1))</f>
        <v/>
      </c>
      <c r="I833">
        <f>IF($L833="","",SUMIFS(Расчет!$G$2:$G$3001,Расчет!$I$2:$I$3001,$K833,Расчет!$H$2:$H$3001,2))</f>
        <v/>
      </c>
      <c r="J833">
        <f>IF($L833="","",SUMIFS(Расчет!$G$2:$G$3001,Расчет!$I$2:$I$3001,$K833,Расчет!$H$2:$H$3001,3))</f>
        <v/>
      </c>
      <c r="K833">
        <f>IF($L833="","",INDEX(Расчет!$I$2:$I$3001,$L833))</f>
        <v/>
      </c>
      <c r="L833">
        <f>IFERROR(MATCH(ROW()-1,Расчет!$J$2:$J$3001,0),"")</f>
        <v/>
      </c>
    </row>
    <row r="834">
      <c r="A834">
        <f>IF($L834="","",B834&amp;"."&amp;C834&amp;"-"&amp;D834&amp;"-"&amp;H834&amp;"."&amp;I834&amp;"."&amp;J834)</f>
        <v/>
      </c>
      <c r="B834">
        <f>IF($L834="","",INDEX(Расчет!$A$2:$A$3001,$L834))</f>
        <v/>
      </c>
      <c r="C834">
        <f>IF($L834="","",INDEX(Расчет!$B$2:$B$3001,$L834))</f>
        <v/>
      </c>
      <c r="D834">
        <f>IF($L834="","",IF(ISNUMBER(FIND("(",INDEX(Расчет!$C$2:$C$3001,$L834))),SUBSTITUTE(MID(INDEX(Расчет!$C$2:$C$3001,$L834),FIND("(",INDEX(Расчет!$C$2:$C$3001,$L834))+1,99),")",""),INDEX(Расчет!$C$2:$C$3001,$L834)))</f>
        <v/>
      </c>
      <c r="E834">
        <f>IF($L834="","",INDEX(Расчет!$D$2:$D$3001,$L834))</f>
        <v/>
      </c>
      <c r="F834">
        <f>IF($L834="","",INDEX(Расчет!$E$2:$E$3001,$L834))</f>
        <v/>
      </c>
      <c r="G834">
        <f>IF($L834="","",IFERROR(--LEFT(INDEX(Расчет!$C$2:$C$3001,$L834),FIND("(",INDEX(Расчет!$C$2:$C$3001,$L834))-1),IFERROR(--LEFT(INDEX(Расчет!$C$2:$C$3001,$L834),1),"")))</f>
        <v/>
      </c>
      <c r="H834">
        <f>IF($L834="","",SUMIFS(Расчет!$G$2:$G$3001,Расчет!$I$2:$I$3001,$K834,Расчет!$H$2:$H$3001,1))</f>
        <v/>
      </c>
      <c r="I834">
        <f>IF($L834="","",SUMIFS(Расчет!$G$2:$G$3001,Расчет!$I$2:$I$3001,$K834,Расчет!$H$2:$H$3001,2))</f>
        <v/>
      </c>
      <c r="J834">
        <f>IF($L834="","",SUMIFS(Расчет!$G$2:$G$3001,Расчет!$I$2:$I$3001,$K834,Расчет!$H$2:$H$3001,3))</f>
        <v/>
      </c>
      <c r="K834">
        <f>IF($L834="","",INDEX(Расчет!$I$2:$I$3001,$L834))</f>
        <v/>
      </c>
      <c r="L834">
        <f>IFERROR(MATCH(ROW()-1,Расчет!$J$2:$J$3001,0),"")</f>
        <v/>
      </c>
    </row>
    <row r="835">
      <c r="A835">
        <f>IF($L835="","",B835&amp;"."&amp;C835&amp;"-"&amp;D835&amp;"-"&amp;H835&amp;"."&amp;I835&amp;"."&amp;J835)</f>
        <v/>
      </c>
      <c r="B835">
        <f>IF($L835="","",INDEX(Расчет!$A$2:$A$3001,$L835))</f>
        <v/>
      </c>
      <c r="C835">
        <f>IF($L835="","",INDEX(Расчет!$B$2:$B$3001,$L835))</f>
        <v/>
      </c>
      <c r="D835">
        <f>IF($L835="","",IF(ISNUMBER(FIND("(",INDEX(Расчет!$C$2:$C$3001,$L835))),SUBSTITUTE(MID(INDEX(Расчет!$C$2:$C$3001,$L835),FIND("(",INDEX(Расчет!$C$2:$C$3001,$L835))+1,99),")",""),INDEX(Расчет!$C$2:$C$3001,$L835)))</f>
        <v/>
      </c>
      <c r="E835">
        <f>IF($L835="","",INDEX(Расчет!$D$2:$D$3001,$L835))</f>
        <v/>
      </c>
      <c r="F835">
        <f>IF($L835="","",INDEX(Расчет!$E$2:$E$3001,$L835))</f>
        <v/>
      </c>
      <c r="G835">
        <f>IF($L835="","",IFERROR(--LEFT(INDEX(Расчет!$C$2:$C$3001,$L835),FIND("(",INDEX(Расчет!$C$2:$C$3001,$L835))-1),IFERROR(--LEFT(INDEX(Расчет!$C$2:$C$3001,$L835),1),"")))</f>
        <v/>
      </c>
      <c r="H835">
        <f>IF($L835="","",SUMIFS(Расчет!$G$2:$G$3001,Расчет!$I$2:$I$3001,$K835,Расчет!$H$2:$H$3001,1))</f>
        <v/>
      </c>
      <c r="I835">
        <f>IF($L835="","",SUMIFS(Расчет!$G$2:$G$3001,Расчет!$I$2:$I$3001,$K835,Расчет!$H$2:$H$3001,2))</f>
        <v/>
      </c>
      <c r="J835">
        <f>IF($L835="","",SUMIFS(Расчет!$G$2:$G$3001,Расчет!$I$2:$I$3001,$K835,Расчет!$H$2:$H$3001,3))</f>
        <v/>
      </c>
      <c r="K835">
        <f>IF($L835="","",INDEX(Расчет!$I$2:$I$3001,$L835))</f>
        <v/>
      </c>
      <c r="L835">
        <f>IFERROR(MATCH(ROW()-1,Расчет!$J$2:$J$3001,0),"")</f>
        <v/>
      </c>
    </row>
    <row r="836">
      <c r="A836">
        <f>IF($L836="","",B836&amp;"."&amp;C836&amp;"-"&amp;D836&amp;"-"&amp;H836&amp;"."&amp;I836&amp;"."&amp;J836)</f>
        <v/>
      </c>
      <c r="B836">
        <f>IF($L836="","",INDEX(Расчет!$A$2:$A$3001,$L836))</f>
        <v/>
      </c>
      <c r="C836">
        <f>IF($L836="","",INDEX(Расчет!$B$2:$B$3001,$L836))</f>
        <v/>
      </c>
      <c r="D836">
        <f>IF($L836="","",IF(ISNUMBER(FIND("(",INDEX(Расчет!$C$2:$C$3001,$L836))),SUBSTITUTE(MID(INDEX(Расчет!$C$2:$C$3001,$L836),FIND("(",INDEX(Расчет!$C$2:$C$3001,$L836))+1,99),")",""),INDEX(Расчет!$C$2:$C$3001,$L836)))</f>
        <v/>
      </c>
      <c r="E836">
        <f>IF($L836="","",INDEX(Расчет!$D$2:$D$3001,$L836))</f>
        <v/>
      </c>
      <c r="F836">
        <f>IF($L836="","",INDEX(Расчет!$E$2:$E$3001,$L836))</f>
        <v/>
      </c>
      <c r="G836">
        <f>IF($L836="","",IFERROR(--LEFT(INDEX(Расчет!$C$2:$C$3001,$L836),FIND("(",INDEX(Расчет!$C$2:$C$3001,$L836))-1),IFERROR(--LEFT(INDEX(Расчет!$C$2:$C$3001,$L836),1),"")))</f>
        <v/>
      </c>
      <c r="H836">
        <f>IF($L836="","",SUMIFS(Расчет!$G$2:$G$3001,Расчет!$I$2:$I$3001,$K836,Расчет!$H$2:$H$3001,1))</f>
        <v/>
      </c>
      <c r="I836">
        <f>IF($L836="","",SUMIFS(Расчет!$G$2:$G$3001,Расчет!$I$2:$I$3001,$K836,Расчет!$H$2:$H$3001,2))</f>
        <v/>
      </c>
      <c r="J836">
        <f>IF($L836="","",SUMIFS(Расчет!$G$2:$G$3001,Расчет!$I$2:$I$3001,$K836,Расчет!$H$2:$H$3001,3))</f>
        <v/>
      </c>
      <c r="K836">
        <f>IF($L836="","",INDEX(Расчет!$I$2:$I$3001,$L836))</f>
        <v/>
      </c>
      <c r="L836">
        <f>IFERROR(MATCH(ROW()-1,Расчет!$J$2:$J$3001,0),"")</f>
        <v/>
      </c>
    </row>
    <row r="837">
      <c r="A837">
        <f>IF($L837="","",B837&amp;"."&amp;C837&amp;"-"&amp;D837&amp;"-"&amp;H837&amp;"."&amp;I837&amp;"."&amp;J837)</f>
        <v/>
      </c>
      <c r="B837">
        <f>IF($L837="","",INDEX(Расчет!$A$2:$A$3001,$L837))</f>
        <v/>
      </c>
      <c r="C837">
        <f>IF($L837="","",INDEX(Расчет!$B$2:$B$3001,$L837))</f>
        <v/>
      </c>
      <c r="D837">
        <f>IF($L837="","",IF(ISNUMBER(FIND("(",INDEX(Расчет!$C$2:$C$3001,$L837))),SUBSTITUTE(MID(INDEX(Расчет!$C$2:$C$3001,$L837),FIND("(",INDEX(Расчет!$C$2:$C$3001,$L837))+1,99),")",""),INDEX(Расчет!$C$2:$C$3001,$L837)))</f>
        <v/>
      </c>
      <c r="E837">
        <f>IF($L837="","",INDEX(Расчет!$D$2:$D$3001,$L837))</f>
        <v/>
      </c>
      <c r="F837">
        <f>IF($L837="","",INDEX(Расчет!$E$2:$E$3001,$L837))</f>
        <v/>
      </c>
      <c r="G837">
        <f>IF($L837="","",IFERROR(--LEFT(INDEX(Расчет!$C$2:$C$3001,$L837),FIND("(",INDEX(Расчет!$C$2:$C$3001,$L837))-1),IFERROR(--LEFT(INDEX(Расчет!$C$2:$C$3001,$L837),1),"")))</f>
        <v/>
      </c>
      <c r="H837">
        <f>IF($L837="","",SUMIFS(Расчет!$G$2:$G$3001,Расчет!$I$2:$I$3001,$K837,Расчет!$H$2:$H$3001,1))</f>
        <v/>
      </c>
      <c r="I837">
        <f>IF($L837="","",SUMIFS(Расчет!$G$2:$G$3001,Расчет!$I$2:$I$3001,$K837,Расчет!$H$2:$H$3001,2))</f>
        <v/>
      </c>
      <c r="J837">
        <f>IF($L837="","",SUMIFS(Расчет!$G$2:$G$3001,Расчет!$I$2:$I$3001,$K837,Расчет!$H$2:$H$3001,3))</f>
        <v/>
      </c>
      <c r="K837">
        <f>IF($L837="","",INDEX(Расчет!$I$2:$I$3001,$L837))</f>
        <v/>
      </c>
      <c r="L837">
        <f>IFERROR(MATCH(ROW()-1,Расчет!$J$2:$J$3001,0),"")</f>
        <v/>
      </c>
    </row>
    <row r="838">
      <c r="A838">
        <f>IF($L838="","",B838&amp;"."&amp;C838&amp;"-"&amp;D838&amp;"-"&amp;H838&amp;"."&amp;I838&amp;"."&amp;J838)</f>
        <v/>
      </c>
      <c r="B838">
        <f>IF($L838="","",INDEX(Расчет!$A$2:$A$3001,$L838))</f>
        <v/>
      </c>
      <c r="C838">
        <f>IF($L838="","",INDEX(Расчет!$B$2:$B$3001,$L838))</f>
        <v/>
      </c>
      <c r="D838">
        <f>IF($L838="","",IF(ISNUMBER(FIND("(",INDEX(Расчет!$C$2:$C$3001,$L838))),SUBSTITUTE(MID(INDEX(Расчет!$C$2:$C$3001,$L838),FIND("(",INDEX(Расчет!$C$2:$C$3001,$L838))+1,99),")",""),INDEX(Расчет!$C$2:$C$3001,$L838)))</f>
        <v/>
      </c>
      <c r="E838">
        <f>IF($L838="","",INDEX(Расчет!$D$2:$D$3001,$L838))</f>
        <v/>
      </c>
      <c r="F838">
        <f>IF($L838="","",INDEX(Расчет!$E$2:$E$3001,$L838))</f>
        <v/>
      </c>
      <c r="G838">
        <f>IF($L838="","",IFERROR(--LEFT(INDEX(Расчет!$C$2:$C$3001,$L838),FIND("(",INDEX(Расчет!$C$2:$C$3001,$L838))-1),IFERROR(--LEFT(INDEX(Расчет!$C$2:$C$3001,$L838),1),"")))</f>
        <v/>
      </c>
      <c r="H838">
        <f>IF($L838="","",SUMIFS(Расчет!$G$2:$G$3001,Расчет!$I$2:$I$3001,$K838,Расчет!$H$2:$H$3001,1))</f>
        <v/>
      </c>
      <c r="I838">
        <f>IF($L838="","",SUMIFS(Расчет!$G$2:$G$3001,Расчет!$I$2:$I$3001,$K838,Расчет!$H$2:$H$3001,2))</f>
        <v/>
      </c>
      <c r="J838">
        <f>IF($L838="","",SUMIFS(Расчет!$G$2:$G$3001,Расчет!$I$2:$I$3001,$K838,Расчет!$H$2:$H$3001,3))</f>
        <v/>
      </c>
      <c r="K838">
        <f>IF($L838="","",INDEX(Расчет!$I$2:$I$3001,$L838))</f>
        <v/>
      </c>
      <c r="L838">
        <f>IFERROR(MATCH(ROW()-1,Расчет!$J$2:$J$3001,0),"")</f>
        <v/>
      </c>
    </row>
    <row r="839">
      <c r="A839">
        <f>IF($L839="","",B839&amp;"."&amp;C839&amp;"-"&amp;D839&amp;"-"&amp;H839&amp;"."&amp;I839&amp;"."&amp;J839)</f>
        <v/>
      </c>
      <c r="B839">
        <f>IF($L839="","",INDEX(Расчет!$A$2:$A$3001,$L839))</f>
        <v/>
      </c>
      <c r="C839">
        <f>IF($L839="","",INDEX(Расчет!$B$2:$B$3001,$L839))</f>
        <v/>
      </c>
      <c r="D839">
        <f>IF($L839="","",IF(ISNUMBER(FIND("(",INDEX(Расчет!$C$2:$C$3001,$L839))),SUBSTITUTE(MID(INDEX(Расчет!$C$2:$C$3001,$L839),FIND("(",INDEX(Расчет!$C$2:$C$3001,$L839))+1,99),")",""),INDEX(Расчет!$C$2:$C$3001,$L839)))</f>
        <v/>
      </c>
      <c r="E839">
        <f>IF($L839="","",INDEX(Расчет!$D$2:$D$3001,$L839))</f>
        <v/>
      </c>
      <c r="F839">
        <f>IF($L839="","",INDEX(Расчет!$E$2:$E$3001,$L839))</f>
        <v/>
      </c>
      <c r="G839">
        <f>IF($L839="","",IFERROR(--LEFT(INDEX(Расчет!$C$2:$C$3001,$L839),FIND("(",INDEX(Расчет!$C$2:$C$3001,$L839))-1),IFERROR(--LEFT(INDEX(Расчет!$C$2:$C$3001,$L839),1),"")))</f>
        <v/>
      </c>
      <c r="H839">
        <f>IF($L839="","",SUMIFS(Расчет!$G$2:$G$3001,Расчет!$I$2:$I$3001,$K839,Расчет!$H$2:$H$3001,1))</f>
        <v/>
      </c>
      <c r="I839">
        <f>IF($L839="","",SUMIFS(Расчет!$G$2:$G$3001,Расчет!$I$2:$I$3001,$K839,Расчет!$H$2:$H$3001,2))</f>
        <v/>
      </c>
      <c r="J839">
        <f>IF($L839="","",SUMIFS(Расчет!$G$2:$G$3001,Расчет!$I$2:$I$3001,$K839,Расчет!$H$2:$H$3001,3))</f>
        <v/>
      </c>
      <c r="K839">
        <f>IF($L839="","",INDEX(Расчет!$I$2:$I$3001,$L839))</f>
        <v/>
      </c>
      <c r="L839">
        <f>IFERROR(MATCH(ROW()-1,Расчет!$J$2:$J$3001,0),"")</f>
        <v/>
      </c>
    </row>
    <row r="840">
      <c r="A840">
        <f>IF($L840="","",B840&amp;"."&amp;C840&amp;"-"&amp;D840&amp;"-"&amp;H840&amp;"."&amp;I840&amp;"."&amp;J840)</f>
        <v/>
      </c>
      <c r="B840">
        <f>IF($L840="","",INDEX(Расчет!$A$2:$A$3001,$L840))</f>
        <v/>
      </c>
      <c r="C840">
        <f>IF($L840="","",INDEX(Расчет!$B$2:$B$3001,$L840))</f>
        <v/>
      </c>
      <c r="D840">
        <f>IF($L840="","",IF(ISNUMBER(FIND("(",INDEX(Расчет!$C$2:$C$3001,$L840))),SUBSTITUTE(MID(INDEX(Расчет!$C$2:$C$3001,$L840),FIND("(",INDEX(Расчет!$C$2:$C$3001,$L840))+1,99),")",""),INDEX(Расчет!$C$2:$C$3001,$L840)))</f>
        <v/>
      </c>
      <c r="E840">
        <f>IF($L840="","",INDEX(Расчет!$D$2:$D$3001,$L840))</f>
        <v/>
      </c>
      <c r="F840">
        <f>IF($L840="","",INDEX(Расчет!$E$2:$E$3001,$L840))</f>
        <v/>
      </c>
      <c r="G840">
        <f>IF($L840="","",IFERROR(--LEFT(INDEX(Расчет!$C$2:$C$3001,$L840),FIND("(",INDEX(Расчет!$C$2:$C$3001,$L840))-1),IFERROR(--LEFT(INDEX(Расчет!$C$2:$C$3001,$L840),1),"")))</f>
        <v/>
      </c>
      <c r="H840">
        <f>IF($L840="","",SUMIFS(Расчет!$G$2:$G$3001,Расчет!$I$2:$I$3001,$K840,Расчет!$H$2:$H$3001,1))</f>
        <v/>
      </c>
      <c r="I840">
        <f>IF($L840="","",SUMIFS(Расчет!$G$2:$G$3001,Расчет!$I$2:$I$3001,$K840,Расчет!$H$2:$H$3001,2))</f>
        <v/>
      </c>
      <c r="J840">
        <f>IF($L840="","",SUMIFS(Расчет!$G$2:$G$3001,Расчет!$I$2:$I$3001,$K840,Расчет!$H$2:$H$3001,3))</f>
        <v/>
      </c>
      <c r="K840">
        <f>IF($L840="","",INDEX(Расчет!$I$2:$I$3001,$L840))</f>
        <v/>
      </c>
      <c r="L840">
        <f>IFERROR(MATCH(ROW()-1,Расчет!$J$2:$J$3001,0),"")</f>
        <v/>
      </c>
    </row>
    <row r="841">
      <c r="A841">
        <f>IF($L841="","",B841&amp;"."&amp;C841&amp;"-"&amp;D841&amp;"-"&amp;H841&amp;"."&amp;I841&amp;"."&amp;J841)</f>
        <v/>
      </c>
      <c r="B841">
        <f>IF($L841="","",INDEX(Расчет!$A$2:$A$3001,$L841))</f>
        <v/>
      </c>
      <c r="C841">
        <f>IF($L841="","",INDEX(Расчет!$B$2:$B$3001,$L841))</f>
        <v/>
      </c>
      <c r="D841">
        <f>IF($L841="","",IF(ISNUMBER(FIND("(",INDEX(Расчет!$C$2:$C$3001,$L841))),SUBSTITUTE(MID(INDEX(Расчет!$C$2:$C$3001,$L841),FIND("(",INDEX(Расчет!$C$2:$C$3001,$L841))+1,99),")",""),INDEX(Расчет!$C$2:$C$3001,$L841)))</f>
        <v/>
      </c>
      <c r="E841">
        <f>IF($L841="","",INDEX(Расчет!$D$2:$D$3001,$L841))</f>
        <v/>
      </c>
      <c r="F841">
        <f>IF($L841="","",INDEX(Расчет!$E$2:$E$3001,$L841))</f>
        <v/>
      </c>
      <c r="G841">
        <f>IF($L841="","",IFERROR(--LEFT(INDEX(Расчет!$C$2:$C$3001,$L841),FIND("(",INDEX(Расчет!$C$2:$C$3001,$L841))-1),IFERROR(--LEFT(INDEX(Расчет!$C$2:$C$3001,$L841),1),"")))</f>
        <v/>
      </c>
      <c r="H841">
        <f>IF($L841="","",SUMIFS(Расчет!$G$2:$G$3001,Расчет!$I$2:$I$3001,$K841,Расчет!$H$2:$H$3001,1))</f>
        <v/>
      </c>
      <c r="I841">
        <f>IF($L841="","",SUMIFS(Расчет!$G$2:$G$3001,Расчет!$I$2:$I$3001,$K841,Расчет!$H$2:$H$3001,2))</f>
        <v/>
      </c>
      <c r="J841">
        <f>IF($L841="","",SUMIFS(Расчет!$G$2:$G$3001,Расчет!$I$2:$I$3001,$K841,Расчет!$H$2:$H$3001,3))</f>
        <v/>
      </c>
      <c r="K841">
        <f>IF($L841="","",INDEX(Расчет!$I$2:$I$3001,$L841))</f>
        <v/>
      </c>
      <c r="L841">
        <f>IFERROR(MATCH(ROW()-1,Расчет!$J$2:$J$3001,0),"")</f>
        <v/>
      </c>
    </row>
    <row r="842">
      <c r="A842">
        <f>IF($L842="","",B842&amp;"."&amp;C842&amp;"-"&amp;D842&amp;"-"&amp;H842&amp;"."&amp;I842&amp;"."&amp;J842)</f>
        <v/>
      </c>
      <c r="B842">
        <f>IF($L842="","",INDEX(Расчет!$A$2:$A$3001,$L842))</f>
        <v/>
      </c>
      <c r="C842">
        <f>IF($L842="","",INDEX(Расчет!$B$2:$B$3001,$L842))</f>
        <v/>
      </c>
      <c r="D842">
        <f>IF($L842="","",IF(ISNUMBER(FIND("(",INDEX(Расчет!$C$2:$C$3001,$L842))),SUBSTITUTE(MID(INDEX(Расчет!$C$2:$C$3001,$L842),FIND("(",INDEX(Расчет!$C$2:$C$3001,$L842))+1,99),")",""),INDEX(Расчет!$C$2:$C$3001,$L842)))</f>
        <v/>
      </c>
      <c r="E842">
        <f>IF($L842="","",INDEX(Расчет!$D$2:$D$3001,$L842))</f>
        <v/>
      </c>
      <c r="F842">
        <f>IF($L842="","",INDEX(Расчет!$E$2:$E$3001,$L842))</f>
        <v/>
      </c>
      <c r="G842">
        <f>IF($L842="","",IFERROR(--LEFT(INDEX(Расчет!$C$2:$C$3001,$L842),FIND("(",INDEX(Расчет!$C$2:$C$3001,$L842))-1),IFERROR(--LEFT(INDEX(Расчет!$C$2:$C$3001,$L842),1),"")))</f>
        <v/>
      </c>
      <c r="H842">
        <f>IF($L842="","",SUMIFS(Расчет!$G$2:$G$3001,Расчет!$I$2:$I$3001,$K842,Расчет!$H$2:$H$3001,1))</f>
        <v/>
      </c>
      <c r="I842">
        <f>IF($L842="","",SUMIFS(Расчет!$G$2:$G$3001,Расчет!$I$2:$I$3001,$K842,Расчет!$H$2:$H$3001,2))</f>
        <v/>
      </c>
      <c r="J842">
        <f>IF($L842="","",SUMIFS(Расчет!$G$2:$G$3001,Расчет!$I$2:$I$3001,$K842,Расчет!$H$2:$H$3001,3))</f>
        <v/>
      </c>
      <c r="K842">
        <f>IF($L842="","",INDEX(Расчет!$I$2:$I$3001,$L842))</f>
        <v/>
      </c>
      <c r="L842">
        <f>IFERROR(MATCH(ROW()-1,Расчет!$J$2:$J$3001,0),"")</f>
        <v/>
      </c>
    </row>
    <row r="843">
      <c r="A843">
        <f>IF($L843="","",B843&amp;"."&amp;C843&amp;"-"&amp;D843&amp;"-"&amp;H843&amp;"."&amp;I843&amp;"."&amp;J843)</f>
        <v/>
      </c>
      <c r="B843">
        <f>IF($L843="","",INDEX(Расчет!$A$2:$A$3001,$L843))</f>
        <v/>
      </c>
      <c r="C843">
        <f>IF($L843="","",INDEX(Расчет!$B$2:$B$3001,$L843))</f>
        <v/>
      </c>
      <c r="D843">
        <f>IF($L843="","",IF(ISNUMBER(FIND("(",INDEX(Расчет!$C$2:$C$3001,$L843))),SUBSTITUTE(MID(INDEX(Расчет!$C$2:$C$3001,$L843),FIND("(",INDEX(Расчет!$C$2:$C$3001,$L843))+1,99),")",""),INDEX(Расчет!$C$2:$C$3001,$L843)))</f>
        <v/>
      </c>
      <c r="E843">
        <f>IF($L843="","",INDEX(Расчет!$D$2:$D$3001,$L843))</f>
        <v/>
      </c>
      <c r="F843">
        <f>IF($L843="","",INDEX(Расчет!$E$2:$E$3001,$L843))</f>
        <v/>
      </c>
      <c r="G843">
        <f>IF($L843="","",IFERROR(--LEFT(INDEX(Расчет!$C$2:$C$3001,$L843),FIND("(",INDEX(Расчет!$C$2:$C$3001,$L843))-1),IFERROR(--LEFT(INDEX(Расчет!$C$2:$C$3001,$L843),1),"")))</f>
        <v/>
      </c>
      <c r="H843">
        <f>IF($L843="","",SUMIFS(Расчет!$G$2:$G$3001,Расчет!$I$2:$I$3001,$K843,Расчет!$H$2:$H$3001,1))</f>
        <v/>
      </c>
      <c r="I843">
        <f>IF($L843="","",SUMIFS(Расчет!$G$2:$G$3001,Расчет!$I$2:$I$3001,$K843,Расчет!$H$2:$H$3001,2))</f>
        <v/>
      </c>
      <c r="J843">
        <f>IF($L843="","",SUMIFS(Расчет!$G$2:$G$3001,Расчет!$I$2:$I$3001,$K843,Расчет!$H$2:$H$3001,3))</f>
        <v/>
      </c>
      <c r="K843">
        <f>IF($L843="","",INDEX(Расчет!$I$2:$I$3001,$L843))</f>
        <v/>
      </c>
      <c r="L843">
        <f>IFERROR(MATCH(ROW()-1,Расчет!$J$2:$J$3001,0),"")</f>
        <v/>
      </c>
    </row>
    <row r="844">
      <c r="A844">
        <f>IF($L844="","",B844&amp;"."&amp;C844&amp;"-"&amp;D844&amp;"-"&amp;H844&amp;"."&amp;I844&amp;"."&amp;J844)</f>
        <v/>
      </c>
      <c r="B844">
        <f>IF($L844="","",INDEX(Расчет!$A$2:$A$3001,$L844))</f>
        <v/>
      </c>
      <c r="C844">
        <f>IF($L844="","",INDEX(Расчет!$B$2:$B$3001,$L844))</f>
        <v/>
      </c>
      <c r="D844">
        <f>IF($L844="","",IF(ISNUMBER(FIND("(",INDEX(Расчет!$C$2:$C$3001,$L844))),SUBSTITUTE(MID(INDEX(Расчет!$C$2:$C$3001,$L844),FIND("(",INDEX(Расчет!$C$2:$C$3001,$L844))+1,99),")",""),INDEX(Расчет!$C$2:$C$3001,$L844)))</f>
        <v/>
      </c>
      <c r="E844">
        <f>IF($L844="","",INDEX(Расчет!$D$2:$D$3001,$L844))</f>
        <v/>
      </c>
      <c r="F844">
        <f>IF($L844="","",INDEX(Расчет!$E$2:$E$3001,$L844))</f>
        <v/>
      </c>
      <c r="G844">
        <f>IF($L844="","",IFERROR(--LEFT(INDEX(Расчет!$C$2:$C$3001,$L844),FIND("(",INDEX(Расчет!$C$2:$C$3001,$L844))-1),IFERROR(--LEFT(INDEX(Расчет!$C$2:$C$3001,$L844),1),"")))</f>
        <v/>
      </c>
      <c r="H844">
        <f>IF($L844="","",SUMIFS(Расчет!$G$2:$G$3001,Расчет!$I$2:$I$3001,$K844,Расчет!$H$2:$H$3001,1))</f>
        <v/>
      </c>
      <c r="I844">
        <f>IF($L844="","",SUMIFS(Расчет!$G$2:$G$3001,Расчет!$I$2:$I$3001,$K844,Расчет!$H$2:$H$3001,2))</f>
        <v/>
      </c>
      <c r="J844">
        <f>IF($L844="","",SUMIFS(Расчет!$G$2:$G$3001,Расчет!$I$2:$I$3001,$K844,Расчет!$H$2:$H$3001,3))</f>
        <v/>
      </c>
      <c r="K844">
        <f>IF($L844="","",INDEX(Расчет!$I$2:$I$3001,$L844))</f>
        <v/>
      </c>
      <c r="L844">
        <f>IFERROR(MATCH(ROW()-1,Расчет!$J$2:$J$3001,0),"")</f>
        <v/>
      </c>
    </row>
    <row r="845">
      <c r="A845">
        <f>IF($L845="","",B845&amp;"."&amp;C845&amp;"-"&amp;D845&amp;"-"&amp;H845&amp;"."&amp;I845&amp;"."&amp;J845)</f>
        <v/>
      </c>
      <c r="B845">
        <f>IF($L845="","",INDEX(Расчет!$A$2:$A$3001,$L845))</f>
        <v/>
      </c>
      <c r="C845">
        <f>IF($L845="","",INDEX(Расчет!$B$2:$B$3001,$L845))</f>
        <v/>
      </c>
      <c r="D845">
        <f>IF($L845="","",IF(ISNUMBER(FIND("(",INDEX(Расчет!$C$2:$C$3001,$L845))),SUBSTITUTE(MID(INDEX(Расчет!$C$2:$C$3001,$L845),FIND("(",INDEX(Расчет!$C$2:$C$3001,$L845))+1,99),")",""),INDEX(Расчет!$C$2:$C$3001,$L845)))</f>
        <v/>
      </c>
      <c r="E845">
        <f>IF($L845="","",INDEX(Расчет!$D$2:$D$3001,$L845))</f>
        <v/>
      </c>
      <c r="F845">
        <f>IF($L845="","",INDEX(Расчет!$E$2:$E$3001,$L845))</f>
        <v/>
      </c>
      <c r="G845">
        <f>IF($L845="","",IFERROR(--LEFT(INDEX(Расчет!$C$2:$C$3001,$L845),FIND("(",INDEX(Расчет!$C$2:$C$3001,$L845))-1),IFERROR(--LEFT(INDEX(Расчет!$C$2:$C$3001,$L845),1),"")))</f>
        <v/>
      </c>
      <c r="H845">
        <f>IF($L845="","",SUMIFS(Расчет!$G$2:$G$3001,Расчет!$I$2:$I$3001,$K845,Расчет!$H$2:$H$3001,1))</f>
        <v/>
      </c>
      <c r="I845">
        <f>IF($L845="","",SUMIFS(Расчет!$G$2:$G$3001,Расчет!$I$2:$I$3001,$K845,Расчет!$H$2:$H$3001,2))</f>
        <v/>
      </c>
      <c r="J845">
        <f>IF($L845="","",SUMIFS(Расчет!$G$2:$G$3001,Расчет!$I$2:$I$3001,$K845,Расчет!$H$2:$H$3001,3))</f>
        <v/>
      </c>
      <c r="K845">
        <f>IF($L845="","",INDEX(Расчет!$I$2:$I$3001,$L845))</f>
        <v/>
      </c>
      <c r="L845">
        <f>IFERROR(MATCH(ROW()-1,Расчет!$J$2:$J$3001,0),"")</f>
        <v/>
      </c>
    </row>
    <row r="846">
      <c r="A846">
        <f>IF($L846="","",B846&amp;"."&amp;C846&amp;"-"&amp;D846&amp;"-"&amp;H846&amp;"."&amp;I846&amp;"."&amp;J846)</f>
        <v/>
      </c>
      <c r="B846">
        <f>IF($L846="","",INDEX(Расчет!$A$2:$A$3001,$L846))</f>
        <v/>
      </c>
      <c r="C846">
        <f>IF($L846="","",INDEX(Расчет!$B$2:$B$3001,$L846))</f>
        <v/>
      </c>
      <c r="D846">
        <f>IF($L846="","",IF(ISNUMBER(FIND("(",INDEX(Расчет!$C$2:$C$3001,$L846))),SUBSTITUTE(MID(INDEX(Расчет!$C$2:$C$3001,$L846),FIND("(",INDEX(Расчет!$C$2:$C$3001,$L846))+1,99),")",""),INDEX(Расчет!$C$2:$C$3001,$L846)))</f>
        <v/>
      </c>
      <c r="E846">
        <f>IF($L846="","",INDEX(Расчет!$D$2:$D$3001,$L846))</f>
        <v/>
      </c>
      <c r="F846">
        <f>IF($L846="","",INDEX(Расчет!$E$2:$E$3001,$L846))</f>
        <v/>
      </c>
      <c r="G846">
        <f>IF($L846="","",IFERROR(--LEFT(INDEX(Расчет!$C$2:$C$3001,$L846),FIND("(",INDEX(Расчет!$C$2:$C$3001,$L846))-1),IFERROR(--LEFT(INDEX(Расчет!$C$2:$C$3001,$L846),1),"")))</f>
        <v/>
      </c>
      <c r="H846">
        <f>IF($L846="","",SUMIFS(Расчет!$G$2:$G$3001,Расчет!$I$2:$I$3001,$K846,Расчет!$H$2:$H$3001,1))</f>
        <v/>
      </c>
      <c r="I846">
        <f>IF($L846="","",SUMIFS(Расчет!$G$2:$G$3001,Расчет!$I$2:$I$3001,$K846,Расчет!$H$2:$H$3001,2))</f>
        <v/>
      </c>
      <c r="J846">
        <f>IF($L846="","",SUMIFS(Расчет!$G$2:$G$3001,Расчет!$I$2:$I$3001,$K846,Расчет!$H$2:$H$3001,3))</f>
        <v/>
      </c>
      <c r="K846">
        <f>IF($L846="","",INDEX(Расчет!$I$2:$I$3001,$L846))</f>
        <v/>
      </c>
      <c r="L846">
        <f>IFERROR(MATCH(ROW()-1,Расчет!$J$2:$J$3001,0),"")</f>
        <v/>
      </c>
    </row>
    <row r="847">
      <c r="A847">
        <f>IF($L847="","",B847&amp;"."&amp;C847&amp;"-"&amp;D847&amp;"-"&amp;H847&amp;"."&amp;I847&amp;"."&amp;J847)</f>
        <v/>
      </c>
      <c r="B847">
        <f>IF($L847="","",INDEX(Расчет!$A$2:$A$3001,$L847))</f>
        <v/>
      </c>
      <c r="C847">
        <f>IF($L847="","",INDEX(Расчет!$B$2:$B$3001,$L847))</f>
        <v/>
      </c>
      <c r="D847">
        <f>IF($L847="","",IF(ISNUMBER(FIND("(",INDEX(Расчет!$C$2:$C$3001,$L847))),SUBSTITUTE(MID(INDEX(Расчет!$C$2:$C$3001,$L847),FIND("(",INDEX(Расчет!$C$2:$C$3001,$L847))+1,99),")",""),INDEX(Расчет!$C$2:$C$3001,$L847)))</f>
        <v/>
      </c>
      <c r="E847">
        <f>IF($L847="","",INDEX(Расчет!$D$2:$D$3001,$L847))</f>
        <v/>
      </c>
      <c r="F847">
        <f>IF($L847="","",INDEX(Расчет!$E$2:$E$3001,$L847))</f>
        <v/>
      </c>
      <c r="G847">
        <f>IF($L847="","",IFERROR(--LEFT(INDEX(Расчет!$C$2:$C$3001,$L847),FIND("(",INDEX(Расчет!$C$2:$C$3001,$L847))-1),IFERROR(--LEFT(INDEX(Расчет!$C$2:$C$3001,$L847),1),"")))</f>
        <v/>
      </c>
      <c r="H847">
        <f>IF($L847="","",SUMIFS(Расчет!$G$2:$G$3001,Расчет!$I$2:$I$3001,$K847,Расчет!$H$2:$H$3001,1))</f>
        <v/>
      </c>
      <c r="I847">
        <f>IF($L847="","",SUMIFS(Расчет!$G$2:$G$3001,Расчет!$I$2:$I$3001,$K847,Расчет!$H$2:$H$3001,2))</f>
        <v/>
      </c>
      <c r="J847">
        <f>IF($L847="","",SUMIFS(Расчет!$G$2:$G$3001,Расчет!$I$2:$I$3001,$K847,Расчет!$H$2:$H$3001,3))</f>
        <v/>
      </c>
      <c r="K847">
        <f>IF($L847="","",INDEX(Расчет!$I$2:$I$3001,$L847))</f>
        <v/>
      </c>
      <c r="L847">
        <f>IFERROR(MATCH(ROW()-1,Расчет!$J$2:$J$3001,0),"")</f>
        <v/>
      </c>
    </row>
    <row r="848">
      <c r="A848">
        <f>IF($L848="","",B848&amp;"."&amp;C848&amp;"-"&amp;D848&amp;"-"&amp;H848&amp;"."&amp;I848&amp;"."&amp;J848)</f>
        <v/>
      </c>
      <c r="B848">
        <f>IF($L848="","",INDEX(Расчет!$A$2:$A$3001,$L848))</f>
        <v/>
      </c>
      <c r="C848">
        <f>IF($L848="","",INDEX(Расчет!$B$2:$B$3001,$L848))</f>
        <v/>
      </c>
      <c r="D848">
        <f>IF($L848="","",IF(ISNUMBER(FIND("(",INDEX(Расчет!$C$2:$C$3001,$L848))),SUBSTITUTE(MID(INDEX(Расчет!$C$2:$C$3001,$L848),FIND("(",INDEX(Расчет!$C$2:$C$3001,$L848))+1,99),")",""),INDEX(Расчет!$C$2:$C$3001,$L848)))</f>
        <v/>
      </c>
      <c r="E848">
        <f>IF($L848="","",INDEX(Расчет!$D$2:$D$3001,$L848))</f>
        <v/>
      </c>
      <c r="F848">
        <f>IF($L848="","",INDEX(Расчет!$E$2:$E$3001,$L848))</f>
        <v/>
      </c>
      <c r="G848">
        <f>IF($L848="","",IFERROR(--LEFT(INDEX(Расчет!$C$2:$C$3001,$L848),FIND("(",INDEX(Расчет!$C$2:$C$3001,$L848))-1),IFERROR(--LEFT(INDEX(Расчет!$C$2:$C$3001,$L848),1),"")))</f>
        <v/>
      </c>
      <c r="H848">
        <f>IF($L848="","",SUMIFS(Расчет!$G$2:$G$3001,Расчет!$I$2:$I$3001,$K848,Расчет!$H$2:$H$3001,1))</f>
        <v/>
      </c>
      <c r="I848">
        <f>IF($L848="","",SUMIFS(Расчет!$G$2:$G$3001,Расчет!$I$2:$I$3001,$K848,Расчет!$H$2:$H$3001,2))</f>
        <v/>
      </c>
      <c r="J848">
        <f>IF($L848="","",SUMIFS(Расчет!$G$2:$G$3001,Расчет!$I$2:$I$3001,$K848,Расчет!$H$2:$H$3001,3))</f>
        <v/>
      </c>
      <c r="K848">
        <f>IF($L848="","",INDEX(Расчет!$I$2:$I$3001,$L848))</f>
        <v/>
      </c>
      <c r="L848">
        <f>IFERROR(MATCH(ROW()-1,Расчет!$J$2:$J$3001,0),"")</f>
        <v/>
      </c>
    </row>
    <row r="849">
      <c r="A849">
        <f>IF($L849="","",B849&amp;"."&amp;C849&amp;"-"&amp;D849&amp;"-"&amp;H849&amp;"."&amp;I849&amp;"."&amp;J849)</f>
        <v/>
      </c>
      <c r="B849">
        <f>IF($L849="","",INDEX(Расчет!$A$2:$A$3001,$L849))</f>
        <v/>
      </c>
      <c r="C849">
        <f>IF($L849="","",INDEX(Расчет!$B$2:$B$3001,$L849))</f>
        <v/>
      </c>
      <c r="D849">
        <f>IF($L849="","",IF(ISNUMBER(FIND("(",INDEX(Расчет!$C$2:$C$3001,$L849))),SUBSTITUTE(MID(INDEX(Расчет!$C$2:$C$3001,$L849),FIND("(",INDEX(Расчет!$C$2:$C$3001,$L849))+1,99),")",""),INDEX(Расчет!$C$2:$C$3001,$L849)))</f>
        <v/>
      </c>
      <c r="E849">
        <f>IF($L849="","",INDEX(Расчет!$D$2:$D$3001,$L849))</f>
        <v/>
      </c>
      <c r="F849">
        <f>IF($L849="","",INDEX(Расчет!$E$2:$E$3001,$L849))</f>
        <v/>
      </c>
      <c r="G849">
        <f>IF($L849="","",IFERROR(--LEFT(INDEX(Расчет!$C$2:$C$3001,$L849),FIND("(",INDEX(Расчет!$C$2:$C$3001,$L849))-1),IFERROR(--LEFT(INDEX(Расчет!$C$2:$C$3001,$L849),1),"")))</f>
        <v/>
      </c>
      <c r="H849">
        <f>IF($L849="","",SUMIFS(Расчет!$G$2:$G$3001,Расчет!$I$2:$I$3001,$K849,Расчет!$H$2:$H$3001,1))</f>
        <v/>
      </c>
      <c r="I849">
        <f>IF($L849="","",SUMIFS(Расчет!$G$2:$G$3001,Расчет!$I$2:$I$3001,$K849,Расчет!$H$2:$H$3001,2))</f>
        <v/>
      </c>
      <c r="J849">
        <f>IF($L849="","",SUMIFS(Расчет!$G$2:$G$3001,Расчет!$I$2:$I$3001,$K849,Расчет!$H$2:$H$3001,3))</f>
        <v/>
      </c>
      <c r="K849">
        <f>IF($L849="","",INDEX(Расчет!$I$2:$I$3001,$L849))</f>
        <v/>
      </c>
      <c r="L849">
        <f>IFERROR(MATCH(ROW()-1,Расчет!$J$2:$J$3001,0),"")</f>
        <v/>
      </c>
    </row>
    <row r="850">
      <c r="A850">
        <f>IF($L850="","",B850&amp;"."&amp;C850&amp;"-"&amp;D850&amp;"-"&amp;H850&amp;"."&amp;I850&amp;"."&amp;J850)</f>
        <v/>
      </c>
      <c r="B850">
        <f>IF($L850="","",INDEX(Расчет!$A$2:$A$3001,$L850))</f>
        <v/>
      </c>
      <c r="C850">
        <f>IF($L850="","",INDEX(Расчет!$B$2:$B$3001,$L850))</f>
        <v/>
      </c>
      <c r="D850">
        <f>IF($L850="","",IF(ISNUMBER(FIND("(",INDEX(Расчет!$C$2:$C$3001,$L850))),SUBSTITUTE(MID(INDEX(Расчет!$C$2:$C$3001,$L850),FIND("(",INDEX(Расчет!$C$2:$C$3001,$L850))+1,99),")",""),INDEX(Расчет!$C$2:$C$3001,$L850)))</f>
        <v/>
      </c>
      <c r="E850">
        <f>IF($L850="","",INDEX(Расчет!$D$2:$D$3001,$L850))</f>
        <v/>
      </c>
      <c r="F850">
        <f>IF($L850="","",INDEX(Расчет!$E$2:$E$3001,$L850))</f>
        <v/>
      </c>
      <c r="G850">
        <f>IF($L850="","",IFERROR(--LEFT(INDEX(Расчет!$C$2:$C$3001,$L850),FIND("(",INDEX(Расчет!$C$2:$C$3001,$L850))-1),IFERROR(--LEFT(INDEX(Расчет!$C$2:$C$3001,$L850),1),"")))</f>
        <v/>
      </c>
      <c r="H850">
        <f>IF($L850="","",SUMIFS(Расчет!$G$2:$G$3001,Расчет!$I$2:$I$3001,$K850,Расчет!$H$2:$H$3001,1))</f>
        <v/>
      </c>
      <c r="I850">
        <f>IF($L850="","",SUMIFS(Расчет!$G$2:$G$3001,Расчет!$I$2:$I$3001,$K850,Расчет!$H$2:$H$3001,2))</f>
        <v/>
      </c>
      <c r="J850">
        <f>IF($L850="","",SUMIFS(Расчет!$G$2:$G$3001,Расчет!$I$2:$I$3001,$K850,Расчет!$H$2:$H$3001,3))</f>
        <v/>
      </c>
      <c r="K850">
        <f>IF($L850="","",INDEX(Расчет!$I$2:$I$3001,$L850))</f>
        <v/>
      </c>
      <c r="L850">
        <f>IFERROR(MATCH(ROW()-1,Расчет!$J$2:$J$3001,0),"")</f>
        <v/>
      </c>
    </row>
    <row r="851">
      <c r="A851">
        <f>IF($L851="","",B851&amp;"."&amp;C851&amp;"-"&amp;D851&amp;"-"&amp;H851&amp;"."&amp;I851&amp;"."&amp;J851)</f>
        <v/>
      </c>
      <c r="B851">
        <f>IF($L851="","",INDEX(Расчет!$A$2:$A$3001,$L851))</f>
        <v/>
      </c>
      <c r="C851">
        <f>IF($L851="","",INDEX(Расчет!$B$2:$B$3001,$L851))</f>
        <v/>
      </c>
      <c r="D851">
        <f>IF($L851="","",IF(ISNUMBER(FIND("(",INDEX(Расчет!$C$2:$C$3001,$L851))),SUBSTITUTE(MID(INDEX(Расчет!$C$2:$C$3001,$L851),FIND("(",INDEX(Расчет!$C$2:$C$3001,$L851))+1,99),")",""),INDEX(Расчет!$C$2:$C$3001,$L851)))</f>
        <v/>
      </c>
      <c r="E851">
        <f>IF($L851="","",INDEX(Расчет!$D$2:$D$3001,$L851))</f>
        <v/>
      </c>
      <c r="F851">
        <f>IF($L851="","",INDEX(Расчет!$E$2:$E$3001,$L851))</f>
        <v/>
      </c>
      <c r="G851">
        <f>IF($L851="","",IFERROR(--LEFT(INDEX(Расчет!$C$2:$C$3001,$L851),FIND("(",INDEX(Расчет!$C$2:$C$3001,$L851))-1),IFERROR(--LEFT(INDEX(Расчет!$C$2:$C$3001,$L851),1),"")))</f>
        <v/>
      </c>
      <c r="H851">
        <f>IF($L851="","",SUMIFS(Расчет!$G$2:$G$3001,Расчет!$I$2:$I$3001,$K851,Расчет!$H$2:$H$3001,1))</f>
        <v/>
      </c>
      <c r="I851">
        <f>IF($L851="","",SUMIFS(Расчет!$G$2:$G$3001,Расчет!$I$2:$I$3001,$K851,Расчет!$H$2:$H$3001,2))</f>
        <v/>
      </c>
      <c r="J851">
        <f>IF($L851="","",SUMIFS(Расчет!$G$2:$G$3001,Расчет!$I$2:$I$3001,$K851,Расчет!$H$2:$H$3001,3))</f>
        <v/>
      </c>
      <c r="K851">
        <f>IF($L851="","",INDEX(Расчет!$I$2:$I$3001,$L851))</f>
        <v/>
      </c>
      <c r="L851">
        <f>IFERROR(MATCH(ROW()-1,Расчет!$J$2:$J$3001,0),"")</f>
        <v/>
      </c>
    </row>
    <row r="852">
      <c r="A852">
        <f>IF($L852="","",B852&amp;"."&amp;C852&amp;"-"&amp;D852&amp;"-"&amp;H852&amp;"."&amp;I852&amp;"."&amp;J852)</f>
        <v/>
      </c>
      <c r="B852">
        <f>IF($L852="","",INDEX(Расчет!$A$2:$A$3001,$L852))</f>
        <v/>
      </c>
      <c r="C852">
        <f>IF($L852="","",INDEX(Расчет!$B$2:$B$3001,$L852))</f>
        <v/>
      </c>
      <c r="D852">
        <f>IF($L852="","",IF(ISNUMBER(FIND("(",INDEX(Расчет!$C$2:$C$3001,$L852))),SUBSTITUTE(MID(INDEX(Расчет!$C$2:$C$3001,$L852),FIND("(",INDEX(Расчет!$C$2:$C$3001,$L852))+1,99),")",""),INDEX(Расчет!$C$2:$C$3001,$L852)))</f>
        <v/>
      </c>
      <c r="E852">
        <f>IF($L852="","",INDEX(Расчет!$D$2:$D$3001,$L852))</f>
        <v/>
      </c>
      <c r="F852">
        <f>IF($L852="","",INDEX(Расчет!$E$2:$E$3001,$L852))</f>
        <v/>
      </c>
      <c r="G852">
        <f>IF($L852="","",IFERROR(--LEFT(INDEX(Расчет!$C$2:$C$3001,$L852),FIND("(",INDEX(Расчет!$C$2:$C$3001,$L852))-1),IFERROR(--LEFT(INDEX(Расчет!$C$2:$C$3001,$L852),1),"")))</f>
        <v/>
      </c>
      <c r="H852">
        <f>IF($L852="","",SUMIFS(Расчет!$G$2:$G$3001,Расчет!$I$2:$I$3001,$K852,Расчет!$H$2:$H$3001,1))</f>
        <v/>
      </c>
      <c r="I852">
        <f>IF($L852="","",SUMIFS(Расчет!$G$2:$G$3001,Расчет!$I$2:$I$3001,$K852,Расчет!$H$2:$H$3001,2))</f>
        <v/>
      </c>
      <c r="J852">
        <f>IF($L852="","",SUMIFS(Расчет!$G$2:$G$3001,Расчет!$I$2:$I$3001,$K852,Расчет!$H$2:$H$3001,3))</f>
        <v/>
      </c>
      <c r="K852">
        <f>IF($L852="","",INDEX(Расчет!$I$2:$I$3001,$L852))</f>
        <v/>
      </c>
      <c r="L852">
        <f>IFERROR(MATCH(ROW()-1,Расчет!$J$2:$J$3001,0),"")</f>
        <v/>
      </c>
    </row>
    <row r="853">
      <c r="A853">
        <f>IF($L853="","",B853&amp;"."&amp;C853&amp;"-"&amp;D853&amp;"-"&amp;H853&amp;"."&amp;I853&amp;"."&amp;J853)</f>
        <v/>
      </c>
      <c r="B853">
        <f>IF($L853="","",INDEX(Расчет!$A$2:$A$3001,$L853))</f>
        <v/>
      </c>
      <c r="C853">
        <f>IF($L853="","",INDEX(Расчет!$B$2:$B$3001,$L853))</f>
        <v/>
      </c>
      <c r="D853">
        <f>IF($L853="","",IF(ISNUMBER(FIND("(",INDEX(Расчет!$C$2:$C$3001,$L853))),SUBSTITUTE(MID(INDEX(Расчет!$C$2:$C$3001,$L853),FIND("(",INDEX(Расчет!$C$2:$C$3001,$L853))+1,99),")",""),INDEX(Расчет!$C$2:$C$3001,$L853)))</f>
        <v/>
      </c>
      <c r="E853">
        <f>IF($L853="","",INDEX(Расчет!$D$2:$D$3001,$L853))</f>
        <v/>
      </c>
      <c r="F853">
        <f>IF($L853="","",INDEX(Расчет!$E$2:$E$3001,$L853))</f>
        <v/>
      </c>
      <c r="G853">
        <f>IF($L853="","",IFERROR(--LEFT(INDEX(Расчет!$C$2:$C$3001,$L853),FIND("(",INDEX(Расчет!$C$2:$C$3001,$L853))-1),IFERROR(--LEFT(INDEX(Расчет!$C$2:$C$3001,$L853),1),"")))</f>
        <v/>
      </c>
      <c r="H853">
        <f>IF($L853="","",SUMIFS(Расчет!$G$2:$G$3001,Расчет!$I$2:$I$3001,$K853,Расчет!$H$2:$H$3001,1))</f>
        <v/>
      </c>
      <c r="I853">
        <f>IF($L853="","",SUMIFS(Расчет!$G$2:$G$3001,Расчет!$I$2:$I$3001,$K853,Расчет!$H$2:$H$3001,2))</f>
        <v/>
      </c>
      <c r="J853">
        <f>IF($L853="","",SUMIFS(Расчет!$G$2:$G$3001,Расчет!$I$2:$I$3001,$K853,Расчет!$H$2:$H$3001,3))</f>
        <v/>
      </c>
      <c r="K853">
        <f>IF($L853="","",INDEX(Расчет!$I$2:$I$3001,$L853))</f>
        <v/>
      </c>
      <c r="L853">
        <f>IFERROR(MATCH(ROW()-1,Расчет!$J$2:$J$3001,0),"")</f>
        <v/>
      </c>
    </row>
    <row r="854">
      <c r="A854">
        <f>IF($L854="","",B854&amp;"."&amp;C854&amp;"-"&amp;D854&amp;"-"&amp;H854&amp;"."&amp;I854&amp;"."&amp;J854)</f>
        <v/>
      </c>
      <c r="B854">
        <f>IF($L854="","",INDEX(Расчет!$A$2:$A$3001,$L854))</f>
        <v/>
      </c>
      <c r="C854">
        <f>IF($L854="","",INDEX(Расчет!$B$2:$B$3001,$L854))</f>
        <v/>
      </c>
      <c r="D854">
        <f>IF($L854="","",IF(ISNUMBER(FIND("(",INDEX(Расчет!$C$2:$C$3001,$L854))),SUBSTITUTE(MID(INDEX(Расчет!$C$2:$C$3001,$L854),FIND("(",INDEX(Расчет!$C$2:$C$3001,$L854))+1,99),")",""),INDEX(Расчет!$C$2:$C$3001,$L854)))</f>
        <v/>
      </c>
      <c r="E854">
        <f>IF($L854="","",INDEX(Расчет!$D$2:$D$3001,$L854))</f>
        <v/>
      </c>
      <c r="F854">
        <f>IF($L854="","",INDEX(Расчет!$E$2:$E$3001,$L854))</f>
        <v/>
      </c>
      <c r="G854">
        <f>IF($L854="","",IFERROR(--LEFT(INDEX(Расчет!$C$2:$C$3001,$L854),FIND("(",INDEX(Расчет!$C$2:$C$3001,$L854))-1),IFERROR(--LEFT(INDEX(Расчет!$C$2:$C$3001,$L854),1),"")))</f>
        <v/>
      </c>
      <c r="H854">
        <f>IF($L854="","",SUMIFS(Расчет!$G$2:$G$3001,Расчет!$I$2:$I$3001,$K854,Расчет!$H$2:$H$3001,1))</f>
        <v/>
      </c>
      <c r="I854">
        <f>IF($L854="","",SUMIFS(Расчет!$G$2:$G$3001,Расчет!$I$2:$I$3001,$K854,Расчет!$H$2:$H$3001,2))</f>
        <v/>
      </c>
      <c r="J854">
        <f>IF($L854="","",SUMIFS(Расчет!$G$2:$G$3001,Расчет!$I$2:$I$3001,$K854,Расчет!$H$2:$H$3001,3))</f>
        <v/>
      </c>
      <c r="K854">
        <f>IF($L854="","",INDEX(Расчет!$I$2:$I$3001,$L854))</f>
        <v/>
      </c>
      <c r="L854">
        <f>IFERROR(MATCH(ROW()-1,Расчет!$J$2:$J$3001,0),"")</f>
        <v/>
      </c>
    </row>
    <row r="855">
      <c r="A855">
        <f>IF($L855="","",B855&amp;"."&amp;C855&amp;"-"&amp;D855&amp;"-"&amp;H855&amp;"."&amp;I855&amp;"."&amp;J855)</f>
        <v/>
      </c>
      <c r="B855">
        <f>IF($L855="","",INDEX(Расчет!$A$2:$A$3001,$L855))</f>
        <v/>
      </c>
      <c r="C855">
        <f>IF($L855="","",INDEX(Расчет!$B$2:$B$3001,$L855))</f>
        <v/>
      </c>
      <c r="D855">
        <f>IF($L855="","",IF(ISNUMBER(FIND("(",INDEX(Расчет!$C$2:$C$3001,$L855))),SUBSTITUTE(MID(INDEX(Расчет!$C$2:$C$3001,$L855),FIND("(",INDEX(Расчет!$C$2:$C$3001,$L855))+1,99),")",""),INDEX(Расчет!$C$2:$C$3001,$L855)))</f>
        <v/>
      </c>
      <c r="E855">
        <f>IF($L855="","",INDEX(Расчет!$D$2:$D$3001,$L855))</f>
        <v/>
      </c>
      <c r="F855">
        <f>IF($L855="","",INDEX(Расчет!$E$2:$E$3001,$L855))</f>
        <v/>
      </c>
      <c r="G855">
        <f>IF($L855="","",IFERROR(--LEFT(INDEX(Расчет!$C$2:$C$3001,$L855),FIND("(",INDEX(Расчет!$C$2:$C$3001,$L855))-1),IFERROR(--LEFT(INDEX(Расчет!$C$2:$C$3001,$L855),1),"")))</f>
        <v/>
      </c>
      <c r="H855">
        <f>IF($L855="","",SUMIFS(Расчет!$G$2:$G$3001,Расчет!$I$2:$I$3001,$K855,Расчет!$H$2:$H$3001,1))</f>
        <v/>
      </c>
      <c r="I855">
        <f>IF($L855="","",SUMIFS(Расчет!$G$2:$G$3001,Расчет!$I$2:$I$3001,$K855,Расчет!$H$2:$H$3001,2))</f>
        <v/>
      </c>
      <c r="J855">
        <f>IF($L855="","",SUMIFS(Расчет!$G$2:$G$3001,Расчет!$I$2:$I$3001,$K855,Расчет!$H$2:$H$3001,3))</f>
        <v/>
      </c>
      <c r="K855">
        <f>IF($L855="","",INDEX(Расчет!$I$2:$I$3001,$L855))</f>
        <v/>
      </c>
      <c r="L855">
        <f>IFERROR(MATCH(ROW()-1,Расчет!$J$2:$J$3001,0),"")</f>
        <v/>
      </c>
    </row>
    <row r="856">
      <c r="A856">
        <f>IF($L856="","",B856&amp;"."&amp;C856&amp;"-"&amp;D856&amp;"-"&amp;H856&amp;"."&amp;I856&amp;"."&amp;J856)</f>
        <v/>
      </c>
      <c r="B856">
        <f>IF($L856="","",INDEX(Расчет!$A$2:$A$3001,$L856))</f>
        <v/>
      </c>
      <c r="C856">
        <f>IF($L856="","",INDEX(Расчет!$B$2:$B$3001,$L856))</f>
        <v/>
      </c>
      <c r="D856">
        <f>IF($L856="","",IF(ISNUMBER(FIND("(",INDEX(Расчет!$C$2:$C$3001,$L856))),SUBSTITUTE(MID(INDEX(Расчет!$C$2:$C$3001,$L856),FIND("(",INDEX(Расчет!$C$2:$C$3001,$L856))+1,99),")",""),INDEX(Расчет!$C$2:$C$3001,$L856)))</f>
        <v/>
      </c>
      <c r="E856">
        <f>IF($L856="","",INDEX(Расчет!$D$2:$D$3001,$L856))</f>
        <v/>
      </c>
      <c r="F856">
        <f>IF($L856="","",INDEX(Расчет!$E$2:$E$3001,$L856))</f>
        <v/>
      </c>
      <c r="G856">
        <f>IF($L856="","",IFERROR(--LEFT(INDEX(Расчет!$C$2:$C$3001,$L856),FIND("(",INDEX(Расчет!$C$2:$C$3001,$L856))-1),IFERROR(--LEFT(INDEX(Расчет!$C$2:$C$3001,$L856),1),"")))</f>
        <v/>
      </c>
      <c r="H856">
        <f>IF($L856="","",SUMIFS(Расчет!$G$2:$G$3001,Расчет!$I$2:$I$3001,$K856,Расчет!$H$2:$H$3001,1))</f>
        <v/>
      </c>
      <c r="I856">
        <f>IF($L856="","",SUMIFS(Расчет!$G$2:$G$3001,Расчет!$I$2:$I$3001,$K856,Расчет!$H$2:$H$3001,2))</f>
        <v/>
      </c>
      <c r="J856">
        <f>IF($L856="","",SUMIFS(Расчет!$G$2:$G$3001,Расчет!$I$2:$I$3001,$K856,Расчет!$H$2:$H$3001,3))</f>
        <v/>
      </c>
      <c r="K856">
        <f>IF($L856="","",INDEX(Расчет!$I$2:$I$3001,$L856))</f>
        <v/>
      </c>
      <c r="L856">
        <f>IFERROR(MATCH(ROW()-1,Расчет!$J$2:$J$3001,0),"")</f>
        <v/>
      </c>
    </row>
    <row r="857">
      <c r="A857">
        <f>IF($L857="","",B857&amp;"."&amp;C857&amp;"-"&amp;D857&amp;"-"&amp;H857&amp;"."&amp;I857&amp;"."&amp;J857)</f>
        <v/>
      </c>
      <c r="B857">
        <f>IF($L857="","",INDEX(Расчет!$A$2:$A$3001,$L857))</f>
        <v/>
      </c>
      <c r="C857">
        <f>IF($L857="","",INDEX(Расчет!$B$2:$B$3001,$L857))</f>
        <v/>
      </c>
      <c r="D857">
        <f>IF($L857="","",IF(ISNUMBER(FIND("(",INDEX(Расчет!$C$2:$C$3001,$L857))),SUBSTITUTE(MID(INDEX(Расчет!$C$2:$C$3001,$L857),FIND("(",INDEX(Расчет!$C$2:$C$3001,$L857))+1,99),")",""),INDEX(Расчет!$C$2:$C$3001,$L857)))</f>
        <v/>
      </c>
      <c r="E857">
        <f>IF($L857="","",INDEX(Расчет!$D$2:$D$3001,$L857))</f>
        <v/>
      </c>
      <c r="F857">
        <f>IF($L857="","",INDEX(Расчет!$E$2:$E$3001,$L857))</f>
        <v/>
      </c>
      <c r="G857">
        <f>IF($L857="","",IFERROR(--LEFT(INDEX(Расчет!$C$2:$C$3001,$L857),FIND("(",INDEX(Расчет!$C$2:$C$3001,$L857))-1),IFERROR(--LEFT(INDEX(Расчет!$C$2:$C$3001,$L857),1),"")))</f>
        <v/>
      </c>
      <c r="H857">
        <f>IF($L857="","",SUMIFS(Расчет!$G$2:$G$3001,Расчет!$I$2:$I$3001,$K857,Расчет!$H$2:$H$3001,1))</f>
        <v/>
      </c>
      <c r="I857">
        <f>IF($L857="","",SUMIFS(Расчет!$G$2:$G$3001,Расчет!$I$2:$I$3001,$K857,Расчет!$H$2:$H$3001,2))</f>
        <v/>
      </c>
      <c r="J857">
        <f>IF($L857="","",SUMIFS(Расчет!$G$2:$G$3001,Расчет!$I$2:$I$3001,$K857,Расчет!$H$2:$H$3001,3))</f>
        <v/>
      </c>
      <c r="K857">
        <f>IF($L857="","",INDEX(Расчет!$I$2:$I$3001,$L857))</f>
        <v/>
      </c>
      <c r="L857">
        <f>IFERROR(MATCH(ROW()-1,Расчет!$J$2:$J$3001,0),"")</f>
        <v/>
      </c>
    </row>
    <row r="858">
      <c r="A858">
        <f>IF($L858="","",B858&amp;"."&amp;C858&amp;"-"&amp;D858&amp;"-"&amp;H858&amp;"."&amp;I858&amp;"."&amp;J858)</f>
        <v/>
      </c>
      <c r="B858">
        <f>IF($L858="","",INDEX(Расчет!$A$2:$A$3001,$L858))</f>
        <v/>
      </c>
      <c r="C858">
        <f>IF($L858="","",INDEX(Расчет!$B$2:$B$3001,$L858))</f>
        <v/>
      </c>
      <c r="D858">
        <f>IF($L858="","",IF(ISNUMBER(FIND("(",INDEX(Расчет!$C$2:$C$3001,$L858))),SUBSTITUTE(MID(INDEX(Расчет!$C$2:$C$3001,$L858),FIND("(",INDEX(Расчет!$C$2:$C$3001,$L858))+1,99),")",""),INDEX(Расчет!$C$2:$C$3001,$L858)))</f>
        <v/>
      </c>
      <c r="E858">
        <f>IF($L858="","",INDEX(Расчет!$D$2:$D$3001,$L858))</f>
        <v/>
      </c>
      <c r="F858">
        <f>IF($L858="","",INDEX(Расчет!$E$2:$E$3001,$L858))</f>
        <v/>
      </c>
      <c r="G858">
        <f>IF($L858="","",IFERROR(--LEFT(INDEX(Расчет!$C$2:$C$3001,$L858),FIND("(",INDEX(Расчет!$C$2:$C$3001,$L858))-1),IFERROR(--LEFT(INDEX(Расчет!$C$2:$C$3001,$L858),1),"")))</f>
        <v/>
      </c>
      <c r="H858">
        <f>IF($L858="","",SUMIFS(Расчет!$G$2:$G$3001,Расчет!$I$2:$I$3001,$K858,Расчет!$H$2:$H$3001,1))</f>
        <v/>
      </c>
      <c r="I858">
        <f>IF($L858="","",SUMIFS(Расчет!$G$2:$G$3001,Расчет!$I$2:$I$3001,$K858,Расчет!$H$2:$H$3001,2))</f>
        <v/>
      </c>
      <c r="J858">
        <f>IF($L858="","",SUMIFS(Расчет!$G$2:$G$3001,Расчет!$I$2:$I$3001,$K858,Расчет!$H$2:$H$3001,3))</f>
        <v/>
      </c>
      <c r="K858">
        <f>IF($L858="","",INDEX(Расчет!$I$2:$I$3001,$L858))</f>
        <v/>
      </c>
      <c r="L858">
        <f>IFERROR(MATCH(ROW()-1,Расчет!$J$2:$J$3001,0),"")</f>
        <v/>
      </c>
    </row>
    <row r="859">
      <c r="A859">
        <f>IF($L859="","",B859&amp;"."&amp;C859&amp;"-"&amp;D859&amp;"-"&amp;H859&amp;"."&amp;I859&amp;"."&amp;J859)</f>
        <v/>
      </c>
      <c r="B859">
        <f>IF($L859="","",INDEX(Расчет!$A$2:$A$3001,$L859))</f>
        <v/>
      </c>
      <c r="C859">
        <f>IF($L859="","",INDEX(Расчет!$B$2:$B$3001,$L859))</f>
        <v/>
      </c>
      <c r="D859">
        <f>IF($L859="","",IF(ISNUMBER(FIND("(",INDEX(Расчет!$C$2:$C$3001,$L859))),SUBSTITUTE(MID(INDEX(Расчет!$C$2:$C$3001,$L859),FIND("(",INDEX(Расчет!$C$2:$C$3001,$L859))+1,99),")",""),INDEX(Расчет!$C$2:$C$3001,$L859)))</f>
        <v/>
      </c>
      <c r="E859">
        <f>IF($L859="","",INDEX(Расчет!$D$2:$D$3001,$L859))</f>
        <v/>
      </c>
      <c r="F859">
        <f>IF($L859="","",INDEX(Расчет!$E$2:$E$3001,$L859))</f>
        <v/>
      </c>
      <c r="G859">
        <f>IF($L859="","",IFERROR(--LEFT(INDEX(Расчет!$C$2:$C$3001,$L859),FIND("(",INDEX(Расчет!$C$2:$C$3001,$L859))-1),IFERROR(--LEFT(INDEX(Расчет!$C$2:$C$3001,$L859),1),"")))</f>
        <v/>
      </c>
      <c r="H859">
        <f>IF($L859="","",SUMIFS(Расчет!$G$2:$G$3001,Расчет!$I$2:$I$3001,$K859,Расчет!$H$2:$H$3001,1))</f>
        <v/>
      </c>
      <c r="I859">
        <f>IF($L859="","",SUMIFS(Расчет!$G$2:$G$3001,Расчет!$I$2:$I$3001,$K859,Расчет!$H$2:$H$3001,2))</f>
        <v/>
      </c>
      <c r="J859">
        <f>IF($L859="","",SUMIFS(Расчет!$G$2:$G$3001,Расчет!$I$2:$I$3001,$K859,Расчет!$H$2:$H$3001,3))</f>
        <v/>
      </c>
      <c r="K859">
        <f>IF($L859="","",INDEX(Расчет!$I$2:$I$3001,$L859))</f>
        <v/>
      </c>
      <c r="L859">
        <f>IFERROR(MATCH(ROW()-1,Расчет!$J$2:$J$3001,0),"")</f>
        <v/>
      </c>
    </row>
    <row r="860">
      <c r="A860">
        <f>IF($L860="","",B860&amp;"."&amp;C860&amp;"-"&amp;D860&amp;"-"&amp;H860&amp;"."&amp;I860&amp;"."&amp;J860)</f>
        <v/>
      </c>
      <c r="B860">
        <f>IF($L860="","",INDEX(Расчет!$A$2:$A$3001,$L860))</f>
        <v/>
      </c>
      <c r="C860">
        <f>IF($L860="","",INDEX(Расчет!$B$2:$B$3001,$L860))</f>
        <v/>
      </c>
      <c r="D860">
        <f>IF($L860="","",IF(ISNUMBER(FIND("(",INDEX(Расчет!$C$2:$C$3001,$L860))),SUBSTITUTE(MID(INDEX(Расчет!$C$2:$C$3001,$L860),FIND("(",INDEX(Расчет!$C$2:$C$3001,$L860))+1,99),")",""),INDEX(Расчет!$C$2:$C$3001,$L860)))</f>
        <v/>
      </c>
      <c r="E860">
        <f>IF($L860="","",INDEX(Расчет!$D$2:$D$3001,$L860))</f>
        <v/>
      </c>
      <c r="F860">
        <f>IF($L860="","",INDEX(Расчет!$E$2:$E$3001,$L860))</f>
        <v/>
      </c>
      <c r="G860">
        <f>IF($L860="","",IFERROR(--LEFT(INDEX(Расчет!$C$2:$C$3001,$L860),FIND("(",INDEX(Расчет!$C$2:$C$3001,$L860))-1),IFERROR(--LEFT(INDEX(Расчет!$C$2:$C$3001,$L860),1),"")))</f>
        <v/>
      </c>
      <c r="H860">
        <f>IF($L860="","",SUMIFS(Расчет!$G$2:$G$3001,Расчет!$I$2:$I$3001,$K860,Расчет!$H$2:$H$3001,1))</f>
        <v/>
      </c>
      <c r="I860">
        <f>IF($L860="","",SUMIFS(Расчет!$G$2:$G$3001,Расчет!$I$2:$I$3001,$K860,Расчет!$H$2:$H$3001,2))</f>
        <v/>
      </c>
      <c r="J860">
        <f>IF($L860="","",SUMIFS(Расчет!$G$2:$G$3001,Расчет!$I$2:$I$3001,$K860,Расчет!$H$2:$H$3001,3))</f>
        <v/>
      </c>
      <c r="K860">
        <f>IF($L860="","",INDEX(Расчет!$I$2:$I$3001,$L860))</f>
        <v/>
      </c>
      <c r="L860">
        <f>IFERROR(MATCH(ROW()-1,Расчет!$J$2:$J$3001,0),"")</f>
        <v/>
      </c>
    </row>
    <row r="861">
      <c r="A861">
        <f>IF($L861="","",B861&amp;"."&amp;C861&amp;"-"&amp;D861&amp;"-"&amp;H861&amp;"."&amp;I861&amp;"."&amp;J861)</f>
        <v/>
      </c>
      <c r="B861">
        <f>IF($L861="","",INDEX(Расчет!$A$2:$A$3001,$L861))</f>
        <v/>
      </c>
      <c r="C861">
        <f>IF($L861="","",INDEX(Расчет!$B$2:$B$3001,$L861))</f>
        <v/>
      </c>
      <c r="D861">
        <f>IF($L861="","",IF(ISNUMBER(FIND("(",INDEX(Расчет!$C$2:$C$3001,$L861))),SUBSTITUTE(MID(INDEX(Расчет!$C$2:$C$3001,$L861),FIND("(",INDEX(Расчет!$C$2:$C$3001,$L861))+1,99),")",""),INDEX(Расчет!$C$2:$C$3001,$L861)))</f>
        <v/>
      </c>
      <c r="E861">
        <f>IF($L861="","",INDEX(Расчет!$D$2:$D$3001,$L861))</f>
        <v/>
      </c>
      <c r="F861">
        <f>IF($L861="","",INDEX(Расчет!$E$2:$E$3001,$L861))</f>
        <v/>
      </c>
      <c r="G861">
        <f>IF($L861="","",IFERROR(--LEFT(INDEX(Расчет!$C$2:$C$3001,$L861),FIND("(",INDEX(Расчет!$C$2:$C$3001,$L861))-1),IFERROR(--LEFT(INDEX(Расчет!$C$2:$C$3001,$L861),1),"")))</f>
        <v/>
      </c>
      <c r="H861">
        <f>IF($L861="","",SUMIFS(Расчет!$G$2:$G$3001,Расчет!$I$2:$I$3001,$K861,Расчет!$H$2:$H$3001,1))</f>
        <v/>
      </c>
      <c r="I861">
        <f>IF($L861="","",SUMIFS(Расчет!$G$2:$G$3001,Расчет!$I$2:$I$3001,$K861,Расчет!$H$2:$H$3001,2))</f>
        <v/>
      </c>
      <c r="J861">
        <f>IF($L861="","",SUMIFS(Расчет!$G$2:$G$3001,Расчет!$I$2:$I$3001,$K861,Расчет!$H$2:$H$3001,3))</f>
        <v/>
      </c>
      <c r="K861">
        <f>IF($L861="","",INDEX(Расчет!$I$2:$I$3001,$L861))</f>
        <v/>
      </c>
      <c r="L861">
        <f>IFERROR(MATCH(ROW()-1,Расчет!$J$2:$J$3001,0),"")</f>
        <v/>
      </c>
    </row>
    <row r="862">
      <c r="A862">
        <f>IF($L862="","",B862&amp;"."&amp;C862&amp;"-"&amp;D862&amp;"-"&amp;H862&amp;"."&amp;I862&amp;"."&amp;J862)</f>
        <v/>
      </c>
      <c r="B862">
        <f>IF($L862="","",INDEX(Расчет!$A$2:$A$3001,$L862))</f>
        <v/>
      </c>
      <c r="C862">
        <f>IF($L862="","",INDEX(Расчет!$B$2:$B$3001,$L862))</f>
        <v/>
      </c>
      <c r="D862">
        <f>IF($L862="","",IF(ISNUMBER(FIND("(",INDEX(Расчет!$C$2:$C$3001,$L862))),SUBSTITUTE(MID(INDEX(Расчет!$C$2:$C$3001,$L862),FIND("(",INDEX(Расчет!$C$2:$C$3001,$L862))+1,99),")",""),INDEX(Расчет!$C$2:$C$3001,$L862)))</f>
        <v/>
      </c>
      <c r="E862">
        <f>IF($L862="","",INDEX(Расчет!$D$2:$D$3001,$L862))</f>
        <v/>
      </c>
      <c r="F862">
        <f>IF($L862="","",INDEX(Расчет!$E$2:$E$3001,$L862))</f>
        <v/>
      </c>
      <c r="G862">
        <f>IF($L862="","",IFERROR(--LEFT(INDEX(Расчет!$C$2:$C$3001,$L862),FIND("(",INDEX(Расчет!$C$2:$C$3001,$L862))-1),IFERROR(--LEFT(INDEX(Расчет!$C$2:$C$3001,$L862),1),"")))</f>
        <v/>
      </c>
      <c r="H862">
        <f>IF($L862="","",SUMIFS(Расчет!$G$2:$G$3001,Расчет!$I$2:$I$3001,$K862,Расчет!$H$2:$H$3001,1))</f>
        <v/>
      </c>
      <c r="I862">
        <f>IF($L862="","",SUMIFS(Расчет!$G$2:$G$3001,Расчет!$I$2:$I$3001,$K862,Расчет!$H$2:$H$3001,2))</f>
        <v/>
      </c>
      <c r="J862">
        <f>IF($L862="","",SUMIFS(Расчет!$G$2:$G$3001,Расчет!$I$2:$I$3001,$K862,Расчет!$H$2:$H$3001,3))</f>
        <v/>
      </c>
      <c r="K862">
        <f>IF($L862="","",INDEX(Расчет!$I$2:$I$3001,$L862))</f>
        <v/>
      </c>
      <c r="L862">
        <f>IFERROR(MATCH(ROW()-1,Расчет!$J$2:$J$3001,0),"")</f>
        <v/>
      </c>
    </row>
    <row r="863">
      <c r="A863">
        <f>IF($L863="","",B863&amp;"."&amp;C863&amp;"-"&amp;D863&amp;"-"&amp;H863&amp;"."&amp;I863&amp;"."&amp;J863)</f>
        <v/>
      </c>
      <c r="B863">
        <f>IF($L863="","",INDEX(Расчет!$A$2:$A$3001,$L863))</f>
        <v/>
      </c>
      <c r="C863">
        <f>IF($L863="","",INDEX(Расчет!$B$2:$B$3001,$L863))</f>
        <v/>
      </c>
      <c r="D863">
        <f>IF($L863="","",IF(ISNUMBER(FIND("(",INDEX(Расчет!$C$2:$C$3001,$L863))),SUBSTITUTE(MID(INDEX(Расчет!$C$2:$C$3001,$L863),FIND("(",INDEX(Расчет!$C$2:$C$3001,$L863))+1,99),")",""),INDEX(Расчет!$C$2:$C$3001,$L863)))</f>
        <v/>
      </c>
      <c r="E863">
        <f>IF($L863="","",INDEX(Расчет!$D$2:$D$3001,$L863))</f>
        <v/>
      </c>
      <c r="F863">
        <f>IF($L863="","",INDEX(Расчет!$E$2:$E$3001,$L863))</f>
        <v/>
      </c>
      <c r="G863">
        <f>IF($L863="","",IFERROR(--LEFT(INDEX(Расчет!$C$2:$C$3001,$L863),FIND("(",INDEX(Расчет!$C$2:$C$3001,$L863))-1),IFERROR(--LEFT(INDEX(Расчет!$C$2:$C$3001,$L863),1),"")))</f>
        <v/>
      </c>
      <c r="H863">
        <f>IF($L863="","",SUMIFS(Расчет!$G$2:$G$3001,Расчет!$I$2:$I$3001,$K863,Расчет!$H$2:$H$3001,1))</f>
        <v/>
      </c>
      <c r="I863">
        <f>IF($L863="","",SUMIFS(Расчет!$G$2:$G$3001,Расчет!$I$2:$I$3001,$K863,Расчет!$H$2:$H$3001,2))</f>
        <v/>
      </c>
      <c r="J863">
        <f>IF($L863="","",SUMIFS(Расчет!$G$2:$G$3001,Расчет!$I$2:$I$3001,$K863,Расчет!$H$2:$H$3001,3))</f>
        <v/>
      </c>
      <c r="K863">
        <f>IF($L863="","",INDEX(Расчет!$I$2:$I$3001,$L863))</f>
        <v/>
      </c>
      <c r="L863">
        <f>IFERROR(MATCH(ROW()-1,Расчет!$J$2:$J$3001,0),"")</f>
        <v/>
      </c>
    </row>
    <row r="864">
      <c r="A864">
        <f>IF($L864="","",B864&amp;"."&amp;C864&amp;"-"&amp;D864&amp;"-"&amp;H864&amp;"."&amp;I864&amp;"."&amp;J864)</f>
        <v/>
      </c>
      <c r="B864">
        <f>IF($L864="","",INDEX(Расчет!$A$2:$A$3001,$L864))</f>
        <v/>
      </c>
      <c r="C864">
        <f>IF($L864="","",INDEX(Расчет!$B$2:$B$3001,$L864))</f>
        <v/>
      </c>
      <c r="D864">
        <f>IF($L864="","",IF(ISNUMBER(FIND("(",INDEX(Расчет!$C$2:$C$3001,$L864))),SUBSTITUTE(MID(INDEX(Расчет!$C$2:$C$3001,$L864),FIND("(",INDEX(Расчет!$C$2:$C$3001,$L864))+1,99),")",""),INDEX(Расчет!$C$2:$C$3001,$L864)))</f>
        <v/>
      </c>
      <c r="E864">
        <f>IF($L864="","",INDEX(Расчет!$D$2:$D$3001,$L864))</f>
        <v/>
      </c>
      <c r="F864">
        <f>IF($L864="","",INDEX(Расчет!$E$2:$E$3001,$L864))</f>
        <v/>
      </c>
      <c r="G864">
        <f>IF($L864="","",IFERROR(--LEFT(INDEX(Расчет!$C$2:$C$3001,$L864),FIND("(",INDEX(Расчет!$C$2:$C$3001,$L864))-1),IFERROR(--LEFT(INDEX(Расчет!$C$2:$C$3001,$L864),1),"")))</f>
        <v/>
      </c>
      <c r="H864">
        <f>IF($L864="","",SUMIFS(Расчет!$G$2:$G$3001,Расчет!$I$2:$I$3001,$K864,Расчет!$H$2:$H$3001,1))</f>
        <v/>
      </c>
      <c r="I864">
        <f>IF($L864="","",SUMIFS(Расчет!$G$2:$G$3001,Расчет!$I$2:$I$3001,$K864,Расчет!$H$2:$H$3001,2))</f>
        <v/>
      </c>
      <c r="J864">
        <f>IF($L864="","",SUMIFS(Расчет!$G$2:$G$3001,Расчет!$I$2:$I$3001,$K864,Расчет!$H$2:$H$3001,3))</f>
        <v/>
      </c>
      <c r="K864">
        <f>IF($L864="","",INDEX(Расчет!$I$2:$I$3001,$L864))</f>
        <v/>
      </c>
      <c r="L864">
        <f>IFERROR(MATCH(ROW()-1,Расчет!$J$2:$J$3001,0),"")</f>
        <v/>
      </c>
    </row>
    <row r="865">
      <c r="A865">
        <f>IF($L865="","",B865&amp;"."&amp;C865&amp;"-"&amp;D865&amp;"-"&amp;H865&amp;"."&amp;I865&amp;"."&amp;J865)</f>
        <v/>
      </c>
      <c r="B865">
        <f>IF($L865="","",INDEX(Расчет!$A$2:$A$3001,$L865))</f>
        <v/>
      </c>
      <c r="C865">
        <f>IF($L865="","",INDEX(Расчет!$B$2:$B$3001,$L865))</f>
        <v/>
      </c>
      <c r="D865">
        <f>IF($L865="","",IF(ISNUMBER(FIND("(",INDEX(Расчет!$C$2:$C$3001,$L865))),SUBSTITUTE(MID(INDEX(Расчет!$C$2:$C$3001,$L865),FIND("(",INDEX(Расчет!$C$2:$C$3001,$L865))+1,99),")",""),INDEX(Расчет!$C$2:$C$3001,$L865)))</f>
        <v/>
      </c>
      <c r="E865">
        <f>IF($L865="","",INDEX(Расчет!$D$2:$D$3001,$L865))</f>
        <v/>
      </c>
      <c r="F865">
        <f>IF($L865="","",INDEX(Расчет!$E$2:$E$3001,$L865))</f>
        <v/>
      </c>
      <c r="G865">
        <f>IF($L865="","",IFERROR(--LEFT(INDEX(Расчет!$C$2:$C$3001,$L865),FIND("(",INDEX(Расчет!$C$2:$C$3001,$L865))-1),IFERROR(--LEFT(INDEX(Расчет!$C$2:$C$3001,$L865),1),"")))</f>
        <v/>
      </c>
      <c r="H865">
        <f>IF($L865="","",SUMIFS(Расчет!$G$2:$G$3001,Расчет!$I$2:$I$3001,$K865,Расчет!$H$2:$H$3001,1))</f>
        <v/>
      </c>
      <c r="I865">
        <f>IF($L865="","",SUMIFS(Расчет!$G$2:$G$3001,Расчет!$I$2:$I$3001,$K865,Расчет!$H$2:$H$3001,2))</f>
        <v/>
      </c>
      <c r="J865">
        <f>IF($L865="","",SUMIFS(Расчет!$G$2:$G$3001,Расчет!$I$2:$I$3001,$K865,Расчет!$H$2:$H$3001,3))</f>
        <v/>
      </c>
      <c r="K865">
        <f>IF($L865="","",INDEX(Расчет!$I$2:$I$3001,$L865))</f>
        <v/>
      </c>
      <c r="L865">
        <f>IFERROR(MATCH(ROW()-1,Расчет!$J$2:$J$3001,0),"")</f>
        <v/>
      </c>
    </row>
    <row r="866">
      <c r="A866">
        <f>IF($L866="","",B866&amp;"."&amp;C866&amp;"-"&amp;D866&amp;"-"&amp;H866&amp;"."&amp;I866&amp;"."&amp;J866)</f>
        <v/>
      </c>
      <c r="B866">
        <f>IF($L866="","",INDEX(Расчет!$A$2:$A$3001,$L866))</f>
        <v/>
      </c>
      <c r="C866">
        <f>IF($L866="","",INDEX(Расчет!$B$2:$B$3001,$L866))</f>
        <v/>
      </c>
      <c r="D866">
        <f>IF($L866="","",IF(ISNUMBER(FIND("(",INDEX(Расчет!$C$2:$C$3001,$L866))),SUBSTITUTE(MID(INDEX(Расчет!$C$2:$C$3001,$L866),FIND("(",INDEX(Расчет!$C$2:$C$3001,$L866))+1,99),")",""),INDEX(Расчет!$C$2:$C$3001,$L866)))</f>
        <v/>
      </c>
      <c r="E866">
        <f>IF($L866="","",INDEX(Расчет!$D$2:$D$3001,$L866))</f>
        <v/>
      </c>
      <c r="F866">
        <f>IF($L866="","",INDEX(Расчет!$E$2:$E$3001,$L866))</f>
        <v/>
      </c>
      <c r="G866">
        <f>IF($L866="","",IFERROR(--LEFT(INDEX(Расчет!$C$2:$C$3001,$L866),FIND("(",INDEX(Расчет!$C$2:$C$3001,$L866))-1),IFERROR(--LEFT(INDEX(Расчет!$C$2:$C$3001,$L866),1),"")))</f>
        <v/>
      </c>
      <c r="H866">
        <f>IF($L866="","",SUMIFS(Расчет!$G$2:$G$3001,Расчет!$I$2:$I$3001,$K866,Расчет!$H$2:$H$3001,1))</f>
        <v/>
      </c>
      <c r="I866">
        <f>IF($L866="","",SUMIFS(Расчет!$G$2:$G$3001,Расчет!$I$2:$I$3001,$K866,Расчет!$H$2:$H$3001,2))</f>
        <v/>
      </c>
      <c r="J866">
        <f>IF($L866="","",SUMIFS(Расчет!$G$2:$G$3001,Расчет!$I$2:$I$3001,$K866,Расчет!$H$2:$H$3001,3))</f>
        <v/>
      </c>
      <c r="K866">
        <f>IF($L866="","",INDEX(Расчет!$I$2:$I$3001,$L866))</f>
        <v/>
      </c>
      <c r="L866">
        <f>IFERROR(MATCH(ROW()-1,Расчет!$J$2:$J$3001,0),"")</f>
        <v/>
      </c>
    </row>
    <row r="867">
      <c r="A867">
        <f>IF($L867="","",B867&amp;"."&amp;C867&amp;"-"&amp;D867&amp;"-"&amp;H867&amp;"."&amp;I867&amp;"."&amp;J867)</f>
        <v/>
      </c>
      <c r="B867">
        <f>IF($L867="","",INDEX(Расчет!$A$2:$A$3001,$L867))</f>
        <v/>
      </c>
      <c r="C867">
        <f>IF($L867="","",INDEX(Расчет!$B$2:$B$3001,$L867))</f>
        <v/>
      </c>
      <c r="D867">
        <f>IF($L867="","",IF(ISNUMBER(FIND("(",INDEX(Расчет!$C$2:$C$3001,$L867))),SUBSTITUTE(MID(INDEX(Расчет!$C$2:$C$3001,$L867),FIND("(",INDEX(Расчет!$C$2:$C$3001,$L867))+1,99),")",""),INDEX(Расчет!$C$2:$C$3001,$L867)))</f>
        <v/>
      </c>
      <c r="E867">
        <f>IF($L867="","",INDEX(Расчет!$D$2:$D$3001,$L867))</f>
        <v/>
      </c>
      <c r="F867">
        <f>IF($L867="","",INDEX(Расчет!$E$2:$E$3001,$L867))</f>
        <v/>
      </c>
      <c r="G867">
        <f>IF($L867="","",IFERROR(--LEFT(INDEX(Расчет!$C$2:$C$3001,$L867),FIND("(",INDEX(Расчет!$C$2:$C$3001,$L867))-1),IFERROR(--LEFT(INDEX(Расчет!$C$2:$C$3001,$L867),1),"")))</f>
        <v/>
      </c>
      <c r="H867">
        <f>IF($L867="","",SUMIFS(Расчет!$G$2:$G$3001,Расчет!$I$2:$I$3001,$K867,Расчет!$H$2:$H$3001,1))</f>
        <v/>
      </c>
      <c r="I867">
        <f>IF($L867="","",SUMIFS(Расчет!$G$2:$G$3001,Расчет!$I$2:$I$3001,$K867,Расчет!$H$2:$H$3001,2))</f>
        <v/>
      </c>
      <c r="J867">
        <f>IF($L867="","",SUMIFS(Расчет!$G$2:$G$3001,Расчет!$I$2:$I$3001,$K867,Расчет!$H$2:$H$3001,3))</f>
        <v/>
      </c>
      <c r="K867">
        <f>IF($L867="","",INDEX(Расчет!$I$2:$I$3001,$L867))</f>
        <v/>
      </c>
      <c r="L867">
        <f>IFERROR(MATCH(ROW()-1,Расчет!$J$2:$J$3001,0),"")</f>
        <v/>
      </c>
    </row>
    <row r="868">
      <c r="A868">
        <f>IF($L868="","",B868&amp;"."&amp;C868&amp;"-"&amp;D868&amp;"-"&amp;H868&amp;"."&amp;I868&amp;"."&amp;J868)</f>
        <v/>
      </c>
      <c r="B868">
        <f>IF($L868="","",INDEX(Расчет!$A$2:$A$3001,$L868))</f>
        <v/>
      </c>
      <c r="C868">
        <f>IF($L868="","",INDEX(Расчет!$B$2:$B$3001,$L868))</f>
        <v/>
      </c>
      <c r="D868">
        <f>IF($L868="","",IF(ISNUMBER(FIND("(",INDEX(Расчет!$C$2:$C$3001,$L868))),SUBSTITUTE(MID(INDEX(Расчет!$C$2:$C$3001,$L868),FIND("(",INDEX(Расчет!$C$2:$C$3001,$L868))+1,99),")",""),INDEX(Расчет!$C$2:$C$3001,$L868)))</f>
        <v/>
      </c>
      <c r="E868">
        <f>IF($L868="","",INDEX(Расчет!$D$2:$D$3001,$L868))</f>
        <v/>
      </c>
      <c r="F868">
        <f>IF($L868="","",INDEX(Расчет!$E$2:$E$3001,$L868))</f>
        <v/>
      </c>
      <c r="G868">
        <f>IF($L868="","",IFERROR(--LEFT(INDEX(Расчет!$C$2:$C$3001,$L868),FIND("(",INDEX(Расчет!$C$2:$C$3001,$L868))-1),IFERROR(--LEFT(INDEX(Расчет!$C$2:$C$3001,$L868),1),"")))</f>
        <v/>
      </c>
      <c r="H868">
        <f>IF($L868="","",SUMIFS(Расчет!$G$2:$G$3001,Расчет!$I$2:$I$3001,$K868,Расчет!$H$2:$H$3001,1))</f>
        <v/>
      </c>
      <c r="I868">
        <f>IF($L868="","",SUMIFS(Расчет!$G$2:$G$3001,Расчет!$I$2:$I$3001,$K868,Расчет!$H$2:$H$3001,2))</f>
        <v/>
      </c>
      <c r="J868">
        <f>IF($L868="","",SUMIFS(Расчет!$G$2:$G$3001,Расчет!$I$2:$I$3001,$K868,Расчет!$H$2:$H$3001,3))</f>
        <v/>
      </c>
      <c r="K868">
        <f>IF($L868="","",INDEX(Расчет!$I$2:$I$3001,$L868))</f>
        <v/>
      </c>
      <c r="L868">
        <f>IFERROR(MATCH(ROW()-1,Расчет!$J$2:$J$3001,0),"")</f>
        <v/>
      </c>
    </row>
    <row r="869">
      <c r="A869">
        <f>IF($L869="","",B869&amp;"."&amp;C869&amp;"-"&amp;D869&amp;"-"&amp;H869&amp;"."&amp;I869&amp;"."&amp;J869)</f>
        <v/>
      </c>
      <c r="B869">
        <f>IF($L869="","",INDEX(Расчет!$A$2:$A$3001,$L869))</f>
        <v/>
      </c>
      <c r="C869">
        <f>IF($L869="","",INDEX(Расчет!$B$2:$B$3001,$L869))</f>
        <v/>
      </c>
      <c r="D869">
        <f>IF($L869="","",IF(ISNUMBER(FIND("(",INDEX(Расчет!$C$2:$C$3001,$L869))),SUBSTITUTE(MID(INDEX(Расчет!$C$2:$C$3001,$L869),FIND("(",INDEX(Расчет!$C$2:$C$3001,$L869))+1,99),")",""),INDEX(Расчет!$C$2:$C$3001,$L869)))</f>
        <v/>
      </c>
      <c r="E869">
        <f>IF($L869="","",INDEX(Расчет!$D$2:$D$3001,$L869))</f>
        <v/>
      </c>
      <c r="F869">
        <f>IF($L869="","",INDEX(Расчет!$E$2:$E$3001,$L869))</f>
        <v/>
      </c>
      <c r="G869">
        <f>IF($L869="","",IFERROR(--LEFT(INDEX(Расчет!$C$2:$C$3001,$L869),FIND("(",INDEX(Расчет!$C$2:$C$3001,$L869))-1),IFERROR(--LEFT(INDEX(Расчет!$C$2:$C$3001,$L869),1),"")))</f>
        <v/>
      </c>
      <c r="H869">
        <f>IF($L869="","",SUMIFS(Расчет!$G$2:$G$3001,Расчет!$I$2:$I$3001,$K869,Расчет!$H$2:$H$3001,1))</f>
        <v/>
      </c>
      <c r="I869">
        <f>IF($L869="","",SUMIFS(Расчет!$G$2:$G$3001,Расчет!$I$2:$I$3001,$K869,Расчет!$H$2:$H$3001,2))</f>
        <v/>
      </c>
      <c r="J869">
        <f>IF($L869="","",SUMIFS(Расчет!$G$2:$G$3001,Расчет!$I$2:$I$3001,$K869,Расчет!$H$2:$H$3001,3))</f>
        <v/>
      </c>
      <c r="K869">
        <f>IF($L869="","",INDEX(Расчет!$I$2:$I$3001,$L869))</f>
        <v/>
      </c>
      <c r="L869">
        <f>IFERROR(MATCH(ROW()-1,Расчет!$J$2:$J$3001,0),"")</f>
        <v/>
      </c>
    </row>
    <row r="870">
      <c r="A870">
        <f>IF($L870="","",B870&amp;"."&amp;C870&amp;"-"&amp;D870&amp;"-"&amp;H870&amp;"."&amp;I870&amp;"."&amp;J870)</f>
        <v/>
      </c>
      <c r="B870">
        <f>IF($L870="","",INDEX(Расчет!$A$2:$A$3001,$L870))</f>
        <v/>
      </c>
      <c r="C870">
        <f>IF($L870="","",INDEX(Расчет!$B$2:$B$3001,$L870))</f>
        <v/>
      </c>
      <c r="D870">
        <f>IF($L870="","",IF(ISNUMBER(FIND("(",INDEX(Расчет!$C$2:$C$3001,$L870))),SUBSTITUTE(MID(INDEX(Расчет!$C$2:$C$3001,$L870),FIND("(",INDEX(Расчет!$C$2:$C$3001,$L870))+1,99),")",""),INDEX(Расчет!$C$2:$C$3001,$L870)))</f>
        <v/>
      </c>
      <c r="E870">
        <f>IF($L870="","",INDEX(Расчет!$D$2:$D$3001,$L870))</f>
        <v/>
      </c>
      <c r="F870">
        <f>IF($L870="","",INDEX(Расчет!$E$2:$E$3001,$L870))</f>
        <v/>
      </c>
      <c r="G870">
        <f>IF($L870="","",IFERROR(--LEFT(INDEX(Расчет!$C$2:$C$3001,$L870),FIND("(",INDEX(Расчет!$C$2:$C$3001,$L870))-1),IFERROR(--LEFT(INDEX(Расчет!$C$2:$C$3001,$L870),1),"")))</f>
        <v/>
      </c>
      <c r="H870">
        <f>IF($L870="","",SUMIFS(Расчет!$G$2:$G$3001,Расчет!$I$2:$I$3001,$K870,Расчет!$H$2:$H$3001,1))</f>
        <v/>
      </c>
      <c r="I870">
        <f>IF($L870="","",SUMIFS(Расчет!$G$2:$G$3001,Расчет!$I$2:$I$3001,$K870,Расчет!$H$2:$H$3001,2))</f>
        <v/>
      </c>
      <c r="J870">
        <f>IF($L870="","",SUMIFS(Расчет!$G$2:$G$3001,Расчет!$I$2:$I$3001,$K870,Расчет!$H$2:$H$3001,3))</f>
        <v/>
      </c>
      <c r="K870">
        <f>IF($L870="","",INDEX(Расчет!$I$2:$I$3001,$L870))</f>
        <v/>
      </c>
      <c r="L870">
        <f>IFERROR(MATCH(ROW()-1,Расчет!$J$2:$J$3001,0),"")</f>
        <v/>
      </c>
    </row>
    <row r="871">
      <c r="A871">
        <f>IF($L871="","",B871&amp;"."&amp;C871&amp;"-"&amp;D871&amp;"-"&amp;H871&amp;"."&amp;I871&amp;"."&amp;J871)</f>
        <v/>
      </c>
      <c r="B871">
        <f>IF($L871="","",INDEX(Расчет!$A$2:$A$3001,$L871))</f>
        <v/>
      </c>
      <c r="C871">
        <f>IF($L871="","",INDEX(Расчет!$B$2:$B$3001,$L871))</f>
        <v/>
      </c>
      <c r="D871">
        <f>IF($L871="","",IF(ISNUMBER(FIND("(",INDEX(Расчет!$C$2:$C$3001,$L871))),SUBSTITUTE(MID(INDEX(Расчет!$C$2:$C$3001,$L871),FIND("(",INDEX(Расчет!$C$2:$C$3001,$L871))+1,99),")",""),INDEX(Расчет!$C$2:$C$3001,$L871)))</f>
        <v/>
      </c>
      <c r="E871">
        <f>IF($L871="","",INDEX(Расчет!$D$2:$D$3001,$L871))</f>
        <v/>
      </c>
      <c r="F871">
        <f>IF($L871="","",INDEX(Расчет!$E$2:$E$3001,$L871))</f>
        <v/>
      </c>
      <c r="G871">
        <f>IF($L871="","",IFERROR(--LEFT(INDEX(Расчет!$C$2:$C$3001,$L871),FIND("(",INDEX(Расчет!$C$2:$C$3001,$L871))-1),IFERROR(--LEFT(INDEX(Расчет!$C$2:$C$3001,$L871),1),"")))</f>
        <v/>
      </c>
      <c r="H871">
        <f>IF($L871="","",SUMIFS(Расчет!$G$2:$G$3001,Расчет!$I$2:$I$3001,$K871,Расчет!$H$2:$H$3001,1))</f>
        <v/>
      </c>
      <c r="I871">
        <f>IF($L871="","",SUMIFS(Расчет!$G$2:$G$3001,Расчет!$I$2:$I$3001,$K871,Расчет!$H$2:$H$3001,2))</f>
        <v/>
      </c>
      <c r="J871">
        <f>IF($L871="","",SUMIFS(Расчет!$G$2:$G$3001,Расчет!$I$2:$I$3001,$K871,Расчет!$H$2:$H$3001,3))</f>
        <v/>
      </c>
      <c r="K871">
        <f>IF($L871="","",INDEX(Расчет!$I$2:$I$3001,$L871))</f>
        <v/>
      </c>
      <c r="L871">
        <f>IFERROR(MATCH(ROW()-1,Расчет!$J$2:$J$3001,0),"")</f>
        <v/>
      </c>
    </row>
    <row r="872">
      <c r="A872">
        <f>IF($L872="","",B872&amp;"."&amp;C872&amp;"-"&amp;D872&amp;"-"&amp;H872&amp;"."&amp;I872&amp;"."&amp;J872)</f>
        <v/>
      </c>
      <c r="B872">
        <f>IF($L872="","",INDEX(Расчет!$A$2:$A$3001,$L872))</f>
        <v/>
      </c>
      <c r="C872">
        <f>IF($L872="","",INDEX(Расчет!$B$2:$B$3001,$L872))</f>
        <v/>
      </c>
      <c r="D872">
        <f>IF($L872="","",IF(ISNUMBER(FIND("(",INDEX(Расчет!$C$2:$C$3001,$L872))),SUBSTITUTE(MID(INDEX(Расчет!$C$2:$C$3001,$L872),FIND("(",INDEX(Расчет!$C$2:$C$3001,$L872))+1,99),")",""),INDEX(Расчет!$C$2:$C$3001,$L872)))</f>
        <v/>
      </c>
      <c r="E872">
        <f>IF($L872="","",INDEX(Расчет!$D$2:$D$3001,$L872))</f>
        <v/>
      </c>
      <c r="F872">
        <f>IF($L872="","",INDEX(Расчет!$E$2:$E$3001,$L872))</f>
        <v/>
      </c>
      <c r="G872">
        <f>IF($L872="","",IFERROR(--LEFT(INDEX(Расчет!$C$2:$C$3001,$L872),FIND("(",INDEX(Расчет!$C$2:$C$3001,$L872))-1),IFERROR(--LEFT(INDEX(Расчет!$C$2:$C$3001,$L872),1),"")))</f>
        <v/>
      </c>
      <c r="H872">
        <f>IF($L872="","",SUMIFS(Расчет!$G$2:$G$3001,Расчет!$I$2:$I$3001,$K872,Расчет!$H$2:$H$3001,1))</f>
        <v/>
      </c>
      <c r="I872">
        <f>IF($L872="","",SUMIFS(Расчет!$G$2:$G$3001,Расчет!$I$2:$I$3001,$K872,Расчет!$H$2:$H$3001,2))</f>
        <v/>
      </c>
      <c r="J872">
        <f>IF($L872="","",SUMIFS(Расчет!$G$2:$G$3001,Расчет!$I$2:$I$3001,$K872,Расчет!$H$2:$H$3001,3))</f>
        <v/>
      </c>
      <c r="K872">
        <f>IF($L872="","",INDEX(Расчет!$I$2:$I$3001,$L872))</f>
        <v/>
      </c>
      <c r="L872">
        <f>IFERROR(MATCH(ROW()-1,Расчет!$J$2:$J$3001,0),"")</f>
        <v/>
      </c>
    </row>
    <row r="873">
      <c r="A873">
        <f>IF($L873="","",B873&amp;"."&amp;C873&amp;"-"&amp;D873&amp;"-"&amp;H873&amp;"."&amp;I873&amp;"."&amp;J873)</f>
        <v/>
      </c>
      <c r="B873">
        <f>IF($L873="","",INDEX(Расчет!$A$2:$A$3001,$L873))</f>
        <v/>
      </c>
      <c r="C873">
        <f>IF($L873="","",INDEX(Расчет!$B$2:$B$3001,$L873))</f>
        <v/>
      </c>
      <c r="D873">
        <f>IF($L873="","",IF(ISNUMBER(FIND("(",INDEX(Расчет!$C$2:$C$3001,$L873))),SUBSTITUTE(MID(INDEX(Расчет!$C$2:$C$3001,$L873),FIND("(",INDEX(Расчет!$C$2:$C$3001,$L873))+1,99),")",""),INDEX(Расчет!$C$2:$C$3001,$L873)))</f>
        <v/>
      </c>
      <c r="E873">
        <f>IF($L873="","",INDEX(Расчет!$D$2:$D$3001,$L873))</f>
        <v/>
      </c>
      <c r="F873">
        <f>IF($L873="","",INDEX(Расчет!$E$2:$E$3001,$L873))</f>
        <v/>
      </c>
      <c r="G873">
        <f>IF($L873="","",IFERROR(--LEFT(INDEX(Расчет!$C$2:$C$3001,$L873),FIND("(",INDEX(Расчет!$C$2:$C$3001,$L873))-1),IFERROR(--LEFT(INDEX(Расчет!$C$2:$C$3001,$L873),1),"")))</f>
        <v/>
      </c>
      <c r="H873">
        <f>IF($L873="","",SUMIFS(Расчет!$G$2:$G$3001,Расчет!$I$2:$I$3001,$K873,Расчет!$H$2:$H$3001,1))</f>
        <v/>
      </c>
      <c r="I873">
        <f>IF($L873="","",SUMIFS(Расчет!$G$2:$G$3001,Расчет!$I$2:$I$3001,$K873,Расчет!$H$2:$H$3001,2))</f>
        <v/>
      </c>
      <c r="J873">
        <f>IF($L873="","",SUMIFS(Расчет!$G$2:$G$3001,Расчет!$I$2:$I$3001,$K873,Расчет!$H$2:$H$3001,3))</f>
        <v/>
      </c>
      <c r="K873">
        <f>IF($L873="","",INDEX(Расчет!$I$2:$I$3001,$L873))</f>
        <v/>
      </c>
      <c r="L873">
        <f>IFERROR(MATCH(ROW()-1,Расчет!$J$2:$J$3001,0),"")</f>
        <v/>
      </c>
    </row>
    <row r="874">
      <c r="A874">
        <f>IF($L874="","",B874&amp;"."&amp;C874&amp;"-"&amp;D874&amp;"-"&amp;H874&amp;"."&amp;I874&amp;"."&amp;J874)</f>
        <v/>
      </c>
      <c r="B874">
        <f>IF($L874="","",INDEX(Расчет!$A$2:$A$3001,$L874))</f>
        <v/>
      </c>
      <c r="C874">
        <f>IF($L874="","",INDEX(Расчет!$B$2:$B$3001,$L874))</f>
        <v/>
      </c>
      <c r="D874">
        <f>IF($L874="","",IF(ISNUMBER(FIND("(",INDEX(Расчет!$C$2:$C$3001,$L874))),SUBSTITUTE(MID(INDEX(Расчет!$C$2:$C$3001,$L874),FIND("(",INDEX(Расчет!$C$2:$C$3001,$L874))+1,99),")",""),INDEX(Расчет!$C$2:$C$3001,$L874)))</f>
        <v/>
      </c>
      <c r="E874">
        <f>IF($L874="","",INDEX(Расчет!$D$2:$D$3001,$L874))</f>
        <v/>
      </c>
      <c r="F874">
        <f>IF($L874="","",INDEX(Расчет!$E$2:$E$3001,$L874))</f>
        <v/>
      </c>
      <c r="G874">
        <f>IF($L874="","",IFERROR(--LEFT(INDEX(Расчет!$C$2:$C$3001,$L874),FIND("(",INDEX(Расчет!$C$2:$C$3001,$L874))-1),IFERROR(--LEFT(INDEX(Расчет!$C$2:$C$3001,$L874),1),"")))</f>
        <v/>
      </c>
      <c r="H874">
        <f>IF($L874="","",SUMIFS(Расчет!$G$2:$G$3001,Расчет!$I$2:$I$3001,$K874,Расчет!$H$2:$H$3001,1))</f>
        <v/>
      </c>
      <c r="I874">
        <f>IF($L874="","",SUMIFS(Расчет!$G$2:$G$3001,Расчет!$I$2:$I$3001,$K874,Расчет!$H$2:$H$3001,2))</f>
        <v/>
      </c>
      <c r="J874">
        <f>IF($L874="","",SUMIFS(Расчет!$G$2:$G$3001,Расчет!$I$2:$I$3001,$K874,Расчет!$H$2:$H$3001,3))</f>
        <v/>
      </c>
      <c r="K874">
        <f>IF($L874="","",INDEX(Расчет!$I$2:$I$3001,$L874))</f>
        <v/>
      </c>
      <c r="L874">
        <f>IFERROR(MATCH(ROW()-1,Расчет!$J$2:$J$3001,0),"")</f>
        <v/>
      </c>
    </row>
    <row r="875">
      <c r="A875">
        <f>IF($L875="","",B875&amp;"."&amp;C875&amp;"-"&amp;D875&amp;"-"&amp;H875&amp;"."&amp;I875&amp;"."&amp;J875)</f>
        <v/>
      </c>
      <c r="B875">
        <f>IF($L875="","",INDEX(Расчет!$A$2:$A$3001,$L875))</f>
        <v/>
      </c>
      <c r="C875">
        <f>IF($L875="","",INDEX(Расчет!$B$2:$B$3001,$L875))</f>
        <v/>
      </c>
      <c r="D875">
        <f>IF($L875="","",IF(ISNUMBER(FIND("(",INDEX(Расчет!$C$2:$C$3001,$L875))),SUBSTITUTE(MID(INDEX(Расчет!$C$2:$C$3001,$L875),FIND("(",INDEX(Расчет!$C$2:$C$3001,$L875))+1,99),")",""),INDEX(Расчет!$C$2:$C$3001,$L875)))</f>
        <v/>
      </c>
      <c r="E875">
        <f>IF($L875="","",INDEX(Расчет!$D$2:$D$3001,$L875))</f>
        <v/>
      </c>
      <c r="F875">
        <f>IF($L875="","",INDEX(Расчет!$E$2:$E$3001,$L875))</f>
        <v/>
      </c>
      <c r="G875">
        <f>IF($L875="","",IFERROR(--LEFT(INDEX(Расчет!$C$2:$C$3001,$L875),FIND("(",INDEX(Расчет!$C$2:$C$3001,$L875))-1),IFERROR(--LEFT(INDEX(Расчет!$C$2:$C$3001,$L875),1),"")))</f>
        <v/>
      </c>
      <c r="H875">
        <f>IF($L875="","",SUMIFS(Расчет!$G$2:$G$3001,Расчет!$I$2:$I$3001,$K875,Расчет!$H$2:$H$3001,1))</f>
        <v/>
      </c>
      <c r="I875">
        <f>IF($L875="","",SUMIFS(Расчет!$G$2:$G$3001,Расчет!$I$2:$I$3001,$K875,Расчет!$H$2:$H$3001,2))</f>
        <v/>
      </c>
      <c r="J875">
        <f>IF($L875="","",SUMIFS(Расчет!$G$2:$G$3001,Расчет!$I$2:$I$3001,$K875,Расчет!$H$2:$H$3001,3))</f>
        <v/>
      </c>
      <c r="K875">
        <f>IF($L875="","",INDEX(Расчет!$I$2:$I$3001,$L875))</f>
        <v/>
      </c>
      <c r="L875">
        <f>IFERROR(MATCH(ROW()-1,Расчет!$J$2:$J$3001,0),"")</f>
        <v/>
      </c>
    </row>
    <row r="876">
      <c r="A876">
        <f>IF($L876="","",B876&amp;"."&amp;C876&amp;"-"&amp;D876&amp;"-"&amp;H876&amp;"."&amp;I876&amp;"."&amp;J876)</f>
        <v/>
      </c>
      <c r="B876">
        <f>IF($L876="","",INDEX(Расчет!$A$2:$A$3001,$L876))</f>
        <v/>
      </c>
      <c r="C876">
        <f>IF($L876="","",INDEX(Расчет!$B$2:$B$3001,$L876))</f>
        <v/>
      </c>
      <c r="D876">
        <f>IF($L876="","",IF(ISNUMBER(FIND("(",INDEX(Расчет!$C$2:$C$3001,$L876))),SUBSTITUTE(MID(INDEX(Расчет!$C$2:$C$3001,$L876),FIND("(",INDEX(Расчет!$C$2:$C$3001,$L876))+1,99),")",""),INDEX(Расчет!$C$2:$C$3001,$L876)))</f>
        <v/>
      </c>
      <c r="E876">
        <f>IF($L876="","",INDEX(Расчет!$D$2:$D$3001,$L876))</f>
        <v/>
      </c>
      <c r="F876">
        <f>IF($L876="","",INDEX(Расчет!$E$2:$E$3001,$L876))</f>
        <v/>
      </c>
      <c r="G876">
        <f>IF($L876="","",IFERROR(--LEFT(INDEX(Расчет!$C$2:$C$3001,$L876),FIND("(",INDEX(Расчет!$C$2:$C$3001,$L876))-1),IFERROR(--LEFT(INDEX(Расчет!$C$2:$C$3001,$L876),1),"")))</f>
        <v/>
      </c>
      <c r="H876">
        <f>IF($L876="","",SUMIFS(Расчет!$G$2:$G$3001,Расчет!$I$2:$I$3001,$K876,Расчет!$H$2:$H$3001,1))</f>
        <v/>
      </c>
      <c r="I876">
        <f>IF($L876="","",SUMIFS(Расчет!$G$2:$G$3001,Расчет!$I$2:$I$3001,$K876,Расчет!$H$2:$H$3001,2))</f>
        <v/>
      </c>
      <c r="J876">
        <f>IF($L876="","",SUMIFS(Расчет!$G$2:$G$3001,Расчет!$I$2:$I$3001,$K876,Расчет!$H$2:$H$3001,3))</f>
        <v/>
      </c>
      <c r="K876">
        <f>IF($L876="","",INDEX(Расчет!$I$2:$I$3001,$L876))</f>
        <v/>
      </c>
      <c r="L876">
        <f>IFERROR(MATCH(ROW()-1,Расчет!$J$2:$J$3001,0),"")</f>
        <v/>
      </c>
    </row>
    <row r="877">
      <c r="A877">
        <f>IF($L877="","",B877&amp;"."&amp;C877&amp;"-"&amp;D877&amp;"-"&amp;H877&amp;"."&amp;I877&amp;"."&amp;J877)</f>
        <v/>
      </c>
      <c r="B877">
        <f>IF($L877="","",INDEX(Расчет!$A$2:$A$3001,$L877))</f>
        <v/>
      </c>
      <c r="C877">
        <f>IF($L877="","",INDEX(Расчет!$B$2:$B$3001,$L877))</f>
        <v/>
      </c>
      <c r="D877">
        <f>IF($L877="","",IF(ISNUMBER(FIND("(",INDEX(Расчет!$C$2:$C$3001,$L877))),SUBSTITUTE(MID(INDEX(Расчет!$C$2:$C$3001,$L877),FIND("(",INDEX(Расчет!$C$2:$C$3001,$L877))+1,99),")",""),INDEX(Расчет!$C$2:$C$3001,$L877)))</f>
        <v/>
      </c>
      <c r="E877">
        <f>IF($L877="","",INDEX(Расчет!$D$2:$D$3001,$L877))</f>
        <v/>
      </c>
      <c r="F877">
        <f>IF($L877="","",INDEX(Расчет!$E$2:$E$3001,$L877))</f>
        <v/>
      </c>
      <c r="G877">
        <f>IF($L877="","",IFERROR(--LEFT(INDEX(Расчет!$C$2:$C$3001,$L877),FIND("(",INDEX(Расчет!$C$2:$C$3001,$L877))-1),IFERROR(--LEFT(INDEX(Расчет!$C$2:$C$3001,$L877),1),"")))</f>
        <v/>
      </c>
      <c r="H877">
        <f>IF($L877="","",SUMIFS(Расчет!$G$2:$G$3001,Расчет!$I$2:$I$3001,$K877,Расчет!$H$2:$H$3001,1))</f>
        <v/>
      </c>
      <c r="I877">
        <f>IF($L877="","",SUMIFS(Расчет!$G$2:$G$3001,Расчет!$I$2:$I$3001,$K877,Расчет!$H$2:$H$3001,2))</f>
        <v/>
      </c>
      <c r="J877">
        <f>IF($L877="","",SUMIFS(Расчет!$G$2:$G$3001,Расчет!$I$2:$I$3001,$K877,Расчет!$H$2:$H$3001,3))</f>
        <v/>
      </c>
      <c r="K877">
        <f>IF($L877="","",INDEX(Расчет!$I$2:$I$3001,$L877))</f>
        <v/>
      </c>
      <c r="L877">
        <f>IFERROR(MATCH(ROW()-1,Расчет!$J$2:$J$3001,0),"")</f>
        <v/>
      </c>
    </row>
    <row r="878">
      <c r="A878">
        <f>IF($L878="","",B878&amp;"."&amp;C878&amp;"-"&amp;D878&amp;"-"&amp;H878&amp;"."&amp;I878&amp;"."&amp;J878)</f>
        <v/>
      </c>
      <c r="B878">
        <f>IF($L878="","",INDEX(Расчет!$A$2:$A$3001,$L878))</f>
        <v/>
      </c>
      <c r="C878">
        <f>IF($L878="","",INDEX(Расчет!$B$2:$B$3001,$L878))</f>
        <v/>
      </c>
      <c r="D878">
        <f>IF($L878="","",IF(ISNUMBER(FIND("(",INDEX(Расчет!$C$2:$C$3001,$L878))),SUBSTITUTE(MID(INDEX(Расчет!$C$2:$C$3001,$L878),FIND("(",INDEX(Расчет!$C$2:$C$3001,$L878))+1,99),")",""),INDEX(Расчет!$C$2:$C$3001,$L878)))</f>
        <v/>
      </c>
      <c r="E878">
        <f>IF($L878="","",INDEX(Расчет!$D$2:$D$3001,$L878))</f>
        <v/>
      </c>
      <c r="F878">
        <f>IF($L878="","",INDEX(Расчет!$E$2:$E$3001,$L878))</f>
        <v/>
      </c>
      <c r="G878">
        <f>IF($L878="","",IFERROR(--LEFT(INDEX(Расчет!$C$2:$C$3001,$L878),FIND("(",INDEX(Расчет!$C$2:$C$3001,$L878))-1),IFERROR(--LEFT(INDEX(Расчет!$C$2:$C$3001,$L878),1),"")))</f>
        <v/>
      </c>
      <c r="H878">
        <f>IF($L878="","",SUMIFS(Расчет!$G$2:$G$3001,Расчет!$I$2:$I$3001,$K878,Расчет!$H$2:$H$3001,1))</f>
        <v/>
      </c>
      <c r="I878">
        <f>IF($L878="","",SUMIFS(Расчет!$G$2:$G$3001,Расчет!$I$2:$I$3001,$K878,Расчет!$H$2:$H$3001,2))</f>
        <v/>
      </c>
      <c r="J878">
        <f>IF($L878="","",SUMIFS(Расчет!$G$2:$G$3001,Расчет!$I$2:$I$3001,$K878,Расчет!$H$2:$H$3001,3))</f>
        <v/>
      </c>
      <c r="K878">
        <f>IF($L878="","",INDEX(Расчет!$I$2:$I$3001,$L878))</f>
        <v/>
      </c>
      <c r="L878">
        <f>IFERROR(MATCH(ROW()-1,Расчет!$J$2:$J$3001,0),"")</f>
        <v/>
      </c>
    </row>
    <row r="879">
      <c r="A879">
        <f>IF($L879="","",B879&amp;"."&amp;C879&amp;"-"&amp;D879&amp;"-"&amp;H879&amp;"."&amp;I879&amp;"."&amp;J879)</f>
        <v/>
      </c>
      <c r="B879">
        <f>IF($L879="","",INDEX(Расчет!$A$2:$A$3001,$L879))</f>
        <v/>
      </c>
      <c r="C879">
        <f>IF($L879="","",INDEX(Расчет!$B$2:$B$3001,$L879))</f>
        <v/>
      </c>
      <c r="D879">
        <f>IF($L879="","",IF(ISNUMBER(FIND("(",INDEX(Расчет!$C$2:$C$3001,$L879))),SUBSTITUTE(MID(INDEX(Расчет!$C$2:$C$3001,$L879),FIND("(",INDEX(Расчет!$C$2:$C$3001,$L879))+1,99),")",""),INDEX(Расчет!$C$2:$C$3001,$L879)))</f>
        <v/>
      </c>
      <c r="E879">
        <f>IF($L879="","",INDEX(Расчет!$D$2:$D$3001,$L879))</f>
        <v/>
      </c>
      <c r="F879">
        <f>IF($L879="","",INDEX(Расчет!$E$2:$E$3001,$L879))</f>
        <v/>
      </c>
      <c r="G879">
        <f>IF($L879="","",IFERROR(--LEFT(INDEX(Расчет!$C$2:$C$3001,$L879),FIND("(",INDEX(Расчет!$C$2:$C$3001,$L879))-1),IFERROR(--LEFT(INDEX(Расчет!$C$2:$C$3001,$L879),1),"")))</f>
        <v/>
      </c>
      <c r="H879">
        <f>IF($L879="","",SUMIFS(Расчет!$G$2:$G$3001,Расчет!$I$2:$I$3001,$K879,Расчет!$H$2:$H$3001,1))</f>
        <v/>
      </c>
      <c r="I879">
        <f>IF($L879="","",SUMIFS(Расчет!$G$2:$G$3001,Расчет!$I$2:$I$3001,$K879,Расчет!$H$2:$H$3001,2))</f>
        <v/>
      </c>
      <c r="J879">
        <f>IF($L879="","",SUMIFS(Расчет!$G$2:$G$3001,Расчет!$I$2:$I$3001,$K879,Расчет!$H$2:$H$3001,3))</f>
        <v/>
      </c>
      <c r="K879">
        <f>IF($L879="","",INDEX(Расчет!$I$2:$I$3001,$L879))</f>
        <v/>
      </c>
      <c r="L879">
        <f>IFERROR(MATCH(ROW()-1,Расчет!$J$2:$J$3001,0),"")</f>
        <v/>
      </c>
    </row>
    <row r="880">
      <c r="A880">
        <f>IF($L880="","",B880&amp;"."&amp;C880&amp;"-"&amp;D880&amp;"-"&amp;H880&amp;"."&amp;I880&amp;"."&amp;J880)</f>
        <v/>
      </c>
      <c r="B880">
        <f>IF($L880="","",INDEX(Расчет!$A$2:$A$3001,$L880))</f>
        <v/>
      </c>
      <c r="C880">
        <f>IF($L880="","",INDEX(Расчет!$B$2:$B$3001,$L880))</f>
        <v/>
      </c>
      <c r="D880">
        <f>IF($L880="","",IF(ISNUMBER(FIND("(",INDEX(Расчет!$C$2:$C$3001,$L880))),SUBSTITUTE(MID(INDEX(Расчет!$C$2:$C$3001,$L880),FIND("(",INDEX(Расчет!$C$2:$C$3001,$L880))+1,99),")",""),INDEX(Расчет!$C$2:$C$3001,$L880)))</f>
        <v/>
      </c>
      <c r="E880">
        <f>IF($L880="","",INDEX(Расчет!$D$2:$D$3001,$L880))</f>
        <v/>
      </c>
      <c r="F880">
        <f>IF($L880="","",INDEX(Расчет!$E$2:$E$3001,$L880))</f>
        <v/>
      </c>
      <c r="G880">
        <f>IF($L880="","",IFERROR(--LEFT(INDEX(Расчет!$C$2:$C$3001,$L880),FIND("(",INDEX(Расчет!$C$2:$C$3001,$L880))-1),IFERROR(--LEFT(INDEX(Расчет!$C$2:$C$3001,$L880),1),"")))</f>
        <v/>
      </c>
      <c r="H880">
        <f>IF($L880="","",SUMIFS(Расчет!$G$2:$G$3001,Расчет!$I$2:$I$3001,$K880,Расчет!$H$2:$H$3001,1))</f>
        <v/>
      </c>
      <c r="I880">
        <f>IF($L880="","",SUMIFS(Расчет!$G$2:$G$3001,Расчет!$I$2:$I$3001,$K880,Расчет!$H$2:$H$3001,2))</f>
        <v/>
      </c>
      <c r="J880">
        <f>IF($L880="","",SUMIFS(Расчет!$G$2:$G$3001,Расчет!$I$2:$I$3001,$K880,Расчет!$H$2:$H$3001,3))</f>
        <v/>
      </c>
      <c r="K880">
        <f>IF($L880="","",INDEX(Расчет!$I$2:$I$3001,$L880))</f>
        <v/>
      </c>
      <c r="L880">
        <f>IFERROR(MATCH(ROW()-1,Расчет!$J$2:$J$3001,0),"")</f>
        <v/>
      </c>
    </row>
    <row r="881">
      <c r="A881">
        <f>IF($L881="","",B881&amp;"."&amp;C881&amp;"-"&amp;D881&amp;"-"&amp;H881&amp;"."&amp;I881&amp;"."&amp;J881)</f>
        <v/>
      </c>
      <c r="B881">
        <f>IF($L881="","",INDEX(Расчет!$A$2:$A$3001,$L881))</f>
        <v/>
      </c>
      <c r="C881">
        <f>IF($L881="","",INDEX(Расчет!$B$2:$B$3001,$L881))</f>
        <v/>
      </c>
      <c r="D881">
        <f>IF($L881="","",IF(ISNUMBER(FIND("(",INDEX(Расчет!$C$2:$C$3001,$L881))),SUBSTITUTE(MID(INDEX(Расчет!$C$2:$C$3001,$L881),FIND("(",INDEX(Расчет!$C$2:$C$3001,$L881))+1,99),")",""),INDEX(Расчет!$C$2:$C$3001,$L881)))</f>
        <v/>
      </c>
      <c r="E881">
        <f>IF($L881="","",INDEX(Расчет!$D$2:$D$3001,$L881))</f>
        <v/>
      </c>
      <c r="F881">
        <f>IF($L881="","",INDEX(Расчет!$E$2:$E$3001,$L881))</f>
        <v/>
      </c>
      <c r="G881">
        <f>IF($L881="","",IFERROR(--LEFT(INDEX(Расчет!$C$2:$C$3001,$L881),FIND("(",INDEX(Расчет!$C$2:$C$3001,$L881))-1),IFERROR(--LEFT(INDEX(Расчет!$C$2:$C$3001,$L881),1),"")))</f>
        <v/>
      </c>
      <c r="H881">
        <f>IF($L881="","",SUMIFS(Расчет!$G$2:$G$3001,Расчет!$I$2:$I$3001,$K881,Расчет!$H$2:$H$3001,1))</f>
        <v/>
      </c>
      <c r="I881">
        <f>IF($L881="","",SUMIFS(Расчет!$G$2:$G$3001,Расчет!$I$2:$I$3001,$K881,Расчет!$H$2:$H$3001,2))</f>
        <v/>
      </c>
      <c r="J881">
        <f>IF($L881="","",SUMIFS(Расчет!$G$2:$G$3001,Расчет!$I$2:$I$3001,$K881,Расчет!$H$2:$H$3001,3))</f>
        <v/>
      </c>
      <c r="K881">
        <f>IF($L881="","",INDEX(Расчет!$I$2:$I$3001,$L881))</f>
        <v/>
      </c>
      <c r="L881">
        <f>IFERROR(MATCH(ROW()-1,Расчет!$J$2:$J$3001,0),"")</f>
        <v/>
      </c>
    </row>
    <row r="882">
      <c r="A882">
        <f>IF($L882="","",B882&amp;"."&amp;C882&amp;"-"&amp;D882&amp;"-"&amp;H882&amp;"."&amp;I882&amp;"."&amp;J882)</f>
        <v/>
      </c>
      <c r="B882">
        <f>IF($L882="","",INDEX(Расчет!$A$2:$A$3001,$L882))</f>
        <v/>
      </c>
      <c r="C882">
        <f>IF($L882="","",INDEX(Расчет!$B$2:$B$3001,$L882))</f>
        <v/>
      </c>
      <c r="D882">
        <f>IF($L882="","",IF(ISNUMBER(FIND("(",INDEX(Расчет!$C$2:$C$3001,$L882))),SUBSTITUTE(MID(INDEX(Расчет!$C$2:$C$3001,$L882),FIND("(",INDEX(Расчет!$C$2:$C$3001,$L882))+1,99),")",""),INDEX(Расчет!$C$2:$C$3001,$L882)))</f>
        <v/>
      </c>
      <c r="E882">
        <f>IF($L882="","",INDEX(Расчет!$D$2:$D$3001,$L882))</f>
        <v/>
      </c>
      <c r="F882">
        <f>IF($L882="","",INDEX(Расчет!$E$2:$E$3001,$L882))</f>
        <v/>
      </c>
      <c r="G882">
        <f>IF($L882="","",IFERROR(--LEFT(INDEX(Расчет!$C$2:$C$3001,$L882),FIND("(",INDEX(Расчет!$C$2:$C$3001,$L882))-1),IFERROR(--LEFT(INDEX(Расчет!$C$2:$C$3001,$L882),1),"")))</f>
        <v/>
      </c>
      <c r="H882">
        <f>IF($L882="","",SUMIFS(Расчет!$G$2:$G$3001,Расчет!$I$2:$I$3001,$K882,Расчет!$H$2:$H$3001,1))</f>
        <v/>
      </c>
      <c r="I882">
        <f>IF($L882="","",SUMIFS(Расчет!$G$2:$G$3001,Расчет!$I$2:$I$3001,$K882,Расчет!$H$2:$H$3001,2))</f>
        <v/>
      </c>
      <c r="J882">
        <f>IF($L882="","",SUMIFS(Расчет!$G$2:$G$3001,Расчет!$I$2:$I$3001,$K882,Расчет!$H$2:$H$3001,3))</f>
        <v/>
      </c>
      <c r="K882">
        <f>IF($L882="","",INDEX(Расчет!$I$2:$I$3001,$L882))</f>
        <v/>
      </c>
      <c r="L882">
        <f>IFERROR(MATCH(ROW()-1,Расчет!$J$2:$J$3001,0),"")</f>
        <v/>
      </c>
    </row>
    <row r="883">
      <c r="A883">
        <f>IF($L883="","",B883&amp;"."&amp;C883&amp;"-"&amp;D883&amp;"-"&amp;H883&amp;"."&amp;I883&amp;"."&amp;J883)</f>
        <v/>
      </c>
      <c r="B883">
        <f>IF($L883="","",INDEX(Расчет!$A$2:$A$3001,$L883))</f>
        <v/>
      </c>
      <c r="C883">
        <f>IF($L883="","",INDEX(Расчет!$B$2:$B$3001,$L883))</f>
        <v/>
      </c>
      <c r="D883">
        <f>IF($L883="","",IF(ISNUMBER(FIND("(",INDEX(Расчет!$C$2:$C$3001,$L883))),SUBSTITUTE(MID(INDEX(Расчет!$C$2:$C$3001,$L883),FIND("(",INDEX(Расчет!$C$2:$C$3001,$L883))+1,99),")",""),INDEX(Расчет!$C$2:$C$3001,$L883)))</f>
        <v/>
      </c>
      <c r="E883">
        <f>IF($L883="","",INDEX(Расчет!$D$2:$D$3001,$L883))</f>
        <v/>
      </c>
      <c r="F883">
        <f>IF($L883="","",INDEX(Расчет!$E$2:$E$3001,$L883))</f>
        <v/>
      </c>
      <c r="G883">
        <f>IF($L883="","",IFERROR(--LEFT(INDEX(Расчет!$C$2:$C$3001,$L883),FIND("(",INDEX(Расчет!$C$2:$C$3001,$L883))-1),IFERROR(--LEFT(INDEX(Расчет!$C$2:$C$3001,$L883),1),"")))</f>
        <v/>
      </c>
      <c r="H883">
        <f>IF($L883="","",SUMIFS(Расчет!$G$2:$G$3001,Расчет!$I$2:$I$3001,$K883,Расчет!$H$2:$H$3001,1))</f>
        <v/>
      </c>
      <c r="I883">
        <f>IF($L883="","",SUMIFS(Расчет!$G$2:$G$3001,Расчет!$I$2:$I$3001,$K883,Расчет!$H$2:$H$3001,2))</f>
        <v/>
      </c>
      <c r="J883">
        <f>IF($L883="","",SUMIFS(Расчет!$G$2:$G$3001,Расчет!$I$2:$I$3001,$K883,Расчет!$H$2:$H$3001,3))</f>
        <v/>
      </c>
      <c r="K883">
        <f>IF($L883="","",INDEX(Расчет!$I$2:$I$3001,$L883))</f>
        <v/>
      </c>
      <c r="L883">
        <f>IFERROR(MATCH(ROW()-1,Расчет!$J$2:$J$3001,0),"")</f>
        <v/>
      </c>
    </row>
    <row r="884">
      <c r="A884">
        <f>IF($L884="","",B884&amp;"."&amp;C884&amp;"-"&amp;D884&amp;"-"&amp;H884&amp;"."&amp;I884&amp;"."&amp;J884)</f>
        <v/>
      </c>
      <c r="B884">
        <f>IF($L884="","",INDEX(Расчет!$A$2:$A$3001,$L884))</f>
        <v/>
      </c>
      <c r="C884">
        <f>IF($L884="","",INDEX(Расчет!$B$2:$B$3001,$L884))</f>
        <v/>
      </c>
      <c r="D884">
        <f>IF($L884="","",IF(ISNUMBER(FIND("(",INDEX(Расчет!$C$2:$C$3001,$L884))),SUBSTITUTE(MID(INDEX(Расчет!$C$2:$C$3001,$L884),FIND("(",INDEX(Расчет!$C$2:$C$3001,$L884))+1,99),")",""),INDEX(Расчет!$C$2:$C$3001,$L884)))</f>
        <v/>
      </c>
      <c r="E884">
        <f>IF($L884="","",INDEX(Расчет!$D$2:$D$3001,$L884))</f>
        <v/>
      </c>
      <c r="F884">
        <f>IF($L884="","",INDEX(Расчет!$E$2:$E$3001,$L884))</f>
        <v/>
      </c>
      <c r="G884">
        <f>IF($L884="","",IFERROR(--LEFT(INDEX(Расчет!$C$2:$C$3001,$L884),FIND("(",INDEX(Расчет!$C$2:$C$3001,$L884))-1),IFERROR(--LEFT(INDEX(Расчет!$C$2:$C$3001,$L884),1),"")))</f>
        <v/>
      </c>
      <c r="H884">
        <f>IF($L884="","",SUMIFS(Расчет!$G$2:$G$3001,Расчет!$I$2:$I$3001,$K884,Расчет!$H$2:$H$3001,1))</f>
        <v/>
      </c>
      <c r="I884">
        <f>IF($L884="","",SUMIFS(Расчет!$G$2:$G$3001,Расчет!$I$2:$I$3001,$K884,Расчет!$H$2:$H$3001,2))</f>
        <v/>
      </c>
      <c r="J884">
        <f>IF($L884="","",SUMIFS(Расчет!$G$2:$G$3001,Расчет!$I$2:$I$3001,$K884,Расчет!$H$2:$H$3001,3))</f>
        <v/>
      </c>
      <c r="K884">
        <f>IF($L884="","",INDEX(Расчет!$I$2:$I$3001,$L884))</f>
        <v/>
      </c>
      <c r="L884">
        <f>IFERROR(MATCH(ROW()-1,Расчет!$J$2:$J$3001,0),"")</f>
        <v/>
      </c>
    </row>
    <row r="885">
      <c r="A885">
        <f>IF($L885="","",B885&amp;"."&amp;C885&amp;"-"&amp;D885&amp;"-"&amp;H885&amp;"."&amp;I885&amp;"."&amp;J885)</f>
        <v/>
      </c>
      <c r="B885">
        <f>IF($L885="","",INDEX(Расчет!$A$2:$A$3001,$L885))</f>
        <v/>
      </c>
      <c r="C885">
        <f>IF($L885="","",INDEX(Расчет!$B$2:$B$3001,$L885))</f>
        <v/>
      </c>
      <c r="D885">
        <f>IF($L885="","",IF(ISNUMBER(FIND("(",INDEX(Расчет!$C$2:$C$3001,$L885))),SUBSTITUTE(MID(INDEX(Расчет!$C$2:$C$3001,$L885),FIND("(",INDEX(Расчет!$C$2:$C$3001,$L885))+1,99),")",""),INDEX(Расчет!$C$2:$C$3001,$L885)))</f>
        <v/>
      </c>
      <c r="E885">
        <f>IF($L885="","",INDEX(Расчет!$D$2:$D$3001,$L885))</f>
        <v/>
      </c>
      <c r="F885">
        <f>IF($L885="","",INDEX(Расчет!$E$2:$E$3001,$L885))</f>
        <v/>
      </c>
      <c r="G885">
        <f>IF($L885="","",IFERROR(--LEFT(INDEX(Расчет!$C$2:$C$3001,$L885),FIND("(",INDEX(Расчет!$C$2:$C$3001,$L885))-1),IFERROR(--LEFT(INDEX(Расчет!$C$2:$C$3001,$L885),1),"")))</f>
        <v/>
      </c>
      <c r="H885">
        <f>IF($L885="","",SUMIFS(Расчет!$G$2:$G$3001,Расчет!$I$2:$I$3001,$K885,Расчет!$H$2:$H$3001,1))</f>
        <v/>
      </c>
      <c r="I885">
        <f>IF($L885="","",SUMIFS(Расчет!$G$2:$G$3001,Расчет!$I$2:$I$3001,$K885,Расчет!$H$2:$H$3001,2))</f>
        <v/>
      </c>
      <c r="J885">
        <f>IF($L885="","",SUMIFS(Расчет!$G$2:$G$3001,Расчет!$I$2:$I$3001,$K885,Расчет!$H$2:$H$3001,3))</f>
        <v/>
      </c>
      <c r="K885">
        <f>IF($L885="","",INDEX(Расчет!$I$2:$I$3001,$L885))</f>
        <v/>
      </c>
      <c r="L885">
        <f>IFERROR(MATCH(ROW()-1,Расчет!$J$2:$J$3001,0),"")</f>
        <v/>
      </c>
    </row>
    <row r="886">
      <c r="A886">
        <f>IF($L886="","",B886&amp;"."&amp;C886&amp;"-"&amp;D886&amp;"-"&amp;H886&amp;"."&amp;I886&amp;"."&amp;J886)</f>
        <v/>
      </c>
      <c r="B886">
        <f>IF($L886="","",INDEX(Расчет!$A$2:$A$3001,$L886))</f>
        <v/>
      </c>
      <c r="C886">
        <f>IF($L886="","",INDEX(Расчет!$B$2:$B$3001,$L886))</f>
        <v/>
      </c>
      <c r="D886">
        <f>IF($L886="","",IF(ISNUMBER(FIND("(",INDEX(Расчет!$C$2:$C$3001,$L886))),SUBSTITUTE(MID(INDEX(Расчет!$C$2:$C$3001,$L886),FIND("(",INDEX(Расчет!$C$2:$C$3001,$L886))+1,99),")",""),INDEX(Расчет!$C$2:$C$3001,$L886)))</f>
        <v/>
      </c>
      <c r="E886">
        <f>IF($L886="","",INDEX(Расчет!$D$2:$D$3001,$L886))</f>
        <v/>
      </c>
      <c r="F886">
        <f>IF($L886="","",INDEX(Расчет!$E$2:$E$3001,$L886))</f>
        <v/>
      </c>
      <c r="G886">
        <f>IF($L886="","",IFERROR(--LEFT(INDEX(Расчет!$C$2:$C$3001,$L886),FIND("(",INDEX(Расчет!$C$2:$C$3001,$L886))-1),IFERROR(--LEFT(INDEX(Расчет!$C$2:$C$3001,$L886),1),"")))</f>
        <v/>
      </c>
      <c r="H886">
        <f>IF($L886="","",SUMIFS(Расчет!$G$2:$G$3001,Расчет!$I$2:$I$3001,$K886,Расчет!$H$2:$H$3001,1))</f>
        <v/>
      </c>
      <c r="I886">
        <f>IF($L886="","",SUMIFS(Расчет!$G$2:$G$3001,Расчет!$I$2:$I$3001,$K886,Расчет!$H$2:$H$3001,2))</f>
        <v/>
      </c>
      <c r="J886">
        <f>IF($L886="","",SUMIFS(Расчет!$G$2:$G$3001,Расчет!$I$2:$I$3001,$K886,Расчет!$H$2:$H$3001,3))</f>
        <v/>
      </c>
      <c r="K886">
        <f>IF($L886="","",INDEX(Расчет!$I$2:$I$3001,$L886))</f>
        <v/>
      </c>
      <c r="L886">
        <f>IFERROR(MATCH(ROW()-1,Расчет!$J$2:$J$3001,0),"")</f>
        <v/>
      </c>
    </row>
    <row r="887">
      <c r="A887">
        <f>IF($L887="","",B887&amp;"."&amp;C887&amp;"-"&amp;D887&amp;"-"&amp;H887&amp;"."&amp;I887&amp;"."&amp;J887)</f>
        <v/>
      </c>
      <c r="B887">
        <f>IF($L887="","",INDEX(Расчет!$A$2:$A$3001,$L887))</f>
        <v/>
      </c>
      <c r="C887">
        <f>IF($L887="","",INDEX(Расчет!$B$2:$B$3001,$L887))</f>
        <v/>
      </c>
      <c r="D887">
        <f>IF($L887="","",IF(ISNUMBER(FIND("(",INDEX(Расчет!$C$2:$C$3001,$L887))),SUBSTITUTE(MID(INDEX(Расчет!$C$2:$C$3001,$L887),FIND("(",INDEX(Расчет!$C$2:$C$3001,$L887))+1,99),")",""),INDEX(Расчет!$C$2:$C$3001,$L887)))</f>
        <v/>
      </c>
      <c r="E887">
        <f>IF($L887="","",INDEX(Расчет!$D$2:$D$3001,$L887))</f>
        <v/>
      </c>
      <c r="F887">
        <f>IF($L887="","",INDEX(Расчет!$E$2:$E$3001,$L887))</f>
        <v/>
      </c>
      <c r="G887">
        <f>IF($L887="","",IFERROR(--LEFT(INDEX(Расчет!$C$2:$C$3001,$L887),FIND("(",INDEX(Расчет!$C$2:$C$3001,$L887))-1),IFERROR(--LEFT(INDEX(Расчет!$C$2:$C$3001,$L887),1),"")))</f>
        <v/>
      </c>
      <c r="H887">
        <f>IF($L887="","",SUMIFS(Расчет!$G$2:$G$3001,Расчет!$I$2:$I$3001,$K887,Расчет!$H$2:$H$3001,1))</f>
        <v/>
      </c>
      <c r="I887">
        <f>IF($L887="","",SUMIFS(Расчет!$G$2:$G$3001,Расчет!$I$2:$I$3001,$K887,Расчет!$H$2:$H$3001,2))</f>
        <v/>
      </c>
      <c r="J887">
        <f>IF($L887="","",SUMIFS(Расчет!$G$2:$G$3001,Расчет!$I$2:$I$3001,$K887,Расчет!$H$2:$H$3001,3))</f>
        <v/>
      </c>
      <c r="K887">
        <f>IF($L887="","",INDEX(Расчет!$I$2:$I$3001,$L887))</f>
        <v/>
      </c>
      <c r="L887">
        <f>IFERROR(MATCH(ROW()-1,Расчет!$J$2:$J$3001,0),"")</f>
        <v/>
      </c>
    </row>
    <row r="888">
      <c r="A888">
        <f>IF($L888="","",B888&amp;"."&amp;C888&amp;"-"&amp;D888&amp;"-"&amp;H888&amp;"."&amp;I888&amp;"."&amp;J888)</f>
        <v/>
      </c>
      <c r="B888">
        <f>IF($L888="","",INDEX(Расчет!$A$2:$A$3001,$L888))</f>
        <v/>
      </c>
      <c r="C888">
        <f>IF($L888="","",INDEX(Расчет!$B$2:$B$3001,$L888))</f>
        <v/>
      </c>
      <c r="D888">
        <f>IF($L888="","",IF(ISNUMBER(FIND("(",INDEX(Расчет!$C$2:$C$3001,$L888))),SUBSTITUTE(MID(INDEX(Расчет!$C$2:$C$3001,$L888),FIND("(",INDEX(Расчет!$C$2:$C$3001,$L888))+1,99),")",""),INDEX(Расчет!$C$2:$C$3001,$L888)))</f>
        <v/>
      </c>
      <c r="E888">
        <f>IF($L888="","",INDEX(Расчет!$D$2:$D$3001,$L888))</f>
        <v/>
      </c>
      <c r="F888">
        <f>IF($L888="","",INDEX(Расчет!$E$2:$E$3001,$L888))</f>
        <v/>
      </c>
      <c r="G888">
        <f>IF($L888="","",IFERROR(--LEFT(INDEX(Расчет!$C$2:$C$3001,$L888),FIND("(",INDEX(Расчет!$C$2:$C$3001,$L888))-1),IFERROR(--LEFT(INDEX(Расчет!$C$2:$C$3001,$L888),1),"")))</f>
        <v/>
      </c>
      <c r="H888">
        <f>IF($L888="","",SUMIFS(Расчет!$G$2:$G$3001,Расчет!$I$2:$I$3001,$K888,Расчет!$H$2:$H$3001,1))</f>
        <v/>
      </c>
      <c r="I888">
        <f>IF($L888="","",SUMIFS(Расчет!$G$2:$G$3001,Расчет!$I$2:$I$3001,$K888,Расчет!$H$2:$H$3001,2))</f>
        <v/>
      </c>
      <c r="J888">
        <f>IF($L888="","",SUMIFS(Расчет!$G$2:$G$3001,Расчет!$I$2:$I$3001,$K888,Расчет!$H$2:$H$3001,3))</f>
        <v/>
      </c>
      <c r="K888">
        <f>IF($L888="","",INDEX(Расчет!$I$2:$I$3001,$L888))</f>
        <v/>
      </c>
      <c r="L888">
        <f>IFERROR(MATCH(ROW()-1,Расчет!$J$2:$J$3001,0),"")</f>
        <v/>
      </c>
    </row>
    <row r="889">
      <c r="A889">
        <f>IF($L889="","",B889&amp;"."&amp;C889&amp;"-"&amp;D889&amp;"-"&amp;H889&amp;"."&amp;I889&amp;"."&amp;J889)</f>
        <v/>
      </c>
      <c r="B889">
        <f>IF($L889="","",INDEX(Расчет!$A$2:$A$3001,$L889))</f>
        <v/>
      </c>
      <c r="C889">
        <f>IF($L889="","",INDEX(Расчет!$B$2:$B$3001,$L889))</f>
        <v/>
      </c>
      <c r="D889">
        <f>IF($L889="","",IF(ISNUMBER(FIND("(",INDEX(Расчет!$C$2:$C$3001,$L889))),SUBSTITUTE(MID(INDEX(Расчет!$C$2:$C$3001,$L889),FIND("(",INDEX(Расчет!$C$2:$C$3001,$L889))+1,99),")",""),INDEX(Расчет!$C$2:$C$3001,$L889)))</f>
        <v/>
      </c>
      <c r="E889">
        <f>IF($L889="","",INDEX(Расчет!$D$2:$D$3001,$L889))</f>
        <v/>
      </c>
      <c r="F889">
        <f>IF($L889="","",INDEX(Расчет!$E$2:$E$3001,$L889))</f>
        <v/>
      </c>
      <c r="G889">
        <f>IF($L889="","",IFERROR(--LEFT(INDEX(Расчет!$C$2:$C$3001,$L889),FIND("(",INDEX(Расчет!$C$2:$C$3001,$L889))-1),IFERROR(--LEFT(INDEX(Расчет!$C$2:$C$3001,$L889),1),"")))</f>
        <v/>
      </c>
      <c r="H889">
        <f>IF($L889="","",SUMIFS(Расчет!$G$2:$G$3001,Расчет!$I$2:$I$3001,$K889,Расчет!$H$2:$H$3001,1))</f>
        <v/>
      </c>
      <c r="I889">
        <f>IF($L889="","",SUMIFS(Расчет!$G$2:$G$3001,Расчет!$I$2:$I$3001,$K889,Расчет!$H$2:$H$3001,2))</f>
        <v/>
      </c>
      <c r="J889">
        <f>IF($L889="","",SUMIFS(Расчет!$G$2:$G$3001,Расчет!$I$2:$I$3001,$K889,Расчет!$H$2:$H$3001,3))</f>
        <v/>
      </c>
      <c r="K889">
        <f>IF($L889="","",INDEX(Расчет!$I$2:$I$3001,$L889))</f>
        <v/>
      </c>
      <c r="L889">
        <f>IFERROR(MATCH(ROW()-1,Расчет!$J$2:$J$3001,0),"")</f>
        <v/>
      </c>
    </row>
    <row r="890">
      <c r="A890">
        <f>IF($L890="","",B890&amp;"."&amp;C890&amp;"-"&amp;D890&amp;"-"&amp;H890&amp;"."&amp;I890&amp;"."&amp;J890)</f>
        <v/>
      </c>
      <c r="B890">
        <f>IF($L890="","",INDEX(Расчет!$A$2:$A$3001,$L890))</f>
        <v/>
      </c>
      <c r="C890">
        <f>IF($L890="","",INDEX(Расчет!$B$2:$B$3001,$L890))</f>
        <v/>
      </c>
      <c r="D890">
        <f>IF($L890="","",IF(ISNUMBER(FIND("(",INDEX(Расчет!$C$2:$C$3001,$L890))),SUBSTITUTE(MID(INDEX(Расчет!$C$2:$C$3001,$L890),FIND("(",INDEX(Расчет!$C$2:$C$3001,$L890))+1,99),")",""),INDEX(Расчет!$C$2:$C$3001,$L890)))</f>
        <v/>
      </c>
      <c r="E890">
        <f>IF($L890="","",INDEX(Расчет!$D$2:$D$3001,$L890))</f>
        <v/>
      </c>
      <c r="F890">
        <f>IF($L890="","",INDEX(Расчет!$E$2:$E$3001,$L890))</f>
        <v/>
      </c>
      <c r="G890">
        <f>IF($L890="","",IFERROR(--LEFT(INDEX(Расчет!$C$2:$C$3001,$L890),FIND("(",INDEX(Расчет!$C$2:$C$3001,$L890))-1),IFERROR(--LEFT(INDEX(Расчет!$C$2:$C$3001,$L890),1),"")))</f>
        <v/>
      </c>
      <c r="H890">
        <f>IF($L890="","",SUMIFS(Расчет!$G$2:$G$3001,Расчет!$I$2:$I$3001,$K890,Расчет!$H$2:$H$3001,1))</f>
        <v/>
      </c>
      <c r="I890">
        <f>IF($L890="","",SUMIFS(Расчет!$G$2:$G$3001,Расчет!$I$2:$I$3001,$K890,Расчет!$H$2:$H$3001,2))</f>
        <v/>
      </c>
      <c r="J890">
        <f>IF($L890="","",SUMIFS(Расчет!$G$2:$G$3001,Расчет!$I$2:$I$3001,$K890,Расчет!$H$2:$H$3001,3))</f>
        <v/>
      </c>
      <c r="K890">
        <f>IF($L890="","",INDEX(Расчет!$I$2:$I$3001,$L890))</f>
        <v/>
      </c>
      <c r="L890">
        <f>IFERROR(MATCH(ROW()-1,Расчет!$J$2:$J$3001,0),"")</f>
        <v/>
      </c>
    </row>
    <row r="891">
      <c r="A891">
        <f>IF($L891="","",B891&amp;"."&amp;C891&amp;"-"&amp;D891&amp;"-"&amp;H891&amp;"."&amp;I891&amp;"."&amp;J891)</f>
        <v/>
      </c>
      <c r="B891">
        <f>IF($L891="","",INDEX(Расчет!$A$2:$A$3001,$L891))</f>
        <v/>
      </c>
      <c r="C891">
        <f>IF($L891="","",INDEX(Расчет!$B$2:$B$3001,$L891))</f>
        <v/>
      </c>
      <c r="D891">
        <f>IF($L891="","",IF(ISNUMBER(FIND("(",INDEX(Расчет!$C$2:$C$3001,$L891))),SUBSTITUTE(MID(INDEX(Расчет!$C$2:$C$3001,$L891),FIND("(",INDEX(Расчет!$C$2:$C$3001,$L891))+1,99),")",""),INDEX(Расчет!$C$2:$C$3001,$L891)))</f>
        <v/>
      </c>
      <c r="E891">
        <f>IF($L891="","",INDEX(Расчет!$D$2:$D$3001,$L891))</f>
        <v/>
      </c>
      <c r="F891">
        <f>IF($L891="","",INDEX(Расчет!$E$2:$E$3001,$L891))</f>
        <v/>
      </c>
      <c r="G891">
        <f>IF($L891="","",IFERROR(--LEFT(INDEX(Расчет!$C$2:$C$3001,$L891),FIND("(",INDEX(Расчет!$C$2:$C$3001,$L891))-1),IFERROR(--LEFT(INDEX(Расчет!$C$2:$C$3001,$L891),1),"")))</f>
        <v/>
      </c>
      <c r="H891">
        <f>IF($L891="","",SUMIFS(Расчет!$G$2:$G$3001,Расчет!$I$2:$I$3001,$K891,Расчет!$H$2:$H$3001,1))</f>
        <v/>
      </c>
      <c r="I891">
        <f>IF($L891="","",SUMIFS(Расчет!$G$2:$G$3001,Расчет!$I$2:$I$3001,$K891,Расчет!$H$2:$H$3001,2))</f>
        <v/>
      </c>
      <c r="J891">
        <f>IF($L891="","",SUMIFS(Расчет!$G$2:$G$3001,Расчет!$I$2:$I$3001,$K891,Расчет!$H$2:$H$3001,3))</f>
        <v/>
      </c>
      <c r="K891">
        <f>IF($L891="","",INDEX(Расчет!$I$2:$I$3001,$L891))</f>
        <v/>
      </c>
      <c r="L891">
        <f>IFERROR(MATCH(ROW()-1,Расчет!$J$2:$J$3001,0),"")</f>
        <v/>
      </c>
    </row>
    <row r="892">
      <c r="A892">
        <f>IF($L892="","",B892&amp;"."&amp;C892&amp;"-"&amp;D892&amp;"-"&amp;H892&amp;"."&amp;I892&amp;"."&amp;J892)</f>
        <v/>
      </c>
      <c r="B892">
        <f>IF($L892="","",INDEX(Расчет!$A$2:$A$3001,$L892))</f>
        <v/>
      </c>
      <c r="C892">
        <f>IF($L892="","",INDEX(Расчет!$B$2:$B$3001,$L892))</f>
        <v/>
      </c>
      <c r="D892">
        <f>IF($L892="","",IF(ISNUMBER(FIND("(",INDEX(Расчет!$C$2:$C$3001,$L892))),SUBSTITUTE(MID(INDEX(Расчет!$C$2:$C$3001,$L892),FIND("(",INDEX(Расчет!$C$2:$C$3001,$L892))+1,99),")",""),INDEX(Расчет!$C$2:$C$3001,$L892)))</f>
        <v/>
      </c>
      <c r="E892">
        <f>IF($L892="","",INDEX(Расчет!$D$2:$D$3001,$L892))</f>
        <v/>
      </c>
      <c r="F892">
        <f>IF($L892="","",INDEX(Расчет!$E$2:$E$3001,$L892))</f>
        <v/>
      </c>
      <c r="G892">
        <f>IF($L892="","",IFERROR(--LEFT(INDEX(Расчет!$C$2:$C$3001,$L892),FIND("(",INDEX(Расчет!$C$2:$C$3001,$L892))-1),IFERROR(--LEFT(INDEX(Расчет!$C$2:$C$3001,$L892),1),"")))</f>
        <v/>
      </c>
      <c r="H892">
        <f>IF($L892="","",SUMIFS(Расчет!$G$2:$G$3001,Расчет!$I$2:$I$3001,$K892,Расчет!$H$2:$H$3001,1))</f>
        <v/>
      </c>
      <c r="I892">
        <f>IF($L892="","",SUMIFS(Расчет!$G$2:$G$3001,Расчет!$I$2:$I$3001,$K892,Расчет!$H$2:$H$3001,2))</f>
        <v/>
      </c>
      <c r="J892">
        <f>IF($L892="","",SUMIFS(Расчет!$G$2:$G$3001,Расчет!$I$2:$I$3001,$K892,Расчет!$H$2:$H$3001,3))</f>
        <v/>
      </c>
      <c r="K892">
        <f>IF($L892="","",INDEX(Расчет!$I$2:$I$3001,$L892))</f>
        <v/>
      </c>
      <c r="L892">
        <f>IFERROR(MATCH(ROW()-1,Расчет!$J$2:$J$3001,0),"")</f>
        <v/>
      </c>
    </row>
    <row r="893">
      <c r="A893">
        <f>IF($L893="","",B893&amp;"."&amp;C893&amp;"-"&amp;D893&amp;"-"&amp;H893&amp;"."&amp;I893&amp;"."&amp;J893)</f>
        <v/>
      </c>
      <c r="B893">
        <f>IF($L893="","",INDEX(Расчет!$A$2:$A$3001,$L893))</f>
        <v/>
      </c>
      <c r="C893">
        <f>IF($L893="","",INDEX(Расчет!$B$2:$B$3001,$L893))</f>
        <v/>
      </c>
      <c r="D893">
        <f>IF($L893="","",IF(ISNUMBER(FIND("(",INDEX(Расчет!$C$2:$C$3001,$L893))),SUBSTITUTE(MID(INDEX(Расчет!$C$2:$C$3001,$L893),FIND("(",INDEX(Расчет!$C$2:$C$3001,$L893))+1,99),")",""),INDEX(Расчет!$C$2:$C$3001,$L893)))</f>
        <v/>
      </c>
      <c r="E893">
        <f>IF($L893="","",INDEX(Расчет!$D$2:$D$3001,$L893))</f>
        <v/>
      </c>
      <c r="F893">
        <f>IF($L893="","",INDEX(Расчет!$E$2:$E$3001,$L893))</f>
        <v/>
      </c>
      <c r="G893">
        <f>IF($L893="","",IFERROR(--LEFT(INDEX(Расчет!$C$2:$C$3001,$L893),FIND("(",INDEX(Расчет!$C$2:$C$3001,$L893))-1),IFERROR(--LEFT(INDEX(Расчет!$C$2:$C$3001,$L893),1),"")))</f>
        <v/>
      </c>
      <c r="H893">
        <f>IF($L893="","",SUMIFS(Расчет!$G$2:$G$3001,Расчет!$I$2:$I$3001,$K893,Расчет!$H$2:$H$3001,1))</f>
        <v/>
      </c>
      <c r="I893">
        <f>IF($L893="","",SUMIFS(Расчет!$G$2:$G$3001,Расчет!$I$2:$I$3001,$K893,Расчет!$H$2:$H$3001,2))</f>
        <v/>
      </c>
      <c r="J893">
        <f>IF($L893="","",SUMIFS(Расчет!$G$2:$G$3001,Расчет!$I$2:$I$3001,$K893,Расчет!$H$2:$H$3001,3))</f>
        <v/>
      </c>
      <c r="K893">
        <f>IF($L893="","",INDEX(Расчет!$I$2:$I$3001,$L893))</f>
        <v/>
      </c>
      <c r="L893">
        <f>IFERROR(MATCH(ROW()-1,Расчет!$J$2:$J$3001,0),"")</f>
        <v/>
      </c>
    </row>
    <row r="894">
      <c r="A894">
        <f>IF($L894="","",B894&amp;"."&amp;C894&amp;"-"&amp;D894&amp;"-"&amp;H894&amp;"."&amp;I894&amp;"."&amp;J894)</f>
        <v/>
      </c>
      <c r="B894">
        <f>IF($L894="","",INDEX(Расчет!$A$2:$A$3001,$L894))</f>
        <v/>
      </c>
      <c r="C894">
        <f>IF($L894="","",INDEX(Расчет!$B$2:$B$3001,$L894))</f>
        <v/>
      </c>
      <c r="D894">
        <f>IF($L894="","",IF(ISNUMBER(FIND("(",INDEX(Расчет!$C$2:$C$3001,$L894))),SUBSTITUTE(MID(INDEX(Расчет!$C$2:$C$3001,$L894),FIND("(",INDEX(Расчет!$C$2:$C$3001,$L894))+1,99),")",""),INDEX(Расчет!$C$2:$C$3001,$L894)))</f>
        <v/>
      </c>
      <c r="E894">
        <f>IF($L894="","",INDEX(Расчет!$D$2:$D$3001,$L894))</f>
        <v/>
      </c>
      <c r="F894">
        <f>IF($L894="","",INDEX(Расчет!$E$2:$E$3001,$L894))</f>
        <v/>
      </c>
      <c r="G894">
        <f>IF($L894="","",IFERROR(--LEFT(INDEX(Расчет!$C$2:$C$3001,$L894),FIND("(",INDEX(Расчет!$C$2:$C$3001,$L894))-1),IFERROR(--LEFT(INDEX(Расчет!$C$2:$C$3001,$L894),1),"")))</f>
        <v/>
      </c>
      <c r="H894">
        <f>IF($L894="","",SUMIFS(Расчет!$G$2:$G$3001,Расчет!$I$2:$I$3001,$K894,Расчет!$H$2:$H$3001,1))</f>
        <v/>
      </c>
      <c r="I894">
        <f>IF($L894="","",SUMIFS(Расчет!$G$2:$G$3001,Расчет!$I$2:$I$3001,$K894,Расчет!$H$2:$H$3001,2))</f>
        <v/>
      </c>
      <c r="J894">
        <f>IF($L894="","",SUMIFS(Расчет!$G$2:$G$3001,Расчет!$I$2:$I$3001,$K894,Расчет!$H$2:$H$3001,3))</f>
        <v/>
      </c>
      <c r="K894">
        <f>IF($L894="","",INDEX(Расчет!$I$2:$I$3001,$L894))</f>
        <v/>
      </c>
      <c r="L894">
        <f>IFERROR(MATCH(ROW()-1,Расчет!$J$2:$J$3001,0),"")</f>
        <v/>
      </c>
    </row>
    <row r="895">
      <c r="A895">
        <f>IF($L895="","",B895&amp;"."&amp;C895&amp;"-"&amp;D895&amp;"-"&amp;H895&amp;"."&amp;I895&amp;"."&amp;J895)</f>
        <v/>
      </c>
      <c r="B895">
        <f>IF($L895="","",INDEX(Расчет!$A$2:$A$3001,$L895))</f>
        <v/>
      </c>
      <c r="C895">
        <f>IF($L895="","",INDEX(Расчет!$B$2:$B$3001,$L895))</f>
        <v/>
      </c>
      <c r="D895">
        <f>IF($L895="","",IF(ISNUMBER(FIND("(",INDEX(Расчет!$C$2:$C$3001,$L895))),SUBSTITUTE(MID(INDEX(Расчет!$C$2:$C$3001,$L895),FIND("(",INDEX(Расчет!$C$2:$C$3001,$L895))+1,99),")",""),INDEX(Расчет!$C$2:$C$3001,$L895)))</f>
        <v/>
      </c>
      <c r="E895">
        <f>IF($L895="","",INDEX(Расчет!$D$2:$D$3001,$L895))</f>
        <v/>
      </c>
      <c r="F895">
        <f>IF($L895="","",INDEX(Расчет!$E$2:$E$3001,$L895))</f>
        <v/>
      </c>
      <c r="G895">
        <f>IF($L895="","",IFERROR(--LEFT(INDEX(Расчет!$C$2:$C$3001,$L895),FIND("(",INDEX(Расчет!$C$2:$C$3001,$L895))-1),IFERROR(--LEFT(INDEX(Расчет!$C$2:$C$3001,$L895),1),"")))</f>
        <v/>
      </c>
      <c r="H895">
        <f>IF($L895="","",SUMIFS(Расчет!$G$2:$G$3001,Расчет!$I$2:$I$3001,$K895,Расчет!$H$2:$H$3001,1))</f>
        <v/>
      </c>
      <c r="I895">
        <f>IF($L895="","",SUMIFS(Расчет!$G$2:$G$3001,Расчет!$I$2:$I$3001,$K895,Расчет!$H$2:$H$3001,2))</f>
        <v/>
      </c>
      <c r="J895">
        <f>IF($L895="","",SUMIFS(Расчет!$G$2:$G$3001,Расчет!$I$2:$I$3001,$K895,Расчет!$H$2:$H$3001,3))</f>
        <v/>
      </c>
      <c r="K895">
        <f>IF($L895="","",INDEX(Расчет!$I$2:$I$3001,$L895))</f>
        <v/>
      </c>
      <c r="L895">
        <f>IFERROR(MATCH(ROW()-1,Расчет!$J$2:$J$3001,0),"")</f>
        <v/>
      </c>
    </row>
    <row r="896">
      <c r="A896">
        <f>IF($L896="","",B896&amp;"."&amp;C896&amp;"-"&amp;D896&amp;"-"&amp;H896&amp;"."&amp;I896&amp;"."&amp;J896)</f>
        <v/>
      </c>
      <c r="B896">
        <f>IF($L896="","",INDEX(Расчет!$A$2:$A$3001,$L896))</f>
        <v/>
      </c>
      <c r="C896">
        <f>IF($L896="","",INDEX(Расчет!$B$2:$B$3001,$L896))</f>
        <v/>
      </c>
      <c r="D896">
        <f>IF($L896="","",IF(ISNUMBER(FIND("(",INDEX(Расчет!$C$2:$C$3001,$L896))),SUBSTITUTE(MID(INDEX(Расчет!$C$2:$C$3001,$L896),FIND("(",INDEX(Расчет!$C$2:$C$3001,$L896))+1,99),")",""),INDEX(Расчет!$C$2:$C$3001,$L896)))</f>
        <v/>
      </c>
      <c r="E896">
        <f>IF($L896="","",INDEX(Расчет!$D$2:$D$3001,$L896))</f>
        <v/>
      </c>
      <c r="F896">
        <f>IF($L896="","",INDEX(Расчет!$E$2:$E$3001,$L896))</f>
        <v/>
      </c>
      <c r="G896">
        <f>IF($L896="","",IFERROR(--LEFT(INDEX(Расчет!$C$2:$C$3001,$L896),FIND("(",INDEX(Расчет!$C$2:$C$3001,$L896))-1),IFERROR(--LEFT(INDEX(Расчет!$C$2:$C$3001,$L896),1),"")))</f>
        <v/>
      </c>
      <c r="H896">
        <f>IF($L896="","",SUMIFS(Расчет!$G$2:$G$3001,Расчет!$I$2:$I$3001,$K896,Расчет!$H$2:$H$3001,1))</f>
        <v/>
      </c>
      <c r="I896">
        <f>IF($L896="","",SUMIFS(Расчет!$G$2:$G$3001,Расчет!$I$2:$I$3001,$K896,Расчет!$H$2:$H$3001,2))</f>
        <v/>
      </c>
      <c r="J896">
        <f>IF($L896="","",SUMIFS(Расчет!$G$2:$G$3001,Расчет!$I$2:$I$3001,$K896,Расчет!$H$2:$H$3001,3))</f>
        <v/>
      </c>
      <c r="K896">
        <f>IF($L896="","",INDEX(Расчет!$I$2:$I$3001,$L896))</f>
        <v/>
      </c>
      <c r="L896">
        <f>IFERROR(MATCH(ROW()-1,Расчет!$J$2:$J$3001,0),"")</f>
        <v/>
      </c>
    </row>
    <row r="897">
      <c r="A897">
        <f>IF($L897="","",B897&amp;"."&amp;C897&amp;"-"&amp;D897&amp;"-"&amp;H897&amp;"."&amp;I897&amp;"."&amp;J897)</f>
        <v/>
      </c>
      <c r="B897">
        <f>IF($L897="","",INDEX(Расчет!$A$2:$A$3001,$L897))</f>
        <v/>
      </c>
      <c r="C897">
        <f>IF($L897="","",INDEX(Расчет!$B$2:$B$3001,$L897))</f>
        <v/>
      </c>
      <c r="D897">
        <f>IF($L897="","",IF(ISNUMBER(FIND("(",INDEX(Расчет!$C$2:$C$3001,$L897))),SUBSTITUTE(MID(INDEX(Расчет!$C$2:$C$3001,$L897),FIND("(",INDEX(Расчет!$C$2:$C$3001,$L897))+1,99),")",""),INDEX(Расчет!$C$2:$C$3001,$L897)))</f>
        <v/>
      </c>
      <c r="E897">
        <f>IF($L897="","",INDEX(Расчет!$D$2:$D$3001,$L897))</f>
        <v/>
      </c>
      <c r="F897">
        <f>IF($L897="","",INDEX(Расчет!$E$2:$E$3001,$L897))</f>
        <v/>
      </c>
      <c r="G897">
        <f>IF($L897="","",IFERROR(--LEFT(INDEX(Расчет!$C$2:$C$3001,$L897),FIND("(",INDEX(Расчет!$C$2:$C$3001,$L897))-1),IFERROR(--LEFT(INDEX(Расчет!$C$2:$C$3001,$L897),1),"")))</f>
        <v/>
      </c>
      <c r="H897">
        <f>IF($L897="","",SUMIFS(Расчет!$G$2:$G$3001,Расчет!$I$2:$I$3001,$K897,Расчет!$H$2:$H$3001,1))</f>
        <v/>
      </c>
      <c r="I897">
        <f>IF($L897="","",SUMIFS(Расчет!$G$2:$G$3001,Расчет!$I$2:$I$3001,$K897,Расчет!$H$2:$H$3001,2))</f>
        <v/>
      </c>
      <c r="J897">
        <f>IF($L897="","",SUMIFS(Расчет!$G$2:$G$3001,Расчет!$I$2:$I$3001,$K897,Расчет!$H$2:$H$3001,3))</f>
        <v/>
      </c>
      <c r="K897">
        <f>IF($L897="","",INDEX(Расчет!$I$2:$I$3001,$L897))</f>
        <v/>
      </c>
      <c r="L897">
        <f>IFERROR(MATCH(ROW()-1,Расчет!$J$2:$J$3001,0),"")</f>
        <v/>
      </c>
    </row>
    <row r="898">
      <c r="A898">
        <f>IF($L898="","",B898&amp;"."&amp;C898&amp;"-"&amp;D898&amp;"-"&amp;H898&amp;"."&amp;I898&amp;"."&amp;J898)</f>
        <v/>
      </c>
      <c r="B898">
        <f>IF($L898="","",INDEX(Расчет!$A$2:$A$3001,$L898))</f>
        <v/>
      </c>
      <c r="C898">
        <f>IF($L898="","",INDEX(Расчет!$B$2:$B$3001,$L898))</f>
        <v/>
      </c>
      <c r="D898">
        <f>IF($L898="","",IF(ISNUMBER(FIND("(",INDEX(Расчет!$C$2:$C$3001,$L898))),SUBSTITUTE(MID(INDEX(Расчет!$C$2:$C$3001,$L898),FIND("(",INDEX(Расчет!$C$2:$C$3001,$L898))+1,99),")",""),INDEX(Расчет!$C$2:$C$3001,$L898)))</f>
        <v/>
      </c>
      <c r="E898">
        <f>IF($L898="","",INDEX(Расчет!$D$2:$D$3001,$L898))</f>
        <v/>
      </c>
      <c r="F898">
        <f>IF($L898="","",INDEX(Расчет!$E$2:$E$3001,$L898))</f>
        <v/>
      </c>
      <c r="G898">
        <f>IF($L898="","",IFERROR(--LEFT(INDEX(Расчет!$C$2:$C$3001,$L898),FIND("(",INDEX(Расчет!$C$2:$C$3001,$L898))-1),IFERROR(--LEFT(INDEX(Расчет!$C$2:$C$3001,$L898),1),"")))</f>
        <v/>
      </c>
      <c r="H898">
        <f>IF($L898="","",SUMIFS(Расчет!$G$2:$G$3001,Расчет!$I$2:$I$3001,$K898,Расчет!$H$2:$H$3001,1))</f>
        <v/>
      </c>
      <c r="I898">
        <f>IF($L898="","",SUMIFS(Расчет!$G$2:$G$3001,Расчет!$I$2:$I$3001,$K898,Расчет!$H$2:$H$3001,2))</f>
        <v/>
      </c>
      <c r="J898">
        <f>IF($L898="","",SUMIFS(Расчет!$G$2:$G$3001,Расчет!$I$2:$I$3001,$K898,Расчет!$H$2:$H$3001,3))</f>
        <v/>
      </c>
      <c r="K898">
        <f>IF($L898="","",INDEX(Расчет!$I$2:$I$3001,$L898))</f>
        <v/>
      </c>
      <c r="L898">
        <f>IFERROR(MATCH(ROW()-1,Расчет!$J$2:$J$3001,0),"")</f>
        <v/>
      </c>
    </row>
    <row r="899">
      <c r="A899">
        <f>IF($L899="","",B899&amp;"."&amp;C899&amp;"-"&amp;D899&amp;"-"&amp;H899&amp;"."&amp;I899&amp;"."&amp;J899)</f>
        <v/>
      </c>
      <c r="B899">
        <f>IF($L899="","",INDEX(Расчет!$A$2:$A$3001,$L899))</f>
        <v/>
      </c>
      <c r="C899">
        <f>IF($L899="","",INDEX(Расчет!$B$2:$B$3001,$L899))</f>
        <v/>
      </c>
      <c r="D899">
        <f>IF($L899="","",IF(ISNUMBER(FIND("(",INDEX(Расчет!$C$2:$C$3001,$L899))),SUBSTITUTE(MID(INDEX(Расчет!$C$2:$C$3001,$L899),FIND("(",INDEX(Расчет!$C$2:$C$3001,$L899))+1,99),")",""),INDEX(Расчет!$C$2:$C$3001,$L899)))</f>
        <v/>
      </c>
      <c r="E899">
        <f>IF($L899="","",INDEX(Расчет!$D$2:$D$3001,$L899))</f>
        <v/>
      </c>
      <c r="F899">
        <f>IF($L899="","",INDEX(Расчет!$E$2:$E$3001,$L899))</f>
        <v/>
      </c>
      <c r="G899">
        <f>IF($L899="","",IFERROR(--LEFT(INDEX(Расчет!$C$2:$C$3001,$L899),FIND("(",INDEX(Расчет!$C$2:$C$3001,$L899))-1),IFERROR(--LEFT(INDEX(Расчет!$C$2:$C$3001,$L899),1),"")))</f>
        <v/>
      </c>
      <c r="H899">
        <f>IF($L899="","",SUMIFS(Расчет!$G$2:$G$3001,Расчет!$I$2:$I$3001,$K899,Расчет!$H$2:$H$3001,1))</f>
        <v/>
      </c>
      <c r="I899">
        <f>IF($L899="","",SUMIFS(Расчет!$G$2:$G$3001,Расчет!$I$2:$I$3001,$K899,Расчет!$H$2:$H$3001,2))</f>
        <v/>
      </c>
      <c r="J899">
        <f>IF($L899="","",SUMIFS(Расчет!$G$2:$G$3001,Расчет!$I$2:$I$3001,$K899,Расчет!$H$2:$H$3001,3))</f>
        <v/>
      </c>
      <c r="K899">
        <f>IF($L899="","",INDEX(Расчет!$I$2:$I$3001,$L899))</f>
        <v/>
      </c>
      <c r="L899">
        <f>IFERROR(MATCH(ROW()-1,Расчет!$J$2:$J$3001,0),"")</f>
        <v/>
      </c>
    </row>
    <row r="900">
      <c r="A900">
        <f>IF($L900="","",B900&amp;"."&amp;C900&amp;"-"&amp;D900&amp;"-"&amp;H900&amp;"."&amp;I900&amp;"."&amp;J900)</f>
        <v/>
      </c>
      <c r="B900">
        <f>IF($L900="","",INDEX(Расчет!$A$2:$A$3001,$L900))</f>
        <v/>
      </c>
      <c r="C900">
        <f>IF($L900="","",INDEX(Расчет!$B$2:$B$3001,$L900))</f>
        <v/>
      </c>
      <c r="D900">
        <f>IF($L900="","",IF(ISNUMBER(FIND("(",INDEX(Расчет!$C$2:$C$3001,$L900))),SUBSTITUTE(MID(INDEX(Расчет!$C$2:$C$3001,$L900),FIND("(",INDEX(Расчет!$C$2:$C$3001,$L900))+1,99),")",""),INDEX(Расчет!$C$2:$C$3001,$L900)))</f>
        <v/>
      </c>
      <c r="E900">
        <f>IF($L900="","",INDEX(Расчет!$D$2:$D$3001,$L900))</f>
        <v/>
      </c>
      <c r="F900">
        <f>IF($L900="","",INDEX(Расчет!$E$2:$E$3001,$L900))</f>
        <v/>
      </c>
      <c r="G900">
        <f>IF($L900="","",IFERROR(--LEFT(INDEX(Расчет!$C$2:$C$3001,$L900),FIND("(",INDEX(Расчет!$C$2:$C$3001,$L900))-1),IFERROR(--LEFT(INDEX(Расчет!$C$2:$C$3001,$L900),1),"")))</f>
        <v/>
      </c>
      <c r="H900">
        <f>IF($L900="","",SUMIFS(Расчет!$G$2:$G$3001,Расчет!$I$2:$I$3001,$K900,Расчет!$H$2:$H$3001,1))</f>
        <v/>
      </c>
      <c r="I900">
        <f>IF($L900="","",SUMIFS(Расчет!$G$2:$G$3001,Расчет!$I$2:$I$3001,$K900,Расчет!$H$2:$H$3001,2))</f>
        <v/>
      </c>
      <c r="J900">
        <f>IF($L900="","",SUMIFS(Расчет!$G$2:$G$3001,Расчет!$I$2:$I$3001,$K900,Расчет!$H$2:$H$3001,3))</f>
        <v/>
      </c>
      <c r="K900">
        <f>IF($L900="","",INDEX(Расчет!$I$2:$I$3001,$L900))</f>
        <v/>
      </c>
      <c r="L900">
        <f>IFERROR(MATCH(ROW()-1,Расчет!$J$2:$J$3001,0),"")</f>
        <v/>
      </c>
    </row>
    <row r="901">
      <c r="A901">
        <f>IF($L901="","",B901&amp;"."&amp;C901&amp;"-"&amp;D901&amp;"-"&amp;H901&amp;"."&amp;I901&amp;"."&amp;J901)</f>
        <v/>
      </c>
      <c r="B901">
        <f>IF($L901="","",INDEX(Расчет!$A$2:$A$3001,$L901))</f>
        <v/>
      </c>
      <c r="C901">
        <f>IF($L901="","",INDEX(Расчет!$B$2:$B$3001,$L901))</f>
        <v/>
      </c>
      <c r="D901">
        <f>IF($L901="","",IF(ISNUMBER(FIND("(",INDEX(Расчет!$C$2:$C$3001,$L901))),SUBSTITUTE(MID(INDEX(Расчет!$C$2:$C$3001,$L901),FIND("(",INDEX(Расчет!$C$2:$C$3001,$L901))+1,99),")",""),INDEX(Расчет!$C$2:$C$3001,$L901)))</f>
        <v/>
      </c>
      <c r="E901">
        <f>IF($L901="","",INDEX(Расчет!$D$2:$D$3001,$L901))</f>
        <v/>
      </c>
      <c r="F901">
        <f>IF($L901="","",INDEX(Расчет!$E$2:$E$3001,$L901))</f>
        <v/>
      </c>
      <c r="G901">
        <f>IF($L901="","",IFERROR(--LEFT(INDEX(Расчет!$C$2:$C$3001,$L901),FIND("(",INDEX(Расчет!$C$2:$C$3001,$L901))-1),IFERROR(--LEFT(INDEX(Расчет!$C$2:$C$3001,$L901),1),"")))</f>
        <v/>
      </c>
      <c r="H901">
        <f>IF($L901="","",SUMIFS(Расчет!$G$2:$G$3001,Расчет!$I$2:$I$3001,$K901,Расчет!$H$2:$H$3001,1))</f>
        <v/>
      </c>
      <c r="I901">
        <f>IF($L901="","",SUMIFS(Расчет!$G$2:$G$3001,Расчет!$I$2:$I$3001,$K901,Расчет!$H$2:$H$3001,2))</f>
        <v/>
      </c>
      <c r="J901">
        <f>IF($L901="","",SUMIFS(Расчет!$G$2:$G$3001,Расчет!$I$2:$I$3001,$K901,Расчет!$H$2:$H$3001,3))</f>
        <v/>
      </c>
      <c r="K901">
        <f>IF($L901="","",INDEX(Расчет!$I$2:$I$3001,$L901))</f>
        <v/>
      </c>
      <c r="L901">
        <f>IFERROR(MATCH(ROW()-1,Расчет!$J$2:$J$3001,0),"")</f>
        <v/>
      </c>
    </row>
    <row r="902">
      <c r="A902">
        <f>IF($L902="","",B902&amp;"."&amp;C902&amp;"-"&amp;D902&amp;"-"&amp;H902&amp;"."&amp;I902&amp;"."&amp;J902)</f>
        <v/>
      </c>
      <c r="B902">
        <f>IF($L902="","",INDEX(Расчет!$A$2:$A$3001,$L902))</f>
        <v/>
      </c>
      <c r="C902">
        <f>IF($L902="","",INDEX(Расчет!$B$2:$B$3001,$L902))</f>
        <v/>
      </c>
      <c r="D902">
        <f>IF($L902="","",IF(ISNUMBER(FIND("(",INDEX(Расчет!$C$2:$C$3001,$L902))),SUBSTITUTE(MID(INDEX(Расчет!$C$2:$C$3001,$L902),FIND("(",INDEX(Расчет!$C$2:$C$3001,$L902))+1,99),")",""),INDEX(Расчет!$C$2:$C$3001,$L902)))</f>
        <v/>
      </c>
      <c r="E902">
        <f>IF($L902="","",INDEX(Расчет!$D$2:$D$3001,$L902))</f>
        <v/>
      </c>
      <c r="F902">
        <f>IF($L902="","",INDEX(Расчет!$E$2:$E$3001,$L902))</f>
        <v/>
      </c>
      <c r="G902">
        <f>IF($L902="","",IFERROR(--LEFT(INDEX(Расчет!$C$2:$C$3001,$L902),FIND("(",INDEX(Расчет!$C$2:$C$3001,$L902))-1),IFERROR(--LEFT(INDEX(Расчет!$C$2:$C$3001,$L902),1),"")))</f>
        <v/>
      </c>
      <c r="H902">
        <f>IF($L902="","",SUMIFS(Расчет!$G$2:$G$3001,Расчет!$I$2:$I$3001,$K902,Расчет!$H$2:$H$3001,1))</f>
        <v/>
      </c>
      <c r="I902">
        <f>IF($L902="","",SUMIFS(Расчет!$G$2:$G$3001,Расчет!$I$2:$I$3001,$K902,Расчет!$H$2:$H$3001,2))</f>
        <v/>
      </c>
      <c r="J902">
        <f>IF($L902="","",SUMIFS(Расчет!$G$2:$G$3001,Расчет!$I$2:$I$3001,$K902,Расчет!$H$2:$H$3001,3))</f>
        <v/>
      </c>
      <c r="K902">
        <f>IF($L902="","",INDEX(Расчет!$I$2:$I$3001,$L902))</f>
        <v/>
      </c>
      <c r="L902">
        <f>IFERROR(MATCH(ROW()-1,Расчет!$J$2:$J$3001,0),"")</f>
        <v/>
      </c>
    </row>
    <row r="903">
      <c r="A903">
        <f>IF($L903="","",B903&amp;"."&amp;C903&amp;"-"&amp;D903&amp;"-"&amp;H903&amp;"."&amp;I903&amp;"."&amp;J903)</f>
        <v/>
      </c>
      <c r="B903">
        <f>IF($L903="","",INDEX(Расчет!$A$2:$A$3001,$L903))</f>
        <v/>
      </c>
      <c r="C903">
        <f>IF($L903="","",INDEX(Расчет!$B$2:$B$3001,$L903))</f>
        <v/>
      </c>
      <c r="D903">
        <f>IF($L903="","",IF(ISNUMBER(FIND("(",INDEX(Расчет!$C$2:$C$3001,$L903))),SUBSTITUTE(MID(INDEX(Расчет!$C$2:$C$3001,$L903),FIND("(",INDEX(Расчет!$C$2:$C$3001,$L903))+1,99),")",""),INDEX(Расчет!$C$2:$C$3001,$L903)))</f>
        <v/>
      </c>
      <c r="E903">
        <f>IF($L903="","",INDEX(Расчет!$D$2:$D$3001,$L903))</f>
        <v/>
      </c>
      <c r="F903">
        <f>IF($L903="","",INDEX(Расчет!$E$2:$E$3001,$L903))</f>
        <v/>
      </c>
      <c r="G903">
        <f>IF($L903="","",IFERROR(--LEFT(INDEX(Расчет!$C$2:$C$3001,$L903),FIND("(",INDEX(Расчет!$C$2:$C$3001,$L903))-1),IFERROR(--LEFT(INDEX(Расчет!$C$2:$C$3001,$L903),1),"")))</f>
        <v/>
      </c>
      <c r="H903">
        <f>IF($L903="","",SUMIFS(Расчет!$G$2:$G$3001,Расчет!$I$2:$I$3001,$K903,Расчет!$H$2:$H$3001,1))</f>
        <v/>
      </c>
      <c r="I903">
        <f>IF($L903="","",SUMIFS(Расчет!$G$2:$G$3001,Расчет!$I$2:$I$3001,$K903,Расчет!$H$2:$H$3001,2))</f>
        <v/>
      </c>
      <c r="J903">
        <f>IF($L903="","",SUMIFS(Расчет!$G$2:$G$3001,Расчет!$I$2:$I$3001,$K903,Расчет!$H$2:$H$3001,3))</f>
        <v/>
      </c>
      <c r="K903">
        <f>IF($L903="","",INDEX(Расчет!$I$2:$I$3001,$L903))</f>
        <v/>
      </c>
      <c r="L903">
        <f>IFERROR(MATCH(ROW()-1,Расчет!$J$2:$J$3001,0),"")</f>
        <v/>
      </c>
    </row>
    <row r="904">
      <c r="A904">
        <f>IF($L904="","",B904&amp;"."&amp;C904&amp;"-"&amp;D904&amp;"-"&amp;H904&amp;"."&amp;I904&amp;"."&amp;J904)</f>
        <v/>
      </c>
      <c r="B904">
        <f>IF($L904="","",INDEX(Расчет!$A$2:$A$3001,$L904))</f>
        <v/>
      </c>
      <c r="C904">
        <f>IF($L904="","",INDEX(Расчет!$B$2:$B$3001,$L904))</f>
        <v/>
      </c>
      <c r="D904">
        <f>IF($L904="","",IF(ISNUMBER(FIND("(",INDEX(Расчет!$C$2:$C$3001,$L904))),SUBSTITUTE(MID(INDEX(Расчет!$C$2:$C$3001,$L904),FIND("(",INDEX(Расчет!$C$2:$C$3001,$L904))+1,99),")",""),INDEX(Расчет!$C$2:$C$3001,$L904)))</f>
        <v/>
      </c>
      <c r="E904">
        <f>IF($L904="","",INDEX(Расчет!$D$2:$D$3001,$L904))</f>
        <v/>
      </c>
      <c r="F904">
        <f>IF($L904="","",INDEX(Расчет!$E$2:$E$3001,$L904))</f>
        <v/>
      </c>
      <c r="G904">
        <f>IF($L904="","",IFERROR(--LEFT(INDEX(Расчет!$C$2:$C$3001,$L904),FIND("(",INDEX(Расчет!$C$2:$C$3001,$L904))-1),IFERROR(--LEFT(INDEX(Расчет!$C$2:$C$3001,$L904),1),"")))</f>
        <v/>
      </c>
      <c r="H904">
        <f>IF($L904="","",SUMIFS(Расчет!$G$2:$G$3001,Расчет!$I$2:$I$3001,$K904,Расчет!$H$2:$H$3001,1))</f>
        <v/>
      </c>
      <c r="I904">
        <f>IF($L904="","",SUMIFS(Расчет!$G$2:$G$3001,Расчет!$I$2:$I$3001,$K904,Расчет!$H$2:$H$3001,2))</f>
        <v/>
      </c>
      <c r="J904">
        <f>IF($L904="","",SUMIFS(Расчет!$G$2:$G$3001,Расчет!$I$2:$I$3001,$K904,Расчет!$H$2:$H$3001,3))</f>
        <v/>
      </c>
      <c r="K904">
        <f>IF($L904="","",INDEX(Расчет!$I$2:$I$3001,$L904))</f>
        <v/>
      </c>
      <c r="L904">
        <f>IFERROR(MATCH(ROW()-1,Расчет!$J$2:$J$3001,0),"")</f>
        <v/>
      </c>
    </row>
    <row r="905">
      <c r="A905">
        <f>IF($L905="","",B905&amp;"."&amp;C905&amp;"-"&amp;D905&amp;"-"&amp;H905&amp;"."&amp;I905&amp;"."&amp;J905)</f>
        <v/>
      </c>
      <c r="B905">
        <f>IF($L905="","",INDEX(Расчет!$A$2:$A$3001,$L905))</f>
        <v/>
      </c>
      <c r="C905">
        <f>IF($L905="","",INDEX(Расчет!$B$2:$B$3001,$L905))</f>
        <v/>
      </c>
      <c r="D905">
        <f>IF($L905="","",IF(ISNUMBER(FIND("(",INDEX(Расчет!$C$2:$C$3001,$L905))),SUBSTITUTE(MID(INDEX(Расчет!$C$2:$C$3001,$L905),FIND("(",INDEX(Расчет!$C$2:$C$3001,$L905))+1,99),")",""),INDEX(Расчет!$C$2:$C$3001,$L905)))</f>
        <v/>
      </c>
      <c r="E905">
        <f>IF($L905="","",INDEX(Расчет!$D$2:$D$3001,$L905))</f>
        <v/>
      </c>
      <c r="F905">
        <f>IF($L905="","",INDEX(Расчет!$E$2:$E$3001,$L905))</f>
        <v/>
      </c>
      <c r="G905">
        <f>IF($L905="","",IFERROR(--LEFT(INDEX(Расчет!$C$2:$C$3001,$L905),FIND("(",INDEX(Расчет!$C$2:$C$3001,$L905))-1),IFERROR(--LEFT(INDEX(Расчет!$C$2:$C$3001,$L905),1),"")))</f>
        <v/>
      </c>
      <c r="H905">
        <f>IF($L905="","",SUMIFS(Расчет!$G$2:$G$3001,Расчет!$I$2:$I$3001,$K905,Расчет!$H$2:$H$3001,1))</f>
        <v/>
      </c>
      <c r="I905">
        <f>IF($L905="","",SUMIFS(Расчет!$G$2:$G$3001,Расчет!$I$2:$I$3001,$K905,Расчет!$H$2:$H$3001,2))</f>
        <v/>
      </c>
      <c r="J905">
        <f>IF($L905="","",SUMIFS(Расчет!$G$2:$G$3001,Расчет!$I$2:$I$3001,$K905,Расчет!$H$2:$H$3001,3))</f>
        <v/>
      </c>
      <c r="K905">
        <f>IF($L905="","",INDEX(Расчет!$I$2:$I$3001,$L905))</f>
        <v/>
      </c>
      <c r="L905">
        <f>IFERROR(MATCH(ROW()-1,Расчет!$J$2:$J$3001,0),"")</f>
        <v/>
      </c>
    </row>
    <row r="906">
      <c r="A906">
        <f>IF($L906="","",B906&amp;"."&amp;C906&amp;"-"&amp;D906&amp;"-"&amp;H906&amp;"."&amp;I906&amp;"."&amp;J906)</f>
        <v/>
      </c>
      <c r="B906">
        <f>IF($L906="","",INDEX(Расчет!$A$2:$A$3001,$L906))</f>
        <v/>
      </c>
      <c r="C906">
        <f>IF($L906="","",INDEX(Расчет!$B$2:$B$3001,$L906))</f>
        <v/>
      </c>
      <c r="D906">
        <f>IF($L906="","",IF(ISNUMBER(FIND("(",INDEX(Расчет!$C$2:$C$3001,$L906))),SUBSTITUTE(MID(INDEX(Расчет!$C$2:$C$3001,$L906),FIND("(",INDEX(Расчет!$C$2:$C$3001,$L906))+1,99),")",""),INDEX(Расчет!$C$2:$C$3001,$L906)))</f>
        <v/>
      </c>
      <c r="E906">
        <f>IF($L906="","",INDEX(Расчет!$D$2:$D$3001,$L906))</f>
        <v/>
      </c>
      <c r="F906">
        <f>IF($L906="","",INDEX(Расчет!$E$2:$E$3001,$L906))</f>
        <v/>
      </c>
      <c r="G906">
        <f>IF($L906="","",IFERROR(--LEFT(INDEX(Расчет!$C$2:$C$3001,$L906),FIND("(",INDEX(Расчет!$C$2:$C$3001,$L906))-1),IFERROR(--LEFT(INDEX(Расчет!$C$2:$C$3001,$L906),1),"")))</f>
        <v/>
      </c>
      <c r="H906">
        <f>IF($L906="","",SUMIFS(Расчет!$G$2:$G$3001,Расчет!$I$2:$I$3001,$K906,Расчет!$H$2:$H$3001,1))</f>
        <v/>
      </c>
      <c r="I906">
        <f>IF($L906="","",SUMIFS(Расчет!$G$2:$G$3001,Расчет!$I$2:$I$3001,$K906,Расчет!$H$2:$H$3001,2))</f>
        <v/>
      </c>
      <c r="J906">
        <f>IF($L906="","",SUMIFS(Расчет!$G$2:$G$3001,Расчет!$I$2:$I$3001,$K906,Расчет!$H$2:$H$3001,3))</f>
        <v/>
      </c>
      <c r="K906">
        <f>IF($L906="","",INDEX(Расчет!$I$2:$I$3001,$L906))</f>
        <v/>
      </c>
      <c r="L906">
        <f>IFERROR(MATCH(ROW()-1,Расчет!$J$2:$J$3001,0),"")</f>
        <v/>
      </c>
    </row>
    <row r="907">
      <c r="A907">
        <f>IF($L907="","",B907&amp;"."&amp;C907&amp;"-"&amp;D907&amp;"-"&amp;H907&amp;"."&amp;I907&amp;"."&amp;J907)</f>
        <v/>
      </c>
      <c r="B907">
        <f>IF($L907="","",INDEX(Расчет!$A$2:$A$3001,$L907))</f>
        <v/>
      </c>
      <c r="C907">
        <f>IF($L907="","",INDEX(Расчет!$B$2:$B$3001,$L907))</f>
        <v/>
      </c>
      <c r="D907">
        <f>IF($L907="","",IF(ISNUMBER(FIND("(",INDEX(Расчет!$C$2:$C$3001,$L907))),SUBSTITUTE(MID(INDEX(Расчет!$C$2:$C$3001,$L907),FIND("(",INDEX(Расчет!$C$2:$C$3001,$L907))+1,99),")",""),INDEX(Расчет!$C$2:$C$3001,$L907)))</f>
        <v/>
      </c>
      <c r="E907">
        <f>IF($L907="","",INDEX(Расчет!$D$2:$D$3001,$L907))</f>
        <v/>
      </c>
      <c r="F907">
        <f>IF($L907="","",INDEX(Расчет!$E$2:$E$3001,$L907))</f>
        <v/>
      </c>
      <c r="G907">
        <f>IF($L907="","",IFERROR(--LEFT(INDEX(Расчет!$C$2:$C$3001,$L907),FIND("(",INDEX(Расчет!$C$2:$C$3001,$L907))-1),IFERROR(--LEFT(INDEX(Расчет!$C$2:$C$3001,$L907),1),"")))</f>
        <v/>
      </c>
      <c r="H907">
        <f>IF($L907="","",SUMIFS(Расчет!$G$2:$G$3001,Расчет!$I$2:$I$3001,$K907,Расчет!$H$2:$H$3001,1))</f>
        <v/>
      </c>
      <c r="I907">
        <f>IF($L907="","",SUMIFS(Расчет!$G$2:$G$3001,Расчет!$I$2:$I$3001,$K907,Расчет!$H$2:$H$3001,2))</f>
        <v/>
      </c>
      <c r="J907">
        <f>IF($L907="","",SUMIFS(Расчет!$G$2:$G$3001,Расчет!$I$2:$I$3001,$K907,Расчет!$H$2:$H$3001,3))</f>
        <v/>
      </c>
      <c r="K907">
        <f>IF($L907="","",INDEX(Расчет!$I$2:$I$3001,$L907))</f>
        <v/>
      </c>
      <c r="L907">
        <f>IFERROR(MATCH(ROW()-1,Расчет!$J$2:$J$3001,0),"")</f>
        <v/>
      </c>
    </row>
    <row r="908">
      <c r="A908">
        <f>IF($L908="","",B908&amp;"."&amp;C908&amp;"-"&amp;D908&amp;"-"&amp;H908&amp;"."&amp;I908&amp;"."&amp;J908)</f>
        <v/>
      </c>
      <c r="B908">
        <f>IF($L908="","",INDEX(Расчет!$A$2:$A$3001,$L908))</f>
        <v/>
      </c>
      <c r="C908">
        <f>IF($L908="","",INDEX(Расчет!$B$2:$B$3001,$L908))</f>
        <v/>
      </c>
      <c r="D908">
        <f>IF($L908="","",IF(ISNUMBER(FIND("(",INDEX(Расчет!$C$2:$C$3001,$L908))),SUBSTITUTE(MID(INDEX(Расчет!$C$2:$C$3001,$L908),FIND("(",INDEX(Расчет!$C$2:$C$3001,$L908))+1,99),")",""),INDEX(Расчет!$C$2:$C$3001,$L908)))</f>
        <v/>
      </c>
      <c r="E908">
        <f>IF($L908="","",INDEX(Расчет!$D$2:$D$3001,$L908))</f>
        <v/>
      </c>
      <c r="F908">
        <f>IF($L908="","",INDEX(Расчет!$E$2:$E$3001,$L908))</f>
        <v/>
      </c>
      <c r="G908">
        <f>IF($L908="","",IFERROR(--LEFT(INDEX(Расчет!$C$2:$C$3001,$L908),FIND("(",INDEX(Расчет!$C$2:$C$3001,$L908))-1),IFERROR(--LEFT(INDEX(Расчет!$C$2:$C$3001,$L908),1),"")))</f>
        <v/>
      </c>
      <c r="H908">
        <f>IF($L908="","",SUMIFS(Расчет!$G$2:$G$3001,Расчет!$I$2:$I$3001,$K908,Расчет!$H$2:$H$3001,1))</f>
        <v/>
      </c>
      <c r="I908">
        <f>IF($L908="","",SUMIFS(Расчет!$G$2:$G$3001,Расчет!$I$2:$I$3001,$K908,Расчет!$H$2:$H$3001,2))</f>
        <v/>
      </c>
      <c r="J908">
        <f>IF($L908="","",SUMIFS(Расчет!$G$2:$G$3001,Расчет!$I$2:$I$3001,$K908,Расчет!$H$2:$H$3001,3))</f>
        <v/>
      </c>
      <c r="K908">
        <f>IF($L908="","",INDEX(Расчет!$I$2:$I$3001,$L908))</f>
        <v/>
      </c>
      <c r="L908">
        <f>IFERROR(MATCH(ROW()-1,Расчет!$J$2:$J$3001,0),"")</f>
        <v/>
      </c>
    </row>
    <row r="909">
      <c r="A909">
        <f>IF($L909="","",B909&amp;"."&amp;C909&amp;"-"&amp;D909&amp;"-"&amp;H909&amp;"."&amp;I909&amp;"."&amp;J909)</f>
        <v/>
      </c>
      <c r="B909">
        <f>IF($L909="","",INDEX(Расчет!$A$2:$A$3001,$L909))</f>
        <v/>
      </c>
      <c r="C909">
        <f>IF($L909="","",INDEX(Расчет!$B$2:$B$3001,$L909))</f>
        <v/>
      </c>
      <c r="D909">
        <f>IF($L909="","",IF(ISNUMBER(FIND("(",INDEX(Расчет!$C$2:$C$3001,$L909))),SUBSTITUTE(MID(INDEX(Расчет!$C$2:$C$3001,$L909),FIND("(",INDEX(Расчет!$C$2:$C$3001,$L909))+1,99),")",""),INDEX(Расчет!$C$2:$C$3001,$L909)))</f>
        <v/>
      </c>
      <c r="E909">
        <f>IF($L909="","",INDEX(Расчет!$D$2:$D$3001,$L909))</f>
        <v/>
      </c>
      <c r="F909">
        <f>IF($L909="","",INDEX(Расчет!$E$2:$E$3001,$L909))</f>
        <v/>
      </c>
      <c r="G909">
        <f>IF($L909="","",IFERROR(--LEFT(INDEX(Расчет!$C$2:$C$3001,$L909),FIND("(",INDEX(Расчет!$C$2:$C$3001,$L909))-1),IFERROR(--LEFT(INDEX(Расчет!$C$2:$C$3001,$L909),1),"")))</f>
        <v/>
      </c>
      <c r="H909">
        <f>IF($L909="","",SUMIFS(Расчет!$G$2:$G$3001,Расчет!$I$2:$I$3001,$K909,Расчет!$H$2:$H$3001,1))</f>
        <v/>
      </c>
      <c r="I909">
        <f>IF($L909="","",SUMIFS(Расчет!$G$2:$G$3001,Расчет!$I$2:$I$3001,$K909,Расчет!$H$2:$H$3001,2))</f>
        <v/>
      </c>
      <c r="J909">
        <f>IF($L909="","",SUMIFS(Расчет!$G$2:$G$3001,Расчет!$I$2:$I$3001,$K909,Расчет!$H$2:$H$3001,3))</f>
        <v/>
      </c>
      <c r="K909">
        <f>IF($L909="","",INDEX(Расчет!$I$2:$I$3001,$L909))</f>
        <v/>
      </c>
      <c r="L909">
        <f>IFERROR(MATCH(ROW()-1,Расчет!$J$2:$J$3001,0),"")</f>
        <v/>
      </c>
    </row>
    <row r="910">
      <c r="A910">
        <f>IF($L910="","",B910&amp;"."&amp;C910&amp;"-"&amp;D910&amp;"-"&amp;H910&amp;"."&amp;I910&amp;"."&amp;J910)</f>
        <v/>
      </c>
      <c r="B910">
        <f>IF($L910="","",INDEX(Расчет!$A$2:$A$3001,$L910))</f>
        <v/>
      </c>
      <c r="C910">
        <f>IF($L910="","",INDEX(Расчет!$B$2:$B$3001,$L910))</f>
        <v/>
      </c>
      <c r="D910">
        <f>IF($L910="","",IF(ISNUMBER(FIND("(",INDEX(Расчет!$C$2:$C$3001,$L910))),SUBSTITUTE(MID(INDEX(Расчет!$C$2:$C$3001,$L910),FIND("(",INDEX(Расчет!$C$2:$C$3001,$L910))+1,99),")",""),INDEX(Расчет!$C$2:$C$3001,$L910)))</f>
        <v/>
      </c>
      <c r="E910">
        <f>IF($L910="","",INDEX(Расчет!$D$2:$D$3001,$L910))</f>
        <v/>
      </c>
      <c r="F910">
        <f>IF($L910="","",INDEX(Расчет!$E$2:$E$3001,$L910))</f>
        <v/>
      </c>
      <c r="G910">
        <f>IF($L910="","",IFERROR(--LEFT(INDEX(Расчет!$C$2:$C$3001,$L910),FIND("(",INDEX(Расчет!$C$2:$C$3001,$L910))-1),IFERROR(--LEFT(INDEX(Расчет!$C$2:$C$3001,$L910),1),"")))</f>
        <v/>
      </c>
      <c r="H910">
        <f>IF($L910="","",SUMIFS(Расчет!$G$2:$G$3001,Расчет!$I$2:$I$3001,$K910,Расчет!$H$2:$H$3001,1))</f>
        <v/>
      </c>
      <c r="I910">
        <f>IF($L910="","",SUMIFS(Расчет!$G$2:$G$3001,Расчет!$I$2:$I$3001,$K910,Расчет!$H$2:$H$3001,2))</f>
        <v/>
      </c>
      <c r="J910">
        <f>IF($L910="","",SUMIFS(Расчет!$G$2:$G$3001,Расчет!$I$2:$I$3001,$K910,Расчет!$H$2:$H$3001,3))</f>
        <v/>
      </c>
      <c r="K910">
        <f>IF($L910="","",INDEX(Расчет!$I$2:$I$3001,$L910))</f>
        <v/>
      </c>
      <c r="L910">
        <f>IFERROR(MATCH(ROW()-1,Расчет!$J$2:$J$3001,0),"")</f>
        <v/>
      </c>
    </row>
    <row r="911">
      <c r="A911">
        <f>IF($L911="","",B911&amp;"."&amp;C911&amp;"-"&amp;D911&amp;"-"&amp;H911&amp;"."&amp;I911&amp;"."&amp;J911)</f>
        <v/>
      </c>
      <c r="B911">
        <f>IF($L911="","",INDEX(Расчет!$A$2:$A$3001,$L911))</f>
        <v/>
      </c>
      <c r="C911">
        <f>IF($L911="","",INDEX(Расчет!$B$2:$B$3001,$L911))</f>
        <v/>
      </c>
      <c r="D911">
        <f>IF($L911="","",IF(ISNUMBER(FIND("(",INDEX(Расчет!$C$2:$C$3001,$L911))),SUBSTITUTE(MID(INDEX(Расчет!$C$2:$C$3001,$L911),FIND("(",INDEX(Расчет!$C$2:$C$3001,$L911))+1,99),")",""),INDEX(Расчет!$C$2:$C$3001,$L911)))</f>
        <v/>
      </c>
      <c r="E911">
        <f>IF($L911="","",INDEX(Расчет!$D$2:$D$3001,$L911))</f>
        <v/>
      </c>
      <c r="F911">
        <f>IF($L911="","",INDEX(Расчет!$E$2:$E$3001,$L911))</f>
        <v/>
      </c>
      <c r="G911">
        <f>IF($L911="","",IFERROR(--LEFT(INDEX(Расчет!$C$2:$C$3001,$L911),FIND("(",INDEX(Расчет!$C$2:$C$3001,$L911))-1),IFERROR(--LEFT(INDEX(Расчет!$C$2:$C$3001,$L911),1),"")))</f>
        <v/>
      </c>
      <c r="H911">
        <f>IF($L911="","",SUMIFS(Расчет!$G$2:$G$3001,Расчет!$I$2:$I$3001,$K911,Расчет!$H$2:$H$3001,1))</f>
        <v/>
      </c>
      <c r="I911">
        <f>IF($L911="","",SUMIFS(Расчет!$G$2:$G$3001,Расчет!$I$2:$I$3001,$K911,Расчет!$H$2:$H$3001,2))</f>
        <v/>
      </c>
      <c r="J911">
        <f>IF($L911="","",SUMIFS(Расчет!$G$2:$G$3001,Расчет!$I$2:$I$3001,$K911,Расчет!$H$2:$H$3001,3))</f>
        <v/>
      </c>
      <c r="K911">
        <f>IF($L911="","",INDEX(Расчет!$I$2:$I$3001,$L911))</f>
        <v/>
      </c>
      <c r="L911">
        <f>IFERROR(MATCH(ROW()-1,Расчет!$J$2:$J$3001,0),"")</f>
        <v/>
      </c>
    </row>
    <row r="912">
      <c r="A912">
        <f>IF($L912="","",B912&amp;"."&amp;C912&amp;"-"&amp;D912&amp;"-"&amp;H912&amp;"."&amp;I912&amp;"."&amp;J912)</f>
        <v/>
      </c>
      <c r="B912">
        <f>IF($L912="","",INDEX(Расчет!$A$2:$A$3001,$L912))</f>
        <v/>
      </c>
      <c r="C912">
        <f>IF($L912="","",INDEX(Расчет!$B$2:$B$3001,$L912))</f>
        <v/>
      </c>
      <c r="D912">
        <f>IF($L912="","",IF(ISNUMBER(FIND("(",INDEX(Расчет!$C$2:$C$3001,$L912))),SUBSTITUTE(MID(INDEX(Расчет!$C$2:$C$3001,$L912),FIND("(",INDEX(Расчет!$C$2:$C$3001,$L912))+1,99),")",""),INDEX(Расчет!$C$2:$C$3001,$L912)))</f>
        <v/>
      </c>
      <c r="E912">
        <f>IF($L912="","",INDEX(Расчет!$D$2:$D$3001,$L912))</f>
        <v/>
      </c>
      <c r="F912">
        <f>IF($L912="","",INDEX(Расчет!$E$2:$E$3001,$L912))</f>
        <v/>
      </c>
      <c r="G912">
        <f>IF($L912="","",IFERROR(--LEFT(INDEX(Расчет!$C$2:$C$3001,$L912),FIND("(",INDEX(Расчет!$C$2:$C$3001,$L912))-1),IFERROR(--LEFT(INDEX(Расчет!$C$2:$C$3001,$L912),1),"")))</f>
        <v/>
      </c>
      <c r="H912">
        <f>IF($L912="","",SUMIFS(Расчет!$G$2:$G$3001,Расчет!$I$2:$I$3001,$K912,Расчет!$H$2:$H$3001,1))</f>
        <v/>
      </c>
      <c r="I912">
        <f>IF($L912="","",SUMIFS(Расчет!$G$2:$G$3001,Расчет!$I$2:$I$3001,$K912,Расчет!$H$2:$H$3001,2))</f>
        <v/>
      </c>
      <c r="J912">
        <f>IF($L912="","",SUMIFS(Расчет!$G$2:$G$3001,Расчет!$I$2:$I$3001,$K912,Расчет!$H$2:$H$3001,3))</f>
        <v/>
      </c>
      <c r="K912">
        <f>IF($L912="","",INDEX(Расчет!$I$2:$I$3001,$L912))</f>
        <v/>
      </c>
      <c r="L912">
        <f>IFERROR(MATCH(ROW()-1,Расчет!$J$2:$J$3001,0),"")</f>
        <v/>
      </c>
    </row>
    <row r="913">
      <c r="A913">
        <f>IF($L913="","",B913&amp;"."&amp;C913&amp;"-"&amp;D913&amp;"-"&amp;H913&amp;"."&amp;I913&amp;"."&amp;J913)</f>
        <v/>
      </c>
      <c r="B913">
        <f>IF($L913="","",INDEX(Расчет!$A$2:$A$3001,$L913))</f>
        <v/>
      </c>
      <c r="C913">
        <f>IF($L913="","",INDEX(Расчет!$B$2:$B$3001,$L913))</f>
        <v/>
      </c>
      <c r="D913">
        <f>IF($L913="","",IF(ISNUMBER(FIND("(",INDEX(Расчет!$C$2:$C$3001,$L913))),SUBSTITUTE(MID(INDEX(Расчет!$C$2:$C$3001,$L913),FIND("(",INDEX(Расчет!$C$2:$C$3001,$L913))+1,99),")",""),INDEX(Расчет!$C$2:$C$3001,$L913)))</f>
        <v/>
      </c>
      <c r="E913">
        <f>IF($L913="","",INDEX(Расчет!$D$2:$D$3001,$L913))</f>
        <v/>
      </c>
      <c r="F913">
        <f>IF($L913="","",INDEX(Расчет!$E$2:$E$3001,$L913))</f>
        <v/>
      </c>
      <c r="G913">
        <f>IF($L913="","",IFERROR(--LEFT(INDEX(Расчет!$C$2:$C$3001,$L913),FIND("(",INDEX(Расчет!$C$2:$C$3001,$L913))-1),IFERROR(--LEFT(INDEX(Расчет!$C$2:$C$3001,$L913),1),"")))</f>
        <v/>
      </c>
      <c r="H913">
        <f>IF($L913="","",SUMIFS(Расчет!$G$2:$G$3001,Расчет!$I$2:$I$3001,$K913,Расчет!$H$2:$H$3001,1))</f>
        <v/>
      </c>
      <c r="I913">
        <f>IF($L913="","",SUMIFS(Расчет!$G$2:$G$3001,Расчет!$I$2:$I$3001,$K913,Расчет!$H$2:$H$3001,2))</f>
        <v/>
      </c>
      <c r="J913">
        <f>IF($L913="","",SUMIFS(Расчет!$G$2:$G$3001,Расчет!$I$2:$I$3001,$K913,Расчет!$H$2:$H$3001,3))</f>
        <v/>
      </c>
      <c r="K913">
        <f>IF($L913="","",INDEX(Расчет!$I$2:$I$3001,$L913))</f>
        <v/>
      </c>
      <c r="L913">
        <f>IFERROR(MATCH(ROW()-1,Расчет!$J$2:$J$3001,0),"")</f>
        <v/>
      </c>
    </row>
    <row r="914">
      <c r="A914">
        <f>IF($L914="","",B914&amp;"."&amp;C914&amp;"-"&amp;D914&amp;"-"&amp;H914&amp;"."&amp;I914&amp;"."&amp;J914)</f>
        <v/>
      </c>
      <c r="B914">
        <f>IF($L914="","",INDEX(Расчет!$A$2:$A$3001,$L914))</f>
        <v/>
      </c>
      <c r="C914">
        <f>IF($L914="","",INDEX(Расчет!$B$2:$B$3001,$L914))</f>
        <v/>
      </c>
      <c r="D914">
        <f>IF($L914="","",IF(ISNUMBER(FIND("(",INDEX(Расчет!$C$2:$C$3001,$L914))),SUBSTITUTE(MID(INDEX(Расчет!$C$2:$C$3001,$L914),FIND("(",INDEX(Расчет!$C$2:$C$3001,$L914))+1,99),")",""),INDEX(Расчет!$C$2:$C$3001,$L914)))</f>
        <v/>
      </c>
      <c r="E914">
        <f>IF($L914="","",INDEX(Расчет!$D$2:$D$3001,$L914))</f>
        <v/>
      </c>
      <c r="F914">
        <f>IF($L914="","",INDEX(Расчет!$E$2:$E$3001,$L914))</f>
        <v/>
      </c>
      <c r="G914">
        <f>IF($L914="","",IFERROR(--LEFT(INDEX(Расчет!$C$2:$C$3001,$L914),FIND("(",INDEX(Расчет!$C$2:$C$3001,$L914))-1),IFERROR(--LEFT(INDEX(Расчет!$C$2:$C$3001,$L914),1),"")))</f>
        <v/>
      </c>
      <c r="H914">
        <f>IF($L914="","",SUMIFS(Расчет!$G$2:$G$3001,Расчет!$I$2:$I$3001,$K914,Расчет!$H$2:$H$3001,1))</f>
        <v/>
      </c>
      <c r="I914">
        <f>IF($L914="","",SUMIFS(Расчет!$G$2:$G$3001,Расчет!$I$2:$I$3001,$K914,Расчет!$H$2:$H$3001,2))</f>
        <v/>
      </c>
      <c r="J914">
        <f>IF($L914="","",SUMIFS(Расчет!$G$2:$G$3001,Расчет!$I$2:$I$3001,$K914,Расчет!$H$2:$H$3001,3))</f>
        <v/>
      </c>
      <c r="K914">
        <f>IF($L914="","",INDEX(Расчет!$I$2:$I$3001,$L914))</f>
        <v/>
      </c>
      <c r="L914">
        <f>IFERROR(MATCH(ROW()-1,Расчет!$J$2:$J$3001,0),"")</f>
        <v/>
      </c>
    </row>
    <row r="915">
      <c r="A915">
        <f>IF($L915="","",B915&amp;"."&amp;C915&amp;"-"&amp;D915&amp;"-"&amp;H915&amp;"."&amp;I915&amp;"."&amp;J915)</f>
        <v/>
      </c>
      <c r="B915">
        <f>IF($L915="","",INDEX(Расчет!$A$2:$A$3001,$L915))</f>
        <v/>
      </c>
      <c r="C915">
        <f>IF($L915="","",INDEX(Расчет!$B$2:$B$3001,$L915))</f>
        <v/>
      </c>
      <c r="D915">
        <f>IF($L915="","",IF(ISNUMBER(FIND("(",INDEX(Расчет!$C$2:$C$3001,$L915))),SUBSTITUTE(MID(INDEX(Расчет!$C$2:$C$3001,$L915),FIND("(",INDEX(Расчет!$C$2:$C$3001,$L915))+1,99),")",""),INDEX(Расчет!$C$2:$C$3001,$L915)))</f>
        <v/>
      </c>
      <c r="E915">
        <f>IF($L915="","",INDEX(Расчет!$D$2:$D$3001,$L915))</f>
        <v/>
      </c>
      <c r="F915">
        <f>IF($L915="","",INDEX(Расчет!$E$2:$E$3001,$L915))</f>
        <v/>
      </c>
      <c r="G915">
        <f>IF($L915="","",IFERROR(--LEFT(INDEX(Расчет!$C$2:$C$3001,$L915),FIND("(",INDEX(Расчет!$C$2:$C$3001,$L915))-1),IFERROR(--LEFT(INDEX(Расчет!$C$2:$C$3001,$L915),1),"")))</f>
        <v/>
      </c>
      <c r="H915">
        <f>IF($L915="","",SUMIFS(Расчет!$G$2:$G$3001,Расчет!$I$2:$I$3001,$K915,Расчет!$H$2:$H$3001,1))</f>
        <v/>
      </c>
      <c r="I915">
        <f>IF($L915="","",SUMIFS(Расчет!$G$2:$G$3001,Расчет!$I$2:$I$3001,$K915,Расчет!$H$2:$H$3001,2))</f>
        <v/>
      </c>
      <c r="J915">
        <f>IF($L915="","",SUMIFS(Расчет!$G$2:$G$3001,Расчет!$I$2:$I$3001,$K915,Расчет!$H$2:$H$3001,3))</f>
        <v/>
      </c>
      <c r="K915">
        <f>IF($L915="","",INDEX(Расчет!$I$2:$I$3001,$L915))</f>
        <v/>
      </c>
      <c r="L915">
        <f>IFERROR(MATCH(ROW()-1,Расчет!$J$2:$J$3001,0),"")</f>
        <v/>
      </c>
    </row>
    <row r="916">
      <c r="A916">
        <f>IF($L916="","",B916&amp;"."&amp;C916&amp;"-"&amp;D916&amp;"-"&amp;H916&amp;"."&amp;I916&amp;"."&amp;J916)</f>
        <v/>
      </c>
      <c r="B916">
        <f>IF($L916="","",INDEX(Расчет!$A$2:$A$3001,$L916))</f>
        <v/>
      </c>
      <c r="C916">
        <f>IF($L916="","",INDEX(Расчет!$B$2:$B$3001,$L916))</f>
        <v/>
      </c>
      <c r="D916">
        <f>IF($L916="","",IF(ISNUMBER(FIND("(",INDEX(Расчет!$C$2:$C$3001,$L916))),SUBSTITUTE(MID(INDEX(Расчет!$C$2:$C$3001,$L916),FIND("(",INDEX(Расчет!$C$2:$C$3001,$L916))+1,99),")",""),INDEX(Расчет!$C$2:$C$3001,$L916)))</f>
        <v/>
      </c>
      <c r="E916">
        <f>IF($L916="","",INDEX(Расчет!$D$2:$D$3001,$L916))</f>
        <v/>
      </c>
      <c r="F916">
        <f>IF($L916="","",INDEX(Расчет!$E$2:$E$3001,$L916))</f>
        <v/>
      </c>
      <c r="G916">
        <f>IF($L916="","",IFERROR(--LEFT(INDEX(Расчет!$C$2:$C$3001,$L916),FIND("(",INDEX(Расчет!$C$2:$C$3001,$L916))-1),IFERROR(--LEFT(INDEX(Расчет!$C$2:$C$3001,$L916),1),"")))</f>
        <v/>
      </c>
      <c r="H916">
        <f>IF($L916="","",SUMIFS(Расчет!$G$2:$G$3001,Расчет!$I$2:$I$3001,$K916,Расчет!$H$2:$H$3001,1))</f>
        <v/>
      </c>
      <c r="I916">
        <f>IF($L916="","",SUMIFS(Расчет!$G$2:$G$3001,Расчет!$I$2:$I$3001,$K916,Расчет!$H$2:$H$3001,2))</f>
        <v/>
      </c>
      <c r="J916">
        <f>IF($L916="","",SUMIFS(Расчет!$G$2:$G$3001,Расчет!$I$2:$I$3001,$K916,Расчет!$H$2:$H$3001,3))</f>
        <v/>
      </c>
      <c r="K916">
        <f>IF($L916="","",INDEX(Расчет!$I$2:$I$3001,$L916))</f>
        <v/>
      </c>
      <c r="L916">
        <f>IFERROR(MATCH(ROW()-1,Расчет!$J$2:$J$3001,0),"")</f>
        <v/>
      </c>
    </row>
    <row r="917">
      <c r="A917">
        <f>IF($L917="","",B917&amp;"."&amp;C917&amp;"-"&amp;D917&amp;"-"&amp;H917&amp;"."&amp;I917&amp;"."&amp;J917)</f>
        <v/>
      </c>
      <c r="B917">
        <f>IF($L917="","",INDEX(Расчет!$A$2:$A$3001,$L917))</f>
        <v/>
      </c>
      <c r="C917">
        <f>IF($L917="","",INDEX(Расчет!$B$2:$B$3001,$L917))</f>
        <v/>
      </c>
      <c r="D917">
        <f>IF($L917="","",IF(ISNUMBER(FIND("(",INDEX(Расчет!$C$2:$C$3001,$L917))),SUBSTITUTE(MID(INDEX(Расчет!$C$2:$C$3001,$L917),FIND("(",INDEX(Расчет!$C$2:$C$3001,$L917))+1,99),")",""),INDEX(Расчет!$C$2:$C$3001,$L917)))</f>
        <v/>
      </c>
      <c r="E917">
        <f>IF($L917="","",INDEX(Расчет!$D$2:$D$3001,$L917))</f>
        <v/>
      </c>
      <c r="F917">
        <f>IF($L917="","",INDEX(Расчет!$E$2:$E$3001,$L917))</f>
        <v/>
      </c>
      <c r="G917">
        <f>IF($L917="","",IFERROR(--LEFT(INDEX(Расчет!$C$2:$C$3001,$L917),FIND("(",INDEX(Расчет!$C$2:$C$3001,$L917))-1),IFERROR(--LEFT(INDEX(Расчет!$C$2:$C$3001,$L917),1),"")))</f>
        <v/>
      </c>
      <c r="H917">
        <f>IF($L917="","",SUMIFS(Расчет!$G$2:$G$3001,Расчет!$I$2:$I$3001,$K917,Расчет!$H$2:$H$3001,1))</f>
        <v/>
      </c>
      <c r="I917">
        <f>IF($L917="","",SUMIFS(Расчет!$G$2:$G$3001,Расчет!$I$2:$I$3001,$K917,Расчет!$H$2:$H$3001,2))</f>
        <v/>
      </c>
      <c r="J917">
        <f>IF($L917="","",SUMIFS(Расчет!$G$2:$G$3001,Расчет!$I$2:$I$3001,$K917,Расчет!$H$2:$H$3001,3))</f>
        <v/>
      </c>
      <c r="K917">
        <f>IF($L917="","",INDEX(Расчет!$I$2:$I$3001,$L917))</f>
        <v/>
      </c>
      <c r="L917">
        <f>IFERROR(MATCH(ROW()-1,Расчет!$J$2:$J$3001,0),"")</f>
        <v/>
      </c>
    </row>
    <row r="918">
      <c r="A918">
        <f>IF($L918="","",B918&amp;"."&amp;C918&amp;"-"&amp;D918&amp;"-"&amp;H918&amp;"."&amp;I918&amp;"."&amp;J918)</f>
        <v/>
      </c>
      <c r="B918">
        <f>IF($L918="","",INDEX(Расчет!$A$2:$A$3001,$L918))</f>
        <v/>
      </c>
      <c r="C918">
        <f>IF($L918="","",INDEX(Расчет!$B$2:$B$3001,$L918))</f>
        <v/>
      </c>
      <c r="D918">
        <f>IF($L918="","",IF(ISNUMBER(FIND("(",INDEX(Расчет!$C$2:$C$3001,$L918))),SUBSTITUTE(MID(INDEX(Расчет!$C$2:$C$3001,$L918),FIND("(",INDEX(Расчет!$C$2:$C$3001,$L918))+1,99),")",""),INDEX(Расчет!$C$2:$C$3001,$L918)))</f>
        <v/>
      </c>
      <c r="E918">
        <f>IF($L918="","",INDEX(Расчет!$D$2:$D$3001,$L918))</f>
        <v/>
      </c>
      <c r="F918">
        <f>IF($L918="","",INDEX(Расчет!$E$2:$E$3001,$L918))</f>
        <v/>
      </c>
      <c r="G918">
        <f>IF($L918="","",IFERROR(--LEFT(INDEX(Расчет!$C$2:$C$3001,$L918),FIND("(",INDEX(Расчет!$C$2:$C$3001,$L918))-1),IFERROR(--LEFT(INDEX(Расчет!$C$2:$C$3001,$L918),1),"")))</f>
        <v/>
      </c>
      <c r="H918">
        <f>IF($L918="","",SUMIFS(Расчет!$G$2:$G$3001,Расчет!$I$2:$I$3001,$K918,Расчет!$H$2:$H$3001,1))</f>
        <v/>
      </c>
      <c r="I918">
        <f>IF($L918="","",SUMIFS(Расчет!$G$2:$G$3001,Расчет!$I$2:$I$3001,$K918,Расчет!$H$2:$H$3001,2))</f>
        <v/>
      </c>
      <c r="J918">
        <f>IF($L918="","",SUMIFS(Расчет!$G$2:$G$3001,Расчет!$I$2:$I$3001,$K918,Расчет!$H$2:$H$3001,3))</f>
        <v/>
      </c>
      <c r="K918">
        <f>IF($L918="","",INDEX(Расчет!$I$2:$I$3001,$L918))</f>
        <v/>
      </c>
      <c r="L918">
        <f>IFERROR(MATCH(ROW()-1,Расчет!$J$2:$J$3001,0),"")</f>
        <v/>
      </c>
    </row>
    <row r="919">
      <c r="A919">
        <f>IF($L919="","",B919&amp;"."&amp;C919&amp;"-"&amp;D919&amp;"-"&amp;H919&amp;"."&amp;I919&amp;"."&amp;J919)</f>
        <v/>
      </c>
      <c r="B919">
        <f>IF($L919="","",INDEX(Расчет!$A$2:$A$3001,$L919))</f>
        <v/>
      </c>
      <c r="C919">
        <f>IF($L919="","",INDEX(Расчет!$B$2:$B$3001,$L919))</f>
        <v/>
      </c>
      <c r="D919">
        <f>IF($L919="","",IF(ISNUMBER(FIND("(",INDEX(Расчет!$C$2:$C$3001,$L919))),SUBSTITUTE(MID(INDEX(Расчет!$C$2:$C$3001,$L919),FIND("(",INDEX(Расчет!$C$2:$C$3001,$L919))+1,99),")",""),INDEX(Расчет!$C$2:$C$3001,$L919)))</f>
        <v/>
      </c>
      <c r="E919">
        <f>IF($L919="","",INDEX(Расчет!$D$2:$D$3001,$L919))</f>
        <v/>
      </c>
      <c r="F919">
        <f>IF($L919="","",INDEX(Расчет!$E$2:$E$3001,$L919))</f>
        <v/>
      </c>
      <c r="G919">
        <f>IF($L919="","",IFERROR(--LEFT(INDEX(Расчет!$C$2:$C$3001,$L919),FIND("(",INDEX(Расчет!$C$2:$C$3001,$L919))-1),IFERROR(--LEFT(INDEX(Расчет!$C$2:$C$3001,$L919),1),"")))</f>
        <v/>
      </c>
      <c r="H919">
        <f>IF($L919="","",SUMIFS(Расчет!$G$2:$G$3001,Расчет!$I$2:$I$3001,$K919,Расчет!$H$2:$H$3001,1))</f>
        <v/>
      </c>
      <c r="I919">
        <f>IF($L919="","",SUMIFS(Расчет!$G$2:$G$3001,Расчет!$I$2:$I$3001,$K919,Расчет!$H$2:$H$3001,2))</f>
        <v/>
      </c>
      <c r="J919">
        <f>IF($L919="","",SUMIFS(Расчет!$G$2:$G$3001,Расчет!$I$2:$I$3001,$K919,Расчет!$H$2:$H$3001,3))</f>
        <v/>
      </c>
      <c r="K919">
        <f>IF($L919="","",INDEX(Расчет!$I$2:$I$3001,$L919))</f>
        <v/>
      </c>
      <c r="L919">
        <f>IFERROR(MATCH(ROW()-1,Расчет!$J$2:$J$3001,0),"")</f>
        <v/>
      </c>
    </row>
    <row r="920">
      <c r="A920">
        <f>IF($L920="","",B920&amp;"."&amp;C920&amp;"-"&amp;D920&amp;"-"&amp;H920&amp;"."&amp;I920&amp;"."&amp;J920)</f>
        <v/>
      </c>
      <c r="B920">
        <f>IF($L920="","",INDEX(Расчет!$A$2:$A$3001,$L920))</f>
        <v/>
      </c>
      <c r="C920">
        <f>IF($L920="","",INDEX(Расчет!$B$2:$B$3001,$L920))</f>
        <v/>
      </c>
      <c r="D920">
        <f>IF($L920="","",IF(ISNUMBER(FIND("(",INDEX(Расчет!$C$2:$C$3001,$L920))),SUBSTITUTE(MID(INDEX(Расчет!$C$2:$C$3001,$L920),FIND("(",INDEX(Расчет!$C$2:$C$3001,$L920))+1,99),")",""),INDEX(Расчет!$C$2:$C$3001,$L920)))</f>
        <v/>
      </c>
      <c r="E920">
        <f>IF($L920="","",INDEX(Расчет!$D$2:$D$3001,$L920))</f>
        <v/>
      </c>
      <c r="F920">
        <f>IF($L920="","",INDEX(Расчет!$E$2:$E$3001,$L920))</f>
        <v/>
      </c>
      <c r="G920">
        <f>IF($L920="","",IFERROR(--LEFT(INDEX(Расчет!$C$2:$C$3001,$L920),FIND("(",INDEX(Расчет!$C$2:$C$3001,$L920))-1),IFERROR(--LEFT(INDEX(Расчет!$C$2:$C$3001,$L920),1),"")))</f>
        <v/>
      </c>
      <c r="H920">
        <f>IF($L920="","",SUMIFS(Расчет!$G$2:$G$3001,Расчет!$I$2:$I$3001,$K920,Расчет!$H$2:$H$3001,1))</f>
        <v/>
      </c>
      <c r="I920">
        <f>IF($L920="","",SUMIFS(Расчет!$G$2:$G$3001,Расчет!$I$2:$I$3001,$K920,Расчет!$H$2:$H$3001,2))</f>
        <v/>
      </c>
      <c r="J920">
        <f>IF($L920="","",SUMIFS(Расчет!$G$2:$G$3001,Расчет!$I$2:$I$3001,$K920,Расчет!$H$2:$H$3001,3))</f>
        <v/>
      </c>
      <c r="K920">
        <f>IF($L920="","",INDEX(Расчет!$I$2:$I$3001,$L920))</f>
        <v/>
      </c>
      <c r="L920">
        <f>IFERROR(MATCH(ROW()-1,Расчет!$J$2:$J$3001,0),"")</f>
        <v/>
      </c>
    </row>
    <row r="921">
      <c r="A921">
        <f>IF($L921="","",B921&amp;"."&amp;C921&amp;"-"&amp;D921&amp;"-"&amp;H921&amp;"."&amp;I921&amp;"."&amp;J921)</f>
        <v/>
      </c>
      <c r="B921">
        <f>IF($L921="","",INDEX(Расчет!$A$2:$A$3001,$L921))</f>
        <v/>
      </c>
      <c r="C921">
        <f>IF($L921="","",INDEX(Расчет!$B$2:$B$3001,$L921))</f>
        <v/>
      </c>
      <c r="D921">
        <f>IF($L921="","",IF(ISNUMBER(FIND("(",INDEX(Расчет!$C$2:$C$3001,$L921))),SUBSTITUTE(MID(INDEX(Расчет!$C$2:$C$3001,$L921),FIND("(",INDEX(Расчет!$C$2:$C$3001,$L921))+1,99),")",""),INDEX(Расчет!$C$2:$C$3001,$L921)))</f>
        <v/>
      </c>
      <c r="E921">
        <f>IF($L921="","",INDEX(Расчет!$D$2:$D$3001,$L921))</f>
        <v/>
      </c>
      <c r="F921">
        <f>IF($L921="","",INDEX(Расчет!$E$2:$E$3001,$L921))</f>
        <v/>
      </c>
      <c r="G921">
        <f>IF($L921="","",IFERROR(--LEFT(INDEX(Расчет!$C$2:$C$3001,$L921),FIND("(",INDEX(Расчет!$C$2:$C$3001,$L921))-1),IFERROR(--LEFT(INDEX(Расчет!$C$2:$C$3001,$L921),1),"")))</f>
        <v/>
      </c>
      <c r="H921">
        <f>IF($L921="","",SUMIFS(Расчет!$G$2:$G$3001,Расчет!$I$2:$I$3001,$K921,Расчет!$H$2:$H$3001,1))</f>
        <v/>
      </c>
      <c r="I921">
        <f>IF($L921="","",SUMIFS(Расчет!$G$2:$G$3001,Расчет!$I$2:$I$3001,$K921,Расчет!$H$2:$H$3001,2))</f>
        <v/>
      </c>
      <c r="J921">
        <f>IF($L921="","",SUMIFS(Расчет!$G$2:$G$3001,Расчет!$I$2:$I$3001,$K921,Расчет!$H$2:$H$3001,3))</f>
        <v/>
      </c>
      <c r="K921">
        <f>IF($L921="","",INDEX(Расчет!$I$2:$I$3001,$L921))</f>
        <v/>
      </c>
      <c r="L921">
        <f>IFERROR(MATCH(ROW()-1,Расчет!$J$2:$J$3001,0),"")</f>
        <v/>
      </c>
    </row>
    <row r="922">
      <c r="A922">
        <f>IF($L922="","",B922&amp;"."&amp;C922&amp;"-"&amp;D922&amp;"-"&amp;H922&amp;"."&amp;I922&amp;"."&amp;J922)</f>
        <v/>
      </c>
      <c r="B922">
        <f>IF($L922="","",INDEX(Расчет!$A$2:$A$3001,$L922))</f>
        <v/>
      </c>
      <c r="C922">
        <f>IF($L922="","",INDEX(Расчет!$B$2:$B$3001,$L922))</f>
        <v/>
      </c>
      <c r="D922">
        <f>IF($L922="","",IF(ISNUMBER(FIND("(",INDEX(Расчет!$C$2:$C$3001,$L922))),SUBSTITUTE(MID(INDEX(Расчет!$C$2:$C$3001,$L922),FIND("(",INDEX(Расчет!$C$2:$C$3001,$L922))+1,99),")",""),INDEX(Расчет!$C$2:$C$3001,$L922)))</f>
        <v/>
      </c>
      <c r="E922">
        <f>IF($L922="","",INDEX(Расчет!$D$2:$D$3001,$L922))</f>
        <v/>
      </c>
      <c r="F922">
        <f>IF($L922="","",INDEX(Расчет!$E$2:$E$3001,$L922))</f>
        <v/>
      </c>
      <c r="G922">
        <f>IF($L922="","",IFERROR(--LEFT(INDEX(Расчет!$C$2:$C$3001,$L922),FIND("(",INDEX(Расчет!$C$2:$C$3001,$L922))-1),IFERROR(--LEFT(INDEX(Расчет!$C$2:$C$3001,$L922),1),"")))</f>
        <v/>
      </c>
      <c r="H922">
        <f>IF($L922="","",SUMIFS(Расчет!$G$2:$G$3001,Расчет!$I$2:$I$3001,$K922,Расчет!$H$2:$H$3001,1))</f>
        <v/>
      </c>
      <c r="I922">
        <f>IF($L922="","",SUMIFS(Расчет!$G$2:$G$3001,Расчет!$I$2:$I$3001,$K922,Расчет!$H$2:$H$3001,2))</f>
        <v/>
      </c>
      <c r="J922">
        <f>IF($L922="","",SUMIFS(Расчет!$G$2:$G$3001,Расчет!$I$2:$I$3001,$K922,Расчет!$H$2:$H$3001,3))</f>
        <v/>
      </c>
      <c r="K922">
        <f>IF($L922="","",INDEX(Расчет!$I$2:$I$3001,$L922))</f>
        <v/>
      </c>
      <c r="L922">
        <f>IFERROR(MATCH(ROW()-1,Расчет!$J$2:$J$3001,0),"")</f>
        <v/>
      </c>
    </row>
    <row r="923">
      <c r="A923">
        <f>IF($L923="","",B923&amp;"."&amp;C923&amp;"-"&amp;D923&amp;"-"&amp;H923&amp;"."&amp;I923&amp;"."&amp;J923)</f>
        <v/>
      </c>
      <c r="B923">
        <f>IF($L923="","",INDEX(Расчет!$A$2:$A$3001,$L923))</f>
        <v/>
      </c>
      <c r="C923">
        <f>IF($L923="","",INDEX(Расчет!$B$2:$B$3001,$L923))</f>
        <v/>
      </c>
      <c r="D923">
        <f>IF($L923="","",IF(ISNUMBER(FIND("(",INDEX(Расчет!$C$2:$C$3001,$L923))),SUBSTITUTE(MID(INDEX(Расчет!$C$2:$C$3001,$L923),FIND("(",INDEX(Расчет!$C$2:$C$3001,$L923))+1,99),")",""),INDEX(Расчет!$C$2:$C$3001,$L923)))</f>
        <v/>
      </c>
      <c r="E923">
        <f>IF($L923="","",INDEX(Расчет!$D$2:$D$3001,$L923))</f>
        <v/>
      </c>
      <c r="F923">
        <f>IF($L923="","",INDEX(Расчет!$E$2:$E$3001,$L923))</f>
        <v/>
      </c>
      <c r="G923">
        <f>IF($L923="","",IFERROR(--LEFT(INDEX(Расчет!$C$2:$C$3001,$L923),FIND("(",INDEX(Расчет!$C$2:$C$3001,$L923))-1),IFERROR(--LEFT(INDEX(Расчет!$C$2:$C$3001,$L923),1),"")))</f>
        <v/>
      </c>
      <c r="H923">
        <f>IF($L923="","",SUMIFS(Расчет!$G$2:$G$3001,Расчет!$I$2:$I$3001,$K923,Расчет!$H$2:$H$3001,1))</f>
        <v/>
      </c>
      <c r="I923">
        <f>IF($L923="","",SUMIFS(Расчет!$G$2:$G$3001,Расчет!$I$2:$I$3001,$K923,Расчет!$H$2:$H$3001,2))</f>
        <v/>
      </c>
      <c r="J923">
        <f>IF($L923="","",SUMIFS(Расчет!$G$2:$G$3001,Расчет!$I$2:$I$3001,$K923,Расчет!$H$2:$H$3001,3))</f>
        <v/>
      </c>
      <c r="K923">
        <f>IF($L923="","",INDEX(Расчет!$I$2:$I$3001,$L923))</f>
        <v/>
      </c>
      <c r="L923">
        <f>IFERROR(MATCH(ROW()-1,Расчет!$J$2:$J$3001,0),"")</f>
        <v/>
      </c>
    </row>
    <row r="924">
      <c r="A924">
        <f>IF($L924="","",B924&amp;"."&amp;C924&amp;"-"&amp;D924&amp;"-"&amp;H924&amp;"."&amp;I924&amp;"."&amp;J924)</f>
        <v/>
      </c>
      <c r="B924">
        <f>IF($L924="","",INDEX(Расчет!$A$2:$A$3001,$L924))</f>
        <v/>
      </c>
      <c r="C924">
        <f>IF($L924="","",INDEX(Расчет!$B$2:$B$3001,$L924))</f>
        <v/>
      </c>
      <c r="D924">
        <f>IF($L924="","",IF(ISNUMBER(FIND("(",INDEX(Расчет!$C$2:$C$3001,$L924))),SUBSTITUTE(MID(INDEX(Расчет!$C$2:$C$3001,$L924),FIND("(",INDEX(Расчет!$C$2:$C$3001,$L924))+1,99),")",""),INDEX(Расчет!$C$2:$C$3001,$L924)))</f>
        <v/>
      </c>
      <c r="E924">
        <f>IF($L924="","",INDEX(Расчет!$D$2:$D$3001,$L924))</f>
        <v/>
      </c>
      <c r="F924">
        <f>IF($L924="","",INDEX(Расчет!$E$2:$E$3001,$L924))</f>
        <v/>
      </c>
      <c r="G924">
        <f>IF($L924="","",IFERROR(--LEFT(INDEX(Расчет!$C$2:$C$3001,$L924),FIND("(",INDEX(Расчет!$C$2:$C$3001,$L924))-1),IFERROR(--LEFT(INDEX(Расчет!$C$2:$C$3001,$L924),1),"")))</f>
        <v/>
      </c>
      <c r="H924">
        <f>IF($L924="","",SUMIFS(Расчет!$G$2:$G$3001,Расчет!$I$2:$I$3001,$K924,Расчет!$H$2:$H$3001,1))</f>
        <v/>
      </c>
      <c r="I924">
        <f>IF($L924="","",SUMIFS(Расчет!$G$2:$G$3001,Расчет!$I$2:$I$3001,$K924,Расчет!$H$2:$H$3001,2))</f>
        <v/>
      </c>
      <c r="J924">
        <f>IF($L924="","",SUMIFS(Расчет!$G$2:$G$3001,Расчет!$I$2:$I$3001,$K924,Расчет!$H$2:$H$3001,3))</f>
        <v/>
      </c>
      <c r="K924">
        <f>IF($L924="","",INDEX(Расчет!$I$2:$I$3001,$L924))</f>
        <v/>
      </c>
      <c r="L924">
        <f>IFERROR(MATCH(ROW()-1,Расчет!$J$2:$J$3001,0),"")</f>
        <v/>
      </c>
    </row>
    <row r="925">
      <c r="A925">
        <f>IF($L925="","",B925&amp;"."&amp;C925&amp;"-"&amp;D925&amp;"-"&amp;H925&amp;"."&amp;I925&amp;"."&amp;J925)</f>
        <v/>
      </c>
      <c r="B925">
        <f>IF($L925="","",INDEX(Расчет!$A$2:$A$3001,$L925))</f>
        <v/>
      </c>
      <c r="C925">
        <f>IF($L925="","",INDEX(Расчет!$B$2:$B$3001,$L925))</f>
        <v/>
      </c>
      <c r="D925">
        <f>IF($L925="","",IF(ISNUMBER(FIND("(",INDEX(Расчет!$C$2:$C$3001,$L925))),SUBSTITUTE(MID(INDEX(Расчет!$C$2:$C$3001,$L925),FIND("(",INDEX(Расчет!$C$2:$C$3001,$L925))+1,99),")",""),INDEX(Расчет!$C$2:$C$3001,$L925)))</f>
        <v/>
      </c>
      <c r="E925">
        <f>IF($L925="","",INDEX(Расчет!$D$2:$D$3001,$L925))</f>
        <v/>
      </c>
      <c r="F925">
        <f>IF($L925="","",INDEX(Расчет!$E$2:$E$3001,$L925))</f>
        <v/>
      </c>
      <c r="G925">
        <f>IF($L925="","",IFERROR(--LEFT(INDEX(Расчет!$C$2:$C$3001,$L925),FIND("(",INDEX(Расчет!$C$2:$C$3001,$L925))-1),IFERROR(--LEFT(INDEX(Расчет!$C$2:$C$3001,$L925),1),"")))</f>
        <v/>
      </c>
      <c r="H925">
        <f>IF($L925="","",SUMIFS(Расчет!$G$2:$G$3001,Расчет!$I$2:$I$3001,$K925,Расчет!$H$2:$H$3001,1))</f>
        <v/>
      </c>
      <c r="I925">
        <f>IF($L925="","",SUMIFS(Расчет!$G$2:$G$3001,Расчет!$I$2:$I$3001,$K925,Расчет!$H$2:$H$3001,2))</f>
        <v/>
      </c>
      <c r="J925">
        <f>IF($L925="","",SUMIFS(Расчет!$G$2:$G$3001,Расчет!$I$2:$I$3001,$K925,Расчет!$H$2:$H$3001,3))</f>
        <v/>
      </c>
      <c r="K925">
        <f>IF($L925="","",INDEX(Расчет!$I$2:$I$3001,$L925))</f>
        <v/>
      </c>
      <c r="L925">
        <f>IFERROR(MATCH(ROW()-1,Расчет!$J$2:$J$3001,0),"")</f>
        <v/>
      </c>
    </row>
    <row r="926">
      <c r="A926">
        <f>IF($L926="","",B926&amp;"."&amp;C926&amp;"-"&amp;D926&amp;"-"&amp;H926&amp;"."&amp;I926&amp;"."&amp;J926)</f>
        <v/>
      </c>
      <c r="B926">
        <f>IF($L926="","",INDEX(Расчет!$A$2:$A$3001,$L926))</f>
        <v/>
      </c>
      <c r="C926">
        <f>IF($L926="","",INDEX(Расчет!$B$2:$B$3001,$L926))</f>
        <v/>
      </c>
      <c r="D926">
        <f>IF($L926="","",IF(ISNUMBER(FIND("(",INDEX(Расчет!$C$2:$C$3001,$L926))),SUBSTITUTE(MID(INDEX(Расчет!$C$2:$C$3001,$L926),FIND("(",INDEX(Расчет!$C$2:$C$3001,$L926))+1,99),")",""),INDEX(Расчет!$C$2:$C$3001,$L926)))</f>
        <v/>
      </c>
      <c r="E926">
        <f>IF($L926="","",INDEX(Расчет!$D$2:$D$3001,$L926))</f>
        <v/>
      </c>
      <c r="F926">
        <f>IF($L926="","",INDEX(Расчет!$E$2:$E$3001,$L926))</f>
        <v/>
      </c>
      <c r="G926">
        <f>IF($L926="","",IFERROR(--LEFT(INDEX(Расчет!$C$2:$C$3001,$L926),FIND("(",INDEX(Расчет!$C$2:$C$3001,$L926))-1),IFERROR(--LEFT(INDEX(Расчет!$C$2:$C$3001,$L926),1),"")))</f>
        <v/>
      </c>
      <c r="H926">
        <f>IF($L926="","",SUMIFS(Расчет!$G$2:$G$3001,Расчет!$I$2:$I$3001,$K926,Расчет!$H$2:$H$3001,1))</f>
        <v/>
      </c>
      <c r="I926">
        <f>IF($L926="","",SUMIFS(Расчет!$G$2:$G$3001,Расчет!$I$2:$I$3001,$K926,Расчет!$H$2:$H$3001,2))</f>
        <v/>
      </c>
      <c r="J926">
        <f>IF($L926="","",SUMIFS(Расчет!$G$2:$G$3001,Расчет!$I$2:$I$3001,$K926,Расчет!$H$2:$H$3001,3))</f>
        <v/>
      </c>
      <c r="K926">
        <f>IF($L926="","",INDEX(Расчет!$I$2:$I$3001,$L926))</f>
        <v/>
      </c>
      <c r="L926">
        <f>IFERROR(MATCH(ROW()-1,Расчет!$J$2:$J$3001,0),"")</f>
        <v/>
      </c>
    </row>
    <row r="927">
      <c r="A927">
        <f>IF($L927="","",B927&amp;"."&amp;C927&amp;"-"&amp;D927&amp;"-"&amp;H927&amp;"."&amp;I927&amp;"."&amp;J927)</f>
        <v/>
      </c>
      <c r="B927">
        <f>IF($L927="","",INDEX(Расчет!$A$2:$A$3001,$L927))</f>
        <v/>
      </c>
      <c r="C927">
        <f>IF($L927="","",INDEX(Расчет!$B$2:$B$3001,$L927))</f>
        <v/>
      </c>
      <c r="D927">
        <f>IF($L927="","",IF(ISNUMBER(FIND("(",INDEX(Расчет!$C$2:$C$3001,$L927))),SUBSTITUTE(MID(INDEX(Расчет!$C$2:$C$3001,$L927),FIND("(",INDEX(Расчет!$C$2:$C$3001,$L927))+1,99),")",""),INDEX(Расчет!$C$2:$C$3001,$L927)))</f>
        <v/>
      </c>
      <c r="E927">
        <f>IF($L927="","",INDEX(Расчет!$D$2:$D$3001,$L927))</f>
        <v/>
      </c>
      <c r="F927">
        <f>IF($L927="","",INDEX(Расчет!$E$2:$E$3001,$L927))</f>
        <v/>
      </c>
      <c r="G927">
        <f>IF($L927="","",IFERROR(--LEFT(INDEX(Расчет!$C$2:$C$3001,$L927),FIND("(",INDEX(Расчет!$C$2:$C$3001,$L927))-1),IFERROR(--LEFT(INDEX(Расчет!$C$2:$C$3001,$L927),1),"")))</f>
        <v/>
      </c>
      <c r="H927">
        <f>IF($L927="","",SUMIFS(Расчет!$G$2:$G$3001,Расчет!$I$2:$I$3001,$K927,Расчет!$H$2:$H$3001,1))</f>
        <v/>
      </c>
      <c r="I927">
        <f>IF($L927="","",SUMIFS(Расчет!$G$2:$G$3001,Расчет!$I$2:$I$3001,$K927,Расчет!$H$2:$H$3001,2))</f>
        <v/>
      </c>
      <c r="J927">
        <f>IF($L927="","",SUMIFS(Расчет!$G$2:$G$3001,Расчет!$I$2:$I$3001,$K927,Расчет!$H$2:$H$3001,3))</f>
        <v/>
      </c>
      <c r="K927">
        <f>IF($L927="","",INDEX(Расчет!$I$2:$I$3001,$L927))</f>
        <v/>
      </c>
      <c r="L927">
        <f>IFERROR(MATCH(ROW()-1,Расчет!$J$2:$J$3001,0),"")</f>
        <v/>
      </c>
    </row>
    <row r="928">
      <c r="A928">
        <f>IF($L928="","",B928&amp;"."&amp;C928&amp;"-"&amp;D928&amp;"-"&amp;H928&amp;"."&amp;I928&amp;"."&amp;J928)</f>
        <v/>
      </c>
      <c r="B928">
        <f>IF($L928="","",INDEX(Расчет!$A$2:$A$3001,$L928))</f>
        <v/>
      </c>
      <c r="C928">
        <f>IF($L928="","",INDEX(Расчет!$B$2:$B$3001,$L928))</f>
        <v/>
      </c>
      <c r="D928">
        <f>IF($L928="","",IF(ISNUMBER(FIND("(",INDEX(Расчет!$C$2:$C$3001,$L928))),SUBSTITUTE(MID(INDEX(Расчет!$C$2:$C$3001,$L928),FIND("(",INDEX(Расчет!$C$2:$C$3001,$L928))+1,99),")",""),INDEX(Расчет!$C$2:$C$3001,$L928)))</f>
        <v/>
      </c>
      <c r="E928">
        <f>IF($L928="","",INDEX(Расчет!$D$2:$D$3001,$L928))</f>
        <v/>
      </c>
      <c r="F928">
        <f>IF($L928="","",INDEX(Расчет!$E$2:$E$3001,$L928))</f>
        <v/>
      </c>
      <c r="G928">
        <f>IF($L928="","",IFERROR(--LEFT(INDEX(Расчет!$C$2:$C$3001,$L928),FIND("(",INDEX(Расчет!$C$2:$C$3001,$L928))-1),IFERROR(--LEFT(INDEX(Расчет!$C$2:$C$3001,$L928),1),"")))</f>
        <v/>
      </c>
      <c r="H928">
        <f>IF($L928="","",SUMIFS(Расчет!$G$2:$G$3001,Расчет!$I$2:$I$3001,$K928,Расчет!$H$2:$H$3001,1))</f>
        <v/>
      </c>
      <c r="I928">
        <f>IF($L928="","",SUMIFS(Расчет!$G$2:$G$3001,Расчет!$I$2:$I$3001,$K928,Расчет!$H$2:$H$3001,2))</f>
        <v/>
      </c>
      <c r="J928">
        <f>IF($L928="","",SUMIFS(Расчет!$G$2:$G$3001,Расчет!$I$2:$I$3001,$K928,Расчет!$H$2:$H$3001,3))</f>
        <v/>
      </c>
      <c r="K928">
        <f>IF($L928="","",INDEX(Расчет!$I$2:$I$3001,$L928))</f>
        <v/>
      </c>
      <c r="L928">
        <f>IFERROR(MATCH(ROW()-1,Расчет!$J$2:$J$3001,0),"")</f>
        <v/>
      </c>
    </row>
    <row r="929">
      <c r="A929">
        <f>IF($L929="","",B929&amp;"."&amp;C929&amp;"-"&amp;D929&amp;"-"&amp;H929&amp;"."&amp;I929&amp;"."&amp;J929)</f>
        <v/>
      </c>
      <c r="B929">
        <f>IF($L929="","",INDEX(Расчет!$A$2:$A$3001,$L929))</f>
        <v/>
      </c>
      <c r="C929">
        <f>IF($L929="","",INDEX(Расчет!$B$2:$B$3001,$L929))</f>
        <v/>
      </c>
      <c r="D929">
        <f>IF($L929="","",IF(ISNUMBER(FIND("(",INDEX(Расчет!$C$2:$C$3001,$L929))),SUBSTITUTE(MID(INDEX(Расчет!$C$2:$C$3001,$L929),FIND("(",INDEX(Расчет!$C$2:$C$3001,$L929))+1,99),")",""),INDEX(Расчет!$C$2:$C$3001,$L929)))</f>
        <v/>
      </c>
      <c r="E929">
        <f>IF($L929="","",INDEX(Расчет!$D$2:$D$3001,$L929))</f>
        <v/>
      </c>
      <c r="F929">
        <f>IF($L929="","",INDEX(Расчет!$E$2:$E$3001,$L929))</f>
        <v/>
      </c>
      <c r="G929">
        <f>IF($L929="","",IFERROR(--LEFT(INDEX(Расчет!$C$2:$C$3001,$L929),FIND("(",INDEX(Расчет!$C$2:$C$3001,$L929))-1),IFERROR(--LEFT(INDEX(Расчет!$C$2:$C$3001,$L929),1),"")))</f>
        <v/>
      </c>
      <c r="H929">
        <f>IF($L929="","",SUMIFS(Расчет!$G$2:$G$3001,Расчет!$I$2:$I$3001,$K929,Расчет!$H$2:$H$3001,1))</f>
        <v/>
      </c>
      <c r="I929">
        <f>IF($L929="","",SUMIFS(Расчет!$G$2:$G$3001,Расчет!$I$2:$I$3001,$K929,Расчет!$H$2:$H$3001,2))</f>
        <v/>
      </c>
      <c r="J929">
        <f>IF($L929="","",SUMIFS(Расчет!$G$2:$G$3001,Расчет!$I$2:$I$3001,$K929,Расчет!$H$2:$H$3001,3))</f>
        <v/>
      </c>
      <c r="K929">
        <f>IF($L929="","",INDEX(Расчет!$I$2:$I$3001,$L929))</f>
        <v/>
      </c>
      <c r="L929">
        <f>IFERROR(MATCH(ROW()-1,Расчет!$J$2:$J$3001,0),"")</f>
        <v/>
      </c>
    </row>
    <row r="930">
      <c r="A930">
        <f>IF($L930="","",B930&amp;"."&amp;C930&amp;"-"&amp;D930&amp;"-"&amp;H930&amp;"."&amp;I930&amp;"."&amp;J930)</f>
        <v/>
      </c>
      <c r="B930">
        <f>IF($L930="","",INDEX(Расчет!$A$2:$A$3001,$L930))</f>
        <v/>
      </c>
      <c r="C930">
        <f>IF($L930="","",INDEX(Расчет!$B$2:$B$3001,$L930))</f>
        <v/>
      </c>
      <c r="D930">
        <f>IF($L930="","",IF(ISNUMBER(FIND("(",INDEX(Расчет!$C$2:$C$3001,$L930))),SUBSTITUTE(MID(INDEX(Расчет!$C$2:$C$3001,$L930),FIND("(",INDEX(Расчет!$C$2:$C$3001,$L930))+1,99),")",""),INDEX(Расчет!$C$2:$C$3001,$L930)))</f>
        <v/>
      </c>
      <c r="E930">
        <f>IF($L930="","",INDEX(Расчет!$D$2:$D$3001,$L930))</f>
        <v/>
      </c>
      <c r="F930">
        <f>IF($L930="","",INDEX(Расчет!$E$2:$E$3001,$L930))</f>
        <v/>
      </c>
      <c r="G930">
        <f>IF($L930="","",IFERROR(--LEFT(INDEX(Расчет!$C$2:$C$3001,$L930),FIND("(",INDEX(Расчет!$C$2:$C$3001,$L930))-1),IFERROR(--LEFT(INDEX(Расчет!$C$2:$C$3001,$L930),1),"")))</f>
        <v/>
      </c>
      <c r="H930">
        <f>IF($L930="","",SUMIFS(Расчет!$G$2:$G$3001,Расчет!$I$2:$I$3001,$K930,Расчет!$H$2:$H$3001,1))</f>
        <v/>
      </c>
      <c r="I930">
        <f>IF($L930="","",SUMIFS(Расчет!$G$2:$G$3001,Расчет!$I$2:$I$3001,$K930,Расчет!$H$2:$H$3001,2))</f>
        <v/>
      </c>
      <c r="J930">
        <f>IF($L930="","",SUMIFS(Расчет!$G$2:$G$3001,Расчет!$I$2:$I$3001,$K930,Расчет!$H$2:$H$3001,3))</f>
        <v/>
      </c>
      <c r="K930">
        <f>IF($L930="","",INDEX(Расчет!$I$2:$I$3001,$L930))</f>
        <v/>
      </c>
      <c r="L930">
        <f>IFERROR(MATCH(ROW()-1,Расчет!$J$2:$J$3001,0),"")</f>
        <v/>
      </c>
    </row>
    <row r="931">
      <c r="A931">
        <f>IF($L931="","",B931&amp;"."&amp;C931&amp;"-"&amp;D931&amp;"-"&amp;H931&amp;"."&amp;I931&amp;"."&amp;J931)</f>
        <v/>
      </c>
      <c r="B931">
        <f>IF($L931="","",INDEX(Расчет!$A$2:$A$3001,$L931))</f>
        <v/>
      </c>
      <c r="C931">
        <f>IF($L931="","",INDEX(Расчет!$B$2:$B$3001,$L931))</f>
        <v/>
      </c>
      <c r="D931">
        <f>IF($L931="","",IF(ISNUMBER(FIND("(",INDEX(Расчет!$C$2:$C$3001,$L931))),SUBSTITUTE(MID(INDEX(Расчет!$C$2:$C$3001,$L931),FIND("(",INDEX(Расчет!$C$2:$C$3001,$L931))+1,99),")",""),INDEX(Расчет!$C$2:$C$3001,$L931)))</f>
        <v/>
      </c>
      <c r="E931">
        <f>IF($L931="","",INDEX(Расчет!$D$2:$D$3001,$L931))</f>
        <v/>
      </c>
      <c r="F931">
        <f>IF($L931="","",INDEX(Расчет!$E$2:$E$3001,$L931))</f>
        <v/>
      </c>
      <c r="G931">
        <f>IF($L931="","",IFERROR(--LEFT(INDEX(Расчет!$C$2:$C$3001,$L931),FIND("(",INDEX(Расчет!$C$2:$C$3001,$L931))-1),IFERROR(--LEFT(INDEX(Расчет!$C$2:$C$3001,$L931),1),"")))</f>
        <v/>
      </c>
      <c r="H931">
        <f>IF($L931="","",SUMIFS(Расчет!$G$2:$G$3001,Расчет!$I$2:$I$3001,$K931,Расчет!$H$2:$H$3001,1))</f>
        <v/>
      </c>
      <c r="I931">
        <f>IF($L931="","",SUMIFS(Расчет!$G$2:$G$3001,Расчет!$I$2:$I$3001,$K931,Расчет!$H$2:$H$3001,2))</f>
        <v/>
      </c>
      <c r="J931">
        <f>IF($L931="","",SUMIFS(Расчет!$G$2:$G$3001,Расчет!$I$2:$I$3001,$K931,Расчет!$H$2:$H$3001,3))</f>
        <v/>
      </c>
      <c r="K931">
        <f>IF($L931="","",INDEX(Расчет!$I$2:$I$3001,$L931))</f>
        <v/>
      </c>
      <c r="L931">
        <f>IFERROR(MATCH(ROW()-1,Расчет!$J$2:$J$3001,0),"")</f>
        <v/>
      </c>
    </row>
    <row r="932">
      <c r="A932">
        <f>IF($L932="","",B932&amp;"."&amp;C932&amp;"-"&amp;D932&amp;"-"&amp;H932&amp;"."&amp;I932&amp;"."&amp;J932)</f>
        <v/>
      </c>
      <c r="B932">
        <f>IF($L932="","",INDEX(Расчет!$A$2:$A$3001,$L932))</f>
        <v/>
      </c>
      <c r="C932">
        <f>IF($L932="","",INDEX(Расчет!$B$2:$B$3001,$L932))</f>
        <v/>
      </c>
      <c r="D932">
        <f>IF($L932="","",IF(ISNUMBER(FIND("(",INDEX(Расчет!$C$2:$C$3001,$L932))),SUBSTITUTE(MID(INDEX(Расчет!$C$2:$C$3001,$L932),FIND("(",INDEX(Расчет!$C$2:$C$3001,$L932))+1,99),")",""),INDEX(Расчет!$C$2:$C$3001,$L932)))</f>
        <v/>
      </c>
      <c r="E932">
        <f>IF($L932="","",INDEX(Расчет!$D$2:$D$3001,$L932))</f>
        <v/>
      </c>
      <c r="F932">
        <f>IF($L932="","",INDEX(Расчет!$E$2:$E$3001,$L932))</f>
        <v/>
      </c>
      <c r="G932">
        <f>IF($L932="","",IFERROR(--LEFT(INDEX(Расчет!$C$2:$C$3001,$L932),FIND("(",INDEX(Расчет!$C$2:$C$3001,$L932))-1),IFERROR(--LEFT(INDEX(Расчет!$C$2:$C$3001,$L932),1),"")))</f>
        <v/>
      </c>
      <c r="H932">
        <f>IF($L932="","",SUMIFS(Расчет!$G$2:$G$3001,Расчет!$I$2:$I$3001,$K932,Расчет!$H$2:$H$3001,1))</f>
        <v/>
      </c>
      <c r="I932">
        <f>IF($L932="","",SUMIFS(Расчет!$G$2:$G$3001,Расчет!$I$2:$I$3001,$K932,Расчет!$H$2:$H$3001,2))</f>
        <v/>
      </c>
      <c r="J932">
        <f>IF($L932="","",SUMIFS(Расчет!$G$2:$G$3001,Расчет!$I$2:$I$3001,$K932,Расчет!$H$2:$H$3001,3))</f>
        <v/>
      </c>
      <c r="K932">
        <f>IF($L932="","",INDEX(Расчет!$I$2:$I$3001,$L932))</f>
        <v/>
      </c>
      <c r="L932">
        <f>IFERROR(MATCH(ROW()-1,Расчет!$J$2:$J$3001,0),"")</f>
        <v/>
      </c>
    </row>
    <row r="933">
      <c r="A933">
        <f>IF($L933="","",B933&amp;"."&amp;C933&amp;"-"&amp;D933&amp;"-"&amp;H933&amp;"."&amp;I933&amp;"."&amp;J933)</f>
        <v/>
      </c>
      <c r="B933">
        <f>IF($L933="","",INDEX(Расчет!$A$2:$A$3001,$L933))</f>
        <v/>
      </c>
      <c r="C933">
        <f>IF($L933="","",INDEX(Расчет!$B$2:$B$3001,$L933))</f>
        <v/>
      </c>
      <c r="D933">
        <f>IF($L933="","",IF(ISNUMBER(FIND("(",INDEX(Расчет!$C$2:$C$3001,$L933))),SUBSTITUTE(MID(INDEX(Расчет!$C$2:$C$3001,$L933),FIND("(",INDEX(Расчет!$C$2:$C$3001,$L933))+1,99),")",""),INDEX(Расчет!$C$2:$C$3001,$L933)))</f>
        <v/>
      </c>
      <c r="E933">
        <f>IF($L933="","",INDEX(Расчет!$D$2:$D$3001,$L933))</f>
        <v/>
      </c>
      <c r="F933">
        <f>IF($L933="","",INDEX(Расчет!$E$2:$E$3001,$L933))</f>
        <v/>
      </c>
      <c r="G933">
        <f>IF($L933="","",IFERROR(--LEFT(INDEX(Расчет!$C$2:$C$3001,$L933),FIND("(",INDEX(Расчет!$C$2:$C$3001,$L933))-1),IFERROR(--LEFT(INDEX(Расчет!$C$2:$C$3001,$L933),1),"")))</f>
        <v/>
      </c>
      <c r="H933">
        <f>IF($L933="","",SUMIFS(Расчет!$G$2:$G$3001,Расчет!$I$2:$I$3001,$K933,Расчет!$H$2:$H$3001,1))</f>
        <v/>
      </c>
      <c r="I933">
        <f>IF($L933="","",SUMIFS(Расчет!$G$2:$G$3001,Расчет!$I$2:$I$3001,$K933,Расчет!$H$2:$H$3001,2))</f>
        <v/>
      </c>
      <c r="J933">
        <f>IF($L933="","",SUMIFS(Расчет!$G$2:$G$3001,Расчет!$I$2:$I$3001,$K933,Расчет!$H$2:$H$3001,3))</f>
        <v/>
      </c>
      <c r="K933">
        <f>IF($L933="","",INDEX(Расчет!$I$2:$I$3001,$L933))</f>
        <v/>
      </c>
      <c r="L933">
        <f>IFERROR(MATCH(ROW()-1,Расчет!$J$2:$J$3001,0),"")</f>
        <v/>
      </c>
    </row>
    <row r="934">
      <c r="A934">
        <f>IF($L934="","",B934&amp;"."&amp;C934&amp;"-"&amp;D934&amp;"-"&amp;H934&amp;"."&amp;I934&amp;"."&amp;J934)</f>
        <v/>
      </c>
      <c r="B934">
        <f>IF($L934="","",INDEX(Расчет!$A$2:$A$3001,$L934))</f>
        <v/>
      </c>
      <c r="C934">
        <f>IF($L934="","",INDEX(Расчет!$B$2:$B$3001,$L934))</f>
        <v/>
      </c>
      <c r="D934">
        <f>IF($L934="","",IF(ISNUMBER(FIND("(",INDEX(Расчет!$C$2:$C$3001,$L934))),SUBSTITUTE(MID(INDEX(Расчет!$C$2:$C$3001,$L934),FIND("(",INDEX(Расчет!$C$2:$C$3001,$L934))+1,99),")",""),INDEX(Расчет!$C$2:$C$3001,$L934)))</f>
        <v/>
      </c>
      <c r="E934">
        <f>IF($L934="","",INDEX(Расчет!$D$2:$D$3001,$L934))</f>
        <v/>
      </c>
      <c r="F934">
        <f>IF($L934="","",INDEX(Расчет!$E$2:$E$3001,$L934))</f>
        <v/>
      </c>
      <c r="G934">
        <f>IF($L934="","",IFERROR(--LEFT(INDEX(Расчет!$C$2:$C$3001,$L934),FIND("(",INDEX(Расчет!$C$2:$C$3001,$L934))-1),IFERROR(--LEFT(INDEX(Расчет!$C$2:$C$3001,$L934),1),"")))</f>
        <v/>
      </c>
      <c r="H934">
        <f>IF($L934="","",SUMIFS(Расчет!$G$2:$G$3001,Расчет!$I$2:$I$3001,$K934,Расчет!$H$2:$H$3001,1))</f>
        <v/>
      </c>
      <c r="I934">
        <f>IF($L934="","",SUMIFS(Расчет!$G$2:$G$3001,Расчет!$I$2:$I$3001,$K934,Расчет!$H$2:$H$3001,2))</f>
        <v/>
      </c>
      <c r="J934">
        <f>IF($L934="","",SUMIFS(Расчет!$G$2:$G$3001,Расчет!$I$2:$I$3001,$K934,Расчет!$H$2:$H$3001,3))</f>
        <v/>
      </c>
      <c r="K934">
        <f>IF($L934="","",INDEX(Расчет!$I$2:$I$3001,$L934))</f>
        <v/>
      </c>
      <c r="L934">
        <f>IFERROR(MATCH(ROW()-1,Расчет!$J$2:$J$3001,0),"")</f>
        <v/>
      </c>
    </row>
    <row r="935">
      <c r="A935">
        <f>IF($L935="","",B935&amp;"."&amp;C935&amp;"-"&amp;D935&amp;"-"&amp;H935&amp;"."&amp;I935&amp;"."&amp;J935)</f>
        <v/>
      </c>
      <c r="B935">
        <f>IF($L935="","",INDEX(Расчет!$A$2:$A$3001,$L935))</f>
        <v/>
      </c>
      <c r="C935">
        <f>IF($L935="","",INDEX(Расчет!$B$2:$B$3001,$L935))</f>
        <v/>
      </c>
      <c r="D935">
        <f>IF($L935="","",IF(ISNUMBER(FIND("(",INDEX(Расчет!$C$2:$C$3001,$L935))),SUBSTITUTE(MID(INDEX(Расчет!$C$2:$C$3001,$L935),FIND("(",INDEX(Расчет!$C$2:$C$3001,$L935))+1,99),")",""),INDEX(Расчет!$C$2:$C$3001,$L935)))</f>
        <v/>
      </c>
      <c r="E935">
        <f>IF($L935="","",INDEX(Расчет!$D$2:$D$3001,$L935))</f>
        <v/>
      </c>
      <c r="F935">
        <f>IF($L935="","",INDEX(Расчет!$E$2:$E$3001,$L935))</f>
        <v/>
      </c>
      <c r="G935">
        <f>IF($L935="","",IFERROR(--LEFT(INDEX(Расчет!$C$2:$C$3001,$L935),FIND("(",INDEX(Расчет!$C$2:$C$3001,$L935))-1),IFERROR(--LEFT(INDEX(Расчет!$C$2:$C$3001,$L935),1),"")))</f>
        <v/>
      </c>
      <c r="H935">
        <f>IF($L935="","",SUMIFS(Расчет!$G$2:$G$3001,Расчет!$I$2:$I$3001,$K935,Расчет!$H$2:$H$3001,1))</f>
        <v/>
      </c>
      <c r="I935">
        <f>IF($L935="","",SUMIFS(Расчет!$G$2:$G$3001,Расчет!$I$2:$I$3001,$K935,Расчет!$H$2:$H$3001,2))</f>
        <v/>
      </c>
      <c r="J935">
        <f>IF($L935="","",SUMIFS(Расчет!$G$2:$G$3001,Расчет!$I$2:$I$3001,$K935,Расчет!$H$2:$H$3001,3))</f>
        <v/>
      </c>
      <c r="K935">
        <f>IF($L935="","",INDEX(Расчет!$I$2:$I$3001,$L935))</f>
        <v/>
      </c>
      <c r="L935">
        <f>IFERROR(MATCH(ROW()-1,Расчет!$J$2:$J$3001,0),"")</f>
        <v/>
      </c>
    </row>
    <row r="936">
      <c r="A936">
        <f>IF($L936="","",B936&amp;"."&amp;C936&amp;"-"&amp;D936&amp;"-"&amp;H936&amp;"."&amp;I936&amp;"."&amp;J936)</f>
        <v/>
      </c>
      <c r="B936">
        <f>IF($L936="","",INDEX(Расчет!$A$2:$A$3001,$L936))</f>
        <v/>
      </c>
      <c r="C936">
        <f>IF($L936="","",INDEX(Расчет!$B$2:$B$3001,$L936))</f>
        <v/>
      </c>
      <c r="D936">
        <f>IF($L936="","",IF(ISNUMBER(FIND("(",INDEX(Расчет!$C$2:$C$3001,$L936))),SUBSTITUTE(MID(INDEX(Расчет!$C$2:$C$3001,$L936),FIND("(",INDEX(Расчет!$C$2:$C$3001,$L936))+1,99),")",""),INDEX(Расчет!$C$2:$C$3001,$L936)))</f>
        <v/>
      </c>
      <c r="E936">
        <f>IF($L936="","",INDEX(Расчет!$D$2:$D$3001,$L936))</f>
        <v/>
      </c>
      <c r="F936">
        <f>IF($L936="","",INDEX(Расчет!$E$2:$E$3001,$L936))</f>
        <v/>
      </c>
      <c r="G936">
        <f>IF($L936="","",IFERROR(--LEFT(INDEX(Расчет!$C$2:$C$3001,$L936),FIND("(",INDEX(Расчет!$C$2:$C$3001,$L936))-1),IFERROR(--LEFT(INDEX(Расчет!$C$2:$C$3001,$L936),1),"")))</f>
        <v/>
      </c>
      <c r="H936">
        <f>IF($L936="","",SUMIFS(Расчет!$G$2:$G$3001,Расчет!$I$2:$I$3001,$K936,Расчет!$H$2:$H$3001,1))</f>
        <v/>
      </c>
      <c r="I936">
        <f>IF($L936="","",SUMIFS(Расчет!$G$2:$G$3001,Расчет!$I$2:$I$3001,$K936,Расчет!$H$2:$H$3001,2))</f>
        <v/>
      </c>
      <c r="J936">
        <f>IF($L936="","",SUMIFS(Расчет!$G$2:$G$3001,Расчет!$I$2:$I$3001,$K936,Расчет!$H$2:$H$3001,3))</f>
        <v/>
      </c>
      <c r="K936">
        <f>IF($L936="","",INDEX(Расчет!$I$2:$I$3001,$L936))</f>
        <v/>
      </c>
      <c r="L936">
        <f>IFERROR(MATCH(ROW()-1,Расчет!$J$2:$J$3001,0),"")</f>
        <v/>
      </c>
    </row>
    <row r="937">
      <c r="A937">
        <f>IF($L937="","",B937&amp;"."&amp;C937&amp;"-"&amp;D937&amp;"-"&amp;H937&amp;"."&amp;I937&amp;"."&amp;J937)</f>
        <v/>
      </c>
      <c r="B937">
        <f>IF($L937="","",INDEX(Расчет!$A$2:$A$3001,$L937))</f>
        <v/>
      </c>
      <c r="C937">
        <f>IF($L937="","",INDEX(Расчет!$B$2:$B$3001,$L937))</f>
        <v/>
      </c>
      <c r="D937">
        <f>IF($L937="","",IF(ISNUMBER(FIND("(",INDEX(Расчет!$C$2:$C$3001,$L937))),SUBSTITUTE(MID(INDEX(Расчет!$C$2:$C$3001,$L937),FIND("(",INDEX(Расчет!$C$2:$C$3001,$L937))+1,99),")",""),INDEX(Расчет!$C$2:$C$3001,$L937)))</f>
        <v/>
      </c>
      <c r="E937">
        <f>IF($L937="","",INDEX(Расчет!$D$2:$D$3001,$L937))</f>
        <v/>
      </c>
      <c r="F937">
        <f>IF($L937="","",INDEX(Расчет!$E$2:$E$3001,$L937))</f>
        <v/>
      </c>
      <c r="G937">
        <f>IF($L937="","",IFERROR(--LEFT(INDEX(Расчет!$C$2:$C$3001,$L937),FIND("(",INDEX(Расчет!$C$2:$C$3001,$L937))-1),IFERROR(--LEFT(INDEX(Расчет!$C$2:$C$3001,$L937),1),"")))</f>
        <v/>
      </c>
      <c r="H937">
        <f>IF($L937="","",SUMIFS(Расчет!$G$2:$G$3001,Расчет!$I$2:$I$3001,$K937,Расчет!$H$2:$H$3001,1))</f>
        <v/>
      </c>
      <c r="I937">
        <f>IF($L937="","",SUMIFS(Расчет!$G$2:$G$3001,Расчет!$I$2:$I$3001,$K937,Расчет!$H$2:$H$3001,2))</f>
        <v/>
      </c>
      <c r="J937">
        <f>IF($L937="","",SUMIFS(Расчет!$G$2:$G$3001,Расчет!$I$2:$I$3001,$K937,Расчет!$H$2:$H$3001,3))</f>
        <v/>
      </c>
      <c r="K937">
        <f>IF($L937="","",INDEX(Расчет!$I$2:$I$3001,$L937))</f>
        <v/>
      </c>
      <c r="L937">
        <f>IFERROR(MATCH(ROW()-1,Расчет!$J$2:$J$3001,0),"")</f>
        <v/>
      </c>
    </row>
    <row r="938">
      <c r="A938">
        <f>IF($L938="","",B938&amp;"."&amp;C938&amp;"-"&amp;D938&amp;"-"&amp;H938&amp;"."&amp;I938&amp;"."&amp;J938)</f>
        <v/>
      </c>
      <c r="B938">
        <f>IF($L938="","",INDEX(Расчет!$A$2:$A$3001,$L938))</f>
        <v/>
      </c>
      <c r="C938">
        <f>IF($L938="","",INDEX(Расчет!$B$2:$B$3001,$L938))</f>
        <v/>
      </c>
      <c r="D938">
        <f>IF($L938="","",IF(ISNUMBER(FIND("(",INDEX(Расчет!$C$2:$C$3001,$L938))),SUBSTITUTE(MID(INDEX(Расчет!$C$2:$C$3001,$L938),FIND("(",INDEX(Расчет!$C$2:$C$3001,$L938))+1,99),")",""),INDEX(Расчет!$C$2:$C$3001,$L938)))</f>
        <v/>
      </c>
      <c r="E938">
        <f>IF($L938="","",INDEX(Расчет!$D$2:$D$3001,$L938))</f>
        <v/>
      </c>
      <c r="F938">
        <f>IF($L938="","",INDEX(Расчет!$E$2:$E$3001,$L938))</f>
        <v/>
      </c>
      <c r="G938">
        <f>IF($L938="","",IFERROR(--LEFT(INDEX(Расчет!$C$2:$C$3001,$L938),FIND("(",INDEX(Расчет!$C$2:$C$3001,$L938))-1),IFERROR(--LEFT(INDEX(Расчет!$C$2:$C$3001,$L938),1),"")))</f>
        <v/>
      </c>
      <c r="H938">
        <f>IF($L938="","",SUMIFS(Расчет!$G$2:$G$3001,Расчет!$I$2:$I$3001,$K938,Расчет!$H$2:$H$3001,1))</f>
        <v/>
      </c>
      <c r="I938">
        <f>IF($L938="","",SUMIFS(Расчет!$G$2:$G$3001,Расчет!$I$2:$I$3001,$K938,Расчет!$H$2:$H$3001,2))</f>
        <v/>
      </c>
      <c r="J938">
        <f>IF($L938="","",SUMIFS(Расчет!$G$2:$G$3001,Расчет!$I$2:$I$3001,$K938,Расчет!$H$2:$H$3001,3))</f>
        <v/>
      </c>
      <c r="K938">
        <f>IF($L938="","",INDEX(Расчет!$I$2:$I$3001,$L938))</f>
        <v/>
      </c>
      <c r="L938">
        <f>IFERROR(MATCH(ROW()-1,Расчет!$J$2:$J$3001,0),"")</f>
        <v/>
      </c>
    </row>
    <row r="939">
      <c r="A939">
        <f>IF($L939="","",B939&amp;"."&amp;C939&amp;"-"&amp;D939&amp;"-"&amp;H939&amp;"."&amp;I939&amp;"."&amp;J939)</f>
        <v/>
      </c>
      <c r="B939">
        <f>IF($L939="","",INDEX(Расчет!$A$2:$A$3001,$L939))</f>
        <v/>
      </c>
      <c r="C939">
        <f>IF($L939="","",INDEX(Расчет!$B$2:$B$3001,$L939))</f>
        <v/>
      </c>
      <c r="D939">
        <f>IF($L939="","",IF(ISNUMBER(FIND("(",INDEX(Расчет!$C$2:$C$3001,$L939))),SUBSTITUTE(MID(INDEX(Расчет!$C$2:$C$3001,$L939),FIND("(",INDEX(Расчет!$C$2:$C$3001,$L939))+1,99),")",""),INDEX(Расчет!$C$2:$C$3001,$L939)))</f>
        <v/>
      </c>
      <c r="E939">
        <f>IF($L939="","",INDEX(Расчет!$D$2:$D$3001,$L939))</f>
        <v/>
      </c>
      <c r="F939">
        <f>IF($L939="","",INDEX(Расчет!$E$2:$E$3001,$L939))</f>
        <v/>
      </c>
      <c r="G939">
        <f>IF($L939="","",IFERROR(--LEFT(INDEX(Расчет!$C$2:$C$3001,$L939),FIND("(",INDEX(Расчет!$C$2:$C$3001,$L939))-1),IFERROR(--LEFT(INDEX(Расчет!$C$2:$C$3001,$L939),1),"")))</f>
        <v/>
      </c>
      <c r="H939">
        <f>IF($L939="","",SUMIFS(Расчет!$G$2:$G$3001,Расчет!$I$2:$I$3001,$K939,Расчет!$H$2:$H$3001,1))</f>
        <v/>
      </c>
      <c r="I939">
        <f>IF($L939="","",SUMIFS(Расчет!$G$2:$G$3001,Расчет!$I$2:$I$3001,$K939,Расчет!$H$2:$H$3001,2))</f>
        <v/>
      </c>
      <c r="J939">
        <f>IF($L939="","",SUMIFS(Расчет!$G$2:$G$3001,Расчет!$I$2:$I$3001,$K939,Расчет!$H$2:$H$3001,3))</f>
        <v/>
      </c>
      <c r="K939">
        <f>IF($L939="","",INDEX(Расчет!$I$2:$I$3001,$L939))</f>
        <v/>
      </c>
      <c r="L939">
        <f>IFERROR(MATCH(ROW()-1,Расчет!$J$2:$J$3001,0),"")</f>
        <v/>
      </c>
    </row>
    <row r="940">
      <c r="A940">
        <f>IF($L940="","",B940&amp;"."&amp;C940&amp;"-"&amp;D940&amp;"-"&amp;H940&amp;"."&amp;I940&amp;"."&amp;J940)</f>
        <v/>
      </c>
      <c r="B940">
        <f>IF($L940="","",INDEX(Расчет!$A$2:$A$3001,$L940))</f>
        <v/>
      </c>
      <c r="C940">
        <f>IF($L940="","",INDEX(Расчет!$B$2:$B$3001,$L940))</f>
        <v/>
      </c>
      <c r="D940">
        <f>IF($L940="","",IF(ISNUMBER(FIND("(",INDEX(Расчет!$C$2:$C$3001,$L940))),SUBSTITUTE(MID(INDEX(Расчет!$C$2:$C$3001,$L940),FIND("(",INDEX(Расчет!$C$2:$C$3001,$L940))+1,99),")",""),INDEX(Расчет!$C$2:$C$3001,$L940)))</f>
        <v/>
      </c>
      <c r="E940">
        <f>IF($L940="","",INDEX(Расчет!$D$2:$D$3001,$L940))</f>
        <v/>
      </c>
      <c r="F940">
        <f>IF($L940="","",INDEX(Расчет!$E$2:$E$3001,$L940))</f>
        <v/>
      </c>
      <c r="G940">
        <f>IF($L940="","",IFERROR(--LEFT(INDEX(Расчет!$C$2:$C$3001,$L940),FIND("(",INDEX(Расчет!$C$2:$C$3001,$L940))-1),IFERROR(--LEFT(INDEX(Расчет!$C$2:$C$3001,$L940),1),"")))</f>
        <v/>
      </c>
      <c r="H940">
        <f>IF($L940="","",SUMIFS(Расчет!$G$2:$G$3001,Расчет!$I$2:$I$3001,$K940,Расчет!$H$2:$H$3001,1))</f>
        <v/>
      </c>
      <c r="I940">
        <f>IF($L940="","",SUMIFS(Расчет!$G$2:$G$3001,Расчет!$I$2:$I$3001,$K940,Расчет!$H$2:$H$3001,2))</f>
        <v/>
      </c>
      <c r="J940">
        <f>IF($L940="","",SUMIFS(Расчет!$G$2:$G$3001,Расчет!$I$2:$I$3001,$K940,Расчет!$H$2:$H$3001,3))</f>
        <v/>
      </c>
      <c r="K940">
        <f>IF($L940="","",INDEX(Расчет!$I$2:$I$3001,$L940))</f>
        <v/>
      </c>
      <c r="L940">
        <f>IFERROR(MATCH(ROW()-1,Расчет!$J$2:$J$3001,0),"")</f>
        <v/>
      </c>
    </row>
    <row r="941">
      <c r="A941">
        <f>IF($L941="","",B941&amp;"."&amp;C941&amp;"-"&amp;D941&amp;"-"&amp;H941&amp;"."&amp;I941&amp;"."&amp;J941)</f>
        <v/>
      </c>
      <c r="B941">
        <f>IF($L941="","",INDEX(Расчет!$A$2:$A$3001,$L941))</f>
        <v/>
      </c>
      <c r="C941">
        <f>IF($L941="","",INDEX(Расчет!$B$2:$B$3001,$L941))</f>
        <v/>
      </c>
      <c r="D941">
        <f>IF($L941="","",IF(ISNUMBER(FIND("(",INDEX(Расчет!$C$2:$C$3001,$L941))),SUBSTITUTE(MID(INDEX(Расчет!$C$2:$C$3001,$L941),FIND("(",INDEX(Расчет!$C$2:$C$3001,$L941))+1,99),")",""),INDEX(Расчет!$C$2:$C$3001,$L941)))</f>
        <v/>
      </c>
      <c r="E941">
        <f>IF($L941="","",INDEX(Расчет!$D$2:$D$3001,$L941))</f>
        <v/>
      </c>
      <c r="F941">
        <f>IF($L941="","",INDEX(Расчет!$E$2:$E$3001,$L941))</f>
        <v/>
      </c>
      <c r="G941">
        <f>IF($L941="","",IFERROR(--LEFT(INDEX(Расчет!$C$2:$C$3001,$L941),FIND("(",INDEX(Расчет!$C$2:$C$3001,$L941))-1),IFERROR(--LEFT(INDEX(Расчет!$C$2:$C$3001,$L941),1),"")))</f>
        <v/>
      </c>
      <c r="H941">
        <f>IF($L941="","",SUMIFS(Расчет!$G$2:$G$3001,Расчет!$I$2:$I$3001,$K941,Расчет!$H$2:$H$3001,1))</f>
        <v/>
      </c>
      <c r="I941">
        <f>IF($L941="","",SUMIFS(Расчет!$G$2:$G$3001,Расчет!$I$2:$I$3001,$K941,Расчет!$H$2:$H$3001,2))</f>
        <v/>
      </c>
      <c r="J941">
        <f>IF($L941="","",SUMIFS(Расчет!$G$2:$G$3001,Расчет!$I$2:$I$3001,$K941,Расчет!$H$2:$H$3001,3))</f>
        <v/>
      </c>
      <c r="K941">
        <f>IF($L941="","",INDEX(Расчет!$I$2:$I$3001,$L941))</f>
        <v/>
      </c>
      <c r="L941">
        <f>IFERROR(MATCH(ROW()-1,Расчет!$J$2:$J$3001,0),"")</f>
        <v/>
      </c>
    </row>
    <row r="942">
      <c r="A942">
        <f>IF($L942="","",B942&amp;"."&amp;C942&amp;"-"&amp;D942&amp;"-"&amp;H942&amp;"."&amp;I942&amp;"."&amp;J942)</f>
        <v/>
      </c>
      <c r="B942">
        <f>IF($L942="","",INDEX(Расчет!$A$2:$A$3001,$L942))</f>
        <v/>
      </c>
      <c r="C942">
        <f>IF($L942="","",INDEX(Расчет!$B$2:$B$3001,$L942))</f>
        <v/>
      </c>
      <c r="D942">
        <f>IF($L942="","",IF(ISNUMBER(FIND("(",INDEX(Расчет!$C$2:$C$3001,$L942))),SUBSTITUTE(MID(INDEX(Расчет!$C$2:$C$3001,$L942),FIND("(",INDEX(Расчет!$C$2:$C$3001,$L942))+1,99),")",""),INDEX(Расчет!$C$2:$C$3001,$L942)))</f>
        <v/>
      </c>
      <c r="E942">
        <f>IF($L942="","",INDEX(Расчет!$D$2:$D$3001,$L942))</f>
        <v/>
      </c>
      <c r="F942">
        <f>IF($L942="","",INDEX(Расчет!$E$2:$E$3001,$L942))</f>
        <v/>
      </c>
      <c r="G942">
        <f>IF($L942="","",IFERROR(--LEFT(INDEX(Расчет!$C$2:$C$3001,$L942),FIND("(",INDEX(Расчет!$C$2:$C$3001,$L942))-1),IFERROR(--LEFT(INDEX(Расчет!$C$2:$C$3001,$L942),1),"")))</f>
        <v/>
      </c>
      <c r="H942">
        <f>IF($L942="","",SUMIFS(Расчет!$G$2:$G$3001,Расчет!$I$2:$I$3001,$K942,Расчет!$H$2:$H$3001,1))</f>
        <v/>
      </c>
      <c r="I942">
        <f>IF($L942="","",SUMIFS(Расчет!$G$2:$G$3001,Расчет!$I$2:$I$3001,$K942,Расчет!$H$2:$H$3001,2))</f>
        <v/>
      </c>
      <c r="J942">
        <f>IF($L942="","",SUMIFS(Расчет!$G$2:$G$3001,Расчет!$I$2:$I$3001,$K942,Расчет!$H$2:$H$3001,3))</f>
        <v/>
      </c>
      <c r="K942">
        <f>IF($L942="","",INDEX(Расчет!$I$2:$I$3001,$L942))</f>
        <v/>
      </c>
      <c r="L942">
        <f>IFERROR(MATCH(ROW()-1,Расчет!$J$2:$J$3001,0),"")</f>
        <v/>
      </c>
    </row>
    <row r="943">
      <c r="A943">
        <f>IF($L943="","",B943&amp;"."&amp;C943&amp;"-"&amp;D943&amp;"-"&amp;H943&amp;"."&amp;I943&amp;"."&amp;J943)</f>
        <v/>
      </c>
      <c r="B943">
        <f>IF($L943="","",INDEX(Расчет!$A$2:$A$3001,$L943))</f>
        <v/>
      </c>
      <c r="C943">
        <f>IF($L943="","",INDEX(Расчет!$B$2:$B$3001,$L943))</f>
        <v/>
      </c>
      <c r="D943">
        <f>IF($L943="","",IF(ISNUMBER(FIND("(",INDEX(Расчет!$C$2:$C$3001,$L943))),SUBSTITUTE(MID(INDEX(Расчет!$C$2:$C$3001,$L943),FIND("(",INDEX(Расчет!$C$2:$C$3001,$L943))+1,99),")",""),INDEX(Расчет!$C$2:$C$3001,$L943)))</f>
        <v/>
      </c>
      <c r="E943">
        <f>IF($L943="","",INDEX(Расчет!$D$2:$D$3001,$L943))</f>
        <v/>
      </c>
      <c r="F943">
        <f>IF($L943="","",INDEX(Расчет!$E$2:$E$3001,$L943))</f>
        <v/>
      </c>
      <c r="G943">
        <f>IF($L943="","",IFERROR(--LEFT(INDEX(Расчет!$C$2:$C$3001,$L943),FIND("(",INDEX(Расчет!$C$2:$C$3001,$L943))-1),IFERROR(--LEFT(INDEX(Расчет!$C$2:$C$3001,$L943),1),"")))</f>
        <v/>
      </c>
      <c r="H943">
        <f>IF($L943="","",SUMIFS(Расчет!$G$2:$G$3001,Расчет!$I$2:$I$3001,$K943,Расчет!$H$2:$H$3001,1))</f>
        <v/>
      </c>
      <c r="I943">
        <f>IF($L943="","",SUMIFS(Расчет!$G$2:$G$3001,Расчет!$I$2:$I$3001,$K943,Расчет!$H$2:$H$3001,2))</f>
        <v/>
      </c>
      <c r="J943">
        <f>IF($L943="","",SUMIFS(Расчет!$G$2:$G$3001,Расчет!$I$2:$I$3001,$K943,Расчет!$H$2:$H$3001,3))</f>
        <v/>
      </c>
      <c r="K943">
        <f>IF($L943="","",INDEX(Расчет!$I$2:$I$3001,$L943))</f>
        <v/>
      </c>
      <c r="L943">
        <f>IFERROR(MATCH(ROW()-1,Расчет!$J$2:$J$3001,0),"")</f>
        <v/>
      </c>
    </row>
    <row r="944">
      <c r="A944">
        <f>IF($L944="","",B944&amp;"."&amp;C944&amp;"-"&amp;D944&amp;"-"&amp;H944&amp;"."&amp;I944&amp;"."&amp;J944)</f>
        <v/>
      </c>
      <c r="B944">
        <f>IF($L944="","",INDEX(Расчет!$A$2:$A$3001,$L944))</f>
        <v/>
      </c>
      <c r="C944">
        <f>IF($L944="","",INDEX(Расчет!$B$2:$B$3001,$L944))</f>
        <v/>
      </c>
      <c r="D944">
        <f>IF($L944="","",IF(ISNUMBER(FIND("(",INDEX(Расчет!$C$2:$C$3001,$L944))),SUBSTITUTE(MID(INDEX(Расчет!$C$2:$C$3001,$L944),FIND("(",INDEX(Расчет!$C$2:$C$3001,$L944))+1,99),")",""),INDEX(Расчет!$C$2:$C$3001,$L944)))</f>
        <v/>
      </c>
      <c r="E944">
        <f>IF($L944="","",INDEX(Расчет!$D$2:$D$3001,$L944))</f>
        <v/>
      </c>
      <c r="F944">
        <f>IF($L944="","",INDEX(Расчет!$E$2:$E$3001,$L944))</f>
        <v/>
      </c>
      <c r="G944">
        <f>IF($L944="","",IFERROR(--LEFT(INDEX(Расчет!$C$2:$C$3001,$L944),FIND("(",INDEX(Расчет!$C$2:$C$3001,$L944))-1),IFERROR(--LEFT(INDEX(Расчет!$C$2:$C$3001,$L944),1),"")))</f>
        <v/>
      </c>
      <c r="H944">
        <f>IF($L944="","",SUMIFS(Расчет!$G$2:$G$3001,Расчет!$I$2:$I$3001,$K944,Расчет!$H$2:$H$3001,1))</f>
        <v/>
      </c>
      <c r="I944">
        <f>IF($L944="","",SUMIFS(Расчет!$G$2:$G$3001,Расчет!$I$2:$I$3001,$K944,Расчет!$H$2:$H$3001,2))</f>
        <v/>
      </c>
      <c r="J944">
        <f>IF($L944="","",SUMIFS(Расчет!$G$2:$G$3001,Расчет!$I$2:$I$3001,$K944,Расчет!$H$2:$H$3001,3))</f>
        <v/>
      </c>
      <c r="K944">
        <f>IF($L944="","",INDEX(Расчет!$I$2:$I$3001,$L944))</f>
        <v/>
      </c>
      <c r="L944">
        <f>IFERROR(MATCH(ROW()-1,Расчет!$J$2:$J$3001,0),"")</f>
        <v/>
      </c>
    </row>
    <row r="945">
      <c r="A945">
        <f>IF($L945="","",B945&amp;"."&amp;C945&amp;"-"&amp;D945&amp;"-"&amp;H945&amp;"."&amp;I945&amp;"."&amp;J945)</f>
        <v/>
      </c>
      <c r="B945">
        <f>IF($L945="","",INDEX(Расчет!$A$2:$A$3001,$L945))</f>
        <v/>
      </c>
      <c r="C945">
        <f>IF($L945="","",INDEX(Расчет!$B$2:$B$3001,$L945))</f>
        <v/>
      </c>
      <c r="D945">
        <f>IF($L945="","",IF(ISNUMBER(FIND("(",INDEX(Расчет!$C$2:$C$3001,$L945))),SUBSTITUTE(MID(INDEX(Расчет!$C$2:$C$3001,$L945),FIND("(",INDEX(Расчет!$C$2:$C$3001,$L945))+1,99),")",""),INDEX(Расчет!$C$2:$C$3001,$L945)))</f>
        <v/>
      </c>
      <c r="E945">
        <f>IF($L945="","",INDEX(Расчет!$D$2:$D$3001,$L945))</f>
        <v/>
      </c>
      <c r="F945">
        <f>IF($L945="","",INDEX(Расчет!$E$2:$E$3001,$L945))</f>
        <v/>
      </c>
      <c r="G945">
        <f>IF($L945="","",IFERROR(--LEFT(INDEX(Расчет!$C$2:$C$3001,$L945),FIND("(",INDEX(Расчет!$C$2:$C$3001,$L945))-1),IFERROR(--LEFT(INDEX(Расчет!$C$2:$C$3001,$L945),1),"")))</f>
        <v/>
      </c>
      <c r="H945">
        <f>IF($L945="","",SUMIFS(Расчет!$G$2:$G$3001,Расчет!$I$2:$I$3001,$K945,Расчет!$H$2:$H$3001,1))</f>
        <v/>
      </c>
      <c r="I945">
        <f>IF($L945="","",SUMIFS(Расчет!$G$2:$G$3001,Расчет!$I$2:$I$3001,$K945,Расчет!$H$2:$H$3001,2))</f>
        <v/>
      </c>
      <c r="J945">
        <f>IF($L945="","",SUMIFS(Расчет!$G$2:$G$3001,Расчет!$I$2:$I$3001,$K945,Расчет!$H$2:$H$3001,3))</f>
        <v/>
      </c>
      <c r="K945">
        <f>IF($L945="","",INDEX(Расчет!$I$2:$I$3001,$L945))</f>
        <v/>
      </c>
      <c r="L945">
        <f>IFERROR(MATCH(ROW()-1,Расчет!$J$2:$J$3001,0),"")</f>
        <v/>
      </c>
    </row>
    <row r="946">
      <c r="A946">
        <f>IF($L946="","",B946&amp;"."&amp;C946&amp;"-"&amp;D946&amp;"-"&amp;H946&amp;"."&amp;I946&amp;"."&amp;J946)</f>
        <v/>
      </c>
      <c r="B946">
        <f>IF($L946="","",INDEX(Расчет!$A$2:$A$3001,$L946))</f>
        <v/>
      </c>
      <c r="C946">
        <f>IF($L946="","",INDEX(Расчет!$B$2:$B$3001,$L946))</f>
        <v/>
      </c>
      <c r="D946">
        <f>IF($L946="","",IF(ISNUMBER(FIND("(",INDEX(Расчет!$C$2:$C$3001,$L946))),SUBSTITUTE(MID(INDEX(Расчет!$C$2:$C$3001,$L946),FIND("(",INDEX(Расчет!$C$2:$C$3001,$L946))+1,99),")",""),INDEX(Расчет!$C$2:$C$3001,$L946)))</f>
        <v/>
      </c>
      <c r="E946">
        <f>IF($L946="","",INDEX(Расчет!$D$2:$D$3001,$L946))</f>
        <v/>
      </c>
      <c r="F946">
        <f>IF($L946="","",INDEX(Расчет!$E$2:$E$3001,$L946))</f>
        <v/>
      </c>
      <c r="G946">
        <f>IF($L946="","",IFERROR(--LEFT(INDEX(Расчет!$C$2:$C$3001,$L946),FIND("(",INDEX(Расчет!$C$2:$C$3001,$L946))-1),IFERROR(--LEFT(INDEX(Расчет!$C$2:$C$3001,$L946),1),"")))</f>
        <v/>
      </c>
      <c r="H946">
        <f>IF($L946="","",SUMIFS(Расчет!$G$2:$G$3001,Расчет!$I$2:$I$3001,$K946,Расчет!$H$2:$H$3001,1))</f>
        <v/>
      </c>
      <c r="I946">
        <f>IF($L946="","",SUMIFS(Расчет!$G$2:$G$3001,Расчет!$I$2:$I$3001,$K946,Расчет!$H$2:$H$3001,2))</f>
        <v/>
      </c>
      <c r="J946">
        <f>IF($L946="","",SUMIFS(Расчет!$G$2:$G$3001,Расчет!$I$2:$I$3001,$K946,Расчет!$H$2:$H$3001,3))</f>
        <v/>
      </c>
      <c r="K946">
        <f>IF($L946="","",INDEX(Расчет!$I$2:$I$3001,$L946))</f>
        <v/>
      </c>
      <c r="L946">
        <f>IFERROR(MATCH(ROW()-1,Расчет!$J$2:$J$3001,0),"")</f>
        <v/>
      </c>
    </row>
    <row r="947">
      <c r="A947">
        <f>IF($L947="","",B947&amp;"."&amp;C947&amp;"-"&amp;D947&amp;"-"&amp;H947&amp;"."&amp;I947&amp;"."&amp;J947)</f>
        <v/>
      </c>
      <c r="B947">
        <f>IF($L947="","",INDEX(Расчет!$A$2:$A$3001,$L947))</f>
        <v/>
      </c>
      <c r="C947">
        <f>IF($L947="","",INDEX(Расчет!$B$2:$B$3001,$L947))</f>
        <v/>
      </c>
      <c r="D947">
        <f>IF($L947="","",IF(ISNUMBER(FIND("(",INDEX(Расчет!$C$2:$C$3001,$L947))),SUBSTITUTE(MID(INDEX(Расчет!$C$2:$C$3001,$L947),FIND("(",INDEX(Расчет!$C$2:$C$3001,$L947))+1,99),")",""),INDEX(Расчет!$C$2:$C$3001,$L947)))</f>
        <v/>
      </c>
      <c r="E947">
        <f>IF($L947="","",INDEX(Расчет!$D$2:$D$3001,$L947))</f>
        <v/>
      </c>
      <c r="F947">
        <f>IF($L947="","",INDEX(Расчет!$E$2:$E$3001,$L947))</f>
        <v/>
      </c>
      <c r="G947">
        <f>IF($L947="","",IFERROR(--LEFT(INDEX(Расчет!$C$2:$C$3001,$L947),FIND("(",INDEX(Расчет!$C$2:$C$3001,$L947))-1),IFERROR(--LEFT(INDEX(Расчет!$C$2:$C$3001,$L947),1),"")))</f>
        <v/>
      </c>
      <c r="H947">
        <f>IF($L947="","",SUMIFS(Расчет!$G$2:$G$3001,Расчет!$I$2:$I$3001,$K947,Расчет!$H$2:$H$3001,1))</f>
        <v/>
      </c>
      <c r="I947">
        <f>IF($L947="","",SUMIFS(Расчет!$G$2:$G$3001,Расчет!$I$2:$I$3001,$K947,Расчет!$H$2:$H$3001,2))</f>
        <v/>
      </c>
      <c r="J947">
        <f>IF($L947="","",SUMIFS(Расчет!$G$2:$G$3001,Расчет!$I$2:$I$3001,$K947,Расчет!$H$2:$H$3001,3))</f>
        <v/>
      </c>
      <c r="K947">
        <f>IF($L947="","",INDEX(Расчет!$I$2:$I$3001,$L947))</f>
        <v/>
      </c>
      <c r="L947">
        <f>IFERROR(MATCH(ROW()-1,Расчет!$J$2:$J$3001,0),"")</f>
        <v/>
      </c>
    </row>
    <row r="948">
      <c r="A948">
        <f>IF($L948="","",B948&amp;"."&amp;C948&amp;"-"&amp;D948&amp;"-"&amp;H948&amp;"."&amp;I948&amp;"."&amp;J948)</f>
        <v/>
      </c>
      <c r="B948">
        <f>IF($L948="","",INDEX(Расчет!$A$2:$A$3001,$L948))</f>
        <v/>
      </c>
      <c r="C948">
        <f>IF($L948="","",INDEX(Расчет!$B$2:$B$3001,$L948))</f>
        <v/>
      </c>
      <c r="D948">
        <f>IF($L948="","",IF(ISNUMBER(FIND("(",INDEX(Расчет!$C$2:$C$3001,$L948))),SUBSTITUTE(MID(INDEX(Расчет!$C$2:$C$3001,$L948),FIND("(",INDEX(Расчет!$C$2:$C$3001,$L948))+1,99),")",""),INDEX(Расчет!$C$2:$C$3001,$L948)))</f>
        <v/>
      </c>
      <c r="E948">
        <f>IF($L948="","",INDEX(Расчет!$D$2:$D$3001,$L948))</f>
        <v/>
      </c>
      <c r="F948">
        <f>IF($L948="","",INDEX(Расчет!$E$2:$E$3001,$L948))</f>
        <v/>
      </c>
      <c r="G948">
        <f>IF($L948="","",IFERROR(--LEFT(INDEX(Расчет!$C$2:$C$3001,$L948),FIND("(",INDEX(Расчет!$C$2:$C$3001,$L948))-1),IFERROR(--LEFT(INDEX(Расчет!$C$2:$C$3001,$L948),1),"")))</f>
        <v/>
      </c>
      <c r="H948">
        <f>IF($L948="","",SUMIFS(Расчет!$G$2:$G$3001,Расчет!$I$2:$I$3001,$K948,Расчет!$H$2:$H$3001,1))</f>
        <v/>
      </c>
      <c r="I948">
        <f>IF($L948="","",SUMIFS(Расчет!$G$2:$G$3001,Расчет!$I$2:$I$3001,$K948,Расчет!$H$2:$H$3001,2))</f>
        <v/>
      </c>
      <c r="J948">
        <f>IF($L948="","",SUMIFS(Расчет!$G$2:$G$3001,Расчет!$I$2:$I$3001,$K948,Расчет!$H$2:$H$3001,3))</f>
        <v/>
      </c>
      <c r="K948">
        <f>IF($L948="","",INDEX(Расчет!$I$2:$I$3001,$L948))</f>
        <v/>
      </c>
      <c r="L948">
        <f>IFERROR(MATCH(ROW()-1,Расчет!$J$2:$J$3001,0),"")</f>
        <v/>
      </c>
    </row>
    <row r="949">
      <c r="A949">
        <f>IF($L949="","",B949&amp;"."&amp;C949&amp;"-"&amp;D949&amp;"-"&amp;H949&amp;"."&amp;I949&amp;"."&amp;J949)</f>
        <v/>
      </c>
      <c r="B949">
        <f>IF($L949="","",INDEX(Расчет!$A$2:$A$3001,$L949))</f>
        <v/>
      </c>
      <c r="C949">
        <f>IF($L949="","",INDEX(Расчет!$B$2:$B$3001,$L949))</f>
        <v/>
      </c>
      <c r="D949">
        <f>IF($L949="","",IF(ISNUMBER(FIND("(",INDEX(Расчет!$C$2:$C$3001,$L949))),SUBSTITUTE(MID(INDEX(Расчет!$C$2:$C$3001,$L949),FIND("(",INDEX(Расчет!$C$2:$C$3001,$L949))+1,99),")",""),INDEX(Расчет!$C$2:$C$3001,$L949)))</f>
        <v/>
      </c>
      <c r="E949">
        <f>IF($L949="","",INDEX(Расчет!$D$2:$D$3001,$L949))</f>
        <v/>
      </c>
      <c r="F949">
        <f>IF($L949="","",INDEX(Расчет!$E$2:$E$3001,$L949))</f>
        <v/>
      </c>
      <c r="G949">
        <f>IF($L949="","",IFERROR(--LEFT(INDEX(Расчет!$C$2:$C$3001,$L949),FIND("(",INDEX(Расчет!$C$2:$C$3001,$L949))-1),IFERROR(--LEFT(INDEX(Расчет!$C$2:$C$3001,$L949),1),"")))</f>
        <v/>
      </c>
      <c r="H949">
        <f>IF($L949="","",SUMIFS(Расчет!$G$2:$G$3001,Расчет!$I$2:$I$3001,$K949,Расчет!$H$2:$H$3001,1))</f>
        <v/>
      </c>
      <c r="I949">
        <f>IF($L949="","",SUMIFS(Расчет!$G$2:$G$3001,Расчет!$I$2:$I$3001,$K949,Расчет!$H$2:$H$3001,2))</f>
        <v/>
      </c>
      <c r="J949">
        <f>IF($L949="","",SUMIFS(Расчет!$G$2:$G$3001,Расчет!$I$2:$I$3001,$K949,Расчет!$H$2:$H$3001,3))</f>
        <v/>
      </c>
      <c r="K949">
        <f>IF($L949="","",INDEX(Расчет!$I$2:$I$3001,$L949))</f>
        <v/>
      </c>
      <c r="L949">
        <f>IFERROR(MATCH(ROW()-1,Расчет!$J$2:$J$3001,0),"")</f>
        <v/>
      </c>
    </row>
    <row r="950">
      <c r="A950">
        <f>IF($L950="","",B950&amp;"."&amp;C950&amp;"-"&amp;D950&amp;"-"&amp;H950&amp;"."&amp;I950&amp;"."&amp;J950)</f>
        <v/>
      </c>
      <c r="B950">
        <f>IF($L950="","",INDEX(Расчет!$A$2:$A$3001,$L950))</f>
        <v/>
      </c>
      <c r="C950">
        <f>IF($L950="","",INDEX(Расчет!$B$2:$B$3001,$L950))</f>
        <v/>
      </c>
      <c r="D950">
        <f>IF($L950="","",IF(ISNUMBER(FIND("(",INDEX(Расчет!$C$2:$C$3001,$L950))),SUBSTITUTE(MID(INDEX(Расчет!$C$2:$C$3001,$L950),FIND("(",INDEX(Расчет!$C$2:$C$3001,$L950))+1,99),")",""),INDEX(Расчет!$C$2:$C$3001,$L950)))</f>
        <v/>
      </c>
      <c r="E950">
        <f>IF($L950="","",INDEX(Расчет!$D$2:$D$3001,$L950))</f>
        <v/>
      </c>
      <c r="F950">
        <f>IF($L950="","",INDEX(Расчет!$E$2:$E$3001,$L950))</f>
        <v/>
      </c>
      <c r="G950">
        <f>IF($L950="","",IFERROR(--LEFT(INDEX(Расчет!$C$2:$C$3001,$L950),FIND("(",INDEX(Расчет!$C$2:$C$3001,$L950))-1),IFERROR(--LEFT(INDEX(Расчет!$C$2:$C$3001,$L950),1),"")))</f>
        <v/>
      </c>
      <c r="H950">
        <f>IF($L950="","",SUMIFS(Расчет!$G$2:$G$3001,Расчет!$I$2:$I$3001,$K950,Расчет!$H$2:$H$3001,1))</f>
        <v/>
      </c>
      <c r="I950">
        <f>IF($L950="","",SUMIFS(Расчет!$G$2:$G$3001,Расчет!$I$2:$I$3001,$K950,Расчет!$H$2:$H$3001,2))</f>
        <v/>
      </c>
      <c r="J950">
        <f>IF($L950="","",SUMIFS(Расчет!$G$2:$G$3001,Расчет!$I$2:$I$3001,$K950,Расчет!$H$2:$H$3001,3))</f>
        <v/>
      </c>
      <c r="K950">
        <f>IF($L950="","",INDEX(Расчет!$I$2:$I$3001,$L950))</f>
        <v/>
      </c>
      <c r="L950">
        <f>IFERROR(MATCH(ROW()-1,Расчет!$J$2:$J$3001,0),"")</f>
        <v/>
      </c>
    </row>
    <row r="951">
      <c r="A951">
        <f>IF($L951="","",B951&amp;"."&amp;C951&amp;"-"&amp;D951&amp;"-"&amp;H951&amp;"."&amp;I951&amp;"."&amp;J951)</f>
        <v/>
      </c>
      <c r="B951">
        <f>IF($L951="","",INDEX(Расчет!$A$2:$A$3001,$L951))</f>
        <v/>
      </c>
      <c r="C951">
        <f>IF($L951="","",INDEX(Расчет!$B$2:$B$3001,$L951))</f>
        <v/>
      </c>
      <c r="D951">
        <f>IF($L951="","",IF(ISNUMBER(FIND("(",INDEX(Расчет!$C$2:$C$3001,$L951))),SUBSTITUTE(MID(INDEX(Расчет!$C$2:$C$3001,$L951),FIND("(",INDEX(Расчет!$C$2:$C$3001,$L951))+1,99),")",""),INDEX(Расчет!$C$2:$C$3001,$L951)))</f>
        <v/>
      </c>
      <c r="E951">
        <f>IF($L951="","",INDEX(Расчет!$D$2:$D$3001,$L951))</f>
        <v/>
      </c>
      <c r="F951">
        <f>IF($L951="","",INDEX(Расчет!$E$2:$E$3001,$L951))</f>
        <v/>
      </c>
      <c r="G951">
        <f>IF($L951="","",IFERROR(--LEFT(INDEX(Расчет!$C$2:$C$3001,$L951),FIND("(",INDEX(Расчет!$C$2:$C$3001,$L951))-1),IFERROR(--LEFT(INDEX(Расчет!$C$2:$C$3001,$L951),1),"")))</f>
        <v/>
      </c>
      <c r="H951">
        <f>IF($L951="","",SUMIFS(Расчет!$G$2:$G$3001,Расчет!$I$2:$I$3001,$K951,Расчет!$H$2:$H$3001,1))</f>
        <v/>
      </c>
      <c r="I951">
        <f>IF($L951="","",SUMIFS(Расчет!$G$2:$G$3001,Расчет!$I$2:$I$3001,$K951,Расчет!$H$2:$H$3001,2))</f>
        <v/>
      </c>
      <c r="J951">
        <f>IF($L951="","",SUMIFS(Расчет!$G$2:$G$3001,Расчет!$I$2:$I$3001,$K951,Расчет!$H$2:$H$3001,3))</f>
        <v/>
      </c>
      <c r="K951">
        <f>IF($L951="","",INDEX(Расчет!$I$2:$I$3001,$L951))</f>
        <v/>
      </c>
      <c r="L951">
        <f>IFERROR(MATCH(ROW()-1,Расчет!$J$2:$J$3001,0),"")</f>
        <v/>
      </c>
    </row>
    <row r="952">
      <c r="A952">
        <f>IF($L952="","",B952&amp;"."&amp;C952&amp;"-"&amp;D952&amp;"-"&amp;H952&amp;"."&amp;I952&amp;"."&amp;J952)</f>
        <v/>
      </c>
      <c r="B952">
        <f>IF($L952="","",INDEX(Расчет!$A$2:$A$3001,$L952))</f>
        <v/>
      </c>
      <c r="C952">
        <f>IF($L952="","",INDEX(Расчет!$B$2:$B$3001,$L952))</f>
        <v/>
      </c>
      <c r="D952">
        <f>IF($L952="","",IF(ISNUMBER(FIND("(",INDEX(Расчет!$C$2:$C$3001,$L952))),SUBSTITUTE(MID(INDEX(Расчет!$C$2:$C$3001,$L952),FIND("(",INDEX(Расчет!$C$2:$C$3001,$L952))+1,99),")",""),INDEX(Расчет!$C$2:$C$3001,$L952)))</f>
        <v/>
      </c>
      <c r="E952">
        <f>IF($L952="","",INDEX(Расчет!$D$2:$D$3001,$L952))</f>
        <v/>
      </c>
      <c r="F952">
        <f>IF($L952="","",INDEX(Расчет!$E$2:$E$3001,$L952))</f>
        <v/>
      </c>
      <c r="G952">
        <f>IF($L952="","",IFERROR(--LEFT(INDEX(Расчет!$C$2:$C$3001,$L952),FIND("(",INDEX(Расчет!$C$2:$C$3001,$L952))-1),IFERROR(--LEFT(INDEX(Расчет!$C$2:$C$3001,$L952),1),"")))</f>
        <v/>
      </c>
      <c r="H952">
        <f>IF($L952="","",SUMIFS(Расчет!$G$2:$G$3001,Расчет!$I$2:$I$3001,$K952,Расчет!$H$2:$H$3001,1))</f>
        <v/>
      </c>
      <c r="I952">
        <f>IF($L952="","",SUMIFS(Расчет!$G$2:$G$3001,Расчет!$I$2:$I$3001,$K952,Расчет!$H$2:$H$3001,2))</f>
        <v/>
      </c>
      <c r="J952">
        <f>IF($L952="","",SUMIFS(Расчет!$G$2:$G$3001,Расчет!$I$2:$I$3001,$K952,Расчет!$H$2:$H$3001,3))</f>
        <v/>
      </c>
      <c r="K952">
        <f>IF($L952="","",INDEX(Расчет!$I$2:$I$3001,$L952))</f>
        <v/>
      </c>
      <c r="L952">
        <f>IFERROR(MATCH(ROW()-1,Расчет!$J$2:$J$3001,0),"")</f>
        <v/>
      </c>
    </row>
    <row r="953">
      <c r="A953">
        <f>IF($L953="","",B953&amp;"."&amp;C953&amp;"-"&amp;D953&amp;"-"&amp;H953&amp;"."&amp;I953&amp;"."&amp;J953)</f>
        <v/>
      </c>
      <c r="B953">
        <f>IF($L953="","",INDEX(Расчет!$A$2:$A$3001,$L953))</f>
        <v/>
      </c>
      <c r="C953">
        <f>IF($L953="","",INDEX(Расчет!$B$2:$B$3001,$L953))</f>
        <v/>
      </c>
      <c r="D953">
        <f>IF($L953="","",IF(ISNUMBER(FIND("(",INDEX(Расчет!$C$2:$C$3001,$L953))),SUBSTITUTE(MID(INDEX(Расчет!$C$2:$C$3001,$L953),FIND("(",INDEX(Расчет!$C$2:$C$3001,$L953))+1,99),")",""),INDEX(Расчет!$C$2:$C$3001,$L953)))</f>
        <v/>
      </c>
      <c r="E953">
        <f>IF($L953="","",INDEX(Расчет!$D$2:$D$3001,$L953))</f>
        <v/>
      </c>
      <c r="F953">
        <f>IF($L953="","",INDEX(Расчет!$E$2:$E$3001,$L953))</f>
        <v/>
      </c>
      <c r="G953">
        <f>IF($L953="","",IFERROR(--LEFT(INDEX(Расчет!$C$2:$C$3001,$L953),FIND("(",INDEX(Расчет!$C$2:$C$3001,$L953))-1),IFERROR(--LEFT(INDEX(Расчет!$C$2:$C$3001,$L953),1),"")))</f>
        <v/>
      </c>
      <c r="H953">
        <f>IF($L953="","",SUMIFS(Расчет!$G$2:$G$3001,Расчет!$I$2:$I$3001,$K953,Расчет!$H$2:$H$3001,1))</f>
        <v/>
      </c>
      <c r="I953">
        <f>IF($L953="","",SUMIFS(Расчет!$G$2:$G$3001,Расчет!$I$2:$I$3001,$K953,Расчет!$H$2:$H$3001,2))</f>
        <v/>
      </c>
      <c r="J953">
        <f>IF($L953="","",SUMIFS(Расчет!$G$2:$G$3001,Расчет!$I$2:$I$3001,$K953,Расчет!$H$2:$H$3001,3))</f>
        <v/>
      </c>
      <c r="K953">
        <f>IF($L953="","",INDEX(Расчет!$I$2:$I$3001,$L953))</f>
        <v/>
      </c>
      <c r="L953">
        <f>IFERROR(MATCH(ROW()-1,Расчет!$J$2:$J$3001,0),"")</f>
        <v/>
      </c>
    </row>
    <row r="954">
      <c r="A954">
        <f>IF($L954="","",B954&amp;"."&amp;C954&amp;"-"&amp;D954&amp;"-"&amp;H954&amp;"."&amp;I954&amp;"."&amp;J954)</f>
        <v/>
      </c>
      <c r="B954">
        <f>IF($L954="","",INDEX(Расчет!$A$2:$A$3001,$L954))</f>
        <v/>
      </c>
      <c r="C954">
        <f>IF($L954="","",INDEX(Расчет!$B$2:$B$3001,$L954))</f>
        <v/>
      </c>
      <c r="D954">
        <f>IF($L954="","",IF(ISNUMBER(FIND("(",INDEX(Расчет!$C$2:$C$3001,$L954))),SUBSTITUTE(MID(INDEX(Расчет!$C$2:$C$3001,$L954),FIND("(",INDEX(Расчет!$C$2:$C$3001,$L954))+1,99),")",""),INDEX(Расчет!$C$2:$C$3001,$L954)))</f>
        <v/>
      </c>
      <c r="E954">
        <f>IF($L954="","",INDEX(Расчет!$D$2:$D$3001,$L954))</f>
        <v/>
      </c>
      <c r="F954">
        <f>IF($L954="","",INDEX(Расчет!$E$2:$E$3001,$L954))</f>
        <v/>
      </c>
      <c r="G954">
        <f>IF($L954="","",IFERROR(--LEFT(INDEX(Расчет!$C$2:$C$3001,$L954),FIND("(",INDEX(Расчет!$C$2:$C$3001,$L954))-1),IFERROR(--LEFT(INDEX(Расчет!$C$2:$C$3001,$L954),1),"")))</f>
        <v/>
      </c>
      <c r="H954">
        <f>IF($L954="","",SUMIFS(Расчет!$G$2:$G$3001,Расчет!$I$2:$I$3001,$K954,Расчет!$H$2:$H$3001,1))</f>
        <v/>
      </c>
      <c r="I954">
        <f>IF($L954="","",SUMIFS(Расчет!$G$2:$G$3001,Расчет!$I$2:$I$3001,$K954,Расчет!$H$2:$H$3001,2))</f>
        <v/>
      </c>
      <c r="J954">
        <f>IF($L954="","",SUMIFS(Расчет!$G$2:$G$3001,Расчет!$I$2:$I$3001,$K954,Расчет!$H$2:$H$3001,3))</f>
        <v/>
      </c>
      <c r="K954">
        <f>IF($L954="","",INDEX(Расчет!$I$2:$I$3001,$L954))</f>
        <v/>
      </c>
      <c r="L954">
        <f>IFERROR(MATCH(ROW()-1,Расчет!$J$2:$J$3001,0),"")</f>
        <v/>
      </c>
    </row>
    <row r="955">
      <c r="A955">
        <f>IF($L955="","",B955&amp;"."&amp;C955&amp;"-"&amp;D955&amp;"-"&amp;H955&amp;"."&amp;I955&amp;"."&amp;J955)</f>
        <v/>
      </c>
      <c r="B955">
        <f>IF($L955="","",INDEX(Расчет!$A$2:$A$3001,$L955))</f>
        <v/>
      </c>
      <c r="C955">
        <f>IF($L955="","",INDEX(Расчет!$B$2:$B$3001,$L955))</f>
        <v/>
      </c>
      <c r="D955">
        <f>IF($L955="","",IF(ISNUMBER(FIND("(",INDEX(Расчет!$C$2:$C$3001,$L955))),SUBSTITUTE(MID(INDEX(Расчет!$C$2:$C$3001,$L955),FIND("(",INDEX(Расчет!$C$2:$C$3001,$L955))+1,99),")",""),INDEX(Расчет!$C$2:$C$3001,$L955)))</f>
        <v/>
      </c>
      <c r="E955">
        <f>IF($L955="","",INDEX(Расчет!$D$2:$D$3001,$L955))</f>
        <v/>
      </c>
      <c r="F955">
        <f>IF($L955="","",INDEX(Расчет!$E$2:$E$3001,$L955))</f>
        <v/>
      </c>
      <c r="G955">
        <f>IF($L955="","",IFERROR(--LEFT(INDEX(Расчет!$C$2:$C$3001,$L955),FIND("(",INDEX(Расчет!$C$2:$C$3001,$L955))-1),IFERROR(--LEFT(INDEX(Расчет!$C$2:$C$3001,$L955),1),"")))</f>
        <v/>
      </c>
      <c r="H955">
        <f>IF($L955="","",SUMIFS(Расчет!$G$2:$G$3001,Расчет!$I$2:$I$3001,$K955,Расчет!$H$2:$H$3001,1))</f>
        <v/>
      </c>
      <c r="I955">
        <f>IF($L955="","",SUMIFS(Расчет!$G$2:$G$3001,Расчет!$I$2:$I$3001,$K955,Расчет!$H$2:$H$3001,2))</f>
        <v/>
      </c>
      <c r="J955">
        <f>IF($L955="","",SUMIFS(Расчет!$G$2:$G$3001,Расчет!$I$2:$I$3001,$K955,Расчет!$H$2:$H$3001,3))</f>
        <v/>
      </c>
      <c r="K955">
        <f>IF($L955="","",INDEX(Расчет!$I$2:$I$3001,$L955))</f>
        <v/>
      </c>
      <c r="L955">
        <f>IFERROR(MATCH(ROW()-1,Расчет!$J$2:$J$3001,0),"")</f>
        <v/>
      </c>
    </row>
    <row r="956">
      <c r="A956">
        <f>IF($L956="","",B956&amp;"."&amp;C956&amp;"-"&amp;D956&amp;"-"&amp;H956&amp;"."&amp;I956&amp;"."&amp;J956)</f>
        <v/>
      </c>
      <c r="B956">
        <f>IF($L956="","",INDEX(Расчет!$A$2:$A$3001,$L956))</f>
        <v/>
      </c>
      <c r="C956">
        <f>IF($L956="","",INDEX(Расчет!$B$2:$B$3001,$L956))</f>
        <v/>
      </c>
      <c r="D956">
        <f>IF($L956="","",IF(ISNUMBER(FIND("(",INDEX(Расчет!$C$2:$C$3001,$L956))),SUBSTITUTE(MID(INDEX(Расчет!$C$2:$C$3001,$L956),FIND("(",INDEX(Расчет!$C$2:$C$3001,$L956))+1,99),")",""),INDEX(Расчет!$C$2:$C$3001,$L956)))</f>
        <v/>
      </c>
      <c r="E956">
        <f>IF($L956="","",INDEX(Расчет!$D$2:$D$3001,$L956))</f>
        <v/>
      </c>
      <c r="F956">
        <f>IF($L956="","",INDEX(Расчет!$E$2:$E$3001,$L956))</f>
        <v/>
      </c>
      <c r="G956">
        <f>IF($L956="","",IFERROR(--LEFT(INDEX(Расчет!$C$2:$C$3001,$L956),FIND("(",INDEX(Расчет!$C$2:$C$3001,$L956))-1),IFERROR(--LEFT(INDEX(Расчет!$C$2:$C$3001,$L956),1),"")))</f>
        <v/>
      </c>
      <c r="H956">
        <f>IF($L956="","",SUMIFS(Расчет!$G$2:$G$3001,Расчет!$I$2:$I$3001,$K956,Расчет!$H$2:$H$3001,1))</f>
        <v/>
      </c>
      <c r="I956">
        <f>IF($L956="","",SUMIFS(Расчет!$G$2:$G$3001,Расчет!$I$2:$I$3001,$K956,Расчет!$H$2:$H$3001,2))</f>
        <v/>
      </c>
      <c r="J956">
        <f>IF($L956="","",SUMIFS(Расчет!$G$2:$G$3001,Расчет!$I$2:$I$3001,$K956,Расчет!$H$2:$H$3001,3))</f>
        <v/>
      </c>
      <c r="K956">
        <f>IF($L956="","",INDEX(Расчет!$I$2:$I$3001,$L956))</f>
        <v/>
      </c>
      <c r="L956">
        <f>IFERROR(MATCH(ROW()-1,Расчет!$J$2:$J$3001,0),"")</f>
        <v/>
      </c>
    </row>
    <row r="957">
      <c r="A957">
        <f>IF($L957="","",B957&amp;"."&amp;C957&amp;"-"&amp;D957&amp;"-"&amp;H957&amp;"."&amp;I957&amp;"."&amp;J957)</f>
        <v/>
      </c>
      <c r="B957">
        <f>IF($L957="","",INDEX(Расчет!$A$2:$A$3001,$L957))</f>
        <v/>
      </c>
      <c r="C957">
        <f>IF($L957="","",INDEX(Расчет!$B$2:$B$3001,$L957))</f>
        <v/>
      </c>
      <c r="D957">
        <f>IF($L957="","",IF(ISNUMBER(FIND("(",INDEX(Расчет!$C$2:$C$3001,$L957))),SUBSTITUTE(MID(INDEX(Расчет!$C$2:$C$3001,$L957),FIND("(",INDEX(Расчет!$C$2:$C$3001,$L957))+1,99),")",""),INDEX(Расчет!$C$2:$C$3001,$L957)))</f>
        <v/>
      </c>
      <c r="E957">
        <f>IF($L957="","",INDEX(Расчет!$D$2:$D$3001,$L957))</f>
        <v/>
      </c>
      <c r="F957">
        <f>IF($L957="","",INDEX(Расчет!$E$2:$E$3001,$L957))</f>
        <v/>
      </c>
      <c r="G957">
        <f>IF($L957="","",IFERROR(--LEFT(INDEX(Расчет!$C$2:$C$3001,$L957),FIND("(",INDEX(Расчет!$C$2:$C$3001,$L957))-1),IFERROR(--LEFT(INDEX(Расчет!$C$2:$C$3001,$L957),1),"")))</f>
        <v/>
      </c>
      <c r="H957">
        <f>IF($L957="","",SUMIFS(Расчет!$G$2:$G$3001,Расчет!$I$2:$I$3001,$K957,Расчет!$H$2:$H$3001,1))</f>
        <v/>
      </c>
      <c r="I957">
        <f>IF($L957="","",SUMIFS(Расчет!$G$2:$G$3001,Расчет!$I$2:$I$3001,$K957,Расчет!$H$2:$H$3001,2))</f>
        <v/>
      </c>
      <c r="J957">
        <f>IF($L957="","",SUMIFS(Расчет!$G$2:$G$3001,Расчет!$I$2:$I$3001,$K957,Расчет!$H$2:$H$3001,3))</f>
        <v/>
      </c>
      <c r="K957">
        <f>IF($L957="","",INDEX(Расчет!$I$2:$I$3001,$L957))</f>
        <v/>
      </c>
      <c r="L957">
        <f>IFERROR(MATCH(ROW()-1,Расчет!$J$2:$J$3001,0),"")</f>
        <v/>
      </c>
    </row>
    <row r="958">
      <c r="A958">
        <f>IF($L958="","",B958&amp;"."&amp;C958&amp;"-"&amp;D958&amp;"-"&amp;H958&amp;"."&amp;I958&amp;"."&amp;J958)</f>
        <v/>
      </c>
      <c r="B958">
        <f>IF($L958="","",INDEX(Расчет!$A$2:$A$3001,$L958))</f>
        <v/>
      </c>
      <c r="C958">
        <f>IF($L958="","",INDEX(Расчет!$B$2:$B$3001,$L958))</f>
        <v/>
      </c>
      <c r="D958">
        <f>IF($L958="","",IF(ISNUMBER(FIND("(",INDEX(Расчет!$C$2:$C$3001,$L958))),SUBSTITUTE(MID(INDEX(Расчет!$C$2:$C$3001,$L958),FIND("(",INDEX(Расчет!$C$2:$C$3001,$L958))+1,99),")",""),INDEX(Расчет!$C$2:$C$3001,$L958)))</f>
        <v/>
      </c>
      <c r="E958">
        <f>IF($L958="","",INDEX(Расчет!$D$2:$D$3001,$L958))</f>
        <v/>
      </c>
      <c r="F958">
        <f>IF($L958="","",INDEX(Расчет!$E$2:$E$3001,$L958))</f>
        <v/>
      </c>
      <c r="G958">
        <f>IF($L958="","",IFERROR(--LEFT(INDEX(Расчет!$C$2:$C$3001,$L958),FIND("(",INDEX(Расчет!$C$2:$C$3001,$L958))-1),IFERROR(--LEFT(INDEX(Расчет!$C$2:$C$3001,$L958),1),"")))</f>
        <v/>
      </c>
      <c r="H958">
        <f>IF($L958="","",SUMIFS(Расчет!$G$2:$G$3001,Расчет!$I$2:$I$3001,$K958,Расчет!$H$2:$H$3001,1))</f>
        <v/>
      </c>
      <c r="I958">
        <f>IF($L958="","",SUMIFS(Расчет!$G$2:$G$3001,Расчет!$I$2:$I$3001,$K958,Расчет!$H$2:$H$3001,2))</f>
        <v/>
      </c>
      <c r="J958">
        <f>IF($L958="","",SUMIFS(Расчет!$G$2:$G$3001,Расчет!$I$2:$I$3001,$K958,Расчет!$H$2:$H$3001,3))</f>
        <v/>
      </c>
      <c r="K958">
        <f>IF($L958="","",INDEX(Расчет!$I$2:$I$3001,$L958))</f>
        <v/>
      </c>
      <c r="L958">
        <f>IFERROR(MATCH(ROW()-1,Расчет!$J$2:$J$3001,0),"")</f>
        <v/>
      </c>
    </row>
    <row r="959">
      <c r="A959">
        <f>IF($L959="","",B959&amp;"."&amp;C959&amp;"-"&amp;D959&amp;"-"&amp;H959&amp;"."&amp;I959&amp;"."&amp;J959)</f>
        <v/>
      </c>
      <c r="B959">
        <f>IF($L959="","",INDEX(Расчет!$A$2:$A$3001,$L959))</f>
        <v/>
      </c>
      <c r="C959">
        <f>IF($L959="","",INDEX(Расчет!$B$2:$B$3001,$L959))</f>
        <v/>
      </c>
      <c r="D959">
        <f>IF($L959="","",IF(ISNUMBER(FIND("(",INDEX(Расчет!$C$2:$C$3001,$L959))),SUBSTITUTE(MID(INDEX(Расчет!$C$2:$C$3001,$L959),FIND("(",INDEX(Расчет!$C$2:$C$3001,$L959))+1,99),")",""),INDEX(Расчет!$C$2:$C$3001,$L959)))</f>
        <v/>
      </c>
      <c r="E959">
        <f>IF($L959="","",INDEX(Расчет!$D$2:$D$3001,$L959))</f>
        <v/>
      </c>
      <c r="F959">
        <f>IF($L959="","",INDEX(Расчет!$E$2:$E$3001,$L959))</f>
        <v/>
      </c>
      <c r="G959">
        <f>IF($L959="","",IFERROR(--LEFT(INDEX(Расчет!$C$2:$C$3001,$L959),FIND("(",INDEX(Расчет!$C$2:$C$3001,$L959))-1),IFERROR(--LEFT(INDEX(Расчет!$C$2:$C$3001,$L959),1),"")))</f>
        <v/>
      </c>
      <c r="H959">
        <f>IF($L959="","",SUMIFS(Расчет!$G$2:$G$3001,Расчет!$I$2:$I$3001,$K959,Расчет!$H$2:$H$3001,1))</f>
        <v/>
      </c>
      <c r="I959">
        <f>IF($L959="","",SUMIFS(Расчет!$G$2:$G$3001,Расчет!$I$2:$I$3001,$K959,Расчет!$H$2:$H$3001,2))</f>
        <v/>
      </c>
      <c r="J959">
        <f>IF($L959="","",SUMIFS(Расчет!$G$2:$G$3001,Расчет!$I$2:$I$3001,$K959,Расчет!$H$2:$H$3001,3))</f>
        <v/>
      </c>
      <c r="K959">
        <f>IF($L959="","",INDEX(Расчет!$I$2:$I$3001,$L959))</f>
        <v/>
      </c>
      <c r="L959">
        <f>IFERROR(MATCH(ROW()-1,Расчет!$J$2:$J$3001,0),"")</f>
        <v/>
      </c>
    </row>
    <row r="960">
      <c r="A960">
        <f>IF($L960="","",B960&amp;"."&amp;C960&amp;"-"&amp;D960&amp;"-"&amp;H960&amp;"."&amp;I960&amp;"."&amp;J960)</f>
        <v/>
      </c>
      <c r="B960">
        <f>IF($L960="","",INDEX(Расчет!$A$2:$A$3001,$L960))</f>
        <v/>
      </c>
      <c r="C960">
        <f>IF($L960="","",INDEX(Расчет!$B$2:$B$3001,$L960))</f>
        <v/>
      </c>
      <c r="D960">
        <f>IF($L960="","",IF(ISNUMBER(FIND("(",INDEX(Расчет!$C$2:$C$3001,$L960))),SUBSTITUTE(MID(INDEX(Расчет!$C$2:$C$3001,$L960),FIND("(",INDEX(Расчет!$C$2:$C$3001,$L960))+1,99),")",""),INDEX(Расчет!$C$2:$C$3001,$L960)))</f>
        <v/>
      </c>
      <c r="E960">
        <f>IF($L960="","",INDEX(Расчет!$D$2:$D$3001,$L960))</f>
        <v/>
      </c>
      <c r="F960">
        <f>IF($L960="","",INDEX(Расчет!$E$2:$E$3001,$L960))</f>
        <v/>
      </c>
      <c r="G960">
        <f>IF($L960="","",IFERROR(--LEFT(INDEX(Расчет!$C$2:$C$3001,$L960),FIND("(",INDEX(Расчет!$C$2:$C$3001,$L960))-1),IFERROR(--LEFT(INDEX(Расчет!$C$2:$C$3001,$L960),1),"")))</f>
        <v/>
      </c>
      <c r="H960">
        <f>IF($L960="","",SUMIFS(Расчет!$G$2:$G$3001,Расчет!$I$2:$I$3001,$K960,Расчет!$H$2:$H$3001,1))</f>
        <v/>
      </c>
      <c r="I960">
        <f>IF($L960="","",SUMIFS(Расчет!$G$2:$G$3001,Расчет!$I$2:$I$3001,$K960,Расчет!$H$2:$H$3001,2))</f>
        <v/>
      </c>
      <c r="J960">
        <f>IF($L960="","",SUMIFS(Расчет!$G$2:$G$3001,Расчет!$I$2:$I$3001,$K960,Расчет!$H$2:$H$3001,3))</f>
        <v/>
      </c>
      <c r="K960">
        <f>IF($L960="","",INDEX(Расчет!$I$2:$I$3001,$L960))</f>
        <v/>
      </c>
      <c r="L960">
        <f>IFERROR(MATCH(ROW()-1,Расчет!$J$2:$J$3001,0),"")</f>
        <v/>
      </c>
    </row>
    <row r="961">
      <c r="A961">
        <f>IF($L961="","",B961&amp;"."&amp;C961&amp;"-"&amp;D961&amp;"-"&amp;H961&amp;"."&amp;I961&amp;"."&amp;J961)</f>
        <v/>
      </c>
      <c r="B961">
        <f>IF($L961="","",INDEX(Расчет!$A$2:$A$3001,$L961))</f>
        <v/>
      </c>
      <c r="C961">
        <f>IF($L961="","",INDEX(Расчет!$B$2:$B$3001,$L961))</f>
        <v/>
      </c>
      <c r="D961">
        <f>IF($L961="","",IF(ISNUMBER(FIND("(",INDEX(Расчет!$C$2:$C$3001,$L961))),SUBSTITUTE(MID(INDEX(Расчет!$C$2:$C$3001,$L961),FIND("(",INDEX(Расчет!$C$2:$C$3001,$L961))+1,99),")",""),INDEX(Расчет!$C$2:$C$3001,$L961)))</f>
        <v/>
      </c>
      <c r="E961">
        <f>IF($L961="","",INDEX(Расчет!$D$2:$D$3001,$L961))</f>
        <v/>
      </c>
      <c r="F961">
        <f>IF($L961="","",INDEX(Расчет!$E$2:$E$3001,$L961))</f>
        <v/>
      </c>
      <c r="G961">
        <f>IF($L961="","",IFERROR(--LEFT(INDEX(Расчет!$C$2:$C$3001,$L961),FIND("(",INDEX(Расчет!$C$2:$C$3001,$L961))-1),IFERROR(--LEFT(INDEX(Расчет!$C$2:$C$3001,$L961),1),"")))</f>
        <v/>
      </c>
      <c r="H961">
        <f>IF($L961="","",SUMIFS(Расчет!$G$2:$G$3001,Расчет!$I$2:$I$3001,$K961,Расчет!$H$2:$H$3001,1))</f>
        <v/>
      </c>
      <c r="I961">
        <f>IF($L961="","",SUMIFS(Расчет!$G$2:$G$3001,Расчет!$I$2:$I$3001,$K961,Расчет!$H$2:$H$3001,2))</f>
        <v/>
      </c>
      <c r="J961">
        <f>IF($L961="","",SUMIFS(Расчет!$G$2:$G$3001,Расчет!$I$2:$I$3001,$K961,Расчет!$H$2:$H$3001,3))</f>
        <v/>
      </c>
      <c r="K961">
        <f>IF($L961="","",INDEX(Расчет!$I$2:$I$3001,$L961))</f>
        <v/>
      </c>
      <c r="L961">
        <f>IFERROR(MATCH(ROW()-1,Расчет!$J$2:$J$3001,0),"")</f>
        <v/>
      </c>
    </row>
    <row r="962">
      <c r="A962">
        <f>IF($L962="","",B962&amp;"."&amp;C962&amp;"-"&amp;D962&amp;"-"&amp;H962&amp;"."&amp;I962&amp;"."&amp;J962)</f>
        <v/>
      </c>
      <c r="B962">
        <f>IF($L962="","",INDEX(Расчет!$A$2:$A$3001,$L962))</f>
        <v/>
      </c>
      <c r="C962">
        <f>IF($L962="","",INDEX(Расчет!$B$2:$B$3001,$L962))</f>
        <v/>
      </c>
      <c r="D962">
        <f>IF($L962="","",IF(ISNUMBER(FIND("(",INDEX(Расчет!$C$2:$C$3001,$L962))),SUBSTITUTE(MID(INDEX(Расчет!$C$2:$C$3001,$L962),FIND("(",INDEX(Расчет!$C$2:$C$3001,$L962))+1,99),")",""),INDEX(Расчет!$C$2:$C$3001,$L962)))</f>
        <v/>
      </c>
      <c r="E962">
        <f>IF($L962="","",INDEX(Расчет!$D$2:$D$3001,$L962))</f>
        <v/>
      </c>
      <c r="F962">
        <f>IF($L962="","",INDEX(Расчет!$E$2:$E$3001,$L962))</f>
        <v/>
      </c>
      <c r="G962">
        <f>IF($L962="","",IFERROR(--LEFT(INDEX(Расчет!$C$2:$C$3001,$L962),FIND("(",INDEX(Расчет!$C$2:$C$3001,$L962))-1),IFERROR(--LEFT(INDEX(Расчет!$C$2:$C$3001,$L962),1),"")))</f>
        <v/>
      </c>
      <c r="H962">
        <f>IF($L962="","",SUMIFS(Расчет!$G$2:$G$3001,Расчет!$I$2:$I$3001,$K962,Расчет!$H$2:$H$3001,1))</f>
        <v/>
      </c>
      <c r="I962">
        <f>IF($L962="","",SUMIFS(Расчет!$G$2:$G$3001,Расчет!$I$2:$I$3001,$K962,Расчет!$H$2:$H$3001,2))</f>
        <v/>
      </c>
      <c r="J962">
        <f>IF($L962="","",SUMIFS(Расчет!$G$2:$G$3001,Расчет!$I$2:$I$3001,$K962,Расчет!$H$2:$H$3001,3))</f>
        <v/>
      </c>
      <c r="K962">
        <f>IF($L962="","",INDEX(Расчет!$I$2:$I$3001,$L962))</f>
        <v/>
      </c>
      <c r="L962">
        <f>IFERROR(MATCH(ROW()-1,Расчет!$J$2:$J$3001,0),"")</f>
        <v/>
      </c>
    </row>
    <row r="963">
      <c r="A963">
        <f>IF($L963="","",B963&amp;"."&amp;C963&amp;"-"&amp;D963&amp;"-"&amp;H963&amp;"."&amp;I963&amp;"."&amp;J963)</f>
        <v/>
      </c>
      <c r="B963">
        <f>IF($L963="","",INDEX(Расчет!$A$2:$A$3001,$L963))</f>
        <v/>
      </c>
      <c r="C963">
        <f>IF($L963="","",INDEX(Расчет!$B$2:$B$3001,$L963))</f>
        <v/>
      </c>
      <c r="D963">
        <f>IF($L963="","",IF(ISNUMBER(FIND("(",INDEX(Расчет!$C$2:$C$3001,$L963))),SUBSTITUTE(MID(INDEX(Расчет!$C$2:$C$3001,$L963),FIND("(",INDEX(Расчет!$C$2:$C$3001,$L963))+1,99),")",""),INDEX(Расчет!$C$2:$C$3001,$L963)))</f>
        <v/>
      </c>
      <c r="E963">
        <f>IF($L963="","",INDEX(Расчет!$D$2:$D$3001,$L963))</f>
        <v/>
      </c>
      <c r="F963">
        <f>IF($L963="","",INDEX(Расчет!$E$2:$E$3001,$L963))</f>
        <v/>
      </c>
      <c r="G963">
        <f>IF($L963="","",IFERROR(--LEFT(INDEX(Расчет!$C$2:$C$3001,$L963),FIND("(",INDEX(Расчет!$C$2:$C$3001,$L963))-1),IFERROR(--LEFT(INDEX(Расчет!$C$2:$C$3001,$L963),1),"")))</f>
        <v/>
      </c>
      <c r="H963">
        <f>IF($L963="","",SUMIFS(Расчет!$G$2:$G$3001,Расчет!$I$2:$I$3001,$K963,Расчет!$H$2:$H$3001,1))</f>
        <v/>
      </c>
      <c r="I963">
        <f>IF($L963="","",SUMIFS(Расчет!$G$2:$G$3001,Расчет!$I$2:$I$3001,$K963,Расчет!$H$2:$H$3001,2))</f>
        <v/>
      </c>
      <c r="J963">
        <f>IF($L963="","",SUMIFS(Расчет!$G$2:$G$3001,Расчет!$I$2:$I$3001,$K963,Расчет!$H$2:$H$3001,3))</f>
        <v/>
      </c>
      <c r="K963">
        <f>IF($L963="","",INDEX(Расчет!$I$2:$I$3001,$L963))</f>
        <v/>
      </c>
      <c r="L963">
        <f>IFERROR(MATCH(ROW()-1,Расчет!$J$2:$J$3001,0),"")</f>
        <v/>
      </c>
    </row>
    <row r="964">
      <c r="A964">
        <f>IF($L964="","",B964&amp;"."&amp;C964&amp;"-"&amp;D964&amp;"-"&amp;H964&amp;"."&amp;I964&amp;"."&amp;J964)</f>
        <v/>
      </c>
      <c r="B964">
        <f>IF($L964="","",INDEX(Расчет!$A$2:$A$3001,$L964))</f>
        <v/>
      </c>
      <c r="C964">
        <f>IF($L964="","",INDEX(Расчет!$B$2:$B$3001,$L964))</f>
        <v/>
      </c>
      <c r="D964">
        <f>IF($L964="","",IF(ISNUMBER(FIND("(",INDEX(Расчет!$C$2:$C$3001,$L964))),SUBSTITUTE(MID(INDEX(Расчет!$C$2:$C$3001,$L964),FIND("(",INDEX(Расчет!$C$2:$C$3001,$L964))+1,99),")",""),INDEX(Расчет!$C$2:$C$3001,$L964)))</f>
        <v/>
      </c>
      <c r="E964">
        <f>IF($L964="","",INDEX(Расчет!$D$2:$D$3001,$L964))</f>
        <v/>
      </c>
      <c r="F964">
        <f>IF($L964="","",INDEX(Расчет!$E$2:$E$3001,$L964))</f>
        <v/>
      </c>
      <c r="G964">
        <f>IF($L964="","",IFERROR(--LEFT(INDEX(Расчет!$C$2:$C$3001,$L964),FIND("(",INDEX(Расчет!$C$2:$C$3001,$L964))-1),IFERROR(--LEFT(INDEX(Расчет!$C$2:$C$3001,$L964),1),"")))</f>
        <v/>
      </c>
      <c r="H964">
        <f>IF($L964="","",SUMIFS(Расчет!$G$2:$G$3001,Расчет!$I$2:$I$3001,$K964,Расчет!$H$2:$H$3001,1))</f>
        <v/>
      </c>
      <c r="I964">
        <f>IF($L964="","",SUMIFS(Расчет!$G$2:$G$3001,Расчет!$I$2:$I$3001,$K964,Расчет!$H$2:$H$3001,2))</f>
        <v/>
      </c>
      <c r="J964">
        <f>IF($L964="","",SUMIFS(Расчет!$G$2:$G$3001,Расчет!$I$2:$I$3001,$K964,Расчет!$H$2:$H$3001,3))</f>
        <v/>
      </c>
      <c r="K964">
        <f>IF($L964="","",INDEX(Расчет!$I$2:$I$3001,$L964))</f>
        <v/>
      </c>
      <c r="L964">
        <f>IFERROR(MATCH(ROW()-1,Расчет!$J$2:$J$3001,0),"")</f>
        <v/>
      </c>
    </row>
    <row r="965">
      <c r="A965">
        <f>IF($L965="","",B965&amp;"."&amp;C965&amp;"-"&amp;D965&amp;"-"&amp;H965&amp;"."&amp;I965&amp;"."&amp;J965)</f>
        <v/>
      </c>
      <c r="B965">
        <f>IF($L965="","",INDEX(Расчет!$A$2:$A$3001,$L965))</f>
        <v/>
      </c>
      <c r="C965">
        <f>IF($L965="","",INDEX(Расчет!$B$2:$B$3001,$L965))</f>
        <v/>
      </c>
      <c r="D965">
        <f>IF($L965="","",IF(ISNUMBER(FIND("(",INDEX(Расчет!$C$2:$C$3001,$L965))),SUBSTITUTE(MID(INDEX(Расчет!$C$2:$C$3001,$L965),FIND("(",INDEX(Расчет!$C$2:$C$3001,$L965))+1,99),")",""),INDEX(Расчет!$C$2:$C$3001,$L965)))</f>
        <v/>
      </c>
      <c r="E965">
        <f>IF($L965="","",INDEX(Расчет!$D$2:$D$3001,$L965))</f>
        <v/>
      </c>
      <c r="F965">
        <f>IF($L965="","",INDEX(Расчет!$E$2:$E$3001,$L965))</f>
        <v/>
      </c>
      <c r="G965">
        <f>IF($L965="","",IFERROR(--LEFT(INDEX(Расчет!$C$2:$C$3001,$L965),FIND("(",INDEX(Расчет!$C$2:$C$3001,$L965))-1),IFERROR(--LEFT(INDEX(Расчет!$C$2:$C$3001,$L965),1),"")))</f>
        <v/>
      </c>
      <c r="H965">
        <f>IF($L965="","",SUMIFS(Расчет!$G$2:$G$3001,Расчет!$I$2:$I$3001,$K965,Расчет!$H$2:$H$3001,1))</f>
        <v/>
      </c>
      <c r="I965">
        <f>IF($L965="","",SUMIFS(Расчет!$G$2:$G$3001,Расчет!$I$2:$I$3001,$K965,Расчет!$H$2:$H$3001,2))</f>
        <v/>
      </c>
      <c r="J965">
        <f>IF($L965="","",SUMIFS(Расчет!$G$2:$G$3001,Расчет!$I$2:$I$3001,$K965,Расчет!$H$2:$H$3001,3))</f>
        <v/>
      </c>
      <c r="K965">
        <f>IF($L965="","",INDEX(Расчет!$I$2:$I$3001,$L965))</f>
        <v/>
      </c>
      <c r="L965">
        <f>IFERROR(MATCH(ROW()-1,Расчет!$J$2:$J$3001,0),"")</f>
        <v/>
      </c>
    </row>
    <row r="966">
      <c r="A966">
        <f>IF($L966="","",B966&amp;"."&amp;C966&amp;"-"&amp;D966&amp;"-"&amp;H966&amp;"."&amp;I966&amp;"."&amp;J966)</f>
        <v/>
      </c>
      <c r="B966">
        <f>IF($L966="","",INDEX(Расчет!$A$2:$A$3001,$L966))</f>
        <v/>
      </c>
      <c r="C966">
        <f>IF($L966="","",INDEX(Расчет!$B$2:$B$3001,$L966))</f>
        <v/>
      </c>
      <c r="D966">
        <f>IF($L966="","",IF(ISNUMBER(FIND("(",INDEX(Расчет!$C$2:$C$3001,$L966))),SUBSTITUTE(MID(INDEX(Расчет!$C$2:$C$3001,$L966),FIND("(",INDEX(Расчет!$C$2:$C$3001,$L966))+1,99),")",""),INDEX(Расчет!$C$2:$C$3001,$L966)))</f>
        <v/>
      </c>
      <c r="E966">
        <f>IF($L966="","",INDEX(Расчет!$D$2:$D$3001,$L966))</f>
        <v/>
      </c>
      <c r="F966">
        <f>IF($L966="","",INDEX(Расчет!$E$2:$E$3001,$L966))</f>
        <v/>
      </c>
      <c r="G966">
        <f>IF($L966="","",IFERROR(--LEFT(INDEX(Расчет!$C$2:$C$3001,$L966),FIND("(",INDEX(Расчет!$C$2:$C$3001,$L966))-1),IFERROR(--LEFT(INDEX(Расчет!$C$2:$C$3001,$L966),1),"")))</f>
        <v/>
      </c>
      <c r="H966">
        <f>IF($L966="","",SUMIFS(Расчет!$G$2:$G$3001,Расчет!$I$2:$I$3001,$K966,Расчет!$H$2:$H$3001,1))</f>
        <v/>
      </c>
      <c r="I966">
        <f>IF($L966="","",SUMIFS(Расчет!$G$2:$G$3001,Расчет!$I$2:$I$3001,$K966,Расчет!$H$2:$H$3001,2))</f>
        <v/>
      </c>
      <c r="J966">
        <f>IF($L966="","",SUMIFS(Расчет!$G$2:$G$3001,Расчет!$I$2:$I$3001,$K966,Расчет!$H$2:$H$3001,3))</f>
        <v/>
      </c>
      <c r="K966">
        <f>IF($L966="","",INDEX(Расчет!$I$2:$I$3001,$L966))</f>
        <v/>
      </c>
      <c r="L966">
        <f>IFERROR(MATCH(ROW()-1,Расчет!$J$2:$J$3001,0),"")</f>
        <v/>
      </c>
    </row>
    <row r="967">
      <c r="A967">
        <f>IF($L967="","",B967&amp;"."&amp;C967&amp;"-"&amp;D967&amp;"-"&amp;H967&amp;"."&amp;I967&amp;"."&amp;J967)</f>
        <v/>
      </c>
      <c r="B967">
        <f>IF($L967="","",INDEX(Расчет!$A$2:$A$3001,$L967))</f>
        <v/>
      </c>
      <c r="C967">
        <f>IF($L967="","",INDEX(Расчет!$B$2:$B$3001,$L967))</f>
        <v/>
      </c>
      <c r="D967">
        <f>IF($L967="","",IF(ISNUMBER(FIND("(",INDEX(Расчет!$C$2:$C$3001,$L967))),SUBSTITUTE(MID(INDEX(Расчет!$C$2:$C$3001,$L967),FIND("(",INDEX(Расчет!$C$2:$C$3001,$L967))+1,99),")",""),INDEX(Расчет!$C$2:$C$3001,$L967)))</f>
        <v/>
      </c>
      <c r="E967">
        <f>IF($L967="","",INDEX(Расчет!$D$2:$D$3001,$L967))</f>
        <v/>
      </c>
      <c r="F967">
        <f>IF($L967="","",INDEX(Расчет!$E$2:$E$3001,$L967))</f>
        <v/>
      </c>
      <c r="G967">
        <f>IF($L967="","",IFERROR(--LEFT(INDEX(Расчет!$C$2:$C$3001,$L967),FIND("(",INDEX(Расчет!$C$2:$C$3001,$L967))-1),IFERROR(--LEFT(INDEX(Расчет!$C$2:$C$3001,$L967),1),"")))</f>
        <v/>
      </c>
      <c r="H967">
        <f>IF($L967="","",SUMIFS(Расчет!$G$2:$G$3001,Расчет!$I$2:$I$3001,$K967,Расчет!$H$2:$H$3001,1))</f>
        <v/>
      </c>
      <c r="I967">
        <f>IF($L967="","",SUMIFS(Расчет!$G$2:$G$3001,Расчет!$I$2:$I$3001,$K967,Расчет!$H$2:$H$3001,2))</f>
        <v/>
      </c>
      <c r="J967">
        <f>IF($L967="","",SUMIFS(Расчет!$G$2:$G$3001,Расчет!$I$2:$I$3001,$K967,Расчет!$H$2:$H$3001,3))</f>
        <v/>
      </c>
      <c r="K967">
        <f>IF($L967="","",INDEX(Расчет!$I$2:$I$3001,$L967))</f>
        <v/>
      </c>
      <c r="L967">
        <f>IFERROR(MATCH(ROW()-1,Расчет!$J$2:$J$3001,0),"")</f>
        <v/>
      </c>
    </row>
    <row r="968">
      <c r="A968">
        <f>IF($L968="","",B968&amp;"."&amp;C968&amp;"-"&amp;D968&amp;"-"&amp;H968&amp;"."&amp;I968&amp;"."&amp;J968)</f>
        <v/>
      </c>
      <c r="B968">
        <f>IF($L968="","",INDEX(Расчет!$A$2:$A$3001,$L968))</f>
        <v/>
      </c>
      <c r="C968">
        <f>IF($L968="","",INDEX(Расчет!$B$2:$B$3001,$L968))</f>
        <v/>
      </c>
      <c r="D968">
        <f>IF($L968="","",IF(ISNUMBER(FIND("(",INDEX(Расчет!$C$2:$C$3001,$L968))),SUBSTITUTE(MID(INDEX(Расчет!$C$2:$C$3001,$L968),FIND("(",INDEX(Расчет!$C$2:$C$3001,$L968))+1,99),")",""),INDEX(Расчет!$C$2:$C$3001,$L968)))</f>
        <v/>
      </c>
      <c r="E968">
        <f>IF($L968="","",INDEX(Расчет!$D$2:$D$3001,$L968))</f>
        <v/>
      </c>
      <c r="F968">
        <f>IF($L968="","",INDEX(Расчет!$E$2:$E$3001,$L968))</f>
        <v/>
      </c>
      <c r="G968">
        <f>IF($L968="","",IFERROR(--LEFT(INDEX(Расчет!$C$2:$C$3001,$L968),FIND("(",INDEX(Расчет!$C$2:$C$3001,$L968))-1),IFERROR(--LEFT(INDEX(Расчет!$C$2:$C$3001,$L968),1),"")))</f>
        <v/>
      </c>
      <c r="H968">
        <f>IF($L968="","",SUMIFS(Расчет!$G$2:$G$3001,Расчет!$I$2:$I$3001,$K968,Расчет!$H$2:$H$3001,1))</f>
        <v/>
      </c>
      <c r="I968">
        <f>IF($L968="","",SUMIFS(Расчет!$G$2:$G$3001,Расчет!$I$2:$I$3001,$K968,Расчет!$H$2:$H$3001,2))</f>
        <v/>
      </c>
      <c r="J968">
        <f>IF($L968="","",SUMIFS(Расчет!$G$2:$G$3001,Расчет!$I$2:$I$3001,$K968,Расчет!$H$2:$H$3001,3))</f>
        <v/>
      </c>
      <c r="K968">
        <f>IF($L968="","",INDEX(Расчет!$I$2:$I$3001,$L968))</f>
        <v/>
      </c>
      <c r="L968">
        <f>IFERROR(MATCH(ROW()-1,Расчет!$J$2:$J$3001,0),"")</f>
        <v/>
      </c>
    </row>
    <row r="969">
      <c r="A969">
        <f>IF($L969="","",B969&amp;"."&amp;C969&amp;"-"&amp;D969&amp;"-"&amp;H969&amp;"."&amp;I969&amp;"."&amp;J969)</f>
        <v/>
      </c>
      <c r="B969">
        <f>IF($L969="","",INDEX(Расчет!$A$2:$A$3001,$L969))</f>
        <v/>
      </c>
      <c r="C969">
        <f>IF($L969="","",INDEX(Расчет!$B$2:$B$3001,$L969))</f>
        <v/>
      </c>
      <c r="D969">
        <f>IF($L969="","",IF(ISNUMBER(FIND("(",INDEX(Расчет!$C$2:$C$3001,$L969))),SUBSTITUTE(MID(INDEX(Расчет!$C$2:$C$3001,$L969),FIND("(",INDEX(Расчет!$C$2:$C$3001,$L969))+1,99),")",""),INDEX(Расчет!$C$2:$C$3001,$L969)))</f>
        <v/>
      </c>
      <c r="E969">
        <f>IF($L969="","",INDEX(Расчет!$D$2:$D$3001,$L969))</f>
        <v/>
      </c>
      <c r="F969">
        <f>IF($L969="","",INDEX(Расчет!$E$2:$E$3001,$L969))</f>
        <v/>
      </c>
      <c r="G969">
        <f>IF($L969="","",IFERROR(--LEFT(INDEX(Расчет!$C$2:$C$3001,$L969),FIND("(",INDEX(Расчет!$C$2:$C$3001,$L969))-1),IFERROR(--LEFT(INDEX(Расчет!$C$2:$C$3001,$L969),1),"")))</f>
        <v/>
      </c>
      <c r="H969">
        <f>IF($L969="","",SUMIFS(Расчет!$G$2:$G$3001,Расчет!$I$2:$I$3001,$K969,Расчет!$H$2:$H$3001,1))</f>
        <v/>
      </c>
      <c r="I969">
        <f>IF($L969="","",SUMIFS(Расчет!$G$2:$G$3001,Расчет!$I$2:$I$3001,$K969,Расчет!$H$2:$H$3001,2))</f>
        <v/>
      </c>
      <c r="J969">
        <f>IF($L969="","",SUMIFS(Расчет!$G$2:$G$3001,Расчет!$I$2:$I$3001,$K969,Расчет!$H$2:$H$3001,3))</f>
        <v/>
      </c>
      <c r="K969">
        <f>IF($L969="","",INDEX(Расчет!$I$2:$I$3001,$L969))</f>
        <v/>
      </c>
      <c r="L969">
        <f>IFERROR(MATCH(ROW()-1,Расчет!$J$2:$J$3001,0),"")</f>
        <v/>
      </c>
    </row>
    <row r="970">
      <c r="A970">
        <f>IF($L970="","",B970&amp;"."&amp;C970&amp;"-"&amp;D970&amp;"-"&amp;H970&amp;"."&amp;I970&amp;"."&amp;J970)</f>
        <v/>
      </c>
      <c r="B970">
        <f>IF($L970="","",INDEX(Расчет!$A$2:$A$3001,$L970))</f>
        <v/>
      </c>
      <c r="C970">
        <f>IF($L970="","",INDEX(Расчет!$B$2:$B$3001,$L970))</f>
        <v/>
      </c>
      <c r="D970">
        <f>IF($L970="","",IF(ISNUMBER(FIND("(",INDEX(Расчет!$C$2:$C$3001,$L970))),SUBSTITUTE(MID(INDEX(Расчет!$C$2:$C$3001,$L970),FIND("(",INDEX(Расчет!$C$2:$C$3001,$L970))+1,99),")",""),INDEX(Расчет!$C$2:$C$3001,$L970)))</f>
        <v/>
      </c>
      <c r="E970">
        <f>IF($L970="","",INDEX(Расчет!$D$2:$D$3001,$L970))</f>
        <v/>
      </c>
      <c r="F970">
        <f>IF($L970="","",INDEX(Расчет!$E$2:$E$3001,$L970))</f>
        <v/>
      </c>
      <c r="G970">
        <f>IF($L970="","",IFERROR(--LEFT(INDEX(Расчет!$C$2:$C$3001,$L970),FIND("(",INDEX(Расчет!$C$2:$C$3001,$L970))-1),IFERROR(--LEFT(INDEX(Расчет!$C$2:$C$3001,$L970),1),"")))</f>
        <v/>
      </c>
      <c r="H970">
        <f>IF($L970="","",SUMIFS(Расчет!$G$2:$G$3001,Расчет!$I$2:$I$3001,$K970,Расчет!$H$2:$H$3001,1))</f>
        <v/>
      </c>
      <c r="I970">
        <f>IF($L970="","",SUMIFS(Расчет!$G$2:$G$3001,Расчет!$I$2:$I$3001,$K970,Расчет!$H$2:$H$3001,2))</f>
        <v/>
      </c>
      <c r="J970">
        <f>IF($L970="","",SUMIFS(Расчет!$G$2:$G$3001,Расчет!$I$2:$I$3001,$K970,Расчет!$H$2:$H$3001,3))</f>
        <v/>
      </c>
      <c r="K970">
        <f>IF($L970="","",INDEX(Расчет!$I$2:$I$3001,$L970))</f>
        <v/>
      </c>
      <c r="L970">
        <f>IFERROR(MATCH(ROW()-1,Расчет!$J$2:$J$3001,0),"")</f>
        <v/>
      </c>
    </row>
    <row r="971">
      <c r="A971">
        <f>IF($L971="","",B971&amp;"."&amp;C971&amp;"-"&amp;D971&amp;"-"&amp;H971&amp;"."&amp;I971&amp;"."&amp;J971)</f>
        <v/>
      </c>
      <c r="B971">
        <f>IF($L971="","",INDEX(Расчет!$A$2:$A$3001,$L971))</f>
        <v/>
      </c>
      <c r="C971">
        <f>IF($L971="","",INDEX(Расчет!$B$2:$B$3001,$L971))</f>
        <v/>
      </c>
      <c r="D971">
        <f>IF($L971="","",IF(ISNUMBER(FIND("(",INDEX(Расчет!$C$2:$C$3001,$L971))),SUBSTITUTE(MID(INDEX(Расчет!$C$2:$C$3001,$L971),FIND("(",INDEX(Расчет!$C$2:$C$3001,$L971))+1,99),")",""),INDEX(Расчет!$C$2:$C$3001,$L971)))</f>
        <v/>
      </c>
      <c r="E971">
        <f>IF($L971="","",INDEX(Расчет!$D$2:$D$3001,$L971))</f>
        <v/>
      </c>
      <c r="F971">
        <f>IF($L971="","",INDEX(Расчет!$E$2:$E$3001,$L971))</f>
        <v/>
      </c>
      <c r="G971">
        <f>IF($L971="","",IFERROR(--LEFT(INDEX(Расчет!$C$2:$C$3001,$L971),FIND("(",INDEX(Расчет!$C$2:$C$3001,$L971))-1),IFERROR(--LEFT(INDEX(Расчет!$C$2:$C$3001,$L971),1),"")))</f>
        <v/>
      </c>
      <c r="H971">
        <f>IF($L971="","",SUMIFS(Расчет!$G$2:$G$3001,Расчет!$I$2:$I$3001,$K971,Расчет!$H$2:$H$3001,1))</f>
        <v/>
      </c>
      <c r="I971">
        <f>IF($L971="","",SUMIFS(Расчет!$G$2:$G$3001,Расчет!$I$2:$I$3001,$K971,Расчет!$H$2:$H$3001,2))</f>
        <v/>
      </c>
      <c r="J971">
        <f>IF($L971="","",SUMIFS(Расчет!$G$2:$G$3001,Расчет!$I$2:$I$3001,$K971,Расчет!$H$2:$H$3001,3))</f>
        <v/>
      </c>
      <c r="K971">
        <f>IF($L971="","",INDEX(Расчет!$I$2:$I$3001,$L971))</f>
        <v/>
      </c>
      <c r="L971">
        <f>IFERROR(MATCH(ROW()-1,Расчет!$J$2:$J$3001,0),"")</f>
        <v/>
      </c>
    </row>
    <row r="972">
      <c r="A972">
        <f>IF($L972="","",B972&amp;"."&amp;C972&amp;"-"&amp;D972&amp;"-"&amp;H972&amp;"."&amp;I972&amp;"."&amp;J972)</f>
        <v/>
      </c>
      <c r="B972">
        <f>IF($L972="","",INDEX(Расчет!$A$2:$A$3001,$L972))</f>
        <v/>
      </c>
      <c r="C972">
        <f>IF($L972="","",INDEX(Расчет!$B$2:$B$3001,$L972))</f>
        <v/>
      </c>
      <c r="D972">
        <f>IF($L972="","",IF(ISNUMBER(FIND("(",INDEX(Расчет!$C$2:$C$3001,$L972))),SUBSTITUTE(MID(INDEX(Расчет!$C$2:$C$3001,$L972),FIND("(",INDEX(Расчет!$C$2:$C$3001,$L972))+1,99),")",""),INDEX(Расчет!$C$2:$C$3001,$L972)))</f>
        <v/>
      </c>
      <c r="E972">
        <f>IF($L972="","",INDEX(Расчет!$D$2:$D$3001,$L972))</f>
        <v/>
      </c>
      <c r="F972">
        <f>IF($L972="","",INDEX(Расчет!$E$2:$E$3001,$L972))</f>
        <v/>
      </c>
      <c r="G972">
        <f>IF($L972="","",IFERROR(--LEFT(INDEX(Расчет!$C$2:$C$3001,$L972),FIND("(",INDEX(Расчет!$C$2:$C$3001,$L972))-1),IFERROR(--LEFT(INDEX(Расчет!$C$2:$C$3001,$L972),1),"")))</f>
        <v/>
      </c>
      <c r="H972">
        <f>IF($L972="","",SUMIFS(Расчет!$G$2:$G$3001,Расчет!$I$2:$I$3001,$K972,Расчет!$H$2:$H$3001,1))</f>
        <v/>
      </c>
      <c r="I972">
        <f>IF($L972="","",SUMIFS(Расчет!$G$2:$G$3001,Расчет!$I$2:$I$3001,$K972,Расчет!$H$2:$H$3001,2))</f>
        <v/>
      </c>
      <c r="J972">
        <f>IF($L972="","",SUMIFS(Расчет!$G$2:$G$3001,Расчет!$I$2:$I$3001,$K972,Расчет!$H$2:$H$3001,3))</f>
        <v/>
      </c>
      <c r="K972">
        <f>IF($L972="","",INDEX(Расчет!$I$2:$I$3001,$L972))</f>
        <v/>
      </c>
      <c r="L972">
        <f>IFERROR(MATCH(ROW()-1,Расчет!$J$2:$J$3001,0),"")</f>
        <v/>
      </c>
    </row>
    <row r="973">
      <c r="A973">
        <f>IF($L973="","",B973&amp;"."&amp;C973&amp;"-"&amp;D973&amp;"-"&amp;H973&amp;"."&amp;I973&amp;"."&amp;J973)</f>
        <v/>
      </c>
      <c r="B973">
        <f>IF($L973="","",INDEX(Расчет!$A$2:$A$3001,$L973))</f>
        <v/>
      </c>
      <c r="C973">
        <f>IF($L973="","",INDEX(Расчет!$B$2:$B$3001,$L973))</f>
        <v/>
      </c>
      <c r="D973">
        <f>IF($L973="","",IF(ISNUMBER(FIND("(",INDEX(Расчет!$C$2:$C$3001,$L973))),SUBSTITUTE(MID(INDEX(Расчет!$C$2:$C$3001,$L973),FIND("(",INDEX(Расчет!$C$2:$C$3001,$L973))+1,99),")",""),INDEX(Расчет!$C$2:$C$3001,$L973)))</f>
        <v/>
      </c>
      <c r="E973">
        <f>IF($L973="","",INDEX(Расчет!$D$2:$D$3001,$L973))</f>
        <v/>
      </c>
      <c r="F973">
        <f>IF($L973="","",INDEX(Расчет!$E$2:$E$3001,$L973))</f>
        <v/>
      </c>
      <c r="G973">
        <f>IF($L973="","",IFERROR(--LEFT(INDEX(Расчет!$C$2:$C$3001,$L973),FIND("(",INDEX(Расчет!$C$2:$C$3001,$L973))-1),IFERROR(--LEFT(INDEX(Расчет!$C$2:$C$3001,$L973),1),"")))</f>
        <v/>
      </c>
      <c r="H973">
        <f>IF($L973="","",SUMIFS(Расчет!$G$2:$G$3001,Расчет!$I$2:$I$3001,$K973,Расчет!$H$2:$H$3001,1))</f>
        <v/>
      </c>
      <c r="I973">
        <f>IF($L973="","",SUMIFS(Расчет!$G$2:$G$3001,Расчет!$I$2:$I$3001,$K973,Расчет!$H$2:$H$3001,2))</f>
        <v/>
      </c>
      <c r="J973">
        <f>IF($L973="","",SUMIFS(Расчет!$G$2:$G$3001,Расчет!$I$2:$I$3001,$K973,Расчет!$H$2:$H$3001,3))</f>
        <v/>
      </c>
      <c r="K973">
        <f>IF($L973="","",INDEX(Расчет!$I$2:$I$3001,$L973))</f>
        <v/>
      </c>
      <c r="L973">
        <f>IFERROR(MATCH(ROW()-1,Расчет!$J$2:$J$3001,0),"")</f>
        <v/>
      </c>
    </row>
    <row r="974">
      <c r="A974">
        <f>IF($L974="","",B974&amp;"."&amp;C974&amp;"-"&amp;D974&amp;"-"&amp;H974&amp;"."&amp;I974&amp;"."&amp;J974)</f>
        <v/>
      </c>
      <c r="B974">
        <f>IF($L974="","",INDEX(Расчет!$A$2:$A$3001,$L974))</f>
        <v/>
      </c>
      <c r="C974">
        <f>IF($L974="","",INDEX(Расчет!$B$2:$B$3001,$L974))</f>
        <v/>
      </c>
      <c r="D974">
        <f>IF($L974="","",IF(ISNUMBER(FIND("(",INDEX(Расчет!$C$2:$C$3001,$L974))),SUBSTITUTE(MID(INDEX(Расчет!$C$2:$C$3001,$L974),FIND("(",INDEX(Расчет!$C$2:$C$3001,$L974))+1,99),")",""),INDEX(Расчет!$C$2:$C$3001,$L974)))</f>
        <v/>
      </c>
      <c r="E974">
        <f>IF($L974="","",INDEX(Расчет!$D$2:$D$3001,$L974))</f>
        <v/>
      </c>
      <c r="F974">
        <f>IF($L974="","",INDEX(Расчет!$E$2:$E$3001,$L974))</f>
        <v/>
      </c>
      <c r="G974">
        <f>IF($L974="","",IFERROR(--LEFT(INDEX(Расчет!$C$2:$C$3001,$L974),FIND("(",INDEX(Расчет!$C$2:$C$3001,$L974))-1),IFERROR(--LEFT(INDEX(Расчет!$C$2:$C$3001,$L974),1),"")))</f>
        <v/>
      </c>
      <c r="H974">
        <f>IF($L974="","",SUMIFS(Расчет!$G$2:$G$3001,Расчет!$I$2:$I$3001,$K974,Расчет!$H$2:$H$3001,1))</f>
        <v/>
      </c>
      <c r="I974">
        <f>IF($L974="","",SUMIFS(Расчет!$G$2:$G$3001,Расчет!$I$2:$I$3001,$K974,Расчет!$H$2:$H$3001,2))</f>
        <v/>
      </c>
      <c r="J974">
        <f>IF($L974="","",SUMIFS(Расчет!$G$2:$G$3001,Расчет!$I$2:$I$3001,$K974,Расчет!$H$2:$H$3001,3))</f>
        <v/>
      </c>
      <c r="K974">
        <f>IF($L974="","",INDEX(Расчет!$I$2:$I$3001,$L974))</f>
        <v/>
      </c>
      <c r="L974">
        <f>IFERROR(MATCH(ROW()-1,Расчет!$J$2:$J$3001,0),"")</f>
        <v/>
      </c>
    </row>
    <row r="975">
      <c r="A975">
        <f>IF($L975="","",B975&amp;"."&amp;C975&amp;"-"&amp;D975&amp;"-"&amp;H975&amp;"."&amp;I975&amp;"."&amp;J975)</f>
        <v/>
      </c>
      <c r="B975">
        <f>IF($L975="","",INDEX(Расчет!$A$2:$A$3001,$L975))</f>
        <v/>
      </c>
      <c r="C975">
        <f>IF($L975="","",INDEX(Расчет!$B$2:$B$3001,$L975))</f>
        <v/>
      </c>
      <c r="D975">
        <f>IF($L975="","",IF(ISNUMBER(FIND("(",INDEX(Расчет!$C$2:$C$3001,$L975))),SUBSTITUTE(MID(INDEX(Расчет!$C$2:$C$3001,$L975),FIND("(",INDEX(Расчет!$C$2:$C$3001,$L975))+1,99),")",""),INDEX(Расчет!$C$2:$C$3001,$L975)))</f>
        <v/>
      </c>
      <c r="E975">
        <f>IF($L975="","",INDEX(Расчет!$D$2:$D$3001,$L975))</f>
        <v/>
      </c>
      <c r="F975">
        <f>IF($L975="","",INDEX(Расчет!$E$2:$E$3001,$L975))</f>
        <v/>
      </c>
      <c r="G975">
        <f>IF($L975="","",IFERROR(--LEFT(INDEX(Расчет!$C$2:$C$3001,$L975),FIND("(",INDEX(Расчет!$C$2:$C$3001,$L975))-1),IFERROR(--LEFT(INDEX(Расчет!$C$2:$C$3001,$L975),1),"")))</f>
        <v/>
      </c>
      <c r="H975">
        <f>IF($L975="","",SUMIFS(Расчет!$G$2:$G$3001,Расчет!$I$2:$I$3001,$K975,Расчет!$H$2:$H$3001,1))</f>
        <v/>
      </c>
      <c r="I975">
        <f>IF($L975="","",SUMIFS(Расчет!$G$2:$G$3001,Расчет!$I$2:$I$3001,$K975,Расчет!$H$2:$H$3001,2))</f>
        <v/>
      </c>
      <c r="J975">
        <f>IF($L975="","",SUMIFS(Расчет!$G$2:$G$3001,Расчет!$I$2:$I$3001,$K975,Расчет!$H$2:$H$3001,3))</f>
        <v/>
      </c>
      <c r="K975">
        <f>IF($L975="","",INDEX(Расчет!$I$2:$I$3001,$L975))</f>
        <v/>
      </c>
      <c r="L975">
        <f>IFERROR(MATCH(ROW()-1,Расчет!$J$2:$J$3001,0),"")</f>
        <v/>
      </c>
    </row>
    <row r="976">
      <c r="A976">
        <f>IF($L976="","",B976&amp;"."&amp;C976&amp;"-"&amp;D976&amp;"-"&amp;H976&amp;"."&amp;I976&amp;"."&amp;J976)</f>
        <v/>
      </c>
      <c r="B976">
        <f>IF($L976="","",INDEX(Расчет!$A$2:$A$3001,$L976))</f>
        <v/>
      </c>
      <c r="C976">
        <f>IF($L976="","",INDEX(Расчет!$B$2:$B$3001,$L976))</f>
        <v/>
      </c>
      <c r="D976">
        <f>IF($L976="","",IF(ISNUMBER(FIND("(",INDEX(Расчет!$C$2:$C$3001,$L976))),SUBSTITUTE(MID(INDEX(Расчет!$C$2:$C$3001,$L976),FIND("(",INDEX(Расчет!$C$2:$C$3001,$L976))+1,99),")",""),INDEX(Расчет!$C$2:$C$3001,$L976)))</f>
        <v/>
      </c>
      <c r="E976">
        <f>IF($L976="","",INDEX(Расчет!$D$2:$D$3001,$L976))</f>
        <v/>
      </c>
      <c r="F976">
        <f>IF($L976="","",INDEX(Расчет!$E$2:$E$3001,$L976))</f>
        <v/>
      </c>
      <c r="G976">
        <f>IF($L976="","",IFERROR(--LEFT(INDEX(Расчет!$C$2:$C$3001,$L976),FIND("(",INDEX(Расчет!$C$2:$C$3001,$L976))-1),IFERROR(--LEFT(INDEX(Расчет!$C$2:$C$3001,$L976),1),"")))</f>
        <v/>
      </c>
      <c r="H976">
        <f>IF($L976="","",SUMIFS(Расчет!$G$2:$G$3001,Расчет!$I$2:$I$3001,$K976,Расчет!$H$2:$H$3001,1))</f>
        <v/>
      </c>
      <c r="I976">
        <f>IF($L976="","",SUMIFS(Расчет!$G$2:$G$3001,Расчет!$I$2:$I$3001,$K976,Расчет!$H$2:$H$3001,2))</f>
        <v/>
      </c>
      <c r="J976">
        <f>IF($L976="","",SUMIFS(Расчет!$G$2:$G$3001,Расчет!$I$2:$I$3001,$K976,Расчет!$H$2:$H$3001,3))</f>
        <v/>
      </c>
      <c r="K976">
        <f>IF($L976="","",INDEX(Расчет!$I$2:$I$3001,$L976))</f>
        <v/>
      </c>
      <c r="L976">
        <f>IFERROR(MATCH(ROW()-1,Расчет!$J$2:$J$3001,0),"")</f>
        <v/>
      </c>
    </row>
    <row r="977">
      <c r="A977">
        <f>IF($L977="","",B977&amp;"."&amp;C977&amp;"-"&amp;D977&amp;"-"&amp;H977&amp;"."&amp;I977&amp;"."&amp;J977)</f>
        <v/>
      </c>
      <c r="B977">
        <f>IF($L977="","",INDEX(Расчет!$A$2:$A$3001,$L977))</f>
        <v/>
      </c>
      <c r="C977">
        <f>IF($L977="","",INDEX(Расчет!$B$2:$B$3001,$L977))</f>
        <v/>
      </c>
      <c r="D977">
        <f>IF($L977="","",IF(ISNUMBER(FIND("(",INDEX(Расчет!$C$2:$C$3001,$L977))),SUBSTITUTE(MID(INDEX(Расчет!$C$2:$C$3001,$L977),FIND("(",INDEX(Расчет!$C$2:$C$3001,$L977))+1,99),")",""),INDEX(Расчет!$C$2:$C$3001,$L977)))</f>
        <v/>
      </c>
      <c r="E977">
        <f>IF($L977="","",INDEX(Расчет!$D$2:$D$3001,$L977))</f>
        <v/>
      </c>
      <c r="F977">
        <f>IF($L977="","",INDEX(Расчет!$E$2:$E$3001,$L977))</f>
        <v/>
      </c>
      <c r="G977">
        <f>IF($L977="","",IFERROR(--LEFT(INDEX(Расчет!$C$2:$C$3001,$L977),FIND("(",INDEX(Расчет!$C$2:$C$3001,$L977))-1),IFERROR(--LEFT(INDEX(Расчет!$C$2:$C$3001,$L977),1),"")))</f>
        <v/>
      </c>
      <c r="H977">
        <f>IF($L977="","",SUMIFS(Расчет!$G$2:$G$3001,Расчет!$I$2:$I$3001,$K977,Расчет!$H$2:$H$3001,1))</f>
        <v/>
      </c>
      <c r="I977">
        <f>IF($L977="","",SUMIFS(Расчет!$G$2:$G$3001,Расчет!$I$2:$I$3001,$K977,Расчет!$H$2:$H$3001,2))</f>
        <v/>
      </c>
      <c r="J977">
        <f>IF($L977="","",SUMIFS(Расчет!$G$2:$G$3001,Расчет!$I$2:$I$3001,$K977,Расчет!$H$2:$H$3001,3))</f>
        <v/>
      </c>
      <c r="K977">
        <f>IF($L977="","",INDEX(Расчет!$I$2:$I$3001,$L977))</f>
        <v/>
      </c>
      <c r="L977">
        <f>IFERROR(MATCH(ROW()-1,Расчет!$J$2:$J$3001,0),"")</f>
        <v/>
      </c>
    </row>
    <row r="978">
      <c r="A978">
        <f>IF($L978="","",B978&amp;"."&amp;C978&amp;"-"&amp;D978&amp;"-"&amp;H978&amp;"."&amp;I978&amp;"."&amp;J978)</f>
        <v/>
      </c>
      <c r="B978">
        <f>IF($L978="","",INDEX(Расчет!$A$2:$A$3001,$L978))</f>
        <v/>
      </c>
      <c r="C978">
        <f>IF($L978="","",INDEX(Расчет!$B$2:$B$3001,$L978))</f>
        <v/>
      </c>
      <c r="D978">
        <f>IF($L978="","",IF(ISNUMBER(FIND("(",INDEX(Расчет!$C$2:$C$3001,$L978))),SUBSTITUTE(MID(INDEX(Расчет!$C$2:$C$3001,$L978),FIND("(",INDEX(Расчет!$C$2:$C$3001,$L978))+1,99),")",""),INDEX(Расчет!$C$2:$C$3001,$L978)))</f>
        <v/>
      </c>
      <c r="E978">
        <f>IF($L978="","",INDEX(Расчет!$D$2:$D$3001,$L978))</f>
        <v/>
      </c>
      <c r="F978">
        <f>IF($L978="","",INDEX(Расчет!$E$2:$E$3001,$L978))</f>
        <v/>
      </c>
      <c r="G978">
        <f>IF($L978="","",IFERROR(--LEFT(INDEX(Расчет!$C$2:$C$3001,$L978),FIND("(",INDEX(Расчет!$C$2:$C$3001,$L978))-1),IFERROR(--LEFT(INDEX(Расчет!$C$2:$C$3001,$L978),1),"")))</f>
        <v/>
      </c>
      <c r="H978">
        <f>IF($L978="","",SUMIFS(Расчет!$G$2:$G$3001,Расчет!$I$2:$I$3001,$K978,Расчет!$H$2:$H$3001,1))</f>
        <v/>
      </c>
      <c r="I978">
        <f>IF($L978="","",SUMIFS(Расчет!$G$2:$G$3001,Расчет!$I$2:$I$3001,$K978,Расчет!$H$2:$H$3001,2))</f>
        <v/>
      </c>
      <c r="J978">
        <f>IF($L978="","",SUMIFS(Расчет!$G$2:$G$3001,Расчет!$I$2:$I$3001,$K978,Расчет!$H$2:$H$3001,3))</f>
        <v/>
      </c>
      <c r="K978">
        <f>IF($L978="","",INDEX(Расчет!$I$2:$I$3001,$L978))</f>
        <v/>
      </c>
      <c r="L978">
        <f>IFERROR(MATCH(ROW()-1,Расчет!$J$2:$J$3001,0),"")</f>
        <v/>
      </c>
    </row>
    <row r="979">
      <c r="A979">
        <f>IF($L979="","",B979&amp;"."&amp;C979&amp;"-"&amp;D979&amp;"-"&amp;H979&amp;"."&amp;I979&amp;"."&amp;J979)</f>
        <v/>
      </c>
      <c r="B979">
        <f>IF($L979="","",INDEX(Расчет!$A$2:$A$3001,$L979))</f>
        <v/>
      </c>
      <c r="C979">
        <f>IF($L979="","",INDEX(Расчет!$B$2:$B$3001,$L979))</f>
        <v/>
      </c>
      <c r="D979">
        <f>IF($L979="","",IF(ISNUMBER(FIND("(",INDEX(Расчет!$C$2:$C$3001,$L979))),SUBSTITUTE(MID(INDEX(Расчет!$C$2:$C$3001,$L979),FIND("(",INDEX(Расчет!$C$2:$C$3001,$L979))+1,99),")",""),INDEX(Расчет!$C$2:$C$3001,$L979)))</f>
        <v/>
      </c>
      <c r="E979">
        <f>IF($L979="","",INDEX(Расчет!$D$2:$D$3001,$L979))</f>
        <v/>
      </c>
      <c r="F979">
        <f>IF($L979="","",INDEX(Расчет!$E$2:$E$3001,$L979))</f>
        <v/>
      </c>
      <c r="G979">
        <f>IF($L979="","",IFERROR(--LEFT(INDEX(Расчет!$C$2:$C$3001,$L979),FIND("(",INDEX(Расчет!$C$2:$C$3001,$L979))-1),IFERROR(--LEFT(INDEX(Расчет!$C$2:$C$3001,$L979),1),"")))</f>
        <v/>
      </c>
      <c r="H979">
        <f>IF($L979="","",SUMIFS(Расчет!$G$2:$G$3001,Расчет!$I$2:$I$3001,$K979,Расчет!$H$2:$H$3001,1))</f>
        <v/>
      </c>
      <c r="I979">
        <f>IF($L979="","",SUMIFS(Расчет!$G$2:$G$3001,Расчет!$I$2:$I$3001,$K979,Расчет!$H$2:$H$3001,2))</f>
        <v/>
      </c>
      <c r="J979">
        <f>IF($L979="","",SUMIFS(Расчет!$G$2:$G$3001,Расчет!$I$2:$I$3001,$K979,Расчет!$H$2:$H$3001,3))</f>
        <v/>
      </c>
      <c r="K979">
        <f>IF($L979="","",INDEX(Расчет!$I$2:$I$3001,$L979))</f>
        <v/>
      </c>
      <c r="L979">
        <f>IFERROR(MATCH(ROW()-1,Расчет!$J$2:$J$3001,0),"")</f>
        <v/>
      </c>
    </row>
    <row r="980">
      <c r="A980">
        <f>IF($L980="","",B980&amp;"."&amp;C980&amp;"-"&amp;D980&amp;"-"&amp;H980&amp;"."&amp;I980&amp;"."&amp;J980)</f>
        <v/>
      </c>
      <c r="B980">
        <f>IF($L980="","",INDEX(Расчет!$A$2:$A$3001,$L980))</f>
        <v/>
      </c>
      <c r="C980">
        <f>IF($L980="","",INDEX(Расчет!$B$2:$B$3001,$L980))</f>
        <v/>
      </c>
      <c r="D980">
        <f>IF($L980="","",IF(ISNUMBER(FIND("(",INDEX(Расчет!$C$2:$C$3001,$L980))),SUBSTITUTE(MID(INDEX(Расчет!$C$2:$C$3001,$L980),FIND("(",INDEX(Расчет!$C$2:$C$3001,$L980))+1,99),")",""),INDEX(Расчет!$C$2:$C$3001,$L980)))</f>
        <v/>
      </c>
      <c r="E980">
        <f>IF($L980="","",INDEX(Расчет!$D$2:$D$3001,$L980))</f>
        <v/>
      </c>
      <c r="F980">
        <f>IF($L980="","",INDEX(Расчет!$E$2:$E$3001,$L980))</f>
        <v/>
      </c>
      <c r="G980">
        <f>IF($L980="","",IFERROR(--LEFT(INDEX(Расчет!$C$2:$C$3001,$L980),FIND("(",INDEX(Расчет!$C$2:$C$3001,$L980))-1),IFERROR(--LEFT(INDEX(Расчет!$C$2:$C$3001,$L980),1),"")))</f>
        <v/>
      </c>
      <c r="H980">
        <f>IF($L980="","",SUMIFS(Расчет!$G$2:$G$3001,Расчет!$I$2:$I$3001,$K980,Расчет!$H$2:$H$3001,1))</f>
        <v/>
      </c>
      <c r="I980">
        <f>IF($L980="","",SUMIFS(Расчет!$G$2:$G$3001,Расчет!$I$2:$I$3001,$K980,Расчет!$H$2:$H$3001,2))</f>
        <v/>
      </c>
      <c r="J980">
        <f>IF($L980="","",SUMIFS(Расчет!$G$2:$G$3001,Расчет!$I$2:$I$3001,$K980,Расчет!$H$2:$H$3001,3))</f>
        <v/>
      </c>
      <c r="K980">
        <f>IF($L980="","",INDEX(Расчет!$I$2:$I$3001,$L980))</f>
        <v/>
      </c>
      <c r="L980">
        <f>IFERROR(MATCH(ROW()-1,Расчет!$J$2:$J$3001,0),"")</f>
        <v/>
      </c>
    </row>
    <row r="981">
      <c r="A981">
        <f>IF($L981="","",B981&amp;"."&amp;C981&amp;"-"&amp;D981&amp;"-"&amp;H981&amp;"."&amp;I981&amp;"."&amp;J981)</f>
        <v/>
      </c>
      <c r="B981">
        <f>IF($L981="","",INDEX(Расчет!$A$2:$A$3001,$L981))</f>
        <v/>
      </c>
      <c r="C981">
        <f>IF($L981="","",INDEX(Расчет!$B$2:$B$3001,$L981))</f>
        <v/>
      </c>
      <c r="D981">
        <f>IF($L981="","",IF(ISNUMBER(FIND("(",INDEX(Расчет!$C$2:$C$3001,$L981))),SUBSTITUTE(MID(INDEX(Расчет!$C$2:$C$3001,$L981),FIND("(",INDEX(Расчет!$C$2:$C$3001,$L981))+1,99),")",""),INDEX(Расчет!$C$2:$C$3001,$L981)))</f>
        <v/>
      </c>
      <c r="E981">
        <f>IF($L981="","",INDEX(Расчет!$D$2:$D$3001,$L981))</f>
        <v/>
      </c>
      <c r="F981">
        <f>IF($L981="","",INDEX(Расчет!$E$2:$E$3001,$L981))</f>
        <v/>
      </c>
      <c r="G981">
        <f>IF($L981="","",IFERROR(--LEFT(INDEX(Расчет!$C$2:$C$3001,$L981),FIND("(",INDEX(Расчет!$C$2:$C$3001,$L981))-1),IFERROR(--LEFT(INDEX(Расчет!$C$2:$C$3001,$L981),1),"")))</f>
        <v/>
      </c>
      <c r="H981">
        <f>IF($L981="","",SUMIFS(Расчет!$G$2:$G$3001,Расчет!$I$2:$I$3001,$K981,Расчет!$H$2:$H$3001,1))</f>
        <v/>
      </c>
      <c r="I981">
        <f>IF($L981="","",SUMIFS(Расчет!$G$2:$G$3001,Расчет!$I$2:$I$3001,$K981,Расчет!$H$2:$H$3001,2))</f>
        <v/>
      </c>
      <c r="J981">
        <f>IF($L981="","",SUMIFS(Расчет!$G$2:$G$3001,Расчет!$I$2:$I$3001,$K981,Расчет!$H$2:$H$3001,3))</f>
        <v/>
      </c>
      <c r="K981">
        <f>IF($L981="","",INDEX(Расчет!$I$2:$I$3001,$L981))</f>
        <v/>
      </c>
      <c r="L981">
        <f>IFERROR(MATCH(ROW()-1,Расчет!$J$2:$J$3001,0),"")</f>
        <v/>
      </c>
    </row>
    <row r="982">
      <c r="A982">
        <f>IF($L982="","",B982&amp;"."&amp;C982&amp;"-"&amp;D982&amp;"-"&amp;H982&amp;"."&amp;I982&amp;"."&amp;J982)</f>
        <v/>
      </c>
      <c r="B982">
        <f>IF($L982="","",INDEX(Расчет!$A$2:$A$3001,$L982))</f>
        <v/>
      </c>
      <c r="C982">
        <f>IF($L982="","",INDEX(Расчет!$B$2:$B$3001,$L982))</f>
        <v/>
      </c>
      <c r="D982">
        <f>IF($L982="","",IF(ISNUMBER(FIND("(",INDEX(Расчет!$C$2:$C$3001,$L982))),SUBSTITUTE(MID(INDEX(Расчет!$C$2:$C$3001,$L982),FIND("(",INDEX(Расчет!$C$2:$C$3001,$L982))+1,99),")",""),INDEX(Расчет!$C$2:$C$3001,$L982)))</f>
        <v/>
      </c>
      <c r="E982">
        <f>IF($L982="","",INDEX(Расчет!$D$2:$D$3001,$L982))</f>
        <v/>
      </c>
      <c r="F982">
        <f>IF($L982="","",INDEX(Расчет!$E$2:$E$3001,$L982))</f>
        <v/>
      </c>
      <c r="G982">
        <f>IF($L982="","",IFERROR(--LEFT(INDEX(Расчет!$C$2:$C$3001,$L982),FIND("(",INDEX(Расчет!$C$2:$C$3001,$L982))-1),IFERROR(--LEFT(INDEX(Расчет!$C$2:$C$3001,$L982),1),"")))</f>
        <v/>
      </c>
      <c r="H982">
        <f>IF($L982="","",SUMIFS(Расчет!$G$2:$G$3001,Расчет!$I$2:$I$3001,$K982,Расчет!$H$2:$H$3001,1))</f>
        <v/>
      </c>
      <c r="I982">
        <f>IF($L982="","",SUMIFS(Расчет!$G$2:$G$3001,Расчет!$I$2:$I$3001,$K982,Расчет!$H$2:$H$3001,2))</f>
        <v/>
      </c>
      <c r="J982">
        <f>IF($L982="","",SUMIFS(Расчет!$G$2:$G$3001,Расчет!$I$2:$I$3001,$K982,Расчет!$H$2:$H$3001,3))</f>
        <v/>
      </c>
      <c r="K982">
        <f>IF($L982="","",INDEX(Расчет!$I$2:$I$3001,$L982))</f>
        <v/>
      </c>
      <c r="L982">
        <f>IFERROR(MATCH(ROW()-1,Расчет!$J$2:$J$3001,0),"")</f>
        <v/>
      </c>
    </row>
    <row r="983">
      <c r="A983">
        <f>IF($L983="","",B983&amp;"."&amp;C983&amp;"-"&amp;D983&amp;"-"&amp;H983&amp;"."&amp;I983&amp;"."&amp;J983)</f>
        <v/>
      </c>
      <c r="B983">
        <f>IF($L983="","",INDEX(Расчет!$A$2:$A$3001,$L983))</f>
        <v/>
      </c>
      <c r="C983">
        <f>IF($L983="","",INDEX(Расчет!$B$2:$B$3001,$L983))</f>
        <v/>
      </c>
      <c r="D983">
        <f>IF($L983="","",IF(ISNUMBER(FIND("(",INDEX(Расчет!$C$2:$C$3001,$L983))),SUBSTITUTE(MID(INDEX(Расчет!$C$2:$C$3001,$L983),FIND("(",INDEX(Расчет!$C$2:$C$3001,$L983))+1,99),")",""),INDEX(Расчет!$C$2:$C$3001,$L983)))</f>
        <v/>
      </c>
      <c r="E983">
        <f>IF($L983="","",INDEX(Расчет!$D$2:$D$3001,$L983))</f>
        <v/>
      </c>
      <c r="F983">
        <f>IF($L983="","",INDEX(Расчет!$E$2:$E$3001,$L983))</f>
        <v/>
      </c>
      <c r="G983">
        <f>IF($L983="","",IFERROR(--LEFT(INDEX(Расчет!$C$2:$C$3001,$L983),FIND("(",INDEX(Расчет!$C$2:$C$3001,$L983))-1),IFERROR(--LEFT(INDEX(Расчет!$C$2:$C$3001,$L983),1),"")))</f>
        <v/>
      </c>
      <c r="H983">
        <f>IF($L983="","",SUMIFS(Расчет!$G$2:$G$3001,Расчет!$I$2:$I$3001,$K983,Расчет!$H$2:$H$3001,1))</f>
        <v/>
      </c>
      <c r="I983">
        <f>IF($L983="","",SUMIFS(Расчет!$G$2:$G$3001,Расчет!$I$2:$I$3001,$K983,Расчет!$H$2:$H$3001,2))</f>
        <v/>
      </c>
      <c r="J983">
        <f>IF($L983="","",SUMIFS(Расчет!$G$2:$G$3001,Расчет!$I$2:$I$3001,$K983,Расчет!$H$2:$H$3001,3))</f>
        <v/>
      </c>
      <c r="K983">
        <f>IF($L983="","",INDEX(Расчет!$I$2:$I$3001,$L983))</f>
        <v/>
      </c>
      <c r="L983">
        <f>IFERROR(MATCH(ROW()-1,Расчет!$J$2:$J$3001,0),"")</f>
        <v/>
      </c>
    </row>
    <row r="984">
      <c r="A984">
        <f>IF($L984="","",B984&amp;"."&amp;C984&amp;"-"&amp;D984&amp;"-"&amp;H984&amp;"."&amp;I984&amp;"."&amp;J984)</f>
        <v/>
      </c>
      <c r="B984">
        <f>IF($L984="","",INDEX(Расчет!$A$2:$A$3001,$L984))</f>
        <v/>
      </c>
      <c r="C984">
        <f>IF($L984="","",INDEX(Расчет!$B$2:$B$3001,$L984))</f>
        <v/>
      </c>
      <c r="D984">
        <f>IF($L984="","",IF(ISNUMBER(FIND("(",INDEX(Расчет!$C$2:$C$3001,$L984))),SUBSTITUTE(MID(INDEX(Расчет!$C$2:$C$3001,$L984),FIND("(",INDEX(Расчет!$C$2:$C$3001,$L984))+1,99),")",""),INDEX(Расчет!$C$2:$C$3001,$L984)))</f>
        <v/>
      </c>
      <c r="E984">
        <f>IF($L984="","",INDEX(Расчет!$D$2:$D$3001,$L984))</f>
        <v/>
      </c>
      <c r="F984">
        <f>IF($L984="","",INDEX(Расчет!$E$2:$E$3001,$L984))</f>
        <v/>
      </c>
      <c r="G984">
        <f>IF($L984="","",IFERROR(--LEFT(INDEX(Расчет!$C$2:$C$3001,$L984),FIND("(",INDEX(Расчет!$C$2:$C$3001,$L984))-1),IFERROR(--LEFT(INDEX(Расчет!$C$2:$C$3001,$L984),1),"")))</f>
        <v/>
      </c>
      <c r="H984">
        <f>IF($L984="","",SUMIFS(Расчет!$G$2:$G$3001,Расчет!$I$2:$I$3001,$K984,Расчет!$H$2:$H$3001,1))</f>
        <v/>
      </c>
      <c r="I984">
        <f>IF($L984="","",SUMIFS(Расчет!$G$2:$G$3001,Расчет!$I$2:$I$3001,$K984,Расчет!$H$2:$H$3001,2))</f>
        <v/>
      </c>
      <c r="J984">
        <f>IF($L984="","",SUMIFS(Расчет!$G$2:$G$3001,Расчет!$I$2:$I$3001,$K984,Расчет!$H$2:$H$3001,3))</f>
        <v/>
      </c>
      <c r="K984">
        <f>IF($L984="","",INDEX(Расчет!$I$2:$I$3001,$L984))</f>
        <v/>
      </c>
      <c r="L984">
        <f>IFERROR(MATCH(ROW()-1,Расчет!$J$2:$J$3001,0),"")</f>
        <v/>
      </c>
    </row>
    <row r="985">
      <c r="A985">
        <f>IF($L985="","",B985&amp;"."&amp;C985&amp;"-"&amp;D985&amp;"-"&amp;H985&amp;"."&amp;I985&amp;"."&amp;J985)</f>
        <v/>
      </c>
      <c r="B985">
        <f>IF($L985="","",INDEX(Расчет!$A$2:$A$3001,$L985))</f>
        <v/>
      </c>
      <c r="C985">
        <f>IF($L985="","",INDEX(Расчет!$B$2:$B$3001,$L985))</f>
        <v/>
      </c>
      <c r="D985">
        <f>IF($L985="","",IF(ISNUMBER(FIND("(",INDEX(Расчет!$C$2:$C$3001,$L985))),SUBSTITUTE(MID(INDEX(Расчет!$C$2:$C$3001,$L985),FIND("(",INDEX(Расчет!$C$2:$C$3001,$L985))+1,99),")",""),INDEX(Расчет!$C$2:$C$3001,$L985)))</f>
        <v/>
      </c>
      <c r="E985">
        <f>IF($L985="","",INDEX(Расчет!$D$2:$D$3001,$L985))</f>
        <v/>
      </c>
      <c r="F985">
        <f>IF($L985="","",INDEX(Расчет!$E$2:$E$3001,$L985))</f>
        <v/>
      </c>
      <c r="G985">
        <f>IF($L985="","",IFERROR(--LEFT(INDEX(Расчет!$C$2:$C$3001,$L985),FIND("(",INDEX(Расчет!$C$2:$C$3001,$L985))-1),IFERROR(--LEFT(INDEX(Расчет!$C$2:$C$3001,$L985),1),"")))</f>
        <v/>
      </c>
      <c r="H985">
        <f>IF($L985="","",SUMIFS(Расчет!$G$2:$G$3001,Расчет!$I$2:$I$3001,$K985,Расчет!$H$2:$H$3001,1))</f>
        <v/>
      </c>
      <c r="I985">
        <f>IF($L985="","",SUMIFS(Расчет!$G$2:$G$3001,Расчет!$I$2:$I$3001,$K985,Расчет!$H$2:$H$3001,2))</f>
        <v/>
      </c>
      <c r="J985">
        <f>IF($L985="","",SUMIFS(Расчет!$G$2:$G$3001,Расчет!$I$2:$I$3001,$K985,Расчет!$H$2:$H$3001,3))</f>
        <v/>
      </c>
      <c r="K985">
        <f>IF($L985="","",INDEX(Расчет!$I$2:$I$3001,$L985))</f>
        <v/>
      </c>
      <c r="L985">
        <f>IFERROR(MATCH(ROW()-1,Расчет!$J$2:$J$3001,0),"")</f>
        <v/>
      </c>
    </row>
    <row r="986">
      <c r="A986">
        <f>IF($L986="","",B986&amp;"."&amp;C986&amp;"-"&amp;D986&amp;"-"&amp;H986&amp;"."&amp;I986&amp;"."&amp;J986)</f>
        <v/>
      </c>
      <c r="B986">
        <f>IF($L986="","",INDEX(Расчет!$A$2:$A$3001,$L986))</f>
        <v/>
      </c>
      <c r="C986">
        <f>IF($L986="","",INDEX(Расчет!$B$2:$B$3001,$L986))</f>
        <v/>
      </c>
      <c r="D986">
        <f>IF($L986="","",IF(ISNUMBER(FIND("(",INDEX(Расчет!$C$2:$C$3001,$L986))),SUBSTITUTE(MID(INDEX(Расчет!$C$2:$C$3001,$L986),FIND("(",INDEX(Расчет!$C$2:$C$3001,$L986))+1,99),")",""),INDEX(Расчет!$C$2:$C$3001,$L986)))</f>
        <v/>
      </c>
      <c r="E986">
        <f>IF($L986="","",INDEX(Расчет!$D$2:$D$3001,$L986))</f>
        <v/>
      </c>
      <c r="F986">
        <f>IF($L986="","",INDEX(Расчет!$E$2:$E$3001,$L986))</f>
        <v/>
      </c>
      <c r="G986">
        <f>IF($L986="","",IFERROR(--LEFT(INDEX(Расчет!$C$2:$C$3001,$L986),FIND("(",INDEX(Расчет!$C$2:$C$3001,$L986))-1),IFERROR(--LEFT(INDEX(Расчет!$C$2:$C$3001,$L986),1),"")))</f>
        <v/>
      </c>
      <c r="H986">
        <f>IF($L986="","",SUMIFS(Расчет!$G$2:$G$3001,Расчет!$I$2:$I$3001,$K986,Расчет!$H$2:$H$3001,1))</f>
        <v/>
      </c>
      <c r="I986">
        <f>IF($L986="","",SUMIFS(Расчет!$G$2:$G$3001,Расчет!$I$2:$I$3001,$K986,Расчет!$H$2:$H$3001,2))</f>
        <v/>
      </c>
      <c r="J986">
        <f>IF($L986="","",SUMIFS(Расчет!$G$2:$G$3001,Расчет!$I$2:$I$3001,$K986,Расчет!$H$2:$H$3001,3))</f>
        <v/>
      </c>
      <c r="K986">
        <f>IF($L986="","",INDEX(Расчет!$I$2:$I$3001,$L986))</f>
        <v/>
      </c>
      <c r="L986">
        <f>IFERROR(MATCH(ROW()-1,Расчет!$J$2:$J$3001,0),"")</f>
        <v/>
      </c>
    </row>
    <row r="987">
      <c r="A987">
        <f>IF($L987="","",B987&amp;"."&amp;C987&amp;"-"&amp;D987&amp;"-"&amp;H987&amp;"."&amp;I987&amp;"."&amp;J987)</f>
        <v/>
      </c>
      <c r="B987">
        <f>IF($L987="","",INDEX(Расчет!$A$2:$A$3001,$L987))</f>
        <v/>
      </c>
      <c r="C987">
        <f>IF($L987="","",INDEX(Расчет!$B$2:$B$3001,$L987))</f>
        <v/>
      </c>
      <c r="D987">
        <f>IF($L987="","",IF(ISNUMBER(FIND("(",INDEX(Расчет!$C$2:$C$3001,$L987))),SUBSTITUTE(MID(INDEX(Расчет!$C$2:$C$3001,$L987),FIND("(",INDEX(Расчет!$C$2:$C$3001,$L987))+1,99),")",""),INDEX(Расчет!$C$2:$C$3001,$L987)))</f>
        <v/>
      </c>
      <c r="E987">
        <f>IF($L987="","",INDEX(Расчет!$D$2:$D$3001,$L987))</f>
        <v/>
      </c>
      <c r="F987">
        <f>IF($L987="","",INDEX(Расчет!$E$2:$E$3001,$L987))</f>
        <v/>
      </c>
      <c r="G987">
        <f>IF($L987="","",IFERROR(--LEFT(INDEX(Расчет!$C$2:$C$3001,$L987),FIND("(",INDEX(Расчет!$C$2:$C$3001,$L987))-1),IFERROR(--LEFT(INDEX(Расчет!$C$2:$C$3001,$L987),1),"")))</f>
        <v/>
      </c>
      <c r="H987">
        <f>IF($L987="","",SUMIFS(Расчет!$G$2:$G$3001,Расчет!$I$2:$I$3001,$K987,Расчет!$H$2:$H$3001,1))</f>
        <v/>
      </c>
      <c r="I987">
        <f>IF($L987="","",SUMIFS(Расчет!$G$2:$G$3001,Расчет!$I$2:$I$3001,$K987,Расчет!$H$2:$H$3001,2))</f>
        <v/>
      </c>
      <c r="J987">
        <f>IF($L987="","",SUMIFS(Расчет!$G$2:$G$3001,Расчет!$I$2:$I$3001,$K987,Расчет!$H$2:$H$3001,3))</f>
        <v/>
      </c>
      <c r="K987">
        <f>IF($L987="","",INDEX(Расчет!$I$2:$I$3001,$L987))</f>
        <v/>
      </c>
      <c r="L987">
        <f>IFERROR(MATCH(ROW()-1,Расчет!$J$2:$J$3001,0),"")</f>
        <v/>
      </c>
    </row>
    <row r="988">
      <c r="A988">
        <f>IF($L988="","",B988&amp;"."&amp;C988&amp;"-"&amp;D988&amp;"-"&amp;H988&amp;"."&amp;I988&amp;"."&amp;J988)</f>
        <v/>
      </c>
      <c r="B988">
        <f>IF($L988="","",INDEX(Расчет!$A$2:$A$3001,$L988))</f>
        <v/>
      </c>
      <c r="C988">
        <f>IF($L988="","",INDEX(Расчет!$B$2:$B$3001,$L988))</f>
        <v/>
      </c>
      <c r="D988">
        <f>IF($L988="","",IF(ISNUMBER(FIND("(",INDEX(Расчет!$C$2:$C$3001,$L988))),SUBSTITUTE(MID(INDEX(Расчет!$C$2:$C$3001,$L988),FIND("(",INDEX(Расчет!$C$2:$C$3001,$L988))+1,99),")",""),INDEX(Расчет!$C$2:$C$3001,$L988)))</f>
        <v/>
      </c>
      <c r="E988">
        <f>IF($L988="","",INDEX(Расчет!$D$2:$D$3001,$L988))</f>
        <v/>
      </c>
      <c r="F988">
        <f>IF($L988="","",INDEX(Расчет!$E$2:$E$3001,$L988))</f>
        <v/>
      </c>
      <c r="G988">
        <f>IF($L988="","",IFERROR(--LEFT(INDEX(Расчет!$C$2:$C$3001,$L988),FIND("(",INDEX(Расчет!$C$2:$C$3001,$L988))-1),IFERROR(--LEFT(INDEX(Расчет!$C$2:$C$3001,$L988),1),"")))</f>
        <v/>
      </c>
      <c r="H988">
        <f>IF($L988="","",SUMIFS(Расчет!$G$2:$G$3001,Расчет!$I$2:$I$3001,$K988,Расчет!$H$2:$H$3001,1))</f>
        <v/>
      </c>
      <c r="I988">
        <f>IF($L988="","",SUMIFS(Расчет!$G$2:$G$3001,Расчет!$I$2:$I$3001,$K988,Расчет!$H$2:$H$3001,2))</f>
        <v/>
      </c>
      <c r="J988">
        <f>IF($L988="","",SUMIFS(Расчет!$G$2:$G$3001,Расчет!$I$2:$I$3001,$K988,Расчет!$H$2:$H$3001,3))</f>
        <v/>
      </c>
      <c r="K988">
        <f>IF($L988="","",INDEX(Расчет!$I$2:$I$3001,$L988))</f>
        <v/>
      </c>
      <c r="L988">
        <f>IFERROR(MATCH(ROW()-1,Расчет!$J$2:$J$3001,0),"")</f>
        <v/>
      </c>
    </row>
    <row r="989">
      <c r="A989">
        <f>IF($L989="","",B989&amp;"."&amp;C989&amp;"-"&amp;D989&amp;"-"&amp;H989&amp;"."&amp;I989&amp;"."&amp;J989)</f>
        <v/>
      </c>
      <c r="B989">
        <f>IF($L989="","",INDEX(Расчет!$A$2:$A$3001,$L989))</f>
        <v/>
      </c>
      <c r="C989">
        <f>IF($L989="","",INDEX(Расчет!$B$2:$B$3001,$L989))</f>
        <v/>
      </c>
      <c r="D989">
        <f>IF($L989="","",IF(ISNUMBER(FIND("(",INDEX(Расчет!$C$2:$C$3001,$L989))),SUBSTITUTE(MID(INDEX(Расчет!$C$2:$C$3001,$L989),FIND("(",INDEX(Расчет!$C$2:$C$3001,$L989))+1,99),")",""),INDEX(Расчет!$C$2:$C$3001,$L989)))</f>
        <v/>
      </c>
      <c r="E989">
        <f>IF($L989="","",INDEX(Расчет!$D$2:$D$3001,$L989))</f>
        <v/>
      </c>
      <c r="F989">
        <f>IF($L989="","",INDEX(Расчет!$E$2:$E$3001,$L989))</f>
        <v/>
      </c>
      <c r="G989">
        <f>IF($L989="","",IFERROR(--LEFT(INDEX(Расчет!$C$2:$C$3001,$L989),FIND("(",INDEX(Расчет!$C$2:$C$3001,$L989))-1),IFERROR(--LEFT(INDEX(Расчет!$C$2:$C$3001,$L989),1),"")))</f>
        <v/>
      </c>
      <c r="H989">
        <f>IF($L989="","",SUMIFS(Расчет!$G$2:$G$3001,Расчет!$I$2:$I$3001,$K989,Расчет!$H$2:$H$3001,1))</f>
        <v/>
      </c>
      <c r="I989">
        <f>IF($L989="","",SUMIFS(Расчет!$G$2:$G$3001,Расчет!$I$2:$I$3001,$K989,Расчет!$H$2:$H$3001,2))</f>
        <v/>
      </c>
      <c r="J989">
        <f>IF($L989="","",SUMIFS(Расчет!$G$2:$G$3001,Расчет!$I$2:$I$3001,$K989,Расчет!$H$2:$H$3001,3))</f>
        <v/>
      </c>
      <c r="K989">
        <f>IF($L989="","",INDEX(Расчет!$I$2:$I$3001,$L989))</f>
        <v/>
      </c>
      <c r="L989">
        <f>IFERROR(MATCH(ROW()-1,Расчет!$J$2:$J$3001,0),"")</f>
        <v/>
      </c>
    </row>
    <row r="990">
      <c r="A990">
        <f>IF($L990="","",B990&amp;"."&amp;C990&amp;"-"&amp;D990&amp;"-"&amp;H990&amp;"."&amp;I990&amp;"."&amp;J990)</f>
        <v/>
      </c>
      <c r="B990">
        <f>IF($L990="","",INDEX(Расчет!$A$2:$A$3001,$L990))</f>
        <v/>
      </c>
      <c r="C990">
        <f>IF($L990="","",INDEX(Расчет!$B$2:$B$3001,$L990))</f>
        <v/>
      </c>
      <c r="D990">
        <f>IF($L990="","",IF(ISNUMBER(FIND("(",INDEX(Расчет!$C$2:$C$3001,$L990))),SUBSTITUTE(MID(INDEX(Расчет!$C$2:$C$3001,$L990),FIND("(",INDEX(Расчет!$C$2:$C$3001,$L990))+1,99),")",""),INDEX(Расчет!$C$2:$C$3001,$L990)))</f>
        <v/>
      </c>
      <c r="E990">
        <f>IF($L990="","",INDEX(Расчет!$D$2:$D$3001,$L990))</f>
        <v/>
      </c>
      <c r="F990">
        <f>IF($L990="","",INDEX(Расчет!$E$2:$E$3001,$L990))</f>
        <v/>
      </c>
      <c r="G990">
        <f>IF($L990="","",IFERROR(--LEFT(INDEX(Расчет!$C$2:$C$3001,$L990),FIND("(",INDEX(Расчет!$C$2:$C$3001,$L990))-1),IFERROR(--LEFT(INDEX(Расчет!$C$2:$C$3001,$L990),1),"")))</f>
        <v/>
      </c>
      <c r="H990">
        <f>IF($L990="","",SUMIFS(Расчет!$G$2:$G$3001,Расчет!$I$2:$I$3001,$K990,Расчет!$H$2:$H$3001,1))</f>
        <v/>
      </c>
      <c r="I990">
        <f>IF($L990="","",SUMIFS(Расчет!$G$2:$G$3001,Расчет!$I$2:$I$3001,$K990,Расчет!$H$2:$H$3001,2))</f>
        <v/>
      </c>
      <c r="J990">
        <f>IF($L990="","",SUMIFS(Расчет!$G$2:$G$3001,Расчет!$I$2:$I$3001,$K990,Расчет!$H$2:$H$3001,3))</f>
        <v/>
      </c>
      <c r="K990">
        <f>IF($L990="","",INDEX(Расчет!$I$2:$I$3001,$L990))</f>
        <v/>
      </c>
      <c r="L990">
        <f>IFERROR(MATCH(ROW()-1,Расчет!$J$2:$J$3001,0),"")</f>
        <v/>
      </c>
    </row>
    <row r="991">
      <c r="A991">
        <f>IF($L991="","",B991&amp;"."&amp;C991&amp;"-"&amp;D991&amp;"-"&amp;H991&amp;"."&amp;I991&amp;"."&amp;J991)</f>
        <v/>
      </c>
      <c r="B991">
        <f>IF($L991="","",INDEX(Расчет!$A$2:$A$3001,$L991))</f>
        <v/>
      </c>
      <c r="C991">
        <f>IF($L991="","",INDEX(Расчет!$B$2:$B$3001,$L991))</f>
        <v/>
      </c>
      <c r="D991">
        <f>IF($L991="","",IF(ISNUMBER(FIND("(",INDEX(Расчет!$C$2:$C$3001,$L991))),SUBSTITUTE(MID(INDEX(Расчет!$C$2:$C$3001,$L991),FIND("(",INDEX(Расчет!$C$2:$C$3001,$L991))+1,99),")",""),INDEX(Расчет!$C$2:$C$3001,$L991)))</f>
        <v/>
      </c>
      <c r="E991">
        <f>IF($L991="","",INDEX(Расчет!$D$2:$D$3001,$L991))</f>
        <v/>
      </c>
      <c r="F991">
        <f>IF($L991="","",INDEX(Расчет!$E$2:$E$3001,$L991))</f>
        <v/>
      </c>
      <c r="G991">
        <f>IF($L991="","",IFERROR(--LEFT(INDEX(Расчет!$C$2:$C$3001,$L991),FIND("(",INDEX(Расчет!$C$2:$C$3001,$L991))-1),IFERROR(--LEFT(INDEX(Расчет!$C$2:$C$3001,$L991),1),"")))</f>
        <v/>
      </c>
      <c r="H991">
        <f>IF($L991="","",SUMIFS(Расчет!$G$2:$G$3001,Расчет!$I$2:$I$3001,$K991,Расчет!$H$2:$H$3001,1))</f>
        <v/>
      </c>
      <c r="I991">
        <f>IF($L991="","",SUMIFS(Расчет!$G$2:$G$3001,Расчет!$I$2:$I$3001,$K991,Расчет!$H$2:$H$3001,2))</f>
        <v/>
      </c>
      <c r="J991">
        <f>IF($L991="","",SUMIFS(Расчет!$G$2:$G$3001,Расчет!$I$2:$I$3001,$K991,Расчет!$H$2:$H$3001,3))</f>
        <v/>
      </c>
      <c r="K991">
        <f>IF($L991="","",INDEX(Расчет!$I$2:$I$3001,$L991))</f>
        <v/>
      </c>
      <c r="L991">
        <f>IFERROR(MATCH(ROW()-1,Расчет!$J$2:$J$3001,0),"")</f>
        <v/>
      </c>
    </row>
    <row r="992">
      <c r="A992">
        <f>IF($L992="","",B992&amp;"."&amp;C992&amp;"-"&amp;D992&amp;"-"&amp;H992&amp;"."&amp;I992&amp;"."&amp;J992)</f>
        <v/>
      </c>
      <c r="B992">
        <f>IF($L992="","",INDEX(Расчет!$A$2:$A$3001,$L992))</f>
        <v/>
      </c>
      <c r="C992">
        <f>IF($L992="","",INDEX(Расчет!$B$2:$B$3001,$L992))</f>
        <v/>
      </c>
      <c r="D992">
        <f>IF($L992="","",IF(ISNUMBER(FIND("(",INDEX(Расчет!$C$2:$C$3001,$L992))),SUBSTITUTE(MID(INDEX(Расчет!$C$2:$C$3001,$L992),FIND("(",INDEX(Расчет!$C$2:$C$3001,$L992))+1,99),")",""),INDEX(Расчет!$C$2:$C$3001,$L992)))</f>
        <v/>
      </c>
      <c r="E992">
        <f>IF($L992="","",INDEX(Расчет!$D$2:$D$3001,$L992))</f>
        <v/>
      </c>
      <c r="F992">
        <f>IF($L992="","",INDEX(Расчет!$E$2:$E$3001,$L992))</f>
        <v/>
      </c>
      <c r="G992">
        <f>IF($L992="","",IFERROR(--LEFT(INDEX(Расчет!$C$2:$C$3001,$L992),FIND("(",INDEX(Расчет!$C$2:$C$3001,$L992))-1),IFERROR(--LEFT(INDEX(Расчет!$C$2:$C$3001,$L992),1),"")))</f>
        <v/>
      </c>
      <c r="H992">
        <f>IF($L992="","",SUMIFS(Расчет!$G$2:$G$3001,Расчет!$I$2:$I$3001,$K992,Расчет!$H$2:$H$3001,1))</f>
        <v/>
      </c>
      <c r="I992">
        <f>IF($L992="","",SUMIFS(Расчет!$G$2:$G$3001,Расчет!$I$2:$I$3001,$K992,Расчет!$H$2:$H$3001,2))</f>
        <v/>
      </c>
      <c r="J992">
        <f>IF($L992="","",SUMIFS(Расчет!$G$2:$G$3001,Расчет!$I$2:$I$3001,$K992,Расчет!$H$2:$H$3001,3))</f>
        <v/>
      </c>
      <c r="K992">
        <f>IF($L992="","",INDEX(Расчет!$I$2:$I$3001,$L992))</f>
        <v/>
      </c>
      <c r="L992">
        <f>IFERROR(MATCH(ROW()-1,Расчет!$J$2:$J$3001,0),"")</f>
        <v/>
      </c>
    </row>
    <row r="993">
      <c r="A993">
        <f>IF($L993="","",B993&amp;"."&amp;C993&amp;"-"&amp;D993&amp;"-"&amp;H993&amp;"."&amp;I993&amp;"."&amp;J993)</f>
        <v/>
      </c>
      <c r="B993">
        <f>IF($L993="","",INDEX(Расчет!$A$2:$A$3001,$L993))</f>
        <v/>
      </c>
      <c r="C993">
        <f>IF($L993="","",INDEX(Расчет!$B$2:$B$3001,$L993))</f>
        <v/>
      </c>
      <c r="D993">
        <f>IF($L993="","",IF(ISNUMBER(FIND("(",INDEX(Расчет!$C$2:$C$3001,$L993))),SUBSTITUTE(MID(INDEX(Расчет!$C$2:$C$3001,$L993),FIND("(",INDEX(Расчет!$C$2:$C$3001,$L993))+1,99),")",""),INDEX(Расчет!$C$2:$C$3001,$L993)))</f>
        <v/>
      </c>
      <c r="E993">
        <f>IF($L993="","",INDEX(Расчет!$D$2:$D$3001,$L993))</f>
        <v/>
      </c>
      <c r="F993">
        <f>IF($L993="","",INDEX(Расчет!$E$2:$E$3001,$L993))</f>
        <v/>
      </c>
      <c r="G993">
        <f>IF($L993="","",IFERROR(--LEFT(INDEX(Расчет!$C$2:$C$3001,$L993),FIND("(",INDEX(Расчет!$C$2:$C$3001,$L993))-1),IFERROR(--LEFT(INDEX(Расчет!$C$2:$C$3001,$L993),1),"")))</f>
        <v/>
      </c>
      <c r="H993">
        <f>IF($L993="","",SUMIFS(Расчет!$G$2:$G$3001,Расчет!$I$2:$I$3001,$K993,Расчет!$H$2:$H$3001,1))</f>
        <v/>
      </c>
      <c r="I993">
        <f>IF($L993="","",SUMIFS(Расчет!$G$2:$G$3001,Расчет!$I$2:$I$3001,$K993,Расчет!$H$2:$H$3001,2))</f>
        <v/>
      </c>
      <c r="J993">
        <f>IF($L993="","",SUMIFS(Расчет!$G$2:$G$3001,Расчет!$I$2:$I$3001,$K993,Расчет!$H$2:$H$3001,3))</f>
        <v/>
      </c>
      <c r="K993">
        <f>IF($L993="","",INDEX(Расчет!$I$2:$I$3001,$L993))</f>
        <v/>
      </c>
      <c r="L993">
        <f>IFERROR(MATCH(ROW()-1,Расчет!$J$2:$J$3001,0),"")</f>
        <v/>
      </c>
    </row>
    <row r="994">
      <c r="A994">
        <f>IF($L994="","",B994&amp;"."&amp;C994&amp;"-"&amp;D994&amp;"-"&amp;H994&amp;"."&amp;I994&amp;"."&amp;J994)</f>
        <v/>
      </c>
      <c r="B994">
        <f>IF($L994="","",INDEX(Расчет!$A$2:$A$3001,$L994))</f>
        <v/>
      </c>
      <c r="C994">
        <f>IF($L994="","",INDEX(Расчет!$B$2:$B$3001,$L994))</f>
        <v/>
      </c>
      <c r="D994">
        <f>IF($L994="","",IF(ISNUMBER(FIND("(",INDEX(Расчет!$C$2:$C$3001,$L994))),SUBSTITUTE(MID(INDEX(Расчет!$C$2:$C$3001,$L994),FIND("(",INDEX(Расчет!$C$2:$C$3001,$L994))+1,99),")",""),INDEX(Расчет!$C$2:$C$3001,$L994)))</f>
        <v/>
      </c>
      <c r="E994">
        <f>IF($L994="","",INDEX(Расчет!$D$2:$D$3001,$L994))</f>
        <v/>
      </c>
      <c r="F994">
        <f>IF($L994="","",INDEX(Расчет!$E$2:$E$3001,$L994))</f>
        <v/>
      </c>
      <c r="G994">
        <f>IF($L994="","",IFERROR(--LEFT(INDEX(Расчет!$C$2:$C$3001,$L994),FIND("(",INDEX(Расчет!$C$2:$C$3001,$L994))-1),IFERROR(--LEFT(INDEX(Расчет!$C$2:$C$3001,$L994),1),"")))</f>
        <v/>
      </c>
      <c r="H994">
        <f>IF($L994="","",SUMIFS(Расчет!$G$2:$G$3001,Расчет!$I$2:$I$3001,$K994,Расчет!$H$2:$H$3001,1))</f>
        <v/>
      </c>
      <c r="I994">
        <f>IF($L994="","",SUMIFS(Расчет!$G$2:$G$3001,Расчет!$I$2:$I$3001,$K994,Расчет!$H$2:$H$3001,2))</f>
        <v/>
      </c>
      <c r="J994">
        <f>IF($L994="","",SUMIFS(Расчет!$G$2:$G$3001,Расчет!$I$2:$I$3001,$K994,Расчет!$H$2:$H$3001,3))</f>
        <v/>
      </c>
      <c r="K994">
        <f>IF($L994="","",INDEX(Расчет!$I$2:$I$3001,$L994))</f>
        <v/>
      </c>
      <c r="L994">
        <f>IFERROR(MATCH(ROW()-1,Расчет!$J$2:$J$3001,0),"")</f>
        <v/>
      </c>
    </row>
    <row r="995">
      <c r="A995">
        <f>IF($L995="","",B995&amp;"."&amp;C995&amp;"-"&amp;D995&amp;"-"&amp;H995&amp;"."&amp;I995&amp;"."&amp;J995)</f>
        <v/>
      </c>
      <c r="B995">
        <f>IF($L995="","",INDEX(Расчет!$A$2:$A$3001,$L995))</f>
        <v/>
      </c>
      <c r="C995">
        <f>IF($L995="","",INDEX(Расчет!$B$2:$B$3001,$L995))</f>
        <v/>
      </c>
      <c r="D995">
        <f>IF($L995="","",IF(ISNUMBER(FIND("(",INDEX(Расчет!$C$2:$C$3001,$L995))),SUBSTITUTE(MID(INDEX(Расчет!$C$2:$C$3001,$L995),FIND("(",INDEX(Расчет!$C$2:$C$3001,$L995))+1,99),")",""),INDEX(Расчет!$C$2:$C$3001,$L995)))</f>
        <v/>
      </c>
      <c r="E995">
        <f>IF($L995="","",INDEX(Расчет!$D$2:$D$3001,$L995))</f>
        <v/>
      </c>
      <c r="F995">
        <f>IF($L995="","",INDEX(Расчет!$E$2:$E$3001,$L995))</f>
        <v/>
      </c>
      <c r="G995">
        <f>IF($L995="","",IFERROR(--LEFT(INDEX(Расчет!$C$2:$C$3001,$L995),FIND("(",INDEX(Расчет!$C$2:$C$3001,$L995))-1),IFERROR(--LEFT(INDEX(Расчет!$C$2:$C$3001,$L995),1),"")))</f>
        <v/>
      </c>
      <c r="H995">
        <f>IF($L995="","",SUMIFS(Расчет!$G$2:$G$3001,Расчет!$I$2:$I$3001,$K995,Расчет!$H$2:$H$3001,1))</f>
        <v/>
      </c>
      <c r="I995">
        <f>IF($L995="","",SUMIFS(Расчет!$G$2:$G$3001,Расчет!$I$2:$I$3001,$K995,Расчет!$H$2:$H$3001,2))</f>
        <v/>
      </c>
      <c r="J995">
        <f>IF($L995="","",SUMIFS(Расчет!$G$2:$G$3001,Расчет!$I$2:$I$3001,$K995,Расчет!$H$2:$H$3001,3))</f>
        <v/>
      </c>
      <c r="K995">
        <f>IF($L995="","",INDEX(Расчет!$I$2:$I$3001,$L995))</f>
        <v/>
      </c>
      <c r="L995">
        <f>IFERROR(MATCH(ROW()-1,Расчет!$J$2:$J$3001,0),"")</f>
        <v/>
      </c>
    </row>
    <row r="996">
      <c r="A996">
        <f>IF($L996="","",B996&amp;"."&amp;C996&amp;"-"&amp;D996&amp;"-"&amp;H996&amp;"."&amp;I996&amp;"."&amp;J996)</f>
        <v/>
      </c>
      <c r="B996">
        <f>IF($L996="","",INDEX(Расчет!$A$2:$A$3001,$L996))</f>
        <v/>
      </c>
      <c r="C996">
        <f>IF($L996="","",INDEX(Расчет!$B$2:$B$3001,$L996))</f>
        <v/>
      </c>
      <c r="D996">
        <f>IF($L996="","",IF(ISNUMBER(FIND("(",INDEX(Расчет!$C$2:$C$3001,$L996))),SUBSTITUTE(MID(INDEX(Расчет!$C$2:$C$3001,$L996),FIND("(",INDEX(Расчет!$C$2:$C$3001,$L996))+1,99),")",""),INDEX(Расчет!$C$2:$C$3001,$L996)))</f>
        <v/>
      </c>
      <c r="E996">
        <f>IF($L996="","",INDEX(Расчет!$D$2:$D$3001,$L996))</f>
        <v/>
      </c>
      <c r="F996">
        <f>IF($L996="","",INDEX(Расчет!$E$2:$E$3001,$L996))</f>
        <v/>
      </c>
      <c r="G996">
        <f>IF($L996="","",IFERROR(--LEFT(INDEX(Расчет!$C$2:$C$3001,$L996),FIND("(",INDEX(Расчет!$C$2:$C$3001,$L996))-1),IFERROR(--LEFT(INDEX(Расчет!$C$2:$C$3001,$L996),1),"")))</f>
        <v/>
      </c>
      <c r="H996">
        <f>IF($L996="","",SUMIFS(Расчет!$G$2:$G$3001,Расчет!$I$2:$I$3001,$K996,Расчет!$H$2:$H$3001,1))</f>
        <v/>
      </c>
      <c r="I996">
        <f>IF($L996="","",SUMIFS(Расчет!$G$2:$G$3001,Расчет!$I$2:$I$3001,$K996,Расчет!$H$2:$H$3001,2))</f>
        <v/>
      </c>
      <c r="J996">
        <f>IF($L996="","",SUMIFS(Расчет!$G$2:$G$3001,Расчет!$I$2:$I$3001,$K996,Расчет!$H$2:$H$3001,3))</f>
        <v/>
      </c>
      <c r="K996">
        <f>IF($L996="","",INDEX(Расчет!$I$2:$I$3001,$L996))</f>
        <v/>
      </c>
      <c r="L996">
        <f>IFERROR(MATCH(ROW()-1,Расчет!$J$2:$J$3001,0),"")</f>
        <v/>
      </c>
    </row>
    <row r="997">
      <c r="A997">
        <f>IF($L997="","",B997&amp;"."&amp;C997&amp;"-"&amp;D997&amp;"-"&amp;H997&amp;"."&amp;I997&amp;"."&amp;J997)</f>
        <v/>
      </c>
      <c r="B997">
        <f>IF($L997="","",INDEX(Расчет!$A$2:$A$3001,$L997))</f>
        <v/>
      </c>
      <c r="C997">
        <f>IF($L997="","",INDEX(Расчет!$B$2:$B$3001,$L997))</f>
        <v/>
      </c>
      <c r="D997">
        <f>IF($L997="","",IF(ISNUMBER(FIND("(",INDEX(Расчет!$C$2:$C$3001,$L997))),SUBSTITUTE(MID(INDEX(Расчет!$C$2:$C$3001,$L997),FIND("(",INDEX(Расчет!$C$2:$C$3001,$L997))+1,99),")",""),INDEX(Расчет!$C$2:$C$3001,$L997)))</f>
        <v/>
      </c>
      <c r="E997">
        <f>IF($L997="","",INDEX(Расчет!$D$2:$D$3001,$L997))</f>
        <v/>
      </c>
      <c r="F997">
        <f>IF($L997="","",INDEX(Расчет!$E$2:$E$3001,$L997))</f>
        <v/>
      </c>
      <c r="G997">
        <f>IF($L997="","",IFERROR(--LEFT(INDEX(Расчет!$C$2:$C$3001,$L997),FIND("(",INDEX(Расчет!$C$2:$C$3001,$L997))-1),IFERROR(--LEFT(INDEX(Расчет!$C$2:$C$3001,$L997),1),"")))</f>
        <v/>
      </c>
      <c r="H997">
        <f>IF($L997="","",SUMIFS(Расчет!$G$2:$G$3001,Расчет!$I$2:$I$3001,$K997,Расчет!$H$2:$H$3001,1))</f>
        <v/>
      </c>
      <c r="I997">
        <f>IF($L997="","",SUMIFS(Расчет!$G$2:$G$3001,Расчет!$I$2:$I$3001,$K997,Расчет!$H$2:$H$3001,2))</f>
        <v/>
      </c>
      <c r="J997">
        <f>IF($L997="","",SUMIFS(Расчет!$G$2:$G$3001,Расчет!$I$2:$I$3001,$K997,Расчет!$H$2:$H$3001,3))</f>
        <v/>
      </c>
      <c r="K997">
        <f>IF($L997="","",INDEX(Расчет!$I$2:$I$3001,$L997))</f>
        <v/>
      </c>
      <c r="L997">
        <f>IFERROR(MATCH(ROW()-1,Расчет!$J$2:$J$3001,0),"")</f>
        <v/>
      </c>
    </row>
    <row r="998">
      <c r="A998">
        <f>IF($L998="","",B998&amp;"."&amp;C998&amp;"-"&amp;D998&amp;"-"&amp;H998&amp;"."&amp;I998&amp;"."&amp;J998)</f>
        <v/>
      </c>
      <c r="B998">
        <f>IF($L998="","",INDEX(Расчет!$A$2:$A$3001,$L998))</f>
        <v/>
      </c>
      <c r="C998">
        <f>IF($L998="","",INDEX(Расчет!$B$2:$B$3001,$L998))</f>
        <v/>
      </c>
      <c r="D998">
        <f>IF($L998="","",IF(ISNUMBER(FIND("(",INDEX(Расчет!$C$2:$C$3001,$L998))),SUBSTITUTE(MID(INDEX(Расчет!$C$2:$C$3001,$L998),FIND("(",INDEX(Расчет!$C$2:$C$3001,$L998))+1,99),")",""),INDEX(Расчет!$C$2:$C$3001,$L998)))</f>
        <v/>
      </c>
      <c r="E998">
        <f>IF($L998="","",INDEX(Расчет!$D$2:$D$3001,$L998))</f>
        <v/>
      </c>
      <c r="F998">
        <f>IF($L998="","",INDEX(Расчет!$E$2:$E$3001,$L998))</f>
        <v/>
      </c>
      <c r="G998">
        <f>IF($L998="","",IFERROR(--LEFT(INDEX(Расчет!$C$2:$C$3001,$L998),FIND("(",INDEX(Расчет!$C$2:$C$3001,$L998))-1),IFERROR(--LEFT(INDEX(Расчет!$C$2:$C$3001,$L998),1),"")))</f>
        <v/>
      </c>
      <c r="H998">
        <f>IF($L998="","",SUMIFS(Расчет!$G$2:$G$3001,Расчет!$I$2:$I$3001,$K998,Расчет!$H$2:$H$3001,1))</f>
        <v/>
      </c>
      <c r="I998">
        <f>IF($L998="","",SUMIFS(Расчет!$G$2:$G$3001,Расчет!$I$2:$I$3001,$K998,Расчет!$H$2:$H$3001,2))</f>
        <v/>
      </c>
      <c r="J998">
        <f>IF($L998="","",SUMIFS(Расчет!$G$2:$G$3001,Расчет!$I$2:$I$3001,$K998,Расчет!$H$2:$H$3001,3))</f>
        <v/>
      </c>
      <c r="K998">
        <f>IF($L998="","",INDEX(Расчет!$I$2:$I$3001,$L998))</f>
        <v/>
      </c>
      <c r="L998">
        <f>IFERROR(MATCH(ROW()-1,Расчет!$J$2:$J$3001,0),"")</f>
        <v/>
      </c>
    </row>
    <row r="999">
      <c r="A999">
        <f>IF($L999="","",B999&amp;"."&amp;C999&amp;"-"&amp;D999&amp;"-"&amp;H999&amp;"."&amp;I999&amp;"."&amp;J999)</f>
        <v/>
      </c>
      <c r="B999">
        <f>IF($L999="","",INDEX(Расчет!$A$2:$A$3001,$L999))</f>
        <v/>
      </c>
      <c r="C999">
        <f>IF($L999="","",INDEX(Расчет!$B$2:$B$3001,$L999))</f>
        <v/>
      </c>
      <c r="D999">
        <f>IF($L999="","",IF(ISNUMBER(FIND("(",INDEX(Расчет!$C$2:$C$3001,$L999))),SUBSTITUTE(MID(INDEX(Расчет!$C$2:$C$3001,$L999),FIND("(",INDEX(Расчет!$C$2:$C$3001,$L999))+1,99),")",""),INDEX(Расчет!$C$2:$C$3001,$L999)))</f>
        <v/>
      </c>
      <c r="E999">
        <f>IF($L999="","",INDEX(Расчет!$D$2:$D$3001,$L999))</f>
        <v/>
      </c>
      <c r="F999">
        <f>IF($L999="","",INDEX(Расчет!$E$2:$E$3001,$L999))</f>
        <v/>
      </c>
      <c r="G999">
        <f>IF($L999="","",IFERROR(--LEFT(INDEX(Расчет!$C$2:$C$3001,$L999),FIND("(",INDEX(Расчет!$C$2:$C$3001,$L999))-1),IFERROR(--LEFT(INDEX(Расчет!$C$2:$C$3001,$L999),1),"")))</f>
        <v/>
      </c>
      <c r="H999">
        <f>IF($L999="","",SUMIFS(Расчет!$G$2:$G$3001,Расчет!$I$2:$I$3001,$K999,Расчет!$H$2:$H$3001,1))</f>
        <v/>
      </c>
      <c r="I999">
        <f>IF($L999="","",SUMIFS(Расчет!$G$2:$G$3001,Расчет!$I$2:$I$3001,$K999,Расчет!$H$2:$H$3001,2))</f>
        <v/>
      </c>
      <c r="J999">
        <f>IF($L999="","",SUMIFS(Расчет!$G$2:$G$3001,Расчет!$I$2:$I$3001,$K999,Расчет!$H$2:$H$3001,3))</f>
        <v/>
      </c>
      <c r="K999">
        <f>IF($L999="","",INDEX(Расчет!$I$2:$I$3001,$L999))</f>
        <v/>
      </c>
      <c r="L999">
        <f>IFERROR(MATCH(ROW()-1,Расчет!$J$2:$J$3001,0),"")</f>
        <v/>
      </c>
    </row>
    <row r="1000">
      <c r="A1000">
        <f>IF($L1000="","",B1000&amp;"."&amp;C1000&amp;"-"&amp;D1000&amp;"-"&amp;H1000&amp;"."&amp;I1000&amp;"."&amp;J1000)</f>
        <v/>
      </c>
      <c r="B1000">
        <f>IF($L1000="","",INDEX(Расчет!$A$2:$A$3001,$L1000))</f>
        <v/>
      </c>
      <c r="C1000">
        <f>IF($L1000="","",INDEX(Расчет!$B$2:$B$3001,$L1000))</f>
        <v/>
      </c>
      <c r="D1000">
        <f>IF($L1000="","",IF(ISNUMBER(FIND("(",INDEX(Расчет!$C$2:$C$3001,$L1000))),SUBSTITUTE(MID(INDEX(Расчет!$C$2:$C$3001,$L1000),FIND("(",INDEX(Расчет!$C$2:$C$3001,$L1000))+1,99),")",""),INDEX(Расчет!$C$2:$C$3001,$L1000)))</f>
        <v/>
      </c>
      <c r="E1000">
        <f>IF($L1000="","",INDEX(Расчет!$D$2:$D$3001,$L1000))</f>
        <v/>
      </c>
      <c r="F1000">
        <f>IF($L1000="","",INDEX(Расчет!$E$2:$E$3001,$L1000))</f>
        <v/>
      </c>
      <c r="G1000">
        <f>IF($L1000="","",IFERROR(--LEFT(INDEX(Расчет!$C$2:$C$3001,$L1000),FIND("(",INDEX(Расчет!$C$2:$C$3001,$L1000))-1),IFERROR(--LEFT(INDEX(Расчет!$C$2:$C$3001,$L1000),1),"")))</f>
        <v/>
      </c>
      <c r="H1000">
        <f>IF($L1000="","",SUMIFS(Расчет!$G$2:$G$3001,Расчет!$I$2:$I$3001,$K1000,Расчет!$H$2:$H$3001,1))</f>
        <v/>
      </c>
      <c r="I1000">
        <f>IF($L1000="","",SUMIFS(Расчет!$G$2:$G$3001,Расчет!$I$2:$I$3001,$K1000,Расчет!$H$2:$H$3001,2))</f>
        <v/>
      </c>
      <c r="J1000">
        <f>IF($L1000="","",SUMIFS(Расчет!$G$2:$G$3001,Расчет!$I$2:$I$3001,$K1000,Расчет!$H$2:$H$3001,3))</f>
        <v/>
      </c>
      <c r="K1000">
        <f>IF($L1000="","",INDEX(Расчет!$I$2:$I$3001,$L1000))</f>
        <v/>
      </c>
      <c r="L1000">
        <f>IFERROR(MATCH(ROW()-1,Расчет!$J$2:$J$3001,0),"")</f>
        <v/>
      </c>
    </row>
    <row r="1001">
      <c r="A1001">
        <f>IF($L1001="","",B1001&amp;"."&amp;C1001&amp;"-"&amp;D1001&amp;"-"&amp;H1001&amp;"."&amp;I1001&amp;"."&amp;J1001)</f>
        <v/>
      </c>
      <c r="B1001">
        <f>IF($L1001="","",INDEX(Расчет!$A$2:$A$3001,$L1001))</f>
        <v/>
      </c>
      <c r="C1001">
        <f>IF($L1001="","",INDEX(Расчет!$B$2:$B$3001,$L1001))</f>
        <v/>
      </c>
      <c r="D1001">
        <f>IF($L1001="","",IF(ISNUMBER(FIND("(",INDEX(Расчет!$C$2:$C$3001,$L1001))),SUBSTITUTE(MID(INDEX(Расчет!$C$2:$C$3001,$L1001),FIND("(",INDEX(Расчет!$C$2:$C$3001,$L1001))+1,99),")",""),INDEX(Расчет!$C$2:$C$3001,$L1001)))</f>
        <v/>
      </c>
      <c r="E1001">
        <f>IF($L1001="","",INDEX(Расчет!$D$2:$D$3001,$L1001))</f>
        <v/>
      </c>
      <c r="F1001">
        <f>IF($L1001="","",INDEX(Расчет!$E$2:$E$3001,$L1001))</f>
        <v/>
      </c>
      <c r="G1001">
        <f>IF($L1001="","",IFERROR(--LEFT(INDEX(Расчет!$C$2:$C$3001,$L1001),FIND("(",INDEX(Расчет!$C$2:$C$3001,$L1001))-1),IFERROR(--LEFT(INDEX(Расчет!$C$2:$C$3001,$L1001),1),"")))</f>
        <v/>
      </c>
      <c r="H1001">
        <f>IF($L1001="","",SUMIFS(Расчет!$G$2:$G$3001,Расчет!$I$2:$I$3001,$K1001,Расчет!$H$2:$H$3001,1))</f>
        <v/>
      </c>
      <c r="I1001">
        <f>IF($L1001="","",SUMIFS(Расчет!$G$2:$G$3001,Расчет!$I$2:$I$3001,$K1001,Расчет!$H$2:$H$3001,2))</f>
        <v/>
      </c>
      <c r="J1001">
        <f>IF($L1001="","",SUMIFS(Расчет!$G$2:$G$3001,Расчет!$I$2:$I$3001,$K1001,Расчет!$H$2:$H$3001,3))</f>
        <v/>
      </c>
      <c r="K1001">
        <f>IF($L1001="","",INDEX(Расчет!$I$2:$I$3001,$L1001))</f>
        <v/>
      </c>
      <c r="L1001">
        <f>IFERROR(MATCH(ROW()-1,Расчет!$J$2:$J$3001,0),"")</f>
        <v/>
      </c>
    </row>
    <row r="1002">
      <c r="A1002">
        <f>IF($L1002="","",B1002&amp;"."&amp;C1002&amp;"-"&amp;D1002&amp;"-"&amp;H1002&amp;"."&amp;I1002&amp;"."&amp;J1002)</f>
        <v/>
      </c>
      <c r="B1002">
        <f>IF($L1002="","",INDEX(Расчет!$A$2:$A$3001,$L1002))</f>
        <v/>
      </c>
      <c r="C1002">
        <f>IF($L1002="","",INDEX(Расчет!$B$2:$B$3001,$L1002))</f>
        <v/>
      </c>
      <c r="D1002">
        <f>IF($L1002="","",IF(ISNUMBER(FIND("(",INDEX(Расчет!$C$2:$C$3001,$L1002))),SUBSTITUTE(MID(INDEX(Расчет!$C$2:$C$3001,$L1002),FIND("(",INDEX(Расчет!$C$2:$C$3001,$L1002))+1,99),")",""),INDEX(Расчет!$C$2:$C$3001,$L1002)))</f>
        <v/>
      </c>
      <c r="E1002">
        <f>IF($L1002="","",INDEX(Расчет!$D$2:$D$3001,$L1002))</f>
        <v/>
      </c>
      <c r="F1002">
        <f>IF($L1002="","",INDEX(Расчет!$E$2:$E$3001,$L1002))</f>
        <v/>
      </c>
      <c r="G1002">
        <f>IF($L1002="","",IFERROR(--LEFT(INDEX(Расчет!$C$2:$C$3001,$L1002),FIND("(",INDEX(Расчет!$C$2:$C$3001,$L1002))-1),IFERROR(--LEFT(INDEX(Расчет!$C$2:$C$3001,$L1002),1),"")))</f>
        <v/>
      </c>
      <c r="H1002">
        <f>IF($L1002="","",SUMIFS(Расчет!$G$2:$G$3001,Расчет!$I$2:$I$3001,$K1002,Расчет!$H$2:$H$3001,1))</f>
        <v/>
      </c>
      <c r="I1002">
        <f>IF($L1002="","",SUMIFS(Расчет!$G$2:$G$3001,Расчет!$I$2:$I$3001,$K1002,Расчет!$H$2:$H$3001,2))</f>
        <v/>
      </c>
      <c r="J1002">
        <f>IF($L1002="","",SUMIFS(Расчет!$G$2:$G$3001,Расчет!$I$2:$I$3001,$K1002,Расчет!$H$2:$H$3001,3))</f>
        <v/>
      </c>
      <c r="K1002">
        <f>IF($L1002="","",INDEX(Расчет!$I$2:$I$3001,$L1002))</f>
        <v/>
      </c>
      <c r="L1002">
        <f>IFERROR(MATCH(ROW()-1,Расчет!$J$2:$J$3001,0),"")</f>
        <v/>
      </c>
    </row>
    <row r="1003">
      <c r="A1003">
        <f>IF($L1003="","",B1003&amp;"."&amp;C1003&amp;"-"&amp;D1003&amp;"-"&amp;H1003&amp;"."&amp;I1003&amp;"."&amp;J1003)</f>
        <v/>
      </c>
      <c r="B1003">
        <f>IF($L1003="","",INDEX(Расчет!$A$2:$A$3001,$L1003))</f>
        <v/>
      </c>
      <c r="C1003">
        <f>IF($L1003="","",INDEX(Расчет!$B$2:$B$3001,$L1003))</f>
        <v/>
      </c>
      <c r="D1003">
        <f>IF($L1003="","",IF(ISNUMBER(FIND("(",INDEX(Расчет!$C$2:$C$3001,$L1003))),SUBSTITUTE(MID(INDEX(Расчет!$C$2:$C$3001,$L1003),FIND("(",INDEX(Расчет!$C$2:$C$3001,$L1003))+1,99),")",""),INDEX(Расчет!$C$2:$C$3001,$L1003)))</f>
        <v/>
      </c>
      <c r="E1003">
        <f>IF($L1003="","",INDEX(Расчет!$D$2:$D$3001,$L1003))</f>
        <v/>
      </c>
      <c r="F1003">
        <f>IF($L1003="","",INDEX(Расчет!$E$2:$E$3001,$L1003))</f>
        <v/>
      </c>
      <c r="G1003">
        <f>IF($L1003="","",IFERROR(--LEFT(INDEX(Расчет!$C$2:$C$3001,$L1003),FIND("(",INDEX(Расчет!$C$2:$C$3001,$L1003))-1),IFERROR(--LEFT(INDEX(Расчет!$C$2:$C$3001,$L1003),1),"")))</f>
        <v/>
      </c>
      <c r="H1003">
        <f>IF($L1003="","",SUMIFS(Расчет!$G$2:$G$3001,Расчет!$I$2:$I$3001,$K1003,Расчет!$H$2:$H$3001,1))</f>
        <v/>
      </c>
      <c r="I1003">
        <f>IF($L1003="","",SUMIFS(Расчет!$G$2:$G$3001,Расчет!$I$2:$I$3001,$K1003,Расчет!$H$2:$H$3001,2))</f>
        <v/>
      </c>
      <c r="J1003">
        <f>IF($L1003="","",SUMIFS(Расчет!$G$2:$G$3001,Расчет!$I$2:$I$3001,$K1003,Расчет!$H$2:$H$3001,3))</f>
        <v/>
      </c>
      <c r="K1003">
        <f>IF($L1003="","",INDEX(Расчет!$I$2:$I$3001,$L1003))</f>
        <v/>
      </c>
      <c r="L1003">
        <f>IFERROR(MATCH(ROW()-1,Расчет!$J$2:$J$3001,0),"")</f>
        <v/>
      </c>
    </row>
    <row r="1004">
      <c r="A1004">
        <f>IF($L1004="","",B1004&amp;"."&amp;C1004&amp;"-"&amp;D1004&amp;"-"&amp;H1004&amp;"."&amp;I1004&amp;"."&amp;J1004)</f>
        <v/>
      </c>
      <c r="B1004">
        <f>IF($L1004="","",INDEX(Расчет!$A$2:$A$3001,$L1004))</f>
        <v/>
      </c>
      <c r="C1004">
        <f>IF($L1004="","",INDEX(Расчет!$B$2:$B$3001,$L1004))</f>
        <v/>
      </c>
      <c r="D1004">
        <f>IF($L1004="","",IF(ISNUMBER(FIND("(",INDEX(Расчет!$C$2:$C$3001,$L1004))),SUBSTITUTE(MID(INDEX(Расчет!$C$2:$C$3001,$L1004),FIND("(",INDEX(Расчет!$C$2:$C$3001,$L1004))+1,99),")",""),INDEX(Расчет!$C$2:$C$3001,$L1004)))</f>
        <v/>
      </c>
      <c r="E1004">
        <f>IF($L1004="","",INDEX(Расчет!$D$2:$D$3001,$L1004))</f>
        <v/>
      </c>
      <c r="F1004">
        <f>IF($L1004="","",INDEX(Расчет!$E$2:$E$3001,$L1004))</f>
        <v/>
      </c>
      <c r="G1004">
        <f>IF($L1004="","",IFERROR(--LEFT(INDEX(Расчет!$C$2:$C$3001,$L1004),FIND("(",INDEX(Расчет!$C$2:$C$3001,$L1004))-1),IFERROR(--LEFT(INDEX(Расчет!$C$2:$C$3001,$L1004),1),"")))</f>
        <v/>
      </c>
      <c r="H1004">
        <f>IF($L1004="","",SUMIFS(Расчет!$G$2:$G$3001,Расчет!$I$2:$I$3001,$K1004,Расчет!$H$2:$H$3001,1))</f>
        <v/>
      </c>
      <c r="I1004">
        <f>IF($L1004="","",SUMIFS(Расчет!$G$2:$G$3001,Расчет!$I$2:$I$3001,$K1004,Расчет!$H$2:$H$3001,2))</f>
        <v/>
      </c>
      <c r="J1004">
        <f>IF($L1004="","",SUMIFS(Расчет!$G$2:$G$3001,Расчет!$I$2:$I$3001,$K1004,Расчет!$H$2:$H$3001,3))</f>
        <v/>
      </c>
      <c r="K1004">
        <f>IF($L1004="","",INDEX(Расчет!$I$2:$I$3001,$L1004))</f>
        <v/>
      </c>
      <c r="L1004">
        <f>IFERROR(MATCH(ROW()-1,Расчет!$J$2:$J$3001,0),"")</f>
        <v/>
      </c>
    </row>
    <row r="1005">
      <c r="A1005">
        <f>IF($L1005="","",B1005&amp;"."&amp;C1005&amp;"-"&amp;D1005&amp;"-"&amp;H1005&amp;"."&amp;I1005&amp;"."&amp;J1005)</f>
        <v/>
      </c>
      <c r="B1005">
        <f>IF($L1005="","",INDEX(Расчет!$A$2:$A$3001,$L1005))</f>
        <v/>
      </c>
      <c r="C1005">
        <f>IF($L1005="","",INDEX(Расчет!$B$2:$B$3001,$L1005))</f>
        <v/>
      </c>
      <c r="D1005">
        <f>IF($L1005="","",IF(ISNUMBER(FIND("(",INDEX(Расчет!$C$2:$C$3001,$L1005))),SUBSTITUTE(MID(INDEX(Расчет!$C$2:$C$3001,$L1005),FIND("(",INDEX(Расчет!$C$2:$C$3001,$L1005))+1,99),")",""),INDEX(Расчет!$C$2:$C$3001,$L1005)))</f>
        <v/>
      </c>
      <c r="E1005">
        <f>IF($L1005="","",INDEX(Расчет!$D$2:$D$3001,$L1005))</f>
        <v/>
      </c>
      <c r="F1005">
        <f>IF($L1005="","",INDEX(Расчет!$E$2:$E$3001,$L1005))</f>
        <v/>
      </c>
      <c r="G1005">
        <f>IF($L1005="","",IFERROR(--LEFT(INDEX(Расчет!$C$2:$C$3001,$L1005),FIND("(",INDEX(Расчет!$C$2:$C$3001,$L1005))-1),IFERROR(--LEFT(INDEX(Расчет!$C$2:$C$3001,$L1005),1),"")))</f>
        <v/>
      </c>
      <c r="H1005">
        <f>IF($L1005="","",SUMIFS(Расчет!$G$2:$G$3001,Расчет!$I$2:$I$3001,$K1005,Расчет!$H$2:$H$3001,1))</f>
        <v/>
      </c>
      <c r="I1005">
        <f>IF($L1005="","",SUMIFS(Расчет!$G$2:$G$3001,Расчет!$I$2:$I$3001,$K1005,Расчет!$H$2:$H$3001,2))</f>
        <v/>
      </c>
      <c r="J1005">
        <f>IF($L1005="","",SUMIFS(Расчет!$G$2:$G$3001,Расчет!$I$2:$I$3001,$K1005,Расчет!$H$2:$H$3001,3))</f>
        <v/>
      </c>
      <c r="K1005">
        <f>IF($L1005="","",INDEX(Расчет!$I$2:$I$3001,$L1005))</f>
        <v/>
      </c>
      <c r="L1005">
        <f>IFERROR(MATCH(ROW()-1,Расчет!$J$2:$J$3001,0),"")</f>
        <v/>
      </c>
    </row>
    <row r="1006">
      <c r="A1006">
        <f>IF($L1006="","",B1006&amp;"."&amp;C1006&amp;"-"&amp;D1006&amp;"-"&amp;H1006&amp;"."&amp;I1006&amp;"."&amp;J1006)</f>
        <v/>
      </c>
      <c r="B1006">
        <f>IF($L1006="","",INDEX(Расчет!$A$2:$A$3001,$L1006))</f>
        <v/>
      </c>
      <c r="C1006">
        <f>IF($L1006="","",INDEX(Расчет!$B$2:$B$3001,$L1006))</f>
        <v/>
      </c>
      <c r="D1006">
        <f>IF($L1006="","",IF(ISNUMBER(FIND("(",INDEX(Расчет!$C$2:$C$3001,$L1006))),SUBSTITUTE(MID(INDEX(Расчет!$C$2:$C$3001,$L1006),FIND("(",INDEX(Расчет!$C$2:$C$3001,$L1006))+1,99),")",""),INDEX(Расчет!$C$2:$C$3001,$L1006)))</f>
        <v/>
      </c>
      <c r="E1006">
        <f>IF($L1006="","",INDEX(Расчет!$D$2:$D$3001,$L1006))</f>
        <v/>
      </c>
      <c r="F1006">
        <f>IF($L1006="","",INDEX(Расчет!$E$2:$E$3001,$L1006))</f>
        <v/>
      </c>
      <c r="G1006">
        <f>IF($L1006="","",IFERROR(--LEFT(INDEX(Расчет!$C$2:$C$3001,$L1006),FIND("(",INDEX(Расчет!$C$2:$C$3001,$L1006))-1),IFERROR(--LEFT(INDEX(Расчет!$C$2:$C$3001,$L1006),1),"")))</f>
        <v/>
      </c>
      <c r="H1006">
        <f>IF($L1006="","",SUMIFS(Расчет!$G$2:$G$3001,Расчет!$I$2:$I$3001,$K1006,Расчет!$H$2:$H$3001,1))</f>
        <v/>
      </c>
      <c r="I1006">
        <f>IF($L1006="","",SUMIFS(Расчет!$G$2:$G$3001,Расчет!$I$2:$I$3001,$K1006,Расчет!$H$2:$H$3001,2))</f>
        <v/>
      </c>
      <c r="J1006">
        <f>IF($L1006="","",SUMIFS(Расчет!$G$2:$G$3001,Расчет!$I$2:$I$3001,$K1006,Расчет!$H$2:$H$3001,3))</f>
        <v/>
      </c>
      <c r="K1006">
        <f>IF($L1006="","",INDEX(Расчет!$I$2:$I$3001,$L1006))</f>
        <v/>
      </c>
      <c r="L1006">
        <f>IFERROR(MATCH(ROW()-1,Расчет!$J$2:$J$3001,0),"")</f>
        <v/>
      </c>
    </row>
    <row r="1007">
      <c r="A1007">
        <f>IF($L1007="","",B1007&amp;"."&amp;C1007&amp;"-"&amp;D1007&amp;"-"&amp;H1007&amp;"."&amp;I1007&amp;"."&amp;J1007)</f>
        <v/>
      </c>
      <c r="B1007">
        <f>IF($L1007="","",INDEX(Расчет!$A$2:$A$3001,$L1007))</f>
        <v/>
      </c>
      <c r="C1007">
        <f>IF($L1007="","",INDEX(Расчет!$B$2:$B$3001,$L1007))</f>
        <v/>
      </c>
      <c r="D1007">
        <f>IF($L1007="","",IF(ISNUMBER(FIND("(",INDEX(Расчет!$C$2:$C$3001,$L1007))),SUBSTITUTE(MID(INDEX(Расчет!$C$2:$C$3001,$L1007),FIND("(",INDEX(Расчет!$C$2:$C$3001,$L1007))+1,99),")",""),INDEX(Расчет!$C$2:$C$3001,$L1007)))</f>
        <v/>
      </c>
      <c r="E1007">
        <f>IF($L1007="","",INDEX(Расчет!$D$2:$D$3001,$L1007))</f>
        <v/>
      </c>
      <c r="F1007">
        <f>IF($L1007="","",INDEX(Расчет!$E$2:$E$3001,$L1007))</f>
        <v/>
      </c>
      <c r="G1007">
        <f>IF($L1007="","",IFERROR(--LEFT(INDEX(Расчет!$C$2:$C$3001,$L1007),FIND("(",INDEX(Расчет!$C$2:$C$3001,$L1007))-1),IFERROR(--LEFT(INDEX(Расчет!$C$2:$C$3001,$L1007),1),"")))</f>
        <v/>
      </c>
      <c r="H1007">
        <f>IF($L1007="","",SUMIFS(Расчет!$G$2:$G$3001,Расчет!$I$2:$I$3001,$K1007,Расчет!$H$2:$H$3001,1))</f>
        <v/>
      </c>
      <c r="I1007">
        <f>IF($L1007="","",SUMIFS(Расчет!$G$2:$G$3001,Расчет!$I$2:$I$3001,$K1007,Расчет!$H$2:$H$3001,2))</f>
        <v/>
      </c>
      <c r="J1007">
        <f>IF($L1007="","",SUMIFS(Расчет!$G$2:$G$3001,Расчет!$I$2:$I$3001,$K1007,Расчет!$H$2:$H$3001,3))</f>
        <v/>
      </c>
      <c r="K1007">
        <f>IF($L1007="","",INDEX(Расчет!$I$2:$I$3001,$L1007))</f>
        <v/>
      </c>
      <c r="L1007">
        <f>IFERROR(MATCH(ROW()-1,Расчет!$J$2:$J$3001,0),"")</f>
        <v/>
      </c>
    </row>
    <row r="1008">
      <c r="A1008">
        <f>IF($L1008="","",B1008&amp;"."&amp;C1008&amp;"-"&amp;D1008&amp;"-"&amp;H1008&amp;"."&amp;I1008&amp;"."&amp;J1008)</f>
        <v/>
      </c>
      <c r="B1008">
        <f>IF($L1008="","",INDEX(Расчет!$A$2:$A$3001,$L1008))</f>
        <v/>
      </c>
      <c r="C1008">
        <f>IF($L1008="","",INDEX(Расчет!$B$2:$B$3001,$L1008))</f>
        <v/>
      </c>
      <c r="D1008">
        <f>IF($L1008="","",IF(ISNUMBER(FIND("(",INDEX(Расчет!$C$2:$C$3001,$L1008))),SUBSTITUTE(MID(INDEX(Расчет!$C$2:$C$3001,$L1008),FIND("(",INDEX(Расчет!$C$2:$C$3001,$L1008))+1,99),")",""),INDEX(Расчет!$C$2:$C$3001,$L1008)))</f>
        <v/>
      </c>
      <c r="E1008">
        <f>IF($L1008="","",INDEX(Расчет!$D$2:$D$3001,$L1008))</f>
        <v/>
      </c>
      <c r="F1008">
        <f>IF($L1008="","",INDEX(Расчет!$E$2:$E$3001,$L1008))</f>
        <v/>
      </c>
      <c r="G1008">
        <f>IF($L1008="","",IFERROR(--LEFT(INDEX(Расчет!$C$2:$C$3001,$L1008),FIND("(",INDEX(Расчет!$C$2:$C$3001,$L1008))-1),IFERROR(--LEFT(INDEX(Расчет!$C$2:$C$3001,$L1008),1),"")))</f>
        <v/>
      </c>
      <c r="H1008">
        <f>IF($L1008="","",SUMIFS(Расчет!$G$2:$G$3001,Расчет!$I$2:$I$3001,$K1008,Расчет!$H$2:$H$3001,1))</f>
        <v/>
      </c>
      <c r="I1008">
        <f>IF($L1008="","",SUMIFS(Расчет!$G$2:$G$3001,Расчет!$I$2:$I$3001,$K1008,Расчет!$H$2:$H$3001,2))</f>
        <v/>
      </c>
      <c r="J1008">
        <f>IF($L1008="","",SUMIFS(Расчет!$G$2:$G$3001,Расчет!$I$2:$I$3001,$K1008,Расчет!$H$2:$H$3001,3))</f>
        <v/>
      </c>
      <c r="K1008">
        <f>IF($L1008="","",INDEX(Расчет!$I$2:$I$3001,$L1008))</f>
        <v/>
      </c>
      <c r="L1008">
        <f>IFERROR(MATCH(ROW()-1,Расчет!$J$2:$J$3001,0),"")</f>
        <v/>
      </c>
    </row>
    <row r="1009">
      <c r="A1009">
        <f>IF($L1009="","",B1009&amp;"."&amp;C1009&amp;"-"&amp;D1009&amp;"-"&amp;H1009&amp;"."&amp;I1009&amp;"."&amp;J1009)</f>
        <v/>
      </c>
      <c r="B1009">
        <f>IF($L1009="","",INDEX(Расчет!$A$2:$A$3001,$L1009))</f>
        <v/>
      </c>
      <c r="C1009">
        <f>IF($L1009="","",INDEX(Расчет!$B$2:$B$3001,$L1009))</f>
        <v/>
      </c>
      <c r="D1009">
        <f>IF($L1009="","",IF(ISNUMBER(FIND("(",INDEX(Расчет!$C$2:$C$3001,$L1009))),SUBSTITUTE(MID(INDEX(Расчет!$C$2:$C$3001,$L1009),FIND("(",INDEX(Расчет!$C$2:$C$3001,$L1009))+1,99),")",""),INDEX(Расчет!$C$2:$C$3001,$L1009)))</f>
        <v/>
      </c>
      <c r="E1009">
        <f>IF($L1009="","",INDEX(Расчет!$D$2:$D$3001,$L1009))</f>
        <v/>
      </c>
      <c r="F1009">
        <f>IF($L1009="","",INDEX(Расчет!$E$2:$E$3001,$L1009))</f>
        <v/>
      </c>
      <c r="G1009">
        <f>IF($L1009="","",IFERROR(--LEFT(INDEX(Расчет!$C$2:$C$3001,$L1009),FIND("(",INDEX(Расчет!$C$2:$C$3001,$L1009))-1),IFERROR(--LEFT(INDEX(Расчет!$C$2:$C$3001,$L1009),1),"")))</f>
        <v/>
      </c>
      <c r="H1009">
        <f>IF($L1009="","",SUMIFS(Расчет!$G$2:$G$3001,Расчет!$I$2:$I$3001,$K1009,Расчет!$H$2:$H$3001,1))</f>
        <v/>
      </c>
      <c r="I1009">
        <f>IF($L1009="","",SUMIFS(Расчет!$G$2:$G$3001,Расчет!$I$2:$I$3001,$K1009,Расчет!$H$2:$H$3001,2))</f>
        <v/>
      </c>
      <c r="J1009">
        <f>IF($L1009="","",SUMIFS(Расчет!$G$2:$G$3001,Расчет!$I$2:$I$3001,$K1009,Расчет!$H$2:$H$3001,3))</f>
        <v/>
      </c>
      <c r="K1009">
        <f>IF($L1009="","",INDEX(Расчет!$I$2:$I$3001,$L1009))</f>
        <v/>
      </c>
      <c r="L1009">
        <f>IFERROR(MATCH(ROW()-1,Расчет!$J$2:$J$3001,0),"")</f>
        <v/>
      </c>
    </row>
    <row r="1010">
      <c r="A1010">
        <f>IF($L1010="","",B1010&amp;"."&amp;C1010&amp;"-"&amp;D1010&amp;"-"&amp;H1010&amp;"."&amp;I1010&amp;"."&amp;J1010)</f>
        <v/>
      </c>
      <c r="B1010">
        <f>IF($L1010="","",INDEX(Расчет!$A$2:$A$3001,$L1010))</f>
        <v/>
      </c>
      <c r="C1010">
        <f>IF($L1010="","",INDEX(Расчет!$B$2:$B$3001,$L1010))</f>
        <v/>
      </c>
      <c r="D1010">
        <f>IF($L1010="","",IF(ISNUMBER(FIND("(",INDEX(Расчет!$C$2:$C$3001,$L1010))),SUBSTITUTE(MID(INDEX(Расчет!$C$2:$C$3001,$L1010),FIND("(",INDEX(Расчет!$C$2:$C$3001,$L1010))+1,99),")",""),INDEX(Расчет!$C$2:$C$3001,$L1010)))</f>
        <v/>
      </c>
      <c r="E1010">
        <f>IF($L1010="","",INDEX(Расчет!$D$2:$D$3001,$L1010))</f>
        <v/>
      </c>
      <c r="F1010">
        <f>IF($L1010="","",INDEX(Расчет!$E$2:$E$3001,$L1010))</f>
        <v/>
      </c>
      <c r="G1010">
        <f>IF($L1010="","",IFERROR(--LEFT(INDEX(Расчет!$C$2:$C$3001,$L1010),FIND("(",INDEX(Расчет!$C$2:$C$3001,$L1010))-1),IFERROR(--LEFT(INDEX(Расчет!$C$2:$C$3001,$L1010),1),"")))</f>
        <v/>
      </c>
      <c r="H1010">
        <f>IF($L1010="","",SUMIFS(Расчет!$G$2:$G$3001,Расчет!$I$2:$I$3001,$K1010,Расчет!$H$2:$H$3001,1))</f>
        <v/>
      </c>
      <c r="I1010">
        <f>IF($L1010="","",SUMIFS(Расчет!$G$2:$G$3001,Расчет!$I$2:$I$3001,$K1010,Расчет!$H$2:$H$3001,2))</f>
        <v/>
      </c>
      <c r="J1010">
        <f>IF($L1010="","",SUMIFS(Расчет!$G$2:$G$3001,Расчет!$I$2:$I$3001,$K1010,Расчет!$H$2:$H$3001,3))</f>
        <v/>
      </c>
      <c r="K1010">
        <f>IF($L1010="","",INDEX(Расчет!$I$2:$I$3001,$L1010))</f>
        <v/>
      </c>
      <c r="L1010">
        <f>IFERROR(MATCH(ROW()-1,Расчет!$J$2:$J$3001,0),"")</f>
        <v/>
      </c>
    </row>
    <row r="1011">
      <c r="A1011">
        <f>IF($L1011="","",B1011&amp;"."&amp;C1011&amp;"-"&amp;D1011&amp;"-"&amp;H1011&amp;"."&amp;I1011&amp;"."&amp;J1011)</f>
        <v/>
      </c>
      <c r="B1011">
        <f>IF($L1011="","",INDEX(Расчет!$A$2:$A$3001,$L1011))</f>
        <v/>
      </c>
      <c r="C1011">
        <f>IF($L1011="","",INDEX(Расчет!$B$2:$B$3001,$L1011))</f>
        <v/>
      </c>
      <c r="D1011">
        <f>IF($L1011="","",IF(ISNUMBER(FIND("(",INDEX(Расчет!$C$2:$C$3001,$L1011))),SUBSTITUTE(MID(INDEX(Расчет!$C$2:$C$3001,$L1011),FIND("(",INDEX(Расчет!$C$2:$C$3001,$L1011))+1,99),")",""),INDEX(Расчет!$C$2:$C$3001,$L1011)))</f>
        <v/>
      </c>
      <c r="E1011">
        <f>IF($L1011="","",INDEX(Расчет!$D$2:$D$3001,$L1011))</f>
        <v/>
      </c>
      <c r="F1011">
        <f>IF($L1011="","",INDEX(Расчет!$E$2:$E$3001,$L1011))</f>
        <v/>
      </c>
      <c r="G1011">
        <f>IF($L1011="","",IFERROR(--LEFT(INDEX(Расчет!$C$2:$C$3001,$L1011),FIND("(",INDEX(Расчет!$C$2:$C$3001,$L1011))-1),IFERROR(--LEFT(INDEX(Расчет!$C$2:$C$3001,$L1011),1),"")))</f>
        <v/>
      </c>
      <c r="H1011">
        <f>IF($L1011="","",SUMIFS(Расчет!$G$2:$G$3001,Расчет!$I$2:$I$3001,$K1011,Расчет!$H$2:$H$3001,1))</f>
        <v/>
      </c>
      <c r="I1011">
        <f>IF($L1011="","",SUMIFS(Расчет!$G$2:$G$3001,Расчет!$I$2:$I$3001,$K1011,Расчет!$H$2:$H$3001,2))</f>
        <v/>
      </c>
      <c r="J1011">
        <f>IF($L1011="","",SUMIFS(Расчет!$G$2:$G$3001,Расчет!$I$2:$I$3001,$K1011,Расчет!$H$2:$H$3001,3))</f>
        <v/>
      </c>
      <c r="K1011">
        <f>IF($L1011="","",INDEX(Расчет!$I$2:$I$3001,$L1011))</f>
        <v/>
      </c>
      <c r="L1011">
        <f>IFERROR(MATCH(ROW()-1,Расчет!$J$2:$J$3001,0),"")</f>
        <v/>
      </c>
    </row>
    <row r="1012">
      <c r="A1012">
        <f>IF($L1012="","",B1012&amp;"."&amp;C1012&amp;"-"&amp;D1012&amp;"-"&amp;H1012&amp;"."&amp;I1012&amp;"."&amp;J1012)</f>
        <v/>
      </c>
      <c r="B1012">
        <f>IF($L1012="","",INDEX(Расчет!$A$2:$A$3001,$L1012))</f>
        <v/>
      </c>
      <c r="C1012">
        <f>IF($L1012="","",INDEX(Расчет!$B$2:$B$3001,$L1012))</f>
        <v/>
      </c>
      <c r="D1012">
        <f>IF($L1012="","",IF(ISNUMBER(FIND("(",INDEX(Расчет!$C$2:$C$3001,$L1012))),SUBSTITUTE(MID(INDEX(Расчет!$C$2:$C$3001,$L1012),FIND("(",INDEX(Расчет!$C$2:$C$3001,$L1012))+1,99),")",""),INDEX(Расчет!$C$2:$C$3001,$L1012)))</f>
        <v/>
      </c>
      <c r="E1012">
        <f>IF($L1012="","",INDEX(Расчет!$D$2:$D$3001,$L1012))</f>
        <v/>
      </c>
      <c r="F1012">
        <f>IF($L1012="","",INDEX(Расчет!$E$2:$E$3001,$L1012))</f>
        <v/>
      </c>
      <c r="G1012">
        <f>IF($L1012="","",IFERROR(--LEFT(INDEX(Расчет!$C$2:$C$3001,$L1012),FIND("(",INDEX(Расчет!$C$2:$C$3001,$L1012))-1),IFERROR(--LEFT(INDEX(Расчет!$C$2:$C$3001,$L1012),1),"")))</f>
        <v/>
      </c>
      <c r="H1012">
        <f>IF($L1012="","",SUMIFS(Расчет!$G$2:$G$3001,Расчет!$I$2:$I$3001,$K1012,Расчет!$H$2:$H$3001,1))</f>
        <v/>
      </c>
      <c r="I1012">
        <f>IF($L1012="","",SUMIFS(Расчет!$G$2:$G$3001,Расчет!$I$2:$I$3001,$K1012,Расчет!$H$2:$H$3001,2))</f>
        <v/>
      </c>
      <c r="J1012">
        <f>IF($L1012="","",SUMIFS(Расчет!$G$2:$G$3001,Расчет!$I$2:$I$3001,$K1012,Расчет!$H$2:$H$3001,3))</f>
        <v/>
      </c>
      <c r="K1012">
        <f>IF($L1012="","",INDEX(Расчет!$I$2:$I$3001,$L1012))</f>
        <v/>
      </c>
      <c r="L1012">
        <f>IFERROR(MATCH(ROW()-1,Расчет!$J$2:$J$3001,0),"")</f>
        <v/>
      </c>
    </row>
    <row r="1013">
      <c r="A1013">
        <f>IF($L1013="","",B1013&amp;"."&amp;C1013&amp;"-"&amp;D1013&amp;"-"&amp;H1013&amp;"."&amp;I1013&amp;"."&amp;J1013)</f>
        <v/>
      </c>
      <c r="B1013">
        <f>IF($L1013="","",INDEX(Расчет!$A$2:$A$3001,$L1013))</f>
        <v/>
      </c>
      <c r="C1013">
        <f>IF($L1013="","",INDEX(Расчет!$B$2:$B$3001,$L1013))</f>
        <v/>
      </c>
      <c r="D1013">
        <f>IF($L1013="","",IF(ISNUMBER(FIND("(",INDEX(Расчет!$C$2:$C$3001,$L1013))),SUBSTITUTE(MID(INDEX(Расчет!$C$2:$C$3001,$L1013),FIND("(",INDEX(Расчет!$C$2:$C$3001,$L1013))+1,99),")",""),INDEX(Расчет!$C$2:$C$3001,$L1013)))</f>
        <v/>
      </c>
      <c r="E1013">
        <f>IF($L1013="","",INDEX(Расчет!$D$2:$D$3001,$L1013))</f>
        <v/>
      </c>
      <c r="F1013">
        <f>IF($L1013="","",INDEX(Расчет!$E$2:$E$3001,$L1013))</f>
        <v/>
      </c>
      <c r="G1013">
        <f>IF($L1013="","",IFERROR(--LEFT(INDEX(Расчет!$C$2:$C$3001,$L1013),FIND("(",INDEX(Расчет!$C$2:$C$3001,$L1013))-1),IFERROR(--LEFT(INDEX(Расчет!$C$2:$C$3001,$L1013),1),"")))</f>
        <v/>
      </c>
      <c r="H1013">
        <f>IF($L1013="","",SUMIFS(Расчет!$G$2:$G$3001,Расчет!$I$2:$I$3001,$K1013,Расчет!$H$2:$H$3001,1))</f>
        <v/>
      </c>
      <c r="I1013">
        <f>IF($L1013="","",SUMIFS(Расчет!$G$2:$G$3001,Расчет!$I$2:$I$3001,$K1013,Расчет!$H$2:$H$3001,2))</f>
        <v/>
      </c>
      <c r="J1013">
        <f>IF($L1013="","",SUMIFS(Расчет!$G$2:$G$3001,Расчет!$I$2:$I$3001,$K1013,Расчет!$H$2:$H$3001,3))</f>
        <v/>
      </c>
      <c r="K1013">
        <f>IF($L1013="","",INDEX(Расчет!$I$2:$I$3001,$L1013))</f>
        <v/>
      </c>
      <c r="L1013">
        <f>IFERROR(MATCH(ROW()-1,Расчет!$J$2:$J$3001,0),"")</f>
        <v/>
      </c>
    </row>
    <row r="1014">
      <c r="A1014">
        <f>IF($L1014="","",B1014&amp;"."&amp;C1014&amp;"-"&amp;D1014&amp;"-"&amp;H1014&amp;"."&amp;I1014&amp;"."&amp;J1014)</f>
        <v/>
      </c>
      <c r="B1014">
        <f>IF($L1014="","",INDEX(Расчет!$A$2:$A$3001,$L1014))</f>
        <v/>
      </c>
      <c r="C1014">
        <f>IF($L1014="","",INDEX(Расчет!$B$2:$B$3001,$L1014))</f>
        <v/>
      </c>
      <c r="D1014">
        <f>IF($L1014="","",IF(ISNUMBER(FIND("(",INDEX(Расчет!$C$2:$C$3001,$L1014))),SUBSTITUTE(MID(INDEX(Расчет!$C$2:$C$3001,$L1014),FIND("(",INDEX(Расчет!$C$2:$C$3001,$L1014))+1,99),")",""),INDEX(Расчет!$C$2:$C$3001,$L1014)))</f>
        <v/>
      </c>
      <c r="E1014">
        <f>IF($L1014="","",INDEX(Расчет!$D$2:$D$3001,$L1014))</f>
        <v/>
      </c>
      <c r="F1014">
        <f>IF($L1014="","",INDEX(Расчет!$E$2:$E$3001,$L1014))</f>
        <v/>
      </c>
      <c r="G1014">
        <f>IF($L1014="","",IFERROR(--LEFT(INDEX(Расчет!$C$2:$C$3001,$L1014),FIND("(",INDEX(Расчет!$C$2:$C$3001,$L1014))-1),IFERROR(--LEFT(INDEX(Расчет!$C$2:$C$3001,$L1014),1),"")))</f>
        <v/>
      </c>
      <c r="H1014">
        <f>IF($L1014="","",SUMIFS(Расчет!$G$2:$G$3001,Расчет!$I$2:$I$3001,$K1014,Расчет!$H$2:$H$3001,1))</f>
        <v/>
      </c>
      <c r="I1014">
        <f>IF($L1014="","",SUMIFS(Расчет!$G$2:$G$3001,Расчет!$I$2:$I$3001,$K1014,Расчет!$H$2:$H$3001,2))</f>
        <v/>
      </c>
      <c r="J1014">
        <f>IF($L1014="","",SUMIFS(Расчет!$G$2:$G$3001,Расчет!$I$2:$I$3001,$K1014,Расчет!$H$2:$H$3001,3))</f>
        <v/>
      </c>
      <c r="K1014">
        <f>IF($L1014="","",INDEX(Расчет!$I$2:$I$3001,$L1014))</f>
        <v/>
      </c>
      <c r="L1014">
        <f>IFERROR(MATCH(ROW()-1,Расчет!$J$2:$J$3001,0),"")</f>
        <v/>
      </c>
    </row>
    <row r="1015">
      <c r="A1015">
        <f>IF($L1015="","",B1015&amp;"."&amp;C1015&amp;"-"&amp;D1015&amp;"-"&amp;H1015&amp;"."&amp;I1015&amp;"."&amp;J1015)</f>
        <v/>
      </c>
      <c r="B1015">
        <f>IF($L1015="","",INDEX(Расчет!$A$2:$A$3001,$L1015))</f>
        <v/>
      </c>
      <c r="C1015">
        <f>IF($L1015="","",INDEX(Расчет!$B$2:$B$3001,$L1015))</f>
        <v/>
      </c>
      <c r="D1015">
        <f>IF($L1015="","",IF(ISNUMBER(FIND("(",INDEX(Расчет!$C$2:$C$3001,$L1015))),SUBSTITUTE(MID(INDEX(Расчет!$C$2:$C$3001,$L1015),FIND("(",INDEX(Расчет!$C$2:$C$3001,$L1015))+1,99),")",""),INDEX(Расчет!$C$2:$C$3001,$L1015)))</f>
        <v/>
      </c>
      <c r="E1015">
        <f>IF($L1015="","",INDEX(Расчет!$D$2:$D$3001,$L1015))</f>
        <v/>
      </c>
      <c r="F1015">
        <f>IF($L1015="","",INDEX(Расчет!$E$2:$E$3001,$L1015))</f>
        <v/>
      </c>
      <c r="G1015">
        <f>IF($L1015="","",IFERROR(--LEFT(INDEX(Расчет!$C$2:$C$3001,$L1015),FIND("(",INDEX(Расчет!$C$2:$C$3001,$L1015))-1),IFERROR(--LEFT(INDEX(Расчет!$C$2:$C$3001,$L1015),1),"")))</f>
        <v/>
      </c>
      <c r="H1015">
        <f>IF($L1015="","",SUMIFS(Расчет!$G$2:$G$3001,Расчет!$I$2:$I$3001,$K1015,Расчет!$H$2:$H$3001,1))</f>
        <v/>
      </c>
      <c r="I1015">
        <f>IF($L1015="","",SUMIFS(Расчет!$G$2:$G$3001,Расчет!$I$2:$I$3001,$K1015,Расчет!$H$2:$H$3001,2))</f>
        <v/>
      </c>
      <c r="J1015">
        <f>IF($L1015="","",SUMIFS(Расчет!$G$2:$G$3001,Расчет!$I$2:$I$3001,$K1015,Расчет!$H$2:$H$3001,3))</f>
        <v/>
      </c>
      <c r="K1015">
        <f>IF($L1015="","",INDEX(Расчет!$I$2:$I$3001,$L1015))</f>
        <v/>
      </c>
      <c r="L1015">
        <f>IFERROR(MATCH(ROW()-1,Расчет!$J$2:$J$3001,0),"")</f>
        <v/>
      </c>
    </row>
    <row r="1016">
      <c r="A1016">
        <f>IF($L1016="","",B1016&amp;"."&amp;C1016&amp;"-"&amp;D1016&amp;"-"&amp;H1016&amp;"."&amp;I1016&amp;"."&amp;J1016)</f>
        <v/>
      </c>
      <c r="B1016">
        <f>IF($L1016="","",INDEX(Расчет!$A$2:$A$3001,$L1016))</f>
        <v/>
      </c>
      <c r="C1016">
        <f>IF($L1016="","",INDEX(Расчет!$B$2:$B$3001,$L1016))</f>
        <v/>
      </c>
      <c r="D1016">
        <f>IF($L1016="","",IF(ISNUMBER(FIND("(",INDEX(Расчет!$C$2:$C$3001,$L1016))),SUBSTITUTE(MID(INDEX(Расчет!$C$2:$C$3001,$L1016),FIND("(",INDEX(Расчет!$C$2:$C$3001,$L1016))+1,99),")",""),INDEX(Расчет!$C$2:$C$3001,$L1016)))</f>
        <v/>
      </c>
      <c r="E1016">
        <f>IF($L1016="","",INDEX(Расчет!$D$2:$D$3001,$L1016))</f>
        <v/>
      </c>
      <c r="F1016">
        <f>IF($L1016="","",INDEX(Расчет!$E$2:$E$3001,$L1016))</f>
        <v/>
      </c>
      <c r="G1016">
        <f>IF($L1016="","",IFERROR(--LEFT(INDEX(Расчет!$C$2:$C$3001,$L1016),FIND("(",INDEX(Расчет!$C$2:$C$3001,$L1016))-1),IFERROR(--LEFT(INDEX(Расчет!$C$2:$C$3001,$L1016),1),"")))</f>
        <v/>
      </c>
      <c r="H1016">
        <f>IF($L1016="","",SUMIFS(Расчет!$G$2:$G$3001,Расчет!$I$2:$I$3001,$K1016,Расчет!$H$2:$H$3001,1))</f>
        <v/>
      </c>
      <c r="I1016">
        <f>IF($L1016="","",SUMIFS(Расчет!$G$2:$G$3001,Расчет!$I$2:$I$3001,$K1016,Расчет!$H$2:$H$3001,2))</f>
        <v/>
      </c>
      <c r="J1016">
        <f>IF($L1016="","",SUMIFS(Расчет!$G$2:$G$3001,Расчет!$I$2:$I$3001,$K1016,Расчет!$H$2:$H$3001,3))</f>
        <v/>
      </c>
      <c r="K1016">
        <f>IF($L1016="","",INDEX(Расчет!$I$2:$I$3001,$L1016))</f>
        <v/>
      </c>
      <c r="L1016">
        <f>IFERROR(MATCH(ROW()-1,Расчет!$J$2:$J$3001,0),"")</f>
        <v/>
      </c>
    </row>
    <row r="1017">
      <c r="A1017">
        <f>IF($L1017="","",B1017&amp;"."&amp;C1017&amp;"-"&amp;D1017&amp;"-"&amp;H1017&amp;"."&amp;I1017&amp;"."&amp;J1017)</f>
        <v/>
      </c>
      <c r="B1017">
        <f>IF($L1017="","",INDEX(Расчет!$A$2:$A$3001,$L1017))</f>
        <v/>
      </c>
      <c r="C1017">
        <f>IF($L1017="","",INDEX(Расчет!$B$2:$B$3001,$L1017))</f>
        <v/>
      </c>
      <c r="D1017">
        <f>IF($L1017="","",IF(ISNUMBER(FIND("(",INDEX(Расчет!$C$2:$C$3001,$L1017))),SUBSTITUTE(MID(INDEX(Расчет!$C$2:$C$3001,$L1017),FIND("(",INDEX(Расчет!$C$2:$C$3001,$L1017))+1,99),")",""),INDEX(Расчет!$C$2:$C$3001,$L1017)))</f>
        <v/>
      </c>
      <c r="E1017">
        <f>IF($L1017="","",INDEX(Расчет!$D$2:$D$3001,$L1017))</f>
        <v/>
      </c>
      <c r="F1017">
        <f>IF($L1017="","",INDEX(Расчет!$E$2:$E$3001,$L1017))</f>
        <v/>
      </c>
      <c r="G1017">
        <f>IF($L1017="","",IFERROR(--LEFT(INDEX(Расчет!$C$2:$C$3001,$L1017),FIND("(",INDEX(Расчет!$C$2:$C$3001,$L1017))-1),IFERROR(--LEFT(INDEX(Расчет!$C$2:$C$3001,$L1017),1),"")))</f>
        <v/>
      </c>
      <c r="H1017">
        <f>IF($L1017="","",SUMIFS(Расчет!$G$2:$G$3001,Расчет!$I$2:$I$3001,$K1017,Расчет!$H$2:$H$3001,1))</f>
        <v/>
      </c>
      <c r="I1017">
        <f>IF($L1017="","",SUMIFS(Расчет!$G$2:$G$3001,Расчет!$I$2:$I$3001,$K1017,Расчет!$H$2:$H$3001,2))</f>
        <v/>
      </c>
      <c r="J1017">
        <f>IF($L1017="","",SUMIFS(Расчет!$G$2:$G$3001,Расчет!$I$2:$I$3001,$K1017,Расчет!$H$2:$H$3001,3))</f>
        <v/>
      </c>
      <c r="K1017">
        <f>IF($L1017="","",INDEX(Расчет!$I$2:$I$3001,$L1017))</f>
        <v/>
      </c>
      <c r="L1017">
        <f>IFERROR(MATCH(ROW()-1,Расчет!$J$2:$J$3001,0),"")</f>
        <v/>
      </c>
    </row>
    <row r="1018">
      <c r="A1018">
        <f>IF($L1018="","",B1018&amp;"."&amp;C1018&amp;"-"&amp;D1018&amp;"-"&amp;H1018&amp;"."&amp;I1018&amp;"."&amp;J1018)</f>
        <v/>
      </c>
      <c r="B1018">
        <f>IF($L1018="","",INDEX(Расчет!$A$2:$A$3001,$L1018))</f>
        <v/>
      </c>
      <c r="C1018">
        <f>IF($L1018="","",INDEX(Расчет!$B$2:$B$3001,$L1018))</f>
        <v/>
      </c>
      <c r="D1018">
        <f>IF($L1018="","",IF(ISNUMBER(FIND("(",INDEX(Расчет!$C$2:$C$3001,$L1018))),SUBSTITUTE(MID(INDEX(Расчет!$C$2:$C$3001,$L1018),FIND("(",INDEX(Расчет!$C$2:$C$3001,$L1018))+1,99),")",""),INDEX(Расчет!$C$2:$C$3001,$L1018)))</f>
        <v/>
      </c>
      <c r="E1018">
        <f>IF($L1018="","",INDEX(Расчет!$D$2:$D$3001,$L1018))</f>
        <v/>
      </c>
      <c r="F1018">
        <f>IF($L1018="","",INDEX(Расчет!$E$2:$E$3001,$L1018))</f>
        <v/>
      </c>
      <c r="G1018">
        <f>IF($L1018="","",IFERROR(--LEFT(INDEX(Расчет!$C$2:$C$3001,$L1018),FIND("(",INDEX(Расчет!$C$2:$C$3001,$L1018))-1),IFERROR(--LEFT(INDEX(Расчет!$C$2:$C$3001,$L1018),1),"")))</f>
        <v/>
      </c>
      <c r="H1018">
        <f>IF($L1018="","",SUMIFS(Расчет!$G$2:$G$3001,Расчет!$I$2:$I$3001,$K1018,Расчет!$H$2:$H$3001,1))</f>
        <v/>
      </c>
      <c r="I1018">
        <f>IF($L1018="","",SUMIFS(Расчет!$G$2:$G$3001,Расчет!$I$2:$I$3001,$K1018,Расчет!$H$2:$H$3001,2))</f>
        <v/>
      </c>
      <c r="J1018">
        <f>IF($L1018="","",SUMIFS(Расчет!$G$2:$G$3001,Расчет!$I$2:$I$3001,$K1018,Расчет!$H$2:$H$3001,3))</f>
        <v/>
      </c>
      <c r="K1018">
        <f>IF($L1018="","",INDEX(Расчет!$I$2:$I$3001,$L1018))</f>
        <v/>
      </c>
      <c r="L1018">
        <f>IFERROR(MATCH(ROW()-1,Расчет!$J$2:$J$3001,0),"")</f>
        <v/>
      </c>
    </row>
    <row r="1019">
      <c r="A1019">
        <f>IF($L1019="","",B1019&amp;"."&amp;C1019&amp;"-"&amp;D1019&amp;"-"&amp;H1019&amp;"."&amp;I1019&amp;"."&amp;J1019)</f>
        <v/>
      </c>
      <c r="B1019">
        <f>IF($L1019="","",INDEX(Расчет!$A$2:$A$3001,$L1019))</f>
        <v/>
      </c>
      <c r="C1019">
        <f>IF($L1019="","",INDEX(Расчет!$B$2:$B$3001,$L1019))</f>
        <v/>
      </c>
      <c r="D1019">
        <f>IF($L1019="","",IF(ISNUMBER(FIND("(",INDEX(Расчет!$C$2:$C$3001,$L1019))),SUBSTITUTE(MID(INDEX(Расчет!$C$2:$C$3001,$L1019),FIND("(",INDEX(Расчет!$C$2:$C$3001,$L1019))+1,99),")",""),INDEX(Расчет!$C$2:$C$3001,$L1019)))</f>
        <v/>
      </c>
      <c r="E1019">
        <f>IF($L1019="","",INDEX(Расчет!$D$2:$D$3001,$L1019))</f>
        <v/>
      </c>
      <c r="F1019">
        <f>IF($L1019="","",INDEX(Расчет!$E$2:$E$3001,$L1019))</f>
        <v/>
      </c>
      <c r="G1019">
        <f>IF($L1019="","",IFERROR(--LEFT(INDEX(Расчет!$C$2:$C$3001,$L1019),FIND("(",INDEX(Расчет!$C$2:$C$3001,$L1019))-1),IFERROR(--LEFT(INDEX(Расчет!$C$2:$C$3001,$L1019),1),"")))</f>
        <v/>
      </c>
      <c r="H1019">
        <f>IF($L1019="","",SUMIFS(Расчет!$G$2:$G$3001,Расчет!$I$2:$I$3001,$K1019,Расчет!$H$2:$H$3001,1))</f>
        <v/>
      </c>
      <c r="I1019">
        <f>IF($L1019="","",SUMIFS(Расчет!$G$2:$G$3001,Расчет!$I$2:$I$3001,$K1019,Расчет!$H$2:$H$3001,2))</f>
        <v/>
      </c>
      <c r="J1019">
        <f>IF($L1019="","",SUMIFS(Расчет!$G$2:$G$3001,Расчет!$I$2:$I$3001,$K1019,Расчет!$H$2:$H$3001,3))</f>
        <v/>
      </c>
      <c r="K1019">
        <f>IF($L1019="","",INDEX(Расчет!$I$2:$I$3001,$L1019))</f>
        <v/>
      </c>
      <c r="L1019">
        <f>IFERROR(MATCH(ROW()-1,Расчет!$J$2:$J$3001,0),"")</f>
        <v/>
      </c>
    </row>
    <row r="1020">
      <c r="A1020">
        <f>IF($L1020="","",B1020&amp;"."&amp;C1020&amp;"-"&amp;D1020&amp;"-"&amp;H1020&amp;"."&amp;I1020&amp;"."&amp;J1020)</f>
        <v/>
      </c>
      <c r="B1020">
        <f>IF($L1020="","",INDEX(Расчет!$A$2:$A$3001,$L1020))</f>
        <v/>
      </c>
      <c r="C1020">
        <f>IF($L1020="","",INDEX(Расчет!$B$2:$B$3001,$L1020))</f>
        <v/>
      </c>
      <c r="D1020">
        <f>IF($L1020="","",IF(ISNUMBER(FIND("(",INDEX(Расчет!$C$2:$C$3001,$L1020))),SUBSTITUTE(MID(INDEX(Расчет!$C$2:$C$3001,$L1020),FIND("(",INDEX(Расчет!$C$2:$C$3001,$L1020))+1,99),")",""),INDEX(Расчет!$C$2:$C$3001,$L1020)))</f>
        <v/>
      </c>
      <c r="E1020">
        <f>IF($L1020="","",INDEX(Расчет!$D$2:$D$3001,$L1020))</f>
        <v/>
      </c>
      <c r="F1020">
        <f>IF($L1020="","",INDEX(Расчет!$E$2:$E$3001,$L1020))</f>
        <v/>
      </c>
      <c r="G1020">
        <f>IF($L1020="","",IFERROR(--LEFT(INDEX(Расчет!$C$2:$C$3001,$L1020),FIND("(",INDEX(Расчет!$C$2:$C$3001,$L1020))-1),IFERROR(--LEFT(INDEX(Расчет!$C$2:$C$3001,$L1020),1),"")))</f>
        <v/>
      </c>
      <c r="H1020">
        <f>IF($L1020="","",SUMIFS(Расчет!$G$2:$G$3001,Расчет!$I$2:$I$3001,$K1020,Расчет!$H$2:$H$3001,1))</f>
        <v/>
      </c>
      <c r="I1020">
        <f>IF($L1020="","",SUMIFS(Расчет!$G$2:$G$3001,Расчет!$I$2:$I$3001,$K1020,Расчет!$H$2:$H$3001,2))</f>
        <v/>
      </c>
      <c r="J1020">
        <f>IF($L1020="","",SUMIFS(Расчет!$G$2:$G$3001,Расчет!$I$2:$I$3001,$K1020,Расчет!$H$2:$H$3001,3))</f>
        <v/>
      </c>
      <c r="K1020">
        <f>IF($L1020="","",INDEX(Расчет!$I$2:$I$3001,$L1020))</f>
        <v/>
      </c>
      <c r="L1020">
        <f>IFERROR(MATCH(ROW()-1,Расчет!$J$2:$J$3001,0),"")</f>
        <v/>
      </c>
    </row>
    <row r="1021">
      <c r="A1021">
        <f>IF($L1021="","",B1021&amp;"."&amp;C1021&amp;"-"&amp;D1021&amp;"-"&amp;H1021&amp;"."&amp;I1021&amp;"."&amp;J1021)</f>
        <v/>
      </c>
      <c r="B1021">
        <f>IF($L1021="","",INDEX(Расчет!$A$2:$A$3001,$L1021))</f>
        <v/>
      </c>
      <c r="C1021">
        <f>IF($L1021="","",INDEX(Расчет!$B$2:$B$3001,$L1021))</f>
        <v/>
      </c>
      <c r="D1021">
        <f>IF($L1021="","",IF(ISNUMBER(FIND("(",INDEX(Расчет!$C$2:$C$3001,$L1021))),SUBSTITUTE(MID(INDEX(Расчет!$C$2:$C$3001,$L1021),FIND("(",INDEX(Расчет!$C$2:$C$3001,$L1021))+1,99),")",""),INDEX(Расчет!$C$2:$C$3001,$L1021)))</f>
        <v/>
      </c>
      <c r="E1021">
        <f>IF($L1021="","",INDEX(Расчет!$D$2:$D$3001,$L1021))</f>
        <v/>
      </c>
      <c r="F1021">
        <f>IF($L1021="","",INDEX(Расчет!$E$2:$E$3001,$L1021))</f>
        <v/>
      </c>
      <c r="G1021">
        <f>IF($L1021="","",IFERROR(--LEFT(INDEX(Расчет!$C$2:$C$3001,$L1021),FIND("(",INDEX(Расчет!$C$2:$C$3001,$L1021))-1),IFERROR(--LEFT(INDEX(Расчет!$C$2:$C$3001,$L1021),1),"")))</f>
        <v/>
      </c>
      <c r="H1021">
        <f>IF($L1021="","",SUMIFS(Расчет!$G$2:$G$3001,Расчет!$I$2:$I$3001,$K1021,Расчет!$H$2:$H$3001,1))</f>
        <v/>
      </c>
      <c r="I1021">
        <f>IF($L1021="","",SUMIFS(Расчет!$G$2:$G$3001,Расчет!$I$2:$I$3001,$K1021,Расчет!$H$2:$H$3001,2))</f>
        <v/>
      </c>
      <c r="J1021">
        <f>IF($L1021="","",SUMIFS(Расчет!$G$2:$G$3001,Расчет!$I$2:$I$3001,$K1021,Расчет!$H$2:$H$3001,3))</f>
        <v/>
      </c>
      <c r="K1021">
        <f>IF($L1021="","",INDEX(Расчет!$I$2:$I$3001,$L1021))</f>
        <v/>
      </c>
      <c r="L1021">
        <f>IFERROR(MATCH(ROW()-1,Расчет!$J$2:$J$3001,0),"")</f>
        <v/>
      </c>
    </row>
    <row r="1022">
      <c r="A1022">
        <f>IF($L1022="","",B1022&amp;"."&amp;C1022&amp;"-"&amp;D1022&amp;"-"&amp;H1022&amp;"."&amp;I1022&amp;"."&amp;J1022)</f>
        <v/>
      </c>
      <c r="B1022">
        <f>IF($L1022="","",INDEX(Расчет!$A$2:$A$3001,$L1022))</f>
        <v/>
      </c>
      <c r="C1022">
        <f>IF($L1022="","",INDEX(Расчет!$B$2:$B$3001,$L1022))</f>
        <v/>
      </c>
      <c r="D1022">
        <f>IF($L1022="","",IF(ISNUMBER(FIND("(",INDEX(Расчет!$C$2:$C$3001,$L1022))),SUBSTITUTE(MID(INDEX(Расчет!$C$2:$C$3001,$L1022),FIND("(",INDEX(Расчет!$C$2:$C$3001,$L1022))+1,99),")",""),INDEX(Расчет!$C$2:$C$3001,$L1022)))</f>
        <v/>
      </c>
      <c r="E1022">
        <f>IF($L1022="","",INDEX(Расчет!$D$2:$D$3001,$L1022))</f>
        <v/>
      </c>
      <c r="F1022">
        <f>IF($L1022="","",INDEX(Расчет!$E$2:$E$3001,$L1022))</f>
        <v/>
      </c>
      <c r="G1022">
        <f>IF($L1022="","",IFERROR(--LEFT(INDEX(Расчет!$C$2:$C$3001,$L1022),FIND("(",INDEX(Расчет!$C$2:$C$3001,$L1022))-1),IFERROR(--LEFT(INDEX(Расчет!$C$2:$C$3001,$L1022),1),"")))</f>
        <v/>
      </c>
      <c r="H1022">
        <f>IF($L1022="","",SUMIFS(Расчет!$G$2:$G$3001,Расчет!$I$2:$I$3001,$K1022,Расчет!$H$2:$H$3001,1))</f>
        <v/>
      </c>
      <c r="I1022">
        <f>IF($L1022="","",SUMIFS(Расчет!$G$2:$G$3001,Расчет!$I$2:$I$3001,$K1022,Расчет!$H$2:$H$3001,2))</f>
        <v/>
      </c>
      <c r="J1022">
        <f>IF($L1022="","",SUMIFS(Расчет!$G$2:$G$3001,Расчет!$I$2:$I$3001,$K1022,Расчет!$H$2:$H$3001,3))</f>
        <v/>
      </c>
      <c r="K1022">
        <f>IF($L1022="","",INDEX(Расчет!$I$2:$I$3001,$L1022))</f>
        <v/>
      </c>
      <c r="L1022">
        <f>IFERROR(MATCH(ROW()-1,Расчет!$J$2:$J$3001,0),"")</f>
        <v/>
      </c>
    </row>
    <row r="1023">
      <c r="A1023">
        <f>IF($L1023="","",B1023&amp;"."&amp;C1023&amp;"-"&amp;D1023&amp;"-"&amp;H1023&amp;"."&amp;I1023&amp;"."&amp;J1023)</f>
        <v/>
      </c>
      <c r="B1023">
        <f>IF($L1023="","",INDEX(Расчет!$A$2:$A$3001,$L1023))</f>
        <v/>
      </c>
      <c r="C1023">
        <f>IF($L1023="","",INDEX(Расчет!$B$2:$B$3001,$L1023))</f>
        <v/>
      </c>
      <c r="D1023">
        <f>IF($L1023="","",IF(ISNUMBER(FIND("(",INDEX(Расчет!$C$2:$C$3001,$L1023))),SUBSTITUTE(MID(INDEX(Расчет!$C$2:$C$3001,$L1023),FIND("(",INDEX(Расчет!$C$2:$C$3001,$L1023))+1,99),")",""),INDEX(Расчет!$C$2:$C$3001,$L1023)))</f>
        <v/>
      </c>
      <c r="E1023">
        <f>IF($L1023="","",INDEX(Расчет!$D$2:$D$3001,$L1023))</f>
        <v/>
      </c>
      <c r="F1023">
        <f>IF($L1023="","",INDEX(Расчет!$E$2:$E$3001,$L1023))</f>
        <v/>
      </c>
      <c r="G1023">
        <f>IF($L1023="","",IFERROR(--LEFT(INDEX(Расчет!$C$2:$C$3001,$L1023),FIND("(",INDEX(Расчет!$C$2:$C$3001,$L1023))-1),IFERROR(--LEFT(INDEX(Расчет!$C$2:$C$3001,$L1023),1),"")))</f>
        <v/>
      </c>
      <c r="H1023">
        <f>IF($L1023="","",SUMIFS(Расчет!$G$2:$G$3001,Расчет!$I$2:$I$3001,$K1023,Расчет!$H$2:$H$3001,1))</f>
        <v/>
      </c>
      <c r="I1023">
        <f>IF($L1023="","",SUMIFS(Расчет!$G$2:$G$3001,Расчет!$I$2:$I$3001,$K1023,Расчет!$H$2:$H$3001,2))</f>
        <v/>
      </c>
      <c r="J1023">
        <f>IF($L1023="","",SUMIFS(Расчет!$G$2:$G$3001,Расчет!$I$2:$I$3001,$K1023,Расчет!$H$2:$H$3001,3))</f>
        <v/>
      </c>
      <c r="K1023">
        <f>IF($L1023="","",INDEX(Расчет!$I$2:$I$3001,$L1023))</f>
        <v/>
      </c>
      <c r="L1023">
        <f>IFERROR(MATCH(ROW()-1,Расчет!$J$2:$J$3001,0),"")</f>
        <v/>
      </c>
    </row>
    <row r="1024">
      <c r="A1024">
        <f>IF($L1024="","",B1024&amp;"."&amp;C1024&amp;"-"&amp;D1024&amp;"-"&amp;H1024&amp;"."&amp;I1024&amp;"."&amp;J1024)</f>
        <v/>
      </c>
      <c r="B1024">
        <f>IF($L1024="","",INDEX(Расчет!$A$2:$A$3001,$L1024))</f>
        <v/>
      </c>
      <c r="C1024">
        <f>IF($L1024="","",INDEX(Расчет!$B$2:$B$3001,$L1024))</f>
        <v/>
      </c>
      <c r="D1024">
        <f>IF($L1024="","",IF(ISNUMBER(FIND("(",INDEX(Расчет!$C$2:$C$3001,$L1024))),SUBSTITUTE(MID(INDEX(Расчет!$C$2:$C$3001,$L1024),FIND("(",INDEX(Расчет!$C$2:$C$3001,$L1024))+1,99),")",""),INDEX(Расчет!$C$2:$C$3001,$L1024)))</f>
        <v/>
      </c>
      <c r="E1024">
        <f>IF($L1024="","",INDEX(Расчет!$D$2:$D$3001,$L1024))</f>
        <v/>
      </c>
      <c r="F1024">
        <f>IF($L1024="","",INDEX(Расчет!$E$2:$E$3001,$L1024))</f>
        <v/>
      </c>
      <c r="G1024">
        <f>IF($L1024="","",IFERROR(--LEFT(INDEX(Расчет!$C$2:$C$3001,$L1024),FIND("(",INDEX(Расчет!$C$2:$C$3001,$L1024))-1),IFERROR(--LEFT(INDEX(Расчет!$C$2:$C$3001,$L1024),1),"")))</f>
        <v/>
      </c>
      <c r="H1024">
        <f>IF($L1024="","",SUMIFS(Расчет!$G$2:$G$3001,Расчет!$I$2:$I$3001,$K1024,Расчет!$H$2:$H$3001,1))</f>
        <v/>
      </c>
      <c r="I1024">
        <f>IF($L1024="","",SUMIFS(Расчет!$G$2:$G$3001,Расчет!$I$2:$I$3001,$K1024,Расчет!$H$2:$H$3001,2))</f>
        <v/>
      </c>
      <c r="J1024">
        <f>IF($L1024="","",SUMIFS(Расчет!$G$2:$G$3001,Расчет!$I$2:$I$3001,$K1024,Расчет!$H$2:$H$3001,3))</f>
        <v/>
      </c>
      <c r="K1024">
        <f>IF($L1024="","",INDEX(Расчет!$I$2:$I$3001,$L1024))</f>
        <v/>
      </c>
      <c r="L1024">
        <f>IFERROR(MATCH(ROW()-1,Расчет!$J$2:$J$3001,0),"")</f>
        <v/>
      </c>
    </row>
    <row r="1025">
      <c r="A1025">
        <f>IF($L1025="","",B1025&amp;"."&amp;C1025&amp;"-"&amp;D1025&amp;"-"&amp;H1025&amp;"."&amp;I1025&amp;"."&amp;J1025)</f>
        <v/>
      </c>
      <c r="B1025">
        <f>IF($L1025="","",INDEX(Расчет!$A$2:$A$3001,$L1025))</f>
        <v/>
      </c>
      <c r="C1025">
        <f>IF($L1025="","",INDEX(Расчет!$B$2:$B$3001,$L1025))</f>
        <v/>
      </c>
      <c r="D1025">
        <f>IF($L1025="","",IF(ISNUMBER(FIND("(",INDEX(Расчет!$C$2:$C$3001,$L1025))),SUBSTITUTE(MID(INDEX(Расчет!$C$2:$C$3001,$L1025),FIND("(",INDEX(Расчет!$C$2:$C$3001,$L1025))+1,99),")",""),INDEX(Расчет!$C$2:$C$3001,$L1025)))</f>
        <v/>
      </c>
      <c r="E1025">
        <f>IF($L1025="","",INDEX(Расчет!$D$2:$D$3001,$L1025))</f>
        <v/>
      </c>
      <c r="F1025">
        <f>IF($L1025="","",INDEX(Расчет!$E$2:$E$3001,$L1025))</f>
        <v/>
      </c>
      <c r="G1025">
        <f>IF($L1025="","",IFERROR(--LEFT(INDEX(Расчет!$C$2:$C$3001,$L1025),FIND("(",INDEX(Расчет!$C$2:$C$3001,$L1025))-1),IFERROR(--LEFT(INDEX(Расчет!$C$2:$C$3001,$L1025),1),"")))</f>
        <v/>
      </c>
      <c r="H1025">
        <f>IF($L1025="","",SUMIFS(Расчет!$G$2:$G$3001,Расчет!$I$2:$I$3001,$K1025,Расчет!$H$2:$H$3001,1))</f>
        <v/>
      </c>
      <c r="I1025">
        <f>IF($L1025="","",SUMIFS(Расчет!$G$2:$G$3001,Расчет!$I$2:$I$3001,$K1025,Расчет!$H$2:$H$3001,2))</f>
        <v/>
      </c>
      <c r="J1025">
        <f>IF($L1025="","",SUMIFS(Расчет!$G$2:$G$3001,Расчет!$I$2:$I$3001,$K1025,Расчет!$H$2:$H$3001,3))</f>
        <v/>
      </c>
      <c r="K1025">
        <f>IF($L1025="","",INDEX(Расчет!$I$2:$I$3001,$L1025))</f>
        <v/>
      </c>
      <c r="L1025">
        <f>IFERROR(MATCH(ROW()-1,Расчет!$J$2:$J$3001,0),"")</f>
        <v/>
      </c>
    </row>
    <row r="1026">
      <c r="A1026">
        <f>IF($L1026="","",B1026&amp;"."&amp;C1026&amp;"-"&amp;D1026&amp;"-"&amp;H1026&amp;"."&amp;I1026&amp;"."&amp;J1026)</f>
        <v/>
      </c>
      <c r="B1026">
        <f>IF($L1026="","",INDEX(Расчет!$A$2:$A$3001,$L1026))</f>
        <v/>
      </c>
      <c r="C1026">
        <f>IF($L1026="","",INDEX(Расчет!$B$2:$B$3001,$L1026))</f>
        <v/>
      </c>
      <c r="D1026">
        <f>IF($L1026="","",IF(ISNUMBER(FIND("(",INDEX(Расчет!$C$2:$C$3001,$L1026))),SUBSTITUTE(MID(INDEX(Расчет!$C$2:$C$3001,$L1026),FIND("(",INDEX(Расчет!$C$2:$C$3001,$L1026))+1,99),")",""),INDEX(Расчет!$C$2:$C$3001,$L1026)))</f>
        <v/>
      </c>
      <c r="E1026">
        <f>IF($L1026="","",INDEX(Расчет!$D$2:$D$3001,$L1026))</f>
        <v/>
      </c>
      <c r="F1026">
        <f>IF($L1026="","",INDEX(Расчет!$E$2:$E$3001,$L1026))</f>
        <v/>
      </c>
      <c r="G1026">
        <f>IF($L1026="","",IFERROR(--LEFT(INDEX(Расчет!$C$2:$C$3001,$L1026),FIND("(",INDEX(Расчет!$C$2:$C$3001,$L1026))-1),IFERROR(--LEFT(INDEX(Расчет!$C$2:$C$3001,$L1026),1),"")))</f>
        <v/>
      </c>
      <c r="H1026">
        <f>IF($L1026="","",SUMIFS(Расчет!$G$2:$G$3001,Расчет!$I$2:$I$3001,$K1026,Расчет!$H$2:$H$3001,1))</f>
        <v/>
      </c>
      <c r="I1026">
        <f>IF($L1026="","",SUMIFS(Расчет!$G$2:$G$3001,Расчет!$I$2:$I$3001,$K1026,Расчет!$H$2:$H$3001,2))</f>
        <v/>
      </c>
      <c r="J1026">
        <f>IF($L1026="","",SUMIFS(Расчет!$G$2:$G$3001,Расчет!$I$2:$I$3001,$K1026,Расчет!$H$2:$H$3001,3))</f>
        <v/>
      </c>
      <c r="K1026">
        <f>IF($L1026="","",INDEX(Расчет!$I$2:$I$3001,$L1026))</f>
        <v/>
      </c>
      <c r="L1026">
        <f>IFERROR(MATCH(ROW()-1,Расчет!$J$2:$J$3001,0),"")</f>
        <v/>
      </c>
    </row>
    <row r="1027">
      <c r="A1027">
        <f>IF($L1027="","",B1027&amp;"."&amp;C1027&amp;"-"&amp;D1027&amp;"-"&amp;H1027&amp;"."&amp;I1027&amp;"."&amp;J1027)</f>
        <v/>
      </c>
      <c r="B1027">
        <f>IF($L1027="","",INDEX(Расчет!$A$2:$A$3001,$L1027))</f>
        <v/>
      </c>
      <c r="C1027">
        <f>IF($L1027="","",INDEX(Расчет!$B$2:$B$3001,$L1027))</f>
        <v/>
      </c>
      <c r="D1027">
        <f>IF($L1027="","",IF(ISNUMBER(FIND("(",INDEX(Расчет!$C$2:$C$3001,$L1027))),SUBSTITUTE(MID(INDEX(Расчет!$C$2:$C$3001,$L1027),FIND("(",INDEX(Расчет!$C$2:$C$3001,$L1027))+1,99),")",""),INDEX(Расчет!$C$2:$C$3001,$L1027)))</f>
        <v/>
      </c>
      <c r="E1027">
        <f>IF($L1027="","",INDEX(Расчет!$D$2:$D$3001,$L1027))</f>
        <v/>
      </c>
      <c r="F1027">
        <f>IF($L1027="","",INDEX(Расчет!$E$2:$E$3001,$L1027))</f>
        <v/>
      </c>
      <c r="G1027">
        <f>IF($L1027="","",IFERROR(--LEFT(INDEX(Расчет!$C$2:$C$3001,$L1027),FIND("(",INDEX(Расчет!$C$2:$C$3001,$L1027))-1),IFERROR(--LEFT(INDEX(Расчет!$C$2:$C$3001,$L1027),1),"")))</f>
        <v/>
      </c>
      <c r="H1027">
        <f>IF($L1027="","",SUMIFS(Расчет!$G$2:$G$3001,Расчет!$I$2:$I$3001,$K1027,Расчет!$H$2:$H$3001,1))</f>
        <v/>
      </c>
      <c r="I1027">
        <f>IF($L1027="","",SUMIFS(Расчет!$G$2:$G$3001,Расчет!$I$2:$I$3001,$K1027,Расчет!$H$2:$H$3001,2))</f>
        <v/>
      </c>
      <c r="J1027">
        <f>IF($L1027="","",SUMIFS(Расчет!$G$2:$G$3001,Расчет!$I$2:$I$3001,$K1027,Расчет!$H$2:$H$3001,3))</f>
        <v/>
      </c>
      <c r="K1027">
        <f>IF($L1027="","",INDEX(Расчет!$I$2:$I$3001,$L1027))</f>
        <v/>
      </c>
      <c r="L1027">
        <f>IFERROR(MATCH(ROW()-1,Расчет!$J$2:$J$3001,0),"")</f>
        <v/>
      </c>
    </row>
    <row r="1028">
      <c r="A1028">
        <f>IF($L1028="","",B1028&amp;"."&amp;C1028&amp;"-"&amp;D1028&amp;"-"&amp;H1028&amp;"."&amp;I1028&amp;"."&amp;J1028)</f>
        <v/>
      </c>
      <c r="B1028">
        <f>IF($L1028="","",INDEX(Расчет!$A$2:$A$3001,$L1028))</f>
        <v/>
      </c>
      <c r="C1028">
        <f>IF($L1028="","",INDEX(Расчет!$B$2:$B$3001,$L1028))</f>
        <v/>
      </c>
      <c r="D1028">
        <f>IF($L1028="","",IF(ISNUMBER(FIND("(",INDEX(Расчет!$C$2:$C$3001,$L1028))),SUBSTITUTE(MID(INDEX(Расчет!$C$2:$C$3001,$L1028),FIND("(",INDEX(Расчет!$C$2:$C$3001,$L1028))+1,99),")",""),INDEX(Расчет!$C$2:$C$3001,$L1028)))</f>
        <v/>
      </c>
      <c r="E1028">
        <f>IF($L1028="","",INDEX(Расчет!$D$2:$D$3001,$L1028))</f>
        <v/>
      </c>
      <c r="F1028">
        <f>IF($L1028="","",INDEX(Расчет!$E$2:$E$3001,$L1028))</f>
        <v/>
      </c>
      <c r="G1028">
        <f>IF($L1028="","",IFERROR(--LEFT(INDEX(Расчет!$C$2:$C$3001,$L1028),FIND("(",INDEX(Расчет!$C$2:$C$3001,$L1028))-1),IFERROR(--LEFT(INDEX(Расчет!$C$2:$C$3001,$L1028),1),"")))</f>
        <v/>
      </c>
      <c r="H1028">
        <f>IF($L1028="","",SUMIFS(Расчет!$G$2:$G$3001,Расчет!$I$2:$I$3001,$K1028,Расчет!$H$2:$H$3001,1))</f>
        <v/>
      </c>
      <c r="I1028">
        <f>IF($L1028="","",SUMIFS(Расчет!$G$2:$G$3001,Расчет!$I$2:$I$3001,$K1028,Расчет!$H$2:$H$3001,2))</f>
        <v/>
      </c>
      <c r="J1028">
        <f>IF($L1028="","",SUMIFS(Расчет!$G$2:$G$3001,Расчет!$I$2:$I$3001,$K1028,Расчет!$H$2:$H$3001,3))</f>
        <v/>
      </c>
      <c r="K1028">
        <f>IF($L1028="","",INDEX(Расчет!$I$2:$I$3001,$L1028))</f>
        <v/>
      </c>
      <c r="L1028">
        <f>IFERROR(MATCH(ROW()-1,Расчет!$J$2:$J$3001,0),"")</f>
        <v/>
      </c>
    </row>
    <row r="1029">
      <c r="A1029">
        <f>IF($L1029="","",B1029&amp;"."&amp;C1029&amp;"-"&amp;D1029&amp;"-"&amp;H1029&amp;"."&amp;I1029&amp;"."&amp;J1029)</f>
        <v/>
      </c>
      <c r="B1029">
        <f>IF($L1029="","",INDEX(Расчет!$A$2:$A$3001,$L1029))</f>
        <v/>
      </c>
      <c r="C1029">
        <f>IF($L1029="","",INDEX(Расчет!$B$2:$B$3001,$L1029))</f>
        <v/>
      </c>
      <c r="D1029">
        <f>IF($L1029="","",IF(ISNUMBER(FIND("(",INDEX(Расчет!$C$2:$C$3001,$L1029))),SUBSTITUTE(MID(INDEX(Расчет!$C$2:$C$3001,$L1029),FIND("(",INDEX(Расчет!$C$2:$C$3001,$L1029))+1,99),")",""),INDEX(Расчет!$C$2:$C$3001,$L1029)))</f>
        <v/>
      </c>
      <c r="E1029">
        <f>IF($L1029="","",INDEX(Расчет!$D$2:$D$3001,$L1029))</f>
        <v/>
      </c>
      <c r="F1029">
        <f>IF($L1029="","",INDEX(Расчет!$E$2:$E$3001,$L1029))</f>
        <v/>
      </c>
      <c r="G1029">
        <f>IF($L1029="","",IFERROR(--LEFT(INDEX(Расчет!$C$2:$C$3001,$L1029),FIND("(",INDEX(Расчет!$C$2:$C$3001,$L1029))-1),IFERROR(--LEFT(INDEX(Расчет!$C$2:$C$3001,$L1029),1),"")))</f>
        <v/>
      </c>
      <c r="H1029">
        <f>IF($L1029="","",SUMIFS(Расчет!$G$2:$G$3001,Расчет!$I$2:$I$3001,$K1029,Расчет!$H$2:$H$3001,1))</f>
        <v/>
      </c>
      <c r="I1029">
        <f>IF($L1029="","",SUMIFS(Расчет!$G$2:$G$3001,Расчет!$I$2:$I$3001,$K1029,Расчет!$H$2:$H$3001,2))</f>
        <v/>
      </c>
      <c r="J1029">
        <f>IF($L1029="","",SUMIFS(Расчет!$G$2:$G$3001,Расчет!$I$2:$I$3001,$K1029,Расчет!$H$2:$H$3001,3))</f>
        <v/>
      </c>
      <c r="K1029">
        <f>IF($L1029="","",INDEX(Расчет!$I$2:$I$3001,$L1029))</f>
        <v/>
      </c>
      <c r="L1029">
        <f>IFERROR(MATCH(ROW()-1,Расчет!$J$2:$J$3001,0),"")</f>
        <v/>
      </c>
    </row>
    <row r="1030">
      <c r="A1030">
        <f>IF($L1030="","",B1030&amp;"."&amp;C1030&amp;"-"&amp;D1030&amp;"-"&amp;H1030&amp;"."&amp;I1030&amp;"."&amp;J1030)</f>
        <v/>
      </c>
      <c r="B1030">
        <f>IF($L1030="","",INDEX(Расчет!$A$2:$A$3001,$L1030))</f>
        <v/>
      </c>
      <c r="C1030">
        <f>IF($L1030="","",INDEX(Расчет!$B$2:$B$3001,$L1030))</f>
        <v/>
      </c>
      <c r="D1030">
        <f>IF($L1030="","",IF(ISNUMBER(FIND("(",INDEX(Расчет!$C$2:$C$3001,$L1030))),SUBSTITUTE(MID(INDEX(Расчет!$C$2:$C$3001,$L1030),FIND("(",INDEX(Расчет!$C$2:$C$3001,$L1030))+1,99),")",""),INDEX(Расчет!$C$2:$C$3001,$L1030)))</f>
        <v/>
      </c>
      <c r="E1030">
        <f>IF($L1030="","",INDEX(Расчет!$D$2:$D$3001,$L1030))</f>
        <v/>
      </c>
      <c r="F1030">
        <f>IF($L1030="","",INDEX(Расчет!$E$2:$E$3001,$L1030))</f>
        <v/>
      </c>
      <c r="G1030">
        <f>IF($L1030="","",IFERROR(--LEFT(INDEX(Расчет!$C$2:$C$3001,$L1030),FIND("(",INDEX(Расчет!$C$2:$C$3001,$L1030))-1),IFERROR(--LEFT(INDEX(Расчет!$C$2:$C$3001,$L1030),1),"")))</f>
        <v/>
      </c>
      <c r="H1030">
        <f>IF($L1030="","",SUMIFS(Расчет!$G$2:$G$3001,Расчет!$I$2:$I$3001,$K1030,Расчет!$H$2:$H$3001,1))</f>
        <v/>
      </c>
      <c r="I1030">
        <f>IF($L1030="","",SUMIFS(Расчет!$G$2:$G$3001,Расчет!$I$2:$I$3001,$K1030,Расчет!$H$2:$H$3001,2))</f>
        <v/>
      </c>
      <c r="J1030">
        <f>IF($L1030="","",SUMIFS(Расчет!$G$2:$G$3001,Расчет!$I$2:$I$3001,$K1030,Расчет!$H$2:$H$3001,3))</f>
        <v/>
      </c>
      <c r="K1030">
        <f>IF($L1030="","",INDEX(Расчет!$I$2:$I$3001,$L1030))</f>
        <v/>
      </c>
      <c r="L1030">
        <f>IFERROR(MATCH(ROW()-1,Расчет!$J$2:$J$3001,0),"")</f>
        <v/>
      </c>
    </row>
    <row r="1031">
      <c r="A1031">
        <f>IF($L1031="","",B1031&amp;"."&amp;C1031&amp;"-"&amp;D1031&amp;"-"&amp;H1031&amp;"."&amp;I1031&amp;"."&amp;J1031)</f>
        <v/>
      </c>
      <c r="B1031">
        <f>IF($L1031="","",INDEX(Расчет!$A$2:$A$3001,$L1031))</f>
        <v/>
      </c>
      <c r="C1031">
        <f>IF($L1031="","",INDEX(Расчет!$B$2:$B$3001,$L1031))</f>
        <v/>
      </c>
      <c r="D1031">
        <f>IF($L1031="","",IF(ISNUMBER(FIND("(",INDEX(Расчет!$C$2:$C$3001,$L1031))),SUBSTITUTE(MID(INDEX(Расчет!$C$2:$C$3001,$L1031),FIND("(",INDEX(Расчет!$C$2:$C$3001,$L1031))+1,99),")",""),INDEX(Расчет!$C$2:$C$3001,$L1031)))</f>
        <v/>
      </c>
      <c r="E1031">
        <f>IF($L1031="","",INDEX(Расчет!$D$2:$D$3001,$L1031))</f>
        <v/>
      </c>
      <c r="F1031">
        <f>IF($L1031="","",INDEX(Расчет!$E$2:$E$3001,$L1031))</f>
        <v/>
      </c>
      <c r="G1031">
        <f>IF($L1031="","",IFERROR(--LEFT(INDEX(Расчет!$C$2:$C$3001,$L1031),FIND("(",INDEX(Расчет!$C$2:$C$3001,$L1031))-1),IFERROR(--LEFT(INDEX(Расчет!$C$2:$C$3001,$L1031),1),"")))</f>
        <v/>
      </c>
      <c r="H1031">
        <f>IF($L1031="","",SUMIFS(Расчет!$G$2:$G$3001,Расчет!$I$2:$I$3001,$K1031,Расчет!$H$2:$H$3001,1))</f>
        <v/>
      </c>
      <c r="I1031">
        <f>IF($L1031="","",SUMIFS(Расчет!$G$2:$G$3001,Расчет!$I$2:$I$3001,$K1031,Расчет!$H$2:$H$3001,2))</f>
        <v/>
      </c>
      <c r="J1031">
        <f>IF($L1031="","",SUMIFS(Расчет!$G$2:$G$3001,Расчет!$I$2:$I$3001,$K1031,Расчет!$H$2:$H$3001,3))</f>
        <v/>
      </c>
      <c r="K1031">
        <f>IF($L1031="","",INDEX(Расчет!$I$2:$I$3001,$L1031))</f>
        <v/>
      </c>
      <c r="L1031">
        <f>IFERROR(MATCH(ROW()-1,Расчет!$J$2:$J$3001,0),"")</f>
        <v/>
      </c>
    </row>
    <row r="1032">
      <c r="A1032">
        <f>IF($L1032="","",B1032&amp;"."&amp;C1032&amp;"-"&amp;D1032&amp;"-"&amp;H1032&amp;"."&amp;I1032&amp;"."&amp;J1032)</f>
        <v/>
      </c>
      <c r="B1032">
        <f>IF($L1032="","",INDEX(Расчет!$A$2:$A$3001,$L1032))</f>
        <v/>
      </c>
      <c r="C1032">
        <f>IF($L1032="","",INDEX(Расчет!$B$2:$B$3001,$L1032))</f>
        <v/>
      </c>
      <c r="D1032">
        <f>IF($L1032="","",IF(ISNUMBER(FIND("(",INDEX(Расчет!$C$2:$C$3001,$L1032))),SUBSTITUTE(MID(INDEX(Расчет!$C$2:$C$3001,$L1032),FIND("(",INDEX(Расчет!$C$2:$C$3001,$L1032))+1,99),")",""),INDEX(Расчет!$C$2:$C$3001,$L1032)))</f>
        <v/>
      </c>
      <c r="E1032">
        <f>IF($L1032="","",INDEX(Расчет!$D$2:$D$3001,$L1032))</f>
        <v/>
      </c>
      <c r="F1032">
        <f>IF($L1032="","",INDEX(Расчет!$E$2:$E$3001,$L1032))</f>
        <v/>
      </c>
      <c r="G1032">
        <f>IF($L1032="","",IFERROR(--LEFT(INDEX(Расчет!$C$2:$C$3001,$L1032),FIND("(",INDEX(Расчет!$C$2:$C$3001,$L1032))-1),IFERROR(--LEFT(INDEX(Расчет!$C$2:$C$3001,$L1032),1),"")))</f>
        <v/>
      </c>
      <c r="H1032">
        <f>IF($L1032="","",SUMIFS(Расчет!$G$2:$G$3001,Расчет!$I$2:$I$3001,$K1032,Расчет!$H$2:$H$3001,1))</f>
        <v/>
      </c>
      <c r="I1032">
        <f>IF($L1032="","",SUMIFS(Расчет!$G$2:$G$3001,Расчет!$I$2:$I$3001,$K1032,Расчет!$H$2:$H$3001,2))</f>
        <v/>
      </c>
      <c r="J1032">
        <f>IF($L1032="","",SUMIFS(Расчет!$G$2:$G$3001,Расчет!$I$2:$I$3001,$K1032,Расчет!$H$2:$H$3001,3))</f>
        <v/>
      </c>
      <c r="K1032">
        <f>IF($L1032="","",INDEX(Расчет!$I$2:$I$3001,$L1032))</f>
        <v/>
      </c>
      <c r="L1032">
        <f>IFERROR(MATCH(ROW()-1,Расчет!$J$2:$J$3001,0),"")</f>
        <v/>
      </c>
    </row>
    <row r="1033">
      <c r="A1033">
        <f>IF($L1033="","",B1033&amp;"."&amp;C1033&amp;"-"&amp;D1033&amp;"-"&amp;H1033&amp;"."&amp;I1033&amp;"."&amp;J1033)</f>
        <v/>
      </c>
      <c r="B1033">
        <f>IF($L1033="","",INDEX(Расчет!$A$2:$A$3001,$L1033))</f>
        <v/>
      </c>
      <c r="C1033">
        <f>IF($L1033="","",INDEX(Расчет!$B$2:$B$3001,$L1033))</f>
        <v/>
      </c>
      <c r="D1033">
        <f>IF($L1033="","",IF(ISNUMBER(FIND("(",INDEX(Расчет!$C$2:$C$3001,$L1033))),SUBSTITUTE(MID(INDEX(Расчет!$C$2:$C$3001,$L1033),FIND("(",INDEX(Расчет!$C$2:$C$3001,$L1033))+1,99),")",""),INDEX(Расчет!$C$2:$C$3001,$L1033)))</f>
        <v/>
      </c>
      <c r="E1033">
        <f>IF($L1033="","",INDEX(Расчет!$D$2:$D$3001,$L1033))</f>
        <v/>
      </c>
      <c r="F1033">
        <f>IF($L1033="","",INDEX(Расчет!$E$2:$E$3001,$L1033))</f>
        <v/>
      </c>
      <c r="G1033">
        <f>IF($L1033="","",IFERROR(--LEFT(INDEX(Расчет!$C$2:$C$3001,$L1033),FIND("(",INDEX(Расчет!$C$2:$C$3001,$L1033))-1),IFERROR(--LEFT(INDEX(Расчет!$C$2:$C$3001,$L1033),1),"")))</f>
        <v/>
      </c>
      <c r="H1033">
        <f>IF($L1033="","",SUMIFS(Расчет!$G$2:$G$3001,Расчет!$I$2:$I$3001,$K1033,Расчет!$H$2:$H$3001,1))</f>
        <v/>
      </c>
      <c r="I1033">
        <f>IF($L1033="","",SUMIFS(Расчет!$G$2:$G$3001,Расчет!$I$2:$I$3001,$K1033,Расчет!$H$2:$H$3001,2))</f>
        <v/>
      </c>
      <c r="J1033">
        <f>IF($L1033="","",SUMIFS(Расчет!$G$2:$G$3001,Расчет!$I$2:$I$3001,$K1033,Расчет!$H$2:$H$3001,3))</f>
        <v/>
      </c>
      <c r="K1033">
        <f>IF($L1033="","",INDEX(Расчет!$I$2:$I$3001,$L1033))</f>
        <v/>
      </c>
      <c r="L1033">
        <f>IFERROR(MATCH(ROW()-1,Расчет!$J$2:$J$3001,0),"")</f>
        <v/>
      </c>
    </row>
    <row r="1034">
      <c r="A1034">
        <f>IF($L1034="","",B1034&amp;"."&amp;C1034&amp;"-"&amp;D1034&amp;"-"&amp;H1034&amp;"."&amp;I1034&amp;"."&amp;J1034)</f>
        <v/>
      </c>
      <c r="B1034">
        <f>IF($L1034="","",INDEX(Расчет!$A$2:$A$3001,$L1034))</f>
        <v/>
      </c>
      <c r="C1034">
        <f>IF($L1034="","",INDEX(Расчет!$B$2:$B$3001,$L1034))</f>
        <v/>
      </c>
      <c r="D1034">
        <f>IF($L1034="","",IF(ISNUMBER(FIND("(",INDEX(Расчет!$C$2:$C$3001,$L1034))),SUBSTITUTE(MID(INDEX(Расчет!$C$2:$C$3001,$L1034),FIND("(",INDEX(Расчет!$C$2:$C$3001,$L1034))+1,99),")",""),INDEX(Расчет!$C$2:$C$3001,$L1034)))</f>
        <v/>
      </c>
      <c r="E1034">
        <f>IF($L1034="","",INDEX(Расчет!$D$2:$D$3001,$L1034))</f>
        <v/>
      </c>
      <c r="F1034">
        <f>IF($L1034="","",INDEX(Расчет!$E$2:$E$3001,$L1034))</f>
        <v/>
      </c>
      <c r="G1034">
        <f>IF($L1034="","",IFERROR(--LEFT(INDEX(Расчет!$C$2:$C$3001,$L1034),FIND("(",INDEX(Расчет!$C$2:$C$3001,$L1034))-1),IFERROR(--LEFT(INDEX(Расчет!$C$2:$C$3001,$L1034),1),"")))</f>
        <v/>
      </c>
      <c r="H1034">
        <f>IF($L1034="","",SUMIFS(Расчет!$G$2:$G$3001,Расчет!$I$2:$I$3001,$K1034,Расчет!$H$2:$H$3001,1))</f>
        <v/>
      </c>
      <c r="I1034">
        <f>IF($L1034="","",SUMIFS(Расчет!$G$2:$G$3001,Расчет!$I$2:$I$3001,$K1034,Расчет!$H$2:$H$3001,2))</f>
        <v/>
      </c>
      <c r="J1034">
        <f>IF($L1034="","",SUMIFS(Расчет!$G$2:$G$3001,Расчет!$I$2:$I$3001,$K1034,Расчет!$H$2:$H$3001,3))</f>
        <v/>
      </c>
      <c r="K1034">
        <f>IF($L1034="","",INDEX(Расчет!$I$2:$I$3001,$L1034))</f>
        <v/>
      </c>
      <c r="L1034">
        <f>IFERROR(MATCH(ROW()-1,Расчет!$J$2:$J$3001,0),"")</f>
        <v/>
      </c>
    </row>
    <row r="1035">
      <c r="A1035">
        <f>IF($L1035="","",B1035&amp;"."&amp;C1035&amp;"-"&amp;D1035&amp;"-"&amp;H1035&amp;"."&amp;I1035&amp;"."&amp;J1035)</f>
        <v/>
      </c>
      <c r="B1035">
        <f>IF($L1035="","",INDEX(Расчет!$A$2:$A$3001,$L1035))</f>
        <v/>
      </c>
      <c r="C1035">
        <f>IF($L1035="","",INDEX(Расчет!$B$2:$B$3001,$L1035))</f>
        <v/>
      </c>
      <c r="D1035">
        <f>IF($L1035="","",IF(ISNUMBER(FIND("(",INDEX(Расчет!$C$2:$C$3001,$L1035))),SUBSTITUTE(MID(INDEX(Расчет!$C$2:$C$3001,$L1035),FIND("(",INDEX(Расчет!$C$2:$C$3001,$L1035))+1,99),")",""),INDEX(Расчет!$C$2:$C$3001,$L1035)))</f>
        <v/>
      </c>
      <c r="E1035">
        <f>IF($L1035="","",INDEX(Расчет!$D$2:$D$3001,$L1035))</f>
        <v/>
      </c>
      <c r="F1035">
        <f>IF($L1035="","",INDEX(Расчет!$E$2:$E$3001,$L1035))</f>
        <v/>
      </c>
      <c r="G1035">
        <f>IF($L1035="","",IFERROR(--LEFT(INDEX(Расчет!$C$2:$C$3001,$L1035),FIND("(",INDEX(Расчет!$C$2:$C$3001,$L1035))-1),IFERROR(--LEFT(INDEX(Расчет!$C$2:$C$3001,$L1035),1),"")))</f>
        <v/>
      </c>
      <c r="H1035">
        <f>IF($L1035="","",SUMIFS(Расчет!$G$2:$G$3001,Расчет!$I$2:$I$3001,$K1035,Расчет!$H$2:$H$3001,1))</f>
        <v/>
      </c>
      <c r="I1035">
        <f>IF($L1035="","",SUMIFS(Расчет!$G$2:$G$3001,Расчет!$I$2:$I$3001,$K1035,Расчет!$H$2:$H$3001,2))</f>
        <v/>
      </c>
      <c r="J1035">
        <f>IF($L1035="","",SUMIFS(Расчет!$G$2:$G$3001,Расчет!$I$2:$I$3001,$K1035,Расчет!$H$2:$H$3001,3))</f>
        <v/>
      </c>
      <c r="K1035">
        <f>IF($L1035="","",INDEX(Расчет!$I$2:$I$3001,$L1035))</f>
        <v/>
      </c>
      <c r="L1035">
        <f>IFERROR(MATCH(ROW()-1,Расчет!$J$2:$J$3001,0),"")</f>
        <v/>
      </c>
    </row>
    <row r="1036">
      <c r="A1036">
        <f>IF($L1036="","",B1036&amp;"."&amp;C1036&amp;"-"&amp;D1036&amp;"-"&amp;H1036&amp;"."&amp;I1036&amp;"."&amp;J1036)</f>
        <v/>
      </c>
      <c r="B1036">
        <f>IF($L1036="","",INDEX(Расчет!$A$2:$A$3001,$L1036))</f>
        <v/>
      </c>
      <c r="C1036">
        <f>IF($L1036="","",INDEX(Расчет!$B$2:$B$3001,$L1036))</f>
        <v/>
      </c>
      <c r="D1036">
        <f>IF($L1036="","",IF(ISNUMBER(FIND("(",INDEX(Расчет!$C$2:$C$3001,$L1036))),SUBSTITUTE(MID(INDEX(Расчет!$C$2:$C$3001,$L1036),FIND("(",INDEX(Расчет!$C$2:$C$3001,$L1036))+1,99),")",""),INDEX(Расчет!$C$2:$C$3001,$L1036)))</f>
        <v/>
      </c>
      <c r="E1036">
        <f>IF($L1036="","",INDEX(Расчет!$D$2:$D$3001,$L1036))</f>
        <v/>
      </c>
      <c r="F1036">
        <f>IF($L1036="","",INDEX(Расчет!$E$2:$E$3001,$L1036))</f>
        <v/>
      </c>
      <c r="G1036">
        <f>IF($L1036="","",IFERROR(--LEFT(INDEX(Расчет!$C$2:$C$3001,$L1036),FIND("(",INDEX(Расчет!$C$2:$C$3001,$L1036))-1),IFERROR(--LEFT(INDEX(Расчет!$C$2:$C$3001,$L1036),1),"")))</f>
        <v/>
      </c>
      <c r="H1036">
        <f>IF($L1036="","",SUMIFS(Расчет!$G$2:$G$3001,Расчет!$I$2:$I$3001,$K1036,Расчет!$H$2:$H$3001,1))</f>
        <v/>
      </c>
      <c r="I1036">
        <f>IF($L1036="","",SUMIFS(Расчет!$G$2:$G$3001,Расчет!$I$2:$I$3001,$K1036,Расчет!$H$2:$H$3001,2))</f>
        <v/>
      </c>
      <c r="J1036">
        <f>IF($L1036="","",SUMIFS(Расчет!$G$2:$G$3001,Расчет!$I$2:$I$3001,$K1036,Расчет!$H$2:$H$3001,3))</f>
        <v/>
      </c>
      <c r="K1036">
        <f>IF($L1036="","",INDEX(Расчет!$I$2:$I$3001,$L1036))</f>
        <v/>
      </c>
      <c r="L1036">
        <f>IFERROR(MATCH(ROW()-1,Расчет!$J$2:$J$3001,0),"")</f>
        <v/>
      </c>
    </row>
    <row r="1037">
      <c r="A1037">
        <f>IF($L1037="","",B1037&amp;"."&amp;C1037&amp;"-"&amp;D1037&amp;"-"&amp;H1037&amp;"."&amp;I1037&amp;"."&amp;J1037)</f>
        <v/>
      </c>
      <c r="B1037">
        <f>IF($L1037="","",INDEX(Расчет!$A$2:$A$3001,$L1037))</f>
        <v/>
      </c>
      <c r="C1037">
        <f>IF($L1037="","",INDEX(Расчет!$B$2:$B$3001,$L1037))</f>
        <v/>
      </c>
      <c r="D1037">
        <f>IF($L1037="","",IF(ISNUMBER(FIND("(",INDEX(Расчет!$C$2:$C$3001,$L1037))),SUBSTITUTE(MID(INDEX(Расчет!$C$2:$C$3001,$L1037),FIND("(",INDEX(Расчет!$C$2:$C$3001,$L1037))+1,99),")",""),INDEX(Расчет!$C$2:$C$3001,$L1037)))</f>
        <v/>
      </c>
      <c r="E1037">
        <f>IF($L1037="","",INDEX(Расчет!$D$2:$D$3001,$L1037))</f>
        <v/>
      </c>
      <c r="F1037">
        <f>IF($L1037="","",INDEX(Расчет!$E$2:$E$3001,$L1037))</f>
        <v/>
      </c>
      <c r="G1037">
        <f>IF($L1037="","",IFERROR(--LEFT(INDEX(Расчет!$C$2:$C$3001,$L1037),FIND("(",INDEX(Расчет!$C$2:$C$3001,$L1037))-1),IFERROR(--LEFT(INDEX(Расчет!$C$2:$C$3001,$L1037),1),"")))</f>
        <v/>
      </c>
      <c r="H1037">
        <f>IF($L1037="","",SUMIFS(Расчет!$G$2:$G$3001,Расчет!$I$2:$I$3001,$K1037,Расчет!$H$2:$H$3001,1))</f>
        <v/>
      </c>
      <c r="I1037">
        <f>IF($L1037="","",SUMIFS(Расчет!$G$2:$G$3001,Расчет!$I$2:$I$3001,$K1037,Расчет!$H$2:$H$3001,2))</f>
        <v/>
      </c>
      <c r="J1037">
        <f>IF($L1037="","",SUMIFS(Расчет!$G$2:$G$3001,Расчет!$I$2:$I$3001,$K1037,Расчет!$H$2:$H$3001,3))</f>
        <v/>
      </c>
      <c r="K1037">
        <f>IF($L1037="","",INDEX(Расчет!$I$2:$I$3001,$L1037))</f>
        <v/>
      </c>
      <c r="L1037">
        <f>IFERROR(MATCH(ROW()-1,Расчет!$J$2:$J$3001,0),"")</f>
        <v/>
      </c>
    </row>
    <row r="1038">
      <c r="A1038">
        <f>IF($L1038="","",B1038&amp;"."&amp;C1038&amp;"-"&amp;D1038&amp;"-"&amp;H1038&amp;"."&amp;I1038&amp;"."&amp;J1038)</f>
        <v/>
      </c>
      <c r="B1038">
        <f>IF($L1038="","",INDEX(Расчет!$A$2:$A$3001,$L1038))</f>
        <v/>
      </c>
      <c r="C1038">
        <f>IF($L1038="","",INDEX(Расчет!$B$2:$B$3001,$L1038))</f>
        <v/>
      </c>
      <c r="D1038">
        <f>IF($L1038="","",IF(ISNUMBER(FIND("(",INDEX(Расчет!$C$2:$C$3001,$L1038))),SUBSTITUTE(MID(INDEX(Расчет!$C$2:$C$3001,$L1038),FIND("(",INDEX(Расчет!$C$2:$C$3001,$L1038))+1,99),")",""),INDEX(Расчет!$C$2:$C$3001,$L1038)))</f>
        <v/>
      </c>
      <c r="E1038">
        <f>IF($L1038="","",INDEX(Расчет!$D$2:$D$3001,$L1038))</f>
        <v/>
      </c>
      <c r="F1038">
        <f>IF($L1038="","",INDEX(Расчет!$E$2:$E$3001,$L1038))</f>
        <v/>
      </c>
      <c r="G1038">
        <f>IF($L1038="","",IFERROR(--LEFT(INDEX(Расчет!$C$2:$C$3001,$L1038),FIND("(",INDEX(Расчет!$C$2:$C$3001,$L1038))-1),IFERROR(--LEFT(INDEX(Расчет!$C$2:$C$3001,$L1038),1),"")))</f>
        <v/>
      </c>
      <c r="H1038">
        <f>IF($L1038="","",SUMIFS(Расчет!$G$2:$G$3001,Расчет!$I$2:$I$3001,$K1038,Расчет!$H$2:$H$3001,1))</f>
        <v/>
      </c>
      <c r="I1038">
        <f>IF($L1038="","",SUMIFS(Расчет!$G$2:$G$3001,Расчет!$I$2:$I$3001,$K1038,Расчет!$H$2:$H$3001,2))</f>
        <v/>
      </c>
      <c r="J1038">
        <f>IF($L1038="","",SUMIFS(Расчет!$G$2:$G$3001,Расчет!$I$2:$I$3001,$K1038,Расчет!$H$2:$H$3001,3))</f>
        <v/>
      </c>
      <c r="K1038">
        <f>IF($L1038="","",INDEX(Расчет!$I$2:$I$3001,$L1038))</f>
        <v/>
      </c>
      <c r="L1038">
        <f>IFERROR(MATCH(ROW()-1,Расчет!$J$2:$J$3001,0),"")</f>
        <v/>
      </c>
    </row>
    <row r="1039">
      <c r="A1039">
        <f>IF($L1039="","",B1039&amp;"."&amp;C1039&amp;"-"&amp;D1039&amp;"-"&amp;H1039&amp;"."&amp;I1039&amp;"."&amp;J1039)</f>
        <v/>
      </c>
      <c r="B1039">
        <f>IF($L1039="","",INDEX(Расчет!$A$2:$A$3001,$L1039))</f>
        <v/>
      </c>
      <c r="C1039">
        <f>IF($L1039="","",INDEX(Расчет!$B$2:$B$3001,$L1039))</f>
        <v/>
      </c>
      <c r="D1039">
        <f>IF($L1039="","",IF(ISNUMBER(FIND("(",INDEX(Расчет!$C$2:$C$3001,$L1039))),SUBSTITUTE(MID(INDEX(Расчет!$C$2:$C$3001,$L1039),FIND("(",INDEX(Расчет!$C$2:$C$3001,$L1039))+1,99),")",""),INDEX(Расчет!$C$2:$C$3001,$L1039)))</f>
        <v/>
      </c>
      <c r="E1039">
        <f>IF($L1039="","",INDEX(Расчет!$D$2:$D$3001,$L1039))</f>
        <v/>
      </c>
      <c r="F1039">
        <f>IF($L1039="","",INDEX(Расчет!$E$2:$E$3001,$L1039))</f>
        <v/>
      </c>
      <c r="G1039">
        <f>IF($L1039="","",IFERROR(--LEFT(INDEX(Расчет!$C$2:$C$3001,$L1039),FIND("(",INDEX(Расчет!$C$2:$C$3001,$L1039))-1),IFERROR(--LEFT(INDEX(Расчет!$C$2:$C$3001,$L1039),1),"")))</f>
        <v/>
      </c>
      <c r="H1039">
        <f>IF($L1039="","",SUMIFS(Расчет!$G$2:$G$3001,Расчет!$I$2:$I$3001,$K1039,Расчет!$H$2:$H$3001,1))</f>
        <v/>
      </c>
      <c r="I1039">
        <f>IF($L1039="","",SUMIFS(Расчет!$G$2:$G$3001,Расчет!$I$2:$I$3001,$K1039,Расчет!$H$2:$H$3001,2))</f>
        <v/>
      </c>
      <c r="J1039">
        <f>IF($L1039="","",SUMIFS(Расчет!$G$2:$G$3001,Расчет!$I$2:$I$3001,$K1039,Расчет!$H$2:$H$3001,3))</f>
        <v/>
      </c>
      <c r="K1039">
        <f>IF($L1039="","",INDEX(Расчет!$I$2:$I$3001,$L1039))</f>
        <v/>
      </c>
      <c r="L1039">
        <f>IFERROR(MATCH(ROW()-1,Расчет!$J$2:$J$3001,0),"")</f>
        <v/>
      </c>
    </row>
    <row r="1040">
      <c r="A1040">
        <f>IF($L1040="","",B1040&amp;"."&amp;C1040&amp;"-"&amp;D1040&amp;"-"&amp;H1040&amp;"."&amp;I1040&amp;"."&amp;J1040)</f>
        <v/>
      </c>
      <c r="B1040">
        <f>IF($L1040="","",INDEX(Расчет!$A$2:$A$3001,$L1040))</f>
        <v/>
      </c>
      <c r="C1040">
        <f>IF($L1040="","",INDEX(Расчет!$B$2:$B$3001,$L1040))</f>
        <v/>
      </c>
      <c r="D1040">
        <f>IF($L1040="","",IF(ISNUMBER(FIND("(",INDEX(Расчет!$C$2:$C$3001,$L1040))),SUBSTITUTE(MID(INDEX(Расчет!$C$2:$C$3001,$L1040),FIND("(",INDEX(Расчет!$C$2:$C$3001,$L1040))+1,99),")",""),INDEX(Расчет!$C$2:$C$3001,$L1040)))</f>
        <v/>
      </c>
      <c r="E1040">
        <f>IF($L1040="","",INDEX(Расчет!$D$2:$D$3001,$L1040))</f>
        <v/>
      </c>
      <c r="F1040">
        <f>IF($L1040="","",INDEX(Расчет!$E$2:$E$3001,$L1040))</f>
        <v/>
      </c>
      <c r="G1040">
        <f>IF($L1040="","",IFERROR(--LEFT(INDEX(Расчет!$C$2:$C$3001,$L1040),FIND("(",INDEX(Расчет!$C$2:$C$3001,$L1040))-1),IFERROR(--LEFT(INDEX(Расчет!$C$2:$C$3001,$L1040),1),"")))</f>
        <v/>
      </c>
      <c r="H1040">
        <f>IF($L1040="","",SUMIFS(Расчет!$G$2:$G$3001,Расчет!$I$2:$I$3001,$K1040,Расчет!$H$2:$H$3001,1))</f>
        <v/>
      </c>
      <c r="I1040">
        <f>IF($L1040="","",SUMIFS(Расчет!$G$2:$G$3001,Расчет!$I$2:$I$3001,$K1040,Расчет!$H$2:$H$3001,2))</f>
        <v/>
      </c>
      <c r="J1040">
        <f>IF($L1040="","",SUMIFS(Расчет!$G$2:$G$3001,Расчет!$I$2:$I$3001,$K1040,Расчет!$H$2:$H$3001,3))</f>
        <v/>
      </c>
      <c r="K1040">
        <f>IF($L1040="","",INDEX(Расчет!$I$2:$I$3001,$L1040))</f>
        <v/>
      </c>
      <c r="L1040">
        <f>IFERROR(MATCH(ROW()-1,Расчет!$J$2:$J$3001,0),"")</f>
        <v/>
      </c>
    </row>
    <row r="1041">
      <c r="A1041">
        <f>IF($L1041="","",B1041&amp;"."&amp;C1041&amp;"-"&amp;D1041&amp;"-"&amp;H1041&amp;"."&amp;I1041&amp;"."&amp;J1041)</f>
        <v/>
      </c>
      <c r="B1041">
        <f>IF($L1041="","",INDEX(Расчет!$A$2:$A$3001,$L1041))</f>
        <v/>
      </c>
      <c r="C1041">
        <f>IF($L1041="","",INDEX(Расчет!$B$2:$B$3001,$L1041))</f>
        <v/>
      </c>
      <c r="D1041">
        <f>IF($L1041="","",IF(ISNUMBER(FIND("(",INDEX(Расчет!$C$2:$C$3001,$L1041))),SUBSTITUTE(MID(INDEX(Расчет!$C$2:$C$3001,$L1041),FIND("(",INDEX(Расчет!$C$2:$C$3001,$L1041))+1,99),")",""),INDEX(Расчет!$C$2:$C$3001,$L1041)))</f>
        <v/>
      </c>
      <c r="E1041">
        <f>IF($L1041="","",INDEX(Расчет!$D$2:$D$3001,$L1041))</f>
        <v/>
      </c>
      <c r="F1041">
        <f>IF($L1041="","",INDEX(Расчет!$E$2:$E$3001,$L1041))</f>
        <v/>
      </c>
      <c r="G1041">
        <f>IF($L1041="","",IFERROR(--LEFT(INDEX(Расчет!$C$2:$C$3001,$L1041),FIND("(",INDEX(Расчет!$C$2:$C$3001,$L1041))-1),IFERROR(--LEFT(INDEX(Расчет!$C$2:$C$3001,$L1041),1),"")))</f>
        <v/>
      </c>
      <c r="H1041">
        <f>IF($L1041="","",SUMIFS(Расчет!$G$2:$G$3001,Расчет!$I$2:$I$3001,$K1041,Расчет!$H$2:$H$3001,1))</f>
        <v/>
      </c>
      <c r="I1041">
        <f>IF($L1041="","",SUMIFS(Расчет!$G$2:$G$3001,Расчет!$I$2:$I$3001,$K1041,Расчет!$H$2:$H$3001,2))</f>
        <v/>
      </c>
      <c r="J1041">
        <f>IF($L1041="","",SUMIFS(Расчет!$G$2:$G$3001,Расчет!$I$2:$I$3001,$K1041,Расчет!$H$2:$H$3001,3))</f>
        <v/>
      </c>
      <c r="K1041">
        <f>IF($L1041="","",INDEX(Расчет!$I$2:$I$3001,$L1041))</f>
        <v/>
      </c>
      <c r="L1041">
        <f>IFERROR(MATCH(ROW()-1,Расчет!$J$2:$J$3001,0),"")</f>
        <v/>
      </c>
    </row>
    <row r="1042">
      <c r="A1042">
        <f>IF($L1042="","",B1042&amp;"."&amp;C1042&amp;"-"&amp;D1042&amp;"-"&amp;H1042&amp;"."&amp;I1042&amp;"."&amp;J1042)</f>
        <v/>
      </c>
      <c r="B1042">
        <f>IF($L1042="","",INDEX(Расчет!$A$2:$A$3001,$L1042))</f>
        <v/>
      </c>
      <c r="C1042">
        <f>IF($L1042="","",INDEX(Расчет!$B$2:$B$3001,$L1042))</f>
        <v/>
      </c>
      <c r="D1042">
        <f>IF($L1042="","",IF(ISNUMBER(FIND("(",INDEX(Расчет!$C$2:$C$3001,$L1042))),SUBSTITUTE(MID(INDEX(Расчет!$C$2:$C$3001,$L1042),FIND("(",INDEX(Расчет!$C$2:$C$3001,$L1042))+1,99),")",""),INDEX(Расчет!$C$2:$C$3001,$L1042)))</f>
        <v/>
      </c>
      <c r="E1042">
        <f>IF($L1042="","",INDEX(Расчет!$D$2:$D$3001,$L1042))</f>
        <v/>
      </c>
      <c r="F1042">
        <f>IF($L1042="","",INDEX(Расчет!$E$2:$E$3001,$L1042))</f>
        <v/>
      </c>
      <c r="G1042">
        <f>IF($L1042="","",IFERROR(--LEFT(INDEX(Расчет!$C$2:$C$3001,$L1042),FIND("(",INDEX(Расчет!$C$2:$C$3001,$L1042))-1),IFERROR(--LEFT(INDEX(Расчет!$C$2:$C$3001,$L1042),1),"")))</f>
        <v/>
      </c>
      <c r="H1042">
        <f>IF($L1042="","",SUMIFS(Расчет!$G$2:$G$3001,Расчет!$I$2:$I$3001,$K1042,Расчет!$H$2:$H$3001,1))</f>
        <v/>
      </c>
      <c r="I1042">
        <f>IF($L1042="","",SUMIFS(Расчет!$G$2:$G$3001,Расчет!$I$2:$I$3001,$K1042,Расчет!$H$2:$H$3001,2))</f>
        <v/>
      </c>
      <c r="J1042">
        <f>IF($L1042="","",SUMIFS(Расчет!$G$2:$G$3001,Расчет!$I$2:$I$3001,$K1042,Расчет!$H$2:$H$3001,3))</f>
        <v/>
      </c>
      <c r="K1042">
        <f>IF($L1042="","",INDEX(Расчет!$I$2:$I$3001,$L1042))</f>
        <v/>
      </c>
      <c r="L1042">
        <f>IFERROR(MATCH(ROW()-1,Расчет!$J$2:$J$3001,0),"")</f>
        <v/>
      </c>
    </row>
    <row r="1043">
      <c r="A1043">
        <f>IF($L1043="","",B1043&amp;"."&amp;C1043&amp;"-"&amp;D1043&amp;"-"&amp;H1043&amp;"."&amp;I1043&amp;"."&amp;J1043)</f>
        <v/>
      </c>
      <c r="B1043">
        <f>IF($L1043="","",INDEX(Расчет!$A$2:$A$3001,$L1043))</f>
        <v/>
      </c>
      <c r="C1043">
        <f>IF($L1043="","",INDEX(Расчет!$B$2:$B$3001,$L1043))</f>
        <v/>
      </c>
      <c r="D1043">
        <f>IF($L1043="","",IF(ISNUMBER(FIND("(",INDEX(Расчет!$C$2:$C$3001,$L1043))),SUBSTITUTE(MID(INDEX(Расчет!$C$2:$C$3001,$L1043),FIND("(",INDEX(Расчет!$C$2:$C$3001,$L1043))+1,99),")",""),INDEX(Расчет!$C$2:$C$3001,$L1043)))</f>
        <v/>
      </c>
      <c r="E1043">
        <f>IF($L1043="","",INDEX(Расчет!$D$2:$D$3001,$L1043))</f>
        <v/>
      </c>
      <c r="F1043">
        <f>IF($L1043="","",INDEX(Расчет!$E$2:$E$3001,$L1043))</f>
        <v/>
      </c>
      <c r="G1043">
        <f>IF($L1043="","",IFERROR(--LEFT(INDEX(Расчет!$C$2:$C$3001,$L1043),FIND("(",INDEX(Расчет!$C$2:$C$3001,$L1043))-1),IFERROR(--LEFT(INDEX(Расчет!$C$2:$C$3001,$L1043),1),"")))</f>
        <v/>
      </c>
      <c r="H1043">
        <f>IF($L1043="","",SUMIFS(Расчет!$G$2:$G$3001,Расчет!$I$2:$I$3001,$K1043,Расчет!$H$2:$H$3001,1))</f>
        <v/>
      </c>
      <c r="I1043">
        <f>IF($L1043="","",SUMIFS(Расчет!$G$2:$G$3001,Расчет!$I$2:$I$3001,$K1043,Расчет!$H$2:$H$3001,2))</f>
        <v/>
      </c>
      <c r="J1043">
        <f>IF($L1043="","",SUMIFS(Расчет!$G$2:$G$3001,Расчет!$I$2:$I$3001,$K1043,Расчет!$H$2:$H$3001,3))</f>
        <v/>
      </c>
      <c r="K1043">
        <f>IF($L1043="","",INDEX(Расчет!$I$2:$I$3001,$L1043))</f>
        <v/>
      </c>
      <c r="L1043">
        <f>IFERROR(MATCH(ROW()-1,Расчет!$J$2:$J$3001,0),"")</f>
        <v/>
      </c>
    </row>
    <row r="1044">
      <c r="A1044">
        <f>IF($L1044="","",B1044&amp;"."&amp;C1044&amp;"-"&amp;D1044&amp;"-"&amp;H1044&amp;"."&amp;I1044&amp;"."&amp;J1044)</f>
        <v/>
      </c>
      <c r="B1044">
        <f>IF($L1044="","",INDEX(Расчет!$A$2:$A$3001,$L1044))</f>
        <v/>
      </c>
      <c r="C1044">
        <f>IF($L1044="","",INDEX(Расчет!$B$2:$B$3001,$L1044))</f>
        <v/>
      </c>
      <c r="D1044">
        <f>IF($L1044="","",IF(ISNUMBER(FIND("(",INDEX(Расчет!$C$2:$C$3001,$L1044))),SUBSTITUTE(MID(INDEX(Расчет!$C$2:$C$3001,$L1044),FIND("(",INDEX(Расчет!$C$2:$C$3001,$L1044))+1,99),")",""),INDEX(Расчет!$C$2:$C$3001,$L1044)))</f>
        <v/>
      </c>
      <c r="E1044">
        <f>IF($L1044="","",INDEX(Расчет!$D$2:$D$3001,$L1044))</f>
        <v/>
      </c>
      <c r="F1044">
        <f>IF($L1044="","",INDEX(Расчет!$E$2:$E$3001,$L1044))</f>
        <v/>
      </c>
      <c r="G1044">
        <f>IF($L1044="","",IFERROR(--LEFT(INDEX(Расчет!$C$2:$C$3001,$L1044),FIND("(",INDEX(Расчет!$C$2:$C$3001,$L1044))-1),IFERROR(--LEFT(INDEX(Расчет!$C$2:$C$3001,$L1044),1),"")))</f>
        <v/>
      </c>
      <c r="H1044">
        <f>IF($L1044="","",SUMIFS(Расчет!$G$2:$G$3001,Расчет!$I$2:$I$3001,$K1044,Расчет!$H$2:$H$3001,1))</f>
        <v/>
      </c>
      <c r="I1044">
        <f>IF($L1044="","",SUMIFS(Расчет!$G$2:$G$3001,Расчет!$I$2:$I$3001,$K1044,Расчет!$H$2:$H$3001,2))</f>
        <v/>
      </c>
      <c r="J1044">
        <f>IF($L1044="","",SUMIFS(Расчет!$G$2:$G$3001,Расчет!$I$2:$I$3001,$K1044,Расчет!$H$2:$H$3001,3))</f>
        <v/>
      </c>
      <c r="K1044">
        <f>IF($L1044="","",INDEX(Расчет!$I$2:$I$3001,$L1044))</f>
        <v/>
      </c>
      <c r="L1044">
        <f>IFERROR(MATCH(ROW()-1,Расчет!$J$2:$J$3001,0),"")</f>
        <v/>
      </c>
    </row>
    <row r="1045">
      <c r="A1045">
        <f>IF($L1045="","",B1045&amp;"."&amp;C1045&amp;"-"&amp;D1045&amp;"-"&amp;H1045&amp;"."&amp;I1045&amp;"."&amp;J1045)</f>
        <v/>
      </c>
      <c r="B1045">
        <f>IF($L1045="","",INDEX(Расчет!$A$2:$A$3001,$L1045))</f>
        <v/>
      </c>
      <c r="C1045">
        <f>IF($L1045="","",INDEX(Расчет!$B$2:$B$3001,$L1045))</f>
        <v/>
      </c>
      <c r="D1045">
        <f>IF($L1045="","",IF(ISNUMBER(FIND("(",INDEX(Расчет!$C$2:$C$3001,$L1045))),SUBSTITUTE(MID(INDEX(Расчет!$C$2:$C$3001,$L1045),FIND("(",INDEX(Расчет!$C$2:$C$3001,$L1045))+1,99),")",""),INDEX(Расчет!$C$2:$C$3001,$L1045)))</f>
        <v/>
      </c>
      <c r="E1045">
        <f>IF($L1045="","",INDEX(Расчет!$D$2:$D$3001,$L1045))</f>
        <v/>
      </c>
      <c r="F1045">
        <f>IF($L1045="","",INDEX(Расчет!$E$2:$E$3001,$L1045))</f>
        <v/>
      </c>
      <c r="G1045">
        <f>IF($L1045="","",IFERROR(--LEFT(INDEX(Расчет!$C$2:$C$3001,$L1045),FIND("(",INDEX(Расчет!$C$2:$C$3001,$L1045))-1),IFERROR(--LEFT(INDEX(Расчет!$C$2:$C$3001,$L1045),1),"")))</f>
        <v/>
      </c>
      <c r="H1045">
        <f>IF($L1045="","",SUMIFS(Расчет!$G$2:$G$3001,Расчет!$I$2:$I$3001,$K1045,Расчет!$H$2:$H$3001,1))</f>
        <v/>
      </c>
      <c r="I1045">
        <f>IF($L1045="","",SUMIFS(Расчет!$G$2:$G$3001,Расчет!$I$2:$I$3001,$K1045,Расчет!$H$2:$H$3001,2))</f>
        <v/>
      </c>
      <c r="J1045">
        <f>IF($L1045="","",SUMIFS(Расчет!$G$2:$G$3001,Расчет!$I$2:$I$3001,$K1045,Расчет!$H$2:$H$3001,3))</f>
        <v/>
      </c>
      <c r="K1045">
        <f>IF($L1045="","",INDEX(Расчет!$I$2:$I$3001,$L1045))</f>
        <v/>
      </c>
      <c r="L1045">
        <f>IFERROR(MATCH(ROW()-1,Расчет!$J$2:$J$3001,0),"")</f>
        <v/>
      </c>
    </row>
    <row r="1046">
      <c r="A1046">
        <f>IF($L1046="","",B1046&amp;"."&amp;C1046&amp;"-"&amp;D1046&amp;"-"&amp;H1046&amp;"."&amp;I1046&amp;"."&amp;J1046)</f>
        <v/>
      </c>
      <c r="B1046">
        <f>IF($L1046="","",INDEX(Расчет!$A$2:$A$3001,$L1046))</f>
        <v/>
      </c>
      <c r="C1046">
        <f>IF($L1046="","",INDEX(Расчет!$B$2:$B$3001,$L1046))</f>
        <v/>
      </c>
      <c r="D1046">
        <f>IF($L1046="","",IF(ISNUMBER(FIND("(",INDEX(Расчет!$C$2:$C$3001,$L1046))),SUBSTITUTE(MID(INDEX(Расчет!$C$2:$C$3001,$L1046),FIND("(",INDEX(Расчет!$C$2:$C$3001,$L1046))+1,99),")",""),INDEX(Расчет!$C$2:$C$3001,$L1046)))</f>
        <v/>
      </c>
      <c r="E1046">
        <f>IF($L1046="","",INDEX(Расчет!$D$2:$D$3001,$L1046))</f>
        <v/>
      </c>
      <c r="F1046">
        <f>IF($L1046="","",INDEX(Расчет!$E$2:$E$3001,$L1046))</f>
        <v/>
      </c>
      <c r="G1046">
        <f>IF($L1046="","",IFERROR(--LEFT(INDEX(Расчет!$C$2:$C$3001,$L1046),FIND("(",INDEX(Расчет!$C$2:$C$3001,$L1046))-1),IFERROR(--LEFT(INDEX(Расчет!$C$2:$C$3001,$L1046),1),"")))</f>
        <v/>
      </c>
      <c r="H1046">
        <f>IF($L1046="","",SUMIFS(Расчет!$G$2:$G$3001,Расчет!$I$2:$I$3001,$K1046,Расчет!$H$2:$H$3001,1))</f>
        <v/>
      </c>
      <c r="I1046">
        <f>IF($L1046="","",SUMIFS(Расчет!$G$2:$G$3001,Расчет!$I$2:$I$3001,$K1046,Расчет!$H$2:$H$3001,2))</f>
        <v/>
      </c>
      <c r="J1046">
        <f>IF($L1046="","",SUMIFS(Расчет!$G$2:$G$3001,Расчет!$I$2:$I$3001,$K1046,Расчет!$H$2:$H$3001,3))</f>
        <v/>
      </c>
      <c r="K1046">
        <f>IF($L1046="","",INDEX(Расчет!$I$2:$I$3001,$L1046))</f>
        <v/>
      </c>
      <c r="L1046">
        <f>IFERROR(MATCH(ROW()-1,Расчет!$J$2:$J$3001,0),"")</f>
        <v/>
      </c>
    </row>
    <row r="1047">
      <c r="A1047">
        <f>IF($L1047="","",B1047&amp;"."&amp;C1047&amp;"-"&amp;D1047&amp;"-"&amp;H1047&amp;"."&amp;I1047&amp;"."&amp;J1047)</f>
        <v/>
      </c>
      <c r="B1047">
        <f>IF($L1047="","",INDEX(Расчет!$A$2:$A$3001,$L1047))</f>
        <v/>
      </c>
      <c r="C1047">
        <f>IF($L1047="","",INDEX(Расчет!$B$2:$B$3001,$L1047))</f>
        <v/>
      </c>
      <c r="D1047">
        <f>IF($L1047="","",IF(ISNUMBER(FIND("(",INDEX(Расчет!$C$2:$C$3001,$L1047))),SUBSTITUTE(MID(INDEX(Расчет!$C$2:$C$3001,$L1047),FIND("(",INDEX(Расчет!$C$2:$C$3001,$L1047))+1,99),")",""),INDEX(Расчет!$C$2:$C$3001,$L1047)))</f>
        <v/>
      </c>
      <c r="E1047">
        <f>IF($L1047="","",INDEX(Расчет!$D$2:$D$3001,$L1047))</f>
        <v/>
      </c>
      <c r="F1047">
        <f>IF($L1047="","",INDEX(Расчет!$E$2:$E$3001,$L1047))</f>
        <v/>
      </c>
      <c r="G1047">
        <f>IF($L1047="","",IFERROR(--LEFT(INDEX(Расчет!$C$2:$C$3001,$L1047),FIND("(",INDEX(Расчет!$C$2:$C$3001,$L1047))-1),IFERROR(--LEFT(INDEX(Расчет!$C$2:$C$3001,$L1047),1),"")))</f>
        <v/>
      </c>
      <c r="H1047">
        <f>IF($L1047="","",SUMIFS(Расчет!$G$2:$G$3001,Расчет!$I$2:$I$3001,$K1047,Расчет!$H$2:$H$3001,1))</f>
        <v/>
      </c>
      <c r="I1047">
        <f>IF($L1047="","",SUMIFS(Расчет!$G$2:$G$3001,Расчет!$I$2:$I$3001,$K1047,Расчет!$H$2:$H$3001,2))</f>
        <v/>
      </c>
      <c r="J1047">
        <f>IF($L1047="","",SUMIFS(Расчет!$G$2:$G$3001,Расчет!$I$2:$I$3001,$K1047,Расчет!$H$2:$H$3001,3))</f>
        <v/>
      </c>
      <c r="K1047">
        <f>IF($L1047="","",INDEX(Расчет!$I$2:$I$3001,$L1047))</f>
        <v/>
      </c>
      <c r="L1047">
        <f>IFERROR(MATCH(ROW()-1,Расчет!$J$2:$J$3001,0),"")</f>
        <v/>
      </c>
    </row>
    <row r="1048">
      <c r="A1048">
        <f>IF($L1048="","",B1048&amp;"."&amp;C1048&amp;"-"&amp;D1048&amp;"-"&amp;H1048&amp;"."&amp;I1048&amp;"."&amp;J1048)</f>
        <v/>
      </c>
      <c r="B1048">
        <f>IF($L1048="","",INDEX(Расчет!$A$2:$A$3001,$L1048))</f>
        <v/>
      </c>
      <c r="C1048">
        <f>IF($L1048="","",INDEX(Расчет!$B$2:$B$3001,$L1048))</f>
        <v/>
      </c>
      <c r="D1048">
        <f>IF($L1048="","",IF(ISNUMBER(FIND("(",INDEX(Расчет!$C$2:$C$3001,$L1048))),SUBSTITUTE(MID(INDEX(Расчет!$C$2:$C$3001,$L1048),FIND("(",INDEX(Расчет!$C$2:$C$3001,$L1048))+1,99),")",""),INDEX(Расчет!$C$2:$C$3001,$L1048)))</f>
        <v/>
      </c>
      <c r="E1048">
        <f>IF($L1048="","",INDEX(Расчет!$D$2:$D$3001,$L1048))</f>
        <v/>
      </c>
      <c r="F1048">
        <f>IF($L1048="","",INDEX(Расчет!$E$2:$E$3001,$L1048))</f>
        <v/>
      </c>
      <c r="G1048">
        <f>IF($L1048="","",IFERROR(--LEFT(INDEX(Расчет!$C$2:$C$3001,$L1048),FIND("(",INDEX(Расчет!$C$2:$C$3001,$L1048))-1),IFERROR(--LEFT(INDEX(Расчет!$C$2:$C$3001,$L1048),1),"")))</f>
        <v/>
      </c>
      <c r="H1048">
        <f>IF($L1048="","",SUMIFS(Расчет!$G$2:$G$3001,Расчет!$I$2:$I$3001,$K1048,Расчет!$H$2:$H$3001,1))</f>
        <v/>
      </c>
      <c r="I1048">
        <f>IF($L1048="","",SUMIFS(Расчет!$G$2:$G$3001,Расчет!$I$2:$I$3001,$K1048,Расчет!$H$2:$H$3001,2))</f>
        <v/>
      </c>
      <c r="J1048">
        <f>IF($L1048="","",SUMIFS(Расчет!$G$2:$G$3001,Расчет!$I$2:$I$3001,$K1048,Расчет!$H$2:$H$3001,3))</f>
        <v/>
      </c>
      <c r="K1048">
        <f>IF($L1048="","",INDEX(Расчет!$I$2:$I$3001,$L1048))</f>
        <v/>
      </c>
      <c r="L1048">
        <f>IFERROR(MATCH(ROW()-1,Расчет!$J$2:$J$3001,0),"")</f>
        <v/>
      </c>
    </row>
    <row r="1049">
      <c r="A1049">
        <f>IF($L1049="","",B1049&amp;"."&amp;C1049&amp;"-"&amp;D1049&amp;"-"&amp;H1049&amp;"."&amp;I1049&amp;"."&amp;J1049)</f>
        <v/>
      </c>
      <c r="B1049">
        <f>IF($L1049="","",INDEX(Расчет!$A$2:$A$3001,$L1049))</f>
        <v/>
      </c>
      <c r="C1049">
        <f>IF($L1049="","",INDEX(Расчет!$B$2:$B$3001,$L1049))</f>
        <v/>
      </c>
      <c r="D1049">
        <f>IF($L1049="","",IF(ISNUMBER(FIND("(",INDEX(Расчет!$C$2:$C$3001,$L1049))),SUBSTITUTE(MID(INDEX(Расчет!$C$2:$C$3001,$L1049),FIND("(",INDEX(Расчет!$C$2:$C$3001,$L1049))+1,99),")",""),INDEX(Расчет!$C$2:$C$3001,$L1049)))</f>
        <v/>
      </c>
      <c r="E1049">
        <f>IF($L1049="","",INDEX(Расчет!$D$2:$D$3001,$L1049))</f>
        <v/>
      </c>
      <c r="F1049">
        <f>IF($L1049="","",INDEX(Расчет!$E$2:$E$3001,$L1049))</f>
        <v/>
      </c>
      <c r="G1049">
        <f>IF($L1049="","",IFERROR(--LEFT(INDEX(Расчет!$C$2:$C$3001,$L1049),FIND("(",INDEX(Расчет!$C$2:$C$3001,$L1049))-1),IFERROR(--LEFT(INDEX(Расчет!$C$2:$C$3001,$L1049),1),"")))</f>
        <v/>
      </c>
      <c r="H1049">
        <f>IF($L1049="","",SUMIFS(Расчет!$G$2:$G$3001,Расчет!$I$2:$I$3001,$K1049,Расчет!$H$2:$H$3001,1))</f>
        <v/>
      </c>
      <c r="I1049">
        <f>IF($L1049="","",SUMIFS(Расчет!$G$2:$G$3001,Расчет!$I$2:$I$3001,$K1049,Расчет!$H$2:$H$3001,2))</f>
        <v/>
      </c>
      <c r="J1049">
        <f>IF($L1049="","",SUMIFS(Расчет!$G$2:$G$3001,Расчет!$I$2:$I$3001,$K1049,Расчет!$H$2:$H$3001,3))</f>
        <v/>
      </c>
      <c r="K1049">
        <f>IF($L1049="","",INDEX(Расчет!$I$2:$I$3001,$L1049))</f>
        <v/>
      </c>
      <c r="L1049">
        <f>IFERROR(MATCH(ROW()-1,Расчет!$J$2:$J$3001,0),"")</f>
        <v/>
      </c>
    </row>
    <row r="1050">
      <c r="A1050">
        <f>IF($L1050="","",B1050&amp;"."&amp;C1050&amp;"-"&amp;D1050&amp;"-"&amp;H1050&amp;"."&amp;I1050&amp;"."&amp;J1050)</f>
        <v/>
      </c>
      <c r="B1050">
        <f>IF($L1050="","",INDEX(Расчет!$A$2:$A$3001,$L1050))</f>
        <v/>
      </c>
      <c r="C1050">
        <f>IF($L1050="","",INDEX(Расчет!$B$2:$B$3001,$L1050))</f>
        <v/>
      </c>
      <c r="D1050">
        <f>IF($L1050="","",IF(ISNUMBER(FIND("(",INDEX(Расчет!$C$2:$C$3001,$L1050))),SUBSTITUTE(MID(INDEX(Расчет!$C$2:$C$3001,$L1050),FIND("(",INDEX(Расчет!$C$2:$C$3001,$L1050))+1,99),")",""),INDEX(Расчет!$C$2:$C$3001,$L1050)))</f>
        <v/>
      </c>
      <c r="E1050">
        <f>IF($L1050="","",INDEX(Расчет!$D$2:$D$3001,$L1050))</f>
        <v/>
      </c>
      <c r="F1050">
        <f>IF($L1050="","",INDEX(Расчет!$E$2:$E$3001,$L1050))</f>
        <v/>
      </c>
      <c r="G1050">
        <f>IF($L1050="","",IFERROR(--LEFT(INDEX(Расчет!$C$2:$C$3001,$L1050),FIND("(",INDEX(Расчет!$C$2:$C$3001,$L1050))-1),IFERROR(--LEFT(INDEX(Расчет!$C$2:$C$3001,$L1050),1),"")))</f>
        <v/>
      </c>
      <c r="H1050">
        <f>IF($L1050="","",SUMIFS(Расчет!$G$2:$G$3001,Расчет!$I$2:$I$3001,$K1050,Расчет!$H$2:$H$3001,1))</f>
        <v/>
      </c>
      <c r="I1050">
        <f>IF($L1050="","",SUMIFS(Расчет!$G$2:$G$3001,Расчет!$I$2:$I$3001,$K1050,Расчет!$H$2:$H$3001,2))</f>
        <v/>
      </c>
      <c r="J1050">
        <f>IF($L1050="","",SUMIFS(Расчет!$G$2:$G$3001,Расчет!$I$2:$I$3001,$K1050,Расчет!$H$2:$H$3001,3))</f>
        <v/>
      </c>
      <c r="K1050">
        <f>IF($L1050="","",INDEX(Расчет!$I$2:$I$3001,$L1050))</f>
        <v/>
      </c>
      <c r="L1050">
        <f>IFERROR(MATCH(ROW()-1,Расчет!$J$2:$J$3001,0),"")</f>
        <v/>
      </c>
    </row>
    <row r="1051">
      <c r="A1051">
        <f>IF($L1051="","",B1051&amp;"."&amp;C1051&amp;"-"&amp;D1051&amp;"-"&amp;H1051&amp;"."&amp;I1051&amp;"."&amp;J1051)</f>
        <v/>
      </c>
      <c r="B1051">
        <f>IF($L1051="","",INDEX(Расчет!$A$2:$A$3001,$L1051))</f>
        <v/>
      </c>
      <c r="C1051">
        <f>IF($L1051="","",INDEX(Расчет!$B$2:$B$3001,$L1051))</f>
        <v/>
      </c>
      <c r="D1051">
        <f>IF($L1051="","",IF(ISNUMBER(FIND("(",INDEX(Расчет!$C$2:$C$3001,$L1051))),SUBSTITUTE(MID(INDEX(Расчет!$C$2:$C$3001,$L1051),FIND("(",INDEX(Расчет!$C$2:$C$3001,$L1051))+1,99),")",""),INDEX(Расчет!$C$2:$C$3001,$L1051)))</f>
        <v/>
      </c>
      <c r="E1051">
        <f>IF($L1051="","",INDEX(Расчет!$D$2:$D$3001,$L1051))</f>
        <v/>
      </c>
      <c r="F1051">
        <f>IF($L1051="","",INDEX(Расчет!$E$2:$E$3001,$L1051))</f>
        <v/>
      </c>
      <c r="G1051">
        <f>IF($L1051="","",IFERROR(--LEFT(INDEX(Расчет!$C$2:$C$3001,$L1051),FIND("(",INDEX(Расчет!$C$2:$C$3001,$L1051))-1),IFERROR(--LEFT(INDEX(Расчет!$C$2:$C$3001,$L1051),1),"")))</f>
        <v/>
      </c>
      <c r="H1051">
        <f>IF($L1051="","",SUMIFS(Расчет!$G$2:$G$3001,Расчет!$I$2:$I$3001,$K1051,Расчет!$H$2:$H$3001,1))</f>
        <v/>
      </c>
      <c r="I1051">
        <f>IF($L1051="","",SUMIFS(Расчет!$G$2:$G$3001,Расчет!$I$2:$I$3001,$K1051,Расчет!$H$2:$H$3001,2))</f>
        <v/>
      </c>
      <c r="J1051">
        <f>IF($L1051="","",SUMIFS(Расчет!$G$2:$G$3001,Расчет!$I$2:$I$3001,$K1051,Расчет!$H$2:$H$3001,3))</f>
        <v/>
      </c>
      <c r="K1051">
        <f>IF($L1051="","",INDEX(Расчет!$I$2:$I$3001,$L1051))</f>
        <v/>
      </c>
      <c r="L1051">
        <f>IFERROR(MATCH(ROW()-1,Расчет!$J$2:$J$3001,0),"")</f>
        <v/>
      </c>
    </row>
    <row r="1052">
      <c r="A1052">
        <f>IF($L1052="","",B1052&amp;"."&amp;C1052&amp;"-"&amp;D1052&amp;"-"&amp;H1052&amp;"."&amp;I1052&amp;"."&amp;J1052)</f>
        <v/>
      </c>
      <c r="B1052">
        <f>IF($L1052="","",INDEX(Расчет!$A$2:$A$3001,$L1052))</f>
        <v/>
      </c>
      <c r="C1052">
        <f>IF($L1052="","",INDEX(Расчет!$B$2:$B$3001,$L1052))</f>
        <v/>
      </c>
      <c r="D1052">
        <f>IF($L1052="","",IF(ISNUMBER(FIND("(",INDEX(Расчет!$C$2:$C$3001,$L1052))),SUBSTITUTE(MID(INDEX(Расчет!$C$2:$C$3001,$L1052),FIND("(",INDEX(Расчет!$C$2:$C$3001,$L1052))+1,99),")",""),INDEX(Расчет!$C$2:$C$3001,$L1052)))</f>
        <v/>
      </c>
      <c r="E1052">
        <f>IF($L1052="","",INDEX(Расчет!$D$2:$D$3001,$L1052))</f>
        <v/>
      </c>
      <c r="F1052">
        <f>IF($L1052="","",INDEX(Расчет!$E$2:$E$3001,$L1052))</f>
        <v/>
      </c>
      <c r="G1052">
        <f>IF($L1052="","",IFERROR(--LEFT(INDEX(Расчет!$C$2:$C$3001,$L1052),FIND("(",INDEX(Расчет!$C$2:$C$3001,$L1052))-1),IFERROR(--LEFT(INDEX(Расчет!$C$2:$C$3001,$L1052),1),"")))</f>
        <v/>
      </c>
      <c r="H1052">
        <f>IF($L1052="","",SUMIFS(Расчет!$G$2:$G$3001,Расчет!$I$2:$I$3001,$K1052,Расчет!$H$2:$H$3001,1))</f>
        <v/>
      </c>
      <c r="I1052">
        <f>IF($L1052="","",SUMIFS(Расчет!$G$2:$G$3001,Расчет!$I$2:$I$3001,$K1052,Расчет!$H$2:$H$3001,2))</f>
        <v/>
      </c>
      <c r="J1052">
        <f>IF($L1052="","",SUMIFS(Расчет!$G$2:$G$3001,Расчет!$I$2:$I$3001,$K1052,Расчет!$H$2:$H$3001,3))</f>
        <v/>
      </c>
      <c r="K1052">
        <f>IF($L1052="","",INDEX(Расчет!$I$2:$I$3001,$L1052))</f>
        <v/>
      </c>
      <c r="L1052">
        <f>IFERROR(MATCH(ROW()-1,Расчет!$J$2:$J$3001,0),"")</f>
        <v/>
      </c>
    </row>
    <row r="1053">
      <c r="A1053">
        <f>IF($L1053="","",B1053&amp;"."&amp;C1053&amp;"-"&amp;D1053&amp;"-"&amp;H1053&amp;"."&amp;I1053&amp;"."&amp;J1053)</f>
        <v/>
      </c>
      <c r="B1053">
        <f>IF($L1053="","",INDEX(Расчет!$A$2:$A$3001,$L1053))</f>
        <v/>
      </c>
      <c r="C1053">
        <f>IF($L1053="","",INDEX(Расчет!$B$2:$B$3001,$L1053))</f>
        <v/>
      </c>
      <c r="D1053">
        <f>IF($L1053="","",IF(ISNUMBER(FIND("(",INDEX(Расчет!$C$2:$C$3001,$L1053))),SUBSTITUTE(MID(INDEX(Расчет!$C$2:$C$3001,$L1053),FIND("(",INDEX(Расчет!$C$2:$C$3001,$L1053))+1,99),")",""),INDEX(Расчет!$C$2:$C$3001,$L1053)))</f>
        <v/>
      </c>
      <c r="E1053">
        <f>IF($L1053="","",INDEX(Расчет!$D$2:$D$3001,$L1053))</f>
        <v/>
      </c>
      <c r="F1053">
        <f>IF($L1053="","",INDEX(Расчет!$E$2:$E$3001,$L1053))</f>
        <v/>
      </c>
      <c r="G1053">
        <f>IF($L1053="","",IFERROR(--LEFT(INDEX(Расчет!$C$2:$C$3001,$L1053),FIND("(",INDEX(Расчет!$C$2:$C$3001,$L1053))-1),IFERROR(--LEFT(INDEX(Расчет!$C$2:$C$3001,$L1053),1),"")))</f>
        <v/>
      </c>
      <c r="H1053">
        <f>IF($L1053="","",SUMIFS(Расчет!$G$2:$G$3001,Расчет!$I$2:$I$3001,$K1053,Расчет!$H$2:$H$3001,1))</f>
        <v/>
      </c>
      <c r="I1053">
        <f>IF($L1053="","",SUMIFS(Расчет!$G$2:$G$3001,Расчет!$I$2:$I$3001,$K1053,Расчет!$H$2:$H$3001,2))</f>
        <v/>
      </c>
      <c r="J1053">
        <f>IF($L1053="","",SUMIFS(Расчет!$G$2:$G$3001,Расчет!$I$2:$I$3001,$K1053,Расчет!$H$2:$H$3001,3))</f>
        <v/>
      </c>
      <c r="K1053">
        <f>IF($L1053="","",INDEX(Расчет!$I$2:$I$3001,$L1053))</f>
        <v/>
      </c>
      <c r="L1053">
        <f>IFERROR(MATCH(ROW()-1,Расчет!$J$2:$J$3001,0),"")</f>
        <v/>
      </c>
    </row>
    <row r="1054">
      <c r="A1054">
        <f>IF($L1054="","",B1054&amp;"."&amp;C1054&amp;"-"&amp;D1054&amp;"-"&amp;H1054&amp;"."&amp;I1054&amp;"."&amp;J1054)</f>
        <v/>
      </c>
      <c r="B1054">
        <f>IF($L1054="","",INDEX(Расчет!$A$2:$A$3001,$L1054))</f>
        <v/>
      </c>
      <c r="C1054">
        <f>IF($L1054="","",INDEX(Расчет!$B$2:$B$3001,$L1054))</f>
        <v/>
      </c>
      <c r="D1054">
        <f>IF($L1054="","",IF(ISNUMBER(FIND("(",INDEX(Расчет!$C$2:$C$3001,$L1054))),SUBSTITUTE(MID(INDEX(Расчет!$C$2:$C$3001,$L1054),FIND("(",INDEX(Расчет!$C$2:$C$3001,$L1054))+1,99),")",""),INDEX(Расчет!$C$2:$C$3001,$L1054)))</f>
        <v/>
      </c>
      <c r="E1054">
        <f>IF($L1054="","",INDEX(Расчет!$D$2:$D$3001,$L1054))</f>
        <v/>
      </c>
      <c r="F1054">
        <f>IF($L1054="","",INDEX(Расчет!$E$2:$E$3001,$L1054))</f>
        <v/>
      </c>
      <c r="G1054">
        <f>IF($L1054="","",IFERROR(--LEFT(INDEX(Расчет!$C$2:$C$3001,$L1054),FIND("(",INDEX(Расчет!$C$2:$C$3001,$L1054))-1),IFERROR(--LEFT(INDEX(Расчет!$C$2:$C$3001,$L1054),1),"")))</f>
        <v/>
      </c>
      <c r="H1054">
        <f>IF($L1054="","",SUMIFS(Расчет!$G$2:$G$3001,Расчет!$I$2:$I$3001,$K1054,Расчет!$H$2:$H$3001,1))</f>
        <v/>
      </c>
      <c r="I1054">
        <f>IF($L1054="","",SUMIFS(Расчет!$G$2:$G$3001,Расчет!$I$2:$I$3001,$K1054,Расчет!$H$2:$H$3001,2))</f>
        <v/>
      </c>
      <c r="J1054">
        <f>IF($L1054="","",SUMIFS(Расчет!$G$2:$G$3001,Расчет!$I$2:$I$3001,$K1054,Расчет!$H$2:$H$3001,3))</f>
        <v/>
      </c>
      <c r="K1054">
        <f>IF($L1054="","",INDEX(Расчет!$I$2:$I$3001,$L1054))</f>
        <v/>
      </c>
      <c r="L1054">
        <f>IFERROR(MATCH(ROW()-1,Расчет!$J$2:$J$3001,0),"")</f>
        <v/>
      </c>
    </row>
    <row r="1055">
      <c r="A1055">
        <f>IF($L1055="","",B1055&amp;"."&amp;C1055&amp;"-"&amp;D1055&amp;"-"&amp;H1055&amp;"."&amp;I1055&amp;"."&amp;J1055)</f>
        <v/>
      </c>
      <c r="B1055">
        <f>IF($L1055="","",INDEX(Расчет!$A$2:$A$3001,$L1055))</f>
        <v/>
      </c>
      <c r="C1055">
        <f>IF($L1055="","",INDEX(Расчет!$B$2:$B$3001,$L1055))</f>
        <v/>
      </c>
      <c r="D1055">
        <f>IF($L1055="","",IF(ISNUMBER(FIND("(",INDEX(Расчет!$C$2:$C$3001,$L1055))),SUBSTITUTE(MID(INDEX(Расчет!$C$2:$C$3001,$L1055),FIND("(",INDEX(Расчет!$C$2:$C$3001,$L1055))+1,99),")",""),INDEX(Расчет!$C$2:$C$3001,$L1055)))</f>
        <v/>
      </c>
      <c r="E1055">
        <f>IF($L1055="","",INDEX(Расчет!$D$2:$D$3001,$L1055))</f>
        <v/>
      </c>
      <c r="F1055">
        <f>IF($L1055="","",INDEX(Расчет!$E$2:$E$3001,$L1055))</f>
        <v/>
      </c>
      <c r="G1055">
        <f>IF($L1055="","",IFERROR(--LEFT(INDEX(Расчет!$C$2:$C$3001,$L1055),FIND("(",INDEX(Расчет!$C$2:$C$3001,$L1055))-1),IFERROR(--LEFT(INDEX(Расчет!$C$2:$C$3001,$L1055),1),"")))</f>
        <v/>
      </c>
      <c r="H1055">
        <f>IF($L1055="","",SUMIFS(Расчет!$G$2:$G$3001,Расчет!$I$2:$I$3001,$K1055,Расчет!$H$2:$H$3001,1))</f>
        <v/>
      </c>
      <c r="I1055">
        <f>IF($L1055="","",SUMIFS(Расчет!$G$2:$G$3001,Расчет!$I$2:$I$3001,$K1055,Расчет!$H$2:$H$3001,2))</f>
        <v/>
      </c>
      <c r="J1055">
        <f>IF($L1055="","",SUMIFS(Расчет!$G$2:$G$3001,Расчет!$I$2:$I$3001,$K1055,Расчет!$H$2:$H$3001,3))</f>
        <v/>
      </c>
      <c r="K1055">
        <f>IF($L1055="","",INDEX(Расчет!$I$2:$I$3001,$L1055))</f>
        <v/>
      </c>
      <c r="L1055">
        <f>IFERROR(MATCH(ROW()-1,Расчет!$J$2:$J$3001,0),"")</f>
        <v/>
      </c>
    </row>
    <row r="1056">
      <c r="A1056">
        <f>IF($L1056="","",B1056&amp;"."&amp;C1056&amp;"-"&amp;D1056&amp;"-"&amp;H1056&amp;"."&amp;I1056&amp;"."&amp;J1056)</f>
        <v/>
      </c>
      <c r="B1056">
        <f>IF($L1056="","",INDEX(Расчет!$A$2:$A$3001,$L1056))</f>
        <v/>
      </c>
      <c r="C1056">
        <f>IF($L1056="","",INDEX(Расчет!$B$2:$B$3001,$L1056))</f>
        <v/>
      </c>
      <c r="D1056">
        <f>IF($L1056="","",IF(ISNUMBER(FIND("(",INDEX(Расчет!$C$2:$C$3001,$L1056))),SUBSTITUTE(MID(INDEX(Расчет!$C$2:$C$3001,$L1056),FIND("(",INDEX(Расчет!$C$2:$C$3001,$L1056))+1,99),")",""),INDEX(Расчет!$C$2:$C$3001,$L1056)))</f>
        <v/>
      </c>
      <c r="E1056">
        <f>IF($L1056="","",INDEX(Расчет!$D$2:$D$3001,$L1056))</f>
        <v/>
      </c>
      <c r="F1056">
        <f>IF($L1056="","",INDEX(Расчет!$E$2:$E$3001,$L1056))</f>
        <v/>
      </c>
      <c r="G1056">
        <f>IF($L1056="","",IFERROR(--LEFT(INDEX(Расчет!$C$2:$C$3001,$L1056),FIND("(",INDEX(Расчет!$C$2:$C$3001,$L1056))-1),IFERROR(--LEFT(INDEX(Расчет!$C$2:$C$3001,$L1056),1),"")))</f>
        <v/>
      </c>
      <c r="H1056">
        <f>IF($L1056="","",SUMIFS(Расчет!$G$2:$G$3001,Расчет!$I$2:$I$3001,$K1056,Расчет!$H$2:$H$3001,1))</f>
        <v/>
      </c>
      <c r="I1056">
        <f>IF($L1056="","",SUMIFS(Расчет!$G$2:$G$3001,Расчет!$I$2:$I$3001,$K1056,Расчет!$H$2:$H$3001,2))</f>
        <v/>
      </c>
      <c r="J1056">
        <f>IF($L1056="","",SUMIFS(Расчет!$G$2:$G$3001,Расчет!$I$2:$I$3001,$K1056,Расчет!$H$2:$H$3001,3))</f>
        <v/>
      </c>
      <c r="K1056">
        <f>IF($L1056="","",INDEX(Расчет!$I$2:$I$3001,$L1056))</f>
        <v/>
      </c>
      <c r="L1056">
        <f>IFERROR(MATCH(ROW()-1,Расчет!$J$2:$J$3001,0),"")</f>
        <v/>
      </c>
    </row>
    <row r="1057">
      <c r="A1057">
        <f>IF($L1057="","",B1057&amp;"."&amp;C1057&amp;"-"&amp;D1057&amp;"-"&amp;H1057&amp;"."&amp;I1057&amp;"."&amp;J1057)</f>
        <v/>
      </c>
      <c r="B1057">
        <f>IF($L1057="","",INDEX(Расчет!$A$2:$A$3001,$L1057))</f>
        <v/>
      </c>
      <c r="C1057">
        <f>IF($L1057="","",INDEX(Расчет!$B$2:$B$3001,$L1057))</f>
        <v/>
      </c>
      <c r="D1057">
        <f>IF($L1057="","",IF(ISNUMBER(FIND("(",INDEX(Расчет!$C$2:$C$3001,$L1057))),SUBSTITUTE(MID(INDEX(Расчет!$C$2:$C$3001,$L1057),FIND("(",INDEX(Расчет!$C$2:$C$3001,$L1057))+1,99),")",""),INDEX(Расчет!$C$2:$C$3001,$L1057)))</f>
        <v/>
      </c>
      <c r="E1057">
        <f>IF($L1057="","",INDEX(Расчет!$D$2:$D$3001,$L1057))</f>
        <v/>
      </c>
      <c r="F1057">
        <f>IF($L1057="","",INDEX(Расчет!$E$2:$E$3001,$L1057))</f>
        <v/>
      </c>
      <c r="G1057">
        <f>IF($L1057="","",IFERROR(--LEFT(INDEX(Расчет!$C$2:$C$3001,$L1057),FIND("(",INDEX(Расчет!$C$2:$C$3001,$L1057))-1),IFERROR(--LEFT(INDEX(Расчет!$C$2:$C$3001,$L1057),1),"")))</f>
        <v/>
      </c>
      <c r="H1057">
        <f>IF($L1057="","",SUMIFS(Расчет!$G$2:$G$3001,Расчет!$I$2:$I$3001,$K1057,Расчет!$H$2:$H$3001,1))</f>
        <v/>
      </c>
      <c r="I1057">
        <f>IF($L1057="","",SUMIFS(Расчет!$G$2:$G$3001,Расчет!$I$2:$I$3001,$K1057,Расчет!$H$2:$H$3001,2))</f>
        <v/>
      </c>
      <c r="J1057">
        <f>IF($L1057="","",SUMIFS(Расчет!$G$2:$G$3001,Расчет!$I$2:$I$3001,$K1057,Расчет!$H$2:$H$3001,3))</f>
        <v/>
      </c>
      <c r="K1057">
        <f>IF($L1057="","",INDEX(Расчет!$I$2:$I$3001,$L1057))</f>
        <v/>
      </c>
      <c r="L1057">
        <f>IFERROR(MATCH(ROW()-1,Расчет!$J$2:$J$3001,0),"")</f>
        <v/>
      </c>
    </row>
    <row r="1058">
      <c r="A1058">
        <f>IF($L1058="","",B1058&amp;"."&amp;C1058&amp;"-"&amp;D1058&amp;"-"&amp;H1058&amp;"."&amp;I1058&amp;"."&amp;J1058)</f>
        <v/>
      </c>
      <c r="B1058">
        <f>IF($L1058="","",INDEX(Расчет!$A$2:$A$3001,$L1058))</f>
        <v/>
      </c>
      <c r="C1058">
        <f>IF($L1058="","",INDEX(Расчет!$B$2:$B$3001,$L1058))</f>
        <v/>
      </c>
      <c r="D1058">
        <f>IF($L1058="","",IF(ISNUMBER(FIND("(",INDEX(Расчет!$C$2:$C$3001,$L1058))),SUBSTITUTE(MID(INDEX(Расчет!$C$2:$C$3001,$L1058),FIND("(",INDEX(Расчет!$C$2:$C$3001,$L1058))+1,99),")",""),INDEX(Расчет!$C$2:$C$3001,$L1058)))</f>
        <v/>
      </c>
      <c r="E1058">
        <f>IF($L1058="","",INDEX(Расчет!$D$2:$D$3001,$L1058))</f>
        <v/>
      </c>
      <c r="F1058">
        <f>IF($L1058="","",INDEX(Расчет!$E$2:$E$3001,$L1058))</f>
        <v/>
      </c>
      <c r="G1058">
        <f>IF($L1058="","",IFERROR(--LEFT(INDEX(Расчет!$C$2:$C$3001,$L1058),FIND("(",INDEX(Расчет!$C$2:$C$3001,$L1058))-1),IFERROR(--LEFT(INDEX(Расчет!$C$2:$C$3001,$L1058),1),"")))</f>
        <v/>
      </c>
      <c r="H1058">
        <f>IF($L1058="","",SUMIFS(Расчет!$G$2:$G$3001,Расчет!$I$2:$I$3001,$K1058,Расчет!$H$2:$H$3001,1))</f>
        <v/>
      </c>
      <c r="I1058">
        <f>IF($L1058="","",SUMIFS(Расчет!$G$2:$G$3001,Расчет!$I$2:$I$3001,$K1058,Расчет!$H$2:$H$3001,2))</f>
        <v/>
      </c>
      <c r="J1058">
        <f>IF($L1058="","",SUMIFS(Расчет!$G$2:$G$3001,Расчет!$I$2:$I$3001,$K1058,Расчет!$H$2:$H$3001,3))</f>
        <v/>
      </c>
      <c r="K1058">
        <f>IF($L1058="","",INDEX(Расчет!$I$2:$I$3001,$L1058))</f>
        <v/>
      </c>
      <c r="L1058">
        <f>IFERROR(MATCH(ROW()-1,Расчет!$J$2:$J$3001,0),"")</f>
        <v/>
      </c>
    </row>
    <row r="1059">
      <c r="A1059">
        <f>IF($L1059="","",B1059&amp;"."&amp;C1059&amp;"-"&amp;D1059&amp;"-"&amp;H1059&amp;"."&amp;I1059&amp;"."&amp;J1059)</f>
        <v/>
      </c>
      <c r="B1059">
        <f>IF($L1059="","",INDEX(Расчет!$A$2:$A$3001,$L1059))</f>
        <v/>
      </c>
      <c r="C1059">
        <f>IF($L1059="","",INDEX(Расчет!$B$2:$B$3001,$L1059))</f>
        <v/>
      </c>
      <c r="D1059">
        <f>IF($L1059="","",IF(ISNUMBER(FIND("(",INDEX(Расчет!$C$2:$C$3001,$L1059))),SUBSTITUTE(MID(INDEX(Расчет!$C$2:$C$3001,$L1059),FIND("(",INDEX(Расчет!$C$2:$C$3001,$L1059))+1,99),")",""),INDEX(Расчет!$C$2:$C$3001,$L1059)))</f>
        <v/>
      </c>
      <c r="E1059">
        <f>IF($L1059="","",INDEX(Расчет!$D$2:$D$3001,$L1059))</f>
        <v/>
      </c>
      <c r="F1059">
        <f>IF($L1059="","",INDEX(Расчет!$E$2:$E$3001,$L1059))</f>
        <v/>
      </c>
      <c r="G1059">
        <f>IF($L1059="","",IFERROR(--LEFT(INDEX(Расчет!$C$2:$C$3001,$L1059),FIND("(",INDEX(Расчет!$C$2:$C$3001,$L1059))-1),IFERROR(--LEFT(INDEX(Расчет!$C$2:$C$3001,$L1059),1),"")))</f>
        <v/>
      </c>
      <c r="H1059">
        <f>IF($L1059="","",SUMIFS(Расчет!$G$2:$G$3001,Расчет!$I$2:$I$3001,$K1059,Расчет!$H$2:$H$3001,1))</f>
        <v/>
      </c>
      <c r="I1059">
        <f>IF($L1059="","",SUMIFS(Расчет!$G$2:$G$3001,Расчет!$I$2:$I$3001,$K1059,Расчет!$H$2:$H$3001,2))</f>
        <v/>
      </c>
      <c r="J1059">
        <f>IF($L1059="","",SUMIFS(Расчет!$G$2:$G$3001,Расчет!$I$2:$I$3001,$K1059,Расчет!$H$2:$H$3001,3))</f>
        <v/>
      </c>
      <c r="K1059">
        <f>IF($L1059="","",INDEX(Расчет!$I$2:$I$3001,$L1059))</f>
        <v/>
      </c>
      <c r="L1059">
        <f>IFERROR(MATCH(ROW()-1,Расчет!$J$2:$J$3001,0),"")</f>
        <v/>
      </c>
    </row>
    <row r="1060">
      <c r="A1060">
        <f>IF($L1060="","",B1060&amp;"."&amp;C1060&amp;"-"&amp;D1060&amp;"-"&amp;H1060&amp;"."&amp;I1060&amp;"."&amp;J1060)</f>
        <v/>
      </c>
      <c r="B1060">
        <f>IF($L1060="","",INDEX(Расчет!$A$2:$A$3001,$L1060))</f>
        <v/>
      </c>
      <c r="C1060">
        <f>IF($L1060="","",INDEX(Расчет!$B$2:$B$3001,$L1060))</f>
        <v/>
      </c>
      <c r="D1060">
        <f>IF($L1060="","",IF(ISNUMBER(FIND("(",INDEX(Расчет!$C$2:$C$3001,$L1060))),SUBSTITUTE(MID(INDEX(Расчет!$C$2:$C$3001,$L1060),FIND("(",INDEX(Расчет!$C$2:$C$3001,$L1060))+1,99),")",""),INDEX(Расчет!$C$2:$C$3001,$L1060)))</f>
        <v/>
      </c>
      <c r="E1060">
        <f>IF($L1060="","",INDEX(Расчет!$D$2:$D$3001,$L1060))</f>
        <v/>
      </c>
      <c r="F1060">
        <f>IF($L1060="","",INDEX(Расчет!$E$2:$E$3001,$L1060))</f>
        <v/>
      </c>
      <c r="G1060">
        <f>IF($L1060="","",IFERROR(--LEFT(INDEX(Расчет!$C$2:$C$3001,$L1060),FIND("(",INDEX(Расчет!$C$2:$C$3001,$L1060))-1),IFERROR(--LEFT(INDEX(Расчет!$C$2:$C$3001,$L1060),1),"")))</f>
        <v/>
      </c>
      <c r="H1060">
        <f>IF($L1060="","",SUMIFS(Расчет!$G$2:$G$3001,Расчет!$I$2:$I$3001,$K1060,Расчет!$H$2:$H$3001,1))</f>
        <v/>
      </c>
      <c r="I1060">
        <f>IF($L1060="","",SUMIFS(Расчет!$G$2:$G$3001,Расчет!$I$2:$I$3001,$K1060,Расчет!$H$2:$H$3001,2))</f>
        <v/>
      </c>
      <c r="J1060">
        <f>IF($L1060="","",SUMIFS(Расчет!$G$2:$G$3001,Расчет!$I$2:$I$3001,$K1060,Расчет!$H$2:$H$3001,3))</f>
        <v/>
      </c>
      <c r="K1060">
        <f>IF($L1060="","",INDEX(Расчет!$I$2:$I$3001,$L1060))</f>
        <v/>
      </c>
      <c r="L1060">
        <f>IFERROR(MATCH(ROW()-1,Расчет!$J$2:$J$3001,0),"")</f>
        <v/>
      </c>
    </row>
    <row r="1061">
      <c r="A1061">
        <f>IF($L1061="","",B1061&amp;"."&amp;C1061&amp;"-"&amp;D1061&amp;"-"&amp;H1061&amp;"."&amp;I1061&amp;"."&amp;J1061)</f>
        <v/>
      </c>
      <c r="B1061">
        <f>IF($L1061="","",INDEX(Расчет!$A$2:$A$3001,$L1061))</f>
        <v/>
      </c>
      <c r="C1061">
        <f>IF($L1061="","",INDEX(Расчет!$B$2:$B$3001,$L1061))</f>
        <v/>
      </c>
      <c r="D1061">
        <f>IF($L1061="","",IF(ISNUMBER(FIND("(",INDEX(Расчет!$C$2:$C$3001,$L1061))),SUBSTITUTE(MID(INDEX(Расчет!$C$2:$C$3001,$L1061),FIND("(",INDEX(Расчет!$C$2:$C$3001,$L1061))+1,99),")",""),INDEX(Расчет!$C$2:$C$3001,$L1061)))</f>
        <v/>
      </c>
      <c r="E1061">
        <f>IF($L1061="","",INDEX(Расчет!$D$2:$D$3001,$L1061))</f>
        <v/>
      </c>
      <c r="F1061">
        <f>IF($L1061="","",INDEX(Расчет!$E$2:$E$3001,$L1061))</f>
        <v/>
      </c>
      <c r="G1061">
        <f>IF($L1061="","",IFERROR(--LEFT(INDEX(Расчет!$C$2:$C$3001,$L1061),FIND("(",INDEX(Расчет!$C$2:$C$3001,$L1061))-1),IFERROR(--LEFT(INDEX(Расчет!$C$2:$C$3001,$L1061),1),"")))</f>
        <v/>
      </c>
      <c r="H1061">
        <f>IF($L1061="","",SUMIFS(Расчет!$G$2:$G$3001,Расчет!$I$2:$I$3001,$K1061,Расчет!$H$2:$H$3001,1))</f>
        <v/>
      </c>
      <c r="I1061">
        <f>IF($L1061="","",SUMIFS(Расчет!$G$2:$G$3001,Расчет!$I$2:$I$3001,$K1061,Расчет!$H$2:$H$3001,2))</f>
        <v/>
      </c>
      <c r="J1061">
        <f>IF($L1061="","",SUMIFS(Расчет!$G$2:$G$3001,Расчет!$I$2:$I$3001,$K1061,Расчет!$H$2:$H$3001,3))</f>
        <v/>
      </c>
      <c r="K1061">
        <f>IF($L1061="","",INDEX(Расчет!$I$2:$I$3001,$L1061))</f>
        <v/>
      </c>
      <c r="L1061">
        <f>IFERROR(MATCH(ROW()-1,Расчет!$J$2:$J$3001,0),"")</f>
        <v/>
      </c>
    </row>
    <row r="1062">
      <c r="A1062">
        <f>IF($L1062="","",B1062&amp;"."&amp;C1062&amp;"-"&amp;D1062&amp;"-"&amp;H1062&amp;"."&amp;I1062&amp;"."&amp;J1062)</f>
        <v/>
      </c>
      <c r="B1062">
        <f>IF($L1062="","",INDEX(Расчет!$A$2:$A$3001,$L1062))</f>
        <v/>
      </c>
      <c r="C1062">
        <f>IF($L1062="","",INDEX(Расчет!$B$2:$B$3001,$L1062))</f>
        <v/>
      </c>
      <c r="D1062">
        <f>IF($L1062="","",IF(ISNUMBER(FIND("(",INDEX(Расчет!$C$2:$C$3001,$L1062))),SUBSTITUTE(MID(INDEX(Расчет!$C$2:$C$3001,$L1062),FIND("(",INDEX(Расчет!$C$2:$C$3001,$L1062))+1,99),")",""),INDEX(Расчет!$C$2:$C$3001,$L1062)))</f>
        <v/>
      </c>
      <c r="E1062">
        <f>IF($L1062="","",INDEX(Расчет!$D$2:$D$3001,$L1062))</f>
        <v/>
      </c>
      <c r="F1062">
        <f>IF($L1062="","",INDEX(Расчет!$E$2:$E$3001,$L1062))</f>
        <v/>
      </c>
      <c r="G1062">
        <f>IF($L1062="","",IFERROR(--LEFT(INDEX(Расчет!$C$2:$C$3001,$L1062),FIND("(",INDEX(Расчет!$C$2:$C$3001,$L1062))-1),IFERROR(--LEFT(INDEX(Расчет!$C$2:$C$3001,$L1062),1),"")))</f>
        <v/>
      </c>
      <c r="H1062">
        <f>IF($L1062="","",SUMIFS(Расчет!$G$2:$G$3001,Расчет!$I$2:$I$3001,$K1062,Расчет!$H$2:$H$3001,1))</f>
        <v/>
      </c>
      <c r="I1062">
        <f>IF($L1062="","",SUMIFS(Расчет!$G$2:$G$3001,Расчет!$I$2:$I$3001,$K1062,Расчет!$H$2:$H$3001,2))</f>
        <v/>
      </c>
      <c r="J1062">
        <f>IF($L1062="","",SUMIFS(Расчет!$G$2:$G$3001,Расчет!$I$2:$I$3001,$K1062,Расчет!$H$2:$H$3001,3))</f>
        <v/>
      </c>
      <c r="K1062">
        <f>IF($L1062="","",INDEX(Расчет!$I$2:$I$3001,$L1062))</f>
        <v/>
      </c>
      <c r="L1062">
        <f>IFERROR(MATCH(ROW()-1,Расчет!$J$2:$J$3001,0),"")</f>
        <v/>
      </c>
    </row>
    <row r="1063">
      <c r="A1063">
        <f>IF($L1063="","",B1063&amp;"."&amp;C1063&amp;"-"&amp;D1063&amp;"-"&amp;H1063&amp;"."&amp;I1063&amp;"."&amp;J1063)</f>
        <v/>
      </c>
      <c r="B1063">
        <f>IF($L1063="","",INDEX(Расчет!$A$2:$A$3001,$L1063))</f>
        <v/>
      </c>
      <c r="C1063">
        <f>IF($L1063="","",INDEX(Расчет!$B$2:$B$3001,$L1063))</f>
        <v/>
      </c>
      <c r="D1063">
        <f>IF($L1063="","",IF(ISNUMBER(FIND("(",INDEX(Расчет!$C$2:$C$3001,$L1063))),SUBSTITUTE(MID(INDEX(Расчет!$C$2:$C$3001,$L1063),FIND("(",INDEX(Расчет!$C$2:$C$3001,$L1063))+1,99),")",""),INDEX(Расчет!$C$2:$C$3001,$L1063)))</f>
        <v/>
      </c>
      <c r="E1063">
        <f>IF($L1063="","",INDEX(Расчет!$D$2:$D$3001,$L1063))</f>
        <v/>
      </c>
      <c r="F1063">
        <f>IF($L1063="","",INDEX(Расчет!$E$2:$E$3001,$L1063))</f>
        <v/>
      </c>
      <c r="G1063">
        <f>IF($L1063="","",IFERROR(--LEFT(INDEX(Расчет!$C$2:$C$3001,$L1063),FIND("(",INDEX(Расчет!$C$2:$C$3001,$L1063))-1),IFERROR(--LEFT(INDEX(Расчет!$C$2:$C$3001,$L1063),1),"")))</f>
        <v/>
      </c>
      <c r="H1063">
        <f>IF($L1063="","",SUMIFS(Расчет!$G$2:$G$3001,Расчет!$I$2:$I$3001,$K1063,Расчет!$H$2:$H$3001,1))</f>
        <v/>
      </c>
      <c r="I1063">
        <f>IF($L1063="","",SUMIFS(Расчет!$G$2:$G$3001,Расчет!$I$2:$I$3001,$K1063,Расчет!$H$2:$H$3001,2))</f>
        <v/>
      </c>
      <c r="J1063">
        <f>IF($L1063="","",SUMIFS(Расчет!$G$2:$G$3001,Расчет!$I$2:$I$3001,$K1063,Расчет!$H$2:$H$3001,3))</f>
        <v/>
      </c>
      <c r="K1063">
        <f>IF($L1063="","",INDEX(Расчет!$I$2:$I$3001,$L1063))</f>
        <v/>
      </c>
      <c r="L1063">
        <f>IFERROR(MATCH(ROW()-1,Расчет!$J$2:$J$3001,0),"")</f>
        <v/>
      </c>
    </row>
    <row r="1064">
      <c r="A1064">
        <f>IF($L1064="","",B1064&amp;"."&amp;C1064&amp;"-"&amp;D1064&amp;"-"&amp;H1064&amp;"."&amp;I1064&amp;"."&amp;J1064)</f>
        <v/>
      </c>
      <c r="B1064">
        <f>IF($L1064="","",INDEX(Расчет!$A$2:$A$3001,$L1064))</f>
        <v/>
      </c>
      <c r="C1064">
        <f>IF($L1064="","",INDEX(Расчет!$B$2:$B$3001,$L1064))</f>
        <v/>
      </c>
      <c r="D1064">
        <f>IF($L1064="","",IF(ISNUMBER(FIND("(",INDEX(Расчет!$C$2:$C$3001,$L1064))),SUBSTITUTE(MID(INDEX(Расчет!$C$2:$C$3001,$L1064),FIND("(",INDEX(Расчет!$C$2:$C$3001,$L1064))+1,99),")",""),INDEX(Расчет!$C$2:$C$3001,$L1064)))</f>
        <v/>
      </c>
      <c r="E1064">
        <f>IF($L1064="","",INDEX(Расчет!$D$2:$D$3001,$L1064))</f>
        <v/>
      </c>
      <c r="F1064">
        <f>IF($L1064="","",INDEX(Расчет!$E$2:$E$3001,$L1064))</f>
        <v/>
      </c>
      <c r="G1064">
        <f>IF($L1064="","",IFERROR(--LEFT(INDEX(Расчет!$C$2:$C$3001,$L1064),FIND("(",INDEX(Расчет!$C$2:$C$3001,$L1064))-1),IFERROR(--LEFT(INDEX(Расчет!$C$2:$C$3001,$L1064),1),"")))</f>
        <v/>
      </c>
      <c r="H1064">
        <f>IF($L1064="","",SUMIFS(Расчет!$G$2:$G$3001,Расчет!$I$2:$I$3001,$K1064,Расчет!$H$2:$H$3001,1))</f>
        <v/>
      </c>
      <c r="I1064">
        <f>IF($L1064="","",SUMIFS(Расчет!$G$2:$G$3001,Расчет!$I$2:$I$3001,$K1064,Расчет!$H$2:$H$3001,2))</f>
        <v/>
      </c>
      <c r="J1064">
        <f>IF($L1064="","",SUMIFS(Расчет!$G$2:$G$3001,Расчет!$I$2:$I$3001,$K1064,Расчет!$H$2:$H$3001,3))</f>
        <v/>
      </c>
      <c r="K1064">
        <f>IF($L1064="","",INDEX(Расчет!$I$2:$I$3001,$L1064))</f>
        <v/>
      </c>
      <c r="L1064">
        <f>IFERROR(MATCH(ROW()-1,Расчет!$J$2:$J$3001,0),"")</f>
        <v/>
      </c>
    </row>
    <row r="1065">
      <c r="A1065">
        <f>IF($L1065="","",B1065&amp;"."&amp;C1065&amp;"-"&amp;D1065&amp;"-"&amp;H1065&amp;"."&amp;I1065&amp;"."&amp;J1065)</f>
        <v/>
      </c>
      <c r="B1065">
        <f>IF($L1065="","",INDEX(Расчет!$A$2:$A$3001,$L1065))</f>
        <v/>
      </c>
      <c r="C1065">
        <f>IF($L1065="","",INDEX(Расчет!$B$2:$B$3001,$L1065))</f>
        <v/>
      </c>
      <c r="D1065">
        <f>IF($L1065="","",IF(ISNUMBER(FIND("(",INDEX(Расчет!$C$2:$C$3001,$L1065))),SUBSTITUTE(MID(INDEX(Расчет!$C$2:$C$3001,$L1065),FIND("(",INDEX(Расчет!$C$2:$C$3001,$L1065))+1,99),")",""),INDEX(Расчет!$C$2:$C$3001,$L1065)))</f>
        <v/>
      </c>
      <c r="E1065">
        <f>IF($L1065="","",INDEX(Расчет!$D$2:$D$3001,$L1065))</f>
        <v/>
      </c>
      <c r="F1065">
        <f>IF($L1065="","",INDEX(Расчет!$E$2:$E$3001,$L1065))</f>
        <v/>
      </c>
      <c r="G1065">
        <f>IF($L1065="","",IFERROR(--LEFT(INDEX(Расчет!$C$2:$C$3001,$L1065),FIND("(",INDEX(Расчет!$C$2:$C$3001,$L1065))-1),IFERROR(--LEFT(INDEX(Расчет!$C$2:$C$3001,$L1065),1),"")))</f>
        <v/>
      </c>
      <c r="H1065">
        <f>IF($L1065="","",SUMIFS(Расчет!$G$2:$G$3001,Расчет!$I$2:$I$3001,$K1065,Расчет!$H$2:$H$3001,1))</f>
        <v/>
      </c>
      <c r="I1065">
        <f>IF($L1065="","",SUMIFS(Расчет!$G$2:$G$3001,Расчет!$I$2:$I$3001,$K1065,Расчет!$H$2:$H$3001,2))</f>
        <v/>
      </c>
      <c r="J1065">
        <f>IF($L1065="","",SUMIFS(Расчет!$G$2:$G$3001,Расчет!$I$2:$I$3001,$K1065,Расчет!$H$2:$H$3001,3))</f>
        <v/>
      </c>
      <c r="K1065">
        <f>IF($L1065="","",INDEX(Расчет!$I$2:$I$3001,$L1065))</f>
        <v/>
      </c>
      <c r="L1065">
        <f>IFERROR(MATCH(ROW()-1,Расчет!$J$2:$J$3001,0),"")</f>
        <v/>
      </c>
    </row>
    <row r="1066">
      <c r="A1066">
        <f>IF($L1066="","",B1066&amp;"."&amp;C1066&amp;"-"&amp;D1066&amp;"-"&amp;H1066&amp;"."&amp;I1066&amp;"."&amp;J1066)</f>
        <v/>
      </c>
      <c r="B1066">
        <f>IF($L1066="","",INDEX(Расчет!$A$2:$A$3001,$L1066))</f>
        <v/>
      </c>
      <c r="C1066">
        <f>IF($L1066="","",INDEX(Расчет!$B$2:$B$3001,$L1066))</f>
        <v/>
      </c>
      <c r="D1066">
        <f>IF($L1066="","",IF(ISNUMBER(FIND("(",INDEX(Расчет!$C$2:$C$3001,$L1066))),SUBSTITUTE(MID(INDEX(Расчет!$C$2:$C$3001,$L1066),FIND("(",INDEX(Расчет!$C$2:$C$3001,$L1066))+1,99),")",""),INDEX(Расчет!$C$2:$C$3001,$L1066)))</f>
        <v/>
      </c>
      <c r="E1066">
        <f>IF($L1066="","",INDEX(Расчет!$D$2:$D$3001,$L1066))</f>
        <v/>
      </c>
      <c r="F1066">
        <f>IF($L1066="","",INDEX(Расчет!$E$2:$E$3001,$L1066))</f>
        <v/>
      </c>
      <c r="G1066">
        <f>IF($L1066="","",IFERROR(--LEFT(INDEX(Расчет!$C$2:$C$3001,$L1066),FIND("(",INDEX(Расчет!$C$2:$C$3001,$L1066))-1),IFERROR(--LEFT(INDEX(Расчет!$C$2:$C$3001,$L1066),1),"")))</f>
        <v/>
      </c>
      <c r="H1066">
        <f>IF($L1066="","",SUMIFS(Расчет!$G$2:$G$3001,Расчет!$I$2:$I$3001,$K1066,Расчет!$H$2:$H$3001,1))</f>
        <v/>
      </c>
      <c r="I1066">
        <f>IF($L1066="","",SUMIFS(Расчет!$G$2:$G$3001,Расчет!$I$2:$I$3001,$K1066,Расчет!$H$2:$H$3001,2))</f>
        <v/>
      </c>
      <c r="J1066">
        <f>IF($L1066="","",SUMIFS(Расчет!$G$2:$G$3001,Расчет!$I$2:$I$3001,$K1066,Расчет!$H$2:$H$3001,3))</f>
        <v/>
      </c>
      <c r="K1066">
        <f>IF($L1066="","",INDEX(Расчет!$I$2:$I$3001,$L1066))</f>
        <v/>
      </c>
      <c r="L1066">
        <f>IFERROR(MATCH(ROW()-1,Расчет!$J$2:$J$3001,0),"")</f>
        <v/>
      </c>
    </row>
    <row r="1067">
      <c r="A1067">
        <f>IF($L1067="","",B1067&amp;"."&amp;C1067&amp;"-"&amp;D1067&amp;"-"&amp;H1067&amp;"."&amp;I1067&amp;"."&amp;J1067)</f>
        <v/>
      </c>
      <c r="B1067">
        <f>IF($L1067="","",INDEX(Расчет!$A$2:$A$3001,$L1067))</f>
        <v/>
      </c>
      <c r="C1067">
        <f>IF($L1067="","",INDEX(Расчет!$B$2:$B$3001,$L1067))</f>
        <v/>
      </c>
      <c r="D1067">
        <f>IF($L1067="","",IF(ISNUMBER(FIND("(",INDEX(Расчет!$C$2:$C$3001,$L1067))),SUBSTITUTE(MID(INDEX(Расчет!$C$2:$C$3001,$L1067),FIND("(",INDEX(Расчет!$C$2:$C$3001,$L1067))+1,99),")",""),INDEX(Расчет!$C$2:$C$3001,$L1067)))</f>
        <v/>
      </c>
      <c r="E1067">
        <f>IF($L1067="","",INDEX(Расчет!$D$2:$D$3001,$L1067))</f>
        <v/>
      </c>
      <c r="F1067">
        <f>IF($L1067="","",INDEX(Расчет!$E$2:$E$3001,$L1067))</f>
        <v/>
      </c>
      <c r="G1067">
        <f>IF($L1067="","",IFERROR(--LEFT(INDEX(Расчет!$C$2:$C$3001,$L1067),FIND("(",INDEX(Расчет!$C$2:$C$3001,$L1067))-1),IFERROR(--LEFT(INDEX(Расчет!$C$2:$C$3001,$L1067),1),"")))</f>
        <v/>
      </c>
      <c r="H1067">
        <f>IF($L1067="","",SUMIFS(Расчет!$G$2:$G$3001,Расчет!$I$2:$I$3001,$K1067,Расчет!$H$2:$H$3001,1))</f>
        <v/>
      </c>
      <c r="I1067">
        <f>IF($L1067="","",SUMIFS(Расчет!$G$2:$G$3001,Расчет!$I$2:$I$3001,$K1067,Расчет!$H$2:$H$3001,2))</f>
        <v/>
      </c>
      <c r="J1067">
        <f>IF($L1067="","",SUMIFS(Расчет!$G$2:$G$3001,Расчет!$I$2:$I$3001,$K1067,Расчет!$H$2:$H$3001,3))</f>
        <v/>
      </c>
      <c r="K1067">
        <f>IF($L1067="","",INDEX(Расчет!$I$2:$I$3001,$L1067))</f>
        <v/>
      </c>
      <c r="L1067">
        <f>IFERROR(MATCH(ROW()-1,Расчет!$J$2:$J$3001,0),"")</f>
        <v/>
      </c>
    </row>
    <row r="1068">
      <c r="A1068">
        <f>IF($L1068="","",B1068&amp;"."&amp;C1068&amp;"-"&amp;D1068&amp;"-"&amp;H1068&amp;"."&amp;I1068&amp;"."&amp;J1068)</f>
        <v/>
      </c>
      <c r="B1068">
        <f>IF($L1068="","",INDEX(Расчет!$A$2:$A$3001,$L1068))</f>
        <v/>
      </c>
      <c r="C1068">
        <f>IF($L1068="","",INDEX(Расчет!$B$2:$B$3001,$L1068))</f>
        <v/>
      </c>
      <c r="D1068">
        <f>IF($L1068="","",IF(ISNUMBER(FIND("(",INDEX(Расчет!$C$2:$C$3001,$L1068))),SUBSTITUTE(MID(INDEX(Расчет!$C$2:$C$3001,$L1068),FIND("(",INDEX(Расчет!$C$2:$C$3001,$L1068))+1,99),")",""),INDEX(Расчет!$C$2:$C$3001,$L1068)))</f>
        <v/>
      </c>
      <c r="E1068">
        <f>IF($L1068="","",INDEX(Расчет!$D$2:$D$3001,$L1068))</f>
        <v/>
      </c>
      <c r="F1068">
        <f>IF($L1068="","",INDEX(Расчет!$E$2:$E$3001,$L1068))</f>
        <v/>
      </c>
      <c r="G1068">
        <f>IF($L1068="","",IFERROR(--LEFT(INDEX(Расчет!$C$2:$C$3001,$L1068),FIND("(",INDEX(Расчет!$C$2:$C$3001,$L1068))-1),IFERROR(--LEFT(INDEX(Расчет!$C$2:$C$3001,$L1068),1),"")))</f>
        <v/>
      </c>
      <c r="H1068">
        <f>IF($L1068="","",SUMIFS(Расчет!$G$2:$G$3001,Расчет!$I$2:$I$3001,$K1068,Расчет!$H$2:$H$3001,1))</f>
        <v/>
      </c>
      <c r="I1068">
        <f>IF($L1068="","",SUMIFS(Расчет!$G$2:$G$3001,Расчет!$I$2:$I$3001,$K1068,Расчет!$H$2:$H$3001,2))</f>
        <v/>
      </c>
      <c r="J1068">
        <f>IF($L1068="","",SUMIFS(Расчет!$G$2:$G$3001,Расчет!$I$2:$I$3001,$K1068,Расчет!$H$2:$H$3001,3))</f>
        <v/>
      </c>
      <c r="K1068">
        <f>IF($L1068="","",INDEX(Расчет!$I$2:$I$3001,$L1068))</f>
        <v/>
      </c>
      <c r="L1068">
        <f>IFERROR(MATCH(ROW()-1,Расчет!$J$2:$J$3001,0),"")</f>
        <v/>
      </c>
    </row>
    <row r="1069">
      <c r="A1069">
        <f>IF($L1069="","",B1069&amp;"."&amp;C1069&amp;"-"&amp;D1069&amp;"-"&amp;H1069&amp;"."&amp;I1069&amp;"."&amp;J1069)</f>
        <v/>
      </c>
      <c r="B1069">
        <f>IF($L1069="","",INDEX(Расчет!$A$2:$A$3001,$L1069))</f>
        <v/>
      </c>
      <c r="C1069">
        <f>IF($L1069="","",INDEX(Расчет!$B$2:$B$3001,$L1069))</f>
        <v/>
      </c>
      <c r="D1069">
        <f>IF($L1069="","",IF(ISNUMBER(FIND("(",INDEX(Расчет!$C$2:$C$3001,$L1069))),SUBSTITUTE(MID(INDEX(Расчет!$C$2:$C$3001,$L1069),FIND("(",INDEX(Расчет!$C$2:$C$3001,$L1069))+1,99),")",""),INDEX(Расчет!$C$2:$C$3001,$L1069)))</f>
        <v/>
      </c>
      <c r="E1069">
        <f>IF($L1069="","",INDEX(Расчет!$D$2:$D$3001,$L1069))</f>
        <v/>
      </c>
      <c r="F1069">
        <f>IF($L1069="","",INDEX(Расчет!$E$2:$E$3001,$L1069))</f>
        <v/>
      </c>
      <c r="G1069">
        <f>IF($L1069="","",IFERROR(--LEFT(INDEX(Расчет!$C$2:$C$3001,$L1069),FIND("(",INDEX(Расчет!$C$2:$C$3001,$L1069))-1),IFERROR(--LEFT(INDEX(Расчет!$C$2:$C$3001,$L1069),1),"")))</f>
        <v/>
      </c>
      <c r="H1069">
        <f>IF($L1069="","",SUMIFS(Расчет!$G$2:$G$3001,Расчет!$I$2:$I$3001,$K1069,Расчет!$H$2:$H$3001,1))</f>
        <v/>
      </c>
      <c r="I1069">
        <f>IF($L1069="","",SUMIFS(Расчет!$G$2:$G$3001,Расчет!$I$2:$I$3001,$K1069,Расчет!$H$2:$H$3001,2))</f>
        <v/>
      </c>
      <c r="J1069">
        <f>IF($L1069="","",SUMIFS(Расчет!$G$2:$G$3001,Расчет!$I$2:$I$3001,$K1069,Расчет!$H$2:$H$3001,3))</f>
        <v/>
      </c>
      <c r="K1069">
        <f>IF($L1069="","",INDEX(Расчет!$I$2:$I$3001,$L1069))</f>
        <v/>
      </c>
      <c r="L1069">
        <f>IFERROR(MATCH(ROW()-1,Расчет!$J$2:$J$3001,0),"")</f>
        <v/>
      </c>
    </row>
    <row r="1070">
      <c r="A1070">
        <f>IF($L1070="","",B1070&amp;"."&amp;C1070&amp;"-"&amp;D1070&amp;"-"&amp;H1070&amp;"."&amp;I1070&amp;"."&amp;J1070)</f>
        <v/>
      </c>
      <c r="B1070">
        <f>IF($L1070="","",INDEX(Расчет!$A$2:$A$3001,$L1070))</f>
        <v/>
      </c>
      <c r="C1070">
        <f>IF($L1070="","",INDEX(Расчет!$B$2:$B$3001,$L1070))</f>
        <v/>
      </c>
      <c r="D1070">
        <f>IF($L1070="","",IF(ISNUMBER(FIND("(",INDEX(Расчет!$C$2:$C$3001,$L1070))),SUBSTITUTE(MID(INDEX(Расчет!$C$2:$C$3001,$L1070),FIND("(",INDEX(Расчет!$C$2:$C$3001,$L1070))+1,99),")",""),INDEX(Расчет!$C$2:$C$3001,$L1070)))</f>
        <v/>
      </c>
      <c r="E1070">
        <f>IF($L1070="","",INDEX(Расчет!$D$2:$D$3001,$L1070))</f>
        <v/>
      </c>
      <c r="F1070">
        <f>IF($L1070="","",INDEX(Расчет!$E$2:$E$3001,$L1070))</f>
        <v/>
      </c>
      <c r="G1070">
        <f>IF($L1070="","",IFERROR(--LEFT(INDEX(Расчет!$C$2:$C$3001,$L1070),FIND("(",INDEX(Расчет!$C$2:$C$3001,$L1070))-1),IFERROR(--LEFT(INDEX(Расчет!$C$2:$C$3001,$L1070),1),"")))</f>
        <v/>
      </c>
      <c r="H1070">
        <f>IF($L1070="","",SUMIFS(Расчет!$G$2:$G$3001,Расчет!$I$2:$I$3001,$K1070,Расчет!$H$2:$H$3001,1))</f>
        <v/>
      </c>
      <c r="I1070">
        <f>IF($L1070="","",SUMIFS(Расчет!$G$2:$G$3001,Расчет!$I$2:$I$3001,$K1070,Расчет!$H$2:$H$3001,2))</f>
        <v/>
      </c>
      <c r="J1070">
        <f>IF($L1070="","",SUMIFS(Расчет!$G$2:$G$3001,Расчет!$I$2:$I$3001,$K1070,Расчет!$H$2:$H$3001,3))</f>
        <v/>
      </c>
      <c r="K1070">
        <f>IF($L1070="","",INDEX(Расчет!$I$2:$I$3001,$L1070))</f>
        <v/>
      </c>
      <c r="L1070">
        <f>IFERROR(MATCH(ROW()-1,Расчет!$J$2:$J$3001,0),"")</f>
        <v/>
      </c>
    </row>
    <row r="1071">
      <c r="A1071">
        <f>IF($L1071="","",B1071&amp;"."&amp;C1071&amp;"-"&amp;D1071&amp;"-"&amp;H1071&amp;"."&amp;I1071&amp;"."&amp;J1071)</f>
        <v/>
      </c>
      <c r="B1071">
        <f>IF($L1071="","",INDEX(Расчет!$A$2:$A$3001,$L1071))</f>
        <v/>
      </c>
      <c r="C1071">
        <f>IF($L1071="","",INDEX(Расчет!$B$2:$B$3001,$L1071))</f>
        <v/>
      </c>
      <c r="D1071">
        <f>IF($L1071="","",IF(ISNUMBER(FIND("(",INDEX(Расчет!$C$2:$C$3001,$L1071))),SUBSTITUTE(MID(INDEX(Расчет!$C$2:$C$3001,$L1071),FIND("(",INDEX(Расчет!$C$2:$C$3001,$L1071))+1,99),")",""),INDEX(Расчет!$C$2:$C$3001,$L1071)))</f>
        <v/>
      </c>
      <c r="E1071">
        <f>IF($L1071="","",INDEX(Расчет!$D$2:$D$3001,$L1071))</f>
        <v/>
      </c>
      <c r="F1071">
        <f>IF($L1071="","",INDEX(Расчет!$E$2:$E$3001,$L1071))</f>
        <v/>
      </c>
      <c r="G1071">
        <f>IF($L1071="","",IFERROR(--LEFT(INDEX(Расчет!$C$2:$C$3001,$L1071),FIND("(",INDEX(Расчет!$C$2:$C$3001,$L1071))-1),IFERROR(--LEFT(INDEX(Расчет!$C$2:$C$3001,$L1071),1),"")))</f>
        <v/>
      </c>
      <c r="H1071">
        <f>IF($L1071="","",SUMIFS(Расчет!$G$2:$G$3001,Расчет!$I$2:$I$3001,$K1071,Расчет!$H$2:$H$3001,1))</f>
        <v/>
      </c>
      <c r="I1071">
        <f>IF($L1071="","",SUMIFS(Расчет!$G$2:$G$3001,Расчет!$I$2:$I$3001,$K1071,Расчет!$H$2:$H$3001,2))</f>
        <v/>
      </c>
      <c r="J1071">
        <f>IF($L1071="","",SUMIFS(Расчет!$G$2:$G$3001,Расчет!$I$2:$I$3001,$K1071,Расчет!$H$2:$H$3001,3))</f>
        <v/>
      </c>
      <c r="K1071">
        <f>IF($L1071="","",INDEX(Расчет!$I$2:$I$3001,$L1071))</f>
        <v/>
      </c>
      <c r="L1071">
        <f>IFERROR(MATCH(ROW()-1,Расчет!$J$2:$J$3001,0),"")</f>
        <v/>
      </c>
    </row>
    <row r="1072">
      <c r="A1072">
        <f>IF($L1072="","",B1072&amp;"."&amp;C1072&amp;"-"&amp;D1072&amp;"-"&amp;H1072&amp;"."&amp;I1072&amp;"."&amp;J1072)</f>
        <v/>
      </c>
      <c r="B1072">
        <f>IF($L1072="","",INDEX(Расчет!$A$2:$A$3001,$L1072))</f>
        <v/>
      </c>
      <c r="C1072">
        <f>IF($L1072="","",INDEX(Расчет!$B$2:$B$3001,$L1072))</f>
        <v/>
      </c>
      <c r="D1072">
        <f>IF($L1072="","",IF(ISNUMBER(FIND("(",INDEX(Расчет!$C$2:$C$3001,$L1072))),SUBSTITUTE(MID(INDEX(Расчет!$C$2:$C$3001,$L1072),FIND("(",INDEX(Расчет!$C$2:$C$3001,$L1072))+1,99),")",""),INDEX(Расчет!$C$2:$C$3001,$L1072)))</f>
        <v/>
      </c>
      <c r="E1072">
        <f>IF($L1072="","",INDEX(Расчет!$D$2:$D$3001,$L1072))</f>
        <v/>
      </c>
      <c r="F1072">
        <f>IF($L1072="","",INDEX(Расчет!$E$2:$E$3001,$L1072))</f>
        <v/>
      </c>
      <c r="G1072">
        <f>IF($L1072="","",IFERROR(--LEFT(INDEX(Расчет!$C$2:$C$3001,$L1072),FIND("(",INDEX(Расчет!$C$2:$C$3001,$L1072))-1),IFERROR(--LEFT(INDEX(Расчет!$C$2:$C$3001,$L1072),1),"")))</f>
        <v/>
      </c>
      <c r="H1072">
        <f>IF($L1072="","",SUMIFS(Расчет!$G$2:$G$3001,Расчет!$I$2:$I$3001,$K1072,Расчет!$H$2:$H$3001,1))</f>
        <v/>
      </c>
      <c r="I1072">
        <f>IF($L1072="","",SUMIFS(Расчет!$G$2:$G$3001,Расчет!$I$2:$I$3001,$K1072,Расчет!$H$2:$H$3001,2))</f>
        <v/>
      </c>
      <c r="J1072">
        <f>IF($L1072="","",SUMIFS(Расчет!$G$2:$G$3001,Расчет!$I$2:$I$3001,$K1072,Расчет!$H$2:$H$3001,3))</f>
        <v/>
      </c>
      <c r="K1072">
        <f>IF($L1072="","",INDEX(Расчет!$I$2:$I$3001,$L1072))</f>
        <v/>
      </c>
      <c r="L1072">
        <f>IFERROR(MATCH(ROW()-1,Расчет!$J$2:$J$3001,0),"")</f>
        <v/>
      </c>
    </row>
    <row r="1073">
      <c r="A1073">
        <f>IF($L1073="","",B1073&amp;"."&amp;C1073&amp;"-"&amp;D1073&amp;"-"&amp;H1073&amp;"."&amp;I1073&amp;"."&amp;J1073)</f>
        <v/>
      </c>
      <c r="B1073">
        <f>IF($L1073="","",INDEX(Расчет!$A$2:$A$3001,$L1073))</f>
        <v/>
      </c>
      <c r="C1073">
        <f>IF($L1073="","",INDEX(Расчет!$B$2:$B$3001,$L1073))</f>
        <v/>
      </c>
      <c r="D1073">
        <f>IF($L1073="","",IF(ISNUMBER(FIND("(",INDEX(Расчет!$C$2:$C$3001,$L1073))),SUBSTITUTE(MID(INDEX(Расчет!$C$2:$C$3001,$L1073),FIND("(",INDEX(Расчет!$C$2:$C$3001,$L1073))+1,99),")",""),INDEX(Расчет!$C$2:$C$3001,$L1073)))</f>
        <v/>
      </c>
      <c r="E1073">
        <f>IF($L1073="","",INDEX(Расчет!$D$2:$D$3001,$L1073))</f>
        <v/>
      </c>
      <c r="F1073">
        <f>IF($L1073="","",INDEX(Расчет!$E$2:$E$3001,$L1073))</f>
        <v/>
      </c>
      <c r="G1073">
        <f>IF($L1073="","",IFERROR(--LEFT(INDEX(Расчет!$C$2:$C$3001,$L1073),FIND("(",INDEX(Расчет!$C$2:$C$3001,$L1073))-1),IFERROR(--LEFT(INDEX(Расчет!$C$2:$C$3001,$L1073),1),"")))</f>
        <v/>
      </c>
      <c r="H1073">
        <f>IF($L1073="","",SUMIFS(Расчет!$G$2:$G$3001,Расчет!$I$2:$I$3001,$K1073,Расчет!$H$2:$H$3001,1))</f>
        <v/>
      </c>
      <c r="I1073">
        <f>IF($L1073="","",SUMIFS(Расчет!$G$2:$G$3001,Расчет!$I$2:$I$3001,$K1073,Расчет!$H$2:$H$3001,2))</f>
        <v/>
      </c>
      <c r="J1073">
        <f>IF($L1073="","",SUMIFS(Расчет!$G$2:$G$3001,Расчет!$I$2:$I$3001,$K1073,Расчет!$H$2:$H$3001,3))</f>
        <v/>
      </c>
      <c r="K1073">
        <f>IF($L1073="","",INDEX(Расчет!$I$2:$I$3001,$L1073))</f>
        <v/>
      </c>
      <c r="L1073">
        <f>IFERROR(MATCH(ROW()-1,Расчет!$J$2:$J$3001,0),"")</f>
        <v/>
      </c>
    </row>
    <row r="1074">
      <c r="A1074">
        <f>IF($L1074="","",B1074&amp;"."&amp;C1074&amp;"-"&amp;D1074&amp;"-"&amp;H1074&amp;"."&amp;I1074&amp;"."&amp;J1074)</f>
        <v/>
      </c>
      <c r="B1074">
        <f>IF($L1074="","",INDEX(Расчет!$A$2:$A$3001,$L1074))</f>
        <v/>
      </c>
      <c r="C1074">
        <f>IF($L1074="","",INDEX(Расчет!$B$2:$B$3001,$L1074))</f>
        <v/>
      </c>
      <c r="D1074">
        <f>IF($L1074="","",IF(ISNUMBER(FIND("(",INDEX(Расчет!$C$2:$C$3001,$L1074))),SUBSTITUTE(MID(INDEX(Расчет!$C$2:$C$3001,$L1074),FIND("(",INDEX(Расчет!$C$2:$C$3001,$L1074))+1,99),")",""),INDEX(Расчет!$C$2:$C$3001,$L1074)))</f>
        <v/>
      </c>
      <c r="E1074">
        <f>IF($L1074="","",INDEX(Расчет!$D$2:$D$3001,$L1074))</f>
        <v/>
      </c>
      <c r="F1074">
        <f>IF($L1074="","",INDEX(Расчет!$E$2:$E$3001,$L1074))</f>
        <v/>
      </c>
      <c r="G1074">
        <f>IF($L1074="","",IFERROR(--LEFT(INDEX(Расчет!$C$2:$C$3001,$L1074),FIND("(",INDEX(Расчет!$C$2:$C$3001,$L1074))-1),IFERROR(--LEFT(INDEX(Расчет!$C$2:$C$3001,$L1074),1),"")))</f>
        <v/>
      </c>
      <c r="H1074">
        <f>IF($L1074="","",SUMIFS(Расчет!$G$2:$G$3001,Расчет!$I$2:$I$3001,$K1074,Расчет!$H$2:$H$3001,1))</f>
        <v/>
      </c>
      <c r="I1074">
        <f>IF($L1074="","",SUMIFS(Расчет!$G$2:$G$3001,Расчет!$I$2:$I$3001,$K1074,Расчет!$H$2:$H$3001,2))</f>
        <v/>
      </c>
      <c r="J1074">
        <f>IF($L1074="","",SUMIFS(Расчет!$G$2:$G$3001,Расчет!$I$2:$I$3001,$K1074,Расчет!$H$2:$H$3001,3))</f>
        <v/>
      </c>
      <c r="K1074">
        <f>IF($L1074="","",INDEX(Расчет!$I$2:$I$3001,$L1074))</f>
        <v/>
      </c>
      <c r="L1074">
        <f>IFERROR(MATCH(ROW()-1,Расчет!$J$2:$J$3001,0),"")</f>
        <v/>
      </c>
    </row>
    <row r="1075">
      <c r="A1075">
        <f>IF($L1075="","",B1075&amp;"."&amp;C1075&amp;"-"&amp;D1075&amp;"-"&amp;H1075&amp;"."&amp;I1075&amp;"."&amp;J1075)</f>
        <v/>
      </c>
      <c r="B1075">
        <f>IF($L1075="","",INDEX(Расчет!$A$2:$A$3001,$L1075))</f>
        <v/>
      </c>
      <c r="C1075">
        <f>IF($L1075="","",INDEX(Расчет!$B$2:$B$3001,$L1075))</f>
        <v/>
      </c>
      <c r="D1075">
        <f>IF($L1075="","",IF(ISNUMBER(FIND("(",INDEX(Расчет!$C$2:$C$3001,$L1075))),SUBSTITUTE(MID(INDEX(Расчет!$C$2:$C$3001,$L1075),FIND("(",INDEX(Расчет!$C$2:$C$3001,$L1075))+1,99),")",""),INDEX(Расчет!$C$2:$C$3001,$L1075)))</f>
        <v/>
      </c>
      <c r="E1075">
        <f>IF($L1075="","",INDEX(Расчет!$D$2:$D$3001,$L1075))</f>
        <v/>
      </c>
      <c r="F1075">
        <f>IF($L1075="","",INDEX(Расчет!$E$2:$E$3001,$L1075))</f>
        <v/>
      </c>
      <c r="G1075">
        <f>IF($L1075="","",IFERROR(--LEFT(INDEX(Расчет!$C$2:$C$3001,$L1075),FIND("(",INDEX(Расчет!$C$2:$C$3001,$L1075))-1),IFERROR(--LEFT(INDEX(Расчет!$C$2:$C$3001,$L1075),1),"")))</f>
        <v/>
      </c>
      <c r="H1075">
        <f>IF($L1075="","",SUMIFS(Расчет!$G$2:$G$3001,Расчет!$I$2:$I$3001,$K1075,Расчет!$H$2:$H$3001,1))</f>
        <v/>
      </c>
      <c r="I1075">
        <f>IF($L1075="","",SUMIFS(Расчет!$G$2:$G$3001,Расчет!$I$2:$I$3001,$K1075,Расчет!$H$2:$H$3001,2))</f>
        <v/>
      </c>
      <c r="J1075">
        <f>IF($L1075="","",SUMIFS(Расчет!$G$2:$G$3001,Расчет!$I$2:$I$3001,$K1075,Расчет!$H$2:$H$3001,3))</f>
        <v/>
      </c>
      <c r="K1075">
        <f>IF($L1075="","",INDEX(Расчет!$I$2:$I$3001,$L1075))</f>
        <v/>
      </c>
      <c r="L1075">
        <f>IFERROR(MATCH(ROW()-1,Расчет!$J$2:$J$3001,0),"")</f>
        <v/>
      </c>
    </row>
    <row r="1076">
      <c r="A1076">
        <f>IF($L1076="","",B1076&amp;"."&amp;C1076&amp;"-"&amp;D1076&amp;"-"&amp;H1076&amp;"."&amp;I1076&amp;"."&amp;J1076)</f>
        <v/>
      </c>
      <c r="B1076">
        <f>IF($L1076="","",INDEX(Расчет!$A$2:$A$3001,$L1076))</f>
        <v/>
      </c>
      <c r="C1076">
        <f>IF($L1076="","",INDEX(Расчет!$B$2:$B$3001,$L1076))</f>
        <v/>
      </c>
      <c r="D1076">
        <f>IF($L1076="","",IF(ISNUMBER(FIND("(",INDEX(Расчет!$C$2:$C$3001,$L1076))),SUBSTITUTE(MID(INDEX(Расчет!$C$2:$C$3001,$L1076),FIND("(",INDEX(Расчет!$C$2:$C$3001,$L1076))+1,99),")",""),INDEX(Расчет!$C$2:$C$3001,$L1076)))</f>
        <v/>
      </c>
      <c r="E1076">
        <f>IF($L1076="","",INDEX(Расчет!$D$2:$D$3001,$L1076))</f>
        <v/>
      </c>
      <c r="F1076">
        <f>IF($L1076="","",INDEX(Расчет!$E$2:$E$3001,$L1076))</f>
        <v/>
      </c>
      <c r="G1076">
        <f>IF($L1076="","",IFERROR(--LEFT(INDEX(Расчет!$C$2:$C$3001,$L1076),FIND("(",INDEX(Расчет!$C$2:$C$3001,$L1076))-1),IFERROR(--LEFT(INDEX(Расчет!$C$2:$C$3001,$L1076),1),"")))</f>
        <v/>
      </c>
      <c r="H1076">
        <f>IF($L1076="","",SUMIFS(Расчет!$G$2:$G$3001,Расчет!$I$2:$I$3001,$K1076,Расчет!$H$2:$H$3001,1))</f>
        <v/>
      </c>
      <c r="I1076">
        <f>IF($L1076="","",SUMIFS(Расчет!$G$2:$G$3001,Расчет!$I$2:$I$3001,$K1076,Расчет!$H$2:$H$3001,2))</f>
        <v/>
      </c>
      <c r="J1076">
        <f>IF($L1076="","",SUMIFS(Расчет!$G$2:$G$3001,Расчет!$I$2:$I$3001,$K1076,Расчет!$H$2:$H$3001,3))</f>
        <v/>
      </c>
      <c r="K1076">
        <f>IF($L1076="","",INDEX(Расчет!$I$2:$I$3001,$L1076))</f>
        <v/>
      </c>
      <c r="L1076">
        <f>IFERROR(MATCH(ROW()-1,Расчет!$J$2:$J$3001,0),"")</f>
        <v/>
      </c>
    </row>
    <row r="1077">
      <c r="A1077">
        <f>IF($L1077="","",B1077&amp;"."&amp;C1077&amp;"-"&amp;D1077&amp;"-"&amp;H1077&amp;"."&amp;I1077&amp;"."&amp;J1077)</f>
        <v/>
      </c>
      <c r="B1077">
        <f>IF($L1077="","",INDEX(Расчет!$A$2:$A$3001,$L1077))</f>
        <v/>
      </c>
      <c r="C1077">
        <f>IF($L1077="","",INDEX(Расчет!$B$2:$B$3001,$L1077))</f>
        <v/>
      </c>
      <c r="D1077">
        <f>IF($L1077="","",IF(ISNUMBER(FIND("(",INDEX(Расчет!$C$2:$C$3001,$L1077))),SUBSTITUTE(MID(INDEX(Расчет!$C$2:$C$3001,$L1077),FIND("(",INDEX(Расчет!$C$2:$C$3001,$L1077))+1,99),")",""),INDEX(Расчет!$C$2:$C$3001,$L1077)))</f>
        <v/>
      </c>
      <c r="E1077">
        <f>IF($L1077="","",INDEX(Расчет!$D$2:$D$3001,$L1077))</f>
        <v/>
      </c>
      <c r="F1077">
        <f>IF($L1077="","",INDEX(Расчет!$E$2:$E$3001,$L1077))</f>
        <v/>
      </c>
      <c r="G1077">
        <f>IF($L1077="","",IFERROR(--LEFT(INDEX(Расчет!$C$2:$C$3001,$L1077),FIND("(",INDEX(Расчет!$C$2:$C$3001,$L1077))-1),IFERROR(--LEFT(INDEX(Расчет!$C$2:$C$3001,$L1077),1),"")))</f>
        <v/>
      </c>
      <c r="H1077">
        <f>IF($L1077="","",SUMIFS(Расчет!$G$2:$G$3001,Расчет!$I$2:$I$3001,$K1077,Расчет!$H$2:$H$3001,1))</f>
        <v/>
      </c>
      <c r="I1077">
        <f>IF($L1077="","",SUMIFS(Расчет!$G$2:$G$3001,Расчет!$I$2:$I$3001,$K1077,Расчет!$H$2:$H$3001,2))</f>
        <v/>
      </c>
      <c r="J1077">
        <f>IF($L1077="","",SUMIFS(Расчет!$G$2:$G$3001,Расчет!$I$2:$I$3001,$K1077,Расчет!$H$2:$H$3001,3))</f>
        <v/>
      </c>
      <c r="K1077">
        <f>IF($L1077="","",INDEX(Расчет!$I$2:$I$3001,$L1077))</f>
        <v/>
      </c>
      <c r="L1077">
        <f>IFERROR(MATCH(ROW()-1,Расчет!$J$2:$J$3001,0),"")</f>
        <v/>
      </c>
    </row>
    <row r="1078">
      <c r="A1078">
        <f>IF($L1078="","",B1078&amp;"."&amp;C1078&amp;"-"&amp;D1078&amp;"-"&amp;H1078&amp;"."&amp;I1078&amp;"."&amp;J1078)</f>
        <v/>
      </c>
      <c r="B1078">
        <f>IF($L1078="","",INDEX(Расчет!$A$2:$A$3001,$L1078))</f>
        <v/>
      </c>
      <c r="C1078">
        <f>IF($L1078="","",INDEX(Расчет!$B$2:$B$3001,$L1078))</f>
        <v/>
      </c>
      <c r="D1078">
        <f>IF($L1078="","",IF(ISNUMBER(FIND("(",INDEX(Расчет!$C$2:$C$3001,$L1078))),SUBSTITUTE(MID(INDEX(Расчет!$C$2:$C$3001,$L1078),FIND("(",INDEX(Расчет!$C$2:$C$3001,$L1078))+1,99),")",""),INDEX(Расчет!$C$2:$C$3001,$L1078)))</f>
        <v/>
      </c>
      <c r="E1078">
        <f>IF($L1078="","",INDEX(Расчет!$D$2:$D$3001,$L1078))</f>
        <v/>
      </c>
      <c r="F1078">
        <f>IF($L1078="","",INDEX(Расчет!$E$2:$E$3001,$L1078))</f>
        <v/>
      </c>
      <c r="G1078">
        <f>IF($L1078="","",IFERROR(--LEFT(INDEX(Расчет!$C$2:$C$3001,$L1078),FIND("(",INDEX(Расчет!$C$2:$C$3001,$L1078))-1),IFERROR(--LEFT(INDEX(Расчет!$C$2:$C$3001,$L1078),1),"")))</f>
        <v/>
      </c>
      <c r="H1078">
        <f>IF($L1078="","",SUMIFS(Расчет!$G$2:$G$3001,Расчет!$I$2:$I$3001,$K1078,Расчет!$H$2:$H$3001,1))</f>
        <v/>
      </c>
      <c r="I1078">
        <f>IF($L1078="","",SUMIFS(Расчет!$G$2:$G$3001,Расчет!$I$2:$I$3001,$K1078,Расчет!$H$2:$H$3001,2))</f>
        <v/>
      </c>
      <c r="J1078">
        <f>IF($L1078="","",SUMIFS(Расчет!$G$2:$G$3001,Расчет!$I$2:$I$3001,$K1078,Расчет!$H$2:$H$3001,3))</f>
        <v/>
      </c>
      <c r="K1078">
        <f>IF($L1078="","",INDEX(Расчет!$I$2:$I$3001,$L1078))</f>
        <v/>
      </c>
      <c r="L1078">
        <f>IFERROR(MATCH(ROW()-1,Расчет!$J$2:$J$3001,0),"")</f>
        <v/>
      </c>
    </row>
    <row r="1079">
      <c r="A1079">
        <f>IF($L1079="","",B1079&amp;"."&amp;C1079&amp;"-"&amp;D1079&amp;"-"&amp;H1079&amp;"."&amp;I1079&amp;"."&amp;J1079)</f>
        <v/>
      </c>
      <c r="B1079">
        <f>IF($L1079="","",INDEX(Расчет!$A$2:$A$3001,$L1079))</f>
        <v/>
      </c>
      <c r="C1079">
        <f>IF($L1079="","",INDEX(Расчет!$B$2:$B$3001,$L1079))</f>
        <v/>
      </c>
      <c r="D1079">
        <f>IF($L1079="","",IF(ISNUMBER(FIND("(",INDEX(Расчет!$C$2:$C$3001,$L1079))),SUBSTITUTE(MID(INDEX(Расчет!$C$2:$C$3001,$L1079),FIND("(",INDEX(Расчет!$C$2:$C$3001,$L1079))+1,99),")",""),INDEX(Расчет!$C$2:$C$3001,$L1079)))</f>
        <v/>
      </c>
      <c r="E1079">
        <f>IF($L1079="","",INDEX(Расчет!$D$2:$D$3001,$L1079))</f>
        <v/>
      </c>
      <c r="F1079">
        <f>IF($L1079="","",INDEX(Расчет!$E$2:$E$3001,$L1079))</f>
        <v/>
      </c>
      <c r="G1079">
        <f>IF($L1079="","",IFERROR(--LEFT(INDEX(Расчет!$C$2:$C$3001,$L1079),FIND("(",INDEX(Расчет!$C$2:$C$3001,$L1079))-1),IFERROR(--LEFT(INDEX(Расчет!$C$2:$C$3001,$L1079),1),"")))</f>
        <v/>
      </c>
      <c r="H1079">
        <f>IF($L1079="","",SUMIFS(Расчет!$G$2:$G$3001,Расчет!$I$2:$I$3001,$K1079,Расчет!$H$2:$H$3001,1))</f>
        <v/>
      </c>
      <c r="I1079">
        <f>IF($L1079="","",SUMIFS(Расчет!$G$2:$G$3001,Расчет!$I$2:$I$3001,$K1079,Расчет!$H$2:$H$3001,2))</f>
        <v/>
      </c>
      <c r="J1079">
        <f>IF($L1079="","",SUMIFS(Расчет!$G$2:$G$3001,Расчет!$I$2:$I$3001,$K1079,Расчет!$H$2:$H$3001,3))</f>
        <v/>
      </c>
      <c r="K1079">
        <f>IF($L1079="","",INDEX(Расчет!$I$2:$I$3001,$L1079))</f>
        <v/>
      </c>
      <c r="L1079">
        <f>IFERROR(MATCH(ROW()-1,Расчет!$J$2:$J$3001,0),"")</f>
        <v/>
      </c>
    </row>
    <row r="1080">
      <c r="A1080">
        <f>IF($L1080="","",B1080&amp;"."&amp;C1080&amp;"-"&amp;D1080&amp;"-"&amp;H1080&amp;"."&amp;I1080&amp;"."&amp;J1080)</f>
        <v/>
      </c>
      <c r="B1080">
        <f>IF($L1080="","",INDEX(Расчет!$A$2:$A$3001,$L1080))</f>
        <v/>
      </c>
      <c r="C1080">
        <f>IF($L1080="","",INDEX(Расчет!$B$2:$B$3001,$L1080))</f>
        <v/>
      </c>
      <c r="D1080">
        <f>IF($L1080="","",IF(ISNUMBER(FIND("(",INDEX(Расчет!$C$2:$C$3001,$L1080))),SUBSTITUTE(MID(INDEX(Расчет!$C$2:$C$3001,$L1080),FIND("(",INDEX(Расчет!$C$2:$C$3001,$L1080))+1,99),")",""),INDEX(Расчет!$C$2:$C$3001,$L1080)))</f>
        <v/>
      </c>
      <c r="E1080">
        <f>IF($L1080="","",INDEX(Расчет!$D$2:$D$3001,$L1080))</f>
        <v/>
      </c>
      <c r="F1080">
        <f>IF($L1080="","",INDEX(Расчет!$E$2:$E$3001,$L1080))</f>
        <v/>
      </c>
      <c r="G1080">
        <f>IF($L1080="","",IFERROR(--LEFT(INDEX(Расчет!$C$2:$C$3001,$L1080),FIND("(",INDEX(Расчет!$C$2:$C$3001,$L1080))-1),IFERROR(--LEFT(INDEX(Расчет!$C$2:$C$3001,$L1080),1),"")))</f>
        <v/>
      </c>
      <c r="H1080">
        <f>IF($L1080="","",SUMIFS(Расчет!$G$2:$G$3001,Расчет!$I$2:$I$3001,$K1080,Расчет!$H$2:$H$3001,1))</f>
        <v/>
      </c>
      <c r="I1080">
        <f>IF($L1080="","",SUMIFS(Расчет!$G$2:$G$3001,Расчет!$I$2:$I$3001,$K1080,Расчет!$H$2:$H$3001,2))</f>
        <v/>
      </c>
      <c r="J1080">
        <f>IF($L1080="","",SUMIFS(Расчет!$G$2:$G$3001,Расчет!$I$2:$I$3001,$K1080,Расчет!$H$2:$H$3001,3))</f>
        <v/>
      </c>
      <c r="K1080">
        <f>IF($L1080="","",INDEX(Расчет!$I$2:$I$3001,$L1080))</f>
        <v/>
      </c>
      <c r="L1080">
        <f>IFERROR(MATCH(ROW()-1,Расчет!$J$2:$J$3001,0),"")</f>
        <v/>
      </c>
    </row>
    <row r="1081">
      <c r="A1081">
        <f>IF($L1081="","",B1081&amp;"."&amp;C1081&amp;"-"&amp;D1081&amp;"-"&amp;H1081&amp;"."&amp;I1081&amp;"."&amp;J1081)</f>
        <v/>
      </c>
      <c r="B1081">
        <f>IF($L1081="","",INDEX(Расчет!$A$2:$A$3001,$L1081))</f>
        <v/>
      </c>
      <c r="C1081">
        <f>IF($L1081="","",INDEX(Расчет!$B$2:$B$3001,$L1081))</f>
        <v/>
      </c>
      <c r="D1081">
        <f>IF($L1081="","",IF(ISNUMBER(FIND("(",INDEX(Расчет!$C$2:$C$3001,$L1081))),SUBSTITUTE(MID(INDEX(Расчет!$C$2:$C$3001,$L1081),FIND("(",INDEX(Расчет!$C$2:$C$3001,$L1081))+1,99),")",""),INDEX(Расчет!$C$2:$C$3001,$L1081)))</f>
        <v/>
      </c>
      <c r="E1081">
        <f>IF($L1081="","",INDEX(Расчет!$D$2:$D$3001,$L1081))</f>
        <v/>
      </c>
      <c r="F1081">
        <f>IF($L1081="","",INDEX(Расчет!$E$2:$E$3001,$L1081))</f>
        <v/>
      </c>
      <c r="G1081">
        <f>IF($L1081="","",IFERROR(--LEFT(INDEX(Расчет!$C$2:$C$3001,$L1081),FIND("(",INDEX(Расчет!$C$2:$C$3001,$L1081))-1),IFERROR(--LEFT(INDEX(Расчет!$C$2:$C$3001,$L1081),1),"")))</f>
        <v/>
      </c>
      <c r="H1081">
        <f>IF($L1081="","",SUMIFS(Расчет!$G$2:$G$3001,Расчет!$I$2:$I$3001,$K1081,Расчет!$H$2:$H$3001,1))</f>
        <v/>
      </c>
      <c r="I1081">
        <f>IF($L1081="","",SUMIFS(Расчет!$G$2:$G$3001,Расчет!$I$2:$I$3001,$K1081,Расчет!$H$2:$H$3001,2))</f>
        <v/>
      </c>
      <c r="J1081">
        <f>IF($L1081="","",SUMIFS(Расчет!$G$2:$G$3001,Расчет!$I$2:$I$3001,$K1081,Расчет!$H$2:$H$3001,3))</f>
        <v/>
      </c>
      <c r="K1081">
        <f>IF($L1081="","",INDEX(Расчет!$I$2:$I$3001,$L1081))</f>
        <v/>
      </c>
      <c r="L1081">
        <f>IFERROR(MATCH(ROW()-1,Расчет!$J$2:$J$3001,0),"")</f>
        <v/>
      </c>
    </row>
    <row r="1082">
      <c r="A1082">
        <f>IF($L1082="","",B1082&amp;"."&amp;C1082&amp;"-"&amp;D1082&amp;"-"&amp;H1082&amp;"."&amp;I1082&amp;"."&amp;J1082)</f>
        <v/>
      </c>
      <c r="B1082">
        <f>IF($L1082="","",INDEX(Расчет!$A$2:$A$3001,$L1082))</f>
        <v/>
      </c>
      <c r="C1082">
        <f>IF($L1082="","",INDEX(Расчет!$B$2:$B$3001,$L1082))</f>
        <v/>
      </c>
      <c r="D1082">
        <f>IF($L1082="","",IF(ISNUMBER(FIND("(",INDEX(Расчет!$C$2:$C$3001,$L1082))),SUBSTITUTE(MID(INDEX(Расчет!$C$2:$C$3001,$L1082),FIND("(",INDEX(Расчет!$C$2:$C$3001,$L1082))+1,99),")",""),INDEX(Расчет!$C$2:$C$3001,$L1082)))</f>
        <v/>
      </c>
      <c r="E1082">
        <f>IF($L1082="","",INDEX(Расчет!$D$2:$D$3001,$L1082))</f>
        <v/>
      </c>
      <c r="F1082">
        <f>IF($L1082="","",INDEX(Расчет!$E$2:$E$3001,$L1082))</f>
        <v/>
      </c>
      <c r="G1082">
        <f>IF($L1082="","",IFERROR(--LEFT(INDEX(Расчет!$C$2:$C$3001,$L1082),FIND("(",INDEX(Расчет!$C$2:$C$3001,$L1082))-1),IFERROR(--LEFT(INDEX(Расчет!$C$2:$C$3001,$L1082),1),"")))</f>
        <v/>
      </c>
      <c r="H1082">
        <f>IF($L1082="","",SUMIFS(Расчет!$G$2:$G$3001,Расчет!$I$2:$I$3001,$K1082,Расчет!$H$2:$H$3001,1))</f>
        <v/>
      </c>
      <c r="I1082">
        <f>IF($L1082="","",SUMIFS(Расчет!$G$2:$G$3001,Расчет!$I$2:$I$3001,$K1082,Расчет!$H$2:$H$3001,2))</f>
        <v/>
      </c>
      <c r="J1082">
        <f>IF($L1082="","",SUMIFS(Расчет!$G$2:$G$3001,Расчет!$I$2:$I$3001,$K1082,Расчет!$H$2:$H$3001,3))</f>
        <v/>
      </c>
      <c r="K1082">
        <f>IF($L1082="","",INDEX(Расчет!$I$2:$I$3001,$L1082))</f>
        <v/>
      </c>
      <c r="L1082">
        <f>IFERROR(MATCH(ROW()-1,Расчет!$J$2:$J$3001,0),"")</f>
        <v/>
      </c>
    </row>
    <row r="1083">
      <c r="A1083">
        <f>IF($L1083="","",B1083&amp;"."&amp;C1083&amp;"-"&amp;D1083&amp;"-"&amp;H1083&amp;"."&amp;I1083&amp;"."&amp;J1083)</f>
        <v/>
      </c>
      <c r="B1083">
        <f>IF($L1083="","",INDEX(Расчет!$A$2:$A$3001,$L1083))</f>
        <v/>
      </c>
      <c r="C1083">
        <f>IF($L1083="","",INDEX(Расчет!$B$2:$B$3001,$L1083))</f>
        <v/>
      </c>
      <c r="D1083">
        <f>IF($L1083="","",IF(ISNUMBER(FIND("(",INDEX(Расчет!$C$2:$C$3001,$L1083))),SUBSTITUTE(MID(INDEX(Расчет!$C$2:$C$3001,$L1083),FIND("(",INDEX(Расчет!$C$2:$C$3001,$L1083))+1,99),")",""),INDEX(Расчет!$C$2:$C$3001,$L1083)))</f>
        <v/>
      </c>
      <c r="E1083">
        <f>IF($L1083="","",INDEX(Расчет!$D$2:$D$3001,$L1083))</f>
        <v/>
      </c>
      <c r="F1083">
        <f>IF($L1083="","",INDEX(Расчет!$E$2:$E$3001,$L1083))</f>
        <v/>
      </c>
      <c r="G1083">
        <f>IF($L1083="","",IFERROR(--LEFT(INDEX(Расчет!$C$2:$C$3001,$L1083),FIND("(",INDEX(Расчет!$C$2:$C$3001,$L1083))-1),IFERROR(--LEFT(INDEX(Расчет!$C$2:$C$3001,$L1083),1),"")))</f>
        <v/>
      </c>
      <c r="H1083">
        <f>IF($L1083="","",SUMIFS(Расчет!$G$2:$G$3001,Расчет!$I$2:$I$3001,$K1083,Расчет!$H$2:$H$3001,1))</f>
        <v/>
      </c>
      <c r="I1083">
        <f>IF($L1083="","",SUMIFS(Расчет!$G$2:$G$3001,Расчет!$I$2:$I$3001,$K1083,Расчет!$H$2:$H$3001,2))</f>
        <v/>
      </c>
      <c r="J1083">
        <f>IF($L1083="","",SUMIFS(Расчет!$G$2:$G$3001,Расчет!$I$2:$I$3001,$K1083,Расчет!$H$2:$H$3001,3))</f>
        <v/>
      </c>
      <c r="K1083">
        <f>IF($L1083="","",INDEX(Расчет!$I$2:$I$3001,$L1083))</f>
        <v/>
      </c>
      <c r="L1083">
        <f>IFERROR(MATCH(ROW()-1,Расчет!$J$2:$J$3001,0),"")</f>
        <v/>
      </c>
    </row>
    <row r="1084">
      <c r="A1084">
        <f>IF($L1084="","",B1084&amp;"."&amp;C1084&amp;"-"&amp;D1084&amp;"-"&amp;H1084&amp;"."&amp;I1084&amp;"."&amp;J1084)</f>
        <v/>
      </c>
      <c r="B1084">
        <f>IF($L1084="","",INDEX(Расчет!$A$2:$A$3001,$L1084))</f>
        <v/>
      </c>
      <c r="C1084">
        <f>IF($L1084="","",INDEX(Расчет!$B$2:$B$3001,$L1084))</f>
        <v/>
      </c>
      <c r="D1084">
        <f>IF($L1084="","",IF(ISNUMBER(FIND("(",INDEX(Расчет!$C$2:$C$3001,$L1084))),SUBSTITUTE(MID(INDEX(Расчет!$C$2:$C$3001,$L1084),FIND("(",INDEX(Расчет!$C$2:$C$3001,$L1084))+1,99),")",""),INDEX(Расчет!$C$2:$C$3001,$L1084)))</f>
        <v/>
      </c>
      <c r="E1084">
        <f>IF($L1084="","",INDEX(Расчет!$D$2:$D$3001,$L1084))</f>
        <v/>
      </c>
      <c r="F1084">
        <f>IF($L1084="","",INDEX(Расчет!$E$2:$E$3001,$L1084))</f>
        <v/>
      </c>
      <c r="G1084">
        <f>IF($L1084="","",IFERROR(--LEFT(INDEX(Расчет!$C$2:$C$3001,$L1084),FIND("(",INDEX(Расчет!$C$2:$C$3001,$L1084))-1),IFERROR(--LEFT(INDEX(Расчет!$C$2:$C$3001,$L1084),1),"")))</f>
        <v/>
      </c>
      <c r="H1084">
        <f>IF($L1084="","",SUMIFS(Расчет!$G$2:$G$3001,Расчет!$I$2:$I$3001,$K1084,Расчет!$H$2:$H$3001,1))</f>
        <v/>
      </c>
      <c r="I1084">
        <f>IF($L1084="","",SUMIFS(Расчет!$G$2:$G$3001,Расчет!$I$2:$I$3001,$K1084,Расчет!$H$2:$H$3001,2))</f>
        <v/>
      </c>
      <c r="J1084">
        <f>IF($L1084="","",SUMIFS(Расчет!$G$2:$G$3001,Расчет!$I$2:$I$3001,$K1084,Расчет!$H$2:$H$3001,3))</f>
        <v/>
      </c>
      <c r="K1084">
        <f>IF($L1084="","",INDEX(Расчет!$I$2:$I$3001,$L1084))</f>
        <v/>
      </c>
      <c r="L1084">
        <f>IFERROR(MATCH(ROW()-1,Расчет!$J$2:$J$3001,0),"")</f>
        <v/>
      </c>
    </row>
    <row r="1085">
      <c r="A1085">
        <f>IF($L1085="","",B1085&amp;"."&amp;C1085&amp;"-"&amp;D1085&amp;"-"&amp;H1085&amp;"."&amp;I1085&amp;"."&amp;J1085)</f>
        <v/>
      </c>
      <c r="B1085">
        <f>IF($L1085="","",INDEX(Расчет!$A$2:$A$3001,$L1085))</f>
        <v/>
      </c>
      <c r="C1085">
        <f>IF($L1085="","",INDEX(Расчет!$B$2:$B$3001,$L1085))</f>
        <v/>
      </c>
      <c r="D1085">
        <f>IF($L1085="","",IF(ISNUMBER(FIND("(",INDEX(Расчет!$C$2:$C$3001,$L1085))),SUBSTITUTE(MID(INDEX(Расчет!$C$2:$C$3001,$L1085),FIND("(",INDEX(Расчет!$C$2:$C$3001,$L1085))+1,99),")",""),INDEX(Расчет!$C$2:$C$3001,$L1085)))</f>
        <v/>
      </c>
      <c r="E1085">
        <f>IF($L1085="","",INDEX(Расчет!$D$2:$D$3001,$L1085))</f>
        <v/>
      </c>
      <c r="F1085">
        <f>IF($L1085="","",INDEX(Расчет!$E$2:$E$3001,$L1085))</f>
        <v/>
      </c>
      <c r="G1085">
        <f>IF($L1085="","",IFERROR(--LEFT(INDEX(Расчет!$C$2:$C$3001,$L1085),FIND("(",INDEX(Расчет!$C$2:$C$3001,$L1085))-1),IFERROR(--LEFT(INDEX(Расчет!$C$2:$C$3001,$L1085),1),"")))</f>
        <v/>
      </c>
      <c r="H1085">
        <f>IF($L1085="","",SUMIFS(Расчет!$G$2:$G$3001,Расчет!$I$2:$I$3001,$K1085,Расчет!$H$2:$H$3001,1))</f>
        <v/>
      </c>
      <c r="I1085">
        <f>IF($L1085="","",SUMIFS(Расчет!$G$2:$G$3001,Расчет!$I$2:$I$3001,$K1085,Расчет!$H$2:$H$3001,2))</f>
        <v/>
      </c>
      <c r="J1085">
        <f>IF($L1085="","",SUMIFS(Расчет!$G$2:$G$3001,Расчет!$I$2:$I$3001,$K1085,Расчет!$H$2:$H$3001,3))</f>
        <v/>
      </c>
      <c r="K1085">
        <f>IF($L1085="","",INDEX(Расчет!$I$2:$I$3001,$L1085))</f>
        <v/>
      </c>
      <c r="L1085">
        <f>IFERROR(MATCH(ROW()-1,Расчет!$J$2:$J$3001,0),"")</f>
        <v/>
      </c>
    </row>
    <row r="1086">
      <c r="A1086">
        <f>IF($L1086="","",B1086&amp;"."&amp;C1086&amp;"-"&amp;D1086&amp;"-"&amp;H1086&amp;"."&amp;I1086&amp;"."&amp;J1086)</f>
        <v/>
      </c>
      <c r="B1086">
        <f>IF($L1086="","",INDEX(Расчет!$A$2:$A$3001,$L1086))</f>
        <v/>
      </c>
      <c r="C1086">
        <f>IF($L1086="","",INDEX(Расчет!$B$2:$B$3001,$L1086))</f>
        <v/>
      </c>
      <c r="D1086">
        <f>IF($L1086="","",IF(ISNUMBER(FIND("(",INDEX(Расчет!$C$2:$C$3001,$L1086))),SUBSTITUTE(MID(INDEX(Расчет!$C$2:$C$3001,$L1086),FIND("(",INDEX(Расчет!$C$2:$C$3001,$L1086))+1,99),")",""),INDEX(Расчет!$C$2:$C$3001,$L1086)))</f>
        <v/>
      </c>
      <c r="E1086">
        <f>IF($L1086="","",INDEX(Расчет!$D$2:$D$3001,$L1086))</f>
        <v/>
      </c>
      <c r="F1086">
        <f>IF($L1086="","",INDEX(Расчет!$E$2:$E$3001,$L1086))</f>
        <v/>
      </c>
      <c r="G1086">
        <f>IF($L1086="","",IFERROR(--LEFT(INDEX(Расчет!$C$2:$C$3001,$L1086),FIND("(",INDEX(Расчет!$C$2:$C$3001,$L1086))-1),IFERROR(--LEFT(INDEX(Расчет!$C$2:$C$3001,$L1086),1),"")))</f>
        <v/>
      </c>
      <c r="H1086">
        <f>IF($L1086="","",SUMIFS(Расчет!$G$2:$G$3001,Расчет!$I$2:$I$3001,$K1086,Расчет!$H$2:$H$3001,1))</f>
        <v/>
      </c>
      <c r="I1086">
        <f>IF($L1086="","",SUMIFS(Расчет!$G$2:$G$3001,Расчет!$I$2:$I$3001,$K1086,Расчет!$H$2:$H$3001,2))</f>
        <v/>
      </c>
      <c r="J1086">
        <f>IF($L1086="","",SUMIFS(Расчет!$G$2:$G$3001,Расчет!$I$2:$I$3001,$K1086,Расчет!$H$2:$H$3001,3))</f>
        <v/>
      </c>
      <c r="K1086">
        <f>IF($L1086="","",INDEX(Расчет!$I$2:$I$3001,$L1086))</f>
        <v/>
      </c>
      <c r="L1086">
        <f>IFERROR(MATCH(ROW()-1,Расчет!$J$2:$J$3001,0),"")</f>
        <v/>
      </c>
    </row>
    <row r="1087">
      <c r="A1087">
        <f>IF($L1087="","",B1087&amp;"."&amp;C1087&amp;"-"&amp;D1087&amp;"-"&amp;H1087&amp;"."&amp;I1087&amp;"."&amp;J1087)</f>
        <v/>
      </c>
      <c r="B1087">
        <f>IF($L1087="","",INDEX(Расчет!$A$2:$A$3001,$L1087))</f>
        <v/>
      </c>
      <c r="C1087">
        <f>IF($L1087="","",INDEX(Расчет!$B$2:$B$3001,$L1087))</f>
        <v/>
      </c>
      <c r="D1087">
        <f>IF($L1087="","",IF(ISNUMBER(FIND("(",INDEX(Расчет!$C$2:$C$3001,$L1087))),SUBSTITUTE(MID(INDEX(Расчет!$C$2:$C$3001,$L1087),FIND("(",INDEX(Расчет!$C$2:$C$3001,$L1087))+1,99),")",""),INDEX(Расчет!$C$2:$C$3001,$L1087)))</f>
        <v/>
      </c>
      <c r="E1087">
        <f>IF($L1087="","",INDEX(Расчет!$D$2:$D$3001,$L1087))</f>
        <v/>
      </c>
      <c r="F1087">
        <f>IF($L1087="","",INDEX(Расчет!$E$2:$E$3001,$L1087))</f>
        <v/>
      </c>
      <c r="G1087">
        <f>IF($L1087="","",IFERROR(--LEFT(INDEX(Расчет!$C$2:$C$3001,$L1087),FIND("(",INDEX(Расчет!$C$2:$C$3001,$L1087))-1),IFERROR(--LEFT(INDEX(Расчет!$C$2:$C$3001,$L1087),1),"")))</f>
        <v/>
      </c>
      <c r="H1087">
        <f>IF($L1087="","",SUMIFS(Расчет!$G$2:$G$3001,Расчет!$I$2:$I$3001,$K1087,Расчет!$H$2:$H$3001,1))</f>
        <v/>
      </c>
      <c r="I1087">
        <f>IF($L1087="","",SUMIFS(Расчет!$G$2:$G$3001,Расчет!$I$2:$I$3001,$K1087,Расчет!$H$2:$H$3001,2))</f>
        <v/>
      </c>
      <c r="J1087">
        <f>IF($L1087="","",SUMIFS(Расчет!$G$2:$G$3001,Расчет!$I$2:$I$3001,$K1087,Расчет!$H$2:$H$3001,3))</f>
        <v/>
      </c>
      <c r="K1087">
        <f>IF($L1087="","",INDEX(Расчет!$I$2:$I$3001,$L1087))</f>
        <v/>
      </c>
      <c r="L1087">
        <f>IFERROR(MATCH(ROW()-1,Расчет!$J$2:$J$3001,0),"")</f>
        <v/>
      </c>
    </row>
    <row r="1088">
      <c r="A1088">
        <f>IF($L1088="","",B1088&amp;"."&amp;C1088&amp;"-"&amp;D1088&amp;"-"&amp;H1088&amp;"."&amp;I1088&amp;"."&amp;J1088)</f>
        <v/>
      </c>
      <c r="B1088">
        <f>IF($L1088="","",INDEX(Расчет!$A$2:$A$3001,$L1088))</f>
        <v/>
      </c>
      <c r="C1088">
        <f>IF($L1088="","",INDEX(Расчет!$B$2:$B$3001,$L1088))</f>
        <v/>
      </c>
      <c r="D1088">
        <f>IF($L1088="","",IF(ISNUMBER(FIND("(",INDEX(Расчет!$C$2:$C$3001,$L1088))),SUBSTITUTE(MID(INDEX(Расчет!$C$2:$C$3001,$L1088),FIND("(",INDEX(Расчет!$C$2:$C$3001,$L1088))+1,99),")",""),INDEX(Расчет!$C$2:$C$3001,$L1088)))</f>
        <v/>
      </c>
      <c r="E1088">
        <f>IF($L1088="","",INDEX(Расчет!$D$2:$D$3001,$L1088))</f>
        <v/>
      </c>
      <c r="F1088">
        <f>IF($L1088="","",INDEX(Расчет!$E$2:$E$3001,$L1088))</f>
        <v/>
      </c>
      <c r="G1088">
        <f>IF($L1088="","",IFERROR(--LEFT(INDEX(Расчет!$C$2:$C$3001,$L1088),FIND("(",INDEX(Расчет!$C$2:$C$3001,$L1088))-1),IFERROR(--LEFT(INDEX(Расчет!$C$2:$C$3001,$L1088),1),"")))</f>
        <v/>
      </c>
      <c r="H1088">
        <f>IF($L1088="","",SUMIFS(Расчет!$G$2:$G$3001,Расчет!$I$2:$I$3001,$K1088,Расчет!$H$2:$H$3001,1))</f>
        <v/>
      </c>
      <c r="I1088">
        <f>IF($L1088="","",SUMIFS(Расчет!$G$2:$G$3001,Расчет!$I$2:$I$3001,$K1088,Расчет!$H$2:$H$3001,2))</f>
        <v/>
      </c>
      <c r="J1088">
        <f>IF($L1088="","",SUMIFS(Расчет!$G$2:$G$3001,Расчет!$I$2:$I$3001,$K1088,Расчет!$H$2:$H$3001,3))</f>
        <v/>
      </c>
      <c r="K1088">
        <f>IF($L1088="","",INDEX(Расчет!$I$2:$I$3001,$L1088))</f>
        <v/>
      </c>
      <c r="L1088">
        <f>IFERROR(MATCH(ROW()-1,Расчет!$J$2:$J$3001,0),"")</f>
        <v/>
      </c>
    </row>
    <row r="1089">
      <c r="A1089">
        <f>IF($L1089="","",B1089&amp;"."&amp;C1089&amp;"-"&amp;D1089&amp;"-"&amp;H1089&amp;"."&amp;I1089&amp;"."&amp;J1089)</f>
        <v/>
      </c>
      <c r="B1089">
        <f>IF($L1089="","",INDEX(Расчет!$A$2:$A$3001,$L1089))</f>
        <v/>
      </c>
      <c r="C1089">
        <f>IF($L1089="","",INDEX(Расчет!$B$2:$B$3001,$L1089))</f>
        <v/>
      </c>
      <c r="D1089">
        <f>IF($L1089="","",IF(ISNUMBER(FIND("(",INDEX(Расчет!$C$2:$C$3001,$L1089))),SUBSTITUTE(MID(INDEX(Расчет!$C$2:$C$3001,$L1089),FIND("(",INDEX(Расчет!$C$2:$C$3001,$L1089))+1,99),")",""),INDEX(Расчет!$C$2:$C$3001,$L1089)))</f>
        <v/>
      </c>
      <c r="E1089">
        <f>IF($L1089="","",INDEX(Расчет!$D$2:$D$3001,$L1089))</f>
        <v/>
      </c>
      <c r="F1089">
        <f>IF($L1089="","",INDEX(Расчет!$E$2:$E$3001,$L1089))</f>
        <v/>
      </c>
      <c r="G1089">
        <f>IF($L1089="","",IFERROR(--LEFT(INDEX(Расчет!$C$2:$C$3001,$L1089),FIND("(",INDEX(Расчет!$C$2:$C$3001,$L1089))-1),IFERROR(--LEFT(INDEX(Расчет!$C$2:$C$3001,$L1089),1),"")))</f>
        <v/>
      </c>
      <c r="H1089">
        <f>IF($L1089="","",SUMIFS(Расчет!$G$2:$G$3001,Расчет!$I$2:$I$3001,$K1089,Расчет!$H$2:$H$3001,1))</f>
        <v/>
      </c>
      <c r="I1089">
        <f>IF($L1089="","",SUMIFS(Расчет!$G$2:$G$3001,Расчет!$I$2:$I$3001,$K1089,Расчет!$H$2:$H$3001,2))</f>
        <v/>
      </c>
      <c r="J1089">
        <f>IF($L1089="","",SUMIFS(Расчет!$G$2:$G$3001,Расчет!$I$2:$I$3001,$K1089,Расчет!$H$2:$H$3001,3))</f>
        <v/>
      </c>
      <c r="K1089">
        <f>IF($L1089="","",INDEX(Расчет!$I$2:$I$3001,$L1089))</f>
        <v/>
      </c>
      <c r="L1089">
        <f>IFERROR(MATCH(ROW()-1,Расчет!$J$2:$J$3001,0),"")</f>
        <v/>
      </c>
    </row>
    <row r="1090">
      <c r="A1090">
        <f>IF($L1090="","",B1090&amp;"."&amp;C1090&amp;"-"&amp;D1090&amp;"-"&amp;H1090&amp;"."&amp;I1090&amp;"."&amp;J1090)</f>
        <v/>
      </c>
      <c r="B1090">
        <f>IF($L1090="","",INDEX(Расчет!$A$2:$A$3001,$L1090))</f>
        <v/>
      </c>
      <c r="C1090">
        <f>IF($L1090="","",INDEX(Расчет!$B$2:$B$3001,$L1090))</f>
        <v/>
      </c>
      <c r="D1090">
        <f>IF($L1090="","",IF(ISNUMBER(FIND("(",INDEX(Расчет!$C$2:$C$3001,$L1090))),SUBSTITUTE(MID(INDEX(Расчет!$C$2:$C$3001,$L1090),FIND("(",INDEX(Расчет!$C$2:$C$3001,$L1090))+1,99),")",""),INDEX(Расчет!$C$2:$C$3001,$L1090)))</f>
        <v/>
      </c>
      <c r="E1090">
        <f>IF($L1090="","",INDEX(Расчет!$D$2:$D$3001,$L1090))</f>
        <v/>
      </c>
      <c r="F1090">
        <f>IF($L1090="","",INDEX(Расчет!$E$2:$E$3001,$L1090))</f>
        <v/>
      </c>
      <c r="G1090">
        <f>IF($L1090="","",IFERROR(--LEFT(INDEX(Расчет!$C$2:$C$3001,$L1090),FIND("(",INDEX(Расчет!$C$2:$C$3001,$L1090))-1),IFERROR(--LEFT(INDEX(Расчет!$C$2:$C$3001,$L1090),1),"")))</f>
        <v/>
      </c>
      <c r="H1090">
        <f>IF($L1090="","",SUMIFS(Расчет!$G$2:$G$3001,Расчет!$I$2:$I$3001,$K1090,Расчет!$H$2:$H$3001,1))</f>
        <v/>
      </c>
      <c r="I1090">
        <f>IF($L1090="","",SUMIFS(Расчет!$G$2:$G$3001,Расчет!$I$2:$I$3001,$K1090,Расчет!$H$2:$H$3001,2))</f>
        <v/>
      </c>
      <c r="J1090">
        <f>IF($L1090="","",SUMIFS(Расчет!$G$2:$G$3001,Расчет!$I$2:$I$3001,$K1090,Расчет!$H$2:$H$3001,3))</f>
        <v/>
      </c>
      <c r="K1090">
        <f>IF($L1090="","",INDEX(Расчет!$I$2:$I$3001,$L1090))</f>
        <v/>
      </c>
      <c r="L1090">
        <f>IFERROR(MATCH(ROW()-1,Расчет!$J$2:$J$3001,0),"")</f>
        <v/>
      </c>
    </row>
    <row r="1091">
      <c r="A1091">
        <f>IF($L1091="","",B1091&amp;"."&amp;C1091&amp;"-"&amp;D1091&amp;"-"&amp;H1091&amp;"."&amp;I1091&amp;"."&amp;J1091)</f>
        <v/>
      </c>
      <c r="B1091">
        <f>IF($L1091="","",INDEX(Расчет!$A$2:$A$3001,$L1091))</f>
        <v/>
      </c>
      <c r="C1091">
        <f>IF($L1091="","",INDEX(Расчет!$B$2:$B$3001,$L1091))</f>
        <v/>
      </c>
      <c r="D1091">
        <f>IF($L1091="","",IF(ISNUMBER(FIND("(",INDEX(Расчет!$C$2:$C$3001,$L1091))),SUBSTITUTE(MID(INDEX(Расчет!$C$2:$C$3001,$L1091),FIND("(",INDEX(Расчет!$C$2:$C$3001,$L1091))+1,99),")",""),INDEX(Расчет!$C$2:$C$3001,$L1091)))</f>
        <v/>
      </c>
      <c r="E1091">
        <f>IF($L1091="","",INDEX(Расчет!$D$2:$D$3001,$L1091))</f>
        <v/>
      </c>
      <c r="F1091">
        <f>IF($L1091="","",INDEX(Расчет!$E$2:$E$3001,$L1091))</f>
        <v/>
      </c>
      <c r="G1091">
        <f>IF($L1091="","",IFERROR(--LEFT(INDEX(Расчет!$C$2:$C$3001,$L1091),FIND("(",INDEX(Расчет!$C$2:$C$3001,$L1091))-1),IFERROR(--LEFT(INDEX(Расчет!$C$2:$C$3001,$L1091),1),"")))</f>
        <v/>
      </c>
      <c r="H1091">
        <f>IF($L1091="","",SUMIFS(Расчет!$G$2:$G$3001,Расчет!$I$2:$I$3001,$K1091,Расчет!$H$2:$H$3001,1))</f>
        <v/>
      </c>
      <c r="I1091">
        <f>IF($L1091="","",SUMIFS(Расчет!$G$2:$G$3001,Расчет!$I$2:$I$3001,$K1091,Расчет!$H$2:$H$3001,2))</f>
        <v/>
      </c>
      <c r="J1091">
        <f>IF($L1091="","",SUMIFS(Расчет!$G$2:$G$3001,Расчет!$I$2:$I$3001,$K1091,Расчет!$H$2:$H$3001,3))</f>
        <v/>
      </c>
      <c r="K1091">
        <f>IF($L1091="","",INDEX(Расчет!$I$2:$I$3001,$L1091))</f>
        <v/>
      </c>
      <c r="L1091">
        <f>IFERROR(MATCH(ROW()-1,Расчет!$J$2:$J$3001,0),"")</f>
        <v/>
      </c>
    </row>
    <row r="1092">
      <c r="A1092">
        <f>IF($L1092="","",B1092&amp;"."&amp;C1092&amp;"-"&amp;D1092&amp;"-"&amp;H1092&amp;"."&amp;I1092&amp;"."&amp;J1092)</f>
        <v/>
      </c>
      <c r="B1092">
        <f>IF($L1092="","",INDEX(Расчет!$A$2:$A$3001,$L1092))</f>
        <v/>
      </c>
      <c r="C1092">
        <f>IF($L1092="","",INDEX(Расчет!$B$2:$B$3001,$L1092))</f>
        <v/>
      </c>
      <c r="D1092">
        <f>IF($L1092="","",IF(ISNUMBER(FIND("(",INDEX(Расчет!$C$2:$C$3001,$L1092))),SUBSTITUTE(MID(INDEX(Расчет!$C$2:$C$3001,$L1092),FIND("(",INDEX(Расчет!$C$2:$C$3001,$L1092))+1,99),")",""),INDEX(Расчет!$C$2:$C$3001,$L1092)))</f>
        <v/>
      </c>
      <c r="E1092">
        <f>IF($L1092="","",INDEX(Расчет!$D$2:$D$3001,$L1092))</f>
        <v/>
      </c>
      <c r="F1092">
        <f>IF($L1092="","",INDEX(Расчет!$E$2:$E$3001,$L1092))</f>
        <v/>
      </c>
      <c r="G1092">
        <f>IF($L1092="","",IFERROR(--LEFT(INDEX(Расчет!$C$2:$C$3001,$L1092),FIND("(",INDEX(Расчет!$C$2:$C$3001,$L1092))-1),IFERROR(--LEFT(INDEX(Расчет!$C$2:$C$3001,$L1092),1),"")))</f>
        <v/>
      </c>
      <c r="H1092">
        <f>IF($L1092="","",SUMIFS(Расчет!$G$2:$G$3001,Расчет!$I$2:$I$3001,$K1092,Расчет!$H$2:$H$3001,1))</f>
        <v/>
      </c>
      <c r="I1092">
        <f>IF($L1092="","",SUMIFS(Расчет!$G$2:$G$3001,Расчет!$I$2:$I$3001,$K1092,Расчет!$H$2:$H$3001,2))</f>
        <v/>
      </c>
      <c r="J1092">
        <f>IF($L1092="","",SUMIFS(Расчет!$G$2:$G$3001,Расчет!$I$2:$I$3001,$K1092,Расчет!$H$2:$H$3001,3))</f>
        <v/>
      </c>
      <c r="K1092">
        <f>IF($L1092="","",INDEX(Расчет!$I$2:$I$3001,$L1092))</f>
        <v/>
      </c>
      <c r="L1092">
        <f>IFERROR(MATCH(ROW()-1,Расчет!$J$2:$J$3001,0),"")</f>
        <v/>
      </c>
    </row>
    <row r="1093">
      <c r="A1093">
        <f>IF($L1093="","",B1093&amp;"."&amp;C1093&amp;"-"&amp;D1093&amp;"-"&amp;H1093&amp;"."&amp;I1093&amp;"."&amp;J1093)</f>
        <v/>
      </c>
      <c r="B1093">
        <f>IF($L1093="","",INDEX(Расчет!$A$2:$A$3001,$L1093))</f>
        <v/>
      </c>
      <c r="C1093">
        <f>IF($L1093="","",INDEX(Расчет!$B$2:$B$3001,$L1093))</f>
        <v/>
      </c>
      <c r="D1093">
        <f>IF($L1093="","",IF(ISNUMBER(FIND("(",INDEX(Расчет!$C$2:$C$3001,$L1093))),SUBSTITUTE(MID(INDEX(Расчет!$C$2:$C$3001,$L1093),FIND("(",INDEX(Расчет!$C$2:$C$3001,$L1093))+1,99),")",""),INDEX(Расчет!$C$2:$C$3001,$L1093)))</f>
        <v/>
      </c>
      <c r="E1093">
        <f>IF($L1093="","",INDEX(Расчет!$D$2:$D$3001,$L1093))</f>
        <v/>
      </c>
      <c r="F1093">
        <f>IF($L1093="","",INDEX(Расчет!$E$2:$E$3001,$L1093))</f>
        <v/>
      </c>
      <c r="G1093">
        <f>IF($L1093="","",IFERROR(--LEFT(INDEX(Расчет!$C$2:$C$3001,$L1093),FIND("(",INDEX(Расчет!$C$2:$C$3001,$L1093))-1),IFERROR(--LEFT(INDEX(Расчет!$C$2:$C$3001,$L1093),1),"")))</f>
        <v/>
      </c>
      <c r="H1093">
        <f>IF($L1093="","",SUMIFS(Расчет!$G$2:$G$3001,Расчет!$I$2:$I$3001,$K1093,Расчет!$H$2:$H$3001,1))</f>
        <v/>
      </c>
      <c r="I1093">
        <f>IF($L1093="","",SUMIFS(Расчет!$G$2:$G$3001,Расчет!$I$2:$I$3001,$K1093,Расчет!$H$2:$H$3001,2))</f>
        <v/>
      </c>
      <c r="J1093">
        <f>IF($L1093="","",SUMIFS(Расчет!$G$2:$G$3001,Расчет!$I$2:$I$3001,$K1093,Расчет!$H$2:$H$3001,3))</f>
        <v/>
      </c>
      <c r="K1093">
        <f>IF($L1093="","",INDEX(Расчет!$I$2:$I$3001,$L1093))</f>
        <v/>
      </c>
      <c r="L1093">
        <f>IFERROR(MATCH(ROW()-1,Расчет!$J$2:$J$3001,0),"")</f>
        <v/>
      </c>
    </row>
    <row r="1094">
      <c r="A1094">
        <f>IF($L1094="","",B1094&amp;"."&amp;C1094&amp;"-"&amp;D1094&amp;"-"&amp;H1094&amp;"."&amp;I1094&amp;"."&amp;J1094)</f>
        <v/>
      </c>
      <c r="B1094">
        <f>IF($L1094="","",INDEX(Расчет!$A$2:$A$3001,$L1094))</f>
        <v/>
      </c>
      <c r="C1094">
        <f>IF($L1094="","",INDEX(Расчет!$B$2:$B$3001,$L1094))</f>
        <v/>
      </c>
      <c r="D1094">
        <f>IF($L1094="","",IF(ISNUMBER(FIND("(",INDEX(Расчет!$C$2:$C$3001,$L1094))),SUBSTITUTE(MID(INDEX(Расчет!$C$2:$C$3001,$L1094),FIND("(",INDEX(Расчет!$C$2:$C$3001,$L1094))+1,99),")",""),INDEX(Расчет!$C$2:$C$3001,$L1094)))</f>
        <v/>
      </c>
      <c r="E1094">
        <f>IF($L1094="","",INDEX(Расчет!$D$2:$D$3001,$L1094))</f>
        <v/>
      </c>
      <c r="F1094">
        <f>IF($L1094="","",INDEX(Расчет!$E$2:$E$3001,$L1094))</f>
        <v/>
      </c>
      <c r="G1094">
        <f>IF($L1094="","",IFERROR(--LEFT(INDEX(Расчет!$C$2:$C$3001,$L1094),FIND("(",INDEX(Расчет!$C$2:$C$3001,$L1094))-1),IFERROR(--LEFT(INDEX(Расчет!$C$2:$C$3001,$L1094),1),"")))</f>
        <v/>
      </c>
      <c r="H1094">
        <f>IF($L1094="","",SUMIFS(Расчет!$G$2:$G$3001,Расчет!$I$2:$I$3001,$K1094,Расчет!$H$2:$H$3001,1))</f>
        <v/>
      </c>
      <c r="I1094">
        <f>IF($L1094="","",SUMIFS(Расчет!$G$2:$G$3001,Расчет!$I$2:$I$3001,$K1094,Расчет!$H$2:$H$3001,2))</f>
        <v/>
      </c>
      <c r="J1094">
        <f>IF($L1094="","",SUMIFS(Расчет!$G$2:$G$3001,Расчет!$I$2:$I$3001,$K1094,Расчет!$H$2:$H$3001,3))</f>
        <v/>
      </c>
      <c r="K1094">
        <f>IF($L1094="","",INDEX(Расчет!$I$2:$I$3001,$L1094))</f>
        <v/>
      </c>
      <c r="L1094">
        <f>IFERROR(MATCH(ROW()-1,Расчет!$J$2:$J$3001,0),"")</f>
        <v/>
      </c>
    </row>
    <row r="1095">
      <c r="A1095">
        <f>IF($L1095="","",B1095&amp;"."&amp;C1095&amp;"-"&amp;D1095&amp;"-"&amp;H1095&amp;"."&amp;I1095&amp;"."&amp;J1095)</f>
        <v/>
      </c>
      <c r="B1095">
        <f>IF($L1095="","",INDEX(Расчет!$A$2:$A$3001,$L1095))</f>
        <v/>
      </c>
      <c r="C1095">
        <f>IF($L1095="","",INDEX(Расчет!$B$2:$B$3001,$L1095))</f>
        <v/>
      </c>
      <c r="D1095">
        <f>IF($L1095="","",IF(ISNUMBER(FIND("(",INDEX(Расчет!$C$2:$C$3001,$L1095))),SUBSTITUTE(MID(INDEX(Расчет!$C$2:$C$3001,$L1095),FIND("(",INDEX(Расчет!$C$2:$C$3001,$L1095))+1,99),")",""),INDEX(Расчет!$C$2:$C$3001,$L1095)))</f>
        <v/>
      </c>
      <c r="E1095">
        <f>IF($L1095="","",INDEX(Расчет!$D$2:$D$3001,$L1095))</f>
        <v/>
      </c>
      <c r="F1095">
        <f>IF($L1095="","",INDEX(Расчет!$E$2:$E$3001,$L1095))</f>
        <v/>
      </c>
      <c r="G1095">
        <f>IF($L1095="","",IFERROR(--LEFT(INDEX(Расчет!$C$2:$C$3001,$L1095),FIND("(",INDEX(Расчет!$C$2:$C$3001,$L1095))-1),IFERROR(--LEFT(INDEX(Расчет!$C$2:$C$3001,$L1095),1),"")))</f>
        <v/>
      </c>
      <c r="H1095">
        <f>IF($L1095="","",SUMIFS(Расчет!$G$2:$G$3001,Расчет!$I$2:$I$3001,$K1095,Расчет!$H$2:$H$3001,1))</f>
        <v/>
      </c>
      <c r="I1095">
        <f>IF($L1095="","",SUMIFS(Расчет!$G$2:$G$3001,Расчет!$I$2:$I$3001,$K1095,Расчет!$H$2:$H$3001,2))</f>
        <v/>
      </c>
      <c r="J1095">
        <f>IF($L1095="","",SUMIFS(Расчет!$G$2:$G$3001,Расчет!$I$2:$I$3001,$K1095,Расчет!$H$2:$H$3001,3))</f>
        <v/>
      </c>
      <c r="K1095">
        <f>IF($L1095="","",INDEX(Расчет!$I$2:$I$3001,$L1095))</f>
        <v/>
      </c>
      <c r="L1095">
        <f>IFERROR(MATCH(ROW()-1,Расчет!$J$2:$J$3001,0),"")</f>
        <v/>
      </c>
    </row>
    <row r="1096">
      <c r="A1096">
        <f>IF($L1096="","",B1096&amp;"."&amp;C1096&amp;"-"&amp;D1096&amp;"-"&amp;H1096&amp;"."&amp;I1096&amp;"."&amp;J1096)</f>
        <v/>
      </c>
      <c r="B1096">
        <f>IF($L1096="","",INDEX(Расчет!$A$2:$A$3001,$L1096))</f>
        <v/>
      </c>
      <c r="C1096">
        <f>IF($L1096="","",INDEX(Расчет!$B$2:$B$3001,$L1096))</f>
        <v/>
      </c>
      <c r="D1096">
        <f>IF($L1096="","",IF(ISNUMBER(FIND("(",INDEX(Расчет!$C$2:$C$3001,$L1096))),SUBSTITUTE(MID(INDEX(Расчет!$C$2:$C$3001,$L1096),FIND("(",INDEX(Расчет!$C$2:$C$3001,$L1096))+1,99),")",""),INDEX(Расчет!$C$2:$C$3001,$L1096)))</f>
        <v/>
      </c>
      <c r="E1096">
        <f>IF($L1096="","",INDEX(Расчет!$D$2:$D$3001,$L1096))</f>
        <v/>
      </c>
      <c r="F1096">
        <f>IF($L1096="","",INDEX(Расчет!$E$2:$E$3001,$L1096))</f>
        <v/>
      </c>
      <c r="G1096">
        <f>IF($L1096="","",IFERROR(--LEFT(INDEX(Расчет!$C$2:$C$3001,$L1096),FIND("(",INDEX(Расчет!$C$2:$C$3001,$L1096))-1),IFERROR(--LEFT(INDEX(Расчет!$C$2:$C$3001,$L1096),1),"")))</f>
        <v/>
      </c>
      <c r="H1096">
        <f>IF($L1096="","",SUMIFS(Расчет!$G$2:$G$3001,Расчет!$I$2:$I$3001,$K1096,Расчет!$H$2:$H$3001,1))</f>
        <v/>
      </c>
      <c r="I1096">
        <f>IF($L1096="","",SUMIFS(Расчет!$G$2:$G$3001,Расчет!$I$2:$I$3001,$K1096,Расчет!$H$2:$H$3001,2))</f>
        <v/>
      </c>
      <c r="J1096">
        <f>IF($L1096="","",SUMIFS(Расчет!$G$2:$G$3001,Расчет!$I$2:$I$3001,$K1096,Расчет!$H$2:$H$3001,3))</f>
        <v/>
      </c>
      <c r="K1096">
        <f>IF($L1096="","",INDEX(Расчет!$I$2:$I$3001,$L1096))</f>
        <v/>
      </c>
      <c r="L1096">
        <f>IFERROR(MATCH(ROW()-1,Расчет!$J$2:$J$3001,0),"")</f>
        <v/>
      </c>
    </row>
    <row r="1097">
      <c r="A1097">
        <f>IF($L1097="","",B1097&amp;"."&amp;C1097&amp;"-"&amp;D1097&amp;"-"&amp;H1097&amp;"."&amp;I1097&amp;"."&amp;J1097)</f>
        <v/>
      </c>
      <c r="B1097">
        <f>IF($L1097="","",INDEX(Расчет!$A$2:$A$3001,$L1097))</f>
        <v/>
      </c>
      <c r="C1097">
        <f>IF($L1097="","",INDEX(Расчет!$B$2:$B$3001,$L1097))</f>
        <v/>
      </c>
      <c r="D1097">
        <f>IF($L1097="","",IF(ISNUMBER(FIND("(",INDEX(Расчет!$C$2:$C$3001,$L1097))),SUBSTITUTE(MID(INDEX(Расчет!$C$2:$C$3001,$L1097),FIND("(",INDEX(Расчет!$C$2:$C$3001,$L1097))+1,99),")",""),INDEX(Расчет!$C$2:$C$3001,$L1097)))</f>
        <v/>
      </c>
      <c r="E1097">
        <f>IF($L1097="","",INDEX(Расчет!$D$2:$D$3001,$L1097))</f>
        <v/>
      </c>
      <c r="F1097">
        <f>IF($L1097="","",INDEX(Расчет!$E$2:$E$3001,$L1097))</f>
        <v/>
      </c>
      <c r="G1097">
        <f>IF($L1097="","",IFERROR(--LEFT(INDEX(Расчет!$C$2:$C$3001,$L1097),FIND("(",INDEX(Расчет!$C$2:$C$3001,$L1097))-1),IFERROR(--LEFT(INDEX(Расчет!$C$2:$C$3001,$L1097),1),"")))</f>
        <v/>
      </c>
      <c r="H1097">
        <f>IF($L1097="","",SUMIFS(Расчет!$G$2:$G$3001,Расчет!$I$2:$I$3001,$K1097,Расчет!$H$2:$H$3001,1))</f>
        <v/>
      </c>
      <c r="I1097">
        <f>IF($L1097="","",SUMIFS(Расчет!$G$2:$G$3001,Расчет!$I$2:$I$3001,$K1097,Расчет!$H$2:$H$3001,2))</f>
        <v/>
      </c>
      <c r="J1097">
        <f>IF($L1097="","",SUMIFS(Расчет!$G$2:$G$3001,Расчет!$I$2:$I$3001,$K1097,Расчет!$H$2:$H$3001,3))</f>
        <v/>
      </c>
      <c r="K1097">
        <f>IF($L1097="","",INDEX(Расчет!$I$2:$I$3001,$L1097))</f>
        <v/>
      </c>
      <c r="L1097">
        <f>IFERROR(MATCH(ROW()-1,Расчет!$J$2:$J$3001,0),"")</f>
        <v/>
      </c>
    </row>
    <row r="1098">
      <c r="A1098">
        <f>IF($L1098="","",B1098&amp;"."&amp;C1098&amp;"-"&amp;D1098&amp;"-"&amp;H1098&amp;"."&amp;I1098&amp;"."&amp;J1098)</f>
        <v/>
      </c>
      <c r="B1098">
        <f>IF($L1098="","",INDEX(Расчет!$A$2:$A$3001,$L1098))</f>
        <v/>
      </c>
      <c r="C1098">
        <f>IF($L1098="","",INDEX(Расчет!$B$2:$B$3001,$L1098))</f>
        <v/>
      </c>
      <c r="D1098">
        <f>IF($L1098="","",IF(ISNUMBER(FIND("(",INDEX(Расчет!$C$2:$C$3001,$L1098))),SUBSTITUTE(MID(INDEX(Расчет!$C$2:$C$3001,$L1098),FIND("(",INDEX(Расчет!$C$2:$C$3001,$L1098))+1,99),")",""),INDEX(Расчет!$C$2:$C$3001,$L1098)))</f>
        <v/>
      </c>
      <c r="E1098">
        <f>IF($L1098="","",INDEX(Расчет!$D$2:$D$3001,$L1098))</f>
        <v/>
      </c>
      <c r="F1098">
        <f>IF($L1098="","",INDEX(Расчет!$E$2:$E$3001,$L1098))</f>
        <v/>
      </c>
      <c r="G1098">
        <f>IF($L1098="","",IFERROR(--LEFT(INDEX(Расчет!$C$2:$C$3001,$L1098),FIND("(",INDEX(Расчет!$C$2:$C$3001,$L1098))-1),IFERROR(--LEFT(INDEX(Расчет!$C$2:$C$3001,$L1098),1),"")))</f>
        <v/>
      </c>
      <c r="H1098">
        <f>IF($L1098="","",SUMIFS(Расчет!$G$2:$G$3001,Расчет!$I$2:$I$3001,$K1098,Расчет!$H$2:$H$3001,1))</f>
        <v/>
      </c>
      <c r="I1098">
        <f>IF($L1098="","",SUMIFS(Расчет!$G$2:$G$3001,Расчет!$I$2:$I$3001,$K1098,Расчет!$H$2:$H$3001,2))</f>
        <v/>
      </c>
      <c r="J1098">
        <f>IF($L1098="","",SUMIFS(Расчет!$G$2:$G$3001,Расчет!$I$2:$I$3001,$K1098,Расчет!$H$2:$H$3001,3))</f>
        <v/>
      </c>
      <c r="K1098">
        <f>IF($L1098="","",INDEX(Расчет!$I$2:$I$3001,$L1098))</f>
        <v/>
      </c>
      <c r="L1098">
        <f>IFERROR(MATCH(ROW()-1,Расчет!$J$2:$J$3001,0),"")</f>
        <v/>
      </c>
    </row>
    <row r="1099">
      <c r="A1099">
        <f>IF($L1099="","",B1099&amp;"."&amp;C1099&amp;"-"&amp;D1099&amp;"-"&amp;H1099&amp;"."&amp;I1099&amp;"."&amp;J1099)</f>
        <v/>
      </c>
      <c r="B1099">
        <f>IF($L1099="","",INDEX(Расчет!$A$2:$A$3001,$L1099))</f>
        <v/>
      </c>
      <c r="C1099">
        <f>IF($L1099="","",INDEX(Расчет!$B$2:$B$3001,$L1099))</f>
        <v/>
      </c>
      <c r="D1099">
        <f>IF($L1099="","",IF(ISNUMBER(FIND("(",INDEX(Расчет!$C$2:$C$3001,$L1099))),SUBSTITUTE(MID(INDEX(Расчет!$C$2:$C$3001,$L1099),FIND("(",INDEX(Расчет!$C$2:$C$3001,$L1099))+1,99),")",""),INDEX(Расчет!$C$2:$C$3001,$L1099)))</f>
        <v/>
      </c>
      <c r="E1099">
        <f>IF($L1099="","",INDEX(Расчет!$D$2:$D$3001,$L1099))</f>
        <v/>
      </c>
      <c r="F1099">
        <f>IF($L1099="","",INDEX(Расчет!$E$2:$E$3001,$L1099))</f>
        <v/>
      </c>
      <c r="G1099">
        <f>IF($L1099="","",IFERROR(--LEFT(INDEX(Расчет!$C$2:$C$3001,$L1099),FIND("(",INDEX(Расчет!$C$2:$C$3001,$L1099))-1),IFERROR(--LEFT(INDEX(Расчет!$C$2:$C$3001,$L1099),1),"")))</f>
        <v/>
      </c>
      <c r="H1099">
        <f>IF($L1099="","",SUMIFS(Расчет!$G$2:$G$3001,Расчет!$I$2:$I$3001,$K1099,Расчет!$H$2:$H$3001,1))</f>
        <v/>
      </c>
      <c r="I1099">
        <f>IF($L1099="","",SUMIFS(Расчет!$G$2:$G$3001,Расчет!$I$2:$I$3001,$K1099,Расчет!$H$2:$H$3001,2))</f>
        <v/>
      </c>
      <c r="J1099">
        <f>IF($L1099="","",SUMIFS(Расчет!$G$2:$G$3001,Расчет!$I$2:$I$3001,$K1099,Расчет!$H$2:$H$3001,3))</f>
        <v/>
      </c>
      <c r="K1099">
        <f>IF($L1099="","",INDEX(Расчет!$I$2:$I$3001,$L1099))</f>
        <v/>
      </c>
      <c r="L1099">
        <f>IFERROR(MATCH(ROW()-1,Расчет!$J$2:$J$3001,0),"")</f>
        <v/>
      </c>
    </row>
    <row r="1100">
      <c r="A1100">
        <f>IF($L1100="","",B1100&amp;"."&amp;C1100&amp;"-"&amp;D1100&amp;"-"&amp;H1100&amp;"."&amp;I1100&amp;"."&amp;J1100)</f>
        <v/>
      </c>
      <c r="B1100">
        <f>IF($L1100="","",INDEX(Расчет!$A$2:$A$3001,$L1100))</f>
        <v/>
      </c>
      <c r="C1100">
        <f>IF($L1100="","",INDEX(Расчет!$B$2:$B$3001,$L1100))</f>
        <v/>
      </c>
      <c r="D1100">
        <f>IF($L1100="","",IF(ISNUMBER(FIND("(",INDEX(Расчет!$C$2:$C$3001,$L1100))),SUBSTITUTE(MID(INDEX(Расчет!$C$2:$C$3001,$L1100),FIND("(",INDEX(Расчет!$C$2:$C$3001,$L1100))+1,99),")",""),INDEX(Расчет!$C$2:$C$3001,$L1100)))</f>
        <v/>
      </c>
      <c r="E1100">
        <f>IF($L1100="","",INDEX(Расчет!$D$2:$D$3001,$L1100))</f>
        <v/>
      </c>
      <c r="F1100">
        <f>IF($L1100="","",INDEX(Расчет!$E$2:$E$3001,$L1100))</f>
        <v/>
      </c>
      <c r="G1100">
        <f>IF($L1100="","",IFERROR(--LEFT(INDEX(Расчет!$C$2:$C$3001,$L1100),FIND("(",INDEX(Расчет!$C$2:$C$3001,$L1100))-1),IFERROR(--LEFT(INDEX(Расчет!$C$2:$C$3001,$L1100),1),"")))</f>
        <v/>
      </c>
      <c r="H1100">
        <f>IF($L1100="","",SUMIFS(Расчет!$G$2:$G$3001,Расчет!$I$2:$I$3001,$K1100,Расчет!$H$2:$H$3001,1))</f>
        <v/>
      </c>
      <c r="I1100">
        <f>IF($L1100="","",SUMIFS(Расчет!$G$2:$G$3001,Расчет!$I$2:$I$3001,$K1100,Расчет!$H$2:$H$3001,2))</f>
        <v/>
      </c>
      <c r="J1100">
        <f>IF($L1100="","",SUMIFS(Расчет!$G$2:$G$3001,Расчет!$I$2:$I$3001,$K1100,Расчет!$H$2:$H$3001,3))</f>
        <v/>
      </c>
      <c r="K1100">
        <f>IF($L1100="","",INDEX(Расчет!$I$2:$I$3001,$L1100))</f>
        <v/>
      </c>
      <c r="L1100">
        <f>IFERROR(MATCH(ROW()-1,Расчет!$J$2:$J$3001,0),"")</f>
        <v/>
      </c>
    </row>
    <row r="1101">
      <c r="A1101">
        <f>IF($L1101="","",B1101&amp;"."&amp;C1101&amp;"-"&amp;D1101&amp;"-"&amp;H1101&amp;"."&amp;I1101&amp;"."&amp;J1101)</f>
        <v/>
      </c>
      <c r="B1101">
        <f>IF($L1101="","",INDEX(Расчет!$A$2:$A$3001,$L1101))</f>
        <v/>
      </c>
      <c r="C1101">
        <f>IF($L1101="","",INDEX(Расчет!$B$2:$B$3001,$L1101))</f>
        <v/>
      </c>
      <c r="D1101">
        <f>IF($L1101="","",IF(ISNUMBER(FIND("(",INDEX(Расчет!$C$2:$C$3001,$L1101))),SUBSTITUTE(MID(INDEX(Расчет!$C$2:$C$3001,$L1101),FIND("(",INDEX(Расчет!$C$2:$C$3001,$L1101))+1,99),")",""),INDEX(Расчет!$C$2:$C$3001,$L1101)))</f>
        <v/>
      </c>
      <c r="E1101">
        <f>IF($L1101="","",INDEX(Расчет!$D$2:$D$3001,$L1101))</f>
        <v/>
      </c>
      <c r="F1101">
        <f>IF($L1101="","",INDEX(Расчет!$E$2:$E$3001,$L1101))</f>
        <v/>
      </c>
      <c r="G1101">
        <f>IF($L1101="","",IFERROR(--LEFT(INDEX(Расчет!$C$2:$C$3001,$L1101),FIND("(",INDEX(Расчет!$C$2:$C$3001,$L1101))-1),IFERROR(--LEFT(INDEX(Расчет!$C$2:$C$3001,$L1101),1),"")))</f>
        <v/>
      </c>
      <c r="H1101">
        <f>IF($L1101="","",SUMIFS(Расчет!$G$2:$G$3001,Расчет!$I$2:$I$3001,$K1101,Расчет!$H$2:$H$3001,1))</f>
        <v/>
      </c>
      <c r="I1101">
        <f>IF($L1101="","",SUMIFS(Расчет!$G$2:$G$3001,Расчет!$I$2:$I$3001,$K1101,Расчет!$H$2:$H$3001,2))</f>
        <v/>
      </c>
      <c r="J1101">
        <f>IF($L1101="","",SUMIFS(Расчет!$G$2:$G$3001,Расчет!$I$2:$I$3001,$K1101,Расчет!$H$2:$H$3001,3))</f>
        <v/>
      </c>
      <c r="K1101">
        <f>IF($L1101="","",INDEX(Расчет!$I$2:$I$3001,$L1101))</f>
        <v/>
      </c>
      <c r="L1101">
        <f>IFERROR(MATCH(ROW()-1,Расчет!$J$2:$J$3001,0),"")</f>
        <v/>
      </c>
    </row>
    <row r="1102">
      <c r="A1102">
        <f>IF($L1102="","",B1102&amp;"."&amp;C1102&amp;"-"&amp;D1102&amp;"-"&amp;H1102&amp;"."&amp;I1102&amp;"."&amp;J1102)</f>
        <v/>
      </c>
      <c r="B1102">
        <f>IF($L1102="","",INDEX(Расчет!$A$2:$A$3001,$L1102))</f>
        <v/>
      </c>
      <c r="C1102">
        <f>IF($L1102="","",INDEX(Расчет!$B$2:$B$3001,$L1102))</f>
        <v/>
      </c>
      <c r="D1102">
        <f>IF($L1102="","",IF(ISNUMBER(FIND("(",INDEX(Расчет!$C$2:$C$3001,$L1102))),SUBSTITUTE(MID(INDEX(Расчет!$C$2:$C$3001,$L1102),FIND("(",INDEX(Расчет!$C$2:$C$3001,$L1102))+1,99),")",""),INDEX(Расчет!$C$2:$C$3001,$L1102)))</f>
        <v/>
      </c>
      <c r="E1102">
        <f>IF($L1102="","",INDEX(Расчет!$D$2:$D$3001,$L1102))</f>
        <v/>
      </c>
      <c r="F1102">
        <f>IF($L1102="","",INDEX(Расчет!$E$2:$E$3001,$L1102))</f>
        <v/>
      </c>
      <c r="G1102">
        <f>IF($L1102="","",IFERROR(--LEFT(INDEX(Расчет!$C$2:$C$3001,$L1102),FIND("(",INDEX(Расчет!$C$2:$C$3001,$L1102))-1),IFERROR(--LEFT(INDEX(Расчет!$C$2:$C$3001,$L1102),1),"")))</f>
        <v/>
      </c>
      <c r="H1102">
        <f>IF($L1102="","",SUMIFS(Расчет!$G$2:$G$3001,Расчет!$I$2:$I$3001,$K1102,Расчет!$H$2:$H$3001,1))</f>
        <v/>
      </c>
      <c r="I1102">
        <f>IF($L1102="","",SUMIFS(Расчет!$G$2:$G$3001,Расчет!$I$2:$I$3001,$K1102,Расчет!$H$2:$H$3001,2))</f>
        <v/>
      </c>
      <c r="J1102">
        <f>IF($L1102="","",SUMIFS(Расчет!$G$2:$G$3001,Расчет!$I$2:$I$3001,$K1102,Расчет!$H$2:$H$3001,3))</f>
        <v/>
      </c>
      <c r="K1102">
        <f>IF($L1102="","",INDEX(Расчет!$I$2:$I$3001,$L1102))</f>
        <v/>
      </c>
      <c r="L1102">
        <f>IFERROR(MATCH(ROW()-1,Расчет!$J$2:$J$3001,0),"")</f>
        <v/>
      </c>
    </row>
    <row r="1103">
      <c r="A1103">
        <f>IF($L1103="","",B1103&amp;"."&amp;C1103&amp;"-"&amp;D1103&amp;"-"&amp;H1103&amp;"."&amp;I1103&amp;"."&amp;J1103)</f>
        <v/>
      </c>
      <c r="B1103">
        <f>IF($L1103="","",INDEX(Расчет!$A$2:$A$3001,$L1103))</f>
        <v/>
      </c>
      <c r="C1103">
        <f>IF($L1103="","",INDEX(Расчет!$B$2:$B$3001,$L1103))</f>
        <v/>
      </c>
      <c r="D1103">
        <f>IF($L1103="","",IF(ISNUMBER(FIND("(",INDEX(Расчет!$C$2:$C$3001,$L1103))),SUBSTITUTE(MID(INDEX(Расчет!$C$2:$C$3001,$L1103),FIND("(",INDEX(Расчет!$C$2:$C$3001,$L1103))+1,99),")",""),INDEX(Расчет!$C$2:$C$3001,$L1103)))</f>
        <v/>
      </c>
      <c r="E1103">
        <f>IF($L1103="","",INDEX(Расчет!$D$2:$D$3001,$L1103))</f>
        <v/>
      </c>
      <c r="F1103">
        <f>IF($L1103="","",INDEX(Расчет!$E$2:$E$3001,$L1103))</f>
        <v/>
      </c>
      <c r="G1103">
        <f>IF($L1103="","",IFERROR(--LEFT(INDEX(Расчет!$C$2:$C$3001,$L1103),FIND("(",INDEX(Расчет!$C$2:$C$3001,$L1103))-1),IFERROR(--LEFT(INDEX(Расчет!$C$2:$C$3001,$L1103),1),"")))</f>
        <v/>
      </c>
      <c r="H1103">
        <f>IF($L1103="","",SUMIFS(Расчет!$G$2:$G$3001,Расчет!$I$2:$I$3001,$K1103,Расчет!$H$2:$H$3001,1))</f>
        <v/>
      </c>
      <c r="I1103">
        <f>IF($L1103="","",SUMIFS(Расчет!$G$2:$G$3001,Расчет!$I$2:$I$3001,$K1103,Расчет!$H$2:$H$3001,2))</f>
        <v/>
      </c>
      <c r="J1103">
        <f>IF($L1103="","",SUMIFS(Расчет!$G$2:$G$3001,Расчет!$I$2:$I$3001,$K1103,Расчет!$H$2:$H$3001,3))</f>
        <v/>
      </c>
      <c r="K1103">
        <f>IF($L1103="","",INDEX(Расчет!$I$2:$I$3001,$L1103))</f>
        <v/>
      </c>
      <c r="L1103">
        <f>IFERROR(MATCH(ROW()-1,Расчет!$J$2:$J$3001,0),"")</f>
        <v/>
      </c>
    </row>
    <row r="1104">
      <c r="A1104">
        <f>IF($L1104="","",B1104&amp;"."&amp;C1104&amp;"-"&amp;D1104&amp;"-"&amp;H1104&amp;"."&amp;I1104&amp;"."&amp;J1104)</f>
        <v/>
      </c>
      <c r="B1104">
        <f>IF($L1104="","",INDEX(Расчет!$A$2:$A$3001,$L1104))</f>
        <v/>
      </c>
      <c r="C1104">
        <f>IF($L1104="","",INDEX(Расчет!$B$2:$B$3001,$L1104))</f>
        <v/>
      </c>
      <c r="D1104">
        <f>IF($L1104="","",IF(ISNUMBER(FIND("(",INDEX(Расчет!$C$2:$C$3001,$L1104))),SUBSTITUTE(MID(INDEX(Расчет!$C$2:$C$3001,$L1104),FIND("(",INDEX(Расчет!$C$2:$C$3001,$L1104))+1,99),")",""),INDEX(Расчет!$C$2:$C$3001,$L1104)))</f>
        <v/>
      </c>
      <c r="E1104">
        <f>IF($L1104="","",INDEX(Расчет!$D$2:$D$3001,$L1104))</f>
        <v/>
      </c>
      <c r="F1104">
        <f>IF($L1104="","",INDEX(Расчет!$E$2:$E$3001,$L1104))</f>
        <v/>
      </c>
      <c r="G1104">
        <f>IF($L1104="","",IFERROR(--LEFT(INDEX(Расчет!$C$2:$C$3001,$L1104),FIND("(",INDEX(Расчет!$C$2:$C$3001,$L1104))-1),IFERROR(--LEFT(INDEX(Расчет!$C$2:$C$3001,$L1104),1),"")))</f>
        <v/>
      </c>
      <c r="H1104">
        <f>IF($L1104="","",SUMIFS(Расчет!$G$2:$G$3001,Расчет!$I$2:$I$3001,$K1104,Расчет!$H$2:$H$3001,1))</f>
        <v/>
      </c>
      <c r="I1104">
        <f>IF($L1104="","",SUMIFS(Расчет!$G$2:$G$3001,Расчет!$I$2:$I$3001,$K1104,Расчет!$H$2:$H$3001,2))</f>
        <v/>
      </c>
      <c r="J1104">
        <f>IF($L1104="","",SUMIFS(Расчет!$G$2:$G$3001,Расчет!$I$2:$I$3001,$K1104,Расчет!$H$2:$H$3001,3))</f>
        <v/>
      </c>
      <c r="K1104">
        <f>IF($L1104="","",INDEX(Расчет!$I$2:$I$3001,$L1104))</f>
        <v/>
      </c>
      <c r="L1104">
        <f>IFERROR(MATCH(ROW()-1,Расчет!$J$2:$J$3001,0),"")</f>
        <v/>
      </c>
    </row>
    <row r="1105">
      <c r="A1105">
        <f>IF($L1105="","",B1105&amp;"."&amp;C1105&amp;"-"&amp;D1105&amp;"-"&amp;H1105&amp;"."&amp;I1105&amp;"."&amp;J1105)</f>
        <v/>
      </c>
      <c r="B1105">
        <f>IF($L1105="","",INDEX(Расчет!$A$2:$A$3001,$L1105))</f>
        <v/>
      </c>
      <c r="C1105">
        <f>IF($L1105="","",INDEX(Расчет!$B$2:$B$3001,$L1105))</f>
        <v/>
      </c>
      <c r="D1105">
        <f>IF($L1105="","",IF(ISNUMBER(FIND("(",INDEX(Расчет!$C$2:$C$3001,$L1105))),SUBSTITUTE(MID(INDEX(Расчет!$C$2:$C$3001,$L1105),FIND("(",INDEX(Расчет!$C$2:$C$3001,$L1105))+1,99),")",""),INDEX(Расчет!$C$2:$C$3001,$L1105)))</f>
        <v/>
      </c>
      <c r="E1105">
        <f>IF($L1105="","",INDEX(Расчет!$D$2:$D$3001,$L1105))</f>
        <v/>
      </c>
      <c r="F1105">
        <f>IF($L1105="","",INDEX(Расчет!$E$2:$E$3001,$L1105))</f>
        <v/>
      </c>
      <c r="G1105">
        <f>IF($L1105="","",IFERROR(--LEFT(INDEX(Расчет!$C$2:$C$3001,$L1105),FIND("(",INDEX(Расчет!$C$2:$C$3001,$L1105))-1),IFERROR(--LEFT(INDEX(Расчет!$C$2:$C$3001,$L1105),1),"")))</f>
        <v/>
      </c>
      <c r="H1105">
        <f>IF($L1105="","",SUMIFS(Расчет!$G$2:$G$3001,Расчет!$I$2:$I$3001,$K1105,Расчет!$H$2:$H$3001,1))</f>
        <v/>
      </c>
      <c r="I1105">
        <f>IF($L1105="","",SUMIFS(Расчет!$G$2:$G$3001,Расчет!$I$2:$I$3001,$K1105,Расчет!$H$2:$H$3001,2))</f>
        <v/>
      </c>
      <c r="J1105">
        <f>IF($L1105="","",SUMIFS(Расчет!$G$2:$G$3001,Расчет!$I$2:$I$3001,$K1105,Расчет!$H$2:$H$3001,3))</f>
        <v/>
      </c>
      <c r="K1105">
        <f>IF($L1105="","",INDEX(Расчет!$I$2:$I$3001,$L1105))</f>
        <v/>
      </c>
      <c r="L1105">
        <f>IFERROR(MATCH(ROW()-1,Расчет!$J$2:$J$3001,0),"")</f>
        <v/>
      </c>
    </row>
    <row r="1106">
      <c r="A1106">
        <f>IF($L1106="","",B1106&amp;"."&amp;C1106&amp;"-"&amp;D1106&amp;"-"&amp;H1106&amp;"."&amp;I1106&amp;"."&amp;J1106)</f>
        <v/>
      </c>
      <c r="B1106">
        <f>IF($L1106="","",INDEX(Расчет!$A$2:$A$3001,$L1106))</f>
        <v/>
      </c>
      <c r="C1106">
        <f>IF($L1106="","",INDEX(Расчет!$B$2:$B$3001,$L1106))</f>
        <v/>
      </c>
      <c r="D1106">
        <f>IF($L1106="","",IF(ISNUMBER(FIND("(",INDEX(Расчет!$C$2:$C$3001,$L1106))),SUBSTITUTE(MID(INDEX(Расчет!$C$2:$C$3001,$L1106),FIND("(",INDEX(Расчет!$C$2:$C$3001,$L1106))+1,99),")",""),INDEX(Расчет!$C$2:$C$3001,$L1106)))</f>
        <v/>
      </c>
      <c r="E1106">
        <f>IF($L1106="","",INDEX(Расчет!$D$2:$D$3001,$L1106))</f>
        <v/>
      </c>
      <c r="F1106">
        <f>IF($L1106="","",INDEX(Расчет!$E$2:$E$3001,$L1106))</f>
        <v/>
      </c>
      <c r="G1106">
        <f>IF($L1106="","",IFERROR(--LEFT(INDEX(Расчет!$C$2:$C$3001,$L1106),FIND("(",INDEX(Расчет!$C$2:$C$3001,$L1106))-1),IFERROR(--LEFT(INDEX(Расчет!$C$2:$C$3001,$L1106),1),"")))</f>
        <v/>
      </c>
      <c r="H1106">
        <f>IF($L1106="","",SUMIFS(Расчет!$G$2:$G$3001,Расчет!$I$2:$I$3001,$K1106,Расчет!$H$2:$H$3001,1))</f>
        <v/>
      </c>
      <c r="I1106">
        <f>IF($L1106="","",SUMIFS(Расчет!$G$2:$G$3001,Расчет!$I$2:$I$3001,$K1106,Расчет!$H$2:$H$3001,2))</f>
        <v/>
      </c>
      <c r="J1106">
        <f>IF($L1106="","",SUMIFS(Расчет!$G$2:$G$3001,Расчет!$I$2:$I$3001,$K1106,Расчет!$H$2:$H$3001,3))</f>
        <v/>
      </c>
      <c r="K1106">
        <f>IF($L1106="","",INDEX(Расчет!$I$2:$I$3001,$L1106))</f>
        <v/>
      </c>
      <c r="L1106">
        <f>IFERROR(MATCH(ROW()-1,Расчет!$J$2:$J$3001,0),"")</f>
        <v/>
      </c>
    </row>
    <row r="1107">
      <c r="A1107">
        <f>IF($L1107="","",B1107&amp;"."&amp;C1107&amp;"-"&amp;D1107&amp;"-"&amp;H1107&amp;"."&amp;I1107&amp;"."&amp;J1107)</f>
        <v/>
      </c>
      <c r="B1107">
        <f>IF($L1107="","",INDEX(Расчет!$A$2:$A$3001,$L1107))</f>
        <v/>
      </c>
      <c r="C1107">
        <f>IF($L1107="","",INDEX(Расчет!$B$2:$B$3001,$L1107))</f>
        <v/>
      </c>
      <c r="D1107">
        <f>IF($L1107="","",IF(ISNUMBER(FIND("(",INDEX(Расчет!$C$2:$C$3001,$L1107))),SUBSTITUTE(MID(INDEX(Расчет!$C$2:$C$3001,$L1107),FIND("(",INDEX(Расчет!$C$2:$C$3001,$L1107))+1,99),")",""),INDEX(Расчет!$C$2:$C$3001,$L1107)))</f>
        <v/>
      </c>
      <c r="E1107">
        <f>IF($L1107="","",INDEX(Расчет!$D$2:$D$3001,$L1107))</f>
        <v/>
      </c>
      <c r="F1107">
        <f>IF($L1107="","",INDEX(Расчет!$E$2:$E$3001,$L1107))</f>
        <v/>
      </c>
      <c r="G1107">
        <f>IF($L1107="","",IFERROR(--LEFT(INDEX(Расчет!$C$2:$C$3001,$L1107),FIND("(",INDEX(Расчет!$C$2:$C$3001,$L1107))-1),IFERROR(--LEFT(INDEX(Расчет!$C$2:$C$3001,$L1107),1),"")))</f>
        <v/>
      </c>
      <c r="H1107">
        <f>IF($L1107="","",SUMIFS(Расчет!$G$2:$G$3001,Расчет!$I$2:$I$3001,$K1107,Расчет!$H$2:$H$3001,1))</f>
        <v/>
      </c>
      <c r="I1107">
        <f>IF($L1107="","",SUMIFS(Расчет!$G$2:$G$3001,Расчет!$I$2:$I$3001,$K1107,Расчет!$H$2:$H$3001,2))</f>
        <v/>
      </c>
      <c r="J1107">
        <f>IF($L1107="","",SUMIFS(Расчет!$G$2:$G$3001,Расчет!$I$2:$I$3001,$K1107,Расчет!$H$2:$H$3001,3))</f>
        <v/>
      </c>
      <c r="K1107">
        <f>IF($L1107="","",INDEX(Расчет!$I$2:$I$3001,$L1107))</f>
        <v/>
      </c>
      <c r="L1107">
        <f>IFERROR(MATCH(ROW()-1,Расчет!$J$2:$J$3001,0),"")</f>
        <v/>
      </c>
    </row>
    <row r="1108">
      <c r="A1108">
        <f>IF($L1108="","",B1108&amp;"."&amp;C1108&amp;"-"&amp;D1108&amp;"-"&amp;H1108&amp;"."&amp;I1108&amp;"."&amp;J1108)</f>
        <v/>
      </c>
      <c r="B1108">
        <f>IF($L1108="","",INDEX(Расчет!$A$2:$A$3001,$L1108))</f>
        <v/>
      </c>
      <c r="C1108">
        <f>IF($L1108="","",INDEX(Расчет!$B$2:$B$3001,$L1108))</f>
        <v/>
      </c>
      <c r="D1108">
        <f>IF($L1108="","",IF(ISNUMBER(FIND("(",INDEX(Расчет!$C$2:$C$3001,$L1108))),SUBSTITUTE(MID(INDEX(Расчет!$C$2:$C$3001,$L1108),FIND("(",INDEX(Расчет!$C$2:$C$3001,$L1108))+1,99),")",""),INDEX(Расчет!$C$2:$C$3001,$L1108)))</f>
        <v/>
      </c>
      <c r="E1108">
        <f>IF($L1108="","",INDEX(Расчет!$D$2:$D$3001,$L1108))</f>
        <v/>
      </c>
      <c r="F1108">
        <f>IF($L1108="","",INDEX(Расчет!$E$2:$E$3001,$L1108))</f>
        <v/>
      </c>
      <c r="G1108">
        <f>IF($L1108="","",IFERROR(--LEFT(INDEX(Расчет!$C$2:$C$3001,$L1108),FIND("(",INDEX(Расчет!$C$2:$C$3001,$L1108))-1),IFERROR(--LEFT(INDEX(Расчет!$C$2:$C$3001,$L1108),1),"")))</f>
        <v/>
      </c>
      <c r="H1108">
        <f>IF($L1108="","",SUMIFS(Расчет!$G$2:$G$3001,Расчет!$I$2:$I$3001,$K1108,Расчет!$H$2:$H$3001,1))</f>
        <v/>
      </c>
      <c r="I1108">
        <f>IF($L1108="","",SUMIFS(Расчет!$G$2:$G$3001,Расчет!$I$2:$I$3001,$K1108,Расчет!$H$2:$H$3001,2))</f>
        <v/>
      </c>
      <c r="J1108">
        <f>IF($L1108="","",SUMIFS(Расчет!$G$2:$G$3001,Расчет!$I$2:$I$3001,$K1108,Расчет!$H$2:$H$3001,3))</f>
        <v/>
      </c>
      <c r="K1108">
        <f>IF($L1108="","",INDEX(Расчет!$I$2:$I$3001,$L1108))</f>
        <v/>
      </c>
      <c r="L1108">
        <f>IFERROR(MATCH(ROW()-1,Расчет!$J$2:$J$3001,0),"")</f>
        <v/>
      </c>
    </row>
    <row r="1109">
      <c r="A1109">
        <f>IF($L1109="","",B1109&amp;"."&amp;C1109&amp;"-"&amp;D1109&amp;"-"&amp;H1109&amp;"."&amp;I1109&amp;"."&amp;J1109)</f>
        <v/>
      </c>
      <c r="B1109">
        <f>IF($L1109="","",INDEX(Расчет!$A$2:$A$3001,$L1109))</f>
        <v/>
      </c>
      <c r="C1109">
        <f>IF($L1109="","",INDEX(Расчет!$B$2:$B$3001,$L1109))</f>
        <v/>
      </c>
      <c r="D1109">
        <f>IF($L1109="","",IF(ISNUMBER(FIND("(",INDEX(Расчет!$C$2:$C$3001,$L1109))),SUBSTITUTE(MID(INDEX(Расчет!$C$2:$C$3001,$L1109),FIND("(",INDEX(Расчет!$C$2:$C$3001,$L1109))+1,99),")",""),INDEX(Расчет!$C$2:$C$3001,$L1109)))</f>
        <v/>
      </c>
      <c r="E1109">
        <f>IF($L1109="","",INDEX(Расчет!$D$2:$D$3001,$L1109))</f>
        <v/>
      </c>
      <c r="F1109">
        <f>IF($L1109="","",INDEX(Расчет!$E$2:$E$3001,$L1109))</f>
        <v/>
      </c>
      <c r="G1109">
        <f>IF($L1109="","",IFERROR(--LEFT(INDEX(Расчет!$C$2:$C$3001,$L1109),FIND("(",INDEX(Расчет!$C$2:$C$3001,$L1109))-1),IFERROR(--LEFT(INDEX(Расчет!$C$2:$C$3001,$L1109),1),"")))</f>
        <v/>
      </c>
      <c r="H1109">
        <f>IF($L1109="","",SUMIFS(Расчет!$G$2:$G$3001,Расчет!$I$2:$I$3001,$K1109,Расчет!$H$2:$H$3001,1))</f>
        <v/>
      </c>
      <c r="I1109">
        <f>IF($L1109="","",SUMIFS(Расчет!$G$2:$G$3001,Расчет!$I$2:$I$3001,$K1109,Расчет!$H$2:$H$3001,2))</f>
        <v/>
      </c>
      <c r="J1109">
        <f>IF($L1109="","",SUMIFS(Расчет!$G$2:$G$3001,Расчет!$I$2:$I$3001,$K1109,Расчет!$H$2:$H$3001,3))</f>
        <v/>
      </c>
      <c r="K1109">
        <f>IF($L1109="","",INDEX(Расчет!$I$2:$I$3001,$L1109))</f>
        <v/>
      </c>
      <c r="L1109">
        <f>IFERROR(MATCH(ROW()-1,Расчет!$J$2:$J$3001,0),"")</f>
        <v/>
      </c>
    </row>
    <row r="1110">
      <c r="A1110">
        <f>IF($L1110="","",B1110&amp;"."&amp;C1110&amp;"-"&amp;D1110&amp;"-"&amp;H1110&amp;"."&amp;I1110&amp;"."&amp;J1110)</f>
        <v/>
      </c>
      <c r="B1110">
        <f>IF($L1110="","",INDEX(Расчет!$A$2:$A$3001,$L1110))</f>
        <v/>
      </c>
      <c r="C1110">
        <f>IF($L1110="","",INDEX(Расчет!$B$2:$B$3001,$L1110))</f>
        <v/>
      </c>
      <c r="D1110">
        <f>IF($L1110="","",IF(ISNUMBER(FIND("(",INDEX(Расчет!$C$2:$C$3001,$L1110))),SUBSTITUTE(MID(INDEX(Расчет!$C$2:$C$3001,$L1110),FIND("(",INDEX(Расчет!$C$2:$C$3001,$L1110))+1,99),")",""),INDEX(Расчет!$C$2:$C$3001,$L1110)))</f>
        <v/>
      </c>
      <c r="E1110">
        <f>IF($L1110="","",INDEX(Расчет!$D$2:$D$3001,$L1110))</f>
        <v/>
      </c>
      <c r="F1110">
        <f>IF($L1110="","",INDEX(Расчет!$E$2:$E$3001,$L1110))</f>
        <v/>
      </c>
      <c r="G1110">
        <f>IF($L1110="","",IFERROR(--LEFT(INDEX(Расчет!$C$2:$C$3001,$L1110),FIND("(",INDEX(Расчет!$C$2:$C$3001,$L1110))-1),IFERROR(--LEFT(INDEX(Расчет!$C$2:$C$3001,$L1110),1),"")))</f>
        <v/>
      </c>
      <c r="H1110">
        <f>IF($L1110="","",SUMIFS(Расчет!$G$2:$G$3001,Расчет!$I$2:$I$3001,$K1110,Расчет!$H$2:$H$3001,1))</f>
        <v/>
      </c>
      <c r="I1110">
        <f>IF($L1110="","",SUMIFS(Расчет!$G$2:$G$3001,Расчет!$I$2:$I$3001,$K1110,Расчет!$H$2:$H$3001,2))</f>
        <v/>
      </c>
      <c r="J1110">
        <f>IF($L1110="","",SUMIFS(Расчет!$G$2:$G$3001,Расчет!$I$2:$I$3001,$K1110,Расчет!$H$2:$H$3001,3))</f>
        <v/>
      </c>
      <c r="K1110">
        <f>IF($L1110="","",INDEX(Расчет!$I$2:$I$3001,$L1110))</f>
        <v/>
      </c>
      <c r="L1110">
        <f>IFERROR(MATCH(ROW()-1,Расчет!$J$2:$J$3001,0),"")</f>
        <v/>
      </c>
    </row>
    <row r="1111">
      <c r="A1111">
        <f>IF($L1111="","",B1111&amp;"."&amp;C1111&amp;"-"&amp;D1111&amp;"-"&amp;H1111&amp;"."&amp;I1111&amp;"."&amp;J1111)</f>
        <v/>
      </c>
      <c r="B1111">
        <f>IF($L1111="","",INDEX(Расчет!$A$2:$A$3001,$L1111))</f>
        <v/>
      </c>
      <c r="C1111">
        <f>IF($L1111="","",INDEX(Расчет!$B$2:$B$3001,$L1111))</f>
        <v/>
      </c>
      <c r="D1111">
        <f>IF($L1111="","",IF(ISNUMBER(FIND("(",INDEX(Расчет!$C$2:$C$3001,$L1111))),SUBSTITUTE(MID(INDEX(Расчет!$C$2:$C$3001,$L1111),FIND("(",INDEX(Расчет!$C$2:$C$3001,$L1111))+1,99),")",""),INDEX(Расчет!$C$2:$C$3001,$L1111)))</f>
        <v/>
      </c>
      <c r="E1111">
        <f>IF($L1111="","",INDEX(Расчет!$D$2:$D$3001,$L1111))</f>
        <v/>
      </c>
      <c r="F1111">
        <f>IF($L1111="","",INDEX(Расчет!$E$2:$E$3001,$L1111))</f>
        <v/>
      </c>
      <c r="G1111">
        <f>IF($L1111="","",IFERROR(--LEFT(INDEX(Расчет!$C$2:$C$3001,$L1111),FIND("(",INDEX(Расчет!$C$2:$C$3001,$L1111))-1),IFERROR(--LEFT(INDEX(Расчет!$C$2:$C$3001,$L1111),1),"")))</f>
        <v/>
      </c>
      <c r="H1111">
        <f>IF($L1111="","",SUMIFS(Расчет!$G$2:$G$3001,Расчет!$I$2:$I$3001,$K1111,Расчет!$H$2:$H$3001,1))</f>
        <v/>
      </c>
      <c r="I1111">
        <f>IF($L1111="","",SUMIFS(Расчет!$G$2:$G$3001,Расчет!$I$2:$I$3001,$K1111,Расчет!$H$2:$H$3001,2))</f>
        <v/>
      </c>
      <c r="J1111">
        <f>IF($L1111="","",SUMIFS(Расчет!$G$2:$G$3001,Расчет!$I$2:$I$3001,$K1111,Расчет!$H$2:$H$3001,3))</f>
        <v/>
      </c>
      <c r="K1111">
        <f>IF($L1111="","",INDEX(Расчет!$I$2:$I$3001,$L1111))</f>
        <v/>
      </c>
      <c r="L1111">
        <f>IFERROR(MATCH(ROW()-1,Расчет!$J$2:$J$3001,0),"")</f>
        <v/>
      </c>
    </row>
    <row r="1112">
      <c r="A1112">
        <f>IF($L1112="","",B1112&amp;"."&amp;C1112&amp;"-"&amp;D1112&amp;"-"&amp;H1112&amp;"."&amp;I1112&amp;"."&amp;J1112)</f>
        <v/>
      </c>
      <c r="B1112">
        <f>IF($L1112="","",INDEX(Расчет!$A$2:$A$3001,$L1112))</f>
        <v/>
      </c>
      <c r="C1112">
        <f>IF($L1112="","",INDEX(Расчет!$B$2:$B$3001,$L1112))</f>
        <v/>
      </c>
      <c r="D1112">
        <f>IF($L1112="","",IF(ISNUMBER(FIND("(",INDEX(Расчет!$C$2:$C$3001,$L1112))),SUBSTITUTE(MID(INDEX(Расчет!$C$2:$C$3001,$L1112),FIND("(",INDEX(Расчет!$C$2:$C$3001,$L1112))+1,99),")",""),INDEX(Расчет!$C$2:$C$3001,$L1112)))</f>
        <v/>
      </c>
      <c r="E1112">
        <f>IF($L1112="","",INDEX(Расчет!$D$2:$D$3001,$L1112))</f>
        <v/>
      </c>
      <c r="F1112">
        <f>IF($L1112="","",INDEX(Расчет!$E$2:$E$3001,$L1112))</f>
        <v/>
      </c>
      <c r="G1112">
        <f>IF($L1112="","",IFERROR(--LEFT(INDEX(Расчет!$C$2:$C$3001,$L1112),FIND("(",INDEX(Расчет!$C$2:$C$3001,$L1112))-1),IFERROR(--LEFT(INDEX(Расчет!$C$2:$C$3001,$L1112),1),"")))</f>
        <v/>
      </c>
      <c r="H1112">
        <f>IF($L1112="","",SUMIFS(Расчет!$G$2:$G$3001,Расчет!$I$2:$I$3001,$K1112,Расчет!$H$2:$H$3001,1))</f>
        <v/>
      </c>
      <c r="I1112">
        <f>IF($L1112="","",SUMIFS(Расчет!$G$2:$G$3001,Расчет!$I$2:$I$3001,$K1112,Расчет!$H$2:$H$3001,2))</f>
        <v/>
      </c>
      <c r="J1112">
        <f>IF($L1112="","",SUMIFS(Расчет!$G$2:$G$3001,Расчет!$I$2:$I$3001,$K1112,Расчет!$H$2:$H$3001,3))</f>
        <v/>
      </c>
      <c r="K1112">
        <f>IF($L1112="","",INDEX(Расчет!$I$2:$I$3001,$L1112))</f>
        <v/>
      </c>
      <c r="L1112">
        <f>IFERROR(MATCH(ROW()-1,Расчет!$J$2:$J$3001,0),"")</f>
        <v/>
      </c>
    </row>
    <row r="1113">
      <c r="A1113">
        <f>IF($L1113="","",B1113&amp;"."&amp;C1113&amp;"-"&amp;D1113&amp;"-"&amp;H1113&amp;"."&amp;I1113&amp;"."&amp;J1113)</f>
        <v/>
      </c>
      <c r="B1113">
        <f>IF($L1113="","",INDEX(Расчет!$A$2:$A$3001,$L1113))</f>
        <v/>
      </c>
      <c r="C1113">
        <f>IF($L1113="","",INDEX(Расчет!$B$2:$B$3001,$L1113))</f>
        <v/>
      </c>
      <c r="D1113">
        <f>IF($L1113="","",IF(ISNUMBER(FIND("(",INDEX(Расчет!$C$2:$C$3001,$L1113))),SUBSTITUTE(MID(INDEX(Расчет!$C$2:$C$3001,$L1113),FIND("(",INDEX(Расчет!$C$2:$C$3001,$L1113))+1,99),")",""),INDEX(Расчет!$C$2:$C$3001,$L1113)))</f>
        <v/>
      </c>
      <c r="E1113">
        <f>IF($L1113="","",INDEX(Расчет!$D$2:$D$3001,$L1113))</f>
        <v/>
      </c>
      <c r="F1113">
        <f>IF($L1113="","",INDEX(Расчет!$E$2:$E$3001,$L1113))</f>
        <v/>
      </c>
      <c r="G1113">
        <f>IF($L1113="","",IFERROR(--LEFT(INDEX(Расчет!$C$2:$C$3001,$L1113),FIND("(",INDEX(Расчет!$C$2:$C$3001,$L1113))-1),IFERROR(--LEFT(INDEX(Расчет!$C$2:$C$3001,$L1113),1),"")))</f>
        <v/>
      </c>
      <c r="H1113">
        <f>IF($L1113="","",SUMIFS(Расчет!$G$2:$G$3001,Расчет!$I$2:$I$3001,$K1113,Расчет!$H$2:$H$3001,1))</f>
        <v/>
      </c>
      <c r="I1113">
        <f>IF($L1113="","",SUMIFS(Расчет!$G$2:$G$3001,Расчет!$I$2:$I$3001,$K1113,Расчет!$H$2:$H$3001,2))</f>
        <v/>
      </c>
      <c r="J1113">
        <f>IF($L1113="","",SUMIFS(Расчет!$G$2:$G$3001,Расчет!$I$2:$I$3001,$K1113,Расчет!$H$2:$H$3001,3))</f>
        <v/>
      </c>
      <c r="K1113">
        <f>IF($L1113="","",INDEX(Расчет!$I$2:$I$3001,$L1113))</f>
        <v/>
      </c>
      <c r="L1113">
        <f>IFERROR(MATCH(ROW()-1,Расчет!$J$2:$J$3001,0),"")</f>
        <v/>
      </c>
    </row>
    <row r="1114">
      <c r="A1114">
        <f>IF($L1114="","",B1114&amp;"."&amp;C1114&amp;"-"&amp;D1114&amp;"-"&amp;H1114&amp;"."&amp;I1114&amp;"."&amp;J1114)</f>
        <v/>
      </c>
      <c r="B1114">
        <f>IF($L1114="","",INDEX(Расчет!$A$2:$A$3001,$L1114))</f>
        <v/>
      </c>
      <c r="C1114">
        <f>IF($L1114="","",INDEX(Расчет!$B$2:$B$3001,$L1114))</f>
        <v/>
      </c>
      <c r="D1114">
        <f>IF($L1114="","",IF(ISNUMBER(FIND("(",INDEX(Расчет!$C$2:$C$3001,$L1114))),SUBSTITUTE(MID(INDEX(Расчет!$C$2:$C$3001,$L1114),FIND("(",INDEX(Расчет!$C$2:$C$3001,$L1114))+1,99),")",""),INDEX(Расчет!$C$2:$C$3001,$L1114)))</f>
        <v/>
      </c>
      <c r="E1114">
        <f>IF($L1114="","",INDEX(Расчет!$D$2:$D$3001,$L1114))</f>
        <v/>
      </c>
      <c r="F1114">
        <f>IF($L1114="","",INDEX(Расчет!$E$2:$E$3001,$L1114))</f>
        <v/>
      </c>
      <c r="G1114">
        <f>IF($L1114="","",IFERROR(--LEFT(INDEX(Расчет!$C$2:$C$3001,$L1114),FIND("(",INDEX(Расчет!$C$2:$C$3001,$L1114))-1),IFERROR(--LEFT(INDEX(Расчет!$C$2:$C$3001,$L1114),1),"")))</f>
        <v/>
      </c>
      <c r="H1114">
        <f>IF($L1114="","",SUMIFS(Расчет!$G$2:$G$3001,Расчет!$I$2:$I$3001,$K1114,Расчет!$H$2:$H$3001,1))</f>
        <v/>
      </c>
      <c r="I1114">
        <f>IF($L1114="","",SUMIFS(Расчет!$G$2:$G$3001,Расчет!$I$2:$I$3001,$K1114,Расчет!$H$2:$H$3001,2))</f>
        <v/>
      </c>
      <c r="J1114">
        <f>IF($L1114="","",SUMIFS(Расчет!$G$2:$G$3001,Расчет!$I$2:$I$3001,$K1114,Расчет!$H$2:$H$3001,3))</f>
        <v/>
      </c>
      <c r="K1114">
        <f>IF($L1114="","",INDEX(Расчет!$I$2:$I$3001,$L1114))</f>
        <v/>
      </c>
      <c r="L1114">
        <f>IFERROR(MATCH(ROW()-1,Расчет!$J$2:$J$3001,0),"")</f>
        <v/>
      </c>
    </row>
    <row r="1115">
      <c r="A1115">
        <f>IF($L1115="","",B1115&amp;"."&amp;C1115&amp;"-"&amp;D1115&amp;"-"&amp;H1115&amp;"."&amp;I1115&amp;"."&amp;J1115)</f>
        <v/>
      </c>
      <c r="B1115">
        <f>IF($L1115="","",INDEX(Расчет!$A$2:$A$3001,$L1115))</f>
        <v/>
      </c>
      <c r="C1115">
        <f>IF($L1115="","",INDEX(Расчет!$B$2:$B$3001,$L1115))</f>
        <v/>
      </c>
      <c r="D1115">
        <f>IF($L1115="","",IF(ISNUMBER(FIND("(",INDEX(Расчет!$C$2:$C$3001,$L1115))),SUBSTITUTE(MID(INDEX(Расчет!$C$2:$C$3001,$L1115),FIND("(",INDEX(Расчет!$C$2:$C$3001,$L1115))+1,99),")",""),INDEX(Расчет!$C$2:$C$3001,$L1115)))</f>
        <v/>
      </c>
      <c r="E1115">
        <f>IF($L1115="","",INDEX(Расчет!$D$2:$D$3001,$L1115))</f>
        <v/>
      </c>
      <c r="F1115">
        <f>IF($L1115="","",INDEX(Расчет!$E$2:$E$3001,$L1115))</f>
        <v/>
      </c>
      <c r="G1115">
        <f>IF($L1115="","",IFERROR(--LEFT(INDEX(Расчет!$C$2:$C$3001,$L1115),FIND("(",INDEX(Расчет!$C$2:$C$3001,$L1115))-1),IFERROR(--LEFT(INDEX(Расчет!$C$2:$C$3001,$L1115),1),"")))</f>
        <v/>
      </c>
      <c r="H1115">
        <f>IF($L1115="","",SUMIFS(Расчет!$G$2:$G$3001,Расчет!$I$2:$I$3001,$K1115,Расчет!$H$2:$H$3001,1))</f>
        <v/>
      </c>
      <c r="I1115">
        <f>IF($L1115="","",SUMIFS(Расчет!$G$2:$G$3001,Расчет!$I$2:$I$3001,$K1115,Расчет!$H$2:$H$3001,2))</f>
        <v/>
      </c>
      <c r="J1115">
        <f>IF($L1115="","",SUMIFS(Расчет!$G$2:$G$3001,Расчет!$I$2:$I$3001,$K1115,Расчет!$H$2:$H$3001,3))</f>
        <v/>
      </c>
      <c r="K1115">
        <f>IF($L1115="","",INDEX(Расчет!$I$2:$I$3001,$L1115))</f>
        <v/>
      </c>
      <c r="L1115">
        <f>IFERROR(MATCH(ROW()-1,Расчет!$J$2:$J$3001,0),"")</f>
        <v/>
      </c>
    </row>
    <row r="1116">
      <c r="A1116">
        <f>IF($L1116="","",B1116&amp;"."&amp;C1116&amp;"-"&amp;D1116&amp;"-"&amp;H1116&amp;"."&amp;I1116&amp;"."&amp;J1116)</f>
        <v/>
      </c>
      <c r="B1116">
        <f>IF($L1116="","",INDEX(Расчет!$A$2:$A$3001,$L1116))</f>
        <v/>
      </c>
      <c r="C1116">
        <f>IF($L1116="","",INDEX(Расчет!$B$2:$B$3001,$L1116))</f>
        <v/>
      </c>
      <c r="D1116">
        <f>IF($L1116="","",IF(ISNUMBER(FIND("(",INDEX(Расчет!$C$2:$C$3001,$L1116))),SUBSTITUTE(MID(INDEX(Расчет!$C$2:$C$3001,$L1116),FIND("(",INDEX(Расчет!$C$2:$C$3001,$L1116))+1,99),")",""),INDEX(Расчет!$C$2:$C$3001,$L1116)))</f>
        <v/>
      </c>
      <c r="E1116">
        <f>IF($L1116="","",INDEX(Расчет!$D$2:$D$3001,$L1116))</f>
        <v/>
      </c>
      <c r="F1116">
        <f>IF($L1116="","",INDEX(Расчет!$E$2:$E$3001,$L1116))</f>
        <v/>
      </c>
      <c r="G1116">
        <f>IF($L1116="","",IFERROR(--LEFT(INDEX(Расчет!$C$2:$C$3001,$L1116),FIND("(",INDEX(Расчет!$C$2:$C$3001,$L1116))-1),IFERROR(--LEFT(INDEX(Расчет!$C$2:$C$3001,$L1116),1),"")))</f>
        <v/>
      </c>
      <c r="H1116">
        <f>IF($L1116="","",SUMIFS(Расчет!$G$2:$G$3001,Расчет!$I$2:$I$3001,$K1116,Расчет!$H$2:$H$3001,1))</f>
        <v/>
      </c>
      <c r="I1116">
        <f>IF($L1116="","",SUMIFS(Расчет!$G$2:$G$3001,Расчет!$I$2:$I$3001,$K1116,Расчет!$H$2:$H$3001,2))</f>
        <v/>
      </c>
      <c r="J1116">
        <f>IF($L1116="","",SUMIFS(Расчет!$G$2:$G$3001,Расчет!$I$2:$I$3001,$K1116,Расчет!$H$2:$H$3001,3))</f>
        <v/>
      </c>
      <c r="K1116">
        <f>IF($L1116="","",INDEX(Расчет!$I$2:$I$3001,$L1116))</f>
        <v/>
      </c>
      <c r="L1116">
        <f>IFERROR(MATCH(ROW()-1,Расчет!$J$2:$J$3001,0),"")</f>
        <v/>
      </c>
    </row>
    <row r="1117">
      <c r="A1117">
        <f>IF($L1117="","",B1117&amp;"."&amp;C1117&amp;"-"&amp;D1117&amp;"-"&amp;H1117&amp;"."&amp;I1117&amp;"."&amp;J1117)</f>
        <v/>
      </c>
      <c r="B1117">
        <f>IF($L1117="","",INDEX(Расчет!$A$2:$A$3001,$L1117))</f>
        <v/>
      </c>
      <c r="C1117">
        <f>IF($L1117="","",INDEX(Расчет!$B$2:$B$3001,$L1117))</f>
        <v/>
      </c>
      <c r="D1117">
        <f>IF($L1117="","",IF(ISNUMBER(FIND("(",INDEX(Расчет!$C$2:$C$3001,$L1117))),SUBSTITUTE(MID(INDEX(Расчет!$C$2:$C$3001,$L1117),FIND("(",INDEX(Расчет!$C$2:$C$3001,$L1117))+1,99),")",""),INDEX(Расчет!$C$2:$C$3001,$L1117)))</f>
        <v/>
      </c>
      <c r="E1117">
        <f>IF($L1117="","",INDEX(Расчет!$D$2:$D$3001,$L1117))</f>
        <v/>
      </c>
      <c r="F1117">
        <f>IF($L1117="","",INDEX(Расчет!$E$2:$E$3001,$L1117))</f>
        <v/>
      </c>
      <c r="G1117">
        <f>IF($L1117="","",IFERROR(--LEFT(INDEX(Расчет!$C$2:$C$3001,$L1117),FIND("(",INDEX(Расчет!$C$2:$C$3001,$L1117))-1),IFERROR(--LEFT(INDEX(Расчет!$C$2:$C$3001,$L1117),1),"")))</f>
        <v/>
      </c>
      <c r="H1117">
        <f>IF($L1117="","",SUMIFS(Расчет!$G$2:$G$3001,Расчет!$I$2:$I$3001,$K1117,Расчет!$H$2:$H$3001,1))</f>
        <v/>
      </c>
      <c r="I1117">
        <f>IF($L1117="","",SUMIFS(Расчет!$G$2:$G$3001,Расчет!$I$2:$I$3001,$K1117,Расчет!$H$2:$H$3001,2))</f>
        <v/>
      </c>
      <c r="J1117">
        <f>IF($L1117="","",SUMIFS(Расчет!$G$2:$G$3001,Расчет!$I$2:$I$3001,$K1117,Расчет!$H$2:$H$3001,3))</f>
        <v/>
      </c>
      <c r="K1117">
        <f>IF($L1117="","",INDEX(Расчет!$I$2:$I$3001,$L1117))</f>
        <v/>
      </c>
      <c r="L1117">
        <f>IFERROR(MATCH(ROW()-1,Расчет!$J$2:$J$3001,0),"")</f>
        <v/>
      </c>
    </row>
    <row r="1118">
      <c r="A1118">
        <f>IF($L1118="","",B1118&amp;"."&amp;C1118&amp;"-"&amp;D1118&amp;"-"&amp;H1118&amp;"."&amp;I1118&amp;"."&amp;J1118)</f>
        <v/>
      </c>
      <c r="B1118">
        <f>IF($L1118="","",INDEX(Расчет!$A$2:$A$3001,$L1118))</f>
        <v/>
      </c>
      <c r="C1118">
        <f>IF($L1118="","",INDEX(Расчет!$B$2:$B$3001,$L1118))</f>
        <v/>
      </c>
      <c r="D1118">
        <f>IF($L1118="","",IF(ISNUMBER(FIND("(",INDEX(Расчет!$C$2:$C$3001,$L1118))),SUBSTITUTE(MID(INDEX(Расчет!$C$2:$C$3001,$L1118),FIND("(",INDEX(Расчет!$C$2:$C$3001,$L1118))+1,99),")",""),INDEX(Расчет!$C$2:$C$3001,$L1118)))</f>
        <v/>
      </c>
      <c r="E1118">
        <f>IF($L1118="","",INDEX(Расчет!$D$2:$D$3001,$L1118))</f>
        <v/>
      </c>
      <c r="F1118">
        <f>IF($L1118="","",INDEX(Расчет!$E$2:$E$3001,$L1118))</f>
        <v/>
      </c>
      <c r="G1118">
        <f>IF($L1118="","",IFERROR(--LEFT(INDEX(Расчет!$C$2:$C$3001,$L1118),FIND("(",INDEX(Расчет!$C$2:$C$3001,$L1118))-1),IFERROR(--LEFT(INDEX(Расчет!$C$2:$C$3001,$L1118),1),"")))</f>
        <v/>
      </c>
      <c r="H1118">
        <f>IF($L1118="","",SUMIFS(Расчет!$G$2:$G$3001,Расчет!$I$2:$I$3001,$K1118,Расчет!$H$2:$H$3001,1))</f>
        <v/>
      </c>
      <c r="I1118">
        <f>IF($L1118="","",SUMIFS(Расчет!$G$2:$G$3001,Расчет!$I$2:$I$3001,$K1118,Расчет!$H$2:$H$3001,2))</f>
        <v/>
      </c>
      <c r="J1118">
        <f>IF($L1118="","",SUMIFS(Расчет!$G$2:$G$3001,Расчет!$I$2:$I$3001,$K1118,Расчет!$H$2:$H$3001,3))</f>
        <v/>
      </c>
      <c r="K1118">
        <f>IF($L1118="","",INDEX(Расчет!$I$2:$I$3001,$L1118))</f>
        <v/>
      </c>
      <c r="L1118">
        <f>IFERROR(MATCH(ROW()-1,Расчет!$J$2:$J$3001,0),"")</f>
        <v/>
      </c>
    </row>
    <row r="1119">
      <c r="A1119">
        <f>IF($L1119="","",B1119&amp;"."&amp;C1119&amp;"-"&amp;D1119&amp;"-"&amp;H1119&amp;"."&amp;I1119&amp;"."&amp;J1119)</f>
        <v/>
      </c>
      <c r="B1119">
        <f>IF($L1119="","",INDEX(Расчет!$A$2:$A$3001,$L1119))</f>
        <v/>
      </c>
      <c r="C1119">
        <f>IF($L1119="","",INDEX(Расчет!$B$2:$B$3001,$L1119))</f>
        <v/>
      </c>
      <c r="D1119">
        <f>IF($L1119="","",IF(ISNUMBER(FIND("(",INDEX(Расчет!$C$2:$C$3001,$L1119))),SUBSTITUTE(MID(INDEX(Расчет!$C$2:$C$3001,$L1119),FIND("(",INDEX(Расчет!$C$2:$C$3001,$L1119))+1,99),")",""),INDEX(Расчет!$C$2:$C$3001,$L1119)))</f>
        <v/>
      </c>
      <c r="E1119">
        <f>IF($L1119="","",INDEX(Расчет!$D$2:$D$3001,$L1119))</f>
        <v/>
      </c>
      <c r="F1119">
        <f>IF($L1119="","",INDEX(Расчет!$E$2:$E$3001,$L1119))</f>
        <v/>
      </c>
      <c r="G1119">
        <f>IF($L1119="","",IFERROR(--LEFT(INDEX(Расчет!$C$2:$C$3001,$L1119),FIND("(",INDEX(Расчет!$C$2:$C$3001,$L1119))-1),IFERROR(--LEFT(INDEX(Расчет!$C$2:$C$3001,$L1119),1),"")))</f>
        <v/>
      </c>
      <c r="H1119">
        <f>IF($L1119="","",SUMIFS(Расчет!$G$2:$G$3001,Расчет!$I$2:$I$3001,$K1119,Расчет!$H$2:$H$3001,1))</f>
        <v/>
      </c>
      <c r="I1119">
        <f>IF($L1119="","",SUMIFS(Расчет!$G$2:$G$3001,Расчет!$I$2:$I$3001,$K1119,Расчет!$H$2:$H$3001,2))</f>
        <v/>
      </c>
      <c r="J1119">
        <f>IF($L1119="","",SUMIFS(Расчет!$G$2:$G$3001,Расчет!$I$2:$I$3001,$K1119,Расчет!$H$2:$H$3001,3))</f>
        <v/>
      </c>
      <c r="K1119">
        <f>IF($L1119="","",INDEX(Расчет!$I$2:$I$3001,$L1119))</f>
        <v/>
      </c>
      <c r="L1119">
        <f>IFERROR(MATCH(ROW()-1,Расчет!$J$2:$J$3001,0),"")</f>
        <v/>
      </c>
    </row>
    <row r="1120">
      <c r="A1120">
        <f>IF($L1120="","",B1120&amp;"."&amp;C1120&amp;"-"&amp;D1120&amp;"-"&amp;H1120&amp;"."&amp;I1120&amp;"."&amp;J1120)</f>
        <v/>
      </c>
      <c r="B1120">
        <f>IF($L1120="","",INDEX(Расчет!$A$2:$A$3001,$L1120))</f>
        <v/>
      </c>
      <c r="C1120">
        <f>IF($L1120="","",INDEX(Расчет!$B$2:$B$3001,$L1120))</f>
        <v/>
      </c>
      <c r="D1120">
        <f>IF($L1120="","",IF(ISNUMBER(FIND("(",INDEX(Расчет!$C$2:$C$3001,$L1120))),SUBSTITUTE(MID(INDEX(Расчет!$C$2:$C$3001,$L1120),FIND("(",INDEX(Расчет!$C$2:$C$3001,$L1120))+1,99),")",""),INDEX(Расчет!$C$2:$C$3001,$L1120)))</f>
        <v/>
      </c>
      <c r="E1120">
        <f>IF($L1120="","",INDEX(Расчет!$D$2:$D$3001,$L1120))</f>
        <v/>
      </c>
      <c r="F1120">
        <f>IF($L1120="","",INDEX(Расчет!$E$2:$E$3001,$L1120))</f>
        <v/>
      </c>
      <c r="G1120">
        <f>IF($L1120="","",IFERROR(--LEFT(INDEX(Расчет!$C$2:$C$3001,$L1120),FIND("(",INDEX(Расчет!$C$2:$C$3001,$L1120))-1),IFERROR(--LEFT(INDEX(Расчет!$C$2:$C$3001,$L1120),1),"")))</f>
        <v/>
      </c>
      <c r="H1120">
        <f>IF($L1120="","",SUMIFS(Расчет!$G$2:$G$3001,Расчет!$I$2:$I$3001,$K1120,Расчет!$H$2:$H$3001,1))</f>
        <v/>
      </c>
      <c r="I1120">
        <f>IF($L1120="","",SUMIFS(Расчет!$G$2:$G$3001,Расчет!$I$2:$I$3001,$K1120,Расчет!$H$2:$H$3001,2))</f>
        <v/>
      </c>
      <c r="J1120">
        <f>IF($L1120="","",SUMIFS(Расчет!$G$2:$G$3001,Расчет!$I$2:$I$3001,$K1120,Расчет!$H$2:$H$3001,3))</f>
        <v/>
      </c>
      <c r="K1120">
        <f>IF($L1120="","",INDEX(Расчет!$I$2:$I$3001,$L1120))</f>
        <v/>
      </c>
      <c r="L1120">
        <f>IFERROR(MATCH(ROW()-1,Расчет!$J$2:$J$3001,0),"")</f>
        <v/>
      </c>
    </row>
    <row r="1121">
      <c r="A1121">
        <f>IF($L1121="","",B1121&amp;"."&amp;C1121&amp;"-"&amp;D1121&amp;"-"&amp;H1121&amp;"."&amp;I1121&amp;"."&amp;J1121)</f>
        <v/>
      </c>
      <c r="B1121">
        <f>IF($L1121="","",INDEX(Расчет!$A$2:$A$3001,$L1121))</f>
        <v/>
      </c>
      <c r="C1121">
        <f>IF($L1121="","",INDEX(Расчет!$B$2:$B$3001,$L1121))</f>
        <v/>
      </c>
      <c r="D1121">
        <f>IF($L1121="","",IF(ISNUMBER(FIND("(",INDEX(Расчет!$C$2:$C$3001,$L1121))),SUBSTITUTE(MID(INDEX(Расчет!$C$2:$C$3001,$L1121),FIND("(",INDEX(Расчет!$C$2:$C$3001,$L1121))+1,99),")",""),INDEX(Расчет!$C$2:$C$3001,$L1121)))</f>
        <v/>
      </c>
      <c r="E1121">
        <f>IF($L1121="","",INDEX(Расчет!$D$2:$D$3001,$L1121))</f>
        <v/>
      </c>
      <c r="F1121">
        <f>IF($L1121="","",INDEX(Расчет!$E$2:$E$3001,$L1121))</f>
        <v/>
      </c>
      <c r="G1121">
        <f>IF($L1121="","",IFERROR(--LEFT(INDEX(Расчет!$C$2:$C$3001,$L1121),FIND("(",INDEX(Расчет!$C$2:$C$3001,$L1121))-1),IFERROR(--LEFT(INDEX(Расчет!$C$2:$C$3001,$L1121),1),"")))</f>
        <v/>
      </c>
      <c r="H1121">
        <f>IF($L1121="","",SUMIFS(Расчет!$G$2:$G$3001,Расчет!$I$2:$I$3001,$K1121,Расчет!$H$2:$H$3001,1))</f>
        <v/>
      </c>
      <c r="I1121">
        <f>IF($L1121="","",SUMIFS(Расчет!$G$2:$G$3001,Расчет!$I$2:$I$3001,$K1121,Расчет!$H$2:$H$3001,2))</f>
        <v/>
      </c>
      <c r="J1121">
        <f>IF($L1121="","",SUMIFS(Расчет!$G$2:$G$3001,Расчет!$I$2:$I$3001,$K1121,Расчет!$H$2:$H$3001,3))</f>
        <v/>
      </c>
      <c r="K1121">
        <f>IF($L1121="","",INDEX(Расчет!$I$2:$I$3001,$L1121))</f>
        <v/>
      </c>
      <c r="L1121">
        <f>IFERROR(MATCH(ROW()-1,Расчет!$J$2:$J$3001,0),"")</f>
        <v/>
      </c>
    </row>
    <row r="1122">
      <c r="A1122">
        <f>IF($L1122="","",B1122&amp;"."&amp;C1122&amp;"-"&amp;D1122&amp;"-"&amp;H1122&amp;"."&amp;I1122&amp;"."&amp;J1122)</f>
        <v/>
      </c>
      <c r="B1122">
        <f>IF($L1122="","",INDEX(Расчет!$A$2:$A$3001,$L1122))</f>
        <v/>
      </c>
      <c r="C1122">
        <f>IF($L1122="","",INDEX(Расчет!$B$2:$B$3001,$L1122))</f>
        <v/>
      </c>
      <c r="D1122">
        <f>IF($L1122="","",IF(ISNUMBER(FIND("(",INDEX(Расчет!$C$2:$C$3001,$L1122))),SUBSTITUTE(MID(INDEX(Расчет!$C$2:$C$3001,$L1122),FIND("(",INDEX(Расчет!$C$2:$C$3001,$L1122))+1,99),")",""),INDEX(Расчет!$C$2:$C$3001,$L1122)))</f>
        <v/>
      </c>
      <c r="E1122">
        <f>IF($L1122="","",INDEX(Расчет!$D$2:$D$3001,$L1122))</f>
        <v/>
      </c>
      <c r="F1122">
        <f>IF($L1122="","",INDEX(Расчет!$E$2:$E$3001,$L1122))</f>
        <v/>
      </c>
      <c r="G1122">
        <f>IF($L1122="","",IFERROR(--LEFT(INDEX(Расчет!$C$2:$C$3001,$L1122),FIND("(",INDEX(Расчет!$C$2:$C$3001,$L1122))-1),IFERROR(--LEFT(INDEX(Расчет!$C$2:$C$3001,$L1122),1),"")))</f>
        <v/>
      </c>
      <c r="H1122">
        <f>IF($L1122="","",SUMIFS(Расчет!$G$2:$G$3001,Расчет!$I$2:$I$3001,$K1122,Расчет!$H$2:$H$3001,1))</f>
        <v/>
      </c>
      <c r="I1122">
        <f>IF($L1122="","",SUMIFS(Расчет!$G$2:$G$3001,Расчет!$I$2:$I$3001,$K1122,Расчет!$H$2:$H$3001,2))</f>
        <v/>
      </c>
      <c r="J1122">
        <f>IF($L1122="","",SUMIFS(Расчет!$G$2:$G$3001,Расчет!$I$2:$I$3001,$K1122,Расчет!$H$2:$H$3001,3))</f>
        <v/>
      </c>
      <c r="K1122">
        <f>IF($L1122="","",INDEX(Расчет!$I$2:$I$3001,$L1122))</f>
        <v/>
      </c>
      <c r="L1122">
        <f>IFERROR(MATCH(ROW()-1,Расчет!$J$2:$J$3001,0),"")</f>
        <v/>
      </c>
    </row>
    <row r="1123">
      <c r="A1123">
        <f>IF($L1123="","",B1123&amp;"."&amp;C1123&amp;"-"&amp;D1123&amp;"-"&amp;H1123&amp;"."&amp;I1123&amp;"."&amp;J1123)</f>
        <v/>
      </c>
      <c r="B1123">
        <f>IF($L1123="","",INDEX(Расчет!$A$2:$A$3001,$L1123))</f>
        <v/>
      </c>
      <c r="C1123">
        <f>IF($L1123="","",INDEX(Расчет!$B$2:$B$3001,$L1123))</f>
        <v/>
      </c>
      <c r="D1123">
        <f>IF($L1123="","",IF(ISNUMBER(FIND("(",INDEX(Расчет!$C$2:$C$3001,$L1123))),SUBSTITUTE(MID(INDEX(Расчет!$C$2:$C$3001,$L1123),FIND("(",INDEX(Расчет!$C$2:$C$3001,$L1123))+1,99),")",""),INDEX(Расчет!$C$2:$C$3001,$L1123)))</f>
        <v/>
      </c>
      <c r="E1123">
        <f>IF($L1123="","",INDEX(Расчет!$D$2:$D$3001,$L1123))</f>
        <v/>
      </c>
      <c r="F1123">
        <f>IF($L1123="","",INDEX(Расчет!$E$2:$E$3001,$L1123))</f>
        <v/>
      </c>
      <c r="G1123">
        <f>IF($L1123="","",IFERROR(--LEFT(INDEX(Расчет!$C$2:$C$3001,$L1123),FIND("(",INDEX(Расчет!$C$2:$C$3001,$L1123))-1),IFERROR(--LEFT(INDEX(Расчет!$C$2:$C$3001,$L1123),1),"")))</f>
        <v/>
      </c>
      <c r="H1123">
        <f>IF($L1123="","",SUMIFS(Расчет!$G$2:$G$3001,Расчет!$I$2:$I$3001,$K1123,Расчет!$H$2:$H$3001,1))</f>
        <v/>
      </c>
      <c r="I1123">
        <f>IF($L1123="","",SUMIFS(Расчет!$G$2:$G$3001,Расчет!$I$2:$I$3001,$K1123,Расчет!$H$2:$H$3001,2))</f>
        <v/>
      </c>
      <c r="J1123">
        <f>IF($L1123="","",SUMIFS(Расчет!$G$2:$G$3001,Расчет!$I$2:$I$3001,$K1123,Расчет!$H$2:$H$3001,3))</f>
        <v/>
      </c>
      <c r="K1123">
        <f>IF($L1123="","",INDEX(Расчет!$I$2:$I$3001,$L1123))</f>
        <v/>
      </c>
      <c r="L1123">
        <f>IFERROR(MATCH(ROW()-1,Расчет!$J$2:$J$3001,0),"")</f>
        <v/>
      </c>
    </row>
    <row r="1124">
      <c r="A1124">
        <f>IF($L1124="","",B1124&amp;"."&amp;C1124&amp;"-"&amp;D1124&amp;"-"&amp;H1124&amp;"."&amp;I1124&amp;"."&amp;J1124)</f>
        <v/>
      </c>
      <c r="B1124">
        <f>IF($L1124="","",INDEX(Расчет!$A$2:$A$3001,$L1124))</f>
        <v/>
      </c>
      <c r="C1124">
        <f>IF($L1124="","",INDEX(Расчет!$B$2:$B$3001,$L1124))</f>
        <v/>
      </c>
      <c r="D1124">
        <f>IF($L1124="","",IF(ISNUMBER(FIND("(",INDEX(Расчет!$C$2:$C$3001,$L1124))),SUBSTITUTE(MID(INDEX(Расчет!$C$2:$C$3001,$L1124),FIND("(",INDEX(Расчет!$C$2:$C$3001,$L1124))+1,99),")",""),INDEX(Расчет!$C$2:$C$3001,$L1124)))</f>
        <v/>
      </c>
      <c r="E1124">
        <f>IF($L1124="","",INDEX(Расчет!$D$2:$D$3001,$L1124))</f>
        <v/>
      </c>
      <c r="F1124">
        <f>IF($L1124="","",INDEX(Расчет!$E$2:$E$3001,$L1124))</f>
        <v/>
      </c>
      <c r="G1124">
        <f>IF($L1124="","",IFERROR(--LEFT(INDEX(Расчет!$C$2:$C$3001,$L1124),FIND("(",INDEX(Расчет!$C$2:$C$3001,$L1124))-1),IFERROR(--LEFT(INDEX(Расчет!$C$2:$C$3001,$L1124),1),"")))</f>
        <v/>
      </c>
      <c r="H1124">
        <f>IF($L1124="","",SUMIFS(Расчет!$G$2:$G$3001,Расчет!$I$2:$I$3001,$K1124,Расчет!$H$2:$H$3001,1))</f>
        <v/>
      </c>
      <c r="I1124">
        <f>IF($L1124="","",SUMIFS(Расчет!$G$2:$G$3001,Расчет!$I$2:$I$3001,$K1124,Расчет!$H$2:$H$3001,2))</f>
        <v/>
      </c>
      <c r="J1124">
        <f>IF($L1124="","",SUMIFS(Расчет!$G$2:$G$3001,Расчет!$I$2:$I$3001,$K1124,Расчет!$H$2:$H$3001,3))</f>
        <v/>
      </c>
      <c r="K1124">
        <f>IF($L1124="","",INDEX(Расчет!$I$2:$I$3001,$L1124))</f>
        <v/>
      </c>
      <c r="L1124">
        <f>IFERROR(MATCH(ROW()-1,Расчет!$J$2:$J$3001,0),"")</f>
        <v/>
      </c>
    </row>
    <row r="1125">
      <c r="A1125">
        <f>IF($L1125="","",B1125&amp;"."&amp;C1125&amp;"-"&amp;D1125&amp;"-"&amp;H1125&amp;"."&amp;I1125&amp;"."&amp;J1125)</f>
        <v/>
      </c>
      <c r="B1125">
        <f>IF($L1125="","",INDEX(Расчет!$A$2:$A$3001,$L1125))</f>
        <v/>
      </c>
      <c r="C1125">
        <f>IF($L1125="","",INDEX(Расчет!$B$2:$B$3001,$L1125))</f>
        <v/>
      </c>
      <c r="D1125">
        <f>IF($L1125="","",IF(ISNUMBER(FIND("(",INDEX(Расчет!$C$2:$C$3001,$L1125))),SUBSTITUTE(MID(INDEX(Расчет!$C$2:$C$3001,$L1125),FIND("(",INDEX(Расчет!$C$2:$C$3001,$L1125))+1,99),")",""),INDEX(Расчет!$C$2:$C$3001,$L1125)))</f>
        <v/>
      </c>
      <c r="E1125">
        <f>IF($L1125="","",INDEX(Расчет!$D$2:$D$3001,$L1125))</f>
        <v/>
      </c>
      <c r="F1125">
        <f>IF($L1125="","",INDEX(Расчет!$E$2:$E$3001,$L1125))</f>
        <v/>
      </c>
      <c r="G1125">
        <f>IF($L1125="","",IFERROR(--LEFT(INDEX(Расчет!$C$2:$C$3001,$L1125),FIND("(",INDEX(Расчет!$C$2:$C$3001,$L1125))-1),IFERROR(--LEFT(INDEX(Расчет!$C$2:$C$3001,$L1125),1),"")))</f>
        <v/>
      </c>
      <c r="H1125">
        <f>IF($L1125="","",SUMIFS(Расчет!$G$2:$G$3001,Расчет!$I$2:$I$3001,$K1125,Расчет!$H$2:$H$3001,1))</f>
        <v/>
      </c>
      <c r="I1125">
        <f>IF($L1125="","",SUMIFS(Расчет!$G$2:$G$3001,Расчет!$I$2:$I$3001,$K1125,Расчет!$H$2:$H$3001,2))</f>
        <v/>
      </c>
      <c r="J1125">
        <f>IF($L1125="","",SUMIFS(Расчет!$G$2:$G$3001,Расчет!$I$2:$I$3001,$K1125,Расчет!$H$2:$H$3001,3))</f>
        <v/>
      </c>
      <c r="K1125">
        <f>IF($L1125="","",INDEX(Расчет!$I$2:$I$3001,$L1125))</f>
        <v/>
      </c>
      <c r="L1125">
        <f>IFERROR(MATCH(ROW()-1,Расчет!$J$2:$J$3001,0),"")</f>
        <v/>
      </c>
    </row>
    <row r="1126">
      <c r="A1126">
        <f>IF($L1126="","",B1126&amp;"."&amp;C1126&amp;"-"&amp;D1126&amp;"-"&amp;H1126&amp;"."&amp;I1126&amp;"."&amp;J1126)</f>
        <v/>
      </c>
      <c r="B1126">
        <f>IF($L1126="","",INDEX(Расчет!$A$2:$A$3001,$L1126))</f>
        <v/>
      </c>
      <c r="C1126">
        <f>IF($L1126="","",INDEX(Расчет!$B$2:$B$3001,$L1126))</f>
        <v/>
      </c>
      <c r="D1126">
        <f>IF($L1126="","",IF(ISNUMBER(FIND("(",INDEX(Расчет!$C$2:$C$3001,$L1126))),SUBSTITUTE(MID(INDEX(Расчет!$C$2:$C$3001,$L1126),FIND("(",INDEX(Расчет!$C$2:$C$3001,$L1126))+1,99),")",""),INDEX(Расчет!$C$2:$C$3001,$L1126)))</f>
        <v/>
      </c>
      <c r="E1126">
        <f>IF($L1126="","",INDEX(Расчет!$D$2:$D$3001,$L1126))</f>
        <v/>
      </c>
      <c r="F1126">
        <f>IF($L1126="","",INDEX(Расчет!$E$2:$E$3001,$L1126))</f>
        <v/>
      </c>
      <c r="G1126">
        <f>IF($L1126="","",IFERROR(--LEFT(INDEX(Расчет!$C$2:$C$3001,$L1126),FIND("(",INDEX(Расчет!$C$2:$C$3001,$L1126))-1),IFERROR(--LEFT(INDEX(Расчет!$C$2:$C$3001,$L1126),1),"")))</f>
        <v/>
      </c>
      <c r="H1126">
        <f>IF($L1126="","",SUMIFS(Расчет!$G$2:$G$3001,Расчет!$I$2:$I$3001,$K1126,Расчет!$H$2:$H$3001,1))</f>
        <v/>
      </c>
      <c r="I1126">
        <f>IF($L1126="","",SUMIFS(Расчет!$G$2:$G$3001,Расчет!$I$2:$I$3001,$K1126,Расчет!$H$2:$H$3001,2))</f>
        <v/>
      </c>
      <c r="J1126">
        <f>IF($L1126="","",SUMIFS(Расчет!$G$2:$G$3001,Расчет!$I$2:$I$3001,$K1126,Расчет!$H$2:$H$3001,3))</f>
        <v/>
      </c>
      <c r="K1126">
        <f>IF($L1126="","",INDEX(Расчет!$I$2:$I$3001,$L1126))</f>
        <v/>
      </c>
      <c r="L1126">
        <f>IFERROR(MATCH(ROW()-1,Расчет!$J$2:$J$3001,0),"")</f>
        <v/>
      </c>
    </row>
    <row r="1127">
      <c r="A1127">
        <f>IF($L1127="","",B1127&amp;"."&amp;C1127&amp;"-"&amp;D1127&amp;"-"&amp;H1127&amp;"."&amp;I1127&amp;"."&amp;J1127)</f>
        <v/>
      </c>
      <c r="B1127">
        <f>IF($L1127="","",INDEX(Расчет!$A$2:$A$3001,$L1127))</f>
        <v/>
      </c>
      <c r="C1127">
        <f>IF($L1127="","",INDEX(Расчет!$B$2:$B$3001,$L1127))</f>
        <v/>
      </c>
      <c r="D1127">
        <f>IF($L1127="","",IF(ISNUMBER(FIND("(",INDEX(Расчет!$C$2:$C$3001,$L1127))),SUBSTITUTE(MID(INDEX(Расчет!$C$2:$C$3001,$L1127),FIND("(",INDEX(Расчет!$C$2:$C$3001,$L1127))+1,99),")",""),INDEX(Расчет!$C$2:$C$3001,$L1127)))</f>
        <v/>
      </c>
      <c r="E1127">
        <f>IF($L1127="","",INDEX(Расчет!$D$2:$D$3001,$L1127))</f>
        <v/>
      </c>
      <c r="F1127">
        <f>IF($L1127="","",INDEX(Расчет!$E$2:$E$3001,$L1127))</f>
        <v/>
      </c>
      <c r="G1127">
        <f>IF($L1127="","",IFERROR(--LEFT(INDEX(Расчет!$C$2:$C$3001,$L1127),FIND("(",INDEX(Расчет!$C$2:$C$3001,$L1127))-1),IFERROR(--LEFT(INDEX(Расчет!$C$2:$C$3001,$L1127),1),"")))</f>
        <v/>
      </c>
      <c r="H1127">
        <f>IF($L1127="","",SUMIFS(Расчет!$G$2:$G$3001,Расчет!$I$2:$I$3001,$K1127,Расчет!$H$2:$H$3001,1))</f>
        <v/>
      </c>
      <c r="I1127">
        <f>IF($L1127="","",SUMIFS(Расчет!$G$2:$G$3001,Расчет!$I$2:$I$3001,$K1127,Расчет!$H$2:$H$3001,2))</f>
        <v/>
      </c>
      <c r="J1127">
        <f>IF($L1127="","",SUMIFS(Расчет!$G$2:$G$3001,Расчет!$I$2:$I$3001,$K1127,Расчет!$H$2:$H$3001,3))</f>
        <v/>
      </c>
      <c r="K1127">
        <f>IF($L1127="","",INDEX(Расчет!$I$2:$I$3001,$L1127))</f>
        <v/>
      </c>
      <c r="L1127">
        <f>IFERROR(MATCH(ROW()-1,Расчет!$J$2:$J$3001,0),"")</f>
        <v/>
      </c>
    </row>
    <row r="1128">
      <c r="A1128">
        <f>IF($L1128="","",B1128&amp;"."&amp;C1128&amp;"-"&amp;D1128&amp;"-"&amp;H1128&amp;"."&amp;I1128&amp;"."&amp;J1128)</f>
        <v/>
      </c>
      <c r="B1128">
        <f>IF($L1128="","",INDEX(Расчет!$A$2:$A$3001,$L1128))</f>
        <v/>
      </c>
      <c r="C1128">
        <f>IF($L1128="","",INDEX(Расчет!$B$2:$B$3001,$L1128))</f>
        <v/>
      </c>
      <c r="D1128">
        <f>IF($L1128="","",IF(ISNUMBER(FIND("(",INDEX(Расчет!$C$2:$C$3001,$L1128))),SUBSTITUTE(MID(INDEX(Расчет!$C$2:$C$3001,$L1128),FIND("(",INDEX(Расчет!$C$2:$C$3001,$L1128))+1,99),")",""),INDEX(Расчет!$C$2:$C$3001,$L1128)))</f>
        <v/>
      </c>
      <c r="E1128">
        <f>IF($L1128="","",INDEX(Расчет!$D$2:$D$3001,$L1128))</f>
        <v/>
      </c>
      <c r="F1128">
        <f>IF($L1128="","",INDEX(Расчет!$E$2:$E$3001,$L1128))</f>
        <v/>
      </c>
      <c r="G1128">
        <f>IF($L1128="","",IFERROR(--LEFT(INDEX(Расчет!$C$2:$C$3001,$L1128),FIND("(",INDEX(Расчет!$C$2:$C$3001,$L1128))-1),IFERROR(--LEFT(INDEX(Расчет!$C$2:$C$3001,$L1128),1),"")))</f>
        <v/>
      </c>
      <c r="H1128">
        <f>IF($L1128="","",SUMIFS(Расчет!$G$2:$G$3001,Расчет!$I$2:$I$3001,$K1128,Расчет!$H$2:$H$3001,1))</f>
        <v/>
      </c>
      <c r="I1128">
        <f>IF($L1128="","",SUMIFS(Расчет!$G$2:$G$3001,Расчет!$I$2:$I$3001,$K1128,Расчет!$H$2:$H$3001,2))</f>
        <v/>
      </c>
      <c r="J1128">
        <f>IF($L1128="","",SUMIFS(Расчет!$G$2:$G$3001,Расчет!$I$2:$I$3001,$K1128,Расчет!$H$2:$H$3001,3))</f>
        <v/>
      </c>
      <c r="K1128">
        <f>IF($L1128="","",INDEX(Расчет!$I$2:$I$3001,$L1128))</f>
        <v/>
      </c>
      <c r="L1128">
        <f>IFERROR(MATCH(ROW()-1,Расчет!$J$2:$J$3001,0),"")</f>
        <v/>
      </c>
    </row>
    <row r="1129">
      <c r="A1129">
        <f>IF($L1129="","",B1129&amp;"."&amp;C1129&amp;"-"&amp;D1129&amp;"-"&amp;H1129&amp;"."&amp;I1129&amp;"."&amp;J1129)</f>
        <v/>
      </c>
      <c r="B1129">
        <f>IF($L1129="","",INDEX(Расчет!$A$2:$A$3001,$L1129))</f>
        <v/>
      </c>
      <c r="C1129">
        <f>IF($L1129="","",INDEX(Расчет!$B$2:$B$3001,$L1129))</f>
        <v/>
      </c>
      <c r="D1129">
        <f>IF($L1129="","",IF(ISNUMBER(FIND("(",INDEX(Расчет!$C$2:$C$3001,$L1129))),SUBSTITUTE(MID(INDEX(Расчет!$C$2:$C$3001,$L1129),FIND("(",INDEX(Расчет!$C$2:$C$3001,$L1129))+1,99),")",""),INDEX(Расчет!$C$2:$C$3001,$L1129)))</f>
        <v/>
      </c>
      <c r="E1129">
        <f>IF($L1129="","",INDEX(Расчет!$D$2:$D$3001,$L1129))</f>
        <v/>
      </c>
      <c r="F1129">
        <f>IF($L1129="","",INDEX(Расчет!$E$2:$E$3001,$L1129))</f>
        <v/>
      </c>
      <c r="G1129">
        <f>IF($L1129="","",IFERROR(--LEFT(INDEX(Расчет!$C$2:$C$3001,$L1129),FIND("(",INDEX(Расчет!$C$2:$C$3001,$L1129))-1),IFERROR(--LEFT(INDEX(Расчет!$C$2:$C$3001,$L1129),1),"")))</f>
        <v/>
      </c>
      <c r="H1129">
        <f>IF($L1129="","",SUMIFS(Расчет!$G$2:$G$3001,Расчет!$I$2:$I$3001,$K1129,Расчет!$H$2:$H$3001,1))</f>
        <v/>
      </c>
      <c r="I1129">
        <f>IF($L1129="","",SUMIFS(Расчет!$G$2:$G$3001,Расчет!$I$2:$I$3001,$K1129,Расчет!$H$2:$H$3001,2))</f>
        <v/>
      </c>
      <c r="J1129">
        <f>IF($L1129="","",SUMIFS(Расчет!$G$2:$G$3001,Расчет!$I$2:$I$3001,$K1129,Расчет!$H$2:$H$3001,3))</f>
        <v/>
      </c>
      <c r="K1129">
        <f>IF($L1129="","",INDEX(Расчет!$I$2:$I$3001,$L1129))</f>
        <v/>
      </c>
      <c r="L1129">
        <f>IFERROR(MATCH(ROW()-1,Расчет!$J$2:$J$3001,0),"")</f>
        <v/>
      </c>
    </row>
    <row r="1130">
      <c r="A1130">
        <f>IF($L1130="","",B1130&amp;"."&amp;C1130&amp;"-"&amp;D1130&amp;"-"&amp;H1130&amp;"."&amp;I1130&amp;"."&amp;J1130)</f>
        <v/>
      </c>
      <c r="B1130">
        <f>IF($L1130="","",INDEX(Расчет!$A$2:$A$3001,$L1130))</f>
        <v/>
      </c>
      <c r="C1130">
        <f>IF($L1130="","",INDEX(Расчет!$B$2:$B$3001,$L1130))</f>
        <v/>
      </c>
      <c r="D1130">
        <f>IF($L1130="","",IF(ISNUMBER(FIND("(",INDEX(Расчет!$C$2:$C$3001,$L1130))),SUBSTITUTE(MID(INDEX(Расчет!$C$2:$C$3001,$L1130),FIND("(",INDEX(Расчет!$C$2:$C$3001,$L1130))+1,99),")",""),INDEX(Расчет!$C$2:$C$3001,$L1130)))</f>
        <v/>
      </c>
      <c r="E1130">
        <f>IF($L1130="","",INDEX(Расчет!$D$2:$D$3001,$L1130))</f>
        <v/>
      </c>
      <c r="F1130">
        <f>IF($L1130="","",INDEX(Расчет!$E$2:$E$3001,$L1130))</f>
        <v/>
      </c>
      <c r="G1130">
        <f>IF($L1130="","",IFERROR(--LEFT(INDEX(Расчет!$C$2:$C$3001,$L1130),FIND("(",INDEX(Расчет!$C$2:$C$3001,$L1130))-1),IFERROR(--LEFT(INDEX(Расчет!$C$2:$C$3001,$L1130),1),"")))</f>
        <v/>
      </c>
      <c r="H1130">
        <f>IF($L1130="","",SUMIFS(Расчет!$G$2:$G$3001,Расчет!$I$2:$I$3001,$K1130,Расчет!$H$2:$H$3001,1))</f>
        <v/>
      </c>
      <c r="I1130">
        <f>IF($L1130="","",SUMIFS(Расчет!$G$2:$G$3001,Расчет!$I$2:$I$3001,$K1130,Расчет!$H$2:$H$3001,2))</f>
        <v/>
      </c>
      <c r="J1130">
        <f>IF($L1130="","",SUMIFS(Расчет!$G$2:$G$3001,Расчет!$I$2:$I$3001,$K1130,Расчет!$H$2:$H$3001,3))</f>
        <v/>
      </c>
      <c r="K1130">
        <f>IF($L1130="","",INDEX(Расчет!$I$2:$I$3001,$L1130))</f>
        <v/>
      </c>
      <c r="L1130">
        <f>IFERROR(MATCH(ROW()-1,Расчет!$J$2:$J$3001,0),"")</f>
        <v/>
      </c>
    </row>
    <row r="1131">
      <c r="A1131">
        <f>IF($L1131="","",B1131&amp;"."&amp;C1131&amp;"-"&amp;D1131&amp;"-"&amp;H1131&amp;"."&amp;I1131&amp;"."&amp;J1131)</f>
        <v/>
      </c>
      <c r="B1131">
        <f>IF($L1131="","",INDEX(Расчет!$A$2:$A$3001,$L1131))</f>
        <v/>
      </c>
      <c r="C1131">
        <f>IF($L1131="","",INDEX(Расчет!$B$2:$B$3001,$L1131))</f>
        <v/>
      </c>
      <c r="D1131">
        <f>IF($L1131="","",IF(ISNUMBER(FIND("(",INDEX(Расчет!$C$2:$C$3001,$L1131))),SUBSTITUTE(MID(INDEX(Расчет!$C$2:$C$3001,$L1131),FIND("(",INDEX(Расчет!$C$2:$C$3001,$L1131))+1,99),")",""),INDEX(Расчет!$C$2:$C$3001,$L1131)))</f>
        <v/>
      </c>
      <c r="E1131">
        <f>IF($L1131="","",INDEX(Расчет!$D$2:$D$3001,$L1131))</f>
        <v/>
      </c>
      <c r="F1131">
        <f>IF($L1131="","",INDEX(Расчет!$E$2:$E$3001,$L1131))</f>
        <v/>
      </c>
      <c r="G1131">
        <f>IF($L1131="","",IFERROR(--LEFT(INDEX(Расчет!$C$2:$C$3001,$L1131),FIND("(",INDEX(Расчет!$C$2:$C$3001,$L1131))-1),IFERROR(--LEFT(INDEX(Расчет!$C$2:$C$3001,$L1131),1),"")))</f>
        <v/>
      </c>
      <c r="H1131">
        <f>IF($L1131="","",SUMIFS(Расчет!$G$2:$G$3001,Расчет!$I$2:$I$3001,$K1131,Расчет!$H$2:$H$3001,1))</f>
        <v/>
      </c>
      <c r="I1131">
        <f>IF($L1131="","",SUMIFS(Расчет!$G$2:$G$3001,Расчет!$I$2:$I$3001,$K1131,Расчет!$H$2:$H$3001,2))</f>
        <v/>
      </c>
      <c r="J1131">
        <f>IF($L1131="","",SUMIFS(Расчет!$G$2:$G$3001,Расчет!$I$2:$I$3001,$K1131,Расчет!$H$2:$H$3001,3))</f>
        <v/>
      </c>
      <c r="K1131">
        <f>IF($L1131="","",INDEX(Расчет!$I$2:$I$3001,$L1131))</f>
        <v/>
      </c>
      <c r="L1131">
        <f>IFERROR(MATCH(ROW()-1,Расчет!$J$2:$J$3001,0),"")</f>
        <v/>
      </c>
    </row>
    <row r="1132">
      <c r="A1132">
        <f>IF($L1132="","",B1132&amp;"."&amp;C1132&amp;"-"&amp;D1132&amp;"-"&amp;H1132&amp;"."&amp;I1132&amp;"."&amp;J1132)</f>
        <v/>
      </c>
      <c r="B1132">
        <f>IF($L1132="","",INDEX(Расчет!$A$2:$A$3001,$L1132))</f>
        <v/>
      </c>
      <c r="C1132">
        <f>IF($L1132="","",INDEX(Расчет!$B$2:$B$3001,$L1132))</f>
        <v/>
      </c>
      <c r="D1132">
        <f>IF($L1132="","",IF(ISNUMBER(FIND("(",INDEX(Расчет!$C$2:$C$3001,$L1132))),SUBSTITUTE(MID(INDEX(Расчет!$C$2:$C$3001,$L1132),FIND("(",INDEX(Расчет!$C$2:$C$3001,$L1132))+1,99),")",""),INDEX(Расчет!$C$2:$C$3001,$L1132)))</f>
        <v/>
      </c>
      <c r="E1132">
        <f>IF($L1132="","",INDEX(Расчет!$D$2:$D$3001,$L1132))</f>
        <v/>
      </c>
      <c r="F1132">
        <f>IF($L1132="","",INDEX(Расчет!$E$2:$E$3001,$L1132))</f>
        <v/>
      </c>
      <c r="G1132">
        <f>IF($L1132="","",IFERROR(--LEFT(INDEX(Расчет!$C$2:$C$3001,$L1132),FIND("(",INDEX(Расчет!$C$2:$C$3001,$L1132))-1),IFERROR(--LEFT(INDEX(Расчет!$C$2:$C$3001,$L1132),1),"")))</f>
        <v/>
      </c>
      <c r="H1132">
        <f>IF($L1132="","",SUMIFS(Расчет!$G$2:$G$3001,Расчет!$I$2:$I$3001,$K1132,Расчет!$H$2:$H$3001,1))</f>
        <v/>
      </c>
      <c r="I1132">
        <f>IF($L1132="","",SUMIFS(Расчет!$G$2:$G$3001,Расчет!$I$2:$I$3001,$K1132,Расчет!$H$2:$H$3001,2))</f>
        <v/>
      </c>
      <c r="J1132">
        <f>IF($L1132="","",SUMIFS(Расчет!$G$2:$G$3001,Расчет!$I$2:$I$3001,$K1132,Расчет!$H$2:$H$3001,3))</f>
        <v/>
      </c>
      <c r="K1132">
        <f>IF($L1132="","",INDEX(Расчет!$I$2:$I$3001,$L1132))</f>
        <v/>
      </c>
      <c r="L1132">
        <f>IFERROR(MATCH(ROW()-1,Расчет!$J$2:$J$3001,0),"")</f>
        <v/>
      </c>
    </row>
    <row r="1133">
      <c r="A1133">
        <f>IF($L1133="","",B1133&amp;"."&amp;C1133&amp;"-"&amp;D1133&amp;"-"&amp;H1133&amp;"."&amp;I1133&amp;"."&amp;J1133)</f>
        <v/>
      </c>
      <c r="B1133">
        <f>IF($L1133="","",INDEX(Расчет!$A$2:$A$3001,$L1133))</f>
        <v/>
      </c>
      <c r="C1133">
        <f>IF($L1133="","",INDEX(Расчет!$B$2:$B$3001,$L1133))</f>
        <v/>
      </c>
      <c r="D1133">
        <f>IF($L1133="","",IF(ISNUMBER(FIND("(",INDEX(Расчет!$C$2:$C$3001,$L1133))),SUBSTITUTE(MID(INDEX(Расчет!$C$2:$C$3001,$L1133),FIND("(",INDEX(Расчет!$C$2:$C$3001,$L1133))+1,99),")",""),INDEX(Расчет!$C$2:$C$3001,$L1133)))</f>
        <v/>
      </c>
      <c r="E1133">
        <f>IF($L1133="","",INDEX(Расчет!$D$2:$D$3001,$L1133))</f>
        <v/>
      </c>
      <c r="F1133">
        <f>IF($L1133="","",INDEX(Расчет!$E$2:$E$3001,$L1133))</f>
        <v/>
      </c>
      <c r="G1133">
        <f>IF($L1133="","",IFERROR(--LEFT(INDEX(Расчет!$C$2:$C$3001,$L1133),FIND("(",INDEX(Расчет!$C$2:$C$3001,$L1133))-1),IFERROR(--LEFT(INDEX(Расчет!$C$2:$C$3001,$L1133),1),"")))</f>
        <v/>
      </c>
      <c r="H1133">
        <f>IF($L1133="","",SUMIFS(Расчет!$G$2:$G$3001,Расчет!$I$2:$I$3001,$K1133,Расчет!$H$2:$H$3001,1))</f>
        <v/>
      </c>
      <c r="I1133">
        <f>IF($L1133="","",SUMIFS(Расчет!$G$2:$G$3001,Расчет!$I$2:$I$3001,$K1133,Расчет!$H$2:$H$3001,2))</f>
        <v/>
      </c>
      <c r="J1133">
        <f>IF($L1133="","",SUMIFS(Расчет!$G$2:$G$3001,Расчет!$I$2:$I$3001,$K1133,Расчет!$H$2:$H$3001,3))</f>
        <v/>
      </c>
      <c r="K1133">
        <f>IF($L1133="","",INDEX(Расчет!$I$2:$I$3001,$L1133))</f>
        <v/>
      </c>
      <c r="L1133">
        <f>IFERROR(MATCH(ROW()-1,Расчет!$J$2:$J$3001,0),"")</f>
        <v/>
      </c>
    </row>
    <row r="1134">
      <c r="A1134">
        <f>IF($L1134="","",B1134&amp;"."&amp;C1134&amp;"-"&amp;D1134&amp;"-"&amp;H1134&amp;"."&amp;I1134&amp;"."&amp;J1134)</f>
        <v/>
      </c>
      <c r="B1134">
        <f>IF($L1134="","",INDEX(Расчет!$A$2:$A$3001,$L1134))</f>
        <v/>
      </c>
      <c r="C1134">
        <f>IF($L1134="","",INDEX(Расчет!$B$2:$B$3001,$L1134))</f>
        <v/>
      </c>
      <c r="D1134">
        <f>IF($L1134="","",IF(ISNUMBER(FIND("(",INDEX(Расчет!$C$2:$C$3001,$L1134))),SUBSTITUTE(MID(INDEX(Расчет!$C$2:$C$3001,$L1134),FIND("(",INDEX(Расчет!$C$2:$C$3001,$L1134))+1,99),")",""),INDEX(Расчет!$C$2:$C$3001,$L1134)))</f>
        <v/>
      </c>
      <c r="E1134">
        <f>IF($L1134="","",INDEX(Расчет!$D$2:$D$3001,$L1134))</f>
        <v/>
      </c>
      <c r="F1134">
        <f>IF($L1134="","",INDEX(Расчет!$E$2:$E$3001,$L1134))</f>
        <v/>
      </c>
      <c r="G1134">
        <f>IF($L1134="","",IFERROR(--LEFT(INDEX(Расчет!$C$2:$C$3001,$L1134),FIND("(",INDEX(Расчет!$C$2:$C$3001,$L1134))-1),IFERROR(--LEFT(INDEX(Расчет!$C$2:$C$3001,$L1134),1),"")))</f>
        <v/>
      </c>
      <c r="H1134">
        <f>IF($L1134="","",SUMIFS(Расчет!$G$2:$G$3001,Расчет!$I$2:$I$3001,$K1134,Расчет!$H$2:$H$3001,1))</f>
        <v/>
      </c>
      <c r="I1134">
        <f>IF($L1134="","",SUMIFS(Расчет!$G$2:$G$3001,Расчет!$I$2:$I$3001,$K1134,Расчет!$H$2:$H$3001,2))</f>
        <v/>
      </c>
      <c r="J1134">
        <f>IF($L1134="","",SUMIFS(Расчет!$G$2:$G$3001,Расчет!$I$2:$I$3001,$K1134,Расчет!$H$2:$H$3001,3))</f>
        <v/>
      </c>
      <c r="K1134">
        <f>IF($L1134="","",INDEX(Расчет!$I$2:$I$3001,$L1134))</f>
        <v/>
      </c>
      <c r="L1134">
        <f>IFERROR(MATCH(ROW()-1,Расчет!$J$2:$J$3001,0),"")</f>
        <v/>
      </c>
    </row>
    <row r="1135">
      <c r="A1135">
        <f>IF($L1135="","",B1135&amp;"."&amp;C1135&amp;"-"&amp;D1135&amp;"-"&amp;H1135&amp;"."&amp;I1135&amp;"."&amp;J1135)</f>
        <v/>
      </c>
      <c r="B1135">
        <f>IF($L1135="","",INDEX(Расчет!$A$2:$A$3001,$L1135))</f>
        <v/>
      </c>
      <c r="C1135">
        <f>IF($L1135="","",INDEX(Расчет!$B$2:$B$3001,$L1135))</f>
        <v/>
      </c>
      <c r="D1135">
        <f>IF($L1135="","",IF(ISNUMBER(FIND("(",INDEX(Расчет!$C$2:$C$3001,$L1135))),SUBSTITUTE(MID(INDEX(Расчет!$C$2:$C$3001,$L1135),FIND("(",INDEX(Расчет!$C$2:$C$3001,$L1135))+1,99),")",""),INDEX(Расчет!$C$2:$C$3001,$L1135)))</f>
        <v/>
      </c>
      <c r="E1135">
        <f>IF($L1135="","",INDEX(Расчет!$D$2:$D$3001,$L1135))</f>
        <v/>
      </c>
      <c r="F1135">
        <f>IF($L1135="","",INDEX(Расчет!$E$2:$E$3001,$L1135))</f>
        <v/>
      </c>
      <c r="G1135">
        <f>IF($L1135="","",IFERROR(--LEFT(INDEX(Расчет!$C$2:$C$3001,$L1135),FIND("(",INDEX(Расчет!$C$2:$C$3001,$L1135))-1),IFERROR(--LEFT(INDEX(Расчет!$C$2:$C$3001,$L1135),1),"")))</f>
        <v/>
      </c>
      <c r="H1135">
        <f>IF($L1135="","",SUMIFS(Расчет!$G$2:$G$3001,Расчет!$I$2:$I$3001,$K1135,Расчет!$H$2:$H$3001,1))</f>
        <v/>
      </c>
      <c r="I1135">
        <f>IF($L1135="","",SUMIFS(Расчет!$G$2:$G$3001,Расчет!$I$2:$I$3001,$K1135,Расчет!$H$2:$H$3001,2))</f>
        <v/>
      </c>
      <c r="J1135">
        <f>IF($L1135="","",SUMIFS(Расчет!$G$2:$G$3001,Расчет!$I$2:$I$3001,$K1135,Расчет!$H$2:$H$3001,3))</f>
        <v/>
      </c>
      <c r="K1135">
        <f>IF($L1135="","",INDEX(Расчет!$I$2:$I$3001,$L1135))</f>
        <v/>
      </c>
      <c r="L1135">
        <f>IFERROR(MATCH(ROW()-1,Расчет!$J$2:$J$3001,0),"")</f>
        <v/>
      </c>
    </row>
    <row r="1136">
      <c r="A1136">
        <f>IF($L1136="","",B1136&amp;"."&amp;C1136&amp;"-"&amp;D1136&amp;"-"&amp;H1136&amp;"."&amp;I1136&amp;"."&amp;J1136)</f>
        <v/>
      </c>
      <c r="B1136">
        <f>IF($L1136="","",INDEX(Расчет!$A$2:$A$3001,$L1136))</f>
        <v/>
      </c>
      <c r="C1136">
        <f>IF($L1136="","",INDEX(Расчет!$B$2:$B$3001,$L1136))</f>
        <v/>
      </c>
      <c r="D1136">
        <f>IF($L1136="","",IF(ISNUMBER(FIND("(",INDEX(Расчет!$C$2:$C$3001,$L1136))),SUBSTITUTE(MID(INDEX(Расчет!$C$2:$C$3001,$L1136),FIND("(",INDEX(Расчет!$C$2:$C$3001,$L1136))+1,99),")",""),INDEX(Расчет!$C$2:$C$3001,$L1136)))</f>
        <v/>
      </c>
      <c r="E1136">
        <f>IF($L1136="","",INDEX(Расчет!$D$2:$D$3001,$L1136))</f>
        <v/>
      </c>
      <c r="F1136">
        <f>IF($L1136="","",INDEX(Расчет!$E$2:$E$3001,$L1136))</f>
        <v/>
      </c>
      <c r="G1136">
        <f>IF($L1136="","",IFERROR(--LEFT(INDEX(Расчет!$C$2:$C$3001,$L1136),FIND("(",INDEX(Расчет!$C$2:$C$3001,$L1136))-1),IFERROR(--LEFT(INDEX(Расчет!$C$2:$C$3001,$L1136),1),"")))</f>
        <v/>
      </c>
      <c r="H1136">
        <f>IF($L1136="","",SUMIFS(Расчет!$G$2:$G$3001,Расчет!$I$2:$I$3001,$K1136,Расчет!$H$2:$H$3001,1))</f>
        <v/>
      </c>
      <c r="I1136">
        <f>IF($L1136="","",SUMIFS(Расчет!$G$2:$G$3001,Расчет!$I$2:$I$3001,$K1136,Расчет!$H$2:$H$3001,2))</f>
        <v/>
      </c>
      <c r="J1136">
        <f>IF($L1136="","",SUMIFS(Расчет!$G$2:$G$3001,Расчет!$I$2:$I$3001,$K1136,Расчет!$H$2:$H$3001,3))</f>
        <v/>
      </c>
      <c r="K1136">
        <f>IF($L1136="","",INDEX(Расчет!$I$2:$I$3001,$L1136))</f>
        <v/>
      </c>
      <c r="L1136">
        <f>IFERROR(MATCH(ROW()-1,Расчет!$J$2:$J$3001,0),"")</f>
        <v/>
      </c>
    </row>
    <row r="1137">
      <c r="A1137">
        <f>IF($L1137="","",B1137&amp;"."&amp;C1137&amp;"-"&amp;D1137&amp;"-"&amp;H1137&amp;"."&amp;I1137&amp;"."&amp;J1137)</f>
        <v/>
      </c>
      <c r="B1137">
        <f>IF($L1137="","",INDEX(Расчет!$A$2:$A$3001,$L1137))</f>
        <v/>
      </c>
      <c r="C1137">
        <f>IF($L1137="","",INDEX(Расчет!$B$2:$B$3001,$L1137))</f>
        <v/>
      </c>
      <c r="D1137">
        <f>IF($L1137="","",IF(ISNUMBER(FIND("(",INDEX(Расчет!$C$2:$C$3001,$L1137))),SUBSTITUTE(MID(INDEX(Расчет!$C$2:$C$3001,$L1137),FIND("(",INDEX(Расчет!$C$2:$C$3001,$L1137))+1,99),")",""),INDEX(Расчет!$C$2:$C$3001,$L1137)))</f>
        <v/>
      </c>
      <c r="E1137">
        <f>IF($L1137="","",INDEX(Расчет!$D$2:$D$3001,$L1137))</f>
        <v/>
      </c>
      <c r="F1137">
        <f>IF($L1137="","",INDEX(Расчет!$E$2:$E$3001,$L1137))</f>
        <v/>
      </c>
      <c r="G1137">
        <f>IF($L1137="","",IFERROR(--LEFT(INDEX(Расчет!$C$2:$C$3001,$L1137),FIND("(",INDEX(Расчет!$C$2:$C$3001,$L1137))-1),IFERROR(--LEFT(INDEX(Расчет!$C$2:$C$3001,$L1137),1),"")))</f>
        <v/>
      </c>
      <c r="H1137">
        <f>IF($L1137="","",SUMIFS(Расчет!$G$2:$G$3001,Расчет!$I$2:$I$3001,$K1137,Расчет!$H$2:$H$3001,1))</f>
        <v/>
      </c>
      <c r="I1137">
        <f>IF($L1137="","",SUMIFS(Расчет!$G$2:$G$3001,Расчет!$I$2:$I$3001,$K1137,Расчет!$H$2:$H$3001,2))</f>
        <v/>
      </c>
      <c r="J1137">
        <f>IF($L1137="","",SUMIFS(Расчет!$G$2:$G$3001,Расчет!$I$2:$I$3001,$K1137,Расчет!$H$2:$H$3001,3))</f>
        <v/>
      </c>
      <c r="K1137">
        <f>IF($L1137="","",INDEX(Расчет!$I$2:$I$3001,$L1137))</f>
        <v/>
      </c>
      <c r="L1137">
        <f>IFERROR(MATCH(ROW()-1,Расчет!$J$2:$J$3001,0),"")</f>
        <v/>
      </c>
    </row>
    <row r="1138">
      <c r="A1138">
        <f>IF($L1138="","",B1138&amp;"."&amp;C1138&amp;"-"&amp;D1138&amp;"-"&amp;H1138&amp;"."&amp;I1138&amp;"."&amp;J1138)</f>
        <v/>
      </c>
      <c r="B1138">
        <f>IF($L1138="","",INDEX(Расчет!$A$2:$A$3001,$L1138))</f>
        <v/>
      </c>
      <c r="C1138">
        <f>IF($L1138="","",INDEX(Расчет!$B$2:$B$3001,$L1138))</f>
        <v/>
      </c>
      <c r="D1138">
        <f>IF($L1138="","",IF(ISNUMBER(FIND("(",INDEX(Расчет!$C$2:$C$3001,$L1138))),SUBSTITUTE(MID(INDEX(Расчет!$C$2:$C$3001,$L1138),FIND("(",INDEX(Расчет!$C$2:$C$3001,$L1138))+1,99),")",""),INDEX(Расчет!$C$2:$C$3001,$L1138)))</f>
        <v/>
      </c>
      <c r="E1138">
        <f>IF($L1138="","",INDEX(Расчет!$D$2:$D$3001,$L1138))</f>
        <v/>
      </c>
      <c r="F1138">
        <f>IF($L1138="","",INDEX(Расчет!$E$2:$E$3001,$L1138))</f>
        <v/>
      </c>
      <c r="G1138">
        <f>IF($L1138="","",IFERROR(--LEFT(INDEX(Расчет!$C$2:$C$3001,$L1138),FIND("(",INDEX(Расчет!$C$2:$C$3001,$L1138))-1),IFERROR(--LEFT(INDEX(Расчет!$C$2:$C$3001,$L1138),1),"")))</f>
        <v/>
      </c>
      <c r="H1138">
        <f>IF($L1138="","",SUMIFS(Расчет!$G$2:$G$3001,Расчет!$I$2:$I$3001,$K1138,Расчет!$H$2:$H$3001,1))</f>
        <v/>
      </c>
      <c r="I1138">
        <f>IF($L1138="","",SUMIFS(Расчет!$G$2:$G$3001,Расчет!$I$2:$I$3001,$K1138,Расчет!$H$2:$H$3001,2))</f>
        <v/>
      </c>
      <c r="J1138">
        <f>IF($L1138="","",SUMIFS(Расчет!$G$2:$G$3001,Расчет!$I$2:$I$3001,$K1138,Расчет!$H$2:$H$3001,3))</f>
        <v/>
      </c>
      <c r="K1138">
        <f>IF($L1138="","",INDEX(Расчет!$I$2:$I$3001,$L1138))</f>
        <v/>
      </c>
      <c r="L1138">
        <f>IFERROR(MATCH(ROW()-1,Расчет!$J$2:$J$3001,0),"")</f>
        <v/>
      </c>
    </row>
    <row r="1139">
      <c r="A1139">
        <f>IF($L1139="","",B1139&amp;"."&amp;C1139&amp;"-"&amp;D1139&amp;"-"&amp;H1139&amp;"."&amp;I1139&amp;"."&amp;J1139)</f>
        <v/>
      </c>
      <c r="B1139">
        <f>IF($L1139="","",INDEX(Расчет!$A$2:$A$3001,$L1139))</f>
        <v/>
      </c>
      <c r="C1139">
        <f>IF($L1139="","",INDEX(Расчет!$B$2:$B$3001,$L1139))</f>
        <v/>
      </c>
      <c r="D1139">
        <f>IF($L1139="","",IF(ISNUMBER(FIND("(",INDEX(Расчет!$C$2:$C$3001,$L1139))),SUBSTITUTE(MID(INDEX(Расчет!$C$2:$C$3001,$L1139),FIND("(",INDEX(Расчет!$C$2:$C$3001,$L1139))+1,99),")",""),INDEX(Расчет!$C$2:$C$3001,$L1139)))</f>
        <v/>
      </c>
      <c r="E1139">
        <f>IF($L1139="","",INDEX(Расчет!$D$2:$D$3001,$L1139))</f>
        <v/>
      </c>
      <c r="F1139">
        <f>IF($L1139="","",INDEX(Расчет!$E$2:$E$3001,$L1139))</f>
        <v/>
      </c>
      <c r="G1139">
        <f>IF($L1139="","",IFERROR(--LEFT(INDEX(Расчет!$C$2:$C$3001,$L1139),FIND("(",INDEX(Расчет!$C$2:$C$3001,$L1139))-1),IFERROR(--LEFT(INDEX(Расчет!$C$2:$C$3001,$L1139),1),"")))</f>
        <v/>
      </c>
      <c r="H1139">
        <f>IF($L1139="","",SUMIFS(Расчет!$G$2:$G$3001,Расчет!$I$2:$I$3001,$K1139,Расчет!$H$2:$H$3001,1))</f>
        <v/>
      </c>
      <c r="I1139">
        <f>IF($L1139="","",SUMIFS(Расчет!$G$2:$G$3001,Расчет!$I$2:$I$3001,$K1139,Расчет!$H$2:$H$3001,2))</f>
        <v/>
      </c>
      <c r="J1139">
        <f>IF($L1139="","",SUMIFS(Расчет!$G$2:$G$3001,Расчет!$I$2:$I$3001,$K1139,Расчет!$H$2:$H$3001,3))</f>
        <v/>
      </c>
      <c r="K1139">
        <f>IF($L1139="","",INDEX(Расчет!$I$2:$I$3001,$L1139))</f>
        <v/>
      </c>
      <c r="L1139">
        <f>IFERROR(MATCH(ROW()-1,Расчет!$J$2:$J$3001,0),"")</f>
        <v/>
      </c>
    </row>
    <row r="1140">
      <c r="A1140">
        <f>IF($L1140="","",B1140&amp;"."&amp;C1140&amp;"-"&amp;D1140&amp;"-"&amp;H1140&amp;"."&amp;I1140&amp;"."&amp;J1140)</f>
        <v/>
      </c>
      <c r="B1140">
        <f>IF($L1140="","",INDEX(Расчет!$A$2:$A$3001,$L1140))</f>
        <v/>
      </c>
      <c r="C1140">
        <f>IF($L1140="","",INDEX(Расчет!$B$2:$B$3001,$L1140))</f>
        <v/>
      </c>
      <c r="D1140">
        <f>IF($L1140="","",IF(ISNUMBER(FIND("(",INDEX(Расчет!$C$2:$C$3001,$L1140))),SUBSTITUTE(MID(INDEX(Расчет!$C$2:$C$3001,$L1140),FIND("(",INDEX(Расчет!$C$2:$C$3001,$L1140))+1,99),")",""),INDEX(Расчет!$C$2:$C$3001,$L1140)))</f>
        <v/>
      </c>
      <c r="E1140">
        <f>IF($L1140="","",INDEX(Расчет!$D$2:$D$3001,$L1140))</f>
        <v/>
      </c>
      <c r="F1140">
        <f>IF($L1140="","",INDEX(Расчет!$E$2:$E$3001,$L1140))</f>
        <v/>
      </c>
      <c r="G1140">
        <f>IF($L1140="","",IFERROR(--LEFT(INDEX(Расчет!$C$2:$C$3001,$L1140),FIND("(",INDEX(Расчет!$C$2:$C$3001,$L1140))-1),IFERROR(--LEFT(INDEX(Расчет!$C$2:$C$3001,$L1140),1),"")))</f>
        <v/>
      </c>
      <c r="H1140">
        <f>IF($L1140="","",SUMIFS(Расчет!$G$2:$G$3001,Расчет!$I$2:$I$3001,$K1140,Расчет!$H$2:$H$3001,1))</f>
        <v/>
      </c>
      <c r="I1140">
        <f>IF($L1140="","",SUMIFS(Расчет!$G$2:$G$3001,Расчет!$I$2:$I$3001,$K1140,Расчет!$H$2:$H$3001,2))</f>
        <v/>
      </c>
      <c r="J1140">
        <f>IF($L1140="","",SUMIFS(Расчет!$G$2:$G$3001,Расчет!$I$2:$I$3001,$K1140,Расчет!$H$2:$H$3001,3))</f>
        <v/>
      </c>
      <c r="K1140">
        <f>IF($L1140="","",INDEX(Расчет!$I$2:$I$3001,$L1140))</f>
        <v/>
      </c>
      <c r="L1140">
        <f>IFERROR(MATCH(ROW()-1,Расчет!$J$2:$J$3001,0),"")</f>
        <v/>
      </c>
    </row>
    <row r="1141">
      <c r="A1141">
        <f>IF($L1141="","",B1141&amp;"."&amp;C1141&amp;"-"&amp;D1141&amp;"-"&amp;H1141&amp;"."&amp;I1141&amp;"."&amp;J1141)</f>
        <v/>
      </c>
      <c r="B1141">
        <f>IF($L1141="","",INDEX(Расчет!$A$2:$A$3001,$L1141))</f>
        <v/>
      </c>
      <c r="C1141">
        <f>IF($L1141="","",INDEX(Расчет!$B$2:$B$3001,$L1141))</f>
        <v/>
      </c>
      <c r="D1141">
        <f>IF($L1141="","",IF(ISNUMBER(FIND("(",INDEX(Расчет!$C$2:$C$3001,$L1141))),SUBSTITUTE(MID(INDEX(Расчет!$C$2:$C$3001,$L1141),FIND("(",INDEX(Расчет!$C$2:$C$3001,$L1141))+1,99),")",""),INDEX(Расчет!$C$2:$C$3001,$L1141)))</f>
        <v/>
      </c>
      <c r="E1141">
        <f>IF($L1141="","",INDEX(Расчет!$D$2:$D$3001,$L1141))</f>
        <v/>
      </c>
      <c r="F1141">
        <f>IF($L1141="","",INDEX(Расчет!$E$2:$E$3001,$L1141))</f>
        <v/>
      </c>
      <c r="G1141">
        <f>IF($L1141="","",IFERROR(--LEFT(INDEX(Расчет!$C$2:$C$3001,$L1141),FIND("(",INDEX(Расчет!$C$2:$C$3001,$L1141))-1),IFERROR(--LEFT(INDEX(Расчет!$C$2:$C$3001,$L1141),1),"")))</f>
        <v/>
      </c>
      <c r="H1141">
        <f>IF($L1141="","",SUMIFS(Расчет!$G$2:$G$3001,Расчет!$I$2:$I$3001,$K1141,Расчет!$H$2:$H$3001,1))</f>
        <v/>
      </c>
      <c r="I1141">
        <f>IF($L1141="","",SUMIFS(Расчет!$G$2:$G$3001,Расчет!$I$2:$I$3001,$K1141,Расчет!$H$2:$H$3001,2))</f>
        <v/>
      </c>
      <c r="J1141">
        <f>IF($L1141="","",SUMIFS(Расчет!$G$2:$G$3001,Расчет!$I$2:$I$3001,$K1141,Расчет!$H$2:$H$3001,3))</f>
        <v/>
      </c>
      <c r="K1141">
        <f>IF($L1141="","",INDEX(Расчет!$I$2:$I$3001,$L1141))</f>
        <v/>
      </c>
      <c r="L1141">
        <f>IFERROR(MATCH(ROW()-1,Расчет!$J$2:$J$3001,0),"")</f>
        <v/>
      </c>
    </row>
    <row r="1142">
      <c r="A1142">
        <f>IF($L1142="","",B1142&amp;"."&amp;C1142&amp;"-"&amp;D1142&amp;"-"&amp;H1142&amp;"."&amp;I1142&amp;"."&amp;J1142)</f>
        <v/>
      </c>
      <c r="B1142">
        <f>IF($L1142="","",INDEX(Расчет!$A$2:$A$3001,$L1142))</f>
        <v/>
      </c>
      <c r="C1142">
        <f>IF($L1142="","",INDEX(Расчет!$B$2:$B$3001,$L1142))</f>
        <v/>
      </c>
      <c r="D1142">
        <f>IF($L1142="","",IF(ISNUMBER(FIND("(",INDEX(Расчет!$C$2:$C$3001,$L1142))),SUBSTITUTE(MID(INDEX(Расчет!$C$2:$C$3001,$L1142),FIND("(",INDEX(Расчет!$C$2:$C$3001,$L1142))+1,99),")",""),INDEX(Расчет!$C$2:$C$3001,$L1142)))</f>
        <v/>
      </c>
      <c r="E1142">
        <f>IF($L1142="","",INDEX(Расчет!$D$2:$D$3001,$L1142))</f>
        <v/>
      </c>
      <c r="F1142">
        <f>IF($L1142="","",INDEX(Расчет!$E$2:$E$3001,$L1142))</f>
        <v/>
      </c>
      <c r="G1142">
        <f>IF($L1142="","",IFERROR(--LEFT(INDEX(Расчет!$C$2:$C$3001,$L1142),FIND("(",INDEX(Расчет!$C$2:$C$3001,$L1142))-1),IFERROR(--LEFT(INDEX(Расчет!$C$2:$C$3001,$L1142),1),"")))</f>
        <v/>
      </c>
      <c r="H1142">
        <f>IF($L1142="","",SUMIFS(Расчет!$G$2:$G$3001,Расчет!$I$2:$I$3001,$K1142,Расчет!$H$2:$H$3001,1))</f>
        <v/>
      </c>
      <c r="I1142">
        <f>IF($L1142="","",SUMIFS(Расчет!$G$2:$G$3001,Расчет!$I$2:$I$3001,$K1142,Расчет!$H$2:$H$3001,2))</f>
        <v/>
      </c>
      <c r="J1142">
        <f>IF($L1142="","",SUMIFS(Расчет!$G$2:$G$3001,Расчет!$I$2:$I$3001,$K1142,Расчет!$H$2:$H$3001,3))</f>
        <v/>
      </c>
      <c r="K1142">
        <f>IF($L1142="","",INDEX(Расчет!$I$2:$I$3001,$L1142))</f>
        <v/>
      </c>
      <c r="L1142">
        <f>IFERROR(MATCH(ROW()-1,Расчет!$J$2:$J$3001,0),"")</f>
        <v/>
      </c>
    </row>
    <row r="1143">
      <c r="A1143">
        <f>IF($L1143="","",B1143&amp;"."&amp;C1143&amp;"-"&amp;D1143&amp;"-"&amp;H1143&amp;"."&amp;I1143&amp;"."&amp;J1143)</f>
        <v/>
      </c>
      <c r="B1143">
        <f>IF($L1143="","",INDEX(Расчет!$A$2:$A$3001,$L1143))</f>
        <v/>
      </c>
      <c r="C1143">
        <f>IF($L1143="","",INDEX(Расчет!$B$2:$B$3001,$L1143))</f>
        <v/>
      </c>
      <c r="D1143">
        <f>IF($L1143="","",IF(ISNUMBER(FIND("(",INDEX(Расчет!$C$2:$C$3001,$L1143))),SUBSTITUTE(MID(INDEX(Расчет!$C$2:$C$3001,$L1143),FIND("(",INDEX(Расчет!$C$2:$C$3001,$L1143))+1,99),")",""),INDEX(Расчет!$C$2:$C$3001,$L1143)))</f>
        <v/>
      </c>
      <c r="E1143">
        <f>IF($L1143="","",INDEX(Расчет!$D$2:$D$3001,$L1143))</f>
        <v/>
      </c>
      <c r="F1143">
        <f>IF($L1143="","",INDEX(Расчет!$E$2:$E$3001,$L1143))</f>
        <v/>
      </c>
      <c r="G1143">
        <f>IF($L1143="","",IFERROR(--LEFT(INDEX(Расчет!$C$2:$C$3001,$L1143),FIND("(",INDEX(Расчет!$C$2:$C$3001,$L1143))-1),IFERROR(--LEFT(INDEX(Расчет!$C$2:$C$3001,$L1143),1),"")))</f>
        <v/>
      </c>
      <c r="H1143">
        <f>IF($L1143="","",SUMIFS(Расчет!$G$2:$G$3001,Расчет!$I$2:$I$3001,$K1143,Расчет!$H$2:$H$3001,1))</f>
        <v/>
      </c>
      <c r="I1143">
        <f>IF($L1143="","",SUMIFS(Расчет!$G$2:$G$3001,Расчет!$I$2:$I$3001,$K1143,Расчет!$H$2:$H$3001,2))</f>
        <v/>
      </c>
      <c r="J1143">
        <f>IF($L1143="","",SUMIFS(Расчет!$G$2:$G$3001,Расчет!$I$2:$I$3001,$K1143,Расчет!$H$2:$H$3001,3))</f>
        <v/>
      </c>
      <c r="K1143">
        <f>IF($L1143="","",INDEX(Расчет!$I$2:$I$3001,$L1143))</f>
        <v/>
      </c>
      <c r="L1143">
        <f>IFERROR(MATCH(ROW()-1,Расчет!$J$2:$J$3001,0),"")</f>
        <v/>
      </c>
    </row>
    <row r="1144">
      <c r="A1144">
        <f>IF($L1144="","",B1144&amp;"."&amp;C1144&amp;"-"&amp;D1144&amp;"-"&amp;H1144&amp;"."&amp;I1144&amp;"."&amp;J1144)</f>
        <v/>
      </c>
      <c r="B1144">
        <f>IF($L1144="","",INDEX(Расчет!$A$2:$A$3001,$L1144))</f>
        <v/>
      </c>
      <c r="C1144">
        <f>IF($L1144="","",INDEX(Расчет!$B$2:$B$3001,$L1144))</f>
        <v/>
      </c>
      <c r="D1144">
        <f>IF($L1144="","",IF(ISNUMBER(FIND("(",INDEX(Расчет!$C$2:$C$3001,$L1144))),SUBSTITUTE(MID(INDEX(Расчет!$C$2:$C$3001,$L1144),FIND("(",INDEX(Расчет!$C$2:$C$3001,$L1144))+1,99),")",""),INDEX(Расчет!$C$2:$C$3001,$L1144)))</f>
        <v/>
      </c>
      <c r="E1144">
        <f>IF($L1144="","",INDEX(Расчет!$D$2:$D$3001,$L1144))</f>
        <v/>
      </c>
      <c r="F1144">
        <f>IF($L1144="","",INDEX(Расчет!$E$2:$E$3001,$L1144))</f>
        <v/>
      </c>
      <c r="G1144">
        <f>IF($L1144="","",IFERROR(--LEFT(INDEX(Расчет!$C$2:$C$3001,$L1144),FIND("(",INDEX(Расчет!$C$2:$C$3001,$L1144))-1),IFERROR(--LEFT(INDEX(Расчет!$C$2:$C$3001,$L1144),1),"")))</f>
        <v/>
      </c>
      <c r="H1144">
        <f>IF($L1144="","",SUMIFS(Расчет!$G$2:$G$3001,Расчет!$I$2:$I$3001,$K1144,Расчет!$H$2:$H$3001,1))</f>
        <v/>
      </c>
      <c r="I1144">
        <f>IF($L1144="","",SUMIFS(Расчет!$G$2:$G$3001,Расчет!$I$2:$I$3001,$K1144,Расчет!$H$2:$H$3001,2))</f>
        <v/>
      </c>
      <c r="J1144">
        <f>IF($L1144="","",SUMIFS(Расчет!$G$2:$G$3001,Расчет!$I$2:$I$3001,$K1144,Расчет!$H$2:$H$3001,3))</f>
        <v/>
      </c>
      <c r="K1144">
        <f>IF($L1144="","",INDEX(Расчет!$I$2:$I$3001,$L1144))</f>
        <v/>
      </c>
      <c r="L1144">
        <f>IFERROR(MATCH(ROW()-1,Расчет!$J$2:$J$3001,0),"")</f>
        <v/>
      </c>
    </row>
    <row r="1145">
      <c r="A1145">
        <f>IF($L1145="","",B1145&amp;"."&amp;C1145&amp;"-"&amp;D1145&amp;"-"&amp;H1145&amp;"."&amp;I1145&amp;"."&amp;J1145)</f>
        <v/>
      </c>
      <c r="B1145">
        <f>IF($L1145="","",INDEX(Расчет!$A$2:$A$3001,$L1145))</f>
        <v/>
      </c>
      <c r="C1145">
        <f>IF($L1145="","",INDEX(Расчет!$B$2:$B$3001,$L1145))</f>
        <v/>
      </c>
      <c r="D1145">
        <f>IF($L1145="","",IF(ISNUMBER(FIND("(",INDEX(Расчет!$C$2:$C$3001,$L1145))),SUBSTITUTE(MID(INDEX(Расчет!$C$2:$C$3001,$L1145),FIND("(",INDEX(Расчет!$C$2:$C$3001,$L1145))+1,99),")",""),INDEX(Расчет!$C$2:$C$3001,$L1145)))</f>
        <v/>
      </c>
      <c r="E1145">
        <f>IF($L1145="","",INDEX(Расчет!$D$2:$D$3001,$L1145))</f>
        <v/>
      </c>
      <c r="F1145">
        <f>IF($L1145="","",INDEX(Расчет!$E$2:$E$3001,$L1145))</f>
        <v/>
      </c>
      <c r="G1145">
        <f>IF($L1145="","",IFERROR(--LEFT(INDEX(Расчет!$C$2:$C$3001,$L1145),FIND("(",INDEX(Расчет!$C$2:$C$3001,$L1145))-1),IFERROR(--LEFT(INDEX(Расчет!$C$2:$C$3001,$L1145),1),"")))</f>
        <v/>
      </c>
      <c r="H1145">
        <f>IF($L1145="","",SUMIFS(Расчет!$G$2:$G$3001,Расчет!$I$2:$I$3001,$K1145,Расчет!$H$2:$H$3001,1))</f>
        <v/>
      </c>
      <c r="I1145">
        <f>IF($L1145="","",SUMIFS(Расчет!$G$2:$G$3001,Расчет!$I$2:$I$3001,$K1145,Расчет!$H$2:$H$3001,2))</f>
        <v/>
      </c>
      <c r="J1145">
        <f>IF($L1145="","",SUMIFS(Расчет!$G$2:$G$3001,Расчет!$I$2:$I$3001,$K1145,Расчет!$H$2:$H$3001,3))</f>
        <v/>
      </c>
      <c r="K1145">
        <f>IF($L1145="","",INDEX(Расчет!$I$2:$I$3001,$L1145))</f>
        <v/>
      </c>
      <c r="L1145">
        <f>IFERROR(MATCH(ROW()-1,Расчет!$J$2:$J$3001,0),"")</f>
        <v/>
      </c>
    </row>
    <row r="1146">
      <c r="A1146">
        <f>IF($L1146="","",B1146&amp;"."&amp;C1146&amp;"-"&amp;D1146&amp;"-"&amp;H1146&amp;"."&amp;I1146&amp;"."&amp;J1146)</f>
        <v/>
      </c>
      <c r="B1146">
        <f>IF($L1146="","",INDEX(Расчет!$A$2:$A$3001,$L1146))</f>
        <v/>
      </c>
      <c r="C1146">
        <f>IF($L1146="","",INDEX(Расчет!$B$2:$B$3001,$L1146))</f>
        <v/>
      </c>
      <c r="D1146">
        <f>IF($L1146="","",IF(ISNUMBER(FIND("(",INDEX(Расчет!$C$2:$C$3001,$L1146))),SUBSTITUTE(MID(INDEX(Расчет!$C$2:$C$3001,$L1146),FIND("(",INDEX(Расчет!$C$2:$C$3001,$L1146))+1,99),")",""),INDEX(Расчет!$C$2:$C$3001,$L1146)))</f>
        <v/>
      </c>
      <c r="E1146">
        <f>IF($L1146="","",INDEX(Расчет!$D$2:$D$3001,$L1146))</f>
        <v/>
      </c>
      <c r="F1146">
        <f>IF($L1146="","",INDEX(Расчет!$E$2:$E$3001,$L1146))</f>
        <v/>
      </c>
      <c r="G1146">
        <f>IF($L1146="","",IFERROR(--LEFT(INDEX(Расчет!$C$2:$C$3001,$L1146),FIND("(",INDEX(Расчет!$C$2:$C$3001,$L1146))-1),IFERROR(--LEFT(INDEX(Расчет!$C$2:$C$3001,$L1146),1),"")))</f>
        <v/>
      </c>
      <c r="H1146">
        <f>IF($L1146="","",SUMIFS(Расчет!$G$2:$G$3001,Расчет!$I$2:$I$3001,$K1146,Расчет!$H$2:$H$3001,1))</f>
        <v/>
      </c>
      <c r="I1146">
        <f>IF($L1146="","",SUMIFS(Расчет!$G$2:$G$3001,Расчет!$I$2:$I$3001,$K1146,Расчет!$H$2:$H$3001,2))</f>
        <v/>
      </c>
      <c r="J1146">
        <f>IF($L1146="","",SUMIFS(Расчет!$G$2:$G$3001,Расчет!$I$2:$I$3001,$K1146,Расчет!$H$2:$H$3001,3))</f>
        <v/>
      </c>
      <c r="K1146">
        <f>IF($L1146="","",INDEX(Расчет!$I$2:$I$3001,$L1146))</f>
        <v/>
      </c>
      <c r="L1146">
        <f>IFERROR(MATCH(ROW()-1,Расчет!$J$2:$J$3001,0),"")</f>
        <v/>
      </c>
    </row>
    <row r="1147">
      <c r="A1147">
        <f>IF($L1147="","",B1147&amp;"."&amp;C1147&amp;"-"&amp;D1147&amp;"-"&amp;H1147&amp;"."&amp;I1147&amp;"."&amp;J1147)</f>
        <v/>
      </c>
      <c r="B1147">
        <f>IF($L1147="","",INDEX(Расчет!$A$2:$A$3001,$L1147))</f>
        <v/>
      </c>
      <c r="C1147">
        <f>IF($L1147="","",INDEX(Расчет!$B$2:$B$3001,$L1147))</f>
        <v/>
      </c>
      <c r="D1147">
        <f>IF($L1147="","",IF(ISNUMBER(FIND("(",INDEX(Расчет!$C$2:$C$3001,$L1147))),SUBSTITUTE(MID(INDEX(Расчет!$C$2:$C$3001,$L1147),FIND("(",INDEX(Расчет!$C$2:$C$3001,$L1147))+1,99),")",""),INDEX(Расчет!$C$2:$C$3001,$L1147)))</f>
        <v/>
      </c>
      <c r="E1147">
        <f>IF($L1147="","",INDEX(Расчет!$D$2:$D$3001,$L1147))</f>
        <v/>
      </c>
      <c r="F1147">
        <f>IF($L1147="","",INDEX(Расчет!$E$2:$E$3001,$L1147))</f>
        <v/>
      </c>
      <c r="G1147">
        <f>IF($L1147="","",IFERROR(--LEFT(INDEX(Расчет!$C$2:$C$3001,$L1147),FIND("(",INDEX(Расчет!$C$2:$C$3001,$L1147))-1),IFERROR(--LEFT(INDEX(Расчет!$C$2:$C$3001,$L1147),1),"")))</f>
        <v/>
      </c>
      <c r="H1147">
        <f>IF($L1147="","",SUMIFS(Расчет!$G$2:$G$3001,Расчет!$I$2:$I$3001,$K1147,Расчет!$H$2:$H$3001,1))</f>
        <v/>
      </c>
      <c r="I1147">
        <f>IF($L1147="","",SUMIFS(Расчет!$G$2:$G$3001,Расчет!$I$2:$I$3001,$K1147,Расчет!$H$2:$H$3001,2))</f>
        <v/>
      </c>
      <c r="J1147">
        <f>IF($L1147="","",SUMIFS(Расчет!$G$2:$G$3001,Расчет!$I$2:$I$3001,$K1147,Расчет!$H$2:$H$3001,3))</f>
        <v/>
      </c>
      <c r="K1147">
        <f>IF($L1147="","",INDEX(Расчет!$I$2:$I$3001,$L1147))</f>
        <v/>
      </c>
      <c r="L1147">
        <f>IFERROR(MATCH(ROW()-1,Расчет!$J$2:$J$3001,0),"")</f>
        <v/>
      </c>
    </row>
    <row r="1148">
      <c r="A1148">
        <f>IF($L1148="","",B1148&amp;"."&amp;C1148&amp;"-"&amp;D1148&amp;"-"&amp;H1148&amp;"."&amp;I1148&amp;"."&amp;J1148)</f>
        <v/>
      </c>
      <c r="B1148">
        <f>IF($L1148="","",INDEX(Расчет!$A$2:$A$3001,$L1148))</f>
        <v/>
      </c>
      <c r="C1148">
        <f>IF($L1148="","",INDEX(Расчет!$B$2:$B$3001,$L1148))</f>
        <v/>
      </c>
      <c r="D1148">
        <f>IF($L1148="","",IF(ISNUMBER(FIND("(",INDEX(Расчет!$C$2:$C$3001,$L1148))),SUBSTITUTE(MID(INDEX(Расчет!$C$2:$C$3001,$L1148),FIND("(",INDEX(Расчет!$C$2:$C$3001,$L1148))+1,99),")",""),INDEX(Расчет!$C$2:$C$3001,$L1148)))</f>
        <v/>
      </c>
      <c r="E1148">
        <f>IF($L1148="","",INDEX(Расчет!$D$2:$D$3001,$L1148))</f>
        <v/>
      </c>
      <c r="F1148">
        <f>IF($L1148="","",INDEX(Расчет!$E$2:$E$3001,$L1148))</f>
        <v/>
      </c>
      <c r="G1148">
        <f>IF($L1148="","",IFERROR(--LEFT(INDEX(Расчет!$C$2:$C$3001,$L1148),FIND("(",INDEX(Расчет!$C$2:$C$3001,$L1148))-1),IFERROR(--LEFT(INDEX(Расчет!$C$2:$C$3001,$L1148),1),"")))</f>
        <v/>
      </c>
      <c r="H1148">
        <f>IF($L1148="","",SUMIFS(Расчет!$G$2:$G$3001,Расчет!$I$2:$I$3001,$K1148,Расчет!$H$2:$H$3001,1))</f>
        <v/>
      </c>
      <c r="I1148">
        <f>IF($L1148="","",SUMIFS(Расчет!$G$2:$G$3001,Расчет!$I$2:$I$3001,$K1148,Расчет!$H$2:$H$3001,2))</f>
        <v/>
      </c>
      <c r="J1148">
        <f>IF($L1148="","",SUMIFS(Расчет!$G$2:$G$3001,Расчет!$I$2:$I$3001,$K1148,Расчет!$H$2:$H$3001,3))</f>
        <v/>
      </c>
      <c r="K1148">
        <f>IF($L1148="","",INDEX(Расчет!$I$2:$I$3001,$L1148))</f>
        <v/>
      </c>
      <c r="L1148">
        <f>IFERROR(MATCH(ROW()-1,Расчет!$J$2:$J$3001,0),"")</f>
        <v/>
      </c>
    </row>
    <row r="1149">
      <c r="A1149">
        <f>IF($L1149="","",B1149&amp;"."&amp;C1149&amp;"-"&amp;D1149&amp;"-"&amp;H1149&amp;"."&amp;I1149&amp;"."&amp;J1149)</f>
        <v/>
      </c>
      <c r="B1149">
        <f>IF($L1149="","",INDEX(Расчет!$A$2:$A$3001,$L1149))</f>
        <v/>
      </c>
      <c r="C1149">
        <f>IF($L1149="","",INDEX(Расчет!$B$2:$B$3001,$L1149))</f>
        <v/>
      </c>
      <c r="D1149">
        <f>IF($L1149="","",IF(ISNUMBER(FIND("(",INDEX(Расчет!$C$2:$C$3001,$L1149))),SUBSTITUTE(MID(INDEX(Расчет!$C$2:$C$3001,$L1149),FIND("(",INDEX(Расчет!$C$2:$C$3001,$L1149))+1,99),")",""),INDEX(Расчет!$C$2:$C$3001,$L1149)))</f>
        <v/>
      </c>
      <c r="E1149">
        <f>IF($L1149="","",INDEX(Расчет!$D$2:$D$3001,$L1149))</f>
        <v/>
      </c>
      <c r="F1149">
        <f>IF($L1149="","",INDEX(Расчет!$E$2:$E$3001,$L1149))</f>
        <v/>
      </c>
      <c r="G1149">
        <f>IF($L1149="","",IFERROR(--LEFT(INDEX(Расчет!$C$2:$C$3001,$L1149),FIND("(",INDEX(Расчет!$C$2:$C$3001,$L1149))-1),IFERROR(--LEFT(INDEX(Расчет!$C$2:$C$3001,$L1149),1),"")))</f>
        <v/>
      </c>
      <c r="H1149">
        <f>IF($L1149="","",SUMIFS(Расчет!$G$2:$G$3001,Расчет!$I$2:$I$3001,$K1149,Расчет!$H$2:$H$3001,1))</f>
        <v/>
      </c>
      <c r="I1149">
        <f>IF($L1149="","",SUMIFS(Расчет!$G$2:$G$3001,Расчет!$I$2:$I$3001,$K1149,Расчет!$H$2:$H$3001,2))</f>
        <v/>
      </c>
      <c r="J1149">
        <f>IF($L1149="","",SUMIFS(Расчет!$G$2:$G$3001,Расчет!$I$2:$I$3001,$K1149,Расчет!$H$2:$H$3001,3))</f>
        <v/>
      </c>
      <c r="K1149">
        <f>IF($L1149="","",INDEX(Расчет!$I$2:$I$3001,$L1149))</f>
        <v/>
      </c>
      <c r="L1149">
        <f>IFERROR(MATCH(ROW()-1,Расчет!$J$2:$J$3001,0),"")</f>
        <v/>
      </c>
    </row>
    <row r="1150">
      <c r="A1150">
        <f>IF($L1150="","",B1150&amp;"."&amp;C1150&amp;"-"&amp;D1150&amp;"-"&amp;H1150&amp;"."&amp;I1150&amp;"."&amp;J1150)</f>
        <v/>
      </c>
      <c r="B1150">
        <f>IF($L1150="","",INDEX(Расчет!$A$2:$A$3001,$L1150))</f>
        <v/>
      </c>
      <c r="C1150">
        <f>IF($L1150="","",INDEX(Расчет!$B$2:$B$3001,$L1150))</f>
        <v/>
      </c>
      <c r="D1150">
        <f>IF($L1150="","",IF(ISNUMBER(FIND("(",INDEX(Расчет!$C$2:$C$3001,$L1150))),SUBSTITUTE(MID(INDEX(Расчет!$C$2:$C$3001,$L1150),FIND("(",INDEX(Расчет!$C$2:$C$3001,$L1150))+1,99),")",""),INDEX(Расчет!$C$2:$C$3001,$L1150)))</f>
        <v/>
      </c>
      <c r="E1150">
        <f>IF($L1150="","",INDEX(Расчет!$D$2:$D$3001,$L1150))</f>
        <v/>
      </c>
      <c r="F1150">
        <f>IF($L1150="","",INDEX(Расчет!$E$2:$E$3001,$L1150))</f>
        <v/>
      </c>
      <c r="G1150">
        <f>IF($L1150="","",IFERROR(--LEFT(INDEX(Расчет!$C$2:$C$3001,$L1150),FIND("(",INDEX(Расчет!$C$2:$C$3001,$L1150))-1),IFERROR(--LEFT(INDEX(Расчет!$C$2:$C$3001,$L1150),1),"")))</f>
        <v/>
      </c>
      <c r="H1150">
        <f>IF($L1150="","",SUMIFS(Расчет!$G$2:$G$3001,Расчет!$I$2:$I$3001,$K1150,Расчет!$H$2:$H$3001,1))</f>
        <v/>
      </c>
      <c r="I1150">
        <f>IF($L1150="","",SUMIFS(Расчет!$G$2:$G$3001,Расчет!$I$2:$I$3001,$K1150,Расчет!$H$2:$H$3001,2))</f>
        <v/>
      </c>
      <c r="J1150">
        <f>IF($L1150="","",SUMIFS(Расчет!$G$2:$G$3001,Расчет!$I$2:$I$3001,$K1150,Расчет!$H$2:$H$3001,3))</f>
        <v/>
      </c>
      <c r="K1150">
        <f>IF($L1150="","",INDEX(Расчет!$I$2:$I$3001,$L1150))</f>
        <v/>
      </c>
      <c r="L1150">
        <f>IFERROR(MATCH(ROW()-1,Расчет!$J$2:$J$3001,0),"")</f>
        <v/>
      </c>
    </row>
    <row r="1151">
      <c r="A1151">
        <f>IF($L1151="","",B1151&amp;"."&amp;C1151&amp;"-"&amp;D1151&amp;"-"&amp;H1151&amp;"."&amp;I1151&amp;"."&amp;J1151)</f>
        <v/>
      </c>
      <c r="B1151">
        <f>IF($L1151="","",INDEX(Расчет!$A$2:$A$3001,$L1151))</f>
        <v/>
      </c>
      <c r="C1151">
        <f>IF($L1151="","",INDEX(Расчет!$B$2:$B$3001,$L1151))</f>
        <v/>
      </c>
      <c r="D1151">
        <f>IF($L1151="","",IF(ISNUMBER(FIND("(",INDEX(Расчет!$C$2:$C$3001,$L1151))),SUBSTITUTE(MID(INDEX(Расчет!$C$2:$C$3001,$L1151),FIND("(",INDEX(Расчет!$C$2:$C$3001,$L1151))+1,99),")",""),INDEX(Расчет!$C$2:$C$3001,$L1151)))</f>
        <v/>
      </c>
      <c r="E1151">
        <f>IF($L1151="","",INDEX(Расчет!$D$2:$D$3001,$L1151))</f>
        <v/>
      </c>
      <c r="F1151">
        <f>IF($L1151="","",INDEX(Расчет!$E$2:$E$3001,$L1151))</f>
        <v/>
      </c>
      <c r="G1151">
        <f>IF($L1151="","",IFERROR(--LEFT(INDEX(Расчет!$C$2:$C$3001,$L1151),FIND("(",INDEX(Расчет!$C$2:$C$3001,$L1151))-1),IFERROR(--LEFT(INDEX(Расчет!$C$2:$C$3001,$L1151),1),"")))</f>
        <v/>
      </c>
      <c r="H1151">
        <f>IF($L1151="","",SUMIFS(Расчет!$G$2:$G$3001,Расчет!$I$2:$I$3001,$K1151,Расчет!$H$2:$H$3001,1))</f>
        <v/>
      </c>
      <c r="I1151">
        <f>IF($L1151="","",SUMIFS(Расчет!$G$2:$G$3001,Расчет!$I$2:$I$3001,$K1151,Расчет!$H$2:$H$3001,2))</f>
        <v/>
      </c>
      <c r="J1151">
        <f>IF($L1151="","",SUMIFS(Расчет!$G$2:$G$3001,Расчет!$I$2:$I$3001,$K1151,Расчет!$H$2:$H$3001,3))</f>
        <v/>
      </c>
      <c r="K1151">
        <f>IF($L1151="","",INDEX(Расчет!$I$2:$I$3001,$L1151))</f>
        <v/>
      </c>
      <c r="L1151">
        <f>IFERROR(MATCH(ROW()-1,Расчет!$J$2:$J$3001,0),"")</f>
        <v/>
      </c>
    </row>
    <row r="1152">
      <c r="A1152">
        <f>IF($L1152="","",B1152&amp;"."&amp;C1152&amp;"-"&amp;D1152&amp;"-"&amp;H1152&amp;"."&amp;I1152&amp;"."&amp;J1152)</f>
        <v/>
      </c>
      <c r="B1152">
        <f>IF($L1152="","",INDEX(Расчет!$A$2:$A$3001,$L1152))</f>
        <v/>
      </c>
      <c r="C1152">
        <f>IF($L1152="","",INDEX(Расчет!$B$2:$B$3001,$L1152))</f>
        <v/>
      </c>
      <c r="D1152">
        <f>IF($L1152="","",IF(ISNUMBER(FIND("(",INDEX(Расчет!$C$2:$C$3001,$L1152))),SUBSTITUTE(MID(INDEX(Расчет!$C$2:$C$3001,$L1152),FIND("(",INDEX(Расчет!$C$2:$C$3001,$L1152))+1,99),")",""),INDEX(Расчет!$C$2:$C$3001,$L1152)))</f>
        <v/>
      </c>
      <c r="E1152">
        <f>IF($L1152="","",INDEX(Расчет!$D$2:$D$3001,$L1152))</f>
        <v/>
      </c>
      <c r="F1152">
        <f>IF($L1152="","",INDEX(Расчет!$E$2:$E$3001,$L1152))</f>
        <v/>
      </c>
      <c r="G1152">
        <f>IF($L1152="","",IFERROR(--LEFT(INDEX(Расчет!$C$2:$C$3001,$L1152),FIND("(",INDEX(Расчет!$C$2:$C$3001,$L1152))-1),IFERROR(--LEFT(INDEX(Расчет!$C$2:$C$3001,$L1152),1),"")))</f>
        <v/>
      </c>
      <c r="H1152">
        <f>IF($L1152="","",SUMIFS(Расчет!$G$2:$G$3001,Расчет!$I$2:$I$3001,$K1152,Расчет!$H$2:$H$3001,1))</f>
        <v/>
      </c>
      <c r="I1152">
        <f>IF($L1152="","",SUMIFS(Расчет!$G$2:$G$3001,Расчет!$I$2:$I$3001,$K1152,Расчет!$H$2:$H$3001,2))</f>
        <v/>
      </c>
      <c r="J1152">
        <f>IF($L1152="","",SUMIFS(Расчет!$G$2:$G$3001,Расчет!$I$2:$I$3001,$K1152,Расчет!$H$2:$H$3001,3))</f>
        <v/>
      </c>
      <c r="K1152">
        <f>IF($L1152="","",INDEX(Расчет!$I$2:$I$3001,$L1152))</f>
        <v/>
      </c>
      <c r="L1152">
        <f>IFERROR(MATCH(ROW()-1,Расчет!$J$2:$J$3001,0),"")</f>
        <v/>
      </c>
    </row>
    <row r="1153">
      <c r="A1153">
        <f>IF($L1153="","",B1153&amp;"."&amp;C1153&amp;"-"&amp;D1153&amp;"-"&amp;H1153&amp;"."&amp;I1153&amp;"."&amp;J1153)</f>
        <v/>
      </c>
      <c r="B1153">
        <f>IF($L1153="","",INDEX(Расчет!$A$2:$A$3001,$L1153))</f>
        <v/>
      </c>
      <c r="C1153">
        <f>IF($L1153="","",INDEX(Расчет!$B$2:$B$3001,$L1153))</f>
        <v/>
      </c>
      <c r="D1153">
        <f>IF($L1153="","",IF(ISNUMBER(FIND("(",INDEX(Расчет!$C$2:$C$3001,$L1153))),SUBSTITUTE(MID(INDEX(Расчет!$C$2:$C$3001,$L1153),FIND("(",INDEX(Расчет!$C$2:$C$3001,$L1153))+1,99),")",""),INDEX(Расчет!$C$2:$C$3001,$L1153)))</f>
        <v/>
      </c>
      <c r="E1153">
        <f>IF($L1153="","",INDEX(Расчет!$D$2:$D$3001,$L1153))</f>
        <v/>
      </c>
      <c r="F1153">
        <f>IF($L1153="","",INDEX(Расчет!$E$2:$E$3001,$L1153))</f>
        <v/>
      </c>
      <c r="G1153">
        <f>IF($L1153="","",IFERROR(--LEFT(INDEX(Расчет!$C$2:$C$3001,$L1153),FIND("(",INDEX(Расчет!$C$2:$C$3001,$L1153))-1),IFERROR(--LEFT(INDEX(Расчет!$C$2:$C$3001,$L1153),1),"")))</f>
        <v/>
      </c>
      <c r="H1153">
        <f>IF($L1153="","",SUMIFS(Расчет!$G$2:$G$3001,Расчет!$I$2:$I$3001,$K1153,Расчет!$H$2:$H$3001,1))</f>
        <v/>
      </c>
      <c r="I1153">
        <f>IF($L1153="","",SUMIFS(Расчет!$G$2:$G$3001,Расчет!$I$2:$I$3001,$K1153,Расчет!$H$2:$H$3001,2))</f>
        <v/>
      </c>
      <c r="J1153">
        <f>IF($L1153="","",SUMIFS(Расчет!$G$2:$G$3001,Расчет!$I$2:$I$3001,$K1153,Расчет!$H$2:$H$3001,3))</f>
        <v/>
      </c>
      <c r="K1153">
        <f>IF($L1153="","",INDEX(Расчет!$I$2:$I$3001,$L1153))</f>
        <v/>
      </c>
      <c r="L1153">
        <f>IFERROR(MATCH(ROW()-1,Расчет!$J$2:$J$3001,0),"")</f>
        <v/>
      </c>
    </row>
    <row r="1154">
      <c r="A1154">
        <f>IF($L1154="","",B1154&amp;"."&amp;C1154&amp;"-"&amp;D1154&amp;"-"&amp;H1154&amp;"."&amp;I1154&amp;"."&amp;J1154)</f>
        <v/>
      </c>
      <c r="B1154">
        <f>IF($L1154="","",INDEX(Расчет!$A$2:$A$3001,$L1154))</f>
        <v/>
      </c>
      <c r="C1154">
        <f>IF($L1154="","",INDEX(Расчет!$B$2:$B$3001,$L1154))</f>
        <v/>
      </c>
      <c r="D1154">
        <f>IF($L1154="","",IF(ISNUMBER(FIND("(",INDEX(Расчет!$C$2:$C$3001,$L1154))),SUBSTITUTE(MID(INDEX(Расчет!$C$2:$C$3001,$L1154),FIND("(",INDEX(Расчет!$C$2:$C$3001,$L1154))+1,99),")",""),INDEX(Расчет!$C$2:$C$3001,$L1154)))</f>
        <v/>
      </c>
      <c r="E1154">
        <f>IF($L1154="","",INDEX(Расчет!$D$2:$D$3001,$L1154))</f>
        <v/>
      </c>
      <c r="F1154">
        <f>IF($L1154="","",INDEX(Расчет!$E$2:$E$3001,$L1154))</f>
        <v/>
      </c>
      <c r="G1154">
        <f>IF($L1154="","",IFERROR(--LEFT(INDEX(Расчет!$C$2:$C$3001,$L1154),FIND("(",INDEX(Расчет!$C$2:$C$3001,$L1154))-1),IFERROR(--LEFT(INDEX(Расчет!$C$2:$C$3001,$L1154),1),"")))</f>
        <v/>
      </c>
      <c r="H1154">
        <f>IF($L1154="","",SUMIFS(Расчет!$G$2:$G$3001,Расчет!$I$2:$I$3001,$K1154,Расчет!$H$2:$H$3001,1))</f>
        <v/>
      </c>
      <c r="I1154">
        <f>IF($L1154="","",SUMIFS(Расчет!$G$2:$G$3001,Расчет!$I$2:$I$3001,$K1154,Расчет!$H$2:$H$3001,2))</f>
        <v/>
      </c>
      <c r="J1154">
        <f>IF($L1154="","",SUMIFS(Расчет!$G$2:$G$3001,Расчет!$I$2:$I$3001,$K1154,Расчет!$H$2:$H$3001,3))</f>
        <v/>
      </c>
      <c r="K1154">
        <f>IF($L1154="","",INDEX(Расчет!$I$2:$I$3001,$L1154))</f>
        <v/>
      </c>
      <c r="L1154">
        <f>IFERROR(MATCH(ROW()-1,Расчет!$J$2:$J$3001,0),"")</f>
        <v/>
      </c>
    </row>
    <row r="1155">
      <c r="A1155">
        <f>IF($L1155="","",B1155&amp;"."&amp;C1155&amp;"-"&amp;D1155&amp;"-"&amp;H1155&amp;"."&amp;I1155&amp;"."&amp;J1155)</f>
        <v/>
      </c>
      <c r="B1155">
        <f>IF($L1155="","",INDEX(Расчет!$A$2:$A$3001,$L1155))</f>
        <v/>
      </c>
      <c r="C1155">
        <f>IF($L1155="","",INDEX(Расчет!$B$2:$B$3001,$L1155))</f>
        <v/>
      </c>
      <c r="D1155">
        <f>IF($L1155="","",IF(ISNUMBER(FIND("(",INDEX(Расчет!$C$2:$C$3001,$L1155))),SUBSTITUTE(MID(INDEX(Расчет!$C$2:$C$3001,$L1155),FIND("(",INDEX(Расчет!$C$2:$C$3001,$L1155))+1,99),")",""),INDEX(Расчет!$C$2:$C$3001,$L1155)))</f>
        <v/>
      </c>
      <c r="E1155">
        <f>IF($L1155="","",INDEX(Расчет!$D$2:$D$3001,$L1155))</f>
        <v/>
      </c>
      <c r="F1155">
        <f>IF($L1155="","",INDEX(Расчет!$E$2:$E$3001,$L1155))</f>
        <v/>
      </c>
      <c r="G1155">
        <f>IF($L1155="","",IFERROR(--LEFT(INDEX(Расчет!$C$2:$C$3001,$L1155),FIND("(",INDEX(Расчет!$C$2:$C$3001,$L1155))-1),IFERROR(--LEFT(INDEX(Расчет!$C$2:$C$3001,$L1155),1),"")))</f>
        <v/>
      </c>
      <c r="H1155">
        <f>IF($L1155="","",SUMIFS(Расчет!$G$2:$G$3001,Расчет!$I$2:$I$3001,$K1155,Расчет!$H$2:$H$3001,1))</f>
        <v/>
      </c>
      <c r="I1155">
        <f>IF($L1155="","",SUMIFS(Расчет!$G$2:$G$3001,Расчет!$I$2:$I$3001,$K1155,Расчет!$H$2:$H$3001,2))</f>
        <v/>
      </c>
      <c r="J1155">
        <f>IF($L1155="","",SUMIFS(Расчет!$G$2:$G$3001,Расчет!$I$2:$I$3001,$K1155,Расчет!$H$2:$H$3001,3))</f>
        <v/>
      </c>
      <c r="K1155">
        <f>IF($L1155="","",INDEX(Расчет!$I$2:$I$3001,$L1155))</f>
        <v/>
      </c>
      <c r="L1155">
        <f>IFERROR(MATCH(ROW()-1,Расчет!$J$2:$J$3001,0),"")</f>
        <v/>
      </c>
    </row>
    <row r="1156">
      <c r="A1156">
        <f>IF($L1156="","",B1156&amp;"."&amp;C1156&amp;"-"&amp;D1156&amp;"-"&amp;H1156&amp;"."&amp;I1156&amp;"."&amp;J1156)</f>
        <v/>
      </c>
      <c r="B1156">
        <f>IF($L1156="","",INDEX(Расчет!$A$2:$A$3001,$L1156))</f>
        <v/>
      </c>
      <c r="C1156">
        <f>IF($L1156="","",INDEX(Расчет!$B$2:$B$3001,$L1156))</f>
        <v/>
      </c>
      <c r="D1156">
        <f>IF($L1156="","",IF(ISNUMBER(FIND("(",INDEX(Расчет!$C$2:$C$3001,$L1156))),SUBSTITUTE(MID(INDEX(Расчет!$C$2:$C$3001,$L1156),FIND("(",INDEX(Расчет!$C$2:$C$3001,$L1156))+1,99),")",""),INDEX(Расчет!$C$2:$C$3001,$L1156)))</f>
        <v/>
      </c>
      <c r="E1156">
        <f>IF($L1156="","",INDEX(Расчет!$D$2:$D$3001,$L1156))</f>
        <v/>
      </c>
      <c r="F1156">
        <f>IF($L1156="","",INDEX(Расчет!$E$2:$E$3001,$L1156))</f>
        <v/>
      </c>
      <c r="G1156">
        <f>IF($L1156="","",IFERROR(--LEFT(INDEX(Расчет!$C$2:$C$3001,$L1156),FIND("(",INDEX(Расчет!$C$2:$C$3001,$L1156))-1),IFERROR(--LEFT(INDEX(Расчет!$C$2:$C$3001,$L1156),1),"")))</f>
        <v/>
      </c>
      <c r="H1156">
        <f>IF($L1156="","",SUMIFS(Расчет!$G$2:$G$3001,Расчет!$I$2:$I$3001,$K1156,Расчет!$H$2:$H$3001,1))</f>
        <v/>
      </c>
      <c r="I1156">
        <f>IF($L1156="","",SUMIFS(Расчет!$G$2:$G$3001,Расчет!$I$2:$I$3001,$K1156,Расчет!$H$2:$H$3001,2))</f>
        <v/>
      </c>
      <c r="J1156">
        <f>IF($L1156="","",SUMIFS(Расчет!$G$2:$G$3001,Расчет!$I$2:$I$3001,$K1156,Расчет!$H$2:$H$3001,3))</f>
        <v/>
      </c>
      <c r="K1156">
        <f>IF($L1156="","",INDEX(Расчет!$I$2:$I$3001,$L1156))</f>
        <v/>
      </c>
      <c r="L1156">
        <f>IFERROR(MATCH(ROW()-1,Расчет!$J$2:$J$3001,0),"")</f>
        <v/>
      </c>
    </row>
    <row r="1157">
      <c r="A1157">
        <f>IF($L1157="","",B1157&amp;"."&amp;C1157&amp;"-"&amp;D1157&amp;"-"&amp;H1157&amp;"."&amp;I1157&amp;"."&amp;J1157)</f>
        <v/>
      </c>
      <c r="B1157">
        <f>IF($L1157="","",INDEX(Расчет!$A$2:$A$3001,$L1157))</f>
        <v/>
      </c>
      <c r="C1157">
        <f>IF($L1157="","",INDEX(Расчет!$B$2:$B$3001,$L1157))</f>
        <v/>
      </c>
      <c r="D1157">
        <f>IF($L1157="","",IF(ISNUMBER(FIND("(",INDEX(Расчет!$C$2:$C$3001,$L1157))),SUBSTITUTE(MID(INDEX(Расчет!$C$2:$C$3001,$L1157),FIND("(",INDEX(Расчет!$C$2:$C$3001,$L1157))+1,99),")",""),INDEX(Расчет!$C$2:$C$3001,$L1157)))</f>
        <v/>
      </c>
      <c r="E1157">
        <f>IF($L1157="","",INDEX(Расчет!$D$2:$D$3001,$L1157))</f>
        <v/>
      </c>
      <c r="F1157">
        <f>IF($L1157="","",INDEX(Расчет!$E$2:$E$3001,$L1157))</f>
        <v/>
      </c>
      <c r="G1157">
        <f>IF($L1157="","",IFERROR(--LEFT(INDEX(Расчет!$C$2:$C$3001,$L1157),FIND("(",INDEX(Расчет!$C$2:$C$3001,$L1157))-1),IFERROR(--LEFT(INDEX(Расчет!$C$2:$C$3001,$L1157),1),"")))</f>
        <v/>
      </c>
      <c r="H1157">
        <f>IF($L1157="","",SUMIFS(Расчет!$G$2:$G$3001,Расчет!$I$2:$I$3001,$K1157,Расчет!$H$2:$H$3001,1))</f>
        <v/>
      </c>
      <c r="I1157">
        <f>IF($L1157="","",SUMIFS(Расчет!$G$2:$G$3001,Расчет!$I$2:$I$3001,$K1157,Расчет!$H$2:$H$3001,2))</f>
        <v/>
      </c>
      <c r="J1157">
        <f>IF($L1157="","",SUMIFS(Расчет!$G$2:$G$3001,Расчет!$I$2:$I$3001,$K1157,Расчет!$H$2:$H$3001,3))</f>
        <v/>
      </c>
      <c r="K1157">
        <f>IF($L1157="","",INDEX(Расчет!$I$2:$I$3001,$L1157))</f>
        <v/>
      </c>
      <c r="L1157">
        <f>IFERROR(MATCH(ROW()-1,Расчет!$J$2:$J$3001,0),"")</f>
        <v/>
      </c>
    </row>
    <row r="1158">
      <c r="A1158">
        <f>IF($L1158="","",B1158&amp;"."&amp;C1158&amp;"-"&amp;D1158&amp;"-"&amp;H1158&amp;"."&amp;I1158&amp;"."&amp;J1158)</f>
        <v/>
      </c>
      <c r="B1158">
        <f>IF($L1158="","",INDEX(Расчет!$A$2:$A$3001,$L1158))</f>
        <v/>
      </c>
      <c r="C1158">
        <f>IF($L1158="","",INDEX(Расчет!$B$2:$B$3001,$L1158))</f>
        <v/>
      </c>
      <c r="D1158">
        <f>IF($L1158="","",IF(ISNUMBER(FIND("(",INDEX(Расчет!$C$2:$C$3001,$L1158))),SUBSTITUTE(MID(INDEX(Расчет!$C$2:$C$3001,$L1158),FIND("(",INDEX(Расчет!$C$2:$C$3001,$L1158))+1,99),")",""),INDEX(Расчет!$C$2:$C$3001,$L1158)))</f>
        <v/>
      </c>
      <c r="E1158">
        <f>IF($L1158="","",INDEX(Расчет!$D$2:$D$3001,$L1158))</f>
        <v/>
      </c>
      <c r="F1158">
        <f>IF($L1158="","",INDEX(Расчет!$E$2:$E$3001,$L1158))</f>
        <v/>
      </c>
      <c r="G1158">
        <f>IF($L1158="","",IFERROR(--LEFT(INDEX(Расчет!$C$2:$C$3001,$L1158),FIND("(",INDEX(Расчет!$C$2:$C$3001,$L1158))-1),IFERROR(--LEFT(INDEX(Расчет!$C$2:$C$3001,$L1158),1),"")))</f>
        <v/>
      </c>
      <c r="H1158">
        <f>IF($L1158="","",SUMIFS(Расчет!$G$2:$G$3001,Расчет!$I$2:$I$3001,$K1158,Расчет!$H$2:$H$3001,1))</f>
        <v/>
      </c>
      <c r="I1158">
        <f>IF($L1158="","",SUMIFS(Расчет!$G$2:$G$3001,Расчет!$I$2:$I$3001,$K1158,Расчет!$H$2:$H$3001,2))</f>
        <v/>
      </c>
      <c r="J1158">
        <f>IF($L1158="","",SUMIFS(Расчет!$G$2:$G$3001,Расчет!$I$2:$I$3001,$K1158,Расчет!$H$2:$H$3001,3))</f>
        <v/>
      </c>
      <c r="K1158">
        <f>IF($L1158="","",INDEX(Расчет!$I$2:$I$3001,$L1158))</f>
        <v/>
      </c>
      <c r="L1158">
        <f>IFERROR(MATCH(ROW()-1,Расчет!$J$2:$J$3001,0),"")</f>
        <v/>
      </c>
    </row>
    <row r="1159">
      <c r="A1159">
        <f>IF($L1159="","",B1159&amp;"."&amp;C1159&amp;"-"&amp;D1159&amp;"-"&amp;H1159&amp;"."&amp;I1159&amp;"."&amp;J1159)</f>
        <v/>
      </c>
      <c r="B1159">
        <f>IF($L1159="","",INDEX(Расчет!$A$2:$A$3001,$L1159))</f>
        <v/>
      </c>
      <c r="C1159">
        <f>IF($L1159="","",INDEX(Расчет!$B$2:$B$3001,$L1159))</f>
        <v/>
      </c>
      <c r="D1159">
        <f>IF($L1159="","",IF(ISNUMBER(FIND("(",INDEX(Расчет!$C$2:$C$3001,$L1159))),SUBSTITUTE(MID(INDEX(Расчет!$C$2:$C$3001,$L1159),FIND("(",INDEX(Расчет!$C$2:$C$3001,$L1159))+1,99),")",""),INDEX(Расчет!$C$2:$C$3001,$L1159)))</f>
        <v/>
      </c>
      <c r="E1159">
        <f>IF($L1159="","",INDEX(Расчет!$D$2:$D$3001,$L1159))</f>
        <v/>
      </c>
      <c r="F1159">
        <f>IF($L1159="","",INDEX(Расчет!$E$2:$E$3001,$L1159))</f>
        <v/>
      </c>
      <c r="G1159">
        <f>IF($L1159="","",IFERROR(--LEFT(INDEX(Расчет!$C$2:$C$3001,$L1159),FIND("(",INDEX(Расчет!$C$2:$C$3001,$L1159))-1),IFERROR(--LEFT(INDEX(Расчет!$C$2:$C$3001,$L1159),1),"")))</f>
        <v/>
      </c>
      <c r="H1159">
        <f>IF($L1159="","",SUMIFS(Расчет!$G$2:$G$3001,Расчет!$I$2:$I$3001,$K1159,Расчет!$H$2:$H$3001,1))</f>
        <v/>
      </c>
      <c r="I1159">
        <f>IF($L1159="","",SUMIFS(Расчет!$G$2:$G$3001,Расчет!$I$2:$I$3001,$K1159,Расчет!$H$2:$H$3001,2))</f>
        <v/>
      </c>
      <c r="J1159">
        <f>IF($L1159="","",SUMIFS(Расчет!$G$2:$G$3001,Расчет!$I$2:$I$3001,$K1159,Расчет!$H$2:$H$3001,3))</f>
        <v/>
      </c>
      <c r="K1159">
        <f>IF($L1159="","",INDEX(Расчет!$I$2:$I$3001,$L1159))</f>
        <v/>
      </c>
      <c r="L1159">
        <f>IFERROR(MATCH(ROW()-1,Расчет!$J$2:$J$3001,0),"")</f>
        <v/>
      </c>
    </row>
    <row r="1160">
      <c r="A1160">
        <f>IF($L1160="","",B1160&amp;"."&amp;C1160&amp;"-"&amp;D1160&amp;"-"&amp;H1160&amp;"."&amp;I1160&amp;"."&amp;J1160)</f>
        <v/>
      </c>
      <c r="B1160">
        <f>IF($L1160="","",INDEX(Расчет!$A$2:$A$3001,$L1160))</f>
        <v/>
      </c>
      <c r="C1160">
        <f>IF($L1160="","",INDEX(Расчет!$B$2:$B$3001,$L1160))</f>
        <v/>
      </c>
      <c r="D1160">
        <f>IF($L1160="","",IF(ISNUMBER(FIND("(",INDEX(Расчет!$C$2:$C$3001,$L1160))),SUBSTITUTE(MID(INDEX(Расчет!$C$2:$C$3001,$L1160),FIND("(",INDEX(Расчет!$C$2:$C$3001,$L1160))+1,99),")",""),INDEX(Расчет!$C$2:$C$3001,$L1160)))</f>
        <v/>
      </c>
      <c r="E1160">
        <f>IF($L1160="","",INDEX(Расчет!$D$2:$D$3001,$L1160))</f>
        <v/>
      </c>
      <c r="F1160">
        <f>IF($L1160="","",INDEX(Расчет!$E$2:$E$3001,$L1160))</f>
        <v/>
      </c>
      <c r="G1160">
        <f>IF($L1160="","",IFERROR(--LEFT(INDEX(Расчет!$C$2:$C$3001,$L1160),FIND("(",INDEX(Расчет!$C$2:$C$3001,$L1160))-1),IFERROR(--LEFT(INDEX(Расчет!$C$2:$C$3001,$L1160),1),"")))</f>
        <v/>
      </c>
      <c r="H1160">
        <f>IF($L1160="","",SUMIFS(Расчет!$G$2:$G$3001,Расчет!$I$2:$I$3001,$K1160,Расчет!$H$2:$H$3001,1))</f>
        <v/>
      </c>
      <c r="I1160">
        <f>IF($L1160="","",SUMIFS(Расчет!$G$2:$G$3001,Расчет!$I$2:$I$3001,$K1160,Расчет!$H$2:$H$3001,2))</f>
        <v/>
      </c>
      <c r="J1160">
        <f>IF($L1160="","",SUMIFS(Расчет!$G$2:$G$3001,Расчет!$I$2:$I$3001,$K1160,Расчет!$H$2:$H$3001,3))</f>
        <v/>
      </c>
      <c r="K1160">
        <f>IF($L1160="","",INDEX(Расчет!$I$2:$I$3001,$L1160))</f>
        <v/>
      </c>
      <c r="L1160">
        <f>IFERROR(MATCH(ROW()-1,Расчет!$J$2:$J$3001,0),"")</f>
        <v/>
      </c>
    </row>
    <row r="1161">
      <c r="A1161">
        <f>IF($L1161="","",B1161&amp;"."&amp;C1161&amp;"-"&amp;D1161&amp;"-"&amp;H1161&amp;"."&amp;I1161&amp;"."&amp;J1161)</f>
        <v/>
      </c>
      <c r="B1161">
        <f>IF($L1161="","",INDEX(Расчет!$A$2:$A$3001,$L1161))</f>
        <v/>
      </c>
      <c r="C1161">
        <f>IF($L1161="","",INDEX(Расчет!$B$2:$B$3001,$L1161))</f>
        <v/>
      </c>
      <c r="D1161">
        <f>IF($L1161="","",IF(ISNUMBER(FIND("(",INDEX(Расчет!$C$2:$C$3001,$L1161))),SUBSTITUTE(MID(INDEX(Расчет!$C$2:$C$3001,$L1161),FIND("(",INDEX(Расчет!$C$2:$C$3001,$L1161))+1,99),")",""),INDEX(Расчет!$C$2:$C$3001,$L1161)))</f>
        <v/>
      </c>
      <c r="E1161">
        <f>IF($L1161="","",INDEX(Расчет!$D$2:$D$3001,$L1161))</f>
        <v/>
      </c>
      <c r="F1161">
        <f>IF($L1161="","",INDEX(Расчет!$E$2:$E$3001,$L1161))</f>
        <v/>
      </c>
      <c r="G1161">
        <f>IF($L1161="","",IFERROR(--LEFT(INDEX(Расчет!$C$2:$C$3001,$L1161),FIND("(",INDEX(Расчет!$C$2:$C$3001,$L1161))-1),IFERROR(--LEFT(INDEX(Расчет!$C$2:$C$3001,$L1161),1),"")))</f>
        <v/>
      </c>
      <c r="H1161">
        <f>IF($L1161="","",SUMIFS(Расчет!$G$2:$G$3001,Расчет!$I$2:$I$3001,$K1161,Расчет!$H$2:$H$3001,1))</f>
        <v/>
      </c>
      <c r="I1161">
        <f>IF($L1161="","",SUMIFS(Расчет!$G$2:$G$3001,Расчет!$I$2:$I$3001,$K1161,Расчет!$H$2:$H$3001,2))</f>
        <v/>
      </c>
      <c r="J1161">
        <f>IF($L1161="","",SUMIFS(Расчет!$G$2:$G$3001,Расчет!$I$2:$I$3001,$K1161,Расчет!$H$2:$H$3001,3))</f>
        <v/>
      </c>
      <c r="K1161">
        <f>IF($L1161="","",INDEX(Расчет!$I$2:$I$3001,$L1161))</f>
        <v/>
      </c>
      <c r="L1161">
        <f>IFERROR(MATCH(ROW()-1,Расчет!$J$2:$J$3001,0),"")</f>
        <v/>
      </c>
    </row>
    <row r="1162">
      <c r="A1162">
        <f>IF($L1162="","",B1162&amp;"."&amp;C1162&amp;"-"&amp;D1162&amp;"-"&amp;H1162&amp;"."&amp;I1162&amp;"."&amp;J1162)</f>
        <v/>
      </c>
      <c r="B1162">
        <f>IF($L1162="","",INDEX(Расчет!$A$2:$A$3001,$L1162))</f>
        <v/>
      </c>
      <c r="C1162">
        <f>IF($L1162="","",INDEX(Расчет!$B$2:$B$3001,$L1162))</f>
        <v/>
      </c>
      <c r="D1162">
        <f>IF($L1162="","",IF(ISNUMBER(FIND("(",INDEX(Расчет!$C$2:$C$3001,$L1162))),SUBSTITUTE(MID(INDEX(Расчет!$C$2:$C$3001,$L1162),FIND("(",INDEX(Расчет!$C$2:$C$3001,$L1162))+1,99),")",""),INDEX(Расчет!$C$2:$C$3001,$L1162)))</f>
        <v/>
      </c>
      <c r="E1162">
        <f>IF($L1162="","",INDEX(Расчет!$D$2:$D$3001,$L1162))</f>
        <v/>
      </c>
      <c r="F1162">
        <f>IF($L1162="","",INDEX(Расчет!$E$2:$E$3001,$L1162))</f>
        <v/>
      </c>
      <c r="G1162">
        <f>IF($L1162="","",IFERROR(--LEFT(INDEX(Расчет!$C$2:$C$3001,$L1162),FIND("(",INDEX(Расчет!$C$2:$C$3001,$L1162))-1),IFERROR(--LEFT(INDEX(Расчет!$C$2:$C$3001,$L1162),1),"")))</f>
        <v/>
      </c>
      <c r="H1162">
        <f>IF($L1162="","",SUMIFS(Расчет!$G$2:$G$3001,Расчет!$I$2:$I$3001,$K1162,Расчет!$H$2:$H$3001,1))</f>
        <v/>
      </c>
      <c r="I1162">
        <f>IF($L1162="","",SUMIFS(Расчет!$G$2:$G$3001,Расчет!$I$2:$I$3001,$K1162,Расчет!$H$2:$H$3001,2))</f>
        <v/>
      </c>
      <c r="J1162">
        <f>IF($L1162="","",SUMIFS(Расчет!$G$2:$G$3001,Расчет!$I$2:$I$3001,$K1162,Расчет!$H$2:$H$3001,3))</f>
        <v/>
      </c>
      <c r="K1162">
        <f>IF($L1162="","",INDEX(Расчет!$I$2:$I$3001,$L1162))</f>
        <v/>
      </c>
      <c r="L1162">
        <f>IFERROR(MATCH(ROW()-1,Расчет!$J$2:$J$3001,0),"")</f>
        <v/>
      </c>
    </row>
    <row r="1163">
      <c r="A1163">
        <f>IF($L1163="","",B1163&amp;"."&amp;C1163&amp;"-"&amp;D1163&amp;"-"&amp;H1163&amp;"."&amp;I1163&amp;"."&amp;J1163)</f>
        <v/>
      </c>
      <c r="B1163">
        <f>IF($L1163="","",INDEX(Расчет!$A$2:$A$3001,$L1163))</f>
        <v/>
      </c>
      <c r="C1163">
        <f>IF($L1163="","",INDEX(Расчет!$B$2:$B$3001,$L1163))</f>
        <v/>
      </c>
      <c r="D1163">
        <f>IF($L1163="","",IF(ISNUMBER(FIND("(",INDEX(Расчет!$C$2:$C$3001,$L1163))),SUBSTITUTE(MID(INDEX(Расчет!$C$2:$C$3001,$L1163),FIND("(",INDEX(Расчет!$C$2:$C$3001,$L1163))+1,99),")",""),INDEX(Расчет!$C$2:$C$3001,$L1163)))</f>
        <v/>
      </c>
      <c r="E1163">
        <f>IF($L1163="","",INDEX(Расчет!$D$2:$D$3001,$L1163))</f>
        <v/>
      </c>
      <c r="F1163">
        <f>IF($L1163="","",INDEX(Расчет!$E$2:$E$3001,$L1163))</f>
        <v/>
      </c>
      <c r="G1163">
        <f>IF($L1163="","",IFERROR(--LEFT(INDEX(Расчет!$C$2:$C$3001,$L1163),FIND("(",INDEX(Расчет!$C$2:$C$3001,$L1163))-1),IFERROR(--LEFT(INDEX(Расчет!$C$2:$C$3001,$L1163),1),"")))</f>
        <v/>
      </c>
      <c r="H1163">
        <f>IF($L1163="","",SUMIFS(Расчет!$G$2:$G$3001,Расчет!$I$2:$I$3001,$K1163,Расчет!$H$2:$H$3001,1))</f>
        <v/>
      </c>
      <c r="I1163">
        <f>IF($L1163="","",SUMIFS(Расчет!$G$2:$G$3001,Расчет!$I$2:$I$3001,$K1163,Расчет!$H$2:$H$3001,2))</f>
        <v/>
      </c>
      <c r="J1163">
        <f>IF($L1163="","",SUMIFS(Расчет!$G$2:$G$3001,Расчет!$I$2:$I$3001,$K1163,Расчет!$H$2:$H$3001,3))</f>
        <v/>
      </c>
      <c r="K1163">
        <f>IF($L1163="","",INDEX(Расчет!$I$2:$I$3001,$L1163))</f>
        <v/>
      </c>
      <c r="L1163">
        <f>IFERROR(MATCH(ROW()-1,Расчет!$J$2:$J$3001,0),"")</f>
        <v/>
      </c>
    </row>
    <row r="1164">
      <c r="A1164">
        <f>IF($L1164="","",B1164&amp;"."&amp;C1164&amp;"-"&amp;D1164&amp;"-"&amp;H1164&amp;"."&amp;I1164&amp;"."&amp;J1164)</f>
        <v/>
      </c>
      <c r="B1164">
        <f>IF($L1164="","",INDEX(Расчет!$A$2:$A$3001,$L1164))</f>
        <v/>
      </c>
      <c r="C1164">
        <f>IF($L1164="","",INDEX(Расчет!$B$2:$B$3001,$L1164))</f>
        <v/>
      </c>
      <c r="D1164">
        <f>IF($L1164="","",IF(ISNUMBER(FIND("(",INDEX(Расчет!$C$2:$C$3001,$L1164))),SUBSTITUTE(MID(INDEX(Расчет!$C$2:$C$3001,$L1164),FIND("(",INDEX(Расчет!$C$2:$C$3001,$L1164))+1,99),")",""),INDEX(Расчет!$C$2:$C$3001,$L1164)))</f>
        <v/>
      </c>
      <c r="E1164">
        <f>IF($L1164="","",INDEX(Расчет!$D$2:$D$3001,$L1164))</f>
        <v/>
      </c>
      <c r="F1164">
        <f>IF($L1164="","",INDEX(Расчет!$E$2:$E$3001,$L1164))</f>
        <v/>
      </c>
      <c r="G1164">
        <f>IF($L1164="","",IFERROR(--LEFT(INDEX(Расчет!$C$2:$C$3001,$L1164),FIND("(",INDEX(Расчет!$C$2:$C$3001,$L1164))-1),IFERROR(--LEFT(INDEX(Расчет!$C$2:$C$3001,$L1164),1),"")))</f>
        <v/>
      </c>
      <c r="H1164">
        <f>IF($L1164="","",SUMIFS(Расчет!$G$2:$G$3001,Расчет!$I$2:$I$3001,$K1164,Расчет!$H$2:$H$3001,1))</f>
        <v/>
      </c>
      <c r="I1164">
        <f>IF($L1164="","",SUMIFS(Расчет!$G$2:$G$3001,Расчет!$I$2:$I$3001,$K1164,Расчет!$H$2:$H$3001,2))</f>
        <v/>
      </c>
      <c r="J1164">
        <f>IF($L1164="","",SUMIFS(Расчет!$G$2:$G$3001,Расчет!$I$2:$I$3001,$K1164,Расчет!$H$2:$H$3001,3))</f>
        <v/>
      </c>
      <c r="K1164">
        <f>IF($L1164="","",INDEX(Расчет!$I$2:$I$3001,$L1164))</f>
        <v/>
      </c>
      <c r="L1164">
        <f>IFERROR(MATCH(ROW()-1,Расчет!$J$2:$J$3001,0),"")</f>
        <v/>
      </c>
    </row>
    <row r="1165">
      <c r="A1165">
        <f>IF($L1165="","",B1165&amp;"."&amp;C1165&amp;"-"&amp;D1165&amp;"-"&amp;H1165&amp;"."&amp;I1165&amp;"."&amp;J1165)</f>
        <v/>
      </c>
      <c r="B1165">
        <f>IF($L1165="","",INDEX(Расчет!$A$2:$A$3001,$L1165))</f>
        <v/>
      </c>
      <c r="C1165">
        <f>IF($L1165="","",INDEX(Расчет!$B$2:$B$3001,$L1165))</f>
        <v/>
      </c>
      <c r="D1165">
        <f>IF($L1165="","",IF(ISNUMBER(FIND("(",INDEX(Расчет!$C$2:$C$3001,$L1165))),SUBSTITUTE(MID(INDEX(Расчет!$C$2:$C$3001,$L1165),FIND("(",INDEX(Расчет!$C$2:$C$3001,$L1165))+1,99),")",""),INDEX(Расчет!$C$2:$C$3001,$L1165)))</f>
        <v/>
      </c>
      <c r="E1165">
        <f>IF($L1165="","",INDEX(Расчет!$D$2:$D$3001,$L1165))</f>
        <v/>
      </c>
      <c r="F1165">
        <f>IF($L1165="","",INDEX(Расчет!$E$2:$E$3001,$L1165))</f>
        <v/>
      </c>
      <c r="G1165">
        <f>IF($L1165="","",IFERROR(--LEFT(INDEX(Расчет!$C$2:$C$3001,$L1165),FIND("(",INDEX(Расчет!$C$2:$C$3001,$L1165))-1),IFERROR(--LEFT(INDEX(Расчет!$C$2:$C$3001,$L1165),1),"")))</f>
        <v/>
      </c>
      <c r="H1165">
        <f>IF($L1165="","",SUMIFS(Расчет!$G$2:$G$3001,Расчет!$I$2:$I$3001,$K1165,Расчет!$H$2:$H$3001,1))</f>
        <v/>
      </c>
      <c r="I1165">
        <f>IF($L1165="","",SUMIFS(Расчет!$G$2:$G$3001,Расчет!$I$2:$I$3001,$K1165,Расчет!$H$2:$H$3001,2))</f>
        <v/>
      </c>
      <c r="J1165">
        <f>IF($L1165="","",SUMIFS(Расчет!$G$2:$G$3001,Расчет!$I$2:$I$3001,$K1165,Расчет!$H$2:$H$3001,3))</f>
        <v/>
      </c>
      <c r="K1165">
        <f>IF($L1165="","",INDEX(Расчет!$I$2:$I$3001,$L1165))</f>
        <v/>
      </c>
      <c r="L1165">
        <f>IFERROR(MATCH(ROW()-1,Расчет!$J$2:$J$3001,0),"")</f>
        <v/>
      </c>
    </row>
    <row r="1166">
      <c r="A1166">
        <f>IF($L1166="","",B1166&amp;"."&amp;C1166&amp;"-"&amp;D1166&amp;"-"&amp;H1166&amp;"."&amp;I1166&amp;"."&amp;J1166)</f>
        <v/>
      </c>
      <c r="B1166">
        <f>IF($L1166="","",INDEX(Расчет!$A$2:$A$3001,$L1166))</f>
        <v/>
      </c>
      <c r="C1166">
        <f>IF($L1166="","",INDEX(Расчет!$B$2:$B$3001,$L1166))</f>
        <v/>
      </c>
      <c r="D1166">
        <f>IF($L1166="","",IF(ISNUMBER(FIND("(",INDEX(Расчет!$C$2:$C$3001,$L1166))),SUBSTITUTE(MID(INDEX(Расчет!$C$2:$C$3001,$L1166),FIND("(",INDEX(Расчет!$C$2:$C$3001,$L1166))+1,99),")",""),INDEX(Расчет!$C$2:$C$3001,$L1166)))</f>
        <v/>
      </c>
      <c r="E1166">
        <f>IF($L1166="","",INDEX(Расчет!$D$2:$D$3001,$L1166))</f>
        <v/>
      </c>
      <c r="F1166">
        <f>IF($L1166="","",INDEX(Расчет!$E$2:$E$3001,$L1166))</f>
        <v/>
      </c>
      <c r="G1166">
        <f>IF($L1166="","",IFERROR(--LEFT(INDEX(Расчет!$C$2:$C$3001,$L1166),FIND("(",INDEX(Расчет!$C$2:$C$3001,$L1166))-1),IFERROR(--LEFT(INDEX(Расчет!$C$2:$C$3001,$L1166),1),"")))</f>
        <v/>
      </c>
      <c r="H1166">
        <f>IF($L1166="","",SUMIFS(Расчет!$G$2:$G$3001,Расчет!$I$2:$I$3001,$K1166,Расчет!$H$2:$H$3001,1))</f>
        <v/>
      </c>
      <c r="I1166">
        <f>IF($L1166="","",SUMIFS(Расчет!$G$2:$G$3001,Расчет!$I$2:$I$3001,$K1166,Расчет!$H$2:$H$3001,2))</f>
        <v/>
      </c>
      <c r="J1166">
        <f>IF($L1166="","",SUMIFS(Расчет!$G$2:$G$3001,Расчет!$I$2:$I$3001,$K1166,Расчет!$H$2:$H$3001,3))</f>
        <v/>
      </c>
      <c r="K1166">
        <f>IF($L1166="","",INDEX(Расчет!$I$2:$I$3001,$L1166))</f>
        <v/>
      </c>
      <c r="L1166">
        <f>IFERROR(MATCH(ROW()-1,Расчет!$J$2:$J$3001,0),"")</f>
        <v/>
      </c>
    </row>
    <row r="1167">
      <c r="A1167">
        <f>IF($L1167="","",B1167&amp;"."&amp;C1167&amp;"-"&amp;D1167&amp;"-"&amp;H1167&amp;"."&amp;I1167&amp;"."&amp;J1167)</f>
        <v/>
      </c>
      <c r="B1167">
        <f>IF($L1167="","",INDEX(Расчет!$A$2:$A$3001,$L1167))</f>
        <v/>
      </c>
      <c r="C1167">
        <f>IF($L1167="","",INDEX(Расчет!$B$2:$B$3001,$L1167))</f>
        <v/>
      </c>
      <c r="D1167">
        <f>IF($L1167="","",IF(ISNUMBER(FIND("(",INDEX(Расчет!$C$2:$C$3001,$L1167))),SUBSTITUTE(MID(INDEX(Расчет!$C$2:$C$3001,$L1167),FIND("(",INDEX(Расчет!$C$2:$C$3001,$L1167))+1,99),")",""),INDEX(Расчет!$C$2:$C$3001,$L1167)))</f>
        <v/>
      </c>
      <c r="E1167">
        <f>IF($L1167="","",INDEX(Расчет!$D$2:$D$3001,$L1167))</f>
        <v/>
      </c>
      <c r="F1167">
        <f>IF($L1167="","",INDEX(Расчет!$E$2:$E$3001,$L1167))</f>
        <v/>
      </c>
      <c r="G1167">
        <f>IF($L1167="","",IFERROR(--LEFT(INDEX(Расчет!$C$2:$C$3001,$L1167),FIND("(",INDEX(Расчет!$C$2:$C$3001,$L1167))-1),IFERROR(--LEFT(INDEX(Расчет!$C$2:$C$3001,$L1167),1),"")))</f>
        <v/>
      </c>
      <c r="H1167">
        <f>IF($L1167="","",SUMIFS(Расчет!$G$2:$G$3001,Расчет!$I$2:$I$3001,$K1167,Расчет!$H$2:$H$3001,1))</f>
        <v/>
      </c>
      <c r="I1167">
        <f>IF($L1167="","",SUMIFS(Расчет!$G$2:$G$3001,Расчет!$I$2:$I$3001,$K1167,Расчет!$H$2:$H$3001,2))</f>
        <v/>
      </c>
      <c r="J1167">
        <f>IF($L1167="","",SUMIFS(Расчет!$G$2:$G$3001,Расчет!$I$2:$I$3001,$K1167,Расчет!$H$2:$H$3001,3))</f>
        <v/>
      </c>
      <c r="K1167">
        <f>IF($L1167="","",INDEX(Расчет!$I$2:$I$3001,$L1167))</f>
        <v/>
      </c>
      <c r="L1167">
        <f>IFERROR(MATCH(ROW()-1,Расчет!$J$2:$J$3001,0),"")</f>
        <v/>
      </c>
    </row>
    <row r="1168">
      <c r="A1168">
        <f>IF($L1168="","",B1168&amp;"."&amp;C1168&amp;"-"&amp;D1168&amp;"-"&amp;H1168&amp;"."&amp;I1168&amp;"."&amp;J1168)</f>
        <v/>
      </c>
      <c r="B1168">
        <f>IF($L1168="","",INDEX(Расчет!$A$2:$A$3001,$L1168))</f>
        <v/>
      </c>
      <c r="C1168">
        <f>IF($L1168="","",INDEX(Расчет!$B$2:$B$3001,$L1168))</f>
        <v/>
      </c>
      <c r="D1168">
        <f>IF($L1168="","",IF(ISNUMBER(FIND("(",INDEX(Расчет!$C$2:$C$3001,$L1168))),SUBSTITUTE(MID(INDEX(Расчет!$C$2:$C$3001,$L1168),FIND("(",INDEX(Расчет!$C$2:$C$3001,$L1168))+1,99),")",""),INDEX(Расчет!$C$2:$C$3001,$L1168)))</f>
        <v/>
      </c>
      <c r="E1168">
        <f>IF($L1168="","",INDEX(Расчет!$D$2:$D$3001,$L1168))</f>
        <v/>
      </c>
      <c r="F1168">
        <f>IF($L1168="","",INDEX(Расчет!$E$2:$E$3001,$L1168))</f>
        <v/>
      </c>
      <c r="G1168">
        <f>IF($L1168="","",IFERROR(--LEFT(INDEX(Расчет!$C$2:$C$3001,$L1168),FIND("(",INDEX(Расчет!$C$2:$C$3001,$L1168))-1),IFERROR(--LEFT(INDEX(Расчет!$C$2:$C$3001,$L1168),1),"")))</f>
        <v/>
      </c>
      <c r="H1168">
        <f>IF($L1168="","",SUMIFS(Расчет!$G$2:$G$3001,Расчет!$I$2:$I$3001,$K1168,Расчет!$H$2:$H$3001,1))</f>
        <v/>
      </c>
      <c r="I1168">
        <f>IF($L1168="","",SUMIFS(Расчет!$G$2:$G$3001,Расчет!$I$2:$I$3001,$K1168,Расчет!$H$2:$H$3001,2))</f>
        <v/>
      </c>
      <c r="J1168">
        <f>IF($L1168="","",SUMIFS(Расчет!$G$2:$G$3001,Расчет!$I$2:$I$3001,$K1168,Расчет!$H$2:$H$3001,3))</f>
        <v/>
      </c>
      <c r="K1168">
        <f>IF($L1168="","",INDEX(Расчет!$I$2:$I$3001,$L1168))</f>
        <v/>
      </c>
      <c r="L1168">
        <f>IFERROR(MATCH(ROW()-1,Расчет!$J$2:$J$3001,0),"")</f>
        <v/>
      </c>
    </row>
    <row r="1169">
      <c r="A1169">
        <f>IF($L1169="","",B1169&amp;"."&amp;C1169&amp;"-"&amp;D1169&amp;"-"&amp;H1169&amp;"."&amp;I1169&amp;"."&amp;J1169)</f>
        <v/>
      </c>
      <c r="B1169">
        <f>IF($L1169="","",INDEX(Расчет!$A$2:$A$3001,$L1169))</f>
        <v/>
      </c>
      <c r="C1169">
        <f>IF($L1169="","",INDEX(Расчет!$B$2:$B$3001,$L1169))</f>
        <v/>
      </c>
      <c r="D1169">
        <f>IF($L1169="","",IF(ISNUMBER(FIND("(",INDEX(Расчет!$C$2:$C$3001,$L1169))),SUBSTITUTE(MID(INDEX(Расчет!$C$2:$C$3001,$L1169),FIND("(",INDEX(Расчет!$C$2:$C$3001,$L1169))+1,99),")",""),INDEX(Расчет!$C$2:$C$3001,$L1169)))</f>
        <v/>
      </c>
      <c r="E1169">
        <f>IF($L1169="","",INDEX(Расчет!$D$2:$D$3001,$L1169))</f>
        <v/>
      </c>
      <c r="F1169">
        <f>IF($L1169="","",INDEX(Расчет!$E$2:$E$3001,$L1169))</f>
        <v/>
      </c>
      <c r="G1169">
        <f>IF($L1169="","",IFERROR(--LEFT(INDEX(Расчет!$C$2:$C$3001,$L1169),FIND("(",INDEX(Расчет!$C$2:$C$3001,$L1169))-1),IFERROR(--LEFT(INDEX(Расчет!$C$2:$C$3001,$L1169),1),"")))</f>
        <v/>
      </c>
      <c r="H1169">
        <f>IF($L1169="","",SUMIFS(Расчет!$G$2:$G$3001,Расчет!$I$2:$I$3001,$K1169,Расчет!$H$2:$H$3001,1))</f>
        <v/>
      </c>
      <c r="I1169">
        <f>IF($L1169="","",SUMIFS(Расчет!$G$2:$G$3001,Расчет!$I$2:$I$3001,$K1169,Расчет!$H$2:$H$3001,2))</f>
        <v/>
      </c>
      <c r="J1169">
        <f>IF($L1169="","",SUMIFS(Расчет!$G$2:$G$3001,Расчет!$I$2:$I$3001,$K1169,Расчет!$H$2:$H$3001,3))</f>
        <v/>
      </c>
      <c r="K1169">
        <f>IF($L1169="","",INDEX(Расчет!$I$2:$I$3001,$L1169))</f>
        <v/>
      </c>
      <c r="L1169">
        <f>IFERROR(MATCH(ROW()-1,Расчет!$J$2:$J$3001,0),"")</f>
        <v/>
      </c>
    </row>
    <row r="1170">
      <c r="A1170">
        <f>IF($L1170="","",B1170&amp;"."&amp;C1170&amp;"-"&amp;D1170&amp;"-"&amp;H1170&amp;"."&amp;I1170&amp;"."&amp;J1170)</f>
        <v/>
      </c>
      <c r="B1170">
        <f>IF($L1170="","",INDEX(Расчет!$A$2:$A$3001,$L1170))</f>
        <v/>
      </c>
      <c r="C1170">
        <f>IF($L1170="","",INDEX(Расчет!$B$2:$B$3001,$L1170))</f>
        <v/>
      </c>
      <c r="D1170">
        <f>IF($L1170="","",IF(ISNUMBER(FIND("(",INDEX(Расчет!$C$2:$C$3001,$L1170))),SUBSTITUTE(MID(INDEX(Расчет!$C$2:$C$3001,$L1170),FIND("(",INDEX(Расчет!$C$2:$C$3001,$L1170))+1,99),")",""),INDEX(Расчет!$C$2:$C$3001,$L1170)))</f>
        <v/>
      </c>
      <c r="E1170">
        <f>IF($L1170="","",INDEX(Расчет!$D$2:$D$3001,$L1170))</f>
        <v/>
      </c>
      <c r="F1170">
        <f>IF($L1170="","",INDEX(Расчет!$E$2:$E$3001,$L1170))</f>
        <v/>
      </c>
      <c r="G1170">
        <f>IF($L1170="","",IFERROR(--LEFT(INDEX(Расчет!$C$2:$C$3001,$L1170),FIND("(",INDEX(Расчет!$C$2:$C$3001,$L1170))-1),IFERROR(--LEFT(INDEX(Расчет!$C$2:$C$3001,$L1170),1),"")))</f>
        <v/>
      </c>
      <c r="H1170">
        <f>IF($L1170="","",SUMIFS(Расчет!$G$2:$G$3001,Расчет!$I$2:$I$3001,$K1170,Расчет!$H$2:$H$3001,1))</f>
        <v/>
      </c>
      <c r="I1170">
        <f>IF($L1170="","",SUMIFS(Расчет!$G$2:$G$3001,Расчет!$I$2:$I$3001,$K1170,Расчет!$H$2:$H$3001,2))</f>
        <v/>
      </c>
      <c r="J1170">
        <f>IF($L1170="","",SUMIFS(Расчет!$G$2:$G$3001,Расчет!$I$2:$I$3001,$K1170,Расчет!$H$2:$H$3001,3))</f>
        <v/>
      </c>
      <c r="K1170">
        <f>IF($L1170="","",INDEX(Расчет!$I$2:$I$3001,$L1170))</f>
        <v/>
      </c>
      <c r="L1170">
        <f>IFERROR(MATCH(ROW()-1,Расчет!$J$2:$J$3001,0),"")</f>
        <v/>
      </c>
    </row>
    <row r="1171">
      <c r="A1171">
        <f>IF($L1171="","",B1171&amp;"."&amp;C1171&amp;"-"&amp;D1171&amp;"-"&amp;H1171&amp;"."&amp;I1171&amp;"."&amp;J1171)</f>
        <v/>
      </c>
      <c r="B1171">
        <f>IF($L1171="","",INDEX(Расчет!$A$2:$A$3001,$L1171))</f>
        <v/>
      </c>
      <c r="C1171">
        <f>IF($L1171="","",INDEX(Расчет!$B$2:$B$3001,$L1171))</f>
        <v/>
      </c>
      <c r="D1171">
        <f>IF($L1171="","",IF(ISNUMBER(FIND("(",INDEX(Расчет!$C$2:$C$3001,$L1171))),SUBSTITUTE(MID(INDEX(Расчет!$C$2:$C$3001,$L1171),FIND("(",INDEX(Расчет!$C$2:$C$3001,$L1171))+1,99),")",""),INDEX(Расчет!$C$2:$C$3001,$L1171)))</f>
        <v/>
      </c>
      <c r="E1171">
        <f>IF($L1171="","",INDEX(Расчет!$D$2:$D$3001,$L1171))</f>
        <v/>
      </c>
      <c r="F1171">
        <f>IF($L1171="","",INDEX(Расчет!$E$2:$E$3001,$L1171))</f>
        <v/>
      </c>
      <c r="G1171">
        <f>IF($L1171="","",IFERROR(--LEFT(INDEX(Расчет!$C$2:$C$3001,$L1171),FIND("(",INDEX(Расчет!$C$2:$C$3001,$L1171))-1),IFERROR(--LEFT(INDEX(Расчет!$C$2:$C$3001,$L1171),1),"")))</f>
        <v/>
      </c>
      <c r="H1171">
        <f>IF($L1171="","",SUMIFS(Расчет!$G$2:$G$3001,Расчет!$I$2:$I$3001,$K1171,Расчет!$H$2:$H$3001,1))</f>
        <v/>
      </c>
      <c r="I1171">
        <f>IF($L1171="","",SUMIFS(Расчет!$G$2:$G$3001,Расчет!$I$2:$I$3001,$K1171,Расчет!$H$2:$H$3001,2))</f>
        <v/>
      </c>
      <c r="J1171">
        <f>IF($L1171="","",SUMIFS(Расчет!$G$2:$G$3001,Расчет!$I$2:$I$3001,$K1171,Расчет!$H$2:$H$3001,3))</f>
        <v/>
      </c>
      <c r="K1171">
        <f>IF($L1171="","",INDEX(Расчет!$I$2:$I$3001,$L1171))</f>
        <v/>
      </c>
      <c r="L1171">
        <f>IFERROR(MATCH(ROW()-1,Расчет!$J$2:$J$3001,0),"")</f>
        <v/>
      </c>
    </row>
    <row r="1172">
      <c r="A1172">
        <f>IF($L1172="","",B1172&amp;"."&amp;C1172&amp;"-"&amp;D1172&amp;"-"&amp;H1172&amp;"."&amp;I1172&amp;"."&amp;J1172)</f>
        <v/>
      </c>
      <c r="B1172">
        <f>IF($L1172="","",INDEX(Расчет!$A$2:$A$3001,$L1172))</f>
        <v/>
      </c>
      <c r="C1172">
        <f>IF($L1172="","",INDEX(Расчет!$B$2:$B$3001,$L1172))</f>
        <v/>
      </c>
      <c r="D1172">
        <f>IF($L1172="","",IF(ISNUMBER(FIND("(",INDEX(Расчет!$C$2:$C$3001,$L1172))),SUBSTITUTE(MID(INDEX(Расчет!$C$2:$C$3001,$L1172),FIND("(",INDEX(Расчет!$C$2:$C$3001,$L1172))+1,99),")",""),INDEX(Расчет!$C$2:$C$3001,$L1172)))</f>
        <v/>
      </c>
      <c r="E1172">
        <f>IF($L1172="","",INDEX(Расчет!$D$2:$D$3001,$L1172))</f>
        <v/>
      </c>
      <c r="F1172">
        <f>IF($L1172="","",INDEX(Расчет!$E$2:$E$3001,$L1172))</f>
        <v/>
      </c>
      <c r="G1172">
        <f>IF($L1172="","",IFERROR(--LEFT(INDEX(Расчет!$C$2:$C$3001,$L1172),FIND("(",INDEX(Расчет!$C$2:$C$3001,$L1172))-1),IFERROR(--LEFT(INDEX(Расчет!$C$2:$C$3001,$L1172),1),"")))</f>
        <v/>
      </c>
      <c r="H1172">
        <f>IF($L1172="","",SUMIFS(Расчет!$G$2:$G$3001,Расчет!$I$2:$I$3001,$K1172,Расчет!$H$2:$H$3001,1))</f>
        <v/>
      </c>
      <c r="I1172">
        <f>IF($L1172="","",SUMIFS(Расчет!$G$2:$G$3001,Расчет!$I$2:$I$3001,$K1172,Расчет!$H$2:$H$3001,2))</f>
        <v/>
      </c>
      <c r="J1172">
        <f>IF($L1172="","",SUMIFS(Расчет!$G$2:$G$3001,Расчет!$I$2:$I$3001,$K1172,Расчет!$H$2:$H$3001,3))</f>
        <v/>
      </c>
      <c r="K1172">
        <f>IF($L1172="","",INDEX(Расчет!$I$2:$I$3001,$L1172))</f>
        <v/>
      </c>
      <c r="L1172">
        <f>IFERROR(MATCH(ROW()-1,Расчет!$J$2:$J$3001,0),"")</f>
        <v/>
      </c>
    </row>
    <row r="1173">
      <c r="A1173">
        <f>IF($L1173="","",B1173&amp;"."&amp;C1173&amp;"-"&amp;D1173&amp;"-"&amp;H1173&amp;"."&amp;I1173&amp;"."&amp;J1173)</f>
        <v/>
      </c>
      <c r="B1173">
        <f>IF($L1173="","",INDEX(Расчет!$A$2:$A$3001,$L1173))</f>
        <v/>
      </c>
      <c r="C1173">
        <f>IF($L1173="","",INDEX(Расчет!$B$2:$B$3001,$L1173))</f>
        <v/>
      </c>
      <c r="D1173">
        <f>IF($L1173="","",IF(ISNUMBER(FIND("(",INDEX(Расчет!$C$2:$C$3001,$L1173))),SUBSTITUTE(MID(INDEX(Расчет!$C$2:$C$3001,$L1173),FIND("(",INDEX(Расчет!$C$2:$C$3001,$L1173))+1,99),")",""),INDEX(Расчет!$C$2:$C$3001,$L1173)))</f>
        <v/>
      </c>
      <c r="E1173">
        <f>IF($L1173="","",INDEX(Расчет!$D$2:$D$3001,$L1173))</f>
        <v/>
      </c>
      <c r="F1173">
        <f>IF($L1173="","",INDEX(Расчет!$E$2:$E$3001,$L1173))</f>
        <v/>
      </c>
      <c r="G1173">
        <f>IF($L1173="","",IFERROR(--LEFT(INDEX(Расчет!$C$2:$C$3001,$L1173),FIND("(",INDEX(Расчет!$C$2:$C$3001,$L1173))-1),IFERROR(--LEFT(INDEX(Расчет!$C$2:$C$3001,$L1173),1),"")))</f>
        <v/>
      </c>
      <c r="H1173">
        <f>IF($L1173="","",SUMIFS(Расчет!$G$2:$G$3001,Расчет!$I$2:$I$3001,$K1173,Расчет!$H$2:$H$3001,1))</f>
        <v/>
      </c>
      <c r="I1173">
        <f>IF($L1173="","",SUMIFS(Расчет!$G$2:$G$3001,Расчет!$I$2:$I$3001,$K1173,Расчет!$H$2:$H$3001,2))</f>
        <v/>
      </c>
      <c r="J1173">
        <f>IF($L1173="","",SUMIFS(Расчет!$G$2:$G$3001,Расчет!$I$2:$I$3001,$K1173,Расчет!$H$2:$H$3001,3))</f>
        <v/>
      </c>
      <c r="K1173">
        <f>IF($L1173="","",INDEX(Расчет!$I$2:$I$3001,$L1173))</f>
        <v/>
      </c>
      <c r="L1173">
        <f>IFERROR(MATCH(ROW()-1,Расчет!$J$2:$J$3001,0),"")</f>
        <v/>
      </c>
    </row>
    <row r="1174">
      <c r="A1174">
        <f>IF($L1174="","",B1174&amp;"."&amp;C1174&amp;"-"&amp;D1174&amp;"-"&amp;H1174&amp;"."&amp;I1174&amp;"."&amp;J1174)</f>
        <v/>
      </c>
      <c r="B1174">
        <f>IF($L1174="","",INDEX(Расчет!$A$2:$A$3001,$L1174))</f>
        <v/>
      </c>
      <c r="C1174">
        <f>IF($L1174="","",INDEX(Расчет!$B$2:$B$3001,$L1174))</f>
        <v/>
      </c>
      <c r="D1174">
        <f>IF($L1174="","",IF(ISNUMBER(FIND("(",INDEX(Расчет!$C$2:$C$3001,$L1174))),SUBSTITUTE(MID(INDEX(Расчет!$C$2:$C$3001,$L1174),FIND("(",INDEX(Расчет!$C$2:$C$3001,$L1174))+1,99),")",""),INDEX(Расчет!$C$2:$C$3001,$L1174)))</f>
        <v/>
      </c>
      <c r="E1174">
        <f>IF($L1174="","",INDEX(Расчет!$D$2:$D$3001,$L1174))</f>
        <v/>
      </c>
      <c r="F1174">
        <f>IF($L1174="","",INDEX(Расчет!$E$2:$E$3001,$L1174))</f>
        <v/>
      </c>
      <c r="G1174">
        <f>IF($L1174="","",IFERROR(--LEFT(INDEX(Расчет!$C$2:$C$3001,$L1174),FIND("(",INDEX(Расчет!$C$2:$C$3001,$L1174))-1),IFERROR(--LEFT(INDEX(Расчет!$C$2:$C$3001,$L1174),1),"")))</f>
        <v/>
      </c>
      <c r="H1174">
        <f>IF($L1174="","",SUMIFS(Расчет!$G$2:$G$3001,Расчет!$I$2:$I$3001,$K1174,Расчет!$H$2:$H$3001,1))</f>
        <v/>
      </c>
      <c r="I1174">
        <f>IF($L1174="","",SUMIFS(Расчет!$G$2:$G$3001,Расчет!$I$2:$I$3001,$K1174,Расчет!$H$2:$H$3001,2))</f>
        <v/>
      </c>
      <c r="J1174">
        <f>IF($L1174="","",SUMIFS(Расчет!$G$2:$G$3001,Расчет!$I$2:$I$3001,$K1174,Расчет!$H$2:$H$3001,3))</f>
        <v/>
      </c>
      <c r="K1174">
        <f>IF($L1174="","",INDEX(Расчет!$I$2:$I$3001,$L1174))</f>
        <v/>
      </c>
      <c r="L1174">
        <f>IFERROR(MATCH(ROW()-1,Расчет!$J$2:$J$3001,0),"")</f>
        <v/>
      </c>
    </row>
    <row r="1175">
      <c r="A1175">
        <f>IF($L1175="","",B1175&amp;"."&amp;C1175&amp;"-"&amp;D1175&amp;"-"&amp;H1175&amp;"."&amp;I1175&amp;"."&amp;J1175)</f>
        <v/>
      </c>
      <c r="B1175">
        <f>IF($L1175="","",INDEX(Расчет!$A$2:$A$3001,$L1175))</f>
        <v/>
      </c>
      <c r="C1175">
        <f>IF($L1175="","",INDEX(Расчет!$B$2:$B$3001,$L1175))</f>
        <v/>
      </c>
      <c r="D1175">
        <f>IF($L1175="","",IF(ISNUMBER(FIND("(",INDEX(Расчет!$C$2:$C$3001,$L1175))),SUBSTITUTE(MID(INDEX(Расчет!$C$2:$C$3001,$L1175),FIND("(",INDEX(Расчет!$C$2:$C$3001,$L1175))+1,99),")",""),INDEX(Расчет!$C$2:$C$3001,$L1175)))</f>
        <v/>
      </c>
      <c r="E1175">
        <f>IF($L1175="","",INDEX(Расчет!$D$2:$D$3001,$L1175))</f>
        <v/>
      </c>
      <c r="F1175">
        <f>IF($L1175="","",INDEX(Расчет!$E$2:$E$3001,$L1175))</f>
        <v/>
      </c>
      <c r="G1175">
        <f>IF($L1175="","",IFERROR(--LEFT(INDEX(Расчет!$C$2:$C$3001,$L1175),FIND("(",INDEX(Расчет!$C$2:$C$3001,$L1175))-1),IFERROR(--LEFT(INDEX(Расчет!$C$2:$C$3001,$L1175),1),"")))</f>
        <v/>
      </c>
      <c r="H1175">
        <f>IF($L1175="","",SUMIFS(Расчет!$G$2:$G$3001,Расчет!$I$2:$I$3001,$K1175,Расчет!$H$2:$H$3001,1))</f>
        <v/>
      </c>
      <c r="I1175">
        <f>IF($L1175="","",SUMIFS(Расчет!$G$2:$G$3001,Расчет!$I$2:$I$3001,$K1175,Расчет!$H$2:$H$3001,2))</f>
        <v/>
      </c>
      <c r="J1175">
        <f>IF($L1175="","",SUMIFS(Расчет!$G$2:$G$3001,Расчет!$I$2:$I$3001,$K1175,Расчет!$H$2:$H$3001,3))</f>
        <v/>
      </c>
      <c r="K1175">
        <f>IF($L1175="","",INDEX(Расчет!$I$2:$I$3001,$L1175))</f>
        <v/>
      </c>
      <c r="L1175">
        <f>IFERROR(MATCH(ROW()-1,Расчет!$J$2:$J$3001,0),"")</f>
        <v/>
      </c>
    </row>
    <row r="1176">
      <c r="A1176">
        <f>IF($L1176="","",B1176&amp;"."&amp;C1176&amp;"-"&amp;D1176&amp;"-"&amp;H1176&amp;"."&amp;I1176&amp;"."&amp;J1176)</f>
        <v/>
      </c>
      <c r="B1176">
        <f>IF($L1176="","",INDEX(Расчет!$A$2:$A$3001,$L1176))</f>
        <v/>
      </c>
      <c r="C1176">
        <f>IF($L1176="","",INDEX(Расчет!$B$2:$B$3001,$L1176))</f>
        <v/>
      </c>
      <c r="D1176">
        <f>IF($L1176="","",IF(ISNUMBER(FIND("(",INDEX(Расчет!$C$2:$C$3001,$L1176))),SUBSTITUTE(MID(INDEX(Расчет!$C$2:$C$3001,$L1176),FIND("(",INDEX(Расчет!$C$2:$C$3001,$L1176))+1,99),")",""),INDEX(Расчет!$C$2:$C$3001,$L1176)))</f>
        <v/>
      </c>
      <c r="E1176">
        <f>IF($L1176="","",INDEX(Расчет!$D$2:$D$3001,$L1176))</f>
        <v/>
      </c>
      <c r="F1176">
        <f>IF($L1176="","",INDEX(Расчет!$E$2:$E$3001,$L1176))</f>
        <v/>
      </c>
      <c r="G1176">
        <f>IF($L1176="","",IFERROR(--LEFT(INDEX(Расчет!$C$2:$C$3001,$L1176),FIND("(",INDEX(Расчет!$C$2:$C$3001,$L1176))-1),IFERROR(--LEFT(INDEX(Расчет!$C$2:$C$3001,$L1176),1),"")))</f>
        <v/>
      </c>
      <c r="H1176">
        <f>IF($L1176="","",SUMIFS(Расчет!$G$2:$G$3001,Расчет!$I$2:$I$3001,$K1176,Расчет!$H$2:$H$3001,1))</f>
        <v/>
      </c>
      <c r="I1176">
        <f>IF($L1176="","",SUMIFS(Расчет!$G$2:$G$3001,Расчет!$I$2:$I$3001,$K1176,Расчет!$H$2:$H$3001,2))</f>
        <v/>
      </c>
      <c r="J1176">
        <f>IF($L1176="","",SUMIFS(Расчет!$G$2:$G$3001,Расчет!$I$2:$I$3001,$K1176,Расчет!$H$2:$H$3001,3))</f>
        <v/>
      </c>
      <c r="K1176">
        <f>IF($L1176="","",INDEX(Расчет!$I$2:$I$3001,$L1176))</f>
        <v/>
      </c>
      <c r="L1176">
        <f>IFERROR(MATCH(ROW()-1,Расчет!$J$2:$J$3001,0),"")</f>
        <v/>
      </c>
    </row>
    <row r="1177">
      <c r="A1177">
        <f>IF($L1177="","",B1177&amp;"."&amp;C1177&amp;"-"&amp;D1177&amp;"-"&amp;H1177&amp;"."&amp;I1177&amp;"."&amp;J1177)</f>
        <v/>
      </c>
      <c r="B1177">
        <f>IF($L1177="","",INDEX(Расчет!$A$2:$A$3001,$L1177))</f>
        <v/>
      </c>
      <c r="C1177">
        <f>IF($L1177="","",INDEX(Расчет!$B$2:$B$3001,$L1177))</f>
        <v/>
      </c>
      <c r="D1177">
        <f>IF($L1177="","",IF(ISNUMBER(FIND("(",INDEX(Расчет!$C$2:$C$3001,$L1177))),SUBSTITUTE(MID(INDEX(Расчет!$C$2:$C$3001,$L1177),FIND("(",INDEX(Расчет!$C$2:$C$3001,$L1177))+1,99),")",""),INDEX(Расчет!$C$2:$C$3001,$L1177)))</f>
        <v/>
      </c>
      <c r="E1177">
        <f>IF($L1177="","",INDEX(Расчет!$D$2:$D$3001,$L1177))</f>
        <v/>
      </c>
      <c r="F1177">
        <f>IF($L1177="","",INDEX(Расчет!$E$2:$E$3001,$L1177))</f>
        <v/>
      </c>
      <c r="G1177">
        <f>IF($L1177="","",IFERROR(--LEFT(INDEX(Расчет!$C$2:$C$3001,$L1177),FIND("(",INDEX(Расчет!$C$2:$C$3001,$L1177))-1),IFERROR(--LEFT(INDEX(Расчет!$C$2:$C$3001,$L1177),1),"")))</f>
        <v/>
      </c>
      <c r="H1177">
        <f>IF($L1177="","",SUMIFS(Расчет!$G$2:$G$3001,Расчет!$I$2:$I$3001,$K1177,Расчет!$H$2:$H$3001,1))</f>
        <v/>
      </c>
      <c r="I1177">
        <f>IF($L1177="","",SUMIFS(Расчет!$G$2:$G$3001,Расчет!$I$2:$I$3001,$K1177,Расчет!$H$2:$H$3001,2))</f>
        <v/>
      </c>
      <c r="J1177">
        <f>IF($L1177="","",SUMIFS(Расчет!$G$2:$G$3001,Расчет!$I$2:$I$3001,$K1177,Расчет!$H$2:$H$3001,3))</f>
        <v/>
      </c>
      <c r="K1177">
        <f>IF($L1177="","",INDEX(Расчет!$I$2:$I$3001,$L1177))</f>
        <v/>
      </c>
      <c r="L1177">
        <f>IFERROR(MATCH(ROW()-1,Расчет!$J$2:$J$3001,0),"")</f>
        <v/>
      </c>
    </row>
    <row r="1178">
      <c r="A1178">
        <f>IF($L1178="","",B1178&amp;"."&amp;C1178&amp;"-"&amp;D1178&amp;"-"&amp;H1178&amp;"."&amp;I1178&amp;"."&amp;J1178)</f>
        <v/>
      </c>
      <c r="B1178">
        <f>IF($L1178="","",INDEX(Расчет!$A$2:$A$3001,$L1178))</f>
        <v/>
      </c>
      <c r="C1178">
        <f>IF($L1178="","",INDEX(Расчет!$B$2:$B$3001,$L1178))</f>
        <v/>
      </c>
      <c r="D1178">
        <f>IF($L1178="","",IF(ISNUMBER(FIND("(",INDEX(Расчет!$C$2:$C$3001,$L1178))),SUBSTITUTE(MID(INDEX(Расчет!$C$2:$C$3001,$L1178),FIND("(",INDEX(Расчет!$C$2:$C$3001,$L1178))+1,99),")",""),INDEX(Расчет!$C$2:$C$3001,$L1178)))</f>
        <v/>
      </c>
      <c r="E1178">
        <f>IF($L1178="","",INDEX(Расчет!$D$2:$D$3001,$L1178))</f>
        <v/>
      </c>
      <c r="F1178">
        <f>IF($L1178="","",INDEX(Расчет!$E$2:$E$3001,$L1178))</f>
        <v/>
      </c>
      <c r="G1178">
        <f>IF($L1178="","",IFERROR(--LEFT(INDEX(Расчет!$C$2:$C$3001,$L1178),FIND("(",INDEX(Расчет!$C$2:$C$3001,$L1178))-1),IFERROR(--LEFT(INDEX(Расчет!$C$2:$C$3001,$L1178),1),"")))</f>
        <v/>
      </c>
      <c r="H1178">
        <f>IF($L1178="","",SUMIFS(Расчет!$G$2:$G$3001,Расчет!$I$2:$I$3001,$K1178,Расчет!$H$2:$H$3001,1))</f>
        <v/>
      </c>
      <c r="I1178">
        <f>IF($L1178="","",SUMIFS(Расчет!$G$2:$G$3001,Расчет!$I$2:$I$3001,$K1178,Расчет!$H$2:$H$3001,2))</f>
        <v/>
      </c>
      <c r="J1178">
        <f>IF($L1178="","",SUMIFS(Расчет!$G$2:$G$3001,Расчет!$I$2:$I$3001,$K1178,Расчет!$H$2:$H$3001,3))</f>
        <v/>
      </c>
      <c r="K1178">
        <f>IF($L1178="","",INDEX(Расчет!$I$2:$I$3001,$L1178))</f>
        <v/>
      </c>
      <c r="L1178">
        <f>IFERROR(MATCH(ROW()-1,Расчет!$J$2:$J$3001,0),"")</f>
        <v/>
      </c>
    </row>
    <row r="1179">
      <c r="A1179">
        <f>IF($L1179="","",B1179&amp;"."&amp;C1179&amp;"-"&amp;D1179&amp;"-"&amp;H1179&amp;"."&amp;I1179&amp;"."&amp;J1179)</f>
        <v/>
      </c>
      <c r="B1179">
        <f>IF($L1179="","",INDEX(Расчет!$A$2:$A$3001,$L1179))</f>
        <v/>
      </c>
      <c r="C1179">
        <f>IF($L1179="","",INDEX(Расчет!$B$2:$B$3001,$L1179))</f>
        <v/>
      </c>
      <c r="D1179">
        <f>IF($L1179="","",IF(ISNUMBER(FIND("(",INDEX(Расчет!$C$2:$C$3001,$L1179))),SUBSTITUTE(MID(INDEX(Расчет!$C$2:$C$3001,$L1179),FIND("(",INDEX(Расчет!$C$2:$C$3001,$L1179))+1,99),")",""),INDEX(Расчет!$C$2:$C$3001,$L1179)))</f>
        <v/>
      </c>
      <c r="E1179">
        <f>IF($L1179="","",INDEX(Расчет!$D$2:$D$3001,$L1179))</f>
        <v/>
      </c>
      <c r="F1179">
        <f>IF($L1179="","",INDEX(Расчет!$E$2:$E$3001,$L1179))</f>
        <v/>
      </c>
      <c r="G1179">
        <f>IF($L1179="","",IFERROR(--LEFT(INDEX(Расчет!$C$2:$C$3001,$L1179),FIND("(",INDEX(Расчет!$C$2:$C$3001,$L1179))-1),IFERROR(--LEFT(INDEX(Расчет!$C$2:$C$3001,$L1179),1),"")))</f>
        <v/>
      </c>
      <c r="H1179">
        <f>IF($L1179="","",SUMIFS(Расчет!$G$2:$G$3001,Расчет!$I$2:$I$3001,$K1179,Расчет!$H$2:$H$3001,1))</f>
        <v/>
      </c>
      <c r="I1179">
        <f>IF($L1179="","",SUMIFS(Расчет!$G$2:$G$3001,Расчет!$I$2:$I$3001,$K1179,Расчет!$H$2:$H$3001,2))</f>
        <v/>
      </c>
      <c r="J1179">
        <f>IF($L1179="","",SUMIFS(Расчет!$G$2:$G$3001,Расчет!$I$2:$I$3001,$K1179,Расчет!$H$2:$H$3001,3))</f>
        <v/>
      </c>
      <c r="K1179">
        <f>IF($L1179="","",INDEX(Расчет!$I$2:$I$3001,$L1179))</f>
        <v/>
      </c>
      <c r="L1179">
        <f>IFERROR(MATCH(ROW()-1,Расчет!$J$2:$J$3001,0),"")</f>
        <v/>
      </c>
    </row>
    <row r="1180">
      <c r="A1180">
        <f>IF($L1180="","",B1180&amp;"."&amp;C1180&amp;"-"&amp;D1180&amp;"-"&amp;H1180&amp;"."&amp;I1180&amp;"."&amp;J1180)</f>
        <v/>
      </c>
      <c r="B1180">
        <f>IF($L1180="","",INDEX(Расчет!$A$2:$A$3001,$L1180))</f>
        <v/>
      </c>
      <c r="C1180">
        <f>IF($L1180="","",INDEX(Расчет!$B$2:$B$3001,$L1180))</f>
        <v/>
      </c>
      <c r="D1180">
        <f>IF($L1180="","",IF(ISNUMBER(FIND("(",INDEX(Расчет!$C$2:$C$3001,$L1180))),SUBSTITUTE(MID(INDEX(Расчет!$C$2:$C$3001,$L1180),FIND("(",INDEX(Расчет!$C$2:$C$3001,$L1180))+1,99),")",""),INDEX(Расчет!$C$2:$C$3001,$L1180)))</f>
        <v/>
      </c>
      <c r="E1180">
        <f>IF($L1180="","",INDEX(Расчет!$D$2:$D$3001,$L1180))</f>
        <v/>
      </c>
      <c r="F1180">
        <f>IF($L1180="","",INDEX(Расчет!$E$2:$E$3001,$L1180))</f>
        <v/>
      </c>
      <c r="G1180">
        <f>IF($L1180="","",IFERROR(--LEFT(INDEX(Расчет!$C$2:$C$3001,$L1180),FIND("(",INDEX(Расчет!$C$2:$C$3001,$L1180))-1),IFERROR(--LEFT(INDEX(Расчет!$C$2:$C$3001,$L1180),1),"")))</f>
        <v/>
      </c>
      <c r="H1180">
        <f>IF($L1180="","",SUMIFS(Расчет!$G$2:$G$3001,Расчет!$I$2:$I$3001,$K1180,Расчет!$H$2:$H$3001,1))</f>
        <v/>
      </c>
      <c r="I1180">
        <f>IF($L1180="","",SUMIFS(Расчет!$G$2:$G$3001,Расчет!$I$2:$I$3001,$K1180,Расчет!$H$2:$H$3001,2))</f>
        <v/>
      </c>
      <c r="J1180">
        <f>IF($L1180="","",SUMIFS(Расчет!$G$2:$G$3001,Расчет!$I$2:$I$3001,$K1180,Расчет!$H$2:$H$3001,3))</f>
        <v/>
      </c>
      <c r="K1180">
        <f>IF($L1180="","",INDEX(Расчет!$I$2:$I$3001,$L1180))</f>
        <v/>
      </c>
      <c r="L1180">
        <f>IFERROR(MATCH(ROW()-1,Расчет!$J$2:$J$3001,0),"")</f>
        <v/>
      </c>
    </row>
    <row r="1181">
      <c r="A1181">
        <f>IF($L1181="","",B1181&amp;"."&amp;C1181&amp;"-"&amp;D1181&amp;"-"&amp;H1181&amp;"."&amp;I1181&amp;"."&amp;J1181)</f>
        <v/>
      </c>
      <c r="B1181">
        <f>IF($L1181="","",INDEX(Расчет!$A$2:$A$3001,$L1181))</f>
        <v/>
      </c>
      <c r="C1181">
        <f>IF($L1181="","",INDEX(Расчет!$B$2:$B$3001,$L1181))</f>
        <v/>
      </c>
      <c r="D1181">
        <f>IF($L1181="","",IF(ISNUMBER(FIND("(",INDEX(Расчет!$C$2:$C$3001,$L1181))),SUBSTITUTE(MID(INDEX(Расчет!$C$2:$C$3001,$L1181),FIND("(",INDEX(Расчет!$C$2:$C$3001,$L1181))+1,99),")",""),INDEX(Расчет!$C$2:$C$3001,$L1181)))</f>
        <v/>
      </c>
      <c r="E1181">
        <f>IF($L1181="","",INDEX(Расчет!$D$2:$D$3001,$L1181))</f>
        <v/>
      </c>
      <c r="F1181">
        <f>IF($L1181="","",INDEX(Расчет!$E$2:$E$3001,$L1181))</f>
        <v/>
      </c>
      <c r="G1181">
        <f>IF($L1181="","",IFERROR(--LEFT(INDEX(Расчет!$C$2:$C$3001,$L1181),FIND("(",INDEX(Расчет!$C$2:$C$3001,$L1181))-1),IFERROR(--LEFT(INDEX(Расчет!$C$2:$C$3001,$L1181),1),"")))</f>
        <v/>
      </c>
      <c r="H1181">
        <f>IF($L1181="","",SUMIFS(Расчет!$G$2:$G$3001,Расчет!$I$2:$I$3001,$K1181,Расчет!$H$2:$H$3001,1))</f>
        <v/>
      </c>
      <c r="I1181">
        <f>IF($L1181="","",SUMIFS(Расчет!$G$2:$G$3001,Расчет!$I$2:$I$3001,$K1181,Расчет!$H$2:$H$3001,2))</f>
        <v/>
      </c>
      <c r="J1181">
        <f>IF($L1181="","",SUMIFS(Расчет!$G$2:$G$3001,Расчет!$I$2:$I$3001,$K1181,Расчет!$H$2:$H$3001,3))</f>
        <v/>
      </c>
      <c r="K1181">
        <f>IF($L1181="","",INDEX(Расчет!$I$2:$I$3001,$L1181))</f>
        <v/>
      </c>
      <c r="L1181">
        <f>IFERROR(MATCH(ROW()-1,Расчет!$J$2:$J$3001,0),"")</f>
        <v/>
      </c>
    </row>
    <row r="1182">
      <c r="A1182">
        <f>IF($L1182="","",B1182&amp;"."&amp;C1182&amp;"-"&amp;D1182&amp;"-"&amp;H1182&amp;"."&amp;I1182&amp;"."&amp;J1182)</f>
        <v/>
      </c>
      <c r="B1182">
        <f>IF($L1182="","",INDEX(Расчет!$A$2:$A$3001,$L1182))</f>
        <v/>
      </c>
      <c r="C1182">
        <f>IF($L1182="","",INDEX(Расчет!$B$2:$B$3001,$L1182))</f>
        <v/>
      </c>
      <c r="D1182">
        <f>IF($L1182="","",IF(ISNUMBER(FIND("(",INDEX(Расчет!$C$2:$C$3001,$L1182))),SUBSTITUTE(MID(INDEX(Расчет!$C$2:$C$3001,$L1182),FIND("(",INDEX(Расчет!$C$2:$C$3001,$L1182))+1,99),")",""),INDEX(Расчет!$C$2:$C$3001,$L1182)))</f>
        <v/>
      </c>
      <c r="E1182">
        <f>IF($L1182="","",INDEX(Расчет!$D$2:$D$3001,$L1182))</f>
        <v/>
      </c>
      <c r="F1182">
        <f>IF($L1182="","",INDEX(Расчет!$E$2:$E$3001,$L1182))</f>
        <v/>
      </c>
      <c r="G1182">
        <f>IF($L1182="","",IFERROR(--LEFT(INDEX(Расчет!$C$2:$C$3001,$L1182),FIND("(",INDEX(Расчет!$C$2:$C$3001,$L1182))-1),IFERROR(--LEFT(INDEX(Расчет!$C$2:$C$3001,$L1182),1),"")))</f>
        <v/>
      </c>
      <c r="H1182">
        <f>IF($L1182="","",SUMIFS(Расчет!$G$2:$G$3001,Расчет!$I$2:$I$3001,$K1182,Расчет!$H$2:$H$3001,1))</f>
        <v/>
      </c>
      <c r="I1182">
        <f>IF($L1182="","",SUMIFS(Расчет!$G$2:$G$3001,Расчет!$I$2:$I$3001,$K1182,Расчет!$H$2:$H$3001,2))</f>
        <v/>
      </c>
      <c r="J1182">
        <f>IF($L1182="","",SUMIFS(Расчет!$G$2:$G$3001,Расчет!$I$2:$I$3001,$K1182,Расчет!$H$2:$H$3001,3))</f>
        <v/>
      </c>
      <c r="K1182">
        <f>IF($L1182="","",INDEX(Расчет!$I$2:$I$3001,$L1182))</f>
        <v/>
      </c>
      <c r="L1182">
        <f>IFERROR(MATCH(ROW()-1,Расчет!$J$2:$J$3001,0),"")</f>
        <v/>
      </c>
    </row>
    <row r="1183">
      <c r="A1183">
        <f>IF($L1183="","",B1183&amp;"."&amp;C1183&amp;"-"&amp;D1183&amp;"-"&amp;H1183&amp;"."&amp;I1183&amp;"."&amp;J1183)</f>
        <v/>
      </c>
      <c r="B1183">
        <f>IF($L1183="","",INDEX(Расчет!$A$2:$A$3001,$L1183))</f>
        <v/>
      </c>
      <c r="C1183">
        <f>IF($L1183="","",INDEX(Расчет!$B$2:$B$3001,$L1183))</f>
        <v/>
      </c>
      <c r="D1183">
        <f>IF($L1183="","",IF(ISNUMBER(FIND("(",INDEX(Расчет!$C$2:$C$3001,$L1183))),SUBSTITUTE(MID(INDEX(Расчет!$C$2:$C$3001,$L1183),FIND("(",INDEX(Расчет!$C$2:$C$3001,$L1183))+1,99),")",""),INDEX(Расчет!$C$2:$C$3001,$L1183)))</f>
        <v/>
      </c>
      <c r="E1183">
        <f>IF($L1183="","",INDEX(Расчет!$D$2:$D$3001,$L1183))</f>
        <v/>
      </c>
      <c r="F1183">
        <f>IF($L1183="","",INDEX(Расчет!$E$2:$E$3001,$L1183))</f>
        <v/>
      </c>
      <c r="G1183">
        <f>IF($L1183="","",IFERROR(--LEFT(INDEX(Расчет!$C$2:$C$3001,$L1183),FIND("(",INDEX(Расчет!$C$2:$C$3001,$L1183))-1),IFERROR(--LEFT(INDEX(Расчет!$C$2:$C$3001,$L1183),1),"")))</f>
        <v/>
      </c>
      <c r="H1183">
        <f>IF($L1183="","",SUMIFS(Расчет!$G$2:$G$3001,Расчет!$I$2:$I$3001,$K1183,Расчет!$H$2:$H$3001,1))</f>
        <v/>
      </c>
      <c r="I1183">
        <f>IF($L1183="","",SUMIFS(Расчет!$G$2:$G$3001,Расчет!$I$2:$I$3001,$K1183,Расчет!$H$2:$H$3001,2))</f>
        <v/>
      </c>
      <c r="J1183">
        <f>IF($L1183="","",SUMIFS(Расчет!$G$2:$G$3001,Расчет!$I$2:$I$3001,$K1183,Расчет!$H$2:$H$3001,3))</f>
        <v/>
      </c>
      <c r="K1183">
        <f>IF($L1183="","",INDEX(Расчет!$I$2:$I$3001,$L1183))</f>
        <v/>
      </c>
      <c r="L1183">
        <f>IFERROR(MATCH(ROW()-1,Расчет!$J$2:$J$3001,0),"")</f>
        <v/>
      </c>
    </row>
    <row r="1184">
      <c r="A1184">
        <f>IF($L1184="","",B1184&amp;"."&amp;C1184&amp;"-"&amp;D1184&amp;"-"&amp;H1184&amp;"."&amp;I1184&amp;"."&amp;J1184)</f>
        <v/>
      </c>
      <c r="B1184">
        <f>IF($L1184="","",INDEX(Расчет!$A$2:$A$3001,$L1184))</f>
        <v/>
      </c>
      <c r="C1184">
        <f>IF($L1184="","",INDEX(Расчет!$B$2:$B$3001,$L1184))</f>
        <v/>
      </c>
      <c r="D1184">
        <f>IF($L1184="","",IF(ISNUMBER(FIND("(",INDEX(Расчет!$C$2:$C$3001,$L1184))),SUBSTITUTE(MID(INDEX(Расчет!$C$2:$C$3001,$L1184),FIND("(",INDEX(Расчет!$C$2:$C$3001,$L1184))+1,99),")",""),INDEX(Расчет!$C$2:$C$3001,$L1184)))</f>
        <v/>
      </c>
      <c r="E1184">
        <f>IF($L1184="","",INDEX(Расчет!$D$2:$D$3001,$L1184))</f>
        <v/>
      </c>
      <c r="F1184">
        <f>IF($L1184="","",INDEX(Расчет!$E$2:$E$3001,$L1184))</f>
        <v/>
      </c>
      <c r="G1184">
        <f>IF($L1184="","",IFERROR(--LEFT(INDEX(Расчет!$C$2:$C$3001,$L1184),FIND("(",INDEX(Расчет!$C$2:$C$3001,$L1184))-1),IFERROR(--LEFT(INDEX(Расчет!$C$2:$C$3001,$L1184),1),"")))</f>
        <v/>
      </c>
      <c r="H1184">
        <f>IF($L1184="","",SUMIFS(Расчет!$G$2:$G$3001,Расчет!$I$2:$I$3001,$K1184,Расчет!$H$2:$H$3001,1))</f>
        <v/>
      </c>
      <c r="I1184">
        <f>IF($L1184="","",SUMIFS(Расчет!$G$2:$G$3001,Расчет!$I$2:$I$3001,$K1184,Расчет!$H$2:$H$3001,2))</f>
        <v/>
      </c>
      <c r="J1184">
        <f>IF($L1184="","",SUMIFS(Расчет!$G$2:$G$3001,Расчет!$I$2:$I$3001,$K1184,Расчет!$H$2:$H$3001,3))</f>
        <v/>
      </c>
      <c r="K1184">
        <f>IF($L1184="","",INDEX(Расчет!$I$2:$I$3001,$L1184))</f>
        <v/>
      </c>
      <c r="L1184">
        <f>IFERROR(MATCH(ROW()-1,Расчет!$J$2:$J$3001,0),"")</f>
        <v/>
      </c>
    </row>
    <row r="1185">
      <c r="A1185">
        <f>IF($L1185="","",B1185&amp;"."&amp;C1185&amp;"-"&amp;D1185&amp;"-"&amp;H1185&amp;"."&amp;I1185&amp;"."&amp;J1185)</f>
        <v/>
      </c>
      <c r="B1185">
        <f>IF($L1185="","",INDEX(Расчет!$A$2:$A$3001,$L1185))</f>
        <v/>
      </c>
      <c r="C1185">
        <f>IF($L1185="","",INDEX(Расчет!$B$2:$B$3001,$L1185))</f>
        <v/>
      </c>
      <c r="D1185">
        <f>IF($L1185="","",IF(ISNUMBER(FIND("(",INDEX(Расчет!$C$2:$C$3001,$L1185))),SUBSTITUTE(MID(INDEX(Расчет!$C$2:$C$3001,$L1185),FIND("(",INDEX(Расчет!$C$2:$C$3001,$L1185))+1,99),")",""),INDEX(Расчет!$C$2:$C$3001,$L1185)))</f>
        <v/>
      </c>
      <c r="E1185">
        <f>IF($L1185="","",INDEX(Расчет!$D$2:$D$3001,$L1185))</f>
        <v/>
      </c>
      <c r="F1185">
        <f>IF($L1185="","",INDEX(Расчет!$E$2:$E$3001,$L1185))</f>
        <v/>
      </c>
      <c r="G1185">
        <f>IF($L1185="","",IFERROR(--LEFT(INDEX(Расчет!$C$2:$C$3001,$L1185),FIND("(",INDEX(Расчет!$C$2:$C$3001,$L1185))-1),IFERROR(--LEFT(INDEX(Расчет!$C$2:$C$3001,$L1185),1),"")))</f>
        <v/>
      </c>
      <c r="H1185">
        <f>IF($L1185="","",SUMIFS(Расчет!$G$2:$G$3001,Расчет!$I$2:$I$3001,$K1185,Расчет!$H$2:$H$3001,1))</f>
        <v/>
      </c>
      <c r="I1185">
        <f>IF($L1185="","",SUMIFS(Расчет!$G$2:$G$3001,Расчет!$I$2:$I$3001,$K1185,Расчет!$H$2:$H$3001,2))</f>
        <v/>
      </c>
      <c r="J1185">
        <f>IF($L1185="","",SUMIFS(Расчет!$G$2:$G$3001,Расчет!$I$2:$I$3001,$K1185,Расчет!$H$2:$H$3001,3))</f>
        <v/>
      </c>
      <c r="K1185">
        <f>IF($L1185="","",INDEX(Расчет!$I$2:$I$3001,$L1185))</f>
        <v/>
      </c>
      <c r="L1185">
        <f>IFERROR(MATCH(ROW()-1,Расчет!$J$2:$J$3001,0),"")</f>
        <v/>
      </c>
    </row>
    <row r="1186">
      <c r="A1186">
        <f>IF($L1186="","",B1186&amp;"."&amp;C1186&amp;"-"&amp;D1186&amp;"-"&amp;H1186&amp;"."&amp;I1186&amp;"."&amp;J1186)</f>
        <v/>
      </c>
      <c r="B1186">
        <f>IF($L1186="","",INDEX(Расчет!$A$2:$A$3001,$L1186))</f>
        <v/>
      </c>
      <c r="C1186">
        <f>IF($L1186="","",INDEX(Расчет!$B$2:$B$3001,$L1186))</f>
        <v/>
      </c>
      <c r="D1186">
        <f>IF($L1186="","",IF(ISNUMBER(FIND("(",INDEX(Расчет!$C$2:$C$3001,$L1186))),SUBSTITUTE(MID(INDEX(Расчет!$C$2:$C$3001,$L1186),FIND("(",INDEX(Расчет!$C$2:$C$3001,$L1186))+1,99),")",""),INDEX(Расчет!$C$2:$C$3001,$L1186)))</f>
        <v/>
      </c>
      <c r="E1186">
        <f>IF($L1186="","",INDEX(Расчет!$D$2:$D$3001,$L1186))</f>
        <v/>
      </c>
      <c r="F1186">
        <f>IF($L1186="","",INDEX(Расчет!$E$2:$E$3001,$L1186))</f>
        <v/>
      </c>
      <c r="G1186">
        <f>IF($L1186="","",IFERROR(--LEFT(INDEX(Расчет!$C$2:$C$3001,$L1186),FIND("(",INDEX(Расчет!$C$2:$C$3001,$L1186))-1),IFERROR(--LEFT(INDEX(Расчет!$C$2:$C$3001,$L1186),1),"")))</f>
        <v/>
      </c>
      <c r="H1186">
        <f>IF($L1186="","",SUMIFS(Расчет!$G$2:$G$3001,Расчет!$I$2:$I$3001,$K1186,Расчет!$H$2:$H$3001,1))</f>
        <v/>
      </c>
      <c r="I1186">
        <f>IF($L1186="","",SUMIFS(Расчет!$G$2:$G$3001,Расчет!$I$2:$I$3001,$K1186,Расчет!$H$2:$H$3001,2))</f>
        <v/>
      </c>
      <c r="J1186">
        <f>IF($L1186="","",SUMIFS(Расчет!$G$2:$G$3001,Расчет!$I$2:$I$3001,$K1186,Расчет!$H$2:$H$3001,3))</f>
        <v/>
      </c>
      <c r="K1186">
        <f>IF($L1186="","",INDEX(Расчет!$I$2:$I$3001,$L1186))</f>
        <v/>
      </c>
      <c r="L1186">
        <f>IFERROR(MATCH(ROW()-1,Расчет!$J$2:$J$3001,0),"")</f>
        <v/>
      </c>
    </row>
    <row r="1187">
      <c r="A1187">
        <f>IF($L1187="","",B1187&amp;"."&amp;C1187&amp;"-"&amp;D1187&amp;"-"&amp;H1187&amp;"."&amp;I1187&amp;"."&amp;J1187)</f>
        <v/>
      </c>
      <c r="B1187">
        <f>IF($L1187="","",INDEX(Расчет!$A$2:$A$3001,$L1187))</f>
        <v/>
      </c>
      <c r="C1187">
        <f>IF($L1187="","",INDEX(Расчет!$B$2:$B$3001,$L1187))</f>
        <v/>
      </c>
      <c r="D1187">
        <f>IF($L1187="","",IF(ISNUMBER(FIND("(",INDEX(Расчет!$C$2:$C$3001,$L1187))),SUBSTITUTE(MID(INDEX(Расчет!$C$2:$C$3001,$L1187),FIND("(",INDEX(Расчет!$C$2:$C$3001,$L1187))+1,99),")",""),INDEX(Расчет!$C$2:$C$3001,$L1187)))</f>
        <v/>
      </c>
      <c r="E1187">
        <f>IF($L1187="","",INDEX(Расчет!$D$2:$D$3001,$L1187))</f>
        <v/>
      </c>
      <c r="F1187">
        <f>IF($L1187="","",INDEX(Расчет!$E$2:$E$3001,$L1187))</f>
        <v/>
      </c>
      <c r="G1187">
        <f>IF($L1187="","",IFERROR(--LEFT(INDEX(Расчет!$C$2:$C$3001,$L1187),FIND("(",INDEX(Расчет!$C$2:$C$3001,$L1187))-1),IFERROR(--LEFT(INDEX(Расчет!$C$2:$C$3001,$L1187),1),"")))</f>
        <v/>
      </c>
      <c r="H1187">
        <f>IF($L1187="","",SUMIFS(Расчет!$G$2:$G$3001,Расчет!$I$2:$I$3001,$K1187,Расчет!$H$2:$H$3001,1))</f>
        <v/>
      </c>
      <c r="I1187">
        <f>IF($L1187="","",SUMIFS(Расчет!$G$2:$G$3001,Расчет!$I$2:$I$3001,$K1187,Расчет!$H$2:$H$3001,2))</f>
        <v/>
      </c>
      <c r="J1187">
        <f>IF($L1187="","",SUMIFS(Расчет!$G$2:$G$3001,Расчет!$I$2:$I$3001,$K1187,Расчет!$H$2:$H$3001,3))</f>
        <v/>
      </c>
      <c r="K1187">
        <f>IF($L1187="","",INDEX(Расчет!$I$2:$I$3001,$L1187))</f>
        <v/>
      </c>
      <c r="L1187">
        <f>IFERROR(MATCH(ROW()-1,Расчет!$J$2:$J$3001,0),"")</f>
        <v/>
      </c>
    </row>
    <row r="1188">
      <c r="A1188">
        <f>IF($L1188="","",B1188&amp;"."&amp;C1188&amp;"-"&amp;D1188&amp;"-"&amp;H1188&amp;"."&amp;I1188&amp;"."&amp;J1188)</f>
        <v/>
      </c>
      <c r="B1188">
        <f>IF($L1188="","",INDEX(Расчет!$A$2:$A$3001,$L1188))</f>
        <v/>
      </c>
      <c r="C1188">
        <f>IF($L1188="","",INDEX(Расчет!$B$2:$B$3001,$L1188))</f>
        <v/>
      </c>
      <c r="D1188">
        <f>IF($L1188="","",IF(ISNUMBER(FIND("(",INDEX(Расчет!$C$2:$C$3001,$L1188))),SUBSTITUTE(MID(INDEX(Расчет!$C$2:$C$3001,$L1188),FIND("(",INDEX(Расчет!$C$2:$C$3001,$L1188))+1,99),")",""),INDEX(Расчет!$C$2:$C$3001,$L1188)))</f>
        <v/>
      </c>
      <c r="E1188">
        <f>IF($L1188="","",INDEX(Расчет!$D$2:$D$3001,$L1188))</f>
        <v/>
      </c>
      <c r="F1188">
        <f>IF($L1188="","",INDEX(Расчет!$E$2:$E$3001,$L1188))</f>
        <v/>
      </c>
      <c r="G1188">
        <f>IF($L1188="","",IFERROR(--LEFT(INDEX(Расчет!$C$2:$C$3001,$L1188),FIND("(",INDEX(Расчет!$C$2:$C$3001,$L1188))-1),IFERROR(--LEFT(INDEX(Расчет!$C$2:$C$3001,$L1188),1),"")))</f>
        <v/>
      </c>
      <c r="H1188">
        <f>IF($L1188="","",SUMIFS(Расчет!$G$2:$G$3001,Расчет!$I$2:$I$3001,$K1188,Расчет!$H$2:$H$3001,1))</f>
        <v/>
      </c>
      <c r="I1188">
        <f>IF($L1188="","",SUMIFS(Расчет!$G$2:$G$3001,Расчет!$I$2:$I$3001,$K1188,Расчет!$H$2:$H$3001,2))</f>
        <v/>
      </c>
      <c r="J1188">
        <f>IF($L1188="","",SUMIFS(Расчет!$G$2:$G$3001,Расчет!$I$2:$I$3001,$K1188,Расчет!$H$2:$H$3001,3))</f>
        <v/>
      </c>
      <c r="K1188">
        <f>IF($L1188="","",INDEX(Расчет!$I$2:$I$3001,$L1188))</f>
        <v/>
      </c>
      <c r="L1188">
        <f>IFERROR(MATCH(ROW()-1,Расчет!$J$2:$J$3001,0),"")</f>
        <v/>
      </c>
    </row>
    <row r="1189">
      <c r="A1189">
        <f>IF($L1189="","",B1189&amp;"."&amp;C1189&amp;"-"&amp;D1189&amp;"-"&amp;H1189&amp;"."&amp;I1189&amp;"."&amp;J1189)</f>
        <v/>
      </c>
      <c r="B1189">
        <f>IF($L1189="","",INDEX(Расчет!$A$2:$A$3001,$L1189))</f>
        <v/>
      </c>
      <c r="C1189">
        <f>IF($L1189="","",INDEX(Расчет!$B$2:$B$3001,$L1189))</f>
        <v/>
      </c>
      <c r="D1189">
        <f>IF($L1189="","",IF(ISNUMBER(FIND("(",INDEX(Расчет!$C$2:$C$3001,$L1189))),SUBSTITUTE(MID(INDEX(Расчет!$C$2:$C$3001,$L1189),FIND("(",INDEX(Расчет!$C$2:$C$3001,$L1189))+1,99),")",""),INDEX(Расчет!$C$2:$C$3001,$L1189)))</f>
        <v/>
      </c>
      <c r="E1189">
        <f>IF($L1189="","",INDEX(Расчет!$D$2:$D$3001,$L1189))</f>
        <v/>
      </c>
      <c r="F1189">
        <f>IF($L1189="","",INDEX(Расчет!$E$2:$E$3001,$L1189))</f>
        <v/>
      </c>
      <c r="G1189">
        <f>IF($L1189="","",IFERROR(--LEFT(INDEX(Расчет!$C$2:$C$3001,$L1189),FIND("(",INDEX(Расчет!$C$2:$C$3001,$L1189))-1),IFERROR(--LEFT(INDEX(Расчет!$C$2:$C$3001,$L1189),1),"")))</f>
        <v/>
      </c>
      <c r="H1189">
        <f>IF($L1189="","",SUMIFS(Расчет!$G$2:$G$3001,Расчет!$I$2:$I$3001,$K1189,Расчет!$H$2:$H$3001,1))</f>
        <v/>
      </c>
      <c r="I1189">
        <f>IF($L1189="","",SUMIFS(Расчет!$G$2:$G$3001,Расчет!$I$2:$I$3001,$K1189,Расчет!$H$2:$H$3001,2))</f>
        <v/>
      </c>
      <c r="J1189">
        <f>IF($L1189="","",SUMIFS(Расчет!$G$2:$G$3001,Расчет!$I$2:$I$3001,$K1189,Расчет!$H$2:$H$3001,3))</f>
        <v/>
      </c>
      <c r="K1189">
        <f>IF($L1189="","",INDEX(Расчет!$I$2:$I$3001,$L1189))</f>
        <v/>
      </c>
      <c r="L1189">
        <f>IFERROR(MATCH(ROW()-1,Расчет!$J$2:$J$3001,0),"")</f>
        <v/>
      </c>
    </row>
    <row r="1190">
      <c r="A1190">
        <f>IF($L1190="","",B1190&amp;"."&amp;C1190&amp;"-"&amp;D1190&amp;"-"&amp;H1190&amp;"."&amp;I1190&amp;"."&amp;J1190)</f>
        <v/>
      </c>
      <c r="B1190">
        <f>IF($L1190="","",INDEX(Расчет!$A$2:$A$3001,$L1190))</f>
        <v/>
      </c>
      <c r="C1190">
        <f>IF($L1190="","",INDEX(Расчет!$B$2:$B$3001,$L1190))</f>
        <v/>
      </c>
      <c r="D1190">
        <f>IF($L1190="","",IF(ISNUMBER(FIND("(",INDEX(Расчет!$C$2:$C$3001,$L1190))),SUBSTITUTE(MID(INDEX(Расчет!$C$2:$C$3001,$L1190),FIND("(",INDEX(Расчет!$C$2:$C$3001,$L1190))+1,99),")",""),INDEX(Расчет!$C$2:$C$3001,$L1190)))</f>
        <v/>
      </c>
      <c r="E1190">
        <f>IF($L1190="","",INDEX(Расчет!$D$2:$D$3001,$L1190))</f>
        <v/>
      </c>
      <c r="F1190">
        <f>IF($L1190="","",INDEX(Расчет!$E$2:$E$3001,$L1190))</f>
        <v/>
      </c>
      <c r="G1190">
        <f>IF($L1190="","",IFERROR(--LEFT(INDEX(Расчет!$C$2:$C$3001,$L1190),FIND("(",INDEX(Расчет!$C$2:$C$3001,$L1190))-1),IFERROR(--LEFT(INDEX(Расчет!$C$2:$C$3001,$L1190),1),"")))</f>
        <v/>
      </c>
      <c r="H1190">
        <f>IF($L1190="","",SUMIFS(Расчет!$G$2:$G$3001,Расчет!$I$2:$I$3001,$K1190,Расчет!$H$2:$H$3001,1))</f>
        <v/>
      </c>
      <c r="I1190">
        <f>IF($L1190="","",SUMIFS(Расчет!$G$2:$G$3001,Расчет!$I$2:$I$3001,$K1190,Расчет!$H$2:$H$3001,2))</f>
        <v/>
      </c>
      <c r="J1190">
        <f>IF($L1190="","",SUMIFS(Расчет!$G$2:$G$3001,Расчет!$I$2:$I$3001,$K1190,Расчет!$H$2:$H$3001,3))</f>
        <v/>
      </c>
      <c r="K1190">
        <f>IF($L1190="","",INDEX(Расчет!$I$2:$I$3001,$L1190))</f>
        <v/>
      </c>
      <c r="L1190">
        <f>IFERROR(MATCH(ROW()-1,Расчет!$J$2:$J$3001,0),"")</f>
        <v/>
      </c>
    </row>
    <row r="1191">
      <c r="A1191">
        <f>IF($L1191="","",B1191&amp;"."&amp;C1191&amp;"-"&amp;D1191&amp;"-"&amp;H1191&amp;"."&amp;I1191&amp;"."&amp;J1191)</f>
        <v/>
      </c>
      <c r="B1191">
        <f>IF($L1191="","",INDEX(Расчет!$A$2:$A$3001,$L1191))</f>
        <v/>
      </c>
      <c r="C1191">
        <f>IF($L1191="","",INDEX(Расчет!$B$2:$B$3001,$L1191))</f>
        <v/>
      </c>
      <c r="D1191">
        <f>IF($L1191="","",IF(ISNUMBER(FIND("(",INDEX(Расчет!$C$2:$C$3001,$L1191))),SUBSTITUTE(MID(INDEX(Расчет!$C$2:$C$3001,$L1191),FIND("(",INDEX(Расчет!$C$2:$C$3001,$L1191))+1,99),")",""),INDEX(Расчет!$C$2:$C$3001,$L1191)))</f>
        <v/>
      </c>
      <c r="E1191">
        <f>IF($L1191="","",INDEX(Расчет!$D$2:$D$3001,$L1191))</f>
        <v/>
      </c>
      <c r="F1191">
        <f>IF($L1191="","",INDEX(Расчет!$E$2:$E$3001,$L1191))</f>
        <v/>
      </c>
      <c r="G1191">
        <f>IF($L1191="","",IFERROR(--LEFT(INDEX(Расчет!$C$2:$C$3001,$L1191),FIND("(",INDEX(Расчет!$C$2:$C$3001,$L1191))-1),IFERROR(--LEFT(INDEX(Расчет!$C$2:$C$3001,$L1191),1),"")))</f>
        <v/>
      </c>
      <c r="H1191">
        <f>IF($L1191="","",SUMIFS(Расчет!$G$2:$G$3001,Расчет!$I$2:$I$3001,$K1191,Расчет!$H$2:$H$3001,1))</f>
        <v/>
      </c>
      <c r="I1191">
        <f>IF($L1191="","",SUMIFS(Расчет!$G$2:$G$3001,Расчет!$I$2:$I$3001,$K1191,Расчет!$H$2:$H$3001,2))</f>
        <v/>
      </c>
      <c r="J1191">
        <f>IF($L1191="","",SUMIFS(Расчет!$G$2:$G$3001,Расчет!$I$2:$I$3001,$K1191,Расчет!$H$2:$H$3001,3))</f>
        <v/>
      </c>
      <c r="K1191">
        <f>IF($L1191="","",INDEX(Расчет!$I$2:$I$3001,$L1191))</f>
        <v/>
      </c>
      <c r="L1191">
        <f>IFERROR(MATCH(ROW()-1,Расчет!$J$2:$J$3001,0),"")</f>
        <v/>
      </c>
    </row>
    <row r="1192">
      <c r="A1192">
        <f>IF($L1192="","",B1192&amp;"."&amp;C1192&amp;"-"&amp;D1192&amp;"-"&amp;H1192&amp;"."&amp;I1192&amp;"."&amp;J1192)</f>
        <v/>
      </c>
      <c r="B1192">
        <f>IF($L1192="","",INDEX(Расчет!$A$2:$A$3001,$L1192))</f>
        <v/>
      </c>
      <c r="C1192">
        <f>IF($L1192="","",INDEX(Расчет!$B$2:$B$3001,$L1192))</f>
        <v/>
      </c>
      <c r="D1192">
        <f>IF($L1192="","",IF(ISNUMBER(FIND("(",INDEX(Расчет!$C$2:$C$3001,$L1192))),SUBSTITUTE(MID(INDEX(Расчет!$C$2:$C$3001,$L1192),FIND("(",INDEX(Расчет!$C$2:$C$3001,$L1192))+1,99),")",""),INDEX(Расчет!$C$2:$C$3001,$L1192)))</f>
        <v/>
      </c>
      <c r="E1192">
        <f>IF($L1192="","",INDEX(Расчет!$D$2:$D$3001,$L1192))</f>
        <v/>
      </c>
      <c r="F1192">
        <f>IF($L1192="","",INDEX(Расчет!$E$2:$E$3001,$L1192))</f>
        <v/>
      </c>
      <c r="G1192">
        <f>IF($L1192="","",IFERROR(--LEFT(INDEX(Расчет!$C$2:$C$3001,$L1192),FIND("(",INDEX(Расчет!$C$2:$C$3001,$L1192))-1),IFERROR(--LEFT(INDEX(Расчет!$C$2:$C$3001,$L1192),1),"")))</f>
        <v/>
      </c>
      <c r="H1192">
        <f>IF($L1192="","",SUMIFS(Расчет!$G$2:$G$3001,Расчет!$I$2:$I$3001,$K1192,Расчет!$H$2:$H$3001,1))</f>
        <v/>
      </c>
      <c r="I1192">
        <f>IF($L1192="","",SUMIFS(Расчет!$G$2:$G$3001,Расчет!$I$2:$I$3001,$K1192,Расчет!$H$2:$H$3001,2))</f>
        <v/>
      </c>
      <c r="J1192">
        <f>IF($L1192="","",SUMIFS(Расчет!$G$2:$G$3001,Расчет!$I$2:$I$3001,$K1192,Расчет!$H$2:$H$3001,3))</f>
        <v/>
      </c>
      <c r="K1192">
        <f>IF($L1192="","",INDEX(Расчет!$I$2:$I$3001,$L1192))</f>
        <v/>
      </c>
      <c r="L1192">
        <f>IFERROR(MATCH(ROW()-1,Расчет!$J$2:$J$3001,0),"")</f>
        <v/>
      </c>
    </row>
    <row r="1193">
      <c r="A1193">
        <f>IF($L1193="","",B1193&amp;"."&amp;C1193&amp;"-"&amp;D1193&amp;"-"&amp;H1193&amp;"."&amp;I1193&amp;"."&amp;J1193)</f>
        <v/>
      </c>
      <c r="B1193">
        <f>IF($L1193="","",INDEX(Расчет!$A$2:$A$3001,$L1193))</f>
        <v/>
      </c>
      <c r="C1193">
        <f>IF($L1193="","",INDEX(Расчет!$B$2:$B$3001,$L1193))</f>
        <v/>
      </c>
      <c r="D1193">
        <f>IF($L1193="","",IF(ISNUMBER(FIND("(",INDEX(Расчет!$C$2:$C$3001,$L1193))),SUBSTITUTE(MID(INDEX(Расчет!$C$2:$C$3001,$L1193),FIND("(",INDEX(Расчет!$C$2:$C$3001,$L1193))+1,99),")",""),INDEX(Расчет!$C$2:$C$3001,$L1193)))</f>
        <v/>
      </c>
      <c r="E1193">
        <f>IF($L1193="","",INDEX(Расчет!$D$2:$D$3001,$L1193))</f>
        <v/>
      </c>
      <c r="F1193">
        <f>IF($L1193="","",INDEX(Расчет!$E$2:$E$3001,$L1193))</f>
        <v/>
      </c>
      <c r="G1193">
        <f>IF($L1193="","",IFERROR(--LEFT(INDEX(Расчет!$C$2:$C$3001,$L1193),FIND("(",INDEX(Расчет!$C$2:$C$3001,$L1193))-1),IFERROR(--LEFT(INDEX(Расчет!$C$2:$C$3001,$L1193),1),"")))</f>
        <v/>
      </c>
      <c r="H1193">
        <f>IF($L1193="","",SUMIFS(Расчет!$G$2:$G$3001,Расчет!$I$2:$I$3001,$K1193,Расчет!$H$2:$H$3001,1))</f>
        <v/>
      </c>
      <c r="I1193">
        <f>IF($L1193="","",SUMIFS(Расчет!$G$2:$G$3001,Расчет!$I$2:$I$3001,$K1193,Расчет!$H$2:$H$3001,2))</f>
        <v/>
      </c>
      <c r="J1193">
        <f>IF($L1193="","",SUMIFS(Расчет!$G$2:$G$3001,Расчет!$I$2:$I$3001,$K1193,Расчет!$H$2:$H$3001,3))</f>
        <v/>
      </c>
      <c r="K1193">
        <f>IF($L1193="","",INDEX(Расчет!$I$2:$I$3001,$L1193))</f>
        <v/>
      </c>
      <c r="L1193">
        <f>IFERROR(MATCH(ROW()-1,Расчет!$J$2:$J$3001,0),"")</f>
        <v/>
      </c>
    </row>
    <row r="1194">
      <c r="A1194">
        <f>IF($L1194="","",B1194&amp;"."&amp;C1194&amp;"-"&amp;D1194&amp;"-"&amp;H1194&amp;"."&amp;I1194&amp;"."&amp;J1194)</f>
        <v/>
      </c>
      <c r="B1194">
        <f>IF($L1194="","",INDEX(Расчет!$A$2:$A$3001,$L1194))</f>
        <v/>
      </c>
      <c r="C1194">
        <f>IF($L1194="","",INDEX(Расчет!$B$2:$B$3001,$L1194))</f>
        <v/>
      </c>
      <c r="D1194">
        <f>IF($L1194="","",IF(ISNUMBER(FIND("(",INDEX(Расчет!$C$2:$C$3001,$L1194))),SUBSTITUTE(MID(INDEX(Расчет!$C$2:$C$3001,$L1194),FIND("(",INDEX(Расчет!$C$2:$C$3001,$L1194))+1,99),")",""),INDEX(Расчет!$C$2:$C$3001,$L1194)))</f>
        <v/>
      </c>
      <c r="E1194">
        <f>IF($L1194="","",INDEX(Расчет!$D$2:$D$3001,$L1194))</f>
        <v/>
      </c>
      <c r="F1194">
        <f>IF($L1194="","",INDEX(Расчет!$E$2:$E$3001,$L1194))</f>
        <v/>
      </c>
      <c r="G1194">
        <f>IF($L1194="","",IFERROR(--LEFT(INDEX(Расчет!$C$2:$C$3001,$L1194),FIND("(",INDEX(Расчет!$C$2:$C$3001,$L1194))-1),IFERROR(--LEFT(INDEX(Расчет!$C$2:$C$3001,$L1194),1),"")))</f>
        <v/>
      </c>
      <c r="H1194">
        <f>IF($L1194="","",SUMIFS(Расчет!$G$2:$G$3001,Расчет!$I$2:$I$3001,$K1194,Расчет!$H$2:$H$3001,1))</f>
        <v/>
      </c>
      <c r="I1194">
        <f>IF($L1194="","",SUMIFS(Расчет!$G$2:$G$3001,Расчет!$I$2:$I$3001,$K1194,Расчет!$H$2:$H$3001,2))</f>
        <v/>
      </c>
      <c r="J1194">
        <f>IF($L1194="","",SUMIFS(Расчет!$G$2:$G$3001,Расчет!$I$2:$I$3001,$K1194,Расчет!$H$2:$H$3001,3))</f>
        <v/>
      </c>
      <c r="K1194">
        <f>IF($L1194="","",INDEX(Расчет!$I$2:$I$3001,$L1194))</f>
        <v/>
      </c>
      <c r="L1194">
        <f>IFERROR(MATCH(ROW()-1,Расчет!$J$2:$J$3001,0),"")</f>
        <v/>
      </c>
    </row>
    <row r="1195">
      <c r="A1195">
        <f>IF($L1195="","",B1195&amp;"."&amp;C1195&amp;"-"&amp;D1195&amp;"-"&amp;H1195&amp;"."&amp;I1195&amp;"."&amp;J1195)</f>
        <v/>
      </c>
      <c r="B1195">
        <f>IF($L1195="","",INDEX(Расчет!$A$2:$A$3001,$L1195))</f>
        <v/>
      </c>
      <c r="C1195">
        <f>IF($L1195="","",INDEX(Расчет!$B$2:$B$3001,$L1195))</f>
        <v/>
      </c>
      <c r="D1195">
        <f>IF($L1195="","",IF(ISNUMBER(FIND("(",INDEX(Расчет!$C$2:$C$3001,$L1195))),SUBSTITUTE(MID(INDEX(Расчет!$C$2:$C$3001,$L1195),FIND("(",INDEX(Расчет!$C$2:$C$3001,$L1195))+1,99),")",""),INDEX(Расчет!$C$2:$C$3001,$L1195)))</f>
        <v/>
      </c>
      <c r="E1195">
        <f>IF($L1195="","",INDEX(Расчет!$D$2:$D$3001,$L1195))</f>
        <v/>
      </c>
      <c r="F1195">
        <f>IF($L1195="","",INDEX(Расчет!$E$2:$E$3001,$L1195))</f>
        <v/>
      </c>
      <c r="G1195">
        <f>IF($L1195="","",IFERROR(--LEFT(INDEX(Расчет!$C$2:$C$3001,$L1195),FIND("(",INDEX(Расчет!$C$2:$C$3001,$L1195))-1),IFERROR(--LEFT(INDEX(Расчет!$C$2:$C$3001,$L1195),1),"")))</f>
        <v/>
      </c>
      <c r="H1195">
        <f>IF($L1195="","",SUMIFS(Расчет!$G$2:$G$3001,Расчет!$I$2:$I$3001,$K1195,Расчет!$H$2:$H$3001,1))</f>
        <v/>
      </c>
      <c r="I1195">
        <f>IF($L1195="","",SUMIFS(Расчет!$G$2:$G$3001,Расчет!$I$2:$I$3001,$K1195,Расчет!$H$2:$H$3001,2))</f>
        <v/>
      </c>
      <c r="J1195">
        <f>IF($L1195="","",SUMIFS(Расчет!$G$2:$G$3001,Расчет!$I$2:$I$3001,$K1195,Расчет!$H$2:$H$3001,3))</f>
        <v/>
      </c>
      <c r="K1195">
        <f>IF($L1195="","",INDEX(Расчет!$I$2:$I$3001,$L1195))</f>
        <v/>
      </c>
      <c r="L1195">
        <f>IFERROR(MATCH(ROW()-1,Расчет!$J$2:$J$3001,0),"")</f>
        <v/>
      </c>
    </row>
    <row r="1196">
      <c r="A1196">
        <f>IF($L1196="","",B1196&amp;"."&amp;C1196&amp;"-"&amp;D1196&amp;"-"&amp;H1196&amp;"."&amp;I1196&amp;"."&amp;J1196)</f>
        <v/>
      </c>
      <c r="B1196">
        <f>IF($L1196="","",INDEX(Расчет!$A$2:$A$3001,$L1196))</f>
        <v/>
      </c>
      <c r="C1196">
        <f>IF($L1196="","",INDEX(Расчет!$B$2:$B$3001,$L1196))</f>
        <v/>
      </c>
      <c r="D1196">
        <f>IF($L1196="","",IF(ISNUMBER(FIND("(",INDEX(Расчет!$C$2:$C$3001,$L1196))),SUBSTITUTE(MID(INDEX(Расчет!$C$2:$C$3001,$L1196),FIND("(",INDEX(Расчет!$C$2:$C$3001,$L1196))+1,99),")",""),INDEX(Расчет!$C$2:$C$3001,$L1196)))</f>
        <v/>
      </c>
      <c r="E1196">
        <f>IF($L1196="","",INDEX(Расчет!$D$2:$D$3001,$L1196))</f>
        <v/>
      </c>
      <c r="F1196">
        <f>IF($L1196="","",INDEX(Расчет!$E$2:$E$3001,$L1196))</f>
        <v/>
      </c>
      <c r="G1196">
        <f>IF($L1196="","",IFERROR(--LEFT(INDEX(Расчет!$C$2:$C$3001,$L1196),FIND("(",INDEX(Расчет!$C$2:$C$3001,$L1196))-1),IFERROR(--LEFT(INDEX(Расчет!$C$2:$C$3001,$L1196),1),"")))</f>
        <v/>
      </c>
      <c r="H1196">
        <f>IF($L1196="","",SUMIFS(Расчет!$G$2:$G$3001,Расчет!$I$2:$I$3001,$K1196,Расчет!$H$2:$H$3001,1))</f>
        <v/>
      </c>
      <c r="I1196">
        <f>IF($L1196="","",SUMIFS(Расчет!$G$2:$G$3001,Расчет!$I$2:$I$3001,$K1196,Расчет!$H$2:$H$3001,2))</f>
        <v/>
      </c>
      <c r="J1196">
        <f>IF($L1196="","",SUMIFS(Расчет!$G$2:$G$3001,Расчет!$I$2:$I$3001,$K1196,Расчет!$H$2:$H$3001,3))</f>
        <v/>
      </c>
      <c r="K1196">
        <f>IF($L1196="","",INDEX(Расчет!$I$2:$I$3001,$L1196))</f>
        <v/>
      </c>
      <c r="L1196">
        <f>IFERROR(MATCH(ROW()-1,Расчет!$J$2:$J$3001,0),"")</f>
        <v/>
      </c>
    </row>
    <row r="1197">
      <c r="A1197">
        <f>IF($L1197="","",B1197&amp;"."&amp;C1197&amp;"-"&amp;D1197&amp;"-"&amp;H1197&amp;"."&amp;I1197&amp;"."&amp;J1197)</f>
        <v/>
      </c>
      <c r="B1197">
        <f>IF($L1197="","",INDEX(Расчет!$A$2:$A$3001,$L1197))</f>
        <v/>
      </c>
      <c r="C1197">
        <f>IF($L1197="","",INDEX(Расчет!$B$2:$B$3001,$L1197))</f>
        <v/>
      </c>
      <c r="D1197">
        <f>IF($L1197="","",IF(ISNUMBER(FIND("(",INDEX(Расчет!$C$2:$C$3001,$L1197))),SUBSTITUTE(MID(INDEX(Расчет!$C$2:$C$3001,$L1197),FIND("(",INDEX(Расчет!$C$2:$C$3001,$L1197))+1,99),")",""),INDEX(Расчет!$C$2:$C$3001,$L1197)))</f>
        <v/>
      </c>
      <c r="E1197">
        <f>IF($L1197="","",INDEX(Расчет!$D$2:$D$3001,$L1197))</f>
        <v/>
      </c>
      <c r="F1197">
        <f>IF($L1197="","",INDEX(Расчет!$E$2:$E$3001,$L1197))</f>
        <v/>
      </c>
      <c r="G1197">
        <f>IF($L1197="","",IFERROR(--LEFT(INDEX(Расчет!$C$2:$C$3001,$L1197),FIND("(",INDEX(Расчет!$C$2:$C$3001,$L1197))-1),IFERROR(--LEFT(INDEX(Расчет!$C$2:$C$3001,$L1197),1),"")))</f>
        <v/>
      </c>
      <c r="H1197">
        <f>IF($L1197="","",SUMIFS(Расчет!$G$2:$G$3001,Расчет!$I$2:$I$3001,$K1197,Расчет!$H$2:$H$3001,1))</f>
        <v/>
      </c>
      <c r="I1197">
        <f>IF($L1197="","",SUMIFS(Расчет!$G$2:$G$3001,Расчет!$I$2:$I$3001,$K1197,Расчет!$H$2:$H$3001,2))</f>
        <v/>
      </c>
      <c r="J1197">
        <f>IF($L1197="","",SUMIFS(Расчет!$G$2:$G$3001,Расчет!$I$2:$I$3001,$K1197,Расчет!$H$2:$H$3001,3))</f>
        <v/>
      </c>
      <c r="K1197">
        <f>IF($L1197="","",INDEX(Расчет!$I$2:$I$3001,$L1197))</f>
        <v/>
      </c>
      <c r="L1197">
        <f>IFERROR(MATCH(ROW()-1,Расчет!$J$2:$J$3001,0),"")</f>
        <v/>
      </c>
    </row>
    <row r="1198">
      <c r="A1198">
        <f>IF($L1198="","",B1198&amp;"."&amp;C1198&amp;"-"&amp;D1198&amp;"-"&amp;H1198&amp;"."&amp;I1198&amp;"."&amp;J1198)</f>
        <v/>
      </c>
      <c r="B1198">
        <f>IF($L1198="","",INDEX(Расчет!$A$2:$A$3001,$L1198))</f>
        <v/>
      </c>
      <c r="C1198">
        <f>IF($L1198="","",INDEX(Расчет!$B$2:$B$3001,$L1198))</f>
        <v/>
      </c>
      <c r="D1198">
        <f>IF($L1198="","",IF(ISNUMBER(FIND("(",INDEX(Расчет!$C$2:$C$3001,$L1198))),SUBSTITUTE(MID(INDEX(Расчет!$C$2:$C$3001,$L1198),FIND("(",INDEX(Расчет!$C$2:$C$3001,$L1198))+1,99),")",""),INDEX(Расчет!$C$2:$C$3001,$L1198)))</f>
        <v/>
      </c>
      <c r="E1198">
        <f>IF($L1198="","",INDEX(Расчет!$D$2:$D$3001,$L1198))</f>
        <v/>
      </c>
      <c r="F1198">
        <f>IF($L1198="","",INDEX(Расчет!$E$2:$E$3001,$L1198))</f>
        <v/>
      </c>
      <c r="G1198">
        <f>IF($L1198="","",IFERROR(--LEFT(INDEX(Расчет!$C$2:$C$3001,$L1198),FIND("(",INDEX(Расчет!$C$2:$C$3001,$L1198))-1),IFERROR(--LEFT(INDEX(Расчет!$C$2:$C$3001,$L1198),1),"")))</f>
        <v/>
      </c>
      <c r="H1198">
        <f>IF($L1198="","",SUMIFS(Расчет!$G$2:$G$3001,Расчет!$I$2:$I$3001,$K1198,Расчет!$H$2:$H$3001,1))</f>
        <v/>
      </c>
      <c r="I1198">
        <f>IF($L1198="","",SUMIFS(Расчет!$G$2:$G$3001,Расчет!$I$2:$I$3001,$K1198,Расчет!$H$2:$H$3001,2))</f>
        <v/>
      </c>
      <c r="J1198">
        <f>IF($L1198="","",SUMIFS(Расчет!$G$2:$G$3001,Расчет!$I$2:$I$3001,$K1198,Расчет!$H$2:$H$3001,3))</f>
        <v/>
      </c>
      <c r="K1198">
        <f>IF($L1198="","",INDEX(Расчет!$I$2:$I$3001,$L1198))</f>
        <v/>
      </c>
      <c r="L1198">
        <f>IFERROR(MATCH(ROW()-1,Расчет!$J$2:$J$3001,0),"")</f>
        <v/>
      </c>
    </row>
    <row r="1199">
      <c r="A1199">
        <f>IF($L1199="","",B1199&amp;"."&amp;C1199&amp;"-"&amp;D1199&amp;"-"&amp;H1199&amp;"."&amp;I1199&amp;"."&amp;J1199)</f>
        <v/>
      </c>
      <c r="B1199">
        <f>IF($L1199="","",INDEX(Расчет!$A$2:$A$3001,$L1199))</f>
        <v/>
      </c>
      <c r="C1199">
        <f>IF($L1199="","",INDEX(Расчет!$B$2:$B$3001,$L1199))</f>
        <v/>
      </c>
      <c r="D1199">
        <f>IF($L1199="","",IF(ISNUMBER(FIND("(",INDEX(Расчет!$C$2:$C$3001,$L1199))),SUBSTITUTE(MID(INDEX(Расчет!$C$2:$C$3001,$L1199),FIND("(",INDEX(Расчет!$C$2:$C$3001,$L1199))+1,99),")",""),INDEX(Расчет!$C$2:$C$3001,$L1199)))</f>
        <v/>
      </c>
      <c r="E1199">
        <f>IF($L1199="","",INDEX(Расчет!$D$2:$D$3001,$L1199))</f>
        <v/>
      </c>
      <c r="F1199">
        <f>IF($L1199="","",INDEX(Расчет!$E$2:$E$3001,$L1199))</f>
        <v/>
      </c>
      <c r="G1199">
        <f>IF($L1199="","",IFERROR(--LEFT(INDEX(Расчет!$C$2:$C$3001,$L1199),FIND("(",INDEX(Расчет!$C$2:$C$3001,$L1199))-1),IFERROR(--LEFT(INDEX(Расчет!$C$2:$C$3001,$L1199),1),"")))</f>
        <v/>
      </c>
      <c r="H1199">
        <f>IF($L1199="","",SUMIFS(Расчет!$G$2:$G$3001,Расчет!$I$2:$I$3001,$K1199,Расчет!$H$2:$H$3001,1))</f>
        <v/>
      </c>
      <c r="I1199">
        <f>IF($L1199="","",SUMIFS(Расчет!$G$2:$G$3001,Расчет!$I$2:$I$3001,$K1199,Расчет!$H$2:$H$3001,2))</f>
        <v/>
      </c>
      <c r="J1199">
        <f>IF($L1199="","",SUMIFS(Расчет!$G$2:$G$3001,Расчет!$I$2:$I$3001,$K1199,Расчет!$H$2:$H$3001,3))</f>
        <v/>
      </c>
      <c r="K1199">
        <f>IF($L1199="","",INDEX(Расчет!$I$2:$I$3001,$L1199))</f>
        <v/>
      </c>
      <c r="L1199">
        <f>IFERROR(MATCH(ROW()-1,Расчет!$J$2:$J$3001,0),"")</f>
        <v/>
      </c>
    </row>
    <row r="1200">
      <c r="A1200">
        <f>IF($L1200="","",B1200&amp;"."&amp;C1200&amp;"-"&amp;D1200&amp;"-"&amp;H1200&amp;"."&amp;I1200&amp;"."&amp;J1200)</f>
        <v/>
      </c>
      <c r="B1200">
        <f>IF($L1200="","",INDEX(Расчет!$A$2:$A$3001,$L1200))</f>
        <v/>
      </c>
      <c r="C1200">
        <f>IF($L1200="","",INDEX(Расчет!$B$2:$B$3001,$L1200))</f>
        <v/>
      </c>
      <c r="D1200">
        <f>IF($L1200="","",IF(ISNUMBER(FIND("(",INDEX(Расчет!$C$2:$C$3001,$L1200))),SUBSTITUTE(MID(INDEX(Расчет!$C$2:$C$3001,$L1200),FIND("(",INDEX(Расчет!$C$2:$C$3001,$L1200))+1,99),")",""),INDEX(Расчет!$C$2:$C$3001,$L1200)))</f>
        <v/>
      </c>
      <c r="E1200">
        <f>IF($L1200="","",INDEX(Расчет!$D$2:$D$3001,$L1200))</f>
        <v/>
      </c>
      <c r="F1200">
        <f>IF($L1200="","",INDEX(Расчет!$E$2:$E$3001,$L1200))</f>
        <v/>
      </c>
      <c r="G1200">
        <f>IF($L1200="","",IFERROR(--LEFT(INDEX(Расчет!$C$2:$C$3001,$L1200),FIND("(",INDEX(Расчет!$C$2:$C$3001,$L1200))-1),IFERROR(--LEFT(INDEX(Расчет!$C$2:$C$3001,$L1200),1),"")))</f>
        <v/>
      </c>
      <c r="H1200">
        <f>IF($L1200="","",SUMIFS(Расчет!$G$2:$G$3001,Расчет!$I$2:$I$3001,$K1200,Расчет!$H$2:$H$3001,1))</f>
        <v/>
      </c>
      <c r="I1200">
        <f>IF($L1200="","",SUMIFS(Расчет!$G$2:$G$3001,Расчет!$I$2:$I$3001,$K1200,Расчет!$H$2:$H$3001,2))</f>
        <v/>
      </c>
      <c r="J1200">
        <f>IF($L1200="","",SUMIFS(Расчет!$G$2:$G$3001,Расчет!$I$2:$I$3001,$K1200,Расчет!$H$2:$H$3001,3))</f>
        <v/>
      </c>
      <c r="K1200">
        <f>IF($L1200="","",INDEX(Расчет!$I$2:$I$3001,$L1200))</f>
        <v/>
      </c>
      <c r="L1200">
        <f>IFERROR(MATCH(ROW()-1,Расчет!$J$2:$J$3001,0),"")</f>
        <v/>
      </c>
    </row>
    <row r="1201">
      <c r="A1201">
        <f>IF($L1201="","",B1201&amp;"."&amp;C1201&amp;"-"&amp;D1201&amp;"-"&amp;H1201&amp;"."&amp;I1201&amp;"."&amp;J1201)</f>
        <v/>
      </c>
      <c r="B1201">
        <f>IF($L1201="","",INDEX(Расчет!$A$2:$A$3001,$L1201))</f>
        <v/>
      </c>
      <c r="C1201">
        <f>IF($L1201="","",INDEX(Расчет!$B$2:$B$3001,$L1201))</f>
        <v/>
      </c>
      <c r="D1201">
        <f>IF($L1201="","",IF(ISNUMBER(FIND("(",INDEX(Расчет!$C$2:$C$3001,$L1201))),SUBSTITUTE(MID(INDEX(Расчет!$C$2:$C$3001,$L1201),FIND("(",INDEX(Расчет!$C$2:$C$3001,$L1201))+1,99),")",""),INDEX(Расчет!$C$2:$C$3001,$L1201)))</f>
        <v/>
      </c>
      <c r="E1201">
        <f>IF($L1201="","",INDEX(Расчет!$D$2:$D$3001,$L1201))</f>
        <v/>
      </c>
      <c r="F1201">
        <f>IF($L1201="","",INDEX(Расчет!$E$2:$E$3001,$L1201))</f>
        <v/>
      </c>
      <c r="G1201">
        <f>IF($L1201="","",IFERROR(--LEFT(INDEX(Расчет!$C$2:$C$3001,$L1201),FIND("(",INDEX(Расчет!$C$2:$C$3001,$L1201))-1),IFERROR(--LEFT(INDEX(Расчет!$C$2:$C$3001,$L1201),1),"")))</f>
        <v/>
      </c>
      <c r="H1201">
        <f>IF($L1201="","",SUMIFS(Расчет!$G$2:$G$3001,Расчет!$I$2:$I$3001,$K1201,Расчет!$H$2:$H$3001,1))</f>
        <v/>
      </c>
      <c r="I1201">
        <f>IF($L1201="","",SUMIFS(Расчет!$G$2:$G$3001,Расчет!$I$2:$I$3001,$K1201,Расчет!$H$2:$H$3001,2))</f>
        <v/>
      </c>
      <c r="J1201">
        <f>IF($L1201="","",SUMIFS(Расчет!$G$2:$G$3001,Расчет!$I$2:$I$3001,$K1201,Расчет!$H$2:$H$3001,3))</f>
        <v/>
      </c>
      <c r="K1201">
        <f>IF($L1201="","",INDEX(Расчет!$I$2:$I$3001,$L1201))</f>
        <v/>
      </c>
      <c r="L1201">
        <f>IFERROR(MATCH(ROW()-1,Расчет!$J$2:$J$3001,0),"")</f>
        <v/>
      </c>
    </row>
    <row r="1202">
      <c r="A1202">
        <f>IF($L1202="","",B1202&amp;"."&amp;C1202&amp;"-"&amp;D1202&amp;"-"&amp;H1202&amp;"."&amp;I1202&amp;"."&amp;J1202)</f>
        <v/>
      </c>
      <c r="B1202">
        <f>IF($L1202="","",INDEX(Расчет!$A$2:$A$3001,$L1202))</f>
        <v/>
      </c>
      <c r="C1202">
        <f>IF($L1202="","",INDEX(Расчет!$B$2:$B$3001,$L1202))</f>
        <v/>
      </c>
      <c r="D1202">
        <f>IF($L1202="","",IF(ISNUMBER(FIND("(",INDEX(Расчет!$C$2:$C$3001,$L1202))),SUBSTITUTE(MID(INDEX(Расчет!$C$2:$C$3001,$L1202),FIND("(",INDEX(Расчет!$C$2:$C$3001,$L1202))+1,99),")",""),INDEX(Расчет!$C$2:$C$3001,$L1202)))</f>
        <v/>
      </c>
      <c r="E1202">
        <f>IF($L1202="","",INDEX(Расчет!$D$2:$D$3001,$L1202))</f>
        <v/>
      </c>
      <c r="F1202">
        <f>IF($L1202="","",INDEX(Расчет!$E$2:$E$3001,$L1202))</f>
        <v/>
      </c>
      <c r="G1202">
        <f>IF($L1202="","",IFERROR(--LEFT(INDEX(Расчет!$C$2:$C$3001,$L1202),FIND("(",INDEX(Расчет!$C$2:$C$3001,$L1202))-1),IFERROR(--LEFT(INDEX(Расчет!$C$2:$C$3001,$L1202),1),"")))</f>
        <v/>
      </c>
      <c r="H1202">
        <f>IF($L1202="","",SUMIFS(Расчет!$G$2:$G$3001,Расчет!$I$2:$I$3001,$K1202,Расчет!$H$2:$H$3001,1))</f>
        <v/>
      </c>
      <c r="I1202">
        <f>IF($L1202="","",SUMIFS(Расчет!$G$2:$G$3001,Расчет!$I$2:$I$3001,$K1202,Расчет!$H$2:$H$3001,2))</f>
        <v/>
      </c>
      <c r="J1202">
        <f>IF($L1202="","",SUMIFS(Расчет!$G$2:$G$3001,Расчет!$I$2:$I$3001,$K1202,Расчет!$H$2:$H$3001,3))</f>
        <v/>
      </c>
      <c r="K1202">
        <f>IF($L1202="","",INDEX(Расчет!$I$2:$I$3001,$L1202))</f>
        <v/>
      </c>
      <c r="L1202">
        <f>IFERROR(MATCH(ROW()-1,Расчет!$J$2:$J$3001,0),"")</f>
        <v/>
      </c>
    </row>
    <row r="1203">
      <c r="A1203">
        <f>IF($L1203="","",B1203&amp;"."&amp;C1203&amp;"-"&amp;D1203&amp;"-"&amp;H1203&amp;"."&amp;I1203&amp;"."&amp;J1203)</f>
        <v/>
      </c>
      <c r="B1203">
        <f>IF($L1203="","",INDEX(Расчет!$A$2:$A$3001,$L1203))</f>
        <v/>
      </c>
      <c r="C1203">
        <f>IF($L1203="","",INDEX(Расчет!$B$2:$B$3001,$L1203))</f>
        <v/>
      </c>
      <c r="D1203">
        <f>IF($L1203="","",IF(ISNUMBER(FIND("(",INDEX(Расчет!$C$2:$C$3001,$L1203))),SUBSTITUTE(MID(INDEX(Расчет!$C$2:$C$3001,$L1203),FIND("(",INDEX(Расчет!$C$2:$C$3001,$L1203))+1,99),")",""),INDEX(Расчет!$C$2:$C$3001,$L1203)))</f>
        <v/>
      </c>
      <c r="E1203">
        <f>IF($L1203="","",INDEX(Расчет!$D$2:$D$3001,$L1203))</f>
        <v/>
      </c>
      <c r="F1203">
        <f>IF($L1203="","",INDEX(Расчет!$E$2:$E$3001,$L1203))</f>
        <v/>
      </c>
      <c r="G1203">
        <f>IF($L1203="","",IFERROR(--LEFT(INDEX(Расчет!$C$2:$C$3001,$L1203),FIND("(",INDEX(Расчет!$C$2:$C$3001,$L1203))-1),IFERROR(--LEFT(INDEX(Расчет!$C$2:$C$3001,$L1203),1),"")))</f>
        <v/>
      </c>
      <c r="H1203">
        <f>IF($L1203="","",SUMIFS(Расчет!$G$2:$G$3001,Расчет!$I$2:$I$3001,$K1203,Расчет!$H$2:$H$3001,1))</f>
        <v/>
      </c>
      <c r="I1203">
        <f>IF($L1203="","",SUMIFS(Расчет!$G$2:$G$3001,Расчет!$I$2:$I$3001,$K1203,Расчет!$H$2:$H$3001,2))</f>
        <v/>
      </c>
      <c r="J1203">
        <f>IF($L1203="","",SUMIFS(Расчет!$G$2:$G$3001,Расчет!$I$2:$I$3001,$K1203,Расчет!$H$2:$H$3001,3))</f>
        <v/>
      </c>
      <c r="K1203">
        <f>IF($L1203="","",INDEX(Расчет!$I$2:$I$3001,$L1203))</f>
        <v/>
      </c>
      <c r="L1203">
        <f>IFERROR(MATCH(ROW()-1,Расчет!$J$2:$J$3001,0),"")</f>
        <v/>
      </c>
    </row>
    <row r="1204">
      <c r="A1204">
        <f>IF($L1204="","",B1204&amp;"."&amp;C1204&amp;"-"&amp;D1204&amp;"-"&amp;H1204&amp;"."&amp;I1204&amp;"."&amp;J1204)</f>
        <v/>
      </c>
      <c r="B1204">
        <f>IF($L1204="","",INDEX(Расчет!$A$2:$A$3001,$L1204))</f>
        <v/>
      </c>
      <c r="C1204">
        <f>IF($L1204="","",INDEX(Расчет!$B$2:$B$3001,$L1204))</f>
        <v/>
      </c>
      <c r="D1204">
        <f>IF($L1204="","",IF(ISNUMBER(FIND("(",INDEX(Расчет!$C$2:$C$3001,$L1204))),SUBSTITUTE(MID(INDEX(Расчет!$C$2:$C$3001,$L1204),FIND("(",INDEX(Расчет!$C$2:$C$3001,$L1204))+1,99),")",""),INDEX(Расчет!$C$2:$C$3001,$L1204)))</f>
        <v/>
      </c>
      <c r="E1204">
        <f>IF($L1204="","",INDEX(Расчет!$D$2:$D$3001,$L1204))</f>
        <v/>
      </c>
      <c r="F1204">
        <f>IF($L1204="","",INDEX(Расчет!$E$2:$E$3001,$L1204))</f>
        <v/>
      </c>
      <c r="G1204">
        <f>IF($L1204="","",IFERROR(--LEFT(INDEX(Расчет!$C$2:$C$3001,$L1204),FIND("(",INDEX(Расчет!$C$2:$C$3001,$L1204))-1),IFERROR(--LEFT(INDEX(Расчет!$C$2:$C$3001,$L1204),1),"")))</f>
        <v/>
      </c>
      <c r="H1204">
        <f>IF($L1204="","",SUMIFS(Расчет!$G$2:$G$3001,Расчет!$I$2:$I$3001,$K1204,Расчет!$H$2:$H$3001,1))</f>
        <v/>
      </c>
      <c r="I1204">
        <f>IF($L1204="","",SUMIFS(Расчет!$G$2:$G$3001,Расчет!$I$2:$I$3001,$K1204,Расчет!$H$2:$H$3001,2))</f>
        <v/>
      </c>
      <c r="J1204">
        <f>IF($L1204="","",SUMIFS(Расчет!$G$2:$G$3001,Расчет!$I$2:$I$3001,$K1204,Расчет!$H$2:$H$3001,3))</f>
        <v/>
      </c>
      <c r="K1204">
        <f>IF($L1204="","",INDEX(Расчет!$I$2:$I$3001,$L1204))</f>
        <v/>
      </c>
      <c r="L1204">
        <f>IFERROR(MATCH(ROW()-1,Расчет!$J$2:$J$3001,0),"")</f>
        <v/>
      </c>
    </row>
    <row r="1205">
      <c r="A1205">
        <f>IF($L1205="","",B1205&amp;"."&amp;C1205&amp;"-"&amp;D1205&amp;"-"&amp;H1205&amp;"."&amp;I1205&amp;"."&amp;J1205)</f>
        <v/>
      </c>
      <c r="B1205">
        <f>IF($L1205="","",INDEX(Расчет!$A$2:$A$3001,$L1205))</f>
        <v/>
      </c>
      <c r="C1205">
        <f>IF($L1205="","",INDEX(Расчет!$B$2:$B$3001,$L1205))</f>
        <v/>
      </c>
      <c r="D1205">
        <f>IF($L1205="","",IF(ISNUMBER(FIND("(",INDEX(Расчет!$C$2:$C$3001,$L1205))),SUBSTITUTE(MID(INDEX(Расчет!$C$2:$C$3001,$L1205),FIND("(",INDEX(Расчет!$C$2:$C$3001,$L1205))+1,99),")",""),INDEX(Расчет!$C$2:$C$3001,$L1205)))</f>
        <v/>
      </c>
      <c r="E1205">
        <f>IF($L1205="","",INDEX(Расчет!$D$2:$D$3001,$L1205))</f>
        <v/>
      </c>
      <c r="F1205">
        <f>IF($L1205="","",INDEX(Расчет!$E$2:$E$3001,$L1205))</f>
        <v/>
      </c>
      <c r="G1205">
        <f>IF($L1205="","",IFERROR(--LEFT(INDEX(Расчет!$C$2:$C$3001,$L1205),FIND("(",INDEX(Расчет!$C$2:$C$3001,$L1205))-1),IFERROR(--LEFT(INDEX(Расчет!$C$2:$C$3001,$L1205),1),"")))</f>
        <v/>
      </c>
      <c r="H1205">
        <f>IF($L1205="","",SUMIFS(Расчет!$G$2:$G$3001,Расчет!$I$2:$I$3001,$K1205,Расчет!$H$2:$H$3001,1))</f>
        <v/>
      </c>
      <c r="I1205">
        <f>IF($L1205="","",SUMIFS(Расчет!$G$2:$G$3001,Расчет!$I$2:$I$3001,$K1205,Расчет!$H$2:$H$3001,2))</f>
        <v/>
      </c>
      <c r="J1205">
        <f>IF($L1205="","",SUMIFS(Расчет!$G$2:$G$3001,Расчет!$I$2:$I$3001,$K1205,Расчет!$H$2:$H$3001,3))</f>
        <v/>
      </c>
      <c r="K1205">
        <f>IF($L1205="","",INDEX(Расчет!$I$2:$I$3001,$L1205))</f>
        <v/>
      </c>
      <c r="L1205">
        <f>IFERROR(MATCH(ROW()-1,Расчет!$J$2:$J$3001,0),"")</f>
        <v/>
      </c>
    </row>
    <row r="1206">
      <c r="A1206">
        <f>IF($L1206="","",B1206&amp;"."&amp;C1206&amp;"-"&amp;D1206&amp;"-"&amp;H1206&amp;"."&amp;I1206&amp;"."&amp;J1206)</f>
        <v/>
      </c>
      <c r="B1206">
        <f>IF($L1206="","",INDEX(Расчет!$A$2:$A$3001,$L1206))</f>
        <v/>
      </c>
      <c r="C1206">
        <f>IF($L1206="","",INDEX(Расчет!$B$2:$B$3001,$L1206))</f>
        <v/>
      </c>
      <c r="D1206">
        <f>IF($L1206="","",IF(ISNUMBER(FIND("(",INDEX(Расчет!$C$2:$C$3001,$L1206))),SUBSTITUTE(MID(INDEX(Расчет!$C$2:$C$3001,$L1206),FIND("(",INDEX(Расчет!$C$2:$C$3001,$L1206))+1,99),")",""),INDEX(Расчет!$C$2:$C$3001,$L1206)))</f>
        <v/>
      </c>
      <c r="E1206">
        <f>IF($L1206="","",INDEX(Расчет!$D$2:$D$3001,$L1206))</f>
        <v/>
      </c>
      <c r="F1206">
        <f>IF($L1206="","",INDEX(Расчет!$E$2:$E$3001,$L1206))</f>
        <v/>
      </c>
      <c r="G1206">
        <f>IF($L1206="","",IFERROR(--LEFT(INDEX(Расчет!$C$2:$C$3001,$L1206),FIND("(",INDEX(Расчет!$C$2:$C$3001,$L1206))-1),IFERROR(--LEFT(INDEX(Расчет!$C$2:$C$3001,$L1206),1),"")))</f>
        <v/>
      </c>
      <c r="H1206">
        <f>IF($L1206="","",SUMIFS(Расчет!$G$2:$G$3001,Расчет!$I$2:$I$3001,$K1206,Расчет!$H$2:$H$3001,1))</f>
        <v/>
      </c>
      <c r="I1206">
        <f>IF($L1206="","",SUMIFS(Расчет!$G$2:$G$3001,Расчет!$I$2:$I$3001,$K1206,Расчет!$H$2:$H$3001,2))</f>
        <v/>
      </c>
      <c r="J1206">
        <f>IF($L1206="","",SUMIFS(Расчет!$G$2:$G$3001,Расчет!$I$2:$I$3001,$K1206,Расчет!$H$2:$H$3001,3))</f>
        <v/>
      </c>
      <c r="K1206">
        <f>IF($L1206="","",INDEX(Расчет!$I$2:$I$3001,$L1206))</f>
        <v/>
      </c>
      <c r="L1206">
        <f>IFERROR(MATCH(ROW()-1,Расчет!$J$2:$J$3001,0),"")</f>
        <v/>
      </c>
    </row>
    <row r="1207">
      <c r="A1207">
        <f>IF($L1207="","",B1207&amp;"."&amp;C1207&amp;"-"&amp;D1207&amp;"-"&amp;H1207&amp;"."&amp;I1207&amp;"."&amp;J1207)</f>
        <v/>
      </c>
      <c r="B1207">
        <f>IF($L1207="","",INDEX(Расчет!$A$2:$A$3001,$L1207))</f>
        <v/>
      </c>
      <c r="C1207">
        <f>IF($L1207="","",INDEX(Расчет!$B$2:$B$3001,$L1207))</f>
        <v/>
      </c>
      <c r="D1207">
        <f>IF($L1207="","",IF(ISNUMBER(FIND("(",INDEX(Расчет!$C$2:$C$3001,$L1207))),SUBSTITUTE(MID(INDEX(Расчет!$C$2:$C$3001,$L1207),FIND("(",INDEX(Расчет!$C$2:$C$3001,$L1207))+1,99),")",""),INDEX(Расчет!$C$2:$C$3001,$L1207)))</f>
        <v/>
      </c>
      <c r="E1207">
        <f>IF($L1207="","",INDEX(Расчет!$D$2:$D$3001,$L1207))</f>
        <v/>
      </c>
      <c r="F1207">
        <f>IF($L1207="","",INDEX(Расчет!$E$2:$E$3001,$L1207))</f>
        <v/>
      </c>
      <c r="G1207">
        <f>IF($L1207="","",IFERROR(--LEFT(INDEX(Расчет!$C$2:$C$3001,$L1207),FIND("(",INDEX(Расчет!$C$2:$C$3001,$L1207))-1),IFERROR(--LEFT(INDEX(Расчет!$C$2:$C$3001,$L1207),1),"")))</f>
        <v/>
      </c>
      <c r="H1207">
        <f>IF($L1207="","",SUMIFS(Расчет!$G$2:$G$3001,Расчет!$I$2:$I$3001,$K1207,Расчет!$H$2:$H$3001,1))</f>
        <v/>
      </c>
      <c r="I1207">
        <f>IF($L1207="","",SUMIFS(Расчет!$G$2:$G$3001,Расчет!$I$2:$I$3001,$K1207,Расчет!$H$2:$H$3001,2))</f>
        <v/>
      </c>
      <c r="J1207">
        <f>IF($L1207="","",SUMIFS(Расчет!$G$2:$G$3001,Расчет!$I$2:$I$3001,$K1207,Расчет!$H$2:$H$3001,3))</f>
        <v/>
      </c>
      <c r="K1207">
        <f>IF($L1207="","",INDEX(Расчет!$I$2:$I$3001,$L1207))</f>
        <v/>
      </c>
      <c r="L1207">
        <f>IFERROR(MATCH(ROW()-1,Расчет!$J$2:$J$3001,0),"")</f>
        <v/>
      </c>
    </row>
    <row r="1208">
      <c r="A1208">
        <f>IF($L1208="","",B1208&amp;"."&amp;C1208&amp;"-"&amp;D1208&amp;"-"&amp;H1208&amp;"."&amp;I1208&amp;"."&amp;J1208)</f>
        <v/>
      </c>
      <c r="B1208">
        <f>IF($L1208="","",INDEX(Расчет!$A$2:$A$3001,$L1208))</f>
        <v/>
      </c>
      <c r="C1208">
        <f>IF($L1208="","",INDEX(Расчет!$B$2:$B$3001,$L1208))</f>
        <v/>
      </c>
      <c r="D1208">
        <f>IF($L1208="","",IF(ISNUMBER(FIND("(",INDEX(Расчет!$C$2:$C$3001,$L1208))),SUBSTITUTE(MID(INDEX(Расчет!$C$2:$C$3001,$L1208),FIND("(",INDEX(Расчет!$C$2:$C$3001,$L1208))+1,99),")",""),INDEX(Расчет!$C$2:$C$3001,$L1208)))</f>
        <v/>
      </c>
      <c r="E1208">
        <f>IF($L1208="","",INDEX(Расчет!$D$2:$D$3001,$L1208))</f>
        <v/>
      </c>
      <c r="F1208">
        <f>IF($L1208="","",INDEX(Расчет!$E$2:$E$3001,$L1208))</f>
        <v/>
      </c>
      <c r="G1208">
        <f>IF($L1208="","",IFERROR(--LEFT(INDEX(Расчет!$C$2:$C$3001,$L1208),FIND("(",INDEX(Расчет!$C$2:$C$3001,$L1208))-1),IFERROR(--LEFT(INDEX(Расчет!$C$2:$C$3001,$L1208),1),"")))</f>
        <v/>
      </c>
      <c r="H1208">
        <f>IF($L1208="","",SUMIFS(Расчет!$G$2:$G$3001,Расчет!$I$2:$I$3001,$K1208,Расчет!$H$2:$H$3001,1))</f>
        <v/>
      </c>
      <c r="I1208">
        <f>IF($L1208="","",SUMIFS(Расчет!$G$2:$G$3001,Расчет!$I$2:$I$3001,$K1208,Расчет!$H$2:$H$3001,2))</f>
        <v/>
      </c>
      <c r="J1208">
        <f>IF($L1208="","",SUMIFS(Расчет!$G$2:$G$3001,Расчет!$I$2:$I$3001,$K1208,Расчет!$H$2:$H$3001,3))</f>
        <v/>
      </c>
      <c r="K1208">
        <f>IF($L1208="","",INDEX(Расчет!$I$2:$I$3001,$L1208))</f>
        <v/>
      </c>
      <c r="L1208">
        <f>IFERROR(MATCH(ROW()-1,Расчет!$J$2:$J$3001,0),"")</f>
        <v/>
      </c>
    </row>
    <row r="1209">
      <c r="A1209">
        <f>IF($L1209="","",B1209&amp;"."&amp;C1209&amp;"-"&amp;D1209&amp;"-"&amp;H1209&amp;"."&amp;I1209&amp;"."&amp;J1209)</f>
        <v/>
      </c>
      <c r="B1209">
        <f>IF($L1209="","",INDEX(Расчет!$A$2:$A$3001,$L1209))</f>
        <v/>
      </c>
      <c r="C1209">
        <f>IF($L1209="","",INDEX(Расчет!$B$2:$B$3001,$L1209))</f>
        <v/>
      </c>
      <c r="D1209">
        <f>IF($L1209="","",IF(ISNUMBER(FIND("(",INDEX(Расчет!$C$2:$C$3001,$L1209))),SUBSTITUTE(MID(INDEX(Расчет!$C$2:$C$3001,$L1209),FIND("(",INDEX(Расчет!$C$2:$C$3001,$L1209))+1,99),")",""),INDEX(Расчет!$C$2:$C$3001,$L1209)))</f>
        <v/>
      </c>
      <c r="E1209">
        <f>IF($L1209="","",INDEX(Расчет!$D$2:$D$3001,$L1209))</f>
        <v/>
      </c>
      <c r="F1209">
        <f>IF($L1209="","",INDEX(Расчет!$E$2:$E$3001,$L1209))</f>
        <v/>
      </c>
      <c r="G1209">
        <f>IF($L1209="","",IFERROR(--LEFT(INDEX(Расчет!$C$2:$C$3001,$L1209),FIND("(",INDEX(Расчет!$C$2:$C$3001,$L1209))-1),IFERROR(--LEFT(INDEX(Расчет!$C$2:$C$3001,$L1209),1),"")))</f>
        <v/>
      </c>
      <c r="H1209">
        <f>IF($L1209="","",SUMIFS(Расчет!$G$2:$G$3001,Расчет!$I$2:$I$3001,$K1209,Расчет!$H$2:$H$3001,1))</f>
        <v/>
      </c>
      <c r="I1209">
        <f>IF($L1209="","",SUMIFS(Расчет!$G$2:$G$3001,Расчет!$I$2:$I$3001,$K1209,Расчет!$H$2:$H$3001,2))</f>
        <v/>
      </c>
      <c r="J1209">
        <f>IF($L1209="","",SUMIFS(Расчет!$G$2:$G$3001,Расчет!$I$2:$I$3001,$K1209,Расчет!$H$2:$H$3001,3))</f>
        <v/>
      </c>
      <c r="K1209">
        <f>IF($L1209="","",INDEX(Расчет!$I$2:$I$3001,$L1209))</f>
        <v/>
      </c>
      <c r="L1209">
        <f>IFERROR(MATCH(ROW()-1,Расчет!$J$2:$J$3001,0),"")</f>
        <v/>
      </c>
    </row>
    <row r="1210">
      <c r="A1210">
        <f>IF($L1210="","",B1210&amp;"."&amp;C1210&amp;"-"&amp;D1210&amp;"-"&amp;H1210&amp;"."&amp;I1210&amp;"."&amp;J1210)</f>
        <v/>
      </c>
      <c r="B1210">
        <f>IF($L1210="","",INDEX(Расчет!$A$2:$A$3001,$L1210))</f>
        <v/>
      </c>
      <c r="C1210">
        <f>IF($L1210="","",INDEX(Расчет!$B$2:$B$3001,$L1210))</f>
        <v/>
      </c>
      <c r="D1210">
        <f>IF($L1210="","",IF(ISNUMBER(FIND("(",INDEX(Расчет!$C$2:$C$3001,$L1210))),SUBSTITUTE(MID(INDEX(Расчет!$C$2:$C$3001,$L1210),FIND("(",INDEX(Расчет!$C$2:$C$3001,$L1210))+1,99),")",""),INDEX(Расчет!$C$2:$C$3001,$L1210)))</f>
        <v/>
      </c>
      <c r="E1210">
        <f>IF($L1210="","",INDEX(Расчет!$D$2:$D$3001,$L1210))</f>
        <v/>
      </c>
      <c r="F1210">
        <f>IF($L1210="","",INDEX(Расчет!$E$2:$E$3001,$L1210))</f>
        <v/>
      </c>
      <c r="G1210">
        <f>IF($L1210="","",IFERROR(--LEFT(INDEX(Расчет!$C$2:$C$3001,$L1210),FIND("(",INDEX(Расчет!$C$2:$C$3001,$L1210))-1),IFERROR(--LEFT(INDEX(Расчет!$C$2:$C$3001,$L1210),1),"")))</f>
        <v/>
      </c>
      <c r="H1210">
        <f>IF($L1210="","",SUMIFS(Расчет!$G$2:$G$3001,Расчет!$I$2:$I$3001,$K1210,Расчет!$H$2:$H$3001,1))</f>
        <v/>
      </c>
      <c r="I1210">
        <f>IF($L1210="","",SUMIFS(Расчет!$G$2:$G$3001,Расчет!$I$2:$I$3001,$K1210,Расчет!$H$2:$H$3001,2))</f>
        <v/>
      </c>
      <c r="J1210">
        <f>IF($L1210="","",SUMIFS(Расчет!$G$2:$G$3001,Расчет!$I$2:$I$3001,$K1210,Расчет!$H$2:$H$3001,3))</f>
        <v/>
      </c>
      <c r="K1210">
        <f>IF($L1210="","",INDEX(Расчет!$I$2:$I$3001,$L1210))</f>
        <v/>
      </c>
      <c r="L1210">
        <f>IFERROR(MATCH(ROW()-1,Расчет!$J$2:$J$3001,0),"")</f>
        <v/>
      </c>
    </row>
    <row r="1211">
      <c r="A1211">
        <f>IF($L1211="","",B1211&amp;"."&amp;C1211&amp;"-"&amp;D1211&amp;"-"&amp;H1211&amp;"."&amp;I1211&amp;"."&amp;J1211)</f>
        <v/>
      </c>
      <c r="B1211">
        <f>IF($L1211="","",INDEX(Расчет!$A$2:$A$3001,$L1211))</f>
        <v/>
      </c>
      <c r="C1211">
        <f>IF($L1211="","",INDEX(Расчет!$B$2:$B$3001,$L1211))</f>
        <v/>
      </c>
      <c r="D1211">
        <f>IF($L1211="","",IF(ISNUMBER(FIND("(",INDEX(Расчет!$C$2:$C$3001,$L1211))),SUBSTITUTE(MID(INDEX(Расчет!$C$2:$C$3001,$L1211),FIND("(",INDEX(Расчет!$C$2:$C$3001,$L1211))+1,99),")",""),INDEX(Расчет!$C$2:$C$3001,$L1211)))</f>
        <v/>
      </c>
      <c r="E1211">
        <f>IF($L1211="","",INDEX(Расчет!$D$2:$D$3001,$L1211))</f>
        <v/>
      </c>
      <c r="F1211">
        <f>IF($L1211="","",INDEX(Расчет!$E$2:$E$3001,$L1211))</f>
        <v/>
      </c>
      <c r="G1211">
        <f>IF($L1211="","",IFERROR(--LEFT(INDEX(Расчет!$C$2:$C$3001,$L1211),FIND("(",INDEX(Расчет!$C$2:$C$3001,$L1211))-1),IFERROR(--LEFT(INDEX(Расчет!$C$2:$C$3001,$L1211),1),"")))</f>
        <v/>
      </c>
      <c r="H1211">
        <f>IF($L1211="","",SUMIFS(Расчет!$G$2:$G$3001,Расчет!$I$2:$I$3001,$K1211,Расчет!$H$2:$H$3001,1))</f>
        <v/>
      </c>
      <c r="I1211">
        <f>IF($L1211="","",SUMIFS(Расчет!$G$2:$G$3001,Расчет!$I$2:$I$3001,$K1211,Расчет!$H$2:$H$3001,2))</f>
        <v/>
      </c>
      <c r="J1211">
        <f>IF($L1211="","",SUMIFS(Расчет!$G$2:$G$3001,Расчет!$I$2:$I$3001,$K1211,Расчет!$H$2:$H$3001,3))</f>
        <v/>
      </c>
      <c r="K1211">
        <f>IF($L1211="","",INDEX(Расчет!$I$2:$I$3001,$L1211))</f>
        <v/>
      </c>
      <c r="L1211">
        <f>IFERROR(MATCH(ROW()-1,Расчет!$J$2:$J$3001,0),"")</f>
        <v/>
      </c>
    </row>
    <row r="1212">
      <c r="A1212">
        <f>IF($L1212="","",B1212&amp;"."&amp;C1212&amp;"-"&amp;D1212&amp;"-"&amp;H1212&amp;"."&amp;I1212&amp;"."&amp;J1212)</f>
        <v/>
      </c>
      <c r="B1212">
        <f>IF($L1212="","",INDEX(Расчет!$A$2:$A$3001,$L1212))</f>
        <v/>
      </c>
      <c r="C1212">
        <f>IF($L1212="","",INDEX(Расчет!$B$2:$B$3001,$L1212))</f>
        <v/>
      </c>
      <c r="D1212">
        <f>IF($L1212="","",IF(ISNUMBER(FIND("(",INDEX(Расчет!$C$2:$C$3001,$L1212))),SUBSTITUTE(MID(INDEX(Расчет!$C$2:$C$3001,$L1212),FIND("(",INDEX(Расчет!$C$2:$C$3001,$L1212))+1,99),")",""),INDEX(Расчет!$C$2:$C$3001,$L1212)))</f>
        <v/>
      </c>
      <c r="E1212">
        <f>IF($L1212="","",INDEX(Расчет!$D$2:$D$3001,$L1212))</f>
        <v/>
      </c>
      <c r="F1212">
        <f>IF($L1212="","",INDEX(Расчет!$E$2:$E$3001,$L1212))</f>
        <v/>
      </c>
      <c r="G1212">
        <f>IF($L1212="","",IFERROR(--LEFT(INDEX(Расчет!$C$2:$C$3001,$L1212),FIND("(",INDEX(Расчет!$C$2:$C$3001,$L1212))-1),IFERROR(--LEFT(INDEX(Расчет!$C$2:$C$3001,$L1212),1),"")))</f>
        <v/>
      </c>
      <c r="H1212">
        <f>IF($L1212="","",SUMIFS(Расчет!$G$2:$G$3001,Расчет!$I$2:$I$3001,$K1212,Расчет!$H$2:$H$3001,1))</f>
        <v/>
      </c>
      <c r="I1212">
        <f>IF($L1212="","",SUMIFS(Расчет!$G$2:$G$3001,Расчет!$I$2:$I$3001,$K1212,Расчет!$H$2:$H$3001,2))</f>
        <v/>
      </c>
      <c r="J1212">
        <f>IF($L1212="","",SUMIFS(Расчет!$G$2:$G$3001,Расчет!$I$2:$I$3001,$K1212,Расчет!$H$2:$H$3001,3))</f>
        <v/>
      </c>
      <c r="K1212">
        <f>IF($L1212="","",INDEX(Расчет!$I$2:$I$3001,$L1212))</f>
        <v/>
      </c>
      <c r="L1212">
        <f>IFERROR(MATCH(ROW()-1,Расчет!$J$2:$J$3001,0),"")</f>
        <v/>
      </c>
    </row>
    <row r="1213">
      <c r="A1213">
        <f>IF($L1213="","",B1213&amp;"."&amp;C1213&amp;"-"&amp;D1213&amp;"-"&amp;H1213&amp;"."&amp;I1213&amp;"."&amp;J1213)</f>
        <v/>
      </c>
      <c r="B1213">
        <f>IF($L1213="","",INDEX(Расчет!$A$2:$A$3001,$L1213))</f>
        <v/>
      </c>
      <c r="C1213">
        <f>IF($L1213="","",INDEX(Расчет!$B$2:$B$3001,$L1213))</f>
        <v/>
      </c>
      <c r="D1213">
        <f>IF($L1213="","",IF(ISNUMBER(FIND("(",INDEX(Расчет!$C$2:$C$3001,$L1213))),SUBSTITUTE(MID(INDEX(Расчет!$C$2:$C$3001,$L1213),FIND("(",INDEX(Расчет!$C$2:$C$3001,$L1213))+1,99),")",""),INDEX(Расчет!$C$2:$C$3001,$L1213)))</f>
        <v/>
      </c>
      <c r="E1213">
        <f>IF($L1213="","",INDEX(Расчет!$D$2:$D$3001,$L1213))</f>
        <v/>
      </c>
      <c r="F1213">
        <f>IF($L1213="","",INDEX(Расчет!$E$2:$E$3001,$L1213))</f>
        <v/>
      </c>
      <c r="G1213">
        <f>IF($L1213="","",IFERROR(--LEFT(INDEX(Расчет!$C$2:$C$3001,$L1213),FIND("(",INDEX(Расчет!$C$2:$C$3001,$L1213))-1),IFERROR(--LEFT(INDEX(Расчет!$C$2:$C$3001,$L1213),1),"")))</f>
        <v/>
      </c>
      <c r="H1213">
        <f>IF($L1213="","",SUMIFS(Расчет!$G$2:$G$3001,Расчет!$I$2:$I$3001,$K1213,Расчет!$H$2:$H$3001,1))</f>
        <v/>
      </c>
      <c r="I1213">
        <f>IF($L1213="","",SUMIFS(Расчет!$G$2:$G$3001,Расчет!$I$2:$I$3001,$K1213,Расчет!$H$2:$H$3001,2))</f>
        <v/>
      </c>
      <c r="J1213">
        <f>IF($L1213="","",SUMIFS(Расчет!$G$2:$G$3001,Расчет!$I$2:$I$3001,$K1213,Расчет!$H$2:$H$3001,3))</f>
        <v/>
      </c>
      <c r="K1213">
        <f>IF($L1213="","",INDEX(Расчет!$I$2:$I$3001,$L1213))</f>
        <v/>
      </c>
      <c r="L1213">
        <f>IFERROR(MATCH(ROW()-1,Расчет!$J$2:$J$3001,0),"")</f>
        <v/>
      </c>
    </row>
    <row r="1214">
      <c r="A1214">
        <f>IF($L1214="","",B1214&amp;"."&amp;C1214&amp;"-"&amp;D1214&amp;"-"&amp;H1214&amp;"."&amp;I1214&amp;"."&amp;J1214)</f>
        <v/>
      </c>
      <c r="B1214">
        <f>IF($L1214="","",INDEX(Расчет!$A$2:$A$3001,$L1214))</f>
        <v/>
      </c>
      <c r="C1214">
        <f>IF($L1214="","",INDEX(Расчет!$B$2:$B$3001,$L1214))</f>
        <v/>
      </c>
      <c r="D1214">
        <f>IF($L1214="","",IF(ISNUMBER(FIND("(",INDEX(Расчет!$C$2:$C$3001,$L1214))),SUBSTITUTE(MID(INDEX(Расчет!$C$2:$C$3001,$L1214),FIND("(",INDEX(Расчет!$C$2:$C$3001,$L1214))+1,99),")",""),INDEX(Расчет!$C$2:$C$3001,$L1214)))</f>
        <v/>
      </c>
      <c r="E1214">
        <f>IF($L1214="","",INDEX(Расчет!$D$2:$D$3001,$L1214))</f>
        <v/>
      </c>
      <c r="F1214">
        <f>IF($L1214="","",INDEX(Расчет!$E$2:$E$3001,$L1214))</f>
        <v/>
      </c>
      <c r="G1214">
        <f>IF($L1214="","",IFERROR(--LEFT(INDEX(Расчет!$C$2:$C$3001,$L1214),FIND("(",INDEX(Расчет!$C$2:$C$3001,$L1214))-1),IFERROR(--LEFT(INDEX(Расчет!$C$2:$C$3001,$L1214),1),"")))</f>
        <v/>
      </c>
      <c r="H1214">
        <f>IF($L1214="","",SUMIFS(Расчет!$G$2:$G$3001,Расчет!$I$2:$I$3001,$K1214,Расчет!$H$2:$H$3001,1))</f>
        <v/>
      </c>
      <c r="I1214">
        <f>IF($L1214="","",SUMIFS(Расчет!$G$2:$G$3001,Расчет!$I$2:$I$3001,$K1214,Расчет!$H$2:$H$3001,2))</f>
        <v/>
      </c>
      <c r="J1214">
        <f>IF($L1214="","",SUMIFS(Расчет!$G$2:$G$3001,Расчет!$I$2:$I$3001,$K1214,Расчет!$H$2:$H$3001,3))</f>
        <v/>
      </c>
      <c r="K1214">
        <f>IF($L1214="","",INDEX(Расчет!$I$2:$I$3001,$L1214))</f>
        <v/>
      </c>
      <c r="L1214">
        <f>IFERROR(MATCH(ROW()-1,Расчет!$J$2:$J$3001,0),"")</f>
        <v/>
      </c>
    </row>
    <row r="1215">
      <c r="A1215">
        <f>IF($L1215="","",B1215&amp;"."&amp;C1215&amp;"-"&amp;D1215&amp;"-"&amp;H1215&amp;"."&amp;I1215&amp;"."&amp;J1215)</f>
        <v/>
      </c>
      <c r="B1215">
        <f>IF($L1215="","",INDEX(Расчет!$A$2:$A$3001,$L1215))</f>
        <v/>
      </c>
      <c r="C1215">
        <f>IF($L1215="","",INDEX(Расчет!$B$2:$B$3001,$L1215))</f>
        <v/>
      </c>
      <c r="D1215">
        <f>IF($L1215="","",IF(ISNUMBER(FIND("(",INDEX(Расчет!$C$2:$C$3001,$L1215))),SUBSTITUTE(MID(INDEX(Расчет!$C$2:$C$3001,$L1215),FIND("(",INDEX(Расчет!$C$2:$C$3001,$L1215))+1,99),")",""),INDEX(Расчет!$C$2:$C$3001,$L1215)))</f>
        <v/>
      </c>
      <c r="E1215">
        <f>IF($L1215="","",INDEX(Расчет!$D$2:$D$3001,$L1215))</f>
        <v/>
      </c>
      <c r="F1215">
        <f>IF($L1215="","",INDEX(Расчет!$E$2:$E$3001,$L1215))</f>
        <v/>
      </c>
      <c r="G1215">
        <f>IF($L1215="","",IFERROR(--LEFT(INDEX(Расчет!$C$2:$C$3001,$L1215),FIND("(",INDEX(Расчет!$C$2:$C$3001,$L1215))-1),IFERROR(--LEFT(INDEX(Расчет!$C$2:$C$3001,$L1215),1),"")))</f>
        <v/>
      </c>
      <c r="H1215">
        <f>IF($L1215="","",SUMIFS(Расчет!$G$2:$G$3001,Расчет!$I$2:$I$3001,$K1215,Расчет!$H$2:$H$3001,1))</f>
        <v/>
      </c>
      <c r="I1215">
        <f>IF($L1215="","",SUMIFS(Расчет!$G$2:$G$3001,Расчет!$I$2:$I$3001,$K1215,Расчет!$H$2:$H$3001,2))</f>
        <v/>
      </c>
      <c r="J1215">
        <f>IF($L1215="","",SUMIFS(Расчет!$G$2:$G$3001,Расчет!$I$2:$I$3001,$K1215,Расчет!$H$2:$H$3001,3))</f>
        <v/>
      </c>
      <c r="K1215">
        <f>IF($L1215="","",INDEX(Расчет!$I$2:$I$3001,$L1215))</f>
        <v/>
      </c>
      <c r="L1215">
        <f>IFERROR(MATCH(ROW()-1,Расчет!$J$2:$J$3001,0),"")</f>
        <v/>
      </c>
    </row>
    <row r="1216">
      <c r="A1216">
        <f>IF($L1216="","",B1216&amp;"."&amp;C1216&amp;"-"&amp;D1216&amp;"-"&amp;H1216&amp;"."&amp;I1216&amp;"."&amp;J1216)</f>
        <v/>
      </c>
      <c r="B1216">
        <f>IF($L1216="","",INDEX(Расчет!$A$2:$A$3001,$L1216))</f>
        <v/>
      </c>
      <c r="C1216">
        <f>IF($L1216="","",INDEX(Расчет!$B$2:$B$3001,$L1216))</f>
        <v/>
      </c>
      <c r="D1216">
        <f>IF($L1216="","",IF(ISNUMBER(FIND("(",INDEX(Расчет!$C$2:$C$3001,$L1216))),SUBSTITUTE(MID(INDEX(Расчет!$C$2:$C$3001,$L1216),FIND("(",INDEX(Расчет!$C$2:$C$3001,$L1216))+1,99),")",""),INDEX(Расчет!$C$2:$C$3001,$L1216)))</f>
        <v/>
      </c>
      <c r="E1216">
        <f>IF($L1216="","",INDEX(Расчет!$D$2:$D$3001,$L1216))</f>
        <v/>
      </c>
      <c r="F1216">
        <f>IF($L1216="","",INDEX(Расчет!$E$2:$E$3001,$L1216))</f>
        <v/>
      </c>
      <c r="G1216">
        <f>IF($L1216="","",IFERROR(--LEFT(INDEX(Расчет!$C$2:$C$3001,$L1216),FIND("(",INDEX(Расчет!$C$2:$C$3001,$L1216))-1),IFERROR(--LEFT(INDEX(Расчет!$C$2:$C$3001,$L1216),1),"")))</f>
        <v/>
      </c>
      <c r="H1216">
        <f>IF($L1216="","",SUMIFS(Расчет!$G$2:$G$3001,Расчет!$I$2:$I$3001,$K1216,Расчет!$H$2:$H$3001,1))</f>
        <v/>
      </c>
      <c r="I1216">
        <f>IF($L1216="","",SUMIFS(Расчет!$G$2:$G$3001,Расчет!$I$2:$I$3001,$K1216,Расчет!$H$2:$H$3001,2))</f>
        <v/>
      </c>
      <c r="J1216">
        <f>IF($L1216="","",SUMIFS(Расчет!$G$2:$G$3001,Расчет!$I$2:$I$3001,$K1216,Расчет!$H$2:$H$3001,3))</f>
        <v/>
      </c>
      <c r="K1216">
        <f>IF($L1216="","",INDEX(Расчет!$I$2:$I$3001,$L1216))</f>
        <v/>
      </c>
      <c r="L1216">
        <f>IFERROR(MATCH(ROW()-1,Расчет!$J$2:$J$3001,0),"")</f>
        <v/>
      </c>
    </row>
    <row r="1217">
      <c r="A1217">
        <f>IF($L1217="","",B1217&amp;"."&amp;C1217&amp;"-"&amp;D1217&amp;"-"&amp;H1217&amp;"."&amp;I1217&amp;"."&amp;J1217)</f>
        <v/>
      </c>
      <c r="B1217">
        <f>IF($L1217="","",INDEX(Расчет!$A$2:$A$3001,$L1217))</f>
        <v/>
      </c>
      <c r="C1217">
        <f>IF($L1217="","",INDEX(Расчет!$B$2:$B$3001,$L1217))</f>
        <v/>
      </c>
      <c r="D1217">
        <f>IF($L1217="","",IF(ISNUMBER(FIND("(",INDEX(Расчет!$C$2:$C$3001,$L1217))),SUBSTITUTE(MID(INDEX(Расчет!$C$2:$C$3001,$L1217),FIND("(",INDEX(Расчет!$C$2:$C$3001,$L1217))+1,99),")",""),INDEX(Расчет!$C$2:$C$3001,$L1217)))</f>
        <v/>
      </c>
      <c r="E1217">
        <f>IF($L1217="","",INDEX(Расчет!$D$2:$D$3001,$L1217))</f>
        <v/>
      </c>
      <c r="F1217">
        <f>IF($L1217="","",INDEX(Расчет!$E$2:$E$3001,$L1217))</f>
        <v/>
      </c>
      <c r="G1217">
        <f>IF($L1217="","",IFERROR(--LEFT(INDEX(Расчет!$C$2:$C$3001,$L1217),FIND("(",INDEX(Расчет!$C$2:$C$3001,$L1217))-1),IFERROR(--LEFT(INDEX(Расчет!$C$2:$C$3001,$L1217),1),"")))</f>
        <v/>
      </c>
      <c r="H1217">
        <f>IF($L1217="","",SUMIFS(Расчет!$G$2:$G$3001,Расчет!$I$2:$I$3001,$K1217,Расчет!$H$2:$H$3001,1))</f>
        <v/>
      </c>
      <c r="I1217">
        <f>IF($L1217="","",SUMIFS(Расчет!$G$2:$G$3001,Расчет!$I$2:$I$3001,$K1217,Расчет!$H$2:$H$3001,2))</f>
        <v/>
      </c>
      <c r="J1217">
        <f>IF($L1217="","",SUMIFS(Расчет!$G$2:$G$3001,Расчет!$I$2:$I$3001,$K1217,Расчет!$H$2:$H$3001,3))</f>
        <v/>
      </c>
      <c r="K1217">
        <f>IF($L1217="","",INDEX(Расчет!$I$2:$I$3001,$L1217))</f>
        <v/>
      </c>
      <c r="L1217">
        <f>IFERROR(MATCH(ROW()-1,Расчет!$J$2:$J$3001,0),"")</f>
        <v/>
      </c>
    </row>
    <row r="1218">
      <c r="A1218">
        <f>IF($L1218="","",B1218&amp;"."&amp;C1218&amp;"-"&amp;D1218&amp;"-"&amp;H1218&amp;"."&amp;I1218&amp;"."&amp;J1218)</f>
        <v/>
      </c>
      <c r="B1218">
        <f>IF($L1218="","",INDEX(Расчет!$A$2:$A$3001,$L1218))</f>
        <v/>
      </c>
      <c r="C1218">
        <f>IF($L1218="","",INDEX(Расчет!$B$2:$B$3001,$L1218))</f>
        <v/>
      </c>
      <c r="D1218">
        <f>IF($L1218="","",IF(ISNUMBER(FIND("(",INDEX(Расчет!$C$2:$C$3001,$L1218))),SUBSTITUTE(MID(INDEX(Расчет!$C$2:$C$3001,$L1218),FIND("(",INDEX(Расчет!$C$2:$C$3001,$L1218))+1,99),")",""),INDEX(Расчет!$C$2:$C$3001,$L1218)))</f>
        <v/>
      </c>
      <c r="E1218">
        <f>IF($L1218="","",INDEX(Расчет!$D$2:$D$3001,$L1218))</f>
        <v/>
      </c>
      <c r="F1218">
        <f>IF($L1218="","",INDEX(Расчет!$E$2:$E$3001,$L1218))</f>
        <v/>
      </c>
      <c r="G1218">
        <f>IF($L1218="","",IFERROR(--LEFT(INDEX(Расчет!$C$2:$C$3001,$L1218),FIND("(",INDEX(Расчет!$C$2:$C$3001,$L1218))-1),IFERROR(--LEFT(INDEX(Расчет!$C$2:$C$3001,$L1218),1),"")))</f>
        <v/>
      </c>
      <c r="H1218">
        <f>IF($L1218="","",SUMIFS(Расчет!$G$2:$G$3001,Расчет!$I$2:$I$3001,$K1218,Расчет!$H$2:$H$3001,1))</f>
        <v/>
      </c>
      <c r="I1218">
        <f>IF($L1218="","",SUMIFS(Расчет!$G$2:$G$3001,Расчет!$I$2:$I$3001,$K1218,Расчет!$H$2:$H$3001,2))</f>
        <v/>
      </c>
      <c r="J1218">
        <f>IF($L1218="","",SUMIFS(Расчет!$G$2:$G$3001,Расчет!$I$2:$I$3001,$K1218,Расчет!$H$2:$H$3001,3))</f>
        <v/>
      </c>
      <c r="K1218">
        <f>IF($L1218="","",INDEX(Расчет!$I$2:$I$3001,$L1218))</f>
        <v/>
      </c>
      <c r="L1218">
        <f>IFERROR(MATCH(ROW()-1,Расчет!$J$2:$J$3001,0),"")</f>
        <v/>
      </c>
    </row>
    <row r="1219">
      <c r="A1219">
        <f>IF($L1219="","",B1219&amp;"."&amp;C1219&amp;"-"&amp;D1219&amp;"-"&amp;H1219&amp;"."&amp;I1219&amp;"."&amp;J1219)</f>
        <v/>
      </c>
      <c r="B1219">
        <f>IF($L1219="","",INDEX(Расчет!$A$2:$A$3001,$L1219))</f>
        <v/>
      </c>
      <c r="C1219">
        <f>IF($L1219="","",INDEX(Расчет!$B$2:$B$3001,$L1219))</f>
        <v/>
      </c>
      <c r="D1219">
        <f>IF($L1219="","",IF(ISNUMBER(FIND("(",INDEX(Расчет!$C$2:$C$3001,$L1219))),SUBSTITUTE(MID(INDEX(Расчет!$C$2:$C$3001,$L1219),FIND("(",INDEX(Расчет!$C$2:$C$3001,$L1219))+1,99),")",""),INDEX(Расчет!$C$2:$C$3001,$L1219)))</f>
        <v/>
      </c>
      <c r="E1219">
        <f>IF($L1219="","",INDEX(Расчет!$D$2:$D$3001,$L1219))</f>
        <v/>
      </c>
      <c r="F1219">
        <f>IF($L1219="","",INDEX(Расчет!$E$2:$E$3001,$L1219))</f>
        <v/>
      </c>
      <c r="G1219">
        <f>IF($L1219="","",IFERROR(--LEFT(INDEX(Расчет!$C$2:$C$3001,$L1219),FIND("(",INDEX(Расчет!$C$2:$C$3001,$L1219))-1),IFERROR(--LEFT(INDEX(Расчет!$C$2:$C$3001,$L1219),1),"")))</f>
        <v/>
      </c>
      <c r="H1219">
        <f>IF($L1219="","",SUMIFS(Расчет!$G$2:$G$3001,Расчет!$I$2:$I$3001,$K1219,Расчет!$H$2:$H$3001,1))</f>
        <v/>
      </c>
      <c r="I1219">
        <f>IF($L1219="","",SUMIFS(Расчет!$G$2:$G$3001,Расчет!$I$2:$I$3001,$K1219,Расчет!$H$2:$H$3001,2))</f>
        <v/>
      </c>
      <c r="J1219">
        <f>IF($L1219="","",SUMIFS(Расчет!$G$2:$G$3001,Расчет!$I$2:$I$3001,$K1219,Расчет!$H$2:$H$3001,3))</f>
        <v/>
      </c>
      <c r="K1219">
        <f>IF($L1219="","",INDEX(Расчет!$I$2:$I$3001,$L1219))</f>
        <v/>
      </c>
      <c r="L1219">
        <f>IFERROR(MATCH(ROW()-1,Расчет!$J$2:$J$3001,0),"")</f>
        <v/>
      </c>
    </row>
    <row r="1220">
      <c r="A1220">
        <f>IF($L1220="","",B1220&amp;"."&amp;C1220&amp;"-"&amp;D1220&amp;"-"&amp;H1220&amp;"."&amp;I1220&amp;"."&amp;J1220)</f>
        <v/>
      </c>
      <c r="B1220">
        <f>IF($L1220="","",INDEX(Расчет!$A$2:$A$3001,$L1220))</f>
        <v/>
      </c>
      <c r="C1220">
        <f>IF($L1220="","",INDEX(Расчет!$B$2:$B$3001,$L1220))</f>
        <v/>
      </c>
      <c r="D1220">
        <f>IF($L1220="","",IF(ISNUMBER(FIND("(",INDEX(Расчет!$C$2:$C$3001,$L1220))),SUBSTITUTE(MID(INDEX(Расчет!$C$2:$C$3001,$L1220),FIND("(",INDEX(Расчет!$C$2:$C$3001,$L1220))+1,99),")",""),INDEX(Расчет!$C$2:$C$3001,$L1220)))</f>
        <v/>
      </c>
      <c r="E1220">
        <f>IF($L1220="","",INDEX(Расчет!$D$2:$D$3001,$L1220))</f>
        <v/>
      </c>
      <c r="F1220">
        <f>IF($L1220="","",INDEX(Расчет!$E$2:$E$3001,$L1220))</f>
        <v/>
      </c>
      <c r="G1220">
        <f>IF($L1220="","",IFERROR(--LEFT(INDEX(Расчет!$C$2:$C$3001,$L1220),FIND("(",INDEX(Расчет!$C$2:$C$3001,$L1220))-1),IFERROR(--LEFT(INDEX(Расчет!$C$2:$C$3001,$L1220),1),"")))</f>
        <v/>
      </c>
      <c r="H1220">
        <f>IF($L1220="","",SUMIFS(Расчет!$G$2:$G$3001,Расчет!$I$2:$I$3001,$K1220,Расчет!$H$2:$H$3001,1))</f>
        <v/>
      </c>
      <c r="I1220">
        <f>IF($L1220="","",SUMIFS(Расчет!$G$2:$G$3001,Расчет!$I$2:$I$3001,$K1220,Расчет!$H$2:$H$3001,2))</f>
        <v/>
      </c>
      <c r="J1220">
        <f>IF($L1220="","",SUMIFS(Расчет!$G$2:$G$3001,Расчет!$I$2:$I$3001,$K1220,Расчет!$H$2:$H$3001,3))</f>
        <v/>
      </c>
      <c r="K1220">
        <f>IF($L1220="","",INDEX(Расчет!$I$2:$I$3001,$L1220))</f>
        <v/>
      </c>
      <c r="L1220">
        <f>IFERROR(MATCH(ROW()-1,Расчет!$J$2:$J$3001,0),"")</f>
        <v/>
      </c>
    </row>
    <row r="1221">
      <c r="A1221">
        <f>IF($L1221="","",B1221&amp;"."&amp;C1221&amp;"-"&amp;D1221&amp;"-"&amp;H1221&amp;"."&amp;I1221&amp;"."&amp;J1221)</f>
        <v/>
      </c>
      <c r="B1221">
        <f>IF($L1221="","",INDEX(Расчет!$A$2:$A$3001,$L1221))</f>
        <v/>
      </c>
      <c r="C1221">
        <f>IF($L1221="","",INDEX(Расчет!$B$2:$B$3001,$L1221))</f>
        <v/>
      </c>
      <c r="D1221">
        <f>IF($L1221="","",IF(ISNUMBER(FIND("(",INDEX(Расчет!$C$2:$C$3001,$L1221))),SUBSTITUTE(MID(INDEX(Расчет!$C$2:$C$3001,$L1221),FIND("(",INDEX(Расчет!$C$2:$C$3001,$L1221))+1,99),")",""),INDEX(Расчет!$C$2:$C$3001,$L1221)))</f>
        <v/>
      </c>
      <c r="E1221">
        <f>IF($L1221="","",INDEX(Расчет!$D$2:$D$3001,$L1221))</f>
        <v/>
      </c>
      <c r="F1221">
        <f>IF($L1221="","",INDEX(Расчет!$E$2:$E$3001,$L1221))</f>
        <v/>
      </c>
      <c r="G1221">
        <f>IF($L1221="","",IFERROR(--LEFT(INDEX(Расчет!$C$2:$C$3001,$L1221),FIND("(",INDEX(Расчет!$C$2:$C$3001,$L1221))-1),IFERROR(--LEFT(INDEX(Расчет!$C$2:$C$3001,$L1221),1),"")))</f>
        <v/>
      </c>
      <c r="H1221">
        <f>IF($L1221="","",SUMIFS(Расчет!$G$2:$G$3001,Расчет!$I$2:$I$3001,$K1221,Расчет!$H$2:$H$3001,1))</f>
        <v/>
      </c>
      <c r="I1221">
        <f>IF($L1221="","",SUMIFS(Расчет!$G$2:$G$3001,Расчет!$I$2:$I$3001,$K1221,Расчет!$H$2:$H$3001,2))</f>
        <v/>
      </c>
      <c r="J1221">
        <f>IF($L1221="","",SUMIFS(Расчет!$G$2:$G$3001,Расчет!$I$2:$I$3001,$K1221,Расчет!$H$2:$H$3001,3))</f>
        <v/>
      </c>
      <c r="K1221">
        <f>IF($L1221="","",INDEX(Расчет!$I$2:$I$3001,$L1221))</f>
        <v/>
      </c>
      <c r="L1221">
        <f>IFERROR(MATCH(ROW()-1,Расчет!$J$2:$J$3001,0),"")</f>
        <v/>
      </c>
    </row>
    <row r="1222">
      <c r="A1222">
        <f>IF($L1222="","",B1222&amp;"."&amp;C1222&amp;"-"&amp;D1222&amp;"-"&amp;H1222&amp;"."&amp;I1222&amp;"."&amp;J1222)</f>
        <v/>
      </c>
      <c r="B1222">
        <f>IF($L1222="","",INDEX(Расчет!$A$2:$A$3001,$L1222))</f>
        <v/>
      </c>
      <c r="C1222">
        <f>IF($L1222="","",INDEX(Расчет!$B$2:$B$3001,$L1222))</f>
        <v/>
      </c>
      <c r="D1222">
        <f>IF($L1222="","",IF(ISNUMBER(FIND("(",INDEX(Расчет!$C$2:$C$3001,$L1222))),SUBSTITUTE(MID(INDEX(Расчет!$C$2:$C$3001,$L1222),FIND("(",INDEX(Расчет!$C$2:$C$3001,$L1222))+1,99),")",""),INDEX(Расчет!$C$2:$C$3001,$L1222)))</f>
        <v/>
      </c>
      <c r="E1222">
        <f>IF($L1222="","",INDEX(Расчет!$D$2:$D$3001,$L1222))</f>
        <v/>
      </c>
      <c r="F1222">
        <f>IF($L1222="","",INDEX(Расчет!$E$2:$E$3001,$L1222))</f>
        <v/>
      </c>
      <c r="G1222">
        <f>IF($L1222="","",IFERROR(--LEFT(INDEX(Расчет!$C$2:$C$3001,$L1222),FIND("(",INDEX(Расчет!$C$2:$C$3001,$L1222))-1),IFERROR(--LEFT(INDEX(Расчет!$C$2:$C$3001,$L1222),1),"")))</f>
        <v/>
      </c>
      <c r="H1222">
        <f>IF($L1222="","",SUMIFS(Расчет!$G$2:$G$3001,Расчет!$I$2:$I$3001,$K1222,Расчет!$H$2:$H$3001,1))</f>
        <v/>
      </c>
      <c r="I1222">
        <f>IF($L1222="","",SUMIFS(Расчет!$G$2:$G$3001,Расчет!$I$2:$I$3001,$K1222,Расчет!$H$2:$H$3001,2))</f>
        <v/>
      </c>
      <c r="J1222">
        <f>IF($L1222="","",SUMIFS(Расчет!$G$2:$G$3001,Расчет!$I$2:$I$3001,$K1222,Расчет!$H$2:$H$3001,3))</f>
        <v/>
      </c>
      <c r="K1222">
        <f>IF($L1222="","",INDEX(Расчет!$I$2:$I$3001,$L1222))</f>
        <v/>
      </c>
      <c r="L1222">
        <f>IFERROR(MATCH(ROW()-1,Расчет!$J$2:$J$3001,0),"")</f>
        <v/>
      </c>
    </row>
    <row r="1223">
      <c r="A1223">
        <f>IF($L1223="","",B1223&amp;"."&amp;C1223&amp;"-"&amp;D1223&amp;"-"&amp;H1223&amp;"."&amp;I1223&amp;"."&amp;J1223)</f>
        <v/>
      </c>
      <c r="B1223">
        <f>IF($L1223="","",INDEX(Расчет!$A$2:$A$3001,$L1223))</f>
        <v/>
      </c>
      <c r="C1223">
        <f>IF($L1223="","",INDEX(Расчет!$B$2:$B$3001,$L1223))</f>
        <v/>
      </c>
      <c r="D1223">
        <f>IF($L1223="","",IF(ISNUMBER(FIND("(",INDEX(Расчет!$C$2:$C$3001,$L1223))),SUBSTITUTE(MID(INDEX(Расчет!$C$2:$C$3001,$L1223),FIND("(",INDEX(Расчет!$C$2:$C$3001,$L1223))+1,99),")",""),INDEX(Расчет!$C$2:$C$3001,$L1223)))</f>
        <v/>
      </c>
      <c r="E1223">
        <f>IF($L1223="","",INDEX(Расчет!$D$2:$D$3001,$L1223))</f>
        <v/>
      </c>
      <c r="F1223">
        <f>IF($L1223="","",INDEX(Расчет!$E$2:$E$3001,$L1223))</f>
        <v/>
      </c>
      <c r="G1223">
        <f>IF($L1223="","",IFERROR(--LEFT(INDEX(Расчет!$C$2:$C$3001,$L1223),FIND("(",INDEX(Расчет!$C$2:$C$3001,$L1223))-1),IFERROR(--LEFT(INDEX(Расчет!$C$2:$C$3001,$L1223),1),"")))</f>
        <v/>
      </c>
      <c r="H1223">
        <f>IF($L1223="","",SUMIFS(Расчет!$G$2:$G$3001,Расчет!$I$2:$I$3001,$K1223,Расчет!$H$2:$H$3001,1))</f>
        <v/>
      </c>
      <c r="I1223">
        <f>IF($L1223="","",SUMIFS(Расчет!$G$2:$G$3001,Расчет!$I$2:$I$3001,$K1223,Расчет!$H$2:$H$3001,2))</f>
        <v/>
      </c>
      <c r="J1223">
        <f>IF($L1223="","",SUMIFS(Расчет!$G$2:$G$3001,Расчет!$I$2:$I$3001,$K1223,Расчет!$H$2:$H$3001,3))</f>
        <v/>
      </c>
      <c r="K1223">
        <f>IF($L1223="","",INDEX(Расчет!$I$2:$I$3001,$L1223))</f>
        <v/>
      </c>
      <c r="L1223">
        <f>IFERROR(MATCH(ROW()-1,Расчет!$J$2:$J$3001,0),"")</f>
        <v/>
      </c>
    </row>
    <row r="1224">
      <c r="A1224">
        <f>IF($L1224="","",B1224&amp;"."&amp;C1224&amp;"-"&amp;D1224&amp;"-"&amp;H1224&amp;"."&amp;I1224&amp;"."&amp;J1224)</f>
        <v/>
      </c>
      <c r="B1224">
        <f>IF($L1224="","",INDEX(Расчет!$A$2:$A$3001,$L1224))</f>
        <v/>
      </c>
      <c r="C1224">
        <f>IF($L1224="","",INDEX(Расчет!$B$2:$B$3001,$L1224))</f>
        <v/>
      </c>
      <c r="D1224">
        <f>IF($L1224="","",IF(ISNUMBER(FIND("(",INDEX(Расчет!$C$2:$C$3001,$L1224))),SUBSTITUTE(MID(INDEX(Расчет!$C$2:$C$3001,$L1224),FIND("(",INDEX(Расчет!$C$2:$C$3001,$L1224))+1,99),")",""),INDEX(Расчет!$C$2:$C$3001,$L1224)))</f>
        <v/>
      </c>
      <c r="E1224">
        <f>IF($L1224="","",INDEX(Расчет!$D$2:$D$3001,$L1224))</f>
        <v/>
      </c>
      <c r="F1224">
        <f>IF($L1224="","",INDEX(Расчет!$E$2:$E$3001,$L1224))</f>
        <v/>
      </c>
      <c r="G1224">
        <f>IF($L1224="","",IFERROR(--LEFT(INDEX(Расчет!$C$2:$C$3001,$L1224),FIND("(",INDEX(Расчет!$C$2:$C$3001,$L1224))-1),IFERROR(--LEFT(INDEX(Расчет!$C$2:$C$3001,$L1224),1),"")))</f>
        <v/>
      </c>
      <c r="H1224">
        <f>IF($L1224="","",SUMIFS(Расчет!$G$2:$G$3001,Расчет!$I$2:$I$3001,$K1224,Расчет!$H$2:$H$3001,1))</f>
        <v/>
      </c>
      <c r="I1224">
        <f>IF($L1224="","",SUMIFS(Расчет!$G$2:$G$3001,Расчет!$I$2:$I$3001,$K1224,Расчет!$H$2:$H$3001,2))</f>
        <v/>
      </c>
      <c r="J1224">
        <f>IF($L1224="","",SUMIFS(Расчет!$G$2:$G$3001,Расчет!$I$2:$I$3001,$K1224,Расчет!$H$2:$H$3001,3))</f>
        <v/>
      </c>
      <c r="K1224">
        <f>IF($L1224="","",INDEX(Расчет!$I$2:$I$3001,$L1224))</f>
        <v/>
      </c>
      <c r="L1224">
        <f>IFERROR(MATCH(ROW()-1,Расчет!$J$2:$J$3001,0),"")</f>
        <v/>
      </c>
    </row>
    <row r="1225">
      <c r="A1225">
        <f>IF($L1225="","",B1225&amp;"."&amp;C1225&amp;"-"&amp;D1225&amp;"-"&amp;H1225&amp;"."&amp;I1225&amp;"."&amp;J1225)</f>
        <v/>
      </c>
      <c r="B1225">
        <f>IF($L1225="","",INDEX(Расчет!$A$2:$A$3001,$L1225))</f>
        <v/>
      </c>
      <c r="C1225">
        <f>IF($L1225="","",INDEX(Расчет!$B$2:$B$3001,$L1225))</f>
        <v/>
      </c>
      <c r="D1225">
        <f>IF($L1225="","",IF(ISNUMBER(FIND("(",INDEX(Расчет!$C$2:$C$3001,$L1225))),SUBSTITUTE(MID(INDEX(Расчет!$C$2:$C$3001,$L1225),FIND("(",INDEX(Расчет!$C$2:$C$3001,$L1225))+1,99),")",""),INDEX(Расчет!$C$2:$C$3001,$L1225)))</f>
        <v/>
      </c>
      <c r="E1225">
        <f>IF($L1225="","",INDEX(Расчет!$D$2:$D$3001,$L1225))</f>
        <v/>
      </c>
      <c r="F1225">
        <f>IF($L1225="","",INDEX(Расчет!$E$2:$E$3001,$L1225))</f>
        <v/>
      </c>
      <c r="G1225">
        <f>IF($L1225="","",IFERROR(--LEFT(INDEX(Расчет!$C$2:$C$3001,$L1225),FIND("(",INDEX(Расчет!$C$2:$C$3001,$L1225))-1),IFERROR(--LEFT(INDEX(Расчет!$C$2:$C$3001,$L1225),1),"")))</f>
        <v/>
      </c>
      <c r="H1225">
        <f>IF($L1225="","",SUMIFS(Расчет!$G$2:$G$3001,Расчет!$I$2:$I$3001,$K1225,Расчет!$H$2:$H$3001,1))</f>
        <v/>
      </c>
      <c r="I1225">
        <f>IF($L1225="","",SUMIFS(Расчет!$G$2:$G$3001,Расчет!$I$2:$I$3001,$K1225,Расчет!$H$2:$H$3001,2))</f>
        <v/>
      </c>
      <c r="J1225">
        <f>IF($L1225="","",SUMIFS(Расчет!$G$2:$G$3001,Расчет!$I$2:$I$3001,$K1225,Расчет!$H$2:$H$3001,3))</f>
        <v/>
      </c>
      <c r="K1225">
        <f>IF($L1225="","",INDEX(Расчет!$I$2:$I$3001,$L1225))</f>
        <v/>
      </c>
      <c r="L1225">
        <f>IFERROR(MATCH(ROW()-1,Расчет!$J$2:$J$3001,0),"")</f>
        <v/>
      </c>
    </row>
    <row r="1226">
      <c r="A1226">
        <f>IF($L1226="","",B1226&amp;"."&amp;C1226&amp;"-"&amp;D1226&amp;"-"&amp;H1226&amp;"."&amp;I1226&amp;"."&amp;J1226)</f>
        <v/>
      </c>
      <c r="B1226">
        <f>IF($L1226="","",INDEX(Расчет!$A$2:$A$3001,$L1226))</f>
        <v/>
      </c>
      <c r="C1226">
        <f>IF($L1226="","",INDEX(Расчет!$B$2:$B$3001,$L1226))</f>
        <v/>
      </c>
      <c r="D1226">
        <f>IF($L1226="","",IF(ISNUMBER(FIND("(",INDEX(Расчет!$C$2:$C$3001,$L1226))),SUBSTITUTE(MID(INDEX(Расчет!$C$2:$C$3001,$L1226),FIND("(",INDEX(Расчет!$C$2:$C$3001,$L1226))+1,99),")",""),INDEX(Расчет!$C$2:$C$3001,$L1226)))</f>
        <v/>
      </c>
      <c r="E1226">
        <f>IF($L1226="","",INDEX(Расчет!$D$2:$D$3001,$L1226))</f>
        <v/>
      </c>
      <c r="F1226">
        <f>IF($L1226="","",INDEX(Расчет!$E$2:$E$3001,$L1226))</f>
        <v/>
      </c>
      <c r="G1226">
        <f>IF($L1226="","",IFERROR(--LEFT(INDEX(Расчет!$C$2:$C$3001,$L1226),FIND("(",INDEX(Расчет!$C$2:$C$3001,$L1226))-1),IFERROR(--LEFT(INDEX(Расчет!$C$2:$C$3001,$L1226),1),"")))</f>
        <v/>
      </c>
      <c r="H1226">
        <f>IF($L1226="","",SUMIFS(Расчет!$G$2:$G$3001,Расчет!$I$2:$I$3001,$K1226,Расчет!$H$2:$H$3001,1))</f>
        <v/>
      </c>
      <c r="I1226">
        <f>IF($L1226="","",SUMIFS(Расчет!$G$2:$G$3001,Расчет!$I$2:$I$3001,$K1226,Расчет!$H$2:$H$3001,2))</f>
        <v/>
      </c>
      <c r="J1226">
        <f>IF($L1226="","",SUMIFS(Расчет!$G$2:$G$3001,Расчет!$I$2:$I$3001,$K1226,Расчет!$H$2:$H$3001,3))</f>
        <v/>
      </c>
      <c r="K1226">
        <f>IF($L1226="","",INDEX(Расчет!$I$2:$I$3001,$L1226))</f>
        <v/>
      </c>
      <c r="L1226">
        <f>IFERROR(MATCH(ROW()-1,Расчет!$J$2:$J$3001,0),"")</f>
        <v/>
      </c>
    </row>
    <row r="1227">
      <c r="A1227">
        <f>IF($L1227="","",B1227&amp;"."&amp;C1227&amp;"-"&amp;D1227&amp;"-"&amp;H1227&amp;"."&amp;I1227&amp;"."&amp;J1227)</f>
        <v/>
      </c>
      <c r="B1227">
        <f>IF($L1227="","",INDEX(Расчет!$A$2:$A$3001,$L1227))</f>
        <v/>
      </c>
      <c r="C1227">
        <f>IF($L1227="","",INDEX(Расчет!$B$2:$B$3001,$L1227))</f>
        <v/>
      </c>
      <c r="D1227">
        <f>IF($L1227="","",IF(ISNUMBER(FIND("(",INDEX(Расчет!$C$2:$C$3001,$L1227))),SUBSTITUTE(MID(INDEX(Расчет!$C$2:$C$3001,$L1227),FIND("(",INDEX(Расчет!$C$2:$C$3001,$L1227))+1,99),")",""),INDEX(Расчет!$C$2:$C$3001,$L1227)))</f>
        <v/>
      </c>
      <c r="E1227">
        <f>IF($L1227="","",INDEX(Расчет!$D$2:$D$3001,$L1227))</f>
        <v/>
      </c>
      <c r="F1227">
        <f>IF($L1227="","",INDEX(Расчет!$E$2:$E$3001,$L1227))</f>
        <v/>
      </c>
      <c r="G1227">
        <f>IF($L1227="","",IFERROR(--LEFT(INDEX(Расчет!$C$2:$C$3001,$L1227),FIND("(",INDEX(Расчет!$C$2:$C$3001,$L1227))-1),IFERROR(--LEFT(INDEX(Расчет!$C$2:$C$3001,$L1227),1),"")))</f>
        <v/>
      </c>
      <c r="H1227">
        <f>IF($L1227="","",SUMIFS(Расчет!$G$2:$G$3001,Расчет!$I$2:$I$3001,$K1227,Расчет!$H$2:$H$3001,1))</f>
        <v/>
      </c>
      <c r="I1227">
        <f>IF($L1227="","",SUMIFS(Расчет!$G$2:$G$3001,Расчет!$I$2:$I$3001,$K1227,Расчет!$H$2:$H$3001,2))</f>
        <v/>
      </c>
      <c r="J1227">
        <f>IF($L1227="","",SUMIFS(Расчет!$G$2:$G$3001,Расчет!$I$2:$I$3001,$K1227,Расчет!$H$2:$H$3001,3))</f>
        <v/>
      </c>
      <c r="K1227">
        <f>IF($L1227="","",INDEX(Расчет!$I$2:$I$3001,$L1227))</f>
        <v/>
      </c>
      <c r="L1227">
        <f>IFERROR(MATCH(ROW()-1,Расчет!$J$2:$J$3001,0),"")</f>
        <v/>
      </c>
    </row>
    <row r="1228">
      <c r="A1228">
        <f>IF($L1228="","",B1228&amp;"."&amp;C1228&amp;"-"&amp;D1228&amp;"-"&amp;H1228&amp;"."&amp;I1228&amp;"."&amp;J1228)</f>
        <v/>
      </c>
      <c r="B1228">
        <f>IF($L1228="","",INDEX(Расчет!$A$2:$A$3001,$L1228))</f>
        <v/>
      </c>
      <c r="C1228">
        <f>IF($L1228="","",INDEX(Расчет!$B$2:$B$3001,$L1228))</f>
        <v/>
      </c>
      <c r="D1228">
        <f>IF($L1228="","",IF(ISNUMBER(FIND("(",INDEX(Расчет!$C$2:$C$3001,$L1228))),SUBSTITUTE(MID(INDEX(Расчет!$C$2:$C$3001,$L1228),FIND("(",INDEX(Расчет!$C$2:$C$3001,$L1228))+1,99),")",""),INDEX(Расчет!$C$2:$C$3001,$L1228)))</f>
        <v/>
      </c>
      <c r="E1228">
        <f>IF($L1228="","",INDEX(Расчет!$D$2:$D$3001,$L1228))</f>
        <v/>
      </c>
      <c r="F1228">
        <f>IF($L1228="","",INDEX(Расчет!$E$2:$E$3001,$L1228))</f>
        <v/>
      </c>
      <c r="G1228">
        <f>IF($L1228="","",IFERROR(--LEFT(INDEX(Расчет!$C$2:$C$3001,$L1228),FIND("(",INDEX(Расчет!$C$2:$C$3001,$L1228))-1),IFERROR(--LEFT(INDEX(Расчет!$C$2:$C$3001,$L1228),1),"")))</f>
        <v/>
      </c>
      <c r="H1228">
        <f>IF($L1228="","",SUMIFS(Расчет!$G$2:$G$3001,Расчет!$I$2:$I$3001,$K1228,Расчет!$H$2:$H$3001,1))</f>
        <v/>
      </c>
      <c r="I1228">
        <f>IF($L1228="","",SUMIFS(Расчет!$G$2:$G$3001,Расчет!$I$2:$I$3001,$K1228,Расчет!$H$2:$H$3001,2))</f>
        <v/>
      </c>
      <c r="J1228">
        <f>IF($L1228="","",SUMIFS(Расчет!$G$2:$G$3001,Расчет!$I$2:$I$3001,$K1228,Расчет!$H$2:$H$3001,3))</f>
        <v/>
      </c>
      <c r="K1228">
        <f>IF($L1228="","",INDEX(Расчет!$I$2:$I$3001,$L1228))</f>
        <v/>
      </c>
      <c r="L1228">
        <f>IFERROR(MATCH(ROW()-1,Расчет!$J$2:$J$3001,0),"")</f>
        <v/>
      </c>
    </row>
    <row r="1229">
      <c r="A1229">
        <f>IF($L1229="","",B1229&amp;"."&amp;C1229&amp;"-"&amp;D1229&amp;"-"&amp;H1229&amp;"."&amp;I1229&amp;"."&amp;J1229)</f>
        <v/>
      </c>
      <c r="B1229">
        <f>IF($L1229="","",INDEX(Расчет!$A$2:$A$3001,$L1229))</f>
        <v/>
      </c>
      <c r="C1229">
        <f>IF($L1229="","",INDEX(Расчет!$B$2:$B$3001,$L1229))</f>
        <v/>
      </c>
      <c r="D1229">
        <f>IF($L1229="","",IF(ISNUMBER(FIND("(",INDEX(Расчет!$C$2:$C$3001,$L1229))),SUBSTITUTE(MID(INDEX(Расчет!$C$2:$C$3001,$L1229),FIND("(",INDEX(Расчет!$C$2:$C$3001,$L1229))+1,99),")",""),INDEX(Расчет!$C$2:$C$3001,$L1229)))</f>
        <v/>
      </c>
      <c r="E1229">
        <f>IF($L1229="","",INDEX(Расчет!$D$2:$D$3001,$L1229))</f>
        <v/>
      </c>
      <c r="F1229">
        <f>IF($L1229="","",INDEX(Расчет!$E$2:$E$3001,$L1229))</f>
        <v/>
      </c>
      <c r="G1229">
        <f>IF($L1229="","",IFERROR(--LEFT(INDEX(Расчет!$C$2:$C$3001,$L1229),FIND("(",INDEX(Расчет!$C$2:$C$3001,$L1229))-1),IFERROR(--LEFT(INDEX(Расчет!$C$2:$C$3001,$L1229),1),"")))</f>
        <v/>
      </c>
      <c r="H1229">
        <f>IF($L1229="","",SUMIFS(Расчет!$G$2:$G$3001,Расчет!$I$2:$I$3001,$K1229,Расчет!$H$2:$H$3001,1))</f>
        <v/>
      </c>
      <c r="I1229">
        <f>IF($L1229="","",SUMIFS(Расчет!$G$2:$G$3001,Расчет!$I$2:$I$3001,$K1229,Расчет!$H$2:$H$3001,2))</f>
        <v/>
      </c>
      <c r="J1229">
        <f>IF($L1229="","",SUMIFS(Расчет!$G$2:$G$3001,Расчет!$I$2:$I$3001,$K1229,Расчет!$H$2:$H$3001,3))</f>
        <v/>
      </c>
      <c r="K1229">
        <f>IF($L1229="","",INDEX(Расчет!$I$2:$I$3001,$L1229))</f>
        <v/>
      </c>
      <c r="L1229">
        <f>IFERROR(MATCH(ROW()-1,Расчет!$J$2:$J$3001,0),"")</f>
        <v/>
      </c>
    </row>
    <row r="1230">
      <c r="A1230">
        <f>IF($L1230="","",B1230&amp;"."&amp;C1230&amp;"-"&amp;D1230&amp;"-"&amp;H1230&amp;"."&amp;I1230&amp;"."&amp;J1230)</f>
        <v/>
      </c>
      <c r="B1230">
        <f>IF($L1230="","",INDEX(Расчет!$A$2:$A$3001,$L1230))</f>
        <v/>
      </c>
      <c r="C1230">
        <f>IF($L1230="","",INDEX(Расчет!$B$2:$B$3001,$L1230))</f>
        <v/>
      </c>
      <c r="D1230">
        <f>IF($L1230="","",IF(ISNUMBER(FIND("(",INDEX(Расчет!$C$2:$C$3001,$L1230))),SUBSTITUTE(MID(INDEX(Расчет!$C$2:$C$3001,$L1230),FIND("(",INDEX(Расчет!$C$2:$C$3001,$L1230))+1,99),")",""),INDEX(Расчет!$C$2:$C$3001,$L1230)))</f>
        <v/>
      </c>
      <c r="E1230">
        <f>IF($L1230="","",INDEX(Расчет!$D$2:$D$3001,$L1230))</f>
        <v/>
      </c>
      <c r="F1230">
        <f>IF($L1230="","",INDEX(Расчет!$E$2:$E$3001,$L1230))</f>
        <v/>
      </c>
      <c r="G1230">
        <f>IF($L1230="","",IFERROR(--LEFT(INDEX(Расчет!$C$2:$C$3001,$L1230),FIND("(",INDEX(Расчет!$C$2:$C$3001,$L1230))-1),IFERROR(--LEFT(INDEX(Расчет!$C$2:$C$3001,$L1230),1),"")))</f>
        <v/>
      </c>
      <c r="H1230">
        <f>IF($L1230="","",SUMIFS(Расчет!$G$2:$G$3001,Расчет!$I$2:$I$3001,$K1230,Расчет!$H$2:$H$3001,1))</f>
        <v/>
      </c>
      <c r="I1230">
        <f>IF($L1230="","",SUMIFS(Расчет!$G$2:$G$3001,Расчет!$I$2:$I$3001,$K1230,Расчет!$H$2:$H$3001,2))</f>
        <v/>
      </c>
      <c r="J1230">
        <f>IF($L1230="","",SUMIFS(Расчет!$G$2:$G$3001,Расчет!$I$2:$I$3001,$K1230,Расчет!$H$2:$H$3001,3))</f>
        <v/>
      </c>
      <c r="K1230">
        <f>IF($L1230="","",INDEX(Расчет!$I$2:$I$3001,$L1230))</f>
        <v/>
      </c>
      <c r="L1230">
        <f>IFERROR(MATCH(ROW()-1,Расчет!$J$2:$J$3001,0),"")</f>
        <v/>
      </c>
    </row>
    <row r="1231">
      <c r="A1231">
        <f>IF($L1231="","",B1231&amp;"."&amp;C1231&amp;"-"&amp;D1231&amp;"-"&amp;H1231&amp;"."&amp;I1231&amp;"."&amp;J1231)</f>
        <v/>
      </c>
      <c r="B1231">
        <f>IF($L1231="","",INDEX(Расчет!$A$2:$A$3001,$L1231))</f>
        <v/>
      </c>
      <c r="C1231">
        <f>IF($L1231="","",INDEX(Расчет!$B$2:$B$3001,$L1231))</f>
        <v/>
      </c>
      <c r="D1231">
        <f>IF($L1231="","",IF(ISNUMBER(FIND("(",INDEX(Расчет!$C$2:$C$3001,$L1231))),SUBSTITUTE(MID(INDEX(Расчет!$C$2:$C$3001,$L1231),FIND("(",INDEX(Расчет!$C$2:$C$3001,$L1231))+1,99),")",""),INDEX(Расчет!$C$2:$C$3001,$L1231)))</f>
        <v/>
      </c>
      <c r="E1231">
        <f>IF($L1231="","",INDEX(Расчет!$D$2:$D$3001,$L1231))</f>
        <v/>
      </c>
      <c r="F1231">
        <f>IF($L1231="","",INDEX(Расчет!$E$2:$E$3001,$L1231))</f>
        <v/>
      </c>
      <c r="G1231">
        <f>IF($L1231="","",IFERROR(--LEFT(INDEX(Расчет!$C$2:$C$3001,$L1231),FIND("(",INDEX(Расчет!$C$2:$C$3001,$L1231))-1),IFERROR(--LEFT(INDEX(Расчет!$C$2:$C$3001,$L1231),1),"")))</f>
        <v/>
      </c>
      <c r="H1231">
        <f>IF($L1231="","",SUMIFS(Расчет!$G$2:$G$3001,Расчет!$I$2:$I$3001,$K1231,Расчет!$H$2:$H$3001,1))</f>
        <v/>
      </c>
      <c r="I1231">
        <f>IF($L1231="","",SUMIFS(Расчет!$G$2:$G$3001,Расчет!$I$2:$I$3001,$K1231,Расчет!$H$2:$H$3001,2))</f>
        <v/>
      </c>
      <c r="J1231">
        <f>IF($L1231="","",SUMIFS(Расчет!$G$2:$G$3001,Расчет!$I$2:$I$3001,$K1231,Расчет!$H$2:$H$3001,3))</f>
        <v/>
      </c>
      <c r="K1231">
        <f>IF($L1231="","",INDEX(Расчет!$I$2:$I$3001,$L1231))</f>
        <v/>
      </c>
      <c r="L1231">
        <f>IFERROR(MATCH(ROW()-1,Расчет!$J$2:$J$3001,0),"")</f>
        <v/>
      </c>
    </row>
    <row r="1232">
      <c r="A1232">
        <f>IF($L1232="","",B1232&amp;"."&amp;C1232&amp;"-"&amp;D1232&amp;"-"&amp;H1232&amp;"."&amp;I1232&amp;"."&amp;J1232)</f>
        <v/>
      </c>
      <c r="B1232">
        <f>IF($L1232="","",INDEX(Расчет!$A$2:$A$3001,$L1232))</f>
        <v/>
      </c>
      <c r="C1232">
        <f>IF($L1232="","",INDEX(Расчет!$B$2:$B$3001,$L1232))</f>
        <v/>
      </c>
      <c r="D1232">
        <f>IF($L1232="","",IF(ISNUMBER(FIND("(",INDEX(Расчет!$C$2:$C$3001,$L1232))),SUBSTITUTE(MID(INDEX(Расчет!$C$2:$C$3001,$L1232),FIND("(",INDEX(Расчет!$C$2:$C$3001,$L1232))+1,99),")",""),INDEX(Расчет!$C$2:$C$3001,$L1232)))</f>
        <v/>
      </c>
      <c r="E1232">
        <f>IF($L1232="","",INDEX(Расчет!$D$2:$D$3001,$L1232))</f>
        <v/>
      </c>
      <c r="F1232">
        <f>IF($L1232="","",INDEX(Расчет!$E$2:$E$3001,$L1232))</f>
        <v/>
      </c>
      <c r="G1232">
        <f>IF($L1232="","",IFERROR(--LEFT(INDEX(Расчет!$C$2:$C$3001,$L1232),FIND("(",INDEX(Расчет!$C$2:$C$3001,$L1232))-1),IFERROR(--LEFT(INDEX(Расчет!$C$2:$C$3001,$L1232),1),"")))</f>
        <v/>
      </c>
      <c r="H1232">
        <f>IF($L1232="","",SUMIFS(Расчет!$G$2:$G$3001,Расчет!$I$2:$I$3001,$K1232,Расчет!$H$2:$H$3001,1))</f>
        <v/>
      </c>
      <c r="I1232">
        <f>IF($L1232="","",SUMIFS(Расчет!$G$2:$G$3001,Расчет!$I$2:$I$3001,$K1232,Расчет!$H$2:$H$3001,2))</f>
        <v/>
      </c>
      <c r="J1232">
        <f>IF($L1232="","",SUMIFS(Расчет!$G$2:$G$3001,Расчет!$I$2:$I$3001,$K1232,Расчет!$H$2:$H$3001,3))</f>
        <v/>
      </c>
      <c r="K1232">
        <f>IF($L1232="","",INDEX(Расчет!$I$2:$I$3001,$L1232))</f>
        <v/>
      </c>
      <c r="L1232">
        <f>IFERROR(MATCH(ROW()-1,Расчет!$J$2:$J$3001,0),"")</f>
        <v/>
      </c>
    </row>
    <row r="1233">
      <c r="A1233">
        <f>IF($L1233="","",B1233&amp;"."&amp;C1233&amp;"-"&amp;D1233&amp;"-"&amp;H1233&amp;"."&amp;I1233&amp;"."&amp;J1233)</f>
        <v/>
      </c>
      <c r="B1233">
        <f>IF($L1233="","",INDEX(Расчет!$A$2:$A$3001,$L1233))</f>
        <v/>
      </c>
      <c r="C1233">
        <f>IF($L1233="","",INDEX(Расчет!$B$2:$B$3001,$L1233))</f>
        <v/>
      </c>
      <c r="D1233">
        <f>IF($L1233="","",IF(ISNUMBER(FIND("(",INDEX(Расчет!$C$2:$C$3001,$L1233))),SUBSTITUTE(MID(INDEX(Расчет!$C$2:$C$3001,$L1233),FIND("(",INDEX(Расчет!$C$2:$C$3001,$L1233))+1,99),")",""),INDEX(Расчет!$C$2:$C$3001,$L1233)))</f>
        <v/>
      </c>
      <c r="E1233">
        <f>IF($L1233="","",INDEX(Расчет!$D$2:$D$3001,$L1233))</f>
        <v/>
      </c>
      <c r="F1233">
        <f>IF($L1233="","",INDEX(Расчет!$E$2:$E$3001,$L1233))</f>
        <v/>
      </c>
      <c r="G1233">
        <f>IF($L1233="","",IFERROR(--LEFT(INDEX(Расчет!$C$2:$C$3001,$L1233),FIND("(",INDEX(Расчет!$C$2:$C$3001,$L1233))-1),IFERROR(--LEFT(INDEX(Расчет!$C$2:$C$3001,$L1233),1),"")))</f>
        <v/>
      </c>
      <c r="H1233">
        <f>IF($L1233="","",SUMIFS(Расчет!$G$2:$G$3001,Расчет!$I$2:$I$3001,$K1233,Расчет!$H$2:$H$3001,1))</f>
        <v/>
      </c>
      <c r="I1233">
        <f>IF($L1233="","",SUMIFS(Расчет!$G$2:$G$3001,Расчет!$I$2:$I$3001,$K1233,Расчет!$H$2:$H$3001,2))</f>
        <v/>
      </c>
      <c r="J1233">
        <f>IF($L1233="","",SUMIFS(Расчет!$G$2:$G$3001,Расчет!$I$2:$I$3001,$K1233,Расчет!$H$2:$H$3001,3))</f>
        <v/>
      </c>
      <c r="K1233">
        <f>IF($L1233="","",INDEX(Расчет!$I$2:$I$3001,$L1233))</f>
        <v/>
      </c>
      <c r="L1233">
        <f>IFERROR(MATCH(ROW()-1,Расчет!$J$2:$J$3001,0),"")</f>
        <v/>
      </c>
    </row>
    <row r="1234">
      <c r="A1234">
        <f>IF($L1234="","",B1234&amp;"."&amp;C1234&amp;"-"&amp;D1234&amp;"-"&amp;H1234&amp;"."&amp;I1234&amp;"."&amp;J1234)</f>
        <v/>
      </c>
      <c r="B1234">
        <f>IF($L1234="","",INDEX(Расчет!$A$2:$A$3001,$L1234))</f>
        <v/>
      </c>
      <c r="C1234">
        <f>IF($L1234="","",INDEX(Расчет!$B$2:$B$3001,$L1234))</f>
        <v/>
      </c>
      <c r="D1234">
        <f>IF($L1234="","",IF(ISNUMBER(FIND("(",INDEX(Расчет!$C$2:$C$3001,$L1234))),SUBSTITUTE(MID(INDEX(Расчет!$C$2:$C$3001,$L1234),FIND("(",INDEX(Расчет!$C$2:$C$3001,$L1234))+1,99),")",""),INDEX(Расчет!$C$2:$C$3001,$L1234)))</f>
        <v/>
      </c>
      <c r="E1234">
        <f>IF($L1234="","",INDEX(Расчет!$D$2:$D$3001,$L1234))</f>
        <v/>
      </c>
      <c r="F1234">
        <f>IF($L1234="","",INDEX(Расчет!$E$2:$E$3001,$L1234))</f>
        <v/>
      </c>
      <c r="G1234">
        <f>IF($L1234="","",IFERROR(--LEFT(INDEX(Расчет!$C$2:$C$3001,$L1234),FIND("(",INDEX(Расчет!$C$2:$C$3001,$L1234))-1),IFERROR(--LEFT(INDEX(Расчет!$C$2:$C$3001,$L1234),1),"")))</f>
        <v/>
      </c>
      <c r="H1234">
        <f>IF($L1234="","",SUMIFS(Расчет!$G$2:$G$3001,Расчет!$I$2:$I$3001,$K1234,Расчет!$H$2:$H$3001,1))</f>
        <v/>
      </c>
      <c r="I1234">
        <f>IF($L1234="","",SUMIFS(Расчет!$G$2:$G$3001,Расчет!$I$2:$I$3001,$K1234,Расчет!$H$2:$H$3001,2))</f>
        <v/>
      </c>
      <c r="J1234">
        <f>IF($L1234="","",SUMIFS(Расчет!$G$2:$G$3001,Расчет!$I$2:$I$3001,$K1234,Расчет!$H$2:$H$3001,3))</f>
        <v/>
      </c>
      <c r="K1234">
        <f>IF($L1234="","",INDEX(Расчет!$I$2:$I$3001,$L1234))</f>
        <v/>
      </c>
      <c r="L1234">
        <f>IFERROR(MATCH(ROW()-1,Расчет!$J$2:$J$3001,0),"")</f>
        <v/>
      </c>
    </row>
    <row r="1235">
      <c r="A1235">
        <f>IF($L1235="","",B1235&amp;"."&amp;C1235&amp;"-"&amp;D1235&amp;"-"&amp;H1235&amp;"."&amp;I1235&amp;"."&amp;J1235)</f>
        <v/>
      </c>
      <c r="B1235">
        <f>IF($L1235="","",INDEX(Расчет!$A$2:$A$3001,$L1235))</f>
        <v/>
      </c>
      <c r="C1235">
        <f>IF($L1235="","",INDEX(Расчет!$B$2:$B$3001,$L1235))</f>
        <v/>
      </c>
      <c r="D1235">
        <f>IF($L1235="","",IF(ISNUMBER(FIND("(",INDEX(Расчет!$C$2:$C$3001,$L1235))),SUBSTITUTE(MID(INDEX(Расчет!$C$2:$C$3001,$L1235),FIND("(",INDEX(Расчет!$C$2:$C$3001,$L1235))+1,99),")",""),INDEX(Расчет!$C$2:$C$3001,$L1235)))</f>
        <v/>
      </c>
      <c r="E1235">
        <f>IF($L1235="","",INDEX(Расчет!$D$2:$D$3001,$L1235))</f>
        <v/>
      </c>
      <c r="F1235">
        <f>IF($L1235="","",INDEX(Расчет!$E$2:$E$3001,$L1235))</f>
        <v/>
      </c>
      <c r="G1235">
        <f>IF($L1235="","",IFERROR(--LEFT(INDEX(Расчет!$C$2:$C$3001,$L1235),FIND("(",INDEX(Расчет!$C$2:$C$3001,$L1235))-1),IFERROR(--LEFT(INDEX(Расчет!$C$2:$C$3001,$L1235),1),"")))</f>
        <v/>
      </c>
      <c r="H1235">
        <f>IF($L1235="","",SUMIFS(Расчет!$G$2:$G$3001,Расчет!$I$2:$I$3001,$K1235,Расчет!$H$2:$H$3001,1))</f>
        <v/>
      </c>
      <c r="I1235">
        <f>IF($L1235="","",SUMIFS(Расчет!$G$2:$G$3001,Расчет!$I$2:$I$3001,$K1235,Расчет!$H$2:$H$3001,2))</f>
        <v/>
      </c>
      <c r="J1235">
        <f>IF($L1235="","",SUMIFS(Расчет!$G$2:$G$3001,Расчет!$I$2:$I$3001,$K1235,Расчет!$H$2:$H$3001,3))</f>
        <v/>
      </c>
      <c r="K1235">
        <f>IF($L1235="","",INDEX(Расчет!$I$2:$I$3001,$L1235))</f>
        <v/>
      </c>
      <c r="L1235">
        <f>IFERROR(MATCH(ROW()-1,Расчет!$J$2:$J$3001,0),"")</f>
        <v/>
      </c>
    </row>
    <row r="1236">
      <c r="A1236">
        <f>IF($L1236="","",B1236&amp;"."&amp;C1236&amp;"-"&amp;D1236&amp;"-"&amp;H1236&amp;"."&amp;I1236&amp;"."&amp;J1236)</f>
        <v/>
      </c>
      <c r="B1236">
        <f>IF($L1236="","",INDEX(Расчет!$A$2:$A$3001,$L1236))</f>
        <v/>
      </c>
      <c r="C1236">
        <f>IF($L1236="","",INDEX(Расчет!$B$2:$B$3001,$L1236))</f>
        <v/>
      </c>
      <c r="D1236">
        <f>IF($L1236="","",IF(ISNUMBER(FIND("(",INDEX(Расчет!$C$2:$C$3001,$L1236))),SUBSTITUTE(MID(INDEX(Расчет!$C$2:$C$3001,$L1236),FIND("(",INDEX(Расчет!$C$2:$C$3001,$L1236))+1,99),")",""),INDEX(Расчет!$C$2:$C$3001,$L1236)))</f>
        <v/>
      </c>
      <c r="E1236">
        <f>IF($L1236="","",INDEX(Расчет!$D$2:$D$3001,$L1236))</f>
        <v/>
      </c>
      <c r="F1236">
        <f>IF($L1236="","",INDEX(Расчет!$E$2:$E$3001,$L1236))</f>
        <v/>
      </c>
      <c r="G1236">
        <f>IF($L1236="","",IFERROR(--LEFT(INDEX(Расчет!$C$2:$C$3001,$L1236),FIND("(",INDEX(Расчет!$C$2:$C$3001,$L1236))-1),IFERROR(--LEFT(INDEX(Расчет!$C$2:$C$3001,$L1236),1),"")))</f>
        <v/>
      </c>
      <c r="H1236">
        <f>IF($L1236="","",SUMIFS(Расчет!$G$2:$G$3001,Расчет!$I$2:$I$3001,$K1236,Расчет!$H$2:$H$3001,1))</f>
        <v/>
      </c>
      <c r="I1236">
        <f>IF($L1236="","",SUMIFS(Расчет!$G$2:$G$3001,Расчет!$I$2:$I$3001,$K1236,Расчет!$H$2:$H$3001,2))</f>
        <v/>
      </c>
      <c r="J1236">
        <f>IF($L1236="","",SUMIFS(Расчет!$G$2:$G$3001,Расчет!$I$2:$I$3001,$K1236,Расчет!$H$2:$H$3001,3))</f>
        <v/>
      </c>
      <c r="K1236">
        <f>IF($L1236="","",INDEX(Расчет!$I$2:$I$3001,$L1236))</f>
        <v/>
      </c>
      <c r="L1236">
        <f>IFERROR(MATCH(ROW()-1,Расчет!$J$2:$J$3001,0),"")</f>
        <v/>
      </c>
    </row>
    <row r="1237">
      <c r="A1237">
        <f>IF($L1237="","",B1237&amp;"."&amp;C1237&amp;"-"&amp;D1237&amp;"-"&amp;H1237&amp;"."&amp;I1237&amp;"."&amp;J1237)</f>
        <v/>
      </c>
      <c r="B1237">
        <f>IF($L1237="","",INDEX(Расчет!$A$2:$A$3001,$L1237))</f>
        <v/>
      </c>
      <c r="C1237">
        <f>IF($L1237="","",INDEX(Расчет!$B$2:$B$3001,$L1237))</f>
        <v/>
      </c>
      <c r="D1237">
        <f>IF($L1237="","",IF(ISNUMBER(FIND("(",INDEX(Расчет!$C$2:$C$3001,$L1237))),SUBSTITUTE(MID(INDEX(Расчет!$C$2:$C$3001,$L1237),FIND("(",INDEX(Расчет!$C$2:$C$3001,$L1237))+1,99),")",""),INDEX(Расчет!$C$2:$C$3001,$L1237)))</f>
        <v/>
      </c>
      <c r="E1237">
        <f>IF($L1237="","",INDEX(Расчет!$D$2:$D$3001,$L1237))</f>
        <v/>
      </c>
      <c r="F1237">
        <f>IF($L1237="","",INDEX(Расчет!$E$2:$E$3001,$L1237))</f>
        <v/>
      </c>
      <c r="G1237">
        <f>IF($L1237="","",IFERROR(--LEFT(INDEX(Расчет!$C$2:$C$3001,$L1237),FIND("(",INDEX(Расчет!$C$2:$C$3001,$L1237))-1),IFERROR(--LEFT(INDEX(Расчет!$C$2:$C$3001,$L1237),1),"")))</f>
        <v/>
      </c>
      <c r="H1237">
        <f>IF($L1237="","",SUMIFS(Расчет!$G$2:$G$3001,Расчет!$I$2:$I$3001,$K1237,Расчет!$H$2:$H$3001,1))</f>
        <v/>
      </c>
      <c r="I1237">
        <f>IF($L1237="","",SUMIFS(Расчет!$G$2:$G$3001,Расчет!$I$2:$I$3001,$K1237,Расчет!$H$2:$H$3001,2))</f>
        <v/>
      </c>
      <c r="J1237">
        <f>IF($L1237="","",SUMIFS(Расчет!$G$2:$G$3001,Расчет!$I$2:$I$3001,$K1237,Расчет!$H$2:$H$3001,3))</f>
        <v/>
      </c>
      <c r="K1237">
        <f>IF($L1237="","",INDEX(Расчет!$I$2:$I$3001,$L1237))</f>
        <v/>
      </c>
      <c r="L1237">
        <f>IFERROR(MATCH(ROW()-1,Расчет!$J$2:$J$3001,0),"")</f>
        <v/>
      </c>
    </row>
    <row r="1238">
      <c r="A1238">
        <f>IF($L1238="","",B1238&amp;"."&amp;C1238&amp;"-"&amp;D1238&amp;"-"&amp;H1238&amp;"."&amp;I1238&amp;"."&amp;J1238)</f>
        <v/>
      </c>
      <c r="B1238">
        <f>IF($L1238="","",INDEX(Расчет!$A$2:$A$3001,$L1238))</f>
        <v/>
      </c>
      <c r="C1238">
        <f>IF($L1238="","",INDEX(Расчет!$B$2:$B$3001,$L1238))</f>
        <v/>
      </c>
      <c r="D1238">
        <f>IF($L1238="","",IF(ISNUMBER(FIND("(",INDEX(Расчет!$C$2:$C$3001,$L1238))),SUBSTITUTE(MID(INDEX(Расчет!$C$2:$C$3001,$L1238),FIND("(",INDEX(Расчет!$C$2:$C$3001,$L1238))+1,99),")",""),INDEX(Расчет!$C$2:$C$3001,$L1238)))</f>
        <v/>
      </c>
      <c r="E1238">
        <f>IF($L1238="","",INDEX(Расчет!$D$2:$D$3001,$L1238))</f>
        <v/>
      </c>
      <c r="F1238">
        <f>IF($L1238="","",INDEX(Расчет!$E$2:$E$3001,$L1238))</f>
        <v/>
      </c>
      <c r="G1238">
        <f>IF($L1238="","",IFERROR(--LEFT(INDEX(Расчет!$C$2:$C$3001,$L1238),FIND("(",INDEX(Расчет!$C$2:$C$3001,$L1238))-1),IFERROR(--LEFT(INDEX(Расчет!$C$2:$C$3001,$L1238),1),"")))</f>
        <v/>
      </c>
      <c r="H1238">
        <f>IF($L1238="","",SUMIFS(Расчет!$G$2:$G$3001,Расчет!$I$2:$I$3001,$K1238,Расчет!$H$2:$H$3001,1))</f>
        <v/>
      </c>
      <c r="I1238">
        <f>IF($L1238="","",SUMIFS(Расчет!$G$2:$G$3001,Расчет!$I$2:$I$3001,$K1238,Расчет!$H$2:$H$3001,2))</f>
        <v/>
      </c>
      <c r="J1238">
        <f>IF($L1238="","",SUMIFS(Расчет!$G$2:$G$3001,Расчет!$I$2:$I$3001,$K1238,Расчет!$H$2:$H$3001,3))</f>
        <v/>
      </c>
      <c r="K1238">
        <f>IF($L1238="","",INDEX(Расчет!$I$2:$I$3001,$L1238))</f>
        <v/>
      </c>
      <c r="L1238">
        <f>IFERROR(MATCH(ROW()-1,Расчет!$J$2:$J$3001,0),"")</f>
        <v/>
      </c>
    </row>
    <row r="1239">
      <c r="A1239">
        <f>IF($L1239="","",B1239&amp;"."&amp;C1239&amp;"-"&amp;D1239&amp;"-"&amp;H1239&amp;"."&amp;I1239&amp;"."&amp;J1239)</f>
        <v/>
      </c>
      <c r="B1239">
        <f>IF($L1239="","",INDEX(Расчет!$A$2:$A$3001,$L1239))</f>
        <v/>
      </c>
      <c r="C1239">
        <f>IF($L1239="","",INDEX(Расчет!$B$2:$B$3001,$L1239))</f>
        <v/>
      </c>
      <c r="D1239">
        <f>IF($L1239="","",IF(ISNUMBER(FIND("(",INDEX(Расчет!$C$2:$C$3001,$L1239))),SUBSTITUTE(MID(INDEX(Расчет!$C$2:$C$3001,$L1239),FIND("(",INDEX(Расчет!$C$2:$C$3001,$L1239))+1,99),")",""),INDEX(Расчет!$C$2:$C$3001,$L1239)))</f>
        <v/>
      </c>
      <c r="E1239">
        <f>IF($L1239="","",INDEX(Расчет!$D$2:$D$3001,$L1239))</f>
        <v/>
      </c>
      <c r="F1239">
        <f>IF($L1239="","",INDEX(Расчет!$E$2:$E$3001,$L1239))</f>
        <v/>
      </c>
      <c r="G1239">
        <f>IF($L1239="","",IFERROR(--LEFT(INDEX(Расчет!$C$2:$C$3001,$L1239),FIND("(",INDEX(Расчет!$C$2:$C$3001,$L1239))-1),IFERROR(--LEFT(INDEX(Расчет!$C$2:$C$3001,$L1239),1),"")))</f>
        <v/>
      </c>
      <c r="H1239">
        <f>IF($L1239="","",SUMIFS(Расчет!$G$2:$G$3001,Расчет!$I$2:$I$3001,$K1239,Расчет!$H$2:$H$3001,1))</f>
        <v/>
      </c>
      <c r="I1239">
        <f>IF($L1239="","",SUMIFS(Расчет!$G$2:$G$3001,Расчет!$I$2:$I$3001,$K1239,Расчет!$H$2:$H$3001,2))</f>
        <v/>
      </c>
      <c r="J1239">
        <f>IF($L1239="","",SUMIFS(Расчет!$G$2:$G$3001,Расчет!$I$2:$I$3001,$K1239,Расчет!$H$2:$H$3001,3))</f>
        <v/>
      </c>
      <c r="K1239">
        <f>IF($L1239="","",INDEX(Расчет!$I$2:$I$3001,$L1239))</f>
        <v/>
      </c>
      <c r="L1239">
        <f>IFERROR(MATCH(ROW()-1,Расчет!$J$2:$J$3001,0),"")</f>
        <v/>
      </c>
    </row>
    <row r="1240">
      <c r="A1240">
        <f>IF($L1240="","",B1240&amp;"."&amp;C1240&amp;"-"&amp;D1240&amp;"-"&amp;H1240&amp;"."&amp;I1240&amp;"."&amp;J1240)</f>
        <v/>
      </c>
      <c r="B1240">
        <f>IF($L1240="","",INDEX(Расчет!$A$2:$A$3001,$L1240))</f>
        <v/>
      </c>
      <c r="C1240">
        <f>IF($L1240="","",INDEX(Расчет!$B$2:$B$3001,$L1240))</f>
        <v/>
      </c>
      <c r="D1240">
        <f>IF($L1240="","",IF(ISNUMBER(FIND("(",INDEX(Расчет!$C$2:$C$3001,$L1240))),SUBSTITUTE(MID(INDEX(Расчет!$C$2:$C$3001,$L1240),FIND("(",INDEX(Расчет!$C$2:$C$3001,$L1240))+1,99),")",""),INDEX(Расчет!$C$2:$C$3001,$L1240)))</f>
        <v/>
      </c>
      <c r="E1240">
        <f>IF($L1240="","",INDEX(Расчет!$D$2:$D$3001,$L1240))</f>
        <v/>
      </c>
      <c r="F1240">
        <f>IF($L1240="","",INDEX(Расчет!$E$2:$E$3001,$L1240))</f>
        <v/>
      </c>
      <c r="G1240">
        <f>IF($L1240="","",IFERROR(--LEFT(INDEX(Расчет!$C$2:$C$3001,$L1240),FIND("(",INDEX(Расчет!$C$2:$C$3001,$L1240))-1),IFERROR(--LEFT(INDEX(Расчет!$C$2:$C$3001,$L1240),1),"")))</f>
        <v/>
      </c>
      <c r="H1240">
        <f>IF($L1240="","",SUMIFS(Расчет!$G$2:$G$3001,Расчет!$I$2:$I$3001,$K1240,Расчет!$H$2:$H$3001,1))</f>
        <v/>
      </c>
      <c r="I1240">
        <f>IF($L1240="","",SUMIFS(Расчет!$G$2:$G$3001,Расчет!$I$2:$I$3001,$K1240,Расчет!$H$2:$H$3001,2))</f>
        <v/>
      </c>
      <c r="J1240">
        <f>IF($L1240="","",SUMIFS(Расчет!$G$2:$G$3001,Расчет!$I$2:$I$3001,$K1240,Расчет!$H$2:$H$3001,3))</f>
        <v/>
      </c>
      <c r="K1240">
        <f>IF($L1240="","",INDEX(Расчет!$I$2:$I$3001,$L1240))</f>
        <v/>
      </c>
      <c r="L1240">
        <f>IFERROR(MATCH(ROW()-1,Расчет!$J$2:$J$3001,0),"")</f>
        <v/>
      </c>
    </row>
    <row r="1241">
      <c r="A1241">
        <f>IF($L1241="","",B1241&amp;"."&amp;C1241&amp;"-"&amp;D1241&amp;"-"&amp;H1241&amp;"."&amp;I1241&amp;"."&amp;J1241)</f>
        <v/>
      </c>
      <c r="B1241">
        <f>IF($L1241="","",INDEX(Расчет!$A$2:$A$3001,$L1241))</f>
        <v/>
      </c>
      <c r="C1241">
        <f>IF($L1241="","",INDEX(Расчет!$B$2:$B$3001,$L1241))</f>
        <v/>
      </c>
      <c r="D1241">
        <f>IF($L1241="","",IF(ISNUMBER(FIND("(",INDEX(Расчет!$C$2:$C$3001,$L1241))),SUBSTITUTE(MID(INDEX(Расчет!$C$2:$C$3001,$L1241),FIND("(",INDEX(Расчет!$C$2:$C$3001,$L1241))+1,99),")",""),INDEX(Расчет!$C$2:$C$3001,$L1241)))</f>
        <v/>
      </c>
      <c r="E1241">
        <f>IF($L1241="","",INDEX(Расчет!$D$2:$D$3001,$L1241))</f>
        <v/>
      </c>
      <c r="F1241">
        <f>IF($L1241="","",INDEX(Расчет!$E$2:$E$3001,$L1241))</f>
        <v/>
      </c>
      <c r="G1241">
        <f>IF($L1241="","",IFERROR(--LEFT(INDEX(Расчет!$C$2:$C$3001,$L1241),FIND("(",INDEX(Расчет!$C$2:$C$3001,$L1241))-1),IFERROR(--LEFT(INDEX(Расчет!$C$2:$C$3001,$L1241),1),"")))</f>
        <v/>
      </c>
      <c r="H1241">
        <f>IF($L1241="","",SUMIFS(Расчет!$G$2:$G$3001,Расчет!$I$2:$I$3001,$K1241,Расчет!$H$2:$H$3001,1))</f>
        <v/>
      </c>
      <c r="I1241">
        <f>IF($L1241="","",SUMIFS(Расчет!$G$2:$G$3001,Расчет!$I$2:$I$3001,$K1241,Расчет!$H$2:$H$3001,2))</f>
        <v/>
      </c>
      <c r="J1241">
        <f>IF($L1241="","",SUMIFS(Расчет!$G$2:$G$3001,Расчет!$I$2:$I$3001,$K1241,Расчет!$H$2:$H$3001,3))</f>
        <v/>
      </c>
      <c r="K1241">
        <f>IF($L1241="","",INDEX(Расчет!$I$2:$I$3001,$L1241))</f>
        <v/>
      </c>
      <c r="L1241">
        <f>IFERROR(MATCH(ROW()-1,Расчет!$J$2:$J$3001,0),"")</f>
        <v/>
      </c>
    </row>
    <row r="1242">
      <c r="A1242">
        <f>IF($L1242="","",B1242&amp;"."&amp;C1242&amp;"-"&amp;D1242&amp;"-"&amp;H1242&amp;"."&amp;I1242&amp;"."&amp;J1242)</f>
        <v/>
      </c>
      <c r="B1242">
        <f>IF($L1242="","",INDEX(Расчет!$A$2:$A$3001,$L1242))</f>
        <v/>
      </c>
      <c r="C1242">
        <f>IF($L1242="","",INDEX(Расчет!$B$2:$B$3001,$L1242))</f>
        <v/>
      </c>
      <c r="D1242">
        <f>IF($L1242="","",IF(ISNUMBER(FIND("(",INDEX(Расчет!$C$2:$C$3001,$L1242))),SUBSTITUTE(MID(INDEX(Расчет!$C$2:$C$3001,$L1242),FIND("(",INDEX(Расчет!$C$2:$C$3001,$L1242))+1,99),")",""),INDEX(Расчет!$C$2:$C$3001,$L1242)))</f>
        <v/>
      </c>
      <c r="E1242">
        <f>IF($L1242="","",INDEX(Расчет!$D$2:$D$3001,$L1242))</f>
        <v/>
      </c>
      <c r="F1242">
        <f>IF($L1242="","",INDEX(Расчет!$E$2:$E$3001,$L1242))</f>
        <v/>
      </c>
      <c r="G1242">
        <f>IF($L1242="","",IFERROR(--LEFT(INDEX(Расчет!$C$2:$C$3001,$L1242),FIND("(",INDEX(Расчет!$C$2:$C$3001,$L1242))-1),IFERROR(--LEFT(INDEX(Расчет!$C$2:$C$3001,$L1242),1),"")))</f>
        <v/>
      </c>
      <c r="H1242">
        <f>IF($L1242="","",SUMIFS(Расчет!$G$2:$G$3001,Расчет!$I$2:$I$3001,$K1242,Расчет!$H$2:$H$3001,1))</f>
        <v/>
      </c>
      <c r="I1242">
        <f>IF($L1242="","",SUMIFS(Расчет!$G$2:$G$3001,Расчет!$I$2:$I$3001,$K1242,Расчет!$H$2:$H$3001,2))</f>
        <v/>
      </c>
      <c r="J1242">
        <f>IF($L1242="","",SUMIFS(Расчет!$G$2:$G$3001,Расчет!$I$2:$I$3001,$K1242,Расчет!$H$2:$H$3001,3))</f>
        <v/>
      </c>
      <c r="K1242">
        <f>IF($L1242="","",INDEX(Расчет!$I$2:$I$3001,$L1242))</f>
        <v/>
      </c>
      <c r="L1242">
        <f>IFERROR(MATCH(ROW()-1,Расчет!$J$2:$J$3001,0),"")</f>
        <v/>
      </c>
    </row>
    <row r="1243">
      <c r="A1243">
        <f>IF($L1243="","",B1243&amp;"."&amp;C1243&amp;"-"&amp;D1243&amp;"-"&amp;H1243&amp;"."&amp;I1243&amp;"."&amp;J1243)</f>
        <v/>
      </c>
      <c r="B1243">
        <f>IF($L1243="","",INDEX(Расчет!$A$2:$A$3001,$L1243))</f>
        <v/>
      </c>
      <c r="C1243">
        <f>IF($L1243="","",INDEX(Расчет!$B$2:$B$3001,$L1243))</f>
        <v/>
      </c>
      <c r="D1243">
        <f>IF($L1243="","",IF(ISNUMBER(FIND("(",INDEX(Расчет!$C$2:$C$3001,$L1243))),SUBSTITUTE(MID(INDEX(Расчет!$C$2:$C$3001,$L1243),FIND("(",INDEX(Расчет!$C$2:$C$3001,$L1243))+1,99),")",""),INDEX(Расчет!$C$2:$C$3001,$L1243)))</f>
        <v/>
      </c>
      <c r="E1243">
        <f>IF($L1243="","",INDEX(Расчет!$D$2:$D$3001,$L1243))</f>
        <v/>
      </c>
      <c r="F1243">
        <f>IF($L1243="","",INDEX(Расчет!$E$2:$E$3001,$L1243))</f>
        <v/>
      </c>
      <c r="G1243">
        <f>IF($L1243="","",IFERROR(--LEFT(INDEX(Расчет!$C$2:$C$3001,$L1243),FIND("(",INDEX(Расчет!$C$2:$C$3001,$L1243))-1),IFERROR(--LEFT(INDEX(Расчет!$C$2:$C$3001,$L1243),1),"")))</f>
        <v/>
      </c>
      <c r="H1243">
        <f>IF($L1243="","",SUMIFS(Расчет!$G$2:$G$3001,Расчет!$I$2:$I$3001,$K1243,Расчет!$H$2:$H$3001,1))</f>
        <v/>
      </c>
      <c r="I1243">
        <f>IF($L1243="","",SUMIFS(Расчет!$G$2:$G$3001,Расчет!$I$2:$I$3001,$K1243,Расчет!$H$2:$H$3001,2))</f>
        <v/>
      </c>
      <c r="J1243">
        <f>IF($L1243="","",SUMIFS(Расчет!$G$2:$G$3001,Расчет!$I$2:$I$3001,$K1243,Расчет!$H$2:$H$3001,3))</f>
        <v/>
      </c>
      <c r="K1243">
        <f>IF($L1243="","",INDEX(Расчет!$I$2:$I$3001,$L1243))</f>
        <v/>
      </c>
      <c r="L1243">
        <f>IFERROR(MATCH(ROW()-1,Расчет!$J$2:$J$3001,0),"")</f>
        <v/>
      </c>
    </row>
    <row r="1244">
      <c r="A1244">
        <f>IF($L1244="","",B1244&amp;"."&amp;C1244&amp;"-"&amp;D1244&amp;"-"&amp;H1244&amp;"."&amp;I1244&amp;"."&amp;J1244)</f>
        <v/>
      </c>
      <c r="B1244">
        <f>IF($L1244="","",INDEX(Расчет!$A$2:$A$3001,$L1244))</f>
        <v/>
      </c>
      <c r="C1244">
        <f>IF($L1244="","",INDEX(Расчет!$B$2:$B$3001,$L1244))</f>
        <v/>
      </c>
      <c r="D1244">
        <f>IF($L1244="","",IF(ISNUMBER(FIND("(",INDEX(Расчет!$C$2:$C$3001,$L1244))),SUBSTITUTE(MID(INDEX(Расчет!$C$2:$C$3001,$L1244),FIND("(",INDEX(Расчет!$C$2:$C$3001,$L1244))+1,99),")",""),INDEX(Расчет!$C$2:$C$3001,$L1244)))</f>
        <v/>
      </c>
      <c r="E1244">
        <f>IF($L1244="","",INDEX(Расчет!$D$2:$D$3001,$L1244))</f>
        <v/>
      </c>
      <c r="F1244">
        <f>IF($L1244="","",INDEX(Расчет!$E$2:$E$3001,$L1244))</f>
        <v/>
      </c>
      <c r="G1244">
        <f>IF($L1244="","",IFERROR(--LEFT(INDEX(Расчет!$C$2:$C$3001,$L1244),FIND("(",INDEX(Расчет!$C$2:$C$3001,$L1244))-1),IFERROR(--LEFT(INDEX(Расчет!$C$2:$C$3001,$L1244),1),"")))</f>
        <v/>
      </c>
      <c r="H1244">
        <f>IF($L1244="","",SUMIFS(Расчет!$G$2:$G$3001,Расчет!$I$2:$I$3001,$K1244,Расчет!$H$2:$H$3001,1))</f>
        <v/>
      </c>
      <c r="I1244">
        <f>IF($L1244="","",SUMIFS(Расчет!$G$2:$G$3001,Расчет!$I$2:$I$3001,$K1244,Расчет!$H$2:$H$3001,2))</f>
        <v/>
      </c>
      <c r="J1244">
        <f>IF($L1244="","",SUMIFS(Расчет!$G$2:$G$3001,Расчет!$I$2:$I$3001,$K1244,Расчет!$H$2:$H$3001,3))</f>
        <v/>
      </c>
      <c r="K1244">
        <f>IF($L1244="","",INDEX(Расчет!$I$2:$I$3001,$L1244))</f>
        <v/>
      </c>
      <c r="L1244">
        <f>IFERROR(MATCH(ROW()-1,Расчет!$J$2:$J$3001,0),"")</f>
        <v/>
      </c>
    </row>
    <row r="1245">
      <c r="A1245">
        <f>IF($L1245="","",B1245&amp;"."&amp;C1245&amp;"-"&amp;D1245&amp;"-"&amp;H1245&amp;"."&amp;I1245&amp;"."&amp;J1245)</f>
        <v/>
      </c>
      <c r="B1245">
        <f>IF($L1245="","",INDEX(Расчет!$A$2:$A$3001,$L1245))</f>
        <v/>
      </c>
      <c r="C1245">
        <f>IF($L1245="","",INDEX(Расчет!$B$2:$B$3001,$L1245))</f>
        <v/>
      </c>
      <c r="D1245">
        <f>IF($L1245="","",IF(ISNUMBER(FIND("(",INDEX(Расчет!$C$2:$C$3001,$L1245))),SUBSTITUTE(MID(INDEX(Расчет!$C$2:$C$3001,$L1245),FIND("(",INDEX(Расчет!$C$2:$C$3001,$L1245))+1,99),")",""),INDEX(Расчет!$C$2:$C$3001,$L1245)))</f>
        <v/>
      </c>
      <c r="E1245">
        <f>IF($L1245="","",INDEX(Расчет!$D$2:$D$3001,$L1245))</f>
        <v/>
      </c>
      <c r="F1245">
        <f>IF($L1245="","",INDEX(Расчет!$E$2:$E$3001,$L1245))</f>
        <v/>
      </c>
      <c r="G1245">
        <f>IF($L1245="","",IFERROR(--LEFT(INDEX(Расчет!$C$2:$C$3001,$L1245),FIND("(",INDEX(Расчет!$C$2:$C$3001,$L1245))-1),IFERROR(--LEFT(INDEX(Расчет!$C$2:$C$3001,$L1245),1),"")))</f>
        <v/>
      </c>
      <c r="H1245">
        <f>IF($L1245="","",SUMIFS(Расчет!$G$2:$G$3001,Расчет!$I$2:$I$3001,$K1245,Расчет!$H$2:$H$3001,1))</f>
        <v/>
      </c>
      <c r="I1245">
        <f>IF($L1245="","",SUMIFS(Расчет!$G$2:$G$3001,Расчет!$I$2:$I$3001,$K1245,Расчет!$H$2:$H$3001,2))</f>
        <v/>
      </c>
      <c r="J1245">
        <f>IF($L1245="","",SUMIFS(Расчет!$G$2:$G$3001,Расчет!$I$2:$I$3001,$K1245,Расчет!$H$2:$H$3001,3))</f>
        <v/>
      </c>
      <c r="K1245">
        <f>IF($L1245="","",INDEX(Расчет!$I$2:$I$3001,$L1245))</f>
        <v/>
      </c>
      <c r="L1245">
        <f>IFERROR(MATCH(ROW()-1,Расчет!$J$2:$J$3001,0),"")</f>
        <v/>
      </c>
    </row>
    <row r="1246">
      <c r="A1246">
        <f>IF($L1246="","",B1246&amp;"."&amp;C1246&amp;"-"&amp;D1246&amp;"-"&amp;H1246&amp;"."&amp;I1246&amp;"."&amp;J1246)</f>
        <v/>
      </c>
      <c r="B1246">
        <f>IF($L1246="","",INDEX(Расчет!$A$2:$A$3001,$L1246))</f>
        <v/>
      </c>
      <c r="C1246">
        <f>IF($L1246="","",INDEX(Расчет!$B$2:$B$3001,$L1246))</f>
        <v/>
      </c>
      <c r="D1246">
        <f>IF($L1246="","",IF(ISNUMBER(FIND("(",INDEX(Расчет!$C$2:$C$3001,$L1246))),SUBSTITUTE(MID(INDEX(Расчет!$C$2:$C$3001,$L1246),FIND("(",INDEX(Расчет!$C$2:$C$3001,$L1246))+1,99),")",""),INDEX(Расчет!$C$2:$C$3001,$L1246)))</f>
        <v/>
      </c>
      <c r="E1246">
        <f>IF($L1246="","",INDEX(Расчет!$D$2:$D$3001,$L1246))</f>
        <v/>
      </c>
      <c r="F1246">
        <f>IF($L1246="","",INDEX(Расчет!$E$2:$E$3001,$L1246))</f>
        <v/>
      </c>
      <c r="G1246">
        <f>IF($L1246="","",IFERROR(--LEFT(INDEX(Расчет!$C$2:$C$3001,$L1246),FIND("(",INDEX(Расчет!$C$2:$C$3001,$L1246))-1),IFERROR(--LEFT(INDEX(Расчет!$C$2:$C$3001,$L1246),1),"")))</f>
        <v/>
      </c>
      <c r="H1246">
        <f>IF($L1246="","",SUMIFS(Расчет!$G$2:$G$3001,Расчет!$I$2:$I$3001,$K1246,Расчет!$H$2:$H$3001,1))</f>
        <v/>
      </c>
      <c r="I1246">
        <f>IF($L1246="","",SUMIFS(Расчет!$G$2:$G$3001,Расчет!$I$2:$I$3001,$K1246,Расчет!$H$2:$H$3001,2))</f>
        <v/>
      </c>
      <c r="J1246">
        <f>IF($L1246="","",SUMIFS(Расчет!$G$2:$G$3001,Расчет!$I$2:$I$3001,$K1246,Расчет!$H$2:$H$3001,3))</f>
        <v/>
      </c>
      <c r="K1246">
        <f>IF($L1246="","",INDEX(Расчет!$I$2:$I$3001,$L1246))</f>
        <v/>
      </c>
      <c r="L1246">
        <f>IFERROR(MATCH(ROW()-1,Расчет!$J$2:$J$3001,0),"")</f>
        <v/>
      </c>
    </row>
    <row r="1247">
      <c r="A1247">
        <f>IF($L1247="","",B1247&amp;"."&amp;C1247&amp;"-"&amp;D1247&amp;"-"&amp;H1247&amp;"."&amp;I1247&amp;"."&amp;J1247)</f>
        <v/>
      </c>
      <c r="B1247">
        <f>IF($L1247="","",INDEX(Расчет!$A$2:$A$3001,$L1247))</f>
        <v/>
      </c>
      <c r="C1247">
        <f>IF($L1247="","",INDEX(Расчет!$B$2:$B$3001,$L1247))</f>
        <v/>
      </c>
      <c r="D1247">
        <f>IF($L1247="","",IF(ISNUMBER(FIND("(",INDEX(Расчет!$C$2:$C$3001,$L1247))),SUBSTITUTE(MID(INDEX(Расчет!$C$2:$C$3001,$L1247),FIND("(",INDEX(Расчет!$C$2:$C$3001,$L1247))+1,99),")",""),INDEX(Расчет!$C$2:$C$3001,$L1247)))</f>
        <v/>
      </c>
      <c r="E1247">
        <f>IF($L1247="","",INDEX(Расчет!$D$2:$D$3001,$L1247))</f>
        <v/>
      </c>
      <c r="F1247">
        <f>IF($L1247="","",INDEX(Расчет!$E$2:$E$3001,$L1247))</f>
        <v/>
      </c>
      <c r="G1247">
        <f>IF($L1247="","",IFERROR(--LEFT(INDEX(Расчет!$C$2:$C$3001,$L1247),FIND("(",INDEX(Расчет!$C$2:$C$3001,$L1247))-1),IFERROR(--LEFT(INDEX(Расчет!$C$2:$C$3001,$L1247),1),"")))</f>
        <v/>
      </c>
      <c r="H1247">
        <f>IF($L1247="","",SUMIFS(Расчет!$G$2:$G$3001,Расчет!$I$2:$I$3001,$K1247,Расчет!$H$2:$H$3001,1))</f>
        <v/>
      </c>
      <c r="I1247">
        <f>IF($L1247="","",SUMIFS(Расчет!$G$2:$G$3001,Расчет!$I$2:$I$3001,$K1247,Расчет!$H$2:$H$3001,2))</f>
        <v/>
      </c>
      <c r="J1247">
        <f>IF($L1247="","",SUMIFS(Расчет!$G$2:$G$3001,Расчет!$I$2:$I$3001,$K1247,Расчет!$H$2:$H$3001,3))</f>
        <v/>
      </c>
      <c r="K1247">
        <f>IF($L1247="","",INDEX(Расчет!$I$2:$I$3001,$L1247))</f>
        <v/>
      </c>
      <c r="L1247">
        <f>IFERROR(MATCH(ROW()-1,Расчет!$J$2:$J$3001,0),"")</f>
        <v/>
      </c>
    </row>
    <row r="1248">
      <c r="A1248">
        <f>IF($L1248="","",B1248&amp;"."&amp;C1248&amp;"-"&amp;D1248&amp;"-"&amp;H1248&amp;"."&amp;I1248&amp;"."&amp;J1248)</f>
        <v/>
      </c>
      <c r="B1248">
        <f>IF($L1248="","",INDEX(Расчет!$A$2:$A$3001,$L1248))</f>
        <v/>
      </c>
      <c r="C1248">
        <f>IF($L1248="","",INDEX(Расчет!$B$2:$B$3001,$L1248))</f>
        <v/>
      </c>
      <c r="D1248">
        <f>IF($L1248="","",IF(ISNUMBER(FIND("(",INDEX(Расчет!$C$2:$C$3001,$L1248))),SUBSTITUTE(MID(INDEX(Расчет!$C$2:$C$3001,$L1248),FIND("(",INDEX(Расчет!$C$2:$C$3001,$L1248))+1,99),")",""),INDEX(Расчет!$C$2:$C$3001,$L1248)))</f>
        <v/>
      </c>
      <c r="E1248">
        <f>IF($L1248="","",INDEX(Расчет!$D$2:$D$3001,$L1248))</f>
        <v/>
      </c>
      <c r="F1248">
        <f>IF($L1248="","",INDEX(Расчет!$E$2:$E$3001,$L1248))</f>
        <v/>
      </c>
      <c r="G1248">
        <f>IF($L1248="","",IFERROR(--LEFT(INDEX(Расчет!$C$2:$C$3001,$L1248),FIND("(",INDEX(Расчет!$C$2:$C$3001,$L1248))-1),IFERROR(--LEFT(INDEX(Расчет!$C$2:$C$3001,$L1248),1),"")))</f>
        <v/>
      </c>
      <c r="H1248">
        <f>IF($L1248="","",SUMIFS(Расчет!$G$2:$G$3001,Расчет!$I$2:$I$3001,$K1248,Расчет!$H$2:$H$3001,1))</f>
        <v/>
      </c>
      <c r="I1248">
        <f>IF($L1248="","",SUMIFS(Расчет!$G$2:$G$3001,Расчет!$I$2:$I$3001,$K1248,Расчет!$H$2:$H$3001,2))</f>
        <v/>
      </c>
      <c r="J1248">
        <f>IF($L1248="","",SUMIFS(Расчет!$G$2:$G$3001,Расчет!$I$2:$I$3001,$K1248,Расчет!$H$2:$H$3001,3))</f>
        <v/>
      </c>
      <c r="K1248">
        <f>IF($L1248="","",INDEX(Расчет!$I$2:$I$3001,$L1248))</f>
        <v/>
      </c>
      <c r="L1248">
        <f>IFERROR(MATCH(ROW()-1,Расчет!$J$2:$J$3001,0),"")</f>
        <v/>
      </c>
    </row>
    <row r="1249">
      <c r="A1249">
        <f>IF($L1249="","",B1249&amp;"."&amp;C1249&amp;"-"&amp;D1249&amp;"-"&amp;H1249&amp;"."&amp;I1249&amp;"."&amp;J1249)</f>
        <v/>
      </c>
      <c r="B1249">
        <f>IF($L1249="","",INDEX(Расчет!$A$2:$A$3001,$L1249))</f>
        <v/>
      </c>
      <c r="C1249">
        <f>IF($L1249="","",INDEX(Расчет!$B$2:$B$3001,$L1249))</f>
        <v/>
      </c>
      <c r="D1249">
        <f>IF($L1249="","",IF(ISNUMBER(FIND("(",INDEX(Расчет!$C$2:$C$3001,$L1249))),SUBSTITUTE(MID(INDEX(Расчет!$C$2:$C$3001,$L1249),FIND("(",INDEX(Расчет!$C$2:$C$3001,$L1249))+1,99),")",""),INDEX(Расчет!$C$2:$C$3001,$L1249)))</f>
        <v/>
      </c>
      <c r="E1249">
        <f>IF($L1249="","",INDEX(Расчет!$D$2:$D$3001,$L1249))</f>
        <v/>
      </c>
      <c r="F1249">
        <f>IF($L1249="","",INDEX(Расчет!$E$2:$E$3001,$L1249))</f>
        <v/>
      </c>
      <c r="G1249">
        <f>IF($L1249="","",IFERROR(--LEFT(INDEX(Расчет!$C$2:$C$3001,$L1249),FIND("(",INDEX(Расчет!$C$2:$C$3001,$L1249))-1),IFERROR(--LEFT(INDEX(Расчет!$C$2:$C$3001,$L1249),1),"")))</f>
        <v/>
      </c>
      <c r="H1249">
        <f>IF($L1249="","",SUMIFS(Расчет!$G$2:$G$3001,Расчет!$I$2:$I$3001,$K1249,Расчет!$H$2:$H$3001,1))</f>
        <v/>
      </c>
      <c r="I1249">
        <f>IF($L1249="","",SUMIFS(Расчет!$G$2:$G$3001,Расчет!$I$2:$I$3001,$K1249,Расчет!$H$2:$H$3001,2))</f>
        <v/>
      </c>
      <c r="J1249">
        <f>IF($L1249="","",SUMIFS(Расчет!$G$2:$G$3001,Расчет!$I$2:$I$3001,$K1249,Расчет!$H$2:$H$3001,3))</f>
        <v/>
      </c>
      <c r="K1249">
        <f>IF($L1249="","",INDEX(Расчет!$I$2:$I$3001,$L1249))</f>
        <v/>
      </c>
      <c r="L1249">
        <f>IFERROR(MATCH(ROW()-1,Расчет!$J$2:$J$3001,0),"")</f>
        <v/>
      </c>
    </row>
    <row r="1250">
      <c r="A1250">
        <f>IF($L1250="","",B1250&amp;"."&amp;C1250&amp;"-"&amp;D1250&amp;"-"&amp;H1250&amp;"."&amp;I1250&amp;"."&amp;J1250)</f>
        <v/>
      </c>
      <c r="B1250">
        <f>IF($L1250="","",INDEX(Расчет!$A$2:$A$3001,$L1250))</f>
        <v/>
      </c>
      <c r="C1250">
        <f>IF($L1250="","",INDEX(Расчет!$B$2:$B$3001,$L1250))</f>
        <v/>
      </c>
      <c r="D1250">
        <f>IF($L1250="","",IF(ISNUMBER(FIND("(",INDEX(Расчет!$C$2:$C$3001,$L1250))),SUBSTITUTE(MID(INDEX(Расчет!$C$2:$C$3001,$L1250),FIND("(",INDEX(Расчет!$C$2:$C$3001,$L1250))+1,99),")",""),INDEX(Расчет!$C$2:$C$3001,$L1250)))</f>
        <v/>
      </c>
      <c r="E1250">
        <f>IF($L1250="","",INDEX(Расчет!$D$2:$D$3001,$L1250))</f>
        <v/>
      </c>
      <c r="F1250">
        <f>IF($L1250="","",INDEX(Расчет!$E$2:$E$3001,$L1250))</f>
        <v/>
      </c>
      <c r="G1250">
        <f>IF($L1250="","",IFERROR(--LEFT(INDEX(Расчет!$C$2:$C$3001,$L1250),FIND("(",INDEX(Расчет!$C$2:$C$3001,$L1250))-1),IFERROR(--LEFT(INDEX(Расчет!$C$2:$C$3001,$L1250),1),"")))</f>
        <v/>
      </c>
      <c r="H1250">
        <f>IF($L1250="","",SUMIFS(Расчет!$G$2:$G$3001,Расчет!$I$2:$I$3001,$K1250,Расчет!$H$2:$H$3001,1))</f>
        <v/>
      </c>
      <c r="I1250">
        <f>IF($L1250="","",SUMIFS(Расчет!$G$2:$G$3001,Расчет!$I$2:$I$3001,$K1250,Расчет!$H$2:$H$3001,2))</f>
        <v/>
      </c>
      <c r="J1250">
        <f>IF($L1250="","",SUMIFS(Расчет!$G$2:$G$3001,Расчет!$I$2:$I$3001,$K1250,Расчет!$H$2:$H$3001,3))</f>
        <v/>
      </c>
      <c r="K1250">
        <f>IF($L1250="","",INDEX(Расчет!$I$2:$I$3001,$L1250))</f>
        <v/>
      </c>
      <c r="L1250">
        <f>IFERROR(MATCH(ROW()-1,Расчет!$J$2:$J$3001,0),"")</f>
        <v/>
      </c>
    </row>
    <row r="1251">
      <c r="A1251">
        <f>IF($L1251="","",B1251&amp;"."&amp;C1251&amp;"-"&amp;D1251&amp;"-"&amp;H1251&amp;"."&amp;I1251&amp;"."&amp;J1251)</f>
        <v/>
      </c>
      <c r="B1251">
        <f>IF($L1251="","",INDEX(Расчет!$A$2:$A$3001,$L1251))</f>
        <v/>
      </c>
      <c r="C1251">
        <f>IF($L1251="","",INDEX(Расчет!$B$2:$B$3001,$L1251))</f>
        <v/>
      </c>
      <c r="D1251">
        <f>IF($L1251="","",IF(ISNUMBER(FIND("(",INDEX(Расчет!$C$2:$C$3001,$L1251))),SUBSTITUTE(MID(INDEX(Расчет!$C$2:$C$3001,$L1251),FIND("(",INDEX(Расчет!$C$2:$C$3001,$L1251))+1,99),")",""),INDEX(Расчет!$C$2:$C$3001,$L1251)))</f>
        <v/>
      </c>
      <c r="E1251">
        <f>IF($L1251="","",INDEX(Расчет!$D$2:$D$3001,$L1251))</f>
        <v/>
      </c>
      <c r="F1251">
        <f>IF($L1251="","",INDEX(Расчет!$E$2:$E$3001,$L1251))</f>
        <v/>
      </c>
      <c r="G1251">
        <f>IF($L1251="","",IFERROR(--LEFT(INDEX(Расчет!$C$2:$C$3001,$L1251),FIND("(",INDEX(Расчет!$C$2:$C$3001,$L1251))-1),IFERROR(--LEFT(INDEX(Расчет!$C$2:$C$3001,$L1251),1),"")))</f>
        <v/>
      </c>
      <c r="H1251">
        <f>IF($L1251="","",SUMIFS(Расчет!$G$2:$G$3001,Расчет!$I$2:$I$3001,$K1251,Расчет!$H$2:$H$3001,1))</f>
        <v/>
      </c>
      <c r="I1251">
        <f>IF($L1251="","",SUMIFS(Расчет!$G$2:$G$3001,Расчет!$I$2:$I$3001,$K1251,Расчет!$H$2:$H$3001,2))</f>
        <v/>
      </c>
      <c r="J1251">
        <f>IF($L1251="","",SUMIFS(Расчет!$G$2:$G$3001,Расчет!$I$2:$I$3001,$K1251,Расчет!$H$2:$H$3001,3))</f>
        <v/>
      </c>
      <c r="K1251">
        <f>IF($L1251="","",INDEX(Расчет!$I$2:$I$3001,$L1251))</f>
        <v/>
      </c>
      <c r="L1251">
        <f>IFERROR(MATCH(ROW()-1,Расчет!$J$2:$J$3001,0),"")</f>
        <v/>
      </c>
    </row>
    <row r="1252">
      <c r="A1252">
        <f>IF($L1252="","",B1252&amp;"."&amp;C1252&amp;"-"&amp;D1252&amp;"-"&amp;H1252&amp;"."&amp;I1252&amp;"."&amp;J1252)</f>
        <v/>
      </c>
      <c r="B1252">
        <f>IF($L1252="","",INDEX(Расчет!$A$2:$A$3001,$L1252))</f>
        <v/>
      </c>
      <c r="C1252">
        <f>IF($L1252="","",INDEX(Расчет!$B$2:$B$3001,$L1252))</f>
        <v/>
      </c>
      <c r="D1252">
        <f>IF($L1252="","",IF(ISNUMBER(FIND("(",INDEX(Расчет!$C$2:$C$3001,$L1252))),SUBSTITUTE(MID(INDEX(Расчет!$C$2:$C$3001,$L1252),FIND("(",INDEX(Расчет!$C$2:$C$3001,$L1252))+1,99),")",""),INDEX(Расчет!$C$2:$C$3001,$L1252)))</f>
        <v/>
      </c>
      <c r="E1252">
        <f>IF($L1252="","",INDEX(Расчет!$D$2:$D$3001,$L1252))</f>
        <v/>
      </c>
      <c r="F1252">
        <f>IF($L1252="","",INDEX(Расчет!$E$2:$E$3001,$L1252))</f>
        <v/>
      </c>
      <c r="G1252">
        <f>IF($L1252="","",IFERROR(--LEFT(INDEX(Расчет!$C$2:$C$3001,$L1252),FIND("(",INDEX(Расчет!$C$2:$C$3001,$L1252))-1),IFERROR(--LEFT(INDEX(Расчет!$C$2:$C$3001,$L1252),1),"")))</f>
        <v/>
      </c>
      <c r="H1252">
        <f>IF($L1252="","",SUMIFS(Расчет!$G$2:$G$3001,Расчет!$I$2:$I$3001,$K1252,Расчет!$H$2:$H$3001,1))</f>
        <v/>
      </c>
      <c r="I1252">
        <f>IF($L1252="","",SUMIFS(Расчет!$G$2:$G$3001,Расчет!$I$2:$I$3001,$K1252,Расчет!$H$2:$H$3001,2))</f>
        <v/>
      </c>
      <c r="J1252">
        <f>IF($L1252="","",SUMIFS(Расчет!$G$2:$G$3001,Расчет!$I$2:$I$3001,$K1252,Расчет!$H$2:$H$3001,3))</f>
        <v/>
      </c>
      <c r="K1252">
        <f>IF($L1252="","",INDEX(Расчет!$I$2:$I$3001,$L1252))</f>
        <v/>
      </c>
      <c r="L1252">
        <f>IFERROR(MATCH(ROW()-1,Расчет!$J$2:$J$3001,0),"")</f>
        <v/>
      </c>
    </row>
    <row r="1253">
      <c r="A1253">
        <f>IF($L1253="","",B1253&amp;"."&amp;C1253&amp;"-"&amp;D1253&amp;"-"&amp;H1253&amp;"."&amp;I1253&amp;"."&amp;J1253)</f>
        <v/>
      </c>
      <c r="B1253">
        <f>IF($L1253="","",INDEX(Расчет!$A$2:$A$3001,$L1253))</f>
        <v/>
      </c>
      <c r="C1253">
        <f>IF($L1253="","",INDEX(Расчет!$B$2:$B$3001,$L1253))</f>
        <v/>
      </c>
      <c r="D1253">
        <f>IF($L1253="","",IF(ISNUMBER(FIND("(",INDEX(Расчет!$C$2:$C$3001,$L1253))),SUBSTITUTE(MID(INDEX(Расчет!$C$2:$C$3001,$L1253),FIND("(",INDEX(Расчет!$C$2:$C$3001,$L1253))+1,99),")",""),INDEX(Расчет!$C$2:$C$3001,$L1253)))</f>
        <v/>
      </c>
      <c r="E1253">
        <f>IF($L1253="","",INDEX(Расчет!$D$2:$D$3001,$L1253))</f>
        <v/>
      </c>
      <c r="F1253">
        <f>IF($L1253="","",INDEX(Расчет!$E$2:$E$3001,$L1253))</f>
        <v/>
      </c>
      <c r="G1253">
        <f>IF($L1253="","",IFERROR(--LEFT(INDEX(Расчет!$C$2:$C$3001,$L1253),FIND("(",INDEX(Расчет!$C$2:$C$3001,$L1253))-1),IFERROR(--LEFT(INDEX(Расчет!$C$2:$C$3001,$L1253),1),"")))</f>
        <v/>
      </c>
      <c r="H1253">
        <f>IF($L1253="","",SUMIFS(Расчет!$G$2:$G$3001,Расчет!$I$2:$I$3001,$K1253,Расчет!$H$2:$H$3001,1))</f>
        <v/>
      </c>
      <c r="I1253">
        <f>IF($L1253="","",SUMIFS(Расчет!$G$2:$G$3001,Расчет!$I$2:$I$3001,$K1253,Расчет!$H$2:$H$3001,2))</f>
        <v/>
      </c>
      <c r="J1253">
        <f>IF($L1253="","",SUMIFS(Расчет!$G$2:$G$3001,Расчет!$I$2:$I$3001,$K1253,Расчет!$H$2:$H$3001,3))</f>
        <v/>
      </c>
      <c r="K1253">
        <f>IF($L1253="","",INDEX(Расчет!$I$2:$I$3001,$L1253))</f>
        <v/>
      </c>
      <c r="L1253">
        <f>IFERROR(MATCH(ROW()-1,Расчет!$J$2:$J$3001,0),"")</f>
        <v/>
      </c>
    </row>
    <row r="1254">
      <c r="A1254">
        <f>IF($L1254="","",B1254&amp;"."&amp;C1254&amp;"-"&amp;D1254&amp;"-"&amp;H1254&amp;"."&amp;I1254&amp;"."&amp;J1254)</f>
        <v/>
      </c>
      <c r="B1254">
        <f>IF($L1254="","",INDEX(Расчет!$A$2:$A$3001,$L1254))</f>
        <v/>
      </c>
      <c r="C1254">
        <f>IF($L1254="","",INDEX(Расчет!$B$2:$B$3001,$L1254))</f>
        <v/>
      </c>
      <c r="D1254">
        <f>IF($L1254="","",IF(ISNUMBER(FIND("(",INDEX(Расчет!$C$2:$C$3001,$L1254))),SUBSTITUTE(MID(INDEX(Расчет!$C$2:$C$3001,$L1254),FIND("(",INDEX(Расчет!$C$2:$C$3001,$L1254))+1,99),")",""),INDEX(Расчет!$C$2:$C$3001,$L1254)))</f>
        <v/>
      </c>
      <c r="E1254">
        <f>IF($L1254="","",INDEX(Расчет!$D$2:$D$3001,$L1254))</f>
        <v/>
      </c>
      <c r="F1254">
        <f>IF($L1254="","",INDEX(Расчет!$E$2:$E$3001,$L1254))</f>
        <v/>
      </c>
      <c r="G1254">
        <f>IF($L1254="","",IFERROR(--LEFT(INDEX(Расчет!$C$2:$C$3001,$L1254),FIND("(",INDEX(Расчет!$C$2:$C$3001,$L1254))-1),IFERROR(--LEFT(INDEX(Расчет!$C$2:$C$3001,$L1254),1),"")))</f>
        <v/>
      </c>
      <c r="H1254">
        <f>IF($L1254="","",SUMIFS(Расчет!$G$2:$G$3001,Расчет!$I$2:$I$3001,$K1254,Расчет!$H$2:$H$3001,1))</f>
        <v/>
      </c>
      <c r="I1254">
        <f>IF($L1254="","",SUMIFS(Расчет!$G$2:$G$3001,Расчет!$I$2:$I$3001,$K1254,Расчет!$H$2:$H$3001,2))</f>
        <v/>
      </c>
      <c r="J1254">
        <f>IF($L1254="","",SUMIFS(Расчет!$G$2:$G$3001,Расчет!$I$2:$I$3001,$K1254,Расчет!$H$2:$H$3001,3))</f>
        <v/>
      </c>
      <c r="K1254">
        <f>IF($L1254="","",INDEX(Расчет!$I$2:$I$3001,$L1254))</f>
        <v/>
      </c>
      <c r="L1254">
        <f>IFERROR(MATCH(ROW()-1,Расчет!$J$2:$J$3001,0),"")</f>
        <v/>
      </c>
    </row>
    <row r="1255">
      <c r="A1255">
        <f>IF($L1255="","",B1255&amp;"."&amp;C1255&amp;"-"&amp;D1255&amp;"-"&amp;H1255&amp;"."&amp;I1255&amp;"."&amp;J1255)</f>
        <v/>
      </c>
      <c r="B1255">
        <f>IF($L1255="","",INDEX(Расчет!$A$2:$A$3001,$L1255))</f>
        <v/>
      </c>
      <c r="C1255">
        <f>IF($L1255="","",INDEX(Расчет!$B$2:$B$3001,$L1255))</f>
        <v/>
      </c>
      <c r="D1255">
        <f>IF($L1255="","",IF(ISNUMBER(FIND("(",INDEX(Расчет!$C$2:$C$3001,$L1255))),SUBSTITUTE(MID(INDEX(Расчет!$C$2:$C$3001,$L1255),FIND("(",INDEX(Расчет!$C$2:$C$3001,$L1255))+1,99),")",""),INDEX(Расчет!$C$2:$C$3001,$L1255)))</f>
        <v/>
      </c>
      <c r="E1255">
        <f>IF($L1255="","",INDEX(Расчет!$D$2:$D$3001,$L1255))</f>
        <v/>
      </c>
      <c r="F1255">
        <f>IF($L1255="","",INDEX(Расчет!$E$2:$E$3001,$L1255))</f>
        <v/>
      </c>
      <c r="G1255">
        <f>IF($L1255="","",IFERROR(--LEFT(INDEX(Расчет!$C$2:$C$3001,$L1255),FIND("(",INDEX(Расчет!$C$2:$C$3001,$L1255))-1),IFERROR(--LEFT(INDEX(Расчет!$C$2:$C$3001,$L1255),1),"")))</f>
        <v/>
      </c>
      <c r="H1255">
        <f>IF($L1255="","",SUMIFS(Расчет!$G$2:$G$3001,Расчет!$I$2:$I$3001,$K1255,Расчет!$H$2:$H$3001,1))</f>
        <v/>
      </c>
      <c r="I1255">
        <f>IF($L1255="","",SUMIFS(Расчет!$G$2:$G$3001,Расчет!$I$2:$I$3001,$K1255,Расчет!$H$2:$H$3001,2))</f>
        <v/>
      </c>
      <c r="J1255">
        <f>IF($L1255="","",SUMIFS(Расчет!$G$2:$G$3001,Расчет!$I$2:$I$3001,$K1255,Расчет!$H$2:$H$3001,3))</f>
        <v/>
      </c>
      <c r="K1255">
        <f>IF($L1255="","",INDEX(Расчет!$I$2:$I$3001,$L1255))</f>
        <v/>
      </c>
      <c r="L1255">
        <f>IFERROR(MATCH(ROW()-1,Расчет!$J$2:$J$3001,0),"")</f>
        <v/>
      </c>
    </row>
    <row r="1256">
      <c r="A1256">
        <f>IF($L1256="","",B1256&amp;"."&amp;C1256&amp;"-"&amp;D1256&amp;"-"&amp;H1256&amp;"."&amp;I1256&amp;"."&amp;J1256)</f>
        <v/>
      </c>
      <c r="B1256">
        <f>IF($L1256="","",INDEX(Расчет!$A$2:$A$3001,$L1256))</f>
        <v/>
      </c>
      <c r="C1256">
        <f>IF($L1256="","",INDEX(Расчет!$B$2:$B$3001,$L1256))</f>
        <v/>
      </c>
      <c r="D1256">
        <f>IF($L1256="","",IF(ISNUMBER(FIND("(",INDEX(Расчет!$C$2:$C$3001,$L1256))),SUBSTITUTE(MID(INDEX(Расчет!$C$2:$C$3001,$L1256),FIND("(",INDEX(Расчет!$C$2:$C$3001,$L1256))+1,99),")",""),INDEX(Расчет!$C$2:$C$3001,$L1256)))</f>
        <v/>
      </c>
      <c r="E1256">
        <f>IF($L1256="","",INDEX(Расчет!$D$2:$D$3001,$L1256))</f>
        <v/>
      </c>
      <c r="F1256">
        <f>IF($L1256="","",INDEX(Расчет!$E$2:$E$3001,$L1256))</f>
        <v/>
      </c>
      <c r="G1256">
        <f>IF($L1256="","",IFERROR(--LEFT(INDEX(Расчет!$C$2:$C$3001,$L1256),FIND("(",INDEX(Расчет!$C$2:$C$3001,$L1256))-1),IFERROR(--LEFT(INDEX(Расчет!$C$2:$C$3001,$L1256),1),"")))</f>
        <v/>
      </c>
      <c r="H1256">
        <f>IF($L1256="","",SUMIFS(Расчет!$G$2:$G$3001,Расчет!$I$2:$I$3001,$K1256,Расчет!$H$2:$H$3001,1))</f>
        <v/>
      </c>
      <c r="I1256">
        <f>IF($L1256="","",SUMIFS(Расчет!$G$2:$G$3001,Расчет!$I$2:$I$3001,$K1256,Расчет!$H$2:$H$3001,2))</f>
        <v/>
      </c>
      <c r="J1256">
        <f>IF($L1256="","",SUMIFS(Расчет!$G$2:$G$3001,Расчет!$I$2:$I$3001,$K1256,Расчет!$H$2:$H$3001,3))</f>
        <v/>
      </c>
      <c r="K1256">
        <f>IF($L1256="","",INDEX(Расчет!$I$2:$I$3001,$L1256))</f>
        <v/>
      </c>
      <c r="L1256">
        <f>IFERROR(MATCH(ROW()-1,Расчет!$J$2:$J$3001,0),"")</f>
        <v/>
      </c>
    </row>
    <row r="1257">
      <c r="A1257">
        <f>IF($L1257="","",B1257&amp;"."&amp;C1257&amp;"-"&amp;D1257&amp;"-"&amp;H1257&amp;"."&amp;I1257&amp;"."&amp;J1257)</f>
        <v/>
      </c>
      <c r="B1257">
        <f>IF($L1257="","",INDEX(Расчет!$A$2:$A$3001,$L1257))</f>
        <v/>
      </c>
      <c r="C1257">
        <f>IF($L1257="","",INDEX(Расчет!$B$2:$B$3001,$L1257))</f>
        <v/>
      </c>
      <c r="D1257">
        <f>IF($L1257="","",IF(ISNUMBER(FIND("(",INDEX(Расчет!$C$2:$C$3001,$L1257))),SUBSTITUTE(MID(INDEX(Расчет!$C$2:$C$3001,$L1257),FIND("(",INDEX(Расчет!$C$2:$C$3001,$L1257))+1,99),")",""),INDEX(Расчет!$C$2:$C$3001,$L1257)))</f>
        <v/>
      </c>
      <c r="E1257">
        <f>IF($L1257="","",INDEX(Расчет!$D$2:$D$3001,$L1257))</f>
        <v/>
      </c>
      <c r="F1257">
        <f>IF($L1257="","",INDEX(Расчет!$E$2:$E$3001,$L1257))</f>
        <v/>
      </c>
      <c r="G1257">
        <f>IF($L1257="","",IFERROR(--LEFT(INDEX(Расчет!$C$2:$C$3001,$L1257),FIND("(",INDEX(Расчет!$C$2:$C$3001,$L1257))-1),IFERROR(--LEFT(INDEX(Расчет!$C$2:$C$3001,$L1257),1),"")))</f>
        <v/>
      </c>
      <c r="H1257">
        <f>IF($L1257="","",SUMIFS(Расчет!$G$2:$G$3001,Расчет!$I$2:$I$3001,$K1257,Расчет!$H$2:$H$3001,1))</f>
        <v/>
      </c>
      <c r="I1257">
        <f>IF($L1257="","",SUMIFS(Расчет!$G$2:$G$3001,Расчет!$I$2:$I$3001,$K1257,Расчет!$H$2:$H$3001,2))</f>
        <v/>
      </c>
      <c r="J1257">
        <f>IF($L1257="","",SUMIFS(Расчет!$G$2:$G$3001,Расчет!$I$2:$I$3001,$K1257,Расчет!$H$2:$H$3001,3))</f>
        <v/>
      </c>
      <c r="K1257">
        <f>IF($L1257="","",INDEX(Расчет!$I$2:$I$3001,$L1257))</f>
        <v/>
      </c>
      <c r="L1257">
        <f>IFERROR(MATCH(ROW()-1,Расчет!$J$2:$J$3001,0),"")</f>
        <v/>
      </c>
    </row>
    <row r="1258">
      <c r="A1258">
        <f>IF($L1258="","",B1258&amp;"."&amp;C1258&amp;"-"&amp;D1258&amp;"-"&amp;H1258&amp;"."&amp;I1258&amp;"."&amp;J1258)</f>
        <v/>
      </c>
      <c r="B1258">
        <f>IF($L1258="","",INDEX(Расчет!$A$2:$A$3001,$L1258))</f>
        <v/>
      </c>
      <c r="C1258">
        <f>IF($L1258="","",INDEX(Расчет!$B$2:$B$3001,$L1258))</f>
        <v/>
      </c>
      <c r="D1258">
        <f>IF($L1258="","",IF(ISNUMBER(FIND("(",INDEX(Расчет!$C$2:$C$3001,$L1258))),SUBSTITUTE(MID(INDEX(Расчет!$C$2:$C$3001,$L1258),FIND("(",INDEX(Расчет!$C$2:$C$3001,$L1258))+1,99),")",""),INDEX(Расчет!$C$2:$C$3001,$L1258)))</f>
        <v/>
      </c>
      <c r="E1258">
        <f>IF($L1258="","",INDEX(Расчет!$D$2:$D$3001,$L1258))</f>
        <v/>
      </c>
      <c r="F1258">
        <f>IF($L1258="","",INDEX(Расчет!$E$2:$E$3001,$L1258))</f>
        <v/>
      </c>
      <c r="G1258">
        <f>IF($L1258="","",IFERROR(--LEFT(INDEX(Расчет!$C$2:$C$3001,$L1258),FIND("(",INDEX(Расчет!$C$2:$C$3001,$L1258))-1),IFERROR(--LEFT(INDEX(Расчет!$C$2:$C$3001,$L1258),1),"")))</f>
        <v/>
      </c>
      <c r="H1258">
        <f>IF($L1258="","",SUMIFS(Расчет!$G$2:$G$3001,Расчет!$I$2:$I$3001,$K1258,Расчет!$H$2:$H$3001,1))</f>
        <v/>
      </c>
      <c r="I1258">
        <f>IF($L1258="","",SUMIFS(Расчет!$G$2:$G$3001,Расчет!$I$2:$I$3001,$K1258,Расчет!$H$2:$H$3001,2))</f>
        <v/>
      </c>
      <c r="J1258">
        <f>IF($L1258="","",SUMIFS(Расчет!$G$2:$G$3001,Расчет!$I$2:$I$3001,$K1258,Расчет!$H$2:$H$3001,3))</f>
        <v/>
      </c>
      <c r="K1258">
        <f>IF($L1258="","",INDEX(Расчет!$I$2:$I$3001,$L1258))</f>
        <v/>
      </c>
      <c r="L1258">
        <f>IFERROR(MATCH(ROW()-1,Расчет!$J$2:$J$3001,0),"")</f>
        <v/>
      </c>
    </row>
    <row r="1259">
      <c r="A1259">
        <f>IF($L1259="","",B1259&amp;"."&amp;C1259&amp;"-"&amp;D1259&amp;"-"&amp;H1259&amp;"."&amp;I1259&amp;"."&amp;J1259)</f>
        <v/>
      </c>
      <c r="B1259">
        <f>IF($L1259="","",INDEX(Расчет!$A$2:$A$3001,$L1259))</f>
        <v/>
      </c>
      <c r="C1259">
        <f>IF($L1259="","",INDEX(Расчет!$B$2:$B$3001,$L1259))</f>
        <v/>
      </c>
      <c r="D1259">
        <f>IF($L1259="","",IF(ISNUMBER(FIND("(",INDEX(Расчет!$C$2:$C$3001,$L1259))),SUBSTITUTE(MID(INDEX(Расчет!$C$2:$C$3001,$L1259),FIND("(",INDEX(Расчет!$C$2:$C$3001,$L1259))+1,99),")",""),INDEX(Расчет!$C$2:$C$3001,$L1259)))</f>
        <v/>
      </c>
      <c r="E1259">
        <f>IF($L1259="","",INDEX(Расчет!$D$2:$D$3001,$L1259))</f>
        <v/>
      </c>
      <c r="F1259">
        <f>IF($L1259="","",INDEX(Расчет!$E$2:$E$3001,$L1259))</f>
        <v/>
      </c>
      <c r="G1259">
        <f>IF($L1259="","",IFERROR(--LEFT(INDEX(Расчет!$C$2:$C$3001,$L1259),FIND("(",INDEX(Расчет!$C$2:$C$3001,$L1259))-1),IFERROR(--LEFT(INDEX(Расчет!$C$2:$C$3001,$L1259),1),"")))</f>
        <v/>
      </c>
      <c r="H1259">
        <f>IF($L1259="","",SUMIFS(Расчет!$G$2:$G$3001,Расчет!$I$2:$I$3001,$K1259,Расчет!$H$2:$H$3001,1))</f>
        <v/>
      </c>
      <c r="I1259">
        <f>IF($L1259="","",SUMIFS(Расчет!$G$2:$G$3001,Расчет!$I$2:$I$3001,$K1259,Расчет!$H$2:$H$3001,2))</f>
        <v/>
      </c>
      <c r="J1259">
        <f>IF($L1259="","",SUMIFS(Расчет!$G$2:$G$3001,Расчет!$I$2:$I$3001,$K1259,Расчет!$H$2:$H$3001,3))</f>
        <v/>
      </c>
      <c r="K1259">
        <f>IF($L1259="","",INDEX(Расчет!$I$2:$I$3001,$L1259))</f>
        <v/>
      </c>
      <c r="L1259">
        <f>IFERROR(MATCH(ROW()-1,Расчет!$J$2:$J$3001,0),"")</f>
        <v/>
      </c>
    </row>
    <row r="1260">
      <c r="A1260">
        <f>IF($L1260="","",B1260&amp;"."&amp;C1260&amp;"-"&amp;D1260&amp;"-"&amp;H1260&amp;"."&amp;I1260&amp;"."&amp;J1260)</f>
        <v/>
      </c>
      <c r="B1260">
        <f>IF($L1260="","",INDEX(Расчет!$A$2:$A$3001,$L1260))</f>
        <v/>
      </c>
      <c r="C1260">
        <f>IF($L1260="","",INDEX(Расчет!$B$2:$B$3001,$L1260))</f>
        <v/>
      </c>
      <c r="D1260">
        <f>IF($L1260="","",IF(ISNUMBER(FIND("(",INDEX(Расчет!$C$2:$C$3001,$L1260))),SUBSTITUTE(MID(INDEX(Расчет!$C$2:$C$3001,$L1260),FIND("(",INDEX(Расчет!$C$2:$C$3001,$L1260))+1,99),")",""),INDEX(Расчет!$C$2:$C$3001,$L1260)))</f>
        <v/>
      </c>
      <c r="E1260">
        <f>IF($L1260="","",INDEX(Расчет!$D$2:$D$3001,$L1260))</f>
        <v/>
      </c>
      <c r="F1260">
        <f>IF($L1260="","",INDEX(Расчет!$E$2:$E$3001,$L1260))</f>
        <v/>
      </c>
      <c r="G1260">
        <f>IF($L1260="","",IFERROR(--LEFT(INDEX(Расчет!$C$2:$C$3001,$L1260),FIND("(",INDEX(Расчет!$C$2:$C$3001,$L1260))-1),IFERROR(--LEFT(INDEX(Расчет!$C$2:$C$3001,$L1260),1),"")))</f>
        <v/>
      </c>
      <c r="H1260">
        <f>IF($L1260="","",SUMIFS(Расчет!$G$2:$G$3001,Расчет!$I$2:$I$3001,$K1260,Расчет!$H$2:$H$3001,1))</f>
        <v/>
      </c>
      <c r="I1260">
        <f>IF($L1260="","",SUMIFS(Расчет!$G$2:$G$3001,Расчет!$I$2:$I$3001,$K1260,Расчет!$H$2:$H$3001,2))</f>
        <v/>
      </c>
      <c r="J1260">
        <f>IF($L1260="","",SUMIFS(Расчет!$G$2:$G$3001,Расчет!$I$2:$I$3001,$K1260,Расчет!$H$2:$H$3001,3))</f>
        <v/>
      </c>
      <c r="K1260">
        <f>IF($L1260="","",INDEX(Расчет!$I$2:$I$3001,$L1260))</f>
        <v/>
      </c>
      <c r="L1260">
        <f>IFERROR(MATCH(ROW()-1,Расчет!$J$2:$J$3001,0),"")</f>
        <v/>
      </c>
    </row>
    <row r="1261">
      <c r="A1261">
        <f>IF($L1261="","",B1261&amp;"."&amp;C1261&amp;"-"&amp;D1261&amp;"-"&amp;H1261&amp;"."&amp;I1261&amp;"."&amp;J1261)</f>
        <v/>
      </c>
      <c r="B1261">
        <f>IF($L1261="","",INDEX(Расчет!$A$2:$A$3001,$L1261))</f>
        <v/>
      </c>
      <c r="C1261">
        <f>IF($L1261="","",INDEX(Расчет!$B$2:$B$3001,$L1261))</f>
        <v/>
      </c>
      <c r="D1261">
        <f>IF($L1261="","",IF(ISNUMBER(FIND("(",INDEX(Расчет!$C$2:$C$3001,$L1261))),SUBSTITUTE(MID(INDEX(Расчет!$C$2:$C$3001,$L1261),FIND("(",INDEX(Расчет!$C$2:$C$3001,$L1261))+1,99),")",""),INDEX(Расчет!$C$2:$C$3001,$L1261)))</f>
        <v/>
      </c>
      <c r="E1261">
        <f>IF($L1261="","",INDEX(Расчет!$D$2:$D$3001,$L1261))</f>
        <v/>
      </c>
      <c r="F1261">
        <f>IF($L1261="","",INDEX(Расчет!$E$2:$E$3001,$L1261))</f>
        <v/>
      </c>
      <c r="G1261">
        <f>IF($L1261="","",IFERROR(--LEFT(INDEX(Расчет!$C$2:$C$3001,$L1261),FIND("(",INDEX(Расчет!$C$2:$C$3001,$L1261))-1),IFERROR(--LEFT(INDEX(Расчет!$C$2:$C$3001,$L1261),1),"")))</f>
        <v/>
      </c>
      <c r="H1261">
        <f>IF($L1261="","",SUMIFS(Расчет!$G$2:$G$3001,Расчет!$I$2:$I$3001,$K1261,Расчет!$H$2:$H$3001,1))</f>
        <v/>
      </c>
      <c r="I1261">
        <f>IF($L1261="","",SUMIFS(Расчет!$G$2:$G$3001,Расчет!$I$2:$I$3001,$K1261,Расчет!$H$2:$H$3001,2))</f>
        <v/>
      </c>
      <c r="J1261">
        <f>IF($L1261="","",SUMIFS(Расчет!$G$2:$G$3001,Расчет!$I$2:$I$3001,$K1261,Расчет!$H$2:$H$3001,3))</f>
        <v/>
      </c>
      <c r="K1261">
        <f>IF($L1261="","",INDEX(Расчет!$I$2:$I$3001,$L1261))</f>
        <v/>
      </c>
      <c r="L1261">
        <f>IFERROR(MATCH(ROW()-1,Расчет!$J$2:$J$3001,0),"")</f>
        <v/>
      </c>
    </row>
    <row r="1262">
      <c r="A1262">
        <f>IF($L1262="","",B1262&amp;"."&amp;C1262&amp;"-"&amp;D1262&amp;"-"&amp;H1262&amp;"."&amp;I1262&amp;"."&amp;J1262)</f>
        <v/>
      </c>
      <c r="B1262">
        <f>IF($L1262="","",INDEX(Расчет!$A$2:$A$3001,$L1262))</f>
        <v/>
      </c>
      <c r="C1262">
        <f>IF($L1262="","",INDEX(Расчет!$B$2:$B$3001,$L1262))</f>
        <v/>
      </c>
      <c r="D1262">
        <f>IF($L1262="","",IF(ISNUMBER(FIND("(",INDEX(Расчет!$C$2:$C$3001,$L1262))),SUBSTITUTE(MID(INDEX(Расчет!$C$2:$C$3001,$L1262),FIND("(",INDEX(Расчет!$C$2:$C$3001,$L1262))+1,99),")",""),INDEX(Расчет!$C$2:$C$3001,$L1262)))</f>
        <v/>
      </c>
      <c r="E1262">
        <f>IF($L1262="","",INDEX(Расчет!$D$2:$D$3001,$L1262))</f>
        <v/>
      </c>
      <c r="F1262">
        <f>IF($L1262="","",INDEX(Расчет!$E$2:$E$3001,$L1262))</f>
        <v/>
      </c>
      <c r="G1262">
        <f>IF($L1262="","",IFERROR(--LEFT(INDEX(Расчет!$C$2:$C$3001,$L1262),FIND("(",INDEX(Расчет!$C$2:$C$3001,$L1262))-1),IFERROR(--LEFT(INDEX(Расчет!$C$2:$C$3001,$L1262),1),"")))</f>
        <v/>
      </c>
      <c r="H1262">
        <f>IF($L1262="","",SUMIFS(Расчет!$G$2:$G$3001,Расчет!$I$2:$I$3001,$K1262,Расчет!$H$2:$H$3001,1))</f>
        <v/>
      </c>
      <c r="I1262">
        <f>IF($L1262="","",SUMIFS(Расчет!$G$2:$G$3001,Расчет!$I$2:$I$3001,$K1262,Расчет!$H$2:$H$3001,2))</f>
        <v/>
      </c>
      <c r="J1262">
        <f>IF($L1262="","",SUMIFS(Расчет!$G$2:$G$3001,Расчет!$I$2:$I$3001,$K1262,Расчет!$H$2:$H$3001,3))</f>
        <v/>
      </c>
      <c r="K1262">
        <f>IF($L1262="","",INDEX(Расчет!$I$2:$I$3001,$L1262))</f>
        <v/>
      </c>
      <c r="L1262">
        <f>IFERROR(MATCH(ROW()-1,Расчет!$J$2:$J$3001,0),"")</f>
        <v/>
      </c>
    </row>
    <row r="1263">
      <c r="A1263">
        <f>IF($L1263="","",B1263&amp;"."&amp;C1263&amp;"-"&amp;D1263&amp;"-"&amp;H1263&amp;"."&amp;I1263&amp;"."&amp;J1263)</f>
        <v/>
      </c>
      <c r="B1263">
        <f>IF($L1263="","",INDEX(Расчет!$A$2:$A$3001,$L1263))</f>
        <v/>
      </c>
      <c r="C1263">
        <f>IF($L1263="","",INDEX(Расчет!$B$2:$B$3001,$L1263))</f>
        <v/>
      </c>
      <c r="D1263">
        <f>IF($L1263="","",IF(ISNUMBER(FIND("(",INDEX(Расчет!$C$2:$C$3001,$L1263))),SUBSTITUTE(MID(INDEX(Расчет!$C$2:$C$3001,$L1263),FIND("(",INDEX(Расчет!$C$2:$C$3001,$L1263))+1,99),")",""),INDEX(Расчет!$C$2:$C$3001,$L1263)))</f>
        <v/>
      </c>
      <c r="E1263">
        <f>IF($L1263="","",INDEX(Расчет!$D$2:$D$3001,$L1263))</f>
        <v/>
      </c>
      <c r="F1263">
        <f>IF($L1263="","",INDEX(Расчет!$E$2:$E$3001,$L1263))</f>
        <v/>
      </c>
      <c r="G1263">
        <f>IF($L1263="","",IFERROR(--LEFT(INDEX(Расчет!$C$2:$C$3001,$L1263),FIND("(",INDEX(Расчет!$C$2:$C$3001,$L1263))-1),IFERROR(--LEFT(INDEX(Расчет!$C$2:$C$3001,$L1263),1),"")))</f>
        <v/>
      </c>
      <c r="H1263">
        <f>IF($L1263="","",SUMIFS(Расчет!$G$2:$G$3001,Расчет!$I$2:$I$3001,$K1263,Расчет!$H$2:$H$3001,1))</f>
        <v/>
      </c>
      <c r="I1263">
        <f>IF($L1263="","",SUMIFS(Расчет!$G$2:$G$3001,Расчет!$I$2:$I$3001,$K1263,Расчет!$H$2:$H$3001,2))</f>
        <v/>
      </c>
      <c r="J1263">
        <f>IF($L1263="","",SUMIFS(Расчет!$G$2:$G$3001,Расчет!$I$2:$I$3001,$K1263,Расчет!$H$2:$H$3001,3))</f>
        <v/>
      </c>
      <c r="K1263">
        <f>IF($L1263="","",INDEX(Расчет!$I$2:$I$3001,$L1263))</f>
        <v/>
      </c>
      <c r="L1263">
        <f>IFERROR(MATCH(ROW()-1,Расчет!$J$2:$J$3001,0),"")</f>
        <v/>
      </c>
    </row>
    <row r="1264">
      <c r="A1264">
        <f>IF($L1264="","",B1264&amp;"."&amp;C1264&amp;"-"&amp;D1264&amp;"-"&amp;H1264&amp;"."&amp;I1264&amp;"."&amp;J1264)</f>
        <v/>
      </c>
      <c r="B1264">
        <f>IF($L1264="","",INDEX(Расчет!$A$2:$A$3001,$L1264))</f>
        <v/>
      </c>
      <c r="C1264">
        <f>IF($L1264="","",INDEX(Расчет!$B$2:$B$3001,$L1264))</f>
        <v/>
      </c>
      <c r="D1264">
        <f>IF($L1264="","",IF(ISNUMBER(FIND("(",INDEX(Расчет!$C$2:$C$3001,$L1264))),SUBSTITUTE(MID(INDEX(Расчет!$C$2:$C$3001,$L1264),FIND("(",INDEX(Расчет!$C$2:$C$3001,$L1264))+1,99),")",""),INDEX(Расчет!$C$2:$C$3001,$L1264)))</f>
        <v/>
      </c>
      <c r="E1264">
        <f>IF($L1264="","",INDEX(Расчет!$D$2:$D$3001,$L1264))</f>
        <v/>
      </c>
      <c r="F1264">
        <f>IF($L1264="","",INDEX(Расчет!$E$2:$E$3001,$L1264))</f>
        <v/>
      </c>
      <c r="G1264">
        <f>IF($L1264="","",IFERROR(--LEFT(INDEX(Расчет!$C$2:$C$3001,$L1264),FIND("(",INDEX(Расчет!$C$2:$C$3001,$L1264))-1),IFERROR(--LEFT(INDEX(Расчет!$C$2:$C$3001,$L1264),1),"")))</f>
        <v/>
      </c>
      <c r="H1264">
        <f>IF($L1264="","",SUMIFS(Расчет!$G$2:$G$3001,Расчет!$I$2:$I$3001,$K1264,Расчет!$H$2:$H$3001,1))</f>
        <v/>
      </c>
      <c r="I1264">
        <f>IF($L1264="","",SUMIFS(Расчет!$G$2:$G$3001,Расчет!$I$2:$I$3001,$K1264,Расчет!$H$2:$H$3001,2))</f>
        <v/>
      </c>
      <c r="J1264">
        <f>IF($L1264="","",SUMIFS(Расчет!$G$2:$G$3001,Расчет!$I$2:$I$3001,$K1264,Расчет!$H$2:$H$3001,3))</f>
        <v/>
      </c>
      <c r="K1264">
        <f>IF($L1264="","",INDEX(Расчет!$I$2:$I$3001,$L1264))</f>
        <v/>
      </c>
      <c r="L1264">
        <f>IFERROR(MATCH(ROW()-1,Расчет!$J$2:$J$3001,0),"")</f>
        <v/>
      </c>
    </row>
    <row r="1265">
      <c r="A1265">
        <f>IF($L1265="","",B1265&amp;"."&amp;C1265&amp;"-"&amp;D1265&amp;"-"&amp;H1265&amp;"."&amp;I1265&amp;"."&amp;J1265)</f>
        <v/>
      </c>
      <c r="B1265">
        <f>IF($L1265="","",INDEX(Расчет!$A$2:$A$3001,$L1265))</f>
        <v/>
      </c>
      <c r="C1265">
        <f>IF($L1265="","",INDEX(Расчет!$B$2:$B$3001,$L1265))</f>
        <v/>
      </c>
      <c r="D1265">
        <f>IF($L1265="","",IF(ISNUMBER(FIND("(",INDEX(Расчет!$C$2:$C$3001,$L1265))),SUBSTITUTE(MID(INDEX(Расчет!$C$2:$C$3001,$L1265),FIND("(",INDEX(Расчет!$C$2:$C$3001,$L1265))+1,99),")",""),INDEX(Расчет!$C$2:$C$3001,$L1265)))</f>
        <v/>
      </c>
      <c r="E1265">
        <f>IF($L1265="","",INDEX(Расчет!$D$2:$D$3001,$L1265))</f>
        <v/>
      </c>
      <c r="F1265">
        <f>IF($L1265="","",INDEX(Расчет!$E$2:$E$3001,$L1265))</f>
        <v/>
      </c>
      <c r="G1265">
        <f>IF($L1265="","",IFERROR(--LEFT(INDEX(Расчет!$C$2:$C$3001,$L1265),FIND("(",INDEX(Расчет!$C$2:$C$3001,$L1265))-1),IFERROR(--LEFT(INDEX(Расчет!$C$2:$C$3001,$L1265),1),"")))</f>
        <v/>
      </c>
      <c r="H1265">
        <f>IF($L1265="","",SUMIFS(Расчет!$G$2:$G$3001,Расчет!$I$2:$I$3001,$K1265,Расчет!$H$2:$H$3001,1))</f>
        <v/>
      </c>
      <c r="I1265">
        <f>IF($L1265="","",SUMIFS(Расчет!$G$2:$G$3001,Расчет!$I$2:$I$3001,$K1265,Расчет!$H$2:$H$3001,2))</f>
        <v/>
      </c>
      <c r="J1265">
        <f>IF($L1265="","",SUMIFS(Расчет!$G$2:$G$3001,Расчет!$I$2:$I$3001,$K1265,Расчет!$H$2:$H$3001,3))</f>
        <v/>
      </c>
      <c r="K1265">
        <f>IF($L1265="","",INDEX(Расчет!$I$2:$I$3001,$L1265))</f>
        <v/>
      </c>
      <c r="L1265">
        <f>IFERROR(MATCH(ROW()-1,Расчет!$J$2:$J$3001,0),"")</f>
        <v/>
      </c>
    </row>
    <row r="1266">
      <c r="A1266">
        <f>IF($L1266="","",B1266&amp;"."&amp;C1266&amp;"-"&amp;D1266&amp;"-"&amp;H1266&amp;"."&amp;I1266&amp;"."&amp;J1266)</f>
        <v/>
      </c>
      <c r="B1266">
        <f>IF($L1266="","",INDEX(Расчет!$A$2:$A$3001,$L1266))</f>
        <v/>
      </c>
      <c r="C1266">
        <f>IF($L1266="","",INDEX(Расчет!$B$2:$B$3001,$L1266))</f>
        <v/>
      </c>
      <c r="D1266">
        <f>IF($L1266="","",IF(ISNUMBER(FIND("(",INDEX(Расчет!$C$2:$C$3001,$L1266))),SUBSTITUTE(MID(INDEX(Расчет!$C$2:$C$3001,$L1266),FIND("(",INDEX(Расчет!$C$2:$C$3001,$L1266))+1,99),")",""),INDEX(Расчет!$C$2:$C$3001,$L1266)))</f>
        <v/>
      </c>
      <c r="E1266">
        <f>IF($L1266="","",INDEX(Расчет!$D$2:$D$3001,$L1266))</f>
        <v/>
      </c>
      <c r="F1266">
        <f>IF($L1266="","",INDEX(Расчет!$E$2:$E$3001,$L1266))</f>
        <v/>
      </c>
      <c r="G1266">
        <f>IF($L1266="","",IFERROR(--LEFT(INDEX(Расчет!$C$2:$C$3001,$L1266),FIND("(",INDEX(Расчет!$C$2:$C$3001,$L1266))-1),IFERROR(--LEFT(INDEX(Расчет!$C$2:$C$3001,$L1266),1),"")))</f>
        <v/>
      </c>
      <c r="H1266">
        <f>IF($L1266="","",SUMIFS(Расчет!$G$2:$G$3001,Расчет!$I$2:$I$3001,$K1266,Расчет!$H$2:$H$3001,1))</f>
        <v/>
      </c>
      <c r="I1266">
        <f>IF($L1266="","",SUMIFS(Расчет!$G$2:$G$3001,Расчет!$I$2:$I$3001,$K1266,Расчет!$H$2:$H$3001,2))</f>
        <v/>
      </c>
      <c r="J1266">
        <f>IF($L1266="","",SUMIFS(Расчет!$G$2:$G$3001,Расчет!$I$2:$I$3001,$K1266,Расчет!$H$2:$H$3001,3))</f>
        <v/>
      </c>
      <c r="K1266">
        <f>IF($L1266="","",INDEX(Расчет!$I$2:$I$3001,$L1266))</f>
        <v/>
      </c>
      <c r="L1266">
        <f>IFERROR(MATCH(ROW()-1,Расчет!$J$2:$J$3001,0),"")</f>
        <v/>
      </c>
    </row>
    <row r="1267">
      <c r="A1267">
        <f>IF($L1267="","",B1267&amp;"."&amp;C1267&amp;"-"&amp;D1267&amp;"-"&amp;H1267&amp;"."&amp;I1267&amp;"."&amp;J1267)</f>
        <v/>
      </c>
      <c r="B1267">
        <f>IF($L1267="","",INDEX(Расчет!$A$2:$A$3001,$L1267))</f>
        <v/>
      </c>
      <c r="C1267">
        <f>IF($L1267="","",INDEX(Расчет!$B$2:$B$3001,$L1267))</f>
        <v/>
      </c>
      <c r="D1267">
        <f>IF($L1267="","",IF(ISNUMBER(FIND("(",INDEX(Расчет!$C$2:$C$3001,$L1267))),SUBSTITUTE(MID(INDEX(Расчет!$C$2:$C$3001,$L1267),FIND("(",INDEX(Расчет!$C$2:$C$3001,$L1267))+1,99),")",""),INDEX(Расчет!$C$2:$C$3001,$L1267)))</f>
        <v/>
      </c>
      <c r="E1267">
        <f>IF($L1267="","",INDEX(Расчет!$D$2:$D$3001,$L1267))</f>
        <v/>
      </c>
      <c r="F1267">
        <f>IF($L1267="","",INDEX(Расчет!$E$2:$E$3001,$L1267))</f>
        <v/>
      </c>
      <c r="G1267">
        <f>IF($L1267="","",IFERROR(--LEFT(INDEX(Расчет!$C$2:$C$3001,$L1267),FIND("(",INDEX(Расчет!$C$2:$C$3001,$L1267))-1),IFERROR(--LEFT(INDEX(Расчет!$C$2:$C$3001,$L1267),1),"")))</f>
        <v/>
      </c>
      <c r="H1267">
        <f>IF($L1267="","",SUMIFS(Расчет!$G$2:$G$3001,Расчет!$I$2:$I$3001,$K1267,Расчет!$H$2:$H$3001,1))</f>
        <v/>
      </c>
      <c r="I1267">
        <f>IF($L1267="","",SUMIFS(Расчет!$G$2:$G$3001,Расчет!$I$2:$I$3001,$K1267,Расчет!$H$2:$H$3001,2))</f>
        <v/>
      </c>
      <c r="J1267">
        <f>IF($L1267="","",SUMIFS(Расчет!$G$2:$G$3001,Расчет!$I$2:$I$3001,$K1267,Расчет!$H$2:$H$3001,3))</f>
        <v/>
      </c>
      <c r="K1267">
        <f>IF($L1267="","",INDEX(Расчет!$I$2:$I$3001,$L1267))</f>
        <v/>
      </c>
      <c r="L1267">
        <f>IFERROR(MATCH(ROW()-1,Расчет!$J$2:$J$3001,0),"")</f>
        <v/>
      </c>
    </row>
    <row r="1268">
      <c r="A1268">
        <f>IF($L1268="","",B1268&amp;"."&amp;C1268&amp;"-"&amp;D1268&amp;"-"&amp;H1268&amp;"."&amp;I1268&amp;"."&amp;J1268)</f>
        <v/>
      </c>
      <c r="B1268">
        <f>IF($L1268="","",INDEX(Расчет!$A$2:$A$3001,$L1268))</f>
        <v/>
      </c>
      <c r="C1268">
        <f>IF($L1268="","",INDEX(Расчет!$B$2:$B$3001,$L1268))</f>
        <v/>
      </c>
      <c r="D1268">
        <f>IF($L1268="","",IF(ISNUMBER(FIND("(",INDEX(Расчет!$C$2:$C$3001,$L1268))),SUBSTITUTE(MID(INDEX(Расчет!$C$2:$C$3001,$L1268),FIND("(",INDEX(Расчет!$C$2:$C$3001,$L1268))+1,99),")",""),INDEX(Расчет!$C$2:$C$3001,$L1268)))</f>
        <v/>
      </c>
      <c r="E1268">
        <f>IF($L1268="","",INDEX(Расчет!$D$2:$D$3001,$L1268))</f>
        <v/>
      </c>
      <c r="F1268">
        <f>IF($L1268="","",INDEX(Расчет!$E$2:$E$3001,$L1268))</f>
        <v/>
      </c>
      <c r="G1268">
        <f>IF($L1268="","",IFERROR(--LEFT(INDEX(Расчет!$C$2:$C$3001,$L1268),FIND("(",INDEX(Расчет!$C$2:$C$3001,$L1268))-1),IFERROR(--LEFT(INDEX(Расчет!$C$2:$C$3001,$L1268),1),"")))</f>
        <v/>
      </c>
      <c r="H1268">
        <f>IF($L1268="","",SUMIFS(Расчет!$G$2:$G$3001,Расчет!$I$2:$I$3001,$K1268,Расчет!$H$2:$H$3001,1))</f>
        <v/>
      </c>
      <c r="I1268">
        <f>IF($L1268="","",SUMIFS(Расчет!$G$2:$G$3001,Расчет!$I$2:$I$3001,$K1268,Расчет!$H$2:$H$3001,2))</f>
        <v/>
      </c>
      <c r="J1268">
        <f>IF($L1268="","",SUMIFS(Расчет!$G$2:$G$3001,Расчет!$I$2:$I$3001,$K1268,Расчет!$H$2:$H$3001,3))</f>
        <v/>
      </c>
      <c r="K1268">
        <f>IF($L1268="","",INDEX(Расчет!$I$2:$I$3001,$L1268))</f>
        <v/>
      </c>
      <c r="L1268">
        <f>IFERROR(MATCH(ROW()-1,Расчет!$J$2:$J$3001,0),"")</f>
        <v/>
      </c>
    </row>
    <row r="1269">
      <c r="A1269">
        <f>IF($L1269="","",B1269&amp;"."&amp;C1269&amp;"-"&amp;D1269&amp;"-"&amp;H1269&amp;"."&amp;I1269&amp;"."&amp;J1269)</f>
        <v/>
      </c>
      <c r="B1269">
        <f>IF($L1269="","",INDEX(Расчет!$A$2:$A$3001,$L1269))</f>
        <v/>
      </c>
      <c r="C1269">
        <f>IF($L1269="","",INDEX(Расчет!$B$2:$B$3001,$L1269))</f>
        <v/>
      </c>
      <c r="D1269">
        <f>IF($L1269="","",IF(ISNUMBER(FIND("(",INDEX(Расчет!$C$2:$C$3001,$L1269))),SUBSTITUTE(MID(INDEX(Расчет!$C$2:$C$3001,$L1269),FIND("(",INDEX(Расчет!$C$2:$C$3001,$L1269))+1,99),")",""),INDEX(Расчет!$C$2:$C$3001,$L1269)))</f>
        <v/>
      </c>
      <c r="E1269">
        <f>IF($L1269="","",INDEX(Расчет!$D$2:$D$3001,$L1269))</f>
        <v/>
      </c>
      <c r="F1269">
        <f>IF($L1269="","",INDEX(Расчет!$E$2:$E$3001,$L1269))</f>
        <v/>
      </c>
      <c r="G1269">
        <f>IF($L1269="","",IFERROR(--LEFT(INDEX(Расчет!$C$2:$C$3001,$L1269),FIND("(",INDEX(Расчет!$C$2:$C$3001,$L1269))-1),IFERROR(--LEFT(INDEX(Расчет!$C$2:$C$3001,$L1269),1),"")))</f>
        <v/>
      </c>
      <c r="H1269">
        <f>IF($L1269="","",SUMIFS(Расчет!$G$2:$G$3001,Расчет!$I$2:$I$3001,$K1269,Расчет!$H$2:$H$3001,1))</f>
        <v/>
      </c>
      <c r="I1269">
        <f>IF($L1269="","",SUMIFS(Расчет!$G$2:$G$3001,Расчет!$I$2:$I$3001,$K1269,Расчет!$H$2:$H$3001,2))</f>
        <v/>
      </c>
      <c r="J1269">
        <f>IF($L1269="","",SUMIFS(Расчет!$G$2:$G$3001,Расчет!$I$2:$I$3001,$K1269,Расчет!$H$2:$H$3001,3))</f>
        <v/>
      </c>
      <c r="K1269">
        <f>IF($L1269="","",INDEX(Расчет!$I$2:$I$3001,$L1269))</f>
        <v/>
      </c>
      <c r="L1269">
        <f>IFERROR(MATCH(ROW()-1,Расчет!$J$2:$J$3001,0),"")</f>
        <v/>
      </c>
    </row>
    <row r="1270">
      <c r="A1270">
        <f>IF($L1270="","",B1270&amp;"."&amp;C1270&amp;"-"&amp;D1270&amp;"-"&amp;H1270&amp;"."&amp;I1270&amp;"."&amp;J1270)</f>
        <v/>
      </c>
      <c r="B1270">
        <f>IF($L1270="","",INDEX(Расчет!$A$2:$A$3001,$L1270))</f>
        <v/>
      </c>
      <c r="C1270">
        <f>IF($L1270="","",INDEX(Расчет!$B$2:$B$3001,$L1270))</f>
        <v/>
      </c>
      <c r="D1270">
        <f>IF($L1270="","",IF(ISNUMBER(FIND("(",INDEX(Расчет!$C$2:$C$3001,$L1270))),SUBSTITUTE(MID(INDEX(Расчет!$C$2:$C$3001,$L1270),FIND("(",INDEX(Расчет!$C$2:$C$3001,$L1270))+1,99),")",""),INDEX(Расчет!$C$2:$C$3001,$L1270)))</f>
        <v/>
      </c>
      <c r="E1270">
        <f>IF($L1270="","",INDEX(Расчет!$D$2:$D$3001,$L1270))</f>
        <v/>
      </c>
      <c r="F1270">
        <f>IF($L1270="","",INDEX(Расчет!$E$2:$E$3001,$L1270))</f>
        <v/>
      </c>
      <c r="G1270">
        <f>IF($L1270="","",IFERROR(--LEFT(INDEX(Расчет!$C$2:$C$3001,$L1270),FIND("(",INDEX(Расчет!$C$2:$C$3001,$L1270))-1),IFERROR(--LEFT(INDEX(Расчет!$C$2:$C$3001,$L1270),1),"")))</f>
        <v/>
      </c>
      <c r="H1270">
        <f>IF($L1270="","",SUMIFS(Расчет!$G$2:$G$3001,Расчет!$I$2:$I$3001,$K1270,Расчет!$H$2:$H$3001,1))</f>
        <v/>
      </c>
      <c r="I1270">
        <f>IF($L1270="","",SUMIFS(Расчет!$G$2:$G$3001,Расчет!$I$2:$I$3001,$K1270,Расчет!$H$2:$H$3001,2))</f>
        <v/>
      </c>
      <c r="J1270">
        <f>IF($L1270="","",SUMIFS(Расчет!$G$2:$G$3001,Расчет!$I$2:$I$3001,$K1270,Расчет!$H$2:$H$3001,3))</f>
        <v/>
      </c>
      <c r="K1270">
        <f>IF($L1270="","",INDEX(Расчет!$I$2:$I$3001,$L1270))</f>
        <v/>
      </c>
      <c r="L1270">
        <f>IFERROR(MATCH(ROW()-1,Расчет!$J$2:$J$3001,0),"")</f>
        <v/>
      </c>
    </row>
    <row r="1271">
      <c r="A1271">
        <f>IF($L1271="","",B1271&amp;"."&amp;C1271&amp;"-"&amp;D1271&amp;"-"&amp;H1271&amp;"."&amp;I1271&amp;"."&amp;J1271)</f>
        <v/>
      </c>
      <c r="B1271">
        <f>IF($L1271="","",INDEX(Расчет!$A$2:$A$3001,$L1271))</f>
        <v/>
      </c>
      <c r="C1271">
        <f>IF($L1271="","",INDEX(Расчет!$B$2:$B$3001,$L1271))</f>
        <v/>
      </c>
      <c r="D1271">
        <f>IF($L1271="","",IF(ISNUMBER(FIND("(",INDEX(Расчет!$C$2:$C$3001,$L1271))),SUBSTITUTE(MID(INDEX(Расчет!$C$2:$C$3001,$L1271),FIND("(",INDEX(Расчет!$C$2:$C$3001,$L1271))+1,99),")",""),INDEX(Расчет!$C$2:$C$3001,$L1271)))</f>
        <v/>
      </c>
      <c r="E1271">
        <f>IF($L1271="","",INDEX(Расчет!$D$2:$D$3001,$L1271))</f>
        <v/>
      </c>
      <c r="F1271">
        <f>IF($L1271="","",INDEX(Расчет!$E$2:$E$3001,$L1271))</f>
        <v/>
      </c>
      <c r="G1271">
        <f>IF($L1271="","",IFERROR(--LEFT(INDEX(Расчет!$C$2:$C$3001,$L1271),FIND("(",INDEX(Расчет!$C$2:$C$3001,$L1271))-1),IFERROR(--LEFT(INDEX(Расчет!$C$2:$C$3001,$L1271),1),"")))</f>
        <v/>
      </c>
      <c r="H1271">
        <f>IF($L1271="","",SUMIFS(Расчет!$G$2:$G$3001,Расчет!$I$2:$I$3001,$K1271,Расчет!$H$2:$H$3001,1))</f>
        <v/>
      </c>
      <c r="I1271">
        <f>IF($L1271="","",SUMIFS(Расчет!$G$2:$G$3001,Расчет!$I$2:$I$3001,$K1271,Расчет!$H$2:$H$3001,2))</f>
        <v/>
      </c>
      <c r="J1271">
        <f>IF($L1271="","",SUMIFS(Расчет!$G$2:$G$3001,Расчет!$I$2:$I$3001,$K1271,Расчет!$H$2:$H$3001,3))</f>
        <v/>
      </c>
      <c r="K1271">
        <f>IF($L1271="","",INDEX(Расчет!$I$2:$I$3001,$L1271))</f>
        <v/>
      </c>
      <c r="L1271">
        <f>IFERROR(MATCH(ROW()-1,Расчет!$J$2:$J$3001,0),"")</f>
        <v/>
      </c>
    </row>
    <row r="1272">
      <c r="A1272">
        <f>IF($L1272="","",B1272&amp;"."&amp;C1272&amp;"-"&amp;D1272&amp;"-"&amp;H1272&amp;"."&amp;I1272&amp;"."&amp;J1272)</f>
        <v/>
      </c>
      <c r="B1272">
        <f>IF($L1272="","",INDEX(Расчет!$A$2:$A$3001,$L1272))</f>
        <v/>
      </c>
      <c r="C1272">
        <f>IF($L1272="","",INDEX(Расчет!$B$2:$B$3001,$L1272))</f>
        <v/>
      </c>
      <c r="D1272">
        <f>IF($L1272="","",IF(ISNUMBER(FIND("(",INDEX(Расчет!$C$2:$C$3001,$L1272))),SUBSTITUTE(MID(INDEX(Расчет!$C$2:$C$3001,$L1272),FIND("(",INDEX(Расчет!$C$2:$C$3001,$L1272))+1,99),")",""),INDEX(Расчет!$C$2:$C$3001,$L1272)))</f>
        <v/>
      </c>
      <c r="E1272">
        <f>IF($L1272="","",INDEX(Расчет!$D$2:$D$3001,$L1272))</f>
        <v/>
      </c>
      <c r="F1272">
        <f>IF($L1272="","",INDEX(Расчет!$E$2:$E$3001,$L1272))</f>
        <v/>
      </c>
      <c r="G1272">
        <f>IF($L1272="","",IFERROR(--LEFT(INDEX(Расчет!$C$2:$C$3001,$L1272),FIND("(",INDEX(Расчет!$C$2:$C$3001,$L1272))-1),IFERROR(--LEFT(INDEX(Расчет!$C$2:$C$3001,$L1272),1),"")))</f>
        <v/>
      </c>
      <c r="H1272">
        <f>IF($L1272="","",SUMIFS(Расчет!$G$2:$G$3001,Расчет!$I$2:$I$3001,$K1272,Расчет!$H$2:$H$3001,1))</f>
        <v/>
      </c>
      <c r="I1272">
        <f>IF($L1272="","",SUMIFS(Расчет!$G$2:$G$3001,Расчет!$I$2:$I$3001,$K1272,Расчет!$H$2:$H$3001,2))</f>
        <v/>
      </c>
      <c r="J1272">
        <f>IF($L1272="","",SUMIFS(Расчет!$G$2:$G$3001,Расчет!$I$2:$I$3001,$K1272,Расчет!$H$2:$H$3001,3))</f>
        <v/>
      </c>
      <c r="K1272">
        <f>IF($L1272="","",INDEX(Расчет!$I$2:$I$3001,$L1272))</f>
        <v/>
      </c>
      <c r="L1272">
        <f>IFERROR(MATCH(ROW()-1,Расчет!$J$2:$J$3001,0),"")</f>
        <v/>
      </c>
    </row>
    <row r="1273">
      <c r="A1273">
        <f>IF($L1273="","",B1273&amp;"."&amp;C1273&amp;"-"&amp;D1273&amp;"-"&amp;H1273&amp;"."&amp;I1273&amp;"."&amp;J1273)</f>
        <v/>
      </c>
      <c r="B1273">
        <f>IF($L1273="","",INDEX(Расчет!$A$2:$A$3001,$L1273))</f>
        <v/>
      </c>
      <c r="C1273">
        <f>IF($L1273="","",INDEX(Расчет!$B$2:$B$3001,$L1273))</f>
        <v/>
      </c>
      <c r="D1273">
        <f>IF($L1273="","",IF(ISNUMBER(FIND("(",INDEX(Расчет!$C$2:$C$3001,$L1273))),SUBSTITUTE(MID(INDEX(Расчет!$C$2:$C$3001,$L1273),FIND("(",INDEX(Расчет!$C$2:$C$3001,$L1273))+1,99),")",""),INDEX(Расчет!$C$2:$C$3001,$L1273)))</f>
        <v/>
      </c>
      <c r="E1273">
        <f>IF($L1273="","",INDEX(Расчет!$D$2:$D$3001,$L1273))</f>
        <v/>
      </c>
      <c r="F1273">
        <f>IF($L1273="","",INDEX(Расчет!$E$2:$E$3001,$L1273))</f>
        <v/>
      </c>
      <c r="G1273">
        <f>IF($L1273="","",IFERROR(--LEFT(INDEX(Расчет!$C$2:$C$3001,$L1273),FIND("(",INDEX(Расчет!$C$2:$C$3001,$L1273))-1),IFERROR(--LEFT(INDEX(Расчет!$C$2:$C$3001,$L1273),1),"")))</f>
        <v/>
      </c>
      <c r="H1273">
        <f>IF($L1273="","",SUMIFS(Расчет!$G$2:$G$3001,Расчет!$I$2:$I$3001,$K1273,Расчет!$H$2:$H$3001,1))</f>
        <v/>
      </c>
      <c r="I1273">
        <f>IF($L1273="","",SUMIFS(Расчет!$G$2:$G$3001,Расчет!$I$2:$I$3001,$K1273,Расчет!$H$2:$H$3001,2))</f>
        <v/>
      </c>
      <c r="J1273">
        <f>IF($L1273="","",SUMIFS(Расчет!$G$2:$G$3001,Расчет!$I$2:$I$3001,$K1273,Расчет!$H$2:$H$3001,3))</f>
        <v/>
      </c>
      <c r="K1273">
        <f>IF($L1273="","",INDEX(Расчет!$I$2:$I$3001,$L1273))</f>
        <v/>
      </c>
      <c r="L1273">
        <f>IFERROR(MATCH(ROW()-1,Расчет!$J$2:$J$3001,0),"")</f>
        <v/>
      </c>
    </row>
    <row r="1274">
      <c r="A1274">
        <f>IF($L1274="","",B1274&amp;"."&amp;C1274&amp;"-"&amp;D1274&amp;"-"&amp;H1274&amp;"."&amp;I1274&amp;"."&amp;J1274)</f>
        <v/>
      </c>
      <c r="B1274">
        <f>IF($L1274="","",INDEX(Расчет!$A$2:$A$3001,$L1274))</f>
        <v/>
      </c>
      <c r="C1274">
        <f>IF($L1274="","",INDEX(Расчет!$B$2:$B$3001,$L1274))</f>
        <v/>
      </c>
      <c r="D1274">
        <f>IF($L1274="","",IF(ISNUMBER(FIND("(",INDEX(Расчет!$C$2:$C$3001,$L1274))),SUBSTITUTE(MID(INDEX(Расчет!$C$2:$C$3001,$L1274),FIND("(",INDEX(Расчет!$C$2:$C$3001,$L1274))+1,99),")",""),INDEX(Расчет!$C$2:$C$3001,$L1274)))</f>
        <v/>
      </c>
      <c r="E1274">
        <f>IF($L1274="","",INDEX(Расчет!$D$2:$D$3001,$L1274))</f>
        <v/>
      </c>
      <c r="F1274">
        <f>IF($L1274="","",INDEX(Расчет!$E$2:$E$3001,$L1274))</f>
        <v/>
      </c>
      <c r="G1274">
        <f>IF($L1274="","",IFERROR(--LEFT(INDEX(Расчет!$C$2:$C$3001,$L1274),FIND("(",INDEX(Расчет!$C$2:$C$3001,$L1274))-1),IFERROR(--LEFT(INDEX(Расчет!$C$2:$C$3001,$L1274),1),"")))</f>
        <v/>
      </c>
      <c r="H1274">
        <f>IF($L1274="","",SUMIFS(Расчет!$G$2:$G$3001,Расчет!$I$2:$I$3001,$K1274,Расчет!$H$2:$H$3001,1))</f>
        <v/>
      </c>
      <c r="I1274">
        <f>IF($L1274="","",SUMIFS(Расчет!$G$2:$G$3001,Расчет!$I$2:$I$3001,$K1274,Расчет!$H$2:$H$3001,2))</f>
        <v/>
      </c>
      <c r="J1274">
        <f>IF($L1274="","",SUMIFS(Расчет!$G$2:$G$3001,Расчет!$I$2:$I$3001,$K1274,Расчет!$H$2:$H$3001,3))</f>
        <v/>
      </c>
      <c r="K1274">
        <f>IF($L1274="","",INDEX(Расчет!$I$2:$I$3001,$L1274))</f>
        <v/>
      </c>
      <c r="L1274">
        <f>IFERROR(MATCH(ROW()-1,Расчет!$J$2:$J$3001,0),"")</f>
        <v/>
      </c>
    </row>
    <row r="1275">
      <c r="A1275">
        <f>IF($L1275="","",B1275&amp;"."&amp;C1275&amp;"-"&amp;D1275&amp;"-"&amp;H1275&amp;"."&amp;I1275&amp;"."&amp;J1275)</f>
        <v/>
      </c>
      <c r="B1275">
        <f>IF($L1275="","",INDEX(Расчет!$A$2:$A$3001,$L1275))</f>
        <v/>
      </c>
      <c r="C1275">
        <f>IF($L1275="","",INDEX(Расчет!$B$2:$B$3001,$L1275))</f>
        <v/>
      </c>
      <c r="D1275">
        <f>IF($L1275="","",IF(ISNUMBER(FIND("(",INDEX(Расчет!$C$2:$C$3001,$L1275))),SUBSTITUTE(MID(INDEX(Расчет!$C$2:$C$3001,$L1275),FIND("(",INDEX(Расчет!$C$2:$C$3001,$L1275))+1,99),")",""),INDEX(Расчет!$C$2:$C$3001,$L1275)))</f>
        <v/>
      </c>
      <c r="E1275">
        <f>IF($L1275="","",INDEX(Расчет!$D$2:$D$3001,$L1275))</f>
        <v/>
      </c>
      <c r="F1275">
        <f>IF($L1275="","",INDEX(Расчет!$E$2:$E$3001,$L1275))</f>
        <v/>
      </c>
      <c r="G1275">
        <f>IF($L1275="","",IFERROR(--LEFT(INDEX(Расчет!$C$2:$C$3001,$L1275),FIND("(",INDEX(Расчет!$C$2:$C$3001,$L1275))-1),IFERROR(--LEFT(INDEX(Расчет!$C$2:$C$3001,$L1275),1),"")))</f>
        <v/>
      </c>
      <c r="H1275">
        <f>IF($L1275="","",SUMIFS(Расчет!$G$2:$G$3001,Расчет!$I$2:$I$3001,$K1275,Расчет!$H$2:$H$3001,1))</f>
        <v/>
      </c>
      <c r="I1275">
        <f>IF($L1275="","",SUMIFS(Расчет!$G$2:$G$3001,Расчет!$I$2:$I$3001,$K1275,Расчет!$H$2:$H$3001,2))</f>
        <v/>
      </c>
      <c r="J1275">
        <f>IF($L1275="","",SUMIFS(Расчет!$G$2:$G$3001,Расчет!$I$2:$I$3001,$K1275,Расчет!$H$2:$H$3001,3))</f>
        <v/>
      </c>
      <c r="K1275">
        <f>IF($L1275="","",INDEX(Расчет!$I$2:$I$3001,$L1275))</f>
        <v/>
      </c>
      <c r="L1275">
        <f>IFERROR(MATCH(ROW()-1,Расчет!$J$2:$J$3001,0),"")</f>
        <v/>
      </c>
    </row>
    <row r="1276">
      <c r="A1276">
        <f>IF($L1276="","",B1276&amp;"."&amp;C1276&amp;"-"&amp;D1276&amp;"-"&amp;H1276&amp;"."&amp;I1276&amp;"."&amp;J1276)</f>
        <v/>
      </c>
      <c r="B1276">
        <f>IF($L1276="","",INDEX(Расчет!$A$2:$A$3001,$L1276))</f>
        <v/>
      </c>
      <c r="C1276">
        <f>IF($L1276="","",INDEX(Расчет!$B$2:$B$3001,$L1276))</f>
        <v/>
      </c>
      <c r="D1276">
        <f>IF($L1276="","",IF(ISNUMBER(FIND("(",INDEX(Расчет!$C$2:$C$3001,$L1276))),SUBSTITUTE(MID(INDEX(Расчет!$C$2:$C$3001,$L1276),FIND("(",INDEX(Расчет!$C$2:$C$3001,$L1276))+1,99),")",""),INDEX(Расчет!$C$2:$C$3001,$L1276)))</f>
        <v/>
      </c>
      <c r="E1276">
        <f>IF($L1276="","",INDEX(Расчет!$D$2:$D$3001,$L1276))</f>
        <v/>
      </c>
      <c r="F1276">
        <f>IF($L1276="","",INDEX(Расчет!$E$2:$E$3001,$L1276))</f>
        <v/>
      </c>
      <c r="G1276">
        <f>IF($L1276="","",IFERROR(--LEFT(INDEX(Расчет!$C$2:$C$3001,$L1276),FIND("(",INDEX(Расчет!$C$2:$C$3001,$L1276))-1),IFERROR(--LEFT(INDEX(Расчет!$C$2:$C$3001,$L1276),1),"")))</f>
        <v/>
      </c>
      <c r="H1276">
        <f>IF($L1276="","",SUMIFS(Расчет!$G$2:$G$3001,Расчет!$I$2:$I$3001,$K1276,Расчет!$H$2:$H$3001,1))</f>
        <v/>
      </c>
      <c r="I1276">
        <f>IF($L1276="","",SUMIFS(Расчет!$G$2:$G$3001,Расчет!$I$2:$I$3001,$K1276,Расчет!$H$2:$H$3001,2))</f>
        <v/>
      </c>
      <c r="J1276">
        <f>IF($L1276="","",SUMIFS(Расчет!$G$2:$G$3001,Расчет!$I$2:$I$3001,$K1276,Расчет!$H$2:$H$3001,3))</f>
        <v/>
      </c>
      <c r="K1276">
        <f>IF($L1276="","",INDEX(Расчет!$I$2:$I$3001,$L1276))</f>
        <v/>
      </c>
      <c r="L1276">
        <f>IFERROR(MATCH(ROW()-1,Расчет!$J$2:$J$3001,0),"")</f>
        <v/>
      </c>
    </row>
    <row r="1277">
      <c r="A1277">
        <f>IF($L1277="","",B1277&amp;"."&amp;C1277&amp;"-"&amp;D1277&amp;"-"&amp;H1277&amp;"."&amp;I1277&amp;"."&amp;J1277)</f>
        <v/>
      </c>
      <c r="B1277">
        <f>IF($L1277="","",INDEX(Расчет!$A$2:$A$3001,$L1277))</f>
        <v/>
      </c>
      <c r="C1277">
        <f>IF($L1277="","",INDEX(Расчет!$B$2:$B$3001,$L1277))</f>
        <v/>
      </c>
      <c r="D1277">
        <f>IF($L1277="","",IF(ISNUMBER(FIND("(",INDEX(Расчет!$C$2:$C$3001,$L1277))),SUBSTITUTE(MID(INDEX(Расчет!$C$2:$C$3001,$L1277),FIND("(",INDEX(Расчет!$C$2:$C$3001,$L1277))+1,99),")",""),INDEX(Расчет!$C$2:$C$3001,$L1277)))</f>
        <v/>
      </c>
      <c r="E1277">
        <f>IF($L1277="","",INDEX(Расчет!$D$2:$D$3001,$L1277))</f>
        <v/>
      </c>
      <c r="F1277">
        <f>IF($L1277="","",INDEX(Расчет!$E$2:$E$3001,$L1277))</f>
        <v/>
      </c>
      <c r="G1277">
        <f>IF($L1277="","",IFERROR(--LEFT(INDEX(Расчет!$C$2:$C$3001,$L1277),FIND("(",INDEX(Расчет!$C$2:$C$3001,$L1277))-1),IFERROR(--LEFT(INDEX(Расчет!$C$2:$C$3001,$L1277),1),"")))</f>
        <v/>
      </c>
      <c r="H1277">
        <f>IF($L1277="","",SUMIFS(Расчет!$G$2:$G$3001,Расчет!$I$2:$I$3001,$K1277,Расчет!$H$2:$H$3001,1))</f>
        <v/>
      </c>
      <c r="I1277">
        <f>IF($L1277="","",SUMIFS(Расчет!$G$2:$G$3001,Расчет!$I$2:$I$3001,$K1277,Расчет!$H$2:$H$3001,2))</f>
        <v/>
      </c>
      <c r="J1277">
        <f>IF($L1277="","",SUMIFS(Расчет!$G$2:$G$3001,Расчет!$I$2:$I$3001,$K1277,Расчет!$H$2:$H$3001,3))</f>
        <v/>
      </c>
      <c r="K1277">
        <f>IF($L1277="","",INDEX(Расчет!$I$2:$I$3001,$L1277))</f>
        <v/>
      </c>
      <c r="L1277">
        <f>IFERROR(MATCH(ROW()-1,Расчет!$J$2:$J$3001,0),"")</f>
        <v/>
      </c>
    </row>
    <row r="1278">
      <c r="A1278">
        <f>IF($L1278="","",B1278&amp;"."&amp;C1278&amp;"-"&amp;D1278&amp;"-"&amp;H1278&amp;"."&amp;I1278&amp;"."&amp;J1278)</f>
        <v/>
      </c>
      <c r="B1278">
        <f>IF($L1278="","",INDEX(Расчет!$A$2:$A$3001,$L1278))</f>
        <v/>
      </c>
      <c r="C1278">
        <f>IF($L1278="","",INDEX(Расчет!$B$2:$B$3001,$L1278))</f>
        <v/>
      </c>
      <c r="D1278">
        <f>IF($L1278="","",IF(ISNUMBER(FIND("(",INDEX(Расчет!$C$2:$C$3001,$L1278))),SUBSTITUTE(MID(INDEX(Расчет!$C$2:$C$3001,$L1278),FIND("(",INDEX(Расчет!$C$2:$C$3001,$L1278))+1,99),")",""),INDEX(Расчет!$C$2:$C$3001,$L1278)))</f>
        <v/>
      </c>
      <c r="E1278">
        <f>IF($L1278="","",INDEX(Расчет!$D$2:$D$3001,$L1278))</f>
        <v/>
      </c>
      <c r="F1278">
        <f>IF($L1278="","",INDEX(Расчет!$E$2:$E$3001,$L1278))</f>
        <v/>
      </c>
      <c r="G1278">
        <f>IF($L1278="","",IFERROR(--LEFT(INDEX(Расчет!$C$2:$C$3001,$L1278),FIND("(",INDEX(Расчет!$C$2:$C$3001,$L1278))-1),IFERROR(--LEFT(INDEX(Расчет!$C$2:$C$3001,$L1278),1),"")))</f>
        <v/>
      </c>
      <c r="H1278">
        <f>IF($L1278="","",SUMIFS(Расчет!$G$2:$G$3001,Расчет!$I$2:$I$3001,$K1278,Расчет!$H$2:$H$3001,1))</f>
        <v/>
      </c>
      <c r="I1278">
        <f>IF($L1278="","",SUMIFS(Расчет!$G$2:$G$3001,Расчет!$I$2:$I$3001,$K1278,Расчет!$H$2:$H$3001,2))</f>
        <v/>
      </c>
      <c r="J1278">
        <f>IF($L1278="","",SUMIFS(Расчет!$G$2:$G$3001,Расчет!$I$2:$I$3001,$K1278,Расчет!$H$2:$H$3001,3))</f>
        <v/>
      </c>
      <c r="K1278">
        <f>IF($L1278="","",INDEX(Расчет!$I$2:$I$3001,$L1278))</f>
        <v/>
      </c>
      <c r="L1278">
        <f>IFERROR(MATCH(ROW()-1,Расчет!$J$2:$J$3001,0),"")</f>
        <v/>
      </c>
    </row>
    <row r="1279">
      <c r="A1279">
        <f>IF($L1279="","",B1279&amp;"."&amp;C1279&amp;"-"&amp;D1279&amp;"-"&amp;H1279&amp;"."&amp;I1279&amp;"."&amp;J1279)</f>
        <v/>
      </c>
      <c r="B1279">
        <f>IF($L1279="","",INDEX(Расчет!$A$2:$A$3001,$L1279))</f>
        <v/>
      </c>
      <c r="C1279">
        <f>IF($L1279="","",INDEX(Расчет!$B$2:$B$3001,$L1279))</f>
        <v/>
      </c>
      <c r="D1279">
        <f>IF($L1279="","",IF(ISNUMBER(FIND("(",INDEX(Расчет!$C$2:$C$3001,$L1279))),SUBSTITUTE(MID(INDEX(Расчет!$C$2:$C$3001,$L1279),FIND("(",INDEX(Расчет!$C$2:$C$3001,$L1279))+1,99),")",""),INDEX(Расчет!$C$2:$C$3001,$L1279)))</f>
        <v/>
      </c>
      <c r="E1279">
        <f>IF($L1279="","",INDEX(Расчет!$D$2:$D$3001,$L1279))</f>
        <v/>
      </c>
      <c r="F1279">
        <f>IF($L1279="","",INDEX(Расчет!$E$2:$E$3001,$L1279))</f>
        <v/>
      </c>
      <c r="G1279">
        <f>IF($L1279="","",IFERROR(--LEFT(INDEX(Расчет!$C$2:$C$3001,$L1279),FIND("(",INDEX(Расчет!$C$2:$C$3001,$L1279))-1),IFERROR(--LEFT(INDEX(Расчет!$C$2:$C$3001,$L1279),1),"")))</f>
        <v/>
      </c>
      <c r="H1279">
        <f>IF($L1279="","",SUMIFS(Расчет!$G$2:$G$3001,Расчет!$I$2:$I$3001,$K1279,Расчет!$H$2:$H$3001,1))</f>
        <v/>
      </c>
      <c r="I1279">
        <f>IF($L1279="","",SUMIFS(Расчет!$G$2:$G$3001,Расчет!$I$2:$I$3001,$K1279,Расчет!$H$2:$H$3001,2))</f>
        <v/>
      </c>
      <c r="J1279">
        <f>IF($L1279="","",SUMIFS(Расчет!$G$2:$G$3001,Расчет!$I$2:$I$3001,$K1279,Расчет!$H$2:$H$3001,3))</f>
        <v/>
      </c>
      <c r="K1279">
        <f>IF($L1279="","",INDEX(Расчет!$I$2:$I$3001,$L1279))</f>
        <v/>
      </c>
      <c r="L1279">
        <f>IFERROR(MATCH(ROW()-1,Расчет!$J$2:$J$3001,0),"")</f>
        <v/>
      </c>
    </row>
    <row r="1280">
      <c r="A1280">
        <f>IF($L1280="","",B1280&amp;"."&amp;C1280&amp;"-"&amp;D1280&amp;"-"&amp;H1280&amp;"."&amp;I1280&amp;"."&amp;J1280)</f>
        <v/>
      </c>
      <c r="B1280">
        <f>IF($L1280="","",INDEX(Расчет!$A$2:$A$3001,$L1280))</f>
        <v/>
      </c>
      <c r="C1280">
        <f>IF($L1280="","",INDEX(Расчет!$B$2:$B$3001,$L1280))</f>
        <v/>
      </c>
      <c r="D1280">
        <f>IF($L1280="","",IF(ISNUMBER(FIND("(",INDEX(Расчет!$C$2:$C$3001,$L1280))),SUBSTITUTE(MID(INDEX(Расчет!$C$2:$C$3001,$L1280),FIND("(",INDEX(Расчет!$C$2:$C$3001,$L1280))+1,99),")",""),INDEX(Расчет!$C$2:$C$3001,$L1280)))</f>
        <v/>
      </c>
      <c r="E1280">
        <f>IF($L1280="","",INDEX(Расчет!$D$2:$D$3001,$L1280))</f>
        <v/>
      </c>
      <c r="F1280">
        <f>IF($L1280="","",INDEX(Расчет!$E$2:$E$3001,$L1280))</f>
        <v/>
      </c>
      <c r="G1280">
        <f>IF($L1280="","",IFERROR(--LEFT(INDEX(Расчет!$C$2:$C$3001,$L1280),FIND("(",INDEX(Расчет!$C$2:$C$3001,$L1280))-1),IFERROR(--LEFT(INDEX(Расчет!$C$2:$C$3001,$L1280),1),"")))</f>
        <v/>
      </c>
      <c r="H1280">
        <f>IF($L1280="","",SUMIFS(Расчет!$G$2:$G$3001,Расчет!$I$2:$I$3001,$K1280,Расчет!$H$2:$H$3001,1))</f>
        <v/>
      </c>
      <c r="I1280">
        <f>IF($L1280="","",SUMIFS(Расчет!$G$2:$G$3001,Расчет!$I$2:$I$3001,$K1280,Расчет!$H$2:$H$3001,2))</f>
        <v/>
      </c>
      <c r="J1280">
        <f>IF($L1280="","",SUMIFS(Расчет!$G$2:$G$3001,Расчет!$I$2:$I$3001,$K1280,Расчет!$H$2:$H$3001,3))</f>
        <v/>
      </c>
      <c r="K1280">
        <f>IF($L1280="","",INDEX(Расчет!$I$2:$I$3001,$L1280))</f>
        <v/>
      </c>
      <c r="L1280">
        <f>IFERROR(MATCH(ROW()-1,Расчет!$J$2:$J$3001,0),"")</f>
        <v/>
      </c>
    </row>
    <row r="1281">
      <c r="A1281">
        <f>IF($L1281="","",B1281&amp;"."&amp;C1281&amp;"-"&amp;D1281&amp;"-"&amp;H1281&amp;"."&amp;I1281&amp;"."&amp;J1281)</f>
        <v/>
      </c>
      <c r="B1281">
        <f>IF($L1281="","",INDEX(Расчет!$A$2:$A$3001,$L1281))</f>
        <v/>
      </c>
      <c r="C1281">
        <f>IF($L1281="","",INDEX(Расчет!$B$2:$B$3001,$L1281))</f>
        <v/>
      </c>
      <c r="D1281">
        <f>IF($L1281="","",IF(ISNUMBER(FIND("(",INDEX(Расчет!$C$2:$C$3001,$L1281))),SUBSTITUTE(MID(INDEX(Расчет!$C$2:$C$3001,$L1281),FIND("(",INDEX(Расчет!$C$2:$C$3001,$L1281))+1,99),")",""),INDEX(Расчет!$C$2:$C$3001,$L1281)))</f>
        <v/>
      </c>
      <c r="E1281">
        <f>IF($L1281="","",INDEX(Расчет!$D$2:$D$3001,$L1281))</f>
        <v/>
      </c>
      <c r="F1281">
        <f>IF($L1281="","",INDEX(Расчет!$E$2:$E$3001,$L1281))</f>
        <v/>
      </c>
      <c r="G1281">
        <f>IF($L1281="","",IFERROR(--LEFT(INDEX(Расчет!$C$2:$C$3001,$L1281),FIND("(",INDEX(Расчет!$C$2:$C$3001,$L1281))-1),IFERROR(--LEFT(INDEX(Расчет!$C$2:$C$3001,$L1281),1),"")))</f>
        <v/>
      </c>
      <c r="H1281">
        <f>IF($L1281="","",SUMIFS(Расчет!$G$2:$G$3001,Расчет!$I$2:$I$3001,$K1281,Расчет!$H$2:$H$3001,1))</f>
        <v/>
      </c>
      <c r="I1281">
        <f>IF($L1281="","",SUMIFS(Расчет!$G$2:$G$3001,Расчет!$I$2:$I$3001,$K1281,Расчет!$H$2:$H$3001,2))</f>
        <v/>
      </c>
      <c r="J1281">
        <f>IF($L1281="","",SUMIFS(Расчет!$G$2:$G$3001,Расчет!$I$2:$I$3001,$K1281,Расчет!$H$2:$H$3001,3))</f>
        <v/>
      </c>
      <c r="K1281">
        <f>IF($L1281="","",INDEX(Расчет!$I$2:$I$3001,$L1281))</f>
        <v/>
      </c>
      <c r="L1281">
        <f>IFERROR(MATCH(ROW()-1,Расчет!$J$2:$J$3001,0),"")</f>
        <v/>
      </c>
    </row>
    <row r="1282">
      <c r="A1282">
        <f>IF($L1282="","",B1282&amp;"."&amp;C1282&amp;"-"&amp;D1282&amp;"-"&amp;H1282&amp;"."&amp;I1282&amp;"."&amp;J1282)</f>
        <v/>
      </c>
      <c r="B1282">
        <f>IF($L1282="","",INDEX(Расчет!$A$2:$A$3001,$L1282))</f>
        <v/>
      </c>
      <c r="C1282">
        <f>IF($L1282="","",INDEX(Расчет!$B$2:$B$3001,$L1282))</f>
        <v/>
      </c>
      <c r="D1282">
        <f>IF($L1282="","",IF(ISNUMBER(FIND("(",INDEX(Расчет!$C$2:$C$3001,$L1282))),SUBSTITUTE(MID(INDEX(Расчет!$C$2:$C$3001,$L1282),FIND("(",INDEX(Расчет!$C$2:$C$3001,$L1282))+1,99),")",""),INDEX(Расчет!$C$2:$C$3001,$L1282)))</f>
        <v/>
      </c>
      <c r="E1282">
        <f>IF($L1282="","",INDEX(Расчет!$D$2:$D$3001,$L1282))</f>
        <v/>
      </c>
      <c r="F1282">
        <f>IF($L1282="","",INDEX(Расчет!$E$2:$E$3001,$L1282))</f>
        <v/>
      </c>
      <c r="G1282">
        <f>IF($L1282="","",IFERROR(--LEFT(INDEX(Расчет!$C$2:$C$3001,$L1282),FIND("(",INDEX(Расчет!$C$2:$C$3001,$L1282))-1),IFERROR(--LEFT(INDEX(Расчет!$C$2:$C$3001,$L1282),1),"")))</f>
        <v/>
      </c>
      <c r="H1282">
        <f>IF($L1282="","",SUMIFS(Расчет!$G$2:$G$3001,Расчет!$I$2:$I$3001,$K1282,Расчет!$H$2:$H$3001,1))</f>
        <v/>
      </c>
      <c r="I1282">
        <f>IF($L1282="","",SUMIFS(Расчет!$G$2:$G$3001,Расчет!$I$2:$I$3001,$K1282,Расчет!$H$2:$H$3001,2))</f>
        <v/>
      </c>
      <c r="J1282">
        <f>IF($L1282="","",SUMIFS(Расчет!$G$2:$G$3001,Расчет!$I$2:$I$3001,$K1282,Расчет!$H$2:$H$3001,3))</f>
        <v/>
      </c>
      <c r="K1282">
        <f>IF($L1282="","",INDEX(Расчет!$I$2:$I$3001,$L1282))</f>
        <v/>
      </c>
      <c r="L1282">
        <f>IFERROR(MATCH(ROW()-1,Расчет!$J$2:$J$3001,0),"")</f>
        <v/>
      </c>
    </row>
    <row r="1283">
      <c r="A1283">
        <f>IF($L1283="","",B1283&amp;"."&amp;C1283&amp;"-"&amp;D1283&amp;"-"&amp;H1283&amp;"."&amp;I1283&amp;"."&amp;J1283)</f>
        <v/>
      </c>
      <c r="B1283">
        <f>IF($L1283="","",INDEX(Расчет!$A$2:$A$3001,$L1283))</f>
        <v/>
      </c>
      <c r="C1283">
        <f>IF($L1283="","",INDEX(Расчет!$B$2:$B$3001,$L1283))</f>
        <v/>
      </c>
      <c r="D1283">
        <f>IF($L1283="","",IF(ISNUMBER(FIND("(",INDEX(Расчет!$C$2:$C$3001,$L1283))),SUBSTITUTE(MID(INDEX(Расчет!$C$2:$C$3001,$L1283),FIND("(",INDEX(Расчет!$C$2:$C$3001,$L1283))+1,99),")",""),INDEX(Расчет!$C$2:$C$3001,$L1283)))</f>
        <v/>
      </c>
      <c r="E1283">
        <f>IF($L1283="","",INDEX(Расчет!$D$2:$D$3001,$L1283))</f>
        <v/>
      </c>
      <c r="F1283">
        <f>IF($L1283="","",INDEX(Расчет!$E$2:$E$3001,$L1283))</f>
        <v/>
      </c>
      <c r="G1283">
        <f>IF($L1283="","",IFERROR(--LEFT(INDEX(Расчет!$C$2:$C$3001,$L1283),FIND("(",INDEX(Расчет!$C$2:$C$3001,$L1283))-1),IFERROR(--LEFT(INDEX(Расчет!$C$2:$C$3001,$L1283),1),"")))</f>
        <v/>
      </c>
      <c r="H1283">
        <f>IF($L1283="","",SUMIFS(Расчет!$G$2:$G$3001,Расчет!$I$2:$I$3001,$K1283,Расчет!$H$2:$H$3001,1))</f>
        <v/>
      </c>
      <c r="I1283">
        <f>IF($L1283="","",SUMIFS(Расчет!$G$2:$G$3001,Расчет!$I$2:$I$3001,$K1283,Расчет!$H$2:$H$3001,2))</f>
        <v/>
      </c>
      <c r="J1283">
        <f>IF($L1283="","",SUMIFS(Расчет!$G$2:$G$3001,Расчет!$I$2:$I$3001,$K1283,Расчет!$H$2:$H$3001,3))</f>
        <v/>
      </c>
      <c r="K1283">
        <f>IF($L1283="","",INDEX(Расчет!$I$2:$I$3001,$L1283))</f>
        <v/>
      </c>
      <c r="L1283">
        <f>IFERROR(MATCH(ROW()-1,Расчет!$J$2:$J$3001,0),"")</f>
        <v/>
      </c>
    </row>
    <row r="1284">
      <c r="A1284">
        <f>IF($L1284="","",B1284&amp;"."&amp;C1284&amp;"-"&amp;D1284&amp;"-"&amp;H1284&amp;"."&amp;I1284&amp;"."&amp;J1284)</f>
        <v/>
      </c>
      <c r="B1284">
        <f>IF($L1284="","",INDEX(Расчет!$A$2:$A$3001,$L1284))</f>
        <v/>
      </c>
      <c r="C1284">
        <f>IF($L1284="","",INDEX(Расчет!$B$2:$B$3001,$L1284))</f>
        <v/>
      </c>
      <c r="D1284">
        <f>IF($L1284="","",IF(ISNUMBER(FIND("(",INDEX(Расчет!$C$2:$C$3001,$L1284))),SUBSTITUTE(MID(INDEX(Расчет!$C$2:$C$3001,$L1284),FIND("(",INDEX(Расчет!$C$2:$C$3001,$L1284))+1,99),")",""),INDEX(Расчет!$C$2:$C$3001,$L1284)))</f>
        <v/>
      </c>
      <c r="E1284">
        <f>IF($L1284="","",INDEX(Расчет!$D$2:$D$3001,$L1284))</f>
        <v/>
      </c>
      <c r="F1284">
        <f>IF($L1284="","",INDEX(Расчет!$E$2:$E$3001,$L1284))</f>
        <v/>
      </c>
      <c r="G1284">
        <f>IF($L1284="","",IFERROR(--LEFT(INDEX(Расчет!$C$2:$C$3001,$L1284),FIND("(",INDEX(Расчет!$C$2:$C$3001,$L1284))-1),IFERROR(--LEFT(INDEX(Расчет!$C$2:$C$3001,$L1284),1),"")))</f>
        <v/>
      </c>
      <c r="H1284">
        <f>IF($L1284="","",SUMIFS(Расчет!$G$2:$G$3001,Расчет!$I$2:$I$3001,$K1284,Расчет!$H$2:$H$3001,1))</f>
        <v/>
      </c>
      <c r="I1284">
        <f>IF($L1284="","",SUMIFS(Расчет!$G$2:$G$3001,Расчет!$I$2:$I$3001,$K1284,Расчет!$H$2:$H$3001,2))</f>
        <v/>
      </c>
      <c r="J1284">
        <f>IF($L1284="","",SUMIFS(Расчет!$G$2:$G$3001,Расчет!$I$2:$I$3001,$K1284,Расчет!$H$2:$H$3001,3))</f>
        <v/>
      </c>
      <c r="K1284">
        <f>IF($L1284="","",INDEX(Расчет!$I$2:$I$3001,$L1284))</f>
        <v/>
      </c>
      <c r="L1284">
        <f>IFERROR(MATCH(ROW()-1,Расчет!$J$2:$J$3001,0),"")</f>
        <v/>
      </c>
    </row>
    <row r="1285">
      <c r="A1285">
        <f>IF($L1285="","",B1285&amp;"."&amp;C1285&amp;"-"&amp;D1285&amp;"-"&amp;H1285&amp;"."&amp;I1285&amp;"."&amp;J1285)</f>
        <v/>
      </c>
      <c r="B1285">
        <f>IF($L1285="","",INDEX(Расчет!$A$2:$A$3001,$L1285))</f>
        <v/>
      </c>
      <c r="C1285">
        <f>IF($L1285="","",INDEX(Расчет!$B$2:$B$3001,$L1285))</f>
        <v/>
      </c>
      <c r="D1285">
        <f>IF($L1285="","",IF(ISNUMBER(FIND("(",INDEX(Расчет!$C$2:$C$3001,$L1285))),SUBSTITUTE(MID(INDEX(Расчет!$C$2:$C$3001,$L1285),FIND("(",INDEX(Расчет!$C$2:$C$3001,$L1285))+1,99),")",""),INDEX(Расчет!$C$2:$C$3001,$L1285)))</f>
        <v/>
      </c>
      <c r="E1285">
        <f>IF($L1285="","",INDEX(Расчет!$D$2:$D$3001,$L1285))</f>
        <v/>
      </c>
      <c r="F1285">
        <f>IF($L1285="","",INDEX(Расчет!$E$2:$E$3001,$L1285))</f>
        <v/>
      </c>
      <c r="G1285">
        <f>IF($L1285="","",IFERROR(--LEFT(INDEX(Расчет!$C$2:$C$3001,$L1285),FIND("(",INDEX(Расчет!$C$2:$C$3001,$L1285))-1),IFERROR(--LEFT(INDEX(Расчет!$C$2:$C$3001,$L1285),1),"")))</f>
        <v/>
      </c>
      <c r="H1285">
        <f>IF($L1285="","",SUMIFS(Расчет!$G$2:$G$3001,Расчет!$I$2:$I$3001,$K1285,Расчет!$H$2:$H$3001,1))</f>
        <v/>
      </c>
      <c r="I1285">
        <f>IF($L1285="","",SUMIFS(Расчет!$G$2:$G$3001,Расчет!$I$2:$I$3001,$K1285,Расчет!$H$2:$H$3001,2))</f>
        <v/>
      </c>
      <c r="J1285">
        <f>IF($L1285="","",SUMIFS(Расчет!$G$2:$G$3001,Расчет!$I$2:$I$3001,$K1285,Расчет!$H$2:$H$3001,3))</f>
        <v/>
      </c>
      <c r="K1285">
        <f>IF($L1285="","",INDEX(Расчет!$I$2:$I$3001,$L1285))</f>
        <v/>
      </c>
      <c r="L1285">
        <f>IFERROR(MATCH(ROW()-1,Расчет!$J$2:$J$3001,0),"")</f>
        <v/>
      </c>
    </row>
    <row r="1286">
      <c r="A1286">
        <f>IF($L1286="","",B1286&amp;"."&amp;C1286&amp;"-"&amp;D1286&amp;"-"&amp;H1286&amp;"."&amp;I1286&amp;"."&amp;J1286)</f>
        <v/>
      </c>
      <c r="B1286">
        <f>IF($L1286="","",INDEX(Расчет!$A$2:$A$3001,$L1286))</f>
        <v/>
      </c>
      <c r="C1286">
        <f>IF($L1286="","",INDEX(Расчет!$B$2:$B$3001,$L1286))</f>
        <v/>
      </c>
      <c r="D1286">
        <f>IF($L1286="","",IF(ISNUMBER(FIND("(",INDEX(Расчет!$C$2:$C$3001,$L1286))),SUBSTITUTE(MID(INDEX(Расчет!$C$2:$C$3001,$L1286),FIND("(",INDEX(Расчет!$C$2:$C$3001,$L1286))+1,99),")",""),INDEX(Расчет!$C$2:$C$3001,$L1286)))</f>
        <v/>
      </c>
      <c r="E1286">
        <f>IF($L1286="","",INDEX(Расчет!$D$2:$D$3001,$L1286))</f>
        <v/>
      </c>
      <c r="F1286">
        <f>IF($L1286="","",INDEX(Расчет!$E$2:$E$3001,$L1286))</f>
        <v/>
      </c>
      <c r="G1286">
        <f>IF($L1286="","",IFERROR(--LEFT(INDEX(Расчет!$C$2:$C$3001,$L1286),FIND("(",INDEX(Расчет!$C$2:$C$3001,$L1286))-1),IFERROR(--LEFT(INDEX(Расчет!$C$2:$C$3001,$L1286),1),"")))</f>
        <v/>
      </c>
      <c r="H1286">
        <f>IF($L1286="","",SUMIFS(Расчет!$G$2:$G$3001,Расчет!$I$2:$I$3001,$K1286,Расчет!$H$2:$H$3001,1))</f>
        <v/>
      </c>
      <c r="I1286">
        <f>IF($L1286="","",SUMIFS(Расчет!$G$2:$G$3001,Расчет!$I$2:$I$3001,$K1286,Расчет!$H$2:$H$3001,2))</f>
        <v/>
      </c>
      <c r="J1286">
        <f>IF($L1286="","",SUMIFS(Расчет!$G$2:$G$3001,Расчет!$I$2:$I$3001,$K1286,Расчет!$H$2:$H$3001,3))</f>
        <v/>
      </c>
      <c r="K1286">
        <f>IF($L1286="","",INDEX(Расчет!$I$2:$I$3001,$L1286))</f>
        <v/>
      </c>
      <c r="L1286">
        <f>IFERROR(MATCH(ROW()-1,Расчет!$J$2:$J$3001,0),"")</f>
        <v/>
      </c>
    </row>
    <row r="1287">
      <c r="A1287">
        <f>IF($L1287="","",B1287&amp;"."&amp;C1287&amp;"-"&amp;D1287&amp;"-"&amp;H1287&amp;"."&amp;I1287&amp;"."&amp;J1287)</f>
        <v/>
      </c>
      <c r="B1287">
        <f>IF($L1287="","",INDEX(Расчет!$A$2:$A$3001,$L1287))</f>
        <v/>
      </c>
      <c r="C1287">
        <f>IF($L1287="","",INDEX(Расчет!$B$2:$B$3001,$L1287))</f>
        <v/>
      </c>
      <c r="D1287">
        <f>IF($L1287="","",IF(ISNUMBER(FIND("(",INDEX(Расчет!$C$2:$C$3001,$L1287))),SUBSTITUTE(MID(INDEX(Расчет!$C$2:$C$3001,$L1287),FIND("(",INDEX(Расчет!$C$2:$C$3001,$L1287))+1,99),")",""),INDEX(Расчет!$C$2:$C$3001,$L1287)))</f>
        <v/>
      </c>
      <c r="E1287">
        <f>IF($L1287="","",INDEX(Расчет!$D$2:$D$3001,$L1287))</f>
        <v/>
      </c>
      <c r="F1287">
        <f>IF($L1287="","",INDEX(Расчет!$E$2:$E$3001,$L1287))</f>
        <v/>
      </c>
      <c r="G1287">
        <f>IF($L1287="","",IFERROR(--LEFT(INDEX(Расчет!$C$2:$C$3001,$L1287),FIND("(",INDEX(Расчет!$C$2:$C$3001,$L1287))-1),IFERROR(--LEFT(INDEX(Расчет!$C$2:$C$3001,$L1287),1),"")))</f>
        <v/>
      </c>
      <c r="H1287">
        <f>IF($L1287="","",SUMIFS(Расчет!$G$2:$G$3001,Расчет!$I$2:$I$3001,$K1287,Расчет!$H$2:$H$3001,1))</f>
        <v/>
      </c>
      <c r="I1287">
        <f>IF($L1287="","",SUMIFS(Расчет!$G$2:$G$3001,Расчет!$I$2:$I$3001,$K1287,Расчет!$H$2:$H$3001,2))</f>
        <v/>
      </c>
      <c r="J1287">
        <f>IF($L1287="","",SUMIFS(Расчет!$G$2:$G$3001,Расчет!$I$2:$I$3001,$K1287,Расчет!$H$2:$H$3001,3))</f>
        <v/>
      </c>
      <c r="K1287">
        <f>IF($L1287="","",INDEX(Расчет!$I$2:$I$3001,$L1287))</f>
        <v/>
      </c>
      <c r="L1287">
        <f>IFERROR(MATCH(ROW()-1,Расчет!$J$2:$J$3001,0),"")</f>
        <v/>
      </c>
    </row>
    <row r="1288">
      <c r="A1288">
        <f>IF($L1288="","",B1288&amp;"."&amp;C1288&amp;"-"&amp;D1288&amp;"-"&amp;H1288&amp;"."&amp;I1288&amp;"."&amp;J1288)</f>
        <v/>
      </c>
      <c r="B1288">
        <f>IF($L1288="","",INDEX(Расчет!$A$2:$A$3001,$L1288))</f>
        <v/>
      </c>
      <c r="C1288">
        <f>IF($L1288="","",INDEX(Расчет!$B$2:$B$3001,$L1288))</f>
        <v/>
      </c>
      <c r="D1288">
        <f>IF($L1288="","",IF(ISNUMBER(FIND("(",INDEX(Расчет!$C$2:$C$3001,$L1288))),SUBSTITUTE(MID(INDEX(Расчет!$C$2:$C$3001,$L1288),FIND("(",INDEX(Расчет!$C$2:$C$3001,$L1288))+1,99),")",""),INDEX(Расчет!$C$2:$C$3001,$L1288)))</f>
        <v/>
      </c>
      <c r="E1288">
        <f>IF($L1288="","",INDEX(Расчет!$D$2:$D$3001,$L1288))</f>
        <v/>
      </c>
      <c r="F1288">
        <f>IF($L1288="","",INDEX(Расчет!$E$2:$E$3001,$L1288))</f>
        <v/>
      </c>
      <c r="G1288">
        <f>IF($L1288="","",IFERROR(--LEFT(INDEX(Расчет!$C$2:$C$3001,$L1288),FIND("(",INDEX(Расчет!$C$2:$C$3001,$L1288))-1),IFERROR(--LEFT(INDEX(Расчет!$C$2:$C$3001,$L1288),1),"")))</f>
        <v/>
      </c>
      <c r="H1288">
        <f>IF($L1288="","",SUMIFS(Расчет!$G$2:$G$3001,Расчет!$I$2:$I$3001,$K1288,Расчет!$H$2:$H$3001,1))</f>
        <v/>
      </c>
      <c r="I1288">
        <f>IF($L1288="","",SUMIFS(Расчет!$G$2:$G$3001,Расчет!$I$2:$I$3001,$K1288,Расчет!$H$2:$H$3001,2))</f>
        <v/>
      </c>
      <c r="J1288">
        <f>IF($L1288="","",SUMIFS(Расчет!$G$2:$G$3001,Расчет!$I$2:$I$3001,$K1288,Расчет!$H$2:$H$3001,3))</f>
        <v/>
      </c>
      <c r="K1288">
        <f>IF($L1288="","",INDEX(Расчет!$I$2:$I$3001,$L1288))</f>
        <v/>
      </c>
      <c r="L1288">
        <f>IFERROR(MATCH(ROW()-1,Расчет!$J$2:$J$3001,0),"")</f>
        <v/>
      </c>
    </row>
    <row r="1289">
      <c r="A1289">
        <f>IF($L1289="","",B1289&amp;"."&amp;C1289&amp;"-"&amp;D1289&amp;"-"&amp;H1289&amp;"."&amp;I1289&amp;"."&amp;J1289)</f>
        <v/>
      </c>
      <c r="B1289">
        <f>IF($L1289="","",INDEX(Расчет!$A$2:$A$3001,$L1289))</f>
        <v/>
      </c>
      <c r="C1289">
        <f>IF($L1289="","",INDEX(Расчет!$B$2:$B$3001,$L1289))</f>
        <v/>
      </c>
      <c r="D1289">
        <f>IF($L1289="","",IF(ISNUMBER(FIND("(",INDEX(Расчет!$C$2:$C$3001,$L1289))),SUBSTITUTE(MID(INDEX(Расчет!$C$2:$C$3001,$L1289),FIND("(",INDEX(Расчет!$C$2:$C$3001,$L1289))+1,99),")",""),INDEX(Расчет!$C$2:$C$3001,$L1289)))</f>
        <v/>
      </c>
      <c r="E1289">
        <f>IF($L1289="","",INDEX(Расчет!$D$2:$D$3001,$L1289))</f>
        <v/>
      </c>
      <c r="F1289">
        <f>IF($L1289="","",INDEX(Расчет!$E$2:$E$3001,$L1289))</f>
        <v/>
      </c>
      <c r="G1289">
        <f>IF($L1289="","",IFERROR(--LEFT(INDEX(Расчет!$C$2:$C$3001,$L1289),FIND("(",INDEX(Расчет!$C$2:$C$3001,$L1289))-1),IFERROR(--LEFT(INDEX(Расчет!$C$2:$C$3001,$L1289),1),"")))</f>
        <v/>
      </c>
      <c r="H1289">
        <f>IF($L1289="","",SUMIFS(Расчет!$G$2:$G$3001,Расчет!$I$2:$I$3001,$K1289,Расчет!$H$2:$H$3001,1))</f>
        <v/>
      </c>
      <c r="I1289">
        <f>IF($L1289="","",SUMIFS(Расчет!$G$2:$G$3001,Расчет!$I$2:$I$3001,$K1289,Расчет!$H$2:$H$3001,2))</f>
        <v/>
      </c>
      <c r="J1289">
        <f>IF($L1289="","",SUMIFS(Расчет!$G$2:$G$3001,Расчет!$I$2:$I$3001,$K1289,Расчет!$H$2:$H$3001,3))</f>
        <v/>
      </c>
      <c r="K1289">
        <f>IF($L1289="","",INDEX(Расчет!$I$2:$I$3001,$L1289))</f>
        <v/>
      </c>
      <c r="L1289">
        <f>IFERROR(MATCH(ROW()-1,Расчет!$J$2:$J$3001,0),"")</f>
        <v/>
      </c>
    </row>
    <row r="1290">
      <c r="A1290">
        <f>IF($L1290="","",B1290&amp;"."&amp;C1290&amp;"-"&amp;D1290&amp;"-"&amp;H1290&amp;"."&amp;I1290&amp;"."&amp;J1290)</f>
        <v/>
      </c>
      <c r="B1290">
        <f>IF($L1290="","",INDEX(Расчет!$A$2:$A$3001,$L1290))</f>
        <v/>
      </c>
      <c r="C1290">
        <f>IF($L1290="","",INDEX(Расчет!$B$2:$B$3001,$L1290))</f>
        <v/>
      </c>
      <c r="D1290">
        <f>IF($L1290="","",IF(ISNUMBER(FIND("(",INDEX(Расчет!$C$2:$C$3001,$L1290))),SUBSTITUTE(MID(INDEX(Расчет!$C$2:$C$3001,$L1290),FIND("(",INDEX(Расчет!$C$2:$C$3001,$L1290))+1,99),")",""),INDEX(Расчет!$C$2:$C$3001,$L1290)))</f>
        <v/>
      </c>
      <c r="E1290">
        <f>IF($L1290="","",INDEX(Расчет!$D$2:$D$3001,$L1290))</f>
        <v/>
      </c>
      <c r="F1290">
        <f>IF($L1290="","",INDEX(Расчет!$E$2:$E$3001,$L1290))</f>
        <v/>
      </c>
      <c r="G1290">
        <f>IF($L1290="","",IFERROR(--LEFT(INDEX(Расчет!$C$2:$C$3001,$L1290),FIND("(",INDEX(Расчет!$C$2:$C$3001,$L1290))-1),IFERROR(--LEFT(INDEX(Расчет!$C$2:$C$3001,$L1290),1),"")))</f>
        <v/>
      </c>
      <c r="H1290">
        <f>IF($L1290="","",SUMIFS(Расчет!$G$2:$G$3001,Расчет!$I$2:$I$3001,$K1290,Расчет!$H$2:$H$3001,1))</f>
        <v/>
      </c>
      <c r="I1290">
        <f>IF($L1290="","",SUMIFS(Расчет!$G$2:$G$3001,Расчет!$I$2:$I$3001,$K1290,Расчет!$H$2:$H$3001,2))</f>
        <v/>
      </c>
      <c r="J1290">
        <f>IF($L1290="","",SUMIFS(Расчет!$G$2:$G$3001,Расчет!$I$2:$I$3001,$K1290,Расчет!$H$2:$H$3001,3))</f>
        <v/>
      </c>
      <c r="K1290">
        <f>IF($L1290="","",INDEX(Расчет!$I$2:$I$3001,$L1290))</f>
        <v/>
      </c>
      <c r="L1290">
        <f>IFERROR(MATCH(ROW()-1,Расчет!$J$2:$J$3001,0),"")</f>
        <v/>
      </c>
    </row>
    <row r="1291">
      <c r="A1291">
        <f>IF($L1291="","",B1291&amp;"."&amp;C1291&amp;"-"&amp;D1291&amp;"-"&amp;H1291&amp;"."&amp;I1291&amp;"."&amp;J1291)</f>
        <v/>
      </c>
      <c r="B1291">
        <f>IF($L1291="","",INDEX(Расчет!$A$2:$A$3001,$L1291))</f>
        <v/>
      </c>
      <c r="C1291">
        <f>IF($L1291="","",INDEX(Расчет!$B$2:$B$3001,$L1291))</f>
        <v/>
      </c>
      <c r="D1291">
        <f>IF($L1291="","",IF(ISNUMBER(FIND("(",INDEX(Расчет!$C$2:$C$3001,$L1291))),SUBSTITUTE(MID(INDEX(Расчет!$C$2:$C$3001,$L1291),FIND("(",INDEX(Расчет!$C$2:$C$3001,$L1291))+1,99),")",""),INDEX(Расчет!$C$2:$C$3001,$L1291)))</f>
        <v/>
      </c>
      <c r="E1291">
        <f>IF($L1291="","",INDEX(Расчет!$D$2:$D$3001,$L1291))</f>
        <v/>
      </c>
      <c r="F1291">
        <f>IF($L1291="","",INDEX(Расчет!$E$2:$E$3001,$L1291))</f>
        <v/>
      </c>
      <c r="G1291">
        <f>IF($L1291="","",IFERROR(--LEFT(INDEX(Расчет!$C$2:$C$3001,$L1291),FIND("(",INDEX(Расчет!$C$2:$C$3001,$L1291))-1),IFERROR(--LEFT(INDEX(Расчет!$C$2:$C$3001,$L1291),1),"")))</f>
        <v/>
      </c>
      <c r="H1291">
        <f>IF($L1291="","",SUMIFS(Расчет!$G$2:$G$3001,Расчет!$I$2:$I$3001,$K1291,Расчет!$H$2:$H$3001,1))</f>
        <v/>
      </c>
      <c r="I1291">
        <f>IF($L1291="","",SUMIFS(Расчет!$G$2:$G$3001,Расчет!$I$2:$I$3001,$K1291,Расчет!$H$2:$H$3001,2))</f>
        <v/>
      </c>
      <c r="J1291">
        <f>IF($L1291="","",SUMIFS(Расчет!$G$2:$G$3001,Расчет!$I$2:$I$3001,$K1291,Расчет!$H$2:$H$3001,3))</f>
        <v/>
      </c>
      <c r="K1291">
        <f>IF($L1291="","",INDEX(Расчет!$I$2:$I$3001,$L1291))</f>
        <v/>
      </c>
      <c r="L1291">
        <f>IFERROR(MATCH(ROW()-1,Расчет!$J$2:$J$3001,0),"")</f>
        <v/>
      </c>
    </row>
    <row r="1292">
      <c r="A1292">
        <f>IF($L1292="","",B1292&amp;"."&amp;C1292&amp;"-"&amp;D1292&amp;"-"&amp;H1292&amp;"."&amp;I1292&amp;"."&amp;J1292)</f>
        <v/>
      </c>
      <c r="B1292">
        <f>IF($L1292="","",INDEX(Расчет!$A$2:$A$3001,$L1292))</f>
        <v/>
      </c>
      <c r="C1292">
        <f>IF($L1292="","",INDEX(Расчет!$B$2:$B$3001,$L1292))</f>
        <v/>
      </c>
      <c r="D1292">
        <f>IF($L1292="","",IF(ISNUMBER(FIND("(",INDEX(Расчет!$C$2:$C$3001,$L1292))),SUBSTITUTE(MID(INDEX(Расчет!$C$2:$C$3001,$L1292),FIND("(",INDEX(Расчет!$C$2:$C$3001,$L1292))+1,99),")",""),INDEX(Расчет!$C$2:$C$3001,$L1292)))</f>
        <v/>
      </c>
      <c r="E1292">
        <f>IF($L1292="","",INDEX(Расчет!$D$2:$D$3001,$L1292))</f>
        <v/>
      </c>
      <c r="F1292">
        <f>IF($L1292="","",INDEX(Расчет!$E$2:$E$3001,$L1292))</f>
        <v/>
      </c>
      <c r="G1292">
        <f>IF($L1292="","",IFERROR(--LEFT(INDEX(Расчет!$C$2:$C$3001,$L1292),FIND("(",INDEX(Расчет!$C$2:$C$3001,$L1292))-1),IFERROR(--LEFT(INDEX(Расчет!$C$2:$C$3001,$L1292),1),"")))</f>
        <v/>
      </c>
      <c r="H1292">
        <f>IF($L1292="","",SUMIFS(Расчет!$G$2:$G$3001,Расчет!$I$2:$I$3001,$K1292,Расчет!$H$2:$H$3001,1))</f>
        <v/>
      </c>
      <c r="I1292">
        <f>IF($L1292="","",SUMIFS(Расчет!$G$2:$G$3001,Расчет!$I$2:$I$3001,$K1292,Расчет!$H$2:$H$3001,2))</f>
        <v/>
      </c>
      <c r="J1292">
        <f>IF($L1292="","",SUMIFS(Расчет!$G$2:$G$3001,Расчет!$I$2:$I$3001,$K1292,Расчет!$H$2:$H$3001,3))</f>
        <v/>
      </c>
      <c r="K1292">
        <f>IF($L1292="","",INDEX(Расчет!$I$2:$I$3001,$L1292))</f>
        <v/>
      </c>
      <c r="L1292">
        <f>IFERROR(MATCH(ROW()-1,Расчет!$J$2:$J$3001,0),"")</f>
        <v/>
      </c>
    </row>
    <row r="1293">
      <c r="A1293">
        <f>IF($L1293="","",B1293&amp;"."&amp;C1293&amp;"-"&amp;D1293&amp;"-"&amp;H1293&amp;"."&amp;I1293&amp;"."&amp;J1293)</f>
        <v/>
      </c>
      <c r="B1293">
        <f>IF($L1293="","",INDEX(Расчет!$A$2:$A$3001,$L1293))</f>
        <v/>
      </c>
      <c r="C1293">
        <f>IF($L1293="","",INDEX(Расчет!$B$2:$B$3001,$L1293))</f>
        <v/>
      </c>
      <c r="D1293">
        <f>IF($L1293="","",IF(ISNUMBER(FIND("(",INDEX(Расчет!$C$2:$C$3001,$L1293))),SUBSTITUTE(MID(INDEX(Расчет!$C$2:$C$3001,$L1293),FIND("(",INDEX(Расчет!$C$2:$C$3001,$L1293))+1,99),")",""),INDEX(Расчет!$C$2:$C$3001,$L1293)))</f>
        <v/>
      </c>
      <c r="E1293">
        <f>IF($L1293="","",INDEX(Расчет!$D$2:$D$3001,$L1293))</f>
        <v/>
      </c>
      <c r="F1293">
        <f>IF($L1293="","",INDEX(Расчет!$E$2:$E$3001,$L1293))</f>
        <v/>
      </c>
      <c r="G1293">
        <f>IF($L1293="","",IFERROR(--LEFT(INDEX(Расчет!$C$2:$C$3001,$L1293),FIND("(",INDEX(Расчет!$C$2:$C$3001,$L1293))-1),IFERROR(--LEFT(INDEX(Расчет!$C$2:$C$3001,$L1293),1),"")))</f>
        <v/>
      </c>
      <c r="H1293">
        <f>IF($L1293="","",SUMIFS(Расчет!$G$2:$G$3001,Расчет!$I$2:$I$3001,$K1293,Расчет!$H$2:$H$3001,1))</f>
        <v/>
      </c>
      <c r="I1293">
        <f>IF($L1293="","",SUMIFS(Расчет!$G$2:$G$3001,Расчет!$I$2:$I$3001,$K1293,Расчет!$H$2:$H$3001,2))</f>
        <v/>
      </c>
      <c r="J1293">
        <f>IF($L1293="","",SUMIFS(Расчет!$G$2:$G$3001,Расчет!$I$2:$I$3001,$K1293,Расчет!$H$2:$H$3001,3))</f>
        <v/>
      </c>
      <c r="K1293">
        <f>IF($L1293="","",INDEX(Расчет!$I$2:$I$3001,$L1293))</f>
        <v/>
      </c>
      <c r="L1293">
        <f>IFERROR(MATCH(ROW()-1,Расчет!$J$2:$J$3001,0),"")</f>
        <v/>
      </c>
    </row>
    <row r="1294">
      <c r="A1294">
        <f>IF($L1294="","",B1294&amp;"."&amp;C1294&amp;"-"&amp;D1294&amp;"-"&amp;H1294&amp;"."&amp;I1294&amp;"."&amp;J1294)</f>
        <v/>
      </c>
      <c r="B1294">
        <f>IF($L1294="","",INDEX(Расчет!$A$2:$A$3001,$L1294))</f>
        <v/>
      </c>
      <c r="C1294">
        <f>IF($L1294="","",INDEX(Расчет!$B$2:$B$3001,$L1294))</f>
        <v/>
      </c>
      <c r="D1294">
        <f>IF($L1294="","",IF(ISNUMBER(FIND("(",INDEX(Расчет!$C$2:$C$3001,$L1294))),SUBSTITUTE(MID(INDEX(Расчет!$C$2:$C$3001,$L1294),FIND("(",INDEX(Расчет!$C$2:$C$3001,$L1294))+1,99),")",""),INDEX(Расчет!$C$2:$C$3001,$L1294)))</f>
        <v/>
      </c>
      <c r="E1294">
        <f>IF($L1294="","",INDEX(Расчет!$D$2:$D$3001,$L1294))</f>
        <v/>
      </c>
      <c r="F1294">
        <f>IF($L1294="","",INDEX(Расчет!$E$2:$E$3001,$L1294))</f>
        <v/>
      </c>
      <c r="G1294">
        <f>IF($L1294="","",IFERROR(--LEFT(INDEX(Расчет!$C$2:$C$3001,$L1294),FIND("(",INDEX(Расчет!$C$2:$C$3001,$L1294))-1),IFERROR(--LEFT(INDEX(Расчет!$C$2:$C$3001,$L1294),1),"")))</f>
        <v/>
      </c>
      <c r="H1294">
        <f>IF($L1294="","",SUMIFS(Расчет!$G$2:$G$3001,Расчет!$I$2:$I$3001,$K1294,Расчет!$H$2:$H$3001,1))</f>
        <v/>
      </c>
      <c r="I1294">
        <f>IF($L1294="","",SUMIFS(Расчет!$G$2:$G$3001,Расчет!$I$2:$I$3001,$K1294,Расчет!$H$2:$H$3001,2))</f>
        <v/>
      </c>
      <c r="J1294">
        <f>IF($L1294="","",SUMIFS(Расчет!$G$2:$G$3001,Расчет!$I$2:$I$3001,$K1294,Расчет!$H$2:$H$3001,3))</f>
        <v/>
      </c>
      <c r="K1294">
        <f>IF($L1294="","",INDEX(Расчет!$I$2:$I$3001,$L1294))</f>
        <v/>
      </c>
      <c r="L1294">
        <f>IFERROR(MATCH(ROW()-1,Расчет!$J$2:$J$3001,0),"")</f>
        <v/>
      </c>
    </row>
    <row r="1295">
      <c r="A1295">
        <f>IF($L1295="","",B1295&amp;"."&amp;C1295&amp;"-"&amp;D1295&amp;"-"&amp;H1295&amp;"."&amp;I1295&amp;"."&amp;J1295)</f>
        <v/>
      </c>
      <c r="B1295">
        <f>IF($L1295="","",INDEX(Расчет!$A$2:$A$3001,$L1295))</f>
        <v/>
      </c>
      <c r="C1295">
        <f>IF($L1295="","",INDEX(Расчет!$B$2:$B$3001,$L1295))</f>
        <v/>
      </c>
      <c r="D1295">
        <f>IF($L1295="","",IF(ISNUMBER(FIND("(",INDEX(Расчет!$C$2:$C$3001,$L1295))),SUBSTITUTE(MID(INDEX(Расчет!$C$2:$C$3001,$L1295),FIND("(",INDEX(Расчет!$C$2:$C$3001,$L1295))+1,99),")",""),INDEX(Расчет!$C$2:$C$3001,$L1295)))</f>
        <v/>
      </c>
      <c r="E1295">
        <f>IF($L1295="","",INDEX(Расчет!$D$2:$D$3001,$L1295))</f>
        <v/>
      </c>
      <c r="F1295">
        <f>IF($L1295="","",INDEX(Расчет!$E$2:$E$3001,$L1295))</f>
        <v/>
      </c>
      <c r="G1295">
        <f>IF($L1295="","",IFERROR(--LEFT(INDEX(Расчет!$C$2:$C$3001,$L1295),FIND("(",INDEX(Расчет!$C$2:$C$3001,$L1295))-1),IFERROR(--LEFT(INDEX(Расчет!$C$2:$C$3001,$L1295),1),"")))</f>
        <v/>
      </c>
      <c r="H1295">
        <f>IF($L1295="","",SUMIFS(Расчет!$G$2:$G$3001,Расчет!$I$2:$I$3001,$K1295,Расчет!$H$2:$H$3001,1))</f>
        <v/>
      </c>
      <c r="I1295">
        <f>IF($L1295="","",SUMIFS(Расчет!$G$2:$G$3001,Расчет!$I$2:$I$3001,$K1295,Расчет!$H$2:$H$3001,2))</f>
        <v/>
      </c>
      <c r="J1295">
        <f>IF($L1295="","",SUMIFS(Расчет!$G$2:$G$3001,Расчет!$I$2:$I$3001,$K1295,Расчет!$H$2:$H$3001,3))</f>
        <v/>
      </c>
      <c r="K1295">
        <f>IF($L1295="","",INDEX(Расчет!$I$2:$I$3001,$L1295))</f>
        <v/>
      </c>
      <c r="L1295">
        <f>IFERROR(MATCH(ROW()-1,Расчет!$J$2:$J$3001,0),"")</f>
        <v/>
      </c>
    </row>
    <row r="1296">
      <c r="A1296">
        <f>IF($L1296="","",B1296&amp;"."&amp;C1296&amp;"-"&amp;D1296&amp;"-"&amp;H1296&amp;"."&amp;I1296&amp;"."&amp;J1296)</f>
        <v/>
      </c>
      <c r="B1296">
        <f>IF($L1296="","",INDEX(Расчет!$A$2:$A$3001,$L1296))</f>
        <v/>
      </c>
      <c r="C1296">
        <f>IF($L1296="","",INDEX(Расчет!$B$2:$B$3001,$L1296))</f>
        <v/>
      </c>
      <c r="D1296">
        <f>IF($L1296="","",IF(ISNUMBER(FIND("(",INDEX(Расчет!$C$2:$C$3001,$L1296))),SUBSTITUTE(MID(INDEX(Расчет!$C$2:$C$3001,$L1296),FIND("(",INDEX(Расчет!$C$2:$C$3001,$L1296))+1,99),")",""),INDEX(Расчет!$C$2:$C$3001,$L1296)))</f>
        <v/>
      </c>
      <c r="E1296">
        <f>IF($L1296="","",INDEX(Расчет!$D$2:$D$3001,$L1296))</f>
        <v/>
      </c>
      <c r="F1296">
        <f>IF($L1296="","",INDEX(Расчет!$E$2:$E$3001,$L1296))</f>
        <v/>
      </c>
      <c r="G1296">
        <f>IF($L1296="","",IFERROR(--LEFT(INDEX(Расчет!$C$2:$C$3001,$L1296),FIND("(",INDEX(Расчет!$C$2:$C$3001,$L1296))-1),IFERROR(--LEFT(INDEX(Расчет!$C$2:$C$3001,$L1296),1),"")))</f>
        <v/>
      </c>
      <c r="H1296">
        <f>IF($L1296="","",SUMIFS(Расчет!$G$2:$G$3001,Расчет!$I$2:$I$3001,$K1296,Расчет!$H$2:$H$3001,1))</f>
        <v/>
      </c>
      <c r="I1296">
        <f>IF($L1296="","",SUMIFS(Расчет!$G$2:$G$3001,Расчет!$I$2:$I$3001,$K1296,Расчет!$H$2:$H$3001,2))</f>
        <v/>
      </c>
      <c r="J1296">
        <f>IF($L1296="","",SUMIFS(Расчет!$G$2:$G$3001,Расчет!$I$2:$I$3001,$K1296,Расчет!$H$2:$H$3001,3))</f>
        <v/>
      </c>
      <c r="K1296">
        <f>IF($L1296="","",INDEX(Расчет!$I$2:$I$3001,$L1296))</f>
        <v/>
      </c>
      <c r="L1296">
        <f>IFERROR(MATCH(ROW()-1,Расчет!$J$2:$J$3001,0),"")</f>
        <v/>
      </c>
    </row>
    <row r="1297">
      <c r="A1297">
        <f>IF($L1297="","",B1297&amp;"."&amp;C1297&amp;"-"&amp;D1297&amp;"-"&amp;H1297&amp;"."&amp;I1297&amp;"."&amp;J1297)</f>
        <v/>
      </c>
      <c r="B1297">
        <f>IF($L1297="","",INDEX(Расчет!$A$2:$A$3001,$L1297))</f>
        <v/>
      </c>
      <c r="C1297">
        <f>IF($L1297="","",INDEX(Расчет!$B$2:$B$3001,$L1297))</f>
        <v/>
      </c>
      <c r="D1297">
        <f>IF($L1297="","",IF(ISNUMBER(FIND("(",INDEX(Расчет!$C$2:$C$3001,$L1297))),SUBSTITUTE(MID(INDEX(Расчет!$C$2:$C$3001,$L1297),FIND("(",INDEX(Расчет!$C$2:$C$3001,$L1297))+1,99),")",""),INDEX(Расчет!$C$2:$C$3001,$L1297)))</f>
        <v/>
      </c>
      <c r="E1297">
        <f>IF($L1297="","",INDEX(Расчет!$D$2:$D$3001,$L1297))</f>
        <v/>
      </c>
      <c r="F1297">
        <f>IF($L1297="","",INDEX(Расчет!$E$2:$E$3001,$L1297))</f>
        <v/>
      </c>
      <c r="G1297">
        <f>IF($L1297="","",IFERROR(--LEFT(INDEX(Расчет!$C$2:$C$3001,$L1297),FIND("(",INDEX(Расчет!$C$2:$C$3001,$L1297))-1),IFERROR(--LEFT(INDEX(Расчет!$C$2:$C$3001,$L1297),1),"")))</f>
        <v/>
      </c>
      <c r="H1297">
        <f>IF($L1297="","",SUMIFS(Расчет!$G$2:$G$3001,Расчет!$I$2:$I$3001,$K1297,Расчет!$H$2:$H$3001,1))</f>
        <v/>
      </c>
      <c r="I1297">
        <f>IF($L1297="","",SUMIFS(Расчет!$G$2:$G$3001,Расчет!$I$2:$I$3001,$K1297,Расчет!$H$2:$H$3001,2))</f>
        <v/>
      </c>
      <c r="J1297">
        <f>IF($L1297="","",SUMIFS(Расчет!$G$2:$G$3001,Расчет!$I$2:$I$3001,$K1297,Расчет!$H$2:$H$3001,3))</f>
        <v/>
      </c>
      <c r="K1297">
        <f>IF($L1297="","",INDEX(Расчет!$I$2:$I$3001,$L1297))</f>
        <v/>
      </c>
      <c r="L1297">
        <f>IFERROR(MATCH(ROW()-1,Расчет!$J$2:$J$3001,0),"")</f>
        <v/>
      </c>
    </row>
    <row r="1298">
      <c r="A1298">
        <f>IF($L1298="","",B1298&amp;"."&amp;C1298&amp;"-"&amp;D1298&amp;"-"&amp;H1298&amp;"."&amp;I1298&amp;"."&amp;J1298)</f>
        <v/>
      </c>
      <c r="B1298">
        <f>IF($L1298="","",INDEX(Расчет!$A$2:$A$3001,$L1298))</f>
        <v/>
      </c>
      <c r="C1298">
        <f>IF($L1298="","",INDEX(Расчет!$B$2:$B$3001,$L1298))</f>
        <v/>
      </c>
      <c r="D1298">
        <f>IF($L1298="","",IF(ISNUMBER(FIND("(",INDEX(Расчет!$C$2:$C$3001,$L1298))),SUBSTITUTE(MID(INDEX(Расчет!$C$2:$C$3001,$L1298),FIND("(",INDEX(Расчет!$C$2:$C$3001,$L1298))+1,99),")",""),INDEX(Расчет!$C$2:$C$3001,$L1298)))</f>
        <v/>
      </c>
      <c r="E1298">
        <f>IF($L1298="","",INDEX(Расчет!$D$2:$D$3001,$L1298))</f>
        <v/>
      </c>
      <c r="F1298">
        <f>IF($L1298="","",INDEX(Расчет!$E$2:$E$3001,$L1298))</f>
        <v/>
      </c>
      <c r="G1298">
        <f>IF($L1298="","",IFERROR(--LEFT(INDEX(Расчет!$C$2:$C$3001,$L1298),FIND("(",INDEX(Расчет!$C$2:$C$3001,$L1298))-1),IFERROR(--LEFT(INDEX(Расчет!$C$2:$C$3001,$L1298),1),"")))</f>
        <v/>
      </c>
      <c r="H1298">
        <f>IF($L1298="","",SUMIFS(Расчет!$G$2:$G$3001,Расчет!$I$2:$I$3001,$K1298,Расчет!$H$2:$H$3001,1))</f>
        <v/>
      </c>
      <c r="I1298">
        <f>IF($L1298="","",SUMIFS(Расчет!$G$2:$G$3001,Расчет!$I$2:$I$3001,$K1298,Расчет!$H$2:$H$3001,2))</f>
        <v/>
      </c>
      <c r="J1298">
        <f>IF($L1298="","",SUMIFS(Расчет!$G$2:$G$3001,Расчет!$I$2:$I$3001,$K1298,Расчет!$H$2:$H$3001,3))</f>
        <v/>
      </c>
      <c r="K1298">
        <f>IF($L1298="","",INDEX(Расчет!$I$2:$I$3001,$L1298))</f>
        <v/>
      </c>
      <c r="L1298">
        <f>IFERROR(MATCH(ROW()-1,Расчет!$J$2:$J$3001,0),"")</f>
        <v/>
      </c>
    </row>
    <row r="1299">
      <c r="A1299">
        <f>IF($L1299="","",B1299&amp;"."&amp;C1299&amp;"-"&amp;D1299&amp;"-"&amp;H1299&amp;"."&amp;I1299&amp;"."&amp;J1299)</f>
        <v/>
      </c>
      <c r="B1299">
        <f>IF($L1299="","",INDEX(Расчет!$A$2:$A$3001,$L1299))</f>
        <v/>
      </c>
      <c r="C1299">
        <f>IF($L1299="","",INDEX(Расчет!$B$2:$B$3001,$L1299))</f>
        <v/>
      </c>
      <c r="D1299">
        <f>IF($L1299="","",IF(ISNUMBER(FIND("(",INDEX(Расчет!$C$2:$C$3001,$L1299))),SUBSTITUTE(MID(INDEX(Расчет!$C$2:$C$3001,$L1299),FIND("(",INDEX(Расчет!$C$2:$C$3001,$L1299))+1,99),")",""),INDEX(Расчет!$C$2:$C$3001,$L1299)))</f>
        <v/>
      </c>
      <c r="E1299">
        <f>IF($L1299="","",INDEX(Расчет!$D$2:$D$3001,$L1299))</f>
        <v/>
      </c>
      <c r="F1299">
        <f>IF($L1299="","",INDEX(Расчет!$E$2:$E$3001,$L1299))</f>
        <v/>
      </c>
      <c r="G1299">
        <f>IF($L1299="","",IFERROR(--LEFT(INDEX(Расчет!$C$2:$C$3001,$L1299),FIND("(",INDEX(Расчет!$C$2:$C$3001,$L1299))-1),IFERROR(--LEFT(INDEX(Расчет!$C$2:$C$3001,$L1299),1),"")))</f>
        <v/>
      </c>
      <c r="H1299">
        <f>IF($L1299="","",SUMIFS(Расчет!$G$2:$G$3001,Расчет!$I$2:$I$3001,$K1299,Расчет!$H$2:$H$3001,1))</f>
        <v/>
      </c>
      <c r="I1299">
        <f>IF($L1299="","",SUMIFS(Расчет!$G$2:$G$3001,Расчет!$I$2:$I$3001,$K1299,Расчет!$H$2:$H$3001,2))</f>
        <v/>
      </c>
      <c r="J1299">
        <f>IF($L1299="","",SUMIFS(Расчет!$G$2:$G$3001,Расчет!$I$2:$I$3001,$K1299,Расчет!$H$2:$H$3001,3))</f>
        <v/>
      </c>
      <c r="K1299">
        <f>IF($L1299="","",INDEX(Расчет!$I$2:$I$3001,$L1299))</f>
        <v/>
      </c>
      <c r="L1299">
        <f>IFERROR(MATCH(ROW()-1,Расчет!$J$2:$J$3001,0),"")</f>
        <v/>
      </c>
    </row>
    <row r="1300">
      <c r="A1300">
        <f>IF($L1300="","",B1300&amp;"."&amp;C1300&amp;"-"&amp;D1300&amp;"-"&amp;H1300&amp;"."&amp;I1300&amp;"."&amp;J1300)</f>
        <v/>
      </c>
      <c r="B1300">
        <f>IF($L1300="","",INDEX(Расчет!$A$2:$A$3001,$L1300))</f>
        <v/>
      </c>
      <c r="C1300">
        <f>IF($L1300="","",INDEX(Расчет!$B$2:$B$3001,$L1300))</f>
        <v/>
      </c>
      <c r="D1300">
        <f>IF($L1300="","",IF(ISNUMBER(FIND("(",INDEX(Расчет!$C$2:$C$3001,$L1300))),SUBSTITUTE(MID(INDEX(Расчет!$C$2:$C$3001,$L1300),FIND("(",INDEX(Расчет!$C$2:$C$3001,$L1300))+1,99),")",""),INDEX(Расчет!$C$2:$C$3001,$L1300)))</f>
        <v/>
      </c>
      <c r="E1300">
        <f>IF($L1300="","",INDEX(Расчет!$D$2:$D$3001,$L1300))</f>
        <v/>
      </c>
      <c r="F1300">
        <f>IF($L1300="","",INDEX(Расчет!$E$2:$E$3001,$L1300))</f>
        <v/>
      </c>
      <c r="G1300">
        <f>IF($L1300="","",IFERROR(--LEFT(INDEX(Расчет!$C$2:$C$3001,$L1300),FIND("(",INDEX(Расчет!$C$2:$C$3001,$L1300))-1),IFERROR(--LEFT(INDEX(Расчет!$C$2:$C$3001,$L1300),1),"")))</f>
        <v/>
      </c>
      <c r="H1300">
        <f>IF($L1300="","",SUMIFS(Расчет!$G$2:$G$3001,Расчет!$I$2:$I$3001,$K1300,Расчет!$H$2:$H$3001,1))</f>
        <v/>
      </c>
      <c r="I1300">
        <f>IF($L1300="","",SUMIFS(Расчет!$G$2:$G$3001,Расчет!$I$2:$I$3001,$K1300,Расчет!$H$2:$H$3001,2))</f>
        <v/>
      </c>
      <c r="J1300">
        <f>IF($L1300="","",SUMIFS(Расчет!$G$2:$G$3001,Расчет!$I$2:$I$3001,$K1300,Расчет!$H$2:$H$3001,3))</f>
        <v/>
      </c>
      <c r="K1300">
        <f>IF($L1300="","",INDEX(Расчет!$I$2:$I$3001,$L1300))</f>
        <v/>
      </c>
      <c r="L1300">
        <f>IFERROR(MATCH(ROW()-1,Расчет!$J$2:$J$3001,0),"")</f>
        <v/>
      </c>
    </row>
    <row r="1301">
      <c r="A1301">
        <f>IF($L1301="","",B1301&amp;"."&amp;C1301&amp;"-"&amp;D1301&amp;"-"&amp;H1301&amp;"."&amp;I1301&amp;"."&amp;J1301)</f>
        <v/>
      </c>
      <c r="B1301">
        <f>IF($L1301="","",INDEX(Расчет!$A$2:$A$3001,$L1301))</f>
        <v/>
      </c>
      <c r="C1301">
        <f>IF($L1301="","",INDEX(Расчет!$B$2:$B$3001,$L1301))</f>
        <v/>
      </c>
      <c r="D1301">
        <f>IF($L1301="","",IF(ISNUMBER(FIND("(",INDEX(Расчет!$C$2:$C$3001,$L1301))),SUBSTITUTE(MID(INDEX(Расчет!$C$2:$C$3001,$L1301),FIND("(",INDEX(Расчет!$C$2:$C$3001,$L1301))+1,99),")",""),INDEX(Расчет!$C$2:$C$3001,$L1301)))</f>
        <v/>
      </c>
      <c r="E1301">
        <f>IF($L1301="","",INDEX(Расчет!$D$2:$D$3001,$L1301))</f>
        <v/>
      </c>
      <c r="F1301">
        <f>IF($L1301="","",INDEX(Расчет!$E$2:$E$3001,$L1301))</f>
        <v/>
      </c>
      <c r="G1301">
        <f>IF($L1301="","",IFERROR(--LEFT(INDEX(Расчет!$C$2:$C$3001,$L1301),FIND("(",INDEX(Расчет!$C$2:$C$3001,$L1301))-1),IFERROR(--LEFT(INDEX(Расчет!$C$2:$C$3001,$L1301),1),"")))</f>
        <v/>
      </c>
      <c r="H1301">
        <f>IF($L1301="","",SUMIFS(Расчет!$G$2:$G$3001,Расчет!$I$2:$I$3001,$K1301,Расчет!$H$2:$H$3001,1))</f>
        <v/>
      </c>
      <c r="I1301">
        <f>IF($L1301="","",SUMIFS(Расчет!$G$2:$G$3001,Расчет!$I$2:$I$3001,$K1301,Расчет!$H$2:$H$3001,2))</f>
        <v/>
      </c>
      <c r="J1301">
        <f>IF($L1301="","",SUMIFS(Расчет!$G$2:$G$3001,Расчет!$I$2:$I$3001,$K1301,Расчет!$H$2:$H$3001,3))</f>
        <v/>
      </c>
      <c r="K1301">
        <f>IF($L1301="","",INDEX(Расчет!$I$2:$I$3001,$L1301))</f>
        <v/>
      </c>
      <c r="L1301">
        <f>IFERROR(MATCH(ROW()-1,Расчет!$J$2:$J$3001,0),"")</f>
        <v/>
      </c>
    </row>
    <row r="1302">
      <c r="A1302">
        <f>IF($L1302="","",B1302&amp;"."&amp;C1302&amp;"-"&amp;D1302&amp;"-"&amp;H1302&amp;"."&amp;I1302&amp;"."&amp;J1302)</f>
        <v/>
      </c>
      <c r="B1302">
        <f>IF($L1302="","",INDEX(Расчет!$A$2:$A$3001,$L1302))</f>
        <v/>
      </c>
      <c r="C1302">
        <f>IF($L1302="","",INDEX(Расчет!$B$2:$B$3001,$L1302))</f>
        <v/>
      </c>
      <c r="D1302">
        <f>IF($L1302="","",IF(ISNUMBER(FIND("(",INDEX(Расчет!$C$2:$C$3001,$L1302))),SUBSTITUTE(MID(INDEX(Расчет!$C$2:$C$3001,$L1302),FIND("(",INDEX(Расчет!$C$2:$C$3001,$L1302))+1,99),")",""),INDEX(Расчет!$C$2:$C$3001,$L1302)))</f>
        <v/>
      </c>
      <c r="E1302">
        <f>IF($L1302="","",INDEX(Расчет!$D$2:$D$3001,$L1302))</f>
        <v/>
      </c>
      <c r="F1302">
        <f>IF($L1302="","",INDEX(Расчет!$E$2:$E$3001,$L1302))</f>
        <v/>
      </c>
      <c r="G1302">
        <f>IF($L1302="","",IFERROR(--LEFT(INDEX(Расчет!$C$2:$C$3001,$L1302),FIND("(",INDEX(Расчет!$C$2:$C$3001,$L1302))-1),IFERROR(--LEFT(INDEX(Расчет!$C$2:$C$3001,$L1302),1),"")))</f>
        <v/>
      </c>
      <c r="H1302">
        <f>IF($L1302="","",SUMIFS(Расчет!$G$2:$G$3001,Расчет!$I$2:$I$3001,$K1302,Расчет!$H$2:$H$3001,1))</f>
        <v/>
      </c>
      <c r="I1302">
        <f>IF($L1302="","",SUMIFS(Расчет!$G$2:$G$3001,Расчет!$I$2:$I$3001,$K1302,Расчет!$H$2:$H$3001,2))</f>
        <v/>
      </c>
      <c r="J1302">
        <f>IF($L1302="","",SUMIFS(Расчет!$G$2:$G$3001,Расчет!$I$2:$I$3001,$K1302,Расчет!$H$2:$H$3001,3))</f>
        <v/>
      </c>
      <c r="K1302">
        <f>IF($L1302="","",INDEX(Расчет!$I$2:$I$3001,$L1302))</f>
        <v/>
      </c>
      <c r="L1302">
        <f>IFERROR(MATCH(ROW()-1,Расчет!$J$2:$J$3001,0),"")</f>
        <v/>
      </c>
    </row>
    <row r="1303">
      <c r="A1303">
        <f>IF($L1303="","",B1303&amp;"."&amp;C1303&amp;"-"&amp;D1303&amp;"-"&amp;H1303&amp;"."&amp;I1303&amp;"."&amp;J1303)</f>
        <v/>
      </c>
      <c r="B1303">
        <f>IF($L1303="","",INDEX(Расчет!$A$2:$A$3001,$L1303))</f>
        <v/>
      </c>
      <c r="C1303">
        <f>IF($L1303="","",INDEX(Расчет!$B$2:$B$3001,$L1303))</f>
        <v/>
      </c>
      <c r="D1303">
        <f>IF($L1303="","",IF(ISNUMBER(FIND("(",INDEX(Расчет!$C$2:$C$3001,$L1303))),SUBSTITUTE(MID(INDEX(Расчет!$C$2:$C$3001,$L1303),FIND("(",INDEX(Расчет!$C$2:$C$3001,$L1303))+1,99),")",""),INDEX(Расчет!$C$2:$C$3001,$L1303)))</f>
        <v/>
      </c>
      <c r="E1303">
        <f>IF($L1303="","",INDEX(Расчет!$D$2:$D$3001,$L1303))</f>
        <v/>
      </c>
      <c r="F1303">
        <f>IF($L1303="","",INDEX(Расчет!$E$2:$E$3001,$L1303))</f>
        <v/>
      </c>
      <c r="G1303">
        <f>IF($L1303="","",IFERROR(--LEFT(INDEX(Расчет!$C$2:$C$3001,$L1303),FIND("(",INDEX(Расчет!$C$2:$C$3001,$L1303))-1),IFERROR(--LEFT(INDEX(Расчет!$C$2:$C$3001,$L1303),1),"")))</f>
        <v/>
      </c>
      <c r="H1303">
        <f>IF($L1303="","",SUMIFS(Расчет!$G$2:$G$3001,Расчет!$I$2:$I$3001,$K1303,Расчет!$H$2:$H$3001,1))</f>
        <v/>
      </c>
      <c r="I1303">
        <f>IF($L1303="","",SUMIFS(Расчет!$G$2:$G$3001,Расчет!$I$2:$I$3001,$K1303,Расчет!$H$2:$H$3001,2))</f>
        <v/>
      </c>
      <c r="J1303">
        <f>IF($L1303="","",SUMIFS(Расчет!$G$2:$G$3001,Расчет!$I$2:$I$3001,$K1303,Расчет!$H$2:$H$3001,3))</f>
        <v/>
      </c>
      <c r="K1303">
        <f>IF($L1303="","",INDEX(Расчет!$I$2:$I$3001,$L1303))</f>
        <v/>
      </c>
      <c r="L1303">
        <f>IFERROR(MATCH(ROW()-1,Расчет!$J$2:$J$3001,0),"")</f>
        <v/>
      </c>
    </row>
    <row r="1304">
      <c r="A1304">
        <f>IF($L1304="","",B1304&amp;"."&amp;C1304&amp;"-"&amp;D1304&amp;"-"&amp;H1304&amp;"."&amp;I1304&amp;"."&amp;J1304)</f>
        <v/>
      </c>
      <c r="B1304">
        <f>IF($L1304="","",INDEX(Расчет!$A$2:$A$3001,$L1304))</f>
        <v/>
      </c>
      <c r="C1304">
        <f>IF($L1304="","",INDEX(Расчет!$B$2:$B$3001,$L1304))</f>
        <v/>
      </c>
      <c r="D1304">
        <f>IF($L1304="","",IF(ISNUMBER(FIND("(",INDEX(Расчет!$C$2:$C$3001,$L1304))),SUBSTITUTE(MID(INDEX(Расчет!$C$2:$C$3001,$L1304),FIND("(",INDEX(Расчет!$C$2:$C$3001,$L1304))+1,99),")",""),INDEX(Расчет!$C$2:$C$3001,$L1304)))</f>
        <v/>
      </c>
      <c r="E1304">
        <f>IF($L1304="","",INDEX(Расчет!$D$2:$D$3001,$L1304))</f>
        <v/>
      </c>
      <c r="F1304">
        <f>IF($L1304="","",INDEX(Расчет!$E$2:$E$3001,$L1304))</f>
        <v/>
      </c>
      <c r="G1304">
        <f>IF($L1304="","",IFERROR(--LEFT(INDEX(Расчет!$C$2:$C$3001,$L1304),FIND("(",INDEX(Расчет!$C$2:$C$3001,$L1304))-1),IFERROR(--LEFT(INDEX(Расчет!$C$2:$C$3001,$L1304),1),"")))</f>
        <v/>
      </c>
      <c r="H1304">
        <f>IF($L1304="","",SUMIFS(Расчет!$G$2:$G$3001,Расчет!$I$2:$I$3001,$K1304,Расчет!$H$2:$H$3001,1))</f>
        <v/>
      </c>
      <c r="I1304">
        <f>IF($L1304="","",SUMIFS(Расчет!$G$2:$G$3001,Расчет!$I$2:$I$3001,$K1304,Расчет!$H$2:$H$3001,2))</f>
        <v/>
      </c>
      <c r="J1304">
        <f>IF($L1304="","",SUMIFS(Расчет!$G$2:$G$3001,Расчет!$I$2:$I$3001,$K1304,Расчет!$H$2:$H$3001,3))</f>
        <v/>
      </c>
      <c r="K1304">
        <f>IF($L1304="","",INDEX(Расчет!$I$2:$I$3001,$L1304))</f>
        <v/>
      </c>
      <c r="L1304">
        <f>IFERROR(MATCH(ROW()-1,Расчет!$J$2:$J$3001,0),"")</f>
        <v/>
      </c>
    </row>
    <row r="1305">
      <c r="A1305">
        <f>IF($L1305="","",B1305&amp;"."&amp;C1305&amp;"-"&amp;D1305&amp;"-"&amp;H1305&amp;"."&amp;I1305&amp;"."&amp;J1305)</f>
        <v/>
      </c>
      <c r="B1305">
        <f>IF($L1305="","",INDEX(Расчет!$A$2:$A$3001,$L1305))</f>
        <v/>
      </c>
      <c r="C1305">
        <f>IF($L1305="","",INDEX(Расчет!$B$2:$B$3001,$L1305))</f>
        <v/>
      </c>
      <c r="D1305">
        <f>IF($L1305="","",IF(ISNUMBER(FIND("(",INDEX(Расчет!$C$2:$C$3001,$L1305))),SUBSTITUTE(MID(INDEX(Расчет!$C$2:$C$3001,$L1305),FIND("(",INDEX(Расчет!$C$2:$C$3001,$L1305))+1,99),")",""),INDEX(Расчет!$C$2:$C$3001,$L1305)))</f>
        <v/>
      </c>
      <c r="E1305">
        <f>IF($L1305="","",INDEX(Расчет!$D$2:$D$3001,$L1305))</f>
        <v/>
      </c>
      <c r="F1305">
        <f>IF($L1305="","",INDEX(Расчет!$E$2:$E$3001,$L1305))</f>
        <v/>
      </c>
      <c r="G1305">
        <f>IF($L1305="","",IFERROR(--LEFT(INDEX(Расчет!$C$2:$C$3001,$L1305),FIND("(",INDEX(Расчет!$C$2:$C$3001,$L1305))-1),IFERROR(--LEFT(INDEX(Расчет!$C$2:$C$3001,$L1305),1),"")))</f>
        <v/>
      </c>
      <c r="H1305">
        <f>IF($L1305="","",SUMIFS(Расчет!$G$2:$G$3001,Расчет!$I$2:$I$3001,$K1305,Расчет!$H$2:$H$3001,1))</f>
        <v/>
      </c>
      <c r="I1305">
        <f>IF($L1305="","",SUMIFS(Расчет!$G$2:$G$3001,Расчет!$I$2:$I$3001,$K1305,Расчет!$H$2:$H$3001,2))</f>
        <v/>
      </c>
      <c r="J1305">
        <f>IF($L1305="","",SUMIFS(Расчет!$G$2:$G$3001,Расчет!$I$2:$I$3001,$K1305,Расчет!$H$2:$H$3001,3))</f>
        <v/>
      </c>
      <c r="K1305">
        <f>IF($L1305="","",INDEX(Расчет!$I$2:$I$3001,$L1305))</f>
        <v/>
      </c>
      <c r="L1305">
        <f>IFERROR(MATCH(ROW()-1,Расчет!$J$2:$J$3001,0),"")</f>
        <v/>
      </c>
    </row>
    <row r="1306">
      <c r="A1306">
        <f>IF($L1306="","",B1306&amp;"."&amp;C1306&amp;"-"&amp;D1306&amp;"-"&amp;H1306&amp;"."&amp;I1306&amp;"."&amp;J1306)</f>
        <v/>
      </c>
      <c r="B1306">
        <f>IF($L1306="","",INDEX(Расчет!$A$2:$A$3001,$L1306))</f>
        <v/>
      </c>
      <c r="C1306">
        <f>IF($L1306="","",INDEX(Расчет!$B$2:$B$3001,$L1306))</f>
        <v/>
      </c>
      <c r="D1306">
        <f>IF($L1306="","",IF(ISNUMBER(FIND("(",INDEX(Расчет!$C$2:$C$3001,$L1306))),SUBSTITUTE(MID(INDEX(Расчет!$C$2:$C$3001,$L1306),FIND("(",INDEX(Расчет!$C$2:$C$3001,$L1306))+1,99),")",""),INDEX(Расчет!$C$2:$C$3001,$L1306)))</f>
        <v/>
      </c>
      <c r="E1306">
        <f>IF($L1306="","",INDEX(Расчет!$D$2:$D$3001,$L1306))</f>
        <v/>
      </c>
      <c r="F1306">
        <f>IF($L1306="","",INDEX(Расчет!$E$2:$E$3001,$L1306))</f>
        <v/>
      </c>
      <c r="G1306">
        <f>IF($L1306="","",IFERROR(--LEFT(INDEX(Расчет!$C$2:$C$3001,$L1306),FIND("(",INDEX(Расчет!$C$2:$C$3001,$L1306))-1),IFERROR(--LEFT(INDEX(Расчет!$C$2:$C$3001,$L1306),1),"")))</f>
        <v/>
      </c>
      <c r="H1306">
        <f>IF($L1306="","",SUMIFS(Расчет!$G$2:$G$3001,Расчет!$I$2:$I$3001,$K1306,Расчет!$H$2:$H$3001,1))</f>
        <v/>
      </c>
      <c r="I1306">
        <f>IF($L1306="","",SUMIFS(Расчет!$G$2:$G$3001,Расчет!$I$2:$I$3001,$K1306,Расчет!$H$2:$H$3001,2))</f>
        <v/>
      </c>
      <c r="J1306">
        <f>IF($L1306="","",SUMIFS(Расчет!$G$2:$G$3001,Расчет!$I$2:$I$3001,$K1306,Расчет!$H$2:$H$3001,3))</f>
        <v/>
      </c>
      <c r="K1306">
        <f>IF($L1306="","",INDEX(Расчет!$I$2:$I$3001,$L1306))</f>
        <v/>
      </c>
      <c r="L1306">
        <f>IFERROR(MATCH(ROW()-1,Расчет!$J$2:$J$3001,0),"")</f>
        <v/>
      </c>
    </row>
    <row r="1307">
      <c r="A1307">
        <f>IF($L1307="","",B1307&amp;"."&amp;C1307&amp;"-"&amp;D1307&amp;"-"&amp;H1307&amp;"."&amp;I1307&amp;"."&amp;J1307)</f>
        <v/>
      </c>
      <c r="B1307">
        <f>IF($L1307="","",INDEX(Расчет!$A$2:$A$3001,$L1307))</f>
        <v/>
      </c>
      <c r="C1307">
        <f>IF($L1307="","",INDEX(Расчет!$B$2:$B$3001,$L1307))</f>
        <v/>
      </c>
      <c r="D1307">
        <f>IF($L1307="","",IF(ISNUMBER(FIND("(",INDEX(Расчет!$C$2:$C$3001,$L1307))),SUBSTITUTE(MID(INDEX(Расчет!$C$2:$C$3001,$L1307),FIND("(",INDEX(Расчет!$C$2:$C$3001,$L1307))+1,99),")",""),INDEX(Расчет!$C$2:$C$3001,$L1307)))</f>
        <v/>
      </c>
      <c r="E1307">
        <f>IF($L1307="","",INDEX(Расчет!$D$2:$D$3001,$L1307))</f>
        <v/>
      </c>
      <c r="F1307">
        <f>IF($L1307="","",INDEX(Расчет!$E$2:$E$3001,$L1307))</f>
        <v/>
      </c>
      <c r="G1307">
        <f>IF($L1307="","",IFERROR(--LEFT(INDEX(Расчет!$C$2:$C$3001,$L1307),FIND("(",INDEX(Расчет!$C$2:$C$3001,$L1307))-1),IFERROR(--LEFT(INDEX(Расчет!$C$2:$C$3001,$L1307),1),"")))</f>
        <v/>
      </c>
      <c r="H1307">
        <f>IF($L1307="","",SUMIFS(Расчет!$G$2:$G$3001,Расчет!$I$2:$I$3001,$K1307,Расчет!$H$2:$H$3001,1))</f>
        <v/>
      </c>
      <c r="I1307">
        <f>IF($L1307="","",SUMIFS(Расчет!$G$2:$G$3001,Расчет!$I$2:$I$3001,$K1307,Расчет!$H$2:$H$3001,2))</f>
        <v/>
      </c>
      <c r="J1307">
        <f>IF($L1307="","",SUMIFS(Расчет!$G$2:$G$3001,Расчет!$I$2:$I$3001,$K1307,Расчет!$H$2:$H$3001,3))</f>
        <v/>
      </c>
      <c r="K1307">
        <f>IF($L1307="","",INDEX(Расчет!$I$2:$I$3001,$L1307))</f>
        <v/>
      </c>
      <c r="L1307">
        <f>IFERROR(MATCH(ROW()-1,Расчет!$J$2:$J$3001,0),"")</f>
        <v/>
      </c>
    </row>
    <row r="1308">
      <c r="A1308">
        <f>IF($L1308="","",B1308&amp;"."&amp;C1308&amp;"-"&amp;D1308&amp;"-"&amp;H1308&amp;"."&amp;I1308&amp;"."&amp;J1308)</f>
        <v/>
      </c>
      <c r="B1308">
        <f>IF($L1308="","",INDEX(Расчет!$A$2:$A$3001,$L1308))</f>
        <v/>
      </c>
      <c r="C1308">
        <f>IF($L1308="","",INDEX(Расчет!$B$2:$B$3001,$L1308))</f>
        <v/>
      </c>
      <c r="D1308">
        <f>IF($L1308="","",IF(ISNUMBER(FIND("(",INDEX(Расчет!$C$2:$C$3001,$L1308))),SUBSTITUTE(MID(INDEX(Расчет!$C$2:$C$3001,$L1308),FIND("(",INDEX(Расчет!$C$2:$C$3001,$L1308))+1,99),")",""),INDEX(Расчет!$C$2:$C$3001,$L1308)))</f>
        <v/>
      </c>
      <c r="E1308">
        <f>IF($L1308="","",INDEX(Расчет!$D$2:$D$3001,$L1308))</f>
        <v/>
      </c>
      <c r="F1308">
        <f>IF($L1308="","",INDEX(Расчет!$E$2:$E$3001,$L1308))</f>
        <v/>
      </c>
      <c r="G1308">
        <f>IF($L1308="","",IFERROR(--LEFT(INDEX(Расчет!$C$2:$C$3001,$L1308),FIND("(",INDEX(Расчет!$C$2:$C$3001,$L1308))-1),IFERROR(--LEFT(INDEX(Расчет!$C$2:$C$3001,$L1308),1),"")))</f>
        <v/>
      </c>
      <c r="H1308">
        <f>IF($L1308="","",SUMIFS(Расчет!$G$2:$G$3001,Расчет!$I$2:$I$3001,$K1308,Расчет!$H$2:$H$3001,1))</f>
        <v/>
      </c>
      <c r="I1308">
        <f>IF($L1308="","",SUMIFS(Расчет!$G$2:$G$3001,Расчет!$I$2:$I$3001,$K1308,Расчет!$H$2:$H$3001,2))</f>
        <v/>
      </c>
      <c r="J1308">
        <f>IF($L1308="","",SUMIFS(Расчет!$G$2:$G$3001,Расчет!$I$2:$I$3001,$K1308,Расчет!$H$2:$H$3001,3))</f>
        <v/>
      </c>
      <c r="K1308">
        <f>IF($L1308="","",INDEX(Расчет!$I$2:$I$3001,$L1308))</f>
        <v/>
      </c>
      <c r="L1308">
        <f>IFERROR(MATCH(ROW()-1,Расчет!$J$2:$J$3001,0),"")</f>
        <v/>
      </c>
    </row>
    <row r="1309">
      <c r="A1309">
        <f>IF($L1309="","",B1309&amp;"."&amp;C1309&amp;"-"&amp;D1309&amp;"-"&amp;H1309&amp;"."&amp;I1309&amp;"."&amp;J1309)</f>
        <v/>
      </c>
      <c r="B1309">
        <f>IF($L1309="","",INDEX(Расчет!$A$2:$A$3001,$L1309))</f>
        <v/>
      </c>
      <c r="C1309">
        <f>IF($L1309="","",INDEX(Расчет!$B$2:$B$3001,$L1309))</f>
        <v/>
      </c>
      <c r="D1309">
        <f>IF($L1309="","",IF(ISNUMBER(FIND("(",INDEX(Расчет!$C$2:$C$3001,$L1309))),SUBSTITUTE(MID(INDEX(Расчет!$C$2:$C$3001,$L1309),FIND("(",INDEX(Расчет!$C$2:$C$3001,$L1309))+1,99),")",""),INDEX(Расчет!$C$2:$C$3001,$L1309)))</f>
        <v/>
      </c>
      <c r="E1309">
        <f>IF($L1309="","",INDEX(Расчет!$D$2:$D$3001,$L1309))</f>
        <v/>
      </c>
      <c r="F1309">
        <f>IF($L1309="","",INDEX(Расчет!$E$2:$E$3001,$L1309))</f>
        <v/>
      </c>
      <c r="G1309">
        <f>IF($L1309="","",IFERROR(--LEFT(INDEX(Расчет!$C$2:$C$3001,$L1309),FIND("(",INDEX(Расчет!$C$2:$C$3001,$L1309))-1),IFERROR(--LEFT(INDEX(Расчет!$C$2:$C$3001,$L1309),1),"")))</f>
        <v/>
      </c>
      <c r="H1309">
        <f>IF($L1309="","",SUMIFS(Расчет!$G$2:$G$3001,Расчет!$I$2:$I$3001,$K1309,Расчет!$H$2:$H$3001,1))</f>
        <v/>
      </c>
      <c r="I1309">
        <f>IF($L1309="","",SUMIFS(Расчет!$G$2:$G$3001,Расчет!$I$2:$I$3001,$K1309,Расчет!$H$2:$H$3001,2))</f>
        <v/>
      </c>
      <c r="J1309">
        <f>IF($L1309="","",SUMIFS(Расчет!$G$2:$G$3001,Расчет!$I$2:$I$3001,$K1309,Расчет!$H$2:$H$3001,3))</f>
        <v/>
      </c>
      <c r="K1309">
        <f>IF($L1309="","",INDEX(Расчет!$I$2:$I$3001,$L1309))</f>
        <v/>
      </c>
      <c r="L1309">
        <f>IFERROR(MATCH(ROW()-1,Расчет!$J$2:$J$3001,0),"")</f>
        <v/>
      </c>
    </row>
    <row r="1310">
      <c r="A1310">
        <f>IF($L1310="","",B1310&amp;"."&amp;C1310&amp;"-"&amp;D1310&amp;"-"&amp;H1310&amp;"."&amp;I1310&amp;"."&amp;J1310)</f>
        <v/>
      </c>
      <c r="B1310">
        <f>IF($L1310="","",INDEX(Расчет!$A$2:$A$3001,$L1310))</f>
        <v/>
      </c>
      <c r="C1310">
        <f>IF($L1310="","",INDEX(Расчет!$B$2:$B$3001,$L1310))</f>
        <v/>
      </c>
      <c r="D1310">
        <f>IF($L1310="","",IF(ISNUMBER(FIND("(",INDEX(Расчет!$C$2:$C$3001,$L1310))),SUBSTITUTE(MID(INDEX(Расчет!$C$2:$C$3001,$L1310),FIND("(",INDEX(Расчет!$C$2:$C$3001,$L1310))+1,99),")",""),INDEX(Расчет!$C$2:$C$3001,$L1310)))</f>
        <v/>
      </c>
      <c r="E1310">
        <f>IF($L1310="","",INDEX(Расчет!$D$2:$D$3001,$L1310))</f>
        <v/>
      </c>
      <c r="F1310">
        <f>IF($L1310="","",INDEX(Расчет!$E$2:$E$3001,$L1310))</f>
        <v/>
      </c>
      <c r="G1310">
        <f>IF($L1310="","",IFERROR(--LEFT(INDEX(Расчет!$C$2:$C$3001,$L1310),FIND("(",INDEX(Расчет!$C$2:$C$3001,$L1310))-1),IFERROR(--LEFT(INDEX(Расчет!$C$2:$C$3001,$L1310),1),"")))</f>
        <v/>
      </c>
      <c r="H1310">
        <f>IF($L1310="","",SUMIFS(Расчет!$G$2:$G$3001,Расчет!$I$2:$I$3001,$K1310,Расчет!$H$2:$H$3001,1))</f>
        <v/>
      </c>
      <c r="I1310">
        <f>IF($L1310="","",SUMIFS(Расчет!$G$2:$G$3001,Расчет!$I$2:$I$3001,$K1310,Расчет!$H$2:$H$3001,2))</f>
        <v/>
      </c>
      <c r="J1310">
        <f>IF($L1310="","",SUMIFS(Расчет!$G$2:$G$3001,Расчет!$I$2:$I$3001,$K1310,Расчет!$H$2:$H$3001,3))</f>
        <v/>
      </c>
      <c r="K1310">
        <f>IF($L1310="","",INDEX(Расчет!$I$2:$I$3001,$L1310))</f>
        <v/>
      </c>
      <c r="L1310">
        <f>IFERROR(MATCH(ROW()-1,Расчет!$J$2:$J$3001,0),"")</f>
        <v/>
      </c>
    </row>
    <row r="1311">
      <c r="A1311">
        <f>IF($L1311="","",B1311&amp;"."&amp;C1311&amp;"-"&amp;D1311&amp;"-"&amp;H1311&amp;"."&amp;I1311&amp;"."&amp;J1311)</f>
        <v/>
      </c>
      <c r="B1311">
        <f>IF($L1311="","",INDEX(Расчет!$A$2:$A$3001,$L1311))</f>
        <v/>
      </c>
      <c r="C1311">
        <f>IF($L1311="","",INDEX(Расчет!$B$2:$B$3001,$L1311))</f>
        <v/>
      </c>
      <c r="D1311">
        <f>IF($L1311="","",IF(ISNUMBER(FIND("(",INDEX(Расчет!$C$2:$C$3001,$L1311))),SUBSTITUTE(MID(INDEX(Расчет!$C$2:$C$3001,$L1311),FIND("(",INDEX(Расчет!$C$2:$C$3001,$L1311))+1,99),")",""),INDEX(Расчет!$C$2:$C$3001,$L1311)))</f>
        <v/>
      </c>
      <c r="E1311">
        <f>IF($L1311="","",INDEX(Расчет!$D$2:$D$3001,$L1311))</f>
        <v/>
      </c>
      <c r="F1311">
        <f>IF($L1311="","",INDEX(Расчет!$E$2:$E$3001,$L1311))</f>
        <v/>
      </c>
      <c r="G1311">
        <f>IF($L1311="","",IFERROR(--LEFT(INDEX(Расчет!$C$2:$C$3001,$L1311),FIND("(",INDEX(Расчет!$C$2:$C$3001,$L1311))-1),IFERROR(--LEFT(INDEX(Расчет!$C$2:$C$3001,$L1311),1),"")))</f>
        <v/>
      </c>
      <c r="H1311">
        <f>IF($L1311="","",SUMIFS(Расчет!$G$2:$G$3001,Расчет!$I$2:$I$3001,$K1311,Расчет!$H$2:$H$3001,1))</f>
        <v/>
      </c>
      <c r="I1311">
        <f>IF($L1311="","",SUMIFS(Расчет!$G$2:$G$3001,Расчет!$I$2:$I$3001,$K1311,Расчет!$H$2:$H$3001,2))</f>
        <v/>
      </c>
      <c r="J1311">
        <f>IF($L1311="","",SUMIFS(Расчет!$G$2:$G$3001,Расчет!$I$2:$I$3001,$K1311,Расчет!$H$2:$H$3001,3))</f>
        <v/>
      </c>
      <c r="K1311">
        <f>IF($L1311="","",INDEX(Расчет!$I$2:$I$3001,$L1311))</f>
        <v/>
      </c>
      <c r="L1311">
        <f>IFERROR(MATCH(ROW()-1,Расчет!$J$2:$J$3001,0),"")</f>
        <v/>
      </c>
    </row>
    <row r="1312">
      <c r="A1312">
        <f>IF($L1312="","",B1312&amp;"."&amp;C1312&amp;"-"&amp;D1312&amp;"-"&amp;H1312&amp;"."&amp;I1312&amp;"."&amp;J1312)</f>
        <v/>
      </c>
      <c r="B1312">
        <f>IF($L1312="","",INDEX(Расчет!$A$2:$A$3001,$L1312))</f>
        <v/>
      </c>
      <c r="C1312">
        <f>IF($L1312="","",INDEX(Расчет!$B$2:$B$3001,$L1312))</f>
        <v/>
      </c>
      <c r="D1312">
        <f>IF($L1312="","",IF(ISNUMBER(FIND("(",INDEX(Расчет!$C$2:$C$3001,$L1312))),SUBSTITUTE(MID(INDEX(Расчет!$C$2:$C$3001,$L1312),FIND("(",INDEX(Расчет!$C$2:$C$3001,$L1312))+1,99),")",""),INDEX(Расчет!$C$2:$C$3001,$L1312)))</f>
        <v/>
      </c>
      <c r="E1312">
        <f>IF($L1312="","",INDEX(Расчет!$D$2:$D$3001,$L1312))</f>
        <v/>
      </c>
      <c r="F1312">
        <f>IF($L1312="","",INDEX(Расчет!$E$2:$E$3001,$L1312))</f>
        <v/>
      </c>
      <c r="G1312">
        <f>IF($L1312="","",IFERROR(--LEFT(INDEX(Расчет!$C$2:$C$3001,$L1312),FIND("(",INDEX(Расчет!$C$2:$C$3001,$L1312))-1),IFERROR(--LEFT(INDEX(Расчет!$C$2:$C$3001,$L1312),1),"")))</f>
        <v/>
      </c>
      <c r="H1312">
        <f>IF($L1312="","",SUMIFS(Расчет!$G$2:$G$3001,Расчет!$I$2:$I$3001,$K1312,Расчет!$H$2:$H$3001,1))</f>
        <v/>
      </c>
      <c r="I1312">
        <f>IF($L1312="","",SUMIFS(Расчет!$G$2:$G$3001,Расчет!$I$2:$I$3001,$K1312,Расчет!$H$2:$H$3001,2))</f>
        <v/>
      </c>
      <c r="J1312">
        <f>IF($L1312="","",SUMIFS(Расчет!$G$2:$G$3001,Расчет!$I$2:$I$3001,$K1312,Расчет!$H$2:$H$3001,3))</f>
        <v/>
      </c>
      <c r="K1312">
        <f>IF($L1312="","",INDEX(Расчет!$I$2:$I$3001,$L1312))</f>
        <v/>
      </c>
      <c r="L1312">
        <f>IFERROR(MATCH(ROW()-1,Расчет!$J$2:$J$3001,0),"")</f>
        <v/>
      </c>
    </row>
    <row r="1313">
      <c r="A1313">
        <f>IF($L1313="","",B1313&amp;"."&amp;C1313&amp;"-"&amp;D1313&amp;"-"&amp;H1313&amp;"."&amp;I1313&amp;"."&amp;J1313)</f>
        <v/>
      </c>
      <c r="B1313">
        <f>IF($L1313="","",INDEX(Расчет!$A$2:$A$3001,$L1313))</f>
        <v/>
      </c>
      <c r="C1313">
        <f>IF($L1313="","",INDEX(Расчет!$B$2:$B$3001,$L1313))</f>
        <v/>
      </c>
      <c r="D1313">
        <f>IF($L1313="","",IF(ISNUMBER(FIND("(",INDEX(Расчет!$C$2:$C$3001,$L1313))),SUBSTITUTE(MID(INDEX(Расчет!$C$2:$C$3001,$L1313),FIND("(",INDEX(Расчет!$C$2:$C$3001,$L1313))+1,99),")",""),INDEX(Расчет!$C$2:$C$3001,$L1313)))</f>
        <v/>
      </c>
      <c r="E1313">
        <f>IF($L1313="","",INDEX(Расчет!$D$2:$D$3001,$L1313))</f>
        <v/>
      </c>
      <c r="F1313">
        <f>IF($L1313="","",INDEX(Расчет!$E$2:$E$3001,$L1313))</f>
        <v/>
      </c>
      <c r="G1313">
        <f>IF($L1313="","",IFERROR(--LEFT(INDEX(Расчет!$C$2:$C$3001,$L1313),FIND("(",INDEX(Расчет!$C$2:$C$3001,$L1313))-1),IFERROR(--LEFT(INDEX(Расчет!$C$2:$C$3001,$L1313),1),"")))</f>
        <v/>
      </c>
      <c r="H1313">
        <f>IF($L1313="","",SUMIFS(Расчет!$G$2:$G$3001,Расчет!$I$2:$I$3001,$K1313,Расчет!$H$2:$H$3001,1))</f>
        <v/>
      </c>
      <c r="I1313">
        <f>IF($L1313="","",SUMIFS(Расчет!$G$2:$G$3001,Расчет!$I$2:$I$3001,$K1313,Расчет!$H$2:$H$3001,2))</f>
        <v/>
      </c>
      <c r="J1313">
        <f>IF($L1313="","",SUMIFS(Расчет!$G$2:$G$3001,Расчет!$I$2:$I$3001,$K1313,Расчет!$H$2:$H$3001,3))</f>
        <v/>
      </c>
      <c r="K1313">
        <f>IF($L1313="","",INDEX(Расчет!$I$2:$I$3001,$L1313))</f>
        <v/>
      </c>
      <c r="L1313">
        <f>IFERROR(MATCH(ROW()-1,Расчет!$J$2:$J$3001,0),"")</f>
        <v/>
      </c>
    </row>
    <row r="1314">
      <c r="A1314">
        <f>IF($L1314="","",B1314&amp;"."&amp;C1314&amp;"-"&amp;D1314&amp;"-"&amp;H1314&amp;"."&amp;I1314&amp;"."&amp;J1314)</f>
        <v/>
      </c>
      <c r="B1314">
        <f>IF($L1314="","",INDEX(Расчет!$A$2:$A$3001,$L1314))</f>
        <v/>
      </c>
      <c r="C1314">
        <f>IF($L1314="","",INDEX(Расчет!$B$2:$B$3001,$L1314))</f>
        <v/>
      </c>
      <c r="D1314">
        <f>IF($L1314="","",IF(ISNUMBER(FIND("(",INDEX(Расчет!$C$2:$C$3001,$L1314))),SUBSTITUTE(MID(INDEX(Расчет!$C$2:$C$3001,$L1314),FIND("(",INDEX(Расчет!$C$2:$C$3001,$L1314))+1,99),")",""),INDEX(Расчет!$C$2:$C$3001,$L1314)))</f>
        <v/>
      </c>
      <c r="E1314">
        <f>IF($L1314="","",INDEX(Расчет!$D$2:$D$3001,$L1314))</f>
        <v/>
      </c>
      <c r="F1314">
        <f>IF($L1314="","",INDEX(Расчет!$E$2:$E$3001,$L1314))</f>
        <v/>
      </c>
      <c r="G1314">
        <f>IF($L1314="","",IFERROR(--LEFT(INDEX(Расчет!$C$2:$C$3001,$L1314),FIND("(",INDEX(Расчет!$C$2:$C$3001,$L1314))-1),IFERROR(--LEFT(INDEX(Расчет!$C$2:$C$3001,$L1314),1),"")))</f>
        <v/>
      </c>
      <c r="H1314">
        <f>IF($L1314="","",SUMIFS(Расчет!$G$2:$G$3001,Расчет!$I$2:$I$3001,$K1314,Расчет!$H$2:$H$3001,1))</f>
        <v/>
      </c>
      <c r="I1314">
        <f>IF($L1314="","",SUMIFS(Расчет!$G$2:$G$3001,Расчет!$I$2:$I$3001,$K1314,Расчет!$H$2:$H$3001,2))</f>
        <v/>
      </c>
      <c r="J1314">
        <f>IF($L1314="","",SUMIFS(Расчет!$G$2:$G$3001,Расчет!$I$2:$I$3001,$K1314,Расчет!$H$2:$H$3001,3))</f>
        <v/>
      </c>
      <c r="K1314">
        <f>IF($L1314="","",INDEX(Расчет!$I$2:$I$3001,$L1314))</f>
        <v/>
      </c>
      <c r="L1314">
        <f>IFERROR(MATCH(ROW()-1,Расчет!$J$2:$J$3001,0),"")</f>
        <v/>
      </c>
    </row>
    <row r="1315">
      <c r="A1315">
        <f>IF($L1315="","",B1315&amp;"."&amp;C1315&amp;"-"&amp;D1315&amp;"-"&amp;H1315&amp;"."&amp;I1315&amp;"."&amp;J1315)</f>
        <v/>
      </c>
      <c r="B1315">
        <f>IF($L1315="","",INDEX(Расчет!$A$2:$A$3001,$L1315))</f>
        <v/>
      </c>
      <c r="C1315">
        <f>IF($L1315="","",INDEX(Расчет!$B$2:$B$3001,$L1315))</f>
        <v/>
      </c>
      <c r="D1315">
        <f>IF($L1315="","",IF(ISNUMBER(FIND("(",INDEX(Расчет!$C$2:$C$3001,$L1315))),SUBSTITUTE(MID(INDEX(Расчет!$C$2:$C$3001,$L1315),FIND("(",INDEX(Расчет!$C$2:$C$3001,$L1315))+1,99),")",""),INDEX(Расчет!$C$2:$C$3001,$L1315)))</f>
        <v/>
      </c>
      <c r="E1315">
        <f>IF($L1315="","",INDEX(Расчет!$D$2:$D$3001,$L1315))</f>
        <v/>
      </c>
      <c r="F1315">
        <f>IF($L1315="","",INDEX(Расчет!$E$2:$E$3001,$L1315))</f>
        <v/>
      </c>
      <c r="G1315">
        <f>IF($L1315="","",IFERROR(--LEFT(INDEX(Расчет!$C$2:$C$3001,$L1315),FIND("(",INDEX(Расчет!$C$2:$C$3001,$L1315))-1),IFERROR(--LEFT(INDEX(Расчет!$C$2:$C$3001,$L1315),1),"")))</f>
        <v/>
      </c>
      <c r="H1315">
        <f>IF($L1315="","",SUMIFS(Расчет!$G$2:$G$3001,Расчет!$I$2:$I$3001,$K1315,Расчет!$H$2:$H$3001,1))</f>
        <v/>
      </c>
      <c r="I1315">
        <f>IF($L1315="","",SUMIFS(Расчет!$G$2:$G$3001,Расчет!$I$2:$I$3001,$K1315,Расчет!$H$2:$H$3001,2))</f>
        <v/>
      </c>
      <c r="J1315">
        <f>IF($L1315="","",SUMIFS(Расчет!$G$2:$G$3001,Расчет!$I$2:$I$3001,$K1315,Расчет!$H$2:$H$3001,3))</f>
        <v/>
      </c>
      <c r="K1315">
        <f>IF($L1315="","",INDEX(Расчет!$I$2:$I$3001,$L1315))</f>
        <v/>
      </c>
      <c r="L1315">
        <f>IFERROR(MATCH(ROW()-1,Расчет!$J$2:$J$3001,0),"")</f>
        <v/>
      </c>
    </row>
    <row r="1316">
      <c r="A1316">
        <f>IF($L1316="","",B1316&amp;"."&amp;C1316&amp;"-"&amp;D1316&amp;"-"&amp;H1316&amp;"."&amp;I1316&amp;"."&amp;J1316)</f>
        <v/>
      </c>
      <c r="B1316">
        <f>IF($L1316="","",INDEX(Расчет!$A$2:$A$3001,$L1316))</f>
        <v/>
      </c>
      <c r="C1316">
        <f>IF($L1316="","",INDEX(Расчет!$B$2:$B$3001,$L1316))</f>
        <v/>
      </c>
      <c r="D1316">
        <f>IF($L1316="","",IF(ISNUMBER(FIND("(",INDEX(Расчет!$C$2:$C$3001,$L1316))),SUBSTITUTE(MID(INDEX(Расчет!$C$2:$C$3001,$L1316),FIND("(",INDEX(Расчет!$C$2:$C$3001,$L1316))+1,99),")",""),INDEX(Расчет!$C$2:$C$3001,$L1316)))</f>
        <v/>
      </c>
      <c r="E1316">
        <f>IF($L1316="","",INDEX(Расчет!$D$2:$D$3001,$L1316))</f>
        <v/>
      </c>
      <c r="F1316">
        <f>IF($L1316="","",INDEX(Расчет!$E$2:$E$3001,$L1316))</f>
        <v/>
      </c>
      <c r="G1316">
        <f>IF($L1316="","",IFERROR(--LEFT(INDEX(Расчет!$C$2:$C$3001,$L1316),FIND("(",INDEX(Расчет!$C$2:$C$3001,$L1316))-1),IFERROR(--LEFT(INDEX(Расчет!$C$2:$C$3001,$L1316),1),"")))</f>
        <v/>
      </c>
      <c r="H1316">
        <f>IF($L1316="","",SUMIFS(Расчет!$G$2:$G$3001,Расчет!$I$2:$I$3001,$K1316,Расчет!$H$2:$H$3001,1))</f>
        <v/>
      </c>
      <c r="I1316">
        <f>IF($L1316="","",SUMIFS(Расчет!$G$2:$G$3001,Расчет!$I$2:$I$3001,$K1316,Расчет!$H$2:$H$3001,2))</f>
        <v/>
      </c>
      <c r="J1316">
        <f>IF($L1316="","",SUMIFS(Расчет!$G$2:$G$3001,Расчет!$I$2:$I$3001,$K1316,Расчет!$H$2:$H$3001,3))</f>
        <v/>
      </c>
      <c r="K1316">
        <f>IF($L1316="","",INDEX(Расчет!$I$2:$I$3001,$L1316))</f>
        <v/>
      </c>
      <c r="L1316">
        <f>IFERROR(MATCH(ROW()-1,Расчет!$J$2:$J$3001,0),"")</f>
        <v/>
      </c>
    </row>
    <row r="1317">
      <c r="A1317">
        <f>IF($L1317="","",B1317&amp;"."&amp;C1317&amp;"-"&amp;D1317&amp;"-"&amp;H1317&amp;"."&amp;I1317&amp;"."&amp;J1317)</f>
        <v/>
      </c>
      <c r="B1317">
        <f>IF($L1317="","",INDEX(Расчет!$A$2:$A$3001,$L1317))</f>
        <v/>
      </c>
      <c r="C1317">
        <f>IF($L1317="","",INDEX(Расчет!$B$2:$B$3001,$L1317))</f>
        <v/>
      </c>
      <c r="D1317">
        <f>IF($L1317="","",IF(ISNUMBER(FIND("(",INDEX(Расчет!$C$2:$C$3001,$L1317))),SUBSTITUTE(MID(INDEX(Расчет!$C$2:$C$3001,$L1317),FIND("(",INDEX(Расчет!$C$2:$C$3001,$L1317))+1,99),")",""),INDEX(Расчет!$C$2:$C$3001,$L1317)))</f>
        <v/>
      </c>
      <c r="E1317">
        <f>IF($L1317="","",INDEX(Расчет!$D$2:$D$3001,$L1317))</f>
        <v/>
      </c>
      <c r="F1317">
        <f>IF($L1317="","",INDEX(Расчет!$E$2:$E$3001,$L1317))</f>
        <v/>
      </c>
      <c r="G1317">
        <f>IF($L1317="","",IFERROR(--LEFT(INDEX(Расчет!$C$2:$C$3001,$L1317),FIND("(",INDEX(Расчет!$C$2:$C$3001,$L1317))-1),IFERROR(--LEFT(INDEX(Расчет!$C$2:$C$3001,$L1317),1),"")))</f>
        <v/>
      </c>
      <c r="H1317">
        <f>IF($L1317="","",SUMIFS(Расчет!$G$2:$G$3001,Расчет!$I$2:$I$3001,$K1317,Расчет!$H$2:$H$3001,1))</f>
        <v/>
      </c>
      <c r="I1317">
        <f>IF($L1317="","",SUMIFS(Расчет!$G$2:$G$3001,Расчет!$I$2:$I$3001,$K1317,Расчет!$H$2:$H$3001,2))</f>
        <v/>
      </c>
      <c r="J1317">
        <f>IF($L1317="","",SUMIFS(Расчет!$G$2:$G$3001,Расчет!$I$2:$I$3001,$K1317,Расчет!$H$2:$H$3001,3))</f>
        <v/>
      </c>
      <c r="K1317">
        <f>IF($L1317="","",INDEX(Расчет!$I$2:$I$3001,$L1317))</f>
        <v/>
      </c>
      <c r="L1317">
        <f>IFERROR(MATCH(ROW()-1,Расчет!$J$2:$J$3001,0),"")</f>
        <v/>
      </c>
    </row>
    <row r="1318">
      <c r="A1318">
        <f>IF($L1318="","",B1318&amp;"."&amp;C1318&amp;"-"&amp;D1318&amp;"-"&amp;H1318&amp;"."&amp;I1318&amp;"."&amp;J1318)</f>
        <v/>
      </c>
      <c r="B1318">
        <f>IF($L1318="","",INDEX(Расчет!$A$2:$A$3001,$L1318))</f>
        <v/>
      </c>
      <c r="C1318">
        <f>IF($L1318="","",INDEX(Расчет!$B$2:$B$3001,$L1318))</f>
        <v/>
      </c>
      <c r="D1318">
        <f>IF($L1318="","",IF(ISNUMBER(FIND("(",INDEX(Расчет!$C$2:$C$3001,$L1318))),SUBSTITUTE(MID(INDEX(Расчет!$C$2:$C$3001,$L1318),FIND("(",INDEX(Расчет!$C$2:$C$3001,$L1318))+1,99),")",""),INDEX(Расчет!$C$2:$C$3001,$L1318)))</f>
        <v/>
      </c>
      <c r="E1318">
        <f>IF($L1318="","",INDEX(Расчет!$D$2:$D$3001,$L1318))</f>
        <v/>
      </c>
      <c r="F1318">
        <f>IF($L1318="","",INDEX(Расчет!$E$2:$E$3001,$L1318))</f>
        <v/>
      </c>
      <c r="G1318">
        <f>IF($L1318="","",IFERROR(--LEFT(INDEX(Расчет!$C$2:$C$3001,$L1318),FIND("(",INDEX(Расчет!$C$2:$C$3001,$L1318))-1),IFERROR(--LEFT(INDEX(Расчет!$C$2:$C$3001,$L1318),1),"")))</f>
        <v/>
      </c>
      <c r="H1318">
        <f>IF($L1318="","",SUMIFS(Расчет!$G$2:$G$3001,Расчет!$I$2:$I$3001,$K1318,Расчет!$H$2:$H$3001,1))</f>
        <v/>
      </c>
      <c r="I1318">
        <f>IF($L1318="","",SUMIFS(Расчет!$G$2:$G$3001,Расчет!$I$2:$I$3001,$K1318,Расчет!$H$2:$H$3001,2))</f>
        <v/>
      </c>
      <c r="J1318">
        <f>IF($L1318="","",SUMIFS(Расчет!$G$2:$G$3001,Расчет!$I$2:$I$3001,$K1318,Расчет!$H$2:$H$3001,3))</f>
        <v/>
      </c>
      <c r="K1318">
        <f>IF($L1318="","",INDEX(Расчет!$I$2:$I$3001,$L1318))</f>
        <v/>
      </c>
      <c r="L1318">
        <f>IFERROR(MATCH(ROW()-1,Расчет!$J$2:$J$3001,0),"")</f>
        <v/>
      </c>
    </row>
    <row r="1319">
      <c r="A1319">
        <f>IF($L1319="","",B1319&amp;"."&amp;C1319&amp;"-"&amp;D1319&amp;"-"&amp;H1319&amp;"."&amp;I1319&amp;"."&amp;J1319)</f>
        <v/>
      </c>
      <c r="B1319">
        <f>IF($L1319="","",INDEX(Расчет!$A$2:$A$3001,$L1319))</f>
        <v/>
      </c>
      <c r="C1319">
        <f>IF($L1319="","",INDEX(Расчет!$B$2:$B$3001,$L1319))</f>
        <v/>
      </c>
      <c r="D1319">
        <f>IF($L1319="","",IF(ISNUMBER(FIND("(",INDEX(Расчет!$C$2:$C$3001,$L1319))),SUBSTITUTE(MID(INDEX(Расчет!$C$2:$C$3001,$L1319),FIND("(",INDEX(Расчет!$C$2:$C$3001,$L1319))+1,99),")",""),INDEX(Расчет!$C$2:$C$3001,$L1319)))</f>
        <v/>
      </c>
      <c r="E1319">
        <f>IF($L1319="","",INDEX(Расчет!$D$2:$D$3001,$L1319))</f>
        <v/>
      </c>
      <c r="F1319">
        <f>IF($L1319="","",INDEX(Расчет!$E$2:$E$3001,$L1319))</f>
        <v/>
      </c>
      <c r="G1319">
        <f>IF($L1319="","",IFERROR(--LEFT(INDEX(Расчет!$C$2:$C$3001,$L1319),FIND("(",INDEX(Расчет!$C$2:$C$3001,$L1319))-1),IFERROR(--LEFT(INDEX(Расчет!$C$2:$C$3001,$L1319),1),"")))</f>
        <v/>
      </c>
      <c r="H1319">
        <f>IF($L1319="","",SUMIFS(Расчет!$G$2:$G$3001,Расчет!$I$2:$I$3001,$K1319,Расчет!$H$2:$H$3001,1))</f>
        <v/>
      </c>
      <c r="I1319">
        <f>IF($L1319="","",SUMIFS(Расчет!$G$2:$G$3001,Расчет!$I$2:$I$3001,$K1319,Расчет!$H$2:$H$3001,2))</f>
        <v/>
      </c>
      <c r="J1319">
        <f>IF($L1319="","",SUMIFS(Расчет!$G$2:$G$3001,Расчет!$I$2:$I$3001,$K1319,Расчет!$H$2:$H$3001,3))</f>
        <v/>
      </c>
      <c r="K1319">
        <f>IF($L1319="","",INDEX(Расчет!$I$2:$I$3001,$L1319))</f>
        <v/>
      </c>
      <c r="L1319">
        <f>IFERROR(MATCH(ROW()-1,Расчет!$J$2:$J$3001,0),"")</f>
        <v/>
      </c>
    </row>
    <row r="1320">
      <c r="A1320">
        <f>IF($L1320="","",B1320&amp;"."&amp;C1320&amp;"-"&amp;D1320&amp;"-"&amp;H1320&amp;"."&amp;I1320&amp;"."&amp;J1320)</f>
        <v/>
      </c>
      <c r="B1320">
        <f>IF($L1320="","",INDEX(Расчет!$A$2:$A$3001,$L1320))</f>
        <v/>
      </c>
      <c r="C1320">
        <f>IF($L1320="","",INDEX(Расчет!$B$2:$B$3001,$L1320))</f>
        <v/>
      </c>
      <c r="D1320">
        <f>IF($L1320="","",IF(ISNUMBER(FIND("(",INDEX(Расчет!$C$2:$C$3001,$L1320))),SUBSTITUTE(MID(INDEX(Расчет!$C$2:$C$3001,$L1320),FIND("(",INDEX(Расчет!$C$2:$C$3001,$L1320))+1,99),")",""),INDEX(Расчет!$C$2:$C$3001,$L1320)))</f>
        <v/>
      </c>
      <c r="E1320">
        <f>IF($L1320="","",INDEX(Расчет!$D$2:$D$3001,$L1320))</f>
        <v/>
      </c>
      <c r="F1320">
        <f>IF($L1320="","",INDEX(Расчет!$E$2:$E$3001,$L1320))</f>
        <v/>
      </c>
      <c r="G1320">
        <f>IF($L1320="","",IFERROR(--LEFT(INDEX(Расчет!$C$2:$C$3001,$L1320),FIND("(",INDEX(Расчет!$C$2:$C$3001,$L1320))-1),IFERROR(--LEFT(INDEX(Расчет!$C$2:$C$3001,$L1320),1),"")))</f>
        <v/>
      </c>
      <c r="H1320">
        <f>IF($L1320="","",SUMIFS(Расчет!$G$2:$G$3001,Расчет!$I$2:$I$3001,$K1320,Расчет!$H$2:$H$3001,1))</f>
        <v/>
      </c>
      <c r="I1320">
        <f>IF($L1320="","",SUMIFS(Расчет!$G$2:$G$3001,Расчет!$I$2:$I$3001,$K1320,Расчет!$H$2:$H$3001,2))</f>
        <v/>
      </c>
      <c r="J1320">
        <f>IF($L1320="","",SUMIFS(Расчет!$G$2:$G$3001,Расчет!$I$2:$I$3001,$K1320,Расчет!$H$2:$H$3001,3))</f>
        <v/>
      </c>
      <c r="K1320">
        <f>IF($L1320="","",INDEX(Расчет!$I$2:$I$3001,$L1320))</f>
        <v/>
      </c>
      <c r="L1320">
        <f>IFERROR(MATCH(ROW()-1,Расчет!$J$2:$J$3001,0),"")</f>
        <v/>
      </c>
    </row>
    <row r="1321">
      <c r="A1321">
        <f>IF($L1321="","",B1321&amp;"."&amp;C1321&amp;"-"&amp;D1321&amp;"-"&amp;H1321&amp;"."&amp;I1321&amp;"."&amp;J1321)</f>
        <v/>
      </c>
      <c r="B1321">
        <f>IF($L1321="","",INDEX(Расчет!$A$2:$A$3001,$L1321))</f>
        <v/>
      </c>
      <c r="C1321">
        <f>IF($L1321="","",INDEX(Расчет!$B$2:$B$3001,$L1321))</f>
        <v/>
      </c>
      <c r="D1321">
        <f>IF($L1321="","",IF(ISNUMBER(FIND("(",INDEX(Расчет!$C$2:$C$3001,$L1321))),SUBSTITUTE(MID(INDEX(Расчет!$C$2:$C$3001,$L1321),FIND("(",INDEX(Расчет!$C$2:$C$3001,$L1321))+1,99),")",""),INDEX(Расчет!$C$2:$C$3001,$L1321)))</f>
        <v/>
      </c>
      <c r="E1321">
        <f>IF($L1321="","",INDEX(Расчет!$D$2:$D$3001,$L1321))</f>
        <v/>
      </c>
      <c r="F1321">
        <f>IF($L1321="","",INDEX(Расчет!$E$2:$E$3001,$L1321))</f>
        <v/>
      </c>
      <c r="G1321">
        <f>IF($L1321="","",IFERROR(--LEFT(INDEX(Расчет!$C$2:$C$3001,$L1321),FIND("(",INDEX(Расчет!$C$2:$C$3001,$L1321))-1),IFERROR(--LEFT(INDEX(Расчет!$C$2:$C$3001,$L1321),1),"")))</f>
        <v/>
      </c>
      <c r="H1321">
        <f>IF($L1321="","",SUMIFS(Расчет!$G$2:$G$3001,Расчет!$I$2:$I$3001,$K1321,Расчет!$H$2:$H$3001,1))</f>
        <v/>
      </c>
      <c r="I1321">
        <f>IF($L1321="","",SUMIFS(Расчет!$G$2:$G$3001,Расчет!$I$2:$I$3001,$K1321,Расчет!$H$2:$H$3001,2))</f>
        <v/>
      </c>
      <c r="J1321">
        <f>IF($L1321="","",SUMIFS(Расчет!$G$2:$G$3001,Расчет!$I$2:$I$3001,$K1321,Расчет!$H$2:$H$3001,3))</f>
        <v/>
      </c>
      <c r="K1321">
        <f>IF($L1321="","",INDEX(Расчет!$I$2:$I$3001,$L1321))</f>
        <v/>
      </c>
      <c r="L1321">
        <f>IFERROR(MATCH(ROW()-1,Расчет!$J$2:$J$3001,0),"")</f>
        <v/>
      </c>
    </row>
    <row r="1322">
      <c r="A1322">
        <f>IF($L1322="","",B1322&amp;"."&amp;C1322&amp;"-"&amp;D1322&amp;"-"&amp;H1322&amp;"."&amp;I1322&amp;"."&amp;J1322)</f>
        <v/>
      </c>
      <c r="B1322">
        <f>IF($L1322="","",INDEX(Расчет!$A$2:$A$3001,$L1322))</f>
        <v/>
      </c>
      <c r="C1322">
        <f>IF($L1322="","",INDEX(Расчет!$B$2:$B$3001,$L1322))</f>
        <v/>
      </c>
      <c r="D1322">
        <f>IF($L1322="","",IF(ISNUMBER(FIND("(",INDEX(Расчет!$C$2:$C$3001,$L1322))),SUBSTITUTE(MID(INDEX(Расчет!$C$2:$C$3001,$L1322),FIND("(",INDEX(Расчет!$C$2:$C$3001,$L1322))+1,99),")",""),INDEX(Расчет!$C$2:$C$3001,$L1322)))</f>
        <v/>
      </c>
      <c r="E1322">
        <f>IF($L1322="","",INDEX(Расчет!$D$2:$D$3001,$L1322))</f>
        <v/>
      </c>
      <c r="F1322">
        <f>IF($L1322="","",INDEX(Расчет!$E$2:$E$3001,$L1322))</f>
        <v/>
      </c>
      <c r="G1322">
        <f>IF($L1322="","",IFERROR(--LEFT(INDEX(Расчет!$C$2:$C$3001,$L1322),FIND("(",INDEX(Расчет!$C$2:$C$3001,$L1322))-1),IFERROR(--LEFT(INDEX(Расчет!$C$2:$C$3001,$L1322),1),"")))</f>
        <v/>
      </c>
      <c r="H1322">
        <f>IF($L1322="","",SUMIFS(Расчет!$G$2:$G$3001,Расчет!$I$2:$I$3001,$K1322,Расчет!$H$2:$H$3001,1))</f>
        <v/>
      </c>
      <c r="I1322">
        <f>IF($L1322="","",SUMIFS(Расчет!$G$2:$G$3001,Расчет!$I$2:$I$3001,$K1322,Расчет!$H$2:$H$3001,2))</f>
        <v/>
      </c>
      <c r="J1322">
        <f>IF($L1322="","",SUMIFS(Расчет!$G$2:$G$3001,Расчет!$I$2:$I$3001,$K1322,Расчет!$H$2:$H$3001,3))</f>
        <v/>
      </c>
      <c r="K1322">
        <f>IF($L1322="","",INDEX(Расчет!$I$2:$I$3001,$L1322))</f>
        <v/>
      </c>
      <c r="L1322">
        <f>IFERROR(MATCH(ROW()-1,Расчет!$J$2:$J$3001,0),"")</f>
        <v/>
      </c>
    </row>
    <row r="1323">
      <c r="A1323">
        <f>IF($L1323="","",B1323&amp;"."&amp;C1323&amp;"-"&amp;D1323&amp;"-"&amp;H1323&amp;"."&amp;I1323&amp;"."&amp;J1323)</f>
        <v/>
      </c>
      <c r="B1323">
        <f>IF($L1323="","",INDEX(Расчет!$A$2:$A$3001,$L1323))</f>
        <v/>
      </c>
      <c r="C1323">
        <f>IF($L1323="","",INDEX(Расчет!$B$2:$B$3001,$L1323))</f>
        <v/>
      </c>
      <c r="D1323">
        <f>IF($L1323="","",IF(ISNUMBER(FIND("(",INDEX(Расчет!$C$2:$C$3001,$L1323))),SUBSTITUTE(MID(INDEX(Расчет!$C$2:$C$3001,$L1323),FIND("(",INDEX(Расчет!$C$2:$C$3001,$L1323))+1,99),")",""),INDEX(Расчет!$C$2:$C$3001,$L1323)))</f>
        <v/>
      </c>
      <c r="E1323">
        <f>IF($L1323="","",INDEX(Расчет!$D$2:$D$3001,$L1323))</f>
        <v/>
      </c>
      <c r="F1323">
        <f>IF($L1323="","",INDEX(Расчет!$E$2:$E$3001,$L1323))</f>
        <v/>
      </c>
      <c r="G1323">
        <f>IF($L1323="","",IFERROR(--LEFT(INDEX(Расчет!$C$2:$C$3001,$L1323),FIND("(",INDEX(Расчет!$C$2:$C$3001,$L1323))-1),IFERROR(--LEFT(INDEX(Расчет!$C$2:$C$3001,$L1323),1),"")))</f>
        <v/>
      </c>
      <c r="H1323">
        <f>IF($L1323="","",SUMIFS(Расчет!$G$2:$G$3001,Расчет!$I$2:$I$3001,$K1323,Расчет!$H$2:$H$3001,1))</f>
        <v/>
      </c>
      <c r="I1323">
        <f>IF($L1323="","",SUMIFS(Расчет!$G$2:$G$3001,Расчет!$I$2:$I$3001,$K1323,Расчет!$H$2:$H$3001,2))</f>
        <v/>
      </c>
      <c r="J1323">
        <f>IF($L1323="","",SUMIFS(Расчет!$G$2:$G$3001,Расчет!$I$2:$I$3001,$K1323,Расчет!$H$2:$H$3001,3))</f>
        <v/>
      </c>
      <c r="K1323">
        <f>IF($L1323="","",INDEX(Расчет!$I$2:$I$3001,$L1323))</f>
        <v/>
      </c>
      <c r="L1323">
        <f>IFERROR(MATCH(ROW()-1,Расчет!$J$2:$J$3001,0),"")</f>
        <v/>
      </c>
    </row>
    <row r="1324">
      <c r="A1324">
        <f>IF($L1324="","",B1324&amp;"."&amp;C1324&amp;"-"&amp;D1324&amp;"-"&amp;H1324&amp;"."&amp;I1324&amp;"."&amp;J1324)</f>
        <v/>
      </c>
      <c r="B1324">
        <f>IF($L1324="","",INDEX(Расчет!$A$2:$A$3001,$L1324))</f>
        <v/>
      </c>
      <c r="C1324">
        <f>IF($L1324="","",INDEX(Расчет!$B$2:$B$3001,$L1324))</f>
        <v/>
      </c>
      <c r="D1324">
        <f>IF($L1324="","",IF(ISNUMBER(FIND("(",INDEX(Расчет!$C$2:$C$3001,$L1324))),SUBSTITUTE(MID(INDEX(Расчет!$C$2:$C$3001,$L1324),FIND("(",INDEX(Расчет!$C$2:$C$3001,$L1324))+1,99),")",""),INDEX(Расчет!$C$2:$C$3001,$L1324)))</f>
        <v/>
      </c>
      <c r="E1324">
        <f>IF($L1324="","",INDEX(Расчет!$D$2:$D$3001,$L1324))</f>
        <v/>
      </c>
      <c r="F1324">
        <f>IF($L1324="","",INDEX(Расчет!$E$2:$E$3001,$L1324))</f>
        <v/>
      </c>
      <c r="G1324">
        <f>IF($L1324="","",IFERROR(--LEFT(INDEX(Расчет!$C$2:$C$3001,$L1324),FIND("(",INDEX(Расчет!$C$2:$C$3001,$L1324))-1),IFERROR(--LEFT(INDEX(Расчет!$C$2:$C$3001,$L1324),1),"")))</f>
        <v/>
      </c>
      <c r="H1324">
        <f>IF($L1324="","",SUMIFS(Расчет!$G$2:$G$3001,Расчет!$I$2:$I$3001,$K1324,Расчет!$H$2:$H$3001,1))</f>
        <v/>
      </c>
      <c r="I1324">
        <f>IF($L1324="","",SUMIFS(Расчет!$G$2:$G$3001,Расчет!$I$2:$I$3001,$K1324,Расчет!$H$2:$H$3001,2))</f>
        <v/>
      </c>
      <c r="J1324">
        <f>IF($L1324="","",SUMIFS(Расчет!$G$2:$G$3001,Расчет!$I$2:$I$3001,$K1324,Расчет!$H$2:$H$3001,3))</f>
        <v/>
      </c>
      <c r="K1324">
        <f>IF($L1324="","",INDEX(Расчет!$I$2:$I$3001,$L1324))</f>
        <v/>
      </c>
      <c r="L1324">
        <f>IFERROR(MATCH(ROW()-1,Расчет!$J$2:$J$3001,0),"")</f>
        <v/>
      </c>
    </row>
    <row r="1325">
      <c r="A1325">
        <f>IF($L1325="","",B1325&amp;"."&amp;C1325&amp;"-"&amp;D1325&amp;"-"&amp;H1325&amp;"."&amp;I1325&amp;"."&amp;J1325)</f>
        <v/>
      </c>
      <c r="B1325">
        <f>IF($L1325="","",INDEX(Расчет!$A$2:$A$3001,$L1325))</f>
        <v/>
      </c>
      <c r="C1325">
        <f>IF($L1325="","",INDEX(Расчет!$B$2:$B$3001,$L1325))</f>
        <v/>
      </c>
      <c r="D1325">
        <f>IF($L1325="","",IF(ISNUMBER(FIND("(",INDEX(Расчет!$C$2:$C$3001,$L1325))),SUBSTITUTE(MID(INDEX(Расчет!$C$2:$C$3001,$L1325),FIND("(",INDEX(Расчет!$C$2:$C$3001,$L1325))+1,99),")",""),INDEX(Расчет!$C$2:$C$3001,$L1325)))</f>
        <v/>
      </c>
      <c r="E1325">
        <f>IF($L1325="","",INDEX(Расчет!$D$2:$D$3001,$L1325))</f>
        <v/>
      </c>
      <c r="F1325">
        <f>IF($L1325="","",INDEX(Расчет!$E$2:$E$3001,$L1325))</f>
        <v/>
      </c>
      <c r="G1325">
        <f>IF($L1325="","",IFERROR(--LEFT(INDEX(Расчет!$C$2:$C$3001,$L1325),FIND("(",INDEX(Расчет!$C$2:$C$3001,$L1325))-1),IFERROR(--LEFT(INDEX(Расчет!$C$2:$C$3001,$L1325),1),"")))</f>
        <v/>
      </c>
      <c r="H1325">
        <f>IF($L1325="","",SUMIFS(Расчет!$G$2:$G$3001,Расчет!$I$2:$I$3001,$K1325,Расчет!$H$2:$H$3001,1))</f>
        <v/>
      </c>
      <c r="I1325">
        <f>IF($L1325="","",SUMIFS(Расчет!$G$2:$G$3001,Расчет!$I$2:$I$3001,$K1325,Расчет!$H$2:$H$3001,2))</f>
        <v/>
      </c>
      <c r="J1325">
        <f>IF($L1325="","",SUMIFS(Расчет!$G$2:$G$3001,Расчет!$I$2:$I$3001,$K1325,Расчет!$H$2:$H$3001,3))</f>
        <v/>
      </c>
      <c r="K1325">
        <f>IF($L1325="","",INDEX(Расчет!$I$2:$I$3001,$L1325))</f>
        <v/>
      </c>
      <c r="L1325">
        <f>IFERROR(MATCH(ROW()-1,Расчет!$J$2:$J$3001,0),"")</f>
        <v/>
      </c>
    </row>
    <row r="1326">
      <c r="A1326">
        <f>IF($L1326="","",B1326&amp;"."&amp;C1326&amp;"-"&amp;D1326&amp;"-"&amp;H1326&amp;"."&amp;I1326&amp;"."&amp;J1326)</f>
        <v/>
      </c>
      <c r="B1326">
        <f>IF($L1326="","",INDEX(Расчет!$A$2:$A$3001,$L1326))</f>
        <v/>
      </c>
      <c r="C1326">
        <f>IF($L1326="","",INDEX(Расчет!$B$2:$B$3001,$L1326))</f>
        <v/>
      </c>
      <c r="D1326">
        <f>IF($L1326="","",IF(ISNUMBER(FIND("(",INDEX(Расчет!$C$2:$C$3001,$L1326))),SUBSTITUTE(MID(INDEX(Расчет!$C$2:$C$3001,$L1326),FIND("(",INDEX(Расчет!$C$2:$C$3001,$L1326))+1,99),")",""),INDEX(Расчет!$C$2:$C$3001,$L1326)))</f>
        <v/>
      </c>
      <c r="E1326">
        <f>IF($L1326="","",INDEX(Расчет!$D$2:$D$3001,$L1326))</f>
        <v/>
      </c>
      <c r="F1326">
        <f>IF($L1326="","",INDEX(Расчет!$E$2:$E$3001,$L1326))</f>
        <v/>
      </c>
      <c r="G1326">
        <f>IF($L1326="","",IFERROR(--LEFT(INDEX(Расчет!$C$2:$C$3001,$L1326),FIND("(",INDEX(Расчет!$C$2:$C$3001,$L1326))-1),IFERROR(--LEFT(INDEX(Расчет!$C$2:$C$3001,$L1326),1),"")))</f>
        <v/>
      </c>
      <c r="H1326">
        <f>IF($L1326="","",SUMIFS(Расчет!$G$2:$G$3001,Расчет!$I$2:$I$3001,$K1326,Расчет!$H$2:$H$3001,1))</f>
        <v/>
      </c>
      <c r="I1326">
        <f>IF($L1326="","",SUMIFS(Расчет!$G$2:$G$3001,Расчет!$I$2:$I$3001,$K1326,Расчет!$H$2:$H$3001,2))</f>
        <v/>
      </c>
      <c r="J1326">
        <f>IF($L1326="","",SUMIFS(Расчет!$G$2:$G$3001,Расчет!$I$2:$I$3001,$K1326,Расчет!$H$2:$H$3001,3))</f>
        <v/>
      </c>
      <c r="K1326">
        <f>IF($L1326="","",INDEX(Расчет!$I$2:$I$3001,$L1326))</f>
        <v/>
      </c>
      <c r="L1326">
        <f>IFERROR(MATCH(ROW()-1,Расчет!$J$2:$J$3001,0),"")</f>
        <v/>
      </c>
    </row>
    <row r="1327">
      <c r="A1327">
        <f>IF($L1327="","",B1327&amp;"."&amp;C1327&amp;"-"&amp;D1327&amp;"-"&amp;H1327&amp;"."&amp;I1327&amp;"."&amp;J1327)</f>
        <v/>
      </c>
      <c r="B1327">
        <f>IF($L1327="","",INDEX(Расчет!$A$2:$A$3001,$L1327))</f>
        <v/>
      </c>
      <c r="C1327">
        <f>IF($L1327="","",INDEX(Расчет!$B$2:$B$3001,$L1327))</f>
        <v/>
      </c>
      <c r="D1327">
        <f>IF($L1327="","",IF(ISNUMBER(FIND("(",INDEX(Расчет!$C$2:$C$3001,$L1327))),SUBSTITUTE(MID(INDEX(Расчет!$C$2:$C$3001,$L1327),FIND("(",INDEX(Расчет!$C$2:$C$3001,$L1327))+1,99),")",""),INDEX(Расчет!$C$2:$C$3001,$L1327)))</f>
        <v/>
      </c>
      <c r="E1327">
        <f>IF($L1327="","",INDEX(Расчет!$D$2:$D$3001,$L1327))</f>
        <v/>
      </c>
      <c r="F1327">
        <f>IF($L1327="","",INDEX(Расчет!$E$2:$E$3001,$L1327))</f>
        <v/>
      </c>
      <c r="G1327">
        <f>IF($L1327="","",IFERROR(--LEFT(INDEX(Расчет!$C$2:$C$3001,$L1327),FIND("(",INDEX(Расчет!$C$2:$C$3001,$L1327))-1),IFERROR(--LEFT(INDEX(Расчет!$C$2:$C$3001,$L1327),1),"")))</f>
        <v/>
      </c>
      <c r="H1327">
        <f>IF($L1327="","",SUMIFS(Расчет!$G$2:$G$3001,Расчет!$I$2:$I$3001,$K1327,Расчет!$H$2:$H$3001,1))</f>
        <v/>
      </c>
      <c r="I1327">
        <f>IF($L1327="","",SUMIFS(Расчет!$G$2:$G$3001,Расчет!$I$2:$I$3001,$K1327,Расчет!$H$2:$H$3001,2))</f>
        <v/>
      </c>
      <c r="J1327">
        <f>IF($L1327="","",SUMIFS(Расчет!$G$2:$G$3001,Расчет!$I$2:$I$3001,$K1327,Расчет!$H$2:$H$3001,3))</f>
        <v/>
      </c>
      <c r="K1327">
        <f>IF($L1327="","",INDEX(Расчет!$I$2:$I$3001,$L1327))</f>
        <v/>
      </c>
      <c r="L1327">
        <f>IFERROR(MATCH(ROW()-1,Расчет!$J$2:$J$3001,0),"")</f>
        <v/>
      </c>
    </row>
    <row r="1328">
      <c r="A1328">
        <f>IF($L1328="","",B1328&amp;"."&amp;C1328&amp;"-"&amp;D1328&amp;"-"&amp;H1328&amp;"."&amp;I1328&amp;"."&amp;J1328)</f>
        <v/>
      </c>
      <c r="B1328">
        <f>IF($L1328="","",INDEX(Расчет!$A$2:$A$3001,$L1328))</f>
        <v/>
      </c>
      <c r="C1328">
        <f>IF($L1328="","",INDEX(Расчет!$B$2:$B$3001,$L1328))</f>
        <v/>
      </c>
      <c r="D1328">
        <f>IF($L1328="","",IF(ISNUMBER(FIND("(",INDEX(Расчет!$C$2:$C$3001,$L1328))),SUBSTITUTE(MID(INDEX(Расчет!$C$2:$C$3001,$L1328),FIND("(",INDEX(Расчет!$C$2:$C$3001,$L1328))+1,99),")",""),INDEX(Расчет!$C$2:$C$3001,$L1328)))</f>
        <v/>
      </c>
      <c r="E1328">
        <f>IF($L1328="","",INDEX(Расчет!$D$2:$D$3001,$L1328))</f>
        <v/>
      </c>
      <c r="F1328">
        <f>IF($L1328="","",INDEX(Расчет!$E$2:$E$3001,$L1328))</f>
        <v/>
      </c>
      <c r="G1328">
        <f>IF($L1328="","",IFERROR(--LEFT(INDEX(Расчет!$C$2:$C$3001,$L1328),FIND("(",INDEX(Расчет!$C$2:$C$3001,$L1328))-1),IFERROR(--LEFT(INDEX(Расчет!$C$2:$C$3001,$L1328),1),"")))</f>
        <v/>
      </c>
      <c r="H1328">
        <f>IF($L1328="","",SUMIFS(Расчет!$G$2:$G$3001,Расчет!$I$2:$I$3001,$K1328,Расчет!$H$2:$H$3001,1))</f>
        <v/>
      </c>
      <c r="I1328">
        <f>IF($L1328="","",SUMIFS(Расчет!$G$2:$G$3001,Расчет!$I$2:$I$3001,$K1328,Расчет!$H$2:$H$3001,2))</f>
        <v/>
      </c>
      <c r="J1328">
        <f>IF($L1328="","",SUMIFS(Расчет!$G$2:$G$3001,Расчет!$I$2:$I$3001,$K1328,Расчет!$H$2:$H$3001,3))</f>
        <v/>
      </c>
      <c r="K1328">
        <f>IF($L1328="","",INDEX(Расчет!$I$2:$I$3001,$L1328))</f>
        <v/>
      </c>
      <c r="L1328">
        <f>IFERROR(MATCH(ROW()-1,Расчет!$J$2:$J$3001,0),"")</f>
        <v/>
      </c>
    </row>
    <row r="1329">
      <c r="A1329">
        <f>IF($L1329="","",B1329&amp;"."&amp;C1329&amp;"-"&amp;D1329&amp;"-"&amp;H1329&amp;"."&amp;I1329&amp;"."&amp;J1329)</f>
        <v/>
      </c>
      <c r="B1329">
        <f>IF($L1329="","",INDEX(Расчет!$A$2:$A$3001,$L1329))</f>
        <v/>
      </c>
      <c r="C1329">
        <f>IF($L1329="","",INDEX(Расчет!$B$2:$B$3001,$L1329))</f>
        <v/>
      </c>
      <c r="D1329">
        <f>IF($L1329="","",IF(ISNUMBER(FIND("(",INDEX(Расчет!$C$2:$C$3001,$L1329))),SUBSTITUTE(MID(INDEX(Расчет!$C$2:$C$3001,$L1329),FIND("(",INDEX(Расчет!$C$2:$C$3001,$L1329))+1,99),")",""),INDEX(Расчет!$C$2:$C$3001,$L1329)))</f>
        <v/>
      </c>
      <c r="E1329">
        <f>IF($L1329="","",INDEX(Расчет!$D$2:$D$3001,$L1329))</f>
        <v/>
      </c>
      <c r="F1329">
        <f>IF($L1329="","",INDEX(Расчет!$E$2:$E$3001,$L1329))</f>
        <v/>
      </c>
      <c r="G1329">
        <f>IF($L1329="","",IFERROR(--LEFT(INDEX(Расчет!$C$2:$C$3001,$L1329),FIND("(",INDEX(Расчет!$C$2:$C$3001,$L1329))-1),IFERROR(--LEFT(INDEX(Расчет!$C$2:$C$3001,$L1329),1),"")))</f>
        <v/>
      </c>
      <c r="H1329">
        <f>IF($L1329="","",SUMIFS(Расчет!$G$2:$G$3001,Расчет!$I$2:$I$3001,$K1329,Расчет!$H$2:$H$3001,1))</f>
        <v/>
      </c>
      <c r="I1329">
        <f>IF($L1329="","",SUMIFS(Расчет!$G$2:$G$3001,Расчет!$I$2:$I$3001,$K1329,Расчет!$H$2:$H$3001,2))</f>
        <v/>
      </c>
      <c r="J1329">
        <f>IF($L1329="","",SUMIFS(Расчет!$G$2:$G$3001,Расчет!$I$2:$I$3001,$K1329,Расчет!$H$2:$H$3001,3))</f>
        <v/>
      </c>
      <c r="K1329">
        <f>IF($L1329="","",INDEX(Расчет!$I$2:$I$3001,$L1329))</f>
        <v/>
      </c>
      <c r="L1329">
        <f>IFERROR(MATCH(ROW()-1,Расчет!$J$2:$J$3001,0),"")</f>
        <v/>
      </c>
    </row>
    <row r="1330">
      <c r="A1330">
        <f>IF($L1330="","",B1330&amp;"."&amp;C1330&amp;"-"&amp;D1330&amp;"-"&amp;H1330&amp;"."&amp;I1330&amp;"."&amp;J1330)</f>
        <v/>
      </c>
      <c r="B1330">
        <f>IF($L1330="","",INDEX(Расчет!$A$2:$A$3001,$L1330))</f>
        <v/>
      </c>
      <c r="C1330">
        <f>IF($L1330="","",INDEX(Расчет!$B$2:$B$3001,$L1330))</f>
        <v/>
      </c>
      <c r="D1330">
        <f>IF($L1330="","",IF(ISNUMBER(FIND("(",INDEX(Расчет!$C$2:$C$3001,$L1330))),SUBSTITUTE(MID(INDEX(Расчет!$C$2:$C$3001,$L1330),FIND("(",INDEX(Расчет!$C$2:$C$3001,$L1330))+1,99),")",""),INDEX(Расчет!$C$2:$C$3001,$L1330)))</f>
        <v/>
      </c>
      <c r="E1330">
        <f>IF($L1330="","",INDEX(Расчет!$D$2:$D$3001,$L1330))</f>
        <v/>
      </c>
      <c r="F1330">
        <f>IF($L1330="","",INDEX(Расчет!$E$2:$E$3001,$L1330))</f>
        <v/>
      </c>
      <c r="G1330">
        <f>IF($L1330="","",IFERROR(--LEFT(INDEX(Расчет!$C$2:$C$3001,$L1330),FIND("(",INDEX(Расчет!$C$2:$C$3001,$L1330))-1),IFERROR(--LEFT(INDEX(Расчет!$C$2:$C$3001,$L1330),1),"")))</f>
        <v/>
      </c>
      <c r="H1330">
        <f>IF($L1330="","",SUMIFS(Расчет!$G$2:$G$3001,Расчет!$I$2:$I$3001,$K1330,Расчет!$H$2:$H$3001,1))</f>
        <v/>
      </c>
      <c r="I1330">
        <f>IF($L1330="","",SUMIFS(Расчет!$G$2:$G$3001,Расчет!$I$2:$I$3001,$K1330,Расчет!$H$2:$H$3001,2))</f>
        <v/>
      </c>
      <c r="J1330">
        <f>IF($L1330="","",SUMIFS(Расчет!$G$2:$G$3001,Расчет!$I$2:$I$3001,$K1330,Расчет!$H$2:$H$3001,3))</f>
        <v/>
      </c>
      <c r="K1330">
        <f>IF($L1330="","",INDEX(Расчет!$I$2:$I$3001,$L1330))</f>
        <v/>
      </c>
      <c r="L1330">
        <f>IFERROR(MATCH(ROW()-1,Расчет!$J$2:$J$3001,0),"")</f>
        <v/>
      </c>
    </row>
    <row r="1331">
      <c r="A1331">
        <f>IF($L1331="","",B1331&amp;"."&amp;C1331&amp;"-"&amp;D1331&amp;"-"&amp;H1331&amp;"."&amp;I1331&amp;"."&amp;J1331)</f>
        <v/>
      </c>
      <c r="B1331">
        <f>IF($L1331="","",INDEX(Расчет!$A$2:$A$3001,$L1331))</f>
        <v/>
      </c>
      <c r="C1331">
        <f>IF($L1331="","",INDEX(Расчет!$B$2:$B$3001,$L1331))</f>
        <v/>
      </c>
      <c r="D1331">
        <f>IF($L1331="","",IF(ISNUMBER(FIND("(",INDEX(Расчет!$C$2:$C$3001,$L1331))),SUBSTITUTE(MID(INDEX(Расчет!$C$2:$C$3001,$L1331),FIND("(",INDEX(Расчет!$C$2:$C$3001,$L1331))+1,99),")",""),INDEX(Расчет!$C$2:$C$3001,$L1331)))</f>
        <v/>
      </c>
      <c r="E1331">
        <f>IF($L1331="","",INDEX(Расчет!$D$2:$D$3001,$L1331))</f>
        <v/>
      </c>
      <c r="F1331">
        <f>IF($L1331="","",INDEX(Расчет!$E$2:$E$3001,$L1331))</f>
        <v/>
      </c>
      <c r="G1331">
        <f>IF($L1331="","",IFERROR(--LEFT(INDEX(Расчет!$C$2:$C$3001,$L1331),FIND("(",INDEX(Расчет!$C$2:$C$3001,$L1331))-1),IFERROR(--LEFT(INDEX(Расчет!$C$2:$C$3001,$L1331),1),"")))</f>
        <v/>
      </c>
      <c r="H1331">
        <f>IF($L1331="","",SUMIFS(Расчет!$G$2:$G$3001,Расчет!$I$2:$I$3001,$K1331,Расчет!$H$2:$H$3001,1))</f>
        <v/>
      </c>
      <c r="I1331">
        <f>IF($L1331="","",SUMIFS(Расчет!$G$2:$G$3001,Расчет!$I$2:$I$3001,$K1331,Расчет!$H$2:$H$3001,2))</f>
        <v/>
      </c>
      <c r="J1331">
        <f>IF($L1331="","",SUMIFS(Расчет!$G$2:$G$3001,Расчет!$I$2:$I$3001,$K1331,Расчет!$H$2:$H$3001,3))</f>
        <v/>
      </c>
      <c r="K1331">
        <f>IF($L1331="","",INDEX(Расчет!$I$2:$I$3001,$L1331))</f>
        <v/>
      </c>
      <c r="L1331">
        <f>IFERROR(MATCH(ROW()-1,Расчет!$J$2:$J$3001,0),"")</f>
        <v/>
      </c>
    </row>
    <row r="1332">
      <c r="A1332">
        <f>IF($L1332="","",B1332&amp;"."&amp;C1332&amp;"-"&amp;D1332&amp;"-"&amp;H1332&amp;"."&amp;I1332&amp;"."&amp;J1332)</f>
        <v/>
      </c>
      <c r="B1332">
        <f>IF($L1332="","",INDEX(Расчет!$A$2:$A$3001,$L1332))</f>
        <v/>
      </c>
      <c r="C1332">
        <f>IF($L1332="","",INDEX(Расчет!$B$2:$B$3001,$L1332))</f>
        <v/>
      </c>
      <c r="D1332">
        <f>IF($L1332="","",IF(ISNUMBER(FIND("(",INDEX(Расчет!$C$2:$C$3001,$L1332))),SUBSTITUTE(MID(INDEX(Расчет!$C$2:$C$3001,$L1332),FIND("(",INDEX(Расчет!$C$2:$C$3001,$L1332))+1,99),")",""),INDEX(Расчет!$C$2:$C$3001,$L1332)))</f>
        <v/>
      </c>
      <c r="E1332">
        <f>IF($L1332="","",INDEX(Расчет!$D$2:$D$3001,$L1332))</f>
        <v/>
      </c>
      <c r="F1332">
        <f>IF($L1332="","",INDEX(Расчет!$E$2:$E$3001,$L1332))</f>
        <v/>
      </c>
      <c r="G1332">
        <f>IF($L1332="","",IFERROR(--LEFT(INDEX(Расчет!$C$2:$C$3001,$L1332),FIND("(",INDEX(Расчет!$C$2:$C$3001,$L1332))-1),IFERROR(--LEFT(INDEX(Расчет!$C$2:$C$3001,$L1332),1),"")))</f>
        <v/>
      </c>
      <c r="H1332">
        <f>IF($L1332="","",SUMIFS(Расчет!$G$2:$G$3001,Расчет!$I$2:$I$3001,$K1332,Расчет!$H$2:$H$3001,1))</f>
        <v/>
      </c>
      <c r="I1332">
        <f>IF($L1332="","",SUMIFS(Расчет!$G$2:$G$3001,Расчет!$I$2:$I$3001,$K1332,Расчет!$H$2:$H$3001,2))</f>
        <v/>
      </c>
      <c r="J1332">
        <f>IF($L1332="","",SUMIFS(Расчет!$G$2:$G$3001,Расчет!$I$2:$I$3001,$K1332,Расчет!$H$2:$H$3001,3))</f>
        <v/>
      </c>
      <c r="K1332">
        <f>IF($L1332="","",INDEX(Расчет!$I$2:$I$3001,$L1332))</f>
        <v/>
      </c>
      <c r="L1332">
        <f>IFERROR(MATCH(ROW()-1,Расчет!$J$2:$J$3001,0),"")</f>
        <v/>
      </c>
    </row>
    <row r="1333">
      <c r="A1333">
        <f>IF($L1333="","",B1333&amp;"."&amp;C1333&amp;"-"&amp;D1333&amp;"-"&amp;H1333&amp;"."&amp;I1333&amp;"."&amp;J1333)</f>
        <v/>
      </c>
      <c r="B1333">
        <f>IF($L1333="","",INDEX(Расчет!$A$2:$A$3001,$L1333))</f>
        <v/>
      </c>
      <c r="C1333">
        <f>IF($L1333="","",INDEX(Расчет!$B$2:$B$3001,$L1333))</f>
        <v/>
      </c>
      <c r="D1333">
        <f>IF($L1333="","",IF(ISNUMBER(FIND("(",INDEX(Расчет!$C$2:$C$3001,$L1333))),SUBSTITUTE(MID(INDEX(Расчет!$C$2:$C$3001,$L1333),FIND("(",INDEX(Расчет!$C$2:$C$3001,$L1333))+1,99),")",""),INDEX(Расчет!$C$2:$C$3001,$L1333)))</f>
        <v/>
      </c>
      <c r="E1333">
        <f>IF($L1333="","",INDEX(Расчет!$D$2:$D$3001,$L1333))</f>
        <v/>
      </c>
      <c r="F1333">
        <f>IF($L1333="","",INDEX(Расчет!$E$2:$E$3001,$L1333))</f>
        <v/>
      </c>
      <c r="G1333">
        <f>IF($L1333="","",IFERROR(--LEFT(INDEX(Расчет!$C$2:$C$3001,$L1333),FIND("(",INDEX(Расчет!$C$2:$C$3001,$L1333))-1),IFERROR(--LEFT(INDEX(Расчет!$C$2:$C$3001,$L1333),1),"")))</f>
        <v/>
      </c>
      <c r="H1333">
        <f>IF($L1333="","",SUMIFS(Расчет!$G$2:$G$3001,Расчет!$I$2:$I$3001,$K1333,Расчет!$H$2:$H$3001,1))</f>
        <v/>
      </c>
      <c r="I1333">
        <f>IF($L1333="","",SUMIFS(Расчет!$G$2:$G$3001,Расчет!$I$2:$I$3001,$K1333,Расчет!$H$2:$H$3001,2))</f>
        <v/>
      </c>
      <c r="J1333">
        <f>IF($L1333="","",SUMIFS(Расчет!$G$2:$G$3001,Расчет!$I$2:$I$3001,$K1333,Расчет!$H$2:$H$3001,3))</f>
        <v/>
      </c>
      <c r="K1333">
        <f>IF($L1333="","",INDEX(Расчет!$I$2:$I$3001,$L1333))</f>
        <v/>
      </c>
      <c r="L1333">
        <f>IFERROR(MATCH(ROW()-1,Расчет!$J$2:$J$3001,0),"")</f>
        <v/>
      </c>
    </row>
    <row r="1334">
      <c r="A1334">
        <f>IF($L1334="","",B1334&amp;"."&amp;C1334&amp;"-"&amp;D1334&amp;"-"&amp;H1334&amp;"."&amp;I1334&amp;"."&amp;J1334)</f>
        <v/>
      </c>
      <c r="B1334">
        <f>IF($L1334="","",INDEX(Расчет!$A$2:$A$3001,$L1334))</f>
        <v/>
      </c>
      <c r="C1334">
        <f>IF($L1334="","",INDEX(Расчет!$B$2:$B$3001,$L1334))</f>
        <v/>
      </c>
      <c r="D1334">
        <f>IF($L1334="","",IF(ISNUMBER(FIND("(",INDEX(Расчет!$C$2:$C$3001,$L1334))),SUBSTITUTE(MID(INDEX(Расчет!$C$2:$C$3001,$L1334),FIND("(",INDEX(Расчет!$C$2:$C$3001,$L1334))+1,99),")",""),INDEX(Расчет!$C$2:$C$3001,$L1334)))</f>
        <v/>
      </c>
      <c r="E1334">
        <f>IF($L1334="","",INDEX(Расчет!$D$2:$D$3001,$L1334))</f>
        <v/>
      </c>
      <c r="F1334">
        <f>IF($L1334="","",INDEX(Расчет!$E$2:$E$3001,$L1334))</f>
        <v/>
      </c>
      <c r="G1334">
        <f>IF($L1334="","",IFERROR(--LEFT(INDEX(Расчет!$C$2:$C$3001,$L1334),FIND("(",INDEX(Расчет!$C$2:$C$3001,$L1334))-1),IFERROR(--LEFT(INDEX(Расчет!$C$2:$C$3001,$L1334),1),"")))</f>
        <v/>
      </c>
      <c r="H1334">
        <f>IF($L1334="","",SUMIFS(Расчет!$G$2:$G$3001,Расчет!$I$2:$I$3001,$K1334,Расчет!$H$2:$H$3001,1))</f>
        <v/>
      </c>
      <c r="I1334">
        <f>IF($L1334="","",SUMIFS(Расчет!$G$2:$G$3001,Расчет!$I$2:$I$3001,$K1334,Расчет!$H$2:$H$3001,2))</f>
        <v/>
      </c>
      <c r="J1334">
        <f>IF($L1334="","",SUMIFS(Расчет!$G$2:$G$3001,Расчет!$I$2:$I$3001,$K1334,Расчет!$H$2:$H$3001,3))</f>
        <v/>
      </c>
      <c r="K1334">
        <f>IF($L1334="","",INDEX(Расчет!$I$2:$I$3001,$L1334))</f>
        <v/>
      </c>
      <c r="L1334">
        <f>IFERROR(MATCH(ROW()-1,Расчет!$J$2:$J$3001,0),"")</f>
        <v/>
      </c>
    </row>
    <row r="1335">
      <c r="A1335">
        <f>IF($L1335="","",B1335&amp;"."&amp;C1335&amp;"-"&amp;D1335&amp;"-"&amp;H1335&amp;"."&amp;I1335&amp;"."&amp;J1335)</f>
        <v/>
      </c>
      <c r="B1335">
        <f>IF($L1335="","",INDEX(Расчет!$A$2:$A$3001,$L1335))</f>
        <v/>
      </c>
      <c r="C1335">
        <f>IF($L1335="","",INDEX(Расчет!$B$2:$B$3001,$L1335))</f>
        <v/>
      </c>
      <c r="D1335">
        <f>IF($L1335="","",IF(ISNUMBER(FIND("(",INDEX(Расчет!$C$2:$C$3001,$L1335))),SUBSTITUTE(MID(INDEX(Расчет!$C$2:$C$3001,$L1335),FIND("(",INDEX(Расчет!$C$2:$C$3001,$L1335))+1,99),")",""),INDEX(Расчет!$C$2:$C$3001,$L1335)))</f>
        <v/>
      </c>
      <c r="E1335">
        <f>IF($L1335="","",INDEX(Расчет!$D$2:$D$3001,$L1335))</f>
        <v/>
      </c>
      <c r="F1335">
        <f>IF($L1335="","",INDEX(Расчет!$E$2:$E$3001,$L1335))</f>
        <v/>
      </c>
      <c r="G1335">
        <f>IF($L1335="","",IFERROR(--LEFT(INDEX(Расчет!$C$2:$C$3001,$L1335),FIND("(",INDEX(Расчет!$C$2:$C$3001,$L1335))-1),IFERROR(--LEFT(INDEX(Расчет!$C$2:$C$3001,$L1335),1),"")))</f>
        <v/>
      </c>
      <c r="H1335">
        <f>IF($L1335="","",SUMIFS(Расчет!$G$2:$G$3001,Расчет!$I$2:$I$3001,$K1335,Расчет!$H$2:$H$3001,1))</f>
        <v/>
      </c>
      <c r="I1335">
        <f>IF($L1335="","",SUMIFS(Расчет!$G$2:$G$3001,Расчет!$I$2:$I$3001,$K1335,Расчет!$H$2:$H$3001,2))</f>
        <v/>
      </c>
      <c r="J1335">
        <f>IF($L1335="","",SUMIFS(Расчет!$G$2:$G$3001,Расчет!$I$2:$I$3001,$K1335,Расчет!$H$2:$H$3001,3))</f>
        <v/>
      </c>
      <c r="K1335">
        <f>IF($L1335="","",INDEX(Расчет!$I$2:$I$3001,$L1335))</f>
        <v/>
      </c>
      <c r="L1335">
        <f>IFERROR(MATCH(ROW()-1,Расчет!$J$2:$J$3001,0),"")</f>
        <v/>
      </c>
    </row>
    <row r="1336">
      <c r="A1336">
        <f>IF($L1336="","",B1336&amp;"."&amp;C1336&amp;"-"&amp;D1336&amp;"-"&amp;H1336&amp;"."&amp;I1336&amp;"."&amp;J1336)</f>
        <v/>
      </c>
      <c r="B1336">
        <f>IF($L1336="","",INDEX(Расчет!$A$2:$A$3001,$L1336))</f>
        <v/>
      </c>
      <c r="C1336">
        <f>IF($L1336="","",INDEX(Расчет!$B$2:$B$3001,$L1336))</f>
        <v/>
      </c>
      <c r="D1336">
        <f>IF($L1336="","",IF(ISNUMBER(FIND("(",INDEX(Расчет!$C$2:$C$3001,$L1336))),SUBSTITUTE(MID(INDEX(Расчет!$C$2:$C$3001,$L1336),FIND("(",INDEX(Расчет!$C$2:$C$3001,$L1336))+1,99),")",""),INDEX(Расчет!$C$2:$C$3001,$L1336)))</f>
        <v/>
      </c>
      <c r="E1336">
        <f>IF($L1336="","",INDEX(Расчет!$D$2:$D$3001,$L1336))</f>
        <v/>
      </c>
      <c r="F1336">
        <f>IF($L1336="","",INDEX(Расчет!$E$2:$E$3001,$L1336))</f>
        <v/>
      </c>
      <c r="G1336">
        <f>IF($L1336="","",IFERROR(--LEFT(INDEX(Расчет!$C$2:$C$3001,$L1336),FIND("(",INDEX(Расчет!$C$2:$C$3001,$L1336))-1),IFERROR(--LEFT(INDEX(Расчет!$C$2:$C$3001,$L1336),1),"")))</f>
        <v/>
      </c>
      <c r="H1336">
        <f>IF($L1336="","",SUMIFS(Расчет!$G$2:$G$3001,Расчет!$I$2:$I$3001,$K1336,Расчет!$H$2:$H$3001,1))</f>
        <v/>
      </c>
      <c r="I1336">
        <f>IF($L1336="","",SUMIFS(Расчет!$G$2:$G$3001,Расчет!$I$2:$I$3001,$K1336,Расчет!$H$2:$H$3001,2))</f>
        <v/>
      </c>
      <c r="J1336">
        <f>IF($L1336="","",SUMIFS(Расчет!$G$2:$G$3001,Расчет!$I$2:$I$3001,$K1336,Расчет!$H$2:$H$3001,3))</f>
        <v/>
      </c>
      <c r="K1336">
        <f>IF($L1336="","",INDEX(Расчет!$I$2:$I$3001,$L1336))</f>
        <v/>
      </c>
      <c r="L1336">
        <f>IFERROR(MATCH(ROW()-1,Расчет!$J$2:$J$3001,0),"")</f>
        <v/>
      </c>
    </row>
    <row r="1337">
      <c r="A1337">
        <f>IF($L1337="","",B1337&amp;"."&amp;C1337&amp;"-"&amp;D1337&amp;"-"&amp;H1337&amp;"."&amp;I1337&amp;"."&amp;J1337)</f>
        <v/>
      </c>
      <c r="B1337">
        <f>IF($L1337="","",INDEX(Расчет!$A$2:$A$3001,$L1337))</f>
        <v/>
      </c>
      <c r="C1337">
        <f>IF($L1337="","",INDEX(Расчет!$B$2:$B$3001,$L1337))</f>
        <v/>
      </c>
      <c r="D1337">
        <f>IF($L1337="","",IF(ISNUMBER(FIND("(",INDEX(Расчет!$C$2:$C$3001,$L1337))),SUBSTITUTE(MID(INDEX(Расчет!$C$2:$C$3001,$L1337),FIND("(",INDEX(Расчет!$C$2:$C$3001,$L1337))+1,99),")",""),INDEX(Расчет!$C$2:$C$3001,$L1337)))</f>
        <v/>
      </c>
      <c r="E1337">
        <f>IF($L1337="","",INDEX(Расчет!$D$2:$D$3001,$L1337))</f>
        <v/>
      </c>
      <c r="F1337">
        <f>IF($L1337="","",INDEX(Расчет!$E$2:$E$3001,$L1337))</f>
        <v/>
      </c>
      <c r="G1337">
        <f>IF($L1337="","",IFERROR(--LEFT(INDEX(Расчет!$C$2:$C$3001,$L1337),FIND("(",INDEX(Расчет!$C$2:$C$3001,$L1337))-1),IFERROR(--LEFT(INDEX(Расчет!$C$2:$C$3001,$L1337),1),"")))</f>
        <v/>
      </c>
      <c r="H1337">
        <f>IF($L1337="","",SUMIFS(Расчет!$G$2:$G$3001,Расчет!$I$2:$I$3001,$K1337,Расчет!$H$2:$H$3001,1))</f>
        <v/>
      </c>
      <c r="I1337">
        <f>IF($L1337="","",SUMIFS(Расчет!$G$2:$G$3001,Расчет!$I$2:$I$3001,$K1337,Расчет!$H$2:$H$3001,2))</f>
        <v/>
      </c>
      <c r="J1337">
        <f>IF($L1337="","",SUMIFS(Расчет!$G$2:$G$3001,Расчет!$I$2:$I$3001,$K1337,Расчет!$H$2:$H$3001,3))</f>
        <v/>
      </c>
      <c r="K1337">
        <f>IF($L1337="","",INDEX(Расчет!$I$2:$I$3001,$L1337))</f>
        <v/>
      </c>
      <c r="L1337">
        <f>IFERROR(MATCH(ROW()-1,Расчет!$J$2:$J$3001,0),"")</f>
        <v/>
      </c>
    </row>
    <row r="1338">
      <c r="A1338">
        <f>IF($L1338="","",B1338&amp;"."&amp;C1338&amp;"-"&amp;D1338&amp;"-"&amp;H1338&amp;"."&amp;I1338&amp;"."&amp;J1338)</f>
        <v/>
      </c>
      <c r="B1338">
        <f>IF($L1338="","",INDEX(Расчет!$A$2:$A$3001,$L1338))</f>
        <v/>
      </c>
      <c r="C1338">
        <f>IF($L1338="","",INDEX(Расчет!$B$2:$B$3001,$L1338))</f>
        <v/>
      </c>
      <c r="D1338">
        <f>IF($L1338="","",IF(ISNUMBER(FIND("(",INDEX(Расчет!$C$2:$C$3001,$L1338))),SUBSTITUTE(MID(INDEX(Расчет!$C$2:$C$3001,$L1338),FIND("(",INDEX(Расчет!$C$2:$C$3001,$L1338))+1,99),")",""),INDEX(Расчет!$C$2:$C$3001,$L1338)))</f>
        <v/>
      </c>
      <c r="E1338">
        <f>IF($L1338="","",INDEX(Расчет!$D$2:$D$3001,$L1338))</f>
        <v/>
      </c>
      <c r="F1338">
        <f>IF($L1338="","",INDEX(Расчет!$E$2:$E$3001,$L1338))</f>
        <v/>
      </c>
      <c r="G1338">
        <f>IF($L1338="","",IFERROR(--LEFT(INDEX(Расчет!$C$2:$C$3001,$L1338),FIND("(",INDEX(Расчет!$C$2:$C$3001,$L1338))-1),IFERROR(--LEFT(INDEX(Расчет!$C$2:$C$3001,$L1338),1),"")))</f>
        <v/>
      </c>
      <c r="H1338">
        <f>IF($L1338="","",SUMIFS(Расчет!$G$2:$G$3001,Расчет!$I$2:$I$3001,$K1338,Расчет!$H$2:$H$3001,1))</f>
        <v/>
      </c>
      <c r="I1338">
        <f>IF($L1338="","",SUMIFS(Расчет!$G$2:$G$3001,Расчет!$I$2:$I$3001,$K1338,Расчет!$H$2:$H$3001,2))</f>
        <v/>
      </c>
      <c r="J1338">
        <f>IF($L1338="","",SUMIFS(Расчет!$G$2:$G$3001,Расчет!$I$2:$I$3001,$K1338,Расчет!$H$2:$H$3001,3))</f>
        <v/>
      </c>
      <c r="K1338">
        <f>IF($L1338="","",INDEX(Расчет!$I$2:$I$3001,$L1338))</f>
        <v/>
      </c>
      <c r="L1338">
        <f>IFERROR(MATCH(ROW()-1,Расчет!$J$2:$J$3001,0),"")</f>
        <v/>
      </c>
    </row>
    <row r="1339">
      <c r="A1339">
        <f>IF($L1339="","",B1339&amp;"."&amp;C1339&amp;"-"&amp;D1339&amp;"-"&amp;H1339&amp;"."&amp;I1339&amp;"."&amp;J1339)</f>
        <v/>
      </c>
      <c r="B1339">
        <f>IF($L1339="","",INDEX(Расчет!$A$2:$A$3001,$L1339))</f>
        <v/>
      </c>
      <c r="C1339">
        <f>IF($L1339="","",INDEX(Расчет!$B$2:$B$3001,$L1339))</f>
        <v/>
      </c>
      <c r="D1339">
        <f>IF($L1339="","",IF(ISNUMBER(FIND("(",INDEX(Расчет!$C$2:$C$3001,$L1339))),SUBSTITUTE(MID(INDEX(Расчет!$C$2:$C$3001,$L1339),FIND("(",INDEX(Расчет!$C$2:$C$3001,$L1339))+1,99),")",""),INDEX(Расчет!$C$2:$C$3001,$L1339)))</f>
        <v/>
      </c>
      <c r="E1339">
        <f>IF($L1339="","",INDEX(Расчет!$D$2:$D$3001,$L1339))</f>
        <v/>
      </c>
      <c r="F1339">
        <f>IF($L1339="","",INDEX(Расчет!$E$2:$E$3001,$L1339))</f>
        <v/>
      </c>
      <c r="G1339">
        <f>IF($L1339="","",IFERROR(--LEFT(INDEX(Расчет!$C$2:$C$3001,$L1339),FIND("(",INDEX(Расчет!$C$2:$C$3001,$L1339))-1),IFERROR(--LEFT(INDEX(Расчет!$C$2:$C$3001,$L1339),1),"")))</f>
        <v/>
      </c>
      <c r="H1339">
        <f>IF($L1339="","",SUMIFS(Расчет!$G$2:$G$3001,Расчет!$I$2:$I$3001,$K1339,Расчет!$H$2:$H$3001,1))</f>
        <v/>
      </c>
      <c r="I1339">
        <f>IF($L1339="","",SUMIFS(Расчет!$G$2:$G$3001,Расчет!$I$2:$I$3001,$K1339,Расчет!$H$2:$H$3001,2))</f>
        <v/>
      </c>
      <c r="J1339">
        <f>IF($L1339="","",SUMIFS(Расчет!$G$2:$G$3001,Расчет!$I$2:$I$3001,$K1339,Расчет!$H$2:$H$3001,3))</f>
        <v/>
      </c>
      <c r="K1339">
        <f>IF($L1339="","",INDEX(Расчет!$I$2:$I$3001,$L1339))</f>
        <v/>
      </c>
      <c r="L1339">
        <f>IFERROR(MATCH(ROW()-1,Расчет!$J$2:$J$3001,0),"")</f>
        <v/>
      </c>
    </row>
    <row r="1340">
      <c r="A1340">
        <f>IF($L1340="","",B1340&amp;"."&amp;C1340&amp;"-"&amp;D1340&amp;"-"&amp;H1340&amp;"."&amp;I1340&amp;"."&amp;J1340)</f>
        <v/>
      </c>
      <c r="B1340">
        <f>IF($L1340="","",INDEX(Расчет!$A$2:$A$3001,$L1340))</f>
        <v/>
      </c>
      <c r="C1340">
        <f>IF($L1340="","",INDEX(Расчет!$B$2:$B$3001,$L1340))</f>
        <v/>
      </c>
      <c r="D1340">
        <f>IF($L1340="","",IF(ISNUMBER(FIND("(",INDEX(Расчет!$C$2:$C$3001,$L1340))),SUBSTITUTE(MID(INDEX(Расчет!$C$2:$C$3001,$L1340),FIND("(",INDEX(Расчет!$C$2:$C$3001,$L1340))+1,99),")",""),INDEX(Расчет!$C$2:$C$3001,$L1340)))</f>
        <v/>
      </c>
      <c r="E1340">
        <f>IF($L1340="","",INDEX(Расчет!$D$2:$D$3001,$L1340))</f>
        <v/>
      </c>
      <c r="F1340">
        <f>IF($L1340="","",INDEX(Расчет!$E$2:$E$3001,$L1340))</f>
        <v/>
      </c>
      <c r="G1340">
        <f>IF($L1340="","",IFERROR(--LEFT(INDEX(Расчет!$C$2:$C$3001,$L1340),FIND("(",INDEX(Расчет!$C$2:$C$3001,$L1340))-1),IFERROR(--LEFT(INDEX(Расчет!$C$2:$C$3001,$L1340),1),"")))</f>
        <v/>
      </c>
      <c r="H1340">
        <f>IF($L1340="","",SUMIFS(Расчет!$G$2:$G$3001,Расчет!$I$2:$I$3001,$K1340,Расчет!$H$2:$H$3001,1))</f>
        <v/>
      </c>
      <c r="I1340">
        <f>IF($L1340="","",SUMIFS(Расчет!$G$2:$G$3001,Расчет!$I$2:$I$3001,$K1340,Расчет!$H$2:$H$3001,2))</f>
        <v/>
      </c>
      <c r="J1340">
        <f>IF($L1340="","",SUMIFS(Расчет!$G$2:$G$3001,Расчет!$I$2:$I$3001,$K1340,Расчет!$H$2:$H$3001,3))</f>
        <v/>
      </c>
      <c r="K1340">
        <f>IF($L1340="","",INDEX(Расчет!$I$2:$I$3001,$L1340))</f>
        <v/>
      </c>
      <c r="L1340">
        <f>IFERROR(MATCH(ROW()-1,Расчет!$J$2:$J$3001,0),"")</f>
        <v/>
      </c>
    </row>
    <row r="1341">
      <c r="A1341">
        <f>IF($L1341="","",B1341&amp;"."&amp;C1341&amp;"-"&amp;D1341&amp;"-"&amp;H1341&amp;"."&amp;I1341&amp;"."&amp;J1341)</f>
        <v/>
      </c>
      <c r="B1341">
        <f>IF($L1341="","",INDEX(Расчет!$A$2:$A$3001,$L1341))</f>
        <v/>
      </c>
      <c r="C1341">
        <f>IF($L1341="","",INDEX(Расчет!$B$2:$B$3001,$L1341))</f>
        <v/>
      </c>
      <c r="D1341">
        <f>IF($L1341="","",IF(ISNUMBER(FIND("(",INDEX(Расчет!$C$2:$C$3001,$L1341))),SUBSTITUTE(MID(INDEX(Расчет!$C$2:$C$3001,$L1341),FIND("(",INDEX(Расчет!$C$2:$C$3001,$L1341))+1,99),")",""),INDEX(Расчет!$C$2:$C$3001,$L1341)))</f>
        <v/>
      </c>
      <c r="E1341">
        <f>IF($L1341="","",INDEX(Расчет!$D$2:$D$3001,$L1341))</f>
        <v/>
      </c>
      <c r="F1341">
        <f>IF($L1341="","",INDEX(Расчет!$E$2:$E$3001,$L1341))</f>
        <v/>
      </c>
      <c r="G1341">
        <f>IF($L1341="","",IFERROR(--LEFT(INDEX(Расчет!$C$2:$C$3001,$L1341),FIND("(",INDEX(Расчет!$C$2:$C$3001,$L1341))-1),IFERROR(--LEFT(INDEX(Расчет!$C$2:$C$3001,$L1341),1),"")))</f>
        <v/>
      </c>
      <c r="H1341">
        <f>IF($L1341="","",SUMIFS(Расчет!$G$2:$G$3001,Расчет!$I$2:$I$3001,$K1341,Расчет!$H$2:$H$3001,1))</f>
        <v/>
      </c>
      <c r="I1341">
        <f>IF($L1341="","",SUMIFS(Расчет!$G$2:$G$3001,Расчет!$I$2:$I$3001,$K1341,Расчет!$H$2:$H$3001,2))</f>
        <v/>
      </c>
      <c r="J1341">
        <f>IF($L1341="","",SUMIFS(Расчет!$G$2:$G$3001,Расчет!$I$2:$I$3001,$K1341,Расчет!$H$2:$H$3001,3))</f>
        <v/>
      </c>
      <c r="K1341">
        <f>IF($L1341="","",INDEX(Расчет!$I$2:$I$3001,$L1341))</f>
        <v/>
      </c>
      <c r="L1341">
        <f>IFERROR(MATCH(ROW()-1,Расчет!$J$2:$J$3001,0),"")</f>
        <v/>
      </c>
    </row>
    <row r="1342">
      <c r="A1342">
        <f>IF($L1342="","",B1342&amp;"."&amp;C1342&amp;"-"&amp;D1342&amp;"-"&amp;H1342&amp;"."&amp;I1342&amp;"."&amp;J1342)</f>
        <v/>
      </c>
      <c r="B1342">
        <f>IF($L1342="","",INDEX(Расчет!$A$2:$A$3001,$L1342))</f>
        <v/>
      </c>
      <c r="C1342">
        <f>IF($L1342="","",INDEX(Расчет!$B$2:$B$3001,$L1342))</f>
        <v/>
      </c>
      <c r="D1342">
        <f>IF($L1342="","",IF(ISNUMBER(FIND("(",INDEX(Расчет!$C$2:$C$3001,$L1342))),SUBSTITUTE(MID(INDEX(Расчет!$C$2:$C$3001,$L1342),FIND("(",INDEX(Расчет!$C$2:$C$3001,$L1342))+1,99),")",""),INDEX(Расчет!$C$2:$C$3001,$L1342)))</f>
        <v/>
      </c>
      <c r="E1342">
        <f>IF($L1342="","",INDEX(Расчет!$D$2:$D$3001,$L1342))</f>
        <v/>
      </c>
      <c r="F1342">
        <f>IF($L1342="","",INDEX(Расчет!$E$2:$E$3001,$L1342))</f>
        <v/>
      </c>
      <c r="G1342">
        <f>IF($L1342="","",IFERROR(--LEFT(INDEX(Расчет!$C$2:$C$3001,$L1342),FIND("(",INDEX(Расчет!$C$2:$C$3001,$L1342))-1),IFERROR(--LEFT(INDEX(Расчет!$C$2:$C$3001,$L1342),1),"")))</f>
        <v/>
      </c>
      <c r="H1342">
        <f>IF($L1342="","",SUMIFS(Расчет!$G$2:$G$3001,Расчет!$I$2:$I$3001,$K1342,Расчет!$H$2:$H$3001,1))</f>
        <v/>
      </c>
      <c r="I1342">
        <f>IF($L1342="","",SUMIFS(Расчет!$G$2:$G$3001,Расчет!$I$2:$I$3001,$K1342,Расчет!$H$2:$H$3001,2))</f>
        <v/>
      </c>
      <c r="J1342">
        <f>IF($L1342="","",SUMIFS(Расчет!$G$2:$G$3001,Расчет!$I$2:$I$3001,$K1342,Расчет!$H$2:$H$3001,3))</f>
        <v/>
      </c>
      <c r="K1342">
        <f>IF($L1342="","",INDEX(Расчет!$I$2:$I$3001,$L1342))</f>
        <v/>
      </c>
      <c r="L1342">
        <f>IFERROR(MATCH(ROW()-1,Расчет!$J$2:$J$3001,0),"")</f>
        <v/>
      </c>
    </row>
    <row r="1343">
      <c r="A1343">
        <f>IF($L1343="","",B1343&amp;"."&amp;C1343&amp;"-"&amp;D1343&amp;"-"&amp;H1343&amp;"."&amp;I1343&amp;"."&amp;J1343)</f>
        <v/>
      </c>
      <c r="B1343">
        <f>IF($L1343="","",INDEX(Расчет!$A$2:$A$3001,$L1343))</f>
        <v/>
      </c>
      <c r="C1343">
        <f>IF($L1343="","",INDEX(Расчет!$B$2:$B$3001,$L1343))</f>
        <v/>
      </c>
      <c r="D1343">
        <f>IF($L1343="","",IF(ISNUMBER(FIND("(",INDEX(Расчет!$C$2:$C$3001,$L1343))),SUBSTITUTE(MID(INDEX(Расчет!$C$2:$C$3001,$L1343),FIND("(",INDEX(Расчет!$C$2:$C$3001,$L1343))+1,99),")",""),INDEX(Расчет!$C$2:$C$3001,$L1343)))</f>
        <v/>
      </c>
      <c r="E1343">
        <f>IF($L1343="","",INDEX(Расчет!$D$2:$D$3001,$L1343))</f>
        <v/>
      </c>
      <c r="F1343">
        <f>IF($L1343="","",INDEX(Расчет!$E$2:$E$3001,$L1343))</f>
        <v/>
      </c>
      <c r="G1343">
        <f>IF($L1343="","",IFERROR(--LEFT(INDEX(Расчет!$C$2:$C$3001,$L1343),FIND("(",INDEX(Расчет!$C$2:$C$3001,$L1343))-1),IFERROR(--LEFT(INDEX(Расчет!$C$2:$C$3001,$L1343),1),"")))</f>
        <v/>
      </c>
      <c r="H1343">
        <f>IF($L1343="","",SUMIFS(Расчет!$G$2:$G$3001,Расчет!$I$2:$I$3001,$K1343,Расчет!$H$2:$H$3001,1))</f>
        <v/>
      </c>
      <c r="I1343">
        <f>IF($L1343="","",SUMIFS(Расчет!$G$2:$G$3001,Расчет!$I$2:$I$3001,$K1343,Расчет!$H$2:$H$3001,2))</f>
        <v/>
      </c>
      <c r="J1343">
        <f>IF($L1343="","",SUMIFS(Расчет!$G$2:$G$3001,Расчет!$I$2:$I$3001,$K1343,Расчет!$H$2:$H$3001,3))</f>
        <v/>
      </c>
      <c r="K1343">
        <f>IF($L1343="","",INDEX(Расчет!$I$2:$I$3001,$L1343))</f>
        <v/>
      </c>
      <c r="L1343">
        <f>IFERROR(MATCH(ROW()-1,Расчет!$J$2:$J$3001,0),"")</f>
        <v/>
      </c>
    </row>
    <row r="1344">
      <c r="A1344">
        <f>IF($L1344="","",B1344&amp;"."&amp;C1344&amp;"-"&amp;D1344&amp;"-"&amp;H1344&amp;"."&amp;I1344&amp;"."&amp;J1344)</f>
        <v/>
      </c>
      <c r="B1344">
        <f>IF($L1344="","",INDEX(Расчет!$A$2:$A$3001,$L1344))</f>
        <v/>
      </c>
      <c r="C1344">
        <f>IF($L1344="","",INDEX(Расчет!$B$2:$B$3001,$L1344))</f>
        <v/>
      </c>
      <c r="D1344">
        <f>IF($L1344="","",IF(ISNUMBER(FIND("(",INDEX(Расчет!$C$2:$C$3001,$L1344))),SUBSTITUTE(MID(INDEX(Расчет!$C$2:$C$3001,$L1344),FIND("(",INDEX(Расчет!$C$2:$C$3001,$L1344))+1,99),")",""),INDEX(Расчет!$C$2:$C$3001,$L1344)))</f>
        <v/>
      </c>
      <c r="E1344">
        <f>IF($L1344="","",INDEX(Расчет!$D$2:$D$3001,$L1344))</f>
        <v/>
      </c>
      <c r="F1344">
        <f>IF($L1344="","",INDEX(Расчет!$E$2:$E$3001,$L1344))</f>
        <v/>
      </c>
      <c r="G1344">
        <f>IF($L1344="","",IFERROR(--LEFT(INDEX(Расчет!$C$2:$C$3001,$L1344),FIND("(",INDEX(Расчет!$C$2:$C$3001,$L1344))-1),IFERROR(--LEFT(INDEX(Расчет!$C$2:$C$3001,$L1344),1),"")))</f>
        <v/>
      </c>
      <c r="H1344">
        <f>IF($L1344="","",SUMIFS(Расчет!$G$2:$G$3001,Расчет!$I$2:$I$3001,$K1344,Расчет!$H$2:$H$3001,1))</f>
        <v/>
      </c>
      <c r="I1344">
        <f>IF($L1344="","",SUMIFS(Расчет!$G$2:$G$3001,Расчет!$I$2:$I$3001,$K1344,Расчет!$H$2:$H$3001,2))</f>
        <v/>
      </c>
      <c r="J1344">
        <f>IF($L1344="","",SUMIFS(Расчет!$G$2:$G$3001,Расчет!$I$2:$I$3001,$K1344,Расчет!$H$2:$H$3001,3))</f>
        <v/>
      </c>
      <c r="K1344">
        <f>IF($L1344="","",INDEX(Расчет!$I$2:$I$3001,$L1344))</f>
        <v/>
      </c>
      <c r="L1344">
        <f>IFERROR(MATCH(ROW()-1,Расчет!$J$2:$J$3001,0),"")</f>
        <v/>
      </c>
    </row>
    <row r="1345">
      <c r="A1345">
        <f>IF($L1345="","",B1345&amp;"."&amp;C1345&amp;"-"&amp;D1345&amp;"-"&amp;H1345&amp;"."&amp;I1345&amp;"."&amp;J1345)</f>
        <v/>
      </c>
      <c r="B1345">
        <f>IF($L1345="","",INDEX(Расчет!$A$2:$A$3001,$L1345))</f>
        <v/>
      </c>
      <c r="C1345">
        <f>IF($L1345="","",INDEX(Расчет!$B$2:$B$3001,$L1345))</f>
        <v/>
      </c>
      <c r="D1345">
        <f>IF($L1345="","",IF(ISNUMBER(FIND("(",INDEX(Расчет!$C$2:$C$3001,$L1345))),SUBSTITUTE(MID(INDEX(Расчет!$C$2:$C$3001,$L1345),FIND("(",INDEX(Расчет!$C$2:$C$3001,$L1345))+1,99),")",""),INDEX(Расчет!$C$2:$C$3001,$L1345)))</f>
        <v/>
      </c>
      <c r="E1345">
        <f>IF($L1345="","",INDEX(Расчет!$D$2:$D$3001,$L1345))</f>
        <v/>
      </c>
      <c r="F1345">
        <f>IF($L1345="","",INDEX(Расчет!$E$2:$E$3001,$L1345))</f>
        <v/>
      </c>
      <c r="G1345">
        <f>IF($L1345="","",IFERROR(--LEFT(INDEX(Расчет!$C$2:$C$3001,$L1345),FIND("(",INDEX(Расчет!$C$2:$C$3001,$L1345))-1),IFERROR(--LEFT(INDEX(Расчет!$C$2:$C$3001,$L1345),1),"")))</f>
        <v/>
      </c>
      <c r="H1345">
        <f>IF($L1345="","",SUMIFS(Расчет!$G$2:$G$3001,Расчет!$I$2:$I$3001,$K1345,Расчет!$H$2:$H$3001,1))</f>
        <v/>
      </c>
      <c r="I1345">
        <f>IF($L1345="","",SUMIFS(Расчет!$G$2:$G$3001,Расчет!$I$2:$I$3001,$K1345,Расчет!$H$2:$H$3001,2))</f>
        <v/>
      </c>
      <c r="J1345">
        <f>IF($L1345="","",SUMIFS(Расчет!$G$2:$G$3001,Расчет!$I$2:$I$3001,$K1345,Расчет!$H$2:$H$3001,3))</f>
        <v/>
      </c>
      <c r="K1345">
        <f>IF($L1345="","",INDEX(Расчет!$I$2:$I$3001,$L1345))</f>
        <v/>
      </c>
      <c r="L1345">
        <f>IFERROR(MATCH(ROW()-1,Расчет!$J$2:$J$3001,0),"")</f>
        <v/>
      </c>
    </row>
    <row r="1346">
      <c r="A1346">
        <f>IF($L1346="","",B1346&amp;"."&amp;C1346&amp;"-"&amp;D1346&amp;"-"&amp;H1346&amp;"."&amp;I1346&amp;"."&amp;J1346)</f>
        <v/>
      </c>
      <c r="B1346">
        <f>IF($L1346="","",INDEX(Расчет!$A$2:$A$3001,$L1346))</f>
        <v/>
      </c>
      <c r="C1346">
        <f>IF($L1346="","",INDEX(Расчет!$B$2:$B$3001,$L1346))</f>
        <v/>
      </c>
      <c r="D1346">
        <f>IF($L1346="","",IF(ISNUMBER(FIND("(",INDEX(Расчет!$C$2:$C$3001,$L1346))),SUBSTITUTE(MID(INDEX(Расчет!$C$2:$C$3001,$L1346),FIND("(",INDEX(Расчет!$C$2:$C$3001,$L1346))+1,99),")",""),INDEX(Расчет!$C$2:$C$3001,$L1346)))</f>
        <v/>
      </c>
      <c r="E1346">
        <f>IF($L1346="","",INDEX(Расчет!$D$2:$D$3001,$L1346))</f>
        <v/>
      </c>
      <c r="F1346">
        <f>IF($L1346="","",INDEX(Расчет!$E$2:$E$3001,$L1346))</f>
        <v/>
      </c>
      <c r="G1346">
        <f>IF($L1346="","",IFERROR(--LEFT(INDEX(Расчет!$C$2:$C$3001,$L1346),FIND("(",INDEX(Расчет!$C$2:$C$3001,$L1346))-1),IFERROR(--LEFT(INDEX(Расчет!$C$2:$C$3001,$L1346),1),"")))</f>
        <v/>
      </c>
      <c r="H1346">
        <f>IF($L1346="","",SUMIFS(Расчет!$G$2:$G$3001,Расчет!$I$2:$I$3001,$K1346,Расчет!$H$2:$H$3001,1))</f>
        <v/>
      </c>
      <c r="I1346">
        <f>IF($L1346="","",SUMIFS(Расчет!$G$2:$G$3001,Расчет!$I$2:$I$3001,$K1346,Расчет!$H$2:$H$3001,2))</f>
        <v/>
      </c>
      <c r="J1346">
        <f>IF($L1346="","",SUMIFS(Расчет!$G$2:$G$3001,Расчет!$I$2:$I$3001,$K1346,Расчет!$H$2:$H$3001,3))</f>
        <v/>
      </c>
      <c r="K1346">
        <f>IF($L1346="","",INDEX(Расчет!$I$2:$I$3001,$L1346))</f>
        <v/>
      </c>
      <c r="L1346">
        <f>IFERROR(MATCH(ROW()-1,Расчет!$J$2:$J$3001,0),"")</f>
        <v/>
      </c>
    </row>
    <row r="1347">
      <c r="A1347">
        <f>IF($L1347="","",B1347&amp;"."&amp;C1347&amp;"-"&amp;D1347&amp;"-"&amp;H1347&amp;"."&amp;I1347&amp;"."&amp;J1347)</f>
        <v/>
      </c>
      <c r="B1347">
        <f>IF($L1347="","",INDEX(Расчет!$A$2:$A$3001,$L1347))</f>
        <v/>
      </c>
      <c r="C1347">
        <f>IF($L1347="","",INDEX(Расчет!$B$2:$B$3001,$L1347))</f>
        <v/>
      </c>
      <c r="D1347">
        <f>IF($L1347="","",IF(ISNUMBER(FIND("(",INDEX(Расчет!$C$2:$C$3001,$L1347))),SUBSTITUTE(MID(INDEX(Расчет!$C$2:$C$3001,$L1347),FIND("(",INDEX(Расчет!$C$2:$C$3001,$L1347))+1,99),")",""),INDEX(Расчет!$C$2:$C$3001,$L1347)))</f>
        <v/>
      </c>
      <c r="E1347">
        <f>IF($L1347="","",INDEX(Расчет!$D$2:$D$3001,$L1347))</f>
        <v/>
      </c>
      <c r="F1347">
        <f>IF($L1347="","",INDEX(Расчет!$E$2:$E$3001,$L1347))</f>
        <v/>
      </c>
      <c r="G1347">
        <f>IF($L1347="","",IFERROR(--LEFT(INDEX(Расчет!$C$2:$C$3001,$L1347),FIND("(",INDEX(Расчет!$C$2:$C$3001,$L1347))-1),IFERROR(--LEFT(INDEX(Расчет!$C$2:$C$3001,$L1347),1),"")))</f>
        <v/>
      </c>
      <c r="H1347">
        <f>IF($L1347="","",SUMIFS(Расчет!$G$2:$G$3001,Расчет!$I$2:$I$3001,$K1347,Расчет!$H$2:$H$3001,1))</f>
        <v/>
      </c>
      <c r="I1347">
        <f>IF($L1347="","",SUMIFS(Расчет!$G$2:$G$3001,Расчет!$I$2:$I$3001,$K1347,Расчет!$H$2:$H$3001,2))</f>
        <v/>
      </c>
      <c r="J1347">
        <f>IF($L1347="","",SUMIFS(Расчет!$G$2:$G$3001,Расчет!$I$2:$I$3001,$K1347,Расчет!$H$2:$H$3001,3))</f>
        <v/>
      </c>
      <c r="K1347">
        <f>IF($L1347="","",INDEX(Расчет!$I$2:$I$3001,$L1347))</f>
        <v/>
      </c>
      <c r="L1347">
        <f>IFERROR(MATCH(ROW()-1,Расчет!$J$2:$J$3001,0),"")</f>
        <v/>
      </c>
    </row>
    <row r="1348">
      <c r="A1348">
        <f>IF($L1348="","",B1348&amp;"."&amp;C1348&amp;"-"&amp;D1348&amp;"-"&amp;H1348&amp;"."&amp;I1348&amp;"."&amp;J1348)</f>
        <v/>
      </c>
      <c r="B1348">
        <f>IF($L1348="","",INDEX(Расчет!$A$2:$A$3001,$L1348))</f>
        <v/>
      </c>
      <c r="C1348">
        <f>IF($L1348="","",INDEX(Расчет!$B$2:$B$3001,$L1348))</f>
        <v/>
      </c>
      <c r="D1348">
        <f>IF($L1348="","",IF(ISNUMBER(FIND("(",INDEX(Расчет!$C$2:$C$3001,$L1348))),SUBSTITUTE(MID(INDEX(Расчет!$C$2:$C$3001,$L1348),FIND("(",INDEX(Расчет!$C$2:$C$3001,$L1348))+1,99),")",""),INDEX(Расчет!$C$2:$C$3001,$L1348)))</f>
        <v/>
      </c>
      <c r="E1348">
        <f>IF($L1348="","",INDEX(Расчет!$D$2:$D$3001,$L1348))</f>
        <v/>
      </c>
      <c r="F1348">
        <f>IF($L1348="","",INDEX(Расчет!$E$2:$E$3001,$L1348))</f>
        <v/>
      </c>
      <c r="G1348">
        <f>IF($L1348="","",IFERROR(--LEFT(INDEX(Расчет!$C$2:$C$3001,$L1348),FIND("(",INDEX(Расчет!$C$2:$C$3001,$L1348))-1),IFERROR(--LEFT(INDEX(Расчет!$C$2:$C$3001,$L1348),1),"")))</f>
        <v/>
      </c>
      <c r="H1348">
        <f>IF($L1348="","",SUMIFS(Расчет!$G$2:$G$3001,Расчет!$I$2:$I$3001,$K1348,Расчет!$H$2:$H$3001,1))</f>
        <v/>
      </c>
      <c r="I1348">
        <f>IF($L1348="","",SUMIFS(Расчет!$G$2:$G$3001,Расчет!$I$2:$I$3001,$K1348,Расчет!$H$2:$H$3001,2))</f>
        <v/>
      </c>
      <c r="J1348">
        <f>IF($L1348="","",SUMIFS(Расчет!$G$2:$G$3001,Расчет!$I$2:$I$3001,$K1348,Расчет!$H$2:$H$3001,3))</f>
        <v/>
      </c>
      <c r="K1348">
        <f>IF($L1348="","",INDEX(Расчет!$I$2:$I$3001,$L1348))</f>
        <v/>
      </c>
      <c r="L1348">
        <f>IFERROR(MATCH(ROW()-1,Расчет!$J$2:$J$3001,0),"")</f>
        <v/>
      </c>
    </row>
    <row r="1349">
      <c r="A1349">
        <f>IF($L1349="","",B1349&amp;"."&amp;C1349&amp;"-"&amp;D1349&amp;"-"&amp;H1349&amp;"."&amp;I1349&amp;"."&amp;J1349)</f>
        <v/>
      </c>
      <c r="B1349">
        <f>IF($L1349="","",INDEX(Расчет!$A$2:$A$3001,$L1349))</f>
        <v/>
      </c>
      <c r="C1349">
        <f>IF($L1349="","",INDEX(Расчет!$B$2:$B$3001,$L1349))</f>
        <v/>
      </c>
      <c r="D1349">
        <f>IF($L1349="","",IF(ISNUMBER(FIND("(",INDEX(Расчет!$C$2:$C$3001,$L1349))),SUBSTITUTE(MID(INDEX(Расчет!$C$2:$C$3001,$L1349),FIND("(",INDEX(Расчет!$C$2:$C$3001,$L1349))+1,99),")",""),INDEX(Расчет!$C$2:$C$3001,$L1349)))</f>
        <v/>
      </c>
      <c r="E1349">
        <f>IF($L1349="","",INDEX(Расчет!$D$2:$D$3001,$L1349))</f>
        <v/>
      </c>
      <c r="F1349">
        <f>IF($L1349="","",INDEX(Расчет!$E$2:$E$3001,$L1349))</f>
        <v/>
      </c>
      <c r="G1349">
        <f>IF($L1349="","",IFERROR(--LEFT(INDEX(Расчет!$C$2:$C$3001,$L1349),FIND("(",INDEX(Расчет!$C$2:$C$3001,$L1349))-1),IFERROR(--LEFT(INDEX(Расчет!$C$2:$C$3001,$L1349),1),"")))</f>
        <v/>
      </c>
      <c r="H1349">
        <f>IF($L1349="","",SUMIFS(Расчет!$G$2:$G$3001,Расчет!$I$2:$I$3001,$K1349,Расчет!$H$2:$H$3001,1))</f>
        <v/>
      </c>
      <c r="I1349">
        <f>IF($L1349="","",SUMIFS(Расчет!$G$2:$G$3001,Расчет!$I$2:$I$3001,$K1349,Расчет!$H$2:$H$3001,2))</f>
        <v/>
      </c>
      <c r="J1349">
        <f>IF($L1349="","",SUMIFS(Расчет!$G$2:$G$3001,Расчет!$I$2:$I$3001,$K1349,Расчет!$H$2:$H$3001,3))</f>
        <v/>
      </c>
      <c r="K1349">
        <f>IF($L1349="","",INDEX(Расчет!$I$2:$I$3001,$L1349))</f>
        <v/>
      </c>
      <c r="L1349">
        <f>IFERROR(MATCH(ROW()-1,Расчет!$J$2:$J$3001,0),"")</f>
        <v/>
      </c>
    </row>
    <row r="1350">
      <c r="A1350">
        <f>IF($L1350="","",B1350&amp;"."&amp;C1350&amp;"-"&amp;D1350&amp;"-"&amp;H1350&amp;"."&amp;I1350&amp;"."&amp;J1350)</f>
        <v/>
      </c>
      <c r="B1350">
        <f>IF($L1350="","",INDEX(Расчет!$A$2:$A$3001,$L1350))</f>
        <v/>
      </c>
      <c r="C1350">
        <f>IF($L1350="","",INDEX(Расчет!$B$2:$B$3001,$L1350))</f>
        <v/>
      </c>
      <c r="D1350">
        <f>IF($L1350="","",IF(ISNUMBER(FIND("(",INDEX(Расчет!$C$2:$C$3001,$L1350))),SUBSTITUTE(MID(INDEX(Расчет!$C$2:$C$3001,$L1350),FIND("(",INDEX(Расчет!$C$2:$C$3001,$L1350))+1,99),")",""),INDEX(Расчет!$C$2:$C$3001,$L1350)))</f>
        <v/>
      </c>
      <c r="E1350">
        <f>IF($L1350="","",INDEX(Расчет!$D$2:$D$3001,$L1350))</f>
        <v/>
      </c>
      <c r="F1350">
        <f>IF($L1350="","",INDEX(Расчет!$E$2:$E$3001,$L1350))</f>
        <v/>
      </c>
      <c r="G1350">
        <f>IF($L1350="","",IFERROR(--LEFT(INDEX(Расчет!$C$2:$C$3001,$L1350),FIND("(",INDEX(Расчет!$C$2:$C$3001,$L1350))-1),IFERROR(--LEFT(INDEX(Расчет!$C$2:$C$3001,$L1350),1),"")))</f>
        <v/>
      </c>
      <c r="H1350">
        <f>IF($L1350="","",SUMIFS(Расчет!$G$2:$G$3001,Расчет!$I$2:$I$3001,$K1350,Расчет!$H$2:$H$3001,1))</f>
        <v/>
      </c>
      <c r="I1350">
        <f>IF($L1350="","",SUMIFS(Расчет!$G$2:$G$3001,Расчет!$I$2:$I$3001,$K1350,Расчет!$H$2:$H$3001,2))</f>
        <v/>
      </c>
      <c r="J1350">
        <f>IF($L1350="","",SUMIFS(Расчет!$G$2:$G$3001,Расчет!$I$2:$I$3001,$K1350,Расчет!$H$2:$H$3001,3))</f>
        <v/>
      </c>
      <c r="K1350">
        <f>IF($L1350="","",INDEX(Расчет!$I$2:$I$3001,$L1350))</f>
        <v/>
      </c>
      <c r="L1350">
        <f>IFERROR(MATCH(ROW()-1,Расчет!$J$2:$J$3001,0),"")</f>
        <v/>
      </c>
    </row>
    <row r="1351">
      <c r="A1351">
        <f>IF($L1351="","",B1351&amp;"."&amp;C1351&amp;"-"&amp;D1351&amp;"-"&amp;H1351&amp;"."&amp;I1351&amp;"."&amp;J1351)</f>
        <v/>
      </c>
      <c r="B1351">
        <f>IF($L1351="","",INDEX(Расчет!$A$2:$A$3001,$L1351))</f>
        <v/>
      </c>
      <c r="C1351">
        <f>IF($L1351="","",INDEX(Расчет!$B$2:$B$3001,$L1351))</f>
        <v/>
      </c>
      <c r="D1351">
        <f>IF($L1351="","",IF(ISNUMBER(FIND("(",INDEX(Расчет!$C$2:$C$3001,$L1351))),SUBSTITUTE(MID(INDEX(Расчет!$C$2:$C$3001,$L1351),FIND("(",INDEX(Расчет!$C$2:$C$3001,$L1351))+1,99),")",""),INDEX(Расчет!$C$2:$C$3001,$L1351)))</f>
        <v/>
      </c>
      <c r="E1351">
        <f>IF($L1351="","",INDEX(Расчет!$D$2:$D$3001,$L1351))</f>
        <v/>
      </c>
      <c r="F1351">
        <f>IF($L1351="","",INDEX(Расчет!$E$2:$E$3001,$L1351))</f>
        <v/>
      </c>
      <c r="G1351">
        <f>IF($L1351="","",IFERROR(--LEFT(INDEX(Расчет!$C$2:$C$3001,$L1351),FIND("(",INDEX(Расчет!$C$2:$C$3001,$L1351))-1),IFERROR(--LEFT(INDEX(Расчет!$C$2:$C$3001,$L1351),1),"")))</f>
        <v/>
      </c>
      <c r="H1351">
        <f>IF($L1351="","",SUMIFS(Расчет!$G$2:$G$3001,Расчет!$I$2:$I$3001,$K1351,Расчет!$H$2:$H$3001,1))</f>
        <v/>
      </c>
      <c r="I1351">
        <f>IF($L1351="","",SUMIFS(Расчет!$G$2:$G$3001,Расчет!$I$2:$I$3001,$K1351,Расчет!$H$2:$H$3001,2))</f>
        <v/>
      </c>
      <c r="J1351">
        <f>IF($L1351="","",SUMIFS(Расчет!$G$2:$G$3001,Расчет!$I$2:$I$3001,$K1351,Расчет!$H$2:$H$3001,3))</f>
        <v/>
      </c>
      <c r="K1351">
        <f>IF($L1351="","",INDEX(Расчет!$I$2:$I$3001,$L1351))</f>
        <v/>
      </c>
      <c r="L1351">
        <f>IFERROR(MATCH(ROW()-1,Расчет!$J$2:$J$3001,0),"")</f>
        <v/>
      </c>
    </row>
    <row r="1352">
      <c r="A1352">
        <f>IF($L1352="","",B1352&amp;"."&amp;C1352&amp;"-"&amp;D1352&amp;"-"&amp;H1352&amp;"."&amp;I1352&amp;"."&amp;J1352)</f>
        <v/>
      </c>
      <c r="B1352">
        <f>IF($L1352="","",INDEX(Расчет!$A$2:$A$3001,$L1352))</f>
        <v/>
      </c>
      <c r="C1352">
        <f>IF($L1352="","",INDEX(Расчет!$B$2:$B$3001,$L1352))</f>
        <v/>
      </c>
      <c r="D1352">
        <f>IF($L1352="","",IF(ISNUMBER(FIND("(",INDEX(Расчет!$C$2:$C$3001,$L1352))),SUBSTITUTE(MID(INDEX(Расчет!$C$2:$C$3001,$L1352),FIND("(",INDEX(Расчет!$C$2:$C$3001,$L1352))+1,99),")",""),INDEX(Расчет!$C$2:$C$3001,$L1352)))</f>
        <v/>
      </c>
      <c r="E1352">
        <f>IF($L1352="","",INDEX(Расчет!$D$2:$D$3001,$L1352))</f>
        <v/>
      </c>
      <c r="F1352">
        <f>IF($L1352="","",INDEX(Расчет!$E$2:$E$3001,$L1352))</f>
        <v/>
      </c>
      <c r="G1352">
        <f>IF($L1352="","",IFERROR(--LEFT(INDEX(Расчет!$C$2:$C$3001,$L1352),FIND("(",INDEX(Расчет!$C$2:$C$3001,$L1352))-1),IFERROR(--LEFT(INDEX(Расчет!$C$2:$C$3001,$L1352),1),"")))</f>
        <v/>
      </c>
      <c r="H1352">
        <f>IF($L1352="","",SUMIFS(Расчет!$G$2:$G$3001,Расчет!$I$2:$I$3001,$K1352,Расчет!$H$2:$H$3001,1))</f>
        <v/>
      </c>
      <c r="I1352">
        <f>IF($L1352="","",SUMIFS(Расчет!$G$2:$G$3001,Расчет!$I$2:$I$3001,$K1352,Расчет!$H$2:$H$3001,2))</f>
        <v/>
      </c>
      <c r="J1352">
        <f>IF($L1352="","",SUMIFS(Расчет!$G$2:$G$3001,Расчет!$I$2:$I$3001,$K1352,Расчет!$H$2:$H$3001,3))</f>
        <v/>
      </c>
      <c r="K1352">
        <f>IF($L1352="","",INDEX(Расчет!$I$2:$I$3001,$L1352))</f>
        <v/>
      </c>
      <c r="L1352">
        <f>IFERROR(MATCH(ROW()-1,Расчет!$J$2:$J$3001,0),"")</f>
        <v/>
      </c>
    </row>
    <row r="1353">
      <c r="A1353">
        <f>IF($L1353="","",B1353&amp;"."&amp;C1353&amp;"-"&amp;D1353&amp;"-"&amp;H1353&amp;"."&amp;I1353&amp;"."&amp;J1353)</f>
        <v/>
      </c>
      <c r="B1353">
        <f>IF($L1353="","",INDEX(Расчет!$A$2:$A$3001,$L1353))</f>
        <v/>
      </c>
      <c r="C1353">
        <f>IF($L1353="","",INDEX(Расчет!$B$2:$B$3001,$L1353))</f>
        <v/>
      </c>
      <c r="D1353">
        <f>IF($L1353="","",IF(ISNUMBER(FIND("(",INDEX(Расчет!$C$2:$C$3001,$L1353))),SUBSTITUTE(MID(INDEX(Расчет!$C$2:$C$3001,$L1353),FIND("(",INDEX(Расчет!$C$2:$C$3001,$L1353))+1,99),")",""),INDEX(Расчет!$C$2:$C$3001,$L1353)))</f>
        <v/>
      </c>
      <c r="E1353">
        <f>IF($L1353="","",INDEX(Расчет!$D$2:$D$3001,$L1353))</f>
        <v/>
      </c>
      <c r="F1353">
        <f>IF($L1353="","",INDEX(Расчет!$E$2:$E$3001,$L1353))</f>
        <v/>
      </c>
      <c r="G1353">
        <f>IF($L1353="","",IFERROR(--LEFT(INDEX(Расчет!$C$2:$C$3001,$L1353),FIND("(",INDEX(Расчет!$C$2:$C$3001,$L1353))-1),IFERROR(--LEFT(INDEX(Расчет!$C$2:$C$3001,$L1353),1),"")))</f>
        <v/>
      </c>
      <c r="H1353">
        <f>IF($L1353="","",SUMIFS(Расчет!$G$2:$G$3001,Расчет!$I$2:$I$3001,$K1353,Расчет!$H$2:$H$3001,1))</f>
        <v/>
      </c>
      <c r="I1353">
        <f>IF($L1353="","",SUMIFS(Расчет!$G$2:$G$3001,Расчет!$I$2:$I$3001,$K1353,Расчет!$H$2:$H$3001,2))</f>
        <v/>
      </c>
      <c r="J1353">
        <f>IF($L1353="","",SUMIFS(Расчет!$G$2:$G$3001,Расчет!$I$2:$I$3001,$K1353,Расчет!$H$2:$H$3001,3))</f>
        <v/>
      </c>
      <c r="K1353">
        <f>IF($L1353="","",INDEX(Расчет!$I$2:$I$3001,$L1353))</f>
        <v/>
      </c>
      <c r="L1353">
        <f>IFERROR(MATCH(ROW()-1,Расчет!$J$2:$J$3001,0),"")</f>
        <v/>
      </c>
    </row>
    <row r="1354">
      <c r="A1354">
        <f>IF($L1354="","",B1354&amp;"."&amp;C1354&amp;"-"&amp;D1354&amp;"-"&amp;H1354&amp;"."&amp;I1354&amp;"."&amp;J1354)</f>
        <v/>
      </c>
      <c r="B1354">
        <f>IF($L1354="","",INDEX(Расчет!$A$2:$A$3001,$L1354))</f>
        <v/>
      </c>
      <c r="C1354">
        <f>IF($L1354="","",INDEX(Расчет!$B$2:$B$3001,$L1354))</f>
        <v/>
      </c>
      <c r="D1354">
        <f>IF($L1354="","",IF(ISNUMBER(FIND("(",INDEX(Расчет!$C$2:$C$3001,$L1354))),SUBSTITUTE(MID(INDEX(Расчет!$C$2:$C$3001,$L1354),FIND("(",INDEX(Расчет!$C$2:$C$3001,$L1354))+1,99),")",""),INDEX(Расчет!$C$2:$C$3001,$L1354)))</f>
        <v/>
      </c>
      <c r="E1354">
        <f>IF($L1354="","",INDEX(Расчет!$D$2:$D$3001,$L1354))</f>
        <v/>
      </c>
      <c r="F1354">
        <f>IF($L1354="","",INDEX(Расчет!$E$2:$E$3001,$L1354))</f>
        <v/>
      </c>
      <c r="G1354">
        <f>IF($L1354="","",IFERROR(--LEFT(INDEX(Расчет!$C$2:$C$3001,$L1354),FIND("(",INDEX(Расчет!$C$2:$C$3001,$L1354))-1),IFERROR(--LEFT(INDEX(Расчет!$C$2:$C$3001,$L1354),1),"")))</f>
        <v/>
      </c>
      <c r="H1354">
        <f>IF($L1354="","",SUMIFS(Расчет!$G$2:$G$3001,Расчет!$I$2:$I$3001,$K1354,Расчет!$H$2:$H$3001,1))</f>
        <v/>
      </c>
      <c r="I1354">
        <f>IF($L1354="","",SUMIFS(Расчет!$G$2:$G$3001,Расчет!$I$2:$I$3001,$K1354,Расчет!$H$2:$H$3001,2))</f>
        <v/>
      </c>
      <c r="J1354">
        <f>IF($L1354="","",SUMIFS(Расчет!$G$2:$G$3001,Расчет!$I$2:$I$3001,$K1354,Расчет!$H$2:$H$3001,3))</f>
        <v/>
      </c>
      <c r="K1354">
        <f>IF($L1354="","",INDEX(Расчет!$I$2:$I$3001,$L1354))</f>
        <v/>
      </c>
      <c r="L1354">
        <f>IFERROR(MATCH(ROW()-1,Расчет!$J$2:$J$3001,0),"")</f>
        <v/>
      </c>
    </row>
    <row r="1355">
      <c r="A1355">
        <f>IF($L1355="","",B1355&amp;"."&amp;C1355&amp;"-"&amp;D1355&amp;"-"&amp;H1355&amp;"."&amp;I1355&amp;"."&amp;J1355)</f>
        <v/>
      </c>
      <c r="B1355">
        <f>IF($L1355="","",INDEX(Расчет!$A$2:$A$3001,$L1355))</f>
        <v/>
      </c>
      <c r="C1355">
        <f>IF($L1355="","",INDEX(Расчет!$B$2:$B$3001,$L1355))</f>
        <v/>
      </c>
      <c r="D1355">
        <f>IF($L1355="","",IF(ISNUMBER(FIND("(",INDEX(Расчет!$C$2:$C$3001,$L1355))),SUBSTITUTE(MID(INDEX(Расчет!$C$2:$C$3001,$L1355),FIND("(",INDEX(Расчет!$C$2:$C$3001,$L1355))+1,99),")",""),INDEX(Расчет!$C$2:$C$3001,$L1355)))</f>
        <v/>
      </c>
      <c r="E1355">
        <f>IF($L1355="","",INDEX(Расчет!$D$2:$D$3001,$L1355))</f>
        <v/>
      </c>
      <c r="F1355">
        <f>IF($L1355="","",INDEX(Расчет!$E$2:$E$3001,$L1355))</f>
        <v/>
      </c>
      <c r="G1355">
        <f>IF($L1355="","",IFERROR(--LEFT(INDEX(Расчет!$C$2:$C$3001,$L1355),FIND("(",INDEX(Расчет!$C$2:$C$3001,$L1355))-1),IFERROR(--LEFT(INDEX(Расчет!$C$2:$C$3001,$L1355),1),"")))</f>
        <v/>
      </c>
      <c r="H1355">
        <f>IF($L1355="","",SUMIFS(Расчет!$G$2:$G$3001,Расчет!$I$2:$I$3001,$K1355,Расчет!$H$2:$H$3001,1))</f>
        <v/>
      </c>
      <c r="I1355">
        <f>IF($L1355="","",SUMIFS(Расчет!$G$2:$G$3001,Расчет!$I$2:$I$3001,$K1355,Расчет!$H$2:$H$3001,2))</f>
        <v/>
      </c>
      <c r="J1355">
        <f>IF($L1355="","",SUMIFS(Расчет!$G$2:$G$3001,Расчет!$I$2:$I$3001,$K1355,Расчет!$H$2:$H$3001,3))</f>
        <v/>
      </c>
      <c r="K1355">
        <f>IF($L1355="","",INDEX(Расчет!$I$2:$I$3001,$L1355))</f>
        <v/>
      </c>
      <c r="L1355">
        <f>IFERROR(MATCH(ROW()-1,Расчет!$J$2:$J$3001,0),"")</f>
        <v/>
      </c>
    </row>
    <row r="1356">
      <c r="A1356">
        <f>IF($L1356="","",B1356&amp;"."&amp;C1356&amp;"-"&amp;D1356&amp;"-"&amp;H1356&amp;"."&amp;I1356&amp;"."&amp;J1356)</f>
        <v/>
      </c>
      <c r="B1356">
        <f>IF($L1356="","",INDEX(Расчет!$A$2:$A$3001,$L1356))</f>
        <v/>
      </c>
      <c r="C1356">
        <f>IF($L1356="","",INDEX(Расчет!$B$2:$B$3001,$L1356))</f>
        <v/>
      </c>
      <c r="D1356">
        <f>IF($L1356="","",IF(ISNUMBER(FIND("(",INDEX(Расчет!$C$2:$C$3001,$L1356))),SUBSTITUTE(MID(INDEX(Расчет!$C$2:$C$3001,$L1356),FIND("(",INDEX(Расчет!$C$2:$C$3001,$L1356))+1,99),")",""),INDEX(Расчет!$C$2:$C$3001,$L1356)))</f>
        <v/>
      </c>
      <c r="E1356">
        <f>IF($L1356="","",INDEX(Расчет!$D$2:$D$3001,$L1356))</f>
        <v/>
      </c>
      <c r="F1356">
        <f>IF($L1356="","",INDEX(Расчет!$E$2:$E$3001,$L1356))</f>
        <v/>
      </c>
      <c r="G1356">
        <f>IF($L1356="","",IFERROR(--LEFT(INDEX(Расчет!$C$2:$C$3001,$L1356),FIND("(",INDEX(Расчет!$C$2:$C$3001,$L1356))-1),IFERROR(--LEFT(INDEX(Расчет!$C$2:$C$3001,$L1356),1),"")))</f>
        <v/>
      </c>
      <c r="H1356">
        <f>IF($L1356="","",SUMIFS(Расчет!$G$2:$G$3001,Расчет!$I$2:$I$3001,$K1356,Расчет!$H$2:$H$3001,1))</f>
        <v/>
      </c>
      <c r="I1356">
        <f>IF($L1356="","",SUMIFS(Расчет!$G$2:$G$3001,Расчет!$I$2:$I$3001,$K1356,Расчет!$H$2:$H$3001,2))</f>
        <v/>
      </c>
      <c r="J1356">
        <f>IF($L1356="","",SUMIFS(Расчет!$G$2:$G$3001,Расчет!$I$2:$I$3001,$K1356,Расчет!$H$2:$H$3001,3))</f>
        <v/>
      </c>
      <c r="K1356">
        <f>IF($L1356="","",INDEX(Расчет!$I$2:$I$3001,$L1356))</f>
        <v/>
      </c>
      <c r="L1356">
        <f>IFERROR(MATCH(ROW()-1,Расчет!$J$2:$J$3001,0),"")</f>
        <v/>
      </c>
    </row>
    <row r="1357">
      <c r="A1357">
        <f>IF($L1357="","",B1357&amp;"."&amp;C1357&amp;"-"&amp;D1357&amp;"-"&amp;H1357&amp;"."&amp;I1357&amp;"."&amp;J1357)</f>
        <v/>
      </c>
      <c r="B1357">
        <f>IF($L1357="","",INDEX(Расчет!$A$2:$A$3001,$L1357))</f>
        <v/>
      </c>
      <c r="C1357">
        <f>IF($L1357="","",INDEX(Расчет!$B$2:$B$3001,$L1357))</f>
        <v/>
      </c>
      <c r="D1357">
        <f>IF($L1357="","",IF(ISNUMBER(FIND("(",INDEX(Расчет!$C$2:$C$3001,$L1357))),SUBSTITUTE(MID(INDEX(Расчет!$C$2:$C$3001,$L1357),FIND("(",INDEX(Расчет!$C$2:$C$3001,$L1357))+1,99),")",""),INDEX(Расчет!$C$2:$C$3001,$L1357)))</f>
        <v/>
      </c>
      <c r="E1357">
        <f>IF($L1357="","",INDEX(Расчет!$D$2:$D$3001,$L1357))</f>
        <v/>
      </c>
      <c r="F1357">
        <f>IF($L1357="","",INDEX(Расчет!$E$2:$E$3001,$L1357))</f>
        <v/>
      </c>
      <c r="G1357">
        <f>IF($L1357="","",IFERROR(--LEFT(INDEX(Расчет!$C$2:$C$3001,$L1357),FIND("(",INDEX(Расчет!$C$2:$C$3001,$L1357))-1),IFERROR(--LEFT(INDEX(Расчет!$C$2:$C$3001,$L1357),1),"")))</f>
        <v/>
      </c>
      <c r="H1357">
        <f>IF($L1357="","",SUMIFS(Расчет!$G$2:$G$3001,Расчет!$I$2:$I$3001,$K1357,Расчет!$H$2:$H$3001,1))</f>
        <v/>
      </c>
      <c r="I1357">
        <f>IF($L1357="","",SUMIFS(Расчет!$G$2:$G$3001,Расчет!$I$2:$I$3001,$K1357,Расчет!$H$2:$H$3001,2))</f>
        <v/>
      </c>
      <c r="J1357">
        <f>IF($L1357="","",SUMIFS(Расчет!$G$2:$G$3001,Расчет!$I$2:$I$3001,$K1357,Расчет!$H$2:$H$3001,3))</f>
        <v/>
      </c>
      <c r="K1357">
        <f>IF($L1357="","",INDEX(Расчет!$I$2:$I$3001,$L1357))</f>
        <v/>
      </c>
      <c r="L1357">
        <f>IFERROR(MATCH(ROW()-1,Расчет!$J$2:$J$3001,0),"")</f>
        <v/>
      </c>
    </row>
    <row r="1358">
      <c r="A1358">
        <f>IF($L1358="","",B1358&amp;"."&amp;C1358&amp;"-"&amp;D1358&amp;"-"&amp;H1358&amp;"."&amp;I1358&amp;"."&amp;J1358)</f>
        <v/>
      </c>
      <c r="B1358">
        <f>IF($L1358="","",INDEX(Расчет!$A$2:$A$3001,$L1358))</f>
        <v/>
      </c>
      <c r="C1358">
        <f>IF($L1358="","",INDEX(Расчет!$B$2:$B$3001,$L1358))</f>
        <v/>
      </c>
      <c r="D1358">
        <f>IF($L1358="","",IF(ISNUMBER(FIND("(",INDEX(Расчет!$C$2:$C$3001,$L1358))),SUBSTITUTE(MID(INDEX(Расчет!$C$2:$C$3001,$L1358),FIND("(",INDEX(Расчет!$C$2:$C$3001,$L1358))+1,99),")",""),INDEX(Расчет!$C$2:$C$3001,$L1358)))</f>
        <v/>
      </c>
      <c r="E1358">
        <f>IF($L1358="","",INDEX(Расчет!$D$2:$D$3001,$L1358))</f>
        <v/>
      </c>
      <c r="F1358">
        <f>IF($L1358="","",INDEX(Расчет!$E$2:$E$3001,$L1358))</f>
        <v/>
      </c>
      <c r="G1358">
        <f>IF($L1358="","",IFERROR(--LEFT(INDEX(Расчет!$C$2:$C$3001,$L1358),FIND("(",INDEX(Расчет!$C$2:$C$3001,$L1358))-1),IFERROR(--LEFT(INDEX(Расчет!$C$2:$C$3001,$L1358),1),"")))</f>
        <v/>
      </c>
      <c r="H1358">
        <f>IF($L1358="","",SUMIFS(Расчет!$G$2:$G$3001,Расчет!$I$2:$I$3001,$K1358,Расчет!$H$2:$H$3001,1))</f>
        <v/>
      </c>
      <c r="I1358">
        <f>IF($L1358="","",SUMIFS(Расчет!$G$2:$G$3001,Расчет!$I$2:$I$3001,$K1358,Расчет!$H$2:$H$3001,2))</f>
        <v/>
      </c>
      <c r="J1358">
        <f>IF($L1358="","",SUMIFS(Расчет!$G$2:$G$3001,Расчет!$I$2:$I$3001,$K1358,Расчет!$H$2:$H$3001,3))</f>
        <v/>
      </c>
      <c r="K1358">
        <f>IF($L1358="","",INDEX(Расчет!$I$2:$I$3001,$L1358))</f>
        <v/>
      </c>
      <c r="L1358">
        <f>IFERROR(MATCH(ROW()-1,Расчет!$J$2:$J$3001,0),"")</f>
        <v/>
      </c>
    </row>
    <row r="1359">
      <c r="A1359">
        <f>IF($L1359="","",B1359&amp;"."&amp;C1359&amp;"-"&amp;D1359&amp;"-"&amp;H1359&amp;"."&amp;I1359&amp;"."&amp;J1359)</f>
        <v/>
      </c>
      <c r="B1359">
        <f>IF($L1359="","",INDEX(Расчет!$A$2:$A$3001,$L1359))</f>
        <v/>
      </c>
      <c r="C1359">
        <f>IF($L1359="","",INDEX(Расчет!$B$2:$B$3001,$L1359))</f>
        <v/>
      </c>
      <c r="D1359">
        <f>IF($L1359="","",IF(ISNUMBER(FIND("(",INDEX(Расчет!$C$2:$C$3001,$L1359))),SUBSTITUTE(MID(INDEX(Расчет!$C$2:$C$3001,$L1359),FIND("(",INDEX(Расчет!$C$2:$C$3001,$L1359))+1,99),")",""),INDEX(Расчет!$C$2:$C$3001,$L1359)))</f>
        <v/>
      </c>
      <c r="E1359">
        <f>IF($L1359="","",INDEX(Расчет!$D$2:$D$3001,$L1359))</f>
        <v/>
      </c>
      <c r="F1359">
        <f>IF($L1359="","",INDEX(Расчет!$E$2:$E$3001,$L1359))</f>
        <v/>
      </c>
      <c r="G1359">
        <f>IF($L1359="","",IFERROR(--LEFT(INDEX(Расчет!$C$2:$C$3001,$L1359),FIND("(",INDEX(Расчет!$C$2:$C$3001,$L1359))-1),IFERROR(--LEFT(INDEX(Расчет!$C$2:$C$3001,$L1359),1),"")))</f>
        <v/>
      </c>
      <c r="H1359">
        <f>IF($L1359="","",SUMIFS(Расчет!$G$2:$G$3001,Расчет!$I$2:$I$3001,$K1359,Расчет!$H$2:$H$3001,1))</f>
        <v/>
      </c>
      <c r="I1359">
        <f>IF($L1359="","",SUMIFS(Расчет!$G$2:$G$3001,Расчет!$I$2:$I$3001,$K1359,Расчет!$H$2:$H$3001,2))</f>
        <v/>
      </c>
      <c r="J1359">
        <f>IF($L1359="","",SUMIFS(Расчет!$G$2:$G$3001,Расчет!$I$2:$I$3001,$K1359,Расчет!$H$2:$H$3001,3))</f>
        <v/>
      </c>
      <c r="K1359">
        <f>IF($L1359="","",INDEX(Расчет!$I$2:$I$3001,$L1359))</f>
        <v/>
      </c>
      <c r="L1359">
        <f>IFERROR(MATCH(ROW()-1,Расчет!$J$2:$J$3001,0),"")</f>
        <v/>
      </c>
    </row>
    <row r="1360">
      <c r="A1360">
        <f>IF($L1360="","",B1360&amp;"."&amp;C1360&amp;"-"&amp;D1360&amp;"-"&amp;H1360&amp;"."&amp;I1360&amp;"."&amp;J1360)</f>
        <v/>
      </c>
      <c r="B1360">
        <f>IF($L1360="","",INDEX(Расчет!$A$2:$A$3001,$L1360))</f>
        <v/>
      </c>
      <c r="C1360">
        <f>IF($L1360="","",INDEX(Расчет!$B$2:$B$3001,$L1360))</f>
        <v/>
      </c>
      <c r="D1360">
        <f>IF($L1360="","",IF(ISNUMBER(FIND("(",INDEX(Расчет!$C$2:$C$3001,$L1360))),SUBSTITUTE(MID(INDEX(Расчет!$C$2:$C$3001,$L1360),FIND("(",INDEX(Расчет!$C$2:$C$3001,$L1360))+1,99),")",""),INDEX(Расчет!$C$2:$C$3001,$L1360)))</f>
        <v/>
      </c>
      <c r="E1360">
        <f>IF($L1360="","",INDEX(Расчет!$D$2:$D$3001,$L1360))</f>
        <v/>
      </c>
      <c r="F1360">
        <f>IF($L1360="","",INDEX(Расчет!$E$2:$E$3001,$L1360))</f>
        <v/>
      </c>
      <c r="G1360">
        <f>IF($L1360="","",IFERROR(--LEFT(INDEX(Расчет!$C$2:$C$3001,$L1360),FIND("(",INDEX(Расчет!$C$2:$C$3001,$L1360))-1),IFERROR(--LEFT(INDEX(Расчет!$C$2:$C$3001,$L1360),1),"")))</f>
        <v/>
      </c>
      <c r="H1360">
        <f>IF($L1360="","",SUMIFS(Расчет!$G$2:$G$3001,Расчет!$I$2:$I$3001,$K1360,Расчет!$H$2:$H$3001,1))</f>
        <v/>
      </c>
      <c r="I1360">
        <f>IF($L1360="","",SUMIFS(Расчет!$G$2:$G$3001,Расчет!$I$2:$I$3001,$K1360,Расчет!$H$2:$H$3001,2))</f>
        <v/>
      </c>
      <c r="J1360">
        <f>IF($L1360="","",SUMIFS(Расчет!$G$2:$G$3001,Расчет!$I$2:$I$3001,$K1360,Расчет!$H$2:$H$3001,3))</f>
        <v/>
      </c>
      <c r="K1360">
        <f>IF($L1360="","",INDEX(Расчет!$I$2:$I$3001,$L1360))</f>
        <v/>
      </c>
      <c r="L1360">
        <f>IFERROR(MATCH(ROW()-1,Расчет!$J$2:$J$3001,0),"")</f>
        <v/>
      </c>
    </row>
    <row r="1361">
      <c r="A1361">
        <f>IF($L1361="","",B1361&amp;"."&amp;C1361&amp;"-"&amp;D1361&amp;"-"&amp;H1361&amp;"."&amp;I1361&amp;"."&amp;J1361)</f>
        <v/>
      </c>
      <c r="B1361">
        <f>IF($L1361="","",INDEX(Расчет!$A$2:$A$3001,$L1361))</f>
        <v/>
      </c>
      <c r="C1361">
        <f>IF($L1361="","",INDEX(Расчет!$B$2:$B$3001,$L1361))</f>
        <v/>
      </c>
      <c r="D1361">
        <f>IF($L1361="","",IF(ISNUMBER(FIND("(",INDEX(Расчет!$C$2:$C$3001,$L1361))),SUBSTITUTE(MID(INDEX(Расчет!$C$2:$C$3001,$L1361),FIND("(",INDEX(Расчет!$C$2:$C$3001,$L1361))+1,99),")",""),INDEX(Расчет!$C$2:$C$3001,$L1361)))</f>
        <v/>
      </c>
      <c r="E1361">
        <f>IF($L1361="","",INDEX(Расчет!$D$2:$D$3001,$L1361))</f>
        <v/>
      </c>
      <c r="F1361">
        <f>IF($L1361="","",INDEX(Расчет!$E$2:$E$3001,$L1361))</f>
        <v/>
      </c>
      <c r="G1361">
        <f>IF($L1361="","",IFERROR(--LEFT(INDEX(Расчет!$C$2:$C$3001,$L1361),FIND("(",INDEX(Расчет!$C$2:$C$3001,$L1361))-1),IFERROR(--LEFT(INDEX(Расчет!$C$2:$C$3001,$L1361),1),"")))</f>
        <v/>
      </c>
      <c r="H1361">
        <f>IF($L1361="","",SUMIFS(Расчет!$G$2:$G$3001,Расчет!$I$2:$I$3001,$K1361,Расчет!$H$2:$H$3001,1))</f>
        <v/>
      </c>
      <c r="I1361">
        <f>IF($L1361="","",SUMIFS(Расчет!$G$2:$G$3001,Расчет!$I$2:$I$3001,$K1361,Расчет!$H$2:$H$3001,2))</f>
        <v/>
      </c>
      <c r="J1361">
        <f>IF($L1361="","",SUMIFS(Расчет!$G$2:$G$3001,Расчет!$I$2:$I$3001,$K1361,Расчет!$H$2:$H$3001,3))</f>
        <v/>
      </c>
      <c r="K1361">
        <f>IF($L1361="","",INDEX(Расчет!$I$2:$I$3001,$L1361))</f>
        <v/>
      </c>
      <c r="L1361">
        <f>IFERROR(MATCH(ROW()-1,Расчет!$J$2:$J$3001,0),"")</f>
        <v/>
      </c>
    </row>
    <row r="1362">
      <c r="A1362">
        <f>IF($L1362="","",B1362&amp;"."&amp;C1362&amp;"-"&amp;D1362&amp;"-"&amp;H1362&amp;"."&amp;I1362&amp;"."&amp;J1362)</f>
        <v/>
      </c>
      <c r="B1362">
        <f>IF($L1362="","",INDEX(Расчет!$A$2:$A$3001,$L1362))</f>
        <v/>
      </c>
      <c r="C1362">
        <f>IF($L1362="","",INDEX(Расчет!$B$2:$B$3001,$L1362))</f>
        <v/>
      </c>
      <c r="D1362">
        <f>IF($L1362="","",IF(ISNUMBER(FIND("(",INDEX(Расчет!$C$2:$C$3001,$L1362))),SUBSTITUTE(MID(INDEX(Расчет!$C$2:$C$3001,$L1362),FIND("(",INDEX(Расчет!$C$2:$C$3001,$L1362))+1,99),")",""),INDEX(Расчет!$C$2:$C$3001,$L1362)))</f>
        <v/>
      </c>
      <c r="E1362">
        <f>IF($L1362="","",INDEX(Расчет!$D$2:$D$3001,$L1362))</f>
        <v/>
      </c>
      <c r="F1362">
        <f>IF($L1362="","",INDEX(Расчет!$E$2:$E$3001,$L1362))</f>
        <v/>
      </c>
      <c r="G1362">
        <f>IF($L1362="","",IFERROR(--LEFT(INDEX(Расчет!$C$2:$C$3001,$L1362),FIND("(",INDEX(Расчет!$C$2:$C$3001,$L1362))-1),IFERROR(--LEFT(INDEX(Расчет!$C$2:$C$3001,$L1362),1),"")))</f>
        <v/>
      </c>
      <c r="H1362">
        <f>IF($L1362="","",SUMIFS(Расчет!$G$2:$G$3001,Расчет!$I$2:$I$3001,$K1362,Расчет!$H$2:$H$3001,1))</f>
        <v/>
      </c>
      <c r="I1362">
        <f>IF($L1362="","",SUMIFS(Расчет!$G$2:$G$3001,Расчет!$I$2:$I$3001,$K1362,Расчет!$H$2:$H$3001,2))</f>
        <v/>
      </c>
      <c r="J1362">
        <f>IF($L1362="","",SUMIFS(Расчет!$G$2:$G$3001,Расчет!$I$2:$I$3001,$K1362,Расчет!$H$2:$H$3001,3))</f>
        <v/>
      </c>
      <c r="K1362">
        <f>IF($L1362="","",INDEX(Расчет!$I$2:$I$3001,$L1362))</f>
        <v/>
      </c>
      <c r="L1362">
        <f>IFERROR(MATCH(ROW()-1,Расчет!$J$2:$J$3001,0),"")</f>
        <v/>
      </c>
    </row>
    <row r="1363">
      <c r="A1363">
        <f>IF($L1363="","",B1363&amp;"."&amp;C1363&amp;"-"&amp;D1363&amp;"-"&amp;H1363&amp;"."&amp;I1363&amp;"."&amp;J1363)</f>
        <v/>
      </c>
      <c r="B1363">
        <f>IF($L1363="","",INDEX(Расчет!$A$2:$A$3001,$L1363))</f>
        <v/>
      </c>
      <c r="C1363">
        <f>IF($L1363="","",INDEX(Расчет!$B$2:$B$3001,$L1363))</f>
        <v/>
      </c>
      <c r="D1363">
        <f>IF($L1363="","",IF(ISNUMBER(FIND("(",INDEX(Расчет!$C$2:$C$3001,$L1363))),SUBSTITUTE(MID(INDEX(Расчет!$C$2:$C$3001,$L1363),FIND("(",INDEX(Расчет!$C$2:$C$3001,$L1363))+1,99),")",""),INDEX(Расчет!$C$2:$C$3001,$L1363)))</f>
        <v/>
      </c>
      <c r="E1363">
        <f>IF($L1363="","",INDEX(Расчет!$D$2:$D$3001,$L1363))</f>
        <v/>
      </c>
      <c r="F1363">
        <f>IF($L1363="","",INDEX(Расчет!$E$2:$E$3001,$L1363))</f>
        <v/>
      </c>
      <c r="G1363">
        <f>IF($L1363="","",IFERROR(--LEFT(INDEX(Расчет!$C$2:$C$3001,$L1363),FIND("(",INDEX(Расчет!$C$2:$C$3001,$L1363))-1),IFERROR(--LEFT(INDEX(Расчет!$C$2:$C$3001,$L1363),1),"")))</f>
        <v/>
      </c>
      <c r="H1363">
        <f>IF($L1363="","",SUMIFS(Расчет!$G$2:$G$3001,Расчет!$I$2:$I$3001,$K1363,Расчет!$H$2:$H$3001,1))</f>
        <v/>
      </c>
      <c r="I1363">
        <f>IF($L1363="","",SUMIFS(Расчет!$G$2:$G$3001,Расчет!$I$2:$I$3001,$K1363,Расчет!$H$2:$H$3001,2))</f>
        <v/>
      </c>
      <c r="J1363">
        <f>IF($L1363="","",SUMIFS(Расчет!$G$2:$G$3001,Расчет!$I$2:$I$3001,$K1363,Расчет!$H$2:$H$3001,3))</f>
        <v/>
      </c>
      <c r="K1363">
        <f>IF($L1363="","",INDEX(Расчет!$I$2:$I$3001,$L1363))</f>
        <v/>
      </c>
      <c r="L1363">
        <f>IFERROR(MATCH(ROW()-1,Расчет!$J$2:$J$3001,0),"")</f>
        <v/>
      </c>
    </row>
    <row r="1364">
      <c r="A1364">
        <f>IF($L1364="","",B1364&amp;"."&amp;C1364&amp;"-"&amp;D1364&amp;"-"&amp;H1364&amp;"."&amp;I1364&amp;"."&amp;J1364)</f>
        <v/>
      </c>
      <c r="B1364">
        <f>IF($L1364="","",INDEX(Расчет!$A$2:$A$3001,$L1364))</f>
        <v/>
      </c>
      <c r="C1364">
        <f>IF($L1364="","",INDEX(Расчет!$B$2:$B$3001,$L1364))</f>
        <v/>
      </c>
      <c r="D1364">
        <f>IF($L1364="","",IF(ISNUMBER(FIND("(",INDEX(Расчет!$C$2:$C$3001,$L1364))),SUBSTITUTE(MID(INDEX(Расчет!$C$2:$C$3001,$L1364),FIND("(",INDEX(Расчет!$C$2:$C$3001,$L1364))+1,99),")",""),INDEX(Расчет!$C$2:$C$3001,$L1364)))</f>
        <v/>
      </c>
      <c r="E1364">
        <f>IF($L1364="","",INDEX(Расчет!$D$2:$D$3001,$L1364))</f>
        <v/>
      </c>
      <c r="F1364">
        <f>IF($L1364="","",INDEX(Расчет!$E$2:$E$3001,$L1364))</f>
        <v/>
      </c>
      <c r="G1364">
        <f>IF($L1364="","",IFERROR(--LEFT(INDEX(Расчет!$C$2:$C$3001,$L1364),FIND("(",INDEX(Расчет!$C$2:$C$3001,$L1364))-1),IFERROR(--LEFT(INDEX(Расчет!$C$2:$C$3001,$L1364),1),"")))</f>
        <v/>
      </c>
      <c r="H1364">
        <f>IF($L1364="","",SUMIFS(Расчет!$G$2:$G$3001,Расчет!$I$2:$I$3001,$K1364,Расчет!$H$2:$H$3001,1))</f>
        <v/>
      </c>
      <c r="I1364">
        <f>IF($L1364="","",SUMIFS(Расчет!$G$2:$G$3001,Расчет!$I$2:$I$3001,$K1364,Расчет!$H$2:$H$3001,2))</f>
        <v/>
      </c>
      <c r="J1364">
        <f>IF($L1364="","",SUMIFS(Расчет!$G$2:$G$3001,Расчет!$I$2:$I$3001,$K1364,Расчет!$H$2:$H$3001,3))</f>
        <v/>
      </c>
      <c r="K1364">
        <f>IF($L1364="","",INDEX(Расчет!$I$2:$I$3001,$L1364))</f>
        <v/>
      </c>
      <c r="L1364">
        <f>IFERROR(MATCH(ROW()-1,Расчет!$J$2:$J$3001,0),"")</f>
        <v/>
      </c>
    </row>
    <row r="1365">
      <c r="A1365">
        <f>IF($L1365="","",B1365&amp;"."&amp;C1365&amp;"-"&amp;D1365&amp;"-"&amp;H1365&amp;"."&amp;I1365&amp;"."&amp;J1365)</f>
        <v/>
      </c>
      <c r="B1365">
        <f>IF($L1365="","",INDEX(Расчет!$A$2:$A$3001,$L1365))</f>
        <v/>
      </c>
      <c r="C1365">
        <f>IF($L1365="","",INDEX(Расчет!$B$2:$B$3001,$L1365))</f>
        <v/>
      </c>
      <c r="D1365">
        <f>IF($L1365="","",IF(ISNUMBER(FIND("(",INDEX(Расчет!$C$2:$C$3001,$L1365))),SUBSTITUTE(MID(INDEX(Расчет!$C$2:$C$3001,$L1365),FIND("(",INDEX(Расчет!$C$2:$C$3001,$L1365))+1,99),")",""),INDEX(Расчет!$C$2:$C$3001,$L1365)))</f>
        <v/>
      </c>
      <c r="E1365">
        <f>IF($L1365="","",INDEX(Расчет!$D$2:$D$3001,$L1365))</f>
        <v/>
      </c>
      <c r="F1365">
        <f>IF($L1365="","",INDEX(Расчет!$E$2:$E$3001,$L1365))</f>
        <v/>
      </c>
      <c r="G1365">
        <f>IF($L1365="","",IFERROR(--LEFT(INDEX(Расчет!$C$2:$C$3001,$L1365),FIND("(",INDEX(Расчет!$C$2:$C$3001,$L1365))-1),IFERROR(--LEFT(INDEX(Расчет!$C$2:$C$3001,$L1365),1),"")))</f>
        <v/>
      </c>
      <c r="H1365">
        <f>IF($L1365="","",SUMIFS(Расчет!$G$2:$G$3001,Расчет!$I$2:$I$3001,$K1365,Расчет!$H$2:$H$3001,1))</f>
        <v/>
      </c>
      <c r="I1365">
        <f>IF($L1365="","",SUMIFS(Расчет!$G$2:$G$3001,Расчет!$I$2:$I$3001,$K1365,Расчет!$H$2:$H$3001,2))</f>
        <v/>
      </c>
      <c r="J1365">
        <f>IF($L1365="","",SUMIFS(Расчет!$G$2:$G$3001,Расчет!$I$2:$I$3001,$K1365,Расчет!$H$2:$H$3001,3))</f>
        <v/>
      </c>
      <c r="K1365">
        <f>IF($L1365="","",INDEX(Расчет!$I$2:$I$3001,$L1365))</f>
        <v/>
      </c>
      <c r="L1365">
        <f>IFERROR(MATCH(ROW()-1,Расчет!$J$2:$J$3001,0),"")</f>
        <v/>
      </c>
    </row>
    <row r="1366">
      <c r="A1366">
        <f>IF($L1366="","",B1366&amp;"."&amp;C1366&amp;"-"&amp;D1366&amp;"-"&amp;H1366&amp;"."&amp;I1366&amp;"."&amp;J1366)</f>
        <v/>
      </c>
      <c r="B1366">
        <f>IF($L1366="","",INDEX(Расчет!$A$2:$A$3001,$L1366))</f>
        <v/>
      </c>
      <c r="C1366">
        <f>IF($L1366="","",INDEX(Расчет!$B$2:$B$3001,$L1366))</f>
        <v/>
      </c>
      <c r="D1366">
        <f>IF($L1366="","",IF(ISNUMBER(FIND("(",INDEX(Расчет!$C$2:$C$3001,$L1366))),SUBSTITUTE(MID(INDEX(Расчет!$C$2:$C$3001,$L1366),FIND("(",INDEX(Расчет!$C$2:$C$3001,$L1366))+1,99),")",""),INDEX(Расчет!$C$2:$C$3001,$L1366)))</f>
        <v/>
      </c>
      <c r="E1366">
        <f>IF($L1366="","",INDEX(Расчет!$D$2:$D$3001,$L1366))</f>
        <v/>
      </c>
      <c r="F1366">
        <f>IF($L1366="","",INDEX(Расчет!$E$2:$E$3001,$L1366))</f>
        <v/>
      </c>
      <c r="G1366">
        <f>IF($L1366="","",IFERROR(--LEFT(INDEX(Расчет!$C$2:$C$3001,$L1366),FIND("(",INDEX(Расчет!$C$2:$C$3001,$L1366))-1),IFERROR(--LEFT(INDEX(Расчет!$C$2:$C$3001,$L1366),1),"")))</f>
        <v/>
      </c>
      <c r="H1366">
        <f>IF($L1366="","",SUMIFS(Расчет!$G$2:$G$3001,Расчет!$I$2:$I$3001,$K1366,Расчет!$H$2:$H$3001,1))</f>
        <v/>
      </c>
      <c r="I1366">
        <f>IF($L1366="","",SUMIFS(Расчет!$G$2:$G$3001,Расчет!$I$2:$I$3001,$K1366,Расчет!$H$2:$H$3001,2))</f>
        <v/>
      </c>
      <c r="J1366">
        <f>IF($L1366="","",SUMIFS(Расчет!$G$2:$G$3001,Расчет!$I$2:$I$3001,$K1366,Расчет!$H$2:$H$3001,3))</f>
        <v/>
      </c>
      <c r="K1366">
        <f>IF($L1366="","",INDEX(Расчет!$I$2:$I$3001,$L1366))</f>
        <v/>
      </c>
      <c r="L1366">
        <f>IFERROR(MATCH(ROW()-1,Расчет!$J$2:$J$3001,0),"")</f>
        <v/>
      </c>
    </row>
    <row r="1367">
      <c r="A1367">
        <f>IF($L1367="","",B1367&amp;"."&amp;C1367&amp;"-"&amp;D1367&amp;"-"&amp;H1367&amp;"."&amp;I1367&amp;"."&amp;J1367)</f>
        <v/>
      </c>
      <c r="B1367">
        <f>IF($L1367="","",INDEX(Расчет!$A$2:$A$3001,$L1367))</f>
        <v/>
      </c>
      <c r="C1367">
        <f>IF($L1367="","",INDEX(Расчет!$B$2:$B$3001,$L1367))</f>
        <v/>
      </c>
      <c r="D1367">
        <f>IF($L1367="","",IF(ISNUMBER(FIND("(",INDEX(Расчет!$C$2:$C$3001,$L1367))),SUBSTITUTE(MID(INDEX(Расчет!$C$2:$C$3001,$L1367),FIND("(",INDEX(Расчет!$C$2:$C$3001,$L1367))+1,99),")",""),INDEX(Расчет!$C$2:$C$3001,$L1367)))</f>
        <v/>
      </c>
      <c r="E1367">
        <f>IF($L1367="","",INDEX(Расчет!$D$2:$D$3001,$L1367))</f>
        <v/>
      </c>
      <c r="F1367">
        <f>IF($L1367="","",INDEX(Расчет!$E$2:$E$3001,$L1367))</f>
        <v/>
      </c>
      <c r="G1367">
        <f>IF($L1367="","",IFERROR(--LEFT(INDEX(Расчет!$C$2:$C$3001,$L1367),FIND("(",INDEX(Расчет!$C$2:$C$3001,$L1367))-1),IFERROR(--LEFT(INDEX(Расчет!$C$2:$C$3001,$L1367),1),"")))</f>
        <v/>
      </c>
      <c r="H1367">
        <f>IF($L1367="","",SUMIFS(Расчет!$G$2:$G$3001,Расчет!$I$2:$I$3001,$K1367,Расчет!$H$2:$H$3001,1))</f>
        <v/>
      </c>
      <c r="I1367">
        <f>IF($L1367="","",SUMIFS(Расчет!$G$2:$G$3001,Расчет!$I$2:$I$3001,$K1367,Расчет!$H$2:$H$3001,2))</f>
        <v/>
      </c>
      <c r="J1367">
        <f>IF($L1367="","",SUMIFS(Расчет!$G$2:$G$3001,Расчет!$I$2:$I$3001,$K1367,Расчет!$H$2:$H$3001,3))</f>
        <v/>
      </c>
      <c r="K1367">
        <f>IF($L1367="","",INDEX(Расчет!$I$2:$I$3001,$L1367))</f>
        <v/>
      </c>
      <c r="L1367">
        <f>IFERROR(MATCH(ROW()-1,Расчет!$J$2:$J$3001,0),"")</f>
        <v/>
      </c>
    </row>
    <row r="1368">
      <c r="A1368">
        <f>IF($L1368="","",B1368&amp;"."&amp;C1368&amp;"-"&amp;D1368&amp;"-"&amp;H1368&amp;"."&amp;I1368&amp;"."&amp;J1368)</f>
        <v/>
      </c>
      <c r="B1368">
        <f>IF($L1368="","",INDEX(Расчет!$A$2:$A$3001,$L1368))</f>
        <v/>
      </c>
      <c r="C1368">
        <f>IF($L1368="","",INDEX(Расчет!$B$2:$B$3001,$L1368))</f>
        <v/>
      </c>
      <c r="D1368">
        <f>IF($L1368="","",IF(ISNUMBER(FIND("(",INDEX(Расчет!$C$2:$C$3001,$L1368))),SUBSTITUTE(MID(INDEX(Расчет!$C$2:$C$3001,$L1368),FIND("(",INDEX(Расчет!$C$2:$C$3001,$L1368))+1,99),")",""),INDEX(Расчет!$C$2:$C$3001,$L1368)))</f>
        <v/>
      </c>
      <c r="E1368">
        <f>IF($L1368="","",INDEX(Расчет!$D$2:$D$3001,$L1368))</f>
        <v/>
      </c>
      <c r="F1368">
        <f>IF($L1368="","",INDEX(Расчет!$E$2:$E$3001,$L1368))</f>
        <v/>
      </c>
      <c r="G1368">
        <f>IF($L1368="","",IFERROR(--LEFT(INDEX(Расчет!$C$2:$C$3001,$L1368),FIND("(",INDEX(Расчет!$C$2:$C$3001,$L1368))-1),IFERROR(--LEFT(INDEX(Расчет!$C$2:$C$3001,$L1368),1),"")))</f>
        <v/>
      </c>
      <c r="H1368">
        <f>IF($L1368="","",SUMIFS(Расчет!$G$2:$G$3001,Расчет!$I$2:$I$3001,$K1368,Расчет!$H$2:$H$3001,1))</f>
        <v/>
      </c>
      <c r="I1368">
        <f>IF($L1368="","",SUMIFS(Расчет!$G$2:$G$3001,Расчет!$I$2:$I$3001,$K1368,Расчет!$H$2:$H$3001,2))</f>
        <v/>
      </c>
      <c r="J1368">
        <f>IF($L1368="","",SUMIFS(Расчет!$G$2:$G$3001,Расчет!$I$2:$I$3001,$K1368,Расчет!$H$2:$H$3001,3))</f>
        <v/>
      </c>
      <c r="K1368">
        <f>IF($L1368="","",INDEX(Расчет!$I$2:$I$3001,$L1368))</f>
        <v/>
      </c>
      <c r="L1368">
        <f>IFERROR(MATCH(ROW()-1,Расчет!$J$2:$J$3001,0),"")</f>
        <v/>
      </c>
    </row>
    <row r="1369">
      <c r="A1369">
        <f>IF($L1369="","",B1369&amp;"."&amp;C1369&amp;"-"&amp;D1369&amp;"-"&amp;H1369&amp;"."&amp;I1369&amp;"."&amp;J1369)</f>
        <v/>
      </c>
      <c r="B1369">
        <f>IF($L1369="","",INDEX(Расчет!$A$2:$A$3001,$L1369))</f>
        <v/>
      </c>
      <c r="C1369">
        <f>IF($L1369="","",INDEX(Расчет!$B$2:$B$3001,$L1369))</f>
        <v/>
      </c>
      <c r="D1369">
        <f>IF($L1369="","",IF(ISNUMBER(FIND("(",INDEX(Расчет!$C$2:$C$3001,$L1369))),SUBSTITUTE(MID(INDEX(Расчет!$C$2:$C$3001,$L1369),FIND("(",INDEX(Расчет!$C$2:$C$3001,$L1369))+1,99),")",""),INDEX(Расчет!$C$2:$C$3001,$L1369)))</f>
        <v/>
      </c>
      <c r="E1369">
        <f>IF($L1369="","",INDEX(Расчет!$D$2:$D$3001,$L1369))</f>
        <v/>
      </c>
      <c r="F1369">
        <f>IF($L1369="","",INDEX(Расчет!$E$2:$E$3001,$L1369))</f>
        <v/>
      </c>
      <c r="G1369">
        <f>IF($L1369="","",IFERROR(--LEFT(INDEX(Расчет!$C$2:$C$3001,$L1369),FIND("(",INDEX(Расчет!$C$2:$C$3001,$L1369))-1),IFERROR(--LEFT(INDEX(Расчет!$C$2:$C$3001,$L1369),1),"")))</f>
        <v/>
      </c>
      <c r="H1369">
        <f>IF($L1369="","",SUMIFS(Расчет!$G$2:$G$3001,Расчет!$I$2:$I$3001,$K1369,Расчет!$H$2:$H$3001,1))</f>
        <v/>
      </c>
      <c r="I1369">
        <f>IF($L1369="","",SUMIFS(Расчет!$G$2:$G$3001,Расчет!$I$2:$I$3001,$K1369,Расчет!$H$2:$H$3001,2))</f>
        <v/>
      </c>
      <c r="J1369">
        <f>IF($L1369="","",SUMIFS(Расчет!$G$2:$G$3001,Расчет!$I$2:$I$3001,$K1369,Расчет!$H$2:$H$3001,3))</f>
        <v/>
      </c>
      <c r="K1369">
        <f>IF($L1369="","",INDEX(Расчет!$I$2:$I$3001,$L1369))</f>
        <v/>
      </c>
      <c r="L1369">
        <f>IFERROR(MATCH(ROW()-1,Расчет!$J$2:$J$3001,0),"")</f>
        <v/>
      </c>
    </row>
    <row r="1370">
      <c r="A1370">
        <f>IF($L1370="","",B1370&amp;"."&amp;C1370&amp;"-"&amp;D1370&amp;"-"&amp;H1370&amp;"."&amp;I1370&amp;"."&amp;J1370)</f>
        <v/>
      </c>
      <c r="B1370">
        <f>IF($L1370="","",INDEX(Расчет!$A$2:$A$3001,$L1370))</f>
        <v/>
      </c>
      <c r="C1370">
        <f>IF($L1370="","",INDEX(Расчет!$B$2:$B$3001,$L1370))</f>
        <v/>
      </c>
      <c r="D1370">
        <f>IF($L1370="","",IF(ISNUMBER(FIND("(",INDEX(Расчет!$C$2:$C$3001,$L1370))),SUBSTITUTE(MID(INDEX(Расчет!$C$2:$C$3001,$L1370),FIND("(",INDEX(Расчет!$C$2:$C$3001,$L1370))+1,99),")",""),INDEX(Расчет!$C$2:$C$3001,$L1370)))</f>
        <v/>
      </c>
      <c r="E1370">
        <f>IF($L1370="","",INDEX(Расчет!$D$2:$D$3001,$L1370))</f>
        <v/>
      </c>
      <c r="F1370">
        <f>IF($L1370="","",INDEX(Расчет!$E$2:$E$3001,$L1370))</f>
        <v/>
      </c>
      <c r="G1370">
        <f>IF($L1370="","",IFERROR(--LEFT(INDEX(Расчет!$C$2:$C$3001,$L1370),FIND("(",INDEX(Расчет!$C$2:$C$3001,$L1370))-1),IFERROR(--LEFT(INDEX(Расчет!$C$2:$C$3001,$L1370),1),"")))</f>
        <v/>
      </c>
      <c r="H1370">
        <f>IF($L1370="","",SUMIFS(Расчет!$G$2:$G$3001,Расчет!$I$2:$I$3001,$K1370,Расчет!$H$2:$H$3001,1))</f>
        <v/>
      </c>
      <c r="I1370">
        <f>IF($L1370="","",SUMIFS(Расчет!$G$2:$G$3001,Расчет!$I$2:$I$3001,$K1370,Расчет!$H$2:$H$3001,2))</f>
        <v/>
      </c>
      <c r="J1370">
        <f>IF($L1370="","",SUMIFS(Расчет!$G$2:$G$3001,Расчет!$I$2:$I$3001,$K1370,Расчет!$H$2:$H$3001,3))</f>
        <v/>
      </c>
      <c r="K1370">
        <f>IF($L1370="","",INDEX(Расчет!$I$2:$I$3001,$L1370))</f>
        <v/>
      </c>
      <c r="L1370">
        <f>IFERROR(MATCH(ROW()-1,Расчет!$J$2:$J$3001,0),"")</f>
        <v/>
      </c>
    </row>
    <row r="1371">
      <c r="A1371">
        <f>IF($L1371="","",B1371&amp;"."&amp;C1371&amp;"-"&amp;D1371&amp;"-"&amp;H1371&amp;"."&amp;I1371&amp;"."&amp;J1371)</f>
        <v/>
      </c>
      <c r="B1371">
        <f>IF($L1371="","",INDEX(Расчет!$A$2:$A$3001,$L1371))</f>
        <v/>
      </c>
      <c r="C1371">
        <f>IF($L1371="","",INDEX(Расчет!$B$2:$B$3001,$L1371))</f>
        <v/>
      </c>
      <c r="D1371">
        <f>IF($L1371="","",IF(ISNUMBER(FIND("(",INDEX(Расчет!$C$2:$C$3001,$L1371))),SUBSTITUTE(MID(INDEX(Расчет!$C$2:$C$3001,$L1371),FIND("(",INDEX(Расчет!$C$2:$C$3001,$L1371))+1,99),")",""),INDEX(Расчет!$C$2:$C$3001,$L1371)))</f>
        <v/>
      </c>
      <c r="E1371">
        <f>IF($L1371="","",INDEX(Расчет!$D$2:$D$3001,$L1371))</f>
        <v/>
      </c>
      <c r="F1371">
        <f>IF($L1371="","",INDEX(Расчет!$E$2:$E$3001,$L1371))</f>
        <v/>
      </c>
      <c r="G1371">
        <f>IF($L1371="","",IFERROR(--LEFT(INDEX(Расчет!$C$2:$C$3001,$L1371),FIND("(",INDEX(Расчет!$C$2:$C$3001,$L1371))-1),IFERROR(--LEFT(INDEX(Расчет!$C$2:$C$3001,$L1371),1),"")))</f>
        <v/>
      </c>
      <c r="H1371">
        <f>IF($L1371="","",SUMIFS(Расчет!$G$2:$G$3001,Расчет!$I$2:$I$3001,$K1371,Расчет!$H$2:$H$3001,1))</f>
        <v/>
      </c>
      <c r="I1371">
        <f>IF($L1371="","",SUMIFS(Расчет!$G$2:$G$3001,Расчет!$I$2:$I$3001,$K1371,Расчет!$H$2:$H$3001,2))</f>
        <v/>
      </c>
      <c r="J1371">
        <f>IF($L1371="","",SUMIFS(Расчет!$G$2:$G$3001,Расчет!$I$2:$I$3001,$K1371,Расчет!$H$2:$H$3001,3))</f>
        <v/>
      </c>
      <c r="K1371">
        <f>IF($L1371="","",INDEX(Расчет!$I$2:$I$3001,$L1371))</f>
        <v/>
      </c>
      <c r="L1371">
        <f>IFERROR(MATCH(ROW()-1,Расчет!$J$2:$J$3001,0),"")</f>
        <v/>
      </c>
    </row>
    <row r="1372">
      <c r="A1372">
        <f>IF($L1372="","",B1372&amp;"."&amp;C1372&amp;"-"&amp;D1372&amp;"-"&amp;H1372&amp;"."&amp;I1372&amp;"."&amp;J1372)</f>
        <v/>
      </c>
      <c r="B1372">
        <f>IF($L1372="","",INDEX(Расчет!$A$2:$A$3001,$L1372))</f>
        <v/>
      </c>
      <c r="C1372">
        <f>IF($L1372="","",INDEX(Расчет!$B$2:$B$3001,$L1372))</f>
        <v/>
      </c>
      <c r="D1372">
        <f>IF($L1372="","",IF(ISNUMBER(FIND("(",INDEX(Расчет!$C$2:$C$3001,$L1372))),SUBSTITUTE(MID(INDEX(Расчет!$C$2:$C$3001,$L1372),FIND("(",INDEX(Расчет!$C$2:$C$3001,$L1372))+1,99),")",""),INDEX(Расчет!$C$2:$C$3001,$L1372)))</f>
        <v/>
      </c>
      <c r="E1372">
        <f>IF($L1372="","",INDEX(Расчет!$D$2:$D$3001,$L1372))</f>
        <v/>
      </c>
      <c r="F1372">
        <f>IF($L1372="","",INDEX(Расчет!$E$2:$E$3001,$L1372))</f>
        <v/>
      </c>
      <c r="G1372">
        <f>IF($L1372="","",IFERROR(--LEFT(INDEX(Расчет!$C$2:$C$3001,$L1372),FIND("(",INDEX(Расчет!$C$2:$C$3001,$L1372))-1),IFERROR(--LEFT(INDEX(Расчет!$C$2:$C$3001,$L1372),1),"")))</f>
        <v/>
      </c>
      <c r="H1372">
        <f>IF($L1372="","",SUMIFS(Расчет!$G$2:$G$3001,Расчет!$I$2:$I$3001,$K1372,Расчет!$H$2:$H$3001,1))</f>
        <v/>
      </c>
      <c r="I1372">
        <f>IF($L1372="","",SUMIFS(Расчет!$G$2:$G$3001,Расчет!$I$2:$I$3001,$K1372,Расчет!$H$2:$H$3001,2))</f>
        <v/>
      </c>
      <c r="J1372">
        <f>IF($L1372="","",SUMIFS(Расчет!$G$2:$G$3001,Расчет!$I$2:$I$3001,$K1372,Расчет!$H$2:$H$3001,3))</f>
        <v/>
      </c>
      <c r="K1372">
        <f>IF($L1372="","",INDEX(Расчет!$I$2:$I$3001,$L1372))</f>
        <v/>
      </c>
      <c r="L1372">
        <f>IFERROR(MATCH(ROW()-1,Расчет!$J$2:$J$3001,0),"")</f>
        <v/>
      </c>
    </row>
    <row r="1373">
      <c r="A1373">
        <f>IF($L1373="","",B1373&amp;"."&amp;C1373&amp;"-"&amp;D1373&amp;"-"&amp;H1373&amp;"."&amp;I1373&amp;"."&amp;J1373)</f>
        <v/>
      </c>
      <c r="B1373">
        <f>IF($L1373="","",INDEX(Расчет!$A$2:$A$3001,$L1373))</f>
        <v/>
      </c>
      <c r="C1373">
        <f>IF($L1373="","",INDEX(Расчет!$B$2:$B$3001,$L1373))</f>
        <v/>
      </c>
      <c r="D1373">
        <f>IF($L1373="","",IF(ISNUMBER(FIND("(",INDEX(Расчет!$C$2:$C$3001,$L1373))),SUBSTITUTE(MID(INDEX(Расчет!$C$2:$C$3001,$L1373),FIND("(",INDEX(Расчет!$C$2:$C$3001,$L1373))+1,99),")",""),INDEX(Расчет!$C$2:$C$3001,$L1373)))</f>
        <v/>
      </c>
      <c r="E1373">
        <f>IF($L1373="","",INDEX(Расчет!$D$2:$D$3001,$L1373))</f>
        <v/>
      </c>
      <c r="F1373">
        <f>IF($L1373="","",INDEX(Расчет!$E$2:$E$3001,$L1373))</f>
        <v/>
      </c>
      <c r="G1373">
        <f>IF($L1373="","",IFERROR(--LEFT(INDEX(Расчет!$C$2:$C$3001,$L1373),FIND("(",INDEX(Расчет!$C$2:$C$3001,$L1373))-1),IFERROR(--LEFT(INDEX(Расчет!$C$2:$C$3001,$L1373),1),"")))</f>
        <v/>
      </c>
      <c r="H1373">
        <f>IF($L1373="","",SUMIFS(Расчет!$G$2:$G$3001,Расчет!$I$2:$I$3001,$K1373,Расчет!$H$2:$H$3001,1))</f>
        <v/>
      </c>
      <c r="I1373">
        <f>IF($L1373="","",SUMIFS(Расчет!$G$2:$G$3001,Расчет!$I$2:$I$3001,$K1373,Расчет!$H$2:$H$3001,2))</f>
        <v/>
      </c>
      <c r="J1373">
        <f>IF($L1373="","",SUMIFS(Расчет!$G$2:$G$3001,Расчет!$I$2:$I$3001,$K1373,Расчет!$H$2:$H$3001,3))</f>
        <v/>
      </c>
      <c r="K1373">
        <f>IF($L1373="","",INDEX(Расчет!$I$2:$I$3001,$L1373))</f>
        <v/>
      </c>
      <c r="L1373">
        <f>IFERROR(MATCH(ROW()-1,Расчет!$J$2:$J$3001,0),"")</f>
        <v/>
      </c>
    </row>
    <row r="1374">
      <c r="A1374">
        <f>IF($L1374="","",B1374&amp;"."&amp;C1374&amp;"-"&amp;D1374&amp;"-"&amp;H1374&amp;"."&amp;I1374&amp;"."&amp;J1374)</f>
        <v/>
      </c>
      <c r="B1374">
        <f>IF($L1374="","",INDEX(Расчет!$A$2:$A$3001,$L1374))</f>
        <v/>
      </c>
      <c r="C1374">
        <f>IF($L1374="","",INDEX(Расчет!$B$2:$B$3001,$L1374))</f>
        <v/>
      </c>
      <c r="D1374">
        <f>IF($L1374="","",IF(ISNUMBER(FIND("(",INDEX(Расчет!$C$2:$C$3001,$L1374))),SUBSTITUTE(MID(INDEX(Расчет!$C$2:$C$3001,$L1374),FIND("(",INDEX(Расчет!$C$2:$C$3001,$L1374))+1,99),")",""),INDEX(Расчет!$C$2:$C$3001,$L1374)))</f>
        <v/>
      </c>
      <c r="E1374">
        <f>IF($L1374="","",INDEX(Расчет!$D$2:$D$3001,$L1374))</f>
        <v/>
      </c>
      <c r="F1374">
        <f>IF($L1374="","",INDEX(Расчет!$E$2:$E$3001,$L1374))</f>
        <v/>
      </c>
      <c r="G1374">
        <f>IF($L1374="","",IFERROR(--LEFT(INDEX(Расчет!$C$2:$C$3001,$L1374),FIND("(",INDEX(Расчет!$C$2:$C$3001,$L1374))-1),IFERROR(--LEFT(INDEX(Расчет!$C$2:$C$3001,$L1374),1),"")))</f>
        <v/>
      </c>
      <c r="H1374">
        <f>IF($L1374="","",SUMIFS(Расчет!$G$2:$G$3001,Расчет!$I$2:$I$3001,$K1374,Расчет!$H$2:$H$3001,1))</f>
        <v/>
      </c>
      <c r="I1374">
        <f>IF($L1374="","",SUMIFS(Расчет!$G$2:$G$3001,Расчет!$I$2:$I$3001,$K1374,Расчет!$H$2:$H$3001,2))</f>
        <v/>
      </c>
      <c r="J1374">
        <f>IF($L1374="","",SUMIFS(Расчет!$G$2:$G$3001,Расчет!$I$2:$I$3001,$K1374,Расчет!$H$2:$H$3001,3))</f>
        <v/>
      </c>
      <c r="K1374">
        <f>IF($L1374="","",INDEX(Расчет!$I$2:$I$3001,$L1374))</f>
        <v/>
      </c>
      <c r="L1374">
        <f>IFERROR(MATCH(ROW()-1,Расчет!$J$2:$J$3001,0),"")</f>
        <v/>
      </c>
    </row>
    <row r="1375">
      <c r="A1375">
        <f>IF($L1375="","",B1375&amp;"."&amp;C1375&amp;"-"&amp;D1375&amp;"-"&amp;H1375&amp;"."&amp;I1375&amp;"."&amp;J1375)</f>
        <v/>
      </c>
      <c r="B1375">
        <f>IF($L1375="","",INDEX(Расчет!$A$2:$A$3001,$L1375))</f>
        <v/>
      </c>
      <c r="C1375">
        <f>IF($L1375="","",INDEX(Расчет!$B$2:$B$3001,$L1375))</f>
        <v/>
      </c>
      <c r="D1375">
        <f>IF($L1375="","",IF(ISNUMBER(FIND("(",INDEX(Расчет!$C$2:$C$3001,$L1375))),SUBSTITUTE(MID(INDEX(Расчет!$C$2:$C$3001,$L1375),FIND("(",INDEX(Расчет!$C$2:$C$3001,$L1375))+1,99),")",""),INDEX(Расчет!$C$2:$C$3001,$L1375)))</f>
        <v/>
      </c>
      <c r="E1375">
        <f>IF($L1375="","",INDEX(Расчет!$D$2:$D$3001,$L1375))</f>
        <v/>
      </c>
      <c r="F1375">
        <f>IF($L1375="","",INDEX(Расчет!$E$2:$E$3001,$L1375))</f>
        <v/>
      </c>
      <c r="G1375">
        <f>IF($L1375="","",IFERROR(--LEFT(INDEX(Расчет!$C$2:$C$3001,$L1375),FIND("(",INDEX(Расчет!$C$2:$C$3001,$L1375))-1),IFERROR(--LEFT(INDEX(Расчет!$C$2:$C$3001,$L1375),1),"")))</f>
        <v/>
      </c>
      <c r="H1375">
        <f>IF($L1375="","",SUMIFS(Расчет!$G$2:$G$3001,Расчет!$I$2:$I$3001,$K1375,Расчет!$H$2:$H$3001,1))</f>
        <v/>
      </c>
      <c r="I1375">
        <f>IF($L1375="","",SUMIFS(Расчет!$G$2:$G$3001,Расчет!$I$2:$I$3001,$K1375,Расчет!$H$2:$H$3001,2))</f>
        <v/>
      </c>
      <c r="J1375">
        <f>IF($L1375="","",SUMIFS(Расчет!$G$2:$G$3001,Расчет!$I$2:$I$3001,$K1375,Расчет!$H$2:$H$3001,3))</f>
        <v/>
      </c>
      <c r="K1375">
        <f>IF($L1375="","",INDEX(Расчет!$I$2:$I$3001,$L1375))</f>
        <v/>
      </c>
      <c r="L1375">
        <f>IFERROR(MATCH(ROW()-1,Расчет!$J$2:$J$3001,0),"")</f>
        <v/>
      </c>
    </row>
    <row r="1376">
      <c r="A1376">
        <f>IF($L1376="","",B1376&amp;"."&amp;C1376&amp;"-"&amp;D1376&amp;"-"&amp;H1376&amp;"."&amp;I1376&amp;"."&amp;J1376)</f>
        <v/>
      </c>
      <c r="B1376">
        <f>IF($L1376="","",INDEX(Расчет!$A$2:$A$3001,$L1376))</f>
        <v/>
      </c>
      <c r="C1376">
        <f>IF($L1376="","",INDEX(Расчет!$B$2:$B$3001,$L1376))</f>
        <v/>
      </c>
      <c r="D1376">
        <f>IF($L1376="","",IF(ISNUMBER(FIND("(",INDEX(Расчет!$C$2:$C$3001,$L1376))),SUBSTITUTE(MID(INDEX(Расчет!$C$2:$C$3001,$L1376),FIND("(",INDEX(Расчет!$C$2:$C$3001,$L1376))+1,99),")",""),INDEX(Расчет!$C$2:$C$3001,$L1376)))</f>
        <v/>
      </c>
      <c r="E1376">
        <f>IF($L1376="","",INDEX(Расчет!$D$2:$D$3001,$L1376))</f>
        <v/>
      </c>
      <c r="F1376">
        <f>IF($L1376="","",INDEX(Расчет!$E$2:$E$3001,$L1376))</f>
        <v/>
      </c>
      <c r="G1376">
        <f>IF($L1376="","",IFERROR(--LEFT(INDEX(Расчет!$C$2:$C$3001,$L1376),FIND("(",INDEX(Расчет!$C$2:$C$3001,$L1376))-1),IFERROR(--LEFT(INDEX(Расчет!$C$2:$C$3001,$L1376),1),"")))</f>
        <v/>
      </c>
      <c r="H1376">
        <f>IF($L1376="","",SUMIFS(Расчет!$G$2:$G$3001,Расчет!$I$2:$I$3001,$K1376,Расчет!$H$2:$H$3001,1))</f>
        <v/>
      </c>
      <c r="I1376">
        <f>IF($L1376="","",SUMIFS(Расчет!$G$2:$G$3001,Расчет!$I$2:$I$3001,$K1376,Расчет!$H$2:$H$3001,2))</f>
        <v/>
      </c>
      <c r="J1376">
        <f>IF($L1376="","",SUMIFS(Расчет!$G$2:$G$3001,Расчет!$I$2:$I$3001,$K1376,Расчет!$H$2:$H$3001,3))</f>
        <v/>
      </c>
      <c r="K1376">
        <f>IF($L1376="","",INDEX(Расчет!$I$2:$I$3001,$L1376))</f>
        <v/>
      </c>
      <c r="L1376">
        <f>IFERROR(MATCH(ROW()-1,Расчет!$J$2:$J$3001,0),"")</f>
        <v/>
      </c>
    </row>
    <row r="1377">
      <c r="A1377">
        <f>IF($L1377="","",B1377&amp;"."&amp;C1377&amp;"-"&amp;D1377&amp;"-"&amp;H1377&amp;"."&amp;I1377&amp;"."&amp;J1377)</f>
        <v/>
      </c>
      <c r="B1377">
        <f>IF($L1377="","",INDEX(Расчет!$A$2:$A$3001,$L1377))</f>
        <v/>
      </c>
      <c r="C1377">
        <f>IF($L1377="","",INDEX(Расчет!$B$2:$B$3001,$L1377))</f>
        <v/>
      </c>
      <c r="D1377">
        <f>IF($L1377="","",IF(ISNUMBER(FIND("(",INDEX(Расчет!$C$2:$C$3001,$L1377))),SUBSTITUTE(MID(INDEX(Расчет!$C$2:$C$3001,$L1377),FIND("(",INDEX(Расчет!$C$2:$C$3001,$L1377))+1,99),")",""),INDEX(Расчет!$C$2:$C$3001,$L1377)))</f>
        <v/>
      </c>
      <c r="E1377">
        <f>IF($L1377="","",INDEX(Расчет!$D$2:$D$3001,$L1377))</f>
        <v/>
      </c>
      <c r="F1377">
        <f>IF($L1377="","",INDEX(Расчет!$E$2:$E$3001,$L1377))</f>
        <v/>
      </c>
      <c r="G1377">
        <f>IF($L1377="","",IFERROR(--LEFT(INDEX(Расчет!$C$2:$C$3001,$L1377),FIND("(",INDEX(Расчет!$C$2:$C$3001,$L1377))-1),IFERROR(--LEFT(INDEX(Расчет!$C$2:$C$3001,$L1377),1),"")))</f>
        <v/>
      </c>
      <c r="H1377">
        <f>IF($L1377="","",SUMIFS(Расчет!$G$2:$G$3001,Расчет!$I$2:$I$3001,$K1377,Расчет!$H$2:$H$3001,1))</f>
        <v/>
      </c>
      <c r="I1377">
        <f>IF($L1377="","",SUMIFS(Расчет!$G$2:$G$3001,Расчет!$I$2:$I$3001,$K1377,Расчет!$H$2:$H$3001,2))</f>
        <v/>
      </c>
      <c r="J1377">
        <f>IF($L1377="","",SUMIFS(Расчет!$G$2:$G$3001,Расчет!$I$2:$I$3001,$K1377,Расчет!$H$2:$H$3001,3))</f>
        <v/>
      </c>
      <c r="K1377">
        <f>IF($L1377="","",INDEX(Расчет!$I$2:$I$3001,$L1377))</f>
        <v/>
      </c>
      <c r="L1377">
        <f>IFERROR(MATCH(ROW()-1,Расчет!$J$2:$J$3001,0),"")</f>
        <v/>
      </c>
    </row>
    <row r="1378">
      <c r="A1378">
        <f>IF($L1378="","",B1378&amp;"."&amp;C1378&amp;"-"&amp;D1378&amp;"-"&amp;H1378&amp;"."&amp;I1378&amp;"."&amp;J1378)</f>
        <v/>
      </c>
      <c r="B1378">
        <f>IF($L1378="","",INDEX(Расчет!$A$2:$A$3001,$L1378))</f>
        <v/>
      </c>
      <c r="C1378">
        <f>IF($L1378="","",INDEX(Расчет!$B$2:$B$3001,$L1378))</f>
        <v/>
      </c>
      <c r="D1378">
        <f>IF($L1378="","",IF(ISNUMBER(FIND("(",INDEX(Расчет!$C$2:$C$3001,$L1378))),SUBSTITUTE(MID(INDEX(Расчет!$C$2:$C$3001,$L1378),FIND("(",INDEX(Расчет!$C$2:$C$3001,$L1378))+1,99),")",""),INDEX(Расчет!$C$2:$C$3001,$L1378)))</f>
        <v/>
      </c>
      <c r="E1378">
        <f>IF($L1378="","",INDEX(Расчет!$D$2:$D$3001,$L1378))</f>
        <v/>
      </c>
      <c r="F1378">
        <f>IF($L1378="","",INDEX(Расчет!$E$2:$E$3001,$L1378))</f>
        <v/>
      </c>
      <c r="G1378">
        <f>IF($L1378="","",IFERROR(--LEFT(INDEX(Расчет!$C$2:$C$3001,$L1378),FIND("(",INDEX(Расчет!$C$2:$C$3001,$L1378))-1),IFERROR(--LEFT(INDEX(Расчет!$C$2:$C$3001,$L1378),1),"")))</f>
        <v/>
      </c>
      <c r="H1378">
        <f>IF($L1378="","",SUMIFS(Расчет!$G$2:$G$3001,Расчет!$I$2:$I$3001,$K1378,Расчет!$H$2:$H$3001,1))</f>
        <v/>
      </c>
      <c r="I1378">
        <f>IF($L1378="","",SUMIFS(Расчет!$G$2:$G$3001,Расчет!$I$2:$I$3001,$K1378,Расчет!$H$2:$H$3001,2))</f>
        <v/>
      </c>
      <c r="J1378">
        <f>IF($L1378="","",SUMIFS(Расчет!$G$2:$G$3001,Расчет!$I$2:$I$3001,$K1378,Расчет!$H$2:$H$3001,3))</f>
        <v/>
      </c>
      <c r="K1378">
        <f>IF($L1378="","",INDEX(Расчет!$I$2:$I$3001,$L1378))</f>
        <v/>
      </c>
      <c r="L1378">
        <f>IFERROR(MATCH(ROW()-1,Расчет!$J$2:$J$3001,0),"")</f>
        <v/>
      </c>
    </row>
    <row r="1379">
      <c r="A1379">
        <f>IF($L1379="","",B1379&amp;"."&amp;C1379&amp;"-"&amp;D1379&amp;"-"&amp;H1379&amp;"."&amp;I1379&amp;"."&amp;J1379)</f>
        <v/>
      </c>
      <c r="B1379">
        <f>IF($L1379="","",INDEX(Расчет!$A$2:$A$3001,$L1379))</f>
        <v/>
      </c>
      <c r="C1379">
        <f>IF($L1379="","",INDEX(Расчет!$B$2:$B$3001,$L1379))</f>
        <v/>
      </c>
      <c r="D1379">
        <f>IF($L1379="","",IF(ISNUMBER(FIND("(",INDEX(Расчет!$C$2:$C$3001,$L1379))),SUBSTITUTE(MID(INDEX(Расчет!$C$2:$C$3001,$L1379),FIND("(",INDEX(Расчет!$C$2:$C$3001,$L1379))+1,99),")",""),INDEX(Расчет!$C$2:$C$3001,$L1379)))</f>
        <v/>
      </c>
      <c r="E1379">
        <f>IF($L1379="","",INDEX(Расчет!$D$2:$D$3001,$L1379))</f>
        <v/>
      </c>
      <c r="F1379">
        <f>IF($L1379="","",INDEX(Расчет!$E$2:$E$3001,$L1379))</f>
        <v/>
      </c>
      <c r="G1379">
        <f>IF($L1379="","",IFERROR(--LEFT(INDEX(Расчет!$C$2:$C$3001,$L1379),FIND("(",INDEX(Расчет!$C$2:$C$3001,$L1379))-1),IFERROR(--LEFT(INDEX(Расчет!$C$2:$C$3001,$L1379),1),"")))</f>
        <v/>
      </c>
      <c r="H1379">
        <f>IF($L1379="","",SUMIFS(Расчет!$G$2:$G$3001,Расчет!$I$2:$I$3001,$K1379,Расчет!$H$2:$H$3001,1))</f>
        <v/>
      </c>
      <c r="I1379">
        <f>IF($L1379="","",SUMIFS(Расчет!$G$2:$G$3001,Расчет!$I$2:$I$3001,$K1379,Расчет!$H$2:$H$3001,2))</f>
        <v/>
      </c>
      <c r="J1379">
        <f>IF($L1379="","",SUMIFS(Расчет!$G$2:$G$3001,Расчет!$I$2:$I$3001,$K1379,Расчет!$H$2:$H$3001,3))</f>
        <v/>
      </c>
      <c r="K1379">
        <f>IF($L1379="","",INDEX(Расчет!$I$2:$I$3001,$L1379))</f>
        <v/>
      </c>
      <c r="L1379">
        <f>IFERROR(MATCH(ROW()-1,Расчет!$J$2:$J$3001,0),"")</f>
        <v/>
      </c>
    </row>
    <row r="1380">
      <c r="A1380">
        <f>IF($L1380="","",B1380&amp;"."&amp;C1380&amp;"-"&amp;D1380&amp;"-"&amp;H1380&amp;"."&amp;I1380&amp;"."&amp;J1380)</f>
        <v/>
      </c>
      <c r="B1380">
        <f>IF($L1380="","",INDEX(Расчет!$A$2:$A$3001,$L1380))</f>
        <v/>
      </c>
      <c r="C1380">
        <f>IF($L1380="","",INDEX(Расчет!$B$2:$B$3001,$L1380))</f>
        <v/>
      </c>
      <c r="D1380">
        <f>IF($L1380="","",IF(ISNUMBER(FIND("(",INDEX(Расчет!$C$2:$C$3001,$L1380))),SUBSTITUTE(MID(INDEX(Расчет!$C$2:$C$3001,$L1380),FIND("(",INDEX(Расчет!$C$2:$C$3001,$L1380))+1,99),")",""),INDEX(Расчет!$C$2:$C$3001,$L1380)))</f>
        <v/>
      </c>
      <c r="E1380">
        <f>IF($L1380="","",INDEX(Расчет!$D$2:$D$3001,$L1380))</f>
        <v/>
      </c>
      <c r="F1380">
        <f>IF($L1380="","",INDEX(Расчет!$E$2:$E$3001,$L1380))</f>
        <v/>
      </c>
      <c r="G1380">
        <f>IF($L1380="","",IFERROR(--LEFT(INDEX(Расчет!$C$2:$C$3001,$L1380),FIND("(",INDEX(Расчет!$C$2:$C$3001,$L1380))-1),IFERROR(--LEFT(INDEX(Расчет!$C$2:$C$3001,$L1380),1),"")))</f>
        <v/>
      </c>
      <c r="H1380">
        <f>IF($L1380="","",SUMIFS(Расчет!$G$2:$G$3001,Расчет!$I$2:$I$3001,$K1380,Расчет!$H$2:$H$3001,1))</f>
        <v/>
      </c>
      <c r="I1380">
        <f>IF($L1380="","",SUMIFS(Расчет!$G$2:$G$3001,Расчет!$I$2:$I$3001,$K1380,Расчет!$H$2:$H$3001,2))</f>
        <v/>
      </c>
      <c r="J1380">
        <f>IF($L1380="","",SUMIFS(Расчет!$G$2:$G$3001,Расчет!$I$2:$I$3001,$K1380,Расчет!$H$2:$H$3001,3))</f>
        <v/>
      </c>
      <c r="K1380">
        <f>IF($L1380="","",INDEX(Расчет!$I$2:$I$3001,$L1380))</f>
        <v/>
      </c>
      <c r="L1380">
        <f>IFERROR(MATCH(ROW()-1,Расчет!$J$2:$J$3001,0),"")</f>
        <v/>
      </c>
    </row>
    <row r="1381">
      <c r="A1381">
        <f>IF($L1381="","",B1381&amp;"."&amp;C1381&amp;"-"&amp;D1381&amp;"-"&amp;H1381&amp;"."&amp;I1381&amp;"."&amp;J1381)</f>
        <v/>
      </c>
      <c r="B1381">
        <f>IF($L1381="","",INDEX(Расчет!$A$2:$A$3001,$L1381))</f>
        <v/>
      </c>
      <c r="C1381">
        <f>IF($L1381="","",INDEX(Расчет!$B$2:$B$3001,$L1381))</f>
        <v/>
      </c>
      <c r="D1381">
        <f>IF($L1381="","",IF(ISNUMBER(FIND("(",INDEX(Расчет!$C$2:$C$3001,$L1381))),SUBSTITUTE(MID(INDEX(Расчет!$C$2:$C$3001,$L1381),FIND("(",INDEX(Расчет!$C$2:$C$3001,$L1381))+1,99),")",""),INDEX(Расчет!$C$2:$C$3001,$L1381)))</f>
        <v/>
      </c>
      <c r="E1381">
        <f>IF($L1381="","",INDEX(Расчет!$D$2:$D$3001,$L1381))</f>
        <v/>
      </c>
      <c r="F1381">
        <f>IF($L1381="","",INDEX(Расчет!$E$2:$E$3001,$L1381))</f>
        <v/>
      </c>
      <c r="G1381">
        <f>IF($L1381="","",IFERROR(--LEFT(INDEX(Расчет!$C$2:$C$3001,$L1381),FIND("(",INDEX(Расчет!$C$2:$C$3001,$L1381))-1),IFERROR(--LEFT(INDEX(Расчет!$C$2:$C$3001,$L1381),1),"")))</f>
        <v/>
      </c>
      <c r="H1381">
        <f>IF($L1381="","",SUMIFS(Расчет!$G$2:$G$3001,Расчет!$I$2:$I$3001,$K1381,Расчет!$H$2:$H$3001,1))</f>
        <v/>
      </c>
      <c r="I1381">
        <f>IF($L1381="","",SUMIFS(Расчет!$G$2:$G$3001,Расчет!$I$2:$I$3001,$K1381,Расчет!$H$2:$H$3001,2))</f>
        <v/>
      </c>
      <c r="J1381">
        <f>IF($L1381="","",SUMIFS(Расчет!$G$2:$G$3001,Расчет!$I$2:$I$3001,$K1381,Расчет!$H$2:$H$3001,3))</f>
        <v/>
      </c>
      <c r="K1381">
        <f>IF($L1381="","",INDEX(Расчет!$I$2:$I$3001,$L1381))</f>
        <v/>
      </c>
      <c r="L1381">
        <f>IFERROR(MATCH(ROW()-1,Расчет!$J$2:$J$3001,0),"")</f>
        <v/>
      </c>
    </row>
    <row r="1382">
      <c r="A1382">
        <f>IF($L1382="","",B1382&amp;"."&amp;C1382&amp;"-"&amp;D1382&amp;"-"&amp;H1382&amp;"."&amp;I1382&amp;"."&amp;J1382)</f>
        <v/>
      </c>
      <c r="B1382">
        <f>IF($L1382="","",INDEX(Расчет!$A$2:$A$3001,$L1382))</f>
        <v/>
      </c>
      <c r="C1382">
        <f>IF($L1382="","",INDEX(Расчет!$B$2:$B$3001,$L1382))</f>
        <v/>
      </c>
      <c r="D1382">
        <f>IF($L1382="","",IF(ISNUMBER(FIND("(",INDEX(Расчет!$C$2:$C$3001,$L1382))),SUBSTITUTE(MID(INDEX(Расчет!$C$2:$C$3001,$L1382),FIND("(",INDEX(Расчет!$C$2:$C$3001,$L1382))+1,99),")",""),INDEX(Расчет!$C$2:$C$3001,$L1382)))</f>
        <v/>
      </c>
      <c r="E1382">
        <f>IF($L1382="","",INDEX(Расчет!$D$2:$D$3001,$L1382))</f>
        <v/>
      </c>
      <c r="F1382">
        <f>IF($L1382="","",INDEX(Расчет!$E$2:$E$3001,$L1382))</f>
        <v/>
      </c>
      <c r="G1382">
        <f>IF($L1382="","",IFERROR(--LEFT(INDEX(Расчет!$C$2:$C$3001,$L1382),FIND("(",INDEX(Расчет!$C$2:$C$3001,$L1382))-1),IFERROR(--LEFT(INDEX(Расчет!$C$2:$C$3001,$L1382),1),"")))</f>
        <v/>
      </c>
      <c r="H1382">
        <f>IF($L1382="","",SUMIFS(Расчет!$G$2:$G$3001,Расчет!$I$2:$I$3001,$K1382,Расчет!$H$2:$H$3001,1))</f>
        <v/>
      </c>
      <c r="I1382">
        <f>IF($L1382="","",SUMIFS(Расчет!$G$2:$G$3001,Расчет!$I$2:$I$3001,$K1382,Расчет!$H$2:$H$3001,2))</f>
        <v/>
      </c>
      <c r="J1382">
        <f>IF($L1382="","",SUMIFS(Расчет!$G$2:$G$3001,Расчет!$I$2:$I$3001,$K1382,Расчет!$H$2:$H$3001,3))</f>
        <v/>
      </c>
      <c r="K1382">
        <f>IF($L1382="","",INDEX(Расчет!$I$2:$I$3001,$L1382))</f>
        <v/>
      </c>
      <c r="L1382">
        <f>IFERROR(MATCH(ROW()-1,Расчет!$J$2:$J$3001,0),"")</f>
        <v/>
      </c>
    </row>
    <row r="1383">
      <c r="A1383">
        <f>IF($L1383="","",B1383&amp;"."&amp;C1383&amp;"-"&amp;D1383&amp;"-"&amp;H1383&amp;"."&amp;I1383&amp;"."&amp;J1383)</f>
        <v/>
      </c>
      <c r="B1383">
        <f>IF($L1383="","",INDEX(Расчет!$A$2:$A$3001,$L1383))</f>
        <v/>
      </c>
      <c r="C1383">
        <f>IF($L1383="","",INDEX(Расчет!$B$2:$B$3001,$L1383))</f>
        <v/>
      </c>
      <c r="D1383">
        <f>IF($L1383="","",IF(ISNUMBER(FIND("(",INDEX(Расчет!$C$2:$C$3001,$L1383))),SUBSTITUTE(MID(INDEX(Расчет!$C$2:$C$3001,$L1383),FIND("(",INDEX(Расчет!$C$2:$C$3001,$L1383))+1,99),")",""),INDEX(Расчет!$C$2:$C$3001,$L1383)))</f>
        <v/>
      </c>
      <c r="E1383">
        <f>IF($L1383="","",INDEX(Расчет!$D$2:$D$3001,$L1383))</f>
        <v/>
      </c>
      <c r="F1383">
        <f>IF($L1383="","",INDEX(Расчет!$E$2:$E$3001,$L1383))</f>
        <v/>
      </c>
      <c r="G1383">
        <f>IF($L1383="","",IFERROR(--LEFT(INDEX(Расчет!$C$2:$C$3001,$L1383),FIND("(",INDEX(Расчет!$C$2:$C$3001,$L1383))-1),IFERROR(--LEFT(INDEX(Расчет!$C$2:$C$3001,$L1383),1),"")))</f>
        <v/>
      </c>
      <c r="H1383">
        <f>IF($L1383="","",SUMIFS(Расчет!$G$2:$G$3001,Расчет!$I$2:$I$3001,$K1383,Расчет!$H$2:$H$3001,1))</f>
        <v/>
      </c>
      <c r="I1383">
        <f>IF($L1383="","",SUMIFS(Расчет!$G$2:$G$3001,Расчет!$I$2:$I$3001,$K1383,Расчет!$H$2:$H$3001,2))</f>
        <v/>
      </c>
      <c r="J1383">
        <f>IF($L1383="","",SUMIFS(Расчет!$G$2:$G$3001,Расчет!$I$2:$I$3001,$K1383,Расчет!$H$2:$H$3001,3))</f>
        <v/>
      </c>
      <c r="K1383">
        <f>IF($L1383="","",INDEX(Расчет!$I$2:$I$3001,$L1383))</f>
        <v/>
      </c>
      <c r="L1383">
        <f>IFERROR(MATCH(ROW()-1,Расчет!$J$2:$J$3001,0),"")</f>
        <v/>
      </c>
    </row>
    <row r="1384">
      <c r="A1384">
        <f>IF($L1384="","",B1384&amp;"."&amp;C1384&amp;"-"&amp;D1384&amp;"-"&amp;H1384&amp;"."&amp;I1384&amp;"."&amp;J1384)</f>
        <v/>
      </c>
      <c r="B1384">
        <f>IF($L1384="","",INDEX(Расчет!$A$2:$A$3001,$L1384))</f>
        <v/>
      </c>
      <c r="C1384">
        <f>IF($L1384="","",INDEX(Расчет!$B$2:$B$3001,$L1384))</f>
        <v/>
      </c>
      <c r="D1384">
        <f>IF($L1384="","",IF(ISNUMBER(FIND("(",INDEX(Расчет!$C$2:$C$3001,$L1384))),SUBSTITUTE(MID(INDEX(Расчет!$C$2:$C$3001,$L1384),FIND("(",INDEX(Расчет!$C$2:$C$3001,$L1384))+1,99),")",""),INDEX(Расчет!$C$2:$C$3001,$L1384)))</f>
        <v/>
      </c>
      <c r="E1384">
        <f>IF($L1384="","",INDEX(Расчет!$D$2:$D$3001,$L1384))</f>
        <v/>
      </c>
      <c r="F1384">
        <f>IF($L1384="","",INDEX(Расчет!$E$2:$E$3001,$L1384))</f>
        <v/>
      </c>
      <c r="G1384">
        <f>IF($L1384="","",IFERROR(--LEFT(INDEX(Расчет!$C$2:$C$3001,$L1384),FIND("(",INDEX(Расчет!$C$2:$C$3001,$L1384))-1),IFERROR(--LEFT(INDEX(Расчет!$C$2:$C$3001,$L1384),1),"")))</f>
        <v/>
      </c>
      <c r="H1384">
        <f>IF($L1384="","",SUMIFS(Расчет!$G$2:$G$3001,Расчет!$I$2:$I$3001,$K1384,Расчет!$H$2:$H$3001,1))</f>
        <v/>
      </c>
      <c r="I1384">
        <f>IF($L1384="","",SUMIFS(Расчет!$G$2:$G$3001,Расчет!$I$2:$I$3001,$K1384,Расчет!$H$2:$H$3001,2))</f>
        <v/>
      </c>
      <c r="J1384">
        <f>IF($L1384="","",SUMIFS(Расчет!$G$2:$G$3001,Расчет!$I$2:$I$3001,$K1384,Расчет!$H$2:$H$3001,3))</f>
        <v/>
      </c>
      <c r="K1384">
        <f>IF($L1384="","",INDEX(Расчет!$I$2:$I$3001,$L1384))</f>
        <v/>
      </c>
      <c r="L1384">
        <f>IFERROR(MATCH(ROW()-1,Расчет!$J$2:$J$3001,0),"")</f>
        <v/>
      </c>
    </row>
    <row r="1385">
      <c r="A1385">
        <f>IF($L1385="","",B1385&amp;"."&amp;C1385&amp;"-"&amp;D1385&amp;"-"&amp;H1385&amp;"."&amp;I1385&amp;"."&amp;J1385)</f>
        <v/>
      </c>
      <c r="B1385">
        <f>IF($L1385="","",INDEX(Расчет!$A$2:$A$3001,$L1385))</f>
        <v/>
      </c>
      <c r="C1385">
        <f>IF($L1385="","",INDEX(Расчет!$B$2:$B$3001,$L1385))</f>
        <v/>
      </c>
      <c r="D1385">
        <f>IF($L1385="","",IF(ISNUMBER(FIND("(",INDEX(Расчет!$C$2:$C$3001,$L1385))),SUBSTITUTE(MID(INDEX(Расчет!$C$2:$C$3001,$L1385),FIND("(",INDEX(Расчет!$C$2:$C$3001,$L1385))+1,99),")",""),INDEX(Расчет!$C$2:$C$3001,$L1385)))</f>
        <v/>
      </c>
      <c r="E1385">
        <f>IF($L1385="","",INDEX(Расчет!$D$2:$D$3001,$L1385))</f>
        <v/>
      </c>
      <c r="F1385">
        <f>IF($L1385="","",INDEX(Расчет!$E$2:$E$3001,$L1385))</f>
        <v/>
      </c>
      <c r="G1385">
        <f>IF($L1385="","",IFERROR(--LEFT(INDEX(Расчет!$C$2:$C$3001,$L1385),FIND("(",INDEX(Расчет!$C$2:$C$3001,$L1385))-1),IFERROR(--LEFT(INDEX(Расчет!$C$2:$C$3001,$L1385),1),"")))</f>
        <v/>
      </c>
      <c r="H1385">
        <f>IF($L1385="","",SUMIFS(Расчет!$G$2:$G$3001,Расчет!$I$2:$I$3001,$K1385,Расчет!$H$2:$H$3001,1))</f>
        <v/>
      </c>
      <c r="I1385">
        <f>IF($L1385="","",SUMIFS(Расчет!$G$2:$G$3001,Расчет!$I$2:$I$3001,$K1385,Расчет!$H$2:$H$3001,2))</f>
        <v/>
      </c>
      <c r="J1385">
        <f>IF($L1385="","",SUMIFS(Расчет!$G$2:$G$3001,Расчет!$I$2:$I$3001,$K1385,Расчет!$H$2:$H$3001,3))</f>
        <v/>
      </c>
      <c r="K1385">
        <f>IF($L1385="","",INDEX(Расчет!$I$2:$I$3001,$L1385))</f>
        <v/>
      </c>
      <c r="L1385">
        <f>IFERROR(MATCH(ROW()-1,Расчет!$J$2:$J$3001,0),"")</f>
        <v/>
      </c>
    </row>
    <row r="1386">
      <c r="A1386">
        <f>IF($L1386="","",B1386&amp;"."&amp;C1386&amp;"-"&amp;D1386&amp;"-"&amp;H1386&amp;"."&amp;I1386&amp;"."&amp;J1386)</f>
        <v/>
      </c>
      <c r="B1386">
        <f>IF($L1386="","",INDEX(Расчет!$A$2:$A$3001,$L1386))</f>
        <v/>
      </c>
      <c r="C1386">
        <f>IF($L1386="","",INDEX(Расчет!$B$2:$B$3001,$L1386))</f>
        <v/>
      </c>
      <c r="D1386">
        <f>IF($L1386="","",IF(ISNUMBER(FIND("(",INDEX(Расчет!$C$2:$C$3001,$L1386))),SUBSTITUTE(MID(INDEX(Расчет!$C$2:$C$3001,$L1386),FIND("(",INDEX(Расчет!$C$2:$C$3001,$L1386))+1,99),")",""),INDEX(Расчет!$C$2:$C$3001,$L1386)))</f>
        <v/>
      </c>
      <c r="E1386">
        <f>IF($L1386="","",INDEX(Расчет!$D$2:$D$3001,$L1386))</f>
        <v/>
      </c>
      <c r="F1386">
        <f>IF($L1386="","",INDEX(Расчет!$E$2:$E$3001,$L1386))</f>
        <v/>
      </c>
      <c r="G1386">
        <f>IF($L1386="","",IFERROR(--LEFT(INDEX(Расчет!$C$2:$C$3001,$L1386),FIND("(",INDEX(Расчет!$C$2:$C$3001,$L1386))-1),IFERROR(--LEFT(INDEX(Расчет!$C$2:$C$3001,$L1386),1),"")))</f>
        <v/>
      </c>
      <c r="H1386">
        <f>IF($L1386="","",SUMIFS(Расчет!$G$2:$G$3001,Расчет!$I$2:$I$3001,$K1386,Расчет!$H$2:$H$3001,1))</f>
        <v/>
      </c>
      <c r="I1386">
        <f>IF($L1386="","",SUMIFS(Расчет!$G$2:$G$3001,Расчет!$I$2:$I$3001,$K1386,Расчет!$H$2:$H$3001,2))</f>
        <v/>
      </c>
      <c r="J1386">
        <f>IF($L1386="","",SUMIFS(Расчет!$G$2:$G$3001,Расчет!$I$2:$I$3001,$K1386,Расчет!$H$2:$H$3001,3))</f>
        <v/>
      </c>
      <c r="K1386">
        <f>IF($L1386="","",INDEX(Расчет!$I$2:$I$3001,$L1386))</f>
        <v/>
      </c>
      <c r="L1386">
        <f>IFERROR(MATCH(ROW()-1,Расчет!$J$2:$J$3001,0),"")</f>
        <v/>
      </c>
    </row>
    <row r="1387">
      <c r="A1387">
        <f>IF($L1387="","",B1387&amp;"."&amp;C1387&amp;"-"&amp;D1387&amp;"-"&amp;H1387&amp;"."&amp;I1387&amp;"."&amp;J1387)</f>
        <v/>
      </c>
      <c r="B1387">
        <f>IF($L1387="","",INDEX(Расчет!$A$2:$A$3001,$L1387))</f>
        <v/>
      </c>
      <c r="C1387">
        <f>IF($L1387="","",INDEX(Расчет!$B$2:$B$3001,$L1387))</f>
        <v/>
      </c>
      <c r="D1387">
        <f>IF($L1387="","",IF(ISNUMBER(FIND("(",INDEX(Расчет!$C$2:$C$3001,$L1387))),SUBSTITUTE(MID(INDEX(Расчет!$C$2:$C$3001,$L1387),FIND("(",INDEX(Расчет!$C$2:$C$3001,$L1387))+1,99),")",""),INDEX(Расчет!$C$2:$C$3001,$L1387)))</f>
        <v/>
      </c>
      <c r="E1387">
        <f>IF($L1387="","",INDEX(Расчет!$D$2:$D$3001,$L1387))</f>
        <v/>
      </c>
      <c r="F1387">
        <f>IF($L1387="","",INDEX(Расчет!$E$2:$E$3001,$L1387))</f>
        <v/>
      </c>
      <c r="G1387">
        <f>IF($L1387="","",IFERROR(--LEFT(INDEX(Расчет!$C$2:$C$3001,$L1387),FIND("(",INDEX(Расчет!$C$2:$C$3001,$L1387))-1),IFERROR(--LEFT(INDEX(Расчет!$C$2:$C$3001,$L1387),1),"")))</f>
        <v/>
      </c>
      <c r="H1387">
        <f>IF($L1387="","",SUMIFS(Расчет!$G$2:$G$3001,Расчет!$I$2:$I$3001,$K1387,Расчет!$H$2:$H$3001,1))</f>
        <v/>
      </c>
      <c r="I1387">
        <f>IF($L1387="","",SUMIFS(Расчет!$G$2:$G$3001,Расчет!$I$2:$I$3001,$K1387,Расчет!$H$2:$H$3001,2))</f>
        <v/>
      </c>
      <c r="J1387">
        <f>IF($L1387="","",SUMIFS(Расчет!$G$2:$G$3001,Расчет!$I$2:$I$3001,$K1387,Расчет!$H$2:$H$3001,3))</f>
        <v/>
      </c>
      <c r="K1387">
        <f>IF($L1387="","",INDEX(Расчет!$I$2:$I$3001,$L1387))</f>
        <v/>
      </c>
      <c r="L1387">
        <f>IFERROR(MATCH(ROW()-1,Расчет!$J$2:$J$3001,0),"")</f>
        <v/>
      </c>
    </row>
    <row r="1388">
      <c r="A1388">
        <f>IF($L1388="","",B1388&amp;"."&amp;C1388&amp;"-"&amp;D1388&amp;"-"&amp;H1388&amp;"."&amp;I1388&amp;"."&amp;J1388)</f>
        <v/>
      </c>
      <c r="B1388">
        <f>IF($L1388="","",INDEX(Расчет!$A$2:$A$3001,$L1388))</f>
        <v/>
      </c>
      <c r="C1388">
        <f>IF($L1388="","",INDEX(Расчет!$B$2:$B$3001,$L1388))</f>
        <v/>
      </c>
      <c r="D1388">
        <f>IF($L1388="","",IF(ISNUMBER(FIND("(",INDEX(Расчет!$C$2:$C$3001,$L1388))),SUBSTITUTE(MID(INDEX(Расчет!$C$2:$C$3001,$L1388),FIND("(",INDEX(Расчет!$C$2:$C$3001,$L1388))+1,99),")",""),INDEX(Расчет!$C$2:$C$3001,$L1388)))</f>
        <v/>
      </c>
      <c r="E1388">
        <f>IF($L1388="","",INDEX(Расчет!$D$2:$D$3001,$L1388))</f>
        <v/>
      </c>
      <c r="F1388">
        <f>IF($L1388="","",INDEX(Расчет!$E$2:$E$3001,$L1388))</f>
        <v/>
      </c>
      <c r="G1388">
        <f>IF($L1388="","",IFERROR(--LEFT(INDEX(Расчет!$C$2:$C$3001,$L1388),FIND("(",INDEX(Расчет!$C$2:$C$3001,$L1388))-1),IFERROR(--LEFT(INDEX(Расчет!$C$2:$C$3001,$L1388),1),"")))</f>
        <v/>
      </c>
      <c r="H1388">
        <f>IF($L1388="","",SUMIFS(Расчет!$G$2:$G$3001,Расчет!$I$2:$I$3001,$K1388,Расчет!$H$2:$H$3001,1))</f>
        <v/>
      </c>
      <c r="I1388">
        <f>IF($L1388="","",SUMIFS(Расчет!$G$2:$G$3001,Расчет!$I$2:$I$3001,$K1388,Расчет!$H$2:$H$3001,2))</f>
        <v/>
      </c>
      <c r="J1388">
        <f>IF($L1388="","",SUMIFS(Расчет!$G$2:$G$3001,Расчет!$I$2:$I$3001,$K1388,Расчет!$H$2:$H$3001,3))</f>
        <v/>
      </c>
      <c r="K1388">
        <f>IF($L1388="","",INDEX(Расчет!$I$2:$I$3001,$L1388))</f>
        <v/>
      </c>
      <c r="L1388">
        <f>IFERROR(MATCH(ROW()-1,Расчет!$J$2:$J$3001,0),"")</f>
        <v/>
      </c>
    </row>
    <row r="1389">
      <c r="A1389">
        <f>IF($L1389="","",B1389&amp;"."&amp;C1389&amp;"-"&amp;D1389&amp;"-"&amp;H1389&amp;"."&amp;I1389&amp;"."&amp;J1389)</f>
        <v/>
      </c>
      <c r="B1389">
        <f>IF($L1389="","",INDEX(Расчет!$A$2:$A$3001,$L1389))</f>
        <v/>
      </c>
      <c r="C1389">
        <f>IF($L1389="","",INDEX(Расчет!$B$2:$B$3001,$L1389))</f>
        <v/>
      </c>
      <c r="D1389">
        <f>IF($L1389="","",IF(ISNUMBER(FIND("(",INDEX(Расчет!$C$2:$C$3001,$L1389))),SUBSTITUTE(MID(INDEX(Расчет!$C$2:$C$3001,$L1389),FIND("(",INDEX(Расчет!$C$2:$C$3001,$L1389))+1,99),")",""),INDEX(Расчет!$C$2:$C$3001,$L1389)))</f>
        <v/>
      </c>
      <c r="E1389">
        <f>IF($L1389="","",INDEX(Расчет!$D$2:$D$3001,$L1389))</f>
        <v/>
      </c>
      <c r="F1389">
        <f>IF($L1389="","",INDEX(Расчет!$E$2:$E$3001,$L1389))</f>
        <v/>
      </c>
      <c r="G1389">
        <f>IF($L1389="","",IFERROR(--LEFT(INDEX(Расчет!$C$2:$C$3001,$L1389),FIND("(",INDEX(Расчет!$C$2:$C$3001,$L1389))-1),IFERROR(--LEFT(INDEX(Расчет!$C$2:$C$3001,$L1389),1),"")))</f>
        <v/>
      </c>
      <c r="H1389">
        <f>IF($L1389="","",SUMIFS(Расчет!$G$2:$G$3001,Расчет!$I$2:$I$3001,$K1389,Расчет!$H$2:$H$3001,1))</f>
        <v/>
      </c>
      <c r="I1389">
        <f>IF($L1389="","",SUMIFS(Расчет!$G$2:$G$3001,Расчет!$I$2:$I$3001,$K1389,Расчет!$H$2:$H$3001,2))</f>
        <v/>
      </c>
      <c r="J1389">
        <f>IF($L1389="","",SUMIFS(Расчет!$G$2:$G$3001,Расчет!$I$2:$I$3001,$K1389,Расчет!$H$2:$H$3001,3))</f>
        <v/>
      </c>
      <c r="K1389">
        <f>IF($L1389="","",INDEX(Расчет!$I$2:$I$3001,$L1389))</f>
        <v/>
      </c>
      <c r="L1389">
        <f>IFERROR(MATCH(ROW()-1,Расчет!$J$2:$J$3001,0),"")</f>
        <v/>
      </c>
    </row>
    <row r="1390">
      <c r="A1390">
        <f>IF($L1390="","",B1390&amp;"."&amp;C1390&amp;"-"&amp;D1390&amp;"-"&amp;H1390&amp;"."&amp;I1390&amp;"."&amp;J1390)</f>
        <v/>
      </c>
      <c r="B1390">
        <f>IF($L1390="","",INDEX(Расчет!$A$2:$A$3001,$L1390))</f>
        <v/>
      </c>
      <c r="C1390">
        <f>IF($L1390="","",INDEX(Расчет!$B$2:$B$3001,$L1390))</f>
        <v/>
      </c>
      <c r="D1390">
        <f>IF($L1390="","",IF(ISNUMBER(FIND("(",INDEX(Расчет!$C$2:$C$3001,$L1390))),SUBSTITUTE(MID(INDEX(Расчет!$C$2:$C$3001,$L1390),FIND("(",INDEX(Расчет!$C$2:$C$3001,$L1390))+1,99),")",""),INDEX(Расчет!$C$2:$C$3001,$L1390)))</f>
        <v/>
      </c>
      <c r="E1390">
        <f>IF($L1390="","",INDEX(Расчет!$D$2:$D$3001,$L1390))</f>
        <v/>
      </c>
      <c r="F1390">
        <f>IF($L1390="","",INDEX(Расчет!$E$2:$E$3001,$L1390))</f>
        <v/>
      </c>
      <c r="G1390">
        <f>IF($L1390="","",IFERROR(--LEFT(INDEX(Расчет!$C$2:$C$3001,$L1390),FIND("(",INDEX(Расчет!$C$2:$C$3001,$L1390))-1),IFERROR(--LEFT(INDEX(Расчет!$C$2:$C$3001,$L1390),1),"")))</f>
        <v/>
      </c>
      <c r="H1390">
        <f>IF($L1390="","",SUMIFS(Расчет!$G$2:$G$3001,Расчет!$I$2:$I$3001,$K1390,Расчет!$H$2:$H$3001,1))</f>
        <v/>
      </c>
      <c r="I1390">
        <f>IF($L1390="","",SUMIFS(Расчет!$G$2:$G$3001,Расчет!$I$2:$I$3001,$K1390,Расчет!$H$2:$H$3001,2))</f>
        <v/>
      </c>
      <c r="J1390">
        <f>IF($L1390="","",SUMIFS(Расчет!$G$2:$G$3001,Расчет!$I$2:$I$3001,$K1390,Расчет!$H$2:$H$3001,3))</f>
        <v/>
      </c>
      <c r="K1390">
        <f>IF($L1390="","",INDEX(Расчет!$I$2:$I$3001,$L1390))</f>
        <v/>
      </c>
      <c r="L1390">
        <f>IFERROR(MATCH(ROW()-1,Расчет!$J$2:$J$3001,0),"")</f>
        <v/>
      </c>
    </row>
    <row r="1391">
      <c r="A1391">
        <f>IF($L1391="","",B1391&amp;"."&amp;C1391&amp;"-"&amp;D1391&amp;"-"&amp;H1391&amp;"."&amp;I1391&amp;"."&amp;J1391)</f>
        <v/>
      </c>
      <c r="B1391">
        <f>IF($L1391="","",INDEX(Расчет!$A$2:$A$3001,$L1391))</f>
        <v/>
      </c>
      <c r="C1391">
        <f>IF($L1391="","",INDEX(Расчет!$B$2:$B$3001,$L1391))</f>
        <v/>
      </c>
      <c r="D1391">
        <f>IF($L1391="","",IF(ISNUMBER(FIND("(",INDEX(Расчет!$C$2:$C$3001,$L1391))),SUBSTITUTE(MID(INDEX(Расчет!$C$2:$C$3001,$L1391),FIND("(",INDEX(Расчет!$C$2:$C$3001,$L1391))+1,99),")",""),INDEX(Расчет!$C$2:$C$3001,$L1391)))</f>
        <v/>
      </c>
      <c r="E1391">
        <f>IF($L1391="","",INDEX(Расчет!$D$2:$D$3001,$L1391))</f>
        <v/>
      </c>
      <c r="F1391">
        <f>IF($L1391="","",INDEX(Расчет!$E$2:$E$3001,$L1391))</f>
        <v/>
      </c>
      <c r="G1391">
        <f>IF($L1391="","",IFERROR(--LEFT(INDEX(Расчет!$C$2:$C$3001,$L1391),FIND("(",INDEX(Расчет!$C$2:$C$3001,$L1391))-1),IFERROR(--LEFT(INDEX(Расчет!$C$2:$C$3001,$L1391),1),"")))</f>
        <v/>
      </c>
      <c r="H1391">
        <f>IF($L1391="","",SUMIFS(Расчет!$G$2:$G$3001,Расчет!$I$2:$I$3001,$K1391,Расчет!$H$2:$H$3001,1))</f>
        <v/>
      </c>
      <c r="I1391">
        <f>IF($L1391="","",SUMIFS(Расчет!$G$2:$G$3001,Расчет!$I$2:$I$3001,$K1391,Расчет!$H$2:$H$3001,2))</f>
        <v/>
      </c>
      <c r="J1391">
        <f>IF($L1391="","",SUMIFS(Расчет!$G$2:$G$3001,Расчет!$I$2:$I$3001,$K1391,Расчет!$H$2:$H$3001,3))</f>
        <v/>
      </c>
      <c r="K1391">
        <f>IF($L1391="","",INDEX(Расчет!$I$2:$I$3001,$L1391))</f>
        <v/>
      </c>
      <c r="L1391">
        <f>IFERROR(MATCH(ROW()-1,Расчет!$J$2:$J$3001,0),"")</f>
        <v/>
      </c>
    </row>
    <row r="1392">
      <c r="A1392">
        <f>IF($L1392="","",B1392&amp;"."&amp;C1392&amp;"-"&amp;D1392&amp;"-"&amp;H1392&amp;"."&amp;I1392&amp;"."&amp;J1392)</f>
        <v/>
      </c>
      <c r="B1392">
        <f>IF($L1392="","",INDEX(Расчет!$A$2:$A$3001,$L1392))</f>
        <v/>
      </c>
      <c r="C1392">
        <f>IF($L1392="","",INDEX(Расчет!$B$2:$B$3001,$L1392))</f>
        <v/>
      </c>
      <c r="D1392">
        <f>IF($L1392="","",IF(ISNUMBER(FIND("(",INDEX(Расчет!$C$2:$C$3001,$L1392))),SUBSTITUTE(MID(INDEX(Расчет!$C$2:$C$3001,$L1392),FIND("(",INDEX(Расчет!$C$2:$C$3001,$L1392))+1,99),")",""),INDEX(Расчет!$C$2:$C$3001,$L1392)))</f>
        <v/>
      </c>
      <c r="E1392">
        <f>IF($L1392="","",INDEX(Расчет!$D$2:$D$3001,$L1392))</f>
        <v/>
      </c>
      <c r="F1392">
        <f>IF($L1392="","",INDEX(Расчет!$E$2:$E$3001,$L1392))</f>
        <v/>
      </c>
      <c r="G1392">
        <f>IF($L1392="","",IFERROR(--LEFT(INDEX(Расчет!$C$2:$C$3001,$L1392),FIND("(",INDEX(Расчет!$C$2:$C$3001,$L1392))-1),IFERROR(--LEFT(INDEX(Расчет!$C$2:$C$3001,$L1392),1),"")))</f>
        <v/>
      </c>
      <c r="H1392">
        <f>IF($L1392="","",SUMIFS(Расчет!$G$2:$G$3001,Расчет!$I$2:$I$3001,$K1392,Расчет!$H$2:$H$3001,1))</f>
        <v/>
      </c>
      <c r="I1392">
        <f>IF($L1392="","",SUMIFS(Расчет!$G$2:$G$3001,Расчет!$I$2:$I$3001,$K1392,Расчет!$H$2:$H$3001,2))</f>
        <v/>
      </c>
      <c r="J1392">
        <f>IF($L1392="","",SUMIFS(Расчет!$G$2:$G$3001,Расчет!$I$2:$I$3001,$K1392,Расчет!$H$2:$H$3001,3))</f>
        <v/>
      </c>
      <c r="K1392">
        <f>IF($L1392="","",INDEX(Расчет!$I$2:$I$3001,$L1392))</f>
        <v/>
      </c>
      <c r="L1392">
        <f>IFERROR(MATCH(ROW()-1,Расчет!$J$2:$J$3001,0),"")</f>
        <v/>
      </c>
    </row>
    <row r="1393">
      <c r="A1393">
        <f>IF($L1393="","",B1393&amp;"."&amp;C1393&amp;"-"&amp;D1393&amp;"-"&amp;H1393&amp;"."&amp;I1393&amp;"."&amp;J1393)</f>
        <v/>
      </c>
      <c r="B1393">
        <f>IF($L1393="","",INDEX(Расчет!$A$2:$A$3001,$L1393))</f>
        <v/>
      </c>
      <c r="C1393">
        <f>IF($L1393="","",INDEX(Расчет!$B$2:$B$3001,$L1393))</f>
        <v/>
      </c>
      <c r="D1393">
        <f>IF($L1393="","",IF(ISNUMBER(FIND("(",INDEX(Расчет!$C$2:$C$3001,$L1393))),SUBSTITUTE(MID(INDEX(Расчет!$C$2:$C$3001,$L1393),FIND("(",INDEX(Расчет!$C$2:$C$3001,$L1393))+1,99),")",""),INDEX(Расчет!$C$2:$C$3001,$L1393)))</f>
        <v/>
      </c>
      <c r="E1393">
        <f>IF($L1393="","",INDEX(Расчет!$D$2:$D$3001,$L1393))</f>
        <v/>
      </c>
      <c r="F1393">
        <f>IF($L1393="","",INDEX(Расчет!$E$2:$E$3001,$L1393))</f>
        <v/>
      </c>
      <c r="G1393">
        <f>IF($L1393="","",IFERROR(--LEFT(INDEX(Расчет!$C$2:$C$3001,$L1393),FIND("(",INDEX(Расчет!$C$2:$C$3001,$L1393))-1),IFERROR(--LEFT(INDEX(Расчет!$C$2:$C$3001,$L1393),1),"")))</f>
        <v/>
      </c>
      <c r="H1393">
        <f>IF($L1393="","",SUMIFS(Расчет!$G$2:$G$3001,Расчет!$I$2:$I$3001,$K1393,Расчет!$H$2:$H$3001,1))</f>
        <v/>
      </c>
      <c r="I1393">
        <f>IF($L1393="","",SUMIFS(Расчет!$G$2:$G$3001,Расчет!$I$2:$I$3001,$K1393,Расчет!$H$2:$H$3001,2))</f>
        <v/>
      </c>
      <c r="J1393">
        <f>IF($L1393="","",SUMIFS(Расчет!$G$2:$G$3001,Расчет!$I$2:$I$3001,$K1393,Расчет!$H$2:$H$3001,3))</f>
        <v/>
      </c>
      <c r="K1393">
        <f>IF($L1393="","",INDEX(Расчет!$I$2:$I$3001,$L1393))</f>
        <v/>
      </c>
      <c r="L1393">
        <f>IFERROR(MATCH(ROW()-1,Расчет!$J$2:$J$3001,0),"")</f>
        <v/>
      </c>
    </row>
    <row r="1394">
      <c r="A1394">
        <f>IF($L1394="","",B1394&amp;"."&amp;C1394&amp;"-"&amp;D1394&amp;"-"&amp;H1394&amp;"."&amp;I1394&amp;"."&amp;J1394)</f>
        <v/>
      </c>
      <c r="B1394">
        <f>IF($L1394="","",INDEX(Расчет!$A$2:$A$3001,$L1394))</f>
        <v/>
      </c>
      <c r="C1394">
        <f>IF($L1394="","",INDEX(Расчет!$B$2:$B$3001,$L1394))</f>
        <v/>
      </c>
      <c r="D1394">
        <f>IF($L1394="","",IF(ISNUMBER(FIND("(",INDEX(Расчет!$C$2:$C$3001,$L1394))),SUBSTITUTE(MID(INDEX(Расчет!$C$2:$C$3001,$L1394),FIND("(",INDEX(Расчет!$C$2:$C$3001,$L1394))+1,99),")",""),INDEX(Расчет!$C$2:$C$3001,$L1394)))</f>
        <v/>
      </c>
      <c r="E1394">
        <f>IF($L1394="","",INDEX(Расчет!$D$2:$D$3001,$L1394))</f>
        <v/>
      </c>
      <c r="F1394">
        <f>IF($L1394="","",INDEX(Расчет!$E$2:$E$3001,$L1394))</f>
        <v/>
      </c>
      <c r="G1394">
        <f>IF($L1394="","",IFERROR(--LEFT(INDEX(Расчет!$C$2:$C$3001,$L1394),FIND("(",INDEX(Расчет!$C$2:$C$3001,$L1394))-1),IFERROR(--LEFT(INDEX(Расчет!$C$2:$C$3001,$L1394),1),"")))</f>
        <v/>
      </c>
      <c r="H1394">
        <f>IF($L1394="","",SUMIFS(Расчет!$G$2:$G$3001,Расчет!$I$2:$I$3001,$K1394,Расчет!$H$2:$H$3001,1))</f>
        <v/>
      </c>
      <c r="I1394">
        <f>IF($L1394="","",SUMIFS(Расчет!$G$2:$G$3001,Расчет!$I$2:$I$3001,$K1394,Расчет!$H$2:$H$3001,2))</f>
        <v/>
      </c>
      <c r="J1394">
        <f>IF($L1394="","",SUMIFS(Расчет!$G$2:$G$3001,Расчет!$I$2:$I$3001,$K1394,Расчет!$H$2:$H$3001,3))</f>
        <v/>
      </c>
      <c r="K1394">
        <f>IF($L1394="","",INDEX(Расчет!$I$2:$I$3001,$L1394))</f>
        <v/>
      </c>
      <c r="L1394">
        <f>IFERROR(MATCH(ROW()-1,Расчет!$J$2:$J$3001,0),"")</f>
        <v/>
      </c>
    </row>
    <row r="1395">
      <c r="A1395">
        <f>IF($L1395="","",B1395&amp;"."&amp;C1395&amp;"-"&amp;D1395&amp;"-"&amp;H1395&amp;"."&amp;I1395&amp;"."&amp;J1395)</f>
        <v/>
      </c>
      <c r="B1395">
        <f>IF($L1395="","",INDEX(Расчет!$A$2:$A$3001,$L1395))</f>
        <v/>
      </c>
      <c r="C1395">
        <f>IF($L1395="","",INDEX(Расчет!$B$2:$B$3001,$L1395))</f>
        <v/>
      </c>
      <c r="D1395">
        <f>IF($L1395="","",IF(ISNUMBER(FIND("(",INDEX(Расчет!$C$2:$C$3001,$L1395))),SUBSTITUTE(MID(INDEX(Расчет!$C$2:$C$3001,$L1395),FIND("(",INDEX(Расчет!$C$2:$C$3001,$L1395))+1,99),")",""),INDEX(Расчет!$C$2:$C$3001,$L1395)))</f>
        <v/>
      </c>
      <c r="E1395">
        <f>IF($L1395="","",INDEX(Расчет!$D$2:$D$3001,$L1395))</f>
        <v/>
      </c>
      <c r="F1395">
        <f>IF($L1395="","",INDEX(Расчет!$E$2:$E$3001,$L1395))</f>
        <v/>
      </c>
      <c r="G1395">
        <f>IF($L1395="","",IFERROR(--LEFT(INDEX(Расчет!$C$2:$C$3001,$L1395),FIND("(",INDEX(Расчет!$C$2:$C$3001,$L1395))-1),IFERROR(--LEFT(INDEX(Расчет!$C$2:$C$3001,$L1395),1),"")))</f>
        <v/>
      </c>
      <c r="H1395">
        <f>IF($L1395="","",SUMIFS(Расчет!$G$2:$G$3001,Расчет!$I$2:$I$3001,$K1395,Расчет!$H$2:$H$3001,1))</f>
        <v/>
      </c>
      <c r="I1395">
        <f>IF($L1395="","",SUMIFS(Расчет!$G$2:$G$3001,Расчет!$I$2:$I$3001,$K1395,Расчет!$H$2:$H$3001,2))</f>
        <v/>
      </c>
      <c r="J1395">
        <f>IF($L1395="","",SUMIFS(Расчет!$G$2:$G$3001,Расчет!$I$2:$I$3001,$K1395,Расчет!$H$2:$H$3001,3))</f>
        <v/>
      </c>
      <c r="K1395">
        <f>IF($L1395="","",INDEX(Расчет!$I$2:$I$3001,$L1395))</f>
        <v/>
      </c>
      <c r="L1395">
        <f>IFERROR(MATCH(ROW()-1,Расчет!$J$2:$J$3001,0),"")</f>
        <v/>
      </c>
    </row>
    <row r="1396">
      <c r="A1396">
        <f>IF($L1396="","",B1396&amp;"."&amp;C1396&amp;"-"&amp;D1396&amp;"-"&amp;H1396&amp;"."&amp;I1396&amp;"."&amp;J1396)</f>
        <v/>
      </c>
      <c r="B1396">
        <f>IF($L1396="","",INDEX(Расчет!$A$2:$A$3001,$L1396))</f>
        <v/>
      </c>
      <c r="C1396">
        <f>IF($L1396="","",INDEX(Расчет!$B$2:$B$3001,$L1396))</f>
        <v/>
      </c>
      <c r="D1396">
        <f>IF($L1396="","",IF(ISNUMBER(FIND("(",INDEX(Расчет!$C$2:$C$3001,$L1396))),SUBSTITUTE(MID(INDEX(Расчет!$C$2:$C$3001,$L1396),FIND("(",INDEX(Расчет!$C$2:$C$3001,$L1396))+1,99),")",""),INDEX(Расчет!$C$2:$C$3001,$L1396)))</f>
        <v/>
      </c>
      <c r="E1396">
        <f>IF($L1396="","",INDEX(Расчет!$D$2:$D$3001,$L1396))</f>
        <v/>
      </c>
      <c r="F1396">
        <f>IF($L1396="","",INDEX(Расчет!$E$2:$E$3001,$L1396))</f>
        <v/>
      </c>
      <c r="G1396">
        <f>IF($L1396="","",IFERROR(--LEFT(INDEX(Расчет!$C$2:$C$3001,$L1396),FIND("(",INDEX(Расчет!$C$2:$C$3001,$L1396))-1),IFERROR(--LEFT(INDEX(Расчет!$C$2:$C$3001,$L1396),1),"")))</f>
        <v/>
      </c>
      <c r="H1396">
        <f>IF($L1396="","",SUMIFS(Расчет!$G$2:$G$3001,Расчет!$I$2:$I$3001,$K1396,Расчет!$H$2:$H$3001,1))</f>
        <v/>
      </c>
      <c r="I1396">
        <f>IF($L1396="","",SUMIFS(Расчет!$G$2:$G$3001,Расчет!$I$2:$I$3001,$K1396,Расчет!$H$2:$H$3001,2))</f>
        <v/>
      </c>
      <c r="J1396">
        <f>IF($L1396="","",SUMIFS(Расчет!$G$2:$G$3001,Расчет!$I$2:$I$3001,$K1396,Расчет!$H$2:$H$3001,3))</f>
        <v/>
      </c>
      <c r="K1396">
        <f>IF($L1396="","",INDEX(Расчет!$I$2:$I$3001,$L1396))</f>
        <v/>
      </c>
      <c r="L1396">
        <f>IFERROR(MATCH(ROW()-1,Расчет!$J$2:$J$3001,0),"")</f>
        <v/>
      </c>
    </row>
    <row r="1397">
      <c r="A1397">
        <f>IF($L1397="","",B1397&amp;"."&amp;C1397&amp;"-"&amp;D1397&amp;"-"&amp;H1397&amp;"."&amp;I1397&amp;"."&amp;J1397)</f>
        <v/>
      </c>
      <c r="B1397">
        <f>IF($L1397="","",INDEX(Расчет!$A$2:$A$3001,$L1397))</f>
        <v/>
      </c>
      <c r="C1397">
        <f>IF($L1397="","",INDEX(Расчет!$B$2:$B$3001,$L1397))</f>
        <v/>
      </c>
      <c r="D1397">
        <f>IF($L1397="","",IF(ISNUMBER(FIND("(",INDEX(Расчет!$C$2:$C$3001,$L1397))),SUBSTITUTE(MID(INDEX(Расчет!$C$2:$C$3001,$L1397),FIND("(",INDEX(Расчет!$C$2:$C$3001,$L1397))+1,99),")",""),INDEX(Расчет!$C$2:$C$3001,$L1397)))</f>
        <v/>
      </c>
      <c r="E1397">
        <f>IF($L1397="","",INDEX(Расчет!$D$2:$D$3001,$L1397))</f>
        <v/>
      </c>
      <c r="F1397">
        <f>IF($L1397="","",INDEX(Расчет!$E$2:$E$3001,$L1397))</f>
        <v/>
      </c>
      <c r="G1397">
        <f>IF($L1397="","",IFERROR(--LEFT(INDEX(Расчет!$C$2:$C$3001,$L1397),FIND("(",INDEX(Расчет!$C$2:$C$3001,$L1397))-1),IFERROR(--LEFT(INDEX(Расчет!$C$2:$C$3001,$L1397),1),"")))</f>
        <v/>
      </c>
      <c r="H1397">
        <f>IF($L1397="","",SUMIFS(Расчет!$G$2:$G$3001,Расчет!$I$2:$I$3001,$K1397,Расчет!$H$2:$H$3001,1))</f>
        <v/>
      </c>
      <c r="I1397">
        <f>IF($L1397="","",SUMIFS(Расчет!$G$2:$G$3001,Расчет!$I$2:$I$3001,$K1397,Расчет!$H$2:$H$3001,2))</f>
        <v/>
      </c>
      <c r="J1397">
        <f>IF($L1397="","",SUMIFS(Расчет!$G$2:$G$3001,Расчет!$I$2:$I$3001,$K1397,Расчет!$H$2:$H$3001,3))</f>
        <v/>
      </c>
      <c r="K1397">
        <f>IF($L1397="","",INDEX(Расчет!$I$2:$I$3001,$L1397))</f>
        <v/>
      </c>
      <c r="L1397">
        <f>IFERROR(MATCH(ROW()-1,Расчет!$J$2:$J$3001,0),"")</f>
        <v/>
      </c>
    </row>
    <row r="1398">
      <c r="A1398">
        <f>IF($L1398="","",B1398&amp;"."&amp;C1398&amp;"-"&amp;D1398&amp;"-"&amp;H1398&amp;"."&amp;I1398&amp;"."&amp;J1398)</f>
        <v/>
      </c>
      <c r="B1398">
        <f>IF($L1398="","",INDEX(Расчет!$A$2:$A$3001,$L1398))</f>
        <v/>
      </c>
      <c r="C1398">
        <f>IF($L1398="","",INDEX(Расчет!$B$2:$B$3001,$L1398))</f>
        <v/>
      </c>
      <c r="D1398">
        <f>IF($L1398="","",IF(ISNUMBER(FIND("(",INDEX(Расчет!$C$2:$C$3001,$L1398))),SUBSTITUTE(MID(INDEX(Расчет!$C$2:$C$3001,$L1398),FIND("(",INDEX(Расчет!$C$2:$C$3001,$L1398))+1,99),")",""),INDEX(Расчет!$C$2:$C$3001,$L1398)))</f>
        <v/>
      </c>
      <c r="E1398">
        <f>IF($L1398="","",INDEX(Расчет!$D$2:$D$3001,$L1398))</f>
        <v/>
      </c>
      <c r="F1398">
        <f>IF($L1398="","",INDEX(Расчет!$E$2:$E$3001,$L1398))</f>
        <v/>
      </c>
      <c r="G1398">
        <f>IF($L1398="","",IFERROR(--LEFT(INDEX(Расчет!$C$2:$C$3001,$L1398),FIND("(",INDEX(Расчет!$C$2:$C$3001,$L1398))-1),IFERROR(--LEFT(INDEX(Расчет!$C$2:$C$3001,$L1398),1),"")))</f>
        <v/>
      </c>
      <c r="H1398">
        <f>IF($L1398="","",SUMIFS(Расчет!$G$2:$G$3001,Расчет!$I$2:$I$3001,$K1398,Расчет!$H$2:$H$3001,1))</f>
        <v/>
      </c>
      <c r="I1398">
        <f>IF($L1398="","",SUMIFS(Расчет!$G$2:$G$3001,Расчет!$I$2:$I$3001,$K1398,Расчет!$H$2:$H$3001,2))</f>
        <v/>
      </c>
      <c r="J1398">
        <f>IF($L1398="","",SUMIFS(Расчет!$G$2:$G$3001,Расчет!$I$2:$I$3001,$K1398,Расчет!$H$2:$H$3001,3))</f>
        <v/>
      </c>
      <c r="K1398">
        <f>IF($L1398="","",INDEX(Расчет!$I$2:$I$3001,$L1398))</f>
        <v/>
      </c>
      <c r="L1398">
        <f>IFERROR(MATCH(ROW()-1,Расчет!$J$2:$J$3001,0),"")</f>
        <v/>
      </c>
    </row>
    <row r="1399">
      <c r="A1399">
        <f>IF($L1399="","",B1399&amp;"."&amp;C1399&amp;"-"&amp;D1399&amp;"-"&amp;H1399&amp;"."&amp;I1399&amp;"."&amp;J1399)</f>
        <v/>
      </c>
      <c r="B1399">
        <f>IF($L1399="","",INDEX(Расчет!$A$2:$A$3001,$L1399))</f>
        <v/>
      </c>
      <c r="C1399">
        <f>IF($L1399="","",INDEX(Расчет!$B$2:$B$3001,$L1399))</f>
        <v/>
      </c>
      <c r="D1399">
        <f>IF($L1399="","",IF(ISNUMBER(FIND("(",INDEX(Расчет!$C$2:$C$3001,$L1399))),SUBSTITUTE(MID(INDEX(Расчет!$C$2:$C$3001,$L1399),FIND("(",INDEX(Расчет!$C$2:$C$3001,$L1399))+1,99),")",""),INDEX(Расчет!$C$2:$C$3001,$L1399)))</f>
        <v/>
      </c>
      <c r="E1399">
        <f>IF($L1399="","",INDEX(Расчет!$D$2:$D$3001,$L1399))</f>
        <v/>
      </c>
      <c r="F1399">
        <f>IF($L1399="","",INDEX(Расчет!$E$2:$E$3001,$L1399))</f>
        <v/>
      </c>
      <c r="G1399">
        <f>IF($L1399="","",IFERROR(--LEFT(INDEX(Расчет!$C$2:$C$3001,$L1399),FIND("(",INDEX(Расчет!$C$2:$C$3001,$L1399))-1),IFERROR(--LEFT(INDEX(Расчет!$C$2:$C$3001,$L1399),1),"")))</f>
        <v/>
      </c>
      <c r="H1399">
        <f>IF($L1399="","",SUMIFS(Расчет!$G$2:$G$3001,Расчет!$I$2:$I$3001,$K1399,Расчет!$H$2:$H$3001,1))</f>
        <v/>
      </c>
      <c r="I1399">
        <f>IF($L1399="","",SUMIFS(Расчет!$G$2:$G$3001,Расчет!$I$2:$I$3001,$K1399,Расчет!$H$2:$H$3001,2))</f>
        <v/>
      </c>
      <c r="J1399">
        <f>IF($L1399="","",SUMIFS(Расчет!$G$2:$G$3001,Расчет!$I$2:$I$3001,$K1399,Расчет!$H$2:$H$3001,3))</f>
        <v/>
      </c>
      <c r="K1399">
        <f>IF($L1399="","",INDEX(Расчет!$I$2:$I$3001,$L1399))</f>
        <v/>
      </c>
      <c r="L1399">
        <f>IFERROR(MATCH(ROW()-1,Расчет!$J$2:$J$3001,0),"")</f>
        <v/>
      </c>
    </row>
    <row r="1400">
      <c r="A1400">
        <f>IF($L1400="","",B1400&amp;"."&amp;C1400&amp;"-"&amp;D1400&amp;"-"&amp;H1400&amp;"."&amp;I1400&amp;"."&amp;J1400)</f>
        <v/>
      </c>
      <c r="B1400">
        <f>IF($L1400="","",INDEX(Расчет!$A$2:$A$3001,$L1400))</f>
        <v/>
      </c>
      <c r="C1400">
        <f>IF($L1400="","",INDEX(Расчет!$B$2:$B$3001,$L1400))</f>
        <v/>
      </c>
      <c r="D1400">
        <f>IF($L1400="","",IF(ISNUMBER(FIND("(",INDEX(Расчет!$C$2:$C$3001,$L1400))),SUBSTITUTE(MID(INDEX(Расчет!$C$2:$C$3001,$L1400),FIND("(",INDEX(Расчет!$C$2:$C$3001,$L1400))+1,99),")",""),INDEX(Расчет!$C$2:$C$3001,$L1400)))</f>
        <v/>
      </c>
      <c r="E1400">
        <f>IF($L1400="","",INDEX(Расчет!$D$2:$D$3001,$L1400))</f>
        <v/>
      </c>
      <c r="F1400">
        <f>IF($L1400="","",INDEX(Расчет!$E$2:$E$3001,$L1400))</f>
        <v/>
      </c>
      <c r="G1400">
        <f>IF($L1400="","",IFERROR(--LEFT(INDEX(Расчет!$C$2:$C$3001,$L1400),FIND("(",INDEX(Расчет!$C$2:$C$3001,$L1400))-1),IFERROR(--LEFT(INDEX(Расчет!$C$2:$C$3001,$L1400),1),"")))</f>
        <v/>
      </c>
      <c r="H1400">
        <f>IF($L1400="","",SUMIFS(Расчет!$G$2:$G$3001,Расчет!$I$2:$I$3001,$K1400,Расчет!$H$2:$H$3001,1))</f>
        <v/>
      </c>
      <c r="I1400">
        <f>IF($L1400="","",SUMIFS(Расчет!$G$2:$G$3001,Расчет!$I$2:$I$3001,$K1400,Расчет!$H$2:$H$3001,2))</f>
        <v/>
      </c>
      <c r="J1400">
        <f>IF($L1400="","",SUMIFS(Расчет!$G$2:$G$3001,Расчет!$I$2:$I$3001,$K1400,Расчет!$H$2:$H$3001,3))</f>
        <v/>
      </c>
      <c r="K1400">
        <f>IF($L1400="","",INDEX(Расчет!$I$2:$I$3001,$L1400))</f>
        <v/>
      </c>
      <c r="L1400">
        <f>IFERROR(MATCH(ROW()-1,Расчет!$J$2:$J$3001,0),"")</f>
        <v/>
      </c>
    </row>
    <row r="1401">
      <c r="A1401">
        <f>IF($L1401="","",B1401&amp;"."&amp;C1401&amp;"-"&amp;D1401&amp;"-"&amp;H1401&amp;"."&amp;I1401&amp;"."&amp;J1401)</f>
        <v/>
      </c>
      <c r="B1401">
        <f>IF($L1401="","",INDEX(Расчет!$A$2:$A$3001,$L1401))</f>
        <v/>
      </c>
      <c r="C1401">
        <f>IF($L1401="","",INDEX(Расчет!$B$2:$B$3001,$L1401))</f>
        <v/>
      </c>
      <c r="D1401">
        <f>IF($L1401="","",IF(ISNUMBER(FIND("(",INDEX(Расчет!$C$2:$C$3001,$L1401))),SUBSTITUTE(MID(INDEX(Расчет!$C$2:$C$3001,$L1401),FIND("(",INDEX(Расчет!$C$2:$C$3001,$L1401))+1,99),")",""),INDEX(Расчет!$C$2:$C$3001,$L1401)))</f>
        <v/>
      </c>
      <c r="E1401">
        <f>IF($L1401="","",INDEX(Расчет!$D$2:$D$3001,$L1401))</f>
        <v/>
      </c>
      <c r="F1401">
        <f>IF($L1401="","",INDEX(Расчет!$E$2:$E$3001,$L1401))</f>
        <v/>
      </c>
      <c r="G1401">
        <f>IF($L1401="","",IFERROR(--LEFT(INDEX(Расчет!$C$2:$C$3001,$L1401),FIND("(",INDEX(Расчет!$C$2:$C$3001,$L1401))-1),IFERROR(--LEFT(INDEX(Расчет!$C$2:$C$3001,$L1401),1),"")))</f>
        <v/>
      </c>
      <c r="H1401">
        <f>IF($L1401="","",SUMIFS(Расчет!$G$2:$G$3001,Расчет!$I$2:$I$3001,$K1401,Расчет!$H$2:$H$3001,1))</f>
        <v/>
      </c>
      <c r="I1401">
        <f>IF($L1401="","",SUMIFS(Расчет!$G$2:$G$3001,Расчет!$I$2:$I$3001,$K1401,Расчет!$H$2:$H$3001,2))</f>
        <v/>
      </c>
      <c r="J1401">
        <f>IF($L1401="","",SUMIFS(Расчет!$G$2:$G$3001,Расчет!$I$2:$I$3001,$K1401,Расчет!$H$2:$H$3001,3))</f>
        <v/>
      </c>
      <c r="K1401">
        <f>IF($L1401="","",INDEX(Расчет!$I$2:$I$3001,$L1401))</f>
        <v/>
      </c>
      <c r="L1401">
        <f>IFERROR(MATCH(ROW()-1,Расчет!$J$2:$J$3001,0),"")</f>
        <v/>
      </c>
    </row>
    <row r="1402">
      <c r="A1402">
        <f>IF($L1402="","",B1402&amp;"."&amp;C1402&amp;"-"&amp;D1402&amp;"-"&amp;H1402&amp;"."&amp;I1402&amp;"."&amp;J1402)</f>
        <v/>
      </c>
      <c r="B1402">
        <f>IF($L1402="","",INDEX(Расчет!$A$2:$A$3001,$L1402))</f>
        <v/>
      </c>
      <c r="C1402">
        <f>IF($L1402="","",INDEX(Расчет!$B$2:$B$3001,$L1402))</f>
        <v/>
      </c>
      <c r="D1402">
        <f>IF($L1402="","",IF(ISNUMBER(FIND("(",INDEX(Расчет!$C$2:$C$3001,$L1402))),SUBSTITUTE(MID(INDEX(Расчет!$C$2:$C$3001,$L1402),FIND("(",INDEX(Расчет!$C$2:$C$3001,$L1402))+1,99),")",""),INDEX(Расчет!$C$2:$C$3001,$L1402)))</f>
        <v/>
      </c>
      <c r="E1402">
        <f>IF($L1402="","",INDEX(Расчет!$D$2:$D$3001,$L1402))</f>
        <v/>
      </c>
      <c r="F1402">
        <f>IF($L1402="","",INDEX(Расчет!$E$2:$E$3001,$L1402))</f>
        <v/>
      </c>
      <c r="G1402">
        <f>IF($L1402="","",IFERROR(--LEFT(INDEX(Расчет!$C$2:$C$3001,$L1402),FIND("(",INDEX(Расчет!$C$2:$C$3001,$L1402))-1),IFERROR(--LEFT(INDEX(Расчет!$C$2:$C$3001,$L1402),1),"")))</f>
        <v/>
      </c>
      <c r="H1402">
        <f>IF($L1402="","",SUMIFS(Расчет!$G$2:$G$3001,Расчет!$I$2:$I$3001,$K1402,Расчет!$H$2:$H$3001,1))</f>
        <v/>
      </c>
      <c r="I1402">
        <f>IF($L1402="","",SUMIFS(Расчет!$G$2:$G$3001,Расчет!$I$2:$I$3001,$K1402,Расчет!$H$2:$H$3001,2))</f>
        <v/>
      </c>
      <c r="J1402">
        <f>IF($L1402="","",SUMIFS(Расчет!$G$2:$G$3001,Расчет!$I$2:$I$3001,$K1402,Расчет!$H$2:$H$3001,3))</f>
        <v/>
      </c>
      <c r="K1402">
        <f>IF($L1402="","",INDEX(Расчет!$I$2:$I$3001,$L1402))</f>
        <v/>
      </c>
      <c r="L1402">
        <f>IFERROR(MATCH(ROW()-1,Расчет!$J$2:$J$3001,0),"")</f>
        <v/>
      </c>
    </row>
    <row r="1403">
      <c r="A1403">
        <f>IF($L1403="","",B1403&amp;"."&amp;C1403&amp;"-"&amp;D1403&amp;"-"&amp;H1403&amp;"."&amp;I1403&amp;"."&amp;J1403)</f>
        <v/>
      </c>
      <c r="B1403">
        <f>IF($L1403="","",INDEX(Расчет!$A$2:$A$3001,$L1403))</f>
        <v/>
      </c>
      <c r="C1403">
        <f>IF($L1403="","",INDEX(Расчет!$B$2:$B$3001,$L1403))</f>
        <v/>
      </c>
      <c r="D1403">
        <f>IF($L1403="","",IF(ISNUMBER(FIND("(",INDEX(Расчет!$C$2:$C$3001,$L1403))),SUBSTITUTE(MID(INDEX(Расчет!$C$2:$C$3001,$L1403),FIND("(",INDEX(Расчет!$C$2:$C$3001,$L1403))+1,99),")",""),INDEX(Расчет!$C$2:$C$3001,$L1403)))</f>
        <v/>
      </c>
      <c r="E1403">
        <f>IF($L1403="","",INDEX(Расчет!$D$2:$D$3001,$L1403))</f>
        <v/>
      </c>
      <c r="F1403">
        <f>IF($L1403="","",INDEX(Расчет!$E$2:$E$3001,$L1403))</f>
        <v/>
      </c>
      <c r="G1403">
        <f>IF($L1403="","",IFERROR(--LEFT(INDEX(Расчет!$C$2:$C$3001,$L1403),FIND("(",INDEX(Расчет!$C$2:$C$3001,$L1403))-1),IFERROR(--LEFT(INDEX(Расчет!$C$2:$C$3001,$L1403),1),"")))</f>
        <v/>
      </c>
      <c r="H1403">
        <f>IF($L1403="","",SUMIFS(Расчет!$G$2:$G$3001,Расчет!$I$2:$I$3001,$K1403,Расчет!$H$2:$H$3001,1))</f>
        <v/>
      </c>
      <c r="I1403">
        <f>IF($L1403="","",SUMIFS(Расчет!$G$2:$G$3001,Расчет!$I$2:$I$3001,$K1403,Расчет!$H$2:$H$3001,2))</f>
        <v/>
      </c>
      <c r="J1403">
        <f>IF($L1403="","",SUMIFS(Расчет!$G$2:$G$3001,Расчет!$I$2:$I$3001,$K1403,Расчет!$H$2:$H$3001,3))</f>
        <v/>
      </c>
      <c r="K1403">
        <f>IF($L1403="","",INDEX(Расчет!$I$2:$I$3001,$L1403))</f>
        <v/>
      </c>
      <c r="L1403">
        <f>IFERROR(MATCH(ROW()-1,Расчет!$J$2:$J$3001,0),"")</f>
        <v/>
      </c>
    </row>
    <row r="1404">
      <c r="A1404">
        <f>IF($L1404="","",B1404&amp;"."&amp;C1404&amp;"-"&amp;D1404&amp;"-"&amp;H1404&amp;"."&amp;I1404&amp;"."&amp;J1404)</f>
        <v/>
      </c>
      <c r="B1404">
        <f>IF($L1404="","",INDEX(Расчет!$A$2:$A$3001,$L1404))</f>
        <v/>
      </c>
      <c r="C1404">
        <f>IF($L1404="","",INDEX(Расчет!$B$2:$B$3001,$L1404))</f>
        <v/>
      </c>
      <c r="D1404">
        <f>IF($L1404="","",IF(ISNUMBER(FIND("(",INDEX(Расчет!$C$2:$C$3001,$L1404))),SUBSTITUTE(MID(INDEX(Расчет!$C$2:$C$3001,$L1404),FIND("(",INDEX(Расчет!$C$2:$C$3001,$L1404))+1,99),")",""),INDEX(Расчет!$C$2:$C$3001,$L1404)))</f>
        <v/>
      </c>
      <c r="E1404">
        <f>IF($L1404="","",INDEX(Расчет!$D$2:$D$3001,$L1404))</f>
        <v/>
      </c>
      <c r="F1404">
        <f>IF($L1404="","",INDEX(Расчет!$E$2:$E$3001,$L1404))</f>
        <v/>
      </c>
      <c r="G1404">
        <f>IF($L1404="","",IFERROR(--LEFT(INDEX(Расчет!$C$2:$C$3001,$L1404),FIND("(",INDEX(Расчет!$C$2:$C$3001,$L1404))-1),IFERROR(--LEFT(INDEX(Расчет!$C$2:$C$3001,$L1404),1),"")))</f>
        <v/>
      </c>
      <c r="H1404">
        <f>IF($L1404="","",SUMIFS(Расчет!$G$2:$G$3001,Расчет!$I$2:$I$3001,$K1404,Расчет!$H$2:$H$3001,1))</f>
        <v/>
      </c>
      <c r="I1404">
        <f>IF($L1404="","",SUMIFS(Расчет!$G$2:$G$3001,Расчет!$I$2:$I$3001,$K1404,Расчет!$H$2:$H$3001,2))</f>
        <v/>
      </c>
      <c r="J1404">
        <f>IF($L1404="","",SUMIFS(Расчет!$G$2:$G$3001,Расчет!$I$2:$I$3001,$K1404,Расчет!$H$2:$H$3001,3))</f>
        <v/>
      </c>
      <c r="K1404">
        <f>IF($L1404="","",INDEX(Расчет!$I$2:$I$3001,$L1404))</f>
        <v/>
      </c>
      <c r="L1404">
        <f>IFERROR(MATCH(ROW()-1,Расчет!$J$2:$J$3001,0),"")</f>
        <v/>
      </c>
    </row>
    <row r="1405">
      <c r="A1405">
        <f>IF($L1405="","",B1405&amp;"."&amp;C1405&amp;"-"&amp;D1405&amp;"-"&amp;H1405&amp;"."&amp;I1405&amp;"."&amp;J1405)</f>
        <v/>
      </c>
      <c r="B1405">
        <f>IF($L1405="","",INDEX(Расчет!$A$2:$A$3001,$L1405))</f>
        <v/>
      </c>
      <c r="C1405">
        <f>IF($L1405="","",INDEX(Расчет!$B$2:$B$3001,$L1405))</f>
        <v/>
      </c>
      <c r="D1405">
        <f>IF($L1405="","",IF(ISNUMBER(FIND("(",INDEX(Расчет!$C$2:$C$3001,$L1405))),SUBSTITUTE(MID(INDEX(Расчет!$C$2:$C$3001,$L1405),FIND("(",INDEX(Расчет!$C$2:$C$3001,$L1405))+1,99),")",""),INDEX(Расчет!$C$2:$C$3001,$L1405)))</f>
        <v/>
      </c>
      <c r="E1405">
        <f>IF($L1405="","",INDEX(Расчет!$D$2:$D$3001,$L1405))</f>
        <v/>
      </c>
      <c r="F1405">
        <f>IF($L1405="","",INDEX(Расчет!$E$2:$E$3001,$L1405))</f>
        <v/>
      </c>
      <c r="G1405">
        <f>IF($L1405="","",IFERROR(--LEFT(INDEX(Расчет!$C$2:$C$3001,$L1405),FIND("(",INDEX(Расчет!$C$2:$C$3001,$L1405))-1),IFERROR(--LEFT(INDEX(Расчет!$C$2:$C$3001,$L1405),1),"")))</f>
        <v/>
      </c>
      <c r="H1405">
        <f>IF($L1405="","",SUMIFS(Расчет!$G$2:$G$3001,Расчет!$I$2:$I$3001,$K1405,Расчет!$H$2:$H$3001,1))</f>
        <v/>
      </c>
      <c r="I1405">
        <f>IF($L1405="","",SUMIFS(Расчет!$G$2:$G$3001,Расчет!$I$2:$I$3001,$K1405,Расчет!$H$2:$H$3001,2))</f>
        <v/>
      </c>
      <c r="J1405">
        <f>IF($L1405="","",SUMIFS(Расчет!$G$2:$G$3001,Расчет!$I$2:$I$3001,$K1405,Расчет!$H$2:$H$3001,3))</f>
        <v/>
      </c>
      <c r="K1405">
        <f>IF($L1405="","",INDEX(Расчет!$I$2:$I$3001,$L1405))</f>
        <v/>
      </c>
      <c r="L1405">
        <f>IFERROR(MATCH(ROW()-1,Расчет!$J$2:$J$3001,0),"")</f>
        <v/>
      </c>
    </row>
    <row r="1406">
      <c r="A1406">
        <f>IF($L1406="","",B1406&amp;"."&amp;C1406&amp;"-"&amp;D1406&amp;"-"&amp;H1406&amp;"."&amp;I1406&amp;"."&amp;J1406)</f>
        <v/>
      </c>
      <c r="B1406">
        <f>IF($L1406="","",INDEX(Расчет!$A$2:$A$3001,$L1406))</f>
        <v/>
      </c>
      <c r="C1406">
        <f>IF($L1406="","",INDEX(Расчет!$B$2:$B$3001,$L1406))</f>
        <v/>
      </c>
      <c r="D1406">
        <f>IF($L1406="","",IF(ISNUMBER(FIND("(",INDEX(Расчет!$C$2:$C$3001,$L1406))),SUBSTITUTE(MID(INDEX(Расчет!$C$2:$C$3001,$L1406),FIND("(",INDEX(Расчет!$C$2:$C$3001,$L1406))+1,99),")",""),INDEX(Расчет!$C$2:$C$3001,$L1406)))</f>
        <v/>
      </c>
      <c r="E1406">
        <f>IF($L1406="","",INDEX(Расчет!$D$2:$D$3001,$L1406))</f>
        <v/>
      </c>
      <c r="F1406">
        <f>IF($L1406="","",INDEX(Расчет!$E$2:$E$3001,$L1406))</f>
        <v/>
      </c>
      <c r="G1406">
        <f>IF($L1406="","",IFERROR(--LEFT(INDEX(Расчет!$C$2:$C$3001,$L1406),FIND("(",INDEX(Расчет!$C$2:$C$3001,$L1406))-1),IFERROR(--LEFT(INDEX(Расчет!$C$2:$C$3001,$L1406),1),"")))</f>
        <v/>
      </c>
      <c r="H1406">
        <f>IF($L1406="","",SUMIFS(Расчет!$G$2:$G$3001,Расчет!$I$2:$I$3001,$K1406,Расчет!$H$2:$H$3001,1))</f>
        <v/>
      </c>
      <c r="I1406">
        <f>IF($L1406="","",SUMIFS(Расчет!$G$2:$G$3001,Расчет!$I$2:$I$3001,$K1406,Расчет!$H$2:$H$3001,2))</f>
        <v/>
      </c>
      <c r="J1406">
        <f>IF($L1406="","",SUMIFS(Расчет!$G$2:$G$3001,Расчет!$I$2:$I$3001,$K1406,Расчет!$H$2:$H$3001,3))</f>
        <v/>
      </c>
      <c r="K1406">
        <f>IF($L1406="","",INDEX(Расчет!$I$2:$I$3001,$L1406))</f>
        <v/>
      </c>
      <c r="L1406">
        <f>IFERROR(MATCH(ROW()-1,Расчет!$J$2:$J$3001,0),"")</f>
        <v/>
      </c>
    </row>
    <row r="1407">
      <c r="A1407">
        <f>IF($L1407="","",B1407&amp;"."&amp;C1407&amp;"-"&amp;D1407&amp;"-"&amp;H1407&amp;"."&amp;I1407&amp;"."&amp;J1407)</f>
        <v/>
      </c>
      <c r="B1407">
        <f>IF($L1407="","",INDEX(Расчет!$A$2:$A$3001,$L1407))</f>
        <v/>
      </c>
      <c r="C1407">
        <f>IF($L1407="","",INDEX(Расчет!$B$2:$B$3001,$L1407))</f>
        <v/>
      </c>
      <c r="D1407">
        <f>IF($L1407="","",IF(ISNUMBER(FIND("(",INDEX(Расчет!$C$2:$C$3001,$L1407))),SUBSTITUTE(MID(INDEX(Расчет!$C$2:$C$3001,$L1407),FIND("(",INDEX(Расчет!$C$2:$C$3001,$L1407))+1,99),")",""),INDEX(Расчет!$C$2:$C$3001,$L1407)))</f>
        <v/>
      </c>
      <c r="E1407">
        <f>IF($L1407="","",INDEX(Расчет!$D$2:$D$3001,$L1407))</f>
        <v/>
      </c>
      <c r="F1407">
        <f>IF($L1407="","",INDEX(Расчет!$E$2:$E$3001,$L1407))</f>
        <v/>
      </c>
      <c r="G1407">
        <f>IF($L1407="","",IFERROR(--LEFT(INDEX(Расчет!$C$2:$C$3001,$L1407),FIND("(",INDEX(Расчет!$C$2:$C$3001,$L1407))-1),IFERROR(--LEFT(INDEX(Расчет!$C$2:$C$3001,$L1407),1),"")))</f>
        <v/>
      </c>
      <c r="H1407">
        <f>IF($L1407="","",SUMIFS(Расчет!$G$2:$G$3001,Расчет!$I$2:$I$3001,$K1407,Расчет!$H$2:$H$3001,1))</f>
        <v/>
      </c>
      <c r="I1407">
        <f>IF($L1407="","",SUMIFS(Расчет!$G$2:$G$3001,Расчет!$I$2:$I$3001,$K1407,Расчет!$H$2:$H$3001,2))</f>
        <v/>
      </c>
      <c r="J1407">
        <f>IF($L1407="","",SUMIFS(Расчет!$G$2:$G$3001,Расчет!$I$2:$I$3001,$K1407,Расчет!$H$2:$H$3001,3))</f>
        <v/>
      </c>
      <c r="K1407">
        <f>IF($L1407="","",INDEX(Расчет!$I$2:$I$3001,$L1407))</f>
        <v/>
      </c>
      <c r="L1407">
        <f>IFERROR(MATCH(ROW()-1,Расчет!$J$2:$J$3001,0),"")</f>
        <v/>
      </c>
    </row>
    <row r="1408">
      <c r="A1408">
        <f>IF($L1408="","",B1408&amp;"."&amp;C1408&amp;"-"&amp;D1408&amp;"-"&amp;H1408&amp;"."&amp;I1408&amp;"."&amp;J1408)</f>
        <v/>
      </c>
      <c r="B1408">
        <f>IF($L1408="","",INDEX(Расчет!$A$2:$A$3001,$L1408))</f>
        <v/>
      </c>
      <c r="C1408">
        <f>IF($L1408="","",INDEX(Расчет!$B$2:$B$3001,$L1408))</f>
        <v/>
      </c>
      <c r="D1408">
        <f>IF($L1408="","",IF(ISNUMBER(FIND("(",INDEX(Расчет!$C$2:$C$3001,$L1408))),SUBSTITUTE(MID(INDEX(Расчет!$C$2:$C$3001,$L1408),FIND("(",INDEX(Расчет!$C$2:$C$3001,$L1408))+1,99),")",""),INDEX(Расчет!$C$2:$C$3001,$L1408)))</f>
        <v/>
      </c>
      <c r="E1408">
        <f>IF($L1408="","",INDEX(Расчет!$D$2:$D$3001,$L1408))</f>
        <v/>
      </c>
      <c r="F1408">
        <f>IF($L1408="","",INDEX(Расчет!$E$2:$E$3001,$L1408))</f>
        <v/>
      </c>
      <c r="G1408">
        <f>IF($L1408="","",IFERROR(--LEFT(INDEX(Расчет!$C$2:$C$3001,$L1408),FIND("(",INDEX(Расчет!$C$2:$C$3001,$L1408))-1),IFERROR(--LEFT(INDEX(Расчет!$C$2:$C$3001,$L1408),1),"")))</f>
        <v/>
      </c>
      <c r="H1408">
        <f>IF($L1408="","",SUMIFS(Расчет!$G$2:$G$3001,Расчет!$I$2:$I$3001,$K1408,Расчет!$H$2:$H$3001,1))</f>
        <v/>
      </c>
      <c r="I1408">
        <f>IF($L1408="","",SUMIFS(Расчет!$G$2:$G$3001,Расчет!$I$2:$I$3001,$K1408,Расчет!$H$2:$H$3001,2))</f>
        <v/>
      </c>
      <c r="J1408">
        <f>IF($L1408="","",SUMIFS(Расчет!$G$2:$G$3001,Расчет!$I$2:$I$3001,$K1408,Расчет!$H$2:$H$3001,3))</f>
        <v/>
      </c>
      <c r="K1408">
        <f>IF($L1408="","",INDEX(Расчет!$I$2:$I$3001,$L1408))</f>
        <v/>
      </c>
      <c r="L1408">
        <f>IFERROR(MATCH(ROW()-1,Расчет!$J$2:$J$3001,0),"")</f>
        <v/>
      </c>
    </row>
    <row r="1409">
      <c r="A1409">
        <f>IF($L1409="","",B1409&amp;"."&amp;C1409&amp;"-"&amp;D1409&amp;"-"&amp;H1409&amp;"."&amp;I1409&amp;"."&amp;J1409)</f>
        <v/>
      </c>
      <c r="B1409">
        <f>IF($L1409="","",INDEX(Расчет!$A$2:$A$3001,$L1409))</f>
        <v/>
      </c>
      <c r="C1409">
        <f>IF($L1409="","",INDEX(Расчет!$B$2:$B$3001,$L1409))</f>
        <v/>
      </c>
      <c r="D1409">
        <f>IF($L1409="","",IF(ISNUMBER(FIND("(",INDEX(Расчет!$C$2:$C$3001,$L1409))),SUBSTITUTE(MID(INDEX(Расчет!$C$2:$C$3001,$L1409),FIND("(",INDEX(Расчет!$C$2:$C$3001,$L1409))+1,99),")",""),INDEX(Расчет!$C$2:$C$3001,$L1409)))</f>
        <v/>
      </c>
      <c r="E1409">
        <f>IF($L1409="","",INDEX(Расчет!$D$2:$D$3001,$L1409))</f>
        <v/>
      </c>
      <c r="F1409">
        <f>IF($L1409="","",INDEX(Расчет!$E$2:$E$3001,$L1409))</f>
        <v/>
      </c>
      <c r="G1409">
        <f>IF($L1409="","",IFERROR(--LEFT(INDEX(Расчет!$C$2:$C$3001,$L1409),FIND("(",INDEX(Расчет!$C$2:$C$3001,$L1409))-1),IFERROR(--LEFT(INDEX(Расчет!$C$2:$C$3001,$L1409),1),"")))</f>
        <v/>
      </c>
      <c r="H1409">
        <f>IF($L1409="","",SUMIFS(Расчет!$G$2:$G$3001,Расчет!$I$2:$I$3001,$K1409,Расчет!$H$2:$H$3001,1))</f>
        <v/>
      </c>
      <c r="I1409">
        <f>IF($L1409="","",SUMIFS(Расчет!$G$2:$G$3001,Расчет!$I$2:$I$3001,$K1409,Расчет!$H$2:$H$3001,2))</f>
        <v/>
      </c>
      <c r="J1409">
        <f>IF($L1409="","",SUMIFS(Расчет!$G$2:$G$3001,Расчет!$I$2:$I$3001,$K1409,Расчет!$H$2:$H$3001,3))</f>
        <v/>
      </c>
      <c r="K1409">
        <f>IF($L1409="","",INDEX(Расчет!$I$2:$I$3001,$L1409))</f>
        <v/>
      </c>
      <c r="L1409">
        <f>IFERROR(MATCH(ROW()-1,Расчет!$J$2:$J$3001,0),"")</f>
        <v/>
      </c>
    </row>
    <row r="1410">
      <c r="A1410">
        <f>IF($L1410="","",B1410&amp;"."&amp;C1410&amp;"-"&amp;D1410&amp;"-"&amp;H1410&amp;"."&amp;I1410&amp;"."&amp;J1410)</f>
        <v/>
      </c>
      <c r="B1410">
        <f>IF($L1410="","",INDEX(Расчет!$A$2:$A$3001,$L1410))</f>
        <v/>
      </c>
      <c r="C1410">
        <f>IF($L1410="","",INDEX(Расчет!$B$2:$B$3001,$L1410))</f>
        <v/>
      </c>
      <c r="D1410">
        <f>IF($L1410="","",IF(ISNUMBER(FIND("(",INDEX(Расчет!$C$2:$C$3001,$L1410))),SUBSTITUTE(MID(INDEX(Расчет!$C$2:$C$3001,$L1410),FIND("(",INDEX(Расчет!$C$2:$C$3001,$L1410))+1,99),")",""),INDEX(Расчет!$C$2:$C$3001,$L1410)))</f>
        <v/>
      </c>
      <c r="E1410">
        <f>IF($L1410="","",INDEX(Расчет!$D$2:$D$3001,$L1410))</f>
        <v/>
      </c>
      <c r="F1410">
        <f>IF($L1410="","",INDEX(Расчет!$E$2:$E$3001,$L1410))</f>
        <v/>
      </c>
      <c r="G1410">
        <f>IF($L1410="","",IFERROR(--LEFT(INDEX(Расчет!$C$2:$C$3001,$L1410),FIND("(",INDEX(Расчет!$C$2:$C$3001,$L1410))-1),IFERROR(--LEFT(INDEX(Расчет!$C$2:$C$3001,$L1410),1),"")))</f>
        <v/>
      </c>
      <c r="H1410">
        <f>IF($L1410="","",SUMIFS(Расчет!$G$2:$G$3001,Расчет!$I$2:$I$3001,$K1410,Расчет!$H$2:$H$3001,1))</f>
        <v/>
      </c>
      <c r="I1410">
        <f>IF($L1410="","",SUMIFS(Расчет!$G$2:$G$3001,Расчет!$I$2:$I$3001,$K1410,Расчет!$H$2:$H$3001,2))</f>
        <v/>
      </c>
      <c r="J1410">
        <f>IF($L1410="","",SUMIFS(Расчет!$G$2:$G$3001,Расчет!$I$2:$I$3001,$K1410,Расчет!$H$2:$H$3001,3))</f>
        <v/>
      </c>
      <c r="K1410">
        <f>IF($L1410="","",INDEX(Расчет!$I$2:$I$3001,$L1410))</f>
        <v/>
      </c>
      <c r="L1410">
        <f>IFERROR(MATCH(ROW()-1,Расчет!$J$2:$J$3001,0),"")</f>
        <v/>
      </c>
    </row>
    <row r="1411">
      <c r="A1411">
        <f>IF($L1411="","",B1411&amp;"."&amp;C1411&amp;"-"&amp;D1411&amp;"-"&amp;H1411&amp;"."&amp;I1411&amp;"."&amp;J1411)</f>
        <v/>
      </c>
      <c r="B1411">
        <f>IF($L1411="","",INDEX(Расчет!$A$2:$A$3001,$L1411))</f>
        <v/>
      </c>
      <c r="C1411">
        <f>IF($L1411="","",INDEX(Расчет!$B$2:$B$3001,$L1411))</f>
        <v/>
      </c>
      <c r="D1411">
        <f>IF($L1411="","",IF(ISNUMBER(FIND("(",INDEX(Расчет!$C$2:$C$3001,$L1411))),SUBSTITUTE(MID(INDEX(Расчет!$C$2:$C$3001,$L1411),FIND("(",INDEX(Расчет!$C$2:$C$3001,$L1411))+1,99),")",""),INDEX(Расчет!$C$2:$C$3001,$L1411)))</f>
        <v/>
      </c>
      <c r="E1411">
        <f>IF($L1411="","",INDEX(Расчет!$D$2:$D$3001,$L1411))</f>
        <v/>
      </c>
      <c r="F1411">
        <f>IF($L1411="","",INDEX(Расчет!$E$2:$E$3001,$L1411))</f>
        <v/>
      </c>
      <c r="G1411">
        <f>IF($L1411="","",IFERROR(--LEFT(INDEX(Расчет!$C$2:$C$3001,$L1411),FIND("(",INDEX(Расчет!$C$2:$C$3001,$L1411))-1),IFERROR(--LEFT(INDEX(Расчет!$C$2:$C$3001,$L1411),1),"")))</f>
        <v/>
      </c>
      <c r="H1411">
        <f>IF($L1411="","",SUMIFS(Расчет!$G$2:$G$3001,Расчет!$I$2:$I$3001,$K1411,Расчет!$H$2:$H$3001,1))</f>
        <v/>
      </c>
      <c r="I1411">
        <f>IF($L1411="","",SUMIFS(Расчет!$G$2:$G$3001,Расчет!$I$2:$I$3001,$K1411,Расчет!$H$2:$H$3001,2))</f>
        <v/>
      </c>
      <c r="J1411">
        <f>IF($L1411="","",SUMIFS(Расчет!$G$2:$G$3001,Расчет!$I$2:$I$3001,$K1411,Расчет!$H$2:$H$3001,3))</f>
        <v/>
      </c>
      <c r="K1411">
        <f>IF($L1411="","",INDEX(Расчет!$I$2:$I$3001,$L1411))</f>
        <v/>
      </c>
      <c r="L1411">
        <f>IFERROR(MATCH(ROW()-1,Расчет!$J$2:$J$3001,0),"")</f>
        <v/>
      </c>
    </row>
    <row r="1412">
      <c r="A1412">
        <f>IF($L1412="","",B1412&amp;"."&amp;C1412&amp;"-"&amp;D1412&amp;"-"&amp;H1412&amp;"."&amp;I1412&amp;"."&amp;J1412)</f>
        <v/>
      </c>
      <c r="B1412">
        <f>IF($L1412="","",INDEX(Расчет!$A$2:$A$3001,$L1412))</f>
        <v/>
      </c>
      <c r="C1412">
        <f>IF($L1412="","",INDEX(Расчет!$B$2:$B$3001,$L1412))</f>
        <v/>
      </c>
      <c r="D1412">
        <f>IF($L1412="","",IF(ISNUMBER(FIND("(",INDEX(Расчет!$C$2:$C$3001,$L1412))),SUBSTITUTE(MID(INDEX(Расчет!$C$2:$C$3001,$L1412),FIND("(",INDEX(Расчет!$C$2:$C$3001,$L1412))+1,99),")",""),INDEX(Расчет!$C$2:$C$3001,$L1412)))</f>
        <v/>
      </c>
      <c r="E1412">
        <f>IF($L1412="","",INDEX(Расчет!$D$2:$D$3001,$L1412))</f>
        <v/>
      </c>
      <c r="F1412">
        <f>IF($L1412="","",INDEX(Расчет!$E$2:$E$3001,$L1412))</f>
        <v/>
      </c>
      <c r="G1412">
        <f>IF($L1412="","",IFERROR(--LEFT(INDEX(Расчет!$C$2:$C$3001,$L1412),FIND("(",INDEX(Расчет!$C$2:$C$3001,$L1412))-1),IFERROR(--LEFT(INDEX(Расчет!$C$2:$C$3001,$L1412),1),"")))</f>
        <v/>
      </c>
      <c r="H1412">
        <f>IF($L1412="","",SUMIFS(Расчет!$G$2:$G$3001,Расчет!$I$2:$I$3001,$K1412,Расчет!$H$2:$H$3001,1))</f>
        <v/>
      </c>
      <c r="I1412">
        <f>IF($L1412="","",SUMIFS(Расчет!$G$2:$G$3001,Расчет!$I$2:$I$3001,$K1412,Расчет!$H$2:$H$3001,2))</f>
        <v/>
      </c>
      <c r="J1412">
        <f>IF($L1412="","",SUMIFS(Расчет!$G$2:$G$3001,Расчет!$I$2:$I$3001,$K1412,Расчет!$H$2:$H$3001,3))</f>
        <v/>
      </c>
      <c r="K1412">
        <f>IF($L1412="","",INDEX(Расчет!$I$2:$I$3001,$L1412))</f>
        <v/>
      </c>
      <c r="L1412">
        <f>IFERROR(MATCH(ROW()-1,Расчет!$J$2:$J$3001,0),"")</f>
        <v/>
      </c>
    </row>
    <row r="1413">
      <c r="A1413">
        <f>IF($L1413="","",B1413&amp;"."&amp;C1413&amp;"-"&amp;D1413&amp;"-"&amp;H1413&amp;"."&amp;I1413&amp;"."&amp;J1413)</f>
        <v/>
      </c>
      <c r="B1413">
        <f>IF($L1413="","",INDEX(Расчет!$A$2:$A$3001,$L1413))</f>
        <v/>
      </c>
      <c r="C1413">
        <f>IF($L1413="","",INDEX(Расчет!$B$2:$B$3001,$L1413))</f>
        <v/>
      </c>
      <c r="D1413">
        <f>IF($L1413="","",IF(ISNUMBER(FIND("(",INDEX(Расчет!$C$2:$C$3001,$L1413))),SUBSTITUTE(MID(INDEX(Расчет!$C$2:$C$3001,$L1413),FIND("(",INDEX(Расчет!$C$2:$C$3001,$L1413))+1,99),")",""),INDEX(Расчет!$C$2:$C$3001,$L1413)))</f>
        <v/>
      </c>
      <c r="E1413">
        <f>IF($L1413="","",INDEX(Расчет!$D$2:$D$3001,$L1413))</f>
        <v/>
      </c>
      <c r="F1413">
        <f>IF($L1413="","",INDEX(Расчет!$E$2:$E$3001,$L1413))</f>
        <v/>
      </c>
      <c r="G1413">
        <f>IF($L1413="","",IFERROR(--LEFT(INDEX(Расчет!$C$2:$C$3001,$L1413),FIND("(",INDEX(Расчет!$C$2:$C$3001,$L1413))-1),IFERROR(--LEFT(INDEX(Расчет!$C$2:$C$3001,$L1413),1),"")))</f>
        <v/>
      </c>
      <c r="H1413">
        <f>IF($L1413="","",SUMIFS(Расчет!$G$2:$G$3001,Расчет!$I$2:$I$3001,$K1413,Расчет!$H$2:$H$3001,1))</f>
        <v/>
      </c>
      <c r="I1413">
        <f>IF($L1413="","",SUMIFS(Расчет!$G$2:$G$3001,Расчет!$I$2:$I$3001,$K1413,Расчет!$H$2:$H$3001,2))</f>
        <v/>
      </c>
      <c r="J1413">
        <f>IF($L1413="","",SUMIFS(Расчет!$G$2:$G$3001,Расчет!$I$2:$I$3001,$K1413,Расчет!$H$2:$H$3001,3))</f>
        <v/>
      </c>
      <c r="K1413">
        <f>IF($L1413="","",INDEX(Расчет!$I$2:$I$3001,$L1413))</f>
        <v/>
      </c>
      <c r="L1413">
        <f>IFERROR(MATCH(ROW()-1,Расчет!$J$2:$J$3001,0),"")</f>
        <v/>
      </c>
    </row>
    <row r="1414">
      <c r="A1414">
        <f>IF($L1414="","",B1414&amp;"."&amp;C1414&amp;"-"&amp;D1414&amp;"-"&amp;H1414&amp;"."&amp;I1414&amp;"."&amp;J1414)</f>
        <v/>
      </c>
      <c r="B1414">
        <f>IF($L1414="","",INDEX(Расчет!$A$2:$A$3001,$L1414))</f>
        <v/>
      </c>
      <c r="C1414">
        <f>IF($L1414="","",INDEX(Расчет!$B$2:$B$3001,$L1414))</f>
        <v/>
      </c>
      <c r="D1414">
        <f>IF($L1414="","",IF(ISNUMBER(FIND("(",INDEX(Расчет!$C$2:$C$3001,$L1414))),SUBSTITUTE(MID(INDEX(Расчет!$C$2:$C$3001,$L1414),FIND("(",INDEX(Расчет!$C$2:$C$3001,$L1414))+1,99),")",""),INDEX(Расчет!$C$2:$C$3001,$L1414)))</f>
        <v/>
      </c>
      <c r="E1414">
        <f>IF($L1414="","",INDEX(Расчет!$D$2:$D$3001,$L1414))</f>
        <v/>
      </c>
      <c r="F1414">
        <f>IF($L1414="","",INDEX(Расчет!$E$2:$E$3001,$L1414))</f>
        <v/>
      </c>
      <c r="G1414">
        <f>IF($L1414="","",IFERROR(--LEFT(INDEX(Расчет!$C$2:$C$3001,$L1414),FIND("(",INDEX(Расчет!$C$2:$C$3001,$L1414))-1),IFERROR(--LEFT(INDEX(Расчет!$C$2:$C$3001,$L1414),1),"")))</f>
        <v/>
      </c>
      <c r="H1414">
        <f>IF($L1414="","",SUMIFS(Расчет!$G$2:$G$3001,Расчет!$I$2:$I$3001,$K1414,Расчет!$H$2:$H$3001,1))</f>
        <v/>
      </c>
      <c r="I1414">
        <f>IF($L1414="","",SUMIFS(Расчет!$G$2:$G$3001,Расчет!$I$2:$I$3001,$K1414,Расчет!$H$2:$H$3001,2))</f>
        <v/>
      </c>
      <c r="J1414">
        <f>IF($L1414="","",SUMIFS(Расчет!$G$2:$G$3001,Расчет!$I$2:$I$3001,$K1414,Расчет!$H$2:$H$3001,3))</f>
        <v/>
      </c>
      <c r="K1414">
        <f>IF($L1414="","",INDEX(Расчет!$I$2:$I$3001,$L1414))</f>
        <v/>
      </c>
      <c r="L1414">
        <f>IFERROR(MATCH(ROW()-1,Расчет!$J$2:$J$3001,0),"")</f>
        <v/>
      </c>
    </row>
    <row r="1415">
      <c r="A1415">
        <f>IF($L1415="","",B1415&amp;"."&amp;C1415&amp;"-"&amp;D1415&amp;"-"&amp;H1415&amp;"."&amp;I1415&amp;"."&amp;J1415)</f>
        <v/>
      </c>
      <c r="B1415">
        <f>IF($L1415="","",INDEX(Расчет!$A$2:$A$3001,$L1415))</f>
        <v/>
      </c>
      <c r="C1415">
        <f>IF($L1415="","",INDEX(Расчет!$B$2:$B$3001,$L1415))</f>
        <v/>
      </c>
      <c r="D1415">
        <f>IF($L1415="","",IF(ISNUMBER(FIND("(",INDEX(Расчет!$C$2:$C$3001,$L1415))),SUBSTITUTE(MID(INDEX(Расчет!$C$2:$C$3001,$L1415),FIND("(",INDEX(Расчет!$C$2:$C$3001,$L1415))+1,99),")",""),INDEX(Расчет!$C$2:$C$3001,$L1415)))</f>
        <v/>
      </c>
      <c r="E1415">
        <f>IF($L1415="","",INDEX(Расчет!$D$2:$D$3001,$L1415))</f>
        <v/>
      </c>
      <c r="F1415">
        <f>IF($L1415="","",INDEX(Расчет!$E$2:$E$3001,$L1415))</f>
        <v/>
      </c>
      <c r="G1415">
        <f>IF($L1415="","",IFERROR(--LEFT(INDEX(Расчет!$C$2:$C$3001,$L1415),FIND("(",INDEX(Расчет!$C$2:$C$3001,$L1415))-1),IFERROR(--LEFT(INDEX(Расчет!$C$2:$C$3001,$L1415),1),"")))</f>
        <v/>
      </c>
      <c r="H1415">
        <f>IF($L1415="","",SUMIFS(Расчет!$G$2:$G$3001,Расчет!$I$2:$I$3001,$K1415,Расчет!$H$2:$H$3001,1))</f>
        <v/>
      </c>
      <c r="I1415">
        <f>IF($L1415="","",SUMIFS(Расчет!$G$2:$G$3001,Расчет!$I$2:$I$3001,$K1415,Расчет!$H$2:$H$3001,2))</f>
        <v/>
      </c>
      <c r="J1415">
        <f>IF($L1415="","",SUMIFS(Расчет!$G$2:$G$3001,Расчет!$I$2:$I$3001,$K1415,Расчет!$H$2:$H$3001,3))</f>
        <v/>
      </c>
      <c r="K1415">
        <f>IF($L1415="","",INDEX(Расчет!$I$2:$I$3001,$L1415))</f>
        <v/>
      </c>
      <c r="L1415">
        <f>IFERROR(MATCH(ROW()-1,Расчет!$J$2:$J$3001,0),"")</f>
        <v/>
      </c>
    </row>
    <row r="1416">
      <c r="A1416">
        <f>IF($L1416="","",B1416&amp;"."&amp;C1416&amp;"-"&amp;D1416&amp;"-"&amp;H1416&amp;"."&amp;I1416&amp;"."&amp;J1416)</f>
        <v/>
      </c>
      <c r="B1416">
        <f>IF($L1416="","",INDEX(Расчет!$A$2:$A$3001,$L1416))</f>
        <v/>
      </c>
      <c r="C1416">
        <f>IF($L1416="","",INDEX(Расчет!$B$2:$B$3001,$L1416))</f>
        <v/>
      </c>
      <c r="D1416">
        <f>IF($L1416="","",IF(ISNUMBER(FIND("(",INDEX(Расчет!$C$2:$C$3001,$L1416))),SUBSTITUTE(MID(INDEX(Расчет!$C$2:$C$3001,$L1416),FIND("(",INDEX(Расчет!$C$2:$C$3001,$L1416))+1,99),")",""),INDEX(Расчет!$C$2:$C$3001,$L1416)))</f>
        <v/>
      </c>
      <c r="E1416">
        <f>IF($L1416="","",INDEX(Расчет!$D$2:$D$3001,$L1416))</f>
        <v/>
      </c>
      <c r="F1416">
        <f>IF($L1416="","",INDEX(Расчет!$E$2:$E$3001,$L1416))</f>
        <v/>
      </c>
      <c r="G1416">
        <f>IF($L1416="","",IFERROR(--LEFT(INDEX(Расчет!$C$2:$C$3001,$L1416),FIND("(",INDEX(Расчет!$C$2:$C$3001,$L1416))-1),IFERROR(--LEFT(INDEX(Расчет!$C$2:$C$3001,$L1416),1),"")))</f>
        <v/>
      </c>
      <c r="H1416">
        <f>IF($L1416="","",SUMIFS(Расчет!$G$2:$G$3001,Расчет!$I$2:$I$3001,$K1416,Расчет!$H$2:$H$3001,1))</f>
        <v/>
      </c>
      <c r="I1416">
        <f>IF($L1416="","",SUMIFS(Расчет!$G$2:$G$3001,Расчет!$I$2:$I$3001,$K1416,Расчет!$H$2:$H$3001,2))</f>
        <v/>
      </c>
      <c r="J1416">
        <f>IF($L1416="","",SUMIFS(Расчет!$G$2:$G$3001,Расчет!$I$2:$I$3001,$K1416,Расчет!$H$2:$H$3001,3))</f>
        <v/>
      </c>
      <c r="K1416">
        <f>IF($L1416="","",INDEX(Расчет!$I$2:$I$3001,$L1416))</f>
        <v/>
      </c>
      <c r="L1416">
        <f>IFERROR(MATCH(ROW()-1,Расчет!$J$2:$J$3001,0),"")</f>
        <v/>
      </c>
    </row>
    <row r="1417">
      <c r="A1417">
        <f>IF($L1417="","",B1417&amp;"."&amp;C1417&amp;"-"&amp;D1417&amp;"-"&amp;H1417&amp;"."&amp;I1417&amp;"."&amp;J1417)</f>
        <v/>
      </c>
      <c r="B1417">
        <f>IF($L1417="","",INDEX(Расчет!$A$2:$A$3001,$L1417))</f>
        <v/>
      </c>
      <c r="C1417">
        <f>IF($L1417="","",INDEX(Расчет!$B$2:$B$3001,$L1417))</f>
        <v/>
      </c>
      <c r="D1417">
        <f>IF($L1417="","",IF(ISNUMBER(FIND("(",INDEX(Расчет!$C$2:$C$3001,$L1417))),SUBSTITUTE(MID(INDEX(Расчет!$C$2:$C$3001,$L1417),FIND("(",INDEX(Расчет!$C$2:$C$3001,$L1417))+1,99),")",""),INDEX(Расчет!$C$2:$C$3001,$L1417)))</f>
        <v/>
      </c>
      <c r="E1417">
        <f>IF($L1417="","",INDEX(Расчет!$D$2:$D$3001,$L1417))</f>
        <v/>
      </c>
      <c r="F1417">
        <f>IF($L1417="","",INDEX(Расчет!$E$2:$E$3001,$L1417))</f>
        <v/>
      </c>
      <c r="G1417">
        <f>IF($L1417="","",IFERROR(--LEFT(INDEX(Расчет!$C$2:$C$3001,$L1417),FIND("(",INDEX(Расчет!$C$2:$C$3001,$L1417))-1),IFERROR(--LEFT(INDEX(Расчет!$C$2:$C$3001,$L1417),1),"")))</f>
        <v/>
      </c>
      <c r="H1417">
        <f>IF($L1417="","",SUMIFS(Расчет!$G$2:$G$3001,Расчет!$I$2:$I$3001,$K1417,Расчет!$H$2:$H$3001,1))</f>
        <v/>
      </c>
      <c r="I1417">
        <f>IF($L1417="","",SUMIFS(Расчет!$G$2:$G$3001,Расчет!$I$2:$I$3001,$K1417,Расчет!$H$2:$H$3001,2))</f>
        <v/>
      </c>
      <c r="J1417">
        <f>IF($L1417="","",SUMIFS(Расчет!$G$2:$G$3001,Расчет!$I$2:$I$3001,$K1417,Расчет!$H$2:$H$3001,3))</f>
        <v/>
      </c>
      <c r="K1417">
        <f>IF($L1417="","",INDEX(Расчет!$I$2:$I$3001,$L1417))</f>
        <v/>
      </c>
      <c r="L1417">
        <f>IFERROR(MATCH(ROW()-1,Расчет!$J$2:$J$3001,0),"")</f>
        <v/>
      </c>
    </row>
    <row r="1418">
      <c r="A1418">
        <f>IF($L1418="","",B1418&amp;"."&amp;C1418&amp;"-"&amp;D1418&amp;"-"&amp;H1418&amp;"."&amp;I1418&amp;"."&amp;J1418)</f>
        <v/>
      </c>
      <c r="B1418">
        <f>IF($L1418="","",INDEX(Расчет!$A$2:$A$3001,$L1418))</f>
        <v/>
      </c>
      <c r="C1418">
        <f>IF($L1418="","",INDEX(Расчет!$B$2:$B$3001,$L1418))</f>
        <v/>
      </c>
      <c r="D1418">
        <f>IF($L1418="","",IF(ISNUMBER(FIND("(",INDEX(Расчет!$C$2:$C$3001,$L1418))),SUBSTITUTE(MID(INDEX(Расчет!$C$2:$C$3001,$L1418),FIND("(",INDEX(Расчет!$C$2:$C$3001,$L1418))+1,99),")",""),INDEX(Расчет!$C$2:$C$3001,$L1418)))</f>
        <v/>
      </c>
      <c r="E1418">
        <f>IF($L1418="","",INDEX(Расчет!$D$2:$D$3001,$L1418))</f>
        <v/>
      </c>
      <c r="F1418">
        <f>IF($L1418="","",INDEX(Расчет!$E$2:$E$3001,$L1418))</f>
        <v/>
      </c>
      <c r="G1418">
        <f>IF($L1418="","",IFERROR(--LEFT(INDEX(Расчет!$C$2:$C$3001,$L1418),FIND("(",INDEX(Расчет!$C$2:$C$3001,$L1418))-1),IFERROR(--LEFT(INDEX(Расчет!$C$2:$C$3001,$L1418),1),"")))</f>
        <v/>
      </c>
      <c r="H1418">
        <f>IF($L1418="","",SUMIFS(Расчет!$G$2:$G$3001,Расчет!$I$2:$I$3001,$K1418,Расчет!$H$2:$H$3001,1))</f>
        <v/>
      </c>
      <c r="I1418">
        <f>IF($L1418="","",SUMIFS(Расчет!$G$2:$G$3001,Расчет!$I$2:$I$3001,$K1418,Расчет!$H$2:$H$3001,2))</f>
        <v/>
      </c>
      <c r="J1418">
        <f>IF($L1418="","",SUMIFS(Расчет!$G$2:$G$3001,Расчет!$I$2:$I$3001,$K1418,Расчет!$H$2:$H$3001,3))</f>
        <v/>
      </c>
      <c r="K1418">
        <f>IF($L1418="","",INDEX(Расчет!$I$2:$I$3001,$L1418))</f>
        <v/>
      </c>
      <c r="L1418">
        <f>IFERROR(MATCH(ROW()-1,Расчет!$J$2:$J$3001,0),"")</f>
        <v/>
      </c>
    </row>
    <row r="1419">
      <c r="A1419">
        <f>IF($L1419="","",B1419&amp;"."&amp;C1419&amp;"-"&amp;D1419&amp;"-"&amp;H1419&amp;"."&amp;I1419&amp;"."&amp;J1419)</f>
        <v/>
      </c>
      <c r="B1419">
        <f>IF($L1419="","",INDEX(Расчет!$A$2:$A$3001,$L1419))</f>
        <v/>
      </c>
      <c r="C1419">
        <f>IF($L1419="","",INDEX(Расчет!$B$2:$B$3001,$L1419))</f>
        <v/>
      </c>
      <c r="D1419">
        <f>IF($L1419="","",IF(ISNUMBER(FIND("(",INDEX(Расчет!$C$2:$C$3001,$L1419))),SUBSTITUTE(MID(INDEX(Расчет!$C$2:$C$3001,$L1419),FIND("(",INDEX(Расчет!$C$2:$C$3001,$L1419))+1,99),")",""),INDEX(Расчет!$C$2:$C$3001,$L1419)))</f>
        <v/>
      </c>
      <c r="E1419">
        <f>IF($L1419="","",INDEX(Расчет!$D$2:$D$3001,$L1419))</f>
        <v/>
      </c>
      <c r="F1419">
        <f>IF($L1419="","",INDEX(Расчет!$E$2:$E$3001,$L1419))</f>
        <v/>
      </c>
      <c r="G1419">
        <f>IF($L1419="","",IFERROR(--LEFT(INDEX(Расчет!$C$2:$C$3001,$L1419),FIND("(",INDEX(Расчет!$C$2:$C$3001,$L1419))-1),IFERROR(--LEFT(INDEX(Расчет!$C$2:$C$3001,$L1419),1),"")))</f>
        <v/>
      </c>
      <c r="H1419">
        <f>IF($L1419="","",SUMIFS(Расчет!$G$2:$G$3001,Расчет!$I$2:$I$3001,$K1419,Расчет!$H$2:$H$3001,1))</f>
        <v/>
      </c>
      <c r="I1419">
        <f>IF($L1419="","",SUMIFS(Расчет!$G$2:$G$3001,Расчет!$I$2:$I$3001,$K1419,Расчет!$H$2:$H$3001,2))</f>
        <v/>
      </c>
      <c r="J1419">
        <f>IF($L1419="","",SUMIFS(Расчет!$G$2:$G$3001,Расчет!$I$2:$I$3001,$K1419,Расчет!$H$2:$H$3001,3))</f>
        <v/>
      </c>
      <c r="K1419">
        <f>IF($L1419="","",INDEX(Расчет!$I$2:$I$3001,$L1419))</f>
        <v/>
      </c>
      <c r="L1419">
        <f>IFERROR(MATCH(ROW()-1,Расчет!$J$2:$J$3001,0),"")</f>
        <v/>
      </c>
    </row>
    <row r="1420">
      <c r="A1420">
        <f>IF($L1420="","",B1420&amp;"."&amp;C1420&amp;"-"&amp;D1420&amp;"-"&amp;H1420&amp;"."&amp;I1420&amp;"."&amp;J1420)</f>
        <v/>
      </c>
      <c r="B1420">
        <f>IF($L1420="","",INDEX(Расчет!$A$2:$A$3001,$L1420))</f>
        <v/>
      </c>
      <c r="C1420">
        <f>IF($L1420="","",INDEX(Расчет!$B$2:$B$3001,$L1420))</f>
        <v/>
      </c>
      <c r="D1420">
        <f>IF($L1420="","",IF(ISNUMBER(FIND("(",INDEX(Расчет!$C$2:$C$3001,$L1420))),SUBSTITUTE(MID(INDEX(Расчет!$C$2:$C$3001,$L1420),FIND("(",INDEX(Расчет!$C$2:$C$3001,$L1420))+1,99),")",""),INDEX(Расчет!$C$2:$C$3001,$L1420)))</f>
        <v/>
      </c>
      <c r="E1420">
        <f>IF($L1420="","",INDEX(Расчет!$D$2:$D$3001,$L1420))</f>
        <v/>
      </c>
      <c r="F1420">
        <f>IF($L1420="","",INDEX(Расчет!$E$2:$E$3001,$L1420))</f>
        <v/>
      </c>
      <c r="G1420">
        <f>IF($L1420="","",IFERROR(--LEFT(INDEX(Расчет!$C$2:$C$3001,$L1420),FIND("(",INDEX(Расчет!$C$2:$C$3001,$L1420))-1),IFERROR(--LEFT(INDEX(Расчет!$C$2:$C$3001,$L1420),1),"")))</f>
        <v/>
      </c>
      <c r="H1420">
        <f>IF($L1420="","",SUMIFS(Расчет!$G$2:$G$3001,Расчет!$I$2:$I$3001,$K1420,Расчет!$H$2:$H$3001,1))</f>
        <v/>
      </c>
      <c r="I1420">
        <f>IF($L1420="","",SUMIFS(Расчет!$G$2:$G$3001,Расчет!$I$2:$I$3001,$K1420,Расчет!$H$2:$H$3001,2))</f>
        <v/>
      </c>
      <c r="J1420">
        <f>IF($L1420="","",SUMIFS(Расчет!$G$2:$G$3001,Расчет!$I$2:$I$3001,$K1420,Расчет!$H$2:$H$3001,3))</f>
        <v/>
      </c>
      <c r="K1420">
        <f>IF($L1420="","",INDEX(Расчет!$I$2:$I$3001,$L1420))</f>
        <v/>
      </c>
      <c r="L1420">
        <f>IFERROR(MATCH(ROW()-1,Расчет!$J$2:$J$3001,0),"")</f>
        <v/>
      </c>
    </row>
    <row r="1421">
      <c r="A1421">
        <f>IF($L1421="","",B1421&amp;"."&amp;C1421&amp;"-"&amp;D1421&amp;"-"&amp;H1421&amp;"."&amp;I1421&amp;"."&amp;J1421)</f>
        <v/>
      </c>
      <c r="B1421">
        <f>IF($L1421="","",INDEX(Расчет!$A$2:$A$3001,$L1421))</f>
        <v/>
      </c>
      <c r="C1421">
        <f>IF($L1421="","",INDEX(Расчет!$B$2:$B$3001,$L1421))</f>
        <v/>
      </c>
      <c r="D1421">
        <f>IF($L1421="","",IF(ISNUMBER(FIND("(",INDEX(Расчет!$C$2:$C$3001,$L1421))),SUBSTITUTE(MID(INDEX(Расчет!$C$2:$C$3001,$L1421),FIND("(",INDEX(Расчет!$C$2:$C$3001,$L1421))+1,99),")",""),INDEX(Расчет!$C$2:$C$3001,$L1421)))</f>
        <v/>
      </c>
      <c r="E1421">
        <f>IF($L1421="","",INDEX(Расчет!$D$2:$D$3001,$L1421))</f>
        <v/>
      </c>
      <c r="F1421">
        <f>IF($L1421="","",INDEX(Расчет!$E$2:$E$3001,$L1421))</f>
        <v/>
      </c>
      <c r="G1421">
        <f>IF($L1421="","",IFERROR(--LEFT(INDEX(Расчет!$C$2:$C$3001,$L1421),FIND("(",INDEX(Расчет!$C$2:$C$3001,$L1421))-1),IFERROR(--LEFT(INDEX(Расчет!$C$2:$C$3001,$L1421),1),"")))</f>
        <v/>
      </c>
      <c r="H1421">
        <f>IF($L1421="","",SUMIFS(Расчет!$G$2:$G$3001,Расчет!$I$2:$I$3001,$K1421,Расчет!$H$2:$H$3001,1))</f>
        <v/>
      </c>
      <c r="I1421">
        <f>IF($L1421="","",SUMIFS(Расчет!$G$2:$G$3001,Расчет!$I$2:$I$3001,$K1421,Расчет!$H$2:$H$3001,2))</f>
        <v/>
      </c>
      <c r="J1421">
        <f>IF($L1421="","",SUMIFS(Расчет!$G$2:$G$3001,Расчет!$I$2:$I$3001,$K1421,Расчет!$H$2:$H$3001,3))</f>
        <v/>
      </c>
      <c r="K1421">
        <f>IF($L1421="","",INDEX(Расчет!$I$2:$I$3001,$L1421))</f>
        <v/>
      </c>
      <c r="L1421">
        <f>IFERROR(MATCH(ROW()-1,Расчет!$J$2:$J$3001,0),"")</f>
        <v/>
      </c>
    </row>
    <row r="1422">
      <c r="A1422">
        <f>IF($L1422="","",B1422&amp;"."&amp;C1422&amp;"-"&amp;D1422&amp;"-"&amp;H1422&amp;"."&amp;I1422&amp;"."&amp;J1422)</f>
        <v/>
      </c>
      <c r="B1422">
        <f>IF($L1422="","",INDEX(Расчет!$A$2:$A$3001,$L1422))</f>
        <v/>
      </c>
      <c r="C1422">
        <f>IF($L1422="","",INDEX(Расчет!$B$2:$B$3001,$L1422))</f>
        <v/>
      </c>
      <c r="D1422">
        <f>IF($L1422="","",IF(ISNUMBER(FIND("(",INDEX(Расчет!$C$2:$C$3001,$L1422))),SUBSTITUTE(MID(INDEX(Расчет!$C$2:$C$3001,$L1422),FIND("(",INDEX(Расчет!$C$2:$C$3001,$L1422))+1,99),")",""),INDEX(Расчет!$C$2:$C$3001,$L1422)))</f>
        <v/>
      </c>
      <c r="E1422">
        <f>IF($L1422="","",INDEX(Расчет!$D$2:$D$3001,$L1422))</f>
        <v/>
      </c>
      <c r="F1422">
        <f>IF($L1422="","",INDEX(Расчет!$E$2:$E$3001,$L1422))</f>
        <v/>
      </c>
      <c r="G1422">
        <f>IF($L1422="","",IFERROR(--LEFT(INDEX(Расчет!$C$2:$C$3001,$L1422),FIND("(",INDEX(Расчет!$C$2:$C$3001,$L1422))-1),IFERROR(--LEFT(INDEX(Расчет!$C$2:$C$3001,$L1422),1),"")))</f>
        <v/>
      </c>
      <c r="H1422">
        <f>IF($L1422="","",SUMIFS(Расчет!$G$2:$G$3001,Расчет!$I$2:$I$3001,$K1422,Расчет!$H$2:$H$3001,1))</f>
        <v/>
      </c>
      <c r="I1422">
        <f>IF($L1422="","",SUMIFS(Расчет!$G$2:$G$3001,Расчет!$I$2:$I$3001,$K1422,Расчет!$H$2:$H$3001,2))</f>
        <v/>
      </c>
      <c r="J1422">
        <f>IF($L1422="","",SUMIFS(Расчет!$G$2:$G$3001,Расчет!$I$2:$I$3001,$K1422,Расчет!$H$2:$H$3001,3))</f>
        <v/>
      </c>
      <c r="K1422">
        <f>IF($L1422="","",INDEX(Расчет!$I$2:$I$3001,$L1422))</f>
        <v/>
      </c>
      <c r="L1422">
        <f>IFERROR(MATCH(ROW()-1,Расчет!$J$2:$J$3001,0),"")</f>
        <v/>
      </c>
    </row>
    <row r="1423">
      <c r="A1423">
        <f>IF($L1423="","",B1423&amp;"."&amp;C1423&amp;"-"&amp;D1423&amp;"-"&amp;H1423&amp;"."&amp;I1423&amp;"."&amp;J1423)</f>
        <v/>
      </c>
      <c r="B1423">
        <f>IF($L1423="","",INDEX(Расчет!$A$2:$A$3001,$L1423))</f>
        <v/>
      </c>
      <c r="C1423">
        <f>IF($L1423="","",INDEX(Расчет!$B$2:$B$3001,$L1423))</f>
        <v/>
      </c>
      <c r="D1423">
        <f>IF($L1423="","",IF(ISNUMBER(FIND("(",INDEX(Расчет!$C$2:$C$3001,$L1423))),SUBSTITUTE(MID(INDEX(Расчет!$C$2:$C$3001,$L1423),FIND("(",INDEX(Расчет!$C$2:$C$3001,$L1423))+1,99),")",""),INDEX(Расчет!$C$2:$C$3001,$L1423)))</f>
        <v/>
      </c>
      <c r="E1423">
        <f>IF($L1423="","",INDEX(Расчет!$D$2:$D$3001,$L1423))</f>
        <v/>
      </c>
      <c r="F1423">
        <f>IF($L1423="","",INDEX(Расчет!$E$2:$E$3001,$L1423))</f>
        <v/>
      </c>
      <c r="G1423">
        <f>IF($L1423="","",IFERROR(--LEFT(INDEX(Расчет!$C$2:$C$3001,$L1423),FIND("(",INDEX(Расчет!$C$2:$C$3001,$L1423))-1),IFERROR(--LEFT(INDEX(Расчет!$C$2:$C$3001,$L1423),1),"")))</f>
        <v/>
      </c>
      <c r="H1423">
        <f>IF($L1423="","",SUMIFS(Расчет!$G$2:$G$3001,Расчет!$I$2:$I$3001,$K1423,Расчет!$H$2:$H$3001,1))</f>
        <v/>
      </c>
      <c r="I1423">
        <f>IF($L1423="","",SUMIFS(Расчет!$G$2:$G$3001,Расчет!$I$2:$I$3001,$K1423,Расчет!$H$2:$H$3001,2))</f>
        <v/>
      </c>
      <c r="J1423">
        <f>IF($L1423="","",SUMIFS(Расчет!$G$2:$G$3001,Расчет!$I$2:$I$3001,$K1423,Расчет!$H$2:$H$3001,3))</f>
        <v/>
      </c>
      <c r="K1423">
        <f>IF($L1423="","",INDEX(Расчет!$I$2:$I$3001,$L1423))</f>
        <v/>
      </c>
      <c r="L1423">
        <f>IFERROR(MATCH(ROW()-1,Расчет!$J$2:$J$3001,0),"")</f>
        <v/>
      </c>
    </row>
    <row r="1424">
      <c r="A1424">
        <f>IF($L1424="","",B1424&amp;"."&amp;C1424&amp;"-"&amp;D1424&amp;"-"&amp;H1424&amp;"."&amp;I1424&amp;"."&amp;J1424)</f>
        <v/>
      </c>
      <c r="B1424">
        <f>IF($L1424="","",INDEX(Расчет!$A$2:$A$3001,$L1424))</f>
        <v/>
      </c>
      <c r="C1424">
        <f>IF($L1424="","",INDEX(Расчет!$B$2:$B$3001,$L1424))</f>
        <v/>
      </c>
      <c r="D1424">
        <f>IF($L1424="","",IF(ISNUMBER(FIND("(",INDEX(Расчет!$C$2:$C$3001,$L1424))),SUBSTITUTE(MID(INDEX(Расчет!$C$2:$C$3001,$L1424),FIND("(",INDEX(Расчет!$C$2:$C$3001,$L1424))+1,99),")",""),INDEX(Расчет!$C$2:$C$3001,$L1424)))</f>
        <v/>
      </c>
      <c r="E1424">
        <f>IF($L1424="","",INDEX(Расчет!$D$2:$D$3001,$L1424))</f>
        <v/>
      </c>
      <c r="F1424">
        <f>IF($L1424="","",INDEX(Расчет!$E$2:$E$3001,$L1424))</f>
        <v/>
      </c>
      <c r="G1424">
        <f>IF($L1424="","",IFERROR(--LEFT(INDEX(Расчет!$C$2:$C$3001,$L1424),FIND("(",INDEX(Расчет!$C$2:$C$3001,$L1424))-1),IFERROR(--LEFT(INDEX(Расчет!$C$2:$C$3001,$L1424),1),"")))</f>
        <v/>
      </c>
      <c r="H1424">
        <f>IF($L1424="","",SUMIFS(Расчет!$G$2:$G$3001,Расчет!$I$2:$I$3001,$K1424,Расчет!$H$2:$H$3001,1))</f>
        <v/>
      </c>
      <c r="I1424">
        <f>IF($L1424="","",SUMIFS(Расчет!$G$2:$G$3001,Расчет!$I$2:$I$3001,$K1424,Расчет!$H$2:$H$3001,2))</f>
        <v/>
      </c>
      <c r="J1424">
        <f>IF($L1424="","",SUMIFS(Расчет!$G$2:$G$3001,Расчет!$I$2:$I$3001,$K1424,Расчет!$H$2:$H$3001,3))</f>
        <v/>
      </c>
      <c r="K1424">
        <f>IF($L1424="","",INDEX(Расчет!$I$2:$I$3001,$L1424))</f>
        <v/>
      </c>
      <c r="L1424">
        <f>IFERROR(MATCH(ROW()-1,Расчет!$J$2:$J$3001,0),"")</f>
        <v/>
      </c>
    </row>
    <row r="1425">
      <c r="A1425">
        <f>IF($L1425="","",B1425&amp;"."&amp;C1425&amp;"-"&amp;D1425&amp;"-"&amp;H1425&amp;"."&amp;I1425&amp;"."&amp;J1425)</f>
        <v/>
      </c>
      <c r="B1425">
        <f>IF($L1425="","",INDEX(Расчет!$A$2:$A$3001,$L1425))</f>
        <v/>
      </c>
      <c r="C1425">
        <f>IF($L1425="","",INDEX(Расчет!$B$2:$B$3001,$L1425))</f>
        <v/>
      </c>
      <c r="D1425">
        <f>IF($L1425="","",IF(ISNUMBER(FIND("(",INDEX(Расчет!$C$2:$C$3001,$L1425))),SUBSTITUTE(MID(INDEX(Расчет!$C$2:$C$3001,$L1425),FIND("(",INDEX(Расчет!$C$2:$C$3001,$L1425))+1,99),")",""),INDEX(Расчет!$C$2:$C$3001,$L1425)))</f>
        <v/>
      </c>
      <c r="E1425">
        <f>IF($L1425="","",INDEX(Расчет!$D$2:$D$3001,$L1425))</f>
        <v/>
      </c>
      <c r="F1425">
        <f>IF($L1425="","",INDEX(Расчет!$E$2:$E$3001,$L1425))</f>
        <v/>
      </c>
      <c r="G1425">
        <f>IF($L1425="","",IFERROR(--LEFT(INDEX(Расчет!$C$2:$C$3001,$L1425),FIND("(",INDEX(Расчет!$C$2:$C$3001,$L1425))-1),IFERROR(--LEFT(INDEX(Расчет!$C$2:$C$3001,$L1425),1),"")))</f>
        <v/>
      </c>
      <c r="H1425">
        <f>IF($L1425="","",SUMIFS(Расчет!$G$2:$G$3001,Расчет!$I$2:$I$3001,$K1425,Расчет!$H$2:$H$3001,1))</f>
        <v/>
      </c>
      <c r="I1425">
        <f>IF($L1425="","",SUMIFS(Расчет!$G$2:$G$3001,Расчет!$I$2:$I$3001,$K1425,Расчет!$H$2:$H$3001,2))</f>
        <v/>
      </c>
      <c r="J1425">
        <f>IF($L1425="","",SUMIFS(Расчет!$G$2:$G$3001,Расчет!$I$2:$I$3001,$K1425,Расчет!$H$2:$H$3001,3))</f>
        <v/>
      </c>
      <c r="K1425">
        <f>IF($L1425="","",INDEX(Расчет!$I$2:$I$3001,$L1425))</f>
        <v/>
      </c>
      <c r="L1425">
        <f>IFERROR(MATCH(ROW()-1,Расчет!$J$2:$J$3001,0),"")</f>
        <v/>
      </c>
    </row>
    <row r="1426">
      <c r="A1426">
        <f>IF($L1426="","",B1426&amp;"."&amp;C1426&amp;"-"&amp;D1426&amp;"-"&amp;H1426&amp;"."&amp;I1426&amp;"."&amp;J1426)</f>
        <v/>
      </c>
      <c r="B1426">
        <f>IF($L1426="","",INDEX(Расчет!$A$2:$A$3001,$L1426))</f>
        <v/>
      </c>
      <c r="C1426">
        <f>IF($L1426="","",INDEX(Расчет!$B$2:$B$3001,$L1426))</f>
        <v/>
      </c>
      <c r="D1426">
        <f>IF($L1426="","",IF(ISNUMBER(FIND("(",INDEX(Расчет!$C$2:$C$3001,$L1426))),SUBSTITUTE(MID(INDEX(Расчет!$C$2:$C$3001,$L1426),FIND("(",INDEX(Расчет!$C$2:$C$3001,$L1426))+1,99),")",""),INDEX(Расчет!$C$2:$C$3001,$L1426)))</f>
        <v/>
      </c>
      <c r="E1426">
        <f>IF($L1426="","",INDEX(Расчет!$D$2:$D$3001,$L1426))</f>
        <v/>
      </c>
      <c r="F1426">
        <f>IF($L1426="","",INDEX(Расчет!$E$2:$E$3001,$L1426))</f>
        <v/>
      </c>
      <c r="G1426">
        <f>IF($L1426="","",IFERROR(--LEFT(INDEX(Расчет!$C$2:$C$3001,$L1426),FIND("(",INDEX(Расчет!$C$2:$C$3001,$L1426))-1),IFERROR(--LEFT(INDEX(Расчет!$C$2:$C$3001,$L1426),1),"")))</f>
        <v/>
      </c>
      <c r="H1426">
        <f>IF($L1426="","",SUMIFS(Расчет!$G$2:$G$3001,Расчет!$I$2:$I$3001,$K1426,Расчет!$H$2:$H$3001,1))</f>
        <v/>
      </c>
      <c r="I1426">
        <f>IF($L1426="","",SUMIFS(Расчет!$G$2:$G$3001,Расчет!$I$2:$I$3001,$K1426,Расчет!$H$2:$H$3001,2))</f>
        <v/>
      </c>
      <c r="J1426">
        <f>IF($L1426="","",SUMIFS(Расчет!$G$2:$G$3001,Расчет!$I$2:$I$3001,$K1426,Расчет!$H$2:$H$3001,3))</f>
        <v/>
      </c>
      <c r="K1426">
        <f>IF($L1426="","",INDEX(Расчет!$I$2:$I$3001,$L1426))</f>
        <v/>
      </c>
      <c r="L1426">
        <f>IFERROR(MATCH(ROW()-1,Расчет!$J$2:$J$3001,0),"")</f>
        <v/>
      </c>
    </row>
    <row r="1427">
      <c r="A1427">
        <f>IF($L1427="","",B1427&amp;"."&amp;C1427&amp;"-"&amp;D1427&amp;"-"&amp;H1427&amp;"."&amp;I1427&amp;"."&amp;J1427)</f>
        <v/>
      </c>
      <c r="B1427">
        <f>IF($L1427="","",INDEX(Расчет!$A$2:$A$3001,$L1427))</f>
        <v/>
      </c>
      <c r="C1427">
        <f>IF($L1427="","",INDEX(Расчет!$B$2:$B$3001,$L1427))</f>
        <v/>
      </c>
      <c r="D1427">
        <f>IF($L1427="","",IF(ISNUMBER(FIND("(",INDEX(Расчет!$C$2:$C$3001,$L1427))),SUBSTITUTE(MID(INDEX(Расчет!$C$2:$C$3001,$L1427),FIND("(",INDEX(Расчет!$C$2:$C$3001,$L1427))+1,99),")",""),INDEX(Расчет!$C$2:$C$3001,$L1427)))</f>
        <v/>
      </c>
      <c r="E1427">
        <f>IF($L1427="","",INDEX(Расчет!$D$2:$D$3001,$L1427))</f>
        <v/>
      </c>
      <c r="F1427">
        <f>IF($L1427="","",INDEX(Расчет!$E$2:$E$3001,$L1427))</f>
        <v/>
      </c>
      <c r="G1427">
        <f>IF($L1427="","",IFERROR(--LEFT(INDEX(Расчет!$C$2:$C$3001,$L1427),FIND("(",INDEX(Расчет!$C$2:$C$3001,$L1427))-1),IFERROR(--LEFT(INDEX(Расчет!$C$2:$C$3001,$L1427),1),"")))</f>
        <v/>
      </c>
      <c r="H1427">
        <f>IF($L1427="","",SUMIFS(Расчет!$G$2:$G$3001,Расчет!$I$2:$I$3001,$K1427,Расчет!$H$2:$H$3001,1))</f>
        <v/>
      </c>
      <c r="I1427">
        <f>IF($L1427="","",SUMIFS(Расчет!$G$2:$G$3001,Расчет!$I$2:$I$3001,$K1427,Расчет!$H$2:$H$3001,2))</f>
        <v/>
      </c>
      <c r="J1427">
        <f>IF($L1427="","",SUMIFS(Расчет!$G$2:$G$3001,Расчет!$I$2:$I$3001,$K1427,Расчет!$H$2:$H$3001,3))</f>
        <v/>
      </c>
      <c r="K1427">
        <f>IF($L1427="","",INDEX(Расчет!$I$2:$I$3001,$L1427))</f>
        <v/>
      </c>
      <c r="L1427">
        <f>IFERROR(MATCH(ROW()-1,Расчет!$J$2:$J$3001,0),"")</f>
        <v/>
      </c>
    </row>
    <row r="1428">
      <c r="A1428">
        <f>IF($L1428="","",B1428&amp;"."&amp;C1428&amp;"-"&amp;D1428&amp;"-"&amp;H1428&amp;"."&amp;I1428&amp;"."&amp;J1428)</f>
        <v/>
      </c>
      <c r="B1428">
        <f>IF($L1428="","",INDEX(Расчет!$A$2:$A$3001,$L1428))</f>
        <v/>
      </c>
      <c r="C1428">
        <f>IF($L1428="","",INDEX(Расчет!$B$2:$B$3001,$L1428))</f>
        <v/>
      </c>
      <c r="D1428">
        <f>IF($L1428="","",IF(ISNUMBER(FIND("(",INDEX(Расчет!$C$2:$C$3001,$L1428))),SUBSTITUTE(MID(INDEX(Расчет!$C$2:$C$3001,$L1428),FIND("(",INDEX(Расчет!$C$2:$C$3001,$L1428))+1,99),")",""),INDEX(Расчет!$C$2:$C$3001,$L1428)))</f>
        <v/>
      </c>
      <c r="E1428">
        <f>IF($L1428="","",INDEX(Расчет!$D$2:$D$3001,$L1428))</f>
        <v/>
      </c>
      <c r="F1428">
        <f>IF($L1428="","",INDEX(Расчет!$E$2:$E$3001,$L1428))</f>
        <v/>
      </c>
      <c r="G1428">
        <f>IF($L1428="","",IFERROR(--LEFT(INDEX(Расчет!$C$2:$C$3001,$L1428),FIND("(",INDEX(Расчет!$C$2:$C$3001,$L1428))-1),IFERROR(--LEFT(INDEX(Расчет!$C$2:$C$3001,$L1428),1),"")))</f>
        <v/>
      </c>
      <c r="H1428">
        <f>IF($L1428="","",SUMIFS(Расчет!$G$2:$G$3001,Расчет!$I$2:$I$3001,$K1428,Расчет!$H$2:$H$3001,1))</f>
        <v/>
      </c>
      <c r="I1428">
        <f>IF($L1428="","",SUMIFS(Расчет!$G$2:$G$3001,Расчет!$I$2:$I$3001,$K1428,Расчет!$H$2:$H$3001,2))</f>
        <v/>
      </c>
      <c r="J1428">
        <f>IF($L1428="","",SUMIFS(Расчет!$G$2:$G$3001,Расчет!$I$2:$I$3001,$K1428,Расчет!$H$2:$H$3001,3))</f>
        <v/>
      </c>
      <c r="K1428">
        <f>IF($L1428="","",INDEX(Расчет!$I$2:$I$3001,$L1428))</f>
        <v/>
      </c>
      <c r="L1428">
        <f>IFERROR(MATCH(ROW()-1,Расчет!$J$2:$J$3001,0),"")</f>
        <v/>
      </c>
    </row>
    <row r="1429">
      <c r="A1429">
        <f>IF($L1429="","",B1429&amp;"."&amp;C1429&amp;"-"&amp;D1429&amp;"-"&amp;H1429&amp;"."&amp;I1429&amp;"."&amp;J1429)</f>
        <v/>
      </c>
      <c r="B1429">
        <f>IF($L1429="","",INDEX(Расчет!$A$2:$A$3001,$L1429))</f>
        <v/>
      </c>
      <c r="C1429">
        <f>IF($L1429="","",INDEX(Расчет!$B$2:$B$3001,$L1429))</f>
        <v/>
      </c>
      <c r="D1429">
        <f>IF($L1429="","",IF(ISNUMBER(FIND("(",INDEX(Расчет!$C$2:$C$3001,$L1429))),SUBSTITUTE(MID(INDEX(Расчет!$C$2:$C$3001,$L1429),FIND("(",INDEX(Расчет!$C$2:$C$3001,$L1429))+1,99),")",""),INDEX(Расчет!$C$2:$C$3001,$L1429)))</f>
        <v/>
      </c>
      <c r="E1429">
        <f>IF($L1429="","",INDEX(Расчет!$D$2:$D$3001,$L1429))</f>
        <v/>
      </c>
      <c r="F1429">
        <f>IF($L1429="","",INDEX(Расчет!$E$2:$E$3001,$L1429))</f>
        <v/>
      </c>
      <c r="G1429">
        <f>IF($L1429="","",IFERROR(--LEFT(INDEX(Расчет!$C$2:$C$3001,$L1429),FIND("(",INDEX(Расчет!$C$2:$C$3001,$L1429))-1),IFERROR(--LEFT(INDEX(Расчет!$C$2:$C$3001,$L1429),1),"")))</f>
        <v/>
      </c>
      <c r="H1429">
        <f>IF($L1429="","",SUMIFS(Расчет!$G$2:$G$3001,Расчет!$I$2:$I$3001,$K1429,Расчет!$H$2:$H$3001,1))</f>
        <v/>
      </c>
      <c r="I1429">
        <f>IF($L1429="","",SUMIFS(Расчет!$G$2:$G$3001,Расчет!$I$2:$I$3001,$K1429,Расчет!$H$2:$H$3001,2))</f>
        <v/>
      </c>
      <c r="J1429">
        <f>IF($L1429="","",SUMIFS(Расчет!$G$2:$G$3001,Расчет!$I$2:$I$3001,$K1429,Расчет!$H$2:$H$3001,3))</f>
        <v/>
      </c>
      <c r="K1429">
        <f>IF($L1429="","",INDEX(Расчет!$I$2:$I$3001,$L1429))</f>
        <v/>
      </c>
      <c r="L1429">
        <f>IFERROR(MATCH(ROW()-1,Расчет!$J$2:$J$3001,0),"")</f>
        <v/>
      </c>
    </row>
    <row r="1430">
      <c r="A1430">
        <f>IF($L1430="","",B1430&amp;"."&amp;C1430&amp;"-"&amp;D1430&amp;"-"&amp;H1430&amp;"."&amp;I1430&amp;"."&amp;J1430)</f>
        <v/>
      </c>
      <c r="B1430">
        <f>IF($L1430="","",INDEX(Расчет!$A$2:$A$3001,$L1430))</f>
        <v/>
      </c>
      <c r="C1430">
        <f>IF($L1430="","",INDEX(Расчет!$B$2:$B$3001,$L1430))</f>
        <v/>
      </c>
      <c r="D1430">
        <f>IF($L1430="","",IF(ISNUMBER(FIND("(",INDEX(Расчет!$C$2:$C$3001,$L1430))),SUBSTITUTE(MID(INDEX(Расчет!$C$2:$C$3001,$L1430),FIND("(",INDEX(Расчет!$C$2:$C$3001,$L1430))+1,99),")",""),INDEX(Расчет!$C$2:$C$3001,$L1430)))</f>
        <v/>
      </c>
      <c r="E1430">
        <f>IF($L1430="","",INDEX(Расчет!$D$2:$D$3001,$L1430))</f>
        <v/>
      </c>
      <c r="F1430">
        <f>IF($L1430="","",INDEX(Расчет!$E$2:$E$3001,$L1430))</f>
        <v/>
      </c>
      <c r="G1430">
        <f>IF($L1430="","",IFERROR(--LEFT(INDEX(Расчет!$C$2:$C$3001,$L1430),FIND("(",INDEX(Расчет!$C$2:$C$3001,$L1430))-1),IFERROR(--LEFT(INDEX(Расчет!$C$2:$C$3001,$L1430),1),"")))</f>
        <v/>
      </c>
      <c r="H1430">
        <f>IF($L1430="","",SUMIFS(Расчет!$G$2:$G$3001,Расчет!$I$2:$I$3001,$K1430,Расчет!$H$2:$H$3001,1))</f>
        <v/>
      </c>
      <c r="I1430">
        <f>IF($L1430="","",SUMIFS(Расчет!$G$2:$G$3001,Расчет!$I$2:$I$3001,$K1430,Расчет!$H$2:$H$3001,2))</f>
        <v/>
      </c>
      <c r="J1430">
        <f>IF($L1430="","",SUMIFS(Расчет!$G$2:$G$3001,Расчет!$I$2:$I$3001,$K1430,Расчет!$H$2:$H$3001,3))</f>
        <v/>
      </c>
      <c r="K1430">
        <f>IF($L1430="","",INDEX(Расчет!$I$2:$I$3001,$L1430))</f>
        <v/>
      </c>
      <c r="L1430">
        <f>IFERROR(MATCH(ROW()-1,Расчет!$J$2:$J$3001,0),"")</f>
        <v/>
      </c>
    </row>
    <row r="1431">
      <c r="A1431">
        <f>IF($L1431="","",B1431&amp;"."&amp;C1431&amp;"-"&amp;D1431&amp;"-"&amp;H1431&amp;"."&amp;I1431&amp;"."&amp;J1431)</f>
        <v/>
      </c>
      <c r="B1431">
        <f>IF($L1431="","",INDEX(Расчет!$A$2:$A$3001,$L1431))</f>
        <v/>
      </c>
      <c r="C1431">
        <f>IF($L1431="","",INDEX(Расчет!$B$2:$B$3001,$L1431))</f>
        <v/>
      </c>
      <c r="D1431">
        <f>IF($L1431="","",IF(ISNUMBER(FIND("(",INDEX(Расчет!$C$2:$C$3001,$L1431))),SUBSTITUTE(MID(INDEX(Расчет!$C$2:$C$3001,$L1431),FIND("(",INDEX(Расчет!$C$2:$C$3001,$L1431))+1,99),")",""),INDEX(Расчет!$C$2:$C$3001,$L1431)))</f>
        <v/>
      </c>
      <c r="E1431">
        <f>IF($L1431="","",INDEX(Расчет!$D$2:$D$3001,$L1431))</f>
        <v/>
      </c>
      <c r="F1431">
        <f>IF($L1431="","",INDEX(Расчет!$E$2:$E$3001,$L1431))</f>
        <v/>
      </c>
      <c r="G1431">
        <f>IF($L1431="","",IFERROR(--LEFT(INDEX(Расчет!$C$2:$C$3001,$L1431),FIND("(",INDEX(Расчет!$C$2:$C$3001,$L1431))-1),IFERROR(--LEFT(INDEX(Расчет!$C$2:$C$3001,$L1431),1),"")))</f>
        <v/>
      </c>
      <c r="H1431">
        <f>IF($L1431="","",SUMIFS(Расчет!$G$2:$G$3001,Расчет!$I$2:$I$3001,$K1431,Расчет!$H$2:$H$3001,1))</f>
        <v/>
      </c>
      <c r="I1431">
        <f>IF($L1431="","",SUMIFS(Расчет!$G$2:$G$3001,Расчет!$I$2:$I$3001,$K1431,Расчет!$H$2:$H$3001,2))</f>
        <v/>
      </c>
      <c r="J1431">
        <f>IF($L1431="","",SUMIFS(Расчет!$G$2:$G$3001,Расчет!$I$2:$I$3001,$K1431,Расчет!$H$2:$H$3001,3))</f>
        <v/>
      </c>
      <c r="K1431">
        <f>IF($L1431="","",INDEX(Расчет!$I$2:$I$3001,$L1431))</f>
        <v/>
      </c>
      <c r="L1431">
        <f>IFERROR(MATCH(ROW()-1,Расчет!$J$2:$J$3001,0),"")</f>
        <v/>
      </c>
    </row>
    <row r="1432">
      <c r="A1432">
        <f>IF($L1432="","",B1432&amp;"."&amp;C1432&amp;"-"&amp;D1432&amp;"-"&amp;H1432&amp;"."&amp;I1432&amp;"."&amp;J1432)</f>
        <v/>
      </c>
      <c r="B1432">
        <f>IF($L1432="","",INDEX(Расчет!$A$2:$A$3001,$L1432))</f>
        <v/>
      </c>
      <c r="C1432">
        <f>IF($L1432="","",INDEX(Расчет!$B$2:$B$3001,$L1432))</f>
        <v/>
      </c>
      <c r="D1432">
        <f>IF($L1432="","",IF(ISNUMBER(FIND("(",INDEX(Расчет!$C$2:$C$3001,$L1432))),SUBSTITUTE(MID(INDEX(Расчет!$C$2:$C$3001,$L1432),FIND("(",INDEX(Расчет!$C$2:$C$3001,$L1432))+1,99),")",""),INDEX(Расчет!$C$2:$C$3001,$L1432)))</f>
        <v/>
      </c>
      <c r="E1432">
        <f>IF($L1432="","",INDEX(Расчет!$D$2:$D$3001,$L1432))</f>
        <v/>
      </c>
      <c r="F1432">
        <f>IF($L1432="","",INDEX(Расчет!$E$2:$E$3001,$L1432))</f>
        <v/>
      </c>
      <c r="G1432">
        <f>IF($L1432="","",IFERROR(--LEFT(INDEX(Расчет!$C$2:$C$3001,$L1432),FIND("(",INDEX(Расчет!$C$2:$C$3001,$L1432))-1),IFERROR(--LEFT(INDEX(Расчет!$C$2:$C$3001,$L1432),1),"")))</f>
        <v/>
      </c>
      <c r="H1432">
        <f>IF($L1432="","",SUMIFS(Расчет!$G$2:$G$3001,Расчет!$I$2:$I$3001,$K1432,Расчет!$H$2:$H$3001,1))</f>
        <v/>
      </c>
      <c r="I1432">
        <f>IF($L1432="","",SUMIFS(Расчет!$G$2:$G$3001,Расчет!$I$2:$I$3001,$K1432,Расчет!$H$2:$H$3001,2))</f>
        <v/>
      </c>
      <c r="J1432">
        <f>IF($L1432="","",SUMIFS(Расчет!$G$2:$G$3001,Расчет!$I$2:$I$3001,$K1432,Расчет!$H$2:$H$3001,3))</f>
        <v/>
      </c>
      <c r="K1432">
        <f>IF($L1432="","",INDEX(Расчет!$I$2:$I$3001,$L1432))</f>
        <v/>
      </c>
      <c r="L1432">
        <f>IFERROR(MATCH(ROW()-1,Расчет!$J$2:$J$3001,0),"")</f>
        <v/>
      </c>
    </row>
    <row r="1433">
      <c r="A1433">
        <f>IF($L1433="","",B1433&amp;"."&amp;C1433&amp;"-"&amp;D1433&amp;"-"&amp;H1433&amp;"."&amp;I1433&amp;"."&amp;J1433)</f>
        <v/>
      </c>
      <c r="B1433">
        <f>IF($L1433="","",INDEX(Расчет!$A$2:$A$3001,$L1433))</f>
        <v/>
      </c>
      <c r="C1433">
        <f>IF($L1433="","",INDEX(Расчет!$B$2:$B$3001,$L1433))</f>
        <v/>
      </c>
      <c r="D1433">
        <f>IF($L1433="","",IF(ISNUMBER(FIND("(",INDEX(Расчет!$C$2:$C$3001,$L1433))),SUBSTITUTE(MID(INDEX(Расчет!$C$2:$C$3001,$L1433),FIND("(",INDEX(Расчет!$C$2:$C$3001,$L1433))+1,99),")",""),INDEX(Расчет!$C$2:$C$3001,$L1433)))</f>
        <v/>
      </c>
      <c r="E1433">
        <f>IF($L1433="","",INDEX(Расчет!$D$2:$D$3001,$L1433))</f>
        <v/>
      </c>
      <c r="F1433">
        <f>IF($L1433="","",INDEX(Расчет!$E$2:$E$3001,$L1433))</f>
        <v/>
      </c>
      <c r="G1433">
        <f>IF($L1433="","",IFERROR(--LEFT(INDEX(Расчет!$C$2:$C$3001,$L1433),FIND("(",INDEX(Расчет!$C$2:$C$3001,$L1433))-1),IFERROR(--LEFT(INDEX(Расчет!$C$2:$C$3001,$L1433),1),"")))</f>
        <v/>
      </c>
      <c r="H1433">
        <f>IF($L1433="","",SUMIFS(Расчет!$G$2:$G$3001,Расчет!$I$2:$I$3001,$K1433,Расчет!$H$2:$H$3001,1))</f>
        <v/>
      </c>
      <c r="I1433">
        <f>IF($L1433="","",SUMIFS(Расчет!$G$2:$G$3001,Расчет!$I$2:$I$3001,$K1433,Расчет!$H$2:$H$3001,2))</f>
        <v/>
      </c>
      <c r="J1433">
        <f>IF($L1433="","",SUMIFS(Расчет!$G$2:$G$3001,Расчет!$I$2:$I$3001,$K1433,Расчет!$H$2:$H$3001,3))</f>
        <v/>
      </c>
      <c r="K1433">
        <f>IF($L1433="","",INDEX(Расчет!$I$2:$I$3001,$L1433))</f>
        <v/>
      </c>
      <c r="L1433">
        <f>IFERROR(MATCH(ROW()-1,Расчет!$J$2:$J$3001,0),"")</f>
        <v/>
      </c>
    </row>
    <row r="1434">
      <c r="A1434">
        <f>IF($L1434="","",B1434&amp;"."&amp;C1434&amp;"-"&amp;D1434&amp;"-"&amp;H1434&amp;"."&amp;I1434&amp;"."&amp;J1434)</f>
        <v/>
      </c>
      <c r="B1434">
        <f>IF($L1434="","",INDEX(Расчет!$A$2:$A$3001,$L1434))</f>
        <v/>
      </c>
      <c r="C1434">
        <f>IF($L1434="","",INDEX(Расчет!$B$2:$B$3001,$L1434))</f>
        <v/>
      </c>
      <c r="D1434">
        <f>IF($L1434="","",IF(ISNUMBER(FIND("(",INDEX(Расчет!$C$2:$C$3001,$L1434))),SUBSTITUTE(MID(INDEX(Расчет!$C$2:$C$3001,$L1434),FIND("(",INDEX(Расчет!$C$2:$C$3001,$L1434))+1,99),")",""),INDEX(Расчет!$C$2:$C$3001,$L1434)))</f>
        <v/>
      </c>
      <c r="E1434">
        <f>IF($L1434="","",INDEX(Расчет!$D$2:$D$3001,$L1434))</f>
        <v/>
      </c>
      <c r="F1434">
        <f>IF($L1434="","",INDEX(Расчет!$E$2:$E$3001,$L1434))</f>
        <v/>
      </c>
      <c r="G1434">
        <f>IF($L1434="","",IFERROR(--LEFT(INDEX(Расчет!$C$2:$C$3001,$L1434),FIND("(",INDEX(Расчет!$C$2:$C$3001,$L1434))-1),IFERROR(--LEFT(INDEX(Расчет!$C$2:$C$3001,$L1434),1),"")))</f>
        <v/>
      </c>
      <c r="H1434">
        <f>IF($L1434="","",SUMIFS(Расчет!$G$2:$G$3001,Расчет!$I$2:$I$3001,$K1434,Расчет!$H$2:$H$3001,1))</f>
        <v/>
      </c>
      <c r="I1434">
        <f>IF($L1434="","",SUMIFS(Расчет!$G$2:$G$3001,Расчет!$I$2:$I$3001,$K1434,Расчет!$H$2:$H$3001,2))</f>
        <v/>
      </c>
      <c r="J1434">
        <f>IF($L1434="","",SUMIFS(Расчет!$G$2:$G$3001,Расчет!$I$2:$I$3001,$K1434,Расчет!$H$2:$H$3001,3))</f>
        <v/>
      </c>
      <c r="K1434">
        <f>IF($L1434="","",INDEX(Расчет!$I$2:$I$3001,$L1434))</f>
        <v/>
      </c>
      <c r="L1434">
        <f>IFERROR(MATCH(ROW()-1,Расчет!$J$2:$J$3001,0),"")</f>
        <v/>
      </c>
    </row>
    <row r="1435">
      <c r="A1435">
        <f>IF($L1435="","",B1435&amp;"."&amp;C1435&amp;"-"&amp;D1435&amp;"-"&amp;H1435&amp;"."&amp;I1435&amp;"."&amp;J1435)</f>
        <v/>
      </c>
      <c r="B1435">
        <f>IF($L1435="","",INDEX(Расчет!$A$2:$A$3001,$L1435))</f>
        <v/>
      </c>
      <c r="C1435">
        <f>IF($L1435="","",INDEX(Расчет!$B$2:$B$3001,$L1435))</f>
        <v/>
      </c>
      <c r="D1435">
        <f>IF($L1435="","",IF(ISNUMBER(FIND("(",INDEX(Расчет!$C$2:$C$3001,$L1435))),SUBSTITUTE(MID(INDEX(Расчет!$C$2:$C$3001,$L1435),FIND("(",INDEX(Расчет!$C$2:$C$3001,$L1435))+1,99),")",""),INDEX(Расчет!$C$2:$C$3001,$L1435)))</f>
        <v/>
      </c>
      <c r="E1435">
        <f>IF($L1435="","",INDEX(Расчет!$D$2:$D$3001,$L1435))</f>
        <v/>
      </c>
      <c r="F1435">
        <f>IF($L1435="","",INDEX(Расчет!$E$2:$E$3001,$L1435))</f>
        <v/>
      </c>
      <c r="G1435">
        <f>IF($L1435="","",IFERROR(--LEFT(INDEX(Расчет!$C$2:$C$3001,$L1435),FIND("(",INDEX(Расчет!$C$2:$C$3001,$L1435))-1),IFERROR(--LEFT(INDEX(Расчет!$C$2:$C$3001,$L1435),1),"")))</f>
        <v/>
      </c>
      <c r="H1435">
        <f>IF($L1435="","",SUMIFS(Расчет!$G$2:$G$3001,Расчет!$I$2:$I$3001,$K1435,Расчет!$H$2:$H$3001,1))</f>
        <v/>
      </c>
      <c r="I1435">
        <f>IF($L1435="","",SUMIFS(Расчет!$G$2:$G$3001,Расчет!$I$2:$I$3001,$K1435,Расчет!$H$2:$H$3001,2))</f>
        <v/>
      </c>
      <c r="J1435">
        <f>IF($L1435="","",SUMIFS(Расчет!$G$2:$G$3001,Расчет!$I$2:$I$3001,$K1435,Расчет!$H$2:$H$3001,3))</f>
        <v/>
      </c>
      <c r="K1435">
        <f>IF($L1435="","",INDEX(Расчет!$I$2:$I$3001,$L1435))</f>
        <v/>
      </c>
      <c r="L1435">
        <f>IFERROR(MATCH(ROW()-1,Расчет!$J$2:$J$3001,0),"")</f>
        <v/>
      </c>
    </row>
    <row r="1436">
      <c r="A1436">
        <f>IF($L1436="","",B1436&amp;"."&amp;C1436&amp;"-"&amp;D1436&amp;"-"&amp;H1436&amp;"."&amp;I1436&amp;"."&amp;J1436)</f>
        <v/>
      </c>
      <c r="B1436">
        <f>IF($L1436="","",INDEX(Расчет!$A$2:$A$3001,$L1436))</f>
        <v/>
      </c>
      <c r="C1436">
        <f>IF($L1436="","",INDEX(Расчет!$B$2:$B$3001,$L1436))</f>
        <v/>
      </c>
      <c r="D1436">
        <f>IF($L1436="","",IF(ISNUMBER(FIND("(",INDEX(Расчет!$C$2:$C$3001,$L1436))),SUBSTITUTE(MID(INDEX(Расчет!$C$2:$C$3001,$L1436),FIND("(",INDEX(Расчет!$C$2:$C$3001,$L1436))+1,99),")",""),INDEX(Расчет!$C$2:$C$3001,$L1436)))</f>
        <v/>
      </c>
      <c r="E1436">
        <f>IF($L1436="","",INDEX(Расчет!$D$2:$D$3001,$L1436))</f>
        <v/>
      </c>
      <c r="F1436">
        <f>IF($L1436="","",INDEX(Расчет!$E$2:$E$3001,$L1436))</f>
        <v/>
      </c>
      <c r="G1436">
        <f>IF($L1436="","",IFERROR(--LEFT(INDEX(Расчет!$C$2:$C$3001,$L1436),FIND("(",INDEX(Расчет!$C$2:$C$3001,$L1436))-1),IFERROR(--LEFT(INDEX(Расчет!$C$2:$C$3001,$L1436),1),"")))</f>
        <v/>
      </c>
      <c r="H1436">
        <f>IF($L1436="","",SUMIFS(Расчет!$G$2:$G$3001,Расчет!$I$2:$I$3001,$K1436,Расчет!$H$2:$H$3001,1))</f>
        <v/>
      </c>
      <c r="I1436">
        <f>IF($L1436="","",SUMIFS(Расчет!$G$2:$G$3001,Расчет!$I$2:$I$3001,$K1436,Расчет!$H$2:$H$3001,2))</f>
        <v/>
      </c>
      <c r="J1436">
        <f>IF($L1436="","",SUMIFS(Расчет!$G$2:$G$3001,Расчет!$I$2:$I$3001,$K1436,Расчет!$H$2:$H$3001,3))</f>
        <v/>
      </c>
      <c r="K1436">
        <f>IF($L1436="","",INDEX(Расчет!$I$2:$I$3001,$L1436))</f>
        <v/>
      </c>
      <c r="L1436">
        <f>IFERROR(MATCH(ROW()-1,Расчет!$J$2:$J$3001,0),"")</f>
        <v/>
      </c>
    </row>
    <row r="1437">
      <c r="A1437">
        <f>IF($L1437="","",B1437&amp;"."&amp;C1437&amp;"-"&amp;D1437&amp;"-"&amp;H1437&amp;"."&amp;I1437&amp;"."&amp;J1437)</f>
        <v/>
      </c>
      <c r="B1437">
        <f>IF($L1437="","",INDEX(Расчет!$A$2:$A$3001,$L1437))</f>
        <v/>
      </c>
      <c r="C1437">
        <f>IF($L1437="","",INDEX(Расчет!$B$2:$B$3001,$L1437))</f>
        <v/>
      </c>
      <c r="D1437">
        <f>IF($L1437="","",IF(ISNUMBER(FIND("(",INDEX(Расчет!$C$2:$C$3001,$L1437))),SUBSTITUTE(MID(INDEX(Расчет!$C$2:$C$3001,$L1437),FIND("(",INDEX(Расчет!$C$2:$C$3001,$L1437))+1,99),")",""),INDEX(Расчет!$C$2:$C$3001,$L1437)))</f>
        <v/>
      </c>
      <c r="E1437">
        <f>IF($L1437="","",INDEX(Расчет!$D$2:$D$3001,$L1437))</f>
        <v/>
      </c>
      <c r="F1437">
        <f>IF($L1437="","",INDEX(Расчет!$E$2:$E$3001,$L1437))</f>
        <v/>
      </c>
      <c r="G1437">
        <f>IF($L1437="","",IFERROR(--LEFT(INDEX(Расчет!$C$2:$C$3001,$L1437),FIND("(",INDEX(Расчет!$C$2:$C$3001,$L1437))-1),IFERROR(--LEFT(INDEX(Расчет!$C$2:$C$3001,$L1437),1),"")))</f>
        <v/>
      </c>
      <c r="H1437">
        <f>IF($L1437="","",SUMIFS(Расчет!$G$2:$G$3001,Расчет!$I$2:$I$3001,$K1437,Расчет!$H$2:$H$3001,1))</f>
        <v/>
      </c>
      <c r="I1437">
        <f>IF($L1437="","",SUMIFS(Расчет!$G$2:$G$3001,Расчет!$I$2:$I$3001,$K1437,Расчет!$H$2:$H$3001,2))</f>
        <v/>
      </c>
      <c r="J1437">
        <f>IF($L1437="","",SUMIFS(Расчет!$G$2:$G$3001,Расчет!$I$2:$I$3001,$K1437,Расчет!$H$2:$H$3001,3))</f>
        <v/>
      </c>
      <c r="K1437">
        <f>IF($L1437="","",INDEX(Расчет!$I$2:$I$3001,$L1437))</f>
        <v/>
      </c>
      <c r="L1437">
        <f>IFERROR(MATCH(ROW()-1,Расчет!$J$2:$J$3001,0),"")</f>
        <v/>
      </c>
    </row>
    <row r="1438">
      <c r="A1438">
        <f>IF($L1438="","",B1438&amp;"."&amp;C1438&amp;"-"&amp;D1438&amp;"-"&amp;H1438&amp;"."&amp;I1438&amp;"."&amp;J1438)</f>
        <v/>
      </c>
      <c r="B1438">
        <f>IF($L1438="","",INDEX(Расчет!$A$2:$A$3001,$L1438))</f>
        <v/>
      </c>
      <c r="C1438">
        <f>IF($L1438="","",INDEX(Расчет!$B$2:$B$3001,$L1438))</f>
        <v/>
      </c>
      <c r="D1438">
        <f>IF($L1438="","",IF(ISNUMBER(FIND("(",INDEX(Расчет!$C$2:$C$3001,$L1438))),SUBSTITUTE(MID(INDEX(Расчет!$C$2:$C$3001,$L1438),FIND("(",INDEX(Расчет!$C$2:$C$3001,$L1438))+1,99),")",""),INDEX(Расчет!$C$2:$C$3001,$L1438)))</f>
        <v/>
      </c>
      <c r="E1438">
        <f>IF($L1438="","",INDEX(Расчет!$D$2:$D$3001,$L1438))</f>
        <v/>
      </c>
      <c r="F1438">
        <f>IF($L1438="","",INDEX(Расчет!$E$2:$E$3001,$L1438))</f>
        <v/>
      </c>
      <c r="G1438">
        <f>IF($L1438="","",IFERROR(--LEFT(INDEX(Расчет!$C$2:$C$3001,$L1438),FIND("(",INDEX(Расчет!$C$2:$C$3001,$L1438))-1),IFERROR(--LEFT(INDEX(Расчет!$C$2:$C$3001,$L1438),1),"")))</f>
        <v/>
      </c>
      <c r="H1438">
        <f>IF($L1438="","",SUMIFS(Расчет!$G$2:$G$3001,Расчет!$I$2:$I$3001,$K1438,Расчет!$H$2:$H$3001,1))</f>
        <v/>
      </c>
      <c r="I1438">
        <f>IF($L1438="","",SUMIFS(Расчет!$G$2:$G$3001,Расчет!$I$2:$I$3001,$K1438,Расчет!$H$2:$H$3001,2))</f>
        <v/>
      </c>
      <c r="J1438">
        <f>IF($L1438="","",SUMIFS(Расчет!$G$2:$G$3001,Расчет!$I$2:$I$3001,$K1438,Расчет!$H$2:$H$3001,3))</f>
        <v/>
      </c>
      <c r="K1438">
        <f>IF($L1438="","",INDEX(Расчет!$I$2:$I$3001,$L1438))</f>
        <v/>
      </c>
      <c r="L1438">
        <f>IFERROR(MATCH(ROW()-1,Расчет!$J$2:$J$3001,0),"")</f>
        <v/>
      </c>
    </row>
    <row r="1439">
      <c r="A1439">
        <f>IF($L1439="","",B1439&amp;"."&amp;C1439&amp;"-"&amp;D1439&amp;"-"&amp;H1439&amp;"."&amp;I1439&amp;"."&amp;J1439)</f>
        <v/>
      </c>
      <c r="B1439">
        <f>IF($L1439="","",INDEX(Расчет!$A$2:$A$3001,$L1439))</f>
        <v/>
      </c>
      <c r="C1439">
        <f>IF($L1439="","",INDEX(Расчет!$B$2:$B$3001,$L1439))</f>
        <v/>
      </c>
      <c r="D1439">
        <f>IF($L1439="","",IF(ISNUMBER(FIND("(",INDEX(Расчет!$C$2:$C$3001,$L1439))),SUBSTITUTE(MID(INDEX(Расчет!$C$2:$C$3001,$L1439),FIND("(",INDEX(Расчет!$C$2:$C$3001,$L1439))+1,99),")",""),INDEX(Расчет!$C$2:$C$3001,$L1439)))</f>
        <v/>
      </c>
      <c r="E1439">
        <f>IF($L1439="","",INDEX(Расчет!$D$2:$D$3001,$L1439))</f>
        <v/>
      </c>
      <c r="F1439">
        <f>IF($L1439="","",INDEX(Расчет!$E$2:$E$3001,$L1439))</f>
        <v/>
      </c>
      <c r="G1439">
        <f>IF($L1439="","",IFERROR(--LEFT(INDEX(Расчет!$C$2:$C$3001,$L1439),FIND("(",INDEX(Расчет!$C$2:$C$3001,$L1439))-1),IFERROR(--LEFT(INDEX(Расчет!$C$2:$C$3001,$L1439),1),"")))</f>
        <v/>
      </c>
      <c r="H1439">
        <f>IF($L1439="","",SUMIFS(Расчет!$G$2:$G$3001,Расчет!$I$2:$I$3001,$K1439,Расчет!$H$2:$H$3001,1))</f>
        <v/>
      </c>
      <c r="I1439">
        <f>IF($L1439="","",SUMIFS(Расчет!$G$2:$G$3001,Расчет!$I$2:$I$3001,$K1439,Расчет!$H$2:$H$3001,2))</f>
        <v/>
      </c>
      <c r="J1439">
        <f>IF($L1439="","",SUMIFS(Расчет!$G$2:$G$3001,Расчет!$I$2:$I$3001,$K1439,Расчет!$H$2:$H$3001,3))</f>
        <v/>
      </c>
      <c r="K1439">
        <f>IF($L1439="","",INDEX(Расчет!$I$2:$I$3001,$L1439))</f>
        <v/>
      </c>
      <c r="L1439">
        <f>IFERROR(MATCH(ROW()-1,Расчет!$J$2:$J$3001,0),"")</f>
        <v/>
      </c>
    </row>
    <row r="1440">
      <c r="A1440">
        <f>IF($L1440="","",B1440&amp;"."&amp;C1440&amp;"-"&amp;D1440&amp;"-"&amp;H1440&amp;"."&amp;I1440&amp;"."&amp;J1440)</f>
        <v/>
      </c>
      <c r="B1440">
        <f>IF($L1440="","",INDEX(Расчет!$A$2:$A$3001,$L1440))</f>
        <v/>
      </c>
      <c r="C1440">
        <f>IF($L1440="","",INDEX(Расчет!$B$2:$B$3001,$L1440))</f>
        <v/>
      </c>
      <c r="D1440">
        <f>IF($L1440="","",IF(ISNUMBER(FIND("(",INDEX(Расчет!$C$2:$C$3001,$L1440))),SUBSTITUTE(MID(INDEX(Расчет!$C$2:$C$3001,$L1440),FIND("(",INDEX(Расчет!$C$2:$C$3001,$L1440))+1,99),")",""),INDEX(Расчет!$C$2:$C$3001,$L1440)))</f>
        <v/>
      </c>
      <c r="E1440">
        <f>IF($L1440="","",INDEX(Расчет!$D$2:$D$3001,$L1440))</f>
        <v/>
      </c>
      <c r="F1440">
        <f>IF($L1440="","",INDEX(Расчет!$E$2:$E$3001,$L1440))</f>
        <v/>
      </c>
      <c r="G1440">
        <f>IF($L1440="","",IFERROR(--LEFT(INDEX(Расчет!$C$2:$C$3001,$L1440),FIND("(",INDEX(Расчет!$C$2:$C$3001,$L1440))-1),IFERROR(--LEFT(INDEX(Расчет!$C$2:$C$3001,$L1440),1),"")))</f>
        <v/>
      </c>
      <c r="H1440">
        <f>IF($L1440="","",SUMIFS(Расчет!$G$2:$G$3001,Расчет!$I$2:$I$3001,$K1440,Расчет!$H$2:$H$3001,1))</f>
        <v/>
      </c>
      <c r="I1440">
        <f>IF($L1440="","",SUMIFS(Расчет!$G$2:$G$3001,Расчет!$I$2:$I$3001,$K1440,Расчет!$H$2:$H$3001,2))</f>
        <v/>
      </c>
      <c r="J1440">
        <f>IF($L1440="","",SUMIFS(Расчет!$G$2:$G$3001,Расчет!$I$2:$I$3001,$K1440,Расчет!$H$2:$H$3001,3))</f>
        <v/>
      </c>
      <c r="K1440">
        <f>IF($L1440="","",INDEX(Расчет!$I$2:$I$3001,$L1440))</f>
        <v/>
      </c>
      <c r="L1440">
        <f>IFERROR(MATCH(ROW()-1,Расчет!$J$2:$J$3001,0),"")</f>
        <v/>
      </c>
    </row>
    <row r="1441">
      <c r="A1441">
        <f>IF($L1441="","",B1441&amp;"."&amp;C1441&amp;"-"&amp;D1441&amp;"-"&amp;H1441&amp;"."&amp;I1441&amp;"."&amp;J1441)</f>
        <v/>
      </c>
      <c r="B1441">
        <f>IF($L1441="","",INDEX(Расчет!$A$2:$A$3001,$L1441))</f>
        <v/>
      </c>
      <c r="C1441">
        <f>IF($L1441="","",INDEX(Расчет!$B$2:$B$3001,$L1441))</f>
        <v/>
      </c>
      <c r="D1441">
        <f>IF($L1441="","",IF(ISNUMBER(FIND("(",INDEX(Расчет!$C$2:$C$3001,$L1441))),SUBSTITUTE(MID(INDEX(Расчет!$C$2:$C$3001,$L1441),FIND("(",INDEX(Расчет!$C$2:$C$3001,$L1441))+1,99),")",""),INDEX(Расчет!$C$2:$C$3001,$L1441)))</f>
        <v/>
      </c>
      <c r="E1441">
        <f>IF($L1441="","",INDEX(Расчет!$D$2:$D$3001,$L1441))</f>
        <v/>
      </c>
      <c r="F1441">
        <f>IF($L1441="","",INDEX(Расчет!$E$2:$E$3001,$L1441))</f>
        <v/>
      </c>
      <c r="G1441">
        <f>IF($L1441="","",IFERROR(--LEFT(INDEX(Расчет!$C$2:$C$3001,$L1441),FIND("(",INDEX(Расчет!$C$2:$C$3001,$L1441))-1),IFERROR(--LEFT(INDEX(Расчет!$C$2:$C$3001,$L1441),1),"")))</f>
        <v/>
      </c>
      <c r="H1441">
        <f>IF($L1441="","",SUMIFS(Расчет!$G$2:$G$3001,Расчет!$I$2:$I$3001,$K1441,Расчет!$H$2:$H$3001,1))</f>
        <v/>
      </c>
      <c r="I1441">
        <f>IF($L1441="","",SUMIFS(Расчет!$G$2:$G$3001,Расчет!$I$2:$I$3001,$K1441,Расчет!$H$2:$H$3001,2))</f>
        <v/>
      </c>
      <c r="J1441">
        <f>IF($L1441="","",SUMIFS(Расчет!$G$2:$G$3001,Расчет!$I$2:$I$3001,$K1441,Расчет!$H$2:$H$3001,3))</f>
        <v/>
      </c>
      <c r="K1441">
        <f>IF($L1441="","",INDEX(Расчет!$I$2:$I$3001,$L1441))</f>
        <v/>
      </c>
      <c r="L1441">
        <f>IFERROR(MATCH(ROW()-1,Расчет!$J$2:$J$3001,0),"")</f>
        <v/>
      </c>
    </row>
    <row r="1442">
      <c r="A1442">
        <f>IF($L1442="","",B1442&amp;"."&amp;C1442&amp;"-"&amp;D1442&amp;"-"&amp;H1442&amp;"."&amp;I1442&amp;"."&amp;J1442)</f>
        <v/>
      </c>
      <c r="B1442">
        <f>IF($L1442="","",INDEX(Расчет!$A$2:$A$3001,$L1442))</f>
        <v/>
      </c>
      <c r="C1442">
        <f>IF($L1442="","",INDEX(Расчет!$B$2:$B$3001,$L1442))</f>
        <v/>
      </c>
      <c r="D1442">
        <f>IF($L1442="","",IF(ISNUMBER(FIND("(",INDEX(Расчет!$C$2:$C$3001,$L1442))),SUBSTITUTE(MID(INDEX(Расчет!$C$2:$C$3001,$L1442),FIND("(",INDEX(Расчет!$C$2:$C$3001,$L1442))+1,99),")",""),INDEX(Расчет!$C$2:$C$3001,$L1442)))</f>
        <v/>
      </c>
      <c r="E1442">
        <f>IF($L1442="","",INDEX(Расчет!$D$2:$D$3001,$L1442))</f>
        <v/>
      </c>
      <c r="F1442">
        <f>IF($L1442="","",INDEX(Расчет!$E$2:$E$3001,$L1442))</f>
        <v/>
      </c>
      <c r="G1442">
        <f>IF($L1442="","",IFERROR(--LEFT(INDEX(Расчет!$C$2:$C$3001,$L1442),FIND("(",INDEX(Расчет!$C$2:$C$3001,$L1442))-1),IFERROR(--LEFT(INDEX(Расчет!$C$2:$C$3001,$L1442),1),"")))</f>
        <v/>
      </c>
      <c r="H1442">
        <f>IF($L1442="","",SUMIFS(Расчет!$G$2:$G$3001,Расчет!$I$2:$I$3001,$K1442,Расчет!$H$2:$H$3001,1))</f>
        <v/>
      </c>
      <c r="I1442">
        <f>IF($L1442="","",SUMIFS(Расчет!$G$2:$G$3001,Расчет!$I$2:$I$3001,$K1442,Расчет!$H$2:$H$3001,2))</f>
        <v/>
      </c>
      <c r="J1442">
        <f>IF($L1442="","",SUMIFS(Расчет!$G$2:$G$3001,Расчет!$I$2:$I$3001,$K1442,Расчет!$H$2:$H$3001,3))</f>
        <v/>
      </c>
      <c r="K1442">
        <f>IF($L1442="","",INDEX(Расчет!$I$2:$I$3001,$L1442))</f>
        <v/>
      </c>
      <c r="L1442">
        <f>IFERROR(MATCH(ROW()-1,Расчет!$J$2:$J$3001,0),"")</f>
        <v/>
      </c>
    </row>
    <row r="1443">
      <c r="A1443">
        <f>IF($L1443="","",B1443&amp;"."&amp;C1443&amp;"-"&amp;D1443&amp;"-"&amp;H1443&amp;"."&amp;I1443&amp;"."&amp;J1443)</f>
        <v/>
      </c>
      <c r="B1443">
        <f>IF($L1443="","",INDEX(Расчет!$A$2:$A$3001,$L1443))</f>
        <v/>
      </c>
      <c r="C1443">
        <f>IF($L1443="","",INDEX(Расчет!$B$2:$B$3001,$L1443))</f>
        <v/>
      </c>
      <c r="D1443">
        <f>IF($L1443="","",IF(ISNUMBER(FIND("(",INDEX(Расчет!$C$2:$C$3001,$L1443))),SUBSTITUTE(MID(INDEX(Расчет!$C$2:$C$3001,$L1443),FIND("(",INDEX(Расчет!$C$2:$C$3001,$L1443))+1,99),")",""),INDEX(Расчет!$C$2:$C$3001,$L1443)))</f>
        <v/>
      </c>
      <c r="E1443">
        <f>IF($L1443="","",INDEX(Расчет!$D$2:$D$3001,$L1443))</f>
        <v/>
      </c>
      <c r="F1443">
        <f>IF($L1443="","",INDEX(Расчет!$E$2:$E$3001,$L1443))</f>
        <v/>
      </c>
      <c r="G1443">
        <f>IF($L1443="","",IFERROR(--LEFT(INDEX(Расчет!$C$2:$C$3001,$L1443),FIND("(",INDEX(Расчет!$C$2:$C$3001,$L1443))-1),IFERROR(--LEFT(INDEX(Расчет!$C$2:$C$3001,$L1443),1),"")))</f>
        <v/>
      </c>
      <c r="H1443">
        <f>IF($L1443="","",SUMIFS(Расчет!$G$2:$G$3001,Расчет!$I$2:$I$3001,$K1443,Расчет!$H$2:$H$3001,1))</f>
        <v/>
      </c>
      <c r="I1443">
        <f>IF($L1443="","",SUMIFS(Расчет!$G$2:$G$3001,Расчет!$I$2:$I$3001,$K1443,Расчет!$H$2:$H$3001,2))</f>
        <v/>
      </c>
      <c r="J1443">
        <f>IF($L1443="","",SUMIFS(Расчет!$G$2:$G$3001,Расчет!$I$2:$I$3001,$K1443,Расчет!$H$2:$H$3001,3))</f>
        <v/>
      </c>
      <c r="K1443">
        <f>IF($L1443="","",INDEX(Расчет!$I$2:$I$3001,$L1443))</f>
        <v/>
      </c>
      <c r="L1443">
        <f>IFERROR(MATCH(ROW()-1,Расчет!$J$2:$J$3001,0),"")</f>
        <v/>
      </c>
    </row>
    <row r="1444">
      <c r="A1444">
        <f>IF($L1444="","",B1444&amp;"."&amp;C1444&amp;"-"&amp;D1444&amp;"-"&amp;H1444&amp;"."&amp;I1444&amp;"."&amp;J1444)</f>
        <v/>
      </c>
      <c r="B1444">
        <f>IF($L1444="","",INDEX(Расчет!$A$2:$A$3001,$L1444))</f>
        <v/>
      </c>
      <c r="C1444">
        <f>IF($L1444="","",INDEX(Расчет!$B$2:$B$3001,$L1444))</f>
        <v/>
      </c>
      <c r="D1444">
        <f>IF($L1444="","",IF(ISNUMBER(FIND("(",INDEX(Расчет!$C$2:$C$3001,$L1444))),SUBSTITUTE(MID(INDEX(Расчет!$C$2:$C$3001,$L1444),FIND("(",INDEX(Расчет!$C$2:$C$3001,$L1444))+1,99),")",""),INDEX(Расчет!$C$2:$C$3001,$L1444)))</f>
        <v/>
      </c>
      <c r="E1444">
        <f>IF($L1444="","",INDEX(Расчет!$D$2:$D$3001,$L1444))</f>
        <v/>
      </c>
      <c r="F1444">
        <f>IF($L1444="","",INDEX(Расчет!$E$2:$E$3001,$L1444))</f>
        <v/>
      </c>
      <c r="G1444">
        <f>IF($L1444="","",IFERROR(--LEFT(INDEX(Расчет!$C$2:$C$3001,$L1444),FIND("(",INDEX(Расчет!$C$2:$C$3001,$L1444))-1),IFERROR(--LEFT(INDEX(Расчет!$C$2:$C$3001,$L1444),1),"")))</f>
        <v/>
      </c>
      <c r="H1444">
        <f>IF($L1444="","",SUMIFS(Расчет!$G$2:$G$3001,Расчет!$I$2:$I$3001,$K1444,Расчет!$H$2:$H$3001,1))</f>
        <v/>
      </c>
      <c r="I1444">
        <f>IF($L1444="","",SUMIFS(Расчет!$G$2:$G$3001,Расчет!$I$2:$I$3001,$K1444,Расчет!$H$2:$H$3001,2))</f>
        <v/>
      </c>
      <c r="J1444">
        <f>IF($L1444="","",SUMIFS(Расчет!$G$2:$G$3001,Расчет!$I$2:$I$3001,$K1444,Расчет!$H$2:$H$3001,3))</f>
        <v/>
      </c>
      <c r="K1444">
        <f>IF($L1444="","",INDEX(Расчет!$I$2:$I$3001,$L1444))</f>
        <v/>
      </c>
      <c r="L1444">
        <f>IFERROR(MATCH(ROW()-1,Расчет!$J$2:$J$3001,0),"")</f>
        <v/>
      </c>
    </row>
    <row r="1445">
      <c r="A1445">
        <f>IF($L1445="","",B1445&amp;"."&amp;C1445&amp;"-"&amp;D1445&amp;"-"&amp;H1445&amp;"."&amp;I1445&amp;"."&amp;J1445)</f>
        <v/>
      </c>
      <c r="B1445">
        <f>IF($L1445="","",INDEX(Расчет!$A$2:$A$3001,$L1445))</f>
        <v/>
      </c>
      <c r="C1445">
        <f>IF($L1445="","",INDEX(Расчет!$B$2:$B$3001,$L1445))</f>
        <v/>
      </c>
      <c r="D1445">
        <f>IF($L1445="","",IF(ISNUMBER(FIND("(",INDEX(Расчет!$C$2:$C$3001,$L1445))),SUBSTITUTE(MID(INDEX(Расчет!$C$2:$C$3001,$L1445),FIND("(",INDEX(Расчет!$C$2:$C$3001,$L1445))+1,99),")",""),INDEX(Расчет!$C$2:$C$3001,$L1445)))</f>
        <v/>
      </c>
      <c r="E1445">
        <f>IF($L1445="","",INDEX(Расчет!$D$2:$D$3001,$L1445))</f>
        <v/>
      </c>
      <c r="F1445">
        <f>IF($L1445="","",INDEX(Расчет!$E$2:$E$3001,$L1445))</f>
        <v/>
      </c>
      <c r="G1445">
        <f>IF($L1445="","",IFERROR(--LEFT(INDEX(Расчет!$C$2:$C$3001,$L1445),FIND("(",INDEX(Расчет!$C$2:$C$3001,$L1445))-1),IFERROR(--LEFT(INDEX(Расчет!$C$2:$C$3001,$L1445),1),"")))</f>
        <v/>
      </c>
      <c r="H1445">
        <f>IF($L1445="","",SUMIFS(Расчет!$G$2:$G$3001,Расчет!$I$2:$I$3001,$K1445,Расчет!$H$2:$H$3001,1))</f>
        <v/>
      </c>
      <c r="I1445">
        <f>IF($L1445="","",SUMIFS(Расчет!$G$2:$G$3001,Расчет!$I$2:$I$3001,$K1445,Расчет!$H$2:$H$3001,2))</f>
        <v/>
      </c>
      <c r="J1445">
        <f>IF($L1445="","",SUMIFS(Расчет!$G$2:$G$3001,Расчет!$I$2:$I$3001,$K1445,Расчет!$H$2:$H$3001,3))</f>
        <v/>
      </c>
      <c r="K1445">
        <f>IF($L1445="","",INDEX(Расчет!$I$2:$I$3001,$L1445))</f>
        <v/>
      </c>
      <c r="L1445">
        <f>IFERROR(MATCH(ROW()-1,Расчет!$J$2:$J$3001,0),"")</f>
        <v/>
      </c>
    </row>
    <row r="1446">
      <c r="A1446">
        <f>IF($L1446="","",B1446&amp;"."&amp;C1446&amp;"-"&amp;D1446&amp;"-"&amp;H1446&amp;"."&amp;I1446&amp;"."&amp;J1446)</f>
        <v/>
      </c>
      <c r="B1446">
        <f>IF($L1446="","",INDEX(Расчет!$A$2:$A$3001,$L1446))</f>
        <v/>
      </c>
      <c r="C1446">
        <f>IF($L1446="","",INDEX(Расчет!$B$2:$B$3001,$L1446))</f>
        <v/>
      </c>
      <c r="D1446">
        <f>IF($L1446="","",IF(ISNUMBER(FIND("(",INDEX(Расчет!$C$2:$C$3001,$L1446))),SUBSTITUTE(MID(INDEX(Расчет!$C$2:$C$3001,$L1446),FIND("(",INDEX(Расчет!$C$2:$C$3001,$L1446))+1,99),")",""),INDEX(Расчет!$C$2:$C$3001,$L1446)))</f>
        <v/>
      </c>
      <c r="E1446">
        <f>IF($L1446="","",INDEX(Расчет!$D$2:$D$3001,$L1446))</f>
        <v/>
      </c>
      <c r="F1446">
        <f>IF($L1446="","",INDEX(Расчет!$E$2:$E$3001,$L1446))</f>
        <v/>
      </c>
      <c r="G1446">
        <f>IF($L1446="","",IFERROR(--LEFT(INDEX(Расчет!$C$2:$C$3001,$L1446),FIND("(",INDEX(Расчет!$C$2:$C$3001,$L1446))-1),IFERROR(--LEFT(INDEX(Расчет!$C$2:$C$3001,$L1446),1),"")))</f>
        <v/>
      </c>
      <c r="H1446">
        <f>IF($L1446="","",SUMIFS(Расчет!$G$2:$G$3001,Расчет!$I$2:$I$3001,$K1446,Расчет!$H$2:$H$3001,1))</f>
        <v/>
      </c>
      <c r="I1446">
        <f>IF($L1446="","",SUMIFS(Расчет!$G$2:$G$3001,Расчет!$I$2:$I$3001,$K1446,Расчет!$H$2:$H$3001,2))</f>
        <v/>
      </c>
      <c r="J1446">
        <f>IF($L1446="","",SUMIFS(Расчет!$G$2:$G$3001,Расчет!$I$2:$I$3001,$K1446,Расчет!$H$2:$H$3001,3))</f>
        <v/>
      </c>
      <c r="K1446">
        <f>IF($L1446="","",INDEX(Расчет!$I$2:$I$3001,$L1446))</f>
        <v/>
      </c>
      <c r="L1446">
        <f>IFERROR(MATCH(ROW()-1,Расчет!$J$2:$J$3001,0),"")</f>
        <v/>
      </c>
    </row>
    <row r="1447">
      <c r="A1447">
        <f>IF($L1447="","",B1447&amp;"."&amp;C1447&amp;"-"&amp;D1447&amp;"-"&amp;H1447&amp;"."&amp;I1447&amp;"."&amp;J1447)</f>
        <v/>
      </c>
      <c r="B1447">
        <f>IF($L1447="","",INDEX(Расчет!$A$2:$A$3001,$L1447))</f>
        <v/>
      </c>
      <c r="C1447">
        <f>IF($L1447="","",INDEX(Расчет!$B$2:$B$3001,$L1447))</f>
        <v/>
      </c>
      <c r="D1447">
        <f>IF($L1447="","",IF(ISNUMBER(FIND("(",INDEX(Расчет!$C$2:$C$3001,$L1447))),SUBSTITUTE(MID(INDEX(Расчет!$C$2:$C$3001,$L1447),FIND("(",INDEX(Расчет!$C$2:$C$3001,$L1447))+1,99),")",""),INDEX(Расчет!$C$2:$C$3001,$L1447)))</f>
        <v/>
      </c>
      <c r="E1447">
        <f>IF($L1447="","",INDEX(Расчет!$D$2:$D$3001,$L1447))</f>
        <v/>
      </c>
      <c r="F1447">
        <f>IF($L1447="","",INDEX(Расчет!$E$2:$E$3001,$L1447))</f>
        <v/>
      </c>
      <c r="G1447">
        <f>IF($L1447="","",IFERROR(--LEFT(INDEX(Расчет!$C$2:$C$3001,$L1447),FIND("(",INDEX(Расчет!$C$2:$C$3001,$L1447))-1),IFERROR(--LEFT(INDEX(Расчет!$C$2:$C$3001,$L1447),1),"")))</f>
        <v/>
      </c>
      <c r="H1447">
        <f>IF($L1447="","",SUMIFS(Расчет!$G$2:$G$3001,Расчет!$I$2:$I$3001,$K1447,Расчет!$H$2:$H$3001,1))</f>
        <v/>
      </c>
      <c r="I1447">
        <f>IF($L1447="","",SUMIFS(Расчет!$G$2:$G$3001,Расчет!$I$2:$I$3001,$K1447,Расчет!$H$2:$H$3001,2))</f>
        <v/>
      </c>
      <c r="J1447">
        <f>IF($L1447="","",SUMIFS(Расчет!$G$2:$G$3001,Расчет!$I$2:$I$3001,$K1447,Расчет!$H$2:$H$3001,3))</f>
        <v/>
      </c>
      <c r="K1447">
        <f>IF($L1447="","",INDEX(Расчет!$I$2:$I$3001,$L1447))</f>
        <v/>
      </c>
      <c r="L1447">
        <f>IFERROR(MATCH(ROW()-1,Расчет!$J$2:$J$3001,0),"")</f>
        <v/>
      </c>
    </row>
    <row r="1448">
      <c r="A1448">
        <f>IF($L1448="","",B1448&amp;"."&amp;C1448&amp;"-"&amp;D1448&amp;"-"&amp;H1448&amp;"."&amp;I1448&amp;"."&amp;J1448)</f>
        <v/>
      </c>
      <c r="B1448">
        <f>IF($L1448="","",INDEX(Расчет!$A$2:$A$3001,$L1448))</f>
        <v/>
      </c>
      <c r="C1448">
        <f>IF($L1448="","",INDEX(Расчет!$B$2:$B$3001,$L1448))</f>
        <v/>
      </c>
      <c r="D1448">
        <f>IF($L1448="","",IF(ISNUMBER(FIND("(",INDEX(Расчет!$C$2:$C$3001,$L1448))),SUBSTITUTE(MID(INDEX(Расчет!$C$2:$C$3001,$L1448),FIND("(",INDEX(Расчет!$C$2:$C$3001,$L1448))+1,99),")",""),INDEX(Расчет!$C$2:$C$3001,$L1448)))</f>
        <v/>
      </c>
      <c r="E1448">
        <f>IF($L1448="","",INDEX(Расчет!$D$2:$D$3001,$L1448))</f>
        <v/>
      </c>
      <c r="F1448">
        <f>IF($L1448="","",INDEX(Расчет!$E$2:$E$3001,$L1448))</f>
        <v/>
      </c>
      <c r="G1448">
        <f>IF($L1448="","",IFERROR(--LEFT(INDEX(Расчет!$C$2:$C$3001,$L1448),FIND("(",INDEX(Расчет!$C$2:$C$3001,$L1448))-1),IFERROR(--LEFT(INDEX(Расчет!$C$2:$C$3001,$L1448),1),"")))</f>
        <v/>
      </c>
      <c r="H1448">
        <f>IF($L1448="","",SUMIFS(Расчет!$G$2:$G$3001,Расчет!$I$2:$I$3001,$K1448,Расчет!$H$2:$H$3001,1))</f>
        <v/>
      </c>
      <c r="I1448">
        <f>IF($L1448="","",SUMIFS(Расчет!$G$2:$G$3001,Расчет!$I$2:$I$3001,$K1448,Расчет!$H$2:$H$3001,2))</f>
        <v/>
      </c>
      <c r="J1448">
        <f>IF($L1448="","",SUMIFS(Расчет!$G$2:$G$3001,Расчет!$I$2:$I$3001,$K1448,Расчет!$H$2:$H$3001,3))</f>
        <v/>
      </c>
      <c r="K1448">
        <f>IF($L1448="","",INDEX(Расчет!$I$2:$I$3001,$L1448))</f>
        <v/>
      </c>
      <c r="L1448">
        <f>IFERROR(MATCH(ROW()-1,Расчет!$J$2:$J$3001,0),"")</f>
        <v/>
      </c>
    </row>
    <row r="1449">
      <c r="A1449">
        <f>IF($L1449="","",B1449&amp;"."&amp;C1449&amp;"-"&amp;D1449&amp;"-"&amp;H1449&amp;"."&amp;I1449&amp;"."&amp;J1449)</f>
        <v/>
      </c>
      <c r="B1449">
        <f>IF($L1449="","",INDEX(Расчет!$A$2:$A$3001,$L1449))</f>
        <v/>
      </c>
      <c r="C1449">
        <f>IF($L1449="","",INDEX(Расчет!$B$2:$B$3001,$L1449))</f>
        <v/>
      </c>
      <c r="D1449">
        <f>IF($L1449="","",IF(ISNUMBER(FIND("(",INDEX(Расчет!$C$2:$C$3001,$L1449))),SUBSTITUTE(MID(INDEX(Расчет!$C$2:$C$3001,$L1449),FIND("(",INDEX(Расчет!$C$2:$C$3001,$L1449))+1,99),")",""),INDEX(Расчет!$C$2:$C$3001,$L1449)))</f>
        <v/>
      </c>
      <c r="E1449">
        <f>IF($L1449="","",INDEX(Расчет!$D$2:$D$3001,$L1449))</f>
        <v/>
      </c>
      <c r="F1449">
        <f>IF($L1449="","",INDEX(Расчет!$E$2:$E$3001,$L1449))</f>
        <v/>
      </c>
      <c r="G1449">
        <f>IF($L1449="","",IFERROR(--LEFT(INDEX(Расчет!$C$2:$C$3001,$L1449),FIND("(",INDEX(Расчет!$C$2:$C$3001,$L1449))-1),IFERROR(--LEFT(INDEX(Расчет!$C$2:$C$3001,$L1449),1),"")))</f>
        <v/>
      </c>
      <c r="H1449">
        <f>IF($L1449="","",SUMIFS(Расчет!$G$2:$G$3001,Расчет!$I$2:$I$3001,$K1449,Расчет!$H$2:$H$3001,1))</f>
        <v/>
      </c>
      <c r="I1449">
        <f>IF($L1449="","",SUMIFS(Расчет!$G$2:$G$3001,Расчет!$I$2:$I$3001,$K1449,Расчет!$H$2:$H$3001,2))</f>
        <v/>
      </c>
      <c r="J1449">
        <f>IF($L1449="","",SUMIFS(Расчет!$G$2:$G$3001,Расчет!$I$2:$I$3001,$K1449,Расчет!$H$2:$H$3001,3))</f>
        <v/>
      </c>
      <c r="K1449">
        <f>IF($L1449="","",INDEX(Расчет!$I$2:$I$3001,$L1449))</f>
        <v/>
      </c>
      <c r="L1449">
        <f>IFERROR(MATCH(ROW()-1,Расчет!$J$2:$J$3001,0),"")</f>
        <v/>
      </c>
    </row>
    <row r="1450">
      <c r="A1450">
        <f>IF($L1450="","",B1450&amp;"."&amp;C1450&amp;"-"&amp;D1450&amp;"-"&amp;H1450&amp;"."&amp;I1450&amp;"."&amp;J1450)</f>
        <v/>
      </c>
      <c r="B1450">
        <f>IF($L1450="","",INDEX(Расчет!$A$2:$A$3001,$L1450))</f>
        <v/>
      </c>
      <c r="C1450">
        <f>IF($L1450="","",INDEX(Расчет!$B$2:$B$3001,$L1450))</f>
        <v/>
      </c>
      <c r="D1450">
        <f>IF($L1450="","",IF(ISNUMBER(FIND("(",INDEX(Расчет!$C$2:$C$3001,$L1450))),SUBSTITUTE(MID(INDEX(Расчет!$C$2:$C$3001,$L1450),FIND("(",INDEX(Расчет!$C$2:$C$3001,$L1450))+1,99),")",""),INDEX(Расчет!$C$2:$C$3001,$L1450)))</f>
        <v/>
      </c>
      <c r="E1450">
        <f>IF($L1450="","",INDEX(Расчет!$D$2:$D$3001,$L1450))</f>
        <v/>
      </c>
      <c r="F1450">
        <f>IF($L1450="","",INDEX(Расчет!$E$2:$E$3001,$L1450))</f>
        <v/>
      </c>
      <c r="G1450">
        <f>IF($L1450="","",IFERROR(--LEFT(INDEX(Расчет!$C$2:$C$3001,$L1450),FIND("(",INDEX(Расчет!$C$2:$C$3001,$L1450))-1),IFERROR(--LEFT(INDEX(Расчет!$C$2:$C$3001,$L1450),1),"")))</f>
        <v/>
      </c>
      <c r="H1450">
        <f>IF($L1450="","",SUMIFS(Расчет!$G$2:$G$3001,Расчет!$I$2:$I$3001,$K1450,Расчет!$H$2:$H$3001,1))</f>
        <v/>
      </c>
      <c r="I1450">
        <f>IF($L1450="","",SUMIFS(Расчет!$G$2:$G$3001,Расчет!$I$2:$I$3001,$K1450,Расчет!$H$2:$H$3001,2))</f>
        <v/>
      </c>
      <c r="J1450">
        <f>IF($L1450="","",SUMIFS(Расчет!$G$2:$G$3001,Расчет!$I$2:$I$3001,$K1450,Расчет!$H$2:$H$3001,3))</f>
        <v/>
      </c>
      <c r="K1450">
        <f>IF($L1450="","",INDEX(Расчет!$I$2:$I$3001,$L1450))</f>
        <v/>
      </c>
      <c r="L1450">
        <f>IFERROR(MATCH(ROW()-1,Расчет!$J$2:$J$3001,0),"")</f>
        <v/>
      </c>
    </row>
    <row r="1451">
      <c r="A1451">
        <f>IF($L1451="","",B1451&amp;"."&amp;C1451&amp;"-"&amp;D1451&amp;"-"&amp;H1451&amp;"."&amp;I1451&amp;"."&amp;J1451)</f>
        <v/>
      </c>
      <c r="B1451">
        <f>IF($L1451="","",INDEX(Расчет!$A$2:$A$3001,$L1451))</f>
        <v/>
      </c>
      <c r="C1451">
        <f>IF($L1451="","",INDEX(Расчет!$B$2:$B$3001,$L1451))</f>
        <v/>
      </c>
      <c r="D1451">
        <f>IF($L1451="","",IF(ISNUMBER(FIND("(",INDEX(Расчет!$C$2:$C$3001,$L1451))),SUBSTITUTE(MID(INDEX(Расчет!$C$2:$C$3001,$L1451),FIND("(",INDEX(Расчет!$C$2:$C$3001,$L1451))+1,99),")",""),INDEX(Расчет!$C$2:$C$3001,$L1451)))</f>
        <v/>
      </c>
      <c r="E1451">
        <f>IF($L1451="","",INDEX(Расчет!$D$2:$D$3001,$L1451))</f>
        <v/>
      </c>
      <c r="F1451">
        <f>IF($L1451="","",INDEX(Расчет!$E$2:$E$3001,$L1451))</f>
        <v/>
      </c>
      <c r="G1451">
        <f>IF($L1451="","",IFERROR(--LEFT(INDEX(Расчет!$C$2:$C$3001,$L1451),FIND("(",INDEX(Расчет!$C$2:$C$3001,$L1451))-1),IFERROR(--LEFT(INDEX(Расчет!$C$2:$C$3001,$L1451),1),"")))</f>
        <v/>
      </c>
      <c r="H1451">
        <f>IF($L1451="","",SUMIFS(Расчет!$G$2:$G$3001,Расчет!$I$2:$I$3001,$K1451,Расчет!$H$2:$H$3001,1))</f>
        <v/>
      </c>
      <c r="I1451">
        <f>IF($L1451="","",SUMIFS(Расчет!$G$2:$G$3001,Расчет!$I$2:$I$3001,$K1451,Расчет!$H$2:$H$3001,2))</f>
        <v/>
      </c>
      <c r="J1451">
        <f>IF($L1451="","",SUMIFS(Расчет!$G$2:$G$3001,Расчет!$I$2:$I$3001,$K1451,Расчет!$H$2:$H$3001,3))</f>
        <v/>
      </c>
      <c r="K1451">
        <f>IF($L1451="","",INDEX(Расчет!$I$2:$I$3001,$L1451))</f>
        <v/>
      </c>
      <c r="L1451">
        <f>IFERROR(MATCH(ROW()-1,Расчет!$J$2:$J$3001,0),"")</f>
        <v/>
      </c>
    </row>
    <row r="1452">
      <c r="A1452">
        <f>IF($L1452="","",B1452&amp;"."&amp;C1452&amp;"-"&amp;D1452&amp;"-"&amp;H1452&amp;"."&amp;I1452&amp;"."&amp;J1452)</f>
        <v/>
      </c>
      <c r="B1452">
        <f>IF($L1452="","",INDEX(Расчет!$A$2:$A$3001,$L1452))</f>
        <v/>
      </c>
      <c r="C1452">
        <f>IF($L1452="","",INDEX(Расчет!$B$2:$B$3001,$L1452))</f>
        <v/>
      </c>
      <c r="D1452">
        <f>IF($L1452="","",IF(ISNUMBER(FIND("(",INDEX(Расчет!$C$2:$C$3001,$L1452))),SUBSTITUTE(MID(INDEX(Расчет!$C$2:$C$3001,$L1452),FIND("(",INDEX(Расчет!$C$2:$C$3001,$L1452))+1,99),")",""),INDEX(Расчет!$C$2:$C$3001,$L1452)))</f>
        <v/>
      </c>
      <c r="E1452">
        <f>IF($L1452="","",INDEX(Расчет!$D$2:$D$3001,$L1452))</f>
        <v/>
      </c>
      <c r="F1452">
        <f>IF($L1452="","",INDEX(Расчет!$E$2:$E$3001,$L1452))</f>
        <v/>
      </c>
      <c r="G1452">
        <f>IF($L1452="","",IFERROR(--LEFT(INDEX(Расчет!$C$2:$C$3001,$L1452),FIND("(",INDEX(Расчет!$C$2:$C$3001,$L1452))-1),IFERROR(--LEFT(INDEX(Расчет!$C$2:$C$3001,$L1452),1),"")))</f>
        <v/>
      </c>
      <c r="H1452">
        <f>IF($L1452="","",SUMIFS(Расчет!$G$2:$G$3001,Расчет!$I$2:$I$3001,$K1452,Расчет!$H$2:$H$3001,1))</f>
        <v/>
      </c>
      <c r="I1452">
        <f>IF($L1452="","",SUMIFS(Расчет!$G$2:$G$3001,Расчет!$I$2:$I$3001,$K1452,Расчет!$H$2:$H$3001,2))</f>
        <v/>
      </c>
      <c r="J1452">
        <f>IF($L1452="","",SUMIFS(Расчет!$G$2:$G$3001,Расчет!$I$2:$I$3001,$K1452,Расчет!$H$2:$H$3001,3))</f>
        <v/>
      </c>
      <c r="K1452">
        <f>IF($L1452="","",INDEX(Расчет!$I$2:$I$3001,$L1452))</f>
        <v/>
      </c>
      <c r="L1452">
        <f>IFERROR(MATCH(ROW()-1,Расчет!$J$2:$J$3001,0),"")</f>
        <v/>
      </c>
    </row>
    <row r="1453">
      <c r="A1453">
        <f>IF($L1453="","",B1453&amp;"."&amp;C1453&amp;"-"&amp;D1453&amp;"-"&amp;H1453&amp;"."&amp;I1453&amp;"."&amp;J1453)</f>
        <v/>
      </c>
      <c r="B1453">
        <f>IF($L1453="","",INDEX(Расчет!$A$2:$A$3001,$L1453))</f>
        <v/>
      </c>
      <c r="C1453">
        <f>IF($L1453="","",INDEX(Расчет!$B$2:$B$3001,$L1453))</f>
        <v/>
      </c>
      <c r="D1453">
        <f>IF($L1453="","",IF(ISNUMBER(FIND("(",INDEX(Расчет!$C$2:$C$3001,$L1453))),SUBSTITUTE(MID(INDEX(Расчет!$C$2:$C$3001,$L1453),FIND("(",INDEX(Расчет!$C$2:$C$3001,$L1453))+1,99),")",""),INDEX(Расчет!$C$2:$C$3001,$L1453)))</f>
        <v/>
      </c>
      <c r="E1453">
        <f>IF($L1453="","",INDEX(Расчет!$D$2:$D$3001,$L1453))</f>
        <v/>
      </c>
      <c r="F1453">
        <f>IF($L1453="","",INDEX(Расчет!$E$2:$E$3001,$L1453))</f>
        <v/>
      </c>
      <c r="G1453">
        <f>IF($L1453="","",IFERROR(--LEFT(INDEX(Расчет!$C$2:$C$3001,$L1453),FIND("(",INDEX(Расчет!$C$2:$C$3001,$L1453))-1),IFERROR(--LEFT(INDEX(Расчет!$C$2:$C$3001,$L1453),1),"")))</f>
        <v/>
      </c>
      <c r="H1453">
        <f>IF($L1453="","",SUMIFS(Расчет!$G$2:$G$3001,Расчет!$I$2:$I$3001,$K1453,Расчет!$H$2:$H$3001,1))</f>
        <v/>
      </c>
      <c r="I1453">
        <f>IF($L1453="","",SUMIFS(Расчет!$G$2:$G$3001,Расчет!$I$2:$I$3001,$K1453,Расчет!$H$2:$H$3001,2))</f>
        <v/>
      </c>
      <c r="J1453">
        <f>IF($L1453="","",SUMIFS(Расчет!$G$2:$G$3001,Расчет!$I$2:$I$3001,$K1453,Расчет!$H$2:$H$3001,3))</f>
        <v/>
      </c>
      <c r="K1453">
        <f>IF($L1453="","",INDEX(Расчет!$I$2:$I$3001,$L1453))</f>
        <v/>
      </c>
      <c r="L1453">
        <f>IFERROR(MATCH(ROW()-1,Расчет!$J$2:$J$3001,0),"")</f>
        <v/>
      </c>
    </row>
    <row r="1454">
      <c r="A1454">
        <f>IF($L1454="","",B1454&amp;"."&amp;C1454&amp;"-"&amp;D1454&amp;"-"&amp;H1454&amp;"."&amp;I1454&amp;"."&amp;J1454)</f>
        <v/>
      </c>
      <c r="B1454">
        <f>IF($L1454="","",INDEX(Расчет!$A$2:$A$3001,$L1454))</f>
        <v/>
      </c>
      <c r="C1454">
        <f>IF($L1454="","",INDEX(Расчет!$B$2:$B$3001,$L1454))</f>
        <v/>
      </c>
      <c r="D1454">
        <f>IF($L1454="","",IF(ISNUMBER(FIND("(",INDEX(Расчет!$C$2:$C$3001,$L1454))),SUBSTITUTE(MID(INDEX(Расчет!$C$2:$C$3001,$L1454),FIND("(",INDEX(Расчет!$C$2:$C$3001,$L1454))+1,99),")",""),INDEX(Расчет!$C$2:$C$3001,$L1454)))</f>
        <v/>
      </c>
      <c r="E1454">
        <f>IF($L1454="","",INDEX(Расчет!$D$2:$D$3001,$L1454))</f>
        <v/>
      </c>
      <c r="F1454">
        <f>IF($L1454="","",INDEX(Расчет!$E$2:$E$3001,$L1454))</f>
        <v/>
      </c>
      <c r="G1454">
        <f>IF($L1454="","",IFERROR(--LEFT(INDEX(Расчет!$C$2:$C$3001,$L1454),FIND("(",INDEX(Расчет!$C$2:$C$3001,$L1454))-1),IFERROR(--LEFT(INDEX(Расчет!$C$2:$C$3001,$L1454),1),"")))</f>
        <v/>
      </c>
      <c r="H1454">
        <f>IF($L1454="","",SUMIFS(Расчет!$G$2:$G$3001,Расчет!$I$2:$I$3001,$K1454,Расчет!$H$2:$H$3001,1))</f>
        <v/>
      </c>
      <c r="I1454">
        <f>IF($L1454="","",SUMIFS(Расчет!$G$2:$G$3001,Расчет!$I$2:$I$3001,$K1454,Расчет!$H$2:$H$3001,2))</f>
        <v/>
      </c>
      <c r="J1454">
        <f>IF($L1454="","",SUMIFS(Расчет!$G$2:$G$3001,Расчет!$I$2:$I$3001,$K1454,Расчет!$H$2:$H$3001,3))</f>
        <v/>
      </c>
      <c r="K1454">
        <f>IF($L1454="","",INDEX(Расчет!$I$2:$I$3001,$L1454))</f>
        <v/>
      </c>
      <c r="L1454">
        <f>IFERROR(MATCH(ROW()-1,Расчет!$J$2:$J$3001,0),"")</f>
        <v/>
      </c>
    </row>
    <row r="1455">
      <c r="A1455">
        <f>IF($L1455="","",B1455&amp;"."&amp;C1455&amp;"-"&amp;D1455&amp;"-"&amp;H1455&amp;"."&amp;I1455&amp;"."&amp;J1455)</f>
        <v/>
      </c>
      <c r="B1455">
        <f>IF($L1455="","",INDEX(Расчет!$A$2:$A$3001,$L1455))</f>
        <v/>
      </c>
      <c r="C1455">
        <f>IF($L1455="","",INDEX(Расчет!$B$2:$B$3001,$L1455))</f>
        <v/>
      </c>
      <c r="D1455">
        <f>IF($L1455="","",IF(ISNUMBER(FIND("(",INDEX(Расчет!$C$2:$C$3001,$L1455))),SUBSTITUTE(MID(INDEX(Расчет!$C$2:$C$3001,$L1455),FIND("(",INDEX(Расчет!$C$2:$C$3001,$L1455))+1,99),")",""),INDEX(Расчет!$C$2:$C$3001,$L1455)))</f>
        <v/>
      </c>
      <c r="E1455">
        <f>IF($L1455="","",INDEX(Расчет!$D$2:$D$3001,$L1455))</f>
        <v/>
      </c>
      <c r="F1455">
        <f>IF($L1455="","",INDEX(Расчет!$E$2:$E$3001,$L1455))</f>
        <v/>
      </c>
      <c r="G1455">
        <f>IF($L1455="","",IFERROR(--LEFT(INDEX(Расчет!$C$2:$C$3001,$L1455),FIND("(",INDEX(Расчет!$C$2:$C$3001,$L1455))-1),IFERROR(--LEFT(INDEX(Расчет!$C$2:$C$3001,$L1455),1),"")))</f>
        <v/>
      </c>
      <c r="H1455">
        <f>IF($L1455="","",SUMIFS(Расчет!$G$2:$G$3001,Расчет!$I$2:$I$3001,$K1455,Расчет!$H$2:$H$3001,1))</f>
        <v/>
      </c>
      <c r="I1455">
        <f>IF($L1455="","",SUMIFS(Расчет!$G$2:$G$3001,Расчет!$I$2:$I$3001,$K1455,Расчет!$H$2:$H$3001,2))</f>
        <v/>
      </c>
      <c r="J1455">
        <f>IF($L1455="","",SUMIFS(Расчет!$G$2:$G$3001,Расчет!$I$2:$I$3001,$K1455,Расчет!$H$2:$H$3001,3))</f>
        <v/>
      </c>
      <c r="K1455">
        <f>IF($L1455="","",INDEX(Расчет!$I$2:$I$3001,$L1455))</f>
        <v/>
      </c>
      <c r="L1455">
        <f>IFERROR(MATCH(ROW()-1,Расчет!$J$2:$J$3001,0),"")</f>
        <v/>
      </c>
    </row>
    <row r="1456">
      <c r="A1456">
        <f>IF($L1456="","",B1456&amp;"."&amp;C1456&amp;"-"&amp;D1456&amp;"-"&amp;H1456&amp;"."&amp;I1456&amp;"."&amp;J1456)</f>
        <v/>
      </c>
      <c r="B1456">
        <f>IF($L1456="","",INDEX(Расчет!$A$2:$A$3001,$L1456))</f>
        <v/>
      </c>
      <c r="C1456">
        <f>IF($L1456="","",INDEX(Расчет!$B$2:$B$3001,$L1456))</f>
        <v/>
      </c>
      <c r="D1456">
        <f>IF($L1456="","",IF(ISNUMBER(FIND("(",INDEX(Расчет!$C$2:$C$3001,$L1456))),SUBSTITUTE(MID(INDEX(Расчет!$C$2:$C$3001,$L1456),FIND("(",INDEX(Расчет!$C$2:$C$3001,$L1456))+1,99),")",""),INDEX(Расчет!$C$2:$C$3001,$L1456)))</f>
        <v/>
      </c>
      <c r="E1456">
        <f>IF($L1456="","",INDEX(Расчет!$D$2:$D$3001,$L1456))</f>
        <v/>
      </c>
      <c r="F1456">
        <f>IF($L1456="","",INDEX(Расчет!$E$2:$E$3001,$L1456))</f>
        <v/>
      </c>
      <c r="G1456">
        <f>IF($L1456="","",IFERROR(--LEFT(INDEX(Расчет!$C$2:$C$3001,$L1456),FIND("(",INDEX(Расчет!$C$2:$C$3001,$L1456))-1),IFERROR(--LEFT(INDEX(Расчет!$C$2:$C$3001,$L1456),1),"")))</f>
        <v/>
      </c>
      <c r="H1456">
        <f>IF($L1456="","",SUMIFS(Расчет!$G$2:$G$3001,Расчет!$I$2:$I$3001,$K1456,Расчет!$H$2:$H$3001,1))</f>
        <v/>
      </c>
      <c r="I1456">
        <f>IF($L1456="","",SUMIFS(Расчет!$G$2:$G$3001,Расчет!$I$2:$I$3001,$K1456,Расчет!$H$2:$H$3001,2))</f>
        <v/>
      </c>
      <c r="J1456">
        <f>IF($L1456="","",SUMIFS(Расчет!$G$2:$G$3001,Расчет!$I$2:$I$3001,$K1456,Расчет!$H$2:$H$3001,3))</f>
        <v/>
      </c>
      <c r="K1456">
        <f>IF($L1456="","",INDEX(Расчет!$I$2:$I$3001,$L1456))</f>
        <v/>
      </c>
      <c r="L1456">
        <f>IFERROR(MATCH(ROW()-1,Расчет!$J$2:$J$3001,0),"")</f>
        <v/>
      </c>
    </row>
    <row r="1457">
      <c r="A1457">
        <f>IF($L1457="","",B1457&amp;"."&amp;C1457&amp;"-"&amp;D1457&amp;"-"&amp;H1457&amp;"."&amp;I1457&amp;"."&amp;J1457)</f>
        <v/>
      </c>
      <c r="B1457">
        <f>IF($L1457="","",INDEX(Расчет!$A$2:$A$3001,$L1457))</f>
        <v/>
      </c>
      <c r="C1457">
        <f>IF($L1457="","",INDEX(Расчет!$B$2:$B$3001,$L1457))</f>
        <v/>
      </c>
      <c r="D1457">
        <f>IF($L1457="","",IF(ISNUMBER(FIND("(",INDEX(Расчет!$C$2:$C$3001,$L1457))),SUBSTITUTE(MID(INDEX(Расчет!$C$2:$C$3001,$L1457),FIND("(",INDEX(Расчет!$C$2:$C$3001,$L1457))+1,99),")",""),INDEX(Расчет!$C$2:$C$3001,$L1457)))</f>
        <v/>
      </c>
      <c r="E1457">
        <f>IF($L1457="","",INDEX(Расчет!$D$2:$D$3001,$L1457))</f>
        <v/>
      </c>
      <c r="F1457">
        <f>IF($L1457="","",INDEX(Расчет!$E$2:$E$3001,$L1457))</f>
        <v/>
      </c>
      <c r="G1457">
        <f>IF($L1457="","",IFERROR(--LEFT(INDEX(Расчет!$C$2:$C$3001,$L1457),FIND("(",INDEX(Расчет!$C$2:$C$3001,$L1457))-1),IFERROR(--LEFT(INDEX(Расчет!$C$2:$C$3001,$L1457),1),"")))</f>
        <v/>
      </c>
      <c r="H1457">
        <f>IF($L1457="","",SUMIFS(Расчет!$G$2:$G$3001,Расчет!$I$2:$I$3001,$K1457,Расчет!$H$2:$H$3001,1))</f>
        <v/>
      </c>
      <c r="I1457">
        <f>IF($L1457="","",SUMIFS(Расчет!$G$2:$G$3001,Расчет!$I$2:$I$3001,$K1457,Расчет!$H$2:$H$3001,2))</f>
        <v/>
      </c>
      <c r="J1457">
        <f>IF($L1457="","",SUMIFS(Расчет!$G$2:$G$3001,Расчет!$I$2:$I$3001,$K1457,Расчет!$H$2:$H$3001,3))</f>
        <v/>
      </c>
      <c r="K1457">
        <f>IF($L1457="","",INDEX(Расчет!$I$2:$I$3001,$L1457))</f>
        <v/>
      </c>
      <c r="L1457">
        <f>IFERROR(MATCH(ROW()-1,Расчет!$J$2:$J$3001,0),"")</f>
        <v/>
      </c>
    </row>
    <row r="1458">
      <c r="A1458">
        <f>IF($L1458="","",B1458&amp;"."&amp;C1458&amp;"-"&amp;D1458&amp;"-"&amp;H1458&amp;"."&amp;I1458&amp;"."&amp;J1458)</f>
        <v/>
      </c>
      <c r="B1458">
        <f>IF($L1458="","",INDEX(Расчет!$A$2:$A$3001,$L1458))</f>
        <v/>
      </c>
      <c r="C1458">
        <f>IF($L1458="","",INDEX(Расчет!$B$2:$B$3001,$L1458))</f>
        <v/>
      </c>
      <c r="D1458">
        <f>IF($L1458="","",IF(ISNUMBER(FIND("(",INDEX(Расчет!$C$2:$C$3001,$L1458))),SUBSTITUTE(MID(INDEX(Расчет!$C$2:$C$3001,$L1458),FIND("(",INDEX(Расчет!$C$2:$C$3001,$L1458))+1,99),")",""),INDEX(Расчет!$C$2:$C$3001,$L1458)))</f>
        <v/>
      </c>
      <c r="E1458">
        <f>IF($L1458="","",INDEX(Расчет!$D$2:$D$3001,$L1458))</f>
        <v/>
      </c>
      <c r="F1458">
        <f>IF($L1458="","",INDEX(Расчет!$E$2:$E$3001,$L1458))</f>
        <v/>
      </c>
      <c r="G1458">
        <f>IF($L1458="","",IFERROR(--LEFT(INDEX(Расчет!$C$2:$C$3001,$L1458),FIND("(",INDEX(Расчет!$C$2:$C$3001,$L1458))-1),IFERROR(--LEFT(INDEX(Расчет!$C$2:$C$3001,$L1458),1),"")))</f>
        <v/>
      </c>
      <c r="H1458">
        <f>IF($L1458="","",SUMIFS(Расчет!$G$2:$G$3001,Расчет!$I$2:$I$3001,$K1458,Расчет!$H$2:$H$3001,1))</f>
        <v/>
      </c>
      <c r="I1458">
        <f>IF($L1458="","",SUMIFS(Расчет!$G$2:$G$3001,Расчет!$I$2:$I$3001,$K1458,Расчет!$H$2:$H$3001,2))</f>
        <v/>
      </c>
      <c r="J1458">
        <f>IF($L1458="","",SUMIFS(Расчет!$G$2:$G$3001,Расчет!$I$2:$I$3001,$K1458,Расчет!$H$2:$H$3001,3))</f>
        <v/>
      </c>
      <c r="K1458">
        <f>IF($L1458="","",INDEX(Расчет!$I$2:$I$3001,$L1458))</f>
        <v/>
      </c>
      <c r="L1458">
        <f>IFERROR(MATCH(ROW()-1,Расчет!$J$2:$J$3001,0),"")</f>
        <v/>
      </c>
    </row>
    <row r="1459">
      <c r="A1459">
        <f>IF($L1459="","",B1459&amp;"."&amp;C1459&amp;"-"&amp;D1459&amp;"-"&amp;H1459&amp;"."&amp;I1459&amp;"."&amp;J1459)</f>
        <v/>
      </c>
      <c r="B1459">
        <f>IF($L1459="","",INDEX(Расчет!$A$2:$A$3001,$L1459))</f>
        <v/>
      </c>
      <c r="C1459">
        <f>IF($L1459="","",INDEX(Расчет!$B$2:$B$3001,$L1459))</f>
        <v/>
      </c>
      <c r="D1459">
        <f>IF($L1459="","",IF(ISNUMBER(FIND("(",INDEX(Расчет!$C$2:$C$3001,$L1459))),SUBSTITUTE(MID(INDEX(Расчет!$C$2:$C$3001,$L1459),FIND("(",INDEX(Расчет!$C$2:$C$3001,$L1459))+1,99),")",""),INDEX(Расчет!$C$2:$C$3001,$L1459)))</f>
        <v/>
      </c>
      <c r="E1459">
        <f>IF($L1459="","",INDEX(Расчет!$D$2:$D$3001,$L1459))</f>
        <v/>
      </c>
      <c r="F1459">
        <f>IF($L1459="","",INDEX(Расчет!$E$2:$E$3001,$L1459))</f>
        <v/>
      </c>
      <c r="G1459">
        <f>IF($L1459="","",IFERROR(--LEFT(INDEX(Расчет!$C$2:$C$3001,$L1459),FIND("(",INDEX(Расчет!$C$2:$C$3001,$L1459))-1),IFERROR(--LEFT(INDEX(Расчет!$C$2:$C$3001,$L1459),1),"")))</f>
        <v/>
      </c>
      <c r="H1459">
        <f>IF($L1459="","",SUMIFS(Расчет!$G$2:$G$3001,Расчет!$I$2:$I$3001,$K1459,Расчет!$H$2:$H$3001,1))</f>
        <v/>
      </c>
      <c r="I1459">
        <f>IF($L1459="","",SUMIFS(Расчет!$G$2:$G$3001,Расчет!$I$2:$I$3001,$K1459,Расчет!$H$2:$H$3001,2))</f>
        <v/>
      </c>
      <c r="J1459">
        <f>IF($L1459="","",SUMIFS(Расчет!$G$2:$G$3001,Расчет!$I$2:$I$3001,$K1459,Расчет!$H$2:$H$3001,3))</f>
        <v/>
      </c>
      <c r="K1459">
        <f>IF($L1459="","",INDEX(Расчет!$I$2:$I$3001,$L1459))</f>
        <v/>
      </c>
      <c r="L1459">
        <f>IFERROR(MATCH(ROW()-1,Расчет!$J$2:$J$3001,0),"")</f>
        <v/>
      </c>
    </row>
    <row r="1460">
      <c r="A1460">
        <f>IF($L1460="","",B1460&amp;"."&amp;C1460&amp;"-"&amp;D1460&amp;"-"&amp;H1460&amp;"."&amp;I1460&amp;"."&amp;J1460)</f>
        <v/>
      </c>
      <c r="B1460">
        <f>IF($L1460="","",INDEX(Расчет!$A$2:$A$3001,$L1460))</f>
        <v/>
      </c>
      <c r="C1460">
        <f>IF($L1460="","",INDEX(Расчет!$B$2:$B$3001,$L1460))</f>
        <v/>
      </c>
      <c r="D1460">
        <f>IF($L1460="","",IF(ISNUMBER(FIND("(",INDEX(Расчет!$C$2:$C$3001,$L1460))),SUBSTITUTE(MID(INDEX(Расчет!$C$2:$C$3001,$L1460),FIND("(",INDEX(Расчет!$C$2:$C$3001,$L1460))+1,99),")",""),INDEX(Расчет!$C$2:$C$3001,$L1460)))</f>
        <v/>
      </c>
      <c r="E1460">
        <f>IF($L1460="","",INDEX(Расчет!$D$2:$D$3001,$L1460))</f>
        <v/>
      </c>
      <c r="F1460">
        <f>IF($L1460="","",INDEX(Расчет!$E$2:$E$3001,$L1460))</f>
        <v/>
      </c>
      <c r="G1460">
        <f>IF($L1460="","",IFERROR(--LEFT(INDEX(Расчет!$C$2:$C$3001,$L1460),FIND("(",INDEX(Расчет!$C$2:$C$3001,$L1460))-1),IFERROR(--LEFT(INDEX(Расчет!$C$2:$C$3001,$L1460),1),"")))</f>
        <v/>
      </c>
      <c r="H1460">
        <f>IF($L1460="","",SUMIFS(Расчет!$G$2:$G$3001,Расчет!$I$2:$I$3001,$K1460,Расчет!$H$2:$H$3001,1))</f>
        <v/>
      </c>
      <c r="I1460">
        <f>IF($L1460="","",SUMIFS(Расчет!$G$2:$G$3001,Расчет!$I$2:$I$3001,$K1460,Расчет!$H$2:$H$3001,2))</f>
        <v/>
      </c>
      <c r="J1460">
        <f>IF($L1460="","",SUMIFS(Расчет!$G$2:$G$3001,Расчет!$I$2:$I$3001,$K1460,Расчет!$H$2:$H$3001,3))</f>
        <v/>
      </c>
      <c r="K1460">
        <f>IF($L1460="","",INDEX(Расчет!$I$2:$I$3001,$L1460))</f>
        <v/>
      </c>
      <c r="L1460">
        <f>IFERROR(MATCH(ROW()-1,Расчет!$J$2:$J$3001,0),"")</f>
        <v/>
      </c>
    </row>
    <row r="1461">
      <c r="A1461">
        <f>IF($L1461="","",B1461&amp;"."&amp;C1461&amp;"-"&amp;D1461&amp;"-"&amp;H1461&amp;"."&amp;I1461&amp;"."&amp;J1461)</f>
        <v/>
      </c>
      <c r="B1461">
        <f>IF($L1461="","",INDEX(Расчет!$A$2:$A$3001,$L1461))</f>
        <v/>
      </c>
      <c r="C1461">
        <f>IF($L1461="","",INDEX(Расчет!$B$2:$B$3001,$L1461))</f>
        <v/>
      </c>
      <c r="D1461">
        <f>IF($L1461="","",IF(ISNUMBER(FIND("(",INDEX(Расчет!$C$2:$C$3001,$L1461))),SUBSTITUTE(MID(INDEX(Расчет!$C$2:$C$3001,$L1461),FIND("(",INDEX(Расчет!$C$2:$C$3001,$L1461))+1,99),")",""),INDEX(Расчет!$C$2:$C$3001,$L1461)))</f>
        <v/>
      </c>
      <c r="E1461">
        <f>IF($L1461="","",INDEX(Расчет!$D$2:$D$3001,$L1461))</f>
        <v/>
      </c>
      <c r="F1461">
        <f>IF($L1461="","",INDEX(Расчет!$E$2:$E$3001,$L1461))</f>
        <v/>
      </c>
      <c r="G1461">
        <f>IF($L1461="","",IFERROR(--LEFT(INDEX(Расчет!$C$2:$C$3001,$L1461),FIND("(",INDEX(Расчет!$C$2:$C$3001,$L1461))-1),IFERROR(--LEFT(INDEX(Расчет!$C$2:$C$3001,$L1461),1),"")))</f>
        <v/>
      </c>
      <c r="H1461">
        <f>IF($L1461="","",SUMIFS(Расчет!$G$2:$G$3001,Расчет!$I$2:$I$3001,$K1461,Расчет!$H$2:$H$3001,1))</f>
        <v/>
      </c>
      <c r="I1461">
        <f>IF($L1461="","",SUMIFS(Расчет!$G$2:$G$3001,Расчет!$I$2:$I$3001,$K1461,Расчет!$H$2:$H$3001,2))</f>
        <v/>
      </c>
      <c r="J1461">
        <f>IF($L1461="","",SUMIFS(Расчет!$G$2:$G$3001,Расчет!$I$2:$I$3001,$K1461,Расчет!$H$2:$H$3001,3))</f>
        <v/>
      </c>
      <c r="K1461">
        <f>IF($L1461="","",INDEX(Расчет!$I$2:$I$3001,$L1461))</f>
        <v/>
      </c>
      <c r="L1461">
        <f>IFERROR(MATCH(ROW()-1,Расчет!$J$2:$J$3001,0),"")</f>
        <v/>
      </c>
    </row>
    <row r="1462">
      <c r="A1462">
        <f>IF($L1462="","",B1462&amp;"."&amp;C1462&amp;"-"&amp;D1462&amp;"-"&amp;H1462&amp;"."&amp;I1462&amp;"."&amp;J1462)</f>
        <v/>
      </c>
      <c r="B1462">
        <f>IF($L1462="","",INDEX(Расчет!$A$2:$A$3001,$L1462))</f>
        <v/>
      </c>
      <c r="C1462">
        <f>IF($L1462="","",INDEX(Расчет!$B$2:$B$3001,$L1462))</f>
        <v/>
      </c>
      <c r="D1462">
        <f>IF($L1462="","",IF(ISNUMBER(FIND("(",INDEX(Расчет!$C$2:$C$3001,$L1462))),SUBSTITUTE(MID(INDEX(Расчет!$C$2:$C$3001,$L1462),FIND("(",INDEX(Расчет!$C$2:$C$3001,$L1462))+1,99),")",""),INDEX(Расчет!$C$2:$C$3001,$L1462)))</f>
        <v/>
      </c>
      <c r="E1462">
        <f>IF($L1462="","",INDEX(Расчет!$D$2:$D$3001,$L1462))</f>
        <v/>
      </c>
      <c r="F1462">
        <f>IF($L1462="","",INDEX(Расчет!$E$2:$E$3001,$L1462))</f>
        <v/>
      </c>
      <c r="G1462">
        <f>IF($L1462="","",IFERROR(--LEFT(INDEX(Расчет!$C$2:$C$3001,$L1462),FIND("(",INDEX(Расчет!$C$2:$C$3001,$L1462))-1),IFERROR(--LEFT(INDEX(Расчет!$C$2:$C$3001,$L1462),1),"")))</f>
        <v/>
      </c>
      <c r="H1462">
        <f>IF($L1462="","",SUMIFS(Расчет!$G$2:$G$3001,Расчет!$I$2:$I$3001,$K1462,Расчет!$H$2:$H$3001,1))</f>
        <v/>
      </c>
      <c r="I1462">
        <f>IF($L1462="","",SUMIFS(Расчет!$G$2:$G$3001,Расчет!$I$2:$I$3001,$K1462,Расчет!$H$2:$H$3001,2))</f>
        <v/>
      </c>
      <c r="J1462">
        <f>IF($L1462="","",SUMIFS(Расчет!$G$2:$G$3001,Расчет!$I$2:$I$3001,$K1462,Расчет!$H$2:$H$3001,3))</f>
        <v/>
      </c>
      <c r="K1462">
        <f>IF($L1462="","",INDEX(Расчет!$I$2:$I$3001,$L1462))</f>
        <v/>
      </c>
      <c r="L1462">
        <f>IFERROR(MATCH(ROW()-1,Расчет!$J$2:$J$3001,0),"")</f>
        <v/>
      </c>
    </row>
    <row r="1463">
      <c r="A1463">
        <f>IF($L1463="","",B1463&amp;"."&amp;C1463&amp;"-"&amp;D1463&amp;"-"&amp;H1463&amp;"."&amp;I1463&amp;"."&amp;J1463)</f>
        <v/>
      </c>
      <c r="B1463">
        <f>IF($L1463="","",INDEX(Расчет!$A$2:$A$3001,$L1463))</f>
        <v/>
      </c>
      <c r="C1463">
        <f>IF($L1463="","",INDEX(Расчет!$B$2:$B$3001,$L1463))</f>
        <v/>
      </c>
      <c r="D1463">
        <f>IF($L1463="","",IF(ISNUMBER(FIND("(",INDEX(Расчет!$C$2:$C$3001,$L1463))),SUBSTITUTE(MID(INDEX(Расчет!$C$2:$C$3001,$L1463),FIND("(",INDEX(Расчет!$C$2:$C$3001,$L1463))+1,99),")",""),INDEX(Расчет!$C$2:$C$3001,$L1463)))</f>
        <v/>
      </c>
      <c r="E1463">
        <f>IF($L1463="","",INDEX(Расчет!$D$2:$D$3001,$L1463))</f>
        <v/>
      </c>
      <c r="F1463">
        <f>IF($L1463="","",INDEX(Расчет!$E$2:$E$3001,$L1463))</f>
        <v/>
      </c>
      <c r="G1463">
        <f>IF($L1463="","",IFERROR(--LEFT(INDEX(Расчет!$C$2:$C$3001,$L1463),FIND("(",INDEX(Расчет!$C$2:$C$3001,$L1463))-1),IFERROR(--LEFT(INDEX(Расчет!$C$2:$C$3001,$L1463),1),"")))</f>
        <v/>
      </c>
      <c r="H1463">
        <f>IF($L1463="","",SUMIFS(Расчет!$G$2:$G$3001,Расчет!$I$2:$I$3001,$K1463,Расчет!$H$2:$H$3001,1))</f>
        <v/>
      </c>
      <c r="I1463">
        <f>IF($L1463="","",SUMIFS(Расчет!$G$2:$G$3001,Расчет!$I$2:$I$3001,$K1463,Расчет!$H$2:$H$3001,2))</f>
        <v/>
      </c>
      <c r="J1463">
        <f>IF($L1463="","",SUMIFS(Расчет!$G$2:$G$3001,Расчет!$I$2:$I$3001,$K1463,Расчет!$H$2:$H$3001,3))</f>
        <v/>
      </c>
      <c r="K1463">
        <f>IF($L1463="","",INDEX(Расчет!$I$2:$I$3001,$L1463))</f>
        <v/>
      </c>
      <c r="L1463">
        <f>IFERROR(MATCH(ROW()-1,Расчет!$J$2:$J$3001,0),"")</f>
        <v/>
      </c>
    </row>
    <row r="1464">
      <c r="A1464">
        <f>IF($L1464="","",B1464&amp;"."&amp;C1464&amp;"-"&amp;D1464&amp;"-"&amp;H1464&amp;"."&amp;I1464&amp;"."&amp;J1464)</f>
        <v/>
      </c>
      <c r="B1464">
        <f>IF($L1464="","",INDEX(Расчет!$A$2:$A$3001,$L1464))</f>
        <v/>
      </c>
      <c r="C1464">
        <f>IF($L1464="","",INDEX(Расчет!$B$2:$B$3001,$L1464))</f>
        <v/>
      </c>
      <c r="D1464">
        <f>IF($L1464="","",IF(ISNUMBER(FIND("(",INDEX(Расчет!$C$2:$C$3001,$L1464))),SUBSTITUTE(MID(INDEX(Расчет!$C$2:$C$3001,$L1464),FIND("(",INDEX(Расчет!$C$2:$C$3001,$L1464))+1,99),")",""),INDEX(Расчет!$C$2:$C$3001,$L1464)))</f>
        <v/>
      </c>
      <c r="E1464">
        <f>IF($L1464="","",INDEX(Расчет!$D$2:$D$3001,$L1464))</f>
        <v/>
      </c>
      <c r="F1464">
        <f>IF($L1464="","",INDEX(Расчет!$E$2:$E$3001,$L1464))</f>
        <v/>
      </c>
      <c r="G1464">
        <f>IF($L1464="","",IFERROR(--LEFT(INDEX(Расчет!$C$2:$C$3001,$L1464),FIND("(",INDEX(Расчет!$C$2:$C$3001,$L1464))-1),IFERROR(--LEFT(INDEX(Расчет!$C$2:$C$3001,$L1464),1),"")))</f>
        <v/>
      </c>
      <c r="H1464">
        <f>IF($L1464="","",SUMIFS(Расчет!$G$2:$G$3001,Расчет!$I$2:$I$3001,$K1464,Расчет!$H$2:$H$3001,1))</f>
        <v/>
      </c>
      <c r="I1464">
        <f>IF($L1464="","",SUMIFS(Расчет!$G$2:$G$3001,Расчет!$I$2:$I$3001,$K1464,Расчет!$H$2:$H$3001,2))</f>
        <v/>
      </c>
      <c r="J1464">
        <f>IF($L1464="","",SUMIFS(Расчет!$G$2:$G$3001,Расчет!$I$2:$I$3001,$K1464,Расчет!$H$2:$H$3001,3))</f>
        <v/>
      </c>
      <c r="K1464">
        <f>IF($L1464="","",INDEX(Расчет!$I$2:$I$3001,$L1464))</f>
        <v/>
      </c>
      <c r="L1464">
        <f>IFERROR(MATCH(ROW()-1,Расчет!$J$2:$J$3001,0),"")</f>
        <v/>
      </c>
    </row>
    <row r="1465">
      <c r="A1465">
        <f>IF($L1465="","",B1465&amp;"."&amp;C1465&amp;"-"&amp;D1465&amp;"-"&amp;H1465&amp;"."&amp;I1465&amp;"."&amp;J1465)</f>
        <v/>
      </c>
      <c r="B1465">
        <f>IF($L1465="","",INDEX(Расчет!$A$2:$A$3001,$L1465))</f>
        <v/>
      </c>
      <c r="C1465">
        <f>IF($L1465="","",INDEX(Расчет!$B$2:$B$3001,$L1465))</f>
        <v/>
      </c>
      <c r="D1465">
        <f>IF($L1465="","",IF(ISNUMBER(FIND("(",INDEX(Расчет!$C$2:$C$3001,$L1465))),SUBSTITUTE(MID(INDEX(Расчет!$C$2:$C$3001,$L1465),FIND("(",INDEX(Расчет!$C$2:$C$3001,$L1465))+1,99),")",""),INDEX(Расчет!$C$2:$C$3001,$L1465)))</f>
        <v/>
      </c>
      <c r="E1465">
        <f>IF($L1465="","",INDEX(Расчет!$D$2:$D$3001,$L1465))</f>
        <v/>
      </c>
      <c r="F1465">
        <f>IF($L1465="","",INDEX(Расчет!$E$2:$E$3001,$L1465))</f>
        <v/>
      </c>
      <c r="G1465">
        <f>IF($L1465="","",IFERROR(--LEFT(INDEX(Расчет!$C$2:$C$3001,$L1465),FIND("(",INDEX(Расчет!$C$2:$C$3001,$L1465))-1),IFERROR(--LEFT(INDEX(Расчет!$C$2:$C$3001,$L1465),1),"")))</f>
        <v/>
      </c>
      <c r="H1465">
        <f>IF($L1465="","",SUMIFS(Расчет!$G$2:$G$3001,Расчет!$I$2:$I$3001,$K1465,Расчет!$H$2:$H$3001,1))</f>
        <v/>
      </c>
      <c r="I1465">
        <f>IF($L1465="","",SUMIFS(Расчет!$G$2:$G$3001,Расчет!$I$2:$I$3001,$K1465,Расчет!$H$2:$H$3001,2))</f>
        <v/>
      </c>
      <c r="J1465">
        <f>IF($L1465="","",SUMIFS(Расчет!$G$2:$G$3001,Расчет!$I$2:$I$3001,$K1465,Расчет!$H$2:$H$3001,3))</f>
        <v/>
      </c>
      <c r="K1465">
        <f>IF($L1465="","",INDEX(Расчет!$I$2:$I$3001,$L1465))</f>
        <v/>
      </c>
      <c r="L1465">
        <f>IFERROR(MATCH(ROW()-1,Расчет!$J$2:$J$3001,0),"")</f>
        <v/>
      </c>
    </row>
    <row r="1466">
      <c r="A1466">
        <f>IF($L1466="","",B1466&amp;"."&amp;C1466&amp;"-"&amp;D1466&amp;"-"&amp;H1466&amp;"."&amp;I1466&amp;"."&amp;J1466)</f>
        <v/>
      </c>
      <c r="B1466">
        <f>IF($L1466="","",INDEX(Расчет!$A$2:$A$3001,$L1466))</f>
        <v/>
      </c>
      <c r="C1466">
        <f>IF($L1466="","",INDEX(Расчет!$B$2:$B$3001,$L1466))</f>
        <v/>
      </c>
      <c r="D1466">
        <f>IF($L1466="","",IF(ISNUMBER(FIND("(",INDEX(Расчет!$C$2:$C$3001,$L1466))),SUBSTITUTE(MID(INDEX(Расчет!$C$2:$C$3001,$L1466),FIND("(",INDEX(Расчет!$C$2:$C$3001,$L1466))+1,99),")",""),INDEX(Расчет!$C$2:$C$3001,$L1466)))</f>
        <v/>
      </c>
      <c r="E1466">
        <f>IF($L1466="","",INDEX(Расчет!$D$2:$D$3001,$L1466))</f>
        <v/>
      </c>
      <c r="F1466">
        <f>IF($L1466="","",INDEX(Расчет!$E$2:$E$3001,$L1466))</f>
        <v/>
      </c>
      <c r="G1466">
        <f>IF($L1466="","",IFERROR(--LEFT(INDEX(Расчет!$C$2:$C$3001,$L1466),FIND("(",INDEX(Расчет!$C$2:$C$3001,$L1466))-1),IFERROR(--LEFT(INDEX(Расчет!$C$2:$C$3001,$L1466),1),"")))</f>
        <v/>
      </c>
      <c r="H1466">
        <f>IF($L1466="","",SUMIFS(Расчет!$G$2:$G$3001,Расчет!$I$2:$I$3001,$K1466,Расчет!$H$2:$H$3001,1))</f>
        <v/>
      </c>
      <c r="I1466">
        <f>IF($L1466="","",SUMIFS(Расчет!$G$2:$G$3001,Расчет!$I$2:$I$3001,$K1466,Расчет!$H$2:$H$3001,2))</f>
        <v/>
      </c>
      <c r="J1466">
        <f>IF($L1466="","",SUMIFS(Расчет!$G$2:$G$3001,Расчет!$I$2:$I$3001,$K1466,Расчет!$H$2:$H$3001,3))</f>
        <v/>
      </c>
      <c r="K1466">
        <f>IF($L1466="","",INDEX(Расчет!$I$2:$I$3001,$L1466))</f>
        <v/>
      </c>
      <c r="L1466">
        <f>IFERROR(MATCH(ROW()-1,Расчет!$J$2:$J$3001,0),"")</f>
        <v/>
      </c>
    </row>
    <row r="1467">
      <c r="A1467">
        <f>IF($L1467="","",B1467&amp;"."&amp;C1467&amp;"-"&amp;D1467&amp;"-"&amp;H1467&amp;"."&amp;I1467&amp;"."&amp;J1467)</f>
        <v/>
      </c>
      <c r="B1467">
        <f>IF($L1467="","",INDEX(Расчет!$A$2:$A$3001,$L1467))</f>
        <v/>
      </c>
      <c r="C1467">
        <f>IF($L1467="","",INDEX(Расчет!$B$2:$B$3001,$L1467))</f>
        <v/>
      </c>
      <c r="D1467">
        <f>IF($L1467="","",IF(ISNUMBER(FIND("(",INDEX(Расчет!$C$2:$C$3001,$L1467))),SUBSTITUTE(MID(INDEX(Расчет!$C$2:$C$3001,$L1467),FIND("(",INDEX(Расчет!$C$2:$C$3001,$L1467))+1,99),")",""),INDEX(Расчет!$C$2:$C$3001,$L1467)))</f>
        <v/>
      </c>
      <c r="E1467">
        <f>IF($L1467="","",INDEX(Расчет!$D$2:$D$3001,$L1467))</f>
        <v/>
      </c>
      <c r="F1467">
        <f>IF($L1467="","",INDEX(Расчет!$E$2:$E$3001,$L1467))</f>
        <v/>
      </c>
      <c r="G1467">
        <f>IF($L1467="","",IFERROR(--LEFT(INDEX(Расчет!$C$2:$C$3001,$L1467),FIND("(",INDEX(Расчет!$C$2:$C$3001,$L1467))-1),IFERROR(--LEFT(INDEX(Расчет!$C$2:$C$3001,$L1467),1),"")))</f>
        <v/>
      </c>
      <c r="H1467">
        <f>IF($L1467="","",SUMIFS(Расчет!$G$2:$G$3001,Расчет!$I$2:$I$3001,$K1467,Расчет!$H$2:$H$3001,1))</f>
        <v/>
      </c>
      <c r="I1467">
        <f>IF($L1467="","",SUMIFS(Расчет!$G$2:$G$3001,Расчет!$I$2:$I$3001,$K1467,Расчет!$H$2:$H$3001,2))</f>
        <v/>
      </c>
      <c r="J1467">
        <f>IF($L1467="","",SUMIFS(Расчет!$G$2:$G$3001,Расчет!$I$2:$I$3001,$K1467,Расчет!$H$2:$H$3001,3))</f>
        <v/>
      </c>
      <c r="K1467">
        <f>IF($L1467="","",INDEX(Расчет!$I$2:$I$3001,$L1467))</f>
        <v/>
      </c>
      <c r="L1467">
        <f>IFERROR(MATCH(ROW()-1,Расчет!$J$2:$J$3001,0),"")</f>
        <v/>
      </c>
    </row>
    <row r="1468">
      <c r="A1468">
        <f>IF($L1468="","",B1468&amp;"."&amp;C1468&amp;"-"&amp;D1468&amp;"-"&amp;H1468&amp;"."&amp;I1468&amp;"."&amp;J1468)</f>
        <v/>
      </c>
      <c r="B1468">
        <f>IF($L1468="","",INDEX(Расчет!$A$2:$A$3001,$L1468))</f>
        <v/>
      </c>
      <c r="C1468">
        <f>IF($L1468="","",INDEX(Расчет!$B$2:$B$3001,$L1468))</f>
        <v/>
      </c>
      <c r="D1468">
        <f>IF($L1468="","",IF(ISNUMBER(FIND("(",INDEX(Расчет!$C$2:$C$3001,$L1468))),SUBSTITUTE(MID(INDEX(Расчет!$C$2:$C$3001,$L1468),FIND("(",INDEX(Расчет!$C$2:$C$3001,$L1468))+1,99),")",""),INDEX(Расчет!$C$2:$C$3001,$L1468)))</f>
        <v/>
      </c>
      <c r="E1468">
        <f>IF($L1468="","",INDEX(Расчет!$D$2:$D$3001,$L1468))</f>
        <v/>
      </c>
      <c r="F1468">
        <f>IF($L1468="","",INDEX(Расчет!$E$2:$E$3001,$L1468))</f>
        <v/>
      </c>
      <c r="G1468">
        <f>IF($L1468="","",IFERROR(--LEFT(INDEX(Расчет!$C$2:$C$3001,$L1468),FIND("(",INDEX(Расчет!$C$2:$C$3001,$L1468))-1),IFERROR(--LEFT(INDEX(Расчет!$C$2:$C$3001,$L1468),1),"")))</f>
        <v/>
      </c>
      <c r="H1468">
        <f>IF($L1468="","",SUMIFS(Расчет!$G$2:$G$3001,Расчет!$I$2:$I$3001,$K1468,Расчет!$H$2:$H$3001,1))</f>
        <v/>
      </c>
      <c r="I1468">
        <f>IF($L1468="","",SUMIFS(Расчет!$G$2:$G$3001,Расчет!$I$2:$I$3001,$K1468,Расчет!$H$2:$H$3001,2))</f>
        <v/>
      </c>
      <c r="J1468">
        <f>IF($L1468="","",SUMIFS(Расчет!$G$2:$G$3001,Расчет!$I$2:$I$3001,$K1468,Расчет!$H$2:$H$3001,3))</f>
        <v/>
      </c>
      <c r="K1468">
        <f>IF($L1468="","",INDEX(Расчет!$I$2:$I$3001,$L1468))</f>
        <v/>
      </c>
      <c r="L1468">
        <f>IFERROR(MATCH(ROW()-1,Расчет!$J$2:$J$3001,0),"")</f>
        <v/>
      </c>
    </row>
    <row r="1469">
      <c r="A1469">
        <f>IF($L1469="","",B1469&amp;"."&amp;C1469&amp;"-"&amp;D1469&amp;"-"&amp;H1469&amp;"."&amp;I1469&amp;"."&amp;J1469)</f>
        <v/>
      </c>
      <c r="B1469">
        <f>IF($L1469="","",INDEX(Расчет!$A$2:$A$3001,$L1469))</f>
        <v/>
      </c>
      <c r="C1469">
        <f>IF($L1469="","",INDEX(Расчет!$B$2:$B$3001,$L1469))</f>
        <v/>
      </c>
      <c r="D1469">
        <f>IF($L1469="","",IF(ISNUMBER(FIND("(",INDEX(Расчет!$C$2:$C$3001,$L1469))),SUBSTITUTE(MID(INDEX(Расчет!$C$2:$C$3001,$L1469),FIND("(",INDEX(Расчет!$C$2:$C$3001,$L1469))+1,99),")",""),INDEX(Расчет!$C$2:$C$3001,$L1469)))</f>
        <v/>
      </c>
      <c r="E1469">
        <f>IF($L1469="","",INDEX(Расчет!$D$2:$D$3001,$L1469))</f>
        <v/>
      </c>
      <c r="F1469">
        <f>IF($L1469="","",INDEX(Расчет!$E$2:$E$3001,$L1469))</f>
        <v/>
      </c>
      <c r="G1469">
        <f>IF($L1469="","",IFERROR(--LEFT(INDEX(Расчет!$C$2:$C$3001,$L1469),FIND("(",INDEX(Расчет!$C$2:$C$3001,$L1469))-1),IFERROR(--LEFT(INDEX(Расчет!$C$2:$C$3001,$L1469),1),"")))</f>
        <v/>
      </c>
      <c r="H1469">
        <f>IF($L1469="","",SUMIFS(Расчет!$G$2:$G$3001,Расчет!$I$2:$I$3001,$K1469,Расчет!$H$2:$H$3001,1))</f>
        <v/>
      </c>
      <c r="I1469">
        <f>IF($L1469="","",SUMIFS(Расчет!$G$2:$G$3001,Расчет!$I$2:$I$3001,$K1469,Расчет!$H$2:$H$3001,2))</f>
        <v/>
      </c>
      <c r="J1469">
        <f>IF($L1469="","",SUMIFS(Расчет!$G$2:$G$3001,Расчет!$I$2:$I$3001,$K1469,Расчет!$H$2:$H$3001,3))</f>
        <v/>
      </c>
      <c r="K1469">
        <f>IF($L1469="","",INDEX(Расчет!$I$2:$I$3001,$L1469))</f>
        <v/>
      </c>
      <c r="L1469">
        <f>IFERROR(MATCH(ROW()-1,Расчет!$J$2:$J$3001,0),"")</f>
        <v/>
      </c>
    </row>
    <row r="1470">
      <c r="A1470">
        <f>IF($L1470="","",B1470&amp;"."&amp;C1470&amp;"-"&amp;D1470&amp;"-"&amp;H1470&amp;"."&amp;I1470&amp;"."&amp;J1470)</f>
        <v/>
      </c>
      <c r="B1470">
        <f>IF($L1470="","",INDEX(Расчет!$A$2:$A$3001,$L1470))</f>
        <v/>
      </c>
      <c r="C1470">
        <f>IF($L1470="","",INDEX(Расчет!$B$2:$B$3001,$L1470))</f>
        <v/>
      </c>
      <c r="D1470">
        <f>IF($L1470="","",IF(ISNUMBER(FIND("(",INDEX(Расчет!$C$2:$C$3001,$L1470))),SUBSTITUTE(MID(INDEX(Расчет!$C$2:$C$3001,$L1470),FIND("(",INDEX(Расчет!$C$2:$C$3001,$L1470))+1,99),")",""),INDEX(Расчет!$C$2:$C$3001,$L1470)))</f>
        <v/>
      </c>
      <c r="E1470">
        <f>IF($L1470="","",INDEX(Расчет!$D$2:$D$3001,$L1470))</f>
        <v/>
      </c>
      <c r="F1470">
        <f>IF($L1470="","",INDEX(Расчет!$E$2:$E$3001,$L1470))</f>
        <v/>
      </c>
      <c r="G1470">
        <f>IF($L1470="","",IFERROR(--LEFT(INDEX(Расчет!$C$2:$C$3001,$L1470),FIND("(",INDEX(Расчет!$C$2:$C$3001,$L1470))-1),IFERROR(--LEFT(INDEX(Расчет!$C$2:$C$3001,$L1470),1),"")))</f>
        <v/>
      </c>
      <c r="H1470">
        <f>IF($L1470="","",SUMIFS(Расчет!$G$2:$G$3001,Расчет!$I$2:$I$3001,$K1470,Расчет!$H$2:$H$3001,1))</f>
        <v/>
      </c>
      <c r="I1470">
        <f>IF($L1470="","",SUMIFS(Расчет!$G$2:$G$3001,Расчет!$I$2:$I$3001,$K1470,Расчет!$H$2:$H$3001,2))</f>
        <v/>
      </c>
      <c r="J1470">
        <f>IF($L1470="","",SUMIFS(Расчет!$G$2:$G$3001,Расчет!$I$2:$I$3001,$K1470,Расчет!$H$2:$H$3001,3))</f>
        <v/>
      </c>
      <c r="K1470">
        <f>IF($L1470="","",INDEX(Расчет!$I$2:$I$3001,$L1470))</f>
        <v/>
      </c>
      <c r="L1470">
        <f>IFERROR(MATCH(ROW()-1,Расчет!$J$2:$J$3001,0),"")</f>
        <v/>
      </c>
    </row>
    <row r="1471">
      <c r="A1471">
        <f>IF($L1471="","",B1471&amp;"."&amp;C1471&amp;"-"&amp;D1471&amp;"-"&amp;H1471&amp;"."&amp;I1471&amp;"."&amp;J1471)</f>
        <v/>
      </c>
      <c r="B1471">
        <f>IF($L1471="","",INDEX(Расчет!$A$2:$A$3001,$L1471))</f>
        <v/>
      </c>
      <c r="C1471">
        <f>IF($L1471="","",INDEX(Расчет!$B$2:$B$3001,$L1471))</f>
        <v/>
      </c>
      <c r="D1471">
        <f>IF($L1471="","",IF(ISNUMBER(FIND("(",INDEX(Расчет!$C$2:$C$3001,$L1471))),SUBSTITUTE(MID(INDEX(Расчет!$C$2:$C$3001,$L1471),FIND("(",INDEX(Расчет!$C$2:$C$3001,$L1471))+1,99),")",""),INDEX(Расчет!$C$2:$C$3001,$L1471)))</f>
        <v/>
      </c>
      <c r="E1471">
        <f>IF($L1471="","",INDEX(Расчет!$D$2:$D$3001,$L1471))</f>
        <v/>
      </c>
      <c r="F1471">
        <f>IF($L1471="","",INDEX(Расчет!$E$2:$E$3001,$L1471))</f>
        <v/>
      </c>
      <c r="G1471">
        <f>IF($L1471="","",IFERROR(--LEFT(INDEX(Расчет!$C$2:$C$3001,$L1471),FIND("(",INDEX(Расчет!$C$2:$C$3001,$L1471))-1),IFERROR(--LEFT(INDEX(Расчет!$C$2:$C$3001,$L1471),1),"")))</f>
        <v/>
      </c>
      <c r="H1471">
        <f>IF($L1471="","",SUMIFS(Расчет!$G$2:$G$3001,Расчет!$I$2:$I$3001,$K1471,Расчет!$H$2:$H$3001,1))</f>
        <v/>
      </c>
      <c r="I1471">
        <f>IF($L1471="","",SUMIFS(Расчет!$G$2:$G$3001,Расчет!$I$2:$I$3001,$K1471,Расчет!$H$2:$H$3001,2))</f>
        <v/>
      </c>
      <c r="J1471">
        <f>IF($L1471="","",SUMIFS(Расчет!$G$2:$G$3001,Расчет!$I$2:$I$3001,$K1471,Расчет!$H$2:$H$3001,3))</f>
        <v/>
      </c>
      <c r="K1471">
        <f>IF($L1471="","",INDEX(Расчет!$I$2:$I$3001,$L1471))</f>
        <v/>
      </c>
      <c r="L1471">
        <f>IFERROR(MATCH(ROW()-1,Расчет!$J$2:$J$3001,0),"")</f>
        <v/>
      </c>
    </row>
    <row r="1472">
      <c r="A1472">
        <f>IF($L1472="","",B1472&amp;"."&amp;C1472&amp;"-"&amp;D1472&amp;"-"&amp;H1472&amp;"."&amp;I1472&amp;"."&amp;J1472)</f>
        <v/>
      </c>
      <c r="B1472">
        <f>IF($L1472="","",INDEX(Расчет!$A$2:$A$3001,$L1472))</f>
        <v/>
      </c>
      <c r="C1472">
        <f>IF($L1472="","",INDEX(Расчет!$B$2:$B$3001,$L1472))</f>
        <v/>
      </c>
      <c r="D1472">
        <f>IF($L1472="","",IF(ISNUMBER(FIND("(",INDEX(Расчет!$C$2:$C$3001,$L1472))),SUBSTITUTE(MID(INDEX(Расчет!$C$2:$C$3001,$L1472),FIND("(",INDEX(Расчет!$C$2:$C$3001,$L1472))+1,99),")",""),INDEX(Расчет!$C$2:$C$3001,$L1472)))</f>
        <v/>
      </c>
      <c r="E1472">
        <f>IF($L1472="","",INDEX(Расчет!$D$2:$D$3001,$L1472))</f>
        <v/>
      </c>
      <c r="F1472">
        <f>IF($L1472="","",INDEX(Расчет!$E$2:$E$3001,$L1472))</f>
        <v/>
      </c>
      <c r="G1472">
        <f>IF($L1472="","",IFERROR(--LEFT(INDEX(Расчет!$C$2:$C$3001,$L1472),FIND("(",INDEX(Расчет!$C$2:$C$3001,$L1472))-1),IFERROR(--LEFT(INDEX(Расчет!$C$2:$C$3001,$L1472),1),"")))</f>
        <v/>
      </c>
      <c r="H1472">
        <f>IF($L1472="","",SUMIFS(Расчет!$G$2:$G$3001,Расчет!$I$2:$I$3001,$K1472,Расчет!$H$2:$H$3001,1))</f>
        <v/>
      </c>
      <c r="I1472">
        <f>IF($L1472="","",SUMIFS(Расчет!$G$2:$G$3001,Расчет!$I$2:$I$3001,$K1472,Расчет!$H$2:$H$3001,2))</f>
        <v/>
      </c>
      <c r="J1472">
        <f>IF($L1472="","",SUMIFS(Расчет!$G$2:$G$3001,Расчет!$I$2:$I$3001,$K1472,Расчет!$H$2:$H$3001,3))</f>
        <v/>
      </c>
      <c r="K1472">
        <f>IF($L1472="","",INDEX(Расчет!$I$2:$I$3001,$L1472))</f>
        <v/>
      </c>
      <c r="L1472">
        <f>IFERROR(MATCH(ROW()-1,Расчет!$J$2:$J$3001,0),"")</f>
        <v/>
      </c>
    </row>
    <row r="1473">
      <c r="A1473">
        <f>IF($L1473="","",B1473&amp;"."&amp;C1473&amp;"-"&amp;D1473&amp;"-"&amp;H1473&amp;"."&amp;I1473&amp;"."&amp;J1473)</f>
        <v/>
      </c>
      <c r="B1473">
        <f>IF($L1473="","",INDEX(Расчет!$A$2:$A$3001,$L1473))</f>
        <v/>
      </c>
      <c r="C1473">
        <f>IF($L1473="","",INDEX(Расчет!$B$2:$B$3001,$L1473))</f>
        <v/>
      </c>
      <c r="D1473">
        <f>IF($L1473="","",IF(ISNUMBER(FIND("(",INDEX(Расчет!$C$2:$C$3001,$L1473))),SUBSTITUTE(MID(INDEX(Расчет!$C$2:$C$3001,$L1473),FIND("(",INDEX(Расчет!$C$2:$C$3001,$L1473))+1,99),")",""),INDEX(Расчет!$C$2:$C$3001,$L1473)))</f>
        <v/>
      </c>
      <c r="E1473">
        <f>IF($L1473="","",INDEX(Расчет!$D$2:$D$3001,$L1473))</f>
        <v/>
      </c>
      <c r="F1473">
        <f>IF($L1473="","",INDEX(Расчет!$E$2:$E$3001,$L1473))</f>
        <v/>
      </c>
      <c r="G1473">
        <f>IF($L1473="","",IFERROR(--LEFT(INDEX(Расчет!$C$2:$C$3001,$L1473),FIND("(",INDEX(Расчет!$C$2:$C$3001,$L1473))-1),IFERROR(--LEFT(INDEX(Расчет!$C$2:$C$3001,$L1473),1),"")))</f>
        <v/>
      </c>
      <c r="H1473">
        <f>IF($L1473="","",SUMIFS(Расчет!$G$2:$G$3001,Расчет!$I$2:$I$3001,$K1473,Расчет!$H$2:$H$3001,1))</f>
        <v/>
      </c>
      <c r="I1473">
        <f>IF($L1473="","",SUMIFS(Расчет!$G$2:$G$3001,Расчет!$I$2:$I$3001,$K1473,Расчет!$H$2:$H$3001,2))</f>
        <v/>
      </c>
      <c r="J1473">
        <f>IF($L1473="","",SUMIFS(Расчет!$G$2:$G$3001,Расчет!$I$2:$I$3001,$K1473,Расчет!$H$2:$H$3001,3))</f>
        <v/>
      </c>
      <c r="K1473">
        <f>IF($L1473="","",INDEX(Расчет!$I$2:$I$3001,$L1473))</f>
        <v/>
      </c>
      <c r="L1473">
        <f>IFERROR(MATCH(ROW()-1,Расчет!$J$2:$J$3001,0),"")</f>
        <v/>
      </c>
    </row>
    <row r="1474">
      <c r="A1474">
        <f>IF($L1474="","",B1474&amp;"."&amp;C1474&amp;"-"&amp;D1474&amp;"-"&amp;H1474&amp;"."&amp;I1474&amp;"."&amp;J1474)</f>
        <v/>
      </c>
      <c r="B1474">
        <f>IF($L1474="","",INDEX(Расчет!$A$2:$A$3001,$L1474))</f>
        <v/>
      </c>
      <c r="C1474">
        <f>IF($L1474="","",INDEX(Расчет!$B$2:$B$3001,$L1474))</f>
        <v/>
      </c>
      <c r="D1474">
        <f>IF($L1474="","",IF(ISNUMBER(FIND("(",INDEX(Расчет!$C$2:$C$3001,$L1474))),SUBSTITUTE(MID(INDEX(Расчет!$C$2:$C$3001,$L1474),FIND("(",INDEX(Расчет!$C$2:$C$3001,$L1474))+1,99),")",""),INDEX(Расчет!$C$2:$C$3001,$L1474)))</f>
        <v/>
      </c>
      <c r="E1474">
        <f>IF($L1474="","",INDEX(Расчет!$D$2:$D$3001,$L1474))</f>
        <v/>
      </c>
      <c r="F1474">
        <f>IF($L1474="","",INDEX(Расчет!$E$2:$E$3001,$L1474))</f>
        <v/>
      </c>
      <c r="G1474">
        <f>IF($L1474="","",IFERROR(--LEFT(INDEX(Расчет!$C$2:$C$3001,$L1474),FIND("(",INDEX(Расчет!$C$2:$C$3001,$L1474))-1),IFERROR(--LEFT(INDEX(Расчет!$C$2:$C$3001,$L1474),1),"")))</f>
        <v/>
      </c>
      <c r="H1474">
        <f>IF($L1474="","",SUMIFS(Расчет!$G$2:$G$3001,Расчет!$I$2:$I$3001,$K1474,Расчет!$H$2:$H$3001,1))</f>
        <v/>
      </c>
      <c r="I1474">
        <f>IF($L1474="","",SUMIFS(Расчет!$G$2:$G$3001,Расчет!$I$2:$I$3001,$K1474,Расчет!$H$2:$H$3001,2))</f>
        <v/>
      </c>
      <c r="J1474">
        <f>IF($L1474="","",SUMIFS(Расчет!$G$2:$G$3001,Расчет!$I$2:$I$3001,$K1474,Расчет!$H$2:$H$3001,3))</f>
        <v/>
      </c>
      <c r="K1474">
        <f>IF($L1474="","",INDEX(Расчет!$I$2:$I$3001,$L1474))</f>
        <v/>
      </c>
      <c r="L1474">
        <f>IFERROR(MATCH(ROW()-1,Расчет!$J$2:$J$3001,0),"")</f>
        <v/>
      </c>
    </row>
    <row r="1475">
      <c r="A1475">
        <f>IF($L1475="","",B1475&amp;"."&amp;C1475&amp;"-"&amp;D1475&amp;"-"&amp;H1475&amp;"."&amp;I1475&amp;"."&amp;J1475)</f>
        <v/>
      </c>
      <c r="B1475">
        <f>IF($L1475="","",INDEX(Расчет!$A$2:$A$3001,$L1475))</f>
        <v/>
      </c>
      <c r="C1475">
        <f>IF($L1475="","",INDEX(Расчет!$B$2:$B$3001,$L1475))</f>
        <v/>
      </c>
      <c r="D1475">
        <f>IF($L1475="","",IF(ISNUMBER(FIND("(",INDEX(Расчет!$C$2:$C$3001,$L1475))),SUBSTITUTE(MID(INDEX(Расчет!$C$2:$C$3001,$L1475),FIND("(",INDEX(Расчет!$C$2:$C$3001,$L1475))+1,99),")",""),INDEX(Расчет!$C$2:$C$3001,$L1475)))</f>
        <v/>
      </c>
      <c r="E1475">
        <f>IF($L1475="","",INDEX(Расчет!$D$2:$D$3001,$L1475))</f>
        <v/>
      </c>
      <c r="F1475">
        <f>IF($L1475="","",INDEX(Расчет!$E$2:$E$3001,$L1475))</f>
        <v/>
      </c>
      <c r="G1475">
        <f>IF($L1475="","",IFERROR(--LEFT(INDEX(Расчет!$C$2:$C$3001,$L1475),FIND("(",INDEX(Расчет!$C$2:$C$3001,$L1475))-1),IFERROR(--LEFT(INDEX(Расчет!$C$2:$C$3001,$L1475),1),"")))</f>
        <v/>
      </c>
      <c r="H1475">
        <f>IF($L1475="","",SUMIFS(Расчет!$G$2:$G$3001,Расчет!$I$2:$I$3001,$K1475,Расчет!$H$2:$H$3001,1))</f>
        <v/>
      </c>
      <c r="I1475">
        <f>IF($L1475="","",SUMIFS(Расчет!$G$2:$G$3001,Расчет!$I$2:$I$3001,$K1475,Расчет!$H$2:$H$3001,2))</f>
        <v/>
      </c>
      <c r="J1475">
        <f>IF($L1475="","",SUMIFS(Расчет!$G$2:$G$3001,Расчет!$I$2:$I$3001,$K1475,Расчет!$H$2:$H$3001,3))</f>
        <v/>
      </c>
      <c r="K1475">
        <f>IF($L1475="","",INDEX(Расчет!$I$2:$I$3001,$L1475))</f>
        <v/>
      </c>
      <c r="L1475">
        <f>IFERROR(MATCH(ROW()-1,Расчет!$J$2:$J$3001,0),"")</f>
        <v/>
      </c>
    </row>
    <row r="1476">
      <c r="A1476">
        <f>IF($L1476="","",B1476&amp;"."&amp;C1476&amp;"-"&amp;D1476&amp;"-"&amp;H1476&amp;"."&amp;I1476&amp;"."&amp;J1476)</f>
        <v/>
      </c>
      <c r="B1476">
        <f>IF($L1476="","",INDEX(Расчет!$A$2:$A$3001,$L1476))</f>
        <v/>
      </c>
      <c r="C1476">
        <f>IF($L1476="","",INDEX(Расчет!$B$2:$B$3001,$L1476))</f>
        <v/>
      </c>
      <c r="D1476">
        <f>IF($L1476="","",IF(ISNUMBER(FIND("(",INDEX(Расчет!$C$2:$C$3001,$L1476))),SUBSTITUTE(MID(INDEX(Расчет!$C$2:$C$3001,$L1476),FIND("(",INDEX(Расчет!$C$2:$C$3001,$L1476))+1,99),")",""),INDEX(Расчет!$C$2:$C$3001,$L1476)))</f>
        <v/>
      </c>
      <c r="E1476">
        <f>IF($L1476="","",INDEX(Расчет!$D$2:$D$3001,$L1476))</f>
        <v/>
      </c>
      <c r="F1476">
        <f>IF($L1476="","",INDEX(Расчет!$E$2:$E$3001,$L1476))</f>
        <v/>
      </c>
      <c r="G1476">
        <f>IF($L1476="","",IFERROR(--LEFT(INDEX(Расчет!$C$2:$C$3001,$L1476),FIND("(",INDEX(Расчет!$C$2:$C$3001,$L1476))-1),IFERROR(--LEFT(INDEX(Расчет!$C$2:$C$3001,$L1476),1),"")))</f>
        <v/>
      </c>
      <c r="H1476">
        <f>IF($L1476="","",SUMIFS(Расчет!$G$2:$G$3001,Расчет!$I$2:$I$3001,$K1476,Расчет!$H$2:$H$3001,1))</f>
        <v/>
      </c>
      <c r="I1476">
        <f>IF($L1476="","",SUMIFS(Расчет!$G$2:$G$3001,Расчет!$I$2:$I$3001,$K1476,Расчет!$H$2:$H$3001,2))</f>
        <v/>
      </c>
      <c r="J1476">
        <f>IF($L1476="","",SUMIFS(Расчет!$G$2:$G$3001,Расчет!$I$2:$I$3001,$K1476,Расчет!$H$2:$H$3001,3))</f>
        <v/>
      </c>
      <c r="K1476">
        <f>IF($L1476="","",INDEX(Расчет!$I$2:$I$3001,$L1476))</f>
        <v/>
      </c>
      <c r="L1476">
        <f>IFERROR(MATCH(ROW()-1,Расчет!$J$2:$J$3001,0),"")</f>
        <v/>
      </c>
    </row>
    <row r="1477">
      <c r="A1477">
        <f>IF($L1477="","",B1477&amp;"."&amp;C1477&amp;"-"&amp;D1477&amp;"-"&amp;H1477&amp;"."&amp;I1477&amp;"."&amp;J1477)</f>
        <v/>
      </c>
      <c r="B1477">
        <f>IF($L1477="","",INDEX(Расчет!$A$2:$A$3001,$L1477))</f>
        <v/>
      </c>
      <c r="C1477">
        <f>IF($L1477="","",INDEX(Расчет!$B$2:$B$3001,$L1477))</f>
        <v/>
      </c>
      <c r="D1477">
        <f>IF($L1477="","",IF(ISNUMBER(FIND("(",INDEX(Расчет!$C$2:$C$3001,$L1477))),SUBSTITUTE(MID(INDEX(Расчет!$C$2:$C$3001,$L1477),FIND("(",INDEX(Расчет!$C$2:$C$3001,$L1477))+1,99),")",""),INDEX(Расчет!$C$2:$C$3001,$L1477)))</f>
        <v/>
      </c>
      <c r="E1477">
        <f>IF($L1477="","",INDEX(Расчет!$D$2:$D$3001,$L1477))</f>
        <v/>
      </c>
      <c r="F1477">
        <f>IF($L1477="","",INDEX(Расчет!$E$2:$E$3001,$L1477))</f>
        <v/>
      </c>
      <c r="G1477">
        <f>IF($L1477="","",IFERROR(--LEFT(INDEX(Расчет!$C$2:$C$3001,$L1477),FIND("(",INDEX(Расчет!$C$2:$C$3001,$L1477))-1),IFERROR(--LEFT(INDEX(Расчет!$C$2:$C$3001,$L1477),1),"")))</f>
        <v/>
      </c>
      <c r="H1477">
        <f>IF($L1477="","",SUMIFS(Расчет!$G$2:$G$3001,Расчет!$I$2:$I$3001,$K1477,Расчет!$H$2:$H$3001,1))</f>
        <v/>
      </c>
      <c r="I1477">
        <f>IF($L1477="","",SUMIFS(Расчет!$G$2:$G$3001,Расчет!$I$2:$I$3001,$K1477,Расчет!$H$2:$H$3001,2))</f>
        <v/>
      </c>
      <c r="J1477">
        <f>IF($L1477="","",SUMIFS(Расчет!$G$2:$G$3001,Расчет!$I$2:$I$3001,$K1477,Расчет!$H$2:$H$3001,3))</f>
        <v/>
      </c>
      <c r="K1477">
        <f>IF($L1477="","",INDEX(Расчет!$I$2:$I$3001,$L1477))</f>
        <v/>
      </c>
      <c r="L1477">
        <f>IFERROR(MATCH(ROW()-1,Расчет!$J$2:$J$3001,0),"")</f>
        <v/>
      </c>
    </row>
    <row r="1478">
      <c r="A1478">
        <f>IF($L1478="","",B1478&amp;"."&amp;C1478&amp;"-"&amp;D1478&amp;"-"&amp;H1478&amp;"."&amp;I1478&amp;"."&amp;J1478)</f>
        <v/>
      </c>
      <c r="B1478">
        <f>IF($L1478="","",INDEX(Расчет!$A$2:$A$3001,$L1478))</f>
        <v/>
      </c>
      <c r="C1478">
        <f>IF($L1478="","",INDEX(Расчет!$B$2:$B$3001,$L1478))</f>
        <v/>
      </c>
      <c r="D1478">
        <f>IF($L1478="","",IF(ISNUMBER(FIND("(",INDEX(Расчет!$C$2:$C$3001,$L1478))),SUBSTITUTE(MID(INDEX(Расчет!$C$2:$C$3001,$L1478),FIND("(",INDEX(Расчет!$C$2:$C$3001,$L1478))+1,99),")",""),INDEX(Расчет!$C$2:$C$3001,$L1478)))</f>
        <v/>
      </c>
      <c r="E1478">
        <f>IF($L1478="","",INDEX(Расчет!$D$2:$D$3001,$L1478))</f>
        <v/>
      </c>
      <c r="F1478">
        <f>IF($L1478="","",INDEX(Расчет!$E$2:$E$3001,$L1478))</f>
        <v/>
      </c>
      <c r="G1478">
        <f>IF($L1478="","",IFERROR(--LEFT(INDEX(Расчет!$C$2:$C$3001,$L1478),FIND("(",INDEX(Расчет!$C$2:$C$3001,$L1478))-1),IFERROR(--LEFT(INDEX(Расчет!$C$2:$C$3001,$L1478),1),"")))</f>
        <v/>
      </c>
      <c r="H1478">
        <f>IF($L1478="","",SUMIFS(Расчет!$G$2:$G$3001,Расчет!$I$2:$I$3001,$K1478,Расчет!$H$2:$H$3001,1))</f>
        <v/>
      </c>
      <c r="I1478">
        <f>IF($L1478="","",SUMIFS(Расчет!$G$2:$G$3001,Расчет!$I$2:$I$3001,$K1478,Расчет!$H$2:$H$3001,2))</f>
        <v/>
      </c>
      <c r="J1478">
        <f>IF($L1478="","",SUMIFS(Расчет!$G$2:$G$3001,Расчет!$I$2:$I$3001,$K1478,Расчет!$H$2:$H$3001,3))</f>
        <v/>
      </c>
      <c r="K1478">
        <f>IF($L1478="","",INDEX(Расчет!$I$2:$I$3001,$L1478))</f>
        <v/>
      </c>
      <c r="L1478">
        <f>IFERROR(MATCH(ROW()-1,Расчет!$J$2:$J$3001,0),"")</f>
        <v/>
      </c>
    </row>
    <row r="1479">
      <c r="A1479">
        <f>IF($L1479="","",B1479&amp;"."&amp;C1479&amp;"-"&amp;D1479&amp;"-"&amp;H1479&amp;"."&amp;I1479&amp;"."&amp;J1479)</f>
        <v/>
      </c>
      <c r="B1479">
        <f>IF($L1479="","",INDEX(Расчет!$A$2:$A$3001,$L1479))</f>
        <v/>
      </c>
      <c r="C1479">
        <f>IF($L1479="","",INDEX(Расчет!$B$2:$B$3001,$L1479))</f>
        <v/>
      </c>
      <c r="D1479">
        <f>IF($L1479="","",IF(ISNUMBER(FIND("(",INDEX(Расчет!$C$2:$C$3001,$L1479))),SUBSTITUTE(MID(INDEX(Расчет!$C$2:$C$3001,$L1479),FIND("(",INDEX(Расчет!$C$2:$C$3001,$L1479))+1,99),")",""),INDEX(Расчет!$C$2:$C$3001,$L1479)))</f>
        <v/>
      </c>
      <c r="E1479">
        <f>IF($L1479="","",INDEX(Расчет!$D$2:$D$3001,$L1479))</f>
        <v/>
      </c>
      <c r="F1479">
        <f>IF($L1479="","",INDEX(Расчет!$E$2:$E$3001,$L1479))</f>
        <v/>
      </c>
      <c r="G1479">
        <f>IF($L1479="","",IFERROR(--LEFT(INDEX(Расчет!$C$2:$C$3001,$L1479),FIND("(",INDEX(Расчет!$C$2:$C$3001,$L1479))-1),IFERROR(--LEFT(INDEX(Расчет!$C$2:$C$3001,$L1479),1),"")))</f>
        <v/>
      </c>
      <c r="H1479">
        <f>IF($L1479="","",SUMIFS(Расчет!$G$2:$G$3001,Расчет!$I$2:$I$3001,$K1479,Расчет!$H$2:$H$3001,1))</f>
        <v/>
      </c>
      <c r="I1479">
        <f>IF($L1479="","",SUMIFS(Расчет!$G$2:$G$3001,Расчет!$I$2:$I$3001,$K1479,Расчет!$H$2:$H$3001,2))</f>
        <v/>
      </c>
      <c r="J1479">
        <f>IF($L1479="","",SUMIFS(Расчет!$G$2:$G$3001,Расчет!$I$2:$I$3001,$K1479,Расчет!$H$2:$H$3001,3))</f>
        <v/>
      </c>
      <c r="K1479">
        <f>IF($L1479="","",INDEX(Расчет!$I$2:$I$3001,$L1479))</f>
        <v/>
      </c>
      <c r="L1479">
        <f>IFERROR(MATCH(ROW()-1,Расчет!$J$2:$J$3001,0),"")</f>
        <v/>
      </c>
    </row>
    <row r="1480">
      <c r="A1480">
        <f>IF($L1480="","",B1480&amp;"."&amp;C1480&amp;"-"&amp;D1480&amp;"-"&amp;H1480&amp;"."&amp;I1480&amp;"."&amp;J1480)</f>
        <v/>
      </c>
      <c r="B1480">
        <f>IF($L1480="","",INDEX(Расчет!$A$2:$A$3001,$L1480))</f>
        <v/>
      </c>
      <c r="C1480">
        <f>IF($L1480="","",INDEX(Расчет!$B$2:$B$3001,$L1480))</f>
        <v/>
      </c>
      <c r="D1480">
        <f>IF($L1480="","",IF(ISNUMBER(FIND("(",INDEX(Расчет!$C$2:$C$3001,$L1480))),SUBSTITUTE(MID(INDEX(Расчет!$C$2:$C$3001,$L1480),FIND("(",INDEX(Расчет!$C$2:$C$3001,$L1480))+1,99),")",""),INDEX(Расчет!$C$2:$C$3001,$L1480)))</f>
        <v/>
      </c>
      <c r="E1480">
        <f>IF($L1480="","",INDEX(Расчет!$D$2:$D$3001,$L1480))</f>
        <v/>
      </c>
      <c r="F1480">
        <f>IF($L1480="","",INDEX(Расчет!$E$2:$E$3001,$L1480))</f>
        <v/>
      </c>
      <c r="G1480">
        <f>IF($L1480="","",IFERROR(--LEFT(INDEX(Расчет!$C$2:$C$3001,$L1480),FIND("(",INDEX(Расчет!$C$2:$C$3001,$L1480))-1),IFERROR(--LEFT(INDEX(Расчет!$C$2:$C$3001,$L1480),1),"")))</f>
        <v/>
      </c>
      <c r="H1480">
        <f>IF($L1480="","",SUMIFS(Расчет!$G$2:$G$3001,Расчет!$I$2:$I$3001,$K1480,Расчет!$H$2:$H$3001,1))</f>
        <v/>
      </c>
      <c r="I1480">
        <f>IF($L1480="","",SUMIFS(Расчет!$G$2:$G$3001,Расчет!$I$2:$I$3001,$K1480,Расчет!$H$2:$H$3001,2))</f>
        <v/>
      </c>
      <c r="J1480">
        <f>IF($L1480="","",SUMIFS(Расчет!$G$2:$G$3001,Расчет!$I$2:$I$3001,$K1480,Расчет!$H$2:$H$3001,3))</f>
        <v/>
      </c>
      <c r="K1480">
        <f>IF($L1480="","",INDEX(Расчет!$I$2:$I$3001,$L1480))</f>
        <v/>
      </c>
      <c r="L1480">
        <f>IFERROR(MATCH(ROW()-1,Расчет!$J$2:$J$3001,0),"")</f>
        <v/>
      </c>
    </row>
    <row r="1481">
      <c r="A1481">
        <f>IF($L1481="","",B1481&amp;"."&amp;C1481&amp;"-"&amp;D1481&amp;"-"&amp;H1481&amp;"."&amp;I1481&amp;"."&amp;J1481)</f>
        <v/>
      </c>
      <c r="B1481">
        <f>IF($L1481="","",INDEX(Расчет!$A$2:$A$3001,$L1481))</f>
        <v/>
      </c>
      <c r="C1481">
        <f>IF($L1481="","",INDEX(Расчет!$B$2:$B$3001,$L1481))</f>
        <v/>
      </c>
      <c r="D1481">
        <f>IF($L1481="","",IF(ISNUMBER(FIND("(",INDEX(Расчет!$C$2:$C$3001,$L1481))),SUBSTITUTE(MID(INDEX(Расчет!$C$2:$C$3001,$L1481),FIND("(",INDEX(Расчет!$C$2:$C$3001,$L1481))+1,99),")",""),INDEX(Расчет!$C$2:$C$3001,$L1481)))</f>
        <v/>
      </c>
      <c r="E1481">
        <f>IF($L1481="","",INDEX(Расчет!$D$2:$D$3001,$L1481))</f>
        <v/>
      </c>
      <c r="F1481">
        <f>IF($L1481="","",INDEX(Расчет!$E$2:$E$3001,$L1481))</f>
        <v/>
      </c>
      <c r="G1481">
        <f>IF($L1481="","",IFERROR(--LEFT(INDEX(Расчет!$C$2:$C$3001,$L1481),FIND("(",INDEX(Расчет!$C$2:$C$3001,$L1481))-1),IFERROR(--LEFT(INDEX(Расчет!$C$2:$C$3001,$L1481),1),"")))</f>
        <v/>
      </c>
      <c r="H1481">
        <f>IF($L1481="","",SUMIFS(Расчет!$G$2:$G$3001,Расчет!$I$2:$I$3001,$K1481,Расчет!$H$2:$H$3001,1))</f>
        <v/>
      </c>
      <c r="I1481">
        <f>IF($L1481="","",SUMIFS(Расчет!$G$2:$G$3001,Расчет!$I$2:$I$3001,$K1481,Расчет!$H$2:$H$3001,2))</f>
        <v/>
      </c>
      <c r="J1481">
        <f>IF($L1481="","",SUMIFS(Расчет!$G$2:$G$3001,Расчет!$I$2:$I$3001,$K1481,Расчет!$H$2:$H$3001,3))</f>
        <v/>
      </c>
      <c r="K1481">
        <f>IF($L1481="","",INDEX(Расчет!$I$2:$I$3001,$L1481))</f>
        <v/>
      </c>
      <c r="L1481">
        <f>IFERROR(MATCH(ROW()-1,Расчет!$J$2:$J$3001,0),"")</f>
        <v/>
      </c>
    </row>
    <row r="1482">
      <c r="A1482">
        <f>IF($L1482="","",B1482&amp;"."&amp;C1482&amp;"-"&amp;D1482&amp;"-"&amp;H1482&amp;"."&amp;I1482&amp;"."&amp;J1482)</f>
        <v/>
      </c>
      <c r="B1482">
        <f>IF($L1482="","",INDEX(Расчет!$A$2:$A$3001,$L1482))</f>
        <v/>
      </c>
      <c r="C1482">
        <f>IF($L1482="","",INDEX(Расчет!$B$2:$B$3001,$L1482))</f>
        <v/>
      </c>
      <c r="D1482">
        <f>IF($L1482="","",IF(ISNUMBER(FIND("(",INDEX(Расчет!$C$2:$C$3001,$L1482))),SUBSTITUTE(MID(INDEX(Расчет!$C$2:$C$3001,$L1482),FIND("(",INDEX(Расчет!$C$2:$C$3001,$L1482))+1,99),")",""),INDEX(Расчет!$C$2:$C$3001,$L1482)))</f>
        <v/>
      </c>
      <c r="E1482">
        <f>IF($L1482="","",INDEX(Расчет!$D$2:$D$3001,$L1482))</f>
        <v/>
      </c>
      <c r="F1482">
        <f>IF($L1482="","",INDEX(Расчет!$E$2:$E$3001,$L1482))</f>
        <v/>
      </c>
      <c r="G1482">
        <f>IF($L1482="","",IFERROR(--LEFT(INDEX(Расчет!$C$2:$C$3001,$L1482),FIND("(",INDEX(Расчет!$C$2:$C$3001,$L1482))-1),IFERROR(--LEFT(INDEX(Расчет!$C$2:$C$3001,$L1482),1),"")))</f>
        <v/>
      </c>
      <c r="H1482">
        <f>IF($L1482="","",SUMIFS(Расчет!$G$2:$G$3001,Расчет!$I$2:$I$3001,$K1482,Расчет!$H$2:$H$3001,1))</f>
        <v/>
      </c>
      <c r="I1482">
        <f>IF($L1482="","",SUMIFS(Расчет!$G$2:$G$3001,Расчет!$I$2:$I$3001,$K1482,Расчет!$H$2:$H$3001,2))</f>
        <v/>
      </c>
      <c r="J1482">
        <f>IF($L1482="","",SUMIFS(Расчет!$G$2:$G$3001,Расчет!$I$2:$I$3001,$K1482,Расчет!$H$2:$H$3001,3))</f>
        <v/>
      </c>
      <c r="K1482">
        <f>IF($L1482="","",INDEX(Расчет!$I$2:$I$3001,$L1482))</f>
        <v/>
      </c>
      <c r="L1482">
        <f>IFERROR(MATCH(ROW()-1,Расчет!$J$2:$J$3001,0),"")</f>
        <v/>
      </c>
    </row>
    <row r="1483">
      <c r="A1483">
        <f>IF($L1483="","",B1483&amp;"."&amp;C1483&amp;"-"&amp;D1483&amp;"-"&amp;H1483&amp;"."&amp;I1483&amp;"."&amp;J1483)</f>
        <v/>
      </c>
      <c r="B1483">
        <f>IF($L1483="","",INDEX(Расчет!$A$2:$A$3001,$L1483))</f>
        <v/>
      </c>
      <c r="C1483">
        <f>IF($L1483="","",INDEX(Расчет!$B$2:$B$3001,$L1483))</f>
        <v/>
      </c>
      <c r="D1483">
        <f>IF($L1483="","",IF(ISNUMBER(FIND("(",INDEX(Расчет!$C$2:$C$3001,$L1483))),SUBSTITUTE(MID(INDEX(Расчет!$C$2:$C$3001,$L1483),FIND("(",INDEX(Расчет!$C$2:$C$3001,$L1483))+1,99),")",""),INDEX(Расчет!$C$2:$C$3001,$L1483)))</f>
        <v/>
      </c>
      <c r="E1483">
        <f>IF($L1483="","",INDEX(Расчет!$D$2:$D$3001,$L1483))</f>
        <v/>
      </c>
      <c r="F1483">
        <f>IF($L1483="","",INDEX(Расчет!$E$2:$E$3001,$L1483))</f>
        <v/>
      </c>
      <c r="G1483">
        <f>IF($L1483="","",IFERROR(--LEFT(INDEX(Расчет!$C$2:$C$3001,$L1483),FIND("(",INDEX(Расчет!$C$2:$C$3001,$L1483))-1),IFERROR(--LEFT(INDEX(Расчет!$C$2:$C$3001,$L1483),1),"")))</f>
        <v/>
      </c>
      <c r="H1483">
        <f>IF($L1483="","",SUMIFS(Расчет!$G$2:$G$3001,Расчет!$I$2:$I$3001,$K1483,Расчет!$H$2:$H$3001,1))</f>
        <v/>
      </c>
      <c r="I1483">
        <f>IF($L1483="","",SUMIFS(Расчет!$G$2:$G$3001,Расчет!$I$2:$I$3001,$K1483,Расчет!$H$2:$H$3001,2))</f>
        <v/>
      </c>
      <c r="J1483">
        <f>IF($L1483="","",SUMIFS(Расчет!$G$2:$G$3001,Расчет!$I$2:$I$3001,$K1483,Расчет!$H$2:$H$3001,3))</f>
        <v/>
      </c>
      <c r="K1483">
        <f>IF($L1483="","",INDEX(Расчет!$I$2:$I$3001,$L1483))</f>
        <v/>
      </c>
      <c r="L1483">
        <f>IFERROR(MATCH(ROW()-1,Расчет!$J$2:$J$3001,0),"")</f>
        <v/>
      </c>
    </row>
    <row r="1484">
      <c r="A1484">
        <f>IF($L1484="","",B1484&amp;"."&amp;C1484&amp;"-"&amp;D1484&amp;"-"&amp;H1484&amp;"."&amp;I1484&amp;"."&amp;J1484)</f>
        <v/>
      </c>
      <c r="B1484">
        <f>IF($L1484="","",INDEX(Расчет!$A$2:$A$3001,$L1484))</f>
        <v/>
      </c>
      <c r="C1484">
        <f>IF($L1484="","",INDEX(Расчет!$B$2:$B$3001,$L1484))</f>
        <v/>
      </c>
      <c r="D1484">
        <f>IF($L1484="","",IF(ISNUMBER(FIND("(",INDEX(Расчет!$C$2:$C$3001,$L1484))),SUBSTITUTE(MID(INDEX(Расчет!$C$2:$C$3001,$L1484),FIND("(",INDEX(Расчет!$C$2:$C$3001,$L1484))+1,99),")",""),INDEX(Расчет!$C$2:$C$3001,$L1484)))</f>
        <v/>
      </c>
      <c r="E1484">
        <f>IF($L1484="","",INDEX(Расчет!$D$2:$D$3001,$L1484))</f>
        <v/>
      </c>
      <c r="F1484">
        <f>IF($L1484="","",INDEX(Расчет!$E$2:$E$3001,$L1484))</f>
        <v/>
      </c>
      <c r="G1484">
        <f>IF($L1484="","",IFERROR(--LEFT(INDEX(Расчет!$C$2:$C$3001,$L1484),FIND("(",INDEX(Расчет!$C$2:$C$3001,$L1484))-1),IFERROR(--LEFT(INDEX(Расчет!$C$2:$C$3001,$L1484),1),"")))</f>
        <v/>
      </c>
      <c r="H1484">
        <f>IF($L1484="","",SUMIFS(Расчет!$G$2:$G$3001,Расчет!$I$2:$I$3001,$K1484,Расчет!$H$2:$H$3001,1))</f>
        <v/>
      </c>
      <c r="I1484">
        <f>IF($L1484="","",SUMIFS(Расчет!$G$2:$G$3001,Расчет!$I$2:$I$3001,$K1484,Расчет!$H$2:$H$3001,2))</f>
        <v/>
      </c>
      <c r="J1484">
        <f>IF($L1484="","",SUMIFS(Расчет!$G$2:$G$3001,Расчет!$I$2:$I$3001,$K1484,Расчет!$H$2:$H$3001,3))</f>
        <v/>
      </c>
      <c r="K1484">
        <f>IF($L1484="","",INDEX(Расчет!$I$2:$I$3001,$L1484))</f>
        <v/>
      </c>
      <c r="L1484">
        <f>IFERROR(MATCH(ROW()-1,Расчет!$J$2:$J$3001,0),"")</f>
        <v/>
      </c>
    </row>
    <row r="1485">
      <c r="A1485">
        <f>IF($L1485="","",B1485&amp;"."&amp;C1485&amp;"-"&amp;D1485&amp;"-"&amp;H1485&amp;"."&amp;I1485&amp;"."&amp;J1485)</f>
        <v/>
      </c>
      <c r="B1485">
        <f>IF($L1485="","",INDEX(Расчет!$A$2:$A$3001,$L1485))</f>
        <v/>
      </c>
      <c r="C1485">
        <f>IF($L1485="","",INDEX(Расчет!$B$2:$B$3001,$L1485))</f>
        <v/>
      </c>
      <c r="D1485">
        <f>IF($L1485="","",IF(ISNUMBER(FIND("(",INDEX(Расчет!$C$2:$C$3001,$L1485))),SUBSTITUTE(MID(INDEX(Расчет!$C$2:$C$3001,$L1485),FIND("(",INDEX(Расчет!$C$2:$C$3001,$L1485))+1,99),")",""),INDEX(Расчет!$C$2:$C$3001,$L1485)))</f>
        <v/>
      </c>
      <c r="E1485">
        <f>IF($L1485="","",INDEX(Расчет!$D$2:$D$3001,$L1485))</f>
        <v/>
      </c>
      <c r="F1485">
        <f>IF($L1485="","",INDEX(Расчет!$E$2:$E$3001,$L1485))</f>
        <v/>
      </c>
      <c r="G1485">
        <f>IF($L1485="","",IFERROR(--LEFT(INDEX(Расчет!$C$2:$C$3001,$L1485),FIND("(",INDEX(Расчет!$C$2:$C$3001,$L1485))-1),IFERROR(--LEFT(INDEX(Расчет!$C$2:$C$3001,$L1485),1),"")))</f>
        <v/>
      </c>
      <c r="H1485">
        <f>IF($L1485="","",SUMIFS(Расчет!$G$2:$G$3001,Расчет!$I$2:$I$3001,$K1485,Расчет!$H$2:$H$3001,1))</f>
        <v/>
      </c>
      <c r="I1485">
        <f>IF($L1485="","",SUMIFS(Расчет!$G$2:$G$3001,Расчет!$I$2:$I$3001,$K1485,Расчет!$H$2:$H$3001,2))</f>
        <v/>
      </c>
      <c r="J1485">
        <f>IF($L1485="","",SUMIFS(Расчет!$G$2:$G$3001,Расчет!$I$2:$I$3001,$K1485,Расчет!$H$2:$H$3001,3))</f>
        <v/>
      </c>
      <c r="K1485">
        <f>IF($L1485="","",INDEX(Расчет!$I$2:$I$3001,$L1485))</f>
        <v/>
      </c>
      <c r="L1485">
        <f>IFERROR(MATCH(ROW()-1,Расчет!$J$2:$J$3001,0),"")</f>
        <v/>
      </c>
    </row>
    <row r="1486">
      <c r="A1486">
        <f>IF($L1486="","",B1486&amp;"."&amp;C1486&amp;"-"&amp;D1486&amp;"-"&amp;H1486&amp;"."&amp;I1486&amp;"."&amp;J1486)</f>
        <v/>
      </c>
      <c r="B1486">
        <f>IF($L1486="","",INDEX(Расчет!$A$2:$A$3001,$L1486))</f>
        <v/>
      </c>
      <c r="C1486">
        <f>IF($L1486="","",INDEX(Расчет!$B$2:$B$3001,$L1486))</f>
        <v/>
      </c>
      <c r="D1486">
        <f>IF($L1486="","",IF(ISNUMBER(FIND("(",INDEX(Расчет!$C$2:$C$3001,$L1486))),SUBSTITUTE(MID(INDEX(Расчет!$C$2:$C$3001,$L1486),FIND("(",INDEX(Расчет!$C$2:$C$3001,$L1486))+1,99),")",""),INDEX(Расчет!$C$2:$C$3001,$L1486)))</f>
        <v/>
      </c>
      <c r="E1486">
        <f>IF($L1486="","",INDEX(Расчет!$D$2:$D$3001,$L1486))</f>
        <v/>
      </c>
      <c r="F1486">
        <f>IF($L1486="","",INDEX(Расчет!$E$2:$E$3001,$L1486))</f>
        <v/>
      </c>
      <c r="G1486">
        <f>IF($L1486="","",IFERROR(--LEFT(INDEX(Расчет!$C$2:$C$3001,$L1486),FIND("(",INDEX(Расчет!$C$2:$C$3001,$L1486))-1),IFERROR(--LEFT(INDEX(Расчет!$C$2:$C$3001,$L1486),1),"")))</f>
        <v/>
      </c>
      <c r="H1486">
        <f>IF($L1486="","",SUMIFS(Расчет!$G$2:$G$3001,Расчет!$I$2:$I$3001,$K1486,Расчет!$H$2:$H$3001,1))</f>
        <v/>
      </c>
      <c r="I1486">
        <f>IF($L1486="","",SUMIFS(Расчет!$G$2:$G$3001,Расчет!$I$2:$I$3001,$K1486,Расчет!$H$2:$H$3001,2))</f>
        <v/>
      </c>
      <c r="J1486">
        <f>IF($L1486="","",SUMIFS(Расчет!$G$2:$G$3001,Расчет!$I$2:$I$3001,$K1486,Расчет!$H$2:$H$3001,3))</f>
        <v/>
      </c>
      <c r="K1486">
        <f>IF($L1486="","",INDEX(Расчет!$I$2:$I$3001,$L1486))</f>
        <v/>
      </c>
      <c r="L1486">
        <f>IFERROR(MATCH(ROW()-1,Расчет!$J$2:$J$3001,0),"")</f>
        <v/>
      </c>
    </row>
    <row r="1487">
      <c r="A1487">
        <f>IF($L1487="","",B1487&amp;"."&amp;C1487&amp;"-"&amp;D1487&amp;"-"&amp;H1487&amp;"."&amp;I1487&amp;"."&amp;J1487)</f>
        <v/>
      </c>
      <c r="B1487">
        <f>IF($L1487="","",INDEX(Расчет!$A$2:$A$3001,$L1487))</f>
        <v/>
      </c>
      <c r="C1487">
        <f>IF($L1487="","",INDEX(Расчет!$B$2:$B$3001,$L1487))</f>
        <v/>
      </c>
      <c r="D1487">
        <f>IF($L1487="","",IF(ISNUMBER(FIND("(",INDEX(Расчет!$C$2:$C$3001,$L1487))),SUBSTITUTE(MID(INDEX(Расчет!$C$2:$C$3001,$L1487),FIND("(",INDEX(Расчет!$C$2:$C$3001,$L1487))+1,99),")",""),INDEX(Расчет!$C$2:$C$3001,$L1487)))</f>
        <v/>
      </c>
      <c r="E1487">
        <f>IF($L1487="","",INDEX(Расчет!$D$2:$D$3001,$L1487))</f>
        <v/>
      </c>
      <c r="F1487">
        <f>IF($L1487="","",INDEX(Расчет!$E$2:$E$3001,$L1487))</f>
        <v/>
      </c>
      <c r="G1487">
        <f>IF($L1487="","",IFERROR(--LEFT(INDEX(Расчет!$C$2:$C$3001,$L1487),FIND("(",INDEX(Расчет!$C$2:$C$3001,$L1487))-1),IFERROR(--LEFT(INDEX(Расчет!$C$2:$C$3001,$L1487),1),"")))</f>
        <v/>
      </c>
      <c r="H1487">
        <f>IF($L1487="","",SUMIFS(Расчет!$G$2:$G$3001,Расчет!$I$2:$I$3001,$K1487,Расчет!$H$2:$H$3001,1))</f>
        <v/>
      </c>
      <c r="I1487">
        <f>IF($L1487="","",SUMIFS(Расчет!$G$2:$G$3001,Расчет!$I$2:$I$3001,$K1487,Расчет!$H$2:$H$3001,2))</f>
        <v/>
      </c>
      <c r="J1487">
        <f>IF($L1487="","",SUMIFS(Расчет!$G$2:$G$3001,Расчет!$I$2:$I$3001,$K1487,Расчет!$H$2:$H$3001,3))</f>
        <v/>
      </c>
      <c r="K1487">
        <f>IF($L1487="","",INDEX(Расчет!$I$2:$I$3001,$L1487))</f>
        <v/>
      </c>
      <c r="L1487">
        <f>IFERROR(MATCH(ROW()-1,Расчет!$J$2:$J$3001,0),"")</f>
        <v/>
      </c>
    </row>
    <row r="1488">
      <c r="A1488">
        <f>IF($L1488="","",B1488&amp;"."&amp;C1488&amp;"-"&amp;D1488&amp;"-"&amp;H1488&amp;"."&amp;I1488&amp;"."&amp;J1488)</f>
        <v/>
      </c>
      <c r="B1488">
        <f>IF($L1488="","",INDEX(Расчет!$A$2:$A$3001,$L1488))</f>
        <v/>
      </c>
      <c r="C1488">
        <f>IF($L1488="","",INDEX(Расчет!$B$2:$B$3001,$L1488))</f>
        <v/>
      </c>
      <c r="D1488">
        <f>IF($L1488="","",IF(ISNUMBER(FIND("(",INDEX(Расчет!$C$2:$C$3001,$L1488))),SUBSTITUTE(MID(INDEX(Расчет!$C$2:$C$3001,$L1488),FIND("(",INDEX(Расчет!$C$2:$C$3001,$L1488))+1,99),")",""),INDEX(Расчет!$C$2:$C$3001,$L1488)))</f>
        <v/>
      </c>
      <c r="E1488">
        <f>IF($L1488="","",INDEX(Расчет!$D$2:$D$3001,$L1488))</f>
        <v/>
      </c>
      <c r="F1488">
        <f>IF($L1488="","",INDEX(Расчет!$E$2:$E$3001,$L1488))</f>
        <v/>
      </c>
      <c r="G1488">
        <f>IF($L1488="","",IFERROR(--LEFT(INDEX(Расчет!$C$2:$C$3001,$L1488),FIND("(",INDEX(Расчет!$C$2:$C$3001,$L1488))-1),IFERROR(--LEFT(INDEX(Расчет!$C$2:$C$3001,$L1488),1),"")))</f>
        <v/>
      </c>
      <c r="H1488">
        <f>IF($L1488="","",SUMIFS(Расчет!$G$2:$G$3001,Расчет!$I$2:$I$3001,$K1488,Расчет!$H$2:$H$3001,1))</f>
        <v/>
      </c>
      <c r="I1488">
        <f>IF($L1488="","",SUMIFS(Расчет!$G$2:$G$3001,Расчет!$I$2:$I$3001,$K1488,Расчет!$H$2:$H$3001,2))</f>
        <v/>
      </c>
      <c r="J1488">
        <f>IF($L1488="","",SUMIFS(Расчет!$G$2:$G$3001,Расчет!$I$2:$I$3001,$K1488,Расчет!$H$2:$H$3001,3))</f>
        <v/>
      </c>
      <c r="K1488">
        <f>IF($L1488="","",INDEX(Расчет!$I$2:$I$3001,$L1488))</f>
        <v/>
      </c>
      <c r="L1488">
        <f>IFERROR(MATCH(ROW()-1,Расчет!$J$2:$J$3001,0),"")</f>
        <v/>
      </c>
    </row>
    <row r="1489">
      <c r="A1489">
        <f>IF($L1489="","",B1489&amp;"."&amp;C1489&amp;"-"&amp;D1489&amp;"-"&amp;H1489&amp;"."&amp;I1489&amp;"."&amp;J1489)</f>
        <v/>
      </c>
      <c r="B1489">
        <f>IF($L1489="","",INDEX(Расчет!$A$2:$A$3001,$L1489))</f>
        <v/>
      </c>
      <c r="C1489">
        <f>IF($L1489="","",INDEX(Расчет!$B$2:$B$3001,$L1489))</f>
        <v/>
      </c>
      <c r="D1489">
        <f>IF($L1489="","",IF(ISNUMBER(FIND("(",INDEX(Расчет!$C$2:$C$3001,$L1489))),SUBSTITUTE(MID(INDEX(Расчет!$C$2:$C$3001,$L1489),FIND("(",INDEX(Расчет!$C$2:$C$3001,$L1489))+1,99),")",""),INDEX(Расчет!$C$2:$C$3001,$L1489)))</f>
        <v/>
      </c>
      <c r="E1489">
        <f>IF($L1489="","",INDEX(Расчет!$D$2:$D$3001,$L1489))</f>
        <v/>
      </c>
      <c r="F1489">
        <f>IF($L1489="","",INDEX(Расчет!$E$2:$E$3001,$L1489))</f>
        <v/>
      </c>
      <c r="G1489">
        <f>IF($L1489="","",IFERROR(--LEFT(INDEX(Расчет!$C$2:$C$3001,$L1489),FIND("(",INDEX(Расчет!$C$2:$C$3001,$L1489))-1),IFERROR(--LEFT(INDEX(Расчет!$C$2:$C$3001,$L1489),1),"")))</f>
        <v/>
      </c>
      <c r="H1489">
        <f>IF($L1489="","",SUMIFS(Расчет!$G$2:$G$3001,Расчет!$I$2:$I$3001,$K1489,Расчет!$H$2:$H$3001,1))</f>
        <v/>
      </c>
      <c r="I1489">
        <f>IF($L1489="","",SUMIFS(Расчет!$G$2:$G$3001,Расчет!$I$2:$I$3001,$K1489,Расчет!$H$2:$H$3001,2))</f>
        <v/>
      </c>
      <c r="J1489">
        <f>IF($L1489="","",SUMIFS(Расчет!$G$2:$G$3001,Расчет!$I$2:$I$3001,$K1489,Расчет!$H$2:$H$3001,3))</f>
        <v/>
      </c>
      <c r="K1489">
        <f>IF($L1489="","",INDEX(Расчет!$I$2:$I$3001,$L1489))</f>
        <v/>
      </c>
      <c r="L1489">
        <f>IFERROR(MATCH(ROW()-1,Расчет!$J$2:$J$3001,0),"")</f>
        <v/>
      </c>
    </row>
    <row r="1490">
      <c r="A1490">
        <f>IF($L1490="","",B1490&amp;"."&amp;C1490&amp;"-"&amp;D1490&amp;"-"&amp;H1490&amp;"."&amp;I1490&amp;"."&amp;J1490)</f>
        <v/>
      </c>
      <c r="B1490">
        <f>IF($L1490="","",INDEX(Расчет!$A$2:$A$3001,$L1490))</f>
        <v/>
      </c>
      <c r="C1490">
        <f>IF($L1490="","",INDEX(Расчет!$B$2:$B$3001,$L1490))</f>
        <v/>
      </c>
      <c r="D1490">
        <f>IF($L1490="","",IF(ISNUMBER(FIND("(",INDEX(Расчет!$C$2:$C$3001,$L1490))),SUBSTITUTE(MID(INDEX(Расчет!$C$2:$C$3001,$L1490),FIND("(",INDEX(Расчет!$C$2:$C$3001,$L1490))+1,99),")",""),INDEX(Расчет!$C$2:$C$3001,$L1490)))</f>
        <v/>
      </c>
      <c r="E1490">
        <f>IF($L1490="","",INDEX(Расчет!$D$2:$D$3001,$L1490))</f>
        <v/>
      </c>
      <c r="F1490">
        <f>IF($L1490="","",INDEX(Расчет!$E$2:$E$3001,$L1490))</f>
        <v/>
      </c>
      <c r="G1490">
        <f>IF($L1490="","",IFERROR(--LEFT(INDEX(Расчет!$C$2:$C$3001,$L1490),FIND("(",INDEX(Расчет!$C$2:$C$3001,$L1490))-1),IFERROR(--LEFT(INDEX(Расчет!$C$2:$C$3001,$L1490),1),"")))</f>
        <v/>
      </c>
      <c r="H1490">
        <f>IF($L1490="","",SUMIFS(Расчет!$G$2:$G$3001,Расчет!$I$2:$I$3001,$K1490,Расчет!$H$2:$H$3001,1))</f>
        <v/>
      </c>
      <c r="I1490">
        <f>IF($L1490="","",SUMIFS(Расчет!$G$2:$G$3001,Расчет!$I$2:$I$3001,$K1490,Расчет!$H$2:$H$3001,2))</f>
        <v/>
      </c>
      <c r="J1490">
        <f>IF($L1490="","",SUMIFS(Расчет!$G$2:$G$3001,Расчет!$I$2:$I$3001,$K1490,Расчет!$H$2:$H$3001,3))</f>
        <v/>
      </c>
      <c r="K1490">
        <f>IF($L1490="","",INDEX(Расчет!$I$2:$I$3001,$L1490))</f>
        <v/>
      </c>
      <c r="L1490">
        <f>IFERROR(MATCH(ROW()-1,Расчет!$J$2:$J$3001,0),"")</f>
        <v/>
      </c>
    </row>
    <row r="1491">
      <c r="A1491">
        <f>IF($L1491="","",B1491&amp;"."&amp;C1491&amp;"-"&amp;D1491&amp;"-"&amp;H1491&amp;"."&amp;I1491&amp;"."&amp;J1491)</f>
        <v/>
      </c>
      <c r="B1491">
        <f>IF($L1491="","",INDEX(Расчет!$A$2:$A$3001,$L1491))</f>
        <v/>
      </c>
      <c r="C1491">
        <f>IF($L1491="","",INDEX(Расчет!$B$2:$B$3001,$L1491))</f>
        <v/>
      </c>
      <c r="D1491">
        <f>IF($L1491="","",IF(ISNUMBER(FIND("(",INDEX(Расчет!$C$2:$C$3001,$L1491))),SUBSTITUTE(MID(INDEX(Расчет!$C$2:$C$3001,$L1491),FIND("(",INDEX(Расчет!$C$2:$C$3001,$L1491))+1,99),")",""),INDEX(Расчет!$C$2:$C$3001,$L1491)))</f>
        <v/>
      </c>
      <c r="E1491">
        <f>IF($L1491="","",INDEX(Расчет!$D$2:$D$3001,$L1491))</f>
        <v/>
      </c>
      <c r="F1491">
        <f>IF($L1491="","",INDEX(Расчет!$E$2:$E$3001,$L1491))</f>
        <v/>
      </c>
      <c r="G1491">
        <f>IF($L1491="","",IFERROR(--LEFT(INDEX(Расчет!$C$2:$C$3001,$L1491),FIND("(",INDEX(Расчет!$C$2:$C$3001,$L1491))-1),IFERROR(--LEFT(INDEX(Расчет!$C$2:$C$3001,$L1491),1),"")))</f>
        <v/>
      </c>
      <c r="H1491">
        <f>IF($L1491="","",SUMIFS(Расчет!$G$2:$G$3001,Расчет!$I$2:$I$3001,$K1491,Расчет!$H$2:$H$3001,1))</f>
        <v/>
      </c>
      <c r="I1491">
        <f>IF($L1491="","",SUMIFS(Расчет!$G$2:$G$3001,Расчет!$I$2:$I$3001,$K1491,Расчет!$H$2:$H$3001,2))</f>
        <v/>
      </c>
      <c r="J1491">
        <f>IF($L1491="","",SUMIFS(Расчет!$G$2:$G$3001,Расчет!$I$2:$I$3001,$K1491,Расчет!$H$2:$H$3001,3))</f>
        <v/>
      </c>
      <c r="K1491">
        <f>IF($L1491="","",INDEX(Расчет!$I$2:$I$3001,$L1491))</f>
        <v/>
      </c>
      <c r="L1491">
        <f>IFERROR(MATCH(ROW()-1,Расчет!$J$2:$J$3001,0),"")</f>
        <v/>
      </c>
    </row>
    <row r="1492">
      <c r="A1492">
        <f>IF($L1492="","",B1492&amp;"."&amp;C1492&amp;"-"&amp;D1492&amp;"-"&amp;H1492&amp;"."&amp;I1492&amp;"."&amp;J1492)</f>
        <v/>
      </c>
      <c r="B1492">
        <f>IF($L1492="","",INDEX(Расчет!$A$2:$A$3001,$L1492))</f>
        <v/>
      </c>
      <c r="C1492">
        <f>IF($L1492="","",INDEX(Расчет!$B$2:$B$3001,$L1492))</f>
        <v/>
      </c>
      <c r="D1492">
        <f>IF($L1492="","",IF(ISNUMBER(FIND("(",INDEX(Расчет!$C$2:$C$3001,$L1492))),SUBSTITUTE(MID(INDEX(Расчет!$C$2:$C$3001,$L1492),FIND("(",INDEX(Расчет!$C$2:$C$3001,$L1492))+1,99),")",""),INDEX(Расчет!$C$2:$C$3001,$L1492)))</f>
        <v/>
      </c>
      <c r="E1492">
        <f>IF($L1492="","",INDEX(Расчет!$D$2:$D$3001,$L1492))</f>
        <v/>
      </c>
      <c r="F1492">
        <f>IF($L1492="","",INDEX(Расчет!$E$2:$E$3001,$L1492))</f>
        <v/>
      </c>
      <c r="G1492">
        <f>IF($L1492="","",IFERROR(--LEFT(INDEX(Расчет!$C$2:$C$3001,$L1492),FIND("(",INDEX(Расчет!$C$2:$C$3001,$L1492))-1),IFERROR(--LEFT(INDEX(Расчет!$C$2:$C$3001,$L1492),1),"")))</f>
        <v/>
      </c>
      <c r="H1492">
        <f>IF($L1492="","",SUMIFS(Расчет!$G$2:$G$3001,Расчет!$I$2:$I$3001,$K1492,Расчет!$H$2:$H$3001,1))</f>
        <v/>
      </c>
      <c r="I1492">
        <f>IF($L1492="","",SUMIFS(Расчет!$G$2:$G$3001,Расчет!$I$2:$I$3001,$K1492,Расчет!$H$2:$H$3001,2))</f>
        <v/>
      </c>
      <c r="J1492">
        <f>IF($L1492="","",SUMIFS(Расчет!$G$2:$G$3001,Расчет!$I$2:$I$3001,$K1492,Расчет!$H$2:$H$3001,3))</f>
        <v/>
      </c>
      <c r="K1492">
        <f>IF($L1492="","",INDEX(Расчет!$I$2:$I$3001,$L1492))</f>
        <v/>
      </c>
      <c r="L1492">
        <f>IFERROR(MATCH(ROW()-1,Расчет!$J$2:$J$3001,0),"")</f>
        <v/>
      </c>
    </row>
    <row r="1493">
      <c r="A1493">
        <f>IF($L1493="","",B1493&amp;"."&amp;C1493&amp;"-"&amp;D1493&amp;"-"&amp;H1493&amp;"."&amp;I1493&amp;"."&amp;J1493)</f>
        <v/>
      </c>
      <c r="B1493">
        <f>IF($L1493="","",INDEX(Расчет!$A$2:$A$3001,$L1493))</f>
        <v/>
      </c>
      <c r="C1493">
        <f>IF($L1493="","",INDEX(Расчет!$B$2:$B$3001,$L1493))</f>
        <v/>
      </c>
      <c r="D1493">
        <f>IF($L1493="","",IF(ISNUMBER(FIND("(",INDEX(Расчет!$C$2:$C$3001,$L1493))),SUBSTITUTE(MID(INDEX(Расчет!$C$2:$C$3001,$L1493),FIND("(",INDEX(Расчет!$C$2:$C$3001,$L1493))+1,99),")",""),INDEX(Расчет!$C$2:$C$3001,$L1493)))</f>
        <v/>
      </c>
      <c r="E1493">
        <f>IF($L1493="","",INDEX(Расчет!$D$2:$D$3001,$L1493))</f>
        <v/>
      </c>
      <c r="F1493">
        <f>IF($L1493="","",INDEX(Расчет!$E$2:$E$3001,$L1493))</f>
        <v/>
      </c>
      <c r="G1493">
        <f>IF($L1493="","",IFERROR(--LEFT(INDEX(Расчет!$C$2:$C$3001,$L1493),FIND("(",INDEX(Расчет!$C$2:$C$3001,$L1493))-1),IFERROR(--LEFT(INDEX(Расчет!$C$2:$C$3001,$L1493),1),"")))</f>
        <v/>
      </c>
      <c r="H1493">
        <f>IF($L1493="","",SUMIFS(Расчет!$G$2:$G$3001,Расчет!$I$2:$I$3001,$K1493,Расчет!$H$2:$H$3001,1))</f>
        <v/>
      </c>
      <c r="I1493">
        <f>IF($L1493="","",SUMIFS(Расчет!$G$2:$G$3001,Расчет!$I$2:$I$3001,$K1493,Расчет!$H$2:$H$3001,2))</f>
        <v/>
      </c>
      <c r="J1493">
        <f>IF($L1493="","",SUMIFS(Расчет!$G$2:$G$3001,Расчет!$I$2:$I$3001,$K1493,Расчет!$H$2:$H$3001,3))</f>
        <v/>
      </c>
      <c r="K1493">
        <f>IF($L1493="","",INDEX(Расчет!$I$2:$I$3001,$L1493))</f>
        <v/>
      </c>
      <c r="L1493">
        <f>IFERROR(MATCH(ROW()-1,Расчет!$J$2:$J$3001,0),"")</f>
        <v/>
      </c>
    </row>
    <row r="1494">
      <c r="A1494">
        <f>IF($L1494="","",B1494&amp;"."&amp;C1494&amp;"-"&amp;D1494&amp;"-"&amp;H1494&amp;"."&amp;I1494&amp;"."&amp;J1494)</f>
        <v/>
      </c>
      <c r="B1494">
        <f>IF($L1494="","",INDEX(Расчет!$A$2:$A$3001,$L1494))</f>
        <v/>
      </c>
      <c r="C1494">
        <f>IF($L1494="","",INDEX(Расчет!$B$2:$B$3001,$L1494))</f>
        <v/>
      </c>
      <c r="D1494">
        <f>IF($L1494="","",IF(ISNUMBER(FIND("(",INDEX(Расчет!$C$2:$C$3001,$L1494))),SUBSTITUTE(MID(INDEX(Расчет!$C$2:$C$3001,$L1494),FIND("(",INDEX(Расчет!$C$2:$C$3001,$L1494))+1,99),")",""),INDEX(Расчет!$C$2:$C$3001,$L1494)))</f>
        <v/>
      </c>
      <c r="E1494">
        <f>IF($L1494="","",INDEX(Расчет!$D$2:$D$3001,$L1494))</f>
        <v/>
      </c>
      <c r="F1494">
        <f>IF($L1494="","",INDEX(Расчет!$E$2:$E$3001,$L1494))</f>
        <v/>
      </c>
      <c r="G1494">
        <f>IF($L1494="","",IFERROR(--LEFT(INDEX(Расчет!$C$2:$C$3001,$L1494),FIND("(",INDEX(Расчет!$C$2:$C$3001,$L1494))-1),IFERROR(--LEFT(INDEX(Расчет!$C$2:$C$3001,$L1494),1),"")))</f>
        <v/>
      </c>
      <c r="H1494">
        <f>IF($L1494="","",SUMIFS(Расчет!$G$2:$G$3001,Расчет!$I$2:$I$3001,$K1494,Расчет!$H$2:$H$3001,1))</f>
        <v/>
      </c>
      <c r="I1494">
        <f>IF($L1494="","",SUMIFS(Расчет!$G$2:$G$3001,Расчет!$I$2:$I$3001,$K1494,Расчет!$H$2:$H$3001,2))</f>
        <v/>
      </c>
      <c r="J1494">
        <f>IF($L1494="","",SUMIFS(Расчет!$G$2:$G$3001,Расчет!$I$2:$I$3001,$K1494,Расчет!$H$2:$H$3001,3))</f>
        <v/>
      </c>
      <c r="K1494">
        <f>IF($L1494="","",INDEX(Расчет!$I$2:$I$3001,$L1494))</f>
        <v/>
      </c>
      <c r="L1494">
        <f>IFERROR(MATCH(ROW()-1,Расчет!$J$2:$J$3001,0),"")</f>
        <v/>
      </c>
    </row>
    <row r="1495">
      <c r="A1495">
        <f>IF($L1495="","",B1495&amp;"."&amp;C1495&amp;"-"&amp;D1495&amp;"-"&amp;H1495&amp;"."&amp;I1495&amp;"."&amp;J1495)</f>
        <v/>
      </c>
      <c r="B1495">
        <f>IF($L1495="","",INDEX(Расчет!$A$2:$A$3001,$L1495))</f>
        <v/>
      </c>
      <c r="C1495">
        <f>IF($L1495="","",INDEX(Расчет!$B$2:$B$3001,$L1495))</f>
        <v/>
      </c>
      <c r="D1495">
        <f>IF($L1495="","",IF(ISNUMBER(FIND("(",INDEX(Расчет!$C$2:$C$3001,$L1495))),SUBSTITUTE(MID(INDEX(Расчет!$C$2:$C$3001,$L1495),FIND("(",INDEX(Расчет!$C$2:$C$3001,$L1495))+1,99),")",""),INDEX(Расчет!$C$2:$C$3001,$L1495)))</f>
        <v/>
      </c>
      <c r="E1495">
        <f>IF($L1495="","",INDEX(Расчет!$D$2:$D$3001,$L1495))</f>
        <v/>
      </c>
      <c r="F1495">
        <f>IF($L1495="","",INDEX(Расчет!$E$2:$E$3001,$L1495))</f>
        <v/>
      </c>
      <c r="G1495">
        <f>IF($L1495="","",IFERROR(--LEFT(INDEX(Расчет!$C$2:$C$3001,$L1495),FIND("(",INDEX(Расчет!$C$2:$C$3001,$L1495))-1),IFERROR(--LEFT(INDEX(Расчет!$C$2:$C$3001,$L1495),1),"")))</f>
        <v/>
      </c>
      <c r="H1495">
        <f>IF($L1495="","",SUMIFS(Расчет!$G$2:$G$3001,Расчет!$I$2:$I$3001,$K1495,Расчет!$H$2:$H$3001,1))</f>
        <v/>
      </c>
      <c r="I1495">
        <f>IF($L1495="","",SUMIFS(Расчет!$G$2:$G$3001,Расчет!$I$2:$I$3001,$K1495,Расчет!$H$2:$H$3001,2))</f>
        <v/>
      </c>
      <c r="J1495">
        <f>IF($L1495="","",SUMIFS(Расчет!$G$2:$G$3001,Расчет!$I$2:$I$3001,$K1495,Расчет!$H$2:$H$3001,3))</f>
        <v/>
      </c>
      <c r="K1495">
        <f>IF($L1495="","",INDEX(Расчет!$I$2:$I$3001,$L1495))</f>
        <v/>
      </c>
      <c r="L1495">
        <f>IFERROR(MATCH(ROW()-1,Расчет!$J$2:$J$3001,0),"")</f>
        <v/>
      </c>
    </row>
    <row r="1496">
      <c r="A1496">
        <f>IF($L1496="","",B1496&amp;"."&amp;C1496&amp;"-"&amp;D1496&amp;"-"&amp;H1496&amp;"."&amp;I1496&amp;"."&amp;J1496)</f>
        <v/>
      </c>
      <c r="B1496">
        <f>IF($L1496="","",INDEX(Расчет!$A$2:$A$3001,$L1496))</f>
        <v/>
      </c>
      <c r="C1496">
        <f>IF($L1496="","",INDEX(Расчет!$B$2:$B$3001,$L1496))</f>
        <v/>
      </c>
      <c r="D1496">
        <f>IF($L1496="","",IF(ISNUMBER(FIND("(",INDEX(Расчет!$C$2:$C$3001,$L1496))),SUBSTITUTE(MID(INDEX(Расчет!$C$2:$C$3001,$L1496),FIND("(",INDEX(Расчет!$C$2:$C$3001,$L1496))+1,99),")",""),INDEX(Расчет!$C$2:$C$3001,$L1496)))</f>
        <v/>
      </c>
      <c r="E1496">
        <f>IF($L1496="","",INDEX(Расчет!$D$2:$D$3001,$L1496))</f>
        <v/>
      </c>
      <c r="F1496">
        <f>IF($L1496="","",INDEX(Расчет!$E$2:$E$3001,$L1496))</f>
        <v/>
      </c>
      <c r="G1496">
        <f>IF($L1496="","",IFERROR(--LEFT(INDEX(Расчет!$C$2:$C$3001,$L1496),FIND("(",INDEX(Расчет!$C$2:$C$3001,$L1496))-1),IFERROR(--LEFT(INDEX(Расчет!$C$2:$C$3001,$L1496),1),"")))</f>
        <v/>
      </c>
      <c r="H1496">
        <f>IF($L1496="","",SUMIFS(Расчет!$G$2:$G$3001,Расчет!$I$2:$I$3001,$K1496,Расчет!$H$2:$H$3001,1))</f>
        <v/>
      </c>
      <c r="I1496">
        <f>IF($L1496="","",SUMIFS(Расчет!$G$2:$G$3001,Расчет!$I$2:$I$3001,$K1496,Расчет!$H$2:$H$3001,2))</f>
        <v/>
      </c>
      <c r="J1496">
        <f>IF($L1496="","",SUMIFS(Расчет!$G$2:$G$3001,Расчет!$I$2:$I$3001,$K1496,Расчет!$H$2:$H$3001,3))</f>
        <v/>
      </c>
      <c r="K1496">
        <f>IF($L1496="","",INDEX(Расчет!$I$2:$I$3001,$L1496))</f>
        <v/>
      </c>
      <c r="L1496">
        <f>IFERROR(MATCH(ROW()-1,Расчет!$J$2:$J$3001,0),"")</f>
        <v/>
      </c>
    </row>
    <row r="1497">
      <c r="A1497">
        <f>IF($L1497="","",B1497&amp;"."&amp;C1497&amp;"-"&amp;D1497&amp;"-"&amp;H1497&amp;"."&amp;I1497&amp;"."&amp;J1497)</f>
        <v/>
      </c>
      <c r="B1497">
        <f>IF($L1497="","",INDEX(Расчет!$A$2:$A$3001,$L1497))</f>
        <v/>
      </c>
      <c r="C1497">
        <f>IF($L1497="","",INDEX(Расчет!$B$2:$B$3001,$L1497))</f>
        <v/>
      </c>
      <c r="D1497">
        <f>IF($L1497="","",IF(ISNUMBER(FIND("(",INDEX(Расчет!$C$2:$C$3001,$L1497))),SUBSTITUTE(MID(INDEX(Расчет!$C$2:$C$3001,$L1497),FIND("(",INDEX(Расчет!$C$2:$C$3001,$L1497))+1,99),")",""),INDEX(Расчет!$C$2:$C$3001,$L1497)))</f>
        <v/>
      </c>
      <c r="E1497">
        <f>IF($L1497="","",INDEX(Расчет!$D$2:$D$3001,$L1497))</f>
        <v/>
      </c>
      <c r="F1497">
        <f>IF($L1497="","",INDEX(Расчет!$E$2:$E$3001,$L1497))</f>
        <v/>
      </c>
      <c r="G1497">
        <f>IF($L1497="","",IFERROR(--LEFT(INDEX(Расчет!$C$2:$C$3001,$L1497),FIND("(",INDEX(Расчет!$C$2:$C$3001,$L1497))-1),IFERROR(--LEFT(INDEX(Расчет!$C$2:$C$3001,$L1497),1),"")))</f>
        <v/>
      </c>
      <c r="H1497">
        <f>IF($L1497="","",SUMIFS(Расчет!$G$2:$G$3001,Расчет!$I$2:$I$3001,$K1497,Расчет!$H$2:$H$3001,1))</f>
        <v/>
      </c>
      <c r="I1497">
        <f>IF($L1497="","",SUMIFS(Расчет!$G$2:$G$3001,Расчет!$I$2:$I$3001,$K1497,Расчет!$H$2:$H$3001,2))</f>
        <v/>
      </c>
      <c r="J1497">
        <f>IF($L1497="","",SUMIFS(Расчет!$G$2:$G$3001,Расчет!$I$2:$I$3001,$K1497,Расчет!$H$2:$H$3001,3))</f>
        <v/>
      </c>
      <c r="K1497">
        <f>IF($L1497="","",INDEX(Расчет!$I$2:$I$3001,$L1497))</f>
        <v/>
      </c>
      <c r="L1497">
        <f>IFERROR(MATCH(ROW()-1,Расчет!$J$2:$J$3001,0),"")</f>
        <v/>
      </c>
    </row>
    <row r="1498">
      <c r="A1498">
        <f>IF($L1498="","",B1498&amp;"."&amp;C1498&amp;"-"&amp;D1498&amp;"-"&amp;H1498&amp;"."&amp;I1498&amp;"."&amp;J1498)</f>
        <v/>
      </c>
      <c r="B1498">
        <f>IF($L1498="","",INDEX(Расчет!$A$2:$A$3001,$L1498))</f>
        <v/>
      </c>
      <c r="C1498">
        <f>IF($L1498="","",INDEX(Расчет!$B$2:$B$3001,$L1498))</f>
        <v/>
      </c>
      <c r="D1498">
        <f>IF($L1498="","",IF(ISNUMBER(FIND("(",INDEX(Расчет!$C$2:$C$3001,$L1498))),SUBSTITUTE(MID(INDEX(Расчет!$C$2:$C$3001,$L1498),FIND("(",INDEX(Расчет!$C$2:$C$3001,$L1498))+1,99),")",""),INDEX(Расчет!$C$2:$C$3001,$L1498)))</f>
        <v/>
      </c>
      <c r="E1498">
        <f>IF($L1498="","",INDEX(Расчет!$D$2:$D$3001,$L1498))</f>
        <v/>
      </c>
      <c r="F1498">
        <f>IF($L1498="","",INDEX(Расчет!$E$2:$E$3001,$L1498))</f>
        <v/>
      </c>
      <c r="G1498">
        <f>IF($L1498="","",IFERROR(--LEFT(INDEX(Расчет!$C$2:$C$3001,$L1498),FIND("(",INDEX(Расчет!$C$2:$C$3001,$L1498))-1),IFERROR(--LEFT(INDEX(Расчет!$C$2:$C$3001,$L1498),1),"")))</f>
        <v/>
      </c>
      <c r="H1498">
        <f>IF($L1498="","",SUMIFS(Расчет!$G$2:$G$3001,Расчет!$I$2:$I$3001,$K1498,Расчет!$H$2:$H$3001,1))</f>
        <v/>
      </c>
      <c r="I1498">
        <f>IF($L1498="","",SUMIFS(Расчет!$G$2:$G$3001,Расчет!$I$2:$I$3001,$K1498,Расчет!$H$2:$H$3001,2))</f>
        <v/>
      </c>
      <c r="J1498">
        <f>IF($L1498="","",SUMIFS(Расчет!$G$2:$G$3001,Расчет!$I$2:$I$3001,$K1498,Расчет!$H$2:$H$3001,3))</f>
        <v/>
      </c>
      <c r="K1498">
        <f>IF($L1498="","",INDEX(Расчет!$I$2:$I$3001,$L1498))</f>
        <v/>
      </c>
      <c r="L1498">
        <f>IFERROR(MATCH(ROW()-1,Расчет!$J$2:$J$3001,0),"")</f>
        <v/>
      </c>
    </row>
    <row r="1499">
      <c r="A1499">
        <f>IF($L1499="","",B1499&amp;"."&amp;C1499&amp;"-"&amp;D1499&amp;"-"&amp;H1499&amp;"."&amp;I1499&amp;"."&amp;J1499)</f>
        <v/>
      </c>
      <c r="B1499">
        <f>IF($L1499="","",INDEX(Расчет!$A$2:$A$3001,$L1499))</f>
        <v/>
      </c>
      <c r="C1499">
        <f>IF($L1499="","",INDEX(Расчет!$B$2:$B$3001,$L1499))</f>
        <v/>
      </c>
      <c r="D1499">
        <f>IF($L1499="","",IF(ISNUMBER(FIND("(",INDEX(Расчет!$C$2:$C$3001,$L1499))),SUBSTITUTE(MID(INDEX(Расчет!$C$2:$C$3001,$L1499),FIND("(",INDEX(Расчет!$C$2:$C$3001,$L1499))+1,99),")",""),INDEX(Расчет!$C$2:$C$3001,$L1499)))</f>
        <v/>
      </c>
      <c r="E1499">
        <f>IF($L1499="","",INDEX(Расчет!$D$2:$D$3001,$L1499))</f>
        <v/>
      </c>
      <c r="F1499">
        <f>IF($L1499="","",INDEX(Расчет!$E$2:$E$3001,$L1499))</f>
        <v/>
      </c>
      <c r="G1499">
        <f>IF($L1499="","",IFERROR(--LEFT(INDEX(Расчет!$C$2:$C$3001,$L1499),FIND("(",INDEX(Расчет!$C$2:$C$3001,$L1499))-1),IFERROR(--LEFT(INDEX(Расчет!$C$2:$C$3001,$L1499),1),"")))</f>
        <v/>
      </c>
      <c r="H1499">
        <f>IF($L1499="","",SUMIFS(Расчет!$G$2:$G$3001,Расчет!$I$2:$I$3001,$K1499,Расчет!$H$2:$H$3001,1))</f>
        <v/>
      </c>
      <c r="I1499">
        <f>IF($L1499="","",SUMIFS(Расчет!$G$2:$G$3001,Расчет!$I$2:$I$3001,$K1499,Расчет!$H$2:$H$3001,2))</f>
        <v/>
      </c>
      <c r="J1499">
        <f>IF($L1499="","",SUMIFS(Расчет!$G$2:$G$3001,Расчет!$I$2:$I$3001,$K1499,Расчет!$H$2:$H$3001,3))</f>
        <v/>
      </c>
      <c r="K1499">
        <f>IF($L1499="","",INDEX(Расчет!$I$2:$I$3001,$L1499))</f>
        <v/>
      </c>
      <c r="L1499">
        <f>IFERROR(MATCH(ROW()-1,Расчет!$J$2:$J$3001,0),"")</f>
        <v/>
      </c>
    </row>
    <row r="1500">
      <c r="A1500">
        <f>IF($L1500="","",B1500&amp;"."&amp;C1500&amp;"-"&amp;D1500&amp;"-"&amp;H1500&amp;"."&amp;I1500&amp;"."&amp;J1500)</f>
        <v/>
      </c>
      <c r="B1500">
        <f>IF($L1500="","",INDEX(Расчет!$A$2:$A$3001,$L1500))</f>
        <v/>
      </c>
      <c r="C1500">
        <f>IF($L1500="","",INDEX(Расчет!$B$2:$B$3001,$L1500))</f>
        <v/>
      </c>
      <c r="D1500">
        <f>IF($L1500="","",IF(ISNUMBER(FIND("(",INDEX(Расчет!$C$2:$C$3001,$L1500))),SUBSTITUTE(MID(INDEX(Расчет!$C$2:$C$3001,$L1500),FIND("(",INDEX(Расчет!$C$2:$C$3001,$L1500))+1,99),")",""),INDEX(Расчет!$C$2:$C$3001,$L1500)))</f>
        <v/>
      </c>
      <c r="E1500">
        <f>IF($L1500="","",INDEX(Расчет!$D$2:$D$3001,$L1500))</f>
        <v/>
      </c>
      <c r="F1500">
        <f>IF($L1500="","",INDEX(Расчет!$E$2:$E$3001,$L1500))</f>
        <v/>
      </c>
      <c r="G1500">
        <f>IF($L1500="","",IFERROR(--LEFT(INDEX(Расчет!$C$2:$C$3001,$L1500),FIND("(",INDEX(Расчет!$C$2:$C$3001,$L1500))-1),IFERROR(--LEFT(INDEX(Расчет!$C$2:$C$3001,$L1500),1),"")))</f>
        <v/>
      </c>
      <c r="H1500">
        <f>IF($L1500="","",SUMIFS(Расчет!$G$2:$G$3001,Расчет!$I$2:$I$3001,$K1500,Расчет!$H$2:$H$3001,1))</f>
        <v/>
      </c>
      <c r="I1500">
        <f>IF($L1500="","",SUMIFS(Расчет!$G$2:$G$3001,Расчет!$I$2:$I$3001,$K1500,Расчет!$H$2:$H$3001,2))</f>
        <v/>
      </c>
      <c r="J1500">
        <f>IF($L1500="","",SUMIFS(Расчет!$G$2:$G$3001,Расчет!$I$2:$I$3001,$K1500,Расчет!$H$2:$H$3001,3))</f>
        <v/>
      </c>
      <c r="K1500">
        <f>IF($L1500="","",INDEX(Расчет!$I$2:$I$3001,$L1500))</f>
        <v/>
      </c>
      <c r="L1500">
        <f>IFERROR(MATCH(ROW()-1,Расчет!$J$2:$J$3001,0),"")</f>
        <v/>
      </c>
    </row>
    <row r="1501">
      <c r="A1501">
        <f>IF($L1501="","",B1501&amp;"."&amp;C1501&amp;"-"&amp;D1501&amp;"-"&amp;H1501&amp;"."&amp;I1501&amp;"."&amp;J1501)</f>
        <v/>
      </c>
      <c r="B1501">
        <f>IF($L1501="","",INDEX(Расчет!$A$2:$A$3001,$L1501))</f>
        <v/>
      </c>
      <c r="C1501">
        <f>IF($L1501="","",INDEX(Расчет!$B$2:$B$3001,$L1501))</f>
        <v/>
      </c>
      <c r="D1501">
        <f>IF($L1501="","",IF(ISNUMBER(FIND("(",INDEX(Расчет!$C$2:$C$3001,$L1501))),SUBSTITUTE(MID(INDEX(Расчет!$C$2:$C$3001,$L1501),FIND("(",INDEX(Расчет!$C$2:$C$3001,$L1501))+1,99),")",""),INDEX(Расчет!$C$2:$C$3001,$L1501)))</f>
        <v/>
      </c>
      <c r="E1501">
        <f>IF($L1501="","",INDEX(Расчет!$D$2:$D$3001,$L1501))</f>
        <v/>
      </c>
      <c r="F1501">
        <f>IF($L1501="","",INDEX(Расчет!$E$2:$E$3001,$L1501))</f>
        <v/>
      </c>
      <c r="G1501">
        <f>IF($L1501="","",IFERROR(--LEFT(INDEX(Расчет!$C$2:$C$3001,$L1501),FIND("(",INDEX(Расчет!$C$2:$C$3001,$L1501))-1),IFERROR(--LEFT(INDEX(Расчет!$C$2:$C$3001,$L1501),1),"")))</f>
        <v/>
      </c>
      <c r="H1501">
        <f>IF($L1501="","",SUMIFS(Расчет!$G$2:$G$3001,Расчет!$I$2:$I$3001,$K1501,Расчет!$H$2:$H$3001,1))</f>
        <v/>
      </c>
      <c r="I1501">
        <f>IF($L1501="","",SUMIFS(Расчет!$G$2:$G$3001,Расчет!$I$2:$I$3001,$K1501,Расчет!$H$2:$H$3001,2))</f>
        <v/>
      </c>
      <c r="J1501">
        <f>IF($L1501="","",SUMIFS(Расчет!$G$2:$G$3001,Расчет!$I$2:$I$3001,$K1501,Расчет!$H$2:$H$3001,3))</f>
        <v/>
      </c>
      <c r="K1501">
        <f>IF($L1501="","",INDEX(Расчет!$I$2:$I$3001,$L1501))</f>
        <v/>
      </c>
      <c r="L1501">
        <f>IFERROR(MATCH(ROW()-1,Расчет!$J$2:$J$3001,0),"")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2026-10-21T07:21:34Z</dcterms:created>
  <dcterms:modified xmlns:dcterms="http://purl.org/dc/terms/" xmlns:xsi="http://www.w3.org/2001/XMLSchema-instance" xsi:type="dcterms:W3CDTF">2026-10-21T07:21:34Z</dcterms:modified>
</cp:coreProperties>
</file>